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67D81EAB-3694-4202-AC9B-996BBA4ABA4B}"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Dự phòng tồn kho" sheetId="60"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'Dự phòng tồn kho'!$AO$1</definedName>
    <definedName name="TonKho_Kho">'Dự phòng tồn kho'!#REF!</definedName>
    <definedName name="TonKho_MaHang">'Dự phòng tồn kho'!$AS$2</definedName>
    <definedName name="TonKho_NgayTheoDoi">'Dự phòng tồn kho'!$AS$1</definedName>
    <definedName name="TonKho_TieuThu">'Dự phòng tồn kho'!$AO$2</definedName>
  </definedNames>
  <calcPr calcId="191029"/>
  <pivotCaches>
    <pivotCache cacheId="2"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M23" i="60" l="1" a="1"/>
  <c r="AM23" i="60" s="1"/>
  <c r="AY35" i="60" l="1" a="1"/>
  <c r="AY35" i="60" s="1"/>
  <c r="AY62" i="60" a="1"/>
  <c r="AY62" i="60" s="1"/>
  <c r="AY88" i="60" a="1"/>
  <c r="AY88" i="60" s="1"/>
  <c r="AY65" i="60" a="1"/>
  <c r="AY65" i="60" s="1"/>
  <c r="AY31" i="60" a="1"/>
  <c r="AY31" i="60" s="1"/>
  <c r="AY59" i="60" a="1"/>
  <c r="AY59" i="60" s="1"/>
  <c r="AY68" i="60" a="1"/>
  <c r="AY68" i="60" s="1"/>
  <c r="AY43" i="60" a="1"/>
  <c r="AY43" i="60" s="1"/>
  <c r="AY29" i="60" a="1"/>
  <c r="AY29" i="60" s="1"/>
  <c r="AY36" i="60" a="1"/>
  <c r="AY36" i="60" s="1"/>
  <c r="AY85" i="60" a="1"/>
  <c r="AY85" i="60" s="1"/>
  <c r="AY60" i="60" a="1"/>
  <c r="AY60" i="60" s="1"/>
  <c r="AY79" i="60" a="1"/>
  <c r="AY79" i="60" s="1"/>
  <c r="AY23" i="60" a="1"/>
  <c r="AY23" i="60" s="1"/>
  <c r="AY24" i="60" a="1"/>
  <c r="AY24" i="60" s="1"/>
  <c r="AY25" i="60" a="1"/>
  <c r="AY25" i="60" s="1"/>
  <c r="AY26" i="60" a="1"/>
  <c r="AY26" i="60" s="1"/>
  <c r="AY27" i="60" a="1"/>
  <c r="AY27" i="60" s="1"/>
  <c r="AY28" i="60" a="1"/>
  <c r="AY28" i="60" s="1"/>
  <c r="AY30" i="60" a="1"/>
  <c r="AY30" i="60" s="1"/>
  <c r="AY32" i="60" a="1"/>
  <c r="AY32" i="60" s="1"/>
  <c r="AY33" i="60" a="1"/>
  <c r="AY33" i="60" s="1"/>
  <c r="AY34" i="60" a="1"/>
  <c r="AY34" i="60" s="1"/>
  <c r="AY37" i="60" a="1"/>
  <c r="AY37" i="60" s="1"/>
  <c r="AY38" i="60" a="1"/>
  <c r="AY38" i="60" s="1"/>
  <c r="AY39" i="60" a="1"/>
  <c r="AY39" i="60" s="1"/>
  <c r="AY40" i="60" a="1"/>
  <c r="AY40" i="60" s="1"/>
  <c r="AY41" i="60" a="1"/>
  <c r="AY41" i="60" s="1"/>
  <c r="AY42" i="60" a="1"/>
  <c r="AY42" i="60" s="1"/>
  <c r="AY44" i="60" a="1"/>
  <c r="AY44" i="60" s="1"/>
  <c r="AY45" i="60" a="1"/>
  <c r="AY45" i="60" s="1"/>
  <c r="AY46" i="60" a="1"/>
  <c r="AY46" i="60" s="1"/>
  <c r="AY47" i="60" a="1"/>
  <c r="AY47" i="60" s="1"/>
  <c r="AY48" i="60" a="1"/>
  <c r="AY48" i="60" s="1"/>
  <c r="AY49" i="60" a="1"/>
  <c r="AY49" i="60" s="1"/>
  <c r="AY50" i="60" a="1"/>
  <c r="AY50" i="60" s="1"/>
  <c r="AY51" i="60" a="1"/>
  <c r="AY51" i="60" s="1"/>
  <c r="AY52" i="60" a="1"/>
  <c r="AY52" i="60" s="1"/>
  <c r="AY53" i="60" a="1"/>
  <c r="AY53" i="60" s="1"/>
  <c r="AY54" i="60" a="1"/>
  <c r="AY54" i="60" s="1"/>
  <c r="AY55" i="60" a="1"/>
  <c r="AY55" i="60" s="1"/>
  <c r="AY56" i="60" a="1"/>
  <c r="AY56" i="60" s="1"/>
  <c r="AY57" i="60" a="1"/>
  <c r="AY57" i="60" s="1"/>
  <c r="AY58" i="60" a="1"/>
  <c r="AY58" i="60" s="1"/>
  <c r="AY61" i="60" a="1"/>
  <c r="AY61" i="60" s="1"/>
  <c r="AY63" i="60" a="1"/>
  <c r="AY63" i="60" s="1"/>
  <c r="AY64" i="60" a="1"/>
  <c r="AY64" i="60" s="1"/>
  <c r="AY66" i="60" a="1"/>
  <c r="AY66" i="60" s="1"/>
  <c r="AY67" i="60" a="1"/>
  <c r="AY67" i="60" s="1"/>
  <c r="AY69" i="60" a="1"/>
  <c r="AY69" i="60" s="1"/>
  <c r="AY70" i="60" a="1"/>
  <c r="AY70" i="60" s="1"/>
  <c r="AY71" i="60" a="1"/>
  <c r="AY71" i="60" s="1"/>
  <c r="AY72" i="60" a="1"/>
  <c r="AY72" i="60" s="1"/>
  <c r="AY73" i="60" a="1"/>
  <c r="AY73" i="60" s="1"/>
  <c r="AY74" i="60" a="1"/>
  <c r="AY74" i="60" s="1"/>
  <c r="AY75" i="60" a="1"/>
  <c r="AY75" i="60" s="1"/>
  <c r="AY76" i="60" a="1"/>
  <c r="AY76" i="60" s="1"/>
  <c r="AY77" i="60" a="1"/>
  <c r="AY77" i="60" s="1"/>
  <c r="AY78" i="60" a="1"/>
  <c r="AY78" i="60" s="1"/>
  <c r="AY80" i="60" a="1"/>
  <c r="AY80" i="60" s="1"/>
  <c r="AY82" i="60" a="1"/>
  <c r="AY82" i="60" s="1"/>
  <c r="AY83" i="60" a="1"/>
  <c r="AY83" i="60" s="1"/>
  <c r="AY84" i="60" a="1"/>
  <c r="AY84" i="60" s="1"/>
  <c r="AY86" i="60" a="1"/>
  <c r="AY86" i="60" s="1"/>
  <c r="AY87" i="60" a="1"/>
  <c r="AY87" i="60" s="1"/>
  <c r="AY89" i="60" a="1"/>
  <c r="AY89" i="60" s="1"/>
  <c r="AY90" i="60" a="1"/>
  <c r="AY90" i="60" s="1"/>
  <c r="AY91" i="60" a="1"/>
  <c r="AY91" i="60" s="1"/>
  <c r="AY92" i="60" a="1"/>
  <c r="AY92" i="60" s="1"/>
  <c r="AY93" i="60" a="1"/>
  <c r="AY93" i="60" s="1"/>
  <c r="AY94" i="60" a="1"/>
  <c r="AY94" i="60" s="1"/>
  <c r="AY95" i="60" a="1"/>
  <c r="AY95" i="60" s="1"/>
  <c r="AY96" i="60" a="1"/>
  <c r="AY96" i="60" s="1"/>
  <c r="AY97" i="60" a="1"/>
  <c r="AY97" i="60" s="1"/>
  <c r="AY98" i="60" a="1"/>
  <c r="AY98" i="60" s="1"/>
  <c r="AZ92" i="60" a="1"/>
  <c r="AZ92" i="60" s="1"/>
  <c r="AZ93" i="60" a="1"/>
  <c r="AZ93" i="60" s="1"/>
  <c r="AZ96" i="60" a="1"/>
  <c r="AZ96" i="60" s="1"/>
  <c r="AZ97" i="60" a="1"/>
  <c r="AZ97" i="60" s="1"/>
  <c r="AZ98" i="60" a="1"/>
  <c r="AZ98" i="60" s="1"/>
  <c r="BF32" i="60"/>
  <c r="BF46" i="60"/>
  <c r="BF58" i="60"/>
  <c r="BF91" i="60"/>
  <c r="BA93" i="60" l="1"/>
  <c r="BF93" i="60" s="1"/>
  <c r="AZ89" i="60" s="1" a="1"/>
  <c r="AZ89" i="60" s="1"/>
  <c r="BA89" i="60" s="1"/>
  <c r="BF89" i="60" s="1"/>
  <c r="BA92" i="60"/>
  <c r="BF92" i="60" s="1"/>
  <c r="AZ84" i="60" s="1" a="1"/>
  <c r="AZ84" i="60" s="1"/>
  <c r="BA84" i="60" s="1"/>
  <c r="BF84" i="60" s="1"/>
  <c r="AZ83" i="60" s="1" a="1"/>
  <c r="AZ83" i="60" s="1"/>
  <c r="BA83" i="60" s="1"/>
  <c r="BF83" i="60" s="1"/>
  <c r="AZ77" i="60" s="1" a="1"/>
  <c r="AZ77" i="60" s="1"/>
  <c r="BA77" i="60" s="1"/>
  <c r="BF77" i="60" s="1"/>
  <c r="BA97" i="60"/>
  <c r="BF97" i="60" s="1"/>
  <c r="AZ88" i="60" a="1"/>
  <c r="AZ88" i="60" s="1"/>
  <c r="BA88" i="60" s="1"/>
  <c r="BF88" i="60" s="1"/>
  <c r="AZ85" i="60" s="1" a="1"/>
  <c r="AZ85" i="60" s="1"/>
  <c r="BA85" i="60" s="1"/>
  <c r="BF85" i="60" s="1"/>
  <c r="BA98" i="60"/>
  <c r="BF98" i="60" s="1"/>
  <c r="BA96" i="60"/>
  <c r="BF96" i="60" s="1"/>
  <c r="AZ76" i="60" l="1" a="1"/>
  <c r="AZ76" i="60" s="1"/>
  <c r="BA76" i="60" s="1"/>
  <c r="BF76" i="60" s="1"/>
  <c r="AZ73" i="60" s="1" a="1"/>
  <c r="AZ73" i="60" s="1"/>
  <c r="BA73" i="60" s="1"/>
  <c r="BF73" i="60" s="1"/>
  <c r="AZ71" i="60" s="1" a="1"/>
  <c r="AZ71" i="60" s="1"/>
  <c r="BA71" i="60" s="1"/>
  <c r="BF71" i="60" s="1"/>
  <c r="AZ70" i="60" s="1" a="1"/>
  <c r="AZ70" i="60" s="1"/>
  <c r="BA70" i="60" s="1"/>
  <c r="BF70" i="60" s="1"/>
  <c r="AZ95" i="60" a="1"/>
  <c r="AZ95" i="60" s="1"/>
  <c r="BA95" i="60" s="1"/>
  <c r="BF95" i="60" s="1"/>
  <c r="AZ91" i="60" s="1" a="1"/>
  <c r="AZ91" i="60" s="1"/>
  <c r="BA91" i="60" s="1"/>
  <c r="AZ94" i="60" a="1"/>
  <c r="AZ94" i="60" s="1"/>
  <c r="BA94" i="60" s="1"/>
  <c r="BF94" i="60" s="1"/>
  <c r="AZ90" i="60" s="1" a="1"/>
  <c r="AZ90" i="60" s="1"/>
  <c r="BA90" i="60" s="1"/>
  <c r="BF90" i="60" s="1"/>
  <c r="AZ87" i="60" s="1" a="1"/>
  <c r="AZ87" i="60" s="1"/>
  <c r="BA87" i="60" s="1"/>
  <c r="BF87" i="60" s="1"/>
  <c r="AZ75" i="60" s="1" a="1"/>
  <c r="AZ75" i="60" s="1"/>
  <c r="BA75" i="60" s="1"/>
  <c r="BF75" i="60" s="1"/>
  <c r="AT23" i="60" s="1" a="1"/>
  <c r="AT23" i="60" s="1"/>
  <c r="AV23" i="60" s="1"/>
  <c r="AZ82" i="60" a="1"/>
  <c r="AZ82" i="60" s="1"/>
  <c r="BA82" i="60" s="1"/>
  <c r="BF82" i="60" s="1"/>
  <c r="AZ78" i="60" s="1" a="1"/>
  <c r="AZ78" i="60" s="1"/>
  <c r="BA78" i="60" s="1"/>
  <c r="BF78" i="60" s="1"/>
  <c r="AZ86" i="60" l="1" a="1"/>
  <c r="AZ86" i="60" s="1"/>
  <c r="BA86" i="60" s="1"/>
  <c r="BF86" i="60" s="1"/>
  <c r="AZ80" i="60" s="1" a="1"/>
  <c r="AZ80" i="60" s="1"/>
  <c r="BA80" i="60" s="1"/>
  <c r="BF80" i="60" s="1"/>
  <c r="AZ74" i="60" a="1"/>
  <c r="AZ74" i="60" s="1"/>
  <c r="BA74" i="60" s="1"/>
  <c r="BF74" i="60" s="1"/>
  <c r="AZ64" i="60" s="1" a="1"/>
  <c r="AZ64" i="60" s="1"/>
  <c r="BA64" i="60" s="1"/>
  <c r="BF64" i="60" s="1"/>
  <c r="AZ67" i="60" a="1"/>
  <c r="AZ67" i="60" s="1"/>
  <c r="BA67" i="60" s="1"/>
  <c r="BF67" i="60" s="1"/>
  <c r="AZ66" i="60" a="1"/>
  <c r="AZ66" i="60" s="1"/>
  <c r="BA66" i="60" s="1"/>
  <c r="BF66" i="60" s="1"/>
  <c r="AZ52" i="60" a="1"/>
  <c r="AZ52" i="60" s="1"/>
  <c r="BA52" i="60" s="1"/>
  <c r="BF52" i="60" s="1"/>
  <c r="AZ50" i="60" s="1" a="1"/>
  <c r="AZ50" i="60" s="1"/>
  <c r="BA50" i="60" s="1"/>
  <c r="BF50" i="60" s="1"/>
  <c r="AZ47" i="60" l="1" a="1"/>
  <c r="AZ47" i="60" s="1"/>
  <c r="BA47" i="60" s="1"/>
  <c r="BF47" i="60" s="1"/>
  <c r="AZ38" i="60" s="1" a="1"/>
  <c r="AZ38" i="60" s="1"/>
  <c r="BA38" i="60" s="1"/>
  <c r="BF38" i="60" s="1"/>
  <c r="AZ33" i="60" s="1" a="1"/>
  <c r="AZ33" i="60" s="1"/>
  <c r="BA33" i="60" s="1"/>
  <c r="BF33" i="60" s="1"/>
  <c r="AT26" i="60" a="1"/>
  <c r="AT26" i="60" s="1"/>
  <c r="AV26" i="60" s="1"/>
  <c r="AZ72" i="60" a="1"/>
  <c r="AZ72" i="60" s="1"/>
  <c r="BA72" i="60" s="1"/>
  <c r="BF72" i="60" s="1"/>
  <c r="AZ69" i="60" s="1" a="1"/>
  <c r="AZ69" i="60" s="1"/>
  <c r="BA69" i="60" s="1"/>
  <c r="BF69" i="60" s="1"/>
  <c r="AZ63" i="60" s="1" a="1"/>
  <c r="AZ63" i="60" s="1"/>
  <c r="BA63" i="60" s="1"/>
  <c r="BF63" i="60" s="1"/>
  <c r="AZ55" i="60" s="1" a="1"/>
  <c r="AZ55" i="60" s="1"/>
  <c r="BA55" i="60" s="1"/>
  <c r="BF55" i="60" s="1"/>
  <c r="AT24" i="60" a="1"/>
  <c r="AT24" i="60" s="1"/>
  <c r="AV24" i="60" s="1"/>
  <c r="AZ49" i="60" a="1"/>
  <c r="AZ49" i="60" s="1"/>
  <c r="BA49" i="60" s="1"/>
  <c r="BF49" i="60" s="1"/>
  <c r="AZ48" i="60" s="1" a="1"/>
  <c r="AZ48" i="60" s="1"/>
  <c r="BA48" i="60" s="1"/>
  <c r="BF48" i="60" s="1"/>
  <c r="AZ61" i="60" a="1"/>
  <c r="AZ61" i="60" s="1"/>
  <c r="BA61" i="60" s="1"/>
  <c r="BF61" i="60" s="1"/>
  <c r="AZ57" i="60" s="1" a="1"/>
  <c r="AZ57" i="60" s="1"/>
  <c r="BA57" i="60" s="1"/>
  <c r="BF57" i="60" s="1"/>
  <c r="AZ54" i="60" s="1" a="1"/>
  <c r="AZ54" i="60" s="1"/>
  <c r="BA54" i="60" s="1"/>
  <c r="BF54" i="60" s="1"/>
  <c r="AZ53" i="60" s="1" a="1"/>
  <c r="AZ53" i="60" s="1"/>
  <c r="BA53" i="60" s="1"/>
  <c r="BF53" i="60" s="1"/>
  <c r="AZ58" i="60" l="1" a="1"/>
  <c r="AZ58" i="60" s="1"/>
  <c r="BA58" i="60" s="1"/>
  <c r="AZ56" i="60" a="1"/>
  <c r="AZ56" i="60" s="1"/>
  <c r="BA56" i="60" s="1"/>
  <c r="BF56" i="60" s="1"/>
  <c r="AT27" i="60" s="1" a="1"/>
  <c r="AT27" i="60" s="1"/>
  <c r="AV27" i="60" s="1"/>
  <c r="AZ25" i="60" a="1"/>
  <c r="AZ25" i="60" s="1"/>
  <c r="BA25" i="60" s="1"/>
  <c r="BF25" i="60" s="1"/>
  <c r="AT29" i="60" s="1" a="1"/>
  <c r="AT29" i="60" s="1"/>
  <c r="AV29" i="60" s="1"/>
  <c r="AZ51" i="60" a="1"/>
  <c r="AZ51" i="60" s="1"/>
  <c r="BA51" i="60" s="1"/>
  <c r="BF51" i="60" s="1"/>
  <c r="AZ45" i="60" s="1" a="1"/>
  <c r="AZ45" i="60" s="1"/>
  <c r="BA45" i="60" s="1"/>
  <c r="BF45" i="60" s="1"/>
  <c r="AZ44" i="60" s="1" a="1"/>
  <c r="AZ44" i="60" s="1"/>
  <c r="BA44" i="60" s="1"/>
  <c r="BF44" i="60" s="1"/>
  <c r="AZ42" i="60" a="1"/>
  <c r="AZ42" i="60" s="1"/>
  <c r="BA42" i="60" s="1"/>
  <c r="BF42" i="60" s="1"/>
  <c r="AZ41" i="60" s="1" a="1"/>
  <c r="AZ41" i="60" s="1"/>
  <c r="BA41" i="60" s="1"/>
  <c r="BF41" i="60" s="1"/>
  <c r="AZ37" i="60" s="1" a="1"/>
  <c r="AZ37" i="60" s="1"/>
  <c r="BA37" i="60" s="1"/>
  <c r="BF37" i="60" s="1"/>
  <c r="AZ23" i="60" s="1" a="1"/>
  <c r="AZ23" i="60" s="1"/>
  <c r="BA23" i="60" s="1"/>
  <c r="BF23" i="60" s="1"/>
  <c r="AZ46" i="60" a="1"/>
  <c r="AZ46" i="60" s="1"/>
  <c r="BA46" i="60" s="1"/>
  <c r="AZ39" i="60" l="1" a="1"/>
  <c r="AZ39" i="60" s="1"/>
  <c r="BA39" i="60" s="1"/>
  <c r="BF39" i="60" s="1"/>
  <c r="AZ32" i="60" s="1" a="1"/>
  <c r="AZ32" i="60" s="1"/>
  <c r="BA32" i="60" s="1"/>
  <c r="AZ40" i="60" a="1"/>
  <c r="AZ40" i="60" s="1"/>
  <c r="BA40" i="60" s="1"/>
  <c r="BF40" i="60" s="1"/>
  <c r="AZ34" i="60" s="1" a="1"/>
  <c r="AZ34" i="60" s="1"/>
  <c r="BA34" i="60" s="1"/>
  <c r="BF34" i="60" s="1"/>
  <c r="AZ26" i="60" s="1" a="1"/>
  <c r="AZ26" i="60" s="1"/>
  <c r="BA26" i="60" s="1"/>
  <c r="BF26" i="60" s="1"/>
  <c r="AZ24" i="60" s="1" a="1"/>
  <c r="AZ24" i="60" s="1"/>
  <c r="BA24" i="60" s="1"/>
  <c r="BF24" i="60" s="1"/>
  <c r="AZ30" i="60" l="1" a="1"/>
  <c r="AZ30" i="60" s="1"/>
  <c r="BA30" i="60" s="1"/>
  <c r="BF30" i="60" s="1"/>
  <c r="AZ27" i="60" s="1" a="1"/>
  <c r="AZ27" i="60" s="1"/>
  <c r="BA27" i="60" s="1"/>
  <c r="BF27" i="60" s="1"/>
  <c r="AZ81" i="60" a="1"/>
  <c r="AZ81" i="60" s="1"/>
  <c r="AY81" i="60" a="1"/>
  <c r="AY81" i="60" s="1"/>
  <c r="AZ28" i="60" l="1" a="1"/>
  <c r="AZ28" i="60" s="1"/>
  <c r="BA28" i="60" s="1"/>
  <c r="BF28" i="60" s="1"/>
  <c r="AT30" i="60" s="1" a="1"/>
  <c r="AT30" i="60" s="1"/>
  <c r="AV30" i="60" s="1"/>
  <c r="BA81" i="60"/>
  <c r="BF81" i="60" s="1"/>
  <c r="AZ79" i="60" l="1" a="1"/>
  <c r="AZ79" i="60" s="1"/>
  <c r="BA79" i="60" s="1"/>
  <c r="BF79" i="60" s="1"/>
  <c r="AZ68" i="60" l="1" a="1"/>
  <c r="AZ68" i="60" s="1"/>
  <c r="BA68" i="60" s="1"/>
  <c r="BF68" i="60" s="1"/>
  <c r="AZ65" i="60" s="1" a="1"/>
  <c r="AZ65" i="60" s="1"/>
  <c r="BA65" i="60" s="1"/>
  <c r="BF65" i="60" s="1"/>
  <c r="AZ62" i="60" s="1" a="1"/>
  <c r="AZ62" i="60" s="1"/>
  <c r="BA62" i="60" s="1"/>
  <c r="BF62" i="60" s="1"/>
  <c r="AZ59" i="60" s="1" a="1"/>
  <c r="AZ59" i="60" s="1"/>
  <c r="BA59" i="60" s="1"/>
  <c r="BF59" i="60" s="1"/>
  <c r="AT25" i="60" a="1"/>
  <c r="AT25" i="60" s="1"/>
  <c r="AV25" i="60" s="1"/>
  <c r="AZ60" i="60" l="1" a="1"/>
  <c r="AZ60" i="60" s="1"/>
  <c r="BA60" i="60" s="1"/>
  <c r="BF60" i="60" s="1"/>
  <c r="AZ43" i="60" s="1" a="1"/>
  <c r="AZ43" i="60" s="1"/>
  <c r="BA43" i="60" s="1"/>
  <c r="BF43" i="60" s="1"/>
  <c r="AT28" i="60" l="1" a="1"/>
  <c r="AT28" i="60" s="1"/>
  <c r="AV28" i="60" s="1"/>
  <c r="AZ36" i="60" a="1"/>
  <c r="AZ36" i="60" s="1"/>
  <c r="BA36" i="60" s="1"/>
  <c r="BF36" i="60" s="1"/>
  <c r="AZ35" i="60" s="1" a="1"/>
  <c r="AZ35" i="60" s="1"/>
  <c r="BA35" i="60" s="1"/>
  <c r="BF35" i="60" s="1"/>
  <c r="AZ31" i="60" l="1" a="1"/>
  <c r="AZ31" i="60" s="1"/>
  <c r="BA31" i="60" s="1"/>
  <c r="BF31" i="60" s="1"/>
  <c r="AO1" i="60" a="1"/>
  <c r="AO1" i="60" s="1"/>
  <c r="AO29" i="60" l="1" a="1"/>
  <c r="AO29" i="60" s="1"/>
  <c r="AP29" i="60" s="1"/>
  <c r="AO30" i="60" a="1"/>
  <c r="AO30" i="60" s="1"/>
  <c r="AP30" i="60" s="1"/>
  <c r="AO23" i="60" a="1"/>
  <c r="AO23" i="60" s="1"/>
  <c r="AP23" i="60" s="1"/>
  <c r="AO24" i="60" a="1"/>
  <c r="AO24" i="60" s="1"/>
  <c r="AP24" i="60" s="1"/>
  <c r="AO25" i="60" a="1"/>
  <c r="AO25" i="60" s="1"/>
  <c r="AP25" i="60" s="1"/>
  <c r="AO26" i="60" a="1"/>
  <c r="AO26" i="60" s="1"/>
  <c r="AP26" i="60" s="1"/>
  <c r="AZ29" i="60" a="1"/>
  <c r="AZ29" i="60" s="1"/>
  <c r="BA29" i="60" s="1"/>
  <c r="BF29" i="60" s="1"/>
  <c r="AO27" i="60" a="1"/>
  <c r="AO27" i="60" s="1"/>
  <c r="AP27" i="60" s="1"/>
  <c r="AO28" i="60" l="1" a="1"/>
  <c r="AO28" i="60" s="1"/>
  <c r="AP28" i="60" s="1"/>
  <c r="AK23" i="60" s="1" a="1"/>
  <c r="AK23" i="60" s="1"/>
  <c r="AT31" i="60" a="1"/>
  <c r="AT31" i="60" s="1"/>
  <c r="AV31" i="60" s="1"/>
  <c r="AK25" i="60" l="1" a="1"/>
  <c r="AK25" i="60" s="1"/>
  <c r="AK24" i="60" a="1"/>
  <c r="AK24" i="60" s="1"/>
  <c r="AK26" i="60" a="1"/>
  <c r="AK26" i="60" s="1"/>
  <c r="AK21" i="6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<sst xmlns="http://schemas.openxmlformats.org/spreadsheetml/2006/main" count="241" uniqueCount="70">
  <si>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</si>
  <si>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</si>
  <si>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</si>
  <si>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</si>
  <si>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</si>
  <si>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</si>
  <si>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</si>
  <si>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</si>
  <si>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</si>
  <si>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</si>
  <si>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</si>
  <si>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</si>
  <si>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</si>
  <si>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Tỷ lệ dự phòng</t>
  </si>
  <si>
    <t>Dự phòng lũy kế</t>
  </si>
  <si>
    <t>Mã hàng</t>
  </si>
  <si>
    <t>Ngày dự phòng</t>
  </si>
  <si>
    <t>Ngày tồn min</t>
  </si>
  <si>
    <t>Ngày tồn max</t>
  </si>
  <si>
    <t>Ngày nhập</t>
  </si>
  <si>
    <t>GT tồn</t>
  </si>
  <si>
    <t>Ngày tồn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</si>
  <si>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</si>
  <si>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</si>
  <si>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</si>
  <si>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</si>
  <si>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</si>
  <si>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</si>
  <si>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</si>
  <si>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</si>
  <si>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</si>
  <si>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</si>
  <si>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</si>
  <si>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</si>
  <si>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</si>
  <si>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</si>
  <si>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</si>
  <si>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</si>
  <si>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</si>
  <si>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</si>
  <si>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</si>
  <si>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</si>
  <si>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</si>
  <si>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Gtri dự phòng</t>
  </si>
  <si>
    <t>Tồn kho đầu ngày</t>
  </si>
  <si>
    <t>Giá trị tồn đầu ngày</t>
  </si>
  <si>
    <t>Giá trị bình quân đầu ngày</t>
  </si>
  <si>
    <t>Giá nhập / Giá vốn</t>
  </si>
  <si>
    <t>Mặt hàng</t>
  </si>
  <si>
    <t>HH1</t>
  </si>
  <si>
    <t>TP2</t>
  </si>
  <si>
    <t>TP1</t>
  </si>
  <si>
    <t>NL1</t>
  </si>
  <si>
    <t>NL2</t>
  </si>
  <si>
    <t>Xuất</t>
  </si>
  <si>
    <t>Nhập</t>
  </si>
  <si>
    <t>Giá trị tồn</t>
  </si>
  <si>
    <t>Tỷ lệ</t>
  </si>
  <si>
    <t>Row Labels</t>
  </si>
  <si>
    <t>Grand Total</t>
  </si>
  <si>
    <t>Column Labels</t>
  </si>
  <si>
    <t>Dự phòng</t>
  </si>
  <si>
    <t>4C68A711-89BE-412A-BD2D-CB33771CC62D</t>
  </si>
  <si>
    <t>EASY-33329183463</t>
  </si>
  <si>
    <t>TC02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</si>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</sst>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lt;-1000]\-#,##0.0,,&quot;tr&quot;;[&lt;1000]#,##0;#,##0.0,,&quot;tr&quot;"/>
    <numFmt numFmtId="169" formatCode="dd/mm/yyyy"/>
  </numFmts>
  <fonts count="22"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8"/>
      <color theme="8"/>
      <name val="Segoe UI Light"/>
      <family val="2"/>
      <scheme val="minor"/>
    </font>
    <font>
      <sz val="8"/>
      <color theme="9"/>
      <name val="Segoe UI Light"/>
      <family val="2"/>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1"/>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8">
    <xf numFmtId="0" fontId="0" fillId="0" borderId="0" xfId="0"/>
    <xf numFmtId="0" fontId="5" fillId="0" borderId="0" xfId="0" applyFont="1" applyAlignment="1" applyProtection="1">
      <alignment vertical="center"/>
      <protection locked="0" hidden="1"/>
    </xf>
    <xf numFmtId="9" fontId="5" fillId="0" borderId="0" xfId="0" applyNumberFormat="1" applyFont="1" applyAlignment="1" applyProtection="1">
      <alignment vertical="center"/>
      <protection locked="0" hidden="1"/>
    </xf>
    <xf numFmtId="0" fontId="11"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6" fillId="0" borderId="0" xfId="0" applyFont="1" applyAlignment="1" applyProtection="1">
      <alignment horizontal="right" vertical="center"/>
      <protection locked="0"/>
    </xf>
    <xf numFmtId="0" fontId="1" fillId="0" borderId="0" xfId="0" applyFont="1" applyAlignment="1">
      <alignment horizontal="left" vertical="center"/>
    </xf>
    <xf numFmtId="0" fontId="15"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167" fontId="0" fillId="0" borderId="0" xfId="0" applyNumberFormat="1" applyAlignment="1" applyProtection="1">
      <alignment vertical="center"/>
      <protection locked="0"/>
    </xf>
    <xf numFmtId="167" fontId="14"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4"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6" fontId="5" fillId="0" borderId="0" xfId="0" applyNumberFormat="1" applyFont="1" applyAlignment="1" applyProtection="1">
      <alignment vertical="center"/>
      <protection locked="0" hidden="1"/>
    </xf>
    <xf numFmtId="166" fontId="7" fillId="2" borderId="0" xfId="0" applyNumberFormat="1" applyFont="1" applyFill="1" applyAlignment="1" applyProtection="1">
      <alignment horizontal="center" vertical="center"/>
      <protection locked="0" hidden="1"/>
    </xf>
    <xf numFmtId="0" fontId="10" fillId="0" borderId="2" xfId="0" applyFont="1" applyBorder="1" applyAlignment="1" applyProtection="1">
      <alignment vertical="center"/>
      <protection locked="0" hidden="1"/>
    </xf>
    <xf numFmtId="0" fontId="10" fillId="0" borderId="2" xfId="1" applyNumberFormat="1" applyFont="1" applyFill="1" applyBorder="1" applyAlignment="1" applyProtection="1">
      <alignment vertical="center"/>
      <protection locked="0" hidden="1"/>
    </xf>
    <xf numFmtId="0" fontId="10" fillId="0" borderId="0" xfId="1" applyNumberFormat="1" applyFont="1" applyFill="1" applyBorder="1" applyAlignment="1" applyProtection="1">
      <alignment vertical="center"/>
      <protection locked="0" hidden="1"/>
    </xf>
    <xf numFmtId="165" fontId="6" fillId="0" borderId="1" xfId="0" applyNumberFormat="1" applyFont="1" applyBorder="1" applyAlignment="1" applyProtection="1">
      <alignment vertical="center"/>
      <protection locked="0" hidden="1"/>
    </xf>
    <xf numFmtId="9" fontId="9" fillId="0" borderId="0" xfId="2" applyFont="1" applyBorder="1" applyAlignment="1" applyProtection="1">
      <alignment vertical="center"/>
      <protection locked="0" hidden="1"/>
    </xf>
    <xf numFmtId="9" fontId="9" fillId="0" borderId="0" xfId="2" applyFont="1" applyAlignment="1" applyProtection="1">
      <alignment vertical="center"/>
      <protection locked="0" hidden="1"/>
    </xf>
    <xf numFmtId="0" fontId="0" fillId="0" borderId="0" xfId="0" pivotButton="1"/>
    <xf numFmtId="165" fontId="0" fillId="0" borderId="0" xfId="0" applyNumberFormat="1" applyAlignment="1">
      <alignment horizontal="left"/>
    </xf>
    <xf numFmtId="9" fontId="0" fillId="0" borderId="0" xfId="0" applyNumberFormat="1"/>
    <xf numFmtId="167" fontId="5" fillId="0" borderId="0" xfId="0" applyNumberFormat="1" applyFont="1" applyAlignment="1" applyProtection="1">
      <alignment vertical="center"/>
      <protection locked="0" hidden="1"/>
    </xf>
    <xf numFmtId="167" fontId="5" fillId="0" borderId="0" xfId="0" applyNumberFormat="1" applyFont="1" applyAlignment="1" applyProtection="1">
      <alignment horizontal="left" vertical="center"/>
      <protection locked="0" hidden="1"/>
    </xf>
    <xf numFmtId="167" fontId="5" fillId="0" borderId="0" xfId="1" applyNumberFormat="1" applyFont="1" applyAlignment="1" applyProtection="1">
      <alignment vertical="center"/>
      <protection locked="0" hidden="1"/>
    </xf>
    <xf numFmtId="167" fontId="8" fillId="0" borderId="0" xfId="1" applyNumberFormat="1" applyFont="1" applyAlignment="1" applyProtection="1">
      <alignment horizontal="center" vertical="center"/>
      <protection locked="0" hidden="1"/>
    </xf>
    <xf numFmtId="169" fontId="7" fillId="2" borderId="0" xfId="0" applyNumberFormat="1" applyFont="1" applyFill="1" applyAlignment="1" applyProtection="1">
      <alignment horizontal="center" vertical="center"/>
      <protection locked="0" hidden="1"/>
    </xf>
    <xf numFmtId="167" fontId="12" fillId="0" borderId="0" xfId="1" applyNumberFormat="1" applyFont="1" applyAlignment="1" applyProtection="1">
      <alignment vertical="center"/>
      <protection locked="0" hidden="1"/>
    </xf>
    <xf numFmtId="167" fontId="0" fillId="0" borderId="0" xfId="0" applyNumberFormat="1"/>
    <xf numFmtId="167" fontId="9" fillId="0" borderId="0" xfId="1" applyNumberFormat="1" applyFont="1" applyAlignment="1" applyProtection="1">
      <alignment vertical="center"/>
      <protection locked="0" hidden="1"/>
    </xf>
    <xf numFmtId="169" fontId="5" fillId="0" borderId="0" xfId="0" applyNumberFormat="1" applyFont="1" applyAlignment="1" applyProtection="1">
      <alignment vertical="center"/>
      <protection locked="0" hidden="1"/>
    </xf>
    <xf numFmtId="167" fontId="9" fillId="0" borderId="2" xfId="1" applyNumberFormat="1" applyFont="1" applyBorder="1" applyAlignment="1" applyProtection="1">
      <alignment vertical="center"/>
      <protection locked="0" hidden="1"/>
    </xf>
    <xf numFmtId="167" fontId="6" fillId="0" borderId="2" xfId="1" applyNumberFormat="1" applyFont="1" applyBorder="1" applyAlignment="1" applyProtection="1">
      <alignment vertical="center"/>
      <protection locked="0" hidden="1"/>
    </xf>
    <xf numFmtId="167" fontId="13" fillId="0" borderId="2" xfId="1" applyNumberFormat="1" applyFont="1" applyFill="1" applyBorder="1" applyAlignment="1" applyProtection="1">
      <alignment vertical="center"/>
      <protection locked="0" hidden="1"/>
    </xf>
    <xf numFmtId="169" fontId="6" fillId="0" borderId="2" xfId="0" applyNumberFormat="1" applyFont="1" applyBorder="1" applyAlignment="1" applyProtection="1">
      <alignment vertical="center"/>
      <protection locked="0" hidden="1"/>
    </xf>
    <xf numFmtId="167" fontId="5" fillId="0" borderId="2" xfId="1" applyNumberFormat="1" applyFont="1" applyFill="1" applyBorder="1" applyAlignment="1" applyProtection="1">
      <alignment vertical="center"/>
      <protection locked="0" hidden="1"/>
    </xf>
    <xf numFmtId="167" fontId="6" fillId="0" borderId="2" xfId="1" applyNumberFormat="1" applyFont="1" applyFill="1" applyBorder="1" applyAlignment="1" applyProtection="1">
      <alignment vertical="center"/>
      <protection locked="0" hidden="1"/>
    </xf>
    <xf numFmtId="167" fontId="9" fillId="0" borderId="2" xfId="1" applyNumberFormat="1" applyFont="1" applyFill="1" applyBorder="1" applyAlignment="1" applyProtection="1">
      <alignment vertical="center"/>
      <protection locked="0" hidden="1"/>
    </xf>
    <xf numFmtId="167" fontId="20" fillId="0" borderId="0" xfId="0" applyNumberFormat="1" applyFont="1"/>
    <xf numFmtId="167" fontId="5" fillId="0" borderId="0" xfId="0" applyNumberFormat="1" applyFont="1" applyProtection="1">
      <protection locked="0" hidden="1"/>
    </xf>
    <xf numFmtId="167" fontId="5" fillId="0" borderId="0" xfId="1" applyNumberFormat="1" applyFont="1" applyFill="1" applyBorder="1" applyAlignment="1" applyProtection="1">
      <alignment vertical="center"/>
      <protection locked="0" hidden="1"/>
    </xf>
    <xf numFmtId="167" fontId="6" fillId="0" borderId="0" xfId="1" applyNumberFormat="1" applyFont="1" applyFill="1" applyBorder="1" applyAlignment="1" applyProtection="1">
      <alignment vertical="center"/>
      <protection locked="0" hidden="1"/>
    </xf>
    <xf numFmtId="0" fontId="21" fillId="0" borderId="0" xfId="0" applyFont="1" applyAlignment="1" applyProtection="1">
      <alignment vertical="center"/>
      <protection locked="0"/>
    </xf>
  </cellXfs>
  <cellStyles count="3">
    <cellStyle name="Comma" xfId="1" builtinId="3"/>
    <cellStyle name="Normal" xfId="0" builtinId="0"/>
    <cellStyle name="Percent" xfId="2" builtinId="5"/>
  </cellStyles>
  <dxfs count="6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0"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6"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font>
        <color theme="9" tint="-0.499984740745262"/>
      </font>
    </dxf>
    <dxf>
      <font>
        <b/>
      </font>
    </dxf>
    <dxf>
      <numFmt numFmtId="168" formatCode="[&lt;-1000]\-#,##0.0,,&quot;tr&quot;;[&lt;1000]#,##0;#,##0.0,,&quot;tr&quot;"/>
    </dxf>
    <dxf>
      <numFmt numFmtId="167" formatCode="_(#,##0_);_(\(#,##0\);_(\-_);_(@_)"/>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59"/>
      <tableStyleElement type="headerRow" dxfId="58"/>
    </tableStyle>
    <tableStyle name="SlicerStyleLight1 2 2" pivot="0" table="0" count="10" xr9:uid="{9DB8D611-4D15-4128-AF8D-E3329BCC5BCE}">
      <tableStyleElement type="wholeTable" dxfId="57"/>
      <tableStyleElement type="headerRow" dxfId="56"/>
    </tableStyle>
    <tableStyle name="TimeSlicerStyleLight1 2" pivot="0" table="0" count="9" xr9:uid="{58382D9D-B456-41C4-B229-09D2A872184E}">
      <tableStyleElement type="wholeTable" dxfId="55"/>
      <tableStyleElement type="headerRow" dxfId="5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[09. EASY-TC02 - Dự phòng tồn kho.xlsm]Dự phòng tồn kho!PivotTable1</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'Dự phòng tồn kho'!$C$22:$C$23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kho'!$C$24:$C$27</c:f>
              <c:numCache>
                <c:formatCode>_(#,##0_);_(\(#,##0\);_(\-_);_(@_)</c:formatCode>
                <c:ptCount val="3"/>
                <c:pt idx="0">
                  <c:v>304294.31268656714</c:v>
                </c:pt>
                <c:pt idx="2">
                  <c:v>71284.637313432802</c:v>
                </c:pt>
              </c:numCache>
            </c:numRef>
          </c:val>
          <c:extLst>
            <c:ext xmlns:c16="http://schemas.microsoft.com/office/drawing/2014/chart" uri="{C3380CC4-5D6E-409C-BE32-E72D297353CC}">
              <c16:uniqueId val="{00000000-0E30-40D3-93A4-07A751497685}"/>
            </c:ext>
          </c:extLst>
        </c:ser>
        <c:ser>
          <c:idx val="1"/>
          <c:order val="1"/>
          <c:tx>
            <c:strRef>
              <c:f>'Dự phòng tồn kho'!$D$22:$D$23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kho'!$D$24:$D$27</c:f>
              <c:numCache>
                <c:formatCode>_(#,##0_);_(\(#,##0\);_(\-_);_(@_)</c:formatCode>
                <c:ptCount val="3"/>
                <c:pt idx="0">
                  <c:v>1585928.3</c:v>
                </c:pt>
                <c:pt idx="1">
                  <c:v>3878156.8210526318</c:v>
                </c:pt>
                <c:pt idx="2">
                  <c:v>5461230.0948885884</c:v>
                </c:pt>
              </c:numCache>
            </c:numRef>
          </c:val>
          <c:extLst>
            <c:ext xmlns:c16="http://schemas.microsoft.com/office/drawing/2014/chart" uri="{C3380CC4-5D6E-409C-BE32-E72D297353CC}">
              <c16:uniqueId val="{00000002-0E30-40D3-93A4-07A751497685}"/>
            </c:ext>
          </c:extLst>
        </c:ser>
        <c:ser>
          <c:idx val="2"/>
          <c:order val="2"/>
          <c:tx>
            <c:strRef>
              <c:f>'Dự phòng tồn kho'!$E$22:$E$23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kho'!$E$24:$E$27</c:f>
              <c:numCache>
                <c:formatCode>_(#,##0_);_(\(#,##0\);_(\-_);_(@_)</c:formatCode>
                <c:ptCount val="3"/>
                <c:pt idx="0">
                  <c:v>1830850.8074074076</c:v>
                </c:pt>
                <c:pt idx="1">
                  <c:v>994140.11321242829</c:v>
                </c:pt>
                <c:pt idx="2">
                  <c:v>719490.96854972269</c:v>
                </c:pt>
              </c:numCache>
            </c:numRef>
          </c:val>
          <c:extLst>
            <c:ext xmlns:c16="http://schemas.microsoft.com/office/drawing/2014/chart" uri="{C3380CC4-5D6E-409C-BE32-E72D297353CC}">
              <c16:uniqueId val="{00000003-0E30-40D3-93A4-07A751497685}"/>
            </c:ext>
          </c:extLst>
        </c:ser>
        <c:dLbls>
          <c:dLblPos val="ctr"/>
          <c:showLegendKey val="0"/>
          <c:showVal val="1"/>
          <c:showCatName val="0"/>
          <c:showSerName val="0"/>
          <c:showPercent val="0"/>
          <c:showBubbleSize val="0"/>
        </c:dLbls>
        <c:gapWidth val="150"/>
        <c:overlap val="100"/>
        <c:axId val="1455617984"/>
        <c:axId val="1455614144"/>
      </c:barChart>
      <c:catAx>
        <c:axId val="145561798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55614144"/>
        <c:crosses val="autoZero"/>
        <c:auto val="1"/>
        <c:lblAlgn val="ctr"/>
        <c:lblOffset val="100"/>
        <c:noMultiLvlLbl val="0"/>
      </c:catAx>
      <c:valAx>
        <c:axId val="1455614144"/>
        <c:scaling>
          <c:orientation val="minMax"/>
        </c:scaling>
        <c:delete val="1"/>
        <c:axPos val="l"/>
        <c:numFmt formatCode="_(#,##0_);_(\(#,##0\);_(\-_);_(@_)" sourceLinked="1"/>
        <c:majorTickMark val="none"/>
        <c:minorTickMark val="none"/>
        <c:tickLblPos val="nextTo"/>
        <c:crossAx val="1455617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[09. EASY-TC02 - Dự phòng tồn kho.xlsm]Dự phòng tồn kho!PivotTable2</c:name>
    <c:fmtId val="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'Dự phòng tồn kho'!$S$22:$S$23</c:f>
              <c:strCache>
                <c:ptCount val="1"/>
                <c:pt idx="0">
                  <c:v>HH1</c:v>
                </c:pt>
              </c:strCache>
            </c:strRef>
          </c:tx>
          <c:spPr>
            <a:ln w="28575" cap="rnd">
              <a:solidFill>
                <a:schemeClr val="accent1"/>
              </a:solidFill>
              <a:round/>
            </a:ln>
            <a:effectLst/>
          </c:spPr>
          <c:marker>
            <c:symbol val="none"/>
          </c:marker>
          <c:cat>
            <c:strRef>
              <c:f>'Dự phòng tồn kho'!$R$24:$R$27</c:f>
              <c:strCache>
                <c:ptCount val="3"/>
                <c:pt idx="0">
                  <c:v>03-2025</c:v>
                </c:pt>
                <c:pt idx="1">
                  <c:v>04-2025</c:v>
                </c:pt>
                <c:pt idx="2">
                  <c:v>05-2025</c:v>
                </c:pt>
              </c:strCache>
            </c:strRef>
          </c:cat>
          <c:val>
            <c:numRef>
              <c:f>'Dự phòng tồn kho'!$S$24:$S$27</c:f>
              <c:numCache>
                <c:formatCode>0%</c:formatCode>
                <c:ptCount val="3"/>
                <c:pt idx="0">
                  <c:v>3.2777378981014696E-2</c:v>
                </c:pt>
                <c:pt idx="1">
                  <c:v>0</c:v>
                </c:pt>
                <c:pt idx="2">
                  <c:v>1.1836542200675535E-2</c:v>
                </c:pt>
              </c:numCache>
            </c:numRef>
          </c:val>
          <c:smooth val="0"/>
          <c:extLst>
            <c:ext xmlns:c16="http://schemas.microsoft.com/office/drawing/2014/chart" uri="{C3380CC4-5D6E-409C-BE32-E72D297353CC}">
              <c16:uniqueId val="{00000000-989D-46FC-8BF4-25A9B609D97F}"/>
            </c:ext>
          </c:extLst>
        </c:ser>
        <c:ser>
          <c:idx val="1"/>
          <c:order val="1"/>
          <c:tx>
            <c:strRef>
              <c:f>'Dự phòng tồn kho'!$T$22:$T$23</c:f>
              <c:strCache>
                <c:ptCount val="1"/>
                <c:pt idx="0">
                  <c:v>NL1</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tồn kho'!$R$24:$R$27</c:f>
              <c:strCache>
                <c:ptCount val="3"/>
                <c:pt idx="0">
                  <c:v>03-2025</c:v>
                </c:pt>
                <c:pt idx="1">
                  <c:v>04-2025</c:v>
                </c:pt>
                <c:pt idx="2">
                  <c:v>05-2025</c:v>
                </c:pt>
              </c:strCache>
            </c:strRef>
          </c:cat>
          <c:val>
            <c:numRef>
              <c:f>'Dự phòng tồn kho'!$T$24:$T$27</c:f>
              <c:numCache>
                <c:formatCode>0%</c:formatCode>
                <c:ptCount val="3"/>
                <c:pt idx="0">
                  <c:v>9.0603961548819639E-2</c:v>
                </c:pt>
                <c:pt idx="1">
                  <c:v>0.25903116262518511</c:v>
                </c:pt>
                <c:pt idx="2">
                  <c:v>0.30424490837115475</c:v>
                </c:pt>
              </c:numCache>
            </c:numRef>
          </c:val>
          <c:smooth val="0"/>
          <c:extLst>
            <c:ext xmlns:c16="http://schemas.microsoft.com/office/drawing/2014/chart" uri="{C3380CC4-5D6E-409C-BE32-E72D297353CC}">
              <c16:uniqueId val="{00000002-989D-46FC-8BF4-25A9B609D97F}"/>
            </c:ext>
          </c:extLst>
        </c:ser>
        <c:ser>
          <c:idx val="2"/>
          <c:order val="2"/>
          <c:tx>
            <c:strRef>
              <c:f>'Dự phòng tồn kho'!$U$22:$U$23</c:f>
              <c:strCache>
                <c:ptCount val="1"/>
                <c:pt idx="0">
                  <c:v>NL2</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tồn kho'!$R$24:$R$27</c:f>
              <c:strCache>
                <c:ptCount val="3"/>
                <c:pt idx="0">
                  <c:v>03-2025</c:v>
                </c:pt>
                <c:pt idx="1">
                  <c:v>04-2025</c:v>
                </c:pt>
                <c:pt idx="2">
                  <c:v>05-2025</c:v>
                </c:pt>
              </c:strCache>
            </c:strRef>
          </c:cat>
          <c:val>
            <c:numRef>
              <c:f>'Dự phòng tồn kho'!$U$24:$U$27</c:f>
              <c:numCache>
                <c:formatCode>0%</c:formatCode>
                <c:ptCount val="3"/>
                <c:pt idx="0">
                  <c:v>9.3808358983307111E-2</c:v>
                </c:pt>
                <c:pt idx="1">
                  <c:v>0.10603512694076912</c:v>
                </c:pt>
                <c:pt idx="2">
                  <c:v>6.3336626279212591E-2</c:v>
                </c:pt>
              </c:numCache>
            </c:numRef>
          </c:val>
          <c:smooth val="0"/>
          <c:extLst>
            <c:ext xmlns:c16="http://schemas.microsoft.com/office/drawing/2014/chart" uri="{C3380CC4-5D6E-409C-BE32-E72D297353CC}">
              <c16:uniqueId val="{00000003-989D-46FC-8BF4-25A9B609D97F}"/>
            </c:ext>
          </c:extLst>
        </c:ser>
        <c:dLbls>
          <c:showLegendKey val="0"/>
          <c:showVal val="0"/>
          <c:showCatName val="0"/>
          <c:showSerName val="0"/>
          <c:showPercent val="0"/>
          <c:showBubbleSize val="0"/>
        </c:dLbls>
        <c:smooth val="0"/>
        <c:axId val="1455595904"/>
        <c:axId val="1455582464"/>
      </c:lineChart>
      <c:catAx>
        <c:axId val="145559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582464"/>
        <c:crosses val="autoZero"/>
        <c:auto val="1"/>
        <c:lblAlgn val="ctr"/>
        <c:lblOffset val="100"/>
        <c:noMultiLvlLbl val="0"/>
      </c:catAx>
      <c:valAx>
        <c:axId val="145558246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595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REF!"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firstButton="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38</xdr:col>
          <xdr:colOff>171450</xdr:colOff>
          <xdr:row>0</xdr:row>
          <xdr:rowOff>85725</xdr:rowOff>
        </xdr:from>
        <xdr:to>
          <xdr:col>39</xdr:col>
          <xdr:colOff>657225</xdr:colOff>
          <xdr:row>1</xdr:row>
          <xdr:rowOff>114300</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4295775" y="85725"/>
              <a:ext cx="1104900" cy="257175"/>
              <a:chOff x="771525" y="1314450"/>
              <a:chExt cx="1104900" cy="257175"/>
            </a:xfrm>
          </xdr:grpSpPr>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771525" y="1314450"/>
                <a:ext cx="47625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1400175" y="1314450"/>
                <a:ext cx="47625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33</xdr:col>
          <xdr:colOff>47626</xdr:colOff>
          <xdr:row>0</xdr:row>
          <xdr:rowOff>66675</xdr:rowOff>
        </xdr:from>
        <xdr:to>
          <xdr:col>36</xdr:col>
          <xdr:colOff>857250</xdr:colOff>
          <xdr:row>1</xdr:row>
          <xdr:rowOff>200025</xdr:rowOff>
        </xdr:to>
        <xdr:grpSp>
          <xdr:nvGrpSpPr>
            <xdr:cNvPr id="18" name="Group 17">
              <a:extLst>
                <a:ext uri="{FF2B5EF4-FFF2-40B4-BE49-F238E27FC236}">
                  <a16:creationId xmlns:a16="http://schemas.microsoft.com/office/drawing/2014/main" id="{00000000-0008-0000-1200-000012000000}"/>
                </a:ext>
              </a:extLst>
            </xdr:cNvPr>
            <xdr:cNvGrpSpPr/>
          </xdr:nvGrpSpPr>
          <xdr:grpSpPr>
            <a:xfrm>
              <a:off x="238126" y="66675"/>
              <a:ext cx="3695699" cy="361950"/>
              <a:chOff x="6162676" y="3409950"/>
              <a:chExt cx="3695699" cy="361950"/>
            </a:xfrm>
          </xdr:grpSpPr>
          <xdr:grpSp>
            <xdr:nvGrpSpPr>
              <xdr:cNvPr id="19" name="Group 18">
                <a:extLst>
                  <a:ext uri="{FF2B5EF4-FFF2-40B4-BE49-F238E27FC236}">
                    <a16:creationId xmlns:a16="http://schemas.microsoft.com/office/drawing/2014/main" id="{00000000-0008-0000-1200-000013000000}"/>
                  </a:ext>
                </a:extLst>
              </xdr:cNvPr>
              <xdr:cNvGrpSpPr/>
            </xdr:nvGrpSpPr>
            <xdr:grpSpPr>
              <a:xfrm>
                <a:off x="7867650" y="3409950"/>
                <a:ext cx="1990725" cy="361950"/>
                <a:chOff x="8191500" y="3409950"/>
                <a:chExt cx="1990725" cy="361950"/>
              </a:xfrm>
            </xdr:grpSpPr>
            <xdr:grpSp>
              <xdr:nvGrpSpPr>
                <xdr:cNvPr id="26" name="Group 25">
                  <a:extLst>
                    <a:ext uri="{FF2B5EF4-FFF2-40B4-BE49-F238E27FC236}">
                      <a16:creationId xmlns:a16="http://schemas.microsoft.com/office/drawing/2014/main" id="{00000000-0008-0000-1200-00001A000000}"/>
                    </a:ext>
                  </a:extLst>
                </xdr:cNvPr>
                <xdr:cNvGrpSpPr/>
              </xdr:nvGrpSpPr>
              <xdr:grpSpPr>
                <a:xfrm>
                  <a:off x="8302013" y="3452813"/>
                  <a:ext cx="1769699" cy="276225"/>
                  <a:chOff x="8305801" y="3457575"/>
                  <a:chExt cx="1769699" cy="276225"/>
                </a:xfrm>
              </xdr:grpSpPr>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3" name="Option Button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4" name="Option Button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5" name="Option 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6" name="Group Box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8191500" y="3409950"/>
                  <a:ext cx="1990725"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0" name="Group 19">
                <a:extLst>
                  <a:ext uri="{FF2B5EF4-FFF2-40B4-BE49-F238E27FC236}">
                    <a16:creationId xmlns:a16="http://schemas.microsoft.com/office/drawing/2014/main" id="{00000000-0008-0000-1200-000014000000}"/>
                  </a:ext>
                </a:extLst>
              </xdr:cNvPr>
              <xdr:cNvGrpSpPr/>
            </xdr:nvGrpSpPr>
            <xdr:grpSpPr>
              <a:xfrm>
                <a:off x="6162676" y="3409950"/>
                <a:ext cx="1657350" cy="361950"/>
                <a:chOff x="6162676" y="3409950"/>
                <a:chExt cx="1657350" cy="361950"/>
              </a:xfrm>
            </xdr:grpSpPr>
            <xdr:sp macro="" textlink="">
              <xdr:nvSpPr>
                <xdr:cNvPr id="59407" name="Group Box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6162676" y="3409950"/>
                  <a:ext cx="1657350"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2" name="Group 21">
                  <a:extLst>
                    <a:ext uri="{FF2B5EF4-FFF2-40B4-BE49-F238E27FC236}">
                      <a16:creationId xmlns:a16="http://schemas.microsoft.com/office/drawing/2014/main" id="{00000000-0008-0000-1200-000016000000}"/>
                    </a:ext>
                  </a:extLst>
                </xdr:cNvPr>
                <xdr:cNvGrpSpPr/>
              </xdr:nvGrpSpPr>
              <xdr:grpSpPr>
                <a:xfrm>
                  <a:off x="6243639" y="3500925"/>
                  <a:ext cx="1495425" cy="180000"/>
                  <a:chOff x="6029325" y="4257675"/>
                  <a:chExt cx="1495425"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6029325" y="4257675"/>
                    <a:ext cx="46800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6544313"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10" name="Button 18" hidden="1">
                    <a:extLst>
                      <a:ext uri="{63B3BB69-23CF-44E3-9099-C40C66FF867C}">
                        <a14:compatExt spid="_x0000_s59410"/>
                      </a:ext>
                      <a:ext uri="{FF2B5EF4-FFF2-40B4-BE49-F238E27FC236}">
                        <a16:creationId xmlns:a16="http://schemas.microsoft.com/office/drawing/2014/main" id="{00000000-0008-0000-0200-000012E80000}"/>
                      </a:ext>
                    </a:extLst>
                  </xdr:cNvPr>
                  <xdr:cNvSpPr/>
                </xdr:nvSpPr>
                <xdr:spPr bwMode="auto">
                  <a:xfrm>
                    <a:off x="7058025"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33</xdr:col>
      <xdr:colOff>176211</xdr:colOff>
      <xdr:row>2</xdr:row>
      <xdr:rowOff>80961</xdr:rowOff>
    </xdr:from>
    <xdr:to>
      <xdr:col>43</xdr:col>
      <xdr:colOff>537261</xdr:colOff>
      <xdr:row>19</xdr:row>
      <xdr:rowOff>154761</xdr:rowOff>
    </xdr:to>
    <xdr:graphicFrame macro="">
      <xdr:nvGraphicFramePr>
        <xdr:cNvPr id="2" name="Chart 1">
          <a:extLst>
            <a:ext uri="{FF2B5EF4-FFF2-40B4-BE49-F238E27FC236}">
              <a16:creationId xmlns:a16="http://schemas.microsoft.com/office/drawing/2014/main" id="{70B5C2CB-9154-85B6-DB87-BC90A201F9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43</xdr:col>
      <xdr:colOff>657225</xdr:colOff>
      <xdr:row>2</xdr:row>
      <xdr:rowOff>80961</xdr:rowOff>
    </xdr:from>
    <xdr:to>
      <xdr:col>54</xdr:col>
      <xdr:colOff>370575</xdr:colOff>
      <xdr:row>19</xdr:row>
      <xdr:rowOff>154761</xdr:rowOff>
    </xdr:to>
    <xdr:graphicFrame macro="">
      <xdr:nvGraphicFramePr>
        <xdr:cNvPr id="3" name="Chart 2">
          <a:extLst>
            <a:ext uri="{FF2B5EF4-FFF2-40B4-BE49-F238E27FC236}">
              <a16:creationId xmlns:a16="http://schemas.microsoft.com/office/drawing/2014/main" id="{D4777EB1-1B90-A2F6-E493-9CC59FF830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52</xdr:col>
          <xdr:colOff>257175</xdr:colOff>
          <xdr:row>0</xdr:row>
          <xdr:rowOff>209550</xdr:rowOff>
        </xdr:from>
        <xdr:to>
          <xdr:col>53</xdr:col>
          <xdr:colOff>190500</xdr:colOff>
          <xdr:row>2</xdr:row>
          <xdr:rowOff>9525</xdr:rowOff>
        </xdr:to>
        <xdr:sp macro="" textlink="">
          <xdr:nvSpPr>
            <xdr:cNvPr id="59420" name="Button 28" hidden="1">
              <a:extLst>
                <a:ext uri="{63B3BB69-23CF-44E3-9099-C40C66FF867C}">
                  <a14:compatExt spid="_x0000_s59420"/>
                </a:ext>
                <a:ext uri="{FF2B5EF4-FFF2-40B4-BE49-F238E27FC236}">
                  <a16:creationId xmlns:a16="http://schemas.microsoft.com/office/drawing/2014/main" id="{00000000-0008-0000-0200-00001CE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552450</xdr:colOff>
          <xdr:row>0</xdr:row>
          <xdr:rowOff>66676</xdr:rowOff>
        </xdr:from>
        <xdr:to>
          <xdr:col>39</xdr:col>
          <xdr:colOff>295275</xdr:colOff>
          <xdr:row>1</xdr:row>
          <xdr:rowOff>219076</xdr:rowOff>
        </xdr:to>
        <xdr:grpSp>
          <xdr:nvGrpSpPr>
            <xdr:cNvPr id="10" name="Group 9">
              <a:extLst>
                <a:ext uri="{FF2B5EF4-FFF2-40B4-BE49-F238E27FC236}">
                  <a16:creationId xmlns:a16="http://schemas.microsoft.com/office/drawing/2014/main" id="{5A547087-D738-FED7-F977-8787ACDD4B38}"/>
                </a:ext>
              </a:extLst>
            </xdr:cNvPr>
            <xdr:cNvGrpSpPr/>
          </xdr:nvGrpSpPr>
          <xdr:grpSpPr>
            <a:xfrm>
              <a:off x="742950" y="66676"/>
              <a:ext cx="4295775" cy="381000"/>
              <a:chOff x="742950" y="66676"/>
              <a:chExt cx="4295775" cy="381000"/>
            </a:xfrm>
          </xdr:grpSpPr>
          <xdr:grpSp>
            <xdr:nvGrpSpPr>
              <xdr:cNvPr id="9" name="Group 8">
                <a:extLst>
                  <a:ext uri="{FF2B5EF4-FFF2-40B4-BE49-F238E27FC236}">
                    <a16:creationId xmlns:a16="http://schemas.microsoft.com/office/drawing/2014/main" id="{7525ACED-09EA-FB20-9540-D5D1558CAE86}"/>
                  </a:ext>
                </a:extLst>
              </xdr:cNvPr>
              <xdr:cNvGrpSpPr/>
            </xdr:nvGrpSpPr>
            <xdr:grpSpPr>
              <a:xfrm>
                <a:off x="742950" y="66676"/>
                <a:ext cx="1981200" cy="381000"/>
                <a:chOff x="742950" y="66676"/>
                <a:chExt cx="1981200" cy="381000"/>
              </a:xfrm>
            </xdr:grpSpPr>
            <xdr:grpSp>
              <xdr:nvGrpSpPr>
                <xdr:cNvPr id="4" name="Group 3">
                  <a:extLst>
                    <a:ext uri="{FF2B5EF4-FFF2-40B4-BE49-F238E27FC236}">
                      <a16:creationId xmlns:a16="http://schemas.microsoft.com/office/drawing/2014/main" id="{A94D2835-EFC5-CD5D-C5EF-D599E6F17720}"/>
                    </a:ext>
                  </a:extLst>
                </xdr:cNvPr>
                <xdr:cNvGrpSpPr/>
              </xdr:nvGrpSpPr>
              <xdr:grpSpPr>
                <a:xfrm>
                  <a:off x="842963" y="166689"/>
                  <a:ext cx="1781175" cy="180975"/>
                  <a:chOff x="809625" y="161925"/>
                  <a:chExt cx="1781175" cy="180975"/>
                </a:xfrm>
              </xdr:grpSpPr>
              <xdr:sp macro="" textlink="">
                <xdr:nvSpPr>
                  <xdr:cNvPr id="59421" name="Button 1053" hidden="1">
                    <a:extLst>
                      <a:ext uri="{63B3BB69-23CF-44E3-9099-C40C66FF867C}">
                        <a14:compatExt spid="_x0000_s59421"/>
                      </a:ext>
                      <a:ext uri="{FF2B5EF4-FFF2-40B4-BE49-F238E27FC236}">
                        <a16:creationId xmlns:a16="http://schemas.microsoft.com/office/drawing/2014/main" id="{00000000-0008-0000-0200-00001DE80000}"/>
                      </a:ext>
                    </a:extLst>
                  </xdr:cNvPr>
                  <xdr:cNvSpPr/>
                </xdr:nvSpPr>
                <xdr:spPr bwMode="auto">
                  <a:xfrm>
                    <a:off x="809625" y="161925"/>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22" name="Button 1054" hidden="1">
                    <a:extLst>
                      <a:ext uri="{63B3BB69-23CF-44E3-9099-C40C66FF867C}">
                        <a14:compatExt spid="_x0000_s59422"/>
                      </a:ext>
                      <a:ext uri="{FF2B5EF4-FFF2-40B4-BE49-F238E27FC236}">
                        <a16:creationId xmlns:a16="http://schemas.microsoft.com/office/drawing/2014/main" id="{00000000-0008-0000-0200-00001EE80000}"/>
                      </a:ext>
                    </a:extLst>
                  </xdr:cNvPr>
                  <xdr:cNvSpPr/>
                </xdr:nvSpPr>
                <xdr:spPr bwMode="auto">
                  <a:xfrm>
                    <a:off x="1427287" y="161925"/>
                    <a:ext cx="542925" cy="1809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23" name="Button 1055" hidden="1">
                    <a:extLst>
                      <a:ext uri="{63B3BB69-23CF-44E3-9099-C40C66FF867C}">
                        <a14:compatExt spid="_x0000_s59423"/>
                      </a:ext>
                      <a:ext uri="{FF2B5EF4-FFF2-40B4-BE49-F238E27FC236}">
                        <a16:creationId xmlns:a16="http://schemas.microsoft.com/office/drawing/2014/main" id="{00000000-0008-0000-0200-00001FE80000}"/>
                      </a:ext>
                    </a:extLst>
                  </xdr:cNvPr>
                  <xdr:cNvSpPr/>
                </xdr:nvSpPr>
                <xdr:spPr bwMode="auto">
                  <a:xfrm>
                    <a:off x="2047875" y="161925"/>
                    <a:ext cx="542925" cy="1809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sp macro="" textlink="">
              <xdr:nvSpPr>
                <xdr:cNvPr id="59424" name="Group Box 1056" hidden="1">
                  <a:extLst>
                    <a:ext uri="{63B3BB69-23CF-44E3-9099-C40C66FF867C}">
                      <a14:compatExt spid="_x0000_s59424"/>
                    </a:ext>
                    <a:ext uri="{FF2B5EF4-FFF2-40B4-BE49-F238E27FC236}">
                      <a16:creationId xmlns:a16="http://schemas.microsoft.com/office/drawing/2014/main" id="{00000000-0008-0000-0200-000020E80000}"/>
                    </a:ext>
                  </a:extLst>
                </xdr:cNvPr>
                <xdr:cNvSpPr/>
              </xdr:nvSpPr>
              <xdr:spPr bwMode="auto">
                <a:xfrm>
                  <a:off x="742950" y="66676"/>
                  <a:ext cx="1981200" cy="3810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grpSp>
            <xdr:nvGrpSpPr>
              <xdr:cNvPr id="8" name="Group 7">
                <a:extLst>
                  <a:ext uri="{FF2B5EF4-FFF2-40B4-BE49-F238E27FC236}">
                    <a16:creationId xmlns:a16="http://schemas.microsoft.com/office/drawing/2014/main" id="{B605A67A-5603-A8F4-E0C1-8C7DC0736170}"/>
                  </a:ext>
                </a:extLst>
              </xdr:cNvPr>
              <xdr:cNvGrpSpPr/>
            </xdr:nvGrpSpPr>
            <xdr:grpSpPr>
              <a:xfrm>
                <a:off x="2752725" y="66676"/>
                <a:ext cx="2286000" cy="381000"/>
                <a:chOff x="2752725" y="66676"/>
                <a:chExt cx="2286000" cy="381000"/>
              </a:xfrm>
            </xdr:grpSpPr>
            <xdr:sp macro="" textlink="">
              <xdr:nvSpPr>
                <xdr:cNvPr id="59425" name="Group Box 1057" hidden="1">
                  <a:extLst>
                    <a:ext uri="{63B3BB69-23CF-44E3-9099-C40C66FF867C}">
                      <a14:compatExt spid="_x0000_s59425"/>
                    </a:ext>
                    <a:ext uri="{FF2B5EF4-FFF2-40B4-BE49-F238E27FC236}">
                      <a16:creationId xmlns:a16="http://schemas.microsoft.com/office/drawing/2014/main" id="{00000000-0008-0000-0200-000021E80000}"/>
                    </a:ext>
                  </a:extLst>
                </xdr:cNvPr>
                <xdr:cNvSpPr/>
              </xdr:nvSpPr>
              <xdr:spPr bwMode="auto">
                <a:xfrm>
                  <a:off x="2752725" y="66676"/>
                  <a:ext cx="2286000" cy="3810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Đơn vị hiển thị</a:t>
                  </a:r>
                </a:p>
              </xdr:txBody>
            </xdr:sp>
            <xdr:grpSp>
              <xdr:nvGrpSpPr>
                <xdr:cNvPr id="7" name="Group 6">
                  <a:extLst>
                    <a:ext uri="{FF2B5EF4-FFF2-40B4-BE49-F238E27FC236}">
                      <a16:creationId xmlns:a16="http://schemas.microsoft.com/office/drawing/2014/main" id="{6576E07B-785F-B990-D258-758ED46119D9}"/>
                    </a:ext>
                  </a:extLst>
                </xdr:cNvPr>
                <xdr:cNvGrpSpPr/>
              </xdr:nvGrpSpPr>
              <xdr:grpSpPr>
                <a:xfrm>
                  <a:off x="2895600" y="152401"/>
                  <a:ext cx="2000250" cy="209550"/>
                  <a:chOff x="2895600" y="247650"/>
                  <a:chExt cx="2000250" cy="209550"/>
                </a:xfrm>
              </xdr:grpSpPr>
              <xdr:sp macro="" textlink="">
                <xdr:nvSpPr>
                  <xdr:cNvPr id="59426" name="Option Button 1058" hidden="1">
                    <a:extLst>
                      <a:ext uri="{63B3BB69-23CF-44E3-9099-C40C66FF867C}">
                        <a14:compatExt spid="_x0000_s59426"/>
                      </a:ext>
                      <a:ext uri="{FF2B5EF4-FFF2-40B4-BE49-F238E27FC236}">
                        <a16:creationId xmlns:a16="http://schemas.microsoft.com/office/drawing/2014/main" id="{00000000-0008-0000-0200-000022E80000}"/>
                      </a:ext>
                    </a:extLst>
                  </xdr:cNvPr>
                  <xdr:cNvSpPr/>
                </xdr:nvSpPr>
                <xdr:spPr bwMode="auto">
                  <a:xfrm>
                    <a:off x="2895600" y="247650"/>
                    <a:ext cx="54000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27" name="Option Button 1059" hidden="1">
                    <a:extLst>
                      <a:ext uri="{63B3BB69-23CF-44E3-9099-C40C66FF867C}">
                        <a14:compatExt spid="_x0000_s59427"/>
                      </a:ext>
                      <a:ext uri="{FF2B5EF4-FFF2-40B4-BE49-F238E27FC236}">
                        <a16:creationId xmlns:a16="http://schemas.microsoft.com/office/drawing/2014/main" id="{00000000-0008-0000-0200-000023E80000}"/>
                      </a:ext>
                    </a:extLst>
                  </xdr:cNvPr>
                  <xdr:cNvSpPr/>
                </xdr:nvSpPr>
                <xdr:spPr bwMode="auto">
                  <a:xfrm>
                    <a:off x="337942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29" name="Option Button 1061" hidden="1">
                    <a:extLst>
                      <a:ext uri="{63B3BB69-23CF-44E3-9099-C40C66FF867C}">
                        <a14:compatExt spid="_x0000_s59429"/>
                      </a:ext>
                      <a:ext uri="{FF2B5EF4-FFF2-40B4-BE49-F238E27FC236}">
                        <a16:creationId xmlns:a16="http://schemas.microsoft.com/office/drawing/2014/main" id="{00000000-0008-0000-0200-000025E80000}"/>
                      </a:ext>
                    </a:extLst>
                  </xdr:cNvPr>
                  <xdr:cNvSpPr/>
                </xdr:nvSpPr>
                <xdr:spPr bwMode="auto">
                  <a:xfrm>
                    <a:off x="386617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30" name="Option Button 1062" hidden="1">
                    <a:extLst>
                      <a:ext uri="{63B3BB69-23CF-44E3-9099-C40C66FF867C}">
                        <a14:compatExt spid="_x0000_s59430"/>
                      </a:ext>
                      <a:ext uri="{FF2B5EF4-FFF2-40B4-BE49-F238E27FC236}">
                        <a16:creationId xmlns:a16="http://schemas.microsoft.com/office/drawing/2014/main" id="{00000000-0008-0000-0200-000026E80000}"/>
                      </a:ext>
                    </a:extLst>
                  </xdr:cNvPr>
                  <xdr:cNvSpPr/>
                </xdr:nvSpPr>
                <xdr:spPr bwMode="auto">
                  <a:xfrm>
                    <a:off x="435292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45</xdr:col>
          <xdr:colOff>638175</xdr:colOff>
          <xdr:row>0</xdr:row>
          <xdr:rowOff>95250</xdr:rowOff>
        </xdr:from>
        <xdr:to>
          <xdr:col>47</xdr:col>
          <xdr:colOff>400050</xdr:colOff>
          <xdr:row>1</xdr:row>
          <xdr:rowOff>123825</xdr:rowOff>
        </xdr:to>
        <xdr:grpSp>
          <xdr:nvGrpSpPr>
            <xdr:cNvPr id="11" name="Group 10">
              <a:extLst>
                <a:ext uri="{FF2B5EF4-FFF2-40B4-BE49-F238E27FC236}">
                  <a16:creationId xmlns:a16="http://schemas.microsoft.com/office/drawing/2014/main" id="{EABF5236-2211-F750-34E7-FDC23B0D8E64}"/>
                </a:ext>
              </a:extLst>
            </xdr:cNvPr>
            <xdr:cNvGrpSpPr/>
          </xdr:nvGrpSpPr>
          <xdr:grpSpPr>
            <a:xfrm>
              <a:off x="9553575" y="95250"/>
              <a:ext cx="1133475" cy="257175"/>
              <a:chOff x="9553575" y="95250"/>
              <a:chExt cx="1133475" cy="257175"/>
            </a:xfrm>
          </xdr:grpSpPr>
          <xdr:sp macro="" textlink="">
            <xdr:nvSpPr>
              <xdr:cNvPr id="59431" name="Button 1063" hidden="1">
                <a:extLst>
                  <a:ext uri="{63B3BB69-23CF-44E3-9099-C40C66FF867C}">
                    <a14:compatExt spid="_x0000_s59431"/>
                  </a:ext>
                  <a:ext uri="{FF2B5EF4-FFF2-40B4-BE49-F238E27FC236}">
                    <a16:creationId xmlns:a16="http://schemas.microsoft.com/office/drawing/2014/main" id="{00000000-0008-0000-0200-000027E80000}"/>
                  </a:ext>
                </a:extLst>
              </xdr:cNvPr>
              <xdr:cNvSpPr/>
            </xdr:nvSpPr>
            <xdr:spPr bwMode="auto">
              <a:xfrm>
                <a:off x="9553575" y="95250"/>
                <a:ext cx="54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Dòng</a:t>
                </a:r>
              </a:p>
            </xdr:txBody>
          </xdr:sp>
          <xdr:sp macro="" textlink="">
            <xdr:nvSpPr>
              <xdr:cNvPr id="59432" name="Button 1064" hidden="1">
                <a:extLst>
                  <a:ext uri="{63B3BB69-23CF-44E3-9099-C40C66FF867C}">
                    <a14:compatExt spid="_x0000_s59432"/>
                  </a:ext>
                  <a:ext uri="{FF2B5EF4-FFF2-40B4-BE49-F238E27FC236}">
                    <a16:creationId xmlns:a16="http://schemas.microsoft.com/office/drawing/2014/main" id="{00000000-0008-0000-0200-000028E80000}"/>
                  </a:ext>
                </a:extLst>
              </xdr:cNvPr>
              <xdr:cNvSpPr/>
            </xdr:nvSpPr>
            <xdr:spPr bwMode="auto">
              <a:xfrm>
                <a:off x="10144125" y="952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28575</xdr:colOff>
          <xdr:row>0</xdr:row>
          <xdr:rowOff>114300</xdr:rowOff>
        </xdr:from>
        <xdr:to>
          <xdr:col>54</xdr:col>
          <xdr:colOff>85725</xdr:colOff>
          <xdr:row>1</xdr:row>
          <xdr:rowOff>142875</xdr:rowOff>
        </xdr:to>
        <xdr:sp macro="" textlink="">
          <xdr:nvSpPr>
            <xdr:cNvPr id="59433" name="Button 1065" hidden="1">
              <a:extLst>
                <a:ext uri="{63B3BB69-23CF-44E3-9099-C40C66FF867C}">
                  <a14:compatExt spid="_x0000_s59433"/>
                </a:ext>
                <a:ext uri="{FF2B5EF4-FFF2-40B4-BE49-F238E27FC236}">
                  <a16:creationId xmlns:a16="http://schemas.microsoft.com/office/drawing/2014/main" id="{00000000-0008-0000-0200-000029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7.353854398149" createdVersion="8" refreshedVersion="8" minRefreshableVersion="3" recordCount="9" xr:uid="{D8A73024-F483-477E-90B4-D35879CA42CF}">
  <cacheSource type="worksheet">
    <worksheetSource name="Table_TonKho"/>
  </cacheSource>
  <cacheFields count="7">
    <cacheField name="Ngày dự phòng" numFmtId="165">
      <sharedItems containsSemiMixedTypes="0" containsNonDate="0" containsDate="1" containsString="0" minDate="2025-03-31T00:00:00" maxDate="2025-06-01T00:00:00" count="3">
        <d v="2025-03-31T00:00:00"/>
        <d v="2025-04-30T00:00:00"/>
        <d v="2025-05-31T00:00:00"/>
      </sharedItems>
      <fieldGroup par="6"/>
    </cacheField>
    <cacheField name="Mặt hàng" numFmtId="0">
      <sharedItems count="3">
        <s v="NL1"/>
        <s v="NL2"/>
        <s v="HH1"/>
      </sharedItems>
    </cacheField>
    <cacheField name="Giá trị tồn" numFmtId="167">
      <sharedItems containsSemiMixedTypes="0" containsString="0" containsNumber="1" minValue="280105.49253731407" maxValue="19516926.074074075"/>
    </cacheField>
    <cacheField name="Dự phòng lũy kế" numFmtId="167">
      <sharedItems containsString="0" containsBlank="1" containsNumber="1" minValue="71284.637313432802" maxValue="5461230.0948885884"/>
    </cacheField>
    <cacheField name="Tỷ lệ" numFmtId="9">
      <sharedItems containsSemiMixedTypes="0" containsString="0" containsNumber="1" minValue="0" maxValue="0.30424490837115475"/>
    </cacheField>
    <cacheField name="Days (Ngày dự phòng)" numFmtId="0" databaseField="0">
      <fieldGroup base="0">
        <rangePr groupBy="days" startDate="2025-03-31T00:00:00" endDate="2025-06-01T00:00:00"/>
        <groupItems count="368">
          <s v="&lt;3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dự phòng)" numFmtId="0" databaseField="0">
      <fieldGroup base="0">
        <rangePr groupBy="months" startDate="2025-03-31T00:00:00" endDate="2025-06-01T00:00:00"/>
        <groupItems count="14">
          <s v="&lt;31-03-25"/>
          <s v="Jan"/>
          <s v="Feb"/>
          <s v="Mar"/>
          <s v="Apr"/>
          <s v="May"/>
          <s v="Jun"/>
          <s v="Jul"/>
          <s v="Aug"/>
          <s v="Sep"/>
          <s v="Oct"/>
          <s v="Nov"/>
          <s v="Dec"/>
          <s v="&gt;01-06-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n v="17503962"/>
    <n v="1585928.3"/>
    <n v="9.0603961548819639E-2"/>
  </r>
  <r>
    <x v="0"/>
    <x v="1"/>
    <n v="19516926.074074075"/>
    <n v="1830850.8074074076"/>
    <n v="9.3808358983307111E-2"/>
  </r>
  <r>
    <x v="0"/>
    <x v="2"/>
    <n v="9283668.2537313439"/>
    <n v="304294.31268656714"/>
    <n v="3.2777378981014696E-2"/>
  </r>
  <r>
    <x v="1"/>
    <x v="0"/>
    <n v="14971777.070175439"/>
    <n v="3878156.8210526318"/>
    <n v="0.25903116262518511"/>
  </r>
  <r>
    <x v="1"/>
    <x v="1"/>
    <n v="9375573.3773747608"/>
    <n v="994140.11321242829"/>
    <n v="0.10603512694076912"/>
  </r>
  <r>
    <x v="1"/>
    <x v="2"/>
    <n v="280105.49253731407"/>
    <m/>
    <n v="0"/>
  </r>
  <r>
    <x v="2"/>
    <x v="0"/>
    <n v="17950111.717979252"/>
    <n v="5461230.0948885884"/>
    <n v="0.30424490837115475"/>
  </r>
  <r>
    <x v="2"/>
    <x v="1"/>
    <n v="11359793.07419889"/>
    <n v="719490.96854972269"/>
    <n v="6.3336626279212591E-2"/>
  </r>
  <r>
    <x v="2"/>
    <x v="2"/>
    <n v="6022420.7462686561"/>
    <n v="71284.637313432802"/>
    <n v="1.1836542200675535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F30346-7F01-4F3B-868C-54159A610365}" name="PivotTable1" cacheId="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B22:E27" firstHeaderRow="1" firstDataRow="2" firstDataCol="1"/>
  <pivotFields count="7">
    <pivotField axis="axisRow" numFmtId="165" showAll="0">
      <items count="4">
        <item x="0"/>
        <item x="1"/>
        <item x="2"/>
        <item t="default"/>
      </items>
    </pivotField>
    <pivotField axis="axisCol" showAll="0">
      <items count="4">
        <item x="2"/>
        <item x="0"/>
        <item x="1"/>
        <item t="default"/>
      </items>
    </pivotField>
    <pivotField numFmtId="164" showAll="0"/>
    <pivotField dataField="1" showAll="0"/>
    <pivotField numFmtId="9"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1"/>
  </colFields>
  <colItems count="3">
    <i>
      <x/>
    </i>
    <i>
      <x v="1"/>
    </i>
    <i>
      <x v="2"/>
    </i>
  </colItems>
  <dataFields count="1">
    <dataField name="Dự phòng" fld="3" baseField="6" baseItem="3" numFmtId="168"/>
  </dataFields>
  <formats count="20">
    <format dxfId="49">
      <pivotArea outline="0" collapsedLevelsAreSubtotals="1" fieldPosition="0"/>
    </format>
    <format dxfId="48">
      <pivotArea outline="0" collapsedLevelsAreSubtotals="1" fieldPosition="0"/>
    </format>
    <format dxfId="47">
      <pivotArea outline="0" collapsedLevelsAreSubtotals="1" fieldPosition="0"/>
    </format>
    <format dxfId="46">
      <pivotArea type="topRight" dataOnly="0" labelOnly="1" outline="0" fieldPosition="0"/>
    </format>
    <format dxfId="45">
      <pivotArea collapsedLevelsAreSubtotals="1" fieldPosition="0">
        <references count="2">
          <reference field="0" count="1">
            <x v="0"/>
          </reference>
          <reference field="1" count="1" selected="0">
            <x v="0"/>
          </reference>
        </references>
      </pivotArea>
    </format>
    <format dxfId="44">
      <pivotArea collapsedLevelsAreSubtotals="1" fieldPosition="0">
        <references count="2">
          <reference field="0" count="1">
            <x v="0"/>
          </reference>
          <reference field="1" count="1" selected="0">
            <x v="1"/>
          </reference>
        </references>
      </pivotArea>
    </format>
    <format dxfId="43">
      <pivotArea collapsedLevelsAreSubtotals="1" fieldPosition="0">
        <references count="2">
          <reference field="0" count="1">
            <x v="0"/>
          </reference>
          <reference field="1" count="1" selected="0">
            <x v="2"/>
          </reference>
        </references>
      </pivotArea>
    </format>
    <format dxfId="42">
      <pivotArea field="0" grandCol="1" collapsedLevelsAreSubtotals="1" axis="axisRow" fieldPosition="0">
        <references count="1">
          <reference field="0" count="1">
            <x v="0"/>
          </reference>
        </references>
      </pivotArea>
    </format>
    <format dxfId="41">
      <pivotArea collapsedLevelsAreSubtotals="1" fieldPosition="0">
        <references count="2">
          <reference field="0" count="1">
            <x v="1"/>
          </reference>
          <reference field="1" count="1" selected="0">
            <x v="0"/>
          </reference>
        </references>
      </pivotArea>
    </format>
    <format dxfId="40">
      <pivotArea collapsedLevelsAreSubtotals="1" fieldPosition="0">
        <references count="2">
          <reference field="0" count="1">
            <x v="1"/>
          </reference>
          <reference field="1" count="1" selected="0">
            <x v="1"/>
          </reference>
        </references>
      </pivotArea>
    </format>
    <format dxfId="39">
      <pivotArea collapsedLevelsAreSubtotals="1" fieldPosition="0">
        <references count="2">
          <reference field="0" count="1">
            <x v="1"/>
          </reference>
          <reference field="1" count="1" selected="0">
            <x v="2"/>
          </reference>
        </references>
      </pivotArea>
    </format>
    <format dxfId="38">
      <pivotArea field="0" grandCol="1" collapsedLevelsAreSubtotals="1" axis="axisRow" fieldPosition="0">
        <references count="1">
          <reference field="0" count="1">
            <x v="1"/>
          </reference>
        </references>
      </pivotArea>
    </format>
    <format dxfId="37">
      <pivotArea collapsedLevelsAreSubtotals="1" fieldPosition="0">
        <references count="2">
          <reference field="0" count="1">
            <x v="2"/>
          </reference>
          <reference field="1" count="1" selected="0">
            <x v="0"/>
          </reference>
        </references>
      </pivotArea>
    </format>
    <format dxfId="36">
      <pivotArea collapsedLevelsAreSubtotals="1" fieldPosition="0">
        <references count="2">
          <reference field="0" count="1">
            <x v="2"/>
          </reference>
          <reference field="1" count="1" selected="0">
            <x v="1"/>
          </reference>
        </references>
      </pivotArea>
    </format>
    <format dxfId="35">
      <pivotArea collapsedLevelsAreSubtotals="1" fieldPosition="0">
        <references count="2">
          <reference field="0" count="1">
            <x v="2"/>
          </reference>
          <reference field="1" count="1" selected="0">
            <x v="2"/>
          </reference>
        </references>
      </pivotArea>
    </format>
    <format dxfId="34">
      <pivotArea field="0" grandCol="1" collapsedLevelsAreSubtotals="1" axis="axisRow" fieldPosition="0">
        <references count="1">
          <reference field="0" count="1">
            <x v="2"/>
          </reference>
        </references>
      </pivotArea>
    </format>
    <format dxfId="33">
      <pivotArea field="1" grandRow="1" outline="0" collapsedLevelsAreSubtotals="1" axis="axisCol" fieldPosition="0">
        <references count="1">
          <reference field="1" count="1" selected="0">
            <x v="0"/>
          </reference>
        </references>
      </pivotArea>
    </format>
    <format dxfId="32">
      <pivotArea field="1" grandRow="1" outline="0" collapsedLevelsAreSubtotals="1" axis="axisCol" fieldPosition="0">
        <references count="1">
          <reference field="1" count="1" selected="0">
            <x v="1"/>
          </reference>
        </references>
      </pivotArea>
    </format>
    <format dxfId="31">
      <pivotArea field="1" grandRow="1" outline="0" collapsedLevelsAreSubtotals="1" axis="axisCol" fieldPosition="0">
        <references count="1">
          <reference field="1" count="1" selected="0">
            <x v="2"/>
          </reference>
        </references>
      </pivotArea>
    </format>
    <format dxfId="30">
      <pivotArea grandRow="1" grandCol="1"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6"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DA94B31-EA7B-41E5-A920-6B0526005E4D}" name="PivotTable2" cacheId="2"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
  <location ref="R22:U27" firstHeaderRow="1" firstDataRow="2" firstDataCol="1"/>
  <pivotFields count="7">
    <pivotField axis="axisRow" numFmtId="165" showAll="0">
      <items count="4">
        <item x="0"/>
        <item x="1"/>
        <item x="2"/>
        <item t="default"/>
      </items>
    </pivotField>
    <pivotField axis="axisCol" showAll="0">
      <items count="4">
        <item x="2"/>
        <item x="0"/>
        <item x="1"/>
        <item t="default"/>
      </items>
    </pivotField>
    <pivotField numFmtId="164" showAll="0"/>
    <pivotField showAll="0"/>
    <pivotField dataField="1" numFmtId="9"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1"/>
  </colFields>
  <colItems count="3">
    <i>
      <x/>
    </i>
    <i>
      <x v="1"/>
    </i>
    <i>
      <x v="2"/>
    </i>
  </colItems>
  <dataFields count="1">
    <dataField name="Tỷ lệ dự phòng" fld="4" baseField="0" baseItem="0" numFmtId="9"/>
  </dataFields>
  <formats count="1">
    <format dxfId="50">
      <pivotArea type="topRight" dataOnly="0" labelOnly="1" outline="0"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4CE940BA-FBC4-478A-A5EC-B0AA10F408B4}" name="Table_TonKho_DuPhong" displayName="Table_TonKho_DuPhong" ref="AH22:AK26" totalsRowShown="0" headerRowDxfId="29" dataDxfId="28">
  <autoFilter ref="AH22:AK26" xr:uid="{4CE940BA-FBC4-478A-A5EC-B0AA10F408B4}"/>
  <tableColumns count="4">
    <tableColumn id="1" xr3:uid="{EE31E204-1CA2-48CE-87B1-0A010AF8FA7D}" name="Ngày tồn min" dataDxfId="27" dataCellStyle="Comma"/>
    <tableColumn id="5" xr3:uid="{79A1BFE7-E35A-42B8-84F6-E720BBF328FD}" name="Ngày tồn max" dataDxfId="26" dataCellStyle="Comma"/>
    <tableColumn id="2" xr3:uid="{1F2DF910-0F9C-41EC-BA58-D72770AD58F0}" name="Tỷ lệ dự phòng" dataDxfId="25" totalsRowDxfId="24"/>
    <tableColumn id="4" xr3:uid="{7AADE14C-25F1-4A5C-85EC-95984C62BB87}" name="Gtri dự phòng" dataDxfId="23" dataCellStyle="Comma">
      <calculatedColumnFormula array="1"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F55A8AE4-219A-496F-ADCF-E36D3FB29D4A}" name="Table_TonKho_TuoiKho" displayName="Table_TonKho_TuoiKho" ref="AN22:AP30" totalsRowShown="0" headerRowDxfId="22" dataDxfId="21">
  <autoFilter ref="AN22:AP30" xr:uid="{F55A8AE4-219A-496F-ADCF-E36D3FB29D4A}"/>
  <tableColumns count="3">
    <tableColumn id="1" xr3:uid="{CBBB4261-387A-4FEE-8E2B-D325524B4494}" name="Ngày nhập" dataDxfId="20"/>
    <tableColumn id="10" xr3:uid="{5EAB9BC7-C5DF-42E4-A540-C723ED7B3495}" name="GT tồn" dataDxfId="19" dataCellStyle="Comma">
      <calculatedColumnFormula array="1">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calculatedColumnFormula>
    </tableColumn>
    <tableColumn id="4" xr3:uid="{C7FE3BB4-4495-41A1-97A2-2099F0776183}" name="Ngày tồn" dataDxfId="18" dataCellStyle="Comma">
      <calculatedColumnFormula>IF(Table_TonKho_TuoiKho[[#This Row],[GT tồn]] = 0,0,
TonKho_NgayTheoDoi -Table_TonKho_TuoiKho[[#This Row],[Ngày nhập]])</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R22:AV31" totalsRowShown="0" headerRowDxfId="17" dataDxfId="16">
  <autoFilter ref="AR22:AV31" xr:uid="{5023EBA5-753D-43FE-9F71-91D3FB478261}"/>
  <tableColumns count="5">
    <tableColumn id="2" xr3:uid="{8E5CBC54-8A31-4EF5-A0C3-074000F41621}" name="Ngày dự phòng" dataDxfId="15"/>
    <tableColumn id="4" xr3:uid="{587CFBAD-E5B3-49F9-B0D7-F94A8D5566B7}" name="Mặt hàng" dataDxfId="14"/>
    <tableColumn id="7" xr3:uid="{BCC42489-DF07-4C9F-8C55-E3C315D9098E}" name="Giá trị tồn" dataDxfId="13" dataCellStyle="Comma">
      <calculatedColumnFormula array="1"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calculatedColumnFormula>
    </tableColumn>
    <tableColumn id="18" xr3:uid="{0C133A06-79F7-4E85-B78C-A38176E76C82}" name="Dự phòng lũy kế" dataDxfId="12" dataCellStyle="Comma"/>
    <tableColumn id="1" xr3:uid="{6D965E63-A48F-4D81-A8AF-6D59DBA536C9}" name="Tỷ lệ" dataDxfId="11" dataCellStyle="Percent">
      <calculatedColumnFormula>Table_TonKho[[#This Row],[Dự phòng lũy kế]]/Table_TonKho[[#This Row],[Giá trị tồn]]</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X22:BF98" totalsRowShown="0" headerRowDxfId="10" dataDxfId="9">
  <autoFilter ref="AX22:BF98" xr:uid="{7EE1FBC0-CA11-44D8-84E1-E68C320835D5}"/>
  <sortState xmlns:xlrd2="http://schemas.microsoft.com/office/spreadsheetml/2017/richdata2" ref="AX23:BF98">
    <sortCondition descending="1" ref="BB22:BB98"/>
  </sortState>
  <tableColumns count="9">
    <tableColumn id="1" xr3:uid="{18961AB9-4F59-4CDA-9625-CBEB24FFC7F7}" name="Mặt hàng" dataDxfId="8"/>
    <tableColumn id="22" xr3:uid="{28EC1C91-1B42-49B4-B9A1-38D6FCBF4C1A}" name="Tồn kho đầu ngày" dataDxfId="7"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24" xr3:uid="{F2E55237-6A71-497D-A46E-1CC4617425ED}" name="Giá trị tồn đầu ngày" dataDxfId="6"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27" xr3:uid="{C9F6F960-6795-40B3-A6E0-025C3B76A184}" name="Giá trị bình quân đầu ngày" dataDxfId="5" dataCellStyle="Comma">
      <calculatedColumnFormula>IFERROR(Table_Main[[#This Row],[Giá trị tồn đầu ngày]]/Table_Main[[#This Row],[Tồn kho đầu ngày]],0)</calculatedColumnFormula>
    </tableColumn>
    <tableColumn id="38" xr3:uid="{9BB57A10-EF8B-4168-9D57-6AB152E3EAE6}" name="Ngày xuất nhập" dataDxfId="4"/>
    <tableColumn id="6" xr3:uid="{38735BED-DFF8-4F08-BB6C-BDA9A4923D2C}" name="Loại" dataDxfId="3"/>
    <tableColumn id="5" xr3:uid="{EAB2F578-A8BB-4FAB-A929-B66E906EBF6E}" name="Số lượng" dataDxfId="2" dataCellStyle="Comma"/>
    <tableColumn id="29" xr3:uid="{80A773D5-6191-467C-8839-401F9EB003EF}" name="Giá nhập / Giá vốn" dataDxfId="1" dataCellStyle="Comma"/>
    <tableColumn id="20" xr3:uid="{09E96BB3-B616-4831-B3CE-D5733239938A}" name="Giá trị hàng nhập" dataDxfId="0" dataCellStyle="Comma">
      <calculatedColumnFormula xml:space="preserve">
IF(Table_Main[[#This Row],[Loại]]="Nhập",Table_Main[[#This Row],[Số lượng]]*Table_Main[[#This Row],[Giá nhập / Giá vốn]],Table_Main[[#This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drawing" Target="../drawings/drawing2.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pivotTable" Target="../pivotTables/pivotTable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table" Target="../tables/table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table" Target="../tables/table3.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5" bestFit="1" customWidth="1"/>
    <col min="2" max="2" width="36.25" style="5" bestFit="1" customWidth="1"/>
    <col min="3" max="3" width="16.125" style="5" bestFit="1" customWidth="1"/>
    <col min="4" max="5" width="14.375" style="16" bestFit="1" customWidth="1"/>
    <col min="6" max="25" width="9" style="5"/>
    <col min="26" max="26" width="9" style="5" hidden="1" customWidth="1"/>
    <col min="27" max="16384" width="9" style="5"/>
  </cols>
  <sheetData>
    <row r="1" spans="1:26" x14ac:dyDescent="0.3">
      <c r="A1" s="11" t="s">
        <v>24</v>
      </c>
      <c r="B1" s="12" t="s">
        <v>9</v>
      </c>
      <c r="C1" s="13" t="s">
        <v>10</v>
      </c>
      <c r="D1" s="15" t="s">
        <v>25</v>
      </c>
      <c r="E1" s="15" t="s">
        <v>26</v>
      </c>
      <c r="F1" s="11" t="s">
        <v>27</v>
      </c>
      <c r="G1" s="14" t="s">
        <v>28</v>
      </c>
      <c r="H1" s="11" t="s">
        <v>29</v>
      </c>
      <c r="I1" s="11" t="s">
        <v>30</v>
      </c>
      <c r="J1" s="14" t="s">
        <v>31</v>
      </c>
      <c r="K1" s="14" t="s">
        <v>32</v>
      </c>
      <c r="L1" s="14" t="s">
        <v>33</v>
      </c>
      <c r="M1" s="14" t="s">
        <v>34</v>
      </c>
      <c r="N1" s="25"/>
      <c r="O1" s="25"/>
      <c r="P1" s="25"/>
      <c r="Q1" s="25"/>
      <c r="R1" s="25"/>
      <c r="S1" s="25"/>
      <c r="T1" s="25"/>
      <c r="U1" s="25"/>
      <c r="V1" s="25"/>
      <c r="W1" s="25"/>
      <c r="X1" s="25"/>
      <c r="Y1" s="25"/>
      <c r="Z1" s="5" t="s">
        <v>36</v>
      </c>
    </row>
    <row r="2" spans="1:26" x14ac:dyDescent="0.3">
      <c r="A2" s="25"/>
      <c r="B2" s="5" t="s">
        <v>62</v>
      </c>
      <c r="C2" s="5" t="s">
        <v>63</v>
      </c>
      <c r="D2" s="16">
        <v>45785</v>
      </c>
      <c r="E2" s="16">
        <v>46150</v>
      </c>
      <c r="F2" s="25">
        <v>365</v>
      </c>
      <c r="G2" s="5" t="s">
        <v>38</v>
      </c>
      <c r="H2" s="25"/>
      <c r="I2" s="25"/>
      <c r="J2" s="25"/>
      <c r="K2" s="25"/>
      <c r="L2" s="25"/>
      <c r="M2" s="25"/>
      <c r="N2" s="25"/>
      <c r="O2" s="25"/>
      <c r="P2" s="25"/>
      <c r="Q2" s="25"/>
      <c r="R2" s="25"/>
      <c r="S2" s="25"/>
      <c r="T2" s="25"/>
      <c r="U2" s="25"/>
      <c r="V2" s="25"/>
      <c r="W2" s="25"/>
      <c r="X2" s="25"/>
      <c r="Y2" s="25"/>
      <c r="Z2" s="25" t="s">
        <v>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K11" sqref="K11"/>
    </sheetView>
  </sheetViews>
  <sheetFormatPr defaultRowHeight="16.5" x14ac:dyDescent="0.3"/>
  <cols>
    <col min="1" max="1" width="11.625" style="6" bestFit="1" customWidth="1"/>
    <col min="2" max="16384" width="9" style="6"/>
  </cols>
  <sheetData>
    <row r="1" spans="1:12" x14ac:dyDescent="0.3">
      <c r="A1" s="6">
        <v>1</v>
      </c>
      <c r="K1" s="57">
        <v>1</v>
      </c>
      <c r="L1" s="57" t="s">
        <v>65</v>
      </c>
    </row>
    <row r="2" spans="1:12" x14ac:dyDescent="0.3">
      <c r="A2" s="6" t="s">
        <v>64</v>
      </c>
      <c r="L2" s="57" t="s">
        <v>66</v>
      </c>
    </row>
    <row r="3" spans="1:12" x14ac:dyDescent="0.3">
      <c r="L3" s="57" t="s">
        <v>67</v>
      </c>
    </row>
    <row r="4" spans="1:12" ht="37.5" x14ac:dyDescent="0.3">
      <c r="A4" s="9" t="s">
        <v>0</v>
      </c>
      <c r="B4" s="9" t="s">
        <v>1</v>
      </c>
      <c r="L4" s="57" t="s">
        <v>68</v>
      </c>
    </row>
    <row r="5" spans="1:12" ht="17.25" x14ac:dyDescent="0.3">
      <c r="A5" s="20"/>
      <c r="B5" s="17" t="s">
        <v>39</v>
      </c>
      <c r="L5" s="57" t="s">
        <v>69</v>
      </c>
    </row>
    <row r="6" spans="1:12" ht="17.25" x14ac:dyDescent="0.3">
      <c r="A6" s="20"/>
      <c r="B6" s="17" t="s">
        <v>35</v>
      </c>
    </row>
    <row r="7" spans="1:12" ht="17.25" x14ac:dyDescent="0.3">
      <c r="A7" s="20"/>
      <c r="B7" s="17" t="s">
        <v>40</v>
      </c>
    </row>
    <row r="8" spans="1:12" ht="17.25" x14ac:dyDescent="0.3">
      <c r="A8" s="20"/>
      <c r="B8" s="17" t="s">
        <v>41</v>
      </c>
    </row>
    <row r="9" spans="1:12" ht="17.25" x14ac:dyDescent="0.3">
      <c r="A9" s="20"/>
      <c r="B9" s="18" t="s">
        <v>42</v>
      </c>
    </row>
    <row r="10" spans="1:12" x14ac:dyDescent="0.3">
      <c r="A10" s="20"/>
      <c r="B10" s="20"/>
    </row>
    <row r="11" spans="1:12" ht="37.5" x14ac:dyDescent="0.3">
      <c r="A11" s="9" t="s">
        <v>7</v>
      </c>
      <c r="B11" s="9" t="s">
        <v>8</v>
      </c>
    </row>
    <row r="12" spans="1:12" x14ac:dyDescent="0.3">
      <c r="A12" s="10" t="s">
        <v>9</v>
      </c>
      <c r="B12" s="6" t="s">
        <v>62</v>
      </c>
    </row>
    <row r="13" spans="1:12" x14ac:dyDescent="0.3">
      <c r="A13" s="10" t="s">
        <v>10</v>
      </c>
      <c r="B13" s="6" t="s">
        <v>63</v>
      </c>
    </row>
    <row r="14" spans="1:12" ht="17.25" x14ac:dyDescent="0.3">
      <c r="A14" s="20"/>
      <c r="B14" s="7" t="s">
        <v>2</v>
      </c>
    </row>
    <row r="15" spans="1:12" ht="17.25" x14ac:dyDescent="0.3">
      <c r="A15" s="20"/>
      <c r="B15" s="7" t="s">
        <v>3</v>
      </c>
    </row>
    <row r="16" spans="1:12" ht="17.25" x14ac:dyDescent="0.3">
      <c r="A16" s="20"/>
      <c r="B16" s="7" t="s">
        <v>4</v>
      </c>
    </row>
    <row r="17" spans="1:2" ht="17.25" x14ac:dyDescent="0.3">
      <c r="A17" s="20"/>
      <c r="B17" s="7" t="s">
        <v>5</v>
      </c>
    </row>
    <row r="18" spans="1:2" ht="17.25" x14ac:dyDescent="0.3">
      <c r="A18" s="20"/>
      <c r="B18" s="8" t="s">
        <v>6</v>
      </c>
    </row>
    <row r="19" spans="1:2" x14ac:dyDescent="0.3">
      <c r="A19" s="20"/>
      <c r="B19" s="20"/>
    </row>
    <row r="20" spans="1:2" x14ac:dyDescent="0.3">
      <c r="A20" s="20"/>
      <c r="B20" s="20"/>
    </row>
    <row r="21" spans="1:2" x14ac:dyDescent="0.3">
      <c r="A21" s="20"/>
      <c r="B21" s="20"/>
    </row>
    <row r="22" spans="1:2" x14ac:dyDescent="0.3">
      <c r="A22" s="20"/>
      <c r="B22" s="20"/>
    </row>
    <row r="23" spans="1:2" x14ac:dyDescent="0.3">
      <c r="A23" s="20"/>
      <c r="B23" s="20"/>
    </row>
    <row r="24" spans="1:2" x14ac:dyDescent="0.3">
      <c r="A24" s="21"/>
      <c r="B24" s="20"/>
    </row>
    <row r="25" spans="1:2" x14ac:dyDescent="0.3">
      <c r="A25" s="22"/>
      <c r="B25" s="20"/>
    </row>
    <row r="26" spans="1:2" x14ac:dyDescent="0.3">
      <c r="A26" s="21"/>
      <c r="B26" s="20"/>
    </row>
    <row r="27" spans="1:2" x14ac:dyDescent="0.3">
      <c r="A27" s="22"/>
      <c r="B27" s="20"/>
    </row>
    <row r="28" spans="1:2" x14ac:dyDescent="0.3">
      <c r="A28" s="22"/>
      <c r="B28" s="20"/>
    </row>
    <row r="29" spans="1:2" x14ac:dyDescent="0.3">
      <c r="A29" s="22"/>
      <c r="B29" s="20"/>
    </row>
    <row r="30" spans="1:2" x14ac:dyDescent="0.3">
      <c r="A30" s="22"/>
      <c r="B30" s="20"/>
    </row>
    <row r="31" spans="1:2" x14ac:dyDescent="0.3">
      <c r="A31" s="21"/>
      <c r="B31" s="20"/>
    </row>
    <row r="32" spans="1:2" x14ac:dyDescent="0.3">
      <c r="A32" s="22"/>
      <c r="B32" s="20"/>
    </row>
    <row r="33" spans="1:2" x14ac:dyDescent="0.3">
      <c r="A33" s="22"/>
      <c r="B33" s="20"/>
    </row>
    <row r="34" spans="1:2" x14ac:dyDescent="0.3">
      <c r="A34" s="22"/>
      <c r="B34" s="20"/>
    </row>
    <row r="35" spans="1:2" x14ac:dyDescent="0.3">
      <c r="A35" s="22"/>
      <c r="B35" s="20"/>
    </row>
    <row r="36" spans="1:2" x14ac:dyDescent="0.3">
      <c r="A36" s="21"/>
      <c r="B36" s="20"/>
    </row>
    <row r="37" spans="1:2" x14ac:dyDescent="0.3">
      <c r="A37" s="23"/>
      <c r="B37" s="20"/>
    </row>
    <row r="38" spans="1:2" x14ac:dyDescent="0.3">
      <c r="A38" s="24"/>
      <c r="B38" s="20"/>
    </row>
    <row r="39" spans="1:2" x14ac:dyDescent="0.3">
      <c r="A39" s="23"/>
      <c r="B39" s="20"/>
    </row>
    <row r="40" spans="1:2" x14ac:dyDescent="0.3">
      <c r="A40" s="24"/>
      <c r="B40" s="20"/>
    </row>
    <row r="41" spans="1:2" x14ac:dyDescent="0.3">
      <c r="A41" s="23"/>
      <c r="B41" s="20"/>
    </row>
    <row r="42" spans="1:2" x14ac:dyDescent="0.3">
      <c r="A42" s="24"/>
      <c r="B42" s="20"/>
    </row>
    <row r="43" spans="1:2" x14ac:dyDescent="0.3">
      <c r="A43" s="23"/>
      <c r="B43" s="20"/>
    </row>
    <row r="44" spans="1:2" x14ac:dyDescent="0.3">
      <c r="A44" s="24"/>
      <c r="B44" s="20"/>
    </row>
    <row r="45" spans="1:2" x14ac:dyDescent="0.3">
      <c r="A45" s="23"/>
      <c r="B45" s="20"/>
    </row>
    <row r="46" spans="1:2" x14ac:dyDescent="0.3">
      <c r="A46" s="24"/>
      <c r="B46" s="20"/>
    </row>
    <row r="47" spans="1:2" x14ac:dyDescent="0.3">
      <c r="A47" s="22"/>
      <c r="B47" s="20"/>
    </row>
    <row r="48" spans="1:2" x14ac:dyDescent="0.3">
      <c r="A48" s="22"/>
      <c r="B48" s="20"/>
    </row>
    <row r="49" spans="1:2" x14ac:dyDescent="0.3">
      <c r="A49" s="22"/>
      <c r="B49" s="20"/>
    </row>
    <row r="50" spans="1:2" x14ac:dyDescent="0.3">
      <c r="A50" s="21"/>
      <c r="B50" s="20"/>
    </row>
    <row r="51" spans="1:2" x14ac:dyDescent="0.3">
      <c r="A51" s="22"/>
      <c r="B51" s="20"/>
    </row>
    <row r="52" spans="1:2" x14ac:dyDescent="0.3">
      <c r="A52" s="22"/>
      <c r="B52" s="20"/>
    </row>
    <row r="53" spans="1:2" x14ac:dyDescent="0.3">
      <c r="A53" s="22"/>
      <c r="B53" s="20"/>
    </row>
    <row r="54" spans="1:2" x14ac:dyDescent="0.3">
      <c r="A54" s="22"/>
      <c r="B54" s="20"/>
    </row>
    <row r="55" spans="1:2" x14ac:dyDescent="0.3">
      <c r="A55" s="21"/>
      <c r="B55" s="20"/>
    </row>
    <row r="56" spans="1:2" x14ac:dyDescent="0.3">
      <c r="A56" s="23"/>
      <c r="B56" s="20"/>
    </row>
    <row r="57" spans="1:2" x14ac:dyDescent="0.3">
      <c r="A57" s="23"/>
      <c r="B57" s="20"/>
    </row>
    <row r="58" spans="1:2" x14ac:dyDescent="0.3">
      <c r="A58" s="23"/>
      <c r="B58" s="20"/>
    </row>
    <row r="59" spans="1:2" x14ac:dyDescent="0.3">
      <c r="A59" s="23"/>
      <c r="B59" s="20"/>
    </row>
    <row r="60" spans="1:2" x14ac:dyDescent="0.3">
      <c r="A60" s="22"/>
      <c r="B60" s="20"/>
    </row>
    <row r="61" spans="1:2" x14ac:dyDescent="0.3">
      <c r="A61" s="22"/>
      <c r="B61" s="20"/>
    </row>
    <row r="62" spans="1:2" x14ac:dyDescent="0.3">
      <c r="A62" s="22"/>
      <c r="B62" s="20"/>
    </row>
    <row r="63" spans="1:2" x14ac:dyDescent="0.3">
      <c r="A63" s="21"/>
      <c r="B63" s="20"/>
    </row>
    <row r="64" spans="1:2" x14ac:dyDescent="0.3">
      <c r="A64" s="22"/>
      <c r="B64" s="20"/>
    </row>
    <row r="65" spans="1:2" x14ac:dyDescent="0.3">
      <c r="A65" s="22"/>
      <c r="B65" s="20"/>
    </row>
    <row r="66" spans="1:2" x14ac:dyDescent="0.3">
      <c r="A66" s="22"/>
      <c r="B66" s="20"/>
    </row>
    <row r="67" spans="1:2" x14ac:dyDescent="0.3">
      <c r="A67" s="22"/>
      <c r="B67" s="20"/>
    </row>
    <row r="68" spans="1:2" x14ac:dyDescent="0.3">
      <c r="A68" s="21"/>
      <c r="B68" s="20"/>
    </row>
    <row r="69" spans="1:2" x14ac:dyDescent="0.3">
      <c r="A69" s="23"/>
      <c r="B69" s="20"/>
    </row>
    <row r="70" spans="1:2" x14ac:dyDescent="0.3">
      <c r="A70" s="23"/>
      <c r="B70" s="20"/>
    </row>
    <row r="71" spans="1:2" x14ac:dyDescent="0.3">
      <c r="A71" s="23"/>
      <c r="B71" s="20"/>
    </row>
    <row r="72" spans="1:2" x14ac:dyDescent="0.3">
      <c r="A72" s="23"/>
      <c r="B72" s="20"/>
    </row>
    <row r="73" spans="1:2" x14ac:dyDescent="0.3">
      <c r="A73" s="23"/>
      <c r="B73" s="20"/>
    </row>
    <row r="74" spans="1:2" x14ac:dyDescent="0.3">
      <c r="A74" s="23"/>
      <c r="B74" s="20"/>
    </row>
    <row r="75" spans="1:2" x14ac:dyDescent="0.3">
      <c r="A75" s="22"/>
      <c r="B75" s="20"/>
    </row>
    <row r="76" spans="1:2" x14ac:dyDescent="0.3">
      <c r="A76" s="21"/>
      <c r="B76" s="20"/>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FC325-00DE-4FE3-9DF0-1D40D12F473D}">
  <sheetPr codeName="Sheet15">
    <tabColor theme="9" tint="0.79998168889431442"/>
  </sheetPr>
  <dimension ref="B1:BF102"/>
  <sheetViews>
    <sheetView showGridLines="0" workbookViewId="0">
      <selection activeCell="BD11" sqref="BD11"/>
    </sheetView>
  </sheetViews>
  <sheetFormatPr defaultRowHeight="18" customHeight="1" outlineLevelRow="1" outlineLevelCol="1" x14ac:dyDescent="0.3"/>
  <cols>
    <col min="1" max="1" width="1.25" style="1" customWidth="1"/>
    <col min="2" max="2" width="12.875" style="1" hidden="1" customWidth="1" outlineLevel="1"/>
    <col min="3" max="3" width="16.125" style="1" hidden="1" customWidth="1" outlineLevel="1"/>
    <col min="4" max="4" width="11.625" style="1" hidden="1" customWidth="1" outlineLevel="1"/>
    <col min="5" max="5" width="11.25" style="1" hidden="1" customWidth="1" outlineLevel="1"/>
    <col min="6" max="6" width="11.5" style="1" hidden="1" customWidth="1" outlineLevel="1"/>
    <col min="7" max="17" width="1.25" style="1" hidden="1" customWidth="1" outlineLevel="1"/>
    <col min="18" max="18" width="14.75" style="1" hidden="1" customWidth="1" outlineLevel="1"/>
    <col min="19" max="19" width="16.125" style="1" hidden="1" customWidth="1" outlineLevel="1"/>
    <col min="20" max="21" width="5" style="1" hidden="1" customWidth="1" outlineLevel="1"/>
    <col min="22" max="22" width="11.5" style="1" hidden="1" customWidth="1" outlineLevel="1"/>
    <col min="23" max="32" width="1.25" style="1" hidden="1" customWidth="1" outlineLevel="1"/>
    <col min="33" max="33" width="1.25" style="1" customWidth="1" collapsed="1"/>
    <col min="34" max="34" width="12.125" style="1" bestFit="1" customWidth="1"/>
    <col min="35" max="35" width="12.375" style="4" bestFit="1" customWidth="1" collapsed="1"/>
    <col min="36" max="36" width="13.375" style="4" bestFit="1" customWidth="1"/>
    <col min="37" max="37" width="12.5" style="1" bestFit="1" customWidth="1"/>
    <col min="38" max="38" width="1.25" style="1" customWidth="1"/>
    <col min="39" max="39" width="8.125" style="26" customWidth="1"/>
    <col min="40" max="40" width="10.25" style="1" bestFit="1" customWidth="1" collapsed="1"/>
    <col min="41" max="41" width="9.375" style="1" bestFit="1" customWidth="1"/>
    <col min="42" max="42" width="9.125" style="1" bestFit="1" customWidth="1"/>
    <col min="43" max="43" width="1.25" style="1" customWidth="1"/>
    <col min="44" max="44" width="13.5" style="1" bestFit="1" customWidth="1"/>
    <col min="45" max="45" width="11.25" style="1" bestFit="1" customWidth="1"/>
    <col min="46" max="48" width="9" style="1"/>
    <col min="49" max="49" width="1.25" style="1" customWidth="1"/>
    <col min="50" max="50" width="9.25" style="1" bestFit="1" customWidth="1"/>
    <col min="51" max="56" width="9" style="1"/>
    <col min="57" max="57" width="15.75" style="1" bestFit="1" customWidth="1"/>
    <col min="58" max="16384" width="9" style="1"/>
  </cols>
  <sheetData>
    <row r="1" spans="2:58" ht="18" customHeight="1" x14ac:dyDescent="0.3">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8"/>
      <c r="AJ1" s="37"/>
      <c r="AK1" s="37"/>
      <c r="AL1" s="37"/>
      <c r="AM1" s="37"/>
      <c r="AN1" s="39"/>
      <c r="AO1" s="40" cm="1">
        <f t="array" ref="AO1">IFERROR(
SUM(_xlfn._xlws.FILTER(Table_Main[Giá trị hàng nhập],
(Table_Main[Mặt hàng] = TonKho_MaHang) *
(NOT(ISBLANK(Table_Main[Mặt hàng]))) *
(Table_Main[Mặt hàng] &lt;&gt; "") *
(Table_Main[Loại] = "Xuất") *
(Table_Main[Ngày xuất nhập] &lt; TonKho_NgayTheoDoi)
)),0)</f>
        <v>17074138.253731344</v>
      </c>
      <c r="AP1" s="37"/>
      <c r="AQ1" s="37"/>
      <c r="AR1" s="4" t="s">
        <v>16</v>
      </c>
      <c r="AS1" s="41">
        <v>45808</v>
      </c>
      <c r="AT1" s="37"/>
      <c r="AU1" s="37"/>
      <c r="AV1" s="37"/>
      <c r="AW1" s="37"/>
      <c r="AX1" s="37"/>
      <c r="AY1" s="37"/>
      <c r="AZ1" s="37"/>
      <c r="BA1" s="37"/>
      <c r="BB1" s="37"/>
      <c r="BC1" s="37"/>
      <c r="BD1" s="37"/>
      <c r="BE1" s="37"/>
      <c r="BF1" s="37"/>
    </row>
    <row r="2" spans="2:58" ht="18" customHeight="1" x14ac:dyDescent="0.3">
      <c r="B2" s="37"/>
      <c r="C2" s="37"/>
      <c r="D2" s="37"/>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8"/>
      <c r="AJ2" s="38"/>
      <c r="AK2" s="37"/>
      <c r="AL2" s="37"/>
      <c r="AM2" s="37"/>
      <c r="AN2" s="39"/>
      <c r="AO2" s="40"/>
      <c r="AP2" s="37"/>
      <c r="AQ2" s="37"/>
      <c r="AR2" s="1" t="s">
        <v>15</v>
      </c>
      <c r="AS2" s="27" t="s">
        <v>49</v>
      </c>
      <c r="AT2" s="37"/>
      <c r="AU2" s="37"/>
      <c r="AV2" s="37"/>
      <c r="AW2" s="37"/>
      <c r="AX2" s="37"/>
      <c r="AY2" s="37"/>
      <c r="AZ2" s="37"/>
      <c r="BA2" s="37"/>
      <c r="BB2" s="37"/>
      <c r="BC2" s="37"/>
      <c r="BD2" s="37"/>
      <c r="BE2" s="37"/>
      <c r="BF2" s="37"/>
    </row>
    <row r="3" spans="2:58" ht="18" customHeight="1" outlineLevel="1" x14ac:dyDescent="0.3">
      <c r="B3" s="37"/>
      <c r="C3" s="37"/>
      <c r="D3" s="37"/>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8"/>
      <c r="AI3" s="38"/>
      <c r="AJ3" s="39"/>
      <c r="AK3" s="37"/>
      <c r="AL3" s="37"/>
      <c r="AM3" s="37"/>
      <c r="AN3" s="37"/>
      <c r="AO3" s="37"/>
      <c r="AP3" s="37"/>
      <c r="AQ3" s="37"/>
      <c r="AR3" s="37"/>
      <c r="AS3" s="37"/>
      <c r="AT3" s="37"/>
      <c r="AU3" s="37"/>
      <c r="AV3" s="37"/>
      <c r="AW3" s="37"/>
      <c r="AX3" s="37"/>
      <c r="AY3" s="37"/>
      <c r="AZ3" s="37"/>
      <c r="BA3" s="37"/>
      <c r="BB3" s="37"/>
      <c r="BC3" s="37"/>
      <c r="BD3" s="37"/>
      <c r="BE3" s="37"/>
      <c r="BF3" s="37"/>
    </row>
    <row r="4" spans="2:58" ht="18" customHeight="1" outlineLevel="1" x14ac:dyDescent="0.3">
      <c r="B4" s="37"/>
      <c r="C4" s="37"/>
      <c r="D4" s="3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8"/>
      <c r="AI4" s="38"/>
      <c r="AJ4" s="39"/>
      <c r="AK4" s="37"/>
      <c r="AL4" s="37"/>
      <c r="AM4" s="37"/>
      <c r="AN4" s="37"/>
      <c r="AO4" s="37"/>
      <c r="AP4" s="37"/>
      <c r="AQ4" s="37"/>
      <c r="AR4" s="37"/>
      <c r="AS4" s="37"/>
      <c r="AT4" s="37"/>
      <c r="AU4" s="37"/>
      <c r="AV4" s="37"/>
      <c r="AW4" s="37"/>
      <c r="AX4" s="37"/>
      <c r="AY4" s="37"/>
      <c r="AZ4" s="37"/>
      <c r="BA4" s="37"/>
      <c r="BB4" s="37"/>
      <c r="BC4" s="37"/>
      <c r="BD4" s="37"/>
      <c r="BE4" s="37"/>
      <c r="BF4" s="37"/>
    </row>
    <row r="5" spans="2:58" ht="18" customHeight="1" outlineLevel="1" x14ac:dyDescent="0.3">
      <c r="B5" s="37"/>
      <c r="C5" s="37"/>
      <c r="D5" s="37"/>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8"/>
      <c r="AI5" s="38"/>
      <c r="AJ5" s="39"/>
      <c r="AK5" s="37"/>
      <c r="AL5" s="37"/>
      <c r="AM5" s="37"/>
      <c r="AN5" s="37"/>
      <c r="AO5" s="37"/>
      <c r="AP5" s="37"/>
      <c r="AQ5" s="37"/>
      <c r="AR5" s="37"/>
      <c r="AS5" s="37"/>
      <c r="AT5" s="37"/>
      <c r="AU5" s="37"/>
      <c r="AV5" s="37"/>
      <c r="AW5" s="37"/>
      <c r="AX5" s="37"/>
      <c r="AY5" s="37"/>
      <c r="AZ5" s="37"/>
      <c r="BA5" s="37"/>
      <c r="BB5" s="37"/>
      <c r="BC5" s="37"/>
      <c r="BD5" s="37"/>
      <c r="BE5" s="37"/>
      <c r="BF5" s="37"/>
    </row>
    <row r="6" spans="2:58" ht="18" customHeight="1" outlineLevel="1" x14ac:dyDescent="0.3">
      <c r="B6" s="37"/>
      <c r="C6" s="37"/>
      <c r="D6" s="37"/>
      <c r="E6" s="37"/>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8"/>
      <c r="AI6" s="38"/>
      <c r="AJ6" s="39"/>
      <c r="AK6" s="37"/>
      <c r="AL6" s="37"/>
      <c r="AM6" s="37"/>
      <c r="AN6" s="37"/>
      <c r="AO6" s="37"/>
      <c r="AP6" s="37"/>
      <c r="AQ6" s="37"/>
      <c r="AR6" s="37"/>
      <c r="AS6" s="37"/>
      <c r="AT6" s="37"/>
      <c r="AU6" s="37"/>
      <c r="AV6" s="37"/>
      <c r="AW6" s="37"/>
      <c r="AX6" s="37"/>
      <c r="AY6" s="37"/>
      <c r="AZ6" s="37"/>
      <c r="BA6" s="37"/>
      <c r="BB6" s="37"/>
      <c r="BC6" s="37"/>
      <c r="BD6" s="37"/>
      <c r="BE6" s="37"/>
      <c r="BF6" s="37"/>
    </row>
    <row r="7" spans="2:58" ht="18" customHeight="1" outlineLevel="1" x14ac:dyDescent="0.3">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8"/>
      <c r="AI7" s="38"/>
      <c r="AJ7" s="39"/>
      <c r="AK7" s="37"/>
      <c r="AL7" s="37"/>
      <c r="AM7" s="37"/>
      <c r="AN7" s="37"/>
      <c r="AO7" s="37"/>
      <c r="AP7" s="37"/>
      <c r="AQ7" s="37"/>
      <c r="AR7" s="37"/>
      <c r="AS7" s="37"/>
      <c r="AT7" s="37"/>
      <c r="AU7" s="37"/>
      <c r="AV7" s="37"/>
      <c r="AW7" s="37"/>
      <c r="AX7" s="37"/>
      <c r="AY7" s="37"/>
      <c r="AZ7" s="37"/>
      <c r="BA7" s="37"/>
      <c r="BB7" s="37"/>
      <c r="BC7" s="37"/>
      <c r="BD7" s="37"/>
      <c r="BE7" s="37"/>
      <c r="BF7" s="37"/>
    </row>
    <row r="8" spans="2:58" ht="18" customHeight="1" outlineLevel="1" x14ac:dyDescent="0.3">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8"/>
      <c r="AI8" s="38"/>
      <c r="AJ8" s="39"/>
      <c r="AK8" s="37"/>
      <c r="AL8" s="37"/>
      <c r="AM8" s="37"/>
      <c r="AN8" s="37"/>
      <c r="AO8" s="37"/>
      <c r="AP8" s="37"/>
      <c r="AQ8" s="37"/>
      <c r="AR8" s="37"/>
      <c r="AS8" s="37"/>
      <c r="AT8" s="37"/>
      <c r="AU8" s="37"/>
      <c r="AV8" s="37"/>
      <c r="AW8" s="37"/>
      <c r="AX8" s="37"/>
      <c r="AY8" s="37"/>
      <c r="AZ8" s="37"/>
      <c r="BA8" s="37"/>
      <c r="BB8" s="37"/>
      <c r="BC8" s="37"/>
      <c r="BD8" s="37"/>
      <c r="BE8" s="37"/>
      <c r="BF8" s="37"/>
    </row>
    <row r="9" spans="2:58" ht="18" customHeight="1" outlineLevel="1" x14ac:dyDescent="0.3">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8"/>
      <c r="AI9" s="38"/>
      <c r="AJ9" s="39"/>
      <c r="AK9" s="37"/>
      <c r="AL9" s="37"/>
      <c r="AM9" s="37"/>
      <c r="AN9" s="37"/>
      <c r="AO9" s="37"/>
      <c r="AP9" s="37"/>
      <c r="AQ9" s="37"/>
      <c r="AR9" s="37"/>
      <c r="AS9" s="37"/>
      <c r="AT9" s="37"/>
      <c r="AU9" s="37"/>
      <c r="AV9" s="37"/>
      <c r="AW9" s="37"/>
      <c r="AX9" s="37"/>
      <c r="AY9" s="37"/>
      <c r="AZ9" s="37"/>
      <c r="BA9" s="37"/>
      <c r="BB9" s="37"/>
      <c r="BC9" s="37"/>
      <c r="BD9" s="37"/>
      <c r="BE9" s="37"/>
      <c r="BF9" s="37"/>
    </row>
    <row r="10" spans="2:58" ht="18" customHeight="1" outlineLevel="1" x14ac:dyDescent="0.3">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8"/>
      <c r="AI10" s="38"/>
      <c r="AJ10" s="39"/>
      <c r="AK10" s="37"/>
      <c r="AL10" s="37"/>
      <c r="AM10" s="37"/>
      <c r="AN10" s="37"/>
      <c r="AO10" s="37"/>
      <c r="AP10" s="37"/>
      <c r="AQ10" s="37"/>
      <c r="AR10" s="37"/>
      <c r="AS10" s="37"/>
      <c r="AT10" s="37"/>
      <c r="AU10" s="37"/>
      <c r="AV10" s="37"/>
      <c r="AW10" s="37"/>
      <c r="AX10" s="37"/>
      <c r="AY10" s="37"/>
      <c r="AZ10" s="37"/>
      <c r="BA10" s="37"/>
      <c r="BB10" s="37"/>
      <c r="BC10" s="37"/>
      <c r="BD10" s="37"/>
      <c r="BE10" s="37"/>
      <c r="BF10" s="37"/>
    </row>
    <row r="11" spans="2:58" ht="18" customHeight="1" outlineLevel="1" x14ac:dyDescent="0.3">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8"/>
      <c r="AI11" s="38"/>
      <c r="AJ11" s="39"/>
      <c r="AK11" s="37"/>
      <c r="AL11" s="37"/>
      <c r="AM11" s="37"/>
      <c r="AN11" s="37"/>
      <c r="AO11" s="37"/>
      <c r="AP11" s="37"/>
      <c r="AQ11" s="37"/>
      <c r="AR11" s="37"/>
      <c r="AS11" s="37"/>
      <c r="AT11" s="37"/>
      <c r="AU11" s="37"/>
      <c r="AV11" s="37"/>
      <c r="AW11" s="37"/>
      <c r="AX11" s="37"/>
      <c r="AY11" s="37"/>
      <c r="AZ11" s="37"/>
      <c r="BA11" s="37"/>
      <c r="BB11" s="37"/>
      <c r="BC11" s="37"/>
      <c r="BD11" s="37"/>
      <c r="BE11" s="37"/>
      <c r="BF11" s="37"/>
    </row>
    <row r="12" spans="2:58" ht="18" customHeight="1" outlineLevel="1" x14ac:dyDescent="0.3">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8"/>
      <c r="AI12" s="38"/>
      <c r="AJ12" s="39"/>
      <c r="AK12" s="37"/>
      <c r="AL12" s="37"/>
      <c r="AM12" s="37"/>
      <c r="AN12" s="37"/>
      <c r="AO12" s="37"/>
      <c r="AP12" s="37"/>
      <c r="AQ12" s="37"/>
      <c r="AR12" s="37"/>
      <c r="AS12" s="37"/>
      <c r="AT12" s="37"/>
      <c r="AU12" s="37"/>
      <c r="AV12" s="37"/>
      <c r="AW12" s="37"/>
      <c r="AX12" s="37"/>
      <c r="AY12" s="37"/>
      <c r="AZ12" s="37"/>
      <c r="BA12" s="37"/>
      <c r="BB12" s="37"/>
      <c r="BC12" s="37"/>
      <c r="BD12" s="37"/>
      <c r="BE12" s="37"/>
      <c r="BF12" s="37"/>
    </row>
    <row r="13" spans="2:58" ht="18" customHeight="1" outlineLevel="1" x14ac:dyDescent="0.3">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8"/>
      <c r="AI13" s="38"/>
      <c r="AJ13" s="39"/>
      <c r="AK13" s="37"/>
      <c r="AL13" s="37"/>
      <c r="AM13" s="37"/>
      <c r="AN13" s="37"/>
      <c r="AO13" s="37"/>
      <c r="AP13" s="37"/>
      <c r="AQ13" s="37"/>
      <c r="AR13" s="37"/>
      <c r="AS13" s="37"/>
      <c r="AT13" s="37"/>
      <c r="AU13" s="37"/>
      <c r="AV13" s="37"/>
      <c r="AW13" s="37"/>
      <c r="AX13" s="37"/>
      <c r="AY13" s="37"/>
      <c r="AZ13" s="37"/>
      <c r="BA13" s="37"/>
      <c r="BB13" s="37"/>
      <c r="BC13" s="37"/>
      <c r="BD13" s="37"/>
      <c r="BE13" s="37"/>
      <c r="BF13" s="37"/>
    </row>
    <row r="14" spans="2:58" ht="18" customHeight="1" outlineLevel="1" x14ac:dyDescent="0.3">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8"/>
      <c r="AI14" s="38"/>
      <c r="AJ14" s="39"/>
      <c r="AK14" s="37"/>
      <c r="AL14" s="37"/>
      <c r="AM14" s="37"/>
      <c r="AN14" s="37"/>
      <c r="AO14" s="37"/>
      <c r="AP14" s="37"/>
      <c r="AQ14" s="37"/>
      <c r="AR14" s="37"/>
      <c r="AS14" s="37"/>
      <c r="AT14" s="37"/>
      <c r="AU14" s="37"/>
      <c r="AV14" s="37"/>
      <c r="AW14" s="37"/>
      <c r="AX14" s="37"/>
      <c r="AY14" s="37"/>
      <c r="AZ14" s="37"/>
      <c r="BA14" s="37"/>
      <c r="BB14" s="37"/>
      <c r="BC14" s="37"/>
      <c r="BD14" s="37"/>
      <c r="BE14" s="37"/>
      <c r="BF14" s="37"/>
    </row>
    <row r="15" spans="2:58" ht="18" customHeight="1" outlineLevel="1" x14ac:dyDescent="0.3">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8"/>
      <c r="AI15" s="38"/>
      <c r="AJ15" s="39"/>
      <c r="AK15" s="37"/>
      <c r="AL15" s="37"/>
      <c r="AM15" s="37"/>
      <c r="AN15" s="37"/>
      <c r="AO15" s="37"/>
      <c r="AP15" s="37"/>
      <c r="AQ15" s="37"/>
      <c r="AR15" s="37"/>
      <c r="AS15" s="37"/>
      <c r="AT15" s="37"/>
      <c r="AU15" s="37"/>
      <c r="AV15" s="37"/>
      <c r="AW15" s="37"/>
      <c r="AX15" s="37"/>
      <c r="AY15" s="37"/>
      <c r="AZ15" s="37"/>
      <c r="BA15" s="37"/>
      <c r="BB15" s="37"/>
      <c r="BC15" s="37"/>
      <c r="BD15" s="37"/>
      <c r="BE15" s="37"/>
      <c r="BF15" s="37"/>
    </row>
    <row r="16" spans="2:58" ht="18" customHeight="1" outlineLevel="1" x14ac:dyDescent="0.3">
      <c r="B16" s="37"/>
      <c r="C16" s="37"/>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7"/>
      <c r="AH16" s="38"/>
      <c r="AI16" s="38"/>
      <c r="AJ16" s="39"/>
      <c r="AK16" s="37"/>
      <c r="AL16" s="37"/>
      <c r="AM16" s="37"/>
      <c r="AN16" s="37"/>
      <c r="AO16" s="37"/>
      <c r="AP16" s="37"/>
      <c r="AQ16" s="37"/>
      <c r="AR16" s="37"/>
      <c r="AS16" s="37"/>
      <c r="AT16" s="37"/>
      <c r="AU16" s="37"/>
      <c r="AV16" s="37"/>
      <c r="AW16" s="37"/>
      <c r="AX16" s="37"/>
      <c r="AY16" s="37"/>
      <c r="AZ16" s="37"/>
      <c r="BA16" s="37"/>
      <c r="BB16" s="37"/>
      <c r="BC16" s="37"/>
      <c r="BD16" s="37"/>
      <c r="BE16" s="37"/>
      <c r="BF16" s="37"/>
    </row>
    <row r="17" spans="2:58" ht="18" customHeight="1" outlineLevel="1" x14ac:dyDescent="0.3">
      <c r="B17" s="37"/>
      <c r="C17" s="37"/>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38"/>
      <c r="AI17" s="38"/>
      <c r="AJ17" s="39"/>
      <c r="AK17" s="37"/>
      <c r="AL17" s="37"/>
      <c r="AM17" s="37"/>
      <c r="AN17" s="37"/>
      <c r="AO17" s="37"/>
      <c r="AP17" s="37"/>
      <c r="AQ17" s="37"/>
      <c r="AR17" s="37"/>
      <c r="AS17" s="37"/>
      <c r="AT17" s="37"/>
      <c r="AU17" s="37"/>
      <c r="AV17" s="37"/>
      <c r="AW17" s="37"/>
      <c r="AX17" s="37"/>
      <c r="AY17" s="37"/>
      <c r="AZ17" s="37"/>
      <c r="BA17" s="37"/>
      <c r="BB17" s="37"/>
      <c r="BC17" s="37"/>
      <c r="BD17" s="37"/>
      <c r="BE17" s="37"/>
      <c r="BF17" s="37"/>
    </row>
    <row r="18" spans="2:58" ht="18" customHeight="1" outlineLevel="1" x14ac:dyDescent="0.3">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38"/>
      <c r="AI18" s="38"/>
      <c r="AJ18" s="39"/>
      <c r="AK18" s="37"/>
      <c r="AL18" s="37"/>
      <c r="AM18" s="37"/>
      <c r="AN18" s="37"/>
      <c r="AO18" s="37"/>
      <c r="AP18" s="37"/>
      <c r="AQ18" s="37"/>
      <c r="AR18" s="37"/>
      <c r="AS18" s="37"/>
      <c r="AT18" s="37"/>
      <c r="AU18" s="37"/>
      <c r="AV18" s="37"/>
      <c r="AW18" s="37"/>
      <c r="AX18" s="37"/>
      <c r="AY18" s="37"/>
      <c r="AZ18" s="37"/>
      <c r="BA18" s="37"/>
      <c r="BB18" s="37"/>
      <c r="BC18" s="37"/>
      <c r="BD18" s="37"/>
      <c r="BE18" s="37"/>
      <c r="BF18" s="37"/>
    </row>
    <row r="19" spans="2:58" ht="18" customHeight="1" outlineLevel="1" x14ac:dyDescent="0.3">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38"/>
      <c r="AI19" s="38"/>
      <c r="AJ19" s="39"/>
      <c r="AK19" s="37"/>
      <c r="AL19" s="37"/>
      <c r="AM19" s="37"/>
      <c r="AN19" s="37"/>
      <c r="AO19" s="37"/>
      <c r="AP19" s="37"/>
      <c r="AQ19" s="37"/>
      <c r="AR19" s="37"/>
      <c r="AS19" s="37"/>
      <c r="AT19" s="37"/>
      <c r="AU19" s="37"/>
      <c r="AV19" s="37"/>
      <c r="AW19" s="37"/>
      <c r="AX19" s="37"/>
      <c r="AY19" s="37"/>
      <c r="AZ19" s="37"/>
      <c r="BA19" s="37"/>
      <c r="BB19" s="37"/>
      <c r="BC19" s="37"/>
      <c r="BD19" s="37"/>
      <c r="BE19" s="37"/>
      <c r="BF19" s="37"/>
    </row>
    <row r="20" spans="2:58" ht="18" customHeight="1" outlineLevel="1" x14ac:dyDescent="0.3">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8"/>
      <c r="AI20" s="38"/>
      <c r="AJ20" s="39"/>
      <c r="AK20" s="37"/>
      <c r="AL20" s="37"/>
      <c r="AM20" s="37"/>
      <c r="AN20" s="37"/>
      <c r="AO20" s="37"/>
      <c r="AP20" s="37"/>
      <c r="AQ20" s="37"/>
      <c r="AR20" s="37"/>
      <c r="AS20" s="37"/>
      <c r="AT20" s="37"/>
      <c r="AU20" s="37"/>
      <c r="AV20" s="37"/>
      <c r="AW20" s="37"/>
      <c r="AX20" s="37"/>
      <c r="AY20" s="37"/>
      <c r="AZ20" s="37"/>
      <c r="BA20" s="37"/>
      <c r="BB20" s="37"/>
      <c r="BC20" s="37"/>
      <c r="BD20" s="37"/>
      <c r="BE20" s="37"/>
      <c r="BF20" s="37"/>
    </row>
    <row r="21" spans="2:58" ht="18" customHeight="1" x14ac:dyDescent="0.3">
      <c r="B21" s="37"/>
      <c r="C21" s="37"/>
      <c r="D21" s="37"/>
      <c r="E21" s="37"/>
      <c r="F21" s="37"/>
      <c r="G21" s="37"/>
      <c r="H21" s="37"/>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37"/>
      <c r="AH21" s="38"/>
      <c r="AI21" s="38"/>
      <c r="AJ21" s="42"/>
      <c r="AK21" s="42">
        <f>SUM(Table_TonKho_DuPhong[[#All],[Gtri dự phòng]])</f>
        <v>71284.637313432802</v>
      </c>
      <c r="AL21" s="37"/>
      <c r="AM21" s="37"/>
      <c r="AN21" s="37"/>
      <c r="AO21" s="37"/>
      <c r="AP21" s="37"/>
      <c r="AQ21" s="37"/>
      <c r="AR21" s="37"/>
      <c r="AS21" s="37"/>
      <c r="AT21" s="37"/>
      <c r="AU21" s="37"/>
      <c r="AV21" s="37"/>
      <c r="AW21" s="37"/>
      <c r="AX21" s="37"/>
      <c r="AY21" s="37"/>
      <c r="AZ21" s="37"/>
      <c r="BA21" s="37"/>
      <c r="BB21" s="37"/>
      <c r="BC21" s="37"/>
      <c r="BD21" s="37"/>
      <c r="BE21" s="37"/>
      <c r="BF21" s="37"/>
    </row>
    <row r="22" spans="2:58" ht="16.5" x14ac:dyDescent="0.3">
      <c r="B22" s="34" t="s">
        <v>61</v>
      </c>
      <c r="C22" s="34" t="s">
        <v>60</v>
      </c>
      <c r="D22" s="43"/>
      <c r="E22" s="43"/>
      <c r="F22"/>
      <c r="G22" s="37"/>
      <c r="H22" s="37"/>
      <c r="I22" s="37"/>
      <c r="J22" s="37"/>
      <c r="K22" s="37"/>
      <c r="L22" s="37"/>
      <c r="M22" s="37"/>
      <c r="N22" s="37"/>
      <c r="O22" s="37"/>
      <c r="P22" s="37"/>
      <c r="Q22" s="37"/>
      <c r="R22" s="34" t="s">
        <v>13</v>
      </c>
      <c r="S22" s="34" t="s">
        <v>60</v>
      </c>
      <c r="T22" s="43"/>
      <c r="U22" s="43"/>
      <c r="V22"/>
      <c r="W22" s="37"/>
      <c r="X22" s="37"/>
      <c r="Y22" s="37"/>
      <c r="Z22" s="37"/>
      <c r="AA22" s="37"/>
      <c r="AB22" s="37"/>
      <c r="AC22" s="37"/>
      <c r="AD22" s="37"/>
      <c r="AE22" s="37"/>
      <c r="AF22" s="37"/>
      <c r="AG22" s="37"/>
      <c r="AH22" s="1" t="s">
        <v>17</v>
      </c>
      <c r="AI22" s="1" t="s">
        <v>18</v>
      </c>
      <c r="AJ22" s="1" t="s">
        <v>13</v>
      </c>
      <c r="AK22" s="1" t="s">
        <v>43</v>
      </c>
      <c r="AL22" s="37"/>
      <c r="AM22" s="37"/>
      <c r="AN22" s="1" t="s">
        <v>19</v>
      </c>
      <c r="AO22" s="1" t="s">
        <v>20</v>
      </c>
      <c r="AP22" s="1" t="s">
        <v>21</v>
      </c>
      <c r="AQ22" s="37"/>
      <c r="AR22" s="3" t="s">
        <v>16</v>
      </c>
      <c r="AS22" s="3" t="s">
        <v>48</v>
      </c>
      <c r="AT22" s="3" t="s">
        <v>56</v>
      </c>
      <c r="AU22" s="3" t="s">
        <v>14</v>
      </c>
      <c r="AV22" s="3" t="s">
        <v>57</v>
      </c>
      <c r="AW22" s="37"/>
      <c r="AX22" s="3" t="s">
        <v>48</v>
      </c>
      <c r="AY22" s="3" t="s">
        <v>44</v>
      </c>
      <c r="AZ22" s="3" t="s">
        <v>45</v>
      </c>
      <c r="BA22" s="3" t="s">
        <v>46</v>
      </c>
      <c r="BB22" s="3" t="s">
        <v>22</v>
      </c>
      <c r="BC22" s="3" t="s">
        <v>12</v>
      </c>
      <c r="BD22" s="3" t="s">
        <v>11</v>
      </c>
      <c r="BE22" s="3" t="s">
        <v>47</v>
      </c>
      <c r="BF22" s="3" t="s">
        <v>23</v>
      </c>
    </row>
    <row r="23" spans="2:58" ht="16.5" x14ac:dyDescent="0.3">
      <c r="B23" s="34" t="s">
        <v>58</v>
      </c>
      <c r="C23" t="s">
        <v>49</v>
      </c>
      <c r="D23" t="s">
        <v>52</v>
      </c>
      <c r="E23" t="s">
        <v>53</v>
      </c>
      <c r="F23"/>
      <c r="G23" s="37"/>
      <c r="H23" s="37"/>
      <c r="I23" s="37"/>
      <c r="J23" s="37"/>
      <c r="K23" s="37"/>
      <c r="L23" s="37"/>
      <c r="M23" s="37"/>
      <c r="N23" s="37"/>
      <c r="O23" s="37"/>
      <c r="P23" s="37"/>
      <c r="Q23" s="37"/>
      <c r="R23" s="34" t="s">
        <v>58</v>
      </c>
      <c r="S23" t="s">
        <v>49</v>
      </c>
      <c r="T23" t="s">
        <v>52</v>
      </c>
      <c r="U23" t="s">
        <v>53</v>
      </c>
      <c r="V23"/>
      <c r="W23" s="37"/>
      <c r="X23" s="37"/>
      <c r="Y23" s="37"/>
      <c r="Z23" s="37"/>
      <c r="AA23" s="37"/>
      <c r="AB23" s="37"/>
      <c r="AC23" s="37"/>
      <c r="AD23" s="37"/>
      <c r="AE23" s="37"/>
      <c r="AF23" s="37"/>
      <c r="AG23" s="37"/>
      <c r="AH23" s="39">
        <v>0</v>
      </c>
      <c r="AI23" s="39">
        <v>15</v>
      </c>
      <c r="AJ23" s="2">
        <v>0</v>
      </c>
      <c r="AK23" s="44" cm="1">
        <f t="array" ref="AK23"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3" s="37"/>
      <c r="AM23" s="45" cm="1">
        <f t="array" ref="AM23:AM28" xml:space="preserve">
_xlfn._xlws.SORT(_xlfn.UNIQUE(
_xlfn._xlws.FILTER(Table_Main[Ngày xuất nhập],
(Table_Main[Loại] = "Nhập")*
(Table_Main[Ngày xuất nhập] &lt;=TonKho_NgayTheoDoi)*
(Table_Main[Mặt hàng] = TonKho_MaHang)
)),,1)</f>
        <v>45722</v>
      </c>
      <c r="AN23" s="45">
        <v>45722</v>
      </c>
      <c r="AO23" s="44" cm="1">
        <f t="array" ref="AO23">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3" s="44">
        <f>IF(Table_TonKho_TuoiKho[[#This Row],[GT tồn]] = 0,0,
TonKho_NgayTheoDoi -Table_TonKho_TuoiKho[[#This Row],[Ngày nhập]])</f>
        <v>0</v>
      </c>
      <c r="AQ23" s="37"/>
      <c r="AR23" s="31">
        <v>45747</v>
      </c>
      <c r="AS23" s="19" t="s">
        <v>52</v>
      </c>
      <c r="AT23" s="46" cm="1">
        <f t="array" ref="AT23"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17503962</v>
      </c>
      <c r="AU23" s="47">
        <v>1585928.3</v>
      </c>
      <c r="AV23" s="32">
        <f>Table_TonKho[[#This Row],[Dự phòng lũy kế]]/Table_TonKho[[#This Row],[Giá trị tồn]]</f>
        <v>9.0603961548819639E-2</v>
      </c>
      <c r="AW23" s="37"/>
      <c r="AX23" s="28" t="s">
        <v>50</v>
      </c>
      <c r="AY23" s="48" cm="1">
        <f t="array" ref="AY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Z23" s="48" cm="1">
        <f t="array" ref="AZ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3" s="48">
        <f>IFERROR(Table_Main[[#This Row],[Giá trị tồn đầu ngày]]/Table_Main[[#This Row],[Tồn kho đầu ngày]],0)</f>
        <v>0</v>
      </c>
      <c r="BB23" s="49">
        <v>45808</v>
      </c>
      <c r="BC23" s="19" t="s">
        <v>55</v>
      </c>
      <c r="BD23" s="50">
        <v>23</v>
      </c>
      <c r="BE23" s="51"/>
      <c r="BF23" s="52">
        <f xml:space="preserve">
IF(Table_Main[[#This Row],[Loại]]="Nhập",Table_Main[[#This Row],[Số lượng]]*Table_Main[[#This Row],[Giá nhập / Giá vốn]],Table_Main[[#This Row],[Số lượng]]*Table_Main[[#This Row],[Giá trị bình quân đầu ngày]])</f>
        <v>0</v>
      </c>
    </row>
    <row r="24" spans="2:58" ht="16.5" x14ac:dyDescent="0.3">
      <c r="B24" s="35">
        <v>45747</v>
      </c>
      <c r="C24" s="53">
        <v>304294.31268656714</v>
      </c>
      <c r="D24" s="53">
        <v>1585928.3</v>
      </c>
      <c r="E24" s="53">
        <v>1830850.8074074076</v>
      </c>
      <c r="F24"/>
      <c r="G24" s="37"/>
      <c r="H24" s="37"/>
      <c r="I24" s="37"/>
      <c r="J24" s="37"/>
      <c r="K24" s="37"/>
      <c r="L24" s="37"/>
      <c r="M24" s="37"/>
      <c r="N24" s="37"/>
      <c r="O24" s="37"/>
      <c r="P24" s="37"/>
      <c r="Q24" s="37"/>
      <c r="R24" s="35">
        <v>45747</v>
      </c>
      <c r="S24" s="36">
        <v>3.2777378981014696E-2</v>
      </c>
      <c r="T24" s="36">
        <v>9.0603961548819639E-2</v>
      </c>
      <c r="U24" s="36">
        <v>9.3808358983307111E-2</v>
      </c>
      <c r="V24"/>
      <c r="W24" s="37"/>
      <c r="X24" s="37"/>
      <c r="Y24" s="37"/>
      <c r="Z24" s="37"/>
      <c r="AA24" s="37"/>
      <c r="AB24" s="37"/>
      <c r="AC24" s="37"/>
      <c r="AD24" s="37"/>
      <c r="AE24" s="37"/>
      <c r="AF24" s="37"/>
      <c r="AG24" s="37"/>
      <c r="AH24" s="39">
        <v>15</v>
      </c>
      <c r="AI24" s="39">
        <v>30</v>
      </c>
      <c r="AJ24" s="2">
        <v>0.05</v>
      </c>
      <c r="AK24" s="44" cm="1">
        <f t="array" ref="AK24"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71284.637313432802</v>
      </c>
      <c r="AL24" s="37"/>
      <c r="AM24" s="45">
        <v>45732</v>
      </c>
      <c r="AN24" s="45">
        <v>45732</v>
      </c>
      <c r="AO24" s="44" cm="1">
        <f t="array" ref="AO24">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4" s="44">
        <f>IF(Table_TonKho_TuoiKho[[#This Row],[GT tồn]] = 0,0,
TonKho_NgayTheoDoi -Table_TonKho_TuoiKho[[#This Row],[Ngày nhập]])</f>
        <v>0</v>
      </c>
      <c r="AQ24" s="37"/>
      <c r="AR24" s="31">
        <v>45747</v>
      </c>
      <c r="AS24" s="19" t="s">
        <v>53</v>
      </c>
      <c r="AT24" s="46" cm="1">
        <f t="array" ref="AT24"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19516926.074074075</v>
      </c>
      <c r="AU24" s="47">
        <v>1830850.8074074076</v>
      </c>
      <c r="AV24" s="32">
        <f>Table_TonKho[[#This Row],[Dự phòng lũy kế]]/Table_TonKho[[#This Row],[Giá trị tồn]]</f>
        <v>9.3808358983307111E-2</v>
      </c>
      <c r="AW24" s="37"/>
      <c r="AX24" s="28" t="s">
        <v>51</v>
      </c>
      <c r="AY24" s="48" cm="1">
        <f t="array" ref="AY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Z24" s="48" cm="1">
        <f t="array" ref="AZ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4" s="48">
        <f>IFERROR(Table_Main[[#This Row],[Giá trị tồn đầu ngày]]/Table_Main[[#This Row],[Tồn kho đầu ngày]],0)</f>
        <v>0</v>
      </c>
      <c r="BB24" s="49">
        <v>45808</v>
      </c>
      <c r="BC24" s="19" t="s">
        <v>54</v>
      </c>
      <c r="BD24" s="50">
        <v>19</v>
      </c>
      <c r="BE24" s="51"/>
      <c r="BF24" s="52">
        <f xml:space="preserve">
IF(Table_Main[[#This Row],[Loại]]="Nhập",Table_Main[[#This Row],[Số lượng]]*Table_Main[[#This Row],[Giá nhập / Giá vốn]],Table_Main[[#This Row],[Số lượng]]*Table_Main[[#This Row],[Giá trị bình quân đầu ngày]])</f>
        <v>0</v>
      </c>
    </row>
    <row r="25" spans="2:58" ht="16.5" x14ac:dyDescent="0.3">
      <c r="B25" s="35">
        <v>45777</v>
      </c>
      <c r="C25" s="53"/>
      <c r="D25" s="53">
        <v>3878156.8210526318</v>
      </c>
      <c r="E25" s="53">
        <v>994140.11321242829</v>
      </c>
      <c r="F25"/>
      <c r="G25" s="37"/>
      <c r="H25" s="37"/>
      <c r="I25" s="37"/>
      <c r="J25" s="37"/>
      <c r="K25" s="37"/>
      <c r="L25" s="37"/>
      <c r="M25" s="37"/>
      <c r="N25" s="37"/>
      <c r="O25" s="37"/>
      <c r="P25" s="37"/>
      <c r="Q25" s="37"/>
      <c r="R25" s="35">
        <v>45777</v>
      </c>
      <c r="S25" s="36">
        <v>0</v>
      </c>
      <c r="T25" s="36">
        <v>0.25903116262518511</v>
      </c>
      <c r="U25" s="36">
        <v>0.10603512694076912</v>
      </c>
      <c r="V25"/>
      <c r="W25" s="37"/>
      <c r="X25" s="37"/>
      <c r="Y25" s="37"/>
      <c r="Z25" s="37"/>
      <c r="AA25" s="37"/>
      <c r="AB25" s="37"/>
      <c r="AC25" s="37"/>
      <c r="AD25" s="37"/>
      <c r="AE25" s="37"/>
      <c r="AF25" s="37"/>
      <c r="AG25" s="37"/>
      <c r="AH25" s="39">
        <v>30</v>
      </c>
      <c r="AI25" s="39">
        <v>60</v>
      </c>
      <c r="AJ25" s="2">
        <v>0.1</v>
      </c>
      <c r="AK25" s="44" cm="1">
        <f t="array" ref="AK25"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5" s="37"/>
      <c r="AM25" s="45">
        <v>45764</v>
      </c>
      <c r="AN25" s="45">
        <v>45764</v>
      </c>
      <c r="AO25" s="44" cm="1">
        <f t="array" ref="AO25">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5" s="44">
        <f>IF(Table_TonKho_TuoiKho[[#This Row],[GT tồn]] = 0,0,
TonKho_NgayTheoDoi -Table_TonKho_TuoiKho[[#This Row],[Ngày nhập]])</f>
        <v>0</v>
      </c>
      <c r="AQ25" s="37"/>
      <c r="AR25" s="31">
        <v>45747</v>
      </c>
      <c r="AS25" s="19" t="s">
        <v>49</v>
      </c>
      <c r="AT25" s="46" cm="1">
        <f t="array" ref="AT25"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9283668.2537313439</v>
      </c>
      <c r="AU25" s="47">
        <v>304294.31268656714</v>
      </c>
      <c r="AV25" s="32">
        <f>Table_TonKho[[#This Row],[Dự phòng lũy kế]]/Table_TonKho[[#This Row],[Giá trị tồn]]</f>
        <v>3.2777378981014696E-2</v>
      </c>
      <c r="AW25" s="37"/>
      <c r="AX25" s="29" t="s">
        <v>52</v>
      </c>
      <c r="AY25" s="48" cm="1">
        <f t="array" ref="AY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Z25" s="48" cm="1">
        <f t="array" ref="AZ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BA25" s="48">
        <f>IFERROR(Table_Main[[#This Row],[Giá trị tồn đầu ngày]]/Table_Main[[#This Row],[Tồn kho đầu ngày]],0)</f>
        <v>106213.67880461096</v>
      </c>
      <c r="BB25" s="49">
        <v>45807</v>
      </c>
      <c r="BC25" s="19" t="s">
        <v>54</v>
      </c>
      <c r="BD25" s="50">
        <v>7</v>
      </c>
      <c r="BE25" s="51"/>
      <c r="BF25" s="52">
        <f xml:space="preserve">
IF(Table_Main[[#This Row],[Loại]]="Nhập",Table_Main[[#This Row],[Số lượng]]*Table_Main[[#This Row],[Giá nhập / Giá vốn]],Table_Main[[#This Row],[Số lượng]]*Table_Main[[#This Row],[Giá trị bình quân đầu ngày]])</f>
        <v>743495.75163227669</v>
      </c>
    </row>
    <row r="26" spans="2:58" ht="16.5" x14ac:dyDescent="0.3">
      <c r="B26" s="35">
        <v>45808</v>
      </c>
      <c r="C26" s="53">
        <v>71284.637313432802</v>
      </c>
      <c r="D26" s="53">
        <v>5461230.0948885884</v>
      </c>
      <c r="E26" s="53">
        <v>719490.96854972269</v>
      </c>
      <c r="F26"/>
      <c r="G26" s="37"/>
      <c r="H26" s="37"/>
      <c r="I26" s="37"/>
      <c r="J26" s="37"/>
      <c r="K26" s="37"/>
      <c r="L26" s="37"/>
      <c r="M26" s="37"/>
      <c r="N26" s="37"/>
      <c r="O26" s="37"/>
      <c r="P26" s="37"/>
      <c r="Q26" s="37"/>
      <c r="R26" s="35">
        <v>45808</v>
      </c>
      <c r="S26" s="36">
        <v>1.1836542200675535E-2</v>
      </c>
      <c r="T26" s="36">
        <v>0.30424490837115475</v>
      </c>
      <c r="U26" s="36">
        <v>6.3336626279212591E-2</v>
      </c>
      <c r="V26"/>
      <c r="W26" s="37"/>
      <c r="X26" s="37"/>
      <c r="Y26" s="37"/>
      <c r="Z26" s="37"/>
      <c r="AA26" s="37"/>
      <c r="AB26" s="37"/>
      <c r="AC26" s="37"/>
      <c r="AD26" s="37"/>
      <c r="AE26" s="37"/>
      <c r="AF26" s="37"/>
      <c r="AG26" s="37"/>
      <c r="AH26" s="39">
        <v>60</v>
      </c>
      <c r="AI26" s="39"/>
      <c r="AJ26" s="2">
        <v>0.15</v>
      </c>
      <c r="AK26" s="44" cm="1">
        <f t="array" ref="AK26"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6" s="37"/>
      <c r="AM26" s="45">
        <v>45782</v>
      </c>
      <c r="AN26" s="45">
        <v>45782</v>
      </c>
      <c r="AO26" s="44" cm="1">
        <f t="array" ref="AO26">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1425692.7462686561</v>
      </c>
      <c r="AP26" s="44">
        <f>IF(Table_TonKho_TuoiKho[[#This Row],[GT tồn]] = 0,0,
TonKho_NgayTheoDoi -Table_TonKho_TuoiKho[[#This Row],[Ngày nhập]])</f>
        <v>26</v>
      </c>
      <c r="AQ26" s="37"/>
      <c r="AR26" s="31">
        <v>45777</v>
      </c>
      <c r="AS26" s="19" t="s">
        <v>52</v>
      </c>
      <c r="AT26" s="46" cm="1">
        <f t="array" ref="AT26"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14971777.070175439</v>
      </c>
      <c r="AU26" s="47">
        <v>3878156.8210526318</v>
      </c>
      <c r="AV26" s="32">
        <f>Table_TonKho[[#This Row],[Dự phòng lũy kế]]/Table_TonKho[[#This Row],[Giá trị tồn]]</f>
        <v>0.25903116262518511</v>
      </c>
      <c r="AW26" s="37"/>
      <c r="AX26" s="28" t="s">
        <v>51</v>
      </c>
      <c r="AY26" s="48" cm="1">
        <f t="array" ref="AY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Z26" s="48" cm="1">
        <f t="array" ref="AZ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6" s="48">
        <f>IFERROR(Table_Main[[#This Row],[Giá trị tồn đầu ngày]]/Table_Main[[#This Row],[Tồn kho đầu ngày]],0)</f>
        <v>0</v>
      </c>
      <c r="BB26" s="49">
        <v>45806</v>
      </c>
      <c r="BC26" s="19" t="s">
        <v>55</v>
      </c>
      <c r="BD26" s="50">
        <v>6</v>
      </c>
      <c r="BE26" s="51"/>
      <c r="BF26" s="52">
        <f xml:space="preserve">
IF(Table_Main[[#This Row],[Loại]]="Nhập",Table_Main[[#This Row],[Số lượng]]*Table_Main[[#This Row],[Giá nhập / Giá vốn]],Table_Main[[#This Row],[Số lượng]]*Table_Main[[#This Row],[Giá trị bình quân đầu ngày]])</f>
        <v>0</v>
      </c>
    </row>
    <row r="27" spans="2:58" ht="16.5" x14ac:dyDescent="0.3">
      <c r="B27" s="35" t="s">
        <v>59</v>
      </c>
      <c r="C27" s="53">
        <v>375578.94999999995</v>
      </c>
      <c r="D27" s="53">
        <v>10925315.215941221</v>
      </c>
      <c r="E27" s="53">
        <v>3544481.8891695589</v>
      </c>
      <c r="F27"/>
      <c r="G27" s="37"/>
      <c r="H27" s="37"/>
      <c r="I27" s="37"/>
      <c r="J27" s="37"/>
      <c r="K27" s="37"/>
      <c r="L27" s="37"/>
      <c r="M27" s="37"/>
      <c r="N27" s="37"/>
      <c r="O27" s="37"/>
      <c r="P27" s="37"/>
      <c r="Q27" s="37"/>
      <c r="R27" s="35" t="s">
        <v>59</v>
      </c>
      <c r="S27" s="36">
        <v>4.4613921181690233E-2</v>
      </c>
      <c r="T27" s="36">
        <v>0.65388003254515947</v>
      </c>
      <c r="U27" s="36">
        <v>0.26318011220328885</v>
      </c>
      <c r="V27"/>
      <c r="W27" s="37"/>
      <c r="X27" s="37"/>
      <c r="Y27" s="37"/>
      <c r="Z27" s="37"/>
      <c r="AA27" s="37"/>
      <c r="AB27" s="37"/>
      <c r="AC27" s="37"/>
      <c r="AD27" s="37"/>
      <c r="AE27" s="37"/>
      <c r="AF27" s="37"/>
      <c r="AG27" s="37"/>
      <c r="AH27" s="37"/>
      <c r="AI27" s="38"/>
      <c r="AJ27" s="38"/>
      <c r="AK27" s="54"/>
      <c r="AL27" s="37"/>
      <c r="AM27" s="45">
        <v>45802</v>
      </c>
      <c r="AN27" s="45">
        <v>45802</v>
      </c>
      <c r="AO27" s="44" cm="1">
        <f t="array" ref="AO27">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2752212.7462686561</v>
      </c>
      <c r="AP27" s="44">
        <f>IF(Table_TonKho_TuoiKho[[#This Row],[GT tồn]] = 0,0,
TonKho_NgayTheoDoi -Table_TonKho_TuoiKho[[#This Row],[Ngày nhập]])</f>
        <v>6</v>
      </c>
      <c r="AQ27" s="37"/>
      <c r="AR27" s="31">
        <v>45777</v>
      </c>
      <c r="AS27" s="19" t="s">
        <v>53</v>
      </c>
      <c r="AT27" s="46" cm="1">
        <f t="array" ref="AT27"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9375573.3773747608</v>
      </c>
      <c r="AU27" s="47">
        <v>994140.11321242829</v>
      </c>
      <c r="AV27" s="33">
        <f>Table_TonKho[[#This Row],[Dự phòng lũy kế]]/Table_TonKho[[#This Row],[Giá trị tồn]]</f>
        <v>0.10603512694076912</v>
      </c>
      <c r="AW27" s="37"/>
      <c r="AX27" s="29" t="s">
        <v>53</v>
      </c>
      <c r="AY27" s="48" cm="1">
        <f t="array" ref="AY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27" s="48" cm="1">
        <f t="array" ref="AZ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BA27" s="48">
        <f>IFERROR(Table_Main[[#This Row],[Giá trị tồn đầu ngày]]/Table_Main[[#This Row],[Tồn kho đầu ngày]],0)</f>
        <v>119464.75123664815</v>
      </c>
      <c r="BB27" s="49">
        <v>45805</v>
      </c>
      <c r="BC27" s="19" t="s">
        <v>54</v>
      </c>
      <c r="BD27" s="50">
        <v>20</v>
      </c>
      <c r="BE27" s="51"/>
      <c r="BF27" s="52">
        <f xml:space="preserve">
IF(Table_Main[[#This Row],[Loại]]="Nhập",Table_Main[[#This Row],[Số lượng]]*Table_Main[[#This Row],[Giá nhập / Giá vốn]],Table_Main[[#This Row],[Số lượng]]*Table_Main[[#This Row],[Giá trị bình quân đầu ngày]])</f>
        <v>2389295.0247329632</v>
      </c>
    </row>
    <row r="28" spans="2:58" ht="16.5" x14ac:dyDescent="0.3">
      <c r="B28" s="43"/>
      <c r="C28" s="43"/>
      <c r="D28" s="43"/>
      <c r="E28" s="43"/>
      <c r="F28" s="43"/>
      <c r="G28" s="37"/>
      <c r="H28" s="37"/>
      <c r="I28" s="37"/>
      <c r="J28" s="37"/>
      <c r="K28" s="37"/>
      <c r="L28" s="37"/>
      <c r="M28" s="37"/>
      <c r="N28" s="37"/>
      <c r="O28" s="37"/>
      <c r="P28" s="37"/>
      <c r="Q28" s="37"/>
      <c r="R28" s="43"/>
      <c r="S28" s="43"/>
      <c r="T28" s="43"/>
      <c r="U28" s="37"/>
      <c r="V28" s="37"/>
      <c r="W28" s="37"/>
      <c r="X28" s="37"/>
      <c r="Y28" s="37"/>
      <c r="Z28" s="37"/>
      <c r="AA28" s="37"/>
      <c r="AB28" s="37"/>
      <c r="AC28" s="37"/>
      <c r="AD28" s="37"/>
      <c r="AE28" s="37"/>
      <c r="AF28" s="37"/>
      <c r="AG28" s="37"/>
      <c r="AH28" s="37"/>
      <c r="AI28" s="38"/>
      <c r="AJ28" s="38"/>
      <c r="AK28" s="54"/>
      <c r="AL28" s="37"/>
      <c r="AM28" s="45">
        <v>45804</v>
      </c>
      <c r="AN28" s="45">
        <v>45804</v>
      </c>
      <c r="AO28" s="44" cm="1">
        <f t="array" ref="AO28">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6022420.7462686561</v>
      </c>
      <c r="AP28" s="44">
        <f>IF(Table_TonKho_TuoiKho[[#This Row],[GT tồn]] = 0,0,
TonKho_NgayTheoDoi -Table_TonKho_TuoiKho[[#This Row],[Ngày nhập]])</f>
        <v>4</v>
      </c>
      <c r="AQ28" s="37"/>
      <c r="AR28" s="31">
        <v>45777</v>
      </c>
      <c r="AS28" s="19" t="s">
        <v>49</v>
      </c>
      <c r="AT28" s="46" cm="1">
        <f t="array" ref="AT28"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280105.49253731407</v>
      </c>
      <c r="AU28" s="47"/>
      <c r="AV28" s="33">
        <f>Table_TonKho[[#This Row],[Dự phòng lũy kế]]/Table_TonKho[[#This Row],[Giá trị tồn]]</f>
        <v>0</v>
      </c>
      <c r="AW28" s="37"/>
      <c r="AX28" s="29" t="s">
        <v>53</v>
      </c>
      <c r="AY28" s="48" cm="1">
        <f t="array" ref="AY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28" s="48" cm="1">
        <f t="array" ref="AZ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BA28" s="48">
        <f>IFERROR(Table_Main[[#This Row],[Giá trị tồn đầu ngày]]/Table_Main[[#This Row],[Tồn kho đầu ngày]],0)</f>
        <v>119464.75123664815</v>
      </c>
      <c r="BB28" s="49">
        <v>45805</v>
      </c>
      <c r="BC28" s="19" t="s">
        <v>55</v>
      </c>
      <c r="BD28" s="50">
        <v>28</v>
      </c>
      <c r="BE28" s="51">
        <v>149711</v>
      </c>
      <c r="BF28" s="52">
        <f xml:space="preserve">
IF(Table_Main[[#This Row],[Loại]]="Nhập",Table_Main[[#This Row],[Số lượng]]*Table_Main[[#This Row],[Giá nhập / Giá vốn]],Table_Main[[#This Row],[Số lượng]]*Table_Main[[#This Row],[Giá trị bình quân đầu ngày]])</f>
        <v>4191908</v>
      </c>
    </row>
    <row r="29" spans="2:58" ht="16.5" x14ac:dyDescent="0.3">
      <c r="B29" s="43"/>
      <c r="C29" s="43"/>
      <c r="D29" s="43"/>
      <c r="E29" s="37"/>
      <c r="F29" s="37"/>
      <c r="G29" s="37"/>
      <c r="H29" s="37"/>
      <c r="I29" s="37"/>
      <c r="J29" s="37"/>
      <c r="K29" s="37"/>
      <c r="L29" s="37"/>
      <c r="M29" s="37"/>
      <c r="N29" s="37"/>
      <c r="O29" s="37"/>
      <c r="P29" s="37"/>
      <c r="Q29" s="37"/>
      <c r="R29" s="43"/>
      <c r="S29" s="43"/>
      <c r="T29" s="43"/>
      <c r="U29" s="37"/>
      <c r="V29" s="37"/>
      <c r="W29" s="37"/>
      <c r="X29" s="37"/>
      <c r="Y29" s="37"/>
      <c r="Z29" s="37"/>
      <c r="AA29" s="37"/>
      <c r="AB29" s="37"/>
      <c r="AC29" s="37"/>
      <c r="AD29" s="37"/>
      <c r="AE29" s="37"/>
      <c r="AF29" s="37"/>
      <c r="AG29" s="37"/>
      <c r="AH29" s="37"/>
      <c r="AI29" s="37"/>
      <c r="AJ29" s="37"/>
      <c r="AK29" s="37"/>
      <c r="AL29" s="37"/>
      <c r="AM29" s="37"/>
      <c r="AN29" s="37"/>
      <c r="AO29" s="44" cm="1">
        <f t="array" ref="AO29">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9" s="44">
        <f>IF(Table_TonKho_TuoiKho[[#This Row],[GT tồn]] = 0,0,
TonKho_NgayTheoDoi -Table_TonKho_TuoiKho[[#This Row],[Ngày nhập]])</f>
        <v>0</v>
      </c>
      <c r="AQ29" s="37"/>
      <c r="AR29" s="31">
        <v>45808</v>
      </c>
      <c r="AS29" s="19" t="s">
        <v>52</v>
      </c>
      <c r="AT29" s="46" cm="1">
        <f t="array" ref="AT29"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17950111.717979252</v>
      </c>
      <c r="AU29" s="47">
        <v>5461230.0948885884</v>
      </c>
      <c r="AV29" s="33">
        <f>Table_TonKho[[#This Row],[Dự phòng lũy kế]]/Table_TonKho[[#This Row],[Giá trị tồn]]</f>
        <v>0.30424490837115475</v>
      </c>
      <c r="AW29" s="37"/>
      <c r="AX29" s="28" t="s">
        <v>49</v>
      </c>
      <c r="AY29" s="48" cm="1">
        <f t="array" ref="AY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Z29" s="48" cm="1">
        <f t="array" ref="AZ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BA29" s="48">
        <f>IFERROR(Table_Main[[#This Row],[Giá trị tồn đầu ngày]]/Table_Main[[#This Row],[Tồn kho đầu ngày]],0)</f>
        <v>74384.128277531243</v>
      </c>
      <c r="BB29" s="49">
        <v>45804</v>
      </c>
      <c r="BC29" s="19" t="s">
        <v>55</v>
      </c>
      <c r="BD29" s="50">
        <v>32</v>
      </c>
      <c r="BE29" s="51">
        <v>102194</v>
      </c>
      <c r="BF29" s="52">
        <f xml:space="preserve">
IF(Table_Main[[#This Row],[Loại]]="Nhập",Table_Main[[#This Row],[Số lượng]]*Table_Main[[#This Row],[Giá nhập / Giá vốn]],Table_Main[[#This Row],[Số lượng]]*Table_Main[[#This Row],[Giá trị bình quân đầu ngày]])</f>
        <v>3270208</v>
      </c>
    </row>
    <row r="30" spans="2:58" ht="16.5" x14ac:dyDescent="0.3">
      <c r="B30" s="43"/>
      <c r="C30" s="43"/>
      <c r="D30" s="43"/>
      <c r="E30" s="37"/>
      <c r="F30" s="37"/>
      <c r="G30" s="37"/>
      <c r="H30" s="37"/>
      <c r="I30" s="37"/>
      <c r="J30" s="37"/>
      <c r="K30" s="37"/>
      <c r="L30" s="37"/>
      <c r="M30" s="37"/>
      <c r="N30" s="37"/>
      <c r="O30" s="37"/>
      <c r="P30" s="37"/>
      <c r="Q30" s="37"/>
      <c r="R30" s="43"/>
      <c r="S30" s="43"/>
      <c r="T30" s="43"/>
      <c r="U30" s="37"/>
      <c r="V30" s="37"/>
      <c r="W30" s="37"/>
      <c r="X30" s="37"/>
      <c r="Y30" s="37"/>
      <c r="Z30" s="37"/>
      <c r="AA30" s="37"/>
      <c r="AB30" s="37"/>
      <c r="AC30" s="37"/>
      <c r="AD30" s="37"/>
      <c r="AE30" s="37"/>
      <c r="AF30" s="37"/>
      <c r="AG30" s="37"/>
      <c r="AH30" s="37"/>
      <c r="AI30" s="37"/>
      <c r="AJ30" s="37"/>
      <c r="AK30" s="37"/>
      <c r="AL30" s="37"/>
      <c r="AM30" s="37"/>
      <c r="AN30" s="37"/>
      <c r="AO30" s="44" cm="1">
        <f t="array" ref="AO30">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30" s="44">
        <f>IF(Table_TonKho_TuoiKho[[#This Row],[GT tồn]] = 0,0,
TonKho_NgayTheoDoi -Table_TonKho_TuoiKho[[#This Row],[Ngày nhập]])</f>
        <v>0</v>
      </c>
      <c r="AQ30" s="37"/>
      <c r="AR30" s="31">
        <v>45808</v>
      </c>
      <c r="AS30" s="19" t="s">
        <v>53</v>
      </c>
      <c r="AT30" s="46" cm="1">
        <f t="array" ref="AT30"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11359793.07419889</v>
      </c>
      <c r="AU30" s="47">
        <v>719490.96854972269</v>
      </c>
      <c r="AV30" s="33">
        <f>Table_TonKho[[#This Row],[Dự phòng lũy kế]]/Table_TonKho[[#This Row],[Giá trị tồn]]</f>
        <v>6.3336626279212591E-2</v>
      </c>
      <c r="AW30" s="37"/>
      <c r="AX30" s="29" t="s">
        <v>53</v>
      </c>
      <c r="AY30" s="48" cm="1">
        <f t="array" ref="AY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Z30" s="48" cm="1">
        <f t="array" ref="AZ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BA30" s="48">
        <f>IFERROR(Table_Main[[#This Row],[Giá trị tồn đầu ngày]]/Table_Main[[#This Row],[Tồn kho đầu ngày]],0)</f>
        <v>119464.75123664817</v>
      </c>
      <c r="BB30" s="49">
        <v>45804</v>
      </c>
      <c r="BC30" s="19" t="s">
        <v>54</v>
      </c>
      <c r="BD30" s="50">
        <v>23</v>
      </c>
      <c r="BE30" s="51"/>
      <c r="BF30" s="52">
        <f xml:space="preserve">
IF(Table_Main[[#This Row],[Loại]]="Nhập",Table_Main[[#This Row],[Số lượng]]*Table_Main[[#This Row],[Giá nhập / Giá vốn]],Table_Main[[#This Row],[Số lượng]]*Table_Main[[#This Row],[Giá trị bình quân đầu ngày]])</f>
        <v>2747689.2784429081</v>
      </c>
    </row>
    <row r="31" spans="2:58" ht="16.5" x14ac:dyDescent="0.3">
      <c r="B31" s="43"/>
      <c r="C31" s="43"/>
      <c r="D31" s="43"/>
      <c r="E31" s="37"/>
      <c r="F31" s="37"/>
      <c r="G31" s="37"/>
      <c r="H31" s="37"/>
      <c r="I31" s="37"/>
      <c r="J31" s="37"/>
      <c r="K31" s="37"/>
      <c r="L31" s="37"/>
      <c r="M31" s="37"/>
      <c r="N31" s="37"/>
      <c r="O31" s="37"/>
      <c r="P31" s="37"/>
      <c r="Q31" s="37"/>
      <c r="R31" s="43"/>
      <c r="S31" s="43"/>
      <c r="T31" s="43"/>
      <c r="U31" s="37"/>
      <c r="V31" s="37"/>
      <c r="W31" s="37"/>
      <c r="X31" s="37"/>
      <c r="Y31" s="37"/>
      <c r="Z31" s="37"/>
      <c r="AA31" s="37"/>
      <c r="AB31" s="37"/>
      <c r="AC31" s="37"/>
      <c r="AD31" s="37"/>
      <c r="AE31" s="37"/>
      <c r="AF31" s="37"/>
      <c r="AG31" s="37"/>
      <c r="AH31" s="37"/>
      <c r="AI31" s="37"/>
      <c r="AJ31" s="37"/>
      <c r="AK31" s="37"/>
      <c r="AL31" s="37"/>
      <c r="AM31" s="37"/>
      <c r="AN31" s="54"/>
      <c r="AO31" s="37"/>
      <c r="AP31" s="37"/>
      <c r="AQ31" s="37"/>
      <c r="AR31" s="31">
        <v>45808</v>
      </c>
      <c r="AS31" s="19" t="s">
        <v>49</v>
      </c>
      <c r="AT31" s="46" cm="1">
        <f t="array" ref="AT31"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6022420.7462686561</v>
      </c>
      <c r="AU31" s="47">
        <v>71284.637313432802</v>
      </c>
      <c r="AV31" s="33">
        <f>Table_TonKho[[#This Row],[Dự phòng lũy kế]]/Table_TonKho[[#This Row],[Giá trị tồn]]</f>
        <v>1.1836542200675535E-2</v>
      </c>
      <c r="AW31" s="37"/>
      <c r="AX31" s="28" t="s">
        <v>49</v>
      </c>
      <c r="AY31" s="48" cm="1">
        <f t="array" ref="AY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Z31" s="48" cm="1">
        <f t="array" ref="AZ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BA31" s="48">
        <f>IFERROR(Table_Main[[#This Row],[Giá trị tồn đầu ngày]]/Table_Main[[#This Row],[Tồn kho đầu ngày]],0)</f>
        <v>59403.864427860673</v>
      </c>
      <c r="BB31" s="49">
        <v>45802</v>
      </c>
      <c r="BC31" s="19" t="s">
        <v>55</v>
      </c>
      <c r="BD31" s="50">
        <v>13</v>
      </c>
      <c r="BE31" s="51">
        <v>102040</v>
      </c>
      <c r="BF31" s="52">
        <f xml:space="preserve">
IF(Table_Main[[#This Row],[Loại]]="Nhập",Table_Main[[#This Row],[Số lượng]]*Table_Main[[#This Row],[Giá nhập / Giá vốn]],Table_Main[[#This Row],[Số lượng]]*Table_Main[[#This Row],[Giá trị bình quân đầu ngày]])</f>
        <v>1326520</v>
      </c>
    </row>
    <row r="32" spans="2:58" ht="16.5" x14ac:dyDescent="0.3">
      <c r="B32" s="43"/>
      <c r="C32" s="43"/>
      <c r="D32" s="43"/>
      <c r="E32" s="37"/>
      <c r="F32" s="37"/>
      <c r="G32" s="37"/>
      <c r="H32" s="37"/>
      <c r="I32" s="37"/>
      <c r="J32" s="37"/>
      <c r="K32" s="37"/>
      <c r="L32" s="37"/>
      <c r="M32" s="37"/>
      <c r="N32" s="37"/>
      <c r="O32" s="37"/>
      <c r="P32" s="37"/>
      <c r="Q32" s="37"/>
      <c r="R32" s="43"/>
      <c r="S32" s="43"/>
      <c r="T32" s="43"/>
      <c r="U32" s="37"/>
      <c r="V32" s="37"/>
      <c r="W32" s="37"/>
      <c r="X32" s="37"/>
      <c r="Y32" s="37"/>
      <c r="Z32" s="37"/>
      <c r="AA32" s="37"/>
      <c r="AB32" s="37"/>
      <c r="AC32" s="37"/>
      <c r="AD32" s="37"/>
      <c r="AE32" s="37"/>
      <c r="AF32" s="37"/>
      <c r="AG32" s="37"/>
      <c r="AH32" s="37"/>
      <c r="AI32" s="37"/>
      <c r="AJ32" s="37"/>
      <c r="AK32" s="38"/>
      <c r="AL32" s="37"/>
      <c r="AM32" s="37"/>
      <c r="AN32" s="54"/>
      <c r="AO32" s="37"/>
      <c r="AP32" s="37"/>
      <c r="AQ32" s="37"/>
      <c r="AR32" s="37"/>
      <c r="AS32" s="37"/>
      <c r="AT32" s="37"/>
      <c r="AU32" s="37"/>
      <c r="AV32" s="37"/>
      <c r="AW32" s="37"/>
      <c r="AX32" s="29" t="s">
        <v>53</v>
      </c>
      <c r="AY32" s="48" cm="1">
        <f t="array" ref="AY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Z32" s="48" cm="1">
        <f t="array" ref="AZ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BA32" s="48">
        <f>IFERROR(Table_Main[[#This Row],[Giá trị tồn đầu ngày]]/Table_Main[[#This Row],[Tồn kho đầu ngày]],0)</f>
        <v>125521.48578955393</v>
      </c>
      <c r="BB32" s="49">
        <v>45800</v>
      </c>
      <c r="BC32" s="19" t="s">
        <v>55</v>
      </c>
      <c r="BD32" s="50">
        <v>24</v>
      </c>
      <c r="BE32" s="51">
        <v>99528</v>
      </c>
      <c r="BF32" s="52">
        <f xml:space="preserve">
IF(Table_Main[[#This Row],[Loại]]="Nhập",Table_Main[[#This Row],[Số lượng]]*Table_Main[[#This Row],[Giá nhập / Giá vốn]],Table_Main[[#This Row],[Số lượng]]*Table_Main[[#This Row],[Giá trị bình quân đầu ngày]])</f>
        <v>2388672</v>
      </c>
    </row>
    <row r="33" spans="2:58" ht="16.5" x14ac:dyDescent="0.3">
      <c r="B33" s="43"/>
      <c r="C33" s="43"/>
      <c r="D33" s="43"/>
      <c r="E33" s="37"/>
      <c r="F33" s="37"/>
      <c r="G33" s="37"/>
      <c r="H33" s="37"/>
      <c r="I33" s="37"/>
      <c r="J33" s="37"/>
      <c r="K33" s="37"/>
      <c r="L33" s="37"/>
      <c r="M33" s="37"/>
      <c r="N33" s="37"/>
      <c r="O33" s="37"/>
      <c r="P33" s="37"/>
      <c r="Q33" s="37"/>
      <c r="R33" s="43"/>
      <c r="S33" s="43"/>
      <c r="T33" s="43"/>
      <c r="U33" s="37"/>
      <c r="V33" s="37"/>
      <c r="W33" s="37"/>
      <c r="X33" s="37"/>
      <c r="Y33" s="37"/>
      <c r="Z33" s="37"/>
      <c r="AA33" s="37"/>
      <c r="AB33" s="37"/>
      <c r="AC33" s="37"/>
      <c r="AD33" s="37"/>
      <c r="AE33" s="37"/>
      <c r="AF33" s="37"/>
      <c r="AG33" s="37"/>
      <c r="AH33" s="37"/>
      <c r="AI33" s="37"/>
      <c r="AJ33" s="37"/>
      <c r="AK33" s="38"/>
      <c r="AL33" s="37"/>
      <c r="AM33" s="37"/>
      <c r="AN33" s="54"/>
      <c r="AO33" s="37"/>
      <c r="AP33" s="37"/>
      <c r="AQ33" s="37"/>
      <c r="AR33" s="37"/>
      <c r="AS33" s="37"/>
      <c r="AT33" s="37"/>
      <c r="AU33" s="37"/>
      <c r="AV33" s="37"/>
      <c r="AW33" s="37"/>
      <c r="AX33" s="29" t="s">
        <v>52</v>
      </c>
      <c r="AY33" s="48" cm="1">
        <f t="array" ref="AY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Z33" s="48" cm="1">
        <f t="array" ref="AZ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BA33" s="48">
        <f>IFERROR(Table_Main[[#This Row],[Giá trị tồn đầu ngày]]/Table_Main[[#This Row],[Tồn kho đầu ngày]],0)</f>
        <v>97256.577798663333</v>
      </c>
      <c r="BB33" s="49">
        <v>45797</v>
      </c>
      <c r="BC33" s="19" t="s">
        <v>55</v>
      </c>
      <c r="BD33" s="50">
        <v>35</v>
      </c>
      <c r="BE33" s="51">
        <v>142298</v>
      </c>
      <c r="BF33" s="52">
        <f xml:space="preserve">
IF(Table_Main[[#This Row],[Loại]]="Nhập",Table_Main[[#This Row],[Số lượng]]*Table_Main[[#This Row],[Giá nhập / Giá vốn]],Table_Main[[#This Row],[Số lượng]]*Table_Main[[#This Row],[Giá trị bình quân đầu ngày]])</f>
        <v>4980430</v>
      </c>
    </row>
    <row r="34" spans="2:58" ht="16.5" x14ac:dyDescent="0.3">
      <c r="B34" s="43"/>
      <c r="C34" s="43"/>
      <c r="D34" s="43"/>
      <c r="E34" s="37"/>
      <c r="F34" s="37"/>
      <c r="G34" s="37"/>
      <c r="H34" s="37"/>
      <c r="I34" s="37"/>
      <c r="J34" s="37"/>
      <c r="K34" s="37"/>
      <c r="L34" s="37"/>
      <c r="M34" s="37"/>
      <c r="N34" s="37"/>
      <c r="O34" s="37"/>
      <c r="P34" s="37"/>
      <c r="Q34" s="37"/>
      <c r="R34" s="43"/>
      <c r="S34" s="43"/>
      <c r="T34" s="43"/>
      <c r="U34" s="37"/>
      <c r="V34" s="37"/>
      <c r="W34" s="37"/>
      <c r="X34" s="37"/>
      <c r="Y34" s="37"/>
      <c r="Z34" s="37"/>
      <c r="AA34" s="37"/>
      <c r="AB34" s="37"/>
      <c r="AC34" s="37"/>
      <c r="AD34" s="37"/>
      <c r="AE34" s="37"/>
      <c r="AF34" s="37"/>
      <c r="AG34" s="37"/>
      <c r="AH34" s="37"/>
      <c r="AI34" s="37"/>
      <c r="AJ34" s="37"/>
      <c r="AK34" s="38"/>
      <c r="AL34" s="37"/>
      <c r="AM34" s="37"/>
      <c r="AN34" s="54"/>
      <c r="AO34" s="37"/>
      <c r="AP34" s="37"/>
      <c r="AQ34" s="37"/>
      <c r="AR34" s="37"/>
      <c r="AS34" s="37"/>
      <c r="AT34" s="37"/>
      <c r="AU34" s="37"/>
      <c r="AV34" s="37"/>
      <c r="AW34" s="37"/>
      <c r="AX34" s="28" t="s">
        <v>51</v>
      </c>
      <c r="AY34" s="48" cm="1">
        <f t="array" ref="AY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Z34" s="48" cm="1">
        <f t="array" ref="AZ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34" s="48">
        <f>IFERROR(Table_Main[[#This Row],[Giá trị tồn đầu ngày]]/Table_Main[[#This Row],[Tồn kho đầu ngày]],0)</f>
        <v>0</v>
      </c>
      <c r="BB34" s="49">
        <v>45796</v>
      </c>
      <c r="BC34" s="19" t="s">
        <v>54</v>
      </c>
      <c r="BD34" s="50">
        <v>34</v>
      </c>
      <c r="BE34" s="51"/>
      <c r="BF34" s="52">
        <f xml:space="preserve">
IF(Table_Main[[#This Row],[Loại]]="Nhập",Table_Main[[#This Row],[Số lượng]]*Table_Main[[#This Row],[Giá nhập / Giá vốn]],Table_Main[[#This Row],[Số lượng]]*Table_Main[[#This Row],[Giá trị bình quân đầu ngày]])</f>
        <v>0</v>
      </c>
    </row>
    <row r="35" spans="2:58" ht="16.5" x14ac:dyDescent="0.3">
      <c r="B35" s="43"/>
      <c r="C35" s="43"/>
      <c r="D35" s="43"/>
      <c r="E35" s="37"/>
      <c r="F35" s="37"/>
      <c r="G35" s="37"/>
      <c r="H35" s="37"/>
      <c r="I35" s="37"/>
      <c r="J35" s="37"/>
      <c r="K35" s="37"/>
      <c r="L35" s="37"/>
      <c r="M35" s="37"/>
      <c r="N35" s="37"/>
      <c r="O35" s="37"/>
      <c r="P35" s="37"/>
      <c r="Q35" s="37"/>
      <c r="R35" s="43"/>
      <c r="S35" s="43"/>
      <c r="T35" s="43"/>
      <c r="U35" s="37"/>
      <c r="V35" s="37"/>
      <c r="W35" s="37"/>
      <c r="X35" s="37"/>
      <c r="Y35" s="37"/>
      <c r="Z35" s="37"/>
      <c r="AA35" s="37"/>
      <c r="AB35" s="37"/>
      <c r="AC35" s="37"/>
      <c r="AD35" s="37"/>
      <c r="AE35" s="37"/>
      <c r="AF35" s="37"/>
      <c r="AG35" s="37"/>
      <c r="AH35" s="37"/>
      <c r="AI35" s="37"/>
      <c r="AJ35" s="37"/>
      <c r="AK35" s="38"/>
      <c r="AL35" s="37"/>
      <c r="AM35" s="37"/>
      <c r="AN35" s="54"/>
      <c r="AO35" s="37"/>
      <c r="AP35" s="37"/>
      <c r="AQ35" s="37"/>
      <c r="AR35" s="37"/>
      <c r="AS35" s="37"/>
      <c r="AT35" s="37"/>
      <c r="AU35" s="37"/>
      <c r="AV35" s="37"/>
      <c r="AW35" s="37"/>
      <c r="AX35" s="28" t="s">
        <v>49</v>
      </c>
      <c r="AY35" s="48" cm="1">
        <f t="array" ref="AY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Z35" s="48" cm="1">
        <f t="array" ref="AZ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2732577.7636815924</v>
      </c>
      <c r="BA35" s="48">
        <f>IFERROR(Table_Main[[#This Row],[Giá trị tồn đầu ngày]]/Table_Main[[#This Row],[Tồn kho đầu ngày]],0)</f>
        <v>59403.864427860703</v>
      </c>
      <c r="BB35" s="49">
        <v>45793</v>
      </c>
      <c r="BC35" s="19" t="s">
        <v>54</v>
      </c>
      <c r="BD35" s="50">
        <v>22</v>
      </c>
      <c r="BE35" s="51"/>
      <c r="BF35" s="52">
        <f xml:space="preserve">
IF(Table_Main[[#This Row],[Loại]]="Nhập",Table_Main[[#This Row],[Số lượng]]*Table_Main[[#This Row],[Giá nhập / Giá vốn]],Table_Main[[#This Row],[Số lượng]]*Table_Main[[#This Row],[Giá trị bình quân đầu ngày]])</f>
        <v>1306885.0174129354</v>
      </c>
    </row>
    <row r="36" spans="2:58" ht="16.5" x14ac:dyDescent="0.3">
      <c r="B36" s="43"/>
      <c r="C36" s="43"/>
      <c r="D36" s="43"/>
      <c r="E36" s="37"/>
      <c r="F36" s="37"/>
      <c r="G36" s="37"/>
      <c r="H36" s="37"/>
      <c r="I36" s="37"/>
      <c r="J36" s="37"/>
      <c r="K36" s="37"/>
      <c r="L36" s="37"/>
      <c r="M36" s="37"/>
      <c r="N36" s="37"/>
      <c r="O36" s="37"/>
      <c r="P36" s="37"/>
      <c r="Q36" s="37"/>
      <c r="R36" s="43"/>
      <c r="S36" s="43"/>
      <c r="T36" s="43"/>
      <c r="U36" s="37"/>
      <c r="V36" s="37"/>
      <c r="W36" s="37"/>
      <c r="X36" s="37"/>
      <c r="Y36" s="37"/>
      <c r="Z36" s="37"/>
      <c r="AA36" s="37"/>
      <c r="AB36" s="37"/>
      <c r="AC36" s="37"/>
      <c r="AD36" s="37"/>
      <c r="AE36" s="37"/>
      <c r="AF36" s="37"/>
      <c r="AG36" s="37"/>
      <c r="AH36" s="37"/>
      <c r="AI36" s="37"/>
      <c r="AJ36" s="37"/>
      <c r="AK36" s="38"/>
      <c r="AL36" s="37"/>
      <c r="AM36" s="37"/>
      <c r="AN36" s="54"/>
      <c r="AO36" s="37"/>
      <c r="AP36" s="37"/>
      <c r="AQ36" s="37"/>
      <c r="AR36" s="37"/>
      <c r="AS36" s="37"/>
      <c r="AT36" s="37"/>
      <c r="AU36" s="37"/>
      <c r="AV36" s="37"/>
      <c r="AW36" s="37"/>
      <c r="AX36" s="28" t="s">
        <v>49</v>
      </c>
      <c r="AY36" s="48" cm="1">
        <f t="array" ref="AY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Z36" s="48" cm="1">
        <f t="array" ref="AZ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2851385.4925373141</v>
      </c>
      <c r="BA36" s="48">
        <f>IFERROR(Table_Main[[#This Row],[Giá trị tồn đầu ngày]]/Table_Main[[#This Row],[Tồn kho đầu ngày]],0)</f>
        <v>59403.86442786071</v>
      </c>
      <c r="BB36" s="49">
        <v>45792</v>
      </c>
      <c r="BC36" s="19" t="s">
        <v>54</v>
      </c>
      <c r="BD36" s="50">
        <v>2</v>
      </c>
      <c r="BE36" s="51"/>
      <c r="BF36" s="52">
        <f xml:space="preserve">
IF(Table_Main[[#This Row],[Loại]]="Nhập",Table_Main[[#This Row],[Số lượng]]*Table_Main[[#This Row],[Giá nhập / Giá vốn]],Table_Main[[#This Row],[Số lượng]]*Table_Main[[#This Row],[Giá trị bình quân đầu ngày]])</f>
        <v>118807.72885572142</v>
      </c>
    </row>
    <row r="37" spans="2:58" ht="16.5" x14ac:dyDescent="0.3">
      <c r="B37" s="43"/>
      <c r="C37" s="43"/>
      <c r="D37" s="43"/>
      <c r="E37" s="37"/>
      <c r="F37" s="37"/>
      <c r="G37" s="37"/>
      <c r="H37" s="37"/>
      <c r="I37" s="37"/>
      <c r="J37" s="37"/>
      <c r="K37" s="37"/>
      <c r="L37" s="37"/>
      <c r="M37" s="37"/>
      <c r="N37" s="37"/>
      <c r="O37" s="37"/>
      <c r="P37" s="37"/>
      <c r="Q37" s="37"/>
      <c r="R37" s="43"/>
      <c r="S37" s="43"/>
      <c r="T37" s="43"/>
      <c r="U37" s="37"/>
      <c r="V37" s="37"/>
      <c r="W37" s="37"/>
      <c r="X37" s="37"/>
      <c r="Y37" s="37"/>
      <c r="Z37" s="37"/>
      <c r="AA37" s="37"/>
      <c r="AB37" s="37"/>
      <c r="AC37" s="37"/>
      <c r="AD37" s="37"/>
      <c r="AE37" s="37"/>
      <c r="AF37" s="37"/>
      <c r="AG37" s="37"/>
      <c r="AH37" s="37"/>
      <c r="AI37" s="38"/>
      <c r="AJ37" s="38"/>
      <c r="AK37" s="54"/>
      <c r="AL37" s="37"/>
      <c r="AM37" s="37"/>
      <c r="AN37" s="54"/>
      <c r="AO37" s="37"/>
      <c r="AP37" s="37"/>
      <c r="AQ37" s="37"/>
      <c r="AR37" s="37"/>
      <c r="AS37" s="37"/>
      <c r="AT37" s="37"/>
      <c r="AU37" s="37"/>
      <c r="AV37" s="37"/>
      <c r="AW37" s="37"/>
      <c r="AX37" s="28" t="s">
        <v>50</v>
      </c>
      <c r="AY37" s="48" cm="1">
        <f t="array" ref="AY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Z37" s="48" cm="1">
        <f t="array" ref="AZ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37" s="48">
        <f>IFERROR(Table_Main[[#This Row],[Giá trị tồn đầu ngày]]/Table_Main[[#This Row],[Tồn kho đầu ngày]],0)</f>
        <v>0</v>
      </c>
      <c r="BB37" s="49">
        <v>45789</v>
      </c>
      <c r="BC37" s="19" t="s">
        <v>54</v>
      </c>
      <c r="BD37" s="50">
        <v>15</v>
      </c>
      <c r="BE37" s="51"/>
      <c r="BF37" s="52">
        <f xml:space="preserve">
IF(Table_Main[[#This Row],[Loại]]="Nhập",Table_Main[[#This Row],[Số lượng]]*Table_Main[[#This Row],[Giá nhập / Giá vốn]],Table_Main[[#This Row],[Số lượng]]*Table_Main[[#This Row],[Giá trị bình quân đầu ngày]])</f>
        <v>0</v>
      </c>
    </row>
    <row r="38" spans="2:58" ht="16.5" x14ac:dyDescent="0.3">
      <c r="B38" s="43"/>
      <c r="C38" s="43"/>
      <c r="D38" s="43"/>
      <c r="E38" s="37"/>
      <c r="F38" s="37"/>
      <c r="G38" s="37"/>
      <c r="H38" s="37"/>
      <c r="I38" s="37"/>
      <c r="J38" s="37"/>
      <c r="K38" s="37"/>
      <c r="L38" s="37"/>
      <c r="M38" s="37"/>
      <c r="N38" s="37"/>
      <c r="O38" s="37"/>
      <c r="P38" s="37"/>
      <c r="Q38" s="37"/>
      <c r="R38" s="43"/>
      <c r="S38" s="43"/>
      <c r="T38" s="43"/>
      <c r="U38" s="37"/>
      <c r="V38" s="37"/>
      <c r="W38" s="37"/>
      <c r="X38" s="37"/>
      <c r="Y38" s="37"/>
      <c r="Z38" s="37"/>
      <c r="AA38" s="37"/>
      <c r="AB38" s="37"/>
      <c r="AC38" s="37"/>
      <c r="AD38" s="37"/>
      <c r="AE38" s="37"/>
      <c r="AF38" s="37"/>
      <c r="AG38" s="37"/>
      <c r="AH38" s="37"/>
      <c r="AI38" s="38"/>
      <c r="AJ38" s="38"/>
      <c r="AK38" s="54"/>
      <c r="AL38" s="37"/>
      <c r="AM38" s="37"/>
      <c r="AN38" s="54"/>
      <c r="AO38" s="54"/>
      <c r="AP38" s="37"/>
      <c r="AQ38" s="37"/>
      <c r="AR38" s="37"/>
      <c r="AS38" s="37"/>
      <c r="AT38" s="37"/>
      <c r="AU38" s="37"/>
      <c r="AV38" s="37"/>
      <c r="AW38" s="37"/>
      <c r="AX38" s="29" t="s">
        <v>52</v>
      </c>
      <c r="AY38" s="48" cm="1">
        <f t="array" ref="AY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Z38" s="48" cm="1">
        <f t="array" ref="AZ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BA38" s="48">
        <f>IFERROR(Table_Main[[#This Row],[Giá trị tồn đầu ngày]]/Table_Main[[#This Row],[Tồn kho đầu ngày]],0)</f>
        <v>97256.577798663333</v>
      </c>
      <c r="BB38" s="49">
        <v>45788</v>
      </c>
      <c r="BC38" s="19" t="s">
        <v>54</v>
      </c>
      <c r="BD38" s="50">
        <v>27</v>
      </c>
      <c r="BE38" s="51"/>
      <c r="BF38" s="52">
        <f xml:space="preserve">
IF(Table_Main[[#This Row],[Loại]]="Nhập",Table_Main[[#This Row],[Số lượng]]*Table_Main[[#This Row],[Giá nhập / Giá vốn]],Table_Main[[#This Row],[Số lượng]]*Table_Main[[#This Row],[Giá trị bình quân đầu ngày]])</f>
        <v>2625927.6005639099</v>
      </c>
    </row>
    <row r="39" spans="2:58" ht="16.5" x14ac:dyDescent="0.3">
      <c r="B39" s="43"/>
      <c r="C39" s="43"/>
      <c r="D39" s="43"/>
      <c r="E39" s="37"/>
      <c r="F39" s="37"/>
      <c r="G39" s="37"/>
      <c r="H39" s="37"/>
      <c r="I39" s="37"/>
      <c r="J39" s="37"/>
      <c r="K39" s="37"/>
      <c r="L39" s="37"/>
      <c r="M39" s="37"/>
      <c r="N39" s="37"/>
      <c r="O39" s="37"/>
      <c r="P39" s="37"/>
      <c r="Q39" s="37"/>
      <c r="R39" s="43"/>
      <c r="S39" s="43"/>
      <c r="T39" s="43"/>
      <c r="U39" s="37"/>
      <c r="V39" s="37"/>
      <c r="W39" s="37"/>
      <c r="X39" s="37"/>
      <c r="Y39" s="37"/>
      <c r="Z39" s="37"/>
      <c r="AA39" s="37"/>
      <c r="AB39" s="37"/>
      <c r="AC39" s="37"/>
      <c r="AD39" s="37"/>
      <c r="AE39" s="37"/>
      <c r="AF39" s="37"/>
      <c r="AG39" s="37"/>
      <c r="AH39" s="37"/>
      <c r="AI39" s="38"/>
      <c r="AJ39" s="38"/>
      <c r="AK39" s="54"/>
      <c r="AL39" s="37"/>
      <c r="AM39" s="37"/>
      <c r="AN39" s="54"/>
      <c r="AO39" s="54"/>
      <c r="AP39" s="37"/>
      <c r="AQ39" s="37"/>
      <c r="AR39" s="37"/>
      <c r="AS39" s="37"/>
      <c r="AT39" s="37"/>
      <c r="AU39" s="37"/>
      <c r="AV39" s="37"/>
      <c r="AW39" s="37"/>
      <c r="AX39" s="29" t="s">
        <v>53</v>
      </c>
      <c r="AY39" s="48" cm="1">
        <f t="array" ref="AY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Z39" s="48" cm="1">
        <f t="array" ref="AZ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BA39" s="48">
        <f>IFERROR(Table_Main[[#This Row],[Giá trị tồn đầu ngày]]/Table_Main[[#This Row],[Tồn kho đầu ngày]],0)</f>
        <v>125007.64503166347</v>
      </c>
      <c r="BB39" s="49">
        <v>45788</v>
      </c>
      <c r="BC39" s="19" t="s">
        <v>55</v>
      </c>
      <c r="BD39" s="50">
        <v>4</v>
      </c>
      <c r="BE39" s="51">
        <v>135156</v>
      </c>
      <c r="BF39" s="52">
        <f xml:space="preserve">
IF(Table_Main[[#This Row],[Loại]]="Nhập",Table_Main[[#This Row],[Số lượng]]*Table_Main[[#This Row],[Giá nhập / Giá vốn]],Table_Main[[#This Row],[Số lượng]]*Table_Main[[#This Row],[Giá trị bình quân đầu ngày]])</f>
        <v>540624</v>
      </c>
    </row>
    <row r="40" spans="2:58" ht="18" customHeight="1" x14ac:dyDescent="0.15">
      <c r="B40" s="37"/>
      <c r="C40" s="37"/>
      <c r="D40" s="37"/>
      <c r="E40" s="37"/>
      <c r="F40" s="37"/>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8"/>
      <c r="AJ40" s="38"/>
      <c r="AK40" s="54"/>
      <c r="AL40" s="37"/>
      <c r="AM40" s="37"/>
      <c r="AN40" s="54"/>
      <c r="AO40" s="54"/>
      <c r="AP40" s="37"/>
      <c r="AQ40" s="37"/>
      <c r="AR40" s="37"/>
      <c r="AS40" s="37"/>
      <c r="AT40" s="37"/>
      <c r="AU40" s="37"/>
      <c r="AV40" s="37"/>
      <c r="AW40" s="37"/>
      <c r="AX40" s="28" t="s">
        <v>51</v>
      </c>
      <c r="AY40" s="48" cm="1">
        <f t="array" ref="AY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Z40" s="48" cm="1">
        <f t="array" ref="AZ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0" s="48">
        <f>IFERROR(Table_Main[[#This Row],[Giá trị tồn đầu ngày]]/Table_Main[[#This Row],[Tồn kho đầu ngày]],0)</f>
        <v>0</v>
      </c>
      <c r="BB40" s="49">
        <v>45786</v>
      </c>
      <c r="BC40" s="19" t="s">
        <v>54</v>
      </c>
      <c r="BD40" s="50">
        <v>22</v>
      </c>
      <c r="BE40" s="51"/>
      <c r="BF40" s="52">
        <f xml:space="preserve">
IF(Table_Main[[#This Row],[Loại]]="Nhập",Table_Main[[#This Row],[Số lượng]]*Table_Main[[#This Row],[Giá nhập / Giá vốn]],Table_Main[[#This Row],[Số lượng]]*Table_Main[[#This Row],[Giá trị bình quân đầu ngày]])</f>
        <v>0</v>
      </c>
    </row>
    <row r="41" spans="2:58" ht="18" customHeight="1" x14ac:dyDescent="0.15">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8"/>
      <c r="AJ41" s="38"/>
      <c r="AK41" s="54"/>
      <c r="AL41" s="37"/>
      <c r="AM41" s="37"/>
      <c r="AN41" s="54"/>
      <c r="AO41" s="54"/>
      <c r="AP41" s="37"/>
      <c r="AQ41" s="37"/>
      <c r="AR41" s="37"/>
      <c r="AS41" s="37"/>
      <c r="AT41" s="37"/>
      <c r="AU41" s="37"/>
      <c r="AV41" s="37"/>
      <c r="AW41" s="37"/>
      <c r="AX41" s="28" t="s">
        <v>50</v>
      </c>
      <c r="AY41" s="48" cm="1">
        <f t="array" ref="AY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Z41" s="48" cm="1">
        <f t="array" ref="AZ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1" s="48">
        <f>IFERROR(Table_Main[[#This Row],[Giá trị tồn đầu ngày]]/Table_Main[[#This Row],[Tồn kho đầu ngày]],0)</f>
        <v>0</v>
      </c>
      <c r="BB41" s="49">
        <v>45786</v>
      </c>
      <c r="BC41" s="19" t="s">
        <v>54</v>
      </c>
      <c r="BD41" s="50">
        <v>8</v>
      </c>
      <c r="BE41" s="51"/>
      <c r="BF41" s="52">
        <f xml:space="preserve">
IF(Table_Main[[#This Row],[Loại]]="Nhập",Table_Main[[#This Row],[Số lượng]]*Table_Main[[#This Row],[Giá nhập / Giá vốn]],Table_Main[[#This Row],[Số lượng]]*Table_Main[[#This Row],[Giá trị bình quân đầu ngày]])</f>
        <v>0</v>
      </c>
    </row>
    <row r="42" spans="2:58" ht="18" customHeight="1" x14ac:dyDescent="0.15">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8"/>
      <c r="AJ42" s="38"/>
      <c r="AK42" s="54"/>
      <c r="AL42" s="37"/>
      <c r="AM42" s="37"/>
      <c r="AN42" s="54"/>
      <c r="AO42" s="54"/>
      <c r="AP42" s="37"/>
      <c r="AQ42" s="37"/>
      <c r="AR42" s="37"/>
      <c r="AS42" s="37"/>
      <c r="AT42" s="37"/>
      <c r="AU42" s="37"/>
      <c r="AV42" s="37"/>
      <c r="AW42" s="37"/>
      <c r="AX42" s="28" t="s">
        <v>50</v>
      </c>
      <c r="AY42" s="48" cm="1">
        <f t="array" ref="AY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Z42" s="48" cm="1">
        <f t="array" ref="AZ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2" s="48">
        <f>IFERROR(Table_Main[[#This Row],[Giá trị tồn đầu ngày]]/Table_Main[[#This Row],[Tồn kho đầu ngày]],0)</f>
        <v>0</v>
      </c>
      <c r="BB42" s="49">
        <v>45784</v>
      </c>
      <c r="BC42" s="19" t="s">
        <v>54</v>
      </c>
      <c r="BD42" s="50">
        <v>34</v>
      </c>
      <c r="BE42" s="51"/>
      <c r="BF42" s="52">
        <f xml:space="preserve">
IF(Table_Main[[#This Row],[Loại]]="Nhập",Table_Main[[#This Row],[Số lượng]]*Table_Main[[#This Row],[Giá nhập / Giá vốn]],Table_Main[[#This Row],[Số lượng]]*Table_Main[[#This Row],[Giá trị bình quân đầu ngày]])</f>
        <v>0</v>
      </c>
    </row>
    <row r="43" spans="2:58" ht="18" customHeight="1" x14ac:dyDescent="0.15">
      <c r="B43" s="37"/>
      <c r="C43" s="37"/>
      <c r="D43" s="37"/>
      <c r="E43" s="3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8"/>
      <c r="AJ43" s="38"/>
      <c r="AK43" s="54"/>
      <c r="AL43" s="37"/>
      <c r="AM43" s="37"/>
      <c r="AN43" s="54"/>
      <c r="AO43" s="37"/>
      <c r="AP43" s="37"/>
      <c r="AQ43" s="37"/>
      <c r="AR43" s="37"/>
      <c r="AS43" s="37"/>
      <c r="AT43" s="37"/>
      <c r="AU43" s="37"/>
      <c r="AV43" s="37"/>
      <c r="AW43" s="37"/>
      <c r="AX43" s="28" t="s">
        <v>49</v>
      </c>
      <c r="AY43" s="48" cm="1">
        <f t="array" ref="AY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Z43" s="48" cm="1">
        <f t="array" ref="AZ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280105.49253731407</v>
      </c>
      <c r="BA43" s="48">
        <f>IFERROR(Table_Main[[#This Row],[Giá trị tồn đầu ngày]]/Table_Main[[#This Row],[Tồn kho đầu ngày]],0)</f>
        <v>35013.186567164259</v>
      </c>
      <c r="BB43" s="49">
        <v>45782</v>
      </c>
      <c r="BC43" s="19" t="s">
        <v>55</v>
      </c>
      <c r="BD43" s="50">
        <v>40</v>
      </c>
      <c r="BE43" s="51">
        <v>64282</v>
      </c>
      <c r="BF43" s="52">
        <f xml:space="preserve">
IF(Table_Main[[#This Row],[Loại]]="Nhập",Table_Main[[#This Row],[Số lượng]]*Table_Main[[#This Row],[Giá nhập / Giá vốn]],Table_Main[[#This Row],[Số lượng]]*Table_Main[[#This Row],[Giá trị bình quân đầu ngày]])</f>
        <v>2571280</v>
      </c>
    </row>
    <row r="44" spans="2:58" ht="18" customHeight="1" x14ac:dyDescent="0.15">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8"/>
      <c r="AJ44" s="38"/>
      <c r="AK44" s="54"/>
      <c r="AL44" s="37"/>
      <c r="AM44" s="37"/>
      <c r="AN44" s="54"/>
      <c r="AO44" s="37"/>
      <c r="AP44" s="37"/>
      <c r="AQ44" s="37"/>
      <c r="AR44" s="37"/>
      <c r="AS44" s="37"/>
      <c r="AT44" s="37"/>
      <c r="AU44" s="37"/>
      <c r="AV44" s="37"/>
      <c r="AW44" s="37"/>
      <c r="AX44" s="28" t="s">
        <v>51</v>
      </c>
      <c r="AY44" s="48" cm="1">
        <f t="array" ref="AY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Z44" s="48" cm="1">
        <f t="array" ref="AZ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4" s="48">
        <f>IFERROR(Table_Main[[#This Row],[Giá trị tồn đầu ngày]]/Table_Main[[#This Row],[Tồn kho đầu ngày]],0)</f>
        <v>0</v>
      </c>
      <c r="BB44" s="49">
        <v>45782</v>
      </c>
      <c r="BC44" s="19" t="s">
        <v>55</v>
      </c>
      <c r="BD44" s="50">
        <v>5</v>
      </c>
      <c r="BE44" s="51"/>
      <c r="BF44" s="52">
        <f xml:space="preserve">
IF(Table_Main[[#This Row],[Loại]]="Nhập",Table_Main[[#This Row],[Số lượng]]*Table_Main[[#This Row],[Giá nhập / Giá vốn]],Table_Main[[#This Row],[Số lượng]]*Table_Main[[#This Row],[Giá trị bình quân đầu ngày]])</f>
        <v>0</v>
      </c>
    </row>
    <row r="45" spans="2:58" ht="18" customHeight="1" x14ac:dyDescent="0.15">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8"/>
      <c r="AJ45" s="38"/>
      <c r="AK45" s="54"/>
      <c r="AL45" s="37"/>
      <c r="AM45" s="37"/>
      <c r="AN45" s="54"/>
      <c r="AO45" s="37"/>
      <c r="AP45" s="37"/>
      <c r="AQ45" s="37"/>
      <c r="AR45" s="37"/>
      <c r="AS45" s="37"/>
      <c r="AT45" s="37"/>
      <c r="AU45" s="37"/>
      <c r="AV45" s="37"/>
      <c r="AW45" s="37"/>
      <c r="AX45" s="28" t="s">
        <v>51</v>
      </c>
      <c r="AY45" s="48" cm="1">
        <f t="array" ref="AY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Z45" s="48" cm="1">
        <f t="array" ref="AZ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5" s="48">
        <f>IFERROR(Table_Main[[#This Row],[Giá trị tồn đầu ngày]]/Table_Main[[#This Row],[Tồn kho đầu ngày]],0)</f>
        <v>0</v>
      </c>
      <c r="BB45" s="49">
        <v>45779</v>
      </c>
      <c r="BC45" s="19" t="s">
        <v>54</v>
      </c>
      <c r="BD45" s="50">
        <v>16</v>
      </c>
      <c r="BE45" s="51"/>
      <c r="BF45" s="52">
        <f xml:space="preserve">
IF(Table_Main[[#This Row],[Loại]]="Nhập",Table_Main[[#This Row],[Số lượng]]*Table_Main[[#This Row],[Giá nhập / Giá vốn]],Table_Main[[#This Row],[Số lượng]]*Table_Main[[#This Row],[Giá trị bình quân đầu ngày]])</f>
        <v>0</v>
      </c>
    </row>
    <row r="46" spans="2:58" ht="18" customHeight="1" x14ac:dyDescent="0.15">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8"/>
      <c r="AJ46" s="38"/>
      <c r="AK46" s="54"/>
      <c r="AL46" s="37"/>
      <c r="AM46" s="37"/>
      <c r="AN46" s="54"/>
      <c r="AO46" s="37"/>
      <c r="AP46" s="37"/>
      <c r="AQ46" s="37"/>
      <c r="AR46" s="37"/>
      <c r="AS46" s="37"/>
      <c r="AT46" s="37"/>
      <c r="AU46" s="37"/>
      <c r="AV46" s="37"/>
      <c r="AW46" s="37"/>
      <c r="AX46" s="28" t="s">
        <v>50</v>
      </c>
      <c r="AY46" s="48" cm="1">
        <f t="array" ref="AY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Z46" s="48" cm="1">
        <f t="array" ref="AZ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6" s="48">
        <f>IFERROR(Table_Main[[#This Row],[Giá trị tồn đầu ngày]]/Table_Main[[#This Row],[Tồn kho đầu ngày]],0)</f>
        <v>0</v>
      </c>
      <c r="BB46" s="49">
        <v>45778</v>
      </c>
      <c r="BC46" s="19" t="s">
        <v>55</v>
      </c>
      <c r="BD46" s="50">
        <v>29</v>
      </c>
      <c r="BE46" s="51"/>
      <c r="BF46" s="52">
        <f xml:space="preserve">
IF(Table_Main[[#This Row],[Loại]]="Nhập",Table_Main[[#This Row],[Số lượng]]*Table_Main[[#This Row],[Giá nhập / Giá vốn]],Table_Main[[#This Row],[Số lượng]]*Table_Main[[#This Row],[Giá trị bình quân đầu ngày]])</f>
        <v>0</v>
      </c>
    </row>
    <row r="47" spans="2:58" ht="18" customHeight="1" x14ac:dyDescent="0.15">
      <c r="B47" s="37"/>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8"/>
      <c r="AJ47" s="38"/>
      <c r="AK47" s="54"/>
      <c r="AL47" s="37"/>
      <c r="AM47" s="37"/>
      <c r="AN47" s="54"/>
      <c r="AO47" s="37"/>
      <c r="AP47" s="37"/>
      <c r="AQ47" s="37"/>
      <c r="AR47" s="37"/>
      <c r="AS47" s="37"/>
      <c r="AT47" s="37"/>
      <c r="AU47" s="37"/>
      <c r="AV47" s="37"/>
      <c r="AW47" s="37"/>
      <c r="AX47" s="29" t="s">
        <v>52</v>
      </c>
      <c r="AY47" s="48" cm="1">
        <f t="array" ref="AY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Z47" s="48" cm="1">
        <f t="array" ref="AZ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BA47" s="48">
        <f>IFERROR(Table_Main[[#This Row],[Giá trị tồn đầu ngày]]/Table_Main[[#This Row],[Tồn kho đầu ngày]],0)</f>
        <v>98498.533356417363</v>
      </c>
      <c r="BB47" s="49">
        <v>45778</v>
      </c>
      <c r="BC47" s="19" t="s">
        <v>55</v>
      </c>
      <c r="BD47" s="50">
        <v>16</v>
      </c>
      <c r="BE47" s="51">
        <v>85458</v>
      </c>
      <c r="BF47" s="52">
        <f xml:space="preserve">
IF(Table_Main[[#This Row],[Loại]]="Nhập",Table_Main[[#This Row],[Số lượng]]*Table_Main[[#This Row],[Giá nhập / Giá vốn]],Table_Main[[#This Row],[Số lượng]]*Table_Main[[#This Row],[Giá trị bình quân đầu ngày]])</f>
        <v>1367328</v>
      </c>
    </row>
    <row r="48" spans="2:58" ht="18" customHeight="1" x14ac:dyDescent="0.15">
      <c r="B48" s="37"/>
      <c r="C48" s="37"/>
      <c r="D48" s="37"/>
      <c r="E48" s="37"/>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8"/>
      <c r="AJ48" s="38"/>
      <c r="AK48" s="54"/>
      <c r="AL48" s="37"/>
      <c r="AM48" s="37"/>
      <c r="AN48" s="54"/>
      <c r="AO48" s="37"/>
      <c r="AP48" s="37"/>
      <c r="AQ48" s="37"/>
      <c r="AR48" s="37"/>
      <c r="AS48" s="37"/>
      <c r="AT48" s="37"/>
      <c r="AU48" s="37"/>
      <c r="AV48" s="37"/>
      <c r="AW48" s="37"/>
      <c r="AX48" s="28" t="s">
        <v>50</v>
      </c>
      <c r="AY48" s="48" cm="1">
        <f t="array" ref="AY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Z48" s="48" cm="1">
        <f t="array" ref="AZ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8" s="48">
        <f>IFERROR(Table_Main[[#This Row],[Giá trị tồn đầu ngày]]/Table_Main[[#This Row],[Tồn kho đầu ngày]],0)</f>
        <v>0</v>
      </c>
      <c r="BB48" s="49">
        <v>45777</v>
      </c>
      <c r="BC48" s="19" t="s">
        <v>54</v>
      </c>
      <c r="BD48" s="50">
        <v>39</v>
      </c>
      <c r="BE48" s="51"/>
      <c r="BF48" s="52">
        <f xml:space="preserve">
IF(Table_Main[[#This Row],[Loại]]="Nhập",Table_Main[[#This Row],[Số lượng]]*Table_Main[[#This Row],[Giá nhập / Giá vốn]],Table_Main[[#This Row],[Số lượng]]*Table_Main[[#This Row],[Giá trị bình quân đầu ngày]])</f>
        <v>0</v>
      </c>
    </row>
    <row r="49" spans="2:58" ht="18" customHeight="1" x14ac:dyDescent="0.15">
      <c r="B49" s="37"/>
      <c r="C49" s="37"/>
      <c r="D49" s="37"/>
      <c r="E49" s="37"/>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8"/>
      <c r="AJ49" s="38"/>
      <c r="AK49" s="54"/>
      <c r="AL49" s="37"/>
      <c r="AM49" s="37"/>
      <c r="AN49" s="54"/>
      <c r="AO49" s="37"/>
      <c r="AP49" s="37"/>
      <c r="AQ49" s="37"/>
      <c r="AR49" s="37"/>
      <c r="AS49" s="37"/>
      <c r="AT49" s="37"/>
      <c r="AU49" s="37"/>
      <c r="AV49" s="37"/>
      <c r="AW49" s="37"/>
      <c r="AX49" s="28" t="s">
        <v>50</v>
      </c>
      <c r="AY49" s="48" cm="1">
        <f t="array" ref="AY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49" s="48" cm="1">
        <f t="array" ref="AZ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9" s="48">
        <f>IFERROR(Table_Main[[#This Row],[Giá trị tồn đầu ngày]]/Table_Main[[#This Row],[Tồn kho đầu ngày]],0)</f>
        <v>0</v>
      </c>
      <c r="BB49" s="49">
        <v>45776</v>
      </c>
      <c r="BC49" s="19" t="s">
        <v>54</v>
      </c>
      <c r="BD49" s="50">
        <v>21</v>
      </c>
      <c r="BE49" s="51"/>
      <c r="BF49" s="52">
        <f xml:space="preserve">
IF(Table_Main[[#This Row],[Loại]]="Nhập",Table_Main[[#This Row],[Số lượng]]*Table_Main[[#This Row],[Giá nhập / Giá vốn]],Table_Main[[#This Row],[Số lượng]]*Table_Main[[#This Row],[Giá trị bình quân đầu ngày]])</f>
        <v>0</v>
      </c>
    </row>
    <row r="50" spans="2:58" ht="18" customHeight="1" x14ac:dyDescent="0.15">
      <c r="B50" s="37"/>
      <c r="C50" s="37"/>
      <c r="D50" s="37"/>
      <c r="E50" s="37"/>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8"/>
      <c r="AJ50" s="38"/>
      <c r="AK50" s="54"/>
      <c r="AL50" s="37"/>
      <c r="AM50" s="37"/>
      <c r="AN50" s="54"/>
      <c r="AO50" s="37"/>
      <c r="AP50" s="37"/>
      <c r="AQ50" s="37"/>
      <c r="AR50" s="37"/>
      <c r="AS50" s="37"/>
      <c r="AT50" s="37"/>
      <c r="AU50" s="37"/>
      <c r="AV50" s="37"/>
      <c r="AW50" s="37"/>
      <c r="AX50" s="29" t="s">
        <v>52</v>
      </c>
      <c r="AY50" s="48" cm="1">
        <f t="array" ref="AY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Z50" s="48" cm="1">
        <f t="array" ref="AZ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BA50" s="48">
        <f>IFERROR(Table_Main[[#This Row],[Giá trị tồn đầu ngày]]/Table_Main[[#This Row],[Tồn kho đầu ngày]],0)</f>
        <v>102362.35087719299</v>
      </c>
      <c r="BB50" s="49">
        <v>45775</v>
      </c>
      <c r="BC50" s="19" t="s">
        <v>55</v>
      </c>
      <c r="BD50" s="50">
        <v>15</v>
      </c>
      <c r="BE50" s="51">
        <v>63209</v>
      </c>
      <c r="BF50" s="52">
        <f xml:space="preserve">
IF(Table_Main[[#This Row],[Loại]]="Nhập",Table_Main[[#This Row],[Số lượng]]*Table_Main[[#This Row],[Giá nhập / Giá vốn]],Table_Main[[#This Row],[Số lượng]]*Table_Main[[#This Row],[Giá trị bình quân đầu ngày]])</f>
        <v>948135</v>
      </c>
    </row>
    <row r="51" spans="2:58" ht="18" customHeight="1" x14ac:dyDescent="0.15">
      <c r="B51" s="37"/>
      <c r="C51" s="37"/>
      <c r="D51" s="37"/>
      <c r="E51" s="3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8"/>
      <c r="AJ51" s="38"/>
      <c r="AK51" s="54"/>
      <c r="AL51" s="37"/>
      <c r="AM51" s="37"/>
      <c r="AN51" s="54"/>
      <c r="AO51" s="37"/>
      <c r="AP51" s="37"/>
      <c r="AQ51" s="37"/>
      <c r="AR51" s="37"/>
      <c r="AS51" s="37"/>
      <c r="AT51" s="37"/>
      <c r="AU51" s="37"/>
      <c r="AV51" s="37"/>
      <c r="AW51" s="37"/>
      <c r="AX51" s="28" t="s">
        <v>51</v>
      </c>
      <c r="AY51" s="48" cm="1">
        <f t="array" ref="AY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Z51" s="48" cm="1">
        <f t="array" ref="AZ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1" s="48">
        <f>IFERROR(Table_Main[[#This Row],[Giá trị tồn đầu ngày]]/Table_Main[[#This Row],[Tồn kho đầu ngày]],0)</f>
        <v>0</v>
      </c>
      <c r="BB51" s="49">
        <v>45774</v>
      </c>
      <c r="BC51" s="19" t="s">
        <v>54</v>
      </c>
      <c r="BD51" s="50">
        <v>28</v>
      </c>
      <c r="BE51" s="51"/>
      <c r="BF51" s="52">
        <f xml:space="preserve">
IF(Table_Main[[#This Row],[Loại]]="Nhập",Table_Main[[#This Row],[Số lượng]]*Table_Main[[#This Row],[Giá nhập / Giá vốn]],Table_Main[[#This Row],[Số lượng]]*Table_Main[[#This Row],[Giá trị bình quân đầu ngày]])</f>
        <v>0</v>
      </c>
    </row>
    <row r="52" spans="2:58" ht="18" customHeight="1" x14ac:dyDescent="0.15">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8"/>
      <c r="AJ52" s="38"/>
      <c r="AK52" s="54"/>
      <c r="AL52" s="37"/>
      <c r="AM52" s="37"/>
      <c r="AN52" s="54"/>
      <c r="AO52" s="37"/>
      <c r="AP52" s="37"/>
      <c r="AQ52" s="37"/>
      <c r="AR52" s="37"/>
      <c r="AS52" s="37"/>
      <c r="AT52" s="37"/>
      <c r="AU52" s="37"/>
      <c r="AV52" s="37"/>
      <c r="AW52" s="37"/>
      <c r="AX52" s="29" t="s">
        <v>52</v>
      </c>
      <c r="AY52" s="48" cm="1">
        <f t="array" ref="AY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Z52" s="48" cm="1">
        <f t="array" ref="AZ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BA52" s="48">
        <f>IFERROR(Table_Main[[#This Row],[Giá trị tồn đầu ngày]]/Table_Main[[#This Row],[Tồn kho đầu ngày]],0)</f>
        <v>102362.35087719298</v>
      </c>
      <c r="BB52" s="49">
        <v>45774</v>
      </c>
      <c r="BC52" s="19" t="s">
        <v>54</v>
      </c>
      <c r="BD52" s="50">
        <v>34</v>
      </c>
      <c r="BE52" s="51"/>
      <c r="BF52" s="52">
        <f xml:space="preserve">
IF(Table_Main[[#This Row],[Loại]]="Nhập",Table_Main[[#This Row],[Số lượng]]*Table_Main[[#This Row],[Giá nhập / Giá vốn]],Table_Main[[#This Row],[Số lượng]]*Table_Main[[#This Row],[Giá trị bình quân đầu ngày]])</f>
        <v>3480319.9298245613</v>
      </c>
    </row>
    <row r="53" spans="2:58" ht="18" customHeight="1" x14ac:dyDescent="0.15">
      <c r="B53" s="37"/>
      <c r="C53" s="37"/>
      <c r="D53" s="37"/>
      <c r="E53" s="37"/>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8"/>
      <c r="AJ53" s="38"/>
      <c r="AK53" s="54"/>
      <c r="AL53" s="37"/>
      <c r="AM53" s="37"/>
      <c r="AN53" s="54"/>
      <c r="AO53" s="37"/>
      <c r="AP53" s="37"/>
      <c r="AQ53" s="37"/>
      <c r="AR53" s="37"/>
      <c r="AS53" s="37"/>
      <c r="AT53" s="37"/>
      <c r="AU53" s="37"/>
      <c r="AV53" s="37"/>
      <c r="AW53" s="37"/>
      <c r="AX53" s="28" t="s">
        <v>51</v>
      </c>
      <c r="AY53" s="48" cm="1">
        <f t="array" ref="AY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Z53" s="48" cm="1">
        <f t="array" ref="AZ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3" s="48">
        <f>IFERROR(Table_Main[[#This Row],[Giá trị tồn đầu ngày]]/Table_Main[[#This Row],[Tồn kho đầu ngày]],0)</f>
        <v>0</v>
      </c>
      <c r="BB53" s="49">
        <v>45773</v>
      </c>
      <c r="BC53" s="19" t="s">
        <v>55</v>
      </c>
      <c r="BD53" s="50">
        <v>32</v>
      </c>
      <c r="BE53" s="51"/>
      <c r="BF53" s="52">
        <f xml:space="preserve">
IF(Table_Main[[#This Row],[Loại]]="Nhập",Table_Main[[#This Row],[Số lượng]]*Table_Main[[#This Row],[Giá nhập / Giá vốn]],Table_Main[[#This Row],[Số lượng]]*Table_Main[[#This Row],[Giá trị bình quân đầu ngày]])</f>
        <v>0</v>
      </c>
    </row>
    <row r="54" spans="2:58" ht="18" customHeight="1" x14ac:dyDescent="0.15">
      <c r="B54" s="37"/>
      <c r="C54" s="37"/>
      <c r="D54" s="37"/>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8"/>
      <c r="AJ54" s="38"/>
      <c r="AK54" s="54"/>
      <c r="AL54" s="37"/>
      <c r="AM54" s="37"/>
      <c r="AN54" s="54"/>
      <c r="AO54" s="37"/>
      <c r="AP54" s="37"/>
      <c r="AQ54" s="37"/>
      <c r="AR54" s="37"/>
      <c r="AS54" s="37"/>
      <c r="AT54" s="37"/>
      <c r="AU54" s="37"/>
      <c r="AV54" s="37"/>
      <c r="AW54" s="37"/>
      <c r="AX54" s="28" t="s">
        <v>51</v>
      </c>
      <c r="AY54" s="48" cm="1">
        <f t="array" ref="AY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Z54" s="48" cm="1">
        <f t="array" ref="AZ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4" s="48">
        <f>IFERROR(Table_Main[[#This Row],[Giá trị tồn đầu ngày]]/Table_Main[[#This Row],[Tồn kho đầu ngày]],0)</f>
        <v>0</v>
      </c>
      <c r="BB54" s="49">
        <v>45772</v>
      </c>
      <c r="BC54" s="19" t="s">
        <v>55</v>
      </c>
      <c r="BD54" s="50">
        <v>21</v>
      </c>
      <c r="BE54" s="51"/>
      <c r="BF54" s="52">
        <f xml:space="preserve">
IF(Table_Main[[#This Row],[Loại]]="Nhập",Table_Main[[#This Row],[Số lượng]]*Table_Main[[#This Row],[Giá nhập / Giá vốn]],Table_Main[[#This Row],[Số lượng]]*Table_Main[[#This Row],[Giá trị bình quân đầu ngày]])</f>
        <v>0</v>
      </c>
    </row>
    <row r="55" spans="2:58" ht="18" customHeight="1" x14ac:dyDescent="0.15">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8"/>
      <c r="AJ55" s="38"/>
      <c r="AK55" s="54"/>
      <c r="AL55" s="37"/>
      <c r="AM55" s="37"/>
      <c r="AN55" s="54"/>
      <c r="AO55" s="37"/>
      <c r="AP55" s="37"/>
      <c r="AQ55" s="37"/>
      <c r="AR55" s="37"/>
      <c r="AS55" s="37"/>
      <c r="AT55" s="37"/>
      <c r="AU55" s="37"/>
      <c r="AV55" s="37"/>
      <c r="AW55" s="37"/>
      <c r="AX55" s="29" t="s">
        <v>53</v>
      </c>
      <c r="AY55" s="48" cm="1">
        <f t="array" ref="AY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Z55" s="48" cm="1">
        <f t="array" ref="AZ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BA55" s="48">
        <f>IFERROR(Table_Main[[#This Row],[Giá trị tồn đầu ngày]]/Table_Main[[#This Row],[Tồn kho đầu ngày]],0)</f>
        <v>114073.96754749522</v>
      </c>
      <c r="BB55" s="49">
        <v>45772</v>
      </c>
      <c r="BC55" s="19" t="s">
        <v>54</v>
      </c>
      <c r="BD55" s="50">
        <v>11</v>
      </c>
      <c r="BE55" s="51"/>
      <c r="BF55" s="52">
        <f xml:space="preserve">
IF(Table_Main[[#This Row],[Loại]]="Nhập",Table_Main[[#This Row],[Số lượng]]*Table_Main[[#This Row],[Giá nhập / Giá vốn]],Table_Main[[#This Row],[Số lượng]]*Table_Main[[#This Row],[Giá trị bình quân đầu ngày]])</f>
        <v>1254813.6430224474</v>
      </c>
    </row>
    <row r="56" spans="2:58" ht="18" customHeight="1" x14ac:dyDescent="0.15">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8"/>
      <c r="AJ56" s="38"/>
      <c r="AK56" s="54"/>
      <c r="AL56" s="37"/>
      <c r="AM56" s="37"/>
      <c r="AN56" s="54"/>
      <c r="AO56" s="37"/>
      <c r="AP56" s="37"/>
      <c r="AQ56" s="37"/>
      <c r="AR56" s="37"/>
      <c r="AS56" s="37"/>
      <c r="AT56" s="37"/>
      <c r="AU56" s="37"/>
      <c r="AV56" s="37"/>
      <c r="AW56" s="37"/>
      <c r="AX56" s="29" t="s">
        <v>53</v>
      </c>
      <c r="AY56" s="48" cm="1">
        <f t="array" ref="AY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Z56" s="48" cm="1">
        <f t="array" ref="AZ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BA56" s="48">
        <f>IFERROR(Table_Main[[#This Row],[Giá trị tồn đầu ngày]]/Table_Main[[#This Row],[Tồn kho đầu ngày]],0)</f>
        <v>114073.96754749522</v>
      </c>
      <c r="BB56" s="49">
        <v>45772</v>
      </c>
      <c r="BC56" s="19" t="s">
        <v>55</v>
      </c>
      <c r="BD56" s="50">
        <v>25</v>
      </c>
      <c r="BE56" s="51">
        <v>146875</v>
      </c>
      <c r="BF56" s="52">
        <f xml:space="preserve">
IF(Table_Main[[#This Row],[Loại]]="Nhập",Table_Main[[#This Row],[Số lượng]]*Table_Main[[#This Row],[Giá nhập / Giá vốn]],Table_Main[[#This Row],[Số lượng]]*Table_Main[[#This Row],[Giá trị bình quân đầu ngày]])</f>
        <v>3671875</v>
      </c>
    </row>
    <row r="57" spans="2:58" ht="18" customHeight="1" x14ac:dyDescent="0.15">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8"/>
      <c r="AJ57" s="38"/>
      <c r="AK57" s="54"/>
      <c r="AL57" s="37"/>
      <c r="AM57" s="37"/>
      <c r="AN57" s="54"/>
      <c r="AO57" s="37"/>
      <c r="AP57" s="37"/>
      <c r="AQ57" s="37"/>
      <c r="AR57" s="37"/>
      <c r="AS57" s="37"/>
      <c r="AT57" s="37"/>
      <c r="AU57" s="37"/>
      <c r="AV57" s="37"/>
      <c r="AW57" s="37"/>
      <c r="AX57" s="28" t="s">
        <v>51</v>
      </c>
      <c r="AY57" s="48" cm="1">
        <f t="array" ref="AY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Z57" s="48" cm="1">
        <f t="array" ref="AZ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7" s="48">
        <f>IFERROR(Table_Main[[#This Row],[Giá trị tồn đầu ngày]]/Table_Main[[#This Row],[Tồn kho đầu ngày]],0)</f>
        <v>0</v>
      </c>
      <c r="BB57" s="49">
        <v>45771</v>
      </c>
      <c r="BC57" s="19" t="s">
        <v>54</v>
      </c>
      <c r="BD57" s="50">
        <v>18</v>
      </c>
      <c r="BE57" s="51"/>
      <c r="BF57" s="52">
        <f xml:space="preserve">
IF(Table_Main[[#This Row],[Loại]]="Nhập",Table_Main[[#This Row],[Số lượng]]*Table_Main[[#This Row],[Giá nhập / Giá vốn]],Table_Main[[#This Row],[Số lượng]]*Table_Main[[#This Row],[Giá trị bình quân đầu ngày]])</f>
        <v>0</v>
      </c>
    </row>
    <row r="58" spans="2:58" ht="18" customHeight="1" x14ac:dyDescent="0.15">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8"/>
      <c r="AJ58" s="38"/>
      <c r="AK58" s="54"/>
      <c r="AL58" s="37"/>
      <c r="AM58" s="37"/>
      <c r="AN58" s="54"/>
      <c r="AO58" s="37"/>
      <c r="AP58" s="37"/>
      <c r="AQ58" s="37"/>
      <c r="AR58" s="37"/>
      <c r="AS58" s="37"/>
      <c r="AT58" s="37"/>
      <c r="AU58" s="37"/>
      <c r="AV58" s="37"/>
      <c r="AW58" s="37"/>
      <c r="AX58" s="29" t="s">
        <v>53</v>
      </c>
      <c r="AY58" s="48" cm="1">
        <f t="array" ref="AY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Z58" s="48" cm="1">
        <f t="array" ref="AZ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BA58" s="48">
        <f>IFERROR(Table_Main[[#This Row],[Giá trị tồn đầu ngày]]/Table_Main[[#This Row],[Tồn kho đầu ngày]],0)</f>
        <v>141427.00053676864</v>
      </c>
      <c r="BB58" s="49">
        <v>45767</v>
      </c>
      <c r="BC58" s="19" t="s">
        <v>55</v>
      </c>
      <c r="BD58" s="50">
        <v>23</v>
      </c>
      <c r="BE58" s="51">
        <v>68882</v>
      </c>
      <c r="BF58" s="52">
        <f xml:space="preserve">
IF(Table_Main[[#This Row],[Loại]]="Nhập",Table_Main[[#This Row],[Số lượng]]*Table_Main[[#This Row],[Giá nhập / Giá vốn]],Table_Main[[#This Row],[Số lượng]]*Table_Main[[#This Row],[Giá trị bình quân đầu ngày]])</f>
        <v>1584286</v>
      </c>
    </row>
    <row r="59" spans="2:58" ht="18" customHeight="1" x14ac:dyDescent="0.15">
      <c r="B59" s="37"/>
      <c r="C59" s="37"/>
      <c r="D59" s="37"/>
      <c r="E59" s="37"/>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8"/>
      <c r="AJ59" s="38"/>
      <c r="AK59" s="54"/>
      <c r="AL59" s="37"/>
      <c r="AM59" s="37"/>
      <c r="AN59" s="54"/>
      <c r="AO59" s="37"/>
      <c r="AP59" s="37"/>
      <c r="AQ59" s="37"/>
      <c r="AR59" s="37"/>
      <c r="AS59" s="37"/>
      <c r="AT59" s="37"/>
      <c r="AU59" s="37"/>
      <c r="AV59" s="37"/>
      <c r="AW59" s="37"/>
      <c r="AX59" s="28" t="s">
        <v>49</v>
      </c>
      <c r="AY59" s="48" cm="1">
        <f t="array" ref="AY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Z59" s="48" cm="1">
        <f t="array" ref="AZ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1622388.6268656738</v>
      </c>
      <c r="BA59" s="48">
        <f>IFERROR(Table_Main[[#This Row],[Giá trị tồn đầu ngày]]/Table_Main[[#This Row],[Tồn kho đầu ngày]],0)</f>
        <v>90132.701492537439</v>
      </c>
      <c r="BB59" s="49">
        <v>45764</v>
      </c>
      <c r="BC59" s="19" t="s">
        <v>55</v>
      </c>
      <c r="BD59" s="50">
        <v>13</v>
      </c>
      <c r="BE59" s="51">
        <v>56213</v>
      </c>
      <c r="BF59" s="52">
        <f xml:space="preserve">
IF(Table_Main[[#This Row],[Loại]]="Nhập",Table_Main[[#This Row],[Số lượng]]*Table_Main[[#This Row],[Giá nhập / Giá vốn]],Table_Main[[#This Row],[Số lượng]]*Table_Main[[#This Row],[Giá trị bình quân đầu ngày]])</f>
        <v>730769</v>
      </c>
    </row>
    <row r="60" spans="2:58" ht="18" customHeight="1" x14ac:dyDescent="0.15">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8"/>
      <c r="AJ60" s="38"/>
      <c r="AK60" s="54"/>
      <c r="AL60" s="37"/>
      <c r="AM60" s="37"/>
      <c r="AN60" s="54"/>
      <c r="AO60" s="37"/>
      <c r="AP60" s="37"/>
      <c r="AQ60" s="37"/>
      <c r="AR60" s="37"/>
      <c r="AS60" s="37"/>
      <c r="AT60" s="37"/>
      <c r="AU60" s="37"/>
      <c r="AV60" s="37"/>
      <c r="AW60" s="37"/>
      <c r="AX60" s="28" t="s">
        <v>49</v>
      </c>
      <c r="AY60" s="48" cm="1">
        <f t="array" ref="AY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Z60" s="48" cm="1">
        <f t="array" ref="AZ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1622388.6268656738</v>
      </c>
      <c r="BA60" s="48">
        <f>IFERROR(Table_Main[[#This Row],[Giá trị tồn đầu ngày]]/Table_Main[[#This Row],[Tồn kho đầu ngày]],0)</f>
        <v>90132.701492537439</v>
      </c>
      <c r="BB60" s="49">
        <v>45764</v>
      </c>
      <c r="BC60" s="19" t="s">
        <v>54</v>
      </c>
      <c r="BD60" s="50">
        <v>23</v>
      </c>
      <c r="BE60" s="51"/>
      <c r="BF60" s="52">
        <f xml:space="preserve">
IF(Table_Main[[#This Row],[Loại]]="Nhập",Table_Main[[#This Row],[Số lượng]]*Table_Main[[#This Row],[Giá nhập / Giá vốn]],Table_Main[[#This Row],[Số lượng]]*Table_Main[[#This Row],[Giá trị bình quân đầu ngày]])</f>
        <v>2073052.1343283611</v>
      </c>
    </row>
    <row r="61" spans="2:58" ht="18" customHeight="1" x14ac:dyDescent="0.15">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8"/>
      <c r="AJ61" s="38"/>
      <c r="AK61" s="54"/>
      <c r="AL61" s="37"/>
      <c r="AM61" s="37"/>
      <c r="AN61" s="54"/>
      <c r="AO61" s="37"/>
      <c r="AP61" s="37"/>
      <c r="AQ61" s="37"/>
      <c r="AR61" s="37"/>
      <c r="AS61" s="37"/>
      <c r="AT61" s="37"/>
      <c r="AU61" s="37"/>
      <c r="AV61" s="37"/>
      <c r="AW61" s="37"/>
      <c r="AX61" s="28" t="s">
        <v>51</v>
      </c>
      <c r="AY61" s="48" cm="1">
        <f t="array" ref="AY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61" s="48" cm="1">
        <f t="array" ref="AZ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1" s="48">
        <f>IFERROR(Table_Main[[#This Row],[Giá trị tồn đầu ngày]]/Table_Main[[#This Row],[Tồn kho đầu ngày]],0)</f>
        <v>0</v>
      </c>
      <c r="BB61" s="49">
        <v>45762</v>
      </c>
      <c r="BC61" s="19" t="s">
        <v>54</v>
      </c>
      <c r="BD61" s="50">
        <v>11</v>
      </c>
      <c r="BE61" s="51"/>
      <c r="BF61" s="52">
        <f xml:space="preserve">
IF(Table_Main[[#This Row],[Loại]]="Nhập",Table_Main[[#This Row],[Số lượng]]*Table_Main[[#This Row],[Giá nhập / Giá vốn]],Table_Main[[#This Row],[Số lượng]]*Table_Main[[#This Row],[Giá trị bình quân đầu ngày]])</f>
        <v>0</v>
      </c>
    </row>
    <row r="62" spans="2:58" ht="18" customHeight="1" x14ac:dyDescent="0.15">
      <c r="B62" s="37"/>
      <c r="C62" s="37"/>
      <c r="D62" s="37"/>
      <c r="E62" s="37"/>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8"/>
      <c r="AJ62" s="38"/>
      <c r="AK62" s="54"/>
      <c r="AL62" s="37"/>
      <c r="AM62" s="37"/>
      <c r="AN62" s="54"/>
      <c r="AO62" s="37"/>
      <c r="AP62" s="37"/>
      <c r="AQ62" s="37"/>
      <c r="AR62" s="37"/>
      <c r="AS62" s="37"/>
      <c r="AT62" s="37"/>
      <c r="AU62" s="37"/>
      <c r="AV62" s="37"/>
      <c r="AW62" s="37"/>
      <c r="AX62" s="28" t="s">
        <v>49</v>
      </c>
      <c r="AY62" s="48" cm="1">
        <f t="array" ref="AY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Z62" s="48" cm="1">
        <f t="array" ref="AZ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5137563.9850746244</v>
      </c>
      <c r="BA62" s="48">
        <f>IFERROR(Table_Main[[#This Row],[Giá trị tồn đầu ngày]]/Table_Main[[#This Row],[Tồn kho đầu ngày]],0)</f>
        <v>90132.701492537264</v>
      </c>
      <c r="BB62" s="49">
        <v>45761</v>
      </c>
      <c r="BC62" s="19" t="s">
        <v>54</v>
      </c>
      <c r="BD62" s="50">
        <v>39</v>
      </c>
      <c r="BE62" s="51"/>
      <c r="BF62" s="52">
        <f xml:space="preserve">
IF(Table_Main[[#This Row],[Loại]]="Nhập",Table_Main[[#This Row],[Số lượng]]*Table_Main[[#This Row],[Giá nhập / Giá vốn]],Table_Main[[#This Row],[Số lượng]]*Table_Main[[#This Row],[Giá trị bình quân đầu ngày]])</f>
        <v>3515175.3582089534</v>
      </c>
    </row>
    <row r="63" spans="2:58" ht="18" customHeight="1" x14ac:dyDescent="0.15">
      <c r="B63" s="37"/>
      <c r="C63" s="37"/>
      <c r="D63" s="37"/>
      <c r="E63" s="37"/>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8"/>
      <c r="AJ63" s="38"/>
      <c r="AK63" s="54"/>
      <c r="AL63" s="37"/>
      <c r="AM63" s="37"/>
      <c r="AN63" s="37"/>
      <c r="AO63" s="37"/>
      <c r="AP63" s="37"/>
      <c r="AQ63" s="37"/>
      <c r="AR63" s="37"/>
      <c r="AS63" s="37"/>
      <c r="AT63" s="37"/>
      <c r="AU63" s="37"/>
      <c r="AV63" s="37"/>
      <c r="AW63" s="37"/>
      <c r="AX63" s="29" t="s">
        <v>53</v>
      </c>
      <c r="AY63" s="48" cm="1">
        <f t="array" ref="AY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Z63" s="48" cm="1">
        <f t="array" ref="AZ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BA63" s="48">
        <f>IFERROR(Table_Main[[#This Row],[Giá trị tồn đầu ngày]]/Table_Main[[#This Row],[Tồn kho đầu ngày]],0)</f>
        <v>141427.00053676867</v>
      </c>
      <c r="BB63" s="49">
        <v>45761</v>
      </c>
      <c r="BC63" s="19" t="s">
        <v>54</v>
      </c>
      <c r="BD63" s="50">
        <v>35</v>
      </c>
      <c r="BE63" s="51"/>
      <c r="BF63" s="52">
        <f xml:space="preserve">
IF(Table_Main[[#This Row],[Loại]]="Nhập",Table_Main[[#This Row],[Số lượng]]*Table_Main[[#This Row],[Giá nhập / Giá vốn]],Table_Main[[#This Row],[Số lượng]]*Table_Main[[#This Row],[Giá trị bình quân đầu ngày]])</f>
        <v>4949945.0187869035</v>
      </c>
    </row>
    <row r="64" spans="2:58" ht="18" customHeight="1" x14ac:dyDescent="0.15">
      <c r="B64" s="37"/>
      <c r="C64" s="37"/>
      <c r="D64" s="37"/>
      <c r="E64" s="37"/>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8"/>
      <c r="AJ64" s="38"/>
      <c r="AK64" s="54"/>
      <c r="AL64" s="37"/>
      <c r="AM64" s="37"/>
      <c r="AN64" s="37"/>
      <c r="AO64" s="37"/>
      <c r="AP64" s="37"/>
      <c r="AQ64" s="37"/>
      <c r="AR64" s="37"/>
      <c r="AS64" s="37"/>
      <c r="AT64" s="37"/>
      <c r="AU64" s="37"/>
      <c r="AV64" s="37"/>
      <c r="AW64" s="37"/>
      <c r="AX64" s="28" t="s">
        <v>50</v>
      </c>
      <c r="AY64" s="48" cm="1">
        <f t="array" ref="AY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Z64" s="48" cm="1">
        <f t="array" ref="AZ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4" s="48">
        <f>IFERROR(Table_Main[[#This Row],[Giá trị tồn đầu ngày]]/Table_Main[[#This Row],[Tồn kho đầu ngày]],0)</f>
        <v>0</v>
      </c>
      <c r="BB64" s="49">
        <v>45759</v>
      </c>
      <c r="BC64" s="19" t="s">
        <v>55</v>
      </c>
      <c r="BD64" s="50">
        <v>45</v>
      </c>
      <c r="BE64" s="51"/>
      <c r="BF64" s="52">
        <f xml:space="preserve">
IF(Table_Main[[#This Row],[Loại]]="Nhập",Table_Main[[#This Row],[Số lượng]]*Table_Main[[#This Row],[Giá nhập / Giá vốn]],Table_Main[[#This Row],[Số lượng]]*Table_Main[[#This Row],[Giá trị bình quân đầu ngày]])</f>
        <v>0</v>
      </c>
    </row>
    <row r="65" spans="2:58" ht="18" customHeight="1" x14ac:dyDescent="0.15">
      <c r="B65" s="37"/>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8"/>
      <c r="AJ65" s="38"/>
      <c r="AK65" s="54"/>
      <c r="AL65" s="37"/>
      <c r="AM65" s="37"/>
      <c r="AN65" s="37"/>
      <c r="AO65" s="37"/>
      <c r="AP65" s="37"/>
      <c r="AQ65" s="37"/>
      <c r="AR65" s="37"/>
      <c r="AS65" s="37"/>
      <c r="AT65" s="37"/>
      <c r="AU65" s="37"/>
      <c r="AV65" s="37"/>
      <c r="AW65" s="37"/>
      <c r="AX65" s="28" t="s">
        <v>49</v>
      </c>
      <c r="AY65" s="48" cm="1">
        <f t="array" ref="AY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Z65" s="48" cm="1">
        <f t="array" ref="AZ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BA65" s="48">
        <f>IFERROR(Table_Main[[#This Row],[Giá trị tồn đầu ngày]]/Table_Main[[#This Row],[Tồn kho đầu ngày]],0)</f>
        <v>90132.701492537308</v>
      </c>
      <c r="BB65" s="49">
        <v>45758</v>
      </c>
      <c r="BC65" s="19" t="s">
        <v>54</v>
      </c>
      <c r="BD65" s="50">
        <v>27</v>
      </c>
      <c r="BE65" s="51"/>
      <c r="BF65" s="52">
        <f xml:space="preserve">
IF(Table_Main[[#This Row],[Loại]]="Nhập",Table_Main[[#This Row],[Số lượng]]*Table_Main[[#This Row],[Giá nhập / Giá vốn]],Table_Main[[#This Row],[Số lượng]]*Table_Main[[#This Row],[Giá trị bình quân đầu ngày]])</f>
        <v>2433582.9402985075</v>
      </c>
    </row>
    <row r="66" spans="2:58" ht="18" customHeight="1" x14ac:dyDescent="0.15">
      <c r="B66" s="37"/>
      <c r="C66" s="37"/>
      <c r="D66" s="37"/>
      <c r="E66" s="37"/>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8"/>
      <c r="AJ66" s="38"/>
      <c r="AK66" s="54"/>
      <c r="AL66" s="37"/>
      <c r="AM66" s="37"/>
      <c r="AN66" s="37"/>
      <c r="AO66" s="37"/>
      <c r="AP66" s="37"/>
      <c r="AQ66" s="37"/>
      <c r="AR66" s="37"/>
      <c r="AS66" s="37"/>
      <c r="AT66" s="37"/>
      <c r="AU66" s="37"/>
      <c r="AV66" s="37"/>
      <c r="AW66" s="37"/>
      <c r="AX66" s="28" t="s">
        <v>51</v>
      </c>
      <c r="AY66" s="48" cm="1">
        <f t="array" ref="AY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Z66" s="48" cm="1">
        <f t="array" ref="AZ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6" s="48">
        <f>IFERROR(Table_Main[[#This Row],[Giá trị tồn đầu ngày]]/Table_Main[[#This Row],[Tồn kho đầu ngày]],0)</f>
        <v>0</v>
      </c>
      <c r="BB66" s="49">
        <v>45756</v>
      </c>
      <c r="BC66" s="19" t="s">
        <v>54</v>
      </c>
      <c r="BD66" s="50">
        <v>14</v>
      </c>
      <c r="BE66" s="51"/>
      <c r="BF66" s="52">
        <f xml:space="preserve">
IF(Table_Main[[#This Row],[Loại]]="Nhập",Table_Main[[#This Row],[Số lượng]]*Table_Main[[#This Row],[Giá nhập / Giá vốn]],Table_Main[[#This Row],[Số lượng]]*Table_Main[[#This Row],[Giá trị bình quân đầu ngày]])</f>
        <v>0</v>
      </c>
    </row>
    <row r="67" spans="2:58" ht="18" customHeight="1" x14ac:dyDescent="0.15">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8"/>
      <c r="AJ67" s="38"/>
      <c r="AK67" s="54"/>
      <c r="AL67" s="37"/>
      <c r="AM67" s="37"/>
      <c r="AN67" s="37"/>
      <c r="AO67" s="37"/>
      <c r="AP67" s="37"/>
      <c r="AQ67" s="37"/>
      <c r="AR67" s="37"/>
      <c r="AS67" s="37"/>
      <c r="AT67" s="37"/>
      <c r="AU67" s="37"/>
      <c r="AV67" s="37"/>
      <c r="AW67" s="37"/>
      <c r="AX67" s="28" t="s">
        <v>51</v>
      </c>
      <c r="AY67" s="48" cm="1">
        <f t="array" ref="AY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Z67" s="48" cm="1">
        <f t="array" ref="AZ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7" s="48">
        <f>IFERROR(Table_Main[[#This Row],[Giá trị tồn đầu ngày]]/Table_Main[[#This Row],[Tồn kho đầu ngày]],0)</f>
        <v>0</v>
      </c>
      <c r="BB67" s="49">
        <v>45756</v>
      </c>
      <c r="BC67" s="19" t="s">
        <v>55</v>
      </c>
      <c r="BD67" s="50">
        <v>28</v>
      </c>
      <c r="BE67" s="51"/>
      <c r="BF67" s="52">
        <f xml:space="preserve">
IF(Table_Main[[#This Row],[Loại]]="Nhập",Table_Main[[#This Row],[Số lượng]]*Table_Main[[#This Row],[Giá nhập / Giá vốn]],Table_Main[[#This Row],[Số lượng]]*Table_Main[[#This Row],[Giá trị bình quân đầu ngày]])</f>
        <v>0</v>
      </c>
    </row>
    <row r="68" spans="2:58" ht="18" customHeight="1" x14ac:dyDescent="0.15">
      <c r="B68" s="37"/>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8"/>
      <c r="AJ68" s="38"/>
      <c r="AK68" s="54"/>
      <c r="AL68" s="37"/>
      <c r="AM68" s="37"/>
      <c r="AN68" s="37"/>
      <c r="AO68" s="37"/>
      <c r="AP68" s="37"/>
      <c r="AQ68" s="37"/>
      <c r="AR68" s="37"/>
      <c r="AS68" s="37"/>
      <c r="AT68" s="37"/>
      <c r="AU68" s="37"/>
      <c r="AV68" s="37"/>
      <c r="AW68" s="37"/>
      <c r="AX68" s="28" t="s">
        <v>49</v>
      </c>
      <c r="AY68" s="48" cm="1">
        <f t="array" ref="AY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Z68" s="48" cm="1">
        <f t="array" ref="AZ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BA68" s="48">
        <f>IFERROR(Table_Main[[#This Row],[Giá trị tồn đầu ngày]]/Table_Main[[#This Row],[Tồn kho đầu ngày]],0)</f>
        <v>90132.701492537322</v>
      </c>
      <c r="BB68" s="49">
        <v>45755</v>
      </c>
      <c r="BC68" s="19" t="s">
        <v>54</v>
      </c>
      <c r="BD68" s="50">
        <v>19</v>
      </c>
      <c r="BE68" s="51"/>
      <c r="BF68" s="52">
        <f xml:space="preserve">
IF(Table_Main[[#This Row],[Loại]]="Nhập",Table_Main[[#This Row],[Số lượng]]*Table_Main[[#This Row],[Giá nhập / Giá vốn]],Table_Main[[#This Row],[Số lượng]]*Table_Main[[#This Row],[Giá trị bình quân đầu ngày]])</f>
        <v>1712521.3283582092</v>
      </c>
    </row>
    <row r="69" spans="2:58" ht="18" customHeight="1" x14ac:dyDescent="0.15">
      <c r="B69" s="37"/>
      <c r="C69" s="37"/>
      <c r="D69" s="37"/>
      <c r="E69" s="37"/>
      <c r="F69" s="37"/>
      <c r="G69" s="37"/>
      <c r="H69" s="37"/>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8"/>
      <c r="AJ69" s="38"/>
      <c r="AK69" s="54"/>
      <c r="AL69" s="37"/>
      <c r="AM69" s="37"/>
      <c r="AN69" s="37"/>
      <c r="AO69" s="37"/>
      <c r="AP69" s="37"/>
      <c r="AQ69" s="37"/>
      <c r="AR69" s="37"/>
      <c r="AS69" s="37"/>
      <c r="AT69" s="37"/>
      <c r="AU69" s="37"/>
      <c r="AV69" s="37"/>
      <c r="AW69" s="37"/>
      <c r="AX69" s="30" t="s">
        <v>53</v>
      </c>
      <c r="AY69" s="48" cm="1">
        <f t="array" ref="AY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Z69" s="48" cm="1">
        <f t="array" ref="AZ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BA69" s="48">
        <f>IFERROR(Table_Main[[#This Row],[Giá trị tồn đầu ngày]]/Table_Main[[#This Row],[Tồn kho đầu ngày]],0)</f>
        <v>141427.00053676867</v>
      </c>
      <c r="BB69" s="49">
        <v>45755</v>
      </c>
      <c r="BC69" s="1" t="s">
        <v>54</v>
      </c>
      <c r="BD69" s="55">
        <v>15</v>
      </c>
      <c r="BE69" s="56"/>
      <c r="BF69" s="52">
        <f xml:space="preserve">
IF(Table_Main[[#This Row],[Loại]]="Nhập",Table_Main[[#This Row],[Số lượng]]*Table_Main[[#This Row],[Giá nhập / Giá vốn]],Table_Main[[#This Row],[Số lượng]]*Table_Main[[#This Row],[Giá trị bình quân đầu ngày]])</f>
        <v>2121405.00805153</v>
      </c>
    </row>
    <row r="70" spans="2:58" ht="18" customHeight="1" x14ac:dyDescent="0.15">
      <c r="B70" s="37"/>
      <c r="C70" s="37"/>
      <c r="D70" s="37"/>
      <c r="E70" s="37"/>
      <c r="F70" s="37"/>
      <c r="G70" s="37"/>
      <c r="H70" s="37"/>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8"/>
      <c r="AJ70" s="38"/>
      <c r="AK70" s="54"/>
      <c r="AL70" s="37"/>
      <c r="AM70" s="37"/>
      <c r="AN70" s="37"/>
      <c r="AO70" s="37"/>
      <c r="AP70" s="37"/>
      <c r="AQ70" s="37"/>
      <c r="AR70" s="37"/>
      <c r="AS70" s="37"/>
      <c r="AT70" s="37"/>
      <c r="AU70" s="37"/>
      <c r="AV70" s="37"/>
      <c r="AW70" s="37"/>
      <c r="AX70" s="28" t="s">
        <v>51</v>
      </c>
      <c r="AY70" s="48" cm="1">
        <f t="array" ref="AY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Z70" s="48" cm="1">
        <f t="array" ref="AZ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0" s="48">
        <f>IFERROR(Table_Main[[#This Row],[Giá trị tồn đầu ngày]]/Table_Main[[#This Row],[Tồn kho đầu ngày]],0)</f>
        <v>0</v>
      </c>
      <c r="BB70" s="49">
        <v>45754</v>
      </c>
      <c r="BC70" s="1" t="s">
        <v>55</v>
      </c>
      <c r="BD70" s="50">
        <v>30</v>
      </c>
      <c r="BE70" s="51"/>
      <c r="BF70" s="52">
        <f xml:space="preserve">
IF(Table_Main[[#This Row],[Loại]]="Nhập",Table_Main[[#This Row],[Số lượng]]*Table_Main[[#This Row],[Giá nhập / Giá vốn]],Table_Main[[#This Row],[Số lượng]]*Table_Main[[#This Row],[Giá trị bình quân đầu ngày]])</f>
        <v>0</v>
      </c>
    </row>
    <row r="71" spans="2:58" ht="18" customHeight="1" x14ac:dyDescent="0.15">
      <c r="B71" s="37"/>
      <c r="C71" s="37"/>
      <c r="D71" s="37"/>
      <c r="E71" s="37"/>
      <c r="F71" s="37"/>
      <c r="G71" s="37"/>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8"/>
      <c r="AJ71" s="38"/>
      <c r="AK71" s="54"/>
      <c r="AL71" s="37"/>
      <c r="AM71" s="37"/>
      <c r="AN71" s="37"/>
      <c r="AO71" s="37"/>
      <c r="AP71" s="37"/>
      <c r="AQ71" s="37"/>
      <c r="AR71" s="37"/>
      <c r="AS71" s="37"/>
      <c r="AT71" s="37"/>
      <c r="AU71" s="37"/>
      <c r="AV71" s="37"/>
      <c r="AW71" s="37"/>
      <c r="AX71" s="28" t="s">
        <v>51</v>
      </c>
      <c r="AY71" s="48" cm="1">
        <f t="array" ref="AY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Z71" s="48" cm="1">
        <f t="array" ref="AZ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1" s="48">
        <f>IFERROR(Table_Main[[#This Row],[Giá trị tồn đầu ngày]]/Table_Main[[#This Row],[Tồn kho đầu ngày]],0)</f>
        <v>0</v>
      </c>
      <c r="BB71" s="49">
        <v>45753</v>
      </c>
      <c r="BC71" s="1" t="s">
        <v>55</v>
      </c>
      <c r="BD71" s="50">
        <v>28</v>
      </c>
      <c r="BE71" s="51"/>
      <c r="BF71" s="52">
        <f xml:space="preserve">
IF(Table_Main[[#This Row],[Loại]]="Nhập",Table_Main[[#This Row],[Số lượng]]*Table_Main[[#This Row],[Giá nhập / Giá vốn]],Table_Main[[#This Row],[Số lượng]]*Table_Main[[#This Row],[Giá trị bình quân đầu ngày]])</f>
        <v>0</v>
      </c>
    </row>
    <row r="72" spans="2:58" ht="18" customHeight="1" x14ac:dyDescent="0.15">
      <c r="B72" s="37"/>
      <c r="C72" s="37"/>
      <c r="D72" s="37"/>
      <c r="E72" s="37"/>
      <c r="F72" s="37"/>
      <c r="G72" s="37"/>
      <c r="H72" s="37"/>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8"/>
      <c r="AJ72" s="38"/>
      <c r="AK72" s="54"/>
      <c r="AL72" s="37"/>
      <c r="AM72" s="37"/>
      <c r="AN72" s="37"/>
      <c r="AO72" s="37"/>
      <c r="AP72" s="37"/>
      <c r="AQ72" s="37"/>
      <c r="AR72" s="37"/>
      <c r="AS72" s="37"/>
      <c r="AT72" s="37"/>
      <c r="AU72" s="37"/>
      <c r="AV72" s="37"/>
      <c r="AW72" s="37"/>
      <c r="AX72" s="29" t="s">
        <v>53</v>
      </c>
      <c r="AY72" s="48" cm="1">
        <f t="array" ref="AY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Z72" s="48" cm="1">
        <f t="array" ref="AZ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BA72" s="48">
        <f>IFERROR(Table_Main[[#This Row],[Giá trị tồn đầu ngày]]/Table_Main[[#This Row],[Tồn kho đầu ngày]],0)</f>
        <v>141427.00053676867</v>
      </c>
      <c r="BB72" s="49">
        <v>45751</v>
      </c>
      <c r="BC72" s="19" t="s">
        <v>54</v>
      </c>
      <c r="BD72" s="50">
        <v>50</v>
      </c>
      <c r="BE72" s="51"/>
      <c r="BF72" s="52">
        <f xml:space="preserve">
IF(Table_Main[[#This Row],[Loại]]="Nhập",Table_Main[[#This Row],[Số lượng]]*Table_Main[[#This Row],[Giá nhập / Giá vốn]],Table_Main[[#This Row],[Số lượng]]*Table_Main[[#This Row],[Giá trị bình quân đầu ngày]])</f>
        <v>7071350.026838433</v>
      </c>
    </row>
    <row r="73" spans="2:58" ht="18" customHeight="1" x14ac:dyDescent="0.15">
      <c r="B73" s="37"/>
      <c r="C73" s="37"/>
      <c r="D73" s="37"/>
      <c r="E73" s="37"/>
      <c r="F73" s="37"/>
      <c r="G73" s="37"/>
      <c r="H73" s="37"/>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8"/>
      <c r="AJ73" s="38"/>
      <c r="AK73" s="54"/>
      <c r="AL73" s="37"/>
      <c r="AM73" s="37"/>
      <c r="AN73" s="37"/>
      <c r="AO73" s="37"/>
      <c r="AP73" s="37"/>
      <c r="AQ73" s="37"/>
      <c r="AR73" s="37"/>
      <c r="AS73" s="37"/>
      <c r="AT73" s="37"/>
      <c r="AU73" s="37"/>
      <c r="AV73" s="37"/>
      <c r="AW73" s="37"/>
      <c r="AX73" s="28" t="s">
        <v>51</v>
      </c>
      <c r="AY73" s="48" cm="1">
        <f t="array" ref="AY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Z73" s="48" cm="1">
        <f t="array" ref="AZ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3" s="48">
        <f>IFERROR(Table_Main[[#This Row],[Giá trị tồn đầu ngày]]/Table_Main[[#This Row],[Tồn kho đầu ngày]],0)</f>
        <v>0</v>
      </c>
      <c r="BB73" s="49">
        <v>45750</v>
      </c>
      <c r="BC73" s="19" t="s">
        <v>54</v>
      </c>
      <c r="BD73" s="50">
        <v>28</v>
      </c>
      <c r="BE73" s="51"/>
      <c r="BF73" s="52">
        <f xml:space="preserve">
IF(Table_Main[[#This Row],[Loại]]="Nhập",Table_Main[[#This Row],[Số lượng]]*Table_Main[[#This Row],[Giá nhập / Giá vốn]],Table_Main[[#This Row],[Số lượng]]*Table_Main[[#This Row],[Giá trị bình quân đầu ngày]])</f>
        <v>0</v>
      </c>
    </row>
    <row r="74" spans="2:58" ht="18" customHeight="1" x14ac:dyDescent="0.15">
      <c r="B74" s="37"/>
      <c r="C74" s="37"/>
      <c r="D74" s="37"/>
      <c r="E74" s="37"/>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8"/>
      <c r="AJ74" s="38"/>
      <c r="AK74" s="54"/>
      <c r="AL74" s="37"/>
      <c r="AM74" s="37"/>
      <c r="AN74" s="37"/>
      <c r="AO74" s="37"/>
      <c r="AP74" s="37"/>
      <c r="AQ74" s="37"/>
      <c r="AR74" s="37"/>
      <c r="AS74" s="37"/>
      <c r="AT74" s="37"/>
      <c r="AU74" s="37"/>
      <c r="AV74" s="37"/>
      <c r="AW74" s="37"/>
      <c r="AX74" s="28" t="s">
        <v>50</v>
      </c>
      <c r="AY74" s="48" cm="1">
        <f t="array" ref="AY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Z74" s="48" cm="1">
        <f t="array" ref="AZ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4" s="48">
        <f>IFERROR(Table_Main[[#This Row],[Giá trị tồn đầu ngày]]/Table_Main[[#This Row],[Tồn kho đầu ngày]],0)</f>
        <v>0</v>
      </c>
      <c r="BB74" s="49">
        <v>45746</v>
      </c>
      <c r="BC74" s="1" t="s">
        <v>54</v>
      </c>
      <c r="BD74" s="50">
        <v>31</v>
      </c>
      <c r="BE74" s="51"/>
      <c r="BF74" s="52">
        <f xml:space="preserve">
IF(Table_Main[[#This Row],[Loại]]="Nhập",Table_Main[[#This Row],[Số lượng]]*Table_Main[[#This Row],[Giá nhập / Giá vốn]],Table_Main[[#This Row],[Số lượng]]*Table_Main[[#This Row],[Giá trị bình quân đầu ngày]])</f>
        <v>0</v>
      </c>
    </row>
    <row r="75" spans="2:58" ht="18" customHeight="1" x14ac:dyDescent="0.15">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8"/>
      <c r="AJ75" s="38"/>
      <c r="AK75" s="54"/>
      <c r="AL75" s="37"/>
      <c r="AM75" s="37"/>
      <c r="AN75" s="37"/>
      <c r="AO75" s="37"/>
      <c r="AP75" s="37"/>
      <c r="AQ75" s="37"/>
      <c r="AR75" s="37"/>
      <c r="AS75" s="37"/>
      <c r="AT75" s="37"/>
      <c r="AU75" s="37"/>
      <c r="AV75" s="37"/>
      <c r="AW75" s="37"/>
      <c r="AX75" s="29" t="s">
        <v>52</v>
      </c>
      <c r="AY75" s="48" cm="1">
        <f t="array" ref="AY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Z75" s="48" cm="1">
        <f t="array" ref="AZ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BA75" s="48">
        <f>IFERROR(Table_Main[[#This Row],[Giá trị tồn đầu ngày]]/Table_Main[[#This Row],[Tồn kho đầu ngày]],0)</f>
        <v>100718.58181818182</v>
      </c>
      <c r="BB75" s="49">
        <v>45744</v>
      </c>
      <c r="BC75" s="1" t="s">
        <v>55</v>
      </c>
      <c r="BD75" s="50">
        <v>6</v>
      </c>
      <c r="BE75" s="51">
        <v>147566</v>
      </c>
      <c r="BF75" s="52">
        <f xml:space="preserve">
IF(Table_Main[[#This Row],[Loại]]="Nhập",Table_Main[[#This Row],[Số lượng]]*Table_Main[[#This Row],[Giá nhập / Giá vốn]],Table_Main[[#This Row],[Số lượng]]*Table_Main[[#This Row],[Giá trị bình quân đầu ngày]])</f>
        <v>885396</v>
      </c>
    </row>
    <row r="76" spans="2:58" ht="18" customHeight="1" x14ac:dyDescent="0.15">
      <c r="B76" s="37"/>
      <c r="C76" s="37"/>
      <c r="D76" s="37"/>
      <c r="E76" s="37"/>
      <c r="F76" s="37"/>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8"/>
      <c r="AJ76" s="38"/>
      <c r="AK76" s="54"/>
      <c r="AL76" s="37"/>
      <c r="AM76" s="37"/>
      <c r="AN76" s="37"/>
      <c r="AO76" s="37"/>
      <c r="AP76" s="37"/>
      <c r="AQ76" s="37"/>
      <c r="AR76" s="37"/>
      <c r="AS76" s="37"/>
      <c r="AT76" s="37"/>
      <c r="AU76" s="37"/>
      <c r="AV76" s="37"/>
      <c r="AW76" s="37"/>
      <c r="AX76" s="28" t="s">
        <v>51</v>
      </c>
      <c r="AY76" s="48" cm="1">
        <f t="array" ref="AY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Z76" s="48" cm="1">
        <f t="array" ref="AZ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6" s="48">
        <f>IFERROR(Table_Main[[#This Row],[Giá trị tồn đầu ngày]]/Table_Main[[#This Row],[Tồn kho đầu ngày]],0)</f>
        <v>0</v>
      </c>
      <c r="BB76" s="49">
        <v>45743</v>
      </c>
      <c r="BC76" s="19" t="s">
        <v>54</v>
      </c>
      <c r="BD76" s="50">
        <v>14</v>
      </c>
      <c r="BE76" s="51"/>
      <c r="BF76" s="52">
        <f xml:space="preserve">
IF(Table_Main[[#This Row],[Loại]]="Nhập",Table_Main[[#This Row],[Số lượng]]*Table_Main[[#This Row],[Giá nhập / Giá vốn]],Table_Main[[#This Row],[Số lượng]]*Table_Main[[#This Row],[Giá trị bình quân đầu ngày]])</f>
        <v>0</v>
      </c>
    </row>
    <row r="77" spans="2:58" ht="18" customHeight="1" x14ac:dyDescent="0.15">
      <c r="B77" s="37"/>
      <c r="C77" s="37"/>
      <c r="D77" s="37"/>
      <c r="E77" s="37"/>
      <c r="F77" s="37"/>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c r="AI77" s="38"/>
      <c r="AJ77" s="38"/>
      <c r="AK77" s="54"/>
      <c r="AL77" s="37"/>
      <c r="AM77" s="37"/>
      <c r="AN77" s="37"/>
      <c r="AO77" s="37"/>
      <c r="AP77" s="37"/>
      <c r="AQ77" s="37"/>
      <c r="AR77" s="37"/>
      <c r="AS77" s="37"/>
      <c r="AT77" s="37"/>
      <c r="AU77" s="37"/>
      <c r="AV77" s="37"/>
      <c r="AW77" s="37"/>
      <c r="AX77" s="28" t="s">
        <v>51</v>
      </c>
      <c r="AY77" s="48" cm="1">
        <f t="array" ref="AY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Z77" s="48" cm="1">
        <f t="array" ref="AZ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7" s="48">
        <f>IFERROR(Table_Main[[#This Row],[Giá trị tồn đầu ngày]]/Table_Main[[#This Row],[Tồn kho đầu ngày]],0)</f>
        <v>0</v>
      </c>
      <c r="BB77" s="49">
        <v>45742</v>
      </c>
      <c r="BC77" s="19" t="s">
        <v>55</v>
      </c>
      <c r="BD77" s="50">
        <v>29</v>
      </c>
      <c r="BE77" s="51"/>
      <c r="BF77" s="52">
        <f xml:space="preserve">
IF(Table_Main[[#This Row],[Loại]]="Nhập",Table_Main[[#This Row],[Số lượng]]*Table_Main[[#This Row],[Giá nhập / Giá vốn]],Table_Main[[#This Row],[Số lượng]]*Table_Main[[#This Row],[Giá trị bình quân đầu ngày]])</f>
        <v>0</v>
      </c>
    </row>
    <row r="78" spans="2:58" ht="18" customHeight="1" x14ac:dyDescent="0.15">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8"/>
      <c r="AJ78" s="38"/>
      <c r="AK78" s="54"/>
      <c r="AL78" s="37"/>
      <c r="AM78" s="37"/>
      <c r="AN78" s="37"/>
      <c r="AO78" s="37"/>
      <c r="AP78" s="37"/>
      <c r="AQ78" s="37"/>
      <c r="AR78" s="37"/>
      <c r="AS78" s="37"/>
      <c r="AT78" s="37"/>
      <c r="AU78" s="37"/>
      <c r="AV78" s="37"/>
      <c r="AW78" s="37"/>
      <c r="AX78" s="28" t="s">
        <v>50</v>
      </c>
      <c r="AY78" s="48" cm="1">
        <f t="array" ref="AY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Z78" s="48" cm="1">
        <f t="array" ref="AZ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8" s="48">
        <f>IFERROR(Table_Main[[#This Row],[Giá trị tồn đầu ngày]]/Table_Main[[#This Row],[Tồn kho đầu ngày]],0)</f>
        <v>0</v>
      </c>
      <c r="BB78" s="49">
        <v>45742</v>
      </c>
      <c r="BC78" s="19" t="s">
        <v>55</v>
      </c>
      <c r="BD78" s="50">
        <v>38</v>
      </c>
      <c r="BE78" s="51"/>
      <c r="BF78" s="52">
        <f xml:space="preserve">
IF(Table_Main[[#This Row],[Loại]]="Nhập",Table_Main[[#This Row],[Số lượng]]*Table_Main[[#This Row],[Giá nhập / Giá vốn]],Table_Main[[#This Row],[Số lượng]]*Table_Main[[#This Row],[Giá trị bình quân đầu ngày]])</f>
        <v>0</v>
      </c>
    </row>
    <row r="79" spans="2:58" ht="18" customHeight="1" x14ac:dyDescent="0.15">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H79" s="37"/>
      <c r="AI79" s="38"/>
      <c r="AJ79" s="38"/>
      <c r="AK79" s="54"/>
      <c r="AL79" s="37"/>
      <c r="AM79" s="37"/>
      <c r="AN79" s="37"/>
      <c r="AO79" s="37"/>
      <c r="AP79" s="37"/>
      <c r="AQ79" s="37"/>
      <c r="AR79" s="37"/>
      <c r="AS79" s="37"/>
      <c r="AT79" s="37"/>
      <c r="AU79" s="37"/>
      <c r="AV79" s="37"/>
      <c r="AW79" s="37"/>
      <c r="AX79" s="28" t="s">
        <v>49</v>
      </c>
      <c r="AY79" s="48" cm="1">
        <f t="array" ref="AY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Z79" s="48" cm="1">
        <f t="array" ref="AZ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BA79" s="48">
        <f>IFERROR(Table_Main[[#This Row],[Giá trị tồn đầu ngày]]/Table_Main[[#This Row],[Tồn kho đầu ngày]],0)</f>
        <v>90132.701492537322</v>
      </c>
      <c r="BB79" s="49">
        <v>45741</v>
      </c>
      <c r="BC79" s="19" t="s">
        <v>54</v>
      </c>
      <c r="BD79" s="50">
        <v>30</v>
      </c>
      <c r="BE79" s="51"/>
      <c r="BF79" s="52">
        <f xml:space="preserve">
IF(Table_Main[[#This Row],[Loại]]="Nhập",Table_Main[[#This Row],[Số lượng]]*Table_Main[[#This Row],[Giá nhập / Giá vốn]],Table_Main[[#This Row],[Số lượng]]*Table_Main[[#This Row],[Giá trị bình quân đầu ngày]])</f>
        <v>2703981.0447761198</v>
      </c>
    </row>
    <row r="80" spans="2:58" ht="18" customHeight="1" x14ac:dyDescent="0.15">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8"/>
      <c r="AJ80" s="38"/>
      <c r="AK80" s="54"/>
      <c r="AL80" s="37"/>
      <c r="AM80" s="37"/>
      <c r="AN80" s="37"/>
      <c r="AO80" s="37"/>
      <c r="AP80" s="37"/>
      <c r="AQ80" s="37"/>
      <c r="AR80" s="37"/>
      <c r="AS80" s="37"/>
      <c r="AT80" s="37"/>
      <c r="AU80" s="37"/>
      <c r="AV80" s="37"/>
      <c r="AW80" s="37"/>
      <c r="AX80" s="29" t="s">
        <v>53</v>
      </c>
      <c r="AY80" s="48" cm="1">
        <f t="array" ref="AY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Z80" s="48" cm="1">
        <f t="array" ref="AZ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BA80" s="48">
        <f>IFERROR(Table_Main[[#This Row],[Giá trị tồn đầu ngày]]/Table_Main[[#This Row],[Tồn kho đầu ngày]],0)</f>
        <v>144051.1851851852</v>
      </c>
      <c r="BB80" s="49">
        <v>45737</v>
      </c>
      <c r="BC80" s="19" t="s">
        <v>55</v>
      </c>
      <c r="BD80" s="50">
        <v>8</v>
      </c>
      <c r="BE80" s="51">
        <v>98784</v>
      </c>
      <c r="BF80" s="52">
        <f xml:space="preserve">
IF(Table_Main[[#This Row],[Loại]]="Nhập",Table_Main[[#This Row],[Số lượng]]*Table_Main[[#This Row],[Giá nhập / Giá vốn]],Table_Main[[#This Row],[Số lượng]]*Table_Main[[#This Row],[Giá trị bình quân đầu ngày]])</f>
        <v>790272</v>
      </c>
    </row>
    <row r="81" spans="2:58" ht="18" customHeight="1" x14ac:dyDescent="0.15">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8"/>
      <c r="AJ81" s="38"/>
      <c r="AK81" s="54"/>
      <c r="AL81" s="37"/>
      <c r="AM81" s="37"/>
      <c r="AN81" s="37"/>
      <c r="AO81" s="37"/>
      <c r="AP81" s="37"/>
      <c r="AQ81" s="37"/>
      <c r="AR81" s="37"/>
      <c r="AS81" s="37"/>
      <c r="AT81" s="37"/>
      <c r="AU81" s="37"/>
      <c r="AV81" s="37"/>
      <c r="AW81" s="37"/>
      <c r="AX81" s="28" t="s">
        <v>49</v>
      </c>
      <c r="AY81" s="48" cm="1">
        <f t="array" ref="AY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Z81" s="48" cm="1">
        <f t="array" ref="AZ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BA81" s="48">
        <f>IFERROR(Table_Main[[#This Row],[Giá trị tồn đầu ngày]]/Table_Main[[#This Row],[Tồn kho đầu ngày]],0)</f>
        <v>90132.701492537308</v>
      </c>
      <c r="BB81" s="49">
        <v>45736</v>
      </c>
      <c r="BC81" s="19" t="s">
        <v>54</v>
      </c>
      <c r="BD81" s="50">
        <v>1</v>
      </c>
      <c r="BE81" s="51"/>
      <c r="BF81" s="52">
        <f xml:space="preserve">
IF(Table_Main[[#This Row],[Loại]]="Nhập",Table_Main[[#This Row],[Số lượng]]*Table_Main[[#This Row],[Giá nhập / Giá vốn]],Table_Main[[#This Row],[Số lượng]]*Table_Main[[#This Row],[Giá trị bình quân đầu ngày]])</f>
        <v>90132.701492537308</v>
      </c>
    </row>
    <row r="82" spans="2:58" ht="18" customHeight="1" x14ac:dyDescent="0.15">
      <c r="B82" s="37"/>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8"/>
      <c r="AJ82" s="38"/>
      <c r="AK82" s="54"/>
      <c r="AL82" s="37"/>
      <c r="AM82" s="37"/>
      <c r="AN82" s="37"/>
      <c r="AO82" s="37"/>
      <c r="AP82" s="37"/>
      <c r="AQ82" s="37"/>
      <c r="AR82" s="37"/>
      <c r="AS82" s="37"/>
      <c r="AT82" s="37"/>
      <c r="AU82" s="37"/>
      <c r="AV82" s="37"/>
      <c r="AW82" s="37"/>
      <c r="AX82" s="28" t="s">
        <v>50</v>
      </c>
      <c r="AY82" s="48" cm="1">
        <f t="array" ref="AY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Z82" s="48" cm="1">
        <f t="array" ref="AZ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2" s="48">
        <f>IFERROR(Table_Main[[#This Row],[Giá trị tồn đầu ngày]]/Table_Main[[#This Row],[Tồn kho đầu ngày]],0)</f>
        <v>0</v>
      </c>
      <c r="BB82" s="49">
        <v>45735</v>
      </c>
      <c r="BC82" s="1" t="s">
        <v>54</v>
      </c>
      <c r="BD82" s="50">
        <v>48</v>
      </c>
      <c r="BE82" s="51"/>
      <c r="BF82" s="52">
        <f xml:space="preserve">
IF(Table_Main[[#This Row],[Loại]]="Nhập",Table_Main[[#This Row],[Số lượng]]*Table_Main[[#This Row],[Giá nhập / Giá vốn]],Table_Main[[#This Row],[Số lượng]]*Table_Main[[#This Row],[Giá trị bình quân đầu ngày]])</f>
        <v>0</v>
      </c>
    </row>
    <row r="83" spans="2:58" ht="18" customHeight="1" x14ac:dyDescent="0.15">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8"/>
      <c r="AJ83" s="38"/>
      <c r="AK83" s="54"/>
      <c r="AL83" s="37"/>
      <c r="AM83" s="37"/>
      <c r="AN83" s="37"/>
      <c r="AO83" s="37"/>
      <c r="AP83" s="37"/>
      <c r="AQ83" s="37"/>
      <c r="AR83" s="37"/>
      <c r="AS83" s="37"/>
      <c r="AT83" s="37"/>
      <c r="AU83" s="37"/>
      <c r="AV83" s="37"/>
      <c r="AW83" s="37"/>
      <c r="AX83" s="28" t="s">
        <v>51</v>
      </c>
      <c r="AY83" s="48" cm="1">
        <f t="array" ref="AY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Z83" s="48" cm="1">
        <f t="array" ref="AZ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3" s="48">
        <f>IFERROR(Table_Main[[#This Row],[Giá trị tồn đầu ngày]]/Table_Main[[#This Row],[Tồn kho đầu ngày]],0)</f>
        <v>0</v>
      </c>
      <c r="BB83" s="49">
        <v>45734</v>
      </c>
      <c r="BC83" s="19" t="s">
        <v>55</v>
      </c>
      <c r="BD83" s="50">
        <v>23</v>
      </c>
      <c r="BE83" s="51"/>
      <c r="BF83" s="52">
        <f xml:space="preserve">
IF(Table_Main[[#This Row],[Loại]]="Nhập",Table_Main[[#This Row],[Số lượng]]*Table_Main[[#This Row],[Giá nhập / Giá vốn]],Table_Main[[#This Row],[Số lượng]]*Table_Main[[#This Row],[Giá trị bình quân đầu ngày]])</f>
        <v>0</v>
      </c>
    </row>
    <row r="84" spans="2:58" ht="18" customHeight="1" x14ac:dyDescent="0.15">
      <c r="B84" s="37"/>
      <c r="C84" s="37"/>
      <c r="D84" s="37"/>
      <c r="E84" s="37"/>
      <c r="F84" s="37"/>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c r="AI84" s="38"/>
      <c r="AJ84" s="38"/>
      <c r="AK84" s="54"/>
      <c r="AL84" s="37"/>
      <c r="AM84" s="37"/>
      <c r="AN84" s="37"/>
      <c r="AO84" s="37"/>
      <c r="AP84" s="37"/>
      <c r="AQ84" s="37"/>
      <c r="AR84" s="37"/>
      <c r="AS84" s="37"/>
      <c r="AT84" s="37"/>
      <c r="AU84" s="37"/>
      <c r="AV84" s="37"/>
      <c r="AW84" s="37"/>
      <c r="AX84" s="28" t="s">
        <v>51</v>
      </c>
      <c r="AY84" s="48" cm="1">
        <f t="array" ref="AY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Z84" s="48" cm="1">
        <f t="array" ref="AZ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4" s="48">
        <f>IFERROR(Table_Main[[#This Row],[Giá trị tồn đầu ngày]]/Table_Main[[#This Row],[Tồn kho đầu ngày]],0)</f>
        <v>0</v>
      </c>
      <c r="BB84" s="49">
        <v>45733</v>
      </c>
      <c r="BC84" s="19" t="s">
        <v>55</v>
      </c>
      <c r="BD84" s="50">
        <v>33</v>
      </c>
      <c r="BE84" s="51"/>
      <c r="BF84" s="52">
        <f xml:space="preserve">
IF(Table_Main[[#This Row],[Loại]]="Nhập",Table_Main[[#This Row],[Số lượng]]*Table_Main[[#This Row],[Giá nhập / Giá vốn]],Table_Main[[#This Row],[Số lượng]]*Table_Main[[#This Row],[Giá trị bình quân đầu ngày]])</f>
        <v>0</v>
      </c>
    </row>
    <row r="85" spans="2:58" ht="18" customHeight="1" x14ac:dyDescent="0.15">
      <c r="B85" s="37"/>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8"/>
      <c r="AJ85" s="38"/>
      <c r="AK85" s="54"/>
      <c r="AL85" s="37"/>
      <c r="AM85" s="37"/>
      <c r="AN85" s="37"/>
      <c r="AO85" s="37"/>
      <c r="AP85" s="37"/>
      <c r="AQ85" s="37"/>
      <c r="AR85" s="37"/>
      <c r="AS85" s="37"/>
      <c r="AT85" s="37"/>
      <c r="AU85" s="37"/>
      <c r="AV85" s="37"/>
      <c r="AW85" s="37"/>
      <c r="AX85" s="28" t="s">
        <v>49</v>
      </c>
      <c r="AY85" s="48" cm="1">
        <f t="array" ref="AY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Z85" s="48" cm="1">
        <f t="array" ref="AZ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BA85" s="48">
        <f>IFERROR(Table_Main[[#This Row],[Giá trị tồn đầu ngày]]/Table_Main[[#This Row],[Tồn kho đầu ngày]],0)</f>
        <v>80000</v>
      </c>
      <c r="BB85" s="49">
        <v>45732</v>
      </c>
      <c r="BC85" s="19" t="s">
        <v>55</v>
      </c>
      <c r="BD85" s="50">
        <v>23</v>
      </c>
      <c r="BE85" s="51">
        <v>139034</v>
      </c>
      <c r="BF85" s="52">
        <f xml:space="preserve">
IF(Table_Main[[#This Row],[Loại]]="Nhập",Table_Main[[#This Row],[Số lượng]]*Table_Main[[#This Row],[Giá nhập / Giá vốn]],Table_Main[[#This Row],[Số lượng]]*Table_Main[[#This Row],[Giá trị bình quân đầu ngày]])</f>
        <v>3197782</v>
      </c>
    </row>
    <row r="86" spans="2:58" ht="18" customHeight="1" x14ac:dyDescent="0.15">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8"/>
      <c r="AJ86" s="38"/>
      <c r="AK86" s="54"/>
      <c r="AL86" s="37"/>
      <c r="AM86" s="37"/>
      <c r="AN86" s="37"/>
      <c r="AO86" s="37"/>
      <c r="AP86" s="37"/>
      <c r="AQ86" s="37"/>
      <c r="AR86" s="37"/>
      <c r="AS86" s="37"/>
      <c r="AT86" s="37"/>
      <c r="AU86" s="37"/>
      <c r="AV86" s="37"/>
      <c r="AW86" s="37"/>
      <c r="AX86" s="29" t="s">
        <v>53</v>
      </c>
      <c r="AY86" s="48" cm="1">
        <f t="array" ref="AY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Z86" s="48" cm="1">
        <f t="array" ref="AZ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BA86" s="48">
        <f>IFERROR(Table_Main[[#This Row],[Giá trị tồn đầu ngày]]/Table_Main[[#This Row],[Tồn kho đầu ngày]],0)</f>
        <v>144051.1851851852</v>
      </c>
      <c r="BB86" s="49">
        <v>45730</v>
      </c>
      <c r="BC86" s="19" t="s">
        <v>54</v>
      </c>
      <c r="BD86" s="50">
        <v>32</v>
      </c>
      <c r="BE86" s="51"/>
      <c r="BF86" s="52">
        <f xml:space="preserve">
IF(Table_Main[[#This Row],[Loại]]="Nhập",Table_Main[[#This Row],[Số lượng]]*Table_Main[[#This Row],[Giá nhập / Giá vốn]],Table_Main[[#This Row],[Số lượng]]*Table_Main[[#This Row],[Giá trị bình quân đầu ngày]])</f>
        <v>4609637.9259259263</v>
      </c>
    </row>
    <row r="87" spans="2:58" ht="18" customHeight="1" x14ac:dyDescent="0.15">
      <c r="B87" s="37"/>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8"/>
      <c r="AJ87" s="38"/>
      <c r="AK87" s="54"/>
      <c r="AL87" s="37"/>
      <c r="AM87" s="37"/>
      <c r="AN87" s="37"/>
      <c r="AO87" s="37"/>
      <c r="AP87" s="37"/>
      <c r="AQ87" s="37"/>
      <c r="AR87" s="37"/>
      <c r="AS87" s="37"/>
      <c r="AT87" s="37"/>
      <c r="AU87" s="37"/>
      <c r="AV87" s="37"/>
      <c r="AW87" s="37"/>
      <c r="AX87" s="29" t="s">
        <v>52</v>
      </c>
      <c r="AY87" s="48" cm="1">
        <f t="array" ref="AY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Z87" s="48" cm="1">
        <f t="array" ref="AZ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BA87" s="48">
        <f>IFERROR(Table_Main[[#This Row],[Giá trị tồn đầu ngày]]/Table_Main[[#This Row],[Tồn kho đầu ngày]],0)</f>
        <v>100000</v>
      </c>
      <c r="BB87" s="49">
        <v>45730</v>
      </c>
      <c r="BC87" s="19" t="s">
        <v>55</v>
      </c>
      <c r="BD87" s="50">
        <v>14</v>
      </c>
      <c r="BE87" s="51">
        <v>108469</v>
      </c>
      <c r="BF87" s="52">
        <f xml:space="preserve">
IF(Table_Main[[#This Row],[Loại]]="Nhập",Table_Main[[#This Row],[Số lượng]]*Table_Main[[#This Row],[Giá nhập / Giá vốn]],Table_Main[[#This Row],[Số lượng]]*Table_Main[[#This Row],[Giá trị bình quân đầu ngày]])</f>
        <v>1518566</v>
      </c>
    </row>
    <row r="88" spans="2:58" ht="18" customHeight="1" x14ac:dyDescent="0.15">
      <c r="B88" s="37"/>
      <c r="C88" s="37"/>
      <c r="D88" s="37"/>
      <c r="E88" s="37"/>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8"/>
      <c r="AJ88" s="38"/>
      <c r="AK88" s="54"/>
      <c r="AL88" s="37"/>
      <c r="AM88" s="37"/>
      <c r="AN88" s="37"/>
      <c r="AO88" s="37"/>
      <c r="AP88" s="37"/>
      <c r="AQ88" s="37"/>
      <c r="AR88" s="37"/>
      <c r="AS88" s="37"/>
      <c r="AT88" s="37"/>
      <c r="AU88" s="37"/>
      <c r="AV88" s="37"/>
      <c r="AW88" s="37"/>
      <c r="AX88" s="28" t="s">
        <v>49</v>
      </c>
      <c r="AY88" s="48" cm="1">
        <f t="array" ref="AY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88" s="48" cm="1">
        <f t="array" ref="AZ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BA88" s="48">
        <f>IFERROR(Table_Main[[#This Row],[Giá trị tồn đầu ngày]]/Table_Main[[#This Row],[Tồn kho đầu ngày]],0)</f>
        <v>80000</v>
      </c>
      <c r="BB88" s="49">
        <v>45729</v>
      </c>
      <c r="BC88" s="19" t="s">
        <v>54</v>
      </c>
      <c r="BD88" s="50">
        <v>39</v>
      </c>
      <c r="BE88" s="51"/>
      <c r="BF88" s="52">
        <f xml:space="preserve">
IF(Table_Main[[#This Row],[Loại]]="Nhập",Table_Main[[#This Row],[Số lượng]]*Table_Main[[#This Row],[Giá nhập / Giá vốn]],Table_Main[[#This Row],[Số lượng]]*Table_Main[[#This Row],[Giá trị bình quân đầu ngày]])</f>
        <v>3120000</v>
      </c>
    </row>
    <row r="89" spans="2:58" ht="18" customHeight="1" x14ac:dyDescent="0.15">
      <c r="B89" s="37"/>
      <c r="C89" s="37"/>
      <c r="D89" s="37"/>
      <c r="E89" s="37"/>
      <c r="F89" s="37"/>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c r="AI89" s="38"/>
      <c r="AJ89" s="38"/>
      <c r="AK89" s="54"/>
      <c r="AL89" s="37"/>
      <c r="AM89" s="37"/>
      <c r="AN89" s="37"/>
      <c r="AO89" s="37"/>
      <c r="AP89" s="37"/>
      <c r="AQ89" s="37"/>
      <c r="AR89" s="37"/>
      <c r="AS89" s="37"/>
      <c r="AT89" s="37"/>
      <c r="AU89" s="37"/>
      <c r="AV89" s="37"/>
      <c r="AW89" s="37"/>
      <c r="AX89" s="28" t="s">
        <v>50</v>
      </c>
      <c r="AY89" s="48" cm="1">
        <f t="array" ref="AY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Z89" s="48" cm="1">
        <f t="array" ref="AZ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9" s="48">
        <f>IFERROR(Table_Main[[#This Row],[Giá trị tồn đầu ngày]]/Table_Main[[#This Row],[Tồn kho đầu ngày]],0)</f>
        <v>0</v>
      </c>
      <c r="BB89" s="49">
        <v>45729</v>
      </c>
      <c r="BC89" s="1" t="s">
        <v>55</v>
      </c>
      <c r="BD89" s="50">
        <v>31</v>
      </c>
      <c r="BE89" s="51"/>
      <c r="BF89" s="52">
        <f xml:space="preserve">
IF(Table_Main[[#This Row],[Loại]]="Nhập",Table_Main[[#This Row],[Số lượng]]*Table_Main[[#This Row],[Giá nhập / Giá vốn]],Table_Main[[#This Row],[Số lượng]]*Table_Main[[#This Row],[Giá trị bình quân đầu ngày]])</f>
        <v>0</v>
      </c>
    </row>
    <row r="90" spans="2:58" ht="18" customHeight="1" x14ac:dyDescent="0.15">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c r="AI90" s="38"/>
      <c r="AJ90" s="38"/>
      <c r="AK90" s="54"/>
      <c r="AL90" s="37"/>
      <c r="AM90" s="37"/>
      <c r="AN90" s="37"/>
      <c r="AO90" s="37"/>
      <c r="AP90" s="37"/>
      <c r="AQ90" s="37"/>
      <c r="AR90" s="37"/>
      <c r="AS90" s="37"/>
      <c r="AT90" s="37"/>
      <c r="AU90" s="37"/>
      <c r="AV90" s="37"/>
      <c r="AW90" s="37"/>
      <c r="AX90" s="29" t="s">
        <v>52</v>
      </c>
      <c r="AY90" s="48" cm="1">
        <f t="array" ref="AY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Z90" s="48" cm="1">
        <f t="array" ref="AZ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BA90" s="48">
        <f>IFERROR(Table_Main[[#This Row],[Giá trị tồn đầu ngày]]/Table_Main[[#This Row],[Tồn kho đầu ngày]],0)</f>
        <v>100000</v>
      </c>
      <c r="BB90" s="49">
        <v>45728</v>
      </c>
      <c r="BC90" s="19" t="s">
        <v>54</v>
      </c>
      <c r="BD90" s="50">
        <v>49</v>
      </c>
      <c r="BE90" s="51"/>
      <c r="BF90" s="52">
        <f xml:space="preserve">
IF(Table_Main[[#This Row],[Loại]]="Nhập",Table_Main[[#This Row],[Số lượng]]*Table_Main[[#This Row],[Giá nhập / Giá vốn]],Table_Main[[#This Row],[Số lượng]]*Table_Main[[#This Row],[Giá trị bình quân đầu ngày]])</f>
        <v>4900000</v>
      </c>
    </row>
    <row r="91" spans="2:58" ht="18" customHeight="1" x14ac:dyDescent="0.15">
      <c r="B91" s="37"/>
      <c r="C91" s="37"/>
      <c r="D91" s="37"/>
      <c r="E91" s="37"/>
      <c r="F91" s="37"/>
      <c r="G91" s="37"/>
      <c r="H91" s="37"/>
      <c r="I91" s="37"/>
      <c r="J91" s="37"/>
      <c r="K91" s="37"/>
      <c r="L91" s="37"/>
      <c r="M91" s="37"/>
      <c r="N91" s="37"/>
      <c r="O91" s="37"/>
      <c r="P91" s="37"/>
      <c r="Q91" s="37"/>
      <c r="R91" s="37"/>
      <c r="S91" s="37"/>
      <c r="T91" s="37"/>
      <c r="U91" s="37"/>
      <c r="V91" s="37"/>
      <c r="W91" s="37"/>
      <c r="X91" s="37"/>
      <c r="Y91" s="37"/>
      <c r="Z91" s="37"/>
      <c r="AA91" s="37"/>
      <c r="AB91" s="37"/>
      <c r="AC91" s="37"/>
      <c r="AD91" s="37"/>
      <c r="AE91" s="37"/>
      <c r="AF91" s="37"/>
      <c r="AG91" s="37"/>
      <c r="AH91" s="37"/>
      <c r="AI91" s="38"/>
      <c r="AJ91" s="38"/>
      <c r="AK91" s="54"/>
      <c r="AL91" s="37"/>
      <c r="AM91" s="37"/>
      <c r="AN91" s="37"/>
      <c r="AO91" s="37"/>
      <c r="AP91" s="37"/>
      <c r="AQ91" s="37"/>
      <c r="AR91" s="37"/>
      <c r="AS91" s="37"/>
      <c r="AT91" s="37"/>
      <c r="AU91" s="37"/>
      <c r="AV91" s="37"/>
      <c r="AW91" s="37"/>
      <c r="AX91" s="29" t="s">
        <v>53</v>
      </c>
      <c r="AY91" s="48" cm="1">
        <f t="array" ref="AY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91" s="48" cm="1">
        <f t="array" ref="AZ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BA91" s="48">
        <f>IFERROR(Table_Main[[#This Row],[Giá trị tồn đầu ngày]]/Table_Main[[#This Row],[Tồn kho đầu ngày]],0)</f>
        <v>150000</v>
      </c>
      <c r="BB91" s="49">
        <v>45728</v>
      </c>
      <c r="BC91" s="19" t="s">
        <v>55</v>
      </c>
      <c r="BD91" s="50">
        <v>12</v>
      </c>
      <c r="BE91" s="51">
        <v>69691</v>
      </c>
      <c r="BF91" s="52">
        <f xml:space="preserve">
IF(Table_Main[[#This Row],[Loại]]="Nhập",Table_Main[[#This Row],[Số lượng]]*Table_Main[[#This Row],[Giá nhập / Giá vốn]],Table_Main[[#This Row],[Số lượng]]*Table_Main[[#This Row],[Giá trị bình quân đầu ngày]])</f>
        <v>836292</v>
      </c>
    </row>
    <row r="92" spans="2:58" ht="18" customHeight="1" x14ac:dyDescent="0.15">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8"/>
      <c r="AJ92" s="38"/>
      <c r="AK92" s="54"/>
      <c r="AL92" s="37"/>
      <c r="AM92" s="37"/>
      <c r="AN92" s="37"/>
      <c r="AO92" s="37"/>
      <c r="AP92" s="37"/>
      <c r="AQ92" s="37"/>
      <c r="AR92" s="37"/>
      <c r="AS92" s="37"/>
      <c r="AT92" s="37"/>
      <c r="AU92" s="37"/>
      <c r="AV92" s="37"/>
      <c r="AW92" s="37"/>
      <c r="AX92" s="30" t="s">
        <v>51</v>
      </c>
      <c r="AY92" s="48" cm="1">
        <f t="array" ref="AY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2" s="48" cm="1">
        <f t="array" ref="AZ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2" s="48">
        <f>IFERROR(Table_Main[[#This Row],[Giá trị tồn đầu ngày]]/Table_Main[[#This Row],[Tồn kho đầu ngày]],0)</f>
        <v>0</v>
      </c>
      <c r="BB92" s="49">
        <v>45726</v>
      </c>
      <c r="BC92" s="1" t="s">
        <v>55</v>
      </c>
      <c r="BD92" s="55">
        <v>35</v>
      </c>
      <c r="BE92" s="56"/>
      <c r="BF92" s="52">
        <f xml:space="preserve">
IF(Table_Main[[#This Row],[Loại]]="Nhập",Table_Main[[#This Row],[Số lượng]]*Table_Main[[#This Row],[Giá nhập / Giá vốn]],Table_Main[[#This Row],[Số lượng]]*Table_Main[[#This Row],[Giá trị bình quân đầu ngày]])</f>
        <v>0</v>
      </c>
    </row>
    <row r="93" spans="2:58" ht="18" customHeight="1" x14ac:dyDescent="0.15">
      <c r="B93" s="37"/>
      <c r="C93" s="37"/>
      <c r="D93" s="37"/>
      <c r="E93" s="37"/>
      <c r="F93" s="37"/>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8"/>
      <c r="AJ93" s="38"/>
      <c r="AK93" s="54"/>
      <c r="AL93" s="37"/>
      <c r="AM93" s="37"/>
      <c r="AN93" s="37"/>
      <c r="AO93" s="37"/>
      <c r="AP93" s="37"/>
      <c r="AQ93" s="37"/>
      <c r="AR93" s="37"/>
      <c r="AS93" s="37"/>
      <c r="AT93" s="37"/>
      <c r="AU93" s="37"/>
      <c r="AV93" s="37"/>
      <c r="AW93" s="37"/>
      <c r="AX93" s="29" t="s">
        <v>50</v>
      </c>
      <c r="AY93" s="48" cm="1">
        <f t="array" ref="AY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3" s="48" cm="1">
        <f t="array" ref="AZ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3" s="48">
        <f>IFERROR(Table_Main[[#This Row],[Giá trị tồn đầu ngày]]/Table_Main[[#This Row],[Tồn kho đầu ngày]],0)</f>
        <v>0</v>
      </c>
      <c r="BB93" s="49">
        <v>45726</v>
      </c>
      <c r="BC93" s="1" t="s">
        <v>55</v>
      </c>
      <c r="BD93" s="50">
        <v>45</v>
      </c>
      <c r="BE93" s="51"/>
      <c r="BF93" s="52">
        <f xml:space="preserve">
IF(Table_Main[[#This Row],[Loại]]="Nhập",Table_Main[[#This Row],[Số lượng]]*Table_Main[[#This Row],[Giá nhập / Giá vốn]],Table_Main[[#This Row],[Số lượng]]*Table_Main[[#This Row],[Giá trị bình quân đầu ngày]])</f>
        <v>0</v>
      </c>
    </row>
    <row r="94" spans="2:58" ht="18" customHeight="1" x14ac:dyDescent="0.15">
      <c r="B94" s="37"/>
      <c r="C94" s="37"/>
      <c r="D94" s="37"/>
      <c r="E94" s="37"/>
      <c r="F94" s="37"/>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8"/>
      <c r="AJ94" s="38"/>
      <c r="AK94" s="54"/>
      <c r="AL94" s="37"/>
      <c r="AM94" s="37"/>
      <c r="AN94" s="37"/>
      <c r="AO94" s="37"/>
      <c r="AP94" s="37"/>
      <c r="AQ94" s="37"/>
      <c r="AR94" s="37"/>
      <c r="AS94" s="37"/>
      <c r="AT94" s="37"/>
      <c r="AU94" s="37"/>
      <c r="AV94" s="37"/>
      <c r="AW94" s="37"/>
      <c r="AX94" s="29" t="s">
        <v>52</v>
      </c>
      <c r="AY94" s="48" cm="1">
        <f t="array" ref="AY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Z94" s="48" cm="1">
        <f t="array" ref="AZ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BA94" s="48">
        <f>IFERROR(Table_Main[[#This Row],[Giá trị tồn đầu ngày]]/Table_Main[[#This Row],[Tồn kho đầu ngày]],0)</f>
        <v>100000</v>
      </c>
      <c r="BB94" s="49">
        <v>45724</v>
      </c>
      <c r="BC94" s="1" t="s">
        <v>54</v>
      </c>
      <c r="BD94" s="50">
        <v>100</v>
      </c>
      <c r="BE94" s="51"/>
      <c r="BF94" s="52">
        <f xml:space="preserve">
IF(Table_Main[[#This Row],[Loại]]="Nhập",Table_Main[[#This Row],[Số lượng]]*Table_Main[[#This Row],[Giá nhập / Giá vốn]],Table_Main[[#This Row],[Số lượng]]*Table_Main[[#This Row],[Giá trị bình quân đầu ngày]])</f>
        <v>10000000</v>
      </c>
    </row>
    <row r="95" spans="2:58" ht="18" customHeight="1" x14ac:dyDescent="0.15">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8"/>
      <c r="AJ95" s="38"/>
      <c r="AK95" s="54"/>
      <c r="AL95" s="37"/>
      <c r="AM95" s="37"/>
      <c r="AN95" s="37"/>
      <c r="AO95" s="37"/>
      <c r="AP95" s="37"/>
      <c r="AQ95" s="37"/>
      <c r="AR95" s="37"/>
      <c r="AS95" s="37"/>
      <c r="AT95" s="37"/>
      <c r="AU95" s="37"/>
      <c r="AV95" s="37"/>
      <c r="AW95" s="37"/>
      <c r="AX95" s="29" t="s">
        <v>53</v>
      </c>
      <c r="AY95" s="48" cm="1">
        <f t="array" ref="AY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Z95" s="48" cm="1">
        <f t="array" ref="AZ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BA95" s="48">
        <f>IFERROR(Table_Main[[#This Row],[Giá trị tồn đầu ngày]]/Table_Main[[#This Row],[Tồn kho đầu ngày]],0)</f>
        <v>150000</v>
      </c>
      <c r="BB95" s="49">
        <v>45724</v>
      </c>
      <c r="BC95" s="19" t="s">
        <v>54</v>
      </c>
      <c r="BD95" s="50">
        <v>50</v>
      </c>
      <c r="BE95" s="51"/>
      <c r="BF95" s="52">
        <f xml:space="preserve">
IF(Table_Main[[#This Row],[Loại]]="Nhập",Table_Main[[#This Row],[Số lượng]]*Table_Main[[#This Row],[Giá nhập / Giá vốn]],Table_Main[[#This Row],[Số lượng]]*Table_Main[[#This Row],[Giá trị bình quân đầu ngày]])</f>
        <v>7500000</v>
      </c>
    </row>
    <row r="96" spans="2:58" ht="18" customHeight="1" x14ac:dyDescent="0.15">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8"/>
      <c r="AJ96" s="38"/>
      <c r="AK96" s="54"/>
      <c r="AL96" s="37"/>
      <c r="AM96" s="37"/>
      <c r="AN96" s="37"/>
      <c r="AO96" s="37"/>
      <c r="AP96" s="37"/>
      <c r="AQ96" s="37"/>
      <c r="AR96" s="37"/>
      <c r="AS96" s="37"/>
      <c r="AT96" s="37"/>
      <c r="AU96" s="37"/>
      <c r="AV96" s="37"/>
      <c r="AW96" s="37"/>
      <c r="AX96" s="29" t="s">
        <v>53</v>
      </c>
      <c r="AY96" s="48" cm="1">
        <f t="array" ref="AY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6" s="48" cm="1">
        <f t="array" ref="AZ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6" s="48">
        <f>IFERROR(Table_Main[[#This Row],[Giá trị tồn đầu ngày]]/Table_Main[[#This Row],[Tồn kho đầu ngày]],0)</f>
        <v>0</v>
      </c>
      <c r="BB96" s="49">
        <v>45722</v>
      </c>
      <c r="BC96" s="19" t="s">
        <v>55</v>
      </c>
      <c r="BD96" s="50">
        <v>200</v>
      </c>
      <c r="BE96" s="51">
        <v>150000</v>
      </c>
      <c r="BF96" s="52">
        <f xml:space="preserve">
IF(Table_Main[[#This Row],[Loại]]="Nhập",Table_Main[[#This Row],[Số lượng]]*Table_Main[[#This Row],[Giá nhập / Giá vốn]],Table_Main[[#This Row],[Số lượng]]*Table_Main[[#This Row],[Giá trị bình quân đầu ngày]])</f>
        <v>30000000</v>
      </c>
    </row>
    <row r="97" spans="2:58" ht="18" customHeight="1" x14ac:dyDescent="0.15">
      <c r="B97" s="37"/>
      <c r="C97" s="37"/>
      <c r="D97" s="37"/>
      <c r="E97" s="37"/>
      <c r="F97" s="37"/>
      <c r="G97" s="37"/>
      <c r="H97" s="37"/>
      <c r="I97" s="37"/>
      <c r="J97" s="37"/>
      <c r="K97" s="37"/>
      <c r="L97" s="37"/>
      <c r="M97" s="37"/>
      <c r="N97" s="37"/>
      <c r="O97" s="37"/>
      <c r="P97" s="37"/>
      <c r="Q97" s="37"/>
      <c r="R97" s="37"/>
      <c r="S97" s="37"/>
      <c r="T97" s="37"/>
      <c r="U97" s="37"/>
      <c r="V97" s="37"/>
      <c r="W97" s="37"/>
      <c r="X97" s="37"/>
      <c r="Y97" s="37"/>
      <c r="Z97" s="37"/>
      <c r="AA97" s="37"/>
      <c r="AB97" s="37"/>
      <c r="AC97" s="37"/>
      <c r="AD97" s="37"/>
      <c r="AE97" s="37"/>
      <c r="AF97" s="37"/>
      <c r="AG97" s="37"/>
      <c r="AH97" s="37"/>
      <c r="AI97" s="38"/>
      <c r="AJ97" s="38"/>
      <c r="AK97" s="54"/>
      <c r="AL97" s="37"/>
      <c r="AM97" s="37"/>
      <c r="AN97" s="37"/>
      <c r="AO97" s="37"/>
      <c r="AP97" s="37"/>
      <c r="AQ97" s="37"/>
      <c r="AR97" s="37"/>
      <c r="AS97" s="37"/>
      <c r="AT97" s="37"/>
      <c r="AU97" s="37"/>
      <c r="AV97" s="37"/>
      <c r="AW97" s="37"/>
      <c r="AX97" s="29" t="s">
        <v>49</v>
      </c>
      <c r="AY97" s="48" cm="1">
        <f t="array" ref="AY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7" s="48" cm="1">
        <f t="array" ref="AZ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7" s="48">
        <f>IFERROR(Table_Main[[#This Row],[Giá trị tồn đầu ngày]]/Table_Main[[#This Row],[Tồn kho đầu ngày]],0)</f>
        <v>0</v>
      </c>
      <c r="BB97" s="49">
        <v>45722</v>
      </c>
      <c r="BC97" s="1" t="s">
        <v>55</v>
      </c>
      <c r="BD97" s="50">
        <v>150</v>
      </c>
      <c r="BE97" s="51">
        <v>80000</v>
      </c>
      <c r="BF97" s="52">
        <f xml:space="preserve">
IF(Table_Main[[#This Row],[Loại]]="Nhập",Table_Main[[#This Row],[Số lượng]]*Table_Main[[#This Row],[Giá nhập / Giá vốn]],Table_Main[[#This Row],[Số lượng]]*Table_Main[[#This Row],[Giá trị bình quân đầu ngày]])</f>
        <v>12000000</v>
      </c>
    </row>
    <row r="98" spans="2:58" ht="18" customHeight="1" x14ac:dyDescent="0.15">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8"/>
      <c r="AJ98" s="38"/>
      <c r="AK98" s="54"/>
      <c r="AL98" s="37"/>
      <c r="AM98" s="37"/>
      <c r="AN98" s="37"/>
      <c r="AO98" s="37"/>
      <c r="AP98" s="37"/>
      <c r="AQ98" s="37"/>
      <c r="AR98" s="37"/>
      <c r="AS98" s="37"/>
      <c r="AT98" s="37"/>
      <c r="AU98" s="37"/>
      <c r="AV98" s="37"/>
      <c r="AW98" s="37"/>
      <c r="AX98" s="29" t="s">
        <v>52</v>
      </c>
      <c r="AY98" s="48" cm="1">
        <f t="array" ref="AY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8" s="48" cm="1">
        <f t="array" ref="AZ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8" s="48">
        <f>IFERROR(Table_Main[[#This Row],[Giá trị tồn đầu ngày]]/Table_Main[[#This Row],[Tồn kho đầu ngày]],0)</f>
        <v>0</v>
      </c>
      <c r="BB98" s="49">
        <v>45720</v>
      </c>
      <c r="BC98" s="1" t="s">
        <v>55</v>
      </c>
      <c r="BD98" s="50">
        <v>300</v>
      </c>
      <c r="BE98" s="51">
        <v>100000</v>
      </c>
      <c r="BF98" s="52">
        <f xml:space="preserve">
IF(Table_Main[[#This Row],[Loại]]="Nhập",Table_Main[[#This Row],[Số lượng]]*Table_Main[[#This Row],[Giá nhập / Giá vốn]],Table_Main[[#This Row],[Số lượng]]*Table_Main[[#This Row],[Giá trị bình quân đầu ngày]])</f>
        <v>30000000</v>
      </c>
    </row>
    <row r="99" spans="2:58" ht="18" customHeight="1" x14ac:dyDescent="0.15">
      <c r="B99" s="37"/>
      <c r="C99" s="37"/>
      <c r="D99" s="37"/>
      <c r="E99" s="37"/>
      <c r="F99" s="37"/>
      <c r="G99" s="37"/>
      <c r="H99" s="37"/>
      <c r="I99" s="37"/>
      <c r="J99" s="37"/>
      <c r="K99" s="37"/>
      <c r="L99" s="37"/>
      <c r="M99" s="37"/>
      <c r="N99" s="37"/>
      <c r="O99" s="37"/>
      <c r="P99" s="37"/>
      <c r="Q99" s="37"/>
      <c r="R99" s="37"/>
      <c r="S99" s="37"/>
      <c r="T99" s="37"/>
      <c r="U99" s="37"/>
      <c r="V99" s="37"/>
      <c r="W99" s="37"/>
      <c r="X99" s="37"/>
      <c r="Y99" s="37"/>
      <c r="Z99" s="37"/>
      <c r="AA99" s="37"/>
      <c r="AB99" s="37"/>
      <c r="AC99" s="37"/>
      <c r="AD99" s="37"/>
      <c r="AE99" s="37"/>
      <c r="AF99" s="37"/>
      <c r="AG99" s="37"/>
      <c r="AH99" s="37"/>
      <c r="AI99" s="38"/>
      <c r="AJ99" s="38"/>
      <c r="AK99" s="54"/>
      <c r="AL99" s="37"/>
      <c r="AM99" s="37"/>
      <c r="AN99" s="37"/>
      <c r="AO99" s="37"/>
      <c r="AP99" s="37"/>
      <c r="AQ99" s="37"/>
      <c r="AR99" s="37"/>
      <c r="AS99" s="37"/>
      <c r="AT99" s="37"/>
      <c r="AU99" s="37"/>
      <c r="AV99" s="37"/>
      <c r="AW99" s="37"/>
      <c r="AX99" s="37"/>
      <c r="AY99" s="37"/>
      <c r="AZ99" s="37"/>
      <c r="BA99" s="37"/>
      <c r="BB99" s="37"/>
      <c r="BC99" s="37"/>
      <c r="BD99" s="37"/>
      <c r="BE99" s="37"/>
      <c r="BF99" s="37"/>
    </row>
    <row r="100" spans="2:58" ht="18" customHeight="1" x14ac:dyDescent="0.15">
      <c r="B100" s="37"/>
      <c r="C100" s="37"/>
      <c r="D100" s="37"/>
      <c r="E100" s="37"/>
      <c r="F100" s="37"/>
      <c r="G100" s="37"/>
      <c r="H100" s="37"/>
      <c r="I100" s="37"/>
      <c r="J100" s="37"/>
      <c r="K100" s="37"/>
      <c r="L100" s="37"/>
      <c r="M100" s="37"/>
      <c r="N100" s="37"/>
      <c r="O100" s="37"/>
      <c r="P100" s="37"/>
      <c r="Q100" s="37"/>
      <c r="R100" s="37"/>
      <c r="S100" s="37"/>
      <c r="T100" s="37"/>
      <c r="U100" s="37"/>
      <c r="V100" s="37"/>
      <c r="W100" s="37"/>
      <c r="X100" s="37"/>
      <c r="Y100" s="37"/>
      <c r="Z100" s="37"/>
      <c r="AA100" s="37"/>
      <c r="AB100" s="37"/>
      <c r="AC100" s="37"/>
      <c r="AD100" s="37"/>
      <c r="AE100" s="37"/>
      <c r="AF100" s="37"/>
      <c r="AG100" s="37"/>
      <c r="AH100" s="37"/>
      <c r="AI100" s="38"/>
      <c r="AJ100" s="38"/>
      <c r="AK100" s="54"/>
      <c r="AL100" s="37"/>
      <c r="AM100" s="37"/>
      <c r="AN100" s="37"/>
      <c r="AO100" s="37"/>
      <c r="AP100" s="37"/>
      <c r="AQ100" s="37"/>
      <c r="AR100" s="37"/>
      <c r="AS100" s="37"/>
      <c r="AT100" s="37"/>
      <c r="AU100" s="37"/>
      <c r="AV100" s="37"/>
      <c r="AW100" s="37"/>
      <c r="AX100" s="37"/>
      <c r="AY100" s="37"/>
      <c r="AZ100" s="37"/>
      <c r="BA100" s="37"/>
      <c r="BB100" s="37"/>
      <c r="BC100" s="37"/>
      <c r="BD100" s="37"/>
      <c r="BE100" s="37"/>
      <c r="BF100" s="37"/>
    </row>
    <row r="101" spans="2:58" ht="18" customHeight="1" x14ac:dyDescent="0.15">
      <c r="B101" s="37"/>
      <c r="C101" s="37"/>
      <c r="D101" s="37"/>
      <c r="E101" s="37"/>
      <c r="F101" s="37"/>
      <c r="G101" s="37"/>
      <c r="H101" s="37"/>
      <c r="I101" s="37"/>
      <c r="J101" s="37"/>
      <c r="K101" s="37"/>
      <c r="L101" s="37"/>
      <c r="M101" s="37"/>
      <c r="N101" s="37"/>
      <c r="O101" s="37"/>
      <c r="P101" s="37"/>
      <c r="Q101" s="37"/>
      <c r="R101" s="37"/>
      <c r="S101" s="37"/>
      <c r="T101" s="37"/>
      <c r="U101" s="37"/>
      <c r="V101" s="37"/>
      <c r="W101" s="37"/>
      <c r="X101" s="37"/>
      <c r="Y101" s="37"/>
      <c r="Z101" s="37"/>
      <c r="AA101" s="37"/>
      <c r="AB101" s="37"/>
      <c r="AC101" s="37"/>
      <c r="AD101" s="37"/>
      <c r="AE101" s="37"/>
      <c r="AF101" s="37"/>
      <c r="AG101" s="37"/>
      <c r="AH101" s="37"/>
      <c r="AI101" s="38"/>
      <c r="AJ101" s="38"/>
      <c r="AK101" s="54"/>
      <c r="AL101" s="37"/>
      <c r="AM101" s="37"/>
      <c r="AN101" s="37"/>
      <c r="AO101" s="37"/>
      <c r="AP101" s="37"/>
      <c r="AQ101" s="37"/>
      <c r="AR101" s="37"/>
      <c r="AS101" s="37"/>
      <c r="AT101" s="37"/>
      <c r="AU101" s="37"/>
      <c r="AV101" s="37"/>
      <c r="AW101" s="37"/>
      <c r="AX101" s="37"/>
      <c r="AY101" s="37"/>
      <c r="AZ101" s="37"/>
      <c r="BA101" s="37"/>
      <c r="BB101" s="37"/>
      <c r="BC101" s="37"/>
      <c r="BD101" s="37"/>
      <c r="BE101" s="37"/>
      <c r="BF101" s="37"/>
    </row>
    <row r="102" spans="2:58" ht="18" customHeight="1" x14ac:dyDescent="0.15">
      <c r="B102" s="37"/>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8"/>
      <c r="AJ102" s="38"/>
      <c r="AK102" s="54"/>
      <c r="AL102" s="37"/>
      <c r="AM102" s="37"/>
      <c r="AN102" s="37"/>
      <c r="AO102" s="37"/>
      <c r="AP102" s="37"/>
      <c r="AQ102" s="37"/>
      <c r="AR102" s="37"/>
      <c r="AS102" s="37"/>
      <c r="AT102" s="37"/>
      <c r="AU102" s="37"/>
      <c r="AV102" s="37"/>
      <c r="AW102" s="37"/>
      <c r="AX102" s="37"/>
      <c r="AY102" s="37"/>
      <c r="AZ102" s="37"/>
      <c r="BA102" s="37"/>
      <c r="BB102" s="37"/>
      <c r="BC102" s="37"/>
      <c r="BD102" s="37"/>
      <c r="BE102" s="37"/>
      <c r="BF102" s="37"/>
    </row>
  </sheetData>
  <sheetProtection algorithmName="SHA-512" hashValue="OMySb8HEPaYlcit9jsgWOcPQcwNmP/BWHgqmRmJyh7dPLftwKOlhcW9h1M3pDHc7usb57g3fivQf0WBY472lig==" saltValue="z6BPgtG8nAraSdKwnHVpsg==" spinCount="100000" sheet="1" scenarios="1" formatCells="0" formatColumns="0" formatRows="0" autoFilter="0" pivotTables="0"/>
  <protectedRanges>
    <protectedRange sqref="AY23:BA23 BF23 BB22:BE22" name="Range1"/>
    <protectedRange sqref="AX22 AS22" name="Range1_1"/>
    <protectedRange sqref="BF22" name="Range1_3"/>
    <protectedRange sqref="AY22:BA22" name="Range1_10"/>
    <protectedRange sqref="AX69:AX98" name="Range1_2"/>
    <protectedRange sqref="AX23:AX68" name="Range1_1_1"/>
    <protectedRange sqref="BB23:BD68" name="Range1_4"/>
    <protectedRange sqref="BB69:BB73 BB92:BB96" name="Range1_5_1"/>
    <protectedRange sqref="BC92:BC98 BC89 BC82 BC69:BC75" name="Range1_7_1"/>
    <protectedRange sqref="BD69:BD73 BD92:BD96" name="Range1_8_1"/>
    <protectedRange sqref="BE23:BE68" name="Range1_6"/>
  </protectedRanges>
  <dataValidations disablePrompts="1" count="1">
    <dataValidation type="list" allowBlank="1" showInputMessage="1" showErrorMessage="1" sqref="BC23:BC98" xr:uid="{8E5FB767-4300-444A-B94B-4EABAAF30418}">
      <formula1>"Nhập, Xuất"</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AddRow">
                <anchor moveWithCells="1">
                  <from>
                    <xdr:col>38</xdr:col>
                    <xdr:colOff>171450</xdr:colOff>
                    <xdr:row>0</xdr:row>
                    <xdr:rowOff>85725</xdr:rowOff>
                  </from>
                  <to>
                    <xdr:col>39</xdr:col>
                    <xdr:colOff>28575</xdr:colOff>
                    <xdr:row>1</xdr:row>
                    <xdr:rowOff>114300</xdr:rowOff>
                  </to>
                </anchor>
              </controlPr>
            </control>
          </mc:Choice>
        </mc:AlternateContent>
        <mc:AlternateContent xmlns:mc="http://schemas.openxmlformats.org/markup-compatibility/2006">
          <mc:Choice Requires="x14">
            <control shapeId="59394" r:id="rId6" name="Button 2">
              <controlPr defaultSize="0" print="0" autoFill="0" autoPict="0" macro="[0]!DeleteRow">
                <anchor moveWithCells="1">
                  <from>
                    <xdr:col>39</xdr:col>
                    <xdr:colOff>180975</xdr:colOff>
                    <xdr:row>0</xdr:row>
                    <xdr:rowOff>85725</xdr:rowOff>
                  </from>
                  <to>
                    <xdr:col>39</xdr:col>
                    <xdr:colOff>657225</xdr:colOff>
                    <xdr:row>1</xdr:row>
                    <xdr:rowOff>114300</xdr:rowOff>
                  </to>
                </anchor>
              </controlPr>
            </control>
          </mc:Choice>
        </mc:AlternateContent>
        <mc:AlternateContent xmlns:mc="http://schemas.openxmlformats.org/markup-compatibility/2006">
          <mc:Choice Requires="x14">
            <control shapeId="59402" r:id="rId7" name="Option Button 10">
              <controlPr defaultSize="0" autoFill="0" autoLine="0" autoPict="0" macro="[0]!DoiDonViHienThi">
                <anchor moveWithCells="1">
                  <from>
                    <xdr:col>34</xdr:col>
                    <xdr:colOff>942975</xdr:colOff>
                    <xdr:row>0</xdr:row>
                    <xdr:rowOff>114300</xdr:rowOff>
                  </from>
                  <to>
                    <xdr:col>35</xdr:col>
                    <xdr:colOff>590550</xdr:colOff>
                    <xdr:row>1</xdr:row>
                    <xdr:rowOff>161925</xdr:rowOff>
                  </to>
                </anchor>
              </controlPr>
            </control>
          </mc:Choice>
        </mc:AlternateContent>
        <mc:AlternateContent xmlns:mc="http://schemas.openxmlformats.org/markup-compatibility/2006">
          <mc:Choice Requires="x14">
            <control shapeId="59403" r:id="rId8" name="Option Button 11">
              <controlPr defaultSize="0" autoFill="0" autoLine="0" autoPict="0" macro="[0]!DoiDonViHienThi">
                <anchor moveWithCells="1">
                  <from>
                    <xdr:col>35</xdr:col>
                    <xdr:colOff>466725</xdr:colOff>
                    <xdr:row>0</xdr:row>
                    <xdr:rowOff>114300</xdr:rowOff>
                  </from>
                  <to>
                    <xdr:col>36</xdr:col>
                    <xdr:colOff>38100</xdr:colOff>
                    <xdr:row>1</xdr:row>
                    <xdr:rowOff>161925</xdr:rowOff>
                  </to>
                </anchor>
              </controlPr>
            </control>
          </mc:Choice>
        </mc:AlternateContent>
        <mc:AlternateContent xmlns:mc="http://schemas.openxmlformats.org/markup-compatibility/2006">
          <mc:Choice Requires="x14">
            <control shapeId="59404" r:id="rId9" name="Option Button 12">
              <controlPr defaultSize="0" autoFill="0" autoLine="0" autoPict="0" macro="[0]!DoiDonViHienThi">
                <anchor moveWithCells="1">
                  <from>
                    <xdr:col>35</xdr:col>
                    <xdr:colOff>933450</xdr:colOff>
                    <xdr:row>0</xdr:row>
                    <xdr:rowOff>114300</xdr:rowOff>
                  </from>
                  <to>
                    <xdr:col>36</xdr:col>
                    <xdr:colOff>504825</xdr:colOff>
                    <xdr:row>1</xdr:row>
                    <xdr:rowOff>161925</xdr:rowOff>
                  </to>
                </anchor>
              </controlPr>
            </control>
          </mc:Choice>
        </mc:AlternateContent>
        <mc:AlternateContent xmlns:mc="http://schemas.openxmlformats.org/markup-compatibility/2006">
          <mc:Choice Requires="x14">
            <control shapeId="59405" r:id="rId10" name="Option Button 13">
              <controlPr defaultSize="0" autoFill="0" autoLine="0" autoPict="0" macro="[0]!DoiDonViHienThi">
                <anchor moveWithCells="1">
                  <from>
                    <xdr:col>36</xdr:col>
                    <xdr:colOff>390525</xdr:colOff>
                    <xdr:row>0</xdr:row>
                    <xdr:rowOff>114300</xdr:rowOff>
                  </from>
                  <to>
                    <xdr:col>36</xdr:col>
                    <xdr:colOff>742950</xdr:colOff>
                    <xdr:row>1</xdr:row>
                    <xdr:rowOff>161925</xdr:rowOff>
                  </to>
                </anchor>
              </controlPr>
            </control>
          </mc:Choice>
        </mc:AlternateContent>
        <mc:AlternateContent xmlns:mc="http://schemas.openxmlformats.org/markup-compatibility/2006">
          <mc:Choice Requires="x14">
            <control shapeId="59406" r:id="rId11" name="Group Box 14">
              <controlPr defaultSize="0" autoFill="0" autoPict="0">
                <anchor moveWithCells="1">
                  <from>
                    <xdr:col>34</xdr:col>
                    <xdr:colOff>828675</xdr:colOff>
                    <xdr:row>0</xdr:row>
                    <xdr:rowOff>66675</xdr:rowOff>
                  </from>
                  <to>
                    <xdr:col>36</xdr:col>
                    <xdr:colOff>857250</xdr:colOff>
                    <xdr:row>1</xdr:row>
                    <xdr:rowOff>200025</xdr:rowOff>
                  </to>
                </anchor>
              </controlPr>
            </control>
          </mc:Choice>
        </mc:AlternateContent>
        <mc:AlternateContent xmlns:mc="http://schemas.openxmlformats.org/markup-compatibility/2006">
          <mc:Choice Requires="x14">
            <control shapeId="59407" r:id="rId12" name="Group Box 15">
              <controlPr defaultSize="0" autoFill="0" autoPict="0">
                <anchor moveWithCells="1" sizeWithCells="1">
                  <from>
                    <xdr:col>33</xdr:col>
                    <xdr:colOff>47625</xdr:colOff>
                    <xdr:row>0</xdr:row>
                    <xdr:rowOff>66675</xdr:rowOff>
                  </from>
                  <to>
                    <xdr:col>34</xdr:col>
                    <xdr:colOff>781050</xdr:colOff>
                    <xdr:row>1</xdr:row>
                    <xdr:rowOff>200025</xdr:rowOff>
                  </to>
                </anchor>
              </controlPr>
            </control>
          </mc:Choice>
        </mc:AlternateContent>
        <mc:AlternateContent xmlns:mc="http://schemas.openxmlformats.org/markup-compatibility/2006">
          <mc:Choice Requires="x14">
            <control shapeId="59408" r:id="rId13" name="Button 16">
              <controlPr defaultSize="0" autoFill="0" autoPict="0" macro="[0]!NhanNghin">
                <anchor moveWithCells="1" sizeWithCells="1">
                  <from>
                    <xdr:col>33</xdr:col>
                    <xdr:colOff>133350</xdr:colOff>
                    <xdr:row>0</xdr:row>
                    <xdr:rowOff>161925</xdr:rowOff>
                  </from>
                  <to>
                    <xdr:col>33</xdr:col>
                    <xdr:colOff>600075</xdr:colOff>
                    <xdr:row>1</xdr:row>
                    <xdr:rowOff>104775</xdr:rowOff>
                  </to>
                </anchor>
              </controlPr>
            </control>
          </mc:Choice>
        </mc:AlternateContent>
        <mc:AlternateContent xmlns:mc="http://schemas.openxmlformats.org/markup-compatibility/2006">
          <mc:Choice Requires="x14">
            <control shapeId="59409" r:id="rId14" name="Button 17">
              <controlPr defaultSize="0" autoFill="0" autoPict="0" macro="[0]!NhanTrieu">
                <anchor moveWithCells="1" sizeWithCells="1">
                  <from>
                    <xdr:col>33</xdr:col>
                    <xdr:colOff>647700</xdr:colOff>
                    <xdr:row>0</xdr:row>
                    <xdr:rowOff>161925</xdr:rowOff>
                  </from>
                  <to>
                    <xdr:col>34</xdr:col>
                    <xdr:colOff>190500</xdr:colOff>
                    <xdr:row>1</xdr:row>
                    <xdr:rowOff>104775</xdr:rowOff>
                  </to>
                </anchor>
              </controlPr>
            </control>
          </mc:Choice>
        </mc:AlternateContent>
        <mc:AlternateContent xmlns:mc="http://schemas.openxmlformats.org/markup-compatibility/2006">
          <mc:Choice Requires="x14">
            <control shapeId="59410" r:id="rId15" name="Button 18">
              <controlPr defaultSize="0" autoFill="0" autoPict="0" macro="[0]!NhanTy">
                <anchor moveWithCells="1" sizeWithCells="1">
                  <from>
                    <xdr:col>34</xdr:col>
                    <xdr:colOff>238125</xdr:colOff>
                    <xdr:row>0</xdr:row>
                    <xdr:rowOff>161925</xdr:rowOff>
                  </from>
                  <to>
                    <xdr:col>34</xdr:col>
                    <xdr:colOff>704850</xdr:colOff>
                    <xdr:row>1</xdr:row>
                    <xdr:rowOff>104775</xdr:rowOff>
                  </to>
                </anchor>
              </controlPr>
            </control>
          </mc:Choice>
        </mc:AlternateContent>
        <mc:AlternateContent xmlns:mc="http://schemas.openxmlformats.org/markup-compatibility/2006">
          <mc:Choice Requires="x14">
            <control shapeId="59420" r:id="rId16" name="Button 28">
              <controlPr defaultSize="0" print="0" autoFill="0" autoPict="0" macro="[0]!RefreshTables">
                <anchor moveWithCells="1">
                  <from>
                    <xdr:col>52</xdr:col>
                    <xdr:colOff>257175</xdr:colOff>
                    <xdr:row>0</xdr:row>
                    <xdr:rowOff>209550</xdr:rowOff>
                  </from>
                  <to>
                    <xdr:col>53</xdr:col>
                    <xdr:colOff>190500</xdr:colOff>
                    <xdr:row>2</xdr:row>
                    <xdr:rowOff>9525</xdr:rowOff>
                  </to>
                </anchor>
              </controlPr>
            </control>
          </mc:Choice>
        </mc:AlternateContent>
        <mc:AlternateContent xmlns:mc="http://schemas.openxmlformats.org/markup-compatibility/2006">
          <mc:Choice Requires="x14">
            <control shapeId="59421" r:id="rId17" name="Button 1053">
              <controlPr defaultSize="0" autoFill="0" autoPict="0" macro="[0]!NhanNghin">
                <anchor moveWithCells="1">
                  <from>
                    <xdr:col>33</xdr:col>
                    <xdr:colOff>657225</xdr:colOff>
                    <xdr:row>0</xdr:row>
                    <xdr:rowOff>171450</xdr:rowOff>
                  </from>
                  <to>
                    <xdr:col>34</xdr:col>
                    <xdr:colOff>266700</xdr:colOff>
                    <xdr:row>1</xdr:row>
                    <xdr:rowOff>114300</xdr:rowOff>
                  </to>
                </anchor>
              </controlPr>
            </control>
          </mc:Choice>
        </mc:AlternateContent>
        <mc:AlternateContent xmlns:mc="http://schemas.openxmlformats.org/markup-compatibility/2006">
          <mc:Choice Requires="x14">
            <control shapeId="59422" r:id="rId18" name="Button 1054">
              <controlPr defaultSize="0" autoFill="0" autoPict="0" macro="[0]!NhanTrieu">
                <anchor moveWithCells="1">
                  <from>
                    <xdr:col>34</xdr:col>
                    <xdr:colOff>342900</xdr:colOff>
                    <xdr:row>0</xdr:row>
                    <xdr:rowOff>171450</xdr:rowOff>
                  </from>
                  <to>
                    <xdr:col>34</xdr:col>
                    <xdr:colOff>885825</xdr:colOff>
                    <xdr:row>1</xdr:row>
                    <xdr:rowOff>123825</xdr:rowOff>
                  </to>
                </anchor>
              </controlPr>
            </control>
          </mc:Choice>
        </mc:AlternateContent>
        <mc:AlternateContent xmlns:mc="http://schemas.openxmlformats.org/markup-compatibility/2006">
          <mc:Choice Requires="x14">
            <control shapeId="59423" r:id="rId19" name="Button 1055">
              <controlPr defaultSize="0" autoFill="0" autoPict="0" macro="[0]!NhanTy">
                <anchor moveWithCells="1">
                  <from>
                    <xdr:col>35</xdr:col>
                    <xdr:colOff>28575</xdr:colOff>
                    <xdr:row>0</xdr:row>
                    <xdr:rowOff>171450</xdr:rowOff>
                  </from>
                  <to>
                    <xdr:col>35</xdr:col>
                    <xdr:colOff>571500</xdr:colOff>
                    <xdr:row>1</xdr:row>
                    <xdr:rowOff>123825</xdr:rowOff>
                  </to>
                </anchor>
              </controlPr>
            </control>
          </mc:Choice>
        </mc:AlternateContent>
        <mc:AlternateContent xmlns:mc="http://schemas.openxmlformats.org/markup-compatibility/2006">
          <mc:Choice Requires="x14">
            <control shapeId="59424" r:id="rId20" name="Group Box 1056">
              <controlPr defaultSize="0" autoFill="0" autoPict="0">
                <anchor moveWithCells="1">
                  <from>
                    <xdr:col>33</xdr:col>
                    <xdr:colOff>552450</xdr:colOff>
                    <xdr:row>0</xdr:row>
                    <xdr:rowOff>66675</xdr:rowOff>
                  </from>
                  <to>
                    <xdr:col>35</xdr:col>
                    <xdr:colOff>666750</xdr:colOff>
                    <xdr:row>1</xdr:row>
                    <xdr:rowOff>219075</xdr:rowOff>
                  </to>
                </anchor>
              </controlPr>
            </control>
          </mc:Choice>
        </mc:AlternateContent>
        <mc:AlternateContent xmlns:mc="http://schemas.openxmlformats.org/markup-compatibility/2006">
          <mc:Choice Requires="x14">
            <control shapeId="59425" r:id="rId21" name="Group Box 1057">
              <controlPr defaultSize="0" autoFill="0" autoPict="0">
                <anchor moveWithCells="1">
                  <from>
                    <xdr:col>35</xdr:col>
                    <xdr:colOff>695325</xdr:colOff>
                    <xdr:row>0</xdr:row>
                    <xdr:rowOff>66675</xdr:rowOff>
                  </from>
                  <to>
                    <xdr:col>39</xdr:col>
                    <xdr:colOff>295275</xdr:colOff>
                    <xdr:row>1</xdr:row>
                    <xdr:rowOff>219075</xdr:rowOff>
                  </to>
                </anchor>
              </controlPr>
            </control>
          </mc:Choice>
        </mc:AlternateContent>
        <mc:AlternateContent xmlns:mc="http://schemas.openxmlformats.org/markup-compatibility/2006">
          <mc:Choice Requires="x14">
            <control shapeId="59426" r:id="rId22" name="Option Button 1058">
              <controlPr defaultSize="0" autoFill="0" autoLine="0" autoPict="0" macro="[0]!DoiDonViHienThi">
                <anchor moveWithCells="1">
                  <from>
                    <xdr:col>35</xdr:col>
                    <xdr:colOff>838200</xdr:colOff>
                    <xdr:row>0</xdr:row>
                    <xdr:rowOff>152400</xdr:rowOff>
                  </from>
                  <to>
                    <xdr:col>36</xdr:col>
                    <xdr:colOff>361950</xdr:colOff>
                    <xdr:row>1</xdr:row>
                    <xdr:rowOff>133350</xdr:rowOff>
                  </to>
                </anchor>
              </controlPr>
            </control>
          </mc:Choice>
        </mc:AlternateContent>
        <mc:AlternateContent xmlns:mc="http://schemas.openxmlformats.org/markup-compatibility/2006">
          <mc:Choice Requires="x14">
            <control shapeId="59427" r:id="rId23" name="Option Button 1059">
              <controlPr defaultSize="0" autoFill="0" autoLine="0" autoPict="0" macro="[0]!DoiDonViHienThi">
                <anchor moveWithCells="1">
                  <from>
                    <xdr:col>36</xdr:col>
                    <xdr:colOff>304800</xdr:colOff>
                    <xdr:row>0</xdr:row>
                    <xdr:rowOff>152400</xdr:rowOff>
                  </from>
                  <to>
                    <xdr:col>36</xdr:col>
                    <xdr:colOff>847725</xdr:colOff>
                    <xdr:row>1</xdr:row>
                    <xdr:rowOff>133350</xdr:rowOff>
                  </to>
                </anchor>
              </controlPr>
            </control>
          </mc:Choice>
        </mc:AlternateContent>
        <mc:AlternateContent xmlns:mc="http://schemas.openxmlformats.org/markup-compatibility/2006">
          <mc:Choice Requires="x14">
            <control shapeId="59429" r:id="rId24" name="Option Button 1061">
              <controlPr defaultSize="0" autoFill="0" autoLine="0" autoPict="0" macro="[0]!DoiDonViHienThi">
                <anchor moveWithCells="1">
                  <from>
                    <xdr:col>36</xdr:col>
                    <xdr:colOff>790575</xdr:colOff>
                    <xdr:row>0</xdr:row>
                    <xdr:rowOff>152400</xdr:rowOff>
                  </from>
                  <to>
                    <xdr:col>38</xdr:col>
                    <xdr:colOff>285750</xdr:colOff>
                    <xdr:row>1</xdr:row>
                    <xdr:rowOff>133350</xdr:rowOff>
                  </to>
                </anchor>
              </controlPr>
            </control>
          </mc:Choice>
        </mc:AlternateContent>
        <mc:AlternateContent xmlns:mc="http://schemas.openxmlformats.org/markup-compatibility/2006">
          <mc:Choice Requires="x14">
            <control shapeId="59430" r:id="rId25" name="Option Button 1062">
              <controlPr defaultSize="0" autoFill="0" autoLine="0" autoPict="0" macro="[0]!DoiDonViHienThi">
                <anchor moveWithCells="1">
                  <from>
                    <xdr:col>38</xdr:col>
                    <xdr:colOff>228600</xdr:colOff>
                    <xdr:row>0</xdr:row>
                    <xdr:rowOff>152400</xdr:rowOff>
                  </from>
                  <to>
                    <xdr:col>39</xdr:col>
                    <xdr:colOff>152400</xdr:colOff>
                    <xdr:row>1</xdr:row>
                    <xdr:rowOff>133350</xdr:rowOff>
                  </to>
                </anchor>
              </controlPr>
            </control>
          </mc:Choice>
        </mc:AlternateContent>
        <mc:AlternateContent xmlns:mc="http://schemas.openxmlformats.org/markup-compatibility/2006">
          <mc:Choice Requires="x14">
            <control shapeId="59431" r:id="rId26" name="Button 1063">
              <controlPr defaultSize="0" print="0" autoFill="0" autoPict="0" macro="[0]!AddRow">
                <anchor moveWithCells="1">
                  <from>
                    <xdr:col>45</xdr:col>
                    <xdr:colOff>638175</xdr:colOff>
                    <xdr:row>0</xdr:row>
                    <xdr:rowOff>95250</xdr:rowOff>
                  </from>
                  <to>
                    <xdr:col>46</xdr:col>
                    <xdr:colOff>495300</xdr:colOff>
                    <xdr:row>1</xdr:row>
                    <xdr:rowOff>123825</xdr:rowOff>
                  </to>
                </anchor>
              </controlPr>
            </control>
          </mc:Choice>
        </mc:AlternateContent>
        <mc:AlternateContent xmlns:mc="http://schemas.openxmlformats.org/markup-compatibility/2006">
          <mc:Choice Requires="x14">
            <control shapeId="59432" r:id="rId27" name="Button 1064">
              <controlPr defaultSize="0" print="0" autoFill="0" autoPict="0" macro="[0]!DeleteRow">
                <anchor moveWithCells="1">
                  <from>
                    <xdr:col>46</xdr:col>
                    <xdr:colOff>542925</xdr:colOff>
                    <xdr:row>0</xdr:row>
                    <xdr:rowOff>95250</xdr:rowOff>
                  </from>
                  <to>
                    <xdr:col>47</xdr:col>
                    <xdr:colOff>400050</xdr:colOff>
                    <xdr:row>1</xdr:row>
                    <xdr:rowOff>123825</xdr:rowOff>
                  </to>
                </anchor>
              </controlPr>
            </control>
          </mc:Choice>
        </mc:AlternateContent>
        <mc:AlternateContent xmlns:mc="http://schemas.openxmlformats.org/markup-compatibility/2006">
          <mc:Choice Requires="x14">
            <control shapeId="59433" r:id="rId28" name="Button 1065">
              <controlPr defaultSize="0" print="0" autoFill="0" autoPict="0" macro="[0]!RefreshTables">
                <anchor moveWithCells="1">
                  <from>
                    <xdr:col>53</xdr:col>
                    <xdr:colOff>28575</xdr:colOff>
                    <xdr:row>0</xdr:row>
                    <xdr:rowOff>114300</xdr:rowOff>
                  </from>
                  <to>
                    <xdr:col>54</xdr:col>
                    <xdr:colOff>85725</xdr:colOff>
                    <xdr:row>1</xdr:row>
                    <xdr:rowOff>142875</xdr:rowOff>
                  </to>
                </anchor>
              </controlPr>
            </control>
          </mc:Choice>
        </mc:AlternateContent>
      </controls>
    </mc:Choice>
  </mc:AlternateContent>
  <tableParts count="4">
    <tablePart r:id="rId29"/>
    <tablePart r:id="rId30"/>
    <tablePart r:id="rId31"/>
    <tablePart r:id="rId32"/>
  </tableParts>
  <extLst>
    <ext xmlns:x14="http://schemas.microsoft.com/office/spreadsheetml/2009/9/main" uri="{78C0D931-6437-407d-A8EE-F0AAD7539E65}">
      <x14:conditionalFormattings>
        <x14:conditionalFormatting xmlns:xm="http://schemas.microsoft.com/office/excel/2006/main">
          <x14:cfRule type="expression" priority="7" id="{037794BD-7E4B-429D-98DD-46CDA5D2A8FB}">
            <xm:f>Security!$A$1="NO VBA"</xm:f>
            <x14:dxf>
              <font>
                <color theme="0"/>
              </font>
              <border>
                <vertical/>
                <horizontal/>
              </border>
            </x14:dxf>
          </x14:cfRule>
          <xm:sqref>BB22:BF22 BG22:XFD23 AX99:XFD1048576 AX22 AY23:BA98 BF24:XFD98 BF23:BF98 AJ1 BB20:XFD20 AL20:AS20 AL1:XFD19 W1:AG20 W21:AW1048576 AH3:AK20 AX21:XFD21 G1:Q1048576 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file>

<file path=customXml/item3.xml>��   
</file>

<file path=customXml/item4.xml>�� � � � � 
</file>

<file path=customXml/item5.xml>�� �� �i   t �� � �� �t   � � �  l � � �  l �� �  t � � �� �i   t �� � �� �t   � � �  l � � �  l �� �  t � � 
</file>

<file path=customXml/item6.xml>�� �  p h � �c   n  � �� � � �  p h � �c   n  � �� � � 
</file>

<file path=customXml/item7.xml>�� � � � i � �  d � i �m   s �  d � �� �  l � � � � � �n   c � � � � � �  l � � � � �p     �  �  �  �  l ��  �  � 
</file>

<file path=customXml/item8.xml>�� �c   n  �c   n  
</file>

<file path=customXml/item9.xml>��   
</file>

<file path=customXml/item10.xml>�� �n   �u   t � �n   �u   t � �  �u   t � �i   h � �  �  �u   t � �   � �n   �u   t � �n   �u   t � �  �u   t � �i   h � �  �  �u   t � �   � 
</file>

<file path=customXml/item11.xml>�� � � � � �  t �n   � �  t � � � � � � � � � � � �  t �n   � �  t � � � � � � � � � � � �  l �� � � � � � �  s u � � � � � � � � � �� �  l � � � �� �  l � � � �  l � �n   � � �n   s �  b � � �p     �  �  �  �  l ��  �  � � � � � �  t �n   � �  t � � � � � � � � � � � �  t �n   � �  t � � � � � � � � � � � �  l �� � � � � � �  s u � � � � � � � � � �� �  l � � � �� �  l � � � �  l � �n   � � �n   s �  b � � �p     �  �  �  �  l ��  �  � 
</file>

<file path=customXml/item12.xml>�� �  �  
</file>

<file path=customXml/item13.xml>��   
</file>

<file path=customXml/item14.xml>��   
</file>

<file path=customXml/item15.xml>�� 
</file>

<file path=customXml/item16.xml>��   
</file>

<file path=customXml/item17.xml>�� 
</file>

<file path=customXml/item18.xml>�� � � �n   v � �  s u � �  l � � � � �n   v � �  s u � �  l � � 
</file>

<file path=customXml/item19.xml>��   
</file>

<file path=customXml/item20.xml>��   
</file>

<file path=customXml/item21.xml>��   
</file>

<file path=customXml/item22.xml>��   
</file>

<file path=customXml/item23.xml>�� � � � �� �  l � � � � i �m   s �  d � � �n   c � � �p    � � � � i � �  d �  �  �  �  �  l ��  �  � �  l � � � � � � �� �  l � � � � i �m   s �  d � � �n   c � � �p    � � � � i � �  d �  �  �  �  �  l ��  �  � �  l � � � 
</file>

<file path=customXml/itemProps1.xml><?xml version="1.0" encoding="utf-8"?>
<ds:datastoreItem xmlns:ds="http://schemas.openxmlformats.org/officeDocument/2006/customXml" ds:itemID="{4BA9E5F1-90AC-490B-B178-7C8B339E1A47}">
  <ds:schemaRefs/>
</ds:datastoreItem>
</file>

<file path=customXml/itemProps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4.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6.xml><?xml version="1.0" encoding="utf-8"?>
<ds:datastoreItem xmlns:ds="http://schemas.openxmlformats.org/officeDocument/2006/customXml" ds:itemID="{7D64D66F-1898-49BE-A788-6FA781CEE8F3}">
  <ds:schemaRefs/>
</ds:datastoreItem>
</file>

<file path=customXml/itemProps7.xml><?xml version="1.0" encoding="utf-8"?>
<ds:datastoreItem xmlns:ds="http://schemas.openxmlformats.org/officeDocument/2006/customXml" ds:itemID="{4F023B59-6671-4442-B15F-D8D1F04CE43F}">
  <ds:schemaRefs/>
</ds:datastoreItem>
</file>

<file path=customXml/itemProps8.xml><?xml version="1.0" encoding="utf-8"?>
<ds:datastoreItem xmlns:ds="http://schemas.openxmlformats.org/officeDocument/2006/customXml" ds:itemID="{A6D0F6C4-9EB7-4062-86F8-715E8F5BF469}">
  <ds:schemaRefs/>
</ds:datastoreItem>
</file>

<file path=customXml/itemProps9.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0.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1.xml><?xml version="1.0" encoding="utf-8"?>
<ds:datastoreItem xmlns:ds="http://schemas.openxmlformats.org/officeDocument/2006/customXml" ds:itemID="{2BF00A03-70FC-4137-967C-82A1B61F0E08}">
  <ds:schemaRefs/>
</ds:datastoreItem>
</file>

<file path=customXml/itemProps12.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3.xml><?xml version="1.0" encoding="utf-8"?>
<ds:datastoreItem xmlns:ds="http://schemas.openxmlformats.org/officeDocument/2006/customXml" ds:itemID="{0B9C3544-1C46-45A4-BEB6-1CE4D6559900}">
  <ds:schemaRefs/>
</ds:datastoreItem>
</file>

<file path=customXml/itemProps14.xml><?xml version="1.0" encoding="utf-8"?>
<ds:datastoreItem xmlns:ds="http://schemas.openxmlformats.org/officeDocument/2006/customXml" ds:itemID="{339EBD31-34FE-48FA-B11C-5697D02F64AC}">
  <ds:schemaRefs/>
</ds:datastoreItem>
</file>

<file path=customXml/itemProps15.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6.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7.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8.xml><?xml version="1.0" encoding="utf-8"?>
<ds:datastoreItem xmlns:ds="http://schemas.openxmlformats.org/officeDocument/2006/customXml" ds:itemID="{19BA8129-97AB-4694-BBC1-89CB3D2043B0}">
  <ds:schemaRefs/>
</ds:datastoreItem>
</file>

<file path=customXml/itemProps19.xml><?xml version="1.0" encoding="utf-8"?>
<ds:datastoreItem xmlns:ds="http://schemas.openxmlformats.org/officeDocument/2006/customXml" ds:itemID="{A849B9D7-188B-48DA-AB5B-54583621621D}">
  <ds:schemaRefs/>
</ds:datastoreItem>
</file>

<file path=customXml/itemProps20.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1.xml><?xml version="1.0" encoding="utf-8"?>
<ds:datastoreItem xmlns:ds="http://schemas.openxmlformats.org/officeDocument/2006/customXml" ds:itemID="{104A6CAF-8CC0-4F12-8051-31E2340CC4C2}">
  <ds:schemaRefs/>
</ds:datastoreItem>
</file>

<file path=customXml/itemProps22.xml><?xml version="1.0" encoding="utf-8"?>
<ds:datastoreItem xmlns:ds="http://schemas.openxmlformats.org/officeDocument/2006/customXml" ds:itemID="{15A5E9E7-8554-4C17-8FCE-88C5899190B5}">
  <ds:schemaRefs/>
</ds:datastoreItem>
</file>

<file path=customXml/itemProps23.xml><?xml version="1.0" encoding="utf-8"?>
<ds:datastoreItem xmlns:ds="http://schemas.openxmlformats.org/officeDocument/2006/customXml" ds:itemID="{CCFAB5FF-26AB-4CB9-BA2C-5A121007B04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EULA</vt:lpstr>
      <vt:lpstr>Dự phòng tồn kho</vt:lpstr>
      <vt:lpstr>TonKho_GTXuat</vt:lpstr>
      <vt:lpstr>TonKho_MaHang</vt:lpstr>
      <vt:lpstr>TonKho_NgayTheoDoi</vt:lpstr>
      <vt:lpstr>TonKho_TieuThu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2025-06-04T03:40:56Z</dcterms:modified>
  <cp:category/>
  <cp:contentStatus/>
</cp:coreProperties>
</file>