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6A32E02-B03C-476E-8E39-2EE9286B14D6}" xr6:coauthVersionLast="47" xr6:coauthVersionMax="47" xr10:uidLastSave="{00000000-0000-0000-0000-000000000000}"/>
  <bookViews>
    <workbookView xWindow="14295" yWindow="0" windowWidth="14610" windowHeight="15585"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 r:id="rId4"/>
    <pivotCache cacheId="2"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<sst xmlns="http://schemas.openxmlformats.org/spreadsheetml/2006/main" count="154" uniqueCount="115">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</sst>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5A632CF8-E238-4DD1-8E81-0AFC6829C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107</v>
      </c>
      <c r="C2" s="6" t="s">
        <v>108</v>
      </c>
      <c r="D2" s="18">
        <v>45785</v>
      </c>
      <c r="E2" s="18">
        <v>46150</v>
      </c>
      <c r="F2" s="27">
        <v>365</v>
      </c>
      <c r="G2" s="6" t="s">
        <v>56</v>
      </c>
      <c r="H2" s="27"/>
      <c r="I2" s="27"/>
      <c r="J2" s="27"/>
      <c r="K2" s="27"/>
      <c r="L2" s="27"/>
      <c r="M2" s="27"/>
      <c r="N2" s="27"/>
      <c r="O2" s="27"/>
      <c r="P2" s="27"/>
      <c r="Q2" s="27"/>
      <c r="R2" s="27"/>
      <c r="S2" s="27"/>
      <c r="T2" s="27"/>
      <c r="U2" s="27"/>
      <c r="V2" s="27"/>
      <c r="W2" s="27"/>
      <c r="X2" s="27"/>
      <c r="Y2" s="27"/>
      <c r="Z2" s="27"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110</v>
      </c>
    </row>
    <row r="2" spans="1:12" x14ac:dyDescent="0.3">
      <c r="A2" s="8" t="s">
        <v>109</v>
      </c>
      <c r="L2" s="49" t="s">
        <v>111</v>
      </c>
    </row>
    <row r="3" spans="1:12" x14ac:dyDescent="0.3">
      <c r="L3" s="49" t="s">
        <v>112</v>
      </c>
    </row>
    <row r="4" spans="1:12" ht="37.5" x14ac:dyDescent="0.3">
      <c r="A4" s="11" t="s">
        <v>3</v>
      </c>
      <c r="B4" s="11" t="s">
        <v>4</v>
      </c>
      <c r="L4" s="49" t="s">
        <v>113</v>
      </c>
    </row>
    <row r="5" spans="1:12" ht="17.25" x14ac:dyDescent="0.3">
      <c r="A5" s="22"/>
      <c r="B5" s="19" t="s">
        <v>57</v>
      </c>
      <c r="L5" s="49" t="s">
        <v>114</v>
      </c>
    </row>
    <row r="6" spans="1:12" ht="17.25" x14ac:dyDescent="0.3">
      <c r="A6" s="22"/>
      <c r="B6" s="19" t="s">
        <v>50</v>
      </c>
    </row>
    <row r="7" spans="1:12" ht="17.25" x14ac:dyDescent="0.3">
      <c r="A7" s="22"/>
      <c r="B7" s="19" t="s">
        <v>58</v>
      </c>
    </row>
    <row r="8" spans="1:12" ht="17.25" x14ac:dyDescent="0.3">
      <c r="A8" s="22"/>
      <c r="B8" s="19" t="s">
        <v>59</v>
      </c>
    </row>
    <row r="9" spans="1:12" ht="17.25" x14ac:dyDescent="0.3">
      <c r="A9" s="22"/>
      <c r="B9" s="20" t="s">
        <v>60</v>
      </c>
    </row>
    <row r="10" spans="1:12" x14ac:dyDescent="0.3">
      <c r="A10" s="22"/>
      <c r="B10" s="22"/>
    </row>
    <row r="11" spans="1:12" ht="37.5" x14ac:dyDescent="0.3">
      <c r="A11" s="11" t="s">
        <v>10</v>
      </c>
      <c r="B11" s="11" t="s">
        <v>11</v>
      </c>
    </row>
    <row r="12" spans="1:12" x14ac:dyDescent="0.3">
      <c r="A12" s="12" t="s">
        <v>12</v>
      </c>
      <c r="B12" s="8" t="s">
        <v>107</v>
      </c>
    </row>
    <row r="13" spans="1:12" x14ac:dyDescent="0.3">
      <c r="A13" s="12" t="s">
        <v>13</v>
      </c>
      <c r="B13" s="8" t="s">
        <v>108</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95</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96</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97</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98</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99</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105</v>
      </c>
      <c r="M12" s="30"/>
      <c r="N12" s="30"/>
      <c r="O12" s="45" t="s">
        <v>74</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100</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101</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106</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102</v>
      </c>
      <c r="M16" s="30"/>
      <c r="N16" s="30"/>
      <c r="O16" s="47">
        <f ca="1">VLOOKUP($O$12,Table_TSCD[],COUNTA(Table_TSCD[[#Headers],[Mã Tài sản]:[Tỷ lệ khấu hao]]),0)</f>
        <v>0.17440109514031485</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103</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104</v>
      </c>
      <c r="M18" s="30"/>
      <c r="N18" s="30"/>
      <c r="O18" s="46">
        <f ca="1">O17-TODAY()</f>
        <v>3016</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75</v>
      </c>
      <c r="C22" t="s">
        <v>91</v>
      </c>
      <c r="D22" t="s">
        <v>62</v>
      </c>
      <c r="E22" t="s">
        <v>70</v>
      </c>
      <c r="F22" t="s">
        <v>92</v>
      </c>
      <c r="G22" s="30"/>
      <c r="H22" s="37" t="s">
        <v>75</v>
      </c>
      <c r="I22" t="s">
        <v>93</v>
      </c>
      <c r="J22" t="s">
        <v>94</v>
      </c>
      <c r="K22" s="30"/>
      <c r="L22" s="7" t="s">
        <v>30</v>
      </c>
      <c r="M22" s="7" t="s">
        <v>31</v>
      </c>
      <c r="N22" s="7" t="s">
        <v>15</v>
      </c>
      <c r="O22" s="7" t="s">
        <v>17</v>
      </c>
      <c r="P22" s="7" t="s">
        <v>32</v>
      </c>
      <c r="Q22" s="7" t="s">
        <v>33</v>
      </c>
      <c r="R22" s="7" t="s">
        <v>34</v>
      </c>
      <c r="S22" s="7" t="s">
        <v>35</v>
      </c>
      <c r="T22" s="7" t="s">
        <v>36</v>
      </c>
      <c r="U22" s="7" t="s">
        <v>37</v>
      </c>
      <c r="V22" s="7" t="s">
        <v>16</v>
      </c>
      <c r="W22" s="7" t="s">
        <v>38</v>
      </c>
      <c r="X22" s="7" t="s">
        <v>63</v>
      </c>
      <c r="Y22" s="7" t="s">
        <v>64</v>
      </c>
      <c r="Z22" s="7" t="s">
        <v>66</v>
      </c>
      <c r="AA22" s="7" t="s">
        <v>65</v>
      </c>
      <c r="AB22" s="7" t="s">
        <v>67</v>
      </c>
      <c r="AC22" s="30"/>
      <c r="AD22" s="1" t="s">
        <v>2</v>
      </c>
      <c r="AE22" s="1" t="s">
        <v>1</v>
      </c>
      <c r="AF22" s="1" t="s">
        <v>0</v>
      </c>
      <c r="AG22" s="1" t="s">
        <v>14</v>
      </c>
      <c r="AH22" s="1" t="s">
        <v>52</v>
      </c>
      <c r="AI22" s="1" t="s">
        <v>53</v>
      </c>
      <c r="AJ22" s="1" t="s">
        <v>54</v>
      </c>
    </row>
    <row r="23" spans="1:36" ht="16.5" x14ac:dyDescent="0.3">
      <c r="A23" s="21"/>
      <c r="B23" s="6" t="s">
        <v>77</v>
      </c>
      <c r="C23" s="38">
        <v>177916666.66666663</v>
      </c>
      <c r="D23" s="38">
        <v>152500000</v>
      </c>
      <c r="E23" s="38">
        <v>25416666.666666664</v>
      </c>
      <c r="F23" s="38">
        <v>0</v>
      </c>
      <c r="G23" s="21"/>
      <c r="H23" s="6" t="s">
        <v>61</v>
      </c>
      <c r="I23">
        <v>265462012.32032856</v>
      </c>
      <c r="J23" s="41">
        <v>8.8487337440109518E-2</v>
      </c>
      <c r="K23" s="21"/>
      <c r="L23" s="21" t="s">
        <v>74</v>
      </c>
      <c r="M23" s="21"/>
      <c r="N23" s="21" t="s">
        <v>70</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637</v>
      </c>
      <c r="Y23" s="3">
        <f ca="1">MIN(Table_TSCD[[#Headers],[Giá trị sổ sách]],Table_TSCD[[#This Row],[Giá trị sổ sách]]/(Table_TSCD[[#This Row],[Tháng khấu hao]]*365.25/12)*Table_TSCD[[#This Row],[Số ngày vận hành]])</f>
        <v>61040383.299110197</v>
      </c>
      <c r="Z23" s="34">
        <f ca="1">Table_TSCD[[#This Row],[Khấu hao lũy kế theo ngày]]/Table_TSCD[[#This Row],[Giá trị sổ sách]]</f>
        <v>0.17440109514031485</v>
      </c>
      <c r="AA23" s="3">
        <f ca="1">Table_TSCD[[#This Row],[Giá trị sổ sách]]-Table_TSCD[[#This Row],[Khấu hao lũy kế theo ngày]]</f>
        <v>288959616.70088983</v>
      </c>
      <c r="AB23" s="3">
        <f ca="1">MAX(0,IF(ISBLANK(Table_TSCD[[#This Row],[Ngày vận hành]]),0,
IF(ISBLANK(Table_TSCD[[#This Row],[Ngày thanh lý]]),
Table_TSCD[[#This Row],[Ngày kết thúc]]-TODAY(),0
)))</f>
        <v>3016</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79</v>
      </c>
      <c r="C24" s="38">
        <v>10000000</v>
      </c>
      <c r="D24" s="38">
        <v>10000000</v>
      </c>
      <c r="E24" s="38">
        <v>0</v>
      </c>
      <c r="F24" s="38">
        <v>0</v>
      </c>
      <c r="H24" s="39" t="s">
        <v>20</v>
      </c>
      <c r="I24">
        <v>265462012.32032856</v>
      </c>
      <c r="J24" s="41">
        <v>8.8487337440109518E-2</v>
      </c>
      <c r="L24" s="21" t="s">
        <v>73</v>
      </c>
      <c r="M24" s="21"/>
      <c r="N24" s="21" t="s">
        <v>72</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476</v>
      </c>
      <c r="Y24" s="3">
        <f ca="1">MIN(Table_TSCD[[#Headers],[Giá trị sổ sách]],Table_TSCD[[#This Row],[Giá trị sổ sách]]/(Table_TSCD[[#This Row],[Tháng khấu hao]]*365.25/12)*Table_TSCD[[#This Row],[Số ngày vận hành]])</f>
        <v>10860141.455624001</v>
      </c>
      <c r="Z24" s="34">
        <f ca="1">Table_TSCD[[#This Row],[Khấu hao lũy kế theo ngày]]/Table_TSCD[[#This Row],[Giá trị sổ sách]]</f>
        <v>0.43440565822496002</v>
      </c>
      <c r="AA24" s="3">
        <f ca="1">Table_TSCD[[#This Row],[Giá trị sổ sách]]-Table_TSCD[[#This Row],[Khấu hao lũy kế theo ngày]]</f>
        <v>14139858.544375999</v>
      </c>
      <c r="AB24" s="3">
        <f ca="1">MAX(0,IF(ISBLANK(Table_TSCD[[#This Row],[Ngày vận hành]]),0,
IF(ISBLANK(Table_TSCD[[#This Row],[Ngày thanh lý]]),
Table_TSCD[[#This Row],[Ngày kết thúc]]-TODAY(),0
)))</f>
        <v>620</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68</v>
      </c>
      <c r="I25">
        <v>431211498.97330594</v>
      </c>
      <c r="J25" s="41">
        <v>8.6242299794661192E-2</v>
      </c>
      <c r="L25" s="21" t="s">
        <v>71</v>
      </c>
      <c r="M25" s="21"/>
      <c r="N25" s="21" t="s">
        <v>72</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412</v>
      </c>
      <c r="Y25" s="3">
        <f ca="1">MIN(Table_TSCD[[#Headers],[Giá trị sổ sách]],Table_TSCD[[#This Row],[Giá trị sổ sách]]/(Table_TSCD[[#This Row],[Tháng khấu hao]]*365.25/12)*Table_TSCD[[#This Row],[Số ngày vận hành]])</f>
        <v>112799452.42984258</v>
      </c>
      <c r="Z25" s="34">
        <f ca="1">Table_TSCD[[#This Row],[Khấu hao lũy kế theo ngày]]/Table_TSCD[[#This Row],[Giá trị sổ sách]]</f>
        <v>0.22559890485968515</v>
      </c>
      <c r="AA25" s="3">
        <f ca="1">Table_TSCD[[#This Row],[Giá trị sổ sách]]-Table_TSCD[[#This Row],[Khấu hao lũy kế theo ngày]]</f>
        <v>387200547.57015741</v>
      </c>
      <c r="AB25" s="3">
        <f ca="1">MAX(0,IF(ISBLANK(Table_TSCD[[#This Row],[Ngày vận hành]]),0,
IF(ISBLANK(Table_TSCD[[#This Row],[Ngày thanh lý]]),
Table_TSCD[[#This Row],[Ngày kết thúc]]-TODAY(),0
)))</f>
        <v>1414</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80</v>
      </c>
      <c r="C26" s="38">
        <v>10000000</v>
      </c>
      <c r="D26" s="38">
        <v>10000000</v>
      </c>
      <c r="E26" s="38">
        <v>0</v>
      </c>
      <c r="F26" s="38">
        <v>0</v>
      </c>
      <c r="H26" s="39" t="s">
        <v>21</v>
      </c>
      <c r="I26">
        <v>431211498.97330594</v>
      </c>
      <c r="J26" s="41">
        <v>8.6242299794661192E-2</v>
      </c>
      <c r="L26" s="21" t="s">
        <v>69</v>
      </c>
      <c r="M26" s="21"/>
      <c r="N26" s="21" t="s">
        <v>70</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589</v>
      </c>
      <c r="Y26" s="3">
        <f ca="1">MIN(Table_TSCD[[#Headers],[Giá trị sổ sách]],Table_TSCD[[#This Row],[Giá trị sổ sách]]/(Table_TSCD[[#This Row],[Tháng khấu hao]]*365.25/12)*Table_TSCD[[#This Row],[Số ngày vận hành]])</f>
        <v>161259411.36208075</v>
      </c>
      <c r="Z26" s="34">
        <f ca="1">Table_TSCD[[#This Row],[Khấu hao lũy kế theo ngày]]/Table_TSCD[[#This Row],[Giá trị sổ sách]]</f>
        <v>0.16125941136208075</v>
      </c>
      <c r="AA26" s="3">
        <f ca="1">Table_TSCD[[#This Row],[Giá trị sổ sách]]-Table_TSCD[[#This Row],[Khấu hao lũy kế theo ngày]]</f>
        <v>838740588.63791919</v>
      </c>
      <c r="AB26" s="3">
        <f ca="1">MAX(0,IF(ISBLANK(Table_TSCD[[#This Row],[Ngày vận hành]]),0,
IF(ISBLANK(Table_TSCD[[#This Row],[Ngày thanh lý]]),
Table_TSCD[[#This Row],[Ngày kết thúc]]-TODAY(),0
)))</f>
        <v>3064</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69</v>
      </c>
      <c r="I27">
        <v>159342915.81108829</v>
      </c>
      <c r="J27" s="41">
        <v>0.15934291581108828</v>
      </c>
      <c r="L27" s="21" t="s">
        <v>68</v>
      </c>
      <c r="M27" s="21"/>
      <c r="N27" s="21" t="s">
        <v>62</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637</v>
      </c>
      <c r="Y27" s="3">
        <f ca="1">MIN(Table_TSCD[[#Headers],[Giá trị sổ sách]],Table_TSCD[[#This Row],[Giá trị sổ sách]]/(Table_TSCD[[#This Row],[Tháng khấu hao]]*365.25/12)*Table_TSCD[[#This Row],[Số ngày vận hành]])</f>
        <v>436002737.8507871</v>
      </c>
      <c r="Z27" s="34">
        <f ca="1">Table_TSCD[[#This Row],[Khấu hao lũy kế theo ngày]]/Table_TSCD[[#This Row],[Giá trị sổ sách]]</f>
        <v>8.7200547570157425E-2</v>
      </c>
      <c r="AA27" s="3">
        <f ca="1">Table_TSCD[[#This Row],[Giá trị sổ sách]]-Table_TSCD[[#This Row],[Khấu hao lũy kế theo ngày]]</f>
        <v>4563997262.1492128</v>
      </c>
      <c r="AB27" s="3">
        <f ca="1">MAX(0,IF(ISBLANK(Table_TSCD[[#This Row],[Ngày vận hành]]),0,
IF(ISBLANK(Table_TSCD[[#This Row],[Ngày thanh lý]]),
Table_TSCD[[#This Row],[Ngày kết thúc]]-TODAY(),0
)))</f>
        <v>6668</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81</v>
      </c>
      <c r="C28" s="38">
        <v>10000000</v>
      </c>
      <c r="D28" s="38">
        <v>10000000</v>
      </c>
      <c r="E28" s="38">
        <v>0</v>
      </c>
      <c r="F28" s="38">
        <v>0</v>
      </c>
      <c r="H28" s="39" t="s">
        <v>22</v>
      </c>
      <c r="I28">
        <v>159342915.81108829</v>
      </c>
      <c r="J28" s="41">
        <v>0.15934291581108828</v>
      </c>
      <c r="L28" s="21" t="s">
        <v>61</v>
      </c>
      <c r="M28" s="21"/>
      <c r="N28" s="21" t="s">
        <v>62</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815</v>
      </c>
      <c r="Y28" s="3">
        <f ca="1">MIN(Table_TSCD[[#Headers],[Giá trị sổ sách]],Table_TSCD[[#This Row],[Giá trị sổ sách]]/(Table_TSCD[[#This Row],[Tháng khấu hao]]*365.25/12)*Table_TSCD[[#This Row],[Số ngày vận hành]])</f>
        <v>267761806.98151952</v>
      </c>
      <c r="Z28" s="34">
        <f ca="1">Table_TSCD[[#This Row],[Khấu hao lũy kế theo ngày]]/Table_TSCD[[#This Row],[Giá trị sổ sách]]</f>
        <v>8.9253935660506503E-2</v>
      </c>
      <c r="AA28" s="3">
        <f ca="1">Table_TSCD[[#This Row],[Giá trị sổ sách]]-Table_TSCD[[#This Row],[Khấu hao lũy kế theo ngày]]</f>
        <v>2732238193.0184803</v>
      </c>
      <c r="AB28" s="3">
        <f ca="1">MAX(0,IF(ISBLANK(Table_TSCD[[#This Row],[Ngày vận hành]]),0,
IF(ISBLANK(Table_TSCD[[#This Row],[Ngày thanh lý]]),
Table_TSCD[[#This Row],[Ngày kết thúc]]-TODAY(),0
)))</f>
        <v>8316</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71</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82</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73</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83</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74</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84</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76</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85</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86</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87</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78</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88</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89</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90</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79</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80</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81</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82</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83</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84</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85</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86</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87</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76</v>
      </c>
      <c r="C67" s="38">
        <v>756527777.77777791</v>
      </c>
      <c r="D67" s="38">
        <v>522499999.99999988</v>
      </c>
      <c r="E67" s="38">
        <v>160416666.66666666</v>
      </c>
      <c r="F67" s="38">
        <v>73611111.111111104</v>
      </c>
    </row>
  </sheetData>
  <sheetProtection algorithmName="SHA-512" hashValue="LGr8/mtX4TOGx36iAjBcNa6J27+zF6iDKKywOxvQObApTa0XOXdn0V6Lzukq4mvcDWo71uBrutJHLBfw8w6F/w==" saltValue="TV7cMJfyDo3R+r/SIfRBTA==" spinCount="100000" sheet="1" scenarios="1"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file>

<file path=customXml/item4.xml>�� � � � �� �  l � � � � i �m   s �  d � � �n   c � � �p    � � � � i � �  d �  �  �  �  �  l ��  �  � �  l � � � � � � �� �  l � � � � i �m   s �  d � � �n   c � � �p    � � � � i � �  d �  �  �  �  �  l ��  �  � �  l � � � 
</file>

<file path=customXml/item5.xml>�� �c   n  �c   n  
</file>

<file path=customXml/item6.xml>�� 
</file>

<file path=customXml/item7.xml>�� �  p h � �c   n  � �� � � �  p h � �c   n  � �� � � 
</file>

<file path=customXml/item8.xml>�� � � � � �  t �n   � �  t � � � � � � � � � � � �  t �n   � �  t � � � � � � � � � � � �  l �� � � � � � �  s u � � � � � � � � � �� �  l � � � �� �  l � � � �  l � �n   � � �n   s �  b � � �p     �  �  �  �  l ��  �  � � � � � �  t �n   � �  t � � � � � � � � � � � �  t �n   � �  t � � � � � � � � � � � �  l �� � � � � � �  s u � � � � � � � � � �� �  l � � � �� �  l � � � �  l � �n   � � �n   s �  b � � �p     �  �  �  �  l ��  �  � 
</file>

<file path=customXml/item9.xml>��   
</file>

<file path=customXml/item10.xml>�� �� �i   t �� � �� �t   � � �  l � � �  l �� �  t � � �� �i   t �� � �� �t   � � �  l � � �  l �� �  t � � 
</file>

<file path=customXml/item11.xml>�� � � � i � �  d � i �m   s �  d � �� �  l � � � � � �n   c � � � � � �  l � � � � �p     �  �  �  �  l ��  �  � 
</file>

<file path=customXml/item12.xml>��   
</file>

<file path=customXml/item13.xml>�� 
</file>

<file path=customXml/item14.xml>��   
</file>

<file path=customXml/item15.xml>�� �n   �u   t � �n   �u   t � �  �u   t � �i   h � �  �  �u   t � �   � �n   �u   t � �n   �u   t � �  �u   t � �i   h � �  �  �u   t � �   � 
</file>

<file path=customXml/item16.xml>�� � � �n   v � �  s u � �  l � � � � �n   v � �  s u � �  l � � 
</file>

<file path=customXml/item17.xml>��   
</file>

<file path=customXml/item18.xml>�� �  �  
</file>

<file path=customXml/item19.xml>�� 
</file>

<file path=customXml/item20.xml>��   
</file>

<file path=customXml/item21.xml>��   
</file>

<file path=customXml/item22.xml>�� � � � � 
</file>

<file path=customXml/item23.xml>��  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A6D0F6C4-9EB7-4062-86F8-715E8F5BF469}">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2BF00A03-70FC-4137-967C-82A1B61F0E08}">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4F023B59-6671-4442-B15F-D8D1F04CE43F}">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6.xml><?xml version="1.0" encoding="utf-8"?>
<ds:datastoreItem xmlns:ds="http://schemas.openxmlformats.org/officeDocument/2006/customXml" ds:itemID="{19BA8129-97AB-4694-BBC1-89CB3D2043B0}">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2025-06-04T02:59:25Z</dcterms:modified>
  <cp:category/>
  <cp:contentStatus/>
</cp:coreProperties>
</file>