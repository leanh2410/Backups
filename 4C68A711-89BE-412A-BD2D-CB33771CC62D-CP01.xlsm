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mc:AlternateContent xmlns:mc="http://schemas.openxmlformats.org/markup-compatibility/2006">
    <mc:Choice Requires="x15">
      <x15ac:absPath xmlns:x15ac="http://schemas.microsoft.com/office/spreadsheetml/2010/11/ac" url="C:\Users\Hyosung\Desktop\New folder\"/>
    </mc:Choice>
  </mc:AlternateContent>
  <xr:revisionPtr revIDLastSave="0" documentId="8_{0362FBF0-77A3-4A64-B204-5B7C40148AD4}" xr6:coauthVersionLast="47" xr6:coauthVersionMax="47" xr10:uidLastSave="{00000000-0000-0000-0000-000000000000}"/>
  <bookViews>
    <workbookView xWindow="-120" yWindow="-120" windowWidth="29040" windowHeight="15720" tabRatio="717" firstSheet="1" activeTab="2" xr2:uid="{B2DA85E2-969C-4F09-941C-CE16CCFE9D56}"/>
  </bookViews>
  <sheets>
    <sheet name="Security" sheetId="79" state="veryHidden" r:id="rId1"/>
    <sheet name="EULA" sheetId="77" r:id="rId2"/>
    <sheet name="Lịch khấu hao" sheetId="37" r:id="rId3"/>
  </sheets>
  <functionGroups builtInGroupCount="19"/>
  <definedNames>
    <definedName name="_xleta.IFERROR" hidden="1" xlm="1">#NAME?</definedName>
    <definedName name="_xleta.MAX" hidden="1" xlm="1">#NAME?</definedName>
    <definedName name="_xleta.N" hidden="1" xlm="1">#NAME?</definedName>
    <definedName name="_xleta.PHI" hidden="1" xlm="1">#NAME?</definedName>
    <definedName name="_xleta.T" hidden="1" xlm="1">#NAME?</definedName>
    <definedName name="BangLuong_Nam">#REF!</definedName>
    <definedName name="BangLuong_Thang">#REF!</definedName>
    <definedName name="BCQT_BatDau">#REF!</definedName>
    <definedName name="BCQT_KetThuc">#REF!</definedName>
    <definedName name="BCTC_BatDau">#REF!</definedName>
    <definedName name="BCTC_Nam">#REF!</definedName>
    <definedName name="BCTC_Thang">#REF!</definedName>
    <definedName name="BHTN_LuongMax">#REF!</definedName>
    <definedName name="BHTN_TyLeDN">#REF!</definedName>
    <definedName name="BHTN_TyLeNV">#REF!</definedName>
    <definedName name="BHXH_LuongMax">#REF!</definedName>
    <definedName name="BHXH_TyLeDN">#REF!</definedName>
    <definedName name="BHXH_TyLeNV">#REF!</definedName>
    <definedName name="BHYT_LuongMax">#REF!</definedName>
    <definedName name="BHYT_TyLeDN">#REF!</definedName>
    <definedName name="BHYT_TyLeNV">#REF!</definedName>
    <definedName name="ChamCong_DonViGio">#REF!</definedName>
    <definedName name="ChamCong_GioTieuChuan">#REF!</definedName>
    <definedName name="ChamCong_LuongHD">#REF!</definedName>
    <definedName name="ChamCong_LuongTT">#REF!</definedName>
    <definedName name="ChamCong_MienThueOT">#REF!</definedName>
    <definedName name="ChamCong_NopHoBaoHiem">#REF!</definedName>
    <definedName name="ChiPhiNV_GiamTruBanThan">#REF!</definedName>
    <definedName name="ChiPhiNV_GiamTruPhuThuoc">#REF!</definedName>
    <definedName name="Dashboard_ChuongTrinh_Ma">#REF!</definedName>
    <definedName name="DatHang_NgayBatDau">#REF!</definedName>
    <definedName name="DatHang_NgayKetThuc">#REF!</definedName>
    <definedName name="DatHang_NgayTheoDoi">#REF!</definedName>
    <definedName name="DatHang_SoNgayThamChieu">#REF!</definedName>
    <definedName name="DiemHoaVon_NamKeHoach">#REF!</definedName>
    <definedName name="HieuQuaSX_MucTieu">#REF!</definedName>
    <definedName name="HieuQuaSX_Ngay">#REF!</definedName>
    <definedName name="HieuQuaSX_SKU">#REF!</definedName>
    <definedName name="KHThanThiet_SoNgay">#REF!</definedName>
    <definedName name="Ma_SKU">#REF!</definedName>
    <definedName name="MaChuongTrinh">#REF!</definedName>
    <definedName name="MaCoDong">#REF!</definedName>
    <definedName name="MaDauTu">#REF!</definedName>
    <definedName name="MaDonBan">#REF!</definedName>
    <definedName name="MaDonMua">#REF!</definedName>
    <definedName name="MaIn">#REF!</definedName>
    <definedName name="MaKenh">#REF!</definedName>
    <definedName name="MaKhachHang">#REF!</definedName>
    <definedName name="MaKho">#REF!</definedName>
    <definedName name="MaKhoanVay">#REF!</definedName>
    <definedName name="MaNguyenLieu">#REF!</definedName>
    <definedName name="MaNhaCungCap">#REF!</definedName>
    <definedName name="MaNhanVien">#REF!</definedName>
    <definedName name="MaTaiKhoan">#REF!</definedName>
    <definedName name="MaTaiSan">Table_TSCD[Mã Tài sản]</definedName>
    <definedName name="MaThuChi">#REF!</definedName>
    <definedName name="MaVanDon">#REF!</definedName>
    <definedName name="MaViTri">#REF!</definedName>
    <definedName name="NhomChiPhi">#REF!</definedName>
    <definedName name="NoiDungGDKD">#REF!</definedName>
    <definedName name="NoiDungGDTC">#REF!</definedName>
    <definedName name="NoXau_MaKH">#REF!</definedName>
    <definedName name="NoXau_MaNCC">#REF!</definedName>
    <definedName name="NoXau_NgayTheoDoi">#REF!</definedName>
    <definedName name="NoXau_NhanCungUng">#REF!</definedName>
    <definedName name="NoXau_NhanThanhToan">#REF!</definedName>
    <definedName name="Pivot_Ctr_CKDon">OFFSET(#REF!,0,0,COUNTA(#REF!)-3,1)</definedName>
    <definedName name="Pivot_Ctr_CKSKU">OFFSET(#REF!,0,0,COUNTA(#REF!)-3,1)</definedName>
    <definedName name="Pivot_Ctr_CtrDon">OFFSET(#REF!,0,0,COUNTA(#REF!)-3,1)</definedName>
    <definedName name="Pivot_Ctr_CtrSKU">OFFSET(#REF!,0,0,COUNTA(#REF!)-3,1)</definedName>
    <definedName name="Pivot_Ctr_DthuDon">OFFSET(#REF!,0,0,COUNTA(#REF!)-3,1)</definedName>
    <definedName name="Pivot_Ctr_DthuSKU">OFFSET(#REF!,0,0,COUNTA(#REF!)-3,1)</definedName>
    <definedName name="Pivot_Ctr_Kenh">OFFSET(#REF!,0,0,COUNTA(#REF!)-3,1)</definedName>
    <definedName name="Pivot_Ctr_Khach">OFFSET(#REF!,0,0,COUNTA(#REF!)-3,1)</definedName>
    <definedName name="Pivot_Ctr_Ngay">OFFSET(#REF!,0,0,COUNTA(#REF!)-3,1)</definedName>
    <definedName name="Pivot_Ctr_NhanVien">OFFSET(#REF!,0,0,COUNTA(#REF!)-3,1)</definedName>
    <definedName name="Pivot_Ctr_PhanKhuc">OFFSET(#REF!,0,0,COUNTA(#REF!)-3,1)</definedName>
    <definedName name="Pivot_Ctr_PhanNhom">OFFSET(#REF!,0,0,COUNTA(#REF!)-3,1)</definedName>
    <definedName name="Pivot_Ctr_SKU">OFFSET(#REF!,0,0,COUNTA(#REF!)-3,1)</definedName>
    <definedName name="Pivot_Ctr_TTKhach">OFFSET(#REF!,0,0,COUNTA(#REF!)-3,1)</definedName>
    <definedName name="Pivot_KPI_DthuCP">OFFSET(#REF!,0,0,COUNTA(#REF!)-3,1)</definedName>
    <definedName name="Pivot_KPI_DthuDon">OFFSET(#REF!,0,0,COUNTA(#REF!)-3,1)</definedName>
    <definedName name="Pivot_KPI_DthuSKU">OFFSET(#REF!,0,0,COUNTA(#REF!)-3,1)</definedName>
    <definedName name="Pivot_KPI_Kenh">OFFSET(#REF!,0,0,COUNTA(#REF!)-3,1)</definedName>
    <definedName name="Pivot_KPI_KenhCP">OFFSET(#REF!,0,0,COUNTA(#REF!)-3,1)</definedName>
    <definedName name="Pivot_KPI_KPICP">OFFSET(#REF!,0,0,COUNTA(#REF!)-3,1)</definedName>
    <definedName name="Pivot_KPI_NamCP">OFFSET(#REF!,0,0,COUNTA(#REF!)-3,1)</definedName>
    <definedName name="Pivot_KPI_Ngay">OFFSET(#REF!,0,0,COUNTA(#REF!)-3,1)</definedName>
    <definedName name="Pivot_KPI_NhanVien">OFFSET(#REF!,0,0,COUNTA(#REF!)-3,1)</definedName>
    <definedName name="Pivot_KPI_NhanVienCP">OFFSET(#REF!,0,0,COUNTA(#REF!)-3,1)</definedName>
    <definedName name="Pivot_KPI_PhanKhuc">OFFSET(#REF!,0,0,COUNTA(#REF!)-3,1)</definedName>
    <definedName name="Pivot_KPI_PhanNhom">OFFSET(#REF!,0,0,COUNTA(#REF!)-3,1)</definedName>
    <definedName name="PIvot_KPI_ThangCP">OFFSET(#REF!,0,0,COUNTA(#REF!)-3,1)</definedName>
    <definedName name="Pivot_KPI_TyLeCP">OFFSET(#REF!,0,0,COUNTA(#REF!)-3,1)</definedName>
    <definedName name="Pivot_SanPham_DoanhThu">OFFSET(#REF!,0,0,COUNTA(#REF!)-3,1)</definedName>
    <definedName name="Pivot_SanPham_Loai">OFFSET(#REF!,0,0,COUNTA(#REF!)-3,1)</definedName>
    <definedName name="Pivot_SanPham_MaDon">OFFSET(#REF!,0,0,COUNTA(#REF!)-3,1)</definedName>
    <definedName name="Pivot_SanPham_Ngay">OFFSET(#REF!,0,0,COUNTA(#REF!)-3,1)</definedName>
    <definedName name="Pivot_SanPham_Nhom">OFFSET(#REF!,0,0,COUNTA(#REF!)-3,1)</definedName>
    <definedName name="Pivot_SanPham_PhanKhuc">OFFSET(#REF!,0,0,COUNTA(#REF!)-3,1)</definedName>
    <definedName name="Pivot_SanPham_SKU">OFFSET(#REF!,0,0,COUNTA(#REF!)-3,1)</definedName>
    <definedName name="Pivot_SanPham_SoLuong">OFFSET(#REF!,0,0,COUNTA(#REF!)-3,1)</definedName>
    <definedName name="Pivot_SanPham_TinhThanh">OFFSET(#REF!,0,0,COUNTA(#REF!)-3,1)</definedName>
    <definedName name="Pivot_ThiTruong_DoanhThu">OFFSET(#REF!,0,0,COUNTA(#REF!)-3,1)</definedName>
    <definedName name="Pivot_ThiTruong_MaDon">OFFSET(#REF!,0,0,COUNTA(#REF!)-3,1)</definedName>
    <definedName name="Pivot_ThiTruong_MaKhach">OFFSET(#REF!,0,0,COUNTA(#REF!)-3,1)</definedName>
    <definedName name="Pivot_ThiTruong_Ngay">OFFSET(#REF!,0,0,COUNTA(#REF!)-3,1)</definedName>
    <definedName name="Pivot_ThiTruong_NhomSP">OFFSET(#REF!,0,0,COUNTA(#REF!)-3,1)</definedName>
    <definedName name="PIvot_ThiTruong_SoLuongSP">OFFSET(#REF!,0,0,COUNTA(#REF!)-3,1)</definedName>
    <definedName name="Pivot_ThiTruong_TtDon">OFFSET(#REF!,0,0,COUNTA(#REF!)-3,1)</definedName>
    <definedName name="SKU_Nhom1">#REF!</definedName>
    <definedName name="SKU_Nhom2">#REF!</definedName>
    <definedName name="SKU_Nhom3">#REF!</definedName>
    <definedName name="ThanhPham_Nhom">#REF!</definedName>
    <definedName name="ThanhPham_PhanLoai">#REF!</definedName>
    <definedName name="ThanhPham_PhanNhom">#REF!</definedName>
    <definedName name="TonKho_GTXuat">#REF!</definedName>
    <definedName name="TonKho_Kho">#REF!</definedName>
    <definedName name="TonKho_MaHang">#REF!</definedName>
    <definedName name="TonKho_NgayTheoDoi">#REF!</definedName>
    <definedName name="TonKho_TieuThu">#REF!</definedName>
  </definedNames>
  <calcPr calcId="191029"/>
  <pivotCaches>
    <pivotCache cacheId="56" r:id="rId4"/>
    <pivotCache cacheId="57" r:id="rId5"/>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D23" i="37" l="1"/>
  <c r="AD24" i="37"/>
  <c r="AD25" i="37"/>
  <c r="AD26" i="37"/>
  <c r="AD27" i="37"/>
  <c r="AD28" i="37"/>
  <c r="AD29" i="37"/>
  <c r="AD30" i="37"/>
  <c r="AD31" i="37"/>
  <c r="AD32" i="37"/>
  <c r="AD33" i="37"/>
  <c r="AD34" i="37"/>
  <c r="AD35" i="37"/>
  <c r="AD36" i="37"/>
  <c r="AD37" i="37"/>
  <c r="AD38" i="37"/>
  <c r="AD39" i="37"/>
  <c r="AD40" i="37"/>
  <c r="AD41" i="37"/>
  <c r="AD42" i="37"/>
  <c r="AD49" i="37"/>
  <c r="AD50" i="37"/>
  <c r="AD51" i="37"/>
  <c r="AD52" i="37"/>
  <c r="AD53" i="37"/>
  <c r="AD54" i="37"/>
  <c r="AD55" i="37"/>
  <c r="AD44" i="37"/>
  <c r="AD45" i="37"/>
  <c r="AD46" i="37"/>
  <c r="AD47" i="37"/>
  <c r="AD48" i="37"/>
  <c r="S23" i="37"/>
  <c r="W23" i="37" s="1"/>
  <c r="X23" i="37"/>
  <c r="Y23" i="37" s="1"/>
  <c r="S24" i="37"/>
  <c r="W24" i="37" s="1"/>
  <c r="X24" i="37"/>
  <c r="Y24" i="37" s="1"/>
  <c r="S25" i="37"/>
  <c r="W25" i="37" s="1"/>
  <c r="X25" i="37"/>
  <c r="Y25" i="37" s="1"/>
  <c r="S26" i="37"/>
  <c r="V26" i="37" s="1"/>
  <c r="AB26" i="37" s="1"/>
  <c r="X26" i="37"/>
  <c r="S27" i="37"/>
  <c r="W27" i="37" s="1"/>
  <c r="X27" i="37"/>
  <c r="Y27" i="37" s="1"/>
  <c r="X28" i="37"/>
  <c r="O17" i="37" l="1"/>
  <c r="O18" i="37" s="1"/>
  <c r="Y26" i="37"/>
  <c r="AA26" i="37" s="1"/>
  <c r="V24" i="37"/>
  <c r="AB24" i="37" s="1"/>
  <c r="V25" i="37"/>
  <c r="AB25" i="37" s="1"/>
  <c r="Z27" i="37"/>
  <c r="V27" i="37"/>
  <c r="AB27" i="37" s="1"/>
  <c r="V23" i="37"/>
  <c r="Z23" i="37"/>
  <c r="W26" i="37"/>
  <c r="O13" i="37" s="1"/>
  <c r="Z25" i="37"/>
  <c r="AD43" i="37"/>
  <c r="AB23" i="37" l="1"/>
  <c r="AA27" i="37"/>
  <c r="AA23" i="37"/>
  <c r="Z24" i="37"/>
  <c r="AA24" i="37"/>
  <c r="Z26" i="37"/>
  <c r="AA25" i="37"/>
  <c r="S28" i="37"/>
  <c r="Y28" i="37" s="1"/>
  <c r="V28" i="37" l="1"/>
  <c r="O15" i="37" s="1" a="1"/>
  <c r="O15" i="37" s="1"/>
  <c r="W28" i="37"/>
  <c r="AI23" i="37" l="1"/>
  <c r="AJ23" i="37"/>
  <c r="AH23" i="37"/>
  <c r="AH24" i="37"/>
  <c r="AI24" i="37"/>
  <c r="AJ24" i="37"/>
  <c r="AH25" i="37"/>
  <c r="AI25" i="37"/>
  <c r="AJ25" i="37"/>
  <c r="AH26" i="37"/>
  <c r="AJ26" i="37"/>
  <c r="AI26" i="37"/>
  <c r="AI27" i="37"/>
  <c r="AJ27" i="37"/>
  <c r="AH27" i="37"/>
  <c r="AI28" i="37"/>
  <c r="AJ28" i="37"/>
  <c r="AH28" i="37"/>
  <c r="AJ29" i="37"/>
  <c r="AH29" i="37"/>
  <c r="AI29" i="37"/>
  <c r="AH30" i="37"/>
  <c r="O8" i="37" s="1" a="1"/>
  <c r="O8" i="37" s="1"/>
  <c r="AI30" i="37"/>
  <c r="O9" i="37" s="1" a="1"/>
  <c r="O9" i="37" s="1"/>
  <c r="AJ30" i="37"/>
  <c r="O10" i="37" s="1" a="1"/>
  <c r="O10" i="37" s="1"/>
  <c r="AI31" i="37"/>
  <c r="AH31" i="37"/>
  <c r="AJ31" i="37"/>
  <c r="AH32" i="37"/>
  <c r="AJ32" i="37"/>
  <c r="AI32" i="37"/>
  <c r="AJ33" i="37"/>
  <c r="AI33" i="37"/>
  <c r="AH33" i="37"/>
  <c r="AJ34" i="37"/>
  <c r="AI34" i="37"/>
  <c r="AH34" i="37"/>
  <c r="AJ35" i="37"/>
  <c r="AI35" i="37"/>
  <c r="AH35" i="37"/>
  <c r="AJ36" i="37"/>
  <c r="AI36" i="37"/>
  <c r="AH36" i="37"/>
  <c r="AI37" i="37"/>
  <c r="AH37" i="37"/>
  <c r="AJ37" i="37"/>
  <c r="AH38" i="37"/>
  <c r="AI38" i="37"/>
  <c r="AJ38" i="37"/>
  <c r="AI39" i="37"/>
  <c r="AJ39" i="37"/>
  <c r="AH39" i="37"/>
  <c r="AH40" i="37"/>
  <c r="AI40" i="37"/>
  <c r="AJ40" i="37"/>
  <c r="AI41" i="37"/>
  <c r="AJ41" i="37"/>
  <c r="AH41" i="37"/>
  <c r="AJ49" i="37"/>
  <c r="AJ50" i="37"/>
  <c r="AI50" i="37"/>
  <c r="AJ48" i="37"/>
  <c r="AI49" i="37"/>
  <c r="AH45" i="37"/>
  <c r="AH54" i="37"/>
  <c r="AI43" i="37"/>
  <c r="AJ53" i="37"/>
  <c r="AJ47" i="37"/>
  <c r="AJ55" i="37"/>
  <c r="AI46" i="37"/>
  <c r="AI54" i="37"/>
  <c r="AH46" i="37"/>
  <c r="AH53" i="37"/>
  <c r="AH44" i="37"/>
  <c r="AJ43" i="37"/>
  <c r="AH43" i="37"/>
  <c r="AI47" i="37"/>
  <c r="AI52" i="37"/>
  <c r="AJ46" i="37"/>
  <c r="AJ42" i="37"/>
  <c r="AH47" i="37"/>
  <c r="AH42" i="37"/>
  <c r="AH48" i="37"/>
  <c r="AI44" i="37"/>
  <c r="AH55" i="37"/>
  <c r="AH50" i="37"/>
  <c r="AJ54" i="37"/>
  <c r="AI53" i="37"/>
  <c r="AJ44" i="37"/>
  <c r="AI45" i="37"/>
  <c r="AJ51" i="37"/>
  <c r="AJ45" i="37"/>
  <c r="AI48" i="37"/>
  <c r="AI42" i="37"/>
  <c r="AI55" i="37"/>
  <c r="AH51" i="37"/>
  <c r="AH52" i="37"/>
  <c r="AH49" i="37"/>
  <c r="AI51" i="37"/>
  <c r="AJ52" i="37"/>
  <c r="AB28" i="37"/>
  <c r="Z28" i="37"/>
  <c r="O16" i="37" s="1"/>
  <c r="AA28" i="37"/>
  <c r="L1" i="37"/>
  <c r="M1" i="37" s="1"/>
  <c r="N1" i="37" s="1"/>
  <c r="O1" i="37" s="1"/>
  <c r="P1" i="37" s="1"/>
  <c r="Q1" i="37" s="1"/>
  <c r="R1" i="37" s="1"/>
  <c r="S1" i="37" s="1"/>
  <c r="T1" i="37" s="1"/>
  <c r="AG23" i="37" l="1"/>
  <c r="AG34" i="37"/>
  <c r="AG25" i="37"/>
  <c r="AG24" i="37"/>
  <c r="AG26" i="37"/>
  <c r="AG27" i="37"/>
  <c r="AG28" i="37"/>
  <c r="AG29" i="37"/>
  <c r="AG41" i="37"/>
  <c r="AG30" i="37"/>
  <c r="O5" i="37" s="1" a="1"/>
  <c r="O5" i="37" s="1"/>
  <c r="O14" i="37" s="1"/>
  <c r="AG31" i="37"/>
  <c r="AG39" i="37"/>
  <c r="AG35" i="37"/>
  <c r="AG32" i="37"/>
  <c r="AG33" i="37"/>
  <c r="AG36" i="37"/>
  <c r="AG37" i="37"/>
  <c r="AG38" i="37"/>
  <c r="AG40" i="37"/>
  <c r="AG42" i="37"/>
  <c r="AG55" i="37"/>
  <c r="AG53" i="37"/>
  <c r="AG54" i="37"/>
  <c r="AG51" i="37"/>
  <c r="AG46" i="37"/>
  <c r="AG49" i="37"/>
  <c r="AG50" i="37"/>
  <c r="AG52" i="37"/>
  <c r="AG45" i="37"/>
  <c r="AG44" i="37"/>
  <c r="AG48" i="37"/>
  <c r="AG47" i="37"/>
  <c r="AG43" i="37"/>
  <c r="U1" i="37"/>
  <c r="V1" i="37" s="1"/>
  <c r="W1" i="37" s="1"/>
  <c r="N8" i="37" l="1"/>
  <c r="N10" i="37"/>
  <c r="N9" i="37"/>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<sst xmlns="http://schemas.openxmlformats.org/spreadsheetml/2006/main" count="154" uniqueCount="115">
  <si>
    <t>Tháng</t>
  </si>
  <si>
    <t>Năm</t>
  </si>
  <si>
    <t>Kỳ</t>
  </si>
  <si>
    <t>Bên A</t>
  </si>
  <si>
    <t>Công ty TNHH Tư vấn Quản trị FIRM</t>
  </si>
  <si>
    <t>[Địa chỉ]</t>
  </si>
  <si>
    <t>[Mã số thuế]</t>
  </si>
  <si>
    <t>[SĐT - Fax]</t>
  </si>
  <si>
    <t>[Website - Page]</t>
  </si>
  <si>
    <t>[STK - Ngân hàng]</t>
  </si>
  <si>
    <t>Bên B</t>
  </si>
  <si>
    <t>Công ty ABC XYZ</t>
  </si>
  <si>
    <t>ID</t>
  </si>
  <si>
    <t>License</t>
  </si>
  <si>
    <t>Khấu hao</t>
  </si>
  <si>
    <t>Chức năng</t>
  </si>
  <si>
    <t>Ngày kết thúc</t>
  </si>
  <si>
    <t>Phân loại</t>
  </si>
  <si>
    <t>Tất cả</t>
  </si>
  <si>
    <t>Quyền sử dụng đất</t>
  </si>
  <si>
    <t>Nhà cửa - Xây dựng</t>
  </si>
  <si>
    <t>Dây chuyền - Máy móc</t>
  </si>
  <si>
    <t>Phương tiện vận tải - truyền dẫn</t>
  </si>
  <si>
    <t>Thiết bị - Dụng cụ quản lý</t>
  </si>
  <si>
    <t>Trồng trọt - Chăn nuôi</t>
  </si>
  <si>
    <t>Phần mềm - Tài sản số</t>
  </si>
  <si>
    <t>Bảo hộ trí tuệ</t>
  </si>
  <si>
    <t>Thương hiệu - Nhãn hiệu</t>
  </si>
  <si>
    <t>Thương mại nhượng quyền</t>
  </si>
  <si>
    <t>Tài sản cố định khác</t>
  </si>
  <si>
    <t>Mã Tài sản</t>
  </si>
  <si>
    <t>Tên tài sản</t>
  </si>
  <si>
    <t>Giá trị sổ sách</t>
  </si>
  <si>
    <t>Ngày mua</t>
  </si>
  <si>
    <t>Năm khấu hao</t>
  </si>
  <si>
    <t>Tháng khấu hao</t>
  </si>
  <si>
    <t>Ngày vận hành</t>
  </si>
  <si>
    <t>Ngày thanh lý</t>
  </si>
  <si>
    <t>Giá trị khấu hao (tháng)</t>
  </si>
  <si>
    <t>Prdt</t>
  </si>
  <si>
    <t>Date_Pmt</t>
  </si>
  <si>
    <t>Date_Exp</t>
  </si>
  <si>
    <t>Period</t>
  </si>
  <si>
    <t>All</t>
  </si>
  <si>
    <t>QuanTri</t>
  </si>
  <si>
    <t>BanHang</t>
  </si>
  <si>
    <t>LuuKho</t>
  </si>
  <si>
    <t>ChiPhi</t>
  </si>
  <si>
    <t>GiaoDich</t>
  </si>
  <si>
    <t>Khac</t>
  </si>
  <si>
    <r>
      <t>[MST]</t>
    </r>
    <r>
      <rPr>
        <sz val="12"/>
        <color theme="1"/>
        <rFont val="Segoe UI Light"/>
        <family val="2"/>
        <scheme val="minor"/>
      </rPr>
      <t xml:space="preserve"> 0318908160</t>
    </r>
  </si>
  <si>
    <t>LEAnh@4404$LEKhanh!3696)LEHuyen!3200(LEWives(3448$LEFam</t>
  </si>
  <si>
    <t>Khấu hao sản xuất</t>
  </si>
  <si>
    <t>Khấu hao bán hàng</t>
  </si>
  <si>
    <t>Khấu hao quản lý</t>
  </si>
  <si>
    <t>X</t>
  </si>
  <si>
    <r>
      <t>[Đ/c]</t>
    </r>
    <r>
      <rPr>
        <sz val="12"/>
        <color theme="1"/>
        <rFont val="Segoe UI Light"/>
        <family val="2"/>
        <scheme val="minor"/>
      </rPr>
      <t xml:space="preserve"> 39A đường 149C, phường Long Trường, Tp.HCM</t>
    </r>
  </si>
  <si>
    <r>
      <t xml:space="preserve">[SĐT] </t>
    </r>
    <r>
      <rPr>
        <sz val="12"/>
        <color theme="1"/>
        <rFont val="Segoe UI Light"/>
        <family val="2"/>
        <scheme val="minor"/>
      </rPr>
      <t>0344048220</t>
    </r>
  </si>
  <si>
    <r>
      <t>[Web]</t>
    </r>
    <r>
      <rPr>
        <sz val="12"/>
        <color theme="1"/>
        <rFont val="Segoe UI Light"/>
        <family val="2"/>
        <scheme val="minor"/>
      </rPr>
      <t xml:space="preserve"> </t>
    </r>
    <r>
      <rPr>
        <u/>
        <sz val="12"/>
        <color theme="1"/>
        <rFont val="Segoe UI Light"/>
        <family val="2"/>
        <scheme val="minor"/>
      </rPr>
      <t>https://firmmcco.wixsite.com/easyquantri</t>
    </r>
  </si>
  <si>
    <r>
      <t xml:space="preserve">[STK] </t>
    </r>
    <r>
      <rPr>
        <sz val="12"/>
        <color theme="1"/>
        <rFont val="Segoe UI Light"/>
        <family val="2"/>
        <scheme val="minor"/>
      </rPr>
      <t>44048220 - MBBank</t>
    </r>
  </si>
  <si>
    <t>TS1</t>
  </si>
  <si>
    <t>Sản xuất</t>
  </si>
  <si>
    <t>Số ngày vận hành</t>
  </si>
  <si>
    <t>Khấu hao lũy kế theo ngày</t>
  </si>
  <si>
    <t>Giá trị còn lại</t>
  </si>
  <si>
    <t>Tỷ lệ khấu hao</t>
  </si>
  <si>
    <t>Số ngày còn lại</t>
  </si>
  <si>
    <t>TS2</t>
  </si>
  <si>
    <t>TS3</t>
  </si>
  <si>
    <t>Bán hàng</t>
  </si>
  <si>
    <t>TS4</t>
  </si>
  <si>
    <t>Văn phòng</t>
  </si>
  <si>
    <t>TS5</t>
  </si>
  <si>
    <t>TS6</t>
  </si>
  <si>
    <t>Row Labels</t>
  </si>
  <si>
    <t>Grand Total</t>
  </si>
  <si>
    <t>2023</t>
  </si>
  <si>
    <t>2024</t>
  </si>
  <si>
    <t>Apr</t>
  </si>
  <si>
    <t>May</t>
  </si>
  <si>
    <t>Jun</t>
  </si>
  <si>
    <t>Jul</t>
  </si>
  <si>
    <t>Aug</t>
  </si>
  <si>
    <t>Sep</t>
  </si>
  <si>
    <t>Oct</t>
  </si>
  <si>
    <t>Nov</t>
  </si>
  <si>
    <t>Dec</t>
  </si>
  <si>
    <t>Jan</t>
  </si>
  <si>
    <t>Feb</t>
  </si>
  <si>
    <t>Mar</t>
  </si>
  <si>
    <t>Tổng</t>
  </si>
  <si>
    <t>Quản lý</t>
  </si>
  <si>
    <t>Khấu hao lũy kế</t>
  </si>
  <si>
    <t>Tỷ lệ</t>
  </si>
  <si>
    <t>KHẤU HAO THÁNG HIỆN TẠI</t>
  </si>
  <si>
    <t>GỒM:</t>
  </si>
  <si>
    <t>SẢN XUẤT</t>
  </si>
  <si>
    <t>BÁN HÀNG</t>
  </si>
  <si>
    <t>QUẢN LÝ</t>
  </si>
  <si>
    <t>GIÁ TRỊ KHẤU HAO THÁNG</t>
  </si>
  <si>
    <t>TỶ TRỌNG KHẤU HAO</t>
  </si>
  <si>
    <t>TỶ LỆ KHẤU HAO HIỆN TẠI</t>
  </si>
  <si>
    <t>NGÀY KẾT THÚC KHẤU HAO</t>
  </si>
  <si>
    <t>SỐ NGÀY KHẤU HAO CÒN LẠI</t>
  </si>
  <si>
    <t>CHI TIẾT TÀI SẢN</t>
  </si>
  <si>
    <t>THỨ TỰ GIÁ TRỊ KHẤU HAO</t>
  </si>
  <si>
    <t>4C68A711-89BE-412A-BD2D-CB33771CC62D</t>
  </si>
  <si>
    <t>EASY-33329183463</t>
  </si>
  <si>
    <t>CP01</t>
  </si>
  <si>
    <t>Red</t>
  </si>
  <si>
    <t>Green</t>
  </si>
  <si>
    <t>Blue</t>
  </si>
  <si>
    <t>Gray</t>
  </si>
  <si>
    <t>Brown</t>
  </si>
  <si>
    <t>PIybEyHvvhO7Rf2wifv7O0bHv5bzw64DdDUJ</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</si>
</sst>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43" formatCode="_(* #,##0.00_);_(* \(#,##0.00\);_(* &quot;-&quot;??_);_(@_)"/>
    <numFmt numFmtId="164" formatCode="_(* #,##0_);_(* \(#,##0\);_(* &quot;-&quot;??_);_(@_)"/>
    <numFmt numFmtId="165" formatCode="mm\-yyyy"/>
    <numFmt numFmtId="166" formatCode="[$-1010000]d/m/yyyy;@"/>
    <numFmt numFmtId="167" formatCode="_(#,##0_);_(\(#,##0\);_(\-_);_(@_)"/>
    <numFmt numFmtId="168" formatCode="dd/mm/yyyy"/>
  </numFmts>
  <fonts count="18" x14ac:knownFonts="1">
    <font>
      <sz val="11"/>
      <color theme="1"/>
      <name val="Segoe UI Light"/>
      <family val="2"/>
      <scheme val="minor"/>
    </font>
    <font>
      <sz val="11"/>
      <color theme="1"/>
      <name val="Segoe UI Light"/>
      <family val="2"/>
      <scheme val="minor"/>
    </font>
    <font>
      <sz val="12"/>
      <color theme="1"/>
      <name val="Segoe UI Light"/>
      <family val="2"/>
      <scheme val="minor"/>
    </font>
    <font>
      <b/>
      <sz val="12"/>
      <color theme="1"/>
      <name val="Segoe UI Light"/>
      <family val="2"/>
      <scheme val="minor"/>
    </font>
    <font>
      <sz val="24"/>
      <color theme="8"/>
      <name val="Segoe UI"/>
      <family val="2"/>
      <scheme val="major"/>
    </font>
    <font>
      <sz val="8"/>
      <color theme="1"/>
      <name val="Segoe UI Light"/>
      <family val="2"/>
      <scheme val="minor"/>
    </font>
    <font>
      <sz val="8"/>
      <name val="Segoe UI Light"/>
      <family val="2"/>
      <scheme val="minor"/>
    </font>
    <font>
      <sz val="8"/>
      <color theme="9"/>
      <name val="Segoe UI Light"/>
      <family val="2"/>
      <scheme val="minor"/>
    </font>
    <font>
      <sz val="8"/>
      <color theme="0"/>
      <name val="Segoe UI Light"/>
      <family val="2"/>
      <scheme val="minor"/>
    </font>
    <font>
      <b/>
      <sz val="11"/>
      <color theme="1"/>
      <name val="Segoe UI Light"/>
      <family val="2"/>
      <scheme val="minor"/>
    </font>
    <font>
      <sz val="11"/>
      <name val="Segoe UI Light"/>
      <family val="2"/>
      <scheme val="minor"/>
    </font>
    <font>
      <b/>
      <sz val="11"/>
      <color theme="8"/>
      <name val="Segoe UI Light"/>
      <family val="2"/>
      <scheme val="minor"/>
    </font>
    <font>
      <sz val="8"/>
      <color rgb="FF000000"/>
      <name val="Segoe UI"/>
      <family val="2"/>
    </font>
    <font>
      <b/>
      <sz val="8"/>
      <color rgb="FF000000"/>
      <name val="Segoe UI Light"/>
      <family val="2"/>
    </font>
    <font>
      <u/>
      <sz val="12"/>
      <color theme="1"/>
      <name val="Segoe UI Light"/>
      <family val="2"/>
      <scheme val="minor"/>
    </font>
    <font>
      <b/>
      <sz val="14"/>
      <color theme="6"/>
      <name val="Segoe UI Light"/>
      <family val="2"/>
      <scheme val="minor"/>
    </font>
    <font>
      <b/>
      <sz val="12"/>
      <color theme="9" tint="-0.499984740745262"/>
      <name val="Segoe UI Light"/>
      <family val="2"/>
      <scheme val="minor"/>
    </font>
    <font>
      <sz val="11"/>
      <color theme="0"/>
      <name val="Segoe UI Light"/>
      <family val="2"/>
      <scheme val="minor"/>
    </font>
  </fonts>
  <fills count="2">
    <fill>
      <patternFill patternType="none"/>
    </fill>
    <fill>
      <patternFill patternType="gray125"/>
    </fill>
  </fills>
  <borders count="2">
    <border>
      <left/>
      <right/>
      <top/>
      <bottom/>
      <diagonal/>
    </border>
    <border>
      <left/>
      <right/>
      <top style="thin">
        <color theme="5" tint="0.39997558519241921"/>
      </top>
      <bottom style="thin">
        <color theme="5" tint="0.39997558519241921"/>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50">
    <xf numFmtId="0" fontId="0" fillId="0" borderId="0" xfId="0"/>
    <xf numFmtId="0" fontId="5" fillId="0" borderId="0" xfId="0" applyFont="1" applyAlignment="1" applyProtection="1">
      <alignment vertical="center"/>
      <protection locked="0" hidden="1"/>
    </xf>
    <xf numFmtId="164" fontId="5" fillId="0" borderId="0" xfId="1" applyNumberFormat="1" applyFont="1" applyAlignment="1" applyProtection="1">
      <alignment vertical="center"/>
      <protection locked="0" hidden="1"/>
    </xf>
    <xf numFmtId="164" fontId="7" fillId="0" borderId="0" xfId="1" applyNumberFormat="1" applyFont="1" applyAlignment="1" applyProtection="1">
      <alignment vertical="center"/>
      <protection locked="0" hidden="1"/>
    </xf>
    <xf numFmtId="165" fontId="7" fillId="0" borderId="0" xfId="0" applyNumberFormat="1" applyFont="1" applyAlignment="1" applyProtection="1">
      <alignment vertical="center"/>
      <protection locked="0" hidden="1"/>
    </xf>
    <xf numFmtId="0" fontId="0" fillId="0" borderId="0" xfId="0" applyProtection="1">
      <protection locked="0" hidden="1"/>
    </xf>
    <xf numFmtId="0" fontId="0" fillId="0" borderId="0" xfId="0" applyAlignment="1">
      <alignment horizontal="left"/>
    </xf>
    <xf numFmtId="0" fontId="5" fillId="0" borderId="0" xfId="0" applyFont="1" applyAlignment="1" applyProtection="1">
      <alignment vertical="center"/>
      <protection locked="0"/>
    </xf>
    <xf numFmtId="0" fontId="0" fillId="0" borderId="0" xfId="0" applyAlignment="1" applyProtection="1">
      <alignment vertical="center"/>
      <protection locked="0"/>
    </xf>
    <xf numFmtId="49" fontId="2" fillId="0" borderId="0" xfId="0" applyNumberFormat="1" applyFont="1" applyAlignment="1" applyProtection="1">
      <alignment vertical="center"/>
      <protection locked="0"/>
    </xf>
    <xf numFmtId="49" fontId="2" fillId="0" borderId="0" xfId="0" applyNumberFormat="1" applyFont="1" applyAlignment="1" applyProtection="1">
      <alignment horizontal="left" vertical="center"/>
      <protection locked="0"/>
    </xf>
    <xf numFmtId="49" fontId="4" fillId="0" borderId="0" xfId="0" applyNumberFormat="1" applyFont="1" applyAlignment="1" applyProtection="1">
      <alignment vertical="center"/>
      <protection locked="0"/>
    </xf>
    <xf numFmtId="0" fontId="11" fillId="0" borderId="0" xfId="0" applyFont="1" applyAlignment="1" applyProtection="1">
      <alignment horizontal="right" vertical="center"/>
      <protection locked="0"/>
    </xf>
    <xf numFmtId="0" fontId="1" fillId="0" borderId="0" xfId="0" applyFont="1" applyAlignment="1">
      <alignment horizontal="left" vertical="center"/>
    </xf>
    <xf numFmtId="0" fontId="10" fillId="0" borderId="0" xfId="0" applyFont="1" applyAlignment="1">
      <alignment horizontal="left" vertical="center"/>
    </xf>
    <xf numFmtId="49" fontId="1" fillId="0" borderId="0" xfId="0" applyNumberFormat="1" applyFont="1" applyAlignment="1">
      <alignment horizontal="left" vertical="center"/>
    </xf>
    <xf numFmtId="0" fontId="0" fillId="0" borderId="0" xfId="0" applyAlignment="1">
      <alignment horizontal="left" vertical="center"/>
    </xf>
    <xf numFmtId="166" fontId="1" fillId="0" borderId="0" xfId="0" applyNumberFormat="1" applyFont="1" applyAlignment="1">
      <alignment horizontal="left" vertical="center"/>
    </xf>
    <xf numFmtId="166" fontId="0" fillId="0" borderId="0" xfId="0" applyNumberFormat="1" applyAlignment="1">
      <alignment horizontal="left"/>
    </xf>
    <xf numFmtId="49" fontId="3" fillId="0" borderId="0" xfId="0" applyNumberFormat="1" applyFont="1" applyAlignment="1" applyProtection="1">
      <alignment vertical="center"/>
      <protection locked="0"/>
    </xf>
    <xf numFmtId="49" fontId="3" fillId="0" borderId="0" xfId="0" applyNumberFormat="1" applyFont="1" applyAlignment="1" applyProtection="1">
      <alignment horizontal="left" vertical="center"/>
      <protection locked="0"/>
    </xf>
    <xf numFmtId="167" fontId="5" fillId="0" borderId="0" xfId="0" applyNumberFormat="1" applyFont="1" applyAlignment="1" applyProtection="1">
      <alignment vertical="center"/>
      <protection locked="0" hidden="1"/>
    </xf>
    <xf numFmtId="167" fontId="0" fillId="0" borderId="0" xfId="0" applyNumberFormat="1" applyAlignment="1" applyProtection="1">
      <alignment vertical="center"/>
      <protection locked="0"/>
    </xf>
    <xf numFmtId="167" fontId="9" fillId="0" borderId="0" xfId="0" applyNumberFormat="1" applyFont="1" applyProtection="1">
      <protection locked="0"/>
    </xf>
    <xf numFmtId="167" fontId="0" fillId="0" borderId="0" xfId="0" applyNumberFormat="1" applyProtection="1">
      <protection locked="0"/>
    </xf>
    <xf numFmtId="167" fontId="0" fillId="0" borderId="0" xfId="0" applyNumberFormat="1" applyAlignment="1" applyProtection="1">
      <alignment horizontal="left" vertical="center" indent="1"/>
      <protection locked="0"/>
    </xf>
    <xf numFmtId="167" fontId="9" fillId="0" borderId="0" xfId="0" applyNumberFormat="1" applyFont="1" applyAlignment="1" applyProtection="1">
      <alignment horizontal="left" vertical="center" indent="1"/>
      <protection locked="0"/>
    </xf>
    <xf numFmtId="167" fontId="0" fillId="0" borderId="0" xfId="0" applyNumberFormat="1" applyAlignment="1">
      <alignment horizontal="left"/>
    </xf>
    <xf numFmtId="167" fontId="7" fillId="0" borderId="1" xfId="1" applyNumberFormat="1" applyFont="1" applyFill="1" applyBorder="1" applyAlignment="1" applyProtection="1">
      <alignment vertical="center"/>
      <protection locked="0" hidden="1"/>
    </xf>
    <xf numFmtId="168" fontId="7" fillId="0" borderId="0" xfId="0" applyNumberFormat="1" applyFont="1" applyAlignment="1" applyProtection="1">
      <alignment vertical="center"/>
      <protection locked="0" hidden="1"/>
    </xf>
    <xf numFmtId="167" fontId="5" fillId="0" borderId="0" xfId="0" applyNumberFormat="1" applyFont="1" applyAlignment="1" applyProtection="1">
      <alignment vertical="center"/>
      <protection locked="0"/>
    </xf>
    <xf numFmtId="167" fontId="8" fillId="0" borderId="0" xfId="0" applyNumberFormat="1" applyFont="1" applyAlignment="1" applyProtection="1">
      <alignment vertical="center"/>
      <protection locked="0"/>
    </xf>
    <xf numFmtId="0" fontId="8" fillId="0" borderId="0" xfId="0" applyFont="1" applyAlignment="1" applyProtection="1">
      <alignment vertical="center"/>
      <protection locked="0"/>
    </xf>
    <xf numFmtId="165" fontId="6" fillId="0" borderId="1" xfId="0" applyNumberFormat="1" applyFont="1" applyBorder="1" applyAlignment="1" applyProtection="1">
      <alignment vertical="center"/>
      <protection locked="0" hidden="1"/>
    </xf>
    <xf numFmtId="9" fontId="7" fillId="0" borderId="0" xfId="2" applyFont="1" applyAlignment="1" applyProtection="1">
      <alignment vertical="center"/>
      <protection locked="0" hidden="1"/>
    </xf>
    <xf numFmtId="0" fontId="7" fillId="0" borderId="0" xfId="0" applyFont="1" applyAlignment="1" applyProtection="1">
      <alignment vertical="center"/>
      <protection locked="0" hidden="1"/>
    </xf>
    <xf numFmtId="167" fontId="7" fillId="0" borderId="1" xfId="0" applyNumberFormat="1" applyFont="1" applyBorder="1" applyAlignment="1" applyProtection="1">
      <alignment vertical="center"/>
      <protection locked="0" hidden="1"/>
    </xf>
    <xf numFmtId="0" fontId="0" fillId="0" borderId="0" xfId="0" pivotButton="1"/>
    <xf numFmtId="167" fontId="0" fillId="0" borderId="0" xfId="0" applyNumberFormat="1"/>
    <xf numFmtId="0" fontId="0" fillId="0" borderId="0" xfId="0" applyAlignment="1">
      <alignment horizontal="left" indent="1"/>
    </xf>
    <xf numFmtId="165" fontId="0" fillId="0" borderId="0" xfId="0" applyNumberFormat="1" applyAlignment="1">
      <alignment horizontal="left" indent="2"/>
    </xf>
    <xf numFmtId="9" fontId="0" fillId="0" borderId="0" xfId="0" applyNumberFormat="1"/>
    <xf numFmtId="167" fontId="15" fillId="0" borderId="0" xfId="0" applyNumberFormat="1" applyFont="1" applyAlignment="1" applyProtection="1">
      <alignment vertical="center"/>
      <protection locked="0"/>
    </xf>
    <xf numFmtId="167" fontId="16" fillId="0" borderId="0" xfId="0" applyNumberFormat="1" applyFont="1" applyAlignment="1" applyProtection="1">
      <alignment vertical="center"/>
      <protection locked="0"/>
    </xf>
    <xf numFmtId="9" fontId="16" fillId="0" borderId="0" xfId="2" applyFont="1" applyAlignment="1" applyProtection="1">
      <alignment vertical="center"/>
      <protection locked="0"/>
    </xf>
    <xf numFmtId="0" fontId="16" fillId="0" borderId="0" xfId="0" applyFont="1" applyAlignment="1" applyProtection="1">
      <alignment horizontal="center" vertical="center"/>
      <protection locked="0"/>
    </xf>
    <xf numFmtId="164" fontId="16" fillId="0" borderId="0" xfId="1" applyNumberFormat="1" applyFont="1" applyAlignment="1" applyProtection="1">
      <alignment horizontal="right" vertical="center"/>
      <protection locked="0"/>
    </xf>
    <xf numFmtId="9" fontId="16" fillId="0" borderId="0" xfId="2" applyFont="1" applyAlignment="1" applyProtection="1">
      <alignment horizontal="right" vertical="center"/>
      <protection locked="0"/>
    </xf>
    <xf numFmtId="166" fontId="16" fillId="0" borderId="0" xfId="2" applyNumberFormat="1" applyFont="1" applyAlignment="1" applyProtection="1">
      <alignment horizontal="right" vertical="center"/>
      <protection locked="0"/>
    </xf>
    <xf numFmtId="0" fontId="17" fillId="0" borderId="0" xfId="0" applyFont="1" applyAlignment="1" applyProtection="1">
      <alignment vertical="center"/>
      <protection locked="0"/>
    </xf>
  </cellXfs>
  <cellStyles count="3">
    <cellStyle name="Comma" xfId="1" builtinId="3"/>
    <cellStyle name="Normal" xfId="0" builtinId="0"/>
    <cellStyle name="Percent" xfId="2" builtinId="5"/>
  </cellStyles>
  <dxfs count="47">
    <dxf>
      <font>
        <b val="0"/>
        <i val="0"/>
        <strike val="0"/>
        <condense val="0"/>
        <extend val="0"/>
        <outline val="0"/>
        <shadow val="0"/>
        <u val="none"/>
        <vertAlign val="baseline"/>
        <sz val="8"/>
        <color theme="9"/>
        <name val="Segoe UI Light"/>
        <family val="2"/>
        <scheme val="minor"/>
      </font>
      <numFmt numFmtId="167" formatCode="_(#,##0_);_(\(#,##0\);_(\-_);_(@_)"/>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b val="0"/>
        <i val="0"/>
        <strike val="0"/>
        <condense val="0"/>
        <extend val="0"/>
        <outline val="0"/>
        <shadow val="0"/>
        <u val="none"/>
        <vertAlign val="baseline"/>
        <sz val="8"/>
        <color theme="9"/>
        <name val="Segoe UI Light"/>
        <family val="2"/>
        <scheme val="minor"/>
      </font>
      <numFmt numFmtId="167" formatCode="_(#,##0_);_(\(#,##0\);_(\-_);_(@_)"/>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b val="0"/>
        <i val="0"/>
        <strike val="0"/>
        <condense val="0"/>
        <extend val="0"/>
        <outline val="0"/>
        <shadow val="0"/>
        <u val="none"/>
        <vertAlign val="baseline"/>
        <sz val="8"/>
        <color theme="9"/>
        <name val="Segoe UI Light"/>
        <family val="2"/>
        <scheme val="minor"/>
      </font>
      <numFmt numFmtId="167" formatCode="_(#,##0_);_(\(#,##0\);_(\-_);_(@_)"/>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b val="0"/>
        <i val="0"/>
        <strike val="0"/>
        <condense val="0"/>
        <extend val="0"/>
        <outline val="0"/>
        <shadow val="0"/>
        <u val="none"/>
        <vertAlign val="baseline"/>
        <sz val="8"/>
        <color theme="9"/>
        <name val="Segoe UI Light"/>
        <family val="2"/>
        <scheme val="minor"/>
      </font>
      <numFmt numFmtId="167" formatCode="_(#,##0_);_(\(#,##0\);_(\-_);_(@_)"/>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1"/>
        <name val="Segoe UI Light"/>
        <family val="2"/>
        <scheme val="minor"/>
      </font>
      <numFmt numFmtId="167"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7"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5" formatCode="mm\-yyyy"/>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8" formatCode="dd/mm/yyyy"/>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5" formatCode="mm\-yyyy"/>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strike val="0"/>
        <outline val="0"/>
        <shadow val="0"/>
        <u val="none"/>
        <vertAlign val="baseline"/>
        <sz val="8"/>
        <color auto="1"/>
        <name val="Segoe UI Light"/>
        <family val="2"/>
        <scheme val="minor"/>
      </font>
      <numFmt numFmtId="165" formatCode="mm\-yyyy"/>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5" formatCode="mm\-yyyy"/>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7" formatCode="_(#,##0_);_(\(#,##0\);_(\-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7"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7" formatCode="_(#,##0_);_(\(#,##0\);_(\-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7" formatCode="_(#,##0_);_(\(#,##0\);_(\-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0"/>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b/>
        <sz val="11"/>
        <color theme="1"/>
      </font>
      <border>
        <vertical/>
        <horizontal/>
      </border>
    </dxf>
    <dxf>
      <font>
        <color theme="1"/>
      </font>
      <fill>
        <patternFill>
          <bgColor theme="6" tint="0.79998168889431442"/>
        </patternFill>
      </fill>
      <border diagonalUp="0" diagonalDown="0">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s>
  <tableStyles count="3" defaultTableStyle="TableStyleMedium2" defaultPivotStyle="PivotStyleLight16">
    <tableStyle name="SlicerStyleLight1 2" pivot="0" table="0" count="10" xr9:uid="{DB9C5353-83DD-4812-B508-5E967EF69B50}">
      <tableStyleElement type="wholeTable" dxfId="46"/>
      <tableStyleElement type="headerRow" dxfId="45"/>
    </tableStyle>
    <tableStyle name="SlicerStyleLight1 2 2" pivot="0" table="0" count="10" xr9:uid="{9DB8D611-4D15-4128-AF8D-E3329BCC5BCE}">
      <tableStyleElement type="wholeTable" dxfId="44"/>
      <tableStyleElement type="headerRow" dxfId="43"/>
    </tableStyle>
    <tableStyle name="TimeSlicerStyleLight1 2" pivot="0" table="0" count="9" xr9:uid="{58382D9D-B456-41C4-B229-09D2A872184E}">
      <tableStyleElement type="wholeTable" dxfId="42"/>
      <tableStyleElement type="headerRow" dxfId="41"/>
    </tableStyle>
  </tableStyles>
  <colors>
    <mruColors>
      <color rgb="FFFF7C80"/>
    </mruColors>
  </colors>
  <extLst>
    <ext xmlns:x14="http://schemas.microsoft.com/office/spreadsheetml/2009/9/main" uri="{46F421CA-312F-682f-3DD2-61675219B42D}">
      <x14:dxfs count="16">
        <dxf>
          <font>
            <sz val="8"/>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sz val="8"/>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sz val="8"/>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b/>
            <i val="0"/>
            <color theme="1"/>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2">
        <x14:slicerStyle name="SlicerStyleLight1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1 2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A0A4C193-F2C1-4fcb-8827-314CF55A85BB}">
      <x15:dxfs count="7">
        <dxf>
          <fill>
            <patternFill patternType="solid">
              <fgColor theme="4" tint="0.39997558519241921"/>
              <bgColor theme="4" tint="0.39997558519241921"/>
            </patternFill>
          </fill>
          <border>
            <vertical/>
            <horizontal/>
          </border>
        </dxf>
        <dxf>
          <fill>
            <patternFill patternType="solid">
              <fgColor auto="1"/>
              <bgColor theme="7" tint="0.79998168889431442"/>
            </patternFill>
          </fill>
          <border>
            <vertical/>
            <horizontal/>
          </border>
        </dxf>
        <dxf>
          <fill>
            <patternFill patternType="solid">
              <fgColor auto="1"/>
              <bgColor theme="9"/>
            </patternFill>
          </fill>
          <border>
            <vertical/>
            <horizontal/>
          </border>
        </dxf>
        <dxf>
          <font>
            <sz val="9"/>
            <color theme="1" tint="0.499984740745262"/>
          </font>
          <border>
            <left/>
            <right/>
            <top/>
            <bottom/>
            <vertical/>
            <horizontal/>
          </border>
        </dxf>
        <dxf>
          <font>
            <sz val="9"/>
            <color theme="1" tint="0.499984740745262"/>
          </font>
          <border>
            <left/>
            <right/>
            <top/>
            <bottom/>
            <vertical/>
            <horizontal/>
          </border>
        </dxf>
        <dxf>
          <font>
            <sz val="9"/>
            <color theme="1" tint="0.499984740745262"/>
          </font>
          <border>
            <left/>
            <right/>
            <top/>
            <bottom/>
            <vertical/>
            <horizontal/>
          </border>
        </dxf>
        <dxf>
          <font>
            <sz val="10"/>
            <color theme="4" tint="-0.249977111117893"/>
          </font>
          <border>
            <left/>
            <right/>
            <top/>
            <bottom/>
            <vertical/>
            <horizontal/>
          </border>
        </dxf>
      </x15:dxfs>
    </ext>
    <ext xmlns:x15="http://schemas.microsoft.com/office/spreadsheetml/2010/11/main" uri="{9260A510-F301-46a8-8635-F512D64BE5F5}">
      <x15:timelineStyles defaultTimelineStyle="TimeSlicerStyleLight1">
        <x15:timelineStyle name="TimeSlicerStyleLight1 2">
          <x15:timelineStyleElements>
            <x15:timelineStyleElement type="selectionLabel" dxfId="6"/>
            <x15:timelineStyleElement type="timeLevel" dxfId="5"/>
            <x15:timelineStyleElement type="periodLabel1" dxfId="4"/>
            <x15:timelineStyleElement type="periodLabel2" dxfId="3"/>
            <x15:timelineStyleElement type="selectedTimeBlock" dxfId="2"/>
            <x15:timelineStyleElement type="unselectedTimeBlock" dxfId="1"/>
            <x15:timelineStyleElement type="selectedTimeBlockSpace" dxfId="0"/>
          </x15:timelineStyleElements>
        </x15:timelineStyle>
      </x15:timelineStyles>
    </ext>
  </extLst>
</styleSheet>
</file>

<file path=xl/_rels/workbook.xml.rels><?xml version="1.0" encoding="UTF-8" standalone="yes"?>
<Relationships xmlns="http://schemas.openxmlformats.org/package/2006/relationships"><Relationship Id="rId13" Type="http://schemas.openxmlformats.org/officeDocument/2006/relationships/customXml" Target="../customXml/item3.xml"/><Relationship Id="rId18" Type="http://schemas.openxmlformats.org/officeDocument/2006/relationships/customXml" Target="../customXml/item8.xml"/><Relationship Id="rId26" Type="http://schemas.openxmlformats.org/officeDocument/2006/relationships/customXml" Target="../customXml/item16.xml"/><Relationship Id="rId3" Type="http://schemas.openxmlformats.org/officeDocument/2006/relationships/worksheet" Target="worksheets/sheet3.xml"/><Relationship Id="rId21" Type="http://schemas.openxmlformats.org/officeDocument/2006/relationships/customXml" Target="../customXml/item11.xml"/><Relationship Id="rId34" Type="http://schemas.microsoft.com/office/2006/relationships/vbaProject" Target="vbaProject.bin"/><Relationship Id="rId7" Type="http://schemas.openxmlformats.org/officeDocument/2006/relationships/styles" Target="styles.xml"/><Relationship Id="rId12" Type="http://schemas.openxmlformats.org/officeDocument/2006/relationships/customXml" Target="../customXml/item2.xml"/><Relationship Id="rId17" Type="http://schemas.openxmlformats.org/officeDocument/2006/relationships/customXml" Target="../customXml/item7.xml"/><Relationship Id="rId25" Type="http://schemas.openxmlformats.org/officeDocument/2006/relationships/customXml" Target="../customXml/item15.xml"/><Relationship Id="rId33" Type="http://schemas.openxmlformats.org/officeDocument/2006/relationships/customXml" Target="../customXml/item23.xml"/><Relationship Id="rId2" Type="http://schemas.openxmlformats.org/officeDocument/2006/relationships/worksheet" Target="worksheets/sheet2.xml"/><Relationship Id="rId16" Type="http://schemas.openxmlformats.org/officeDocument/2006/relationships/customXml" Target="../customXml/item6.xml"/><Relationship Id="rId20" Type="http://schemas.openxmlformats.org/officeDocument/2006/relationships/customXml" Target="../customXml/item10.xml"/><Relationship Id="rId29" Type="http://schemas.openxmlformats.org/officeDocument/2006/relationships/customXml" Target="../customXml/item19.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1.xml"/><Relationship Id="rId24" Type="http://schemas.openxmlformats.org/officeDocument/2006/relationships/customXml" Target="../customXml/item14.xml"/><Relationship Id="rId32" Type="http://schemas.openxmlformats.org/officeDocument/2006/relationships/customXml" Target="../customXml/item22.xml"/><Relationship Id="rId5" Type="http://schemas.openxmlformats.org/officeDocument/2006/relationships/pivotCacheDefinition" Target="pivotCache/pivotCacheDefinition2.xml"/><Relationship Id="rId15" Type="http://schemas.openxmlformats.org/officeDocument/2006/relationships/customXml" Target="../customXml/item5.xml"/><Relationship Id="rId23" Type="http://schemas.openxmlformats.org/officeDocument/2006/relationships/customXml" Target="../customXml/item13.xml"/><Relationship Id="rId28" Type="http://schemas.openxmlformats.org/officeDocument/2006/relationships/customXml" Target="../customXml/item18.xml"/><Relationship Id="rId10" Type="http://schemas.openxmlformats.org/officeDocument/2006/relationships/calcChain" Target="calcChain.xml"/><Relationship Id="rId19" Type="http://schemas.openxmlformats.org/officeDocument/2006/relationships/customXml" Target="../customXml/item9.xml"/><Relationship Id="rId31" Type="http://schemas.openxmlformats.org/officeDocument/2006/relationships/customXml" Target="../customXml/item21.xml"/><Relationship Id="rId4" Type="http://schemas.openxmlformats.org/officeDocument/2006/relationships/pivotCacheDefinition" Target="pivotCache/pivotCacheDefinition1.xml"/><Relationship Id="rId9" Type="http://schemas.openxmlformats.org/officeDocument/2006/relationships/sheetMetadata" Target="metadata.xml"/><Relationship Id="rId14" Type="http://schemas.openxmlformats.org/officeDocument/2006/relationships/customXml" Target="../customXml/item4.xml"/><Relationship Id="rId22" Type="http://schemas.openxmlformats.org/officeDocument/2006/relationships/customXml" Target="../customXml/item12.xml"/><Relationship Id="rId27" Type="http://schemas.openxmlformats.org/officeDocument/2006/relationships/customXml" Target="../customXml/item17.xml"/><Relationship Id="rId30" Type="http://schemas.openxmlformats.org/officeDocument/2006/relationships/customXml" Target="../customXml/item20.xml"/><Relationship Id="rId8"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[02. EASY-CP01 - Lịch khấu hao.xlsm]Lịch khấu hao!PivotTable2</c:name>
    <c:fmtId val="0"/>
  </c:pivotSource>
  <c:chart>
    <c:autoTitleDeleted val="0"/>
    <c:pivotFmts>
      <c:pivotFmt>
        <c:idx val="0"/>
        <c:spPr>
          <a:solidFill>
            <a:schemeClr val="accent1"/>
          </a:solidFill>
          <a:ln>
            <a:noFill/>
          </a:ln>
          <a:effectLst/>
        </c:spPr>
        <c:marker>
          <c:symbol val="none"/>
        </c:marker>
        <c:dLbl>
          <c:idx val="0"/>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1"/>
          <c:order val="1"/>
          <c:tx>
            <c:strRef>
              <c:f>'Lịch khấu hao'!$D$22</c:f>
              <c:strCache>
                <c:ptCount val="1"/>
                <c:pt idx="0">
                  <c:v>Sản xuất</c:v>
                </c:pt>
              </c:strCache>
            </c:strRef>
          </c:tx>
          <c:spPr>
            <a:solidFill>
              <a:schemeClr val="accent2"/>
            </a:solidFill>
            <a:ln>
              <a:noFill/>
            </a:ln>
            <a:effectLst/>
          </c:spPr>
          <c:invertIfNegative val="0"/>
          <c:cat>
            <c:multiLvlStrRef>
              <c:f>'Lịch khấu hao'!$B$23:$B$67</c:f>
              <c:multiLvlStrCache>
                <c:ptCount val="21"/>
                <c:lvl>
                  <c:pt idx="0">
                    <c:v>04-2023</c:v>
                  </c:pt>
                  <c:pt idx="1">
                    <c:v>05-2023</c:v>
                  </c:pt>
                  <c:pt idx="2">
                    <c:v>06-2023</c:v>
                  </c:pt>
                  <c:pt idx="3">
                    <c:v>07-2023</c:v>
                  </c:pt>
                  <c:pt idx="4">
                    <c:v>08-2023</c:v>
                  </c:pt>
                  <c:pt idx="5">
                    <c:v>09-2023</c:v>
                  </c:pt>
                  <c:pt idx="6">
                    <c:v>10-2023</c:v>
                  </c:pt>
                  <c:pt idx="7">
                    <c:v>11-2023</c:v>
                  </c:pt>
                  <c:pt idx="8">
                    <c:v>12-2023</c:v>
                  </c:pt>
                  <c:pt idx="9">
                    <c:v>01-2024</c:v>
                  </c:pt>
                  <c:pt idx="10">
                    <c:v>02-2024</c:v>
                  </c:pt>
                  <c:pt idx="11">
                    <c:v>03-2024</c:v>
                  </c:pt>
                  <c:pt idx="12">
                    <c:v>04-2024</c:v>
                  </c:pt>
                  <c:pt idx="13">
                    <c:v>05-2024</c:v>
                  </c:pt>
                  <c:pt idx="14">
                    <c:v>06-2024</c:v>
                  </c:pt>
                  <c:pt idx="15">
                    <c:v>07-2024</c:v>
                  </c:pt>
                  <c:pt idx="16">
                    <c:v>08-2024</c:v>
                  </c:pt>
                  <c:pt idx="17">
                    <c:v>09-2024</c:v>
                  </c:pt>
                  <c:pt idx="18">
                    <c:v>10-2024</c:v>
                  </c:pt>
                  <c:pt idx="19">
                    <c:v>11-2024</c:v>
                  </c:pt>
                  <c:pt idx="20">
                    <c:v>12-2024</c:v>
                  </c:pt>
                </c:lvl>
                <c:lvl>
                  <c:pt idx="0">
                    <c:v>Apr</c:v>
                  </c:pt>
                  <c:pt idx="1">
                    <c:v>May</c:v>
                  </c:pt>
                  <c:pt idx="2">
                    <c:v>Jun</c:v>
                  </c:pt>
                  <c:pt idx="3">
                    <c:v>Jul</c:v>
                  </c:pt>
                  <c:pt idx="4">
                    <c:v>Aug</c:v>
                  </c:pt>
                  <c:pt idx="5">
                    <c:v>Sep</c:v>
                  </c:pt>
                  <c:pt idx="6">
                    <c:v>Oct</c:v>
                  </c:pt>
                  <c:pt idx="7">
                    <c:v>Nov</c:v>
                  </c:pt>
                  <c:pt idx="8">
                    <c:v>Dec</c:v>
                  </c:pt>
                  <c:pt idx="9">
                    <c:v>Jan</c:v>
                  </c:pt>
                  <c:pt idx="10">
                    <c:v>Feb</c:v>
                  </c:pt>
                  <c:pt idx="11">
                    <c:v>Mar</c:v>
                  </c:pt>
                  <c:pt idx="12">
                    <c:v>Apr</c:v>
                  </c:pt>
                  <c:pt idx="13">
                    <c:v>May</c:v>
                  </c:pt>
                  <c:pt idx="14">
                    <c:v>Jun</c:v>
                  </c:pt>
                  <c:pt idx="15">
                    <c:v>Jul</c:v>
                  </c:pt>
                  <c:pt idx="16">
                    <c:v>Aug</c:v>
                  </c:pt>
                  <c:pt idx="17">
                    <c:v>Sep</c:v>
                  </c:pt>
                  <c:pt idx="18">
                    <c:v>Oct</c:v>
                  </c:pt>
                  <c:pt idx="19">
                    <c:v>Nov</c:v>
                  </c:pt>
                  <c:pt idx="20">
                    <c:v>Dec</c:v>
                  </c:pt>
                </c:lvl>
                <c:lvl>
                  <c:pt idx="0">
                    <c:v>2023</c:v>
                  </c:pt>
                  <c:pt idx="9">
                    <c:v>2024</c:v>
                  </c:pt>
                </c:lvl>
              </c:multiLvlStrCache>
            </c:multiLvlStrRef>
          </c:cat>
          <c:val>
            <c:numRef>
              <c:f>'Lịch khấu hao'!$D$23:$D$67</c:f>
              <c:numCache>
                <c:formatCode>_(#,##0_);_(\(#,##0\);_(\-_);_(@_)</c:formatCode>
                <c:ptCount val="21"/>
                <c:pt idx="0">
                  <c:v>10000000</c:v>
                </c:pt>
                <c:pt idx="1">
                  <c:v>10000000</c:v>
                </c:pt>
                <c:pt idx="2">
                  <c:v>10000000</c:v>
                </c:pt>
                <c:pt idx="3">
                  <c:v>10000000</c:v>
                </c:pt>
                <c:pt idx="4">
                  <c:v>10000000</c:v>
                </c:pt>
                <c:pt idx="5">
                  <c:v>10000000</c:v>
                </c:pt>
                <c:pt idx="6">
                  <c:v>30833333.333333332</c:v>
                </c:pt>
                <c:pt idx="7">
                  <c:v>30833333.333333332</c:v>
                </c:pt>
                <c:pt idx="8">
                  <c:v>30833333.333333332</c:v>
                </c:pt>
                <c:pt idx="9">
                  <c:v>30833333.333333332</c:v>
                </c:pt>
                <c:pt idx="10">
                  <c:v>30833333.333333332</c:v>
                </c:pt>
                <c:pt idx="11">
                  <c:v>30833333.333333332</c:v>
                </c:pt>
                <c:pt idx="12">
                  <c:v>30833333.333333332</c:v>
                </c:pt>
                <c:pt idx="13">
                  <c:v>30833333.333333332</c:v>
                </c:pt>
                <c:pt idx="14">
                  <c:v>30833333.333333332</c:v>
                </c:pt>
                <c:pt idx="15">
                  <c:v>30833333.333333332</c:v>
                </c:pt>
                <c:pt idx="16">
                  <c:v>30833333.333333332</c:v>
                </c:pt>
                <c:pt idx="17">
                  <c:v>30833333.333333332</c:v>
                </c:pt>
                <c:pt idx="18">
                  <c:v>30833333.333333332</c:v>
                </c:pt>
                <c:pt idx="19">
                  <c:v>30833333.333333332</c:v>
                </c:pt>
                <c:pt idx="20">
                  <c:v>30833333.333333332</c:v>
                </c:pt>
              </c:numCache>
            </c:numRef>
          </c:val>
          <c:extLst>
            <c:ext xmlns:c16="http://schemas.microsoft.com/office/drawing/2014/chart" uri="{C3380CC4-5D6E-409C-BE32-E72D297353CC}">
              <c16:uniqueId val="{00000002-A58A-45ED-9244-AAF7163A8819}"/>
            </c:ext>
          </c:extLst>
        </c:ser>
        <c:ser>
          <c:idx val="2"/>
          <c:order val="2"/>
          <c:tx>
            <c:strRef>
              <c:f>'Lịch khấu hao'!$E$22</c:f>
              <c:strCache>
                <c:ptCount val="1"/>
                <c:pt idx="0">
                  <c:v>Bán hàng</c:v>
                </c:pt>
              </c:strCache>
            </c:strRef>
          </c:tx>
          <c:spPr>
            <a:solidFill>
              <a:schemeClr val="accent3"/>
            </a:solidFill>
            <a:ln>
              <a:noFill/>
            </a:ln>
            <a:effectLst/>
          </c:spPr>
          <c:invertIfNegative val="0"/>
          <c:cat>
            <c:multiLvlStrRef>
              <c:f>'Lịch khấu hao'!$B$23:$B$67</c:f>
              <c:multiLvlStrCache>
                <c:ptCount val="21"/>
                <c:lvl>
                  <c:pt idx="0">
                    <c:v>04-2023</c:v>
                  </c:pt>
                  <c:pt idx="1">
                    <c:v>05-2023</c:v>
                  </c:pt>
                  <c:pt idx="2">
                    <c:v>06-2023</c:v>
                  </c:pt>
                  <c:pt idx="3">
                    <c:v>07-2023</c:v>
                  </c:pt>
                  <c:pt idx="4">
                    <c:v>08-2023</c:v>
                  </c:pt>
                  <c:pt idx="5">
                    <c:v>09-2023</c:v>
                  </c:pt>
                  <c:pt idx="6">
                    <c:v>10-2023</c:v>
                  </c:pt>
                  <c:pt idx="7">
                    <c:v>11-2023</c:v>
                  </c:pt>
                  <c:pt idx="8">
                    <c:v>12-2023</c:v>
                  </c:pt>
                  <c:pt idx="9">
                    <c:v>01-2024</c:v>
                  </c:pt>
                  <c:pt idx="10">
                    <c:v>02-2024</c:v>
                  </c:pt>
                  <c:pt idx="11">
                    <c:v>03-2024</c:v>
                  </c:pt>
                  <c:pt idx="12">
                    <c:v>04-2024</c:v>
                  </c:pt>
                  <c:pt idx="13">
                    <c:v>05-2024</c:v>
                  </c:pt>
                  <c:pt idx="14">
                    <c:v>06-2024</c:v>
                  </c:pt>
                  <c:pt idx="15">
                    <c:v>07-2024</c:v>
                  </c:pt>
                  <c:pt idx="16">
                    <c:v>08-2024</c:v>
                  </c:pt>
                  <c:pt idx="17">
                    <c:v>09-2024</c:v>
                  </c:pt>
                  <c:pt idx="18">
                    <c:v>10-2024</c:v>
                  </c:pt>
                  <c:pt idx="19">
                    <c:v>11-2024</c:v>
                  </c:pt>
                  <c:pt idx="20">
                    <c:v>12-2024</c:v>
                  </c:pt>
                </c:lvl>
                <c:lvl>
                  <c:pt idx="0">
                    <c:v>Apr</c:v>
                  </c:pt>
                  <c:pt idx="1">
                    <c:v>May</c:v>
                  </c:pt>
                  <c:pt idx="2">
                    <c:v>Jun</c:v>
                  </c:pt>
                  <c:pt idx="3">
                    <c:v>Jul</c:v>
                  </c:pt>
                  <c:pt idx="4">
                    <c:v>Aug</c:v>
                  </c:pt>
                  <c:pt idx="5">
                    <c:v>Sep</c:v>
                  </c:pt>
                  <c:pt idx="6">
                    <c:v>Oct</c:v>
                  </c:pt>
                  <c:pt idx="7">
                    <c:v>Nov</c:v>
                  </c:pt>
                  <c:pt idx="8">
                    <c:v>Dec</c:v>
                  </c:pt>
                  <c:pt idx="9">
                    <c:v>Jan</c:v>
                  </c:pt>
                  <c:pt idx="10">
                    <c:v>Feb</c:v>
                  </c:pt>
                  <c:pt idx="11">
                    <c:v>Mar</c:v>
                  </c:pt>
                  <c:pt idx="12">
                    <c:v>Apr</c:v>
                  </c:pt>
                  <c:pt idx="13">
                    <c:v>May</c:v>
                  </c:pt>
                  <c:pt idx="14">
                    <c:v>Jun</c:v>
                  </c:pt>
                  <c:pt idx="15">
                    <c:v>Jul</c:v>
                  </c:pt>
                  <c:pt idx="16">
                    <c:v>Aug</c:v>
                  </c:pt>
                  <c:pt idx="17">
                    <c:v>Sep</c:v>
                  </c:pt>
                  <c:pt idx="18">
                    <c:v>Oct</c:v>
                  </c:pt>
                  <c:pt idx="19">
                    <c:v>Nov</c:v>
                  </c:pt>
                  <c:pt idx="20">
                    <c:v>Dec</c:v>
                  </c:pt>
                </c:lvl>
                <c:lvl>
                  <c:pt idx="0">
                    <c:v>2023</c:v>
                  </c:pt>
                  <c:pt idx="9">
                    <c:v>2024</c:v>
                  </c:pt>
                </c:lvl>
              </c:multiLvlStrCache>
            </c:multiLvlStrRef>
          </c:cat>
          <c:val>
            <c:numRef>
              <c:f>'Lịch khấu hao'!$E$23:$E$67</c:f>
              <c:numCache>
                <c:formatCode>_(#,##0_);_(\(#,##0\);_(\-_);_(@_)</c:formatCode>
                <c:ptCount val="21"/>
                <c:pt idx="0">
                  <c:v>0</c:v>
                </c:pt>
                <c:pt idx="1">
                  <c:v>0</c:v>
                </c:pt>
                <c:pt idx="2">
                  <c:v>0</c:v>
                </c:pt>
                <c:pt idx="3">
                  <c:v>0</c:v>
                </c:pt>
                <c:pt idx="4">
                  <c:v>0</c:v>
                </c:pt>
                <c:pt idx="5">
                  <c:v>0</c:v>
                </c:pt>
                <c:pt idx="6">
                  <c:v>2916666.6666666665</c:v>
                </c:pt>
                <c:pt idx="7">
                  <c:v>11250000</c:v>
                </c:pt>
                <c:pt idx="8">
                  <c:v>11250000</c:v>
                </c:pt>
                <c:pt idx="9">
                  <c:v>11250000</c:v>
                </c:pt>
                <c:pt idx="10">
                  <c:v>11250000</c:v>
                </c:pt>
                <c:pt idx="11">
                  <c:v>11250000</c:v>
                </c:pt>
                <c:pt idx="12">
                  <c:v>11250000</c:v>
                </c:pt>
                <c:pt idx="13">
                  <c:v>11250000</c:v>
                </c:pt>
                <c:pt idx="14">
                  <c:v>11250000</c:v>
                </c:pt>
                <c:pt idx="15">
                  <c:v>11250000</c:v>
                </c:pt>
                <c:pt idx="16">
                  <c:v>11250000</c:v>
                </c:pt>
                <c:pt idx="17">
                  <c:v>11250000</c:v>
                </c:pt>
                <c:pt idx="18">
                  <c:v>11250000</c:v>
                </c:pt>
                <c:pt idx="19">
                  <c:v>11250000</c:v>
                </c:pt>
                <c:pt idx="20">
                  <c:v>11250000</c:v>
                </c:pt>
              </c:numCache>
            </c:numRef>
          </c:val>
          <c:extLst>
            <c:ext xmlns:c16="http://schemas.microsoft.com/office/drawing/2014/chart" uri="{C3380CC4-5D6E-409C-BE32-E72D297353CC}">
              <c16:uniqueId val="{00000003-A58A-45ED-9244-AAF7163A8819}"/>
            </c:ext>
          </c:extLst>
        </c:ser>
        <c:ser>
          <c:idx val="3"/>
          <c:order val="3"/>
          <c:tx>
            <c:strRef>
              <c:f>'Lịch khấu hao'!$F$22</c:f>
              <c:strCache>
                <c:ptCount val="1"/>
                <c:pt idx="0">
                  <c:v>Quản lý</c:v>
                </c:pt>
              </c:strCache>
            </c:strRef>
          </c:tx>
          <c:spPr>
            <a:solidFill>
              <a:schemeClr val="accent4"/>
            </a:solidFill>
            <a:ln>
              <a:noFill/>
            </a:ln>
            <a:effectLst/>
          </c:spPr>
          <c:invertIfNegative val="0"/>
          <c:cat>
            <c:multiLvlStrRef>
              <c:f>'Lịch khấu hao'!$B$23:$B$67</c:f>
              <c:multiLvlStrCache>
                <c:ptCount val="21"/>
                <c:lvl>
                  <c:pt idx="0">
                    <c:v>04-2023</c:v>
                  </c:pt>
                  <c:pt idx="1">
                    <c:v>05-2023</c:v>
                  </c:pt>
                  <c:pt idx="2">
                    <c:v>06-2023</c:v>
                  </c:pt>
                  <c:pt idx="3">
                    <c:v>07-2023</c:v>
                  </c:pt>
                  <c:pt idx="4">
                    <c:v>08-2023</c:v>
                  </c:pt>
                  <c:pt idx="5">
                    <c:v>09-2023</c:v>
                  </c:pt>
                  <c:pt idx="6">
                    <c:v>10-2023</c:v>
                  </c:pt>
                  <c:pt idx="7">
                    <c:v>11-2023</c:v>
                  </c:pt>
                  <c:pt idx="8">
                    <c:v>12-2023</c:v>
                  </c:pt>
                  <c:pt idx="9">
                    <c:v>01-2024</c:v>
                  </c:pt>
                  <c:pt idx="10">
                    <c:v>02-2024</c:v>
                  </c:pt>
                  <c:pt idx="11">
                    <c:v>03-2024</c:v>
                  </c:pt>
                  <c:pt idx="12">
                    <c:v>04-2024</c:v>
                  </c:pt>
                  <c:pt idx="13">
                    <c:v>05-2024</c:v>
                  </c:pt>
                  <c:pt idx="14">
                    <c:v>06-2024</c:v>
                  </c:pt>
                  <c:pt idx="15">
                    <c:v>07-2024</c:v>
                  </c:pt>
                  <c:pt idx="16">
                    <c:v>08-2024</c:v>
                  </c:pt>
                  <c:pt idx="17">
                    <c:v>09-2024</c:v>
                  </c:pt>
                  <c:pt idx="18">
                    <c:v>10-2024</c:v>
                  </c:pt>
                  <c:pt idx="19">
                    <c:v>11-2024</c:v>
                  </c:pt>
                  <c:pt idx="20">
                    <c:v>12-2024</c:v>
                  </c:pt>
                </c:lvl>
                <c:lvl>
                  <c:pt idx="0">
                    <c:v>Apr</c:v>
                  </c:pt>
                  <c:pt idx="1">
                    <c:v>May</c:v>
                  </c:pt>
                  <c:pt idx="2">
                    <c:v>Jun</c:v>
                  </c:pt>
                  <c:pt idx="3">
                    <c:v>Jul</c:v>
                  </c:pt>
                  <c:pt idx="4">
                    <c:v>Aug</c:v>
                  </c:pt>
                  <c:pt idx="5">
                    <c:v>Sep</c:v>
                  </c:pt>
                  <c:pt idx="6">
                    <c:v>Oct</c:v>
                  </c:pt>
                  <c:pt idx="7">
                    <c:v>Nov</c:v>
                  </c:pt>
                  <c:pt idx="8">
                    <c:v>Dec</c:v>
                  </c:pt>
                  <c:pt idx="9">
                    <c:v>Jan</c:v>
                  </c:pt>
                  <c:pt idx="10">
                    <c:v>Feb</c:v>
                  </c:pt>
                  <c:pt idx="11">
                    <c:v>Mar</c:v>
                  </c:pt>
                  <c:pt idx="12">
                    <c:v>Apr</c:v>
                  </c:pt>
                  <c:pt idx="13">
                    <c:v>May</c:v>
                  </c:pt>
                  <c:pt idx="14">
                    <c:v>Jun</c:v>
                  </c:pt>
                  <c:pt idx="15">
                    <c:v>Jul</c:v>
                  </c:pt>
                  <c:pt idx="16">
                    <c:v>Aug</c:v>
                  </c:pt>
                  <c:pt idx="17">
                    <c:v>Sep</c:v>
                  </c:pt>
                  <c:pt idx="18">
                    <c:v>Oct</c:v>
                  </c:pt>
                  <c:pt idx="19">
                    <c:v>Nov</c:v>
                  </c:pt>
                  <c:pt idx="20">
                    <c:v>Dec</c:v>
                  </c:pt>
                </c:lvl>
                <c:lvl>
                  <c:pt idx="0">
                    <c:v>2023</c:v>
                  </c:pt>
                  <c:pt idx="9">
                    <c:v>2024</c:v>
                  </c:pt>
                </c:lvl>
              </c:multiLvlStrCache>
            </c:multiLvlStrRef>
          </c:cat>
          <c:val>
            <c:numRef>
              <c:f>'Lịch khấu hao'!$F$23:$F$67</c:f>
              <c:numCache>
                <c:formatCode>_(#,##0_);_(\(#,##0\);_(\-_);_(@_)</c:formatCode>
                <c:ptCount val="21"/>
                <c:pt idx="0">
                  <c:v>0</c:v>
                </c:pt>
                <c:pt idx="1">
                  <c:v>0</c:v>
                </c:pt>
                <c:pt idx="2">
                  <c:v>0</c:v>
                </c:pt>
                <c:pt idx="3">
                  <c:v>0</c:v>
                </c:pt>
                <c:pt idx="4">
                  <c:v>0</c:v>
                </c:pt>
                <c:pt idx="5">
                  <c:v>0</c:v>
                </c:pt>
                <c:pt idx="6">
                  <c:v>0</c:v>
                </c:pt>
                <c:pt idx="7">
                  <c:v>0</c:v>
                </c:pt>
                <c:pt idx="8">
                  <c:v>0</c:v>
                </c:pt>
                <c:pt idx="9">
                  <c:v>0</c:v>
                </c:pt>
                <c:pt idx="10">
                  <c:v>0</c:v>
                </c:pt>
                <c:pt idx="11">
                  <c:v>694444.4444444445</c:v>
                </c:pt>
                <c:pt idx="12">
                  <c:v>694444.4444444445</c:v>
                </c:pt>
                <c:pt idx="13">
                  <c:v>9027777.777777778</c:v>
                </c:pt>
                <c:pt idx="14">
                  <c:v>9027777.777777778</c:v>
                </c:pt>
                <c:pt idx="15">
                  <c:v>9027777.777777778</c:v>
                </c:pt>
                <c:pt idx="16">
                  <c:v>9027777.777777778</c:v>
                </c:pt>
                <c:pt idx="17">
                  <c:v>9027777.777777778</c:v>
                </c:pt>
                <c:pt idx="18">
                  <c:v>9027777.777777778</c:v>
                </c:pt>
                <c:pt idx="19">
                  <c:v>9027777.777777778</c:v>
                </c:pt>
                <c:pt idx="20">
                  <c:v>9027777.777777778</c:v>
                </c:pt>
              </c:numCache>
            </c:numRef>
          </c:val>
          <c:extLst>
            <c:ext xmlns:c16="http://schemas.microsoft.com/office/drawing/2014/chart" uri="{C3380CC4-5D6E-409C-BE32-E72D297353CC}">
              <c16:uniqueId val="{00000004-A58A-45ED-9244-AAF7163A8819}"/>
            </c:ext>
          </c:extLst>
        </c:ser>
        <c:dLbls>
          <c:showLegendKey val="0"/>
          <c:showVal val="0"/>
          <c:showCatName val="0"/>
          <c:showSerName val="0"/>
          <c:showPercent val="0"/>
          <c:showBubbleSize val="0"/>
        </c:dLbls>
        <c:gapWidth val="100"/>
        <c:overlap val="100"/>
        <c:axId val="414349263"/>
        <c:axId val="414347343"/>
      </c:barChart>
      <c:barChart>
        <c:barDir val="col"/>
        <c:grouping val="stacked"/>
        <c:varyColors val="0"/>
        <c:ser>
          <c:idx val="0"/>
          <c:order val="0"/>
          <c:tx>
            <c:strRef>
              <c:f>'Lịch khấu hao'!$C$22</c:f>
              <c:strCache>
                <c:ptCount val="1"/>
                <c:pt idx="0">
                  <c:v>Tổng</c:v>
                </c:pt>
              </c:strCache>
            </c:strRef>
          </c:tx>
          <c:spPr>
            <a:solidFill>
              <a:schemeClr val="accent1"/>
            </a:solidFill>
            <a:ln>
              <a:noFill/>
            </a:ln>
            <a:effectLst/>
          </c:spPr>
          <c:invertIfNegative val="0"/>
          <c:dLbls>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'Lịch khấu hao'!$B$23:$B$67</c:f>
              <c:multiLvlStrCache>
                <c:ptCount val="21"/>
                <c:lvl>
                  <c:pt idx="0">
                    <c:v>04-2023</c:v>
                  </c:pt>
                  <c:pt idx="1">
                    <c:v>05-2023</c:v>
                  </c:pt>
                  <c:pt idx="2">
                    <c:v>06-2023</c:v>
                  </c:pt>
                  <c:pt idx="3">
                    <c:v>07-2023</c:v>
                  </c:pt>
                  <c:pt idx="4">
                    <c:v>08-2023</c:v>
                  </c:pt>
                  <c:pt idx="5">
                    <c:v>09-2023</c:v>
                  </c:pt>
                  <c:pt idx="6">
                    <c:v>10-2023</c:v>
                  </c:pt>
                  <c:pt idx="7">
                    <c:v>11-2023</c:v>
                  </c:pt>
                  <c:pt idx="8">
                    <c:v>12-2023</c:v>
                  </c:pt>
                  <c:pt idx="9">
                    <c:v>01-2024</c:v>
                  </c:pt>
                  <c:pt idx="10">
                    <c:v>02-2024</c:v>
                  </c:pt>
                  <c:pt idx="11">
                    <c:v>03-2024</c:v>
                  </c:pt>
                  <c:pt idx="12">
                    <c:v>04-2024</c:v>
                  </c:pt>
                  <c:pt idx="13">
                    <c:v>05-2024</c:v>
                  </c:pt>
                  <c:pt idx="14">
                    <c:v>06-2024</c:v>
                  </c:pt>
                  <c:pt idx="15">
                    <c:v>07-2024</c:v>
                  </c:pt>
                  <c:pt idx="16">
                    <c:v>08-2024</c:v>
                  </c:pt>
                  <c:pt idx="17">
                    <c:v>09-2024</c:v>
                  </c:pt>
                  <c:pt idx="18">
                    <c:v>10-2024</c:v>
                  </c:pt>
                  <c:pt idx="19">
                    <c:v>11-2024</c:v>
                  </c:pt>
                  <c:pt idx="20">
                    <c:v>12-2024</c:v>
                  </c:pt>
                </c:lvl>
                <c:lvl>
                  <c:pt idx="0">
                    <c:v>Apr</c:v>
                  </c:pt>
                  <c:pt idx="1">
                    <c:v>May</c:v>
                  </c:pt>
                  <c:pt idx="2">
                    <c:v>Jun</c:v>
                  </c:pt>
                  <c:pt idx="3">
                    <c:v>Jul</c:v>
                  </c:pt>
                  <c:pt idx="4">
                    <c:v>Aug</c:v>
                  </c:pt>
                  <c:pt idx="5">
                    <c:v>Sep</c:v>
                  </c:pt>
                  <c:pt idx="6">
                    <c:v>Oct</c:v>
                  </c:pt>
                  <c:pt idx="7">
                    <c:v>Nov</c:v>
                  </c:pt>
                  <c:pt idx="8">
                    <c:v>Dec</c:v>
                  </c:pt>
                  <c:pt idx="9">
                    <c:v>Jan</c:v>
                  </c:pt>
                  <c:pt idx="10">
                    <c:v>Feb</c:v>
                  </c:pt>
                  <c:pt idx="11">
                    <c:v>Mar</c:v>
                  </c:pt>
                  <c:pt idx="12">
                    <c:v>Apr</c:v>
                  </c:pt>
                  <c:pt idx="13">
                    <c:v>May</c:v>
                  </c:pt>
                  <c:pt idx="14">
                    <c:v>Jun</c:v>
                  </c:pt>
                  <c:pt idx="15">
                    <c:v>Jul</c:v>
                  </c:pt>
                  <c:pt idx="16">
                    <c:v>Aug</c:v>
                  </c:pt>
                  <c:pt idx="17">
                    <c:v>Sep</c:v>
                  </c:pt>
                  <c:pt idx="18">
                    <c:v>Oct</c:v>
                  </c:pt>
                  <c:pt idx="19">
                    <c:v>Nov</c:v>
                  </c:pt>
                  <c:pt idx="20">
                    <c:v>Dec</c:v>
                  </c:pt>
                </c:lvl>
                <c:lvl>
                  <c:pt idx="0">
                    <c:v>2023</c:v>
                  </c:pt>
                  <c:pt idx="9">
                    <c:v>2024</c:v>
                  </c:pt>
                </c:lvl>
              </c:multiLvlStrCache>
            </c:multiLvlStrRef>
          </c:cat>
          <c:val>
            <c:numRef>
              <c:f>'Lịch khấu hao'!$C$23:$C$67</c:f>
              <c:numCache>
                <c:formatCode>_(#,##0_);_(\(#,##0\);_(\-_);_(@_)</c:formatCode>
                <c:ptCount val="21"/>
                <c:pt idx="0">
                  <c:v>10000000</c:v>
                </c:pt>
                <c:pt idx="1">
                  <c:v>10000000</c:v>
                </c:pt>
                <c:pt idx="2">
                  <c:v>10000000</c:v>
                </c:pt>
                <c:pt idx="3">
                  <c:v>10000000</c:v>
                </c:pt>
                <c:pt idx="4">
                  <c:v>10000000</c:v>
                </c:pt>
                <c:pt idx="5">
                  <c:v>10000000</c:v>
                </c:pt>
                <c:pt idx="6">
                  <c:v>33750000</c:v>
                </c:pt>
                <c:pt idx="7">
                  <c:v>42083333.333333328</c:v>
                </c:pt>
                <c:pt idx="8">
                  <c:v>42083333.333333328</c:v>
                </c:pt>
                <c:pt idx="9">
                  <c:v>42083333.333333328</c:v>
                </c:pt>
                <c:pt idx="10">
                  <c:v>42083333.333333328</c:v>
                </c:pt>
                <c:pt idx="11">
                  <c:v>42777777.777777776</c:v>
                </c:pt>
                <c:pt idx="12">
                  <c:v>42777777.777777776</c:v>
                </c:pt>
                <c:pt idx="13">
                  <c:v>51111111.111111104</c:v>
                </c:pt>
                <c:pt idx="14">
                  <c:v>51111111.111111104</c:v>
                </c:pt>
                <c:pt idx="15">
                  <c:v>51111111.111111104</c:v>
                </c:pt>
                <c:pt idx="16">
                  <c:v>51111111.111111104</c:v>
                </c:pt>
                <c:pt idx="17">
                  <c:v>51111111.111111104</c:v>
                </c:pt>
                <c:pt idx="18">
                  <c:v>51111111.111111104</c:v>
                </c:pt>
                <c:pt idx="19">
                  <c:v>51111111.111111104</c:v>
                </c:pt>
                <c:pt idx="20">
                  <c:v>51111111.111111104</c:v>
                </c:pt>
              </c:numCache>
            </c:numRef>
          </c:val>
          <c:extLst>
            <c:ext xmlns:c16="http://schemas.microsoft.com/office/drawing/2014/chart" uri="{C3380CC4-5D6E-409C-BE32-E72D297353CC}">
              <c16:uniqueId val="{00000000-A58A-45ED-9244-AAF7163A8819}"/>
            </c:ext>
          </c:extLst>
        </c:ser>
        <c:dLbls>
          <c:showLegendKey val="0"/>
          <c:showVal val="0"/>
          <c:showCatName val="0"/>
          <c:showSerName val="0"/>
          <c:showPercent val="0"/>
          <c:showBubbleSize val="0"/>
        </c:dLbls>
        <c:gapWidth val="500"/>
        <c:overlap val="-100"/>
        <c:axId val="185294943"/>
        <c:axId val="185298303"/>
      </c:barChart>
      <c:catAx>
        <c:axId val="41434926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4347343"/>
        <c:crosses val="autoZero"/>
        <c:auto val="1"/>
        <c:lblAlgn val="ctr"/>
        <c:lblOffset val="100"/>
        <c:noMultiLvlLbl val="0"/>
      </c:catAx>
      <c:valAx>
        <c:axId val="414347343"/>
        <c:scaling>
          <c:orientation val="minMax"/>
        </c:scaling>
        <c:delete val="1"/>
        <c:axPos val="l"/>
        <c:numFmt formatCode="_(#,##0_);_(\(#,##0\);_(\-_);_(@_)" sourceLinked="1"/>
        <c:majorTickMark val="none"/>
        <c:minorTickMark val="none"/>
        <c:tickLblPos val="nextTo"/>
        <c:crossAx val="414349263"/>
        <c:crosses val="autoZero"/>
        <c:crossBetween val="between"/>
      </c:valAx>
      <c:valAx>
        <c:axId val="185298303"/>
        <c:scaling>
          <c:orientation val="minMax"/>
        </c:scaling>
        <c:delete val="1"/>
        <c:axPos val="r"/>
        <c:numFmt formatCode="_(#,##0_);_(\(#,##0\);_(\-_);_(@_)" sourceLinked="1"/>
        <c:majorTickMark val="out"/>
        <c:minorTickMark val="none"/>
        <c:tickLblPos val="nextTo"/>
        <c:crossAx val="185294943"/>
        <c:crosses val="max"/>
        <c:crossBetween val="between"/>
      </c:valAx>
      <c:catAx>
        <c:axId val="185294943"/>
        <c:scaling>
          <c:orientation val="minMax"/>
        </c:scaling>
        <c:delete val="1"/>
        <c:axPos val="b"/>
        <c:numFmt formatCode="General" sourceLinked="1"/>
        <c:majorTickMark val="out"/>
        <c:minorTickMark val="none"/>
        <c:tickLblPos val="nextTo"/>
        <c:crossAx val="185298303"/>
        <c:crosses val="autoZero"/>
        <c:auto val="1"/>
        <c:lblAlgn val="ctr"/>
        <c:lblOffset val="100"/>
        <c:noMultiLvlLbl val="0"/>
      </c:catAx>
      <c:spPr>
        <a:solidFill>
          <a:schemeClr val="accent3">
            <a:lumMod val="20000"/>
            <a:lumOff val="80000"/>
          </a:schemeClr>
        </a:solid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[02. EASY-CP01 - Lịch khấu hao.xlsm]Lịch khấu hao!PivotTable3</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pivotFmt>
    </c:pivotFmts>
    <c:plotArea>
      <c:layout/>
      <c:barChart>
        <c:barDir val="col"/>
        <c:grouping val="clustered"/>
        <c:varyColors val="0"/>
        <c:ser>
          <c:idx val="0"/>
          <c:order val="0"/>
          <c:tx>
            <c:strRef>
              <c:f>'Lịch khấu hao'!$I$22</c:f>
              <c:strCache>
                <c:ptCount val="1"/>
                <c:pt idx="0">
                  <c:v>Khấu hao lũy kế</c:v>
                </c:pt>
              </c:strCache>
            </c:strRef>
          </c:tx>
          <c:spPr>
            <a:solidFill>
              <a:schemeClr val="accent1"/>
            </a:solidFill>
            <a:ln>
              <a:noFill/>
            </a:ln>
            <a:effectLst/>
          </c:spPr>
          <c:invertIfNegative val="0"/>
          <c:dLbls>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'Lịch khấu hao'!$H$23:$H$35</c:f>
              <c:multiLvlStrCache>
                <c:ptCount val="6"/>
                <c:lvl>
                  <c:pt idx="0">
                    <c:v>Nhà cửa - Xây dựng</c:v>
                  </c:pt>
                  <c:pt idx="1">
                    <c:v>Dây chuyền - Máy móc</c:v>
                  </c:pt>
                  <c:pt idx="2">
                    <c:v>Phương tiện vận tải - truyền dẫn</c:v>
                  </c:pt>
                  <c:pt idx="3">
                    <c:v>Thiết bị - Dụng cụ quản lý</c:v>
                  </c:pt>
                  <c:pt idx="4">
                    <c:v>Phần mềm - Tài sản số</c:v>
                  </c:pt>
                  <c:pt idx="5">
                    <c:v>Thương hiệu - Nhãn hiệu</c:v>
                  </c:pt>
                </c:lvl>
                <c:lvl>
                  <c:pt idx="0">
                    <c:v>TS1</c:v>
                  </c:pt>
                  <c:pt idx="1">
                    <c:v>TS2</c:v>
                  </c:pt>
                  <c:pt idx="2">
                    <c:v>TS3</c:v>
                  </c:pt>
                  <c:pt idx="3">
                    <c:v>TS4</c:v>
                  </c:pt>
                  <c:pt idx="4">
                    <c:v>TS5</c:v>
                  </c:pt>
                  <c:pt idx="5">
                    <c:v>TS6</c:v>
                  </c:pt>
                </c:lvl>
              </c:multiLvlStrCache>
            </c:multiLvlStrRef>
          </c:cat>
          <c:val>
            <c:numRef>
              <c:f>'Lịch khấu hao'!$I$23:$I$35</c:f>
              <c:numCache>
                <c:formatCode>General</c:formatCode>
                <c:ptCount val="6"/>
                <c:pt idx="0">
                  <c:v>265462012.32032856</c:v>
                </c:pt>
                <c:pt idx="1">
                  <c:v>431211498.97330594</c:v>
                </c:pt>
                <c:pt idx="2">
                  <c:v>159342915.81108829</c:v>
                </c:pt>
                <c:pt idx="3">
                  <c:v>110882956.8788501</c:v>
                </c:pt>
                <c:pt idx="4">
                  <c:v>10700433.493041296</c:v>
                </c:pt>
                <c:pt idx="5">
                  <c:v>60369609.856262833</c:v>
                </c:pt>
              </c:numCache>
            </c:numRef>
          </c:val>
          <c:extLst>
            <c:ext xmlns:c16="http://schemas.microsoft.com/office/drawing/2014/chart" uri="{C3380CC4-5D6E-409C-BE32-E72D297353CC}">
              <c16:uniqueId val="{00000002-DAE9-48DB-A8B4-1979158801EF}"/>
            </c:ext>
          </c:extLst>
        </c:ser>
        <c:dLbls>
          <c:showLegendKey val="0"/>
          <c:showVal val="0"/>
          <c:showCatName val="0"/>
          <c:showSerName val="0"/>
          <c:showPercent val="0"/>
          <c:showBubbleSize val="0"/>
        </c:dLbls>
        <c:gapWidth val="70"/>
        <c:overlap val="100"/>
        <c:axId val="185857199"/>
        <c:axId val="185857679"/>
      </c:barChart>
      <c:lineChart>
        <c:grouping val="standard"/>
        <c:varyColors val="0"/>
        <c:ser>
          <c:idx val="1"/>
          <c:order val="1"/>
          <c:tx>
            <c:strRef>
              <c:f>'Lịch khấu hao'!$J$22</c:f>
              <c:strCache>
                <c:ptCount val="1"/>
                <c:pt idx="0">
                  <c:v>Tỷ lệ</c:v>
                </c:pt>
              </c:strCache>
            </c:strRef>
          </c:tx>
          <c:spPr>
            <a:ln w="28575" cap="rnd">
              <a:solidFill>
                <a:schemeClr val="accent2"/>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'Lịch khấu hao'!$H$23:$H$35</c:f>
              <c:multiLvlStrCache>
                <c:ptCount val="6"/>
                <c:lvl>
                  <c:pt idx="0">
                    <c:v>Nhà cửa - Xây dựng</c:v>
                  </c:pt>
                  <c:pt idx="1">
                    <c:v>Dây chuyền - Máy móc</c:v>
                  </c:pt>
                  <c:pt idx="2">
                    <c:v>Phương tiện vận tải - truyền dẫn</c:v>
                  </c:pt>
                  <c:pt idx="3">
                    <c:v>Thiết bị - Dụng cụ quản lý</c:v>
                  </c:pt>
                  <c:pt idx="4">
                    <c:v>Phần mềm - Tài sản số</c:v>
                  </c:pt>
                  <c:pt idx="5">
                    <c:v>Thương hiệu - Nhãn hiệu</c:v>
                  </c:pt>
                </c:lvl>
                <c:lvl>
                  <c:pt idx="0">
                    <c:v>TS1</c:v>
                  </c:pt>
                  <c:pt idx="1">
                    <c:v>TS2</c:v>
                  </c:pt>
                  <c:pt idx="2">
                    <c:v>TS3</c:v>
                  </c:pt>
                  <c:pt idx="3">
                    <c:v>TS4</c:v>
                  </c:pt>
                  <c:pt idx="4">
                    <c:v>TS5</c:v>
                  </c:pt>
                  <c:pt idx="5">
                    <c:v>TS6</c:v>
                  </c:pt>
                </c:lvl>
              </c:multiLvlStrCache>
            </c:multiLvlStrRef>
          </c:cat>
          <c:val>
            <c:numRef>
              <c:f>'Lịch khấu hao'!$J$23:$J$35</c:f>
              <c:numCache>
                <c:formatCode>0%</c:formatCode>
                <c:ptCount val="6"/>
                <c:pt idx="0">
                  <c:v>8.8487337440109518E-2</c:v>
                </c:pt>
                <c:pt idx="1">
                  <c:v>8.6242299794661192E-2</c:v>
                </c:pt>
                <c:pt idx="2">
                  <c:v>0.15934291581108828</c:v>
                </c:pt>
                <c:pt idx="3">
                  <c:v>0.22176591375770022</c:v>
                </c:pt>
                <c:pt idx="4">
                  <c:v>0.42801733972165185</c:v>
                </c:pt>
                <c:pt idx="5">
                  <c:v>0.17248459958932238</c:v>
                </c:pt>
              </c:numCache>
            </c:numRef>
          </c:val>
          <c:smooth val="0"/>
          <c:extLst>
            <c:ext xmlns:c16="http://schemas.microsoft.com/office/drawing/2014/chart" uri="{C3380CC4-5D6E-409C-BE32-E72D297353CC}">
              <c16:uniqueId val="{00000007-DAE9-48DB-A8B4-1979158801EF}"/>
            </c:ext>
          </c:extLst>
        </c:ser>
        <c:dLbls>
          <c:showLegendKey val="0"/>
          <c:showVal val="0"/>
          <c:showCatName val="0"/>
          <c:showSerName val="0"/>
          <c:showPercent val="0"/>
          <c:showBubbleSize val="0"/>
        </c:dLbls>
        <c:marker val="1"/>
        <c:smooth val="0"/>
        <c:axId val="493466655"/>
        <c:axId val="493465695"/>
      </c:lineChart>
      <c:catAx>
        <c:axId val="1858571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857679"/>
        <c:crosses val="autoZero"/>
        <c:auto val="1"/>
        <c:lblAlgn val="ctr"/>
        <c:lblOffset val="100"/>
        <c:noMultiLvlLbl val="0"/>
      </c:catAx>
      <c:valAx>
        <c:axId val="185857679"/>
        <c:scaling>
          <c:orientation val="minMax"/>
        </c:scaling>
        <c:delete val="0"/>
        <c:axPos val="l"/>
        <c:numFmt formatCode="[&lt;-1000]\-#,##0.0,,&quot;tr&quot;;[&lt;1000]#,##0;#,##0.0,,&quot;tr&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857199"/>
        <c:crosses val="autoZero"/>
        <c:crossBetween val="between"/>
      </c:valAx>
      <c:valAx>
        <c:axId val="493465695"/>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3466655"/>
        <c:crosses val="max"/>
        <c:crossBetween val="between"/>
      </c:valAx>
      <c:catAx>
        <c:axId val="493466655"/>
        <c:scaling>
          <c:orientation val="minMax"/>
        </c:scaling>
        <c:delete val="1"/>
        <c:axPos val="b"/>
        <c:numFmt formatCode="General" sourceLinked="1"/>
        <c:majorTickMark val="out"/>
        <c:minorTickMark val="none"/>
        <c:tickLblPos val="nextTo"/>
        <c:crossAx val="493465695"/>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Drop" dropStyle="combo" dx="22" fmlaLink="$K$1" fmlaRange="$L$1:$L$5" noThreeD="1" sel="1" val="0"/>
</file>

<file path=xl/ctrlProps/ctrlProp2.xml><?xml version="1.0" encoding="utf-8"?>
<formControlPr xmlns="http://schemas.microsoft.com/office/spreadsheetml/2009/9/main" objectType="Radio" firstButton="1" fmlaLink="EULA!$A$1"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GBox" noThreeD="1"/>
</file>

<file path=xl/ctrlProps/ctrlProp7.xml><?xml version="1.0" encoding="utf-8"?>
<formControlPr xmlns="http://schemas.microsoft.com/office/spreadsheetml/2009/9/main" objectType="GBox" noThreeD="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12</xdr:col>
      <xdr:colOff>66675</xdr:colOff>
      <xdr:row>0</xdr:row>
      <xdr:rowOff>76199</xdr:rowOff>
    </xdr:from>
    <xdr:to>
      <xdr:col>23</xdr:col>
      <xdr:colOff>82875</xdr:colOff>
      <xdr:row>48</xdr:row>
      <xdr:rowOff>128774</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4381500" y="76199"/>
          <a:ext cx="7560000" cy="10692000"/>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vi-VN" sz="1800" b="1">
              <a:solidFill>
                <a:sysClr val="windowText" lastClr="000000"/>
              </a:solidFill>
            </a:rPr>
            <a:t>THỎA THUẬN CẤP PHÉP NGƯỜI DÙNG CUỐI (EULA)</a:t>
          </a:r>
          <a:endParaRPr lang="vi-VN" sz="1800">
            <a:solidFill>
              <a:sysClr val="windowText" lastClr="000000"/>
            </a:solidFill>
          </a:endParaRPr>
        </a:p>
        <a:p>
          <a:pPr>
            <a:lnSpc>
              <a:spcPct val="150000"/>
            </a:lnSpc>
            <a:spcBef>
              <a:spcPts val="600"/>
            </a:spcBef>
          </a:pPr>
          <a:r>
            <a:rPr lang="vi-VN" b="1">
              <a:solidFill>
                <a:sysClr val="windowText" lastClr="000000"/>
              </a:solidFill>
            </a:rPr>
            <a:t>1. GIỚI THIỆU</a:t>
          </a:r>
          <a:br>
            <a:rPr lang="vi-VN">
              <a:solidFill>
                <a:sysClr val="windowText" lastClr="000000"/>
              </a:solidFill>
            </a:rPr>
          </a:br>
          <a:r>
            <a:rPr lang="vi-VN">
              <a:solidFill>
                <a:sysClr val="windowText" lastClr="000000"/>
              </a:solidFill>
            </a:rPr>
            <a:t>Đây là Thỏa thuận Cấp phép Người dùng Cuối ("Thỏa thuận"), được ký kết giữa </a:t>
          </a:r>
          <a:r>
            <a:rPr lang="en-US" b="1">
              <a:solidFill>
                <a:sysClr val="windowText" lastClr="000000"/>
              </a:solidFill>
            </a:rPr>
            <a:t>Bên</a:t>
          </a:r>
          <a:r>
            <a:rPr lang="en-US" b="1" baseline="0">
              <a:solidFill>
                <a:sysClr val="windowText" lastClr="000000"/>
              </a:solidFill>
            </a:rPr>
            <a:t> A </a:t>
          </a:r>
          <a:r>
            <a:rPr lang="vi-VN" b="1">
              <a:solidFill>
                <a:sysClr val="windowText" lastClr="000000"/>
              </a:solidFill>
            </a:rPr>
            <a:t>(Bên Cấp phép)</a:t>
          </a:r>
          <a:r>
            <a:rPr lang="vi-VN">
              <a:solidFill>
                <a:sysClr val="windowText" lastClr="000000"/>
              </a:solidFill>
            </a:rPr>
            <a:t> và </a:t>
          </a:r>
          <a:r>
            <a:rPr lang="en-US" b="1">
              <a:solidFill>
                <a:sysClr val="windowText" lastClr="000000"/>
              </a:solidFill>
            </a:rPr>
            <a:t>Bên</a:t>
          </a:r>
          <a:r>
            <a:rPr lang="en-US" b="1" baseline="0">
              <a:solidFill>
                <a:sysClr val="windowText" lastClr="000000"/>
              </a:solidFill>
            </a:rPr>
            <a:t> B (Người dùng)</a:t>
          </a:r>
          <a:r>
            <a:rPr lang="vi-VN">
              <a:solidFill>
                <a:sysClr val="windowText" lastClr="000000"/>
              </a:solidFill>
            </a:rPr>
            <a:t> về việc sử dụng </a:t>
          </a:r>
          <a:r>
            <a:rPr lang="vi-VN" b="1">
              <a:solidFill>
                <a:sysClr val="windowText" lastClr="000000"/>
              </a:solidFill>
            </a:rPr>
            <a:t>phần mềm quản lý doanh nghiệp dưới dạng file Excel</a:t>
          </a:r>
          <a:r>
            <a:rPr lang="en-US" b="1">
              <a:solidFill>
                <a:sysClr val="windowText" lastClr="000000"/>
              </a:solidFill>
            </a:rPr>
            <a:t> Easy Quản</a:t>
          </a:r>
          <a:r>
            <a:rPr lang="en-US" b="1" baseline="0">
              <a:solidFill>
                <a:sysClr val="windowText" lastClr="000000"/>
              </a:solidFill>
            </a:rPr>
            <a:t> trị</a:t>
          </a:r>
          <a:r>
            <a:rPr lang="vi-VN" b="1">
              <a:solidFill>
                <a:sysClr val="windowText" lastClr="000000"/>
              </a:solidFill>
            </a:rPr>
            <a:t> (</a:t>
          </a:r>
          <a:r>
            <a:rPr lang="en-US" b="1">
              <a:solidFill>
                <a:sysClr val="windowText" lastClr="000000"/>
              </a:solidFill>
            </a:rPr>
            <a:t>Phần</a:t>
          </a:r>
          <a:r>
            <a:rPr lang="en-US" b="1" baseline="0">
              <a:solidFill>
                <a:sysClr val="windowText" lastClr="000000"/>
              </a:solidFill>
            </a:rPr>
            <a:t> mềm</a:t>
          </a:r>
          <a:r>
            <a:rPr lang="vi-VN" b="1">
              <a:solidFill>
                <a:sysClr val="windowText" lastClr="000000"/>
              </a:solidFill>
            </a:rPr>
            <a:t>)</a:t>
          </a:r>
          <a:r>
            <a:rPr lang="vi-VN">
              <a:solidFill>
                <a:sysClr val="windowText" lastClr="000000"/>
              </a:solidFill>
            </a:rPr>
            <a:t>. Bằng việc tải xuống, cài đặt hoặc sử dụng Phần mềm, bạn đồng ý bị ràng buộc bởi các điều khoản dưới đây.</a:t>
          </a:r>
        </a:p>
        <a:p>
          <a:pPr>
            <a:lnSpc>
              <a:spcPct val="150000"/>
            </a:lnSpc>
            <a:spcBef>
              <a:spcPts val="600"/>
            </a:spcBef>
          </a:pPr>
          <a:r>
            <a:rPr lang="vi-VN" b="1">
              <a:solidFill>
                <a:sysClr val="windowText" lastClr="000000"/>
              </a:solidFill>
            </a:rPr>
            <a:t>2. CẤP PHÉP SỬ DỤNG</a:t>
          </a:r>
          <a:br>
            <a:rPr lang="vi-VN">
              <a:solidFill>
                <a:sysClr val="windowText" lastClr="000000"/>
              </a:solidFill>
            </a:rPr>
          </a:br>
          <a:r>
            <a:rPr lang="vi-VN">
              <a:solidFill>
                <a:sysClr val="windowText" lastClr="000000"/>
              </a:solidFill>
            </a:rPr>
            <a:t>Bên Cấp phép cấp cho Người dùng một </a:t>
          </a:r>
          <a:r>
            <a:rPr lang="vi-VN" b="1">
              <a:solidFill>
                <a:sysClr val="windowText" lastClr="000000"/>
              </a:solidFill>
            </a:rPr>
            <a:t>quyền sử dụng có giới hạn, không độc quyền, không thể chuyển nhượng</a:t>
          </a:r>
          <a:r>
            <a:rPr lang="vi-VN">
              <a:solidFill>
                <a:sysClr val="windowText" lastClr="000000"/>
              </a:solidFill>
            </a:rPr>
            <a:t> đối với Phần mềm này, chỉ dùng cho mục đích cá nhân hoặc nội bộ doanh nghiệp, không vì mục đích thương mại</a:t>
          </a:r>
          <a:r>
            <a:rPr lang="en-US">
              <a:solidFill>
                <a:sysClr val="windowText" lastClr="000000"/>
              </a:solidFill>
            </a:rPr>
            <a:t>,</a:t>
          </a:r>
          <a:r>
            <a:rPr lang="en-US" baseline="0">
              <a:solidFill>
                <a:sysClr val="windowText" lastClr="000000"/>
              </a:solidFill>
            </a:rPr>
            <a:t> </a:t>
          </a:r>
          <a:r>
            <a:rPr lang="vi-VN">
              <a:solidFill>
                <a:sysClr val="windowText" lastClr="000000"/>
              </a:solidFill>
            </a:rPr>
            <a:t> tái phân phối</a:t>
          </a:r>
          <a:r>
            <a:rPr lang="en-US">
              <a:solidFill>
                <a:sysClr val="windowText" lastClr="000000"/>
              </a:solidFill>
            </a:rPr>
            <a:t> hoặc</a:t>
          </a:r>
          <a:r>
            <a:rPr lang="en-US" baseline="0">
              <a:solidFill>
                <a:sysClr val="windowText" lastClr="000000"/>
              </a:solidFill>
            </a:rPr>
            <a:t> chia sẻ cộng đồng</a:t>
          </a:r>
          <a:r>
            <a:rPr lang="vi-VN">
              <a:solidFill>
                <a:sysClr val="windowText" lastClr="000000"/>
              </a:solidFill>
            </a:rPr>
            <a:t>.</a:t>
          </a:r>
        </a:p>
        <a:p>
          <a:pPr>
            <a:lnSpc>
              <a:spcPct val="150000"/>
            </a:lnSpc>
            <a:spcBef>
              <a:spcPts val="600"/>
            </a:spcBef>
          </a:pPr>
          <a:r>
            <a:rPr lang="vi-VN" b="1">
              <a:solidFill>
                <a:sysClr val="windowText" lastClr="000000"/>
              </a:solidFill>
            </a:rPr>
            <a:t>3. HẠN CHẾ SỬ DỤNG</a:t>
          </a:r>
          <a:r>
            <a:rPr lang="vi-VN">
              <a:solidFill>
                <a:sysClr val="windowText" lastClr="000000"/>
              </a:solidFill>
            </a:rPr>
            <a:t> Người dùng </a:t>
          </a:r>
          <a:r>
            <a:rPr lang="vi-VN" b="1">
              <a:solidFill>
                <a:sysClr val="windowText" lastClr="000000"/>
              </a:solidFill>
            </a:rPr>
            <a:t>không được thực hiện</a:t>
          </a:r>
          <a:r>
            <a:rPr lang="vi-VN">
              <a:solidFill>
                <a:sysClr val="windowText" lastClr="000000"/>
              </a:solidFill>
            </a:rPr>
            <a:t> các hành vi sau:</a:t>
          </a:r>
        </a:p>
        <a:p>
          <a:pPr>
            <a:lnSpc>
              <a:spcPct val="150000"/>
            </a:lnSpc>
            <a:spcBef>
              <a:spcPts val="600"/>
            </a:spcBef>
          </a:pPr>
          <a:r>
            <a:rPr lang="vi-VN" b="1">
              <a:solidFill>
                <a:sysClr val="windowText" lastClr="000000"/>
              </a:solidFill>
            </a:rPr>
            <a:t>Sao chép, chỉnh sửa, tái phân phối, bán hoặc cấp phép lại</a:t>
          </a:r>
          <a:r>
            <a:rPr lang="vi-VN">
              <a:solidFill>
                <a:sysClr val="windowText" lastClr="000000"/>
              </a:solidFill>
            </a:rPr>
            <a:t> Phần mềm dưới bất kỳ hình thức nào.</a:t>
          </a:r>
        </a:p>
        <a:p>
          <a:pPr marL="0" marR="0" lvl="0" indent="0" defTabSz="914400" eaLnBrk="1" fontAlgn="auto" latinLnBrk="0" hangingPunct="1">
            <a:lnSpc>
              <a:spcPct val="150000"/>
            </a:lnSpc>
            <a:spcBef>
              <a:spcPts val="600"/>
            </a:spcBef>
            <a:spcAft>
              <a:spcPts val="0"/>
            </a:spcAft>
            <a:buClrTx/>
            <a:buSzTx/>
            <a:buFontTx/>
            <a:buNone/>
            <a:tabLst/>
            <a:defRPr/>
          </a:pPr>
          <a:r>
            <a:rPr lang="vi-VN" sz="1100" b="1">
              <a:solidFill>
                <a:sysClr val="windowText" lastClr="000000"/>
              </a:solidFill>
              <a:effectLst/>
              <a:latin typeface="+mn-lt"/>
              <a:ea typeface="+mn-ea"/>
              <a:cs typeface="+mn-cs"/>
            </a:rPr>
            <a:t>Chia sẻ hoặc cung cấp Phần mềm cho bên thứ ba</a:t>
          </a:r>
          <a:r>
            <a:rPr lang="vi-VN" sz="1100">
              <a:solidFill>
                <a:sysClr val="windowText" lastClr="000000"/>
              </a:solidFill>
              <a:effectLst/>
              <a:latin typeface="+mn-lt"/>
              <a:ea typeface="+mn-ea"/>
              <a:cs typeface="+mn-cs"/>
            </a:rPr>
            <a:t> nếu không có sự đồng ý bằng văn bản từ Bên Cấp phép.</a:t>
          </a:r>
          <a:endParaRPr lang="en-US" sz="1100">
            <a:solidFill>
              <a:sysClr val="windowText" lastClr="000000"/>
            </a:solidFill>
            <a:effectLst/>
            <a:latin typeface="+mn-lt"/>
            <a:ea typeface="+mn-ea"/>
            <a:cs typeface="+mn-cs"/>
          </a:endParaRPr>
        </a:p>
        <a:p>
          <a:pPr marL="0" marR="0" lvl="0" indent="0" defTabSz="914400" eaLnBrk="1" fontAlgn="auto" latinLnBrk="0" hangingPunct="1">
            <a:lnSpc>
              <a:spcPct val="150000"/>
            </a:lnSpc>
            <a:spcBef>
              <a:spcPts val="600"/>
            </a:spcBef>
            <a:spcAft>
              <a:spcPts val="0"/>
            </a:spcAft>
            <a:buClrTx/>
            <a:buSzTx/>
            <a:buFontTx/>
            <a:buNone/>
            <a:tabLst/>
            <a:defRPr/>
          </a:pPr>
          <a:r>
            <a:rPr lang="en-US" sz="1100" b="1">
              <a:solidFill>
                <a:sysClr val="windowText" lastClr="000000"/>
              </a:solidFill>
              <a:effectLst/>
              <a:latin typeface="+mn-lt"/>
              <a:ea typeface="+mn-ea"/>
              <a:cs typeface="+mn-cs"/>
            </a:rPr>
            <a:t>Cho</a:t>
          </a:r>
          <a:r>
            <a:rPr lang="en-US" sz="1100" b="1" baseline="0">
              <a:solidFill>
                <a:sysClr val="windowText" lastClr="000000"/>
              </a:solidFill>
              <a:effectLst/>
              <a:latin typeface="+mn-lt"/>
              <a:ea typeface="+mn-ea"/>
              <a:cs typeface="+mn-cs"/>
            </a:rPr>
            <a:t> phép truy cập và tải về công cộng khi lưu trữ trên các công cụ điện toán đám mây </a:t>
          </a:r>
          <a:r>
            <a:rPr lang="en-US" sz="1100" b="0" baseline="0">
              <a:solidFill>
                <a:sysClr val="windowText" lastClr="000000"/>
              </a:solidFill>
              <a:effectLst/>
              <a:latin typeface="+mn-lt"/>
              <a:ea typeface="+mn-ea"/>
              <a:cs typeface="+mn-cs"/>
            </a:rPr>
            <a:t>(như Google Drive, OneDrive,...) </a:t>
          </a:r>
        </a:p>
        <a:p>
          <a:pPr marL="0" marR="0" lvl="0" indent="0" defTabSz="914400" eaLnBrk="1" fontAlgn="auto" latinLnBrk="0" hangingPunct="1">
            <a:lnSpc>
              <a:spcPct val="150000"/>
            </a:lnSpc>
            <a:spcBef>
              <a:spcPts val="600"/>
            </a:spcBef>
            <a:spcAft>
              <a:spcPts val="0"/>
            </a:spcAft>
            <a:buClrTx/>
            <a:buSzTx/>
            <a:buFontTx/>
            <a:buNone/>
            <a:tabLst/>
            <a:defRPr/>
          </a:pPr>
          <a:r>
            <a:rPr lang="vi-VN" b="1">
              <a:solidFill>
                <a:sysClr val="windowText" lastClr="000000"/>
              </a:solidFill>
            </a:rPr>
            <a:t>Giải mã, tháo gỡ, hoặc </a:t>
          </a:r>
          <a:r>
            <a:rPr lang="en-US" sz="1100" b="1">
              <a:solidFill>
                <a:sysClr val="windowText" lastClr="000000"/>
              </a:solidFill>
              <a:effectLst/>
              <a:latin typeface="+mn-lt"/>
              <a:ea typeface="+mn-ea"/>
              <a:cs typeface="+mn-cs"/>
            </a:rPr>
            <a:t>c</a:t>
          </a:r>
          <a:r>
            <a:rPr lang="vi-VN" sz="1100" b="1">
              <a:solidFill>
                <a:sysClr val="windowText" lastClr="000000"/>
              </a:solidFill>
              <a:effectLst/>
              <a:latin typeface="+mn-lt"/>
              <a:ea typeface="+mn-ea"/>
              <a:cs typeface="+mn-cs"/>
            </a:rPr>
            <a:t>hỉnh sửa, biến đổi</a:t>
          </a:r>
          <a:r>
            <a:rPr lang="en-US" sz="1100" b="1">
              <a:solidFill>
                <a:sysClr val="windowText" lastClr="000000"/>
              </a:solidFill>
              <a:effectLst/>
              <a:latin typeface="+mn-lt"/>
              <a:ea typeface="+mn-ea"/>
              <a:cs typeface="+mn-cs"/>
            </a:rPr>
            <a:t>,</a:t>
          </a:r>
          <a:r>
            <a:rPr lang="vi-VN" sz="1100" b="1">
              <a:solidFill>
                <a:sysClr val="windowText" lastClr="000000"/>
              </a:solidFill>
              <a:effectLst/>
              <a:latin typeface="+mn-lt"/>
              <a:ea typeface="+mn-ea"/>
              <a:cs typeface="+mn-cs"/>
            </a:rPr>
            <a:t> thay đổi một phần nhỏ của Phần mềm </a:t>
          </a:r>
          <a:r>
            <a:rPr lang="en-US" sz="1100" b="1">
              <a:solidFill>
                <a:sysClr val="windowText" lastClr="000000"/>
              </a:solidFill>
              <a:effectLst/>
              <a:latin typeface="+mn-lt"/>
              <a:ea typeface="+mn-ea"/>
              <a:cs typeface="+mn-cs"/>
            </a:rPr>
            <a:t>(giao diện,</a:t>
          </a:r>
          <a:r>
            <a:rPr lang="vi-VN" sz="1100" b="1">
              <a:solidFill>
                <a:sysClr val="windowText" lastClr="000000"/>
              </a:solidFill>
              <a:effectLst/>
              <a:latin typeface="+mn-lt"/>
              <a:ea typeface="+mn-ea"/>
              <a:cs typeface="+mn-cs"/>
            </a:rPr>
            <a:t> mã nguồn, công thức, cấu trúc</a:t>
          </a:r>
          <a:r>
            <a:rPr lang="en-US" sz="1100" b="0">
              <a:solidFill>
                <a:sysClr val="windowText" lastClr="000000"/>
              </a:solidFill>
              <a:effectLst/>
              <a:latin typeface="+mn-lt"/>
              <a:ea typeface="+mn-ea"/>
              <a:cs typeface="+mn-cs"/>
            </a:rPr>
            <a:t>) </a:t>
          </a:r>
          <a:r>
            <a:rPr lang="vi-VN" sz="1100" b="1">
              <a:solidFill>
                <a:sysClr val="windowText" lastClr="000000"/>
              </a:solidFill>
              <a:effectLst/>
              <a:latin typeface="+mn-lt"/>
              <a:ea typeface="+mn-ea"/>
              <a:cs typeface="+mn-cs"/>
            </a:rPr>
            <a:t>để đăng ký bản quyền như một tác phẩm mới</a:t>
          </a:r>
          <a:r>
            <a:rPr lang="vi-VN" sz="1100">
              <a:solidFill>
                <a:sysClr val="windowText" lastClr="000000"/>
              </a:solidFill>
              <a:effectLst/>
              <a:latin typeface="+mn-lt"/>
              <a:ea typeface="+mn-ea"/>
              <a:cs typeface="+mn-cs"/>
            </a:rPr>
            <a:t> dưới bất kỳ hình thức nào đều bị nghiêm cấm và không làm mất hiệu lực bản quyền gốc của Bên Cấp phép.</a:t>
          </a:r>
          <a:endParaRPr lang="vi-VN">
            <a:solidFill>
              <a:sysClr val="windowText" lastClr="000000"/>
            </a:solidFill>
            <a:effectLst/>
          </a:endParaRPr>
        </a:p>
        <a:p>
          <a:pPr>
            <a:lnSpc>
              <a:spcPct val="150000"/>
            </a:lnSpc>
            <a:spcBef>
              <a:spcPts val="600"/>
            </a:spcBef>
          </a:pPr>
          <a:r>
            <a:rPr lang="vi-VN" b="1">
              <a:solidFill>
                <a:sysClr val="windowText" lastClr="000000"/>
              </a:solidFill>
            </a:rPr>
            <a:t>Sử dụng Phần mềm để tạo sản phẩm tương tự hoặc cạnh tranh</a:t>
          </a:r>
          <a:r>
            <a:rPr lang="vi-VN">
              <a:solidFill>
                <a:sysClr val="windowText" lastClr="000000"/>
              </a:solidFill>
            </a:rPr>
            <a:t>.</a:t>
          </a:r>
        </a:p>
        <a:p>
          <a:pPr>
            <a:lnSpc>
              <a:spcPct val="150000"/>
            </a:lnSpc>
            <a:spcBef>
              <a:spcPts val="600"/>
            </a:spcBef>
          </a:pPr>
          <a:r>
            <a:rPr lang="vi-VN" b="1">
              <a:solidFill>
                <a:sysClr val="windowText" lastClr="000000"/>
              </a:solidFill>
            </a:rPr>
            <a:t>4. QUYỀN SỞ HỮU TRÍ TUỆ</a:t>
          </a:r>
          <a:br>
            <a:rPr lang="vi-VN">
              <a:solidFill>
                <a:sysClr val="windowText" lastClr="000000"/>
              </a:solidFill>
            </a:rPr>
          </a:br>
          <a:r>
            <a:rPr lang="vi-VN">
              <a:solidFill>
                <a:sysClr val="windowText" lastClr="000000"/>
              </a:solidFill>
            </a:rPr>
            <a:t>Phần mềm và toàn bộ nội dung liên quan đều thuộc quyền sở hữu của Bên Cấp phép, bao gồm mọi phiên bản, sửa đổi hoặc tùy biến, và bất kỳ thay đổi nào cũng không làm mất hiệu lực của bản quyền gốc được bảo vệ theo </a:t>
          </a:r>
          <a:r>
            <a:rPr lang="vi-VN" b="1">
              <a:solidFill>
                <a:sysClr val="windowText" lastClr="000000"/>
              </a:solidFill>
            </a:rPr>
            <a:t>Luật Sở hữu trí tuệ và bản quyền Việt Nam và quốc tế</a:t>
          </a:r>
          <a:r>
            <a:rPr lang="vi-VN">
              <a:solidFill>
                <a:sysClr val="windowText" lastClr="000000"/>
              </a:solidFill>
            </a:rPr>
            <a:t>. Người dùng không có quyền sở hữu đối với Phần mềm mà chỉ có quyền sử dụng theo phạm vi được cấp phép.</a:t>
          </a:r>
        </a:p>
        <a:p>
          <a:pPr>
            <a:lnSpc>
              <a:spcPct val="150000"/>
            </a:lnSpc>
            <a:spcBef>
              <a:spcPts val="600"/>
            </a:spcBef>
          </a:pPr>
          <a:r>
            <a:rPr lang="vi-VN" b="1">
              <a:solidFill>
                <a:sysClr val="windowText" lastClr="000000"/>
              </a:solidFill>
            </a:rPr>
            <a:t>5. TRÁCH NHIỆM VÀ GIỚI HẠN TRÁCH NHIỆM</a:t>
          </a:r>
          <a:endParaRPr lang="vi-VN">
            <a:solidFill>
              <a:sysClr val="windowText" lastClr="000000"/>
            </a:solidFill>
          </a:endParaRPr>
        </a:p>
        <a:p>
          <a:pPr>
            <a:lnSpc>
              <a:spcPct val="150000"/>
            </a:lnSpc>
            <a:spcBef>
              <a:spcPts val="600"/>
            </a:spcBef>
          </a:pPr>
          <a:r>
            <a:rPr lang="vi-VN">
              <a:solidFill>
                <a:sysClr val="windowText" lastClr="000000"/>
              </a:solidFill>
            </a:rPr>
            <a:t>Bên Cấp phép không chịu trách nhiệm về bất kỳ thiệt hại gián tiếp, đặc biệt, ngẫu nhiên hoặc hệ quả nào phát sinh từ việc sử dụng</a:t>
          </a:r>
          <a:r>
            <a:rPr lang="en-US">
              <a:solidFill>
                <a:sysClr val="windowText" lastClr="000000"/>
              </a:solidFill>
            </a:rPr>
            <a:t> không</a:t>
          </a:r>
          <a:r>
            <a:rPr lang="en-US" baseline="0">
              <a:solidFill>
                <a:sysClr val="windowText" lastClr="000000"/>
              </a:solidFill>
            </a:rPr>
            <a:t> đúng hướng dẫn</a:t>
          </a:r>
          <a:r>
            <a:rPr lang="en-US">
              <a:solidFill>
                <a:sysClr val="windowText" lastClr="000000"/>
              </a:solidFill>
            </a:rPr>
            <a:t> </a:t>
          </a:r>
          <a:r>
            <a:rPr lang="vi-VN">
              <a:solidFill>
                <a:sysClr val="windowText" lastClr="000000"/>
              </a:solidFill>
            </a:rPr>
            <a:t>hoặc không thể sử dụng Phần mềm</a:t>
          </a:r>
        </a:p>
        <a:p>
          <a:pPr>
            <a:lnSpc>
              <a:spcPct val="150000"/>
            </a:lnSpc>
            <a:spcBef>
              <a:spcPts val="600"/>
            </a:spcBef>
          </a:pPr>
          <a:r>
            <a:rPr lang="vi-VN" b="1">
              <a:solidFill>
                <a:sysClr val="windowText" lastClr="000000"/>
              </a:solidFill>
            </a:rPr>
            <a:t>6. CHẤM DỨT THỎA THUẬN</a:t>
          </a:r>
          <a:br>
            <a:rPr lang="vi-VN">
              <a:solidFill>
                <a:sysClr val="windowText" lastClr="000000"/>
              </a:solidFill>
            </a:rPr>
          </a:br>
          <a:r>
            <a:rPr lang="vi-VN">
              <a:solidFill>
                <a:sysClr val="windowText" lastClr="000000"/>
              </a:solidFill>
            </a:rPr>
            <a:t>Thỏa thuận này sẽ tự động chấm dứt nếu Người dùng vi phạm bất kỳ điều khoản nào. Khi thỏa thuận bị chấm dứt, Người dùng phải xóa và ngừng sử dụng Phần mềm ngay lập tức.</a:t>
          </a:r>
        </a:p>
        <a:p>
          <a:pPr>
            <a:lnSpc>
              <a:spcPct val="150000"/>
            </a:lnSpc>
            <a:spcBef>
              <a:spcPts val="600"/>
            </a:spcBef>
          </a:pPr>
          <a:r>
            <a:rPr lang="vi-VN" b="1">
              <a:solidFill>
                <a:sysClr val="windowText" lastClr="000000"/>
              </a:solidFill>
            </a:rPr>
            <a:t>7. ĐIỀU KHOẢN CHUNG</a:t>
          </a:r>
          <a:endParaRPr lang="vi-VN">
            <a:solidFill>
              <a:sysClr val="windowText" lastClr="000000"/>
            </a:solidFill>
          </a:endParaRPr>
        </a:p>
        <a:p>
          <a:pPr>
            <a:lnSpc>
              <a:spcPct val="150000"/>
            </a:lnSpc>
            <a:spcBef>
              <a:spcPts val="600"/>
            </a:spcBef>
          </a:pPr>
          <a:r>
            <a:rPr lang="vi-VN">
              <a:solidFill>
                <a:sysClr val="windowText" lastClr="000000"/>
              </a:solidFill>
            </a:rPr>
            <a:t>Thỏa thuận này chịu sự điều chỉnh của </a:t>
          </a:r>
          <a:r>
            <a:rPr lang="vi-VN" b="1">
              <a:solidFill>
                <a:sysClr val="windowText" lastClr="000000"/>
              </a:solidFill>
            </a:rPr>
            <a:t>pháp luật Việt Nam</a:t>
          </a:r>
          <a:r>
            <a:rPr lang="vi-VN">
              <a:solidFill>
                <a:sysClr val="windowText" lastClr="000000"/>
              </a:solidFill>
            </a:rPr>
            <a:t>.</a:t>
          </a:r>
          <a:r>
            <a:rPr lang="en-US" baseline="0">
              <a:solidFill>
                <a:sysClr val="windowText" lastClr="000000"/>
              </a:solidFill>
            </a:rPr>
            <a:t> </a:t>
          </a:r>
          <a:r>
            <a:rPr lang="vi-VN">
              <a:solidFill>
                <a:sysClr val="windowText" lastClr="000000"/>
              </a:solidFill>
            </a:rPr>
            <a:t>Bất kỳ tranh chấp nào phát sinh sẽ được giải quyết thông qua </a:t>
          </a:r>
          <a:r>
            <a:rPr lang="vi-VN" b="1">
              <a:solidFill>
                <a:sysClr val="windowText" lastClr="000000"/>
              </a:solidFill>
            </a:rPr>
            <a:t>thương lượng</a:t>
          </a:r>
          <a:r>
            <a:rPr lang="vi-VN">
              <a:solidFill>
                <a:sysClr val="windowText" lastClr="000000"/>
              </a:solidFill>
            </a:rPr>
            <a:t> trước khi đưa ra </a:t>
          </a:r>
          <a:r>
            <a:rPr lang="vi-VN" b="1">
              <a:solidFill>
                <a:sysClr val="windowText" lastClr="000000"/>
              </a:solidFill>
            </a:rPr>
            <a:t>tòa án có thẩm quyền</a:t>
          </a:r>
          <a:r>
            <a:rPr lang="vi-VN">
              <a:solidFill>
                <a:sysClr val="windowText" lastClr="000000"/>
              </a:solidFill>
            </a:rPr>
            <a:t> tại Việt Nam.</a:t>
          </a:r>
        </a:p>
        <a:p>
          <a:pPr>
            <a:lnSpc>
              <a:spcPct val="150000"/>
            </a:lnSpc>
            <a:spcBef>
              <a:spcPts val="600"/>
            </a:spcBef>
          </a:pPr>
          <a:r>
            <a:rPr lang="vi-VN">
              <a:solidFill>
                <a:sysClr val="windowText" lastClr="000000"/>
              </a:solidFill>
            </a:rPr>
            <a:t>Nếu một điều khoản nào đó bị tuyên vô hiệu, các điều khoản còn lại vẫn có hiệu lực.</a:t>
          </a:r>
        </a:p>
        <a:p>
          <a:pPr>
            <a:lnSpc>
              <a:spcPct val="150000"/>
            </a:lnSpc>
            <a:spcBef>
              <a:spcPts val="600"/>
            </a:spcBef>
          </a:pPr>
          <a:r>
            <a:rPr lang="vi-VN" b="1">
              <a:solidFill>
                <a:sysClr val="windowText" lastClr="000000"/>
              </a:solidFill>
            </a:rPr>
            <a:t>Bằng việc sử dụng Phần mềm, bạn xác nhận rằng đã đọc, hiểu và đồng ý với các điều khoản của Thỏa thuận này.</a:t>
          </a:r>
          <a:endParaRPr lang="vi-VN">
            <a:solidFill>
              <a:sysClr val="windowText" lastClr="000000"/>
            </a:solidFill>
          </a:endParaRPr>
        </a:p>
        <a:p>
          <a:pPr algn="l"/>
          <a:endParaRPr lang="vi-VN" sz="1100">
            <a:solidFill>
              <a:sysClr val="windowText" lastClr="000000"/>
            </a:solidFill>
          </a:endParaRPr>
        </a:p>
      </xdr:txBody>
    </xdr:sp>
    <xdr:clientData/>
  </xdr:twoCellAnchor>
  <xdr:twoCellAnchor>
    <xdr:from>
      <xdr:col>23</xdr:col>
      <xdr:colOff>170792</xdr:colOff>
      <xdr:row>0</xdr:row>
      <xdr:rowOff>76199</xdr:rowOff>
    </xdr:from>
    <xdr:to>
      <xdr:col>34</xdr:col>
      <xdr:colOff>186992</xdr:colOff>
      <xdr:row>48</xdr:row>
      <xdr:rowOff>128774</xdr:rowOff>
    </xdr:to>
    <xdr:sp macro="" textlink="">
      <xdr:nvSpPr>
        <xdr:cNvPr id="3" name="Rectangle 2">
          <a:extLst>
            <a:ext uri="{FF2B5EF4-FFF2-40B4-BE49-F238E27FC236}">
              <a16:creationId xmlns:a16="http://schemas.microsoft.com/office/drawing/2014/main" id="{00000000-0008-0000-0200-000003000000}"/>
            </a:ext>
          </a:extLst>
        </xdr:cNvPr>
        <xdr:cNvSpPr/>
      </xdr:nvSpPr>
      <xdr:spPr>
        <a:xfrm>
          <a:off x="11988361" y="76199"/>
          <a:ext cx="7531097" cy="1071400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END USER LICENSE AGREEMENT (EULA)</a:t>
          </a:r>
          <a:endParaRPr lang="vi-VN" sz="1800">
            <a:solidFill>
              <a:sysClr val="windowText" lastClr="000000"/>
            </a:solidFill>
          </a:endParaRPr>
        </a:p>
        <a:p>
          <a:pPr>
            <a:lnSpc>
              <a:spcPct val="150000"/>
            </a:lnSpc>
            <a:spcBef>
              <a:spcPts val="600"/>
            </a:spcBef>
          </a:pPr>
          <a:r>
            <a:rPr lang="vi-VN" sz="1100" b="1">
              <a:solidFill>
                <a:sysClr val="windowText" lastClr="000000"/>
              </a:solidFill>
            </a:rPr>
            <a:t>1. INTRODUCTION</a:t>
          </a:r>
          <a:br>
            <a:rPr lang="vi-VN" sz="1100">
              <a:solidFill>
                <a:sysClr val="windowText" lastClr="000000"/>
              </a:solidFill>
            </a:rPr>
          </a:br>
          <a:r>
            <a:rPr lang="vi-VN" sz="1100">
              <a:solidFill>
                <a:sysClr val="windowText" lastClr="000000"/>
              </a:solidFill>
            </a:rPr>
            <a:t>This End User License Agreement ("Agreement") is entered into between </a:t>
          </a:r>
          <a:r>
            <a:rPr lang="vi-VN" sz="1100" b="1">
              <a:solidFill>
                <a:sysClr val="windowText" lastClr="000000"/>
              </a:solidFill>
            </a:rPr>
            <a:t>Party A (Licensor) </a:t>
          </a:r>
          <a:r>
            <a:rPr lang="vi-VN" sz="1100">
              <a:solidFill>
                <a:sysClr val="windowText" lastClr="000000"/>
              </a:solidFill>
            </a:rPr>
            <a:t>and </a:t>
          </a:r>
          <a:r>
            <a:rPr lang="vi-VN" sz="1100" b="1">
              <a:solidFill>
                <a:sysClr val="windowText" lastClr="000000"/>
              </a:solidFill>
            </a:rPr>
            <a:t>Party B (User) </a:t>
          </a:r>
          <a:r>
            <a:rPr lang="vi-VN" sz="1100">
              <a:solidFill>
                <a:sysClr val="windowText" lastClr="000000"/>
              </a:solidFill>
            </a:rPr>
            <a:t>regarding the use of the </a:t>
          </a:r>
          <a:r>
            <a:rPr lang="vi-VN" sz="1100" b="1">
              <a:solidFill>
                <a:sysClr val="windowText" lastClr="000000"/>
              </a:solidFill>
            </a:rPr>
            <a:t>business management software in the form of the Easy Quản Trị Excel file (Software</a:t>
          </a:r>
          <a:r>
            <a:rPr lang="en-US" sz="1100" b="1">
              <a:solidFill>
                <a:sysClr val="windowText" lastClr="000000"/>
              </a:solidFill>
            </a:rPr>
            <a:t>)</a:t>
          </a:r>
          <a:r>
            <a:rPr lang="vi-VN" sz="1100">
              <a:solidFill>
                <a:sysClr val="windowText" lastClr="000000"/>
              </a:solidFill>
            </a:rPr>
            <a:t>. By downloading, installing, or using the Software, you agree to be bound by the following terms and conditions.</a:t>
          </a:r>
        </a:p>
        <a:p>
          <a:pPr>
            <a:lnSpc>
              <a:spcPct val="150000"/>
            </a:lnSpc>
            <a:spcBef>
              <a:spcPts val="600"/>
            </a:spcBef>
          </a:pPr>
          <a:r>
            <a:rPr lang="vi-VN" sz="1100" b="1">
              <a:solidFill>
                <a:sysClr val="windowText" lastClr="000000"/>
              </a:solidFill>
            </a:rPr>
            <a:t>2. LICENSE GRANT</a:t>
          </a:r>
          <a:br>
            <a:rPr lang="vi-VN" sz="1100">
              <a:solidFill>
                <a:sysClr val="windowText" lastClr="000000"/>
              </a:solidFill>
            </a:rPr>
          </a:br>
          <a:r>
            <a:rPr lang="vi-VN" sz="1100">
              <a:solidFill>
                <a:sysClr val="windowText" lastClr="000000"/>
              </a:solidFill>
            </a:rPr>
            <a:t>The Licensor grants the User a </a:t>
          </a:r>
          <a:r>
            <a:rPr lang="vi-VN" sz="1100" b="1">
              <a:solidFill>
                <a:sysClr val="windowText" lastClr="000000"/>
              </a:solidFill>
            </a:rPr>
            <a:t>limited, non-exclusive, non-transferable</a:t>
          </a:r>
          <a:r>
            <a:rPr lang="vi-VN" sz="1100">
              <a:solidFill>
                <a:sysClr val="windowText" lastClr="000000"/>
              </a:solidFill>
            </a:rPr>
            <a:t> right to use the Software solely for personal or internal business purposes, and not for commercial use, redistribution, or public sharing.</a:t>
          </a:r>
        </a:p>
        <a:p>
          <a:pPr>
            <a:lnSpc>
              <a:spcPct val="150000"/>
            </a:lnSpc>
            <a:spcBef>
              <a:spcPts val="600"/>
            </a:spcBef>
          </a:pPr>
          <a:r>
            <a:rPr lang="vi-VN" sz="1100" b="1">
              <a:solidFill>
                <a:sysClr val="windowText" lastClr="000000"/>
              </a:solidFill>
            </a:rPr>
            <a:t>3. RESTRICTIONS ON USE</a:t>
          </a:r>
          <a:r>
            <a:rPr lang="en-US" sz="1100" b="0">
              <a:solidFill>
                <a:sysClr val="windowText" lastClr="000000"/>
              </a:solidFill>
            </a:rPr>
            <a:t>:</a:t>
          </a:r>
          <a:r>
            <a:rPr lang="en-US" sz="1100" b="0" baseline="0">
              <a:solidFill>
                <a:sysClr val="windowText" lastClr="000000"/>
              </a:solidFill>
            </a:rPr>
            <a:t> </a:t>
          </a:r>
          <a:r>
            <a:rPr lang="vi-VN" sz="1100">
              <a:solidFill>
                <a:sysClr val="windowText" lastClr="000000"/>
              </a:solidFill>
            </a:rPr>
            <a:t>The User is </a:t>
          </a:r>
          <a:r>
            <a:rPr lang="vi-VN" sz="1100" b="1">
              <a:solidFill>
                <a:sysClr val="windowText" lastClr="000000"/>
              </a:solidFill>
            </a:rPr>
            <a:t>not permitted </a:t>
          </a:r>
          <a:r>
            <a:rPr lang="vi-VN" sz="1100">
              <a:solidFill>
                <a:sysClr val="windowText" lastClr="000000"/>
              </a:solidFill>
            </a:rPr>
            <a:t>to:</a:t>
          </a:r>
        </a:p>
        <a:p>
          <a:pPr>
            <a:lnSpc>
              <a:spcPct val="150000"/>
            </a:lnSpc>
            <a:spcBef>
              <a:spcPts val="600"/>
            </a:spcBef>
          </a:pPr>
          <a:r>
            <a:rPr lang="vi-VN" sz="1100" b="1">
              <a:solidFill>
                <a:sysClr val="windowText" lastClr="000000"/>
              </a:solidFill>
            </a:rPr>
            <a:t>Copy, modify, redistribute, sell, or sublicense</a:t>
          </a:r>
          <a:r>
            <a:rPr lang="vi-VN" sz="1100">
              <a:solidFill>
                <a:sysClr val="windowText" lastClr="000000"/>
              </a:solidFill>
            </a:rPr>
            <a:t> the Software in any form.</a:t>
          </a:r>
        </a:p>
        <a:p>
          <a:pPr>
            <a:lnSpc>
              <a:spcPct val="150000"/>
            </a:lnSpc>
            <a:spcBef>
              <a:spcPts val="600"/>
            </a:spcBef>
          </a:pPr>
          <a:r>
            <a:rPr lang="vi-VN" sz="1100" b="1">
              <a:solidFill>
                <a:sysClr val="windowText" lastClr="000000"/>
              </a:solidFill>
            </a:rPr>
            <a:t>Share or provide the Software to any third party</a:t>
          </a:r>
          <a:r>
            <a:rPr lang="vi-VN" sz="1100">
              <a:solidFill>
                <a:sysClr val="windowText" lastClr="000000"/>
              </a:solidFill>
            </a:rPr>
            <a:t> without the Licensor’s written consent.</a:t>
          </a:r>
        </a:p>
        <a:p>
          <a:pPr>
            <a:lnSpc>
              <a:spcPct val="150000"/>
            </a:lnSpc>
            <a:spcBef>
              <a:spcPts val="600"/>
            </a:spcBef>
          </a:pPr>
          <a:r>
            <a:rPr lang="vi-VN" sz="1100" b="1">
              <a:solidFill>
                <a:sysClr val="windowText" lastClr="000000"/>
              </a:solidFill>
            </a:rPr>
            <a:t>Allow public access or downloading when storing the Software on cloud computing services</a:t>
          </a:r>
          <a:r>
            <a:rPr lang="vi-VN" sz="1100">
              <a:solidFill>
                <a:sysClr val="windowText" lastClr="000000"/>
              </a:solidFill>
            </a:rPr>
            <a:t> (such as Google Drive, OneDrive, etc.).</a:t>
          </a:r>
        </a:p>
        <a:p>
          <a:pPr>
            <a:lnSpc>
              <a:spcPct val="150000"/>
            </a:lnSpc>
            <a:spcBef>
              <a:spcPts val="600"/>
            </a:spcBef>
          </a:pPr>
          <a:r>
            <a:rPr lang="vi-VN" sz="1100" b="1">
              <a:solidFill>
                <a:sysClr val="windowText" lastClr="000000"/>
              </a:solidFill>
            </a:rPr>
            <a:t>Reverse-engineer, disassemble, modify, alter, or make minor changes to the Software (interface, source code, formulas, structure) to register a new copyright </a:t>
          </a:r>
          <a:r>
            <a:rPr lang="vi-VN" sz="1100">
              <a:solidFill>
                <a:sysClr val="windowText" lastClr="000000"/>
              </a:solidFill>
            </a:rPr>
            <a:t>under any form, as this is strictly prohibited and does not invalidate the Licensor’s original copyright.</a:t>
          </a:r>
        </a:p>
        <a:p>
          <a:pPr>
            <a:lnSpc>
              <a:spcPct val="150000"/>
            </a:lnSpc>
            <a:spcBef>
              <a:spcPts val="600"/>
            </a:spcBef>
          </a:pPr>
          <a:r>
            <a:rPr lang="vi-VN" sz="1100" b="1">
              <a:solidFill>
                <a:sysClr val="windowText" lastClr="000000"/>
              </a:solidFill>
            </a:rPr>
            <a:t>Use the Software to create similar or competing products.</a:t>
          </a:r>
        </a:p>
        <a:p>
          <a:pPr>
            <a:lnSpc>
              <a:spcPct val="150000"/>
            </a:lnSpc>
            <a:spcBef>
              <a:spcPts val="600"/>
            </a:spcBef>
          </a:pPr>
          <a:r>
            <a:rPr lang="vi-VN" sz="1100" b="1">
              <a:solidFill>
                <a:sysClr val="windowText" lastClr="000000"/>
              </a:solidFill>
            </a:rPr>
            <a:t>4. INTELLECTUAL PROPERTY RIGHTS</a:t>
          </a:r>
          <a:br>
            <a:rPr lang="vi-VN" sz="1100">
              <a:solidFill>
                <a:sysClr val="windowText" lastClr="000000"/>
              </a:solidFill>
            </a:rPr>
          </a:br>
          <a:r>
            <a:rPr lang="vi-VN" sz="1100">
              <a:solidFill>
                <a:sysClr val="windowText" lastClr="000000"/>
              </a:solidFill>
            </a:rPr>
            <a:t>The Software and all related content are the property of the Licensor, including all versions, modifications, or customizations. Any changes made do not invalidate the original copyright, which is protected under </a:t>
          </a:r>
          <a:r>
            <a:rPr lang="vi-VN" sz="1100" b="1">
              <a:solidFill>
                <a:sysClr val="windowText" lastClr="000000"/>
              </a:solidFill>
            </a:rPr>
            <a:t>Vietnamese and international intellectual property and copyright laws</a:t>
          </a:r>
          <a:r>
            <a:rPr lang="vi-VN" sz="1100">
              <a:solidFill>
                <a:sysClr val="windowText" lastClr="000000"/>
              </a:solidFill>
            </a:rPr>
            <a:t>. The User has no ownership rights over the Software and is only granted a license for use within the permitted scope.</a:t>
          </a:r>
        </a:p>
        <a:p>
          <a:pPr>
            <a:lnSpc>
              <a:spcPct val="150000"/>
            </a:lnSpc>
            <a:spcBef>
              <a:spcPts val="600"/>
            </a:spcBef>
          </a:pPr>
          <a:r>
            <a:rPr lang="vi-VN" sz="1100" b="1">
              <a:solidFill>
                <a:sysClr val="windowText" lastClr="000000"/>
              </a:solidFill>
            </a:rPr>
            <a:t>5. LIABILITY AND LIMITATION OF LIABILITY</a:t>
          </a:r>
          <a:endParaRPr lang="vi-VN" sz="1100">
            <a:solidFill>
              <a:sysClr val="windowText" lastClr="000000"/>
            </a:solidFill>
          </a:endParaRPr>
        </a:p>
        <a:p>
          <a:pPr>
            <a:lnSpc>
              <a:spcPct val="150000"/>
            </a:lnSpc>
            <a:spcBef>
              <a:spcPts val="600"/>
            </a:spcBef>
          </a:pPr>
          <a:r>
            <a:rPr lang="vi-VN" sz="1100">
              <a:solidFill>
                <a:sysClr val="windowText" lastClr="000000"/>
              </a:solidFill>
            </a:rPr>
            <a:t>The Licensor is not liable for any </a:t>
          </a:r>
          <a:r>
            <a:rPr lang="vi-VN" sz="1100" b="1">
              <a:solidFill>
                <a:sysClr val="windowText" lastClr="000000"/>
              </a:solidFill>
            </a:rPr>
            <a:t>indirect, special, incidental, or consequential damages</a:t>
          </a:r>
          <a:r>
            <a:rPr lang="vi-VN" sz="1100">
              <a:solidFill>
                <a:sysClr val="windowText" lastClr="000000"/>
              </a:solidFill>
            </a:rPr>
            <a:t> arising from the misuse or inability to use the Software.</a:t>
          </a:r>
        </a:p>
        <a:p>
          <a:pPr>
            <a:lnSpc>
              <a:spcPct val="150000"/>
            </a:lnSpc>
            <a:spcBef>
              <a:spcPts val="600"/>
            </a:spcBef>
          </a:pPr>
          <a:r>
            <a:rPr lang="vi-VN" sz="1100" b="1">
              <a:solidFill>
                <a:sysClr val="windowText" lastClr="000000"/>
              </a:solidFill>
            </a:rPr>
            <a:t>6. TERMINATION OF AGREEMENT</a:t>
          </a:r>
          <a:br>
            <a:rPr lang="vi-VN" sz="1100">
              <a:solidFill>
                <a:sysClr val="windowText" lastClr="000000"/>
              </a:solidFill>
            </a:rPr>
          </a:br>
          <a:r>
            <a:rPr lang="vi-VN" sz="1100">
              <a:solidFill>
                <a:sysClr val="windowText" lastClr="000000"/>
              </a:solidFill>
            </a:rPr>
            <a:t>This Agreement will automatically terminate if the User violates any of its terms. Upon termination, the User must delete and cease using the Software immediately.</a:t>
          </a:r>
        </a:p>
        <a:p>
          <a:pPr>
            <a:lnSpc>
              <a:spcPct val="150000"/>
            </a:lnSpc>
            <a:spcBef>
              <a:spcPts val="600"/>
            </a:spcBef>
          </a:pPr>
          <a:r>
            <a:rPr lang="vi-VN" sz="1100" b="1">
              <a:solidFill>
                <a:sysClr val="windowText" lastClr="000000"/>
              </a:solidFill>
            </a:rPr>
            <a:t>7. GENERAL TERMS</a:t>
          </a:r>
          <a:endParaRPr lang="vi-VN" sz="1100">
            <a:solidFill>
              <a:sysClr val="windowText" lastClr="000000"/>
            </a:solidFill>
          </a:endParaRPr>
        </a:p>
        <a:p>
          <a:pPr>
            <a:lnSpc>
              <a:spcPct val="150000"/>
            </a:lnSpc>
            <a:spcBef>
              <a:spcPts val="600"/>
            </a:spcBef>
          </a:pPr>
          <a:r>
            <a:rPr lang="vi-VN" sz="1100">
              <a:solidFill>
                <a:sysClr val="windowText" lastClr="000000"/>
              </a:solidFill>
            </a:rPr>
            <a:t>This Agreement is governed by </a:t>
          </a:r>
          <a:r>
            <a:rPr lang="vi-VN" sz="1100" b="1">
              <a:solidFill>
                <a:sysClr val="windowText" lastClr="000000"/>
              </a:solidFill>
            </a:rPr>
            <a:t>Vietnamese law</a:t>
          </a:r>
          <a:r>
            <a:rPr lang="vi-VN" sz="1100">
              <a:solidFill>
                <a:sysClr val="windowText" lastClr="000000"/>
              </a:solidFill>
            </a:rPr>
            <a:t>.</a:t>
          </a:r>
          <a:r>
            <a:rPr lang="en-US" sz="1100" baseline="0">
              <a:solidFill>
                <a:sysClr val="windowText" lastClr="000000"/>
              </a:solidFill>
            </a:rPr>
            <a:t> </a:t>
          </a:r>
          <a:r>
            <a:rPr lang="vi-VN" sz="1100">
              <a:solidFill>
                <a:sysClr val="windowText" lastClr="000000"/>
              </a:solidFill>
            </a:rPr>
            <a:t>Any disputes arising will be resolved through </a:t>
          </a:r>
          <a:r>
            <a:rPr lang="vi-VN" sz="1100" b="1">
              <a:solidFill>
                <a:sysClr val="windowText" lastClr="000000"/>
              </a:solidFill>
            </a:rPr>
            <a:t>negotiation</a:t>
          </a:r>
          <a:r>
            <a:rPr lang="vi-VN" sz="1100">
              <a:solidFill>
                <a:sysClr val="windowText" lastClr="000000"/>
              </a:solidFill>
            </a:rPr>
            <a:t> before being submitted to the competent </a:t>
          </a:r>
          <a:r>
            <a:rPr lang="vi-VN" sz="1100" b="1">
              <a:solidFill>
                <a:sysClr val="windowText" lastClr="000000"/>
              </a:solidFill>
            </a:rPr>
            <a:t>court in Vietnam</a:t>
          </a:r>
          <a:r>
            <a:rPr lang="vi-VN" sz="1100">
              <a:solidFill>
                <a:sysClr val="windowText" lastClr="000000"/>
              </a:solidFill>
            </a:rPr>
            <a:t>.</a:t>
          </a:r>
        </a:p>
        <a:p>
          <a:pPr>
            <a:lnSpc>
              <a:spcPct val="150000"/>
            </a:lnSpc>
            <a:spcBef>
              <a:spcPts val="600"/>
            </a:spcBef>
          </a:pPr>
          <a:r>
            <a:rPr lang="vi-VN" sz="1100">
              <a:solidFill>
                <a:sysClr val="windowText" lastClr="000000"/>
              </a:solidFill>
            </a:rPr>
            <a:t>If any provision of this Agreement is declared invalid, the remaining provisions shall remain in effect.</a:t>
          </a:r>
        </a:p>
        <a:p>
          <a:pPr>
            <a:lnSpc>
              <a:spcPct val="150000"/>
            </a:lnSpc>
            <a:spcBef>
              <a:spcPts val="600"/>
            </a:spcBef>
          </a:pPr>
          <a:r>
            <a:rPr lang="vi-VN" sz="1100" b="1">
              <a:solidFill>
                <a:sysClr val="windowText" lastClr="000000"/>
              </a:solidFill>
            </a:rPr>
            <a:t>By using the Software, you acknowledge that you have read, understood, and agreed to the terms of this Agreement.</a:t>
          </a:r>
        </a:p>
      </xdr:txBody>
    </xdr:sp>
    <xdr:clientData/>
  </xdr:twoCellAnchor>
  <xdr:twoCellAnchor editAs="oneCell">
    <xdr:from>
      <xdr:col>20</xdr:col>
      <xdr:colOff>400051</xdr:colOff>
      <xdr:row>0</xdr:row>
      <xdr:rowOff>133350</xdr:rowOff>
    </xdr:from>
    <xdr:to>
      <xdr:col>22</xdr:col>
      <xdr:colOff>571501</xdr:colOff>
      <xdr:row>3</xdr:row>
      <xdr:rowOff>116059</xdr:rowOff>
    </xdr:to>
    <xdr:pic>
      <xdr:nvPicPr>
        <xdr:cNvPr id="6" name="Picture 5">
          <a:extLst>
            <a:ext uri="{FF2B5EF4-FFF2-40B4-BE49-F238E27FC236}">
              <a16:creationId xmlns:a16="http://schemas.microsoft.com/office/drawing/2014/main" id="{00000000-0008-0000-02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201276" y="13335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31</xdr:col>
      <xdr:colOff>485776</xdr:colOff>
      <xdr:row>0</xdr:row>
      <xdr:rowOff>152400</xdr:rowOff>
    </xdr:from>
    <xdr:to>
      <xdr:col>33</xdr:col>
      <xdr:colOff>657226</xdr:colOff>
      <xdr:row>3</xdr:row>
      <xdr:rowOff>135109</xdr:rowOff>
    </xdr:to>
    <xdr:pic>
      <xdr:nvPicPr>
        <xdr:cNvPr id="7" name="Picture 6">
          <a:extLst>
            <a:ext uri="{FF2B5EF4-FFF2-40B4-BE49-F238E27FC236}">
              <a16:creationId xmlns:a16="http://schemas.microsoft.com/office/drawing/2014/main" id="{00000000-0008-0000-02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7830801" y="15240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58615</xdr:colOff>
      <xdr:row>0</xdr:row>
      <xdr:rowOff>28575</xdr:rowOff>
    </xdr:from>
    <xdr:to>
      <xdr:col>2</xdr:col>
      <xdr:colOff>32239</xdr:colOff>
      <xdr:row>3</xdr:row>
      <xdr:rowOff>11284</xdr:rowOff>
    </xdr:to>
    <xdr:pic>
      <xdr:nvPicPr>
        <xdr:cNvPr id="4" name="Picture 3">
          <a:extLst>
            <a:ext uri="{FF2B5EF4-FFF2-40B4-BE49-F238E27FC236}">
              <a16:creationId xmlns:a16="http://schemas.microsoft.com/office/drawing/2014/main" id="{00000000-0008-0000-02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8615" y="28575"/>
          <a:ext cx="1548912" cy="62015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485774</xdr:colOff>
      <xdr:row>18</xdr:row>
      <xdr:rowOff>200024</xdr:rowOff>
    </xdr:from>
    <xdr:to>
      <xdr:col>11</xdr:col>
      <xdr:colOff>676275</xdr:colOff>
      <xdr:row>48</xdr:row>
      <xdr:rowOff>152400</xdr:rowOff>
    </xdr:to>
    <xdr:sp macro="" textlink="">
      <xdr:nvSpPr>
        <xdr:cNvPr id="5" name="Rectangle 4">
          <a:extLst>
            <a:ext uri="{FF2B5EF4-FFF2-40B4-BE49-F238E27FC236}">
              <a16:creationId xmlns:a16="http://schemas.microsoft.com/office/drawing/2014/main" id="{00000000-0008-0000-0200-000005000000}"/>
            </a:ext>
          </a:extLst>
        </xdr:cNvPr>
        <xdr:cNvSpPr/>
      </xdr:nvSpPr>
      <xdr:spPr>
        <a:xfrm>
          <a:off x="485774" y="4600574"/>
          <a:ext cx="7934326" cy="623887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TUYÊN BỐ BẢN QUYỀN VÀ QUYỀN SỞ HỮU THƯƠNG HIỆU</a:t>
          </a:r>
          <a:endParaRPr lang="vi-VN" sz="1800">
            <a:solidFill>
              <a:sysClr val="windowText" lastClr="000000"/>
            </a:solidFill>
          </a:endParaRPr>
        </a:p>
        <a:p>
          <a:pPr>
            <a:lnSpc>
              <a:spcPct val="100000"/>
            </a:lnSpc>
            <a:spcBef>
              <a:spcPts val="600"/>
            </a:spcBef>
          </a:pPr>
          <a:r>
            <a:rPr lang="vi-VN" sz="1100" b="1">
              <a:solidFill>
                <a:sysClr val="windowText" lastClr="000000"/>
              </a:solidFill>
            </a:rPr>
            <a:t>Phần mềm Easy Quản Trị</a:t>
          </a:r>
          <a:r>
            <a:rPr lang="vi-VN" sz="1100" b="1">
              <a:solidFill>
                <a:sysClr val="windowText" lastClr="000000"/>
              </a:solidFill>
              <a:effectLst/>
              <a:latin typeface="+mn-lt"/>
              <a:ea typeface="+mn-ea"/>
              <a:cs typeface="+mn-cs"/>
            </a:rPr>
            <a:t>©</a:t>
          </a:r>
          <a:r>
            <a:rPr lang="en-US" sz="1100" b="1">
              <a:solidFill>
                <a:sysClr val="windowText" lastClr="000000"/>
              </a:solidFill>
            </a:rPr>
            <a:t> </a:t>
          </a:r>
          <a:r>
            <a:rPr lang="en-US" sz="1100">
              <a:solidFill>
                <a:sysClr val="windowText" lastClr="000000"/>
              </a:solidFill>
            </a:rPr>
            <a:t>(Phần</a:t>
          </a:r>
          <a:r>
            <a:rPr lang="en-US" sz="1100" baseline="0">
              <a:solidFill>
                <a:sysClr val="windowText" lastClr="000000"/>
              </a:solidFill>
            </a:rPr>
            <a:t> mềm)</a:t>
          </a:r>
          <a:r>
            <a:rPr lang="vi-VN" sz="1100">
              <a:solidFill>
                <a:sysClr val="windowText" lastClr="000000"/>
              </a:solidFill>
            </a:rPr>
            <a:t>, bao gồm nhưng không giới hạn ở nội dung, cấu trúc, thiết kế, mô hình dữ liệu, công thức, chức năng, giao diện, tài liệu hướng dẫn và tất cả các tài liệu liên quan, </a:t>
          </a:r>
          <a:r>
            <a:rPr lang="vi-VN" sz="1100" b="1">
              <a:solidFill>
                <a:sysClr val="windowText" lastClr="000000"/>
              </a:solidFill>
            </a:rPr>
            <a:t>là tài sản trí tuệ thuộc sở hữu của </a:t>
          </a:r>
          <a:r>
            <a:rPr lang="en-US" sz="1100" b="1">
              <a:solidFill>
                <a:sysClr val="windowText" lastClr="000000"/>
              </a:solidFill>
            </a:rPr>
            <a:t>Ông</a:t>
          </a:r>
          <a:r>
            <a:rPr lang="en-US" sz="1100" b="1" baseline="0">
              <a:solidFill>
                <a:sysClr val="windowText" lastClr="000000"/>
              </a:solidFill>
            </a:rPr>
            <a:t> Lê Đức Anh</a:t>
          </a:r>
          <a:r>
            <a:rPr lang="vi-VN" sz="1100" b="1">
              <a:solidFill>
                <a:sysClr val="windowText" lastClr="000000"/>
              </a:solidFill>
            </a:rPr>
            <a:t> </a:t>
          </a:r>
          <a:r>
            <a:rPr lang="vi-VN" sz="1100">
              <a:solidFill>
                <a:sysClr val="windowText" lastClr="000000"/>
              </a:solidFill>
            </a:rPr>
            <a:t>(Chủ </a:t>
          </a:r>
          <a:r>
            <a:rPr lang="en-US" sz="1100">
              <a:solidFill>
                <a:sysClr val="windowText" lastClr="000000"/>
              </a:solidFill>
            </a:rPr>
            <a:t>s</a:t>
          </a:r>
          <a:r>
            <a:rPr lang="vi-VN" sz="1100">
              <a:solidFill>
                <a:sysClr val="windowText" lastClr="000000"/>
              </a:solidFill>
            </a:rPr>
            <a:t>ở </a:t>
          </a:r>
          <a:r>
            <a:rPr lang="en-US" sz="1100">
              <a:solidFill>
                <a:sysClr val="windowText" lastClr="000000"/>
              </a:solidFill>
            </a:rPr>
            <a:t>h</a:t>
          </a:r>
          <a:r>
            <a:rPr lang="vi-VN" sz="1100">
              <a:solidFill>
                <a:sysClr val="windowText" lastClr="000000"/>
              </a:solidFill>
            </a:rPr>
            <a:t>ữu)</a:t>
          </a:r>
          <a:r>
            <a:rPr lang="en-US" sz="1100" baseline="0">
              <a:solidFill>
                <a:sysClr val="windowText" lastClr="000000"/>
              </a:solidFill>
            </a:rPr>
            <a:t> - người sáng lập và giám đốc Công ty TNHH Tư vấn Quản trị FIRM (FIRMMC Co.,), </a:t>
          </a:r>
          <a:r>
            <a:rPr lang="en-US" sz="1100" b="1" baseline="0">
              <a:solidFill>
                <a:sysClr val="windowText" lastClr="000000"/>
              </a:solidFill>
            </a:rPr>
            <a:t>đã cấp quyền cho FIRMMC Co., khai thác thương mại</a:t>
          </a:r>
          <a:r>
            <a:rPr lang="en-US" sz="1100" baseline="0">
              <a:solidFill>
                <a:sysClr val="windowText" lastClr="000000"/>
              </a:solidFill>
            </a:rPr>
            <a:t> Phần mềm bằng Hợp đồng Thương mại số HĐTM/FIRMMC/2025-01</a:t>
          </a:r>
          <a:endParaRPr lang="vi-VN" sz="1100">
            <a:solidFill>
              <a:sysClr val="windowText" lastClr="000000"/>
            </a:solidFill>
          </a:endParaRPr>
        </a:p>
        <a:p>
          <a:pPr>
            <a:lnSpc>
              <a:spcPct val="100000"/>
            </a:lnSpc>
            <a:spcBef>
              <a:spcPts val="600"/>
            </a:spcBef>
          </a:pPr>
          <a:r>
            <a:rPr lang="vi-VN" sz="1100">
              <a:solidFill>
                <a:sysClr val="windowText" lastClr="000000"/>
              </a:solidFill>
            </a:rPr>
            <a:t>Mọi quyền được bảo lưu. </a:t>
          </a:r>
          <a:r>
            <a:rPr lang="vi-VN" sz="1100" b="1">
              <a:solidFill>
                <a:sysClr val="windowText" lastClr="000000"/>
              </a:solidFill>
            </a:rPr>
            <a:t>Nghiêm cấm sao chép, tái sản xuất, chỉnh sửa, phân phối hoặc sử dụng cho mục đích thương mại bất kỳ phần nào của sản phẩm này</a:t>
          </a:r>
          <a:r>
            <a:rPr lang="vi-VN" sz="1100">
              <a:solidFill>
                <a:sysClr val="windowText" lastClr="000000"/>
              </a:solidFill>
            </a:rPr>
            <a:t> khi chưa có sự đồng ý bằng văn bản của Chủ Sở Hữu.</a:t>
          </a:r>
        </a:p>
        <a:p>
          <a:pPr>
            <a:lnSpc>
              <a:spcPct val="100000"/>
            </a:lnSpc>
            <a:spcBef>
              <a:spcPts val="600"/>
            </a:spcBef>
          </a:pPr>
          <a:r>
            <a:rPr lang="vi-VN" sz="1100" b="1">
              <a:solidFill>
                <a:sysClr val="windowText" lastClr="000000"/>
              </a:solidFill>
            </a:rPr>
            <a:t>"Easy Quản Trị" và các biểu tượng, logo, khẩu hiệu, thiết kế liên quan đều là thương hiệu độc quyền của Chủ Sở Hữu</a:t>
          </a:r>
          <a:r>
            <a:rPr lang="vi-VN" sz="1100">
              <a:solidFill>
                <a:sysClr val="windowText" lastClr="000000"/>
              </a:solidFill>
            </a:rPr>
            <a:t>. Bất kỳ hành vi sử dụng trái phép, sao chép hoặc khai thác thương hiệu đều bị nghiêm cấm và có thể dẫn đến các hành động pháp lý.</a:t>
          </a:r>
        </a:p>
        <a:p>
          <a:pPr>
            <a:lnSpc>
              <a:spcPct val="100000"/>
            </a:lnSpc>
            <a:spcBef>
              <a:spcPts val="600"/>
            </a:spcBef>
          </a:pPr>
          <a:r>
            <a:rPr lang="vi-VN" sz="1100">
              <a:solidFill>
                <a:sysClr val="windowText" lastClr="000000"/>
              </a:solidFill>
            </a:rPr>
            <a:t>Sản phẩm này được </a:t>
          </a:r>
          <a:r>
            <a:rPr lang="vi-VN" sz="1100" b="1">
              <a:solidFill>
                <a:sysClr val="windowText" lastClr="000000"/>
              </a:solidFill>
            </a:rPr>
            <a:t>bảo vệ bởi Luật Sở hữu trí tuệ Việt Nam và các hiệp ước quốc tế về bản quyền liên quan</a:t>
          </a:r>
          <a:r>
            <a:rPr lang="vi-VN" sz="1100">
              <a:solidFill>
                <a:sysClr val="windowText" lastClr="000000"/>
              </a:solidFill>
            </a:rPr>
            <a:t>.</a:t>
          </a:r>
        </a:p>
        <a:p>
          <a:pPr>
            <a:lnSpc>
              <a:spcPct val="100000"/>
            </a:lnSpc>
            <a:spcBef>
              <a:spcPts val="600"/>
            </a:spcBef>
          </a:pPr>
          <a:r>
            <a:rPr lang="vi-VN" sz="1100">
              <a:solidFill>
                <a:sysClr val="windowText" lastClr="000000"/>
              </a:solidFill>
            </a:rPr>
            <a:t>© </a:t>
          </a:r>
          <a:r>
            <a:rPr lang="en-US" sz="1100">
              <a:solidFill>
                <a:sysClr val="windowText" lastClr="000000"/>
              </a:solidFill>
            </a:rPr>
            <a:t>2025 Lê</a:t>
          </a:r>
          <a:r>
            <a:rPr lang="en-US" sz="1100" baseline="0">
              <a:solidFill>
                <a:sysClr val="windowText" lastClr="000000"/>
              </a:solidFill>
            </a:rPr>
            <a:t> Đức Anh</a:t>
          </a:r>
          <a:r>
            <a:rPr lang="vi-VN" sz="1100">
              <a:solidFill>
                <a:sysClr val="windowText" lastClr="000000"/>
              </a:solidFill>
            </a:rPr>
            <a:t>. Bảo lưu mọi quyền.</a:t>
          </a:r>
          <a:endParaRPr lang="en-US" sz="1100">
            <a:solidFill>
              <a:sysClr val="windowText" lastClr="000000"/>
            </a:solidFill>
          </a:endParaRPr>
        </a:p>
        <a:p>
          <a:pPr>
            <a:lnSpc>
              <a:spcPct val="150000"/>
            </a:lnSpc>
            <a:spcBef>
              <a:spcPts val="600"/>
            </a:spcBef>
          </a:pPr>
          <a:endParaRPr lang="en-US" sz="1100">
            <a:solidFill>
              <a:sysClr val="windowText" lastClr="000000"/>
            </a:solidFill>
          </a:endParaRPr>
        </a:p>
        <a:p>
          <a:r>
            <a:rPr lang="vi-VN" sz="1800" b="1">
              <a:solidFill>
                <a:sysClr val="windowText" lastClr="000000"/>
              </a:solidFill>
            </a:rPr>
            <a:t>COPYRIGHT AND TRADEMARK OWNERSHIP STATEMENT</a:t>
          </a:r>
          <a:endParaRPr lang="vi-VN" sz="1800">
            <a:solidFill>
              <a:sysClr val="windowText" lastClr="000000"/>
            </a:solidFill>
          </a:endParaRPr>
        </a:p>
        <a:p>
          <a:pPr>
            <a:spcBef>
              <a:spcPts val="600"/>
            </a:spcBef>
          </a:pPr>
          <a:r>
            <a:rPr lang="vi-VN" sz="1100" b="1" baseline="0">
              <a:solidFill>
                <a:sysClr val="windowText" lastClr="000000"/>
              </a:solidFill>
              <a:latin typeface="+mn-lt"/>
              <a:ea typeface="+mn-ea"/>
              <a:cs typeface="+mn-cs"/>
            </a:rPr>
            <a:t>The Easy Quản Trị software©</a:t>
          </a: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Software</a:t>
          </a:r>
          <a:r>
            <a:rPr lang="vi-VN" sz="1100" baseline="0">
              <a:solidFill>
                <a:sysClr val="windowText" lastClr="000000"/>
              </a:solidFill>
              <a:latin typeface="+mn-lt"/>
              <a:ea typeface="+mn-ea"/>
              <a:cs typeface="+mn-cs"/>
            </a:rPr>
            <a:t>), including but not limited to its content, structure, design, data models, formulas, functions, interfaces, documentation, and all related materials, </a:t>
          </a:r>
          <a:r>
            <a:rPr lang="vi-VN" sz="1100" b="1" baseline="0">
              <a:solidFill>
                <a:sysClr val="windowText" lastClr="000000"/>
              </a:solidFill>
              <a:latin typeface="+mn-lt"/>
              <a:ea typeface="+mn-ea"/>
              <a:cs typeface="+mn-cs"/>
            </a:rPr>
            <a:t>is the intellectual property o</a:t>
          </a:r>
          <a:r>
            <a:rPr lang="en-US" sz="1100" b="1" baseline="0">
              <a:solidFill>
                <a:sysClr val="windowText" lastClr="000000"/>
              </a:solidFill>
              <a:latin typeface="+mn-lt"/>
              <a:ea typeface="+mn-ea"/>
              <a:cs typeface="+mn-cs"/>
            </a:rPr>
            <a:t>wned by Mr. Le Duc Anh</a:t>
          </a:r>
          <a:r>
            <a:rPr lang="vi-VN" sz="1100" baseline="0">
              <a:solidFill>
                <a:sysClr val="windowText" lastClr="000000"/>
              </a:solidFill>
              <a:latin typeface="+mn-lt"/>
              <a:ea typeface="+mn-ea"/>
              <a:cs typeface="+mn-cs"/>
            </a:rPr>
            <a:t> (Owner)</a:t>
          </a:r>
          <a:r>
            <a:rPr lang="en-US" sz="1100" baseline="0">
              <a:solidFill>
                <a:sysClr val="windowText" lastClr="000000"/>
              </a:solidFill>
              <a:latin typeface="+mn-lt"/>
              <a:ea typeface="+mn-ea"/>
              <a:cs typeface="+mn-cs"/>
            </a:rPr>
            <a:t> - the founder and director of FIRM Management Consulting Co., Ltd (FIRMMC Co.,), who has </a:t>
          </a:r>
          <a:r>
            <a:rPr lang="en-US" sz="1100" b="1" baseline="0">
              <a:solidFill>
                <a:sysClr val="windowText" lastClr="000000"/>
              </a:solidFill>
              <a:latin typeface="+mn-lt"/>
              <a:ea typeface="+mn-ea"/>
              <a:cs typeface="+mn-cs"/>
            </a:rPr>
            <a:t>authorized FIRMMC Co., to commercially exploit the Software </a:t>
          </a:r>
          <a:r>
            <a:rPr lang="en-US" sz="1100" baseline="0">
              <a:solidFill>
                <a:sysClr val="windowText" lastClr="000000"/>
              </a:solidFill>
              <a:latin typeface="+mn-lt"/>
              <a:ea typeface="+mn-ea"/>
              <a:cs typeface="+mn-cs"/>
            </a:rPr>
            <a:t>under Commercial Contract No. HĐTM/FIRMMC/2025-01</a:t>
          </a:r>
          <a:endParaRPr lang="vi-VN" sz="1100" baseline="0">
            <a:solidFill>
              <a:sysClr val="windowText" lastClr="000000"/>
            </a:solidFill>
            <a:latin typeface="+mn-lt"/>
            <a:ea typeface="+mn-ea"/>
            <a:cs typeface="+mn-cs"/>
          </a:endParaRPr>
        </a:p>
        <a:p>
          <a:pPr>
            <a:spcBef>
              <a:spcPts val="600"/>
            </a:spcBef>
          </a:pPr>
          <a:r>
            <a:rPr lang="vi-VN" sz="1100" baseline="0">
              <a:solidFill>
                <a:sysClr val="windowText" lastClr="000000"/>
              </a:solidFill>
              <a:latin typeface="+mn-lt"/>
              <a:ea typeface="+mn-ea"/>
              <a:cs typeface="+mn-cs"/>
            </a:rPr>
            <a:t>All rights are reserved. </a:t>
          </a:r>
          <a:r>
            <a:rPr lang="vi-VN" sz="1100" b="1" baseline="0">
              <a:solidFill>
                <a:sysClr val="windowText" lastClr="000000"/>
              </a:solidFill>
              <a:latin typeface="+mn-lt"/>
              <a:ea typeface="+mn-ea"/>
              <a:cs typeface="+mn-cs"/>
            </a:rPr>
            <a:t>Unauthorized copying, reproduction, modification, distribution, or commercial use of any part of this product </a:t>
          </a:r>
          <a:r>
            <a:rPr lang="vi-VN" sz="1100" baseline="0">
              <a:solidFill>
                <a:sysClr val="windowText" lastClr="000000"/>
              </a:solidFill>
              <a:latin typeface="+mn-lt"/>
              <a:ea typeface="+mn-ea"/>
              <a:cs typeface="+mn-cs"/>
            </a:rPr>
            <a:t>without prior written consent from the Owner </a:t>
          </a:r>
          <a:r>
            <a:rPr lang="vi-VN" sz="1100" b="1" baseline="0">
              <a:solidFill>
                <a:sysClr val="windowText" lastClr="000000"/>
              </a:solidFill>
              <a:latin typeface="+mn-lt"/>
              <a:ea typeface="+mn-ea"/>
              <a:cs typeface="+mn-cs"/>
            </a:rPr>
            <a:t>is strictly prohibited and constitutes a violation of copyright law</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a:t>
          </a:r>
          <a:r>
            <a:rPr lang="vi-VN" sz="1100" b="1" baseline="0">
              <a:solidFill>
                <a:sysClr val="windowText" lastClr="000000"/>
              </a:solidFill>
              <a:latin typeface="+mn-lt"/>
              <a:ea typeface="+mn-ea"/>
              <a:cs typeface="+mn-cs"/>
            </a:rPr>
            <a:t>Easy Quản Trị" and any associated logos, icons, slogans, or designs are proprietary trademarks owned by the Owner</a:t>
          </a:r>
          <a:r>
            <a:rPr lang="vi-VN" sz="1100" baseline="0">
              <a:solidFill>
                <a:sysClr val="windowText" lastClr="000000"/>
              </a:solidFill>
              <a:latin typeface="+mn-lt"/>
              <a:ea typeface="+mn-ea"/>
              <a:cs typeface="+mn-cs"/>
            </a:rPr>
            <a:t>. Any unauthorized use, imitation, or exploitation of these trademarks is strictly prohibited and may result in legal action.</a:t>
          </a:r>
        </a:p>
        <a:p>
          <a:pPr>
            <a:spcBef>
              <a:spcPts val="600"/>
            </a:spcBef>
          </a:pPr>
          <a:r>
            <a:rPr lang="vi-VN" sz="1100" baseline="0">
              <a:solidFill>
                <a:sysClr val="windowText" lastClr="000000"/>
              </a:solidFill>
              <a:latin typeface="+mn-lt"/>
              <a:ea typeface="+mn-ea"/>
              <a:cs typeface="+mn-cs"/>
            </a:rPr>
            <a:t>This product is </a:t>
          </a:r>
          <a:r>
            <a:rPr lang="vi-VN" sz="1100" b="1" baseline="0">
              <a:solidFill>
                <a:sysClr val="windowText" lastClr="000000"/>
              </a:solidFill>
              <a:latin typeface="+mn-lt"/>
              <a:ea typeface="+mn-ea"/>
              <a:cs typeface="+mn-cs"/>
            </a:rPr>
            <a:t>protected by Vietnamese Intellectual Property Law and applicable international copyright treaties</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2025 Le Duc Anh. </a:t>
          </a:r>
          <a:r>
            <a:rPr lang="vi-VN" sz="1100" baseline="0">
              <a:solidFill>
                <a:sysClr val="windowText" lastClr="000000"/>
              </a:solidFill>
              <a:latin typeface="+mn-lt"/>
              <a:ea typeface="+mn-ea"/>
              <a:cs typeface="+mn-cs"/>
            </a:rPr>
            <a:t>All rights reserved.</a:t>
          </a:r>
        </a:p>
        <a:p>
          <a:pPr>
            <a:lnSpc>
              <a:spcPct val="150000"/>
            </a:lnSpc>
            <a:spcBef>
              <a:spcPts val="600"/>
            </a:spcBef>
          </a:pPr>
          <a:endParaRPr lang="vi-VN" sz="1100">
            <a:solidFill>
              <a:sysClr val="windowText" lastClr="000000"/>
            </a:solidFill>
          </a:endParaRPr>
        </a:p>
      </xdr:txBody>
    </xdr:sp>
    <xdr:clientData/>
  </xdr:twoCellAnchor>
  <mc:AlternateContent xmlns:mc="http://schemas.openxmlformats.org/markup-compatibility/2006">
    <mc:Choice xmlns:a14="http://schemas.microsoft.com/office/drawing/2010/main" Requires="a14">
      <xdr:twoCellAnchor editAs="oneCell">
        <xdr:from>
          <xdr:col>9</xdr:col>
          <xdr:colOff>571500</xdr:colOff>
          <xdr:row>0</xdr:row>
          <xdr:rowOff>123825</xdr:rowOff>
        </xdr:from>
        <xdr:to>
          <xdr:col>12</xdr:col>
          <xdr:colOff>47625</xdr:colOff>
          <xdr:row>1</xdr:row>
          <xdr:rowOff>161925</xdr:rowOff>
        </xdr:to>
        <xdr:sp macro="" textlink="">
          <xdr:nvSpPr>
            <xdr:cNvPr id="1025" name="ThemeSelector"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57151</xdr:colOff>
          <xdr:row>0</xdr:row>
          <xdr:rowOff>104775</xdr:rowOff>
        </xdr:from>
        <xdr:to>
          <xdr:col>14</xdr:col>
          <xdr:colOff>866775</xdr:colOff>
          <xdr:row>1</xdr:row>
          <xdr:rowOff>180975</xdr:rowOff>
        </xdr:to>
        <xdr:grpSp>
          <xdr:nvGrpSpPr>
            <xdr:cNvPr id="4" name="Group 3">
              <a:extLst>
                <a:ext uri="{FF2B5EF4-FFF2-40B4-BE49-F238E27FC236}">
                  <a16:creationId xmlns:a16="http://schemas.microsoft.com/office/drawing/2014/main" id="{00000000-0008-0000-2B00-000004000000}"/>
                </a:ext>
              </a:extLst>
            </xdr:cNvPr>
            <xdr:cNvGrpSpPr/>
          </xdr:nvGrpSpPr>
          <xdr:grpSpPr>
            <a:xfrm>
              <a:off x="247651" y="104775"/>
              <a:ext cx="3695699" cy="361950"/>
              <a:chOff x="6162676" y="3409950"/>
              <a:chExt cx="3695699" cy="361950"/>
            </a:xfrm>
          </xdr:grpSpPr>
          <xdr:grpSp>
            <xdr:nvGrpSpPr>
              <xdr:cNvPr id="8" name="Group 7">
                <a:extLst>
                  <a:ext uri="{FF2B5EF4-FFF2-40B4-BE49-F238E27FC236}">
                    <a16:creationId xmlns:a16="http://schemas.microsoft.com/office/drawing/2014/main" id="{00000000-0008-0000-2B00-000008000000}"/>
                  </a:ext>
                </a:extLst>
              </xdr:cNvPr>
              <xdr:cNvGrpSpPr/>
            </xdr:nvGrpSpPr>
            <xdr:grpSpPr>
              <a:xfrm>
                <a:off x="7867650" y="3409950"/>
                <a:ext cx="1990725" cy="361950"/>
                <a:chOff x="8191500" y="3409950"/>
                <a:chExt cx="1990725" cy="361950"/>
              </a:xfrm>
            </xdr:grpSpPr>
            <xdr:grpSp>
              <xdr:nvGrpSpPr>
                <xdr:cNvPr id="11" name="Group 10">
                  <a:extLst>
                    <a:ext uri="{FF2B5EF4-FFF2-40B4-BE49-F238E27FC236}">
                      <a16:creationId xmlns:a16="http://schemas.microsoft.com/office/drawing/2014/main" id="{00000000-0008-0000-2B00-00000B000000}"/>
                    </a:ext>
                  </a:extLst>
                </xdr:cNvPr>
                <xdr:cNvGrpSpPr/>
              </xdr:nvGrpSpPr>
              <xdr:grpSpPr>
                <a:xfrm>
                  <a:off x="8302013" y="3452813"/>
                  <a:ext cx="1769699" cy="276225"/>
                  <a:chOff x="8305801" y="3457575"/>
                  <a:chExt cx="1769699" cy="276225"/>
                </a:xfrm>
              </xdr:grpSpPr>
              <xdr:sp macro="" textlink="">
                <xdr:nvSpPr>
                  <xdr:cNvPr id="79878" name="Option Button 6" hidden="1">
                    <a:extLst>
                      <a:ext uri="{63B3BB69-23CF-44E3-9099-C40C66FF867C}">
                        <a14:compatExt spid="_x0000_s79878"/>
                      </a:ext>
                      <a:ext uri="{FF2B5EF4-FFF2-40B4-BE49-F238E27FC236}">
                        <a16:creationId xmlns:a16="http://schemas.microsoft.com/office/drawing/2014/main" id="{00000000-0008-0000-0200-0000063801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79879" name="Option Button 7" hidden="1">
                    <a:extLst>
                      <a:ext uri="{63B3BB69-23CF-44E3-9099-C40C66FF867C}">
                        <a14:compatExt spid="_x0000_s79879"/>
                      </a:ext>
                      <a:ext uri="{FF2B5EF4-FFF2-40B4-BE49-F238E27FC236}">
                        <a16:creationId xmlns:a16="http://schemas.microsoft.com/office/drawing/2014/main" id="{00000000-0008-0000-0200-0000073801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79880" name="Option Button 8" hidden="1">
                    <a:extLst>
                      <a:ext uri="{63B3BB69-23CF-44E3-9099-C40C66FF867C}">
                        <a14:compatExt spid="_x0000_s79880"/>
                      </a:ext>
                      <a:ext uri="{FF2B5EF4-FFF2-40B4-BE49-F238E27FC236}">
                        <a16:creationId xmlns:a16="http://schemas.microsoft.com/office/drawing/2014/main" id="{00000000-0008-0000-0200-0000083801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79881" name="Option Button 9" hidden="1">
                    <a:extLst>
                      <a:ext uri="{63B3BB69-23CF-44E3-9099-C40C66FF867C}">
                        <a14:compatExt spid="_x0000_s79881"/>
                      </a:ext>
                      <a:ext uri="{FF2B5EF4-FFF2-40B4-BE49-F238E27FC236}">
                        <a16:creationId xmlns:a16="http://schemas.microsoft.com/office/drawing/2014/main" id="{00000000-0008-0000-0200-0000093801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79882" name="Group Box 10" hidden="1">
                  <a:extLst>
                    <a:ext uri="{63B3BB69-23CF-44E3-9099-C40C66FF867C}">
                      <a14:compatExt spid="_x0000_s79882"/>
                    </a:ext>
                    <a:ext uri="{FF2B5EF4-FFF2-40B4-BE49-F238E27FC236}">
                      <a16:creationId xmlns:a16="http://schemas.microsoft.com/office/drawing/2014/main" id="{00000000-0008-0000-0200-00000A3801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9" name="Group 8">
                <a:extLst>
                  <a:ext uri="{FF2B5EF4-FFF2-40B4-BE49-F238E27FC236}">
                    <a16:creationId xmlns:a16="http://schemas.microsoft.com/office/drawing/2014/main" id="{00000000-0008-0000-2B00-000009000000}"/>
                  </a:ext>
                </a:extLst>
              </xdr:cNvPr>
              <xdr:cNvGrpSpPr/>
            </xdr:nvGrpSpPr>
            <xdr:grpSpPr>
              <a:xfrm>
                <a:off x="6162676" y="3409950"/>
                <a:ext cx="1657350" cy="361950"/>
                <a:chOff x="6162676" y="3409950"/>
                <a:chExt cx="1657350" cy="361950"/>
              </a:xfrm>
            </xdr:grpSpPr>
            <xdr:sp macro="" textlink="">
              <xdr:nvSpPr>
                <xdr:cNvPr id="79883" name="Group Box 11" hidden="1">
                  <a:extLst>
                    <a:ext uri="{63B3BB69-23CF-44E3-9099-C40C66FF867C}">
                      <a14:compatExt spid="_x0000_s79883"/>
                    </a:ext>
                    <a:ext uri="{FF2B5EF4-FFF2-40B4-BE49-F238E27FC236}">
                      <a16:creationId xmlns:a16="http://schemas.microsoft.com/office/drawing/2014/main" id="{00000000-0008-0000-0200-00000B3801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0" name="Group 9">
                  <a:extLst>
                    <a:ext uri="{FF2B5EF4-FFF2-40B4-BE49-F238E27FC236}">
                      <a16:creationId xmlns:a16="http://schemas.microsoft.com/office/drawing/2014/main" id="{00000000-0008-0000-2B00-00000A000000}"/>
                    </a:ext>
                  </a:extLst>
                </xdr:cNvPr>
                <xdr:cNvGrpSpPr/>
              </xdr:nvGrpSpPr>
              <xdr:grpSpPr>
                <a:xfrm>
                  <a:off x="6243639" y="3500925"/>
                  <a:ext cx="1495425" cy="180000"/>
                  <a:chOff x="6029325" y="4257675"/>
                  <a:chExt cx="1495425" cy="257175"/>
                </a:xfrm>
              </xdr:grpSpPr>
              <xdr:sp macro="" textlink="">
                <xdr:nvSpPr>
                  <xdr:cNvPr id="79884" name="Button 12" hidden="1">
                    <a:extLst>
                      <a:ext uri="{63B3BB69-23CF-44E3-9099-C40C66FF867C}">
                        <a14:compatExt spid="_x0000_s79884"/>
                      </a:ext>
                      <a:ext uri="{FF2B5EF4-FFF2-40B4-BE49-F238E27FC236}">
                        <a16:creationId xmlns:a16="http://schemas.microsoft.com/office/drawing/2014/main" id="{00000000-0008-0000-0200-00000C3801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79885" name="Button 13" hidden="1">
                    <a:extLst>
                      <a:ext uri="{63B3BB69-23CF-44E3-9099-C40C66FF867C}">
                        <a14:compatExt spid="_x0000_s79885"/>
                      </a:ext>
                      <a:ext uri="{FF2B5EF4-FFF2-40B4-BE49-F238E27FC236}">
                        <a16:creationId xmlns:a16="http://schemas.microsoft.com/office/drawing/2014/main" id="{00000000-0008-0000-0200-00000D3801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79886" name="Button 14" hidden="1">
                    <a:extLst>
                      <a:ext uri="{63B3BB69-23CF-44E3-9099-C40C66FF867C}">
                        <a14:compatExt spid="_x0000_s79886"/>
                      </a:ext>
                      <a:ext uri="{FF2B5EF4-FFF2-40B4-BE49-F238E27FC236}">
                        <a16:creationId xmlns:a16="http://schemas.microsoft.com/office/drawing/2014/main" id="{00000000-0008-0000-0200-00000E3801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14</xdr:col>
          <xdr:colOff>1943100</xdr:colOff>
          <xdr:row>0</xdr:row>
          <xdr:rowOff>152400</xdr:rowOff>
        </xdr:from>
        <xdr:to>
          <xdr:col>15</xdr:col>
          <xdr:colOff>942975</xdr:colOff>
          <xdr:row>1</xdr:row>
          <xdr:rowOff>123825</xdr:rowOff>
        </xdr:to>
        <xdr:grpSp>
          <xdr:nvGrpSpPr>
            <xdr:cNvPr id="23" name="Group 22">
              <a:extLst>
                <a:ext uri="{FF2B5EF4-FFF2-40B4-BE49-F238E27FC236}">
                  <a16:creationId xmlns:a16="http://schemas.microsoft.com/office/drawing/2014/main" id="{00000000-0008-0000-2B00-000017000000}"/>
                </a:ext>
              </a:extLst>
            </xdr:cNvPr>
            <xdr:cNvGrpSpPr/>
          </xdr:nvGrpSpPr>
          <xdr:grpSpPr>
            <a:xfrm>
              <a:off x="5019675" y="152400"/>
              <a:ext cx="990600" cy="257175"/>
              <a:chOff x="771525" y="1314450"/>
              <a:chExt cx="990600" cy="257175"/>
            </a:xfrm>
          </xdr:grpSpPr>
          <xdr:sp macro="" textlink="">
            <xdr:nvSpPr>
              <xdr:cNvPr id="79887" name="Button 15" hidden="1">
                <a:extLst>
                  <a:ext uri="{63B3BB69-23CF-44E3-9099-C40C66FF867C}">
                    <a14:compatExt spid="_x0000_s79887"/>
                  </a:ext>
                  <a:ext uri="{FF2B5EF4-FFF2-40B4-BE49-F238E27FC236}">
                    <a16:creationId xmlns:a16="http://schemas.microsoft.com/office/drawing/2014/main" id="{00000000-0008-0000-0200-00000F3801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79888" name="Button 16" hidden="1">
                <a:extLst>
                  <a:ext uri="{63B3BB69-23CF-44E3-9099-C40C66FF867C}">
                    <a14:compatExt spid="_x0000_s79888"/>
                  </a:ext>
                  <a:ext uri="{FF2B5EF4-FFF2-40B4-BE49-F238E27FC236}">
                    <a16:creationId xmlns:a16="http://schemas.microsoft.com/office/drawing/2014/main" id="{00000000-0008-0000-0200-0000103801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xdr:twoCellAnchor>
    <xdr:from>
      <xdr:col>20</xdr:col>
      <xdr:colOff>942975</xdr:colOff>
      <xdr:row>2</xdr:row>
      <xdr:rowOff>38100</xdr:rowOff>
    </xdr:from>
    <xdr:to>
      <xdr:col>35</xdr:col>
      <xdr:colOff>1095375</xdr:colOff>
      <xdr:row>19</xdr:row>
      <xdr:rowOff>111900</xdr:rowOff>
    </xdr:to>
    <xdr:graphicFrame macro="">
      <xdr:nvGraphicFramePr>
        <xdr:cNvPr id="2" name="Chart 1">
          <a:extLst>
            <a:ext uri="{FF2B5EF4-FFF2-40B4-BE49-F238E27FC236}">
              <a16:creationId xmlns:a16="http://schemas.microsoft.com/office/drawing/2014/main" id="{9D51A4C1-AF6A-C713-155E-6B55BBCF3AE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9525</xdr:colOff>
      <xdr:row>2</xdr:row>
      <xdr:rowOff>38099</xdr:rowOff>
    </xdr:from>
    <xdr:to>
      <xdr:col>20</xdr:col>
      <xdr:colOff>876300</xdr:colOff>
      <xdr:row>19</xdr:row>
      <xdr:rowOff>111899</xdr:rowOff>
    </xdr:to>
    <xdr:graphicFrame macro="">
      <xdr:nvGraphicFramePr>
        <xdr:cNvPr id="3" name="Chart 2">
          <a:extLst>
            <a:ext uri="{FF2B5EF4-FFF2-40B4-BE49-F238E27FC236}">
              <a16:creationId xmlns:a16="http://schemas.microsoft.com/office/drawing/2014/main" id="{5C129C20-6F47-463F-A4B4-65F29664704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30</xdr:col>
          <xdr:colOff>95250</xdr:colOff>
          <xdr:row>0</xdr:row>
          <xdr:rowOff>95250</xdr:rowOff>
        </xdr:from>
        <xdr:to>
          <xdr:col>31</xdr:col>
          <xdr:colOff>0</xdr:colOff>
          <xdr:row>1</xdr:row>
          <xdr:rowOff>66675</xdr:rowOff>
        </xdr:to>
        <xdr:sp macro="" textlink="">
          <xdr:nvSpPr>
            <xdr:cNvPr id="79893" name="Button 21" hidden="1">
              <a:extLst>
                <a:ext uri="{63B3BB69-23CF-44E3-9099-C40C66FF867C}">
                  <a14:compatExt spid="_x0000_s79893"/>
                </a:ext>
                <a:ext uri="{FF2B5EF4-FFF2-40B4-BE49-F238E27FC236}">
                  <a16:creationId xmlns:a16="http://schemas.microsoft.com/office/drawing/2014/main" id="{00000000-0008-0000-0200-00001538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Cập nhật</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Anh" refreshedDate="45805.478097569445" createdVersion="8" refreshedVersion="8" minRefreshableVersion="3" recordCount="6" xr:uid="{AE294356-17EC-43CD-A378-5934A4B0D78B}">
  <cacheSource type="worksheet">
    <worksheetSource name="Table_TSCD"/>
  </cacheSource>
  <cacheFields count="17">
    <cacheField name="Mã Tài sản" numFmtId="167">
      <sharedItems count="6">
        <s v="TS6"/>
        <s v="TS5"/>
        <s v="TS4"/>
        <s v="TS3"/>
        <s v="TS2"/>
        <s v="TS1"/>
      </sharedItems>
    </cacheField>
    <cacheField name="Tên tài sản" numFmtId="167">
      <sharedItems containsNonDate="0" containsString="0" containsBlank="1"/>
    </cacheField>
    <cacheField name="Chức năng" numFmtId="167">
      <sharedItems/>
    </cacheField>
    <cacheField name="Phân loại" numFmtId="167">
      <sharedItems count="6">
        <s v="Thương hiệu - Nhãn hiệu"/>
        <s v="Phần mềm - Tài sản số"/>
        <s v="Thiết bị - Dụng cụ quản lý"/>
        <s v="Phương tiện vận tải - truyền dẫn"/>
        <s v="Dây chuyền - Máy móc"/>
        <s v="Nhà cửa - Xây dựng"/>
      </sharedItems>
    </cacheField>
    <cacheField name="Giá trị sổ sách" numFmtId="164">
      <sharedItems containsSemiMixedTypes="0" containsString="0" containsNumber="1" containsInteger="1" minValue="25000000" maxValue="5000000000"/>
    </cacheField>
    <cacheField name="Ngày mua" numFmtId="165">
      <sharedItems containsSemiMixedTypes="0" containsNonDate="0" containsDate="1" containsString="0" minDate="2023-03-12T00:00:00" maxDate="2024-02-15T00:00:00"/>
    </cacheField>
    <cacheField name="Năm khấu hao" numFmtId="164">
      <sharedItems containsSemiMixedTypes="0" containsString="0" containsNumber="1" containsInteger="1" minValue="3" maxValue="25"/>
    </cacheField>
    <cacheField name="Tháng khấu hao" numFmtId="164">
      <sharedItems containsSemiMixedTypes="0" containsString="0" containsNumber="1" containsInteger="1" minValue="36" maxValue="300"/>
    </cacheField>
    <cacheField name="Ngày vận hành" numFmtId="165">
      <sharedItems containsSemiMixedTypes="0" containsNonDate="0" containsDate="1" containsString="0" minDate="2023-03-12T00:00:00" maxDate="2024-04-19T00:00:00"/>
    </cacheField>
    <cacheField name="Ngày thanh lý" numFmtId="165">
      <sharedItems containsNonDate="0" containsString="0" containsBlank="1"/>
    </cacheField>
    <cacheField name="Ngày kết thúc" numFmtId="168">
      <sharedItems containsSemiMixedTypes="0" containsNonDate="0" containsDate="1" containsString="0" minDate="2027-02-14T00:00:00" maxDate="2048-03-12T00:00:00"/>
    </cacheField>
    <cacheField name="Giá trị khấu hao (tháng)" numFmtId="164">
      <sharedItems containsSemiMixedTypes="0" containsString="0" containsNumber="1" minValue="694444.4444444445" maxValue="20833333.333333332"/>
    </cacheField>
    <cacheField name="Số ngày vận hành" numFmtId="0">
      <sharedItems containsSemiMixedTypes="0" containsString="0" containsNumber="1" containsInteger="1" minValue="405" maxValue="808"/>
    </cacheField>
    <cacheField name="Khấu hao lũy kế theo ngày" numFmtId="164">
      <sharedItems containsSemiMixedTypes="0" containsString="0" containsNumber="1" minValue="10700433.493041296" maxValue="431211498.97330594"/>
    </cacheField>
    <cacheField name="Tỷ lệ khấu hao" numFmtId="9">
      <sharedItems containsSemiMixedTypes="0" containsString="0" containsNumber="1" minValue="8.6242299794661192E-2" maxValue="0.42801733972165185"/>
    </cacheField>
    <cacheField name="Giá trị còn lại" numFmtId="164">
      <sharedItems containsSemiMixedTypes="0" containsString="0" containsNumber="1" minValue="14299566.506958704" maxValue="4568788501.0266943"/>
    </cacheField>
    <cacheField name="Số ngày còn lại" numFmtId="164">
      <sharedItems containsSemiMixedTypes="0" containsString="0" containsNumber="1" containsInteger="1" minValue="627" maxValue="8323"/>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Anh" refreshedDate="45805.478098842592" createdVersion="8" refreshedVersion="8" minRefreshableVersion="3" recordCount="33" xr:uid="{DC2E6E0F-39ED-43B9-A74B-DFD99FEFE5ED}">
  <cacheSource type="worksheet">
    <worksheetSource name="Table_TSCD_KhauHao"/>
  </cacheSource>
  <cacheFields count="10">
    <cacheField name="Kỳ" numFmtId="165">
      <sharedItems containsSemiMixedTypes="0" containsNonDate="0" containsDate="1" containsString="0" minDate="2023-04-01T00:00:00" maxDate="2025-12-02T00:00:00" count="33">
        <d v="2025-12-01T00:00:00"/>
        <d v="2025-11-01T00:00:00"/>
        <d v="2025-10-01T00:00:00"/>
        <d v="2025-09-01T00:00:00"/>
        <d v="2025-08-01T00:00:00"/>
        <d v="2025-07-01T00:00:00"/>
        <d v="2025-06-01T00:00:00"/>
        <d v="2025-05-01T00:00:00"/>
        <d v="2025-04-01T00:00:00"/>
        <d v="2025-03-01T00:00:00"/>
        <d v="2025-02-01T00:00:00"/>
        <d v="2025-01-01T00:00:00"/>
        <d v="2024-12-01T00:00:00"/>
        <d v="2024-11-01T00:00:00"/>
        <d v="2024-10-01T00:00:00"/>
        <d v="2024-09-01T00:00:00"/>
        <d v="2024-08-01T00:00:00"/>
        <d v="2024-07-01T00:00:00"/>
        <d v="2024-06-01T00:00:00"/>
        <d v="2024-05-01T00:00:00"/>
        <d v="2024-04-01T00:00:00"/>
        <d v="2024-03-01T00:00:00"/>
        <d v="2024-02-01T00:00:00"/>
        <d v="2024-01-01T00:00:00"/>
        <d v="2023-12-01T00:00:00"/>
        <d v="2023-11-01T00:00:00"/>
        <d v="2023-10-01T00:00:00"/>
        <d v="2023-09-01T00:00:00"/>
        <d v="2023-08-01T00:00:00"/>
        <d v="2023-07-01T00:00:00"/>
        <d v="2023-06-01T00:00:00"/>
        <d v="2023-05-01T00:00:00"/>
        <d v="2023-04-01T00:00:00"/>
      </sharedItems>
      <fieldGroup par="9"/>
    </cacheField>
    <cacheField name="Năm" numFmtId="167">
      <sharedItems containsSemiMixedTypes="0" containsString="0" containsNumber="1" containsInteger="1" minValue="2023" maxValue="2025"/>
    </cacheField>
    <cacheField name="Tháng" numFmtId="167">
      <sharedItems containsSemiMixedTypes="0" containsString="0" containsNumber="1" containsInteger="1" minValue="1" maxValue="12"/>
    </cacheField>
    <cacheField name="Khấu hao" numFmtId="167">
      <sharedItems containsSemiMixedTypes="0" containsString="0" containsNumber="1" minValue="10000000" maxValue="51111111.111111104"/>
    </cacheField>
    <cacheField name="Khấu hao sản xuất" numFmtId="167">
      <sharedItems containsSemiMixedTypes="0" containsString="0" containsNumber="1" minValue="10000000" maxValue="30833333.333333332"/>
    </cacheField>
    <cacheField name="Khấu hao bán hàng" numFmtId="167">
      <sharedItems containsSemiMixedTypes="0" containsString="0" containsNumber="1" minValue="0" maxValue="11250000"/>
    </cacheField>
    <cacheField name="Khấu hao quản lý" numFmtId="167">
      <sharedItems containsSemiMixedTypes="0" containsString="0" containsNumber="1" minValue="0" maxValue="9027777.777777778"/>
    </cacheField>
    <cacheField name="Months (Kỳ)" numFmtId="0" databaseField="0">
      <fieldGroup base="0">
        <rangePr groupBy="months" startDate="2023-04-01T00:00:00" endDate="2025-12-02T00:00:00"/>
        <groupItems count="14">
          <s v="&lt;01-04-23"/>
          <s v="Jan"/>
          <s v="Feb"/>
          <s v="Mar"/>
          <s v="Apr"/>
          <s v="May"/>
          <s v="Jun"/>
          <s v="Jul"/>
          <s v="Aug"/>
          <s v="Sep"/>
          <s v="Oct"/>
          <s v="Nov"/>
          <s v="Dec"/>
          <s v="&gt;02-12-25"/>
        </groupItems>
      </fieldGroup>
    </cacheField>
    <cacheField name="Quarters (Kỳ)" numFmtId="0" databaseField="0">
      <fieldGroup base="0">
        <rangePr groupBy="quarters" startDate="2023-04-01T00:00:00" endDate="2025-12-02T00:00:00"/>
        <groupItems count="6">
          <s v="&lt;01-04-23"/>
          <s v="Qtr1"/>
          <s v="Qtr2"/>
          <s v="Qtr3"/>
          <s v="Qtr4"/>
          <s v="&gt;02-12-25"/>
        </groupItems>
      </fieldGroup>
    </cacheField>
    <cacheField name="Years (Kỳ)" numFmtId="0" databaseField="0">
      <fieldGroup base="0">
        <rangePr groupBy="years" startDate="2023-04-01T00:00:00" endDate="2025-12-02T00:00:00"/>
        <groupItems count="5">
          <s v="&lt;01-04-23"/>
          <s v="2023"/>
          <s v="2024"/>
          <s v="2025"/>
          <s v="&gt;02-12-25"/>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
  <r>
    <x v="0"/>
    <m/>
    <s v="Bán hàng"/>
    <x v="0"/>
    <n v="350000000"/>
    <d v="2023-09-06T00:00:00"/>
    <n v="10"/>
    <n v="120"/>
    <d v="2023-09-06T00:00:00"/>
    <m/>
    <d v="2033-09-06T00:00:00"/>
    <n v="2916666.6666666665"/>
    <n v="630"/>
    <n v="60369609.856262833"/>
    <n v="0.17248459958932238"/>
    <n v="289630390.1437372"/>
    <n v="3023"/>
  </r>
  <r>
    <x v="1"/>
    <m/>
    <s v="Văn phòng"/>
    <x v="1"/>
    <n v="25000000"/>
    <d v="2024-02-14T00:00:00"/>
    <n v="3"/>
    <n v="36"/>
    <d v="2024-02-14T00:00:00"/>
    <m/>
    <d v="2027-02-14T00:00:00"/>
    <n v="694444.4444444445"/>
    <n v="469"/>
    <n v="10700433.493041296"/>
    <n v="0.42801733972165185"/>
    <n v="14299566.506958704"/>
    <n v="627"/>
  </r>
  <r>
    <x v="2"/>
    <m/>
    <s v="Văn phòng"/>
    <x v="2"/>
    <n v="500000000"/>
    <d v="2024-02-14T00:00:00"/>
    <n v="5"/>
    <n v="60"/>
    <d v="2024-04-18T00:00:00"/>
    <m/>
    <d v="2029-04-18T00:00:00"/>
    <n v="8333333.333333333"/>
    <n v="405"/>
    <n v="110882956.8788501"/>
    <n v="0.22176591375770022"/>
    <n v="389117043.1211499"/>
    <n v="1421"/>
  </r>
  <r>
    <x v="3"/>
    <m/>
    <s v="Bán hàng"/>
    <x v="3"/>
    <n v="1000000000"/>
    <d v="2023-10-24T00:00:00"/>
    <n v="10"/>
    <n v="120"/>
    <d v="2023-10-24T00:00:00"/>
    <m/>
    <d v="2033-10-24T00:00:00"/>
    <n v="8333333.333333333"/>
    <n v="582"/>
    <n v="159342915.81108829"/>
    <n v="0.15934291581108828"/>
    <n v="840657084.18891168"/>
    <n v="3071"/>
  </r>
  <r>
    <x v="4"/>
    <m/>
    <s v="Sản xuất"/>
    <x v="4"/>
    <n v="5000000000"/>
    <d v="2023-09-06T00:00:00"/>
    <n v="20"/>
    <n v="240"/>
    <d v="2023-09-06T00:00:00"/>
    <m/>
    <d v="2043-09-06T00:00:00"/>
    <n v="20833333.333333332"/>
    <n v="630"/>
    <n v="431211498.97330594"/>
    <n v="8.6242299794661192E-2"/>
    <n v="4568788501.0266943"/>
    <n v="6675"/>
  </r>
  <r>
    <x v="5"/>
    <m/>
    <s v="Sản xuất"/>
    <x v="5"/>
    <n v="3000000000"/>
    <d v="2023-03-12T00:00:00"/>
    <n v="25"/>
    <n v="300"/>
    <d v="2023-03-12T00:00:00"/>
    <m/>
    <d v="2048-03-11T00:00:00"/>
    <n v="10000000"/>
    <n v="808"/>
    <n v="265462012.32032856"/>
    <n v="8.8487337440109518E-2"/>
    <n v="2734537987.6796713"/>
    <n v="832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3">
  <r>
    <x v="0"/>
    <n v="2025"/>
    <n v="12"/>
    <n v="51111111.111111104"/>
    <n v="30833333.333333332"/>
    <n v="11250000"/>
    <n v="9027777.777777778"/>
  </r>
  <r>
    <x v="1"/>
    <n v="2025"/>
    <n v="11"/>
    <n v="51111111.111111104"/>
    <n v="30833333.333333332"/>
    <n v="11250000"/>
    <n v="9027777.777777778"/>
  </r>
  <r>
    <x v="2"/>
    <n v="2025"/>
    <n v="10"/>
    <n v="51111111.111111104"/>
    <n v="30833333.333333332"/>
    <n v="11250000"/>
    <n v="9027777.777777778"/>
  </r>
  <r>
    <x v="3"/>
    <n v="2025"/>
    <n v="9"/>
    <n v="51111111.111111104"/>
    <n v="30833333.333333332"/>
    <n v="11250000"/>
    <n v="9027777.777777778"/>
  </r>
  <r>
    <x v="4"/>
    <n v="2025"/>
    <n v="8"/>
    <n v="51111111.111111104"/>
    <n v="30833333.333333332"/>
    <n v="11250000"/>
    <n v="9027777.777777778"/>
  </r>
  <r>
    <x v="5"/>
    <n v="2025"/>
    <n v="7"/>
    <n v="51111111.111111104"/>
    <n v="30833333.333333332"/>
    <n v="11250000"/>
    <n v="9027777.777777778"/>
  </r>
  <r>
    <x v="6"/>
    <n v="2025"/>
    <n v="6"/>
    <n v="51111111.111111104"/>
    <n v="30833333.333333332"/>
    <n v="11250000"/>
    <n v="9027777.777777778"/>
  </r>
  <r>
    <x v="7"/>
    <n v="2025"/>
    <n v="5"/>
    <n v="51111111.111111104"/>
    <n v="30833333.333333332"/>
    <n v="11250000"/>
    <n v="9027777.777777778"/>
  </r>
  <r>
    <x v="8"/>
    <n v="2025"/>
    <n v="4"/>
    <n v="51111111.111111104"/>
    <n v="30833333.333333332"/>
    <n v="11250000"/>
    <n v="9027777.777777778"/>
  </r>
  <r>
    <x v="9"/>
    <n v="2025"/>
    <n v="3"/>
    <n v="51111111.111111104"/>
    <n v="30833333.333333332"/>
    <n v="11250000"/>
    <n v="9027777.777777778"/>
  </r>
  <r>
    <x v="10"/>
    <n v="2025"/>
    <n v="2"/>
    <n v="51111111.111111104"/>
    <n v="30833333.333333332"/>
    <n v="11250000"/>
    <n v="9027777.777777778"/>
  </r>
  <r>
    <x v="11"/>
    <n v="2025"/>
    <n v="1"/>
    <n v="51111111.111111104"/>
    <n v="30833333.333333332"/>
    <n v="11250000"/>
    <n v="9027777.777777778"/>
  </r>
  <r>
    <x v="12"/>
    <n v="2024"/>
    <n v="12"/>
    <n v="51111111.111111104"/>
    <n v="30833333.333333332"/>
    <n v="11250000"/>
    <n v="9027777.777777778"/>
  </r>
  <r>
    <x v="13"/>
    <n v="2024"/>
    <n v="11"/>
    <n v="51111111.111111104"/>
    <n v="30833333.333333332"/>
    <n v="11250000"/>
    <n v="9027777.777777778"/>
  </r>
  <r>
    <x v="14"/>
    <n v="2024"/>
    <n v="10"/>
    <n v="51111111.111111104"/>
    <n v="30833333.333333332"/>
    <n v="11250000"/>
    <n v="9027777.777777778"/>
  </r>
  <r>
    <x v="15"/>
    <n v="2024"/>
    <n v="9"/>
    <n v="51111111.111111104"/>
    <n v="30833333.333333332"/>
    <n v="11250000"/>
    <n v="9027777.777777778"/>
  </r>
  <r>
    <x v="16"/>
    <n v="2024"/>
    <n v="8"/>
    <n v="51111111.111111104"/>
    <n v="30833333.333333332"/>
    <n v="11250000"/>
    <n v="9027777.777777778"/>
  </r>
  <r>
    <x v="17"/>
    <n v="2024"/>
    <n v="7"/>
    <n v="51111111.111111104"/>
    <n v="30833333.333333332"/>
    <n v="11250000"/>
    <n v="9027777.777777778"/>
  </r>
  <r>
    <x v="18"/>
    <n v="2024"/>
    <n v="6"/>
    <n v="51111111.111111104"/>
    <n v="30833333.333333332"/>
    <n v="11250000"/>
    <n v="9027777.777777778"/>
  </r>
  <r>
    <x v="19"/>
    <n v="2024"/>
    <n v="5"/>
    <n v="51111111.111111104"/>
    <n v="30833333.333333332"/>
    <n v="11250000"/>
    <n v="9027777.777777778"/>
  </r>
  <r>
    <x v="20"/>
    <n v="2024"/>
    <n v="4"/>
    <n v="42777777.777777776"/>
    <n v="30833333.333333332"/>
    <n v="11250000"/>
    <n v="694444.4444444445"/>
  </r>
  <r>
    <x v="21"/>
    <n v="2024"/>
    <n v="3"/>
    <n v="42777777.777777776"/>
    <n v="30833333.333333332"/>
    <n v="11250000"/>
    <n v="694444.4444444445"/>
  </r>
  <r>
    <x v="22"/>
    <n v="2024"/>
    <n v="2"/>
    <n v="42083333.333333328"/>
    <n v="30833333.333333332"/>
    <n v="11250000"/>
    <n v="0"/>
  </r>
  <r>
    <x v="23"/>
    <n v="2024"/>
    <n v="1"/>
    <n v="42083333.333333328"/>
    <n v="30833333.333333332"/>
    <n v="11250000"/>
    <n v="0"/>
  </r>
  <r>
    <x v="24"/>
    <n v="2023"/>
    <n v="12"/>
    <n v="42083333.333333328"/>
    <n v="30833333.333333332"/>
    <n v="11250000"/>
    <n v="0"/>
  </r>
  <r>
    <x v="25"/>
    <n v="2023"/>
    <n v="11"/>
    <n v="42083333.333333328"/>
    <n v="30833333.333333332"/>
    <n v="11250000"/>
    <n v="0"/>
  </r>
  <r>
    <x v="26"/>
    <n v="2023"/>
    <n v="10"/>
    <n v="33750000"/>
    <n v="30833333.333333332"/>
    <n v="2916666.6666666665"/>
    <n v="0"/>
  </r>
  <r>
    <x v="27"/>
    <n v="2023"/>
    <n v="9"/>
    <n v="10000000"/>
    <n v="10000000"/>
    <n v="0"/>
    <n v="0"/>
  </r>
  <r>
    <x v="28"/>
    <n v="2023"/>
    <n v="8"/>
    <n v="10000000"/>
    <n v="10000000"/>
    <n v="0"/>
    <n v="0"/>
  </r>
  <r>
    <x v="29"/>
    <n v="2023"/>
    <n v="7"/>
    <n v="10000000"/>
    <n v="10000000"/>
    <n v="0"/>
    <n v="0"/>
  </r>
  <r>
    <x v="30"/>
    <n v="2023"/>
    <n v="6"/>
    <n v="10000000"/>
    <n v="10000000"/>
    <n v="0"/>
    <n v="0"/>
  </r>
  <r>
    <x v="31"/>
    <n v="2023"/>
    <n v="5"/>
    <n v="10000000"/>
    <n v="10000000"/>
    <n v="0"/>
    <n v="0"/>
  </r>
  <r>
    <x v="32"/>
    <n v="2023"/>
    <n v="4"/>
    <n v="10000000"/>
    <n v="10000000"/>
    <n v="0"/>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0230C53-3427-4D11-B49C-85592412CC92}" name="PivotTable2" cacheId="5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location ref="B22:F67" firstHeaderRow="0" firstDataRow="1" firstDataCol="1"/>
  <pivotFields count="10">
    <pivotField axis="axisRow" numFmtId="165" showAll="0">
      <items count="34">
        <item x="32"/>
        <item x="31"/>
        <item x="30"/>
        <item x="29"/>
        <item x="28"/>
        <item x="27"/>
        <item x="26"/>
        <item x="25"/>
        <item x="24"/>
        <item x="23"/>
        <item x="22"/>
        <item x="21"/>
        <item x="20"/>
        <item x="19"/>
        <item x="18"/>
        <item x="17"/>
        <item x="16"/>
        <item x="15"/>
        <item x="14"/>
        <item x="13"/>
        <item x="12"/>
        <item x="11"/>
        <item x="10"/>
        <item x="9"/>
        <item x="8"/>
        <item x="7"/>
        <item x="6"/>
        <item x="5"/>
        <item x="4"/>
        <item x="3"/>
        <item x="2"/>
        <item x="1"/>
        <item x="0"/>
        <item t="default"/>
      </items>
    </pivotField>
    <pivotField numFmtId="167" showAll="0"/>
    <pivotField numFmtId="167" showAll="0"/>
    <pivotField dataField="1" numFmtId="167" showAll="0"/>
    <pivotField dataField="1" numFmtId="167" showAll="0"/>
    <pivotField dataField="1" numFmtId="167" showAll="0"/>
    <pivotField dataField="1" numFmtId="167" showAll="0"/>
    <pivotField name="Tháng " axis="axisRow" showAll="0">
      <items count="15">
        <item x="0"/>
        <item x="1"/>
        <item x="2"/>
        <item x="3"/>
        <item x="4"/>
        <item x="5"/>
        <item x="6"/>
        <item x="7"/>
        <item x="8"/>
        <item x="9"/>
        <item x="10"/>
        <item x="11"/>
        <item x="12"/>
        <item x="13"/>
        <item t="default"/>
      </items>
    </pivotField>
    <pivotField showAll="0">
      <items count="7">
        <item sd="0" x="0"/>
        <item sd="0" x="1"/>
        <item sd="0" x="2"/>
        <item sd="0" x="3"/>
        <item sd="0" x="4"/>
        <item sd="0" x="5"/>
        <item t="default"/>
      </items>
    </pivotField>
    <pivotField name="Năm " axis="axisRow" showAll="0">
      <items count="6">
        <item h="1" x="0"/>
        <item x="1"/>
        <item x="2"/>
        <item h="1" x="3"/>
        <item h="1" x="4"/>
        <item t="default"/>
      </items>
    </pivotField>
  </pivotFields>
  <rowFields count="3">
    <field x="9"/>
    <field x="7"/>
    <field x="0"/>
  </rowFields>
  <rowItems count="45">
    <i>
      <x v="1"/>
    </i>
    <i r="1">
      <x v="4"/>
    </i>
    <i r="2">
      <x/>
    </i>
    <i r="1">
      <x v="5"/>
    </i>
    <i r="2">
      <x v="1"/>
    </i>
    <i r="1">
      <x v="6"/>
    </i>
    <i r="2">
      <x v="2"/>
    </i>
    <i r="1">
      <x v="7"/>
    </i>
    <i r="2">
      <x v="3"/>
    </i>
    <i r="1">
      <x v="8"/>
    </i>
    <i r="2">
      <x v="4"/>
    </i>
    <i r="1">
      <x v="9"/>
    </i>
    <i r="2">
      <x v="5"/>
    </i>
    <i r="1">
      <x v="10"/>
    </i>
    <i r="2">
      <x v="6"/>
    </i>
    <i r="1">
      <x v="11"/>
    </i>
    <i r="2">
      <x v="7"/>
    </i>
    <i r="1">
      <x v="12"/>
    </i>
    <i r="2">
      <x v="8"/>
    </i>
    <i>
      <x v="2"/>
    </i>
    <i r="1">
      <x v="1"/>
    </i>
    <i r="2">
      <x v="9"/>
    </i>
    <i r="1">
      <x v="2"/>
    </i>
    <i r="2">
      <x v="10"/>
    </i>
    <i r="1">
      <x v="3"/>
    </i>
    <i r="2">
      <x v="11"/>
    </i>
    <i r="1">
      <x v="4"/>
    </i>
    <i r="2">
      <x v="12"/>
    </i>
    <i r="1">
      <x v="5"/>
    </i>
    <i r="2">
      <x v="13"/>
    </i>
    <i r="1">
      <x v="6"/>
    </i>
    <i r="2">
      <x v="14"/>
    </i>
    <i r="1">
      <x v="7"/>
    </i>
    <i r="2">
      <x v="15"/>
    </i>
    <i r="1">
      <x v="8"/>
    </i>
    <i r="2">
      <x v="16"/>
    </i>
    <i r="1">
      <x v="9"/>
    </i>
    <i r="2">
      <x v="17"/>
    </i>
    <i r="1">
      <x v="10"/>
    </i>
    <i r="2">
      <x v="18"/>
    </i>
    <i r="1">
      <x v="11"/>
    </i>
    <i r="2">
      <x v="19"/>
    </i>
    <i r="1">
      <x v="12"/>
    </i>
    <i r="2">
      <x v="20"/>
    </i>
    <i t="grand">
      <x/>
    </i>
  </rowItems>
  <colFields count="1">
    <field x="-2"/>
  </colFields>
  <colItems count="4">
    <i>
      <x/>
    </i>
    <i i="1">
      <x v="1"/>
    </i>
    <i i="2">
      <x v="2"/>
    </i>
    <i i="3">
      <x v="3"/>
    </i>
  </colItems>
  <dataFields count="4">
    <dataField name="Tổng" fld="3" baseField="0" baseItem="7" numFmtId="167"/>
    <dataField name="Sản xuất" fld="4" baseField="0" baseItem="7" numFmtId="167"/>
    <dataField name="Bán hàng" fld="5" baseField="0" baseItem="7" numFmtId="167"/>
    <dataField name="Quản lý" fld="6" baseField="0" baseItem="7" numFmtId="167"/>
  </dataField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F7747A8-7091-4994-97C5-02AB9D7C59CE}" name="PivotTable3" cacheId="5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0">
  <location ref="H22:J35" firstHeaderRow="0" firstDataRow="1" firstDataCol="1"/>
  <pivotFields count="17">
    <pivotField axis="axisRow" showAll="0">
      <items count="7">
        <item x="5"/>
        <item x="4"/>
        <item x="3"/>
        <item x="2"/>
        <item x="1"/>
        <item x="0"/>
        <item t="default"/>
      </items>
    </pivotField>
    <pivotField showAll="0"/>
    <pivotField showAll="0"/>
    <pivotField axis="axisRow" showAll="0">
      <items count="7">
        <item x="4"/>
        <item x="5"/>
        <item x="1"/>
        <item x="3"/>
        <item x="2"/>
        <item x="0"/>
        <item t="default"/>
      </items>
    </pivotField>
    <pivotField numFmtId="164" showAll="0"/>
    <pivotField numFmtId="165" showAll="0"/>
    <pivotField numFmtId="164" showAll="0"/>
    <pivotField numFmtId="164" showAll="0"/>
    <pivotField numFmtId="165" showAll="0"/>
    <pivotField showAll="0"/>
    <pivotField numFmtId="168" showAll="0"/>
    <pivotField numFmtId="164" showAll="0"/>
    <pivotField showAll="0"/>
    <pivotField dataField="1" showAll="0"/>
    <pivotField dataField="1" numFmtId="9" showAll="0"/>
    <pivotField showAll="0"/>
    <pivotField numFmtId="164" showAll="0"/>
  </pivotFields>
  <rowFields count="2">
    <field x="0"/>
    <field x="3"/>
  </rowFields>
  <rowItems count="13">
    <i>
      <x/>
    </i>
    <i r="1">
      <x v="1"/>
    </i>
    <i>
      <x v="1"/>
    </i>
    <i r="1">
      <x/>
    </i>
    <i>
      <x v="2"/>
    </i>
    <i r="1">
      <x v="3"/>
    </i>
    <i>
      <x v="3"/>
    </i>
    <i r="1">
      <x v="4"/>
    </i>
    <i>
      <x v="4"/>
    </i>
    <i r="1">
      <x v="2"/>
    </i>
    <i>
      <x v="5"/>
    </i>
    <i r="1">
      <x v="5"/>
    </i>
    <i t="grand">
      <x/>
    </i>
  </rowItems>
  <colFields count="1">
    <field x="-2"/>
  </colFields>
  <colItems count="2">
    <i>
      <x/>
    </i>
    <i i="1">
      <x v="1"/>
    </i>
  </colItems>
  <dataFields count="2">
    <dataField name="Khấu hao lũy kế" fld="13" baseField="0" baseItem="0"/>
    <dataField name="Tỷ lệ" fld="14" baseField="0" baseItem="0" numFmtId="9"/>
  </dataFields>
  <chartFormats count="2">
    <chartFormat chart="0" format="2" series="1">
      <pivotArea type="data" outline="0" fieldPosition="0">
        <references count="1">
          <reference field="4294967294" count="1" selected="0">
            <x v="1"/>
          </reference>
        </references>
      </pivotArea>
    </chartFormat>
    <chartFormat chart="0" format="5"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40AFBD15-C3DB-4B1A-A7ED-68DC4F48A342}" name="Table_TSCD" displayName="Table_TSCD" ref="L22:AB28" totalsRowShown="0" headerRowDxfId="27" dataDxfId="26">
  <autoFilter ref="L22:AB28" xr:uid="{40AFBD15-C3DB-4B1A-A7ED-68DC4F48A342}"/>
  <tableColumns count="17">
    <tableColumn id="1" xr3:uid="{A47B5657-C017-4789-8658-5878F1E279FC}" name="Mã Tài sản" dataDxfId="25"/>
    <tableColumn id="12" xr3:uid="{6EEF3686-9329-4F08-B3CD-EA296F7F9C7B}" name="Tên tài sản" dataDxfId="24"/>
    <tableColumn id="2" xr3:uid="{4F42ED11-12D7-40D8-B475-C321101CBE70}" name="Chức năng" dataDxfId="23"/>
    <tableColumn id="18" xr3:uid="{7C7701C7-1751-4E95-9C28-B86A2A873F7A}" name="Phân loại" dataDxfId="22"/>
    <tableColumn id="7" xr3:uid="{EB0326DA-5004-47BD-903B-08B8745AEC52}" name="Giá trị sổ sách" dataDxfId="21" dataCellStyle="Comma"/>
    <tableColumn id="9" xr3:uid="{F17E30ED-4447-4BC1-AC59-9DECB27CE82F}" name="Ngày mua" dataDxfId="20"/>
    <tableColumn id="3" xr3:uid="{367D1F63-7B9D-4BD0-908B-ED95605B8762}" name="Năm khấu hao" dataDxfId="19" dataCellStyle="Comma"/>
    <tableColumn id="4" xr3:uid="{DAEEE6C4-A0AA-484E-B5B8-9797AC6DD237}" name="Tháng khấu hao" dataDxfId="18" dataCellStyle="Comma">
      <calculatedColumnFormula>Table_TSCD[[#This Row],[Năm khấu hao]]*12</calculatedColumnFormula>
    </tableColumn>
    <tableColumn id="5" xr3:uid="{07F00AC5-E602-4A83-B7F0-0D26923028DF}" name="Ngày vận hành" dataDxfId="17"/>
    <tableColumn id="10" xr3:uid="{0433B6A4-1457-4046-8C56-89725B66D191}" name="Ngày thanh lý" dataDxfId="16"/>
    <tableColumn id="6" xr3:uid="{16F64D22-997F-4AD6-BAD5-FC61B6F5356C}" name="Ngày kết thúc" dataDxfId="15">
      <calculatedColumnFormula xml:space="preserve">
IF(
ISBLANK(Table_TSCD[[#This Row],[Ngày vận hành]]),
0,
Table_TSCD[[#This Row],[Ngày vận hành]] + ROUND(Table_TSCD[[#This Row],[Tháng khấu hao]] * (365.25/12), 0)
)</calculatedColumnFormula>
    </tableColumn>
    <tableColumn id="8" xr3:uid="{1876DA83-2D21-4C4F-B0BE-2FEC38610FF6}" name="Giá trị khấu hao (tháng)" dataDxfId="14" dataCellStyle="Comma">
      <calculatedColumnFormula>IFERROR(
Table_TSCD[[#This Row],[Giá trị sổ sách]]/Table_TSCD[[#This Row],[Tháng khấu hao]],
0)</calculatedColumnFormula>
    </tableColumn>
    <tableColumn id="11" xr3:uid="{8554A1C4-950F-4012-9360-4AF5E93756FF}" name="Số ngày vận hành" dataDxfId="13">
      <calculatedColumnFormula>MAX(0,IF(ISBLANK(Table_TSCD[[#This Row],[Ngày vận hành]]),0,
IF(ISBLANK(Table_TSCD[[#This Row],[Ngày thanh lý]]),
TODAY()-Table_TSCD[[#This Row],[Ngày vận hành]],
MIN(TODAY(),Table_TSCD[[#This Row],[Ngày thanh lý]])-Table_TSCD[[#This Row],[Ngày vận hành]]
)))</calculatedColumnFormula>
    </tableColumn>
    <tableColumn id="13" xr3:uid="{B1008A47-E148-48E9-A70E-2D0E9E61782D}" name="Khấu hao lũy kế theo ngày" dataDxfId="12" dataCellStyle="Comma">
      <calculatedColumnFormula>MIN(Table_TSCD[[#Headers],[Giá trị sổ sách]],Table_TSCD[[#This Row],[Giá trị sổ sách]]/(Table_TSCD[[#This Row],[Tháng khấu hao]]*365.25/12)*Table_TSCD[[#This Row],[Số ngày vận hành]])</calculatedColumnFormula>
    </tableColumn>
    <tableColumn id="15" xr3:uid="{5B2E2F69-C917-4CDD-BB6E-4709A336078A}" name="Tỷ lệ khấu hao" dataDxfId="11" dataCellStyle="Percent">
      <calculatedColumnFormula>Table_TSCD[[#This Row],[Khấu hao lũy kế theo ngày]]/Table_TSCD[[#This Row],[Giá trị sổ sách]]</calculatedColumnFormula>
    </tableColumn>
    <tableColumn id="14" xr3:uid="{FCF8F924-3A71-41AB-BA3C-E251E7AACDF3}" name="Giá trị còn lại" dataDxfId="10" dataCellStyle="Comma">
      <calculatedColumnFormula>Table_TSCD[[#This Row],[Giá trị sổ sách]]-Table_TSCD[[#This Row],[Khấu hao lũy kế theo ngày]]</calculatedColumnFormula>
    </tableColumn>
    <tableColumn id="16" xr3:uid="{04AA33BC-328B-48C1-8CFF-0759927E1E9D}" name="Số ngày còn lại" dataDxfId="9" dataCellStyle="Comma">
      <calculatedColumnFormula>MAX(0,IF(ISBLANK(Table_TSCD[[#This Row],[Ngày vận hành]]),0,
IF(ISBLANK(Table_TSCD[[#This Row],[Ngày thanh lý]]),
Table_TSCD[[#This Row],[Ngày kết thúc]]-TODAY(),0
)))</calculatedColumnFormula>
    </tableColumn>
  </tableColumns>
  <tableStyleInfo name="TableStyleMedium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6905FFE6-DD04-489C-AD09-289D17B2B7B7}" name="Table_TSCD_KhauHao" displayName="Table_TSCD_KhauHao" ref="AD22:AJ55" totalsRowShown="0" headerRowDxfId="8" dataDxfId="7">
  <autoFilter ref="AD22:AJ55" xr:uid="{6905FFE6-DD04-489C-AD09-289D17B2B7B7}"/>
  <tableColumns count="7">
    <tableColumn id="1" xr3:uid="{CF77CA6B-7F51-408D-A6D8-2230BBD9B50E}" name="Kỳ" dataDxfId="6">
      <calculatedColumnFormula>IFERROR(
IF(ISBLANK(Table_TSCD_KhauHao[[#This Row],[Tháng]]),
DATE(Table_TSCD_KhauHao[[#This Row],[Năm]],12,1),
DATE(Table_TSCD_KhauHao[[#This Row],[Năm]],Table_TSCD_KhauHao[[#This Row],[Tháng]],1)),0)</calculatedColumnFormula>
    </tableColumn>
    <tableColumn id="2" xr3:uid="{8B6E614D-3214-4643-8B98-41CBEBA6127B}" name="Năm" dataDxfId="5"/>
    <tableColumn id="3" xr3:uid="{286D597C-B3D6-4957-9F67-8DE9ED9415FC}" name="Tháng" dataDxfId="4"/>
    <tableColumn id="5" xr3:uid="{10132119-7E6F-4E94-A296-34C544489582}" name="Khấu hao" dataDxfId="3">
      <calculatedColumnFormula>+Table_TSCD_KhauHao[[#This Row],[Khấu hao sản xuất]]+Table_TSCD_KhauHao[[#This Row],[Khấu hao bán hàng]]+Table_TSCD_KhauHao[[#This Row],[Khấu hao quản lý]]</calculatedColumnFormula>
    </tableColumn>
    <tableColumn id="4" xr3:uid="{569CB910-D778-492A-9401-4B91226587BF}" name="Khấu hao sản xuất" dataDxfId="2" dataCellStyle="Comma">
      <calculatedColumnFormula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calculatedColumnFormula>
    </tableColumn>
    <tableColumn id="6" xr3:uid="{878430CA-718B-4DF1-A588-355C32019ED2}" name="Khấu hao bán hàng" dataDxfId="1" dataCellStyle="Comma">
      <calculatedColumnFormula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calculatedColumnFormula>
    </tableColumn>
    <tableColumn id="9" xr3:uid="{B3C37F74-2E05-41A9-BA3B-317505BEC4E7}" name="Khấu hao quản lý" dataDxfId="0" dataCellStyle="Comma">
      <calculatedColumnFormula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calculatedColumnFormula>
    </tableColumn>
  </tableColumns>
  <tableStyleInfo name="TableStyleMedium3" showFirstColumn="0" showLastColumn="0" showRowStripes="1" showColumnStripes="0"/>
</table>
</file>

<file path=xl/theme/theme1.xml><?xml version="1.0" encoding="utf-8"?>
<a:theme xmlns:a="http://schemas.openxmlformats.org/drawingml/2006/main" name="Office Theme">
  <a:themeElements>
    <a:clrScheme name="Hoa">
      <a:dk1>
        <a:srgbClr val="000000"/>
      </a:dk1>
      <a:lt1>
        <a:srgbClr val="FFFFFF"/>
      </a:lt1>
      <a:dk2>
        <a:srgbClr val="500000"/>
      </a:dk2>
      <a:lt2>
        <a:srgbClr val="FFF0F0"/>
      </a:lt2>
      <a:accent1>
        <a:srgbClr val="FFCCCC"/>
      </a:accent1>
      <a:accent2>
        <a:srgbClr val="FF9999"/>
      </a:accent2>
      <a:accent3>
        <a:srgbClr val="FF7C80"/>
      </a:accent3>
      <a:accent4>
        <a:srgbClr val="FF5050"/>
      </a:accent4>
      <a:accent5>
        <a:srgbClr val="CC0000"/>
      </a:accent5>
      <a:accent6>
        <a:srgbClr val="00B050"/>
      </a:accent6>
      <a:hlink>
        <a:srgbClr val="00B050"/>
      </a:hlink>
      <a:folHlink>
        <a:srgbClr val="CC0000"/>
      </a:folHlink>
    </a:clrScheme>
    <a:fontScheme name="Custom 1">
      <a:majorFont>
        <a:latin typeface="Segoe UI"/>
        <a:ea typeface=""/>
        <a:cs typeface=""/>
      </a:majorFont>
      <a:minorFont>
        <a:latin typeface="Segoe UI Light"/>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272" row="7">
    <wetp:webextensionref xmlns:r="http://schemas.openxmlformats.org/officeDocument/2006/relationships" r:id="rId1"/>
  </wetp:taskpane>
</wetp:taskpanes>
</file>

<file path=xl/webextensions/webextension1.xml><?xml version="1.0" encoding="utf-8"?>
<we:webextension xmlns:we="http://schemas.microsoft.com/office/webextensions/webextension/2010/11" id="{04248AD1-3F33-46F9-8E5F-449BE98FFA2D}">
  <we:reference id="wa104051163" version="1.2.0.3" store="en-US" storeType="OMEX"/>
  <we:alternateReferences>
    <we:reference id="wa104051163" version="1.2.0.3" store="wa104051163" storeType="OMEX"/>
  </we:alternateReferences>
  <we:properties/>
  <we:bindings/>
  <we:snapshot xmlns:r="http://schemas.openxmlformats.org/officeDocument/2006/relationships"/>
</we:webextension>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table" Target="../tables/table2.xml"/><Relationship Id="rId3" Type="http://schemas.openxmlformats.org/officeDocument/2006/relationships/drawing" Target="../drawings/drawing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table" Target="../tables/table1.xml"/><Relationship Id="rId2" Type="http://schemas.openxmlformats.org/officeDocument/2006/relationships/pivotTable" Target="../pivotTables/pivotTable2.xml"/><Relationship Id="rId16" Type="http://schemas.openxmlformats.org/officeDocument/2006/relationships/ctrlProp" Target="../ctrlProps/ctrlProp13.xml"/><Relationship Id="rId1" Type="http://schemas.openxmlformats.org/officeDocument/2006/relationships/pivotTable" Target="../pivotTables/pivotTable1.xml"/><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vmlDrawing" Target="../drawings/vmlDrawing2.v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2403A2-CF52-43E4-ADEA-998B97CD0F94}">
  <sheetPr codeName="Sheet51"/>
  <dimension ref="A1:Z2"/>
  <sheetViews>
    <sheetView showGridLines="0" workbookViewId="0">
      <selection activeCell="A2" sqref="A2:C2"/>
    </sheetView>
  </sheetViews>
  <sheetFormatPr defaultRowHeight="16.5" x14ac:dyDescent="0.3"/>
  <cols>
    <col min="1" max="1" width="10.5" style="6" bestFit="1" customWidth="1"/>
    <col min="2" max="2" width="36.25" style="6" bestFit="1" customWidth="1"/>
    <col min="3" max="3" width="16.125" style="6" bestFit="1" customWidth="1"/>
    <col min="4" max="5" width="14.375" style="18" bestFit="1" customWidth="1"/>
    <col min="6" max="25" width="9" style="6"/>
    <col min="26" max="26" width="9" style="6" hidden="1" customWidth="1"/>
    <col min="27" max="16384" width="9" style="6"/>
  </cols>
  <sheetData>
    <row r="1" spans="1:26" x14ac:dyDescent="0.3">
      <c r="A1" s="13" t="s">
        <v>39</v>
      </c>
      <c r="B1" s="14" t="s">
        <v>12</v>
      </c>
      <c r="C1" s="15" t="s">
        <v>13</v>
      </c>
      <c r="D1" s="17" t="s">
        <v>40</v>
      </c>
      <c r="E1" s="17" t="s">
        <v>41</v>
      </c>
      <c r="F1" s="13" t="s">
        <v>42</v>
      </c>
      <c r="G1" s="16" t="s">
        <v>43</v>
      </c>
      <c r="H1" s="13" t="s">
        <v>44</v>
      </c>
      <c r="I1" s="13" t="s">
        <v>45</v>
      </c>
      <c r="J1" s="16" t="s">
        <v>46</v>
      </c>
      <c r="K1" s="16" t="s">
        <v>47</v>
      </c>
      <c r="L1" s="16" t="s">
        <v>48</v>
      </c>
      <c r="M1" s="16" t="s">
        <v>49</v>
      </c>
      <c r="N1" s="27"/>
      <c r="O1" s="27"/>
      <c r="P1" s="27"/>
      <c r="Q1" s="27"/>
      <c r="R1" s="27"/>
      <c r="S1" s="27"/>
      <c r="T1" s="27"/>
      <c r="U1" s="27"/>
      <c r="V1" s="27"/>
      <c r="W1" s="27"/>
      <c r="X1" s="27"/>
      <c r="Y1" s="27"/>
      <c r="Z1" s="6" t="s">
        <v>51</v>
      </c>
    </row>
    <row r="2" spans="1:26" x14ac:dyDescent="0.3">
      <c r="A2" s="27"/>
      <c r="B2" s="6" t="s">
        <v>106</v>
      </c>
      <c r="C2" s="6" t="s">
        <v>107</v>
      </c>
      <c r="D2" s="18">
        <v>45785</v>
      </c>
      <c r="E2" s="18">
        <v>46150</v>
      </c>
      <c r="F2" s="27">
        <v>365</v>
      </c>
      <c r="G2" s="6" t="s">
        <v>55</v>
      </c>
      <c r="H2" s="27"/>
      <c r="I2" s="27"/>
      <c r="J2" s="27"/>
      <c r="K2" s="27"/>
      <c r="L2" s="27"/>
      <c r="M2" s="27"/>
      <c r="N2" s="27"/>
      <c r="O2" s="27"/>
      <c r="P2" s="27"/>
      <c r="Q2" s="27"/>
      <c r="R2" s="27"/>
      <c r="S2" s="27"/>
      <c r="T2" s="27"/>
      <c r="U2" s="27"/>
      <c r="V2" s="27"/>
      <c r="W2" s="27"/>
      <c r="X2" s="27"/>
      <c r="Y2" s="27"/>
      <c r="Z2" s="27" t="s">
        <v>114</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062703-3C8F-4D1F-8F14-BCBCE29E96A2}">
  <sheetPr codeName="Sheet2"/>
  <dimension ref="A1:L76"/>
  <sheetViews>
    <sheetView showGridLines="0" zoomScaleNormal="100" workbookViewId="0">
      <selection activeCell="G9" sqref="G9"/>
    </sheetView>
  </sheetViews>
  <sheetFormatPr defaultRowHeight="16.5" x14ac:dyDescent="0.3"/>
  <cols>
    <col min="1" max="1" width="11.625" style="8" bestFit="1" customWidth="1"/>
    <col min="2" max="16384" width="9" style="8"/>
  </cols>
  <sheetData>
    <row r="1" spans="1:12" x14ac:dyDescent="0.3">
      <c r="K1" s="49">
        <v>1</v>
      </c>
      <c r="L1" s="49" t="s">
        <v>109</v>
      </c>
    </row>
    <row r="2" spans="1:12" x14ac:dyDescent="0.3">
      <c r="A2" s="8" t="s">
        <v>108</v>
      </c>
      <c r="L2" s="49" t="s">
        <v>110</v>
      </c>
    </row>
    <row r="3" spans="1:12" x14ac:dyDescent="0.3">
      <c r="L3" s="49" t="s">
        <v>111</v>
      </c>
    </row>
    <row r="4" spans="1:12" ht="37.5" x14ac:dyDescent="0.3">
      <c r="A4" s="11" t="s">
        <v>3</v>
      </c>
      <c r="B4" s="11" t="s">
        <v>4</v>
      </c>
      <c r="L4" s="49" t="s">
        <v>112</v>
      </c>
    </row>
    <row r="5" spans="1:12" ht="17.25" x14ac:dyDescent="0.3">
      <c r="A5" s="22"/>
      <c r="B5" s="19" t="s">
        <v>56</v>
      </c>
      <c r="L5" s="49" t="s">
        <v>113</v>
      </c>
    </row>
    <row r="6" spans="1:12" ht="17.25" x14ac:dyDescent="0.3">
      <c r="A6" s="22"/>
      <c r="B6" s="19" t="s">
        <v>50</v>
      </c>
    </row>
    <row r="7" spans="1:12" ht="17.25" x14ac:dyDescent="0.3">
      <c r="A7" s="22"/>
      <c r="B7" s="19" t="s">
        <v>57</v>
      </c>
    </row>
    <row r="8" spans="1:12" ht="17.25" x14ac:dyDescent="0.3">
      <c r="A8" s="22"/>
      <c r="B8" s="19" t="s">
        <v>58</v>
      </c>
    </row>
    <row r="9" spans="1:12" ht="17.25" x14ac:dyDescent="0.3">
      <c r="A9" s="22"/>
      <c r="B9" s="20" t="s">
        <v>59</v>
      </c>
    </row>
    <row r="10" spans="1:12" x14ac:dyDescent="0.3">
      <c r="A10" s="22"/>
      <c r="B10" s="22"/>
    </row>
    <row r="11" spans="1:12" ht="37.5" x14ac:dyDescent="0.3">
      <c r="A11" s="11" t="s">
        <v>10</v>
      </c>
      <c r="B11" s="11" t="s">
        <v>11</v>
      </c>
    </row>
    <row r="12" spans="1:12" x14ac:dyDescent="0.3">
      <c r="A12" s="12" t="s">
        <v>12</v>
      </c>
      <c r="B12" s="8" t="s">
        <v>106</v>
      </c>
    </row>
    <row r="13" spans="1:12" x14ac:dyDescent="0.3">
      <c r="A13" s="12" t="s">
        <v>13</v>
      </c>
      <c r="B13" s="8" t="s">
        <v>107</v>
      </c>
    </row>
    <row r="14" spans="1:12" ht="17.25" x14ac:dyDescent="0.3">
      <c r="A14" s="22"/>
      <c r="B14" s="9" t="s">
        <v>5</v>
      </c>
    </row>
    <row r="15" spans="1:12" ht="17.25" x14ac:dyDescent="0.3">
      <c r="A15" s="22"/>
      <c r="B15" s="9" t="s">
        <v>6</v>
      </c>
    </row>
    <row r="16" spans="1:12" ht="17.25" x14ac:dyDescent="0.3">
      <c r="A16" s="22"/>
      <c r="B16" s="9" t="s">
        <v>7</v>
      </c>
    </row>
    <row r="17" spans="1:2" ht="17.25" x14ac:dyDescent="0.3">
      <c r="A17" s="22"/>
      <c r="B17" s="9" t="s">
        <v>8</v>
      </c>
    </row>
    <row r="18" spans="1:2" ht="17.25" x14ac:dyDescent="0.3">
      <c r="A18" s="22"/>
      <c r="B18" s="10" t="s">
        <v>9</v>
      </c>
    </row>
    <row r="19" spans="1:2" x14ac:dyDescent="0.3">
      <c r="A19" s="22"/>
      <c r="B19" s="22"/>
    </row>
    <row r="20" spans="1:2" x14ac:dyDescent="0.3">
      <c r="A20" s="22"/>
      <c r="B20" s="22"/>
    </row>
    <row r="21" spans="1:2" x14ac:dyDescent="0.3">
      <c r="A21" s="22"/>
      <c r="B21" s="22"/>
    </row>
    <row r="22" spans="1:2" x14ac:dyDescent="0.3">
      <c r="A22" s="22"/>
      <c r="B22" s="22"/>
    </row>
    <row r="23" spans="1:2" x14ac:dyDescent="0.3">
      <c r="A23" s="22"/>
      <c r="B23" s="22"/>
    </row>
    <row r="24" spans="1:2" x14ac:dyDescent="0.3">
      <c r="A24" s="23"/>
      <c r="B24" s="22"/>
    </row>
    <row r="25" spans="1:2" x14ac:dyDescent="0.3">
      <c r="A25" s="24"/>
      <c r="B25" s="22"/>
    </row>
    <row r="26" spans="1:2" x14ac:dyDescent="0.3">
      <c r="A26" s="23"/>
      <c r="B26" s="22"/>
    </row>
    <row r="27" spans="1:2" x14ac:dyDescent="0.3">
      <c r="A27" s="24"/>
      <c r="B27" s="22"/>
    </row>
    <row r="28" spans="1:2" x14ac:dyDescent="0.3">
      <c r="A28" s="24"/>
      <c r="B28" s="22"/>
    </row>
    <row r="29" spans="1:2" x14ac:dyDescent="0.3">
      <c r="A29" s="24"/>
      <c r="B29" s="22"/>
    </row>
    <row r="30" spans="1:2" x14ac:dyDescent="0.3">
      <c r="A30" s="24"/>
      <c r="B30" s="22"/>
    </row>
    <row r="31" spans="1:2" x14ac:dyDescent="0.3">
      <c r="A31" s="23"/>
      <c r="B31" s="22"/>
    </row>
    <row r="32" spans="1:2" x14ac:dyDescent="0.3">
      <c r="A32" s="24"/>
      <c r="B32" s="22"/>
    </row>
    <row r="33" spans="1:2" x14ac:dyDescent="0.3">
      <c r="A33" s="24"/>
      <c r="B33" s="22"/>
    </row>
    <row r="34" spans="1:2" x14ac:dyDescent="0.3">
      <c r="A34" s="24"/>
      <c r="B34" s="22"/>
    </row>
    <row r="35" spans="1:2" x14ac:dyDescent="0.3">
      <c r="A35" s="24"/>
      <c r="B35" s="22"/>
    </row>
    <row r="36" spans="1:2" x14ac:dyDescent="0.3">
      <c r="A36" s="23"/>
      <c r="B36" s="22"/>
    </row>
    <row r="37" spans="1:2" x14ac:dyDescent="0.3">
      <c r="A37" s="25"/>
      <c r="B37" s="22"/>
    </row>
    <row r="38" spans="1:2" x14ac:dyDescent="0.3">
      <c r="A38" s="26"/>
      <c r="B38" s="22"/>
    </row>
    <row r="39" spans="1:2" x14ac:dyDescent="0.3">
      <c r="A39" s="25"/>
      <c r="B39" s="22"/>
    </row>
    <row r="40" spans="1:2" x14ac:dyDescent="0.3">
      <c r="A40" s="26"/>
      <c r="B40" s="22"/>
    </row>
    <row r="41" spans="1:2" x14ac:dyDescent="0.3">
      <c r="A41" s="25"/>
      <c r="B41" s="22"/>
    </row>
    <row r="42" spans="1:2" x14ac:dyDescent="0.3">
      <c r="A42" s="26"/>
      <c r="B42" s="22"/>
    </row>
    <row r="43" spans="1:2" x14ac:dyDescent="0.3">
      <c r="A43" s="25"/>
      <c r="B43" s="22"/>
    </row>
    <row r="44" spans="1:2" x14ac:dyDescent="0.3">
      <c r="A44" s="26"/>
      <c r="B44" s="22"/>
    </row>
    <row r="45" spans="1:2" x14ac:dyDescent="0.3">
      <c r="A45" s="25"/>
      <c r="B45" s="22"/>
    </row>
    <row r="46" spans="1:2" x14ac:dyDescent="0.3">
      <c r="A46" s="26"/>
      <c r="B46" s="22"/>
    </row>
    <row r="47" spans="1:2" x14ac:dyDescent="0.3">
      <c r="A47" s="24"/>
      <c r="B47" s="22"/>
    </row>
    <row r="48" spans="1:2" x14ac:dyDescent="0.3">
      <c r="A48" s="24"/>
      <c r="B48" s="22"/>
    </row>
    <row r="49" spans="1:2" x14ac:dyDescent="0.3">
      <c r="A49" s="24"/>
      <c r="B49" s="22"/>
    </row>
    <row r="50" spans="1:2" x14ac:dyDescent="0.3">
      <c r="A50" s="23"/>
      <c r="B50" s="22"/>
    </row>
    <row r="51" spans="1:2" x14ac:dyDescent="0.3">
      <c r="A51" s="24"/>
      <c r="B51" s="22"/>
    </row>
    <row r="52" spans="1:2" x14ac:dyDescent="0.3">
      <c r="A52" s="24"/>
      <c r="B52" s="22"/>
    </row>
    <row r="53" spans="1:2" x14ac:dyDescent="0.3">
      <c r="A53" s="24"/>
      <c r="B53" s="22"/>
    </row>
    <row r="54" spans="1:2" x14ac:dyDescent="0.3">
      <c r="A54" s="24"/>
      <c r="B54" s="22"/>
    </row>
    <row r="55" spans="1:2" x14ac:dyDescent="0.3">
      <c r="A55" s="23"/>
      <c r="B55" s="22"/>
    </row>
    <row r="56" spans="1:2" x14ac:dyDescent="0.3">
      <c r="A56" s="25"/>
      <c r="B56" s="22"/>
    </row>
    <row r="57" spans="1:2" x14ac:dyDescent="0.3">
      <c r="A57" s="25"/>
      <c r="B57" s="22"/>
    </row>
    <row r="58" spans="1:2" x14ac:dyDescent="0.3">
      <c r="A58" s="25"/>
      <c r="B58" s="22"/>
    </row>
    <row r="59" spans="1:2" x14ac:dyDescent="0.3">
      <c r="A59" s="25"/>
      <c r="B59" s="22"/>
    </row>
    <row r="60" spans="1:2" x14ac:dyDescent="0.3">
      <c r="A60" s="24"/>
      <c r="B60" s="22"/>
    </row>
    <row r="61" spans="1:2" x14ac:dyDescent="0.3">
      <c r="A61" s="24"/>
      <c r="B61" s="22"/>
    </row>
    <row r="62" spans="1:2" x14ac:dyDescent="0.3">
      <c r="A62" s="24"/>
      <c r="B62" s="22"/>
    </row>
    <row r="63" spans="1:2" x14ac:dyDescent="0.3">
      <c r="A63" s="23"/>
      <c r="B63" s="22"/>
    </row>
    <row r="64" spans="1:2" x14ac:dyDescent="0.3">
      <c r="A64" s="24"/>
      <c r="B64" s="22"/>
    </row>
    <row r="65" spans="1:2" x14ac:dyDescent="0.3">
      <c r="A65" s="24"/>
      <c r="B65" s="22"/>
    </row>
    <row r="66" spans="1:2" x14ac:dyDescent="0.3">
      <c r="A66" s="24"/>
      <c r="B66" s="22"/>
    </row>
    <row r="67" spans="1:2" x14ac:dyDescent="0.3">
      <c r="A67" s="24"/>
      <c r="B67" s="22"/>
    </row>
    <row r="68" spans="1:2" x14ac:dyDescent="0.3">
      <c r="A68" s="23"/>
      <c r="B68" s="22"/>
    </row>
    <row r="69" spans="1:2" x14ac:dyDescent="0.3">
      <c r="A69" s="25"/>
      <c r="B69" s="22"/>
    </row>
    <row r="70" spans="1:2" x14ac:dyDescent="0.3">
      <c r="A70" s="25"/>
      <c r="B70" s="22"/>
    </row>
    <row r="71" spans="1:2" x14ac:dyDescent="0.3">
      <c r="A71" s="25"/>
      <c r="B71" s="22"/>
    </row>
    <row r="72" spans="1:2" x14ac:dyDescent="0.3">
      <c r="A72" s="25"/>
      <c r="B72" s="22"/>
    </row>
    <row r="73" spans="1:2" x14ac:dyDescent="0.3">
      <c r="A73" s="25"/>
      <c r="B73" s="22"/>
    </row>
    <row r="74" spans="1:2" x14ac:dyDescent="0.3">
      <c r="A74" s="25"/>
      <c r="B74" s="22"/>
    </row>
    <row r="75" spans="1:2" x14ac:dyDescent="0.3">
      <c r="A75" s="24"/>
      <c r="B75" s="22"/>
    </row>
    <row r="76" spans="1:2" x14ac:dyDescent="0.3">
      <c r="A76" s="23"/>
      <c r="B76" s="22"/>
    </row>
  </sheetData>
  <sheetProtection formatCells="0" formatColumns="0" formatRows="0" insertColumns="0" insertRows="0" deleteColumns="0" deleteRows="0" sort="0" autoFilter="0" pivotTables="0"/>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ThemeSelector">
              <controlPr defaultSize="0" autoLine="0" autoPict="0" macro="[0]!ThemeSelector">
                <anchor moveWithCells="1">
                  <from>
                    <xdr:col>9</xdr:col>
                    <xdr:colOff>571500</xdr:colOff>
                    <xdr:row>0</xdr:row>
                    <xdr:rowOff>123825</xdr:rowOff>
                  </from>
                  <to>
                    <xdr:col>12</xdr:col>
                    <xdr:colOff>47625</xdr:colOff>
                    <xdr:row>1</xdr:row>
                    <xdr:rowOff>161925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id="{D1703B8A-65F2-490C-AC6A-48B5624E207A}">
            <xm:f>Security!$A$1="NO VBA"</xm:f>
            <x14:dxf>
              <font>
                <color theme="0"/>
              </font>
              <border>
                <vertical/>
                <horizontal/>
              </border>
            </x14:dxf>
          </x14:cfRule>
          <xm:sqref>B10:D10 C9:D9</xm:sqref>
        </x14:conditionalFormatting>
        <x14:conditionalFormatting xmlns:xm="http://schemas.microsoft.com/office/excel/2006/main">
          <x14:cfRule type="expression" priority="1" id="{ED3CAF53-C68B-49C7-BA59-FE71E12FA704}">
            <xm:f>Security!$A$1="NO VBA"</xm:f>
            <x14:dxf>
              <font>
                <color theme="0"/>
              </font>
              <border>
                <vertical/>
                <horizontal/>
              </border>
            </x14:dxf>
          </x14:cfRule>
          <xm:sqref>E9:E10</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63DFFE-8313-4547-96F3-2BB27D7C5B51}">
  <sheetPr codeName="Sheet35">
    <tabColor theme="9" tint="0.79998168889431442"/>
  </sheetPr>
  <dimension ref="A1:AJ67"/>
  <sheetViews>
    <sheetView showGridLines="0" tabSelected="1" zoomScaleNormal="100" workbookViewId="0">
      <selection activeCell="AL8" sqref="O8:AL11"/>
    </sheetView>
  </sheetViews>
  <sheetFormatPr defaultRowHeight="18" customHeight="1" outlineLevelRow="1" outlineLevelCol="1" x14ac:dyDescent="0.3"/>
  <cols>
    <col min="1" max="1" width="1.25" style="1" customWidth="1"/>
    <col min="2" max="2" width="13.75" style="1" hidden="1" customWidth="1" outlineLevel="1"/>
    <col min="3" max="3" width="13" style="1" hidden="1" customWidth="1" outlineLevel="1"/>
    <col min="4" max="4" width="13.625" style="1" hidden="1" customWidth="1" outlineLevel="1"/>
    <col min="5" max="5" width="13.25" style="1" hidden="1" customWidth="1" outlineLevel="1"/>
    <col min="6" max="6" width="10.875" style="1" hidden="1" customWidth="1" outlineLevel="1"/>
    <col min="7" max="7" width="1.25" style="1" hidden="1" customWidth="1" outlineLevel="1"/>
    <col min="8" max="8" width="30.375" style="1" hidden="1" customWidth="1" outlineLevel="1"/>
    <col min="9" max="9" width="15.5" style="1" hidden="1" customWidth="1" outlineLevel="1"/>
    <col min="10" max="10" width="5.5" style="1" hidden="1" customWidth="1" outlineLevel="1"/>
    <col min="11" max="11" width="1.25" style="1" customWidth="1" collapsed="1"/>
    <col min="12" max="12" width="10.125" style="1" bestFit="1" customWidth="1"/>
    <col min="13" max="13" width="15.5" style="1" bestFit="1" customWidth="1"/>
    <col min="14" max="14" width="12.25" style="1" customWidth="1"/>
    <col min="15" max="15" width="26.125" style="1" customWidth="1"/>
    <col min="16" max="16" width="12.5" style="5" bestFit="1" customWidth="1"/>
    <col min="17" max="17" width="9.75" style="1" bestFit="1" customWidth="1"/>
    <col min="18" max="18" width="12.75" style="1" bestFit="1" customWidth="1"/>
    <col min="19" max="19" width="12.75" style="1" customWidth="1" outlineLevel="1"/>
    <col min="20" max="20" width="13.875" style="1" customWidth="1"/>
    <col min="21" max="21" width="13.125" style="1" bestFit="1" customWidth="1"/>
    <col min="22" max="22" width="12.375" style="1" hidden="1" customWidth="1" outlineLevel="1"/>
    <col min="23" max="23" width="17.75" style="1" hidden="1" customWidth="1" outlineLevel="1"/>
    <col min="24" max="24" width="15.125" style="1" hidden="1" customWidth="1" outlineLevel="1"/>
    <col min="25" max="25" width="21.5" style="1" hidden="1" customWidth="1" outlineLevel="1"/>
    <col min="26" max="26" width="13" style="1" hidden="1" customWidth="1" outlineLevel="1"/>
    <col min="27" max="28" width="12" style="1" hidden="1" customWidth="1" outlineLevel="1"/>
    <col min="29" max="29" width="1.25" style="1" customWidth="1" collapsed="1"/>
    <col min="30" max="32" width="9" style="1"/>
    <col min="33" max="33" width="9.25" style="1" bestFit="1" customWidth="1"/>
    <col min="34" max="34" width="15.5" style="1" bestFit="1" customWidth="1"/>
    <col min="35" max="35" width="16.25" style="1" bestFit="1" customWidth="1"/>
    <col min="36" max="36" width="14.75" style="1" bestFit="1" customWidth="1"/>
    <col min="37" max="16384" width="9" style="1"/>
  </cols>
  <sheetData>
    <row r="1" spans="1:29" s="32" customFormat="1" ht="22.5" customHeight="1" x14ac:dyDescent="0.3">
      <c r="A1" s="31">
        <v>0</v>
      </c>
      <c r="G1" s="31">
        <v>0</v>
      </c>
      <c r="K1" s="31">
        <v>0</v>
      </c>
      <c r="L1" s="31">
        <f t="shared" ref="L1:W1" si="0">+K1+1</f>
        <v>1</v>
      </c>
      <c r="M1" s="31">
        <f t="shared" si="0"/>
        <v>2</v>
      </c>
      <c r="N1" s="31">
        <f t="shared" si="0"/>
        <v>3</v>
      </c>
      <c r="O1" s="31">
        <f t="shared" si="0"/>
        <v>4</v>
      </c>
      <c r="P1" s="31" t="e">
        <f>+#REF!+1</f>
        <v>#REF!</v>
      </c>
      <c r="Q1" s="31" t="e">
        <f t="shared" si="0"/>
        <v>#REF!</v>
      </c>
      <c r="R1" s="31" t="e">
        <f t="shared" si="0"/>
        <v>#REF!</v>
      </c>
      <c r="S1" s="31" t="e">
        <f t="shared" si="0"/>
        <v>#REF!</v>
      </c>
      <c r="T1" s="31" t="e">
        <f t="shared" si="0"/>
        <v>#REF!</v>
      </c>
      <c r="U1" s="31" t="e">
        <f t="shared" si="0"/>
        <v>#REF!</v>
      </c>
      <c r="V1" s="31" t="e">
        <f>+U1+1</f>
        <v>#REF!</v>
      </c>
      <c r="W1" s="31" t="e">
        <f t="shared" si="0"/>
        <v>#REF!</v>
      </c>
      <c r="X1" s="31"/>
      <c r="Y1" s="31"/>
      <c r="Z1" s="31"/>
      <c r="AA1" s="31"/>
      <c r="AB1" s="31"/>
      <c r="AC1" s="31">
        <v>0</v>
      </c>
    </row>
    <row r="2" spans="1:29" s="7" customFormat="1" ht="18" customHeight="1" x14ac:dyDescent="0.3">
      <c r="A2" s="30"/>
      <c r="G2" s="30"/>
      <c r="K2" s="30"/>
      <c r="L2" s="30"/>
      <c r="M2" s="30"/>
      <c r="N2" s="30"/>
      <c r="O2" s="30"/>
      <c r="P2" s="30"/>
      <c r="Q2" s="30"/>
      <c r="R2" s="30"/>
      <c r="S2" s="30"/>
      <c r="T2" s="30"/>
      <c r="U2" s="30"/>
      <c r="V2" s="30"/>
      <c r="W2" s="30"/>
      <c r="X2" s="30"/>
      <c r="Y2" s="30"/>
      <c r="Z2" s="30"/>
      <c r="AA2" s="30"/>
      <c r="AB2" s="30"/>
      <c r="AC2" s="30"/>
    </row>
    <row r="3" spans="1:29" s="7" customFormat="1" ht="18" customHeight="1" outlineLevel="1" x14ac:dyDescent="0.3">
      <c r="A3" s="30"/>
      <c r="G3" s="30"/>
      <c r="K3" s="30"/>
      <c r="L3" s="30"/>
      <c r="M3" s="30"/>
      <c r="N3" s="30"/>
      <c r="O3" s="30"/>
      <c r="P3" s="30"/>
      <c r="Q3" s="30"/>
      <c r="R3" s="30"/>
      <c r="S3" s="30"/>
      <c r="T3" s="30"/>
      <c r="U3" s="30"/>
      <c r="V3" s="30"/>
      <c r="W3" s="30"/>
      <c r="X3" s="30"/>
      <c r="Y3" s="30"/>
      <c r="Z3" s="30"/>
      <c r="AA3" s="30"/>
      <c r="AB3" s="30"/>
      <c r="AC3" s="30"/>
    </row>
    <row r="4" spans="1:29" s="7" customFormat="1" ht="18" customHeight="1" outlineLevel="1" x14ac:dyDescent="0.3">
      <c r="A4" s="30"/>
      <c r="G4" s="30"/>
      <c r="K4" s="30"/>
      <c r="L4" s="30"/>
      <c r="M4" s="30"/>
      <c r="N4" s="30"/>
      <c r="O4" s="30"/>
      <c r="P4" s="30"/>
      <c r="Q4" s="30"/>
      <c r="R4" s="30"/>
      <c r="S4" s="30"/>
      <c r="T4" s="30"/>
      <c r="U4" s="30"/>
      <c r="V4" s="30"/>
      <c r="W4" s="30"/>
      <c r="X4" s="30"/>
      <c r="Y4" s="30"/>
      <c r="Z4" s="30"/>
      <c r="AA4" s="30"/>
      <c r="AB4" s="30"/>
      <c r="AC4" s="30"/>
    </row>
    <row r="5" spans="1:29" s="7" customFormat="1" ht="18" customHeight="1" outlineLevel="1" x14ac:dyDescent="0.3">
      <c r="A5" s="30"/>
      <c r="G5" s="30"/>
      <c r="K5" s="30"/>
      <c r="L5" s="42" t="s">
        <v>94</v>
      </c>
      <c r="M5" s="30"/>
      <c r="N5" s="30"/>
      <c r="O5" s="43" cm="1">
        <f t="array" aca="1" ref="O5" ca="1" xml:space="preserve">
IFERROR(
SUM(_xlfn._xlws.FILTER(Table_TSCD_KhauHao[Khấu hao],
(Table_TSCD_KhauHao[Năm] = YEAR(TODAY()))*
(Table_TSCD_KhauHao[Tháng] = MONTH(TODAY()))
)),0)</f>
        <v>51111111.111111104</v>
      </c>
      <c r="P5" s="30"/>
      <c r="Q5" s="30"/>
      <c r="R5" s="30"/>
      <c r="S5" s="30"/>
      <c r="T5" s="30"/>
      <c r="U5" s="30"/>
      <c r="V5" s="30"/>
      <c r="W5" s="30"/>
      <c r="X5" s="30"/>
      <c r="Y5" s="30"/>
      <c r="Z5" s="30"/>
      <c r="AA5" s="30"/>
      <c r="AB5" s="30"/>
      <c r="AC5" s="30"/>
    </row>
    <row r="6" spans="1:29" s="7" customFormat="1" ht="18" customHeight="1" outlineLevel="1" x14ac:dyDescent="0.3">
      <c r="A6" s="30"/>
      <c r="B6" s="7" t="s">
        <v>19</v>
      </c>
      <c r="G6" s="30"/>
      <c r="K6" s="30"/>
      <c r="P6" s="30"/>
      <c r="Q6" s="30"/>
      <c r="R6" s="30"/>
      <c r="S6" s="30"/>
      <c r="T6" s="30"/>
      <c r="U6" s="30"/>
      <c r="V6" s="30"/>
      <c r="W6" s="30"/>
      <c r="X6" s="30"/>
      <c r="Y6" s="30"/>
      <c r="Z6" s="30"/>
      <c r="AA6" s="30"/>
      <c r="AB6" s="30"/>
      <c r="AC6" s="30"/>
    </row>
    <row r="7" spans="1:29" s="7" customFormat="1" ht="18" customHeight="1" outlineLevel="1" x14ac:dyDescent="0.3">
      <c r="A7" s="30"/>
      <c r="B7" s="7" t="s">
        <v>20</v>
      </c>
      <c r="G7" s="30"/>
      <c r="K7" s="30"/>
      <c r="L7" s="42" t="s">
        <v>95</v>
      </c>
      <c r="M7" s="30"/>
      <c r="N7" s="30"/>
      <c r="P7" s="30"/>
      <c r="Q7" s="30"/>
      <c r="R7" s="30"/>
      <c r="S7" s="30"/>
      <c r="T7" s="30"/>
      <c r="U7" s="30"/>
      <c r="V7" s="30"/>
      <c r="W7" s="30"/>
      <c r="X7" s="30"/>
      <c r="Y7" s="30"/>
      <c r="Z7" s="30"/>
      <c r="AA7" s="30"/>
      <c r="AB7" s="30"/>
      <c r="AC7" s="30"/>
    </row>
    <row r="8" spans="1:29" s="7" customFormat="1" ht="18" customHeight="1" outlineLevel="1" x14ac:dyDescent="0.3">
      <c r="A8" s="30"/>
      <c r="B8" s="7" t="s">
        <v>21</v>
      </c>
      <c r="G8" s="30"/>
      <c r="K8" s="30"/>
      <c r="L8" s="42" t="s">
        <v>96</v>
      </c>
      <c r="M8" s="30"/>
      <c r="N8" s="44">
        <f ca="1">O8/$O$5</f>
        <v>0.60326086956521741</v>
      </c>
      <c r="O8" s="43" cm="1">
        <f t="array" aca="1" ref="O8" ca="1" xml:space="preserve">
IFERROR(
SUM(_xlfn._xlws.FILTER(Table_TSCD_KhauHao[Khấu hao sản xuất],
(Table_TSCD_KhauHao[Năm] = YEAR(TODAY()))*
(Table_TSCD_KhauHao[Tháng] = MONTH(TODAY()))
)),0)</f>
        <v>30833333.333333332</v>
      </c>
      <c r="P8" s="30"/>
      <c r="Q8" s="30"/>
      <c r="R8" s="30"/>
      <c r="S8" s="30"/>
      <c r="T8" s="30"/>
      <c r="U8" s="30"/>
      <c r="V8" s="30"/>
      <c r="W8" s="30"/>
      <c r="X8" s="30"/>
      <c r="Y8" s="30"/>
      <c r="Z8" s="30"/>
      <c r="AA8" s="30"/>
      <c r="AB8" s="30"/>
      <c r="AC8" s="30"/>
    </row>
    <row r="9" spans="1:29" s="7" customFormat="1" ht="18" customHeight="1" outlineLevel="1" x14ac:dyDescent="0.3">
      <c r="A9" s="30"/>
      <c r="B9" s="7" t="s">
        <v>22</v>
      </c>
      <c r="G9" s="30"/>
      <c r="K9" s="30"/>
      <c r="L9" s="42" t="s">
        <v>97</v>
      </c>
      <c r="M9" s="30"/>
      <c r="N9" s="44">
        <f ca="1">O9/$O$5</f>
        <v>0.22010869565217395</v>
      </c>
      <c r="O9" s="43" cm="1">
        <f t="array" aca="1" ref="O9" ca="1" xml:space="preserve">
IFERROR(
SUM(_xlfn._xlws.FILTER(Table_TSCD_KhauHao[Khấu hao bán hàng],
(Table_TSCD_KhauHao[Năm] = YEAR(TODAY()))*
(Table_TSCD_KhauHao[Tháng] = MONTH(TODAY()))
)),0)</f>
        <v>11250000</v>
      </c>
      <c r="P9" s="30"/>
      <c r="Q9" s="30"/>
      <c r="R9" s="30"/>
      <c r="S9" s="30"/>
      <c r="T9" s="30"/>
      <c r="U9" s="30"/>
      <c r="V9" s="30"/>
      <c r="W9" s="30"/>
      <c r="X9" s="30"/>
      <c r="Y9" s="30"/>
      <c r="Z9" s="30"/>
      <c r="AA9" s="30"/>
      <c r="AB9" s="30"/>
      <c r="AC9" s="30"/>
    </row>
    <row r="10" spans="1:29" s="7" customFormat="1" ht="18" customHeight="1" outlineLevel="1" x14ac:dyDescent="0.3">
      <c r="A10" s="30"/>
      <c r="B10" s="7" t="s">
        <v>23</v>
      </c>
      <c r="G10" s="30"/>
      <c r="K10" s="30"/>
      <c r="L10" s="42" t="s">
        <v>98</v>
      </c>
      <c r="M10" s="30"/>
      <c r="N10" s="44">
        <f ca="1">O10/$O$5</f>
        <v>0.17663043478260873</v>
      </c>
      <c r="O10" s="43" cm="1">
        <f t="array" aca="1" ref="O10" ca="1" xml:space="preserve">
IFERROR(
SUM(_xlfn._xlws.FILTER(Table_TSCD_KhauHao[Khấu hao quản lý],
(Table_TSCD_KhauHao[Năm] = YEAR(TODAY()))*
(Table_TSCD_KhauHao[Tháng] = MONTH(TODAY()))
)),0)</f>
        <v>9027777.777777778</v>
      </c>
      <c r="P10" s="30"/>
      <c r="Q10" s="30"/>
      <c r="R10" s="30"/>
      <c r="S10" s="30"/>
      <c r="T10" s="30"/>
      <c r="U10" s="30"/>
      <c r="V10" s="30"/>
      <c r="W10" s="30"/>
      <c r="X10" s="30"/>
      <c r="Y10" s="30"/>
      <c r="Z10" s="30"/>
      <c r="AA10" s="30"/>
      <c r="AB10" s="30"/>
      <c r="AC10" s="30"/>
    </row>
    <row r="11" spans="1:29" s="7" customFormat="1" ht="18" customHeight="1" outlineLevel="1" x14ac:dyDescent="0.3">
      <c r="A11" s="30"/>
      <c r="B11" s="7" t="s">
        <v>24</v>
      </c>
      <c r="G11" s="30"/>
      <c r="K11" s="30"/>
      <c r="L11" s="30"/>
      <c r="M11" s="30"/>
      <c r="N11" s="30"/>
      <c r="P11" s="30"/>
      <c r="Q11" s="30"/>
      <c r="R11" s="30"/>
      <c r="S11" s="30"/>
      <c r="T11" s="30"/>
      <c r="U11" s="30"/>
      <c r="V11" s="30"/>
      <c r="W11" s="30"/>
      <c r="X11" s="30"/>
      <c r="Y11" s="30"/>
      <c r="Z11" s="30"/>
      <c r="AA11" s="30"/>
      <c r="AB11" s="30"/>
      <c r="AC11" s="30"/>
    </row>
    <row r="12" spans="1:29" s="7" customFormat="1" ht="18" customHeight="1" outlineLevel="1" x14ac:dyDescent="0.3">
      <c r="A12" s="30"/>
      <c r="B12" s="7" t="s">
        <v>25</v>
      </c>
      <c r="G12" s="30"/>
      <c r="K12" s="30"/>
      <c r="L12" s="42" t="s">
        <v>104</v>
      </c>
      <c r="M12" s="30"/>
      <c r="N12" s="30"/>
      <c r="O12" s="45" t="s">
        <v>73</v>
      </c>
      <c r="P12" s="30"/>
      <c r="Q12" s="30"/>
      <c r="R12" s="30"/>
      <c r="S12" s="30"/>
      <c r="T12" s="30"/>
      <c r="U12" s="30"/>
      <c r="V12" s="30"/>
      <c r="W12" s="30"/>
      <c r="X12" s="30"/>
      <c r="Y12" s="30"/>
      <c r="Z12" s="30"/>
      <c r="AA12" s="30"/>
      <c r="AB12" s="30"/>
      <c r="AC12" s="30"/>
    </row>
    <row r="13" spans="1:29" s="7" customFormat="1" ht="18" customHeight="1" outlineLevel="1" x14ac:dyDescent="0.3">
      <c r="A13" s="30"/>
      <c r="B13" s="7" t="s">
        <v>26</v>
      </c>
      <c r="G13" s="30"/>
      <c r="K13" s="30"/>
      <c r="L13" s="42" t="s">
        <v>99</v>
      </c>
      <c r="M13" s="30"/>
      <c r="N13" s="30"/>
      <c r="O13" s="46">
        <f>VLOOKUP($O$12,Table_TSCD[],COUNTA(Table_TSCD[[#Headers],[Mã Tài sản]:[Giá trị khấu hao (tháng)]]),0)</f>
        <v>2916666.6666666665</v>
      </c>
      <c r="P13" s="30"/>
      <c r="Q13" s="30"/>
      <c r="R13" s="30"/>
      <c r="S13" s="30"/>
      <c r="T13" s="30"/>
      <c r="U13" s="30"/>
      <c r="V13" s="30"/>
      <c r="W13" s="30"/>
      <c r="X13" s="30"/>
      <c r="Y13" s="30"/>
      <c r="Z13" s="30"/>
      <c r="AA13" s="30"/>
      <c r="AB13" s="30"/>
      <c r="AC13" s="30"/>
    </row>
    <row r="14" spans="1:29" s="7" customFormat="1" ht="18" customHeight="1" outlineLevel="1" x14ac:dyDescent="0.3">
      <c r="A14" s="30"/>
      <c r="B14" s="7" t="s">
        <v>27</v>
      </c>
      <c r="G14" s="30"/>
      <c r="K14" s="30"/>
      <c r="L14" s="42" t="s">
        <v>100</v>
      </c>
      <c r="M14" s="30"/>
      <c r="N14" s="30"/>
      <c r="O14" s="47">
        <f ca="1">O13/$O$5</f>
        <v>5.7065217391304351E-2</v>
      </c>
      <c r="P14" s="30"/>
      <c r="Q14" s="30"/>
      <c r="R14" s="30"/>
      <c r="S14" s="30"/>
      <c r="T14" s="30"/>
      <c r="U14" s="30"/>
      <c r="V14" s="30"/>
      <c r="W14" s="30"/>
      <c r="X14" s="30"/>
      <c r="Y14" s="30"/>
      <c r="Z14" s="30"/>
      <c r="AA14" s="30"/>
      <c r="AB14" s="30"/>
      <c r="AC14" s="30"/>
    </row>
    <row r="15" spans="1:29" s="7" customFormat="1" ht="18" customHeight="1" outlineLevel="1" x14ac:dyDescent="0.3">
      <c r="A15" s="30"/>
      <c r="B15" s="7" t="s">
        <v>28</v>
      </c>
      <c r="G15" s="30"/>
      <c r="K15" s="30"/>
      <c r="L15" s="42" t="s">
        <v>105</v>
      </c>
      <c r="O15" s="46" cm="1">
        <f t="array" aca="1" ref="O15" ca="1" xml:space="preserve">
IFERROR(
COUNT(_xlfn._xlws.FILTER(Table_TSCD[Giá trị khấu hao (tháng)],
(Table_TSCD[Ngày vận hành] &lt;= TODAY())*
(Table_TSCD[Ngày kết thúc] &gt; TODAY())*
(ISBLANK(Table_TSCD[Ngày thanh lý]))*
(Table_TSCD[Giá trị khấu hao (tháng)]&gt;$O$13)
)),0)+1</f>
        <v>5</v>
      </c>
      <c r="P15" s="30"/>
      <c r="Q15" s="30"/>
      <c r="R15" s="30"/>
      <c r="S15" s="30"/>
      <c r="T15" s="30"/>
      <c r="U15" s="30"/>
      <c r="V15" s="30"/>
      <c r="W15" s="30"/>
      <c r="X15" s="30"/>
      <c r="Y15" s="30"/>
      <c r="Z15" s="30"/>
      <c r="AA15" s="30"/>
      <c r="AB15" s="30"/>
      <c r="AC15" s="30"/>
    </row>
    <row r="16" spans="1:29" s="7" customFormat="1" ht="18" customHeight="1" outlineLevel="1" x14ac:dyDescent="0.3">
      <c r="A16" s="30"/>
      <c r="B16" s="7" t="s">
        <v>29</v>
      </c>
      <c r="G16" s="30"/>
      <c r="K16" s="30"/>
      <c r="L16" s="42" t="s">
        <v>101</v>
      </c>
      <c r="M16" s="30"/>
      <c r="N16" s="30"/>
      <c r="O16" s="47">
        <f ca="1">VLOOKUP($O$12,Table_TSCD[],COUNTA(Table_TSCD[[#Headers],[Mã Tài sản]:[Tỷ lệ khấu hao]]),0)</f>
        <v>0.17604380561259411</v>
      </c>
      <c r="P16" s="30"/>
      <c r="Q16" s="30"/>
      <c r="R16" s="30"/>
      <c r="S16" s="30"/>
      <c r="T16" s="30"/>
      <c r="U16" s="30"/>
      <c r="V16" s="30"/>
      <c r="W16" s="30"/>
      <c r="X16" s="30"/>
      <c r="Y16" s="30"/>
      <c r="Z16" s="30"/>
      <c r="AA16" s="30"/>
      <c r="AB16" s="30"/>
      <c r="AC16" s="30"/>
    </row>
    <row r="17" spans="1:36" s="7" customFormat="1" ht="18" customHeight="1" outlineLevel="1" collapsed="1" x14ac:dyDescent="0.3">
      <c r="A17" s="30"/>
      <c r="B17" s="7" t="s">
        <v>18</v>
      </c>
      <c r="G17" s="30"/>
      <c r="K17" s="30"/>
      <c r="L17" s="42" t="s">
        <v>102</v>
      </c>
      <c r="M17" s="30"/>
      <c r="N17" s="30"/>
      <c r="O17" s="48">
        <f>VLOOKUP($O$12,Table_TSCD[],COUNTA(Table_TSCD[[#Headers],[Mã Tài sản]:[Ngày kết thúc]]),0)</f>
        <v>48828</v>
      </c>
      <c r="P17" s="30"/>
      <c r="Q17" s="30"/>
      <c r="R17" s="30"/>
      <c r="S17" s="30"/>
      <c r="T17" s="30"/>
      <c r="U17" s="30"/>
      <c r="V17" s="30"/>
      <c r="W17" s="30"/>
      <c r="X17" s="30"/>
      <c r="Y17" s="30"/>
      <c r="Z17" s="30"/>
      <c r="AA17" s="30"/>
      <c r="AB17" s="30"/>
      <c r="AC17" s="30"/>
    </row>
    <row r="18" spans="1:36" s="7" customFormat="1" ht="18" customHeight="1" outlineLevel="1" x14ac:dyDescent="0.3">
      <c r="A18" s="30"/>
      <c r="G18" s="30"/>
      <c r="K18" s="30"/>
      <c r="L18" s="42" t="s">
        <v>103</v>
      </c>
      <c r="M18" s="30"/>
      <c r="N18" s="30"/>
      <c r="O18" s="46">
        <f ca="1">O17-TODAY()</f>
        <v>3010</v>
      </c>
      <c r="P18" s="30"/>
      <c r="Q18" s="30"/>
      <c r="R18" s="30"/>
      <c r="S18" s="30"/>
      <c r="T18" s="30"/>
      <c r="U18" s="30"/>
      <c r="V18" s="30"/>
      <c r="W18" s="30"/>
      <c r="X18" s="30"/>
      <c r="Y18" s="30"/>
      <c r="Z18" s="30"/>
      <c r="AA18" s="30"/>
      <c r="AB18" s="30"/>
      <c r="AC18" s="30"/>
    </row>
    <row r="19" spans="1:36" s="7" customFormat="1" ht="18" customHeight="1" outlineLevel="1" x14ac:dyDescent="0.3">
      <c r="A19" s="30"/>
      <c r="G19" s="30"/>
      <c r="K19" s="30"/>
      <c r="L19" s="30"/>
      <c r="M19" s="30"/>
      <c r="N19" s="30"/>
      <c r="P19" s="30"/>
      <c r="Q19" s="30"/>
      <c r="R19" s="30"/>
      <c r="S19" s="30"/>
      <c r="T19" s="30"/>
      <c r="U19" s="30"/>
      <c r="V19" s="30"/>
      <c r="W19" s="30"/>
      <c r="X19" s="30"/>
      <c r="Y19" s="30"/>
      <c r="Z19" s="30"/>
      <c r="AA19" s="30"/>
      <c r="AB19" s="30"/>
      <c r="AC19" s="30"/>
    </row>
    <row r="20" spans="1:36" s="7" customFormat="1" ht="18" customHeight="1" outlineLevel="1" x14ac:dyDescent="0.3">
      <c r="A20" s="30"/>
      <c r="G20" s="30"/>
      <c r="K20" s="30"/>
      <c r="L20" s="30"/>
      <c r="M20" s="30"/>
      <c r="N20" s="30"/>
      <c r="P20" s="30"/>
      <c r="Q20" s="30"/>
      <c r="R20" s="30"/>
      <c r="S20" s="30"/>
      <c r="T20" s="30"/>
      <c r="U20" s="30"/>
      <c r="V20" s="30"/>
      <c r="W20" s="30"/>
      <c r="X20" s="30"/>
      <c r="Y20" s="30"/>
      <c r="Z20" s="30"/>
      <c r="AA20" s="30"/>
      <c r="AB20" s="30"/>
      <c r="AC20" s="30"/>
    </row>
    <row r="21" spans="1:36" s="7" customFormat="1" ht="18" customHeight="1" x14ac:dyDescent="0.3">
      <c r="A21" s="30"/>
      <c r="G21" s="30"/>
      <c r="K21" s="30"/>
      <c r="L21" s="30"/>
      <c r="M21" s="30"/>
      <c r="N21" s="30"/>
      <c r="P21" s="30"/>
      <c r="Q21" s="30"/>
      <c r="R21" s="30"/>
      <c r="S21" s="30"/>
      <c r="T21" s="30"/>
      <c r="U21" s="30"/>
      <c r="V21" s="30"/>
      <c r="W21" s="30"/>
      <c r="X21" s="30"/>
      <c r="Y21" s="30"/>
      <c r="Z21" s="30"/>
      <c r="AA21" s="30"/>
      <c r="AB21" s="30"/>
      <c r="AC21" s="30"/>
    </row>
    <row r="22" spans="1:36" s="7" customFormat="1" ht="16.5" x14ac:dyDescent="0.3">
      <c r="A22" s="30"/>
      <c r="B22" s="37" t="s">
        <v>74</v>
      </c>
      <c r="C22" t="s">
        <v>90</v>
      </c>
      <c r="D22" t="s">
        <v>61</v>
      </c>
      <c r="E22" t="s">
        <v>69</v>
      </c>
      <c r="F22" t="s">
        <v>91</v>
      </c>
      <c r="G22" s="30"/>
      <c r="H22" s="37" t="s">
        <v>74</v>
      </c>
      <c r="I22" t="s">
        <v>92</v>
      </c>
      <c r="J22" t="s">
        <v>93</v>
      </c>
      <c r="K22" s="30"/>
      <c r="L22" s="7" t="s">
        <v>30</v>
      </c>
      <c r="M22" s="7" t="s">
        <v>31</v>
      </c>
      <c r="N22" s="7" t="s">
        <v>15</v>
      </c>
      <c r="O22" s="7" t="s">
        <v>17</v>
      </c>
      <c r="P22" s="7" t="s">
        <v>32</v>
      </c>
      <c r="Q22" s="7" t="s">
        <v>33</v>
      </c>
      <c r="R22" s="7" t="s">
        <v>34</v>
      </c>
      <c r="S22" s="7" t="s">
        <v>35</v>
      </c>
      <c r="T22" s="7" t="s">
        <v>36</v>
      </c>
      <c r="U22" s="7" t="s">
        <v>37</v>
      </c>
      <c r="V22" s="7" t="s">
        <v>16</v>
      </c>
      <c r="W22" s="7" t="s">
        <v>38</v>
      </c>
      <c r="X22" s="7" t="s">
        <v>62</v>
      </c>
      <c r="Y22" s="7" t="s">
        <v>63</v>
      </c>
      <c r="Z22" s="7" t="s">
        <v>65</v>
      </c>
      <c r="AA22" s="7" t="s">
        <v>64</v>
      </c>
      <c r="AB22" s="7" t="s">
        <v>66</v>
      </c>
      <c r="AC22" s="30"/>
      <c r="AD22" s="1" t="s">
        <v>2</v>
      </c>
      <c r="AE22" s="1" t="s">
        <v>1</v>
      </c>
      <c r="AF22" s="1" t="s">
        <v>0</v>
      </c>
      <c r="AG22" s="1" t="s">
        <v>14</v>
      </c>
      <c r="AH22" s="1" t="s">
        <v>52</v>
      </c>
      <c r="AI22" s="1" t="s">
        <v>53</v>
      </c>
      <c r="AJ22" s="1" t="s">
        <v>54</v>
      </c>
    </row>
    <row r="23" spans="1:36" ht="16.5" x14ac:dyDescent="0.3">
      <c r="A23" s="21"/>
      <c r="B23" s="6" t="s">
        <v>76</v>
      </c>
      <c r="C23" s="38">
        <v>177916666.66666663</v>
      </c>
      <c r="D23" s="38">
        <v>152500000</v>
      </c>
      <c r="E23" s="38">
        <v>25416666.666666664</v>
      </c>
      <c r="F23" s="38">
        <v>0</v>
      </c>
      <c r="G23" s="21"/>
      <c r="H23" s="6" t="s">
        <v>60</v>
      </c>
      <c r="I23">
        <v>265462012.32032856</v>
      </c>
      <c r="J23" s="41">
        <v>8.8487337440109518E-2</v>
      </c>
      <c r="K23" s="21"/>
      <c r="L23" s="21" t="s">
        <v>73</v>
      </c>
      <c r="M23" s="21"/>
      <c r="N23" s="21" t="s">
        <v>69</v>
      </c>
      <c r="O23" s="21" t="s">
        <v>27</v>
      </c>
      <c r="P23" s="2">
        <v>350000000</v>
      </c>
      <c r="Q23" s="33">
        <v>45175</v>
      </c>
      <c r="R23" s="2">
        <v>10</v>
      </c>
      <c r="S23" s="3">
        <f>Table_TSCD[[#This Row],[Năm khấu hao]]*12</f>
        <v>120</v>
      </c>
      <c r="T23" s="33">
        <v>45175</v>
      </c>
      <c r="U23" s="33"/>
      <c r="V23" s="29">
        <f xml:space="preserve">
IF(
ISBLANK(Table_TSCD[[#This Row],[Ngày vận hành]]),
0,
Table_TSCD[[#This Row],[Ngày vận hành]] + ROUND(Table_TSCD[[#This Row],[Tháng khấu hao]] * (365.25/12), 0)
)</f>
        <v>48828</v>
      </c>
      <c r="W23" s="3">
        <f>IFERROR(
Table_TSCD[[#This Row],[Giá trị sổ sách]]/Table_TSCD[[#This Row],[Tháng khấu hao]],
0)</f>
        <v>2916666.6666666665</v>
      </c>
      <c r="X23" s="35">
        <f ca="1">MAX(0,IF(ISBLANK(Table_TSCD[[#This Row],[Ngày vận hành]]),0,
IF(ISBLANK(Table_TSCD[[#This Row],[Ngày thanh lý]]),
TODAY()-Table_TSCD[[#This Row],[Ngày vận hành]],
MIN(TODAY(),Table_TSCD[[#This Row],[Ngày thanh lý]])-Table_TSCD[[#This Row],[Ngày vận hành]]
)))</f>
        <v>643</v>
      </c>
      <c r="Y23" s="3">
        <f ca="1">MIN(Table_TSCD[[#Headers],[Giá trị sổ sách]],Table_TSCD[[#This Row],[Giá trị sổ sách]]/(Table_TSCD[[#This Row],[Tháng khấu hao]]*365.25/12)*Table_TSCD[[#This Row],[Số ngày vận hành]])</f>
        <v>61615331.964407936</v>
      </c>
      <c r="Z23" s="34">
        <f ca="1">Table_TSCD[[#This Row],[Khấu hao lũy kế theo ngày]]/Table_TSCD[[#This Row],[Giá trị sổ sách]]</f>
        <v>0.17604380561259411</v>
      </c>
      <c r="AA23" s="3">
        <f ca="1">Table_TSCD[[#This Row],[Giá trị sổ sách]]-Table_TSCD[[#This Row],[Khấu hao lũy kế theo ngày]]</f>
        <v>288384668.03559208</v>
      </c>
      <c r="AB23" s="3">
        <f ca="1">MAX(0,IF(ISBLANK(Table_TSCD[[#This Row],[Ngày vận hành]]),0,
IF(ISBLANK(Table_TSCD[[#This Row],[Ngày thanh lý]]),
Table_TSCD[[#This Row],[Ngày kết thúc]]-TODAY(),0
)))</f>
        <v>3010</v>
      </c>
      <c r="AC23" s="21"/>
      <c r="AD23" s="4">
        <f>IFERROR(
IF(ISBLANK(Table_TSCD_KhauHao[[#This Row],[Tháng]]),
DATE(Table_TSCD_KhauHao[[#This Row],[Năm]],12,1),
DATE(Table_TSCD_KhauHao[[#This Row],[Năm]],Table_TSCD_KhauHao[[#This Row],[Tháng]],1)),0)</f>
        <v>45992</v>
      </c>
      <c r="AE23" s="21">
        <v>2025</v>
      </c>
      <c r="AF23" s="21">
        <v>12</v>
      </c>
      <c r="AG23" s="36">
        <f>+Table_TSCD_KhauHao[[#This Row],[Khấu hao sản xuất]]+Table_TSCD_KhauHao[[#This Row],[Khấu hao bán hàng]]+Table_TSCD_KhauHao[[#This Row],[Khấu hao quản lý]]</f>
        <v>51111111.111111104</v>
      </c>
      <c r="AH23" s="2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AI23" s="2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AJ23" s="2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row>
    <row r="24" spans="1:36" ht="16.5" x14ac:dyDescent="0.3">
      <c r="B24" s="39" t="s">
        <v>78</v>
      </c>
      <c r="C24" s="38">
        <v>10000000</v>
      </c>
      <c r="D24" s="38">
        <v>10000000</v>
      </c>
      <c r="E24" s="38">
        <v>0</v>
      </c>
      <c r="F24" s="38">
        <v>0</v>
      </c>
      <c r="H24" s="39" t="s">
        <v>20</v>
      </c>
      <c r="I24">
        <v>265462012.32032856</v>
      </c>
      <c r="J24" s="41">
        <v>8.8487337440109518E-2</v>
      </c>
      <c r="L24" s="21" t="s">
        <v>72</v>
      </c>
      <c r="M24" s="21"/>
      <c r="N24" s="21" t="s">
        <v>71</v>
      </c>
      <c r="O24" s="21" t="s">
        <v>25</v>
      </c>
      <c r="P24" s="2">
        <v>25000000</v>
      </c>
      <c r="Q24" s="33">
        <v>45336</v>
      </c>
      <c r="R24" s="2">
        <v>3</v>
      </c>
      <c r="S24" s="3">
        <f>Table_TSCD[[#This Row],[Năm khấu hao]]*12</f>
        <v>36</v>
      </c>
      <c r="T24" s="33">
        <v>45336</v>
      </c>
      <c r="U24" s="33"/>
      <c r="V24" s="29">
        <f xml:space="preserve">
IF(
ISBLANK(Table_TSCD[[#This Row],[Ngày vận hành]]),
0,
Table_TSCD[[#This Row],[Ngày vận hành]] + ROUND(Table_TSCD[[#This Row],[Tháng khấu hao]] * (365.25/12), 0)
)</f>
        <v>46432</v>
      </c>
      <c r="W24" s="3">
        <f>IFERROR(
Table_TSCD[[#This Row],[Giá trị sổ sách]]/Table_TSCD[[#This Row],[Tháng khấu hao]],
0)</f>
        <v>694444.4444444445</v>
      </c>
      <c r="X24" s="35">
        <f ca="1">MAX(0,IF(ISBLANK(Table_TSCD[[#This Row],[Ngày vận hành]]),0,
IF(ISBLANK(Table_TSCD[[#This Row],[Ngày thanh lý]]),
TODAY()-Table_TSCD[[#This Row],[Ngày vận hành]],
MIN(TODAY(),Table_TSCD[[#This Row],[Ngày thanh lý]])-Table_TSCD[[#This Row],[Ngày vận hành]]
)))</f>
        <v>482</v>
      </c>
      <c r="Y24" s="3">
        <f ca="1">MIN(Table_TSCD[[#Headers],[Giá trị sổ sách]],Table_TSCD[[#This Row],[Giá trị sổ sách]]/(Table_TSCD[[#This Row],[Tháng khấu hao]]*365.25/12)*Table_TSCD[[#This Row],[Số ngày vận hành]])</f>
        <v>10997033.994980607</v>
      </c>
      <c r="Z24" s="34">
        <f ca="1">Table_TSCD[[#This Row],[Khấu hao lũy kế theo ngày]]/Table_TSCD[[#This Row],[Giá trị sổ sách]]</f>
        <v>0.43988135979922427</v>
      </c>
      <c r="AA24" s="3">
        <f ca="1">Table_TSCD[[#This Row],[Giá trị sổ sách]]-Table_TSCD[[#This Row],[Khấu hao lũy kế theo ngày]]</f>
        <v>14002966.005019393</v>
      </c>
      <c r="AB24" s="3">
        <f ca="1">MAX(0,IF(ISBLANK(Table_TSCD[[#This Row],[Ngày vận hành]]),0,
IF(ISBLANK(Table_TSCD[[#This Row],[Ngày thanh lý]]),
Table_TSCD[[#This Row],[Ngày kết thúc]]-TODAY(),0
)))</f>
        <v>614</v>
      </c>
      <c r="AD24" s="4">
        <f>IFERROR(
IF(ISBLANK(Table_TSCD_KhauHao[[#This Row],[Tháng]]),
DATE(Table_TSCD_KhauHao[[#This Row],[Năm]],12,1),
DATE(Table_TSCD_KhauHao[[#This Row],[Năm]],Table_TSCD_KhauHao[[#This Row],[Tháng]],1)),0)</f>
        <v>45962</v>
      </c>
      <c r="AE24" s="21">
        <v>2025</v>
      </c>
      <c r="AF24" s="21">
        <v>11</v>
      </c>
      <c r="AG24" s="36">
        <f>+Table_TSCD_KhauHao[[#This Row],[Khấu hao sản xuất]]+Table_TSCD_KhauHao[[#This Row],[Khấu hao bán hàng]]+Table_TSCD_KhauHao[[#This Row],[Khấu hao quản lý]]</f>
        <v>51111111.111111104</v>
      </c>
      <c r="AH24" s="2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AI24" s="2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AJ24" s="2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row>
    <row r="25" spans="1:36" ht="16.5" x14ac:dyDescent="0.3">
      <c r="B25" s="40">
        <v>45017</v>
      </c>
      <c r="C25" s="38">
        <v>10000000</v>
      </c>
      <c r="D25" s="38">
        <v>10000000</v>
      </c>
      <c r="E25" s="38">
        <v>0</v>
      </c>
      <c r="F25" s="38">
        <v>0</v>
      </c>
      <c r="H25" s="6" t="s">
        <v>67</v>
      </c>
      <c r="I25">
        <v>431211498.97330594</v>
      </c>
      <c r="J25" s="41">
        <v>8.6242299794661192E-2</v>
      </c>
      <c r="L25" s="21" t="s">
        <v>70</v>
      </c>
      <c r="M25" s="21"/>
      <c r="N25" s="21" t="s">
        <v>71</v>
      </c>
      <c r="O25" s="21" t="s">
        <v>23</v>
      </c>
      <c r="P25" s="2">
        <v>500000000</v>
      </c>
      <c r="Q25" s="33">
        <v>45336</v>
      </c>
      <c r="R25" s="2">
        <v>5</v>
      </c>
      <c r="S25" s="3">
        <f>Table_TSCD[[#This Row],[Năm khấu hao]]*12</f>
        <v>60</v>
      </c>
      <c r="T25" s="33">
        <v>45400</v>
      </c>
      <c r="U25" s="33"/>
      <c r="V25" s="29">
        <f xml:space="preserve">
IF(
ISBLANK(Table_TSCD[[#This Row],[Ngày vận hành]]),
0,
Table_TSCD[[#This Row],[Ngày vận hành]] + ROUND(Table_TSCD[[#This Row],[Tháng khấu hao]] * (365.25/12), 0)
)</f>
        <v>47226</v>
      </c>
      <c r="W25" s="3">
        <f>IFERROR(
Table_TSCD[[#This Row],[Giá trị sổ sách]]/Table_TSCD[[#This Row],[Tháng khấu hao]],
0)</f>
        <v>8333333.333333333</v>
      </c>
      <c r="X25" s="35">
        <f ca="1">MAX(0,IF(ISBLANK(Table_TSCD[[#This Row],[Ngày vận hành]]),0,
IF(ISBLANK(Table_TSCD[[#This Row],[Ngày thanh lý]]),
TODAY()-Table_TSCD[[#This Row],[Ngày vận hành]],
MIN(TODAY(),Table_TSCD[[#This Row],[Ngày thanh lý]])-Table_TSCD[[#This Row],[Ngày vận hành]]
)))</f>
        <v>418</v>
      </c>
      <c r="Y25" s="3">
        <f ca="1">MIN(Table_TSCD[[#Headers],[Giá trị sổ sách]],Table_TSCD[[#This Row],[Giá trị sổ sách]]/(Table_TSCD[[#This Row],[Tháng khấu hao]]*365.25/12)*Table_TSCD[[#This Row],[Số ngày vận hành]])</f>
        <v>114442162.90212183</v>
      </c>
      <c r="Z25" s="34">
        <f ca="1">Table_TSCD[[#This Row],[Khấu hao lũy kế theo ngày]]/Table_TSCD[[#This Row],[Giá trị sổ sách]]</f>
        <v>0.22888432580424364</v>
      </c>
      <c r="AA25" s="3">
        <f ca="1">Table_TSCD[[#This Row],[Giá trị sổ sách]]-Table_TSCD[[#This Row],[Khấu hao lũy kế theo ngày]]</f>
        <v>385557837.09787816</v>
      </c>
      <c r="AB25" s="3">
        <f ca="1">MAX(0,IF(ISBLANK(Table_TSCD[[#This Row],[Ngày vận hành]]),0,
IF(ISBLANK(Table_TSCD[[#This Row],[Ngày thanh lý]]),
Table_TSCD[[#This Row],[Ngày kết thúc]]-TODAY(),0
)))</f>
        <v>1408</v>
      </c>
      <c r="AD25" s="4">
        <f>IFERROR(
IF(ISBLANK(Table_TSCD_KhauHao[[#This Row],[Tháng]]),
DATE(Table_TSCD_KhauHao[[#This Row],[Năm]],12,1),
DATE(Table_TSCD_KhauHao[[#This Row],[Năm]],Table_TSCD_KhauHao[[#This Row],[Tháng]],1)),0)</f>
        <v>45931</v>
      </c>
      <c r="AE25" s="21">
        <v>2025</v>
      </c>
      <c r="AF25" s="21">
        <v>10</v>
      </c>
      <c r="AG25" s="36">
        <f>+Table_TSCD_KhauHao[[#This Row],[Khấu hao sản xuất]]+Table_TSCD_KhauHao[[#This Row],[Khấu hao bán hàng]]+Table_TSCD_KhauHao[[#This Row],[Khấu hao quản lý]]</f>
        <v>51111111.111111104</v>
      </c>
      <c r="AH25" s="2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AI25" s="2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AJ25" s="2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row>
    <row r="26" spans="1:36" ht="16.5" x14ac:dyDescent="0.3">
      <c r="B26" s="39" t="s">
        <v>79</v>
      </c>
      <c r="C26" s="38">
        <v>10000000</v>
      </c>
      <c r="D26" s="38">
        <v>10000000</v>
      </c>
      <c r="E26" s="38">
        <v>0</v>
      </c>
      <c r="F26" s="38">
        <v>0</v>
      </c>
      <c r="H26" s="39" t="s">
        <v>21</v>
      </c>
      <c r="I26">
        <v>431211498.97330594</v>
      </c>
      <c r="J26" s="41">
        <v>8.6242299794661192E-2</v>
      </c>
      <c r="L26" s="21" t="s">
        <v>68</v>
      </c>
      <c r="M26" s="21"/>
      <c r="N26" s="21" t="s">
        <v>69</v>
      </c>
      <c r="O26" s="21" t="s">
        <v>22</v>
      </c>
      <c r="P26" s="2">
        <v>1000000000</v>
      </c>
      <c r="Q26" s="33">
        <v>45223</v>
      </c>
      <c r="R26" s="2">
        <v>10</v>
      </c>
      <c r="S26" s="3">
        <f>Table_TSCD[[#This Row],[Năm khấu hao]]*12</f>
        <v>120</v>
      </c>
      <c r="T26" s="33">
        <v>45223</v>
      </c>
      <c r="U26" s="33"/>
      <c r="V26" s="29">
        <f xml:space="preserve">
IF(
ISBLANK(Table_TSCD[[#This Row],[Ngày vận hành]]),
0,
Table_TSCD[[#This Row],[Ngày vận hành]] + ROUND(Table_TSCD[[#This Row],[Tháng khấu hao]] * (365.25/12), 0)
)</f>
        <v>48876</v>
      </c>
      <c r="W26" s="3">
        <f>IFERROR(
Table_TSCD[[#This Row],[Giá trị sổ sách]]/Table_TSCD[[#This Row],[Tháng khấu hao]],
0)</f>
        <v>8333333.333333333</v>
      </c>
      <c r="X26" s="35">
        <f ca="1">MAX(0,IF(ISBLANK(Table_TSCD[[#This Row],[Ngày vận hành]]),0,
IF(ISBLANK(Table_TSCD[[#This Row],[Ngày thanh lý]]),
TODAY()-Table_TSCD[[#This Row],[Ngày vận hành]],
MIN(TODAY(),Table_TSCD[[#This Row],[Ngày thanh lý]])-Table_TSCD[[#This Row],[Ngày vận hành]]
)))</f>
        <v>595</v>
      </c>
      <c r="Y26" s="3">
        <f ca="1">MIN(Table_TSCD[[#Headers],[Giá trị sổ sách]],Table_TSCD[[#This Row],[Giá trị sổ sách]]/(Table_TSCD[[#This Row],[Tháng khấu hao]]*365.25/12)*Table_TSCD[[#This Row],[Số ngày vận hành]])</f>
        <v>162902121.83436003</v>
      </c>
      <c r="Z26" s="34">
        <f ca="1">Table_TSCD[[#This Row],[Khấu hao lũy kế theo ngày]]/Table_TSCD[[#This Row],[Giá trị sổ sách]]</f>
        <v>0.16290212183436004</v>
      </c>
      <c r="AA26" s="3">
        <f ca="1">Table_TSCD[[#This Row],[Giá trị sổ sách]]-Table_TSCD[[#This Row],[Khấu hao lũy kế theo ngày]]</f>
        <v>837097878.16564</v>
      </c>
      <c r="AB26" s="3">
        <f ca="1">MAX(0,IF(ISBLANK(Table_TSCD[[#This Row],[Ngày vận hành]]),0,
IF(ISBLANK(Table_TSCD[[#This Row],[Ngày thanh lý]]),
Table_TSCD[[#This Row],[Ngày kết thúc]]-TODAY(),0
)))</f>
        <v>3058</v>
      </c>
      <c r="AD26" s="4">
        <f>IFERROR(
IF(ISBLANK(Table_TSCD_KhauHao[[#This Row],[Tháng]]),
DATE(Table_TSCD_KhauHao[[#This Row],[Năm]],12,1),
DATE(Table_TSCD_KhauHao[[#This Row],[Năm]],Table_TSCD_KhauHao[[#This Row],[Tháng]],1)),0)</f>
        <v>45901</v>
      </c>
      <c r="AE26" s="21">
        <v>2025</v>
      </c>
      <c r="AF26" s="21">
        <v>9</v>
      </c>
      <c r="AG26" s="36">
        <f>+Table_TSCD_KhauHao[[#This Row],[Khấu hao sản xuất]]+Table_TSCD_KhauHao[[#This Row],[Khấu hao bán hàng]]+Table_TSCD_KhauHao[[#This Row],[Khấu hao quản lý]]</f>
        <v>51111111.111111104</v>
      </c>
      <c r="AH26" s="2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AI26" s="2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AJ26" s="2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row>
    <row r="27" spans="1:36" ht="16.5" x14ac:dyDescent="0.3">
      <c r="B27" s="40">
        <v>45047</v>
      </c>
      <c r="C27" s="38">
        <v>10000000</v>
      </c>
      <c r="D27" s="38">
        <v>10000000</v>
      </c>
      <c r="E27" s="38">
        <v>0</v>
      </c>
      <c r="F27" s="38">
        <v>0</v>
      </c>
      <c r="H27" s="6" t="s">
        <v>68</v>
      </c>
      <c r="I27">
        <v>159342915.81108829</v>
      </c>
      <c r="J27" s="41">
        <v>0.15934291581108828</v>
      </c>
      <c r="L27" s="21" t="s">
        <v>67</v>
      </c>
      <c r="M27" s="21"/>
      <c r="N27" s="21" t="s">
        <v>61</v>
      </c>
      <c r="O27" s="21" t="s">
        <v>21</v>
      </c>
      <c r="P27" s="2">
        <v>5000000000</v>
      </c>
      <c r="Q27" s="33">
        <v>45175</v>
      </c>
      <c r="R27" s="2">
        <v>20</v>
      </c>
      <c r="S27" s="3">
        <f>Table_TSCD[[#This Row],[Năm khấu hao]]*12</f>
        <v>240</v>
      </c>
      <c r="T27" s="33">
        <v>45175</v>
      </c>
      <c r="U27" s="33"/>
      <c r="V27" s="29">
        <f xml:space="preserve">
IF(
ISBLANK(Table_TSCD[[#This Row],[Ngày vận hành]]),
0,
Table_TSCD[[#This Row],[Ngày vận hành]] + ROUND(Table_TSCD[[#This Row],[Tháng khấu hao]] * (365.25/12), 0)
)</f>
        <v>52480</v>
      </c>
      <c r="W27" s="3">
        <f>IFERROR(
Table_TSCD[[#This Row],[Giá trị sổ sách]]/Table_TSCD[[#This Row],[Tháng khấu hao]],
0)</f>
        <v>20833333.333333332</v>
      </c>
      <c r="X27" s="35">
        <f ca="1">MAX(0,IF(ISBLANK(Table_TSCD[[#This Row],[Ngày vận hành]]),0,
IF(ISBLANK(Table_TSCD[[#This Row],[Ngày thanh lý]]),
TODAY()-Table_TSCD[[#This Row],[Ngày vận hành]],
MIN(TODAY(),Table_TSCD[[#This Row],[Ngày thanh lý]])-Table_TSCD[[#This Row],[Ngày vận hành]]
)))</f>
        <v>643</v>
      </c>
      <c r="Y27" s="3">
        <f ca="1">MIN(Table_TSCD[[#Headers],[Giá trị sổ sách]],Table_TSCD[[#This Row],[Giá trị sổ sách]]/(Table_TSCD[[#This Row],[Tháng khấu hao]]*365.25/12)*Table_TSCD[[#This Row],[Số ngày vận hành]])</f>
        <v>440109514.03148526</v>
      </c>
      <c r="Z27" s="34">
        <f ca="1">Table_TSCD[[#This Row],[Khấu hao lũy kế theo ngày]]/Table_TSCD[[#This Row],[Giá trị sổ sách]]</f>
        <v>8.8021902806297056E-2</v>
      </c>
      <c r="AA27" s="3">
        <f ca="1">Table_TSCD[[#This Row],[Giá trị sổ sách]]-Table_TSCD[[#This Row],[Khấu hao lũy kế theo ngày]]</f>
        <v>4559890485.9685144</v>
      </c>
      <c r="AB27" s="3">
        <f ca="1">MAX(0,IF(ISBLANK(Table_TSCD[[#This Row],[Ngày vận hành]]),0,
IF(ISBLANK(Table_TSCD[[#This Row],[Ngày thanh lý]]),
Table_TSCD[[#This Row],[Ngày kết thúc]]-TODAY(),0
)))</f>
        <v>6662</v>
      </c>
      <c r="AD27" s="4">
        <f>IFERROR(
IF(ISBLANK(Table_TSCD_KhauHao[[#This Row],[Tháng]]),
DATE(Table_TSCD_KhauHao[[#This Row],[Năm]],12,1),
DATE(Table_TSCD_KhauHao[[#This Row],[Năm]],Table_TSCD_KhauHao[[#This Row],[Tháng]],1)),0)</f>
        <v>45870</v>
      </c>
      <c r="AE27" s="21">
        <v>2025</v>
      </c>
      <c r="AF27" s="21">
        <v>8</v>
      </c>
      <c r="AG27" s="36">
        <f>+Table_TSCD_KhauHao[[#This Row],[Khấu hao sản xuất]]+Table_TSCD_KhauHao[[#This Row],[Khấu hao bán hàng]]+Table_TSCD_KhauHao[[#This Row],[Khấu hao quản lý]]</f>
        <v>51111111.111111104</v>
      </c>
      <c r="AH27" s="2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AI27" s="2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AJ27" s="2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row>
    <row r="28" spans="1:36" ht="16.5" x14ac:dyDescent="0.3">
      <c r="B28" s="39" t="s">
        <v>80</v>
      </c>
      <c r="C28" s="38">
        <v>10000000</v>
      </c>
      <c r="D28" s="38">
        <v>10000000</v>
      </c>
      <c r="E28" s="38">
        <v>0</v>
      </c>
      <c r="F28" s="38">
        <v>0</v>
      </c>
      <c r="H28" s="39" t="s">
        <v>22</v>
      </c>
      <c r="I28">
        <v>159342915.81108829</v>
      </c>
      <c r="J28" s="41">
        <v>0.15934291581108828</v>
      </c>
      <c r="L28" s="21" t="s">
        <v>60</v>
      </c>
      <c r="M28" s="21"/>
      <c r="N28" s="21" t="s">
        <v>61</v>
      </c>
      <c r="O28" s="21" t="s">
        <v>20</v>
      </c>
      <c r="P28" s="2">
        <v>3000000000</v>
      </c>
      <c r="Q28" s="33">
        <v>44997</v>
      </c>
      <c r="R28" s="2">
        <v>25</v>
      </c>
      <c r="S28" s="3">
        <f>Table_TSCD[[#This Row],[Năm khấu hao]]*12</f>
        <v>300</v>
      </c>
      <c r="T28" s="33">
        <v>44997</v>
      </c>
      <c r="U28" s="33"/>
      <c r="V28" s="29">
        <f xml:space="preserve">
IF(
ISBLANK(Table_TSCD[[#This Row],[Ngày vận hành]]),
0,
Table_TSCD[[#This Row],[Ngày vận hành]] + ROUND(Table_TSCD[[#This Row],[Tháng khấu hao]] * (365.25/12), 0)
)</f>
        <v>54128</v>
      </c>
      <c r="W28" s="3">
        <f>IFERROR(
Table_TSCD[[#This Row],[Giá trị sổ sách]]/Table_TSCD[[#This Row],[Tháng khấu hao]],
0)</f>
        <v>10000000</v>
      </c>
      <c r="X28" s="3">
        <f ca="1">MAX(0,IF(ISBLANK(Table_TSCD[[#This Row],[Ngày vận hành]]),0,
IF(ISBLANK(Table_TSCD[[#This Row],[Ngày thanh lý]]),
TODAY()-Table_TSCD[[#This Row],[Ngày vận hành]],
MIN(TODAY(),Table_TSCD[[#This Row],[Ngày thanh lý]])-Table_TSCD[[#This Row],[Ngày vận hành]]
)))</f>
        <v>821</v>
      </c>
      <c r="Y28" s="3">
        <f ca="1">MIN(Table_TSCD[[#Headers],[Giá trị sổ sách]],Table_TSCD[[#This Row],[Giá trị sổ sách]]/(Table_TSCD[[#This Row],[Tháng khấu hao]]*365.25/12)*Table_TSCD[[#This Row],[Số ngày vận hành]])</f>
        <v>269733059.54825461</v>
      </c>
      <c r="Z28" s="34">
        <f ca="1">Table_TSCD[[#This Row],[Khấu hao lũy kế theo ngày]]/Table_TSCD[[#This Row],[Giá trị sổ sách]]</f>
        <v>8.9911019849418197E-2</v>
      </c>
      <c r="AA28" s="3">
        <f ca="1">Table_TSCD[[#This Row],[Giá trị sổ sách]]-Table_TSCD[[#This Row],[Khấu hao lũy kế theo ngày]]</f>
        <v>2730266940.4517455</v>
      </c>
      <c r="AB28" s="3">
        <f ca="1">MAX(0,IF(ISBLANK(Table_TSCD[[#This Row],[Ngày vận hành]]),0,
IF(ISBLANK(Table_TSCD[[#This Row],[Ngày thanh lý]]),
Table_TSCD[[#This Row],[Ngày kết thúc]]-TODAY(),0
)))</f>
        <v>8310</v>
      </c>
      <c r="AD28" s="4">
        <f>IFERROR(
IF(ISBLANK(Table_TSCD_KhauHao[[#This Row],[Tháng]]),
DATE(Table_TSCD_KhauHao[[#This Row],[Năm]],12,1),
DATE(Table_TSCD_KhauHao[[#This Row],[Năm]],Table_TSCD_KhauHao[[#This Row],[Tháng]],1)),0)</f>
        <v>45839</v>
      </c>
      <c r="AE28" s="21">
        <v>2025</v>
      </c>
      <c r="AF28" s="21">
        <v>7</v>
      </c>
      <c r="AG28" s="36">
        <f>+Table_TSCD_KhauHao[[#This Row],[Khấu hao sản xuất]]+Table_TSCD_KhauHao[[#This Row],[Khấu hao bán hàng]]+Table_TSCD_KhauHao[[#This Row],[Khấu hao quản lý]]</f>
        <v>51111111.111111104</v>
      </c>
      <c r="AH28" s="2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AI28" s="2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AJ28" s="2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row>
    <row r="29" spans="1:36" ht="16.5" x14ac:dyDescent="0.3">
      <c r="B29" s="40">
        <v>45078</v>
      </c>
      <c r="C29" s="38">
        <v>10000000</v>
      </c>
      <c r="D29" s="38">
        <v>10000000</v>
      </c>
      <c r="E29" s="38">
        <v>0</v>
      </c>
      <c r="F29" s="38">
        <v>0</v>
      </c>
      <c r="H29" s="6" t="s">
        <v>70</v>
      </c>
      <c r="I29">
        <v>110882956.8788501</v>
      </c>
      <c r="J29" s="41">
        <v>0.22176591375770022</v>
      </c>
      <c r="AD29" s="4">
        <f>IFERROR(
IF(ISBLANK(Table_TSCD_KhauHao[[#This Row],[Tháng]]),
DATE(Table_TSCD_KhauHao[[#This Row],[Năm]],12,1),
DATE(Table_TSCD_KhauHao[[#This Row],[Năm]],Table_TSCD_KhauHao[[#This Row],[Tháng]],1)),0)</f>
        <v>45809</v>
      </c>
      <c r="AE29" s="21">
        <v>2025</v>
      </c>
      <c r="AF29" s="21">
        <v>6</v>
      </c>
      <c r="AG29" s="36">
        <f>+Table_TSCD_KhauHao[[#This Row],[Khấu hao sản xuất]]+Table_TSCD_KhauHao[[#This Row],[Khấu hao bán hàng]]+Table_TSCD_KhauHao[[#This Row],[Khấu hao quản lý]]</f>
        <v>51111111.111111104</v>
      </c>
      <c r="AH29" s="2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AI29" s="2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AJ29" s="2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row>
    <row r="30" spans="1:36" ht="16.5" x14ac:dyDescent="0.3">
      <c r="B30" s="39" t="s">
        <v>81</v>
      </c>
      <c r="C30" s="38">
        <v>10000000</v>
      </c>
      <c r="D30" s="38">
        <v>10000000</v>
      </c>
      <c r="E30" s="38">
        <v>0</v>
      </c>
      <c r="F30" s="38">
        <v>0</v>
      </c>
      <c r="H30" s="39" t="s">
        <v>23</v>
      </c>
      <c r="I30">
        <v>110882956.8788501</v>
      </c>
      <c r="J30" s="41">
        <v>0.22176591375770022</v>
      </c>
      <c r="AD30" s="4">
        <f>IFERROR(
IF(ISBLANK(Table_TSCD_KhauHao[[#This Row],[Tháng]]),
DATE(Table_TSCD_KhauHao[[#This Row],[Năm]],12,1),
DATE(Table_TSCD_KhauHao[[#This Row],[Năm]],Table_TSCD_KhauHao[[#This Row],[Tháng]],1)),0)</f>
        <v>45778</v>
      </c>
      <c r="AE30" s="21">
        <v>2025</v>
      </c>
      <c r="AF30" s="21">
        <v>5</v>
      </c>
      <c r="AG30" s="36">
        <f>+Table_TSCD_KhauHao[[#This Row],[Khấu hao sản xuất]]+Table_TSCD_KhauHao[[#This Row],[Khấu hao bán hàng]]+Table_TSCD_KhauHao[[#This Row],[Khấu hao quản lý]]</f>
        <v>51111111.111111104</v>
      </c>
      <c r="AH30" s="2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AI30" s="2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AJ30" s="2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row>
    <row r="31" spans="1:36" ht="16.5" x14ac:dyDescent="0.3">
      <c r="B31" s="40">
        <v>45108</v>
      </c>
      <c r="C31" s="38">
        <v>10000000</v>
      </c>
      <c r="D31" s="38">
        <v>10000000</v>
      </c>
      <c r="E31" s="38">
        <v>0</v>
      </c>
      <c r="F31" s="38">
        <v>0</v>
      </c>
      <c r="H31" s="6" t="s">
        <v>72</v>
      </c>
      <c r="I31">
        <v>10700433.493041296</v>
      </c>
      <c r="J31" s="41">
        <v>0.42801733972165185</v>
      </c>
      <c r="AD31" s="4">
        <f>IFERROR(
IF(ISBLANK(Table_TSCD_KhauHao[[#This Row],[Tháng]]),
DATE(Table_TSCD_KhauHao[[#This Row],[Năm]],12,1),
DATE(Table_TSCD_KhauHao[[#This Row],[Năm]],Table_TSCD_KhauHao[[#This Row],[Tháng]],1)),0)</f>
        <v>45748</v>
      </c>
      <c r="AE31" s="21">
        <v>2025</v>
      </c>
      <c r="AF31" s="21">
        <v>4</v>
      </c>
      <c r="AG31" s="36">
        <f>+Table_TSCD_KhauHao[[#This Row],[Khấu hao sản xuất]]+Table_TSCD_KhauHao[[#This Row],[Khấu hao bán hàng]]+Table_TSCD_KhauHao[[#This Row],[Khấu hao quản lý]]</f>
        <v>51111111.111111104</v>
      </c>
      <c r="AH31" s="2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AI31" s="2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AJ31" s="2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row>
    <row r="32" spans="1:36" ht="16.5" x14ac:dyDescent="0.3">
      <c r="B32" s="39" t="s">
        <v>82</v>
      </c>
      <c r="C32" s="38">
        <v>10000000</v>
      </c>
      <c r="D32" s="38">
        <v>10000000</v>
      </c>
      <c r="E32" s="38">
        <v>0</v>
      </c>
      <c r="F32" s="38">
        <v>0</v>
      </c>
      <c r="H32" s="39" t="s">
        <v>25</v>
      </c>
      <c r="I32">
        <v>10700433.493041296</v>
      </c>
      <c r="J32" s="41">
        <v>0.42801733972165185</v>
      </c>
      <c r="O32" s="30"/>
      <c r="AD32" s="4">
        <f>IFERROR(
IF(ISBLANK(Table_TSCD_KhauHao[[#This Row],[Tháng]]),
DATE(Table_TSCD_KhauHao[[#This Row],[Năm]],12,1),
DATE(Table_TSCD_KhauHao[[#This Row],[Năm]],Table_TSCD_KhauHao[[#This Row],[Tháng]],1)),0)</f>
        <v>45717</v>
      </c>
      <c r="AE32" s="21">
        <v>2025</v>
      </c>
      <c r="AF32" s="21">
        <v>3</v>
      </c>
      <c r="AG32" s="36">
        <f>+Table_TSCD_KhauHao[[#This Row],[Khấu hao sản xuất]]+Table_TSCD_KhauHao[[#This Row],[Khấu hao bán hàng]]+Table_TSCD_KhauHao[[#This Row],[Khấu hao quản lý]]</f>
        <v>51111111.111111104</v>
      </c>
      <c r="AH32" s="2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AI32" s="2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AJ32" s="2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row>
    <row r="33" spans="2:36" ht="16.5" x14ac:dyDescent="0.3">
      <c r="B33" s="40">
        <v>45139</v>
      </c>
      <c r="C33" s="38">
        <v>10000000</v>
      </c>
      <c r="D33" s="38">
        <v>10000000</v>
      </c>
      <c r="E33" s="38">
        <v>0</v>
      </c>
      <c r="F33" s="38">
        <v>0</v>
      </c>
      <c r="H33" s="6" t="s">
        <v>73</v>
      </c>
      <c r="I33">
        <v>60369609.856262833</v>
      </c>
      <c r="J33" s="41">
        <v>0.17248459958932238</v>
      </c>
      <c r="AD33" s="4">
        <f>IFERROR(
IF(ISBLANK(Table_TSCD_KhauHao[[#This Row],[Tháng]]),
DATE(Table_TSCD_KhauHao[[#This Row],[Năm]],12,1),
DATE(Table_TSCD_KhauHao[[#This Row],[Năm]],Table_TSCD_KhauHao[[#This Row],[Tháng]],1)),0)</f>
        <v>45689</v>
      </c>
      <c r="AE33" s="21">
        <v>2025</v>
      </c>
      <c r="AF33" s="21">
        <v>2</v>
      </c>
      <c r="AG33" s="36">
        <f>+Table_TSCD_KhauHao[[#This Row],[Khấu hao sản xuất]]+Table_TSCD_KhauHao[[#This Row],[Khấu hao bán hàng]]+Table_TSCD_KhauHao[[#This Row],[Khấu hao quản lý]]</f>
        <v>51111111.111111104</v>
      </c>
      <c r="AH33" s="2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AI33" s="2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AJ33" s="2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row>
    <row r="34" spans="2:36" ht="16.5" x14ac:dyDescent="0.3">
      <c r="B34" s="39" t="s">
        <v>83</v>
      </c>
      <c r="C34" s="38">
        <v>10000000</v>
      </c>
      <c r="D34" s="38">
        <v>10000000</v>
      </c>
      <c r="E34" s="38">
        <v>0</v>
      </c>
      <c r="F34" s="38">
        <v>0</v>
      </c>
      <c r="H34" s="39" t="s">
        <v>27</v>
      </c>
      <c r="I34">
        <v>60369609.856262833</v>
      </c>
      <c r="J34" s="41">
        <v>0.17248459958932238</v>
      </c>
      <c r="AD34" s="4">
        <f>IFERROR(
IF(ISBLANK(Table_TSCD_KhauHao[[#This Row],[Tháng]]),
DATE(Table_TSCD_KhauHao[[#This Row],[Năm]],12,1),
DATE(Table_TSCD_KhauHao[[#This Row],[Năm]],Table_TSCD_KhauHao[[#This Row],[Tháng]],1)),0)</f>
        <v>45658</v>
      </c>
      <c r="AE34" s="21">
        <v>2025</v>
      </c>
      <c r="AF34" s="21">
        <v>1</v>
      </c>
      <c r="AG34" s="36">
        <f>+Table_TSCD_KhauHao[[#This Row],[Khấu hao sản xuất]]+Table_TSCD_KhauHao[[#This Row],[Khấu hao bán hàng]]+Table_TSCD_KhauHao[[#This Row],[Khấu hao quản lý]]</f>
        <v>51111111.111111104</v>
      </c>
      <c r="AH34" s="2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AI34" s="2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AJ34" s="2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row>
    <row r="35" spans="2:36" ht="16.5" x14ac:dyDescent="0.3">
      <c r="B35" s="40">
        <v>45170</v>
      </c>
      <c r="C35" s="38">
        <v>10000000</v>
      </c>
      <c r="D35" s="38">
        <v>10000000</v>
      </c>
      <c r="E35" s="38">
        <v>0</v>
      </c>
      <c r="F35" s="38">
        <v>0</v>
      </c>
      <c r="H35" s="6" t="s">
        <v>75</v>
      </c>
      <c r="I35">
        <v>1037969427.332877</v>
      </c>
      <c r="J35" s="41">
        <v>1.1563404061145333</v>
      </c>
      <c r="AD35" s="4">
        <f>IFERROR(
IF(ISBLANK(Table_TSCD_KhauHao[[#This Row],[Tháng]]),
DATE(Table_TSCD_KhauHao[[#This Row],[Năm]],12,1),
DATE(Table_TSCD_KhauHao[[#This Row],[Năm]],Table_TSCD_KhauHao[[#This Row],[Tháng]],1)),0)</f>
        <v>45627</v>
      </c>
      <c r="AE35" s="21">
        <v>2024</v>
      </c>
      <c r="AF35" s="21">
        <v>12</v>
      </c>
      <c r="AG35" s="36">
        <f>+Table_TSCD_KhauHao[[#This Row],[Khấu hao sản xuất]]+Table_TSCD_KhauHao[[#This Row],[Khấu hao bán hàng]]+Table_TSCD_KhauHao[[#This Row],[Khấu hao quản lý]]</f>
        <v>51111111.111111104</v>
      </c>
      <c r="AH35" s="2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AI35" s="2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AJ35" s="2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row>
    <row r="36" spans="2:36" ht="16.5" x14ac:dyDescent="0.3">
      <c r="B36" s="39" t="s">
        <v>84</v>
      </c>
      <c r="C36" s="38">
        <v>33750000</v>
      </c>
      <c r="D36" s="38">
        <v>30833333.333333332</v>
      </c>
      <c r="E36" s="38">
        <v>2916666.6666666665</v>
      </c>
      <c r="F36" s="38">
        <v>0</v>
      </c>
      <c r="H36"/>
      <c r="I36"/>
      <c r="J36"/>
      <c r="AD36" s="4">
        <f>IFERROR(
IF(ISBLANK(Table_TSCD_KhauHao[[#This Row],[Tháng]]),
DATE(Table_TSCD_KhauHao[[#This Row],[Năm]],12,1),
DATE(Table_TSCD_KhauHao[[#This Row],[Năm]],Table_TSCD_KhauHao[[#This Row],[Tháng]],1)),0)</f>
        <v>45597</v>
      </c>
      <c r="AE36" s="21">
        <v>2024</v>
      </c>
      <c r="AF36" s="21">
        <v>11</v>
      </c>
      <c r="AG36" s="36">
        <f>+Table_TSCD_KhauHao[[#This Row],[Khấu hao sản xuất]]+Table_TSCD_KhauHao[[#This Row],[Khấu hao bán hàng]]+Table_TSCD_KhauHao[[#This Row],[Khấu hao quản lý]]</f>
        <v>51111111.111111104</v>
      </c>
      <c r="AH36" s="2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AI36" s="2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AJ36" s="2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row>
    <row r="37" spans="2:36" ht="16.5" x14ac:dyDescent="0.3">
      <c r="B37" s="40">
        <v>45200</v>
      </c>
      <c r="C37" s="38">
        <v>33750000</v>
      </c>
      <c r="D37" s="38">
        <v>30833333.333333332</v>
      </c>
      <c r="E37" s="38">
        <v>2916666.6666666665</v>
      </c>
      <c r="F37" s="38">
        <v>0</v>
      </c>
      <c r="H37"/>
      <c r="I37"/>
      <c r="J37"/>
      <c r="AD37" s="4">
        <f>IFERROR(
IF(ISBLANK(Table_TSCD_KhauHao[[#This Row],[Tháng]]),
DATE(Table_TSCD_KhauHao[[#This Row],[Năm]],12,1),
DATE(Table_TSCD_KhauHao[[#This Row],[Năm]],Table_TSCD_KhauHao[[#This Row],[Tháng]],1)),0)</f>
        <v>45566</v>
      </c>
      <c r="AE37" s="21">
        <v>2024</v>
      </c>
      <c r="AF37" s="21">
        <v>10</v>
      </c>
      <c r="AG37" s="36">
        <f>+Table_TSCD_KhauHao[[#This Row],[Khấu hao sản xuất]]+Table_TSCD_KhauHao[[#This Row],[Khấu hao bán hàng]]+Table_TSCD_KhauHao[[#This Row],[Khấu hao quản lý]]</f>
        <v>51111111.111111104</v>
      </c>
      <c r="AH37" s="2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AI37" s="2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AJ37" s="2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row>
    <row r="38" spans="2:36" ht="16.5" x14ac:dyDescent="0.3">
      <c r="B38" s="39" t="s">
        <v>85</v>
      </c>
      <c r="C38" s="38">
        <v>42083333.333333328</v>
      </c>
      <c r="D38" s="38">
        <v>30833333.333333332</v>
      </c>
      <c r="E38" s="38">
        <v>11250000</v>
      </c>
      <c r="F38" s="38">
        <v>0</v>
      </c>
      <c r="H38"/>
      <c r="I38"/>
      <c r="J38"/>
      <c r="AD38" s="4">
        <f>IFERROR(
IF(ISBLANK(Table_TSCD_KhauHao[[#This Row],[Tháng]]),
DATE(Table_TSCD_KhauHao[[#This Row],[Năm]],12,1),
DATE(Table_TSCD_KhauHao[[#This Row],[Năm]],Table_TSCD_KhauHao[[#This Row],[Tháng]],1)),0)</f>
        <v>45536</v>
      </c>
      <c r="AE38" s="21">
        <v>2024</v>
      </c>
      <c r="AF38" s="21">
        <v>9</v>
      </c>
      <c r="AG38" s="36">
        <f>+Table_TSCD_KhauHao[[#This Row],[Khấu hao sản xuất]]+Table_TSCD_KhauHao[[#This Row],[Khấu hao bán hàng]]+Table_TSCD_KhauHao[[#This Row],[Khấu hao quản lý]]</f>
        <v>51111111.111111104</v>
      </c>
      <c r="AH38" s="2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AI38" s="2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AJ38" s="2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row>
    <row r="39" spans="2:36" ht="16.5" x14ac:dyDescent="0.3">
      <c r="B39" s="40">
        <v>45231</v>
      </c>
      <c r="C39" s="38">
        <v>42083333.333333328</v>
      </c>
      <c r="D39" s="38">
        <v>30833333.333333332</v>
      </c>
      <c r="E39" s="38">
        <v>11250000</v>
      </c>
      <c r="F39" s="38">
        <v>0</v>
      </c>
      <c r="H39"/>
      <c r="I39"/>
      <c r="J39"/>
      <c r="AD39" s="4">
        <f>IFERROR(
IF(ISBLANK(Table_TSCD_KhauHao[[#This Row],[Tháng]]),
DATE(Table_TSCD_KhauHao[[#This Row],[Năm]],12,1),
DATE(Table_TSCD_KhauHao[[#This Row],[Năm]],Table_TSCD_KhauHao[[#This Row],[Tháng]],1)),0)</f>
        <v>45505</v>
      </c>
      <c r="AE39" s="21">
        <v>2024</v>
      </c>
      <c r="AF39" s="21">
        <v>8</v>
      </c>
      <c r="AG39" s="36">
        <f>+Table_TSCD_KhauHao[[#This Row],[Khấu hao sản xuất]]+Table_TSCD_KhauHao[[#This Row],[Khấu hao bán hàng]]+Table_TSCD_KhauHao[[#This Row],[Khấu hao quản lý]]</f>
        <v>51111111.111111104</v>
      </c>
      <c r="AH39" s="2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AI39" s="2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AJ39" s="2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row>
    <row r="40" spans="2:36" ht="16.5" x14ac:dyDescent="0.3">
      <c r="B40" s="39" t="s">
        <v>86</v>
      </c>
      <c r="C40" s="38">
        <v>42083333.333333328</v>
      </c>
      <c r="D40" s="38">
        <v>30833333.333333332</v>
      </c>
      <c r="E40" s="38">
        <v>11250000</v>
      </c>
      <c r="F40" s="38">
        <v>0</v>
      </c>
      <c r="AD40" s="4">
        <f>IFERROR(
IF(ISBLANK(Table_TSCD_KhauHao[[#This Row],[Tháng]]),
DATE(Table_TSCD_KhauHao[[#This Row],[Năm]],12,1),
DATE(Table_TSCD_KhauHao[[#This Row],[Năm]],Table_TSCD_KhauHao[[#This Row],[Tháng]],1)),0)</f>
        <v>45474</v>
      </c>
      <c r="AE40" s="21">
        <v>2024</v>
      </c>
      <c r="AF40" s="21">
        <v>7</v>
      </c>
      <c r="AG40" s="36">
        <f>+Table_TSCD_KhauHao[[#This Row],[Khấu hao sản xuất]]+Table_TSCD_KhauHao[[#This Row],[Khấu hao bán hàng]]+Table_TSCD_KhauHao[[#This Row],[Khấu hao quản lý]]</f>
        <v>51111111.111111104</v>
      </c>
      <c r="AH40" s="2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AI40" s="2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AJ40" s="2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row>
    <row r="41" spans="2:36" ht="16.5" x14ac:dyDescent="0.3">
      <c r="B41" s="40">
        <v>45261</v>
      </c>
      <c r="C41" s="38">
        <v>42083333.333333328</v>
      </c>
      <c r="D41" s="38">
        <v>30833333.333333332</v>
      </c>
      <c r="E41" s="38">
        <v>11250000</v>
      </c>
      <c r="F41" s="38">
        <v>0</v>
      </c>
      <c r="AD41" s="4">
        <f>IFERROR(
IF(ISBLANK(Table_TSCD_KhauHao[[#This Row],[Tháng]]),
DATE(Table_TSCD_KhauHao[[#This Row],[Năm]],12,1),
DATE(Table_TSCD_KhauHao[[#This Row],[Năm]],Table_TSCD_KhauHao[[#This Row],[Tháng]],1)),0)</f>
        <v>45444</v>
      </c>
      <c r="AE41" s="21">
        <v>2024</v>
      </c>
      <c r="AF41" s="21">
        <v>6</v>
      </c>
      <c r="AG41" s="36">
        <f>+Table_TSCD_KhauHao[[#This Row],[Khấu hao sản xuất]]+Table_TSCD_KhauHao[[#This Row],[Khấu hao bán hàng]]+Table_TSCD_KhauHao[[#This Row],[Khấu hao quản lý]]</f>
        <v>51111111.111111104</v>
      </c>
      <c r="AH41" s="2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AI41" s="2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AJ41" s="2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row>
    <row r="42" spans="2:36" ht="16.5" x14ac:dyDescent="0.3">
      <c r="B42" s="6" t="s">
        <v>77</v>
      </c>
      <c r="C42" s="38">
        <v>578611111.11111104</v>
      </c>
      <c r="D42" s="38">
        <v>369999999.99999994</v>
      </c>
      <c r="E42" s="38">
        <v>135000000</v>
      </c>
      <c r="F42" s="38">
        <v>73611111.111111104</v>
      </c>
      <c r="AD42" s="4">
        <f>IFERROR(
IF(ISBLANK(Table_TSCD_KhauHao[[#This Row],[Tháng]]),
DATE(Table_TSCD_KhauHao[[#This Row],[Năm]],12,1),
DATE(Table_TSCD_KhauHao[[#This Row],[Năm]],Table_TSCD_KhauHao[[#This Row],[Tháng]],1)),0)</f>
        <v>45413</v>
      </c>
      <c r="AE42" s="21">
        <v>2024</v>
      </c>
      <c r="AF42" s="21">
        <v>5</v>
      </c>
      <c r="AG42" s="36">
        <f>+Table_TSCD_KhauHao[[#This Row],[Khấu hao sản xuất]]+Table_TSCD_KhauHao[[#This Row],[Khấu hao bán hàng]]+Table_TSCD_KhauHao[[#This Row],[Khấu hao quản lý]]</f>
        <v>51111111.111111104</v>
      </c>
      <c r="AH42" s="2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AI42" s="2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AJ42" s="2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row>
    <row r="43" spans="2:36" ht="16.5" x14ac:dyDescent="0.3">
      <c r="B43" s="39" t="s">
        <v>87</v>
      </c>
      <c r="C43" s="38">
        <v>42083333.333333328</v>
      </c>
      <c r="D43" s="38">
        <v>30833333.333333332</v>
      </c>
      <c r="E43" s="38">
        <v>11250000</v>
      </c>
      <c r="F43" s="38">
        <v>0</v>
      </c>
      <c r="AD43" s="4">
        <f>IFERROR(
IF(ISBLANK(Table_TSCD_KhauHao[[#This Row],[Tháng]]),
DATE(Table_TSCD_KhauHao[[#This Row],[Năm]],12,1),
DATE(Table_TSCD_KhauHao[[#This Row],[Năm]],Table_TSCD_KhauHao[[#This Row],[Tháng]],1)),0)</f>
        <v>45383</v>
      </c>
      <c r="AE43" s="21">
        <v>2024</v>
      </c>
      <c r="AF43" s="21">
        <v>4</v>
      </c>
      <c r="AG43" s="28">
        <f>+Table_TSCD_KhauHao[[#This Row],[Khấu hao sản xuất]]+Table_TSCD_KhauHao[[#This Row],[Khấu hao bán hàng]]+Table_TSCD_KhauHao[[#This Row],[Khấu hao quản lý]]</f>
        <v>42777777.777777776</v>
      </c>
      <c r="AH43" s="2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AI43" s="2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AJ43" s="2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694444.4444444445</v>
      </c>
    </row>
    <row r="44" spans="2:36" ht="16.5" x14ac:dyDescent="0.3">
      <c r="B44" s="40">
        <v>45292</v>
      </c>
      <c r="C44" s="38">
        <v>42083333.333333328</v>
      </c>
      <c r="D44" s="38">
        <v>30833333.333333332</v>
      </c>
      <c r="E44" s="38">
        <v>11250000</v>
      </c>
      <c r="F44" s="38">
        <v>0</v>
      </c>
      <c r="AD44" s="4">
        <f>IFERROR(
IF(ISBLANK(Table_TSCD_KhauHao[[#This Row],[Tháng]]),
DATE(Table_TSCD_KhauHao[[#This Row],[Năm]],12,1),
DATE(Table_TSCD_KhauHao[[#This Row],[Năm]],Table_TSCD_KhauHao[[#This Row],[Tháng]],1)),0)</f>
        <v>45352</v>
      </c>
      <c r="AE44" s="21">
        <v>2024</v>
      </c>
      <c r="AF44" s="21">
        <v>3</v>
      </c>
      <c r="AG44" s="28">
        <f>+Table_TSCD_KhauHao[[#This Row],[Khấu hao sản xuất]]+Table_TSCD_KhauHao[[#This Row],[Khấu hao bán hàng]]+Table_TSCD_KhauHao[[#This Row],[Khấu hao quản lý]]</f>
        <v>42777777.777777776</v>
      </c>
      <c r="AH44" s="2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AI44" s="2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AJ44" s="2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694444.4444444445</v>
      </c>
    </row>
    <row r="45" spans="2:36" ht="16.5" x14ac:dyDescent="0.3">
      <c r="B45" s="39" t="s">
        <v>88</v>
      </c>
      <c r="C45" s="38">
        <v>42083333.333333328</v>
      </c>
      <c r="D45" s="38">
        <v>30833333.333333332</v>
      </c>
      <c r="E45" s="38">
        <v>11250000</v>
      </c>
      <c r="F45" s="38">
        <v>0</v>
      </c>
      <c r="AD45" s="4">
        <f>IFERROR(
IF(ISBLANK(Table_TSCD_KhauHao[[#This Row],[Tháng]]),
DATE(Table_TSCD_KhauHao[[#This Row],[Năm]],12,1),
DATE(Table_TSCD_KhauHao[[#This Row],[Năm]],Table_TSCD_KhauHao[[#This Row],[Tháng]],1)),0)</f>
        <v>45323</v>
      </c>
      <c r="AE45" s="21">
        <v>2024</v>
      </c>
      <c r="AF45" s="21">
        <v>2</v>
      </c>
      <c r="AG45" s="28">
        <f>+Table_TSCD_KhauHao[[#This Row],[Khấu hao sản xuất]]+Table_TSCD_KhauHao[[#This Row],[Khấu hao bán hàng]]+Table_TSCD_KhauHao[[#This Row],[Khấu hao quản lý]]</f>
        <v>42083333.333333328</v>
      </c>
      <c r="AH45" s="2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AI45" s="2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AJ45" s="2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0</v>
      </c>
    </row>
    <row r="46" spans="2:36" ht="16.5" x14ac:dyDescent="0.3">
      <c r="B46" s="40">
        <v>45323</v>
      </c>
      <c r="C46" s="38">
        <v>42083333.333333328</v>
      </c>
      <c r="D46" s="38">
        <v>30833333.333333332</v>
      </c>
      <c r="E46" s="38">
        <v>11250000</v>
      </c>
      <c r="F46" s="38">
        <v>0</v>
      </c>
      <c r="AD46" s="4">
        <f>IFERROR(
IF(ISBLANK(Table_TSCD_KhauHao[[#This Row],[Tháng]]),
DATE(Table_TSCD_KhauHao[[#This Row],[Năm]],12,1),
DATE(Table_TSCD_KhauHao[[#This Row],[Năm]],Table_TSCD_KhauHao[[#This Row],[Tháng]],1)),0)</f>
        <v>45292</v>
      </c>
      <c r="AE46" s="21">
        <v>2024</v>
      </c>
      <c r="AF46" s="21">
        <v>1</v>
      </c>
      <c r="AG46" s="28">
        <f>+Table_TSCD_KhauHao[[#This Row],[Khấu hao sản xuất]]+Table_TSCD_KhauHao[[#This Row],[Khấu hao bán hàng]]+Table_TSCD_KhauHao[[#This Row],[Khấu hao quản lý]]</f>
        <v>42083333.333333328</v>
      </c>
      <c r="AH46" s="2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AI46" s="2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AJ46" s="2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0</v>
      </c>
    </row>
    <row r="47" spans="2:36" ht="16.5" x14ac:dyDescent="0.3">
      <c r="B47" s="39" t="s">
        <v>89</v>
      </c>
      <c r="C47" s="38">
        <v>42777777.777777776</v>
      </c>
      <c r="D47" s="38">
        <v>30833333.333333332</v>
      </c>
      <c r="E47" s="38">
        <v>11250000</v>
      </c>
      <c r="F47" s="38">
        <v>694444.4444444445</v>
      </c>
      <c r="AD47" s="4">
        <f>IFERROR(
IF(ISBLANK(Table_TSCD_KhauHao[[#This Row],[Tháng]]),
DATE(Table_TSCD_KhauHao[[#This Row],[Năm]],12,1),
DATE(Table_TSCD_KhauHao[[#This Row],[Năm]],Table_TSCD_KhauHao[[#This Row],[Tháng]],1)),0)</f>
        <v>45261</v>
      </c>
      <c r="AE47" s="21">
        <v>2023</v>
      </c>
      <c r="AF47" s="21">
        <v>12</v>
      </c>
      <c r="AG47" s="28">
        <f>+Table_TSCD_KhauHao[[#This Row],[Khấu hao sản xuất]]+Table_TSCD_KhauHao[[#This Row],[Khấu hao bán hàng]]+Table_TSCD_KhauHao[[#This Row],[Khấu hao quản lý]]</f>
        <v>42083333.333333328</v>
      </c>
      <c r="AH47" s="2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AI47" s="2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AJ47" s="2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0</v>
      </c>
    </row>
    <row r="48" spans="2:36" ht="16.5" x14ac:dyDescent="0.3">
      <c r="B48" s="40">
        <v>45352</v>
      </c>
      <c r="C48" s="38">
        <v>42777777.777777776</v>
      </c>
      <c r="D48" s="38">
        <v>30833333.333333332</v>
      </c>
      <c r="E48" s="38">
        <v>11250000</v>
      </c>
      <c r="F48" s="38">
        <v>694444.4444444445</v>
      </c>
      <c r="AD48" s="4">
        <f>IFERROR(
IF(ISBLANK(Table_TSCD_KhauHao[[#This Row],[Tháng]]),
DATE(Table_TSCD_KhauHao[[#This Row],[Năm]],12,1),
DATE(Table_TSCD_KhauHao[[#This Row],[Năm]],Table_TSCD_KhauHao[[#This Row],[Tháng]],1)),0)</f>
        <v>45231</v>
      </c>
      <c r="AE48" s="21">
        <v>2023</v>
      </c>
      <c r="AF48" s="21">
        <v>11</v>
      </c>
      <c r="AG48" s="28">
        <f>+Table_TSCD_KhauHao[[#This Row],[Khấu hao sản xuất]]+Table_TSCD_KhauHao[[#This Row],[Khấu hao bán hàng]]+Table_TSCD_KhauHao[[#This Row],[Khấu hao quản lý]]</f>
        <v>42083333.333333328</v>
      </c>
      <c r="AH48" s="2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AI48" s="2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AJ48" s="2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0</v>
      </c>
    </row>
    <row r="49" spans="2:36" ht="16.5" x14ac:dyDescent="0.3">
      <c r="B49" s="39" t="s">
        <v>78</v>
      </c>
      <c r="C49" s="38">
        <v>42777777.777777776</v>
      </c>
      <c r="D49" s="38">
        <v>30833333.333333332</v>
      </c>
      <c r="E49" s="38">
        <v>11250000</v>
      </c>
      <c r="F49" s="38">
        <v>694444.4444444445</v>
      </c>
      <c r="AD49" s="4">
        <f>IFERROR(
IF(ISBLANK(Table_TSCD_KhauHao[[#This Row],[Tháng]]),
DATE(Table_TSCD_KhauHao[[#This Row],[Năm]],12,1),
DATE(Table_TSCD_KhauHao[[#This Row],[Năm]],Table_TSCD_KhauHao[[#This Row],[Tháng]],1)),0)</f>
        <v>45200</v>
      </c>
      <c r="AE49" s="21">
        <v>2023</v>
      </c>
      <c r="AF49" s="21">
        <v>10</v>
      </c>
      <c r="AG49" s="28">
        <f>+Table_TSCD_KhauHao[[#This Row],[Khấu hao sản xuất]]+Table_TSCD_KhauHao[[#This Row],[Khấu hao bán hàng]]+Table_TSCD_KhauHao[[#This Row],[Khấu hao quản lý]]</f>
        <v>33750000</v>
      </c>
      <c r="AH49" s="2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AI49" s="2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2916666.6666666665</v>
      </c>
      <c r="AJ49" s="2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0</v>
      </c>
    </row>
    <row r="50" spans="2:36" ht="16.5" x14ac:dyDescent="0.3">
      <c r="B50" s="40">
        <v>45383</v>
      </c>
      <c r="C50" s="38">
        <v>42777777.777777776</v>
      </c>
      <c r="D50" s="38">
        <v>30833333.333333332</v>
      </c>
      <c r="E50" s="38">
        <v>11250000</v>
      </c>
      <c r="F50" s="38">
        <v>694444.4444444445</v>
      </c>
      <c r="AD50" s="4">
        <f>IFERROR(
IF(ISBLANK(Table_TSCD_KhauHao[[#This Row],[Tháng]]),
DATE(Table_TSCD_KhauHao[[#This Row],[Năm]],12,1),
DATE(Table_TSCD_KhauHao[[#This Row],[Năm]],Table_TSCD_KhauHao[[#This Row],[Tháng]],1)),0)</f>
        <v>45170</v>
      </c>
      <c r="AE50" s="21">
        <v>2023</v>
      </c>
      <c r="AF50" s="21">
        <v>9</v>
      </c>
      <c r="AG50" s="28">
        <f>+Table_TSCD_KhauHao[[#This Row],[Khấu hao sản xuất]]+Table_TSCD_KhauHao[[#This Row],[Khấu hao bán hàng]]+Table_TSCD_KhauHao[[#This Row],[Khấu hao quản lý]]</f>
        <v>10000000</v>
      </c>
      <c r="AH50" s="2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10000000</v>
      </c>
      <c r="AI50" s="2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0</v>
      </c>
      <c r="AJ50" s="2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0</v>
      </c>
    </row>
    <row r="51" spans="2:36" ht="16.5" x14ac:dyDescent="0.3">
      <c r="B51" s="39" t="s">
        <v>79</v>
      </c>
      <c r="C51" s="38">
        <v>51111111.111111104</v>
      </c>
      <c r="D51" s="38">
        <v>30833333.333333332</v>
      </c>
      <c r="E51" s="38">
        <v>11250000</v>
      </c>
      <c r="F51" s="38">
        <v>9027777.777777778</v>
      </c>
      <c r="AD51" s="4">
        <f>IFERROR(
IF(ISBLANK(Table_TSCD_KhauHao[[#This Row],[Tháng]]),
DATE(Table_TSCD_KhauHao[[#This Row],[Năm]],12,1),
DATE(Table_TSCD_KhauHao[[#This Row],[Năm]],Table_TSCD_KhauHao[[#This Row],[Tháng]],1)),0)</f>
        <v>45139</v>
      </c>
      <c r="AE51" s="21">
        <v>2023</v>
      </c>
      <c r="AF51" s="21">
        <v>8</v>
      </c>
      <c r="AG51" s="28">
        <f>+Table_TSCD_KhauHao[[#This Row],[Khấu hao sản xuất]]+Table_TSCD_KhauHao[[#This Row],[Khấu hao bán hàng]]+Table_TSCD_KhauHao[[#This Row],[Khấu hao quản lý]]</f>
        <v>10000000</v>
      </c>
      <c r="AH51" s="2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10000000</v>
      </c>
      <c r="AI51" s="2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0</v>
      </c>
      <c r="AJ51" s="2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0</v>
      </c>
    </row>
    <row r="52" spans="2:36" ht="16.5" x14ac:dyDescent="0.3">
      <c r="B52" s="40">
        <v>45413</v>
      </c>
      <c r="C52" s="38">
        <v>51111111.111111104</v>
      </c>
      <c r="D52" s="38">
        <v>30833333.333333332</v>
      </c>
      <c r="E52" s="38">
        <v>11250000</v>
      </c>
      <c r="F52" s="38">
        <v>9027777.777777778</v>
      </c>
      <c r="AD52" s="4">
        <f>IFERROR(
IF(ISBLANK(Table_TSCD_KhauHao[[#This Row],[Tháng]]),
DATE(Table_TSCD_KhauHao[[#This Row],[Năm]],12,1),
DATE(Table_TSCD_KhauHao[[#This Row],[Năm]],Table_TSCD_KhauHao[[#This Row],[Tháng]],1)),0)</f>
        <v>45108</v>
      </c>
      <c r="AE52" s="21">
        <v>2023</v>
      </c>
      <c r="AF52" s="21">
        <v>7</v>
      </c>
      <c r="AG52" s="28">
        <f>+Table_TSCD_KhauHao[[#This Row],[Khấu hao sản xuất]]+Table_TSCD_KhauHao[[#This Row],[Khấu hao bán hàng]]+Table_TSCD_KhauHao[[#This Row],[Khấu hao quản lý]]</f>
        <v>10000000</v>
      </c>
      <c r="AH52" s="2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10000000</v>
      </c>
      <c r="AI52" s="2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0</v>
      </c>
      <c r="AJ52" s="2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0</v>
      </c>
    </row>
    <row r="53" spans="2:36" ht="16.5" x14ac:dyDescent="0.3">
      <c r="B53" s="39" t="s">
        <v>80</v>
      </c>
      <c r="C53" s="38">
        <v>51111111.111111104</v>
      </c>
      <c r="D53" s="38">
        <v>30833333.333333332</v>
      </c>
      <c r="E53" s="38">
        <v>11250000</v>
      </c>
      <c r="F53" s="38">
        <v>9027777.777777778</v>
      </c>
      <c r="AD53" s="4">
        <f>IFERROR(
IF(ISBLANK(Table_TSCD_KhauHao[[#This Row],[Tháng]]),
DATE(Table_TSCD_KhauHao[[#This Row],[Năm]],12,1),
DATE(Table_TSCD_KhauHao[[#This Row],[Năm]],Table_TSCD_KhauHao[[#This Row],[Tháng]],1)),0)</f>
        <v>45078</v>
      </c>
      <c r="AE53" s="21">
        <v>2023</v>
      </c>
      <c r="AF53" s="21">
        <v>6</v>
      </c>
      <c r="AG53" s="28">
        <f>+Table_TSCD_KhauHao[[#This Row],[Khấu hao sản xuất]]+Table_TSCD_KhauHao[[#This Row],[Khấu hao bán hàng]]+Table_TSCD_KhauHao[[#This Row],[Khấu hao quản lý]]</f>
        <v>10000000</v>
      </c>
      <c r="AH53" s="2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10000000</v>
      </c>
      <c r="AI53" s="2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0</v>
      </c>
      <c r="AJ53" s="2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0</v>
      </c>
    </row>
    <row r="54" spans="2:36" ht="16.5" x14ac:dyDescent="0.3">
      <c r="B54" s="40">
        <v>45444</v>
      </c>
      <c r="C54" s="38">
        <v>51111111.111111104</v>
      </c>
      <c r="D54" s="38">
        <v>30833333.333333332</v>
      </c>
      <c r="E54" s="38">
        <v>11250000</v>
      </c>
      <c r="F54" s="38">
        <v>9027777.777777778</v>
      </c>
      <c r="AD54" s="4">
        <f>IFERROR(
IF(ISBLANK(Table_TSCD_KhauHao[[#This Row],[Tháng]]),
DATE(Table_TSCD_KhauHao[[#This Row],[Năm]],12,1),
DATE(Table_TSCD_KhauHao[[#This Row],[Năm]],Table_TSCD_KhauHao[[#This Row],[Tháng]],1)),0)</f>
        <v>45047</v>
      </c>
      <c r="AE54" s="21">
        <v>2023</v>
      </c>
      <c r="AF54" s="21">
        <v>5</v>
      </c>
      <c r="AG54" s="28">
        <f>+Table_TSCD_KhauHao[[#This Row],[Khấu hao sản xuất]]+Table_TSCD_KhauHao[[#This Row],[Khấu hao bán hàng]]+Table_TSCD_KhauHao[[#This Row],[Khấu hao quản lý]]</f>
        <v>10000000</v>
      </c>
      <c r="AH54" s="2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10000000</v>
      </c>
      <c r="AI54" s="2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0</v>
      </c>
      <c r="AJ54" s="2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0</v>
      </c>
    </row>
    <row r="55" spans="2:36" ht="16.5" x14ac:dyDescent="0.3">
      <c r="B55" s="39" t="s">
        <v>81</v>
      </c>
      <c r="C55" s="38">
        <v>51111111.111111104</v>
      </c>
      <c r="D55" s="38">
        <v>30833333.333333332</v>
      </c>
      <c r="E55" s="38">
        <v>11250000</v>
      </c>
      <c r="F55" s="38">
        <v>9027777.777777778</v>
      </c>
      <c r="AD55" s="4">
        <f>IFERROR(
IF(ISBLANK(Table_TSCD_KhauHao[[#This Row],[Tháng]]),
DATE(Table_TSCD_KhauHao[[#This Row],[Năm]],12,1),
DATE(Table_TSCD_KhauHao[[#This Row],[Năm]],Table_TSCD_KhauHao[[#This Row],[Tháng]],1)),0)</f>
        <v>45017</v>
      </c>
      <c r="AE55" s="21">
        <v>2023</v>
      </c>
      <c r="AF55" s="21">
        <v>4</v>
      </c>
      <c r="AG55" s="28">
        <f>+Table_TSCD_KhauHao[[#This Row],[Khấu hao sản xuất]]+Table_TSCD_KhauHao[[#This Row],[Khấu hao bán hàng]]+Table_TSCD_KhauHao[[#This Row],[Khấu hao quản lý]]</f>
        <v>10000000</v>
      </c>
      <c r="AH55" s="2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10000000</v>
      </c>
      <c r="AI55" s="2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0</v>
      </c>
      <c r="AJ55" s="2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0</v>
      </c>
    </row>
    <row r="56" spans="2:36" ht="16.5" x14ac:dyDescent="0.3">
      <c r="B56" s="40">
        <v>45474</v>
      </c>
      <c r="C56" s="38">
        <v>51111111.111111104</v>
      </c>
      <c r="D56" s="38">
        <v>30833333.333333332</v>
      </c>
      <c r="E56" s="38">
        <v>11250000</v>
      </c>
      <c r="F56" s="38">
        <v>9027777.777777778</v>
      </c>
    </row>
    <row r="57" spans="2:36" ht="16.5" x14ac:dyDescent="0.3">
      <c r="B57" s="39" t="s">
        <v>82</v>
      </c>
      <c r="C57" s="38">
        <v>51111111.111111104</v>
      </c>
      <c r="D57" s="38">
        <v>30833333.333333332</v>
      </c>
      <c r="E57" s="38">
        <v>11250000</v>
      </c>
      <c r="F57" s="38">
        <v>9027777.777777778</v>
      </c>
    </row>
    <row r="58" spans="2:36" ht="16.5" x14ac:dyDescent="0.3">
      <c r="B58" s="40">
        <v>45505</v>
      </c>
      <c r="C58" s="38">
        <v>51111111.111111104</v>
      </c>
      <c r="D58" s="38">
        <v>30833333.333333332</v>
      </c>
      <c r="E58" s="38">
        <v>11250000</v>
      </c>
      <c r="F58" s="38">
        <v>9027777.777777778</v>
      </c>
    </row>
    <row r="59" spans="2:36" ht="16.5" x14ac:dyDescent="0.3">
      <c r="B59" s="39" t="s">
        <v>83</v>
      </c>
      <c r="C59" s="38">
        <v>51111111.111111104</v>
      </c>
      <c r="D59" s="38">
        <v>30833333.333333332</v>
      </c>
      <c r="E59" s="38">
        <v>11250000</v>
      </c>
      <c r="F59" s="38">
        <v>9027777.777777778</v>
      </c>
    </row>
    <row r="60" spans="2:36" ht="16.5" x14ac:dyDescent="0.3">
      <c r="B60" s="40">
        <v>45536</v>
      </c>
      <c r="C60" s="38">
        <v>51111111.111111104</v>
      </c>
      <c r="D60" s="38">
        <v>30833333.333333332</v>
      </c>
      <c r="E60" s="38">
        <v>11250000</v>
      </c>
      <c r="F60" s="38">
        <v>9027777.777777778</v>
      </c>
    </row>
    <row r="61" spans="2:36" ht="16.5" x14ac:dyDescent="0.3">
      <c r="B61" s="39" t="s">
        <v>84</v>
      </c>
      <c r="C61" s="38">
        <v>51111111.111111104</v>
      </c>
      <c r="D61" s="38">
        <v>30833333.333333332</v>
      </c>
      <c r="E61" s="38">
        <v>11250000</v>
      </c>
      <c r="F61" s="38">
        <v>9027777.777777778</v>
      </c>
    </row>
    <row r="62" spans="2:36" ht="16.5" x14ac:dyDescent="0.3">
      <c r="B62" s="40">
        <v>45566</v>
      </c>
      <c r="C62" s="38">
        <v>51111111.111111104</v>
      </c>
      <c r="D62" s="38">
        <v>30833333.333333332</v>
      </c>
      <c r="E62" s="38">
        <v>11250000</v>
      </c>
      <c r="F62" s="38">
        <v>9027777.777777778</v>
      </c>
    </row>
    <row r="63" spans="2:36" ht="16.5" x14ac:dyDescent="0.3">
      <c r="B63" s="39" t="s">
        <v>85</v>
      </c>
      <c r="C63" s="38">
        <v>51111111.111111104</v>
      </c>
      <c r="D63" s="38">
        <v>30833333.333333332</v>
      </c>
      <c r="E63" s="38">
        <v>11250000</v>
      </c>
      <c r="F63" s="38">
        <v>9027777.777777778</v>
      </c>
    </row>
    <row r="64" spans="2:36" ht="16.5" x14ac:dyDescent="0.3">
      <c r="B64" s="40">
        <v>45597</v>
      </c>
      <c r="C64" s="38">
        <v>51111111.111111104</v>
      </c>
      <c r="D64" s="38">
        <v>30833333.333333332</v>
      </c>
      <c r="E64" s="38">
        <v>11250000</v>
      </c>
      <c r="F64" s="38">
        <v>9027777.777777778</v>
      </c>
    </row>
    <row r="65" spans="2:6" ht="16.5" x14ac:dyDescent="0.3">
      <c r="B65" s="39" t="s">
        <v>86</v>
      </c>
      <c r="C65" s="38">
        <v>51111111.111111104</v>
      </c>
      <c r="D65" s="38">
        <v>30833333.333333332</v>
      </c>
      <c r="E65" s="38">
        <v>11250000</v>
      </c>
      <c r="F65" s="38">
        <v>9027777.777777778</v>
      </c>
    </row>
    <row r="66" spans="2:6" ht="16.5" x14ac:dyDescent="0.3">
      <c r="B66" s="40">
        <v>45627</v>
      </c>
      <c r="C66" s="38">
        <v>51111111.111111104</v>
      </c>
      <c r="D66" s="38">
        <v>30833333.333333332</v>
      </c>
      <c r="E66" s="38">
        <v>11250000</v>
      </c>
      <c r="F66" s="38">
        <v>9027777.777777778</v>
      </c>
    </row>
    <row r="67" spans="2:6" ht="16.5" x14ac:dyDescent="0.3">
      <c r="B67" s="6" t="s">
        <v>75</v>
      </c>
      <c r="C67" s="38">
        <v>756527777.77777791</v>
      </c>
      <c r="D67" s="38">
        <v>522499999.99999988</v>
      </c>
      <c r="E67" s="38">
        <v>160416666.66666666</v>
      </c>
      <c r="F67" s="38">
        <v>73611111.111111104</v>
      </c>
    </row>
  </sheetData>
  <sheetProtection algorithmName="SHA-512" hashValue="k71Z6ShKhBcXUCq/A3TMmVUGfI5DMyUnBMPgVlVaDP6Qp6iNJQL63lxvtXSTi/wfrLt4fxQiWnOJ2x3bRZlB/Q==" saltValue="M3l86J8KAwUMx+gHZNUAvg==" spinCount="100000" sheet="1" scenarios="1" formatCells="0" formatColumns="0" formatRows="0" autoFilter="0" pivotTables="0"/>
  <phoneticPr fontId="6" type="noConversion"/>
  <dataValidations count="3">
    <dataValidation type="list" allowBlank="1" showInputMessage="1" showErrorMessage="1" sqref="N23:N28" xr:uid="{5CA07399-52DE-4FB7-A811-ADD3CE8DDDFE}">
      <formula1>"Sản xuất, Bán hàng, Văn phòng"</formula1>
    </dataValidation>
    <dataValidation type="list" allowBlank="1" showInputMessage="1" showErrorMessage="1" sqref="O23:O28" xr:uid="{2E2EFDA6-0447-42CA-976A-D4956DD10C2F}">
      <formula1>$B$6:$B$16</formula1>
    </dataValidation>
    <dataValidation type="list" allowBlank="1" showInputMessage="1" showErrorMessage="1" sqref="O12" xr:uid="{694A1755-DF06-41A8-B0D5-EE1DD5BA0270}">
      <formula1>MaTaiSan</formula1>
    </dataValidation>
  </dataValidations>
  <pageMargins left="0.7" right="0.7" top="0.75" bottom="0.75" header="0.3" footer="0.3"/>
  <drawing r:id="rId3"/>
  <legacyDrawing r:id="rId4"/>
  <mc:AlternateContent xmlns:mc="http://schemas.openxmlformats.org/markup-compatibility/2006">
    <mc:Choice Requires="x14">
      <controls>
        <mc:AlternateContent xmlns:mc="http://schemas.openxmlformats.org/markup-compatibility/2006">
          <mc:Choice Requires="x14">
            <control shapeId="79878" r:id="rId5" name="Option Button 6">
              <controlPr defaultSize="0" autoFill="0" autoLine="0" autoPict="0" macro="[0]!DoiDonViHienThi">
                <anchor moveWithCells="1">
                  <from>
                    <xdr:col>12</xdr:col>
                    <xdr:colOff>1104900</xdr:colOff>
                    <xdr:row>0</xdr:row>
                    <xdr:rowOff>152400</xdr:rowOff>
                  </from>
                  <to>
                    <xdr:col>13</xdr:col>
                    <xdr:colOff>514350</xdr:colOff>
                    <xdr:row>1</xdr:row>
                    <xdr:rowOff>142875</xdr:rowOff>
                  </to>
                </anchor>
              </controlPr>
            </control>
          </mc:Choice>
        </mc:AlternateContent>
        <mc:AlternateContent xmlns:mc="http://schemas.openxmlformats.org/markup-compatibility/2006">
          <mc:Choice Requires="x14">
            <control shapeId="79879" r:id="rId6" name="Option Button 7">
              <controlPr defaultSize="0" autoFill="0" autoLine="0" autoPict="0" macro="[0]!DoiDonViHienThi">
                <anchor moveWithCells="1">
                  <from>
                    <xdr:col>13</xdr:col>
                    <xdr:colOff>390525</xdr:colOff>
                    <xdr:row>0</xdr:row>
                    <xdr:rowOff>152400</xdr:rowOff>
                  </from>
                  <to>
                    <xdr:col>14</xdr:col>
                    <xdr:colOff>47625</xdr:colOff>
                    <xdr:row>1</xdr:row>
                    <xdr:rowOff>142875</xdr:rowOff>
                  </to>
                </anchor>
              </controlPr>
            </control>
          </mc:Choice>
        </mc:AlternateContent>
        <mc:AlternateContent xmlns:mc="http://schemas.openxmlformats.org/markup-compatibility/2006">
          <mc:Choice Requires="x14">
            <control shapeId="79880" r:id="rId7" name="Option Button 8">
              <controlPr defaultSize="0" autoFill="0" autoLine="0" autoPict="0" macro="[0]!DoiDonViHienThi">
                <anchor moveWithCells="1">
                  <from>
                    <xdr:col>13</xdr:col>
                    <xdr:colOff>857250</xdr:colOff>
                    <xdr:row>0</xdr:row>
                    <xdr:rowOff>152400</xdr:rowOff>
                  </from>
                  <to>
                    <xdr:col>14</xdr:col>
                    <xdr:colOff>514350</xdr:colOff>
                    <xdr:row>1</xdr:row>
                    <xdr:rowOff>142875</xdr:rowOff>
                  </to>
                </anchor>
              </controlPr>
            </control>
          </mc:Choice>
        </mc:AlternateContent>
        <mc:AlternateContent xmlns:mc="http://schemas.openxmlformats.org/markup-compatibility/2006">
          <mc:Choice Requires="x14">
            <control shapeId="79881" r:id="rId8" name="Option Button 9">
              <controlPr defaultSize="0" autoFill="0" autoLine="0" autoPict="0" macro="[0]!DoiDonViHienThi">
                <anchor moveWithCells="1">
                  <from>
                    <xdr:col>14</xdr:col>
                    <xdr:colOff>400050</xdr:colOff>
                    <xdr:row>0</xdr:row>
                    <xdr:rowOff>152400</xdr:rowOff>
                  </from>
                  <to>
                    <xdr:col>14</xdr:col>
                    <xdr:colOff>752475</xdr:colOff>
                    <xdr:row>1</xdr:row>
                    <xdr:rowOff>142875</xdr:rowOff>
                  </to>
                </anchor>
              </controlPr>
            </control>
          </mc:Choice>
        </mc:AlternateContent>
        <mc:AlternateContent xmlns:mc="http://schemas.openxmlformats.org/markup-compatibility/2006">
          <mc:Choice Requires="x14">
            <control shapeId="79882" r:id="rId9" name="Group Box 10">
              <controlPr defaultSize="0" autoFill="0" autoPict="0">
                <anchor moveWithCells="1">
                  <from>
                    <xdr:col>12</xdr:col>
                    <xdr:colOff>990600</xdr:colOff>
                    <xdr:row>0</xdr:row>
                    <xdr:rowOff>104775</xdr:rowOff>
                  </from>
                  <to>
                    <xdr:col>14</xdr:col>
                    <xdr:colOff>866775</xdr:colOff>
                    <xdr:row>1</xdr:row>
                    <xdr:rowOff>180975</xdr:rowOff>
                  </to>
                </anchor>
              </controlPr>
            </control>
          </mc:Choice>
        </mc:AlternateContent>
        <mc:AlternateContent xmlns:mc="http://schemas.openxmlformats.org/markup-compatibility/2006">
          <mc:Choice Requires="x14">
            <control shapeId="79883" r:id="rId10" name="Group Box 11">
              <controlPr defaultSize="0" autoFill="0" autoPict="0">
                <anchor moveWithCells="1">
                  <from>
                    <xdr:col>11</xdr:col>
                    <xdr:colOff>57150</xdr:colOff>
                    <xdr:row>0</xdr:row>
                    <xdr:rowOff>104775</xdr:rowOff>
                  </from>
                  <to>
                    <xdr:col>12</xdr:col>
                    <xdr:colOff>942975</xdr:colOff>
                    <xdr:row>1</xdr:row>
                    <xdr:rowOff>180975</xdr:rowOff>
                  </to>
                </anchor>
              </controlPr>
            </control>
          </mc:Choice>
        </mc:AlternateContent>
        <mc:AlternateContent xmlns:mc="http://schemas.openxmlformats.org/markup-compatibility/2006">
          <mc:Choice Requires="x14">
            <control shapeId="79884" r:id="rId11" name="Button 12">
              <controlPr defaultSize="0" autoFill="0" autoPict="0" macro="[0]!NhanNghin">
                <anchor moveWithCells="1">
                  <from>
                    <xdr:col>11</xdr:col>
                    <xdr:colOff>142875</xdr:colOff>
                    <xdr:row>0</xdr:row>
                    <xdr:rowOff>200025</xdr:rowOff>
                  </from>
                  <to>
                    <xdr:col>11</xdr:col>
                    <xdr:colOff>609600</xdr:colOff>
                    <xdr:row>1</xdr:row>
                    <xdr:rowOff>85725</xdr:rowOff>
                  </to>
                </anchor>
              </controlPr>
            </control>
          </mc:Choice>
        </mc:AlternateContent>
        <mc:AlternateContent xmlns:mc="http://schemas.openxmlformats.org/markup-compatibility/2006">
          <mc:Choice Requires="x14">
            <control shapeId="79885" r:id="rId12" name="Button 13">
              <controlPr defaultSize="0" autoFill="0" autoPict="0" macro="[0]!NhanTrieu">
                <anchor moveWithCells="1">
                  <from>
                    <xdr:col>11</xdr:col>
                    <xdr:colOff>657225</xdr:colOff>
                    <xdr:row>0</xdr:row>
                    <xdr:rowOff>200025</xdr:rowOff>
                  </from>
                  <to>
                    <xdr:col>12</xdr:col>
                    <xdr:colOff>352425</xdr:colOff>
                    <xdr:row>1</xdr:row>
                    <xdr:rowOff>85725</xdr:rowOff>
                  </to>
                </anchor>
              </controlPr>
            </control>
          </mc:Choice>
        </mc:AlternateContent>
        <mc:AlternateContent xmlns:mc="http://schemas.openxmlformats.org/markup-compatibility/2006">
          <mc:Choice Requires="x14">
            <control shapeId="79886" r:id="rId13" name="Button 14">
              <controlPr defaultSize="0" autoFill="0" autoPict="0" macro="[0]!NhanTy">
                <anchor moveWithCells="1">
                  <from>
                    <xdr:col>12</xdr:col>
                    <xdr:colOff>400050</xdr:colOff>
                    <xdr:row>0</xdr:row>
                    <xdr:rowOff>200025</xdr:rowOff>
                  </from>
                  <to>
                    <xdr:col>12</xdr:col>
                    <xdr:colOff>866775</xdr:colOff>
                    <xdr:row>1</xdr:row>
                    <xdr:rowOff>85725</xdr:rowOff>
                  </to>
                </anchor>
              </controlPr>
            </control>
          </mc:Choice>
        </mc:AlternateContent>
        <mc:AlternateContent xmlns:mc="http://schemas.openxmlformats.org/markup-compatibility/2006">
          <mc:Choice Requires="x14">
            <control shapeId="79887" r:id="rId14" name="Button 15">
              <controlPr defaultSize="0" print="0" autoFill="0" autoPict="0" macro="[0]!AddRow">
                <anchor moveWithCells="1">
                  <from>
                    <xdr:col>14</xdr:col>
                    <xdr:colOff>1943100</xdr:colOff>
                    <xdr:row>0</xdr:row>
                    <xdr:rowOff>152400</xdr:rowOff>
                  </from>
                  <to>
                    <xdr:col>15</xdr:col>
                    <xdr:colOff>428625</xdr:colOff>
                    <xdr:row>1</xdr:row>
                    <xdr:rowOff>123825</xdr:rowOff>
                  </to>
                </anchor>
              </controlPr>
            </control>
          </mc:Choice>
        </mc:AlternateContent>
        <mc:AlternateContent xmlns:mc="http://schemas.openxmlformats.org/markup-compatibility/2006">
          <mc:Choice Requires="x14">
            <control shapeId="79888" r:id="rId15" name="Button 16">
              <controlPr defaultSize="0" print="0" autoFill="0" autoPict="0" macro="[0]!DeleteRow">
                <anchor moveWithCells="1">
                  <from>
                    <xdr:col>15</xdr:col>
                    <xdr:colOff>466725</xdr:colOff>
                    <xdr:row>0</xdr:row>
                    <xdr:rowOff>152400</xdr:rowOff>
                  </from>
                  <to>
                    <xdr:col>15</xdr:col>
                    <xdr:colOff>942975</xdr:colOff>
                    <xdr:row>1</xdr:row>
                    <xdr:rowOff>123825</xdr:rowOff>
                  </to>
                </anchor>
              </controlPr>
            </control>
          </mc:Choice>
        </mc:AlternateContent>
        <mc:AlternateContent xmlns:mc="http://schemas.openxmlformats.org/markup-compatibility/2006">
          <mc:Choice Requires="x14">
            <control shapeId="79893" r:id="rId16" name="Button 21">
              <controlPr defaultSize="0" print="0" autoFill="0" autoPict="0" macro="[0]!RefreshTables">
                <anchor moveWithCells="1">
                  <from>
                    <xdr:col>30</xdr:col>
                    <xdr:colOff>95250</xdr:colOff>
                    <xdr:row>0</xdr:row>
                    <xdr:rowOff>95250</xdr:rowOff>
                  </from>
                  <to>
                    <xdr:col>31</xdr:col>
                    <xdr:colOff>0</xdr:colOff>
                    <xdr:row>1</xdr:row>
                    <xdr:rowOff>66675</xdr:rowOff>
                  </to>
                </anchor>
              </controlPr>
            </control>
          </mc:Choice>
        </mc:AlternateContent>
      </controls>
    </mc:Choice>
  </mc:AlternateContent>
  <tableParts count="2">
    <tablePart r:id="rId17"/>
    <tablePart r:id="rId18"/>
  </tableParts>
  <extLst>
    <ext xmlns:x14="http://schemas.microsoft.com/office/spreadsheetml/2009/9/main" uri="{78C0D931-6437-407d-A8EE-F0AAD7539E65}">
      <x14:conditionalFormattings>
        <x14:conditionalFormatting xmlns:xm="http://schemas.microsoft.com/office/excel/2006/main">
          <x14:cfRule type="expression" priority="17" id="{6838E0B0-8F7C-4ECB-9973-D9A677444961}">
            <xm:f>Security!$A$1="NO VBA"</xm:f>
            <x14:dxf>
              <font>
                <color theme="0"/>
              </font>
              <border>
                <vertical/>
                <horizontal/>
              </border>
            </x14:dxf>
          </x14:cfRule>
          <xm:sqref>P35:AB35 AD1:XFD21 K1:AC5 L37:T37 L38:AB1048576 K22:AB22 P36:T36 AC22:AC1048576 L35:O36 K23:K1048576 AK22:XFD1048576 AD47:AJ1048576 AG43:AJ43 AF44:AJ46 AG23:AG42 AF23:AF43 AD23:AE46 P6:AB21 B6:B21 L7:L10 L23:AB34 N7:N14 N16:N21 O14 O16:O17 L13:L18</xm:sqref>
        </x14:conditionalFormatting>
        <x14:conditionalFormatting xmlns:xm="http://schemas.microsoft.com/office/excel/2006/main">
          <x14:cfRule type="expression" priority="13" id="{28C23062-8B69-4DBF-B225-0DA978058854}">
            <xm:f>Security!$A$1="NO VBA"</xm:f>
            <x14:dxf>
              <font>
                <color theme="0"/>
              </font>
              <border>
                <vertical/>
                <horizontal/>
              </border>
            </x14:dxf>
          </x14:cfRule>
          <xm:sqref>AD22:AG22</xm:sqref>
        </x14:conditionalFormatting>
        <x14:conditionalFormatting xmlns:xm="http://schemas.microsoft.com/office/excel/2006/main">
          <x14:cfRule type="expression" priority="11" id="{A5A99E9A-EF50-498D-816C-DC1468D208E3}">
            <xm:f>Security!$A$1="NO VBA"</xm:f>
            <x14:dxf>
              <font>
                <color theme="0"/>
              </font>
              <border>
                <vertical/>
                <horizontal/>
              </border>
            </x14:dxf>
          </x14:cfRule>
          <xm:sqref>T27</xm:sqref>
        </x14:conditionalFormatting>
        <x14:conditionalFormatting xmlns:xm="http://schemas.microsoft.com/office/excel/2006/main">
          <x14:cfRule type="expression" priority="10" id="{343EE784-B6A2-40C3-9EB0-19C23BDE71C9}">
            <xm:f>Security!$A$1="NO VBA"</xm:f>
            <x14:dxf>
              <font>
                <color theme="0"/>
              </font>
              <border>
                <vertical/>
                <horizontal/>
              </border>
            </x14:dxf>
          </x14:cfRule>
          <xm:sqref>T26</xm:sqref>
        </x14:conditionalFormatting>
        <x14:conditionalFormatting xmlns:xm="http://schemas.microsoft.com/office/excel/2006/main">
          <x14:cfRule type="expression" priority="9" id="{FA4882B4-F7BC-4296-9ABD-EDECDF0266F0}">
            <xm:f>Security!$A$1="NO VBA"</xm:f>
            <x14:dxf>
              <font>
                <color theme="0"/>
              </font>
              <border>
                <vertical/>
                <horizontal/>
              </border>
            </x14:dxf>
          </x14:cfRule>
          <xm:sqref>T25</xm:sqref>
        </x14:conditionalFormatting>
        <x14:conditionalFormatting xmlns:xm="http://schemas.microsoft.com/office/excel/2006/main">
          <x14:cfRule type="expression" priority="8" id="{4E62D948-0A25-43D4-96F0-373DB5B07E03}">
            <xm:f>Security!$A$1="NO VBA"</xm:f>
            <x14:dxf>
              <font>
                <color theme="0"/>
              </font>
              <border>
                <vertical/>
                <horizontal/>
              </border>
            </x14:dxf>
          </x14:cfRule>
          <xm:sqref>T24</xm:sqref>
        </x14:conditionalFormatting>
        <x14:conditionalFormatting xmlns:xm="http://schemas.microsoft.com/office/excel/2006/main">
          <x14:cfRule type="expression" priority="7" id="{586D26E9-EADB-44AE-9AD3-DD3B3B648B87}">
            <xm:f>Security!$A$1="NO VBA"</xm:f>
            <x14:dxf>
              <font>
                <color theme="0"/>
              </font>
              <border>
                <vertical/>
                <horizontal/>
              </border>
            </x14:dxf>
          </x14:cfRule>
          <xm:sqref>T23</xm:sqref>
        </x14:conditionalFormatting>
        <x14:conditionalFormatting xmlns:xm="http://schemas.microsoft.com/office/excel/2006/main">
          <x14:cfRule type="expression" priority="6" id="{3A3920D9-4AA7-44A7-86B6-BA06ED5A1C0A}">
            <xm:f>Security!$A$1="NO VBA"</xm:f>
            <x14:dxf>
              <font>
                <color theme="0"/>
              </font>
              <border>
                <vertical/>
                <horizontal/>
              </border>
            </x14:dxf>
          </x14:cfRule>
          <xm:sqref>A1:A5 A22:A1048576</xm:sqref>
        </x14:conditionalFormatting>
        <x14:conditionalFormatting xmlns:xm="http://schemas.microsoft.com/office/excel/2006/main">
          <x14:cfRule type="expression" priority="5" id="{A1043DAB-7B29-4EE9-9105-3DD849C831C5}">
            <xm:f>Security!$A$1="NO VBA"</xm:f>
            <x14:dxf>
              <font>
                <color theme="0"/>
              </font>
              <border>
                <vertical/>
                <horizontal/>
              </border>
            </x14:dxf>
          </x14:cfRule>
          <xm:sqref>G1:G5 G22:G1048576</xm:sqref>
        </x14:conditionalFormatting>
        <x14:conditionalFormatting xmlns:xm="http://schemas.microsoft.com/office/excel/2006/main">
          <x14:cfRule type="expression" priority="4" id="{5D562600-4CD5-4379-8857-C1D45152B076}">
            <xm:f>Security!$A$1="NO VBA"</xm:f>
            <x14:dxf>
              <font>
                <color theme="0"/>
              </font>
              <border>
                <vertical/>
                <horizontal/>
              </border>
            </x14:dxf>
          </x14:cfRule>
          <xm:sqref>O8:O10</xm:sqref>
        </x14:conditionalFormatting>
        <x14:conditionalFormatting xmlns:xm="http://schemas.microsoft.com/office/excel/2006/main">
          <x14:cfRule type="expression" priority="3" id="{072614C3-C05C-4A3C-A058-CE9636CA8820}">
            <xm:f>Security!$A$1="NO VBA"</xm:f>
            <x14:dxf>
              <font>
                <color theme="0"/>
              </font>
              <border>
                <vertical/>
                <horizontal/>
              </border>
            </x14:dxf>
          </x14:cfRule>
          <xm:sqref>L12</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item1.xml>��   
</file>

<file path=customXml/item2.xml>�� � � �n   v � �  s u � �  l � � � � �n   v � �  s u � �  l � � 
</file>

<file path=customXml/item3.xml>�� 
</file>

<file path=customXml/item4.xml>�� � � � � �  t �n   � �  t � � � � � � � � � � � �  t �n   � �  t � � � � � � � � � � � �  l �� � � � � � �  s u � � � � � � � � � �� �  l � � � �� �  l � � � �  l � �n   � � �n   s �  b � � �p     �  �  �  �  l ��  �  � � � � � �  t �n   � �  t � � � � � � � � � � � �  t �n   � �  t � � � � � � � � � � � �  l �� � � � � � �  s u � � � � � � � � � �� �  l � � � �� �  l � � � �  l � �n   � � �n   s �  b � � �p     �  �  �  �  l ��  �  � 
</file>

<file path=customXml/item5.xml>�� �n   �u   t � �n   �u   t � �  �u   t � �i   h � �  �  �u   t � �   � �n   �u   t � �n   �u   t � �  �u   t � �i   h � �  �  �u   t � �   � 
</file>

<file path=customXml/item6.xml>�� �c   n  �c   n  
</file>

<file path=customXml/item7.xml>�� � � � i � �  d � i �m   s �  d � �� �  l � � � � � �n   c � � � � � �  l � � � � �p     �  �  �  �  l ��  �  � 
</file>

<file path=customXml/item8.xml>��   
</file>

<file path=customXml/item9.xml>��   
</file>

<file path=customXml/item10.xml>��   
</file>

<file path=customXml/item11.xml>��   
</file>

<file path=customXml/item12.xml>�� � � � �� �  l � � � � i �m   s �  d � � �n   c � � �p    � � � � i � �  d �  �  �  �  �  l ��  �  � �  l � � � � � � �� �  l � � � � i �m   s �  d � � �n   c � � �p    � � � � i � �  d �  �  �  �  �  l ��  �  � �  l � � � 
</file>

<file path=customXml/item13.xml>�� � � � � 
</file>

<file path=customXml/item14.xml>�� �� �i   t �� � �� �t   � � �  l � � �  l �� �  t � � �� �i   t �� � �� �t   � � �  l � � �  l �� �  t � � 
</file>

<file path=customXml/item15.xml>�� �  �  
</file>

<file path=customXml/item16.xml>�� 
</file>

<file path=customXml/item17.xml>�� 
</file>

<file path=customXml/item18.xml>�� �  p h � �c   n  � �� � � �  p h � �c   n  � �� � � 
</file>

<file path=customXml/item19.xml>��   
</file>

<file path=customXml/item20.xml>��   
</file>

<file path=customXml/item21.xml>��   
</file>

<file path=customXml/item22.xml>��   
</file>

<file path=customXml/item23.xml>��   
</file>

<file path=customXml/itemProps1.xml><?xml version="1.0" encoding="utf-8"?>
<ds:datastoreItem xmlns:ds="http://schemas.openxmlformats.org/officeDocument/2006/customXml" ds:itemID="{19017731-72F7-42EB-AFF0-00D75C27CB84}">
  <ds:schemaRefs>
    <ds:schemaRef ds:uri="http://gemini/pivotcustomization/8055471d-593c-46d4-a7c5-f20424539526"/>
  </ds:schemaRefs>
</ds:datastoreItem>
</file>

<file path=customXml/itemProps2.xml><?xml version="1.0" encoding="utf-8"?>
<ds:datastoreItem xmlns:ds="http://schemas.openxmlformats.org/officeDocument/2006/customXml" ds:itemID="{19BA8129-97AB-4694-BBC1-89CB3D2043B0}">
  <ds:schemaRefs/>
</ds:datastoreItem>
</file>

<file path=customXml/itemProps3.xml><?xml version="1.0" encoding="utf-8"?>
<ds:datastoreItem xmlns:ds="http://schemas.openxmlformats.org/officeDocument/2006/customXml" ds:itemID="{049A5268-B7E8-41F6-B049-79C42814D937}">
  <ds:schemaRefs>
    <ds:schemaRef ds:uri="http://www.w3.org/2001/XMLSchema"/>
    <ds:schemaRef ds:uri="http://microsoft.data.visualization.Client.Excel.LState/1.0"/>
  </ds:schemaRefs>
</ds:datastoreItem>
</file>

<file path=customXml/itemProps4.xml><?xml version="1.0" encoding="utf-8"?>
<ds:datastoreItem xmlns:ds="http://schemas.openxmlformats.org/officeDocument/2006/customXml" ds:itemID="{2BF00A03-70FC-4137-967C-82A1B61F0E08}">
  <ds:schemaRefs/>
</ds:datastoreItem>
</file>

<file path=customXml/itemProps5.xml><?xml version="1.0" encoding="utf-8"?>
<ds:datastoreItem xmlns:ds="http://schemas.openxmlformats.org/officeDocument/2006/customXml" ds:itemID="{2458A1B8-FCD1-4F09-B20A-C75300C0B5F2}">
  <ds:schemaRefs>
    <ds:schemaRef ds:uri="http://gemini/pivotcustomization/TableXML_Table_DauTu"/>
  </ds:schemaRefs>
</ds:datastoreItem>
</file>

<file path=customXml/itemProps6.xml><?xml version="1.0" encoding="utf-8"?>
<ds:datastoreItem xmlns:ds="http://schemas.openxmlformats.org/officeDocument/2006/customXml" ds:itemID="{A6D0F6C4-9EB7-4062-86F8-715E8F5BF469}">
  <ds:schemaRefs/>
</ds:datastoreItem>
</file>

<file path=customXml/itemProps7.xml><?xml version="1.0" encoding="utf-8"?>
<ds:datastoreItem xmlns:ds="http://schemas.openxmlformats.org/officeDocument/2006/customXml" ds:itemID="{4F023B59-6671-4442-B15F-D8D1F04CE43F}">
  <ds:schemaRefs/>
</ds:datastoreItem>
</file>

<file path=customXml/itemProps8.xml><?xml version="1.0" encoding="utf-8"?>
<ds:datastoreItem xmlns:ds="http://schemas.openxmlformats.org/officeDocument/2006/customXml" ds:itemID="{15A5E9E7-8554-4C17-8FCE-88C5899190B5}">
  <ds:schemaRefs/>
</ds:datastoreItem>
</file>

<file path=customXml/itemProps9.xml><?xml version="1.0" encoding="utf-8"?>
<ds:datastoreItem xmlns:ds="http://schemas.openxmlformats.org/officeDocument/2006/customXml" ds:itemID="{E485F590-5987-4C80-AB5A-11640863CA4B}">
  <ds:schemaRefs>
    <ds:schemaRef ds:uri="http://gemini/pivotcustomization/12ce26d9-c6aa-4c34-8652-e6c119fef0fa"/>
  </ds:schemaRefs>
</ds:datastoreItem>
</file>

<file path=customXml/itemProps10.xml><?xml version="1.0" encoding="utf-8"?>
<ds:datastoreItem xmlns:ds="http://schemas.openxmlformats.org/officeDocument/2006/customXml" ds:itemID="{5D7BFC62-A7B0-4863-8C91-D5C38B1B0CB7}">
  <ds:schemaRefs>
    <ds:schemaRef ds:uri="http://gemini/pivotcustomization/27a7f318-32b6-40dc-83af-0fddbb83a1d4"/>
  </ds:schemaRefs>
</ds:datastoreItem>
</file>

<file path=customXml/itemProps11.xml><?xml version="1.0" encoding="utf-8"?>
<ds:datastoreItem xmlns:ds="http://schemas.openxmlformats.org/officeDocument/2006/customXml" ds:itemID="{0B9C3544-1C46-45A4-BEB6-1CE4D6559900}">
  <ds:schemaRefs/>
</ds:datastoreItem>
</file>

<file path=customXml/itemProps12.xml><?xml version="1.0" encoding="utf-8"?>
<ds:datastoreItem xmlns:ds="http://schemas.openxmlformats.org/officeDocument/2006/customXml" ds:itemID="{CCFAB5FF-26AB-4CB9-BA2C-5A121007B041}">
  <ds:schemaRefs/>
</ds:datastoreItem>
</file>

<file path=customXml/itemProps13.xml><?xml version="1.0" encoding="utf-8"?>
<ds:datastoreItem xmlns:ds="http://schemas.openxmlformats.org/officeDocument/2006/customXml" ds:itemID="{6F81FD08-C40B-4CE8-BA0F-774B60FBD3DB}">
  <ds:schemaRefs>
    <ds:schemaRef ds:uri="http://www.w3.org/2001/XMLSchema"/>
    <ds:schemaRef ds:uri="http://microsoft.data.visualization.engine.tours/1.0"/>
  </ds:schemaRefs>
</ds:datastoreItem>
</file>

<file path=customXml/itemProps14.xml><?xml version="1.0" encoding="utf-8"?>
<ds:datastoreItem xmlns:ds="http://schemas.openxmlformats.org/officeDocument/2006/customXml" ds:itemID="{86BCE4C3-7D25-4C79-A314-DED47A05E001}">
  <ds:schemaRefs>
    <ds:schemaRef ds:uri="http://gemini/pivotcustomization/TableXML_Table_ChuongTrinh"/>
  </ds:schemaRefs>
</ds:datastoreItem>
</file>

<file path=customXml/itemProps15.xml><?xml version="1.0" encoding="utf-8"?>
<ds:datastoreItem xmlns:ds="http://schemas.openxmlformats.org/officeDocument/2006/customXml" ds:itemID="{78A37B94-33CC-4B68-8B4E-D0CE59CB8695}">
  <ds:schemaRefs>
    <ds:schemaRef ds:uri="http://gemini/pivotcustomization/TableXML_Ref_Periods"/>
  </ds:schemaRefs>
</ds:datastoreItem>
</file>

<file path=customXml/itemProps16.xml><?xml version="1.0" encoding="utf-8"?>
<ds:datastoreItem xmlns:ds="http://schemas.openxmlformats.org/officeDocument/2006/customXml" ds:itemID="{8FD280FB-0EB8-4D91-8ABB-4113201DEE59}">
  <ds:schemaRefs>
    <ds:schemaRef ds:uri="http://gemini/pivotcustomization/FormulaBarState"/>
  </ds:schemaRefs>
</ds:datastoreItem>
</file>

<file path=customXml/itemProps17.xml><?xml version="1.0" encoding="utf-8"?>
<ds:datastoreItem xmlns:ds="http://schemas.openxmlformats.org/officeDocument/2006/customXml" ds:itemID="{51D8F1A2-1C62-4ED5-A688-CB699D0D9C83}">
  <ds:schemaRefs>
    <ds:schemaRef ds:uri="http://www.w3.org/2001/XMLSchema"/>
    <ds:schemaRef ds:uri="http://microsoft.data.visualization.Client.Excel/1.0"/>
  </ds:schemaRefs>
</ds:datastoreItem>
</file>

<file path=customXml/itemProps18.xml><?xml version="1.0" encoding="utf-8"?>
<ds:datastoreItem xmlns:ds="http://schemas.openxmlformats.org/officeDocument/2006/customXml" ds:itemID="{7D64D66F-1898-49BE-A788-6FA781CEE8F3}">
  <ds:schemaRefs/>
</ds:datastoreItem>
</file>

<file path=customXml/itemProps19.xml><?xml version="1.0" encoding="utf-8"?>
<ds:datastoreItem xmlns:ds="http://schemas.openxmlformats.org/officeDocument/2006/customXml" ds:itemID="{104A6CAF-8CC0-4F12-8051-31E2340CC4C2}">
  <ds:schemaRefs/>
</ds:datastoreItem>
</file>

<file path=customXml/itemProps20.xml><?xml version="1.0" encoding="utf-8"?>
<ds:datastoreItem xmlns:ds="http://schemas.openxmlformats.org/officeDocument/2006/customXml" ds:itemID="{339EBD31-34FE-48FA-B11C-5697D02F64AC}">
  <ds:schemaRefs/>
</ds:datastoreItem>
</file>

<file path=customXml/itemProps21.xml><?xml version="1.0" encoding="utf-8"?>
<ds:datastoreItem xmlns:ds="http://schemas.openxmlformats.org/officeDocument/2006/customXml" ds:itemID="{24D14929-D523-406C-85AB-622E1058421A}">
  <ds:schemaRefs>
    <ds:schemaRef ds:uri="http://gemini/pivotcustomization/98cd0469-6e20-49ed-99db-af80f09560d4"/>
  </ds:schemaRefs>
</ds:datastoreItem>
</file>

<file path=customXml/itemProps22.xml><?xml version="1.0" encoding="utf-8"?>
<ds:datastoreItem xmlns:ds="http://schemas.openxmlformats.org/officeDocument/2006/customXml" ds:itemID="{A849B9D7-188B-48DA-AB5B-54583621621D}">
  <ds:schemaRefs/>
</ds:datastoreItem>
</file>

<file path=customXml/itemProps23.xml><?xml version="1.0" encoding="utf-8"?>
<ds:datastoreItem xmlns:ds="http://schemas.openxmlformats.org/officeDocument/2006/customXml" ds:itemID="{4BA9E5F1-90AC-490B-B178-7C8B339E1A47}">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vt:i4>
      </vt:variant>
    </vt:vector>
  </HeadingPairs>
  <TitlesOfParts>
    <vt:vector size="3" baseType="lpstr">
      <vt:lpstr>EULA</vt:lpstr>
      <vt:lpstr>Lịch khấu hao</vt:lpstr>
      <vt:lpstr>MaTaiSan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Anh Le</dc:creator>
  <cp:keywords/>
  <dc:description/>
  <cp:lastModifiedBy>Anh Le</cp:lastModifiedBy>
  <cp:revision/>
  <cp:lastPrinted>2025-05-15T23:41:39Z</cp:lastPrinted>
  <dcterms:created xsi:type="dcterms:W3CDTF">2024-12-23T06:08:32Z</dcterms:created>
  <dcterms:modified xsi:type="dcterms:W3CDTF">2025-06-10T08:06:36Z</dcterms:modified>
  <cp:category/>
  <cp:contentStatus/>
</cp:coreProperties>
</file>