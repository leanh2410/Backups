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16811C83-50FF-4575-A114-FA315F2D6EB4}"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Lịch khấu hao" sheetId="37" r:id="rId3"/>
  </sheets>
  <functionGroups builtInGroupCount="19"/>
  <definedNames>
    <definedName name="_xleta.IFERROR" hidden="1" xlm="1">#NAME?</definedName>
    <definedName name="_xleta.MAX" hidden="1" xlm="1">#NAME?</definedName>
    <definedName name="_xleta.N" hidden="1" xlm="1">#NAME?</definedName>
    <definedName name="_xleta.PHI" hidden="1" xlm="1">#NAME?</definedName>
    <definedName name="_xleta.T"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Table_TSCD[Mã Tài sản]</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 cacheId="1"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23" i="37" l="1"/>
  <c r="AD24" i="37"/>
  <c r="AD25" i="37"/>
  <c r="AD26" i="37"/>
  <c r="AD27" i="37"/>
  <c r="AD28" i="37"/>
  <c r="AD29" i="37"/>
  <c r="AD30" i="37"/>
  <c r="AD31" i="37"/>
  <c r="AD32" i="37"/>
  <c r="AD33" i="37"/>
  <c r="AD34" i="37"/>
  <c r="AD35" i="37"/>
  <c r="AD36" i="37"/>
  <c r="AD37" i="37"/>
  <c r="AD38" i="37"/>
  <c r="AD39" i="37"/>
  <c r="AD40" i="37"/>
  <c r="AD41" i="37"/>
  <c r="AD42" i="37"/>
  <c r="AD49" i="37"/>
  <c r="AD50" i="37"/>
  <c r="AD51" i="37"/>
  <c r="AD52" i="37"/>
  <c r="AD53" i="37"/>
  <c r="AD54" i="37"/>
  <c r="AD55" i="37"/>
  <c r="AD44" i="37"/>
  <c r="AD45" i="37"/>
  <c r="AD46" i="37"/>
  <c r="AD47" i="37"/>
  <c r="AD48" i="37"/>
  <c r="S23" i="37"/>
  <c r="W23" i="37" s="1"/>
  <c r="X23" i="37"/>
  <c r="Y23" i="37" s="1"/>
  <c r="S24" i="37"/>
  <c r="W24" i="37" s="1"/>
  <c r="X24" i="37"/>
  <c r="Y24" i="37" s="1"/>
  <c r="S25" i="37"/>
  <c r="W25" i="37" s="1"/>
  <c r="X25" i="37"/>
  <c r="Y25" i="37" s="1"/>
  <c r="S26" i="37"/>
  <c r="V26" i="37" s="1"/>
  <c r="AB26" i="37" s="1"/>
  <c r="X26" i="37"/>
  <c r="S27" i="37"/>
  <c r="W27" i="37" s="1"/>
  <c r="X27" i="37"/>
  <c r="Y27" i="37" s="1"/>
  <c r="X28" i="37"/>
  <c r="O17" i="37" l="1"/>
  <c r="O18" i="37" s="1"/>
  <c r="Y26" i="37"/>
  <c r="AA26" i="37" s="1"/>
  <c r="V24" i="37"/>
  <c r="AB24" i="37" s="1"/>
  <c r="V25" i="37"/>
  <c r="AB25" i="37" s="1"/>
  <c r="Z27" i="37"/>
  <c r="V27" i="37"/>
  <c r="AB27" i="37" s="1"/>
  <c r="V23" i="37"/>
  <c r="Z23" i="37"/>
  <c r="W26" i="37"/>
  <c r="O13" i="37" s="1"/>
  <c r="Z25" i="37"/>
  <c r="AD43" i="37"/>
  <c r="AB23" i="37" l="1"/>
  <c r="AA27" i="37"/>
  <c r="AA23" i="37"/>
  <c r="Z24" i="37"/>
  <c r="AA24" i="37"/>
  <c r="Z26" i="37"/>
  <c r="AA25" i="37"/>
  <c r="S28" i="37"/>
  <c r="Y28" i="37" s="1"/>
  <c r="V28" i="37" l="1"/>
  <c r="O15" i="37" s="1" a="1"/>
  <c r="O15" i="37" s="1"/>
  <c r="W28" i="37"/>
  <c r="AI23" i="37" l="1"/>
  <c r="AJ23" i="37"/>
  <c r="AH23" i="37"/>
  <c r="AH24" i="37"/>
  <c r="AI24" i="37"/>
  <c r="AJ24" i="37"/>
  <c r="AH25" i="37"/>
  <c r="AI25" i="37"/>
  <c r="AJ25" i="37"/>
  <c r="AH26" i="37"/>
  <c r="AJ26" i="37"/>
  <c r="AI26" i="37"/>
  <c r="AI27" i="37"/>
  <c r="AJ27" i="37"/>
  <c r="AH27" i="37"/>
  <c r="AI28" i="37"/>
  <c r="AJ28" i="37"/>
  <c r="AH28" i="37"/>
  <c r="AJ29" i="37"/>
  <c r="AH29" i="37"/>
  <c r="AI29" i="37"/>
  <c r="AH30" i="37"/>
  <c r="O8" i="37" s="1" a="1"/>
  <c r="O8" i="37" s="1"/>
  <c r="AI30" i="37"/>
  <c r="O9" i="37" s="1" a="1"/>
  <c r="O9" i="37" s="1"/>
  <c r="AJ30" i="37"/>
  <c r="O10" i="37" s="1" a="1"/>
  <c r="O10" i="37" s="1"/>
  <c r="AI31" i="37"/>
  <c r="AH31" i="37"/>
  <c r="AJ31" i="37"/>
  <c r="AH32" i="37"/>
  <c r="AJ32" i="37"/>
  <c r="AI32" i="37"/>
  <c r="AJ33" i="37"/>
  <c r="AI33" i="37"/>
  <c r="AH33" i="37"/>
  <c r="AJ34" i="37"/>
  <c r="AI34" i="37"/>
  <c r="AH34" i="37"/>
  <c r="AJ35" i="37"/>
  <c r="AI35" i="37"/>
  <c r="AH35" i="37"/>
  <c r="AJ36" i="37"/>
  <c r="AI36" i="37"/>
  <c r="AH36" i="37"/>
  <c r="AI37" i="37"/>
  <c r="AH37" i="37"/>
  <c r="AJ37" i="37"/>
  <c r="AH38" i="37"/>
  <c r="AI38" i="37"/>
  <c r="AJ38" i="37"/>
  <c r="AI39" i="37"/>
  <c r="AJ39" i="37"/>
  <c r="AH39" i="37"/>
  <c r="AH40" i="37"/>
  <c r="AI40" i="37"/>
  <c r="AJ40" i="37"/>
  <c r="AI41" i="37"/>
  <c r="AJ41" i="37"/>
  <c r="AH41" i="37"/>
  <c r="AJ49" i="37"/>
  <c r="AJ50" i="37"/>
  <c r="AI50" i="37"/>
  <c r="AJ48" i="37"/>
  <c r="AI49" i="37"/>
  <c r="AH45" i="37"/>
  <c r="AH54" i="37"/>
  <c r="AI43" i="37"/>
  <c r="AJ53" i="37"/>
  <c r="AJ47" i="37"/>
  <c r="AJ55" i="37"/>
  <c r="AI46" i="37"/>
  <c r="AI54" i="37"/>
  <c r="AH46" i="37"/>
  <c r="AH53" i="37"/>
  <c r="AH44" i="37"/>
  <c r="AJ43" i="37"/>
  <c r="AH43" i="37"/>
  <c r="AI47" i="37"/>
  <c r="AI52" i="37"/>
  <c r="AJ46" i="37"/>
  <c r="AJ42" i="37"/>
  <c r="AH47" i="37"/>
  <c r="AH42" i="37"/>
  <c r="AH48" i="37"/>
  <c r="AI44" i="37"/>
  <c r="AH55" i="37"/>
  <c r="AH50" i="37"/>
  <c r="AJ54" i="37"/>
  <c r="AI53" i="37"/>
  <c r="AJ44" i="37"/>
  <c r="AI45" i="37"/>
  <c r="AJ51" i="37"/>
  <c r="AJ45" i="37"/>
  <c r="AI48" i="37"/>
  <c r="AI42" i="37"/>
  <c r="AI55" i="37"/>
  <c r="AH51" i="37"/>
  <c r="AH52" i="37"/>
  <c r="AH49" i="37"/>
  <c r="AI51" i="37"/>
  <c r="AJ52" i="37"/>
  <c r="AB28" i="37"/>
  <c r="Z28" i="37"/>
  <c r="O16" i="37" s="1"/>
  <c r="AA28" i="37"/>
  <c r="L1" i="37"/>
  <c r="M1" i="37" s="1"/>
  <c r="N1" i="37" s="1"/>
  <c r="O1" i="37" s="1"/>
  <c r="P1" i="37" s="1"/>
  <c r="Q1" i="37" s="1"/>
  <c r="R1" i="37" s="1"/>
  <c r="S1" i="37" s="1"/>
  <c r="T1" i="37" s="1"/>
  <c r="AG23" i="37" l="1"/>
  <c r="AG34" i="37"/>
  <c r="AG25" i="37"/>
  <c r="AG24" i="37"/>
  <c r="AG26" i="37"/>
  <c r="AG27" i="37"/>
  <c r="AG28" i="37"/>
  <c r="AG29" i="37"/>
  <c r="AG41" i="37"/>
  <c r="AG30" i="37"/>
  <c r="O5" i="37" s="1" a="1"/>
  <c r="O5" i="37" s="1"/>
  <c r="O14" i="37" s="1"/>
  <c r="AG31" i="37"/>
  <c r="AG39" i="37"/>
  <c r="AG35" i="37"/>
  <c r="AG32" i="37"/>
  <c r="AG33" i="37"/>
  <c r="AG36" i="37"/>
  <c r="AG37" i="37"/>
  <c r="AG38" i="37"/>
  <c r="AG40" i="37"/>
  <c r="AG42" i="37"/>
  <c r="AG55" i="37"/>
  <c r="AG53" i="37"/>
  <c r="AG54" i="37"/>
  <c r="AG51" i="37"/>
  <c r="AG46" i="37"/>
  <c r="AG49" i="37"/>
  <c r="AG50" i="37"/>
  <c r="AG52" i="37"/>
  <c r="AG45" i="37"/>
  <c r="AG44" i="37"/>
  <c r="AG48" i="37"/>
  <c r="AG47" i="37"/>
  <c r="AG43" i="37"/>
  <c r="U1" i="37"/>
  <c r="V1" i="37" s="1"/>
  <c r="W1" i="37" s="1"/>
  <c r="N8" i="37" l="1"/>
  <c r="N10" i="37"/>
  <c r="N9" i="3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<sst xmlns="http://schemas.openxmlformats.org/spreadsheetml/2006/main" count="154" uniqueCount="115">
  <si>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</si>
  <si>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</si>
  <si>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</si>
  <si>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</si>
  <si>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</si>
  <si>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</si>
  <si>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</si>
  <si>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</si>
  <si>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</si>
  <si>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</si>
  <si>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</si>
  <si>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</si>
  <si>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</si>
  <si>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</si>
  <si>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Khấu hao</t>
  </si>
  <si>
    <t>Chức năng</t>
  </si>
  <si>
    <t>Ngày kết thúc</t>
  </si>
  <si>
    <t>Phân loại</t>
  </si>
  <si>
    <t>Tất cả</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</si>
  <si>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</si>
  <si>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</si>
  <si>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</si>
  <si>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</si>
  <si>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</si>
  <si>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</si>
  <si>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</si>
  <si>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</si>
  <si>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</si>
  <si>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</si>
  <si>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</si>
  <si>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</si>
  <si>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</si>
  <si>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Giá trị sổ sách</t>
  </si>
  <si>
    <t>Ngày mua</t>
  </si>
  <si>
    <t>Năm khấu hao</t>
  </si>
  <si>
    <t>Tháng khấu hao</t>
  </si>
  <si>
    <t>Ngày vận hành</t>
  </si>
  <si>
    <t>Ngày thanh lý</t>
  </si>
  <si>
    <t>Giá trị khấu hao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</si>
  <si>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</si>
  <si>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</si>
  <si>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</si>
  <si>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</si>
  <si>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</si>
  <si>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</si>
  <si>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</si>
  <si>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</si>
  <si>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</si>
  <si>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</si>
  <si>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</si>
  <si>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</si>
  <si>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</si>
  <si>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Khấu hao sản xuất</t>
  </si>
  <si>
    <t>Khấu hao bán hàng</t>
  </si>
  <si>
    <t>Khấu hao quản lý</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</si>
  <si>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</si>
  <si>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</si>
  <si>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</si>
  <si>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</si>
  <si>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</si>
  <si>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</si>
  <si>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TS1</t>
  </si>
  <si>
    <t>Sản xuất</t>
  </si>
  <si>
    <t>Số ngày vận hành</t>
  </si>
  <si>
    <t>Khấu hao lũy kế theo ngày</t>
  </si>
  <si>
    <t>Giá trị còn lại</t>
  </si>
  <si>
    <t>Tỷ lệ khấu hao</t>
  </si>
  <si>
    <t>Số ngày còn lại</t>
  </si>
  <si>
    <t>TS2</t>
  </si>
  <si>
    <t>TS3</t>
  </si>
  <si>
    <t>Bán hàng</t>
  </si>
  <si>
    <t>TS4</t>
  </si>
  <si>
    <t>Văn phòng</t>
  </si>
  <si>
    <t>TS5</t>
  </si>
  <si>
    <t>TS6</t>
  </si>
  <si>
    <t>Row Labels</t>
  </si>
  <si>
    <t>Grand Total</t>
  </si>
  <si>
    <t>2023</t>
  </si>
  <si>
    <t>2024</t>
  </si>
  <si>
    <t>Apr</t>
  </si>
  <si>
    <t>May</t>
  </si>
  <si>
    <t>Jun</t>
  </si>
  <si>
    <t>Jul</t>
  </si>
  <si>
    <t>Aug</t>
  </si>
  <si>
    <t>Sep</t>
  </si>
  <si>
    <t>Oct</t>
  </si>
  <si>
    <t>Nov</t>
  </si>
  <si>
    <t>Dec</t>
  </si>
  <si>
    <t>Jan</t>
  </si>
  <si>
    <t>Feb</t>
  </si>
  <si>
    <t>Mar</t>
  </si>
  <si>
    <t>Tổng</t>
  </si>
  <si>
    <t>Quản lý</t>
  </si>
  <si>
    <t>Khấu hao lũy kế</t>
  </si>
  <si>
    <t>Tỷ lệ</t>
  </si>
  <si>
    <t>KHẤU HAO THÁNG HIỆN TẠI</t>
  </si>
  <si>
    <t>GỒM:</t>
  </si>
  <si>
    <t>SẢN XUẤT</t>
  </si>
  <si>
    <t>BÁN HÀNG</t>
  </si>
  <si>
    <t>QUẢN LÝ</t>
  </si>
  <si>
    <t>GIÁ TRỊ KHẤU HAO THÁNG</t>
  </si>
  <si>
    <t>TỶ TRỌNG KHẤU HAO</t>
  </si>
  <si>
    <t>TỶ LỆ KHẤU HAO HIỆN TẠI</t>
  </si>
  <si>
    <t>NGÀY KẾT THÚC KHẤU HAO</t>
  </si>
  <si>
    <t>SỐ NGÀY KHẤU HAO CÒN LẠI</t>
  </si>
  <si>
    <t>CHI TIẾT TÀI SẢN</t>
  </si>
  <si>
    <t>THỨ TỰ GIÁ TRỊ KHẤU HAO</t>
  </si>
  <si>
    <t>4C68A711-89BE-412A-BD2D-CB33771CC62D</t>
  </si>
  <si>
    <t>EASY-33329183463</t>
  </si>
  <si>
    <t>CP01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</si>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</sst>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0">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165" fontId="7" fillId="0" borderId="0" xfId="0" applyNumberFormat="1" applyFont="1" applyAlignment="1" applyProtection="1">
      <alignment vertical="center"/>
      <protection locked="0" hidden="1"/>
    </xf>
    <xf numFmtId="0" fontId="0" fillId="0" borderId="0" xfId="0" applyProtection="1">
      <protection locked="0" hidden="1"/>
    </xf>
    <xf numFmtId="0" fontId="0" fillId="0" borderId="0" xfId="0" applyAlignment="1">
      <alignment horizontal="left"/>
    </xf>
    <xf numFmtId="0" fontId="5" fillId="0" borderId="0" xfId="0" applyFont="1" applyAlignment="1" applyProtection="1">
      <alignment vertical="center"/>
      <protection locked="0"/>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7" fillId="0" borderId="1" xfId="1" applyNumberFormat="1" applyFont="1" applyFill="1" applyBorder="1" applyAlignment="1" applyProtection="1">
      <alignment vertical="center"/>
      <protection locked="0" hidden="1"/>
    </xf>
    <xf numFmtId="168" fontId="7" fillId="0" borderId="0" xfId="0" applyNumberFormat="1" applyFont="1" applyAlignment="1" applyProtection="1">
      <alignment vertical="center"/>
      <protection locked="0" hidden="1"/>
    </xf>
    <xf numFmtId="167" fontId="5" fillId="0" borderId="0" xfId="0" applyNumberFormat="1" applyFont="1" applyAlignment="1" applyProtection="1">
      <alignment vertical="center"/>
      <protection locked="0"/>
    </xf>
    <xf numFmtId="167" fontId="8" fillId="0" borderId="0" xfId="0" applyNumberFormat="1" applyFont="1" applyAlignment="1" applyProtection="1">
      <alignment vertical="center"/>
      <protection locked="0"/>
    </xf>
    <xf numFmtId="0" fontId="8" fillId="0" borderId="0" xfId="0" applyFont="1" applyAlignment="1" applyProtection="1">
      <alignment vertical="center"/>
      <protection locked="0"/>
    </xf>
    <xf numFmtId="165"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0" fontId="7" fillId="0" borderId="0" xfId="0" applyFont="1" applyAlignment="1" applyProtection="1">
      <alignment vertical="center"/>
      <protection locked="0" hidden="1"/>
    </xf>
    <xf numFmtId="167" fontId="7" fillId="0" borderId="1" xfId="0" applyNumberFormat="1" applyFont="1" applyBorder="1" applyAlignment="1" applyProtection="1">
      <alignment vertical="center"/>
      <protection locked="0" hidden="1"/>
    </xf>
    <xf numFmtId="0" fontId="0" fillId="0" borderId="0" xfId="0" pivotButton="1"/>
    <xf numFmtId="167" fontId="0" fillId="0" borderId="0" xfId="0" applyNumberFormat="1"/>
    <xf numFmtId="0" fontId="0" fillId="0" borderId="0" xfId="0" applyAlignment="1">
      <alignment horizontal="left" indent="1"/>
    </xf>
    <xf numFmtId="165" fontId="0" fillId="0" borderId="0" xfId="0" applyNumberFormat="1" applyAlignment="1">
      <alignment horizontal="left" indent="2"/>
    </xf>
    <xf numFmtId="9" fontId="0" fillId="0" borderId="0" xfId="0" applyNumberFormat="1"/>
    <xf numFmtId="167" fontId="15" fillId="0" borderId="0" xfId="0" applyNumberFormat="1" applyFont="1" applyAlignment="1" applyProtection="1">
      <alignment vertical="center"/>
      <protection locked="0"/>
    </xf>
    <xf numFmtId="167" fontId="16" fillId="0" borderId="0" xfId="0" applyNumberFormat="1" applyFont="1" applyAlignment="1" applyProtection="1">
      <alignment vertical="center"/>
      <protection locked="0"/>
    </xf>
    <xf numFmtId="9" fontId="16" fillId="0" borderId="0" xfId="2" applyFont="1" applyAlignment="1" applyProtection="1">
      <alignment vertical="center"/>
      <protection locked="0"/>
    </xf>
    <xf numFmtId="0" fontId="16" fillId="0" borderId="0" xfId="0" applyFont="1" applyAlignment="1" applyProtection="1">
      <alignment horizontal="center" vertical="center"/>
      <protection locked="0"/>
    </xf>
    <xf numFmtId="164" fontId="16" fillId="0" borderId="0" xfId="1" applyNumberFormat="1" applyFont="1" applyAlignment="1" applyProtection="1">
      <alignment horizontal="right" vertical="center"/>
      <protection locked="0"/>
    </xf>
    <xf numFmtId="9" fontId="16" fillId="0" borderId="0" xfId="2" applyFont="1" applyAlignment="1" applyProtection="1">
      <alignment horizontal="right" vertical="center"/>
      <protection locked="0"/>
    </xf>
    <xf numFmtId="166" fontId="16" fillId="0" borderId="0" xfId="2" applyNumberFormat="1" applyFont="1" applyAlignment="1" applyProtection="1">
      <alignment horizontal="right" vertical="center"/>
      <protection locked="0"/>
    </xf>
    <xf numFmtId="0" fontId="17" fillId="0" borderId="0" xfId="0" applyFont="1" applyAlignment="1" applyProtection="1">
      <alignment vertical="center"/>
      <protection locked="0"/>
    </xf>
  </cellXfs>
  <cellStyles count="3">
    <cellStyle name="Comma" xfId="1" builtinId="3"/>
    <cellStyle name="Normal" xfId="0" builtinId="0"/>
    <cellStyle name="Percent" xfId="2" builtinId="5"/>
  </cellStyles>
  <dxfs count="47">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46"/>
      <tableStyleElement type="headerRow" dxfId="45"/>
    </tableStyle>
    <tableStyle name="SlicerStyleLight1 2 2" pivot="0" table="0" count="10" xr9:uid="{9DB8D611-4D15-4128-AF8D-E3329BCC5BCE}">
      <tableStyleElement type="wholeTable" dxfId="44"/>
      <tableStyleElement type="headerRow" dxfId="43"/>
    </tableStyle>
    <tableStyle name="TimeSlicerStyleLight1 2" pivot="0" table="0" count="9" xr9:uid="{58382D9D-B456-41C4-B229-09D2A872184E}">
      <tableStyleElement type="wholeTable" dxfId="42"/>
      <tableStyleElement type="headerRow" dxfId="4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pivotCacheDefinition" Target="pivotCache/pivotCacheDefinition2.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hao!PivotTable2</c:name>
    <c:fmtId val="0"/>
  </c:pivotSource>
  <c:chart>
    <c:autoTitleDeleted val="0"/>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'Lịch khấu hao'!$D$22</c:f>
              <c:strCache>
                <c:ptCount val="1"/>
                <c:pt idx="0">
                  <c:v>Sản xuất</c:v>
                </c:pt>
              </c:strCache>
            </c:strRef>
          </c:tx>
          <c:spPr>
            <a:solidFill>
              <a:schemeClr val="accent2"/>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hao'!$D$23:$D$67</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2-A58A-45ED-9244-AAF7163A8819}"/>
            </c:ext>
          </c:extLst>
        </c:ser>
        <c:ser>
          <c:idx val="2"/>
          <c:order val="2"/>
          <c:tx>
            <c:strRef>
              <c:f>'Lịch khấu hao'!$E$22</c:f>
              <c:strCache>
                <c:ptCount val="1"/>
                <c:pt idx="0">
                  <c:v>Bán hàng</c:v>
                </c:pt>
              </c:strCache>
            </c:strRef>
          </c:tx>
          <c:spPr>
            <a:solidFill>
              <a:schemeClr val="accent3"/>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hao'!$E$23:$E$67</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3-A58A-45ED-9244-AAF7163A8819}"/>
            </c:ext>
          </c:extLst>
        </c:ser>
        <c:ser>
          <c:idx val="3"/>
          <c:order val="3"/>
          <c:tx>
            <c:strRef>
              <c:f>'Lịch khấu hao'!$F$22</c:f>
              <c:strCache>
                <c:ptCount val="1"/>
                <c:pt idx="0">
                  <c:v>Quản lý</c:v>
                </c:pt>
              </c:strCache>
            </c:strRef>
          </c:tx>
          <c:spPr>
            <a:solidFill>
              <a:schemeClr val="accent4"/>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hao'!$F$23:$F$67</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4-A58A-45ED-9244-AAF7163A8819}"/>
            </c:ext>
          </c:extLst>
        </c:ser>
        <c:dLbls>
          <c:showLegendKey val="0"/>
          <c:showVal val="0"/>
          <c:showCatName val="0"/>
          <c:showSerName val="0"/>
          <c:showPercent val="0"/>
          <c:showBubbleSize val="0"/>
        </c:dLbls>
        <c:gapWidth val="100"/>
        <c:overlap val="-100"/>
        <c:axId val="414349263"/>
        <c:axId val="414347343"/>
      </c:barChart>
      <c:barChart>
        <c:barDir val="col"/>
        <c:grouping val="stacked"/>
        <c:varyColors val="0"/>
        <c:ser>
          <c:idx val="0"/>
          <c:order val="0"/>
          <c:tx>
            <c:strRef>
              <c:f>'Lịch khấu hao'!$C$22</c:f>
              <c:strCache>
                <c:ptCount val="1"/>
                <c:pt idx="0">
                  <c:v>Tổng</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hao'!$C$23:$C$67</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0-A58A-45ED-9244-AAF7163A8819}"/>
            </c:ext>
          </c:extLst>
        </c:ser>
        <c:dLbls>
          <c:showLegendKey val="0"/>
          <c:showVal val="0"/>
          <c:showCatName val="0"/>
          <c:showSerName val="0"/>
          <c:showPercent val="0"/>
          <c:showBubbleSize val="0"/>
        </c:dLbls>
        <c:gapWidth val="100"/>
        <c:overlap val="-100"/>
        <c:axId val="185294943"/>
        <c:axId val="185298303"/>
      </c:barChart>
      <c:catAx>
        <c:axId val="414349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347343"/>
        <c:crosses val="autoZero"/>
        <c:auto val="1"/>
        <c:lblAlgn val="ctr"/>
        <c:lblOffset val="100"/>
        <c:noMultiLvlLbl val="0"/>
      </c:catAx>
      <c:valAx>
        <c:axId val="414347343"/>
        <c:scaling>
          <c:orientation val="minMax"/>
        </c:scaling>
        <c:delete val="1"/>
        <c:axPos val="l"/>
        <c:numFmt formatCode="_(#,##0_);_(\(#,##0\);_(\-_);_(@_)" sourceLinked="1"/>
        <c:majorTickMark val="none"/>
        <c:minorTickMark val="none"/>
        <c:tickLblPos val="nextTo"/>
        <c:crossAx val="414349263"/>
        <c:crosses val="autoZero"/>
        <c:crossBetween val="between"/>
      </c:valAx>
      <c:valAx>
        <c:axId val="185298303"/>
        <c:scaling>
          <c:orientation val="minMax"/>
        </c:scaling>
        <c:delete val="1"/>
        <c:axPos val="r"/>
        <c:numFmt formatCode="_(#,##0_);_(\(#,##0\);_(\-_);_(@_)" sourceLinked="1"/>
        <c:majorTickMark val="out"/>
        <c:minorTickMark val="none"/>
        <c:tickLblPos val="nextTo"/>
        <c:crossAx val="185294943"/>
        <c:crosses val="max"/>
        <c:crossBetween val="between"/>
      </c:valAx>
      <c:catAx>
        <c:axId val="185294943"/>
        <c:scaling>
          <c:orientation val="minMax"/>
        </c:scaling>
        <c:delete val="1"/>
        <c:axPos val="b"/>
        <c:numFmt formatCode="General" sourceLinked="1"/>
        <c:majorTickMark val="out"/>
        <c:minorTickMark val="none"/>
        <c:tickLblPos val="nextTo"/>
        <c:crossAx val="185298303"/>
        <c:crosses val="autoZero"/>
        <c:auto val="1"/>
        <c:lblAlgn val="ctr"/>
        <c:lblOffset val="100"/>
        <c:noMultiLvlLbl val="0"/>
      </c:catAx>
      <c:spPr>
        <a:solidFill>
          <a:schemeClr val="accent3">
            <a:lumMod val="20000"/>
            <a:lumOff val="80000"/>
          </a:schemeClr>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pivotFmt>
    </c:pivotFmts>
    <c:plotArea>
      <c:layout/>
      <c:barChart>
        <c:barDir val="col"/>
        <c:grouping val="clustered"/>
        <c:varyColors val="0"/>
        <c:ser>
          <c:idx val="0"/>
          <c:order val="0"/>
          <c:tx>
            <c:strRef>
              <c:f>'Lịch khấu hao'!$I$22</c:f>
              <c:strCache>
                <c:ptCount val="1"/>
                <c:pt idx="0">
                  <c:v>Khấu hao lũy kế</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hao'!$I$23:$I$35</c:f>
              <c:numCache>
                <c:formatCode>General</c:formatCode>
                <c:ptCount val="6"/>
                <c:pt idx="0">
                  <c:v>265462012.32032856</c:v>
                </c:pt>
                <c:pt idx="1">
                  <c:v>431211498.97330594</c:v>
                </c:pt>
                <c:pt idx="2">
                  <c:v>159342915.81108829</c:v>
                </c:pt>
                <c:pt idx="3">
                  <c:v>110882956.8788501</c:v>
                </c:pt>
                <c:pt idx="4">
                  <c:v>10700433.493041296</c:v>
                </c:pt>
                <c:pt idx="5">
                  <c:v>60369609.856262833</c:v>
                </c:pt>
              </c:numCache>
            </c:numRef>
          </c:val>
          <c:extLst>
            <c:ext xmlns:c16="http://schemas.microsoft.com/office/drawing/2014/chart" uri="{C3380CC4-5D6E-409C-BE32-E72D297353CC}">
              <c16:uniqueId val="{00000002-DAE9-48DB-A8B4-1979158801EF}"/>
            </c:ext>
          </c:extLst>
        </c:ser>
        <c:dLbls>
          <c:showLegendKey val="0"/>
          <c:showVal val="0"/>
          <c:showCatName val="0"/>
          <c:showSerName val="0"/>
          <c:showPercent val="0"/>
          <c:showBubbleSize val="0"/>
        </c:dLbls>
        <c:gapWidth val="70"/>
        <c:overlap val="100"/>
        <c:axId val="185857199"/>
        <c:axId val="185857679"/>
      </c:barChart>
      <c:lineChart>
        <c:grouping val="standard"/>
        <c:varyColors val="0"/>
        <c:ser>
          <c:idx val="1"/>
          <c:order val="1"/>
          <c:tx>
            <c:strRef>
              <c:f>'Lịch khấu hao'!$J$22</c:f>
              <c:strCache>
                <c:ptCount val="1"/>
                <c:pt idx="0">
                  <c:v>Tỷ lệ</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hao'!$J$23:$J$35</c:f>
              <c:numCache>
                <c:formatCode>0%</c:formatCode>
                <c:ptCount val="6"/>
                <c:pt idx="0">
                  <c:v>8.8487337440109518E-2</c:v>
                </c:pt>
                <c:pt idx="1">
                  <c:v>8.6242299794661192E-2</c:v>
                </c:pt>
                <c:pt idx="2">
                  <c:v>0.15934291581108828</c:v>
                </c:pt>
                <c:pt idx="3">
                  <c:v>0.22176591375770022</c:v>
                </c:pt>
                <c:pt idx="4">
                  <c:v>0.42801733972165185</c:v>
                </c:pt>
                <c:pt idx="5">
                  <c:v>0.17248459958932238</c:v>
                </c:pt>
              </c:numCache>
            </c:numRef>
          </c:val>
          <c:smooth val="0"/>
          <c:extLst>
            <c:ext xmlns:c16="http://schemas.microsoft.com/office/drawing/2014/chart" uri="{C3380CC4-5D6E-409C-BE32-E72D297353CC}">
              <c16:uniqueId val="{00000007-DAE9-48DB-A8B4-1979158801EF}"/>
            </c:ext>
          </c:extLst>
        </c:ser>
        <c:dLbls>
          <c:showLegendKey val="0"/>
          <c:showVal val="0"/>
          <c:showCatName val="0"/>
          <c:showSerName val="0"/>
          <c:showPercent val="0"/>
          <c:showBubbleSize val="0"/>
        </c:dLbls>
        <c:marker val="1"/>
        <c:smooth val="0"/>
        <c:axId val="493466655"/>
        <c:axId val="493465695"/>
      </c:lineChart>
      <c:catAx>
        <c:axId val="185857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679"/>
        <c:crosses val="autoZero"/>
        <c:auto val="1"/>
        <c:lblAlgn val="ctr"/>
        <c:lblOffset val="100"/>
        <c:noMultiLvlLbl val="0"/>
      </c:catAx>
      <c:valAx>
        <c:axId val="18585767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199"/>
        <c:crosses val="autoZero"/>
        <c:crossBetween val="between"/>
      </c:valAx>
      <c:valAx>
        <c:axId val="49346569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66655"/>
        <c:crosses val="max"/>
        <c:crossBetween val="between"/>
      </c:valAx>
      <c:catAx>
        <c:axId val="493466655"/>
        <c:scaling>
          <c:orientation val="minMax"/>
        </c:scaling>
        <c:delete val="1"/>
        <c:axPos val="b"/>
        <c:numFmt formatCode="General" sourceLinked="1"/>
        <c:majorTickMark val="out"/>
        <c:minorTickMark val="none"/>
        <c:tickLblPos val="nextTo"/>
        <c:crossAx val="49346569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57151</xdr:colOff>
          <xdr:row>0</xdr:row>
          <xdr:rowOff>104775</xdr:rowOff>
        </xdr:from>
        <xdr:to>
          <xdr:col>14</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2476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02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1943100</xdr:colOff>
          <xdr:row>0</xdr:row>
          <xdr:rowOff>152400</xdr:rowOff>
        </xdr:from>
        <xdr:to>
          <xdr:col>15</xdr:col>
          <xdr:colOff>942975</xdr:colOff>
          <xdr:row>1</xdr:row>
          <xdr:rowOff>123825</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019675" y="152400"/>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02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02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20</xdr:col>
      <xdr:colOff>942975</xdr:colOff>
      <xdr:row>2</xdr:row>
      <xdr:rowOff>38100</xdr:rowOff>
    </xdr:from>
    <xdr:to>
      <xdr:col>35</xdr:col>
      <xdr:colOff>1095375</xdr:colOff>
      <xdr:row>19</xdr:row>
      <xdr:rowOff>111900</xdr:rowOff>
    </xdr:to>
    <xdr:graphicFrame macro="">
      <xdr:nvGraphicFramePr>
        <xdr:cNvPr id="2" name="Chart 1">
          <a:extLst>
            <a:ext uri="{FF2B5EF4-FFF2-40B4-BE49-F238E27FC236}">
              <a16:creationId xmlns:a16="http://schemas.microsoft.com/office/drawing/2014/main" id="{9D51A4C1-AF6A-C713-155E-6B55BBCF3A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9525</xdr:colOff>
      <xdr:row>2</xdr:row>
      <xdr:rowOff>38099</xdr:rowOff>
    </xdr:from>
    <xdr:to>
      <xdr:col>20</xdr:col>
      <xdr:colOff>876300</xdr:colOff>
      <xdr:row>19</xdr:row>
      <xdr:rowOff>111899</xdr:rowOff>
    </xdr:to>
    <xdr:graphicFrame macro="">
      <xdr:nvGraphicFramePr>
        <xdr:cNvPr id="3" name="Chart 2">
          <a:extLst>
            <a:ext uri="{FF2B5EF4-FFF2-40B4-BE49-F238E27FC236}">
              <a16:creationId xmlns:a16="http://schemas.microsoft.com/office/drawing/2014/main" id="{5C129C20-6F47-463F-A4B4-65F2966470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30</xdr:col>
          <xdr:colOff>95250</xdr:colOff>
          <xdr:row>0</xdr:row>
          <xdr:rowOff>95250</xdr:rowOff>
        </xdr:from>
        <xdr:to>
          <xdr:col>31</xdr:col>
          <xdr:colOff>0</xdr:colOff>
          <xdr:row>1</xdr:row>
          <xdr:rowOff>66675</xdr:rowOff>
        </xdr:to>
        <xdr:sp macro="" textlink="">
          <xdr:nvSpPr>
            <xdr:cNvPr id="79893" name="Button 21" hidden="1">
              <a:extLst>
                <a:ext uri="{63B3BB69-23CF-44E3-9099-C40C66FF867C}">
                  <a14:compatExt spid="_x0000_s79893"/>
                </a:ext>
                <a:ext uri="{FF2B5EF4-FFF2-40B4-BE49-F238E27FC236}">
                  <a16:creationId xmlns:a16="http://schemas.microsoft.com/office/drawing/2014/main" id="{00000000-0008-0000-0200-000015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7569445" createdVersion="8" refreshedVersion="8" minRefreshableVersion="3" recordCount="6" xr:uid="{AE294356-17EC-43CD-A378-5934A4B0D78B}">
  <cacheSource type="worksheet">
    <worksheetSource name="Table_TSCD"/>
  </cacheSource>
  <cacheFields count="17">
    <cacheField name="Mã Tài sản" numFmtId="167">
      <sharedItems count="6">
        <s v="TS6"/>
        <s v="TS5"/>
        <s v="TS4"/>
        <s v="TS3"/>
        <s v="TS2"/>
        <s v="TS1"/>
      </sharedItems>
    </cacheField>
    <cacheField name="Tên tài sản" numFmtId="167">
      <sharedItems containsNonDate="0" containsString="0" containsBlank="1"/>
    </cacheField>
    <cacheField name="Chức năng" numFmtId="167">
      <sharedItems/>
    </cacheField>
    <cacheField name="Phân loại" numFmtId="167">
      <sharedItems count="6">
        <s v="Thương hiệu - Nhãn hiệu"/>
        <s v="Phần mềm - Tài sản số"/>
        <s v="Thiết bị - Dụng cụ quản lý"/>
        <s v="Phương tiện vận tải - truyền dẫn"/>
        <s v="Dây chuyền - Máy móc"/>
        <s v="Nhà cửa - Xây dựng"/>
      </sharedItems>
    </cacheField>
    <cacheField name="Giá trị sổ sách" numFmtId="164">
      <sharedItems containsSemiMixedTypes="0" containsString="0" containsNumber="1" containsInteger="1" minValue="25000000" maxValue="5000000000"/>
    </cacheField>
    <cacheField name="Ngày mua" numFmtId="165">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5">
      <sharedItems containsSemiMixedTypes="0" containsNonDate="0" containsDate="1" containsString="0" minDate="2023-03-12T00:00:00" maxDate="2024-04-19T00:00:00"/>
    </cacheField>
    <cacheField name="Ngày thanh lý" numFmtId="165">
      <sharedItems containsNonDate="0" containsString="0" containsBlank="1"/>
    </cacheField>
    <cacheField name="Ngày kết thúc" numFmtId="168">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Số ngày vận hành" numFmtId="0">
      <sharedItems containsSemiMixedTypes="0" containsString="0" containsNumber="1" containsInteger="1" minValue="405" maxValue="808"/>
    </cacheField>
    <cacheField name="Khấu hao lũy kế theo ngày" numFmtId="164">
      <sharedItems containsSemiMixedTypes="0" containsString="0" containsNumber="1" minValue="10700433.493041296" maxValue="431211498.97330594"/>
    </cacheField>
    <cacheField name="Tỷ lệ khấu hao" numFmtId="9">
      <sharedItems containsSemiMixedTypes="0" containsString="0" containsNumber="1" minValue="8.6242299794661192E-2" maxValue="0.42801733972165185"/>
    </cacheField>
    <cacheField name="Giá trị còn lại" numFmtId="164">
      <sharedItems containsSemiMixedTypes="0" containsString="0" containsNumber="1" minValue="14299566.506958704" maxValue="4568788501.0266943"/>
    </cacheField>
    <cacheField name="Số ngày còn lại" numFmtId="164">
      <sharedItems containsSemiMixedTypes="0" containsString="0" containsNumber="1" containsInteger="1" minValue="627" maxValue="832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8842592" createdVersion="8" refreshedVersion="8" minRefreshableVersion="3" recordCount="33" xr:uid="{DC2E6E0F-39ED-43B9-A74B-DFD99FEFE5ED}">
  <cacheSource type="worksheet">
    <worksheetSource name="Table_TSCD_KhauHao"/>
  </cacheSource>
  <cacheFields count="10">
    <cacheField name="Kỳ" numFmtId="165">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9"/>
    </cacheField>
    <cacheField name="Năm" numFmtId="167">
      <sharedItems containsSemiMixedTypes="0" containsString="0" containsNumber="1" containsInteger="1" minValue="2023" maxValue="2025"/>
    </cacheField>
    <cacheField name="Tháng" numFmtId="167">
      <sharedItems containsSemiMixedTypes="0" containsString="0" containsNumber="1" containsInteger="1" minValue="1" maxValue="12"/>
    </cacheField>
    <cacheField name="Khấu hao" numFmtId="167">
      <sharedItems containsSemiMixedTypes="0" containsString="0" containsNumber="1" minValue="10000000" maxValue="51111111.111111104"/>
    </cacheField>
    <cacheField name="Khấu hao sản xuất" numFmtId="167">
      <sharedItems containsSemiMixedTypes="0" containsString="0" containsNumber="1" minValue="10000000" maxValue="30833333.333333332"/>
    </cacheField>
    <cacheField name="Khấu hao bán hàng" numFmtId="167">
      <sharedItems containsSemiMixedTypes="0" containsString="0" containsNumber="1" minValue="0" maxValue="11250000"/>
    </cacheField>
    <cacheField name="Khấu hao quản lý" numFmtId="167">
      <sharedItems containsSemiMixedTypes="0" containsString="0" containsNumber="1" minValue="0" maxValue="9027777.777777778"/>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n v="350000000"/>
    <d v="2023-09-06T00:00:00"/>
    <n v="10"/>
    <n v="120"/>
    <d v="2023-09-06T00:00:00"/>
    <m/>
    <d v="2033-09-06T00:00:00"/>
    <n v="2916666.6666666665"/>
    <n v="630"/>
    <n v="60369609.856262833"/>
    <n v="0.17248459958932238"/>
    <n v="289630390.1437372"/>
    <n v="3023"/>
  </r>
  <r>
    <x v="1"/>
    <m/>
    <s v="Văn phòng"/>
    <x v="1"/>
    <n v="25000000"/>
    <d v="2024-02-14T00:00:00"/>
    <n v="3"/>
    <n v="36"/>
    <d v="2024-02-14T00:00:00"/>
    <m/>
    <d v="2027-02-14T00:00:00"/>
    <n v="694444.4444444445"/>
    <n v="469"/>
    <n v="10700433.493041296"/>
    <n v="0.42801733972165185"/>
    <n v="14299566.506958704"/>
    <n v="627"/>
  </r>
  <r>
    <x v="2"/>
    <m/>
    <s v="Văn phòng"/>
    <x v="2"/>
    <n v="500000000"/>
    <d v="2024-02-14T00:00:00"/>
    <n v="5"/>
    <n v="60"/>
    <d v="2024-04-18T00:00:00"/>
    <m/>
    <d v="2029-04-18T00:00:00"/>
    <n v="8333333.333333333"/>
    <n v="405"/>
    <n v="110882956.8788501"/>
    <n v="0.22176591375770022"/>
    <n v="389117043.1211499"/>
    <n v="1421"/>
  </r>
  <r>
    <x v="3"/>
    <m/>
    <s v="Bán hàng"/>
    <x v="3"/>
    <n v="1000000000"/>
    <d v="2023-10-24T00:00:00"/>
    <n v="10"/>
    <n v="120"/>
    <d v="2023-10-24T00:00:00"/>
    <m/>
    <d v="2033-10-24T00:00:00"/>
    <n v="8333333.333333333"/>
    <n v="582"/>
    <n v="159342915.81108829"/>
    <n v="0.15934291581108828"/>
    <n v="840657084.18891168"/>
    <n v="3071"/>
  </r>
  <r>
    <x v="4"/>
    <m/>
    <s v="Sản xuất"/>
    <x v="4"/>
    <n v="5000000000"/>
    <d v="2023-09-06T00:00:00"/>
    <n v="20"/>
    <n v="240"/>
    <d v="2023-09-06T00:00:00"/>
    <m/>
    <d v="2043-09-06T00:00:00"/>
    <n v="20833333.333333332"/>
    <n v="630"/>
    <n v="431211498.97330594"/>
    <n v="8.6242299794661192E-2"/>
    <n v="4568788501.0266943"/>
    <n v="6675"/>
  </r>
  <r>
    <x v="5"/>
    <m/>
    <s v="Sản xuất"/>
    <x v="5"/>
    <n v="3000000000"/>
    <d v="2023-03-12T00:00:00"/>
    <n v="25"/>
    <n v="300"/>
    <d v="2023-03-12T00:00:00"/>
    <m/>
    <d v="2048-03-11T00:00:00"/>
    <n v="10000000"/>
    <n v="808"/>
    <n v="265462012.32032856"/>
    <n v="8.8487337440109518E-2"/>
    <n v="2734537987.6796713"/>
    <n v="832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r>
  <r>
    <x v="1"/>
    <n v="2025"/>
    <n v="11"/>
    <n v="51111111.111111104"/>
    <n v="30833333.333333332"/>
    <n v="11250000"/>
    <n v="9027777.777777778"/>
  </r>
  <r>
    <x v="2"/>
    <n v="2025"/>
    <n v="10"/>
    <n v="51111111.111111104"/>
    <n v="30833333.333333332"/>
    <n v="11250000"/>
    <n v="9027777.777777778"/>
  </r>
  <r>
    <x v="3"/>
    <n v="2025"/>
    <n v="9"/>
    <n v="51111111.111111104"/>
    <n v="30833333.333333332"/>
    <n v="11250000"/>
    <n v="9027777.777777778"/>
  </r>
  <r>
    <x v="4"/>
    <n v="2025"/>
    <n v="8"/>
    <n v="51111111.111111104"/>
    <n v="30833333.333333332"/>
    <n v="11250000"/>
    <n v="9027777.777777778"/>
  </r>
  <r>
    <x v="5"/>
    <n v="2025"/>
    <n v="7"/>
    <n v="51111111.111111104"/>
    <n v="30833333.333333332"/>
    <n v="11250000"/>
    <n v="9027777.777777778"/>
  </r>
  <r>
    <x v="6"/>
    <n v="2025"/>
    <n v="6"/>
    <n v="51111111.111111104"/>
    <n v="30833333.333333332"/>
    <n v="11250000"/>
    <n v="9027777.777777778"/>
  </r>
  <r>
    <x v="7"/>
    <n v="2025"/>
    <n v="5"/>
    <n v="51111111.111111104"/>
    <n v="30833333.333333332"/>
    <n v="11250000"/>
    <n v="9027777.777777778"/>
  </r>
  <r>
    <x v="8"/>
    <n v="2025"/>
    <n v="4"/>
    <n v="51111111.111111104"/>
    <n v="30833333.333333332"/>
    <n v="11250000"/>
    <n v="9027777.777777778"/>
  </r>
  <r>
    <x v="9"/>
    <n v="2025"/>
    <n v="3"/>
    <n v="51111111.111111104"/>
    <n v="30833333.333333332"/>
    <n v="11250000"/>
    <n v="9027777.777777778"/>
  </r>
  <r>
    <x v="10"/>
    <n v="2025"/>
    <n v="2"/>
    <n v="51111111.111111104"/>
    <n v="30833333.333333332"/>
    <n v="11250000"/>
    <n v="9027777.777777778"/>
  </r>
  <r>
    <x v="11"/>
    <n v="2025"/>
    <n v="1"/>
    <n v="51111111.111111104"/>
    <n v="30833333.333333332"/>
    <n v="11250000"/>
    <n v="9027777.777777778"/>
  </r>
  <r>
    <x v="12"/>
    <n v="2024"/>
    <n v="12"/>
    <n v="51111111.111111104"/>
    <n v="30833333.333333332"/>
    <n v="11250000"/>
    <n v="9027777.777777778"/>
  </r>
  <r>
    <x v="13"/>
    <n v="2024"/>
    <n v="11"/>
    <n v="51111111.111111104"/>
    <n v="30833333.333333332"/>
    <n v="11250000"/>
    <n v="9027777.777777778"/>
  </r>
  <r>
    <x v="14"/>
    <n v="2024"/>
    <n v="10"/>
    <n v="51111111.111111104"/>
    <n v="30833333.333333332"/>
    <n v="11250000"/>
    <n v="9027777.777777778"/>
  </r>
  <r>
    <x v="15"/>
    <n v="2024"/>
    <n v="9"/>
    <n v="51111111.111111104"/>
    <n v="30833333.333333332"/>
    <n v="11250000"/>
    <n v="9027777.777777778"/>
  </r>
  <r>
    <x v="16"/>
    <n v="2024"/>
    <n v="8"/>
    <n v="51111111.111111104"/>
    <n v="30833333.333333332"/>
    <n v="11250000"/>
    <n v="9027777.777777778"/>
  </r>
  <r>
    <x v="17"/>
    <n v="2024"/>
    <n v="7"/>
    <n v="51111111.111111104"/>
    <n v="30833333.333333332"/>
    <n v="11250000"/>
    <n v="9027777.777777778"/>
  </r>
  <r>
    <x v="18"/>
    <n v="2024"/>
    <n v="6"/>
    <n v="51111111.111111104"/>
    <n v="30833333.333333332"/>
    <n v="11250000"/>
    <n v="9027777.777777778"/>
  </r>
  <r>
    <x v="19"/>
    <n v="2024"/>
    <n v="5"/>
    <n v="51111111.111111104"/>
    <n v="30833333.333333332"/>
    <n v="11250000"/>
    <n v="9027777.777777778"/>
  </r>
  <r>
    <x v="20"/>
    <n v="2024"/>
    <n v="4"/>
    <n v="42777777.777777776"/>
    <n v="30833333.333333332"/>
    <n v="11250000"/>
    <n v="694444.4444444445"/>
  </r>
  <r>
    <x v="21"/>
    <n v="2024"/>
    <n v="3"/>
    <n v="42777777.777777776"/>
    <n v="30833333.333333332"/>
    <n v="11250000"/>
    <n v="694444.4444444445"/>
  </r>
  <r>
    <x v="22"/>
    <n v="2024"/>
    <n v="2"/>
    <n v="42083333.333333328"/>
    <n v="30833333.333333332"/>
    <n v="11250000"/>
    <n v="0"/>
  </r>
  <r>
    <x v="23"/>
    <n v="2024"/>
    <n v="1"/>
    <n v="42083333.333333328"/>
    <n v="30833333.333333332"/>
    <n v="11250000"/>
    <n v="0"/>
  </r>
  <r>
    <x v="24"/>
    <n v="2023"/>
    <n v="12"/>
    <n v="42083333.333333328"/>
    <n v="30833333.333333332"/>
    <n v="11250000"/>
    <n v="0"/>
  </r>
  <r>
    <x v="25"/>
    <n v="2023"/>
    <n v="11"/>
    <n v="42083333.333333328"/>
    <n v="30833333.333333332"/>
    <n v="11250000"/>
    <n v="0"/>
  </r>
  <r>
    <x v="26"/>
    <n v="2023"/>
    <n v="10"/>
    <n v="33750000"/>
    <n v="30833333.333333332"/>
    <n v="2916666.6666666665"/>
    <n v="0"/>
  </r>
  <r>
    <x v="27"/>
    <n v="2023"/>
    <n v="9"/>
    <n v="10000000"/>
    <n v="10000000"/>
    <n v="0"/>
    <n v="0"/>
  </r>
  <r>
    <x v="28"/>
    <n v="2023"/>
    <n v="8"/>
    <n v="10000000"/>
    <n v="10000000"/>
    <n v="0"/>
    <n v="0"/>
  </r>
  <r>
    <x v="29"/>
    <n v="2023"/>
    <n v="7"/>
    <n v="10000000"/>
    <n v="10000000"/>
    <n v="0"/>
    <n v="0"/>
  </r>
  <r>
    <x v="30"/>
    <n v="2023"/>
    <n v="6"/>
    <n v="10000000"/>
    <n v="10000000"/>
    <n v="0"/>
    <n v="0"/>
  </r>
  <r>
    <x v="31"/>
    <n v="2023"/>
    <n v="5"/>
    <n v="10000000"/>
    <n v="10000000"/>
    <n v="0"/>
    <n v="0"/>
  </r>
  <r>
    <x v="32"/>
    <n v="2023"/>
    <n v="4"/>
    <n v="10000000"/>
    <n v="1000000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7747A8-7091-4994-97C5-02AB9D7C59C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H22:J35" firstHeaderRow="0" firstDataRow="1" firstDataCol="1"/>
  <pivotFields count="17">
    <pivotField axis="axisRow" showAll="0">
      <items count="7">
        <item x="5"/>
        <item x="4"/>
        <item x="3"/>
        <item x="2"/>
        <item x="1"/>
        <item x="0"/>
        <item t="default"/>
      </items>
    </pivotField>
    <pivotField showAll="0"/>
    <pivotField showAll="0"/>
    <pivotField axis="axisRow" showAll="0">
      <items count="7">
        <item x="4"/>
        <item x="5"/>
        <item x="1"/>
        <item x="3"/>
        <item x="2"/>
        <item x="0"/>
        <item t="default"/>
      </items>
    </pivotField>
    <pivotField numFmtId="164" showAll="0"/>
    <pivotField numFmtId="165" showAll="0"/>
    <pivotField numFmtId="164" showAll="0"/>
    <pivotField numFmtId="164" showAll="0"/>
    <pivotField numFmtId="165" showAll="0"/>
    <pivotField showAll="0"/>
    <pivotField numFmtId="168" showAll="0"/>
    <pivotField numFmtId="164" showAll="0"/>
    <pivotField showAll="0"/>
    <pivotField dataField="1" showAll="0"/>
    <pivotField dataField="1" numFmtId="9" showAll="0"/>
    <pivotField showAll="0"/>
    <pivotField numFmtId="164" showAll="0"/>
  </pivotFields>
  <rowFields count="2">
    <field x="0"/>
    <field x="3"/>
  </rowFields>
  <rowItems count="13">
    <i>
      <x/>
    </i>
    <i r="1">
      <x v="1"/>
    </i>
    <i>
      <x v="1"/>
    </i>
    <i r="1">
      <x/>
    </i>
    <i>
      <x v="2"/>
    </i>
    <i r="1">
      <x v="3"/>
    </i>
    <i>
      <x v="3"/>
    </i>
    <i r="1">
      <x v="4"/>
    </i>
    <i>
      <x v="4"/>
    </i>
    <i r="1">
      <x v="2"/>
    </i>
    <i>
      <x v="5"/>
    </i>
    <i r="1">
      <x v="5"/>
    </i>
    <i t="grand">
      <x/>
    </i>
  </rowItems>
  <colFields count="1">
    <field x="-2"/>
  </colFields>
  <colItems count="2">
    <i>
      <x/>
    </i>
    <i i="1">
      <x v="1"/>
    </i>
  </colItems>
  <dataFields count="2">
    <dataField name="Khấu hao lũy kế" fld="13" baseField="0" baseItem="0"/>
    <dataField name="Tỷ lệ" fld="14" baseField="0" baseItem="0" numFmtId="9"/>
  </dataFields>
  <chartFormats count="2">
    <chartFormat chart="0" format="2"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230C53-3427-4D11-B49C-85592412CC92}"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2:F67" firstHeaderRow="0" firstDataRow="1" firstDataCol="1"/>
  <pivotFields count="10">
    <pivotField axis="axisRow" numFmtId="165"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7" showAll="0"/>
    <pivotField numFmtId="167" showAll="0"/>
    <pivotField dataField="1" numFmtId="167" showAll="0"/>
    <pivotField dataField="1" numFmtId="167" showAll="0"/>
    <pivotField dataField="1" numFmtId="167" showAll="0"/>
    <pivotField dataField="1" numFmtId="167" showAll="0"/>
    <pivotField name="Tháng " axis="axisRow"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h="1" x="0"/>
        <item x="1"/>
        <item x="2"/>
        <item h="1" x="3"/>
        <item h="1" x="4"/>
        <item t="default"/>
      </items>
    </pivotField>
  </pivotFields>
  <rowFields count="3">
    <field x="9"/>
    <field x="7"/>
    <field x="0"/>
  </rowFields>
  <rowItems count="45">
    <i>
      <x v="1"/>
    </i>
    <i r="1">
      <x v="4"/>
    </i>
    <i r="2">
      <x/>
    </i>
    <i r="1">
      <x v="5"/>
    </i>
    <i r="2">
      <x v="1"/>
    </i>
    <i r="1">
      <x v="6"/>
    </i>
    <i r="2">
      <x v="2"/>
    </i>
    <i r="1">
      <x v="7"/>
    </i>
    <i r="2">
      <x v="3"/>
    </i>
    <i r="1">
      <x v="8"/>
    </i>
    <i r="2">
      <x v="4"/>
    </i>
    <i r="1">
      <x v="9"/>
    </i>
    <i r="2">
      <x v="5"/>
    </i>
    <i r="1">
      <x v="10"/>
    </i>
    <i r="2">
      <x v="6"/>
    </i>
    <i r="1">
      <x v="11"/>
    </i>
    <i r="2">
      <x v="7"/>
    </i>
    <i r="1">
      <x v="12"/>
    </i>
    <i r="2">
      <x v="8"/>
    </i>
    <i>
      <x v="2"/>
    </i>
    <i r="1">
      <x v="1"/>
    </i>
    <i r="2">
      <x v="9"/>
    </i>
    <i r="1">
      <x v="2"/>
    </i>
    <i r="2">
      <x v="10"/>
    </i>
    <i r="1">
      <x v="3"/>
    </i>
    <i r="2">
      <x v="11"/>
    </i>
    <i r="1">
      <x v="4"/>
    </i>
    <i r="2">
      <x v="12"/>
    </i>
    <i r="1">
      <x v="5"/>
    </i>
    <i r="2">
      <x v="13"/>
    </i>
    <i r="1">
      <x v="6"/>
    </i>
    <i r="2">
      <x v="14"/>
    </i>
    <i r="1">
      <x v="7"/>
    </i>
    <i r="2">
      <x v="15"/>
    </i>
    <i r="1">
      <x v="8"/>
    </i>
    <i r="2">
      <x v="16"/>
    </i>
    <i r="1">
      <x v="9"/>
    </i>
    <i r="2">
      <x v="17"/>
    </i>
    <i r="1">
      <x v="10"/>
    </i>
    <i r="2">
      <x v="18"/>
    </i>
    <i r="1">
      <x v="11"/>
    </i>
    <i r="2">
      <x v="19"/>
    </i>
    <i r="1">
      <x v="12"/>
    </i>
    <i r="2">
      <x v="20"/>
    </i>
    <i t="grand">
      <x/>
    </i>
  </rowItems>
  <colFields count="1">
    <field x="-2"/>
  </colFields>
  <colItems count="4">
    <i>
      <x/>
    </i>
    <i i="1">
      <x v="1"/>
    </i>
    <i i="2">
      <x v="2"/>
    </i>
    <i i="3">
      <x v="3"/>
    </i>
  </colItems>
  <dataFields count="4">
    <dataField name="Tổng" fld="3" baseField="0" baseItem="7" numFmtId="167"/>
    <dataField name="Sản xuất" fld="4" baseField="0" baseItem="7" numFmtId="167"/>
    <dataField name="Bán hàng" fld="5" baseField="0" baseItem="7" numFmtId="167"/>
    <dataField name="Quản lý" fld="6" baseField="0" baseItem="7" numFmtId="167"/>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L22:AB28" totalsRowShown="0" headerRowDxfId="27" dataDxfId="26">
  <autoFilter ref="L22:AB28" xr:uid="{40AFBD15-C3DB-4B1A-A7ED-68DC4F48A342}"/>
  <tableColumns count="17">
    <tableColumn id="1" xr3:uid="{A47B5657-C017-4789-8658-5878F1E279FC}" name="Mã Tài sản" dataDxfId="25"/>
    <tableColumn id="12" xr3:uid="{6EEF3686-9329-4F08-B3CD-EA296F7F9C7B}" name="Tên tài sản" dataDxfId="24"/>
    <tableColumn id="2" xr3:uid="{4F42ED11-12D7-40D8-B475-C321101CBE70}" name="Chức năng" dataDxfId="23"/>
    <tableColumn id="18" xr3:uid="{7C7701C7-1751-4E95-9C28-B86A2A873F7A}" name="Phân loại" dataDxfId="22"/>
    <tableColumn id="7" xr3:uid="{EB0326DA-5004-47BD-903B-08B8745AEC52}" name="Giá trị sổ sách" dataDxfId="21" dataCellStyle="Comma"/>
    <tableColumn id="9" xr3:uid="{F17E30ED-4447-4BC1-AC59-9DECB27CE82F}" name="Ngày mua" dataDxfId="20"/>
    <tableColumn id="3" xr3:uid="{367D1F63-7B9D-4BD0-908B-ED95605B8762}" name="Năm khấu hao" dataDxfId="19" dataCellStyle="Comma"/>
    <tableColumn id="4" xr3:uid="{DAEEE6C4-A0AA-484E-B5B8-9797AC6DD237}" name="Tháng khấu hao" dataDxfId="18" dataCellStyle="Comma">
      <calculatedColumnFormula>Table_TSCD[[#This Row],[Năm khấu hao]]*12</calculatedColumnFormula>
    </tableColumn>
    <tableColumn id="5" xr3:uid="{07F00AC5-E602-4A83-B7F0-0D26923028DF}" name="Ngày vận hành" dataDxfId="17"/>
    <tableColumn id="10" xr3:uid="{0433B6A4-1457-4046-8C56-89725B66D191}" name="Ngày thanh lý" dataDxfId="16"/>
    <tableColumn id="6" xr3:uid="{16F64D22-997F-4AD6-BAD5-FC61B6F5356C}" name="Ngày kết thúc" dataDxfId="15">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4" dataCellStyle="Comma">
      <calculatedColumnFormula>IFERROR(
Table_TSCD[[#This Row],[Giá trị sổ sách]]/Table_TSCD[[#This Row],[Tháng khấu hao]],
0)</calculatedColumnFormula>
    </tableColumn>
    <tableColumn id="11" xr3:uid="{8554A1C4-950F-4012-9360-4AF5E93756FF}" name="Số ngày vận hành" dataDxfId="13">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13" xr3:uid="{B1008A47-E148-48E9-A70E-2D0E9E61782D}" name="Khấu hao lũy kế theo ngày" dataDxfId="12" dataCellStyle="Comma">
      <calculatedColumnFormula>MIN(Table_TSCD[[#Headers],[Giá trị sổ sách]],Table_TSCD[[#This Row],[Giá trị sổ sách]]/(Table_TSCD[[#This Row],[Tháng khấu hao]]*365.25/12)*Table_TSCD[[#This Row],[Số ngày vận hành]])</calculatedColumnFormula>
    </tableColumn>
    <tableColumn id="15" xr3:uid="{5B2E2F69-C917-4CDD-BB6E-4709A336078A}" name="Tỷ lệ khấu hao" dataDxfId="11" dataCellStyle="Percent">
      <calculatedColumnFormula>Table_TSCD[[#This Row],[Khấu hao lũy kế theo ngày]]/Table_TSCD[[#This Row],[Giá trị sổ sách]]</calculatedColumnFormula>
    </tableColumn>
    <tableColumn id="14" xr3:uid="{FCF8F924-3A71-41AB-BA3C-E251E7AACDF3}" name="Giá trị còn lại" dataDxfId="10" dataCellStyle="Comma">
      <calculatedColumnFormula>Table_TSCD[[#This Row],[Giá trị sổ sách]]-Table_TSCD[[#This Row],[Khấu hao lũy kế theo ngày]]</calculatedColumnFormula>
    </tableColumn>
    <tableColumn id="16" xr3:uid="{04AA33BC-328B-48C1-8CFF-0759927E1E9D}" name="Số ngày còn lại" dataDxfId="9" dataCellStyle="Comma">
      <calculatedColumnFormula>MAX(0,IF(ISBLANK(Table_TSCD[[#This Row],[Ngày vận hành]]),0,
IF(ISBLANK(Table_TSCD[[#This Row],[Ngày thanh lý]]),
Table_TSCD[[#This Row],[Ngày kết thúc]]-TODAY(),0
)))</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AD22:AJ55" totalsRowShown="0" headerRowDxfId="8" dataDxfId="7">
  <autoFilter ref="AD22:AJ55" xr:uid="{6905FFE6-DD04-489C-AD09-289D17B2B7B7}"/>
  <tableColumns count="7">
    <tableColumn id="1" xr3:uid="{CF77CA6B-7F51-408D-A6D8-2230BBD9B50E}" name="Kỳ" dataDxfId="6">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
    <tableColumn id="3" xr3:uid="{286D597C-B3D6-4957-9F67-8DE9ED9415FC}" name="Tháng" dataDxfId="4"/>
    <tableColumn id="5" xr3:uid="{10132119-7E6F-4E94-A296-34C544489582}" name="Khấu hao" dataDxfId="3">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2"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1"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0"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39</v>
      </c>
      <c r="B1" s="14" t="s">
        <v>12</v>
      </c>
      <c r="C1" s="15" t="s">
        <v>13</v>
      </c>
      <c r="D1" s="17" t="s">
        <v>40</v>
      </c>
      <c r="E1" s="17" t="s">
        <v>41</v>
      </c>
      <c r="F1" s="13" t="s">
        <v>42</v>
      </c>
      <c r="G1" s="16" t="s">
        <v>43</v>
      </c>
      <c r="H1" s="13" t="s">
        <v>44</v>
      </c>
      <c r="I1" s="13" t="s">
        <v>45</v>
      </c>
      <c r="J1" s="16" t="s">
        <v>46</v>
      </c>
      <c r="K1" s="16" t="s">
        <v>47</v>
      </c>
      <c r="L1" s="16" t="s">
        <v>48</v>
      </c>
      <c r="M1" s="16" t="s">
        <v>49</v>
      </c>
      <c r="N1" s="27"/>
      <c r="O1" s="27"/>
      <c r="P1" s="27"/>
      <c r="Q1" s="27"/>
      <c r="R1" s="27"/>
      <c r="S1" s="27"/>
      <c r="T1" s="27"/>
      <c r="U1" s="27"/>
      <c r="V1" s="27"/>
      <c r="W1" s="27"/>
      <c r="X1" s="27"/>
      <c r="Y1" s="27"/>
      <c r="Z1" s="6" t="s">
        <v>51</v>
      </c>
    </row>
    <row r="2" spans="1:26" x14ac:dyDescent="0.3">
      <c r="A2" s="27"/>
      <c r="B2" s="6" t="s">
        <v>107</v>
      </c>
      <c r="C2" s="6" t="s">
        <v>108</v>
      </c>
      <c r="D2" s="18">
        <v>45785</v>
      </c>
      <c r="E2" s="18">
        <v>46150</v>
      </c>
      <c r="F2" s="27">
        <v>365</v>
      </c>
      <c r="G2" s="6" t="s">
        <v>56</v>
      </c>
      <c r="H2" s="27"/>
      <c r="I2" s="27"/>
      <c r="J2" s="27"/>
      <c r="K2" s="27"/>
      <c r="L2" s="27"/>
      <c r="M2" s="27"/>
      <c r="N2" s="27"/>
      <c r="O2" s="27"/>
      <c r="P2" s="27"/>
      <c r="Q2" s="27"/>
      <c r="R2" s="27"/>
      <c r="S2" s="27"/>
      <c r="T2" s="27"/>
      <c r="U2" s="27"/>
      <c r="V2" s="27"/>
      <c r="W2" s="27"/>
      <c r="X2" s="27"/>
      <c r="Y2" s="27"/>
      <c r="Z2" s="27"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9" sqref="G9"/>
    </sheetView>
  </sheetViews>
  <sheetFormatPr defaultRowHeight="16.5" x14ac:dyDescent="0.3"/>
  <cols>
    <col min="1" max="1" width="11.625" style="8" bestFit="1" customWidth="1"/>
    <col min="2" max="16384" width="9" style="8"/>
  </cols>
  <sheetData>
    <row r="1" spans="1:12" x14ac:dyDescent="0.3">
      <c r="K1" s="49">
        <v>1</v>
      </c>
      <c r="L1" s="49" t="s">
        <v>110</v>
      </c>
    </row>
    <row r="2" spans="1:12" x14ac:dyDescent="0.3">
      <c r="A2" s="8" t="s">
        <v>109</v>
      </c>
      <c r="L2" s="49" t="s">
        <v>111</v>
      </c>
    </row>
    <row r="3" spans="1:12" x14ac:dyDescent="0.3">
      <c r="L3" s="49" t="s">
        <v>112</v>
      </c>
    </row>
    <row r="4" spans="1:12" ht="37.5" x14ac:dyDescent="0.3">
      <c r="A4" s="11" t="s">
        <v>3</v>
      </c>
      <c r="B4" s="11" t="s">
        <v>4</v>
      </c>
      <c r="L4" s="49" t="s">
        <v>113</v>
      </c>
    </row>
    <row r="5" spans="1:12" ht="17.25" x14ac:dyDescent="0.3">
      <c r="A5" s="22"/>
      <c r="B5" s="19" t="s">
        <v>57</v>
      </c>
      <c r="L5" s="49" t="s">
        <v>114</v>
      </c>
    </row>
    <row r="6" spans="1:12" ht="17.25" x14ac:dyDescent="0.3">
      <c r="A6" s="22"/>
      <c r="B6" s="19" t="s">
        <v>50</v>
      </c>
    </row>
    <row r="7" spans="1:12" ht="17.25" x14ac:dyDescent="0.3">
      <c r="A7" s="22"/>
      <c r="B7" s="19" t="s">
        <v>58</v>
      </c>
    </row>
    <row r="8" spans="1:12" ht="17.25" x14ac:dyDescent="0.3">
      <c r="A8" s="22"/>
      <c r="B8" s="19" t="s">
        <v>59</v>
      </c>
    </row>
    <row r="9" spans="1:12" ht="17.25" x14ac:dyDescent="0.3">
      <c r="A9" s="22"/>
      <c r="B9" s="20" t="s">
        <v>60</v>
      </c>
    </row>
    <row r="10" spans="1:12" x14ac:dyDescent="0.3">
      <c r="A10" s="22"/>
      <c r="B10" s="22"/>
    </row>
    <row r="11" spans="1:12" ht="37.5" x14ac:dyDescent="0.3">
      <c r="A11" s="11" t="s">
        <v>10</v>
      </c>
      <c r="B11" s="11" t="s">
        <v>11</v>
      </c>
    </row>
    <row r="12" spans="1:12" x14ac:dyDescent="0.3">
      <c r="A12" s="12" t="s">
        <v>12</v>
      </c>
      <c r="B12" s="8" t="s">
        <v>107</v>
      </c>
    </row>
    <row r="13" spans="1:12" x14ac:dyDescent="0.3">
      <c r="A13" s="12" t="s">
        <v>13</v>
      </c>
      <c r="B13" s="8" t="s">
        <v>108</v>
      </c>
    </row>
    <row r="14" spans="1:12" ht="17.25" x14ac:dyDescent="0.3">
      <c r="A14" s="22"/>
      <c r="B14" s="9" t="s">
        <v>5</v>
      </c>
    </row>
    <row r="15" spans="1:12" ht="17.25" x14ac:dyDescent="0.3">
      <c r="A15" s="22"/>
      <c r="B15" s="9" t="s">
        <v>6</v>
      </c>
    </row>
    <row r="16" spans="1: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9" tint="0.79998168889431442"/>
  </sheetPr>
  <dimension ref="A1:AJ67"/>
  <sheetViews>
    <sheetView showGridLines="0" zoomScaleNormal="100" workbookViewId="0">
      <selection activeCell="P32" sqref="P32"/>
    </sheetView>
  </sheetViews>
  <sheetFormatPr defaultRowHeight="18" customHeight="1" outlineLevelRow="1" outlineLevelCol="1" x14ac:dyDescent="0.3"/>
  <cols>
    <col min="1" max="1" width="1.25" style="1" customWidth="1"/>
    <col min="2" max="2" width="13.75" style="1" hidden="1" customWidth="1" outlineLevel="1"/>
    <col min="3" max="3" width="13" style="1" hidden="1" customWidth="1" outlineLevel="1"/>
    <col min="4" max="4" width="13.625" style="1" hidden="1" customWidth="1" outlineLevel="1"/>
    <col min="5" max="5" width="13.25" style="1" hidden="1" customWidth="1" outlineLevel="1"/>
    <col min="6" max="6" width="10.875" style="1" hidden="1" customWidth="1" outlineLevel="1"/>
    <col min="7" max="7" width="1.25" style="1" hidden="1" customWidth="1" outlineLevel="1"/>
    <col min="8" max="8" width="30.375" style="1" hidden="1" customWidth="1" outlineLevel="1"/>
    <col min="9" max="9" width="15.5" style="1" hidden="1" customWidth="1" outlineLevel="1"/>
    <col min="10" max="10" width="5.5" style="1" hidden="1" customWidth="1" outlineLevel="1"/>
    <col min="11" max="11" width="1.25" style="1" customWidth="1" collapsed="1"/>
    <col min="12" max="12" width="10.125" style="1" bestFit="1" customWidth="1"/>
    <col min="13" max="13" width="15.5" style="1" bestFit="1" customWidth="1"/>
    <col min="14" max="14" width="12.25" style="1" customWidth="1"/>
    <col min="15" max="15" width="26.125" style="1" customWidth="1"/>
    <col min="16" max="16" width="12.5" style="5" bestFit="1" customWidth="1"/>
    <col min="17" max="17" width="9.75" style="1" bestFit="1" customWidth="1"/>
    <col min="18" max="18" width="12.75" style="1" bestFit="1" customWidth="1"/>
    <col min="19" max="19" width="12.75" style="1" hidden="1" customWidth="1" outlineLevel="1"/>
    <col min="20" max="20" width="13.875" style="1" customWidth="1" collapsed="1"/>
    <col min="21" max="21" width="13.125" style="1" bestFit="1" customWidth="1"/>
    <col min="22" max="22" width="12.375" style="1" hidden="1" customWidth="1" outlineLevel="1"/>
    <col min="23" max="23" width="17.75" style="1" hidden="1" customWidth="1" outlineLevel="1"/>
    <col min="24" max="24" width="15.125" style="1" hidden="1" customWidth="1" outlineLevel="1"/>
    <col min="25" max="25" width="21.5" style="1" hidden="1" customWidth="1" outlineLevel="1"/>
    <col min="26" max="26" width="13" style="1" hidden="1" customWidth="1" outlineLevel="1"/>
    <col min="27" max="28" width="12" style="1" hidden="1" customWidth="1" outlineLevel="1"/>
    <col min="29" max="29" width="1.25" style="1" customWidth="1" collapsed="1"/>
    <col min="30" max="32" width="9" style="1"/>
    <col min="33" max="33" width="9.25" style="1" bestFit="1" customWidth="1"/>
    <col min="34" max="34" width="15.5" style="1" bestFit="1" customWidth="1"/>
    <col min="35" max="35" width="16.25" style="1" bestFit="1" customWidth="1"/>
    <col min="36" max="36" width="14.75" style="1" bestFit="1" customWidth="1"/>
    <col min="37" max="16384" width="9" style="1"/>
  </cols>
  <sheetData>
    <row r="1" spans="1:29" s="32" customFormat="1" ht="22.5" customHeight="1" x14ac:dyDescent="0.3">
      <c r="A1" s="31">
        <v>0</v>
      </c>
      <c r="G1" s="31">
        <v>0</v>
      </c>
      <c r="K1" s="31">
        <v>0</v>
      </c>
      <c r="L1" s="31">
        <f t="shared" ref="L1:W1" si="0">+K1+1</f>
        <v>1</v>
      </c>
      <c r="M1" s="31">
        <f t="shared" si="0"/>
        <v>2</v>
      </c>
      <c r="N1" s="31">
        <f t="shared" si="0"/>
        <v>3</v>
      </c>
      <c r="O1" s="31">
        <f t="shared" si="0"/>
        <v>4</v>
      </c>
      <c r="P1" s="31" t="e">
        <f>+#REF!+1</f>
        <v>#REF!</v>
      </c>
      <c r="Q1" s="31" t="e">
        <f t="shared" si="0"/>
        <v>#REF!</v>
      </c>
      <c r="R1" s="31" t="e">
        <f t="shared" si="0"/>
        <v>#REF!</v>
      </c>
      <c r="S1" s="31" t="e">
        <f t="shared" si="0"/>
        <v>#REF!</v>
      </c>
      <c r="T1" s="31" t="e">
        <f t="shared" si="0"/>
        <v>#REF!</v>
      </c>
      <c r="U1" s="31" t="e">
        <f t="shared" si="0"/>
        <v>#REF!</v>
      </c>
      <c r="V1" s="31" t="e">
        <f>+U1+1</f>
        <v>#REF!</v>
      </c>
      <c r="W1" s="31" t="e">
        <f t="shared" si="0"/>
        <v>#REF!</v>
      </c>
      <c r="X1" s="31"/>
      <c r="Y1" s="31"/>
      <c r="Z1" s="31"/>
      <c r="AA1" s="31"/>
      <c r="AB1" s="31"/>
      <c r="AC1" s="31">
        <v>0</v>
      </c>
    </row>
    <row r="2" spans="1:29" s="7" customFormat="1" ht="18" customHeight="1" x14ac:dyDescent="0.3">
      <c r="A2" s="30"/>
      <c r="G2" s="30"/>
      <c r="K2" s="30"/>
      <c r="L2" s="30"/>
      <c r="M2" s="30"/>
      <c r="N2" s="30"/>
      <c r="O2" s="30"/>
      <c r="P2" s="30"/>
      <c r="Q2" s="30"/>
      <c r="R2" s="30"/>
      <c r="S2" s="30"/>
      <c r="T2" s="30"/>
      <c r="U2" s="30"/>
      <c r="V2" s="30"/>
      <c r="W2" s="30"/>
      <c r="X2" s="30"/>
      <c r="Y2" s="30"/>
      <c r="Z2" s="30"/>
      <c r="AA2" s="30"/>
      <c r="AB2" s="30"/>
      <c r="AC2" s="30"/>
    </row>
    <row r="3" spans="1:29" s="7" customFormat="1" ht="18" customHeight="1" outlineLevel="1" x14ac:dyDescent="0.3">
      <c r="A3" s="30"/>
      <c r="G3" s="30"/>
      <c r="K3" s="30"/>
      <c r="L3" s="30"/>
      <c r="M3" s="30"/>
      <c r="N3" s="30"/>
      <c r="O3" s="30"/>
      <c r="P3" s="30"/>
      <c r="Q3" s="30"/>
      <c r="R3" s="30"/>
      <c r="S3" s="30"/>
      <c r="T3" s="30"/>
      <c r="U3" s="30"/>
      <c r="V3" s="30"/>
      <c r="W3" s="30"/>
      <c r="X3" s="30"/>
      <c r="Y3" s="30"/>
      <c r="Z3" s="30"/>
      <c r="AA3" s="30"/>
      <c r="AB3" s="30"/>
      <c r="AC3" s="30"/>
    </row>
    <row r="4" spans="1:29" s="7" customFormat="1" ht="18" customHeight="1" outlineLevel="1" x14ac:dyDescent="0.3">
      <c r="A4" s="30"/>
      <c r="G4" s="30"/>
      <c r="K4" s="30"/>
      <c r="L4" s="30"/>
      <c r="M4" s="30"/>
      <c r="N4" s="30"/>
      <c r="O4" s="30"/>
      <c r="P4" s="30"/>
      <c r="Q4" s="30"/>
      <c r="R4" s="30"/>
      <c r="S4" s="30"/>
      <c r="T4" s="30"/>
      <c r="U4" s="30"/>
      <c r="V4" s="30"/>
      <c r="W4" s="30"/>
      <c r="X4" s="30"/>
      <c r="Y4" s="30"/>
      <c r="Z4" s="30"/>
      <c r="AA4" s="30"/>
      <c r="AB4" s="30"/>
      <c r="AC4" s="30"/>
    </row>
    <row r="5" spans="1:29" s="7" customFormat="1" ht="18" customHeight="1" outlineLevel="1" x14ac:dyDescent="0.3">
      <c r="A5" s="30"/>
      <c r="G5" s="30"/>
      <c r="K5" s="30"/>
      <c r="L5" s="42" t="s">
        <v>95</v>
      </c>
      <c r="M5" s="30"/>
      <c r="N5" s="30"/>
      <c r="O5" s="43" cm="1">
        <f t="array" aca="1" ref="O5" ca="1" xml:space="preserve">
IFERROR(
SUM(_xlfn._xlws.FILTER(Table_TSCD_KhauHao[Khấu hao],
(Table_TSCD_KhauHao[Năm] = YEAR(TODAY()))*
(Table_TSCD_KhauHao[Tháng] = MONTH(TODAY()))
)),0)</f>
        <v>51111111.111111104</v>
      </c>
      <c r="P5" s="30"/>
      <c r="Q5" s="30"/>
      <c r="R5" s="30"/>
      <c r="S5" s="30"/>
      <c r="T5" s="30"/>
      <c r="U5" s="30"/>
      <c r="V5" s="30"/>
      <c r="W5" s="30"/>
      <c r="X5" s="30"/>
      <c r="Y5" s="30"/>
      <c r="Z5" s="30"/>
      <c r="AA5" s="30"/>
      <c r="AB5" s="30"/>
      <c r="AC5" s="30"/>
    </row>
    <row r="6" spans="1:29" s="7" customFormat="1" ht="18" customHeight="1" outlineLevel="1" x14ac:dyDescent="0.3">
      <c r="A6" s="30"/>
      <c r="B6" s="7" t="s">
        <v>19</v>
      </c>
      <c r="G6" s="30"/>
      <c r="K6" s="30"/>
      <c r="P6" s="30"/>
      <c r="Q6" s="30"/>
      <c r="R6" s="30"/>
      <c r="S6" s="30"/>
      <c r="T6" s="30"/>
      <c r="U6" s="30"/>
      <c r="V6" s="30"/>
      <c r="W6" s="30"/>
      <c r="X6" s="30"/>
      <c r="Y6" s="30"/>
      <c r="Z6" s="30"/>
      <c r="AA6" s="30"/>
      <c r="AB6" s="30"/>
      <c r="AC6" s="30"/>
    </row>
    <row r="7" spans="1:29" s="7" customFormat="1" ht="18" customHeight="1" outlineLevel="1" x14ac:dyDescent="0.3">
      <c r="A7" s="30"/>
      <c r="B7" s="7" t="s">
        <v>20</v>
      </c>
      <c r="G7" s="30"/>
      <c r="K7" s="30"/>
      <c r="L7" s="42" t="s">
        <v>96</v>
      </c>
      <c r="M7" s="30"/>
      <c r="N7" s="30"/>
      <c r="P7" s="30"/>
      <c r="Q7" s="30"/>
      <c r="R7" s="30"/>
      <c r="S7" s="30"/>
      <c r="T7" s="30"/>
      <c r="U7" s="30"/>
      <c r="V7" s="30"/>
      <c r="W7" s="30"/>
      <c r="X7" s="30"/>
      <c r="Y7" s="30"/>
      <c r="Z7" s="30"/>
      <c r="AA7" s="30"/>
      <c r="AB7" s="30"/>
      <c r="AC7" s="30"/>
    </row>
    <row r="8" spans="1:29" s="7" customFormat="1" ht="18" customHeight="1" outlineLevel="1" x14ac:dyDescent="0.3">
      <c r="A8" s="30"/>
      <c r="B8" s="7" t="s">
        <v>21</v>
      </c>
      <c r="G8" s="30"/>
      <c r="K8" s="30"/>
      <c r="L8" s="42" t="s">
        <v>97</v>
      </c>
      <c r="M8" s="30"/>
      <c r="N8" s="44">
        <f ca="1">O8/$O$5</f>
        <v>0.60326086956521741</v>
      </c>
      <c r="O8" s="43" cm="1">
        <f t="array" aca="1" ref="O8" ca="1" xml:space="preserve">
IFERROR(
SUM(_xlfn._xlws.FILTER(Table_TSCD_KhauHao[Khấu hao sản xuất],
(Table_TSCD_KhauHao[Năm] = YEAR(TODAY()))*
(Table_TSCD_KhauHao[Tháng] = MONTH(TODAY()))
)),0)</f>
        <v>30833333.333333332</v>
      </c>
      <c r="P8" s="30"/>
      <c r="Q8" s="30"/>
      <c r="R8" s="30"/>
      <c r="S8" s="30"/>
      <c r="T8" s="30"/>
      <c r="U8" s="30"/>
      <c r="V8" s="30"/>
      <c r="W8" s="30"/>
      <c r="X8" s="30"/>
      <c r="Y8" s="30"/>
      <c r="Z8" s="30"/>
      <c r="AA8" s="30"/>
      <c r="AB8" s="30"/>
      <c r="AC8" s="30"/>
    </row>
    <row r="9" spans="1:29" s="7" customFormat="1" ht="18" customHeight="1" outlineLevel="1" x14ac:dyDescent="0.3">
      <c r="A9" s="30"/>
      <c r="B9" s="7" t="s">
        <v>22</v>
      </c>
      <c r="G9" s="30"/>
      <c r="K9" s="30"/>
      <c r="L9" s="42" t="s">
        <v>98</v>
      </c>
      <c r="M9" s="30"/>
      <c r="N9" s="44">
        <f ca="1">O9/$O$5</f>
        <v>0.22010869565217395</v>
      </c>
      <c r="O9" s="43" cm="1">
        <f t="array" aca="1" ref="O9" ca="1" xml:space="preserve">
IFERROR(
SUM(_xlfn._xlws.FILTER(Table_TSCD_KhauHao[Khấu hao bán hàng],
(Table_TSCD_KhauHao[Năm] = YEAR(TODAY()))*
(Table_TSCD_KhauHao[Tháng] = MONTH(TODAY()))
)),0)</f>
        <v>11250000</v>
      </c>
      <c r="P9" s="30"/>
      <c r="Q9" s="30"/>
      <c r="R9" s="30"/>
      <c r="S9" s="30"/>
      <c r="T9" s="30"/>
      <c r="U9" s="30"/>
      <c r="V9" s="30"/>
      <c r="W9" s="30"/>
      <c r="X9" s="30"/>
      <c r="Y9" s="30"/>
      <c r="Z9" s="30"/>
      <c r="AA9" s="30"/>
      <c r="AB9" s="30"/>
      <c r="AC9" s="30"/>
    </row>
    <row r="10" spans="1:29" s="7" customFormat="1" ht="18" customHeight="1" outlineLevel="1" x14ac:dyDescent="0.3">
      <c r="A10" s="30"/>
      <c r="B10" s="7" t="s">
        <v>23</v>
      </c>
      <c r="G10" s="30"/>
      <c r="K10" s="30"/>
      <c r="L10" s="42" t="s">
        <v>99</v>
      </c>
      <c r="M10" s="30"/>
      <c r="N10" s="44">
        <f ca="1">O10/$O$5</f>
        <v>0.17663043478260873</v>
      </c>
      <c r="O10" s="43" cm="1">
        <f t="array" aca="1" ref="O10" ca="1" xml:space="preserve">
IFERROR(
SUM(_xlfn._xlws.FILTER(Table_TSCD_KhauHao[Khấu hao quản lý],
(Table_TSCD_KhauHao[Năm] = YEAR(TODAY()))*
(Table_TSCD_KhauHao[Tháng] = MONTH(TODAY()))
)),0)</f>
        <v>9027777.777777778</v>
      </c>
      <c r="P10" s="30"/>
      <c r="Q10" s="30"/>
      <c r="R10" s="30"/>
      <c r="S10" s="30"/>
      <c r="T10" s="30"/>
      <c r="U10" s="30"/>
      <c r="V10" s="30"/>
      <c r="W10" s="30"/>
      <c r="X10" s="30"/>
      <c r="Y10" s="30"/>
      <c r="Z10" s="30"/>
      <c r="AA10" s="30"/>
      <c r="AB10" s="30"/>
      <c r="AC10" s="30"/>
    </row>
    <row r="11" spans="1:29" s="7" customFormat="1" ht="18" customHeight="1" outlineLevel="1" x14ac:dyDescent="0.3">
      <c r="A11" s="30"/>
      <c r="B11" s="7" t="s">
        <v>24</v>
      </c>
      <c r="G11" s="30"/>
      <c r="K11" s="30"/>
      <c r="L11" s="30"/>
      <c r="M11" s="30"/>
      <c r="N11" s="30"/>
      <c r="P11" s="30"/>
      <c r="Q11" s="30"/>
      <c r="R11" s="30"/>
      <c r="S11" s="30"/>
      <c r="T11" s="30"/>
      <c r="U11" s="30"/>
      <c r="V11" s="30"/>
      <c r="W11" s="30"/>
      <c r="X11" s="30"/>
      <c r="Y11" s="30"/>
      <c r="Z11" s="30"/>
      <c r="AA11" s="30"/>
      <c r="AB11" s="30"/>
      <c r="AC11" s="30"/>
    </row>
    <row r="12" spans="1:29" s="7" customFormat="1" ht="18" customHeight="1" outlineLevel="1" x14ac:dyDescent="0.3">
      <c r="A12" s="30"/>
      <c r="B12" s="7" t="s">
        <v>25</v>
      </c>
      <c r="G12" s="30"/>
      <c r="K12" s="30"/>
      <c r="L12" s="42" t="s">
        <v>105</v>
      </c>
      <c r="M12" s="30"/>
      <c r="N12" s="30"/>
      <c r="O12" s="45" t="s">
        <v>74</v>
      </c>
      <c r="P12" s="30"/>
      <c r="Q12" s="30"/>
      <c r="R12" s="30"/>
      <c r="S12" s="30"/>
      <c r="T12" s="30"/>
      <c r="U12" s="30"/>
      <c r="V12" s="30"/>
      <c r="W12" s="30"/>
      <c r="X12" s="30"/>
      <c r="Y12" s="30"/>
      <c r="Z12" s="30"/>
      <c r="AA12" s="30"/>
      <c r="AB12" s="30"/>
      <c r="AC12" s="30"/>
    </row>
    <row r="13" spans="1:29" s="7" customFormat="1" ht="18" customHeight="1" outlineLevel="1" x14ac:dyDescent="0.3">
      <c r="A13" s="30"/>
      <c r="B13" s="7" t="s">
        <v>26</v>
      </c>
      <c r="G13" s="30"/>
      <c r="K13" s="30"/>
      <c r="L13" s="42" t="s">
        <v>100</v>
      </c>
      <c r="M13" s="30"/>
      <c r="N13" s="30"/>
      <c r="O13" s="46">
        <f>VLOOKUP($O$12,Table_TSCD[],COUNTA(Table_TSCD[[#Headers],[Mã Tài sản]:[Giá trị khấu hao (tháng)]]),0)</f>
        <v>2916666.6666666665</v>
      </c>
      <c r="P13" s="30"/>
      <c r="Q13" s="30"/>
      <c r="R13" s="30"/>
      <c r="S13" s="30"/>
      <c r="T13" s="30"/>
      <c r="U13" s="30"/>
      <c r="V13" s="30"/>
      <c r="W13" s="30"/>
      <c r="X13" s="30"/>
      <c r="Y13" s="30"/>
      <c r="Z13" s="30"/>
      <c r="AA13" s="30"/>
      <c r="AB13" s="30"/>
      <c r="AC13" s="30"/>
    </row>
    <row r="14" spans="1:29" s="7" customFormat="1" ht="18" customHeight="1" outlineLevel="1" x14ac:dyDescent="0.3">
      <c r="A14" s="30"/>
      <c r="B14" s="7" t="s">
        <v>27</v>
      </c>
      <c r="G14" s="30"/>
      <c r="K14" s="30"/>
      <c r="L14" s="42" t="s">
        <v>101</v>
      </c>
      <c r="M14" s="30"/>
      <c r="N14" s="30"/>
      <c r="O14" s="47">
        <f ca="1">O13/$O$5</f>
        <v>5.7065217391304351E-2</v>
      </c>
      <c r="P14" s="30"/>
      <c r="Q14" s="30"/>
      <c r="R14" s="30"/>
      <c r="S14" s="30"/>
      <c r="T14" s="30"/>
      <c r="U14" s="30"/>
      <c r="V14" s="30"/>
      <c r="W14" s="30"/>
      <c r="X14" s="30"/>
      <c r="Y14" s="30"/>
      <c r="Z14" s="30"/>
      <c r="AA14" s="30"/>
      <c r="AB14" s="30"/>
      <c r="AC14" s="30"/>
    </row>
    <row r="15" spans="1:29" s="7" customFormat="1" ht="18" customHeight="1" outlineLevel="1" x14ac:dyDescent="0.3">
      <c r="A15" s="30"/>
      <c r="B15" s="7" t="s">
        <v>28</v>
      </c>
      <c r="G15" s="30"/>
      <c r="K15" s="30"/>
      <c r="L15" s="42" t="s">
        <v>106</v>
      </c>
      <c r="O15" s="46" cm="1">
        <f t="array" aca="1" ref="O15" ca="1" xml:space="preserve">
IFERROR(
COUNT(_xlfn._xlws.FILTER(Table_TSCD[Giá trị khấu hao (tháng)],
(Table_TSCD[Ngày vận hành] &lt;= TODAY())*
(Table_TSCD[Ngày kết thúc] &gt; TODAY())*
(ISBLANK(Table_TSCD[Ngày thanh lý]))*
(Table_TSCD[Giá trị khấu hao (tháng)]&gt;$O$13)
)),0)+1</f>
        <v>5</v>
      </c>
      <c r="P15" s="30"/>
      <c r="Q15" s="30"/>
      <c r="R15" s="30"/>
      <c r="S15" s="30"/>
      <c r="T15" s="30"/>
      <c r="U15" s="30"/>
      <c r="V15" s="30"/>
      <c r="W15" s="30"/>
      <c r="X15" s="30"/>
      <c r="Y15" s="30"/>
      <c r="Z15" s="30"/>
      <c r="AA15" s="30"/>
      <c r="AB15" s="30"/>
      <c r="AC15" s="30"/>
    </row>
    <row r="16" spans="1:29" s="7" customFormat="1" ht="18" customHeight="1" outlineLevel="1" x14ac:dyDescent="0.3">
      <c r="A16" s="30"/>
      <c r="B16" s="7" t="s">
        <v>29</v>
      </c>
      <c r="G16" s="30"/>
      <c r="K16" s="30"/>
      <c r="L16" s="42" t="s">
        <v>102</v>
      </c>
      <c r="M16" s="30"/>
      <c r="N16" s="30"/>
      <c r="O16" s="47">
        <f ca="1">VLOOKUP($O$12,Table_TSCD[],COUNTA(Table_TSCD[[#Headers],[Mã Tài sản]:[Tỷ lệ khấu hao]]),0)</f>
        <v>0.17467488021902805</v>
      </c>
      <c r="P16" s="30"/>
      <c r="Q16" s="30"/>
      <c r="R16" s="30"/>
      <c r="S16" s="30"/>
      <c r="T16" s="30"/>
      <c r="U16" s="30"/>
      <c r="V16" s="30"/>
      <c r="W16" s="30"/>
      <c r="X16" s="30"/>
      <c r="Y16" s="30"/>
      <c r="Z16" s="30"/>
      <c r="AA16" s="30"/>
      <c r="AB16" s="30"/>
      <c r="AC16" s="30"/>
    </row>
    <row r="17" spans="1:36" s="7" customFormat="1" ht="18" customHeight="1" outlineLevel="1" collapsed="1" x14ac:dyDescent="0.3">
      <c r="A17" s="30"/>
      <c r="B17" s="7" t="s">
        <v>18</v>
      </c>
      <c r="G17" s="30"/>
      <c r="K17" s="30"/>
      <c r="L17" s="42" t="s">
        <v>103</v>
      </c>
      <c r="M17" s="30"/>
      <c r="N17" s="30"/>
      <c r="O17" s="48">
        <f>VLOOKUP($O$12,Table_TSCD[],COUNTA(Table_TSCD[[#Headers],[Mã Tài sản]:[Ngày kết thúc]]),0)</f>
        <v>48828</v>
      </c>
      <c r="P17" s="30"/>
      <c r="Q17" s="30"/>
      <c r="R17" s="30"/>
      <c r="S17" s="30"/>
      <c r="T17" s="30"/>
      <c r="U17" s="30"/>
      <c r="V17" s="30"/>
      <c r="W17" s="30"/>
      <c r="X17" s="30"/>
      <c r="Y17" s="30"/>
      <c r="Z17" s="30"/>
      <c r="AA17" s="30"/>
      <c r="AB17" s="30"/>
      <c r="AC17" s="30"/>
    </row>
    <row r="18" spans="1:36" s="7" customFormat="1" ht="18" customHeight="1" outlineLevel="1" x14ac:dyDescent="0.3">
      <c r="A18" s="30"/>
      <c r="G18" s="30"/>
      <c r="K18" s="30"/>
      <c r="L18" s="42" t="s">
        <v>104</v>
      </c>
      <c r="M18" s="30"/>
      <c r="N18" s="30"/>
      <c r="O18" s="46">
        <f ca="1">O17-TODAY()</f>
        <v>3015</v>
      </c>
      <c r="P18" s="30"/>
      <c r="Q18" s="30"/>
      <c r="R18" s="30"/>
      <c r="S18" s="30"/>
      <c r="T18" s="30"/>
      <c r="U18" s="30"/>
      <c r="V18" s="30"/>
      <c r="W18" s="30"/>
      <c r="X18" s="30"/>
      <c r="Y18" s="30"/>
      <c r="Z18" s="30"/>
      <c r="AA18" s="30"/>
      <c r="AB18" s="30"/>
      <c r="AC18" s="30"/>
    </row>
    <row r="19" spans="1:36" s="7" customFormat="1" ht="18" customHeight="1" outlineLevel="1" x14ac:dyDescent="0.3">
      <c r="A19" s="30"/>
      <c r="G19" s="30"/>
      <c r="K19" s="30"/>
      <c r="L19" s="30"/>
      <c r="M19" s="30"/>
      <c r="N19" s="30"/>
      <c r="P19" s="30"/>
      <c r="Q19" s="30"/>
      <c r="R19" s="30"/>
      <c r="S19" s="30"/>
      <c r="T19" s="30"/>
      <c r="U19" s="30"/>
      <c r="V19" s="30"/>
      <c r="W19" s="30"/>
      <c r="X19" s="30"/>
      <c r="Y19" s="30"/>
      <c r="Z19" s="30"/>
      <c r="AA19" s="30"/>
      <c r="AB19" s="30"/>
      <c r="AC19" s="30"/>
    </row>
    <row r="20" spans="1:36" s="7" customFormat="1" ht="18" customHeight="1" outlineLevel="1" x14ac:dyDescent="0.3">
      <c r="A20" s="30"/>
      <c r="G20" s="30"/>
      <c r="K20" s="30"/>
      <c r="L20" s="30"/>
      <c r="M20" s="30"/>
      <c r="N20" s="30"/>
      <c r="P20" s="30"/>
      <c r="Q20" s="30"/>
      <c r="R20" s="30"/>
      <c r="S20" s="30"/>
      <c r="T20" s="30"/>
      <c r="U20" s="30"/>
      <c r="V20" s="30"/>
      <c r="W20" s="30"/>
      <c r="X20" s="30"/>
      <c r="Y20" s="30"/>
      <c r="Z20" s="30"/>
      <c r="AA20" s="30"/>
      <c r="AB20" s="30"/>
      <c r="AC20" s="30"/>
    </row>
    <row r="21" spans="1:36" s="7" customFormat="1" ht="18" customHeight="1" x14ac:dyDescent="0.3">
      <c r="A21" s="30"/>
      <c r="G21" s="30"/>
      <c r="K21" s="30"/>
      <c r="L21" s="30"/>
      <c r="M21" s="30"/>
      <c r="N21" s="30"/>
      <c r="P21" s="30"/>
      <c r="Q21" s="30"/>
      <c r="R21" s="30"/>
      <c r="S21" s="30"/>
      <c r="T21" s="30"/>
      <c r="U21" s="30"/>
      <c r="V21" s="30"/>
      <c r="W21" s="30"/>
      <c r="X21" s="30"/>
      <c r="Y21" s="30"/>
      <c r="Z21" s="30"/>
      <c r="AA21" s="30"/>
      <c r="AB21" s="30"/>
      <c r="AC21" s="30"/>
    </row>
    <row r="22" spans="1:36" s="7" customFormat="1" ht="16.5" x14ac:dyDescent="0.3">
      <c r="A22" s="30"/>
      <c r="B22" s="37" t="s">
        <v>75</v>
      </c>
      <c r="C22" t="s">
        <v>91</v>
      </c>
      <c r="D22" t="s">
        <v>62</v>
      </c>
      <c r="E22" t="s">
        <v>70</v>
      </c>
      <c r="F22" t="s">
        <v>92</v>
      </c>
      <c r="G22" s="30"/>
      <c r="H22" s="37" t="s">
        <v>75</v>
      </c>
      <c r="I22" t="s">
        <v>93</v>
      </c>
      <c r="J22" t="s">
        <v>94</v>
      </c>
      <c r="K22" s="30"/>
      <c r="L22" s="7" t="s">
        <v>30</v>
      </c>
      <c r="M22" s="7" t="s">
        <v>31</v>
      </c>
      <c r="N22" s="7" t="s">
        <v>15</v>
      </c>
      <c r="O22" s="7" t="s">
        <v>17</v>
      </c>
      <c r="P22" s="7" t="s">
        <v>32</v>
      </c>
      <c r="Q22" s="7" t="s">
        <v>33</v>
      </c>
      <c r="R22" s="7" t="s">
        <v>34</v>
      </c>
      <c r="S22" s="7" t="s">
        <v>35</v>
      </c>
      <c r="T22" s="7" t="s">
        <v>36</v>
      </c>
      <c r="U22" s="7" t="s">
        <v>37</v>
      </c>
      <c r="V22" s="7" t="s">
        <v>16</v>
      </c>
      <c r="W22" s="7" t="s">
        <v>38</v>
      </c>
      <c r="X22" s="7" t="s">
        <v>63</v>
      </c>
      <c r="Y22" s="7" t="s">
        <v>64</v>
      </c>
      <c r="Z22" s="7" t="s">
        <v>66</v>
      </c>
      <c r="AA22" s="7" t="s">
        <v>65</v>
      </c>
      <c r="AB22" s="7" t="s">
        <v>67</v>
      </c>
      <c r="AC22" s="30"/>
      <c r="AD22" s="1" t="s">
        <v>2</v>
      </c>
      <c r="AE22" s="1" t="s">
        <v>1</v>
      </c>
      <c r="AF22" s="1" t="s">
        <v>0</v>
      </c>
      <c r="AG22" s="1" t="s">
        <v>14</v>
      </c>
      <c r="AH22" s="1" t="s">
        <v>52</v>
      </c>
      <c r="AI22" s="1" t="s">
        <v>53</v>
      </c>
      <c r="AJ22" s="1" t="s">
        <v>54</v>
      </c>
    </row>
    <row r="23" spans="1:36" ht="16.5" x14ac:dyDescent="0.3">
      <c r="A23" s="21"/>
      <c r="B23" s="6" t="s">
        <v>77</v>
      </c>
      <c r="C23" s="38">
        <v>177916666.66666663</v>
      </c>
      <c r="D23" s="38">
        <v>152500000</v>
      </c>
      <c r="E23" s="38">
        <v>25416666.666666664</v>
      </c>
      <c r="F23" s="38">
        <v>0</v>
      </c>
      <c r="G23" s="21"/>
      <c r="H23" s="6" t="s">
        <v>61</v>
      </c>
      <c r="I23">
        <v>265462012.32032856</v>
      </c>
      <c r="J23" s="41">
        <v>8.8487337440109518E-2</v>
      </c>
      <c r="K23" s="21"/>
      <c r="L23" s="21" t="s">
        <v>74</v>
      </c>
      <c r="M23" s="21"/>
      <c r="N23" s="21" t="s">
        <v>70</v>
      </c>
      <c r="O23" s="21" t="s">
        <v>27</v>
      </c>
      <c r="P23" s="2">
        <v>350000000</v>
      </c>
      <c r="Q23" s="33">
        <v>45175</v>
      </c>
      <c r="R23" s="2">
        <v>10</v>
      </c>
      <c r="S23" s="3">
        <f>Table_TSCD[[#This Row],[Năm khấu hao]]*12</f>
        <v>120</v>
      </c>
      <c r="T23" s="33">
        <v>45175</v>
      </c>
      <c r="U23" s="33"/>
      <c r="V23" s="29">
        <f xml:space="preserve">
IF(
ISBLANK(Table_TSCD[[#This Row],[Ngày vận hành]]),
0,
Table_TSCD[[#This Row],[Ngày vận hành]] + ROUND(Table_TSCD[[#This Row],[Tháng khấu hao]] * (365.25/12), 0)
)</f>
        <v>48828</v>
      </c>
      <c r="W23" s="3">
        <f>IFERROR(
Table_TSCD[[#This Row],[Giá trị sổ sách]]/Table_TSCD[[#This Row],[Tháng khấu hao]],
0)</f>
        <v>2916666.6666666665</v>
      </c>
      <c r="X23" s="35">
        <f ca="1">MAX(0,IF(ISBLANK(Table_TSCD[[#This Row],[Ngày vận hành]]),0,
IF(ISBLANK(Table_TSCD[[#This Row],[Ngày thanh lý]]),
TODAY()-Table_TSCD[[#This Row],[Ngày vận hành]],
MIN(TODAY(),Table_TSCD[[#This Row],[Ngày thanh lý]])-Table_TSCD[[#This Row],[Ngày vận hành]]
)))</f>
        <v>638</v>
      </c>
      <c r="Y23" s="3">
        <f ca="1">MIN(Table_TSCD[[#Headers],[Giá trị sổ sách]],Table_TSCD[[#This Row],[Giá trị sổ sách]]/(Table_TSCD[[#This Row],[Tháng khấu hao]]*365.25/12)*Table_TSCD[[#This Row],[Số ngày vận hành]])</f>
        <v>61136208.076659821</v>
      </c>
      <c r="Z23" s="34">
        <f ca="1">Table_TSCD[[#This Row],[Khấu hao lũy kế theo ngày]]/Table_TSCD[[#This Row],[Giá trị sổ sách]]</f>
        <v>0.17467488021902805</v>
      </c>
      <c r="AA23" s="3">
        <f ca="1">Table_TSCD[[#This Row],[Giá trị sổ sách]]-Table_TSCD[[#This Row],[Khấu hao lũy kế theo ngày]]</f>
        <v>288863791.9233402</v>
      </c>
      <c r="AB23" s="3">
        <f ca="1">MAX(0,IF(ISBLANK(Table_TSCD[[#This Row],[Ngày vận hành]]),0,
IF(ISBLANK(Table_TSCD[[#This Row],[Ngày thanh lý]]),
Table_TSCD[[#This Row],[Ngày kết thúc]]-TODAY(),0
)))</f>
        <v>3015</v>
      </c>
      <c r="AC23" s="21"/>
      <c r="AD23" s="4">
        <f>IFERROR(
IF(ISBLANK(Table_TSCD_KhauHao[[#This Row],[Tháng]]),
DATE(Table_TSCD_KhauHao[[#This Row],[Năm]],12,1),
DATE(Table_TSCD_KhauHao[[#This Row],[Năm]],Table_TSCD_KhauHao[[#This Row],[Tháng]],1)),0)</f>
        <v>45992</v>
      </c>
      <c r="AE23" s="21">
        <v>2025</v>
      </c>
      <c r="AF23" s="21">
        <v>12</v>
      </c>
      <c r="AG23" s="36">
        <f>+Table_TSCD_KhauHao[[#This Row],[Khấu hao sản xuất]]+Table_TSCD_KhauHao[[#This Row],[Khấu hao bán hàng]]+Table_TSCD_KhauHao[[#This Row],[Khấu hao quản lý]]</f>
        <v>51111111.111111104</v>
      </c>
      <c r="AH2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4" spans="1:36" ht="16.5" x14ac:dyDescent="0.3">
      <c r="B24" s="39" t="s">
        <v>79</v>
      </c>
      <c r="C24" s="38">
        <v>10000000</v>
      </c>
      <c r="D24" s="38">
        <v>10000000</v>
      </c>
      <c r="E24" s="38">
        <v>0</v>
      </c>
      <c r="F24" s="38">
        <v>0</v>
      </c>
      <c r="H24" s="39" t="s">
        <v>20</v>
      </c>
      <c r="I24">
        <v>265462012.32032856</v>
      </c>
      <c r="J24" s="41">
        <v>8.8487337440109518E-2</v>
      </c>
      <c r="L24" s="21" t="s">
        <v>73</v>
      </c>
      <c r="M24" s="21"/>
      <c r="N24" s="21" t="s">
        <v>72</v>
      </c>
      <c r="O24" s="21" t="s">
        <v>25</v>
      </c>
      <c r="P24" s="2">
        <v>25000000</v>
      </c>
      <c r="Q24" s="33">
        <v>45336</v>
      </c>
      <c r="R24" s="2">
        <v>3</v>
      </c>
      <c r="S24" s="3">
        <f>Table_TSCD[[#This Row],[Năm khấu hao]]*12</f>
        <v>36</v>
      </c>
      <c r="T24" s="33">
        <v>45336</v>
      </c>
      <c r="U24" s="33"/>
      <c r="V24" s="29">
        <f xml:space="preserve">
IF(
ISBLANK(Table_TSCD[[#This Row],[Ngày vận hành]]),
0,
Table_TSCD[[#This Row],[Ngày vận hành]] + ROUND(Table_TSCD[[#This Row],[Tháng khấu hao]] * (365.25/12), 0)
)</f>
        <v>46432</v>
      </c>
      <c r="W24" s="3">
        <f>IFERROR(
Table_TSCD[[#This Row],[Giá trị sổ sách]]/Table_TSCD[[#This Row],[Tháng khấu hao]],
0)</f>
        <v>694444.4444444445</v>
      </c>
      <c r="X24" s="35">
        <f ca="1">MAX(0,IF(ISBLANK(Table_TSCD[[#This Row],[Ngày vận hành]]),0,
IF(ISBLANK(Table_TSCD[[#This Row],[Ngày thanh lý]]),
TODAY()-Table_TSCD[[#This Row],[Ngày vận hành]],
MIN(TODAY(),Table_TSCD[[#This Row],[Ngày thanh lý]])-Table_TSCD[[#This Row],[Ngày vận hành]]
)))</f>
        <v>477</v>
      </c>
      <c r="Y24" s="3">
        <f ca="1">MIN(Table_TSCD[[#Headers],[Giá trị sổ sách]],Table_TSCD[[#This Row],[Giá trị sổ sách]]/(Table_TSCD[[#This Row],[Tháng khấu hao]]*365.25/12)*Table_TSCD[[#This Row],[Số ngày vận hành]])</f>
        <v>10882956.878850102</v>
      </c>
      <c r="Z24" s="34">
        <f ca="1">Table_TSCD[[#This Row],[Khấu hao lũy kế theo ngày]]/Table_TSCD[[#This Row],[Giá trị sổ sách]]</f>
        <v>0.43531827515400412</v>
      </c>
      <c r="AA24" s="3">
        <f ca="1">Table_TSCD[[#This Row],[Giá trị sổ sách]]-Table_TSCD[[#This Row],[Khấu hao lũy kế theo ngày]]</f>
        <v>14117043.121149898</v>
      </c>
      <c r="AB24" s="3">
        <f ca="1">MAX(0,IF(ISBLANK(Table_TSCD[[#This Row],[Ngày vận hành]]),0,
IF(ISBLANK(Table_TSCD[[#This Row],[Ngày thanh lý]]),
Table_TSCD[[#This Row],[Ngày kết thúc]]-TODAY(),0
)))</f>
        <v>619</v>
      </c>
      <c r="AD24" s="4">
        <f>IFERROR(
IF(ISBLANK(Table_TSCD_KhauHao[[#This Row],[Tháng]]),
DATE(Table_TSCD_KhauHao[[#This Row],[Năm]],12,1),
DATE(Table_TSCD_KhauHao[[#This Row],[Năm]],Table_TSCD_KhauHao[[#This Row],[Tháng]],1)),0)</f>
        <v>45962</v>
      </c>
      <c r="AE24" s="21">
        <v>2025</v>
      </c>
      <c r="AF24" s="21">
        <v>11</v>
      </c>
      <c r="AG24" s="36">
        <f>+Table_TSCD_KhauHao[[#This Row],[Khấu hao sản xuất]]+Table_TSCD_KhauHao[[#This Row],[Khấu hao bán hàng]]+Table_TSCD_KhauHao[[#This Row],[Khấu hao quản lý]]</f>
        <v>51111111.111111104</v>
      </c>
      <c r="AH2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5" spans="1:36" ht="16.5" x14ac:dyDescent="0.3">
      <c r="B25" s="40">
        <v>45017</v>
      </c>
      <c r="C25" s="38">
        <v>10000000</v>
      </c>
      <c r="D25" s="38">
        <v>10000000</v>
      </c>
      <c r="E25" s="38">
        <v>0</v>
      </c>
      <c r="F25" s="38">
        <v>0</v>
      </c>
      <c r="H25" s="6" t="s">
        <v>68</v>
      </c>
      <c r="I25">
        <v>431211498.97330594</v>
      </c>
      <c r="J25" s="41">
        <v>8.6242299794661192E-2</v>
      </c>
      <c r="L25" s="21" t="s">
        <v>71</v>
      </c>
      <c r="M25" s="21"/>
      <c r="N25" s="21" t="s">
        <v>72</v>
      </c>
      <c r="O25" s="21" t="s">
        <v>23</v>
      </c>
      <c r="P25" s="2">
        <v>500000000</v>
      </c>
      <c r="Q25" s="33">
        <v>45336</v>
      </c>
      <c r="R25" s="2">
        <v>5</v>
      </c>
      <c r="S25" s="3">
        <f>Table_TSCD[[#This Row],[Năm khấu hao]]*12</f>
        <v>60</v>
      </c>
      <c r="T25" s="33">
        <v>45400</v>
      </c>
      <c r="U25" s="33"/>
      <c r="V25" s="29">
        <f xml:space="preserve">
IF(
ISBLANK(Table_TSCD[[#This Row],[Ngày vận hành]]),
0,
Table_TSCD[[#This Row],[Ngày vận hành]] + ROUND(Table_TSCD[[#This Row],[Tháng khấu hao]] * (365.25/12), 0)
)</f>
        <v>47226</v>
      </c>
      <c r="W25" s="3">
        <f>IFERROR(
Table_TSCD[[#This Row],[Giá trị sổ sách]]/Table_TSCD[[#This Row],[Tháng khấu hao]],
0)</f>
        <v>8333333.333333333</v>
      </c>
      <c r="X25" s="35">
        <f ca="1">MAX(0,IF(ISBLANK(Table_TSCD[[#This Row],[Ngày vận hành]]),0,
IF(ISBLANK(Table_TSCD[[#This Row],[Ngày thanh lý]]),
TODAY()-Table_TSCD[[#This Row],[Ngày vận hành]],
MIN(TODAY(),Table_TSCD[[#This Row],[Ngày thanh lý]])-Table_TSCD[[#This Row],[Ngày vận hành]]
)))</f>
        <v>413</v>
      </c>
      <c r="Y25" s="3">
        <f ca="1">MIN(Table_TSCD[[#Headers],[Giá trị sổ sách]],Table_TSCD[[#This Row],[Giá trị sổ sách]]/(Table_TSCD[[#This Row],[Tháng khấu hao]]*365.25/12)*Table_TSCD[[#This Row],[Số ngày vận hành]])</f>
        <v>113073237.50855578</v>
      </c>
      <c r="Z25" s="34">
        <f ca="1">Table_TSCD[[#This Row],[Khấu hao lũy kế theo ngày]]/Table_TSCD[[#This Row],[Giá trị sổ sách]]</f>
        <v>0.22614647501711158</v>
      </c>
      <c r="AA25" s="3">
        <f ca="1">Table_TSCD[[#This Row],[Giá trị sổ sách]]-Table_TSCD[[#This Row],[Khấu hao lũy kế theo ngày]]</f>
        <v>386926762.49144423</v>
      </c>
      <c r="AB25" s="3">
        <f ca="1">MAX(0,IF(ISBLANK(Table_TSCD[[#This Row],[Ngày vận hành]]),0,
IF(ISBLANK(Table_TSCD[[#This Row],[Ngày thanh lý]]),
Table_TSCD[[#This Row],[Ngày kết thúc]]-TODAY(),0
)))</f>
        <v>1413</v>
      </c>
      <c r="AD25" s="4">
        <f>IFERROR(
IF(ISBLANK(Table_TSCD_KhauHao[[#This Row],[Tháng]]),
DATE(Table_TSCD_KhauHao[[#This Row],[Năm]],12,1),
DATE(Table_TSCD_KhauHao[[#This Row],[Năm]],Table_TSCD_KhauHao[[#This Row],[Tháng]],1)),0)</f>
        <v>45931</v>
      </c>
      <c r="AE25" s="21">
        <v>2025</v>
      </c>
      <c r="AF25" s="21">
        <v>10</v>
      </c>
      <c r="AG25" s="36">
        <f>+Table_TSCD_KhauHao[[#This Row],[Khấu hao sản xuất]]+Table_TSCD_KhauHao[[#This Row],[Khấu hao bán hàng]]+Table_TSCD_KhauHao[[#This Row],[Khấu hao quản lý]]</f>
        <v>51111111.111111104</v>
      </c>
      <c r="AH2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6" spans="1:36" ht="16.5" x14ac:dyDescent="0.3">
      <c r="B26" s="39" t="s">
        <v>80</v>
      </c>
      <c r="C26" s="38">
        <v>10000000</v>
      </c>
      <c r="D26" s="38">
        <v>10000000</v>
      </c>
      <c r="E26" s="38">
        <v>0</v>
      </c>
      <c r="F26" s="38">
        <v>0</v>
      </c>
      <c r="H26" s="39" t="s">
        <v>21</v>
      </c>
      <c r="I26">
        <v>431211498.97330594</v>
      </c>
      <c r="J26" s="41">
        <v>8.6242299794661192E-2</v>
      </c>
      <c r="L26" s="21" t="s">
        <v>69</v>
      </c>
      <c r="M26" s="21"/>
      <c r="N26" s="21" t="s">
        <v>70</v>
      </c>
      <c r="O26" s="21" t="s">
        <v>22</v>
      </c>
      <c r="P26" s="2">
        <v>1000000000</v>
      </c>
      <c r="Q26" s="33">
        <v>45223</v>
      </c>
      <c r="R26" s="2">
        <v>10</v>
      </c>
      <c r="S26" s="3">
        <f>Table_TSCD[[#This Row],[Năm khấu hao]]*12</f>
        <v>120</v>
      </c>
      <c r="T26" s="33">
        <v>45223</v>
      </c>
      <c r="U26" s="33"/>
      <c r="V26" s="29">
        <f xml:space="preserve">
IF(
ISBLANK(Table_TSCD[[#This Row],[Ngày vận hành]]),
0,
Table_TSCD[[#This Row],[Ngày vận hành]] + ROUND(Table_TSCD[[#This Row],[Tháng khấu hao]] * (365.25/12), 0)
)</f>
        <v>48876</v>
      </c>
      <c r="W26" s="3">
        <f>IFERROR(
Table_TSCD[[#This Row],[Giá trị sổ sách]]/Table_TSCD[[#This Row],[Tháng khấu hao]],
0)</f>
        <v>8333333.333333333</v>
      </c>
      <c r="X26" s="35">
        <f ca="1">MAX(0,IF(ISBLANK(Table_TSCD[[#This Row],[Ngày vận hành]]),0,
IF(ISBLANK(Table_TSCD[[#This Row],[Ngày thanh lý]]),
TODAY()-Table_TSCD[[#This Row],[Ngày vận hành]],
MIN(TODAY(),Table_TSCD[[#This Row],[Ngày thanh lý]])-Table_TSCD[[#This Row],[Ngày vận hành]]
)))</f>
        <v>590</v>
      </c>
      <c r="Y26" s="3">
        <f ca="1">MIN(Table_TSCD[[#Headers],[Giá trị sổ sách]],Table_TSCD[[#This Row],[Giá trị sổ sách]]/(Table_TSCD[[#This Row],[Tháng khấu hao]]*365.25/12)*Table_TSCD[[#This Row],[Số ngày vận hành]])</f>
        <v>161533196.44079396</v>
      </c>
      <c r="Z26" s="34">
        <f ca="1">Table_TSCD[[#This Row],[Khấu hao lũy kế theo ngày]]/Table_TSCD[[#This Row],[Giá trị sổ sách]]</f>
        <v>0.16153319644079397</v>
      </c>
      <c r="AA26" s="3">
        <f ca="1">Table_TSCD[[#This Row],[Giá trị sổ sách]]-Table_TSCD[[#This Row],[Khấu hao lũy kế theo ngày]]</f>
        <v>838466803.55920601</v>
      </c>
      <c r="AB26" s="3">
        <f ca="1">MAX(0,IF(ISBLANK(Table_TSCD[[#This Row],[Ngày vận hành]]),0,
IF(ISBLANK(Table_TSCD[[#This Row],[Ngày thanh lý]]),
Table_TSCD[[#This Row],[Ngày kết thúc]]-TODAY(),0
)))</f>
        <v>3063</v>
      </c>
      <c r="AD26" s="4">
        <f>IFERROR(
IF(ISBLANK(Table_TSCD_KhauHao[[#This Row],[Tháng]]),
DATE(Table_TSCD_KhauHao[[#This Row],[Năm]],12,1),
DATE(Table_TSCD_KhauHao[[#This Row],[Năm]],Table_TSCD_KhauHao[[#This Row],[Tháng]],1)),0)</f>
        <v>45901</v>
      </c>
      <c r="AE26" s="21">
        <v>2025</v>
      </c>
      <c r="AF26" s="21">
        <v>9</v>
      </c>
      <c r="AG26" s="36">
        <f>+Table_TSCD_KhauHao[[#This Row],[Khấu hao sản xuất]]+Table_TSCD_KhauHao[[#This Row],[Khấu hao bán hàng]]+Table_TSCD_KhauHao[[#This Row],[Khấu hao quản lý]]</f>
        <v>51111111.111111104</v>
      </c>
      <c r="AH2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7" spans="1:36" ht="16.5" x14ac:dyDescent="0.3">
      <c r="B27" s="40">
        <v>45047</v>
      </c>
      <c r="C27" s="38">
        <v>10000000</v>
      </c>
      <c r="D27" s="38">
        <v>10000000</v>
      </c>
      <c r="E27" s="38">
        <v>0</v>
      </c>
      <c r="F27" s="38">
        <v>0</v>
      </c>
      <c r="H27" s="6" t="s">
        <v>69</v>
      </c>
      <c r="I27">
        <v>159342915.81108829</v>
      </c>
      <c r="J27" s="41">
        <v>0.15934291581108828</v>
      </c>
      <c r="L27" s="21" t="s">
        <v>68</v>
      </c>
      <c r="M27" s="21"/>
      <c r="N27" s="21" t="s">
        <v>62</v>
      </c>
      <c r="O27" s="21" t="s">
        <v>21</v>
      </c>
      <c r="P27" s="2">
        <v>5000000000</v>
      </c>
      <c r="Q27" s="33">
        <v>45175</v>
      </c>
      <c r="R27" s="2">
        <v>20</v>
      </c>
      <c r="S27" s="3">
        <f>Table_TSCD[[#This Row],[Năm khấu hao]]*12</f>
        <v>240</v>
      </c>
      <c r="T27" s="33">
        <v>45175</v>
      </c>
      <c r="U27" s="33"/>
      <c r="V27" s="29">
        <f xml:space="preserve">
IF(
ISBLANK(Table_TSCD[[#This Row],[Ngày vận hành]]),
0,
Table_TSCD[[#This Row],[Ngày vận hành]] + ROUND(Table_TSCD[[#This Row],[Tháng khấu hao]] * (365.25/12), 0)
)</f>
        <v>52480</v>
      </c>
      <c r="W27" s="3">
        <f>IFERROR(
Table_TSCD[[#This Row],[Giá trị sổ sách]]/Table_TSCD[[#This Row],[Tháng khấu hao]],
0)</f>
        <v>20833333.333333332</v>
      </c>
      <c r="X27" s="35">
        <f ca="1">MAX(0,IF(ISBLANK(Table_TSCD[[#This Row],[Ngày vận hành]]),0,
IF(ISBLANK(Table_TSCD[[#This Row],[Ngày thanh lý]]),
TODAY()-Table_TSCD[[#This Row],[Ngày vận hành]],
MIN(TODAY(),Table_TSCD[[#This Row],[Ngày thanh lý]])-Table_TSCD[[#This Row],[Ngày vận hành]]
)))</f>
        <v>638</v>
      </c>
      <c r="Y27" s="3">
        <f ca="1">MIN(Table_TSCD[[#Headers],[Giá trị sổ sách]],Table_TSCD[[#This Row],[Giá trị sổ sách]]/(Table_TSCD[[#This Row],[Tháng khấu hao]]*365.25/12)*Table_TSCD[[#This Row],[Số ngày vận hành]])</f>
        <v>436687200.54757011</v>
      </c>
      <c r="Z27" s="34">
        <f ca="1">Table_TSCD[[#This Row],[Khấu hao lũy kế theo ngày]]/Table_TSCD[[#This Row],[Giá trị sổ sách]]</f>
        <v>8.7337440109514025E-2</v>
      </c>
      <c r="AA27" s="3">
        <f ca="1">Table_TSCD[[#This Row],[Giá trị sổ sách]]-Table_TSCD[[#This Row],[Khấu hao lũy kế theo ngày]]</f>
        <v>4563312799.4524298</v>
      </c>
      <c r="AB27" s="3">
        <f ca="1">MAX(0,IF(ISBLANK(Table_TSCD[[#This Row],[Ngày vận hành]]),0,
IF(ISBLANK(Table_TSCD[[#This Row],[Ngày thanh lý]]),
Table_TSCD[[#This Row],[Ngày kết thúc]]-TODAY(),0
)))</f>
        <v>6667</v>
      </c>
      <c r="AD27" s="4">
        <f>IFERROR(
IF(ISBLANK(Table_TSCD_KhauHao[[#This Row],[Tháng]]),
DATE(Table_TSCD_KhauHao[[#This Row],[Năm]],12,1),
DATE(Table_TSCD_KhauHao[[#This Row],[Năm]],Table_TSCD_KhauHao[[#This Row],[Tháng]],1)),0)</f>
        <v>45870</v>
      </c>
      <c r="AE27" s="21">
        <v>2025</v>
      </c>
      <c r="AF27" s="21">
        <v>8</v>
      </c>
      <c r="AG27" s="36">
        <f>+Table_TSCD_KhauHao[[#This Row],[Khấu hao sản xuất]]+Table_TSCD_KhauHao[[#This Row],[Khấu hao bán hàng]]+Table_TSCD_KhauHao[[#This Row],[Khấu hao quản lý]]</f>
        <v>51111111.111111104</v>
      </c>
      <c r="AH2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8" spans="1:36" ht="16.5" x14ac:dyDescent="0.3">
      <c r="B28" s="39" t="s">
        <v>81</v>
      </c>
      <c r="C28" s="38">
        <v>10000000</v>
      </c>
      <c r="D28" s="38">
        <v>10000000</v>
      </c>
      <c r="E28" s="38">
        <v>0</v>
      </c>
      <c r="F28" s="38">
        <v>0</v>
      </c>
      <c r="H28" s="39" t="s">
        <v>22</v>
      </c>
      <c r="I28">
        <v>159342915.81108829</v>
      </c>
      <c r="J28" s="41">
        <v>0.15934291581108828</v>
      </c>
      <c r="L28" s="21" t="s">
        <v>61</v>
      </c>
      <c r="M28" s="21"/>
      <c r="N28" s="21" t="s">
        <v>62</v>
      </c>
      <c r="O28" s="21" t="s">
        <v>20</v>
      </c>
      <c r="P28" s="2">
        <v>3000000000</v>
      </c>
      <c r="Q28" s="33">
        <v>44997</v>
      </c>
      <c r="R28" s="2">
        <v>25</v>
      </c>
      <c r="S28" s="3">
        <f>Table_TSCD[[#This Row],[Năm khấu hao]]*12</f>
        <v>300</v>
      </c>
      <c r="T28" s="33">
        <v>44997</v>
      </c>
      <c r="U28" s="33"/>
      <c r="V28" s="29">
        <f xml:space="preserve">
IF(
ISBLANK(Table_TSCD[[#This Row],[Ngày vận hành]]),
0,
Table_TSCD[[#This Row],[Ngày vận hành]] + ROUND(Table_TSCD[[#This Row],[Tháng khấu hao]] * (365.25/12), 0)
)</f>
        <v>54128</v>
      </c>
      <c r="W28" s="3">
        <f>IFERROR(
Table_TSCD[[#This Row],[Giá trị sổ sách]]/Table_TSCD[[#This Row],[Tháng khấu hao]],
0)</f>
        <v>10000000</v>
      </c>
      <c r="X28" s="3">
        <f ca="1">MAX(0,IF(ISBLANK(Table_TSCD[[#This Row],[Ngày vận hành]]),0,
IF(ISBLANK(Table_TSCD[[#This Row],[Ngày thanh lý]]),
TODAY()-Table_TSCD[[#This Row],[Ngày vận hành]],
MIN(TODAY(),Table_TSCD[[#This Row],[Ngày thanh lý]])-Table_TSCD[[#This Row],[Ngày vận hành]]
)))</f>
        <v>816</v>
      </c>
      <c r="Y28" s="3">
        <f ca="1">MIN(Table_TSCD[[#Headers],[Giá trị sổ sách]],Table_TSCD[[#This Row],[Giá trị sổ sách]]/(Table_TSCD[[#This Row],[Tháng khấu hao]]*365.25/12)*Table_TSCD[[#This Row],[Số ngày vận hành]])</f>
        <v>268090349.07597536</v>
      </c>
      <c r="Z28" s="34">
        <f ca="1">Table_TSCD[[#This Row],[Khấu hao lũy kế theo ngày]]/Table_TSCD[[#This Row],[Giá trị sổ sách]]</f>
        <v>8.9363449691991781E-2</v>
      </c>
      <c r="AA28" s="3">
        <f ca="1">Table_TSCD[[#This Row],[Giá trị sổ sách]]-Table_TSCD[[#This Row],[Khấu hao lũy kế theo ngày]]</f>
        <v>2731909650.9240246</v>
      </c>
      <c r="AB28" s="3">
        <f ca="1">MAX(0,IF(ISBLANK(Table_TSCD[[#This Row],[Ngày vận hành]]),0,
IF(ISBLANK(Table_TSCD[[#This Row],[Ngày thanh lý]]),
Table_TSCD[[#This Row],[Ngày kết thúc]]-TODAY(),0
)))</f>
        <v>8315</v>
      </c>
      <c r="AD28" s="4">
        <f>IFERROR(
IF(ISBLANK(Table_TSCD_KhauHao[[#This Row],[Tháng]]),
DATE(Table_TSCD_KhauHao[[#This Row],[Năm]],12,1),
DATE(Table_TSCD_KhauHao[[#This Row],[Năm]],Table_TSCD_KhauHao[[#This Row],[Tháng]],1)),0)</f>
        <v>45839</v>
      </c>
      <c r="AE28" s="21">
        <v>2025</v>
      </c>
      <c r="AF28" s="21">
        <v>7</v>
      </c>
      <c r="AG28" s="36">
        <f>+Table_TSCD_KhauHao[[#This Row],[Khấu hao sản xuất]]+Table_TSCD_KhauHao[[#This Row],[Khấu hao bán hàng]]+Table_TSCD_KhauHao[[#This Row],[Khấu hao quản lý]]</f>
        <v>51111111.111111104</v>
      </c>
      <c r="AH2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9" spans="1:36" ht="16.5" x14ac:dyDescent="0.3">
      <c r="B29" s="40">
        <v>45078</v>
      </c>
      <c r="C29" s="38">
        <v>10000000</v>
      </c>
      <c r="D29" s="38">
        <v>10000000</v>
      </c>
      <c r="E29" s="38">
        <v>0</v>
      </c>
      <c r="F29" s="38">
        <v>0</v>
      </c>
      <c r="H29" s="6" t="s">
        <v>71</v>
      </c>
      <c r="I29">
        <v>110882956.8788501</v>
      </c>
      <c r="J29" s="41">
        <v>0.22176591375770022</v>
      </c>
      <c r="AD29" s="4">
        <f>IFERROR(
IF(ISBLANK(Table_TSCD_KhauHao[[#This Row],[Tháng]]),
DATE(Table_TSCD_KhauHao[[#This Row],[Năm]],12,1),
DATE(Table_TSCD_KhauHao[[#This Row],[Năm]],Table_TSCD_KhauHao[[#This Row],[Tháng]],1)),0)</f>
        <v>45809</v>
      </c>
      <c r="AE29" s="21">
        <v>2025</v>
      </c>
      <c r="AF29" s="21">
        <v>6</v>
      </c>
      <c r="AG29" s="36">
        <f>+Table_TSCD_KhauHao[[#This Row],[Khấu hao sản xuất]]+Table_TSCD_KhauHao[[#This Row],[Khấu hao bán hàng]]+Table_TSCD_KhauHao[[#This Row],[Khấu hao quản lý]]</f>
        <v>51111111.111111104</v>
      </c>
      <c r="AH2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0" spans="1:36" ht="16.5" x14ac:dyDescent="0.3">
      <c r="B30" s="39" t="s">
        <v>82</v>
      </c>
      <c r="C30" s="38">
        <v>10000000</v>
      </c>
      <c r="D30" s="38">
        <v>10000000</v>
      </c>
      <c r="E30" s="38">
        <v>0</v>
      </c>
      <c r="F30" s="38">
        <v>0</v>
      </c>
      <c r="H30" s="39" t="s">
        <v>23</v>
      </c>
      <c r="I30">
        <v>110882956.8788501</v>
      </c>
      <c r="J30" s="41">
        <v>0.22176591375770022</v>
      </c>
      <c r="AD30" s="4">
        <f>IFERROR(
IF(ISBLANK(Table_TSCD_KhauHao[[#This Row],[Tháng]]),
DATE(Table_TSCD_KhauHao[[#This Row],[Năm]],12,1),
DATE(Table_TSCD_KhauHao[[#This Row],[Năm]],Table_TSCD_KhauHao[[#This Row],[Tháng]],1)),0)</f>
        <v>45778</v>
      </c>
      <c r="AE30" s="21">
        <v>2025</v>
      </c>
      <c r="AF30" s="21">
        <v>5</v>
      </c>
      <c r="AG30" s="36">
        <f>+Table_TSCD_KhauHao[[#This Row],[Khấu hao sản xuất]]+Table_TSCD_KhauHao[[#This Row],[Khấu hao bán hàng]]+Table_TSCD_KhauHao[[#This Row],[Khấu hao quản lý]]</f>
        <v>51111111.111111104</v>
      </c>
      <c r="AH3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1" spans="1:36" ht="16.5" x14ac:dyDescent="0.3">
      <c r="B31" s="40">
        <v>45108</v>
      </c>
      <c r="C31" s="38">
        <v>10000000</v>
      </c>
      <c r="D31" s="38">
        <v>10000000</v>
      </c>
      <c r="E31" s="38">
        <v>0</v>
      </c>
      <c r="F31" s="38">
        <v>0</v>
      </c>
      <c r="H31" s="6" t="s">
        <v>73</v>
      </c>
      <c r="I31">
        <v>10700433.493041296</v>
      </c>
      <c r="J31" s="41">
        <v>0.42801733972165185</v>
      </c>
      <c r="AD31" s="4">
        <f>IFERROR(
IF(ISBLANK(Table_TSCD_KhauHao[[#This Row],[Tháng]]),
DATE(Table_TSCD_KhauHao[[#This Row],[Năm]],12,1),
DATE(Table_TSCD_KhauHao[[#This Row],[Năm]],Table_TSCD_KhauHao[[#This Row],[Tháng]],1)),0)</f>
        <v>45748</v>
      </c>
      <c r="AE31" s="21">
        <v>2025</v>
      </c>
      <c r="AF31" s="21">
        <v>4</v>
      </c>
      <c r="AG31" s="36">
        <f>+Table_TSCD_KhauHao[[#This Row],[Khấu hao sản xuất]]+Table_TSCD_KhauHao[[#This Row],[Khấu hao bán hàng]]+Table_TSCD_KhauHao[[#This Row],[Khấu hao quản lý]]</f>
        <v>51111111.111111104</v>
      </c>
      <c r="AH3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2" spans="1:36" ht="16.5" x14ac:dyDescent="0.3">
      <c r="B32" s="39" t="s">
        <v>83</v>
      </c>
      <c r="C32" s="38">
        <v>10000000</v>
      </c>
      <c r="D32" s="38">
        <v>10000000</v>
      </c>
      <c r="E32" s="38">
        <v>0</v>
      </c>
      <c r="F32" s="38">
        <v>0</v>
      </c>
      <c r="H32" s="39" t="s">
        <v>25</v>
      </c>
      <c r="I32">
        <v>10700433.493041296</v>
      </c>
      <c r="J32" s="41">
        <v>0.42801733972165185</v>
      </c>
      <c r="O32" s="30"/>
      <c r="AD32" s="4">
        <f>IFERROR(
IF(ISBLANK(Table_TSCD_KhauHao[[#This Row],[Tháng]]),
DATE(Table_TSCD_KhauHao[[#This Row],[Năm]],12,1),
DATE(Table_TSCD_KhauHao[[#This Row],[Năm]],Table_TSCD_KhauHao[[#This Row],[Tháng]],1)),0)</f>
        <v>45717</v>
      </c>
      <c r="AE32" s="21">
        <v>2025</v>
      </c>
      <c r="AF32" s="21">
        <v>3</v>
      </c>
      <c r="AG32" s="36">
        <f>+Table_TSCD_KhauHao[[#This Row],[Khấu hao sản xuất]]+Table_TSCD_KhauHao[[#This Row],[Khấu hao bán hàng]]+Table_TSCD_KhauHao[[#This Row],[Khấu hao quản lý]]</f>
        <v>51111111.111111104</v>
      </c>
      <c r="AH3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3" spans="2:36" ht="16.5" x14ac:dyDescent="0.3">
      <c r="B33" s="40">
        <v>45139</v>
      </c>
      <c r="C33" s="38">
        <v>10000000</v>
      </c>
      <c r="D33" s="38">
        <v>10000000</v>
      </c>
      <c r="E33" s="38">
        <v>0</v>
      </c>
      <c r="F33" s="38">
        <v>0</v>
      </c>
      <c r="H33" s="6" t="s">
        <v>74</v>
      </c>
      <c r="I33">
        <v>60369609.856262833</v>
      </c>
      <c r="J33" s="41">
        <v>0.17248459958932238</v>
      </c>
      <c r="AD33" s="4">
        <f>IFERROR(
IF(ISBLANK(Table_TSCD_KhauHao[[#This Row],[Tháng]]),
DATE(Table_TSCD_KhauHao[[#This Row],[Năm]],12,1),
DATE(Table_TSCD_KhauHao[[#This Row],[Năm]],Table_TSCD_KhauHao[[#This Row],[Tháng]],1)),0)</f>
        <v>45689</v>
      </c>
      <c r="AE33" s="21">
        <v>2025</v>
      </c>
      <c r="AF33" s="21">
        <v>2</v>
      </c>
      <c r="AG33" s="36">
        <f>+Table_TSCD_KhauHao[[#This Row],[Khấu hao sản xuất]]+Table_TSCD_KhauHao[[#This Row],[Khấu hao bán hàng]]+Table_TSCD_KhauHao[[#This Row],[Khấu hao quản lý]]</f>
        <v>51111111.111111104</v>
      </c>
      <c r="AH3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4" spans="2:36" ht="16.5" x14ac:dyDescent="0.3">
      <c r="B34" s="39" t="s">
        <v>84</v>
      </c>
      <c r="C34" s="38">
        <v>10000000</v>
      </c>
      <c r="D34" s="38">
        <v>10000000</v>
      </c>
      <c r="E34" s="38">
        <v>0</v>
      </c>
      <c r="F34" s="38">
        <v>0</v>
      </c>
      <c r="H34" s="39" t="s">
        <v>27</v>
      </c>
      <c r="I34">
        <v>60369609.856262833</v>
      </c>
      <c r="J34" s="41">
        <v>0.17248459958932238</v>
      </c>
      <c r="AD34" s="4">
        <f>IFERROR(
IF(ISBLANK(Table_TSCD_KhauHao[[#This Row],[Tháng]]),
DATE(Table_TSCD_KhauHao[[#This Row],[Năm]],12,1),
DATE(Table_TSCD_KhauHao[[#This Row],[Năm]],Table_TSCD_KhauHao[[#This Row],[Tháng]],1)),0)</f>
        <v>45658</v>
      </c>
      <c r="AE34" s="21">
        <v>2025</v>
      </c>
      <c r="AF34" s="21">
        <v>1</v>
      </c>
      <c r="AG34" s="36">
        <f>+Table_TSCD_KhauHao[[#This Row],[Khấu hao sản xuất]]+Table_TSCD_KhauHao[[#This Row],[Khấu hao bán hàng]]+Table_TSCD_KhauHao[[#This Row],[Khấu hao quản lý]]</f>
        <v>51111111.111111104</v>
      </c>
      <c r="AH3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5" spans="2:36" ht="16.5" x14ac:dyDescent="0.3">
      <c r="B35" s="40">
        <v>45170</v>
      </c>
      <c r="C35" s="38">
        <v>10000000</v>
      </c>
      <c r="D35" s="38">
        <v>10000000</v>
      </c>
      <c r="E35" s="38">
        <v>0</v>
      </c>
      <c r="F35" s="38">
        <v>0</v>
      </c>
      <c r="H35" s="6" t="s">
        <v>76</v>
      </c>
      <c r="I35">
        <v>1037969427.332877</v>
      </c>
      <c r="J35" s="41">
        <v>1.1563404061145333</v>
      </c>
      <c r="AD35" s="4">
        <f>IFERROR(
IF(ISBLANK(Table_TSCD_KhauHao[[#This Row],[Tháng]]),
DATE(Table_TSCD_KhauHao[[#This Row],[Năm]],12,1),
DATE(Table_TSCD_KhauHao[[#This Row],[Năm]],Table_TSCD_KhauHao[[#This Row],[Tháng]],1)),0)</f>
        <v>45627</v>
      </c>
      <c r="AE35" s="21">
        <v>2024</v>
      </c>
      <c r="AF35" s="21">
        <v>12</v>
      </c>
      <c r="AG35" s="36">
        <f>+Table_TSCD_KhauHao[[#This Row],[Khấu hao sản xuất]]+Table_TSCD_KhauHao[[#This Row],[Khấu hao bán hàng]]+Table_TSCD_KhauHao[[#This Row],[Khấu hao quản lý]]</f>
        <v>51111111.111111104</v>
      </c>
      <c r="AH3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6" spans="2:36" ht="16.5" x14ac:dyDescent="0.3">
      <c r="B36" s="39" t="s">
        <v>85</v>
      </c>
      <c r="C36" s="38">
        <v>33750000</v>
      </c>
      <c r="D36" s="38">
        <v>30833333.333333332</v>
      </c>
      <c r="E36" s="38">
        <v>2916666.6666666665</v>
      </c>
      <c r="F36" s="38">
        <v>0</v>
      </c>
      <c r="H36"/>
      <c r="I36"/>
      <c r="J36"/>
      <c r="AD36" s="4">
        <f>IFERROR(
IF(ISBLANK(Table_TSCD_KhauHao[[#This Row],[Tháng]]),
DATE(Table_TSCD_KhauHao[[#This Row],[Năm]],12,1),
DATE(Table_TSCD_KhauHao[[#This Row],[Năm]],Table_TSCD_KhauHao[[#This Row],[Tháng]],1)),0)</f>
        <v>45597</v>
      </c>
      <c r="AE36" s="21">
        <v>2024</v>
      </c>
      <c r="AF36" s="21">
        <v>11</v>
      </c>
      <c r="AG36" s="36">
        <f>+Table_TSCD_KhauHao[[#This Row],[Khấu hao sản xuất]]+Table_TSCD_KhauHao[[#This Row],[Khấu hao bán hàng]]+Table_TSCD_KhauHao[[#This Row],[Khấu hao quản lý]]</f>
        <v>51111111.111111104</v>
      </c>
      <c r="AH3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7" spans="2:36" ht="16.5" x14ac:dyDescent="0.3">
      <c r="B37" s="40">
        <v>45200</v>
      </c>
      <c r="C37" s="38">
        <v>33750000</v>
      </c>
      <c r="D37" s="38">
        <v>30833333.333333332</v>
      </c>
      <c r="E37" s="38">
        <v>2916666.6666666665</v>
      </c>
      <c r="F37" s="38">
        <v>0</v>
      </c>
      <c r="H37"/>
      <c r="I37"/>
      <c r="J37"/>
      <c r="AD37" s="4">
        <f>IFERROR(
IF(ISBLANK(Table_TSCD_KhauHao[[#This Row],[Tháng]]),
DATE(Table_TSCD_KhauHao[[#This Row],[Năm]],12,1),
DATE(Table_TSCD_KhauHao[[#This Row],[Năm]],Table_TSCD_KhauHao[[#This Row],[Tháng]],1)),0)</f>
        <v>45566</v>
      </c>
      <c r="AE37" s="21">
        <v>2024</v>
      </c>
      <c r="AF37" s="21">
        <v>10</v>
      </c>
      <c r="AG37" s="36">
        <f>+Table_TSCD_KhauHao[[#This Row],[Khấu hao sản xuất]]+Table_TSCD_KhauHao[[#This Row],[Khấu hao bán hàng]]+Table_TSCD_KhauHao[[#This Row],[Khấu hao quản lý]]</f>
        <v>51111111.111111104</v>
      </c>
      <c r="AH3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8" spans="2:36" ht="16.5" x14ac:dyDescent="0.3">
      <c r="B38" s="39" t="s">
        <v>86</v>
      </c>
      <c r="C38" s="38">
        <v>42083333.333333328</v>
      </c>
      <c r="D38" s="38">
        <v>30833333.333333332</v>
      </c>
      <c r="E38" s="38">
        <v>11250000</v>
      </c>
      <c r="F38" s="38">
        <v>0</v>
      </c>
      <c r="H38"/>
      <c r="I38"/>
      <c r="J38"/>
      <c r="AD38" s="4">
        <f>IFERROR(
IF(ISBLANK(Table_TSCD_KhauHao[[#This Row],[Tháng]]),
DATE(Table_TSCD_KhauHao[[#This Row],[Năm]],12,1),
DATE(Table_TSCD_KhauHao[[#This Row],[Năm]],Table_TSCD_KhauHao[[#This Row],[Tháng]],1)),0)</f>
        <v>45536</v>
      </c>
      <c r="AE38" s="21">
        <v>2024</v>
      </c>
      <c r="AF38" s="21">
        <v>9</v>
      </c>
      <c r="AG38" s="36">
        <f>+Table_TSCD_KhauHao[[#This Row],[Khấu hao sản xuất]]+Table_TSCD_KhauHao[[#This Row],[Khấu hao bán hàng]]+Table_TSCD_KhauHao[[#This Row],[Khấu hao quản lý]]</f>
        <v>51111111.111111104</v>
      </c>
      <c r="AH3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9" spans="2:36" ht="16.5" x14ac:dyDescent="0.3">
      <c r="B39" s="40">
        <v>45231</v>
      </c>
      <c r="C39" s="38">
        <v>42083333.333333328</v>
      </c>
      <c r="D39" s="38">
        <v>30833333.333333332</v>
      </c>
      <c r="E39" s="38">
        <v>11250000</v>
      </c>
      <c r="F39" s="38">
        <v>0</v>
      </c>
      <c r="H39"/>
      <c r="I39"/>
      <c r="J39"/>
      <c r="AD39" s="4">
        <f>IFERROR(
IF(ISBLANK(Table_TSCD_KhauHao[[#This Row],[Tháng]]),
DATE(Table_TSCD_KhauHao[[#This Row],[Năm]],12,1),
DATE(Table_TSCD_KhauHao[[#This Row],[Năm]],Table_TSCD_KhauHao[[#This Row],[Tháng]],1)),0)</f>
        <v>45505</v>
      </c>
      <c r="AE39" s="21">
        <v>2024</v>
      </c>
      <c r="AF39" s="21">
        <v>8</v>
      </c>
      <c r="AG39" s="36">
        <f>+Table_TSCD_KhauHao[[#This Row],[Khấu hao sản xuất]]+Table_TSCD_KhauHao[[#This Row],[Khấu hao bán hàng]]+Table_TSCD_KhauHao[[#This Row],[Khấu hao quản lý]]</f>
        <v>51111111.111111104</v>
      </c>
      <c r="AH3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0" spans="2:36" ht="16.5" x14ac:dyDescent="0.3">
      <c r="B40" s="39" t="s">
        <v>87</v>
      </c>
      <c r="C40" s="38">
        <v>42083333.333333328</v>
      </c>
      <c r="D40" s="38">
        <v>30833333.333333332</v>
      </c>
      <c r="E40" s="38">
        <v>11250000</v>
      </c>
      <c r="F40" s="38">
        <v>0</v>
      </c>
      <c r="AD40" s="4">
        <f>IFERROR(
IF(ISBLANK(Table_TSCD_KhauHao[[#This Row],[Tháng]]),
DATE(Table_TSCD_KhauHao[[#This Row],[Năm]],12,1),
DATE(Table_TSCD_KhauHao[[#This Row],[Năm]],Table_TSCD_KhauHao[[#This Row],[Tháng]],1)),0)</f>
        <v>45474</v>
      </c>
      <c r="AE40" s="21">
        <v>2024</v>
      </c>
      <c r="AF40" s="21">
        <v>7</v>
      </c>
      <c r="AG40" s="36">
        <f>+Table_TSCD_KhauHao[[#This Row],[Khấu hao sản xuất]]+Table_TSCD_KhauHao[[#This Row],[Khấu hao bán hàng]]+Table_TSCD_KhauHao[[#This Row],[Khấu hao quản lý]]</f>
        <v>51111111.111111104</v>
      </c>
      <c r="AH4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1" spans="2:36" ht="16.5" x14ac:dyDescent="0.3">
      <c r="B41" s="40">
        <v>45261</v>
      </c>
      <c r="C41" s="38">
        <v>42083333.333333328</v>
      </c>
      <c r="D41" s="38">
        <v>30833333.333333332</v>
      </c>
      <c r="E41" s="38">
        <v>11250000</v>
      </c>
      <c r="F41" s="38">
        <v>0</v>
      </c>
      <c r="AD41" s="4">
        <f>IFERROR(
IF(ISBLANK(Table_TSCD_KhauHao[[#This Row],[Tháng]]),
DATE(Table_TSCD_KhauHao[[#This Row],[Năm]],12,1),
DATE(Table_TSCD_KhauHao[[#This Row],[Năm]],Table_TSCD_KhauHao[[#This Row],[Tháng]],1)),0)</f>
        <v>45444</v>
      </c>
      <c r="AE41" s="21">
        <v>2024</v>
      </c>
      <c r="AF41" s="21">
        <v>6</v>
      </c>
      <c r="AG41" s="36">
        <f>+Table_TSCD_KhauHao[[#This Row],[Khấu hao sản xuất]]+Table_TSCD_KhauHao[[#This Row],[Khấu hao bán hàng]]+Table_TSCD_KhauHao[[#This Row],[Khấu hao quản lý]]</f>
        <v>51111111.111111104</v>
      </c>
      <c r="AH4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2" spans="2:36" ht="16.5" x14ac:dyDescent="0.3">
      <c r="B42" s="6" t="s">
        <v>78</v>
      </c>
      <c r="C42" s="38">
        <v>578611111.11111104</v>
      </c>
      <c r="D42" s="38">
        <v>369999999.99999994</v>
      </c>
      <c r="E42" s="38">
        <v>135000000</v>
      </c>
      <c r="F42" s="38">
        <v>73611111.111111104</v>
      </c>
      <c r="AD42" s="4">
        <f>IFERROR(
IF(ISBLANK(Table_TSCD_KhauHao[[#This Row],[Tháng]]),
DATE(Table_TSCD_KhauHao[[#This Row],[Năm]],12,1),
DATE(Table_TSCD_KhauHao[[#This Row],[Năm]],Table_TSCD_KhauHao[[#This Row],[Tháng]],1)),0)</f>
        <v>45413</v>
      </c>
      <c r="AE42" s="21">
        <v>2024</v>
      </c>
      <c r="AF42" s="21">
        <v>5</v>
      </c>
      <c r="AG42" s="36">
        <f>+Table_TSCD_KhauHao[[#This Row],[Khấu hao sản xuất]]+Table_TSCD_KhauHao[[#This Row],[Khấu hao bán hàng]]+Table_TSCD_KhauHao[[#This Row],[Khấu hao quản lý]]</f>
        <v>51111111.111111104</v>
      </c>
      <c r="AH4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3" spans="2:36" ht="16.5" x14ac:dyDescent="0.3">
      <c r="B43" s="39" t="s">
        <v>88</v>
      </c>
      <c r="C43" s="38">
        <v>42083333.333333328</v>
      </c>
      <c r="D43" s="38">
        <v>30833333.333333332</v>
      </c>
      <c r="E43" s="38">
        <v>11250000</v>
      </c>
      <c r="F43" s="38">
        <v>0</v>
      </c>
      <c r="AD43" s="4">
        <f>IFERROR(
IF(ISBLANK(Table_TSCD_KhauHao[[#This Row],[Tháng]]),
DATE(Table_TSCD_KhauHao[[#This Row],[Năm]],12,1),
DATE(Table_TSCD_KhauHao[[#This Row],[Năm]],Table_TSCD_KhauHao[[#This Row],[Tháng]],1)),0)</f>
        <v>45383</v>
      </c>
      <c r="AE43" s="21">
        <v>2024</v>
      </c>
      <c r="AF43" s="21">
        <v>4</v>
      </c>
      <c r="AG43" s="28">
        <f>+Table_TSCD_KhauHao[[#This Row],[Khấu hao sản xuất]]+Table_TSCD_KhauHao[[#This Row],[Khấu hao bán hàng]]+Table_TSCD_KhauHao[[#This Row],[Khấu hao quản lý]]</f>
        <v>42777777.777777776</v>
      </c>
      <c r="AH4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4" spans="2:36" ht="16.5" x14ac:dyDescent="0.3">
      <c r="B44" s="40">
        <v>45292</v>
      </c>
      <c r="C44" s="38">
        <v>42083333.333333328</v>
      </c>
      <c r="D44" s="38">
        <v>30833333.333333332</v>
      </c>
      <c r="E44" s="38">
        <v>11250000</v>
      </c>
      <c r="F44" s="38">
        <v>0</v>
      </c>
      <c r="AD44" s="4">
        <f>IFERROR(
IF(ISBLANK(Table_TSCD_KhauHao[[#This Row],[Tháng]]),
DATE(Table_TSCD_KhauHao[[#This Row],[Năm]],12,1),
DATE(Table_TSCD_KhauHao[[#This Row],[Năm]],Table_TSCD_KhauHao[[#This Row],[Tháng]],1)),0)</f>
        <v>45352</v>
      </c>
      <c r="AE44" s="21">
        <v>2024</v>
      </c>
      <c r="AF44" s="21">
        <v>3</v>
      </c>
      <c r="AG44" s="28">
        <f>+Table_TSCD_KhauHao[[#This Row],[Khấu hao sản xuất]]+Table_TSCD_KhauHao[[#This Row],[Khấu hao bán hàng]]+Table_TSCD_KhauHao[[#This Row],[Khấu hao quản lý]]</f>
        <v>42777777.777777776</v>
      </c>
      <c r="AH4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5" spans="2:36" ht="16.5" x14ac:dyDescent="0.3">
      <c r="B45" s="39" t="s">
        <v>89</v>
      </c>
      <c r="C45" s="38">
        <v>42083333.333333328</v>
      </c>
      <c r="D45" s="38">
        <v>30833333.333333332</v>
      </c>
      <c r="E45" s="38">
        <v>11250000</v>
      </c>
      <c r="F45" s="38">
        <v>0</v>
      </c>
      <c r="AD45" s="4">
        <f>IFERROR(
IF(ISBLANK(Table_TSCD_KhauHao[[#This Row],[Tháng]]),
DATE(Table_TSCD_KhauHao[[#This Row],[Năm]],12,1),
DATE(Table_TSCD_KhauHao[[#This Row],[Năm]],Table_TSCD_KhauHao[[#This Row],[Tháng]],1)),0)</f>
        <v>45323</v>
      </c>
      <c r="AE45" s="21">
        <v>2024</v>
      </c>
      <c r="AF45" s="21">
        <v>2</v>
      </c>
      <c r="AG45" s="28">
        <f>+Table_TSCD_KhauHao[[#This Row],[Khấu hao sản xuất]]+Table_TSCD_KhauHao[[#This Row],[Khấu hao bán hàng]]+Table_TSCD_KhauHao[[#This Row],[Khấu hao quản lý]]</f>
        <v>42083333.333333328</v>
      </c>
      <c r="AH4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6" spans="2:36" ht="16.5" x14ac:dyDescent="0.3">
      <c r="B46" s="40">
        <v>45323</v>
      </c>
      <c r="C46" s="38">
        <v>42083333.333333328</v>
      </c>
      <c r="D46" s="38">
        <v>30833333.333333332</v>
      </c>
      <c r="E46" s="38">
        <v>11250000</v>
      </c>
      <c r="F46" s="38">
        <v>0</v>
      </c>
      <c r="AD46" s="4">
        <f>IFERROR(
IF(ISBLANK(Table_TSCD_KhauHao[[#This Row],[Tháng]]),
DATE(Table_TSCD_KhauHao[[#This Row],[Năm]],12,1),
DATE(Table_TSCD_KhauHao[[#This Row],[Năm]],Table_TSCD_KhauHao[[#This Row],[Tháng]],1)),0)</f>
        <v>45292</v>
      </c>
      <c r="AE46" s="21">
        <v>2024</v>
      </c>
      <c r="AF46" s="21">
        <v>1</v>
      </c>
      <c r="AG46" s="28">
        <f>+Table_TSCD_KhauHao[[#This Row],[Khấu hao sản xuất]]+Table_TSCD_KhauHao[[#This Row],[Khấu hao bán hàng]]+Table_TSCD_KhauHao[[#This Row],[Khấu hao quản lý]]</f>
        <v>42083333.333333328</v>
      </c>
      <c r="AH4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7" spans="2:36" ht="16.5" x14ac:dyDescent="0.3">
      <c r="B47" s="39" t="s">
        <v>90</v>
      </c>
      <c r="C47" s="38">
        <v>42777777.777777776</v>
      </c>
      <c r="D47" s="38">
        <v>30833333.333333332</v>
      </c>
      <c r="E47" s="38">
        <v>11250000</v>
      </c>
      <c r="F47" s="38">
        <v>694444.4444444445</v>
      </c>
      <c r="AD47" s="4">
        <f>IFERROR(
IF(ISBLANK(Table_TSCD_KhauHao[[#This Row],[Tháng]]),
DATE(Table_TSCD_KhauHao[[#This Row],[Năm]],12,1),
DATE(Table_TSCD_KhauHao[[#This Row],[Năm]],Table_TSCD_KhauHao[[#This Row],[Tháng]],1)),0)</f>
        <v>45261</v>
      </c>
      <c r="AE47" s="21">
        <v>2023</v>
      </c>
      <c r="AF47" s="21">
        <v>12</v>
      </c>
      <c r="AG47" s="28">
        <f>+Table_TSCD_KhauHao[[#This Row],[Khấu hao sản xuất]]+Table_TSCD_KhauHao[[#This Row],[Khấu hao bán hàng]]+Table_TSCD_KhauHao[[#This Row],[Khấu hao quản lý]]</f>
        <v>42083333.333333328</v>
      </c>
      <c r="AH4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8" spans="2:36" ht="16.5" x14ac:dyDescent="0.3">
      <c r="B48" s="40">
        <v>45352</v>
      </c>
      <c r="C48" s="38">
        <v>42777777.777777776</v>
      </c>
      <c r="D48" s="38">
        <v>30833333.333333332</v>
      </c>
      <c r="E48" s="38">
        <v>11250000</v>
      </c>
      <c r="F48" s="38">
        <v>694444.4444444445</v>
      </c>
      <c r="AD48" s="4">
        <f>IFERROR(
IF(ISBLANK(Table_TSCD_KhauHao[[#This Row],[Tháng]]),
DATE(Table_TSCD_KhauHao[[#This Row],[Năm]],12,1),
DATE(Table_TSCD_KhauHao[[#This Row],[Năm]],Table_TSCD_KhauHao[[#This Row],[Tháng]],1)),0)</f>
        <v>45231</v>
      </c>
      <c r="AE48" s="21">
        <v>2023</v>
      </c>
      <c r="AF48" s="21">
        <v>11</v>
      </c>
      <c r="AG48" s="28">
        <f>+Table_TSCD_KhauHao[[#This Row],[Khấu hao sản xuất]]+Table_TSCD_KhauHao[[#This Row],[Khấu hao bán hàng]]+Table_TSCD_KhauHao[[#This Row],[Khấu hao quản lý]]</f>
        <v>42083333.333333328</v>
      </c>
      <c r="AH4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9" spans="2:36" ht="16.5" x14ac:dyDescent="0.3">
      <c r="B49" s="39" t="s">
        <v>79</v>
      </c>
      <c r="C49" s="38">
        <v>42777777.777777776</v>
      </c>
      <c r="D49" s="38">
        <v>30833333.333333332</v>
      </c>
      <c r="E49" s="38">
        <v>11250000</v>
      </c>
      <c r="F49" s="38">
        <v>694444.4444444445</v>
      </c>
      <c r="AD49" s="4">
        <f>IFERROR(
IF(ISBLANK(Table_TSCD_KhauHao[[#This Row],[Tháng]]),
DATE(Table_TSCD_KhauHao[[#This Row],[Năm]],12,1),
DATE(Table_TSCD_KhauHao[[#This Row],[Năm]],Table_TSCD_KhauHao[[#This Row],[Tháng]],1)),0)</f>
        <v>45200</v>
      </c>
      <c r="AE49" s="21">
        <v>2023</v>
      </c>
      <c r="AF49" s="21">
        <v>10</v>
      </c>
      <c r="AG49" s="28">
        <f>+Table_TSCD_KhauHao[[#This Row],[Khấu hao sản xuất]]+Table_TSCD_KhauHao[[#This Row],[Khấu hao bán hàng]]+Table_TSCD_KhauHao[[#This Row],[Khấu hao quản lý]]</f>
        <v>33750000</v>
      </c>
      <c r="AH4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AJ4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0" spans="2:36" ht="16.5" x14ac:dyDescent="0.3">
      <c r="B50" s="40">
        <v>45383</v>
      </c>
      <c r="C50" s="38">
        <v>42777777.777777776</v>
      </c>
      <c r="D50" s="38">
        <v>30833333.333333332</v>
      </c>
      <c r="E50" s="38">
        <v>11250000</v>
      </c>
      <c r="F50" s="38">
        <v>694444.4444444445</v>
      </c>
      <c r="AD50" s="4">
        <f>IFERROR(
IF(ISBLANK(Table_TSCD_KhauHao[[#This Row],[Tháng]]),
DATE(Table_TSCD_KhauHao[[#This Row],[Năm]],12,1),
DATE(Table_TSCD_KhauHao[[#This Row],[Năm]],Table_TSCD_KhauHao[[#This Row],[Tháng]],1)),0)</f>
        <v>45170</v>
      </c>
      <c r="AE50" s="21">
        <v>2023</v>
      </c>
      <c r="AF50" s="21">
        <v>9</v>
      </c>
      <c r="AG50" s="28">
        <f>+Table_TSCD_KhauHao[[#This Row],[Khấu hao sản xuất]]+Table_TSCD_KhauHao[[#This Row],[Khấu hao bán hàng]]+Table_TSCD_KhauHao[[#This Row],[Khấu hao quản lý]]</f>
        <v>10000000</v>
      </c>
      <c r="AH5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1" spans="2:36" ht="16.5" x14ac:dyDescent="0.3">
      <c r="B51" s="39" t="s">
        <v>80</v>
      </c>
      <c r="C51" s="38">
        <v>51111111.111111104</v>
      </c>
      <c r="D51" s="38">
        <v>30833333.333333332</v>
      </c>
      <c r="E51" s="38">
        <v>11250000</v>
      </c>
      <c r="F51" s="38">
        <v>9027777.777777778</v>
      </c>
      <c r="AD51" s="4">
        <f>IFERROR(
IF(ISBLANK(Table_TSCD_KhauHao[[#This Row],[Tháng]]),
DATE(Table_TSCD_KhauHao[[#This Row],[Năm]],12,1),
DATE(Table_TSCD_KhauHao[[#This Row],[Năm]],Table_TSCD_KhauHao[[#This Row],[Tháng]],1)),0)</f>
        <v>45139</v>
      </c>
      <c r="AE51" s="21">
        <v>2023</v>
      </c>
      <c r="AF51" s="21">
        <v>8</v>
      </c>
      <c r="AG51" s="28">
        <f>+Table_TSCD_KhauHao[[#This Row],[Khấu hao sản xuất]]+Table_TSCD_KhauHao[[#This Row],[Khấu hao bán hàng]]+Table_TSCD_KhauHao[[#This Row],[Khấu hao quản lý]]</f>
        <v>10000000</v>
      </c>
      <c r="AH5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2" spans="2:36" ht="16.5" x14ac:dyDescent="0.3">
      <c r="B52" s="40">
        <v>45413</v>
      </c>
      <c r="C52" s="38">
        <v>51111111.111111104</v>
      </c>
      <c r="D52" s="38">
        <v>30833333.333333332</v>
      </c>
      <c r="E52" s="38">
        <v>11250000</v>
      </c>
      <c r="F52" s="38">
        <v>9027777.777777778</v>
      </c>
      <c r="AD52" s="4">
        <f>IFERROR(
IF(ISBLANK(Table_TSCD_KhauHao[[#This Row],[Tháng]]),
DATE(Table_TSCD_KhauHao[[#This Row],[Năm]],12,1),
DATE(Table_TSCD_KhauHao[[#This Row],[Năm]],Table_TSCD_KhauHao[[#This Row],[Tháng]],1)),0)</f>
        <v>45108</v>
      </c>
      <c r="AE52" s="21">
        <v>2023</v>
      </c>
      <c r="AF52" s="21">
        <v>7</v>
      </c>
      <c r="AG52" s="28">
        <f>+Table_TSCD_KhauHao[[#This Row],[Khấu hao sản xuất]]+Table_TSCD_KhauHao[[#This Row],[Khấu hao bán hàng]]+Table_TSCD_KhauHao[[#This Row],[Khấu hao quản lý]]</f>
        <v>10000000</v>
      </c>
      <c r="AH5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3" spans="2:36" ht="16.5" x14ac:dyDescent="0.3">
      <c r="B53" s="39" t="s">
        <v>81</v>
      </c>
      <c r="C53" s="38">
        <v>51111111.111111104</v>
      </c>
      <c r="D53" s="38">
        <v>30833333.333333332</v>
      </c>
      <c r="E53" s="38">
        <v>11250000</v>
      </c>
      <c r="F53" s="38">
        <v>9027777.777777778</v>
      </c>
      <c r="AD53" s="4">
        <f>IFERROR(
IF(ISBLANK(Table_TSCD_KhauHao[[#This Row],[Tháng]]),
DATE(Table_TSCD_KhauHao[[#This Row],[Năm]],12,1),
DATE(Table_TSCD_KhauHao[[#This Row],[Năm]],Table_TSCD_KhauHao[[#This Row],[Tháng]],1)),0)</f>
        <v>45078</v>
      </c>
      <c r="AE53" s="21">
        <v>2023</v>
      </c>
      <c r="AF53" s="21">
        <v>6</v>
      </c>
      <c r="AG53" s="28">
        <f>+Table_TSCD_KhauHao[[#This Row],[Khấu hao sản xuất]]+Table_TSCD_KhauHao[[#This Row],[Khấu hao bán hàng]]+Table_TSCD_KhauHao[[#This Row],[Khấu hao quản lý]]</f>
        <v>10000000</v>
      </c>
      <c r="AH5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4" spans="2:36" ht="16.5" x14ac:dyDescent="0.3">
      <c r="B54" s="40">
        <v>45444</v>
      </c>
      <c r="C54" s="38">
        <v>51111111.111111104</v>
      </c>
      <c r="D54" s="38">
        <v>30833333.333333332</v>
      </c>
      <c r="E54" s="38">
        <v>11250000</v>
      </c>
      <c r="F54" s="38">
        <v>9027777.777777778</v>
      </c>
      <c r="AD54" s="4">
        <f>IFERROR(
IF(ISBLANK(Table_TSCD_KhauHao[[#This Row],[Tháng]]),
DATE(Table_TSCD_KhauHao[[#This Row],[Năm]],12,1),
DATE(Table_TSCD_KhauHao[[#This Row],[Năm]],Table_TSCD_KhauHao[[#This Row],[Tháng]],1)),0)</f>
        <v>45047</v>
      </c>
      <c r="AE54" s="21">
        <v>2023</v>
      </c>
      <c r="AF54" s="21">
        <v>5</v>
      </c>
      <c r="AG54" s="28">
        <f>+Table_TSCD_KhauHao[[#This Row],[Khấu hao sản xuất]]+Table_TSCD_KhauHao[[#This Row],[Khấu hao bán hàng]]+Table_TSCD_KhauHao[[#This Row],[Khấu hao quản lý]]</f>
        <v>10000000</v>
      </c>
      <c r="AH5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5" spans="2:36" ht="16.5" x14ac:dyDescent="0.3">
      <c r="B55" s="39" t="s">
        <v>82</v>
      </c>
      <c r="C55" s="38">
        <v>51111111.111111104</v>
      </c>
      <c r="D55" s="38">
        <v>30833333.333333332</v>
      </c>
      <c r="E55" s="38">
        <v>11250000</v>
      </c>
      <c r="F55" s="38">
        <v>9027777.777777778</v>
      </c>
      <c r="AD55" s="4">
        <f>IFERROR(
IF(ISBLANK(Table_TSCD_KhauHao[[#This Row],[Tháng]]),
DATE(Table_TSCD_KhauHao[[#This Row],[Năm]],12,1),
DATE(Table_TSCD_KhauHao[[#This Row],[Năm]],Table_TSCD_KhauHao[[#This Row],[Tháng]],1)),0)</f>
        <v>45017</v>
      </c>
      <c r="AE55" s="21">
        <v>2023</v>
      </c>
      <c r="AF55" s="21">
        <v>4</v>
      </c>
      <c r="AG55" s="28">
        <f>+Table_TSCD_KhauHao[[#This Row],[Khấu hao sản xuất]]+Table_TSCD_KhauHao[[#This Row],[Khấu hao bán hàng]]+Table_TSCD_KhauHao[[#This Row],[Khấu hao quản lý]]</f>
        <v>10000000</v>
      </c>
      <c r="AH5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6" spans="2:36" ht="16.5" x14ac:dyDescent="0.3">
      <c r="B56" s="40">
        <v>45474</v>
      </c>
      <c r="C56" s="38">
        <v>51111111.111111104</v>
      </c>
      <c r="D56" s="38">
        <v>30833333.333333332</v>
      </c>
      <c r="E56" s="38">
        <v>11250000</v>
      </c>
      <c r="F56" s="38">
        <v>9027777.777777778</v>
      </c>
    </row>
    <row r="57" spans="2:36" ht="16.5" x14ac:dyDescent="0.3">
      <c r="B57" s="39" t="s">
        <v>83</v>
      </c>
      <c r="C57" s="38">
        <v>51111111.111111104</v>
      </c>
      <c r="D57" s="38">
        <v>30833333.333333332</v>
      </c>
      <c r="E57" s="38">
        <v>11250000</v>
      </c>
      <c r="F57" s="38">
        <v>9027777.777777778</v>
      </c>
    </row>
    <row r="58" spans="2:36" ht="16.5" x14ac:dyDescent="0.3">
      <c r="B58" s="40">
        <v>45505</v>
      </c>
      <c r="C58" s="38">
        <v>51111111.111111104</v>
      </c>
      <c r="D58" s="38">
        <v>30833333.333333332</v>
      </c>
      <c r="E58" s="38">
        <v>11250000</v>
      </c>
      <c r="F58" s="38">
        <v>9027777.777777778</v>
      </c>
    </row>
    <row r="59" spans="2:36" ht="16.5" x14ac:dyDescent="0.3">
      <c r="B59" s="39" t="s">
        <v>84</v>
      </c>
      <c r="C59" s="38">
        <v>51111111.111111104</v>
      </c>
      <c r="D59" s="38">
        <v>30833333.333333332</v>
      </c>
      <c r="E59" s="38">
        <v>11250000</v>
      </c>
      <c r="F59" s="38">
        <v>9027777.777777778</v>
      </c>
    </row>
    <row r="60" spans="2:36" ht="16.5" x14ac:dyDescent="0.3">
      <c r="B60" s="40">
        <v>45536</v>
      </c>
      <c r="C60" s="38">
        <v>51111111.111111104</v>
      </c>
      <c r="D60" s="38">
        <v>30833333.333333332</v>
      </c>
      <c r="E60" s="38">
        <v>11250000</v>
      </c>
      <c r="F60" s="38">
        <v>9027777.777777778</v>
      </c>
    </row>
    <row r="61" spans="2:36" ht="16.5" x14ac:dyDescent="0.3">
      <c r="B61" s="39" t="s">
        <v>85</v>
      </c>
      <c r="C61" s="38">
        <v>51111111.111111104</v>
      </c>
      <c r="D61" s="38">
        <v>30833333.333333332</v>
      </c>
      <c r="E61" s="38">
        <v>11250000</v>
      </c>
      <c r="F61" s="38">
        <v>9027777.777777778</v>
      </c>
    </row>
    <row r="62" spans="2:36" ht="16.5" x14ac:dyDescent="0.3">
      <c r="B62" s="40">
        <v>45566</v>
      </c>
      <c r="C62" s="38">
        <v>51111111.111111104</v>
      </c>
      <c r="D62" s="38">
        <v>30833333.333333332</v>
      </c>
      <c r="E62" s="38">
        <v>11250000</v>
      </c>
      <c r="F62" s="38">
        <v>9027777.777777778</v>
      </c>
    </row>
    <row r="63" spans="2:36" ht="16.5" x14ac:dyDescent="0.3">
      <c r="B63" s="39" t="s">
        <v>86</v>
      </c>
      <c r="C63" s="38">
        <v>51111111.111111104</v>
      </c>
      <c r="D63" s="38">
        <v>30833333.333333332</v>
      </c>
      <c r="E63" s="38">
        <v>11250000</v>
      </c>
      <c r="F63" s="38">
        <v>9027777.777777778</v>
      </c>
    </row>
    <row r="64" spans="2:36" ht="16.5" x14ac:dyDescent="0.3">
      <c r="B64" s="40">
        <v>45597</v>
      </c>
      <c r="C64" s="38">
        <v>51111111.111111104</v>
      </c>
      <c r="D64" s="38">
        <v>30833333.333333332</v>
      </c>
      <c r="E64" s="38">
        <v>11250000</v>
      </c>
      <c r="F64" s="38">
        <v>9027777.777777778</v>
      </c>
    </row>
    <row r="65" spans="2:6" ht="16.5" x14ac:dyDescent="0.3">
      <c r="B65" s="39" t="s">
        <v>87</v>
      </c>
      <c r="C65" s="38">
        <v>51111111.111111104</v>
      </c>
      <c r="D65" s="38">
        <v>30833333.333333332</v>
      </c>
      <c r="E65" s="38">
        <v>11250000</v>
      </c>
      <c r="F65" s="38">
        <v>9027777.777777778</v>
      </c>
    </row>
    <row r="66" spans="2:6" ht="16.5" x14ac:dyDescent="0.3">
      <c r="B66" s="40">
        <v>45627</v>
      </c>
      <c r="C66" s="38">
        <v>51111111.111111104</v>
      </c>
      <c r="D66" s="38">
        <v>30833333.333333332</v>
      </c>
      <c r="E66" s="38">
        <v>11250000</v>
      </c>
      <c r="F66" s="38">
        <v>9027777.777777778</v>
      </c>
    </row>
    <row r="67" spans="2:6" ht="16.5" x14ac:dyDescent="0.3">
      <c r="B67" s="6" t="s">
        <v>76</v>
      </c>
      <c r="C67" s="38">
        <v>756527777.77777791</v>
      </c>
      <c r="D67" s="38">
        <v>522499999.99999988</v>
      </c>
      <c r="E67" s="38">
        <v>160416666.66666666</v>
      </c>
      <c r="F67" s="38">
        <v>73611111.111111104</v>
      </c>
    </row>
  </sheetData>
  <sheetProtection algorithmName="SHA-512" hashValue="BdkBXMJ66V0Gw0EETrCfT1wMJzfQ3h86dREIH2rnj0WaRUXG2yX0+DUK4r2IcsHveM28vT3wzv5E3cM1shEU6A==" saltValue="EgFD1W07gVOFU5TdShce8g==" spinCount="100000" sheet="1" scenarios="1" formatCells="0" formatColumns="0" formatRows="0" autoFilter="0" pivotTables="0"/>
  <phoneticPr fontId="6" type="noConversion"/>
  <dataValidations count="3">
    <dataValidation type="list" allowBlank="1" showInputMessage="1" showErrorMessage="1" sqref="N23:N28" xr:uid="{5CA07399-52DE-4FB7-A811-ADD3CE8DDDFE}">
      <formula1>"Sản xuất, Bán hàng, Văn phòng"</formula1>
    </dataValidation>
    <dataValidation type="list" allowBlank="1" showInputMessage="1" showErrorMessage="1" sqref="O23:O28" xr:uid="{2E2EFDA6-0447-42CA-976A-D4956DD10C2F}">
      <formula1>$B$6:$B$16</formula1>
    </dataValidation>
    <dataValidation type="list" allowBlank="1" showInputMessage="1" showErrorMessage="1" sqref="O12" xr:uid="{694A1755-DF06-41A8-B0D5-EE1DD5BA0270}">
      <formula1>MaTaiSan</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9878" r:id="rId5" name="Option Button 6">
              <controlPr defaultSize="0" autoFill="0" autoLine="0" autoPict="0" macro="[0]!DoiDonViHienThi">
                <anchor moveWithCells="1">
                  <from>
                    <xdr:col>12</xdr:col>
                    <xdr:colOff>1104900</xdr:colOff>
                    <xdr:row>0</xdr:row>
                    <xdr:rowOff>152400</xdr:rowOff>
                  </from>
                  <to>
                    <xdr:col>13</xdr:col>
                    <xdr:colOff>514350</xdr:colOff>
                    <xdr:row>1</xdr:row>
                    <xdr:rowOff>142875</xdr:rowOff>
                  </to>
                </anchor>
              </controlPr>
            </control>
          </mc:Choice>
        </mc:AlternateContent>
        <mc:AlternateContent xmlns:mc="http://schemas.openxmlformats.org/markup-compatibility/2006">
          <mc:Choice Requires="x14">
            <control shapeId="79879" r:id="rId6" name="Option Button 7">
              <controlPr defaultSize="0" autoFill="0" autoLine="0" autoPict="0" macro="[0]!DoiDonViHienThi">
                <anchor moveWithCells="1">
                  <from>
                    <xdr:col>13</xdr:col>
                    <xdr:colOff>390525</xdr:colOff>
                    <xdr:row>0</xdr:row>
                    <xdr:rowOff>152400</xdr:rowOff>
                  </from>
                  <to>
                    <xdr:col>14</xdr:col>
                    <xdr:colOff>47625</xdr:colOff>
                    <xdr:row>1</xdr:row>
                    <xdr:rowOff>142875</xdr:rowOff>
                  </to>
                </anchor>
              </controlPr>
            </control>
          </mc:Choice>
        </mc:AlternateContent>
        <mc:AlternateContent xmlns:mc="http://schemas.openxmlformats.org/markup-compatibility/2006">
          <mc:Choice Requires="x14">
            <control shapeId="79880" r:id="rId7" name="Option Button 8">
              <controlPr defaultSize="0" autoFill="0" autoLine="0" autoPict="0" macro="[0]!DoiDonViHienThi">
                <anchor moveWithCells="1">
                  <from>
                    <xdr:col>13</xdr:col>
                    <xdr:colOff>857250</xdr:colOff>
                    <xdr:row>0</xdr:row>
                    <xdr:rowOff>152400</xdr:rowOff>
                  </from>
                  <to>
                    <xdr:col>14</xdr:col>
                    <xdr:colOff>514350</xdr:colOff>
                    <xdr:row>1</xdr:row>
                    <xdr:rowOff>142875</xdr:rowOff>
                  </to>
                </anchor>
              </controlPr>
            </control>
          </mc:Choice>
        </mc:AlternateContent>
        <mc:AlternateContent xmlns:mc="http://schemas.openxmlformats.org/markup-compatibility/2006">
          <mc:Choice Requires="x14">
            <control shapeId="79881" r:id="rId8" name="Option Button 9">
              <controlPr defaultSize="0" autoFill="0" autoLine="0" autoPict="0" macro="[0]!DoiDonViHienThi">
                <anchor moveWithCells="1">
                  <from>
                    <xdr:col>14</xdr:col>
                    <xdr:colOff>400050</xdr:colOff>
                    <xdr:row>0</xdr:row>
                    <xdr:rowOff>152400</xdr:rowOff>
                  </from>
                  <to>
                    <xdr:col>14</xdr:col>
                    <xdr:colOff>752475</xdr:colOff>
                    <xdr:row>1</xdr:row>
                    <xdr:rowOff>142875</xdr:rowOff>
                  </to>
                </anchor>
              </controlPr>
            </control>
          </mc:Choice>
        </mc:AlternateContent>
        <mc:AlternateContent xmlns:mc="http://schemas.openxmlformats.org/markup-compatibility/2006">
          <mc:Choice Requires="x14">
            <control shapeId="79882" r:id="rId9" name="Group Box 10">
              <controlPr defaultSize="0" autoFill="0" autoPict="0">
                <anchor moveWithCells="1">
                  <from>
                    <xdr:col>12</xdr:col>
                    <xdr:colOff>990600</xdr:colOff>
                    <xdr:row>0</xdr:row>
                    <xdr:rowOff>104775</xdr:rowOff>
                  </from>
                  <to>
                    <xdr:col>14</xdr:col>
                    <xdr:colOff>866775</xdr:colOff>
                    <xdr:row>1</xdr:row>
                    <xdr:rowOff>180975</xdr:rowOff>
                  </to>
                </anchor>
              </controlPr>
            </control>
          </mc:Choice>
        </mc:AlternateContent>
        <mc:AlternateContent xmlns:mc="http://schemas.openxmlformats.org/markup-compatibility/2006">
          <mc:Choice Requires="x14">
            <control shapeId="79883" r:id="rId10" name="Group Box 11">
              <controlPr defaultSize="0" autoFill="0" autoPict="0">
                <anchor moveWithCells="1">
                  <from>
                    <xdr:col>11</xdr:col>
                    <xdr:colOff>57150</xdr:colOff>
                    <xdr:row>0</xdr:row>
                    <xdr:rowOff>104775</xdr:rowOff>
                  </from>
                  <to>
                    <xdr:col>12</xdr:col>
                    <xdr:colOff>942975</xdr:colOff>
                    <xdr:row>1</xdr:row>
                    <xdr:rowOff>180975</xdr:rowOff>
                  </to>
                </anchor>
              </controlPr>
            </control>
          </mc:Choice>
        </mc:AlternateContent>
        <mc:AlternateContent xmlns:mc="http://schemas.openxmlformats.org/markup-compatibility/2006">
          <mc:Choice Requires="x14">
            <control shapeId="79884" r:id="rId11" name="Button 12">
              <controlPr defaultSize="0" autoFill="0" autoPict="0" macro="[0]!NhanNghin">
                <anchor moveWithCells="1">
                  <from>
                    <xdr:col>11</xdr:col>
                    <xdr:colOff>142875</xdr:colOff>
                    <xdr:row>0</xdr:row>
                    <xdr:rowOff>200025</xdr:rowOff>
                  </from>
                  <to>
                    <xdr:col>11</xdr:col>
                    <xdr:colOff>609600</xdr:colOff>
                    <xdr:row>1</xdr:row>
                    <xdr:rowOff>85725</xdr:rowOff>
                  </to>
                </anchor>
              </controlPr>
            </control>
          </mc:Choice>
        </mc:AlternateContent>
        <mc:AlternateContent xmlns:mc="http://schemas.openxmlformats.org/markup-compatibility/2006">
          <mc:Choice Requires="x14">
            <control shapeId="79885" r:id="rId12" name="Button 13">
              <controlPr defaultSize="0" autoFill="0" autoPict="0" macro="[0]!NhanTrieu">
                <anchor moveWithCells="1">
                  <from>
                    <xdr:col>11</xdr:col>
                    <xdr:colOff>657225</xdr:colOff>
                    <xdr:row>0</xdr:row>
                    <xdr:rowOff>200025</xdr:rowOff>
                  </from>
                  <to>
                    <xdr:col>12</xdr:col>
                    <xdr:colOff>352425</xdr:colOff>
                    <xdr:row>1</xdr:row>
                    <xdr:rowOff>85725</xdr:rowOff>
                  </to>
                </anchor>
              </controlPr>
            </control>
          </mc:Choice>
        </mc:AlternateContent>
        <mc:AlternateContent xmlns:mc="http://schemas.openxmlformats.org/markup-compatibility/2006">
          <mc:Choice Requires="x14">
            <control shapeId="79886" r:id="rId13" name="Button 14">
              <controlPr defaultSize="0" autoFill="0" autoPict="0" macro="[0]!NhanTy">
                <anchor moveWithCells="1">
                  <from>
                    <xdr:col>12</xdr:col>
                    <xdr:colOff>400050</xdr:colOff>
                    <xdr:row>0</xdr:row>
                    <xdr:rowOff>200025</xdr:rowOff>
                  </from>
                  <to>
                    <xdr:col>12</xdr:col>
                    <xdr:colOff>866775</xdr:colOff>
                    <xdr:row>1</xdr:row>
                    <xdr:rowOff>85725</xdr:rowOff>
                  </to>
                </anchor>
              </controlPr>
            </control>
          </mc:Choice>
        </mc:AlternateContent>
        <mc:AlternateContent xmlns:mc="http://schemas.openxmlformats.org/markup-compatibility/2006">
          <mc:Choice Requires="x14">
            <control shapeId="79887" r:id="rId14" name="Button 15">
              <controlPr defaultSize="0" print="0" autoFill="0" autoPict="0" macro="[0]!AddRow">
                <anchor moveWithCells="1">
                  <from>
                    <xdr:col>14</xdr:col>
                    <xdr:colOff>1943100</xdr:colOff>
                    <xdr:row>0</xdr:row>
                    <xdr:rowOff>152400</xdr:rowOff>
                  </from>
                  <to>
                    <xdr:col>15</xdr:col>
                    <xdr:colOff>428625</xdr:colOff>
                    <xdr:row>1</xdr:row>
                    <xdr:rowOff>123825</xdr:rowOff>
                  </to>
                </anchor>
              </controlPr>
            </control>
          </mc:Choice>
        </mc:AlternateContent>
        <mc:AlternateContent xmlns:mc="http://schemas.openxmlformats.org/markup-compatibility/2006">
          <mc:Choice Requires="x14">
            <control shapeId="79888" r:id="rId15" name="Button 16">
              <controlPr defaultSize="0" print="0" autoFill="0" autoPict="0" macro="[0]!DeleteRow">
                <anchor moveWithCells="1">
                  <from>
                    <xdr:col>15</xdr:col>
                    <xdr:colOff>466725</xdr:colOff>
                    <xdr:row>0</xdr:row>
                    <xdr:rowOff>152400</xdr:rowOff>
                  </from>
                  <to>
                    <xdr:col>15</xdr:col>
                    <xdr:colOff>942975</xdr:colOff>
                    <xdr:row>1</xdr:row>
                    <xdr:rowOff>123825</xdr:rowOff>
                  </to>
                </anchor>
              </controlPr>
            </control>
          </mc:Choice>
        </mc:AlternateContent>
        <mc:AlternateContent xmlns:mc="http://schemas.openxmlformats.org/markup-compatibility/2006">
          <mc:Choice Requires="x14">
            <control shapeId="79893" r:id="rId16" name="Button 21">
              <controlPr defaultSize="0" print="0" autoFill="0" autoPict="0" macro="[0]!RefreshTables">
                <anchor moveWithCells="1">
                  <from>
                    <xdr:col>30</xdr:col>
                    <xdr:colOff>95250</xdr:colOff>
                    <xdr:row>0</xdr:row>
                    <xdr:rowOff>95250</xdr:rowOff>
                  </from>
                  <to>
                    <xdr:col>31</xdr:col>
                    <xdr:colOff>0</xdr:colOff>
                    <xdr:row>1</xdr:row>
                    <xdr:rowOff>66675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7" id="{6838E0B0-8F7C-4ECB-9973-D9A677444961}">
            <xm:f>Security!$A$1="NO VBA"</xm:f>
            <x14:dxf>
              <font>
                <color theme="0"/>
              </font>
              <border>
                <vertical/>
                <horizontal/>
              </border>
            </x14:dxf>
          </x14:cfRule>
          <xm:sqref>P35:AB35 AD1:XFD21 K1:AC5 L37:T37 L38:AB1048576 K22:AB22 P36:T36 AC22:AC1048576 L35:O36 K23:K1048576 AK22:XFD1048576 AD47:AJ1048576 AG43:AJ43 AF44:AJ46 AG23:AG42 AF23:AF43 AD23:AE46 P6:AB21 B6:B21 L7:L10 L23:AB34 N7:N14 N16:N21 O14 O16:O17 L13:L18</xm:sqref>
        </x14:conditionalFormatting>
        <x14:conditionalFormatting xmlns:xm="http://schemas.microsoft.com/office/excel/2006/main">
          <x14:cfRule type="expression" priority="13" id="{28C23062-8B69-4DBF-B225-0DA978058854}">
            <xm:f>Security!$A$1="NO VBA"</xm:f>
            <x14:dxf>
              <font>
                <color theme="0"/>
              </font>
              <border>
                <vertical/>
                <horizontal/>
              </border>
            </x14:dxf>
          </x14:cfRule>
          <xm:sqref>AD22:AG22</xm:sqref>
        </x14:conditionalFormatting>
        <x14:conditionalFormatting xmlns:xm="http://schemas.microsoft.com/office/excel/2006/main">
          <x14:cfRule type="expression" priority="11" id="{A5A99E9A-EF50-498D-816C-DC1468D208E3}">
            <xm:f>Security!$A$1="NO VBA"</xm:f>
            <x14:dxf>
              <font>
                <color theme="0"/>
              </font>
              <border>
                <vertical/>
                <horizontal/>
              </border>
            </x14:dxf>
          </x14:cfRule>
          <xm:sqref>T27</xm:sqref>
        </x14:conditionalFormatting>
        <x14:conditionalFormatting xmlns:xm="http://schemas.microsoft.com/office/excel/2006/main">
          <x14:cfRule type="expression" priority="10" id="{343EE784-B6A2-40C3-9EB0-19C23BDE71C9}">
            <xm:f>Security!$A$1="NO VBA"</xm:f>
            <x14:dxf>
              <font>
                <color theme="0"/>
              </font>
              <border>
                <vertical/>
                <horizontal/>
              </border>
            </x14:dxf>
          </x14:cfRule>
          <xm:sqref>T26</xm:sqref>
        </x14:conditionalFormatting>
        <x14:conditionalFormatting xmlns:xm="http://schemas.microsoft.com/office/excel/2006/main">
          <x14:cfRule type="expression" priority="9" id="{FA4882B4-F7BC-4296-9ABD-EDECDF0266F0}">
            <xm:f>Security!$A$1="NO VBA"</xm:f>
            <x14:dxf>
              <font>
                <color theme="0"/>
              </font>
              <border>
                <vertical/>
                <horizontal/>
              </border>
            </x14:dxf>
          </x14:cfRule>
          <xm:sqref>T25</xm:sqref>
        </x14:conditionalFormatting>
        <x14:conditionalFormatting xmlns:xm="http://schemas.microsoft.com/office/excel/2006/main">
          <x14:cfRule type="expression" priority="8" id="{4E62D948-0A25-43D4-96F0-373DB5B07E03}">
            <xm:f>Security!$A$1="NO VBA"</xm:f>
            <x14:dxf>
              <font>
                <color theme="0"/>
              </font>
              <border>
                <vertical/>
                <horizontal/>
              </border>
            </x14:dxf>
          </x14:cfRule>
          <xm:sqref>T24</xm:sqref>
        </x14:conditionalFormatting>
        <x14:conditionalFormatting xmlns:xm="http://schemas.microsoft.com/office/excel/2006/main">
          <x14:cfRule type="expression" priority="7" id="{586D26E9-EADB-44AE-9AD3-DD3B3B648B87}">
            <xm:f>Security!$A$1="NO VBA"</xm:f>
            <x14:dxf>
              <font>
                <color theme="0"/>
              </font>
              <border>
                <vertical/>
                <horizontal/>
              </border>
            </x14:dxf>
          </x14:cfRule>
          <xm:sqref>T23</xm:sqref>
        </x14:conditionalFormatting>
        <x14:conditionalFormatting xmlns:xm="http://schemas.microsoft.com/office/excel/2006/main">
          <x14:cfRule type="expression" priority="6" id="{3A3920D9-4AA7-44A7-86B6-BA06ED5A1C0A}">
            <xm:f>Security!$A$1="NO VBA"</xm:f>
            <x14:dxf>
              <font>
                <color theme="0"/>
              </font>
              <border>
                <vertical/>
                <horizontal/>
              </border>
            </x14:dxf>
          </x14:cfRule>
          <xm:sqref>A1:A5 A22:A1048576</xm:sqref>
        </x14:conditionalFormatting>
        <x14:conditionalFormatting xmlns:xm="http://schemas.microsoft.com/office/excel/2006/main">
          <x14:cfRule type="expression" priority="5" id="{A1043DAB-7B29-4EE9-9105-3DD849C831C5}">
            <xm:f>Security!$A$1="NO VBA"</xm:f>
            <x14:dxf>
              <font>
                <color theme="0"/>
              </font>
              <border>
                <vertical/>
                <horizontal/>
              </border>
            </x14:dxf>
          </x14:cfRule>
          <xm:sqref>G1:G5 G22:G1048576</xm:sqref>
        </x14:conditionalFormatting>
        <x14:conditionalFormatting xmlns:xm="http://schemas.microsoft.com/office/excel/2006/main">
          <x14:cfRule type="expression" priority="4" id="{5D562600-4CD5-4379-8857-C1D45152B076}">
            <xm:f>Security!$A$1="NO VBA"</xm:f>
            <x14:dxf>
              <font>
                <color theme="0"/>
              </font>
              <border>
                <vertical/>
                <horizontal/>
              </border>
            </x14:dxf>
          </x14:cfRule>
          <xm:sqref>O8:O10</xm:sqref>
        </x14:conditionalFormatting>
        <x14:conditionalFormatting xmlns:xm="http://schemas.microsoft.com/office/excel/2006/main">
          <x14:cfRule type="expression" priority="3" id="{072614C3-C05C-4A3C-A058-CE9636CA8820}">
            <xm:f>Security!$A$1="NO VBA"</xm:f>
            <x14:dxf>
              <font>
                <color theme="0"/>
              </font>
              <border>
                <vertical/>
                <horizontal/>
              </border>
            </x14:dxf>
          </x14:cfRule>
          <xm:sqref>L12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p h � �c   n  � �� � � �  p h � �c   n  � �� � � 
</file>

<file path=customXml/item3.xml>��   
</file>

<file path=customXml/item4.xml>�� 
</file>

<file path=customXml/item5.xml>�� � � � � �  t �n   � �  t � � � � � � � � � � � �  t �n   � �  t � � � � � � � � � � � �  l �� � � � � � �  s u � � � � � � � � � �� �  l � � � �� �  l � � � �  l � �n   � � �n   s �  b � � �p     �  �  �  �  l ��  �  � � � � � �  t �n   � �  t � � � � � � � � � � � �  t �n   � �  t � � � � � � � � � � � �  l �� � � � � � �  s u � � � � � � � � � �� �  l � � � �� �  l � � � �  l � �n   � � �n   s �  b � � �p     �  �  �  �  l ��  �  � 
</file>

<file path=customXml/item6.xml>�� �n   �u   t � �n   �u   t � �  �u   t � �i   h � �  �  �u   t � �   � �n   �u   t � �n   �u   t � �  �u   t � �i   h � �  �  �u   t � �   � 
</file>

<file path=customXml/item7.xml>�� � � � �� �  l � � � � i �m   s �  d � � �n   c � � �p    � � � � i � �  d �  �  �  �  �  l ��  �  � �  l � � � � � � �� �  l � � � � i �m   s �  d � � �n   c � � �p    � � � � i � �  d �  �  �  �  �  l ��  �  � �  l � � � 
</file>

<file path=customXml/item8.xml>��   
</file>

<file path=customXml/item9.xml>�� 
</file>

<file path=customXml/item10.xml>��   
</file>

<file path=customXml/item11.xml>��   
</file>

<file path=customXml/item12.xml>�� �c   n  �c   n  
</file>

<file path=customXml/item13.xml>�� � � � i � �  d � i �m   s �  d � �� �  l � � � � � �n   c � � � � � �  l � � � � �p     �  �  �  �  l ��  �  � 
</file>

<file path=customXml/item14.xml>�� �� �i   t �� � �� �t   � � �  l � � �  l �� �  t � � �� �i   t �� � �� �t   � � �  l � � �  l �� �  t � � 
</file>

<file path=customXml/item15.xml>��   
</file>

<file path=customXml/item16.xml>��   
</file>

<file path=customXml/item17.xml>�� � � �n   v � �  s u � �  l � � � � �n   v � �  s u � �  l � � 
</file>

<file path=customXml/item18.xml>�� 
</file>

<file path=customXml/item19.xml>�� � � � � 
</file>

<file path=customXml/item20.xml>��   
</file>

<file path=customXml/item21.xml>�� �  �  
</file>

<file path=customXml/item22.xml>��   
</file>

<file path=customXml/item23.xml>��   
</file>

<file path=customXml/itemProps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xml><?xml version="1.0" encoding="utf-8"?>
<ds:datastoreItem xmlns:ds="http://schemas.openxmlformats.org/officeDocument/2006/customXml" ds:itemID="{7D64D66F-1898-49BE-A788-6FA781CEE8F3}">
  <ds:schemaRefs/>
</ds:datastoreItem>
</file>

<file path=customXml/itemProps3.xml><?xml version="1.0" encoding="utf-8"?>
<ds:datastoreItem xmlns:ds="http://schemas.openxmlformats.org/officeDocument/2006/customXml" ds:itemID="{104A6CAF-8CC0-4F12-8051-31E2340CC4C2}">
  <ds:schemaRefs/>
</ds:datastoreItem>
</file>

<file path=customXml/itemProps4.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5.xml><?xml version="1.0" encoding="utf-8"?>
<ds:datastoreItem xmlns:ds="http://schemas.openxmlformats.org/officeDocument/2006/customXml" ds:itemID="{2BF00A03-70FC-4137-967C-82A1B61F0E08}">
  <ds:schemaRefs/>
</ds:datastoreItem>
</file>

<file path=customXml/itemProps6.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7.xml><?xml version="1.0" encoding="utf-8"?>
<ds:datastoreItem xmlns:ds="http://schemas.openxmlformats.org/officeDocument/2006/customXml" ds:itemID="{CCFAB5FF-26AB-4CB9-BA2C-5A121007B041}">
  <ds:schemaRefs/>
</ds:datastoreItem>
</file>

<file path=customXml/itemProps8.xml><?xml version="1.0" encoding="utf-8"?>
<ds:datastoreItem xmlns:ds="http://schemas.openxmlformats.org/officeDocument/2006/customXml" ds:itemID="{A849B9D7-188B-48DA-AB5B-54583621621D}">
  <ds:schemaRefs/>
</ds:datastoreItem>
</file>

<file path=customXml/itemProps9.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0.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1.xml><?xml version="1.0" encoding="utf-8"?>
<ds:datastoreItem xmlns:ds="http://schemas.openxmlformats.org/officeDocument/2006/customXml" ds:itemID="{0B9C3544-1C46-45A4-BEB6-1CE4D6559900}">
  <ds:schemaRefs/>
</ds:datastoreItem>
</file>

<file path=customXml/itemProps12.xml><?xml version="1.0" encoding="utf-8"?>
<ds:datastoreItem xmlns:ds="http://schemas.openxmlformats.org/officeDocument/2006/customXml" ds:itemID="{A6D0F6C4-9EB7-4062-86F8-715E8F5BF469}">
  <ds:schemaRefs/>
</ds:datastoreItem>
</file>

<file path=customXml/itemProps13.xml><?xml version="1.0" encoding="utf-8"?>
<ds:datastoreItem xmlns:ds="http://schemas.openxmlformats.org/officeDocument/2006/customXml" ds:itemID="{4F023B59-6671-4442-B15F-D8D1F04CE43F}">
  <ds:schemaRefs/>
</ds:datastoreItem>
</file>

<file path=customXml/itemProps14.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5.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6.xml><?xml version="1.0" encoding="utf-8"?>
<ds:datastoreItem xmlns:ds="http://schemas.openxmlformats.org/officeDocument/2006/customXml" ds:itemID="{4BA9E5F1-90AC-490B-B178-7C8B339E1A47}">
  <ds:schemaRefs/>
</ds:datastoreItem>
</file>

<file path=customXml/itemProps17.xml><?xml version="1.0" encoding="utf-8"?>
<ds:datastoreItem xmlns:ds="http://schemas.openxmlformats.org/officeDocument/2006/customXml" ds:itemID="{19BA8129-97AB-4694-BBC1-89CB3D2043B0}">
  <ds:schemaRefs/>
</ds:datastoreItem>
</file>

<file path=customXml/itemProps18.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9.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0.xml><?xml version="1.0" encoding="utf-8"?>
<ds:datastoreItem xmlns:ds="http://schemas.openxmlformats.org/officeDocument/2006/customXml" ds:itemID="{15A5E9E7-8554-4C17-8FCE-88C5899190B5}">
  <ds:schemaRefs/>
</ds:datastoreItem>
</file>

<file path=customXml/itemProps2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2.xml><?xml version="1.0" encoding="utf-8"?>
<ds:datastoreItem xmlns:ds="http://schemas.openxmlformats.org/officeDocument/2006/customXml" ds:itemID="{339EBD31-34FE-48FA-B11C-5697D02F64AC}">
  <ds:schemaRefs/>
</ds:datastoreItem>
</file>

<file path=customXml/itemProps23.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Lịch khấu hao</vt:lpstr>
      <vt:lpstr>MaTaiSan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2025-06-05T09:28:55Z</dcterms:modified>
  <cp:category/>
  <cp:contentStatus/>
</cp:coreProperties>
</file>