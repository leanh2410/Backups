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0C9FDAFB-B8ED-430B-8379-41A9664BD82A}"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Lịch trả gốc lãi vay" sheetId="38" state="veryHidden"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1"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<sst xmlns="http://schemas.openxmlformats.org/spreadsheetml/2006/main" count="147" uniqueCount="103">
  <si>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</si>
  <si>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</si>
  <si>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</si>
  <si>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</si>
  <si>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</si>
  <si>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</si>
  <si>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</si>
  <si>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</si>
  <si>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</si>
  <si>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</si>
  <si>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</si>
  <si>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</si>
  <si>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</si>
  <si>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</si>
  <si>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</si>
  <si>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</si>
  <si>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</si>
  <si>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</si>
  <si>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</si>
  <si>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</si>
  <si>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</si>
  <si>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</si>
  <si>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</si>
  <si>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</si>
  <si>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</si>
  <si>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</si>
  <si>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</si>
  <si>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</si>
  <si>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</si>
  <si>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</si>
  <si>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</si>
  <si>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</si>
  <si>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</si>
  <si>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</si>
  <si>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</si>
  <si>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</si>
  <si>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</si>
  <si>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</si>
  <si>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</si>
  <si>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</si>
  <si>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</si>
  <si>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</si>
  <si>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</si>
  <si>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</si>
  <si>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</si>
  <si>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</si>
  <si>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</si>
  <si>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</si>
  <si>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</si>
  <si>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</si>
  <si>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</si>
  <si>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</si>
  <si>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</si>
  <si>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</si>
  <si>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</si>
  <si>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</si>
  <si>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</si>
  <si>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</si>
  <si>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</si>
  <si>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</si>
  <si>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</si>
  <si>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</si>
  <si>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</si>
  <si>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</si>
  <si>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</si>
  <si>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</si>
  <si>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</si>
  <si>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</si>
  <si>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</si>
  <si>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</si>
  <si>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</si>
  <si>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</si>
  <si>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</si>
  <si>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</si>
  <si>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</si>
  <si>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</si>
  <si>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</si>
  <si>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</si>
  <si>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</si>
  <si>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</si>
  <si>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</si>
  <si>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</si>
  <si>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</si>
  <si>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</si>
  <si>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</si>
  <si>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</si>
  <si>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</si>
  <si>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</si>
  <si>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</si>
  <si>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</si>
  <si>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</si>
  <si>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</si>
  <si>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</si>
  <si>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</si>
  <si>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</si>
  <si>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</si>
  <si>
    <t>TC01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</si>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</sst>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36"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36"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42"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28551</xdr:colOff>
          <xdr:row>0</xdr:row>
          <xdr:rowOff>57149</xdr:rowOff>
        </xdr:from>
        <xdr:to>
          <xdr:col>10</xdr:col>
          <xdr:colOff>755352</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1" y="57149"/>
              <a:ext cx="1660251" cy="361949"/>
              <a:chOff x="6162651"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1"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47" cy="180000"/>
                <a:chOff x="6029324" y="4257675"/>
                <a:chExt cx="1495447"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4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33">
      <pivotArea collapsedLevelsAreSubtotals="1" fieldPosition="0">
        <references count="1">
          <reference field="4" count="1">
            <x v="0"/>
          </reference>
        </references>
      </pivotArea>
    </format>
    <format dxfId="32">
      <pivotArea collapsedLevelsAreSubtotals="1" fieldPosition="0">
        <references count="1">
          <reference field="4" count="1">
            <x v="1"/>
          </reference>
        </references>
      </pivotArea>
    </format>
    <format dxfId="31">
      <pivotArea collapsedLevelsAreSubtotals="1" fieldPosition="0">
        <references count="1">
          <reference field="4" count="1">
            <x v="2"/>
          </reference>
        </references>
      </pivotArea>
    </format>
    <format dxfId="30">
      <pivotArea collapsedLevelsAreSubtotals="1" fieldPosition="0">
        <references count="1">
          <reference field="4" count="1">
            <x v="3"/>
          </reference>
        </references>
      </pivotArea>
    </format>
    <format dxfId="29">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60">
      <pivotArea dataOnly="0" labelOnly="1" grandRow="1" outline="0" fieldPosition="0"/>
    </format>
    <format dxfId="159">
      <pivotArea dataOnly="0" labelOnly="1" fieldPosition="0">
        <references count="1">
          <reference field="16" count="1">
            <x v="2"/>
          </reference>
        </references>
      </pivotArea>
    </format>
    <format dxfId="158">
      <pivotArea collapsedLevelsAreSubtotals="1" fieldPosition="0">
        <references count="2">
          <reference field="4294967294" count="1" selected="0">
            <x v="0"/>
          </reference>
          <reference field="16" count="1">
            <x v="2"/>
          </reference>
        </references>
      </pivotArea>
    </format>
    <format dxfId="157">
      <pivotArea collapsedLevelsAreSubtotals="1" fieldPosition="0">
        <references count="2">
          <reference field="4294967294" count="1" selected="0">
            <x v="1"/>
          </reference>
          <reference field="16" count="1">
            <x v="2"/>
          </reference>
        </references>
      </pivotArea>
    </format>
    <format dxfId="156">
      <pivotArea collapsedLevelsAreSubtotals="1" fieldPosition="0">
        <references count="2">
          <reference field="4294967294" count="1" selected="0">
            <x v="2"/>
          </reference>
          <reference field="16" count="1">
            <x v="2"/>
          </reference>
        </references>
      </pivotArea>
    </format>
    <format dxfId="155">
      <pivotArea collapsedLevelsAreSubtotals="1" fieldPosition="0">
        <references count="3">
          <reference field="4294967294" count="1" selected="0">
            <x v="0"/>
          </reference>
          <reference field="14" count="1">
            <x v="2"/>
          </reference>
          <reference field="16" count="1" selected="0">
            <x v="2"/>
          </reference>
        </references>
      </pivotArea>
    </format>
    <format dxfId="154">
      <pivotArea collapsedLevelsAreSubtotals="1" fieldPosition="0">
        <references count="3">
          <reference field="4294967294" count="1" selected="0">
            <x v="1"/>
          </reference>
          <reference field="14" count="1">
            <x v="2"/>
          </reference>
          <reference field="16" count="1" selected="0">
            <x v="2"/>
          </reference>
        </references>
      </pivotArea>
    </format>
    <format dxfId="153">
      <pivotArea collapsedLevelsAreSubtotals="1" fieldPosition="0">
        <references count="3">
          <reference field="4294967294" count="1" selected="0">
            <x v="2"/>
          </reference>
          <reference field="14" count="1">
            <x v="2"/>
          </reference>
          <reference field="16" count="1" selected="0">
            <x v="2"/>
          </reference>
        </references>
      </pivotArea>
    </format>
    <format dxfId="152">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51">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50">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9">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8">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7">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6">
      <pivotArea collapsedLevelsAreSubtotals="1" fieldPosition="0">
        <references count="3">
          <reference field="4294967294" count="1" selected="0">
            <x v="0"/>
          </reference>
          <reference field="14" count="1">
            <x v="4"/>
          </reference>
          <reference field="16" count="1" selected="0">
            <x v="2"/>
          </reference>
        </references>
      </pivotArea>
    </format>
    <format dxfId="145">
      <pivotArea collapsedLevelsAreSubtotals="1" fieldPosition="0">
        <references count="3">
          <reference field="4294967294" count="1" selected="0">
            <x v="1"/>
          </reference>
          <reference field="14" count="1">
            <x v="4"/>
          </reference>
          <reference field="16" count="1" selected="0">
            <x v="2"/>
          </reference>
        </references>
      </pivotArea>
    </format>
    <format dxfId="144">
      <pivotArea collapsedLevelsAreSubtotals="1" fieldPosition="0">
        <references count="3">
          <reference field="4294967294" count="1" selected="0">
            <x v="2"/>
          </reference>
          <reference field="14" count="1">
            <x v="4"/>
          </reference>
          <reference field="16" count="1" selected="0">
            <x v="2"/>
          </reference>
        </references>
      </pivotArea>
    </format>
    <format dxfId="143">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42">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41">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40">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9">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8">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7">
      <pivotArea collapsedLevelsAreSubtotals="1" fieldPosition="0">
        <references count="3">
          <reference field="4294967294" count="1" selected="0">
            <x v="0"/>
          </reference>
          <reference field="14" count="1">
            <x v="5"/>
          </reference>
          <reference field="16" count="1" selected="0">
            <x v="2"/>
          </reference>
        </references>
      </pivotArea>
    </format>
    <format dxfId="136">
      <pivotArea collapsedLevelsAreSubtotals="1" fieldPosition="0">
        <references count="3">
          <reference field="4294967294" count="1" selected="0">
            <x v="1"/>
          </reference>
          <reference field="14" count="1">
            <x v="5"/>
          </reference>
          <reference field="16" count="1" selected="0">
            <x v="2"/>
          </reference>
        </references>
      </pivotArea>
    </format>
    <format dxfId="135">
      <pivotArea collapsedLevelsAreSubtotals="1" fieldPosition="0">
        <references count="3">
          <reference field="4294967294" count="1" selected="0">
            <x v="2"/>
          </reference>
          <reference field="14" count="1">
            <x v="5"/>
          </reference>
          <reference field="16" count="1" selected="0">
            <x v="2"/>
          </reference>
        </references>
      </pivotArea>
    </format>
    <format dxfId="134">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33">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32">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31">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30">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9">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8">
      <pivotArea collapsedLevelsAreSubtotals="1" fieldPosition="0">
        <references count="3">
          <reference field="4294967294" count="1" selected="0">
            <x v="0"/>
          </reference>
          <reference field="14" count="1">
            <x v="6"/>
          </reference>
          <reference field="16" count="1" selected="0">
            <x v="2"/>
          </reference>
        </references>
      </pivotArea>
    </format>
    <format dxfId="127">
      <pivotArea collapsedLevelsAreSubtotals="1" fieldPosition="0">
        <references count="3">
          <reference field="4294967294" count="1" selected="0">
            <x v="1"/>
          </reference>
          <reference field="14" count="1">
            <x v="6"/>
          </reference>
          <reference field="16" count="1" selected="0">
            <x v="2"/>
          </reference>
        </references>
      </pivotArea>
    </format>
    <format dxfId="126">
      <pivotArea collapsedLevelsAreSubtotals="1" fieldPosition="0">
        <references count="3">
          <reference field="4294967294" count="1" selected="0">
            <x v="2"/>
          </reference>
          <reference field="14" count="1">
            <x v="6"/>
          </reference>
          <reference field="16" count="1" selected="0">
            <x v="2"/>
          </reference>
        </references>
      </pivotArea>
    </format>
    <format dxfId="125">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24">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23">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22">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21">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20">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9">
      <pivotArea collapsedLevelsAreSubtotals="1" fieldPosition="0">
        <references count="3">
          <reference field="4294967294" count="1" selected="0">
            <x v="0"/>
          </reference>
          <reference field="14" count="1">
            <x v="7"/>
          </reference>
          <reference field="16" count="1" selected="0">
            <x v="2"/>
          </reference>
        </references>
      </pivotArea>
    </format>
    <format dxfId="118">
      <pivotArea collapsedLevelsAreSubtotals="1" fieldPosition="0">
        <references count="3">
          <reference field="4294967294" count="1" selected="0">
            <x v="1"/>
          </reference>
          <reference field="14" count="1">
            <x v="7"/>
          </reference>
          <reference field="16" count="1" selected="0">
            <x v="2"/>
          </reference>
        </references>
      </pivotArea>
    </format>
    <format dxfId="117">
      <pivotArea collapsedLevelsAreSubtotals="1" fieldPosition="0">
        <references count="3">
          <reference field="4294967294" count="1" selected="0">
            <x v="2"/>
          </reference>
          <reference field="14" count="1">
            <x v="7"/>
          </reference>
          <reference field="16" count="1" selected="0">
            <x v="2"/>
          </reference>
        </references>
      </pivotArea>
    </format>
    <format dxfId="116">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5">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14">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13">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12">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11">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10">
      <pivotArea collapsedLevelsAreSubtotals="1" fieldPosition="0">
        <references count="3">
          <reference field="4294967294" count="1" selected="0">
            <x v="0"/>
          </reference>
          <reference field="14" count="1">
            <x v="8"/>
          </reference>
          <reference field="16" count="1" selected="0">
            <x v="2"/>
          </reference>
        </references>
      </pivotArea>
    </format>
    <format dxfId="109">
      <pivotArea collapsedLevelsAreSubtotals="1" fieldPosition="0">
        <references count="3">
          <reference field="4294967294" count="1" selected="0">
            <x v="1"/>
          </reference>
          <reference field="14" count="1">
            <x v="8"/>
          </reference>
          <reference field="16" count="1" selected="0">
            <x v="2"/>
          </reference>
        </references>
      </pivotArea>
    </format>
    <format dxfId="108">
      <pivotArea collapsedLevelsAreSubtotals="1" fieldPosition="0">
        <references count="3">
          <reference field="4294967294" count="1" selected="0">
            <x v="2"/>
          </reference>
          <reference field="14" count="1">
            <x v="8"/>
          </reference>
          <reference field="16" count="1" selected="0">
            <x v="2"/>
          </reference>
        </references>
      </pivotArea>
    </format>
    <format dxfId="107">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6">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5">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104">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103">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102">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101">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100">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9">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8">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7">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6">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5">
      <pivotArea collapsedLevelsAreSubtotals="1" fieldPosition="0">
        <references count="3">
          <reference field="4294967294" count="1" selected="0">
            <x v="0"/>
          </reference>
          <reference field="14" count="1">
            <x v="9"/>
          </reference>
          <reference field="16" count="1" selected="0">
            <x v="2"/>
          </reference>
        </references>
      </pivotArea>
    </format>
    <format dxfId="94">
      <pivotArea collapsedLevelsAreSubtotals="1" fieldPosition="0">
        <references count="3">
          <reference field="4294967294" count="1" selected="0">
            <x v="1"/>
          </reference>
          <reference field="14" count="1">
            <x v="9"/>
          </reference>
          <reference field="16" count="1" selected="0">
            <x v="2"/>
          </reference>
        </references>
      </pivotArea>
    </format>
    <format dxfId="93">
      <pivotArea collapsedLevelsAreSubtotals="1" fieldPosition="0">
        <references count="3">
          <reference field="4294967294" count="1" selected="0">
            <x v="2"/>
          </reference>
          <reference field="14" count="1">
            <x v="9"/>
          </reference>
          <reference field="16" count="1" selected="0">
            <x v="2"/>
          </reference>
        </references>
      </pivotArea>
    </format>
    <format dxfId="92">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91">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90">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9">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8">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7">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6">
      <pivotArea collapsedLevelsAreSubtotals="1" fieldPosition="0">
        <references count="3">
          <reference field="4294967294" count="1" selected="0">
            <x v="0"/>
          </reference>
          <reference field="14" count="1">
            <x v="10"/>
          </reference>
          <reference field="16" count="1" selected="0">
            <x v="2"/>
          </reference>
        </references>
      </pivotArea>
    </format>
    <format dxfId="85">
      <pivotArea collapsedLevelsAreSubtotals="1" fieldPosition="0">
        <references count="3">
          <reference field="4294967294" count="1" selected="0">
            <x v="1"/>
          </reference>
          <reference field="14" count="1">
            <x v="10"/>
          </reference>
          <reference field="16" count="1" selected="0">
            <x v="2"/>
          </reference>
        </references>
      </pivotArea>
    </format>
    <format dxfId="84">
      <pivotArea collapsedLevelsAreSubtotals="1" fieldPosition="0">
        <references count="3">
          <reference field="4294967294" count="1" selected="0">
            <x v="2"/>
          </reference>
          <reference field="14" count="1">
            <x v="10"/>
          </reference>
          <reference field="16" count="1" selected="0">
            <x v="2"/>
          </reference>
        </references>
      </pivotArea>
    </format>
    <format dxfId="83">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82">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81">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80">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9">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8">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7">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6">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5">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74">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72">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71">
      <pivotArea dataOnly="0" labelOnly="1" fieldPosition="0">
        <references count="1">
          <reference field="16" count="1">
            <x v="3"/>
          </reference>
        </references>
      </pivotArea>
    </format>
    <format dxfId="70">
      <pivotArea collapsedLevelsAreSubtotals="1" fieldPosition="0">
        <references count="2">
          <reference field="4294967294" count="1" selected="0">
            <x v="0"/>
          </reference>
          <reference field="16" count="1">
            <x v="3"/>
          </reference>
        </references>
      </pivotArea>
    </format>
    <format dxfId="69">
      <pivotArea collapsedLevelsAreSubtotals="1" fieldPosition="0">
        <references count="2">
          <reference field="4294967294" count="1" selected="0">
            <x v="1"/>
          </reference>
          <reference field="16" count="1">
            <x v="3"/>
          </reference>
        </references>
      </pivotArea>
    </format>
    <format dxfId="68">
      <pivotArea collapsedLevelsAreSubtotals="1" fieldPosition="0">
        <references count="2">
          <reference field="4294967294" count="1" selected="0">
            <x v="2"/>
          </reference>
          <reference field="16" count="1">
            <x v="3"/>
          </reference>
        </references>
      </pivotArea>
    </format>
    <format dxfId="67">
      <pivotArea collapsedLevelsAreSubtotals="1" fieldPosition="0">
        <references count="3">
          <reference field="4294967294" count="1" selected="0">
            <x v="0"/>
          </reference>
          <reference field="14" count="1">
            <x v="2"/>
          </reference>
          <reference field="16" count="1" selected="0">
            <x v="3"/>
          </reference>
        </references>
      </pivotArea>
    </format>
    <format dxfId="66">
      <pivotArea collapsedLevelsAreSubtotals="1" fieldPosition="0">
        <references count="3">
          <reference field="4294967294" count="1" selected="0">
            <x v="1"/>
          </reference>
          <reference field="14" count="1">
            <x v="2"/>
          </reference>
          <reference field="16" count="1" selected="0">
            <x v="3"/>
          </reference>
        </references>
      </pivotArea>
    </format>
    <format dxfId="65">
      <pivotArea collapsedLevelsAreSubtotals="1" fieldPosition="0">
        <references count="3">
          <reference field="4294967294" count="1" selected="0">
            <x v="2"/>
          </reference>
          <reference field="14" count="1">
            <x v="2"/>
          </reference>
          <reference field="16" count="1" selected="0">
            <x v="3"/>
          </reference>
        </references>
      </pivotArea>
    </format>
    <format dxfId="64">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63">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62">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61">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60">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9">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8">
      <pivotArea collapsedLevelsAreSubtotals="1" fieldPosition="0">
        <references count="3">
          <reference field="4294967294" count="1" selected="0">
            <x v="0"/>
          </reference>
          <reference field="14" count="1">
            <x v="5"/>
          </reference>
          <reference field="16" count="1" selected="0">
            <x v="3"/>
          </reference>
        </references>
      </pivotArea>
    </format>
    <format dxfId="57">
      <pivotArea collapsedLevelsAreSubtotals="1" fieldPosition="0">
        <references count="3">
          <reference field="4294967294" count="1" selected="0">
            <x v="1"/>
          </reference>
          <reference field="14" count="1">
            <x v="5"/>
          </reference>
          <reference field="16" count="1" selected="0">
            <x v="3"/>
          </reference>
        </references>
      </pivotArea>
    </format>
    <format dxfId="56">
      <pivotArea collapsedLevelsAreSubtotals="1" fieldPosition="0">
        <references count="3">
          <reference field="4294967294" count="1" selected="0">
            <x v="2"/>
          </reference>
          <reference field="14" count="1">
            <x v="5"/>
          </reference>
          <reference field="16" count="1" selected="0">
            <x v="3"/>
          </reference>
        </references>
      </pivotArea>
    </format>
    <format dxfId="55">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54">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53">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52">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51">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50">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9">
      <pivotArea dataOnly="0" labelOnly="1" fieldPosition="0">
        <references count="1">
          <reference field="16" count="1">
            <x v="4"/>
          </reference>
        </references>
      </pivotArea>
    </format>
    <format dxfId="48">
      <pivotArea collapsedLevelsAreSubtotals="1" fieldPosition="0">
        <references count="2">
          <reference field="4294967294" count="1" selected="0">
            <x v="0"/>
          </reference>
          <reference field="16" count="1">
            <x v="4"/>
          </reference>
        </references>
      </pivotArea>
    </format>
    <format dxfId="47">
      <pivotArea collapsedLevelsAreSubtotals="1" fieldPosition="0">
        <references count="2">
          <reference field="4294967294" count="1" selected="0">
            <x v="1"/>
          </reference>
          <reference field="16" count="1">
            <x v="4"/>
          </reference>
        </references>
      </pivotArea>
    </format>
    <format dxfId="46">
      <pivotArea collapsedLevelsAreSubtotals="1" fieldPosition="0">
        <references count="2">
          <reference field="4294967294" count="1" selected="0">
            <x v="2"/>
          </reference>
          <reference field="16" count="1">
            <x v="4"/>
          </reference>
        </references>
      </pivotArea>
    </format>
    <format dxfId="45">
      <pivotArea collapsedLevelsAreSubtotals="1" fieldPosition="0">
        <references count="3">
          <reference field="4294967294" count="1" selected="0">
            <x v="0"/>
          </reference>
          <reference field="14" count="1">
            <x v="2"/>
          </reference>
          <reference field="16" count="1" selected="0">
            <x v="4"/>
          </reference>
        </references>
      </pivotArea>
    </format>
    <format dxfId="44">
      <pivotArea collapsedLevelsAreSubtotals="1" fieldPosition="0">
        <references count="3">
          <reference field="4294967294" count="1" selected="0">
            <x v="1"/>
          </reference>
          <reference field="14" count="1">
            <x v="2"/>
          </reference>
          <reference field="16" count="1" selected="0">
            <x v="4"/>
          </reference>
        </references>
      </pivotArea>
    </format>
    <format dxfId="43">
      <pivotArea collapsedLevelsAreSubtotals="1" fieldPosition="0">
        <references count="3">
          <reference field="4294967294" count="1" selected="0">
            <x v="2"/>
          </reference>
          <reference field="14" count="1">
            <x v="2"/>
          </reference>
          <reference field="16" count="1" selected="0">
            <x v="4"/>
          </reference>
        </references>
      </pivotArea>
    </format>
    <format dxfId="42">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41">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40">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9">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8">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7">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6">
      <pivotArea field="16" grandRow="1" outline="0" collapsedLevelsAreSubtotals="1" axis="axisRow" fieldPosition="0">
        <references count="1">
          <reference field="4294967294" count="1" selected="0">
            <x v="0"/>
          </reference>
        </references>
      </pivotArea>
    </format>
    <format dxfId="35">
      <pivotArea field="16" grandRow="1" outline="0" collapsedLevelsAreSubtotals="1" axis="axisRow" fieldPosition="0">
        <references count="1">
          <reference field="4294967294" count="1" selected="0">
            <x v="1"/>
          </reference>
        </references>
      </pivotArea>
    </format>
    <format dxfId="34">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94</v>
      </c>
      <c r="C2" s="7" t="s">
        <v>95</v>
      </c>
      <c r="F2" s="29"/>
      <c r="H2" s="29"/>
      <c r="I2" s="29"/>
      <c r="J2" s="29"/>
      <c r="K2" s="29"/>
      <c r="L2" s="29"/>
      <c r="M2" s="29"/>
      <c r="N2" s="29"/>
      <c r="O2" s="29"/>
      <c r="P2" s="29"/>
      <c r="Q2" s="29"/>
      <c r="R2" s="29"/>
      <c r="S2" s="29"/>
      <c r="T2" s="29"/>
      <c r="U2" s="29"/>
      <c r="V2" s="29"/>
      <c r="W2" s="29"/>
      <c r="X2" s="29"/>
      <c r="Y2" s="29"/>
      <c r="Z2" s="29" t="s">
        <v>102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8" bestFit="1" customWidth="1"/>
    <col min="2" max="16384" width="9" style="8"/>
  </cols>
  <sheetData>
    <row r="1" spans="1:12" x14ac:dyDescent="0.3">
      <c r="A1" s="36">
        <v>1</v>
      </c>
      <c r="K1" s="36">
        <v>1</v>
      </c>
      <c r="L1" s="36" t="s">
        <v>97</v>
      </c>
    </row>
    <row r="2" spans="1:12" x14ac:dyDescent="0.3">
      <c r="A2" s="8" t="s">
        <v>96</v>
      </c>
      <c r="L2" s="36" t="s">
        <v>98</v>
      </c>
    </row>
    <row r="3" spans="1:12" x14ac:dyDescent="0.3">
      <c r="L3" s="36" t="s">
        <v>99</v>
      </c>
    </row>
    <row r="4" spans="1:12" ht="37.5" x14ac:dyDescent="0.3">
      <c r="A4" s="11" t="s">
        <v>3</v>
      </c>
      <c r="B4" s="11" t="s">
        <v>4</v>
      </c>
      <c r="L4" s="36" t="s">
        <v>100</v>
      </c>
    </row>
    <row r="5" spans="1:12" ht="17.25" x14ac:dyDescent="0.3">
      <c r="A5" s="24"/>
      <c r="B5" s="19" t="s">
        <v>44</v>
      </c>
      <c r="L5" s="36" t="s">
        <v>101</v>
      </c>
    </row>
    <row r="6" spans="1:12" ht="17.25" x14ac:dyDescent="0.3">
      <c r="A6" s="24"/>
      <c r="B6" s="19" t="s">
        <v>39</v>
      </c>
    </row>
    <row r="7" spans="1:12" ht="17.25" x14ac:dyDescent="0.3">
      <c r="A7" s="24"/>
      <c r="B7" s="19" t="s">
        <v>45</v>
      </c>
    </row>
    <row r="8" spans="1:12" ht="17.25" x14ac:dyDescent="0.3">
      <c r="A8" s="24"/>
      <c r="B8" s="19" t="s">
        <v>46</v>
      </c>
    </row>
    <row r="9" spans="1:12" ht="17.25" x14ac:dyDescent="0.3">
      <c r="A9" s="24"/>
      <c r="B9" s="20" t="s">
        <v>47</v>
      </c>
    </row>
    <row r="10" spans="1:12" x14ac:dyDescent="0.3">
      <c r="A10" s="24"/>
      <c r="B10" s="24"/>
    </row>
    <row r="11" spans="1:12" ht="37.5" x14ac:dyDescent="0.3">
      <c r="A11" s="11" t="s">
        <v>10</v>
      </c>
      <c r="B11" s="11" t="s">
        <v>11</v>
      </c>
    </row>
    <row r="12" spans="1:12" x14ac:dyDescent="0.3">
      <c r="A12" s="12" t="s">
        <v>12</v>
      </c>
      <c r="B12" s="8" t="s">
        <v>94</v>
      </c>
    </row>
    <row r="13" spans="1:12" x14ac:dyDescent="0.3">
      <c r="A13" s="12" t="s">
        <v>13</v>
      </c>
      <c r="B13" s="8" t="s">
        <v>95</v>
      </c>
    </row>
    <row r="14" spans="1:12" ht="17.25" x14ac:dyDescent="0.3">
      <c r="A14" s="24"/>
      <c r="B14" s="9" t="s">
        <v>5</v>
      </c>
    </row>
    <row r="15" spans="1:12" ht="17.25" x14ac:dyDescent="0.3">
      <c r="A15" s="24"/>
      <c r="B15" s="9" t="s">
        <v>6</v>
      </c>
    </row>
    <row r="16" spans="1: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zoomScaleNormal="100" workbookViewId="0">
      <selection activeCell="AF19" sqref="AF19"/>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 min="19" max="19" width="11.75" style="1" customWidth="1" outlineLevel="1"/>
    <col min="20" max="20" width="12.875" style="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84</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82</v>
      </c>
      <c r="AF6" s="51">
        <f ca="1">TODAY()</f>
        <v>45818</v>
      </c>
      <c r="AG6" s="46" t="s">
        <v>83</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85</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2904666666.6666665</v>
      </c>
      <c r="AG8" s="53"/>
      <c r="AH8" s="46" t="s">
        <v>86</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87</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2516666666.666667</v>
      </c>
      <c r="AG9" s="53"/>
      <c r="AH9" s="48">
        <f ca="1">AF9/AF8</f>
        <v>0.86642184989671811</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88</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388000000</v>
      </c>
      <c r="AG10" s="53"/>
      <c r="AH10" s="48">
        <f ca="1">AF10/AF8</f>
        <v>0.13357815010328208</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89</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90</v>
      </c>
      <c r="AF13" s="31"/>
      <c r="AG13" s="49" cm="1">
        <f t="array" aca="1" ref="AG13" ca="1">IFERROR(
SUM(_xlfn._xlws.FILTER(Table_VayNo_LichTra[Tổng phải trả],
(Table_VayNo_LichTra[Ngày phải trả] =$AG$14)
)),0)</f>
        <v>33916666.666666664</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91</v>
      </c>
      <c r="AF14" s="31"/>
      <c r="AG14" s="52" cm="1">
        <f t="array" aca="1" ref="AG14" ca="1">MIN(_xlfn._xlws.FILTER(Table_VayNo_LichTra[Ngày phải trả],
Table_VayNo_LichTra[Ngày phải trả] &gt;= TODAY()
))</f>
        <v>45840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92</v>
      </c>
      <c r="AF15" s="31"/>
      <c r="AG15" s="49">
        <f ca="1">AG14-TODAY()</f>
        <v>22</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78</v>
      </c>
      <c r="H19" t="s">
        <v>81</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79</v>
      </c>
      <c r="H20" t="s">
        <v>77</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77</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62</v>
      </c>
      <c r="C23" t="s">
        <v>67</v>
      </c>
      <c r="D23" t="s">
        <v>68</v>
      </c>
      <c r="E23" t="s">
        <v>69</v>
      </c>
      <c r="F23" s="21"/>
      <c r="G23" s="35" t="s">
        <v>62</v>
      </c>
      <c r="H23" t="s">
        <v>80</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58</v>
      </c>
      <c r="AD23" s="1" t="s">
        <v>59</v>
      </c>
      <c r="AE23" s="1" t="s">
        <v>24</v>
      </c>
      <c r="AF23" s="5" t="s">
        <v>18</v>
      </c>
      <c r="AG23" s="5" t="s">
        <v>19</v>
      </c>
      <c r="AH23" s="5" t="s">
        <v>14</v>
      </c>
      <c r="AI23" s="5" t="s">
        <v>15</v>
      </c>
    </row>
    <row r="24" spans="1:35" ht="16.5" x14ac:dyDescent="0.3">
      <c r="A24" s="21"/>
      <c r="B24" s="29" t="s">
        <v>64</v>
      </c>
      <c r="C24" s="38">
        <v>1966666666.6666663</v>
      </c>
      <c r="D24" s="38">
        <v>505583333.33333331</v>
      </c>
      <c r="E24" s="38">
        <v>2472250000</v>
      </c>
      <c r="F24" s="21"/>
      <c r="G24" s="7" t="s">
        <v>49</v>
      </c>
      <c r="H24" s="38">
        <v>833333333.33333325</v>
      </c>
      <c r="I24" s="21"/>
      <c r="J24" s="21" t="s">
        <v>60</v>
      </c>
      <c r="K24" s="21" t="s">
        <v>61</v>
      </c>
      <c r="L24" s="39">
        <v>100000000</v>
      </c>
      <c r="M24" s="2" t="s">
        <v>57</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60</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70</v>
      </c>
      <c r="C25" s="38">
        <v>1666666666.6666667</v>
      </c>
      <c r="D25" s="38">
        <v>500000000</v>
      </c>
      <c r="E25" s="38">
        <v>2166666666.666667</v>
      </c>
      <c r="F25" s="21"/>
      <c r="G25" s="7" t="s">
        <v>52</v>
      </c>
      <c r="H25" s="38">
        <v>4083333.333333334</v>
      </c>
      <c r="I25" s="21"/>
      <c r="J25" s="21" t="s">
        <v>55</v>
      </c>
      <c r="K25" s="21" t="s">
        <v>56</v>
      </c>
      <c r="L25" s="39">
        <v>650000000</v>
      </c>
      <c r="M25" s="2" t="s">
        <v>57</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60</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55</v>
      </c>
      <c r="H26" s="38">
        <v>52000000</v>
      </c>
      <c r="I26" s="21"/>
      <c r="J26" s="21" t="s">
        <v>52</v>
      </c>
      <c r="K26" s="21" t="s">
        <v>53</v>
      </c>
      <c r="L26" s="39">
        <v>200000000</v>
      </c>
      <c r="M26" s="2" t="s">
        <v>54</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60</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49</v>
      </c>
      <c r="C27" s="38">
        <v>1666666666.6666667</v>
      </c>
      <c r="D27" s="38">
        <v>500000000</v>
      </c>
      <c r="E27" s="38">
        <v>2166666666.666667</v>
      </c>
      <c r="F27" s="21"/>
      <c r="G27" s="7" t="s">
        <v>60</v>
      </c>
      <c r="H27" s="38">
        <v>1500000</v>
      </c>
      <c r="I27" s="21"/>
      <c r="J27" s="21" t="s">
        <v>49</v>
      </c>
      <c r="K27" s="21" t="s">
        <v>50</v>
      </c>
      <c r="L27" s="39">
        <v>5000000000</v>
      </c>
      <c r="M27" s="2" t="s">
        <v>51</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55</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71</v>
      </c>
      <c r="C28" s="38">
        <v>33333333.333333332</v>
      </c>
      <c r="D28" s="38">
        <v>1166666.6666666667</v>
      </c>
      <c r="E28" s="38">
        <v>34500000</v>
      </c>
      <c r="F28" s="21"/>
      <c r="G28" s="7" t="s">
        <v>63</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52</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52</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52</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52</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72</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52</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52</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52</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52</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73</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49</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49</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52</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49</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74</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52</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75</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52</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60</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76</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52</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93</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60</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60</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65</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70</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49</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72</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55</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66</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70</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49</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63</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algorithmName="SHA-512" hashValue="vOuYDhwPk9a40mlZUFKaBuRZDnOw0Xau/eM7IaGO1hfHTD8gKLu1ijdGxdTPkRUTe6XJoBG3VmkZUk/JNm4SbQ==" saltValue="rigJRRledc/crYrNfirWOg==" spinCount="100000" sheet="1" scenarios="1" formatCells="0"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342900</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 � � �� � � � �  � � �� � � 
</file>

<file path=customXml/item4.xml>�� �n   �u   t � �n   �u   t � �  �u   t � �i   h � �  �  �u   t � �   � �n   �u   t � �n   �u   t � �  �u   t � �i   h � �  �  �u   t � �   � 
</file>

<file path=customXml/item5.xml>�� �� �i   t �� � �� �t   � � �  l � � �  l �� �  t � � �� �i   t �� � �� �t   � � �  l � � �  l �� �  t � � 
</file>

<file path=customXml/item6.xml>�� � � �n   v � �  s u � �  l � � � � �n   v � �  s u � �  l � � 
</file>

<file path=customXml/item7.xml>��   
</file>

<file path=customXml/item8.xml>��   
</file>

<file path=customXml/item9.xml>�� � � � � �  t �n   � �  t � � � � � � � � � � � �  t �n   � �  t � � � � � � � � � � � �  l �� � � � � � �  s u � � � � � � � � � �� �  l � � � �� �  l � � � �  l � �n   � � �n   s �  b � � �p     �  �  �  �  l ��  �  � � � � � �  t �n   � �  t � � � � � � � � � � � �  t �n   � �  t � � � � � � � � � � � �  l �� � � � � � �  s u � � � � � � � � � �� �  l � � � �� �  l � � � �  l � �n   � � �n   s �  b � � �p     �  �  �  �  l ��  �  � 
</file>

<file path=customXml/item10.xml>��   
</file>

<file path=customXml/item11.xml>��   
</file>

<file path=customXml/item12.xml>�� � � � � 
</file>

<file path=customXml/item13.xml>��   
</file>

<file path=customXml/item14.xml>�� � � � �� �  l � � � � i �m   s �  d � � �n   c � � �p    � � � � i � �  d �  �  �  �  �  l ��  �  � �  l � � � � � � �� �  l � � � � i �m   s �  d � � �n   c � � �p    � � � � i � �  d �  �  �  �  �  l ��  �  � �  l � � � 
</file>

<file path=customXml/item15.xml>��   
</file>

<file path=customXml/item16.xml>��   
</file>

<file path=customXml/item17.xml>�� �  �  
</file>

<file path=customXml/item18.xml>��   
</file>

<file path=customXml/item19.xml>�� �� �i   t �� � �� �t   � � �  l � � �  l �� �  t � � � � � i � �  d � i �m   s �  d � �� �  l � � � � � �n   c � � � � � �  l � � � � �p     �  �  �  �  l ��  �  � 
</file>

<file path=customXml/item20.xml>�� 
</file>

<file path=customXml/item21.xml>�� �c   n  �c   n  
</file>

<file path=customXml/item22.xml>�� 
</file>

<file path=customXml/item23.xml>�� 
</file>

<file path=customXml/itemProps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xml><?xml version="1.0" encoding="utf-8"?>
<ds:datastoreItem xmlns:ds="http://schemas.openxmlformats.org/officeDocument/2006/customXml" ds:itemID="{4BA9E5F1-90AC-490B-B178-7C8B339E1A47}">
  <ds:schemaRefs/>
</ds:datastoreItem>
</file>

<file path=customXml/itemProps3.xml><?xml version="1.0" encoding="utf-8"?>
<ds:datastoreItem xmlns:ds="http://schemas.openxmlformats.org/officeDocument/2006/customXml" ds:itemID="{209D4F95-E077-4258-B233-BD907958FBE7}">
  <ds:schemaRefs/>
</ds:datastoreItem>
</file>

<file path=customXml/itemProps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428F1076-103E-499B-8C54-5C5D9C35FA22}">
  <ds:schemaRefs/>
</ds:datastoreItem>
</file>

<file path=customXml/itemProps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92792D96-9FF0-4B2F-85AA-68E139707CCB}">
  <ds:schemaRefs/>
</ds:datastoreItem>
</file>

<file path=customXml/itemProps10.xml><?xml version="1.0" encoding="utf-8"?>
<ds:datastoreItem xmlns:ds="http://schemas.openxmlformats.org/officeDocument/2006/customXml" ds:itemID="{339EBD31-34FE-48FA-B11C-5697D02F64AC}">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15A5E9E7-8554-4C17-8FCE-88C5899190B5}">
  <ds:schemaRefs/>
</ds:datastoreItem>
</file>

<file path=customXml/itemProps14.xml><?xml version="1.0" encoding="utf-8"?>
<ds:datastoreItem xmlns:ds="http://schemas.openxmlformats.org/officeDocument/2006/customXml" ds:itemID="{CCFAB5FF-26AB-4CB9-BA2C-5A121007B041}">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9.xml><?xml version="1.0" encoding="utf-8"?>
<ds:datastoreItem xmlns:ds="http://schemas.openxmlformats.org/officeDocument/2006/customXml" ds:itemID="{2E9577AD-0BA1-4B97-A3AE-098C016630EA}">
  <ds:schemaRefs/>
</ds:datastoreItem>
</file>

<file path=customXml/itemProps2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8FD280FB-0EB8-4D91-8ABB-4113201DEE59}">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EULA</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2025-06-10T07:17:43Z</dcterms:modified>
  <cp:category/>
  <cp:contentStatus/>
</cp:coreProperties>
</file>