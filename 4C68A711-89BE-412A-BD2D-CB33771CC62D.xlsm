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mc:AlternateContent xmlns:mc="http://schemas.openxmlformats.org/markup-compatibility/2006">
    <mc:Choice Requires="x15">
      <x15ac:absPath xmlns:x15ac="http://schemas.microsoft.com/office/spreadsheetml/2010/11/ac" url="C:\Users\Hyosung\Desktop\New folder\"/>
    </mc:Choice>
  </mc:AlternateContent>
  <xr:revisionPtr revIDLastSave="0" documentId="8_{92B51210-D8C1-46A7-BB48-5F9FF7D8A8C7}" xr6:coauthVersionLast="47" xr6:coauthVersionMax="47" xr10:uidLastSave="{00000000-0000-0000-0000-000000000000}"/>
  <bookViews>
    <workbookView xWindow="0" yWindow="30" windowWidth="28770" windowHeight="15450" tabRatio="717" firstSheet="1" activeTab="2" xr2:uid="{B2DA85E2-969C-4F09-941C-CE16CCFE9D56}"/>
  </bookViews>
  <sheets>
    <sheet name="Security" sheetId="79" state="veryHidden" r:id="rId1"/>
    <sheet name="EULA" sheetId="77" r:id="rId2"/>
    <sheet name="Lịch trả gốc lãi vay" sheetId="38"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Table_VayNo[Mã khoản vay]</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6" i="38" l="1"/>
  <c r="V24" i="38"/>
  <c r="AA24" i="38"/>
  <c r="AB24" i="38"/>
  <c r="AC24" i="38"/>
  <c r="AD24" i="38"/>
  <c r="AE24" i="38"/>
  <c r="V25" i="38"/>
  <c r="AA25" i="38"/>
  <c r="AB25" i="38"/>
  <c r="AC25" i="38"/>
  <c r="AD25" i="38"/>
  <c r="AE25" i="38"/>
  <c r="V26" i="38"/>
  <c r="AA26" i="38"/>
  <c r="AB26" i="38"/>
  <c r="AC26" i="38"/>
  <c r="AD26" i="38"/>
  <c r="AE26" i="38"/>
  <c r="W25" i="38" l="1"/>
  <c r="W24" i="38"/>
  <c r="AF25" i="38"/>
  <c r="AH25" i="38" s="1"/>
  <c r="AF24" i="38"/>
  <c r="AG24" i="38" s="1"/>
  <c r="AG25" i="38"/>
  <c r="AF26" i="38"/>
  <c r="AH26" i="38" s="1"/>
  <c r="W26" i="38"/>
  <c r="AG26" i="38"/>
  <c r="S24" i="38"/>
  <c r="T24" i="38"/>
  <c r="V27" i="38"/>
  <c r="V28" i="38"/>
  <c r="V29" i="38"/>
  <c r="V30" i="38"/>
  <c r="V31" i="38"/>
  <c r="V32" i="38"/>
  <c r="V33" i="38"/>
  <c r="V34" i="38"/>
  <c r="V35" i="38"/>
  <c r="V36" i="38"/>
  <c r="AA28" i="38"/>
  <c r="AB28" i="38"/>
  <c r="AC28" i="38"/>
  <c r="AE28" i="38"/>
  <c r="AA29" i="38"/>
  <c r="W29" i="38" s="1"/>
  <c r="AB29" i="38"/>
  <c r="AC29" i="38"/>
  <c r="AE29" i="38"/>
  <c r="AA30" i="38"/>
  <c r="W30" i="38" s="1"/>
  <c r="AB30" i="38"/>
  <c r="AC30" i="38"/>
  <c r="AE30" i="38"/>
  <c r="AA31" i="38"/>
  <c r="AB31" i="38"/>
  <c r="AC31" i="38"/>
  <c r="AE31" i="38"/>
  <c r="AA27" i="38"/>
  <c r="AB27" i="38"/>
  <c r="AC27" i="38"/>
  <c r="AE27" i="38"/>
  <c r="AA32" i="38"/>
  <c r="W32" i="38" s="1"/>
  <c r="AB32" i="38"/>
  <c r="AC32" i="38"/>
  <c r="AE32" i="38"/>
  <c r="AA33" i="38"/>
  <c r="W33" i="38" s="1"/>
  <c r="AB33" i="38"/>
  <c r="AC33" i="38"/>
  <c r="AE33" i="38"/>
  <c r="AA36" i="38"/>
  <c r="W36" i="38" s="1"/>
  <c r="AB36" i="38"/>
  <c r="AC36" i="38"/>
  <c r="AE36" i="38"/>
  <c r="AA35" i="38"/>
  <c r="W35" i="38" s="1"/>
  <c r="AB35" i="38"/>
  <c r="AC35" i="38"/>
  <c r="AE35" i="38"/>
  <c r="AC34" i="38"/>
  <c r="AB34" i="38"/>
  <c r="AI25" i="38" l="1"/>
  <c r="AH24" i="38"/>
  <c r="AI24" i="38" s="1"/>
  <c r="AI26" i="38"/>
  <c r="W31" i="38"/>
  <c r="W28" i="38"/>
  <c r="AF33" i="38"/>
  <c r="S25" i="38" l="1"/>
  <c r="T25" i="38"/>
  <c r="S26" i="38"/>
  <c r="T26" i="38"/>
  <c r="AG33" i="38" s="1"/>
  <c r="AF32" i="38" l="1"/>
  <c r="AG32" i="38" s="1"/>
  <c r="AF31" i="38"/>
  <c r="AG31" i="38" s="1"/>
  <c r="AF30" i="38"/>
  <c r="AG30" i="38" s="1"/>
  <c r="AF29" i="38"/>
  <c r="AG29" i="38" s="1"/>
  <c r="AF28" i="38"/>
  <c r="AG28" i="38" s="1"/>
  <c r="AD33" i="38"/>
  <c r="AH33" i="38" s="1"/>
  <c r="AD28" i="38"/>
  <c r="AD30" i="38"/>
  <c r="AD27" i="38"/>
  <c r="AD32" i="38"/>
  <c r="AD29" i="38"/>
  <c r="AD31" i="38"/>
  <c r="AA34" i="38"/>
  <c r="AE34" i="38"/>
  <c r="W27" i="38" l="1"/>
  <c r="W34" i="38"/>
  <c r="AH31" i="38"/>
  <c r="AI31" i="38" s="1"/>
  <c r="AH32" i="38"/>
  <c r="AI32" i="38" s="1"/>
  <c r="AH30" i="38"/>
  <c r="AI30" i="38" s="1"/>
  <c r="AH28" i="38"/>
  <c r="AH29" i="38"/>
  <c r="AI33" i="38"/>
  <c r="AF27" i="38"/>
  <c r="AG27" i="38" s="1"/>
  <c r="T27" i="38"/>
  <c r="S27" i="38"/>
  <c r="AG14" i="38" l="1" a="1"/>
  <c r="AG14" i="38" s="1"/>
  <c r="AG15" i="38" s="1"/>
  <c r="AI29" i="38"/>
  <c r="AD36" i="38"/>
  <c r="AF36" i="38" s="1"/>
  <c r="AG36" i="38" s="1"/>
  <c r="AH27" i="38"/>
  <c r="AI27" i="38" s="1"/>
  <c r="AI28" i="38"/>
  <c r="AD34" i="38"/>
  <c r="AD35" i="38"/>
  <c r="AG13" i="38" l="1" a="1"/>
  <c r="AG13" i="38" s="1"/>
  <c r="AH36" i="38"/>
  <c r="AI36" i="38" s="1"/>
  <c r="AF34" i="38"/>
  <c r="AG34" i="38" s="1"/>
  <c r="AF35" i="38"/>
  <c r="AG35" i="38" s="1"/>
  <c r="AF9" i="38" l="1" a="1"/>
  <c r="AF9" i="38" s="1"/>
  <c r="AH34" i="38"/>
  <c r="AH35" i="38"/>
  <c r="AF10" i="38" l="1" a="1"/>
  <c r="AF10" i="38" s="1"/>
  <c r="AI34" i="38"/>
  <c r="AI35" i="38"/>
  <c r="AF8" i="38" l="1" a="1"/>
  <c r="AF8" i="38" s="1"/>
  <c r="AH9" i="38" s="1"/>
  <c r="AH10" i="3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<sst xmlns="http://schemas.openxmlformats.org/spreadsheetml/2006/main" count="141" uniqueCount="97">
  <si>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</si>
  <si>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</si>
  <si>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</si>
  <si>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</si>
  <si>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</si>
  <si>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</si>
  <si>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</si>
  <si>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</si>
  <si>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</si>
  <si>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</si>
  <si>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</si>
  <si>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</si>
  <si>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</si>
  <si>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</si>
  <si>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Lãi vay</t>
  </si>
  <si>
    <t>Tổng phải trả</t>
  </si>
  <si>
    <t>Khoản vay</t>
  </si>
  <si>
    <t>Ngày vay</t>
  </si>
  <si>
    <t>Dư nợ đầu kỳ</t>
  </si>
  <si>
    <t>Trả gốc trong kỳ</t>
  </si>
  <si>
    <t>Mã khoản vay</t>
  </si>
  <si>
    <t>Bên cho vay</t>
  </si>
  <si>
    <t>Thời hạn (năm)</t>
  </si>
  <si>
    <t>Thời hạn (tháng)</t>
  </si>
  <si>
    <t>Lãi suất (năm)</t>
  </si>
  <si>
    <t>Bắt đầu trả gốc</t>
  </si>
  <si>
    <t>Kết thúc trả gốc</t>
  </si>
  <si>
    <t>Trả gốc hàng kỳ</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</si>
  <si>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</si>
  <si>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</si>
  <si>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</si>
  <si>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</si>
  <si>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</si>
  <si>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</si>
  <si>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</si>
  <si>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</si>
  <si>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</si>
  <si>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</si>
  <si>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</si>
  <si>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</si>
  <si>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Giá trị vay</t>
  </si>
  <si>
    <t>Ngày phải trả</t>
  </si>
  <si>
    <t>Tần suất trả nợ</t>
  </si>
  <si>
    <t>Tần suất</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</si>
  <si>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</si>
  <si>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</si>
  <si>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</si>
  <si>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</si>
  <si>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LEAnh@4404$LEKhanh!3696)LEHuyen!3200(LEWives(3448$LEFam</t>
  </si>
  <si>
    <t>link server</t>
  </si>
  <si>
    <t>VAY1</t>
  </si>
  <si>
    <t>A</t>
  </si>
  <si>
    <t>Theo năm</t>
  </si>
  <si>
    <t>VAY2</t>
  </si>
  <si>
    <t>B</t>
  </si>
  <si>
    <t>Theo tháng</t>
  </si>
  <si>
    <t>VAY3</t>
  </si>
  <si>
    <t>C</t>
  </si>
  <si>
    <t>Một lần</t>
  </si>
  <si>
    <t>Ngày bắt đầu</t>
  </si>
  <si>
    <t>Ngày kết thúc</t>
  </si>
  <si>
    <t>VAY4</t>
  </si>
  <si>
    <t>D</t>
  </si>
  <si>
    <t>Row Labels</t>
  </si>
  <si>
    <t>Grand Total</t>
  </si>
  <si>
    <t>2025</t>
  </si>
  <si>
    <t>2026</t>
  </si>
  <si>
    <t>2027</t>
  </si>
  <si>
    <t>Gốc</t>
  </si>
  <si>
    <t>Lãi</t>
  </si>
  <si>
    <t>Tổng</t>
  </si>
  <si>
    <t>Feb</t>
  </si>
  <si>
    <t>Apr</t>
  </si>
  <si>
    <t>May</t>
  </si>
  <si>
    <t>Jun</t>
  </si>
  <si>
    <t>Jul</t>
  </si>
  <si>
    <t>Aug</t>
  </si>
  <si>
    <t>Sep</t>
  </si>
  <si>
    <t>(All)</t>
  </si>
  <si>
    <t xml:space="preserve">Năm </t>
  </si>
  <si>
    <t xml:space="preserve">Tháng </t>
  </si>
  <si>
    <t>Chi phí lãi vay</t>
  </si>
  <si>
    <t>(Multiple Items)</t>
  </si>
  <si>
    <t>TỪ</t>
  </si>
  <si>
    <t>ĐẾN</t>
  </si>
  <si>
    <t>TỔNG SỐ TIỀN NỢ VAY PHẢI TRẢ</t>
  </si>
  <si>
    <t>LÀ</t>
  </si>
  <si>
    <t>GỒM</t>
  </si>
  <si>
    <t>GỐC</t>
  </si>
  <si>
    <t>+LÃI</t>
  </si>
  <si>
    <t>KHOẢN PHẢI TRẢ GẦN NHẤT SẮP TỚI</t>
  </si>
  <si>
    <t>CÓ GIÁ TRỊ</t>
  </si>
  <si>
    <t>TRẢ NGÀY</t>
  </si>
  <si>
    <t>NGÀY CÒN LẠI</t>
  </si>
  <si>
    <t>Oct</t>
  </si>
  <si>
    <t>4C68A711-89BE-412A-BD2D-CB33771CC62D</t>
  </si>
  <si>
    <t>EASY-33329183463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</si>
</sst>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d/m"/>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1"/>
      <color theme="0"/>
      <name val="Segoe UI Light"/>
      <family val="2"/>
      <scheme val="minor"/>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
      <sz val="8"/>
      <color rgb="FF000000"/>
      <name val="Segoe UI Light"/>
      <family val="2"/>
    </font>
    <font>
      <b/>
      <sz val="11"/>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4">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Protection="1">
      <protection locked="0" hidden="1"/>
    </xf>
    <xf numFmtId="167" fontId="7"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8" fillId="0" borderId="0" xfId="0" applyNumberFormat="1" applyFont="1" applyAlignment="1" applyProtection="1">
      <alignment vertical="center"/>
      <protection locked="0" hidden="1"/>
    </xf>
    <xf numFmtId="167" fontId="13" fillId="0" borderId="0" xfId="0" applyNumberFormat="1" applyFont="1" applyProtection="1">
      <protection locked="0" hidden="1"/>
    </xf>
    <xf numFmtId="168" fontId="6" fillId="0" borderId="0" xfId="0" applyNumberFormat="1" applyFont="1" applyAlignment="1" applyProtection="1">
      <alignment vertical="center"/>
      <protection locked="0" hidden="1"/>
    </xf>
    <xf numFmtId="168" fontId="7" fillId="0" borderId="2" xfId="1" applyNumberFormat="1" applyFont="1" applyFill="1" applyBorder="1" applyAlignment="1" applyProtection="1">
      <alignment vertical="center"/>
      <protection locked="0" hidden="1"/>
    </xf>
    <xf numFmtId="9" fontId="7" fillId="0" borderId="2" xfId="2" applyFont="1" applyBorder="1" applyAlignment="1" applyProtection="1">
      <alignment vertical="center"/>
      <protection locked="0" hidden="1"/>
    </xf>
    <xf numFmtId="0" fontId="0" fillId="0" borderId="0" xfId="0" pivotButton="1"/>
    <xf numFmtId="0" fontId="13" fillId="0" borderId="0" xfId="0" applyFont="1" applyAlignment="1" applyProtection="1">
      <alignment vertical="center"/>
      <protection locked="0"/>
    </xf>
    <xf numFmtId="168" fontId="7" fillId="0" borderId="0" xfId="0" applyNumberFormat="1" applyFont="1" applyAlignment="1" applyProtection="1">
      <alignment vertical="center"/>
      <protection locked="0" hidden="1"/>
    </xf>
    <xf numFmtId="167" fontId="0" fillId="0" borderId="0" xfId="0" applyNumberFormat="1"/>
    <xf numFmtId="167" fontId="5" fillId="0" borderId="0" xfId="1" applyNumberFormat="1" applyFont="1" applyAlignment="1" applyProtection="1">
      <alignment vertical="center"/>
      <protection locked="0" hidden="1"/>
    </xf>
    <xf numFmtId="167" fontId="6" fillId="0" borderId="0" xfId="0" applyNumberFormat="1" applyFont="1" applyAlignment="1" applyProtection="1">
      <alignment vertical="center"/>
      <protection locked="0" hidden="1"/>
    </xf>
    <xf numFmtId="167" fontId="7" fillId="0" borderId="2" xfId="1" applyNumberFormat="1" applyFont="1" applyFill="1" applyBorder="1" applyAlignment="1" applyProtection="1">
      <alignment vertical="center"/>
      <protection locked="0" hidden="1"/>
    </xf>
    <xf numFmtId="167" fontId="7" fillId="0" borderId="2" xfId="1" applyNumberFormat="1" applyFont="1" applyBorder="1" applyAlignment="1" applyProtection="1">
      <alignment vertical="center"/>
      <protection locked="0" hidden="1"/>
    </xf>
    <xf numFmtId="0" fontId="0" fillId="0" borderId="0" xfId="0" applyAlignment="1">
      <alignment horizontal="left" indent="1"/>
    </xf>
    <xf numFmtId="169" fontId="0" fillId="0" borderId="0" xfId="0" applyNumberFormat="1" applyAlignment="1">
      <alignment horizontal="left" indent="2"/>
    </xf>
    <xf numFmtId="0" fontId="0" fillId="0" borderId="0" xfId="0" applyAlignment="1">
      <alignment horizontal="left" indent="3"/>
    </xf>
    <xf numFmtId="167" fontId="16" fillId="0" borderId="0" xfId="0" applyNumberFormat="1" applyFont="1" applyProtection="1">
      <protection locked="0" hidden="1"/>
    </xf>
    <xf numFmtId="167" fontId="16" fillId="0" borderId="0" xfId="0" quotePrefix="1" applyNumberFormat="1" applyFont="1" applyProtection="1">
      <protection locked="0" hidden="1"/>
    </xf>
    <xf numFmtId="9" fontId="17" fillId="0" borderId="0" xfId="2" applyFont="1" applyAlignment="1" applyProtection="1">
      <alignment horizontal="center" vertical="center"/>
      <protection locked="0" hidden="1"/>
    </xf>
    <xf numFmtId="167" fontId="17" fillId="0" borderId="0" xfId="0" applyNumberFormat="1" applyFont="1" applyProtection="1">
      <protection locked="0" hidden="1"/>
    </xf>
    <xf numFmtId="166" fontId="7" fillId="0" borderId="0" xfId="0" applyNumberFormat="1" applyFont="1" applyAlignment="1" applyProtection="1">
      <alignment vertical="center"/>
      <protection locked="0" hidden="1"/>
    </xf>
    <xf numFmtId="168" fontId="19" fillId="2" borderId="0" xfId="0" applyNumberFormat="1" applyFont="1" applyFill="1" applyProtection="1">
      <protection locked="0" hidden="1"/>
    </xf>
    <xf numFmtId="168" fontId="17" fillId="0" borderId="0" xfId="0" applyNumberFormat="1" applyFont="1" applyProtection="1">
      <protection locked="0" hidden="1"/>
    </xf>
    <xf numFmtId="167" fontId="17" fillId="0" borderId="0" xfId="0" applyNumberFormat="1" applyFont="1" applyAlignment="1" applyProtection="1">
      <alignment horizontal="center"/>
      <protection locked="0" hidden="1"/>
    </xf>
  </cellXfs>
  <cellStyles count="3">
    <cellStyle name="Comma" xfId="1" builtinId="3"/>
    <cellStyle name="Normal" xfId="0" builtinId="0"/>
    <cellStyle name="Percent" xfId="2" builtinId="5"/>
  </cellStyles>
  <dxfs count="171">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numFmt numFmtId="167" formatCode="_(#,##0_);_(\(#,##0\);_(\-_);_(@_)"/>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170"/>
      <tableStyleElement type="headerRow" dxfId="169"/>
    </tableStyle>
    <tableStyle name="SlicerStyleLight1 2 2" pivot="0" table="0" count="10" xr9:uid="{9DB8D611-4D15-4128-AF8D-E3329BCC5BCE}">
      <tableStyleElement type="wholeTable" dxfId="168"/>
      <tableStyleElement type="headerRow" dxfId="167"/>
    </tableStyle>
    <tableStyle name="TimeSlicerStyleLight1 2" pivot="0" table="0" count="9" xr9:uid="{58382D9D-B456-41C4-B229-09D2A872184E}">
      <tableStyleElement type="wholeTable" dxfId="166"/>
      <tableStyleElement type="headerRow" dxfId="165"/>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vay!PivotTable2</c:name>
    <c:fmtId val="0"/>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delete val="1"/>
          <c:extLst>
            <c:ext xmlns:c15="http://schemas.microsoft.com/office/drawing/2012/chart" uri="{CE6537A1-D6FC-4f65-9D91-7224C49458BB}"/>
          </c:extLst>
        </c:dLbl>
      </c:pivotFmt>
      <c:pivotFmt>
        <c:idx val="9"/>
        <c:marker>
          <c:symbol val="none"/>
        </c:marker>
        <c:dLbl>
          <c:idx val="0"/>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'Lịch trả gốc lãi vay'!$C$23</c:f>
              <c:strCache>
                <c:ptCount val="1"/>
                <c:pt idx="0">
                  <c:v>Gốc</c:v>
                </c:pt>
              </c:strCache>
            </c:strRef>
          </c:tx>
          <c:spPr>
            <a:solidFill>
              <a:schemeClr val="accent1"/>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vay'!$C$24:$C$64</c:f>
              <c:numCache>
                <c:formatCode>_(#,##0_);_(\(#,##0\);_(\-_);_(@_)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7-8155-4C23-AC78-1F6973A483F0}"/>
            </c:ext>
          </c:extLst>
        </c:ser>
        <c:ser>
          <c:idx val="1"/>
          <c:order val="1"/>
          <c:tx>
            <c:strRef>
              <c:f>'Lịch trả gốc lãi vay'!$D$23</c:f>
              <c:strCache>
                <c:ptCount val="1"/>
                <c:pt idx="0">
                  <c:v>Lãi</c:v>
                </c:pt>
              </c:strCache>
            </c:strRef>
          </c:tx>
          <c:spPr>
            <a:solidFill>
              <a:schemeClr val="accent2"/>
            </a:solidFill>
            <a:ln>
              <a:noFill/>
            </a:ln>
            <a:effectLst/>
          </c:spPr>
          <c:invertIfNegative val="0"/>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vay'!$D$24:$D$64</c:f>
              <c:numCache>
                <c:formatCode>_(#,##0_);_(\(#,##0\);_(\-_);_(@_)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9-8155-4C23-AC78-1F6973A483F0}"/>
            </c:ext>
          </c:extLst>
        </c:ser>
        <c:dLbls>
          <c:showLegendKey val="0"/>
          <c:showVal val="0"/>
          <c:showCatName val="0"/>
          <c:showSerName val="0"/>
          <c:showPercent val="0"/>
          <c:showBubbleSize val="0"/>
        </c:dLbls>
        <c:gapWidth val="219"/>
        <c:overlap val="-100"/>
        <c:axId val="1485676432"/>
        <c:axId val="1485677872"/>
      </c:barChart>
      <c:barChart>
        <c:barDir val="bar"/>
        <c:grouping val="stacked"/>
        <c:varyColors val="0"/>
        <c:ser>
          <c:idx val="2"/>
          <c:order val="2"/>
          <c:tx>
            <c:strRef>
              <c:f>'Lịch trả gốc lãi vay'!$E$23</c:f>
              <c:strCache>
                <c:ptCount val="1"/>
                <c:pt idx="0">
                  <c:v>Tổng</c:v>
                </c:pt>
              </c:strCache>
            </c:strRef>
          </c:tx>
          <c:invertIfNegative val="0"/>
          <c:dLbls>
            <c:numFmt formatCode="[&lt;-1000]\-#,##0.0,,&quot;tr&quot;;[&lt;1000]#,##0;#,##0.0,,&quot;tr&quot;" sourceLinked="0"/>
            <c:spPr>
              <a:noFill/>
              <a:ln>
                <a:noFill/>
              </a:ln>
              <a:effectLst/>
            </c:spPr>
            <c:txPr>
              <a:bodyPr wrap="square" lIns="38100" tIns="19050" rIns="38100" bIns="19050" anchor="ctr">
                <a:spAutoFit/>
              </a:bodyPr>
              <a:lstStyle/>
              <a:p>
                <a:pPr>
                  <a:defRPr>
                    <a:ln>
                      <a:solidFill>
                        <a:schemeClr val="accent6">
                          <a:lumMod val="50000"/>
                        </a:schemeClr>
                      </a:solidFill>
                    </a:ln>
                    <a:solidFill>
                      <a:schemeClr val="accent6">
                        <a:lumMod val="50000"/>
                      </a:schemeClr>
                    </a:solidFill>
                  </a:defRPr>
                </a:pPr>
                <a:endParaRPr lang="vi-VN"/>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'Lịch trả gốc lãi vay'!$B$24:$B$64</c:f>
              <c:multiLvlStrCache>
                <c:ptCount val="13"/>
                <c:lvl>
                  <c:pt idx="0">
                    <c:v>VAY1</c:v>
                  </c:pt>
                  <c:pt idx="1">
                    <c:v>VAY2</c:v>
                  </c:pt>
                  <c:pt idx="2">
                    <c:v>VAY2</c:v>
                  </c:pt>
                  <c:pt idx="3">
                    <c:v>VAY2</c:v>
                  </c:pt>
                  <c:pt idx="4">
                    <c:v>VAY2</c:v>
                  </c:pt>
                  <c:pt idx="5">
                    <c:v>VAY2</c:v>
                  </c:pt>
                  <c:pt idx="6">
                    <c:v>VAY4</c:v>
                  </c:pt>
                  <c:pt idx="7">
                    <c:v>VAY2</c:v>
                  </c:pt>
                  <c:pt idx="8">
                    <c:v>VAY4</c:v>
                  </c:pt>
                  <c:pt idx="9">
                    <c:v>VAY4</c:v>
                  </c:pt>
                  <c:pt idx="10">
                    <c:v>VAY1</c:v>
                  </c:pt>
                  <c:pt idx="11">
                    <c:v>VAY3</c:v>
                  </c:pt>
                  <c:pt idx="12">
                    <c:v>VAY1</c:v>
                  </c:pt>
                </c:lvl>
                <c:lvl>
                  <c:pt idx="0">
                    <c:v>24-2</c:v>
                  </c:pt>
                  <c:pt idx="1">
                    <c:v>2-4</c:v>
                  </c:pt>
                  <c:pt idx="2">
                    <c:v>2-5</c:v>
                  </c:pt>
                  <c:pt idx="3">
                    <c:v>2-6</c:v>
                  </c:pt>
                  <c:pt idx="4">
                    <c:v>2-7</c:v>
                  </c:pt>
                  <c:pt idx="5">
                    <c:v>2-8</c:v>
                  </c:pt>
                  <c:pt idx="6">
                    <c:v>31-8</c:v>
                  </c:pt>
                  <c:pt idx="7">
                    <c:v>2-9</c:v>
                  </c:pt>
                  <c:pt idx="8">
                    <c:v>1-10</c:v>
                  </c:pt>
                  <c:pt idx="9">
                    <c:v>31-10</c:v>
                  </c:pt>
                  <c:pt idx="10">
                    <c:v>24-2</c:v>
                  </c:pt>
                  <c:pt idx="11">
                    <c:v>15-5</c:v>
                  </c:pt>
                  <c:pt idx="12">
                    <c:v>24-2</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'Lịch trả gốc lãi vay'!$E$24:$E$64</c:f>
              <c:numCache>
                <c:formatCode>_(#,##0_);_(\(#,##0\);_(\-_);_(@_)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A-8155-4C23-AC78-1F6973A483F0}"/>
            </c:ext>
          </c:extLst>
        </c:ser>
        <c:dLbls>
          <c:showLegendKey val="0"/>
          <c:showVal val="0"/>
          <c:showCatName val="0"/>
          <c:showSerName val="0"/>
          <c:showPercent val="0"/>
          <c:showBubbleSize val="0"/>
        </c:dLbls>
        <c:gapWidth val="219"/>
        <c:overlap val="-100"/>
        <c:axId val="1023342768"/>
        <c:axId val="1888197152"/>
      </c:barChart>
      <c:catAx>
        <c:axId val="1485676432"/>
        <c:scaling>
          <c:orientation val="minMax"/>
        </c:scaling>
        <c:delete val="0"/>
        <c:axPos val="l"/>
        <c:numFmt formatCode="[&lt;-1000]\-#,##0.0,,&quot;tr&quot;;[&lt;1000]#,##0;#,##0.0,,&quot;tr&quot;"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1485677872"/>
        <c:crosses val="autoZero"/>
        <c:auto val="1"/>
        <c:lblAlgn val="ctr"/>
        <c:lblOffset val="100"/>
        <c:noMultiLvlLbl val="0"/>
      </c:catAx>
      <c:valAx>
        <c:axId val="1485677872"/>
        <c:scaling>
          <c:orientation val="minMax"/>
        </c:scaling>
        <c:delete val="1"/>
        <c:axPos val="b"/>
        <c:numFmt formatCode="_(#,##0_);_(\(#,##0\);_(\-_);_(@_)" sourceLinked="1"/>
        <c:majorTickMark val="none"/>
        <c:minorTickMark val="none"/>
        <c:tickLblPos val="nextTo"/>
        <c:crossAx val="1485676432"/>
        <c:crosses val="autoZero"/>
        <c:crossBetween val="between"/>
      </c:valAx>
      <c:valAx>
        <c:axId val="1888197152"/>
        <c:scaling>
          <c:orientation val="minMax"/>
        </c:scaling>
        <c:delete val="1"/>
        <c:axPos val="t"/>
        <c:numFmt formatCode="_(#,##0_);_(\(#,##0\);_(\-_);_(@_)" sourceLinked="1"/>
        <c:majorTickMark val="out"/>
        <c:minorTickMark val="none"/>
        <c:tickLblPos val="nextTo"/>
        <c:crossAx val="1023342768"/>
        <c:crosses val="max"/>
        <c:crossBetween val="between"/>
      </c:valAx>
      <c:catAx>
        <c:axId val="1023342768"/>
        <c:scaling>
          <c:orientation val="minMax"/>
        </c:scaling>
        <c:delete val="1"/>
        <c:axPos val="l"/>
        <c:numFmt formatCode="General" sourceLinked="1"/>
        <c:majorTickMark val="out"/>
        <c:minorTickMark val="none"/>
        <c:tickLblPos val="nextTo"/>
        <c:crossAx val="1888197152"/>
        <c:crosses val="autoZero"/>
        <c:auto val="1"/>
        <c:lblAlgn val="ctr"/>
        <c:lblOffset val="100"/>
        <c:noMultiLvlLbl val="0"/>
      </c:catAx>
      <c:spPr>
        <a:solidFill>
          <a:schemeClr val="accent3">
            <a:lumMod val="20000"/>
            <a:lumOff val="80000"/>
          </a:schemeClr>
        </a:solidFill>
      </c:spPr>
    </c:plotArea>
    <c:plotVisOnly val="1"/>
    <c:dispBlanksAs val="gap"/>
    <c:showDLblsOverMax val="0"/>
    <c:extLst/>
  </c:chart>
  <c:spPr>
    <a:solidFill>
      <a:schemeClr val="accent3">
        <a:lumMod val="20000"/>
        <a:lumOff val="80000"/>
      </a:schemeClr>
    </a:solidFill>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[01. EASY-TC01 - Lịch trả nợ vay.xlsm]Lịch trả gốc lãi vay!PivotTable1</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7.5346264770287427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0.10784857506335276"/>
              <c:y val="0"/>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1.7728532887126478E-2"/>
              <c:y val="-3.5772357723577265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6.2049865104942675E-2"/>
              <c:y val="1.9512195121951219E-2"/>
            </c:manualLayout>
          </c:layout>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'Lịch trả gốc lãi vay'!$H$23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2-D576-423D-B7D9-CBA849957D86}"/>
              </c:ext>
            </c:extLst>
          </c:dPt>
          <c:dPt>
            <c:idx val="1"/>
            <c:bubble3D val="0"/>
            <c:spPr>
              <a:solidFill>
                <a:schemeClr val="accent2"/>
              </a:solidFill>
              <a:ln>
                <a:noFill/>
              </a:ln>
              <a:effectLst/>
            </c:spPr>
            <c:extLst>
              <c:ext xmlns:c16="http://schemas.microsoft.com/office/drawing/2014/chart" uri="{C3380CC4-5D6E-409C-BE32-E72D297353CC}">
                <c16:uniqueId val="{00000005-D576-423D-B7D9-CBA849957D86}"/>
              </c:ext>
            </c:extLst>
          </c:dPt>
          <c:dPt>
            <c:idx val="2"/>
            <c:bubble3D val="0"/>
            <c:spPr>
              <a:solidFill>
                <a:schemeClr val="accent3"/>
              </a:solidFill>
              <a:ln>
                <a:noFill/>
              </a:ln>
              <a:effectLst/>
            </c:spPr>
            <c:extLst>
              <c:ext xmlns:c16="http://schemas.microsoft.com/office/drawing/2014/chart" uri="{C3380CC4-5D6E-409C-BE32-E72D297353CC}">
                <c16:uniqueId val="{00000004-D576-423D-B7D9-CBA849957D86}"/>
              </c:ext>
            </c:extLst>
          </c:dPt>
          <c:dPt>
            <c:idx val="3"/>
            <c:bubble3D val="0"/>
            <c:spPr>
              <a:solidFill>
                <a:schemeClr val="accent4"/>
              </a:solidFill>
              <a:ln>
                <a:noFill/>
              </a:ln>
              <a:effectLst/>
            </c:spPr>
            <c:extLst>
              <c:ext xmlns:c16="http://schemas.microsoft.com/office/drawing/2014/chart" uri="{C3380CC4-5D6E-409C-BE32-E72D297353CC}">
                <c16:uniqueId val="{00000007-47F5-4A84-BED4-610146C1E2A5}"/>
              </c:ext>
            </c:extLst>
          </c:dPt>
          <c:dLbls>
            <c:dLbl>
              <c:idx val="0"/>
              <c:layout>
                <c:manualLayout>
                  <c:x val="7.5346264770287427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576-423D-B7D9-CBA849957D86}"/>
                </c:ext>
              </c:extLst>
            </c:dLbl>
            <c:dLbl>
              <c:idx val="1"/>
              <c:layout>
                <c:manualLayout>
                  <c:x val="-6.2049865104942675E-2"/>
                  <c:y val="1.9512195121951219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576-423D-B7D9-CBA849957D86}"/>
                </c:ext>
              </c:extLst>
            </c:dLbl>
            <c:dLbl>
              <c:idx val="2"/>
              <c:layout>
                <c:manualLayout>
                  <c:x val="1.7728532887126478E-2"/>
                  <c:y val="-3.5772357723577265E-2"/>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576-423D-B7D9-CBA849957D86}"/>
                </c:ext>
              </c:extLst>
            </c:dLbl>
            <c:dLbl>
              <c:idx val="3"/>
              <c:layout>
                <c:manualLayout>
                  <c:x val="0.10784857506335276"/>
                  <c:y val="0"/>
                </c:manualLayout>
              </c:layout>
              <c:dLblPos val="bestFi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7F5-4A84-BED4-610146C1E2A5}"/>
                </c:ext>
              </c:extLst>
            </c:dLbl>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'Lịch trả gốc lãi vay'!$G$24:$G$28</c:f>
              <c:strCache>
                <c:ptCount val="4"/>
                <c:pt idx="0">
                  <c:v>VAY1</c:v>
                </c:pt>
                <c:pt idx="1">
                  <c:v>VAY2</c:v>
                </c:pt>
                <c:pt idx="2">
                  <c:v>VAY3</c:v>
                </c:pt>
                <c:pt idx="3">
                  <c:v>VAY4</c:v>
                </c:pt>
              </c:strCache>
            </c:strRef>
          </c:cat>
          <c:val>
            <c:numRef>
              <c:f>'Lịch trả gốc lãi vay'!$H$24:$H$28</c:f>
              <c:numCache>
                <c:formatCode>_(#,##0_);_(\(#,##0\);_(\-_);_(@_)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D576-423D-B7D9-CBA849957D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39499</xdr:colOff>
          <xdr:row>0</xdr:row>
          <xdr:rowOff>113543</xdr:rowOff>
        </xdr:from>
        <xdr:to>
          <xdr:col>13</xdr:col>
          <xdr:colOff>9340</xdr:colOff>
          <xdr:row>1</xdr:row>
          <xdr:rowOff>160383</xdr:rowOff>
        </xdr:to>
        <xdr:grpSp>
          <xdr:nvGrpSpPr>
            <xdr:cNvPr id="11" name="Group 10">
              <a:extLst>
                <a:ext uri="{FF2B5EF4-FFF2-40B4-BE49-F238E27FC236}">
                  <a16:creationId xmlns:a16="http://schemas.microsoft.com/office/drawing/2014/main" id="{00000000-0008-0000-2500-00000B000000}"/>
                </a:ext>
              </a:extLst>
            </xdr:cNvPr>
            <xdr:cNvGrpSpPr/>
          </xdr:nvGrpSpPr>
          <xdr:grpSpPr>
            <a:xfrm>
              <a:off x="2020699" y="113543"/>
              <a:ext cx="1770066" cy="275440"/>
              <a:chOff x="8305820" y="3457575"/>
              <a:chExt cx="1769706"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0200-0000062C0100}"/>
                  </a:ext>
                </a:extLst>
              </xdr:cNvPr>
              <xdr:cNvSpPr/>
            </xdr:nvSpPr>
            <xdr:spPr bwMode="auto">
              <a:xfrm>
                <a:off x="8305820"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02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02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0200-0000092C0100}"/>
                  </a:ext>
                </a:extLst>
              </xdr:cNvPr>
              <xdr:cNvSpPr/>
            </xdr:nvSpPr>
            <xdr:spPr bwMode="auto">
              <a:xfrm>
                <a:off x="9715526"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800100</xdr:colOff>
          <xdr:row>0</xdr:row>
          <xdr:rowOff>57150</xdr:rowOff>
        </xdr:from>
        <xdr:to>
          <xdr:col>13</xdr:col>
          <xdr:colOff>133350</xdr:colOff>
          <xdr:row>1</xdr:row>
          <xdr:rowOff>190500</xdr:rowOff>
        </xdr:to>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0200-00000A2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28559</xdr:colOff>
          <xdr:row>0</xdr:row>
          <xdr:rowOff>57149</xdr:rowOff>
        </xdr:from>
        <xdr:to>
          <xdr:col>10</xdr:col>
          <xdr:colOff>755360</xdr:colOff>
          <xdr:row>1</xdr:row>
          <xdr:rowOff>190498</xdr:rowOff>
        </xdr:to>
        <xdr:grpSp>
          <xdr:nvGrpSpPr>
            <xdr:cNvPr id="9" name="Group 8">
              <a:extLst>
                <a:ext uri="{FF2B5EF4-FFF2-40B4-BE49-F238E27FC236}">
                  <a16:creationId xmlns:a16="http://schemas.microsoft.com/office/drawing/2014/main" id="{00000000-0008-0000-2500-000009000000}"/>
                </a:ext>
              </a:extLst>
            </xdr:cNvPr>
            <xdr:cNvGrpSpPr/>
          </xdr:nvGrpSpPr>
          <xdr:grpSpPr>
            <a:xfrm>
              <a:off x="219059" y="57149"/>
              <a:ext cx="1660251" cy="361949"/>
              <a:chOff x="6162659" y="3409950"/>
              <a:chExt cx="1657350" cy="361949"/>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0200-00000B2C0100}"/>
                  </a:ext>
                </a:extLst>
              </xdr:cNvPr>
              <xdr:cNvSpPr/>
            </xdr:nvSpPr>
            <xdr:spPr bwMode="auto">
              <a:xfrm>
                <a:off x="6162659" y="3409950"/>
                <a:ext cx="1657350" cy="36194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8" y="3500925"/>
                <a:ext cx="1495439" cy="180000"/>
                <a:chOff x="6029324" y="4257675"/>
                <a:chExt cx="1495439"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0200-00000C2C0100}"/>
                    </a:ext>
                  </a:extLst>
                </xdr:cNvPr>
                <xdr:cNvSpPr/>
              </xdr:nvSpPr>
              <xdr:spPr bwMode="auto">
                <a:xfrm>
                  <a:off x="6029324"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02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0200-00000E2C0100}"/>
                    </a:ext>
                  </a:extLst>
                </xdr:cNvPr>
                <xdr:cNvSpPr/>
              </xdr:nvSpPr>
              <xdr:spPr bwMode="auto">
                <a:xfrm>
                  <a:off x="7058038"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238125</xdr:colOff>
          <xdr:row>0</xdr:row>
          <xdr:rowOff>85725</xdr:rowOff>
        </xdr:from>
        <xdr:to>
          <xdr:col>14</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019550"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02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02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13</xdr:col>
      <xdr:colOff>762002</xdr:colOff>
      <xdr:row>2</xdr:row>
      <xdr:rowOff>139147</xdr:rowOff>
    </xdr:from>
    <xdr:to>
      <xdr:col>26</xdr:col>
      <xdr:colOff>304800</xdr:colOff>
      <xdr:row>21</xdr:row>
      <xdr:rowOff>117697</xdr:rowOff>
    </xdr:to>
    <xdr:graphicFrame macro="">
      <xdr:nvGraphicFramePr>
        <xdr:cNvPr id="3" name="Chart 2">
          <a:extLst>
            <a:ext uri="{FF2B5EF4-FFF2-40B4-BE49-F238E27FC236}">
              <a16:creationId xmlns:a16="http://schemas.microsoft.com/office/drawing/2014/main" id="{824FA65C-FA9C-5EDE-D9EC-5484133654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25</xdr:col>
          <xdr:colOff>104775</xdr:colOff>
          <xdr:row>0</xdr:row>
          <xdr:rowOff>142875</xdr:rowOff>
        </xdr:from>
        <xdr:to>
          <xdr:col>25</xdr:col>
          <xdr:colOff>685800</xdr:colOff>
          <xdr:row>1</xdr:row>
          <xdr:rowOff>171450</xdr:rowOff>
        </xdr:to>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0200-0000112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9</xdr:col>
      <xdr:colOff>0</xdr:colOff>
      <xdr:row>2</xdr:row>
      <xdr:rowOff>139148</xdr:rowOff>
    </xdr:from>
    <xdr:to>
      <xdr:col>13</xdr:col>
      <xdr:colOff>571500</xdr:colOff>
      <xdr:row>21</xdr:row>
      <xdr:rowOff>117698</xdr:rowOff>
    </xdr:to>
    <xdr:graphicFrame macro="">
      <xdr:nvGraphicFramePr>
        <xdr:cNvPr id="2" name="Chart 1">
          <a:extLst>
            <a:ext uri="{FF2B5EF4-FFF2-40B4-BE49-F238E27FC236}">
              <a16:creationId xmlns:a16="http://schemas.microsoft.com/office/drawing/2014/main" id="{E29E72A5-0761-928C-D4A2-D471167206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0.380842129627" createdVersion="8" refreshedVersion="8" minRefreshableVersion="3" recordCount="13" xr:uid="{EBB51FDF-F9E8-47EF-8CC9-6A3484C7DDF5}">
  <cacheSource type="worksheet">
    <worksheetSource name="Table_VayNo_LichTra"/>
  </cacheSource>
  <cacheFields count="17">
    <cacheField name="Kỳ" numFmtId="165">
      <sharedItems containsSemiMixedTypes="0" containsNonDate="0" containsDate="1" containsString="0" minDate="2025-04-01T00:00:00" maxDate="2027-12-02T00:00:00"/>
    </cacheField>
    <cacheField name="Ngày phải trả" numFmtId="168">
      <sharedItems containsSemiMixedTypes="0" containsNonDate="0" containsDate="1" containsString="0" minDate="2025-02-24T00:00:00" maxDate="2027-02-26T00:00:00" count="23">
        <d v="2025-10-31T00:00:00"/>
        <d v="2025-10-01T00:00:00"/>
        <d v="2025-08-31T00:00:00"/>
        <d v="2026-05-15T00:00:00"/>
        <d v="2025-09-02T00:00:00"/>
        <d v="2025-08-02T00:00:00"/>
        <d v="2025-07-02T00:00:00"/>
        <d v="2025-06-02T00:00:00"/>
        <d v="2025-05-02T00:00:00"/>
        <d v="2025-04-02T00:00:00"/>
        <d v="2027-02-24T00:00:00"/>
        <d v="2026-02-24T00:00:00"/>
        <d v="2025-02-24T00:00:00"/>
        <d v="2025-08-30T00:00:00" u="1"/>
        <d v="2025-09-01T00:00:00" u="1"/>
        <d v="2025-08-01T00:00:00" u="1"/>
        <d v="2025-07-01T00:00:00" u="1"/>
        <d v="2025-06-01T00:00:00" u="1"/>
        <d v="2025-05-01T00:00:00" u="1"/>
        <d v="2025-04-01T00:00:00" u="1"/>
        <d v="2027-02-25T00:00:00" u="1"/>
        <d v="2026-02-25T00:00:00" u="1"/>
        <d v="2025-02-25T00:00:00" u="1"/>
      </sharedItems>
      <fieldGroup par="16"/>
    </cacheField>
    <cacheField name="Năm" numFmtId="167">
      <sharedItems containsSemiMixedTypes="0" containsString="0" containsNumber="1" containsInteger="1" minValue="2025" maxValue="2027"/>
    </cacheField>
    <cacheField name="Tháng" numFmtId="167">
      <sharedItems containsString="0" containsBlank="1" containsNumber="1" containsInteger="1" minValue="4" maxValue="10"/>
    </cacheField>
    <cacheField name="Khoản vay" numFmtId="167">
      <sharedItems count="4">
        <s v="VAY4"/>
        <s v="VAY3"/>
        <s v="VAY2"/>
        <s v="VAY1"/>
      </sharedItems>
    </cacheField>
    <cacheField name="Tần suất" numFmtId="167">
      <sharedItems/>
    </cacheField>
    <cacheField name="Ngày vay" numFmtId="0">
      <sharedItems containsSemiMixedTypes="0" containsNonDate="0" containsDate="1" containsString="0" minDate="2024-02-24T00:00:00" maxDate="2025-08-01T00:00:00"/>
    </cacheField>
    <cacheField name="Ngày bắt đầu" numFmtId="0">
      <sharedItems containsSemiMixedTypes="0" containsNonDate="0" containsDate="1" containsString="0" minDate="1899-12-30T00:00:00" maxDate="2025-04-03T00:00:00"/>
    </cacheField>
    <cacheField name="Ngày kết thúc" numFmtId="0">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7">
      <sharedItems containsSemiMixedTypes="0" containsString="0" containsNumber="1" minValue="33333333.333333343" maxValue="5000000000"/>
    </cacheField>
    <cacheField name="Trả gốc trong kỳ" numFmtId="167">
      <sharedItems containsSemiMixedTypes="0" containsString="0" containsNumber="1" minValue="0" maxValue="1666666666.6666667"/>
    </cacheField>
    <cacheField name="Lãi vay" numFmtId="167">
      <sharedItems containsSemiMixedTypes="0" containsString="0" containsNumber="1" minValue="194444.44444444453" maxValue="500000000"/>
    </cacheField>
    <cacheField name="Tổng phải trả" numFmtId="167">
      <sharedItems containsSemiMixedTypes="0" containsString="0" containsNumber="1" minValue="500000" maxValue="2166666666.666667"/>
    </cacheField>
    <cacheField name="Months (Ngày phải trả)" numFmtId="0" databaseField="0">
      <fieldGroup base="1">
        <rangePr groupBy="months" startDate="2025-02-24T00:00:00" endDate="2027-02-25T00:00:00"/>
        <groupItems count="14">
          <s v="&lt;24-02-25"/>
          <s v="Jan"/>
          <s v="Feb"/>
          <s v="Mar"/>
          <s v="Apr"/>
          <s v="May"/>
          <s v="Jun"/>
          <s v="Jul"/>
          <s v="Aug"/>
          <s v="Sep"/>
          <s v="Oct"/>
          <s v="Nov"/>
          <s v="Dec"/>
          <s v="&gt;25-02-27"/>
        </groupItems>
      </fieldGroup>
    </cacheField>
    <cacheField name="Quarters (Ngày phải trả)" numFmtId="0" databaseField="0">
      <fieldGroup base="1">
        <rangePr groupBy="quarters" startDate="2025-02-24T00:00:00" endDate="2027-02-25T00:00:00"/>
        <groupItems count="6">
          <s v="&lt;24-02-25"/>
          <s v="Qtr1"/>
          <s v="Qtr2"/>
          <s v="Qtr3"/>
          <s v="Qtr4"/>
          <s v="&gt;25-02-27"/>
        </groupItems>
      </fieldGroup>
    </cacheField>
    <cacheField name="Years (Ngày phải trả)" numFmtId="0" databaseField="0">
      <fieldGroup base="1">
        <rangePr groupBy="years" startDate="2025-02-24T00:00:00" endDate="2027-02-25T00:00:00"/>
        <groupItems count="5">
          <s v="&lt;24-02-25"/>
          <s v="2025"/>
          <s v="2026"/>
          <s v="2027"/>
          <s v="&gt;25-02-2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x v="0"/>
    <n v="2025"/>
    <n v="10"/>
    <x v="0"/>
    <s v="Một lần"/>
    <d v="2025-07-31T00:00:00"/>
    <d v="1899-12-30T00:00:00"/>
    <d v="2025-10-30T00:00:00"/>
    <n v="0.06"/>
    <n v="100000000"/>
    <n v="100000000"/>
    <n v="500000"/>
    <n v="100500000"/>
  </r>
  <r>
    <d v="2025-09-01T00:00:00"/>
    <x v="1"/>
    <n v="2025"/>
    <n v="9"/>
    <x v="0"/>
    <s v="Một lần"/>
    <d v="2025-07-31T00:00:00"/>
    <d v="1899-12-30T00:00:00"/>
    <d v="2025-10-30T00:00:00"/>
    <n v="0.06"/>
    <n v="100000000"/>
    <n v="0"/>
    <n v="500000"/>
    <n v="500000"/>
  </r>
  <r>
    <d v="2025-08-01T00:00:00"/>
    <x v="2"/>
    <n v="2025"/>
    <n v="8"/>
    <x v="0"/>
    <s v="Một lần"/>
    <d v="2025-07-31T00:00:00"/>
    <d v="1899-12-30T00:00:00"/>
    <d v="2025-10-30T00:00:00"/>
    <n v="0.06"/>
    <n v="100000000"/>
    <n v="0"/>
    <n v="500000"/>
    <n v="500000"/>
  </r>
  <r>
    <d v="2026-12-01T00:00:00"/>
    <x v="3"/>
    <n v="2026"/>
    <m/>
    <x v="1"/>
    <s v="Một lần"/>
    <d v="2025-05-15T00:00:00"/>
    <d v="1899-12-30T00:00:00"/>
    <d v="2026-05-15T00:00:00"/>
    <n v="0.08"/>
    <n v="650000000"/>
    <n v="650000000"/>
    <n v="52000000"/>
    <n v="702000000"/>
  </r>
  <r>
    <d v="2025-09-01T00:00:00"/>
    <x v="4"/>
    <n v="2025"/>
    <n v="9"/>
    <x v="2"/>
    <s v="Theo tháng"/>
    <d v="2025-03-02T00:00:00"/>
    <d v="2025-04-02T00:00:00"/>
    <d v="2025-09-01T00:00:00"/>
    <n v="7.0000000000000007E-2"/>
    <n v="33333333.333333343"/>
    <n v="33333333.333333332"/>
    <n v="194444.44444444453"/>
    <n v="33527777.777777776"/>
  </r>
  <r>
    <d v="2025-08-01T00:00:00"/>
    <x v="5"/>
    <n v="2025"/>
    <n v="8"/>
    <x v="2"/>
    <s v="Theo tháng"/>
    <d v="2025-03-02T00:00:00"/>
    <d v="2025-04-02T00:00:00"/>
    <d v="2025-09-01T00:00:00"/>
    <n v="7.0000000000000007E-2"/>
    <n v="66666666.666666672"/>
    <n v="33333333.333333332"/>
    <n v="388888.88888888899"/>
    <n v="33722222.222222224"/>
  </r>
  <r>
    <d v="2025-07-01T00:00:00"/>
    <x v="6"/>
    <n v="2025"/>
    <n v="7"/>
    <x v="2"/>
    <s v="Theo tháng"/>
    <d v="2025-03-02T00:00:00"/>
    <d v="2025-04-02T00:00:00"/>
    <d v="2025-09-01T00:00:00"/>
    <n v="7.0000000000000007E-2"/>
    <n v="100000000"/>
    <n v="33333333.333333332"/>
    <n v="583333.33333333337"/>
    <n v="33916666.666666664"/>
  </r>
  <r>
    <d v="2025-06-01T00:00:00"/>
    <x v="7"/>
    <n v="2025"/>
    <n v="6"/>
    <x v="2"/>
    <s v="Theo tháng"/>
    <d v="2025-03-02T00:00:00"/>
    <d v="2025-04-02T00:00:00"/>
    <d v="2025-09-01T00:00:00"/>
    <n v="7.0000000000000007E-2"/>
    <n v="133333333.33333334"/>
    <n v="33333333.333333332"/>
    <n v="777777.77777777798"/>
    <n v="34111111.111111112"/>
  </r>
  <r>
    <d v="2025-05-01T00:00:00"/>
    <x v="8"/>
    <n v="2025"/>
    <n v="5"/>
    <x v="2"/>
    <s v="Theo tháng"/>
    <d v="2025-03-02T00:00:00"/>
    <d v="2025-04-02T00:00:00"/>
    <d v="2025-09-01T00:00:00"/>
    <n v="7.0000000000000007E-2"/>
    <n v="166666666.66666666"/>
    <n v="33333333.333333332"/>
    <n v="972222.22222222236"/>
    <n v="34305555.555555552"/>
  </r>
  <r>
    <d v="2025-04-01T00:00:00"/>
    <x v="9"/>
    <n v="2025"/>
    <n v="4"/>
    <x v="2"/>
    <s v="Theo tháng"/>
    <d v="2025-03-02T00:00:00"/>
    <d v="2025-04-02T00:00:00"/>
    <d v="2025-09-01T00:00:00"/>
    <n v="7.0000000000000007E-2"/>
    <n v="200000000"/>
    <n v="33333333.333333332"/>
    <n v="1166666.6666666667"/>
    <n v="34500000"/>
  </r>
  <r>
    <d v="2027-12-01T00:00:00"/>
    <x v="10"/>
    <n v="2027"/>
    <m/>
    <x v="3"/>
    <s v="Theo năm"/>
    <d v="2024-02-24T00:00:00"/>
    <d v="2025-02-24T00:00:00"/>
    <d v="2027-02-25T00:00:00"/>
    <n v="0.1"/>
    <n v="1666666666.6666665"/>
    <n v="1666666666.6666665"/>
    <n v="27777777.777777776"/>
    <n v="1694444444.4444442"/>
  </r>
  <r>
    <d v="2026-12-01T00:00:00"/>
    <x v="11"/>
    <n v="2026"/>
    <m/>
    <x v="3"/>
    <s v="Theo năm"/>
    <d v="2024-02-24T00:00:00"/>
    <d v="2025-02-24T00:00:00"/>
    <d v="2027-02-25T00:00:00"/>
    <n v="0.1"/>
    <n v="3333333333.333333"/>
    <n v="1666666666.6666667"/>
    <n v="333333333.33333331"/>
    <n v="2000000000"/>
  </r>
  <r>
    <d v="2025-12-01T00:00:00"/>
    <x v="12"/>
    <n v="2025"/>
    <m/>
    <x v="3"/>
    <s v="Theo năm"/>
    <d v="2024-02-24T00:00:00"/>
    <d v="2025-02-24T00:00:00"/>
    <d v="2027-02-25T00:00:00"/>
    <n v="0.1"/>
    <n v="5000000000"/>
    <n v="1666666666.6666667"/>
    <n v="500000000"/>
    <n v="2166666666.66666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EECE86-9043-4FAB-AD9D-4048D068C98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3:E64" firstHeaderRow="0" firstDataRow="1" firstDataCol="1"/>
  <pivotFields count="17">
    <pivotField numFmtId="165" showAll="0"/>
    <pivotField name="Ngày" axis="axisRow" numFmtId="169" showAll="0" sortType="ascending" defaultSubtotal="0">
      <items count="23">
        <item x="12"/>
        <item m="1" x="22"/>
        <item m="1" x="19"/>
        <item x="9"/>
        <item m="1" x="18"/>
        <item x="8"/>
        <item m="1" x="17"/>
        <item x="7"/>
        <item m="1" x="16"/>
        <item x="6"/>
        <item m="1" x="15"/>
        <item x="5"/>
        <item m="1" x="13"/>
        <item x="2"/>
        <item m="1" x="14"/>
        <item x="4"/>
        <item x="1"/>
        <item x="0"/>
        <item x="11"/>
        <item m="1" x="21"/>
        <item x="3"/>
        <item x="10"/>
        <item m="1" x="20"/>
      </items>
    </pivotField>
    <pivotField numFmtId="167" showAll="0"/>
    <pivotField showAll="0"/>
    <pivotField axis="axisRow" showAll="0">
      <items count="5">
        <item x="3"/>
        <item x="2"/>
        <item x="1"/>
        <item x="0"/>
        <item t="default"/>
      </items>
    </pivotField>
    <pivotField showAll="0"/>
    <pivotField numFmtId="166" showAll="0"/>
    <pivotField numFmtId="166" showAll="0"/>
    <pivotField numFmtId="166" showAll="0"/>
    <pivotField numFmtId="9" showAll="0"/>
    <pivotField numFmtId="164" showAll="0"/>
    <pivotField dataField="1" numFmtId="164" showAll="0"/>
    <pivotField dataField="1" numFmtId="164" showAll="0"/>
    <pivotField dataField="1" numFmtId="164" showAll="0"/>
    <pivotField name="Tháng " axis="axisRow" showAll="0">
      <items count="15">
        <item sd="0" x="0"/>
        <item sd="0" x="1"/>
        <item x="2"/>
        <item sd="0" x="3"/>
        <item x="4"/>
        <item x="5"/>
        <item x="6"/>
        <item x="7"/>
        <item x="8"/>
        <item x="9"/>
        <item x="10"/>
        <item sd="0" x="11"/>
        <item sd="0" x="12"/>
        <item sd="0" x="13"/>
        <item t="default"/>
      </items>
    </pivotField>
    <pivotField showAll="0">
      <items count="7">
        <item sd="0" x="1"/>
        <item sd="0" x="2"/>
        <item sd="0" x="3"/>
        <item sd="0" x="4"/>
        <item x="0"/>
        <item x="5"/>
        <item t="default"/>
      </items>
    </pivotField>
    <pivotField name="Năm " axis="axisRow" showAll="0" sortType="ascending">
      <items count="6">
        <item x="0"/>
        <item x="4"/>
        <item x="1"/>
        <item x="2"/>
        <item x="3"/>
        <item t="default"/>
      </items>
    </pivotField>
  </pivotFields>
  <rowFields count="4">
    <field x="16"/>
    <field x="14"/>
    <field x="1"/>
    <field x="4"/>
  </rowFields>
  <rowItems count="41">
    <i>
      <x v="2"/>
    </i>
    <i r="1">
      <x v="2"/>
    </i>
    <i r="2">
      <x/>
    </i>
    <i r="3">
      <x/>
    </i>
    <i r="1">
      <x v="4"/>
    </i>
    <i r="2">
      <x v="3"/>
    </i>
    <i r="3">
      <x v="1"/>
    </i>
    <i r="1">
      <x v="5"/>
    </i>
    <i r="2">
      <x v="5"/>
    </i>
    <i r="3">
      <x v="1"/>
    </i>
    <i r="1">
      <x v="6"/>
    </i>
    <i r="2">
      <x v="7"/>
    </i>
    <i r="3">
      <x v="1"/>
    </i>
    <i r="1">
      <x v="7"/>
    </i>
    <i r="2">
      <x v="9"/>
    </i>
    <i r="3">
      <x v="1"/>
    </i>
    <i r="1">
      <x v="8"/>
    </i>
    <i r="2">
      <x v="11"/>
    </i>
    <i r="3">
      <x v="1"/>
    </i>
    <i r="2">
      <x v="13"/>
    </i>
    <i r="3">
      <x v="3"/>
    </i>
    <i r="1">
      <x v="9"/>
    </i>
    <i r="2">
      <x v="15"/>
    </i>
    <i r="3">
      <x v="1"/>
    </i>
    <i r="1">
      <x v="10"/>
    </i>
    <i r="2">
      <x v="16"/>
    </i>
    <i r="3">
      <x v="3"/>
    </i>
    <i r="2">
      <x v="17"/>
    </i>
    <i r="3">
      <x v="3"/>
    </i>
    <i>
      <x v="3"/>
    </i>
    <i r="1">
      <x v="2"/>
    </i>
    <i r="2">
      <x v="18"/>
    </i>
    <i r="3">
      <x/>
    </i>
    <i r="1">
      <x v="5"/>
    </i>
    <i r="2">
      <x v="20"/>
    </i>
    <i r="3">
      <x v="2"/>
    </i>
    <i>
      <x v="4"/>
    </i>
    <i r="1">
      <x v="2"/>
    </i>
    <i r="2">
      <x v="21"/>
    </i>
    <i r="3">
      <x/>
    </i>
    <i t="grand">
      <x/>
    </i>
  </rowItems>
  <colFields count="1">
    <field x="-2"/>
  </colFields>
  <colItems count="3">
    <i>
      <x/>
    </i>
    <i i="1">
      <x v="1"/>
    </i>
    <i i="2">
      <x v="2"/>
    </i>
  </colItems>
  <dataFields count="3">
    <dataField name="Gốc" fld="11" baseField="0" baseItem="0" numFmtId="164"/>
    <dataField name="Lãi" fld="12" baseField="0" baseItem="0" numFmtId="164"/>
    <dataField name="Tổng" fld="13" baseField="0" baseItem="0" numFmtId="164"/>
  </dataFields>
  <formats count="127">
    <format dxfId="155">
      <pivotArea dataOnly="0" labelOnly="1" grandRow="1" outline="0" fieldPosition="0"/>
    </format>
    <format dxfId="154">
      <pivotArea dataOnly="0" labelOnly="1" fieldPosition="0">
        <references count="1">
          <reference field="16" count="1">
            <x v="2"/>
          </reference>
        </references>
      </pivotArea>
    </format>
    <format dxfId="153">
      <pivotArea collapsedLevelsAreSubtotals="1" fieldPosition="0">
        <references count="2">
          <reference field="4294967294" count="1" selected="0">
            <x v="0"/>
          </reference>
          <reference field="16" count="1">
            <x v="2"/>
          </reference>
        </references>
      </pivotArea>
    </format>
    <format dxfId="152">
      <pivotArea collapsedLevelsAreSubtotals="1" fieldPosition="0">
        <references count="2">
          <reference field="4294967294" count="1" selected="0">
            <x v="1"/>
          </reference>
          <reference field="16" count="1">
            <x v="2"/>
          </reference>
        </references>
      </pivotArea>
    </format>
    <format dxfId="151">
      <pivotArea collapsedLevelsAreSubtotals="1" fieldPosition="0">
        <references count="2">
          <reference field="4294967294" count="1" selected="0">
            <x v="2"/>
          </reference>
          <reference field="16" count="1">
            <x v="2"/>
          </reference>
        </references>
      </pivotArea>
    </format>
    <format dxfId="150">
      <pivotArea collapsedLevelsAreSubtotals="1" fieldPosition="0">
        <references count="3">
          <reference field="4294967294" count="1" selected="0">
            <x v="0"/>
          </reference>
          <reference field="14" count="1">
            <x v="2"/>
          </reference>
          <reference field="16" count="1" selected="0">
            <x v="2"/>
          </reference>
        </references>
      </pivotArea>
    </format>
    <format dxfId="149">
      <pivotArea collapsedLevelsAreSubtotals="1" fieldPosition="0">
        <references count="3">
          <reference field="4294967294" count="1" selected="0">
            <x v="1"/>
          </reference>
          <reference field="14" count="1">
            <x v="2"/>
          </reference>
          <reference field="16" count="1" selected="0">
            <x v="2"/>
          </reference>
        </references>
      </pivotArea>
    </format>
    <format dxfId="148">
      <pivotArea collapsedLevelsAreSubtotals="1" fieldPosition="0">
        <references count="3">
          <reference field="4294967294" count="1" selected="0">
            <x v="2"/>
          </reference>
          <reference field="14" count="1">
            <x v="2"/>
          </reference>
          <reference field="16" count="1" selected="0">
            <x v="2"/>
          </reference>
        </references>
      </pivotArea>
    </format>
    <format dxfId="147">
      <pivotArea collapsedLevelsAreSubtotals="1" fieldPosition="0">
        <references count="4">
          <reference field="4294967294" count="1" selected="0">
            <x v="0"/>
          </reference>
          <reference field="1" count="1">
            <x v="0"/>
          </reference>
          <reference field="14" count="1" selected="0">
            <x v="2"/>
          </reference>
          <reference field="16" count="1" selected="0">
            <x v="2"/>
          </reference>
        </references>
      </pivotArea>
    </format>
    <format dxfId="146">
      <pivotArea collapsedLevelsAreSubtotals="1" fieldPosition="0">
        <references count="4">
          <reference field="4294967294" count="1" selected="0">
            <x v="1"/>
          </reference>
          <reference field="1" count="1">
            <x v="0"/>
          </reference>
          <reference field="14" count="1" selected="0">
            <x v="2"/>
          </reference>
          <reference field="16" count="1" selected="0">
            <x v="2"/>
          </reference>
        </references>
      </pivotArea>
    </format>
    <format dxfId="145">
      <pivotArea collapsedLevelsAreSubtotals="1" fieldPosition="0">
        <references count="4">
          <reference field="4294967294" count="1" selected="0">
            <x v="2"/>
          </reference>
          <reference field="1" count="1">
            <x v="0"/>
          </reference>
          <reference field="14" count="1" selected="0">
            <x v="2"/>
          </reference>
          <reference field="16" count="1" selected="0">
            <x v="2"/>
          </reference>
        </references>
      </pivotArea>
    </format>
    <format dxfId="144">
      <pivotArea collapsedLevelsAreSubtotals="1" fieldPosition="0">
        <references count="5">
          <reference field="4294967294" count="1" selected="0">
            <x v="0"/>
          </reference>
          <reference field="1" count="1" selected="0">
            <x v="0"/>
          </reference>
          <reference field="4" count="1">
            <x v="0"/>
          </reference>
          <reference field="14" count="1" selected="0">
            <x v="2"/>
          </reference>
          <reference field="16" count="1" selected="0">
            <x v="2"/>
          </reference>
        </references>
      </pivotArea>
    </format>
    <format dxfId="143">
      <pivotArea collapsedLevelsAreSubtotals="1" fieldPosition="0">
        <references count="5">
          <reference field="4294967294" count="1" selected="0">
            <x v="1"/>
          </reference>
          <reference field="1" count="1" selected="0">
            <x v="0"/>
          </reference>
          <reference field="4" count="1">
            <x v="0"/>
          </reference>
          <reference field="14" count="1" selected="0">
            <x v="2"/>
          </reference>
          <reference field="16" count="1" selected="0">
            <x v="2"/>
          </reference>
        </references>
      </pivotArea>
    </format>
    <format dxfId="142">
      <pivotArea collapsedLevelsAreSubtotals="1" fieldPosition="0">
        <references count="5">
          <reference field="4294967294" count="1" selected="0">
            <x v="2"/>
          </reference>
          <reference field="1" count="1" selected="0">
            <x v="0"/>
          </reference>
          <reference field="4" count="1">
            <x v="0"/>
          </reference>
          <reference field="14" count="1" selected="0">
            <x v="2"/>
          </reference>
          <reference field="16" count="1" selected="0">
            <x v="2"/>
          </reference>
        </references>
      </pivotArea>
    </format>
    <format dxfId="141">
      <pivotArea collapsedLevelsAreSubtotals="1" fieldPosition="0">
        <references count="3">
          <reference field="4294967294" count="1" selected="0">
            <x v="0"/>
          </reference>
          <reference field="14" count="1">
            <x v="4"/>
          </reference>
          <reference field="16" count="1" selected="0">
            <x v="2"/>
          </reference>
        </references>
      </pivotArea>
    </format>
    <format dxfId="140">
      <pivotArea collapsedLevelsAreSubtotals="1" fieldPosition="0">
        <references count="3">
          <reference field="4294967294" count="1" selected="0">
            <x v="1"/>
          </reference>
          <reference field="14" count="1">
            <x v="4"/>
          </reference>
          <reference field="16" count="1" selected="0">
            <x v="2"/>
          </reference>
        </references>
      </pivotArea>
    </format>
    <format dxfId="139">
      <pivotArea collapsedLevelsAreSubtotals="1" fieldPosition="0">
        <references count="3">
          <reference field="4294967294" count="1" selected="0">
            <x v="2"/>
          </reference>
          <reference field="14" count="1">
            <x v="4"/>
          </reference>
          <reference field="16" count="1" selected="0">
            <x v="2"/>
          </reference>
        </references>
      </pivotArea>
    </format>
    <format dxfId="138">
      <pivotArea collapsedLevelsAreSubtotals="1" fieldPosition="0">
        <references count="4">
          <reference field="4294967294" count="1" selected="0">
            <x v="0"/>
          </reference>
          <reference field="1" count="1">
            <x v="3"/>
          </reference>
          <reference field="14" count="1" selected="0">
            <x v="4"/>
          </reference>
          <reference field="16" count="1" selected="0">
            <x v="2"/>
          </reference>
        </references>
      </pivotArea>
    </format>
    <format dxfId="137">
      <pivotArea collapsedLevelsAreSubtotals="1" fieldPosition="0">
        <references count="4">
          <reference field="4294967294" count="1" selected="0">
            <x v="1"/>
          </reference>
          <reference field="1" count="1">
            <x v="3"/>
          </reference>
          <reference field="14" count="1" selected="0">
            <x v="4"/>
          </reference>
          <reference field="16" count="1" selected="0">
            <x v="2"/>
          </reference>
        </references>
      </pivotArea>
    </format>
    <format dxfId="136">
      <pivotArea collapsedLevelsAreSubtotals="1" fieldPosition="0">
        <references count="4">
          <reference field="4294967294" count="1" selected="0">
            <x v="2"/>
          </reference>
          <reference field="1" count="1">
            <x v="3"/>
          </reference>
          <reference field="14" count="1" selected="0">
            <x v="4"/>
          </reference>
          <reference field="16" count="1" selected="0">
            <x v="2"/>
          </reference>
        </references>
      </pivotArea>
    </format>
    <format dxfId="135">
      <pivotArea collapsedLevelsAreSubtotals="1" fieldPosition="0">
        <references count="5">
          <reference field="4294967294" count="1" selected="0">
            <x v="0"/>
          </reference>
          <reference field="1" count="1" selected="0">
            <x v="3"/>
          </reference>
          <reference field="4" count="1">
            <x v="1"/>
          </reference>
          <reference field="14" count="1" selected="0">
            <x v="4"/>
          </reference>
          <reference field="16" count="1" selected="0">
            <x v="2"/>
          </reference>
        </references>
      </pivotArea>
    </format>
    <format dxfId="134">
      <pivotArea collapsedLevelsAreSubtotals="1" fieldPosition="0">
        <references count="5">
          <reference field="4294967294" count="1" selected="0">
            <x v="1"/>
          </reference>
          <reference field="1" count="1" selected="0">
            <x v="3"/>
          </reference>
          <reference field="4" count="1">
            <x v="1"/>
          </reference>
          <reference field="14" count="1" selected="0">
            <x v="4"/>
          </reference>
          <reference field="16" count="1" selected="0">
            <x v="2"/>
          </reference>
        </references>
      </pivotArea>
    </format>
    <format dxfId="133">
      <pivotArea collapsedLevelsAreSubtotals="1" fieldPosition="0">
        <references count="5">
          <reference field="4294967294" count="1" selected="0">
            <x v="2"/>
          </reference>
          <reference field="1" count="1" selected="0">
            <x v="3"/>
          </reference>
          <reference field="4" count="1">
            <x v="1"/>
          </reference>
          <reference field="14" count="1" selected="0">
            <x v="4"/>
          </reference>
          <reference field="16" count="1" selected="0">
            <x v="2"/>
          </reference>
        </references>
      </pivotArea>
    </format>
    <format dxfId="132">
      <pivotArea collapsedLevelsAreSubtotals="1" fieldPosition="0">
        <references count="3">
          <reference field="4294967294" count="1" selected="0">
            <x v="0"/>
          </reference>
          <reference field="14" count="1">
            <x v="5"/>
          </reference>
          <reference field="16" count="1" selected="0">
            <x v="2"/>
          </reference>
        </references>
      </pivotArea>
    </format>
    <format dxfId="131">
      <pivotArea collapsedLevelsAreSubtotals="1" fieldPosition="0">
        <references count="3">
          <reference field="4294967294" count="1" selected="0">
            <x v="1"/>
          </reference>
          <reference field="14" count="1">
            <x v="5"/>
          </reference>
          <reference field="16" count="1" selected="0">
            <x v="2"/>
          </reference>
        </references>
      </pivotArea>
    </format>
    <format dxfId="130">
      <pivotArea collapsedLevelsAreSubtotals="1" fieldPosition="0">
        <references count="3">
          <reference field="4294967294" count="1" selected="0">
            <x v="2"/>
          </reference>
          <reference field="14" count="1">
            <x v="5"/>
          </reference>
          <reference field="16" count="1" selected="0">
            <x v="2"/>
          </reference>
        </references>
      </pivotArea>
    </format>
    <format dxfId="129">
      <pivotArea collapsedLevelsAreSubtotals="1" fieldPosition="0">
        <references count="4">
          <reference field="4294967294" count="1" selected="0">
            <x v="0"/>
          </reference>
          <reference field="1" count="1">
            <x v="5"/>
          </reference>
          <reference field="14" count="1" selected="0">
            <x v="5"/>
          </reference>
          <reference field="16" count="1" selected="0">
            <x v="2"/>
          </reference>
        </references>
      </pivotArea>
    </format>
    <format dxfId="128">
      <pivotArea collapsedLevelsAreSubtotals="1" fieldPosition="0">
        <references count="4">
          <reference field="4294967294" count="1" selected="0">
            <x v="1"/>
          </reference>
          <reference field="1" count="1">
            <x v="5"/>
          </reference>
          <reference field="14" count="1" selected="0">
            <x v="5"/>
          </reference>
          <reference field="16" count="1" selected="0">
            <x v="2"/>
          </reference>
        </references>
      </pivotArea>
    </format>
    <format dxfId="127">
      <pivotArea collapsedLevelsAreSubtotals="1" fieldPosition="0">
        <references count="4">
          <reference field="4294967294" count="1" selected="0">
            <x v="2"/>
          </reference>
          <reference field="1" count="1">
            <x v="5"/>
          </reference>
          <reference field="14" count="1" selected="0">
            <x v="5"/>
          </reference>
          <reference field="16" count="1" selected="0">
            <x v="2"/>
          </reference>
        </references>
      </pivotArea>
    </format>
    <format dxfId="126">
      <pivotArea collapsedLevelsAreSubtotals="1" fieldPosition="0">
        <references count="5">
          <reference field="4294967294" count="1" selected="0">
            <x v="0"/>
          </reference>
          <reference field="1" count="1" selected="0">
            <x v="5"/>
          </reference>
          <reference field="4" count="1">
            <x v="1"/>
          </reference>
          <reference field="14" count="1" selected="0">
            <x v="5"/>
          </reference>
          <reference field="16" count="1" selected="0">
            <x v="2"/>
          </reference>
        </references>
      </pivotArea>
    </format>
    <format dxfId="125">
      <pivotArea collapsedLevelsAreSubtotals="1" fieldPosition="0">
        <references count="5">
          <reference field="4294967294" count="1" selected="0">
            <x v="1"/>
          </reference>
          <reference field="1" count="1" selected="0">
            <x v="5"/>
          </reference>
          <reference field="4" count="1">
            <x v="1"/>
          </reference>
          <reference field="14" count="1" selected="0">
            <x v="5"/>
          </reference>
          <reference field="16" count="1" selected="0">
            <x v="2"/>
          </reference>
        </references>
      </pivotArea>
    </format>
    <format dxfId="124">
      <pivotArea collapsedLevelsAreSubtotals="1" fieldPosition="0">
        <references count="5">
          <reference field="4294967294" count="1" selected="0">
            <x v="2"/>
          </reference>
          <reference field="1" count="1" selected="0">
            <x v="5"/>
          </reference>
          <reference field="4" count="1">
            <x v="1"/>
          </reference>
          <reference field="14" count="1" selected="0">
            <x v="5"/>
          </reference>
          <reference field="16" count="1" selected="0">
            <x v="2"/>
          </reference>
        </references>
      </pivotArea>
    </format>
    <format dxfId="123">
      <pivotArea collapsedLevelsAreSubtotals="1" fieldPosition="0">
        <references count="3">
          <reference field="4294967294" count="1" selected="0">
            <x v="0"/>
          </reference>
          <reference field="14" count="1">
            <x v="6"/>
          </reference>
          <reference field="16" count="1" selected="0">
            <x v="2"/>
          </reference>
        </references>
      </pivotArea>
    </format>
    <format dxfId="122">
      <pivotArea collapsedLevelsAreSubtotals="1" fieldPosition="0">
        <references count="3">
          <reference field="4294967294" count="1" selected="0">
            <x v="1"/>
          </reference>
          <reference field="14" count="1">
            <x v="6"/>
          </reference>
          <reference field="16" count="1" selected="0">
            <x v="2"/>
          </reference>
        </references>
      </pivotArea>
    </format>
    <format dxfId="121">
      <pivotArea collapsedLevelsAreSubtotals="1" fieldPosition="0">
        <references count="3">
          <reference field="4294967294" count="1" selected="0">
            <x v="2"/>
          </reference>
          <reference field="14" count="1">
            <x v="6"/>
          </reference>
          <reference field="16" count="1" selected="0">
            <x v="2"/>
          </reference>
        </references>
      </pivotArea>
    </format>
    <format dxfId="120">
      <pivotArea collapsedLevelsAreSubtotals="1" fieldPosition="0">
        <references count="4">
          <reference field="4294967294" count="1" selected="0">
            <x v="0"/>
          </reference>
          <reference field="1" count="1">
            <x v="7"/>
          </reference>
          <reference field="14" count="1" selected="0">
            <x v="6"/>
          </reference>
          <reference field="16" count="1" selected="0">
            <x v="2"/>
          </reference>
        </references>
      </pivotArea>
    </format>
    <format dxfId="119">
      <pivotArea collapsedLevelsAreSubtotals="1" fieldPosition="0">
        <references count="4">
          <reference field="4294967294" count="1" selected="0">
            <x v="1"/>
          </reference>
          <reference field="1" count="1">
            <x v="7"/>
          </reference>
          <reference field="14" count="1" selected="0">
            <x v="6"/>
          </reference>
          <reference field="16" count="1" selected="0">
            <x v="2"/>
          </reference>
        </references>
      </pivotArea>
    </format>
    <format dxfId="118">
      <pivotArea collapsedLevelsAreSubtotals="1" fieldPosition="0">
        <references count="4">
          <reference field="4294967294" count="1" selected="0">
            <x v="2"/>
          </reference>
          <reference field="1" count="1">
            <x v="7"/>
          </reference>
          <reference field="14" count="1" selected="0">
            <x v="6"/>
          </reference>
          <reference field="16" count="1" selected="0">
            <x v="2"/>
          </reference>
        </references>
      </pivotArea>
    </format>
    <format dxfId="117">
      <pivotArea collapsedLevelsAreSubtotals="1" fieldPosition="0">
        <references count="5">
          <reference field="4294967294" count="1" selected="0">
            <x v="0"/>
          </reference>
          <reference field="1" count="1" selected="0">
            <x v="7"/>
          </reference>
          <reference field="4" count="1">
            <x v="1"/>
          </reference>
          <reference field="14" count="1" selected="0">
            <x v="6"/>
          </reference>
          <reference field="16" count="1" selected="0">
            <x v="2"/>
          </reference>
        </references>
      </pivotArea>
    </format>
    <format dxfId="116">
      <pivotArea collapsedLevelsAreSubtotals="1" fieldPosition="0">
        <references count="5">
          <reference field="4294967294" count="1" selected="0">
            <x v="1"/>
          </reference>
          <reference field="1" count="1" selected="0">
            <x v="7"/>
          </reference>
          <reference field="4" count="1">
            <x v="1"/>
          </reference>
          <reference field="14" count="1" selected="0">
            <x v="6"/>
          </reference>
          <reference field="16" count="1" selected="0">
            <x v="2"/>
          </reference>
        </references>
      </pivotArea>
    </format>
    <format dxfId="115">
      <pivotArea collapsedLevelsAreSubtotals="1" fieldPosition="0">
        <references count="5">
          <reference field="4294967294" count="1" selected="0">
            <x v="2"/>
          </reference>
          <reference field="1" count="1" selected="0">
            <x v="7"/>
          </reference>
          <reference field="4" count="1">
            <x v="1"/>
          </reference>
          <reference field="14" count="1" selected="0">
            <x v="6"/>
          </reference>
          <reference field="16" count="1" selected="0">
            <x v="2"/>
          </reference>
        </references>
      </pivotArea>
    </format>
    <format dxfId="114">
      <pivotArea collapsedLevelsAreSubtotals="1" fieldPosition="0">
        <references count="3">
          <reference field="4294967294" count="1" selected="0">
            <x v="0"/>
          </reference>
          <reference field="14" count="1">
            <x v="7"/>
          </reference>
          <reference field="16" count="1" selected="0">
            <x v="2"/>
          </reference>
        </references>
      </pivotArea>
    </format>
    <format dxfId="113">
      <pivotArea collapsedLevelsAreSubtotals="1" fieldPosition="0">
        <references count="3">
          <reference field="4294967294" count="1" selected="0">
            <x v="1"/>
          </reference>
          <reference field="14" count="1">
            <x v="7"/>
          </reference>
          <reference field="16" count="1" selected="0">
            <x v="2"/>
          </reference>
        </references>
      </pivotArea>
    </format>
    <format dxfId="112">
      <pivotArea collapsedLevelsAreSubtotals="1" fieldPosition="0">
        <references count="3">
          <reference field="4294967294" count="1" selected="0">
            <x v="2"/>
          </reference>
          <reference field="14" count="1">
            <x v="7"/>
          </reference>
          <reference field="16" count="1" selected="0">
            <x v="2"/>
          </reference>
        </references>
      </pivotArea>
    </format>
    <format dxfId="111">
      <pivotArea collapsedLevelsAreSubtotals="1" fieldPosition="0">
        <references count="4">
          <reference field="4294967294" count="1" selected="0">
            <x v="0"/>
          </reference>
          <reference field="1" count="1">
            <x v="9"/>
          </reference>
          <reference field="14" count="1" selected="0">
            <x v="7"/>
          </reference>
          <reference field="16" count="1" selected="0">
            <x v="2"/>
          </reference>
        </references>
      </pivotArea>
    </format>
    <format dxfId="110">
      <pivotArea collapsedLevelsAreSubtotals="1" fieldPosition="0">
        <references count="4">
          <reference field="4294967294" count="1" selected="0">
            <x v="1"/>
          </reference>
          <reference field="1" count="1">
            <x v="9"/>
          </reference>
          <reference field="14" count="1" selected="0">
            <x v="7"/>
          </reference>
          <reference field="16" count="1" selected="0">
            <x v="2"/>
          </reference>
        </references>
      </pivotArea>
    </format>
    <format dxfId="109">
      <pivotArea collapsedLevelsAreSubtotals="1" fieldPosition="0">
        <references count="4">
          <reference field="4294967294" count="1" selected="0">
            <x v="2"/>
          </reference>
          <reference field="1" count="1">
            <x v="9"/>
          </reference>
          <reference field="14" count="1" selected="0">
            <x v="7"/>
          </reference>
          <reference field="16" count="1" selected="0">
            <x v="2"/>
          </reference>
        </references>
      </pivotArea>
    </format>
    <format dxfId="108">
      <pivotArea collapsedLevelsAreSubtotals="1" fieldPosition="0">
        <references count="5">
          <reference field="4294967294" count="1" selected="0">
            <x v="0"/>
          </reference>
          <reference field="1" count="1" selected="0">
            <x v="9"/>
          </reference>
          <reference field="4" count="1">
            <x v="1"/>
          </reference>
          <reference field="14" count="1" selected="0">
            <x v="7"/>
          </reference>
          <reference field="16" count="1" selected="0">
            <x v="2"/>
          </reference>
        </references>
      </pivotArea>
    </format>
    <format dxfId="107">
      <pivotArea collapsedLevelsAreSubtotals="1" fieldPosition="0">
        <references count="5">
          <reference field="4294967294" count="1" selected="0">
            <x v="1"/>
          </reference>
          <reference field="1" count="1" selected="0">
            <x v="9"/>
          </reference>
          <reference field="4" count="1">
            <x v="1"/>
          </reference>
          <reference field="14" count="1" selected="0">
            <x v="7"/>
          </reference>
          <reference field="16" count="1" selected="0">
            <x v="2"/>
          </reference>
        </references>
      </pivotArea>
    </format>
    <format dxfId="106">
      <pivotArea collapsedLevelsAreSubtotals="1" fieldPosition="0">
        <references count="5">
          <reference field="4294967294" count="1" selected="0">
            <x v="2"/>
          </reference>
          <reference field="1" count="1" selected="0">
            <x v="9"/>
          </reference>
          <reference field="4" count="1">
            <x v="1"/>
          </reference>
          <reference field="14" count="1" selected="0">
            <x v="7"/>
          </reference>
          <reference field="16" count="1" selected="0">
            <x v="2"/>
          </reference>
        </references>
      </pivotArea>
    </format>
    <format dxfId="105">
      <pivotArea collapsedLevelsAreSubtotals="1" fieldPosition="0">
        <references count="3">
          <reference field="4294967294" count="1" selected="0">
            <x v="0"/>
          </reference>
          <reference field="14" count="1">
            <x v="8"/>
          </reference>
          <reference field="16" count="1" selected="0">
            <x v="2"/>
          </reference>
        </references>
      </pivotArea>
    </format>
    <format dxfId="104">
      <pivotArea collapsedLevelsAreSubtotals="1" fieldPosition="0">
        <references count="3">
          <reference field="4294967294" count="1" selected="0">
            <x v="1"/>
          </reference>
          <reference field="14" count="1">
            <x v="8"/>
          </reference>
          <reference field="16" count="1" selected="0">
            <x v="2"/>
          </reference>
        </references>
      </pivotArea>
    </format>
    <format dxfId="103">
      <pivotArea collapsedLevelsAreSubtotals="1" fieldPosition="0">
        <references count="3">
          <reference field="4294967294" count="1" selected="0">
            <x v="2"/>
          </reference>
          <reference field="14" count="1">
            <x v="8"/>
          </reference>
          <reference field="16" count="1" selected="0">
            <x v="2"/>
          </reference>
        </references>
      </pivotArea>
    </format>
    <format dxfId="102">
      <pivotArea collapsedLevelsAreSubtotals="1" fieldPosition="0">
        <references count="4">
          <reference field="4294967294" count="1" selected="0">
            <x v="0"/>
          </reference>
          <reference field="1" count="1">
            <x v="11"/>
          </reference>
          <reference field="14" count="1" selected="0">
            <x v="8"/>
          </reference>
          <reference field="16" count="1" selected="0">
            <x v="2"/>
          </reference>
        </references>
      </pivotArea>
    </format>
    <format dxfId="101">
      <pivotArea collapsedLevelsAreSubtotals="1" fieldPosition="0">
        <references count="4">
          <reference field="4294967294" count="1" selected="0">
            <x v="1"/>
          </reference>
          <reference field="1" count="1">
            <x v="11"/>
          </reference>
          <reference field="14" count="1" selected="0">
            <x v="8"/>
          </reference>
          <reference field="16" count="1" selected="0">
            <x v="2"/>
          </reference>
        </references>
      </pivotArea>
    </format>
    <format dxfId="100">
      <pivotArea collapsedLevelsAreSubtotals="1" fieldPosition="0">
        <references count="4">
          <reference field="4294967294" count="1" selected="0">
            <x v="2"/>
          </reference>
          <reference field="1" count="1">
            <x v="11"/>
          </reference>
          <reference field="14" count="1" selected="0">
            <x v="8"/>
          </reference>
          <reference field="16" count="1" selected="0">
            <x v="2"/>
          </reference>
        </references>
      </pivotArea>
    </format>
    <format dxfId="99">
      <pivotArea collapsedLevelsAreSubtotals="1" fieldPosition="0">
        <references count="5">
          <reference field="4294967294" count="1" selected="0">
            <x v="0"/>
          </reference>
          <reference field="1" count="1" selected="0">
            <x v="11"/>
          </reference>
          <reference field="4" count="1">
            <x v="1"/>
          </reference>
          <reference field="14" count="1" selected="0">
            <x v="8"/>
          </reference>
          <reference field="16" count="1" selected="0">
            <x v="2"/>
          </reference>
        </references>
      </pivotArea>
    </format>
    <format dxfId="98">
      <pivotArea collapsedLevelsAreSubtotals="1" fieldPosition="0">
        <references count="5">
          <reference field="4294967294" count="1" selected="0">
            <x v="1"/>
          </reference>
          <reference field="1" count="1" selected="0">
            <x v="11"/>
          </reference>
          <reference field="4" count="1">
            <x v="1"/>
          </reference>
          <reference field="14" count="1" selected="0">
            <x v="8"/>
          </reference>
          <reference field="16" count="1" selected="0">
            <x v="2"/>
          </reference>
        </references>
      </pivotArea>
    </format>
    <format dxfId="97">
      <pivotArea collapsedLevelsAreSubtotals="1" fieldPosition="0">
        <references count="5">
          <reference field="4294967294" count="1" selected="0">
            <x v="2"/>
          </reference>
          <reference field="1" count="1" selected="0">
            <x v="11"/>
          </reference>
          <reference field="4" count="1">
            <x v="1"/>
          </reference>
          <reference field="14" count="1" selected="0">
            <x v="8"/>
          </reference>
          <reference field="16" count="1" selected="0">
            <x v="2"/>
          </reference>
        </references>
      </pivotArea>
    </format>
    <format dxfId="96">
      <pivotArea collapsedLevelsAreSubtotals="1" fieldPosition="0">
        <references count="4">
          <reference field="4294967294" count="1" selected="0">
            <x v="0"/>
          </reference>
          <reference field="1" count="1">
            <x v="13"/>
          </reference>
          <reference field="14" count="1" selected="0">
            <x v="8"/>
          </reference>
          <reference field="16" count="1" selected="0">
            <x v="2"/>
          </reference>
        </references>
      </pivotArea>
    </format>
    <format dxfId="95">
      <pivotArea collapsedLevelsAreSubtotals="1" fieldPosition="0">
        <references count="4">
          <reference field="4294967294" count="1" selected="0">
            <x v="1"/>
          </reference>
          <reference field="1" count="1">
            <x v="13"/>
          </reference>
          <reference field="14" count="1" selected="0">
            <x v="8"/>
          </reference>
          <reference field="16" count="1" selected="0">
            <x v="2"/>
          </reference>
        </references>
      </pivotArea>
    </format>
    <format dxfId="94">
      <pivotArea collapsedLevelsAreSubtotals="1" fieldPosition="0">
        <references count="4">
          <reference field="4294967294" count="1" selected="0">
            <x v="2"/>
          </reference>
          <reference field="1" count="1">
            <x v="13"/>
          </reference>
          <reference field="14" count="1" selected="0">
            <x v="8"/>
          </reference>
          <reference field="16" count="1" selected="0">
            <x v="2"/>
          </reference>
        </references>
      </pivotArea>
    </format>
    <format dxfId="93">
      <pivotArea collapsedLevelsAreSubtotals="1" fieldPosition="0">
        <references count="5">
          <reference field="4294967294" count="1" selected="0">
            <x v="0"/>
          </reference>
          <reference field="1" count="1" selected="0">
            <x v="13"/>
          </reference>
          <reference field="4" count="1">
            <x v="3"/>
          </reference>
          <reference field="14" count="1" selected="0">
            <x v="8"/>
          </reference>
          <reference field="16" count="1" selected="0">
            <x v="2"/>
          </reference>
        </references>
      </pivotArea>
    </format>
    <format dxfId="92">
      <pivotArea collapsedLevelsAreSubtotals="1" fieldPosition="0">
        <references count="5">
          <reference field="4294967294" count="1" selected="0">
            <x v="1"/>
          </reference>
          <reference field="1" count="1" selected="0">
            <x v="13"/>
          </reference>
          <reference field="4" count="1">
            <x v="3"/>
          </reference>
          <reference field="14" count="1" selected="0">
            <x v="8"/>
          </reference>
          <reference field="16" count="1" selected="0">
            <x v="2"/>
          </reference>
        </references>
      </pivotArea>
    </format>
    <format dxfId="91">
      <pivotArea collapsedLevelsAreSubtotals="1" fieldPosition="0">
        <references count="5">
          <reference field="4294967294" count="1" selected="0">
            <x v="2"/>
          </reference>
          <reference field="1" count="1" selected="0">
            <x v="13"/>
          </reference>
          <reference field="4" count="1">
            <x v="3"/>
          </reference>
          <reference field="14" count="1" selected="0">
            <x v="8"/>
          </reference>
          <reference field="16" count="1" selected="0">
            <x v="2"/>
          </reference>
        </references>
      </pivotArea>
    </format>
    <format dxfId="90">
      <pivotArea collapsedLevelsAreSubtotals="1" fieldPosition="0">
        <references count="3">
          <reference field="4294967294" count="1" selected="0">
            <x v="0"/>
          </reference>
          <reference field="14" count="1">
            <x v="9"/>
          </reference>
          <reference field="16" count="1" selected="0">
            <x v="2"/>
          </reference>
        </references>
      </pivotArea>
    </format>
    <format dxfId="89">
      <pivotArea collapsedLevelsAreSubtotals="1" fieldPosition="0">
        <references count="3">
          <reference field="4294967294" count="1" selected="0">
            <x v="1"/>
          </reference>
          <reference field="14" count="1">
            <x v="9"/>
          </reference>
          <reference field="16" count="1" selected="0">
            <x v="2"/>
          </reference>
        </references>
      </pivotArea>
    </format>
    <format dxfId="88">
      <pivotArea collapsedLevelsAreSubtotals="1" fieldPosition="0">
        <references count="3">
          <reference field="4294967294" count="1" selected="0">
            <x v="2"/>
          </reference>
          <reference field="14" count="1">
            <x v="9"/>
          </reference>
          <reference field="16" count="1" selected="0">
            <x v="2"/>
          </reference>
        </references>
      </pivotArea>
    </format>
    <format dxfId="87">
      <pivotArea collapsedLevelsAreSubtotals="1" fieldPosition="0">
        <references count="4">
          <reference field="4294967294" count="1" selected="0">
            <x v="0"/>
          </reference>
          <reference field="1" count="1">
            <x v="15"/>
          </reference>
          <reference field="14" count="1" selected="0">
            <x v="9"/>
          </reference>
          <reference field="16" count="1" selected="0">
            <x v="2"/>
          </reference>
        </references>
      </pivotArea>
    </format>
    <format dxfId="86">
      <pivotArea collapsedLevelsAreSubtotals="1" fieldPosition="0">
        <references count="4">
          <reference field="4294967294" count="1" selected="0">
            <x v="1"/>
          </reference>
          <reference field="1" count="1">
            <x v="15"/>
          </reference>
          <reference field="14" count="1" selected="0">
            <x v="9"/>
          </reference>
          <reference field="16" count="1" selected="0">
            <x v="2"/>
          </reference>
        </references>
      </pivotArea>
    </format>
    <format dxfId="85">
      <pivotArea collapsedLevelsAreSubtotals="1" fieldPosition="0">
        <references count="4">
          <reference field="4294967294" count="1" selected="0">
            <x v="2"/>
          </reference>
          <reference field="1" count="1">
            <x v="15"/>
          </reference>
          <reference field="14" count="1" selected="0">
            <x v="9"/>
          </reference>
          <reference field="16" count="1" selected="0">
            <x v="2"/>
          </reference>
        </references>
      </pivotArea>
    </format>
    <format dxfId="84">
      <pivotArea collapsedLevelsAreSubtotals="1" fieldPosition="0">
        <references count="5">
          <reference field="4294967294" count="1" selected="0">
            <x v="0"/>
          </reference>
          <reference field="1" count="1" selected="0">
            <x v="15"/>
          </reference>
          <reference field="4" count="1">
            <x v="1"/>
          </reference>
          <reference field="14" count="1" selected="0">
            <x v="9"/>
          </reference>
          <reference field="16" count="1" selected="0">
            <x v="2"/>
          </reference>
        </references>
      </pivotArea>
    </format>
    <format dxfId="83">
      <pivotArea collapsedLevelsAreSubtotals="1" fieldPosition="0">
        <references count="5">
          <reference field="4294967294" count="1" selected="0">
            <x v="1"/>
          </reference>
          <reference field="1" count="1" selected="0">
            <x v="15"/>
          </reference>
          <reference field="4" count="1">
            <x v="1"/>
          </reference>
          <reference field="14" count="1" selected="0">
            <x v="9"/>
          </reference>
          <reference field="16" count="1" selected="0">
            <x v="2"/>
          </reference>
        </references>
      </pivotArea>
    </format>
    <format dxfId="82">
      <pivotArea collapsedLevelsAreSubtotals="1" fieldPosition="0">
        <references count="5">
          <reference field="4294967294" count="1" selected="0">
            <x v="2"/>
          </reference>
          <reference field="1" count="1" selected="0">
            <x v="15"/>
          </reference>
          <reference field="4" count="1">
            <x v="1"/>
          </reference>
          <reference field="14" count="1" selected="0">
            <x v="9"/>
          </reference>
          <reference field="16" count="1" selected="0">
            <x v="2"/>
          </reference>
        </references>
      </pivotArea>
    </format>
    <format dxfId="81">
      <pivotArea collapsedLevelsAreSubtotals="1" fieldPosition="0">
        <references count="3">
          <reference field="4294967294" count="1" selected="0">
            <x v="0"/>
          </reference>
          <reference field="14" count="1">
            <x v="10"/>
          </reference>
          <reference field="16" count="1" selected="0">
            <x v="2"/>
          </reference>
        </references>
      </pivotArea>
    </format>
    <format dxfId="80">
      <pivotArea collapsedLevelsAreSubtotals="1" fieldPosition="0">
        <references count="3">
          <reference field="4294967294" count="1" selected="0">
            <x v="1"/>
          </reference>
          <reference field="14" count="1">
            <x v="10"/>
          </reference>
          <reference field="16" count="1" selected="0">
            <x v="2"/>
          </reference>
        </references>
      </pivotArea>
    </format>
    <format dxfId="79">
      <pivotArea collapsedLevelsAreSubtotals="1" fieldPosition="0">
        <references count="3">
          <reference field="4294967294" count="1" selected="0">
            <x v="2"/>
          </reference>
          <reference field="14" count="1">
            <x v="10"/>
          </reference>
          <reference field="16" count="1" selected="0">
            <x v="2"/>
          </reference>
        </references>
      </pivotArea>
    </format>
    <format dxfId="78">
      <pivotArea collapsedLevelsAreSubtotals="1" fieldPosition="0">
        <references count="4">
          <reference field="4294967294" count="1" selected="0">
            <x v="0"/>
          </reference>
          <reference field="1" count="1">
            <x v="16"/>
          </reference>
          <reference field="14" count="1" selected="0">
            <x v="10"/>
          </reference>
          <reference field="16" count="1" selected="0">
            <x v="2"/>
          </reference>
        </references>
      </pivotArea>
    </format>
    <format dxfId="77">
      <pivotArea collapsedLevelsAreSubtotals="1" fieldPosition="0">
        <references count="4">
          <reference field="4294967294" count="1" selected="0">
            <x v="1"/>
          </reference>
          <reference field="1" count="1">
            <x v="16"/>
          </reference>
          <reference field="14" count="1" selected="0">
            <x v="10"/>
          </reference>
          <reference field="16" count="1" selected="0">
            <x v="2"/>
          </reference>
        </references>
      </pivotArea>
    </format>
    <format dxfId="76">
      <pivotArea collapsedLevelsAreSubtotals="1" fieldPosition="0">
        <references count="4">
          <reference field="4294967294" count="1" selected="0">
            <x v="2"/>
          </reference>
          <reference field="1" count="1">
            <x v="16"/>
          </reference>
          <reference field="14" count="1" selected="0">
            <x v="10"/>
          </reference>
          <reference field="16" count="1" selected="0">
            <x v="2"/>
          </reference>
        </references>
      </pivotArea>
    </format>
    <format dxfId="75">
      <pivotArea collapsedLevelsAreSubtotals="1" fieldPosition="0">
        <references count="5">
          <reference field="4294967294" count="1" selected="0">
            <x v="0"/>
          </reference>
          <reference field="1" count="1" selected="0">
            <x v="16"/>
          </reference>
          <reference field="4" count="1">
            <x v="3"/>
          </reference>
          <reference field="14" count="1" selected="0">
            <x v="10"/>
          </reference>
          <reference field="16" count="1" selected="0">
            <x v="2"/>
          </reference>
        </references>
      </pivotArea>
    </format>
    <format dxfId="74">
      <pivotArea collapsedLevelsAreSubtotals="1" fieldPosition="0">
        <references count="5">
          <reference field="4294967294" count="1" selected="0">
            <x v="1"/>
          </reference>
          <reference field="1" count="1" selected="0">
            <x v="16"/>
          </reference>
          <reference field="4" count="1">
            <x v="3"/>
          </reference>
          <reference field="14" count="1" selected="0">
            <x v="10"/>
          </reference>
          <reference field="16" count="1" selected="0">
            <x v="2"/>
          </reference>
        </references>
      </pivotArea>
    </format>
    <format dxfId="73">
      <pivotArea collapsedLevelsAreSubtotals="1" fieldPosition="0">
        <references count="5">
          <reference field="4294967294" count="1" selected="0">
            <x v="2"/>
          </reference>
          <reference field="1" count="1" selected="0">
            <x v="16"/>
          </reference>
          <reference field="4" count="1">
            <x v="3"/>
          </reference>
          <reference field="14" count="1" selected="0">
            <x v="10"/>
          </reference>
          <reference field="16" count="1" selected="0">
            <x v="2"/>
          </reference>
        </references>
      </pivotArea>
    </format>
    <format dxfId="72">
      <pivotArea collapsedLevelsAreSubtotals="1" fieldPosition="0">
        <references count="4">
          <reference field="4294967294" count="1" selected="0">
            <x v="0"/>
          </reference>
          <reference field="1" count="1">
            <x v="17"/>
          </reference>
          <reference field="14" count="1" selected="0">
            <x v="10"/>
          </reference>
          <reference field="16" count="1" selected="0">
            <x v="2"/>
          </reference>
        </references>
      </pivotArea>
    </format>
    <format dxfId="71">
      <pivotArea collapsedLevelsAreSubtotals="1" fieldPosition="0">
        <references count="4">
          <reference field="4294967294" count="1" selected="0">
            <x v="1"/>
          </reference>
          <reference field="1" count="1">
            <x v="17"/>
          </reference>
          <reference field="14" count="1" selected="0">
            <x v="10"/>
          </reference>
          <reference field="16" count="1" selected="0">
            <x v="2"/>
          </reference>
        </references>
      </pivotArea>
    </format>
    <format dxfId="70">
      <pivotArea collapsedLevelsAreSubtotals="1" fieldPosition="0">
        <references count="4">
          <reference field="4294967294" count="1" selected="0">
            <x v="2"/>
          </reference>
          <reference field="1" count="1">
            <x v="17"/>
          </reference>
          <reference field="14" count="1" selected="0">
            <x v="10"/>
          </reference>
          <reference field="16" count="1" selected="0">
            <x v="2"/>
          </reference>
        </references>
      </pivotArea>
    </format>
    <format dxfId="69">
      <pivotArea collapsedLevelsAreSubtotals="1" fieldPosition="0">
        <references count="5">
          <reference field="4294967294" count="1" selected="0">
            <x v="0"/>
          </reference>
          <reference field="1" count="1" selected="0">
            <x v="17"/>
          </reference>
          <reference field="4" count="1">
            <x v="3"/>
          </reference>
          <reference field="14" count="1" selected="0">
            <x v="10"/>
          </reference>
          <reference field="16" count="1" selected="0">
            <x v="2"/>
          </reference>
        </references>
      </pivotArea>
    </format>
    <format dxfId="68">
      <pivotArea collapsedLevelsAreSubtotals="1" fieldPosition="0">
        <references count="5">
          <reference field="4294967294" count="1" selected="0">
            <x v="1"/>
          </reference>
          <reference field="1" count="1" selected="0">
            <x v="17"/>
          </reference>
          <reference field="4" count="1">
            <x v="3"/>
          </reference>
          <reference field="14" count="1" selected="0">
            <x v="10"/>
          </reference>
          <reference field="16" count="1" selected="0">
            <x v="2"/>
          </reference>
        </references>
      </pivotArea>
    </format>
    <format dxfId="67">
      <pivotArea collapsedLevelsAreSubtotals="1" fieldPosition="0">
        <references count="5">
          <reference field="4294967294" count="1" selected="0">
            <x v="2"/>
          </reference>
          <reference field="1" count="1" selected="0">
            <x v="17"/>
          </reference>
          <reference field="4" count="1">
            <x v="3"/>
          </reference>
          <reference field="14" count="1" selected="0">
            <x v="10"/>
          </reference>
          <reference field="16" count="1" selected="0">
            <x v="2"/>
          </reference>
        </references>
      </pivotArea>
    </format>
    <format dxfId="66">
      <pivotArea dataOnly="0" labelOnly="1" fieldPosition="0">
        <references count="1">
          <reference field="16" count="1">
            <x v="3"/>
          </reference>
        </references>
      </pivotArea>
    </format>
    <format dxfId="65">
      <pivotArea collapsedLevelsAreSubtotals="1" fieldPosition="0">
        <references count="2">
          <reference field="4294967294" count="1" selected="0">
            <x v="0"/>
          </reference>
          <reference field="16" count="1">
            <x v="3"/>
          </reference>
        </references>
      </pivotArea>
    </format>
    <format dxfId="64">
      <pivotArea collapsedLevelsAreSubtotals="1" fieldPosition="0">
        <references count="2">
          <reference field="4294967294" count="1" selected="0">
            <x v="1"/>
          </reference>
          <reference field="16" count="1">
            <x v="3"/>
          </reference>
        </references>
      </pivotArea>
    </format>
    <format dxfId="63">
      <pivotArea collapsedLevelsAreSubtotals="1" fieldPosition="0">
        <references count="2">
          <reference field="4294967294" count="1" selected="0">
            <x v="2"/>
          </reference>
          <reference field="16" count="1">
            <x v="3"/>
          </reference>
        </references>
      </pivotArea>
    </format>
    <format dxfId="62">
      <pivotArea collapsedLevelsAreSubtotals="1" fieldPosition="0">
        <references count="3">
          <reference field="4294967294" count="1" selected="0">
            <x v="0"/>
          </reference>
          <reference field="14" count="1">
            <x v="2"/>
          </reference>
          <reference field="16" count="1" selected="0">
            <x v="3"/>
          </reference>
        </references>
      </pivotArea>
    </format>
    <format dxfId="61">
      <pivotArea collapsedLevelsAreSubtotals="1" fieldPosition="0">
        <references count="3">
          <reference field="4294967294" count="1" selected="0">
            <x v="1"/>
          </reference>
          <reference field="14" count="1">
            <x v="2"/>
          </reference>
          <reference field="16" count="1" selected="0">
            <x v="3"/>
          </reference>
        </references>
      </pivotArea>
    </format>
    <format dxfId="60">
      <pivotArea collapsedLevelsAreSubtotals="1" fieldPosition="0">
        <references count="3">
          <reference field="4294967294" count="1" selected="0">
            <x v="2"/>
          </reference>
          <reference field="14" count="1">
            <x v="2"/>
          </reference>
          <reference field="16" count="1" selected="0">
            <x v="3"/>
          </reference>
        </references>
      </pivotArea>
    </format>
    <format dxfId="59">
      <pivotArea collapsedLevelsAreSubtotals="1" fieldPosition="0">
        <references count="4">
          <reference field="4294967294" count="1" selected="0">
            <x v="0"/>
          </reference>
          <reference field="1" count="1">
            <x v="18"/>
          </reference>
          <reference field="14" count="1" selected="0">
            <x v="2"/>
          </reference>
          <reference field="16" count="1" selected="0">
            <x v="3"/>
          </reference>
        </references>
      </pivotArea>
    </format>
    <format dxfId="58">
      <pivotArea collapsedLevelsAreSubtotals="1" fieldPosition="0">
        <references count="4">
          <reference field="4294967294" count="1" selected="0">
            <x v="1"/>
          </reference>
          <reference field="1" count="1">
            <x v="18"/>
          </reference>
          <reference field="14" count="1" selected="0">
            <x v="2"/>
          </reference>
          <reference field="16" count="1" selected="0">
            <x v="3"/>
          </reference>
        </references>
      </pivotArea>
    </format>
    <format dxfId="57">
      <pivotArea collapsedLevelsAreSubtotals="1" fieldPosition="0">
        <references count="4">
          <reference field="4294967294" count="1" selected="0">
            <x v="2"/>
          </reference>
          <reference field="1" count="1">
            <x v="18"/>
          </reference>
          <reference field="14" count="1" selected="0">
            <x v="2"/>
          </reference>
          <reference field="16" count="1" selected="0">
            <x v="3"/>
          </reference>
        </references>
      </pivotArea>
    </format>
    <format dxfId="56">
      <pivotArea collapsedLevelsAreSubtotals="1" fieldPosition="0">
        <references count="5">
          <reference field="4294967294" count="1" selected="0">
            <x v="0"/>
          </reference>
          <reference field="1" count="1" selected="0">
            <x v="18"/>
          </reference>
          <reference field="4" count="1">
            <x v="0"/>
          </reference>
          <reference field="14" count="1" selected="0">
            <x v="2"/>
          </reference>
          <reference field="16" count="1" selected="0">
            <x v="3"/>
          </reference>
        </references>
      </pivotArea>
    </format>
    <format dxfId="55">
      <pivotArea collapsedLevelsAreSubtotals="1" fieldPosition="0">
        <references count="5">
          <reference field="4294967294" count="1" selected="0">
            <x v="1"/>
          </reference>
          <reference field="1" count="1" selected="0">
            <x v="18"/>
          </reference>
          <reference field="4" count="1">
            <x v="0"/>
          </reference>
          <reference field="14" count="1" selected="0">
            <x v="2"/>
          </reference>
          <reference field="16" count="1" selected="0">
            <x v="3"/>
          </reference>
        </references>
      </pivotArea>
    </format>
    <format dxfId="54">
      <pivotArea collapsedLevelsAreSubtotals="1" fieldPosition="0">
        <references count="5">
          <reference field="4294967294" count="1" selected="0">
            <x v="2"/>
          </reference>
          <reference field="1" count="1" selected="0">
            <x v="18"/>
          </reference>
          <reference field="4" count="1">
            <x v="0"/>
          </reference>
          <reference field="14" count="1" selected="0">
            <x v="2"/>
          </reference>
          <reference field="16" count="1" selected="0">
            <x v="3"/>
          </reference>
        </references>
      </pivotArea>
    </format>
    <format dxfId="53">
      <pivotArea collapsedLevelsAreSubtotals="1" fieldPosition="0">
        <references count="3">
          <reference field="4294967294" count="1" selected="0">
            <x v="0"/>
          </reference>
          <reference field="14" count="1">
            <x v="5"/>
          </reference>
          <reference field="16" count="1" selected="0">
            <x v="3"/>
          </reference>
        </references>
      </pivotArea>
    </format>
    <format dxfId="52">
      <pivotArea collapsedLevelsAreSubtotals="1" fieldPosition="0">
        <references count="3">
          <reference field="4294967294" count="1" selected="0">
            <x v="1"/>
          </reference>
          <reference field="14" count="1">
            <x v="5"/>
          </reference>
          <reference field="16" count="1" selected="0">
            <x v="3"/>
          </reference>
        </references>
      </pivotArea>
    </format>
    <format dxfId="51">
      <pivotArea collapsedLevelsAreSubtotals="1" fieldPosition="0">
        <references count="3">
          <reference field="4294967294" count="1" selected="0">
            <x v="2"/>
          </reference>
          <reference field="14" count="1">
            <x v="5"/>
          </reference>
          <reference field="16" count="1" selected="0">
            <x v="3"/>
          </reference>
        </references>
      </pivotArea>
    </format>
    <format dxfId="50">
      <pivotArea collapsedLevelsAreSubtotals="1" fieldPosition="0">
        <references count="4">
          <reference field="4294967294" count="1" selected="0">
            <x v="0"/>
          </reference>
          <reference field="1" count="1">
            <x v="20"/>
          </reference>
          <reference field="14" count="1" selected="0">
            <x v="5"/>
          </reference>
          <reference field="16" count="1" selected="0">
            <x v="3"/>
          </reference>
        </references>
      </pivotArea>
    </format>
    <format dxfId="49">
      <pivotArea collapsedLevelsAreSubtotals="1" fieldPosition="0">
        <references count="4">
          <reference field="4294967294" count="1" selected="0">
            <x v="1"/>
          </reference>
          <reference field="1" count="1">
            <x v="20"/>
          </reference>
          <reference field="14" count="1" selected="0">
            <x v="5"/>
          </reference>
          <reference field="16" count="1" selected="0">
            <x v="3"/>
          </reference>
        </references>
      </pivotArea>
    </format>
    <format dxfId="48">
      <pivotArea collapsedLevelsAreSubtotals="1" fieldPosition="0">
        <references count="4">
          <reference field="4294967294" count="1" selected="0">
            <x v="2"/>
          </reference>
          <reference field="1" count="1">
            <x v="20"/>
          </reference>
          <reference field="14" count="1" selected="0">
            <x v="5"/>
          </reference>
          <reference field="16" count="1" selected="0">
            <x v="3"/>
          </reference>
        </references>
      </pivotArea>
    </format>
    <format dxfId="47">
      <pivotArea collapsedLevelsAreSubtotals="1" fieldPosition="0">
        <references count="5">
          <reference field="4294967294" count="1" selected="0">
            <x v="0"/>
          </reference>
          <reference field="1" count="1" selected="0">
            <x v="20"/>
          </reference>
          <reference field="4" count="1">
            <x v="2"/>
          </reference>
          <reference field="14" count="1" selected="0">
            <x v="5"/>
          </reference>
          <reference field="16" count="1" selected="0">
            <x v="3"/>
          </reference>
        </references>
      </pivotArea>
    </format>
    <format dxfId="46">
      <pivotArea collapsedLevelsAreSubtotals="1" fieldPosition="0">
        <references count="5">
          <reference field="4294967294" count="1" selected="0">
            <x v="1"/>
          </reference>
          <reference field="1" count="1" selected="0">
            <x v="20"/>
          </reference>
          <reference field="4" count="1">
            <x v="2"/>
          </reference>
          <reference field="14" count="1" selected="0">
            <x v="5"/>
          </reference>
          <reference field="16" count="1" selected="0">
            <x v="3"/>
          </reference>
        </references>
      </pivotArea>
    </format>
    <format dxfId="45">
      <pivotArea collapsedLevelsAreSubtotals="1" fieldPosition="0">
        <references count="5">
          <reference field="4294967294" count="1" selected="0">
            <x v="2"/>
          </reference>
          <reference field="1" count="1" selected="0">
            <x v="20"/>
          </reference>
          <reference field="4" count="1">
            <x v="2"/>
          </reference>
          <reference field="14" count="1" selected="0">
            <x v="5"/>
          </reference>
          <reference field="16" count="1" selected="0">
            <x v="3"/>
          </reference>
        </references>
      </pivotArea>
    </format>
    <format dxfId="44">
      <pivotArea dataOnly="0" labelOnly="1" fieldPosition="0">
        <references count="1">
          <reference field="16" count="1">
            <x v="4"/>
          </reference>
        </references>
      </pivotArea>
    </format>
    <format dxfId="43">
      <pivotArea collapsedLevelsAreSubtotals="1" fieldPosition="0">
        <references count="2">
          <reference field="4294967294" count="1" selected="0">
            <x v="0"/>
          </reference>
          <reference field="16" count="1">
            <x v="4"/>
          </reference>
        </references>
      </pivotArea>
    </format>
    <format dxfId="42">
      <pivotArea collapsedLevelsAreSubtotals="1" fieldPosition="0">
        <references count="2">
          <reference field="4294967294" count="1" selected="0">
            <x v="1"/>
          </reference>
          <reference field="16" count="1">
            <x v="4"/>
          </reference>
        </references>
      </pivotArea>
    </format>
    <format dxfId="41">
      <pivotArea collapsedLevelsAreSubtotals="1" fieldPosition="0">
        <references count="2">
          <reference field="4294967294" count="1" selected="0">
            <x v="2"/>
          </reference>
          <reference field="16" count="1">
            <x v="4"/>
          </reference>
        </references>
      </pivotArea>
    </format>
    <format dxfId="40">
      <pivotArea collapsedLevelsAreSubtotals="1" fieldPosition="0">
        <references count="3">
          <reference field="4294967294" count="1" selected="0">
            <x v="0"/>
          </reference>
          <reference field="14" count="1">
            <x v="2"/>
          </reference>
          <reference field="16" count="1" selected="0">
            <x v="4"/>
          </reference>
        </references>
      </pivotArea>
    </format>
    <format dxfId="39">
      <pivotArea collapsedLevelsAreSubtotals="1" fieldPosition="0">
        <references count="3">
          <reference field="4294967294" count="1" selected="0">
            <x v="1"/>
          </reference>
          <reference field="14" count="1">
            <x v="2"/>
          </reference>
          <reference field="16" count="1" selected="0">
            <x v="4"/>
          </reference>
        </references>
      </pivotArea>
    </format>
    <format dxfId="38">
      <pivotArea collapsedLevelsAreSubtotals="1" fieldPosition="0">
        <references count="3">
          <reference field="4294967294" count="1" selected="0">
            <x v="2"/>
          </reference>
          <reference field="14" count="1">
            <x v="2"/>
          </reference>
          <reference field="16" count="1" selected="0">
            <x v="4"/>
          </reference>
        </references>
      </pivotArea>
    </format>
    <format dxfId="37">
      <pivotArea collapsedLevelsAreSubtotals="1" fieldPosition="0">
        <references count="4">
          <reference field="4294967294" count="1" selected="0">
            <x v="0"/>
          </reference>
          <reference field="1" count="1">
            <x v="21"/>
          </reference>
          <reference field="14" count="1" selected="0">
            <x v="2"/>
          </reference>
          <reference field="16" count="1" selected="0">
            <x v="4"/>
          </reference>
        </references>
      </pivotArea>
    </format>
    <format dxfId="36">
      <pivotArea collapsedLevelsAreSubtotals="1" fieldPosition="0">
        <references count="4">
          <reference field="4294967294" count="1" selected="0">
            <x v="1"/>
          </reference>
          <reference field="1" count="1">
            <x v="21"/>
          </reference>
          <reference field="14" count="1" selected="0">
            <x v="2"/>
          </reference>
          <reference field="16" count="1" selected="0">
            <x v="4"/>
          </reference>
        </references>
      </pivotArea>
    </format>
    <format dxfId="35">
      <pivotArea collapsedLevelsAreSubtotals="1" fieldPosition="0">
        <references count="4">
          <reference field="4294967294" count="1" selected="0">
            <x v="2"/>
          </reference>
          <reference field="1" count="1">
            <x v="21"/>
          </reference>
          <reference field="14" count="1" selected="0">
            <x v="2"/>
          </reference>
          <reference field="16" count="1" selected="0">
            <x v="4"/>
          </reference>
        </references>
      </pivotArea>
    </format>
    <format dxfId="34">
      <pivotArea collapsedLevelsAreSubtotals="1" fieldPosition="0">
        <references count="5">
          <reference field="4294967294" count="1" selected="0">
            <x v="0"/>
          </reference>
          <reference field="1" count="1" selected="0">
            <x v="21"/>
          </reference>
          <reference field="4" count="1">
            <x v="0"/>
          </reference>
          <reference field="14" count="1" selected="0">
            <x v="2"/>
          </reference>
          <reference field="16" count="1" selected="0">
            <x v="4"/>
          </reference>
        </references>
      </pivotArea>
    </format>
    <format dxfId="33">
      <pivotArea collapsedLevelsAreSubtotals="1" fieldPosition="0">
        <references count="5">
          <reference field="4294967294" count="1" selected="0">
            <x v="1"/>
          </reference>
          <reference field="1" count="1" selected="0">
            <x v="21"/>
          </reference>
          <reference field="4" count="1">
            <x v="0"/>
          </reference>
          <reference field="14" count="1" selected="0">
            <x v="2"/>
          </reference>
          <reference field="16" count="1" selected="0">
            <x v="4"/>
          </reference>
        </references>
      </pivotArea>
    </format>
    <format dxfId="32">
      <pivotArea collapsedLevelsAreSubtotals="1" fieldPosition="0">
        <references count="5">
          <reference field="4294967294" count="1" selected="0">
            <x v="2"/>
          </reference>
          <reference field="1" count="1" selected="0">
            <x v="21"/>
          </reference>
          <reference field="4" count="1">
            <x v="0"/>
          </reference>
          <reference field="14" count="1" selected="0">
            <x v="2"/>
          </reference>
          <reference field="16" count="1" selected="0">
            <x v="4"/>
          </reference>
        </references>
      </pivotArea>
    </format>
    <format dxfId="31">
      <pivotArea field="16" grandRow="1" outline="0" collapsedLevelsAreSubtotals="1" axis="axisRow" fieldPosition="0">
        <references count="1">
          <reference field="4294967294" count="1" selected="0">
            <x v="0"/>
          </reference>
        </references>
      </pivotArea>
    </format>
    <format dxfId="30">
      <pivotArea field="16" grandRow="1" outline="0" collapsedLevelsAreSubtotals="1" axis="axisRow" fieldPosition="0">
        <references count="1">
          <reference field="4294967294" count="1" selected="0">
            <x v="1"/>
          </reference>
        </references>
      </pivotArea>
    </format>
    <format dxfId="29">
      <pivotArea field="16" grandRow="1" outline="0" collapsedLevelsAreSubtotals="1" axis="axisRow" fieldPosition="0">
        <references count="1">
          <reference field="4294967294" count="1" selected="0">
            <x v="2"/>
          </reference>
        </references>
      </pivotArea>
    </format>
  </formats>
  <chartFormats count="3">
    <chartFormat chart="0" format="7" series="1">
      <pivotArea type="data" outline="0" fieldPosition="0">
        <references count="1">
          <reference field="4294967294" count="1" selected="0">
            <x v="0"/>
          </reference>
        </references>
      </pivotArea>
    </chartFormat>
    <chartFormat chart="0" format="8" series="1">
      <pivotArea type="data" outline="0" fieldPosition="0">
        <references count="1">
          <reference field="4294967294" count="1" selected="0">
            <x v="1"/>
          </reference>
        </references>
      </pivotArea>
    </chartFormat>
    <chartFormat chart="0" format="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997F52D-4873-4C42-82C4-9F47F155C19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3:H28" firstHeaderRow="1" firstDataRow="1" firstDataCol="1" rowPageCount="3" colPageCount="1"/>
  <pivotFields count="17">
    <pivotField numFmtId="165" showAll="0"/>
    <pivotField axis="axisPage" numFmtId="168" multipleItemSelectionAllowed="1" showAll="0">
      <items count="24">
        <item x="12"/>
        <item m="1" x="22"/>
        <item m="1" x="19"/>
        <item x="9"/>
        <item m="1" x="18"/>
        <item x="8"/>
        <item m="1" x="17"/>
        <item x="7"/>
        <item m="1" x="16"/>
        <item x="6"/>
        <item m="1" x="15"/>
        <item x="5"/>
        <item m="1" x="13"/>
        <item x="2"/>
        <item m="1" x="14"/>
        <item x="4"/>
        <item x="1"/>
        <item x="0"/>
        <item x="11"/>
        <item m="1" x="21"/>
        <item x="3"/>
        <item x="10"/>
        <item m="1" x="20"/>
        <item t="default"/>
      </items>
    </pivotField>
    <pivotField numFmtId="167" showAll="0"/>
    <pivotField showAll="0"/>
    <pivotField axis="axisRow" showAll="0">
      <items count="5">
        <item x="3"/>
        <item x="2"/>
        <item x="1"/>
        <item x="0"/>
        <item t="default"/>
      </items>
    </pivotField>
    <pivotField showAll="0"/>
    <pivotField showAll="0"/>
    <pivotField showAll="0"/>
    <pivotField showAll="0"/>
    <pivotField numFmtId="9" showAll="0"/>
    <pivotField showAll="0"/>
    <pivotField showAll="0"/>
    <pivotField dataField="1" showAll="0"/>
    <pivotField showAll="0"/>
    <pivotField name="Tháng " axis="axisPage" multipleItemSelectionAllowed="1"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4"/>
  </rowFields>
  <rowItems count="5">
    <i>
      <x/>
    </i>
    <i>
      <x v="1"/>
    </i>
    <i>
      <x v="2"/>
    </i>
    <i>
      <x v="3"/>
    </i>
    <i t="grand">
      <x/>
    </i>
  </rowItems>
  <colItems count="1">
    <i/>
  </colItems>
  <pageFields count="3">
    <pageField fld="16" hier="-1"/>
    <pageField fld="14" hier="-1"/>
    <pageField fld="1" hier="-1"/>
  </pageFields>
  <dataFields count="1">
    <dataField name="Chi phí lãi vay" fld="12" baseField="4" baseItem="0"/>
  </dataFields>
  <formats count="5">
    <format dxfId="160">
      <pivotArea collapsedLevelsAreSubtotals="1" fieldPosition="0">
        <references count="1">
          <reference field="4" count="1">
            <x v="0"/>
          </reference>
        </references>
      </pivotArea>
    </format>
    <format dxfId="159">
      <pivotArea collapsedLevelsAreSubtotals="1" fieldPosition="0">
        <references count="1">
          <reference field="4" count="1">
            <x v="1"/>
          </reference>
        </references>
      </pivotArea>
    </format>
    <format dxfId="158">
      <pivotArea collapsedLevelsAreSubtotals="1" fieldPosition="0">
        <references count="1">
          <reference field="4" count="1">
            <x v="2"/>
          </reference>
        </references>
      </pivotArea>
    </format>
    <format dxfId="157">
      <pivotArea collapsedLevelsAreSubtotals="1" fieldPosition="0">
        <references count="1">
          <reference field="4" count="1">
            <x v="3"/>
          </reference>
        </references>
      </pivotArea>
    </format>
    <format dxfId="156">
      <pivotArea grandRow="1"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J23:T27" totalsRowShown="0" headerRowDxfId="28" dataDxfId="27">
  <autoFilter ref="J23:T27" xr:uid="{33BA97D5-806B-467F-8072-874973E61A4E}"/>
  <tableColumns count="11">
    <tableColumn id="1" xr3:uid="{4A93644F-8224-447B-9E36-259792E6E138}" name="Mã khoản vay" dataDxfId="26"/>
    <tableColumn id="2" xr3:uid="{A89F2CB3-3FD7-456C-B7F4-0E3DBE246171}" name="Bên cho vay" dataDxfId="25"/>
    <tableColumn id="3" xr3:uid="{0346E20E-CC57-4F1B-B612-52C1688C2B55}" name="Giá trị vay" dataDxfId="24" dataCellStyle="Comma"/>
    <tableColumn id="12" xr3:uid="{B3E707F2-4568-4E1A-A294-7D6F30EC02BD}" name="Tần suất trả nợ" dataDxfId="23" dataCellStyle="Comma"/>
    <tableColumn id="11" xr3:uid="{AA3EB2D4-0F79-41E8-BF8E-F9B87967230F}" name="Thời hạn (năm)" dataDxfId="22" dataCellStyle="Comma"/>
    <tableColumn id="4" xr3:uid="{57419588-C918-4A04-A1A6-318776271252}" name="Thời hạn (tháng)" dataDxfId="21" dataCellStyle="Comma"/>
    <tableColumn id="8" xr3:uid="{ADE26E08-469E-496D-8DD9-6D7A2F0B7494}" name="Lãi suất (năm)" dataDxfId="20" dataCellStyle="Percent"/>
    <tableColumn id="9" xr3:uid="{BE0A26C0-FBBB-45BA-804C-0B8E64CC81D3}" name="Ngày vay" dataDxfId="19"/>
    <tableColumn id="5" xr3:uid="{77AF3B82-48AE-4D87-A5EB-64C9E37C071D}" name="Bắt đầu trả gốc" dataDxfId="18"/>
    <tableColumn id="6" xr3:uid="{585AAE9C-F2FC-4DF5-9A78-D2638745E9B1}" name="Kết thúc trả gốc" dataDxfId="1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1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V23:AI36" totalsRowShown="0" headerRowDxfId="15" dataDxfId="14">
  <autoFilter ref="V23:AI36" xr:uid="{35766FBF-6C41-4A6D-80F2-CCD99F5DBD5E}"/>
  <tableColumns count="14">
    <tableColumn id="2" xr3:uid="{17A4BF9C-4541-424B-9FBE-87CC97661C47}" name="Kỳ" dataDxfId="13">
      <calculatedColumnFormula>IFERROR(
IF(ISBLANK(Y24),
DATE(X24,12,1),
DATE(X24,Y24,1)),0)</calculatedColumnFormula>
    </tableColumn>
    <tableColumn id="15" xr3:uid="{A05B5372-9400-46BA-AAE0-076C26EBAFF5}" name="Ngày phải trả" dataDxfId="12"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calculatedColumnFormula>
    </tableColumn>
    <tableColumn id="1" xr3:uid="{4FF45AAE-99CE-4510-B5FD-1ECE78FEA668}" name="Năm" dataDxfId="11"/>
    <tableColumn id="4" xr3:uid="{26A6D510-F423-4836-8842-BCDCAEEE6893}" name="Tháng" dataDxfId="10"/>
    <tableColumn id="3" xr3:uid="{D3A150E2-FCBA-4979-AE2B-2367E3717F18}" name="Khoản vay" dataDxfId="9"/>
    <tableColumn id="18" xr3:uid="{94BE6EC4-3CA8-4A2C-8B70-45E17B7622DE}" name="Tần suất" dataDxfId="8">
      <calculatedColumnFormula xml:space="preserve">
IFERROR(
VLOOKUP(
Table_VayNo_LichTra[[#This Row],[Khoản vay]],
Table_VayNo[],
COUNTA(Table_VayNo[[#Headers],[Mã khoản vay]:[Tần suất trả nợ]]),
0),
0)</calculatedColumnFormula>
    </tableColumn>
    <tableColumn id="9" xr3:uid="{4369F2E5-EBFD-4B0F-A0E9-0AF5EEB73068}" name="Ngày vay" dataDxfId="7">
      <calculatedColumnFormula xml:space="preserve">
IFERROR(
VLOOKUP(
Table_VayNo_LichTra[[#This Row],[Khoản vay]],
Table_VayNo[],
COUNTA(Table_VayNo[[#Headers],[Mã khoản vay]:[Ngày vay]]),
0),
0)</calculatedColumnFormula>
    </tableColumn>
    <tableColumn id="10" xr3:uid="{923ACD02-A45E-4A74-9292-274298FD02D8}" name="Ngày bắt đầu" dataDxfId="6">
      <calculatedColumnFormula xml:space="preserve">
IFERROR(
VLOOKUP(
Table_VayNo_LichTra[[#This Row],[Khoản vay]],
Table_VayNo[],
COUNTA(Table_VayNo[[#Headers],[Mã khoản vay]:[Bắt đầu trả gốc]]),
0),
0)</calculatedColumnFormula>
    </tableColumn>
    <tableColumn id="11" xr3:uid="{43E834E5-D966-4585-8079-42579B2F2BA6}" name="Ngày kết thúc" dataDxfId="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5" xr3:uid="{70DEDC54-78CF-4C6D-8D8E-55C3D3263F6D}" name="Tổng phải trả" dataDxfId="0" dataCellStyle="Comma">
      <calculatedColumnFormula>Table_VayNo_LichTra[[#This Row],[Lãi vay]]+Table_VayNo_LichTra[[#This Row],[Trả gốc trong kỳ]]</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topLeftCell="H1"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customWidth="1"/>
    <col min="27" max="16384" width="9" style="7"/>
  </cols>
  <sheetData>
    <row r="1" spans="1:26" x14ac:dyDescent="0.3">
      <c r="A1" s="13" t="s">
        <v>28</v>
      </c>
      <c r="B1" s="14" t="s">
        <v>12</v>
      </c>
      <c r="C1" s="15" t="s">
        <v>13</v>
      </c>
      <c r="D1" s="17" t="s">
        <v>29</v>
      </c>
      <c r="E1" s="17" t="s">
        <v>30</v>
      </c>
      <c r="F1" s="13" t="s">
        <v>31</v>
      </c>
      <c r="G1" s="16" t="s">
        <v>32</v>
      </c>
      <c r="H1" s="13" t="s">
        <v>33</v>
      </c>
      <c r="I1" s="13" t="s">
        <v>34</v>
      </c>
      <c r="J1" s="16" t="s">
        <v>35</v>
      </c>
      <c r="K1" s="16" t="s">
        <v>36</v>
      </c>
      <c r="L1" s="16" t="s">
        <v>37</v>
      </c>
      <c r="M1" s="16" t="s">
        <v>38</v>
      </c>
      <c r="N1" s="29"/>
      <c r="O1" s="29"/>
      <c r="P1" s="29"/>
      <c r="Q1" s="29"/>
      <c r="R1" s="29"/>
      <c r="S1" s="29"/>
      <c r="T1" s="29"/>
      <c r="U1" s="29"/>
      <c r="V1" s="29"/>
      <c r="W1" s="29"/>
      <c r="X1" s="29"/>
      <c r="Y1" s="29"/>
      <c r="Z1" s="7" t="s">
        <v>48</v>
      </c>
    </row>
    <row r="2" spans="1:26" x14ac:dyDescent="0.3">
      <c r="A2" s="29"/>
      <c r="B2" s="7" t="s">
        <v>95</v>
      </c>
      <c r="C2" s="7" t="s">
        <v>96</v>
      </c>
      <c r="F2" s="29"/>
      <c r="H2" s="29"/>
      <c r="I2" s="29"/>
      <c r="J2" s="29"/>
      <c r="K2" s="29"/>
      <c r="L2" s="29"/>
      <c r="M2" s="29"/>
      <c r="N2" s="29"/>
      <c r="O2" s="29"/>
      <c r="P2" s="29"/>
      <c r="Q2" s="29"/>
      <c r="R2" s="29"/>
      <c r="S2" s="29"/>
      <c r="T2" s="29"/>
      <c r="U2" s="29"/>
      <c r="V2" s="29"/>
      <c r="W2" s="29"/>
      <c r="X2" s="29"/>
      <c r="Y2" s="29"/>
      <c r="Z2" s="29" t="s">
        <v>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B76"/>
  <sheetViews>
    <sheetView showGridLines="0" zoomScaleNormal="100" workbookViewId="0">
      <selection activeCell="J12" sqref="J12"/>
    </sheetView>
  </sheetViews>
  <sheetFormatPr defaultRowHeight="16.5" x14ac:dyDescent="0.3"/>
  <cols>
    <col min="1" max="1" width="11.625" style="8" bestFit="1" customWidth="1"/>
    <col min="2" max="16384" width="9" style="8"/>
  </cols>
  <sheetData>
    <row r="1" spans="1:2" x14ac:dyDescent="0.3">
      <c r="A1" s="36">
        <v>1</v>
      </c>
    </row>
    <row r="4" spans="1:2" ht="37.5" x14ac:dyDescent="0.3">
      <c r="A4" s="11" t="s">
        <v>3</v>
      </c>
      <c r="B4" s="11" t="s">
        <v>4</v>
      </c>
    </row>
    <row r="5" spans="1:2" ht="17.25" x14ac:dyDescent="0.3">
      <c r="A5" s="24"/>
      <c r="B5" s="19" t="s">
        <v>44</v>
      </c>
    </row>
    <row r="6" spans="1:2" ht="17.25" x14ac:dyDescent="0.3">
      <c r="A6" s="24"/>
      <c r="B6" s="19" t="s">
        <v>39</v>
      </c>
    </row>
    <row r="7" spans="1:2" ht="17.25" x14ac:dyDescent="0.3">
      <c r="A7" s="24"/>
      <c r="B7" s="19" t="s">
        <v>45</v>
      </c>
    </row>
    <row r="8" spans="1:2" ht="17.25" x14ac:dyDescent="0.3">
      <c r="A8" s="24"/>
      <c r="B8" s="19" t="s">
        <v>46</v>
      </c>
    </row>
    <row r="9" spans="1:2" ht="17.25" x14ac:dyDescent="0.3">
      <c r="A9" s="24"/>
      <c r="B9" s="20" t="s">
        <v>47</v>
      </c>
    </row>
    <row r="10" spans="1:2" x14ac:dyDescent="0.3">
      <c r="A10" s="24"/>
      <c r="B10" s="24"/>
    </row>
    <row r="11" spans="1:2" ht="37.5" x14ac:dyDescent="0.3">
      <c r="A11" s="11" t="s">
        <v>10</v>
      </c>
      <c r="B11" s="11" t="s">
        <v>11</v>
      </c>
    </row>
    <row r="12" spans="1:2" x14ac:dyDescent="0.3">
      <c r="A12" s="12" t="s">
        <v>12</v>
      </c>
      <c r="B12" s="8" t="s">
        <v>95</v>
      </c>
    </row>
    <row r="13" spans="1:2" x14ac:dyDescent="0.3">
      <c r="A13" s="12" t="s">
        <v>13</v>
      </c>
      <c r="B13" s="8" t="s">
        <v>96</v>
      </c>
    </row>
    <row r="14" spans="1:2" ht="17.25" x14ac:dyDescent="0.3">
      <c r="A14" s="24"/>
      <c r="B14" s="9" t="s">
        <v>5</v>
      </c>
    </row>
    <row r="15" spans="1:2" ht="17.25" x14ac:dyDescent="0.3">
      <c r="A15" s="24"/>
      <c r="B15" s="9" t="s">
        <v>6</v>
      </c>
    </row>
    <row r="16" spans="1:2" ht="17.25" x14ac:dyDescent="0.3">
      <c r="A16" s="24"/>
      <c r="B16" s="9" t="s">
        <v>7</v>
      </c>
    </row>
    <row r="17" spans="1:2" ht="17.25" x14ac:dyDescent="0.3">
      <c r="A17" s="24"/>
      <c r="B17" s="9" t="s">
        <v>8</v>
      </c>
    </row>
    <row r="18" spans="1:2" ht="17.25" x14ac:dyDescent="0.3">
      <c r="A18" s="24"/>
      <c r="B18" s="10"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9" tint="0.79998168889431442"/>
    <outlinePr summaryBelow="0" summaryRight="0"/>
  </sheetPr>
  <dimension ref="A2:AI70"/>
  <sheetViews>
    <sheetView showGridLines="0" tabSelected="1" zoomScaleNormal="100" workbookViewId="0">
      <selection activeCell="AF17" sqref="AF17"/>
    </sheetView>
  </sheetViews>
  <sheetFormatPr defaultRowHeight="18" customHeight="1" outlineLevelRow="1" outlineLevelCol="1" x14ac:dyDescent="0.3"/>
  <cols>
    <col min="1" max="1" width="1.25" style="1" customWidth="1" collapsed="1"/>
    <col min="2" max="2" width="13.375" style="1" hidden="1" customWidth="1" outlineLevel="1"/>
    <col min="3" max="3" width="15.25" style="1" hidden="1" customWidth="1" outlineLevel="1"/>
    <col min="4" max="4" width="13.625" style="1" hidden="1" customWidth="1" outlineLevel="1"/>
    <col min="5" max="5" width="15.25" style="1" hidden="1" customWidth="1" outlineLevel="1"/>
    <col min="6" max="6" width="1.25" style="1" hidden="1" customWidth="1" outlineLevel="1"/>
    <col min="7" max="7" width="18.75" style="1" hidden="1" customWidth="1" outlineLevel="1"/>
    <col min="8" max="8" width="14.125" style="1" hidden="1" customWidth="1" outlineLevel="1"/>
    <col min="9" max="9" width="1.25" style="1" customWidth="1"/>
    <col min="10" max="10" width="12.25" style="1" bestFit="1" customWidth="1"/>
    <col min="11" max="11" width="11.25" style="1" customWidth="1"/>
    <col min="12" max="12" width="9.875" style="1" customWidth="1"/>
    <col min="13" max="13" width="13.75" style="1" bestFit="1" customWidth="1"/>
    <col min="14" max="14" width="13.25" style="1" customWidth="1"/>
    <col min="15" max="15" width="14.25" style="1" customWidth="1"/>
    <col min="16" max="16" width="12.375" style="1" customWidth="1"/>
    <col min="17" max="17" width="9.125" style="1" customWidth="1"/>
    <col min="18" max="18" width="13.375" style="1" customWidth="1" collapsed="1"/>
    <col min="19" max="19" width="11.75" style="1" hidden="1" customWidth="1" outlineLevel="1"/>
    <col min="20" max="20" width="12.875" style="1" hidden="1" customWidth="1" outlineLevel="1"/>
    <col min="21" max="21" width="1.25" style="1" customWidth="1"/>
    <col min="22" max="22" width="9" style="3"/>
    <col min="23" max="23" width="9" style="1"/>
    <col min="24" max="24" width="7.625" style="3" bestFit="1" customWidth="1"/>
    <col min="25" max="25" width="7.125" style="3" bestFit="1" customWidth="1"/>
    <col min="26" max="26" width="9.875" style="3" bestFit="1" customWidth="1"/>
    <col min="27" max="27" width="9" style="3" collapsed="1"/>
    <col min="28" max="30" width="9" style="3" hidden="1" customWidth="1" outlineLevel="1"/>
    <col min="31" max="31" width="9" style="3"/>
    <col min="32" max="32" width="12.5" style="3" customWidth="1"/>
    <col min="33" max="33" width="14" style="3" customWidth="1"/>
    <col min="34" max="34" width="12.5" style="3" customWidth="1"/>
    <col min="35" max="35" width="12.125" style="3" bestFit="1" customWidth="1"/>
    <col min="36" max="16384" width="9" style="1"/>
  </cols>
  <sheetData>
    <row r="2" spans="1:35" ht="18" customHeight="1" x14ac:dyDescent="0.3">
      <c r="A2" s="21"/>
      <c r="B2" s="21"/>
      <c r="C2" s="21"/>
      <c r="D2" s="21"/>
      <c r="E2" s="21"/>
      <c r="F2" s="21"/>
      <c r="G2" s="21"/>
      <c r="H2" s="21"/>
      <c r="I2" s="21"/>
      <c r="J2" s="21"/>
      <c r="K2" s="21"/>
      <c r="L2" s="21"/>
      <c r="M2" s="21"/>
      <c r="N2" s="21"/>
      <c r="O2" s="21"/>
      <c r="P2" s="21"/>
      <c r="Q2" s="21"/>
      <c r="R2" s="21"/>
      <c r="S2" s="21"/>
      <c r="T2" s="21"/>
      <c r="U2" s="21"/>
      <c r="V2" s="22"/>
      <c r="W2" s="21"/>
      <c r="X2" s="22"/>
      <c r="Y2" s="22"/>
      <c r="Z2" s="22"/>
      <c r="AA2" s="22"/>
      <c r="AB2" s="22"/>
      <c r="AC2" s="22"/>
      <c r="AD2" s="22"/>
      <c r="AE2" s="22"/>
      <c r="AF2" s="22"/>
      <c r="AG2" s="22"/>
      <c r="AH2" s="22"/>
      <c r="AI2" s="22"/>
    </row>
    <row r="3" spans="1:35" s="5" customFormat="1" ht="16.5" outlineLevel="1" x14ac:dyDescent="0.3">
      <c r="A3" s="30"/>
      <c r="B3" s="30"/>
      <c r="C3" s="30"/>
      <c r="D3" s="30"/>
      <c r="E3" s="30"/>
      <c r="F3" s="30"/>
      <c r="G3" s="30"/>
      <c r="H3" s="30"/>
      <c r="I3" s="30"/>
      <c r="J3" s="30"/>
      <c r="K3" s="30"/>
      <c r="L3" s="30"/>
      <c r="M3" s="30"/>
      <c r="N3" s="30"/>
      <c r="O3" s="30"/>
      <c r="P3" s="30"/>
      <c r="Q3" s="30"/>
      <c r="R3" s="30"/>
      <c r="S3" s="30"/>
      <c r="T3" s="30"/>
      <c r="U3" s="30"/>
      <c r="V3" s="31"/>
      <c r="W3" s="30"/>
      <c r="X3" s="31"/>
      <c r="Y3" s="31"/>
      <c r="Z3" s="31"/>
      <c r="AA3" s="31"/>
      <c r="AB3" s="31"/>
      <c r="AC3" s="31"/>
      <c r="AD3" s="31"/>
      <c r="AE3" s="31"/>
      <c r="AF3" s="31"/>
      <c r="AG3" s="31"/>
      <c r="AH3" s="31"/>
      <c r="AI3" s="31"/>
    </row>
    <row r="4" spans="1:35" s="5" customFormat="1" ht="16.5" outlineLevel="1" x14ac:dyDescent="0.3">
      <c r="A4" s="30"/>
      <c r="B4" s="30"/>
      <c r="C4" s="30"/>
      <c r="D4" s="30"/>
      <c r="E4" s="30"/>
      <c r="F4" s="30"/>
      <c r="G4" s="30"/>
      <c r="H4" s="30"/>
      <c r="I4" s="30"/>
      <c r="J4" s="30"/>
      <c r="K4" s="30"/>
      <c r="L4" s="30"/>
      <c r="M4" s="30"/>
      <c r="N4" s="30"/>
      <c r="O4" s="30"/>
      <c r="P4" s="30"/>
      <c r="Q4" s="30"/>
      <c r="R4" s="30"/>
      <c r="S4" s="30"/>
      <c r="T4" s="30"/>
      <c r="U4" s="30"/>
      <c r="V4" s="31"/>
      <c r="W4" s="30"/>
      <c r="X4" s="31"/>
      <c r="Y4" s="31"/>
      <c r="Z4" s="31"/>
      <c r="AA4" s="31"/>
      <c r="AB4" s="31"/>
      <c r="AC4" s="31"/>
      <c r="AD4" s="31"/>
      <c r="AE4" s="31"/>
      <c r="AF4" s="31"/>
      <c r="AG4" s="31"/>
      <c r="AH4" s="31"/>
      <c r="AI4" s="31"/>
    </row>
    <row r="5" spans="1:35" s="5" customFormat="1" ht="20.25" outlineLevel="1" x14ac:dyDescent="0.35">
      <c r="A5" s="30"/>
      <c r="B5" s="30"/>
      <c r="C5" s="30"/>
      <c r="D5" s="30"/>
      <c r="E5" s="30"/>
      <c r="F5" s="30"/>
      <c r="G5" s="30"/>
      <c r="H5" s="30"/>
      <c r="I5" s="30"/>
      <c r="J5" s="30"/>
      <c r="K5" s="30"/>
      <c r="L5" s="30"/>
      <c r="M5" s="30"/>
      <c r="N5" s="30"/>
      <c r="O5" s="30"/>
      <c r="P5" s="30"/>
      <c r="Q5" s="30"/>
      <c r="R5" s="30"/>
      <c r="S5" s="30"/>
      <c r="T5" s="30"/>
      <c r="U5" s="30"/>
      <c r="V5" s="31"/>
      <c r="W5" s="30"/>
      <c r="X5" s="31"/>
      <c r="Y5" s="31"/>
      <c r="Z5" s="31"/>
      <c r="AA5" s="31"/>
      <c r="AB5" s="30"/>
      <c r="AC5" s="31"/>
      <c r="AD5" s="31"/>
      <c r="AE5" s="46" t="s">
        <v>85</v>
      </c>
      <c r="AF5" s="31"/>
      <c r="AG5" s="31"/>
      <c r="AH5" s="31"/>
      <c r="AI5" s="31"/>
    </row>
    <row r="6" spans="1:35" s="5" customFormat="1" ht="20.25" outlineLevel="1" x14ac:dyDescent="0.35">
      <c r="A6" s="30"/>
      <c r="B6" s="30"/>
      <c r="C6" s="30"/>
      <c r="D6" s="30"/>
      <c r="E6" s="30"/>
      <c r="F6" s="30"/>
      <c r="G6" s="30"/>
      <c r="H6" s="30"/>
      <c r="I6" s="30"/>
      <c r="J6" s="30"/>
      <c r="K6" s="30"/>
      <c r="L6" s="30"/>
      <c r="M6" s="30"/>
      <c r="N6" s="30"/>
      <c r="O6" s="30"/>
      <c r="P6" s="30"/>
      <c r="Q6" s="30"/>
      <c r="R6" s="30"/>
      <c r="S6" s="30"/>
      <c r="T6" s="30"/>
      <c r="U6" s="30"/>
      <c r="V6" s="31"/>
      <c r="W6" s="30"/>
      <c r="X6" s="31"/>
      <c r="Y6" s="31"/>
      <c r="Z6" s="31"/>
      <c r="AA6" s="31"/>
      <c r="AB6" s="31"/>
      <c r="AC6" s="31"/>
      <c r="AD6" s="31"/>
      <c r="AE6" s="46" t="s">
        <v>83</v>
      </c>
      <c r="AF6" s="51">
        <f ca="1">TODAY()</f>
        <v>45811</v>
      </c>
      <c r="AG6" s="46" t="s">
        <v>84</v>
      </c>
      <c r="AH6" s="51">
        <v>46387</v>
      </c>
      <c r="AI6" s="31"/>
    </row>
    <row r="7" spans="1:35" s="5" customFormat="1" ht="20.25" outlineLevel="1" x14ac:dyDescent="0.35">
      <c r="A7" s="30"/>
      <c r="B7" s="30"/>
      <c r="C7" s="30"/>
      <c r="D7" s="30"/>
      <c r="E7" s="30"/>
      <c r="F7" s="30"/>
      <c r="G7" s="30"/>
      <c r="H7" s="30"/>
      <c r="I7" s="30"/>
      <c r="J7" s="30"/>
      <c r="K7" s="30"/>
      <c r="L7" s="30"/>
      <c r="M7" s="30"/>
      <c r="N7" s="30"/>
      <c r="O7" s="30"/>
      <c r="P7" s="30"/>
      <c r="Q7" s="30"/>
      <c r="R7" s="30"/>
      <c r="S7" s="30"/>
      <c r="T7" s="30"/>
      <c r="U7" s="30"/>
      <c r="V7" s="31"/>
      <c r="W7" s="30"/>
      <c r="X7" s="31"/>
      <c r="Y7" s="31"/>
      <c r="Z7" s="31"/>
      <c r="AA7" s="31"/>
      <c r="AB7" s="31"/>
      <c r="AC7" s="31"/>
      <c r="AD7" s="31"/>
      <c r="AE7" s="46"/>
      <c r="AF7" s="31"/>
      <c r="AG7" s="31"/>
      <c r="AH7" s="31"/>
      <c r="AI7" s="31"/>
    </row>
    <row r="8" spans="1:35" s="5" customFormat="1" ht="20.25" outlineLevel="1" x14ac:dyDescent="0.35">
      <c r="A8" s="30"/>
      <c r="B8" s="30"/>
      <c r="C8" s="30"/>
      <c r="D8" s="30"/>
      <c r="E8" s="30"/>
      <c r="F8" s="30"/>
      <c r="G8" s="30"/>
      <c r="H8" s="30"/>
      <c r="I8" s="30"/>
      <c r="J8" s="30"/>
      <c r="K8" s="30"/>
      <c r="L8" s="30"/>
      <c r="M8" s="30"/>
      <c r="N8" s="30"/>
      <c r="O8" s="30"/>
      <c r="P8" s="30"/>
      <c r="Q8" s="30"/>
      <c r="R8" s="30"/>
      <c r="S8" s="30"/>
      <c r="T8" s="30"/>
      <c r="U8" s="30"/>
      <c r="V8" s="31"/>
      <c r="W8" s="30"/>
      <c r="X8" s="31"/>
      <c r="Y8" s="31"/>
      <c r="Z8" s="31"/>
      <c r="AA8" s="31"/>
      <c r="AB8" s="31"/>
      <c r="AC8" s="31"/>
      <c r="AD8" s="31"/>
      <c r="AE8" s="46" t="s">
        <v>86</v>
      </c>
      <c r="AF8" s="53" cm="1">
        <f t="array" aca="1" ref="AF8" ca="1" xml:space="preserve">
IF(ISBLANK($AH$6),
IFERROR(
SUM(_xlfn._xlws.FILTER(Table_VayNo_LichTra[Tổng phải trả],
(Table_VayNo_LichTra[Ngày phải trả] &gt;=$AF$6)
)),0),
IFERROR(
SUM(_xlfn._xlws.FILTER(Table_VayNo_LichTra[Tổng phải trả],
(Table_VayNo_LichTra[Ngày phải trả] &gt;=$AF$6) *
(Table_VayNo_LichTra[Ngày phải trả] &lt;= $AH$6)
)),0)
)</f>
        <v>2904666666.6666665</v>
      </c>
      <c r="AG8" s="53"/>
      <c r="AH8" s="46" t="s">
        <v>87</v>
      </c>
      <c r="AI8" s="31"/>
    </row>
    <row r="9" spans="1:35" s="5" customFormat="1" ht="20.25" outlineLevel="1" x14ac:dyDescent="0.35">
      <c r="A9" s="30"/>
      <c r="B9" s="30"/>
      <c r="C9" s="30"/>
      <c r="D9" s="30"/>
      <c r="E9" s="30"/>
      <c r="F9" s="30"/>
      <c r="G9" s="30"/>
      <c r="H9" s="30"/>
      <c r="I9" s="30"/>
      <c r="J9" s="30"/>
      <c r="K9" s="30"/>
      <c r="L9" s="30"/>
      <c r="M9" s="30"/>
      <c r="N9" s="30"/>
      <c r="O9" s="30"/>
      <c r="P9" s="30"/>
      <c r="Q9" s="30"/>
      <c r="R9" s="30"/>
      <c r="S9" s="30"/>
      <c r="T9" s="30"/>
      <c r="U9" s="30"/>
      <c r="V9" s="31"/>
      <c r="W9" s="30"/>
      <c r="X9" s="31"/>
      <c r="Y9" s="31"/>
      <c r="Z9" s="31"/>
      <c r="AA9" s="31"/>
      <c r="AB9" s="31"/>
      <c r="AC9" s="31"/>
      <c r="AD9" s="31"/>
      <c r="AE9" s="46" t="s">
        <v>88</v>
      </c>
      <c r="AF9" s="53" cm="1">
        <f t="array" aca="1" ref="AF9" ca="1" xml:space="preserve">
IF(ISBLANK($AH$6),
IFERROR(
SUM(_xlfn._xlws.FILTER(Table_VayNo_LichTra[Trả gốc trong kỳ],
(Table_VayNo_LichTra[Ngày phải trả] &gt;=$AF$6)
)),0),
IFERROR(
SUM(_xlfn._xlws.FILTER(Table_VayNo_LichTra[Trả gốc trong kỳ],
(Table_VayNo_LichTra[Ngày phải trả] &gt;=$AF$6) *
(Table_VayNo_LichTra[Ngày phải trả] &lt;= $AH$6)
)),0)
)</f>
        <v>2516666666.666667</v>
      </c>
      <c r="AG9" s="53"/>
      <c r="AH9" s="48">
        <f ca="1">AF9/AF8</f>
        <v>0.86642184989671811</v>
      </c>
      <c r="AI9" s="31"/>
    </row>
    <row r="10" spans="1:35" s="5" customFormat="1" ht="20.25" outlineLevel="1" x14ac:dyDescent="0.35">
      <c r="A10" s="30"/>
      <c r="B10" s="30"/>
      <c r="C10" s="30"/>
      <c r="D10" s="30"/>
      <c r="E10" s="30"/>
      <c r="F10" s="30"/>
      <c r="G10" s="30"/>
      <c r="H10" s="30"/>
      <c r="I10" s="30"/>
      <c r="J10" s="30"/>
      <c r="K10" s="30"/>
      <c r="L10" s="30"/>
      <c r="M10" s="30"/>
      <c r="N10" s="30"/>
      <c r="O10" s="30"/>
      <c r="P10" s="30"/>
      <c r="Q10" s="30"/>
      <c r="R10" s="30"/>
      <c r="S10" s="30"/>
      <c r="T10" s="30"/>
      <c r="U10" s="30"/>
      <c r="V10" s="31"/>
      <c r="W10" s="30"/>
      <c r="X10" s="31"/>
      <c r="Y10" s="31"/>
      <c r="Z10" s="31"/>
      <c r="AA10" s="31"/>
      <c r="AB10" s="31"/>
      <c r="AC10" s="31"/>
      <c r="AD10" s="31"/>
      <c r="AE10" s="47" t="s">
        <v>89</v>
      </c>
      <c r="AF10" s="53" cm="1">
        <f t="array" aca="1" ref="AF10" ca="1" xml:space="preserve">
IF(ISBLANK($AH$6),
IFERROR(
SUM(_xlfn._xlws.FILTER(Table_VayNo_LichTra[Lãi vay],
(Table_VayNo_LichTra[Ngày phải trả] &gt;=$AF$6)
)),0),
IFERROR(
SUM(_xlfn._xlws.FILTER(Table_VayNo_LichTra[Lãi vay],
(Table_VayNo_LichTra[Ngày phải trả] &gt;=$AF$6) *
(Table_VayNo_LichTra[Ngày phải trả] &lt;= $AH$6)
)),0)
)</f>
        <v>388000000</v>
      </c>
      <c r="AG10" s="53"/>
      <c r="AH10" s="48">
        <f ca="1">AF10/AF8</f>
        <v>0.13357815010328208</v>
      </c>
      <c r="AI10" s="31"/>
    </row>
    <row r="11" spans="1:35" s="5" customFormat="1" ht="16.5" outlineLevel="1" x14ac:dyDescent="0.3">
      <c r="A11" s="30"/>
      <c r="B11" s="30"/>
      <c r="C11" s="30"/>
      <c r="D11" s="30"/>
      <c r="E11" s="30"/>
      <c r="F11" s="30"/>
      <c r="G11" s="30"/>
      <c r="H11" s="30"/>
      <c r="I11" s="30"/>
      <c r="J11" s="30"/>
      <c r="K11" s="30"/>
      <c r="L11" s="30"/>
      <c r="M11" s="30"/>
      <c r="N11" s="30"/>
      <c r="O11" s="30"/>
      <c r="P11" s="30"/>
      <c r="Q11" s="30"/>
      <c r="R11" s="30"/>
      <c r="S11" s="30"/>
      <c r="T11" s="30"/>
      <c r="U11" s="30"/>
      <c r="V11" s="31"/>
      <c r="W11" s="30"/>
      <c r="X11" s="31"/>
      <c r="Y11" s="31"/>
      <c r="Z11" s="31"/>
      <c r="AA11" s="31"/>
      <c r="AB11" s="31"/>
      <c r="AC11" s="31"/>
      <c r="AD11" s="31"/>
      <c r="AE11" s="31"/>
      <c r="AF11" s="31"/>
      <c r="AG11" s="31"/>
      <c r="AH11" s="31"/>
      <c r="AI11" s="31"/>
    </row>
    <row r="12" spans="1:35" s="5" customFormat="1" ht="20.25" outlineLevel="1" x14ac:dyDescent="0.35">
      <c r="A12" s="30"/>
      <c r="B12" s="30"/>
      <c r="C12" s="30"/>
      <c r="D12" s="30"/>
      <c r="E12" s="30"/>
      <c r="F12" s="30"/>
      <c r="G12" s="30"/>
      <c r="H12" s="30"/>
      <c r="I12" s="30"/>
      <c r="J12" s="30"/>
      <c r="K12" s="30"/>
      <c r="L12" s="30"/>
      <c r="M12" s="30"/>
      <c r="N12" s="30"/>
      <c r="O12" s="30"/>
      <c r="P12" s="30"/>
      <c r="Q12" s="30"/>
      <c r="R12" s="30"/>
      <c r="S12" s="30"/>
      <c r="T12" s="30"/>
      <c r="U12" s="30"/>
      <c r="V12" s="31"/>
      <c r="W12" s="30"/>
      <c r="X12" s="31"/>
      <c r="Y12" s="31"/>
      <c r="Z12" s="31"/>
      <c r="AA12" s="31"/>
      <c r="AB12" s="31"/>
      <c r="AC12" s="31"/>
      <c r="AD12" s="31"/>
      <c r="AE12" s="46" t="s">
        <v>90</v>
      </c>
      <c r="AF12" s="31"/>
      <c r="AG12" s="31"/>
      <c r="AH12" s="31"/>
      <c r="AI12" s="31"/>
    </row>
    <row r="13" spans="1:35" s="5" customFormat="1" ht="20.25" outlineLevel="1" x14ac:dyDescent="0.35">
      <c r="A13" s="30"/>
      <c r="B13" s="30"/>
      <c r="C13" s="30"/>
      <c r="D13" s="30"/>
      <c r="E13" s="30"/>
      <c r="F13" s="30"/>
      <c r="G13" s="30"/>
      <c r="H13" s="30"/>
      <c r="I13" s="30"/>
      <c r="J13" s="30"/>
      <c r="K13" s="30"/>
      <c r="L13" s="30"/>
      <c r="M13" s="30"/>
      <c r="N13" s="30"/>
      <c r="O13" s="30"/>
      <c r="P13" s="30"/>
      <c r="Q13" s="30"/>
      <c r="R13" s="30"/>
      <c r="S13" s="30"/>
      <c r="T13" s="30"/>
      <c r="U13" s="30"/>
      <c r="V13" s="31"/>
      <c r="W13" s="30"/>
      <c r="X13" s="31"/>
      <c r="Y13" s="31"/>
      <c r="Z13" s="31"/>
      <c r="AA13" s="31"/>
      <c r="AB13" s="31"/>
      <c r="AC13" s="31"/>
      <c r="AD13" s="31"/>
      <c r="AE13" s="46" t="s">
        <v>91</v>
      </c>
      <c r="AF13" s="31"/>
      <c r="AG13" s="49" cm="1">
        <f t="array" aca="1" ref="AG13" ca="1">IFERROR(
SUM(_xlfn._xlws.FILTER(Table_VayNo_LichTra[Tổng phải trả],
(Table_VayNo_LichTra[Ngày phải trả] =$AG$14)
)),0)</f>
        <v>33916666.666666664</v>
      </c>
      <c r="AH13" s="31"/>
      <c r="AI13" s="31"/>
    </row>
    <row r="14" spans="1:35" s="5" customFormat="1" ht="20.25" outlineLevel="1" x14ac:dyDescent="0.35">
      <c r="A14" s="30"/>
      <c r="B14" s="30"/>
      <c r="C14" s="30"/>
      <c r="D14" s="30"/>
      <c r="E14" s="30"/>
      <c r="F14" s="30"/>
      <c r="G14" s="30"/>
      <c r="H14" s="30"/>
      <c r="I14" s="30"/>
      <c r="J14" s="30"/>
      <c r="K14" s="30"/>
      <c r="L14" s="30"/>
      <c r="M14" s="30"/>
      <c r="N14" s="30"/>
      <c r="O14" s="30"/>
      <c r="P14" s="30"/>
      <c r="Q14" s="30"/>
      <c r="R14" s="30"/>
      <c r="S14" s="30"/>
      <c r="T14" s="30"/>
      <c r="U14" s="30"/>
      <c r="V14" s="31"/>
      <c r="W14" s="30"/>
      <c r="X14" s="31"/>
      <c r="Y14" s="31"/>
      <c r="Z14" s="31"/>
      <c r="AA14" s="31"/>
      <c r="AB14" s="31"/>
      <c r="AC14" s="31"/>
      <c r="AD14" s="31"/>
      <c r="AE14" s="46" t="s">
        <v>92</v>
      </c>
      <c r="AF14" s="31"/>
      <c r="AG14" s="52" cm="1">
        <f t="array" aca="1" ref="AG14" ca="1">MIN(_xlfn._xlws.FILTER(Table_VayNo_LichTra[Ngày phải trả],
Table_VayNo_LichTra[Ngày phải trả] &gt;= TODAY()
))</f>
        <v>45840</v>
      </c>
      <c r="AH14" s="31"/>
      <c r="AI14" s="31"/>
    </row>
    <row r="15" spans="1:35" s="5" customFormat="1" ht="20.25" outlineLevel="1" x14ac:dyDescent="0.35">
      <c r="A15" s="30"/>
      <c r="B15" s="30"/>
      <c r="C15" s="30"/>
      <c r="D15" s="30"/>
      <c r="E15" s="30"/>
      <c r="F15" s="30"/>
      <c r="G15" s="30"/>
      <c r="H15" s="30"/>
      <c r="I15" s="30"/>
      <c r="J15" s="30"/>
      <c r="K15" s="30"/>
      <c r="L15" s="30"/>
      <c r="M15" s="30"/>
      <c r="N15" s="30"/>
      <c r="O15" s="30"/>
      <c r="P15" s="30"/>
      <c r="Q15" s="30"/>
      <c r="R15" s="30"/>
      <c r="S15" s="30"/>
      <c r="T15" s="30"/>
      <c r="U15" s="30"/>
      <c r="V15" s="31"/>
      <c r="W15" s="30"/>
      <c r="X15" s="31"/>
      <c r="Y15" s="31"/>
      <c r="Z15" s="31"/>
      <c r="AA15" s="31"/>
      <c r="AB15" s="31"/>
      <c r="AC15" s="31"/>
      <c r="AD15" s="31"/>
      <c r="AE15" s="46" t="s">
        <v>93</v>
      </c>
      <c r="AF15" s="31"/>
      <c r="AG15" s="49">
        <f ca="1">AG14-TODAY()</f>
        <v>29</v>
      </c>
      <c r="AH15" s="31"/>
      <c r="AI15" s="31"/>
    </row>
    <row r="16" spans="1:35" s="5" customFormat="1" ht="16.5" outlineLevel="1" x14ac:dyDescent="0.3">
      <c r="A16" s="30"/>
      <c r="B16" s="30"/>
      <c r="C16" s="30"/>
      <c r="D16" s="30"/>
      <c r="E16" s="30"/>
      <c r="F16" s="30"/>
      <c r="G16" s="30"/>
      <c r="H16" s="30"/>
      <c r="I16" s="30"/>
      <c r="J16" s="30"/>
      <c r="K16" s="30"/>
      <c r="L16" s="30"/>
      <c r="M16" s="30"/>
      <c r="N16" s="30"/>
      <c r="O16" s="30"/>
      <c r="P16" s="30"/>
      <c r="Q16" s="30"/>
      <c r="R16" s="30"/>
      <c r="S16" s="30"/>
      <c r="T16" s="30"/>
      <c r="U16" s="30"/>
      <c r="V16" s="31"/>
      <c r="W16" s="30"/>
      <c r="X16" s="31"/>
      <c r="Y16" s="31"/>
      <c r="Z16" s="31"/>
      <c r="AA16" s="31"/>
      <c r="AB16" s="31"/>
      <c r="AC16" s="31"/>
      <c r="AD16" s="31"/>
      <c r="AE16" s="31"/>
      <c r="AF16" s="31"/>
      <c r="AG16" s="31"/>
      <c r="AH16" s="31"/>
      <c r="AI16" s="31"/>
    </row>
    <row r="17" spans="1:35" s="5" customFormat="1" ht="16.5" outlineLevel="1" x14ac:dyDescent="0.3">
      <c r="A17" s="30"/>
      <c r="B17" s="30"/>
      <c r="C17" s="30"/>
      <c r="D17" s="30"/>
      <c r="E17" s="30"/>
      <c r="F17" s="30"/>
      <c r="G17" s="30"/>
      <c r="H17" s="30"/>
      <c r="I17" s="30"/>
      <c r="J17" s="30"/>
      <c r="K17" s="30"/>
      <c r="L17" s="30"/>
      <c r="M17" s="30"/>
      <c r="N17" s="30"/>
      <c r="O17" s="30"/>
      <c r="P17" s="30"/>
      <c r="Q17" s="30"/>
      <c r="R17" s="30"/>
      <c r="S17" s="30"/>
      <c r="T17" s="30"/>
      <c r="U17" s="30"/>
      <c r="V17" s="31"/>
      <c r="W17" s="30"/>
      <c r="X17" s="31"/>
      <c r="Y17" s="31"/>
      <c r="Z17" s="31"/>
      <c r="AA17" s="31"/>
      <c r="AB17" s="31"/>
      <c r="AC17" s="31"/>
      <c r="AD17" s="31"/>
      <c r="AE17" s="31"/>
      <c r="AF17" s="31"/>
      <c r="AG17" s="31"/>
      <c r="AH17" s="31"/>
      <c r="AI17" s="31"/>
    </row>
    <row r="18" spans="1:35" s="5" customFormat="1" ht="16.5" outlineLevel="1" x14ac:dyDescent="0.3">
      <c r="A18" s="30"/>
      <c r="B18" s="30"/>
      <c r="C18" s="30"/>
      <c r="D18" s="30"/>
      <c r="E18" s="30"/>
      <c r="F18" s="30"/>
      <c r="G18" s="30"/>
      <c r="H18" s="30"/>
      <c r="I18" s="30"/>
      <c r="J18" s="30"/>
      <c r="K18" s="30"/>
      <c r="L18" s="30"/>
      <c r="M18" s="30"/>
      <c r="N18" s="30"/>
      <c r="O18" s="30"/>
      <c r="P18" s="30"/>
      <c r="Q18" s="30"/>
      <c r="R18" s="30"/>
      <c r="S18" s="30"/>
      <c r="T18" s="30"/>
      <c r="U18" s="30"/>
      <c r="V18" s="31"/>
      <c r="W18" s="30"/>
      <c r="X18" s="31"/>
      <c r="Y18" s="31"/>
      <c r="Z18" s="31"/>
      <c r="AA18" s="31"/>
      <c r="AB18" s="31"/>
      <c r="AC18" s="31"/>
      <c r="AD18" s="31"/>
      <c r="AE18" s="31"/>
      <c r="AF18" s="31"/>
      <c r="AG18" s="31"/>
      <c r="AH18" s="31"/>
      <c r="AI18" s="31"/>
    </row>
    <row r="19" spans="1:35" s="5" customFormat="1" ht="16.5" outlineLevel="1" x14ac:dyDescent="0.3">
      <c r="A19" s="30"/>
      <c r="B19" s="30"/>
      <c r="C19" s="30"/>
      <c r="D19" s="30"/>
      <c r="E19" s="30"/>
      <c r="F19" s="30"/>
      <c r="G19" s="35" t="s">
        <v>79</v>
      </c>
      <c r="H19" t="s">
        <v>82</v>
      </c>
      <c r="I19" s="30"/>
      <c r="J19" s="30"/>
      <c r="K19" s="30"/>
      <c r="L19" s="30"/>
      <c r="M19" s="30"/>
      <c r="N19" s="30"/>
      <c r="O19" s="30"/>
      <c r="P19" s="30"/>
      <c r="Q19" s="30"/>
      <c r="R19" s="30"/>
      <c r="S19" s="30"/>
      <c r="T19" s="30"/>
      <c r="U19" s="30"/>
      <c r="V19" s="31"/>
      <c r="W19" s="30"/>
      <c r="X19" s="31"/>
      <c r="Y19" s="31"/>
      <c r="Z19" s="31"/>
      <c r="AA19" s="31"/>
      <c r="AB19" s="31"/>
      <c r="AC19" s="31"/>
      <c r="AD19" s="31"/>
      <c r="AE19" s="31"/>
      <c r="AF19" s="31"/>
      <c r="AG19" s="31"/>
      <c r="AH19" s="31"/>
      <c r="AI19" s="31"/>
    </row>
    <row r="20" spans="1:35" s="5" customFormat="1" ht="16.5" outlineLevel="1" x14ac:dyDescent="0.3">
      <c r="A20" s="30"/>
      <c r="B20" s="30"/>
      <c r="C20" s="30"/>
      <c r="D20" s="30"/>
      <c r="E20" s="30"/>
      <c r="F20" s="30"/>
      <c r="G20" s="35" t="s">
        <v>80</v>
      </c>
      <c r="H20" t="s">
        <v>78</v>
      </c>
      <c r="I20" s="30"/>
      <c r="J20" s="30"/>
      <c r="K20" s="30"/>
      <c r="L20" s="30"/>
      <c r="M20" s="30"/>
      <c r="N20" s="30"/>
      <c r="O20" s="30"/>
      <c r="P20" s="30"/>
      <c r="Q20" s="30"/>
      <c r="R20" s="30"/>
      <c r="S20" s="30"/>
      <c r="T20" s="30"/>
      <c r="U20" s="30"/>
      <c r="V20" s="31"/>
      <c r="W20" s="30"/>
      <c r="X20" s="31"/>
      <c r="Y20" s="31"/>
      <c r="Z20" s="31"/>
      <c r="AA20" s="31"/>
      <c r="AB20" s="31"/>
      <c r="AC20" s="31"/>
      <c r="AD20" s="31"/>
      <c r="AE20" s="31"/>
      <c r="AF20" s="31"/>
      <c r="AG20" s="31"/>
      <c r="AH20" s="31"/>
      <c r="AI20" s="31"/>
    </row>
    <row r="21" spans="1:35" s="5" customFormat="1" ht="16.5" outlineLevel="1" x14ac:dyDescent="0.3">
      <c r="A21" s="30"/>
      <c r="B21" s="30"/>
      <c r="C21" s="30"/>
      <c r="D21" s="30"/>
      <c r="E21" s="30"/>
      <c r="F21" s="30"/>
      <c r="G21" s="35" t="s">
        <v>41</v>
      </c>
      <c r="H21" t="s">
        <v>78</v>
      </c>
      <c r="I21" s="30"/>
      <c r="J21" s="30"/>
      <c r="K21" s="30"/>
      <c r="L21" s="30"/>
      <c r="M21" s="30"/>
      <c r="N21" s="30"/>
      <c r="O21" s="30"/>
      <c r="P21" s="30"/>
      <c r="Q21" s="30"/>
      <c r="R21" s="30"/>
      <c r="S21" s="30"/>
      <c r="T21" s="30"/>
      <c r="U21" s="30"/>
      <c r="V21" s="31"/>
      <c r="W21" s="30"/>
      <c r="X21" s="31"/>
      <c r="Y21" s="31"/>
      <c r="Z21" s="31"/>
      <c r="AA21" s="31"/>
      <c r="AB21" s="31"/>
      <c r="AC21" s="31"/>
      <c r="AD21" s="31"/>
      <c r="AE21" s="31"/>
      <c r="AF21" s="31"/>
      <c r="AG21" s="31"/>
      <c r="AH21" s="31"/>
      <c r="AI21" s="31"/>
    </row>
    <row r="22" spans="1:35" s="5" customFormat="1" ht="16.5" outlineLevel="1" x14ac:dyDescent="0.3">
      <c r="A22" s="30"/>
      <c r="B22" s="30"/>
      <c r="C22" s="30"/>
      <c r="D22" s="30"/>
      <c r="E22" s="30"/>
      <c r="F22" s="30"/>
      <c r="G22" s="30"/>
      <c r="H22" s="30"/>
      <c r="I22" s="30"/>
      <c r="J22" s="30"/>
      <c r="K22" s="30"/>
      <c r="L22" s="30"/>
      <c r="M22" s="30"/>
      <c r="N22" s="30"/>
      <c r="O22" s="30"/>
      <c r="P22" s="30"/>
      <c r="Q22" s="30"/>
      <c r="R22" s="30"/>
      <c r="S22" s="30"/>
      <c r="T22" s="30"/>
      <c r="U22" s="30"/>
      <c r="V22" s="31"/>
      <c r="W22" s="30"/>
      <c r="X22" s="31"/>
      <c r="Y22" s="31"/>
      <c r="Z22" s="31"/>
      <c r="AA22" s="31"/>
      <c r="AB22" s="31"/>
      <c r="AC22" s="31"/>
      <c r="AD22" s="31"/>
      <c r="AE22" s="31"/>
      <c r="AF22" s="31"/>
      <c r="AG22" s="31"/>
      <c r="AH22" s="31"/>
      <c r="AI22" s="31"/>
    </row>
    <row r="23" spans="1:35" ht="16.5" x14ac:dyDescent="0.3">
      <c r="A23" s="21"/>
      <c r="B23" s="35" t="s">
        <v>63</v>
      </c>
      <c r="C23" t="s">
        <v>68</v>
      </c>
      <c r="D23" t="s">
        <v>69</v>
      </c>
      <c r="E23" t="s">
        <v>70</v>
      </c>
      <c r="F23" s="21"/>
      <c r="G23" s="35" t="s">
        <v>63</v>
      </c>
      <c r="H23" t="s">
        <v>81</v>
      </c>
      <c r="I23" s="21"/>
      <c r="J23" s="1" t="s">
        <v>20</v>
      </c>
      <c r="K23" s="1" t="s">
        <v>21</v>
      </c>
      <c r="L23" s="1" t="s">
        <v>40</v>
      </c>
      <c r="M23" s="1" t="s">
        <v>42</v>
      </c>
      <c r="N23" s="1" t="s">
        <v>22</v>
      </c>
      <c r="O23" s="1" t="s">
        <v>23</v>
      </c>
      <c r="P23" s="1" t="s">
        <v>24</v>
      </c>
      <c r="Q23" s="1" t="s">
        <v>17</v>
      </c>
      <c r="R23" s="1" t="s">
        <v>25</v>
      </c>
      <c r="S23" s="5" t="s">
        <v>26</v>
      </c>
      <c r="T23" s="5" t="s">
        <v>27</v>
      </c>
      <c r="U23" s="21"/>
      <c r="V23" s="1" t="s">
        <v>2</v>
      </c>
      <c r="W23" s="5" t="s">
        <v>41</v>
      </c>
      <c r="X23" s="1" t="s">
        <v>1</v>
      </c>
      <c r="Y23" s="1" t="s">
        <v>0</v>
      </c>
      <c r="Z23" s="1" t="s">
        <v>16</v>
      </c>
      <c r="AA23" s="1" t="s">
        <v>43</v>
      </c>
      <c r="AB23" s="1" t="s">
        <v>17</v>
      </c>
      <c r="AC23" s="1" t="s">
        <v>59</v>
      </c>
      <c r="AD23" s="1" t="s">
        <v>60</v>
      </c>
      <c r="AE23" s="1" t="s">
        <v>24</v>
      </c>
      <c r="AF23" s="5" t="s">
        <v>18</v>
      </c>
      <c r="AG23" s="5" t="s">
        <v>19</v>
      </c>
      <c r="AH23" s="5" t="s">
        <v>14</v>
      </c>
      <c r="AI23" s="5" t="s">
        <v>15</v>
      </c>
    </row>
    <row r="24" spans="1:35" ht="16.5" x14ac:dyDescent="0.3">
      <c r="A24" s="21"/>
      <c r="B24" s="29" t="s">
        <v>65</v>
      </c>
      <c r="C24" s="38">
        <v>1966666666.6666663</v>
      </c>
      <c r="D24" s="38">
        <v>505583333.33333331</v>
      </c>
      <c r="E24" s="38">
        <v>2472250000</v>
      </c>
      <c r="F24" s="21"/>
      <c r="G24" s="7" t="s">
        <v>50</v>
      </c>
      <c r="H24" s="38">
        <v>833333333.33333325</v>
      </c>
      <c r="I24" s="21"/>
      <c r="J24" s="21" t="s">
        <v>61</v>
      </c>
      <c r="K24" s="21" t="s">
        <v>62</v>
      </c>
      <c r="L24" s="39">
        <v>100000000</v>
      </c>
      <c r="M24" s="2" t="s">
        <v>58</v>
      </c>
      <c r="N24" s="39"/>
      <c r="O24" s="39">
        <v>3</v>
      </c>
      <c r="P24" s="4">
        <v>0.06</v>
      </c>
      <c r="Q24" s="32">
        <v>45869</v>
      </c>
      <c r="R24" s="40"/>
      <c r="S24"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T24"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4" s="21"/>
      <c r="V24" s="6">
        <f>IFERROR(
IF(ISBLANK(Y24),
DATE(X24,12,1),
DATE(X24,Y24,1)),0)</f>
        <v>45931</v>
      </c>
      <c r="W2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45961</v>
      </c>
      <c r="X24" s="21">
        <v>2025</v>
      </c>
      <c r="Y24" s="21">
        <v>10</v>
      </c>
      <c r="Z24" s="21" t="s">
        <v>61</v>
      </c>
      <c r="AA24" s="23" t="str">
        <f xml:space="preserve">
IFERROR(
VLOOKUP(
Table_VayNo_LichTra[[#This Row],[Khoản vay]],
Table_VayNo[],
COUNTA(Table_VayNo[[#Headers],[Mã khoản vay]:[Tần suất trả nợ]]),
0),
0)</f>
        <v>Một lần</v>
      </c>
      <c r="AB24" s="50">
        <f xml:space="preserve">
IFERROR(
VLOOKUP(
Table_VayNo_LichTra[[#This Row],[Khoản vay]],
Table_VayNo[],
COUNTA(Table_VayNo[[#Headers],[Mã khoản vay]:[Ngày vay]]),
0),
0)</f>
        <v>45869</v>
      </c>
      <c r="AC24" s="50">
        <f xml:space="preserve">
IFERROR(
VLOOKUP(
Table_VayNo_LichTra[[#This Row],[Khoản vay]],
Table_VayNo[],
COUNTA(Table_VayNo[[#Headers],[Mã khoản vay]:[Bắt đầu trả gốc]]),
0),
0)</f>
        <v>0</v>
      </c>
      <c r="AD24" s="50">
        <f xml:space="preserve">
IFERROR(
VLOOKUP(
Table_VayNo_LichTra[[#This Row],[Khoản vay]],
Table_VayNo[],
COUNTA(Table_VayNo[[#Headers],[Mã khoản vay]:[Kết thúc trả gốc]]),
0),
0)</f>
        <v>45960</v>
      </c>
      <c r="AE24" s="34">
        <f xml:space="preserve">
IFERROR(
VLOOKUP(
Table_VayNo_LichTra[[#This Row],[Khoản vay]], Table_VayNo[],COUNTA(Table_VayNo[[#Headers],[Mã khoản vay]:[Lãi suất (năm)]]),0),
0)</f>
        <v>0.06</v>
      </c>
      <c r="AF2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AH2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4" s="41">
        <f>Table_VayNo_LichTra[[#This Row],[Lãi vay]]+Table_VayNo_LichTra[[#This Row],[Trả gốc trong kỳ]]</f>
        <v>100500000</v>
      </c>
    </row>
    <row r="25" spans="1:35" ht="16.5" x14ac:dyDescent="0.3">
      <c r="A25" s="21"/>
      <c r="B25" s="43" t="s">
        <v>71</v>
      </c>
      <c r="C25" s="38">
        <v>1666666666.6666667</v>
      </c>
      <c r="D25" s="38">
        <v>500000000</v>
      </c>
      <c r="E25" s="38">
        <v>2166666666.666667</v>
      </c>
      <c r="F25" s="21"/>
      <c r="G25" s="7" t="s">
        <v>53</v>
      </c>
      <c r="H25" s="38">
        <v>4083333.333333334</v>
      </c>
      <c r="I25" s="21"/>
      <c r="J25" s="21" t="s">
        <v>56</v>
      </c>
      <c r="K25" s="21" t="s">
        <v>57</v>
      </c>
      <c r="L25" s="39">
        <v>650000000</v>
      </c>
      <c r="M25" s="2" t="s">
        <v>58</v>
      </c>
      <c r="N25" s="39"/>
      <c r="O25" s="39">
        <v>12</v>
      </c>
      <c r="P25" s="4">
        <v>0.08</v>
      </c>
      <c r="Q25" s="32">
        <v>45792</v>
      </c>
      <c r="R25" s="40"/>
      <c r="S25"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T25"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U25" s="21"/>
      <c r="V25" s="6">
        <f>IFERROR(
IF(ISBLANK(Y25),
DATE(X25,12,1),
DATE(X25,Y25,1)),0)</f>
        <v>45901</v>
      </c>
      <c r="W2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45931</v>
      </c>
      <c r="X25" s="21">
        <v>2025</v>
      </c>
      <c r="Y25" s="21">
        <v>9</v>
      </c>
      <c r="Z25" s="21" t="s">
        <v>61</v>
      </c>
      <c r="AA25" s="23" t="str">
        <f xml:space="preserve">
IFERROR(
VLOOKUP(
Table_VayNo_LichTra[[#This Row],[Khoản vay]],
Table_VayNo[],
COUNTA(Table_VayNo[[#Headers],[Mã khoản vay]:[Tần suất trả nợ]]),
0),
0)</f>
        <v>Một lần</v>
      </c>
      <c r="AB25" s="50">
        <f xml:space="preserve">
IFERROR(
VLOOKUP(
Table_VayNo_LichTra[[#This Row],[Khoản vay]],
Table_VayNo[],
COUNTA(Table_VayNo[[#Headers],[Mã khoản vay]:[Ngày vay]]),
0),
0)</f>
        <v>45869</v>
      </c>
      <c r="AC25" s="50">
        <f xml:space="preserve">
IFERROR(
VLOOKUP(
Table_VayNo_LichTra[[#This Row],[Khoản vay]],
Table_VayNo[],
COUNTA(Table_VayNo[[#Headers],[Mã khoản vay]:[Bắt đầu trả gốc]]),
0),
0)</f>
        <v>0</v>
      </c>
      <c r="AD25" s="50">
        <f xml:space="preserve">
IFERROR(
VLOOKUP(
Table_VayNo_LichTra[[#This Row],[Khoản vay]],
Table_VayNo[],
COUNTA(Table_VayNo[[#Headers],[Mã khoản vay]:[Kết thúc trả gốc]]),
0),
0)</f>
        <v>45960</v>
      </c>
      <c r="AE25" s="34">
        <f xml:space="preserve">
IFERROR(
VLOOKUP(
Table_VayNo_LichTra[[#This Row],[Khoản vay]], Table_VayNo[],COUNTA(Table_VayNo[[#Headers],[Mã khoản vay]:[Lãi suất (năm)]]),0),
0)</f>
        <v>0.06</v>
      </c>
      <c r="AF2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5" s="41">
        <f>Table_VayNo_LichTra[[#This Row],[Lãi vay]]+Table_VayNo_LichTra[[#This Row],[Trả gốc trong kỳ]]</f>
        <v>500000</v>
      </c>
    </row>
    <row r="26" spans="1:35" ht="16.5" x14ac:dyDescent="0.3">
      <c r="A26" s="21"/>
      <c r="B26" s="44">
        <v>45712</v>
      </c>
      <c r="C26" s="38"/>
      <c r="D26" s="38"/>
      <c r="E26" s="38"/>
      <c r="F26" s="21"/>
      <c r="G26" s="7" t="s">
        <v>56</v>
      </c>
      <c r="H26" s="38">
        <v>52000000</v>
      </c>
      <c r="I26" s="21"/>
      <c r="J26" s="21" t="s">
        <v>53</v>
      </c>
      <c r="K26" s="21" t="s">
        <v>54</v>
      </c>
      <c r="L26" s="39">
        <v>200000000</v>
      </c>
      <c r="M26" s="2" t="s">
        <v>55</v>
      </c>
      <c r="N26" s="39"/>
      <c r="O26" s="39">
        <v>6</v>
      </c>
      <c r="P26" s="4">
        <v>7.0000000000000007E-2</v>
      </c>
      <c r="Q26" s="32">
        <v>45718</v>
      </c>
      <c r="R26" s="32">
        <v>45749</v>
      </c>
      <c r="S26"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T26" s="41">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U26" s="21"/>
      <c r="V26" s="6">
        <f>IFERROR(
IF(ISBLANK(Y26),
DATE(X26,12,1),
DATE(X26,Y26,1)),0)</f>
        <v>45870</v>
      </c>
      <c r="W2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45900</v>
      </c>
      <c r="X26" s="21">
        <v>2025</v>
      </c>
      <c r="Y26" s="21">
        <v>8</v>
      </c>
      <c r="Z26" s="21" t="s">
        <v>61</v>
      </c>
      <c r="AA26" s="23" t="str">
        <f xml:space="preserve">
IFERROR(
VLOOKUP(
Table_VayNo_LichTra[[#This Row],[Khoản vay]],
Table_VayNo[],
COUNTA(Table_VayNo[[#Headers],[Mã khoản vay]:[Tần suất trả nợ]]),
0),
0)</f>
        <v>Một lần</v>
      </c>
      <c r="AB26" s="50">
        <f xml:space="preserve">
IFERROR(
VLOOKUP(
Table_VayNo_LichTra[[#This Row],[Khoản vay]],
Table_VayNo[],
COUNTA(Table_VayNo[[#Headers],[Mã khoản vay]:[Ngày vay]]),
0),
0)</f>
        <v>45869</v>
      </c>
      <c r="AC26" s="50">
        <f xml:space="preserve">
IFERROR(
VLOOKUP(
Table_VayNo_LichTra[[#This Row],[Khoản vay]],
Table_VayNo[],
COUNTA(Table_VayNo[[#Headers],[Mã khoản vay]:[Bắt đầu trả gốc]]),
0),
0)</f>
        <v>0</v>
      </c>
      <c r="AD26" s="50">
        <f xml:space="preserve">
IFERROR(
VLOOKUP(
Table_VayNo_LichTra[[#This Row],[Khoản vay]],
Table_VayNo[],
COUNTA(Table_VayNo[[#Headers],[Mã khoản vay]:[Kết thúc trả gốc]]),
0),
0)</f>
        <v>45960</v>
      </c>
      <c r="AE26" s="34">
        <f xml:space="preserve">
IFERROR(
VLOOKUP(
Table_VayNo_LichTra[[#This Row],[Khoản vay]], Table_VayNo[],COUNTA(Table_VayNo[[#Headers],[Mã khoản vay]:[Lãi suất (năm)]]),0),
0)</f>
        <v>0.06</v>
      </c>
      <c r="AF2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2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AH2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AI26" s="41">
        <f>Table_VayNo_LichTra[[#This Row],[Lãi vay]]+Table_VayNo_LichTra[[#This Row],[Trả gốc trong kỳ]]</f>
        <v>500000</v>
      </c>
    </row>
    <row r="27" spans="1:35" ht="16.5" x14ac:dyDescent="0.3">
      <c r="A27" s="21"/>
      <c r="B27" s="45" t="s">
        <v>50</v>
      </c>
      <c r="C27" s="38">
        <v>1666666666.6666667</v>
      </c>
      <c r="D27" s="38">
        <v>500000000</v>
      </c>
      <c r="E27" s="38">
        <v>2166666666.666667</v>
      </c>
      <c r="F27" s="21"/>
      <c r="G27" s="7" t="s">
        <v>61</v>
      </c>
      <c r="H27" s="38">
        <v>1500000</v>
      </c>
      <c r="I27" s="21"/>
      <c r="J27" s="21" t="s">
        <v>50</v>
      </c>
      <c r="K27" s="21" t="s">
        <v>51</v>
      </c>
      <c r="L27" s="39">
        <v>5000000000</v>
      </c>
      <c r="M27" s="2" t="s">
        <v>52</v>
      </c>
      <c r="N27" s="39">
        <v>3</v>
      </c>
      <c r="O27" s="39"/>
      <c r="P27" s="4">
        <v>0.1</v>
      </c>
      <c r="Q27" s="32">
        <v>45346</v>
      </c>
      <c r="R27" s="32">
        <v>45712</v>
      </c>
      <c r="S27" s="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T27" s="42">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U27" s="21"/>
      <c r="V27" s="6">
        <f t="shared" ref="V27:V36" si="0">IFERROR(
IF(ISBLANK(Y27),
DATE(X27,12,1),
DATE(X27,Y27,1)),0)</f>
        <v>46357</v>
      </c>
      <c r="W27"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46157</v>
      </c>
      <c r="X27" s="21">
        <v>2026</v>
      </c>
      <c r="Y27" s="21"/>
      <c r="Z27" s="21" t="s">
        <v>56</v>
      </c>
      <c r="AA27" s="23" t="str">
        <f xml:space="preserve">
IFERROR(
VLOOKUP(
Table_VayNo_LichTra[[#This Row],[Khoản vay]],
Table_VayNo[],
COUNTA(Table_VayNo[[#Headers],[Mã khoản vay]:[Tần suất trả nợ]]),
0),
0)</f>
        <v>Một lần</v>
      </c>
      <c r="AB27" s="37">
        <f xml:space="preserve">
IFERROR(
VLOOKUP(
Table_VayNo_LichTra[[#This Row],[Khoản vay]],
Table_VayNo[],
COUNTA(Table_VayNo[[#Headers],[Mã khoản vay]:[Ngày vay]]),
0),
0)</f>
        <v>45792</v>
      </c>
      <c r="AC27" s="37">
        <f xml:space="preserve">
IFERROR(
VLOOKUP(
Table_VayNo_LichTra[[#This Row],[Khoản vay]],
Table_VayNo[],
COUNTA(Table_VayNo[[#Headers],[Mã khoản vay]:[Bắt đầu trả gốc]]),
0),
0)</f>
        <v>0</v>
      </c>
      <c r="AD27" s="37">
        <f xml:space="preserve">
IFERROR(
VLOOKUP(
Table_VayNo_LichTra[[#This Row],[Khoản vay]],
Table_VayNo[],
COUNTA(Table_VayNo[[#Headers],[Mã khoản vay]:[Kết thúc trả gốc]]),
0),
0)</f>
        <v>46157</v>
      </c>
      <c r="AE27" s="34">
        <f xml:space="preserve">
IFERROR(
VLOOKUP(
Table_VayNo_LichTra[[#This Row],[Khoản vay]], Table_VayNo[],COUNTA(Table_VayNo[[#Headers],[Mã khoản vay]:[Lãi suất (năm)]]),0),
0)</f>
        <v>0.08</v>
      </c>
      <c r="AF27"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AG27"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AH27"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AI27" s="41">
        <f>Table_VayNo_LichTra[[#This Row],[Lãi vay]]+Table_VayNo_LichTra[[#This Row],[Trả gốc trong kỳ]]</f>
        <v>702000000</v>
      </c>
    </row>
    <row r="28" spans="1:35" ht="16.5" x14ac:dyDescent="0.3">
      <c r="A28" s="21"/>
      <c r="B28" s="43" t="s">
        <v>72</v>
      </c>
      <c r="C28" s="38">
        <v>33333333.333333332</v>
      </c>
      <c r="D28" s="38">
        <v>1166666.6666666667</v>
      </c>
      <c r="E28" s="38">
        <v>34500000</v>
      </c>
      <c r="F28" s="21"/>
      <c r="G28" s="7" t="s">
        <v>64</v>
      </c>
      <c r="H28" s="38">
        <v>890916666.66666663</v>
      </c>
      <c r="I28" s="21"/>
      <c r="J28" s="21"/>
      <c r="K28" s="21"/>
      <c r="L28" s="21"/>
      <c r="M28" s="21"/>
      <c r="N28" s="21"/>
      <c r="O28" s="21"/>
      <c r="P28" s="21"/>
      <c r="Q28" s="21"/>
      <c r="R28" s="21"/>
      <c r="S28" s="21"/>
      <c r="T28" s="21"/>
      <c r="U28" s="21"/>
      <c r="V28" s="6">
        <f t="shared" si="0"/>
        <v>45901</v>
      </c>
      <c r="W28"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45902</v>
      </c>
      <c r="X28" s="21">
        <v>2025</v>
      </c>
      <c r="Y28" s="21">
        <v>9</v>
      </c>
      <c r="Z28" s="21" t="s">
        <v>53</v>
      </c>
      <c r="AA28" s="23" t="str">
        <f xml:space="preserve">
IFERROR(
VLOOKUP(
Table_VayNo_LichTra[[#This Row],[Khoản vay]],
Table_VayNo[],
COUNTA(Table_VayNo[[#Headers],[Mã khoản vay]:[Tần suất trả nợ]]),
0),
0)</f>
        <v>Theo tháng</v>
      </c>
      <c r="AB28" s="37">
        <f xml:space="preserve">
IFERROR(
VLOOKUP(
Table_VayNo_LichTra[[#This Row],[Khoản vay]],
Table_VayNo[],
COUNTA(Table_VayNo[[#Headers],[Mã khoản vay]:[Ngày vay]]),
0),
0)</f>
        <v>45718</v>
      </c>
      <c r="AC28" s="37">
        <f xml:space="preserve">
IFERROR(
VLOOKUP(
Table_VayNo_LichTra[[#This Row],[Khoản vay]],
Table_VayNo[],
COUNTA(Table_VayNo[[#Headers],[Mã khoản vay]:[Bắt đầu trả gốc]]),
0),
0)</f>
        <v>45749</v>
      </c>
      <c r="AD28" s="37">
        <f xml:space="preserve">
IFERROR(
VLOOKUP(
Table_VayNo_LichTra[[#This Row],[Khoản vay]],
Table_VayNo[],
COUNTA(Table_VayNo[[#Headers],[Mã khoản vay]:[Kết thúc trả gốc]]),
0),
0)</f>
        <v>45901</v>
      </c>
      <c r="AE28" s="34">
        <f xml:space="preserve">
IFERROR(
VLOOKUP(
Table_VayNo_LichTra[[#This Row],[Khoản vay]], Table_VayNo[],COUNTA(Table_VayNo[[#Headers],[Mã khoản vay]:[Lãi suất (năm)]]),0),
0)</f>
        <v>7.0000000000000007E-2</v>
      </c>
      <c r="AF28"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AG28"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8"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AI28" s="41">
        <f>Table_VayNo_LichTra[[#This Row],[Lãi vay]]+Table_VayNo_LichTra[[#This Row],[Trả gốc trong kỳ]]</f>
        <v>33527777.777777776</v>
      </c>
    </row>
    <row r="29" spans="1:35" ht="16.5" x14ac:dyDescent="0.3">
      <c r="A29" s="21"/>
      <c r="B29" s="44">
        <v>45749</v>
      </c>
      <c r="C29" s="38"/>
      <c r="D29" s="38"/>
      <c r="E29" s="38"/>
      <c r="F29" s="21"/>
      <c r="G29" s="38"/>
      <c r="H29" s="38"/>
      <c r="I29" s="21"/>
      <c r="J29" s="21"/>
      <c r="K29" s="21"/>
      <c r="L29" s="21"/>
      <c r="M29" s="21"/>
      <c r="N29" s="21"/>
      <c r="O29" s="21"/>
      <c r="P29" s="21"/>
      <c r="Q29" s="21"/>
      <c r="R29" s="21"/>
      <c r="S29" s="21"/>
      <c r="T29" s="21"/>
      <c r="U29" s="21"/>
      <c r="V29" s="6">
        <f t="shared" si="0"/>
        <v>45870</v>
      </c>
      <c r="W29"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45871</v>
      </c>
      <c r="X29" s="21">
        <v>2025</v>
      </c>
      <c r="Y29" s="21">
        <v>8</v>
      </c>
      <c r="Z29" s="21" t="s">
        <v>53</v>
      </c>
      <c r="AA29" s="23" t="str">
        <f xml:space="preserve">
IFERROR(
VLOOKUP(
Table_VayNo_LichTra[[#This Row],[Khoản vay]],
Table_VayNo[],
COUNTA(Table_VayNo[[#Headers],[Mã khoản vay]:[Tần suất trả nợ]]),
0),
0)</f>
        <v>Theo tháng</v>
      </c>
      <c r="AB29" s="37">
        <f xml:space="preserve">
IFERROR(
VLOOKUP(
Table_VayNo_LichTra[[#This Row],[Khoản vay]],
Table_VayNo[],
COUNTA(Table_VayNo[[#Headers],[Mã khoản vay]:[Ngày vay]]),
0),
0)</f>
        <v>45718</v>
      </c>
      <c r="AC29" s="37">
        <f xml:space="preserve">
IFERROR(
VLOOKUP(
Table_VayNo_LichTra[[#This Row],[Khoản vay]],
Table_VayNo[],
COUNTA(Table_VayNo[[#Headers],[Mã khoản vay]:[Bắt đầu trả gốc]]),
0),
0)</f>
        <v>45749</v>
      </c>
      <c r="AD29" s="37">
        <f xml:space="preserve">
IFERROR(
VLOOKUP(
Table_VayNo_LichTra[[#This Row],[Khoản vay]],
Table_VayNo[],
COUNTA(Table_VayNo[[#Headers],[Mã khoản vay]:[Kết thúc trả gốc]]),
0),
0)</f>
        <v>45901</v>
      </c>
      <c r="AE29" s="34">
        <f xml:space="preserve">
IFERROR(
VLOOKUP(
Table_VayNo_LichTra[[#This Row],[Khoản vay]], Table_VayNo[],COUNTA(Table_VayNo[[#Headers],[Mã khoản vay]:[Lãi suất (năm)]]),0),
0)</f>
        <v>7.0000000000000007E-2</v>
      </c>
      <c r="AF29"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AG29"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29"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AI29" s="41">
        <f>Table_VayNo_LichTra[[#This Row],[Lãi vay]]+Table_VayNo_LichTra[[#This Row],[Trả gốc trong kỳ]]</f>
        <v>33722222.222222224</v>
      </c>
    </row>
    <row r="30" spans="1:35" ht="16.5" x14ac:dyDescent="0.3">
      <c r="A30" s="21"/>
      <c r="B30" s="45" t="s">
        <v>53</v>
      </c>
      <c r="C30" s="38">
        <v>33333333.333333332</v>
      </c>
      <c r="D30" s="38">
        <v>1166666.6666666667</v>
      </c>
      <c r="E30" s="38">
        <v>34500000</v>
      </c>
      <c r="F30" s="21"/>
      <c r="G30" s="38"/>
      <c r="H30" s="38"/>
      <c r="I30" s="21"/>
      <c r="J30" s="21"/>
      <c r="K30" s="21"/>
      <c r="L30" s="21"/>
      <c r="M30" s="21"/>
      <c r="N30" s="21"/>
      <c r="O30" s="21"/>
      <c r="P30" s="21"/>
      <c r="Q30" s="21"/>
      <c r="R30" s="21"/>
      <c r="S30" s="21"/>
      <c r="T30" s="21"/>
      <c r="U30" s="21"/>
      <c r="V30" s="6">
        <f t="shared" si="0"/>
        <v>45839</v>
      </c>
      <c r="W30"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45840</v>
      </c>
      <c r="X30" s="21">
        <v>2025</v>
      </c>
      <c r="Y30" s="21">
        <v>7</v>
      </c>
      <c r="Z30" s="21" t="s">
        <v>53</v>
      </c>
      <c r="AA30" s="23" t="str">
        <f xml:space="preserve">
IFERROR(
VLOOKUP(
Table_VayNo_LichTra[[#This Row],[Khoản vay]],
Table_VayNo[],
COUNTA(Table_VayNo[[#Headers],[Mã khoản vay]:[Tần suất trả nợ]]),
0),
0)</f>
        <v>Theo tháng</v>
      </c>
      <c r="AB30" s="37">
        <f xml:space="preserve">
IFERROR(
VLOOKUP(
Table_VayNo_LichTra[[#This Row],[Khoản vay]],
Table_VayNo[],
COUNTA(Table_VayNo[[#Headers],[Mã khoản vay]:[Ngày vay]]),
0),
0)</f>
        <v>45718</v>
      </c>
      <c r="AC30" s="37">
        <f xml:space="preserve">
IFERROR(
VLOOKUP(
Table_VayNo_LichTra[[#This Row],[Khoản vay]],
Table_VayNo[],
COUNTA(Table_VayNo[[#Headers],[Mã khoản vay]:[Bắt đầu trả gốc]]),
0),
0)</f>
        <v>45749</v>
      </c>
      <c r="AD30" s="37">
        <f xml:space="preserve">
IFERROR(
VLOOKUP(
Table_VayNo_LichTra[[#This Row],[Khoản vay]],
Table_VayNo[],
COUNTA(Table_VayNo[[#Headers],[Mã khoản vay]:[Kết thúc trả gốc]]),
0),
0)</f>
        <v>45901</v>
      </c>
      <c r="AE30" s="34">
        <f xml:space="preserve">
IFERROR(
VLOOKUP(
Table_VayNo_LichTra[[#This Row],[Khoản vay]], Table_VayNo[],COUNTA(Table_VayNo[[#Headers],[Mã khoản vay]:[Lãi suất (năm)]]),0),
0)</f>
        <v>7.0000000000000007E-2</v>
      </c>
      <c r="AF30"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AG30"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0"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AI30" s="41">
        <f>Table_VayNo_LichTra[[#This Row],[Lãi vay]]+Table_VayNo_LichTra[[#This Row],[Trả gốc trong kỳ]]</f>
        <v>33916666.666666664</v>
      </c>
    </row>
    <row r="31" spans="1:35" ht="16.5" x14ac:dyDescent="0.3">
      <c r="A31" s="21"/>
      <c r="B31" s="43" t="s">
        <v>73</v>
      </c>
      <c r="C31" s="38">
        <v>33333333.333333332</v>
      </c>
      <c r="D31" s="38">
        <v>972222.22222222236</v>
      </c>
      <c r="E31" s="38">
        <v>34305555.555555552</v>
      </c>
      <c r="F31" s="21"/>
      <c r="G31" s="38"/>
      <c r="H31" s="38"/>
      <c r="I31" s="21"/>
      <c r="J31" s="21"/>
      <c r="K31" s="21"/>
      <c r="L31" s="21"/>
      <c r="M31" s="21"/>
      <c r="N31" s="21"/>
      <c r="O31" s="21"/>
      <c r="P31" s="21"/>
      <c r="Q31" s="21"/>
      <c r="R31" s="21"/>
      <c r="S31" s="21"/>
      <c r="T31" s="21"/>
      <c r="U31" s="21"/>
      <c r="V31" s="6">
        <f t="shared" si="0"/>
        <v>45809</v>
      </c>
      <c r="W31"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45810</v>
      </c>
      <c r="X31" s="21">
        <v>2025</v>
      </c>
      <c r="Y31" s="21">
        <v>6</v>
      </c>
      <c r="Z31" s="21" t="s">
        <v>53</v>
      </c>
      <c r="AA31" s="23" t="str">
        <f xml:space="preserve">
IFERROR(
VLOOKUP(
Table_VayNo_LichTra[[#This Row],[Khoản vay]],
Table_VayNo[],
COUNTA(Table_VayNo[[#Headers],[Mã khoản vay]:[Tần suất trả nợ]]),
0),
0)</f>
        <v>Theo tháng</v>
      </c>
      <c r="AB31" s="37">
        <f xml:space="preserve">
IFERROR(
VLOOKUP(
Table_VayNo_LichTra[[#This Row],[Khoản vay]],
Table_VayNo[],
COUNTA(Table_VayNo[[#Headers],[Mã khoản vay]:[Ngày vay]]),
0),
0)</f>
        <v>45718</v>
      </c>
      <c r="AC31" s="37">
        <f xml:space="preserve">
IFERROR(
VLOOKUP(
Table_VayNo_LichTra[[#This Row],[Khoản vay]],
Table_VayNo[],
COUNTA(Table_VayNo[[#Headers],[Mã khoản vay]:[Bắt đầu trả gốc]]),
0),
0)</f>
        <v>45749</v>
      </c>
      <c r="AD31" s="37">
        <f xml:space="preserve">
IFERROR(
VLOOKUP(
Table_VayNo_LichTra[[#This Row],[Khoản vay]],
Table_VayNo[],
COUNTA(Table_VayNo[[#Headers],[Mã khoản vay]:[Kết thúc trả gốc]]),
0),
0)</f>
        <v>45901</v>
      </c>
      <c r="AE31" s="34">
        <f xml:space="preserve">
IFERROR(
VLOOKUP(
Table_VayNo_LichTra[[#This Row],[Khoản vay]], Table_VayNo[],COUNTA(Table_VayNo[[#Headers],[Mã khoản vay]:[Lãi suất (năm)]]),0),
0)</f>
        <v>7.0000000000000007E-2</v>
      </c>
      <c r="AF31"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AG31"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1"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AI31" s="41">
        <f>Table_VayNo_LichTra[[#This Row],[Lãi vay]]+Table_VayNo_LichTra[[#This Row],[Trả gốc trong kỳ]]</f>
        <v>34111111.111111112</v>
      </c>
    </row>
    <row r="32" spans="1:35" ht="16.5" x14ac:dyDescent="0.3">
      <c r="A32" s="21"/>
      <c r="B32" s="44">
        <v>45779</v>
      </c>
      <c r="C32" s="38"/>
      <c r="D32" s="38"/>
      <c r="E32" s="38"/>
      <c r="F32" s="21"/>
      <c r="G32" s="38"/>
      <c r="H32" s="38"/>
      <c r="I32" s="21"/>
      <c r="J32" s="21"/>
      <c r="K32" s="21"/>
      <c r="L32" s="21"/>
      <c r="M32" s="21"/>
      <c r="N32" s="21"/>
      <c r="O32" s="21"/>
      <c r="P32" s="21"/>
      <c r="Q32" s="21"/>
      <c r="R32" s="21"/>
      <c r="S32" s="21"/>
      <c r="T32" s="21"/>
      <c r="U32" s="21"/>
      <c r="V32" s="6">
        <f t="shared" si="0"/>
        <v>45778</v>
      </c>
      <c r="W32"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45779</v>
      </c>
      <c r="X32" s="21">
        <v>2025</v>
      </c>
      <c r="Y32" s="21">
        <v>5</v>
      </c>
      <c r="Z32" s="21" t="s">
        <v>53</v>
      </c>
      <c r="AA32" s="23" t="str">
        <f xml:space="preserve">
IFERROR(
VLOOKUP(
Table_VayNo_LichTra[[#This Row],[Khoản vay]],
Table_VayNo[],
COUNTA(Table_VayNo[[#Headers],[Mã khoản vay]:[Tần suất trả nợ]]),
0),
0)</f>
        <v>Theo tháng</v>
      </c>
      <c r="AB32" s="37">
        <f xml:space="preserve">
IFERROR(
VLOOKUP(
Table_VayNo_LichTra[[#This Row],[Khoản vay]],
Table_VayNo[],
COUNTA(Table_VayNo[[#Headers],[Mã khoản vay]:[Ngày vay]]),
0),
0)</f>
        <v>45718</v>
      </c>
      <c r="AC32" s="37">
        <f xml:space="preserve">
IFERROR(
VLOOKUP(
Table_VayNo_LichTra[[#This Row],[Khoản vay]],
Table_VayNo[],
COUNTA(Table_VayNo[[#Headers],[Mã khoản vay]:[Bắt đầu trả gốc]]),
0),
0)</f>
        <v>45749</v>
      </c>
      <c r="AD32" s="37">
        <f xml:space="preserve">
IFERROR(
VLOOKUP(
Table_VayNo_LichTra[[#This Row],[Khoản vay]],
Table_VayNo[],
COUNTA(Table_VayNo[[#Headers],[Mã khoản vay]:[Kết thúc trả gốc]]),
0),
0)</f>
        <v>45901</v>
      </c>
      <c r="AE32" s="34">
        <f xml:space="preserve">
IFERROR(
VLOOKUP(
Table_VayNo_LichTra[[#This Row],[Khoản vay]], Table_VayNo[],COUNTA(Table_VayNo[[#Headers],[Mã khoản vay]:[Lãi suất (năm)]]),0),
0)</f>
        <v>7.0000000000000007E-2</v>
      </c>
      <c r="AF32"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AG32"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2"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AI32" s="41">
        <f>Table_VayNo_LichTra[[#This Row],[Lãi vay]]+Table_VayNo_LichTra[[#This Row],[Trả gốc trong kỳ]]</f>
        <v>34305555.555555552</v>
      </c>
    </row>
    <row r="33" spans="1:35" ht="16.5" x14ac:dyDescent="0.3">
      <c r="A33" s="21"/>
      <c r="B33" s="45" t="s">
        <v>53</v>
      </c>
      <c r="C33" s="38">
        <v>33333333.333333332</v>
      </c>
      <c r="D33" s="38">
        <v>972222.22222222236</v>
      </c>
      <c r="E33" s="38">
        <v>34305555.555555552</v>
      </c>
      <c r="F33" s="21"/>
      <c r="G33" s="38"/>
      <c r="H33" s="38"/>
      <c r="I33" s="21"/>
      <c r="J33" s="21"/>
      <c r="K33" s="21"/>
      <c r="L33" s="21"/>
      <c r="M33" s="21"/>
      <c r="N33" s="21"/>
      <c r="O33" s="21"/>
      <c r="P33" s="21"/>
      <c r="Q33" s="21"/>
      <c r="R33" s="21"/>
      <c r="S33" s="21"/>
      <c r="T33" s="21"/>
      <c r="U33" s="21"/>
      <c r="V33" s="6">
        <f t="shared" si="0"/>
        <v>45748</v>
      </c>
      <c r="W33"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45749</v>
      </c>
      <c r="X33" s="21">
        <v>2025</v>
      </c>
      <c r="Y33" s="21">
        <v>4</v>
      </c>
      <c r="Z33" s="21" t="s">
        <v>53</v>
      </c>
      <c r="AA33" s="23" t="str">
        <f xml:space="preserve">
IFERROR(
VLOOKUP(
Table_VayNo_LichTra[[#This Row],[Khoản vay]],
Table_VayNo[],
COUNTA(Table_VayNo[[#Headers],[Mã khoản vay]:[Tần suất trả nợ]]),
0),
0)</f>
        <v>Theo tháng</v>
      </c>
      <c r="AB33" s="37">
        <f xml:space="preserve">
IFERROR(
VLOOKUP(
Table_VayNo_LichTra[[#This Row],[Khoản vay]],
Table_VayNo[],
COUNTA(Table_VayNo[[#Headers],[Mã khoản vay]:[Ngày vay]]),
0),
0)</f>
        <v>45718</v>
      </c>
      <c r="AC33" s="37">
        <f xml:space="preserve">
IFERROR(
VLOOKUP(
Table_VayNo_LichTra[[#This Row],[Khoản vay]],
Table_VayNo[],
COUNTA(Table_VayNo[[#Headers],[Mã khoản vay]:[Bắt đầu trả gốc]]),
0),
0)</f>
        <v>45749</v>
      </c>
      <c r="AD33" s="37">
        <f xml:space="preserve">
IFERROR(
VLOOKUP(
Table_VayNo_LichTra[[#This Row],[Khoản vay]],
Table_VayNo[],
COUNTA(Table_VayNo[[#Headers],[Mã khoản vay]:[Kết thúc trả gốc]]),
0),
0)</f>
        <v>45901</v>
      </c>
      <c r="AE33" s="34">
        <f xml:space="preserve">
IFERROR(
VLOOKUP(
Table_VayNo_LichTra[[#This Row],[Khoản vay]], Table_VayNo[],COUNTA(Table_VayNo[[#Headers],[Mã khoản vay]:[Lãi suất (năm)]]),0),
0)</f>
        <v>7.0000000000000007E-2</v>
      </c>
      <c r="AF33"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AG33"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AH33"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AI33" s="41">
        <f>Table_VayNo_LichTra[[#This Row],[Lãi vay]]+Table_VayNo_LichTra[[#This Row],[Trả gốc trong kỳ]]</f>
        <v>34500000</v>
      </c>
    </row>
    <row r="34" spans="1:35" ht="16.5" x14ac:dyDescent="0.3">
      <c r="A34" s="21"/>
      <c r="B34" s="43" t="s">
        <v>74</v>
      </c>
      <c r="C34" s="38">
        <v>33333333.333333332</v>
      </c>
      <c r="D34" s="38">
        <v>777777.77777777798</v>
      </c>
      <c r="E34" s="38">
        <v>34111111.111111112</v>
      </c>
      <c r="F34" s="21"/>
      <c r="G34" s="38"/>
      <c r="H34" s="38"/>
      <c r="I34" s="21"/>
      <c r="J34" s="21"/>
      <c r="K34" s="21"/>
      <c r="L34" s="21"/>
      <c r="M34" s="21"/>
      <c r="N34" s="21"/>
      <c r="O34" s="21"/>
      <c r="P34" s="21"/>
      <c r="Q34" s="21"/>
      <c r="R34" s="21"/>
      <c r="S34" s="21"/>
      <c r="T34" s="21"/>
      <c r="U34" s="21"/>
      <c r="V34" s="6">
        <f t="shared" si="0"/>
        <v>46722</v>
      </c>
      <c r="W34"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46442</v>
      </c>
      <c r="X34" s="21">
        <v>2027</v>
      </c>
      <c r="Y34" s="21"/>
      <c r="Z34" s="21" t="s">
        <v>50</v>
      </c>
      <c r="AA34" s="23" t="str">
        <f xml:space="preserve">
IFERROR(
VLOOKUP(
Table_VayNo_LichTra[[#This Row],[Khoản vay]],
Table_VayNo[],
COUNTA(Table_VayNo[[#Headers],[Mã khoản vay]:[Tần suất trả nợ]]),
0),
0)</f>
        <v>Theo năm</v>
      </c>
      <c r="AB34" s="37">
        <f xml:space="preserve">
IFERROR(
VLOOKUP(
Table_VayNo_LichTra[[#This Row],[Khoản vay]],
Table_VayNo[],
COUNTA(Table_VayNo[[#Headers],[Mã khoản vay]:[Ngày vay]]),
0),
0)</f>
        <v>45346</v>
      </c>
      <c r="AC34" s="37">
        <f xml:space="preserve">
IFERROR(
VLOOKUP(
Table_VayNo_LichTra[[#This Row],[Khoản vay]],
Table_VayNo[],
COUNTA(Table_VayNo[[#Headers],[Mã khoản vay]:[Bắt đầu trả gốc]]),
0),
0)</f>
        <v>45712</v>
      </c>
      <c r="AD34" s="37">
        <f xml:space="preserve">
IFERROR(
VLOOKUP(
Table_VayNo_LichTra[[#This Row],[Khoản vay]],
Table_VayNo[],
COUNTA(Table_VayNo[[#Headers],[Mã khoản vay]:[Kết thúc trả gốc]]),
0),
0)</f>
        <v>46443</v>
      </c>
      <c r="AE34" s="34">
        <f xml:space="preserve">
IFERROR(
VLOOKUP(
Table_VayNo_LichTra[[#This Row],[Khoản vay]], Table_VayNo[],COUNTA(Table_VayNo[[#Headers],[Mã khoản vay]:[Lãi suất (năm)]]),0),
0)</f>
        <v>0.1</v>
      </c>
      <c r="AF34"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AG34"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AH34"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AI34" s="41">
        <f>Table_VayNo_LichTra[[#This Row],[Lãi vay]]+Table_VayNo_LichTra[[#This Row],[Trả gốc trong kỳ]]</f>
        <v>1694444444.4444442</v>
      </c>
    </row>
    <row r="35" spans="1:35" ht="16.5" x14ac:dyDescent="0.3">
      <c r="A35" s="21"/>
      <c r="B35" s="44">
        <v>45810</v>
      </c>
      <c r="C35" s="38"/>
      <c r="D35" s="38"/>
      <c r="E35" s="38"/>
      <c r="F35" s="21"/>
      <c r="G35" s="38"/>
      <c r="H35" s="38"/>
      <c r="I35" s="21"/>
      <c r="J35" s="21"/>
      <c r="K35" s="21"/>
      <c r="L35" s="21"/>
      <c r="M35" s="21"/>
      <c r="N35" s="21"/>
      <c r="O35" s="21"/>
      <c r="P35" s="21"/>
      <c r="Q35" s="21"/>
      <c r="R35" s="21"/>
      <c r="S35" s="21"/>
      <c r="T35" s="21"/>
      <c r="U35" s="21"/>
      <c r="V35" s="6">
        <f t="shared" si="0"/>
        <v>46357</v>
      </c>
      <c r="W35"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46077</v>
      </c>
      <c r="X35" s="21">
        <v>2026</v>
      </c>
      <c r="Y35" s="21"/>
      <c r="Z35" s="21" t="s">
        <v>50</v>
      </c>
      <c r="AA35" s="23" t="str">
        <f xml:space="preserve">
IFERROR(
VLOOKUP(
Table_VayNo_LichTra[[#This Row],[Khoản vay]],
Table_VayNo[],
COUNTA(Table_VayNo[[#Headers],[Mã khoản vay]:[Tần suất trả nợ]]),
0),
0)</f>
        <v>Theo năm</v>
      </c>
      <c r="AB35" s="37">
        <f xml:space="preserve">
IFERROR(
VLOOKUP(
Table_VayNo_LichTra[[#This Row],[Khoản vay]],
Table_VayNo[],
COUNTA(Table_VayNo[[#Headers],[Mã khoản vay]:[Ngày vay]]),
0),
0)</f>
        <v>45346</v>
      </c>
      <c r="AC35" s="37">
        <f xml:space="preserve">
IFERROR(
VLOOKUP(
Table_VayNo_LichTra[[#This Row],[Khoản vay]],
Table_VayNo[],
COUNTA(Table_VayNo[[#Headers],[Mã khoản vay]:[Bắt đầu trả gốc]]),
0),
0)</f>
        <v>45712</v>
      </c>
      <c r="AD35" s="37">
        <f xml:space="preserve">
IFERROR(
VLOOKUP(
Table_VayNo_LichTra[[#This Row],[Khoản vay]],
Table_VayNo[],
COUNTA(Table_VayNo[[#Headers],[Mã khoản vay]:[Kết thúc trả gốc]]),
0),
0)</f>
        <v>46443</v>
      </c>
      <c r="AE35" s="34">
        <f xml:space="preserve">
IFERROR(
VLOOKUP(
Table_VayNo_LichTra[[#This Row],[Khoản vay]], Table_VayNo[],COUNTA(Table_VayNo[[#Headers],[Mã khoản vay]:[Lãi suất (năm)]]),0),
0)</f>
        <v>0.1</v>
      </c>
      <c r="AF35"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AG35"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5"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AI35" s="41">
        <f>Table_VayNo_LichTra[[#This Row],[Lãi vay]]+Table_VayNo_LichTra[[#This Row],[Trả gốc trong kỳ]]</f>
        <v>2000000000</v>
      </c>
    </row>
    <row r="36" spans="1:35" ht="16.5" x14ac:dyDescent="0.3">
      <c r="A36" s="21"/>
      <c r="B36" s="45" t="s">
        <v>53</v>
      </c>
      <c r="C36" s="38">
        <v>33333333.333333332</v>
      </c>
      <c r="D36" s="38">
        <v>777777.77777777798</v>
      </c>
      <c r="E36" s="38">
        <v>34111111.111111112</v>
      </c>
      <c r="F36" s="21"/>
      <c r="G36" s="38"/>
      <c r="H36" s="38"/>
      <c r="I36" s="21"/>
      <c r="J36" s="21"/>
      <c r="K36" s="21"/>
      <c r="L36" s="21"/>
      <c r="M36" s="21"/>
      <c r="N36" s="21"/>
      <c r="O36" s="21"/>
      <c r="P36" s="21"/>
      <c r="Q36" s="21"/>
      <c r="R36" s="21"/>
      <c r="S36" s="21"/>
      <c r="T36" s="21"/>
      <c r="U36" s="21"/>
      <c r="V36" s="6">
        <f t="shared" si="0"/>
        <v>45992</v>
      </c>
      <c r="W36" s="33">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vay]:[Ngày vay]]),
0)),
DAY(
VLOOKUP(
Table_VayNo_LichTra[[#This Row],[Khoản vay]],
Table_VayNo[],
COUNTA(Table_VayNo[[#Headers],[Mã khoản vay]:[Ngày vay]]),
0))),
IFERROR(
DATE(Table_VayNo_LichTra[[#This Row],[Năm]],Table_VayNo_LichTra[[#This Row],[Tháng]],
DAY(
VLOOKUP(
Table_VayNo_LichTra[[#This Row],[Khoản vay]],
Table_VayNo[],
COUNTA(Table_VayNo[[#Headers],[Mã khoản vay]:[Ngày vay]]),
0))),
DATE(Table_VayNo_LichTra[[#This Row],[Năm]],Table_VayNo_LichTra[[#This Row],[Tháng]]+1,1)-1
)))</f>
        <v>45712</v>
      </c>
      <c r="X36" s="21">
        <v>2025</v>
      </c>
      <c r="Y36" s="21"/>
      <c r="Z36" s="21" t="s">
        <v>50</v>
      </c>
      <c r="AA36" s="23" t="str">
        <f xml:space="preserve">
IFERROR(
VLOOKUP(
Table_VayNo_LichTra[[#This Row],[Khoản vay]],
Table_VayNo[],
COUNTA(Table_VayNo[[#Headers],[Mã khoản vay]:[Tần suất trả nợ]]),
0),
0)</f>
        <v>Theo năm</v>
      </c>
      <c r="AB36" s="37">
        <f xml:space="preserve">
IFERROR(
VLOOKUP(
Table_VayNo_LichTra[[#This Row],[Khoản vay]],
Table_VayNo[],
COUNTA(Table_VayNo[[#Headers],[Mã khoản vay]:[Ngày vay]]),
0),
0)</f>
        <v>45346</v>
      </c>
      <c r="AC36" s="37">
        <f xml:space="preserve">
IFERROR(
VLOOKUP(
Table_VayNo_LichTra[[#This Row],[Khoản vay]],
Table_VayNo[],
COUNTA(Table_VayNo[[#Headers],[Mã khoản vay]:[Bắt đầu trả gốc]]),
0),
0)</f>
        <v>45712</v>
      </c>
      <c r="AD36" s="37">
        <f xml:space="preserve">
IFERROR(
VLOOKUP(
Table_VayNo_LichTra[[#This Row],[Khoản vay]],
Table_VayNo[],
COUNTA(Table_VayNo[[#Headers],[Mã khoản vay]:[Kết thúc trả gốc]]),
0),
0)</f>
        <v>46443</v>
      </c>
      <c r="AE36" s="34">
        <f xml:space="preserve">
IFERROR(
VLOOKUP(
Table_VayNo_LichTra[[#This Row],[Khoản vay]], Table_VayNo[],COUNTA(Table_VayNo[[#Headers],[Mã khoản vay]:[Lãi suất (năm)]]),0),
0)</f>
        <v>0.1</v>
      </c>
      <c r="AF36" s="41">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AG36" s="41">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AH36" s="41">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AI36" s="41">
        <f>Table_VayNo_LichTra[[#This Row],[Lãi vay]]+Table_VayNo_LichTra[[#This Row],[Trả gốc trong kỳ]]</f>
        <v>2166666666.666667</v>
      </c>
    </row>
    <row r="37" spans="1:35" ht="16.5" x14ac:dyDescent="0.3">
      <c r="A37" s="21"/>
      <c r="B37" s="43" t="s">
        <v>75</v>
      </c>
      <c r="C37" s="38">
        <v>33333333.333333332</v>
      </c>
      <c r="D37" s="38">
        <v>583333.33333333337</v>
      </c>
      <c r="E37" s="38">
        <v>33916666.666666664</v>
      </c>
      <c r="F37" s="21"/>
      <c r="G37" s="38"/>
      <c r="H37" s="38"/>
      <c r="I37" s="21"/>
      <c r="J37" s="21"/>
      <c r="K37" s="21"/>
      <c r="L37" s="21"/>
      <c r="M37" s="21"/>
      <c r="N37" s="21"/>
      <c r="O37" s="21"/>
      <c r="P37" s="21"/>
      <c r="Q37" s="21"/>
      <c r="R37" s="21"/>
      <c r="S37" s="21"/>
      <c r="T37" s="21"/>
      <c r="U37" s="21"/>
      <c r="V37" s="22"/>
      <c r="W37" s="21"/>
      <c r="X37" s="22"/>
      <c r="Y37" s="22"/>
      <c r="Z37" s="22"/>
      <c r="AA37" s="22"/>
      <c r="AB37" s="22"/>
      <c r="AC37" s="22"/>
      <c r="AD37" s="22"/>
      <c r="AE37" s="22"/>
      <c r="AF37" s="22"/>
      <c r="AG37" s="22"/>
      <c r="AH37" s="22"/>
      <c r="AI37" s="22"/>
    </row>
    <row r="38" spans="1:35" ht="16.5" x14ac:dyDescent="0.3">
      <c r="A38" s="21"/>
      <c r="B38" s="44">
        <v>45840</v>
      </c>
      <c r="C38" s="38"/>
      <c r="D38" s="38"/>
      <c r="E38" s="38"/>
      <c r="F38" s="21"/>
      <c r="G38" s="38"/>
      <c r="H38" s="38"/>
      <c r="I38" s="21"/>
      <c r="J38" s="21"/>
      <c r="K38" s="21"/>
      <c r="L38" s="21"/>
      <c r="M38" s="21"/>
      <c r="N38" s="21"/>
      <c r="O38" s="21"/>
      <c r="P38" s="21"/>
      <c r="Q38" s="21"/>
      <c r="R38" s="21"/>
      <c r="S38" s="21"/>
      <c r="T38" s="21"/>
      <c r="U38" s="21"/>
      <c r="V38" s="22"/>
      <c r="W38" s="21"/>
      <c r="X38" s="22"/>
      <c r="Y38" s="22"/>
      <c r="Z38" s="22"/>
      <c r="AA38" s="22"/>
      <c r="AB38" s="22"/>
      <c r="AC38" s="22"/>
      <c r="AD38" s="22"/>
      <c r="AE38" s="22"/>
      <c r="AF38" s="22"/>
      <c r="AG38" s="22"/>
      <c r="AH38" s="22"/>
      <c r="AI38" s="22"/>
    </row>
    <row r="39" spans="1:35" ht="16.5" x14ac:dyDescent="0.3">
      <c r="A39" s="21"/>
      <c r="B39" s="45" t="s">
        <v>53</v>
      </c>
      <c r="C39" s="38">
        <v>33333333.333333332</v>
      </c>
      <c r="D39" s="38">
        <v>583333.33333333337</v>
      </c>
      <c r="E39" s="38">
        <v>33916666.666666664</v>
      </c>
      <c r="F39" s="21"/>
      <c r="G39" s="38"/>
      <c r="H39" s="38"/>
      <c r="I39" s="21"/>
      <c r="J39" s="21"/>
      <c r="K39" s="21"/>
      <c r="L39" s="21"/>
      <c r="M39" s="21"/>
      <c r="N39" s="21"/>
      <c r="O39" s="21"/>
      <c r="P39" s="21"/>
      <c r="Q39" s="21"/>
      <c r="R39" s="21"/>
      <c r="S39" s="21"/>
      <c r="T39" s="21"/>
      <c r="U39" s="21"/>
      <c r="V39" s="22"/>
      <c r="W39" s="21"/>
      <c r="X39" s="22"/>
      <c r="Y39" s="22"/>
      <c r="Z39" s="22"/>
      <c r="AA39" s="22"/>
      <c r="AB39" s="22"/>
      <c r="AC39" s="22"/>
      <c r="AD39" s="22"/>
      <c r="AE39" s="22"/>
      <c r="AF39" s="22"/>
      <c r="AG39" s="22"/>
      <c r="AH39" s="22"/>
      <c r="AI39" s="22"/>
    </row>
    <row r="40" spans="1:35" ht="16.5" x14ac:dyDescent="0.3">
      <c r="A40" s="21"/>
      <c r="B40" s="43" t="s">
        <v>76</v>
      </c>
      <c r="C40" s="38">
        <v>33333333.333333332</v>
      </c>
      <c r="D40" s="38">
        <v>888888.88888888899</v>
      </c>
      <c r="E40" s="38">
        <v>34222222.222222224</v>
      </c>
      <c r="F40" s="21"/>
      <c r="G40" s="38"/>
      <c r="H40" s="38"/>
      <c r="I40" s="21"/>
      <c r="J40" s="21"/>
      <c r="K40" s="21"/>
      <c r="L40" s="21"/>
      <c r="M40" s="21"/>
      <c r="N40" s="21"/>
      <c r="O40" s="21"/>
      <c r="P40" s="21"/>
      <c r="Q40" s="21"/>
      <c r="R40" s="21"/>
      <c r="S40" s="21"/>
      <c r="T40" s="21"/>
      <c r="U40" s="21"/>
      <c r="V40" s="22"/>
      <c r="W40" s="21"/>
      <c r="X40" s="22"/>
      <c r="Y40" s="22"/>
      <c r="Z40" s="22"/>
      <c r="AA40" s="22"/>
      <c r="AB40" s="22"/>
      <c r="AC40" s="22"/>
      <c r="AD40" s="22"/>
      <c r="AE40" s="22"/>
      <c r="AF40" s="22"/>
      <c r="AG40" s="22"/>
      <c r="AH40" s="22"/>
      <c r="AI40" s="22"/>
    </row>
    <row r="41" spans="1:35" ht="16.5" x14ac:dyDescent="0.3">
      <c r="A41" s="21"/>
      <c r="B41" s="44">
        <v>45871</v>
      </c>
      <c r="C41" s="38"/>
      <c r="D41" s="38"/>
      <c r="E41" s="38"/>
      <c r="F41" s="21"/>
      <c r="G41" s="21"/>
      <c r="H41" s="21"/>
      <c r="I41" s="21"/>
      <c r="J41" s="21"/>
      <c r="K41" s="21"/>
      <c r="L41" s="21"/>
      <c r="M41" s="21"/>
      <c r="N41" s="21"/>
      <c r="O41" s="21"/>
      <c r="P41" s="21"/>
      <c r="Q41" s="21"/>
      <c r="R41" s="21"/>
      <c r="S41" s="21"/>
      <c r="T41" s="21"/>
      <c r="U41" s="21"/>
      <c r="V41" s="22"/>
      <c r="W41" s="21"/>
      <c r="X41" s="22"/>
      <c r="Y41" s="22"/>
      <c r="Z41" s="22"/>
      <c r="AA41" s="22"/>
      <c r="AB41" s="22"/>
      <c r="AC41" s="22"/>
      <c r="AD41" s="22"/>
      <c r="AE41" s="22"/>
      <c r="AF41" s="22"/>
      <c r="AG41" s="22"/>
      <c r="AH41" s="22"/>
      <c r="AI41" s="22"/>
    </row>
    <row r="42" spans="1:35" ht="16.5" x14ac:dyDescent="0.3">
      <c r="A42" s="21"/>
      <c r="B42" s="45" t="s">
        <v>53</v>
      </c>
      <c r="C42" s="38">
        <v>33333333.333333332</v>
      </c>
      <c r="D42" s="38">
        <v>388888.88888888899</v>
      </c>
      <c r="E42" s="38">
        <v>33722222.222222224</v>
      </c>
      <c r="F42" s="21"/>
      <c r="G42" s="21"/>
      <c r="H42" s="21"/>
      <c r="I42" s="21"/>
      <c r="J42" s="21"/>
      <c r="K42" s="21"/>
      <c r="L42" s="21"/>
      <c r="M42" s="21"/>
      <c r="N42" s="21"/>
      <c r="O42" s="21"/>
      <c r="P42" s="21"/>
      <c r="Q42" s="21"/>
      <c r="R42" s="21"/>
      <c r="S42" s="21"/>
      <c r="T42" s="21"/>
      <c r="U42" s="21"/>
      <c r="V42" s="22"/>
      <c r="W42" s="21"/>
      <c r="X42" s="22"/>
      <c r="Y42" s="22"/>
      <c r="Z42" s="22"/>
      <c r="AA42" s="22"/>
      <c r="AB42" s="22"/>
      <c r="AC42" s="22"/>
      <c r="AD42" s="22"/>
      <c r="AE42" s="22"/>
      <c r="AF42" s="22"/>
      <c r="AG42" s="22"/>
      <c r="AH42" s="22"/>
      <c r="AI42" s="22"/>
    </row>
    <row r="43" spans="1:35" ht="16.5" x14ac:dyDescent="0.3">
      <c r="A43" s="21"/>
      <c r="B43" s="44">
        <v>45900</v>
      </c>
      <c r="C43" s="38"/>
      <c r="D43" s="38"/>
      <c r="E43" s="38"/>
      <c r="F43" s="21"/>
      <c r="G43" s="21"/>
      <c r="H43" s="21"/>
      <c r="I43" s="21"/>
      <c r="J43" s="21"/>
      <c r="K43" s="21"/>
      <c r="L43" s="21"/>
      <c r="M43" s="21"/>
      <c r="N43" s="21"/>
      <c r="O43" s="21"/>
      <c r="P43" s="21"/>
      <c r="Q43" s="21"/>
      <c r="R43" s="21"/>
      <c r="S43" s="21"/>
      <c r="T43" s="21"/>
      <c r="U43" s="21"/>
      <c r="V43" s="22"/>
      <c r="W43" s="21"/>
      <c r="X43" s="22"/>
      <c r="Y43" s="22"/>
      <c r="Z43" s="22"/>
      <c r="AA43" s="22"/>
      <c r="AB43" s="22"/>
      <c r="AC43" s="22"/>
      <c r="AD43" s="22"/>
      <c r="AE43" s="22"/>
      <c r="AF43" s="22"/>
      <c r="AG43" s="22"/>
      <c r="AH43" s="22"/>
      <c r="AI43" s="22"/>
    </row>
    <row r="44" spans="1:35" ht="16.5" x14ac:dyDescent="0.3">
      <c r="A44" s="21"/>
      <c r="B44" s="45" t="s">
        <v>61</v>
      </c>
      <c r="C44" s="38">
        <v>0</v>
      </c>
      <c r="D44" s="38">
        <v>500000</v>
      </c>
      <c r="E44" s="38">
        <v>500000</v>
      </c>
      <c r="F44" s="21"/>
      <c r="G44" s="21"/>
      <c r="H44" s="21"/>
      <c r="I44" s="21"/>
      <c r="J44" s="21"/>
      <c r="K44" s="21"/>
      <c r="L44" s="21"/>
      <c r="M44" s="21"/>
      <c r="N44" s="21"/>
      <c r="O44" s="21"/>
      <c r="P44" s="21"/>
      <c r="Q44" s="21"/>
      <c r="R44" s="21"/>
      <c r="S44" s="21"/>
      <c r="T44" s="21"/>
      <c r="U44" s="21"/>
      <c r="V44" s="22"/>
      <c r="W44" s="21"/>
      <c r="X44" s="22"/>
      <c r="Y44" s="22"/>
      <c r="Z44" s="22"/>
      <c r="AA44" s="22"/>
      <c r="AB44" s="22"/>
      <c r="AC44" s="22"/>
      <c r="AD44" s="22"/>
      <c r="AE44" s="22"/>
      <c r="AF44" s="22"/>
      <c r="AG44" s="22"/>
      <c r="AH44" s="22"/>
      <c r="AI44" s="22"/>
    </row>
    <row r="45" spans="1:35" ht="16.5" x14ac:dyDescent="0.3">
      <c r="A45" s="21"/>
      <c r="B45" s="43" t="s">
        <v>77</v>
      </c>
      <c r="C45" s="38">
        <v>33333333.333333332</v>
      </c>
      <c r="D45" s="38">
        <v>194444.44444444453</v>
      </c>
      <c r="E45" s="38">
        <v>33527777.777777776</v>
      </c>
      <c r="F45" s="21"/>
      <c r="G45" s="21"/>
      <c r="H45" s="21"/>
      <c r="I45" s="21"/>
      <c r="J45" s="21"/>
      <c r="K45" s="21"/>
      <c r="L45" s="21"/>
      <c r="M45" s="21"/>
      <c r="N45" s="21"/>
      <c r="O45" s="21"/>
      <c r="P45" s="21"/>
      <c r="Q45" s="21"/>
      <c r="R45" s="21"/>
      <c r="S45" s="21"/>
      <c r="T45" s="21"/>
      <c r="U45" s="21"/>
      <c r="V45" s="22"/>
      <c r="W45" s="21"/>
      <c r="X45" s="22"/>
      <c r="Y45" s="22"/>
      <c r="Z45" s="22"/>
      <c r="AA45" s="22"/>
      <c r="AB45" s="22"/>
      <c r="AC45" s="22"/>
      <c r="AD45" s="22"/>
      <c r="AE45" s="22"/>
      <c r="AF45" s="22"/>
      <c r="AG45" s="22"/>
      <c r="AH45" s="22"/>
      <c r="AI45" s="21"/>
    </row>
    <row r="46" spans="1:35" ht="16.5" x14ac:dyDescent="0.3">
      <c r="A46" s="21"/>
      <c r="B46" s="44">
        <v>45902</v>
      </c>
      <c r="C46" s="38"/>
      <c r="D46" s="38"/>
      <c r="E46" s="38"/>
      <c r="F46" s="21"/>
      <c r="G46" s="21"/>
      <c r="H46" s="21"/>
      <c r="I46" s="21"/>
      <c r="J46" s="21"/>
      <c r="K46" s="21"/>
      <c r="L46" s="21"/>
      <c r="M46" s="21"/>
      <c r="N46" s="21"/>
      <c r="O46" s="21"/>
      <c r="P46" s="21"/>
      <c r="Q46" s="21"/>
      <c r="R46" s="21"/>
      <c r="S46" s="21"/>
      <c r="T46" s="21"/>
      <c r="U46" s="21"/>
      <c r="V46" s="22"/>
      <c r="W46" s="21"/>
      <c r="X46" s="22"/>
      <c r="Y46" s="22"/>
      <c r="Z46" s="22"/>
      <c r="AA46" s="22"/>
      <c r="AB46" s="22"/>
      <c r="AC46" s="22"/>
      <c r="AD46" s="22"/>
      <c r="AE46" s="22"/>
      <c r="AF46" s="22"/>
      <c r="AG46" s="22"/>
      <c r="AH46" s="22"/>
      <c r="AI46" s="22"/>
    </row>
    <row r="47" spans="1:35" ht="16.5" x14ac:dyDescent="0.3">
      <c r="A47" s="21"/>
      <c r="B47" s="45" t="s">
        <v>53</v>
      </c>
      <c r="C47" s="38">
        <v>33333333.333333332</v>
      </c>
      <c r="D47" s="38">
        <v>194444.44444444453</v>
      </c>
      <c r="E47" s="38">
        <v>33527777.777777776</v>
      </c>
      <c r="F47" s="21"/>
      <c r="G47" s="21"/>
      <c r="H47" s="21"/>
      <c r="I47" s="21"/>
      <c r="J47" s="21"/>
      <c r="K47" s="21"/>
      <c r="L47" s="21"/>
      <c r="M47" s="21"/>
      <c r="N47" s="21"/>
      <c r="O47" s="21"/>
      <c r="P47" s="21"/>
      <c r="Q47" s="21"/>
      <c r="R47" s="21"/>
      <c r="S47" s="21"/>
      <c r="T47" s="21"/>
      <c r="U47" s="21"/>
      <c r="V47" s="22"/>
      <c r="W47" s="21"/>
      <c r="X47" s="22"/>
      <c r="Y47" s="22"/>
      <c r="Z47" s="22"/>
      <c r="AA47" s="22"/>
      <c r="AB47" s="22"/>
      <c r="AC47" s="22"/>
      <c r="AD47" s="22"/>
      <c r="AE47" s="22"/>
      <c r="AF47" s="22"/>
      <c r="AG47" s="22"/>
      <c r="AH47" s="22"/>
      <c r="AI47" s="22"/>
    </row>
    <row r="48" spans="1:35" ht="16.5" x14ac:dyDescent="0.3">
      <c r="A48" s="21"/>
      <c r="B48" s="43" t="s">
        <v>94</v>
      </c>
      <c r="C48" s="38">
        <v>100000000</v>
      </c>
      <c r="D48" s="38">
        <v>1000000</v>
      </c>
      <c r="E48" s="38">
        <v>101000000</v>
      </c>
      <c r="F48" s="21"/>
      <c r="G48" s="21"/>
      <c r="H48" s="21"/>
      <c r="I48" s="21"/>
      <c r="J48" s="21"/>
      <c r="K48" s="21"/>
      <c r="L48" s="21"/>
      <c r="M48" s="21"/>
      <c r="N48" s="21"/>
      <c r="O48" s="21"/>
      <c r="P48" s="21"/>
      <c r="Q48" s="21"/>
      <c r="R48" s="21"/>
      <c r="S48" s="21"/>
      <c r="T48" s="21"/>
      <c r="U48" s="21"/>
      <c r="V48" s="22"/>
      <c r="W48" s="21"/>
      <c r="X48" s="22"/>
      <c r="Y48" s="22"/>
      <c r="Z48" s="22"/>
      <c r="AA48" s="22"/>
      <c r="AB48" s="22"/>
      <c r="AC48" s="22"/>
      <c r="AD48" s="22"/>
      <c r="AE48" s="22"/>
      <c r="AF48" s="22"/>
      <c r="AG48" s="22"/>
      <c r="AH48" s="22"/>
      <c r="AI48" s="22"/>
    </row>
    <row r="49" spans="1:35" ht="16.5" x14ac:dyDescent="0.3">
      <c r="A49" s="21"/>
      <c r="B49" s="44">
        <v>45931</v>
      </c>
      <c r="C49" s="38"/>
      <c r="D49" s="38"/>
      <c r="E49" s="38"/>
      <c r="F49" s="21"/>
      <c r="G49" s="21"/>
      <c r="H49" s="21"/>
      <c r="I49" s="21"/>
      <c r="J49" s="21"/>
      <c r="K49" s="21"/>
      <c r="L49" s="21"/>
      <c r="M49" s="21"/>
      <c r="N49" s="21"/>
      <c r="O49" s="21"/>
      <c r="P49" s="21"/>
      <c r="Q49" s="21"/>
      <c r="R49" s="21"/>
      <c r="S49" s="21"/>
      <c r="T49" s="21"/>
      <c r="U49" s="21"/>
      <c r="V49" s="22"/>
      <c r="W49" s="21"/>
      <c r="X49" s="22"/>
      <c r="Y49" s="22"/>
      <c r="Z49" s="22"/>
      <c r="AA49" s="22"/>
      <c r="AB49" s="22"/>
      <c r="AC49" s="22"/>
      <c r="AD49" s="22"/>
      <c r="AE49" s="22"/>
      <c r="AF49" s="22"/>
      <c r="AG49" s="22"/>
      <c r="AH49" s="22"/>
      <c r="AI49" s="22"/>
    </row>
    <row r="50" spans="1:35" ht="16.5" x14ac:dyDescent="0.3">
      <c r="A50" s="21"/>
      <c r="B50" s="45" t="s">
        <v>61</v>
      </c>
      <c r="C50" s="38">
        <v>0</v>
      </c>
      <c r="D50" s="38">
        <v>500000</v>
      </c>
      <c r="E50" s="38">
        <v>500000</v>
      </c>
      <c r="F50" s="21"/>
      <c r="G50" s="21"/>
      <c r="H50" s="21"/>
      <c r="I50" s="21"/>
      <c r="J50" s="21"/>
      <c r="K50" s="21"/>
      <c r="L50" s="21"/>
      <c r="M50" s="21"/>
      <c r="N50" s="21"/>
      <c r="O50" s="21"/>
      <c r="P50" s="21"/>
      <c r="Q50" s="21"/>
      <c r="R50" s="21"/>
      <c r="S50" s="21"/>
      <c r="T50" s="21"/>
      <c r="U50" s="21"/>
      <c r="V50" s="22"/>
      <c r="W50" s="21"/>
      <c r="X50" s="22"/>
      <c r="Y50" s="22"/>
      <c r="Z50" s="22"/>
      <c r="AA50" s="22"/>
      <c r="AB50" s="22"/>
      <c r="AC50" s="22"/>
      <c r="AD50" s="22"/>
      <c r="AE50" s="22"/>
      <c r="AF50" s="22"/>
      <c r="AG50" s="22"/>
      <c r="AH50" s="22"/>
      <c r="AI50" s="22"/>
    </row>
    <row r="51" spans="1:35" ht="16.5" x14ac:dyDescent="0.3">
      <c r="A51" s="21"/>
      <c r="B51" s="44">
        <v>45961</v>
      </c>
      <c r="C51" s="38"/>
      <c r="D51" s="38"/>
      <c r="E51" s="38"/>
      <c r="F51" s="21"/>
      <c r="G51" s="21"/>
      <c r="H51" s="21"/>
      <c r="I51" s="21"/>
      <c r="J51" s="21"/>
      <c r="K51" s="21"/>
      <c r="L51" s="21"/>
      <c r="M51" s="21"/>
      <c r="N51" s="21"/>
      <c r="O51" s="21"/>
      <c r="P51" s="21"/>
      <c r="Q51" s="21"/>
      <c r="R51" s="21"/>
      <c r="S51" s="21"/>
      <c r="T51" s="21"/>
      <c r="U51" s="21"/>
      <c r="V51" s="22"/>
      <c r="W51" s="21"/>
      <c r="X51" s="22"/>
      <c r="Y51" s="22"/>
      <c r="Z51" s="22"/>
      <c r="AA51" s="22"/>
      <c r="AB51" s="22"/>
      <c r="AC51" s="22"/>
      <c r="AD51" s="22"/>
      <c r="AE51" s="22"/>
      <c r="AF51" s="22"/>
      <c r="AG51" s="22"/>
      <c r="AH51" s="22"/>
      <c r="AI51" s="22"/>
    </row>
    <row r="52" spans="1:35" ht="16.5" x14ac:dyDescent="0.3">
      <c r="A52" s="21"/>
      <c r="B52" s="45" t="s">
        <v>61</v>
      </c>
      <c r="C52" s="38">
        <v>100000000</v>
      </c>
      <c r="D52" s="38">
        <v>500000</v>
      </c>
      <c r="E52" s="38">
        <v>100500000</v>
      </c>
      <c r="F52" s="21"/>
      <c r="G52" s="21"/>
      <c r="H52" s="21"/>
      <c r="I52" s="21"/>
      <c r="J52" s="21"/>
      <c r="K52" s="21"/>
      <c r="L52" s="21"/>
      <c r="M52" s="21"/>
      <c r="N52" s="21"/>
      <c r="O52" s="21"/>
      <c r="P52" s="21"/>
      <c r="Q52" s="21"/>
      <c r="R52" s="21"/>
      <c r="S52" s="21"/>
      <c r="T52" s="21"/>
      <c r="U52" s="21"/>
      <c r="V52" s="22"/>
      <c r="W52" s="21"/>
      <c r="X52" s="22"/>
      <c r="Y52" s="22"/>
      <c r="Z52" s="22"/>
      <c r="AA52" s="22"/>
      <c r="AB52" s="22"/>
      <c r="AC52" s="22"/>
      <c r="AD52" s="22"/>
      <c r="AE52" s="22"/>
      <c r="AF52" s="22"/>
      <c r="AG52" s="22"/>
      <c r="AH52" s="22"/>
      <c r="AI52" s="22"/>
    </row>
    <row r="53" spans="1:35" ht="16.5" x14ac:dyDescent="0.3">
      <c r="A53" s="21"/>
      <c r="B53" s="29" t="s">
        <v>66</v>
      </c>
      <c r="C53" s="38">
        <v>2316666666.666667</v>
      </c>
      <c r="D53" s="38">
        <v>385333333.33333331</v>
      </c>
      <c r="E53" s="38">
        <v>2702000000</v>
      </c>
      <c r="F53" s="21"/>
      <c r="G53" s="21"/>
      <c r="H53" s="21"/>
      <c r="I53" s="21"/>
      <c r="J53" s="21"/>
      <c r="K53" s="21"/>
      <c r="L53" s="21"/>
      <c r="M53" s="21"/>
      <c r="N53" s="21"/>
      <c r="O53" s="21"/>
      <c r="P53" s="21"/>
      <c r="Q53" s="21"/>
      <c r="R53" s="21"/>
      <c r="S53" s="21"/>
      <c r="T53" s="38"/>
      <c r="U53" s="38"/>
      <c r="V53" s="38"/>
      <c r="W53" s="21"/>
      <c r="X53" s="22"/>
      <c r="Y53" s="22"/>
      <c r="Z53" s="22"/>
      <c r="AA53" s="22"/>
      <c r="AB53" s="22"/>
      <c r="AC53" s="22"/>
      <c r="AD53" s="22"/>
      <c r="AE53" s="22"/>
      <c r="AF53" s="22"/>
      <c r="AG53" s="22"/>
      <c r="AH53" s="22"/>
      <c r="AI53" s="22"/>
    </row>
    <row r="54" spans="1:35" ht="16.5" x14ac:dyDescent="0.3">
      <c r="A54" s="21"/>
      <c r="B54" s="43" t="s">
        <v>71</v>
      </c>
      <c r="C54" s="38">
        <v>1666666666.6666667</v>
      </c>
      <c r="D54" s="38">
        <v>333333333.33333331</v>
      </c>
      <c r="E54" s="38">
        <v>2000000000</v>
      </c>
      <c r="F54" s="21"/>
      <c r="G54" s="21"/>
      <c r="H54" s="21"/>
      <c r="I54" s="21"/>
      <c r="J54" s="21"/>
      <c r="K54" s="21"/>
      <c r="L54" s="21"/>
      <c r="M54" s="21"/>
      <c r="N54" s="21"/>
      <c r="O54" s="21"/>
      <c r="P54" s="21"/>
      <c r="Q54" s="21"/>
      <c r="R54" s="21"/>
      <c r="S54" s="21"/>
      <c r="T54" s="38"/>
      <c r="U54" s="38"/>
      <c r="V54" s="38"/>
      <c r="W54" s="21"/>
      <c r="X54" s="22"/>
      <c r="Y54" s="22"/>
      <c r="Z54" s="22"/>
      <c r="AA54" s="22"/>
      <c r="AB54" s="22"/>
      <c r="AC54" s="22"/>
      <c r="AD54" s="22"/>
      <c r="AE54" s="22"/>
      <c r="AF54" s="22"/>
      <c r="AG54" s="22"/>
      <c r="AH54" s="22"/>
      <c r="AI54" s="22"/>
    </row>
    <row r="55" spans="1:35" ht="16.5" x14ac:dyDescent="0.3">
      <c r="A55" s="21"/>
      <c r="B55" s="44">
        <v>46077</v>
      </c>
      <c r="C55" s="38"/>
      <c r="D55" s="38"/>
      <c r="E55" s="38"/>
      <c r="F55" s="21"/>
      <c r="G55" s="21"/>
      <c r="H55" s="21"/>
      <c r="I55" s="21"/>
      <c r="J55" s="21"/>
      <c r="K55" s="21"/>
      <c r="L55" s="21"/>
      <c r="M55" s="21"/>
      <c r="N55" s="21"/>
      <c r="O55" s="21"/>
      <c r="P55" s="21"/>
      <c r="Q55" s="21"/>
      <c r="R55" s="21"/>
      <c r="S55" s="21"/>
      <c r="T55" s="38"/>
      <c r="U55" s="38"/>
      <c r="V55" s="38"/>
      <c r="W55" s="21"/>
      <c r="X55" s="22"/>
      <c r="Y55" s="22"/>
      <c r="Z55" s="22"/>
      <c r="AA55" s="22"/>
      <c r="AB55" s="22"/>
      <c r="AC55" s="22"/>
      <c r="AD55" s="22"/>
      <c r="AE55" s="22"/>
      <c r="AF55" s="22"/>
      <c r="AG55" s="22"/>
      <c r="AH55" s="22"/>
      <c r="AI55" s="22"/>
    </row>
    <row r="56" spans="1:35" ht="16.5" x14ac:dyDescent="0.3">
      <c r="A56" s="21"/>
      <c r="B56" s="45" t="s">
        <v>50</v>
      </c>
      <c r="C56" s="38">
        <v>1666666666.6666667</v>
      </c>
      <c r="D56" s="38">
        <v>333333333.33333331</v>
      </c>
      <c r="E56" s="38">
        <v>2000000000</v>
      </c>
      <c r="F56" s="21"/>
      <c r="G56" s="21"/>
      <c r="H56" s="21"/>
      <c r="I56" s="21"/>
      <c r="J56" s="21"/>
      <c r="K56" s="21"/>
      <c r="L56" s="21"/>
      <c r="M56" s="21"/>
      <c r="N56" s="21"/>
      <c r="O56" s="21"/>
      <c r="P56" s="21"/>
      <c r="Q56" s="21"/>
      <c r="R56" s="21"/>
      <c r="S56" s="21"/>
      <c r="T56" s="38"/>
      <c r="U56" s="38"/>
      <c r="V56" s="38"/>
      <c r="W56" s="21"/>
      <c r="X56" s="22"/>
      <c r="Y56" s="22"/>
      <c r="Z56" s="22"/>
      <c r="AA56" s="22"/>
      <c r="AB56" s="22"/>
      <c r="AC56" s="22"/>
      <c r="AD56" s="22"/>
      <c r="AE56" s="22"/>
      <c r="AF56" s="22"/>
      <c r="AG56" s="22"/>
      <c r="AH56" s="22"/>
      <c r="AI56" s="22"/>
    </row>
    <row r="57" spans="1:35" ht="16.5" x14ac:dyDescent="0.3">
      <c r="A57" s="21"/>
      <c r="B57" s="43" t="s">
        <v>73</v>
      </c>
      <c r="C57" s="38">
        <v>650000000</v>
      </c>
      <c r="D57" s="38">
        <v>52000000</v>
      </c>
      <c r="E57" s="38">
        <v>702000000</v>
      </c>
      <c r="F57" s="21"/>
      <c r="G57" s="21"/>
      <c r="H57" s="21"/>
      <c r="I57" s="21"/>
      <c r="J57" s="21"/>
      <c r="K57" s="21"/>
      <c r="L57" s="21"/>
      <c r="M57" s="21"/>
      <c r="N57" s="21"/>
      <c r="O57" s="21"/>
      <c r="P57" s="21"/>
      <c r="Q57" s="21"/>
      <c r="R57" s="21"/>
      <c r="S57" s="21"/>
      <c r="T57" s="38"/>
      <c r="U57" s="38"/>
      <c r="V57" s="38"/>
      <c r="W57" s="21"/>
      <c r="X57" s="22"/>
      <c r="Y57" s="22"/>
      <c r="Z57" s="22"/>
      <c r="AA57" s="22"/>
      <c r="AB57" s="22"/>
      <c r="AC57" s="22"/>
      <c r="AD57" s="22"/>
      <c r="AE57" s="22"/>
      <c r="AF57" s="22"/>
      <c r="AG57" s="22"/>
      <c r="AH57" s="22"/>
      <c r="AI57" s="22"/>
    </row>
    <row r="58" spans="1:35" ht="16.5" x14ac:dyDescent="0.3">
      <c r="A58" s="21"/>
      <c r="B58" s="44">
        <v>46157</v>
      </c>
      <c r="C58" s="38"/>
      <c r="D58" s="38"/>
      <c r="E58" s="38"/>
      <c r="F58" s="21"/>
      <c r="G58" s="21"/>
      <c r="H58" s="21"/>
      <c r="I58" s="21"/>
      <c r="J58" s="21"/>
      <c r="K58" s="21"/>
      <c r="L58" s="21"/>
      <c r="M58" s="21"/>
      <c r="N58" s="21"/>
      <c r="O58" s="21"/>
      <c r="P58" s="21"/>
      <c r="Q58" s="21"/>
      <c r="R58" s="21"/>
      <c r="S58" s="21"/>
      <c r="T58" s="38"/>
      <c r="U58" s="38"/>
      <c r="V58" s="38"/>
      <c r="W58" s="21"/>
      <c r="X58" s="22"/>
      <c r="Y58" s="22"/>
      <c r="Z58" s="22"/>
      <c r="AA58" s="22"/>
      <c r="AB58" s="22"/>
      <c r="AC58" s="22"/>
      <c r="AD58" s="22"/>
      <c r="AE58" s="22"/>
      <c r="AF58" s="22"/>
      <c r="AG58" s="22"/>
      <c r="AH58" s="22"/>
      <c r="AI58" s="22"/>
    </row>
    <row r="59" spans="1:35" ht="16.5" x14ac:dyDescent="0.3">
      <c r="A59" s="21"/>
      <c r="B59" s="45" t="s">
        <v>56</v>
      </c>
      <c r="C59" s="38">
        <v>650000000</v>
      </c>
      <c r="D59" s="38">
        <v>52000000</v>
      </c>
      <c r="E59" s="38">
        <v>702000000</v>
      </c>
      <c r="F59" s="21"/>
      <c r="G59" s="21"/>
      <c r="H59" s="21"/>
      <c r="I59" s="21"/>
      <c r="J59" s="21"/>
      <c r="K59" s="21"/>
      <c r="L59" s="21"/>
      <c r="M59" s="21"/>
      <c r="N59" s="21"/>
      <c r="O59" s="21"/>
      <c r="P59" s="21"/>
      <c r="Q59" s="21"/>
      <c r="R59" s="21"/>
      <c r="S59" s="21"/>
      <c r="T59" s="38"/>
      <c r="U59" s="38"/>
      <c r="V59" s="38"/>
      <c r="W59" s="21"/>
      <c r="X59" s="22"/>
      <c r="Y59" s="22"/>
      <c r="Z59" s="22"/>
      <c r="AA59" s="22"/>
      <c r="AB59" s="22"/>
      <c r="AC59" s="22"/>
      <c r="AD59" s="22"/>
      <c r="AE59" s="22"/>
      <c r="AF59" s="22"/>
      <c r="AG59" s="22"/>
      <c r="AH59" s="22"/>
      <c r="AI59" s="22"/>
    </row>
    <row r="60" spans="1:35" ht="16.5" x14ac:dyDescent="0.3">
      <c r="A60" s="21"/>
      <c r="B60" s="29" t="s">
        <v>67</v>
      </c>
      <c r="C60" s="38">
        <v>1666666666.6666665</v>
      </c>
      <c r="D60" s="38">
        <v>27777777.777777776</v>
      </c>
      <c r="E60" s="38">
        <v>1694444444.4444442</v>
      </c>
      <c r="F60" s="21"/>
      <c r="G60" s="21"/>
      <c r="H60" s="21"/>
      <c r="I60" s="21"/>
      <c r="J60" s="21"/>
      <c r="K60" s="21"/>
      <c r="L60" s="21"/>
      <c r="M60" s="21"/>
      <c r="N60" s="21"/>
      <c r="O60" s="21"/>
      <c r="P60" s="21"/>
      <c r="Q60" s="21"/>
      <c r="R60" s="21"/>
      <c r="S60" s="21"/>
      <c r="T60" s="38"/>
      <c r="U60" s="38"/>
      <c r="V60" s="38"/>
      <c r="W60" s="21"/>
      <c r="X60" s="22"/>
      <c r="Y60" s="22"/>
      <c r="Z60" s="22"/>
      <c r="AA60" s="22"/>
      <c r="AB60" s="22"/>
      <c r="AC60" s="22"/>
      <c r="AD60" s="22"/>
      <c r="AE60" s="22"/>
      <c r="AF60" s="22"/>
      <c r="AG60" s="22"/>
      <c r="AH60" s="22"/>
      <c r="AI60" s="22"/>
    </row>
    <row r="61" spans="1:35" ht="16.5" x14ac:dyDescent="0.3">
      <c r="A61" s="21"/>
      <c r="B61" s="43" t="s">
        <v>71</v>
      </c>
      <c r="C61" s="38">
        <v>1666666666.6666665</v>
      </c>
      <c r="D61" s="38">
        <v>27777777.777777776</v>
      </c>
      <c r="E61" s="38">
        <v>1694444444.4444442</v>
      </c>
      <c r="F61" s="21"/>
      <c r="G61" s="21"/>
      <c r="H61" s="21"/>
      <c r="I61" s="21"/>
      <c r="J61" s="21"/>
      <c r="K61" s="21"/>
      <c r="L61" s="21"/>
      <c r="M61" s="21"/>
      <c r="N61" s="21"/>
      <c r="O61" s="21"/>
      <c r="P61" s="21"/>
      <c r="Q61" s="21"/>
      <c r="R61" s="21"/>
      <c r="S61" s="21"/>
      <c r="T61" s="38"/>
      <c r="U61" s="38"/>
      <c r="V61" s="38"/>
      <c r="W61" s="21"/>
      <c r="X61" s="22"/>
      <c r="Y61" s="22"/>
      <c r="Z61" s="22"/>
      <c r="AA61" s="22"/>
      <c r="AB61" s="22"/>
      <c r="AC61" s="22"/>
      <c r="AD61" s="22"/>
      <c r="AE61" s="22"/>
      <c r="AF61" s="22"/>
      <c r="AG61" s="22"/>
      <c r="AH61" s="22"/>
      <c r="AI61" s="22"/>
    </row>
    <row r="62" spans="1:35" ht="16.5" x14ac:dyDescent="0.3">
      <c r="A62" s="21"/>
      <c r="B62" s="44">
        <v>46442</v>
      </c>
      <c r="C62" s="38"/>
      <c r="D62" s="38"/>
      <c r="E62" s="38"/>
      <c r="F62" s="21"/>
      <c r="G62" s="21"/>
      <c r="H62" s="21"/>
      <c r="I62" s="21"/>
      <c r="J62" s="21"/>
      <c r="K62" s="21"/>
      <c r="L62" s="21"/>
      <c r="M62" s="21"/>
      <c r="N62" s="21"/>
      <c r="O62" s="21"/>
      <c r="P62" s="21"/>
      <c r="Q62" s="21"/>
      <c r="R62" s="21"/>
      <c r="S62" s="21"/>
      <c r="T62" s="38"/>
      <c r="U62" s="38"/>
      <c r="V62" s="38"/>
      <c r="W62" s="21"/>
      <c r="X62" s="22"/>
      <c r="Y62" s="22"/>
      <c r="Z62" s="22"/>
      <c r="AA62" s="22"/>
      <c r="AB62" s="22"/>
      <c r="AC62" s="22"/>
      <c r="AD62" s="22"/>
      <c r="AE62" s="22"/>
      <c r="AF62" s="22"/>
      <c r="AG62" s="22"/>
      <c r="AH62" s="22"/>
      <c r="AI62" s="22"/>
    </row>
    <row r="63" spans="1:35" ht="16.5" x14ac:dyDescent="0.3">
      <c r="A63" s="21"/>
      <c r="B63" s="45" t="s">
        <v>50</v>
      </c>
      <c r="C63" s="38">
        <v>1666666666.6666665</v>
      </c>
      <c r="D63" s="38">
        <v>27777777.777777776</v>
      </c>
      <c r="E63" s="38">
        <v>1694444444.4444442</v>
      </c>
      <c r="F63" s="21"/>
      <c r="G63" s="21"/>
      <c r="H63" s="21"/>
      <c r="I63" s="21"/>
      <c r="J63" s="21"/>
      <c r="K63" s="21"/>
      <c r="L63" s="21"/>
      <c r="M63" s="21"/>
      <c r="N63" s="21"/>
      <c r="O63" s="21"/>
      <c r="P63" s="21"/>
      <c r="Q63" s="21"/>
      <c r="R63" s="21"/>
      <c r="S63" s="21"/>
      <c r="T63" s="38"/>
      <c r="U63" s="38"/>
      <c r="V63" s="38"/>
      <c r="W63" s="21"/>
      <c r="X63" s="22"/>
      <c r="Y63" s="22"/>
      <c r="Z63" s="22"/>
      <c r="AA63" s="22"/>
      <c r="AB63" s="22"/>
      <c r="AC63" s="22"/>
      <c r="AD63" s="22"/>
      <c r="AE63" s="22"/>
      <c r="AF63" s="22"/>
      <c r="AG63" s="22"/>
      <c r="AH63" s="22"/>
      <c r="AI63" s="22"/>
    </row>
    <row r="64" spans="1:35" ht="16.5" x14ac:dyDescent="0.3">
      <c r="A64" s="21"/>
      <c r="B64" s="29" t="s">
        <v>64</v>
      </c>
      <c r="C64" s="38">
        <v>5950000000</v>
      </c>
      <c r="D64" s="38">
        <v>918694444.44444442</v>
      </c>
      <c r="E64" s="38">
        <v>6868694444.4444447</v>
      </c>
      <c r="F64" s="21"/>
      <c r="G64" s="21"/>
      <c r="H64" s="21"/>
      <c r="I64" s="21"/>
      <c r="J64" s="21"/>
      <c r="K64" s="21"/>
      <c r="L64" s="21"/>
      <c r="M64" s="21"/>
      <c r="N64" s="21"/>
      <c r="O64" s="21"/>
      <c r="P64" s="21"/>
      <c r="Q64" s="21"/>
      <c r="R64" s="21"/>
      <c r="S64" s="21"/>
      <c r="T64" s="38"/>
      <c r="U64" s="38"/>
      <c r="V64" s="38"/>
      <c r="W64" s="21"/>
      <c r="X64" s="22"/>
      <c r="Y64" s="22"/>
      <c r="Z64" s="22"/>
      <c r="AA64" s="22"/>
      <c r="AB64" s="22"/>
      <c r="AC64" s="22"/>
      <c r="AD64" s="22"/>
      <c r="AE64" s="22"/>
      <c r="AF64" s="22"/>
      <c r="AG64" s="22"/>
      <c r="AH64" s="22"/>
      <c r="AI64" s="22"/>
    </row>
    <row r="65" spans="1:35" ht="16.5" x14ac:dyDescent="0.3">
      <c r="A65" s="21"/>
      <c r="B65" s="21"/>
      <c r="C65" s="21"/>
      <c r="D65" s="21"/>
      <c r="E65" s="21"/>
      <c r="F65" s="21"/>
      <c r="G65" s="21"/>
      <c r="H65" s="21"/>
      <c r="I65" s="21"/>
      <c r="J65" s="21"/>
      <c r="K65" s="21"/>
      <c r="L65" s="21"/>
      <c r="M65" s="21"/>
      <c r="N65" s="21"/>
      <c r="O65" s="21"/>
      <c r="P65" s="21"/>
      <c r="Q65" s="21"/>
      <c r="R65" s="21"/>
      <c r="S65" s="21"/>
      <c r="T65" s="38"/>
      <c r="U65" s="38"/>
      <c r="V65" s="38"/>
      <c r="W65" s="21"/>
      <c r="X65" s="22"/>
      <c r="Y65" s="22"/>
      <c r="Z65" s="22"/>
      <c r="AA65" s="22"/>
      <c r="AB65" s="22"/>
      <c r="AC65" s="22"/>
      <c r="AD65" s="22"/>
      <c r="AE65" s="22"/>
      <c r="AF65" s="22"/>
      <c r="AG65" s="22"/>
      <c r="AH65" s="22"/>
      <c r="AI65" s="22"/>
    </row>
    <row r="66" spans="1:35" ht="16.5" x14ac:dyDescent="0.3">
      <c r="A66" s="21"/>
      <c r="B66" s="21"/>
      <c r="C66" s="21"/>
      <c r="D66" s="21"/>
      <c r="E66" s="21"/>
      <c r="F66" s="21"/>
      <c r="G66" s="21"/>
      <c r="H66" s="21"/>
      <c r="I66" s="21"/>
      <c r="J66" s="21"/>
      <c r="K66" s="21"/>
      <c r="L66" s="21"/>
      <c r="M66" s="21"/>
      <c r="N66" s="21"/>
      <c r="O66" s="21"/>
      <c r="P66" s="21"/>
      <c r="Q66" s="21"/>
      <c r="R66" s="21"/>
      <c r="S66" s="21"/>
      <c r="T66" s="38"/>
      <c r="U66" s="38"/>
      <c r="V66" s="38"/>
      <c r="W66" s="21"/>
      <c r="X66" s="22"/>
      <c r="Y66" s="22"/>
      <c r="Z66" s="22"/>
      <c r="AA66" s="22"/>
      <c r="AB66" s="22"/>
      <c r="AC66" s="22"/>
      <c r="AD66" s="22"/>
      <c r="AE66" s="22"/>
      <c r="AF66" s="22"/>
      <c r="AG66" s="22"/>
      <c r="AH66" s="22"/>
      <c r="AI66" s="22"/>
    </row>
    <row r="67" spans="1:35" ht="16.5" x14ac:dyDescent="0.3">
      <c r="A67" s="21"/>
      <c r="B67" s="21"/>
      <c r="C67" s="21"/>
      <c r="D67" s="21"/>
      <c r="E67" s="21"/>
      <c r="F67" s="21"/>
      <c r="G67" s="21"/>
      <c r="H67" s="21"/>
      <c r="I67" s="21"/>
      <c r="J67" s="21"/>
      <c r="K67" s="21"/>
      <c r="L67" s="21"/>
      <c r="M67" s="21"/>
      <c r="N67" s="21"/>
      <c r="O67" s="21"/>
      <c r="P67" s="21"/>
      <c r="Q67" s="21"/>
      <c r="R67" s="21"/>
      <c r="S67" s="21"/>
      <c r="T67" s="38"/>
      <c r="U67" s="38"/>
      <c r="V67" s="38"/>
      <c r="W67" s="21"/>
      <c r="X67" s="22"/>
      <c r="Y67" s="22"/>
      <c r="Z67" s="22"/>
      <c r="AA67" s="22"/>
      <c r="AB67" s="22"/>
      <c r="AC67" s="22"/>
      <c r="AD67" s="22"/>
      <c r="AE67" s="22"/>
      <c r="AF67" s="22"/>
      <c r="AG67" s="22"/>
      <c r="AH67" s="22"/>
      <c r="AI67" s="22"/>
    </row>
    <row r="68" spans="1:35" ht="16.5" x14ac:dyDescent="0.3">
      <c r="A68" s="21"/>
      <c r="B68" s="21"/>
      <c r="C68" s="21"/>
      <c r="D68" s="21"/>
      <c r="E68" s="21"/>
      <c r="F68" s="21"/>
      <c r="G68" s="21"/>
      <c r="H68" s="21"/>
      <c r="I68" s="21"/>
      <c r="J68" s="21"/>
      <c r="K68" s="21"/>
      <c r="L68" s="21"/>
      <c r="M68" s="21"/>
      <c r="N68" s="21"/>
      <c r="O68" s="21"/>
      <c r="P68" s="21"/>
      <c r="Q68" s="21"/>
      <c r="R68" s="21"/>
      <c r="S68" s="21"/>
      <c r="T68" s="38"/>
      <c r="U68" s="38"/>
      <c r="V68" s="38"/>
      <c r="W68" s="21"/>
      <c r="X68" s="22"/>
      <c r="Y68" s="22"/>
      <c r="Z68" s="22"/>
      <c r="AA68" s="22"/>
      <c r="AB68" s="22"/>
      <c r="AC68" s="22"/>
      <c r="AD68" s="22"/>
      <c r="AE68" s="22"/>
      <c r="AF68" s="22"/>
      <c r="AG68" s="22"/>
      <c r="AH68" s="22"/>
      <c r="AI68" s="22"/>
    </row>
    <row r="69" spans="1:35" ht="16.5" x14ac:dyDescent="0.3">
      <c r="A69" s="21"/>
      <c r="B69" s="21"/>
      <c r="C69" s="21"/>
      <c r="D69" s="21"/>
      <c r="E69" s="21"/>
      <c r="F69" s="21"/>
      <c r="G69" s="21"/>
      <c r="H69" s="21"/>
      <c r="I69" s="21"/>
      <c r="J69" s="21"/>
      <c r="K69" s="21"/>
      <c r="L69" s="21"/>
      <c r="M69" s="21"/>
      <c r="N69" s="21"/>
      <c r="O69" s="21"/>
      <c r="P69" s="21"/>
      <c r="Q69" s="21"/>
      <c r="R69" s="21"/>
      <c r="S69" s="21"/>
      <c r="T69" s="38"/>
      <c r="U69" s="38"/>
      <c r="V69" s="38"/>
      <c r="W69" s="21"/>
      <c r="X69" s="22"/>
      <c r="Y69" s="22"/>
      <c r="Z69" s="22"/>
      <c r="AA69" s="22"/>
      <c r="AB69" s="22"/>
      <c r="AC69" s="22"/>
      <c r="AD69" s="22"/>
      <c r="AE69" s="22"/>
      <c r="AF69" s="22"/>
      <c r="AG69" s="22"/>
      <c r="AH69" s="22"/>
      <c r="AI69" s="22"/>
    </row>
    <row r="70" spans="1:35" ht="16.5" x14ac:dyDescent="0.3">
      <c r="A70" s="21"/>
      <c r="B70" s="21"/>
      <c r="C70" s="21"/>
      <c r="D70" s="21"/>
      <c r="E70" s="21"/>
      <c r="F70" s="21"/>
      <c r="G70" s="21"/>
      <c r="H70" s="21"/>
      <c r="I70" s="21"/>
      <c r="J70" s="21"/>
      <c r="K70" s="21"/>
      <c r="L70" s="21"/>
      <c r="M70" s="21"/>
      <c r="N70" s="21"/>
      <c r="O70" s="21"/>
      <c r="P70" s="21"/>
      <c r="Q70" s="21"/>
      <c r="R70" s="21"/>
      <c r="S70" s="21"/>
      <c r="T70" s="38"/>
      <c r="U70" s="38"/>
      <c r="V70" s="38"/>
      <c r="W70" s="21"/>
      <c r="X70" s="22"/>
      <c r="Y70" s="22"/>
      <c r="Z70" s="22"/>
      <c r="AA70" s="22"/>
      <c r="AB70" s="22"/>
      <c r="AC70" s="22"/>
      <c r="AD70" s="22"/>
      <c r="AE70" s="22"/>
      <c r="AF70" s="22"/>
      <c r="AG70" s="22"/>
      <c r="AH70" s="22"/>
      <c r="AI70" s="22"/>
    </row>
  </sheetData>
  <sheetProtection formatColumns="0" formatRows="0" autoFilter="0" pivotTables="0"/>
  <mergeCells count="3">
    <mergeCell ref="AF9:AG9"/>
    <mergeCell ref="AF10:AG10"/>
    <mergeCell ref="AF8:AG8"/>
  </mergeCells>
  <phoneticPr fontId="6" type="noConversion"/>
  <conditionalFormatting sqref="J24:J27">
    <cfRule type="duplicateValues" dxfId="162" priority="311"/>
  </conditionalFormatting>
  <dataValidations count="2">
    <dataValidation type="list" allowBlank="1" showInputMessage="1" showErrorMessage="1" sqref="M24:M27" xr:uid="{8D8F3CC2-445E-439D-A67A-114800D3F55B}">
      <formula1>"Một lần, Theo năm, Theo tháng"</formula1>
    </dataValidation>
    <dataValidation type="list" errorStyle="warning" allowBlank="1" showInputMessage="1" sqref="Z24:Z36"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76806" r:id="rId5" name="Option Button 6">
              <controlPr defaultSize="0" autoFill="0" autoLine="0" autoPict="0" macro="[0]!DoiDonViHienThi">
                <anchor moveWithCells="1">
                  <from>
                    <xdr:col>11</xdr:col>
                    <xdr:colOff>38100</xdr:colOff>
                    <xdr:row>0</xdr:row>
                    <xdr:rowOff>114300</xdr:rowOff>
                  </from>
                  <to>
                    <xdr:col>11</xdr:col>
                    <xdr:colOff>628650</xdr:colOff>
                    <xdr:row>1</xdr:row>
                    <xdr:rowOff>161925</xdr:rowOff>
                  </to>
                </anchor>
              </controlPr>
            </control>
          </mc:Choice>
        </mc:AlternateContent>
        <mc:AlternateContent xmlns:mc="http://schemas.openxmlformats.org/markup-compatibility/2006">
          <mc:Choice Requires="x14">
            <control shapeId="76807" r:id="rId6" name="Option Button 7">
              <controlPr defaultSize="0" autoFill="0" autoLine="0" autoPict="0" macro="[0]!DoiDonViHienThi">
                <anchor moveWithCells="1">
                  <from>
                    <xdr:col>11</xdr:col>
                    <xdr:colOff>504825</xdr:colOff>
                    <xdr:row>0</xdr:row>
                    <xdr:rowOff>114300</xdr:rowOff>
                  </from>
                  <to>
                    <xdr:col>12</xdr:col>
                    <xdr:colOff>352425</xdr:colOff>
                    <xdr:row>1</xdr:row>
                    <xdr:rowOff>161925</xdr:rowOff>
                  </to>
                </anchor>
              </controlPr>
            </control>
          </mc:Choice>
        </mc:AlternateContent>
        <mc:AlternateContent xmlns:mc="http://schemas.openxmlformats.org/markup-compatibility/2006">
          <mc:Choice Requires="x14">
            <control shapeId="76808" r:id="rId7" name="Option Button 8">
              <controlPr defaultSize="0" autoFill="0" autoLine="0" autoPict="0" macro="[0]!DoiDonViHienThi">
                <anchor moveWithCells="1">
                  <from>
                    <xdr:col>12</xdr:col>
                    <xdr:colOff>228600</xdr:colOff>
                    <xdr:row>0</xdr:row>
                    <xdr:rowOff>114300</xdr:rowOff>
                  </from>
                  <to>
                    <xdr:col>12</xdr:col>
                    <xdr:colOff>819150</xdr:colOff>
                    <xdr:row>1</xdr:row>
                    <xdr:rowOff>161925</xdr:rowOff>
                  </to>
                </anchor>
              </controlPr>
            </control>
          </mc:Choice>
        </mc:AlternateContent>
        <mc:AlternateContent xmlns:mc="http://schemas.openxmlformats.org/markup-compatibility/2006">
          <mc:Choice Requires="x14">
            <control shapeId="76809" r:id="rId8" name="Option Button 9">
              <controlPr defaultSize="0" autoFill="0" autoLine="0" autoPict="0" macro="[0]!DoiDonViHienThi">
                <anchor moveWithCells="1">
                  <from>
                    <xdr:col>12</xdr:col>
                    <xdr:colOff>695325</xdr:colOff>
                    <xdr:row>0</xdr:row>
                    <xdr:rowOff>114300</xdr:rowOff>
                  </from>
                  <to>
                    <xdr:col>13</xdr:col>
                    <xdr:colOff>9525</xdr:colOff>
                    <xdr:row>1</xdr:row>
                    <xdr:rowOff>161925</xdr:rowOff>
                  </to>
                </anchor>
              </controlPr>
            </control>
          </mc:Choice>
        </mc:AlternateContent>
        <mc:AlternateContent xmlns:mc="http://schemas.openxmlformats.org/markup-compatibility/2006">
          <mc:Choice Requires="x14">
            <control shapeId="76810" r:id="rId9" name="Group Box 10">
              <controlPr defaultSize="0" autoFill="0" autoPict="0">
                <anchor moveWithCells="1">
                  <from>
                    <xdr:col>10</xdr:col>
                    <xdr:colOff>800100</xdr:colOff>
                    <xdr:row>0</xdr:row>
                    <xdr:rowOff>57150</xdr:rowOff>
                  </from>
                  <to>
                    <xdr:col>13</xdr:col>
                    <xdr:colOff>133350</xdr:colOff>
                    <xdr:row>1</xdr:row>
                    <xdr:rowOff>190500</xdr:rowOff>
                  </to>
                </anchor>
              </controlPr>
            </control>
          </mc:Choice>
        </mc:AlternateContent>
        <mc:AlternateContent xmlns:mc="http://schemas.openxmlformats.org/markup-compatibility/2006">
          <mc:Choice Requires="x14">
            <control shapeId="76811" r:id="rId10" name="Group Box 11">
              <controlPr defaultSize="0" autoFill="0" autoPict="0">
                <anchor moveWithCells="1">
                  <from>
                    <xdr:col>9</xdr:col>
                    <xdr:colOff>28575</xdr:colOff>
                    <xdr:row>0</xdr:row>
                    <xdr:rowOff>57150</xdr:rowOff>
                  </from>
                  <to>
                    <xdr:col>10</xdr:col>
                    <xdr:colOff>752475</xdr:colOff>
                    <xdr:row>1</xdr:row>
                    <xdr:rowOff>190500</xdr:rowOff>
                  </to>
                </anchor>
              </controlPr>
            </control>
          </mc:Choice>
        </mc:AlternateContent>
        <mc:AlternateContent xmlns:mc="http://schemas.openxmlformats.org/markup-compatibility/2006">
          <mc:Choice Requires="x14">
            <control shapeId="76812" r:id="rId11" name="Button 12">
              <controlPr defaultSize="0" autoFill="0" autoPict="0" macro="[0]!NhanNghin">
                <anchor moveWithCells="1">
                  <from>
                    <xdr:col>9</xdr:col>
                    <xdr:colOff>114300</xdr:colOff>
                    <xdr:row>0</xdr:row>
                    <xdr:rowOff>152400</xdr:rowOff>
                  </from>
                  <to>
                    <xdr:col>9</xdr:col>
                    <xdr:colOff>581025</xdr:colOff>
                    <xdr:row>1</xdr:row>
                    <xdr:rowOff>95250</xdr:rowOff>
                  </to>
                </anchor>
              </controlPr>
            </control>
          </mc:Choice>
        </mc:AlternateContent>
        <mc:AlternateContent xmlns:mc="http://schemas.openxmlformats.org/markup-compatibility/2006">
          <mc:Choice Requires="x14">
            <control shapeId="76813" r:id="rId12" name="Button 13">
              <controlPr defaultSize="0" autoFill="0" autoPict="0" macro="[0]!NhanTrieu">
                <anchor moveWithCells="1">
                  <from>
                    <xdr:col>9</xdr:col>
                    <xdr:colOff>628650</xdr:colOff>
                    <xdr:row>0</xdr:row>
                    <xdr:rowOff>152400</xdr:rowOff>
                  </from>
                  <to>
                    <xdr:col>10</xdr:col>
                    <xdr:colOff>161925</xdr:colOff>
                    <xdr:row>1</xdr:row>
                    <xdr:rowOff>95250</xdr:rowOff>
                  </to>
                </anchor>
              </controlPr>
            </control>
          </mc:Choice>
        </mc:AlternateContent>
        <mc:AlternateContent xmlns:mc="http://schemas.openxmlformats.org/markup-compatibility/2006">
          <mc:Choice Requires="x14">
            <control shapeId="76814" r:id="rId13" name="Button 14">
              <controlPr defaultSize="0" autoFill="0" autoPict="0" macro="[0]!NhanTy">
                <anchor moveWithCells="1">
                  <from>
                    <xdr:col>10</xdr:col>
                    <xdr:colOff>209550</xdr:colOff>
                    <xdr:row>0</xdr:row>
                    <xdr:rowOff>152400</xdr:rowOff>
                  </from>
                  <to>
                    <xdr:col>10</xdr:col>
                    <xdr:colOff>676275</xdr:colOff>
                    <xdr:row>1</xdr:row>
                    <xdr:rowOff>95250</xdr:rowOff>
                  </to>
                </anchor>
              </controlPr>
            </control>
          </mc:Choice>
        </mc:AlternateContent>
        <mc:AlternateContent xmlns:mc="http://schemas.openxmlformats.org/markup-compatibility/2006">
          <mc:Choice Requires="x14">
            <control shapeId="76815" r:id="rId14" name="Button 15">
              <controlPr defaultSize="0" print="0" autoFill="0" autoPict="0" macro="[0]!AddRow">
                <anchor moveWithCells="1">
                  <from>
                    <xdr:col>13</xdr:col>
                    <xdr:colOff>238125</xdr:colOff>
                    <xdr:row>0</xdr:row>
                    <xdr:rowOff>85725</xdr:rowOff>
                  </from>
                  <to>
                    <xdr:col>13</xdr:col>
                    <xdr:colOff>714375</xdr:colOff>
                    <xdr:row>1</xdr:row>
                    <xdr:rowOff>114300</xdr:rowOff>
                  </to>
                </anchor>
              </controlPr>
            </control>
          </mc:Choice>
        </mc:AlternateContent>
        <mc:AlternateContent xmlns:mc="http://schemas.openxmlformats.org/markup-compatibility/2006">
          <mc:Choice Requires="x14">
            <control shapeId="76816" r:id="rId15" name="Button 16">
              <controlPr defaultSize="0" print="0" autoFill="0" autoPict="0" macro="[0]!DeleteRow">
                <anchor moveWithCells="1">
                  <from>
                    <xdr:col>13</xdr:col>
                    <xdr:colOff>752475</xdr:colOff>
                    <xdr:row>0</xdr:row>
                    <xdr:rowOff>85725</xdr:rowOff>
                  </from>
                  <to>
                    <xdr:col>14</xdr:col>
                    <xdr:colOff>219075</xdr:colOff>
                    <xdr:row>1</xdr:row>
                    <xdr:rowOff>114300</xdr:rowOff>
                  </to>
                </anchor>
              </controlPr>
            </control>
          </mc:Choice>
        </mc:AlternateContent>
        <mc:AlternateContent xmlns:mc="http://schemas.openxmlformats.org/markup-compatibility/2006">
          <mc:Choice Requires="x14">
            <control shapeId="76817" r:id="rId16" name="Button 17">
              <controlPr defaultSize="0" print="0" autoFill="0" autoPict="0" macro="[0]!RefreshTables">
                <anchor moveWithCells="1">
                  <from>
                    <xdr:col>25</xdr:col>
                    <xdr:colOff>104775</xdr:colOff>
                    <xdr:row>0</xdr:row>
                    <xdr:rowOff>142875</xdr:rowOff>
                  </from>
                  <to>
                    <xdr:col>25</xdr:col>
                    <xdr:colOff>685800</xdr:colOff>
                    <xdr:row>1</xdr:row>
                    <xdr:rowOff>171450</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AE23:XFD23 AJ24:XFD1048576 W54:AI70 J54:S70 A65:E1048576 A1:E2 B23:E23 A3:A63 B41:B64 A64:B64 F1:F1048576 G23:AA23 G41:H1048576 I24:I1048576 J71:AI1048576 G1:XFD4 G5:AA5 AC5:XFD5 G6:XFD7 AH8:XFD8 AI9:XFD10 G8:AF10 J32:U53 J31:O31 Q31:U31 V34:AI53 G11:XFD22 J24:U30 AE24:AI33 V24:AA33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�c   n  �c   n  
</file>

<file path=customXml/item2.xml>�� �� �i   t �� � �� �t   � � �  l � � �  l �� �  t � � �� �i   t �� � �� �t   � � �  l � � �  l �� �  t � � 
</file>

<file path=customXml/item3.xml>�� � �  � � �� � � � �  � � �� � � 
</file>

<file path=customXml/item4.xml>��   
</file>

<file path=customXml/item5.xml>�� �  �  
</file>

<file path=customXml/item6.xml>�� � � � �� �  l � � � � i �m   s �  d � � �n   c � � �p    � � � � i � �  d �  �  �  �  �  l ��  �  � �  l � � � � � � �� �  l � � � � i �m   s �  d � � �n   c � � �p    � � � � i � �  d �  �  �  �  �  l ��  �  � �  l � � � 
</file>

<file path=customXml/item7.xml>�� 
</file>

<file path=customXml/item8.xml>�� � � �n   v � �  s u � �  l � � � � �n   v � �  s u � �  l � � 
</file>

<file path=customXml/item9.xml>��   
</file>

<file path=customXml/item10.xml>��   
</file>

<file path=customXml/item11.xml>��   
</file>

<file path=customXml/item12.xml>��   
</file>

<file path=customXml/item13.xml>�� � � � � �  t �n   � �  t � � � � � � � � � � � �  t �n   � �  t � � � � � � � � � � � �  l �� � � � � � �  s u � � � � � � � � � �� �  l � � � �� �  l � � � �  l � �n   � � �n   s �  b � � �p     �  �  �  �  l ��  �  � � � � � �  t �n   � �  t � � � � � � � � � � � �  t �n   � �  t � � � � � � � � � � � �  l �� � � � � � �  s u � � � � � � � � � �� �  l � � � �� �  l � � � �  l � �n   � � �n   s �  b � � �p     �  �  �  �  l ��  �  � 
</file>

<file path=customXml/item14.xml>��   
</file>

<file path=customXml/item15.xml>��   
</file>

<file path=customXml/item16.xml>�� � � � � 
</file>

<file path=customXml/item17.xml>�� �� �i   t �� � �� �t   � � �  l � � �  l �� �  t � � � � � i � �  d � i �m   s �  d � �� �  l � � � � � �n   c � � � � � �  l � � � � �p     �  �  �  �  l ��  �  � 
</file>

<file path=customXml/item18.xml>�� 
</file>

<file path=customXml/item19.xml>�� 
</file>

<file path=customXml/item20.xml>�� �n   �u   t � �n   �u   t � �  �u   t � �i   h � �  �  �u   t � �   � �n   �u   t � �n   �u   t � �  �u   t � �i   h � �  �  �u   t � �   � 
</file>

<file path=customXml/item21.xml>��   
</file>

<file path=customXml/item22.xml>��   
</file>

<file path=customXml/item23.xml>��   
</file>

<file path=customXml/itemProps1.xml><?xml version="1.0" encoding="utf-8"?>
<ds:datastoreItem xmlns:ds="http://schemas.openxmlformats.org/officeDocument/2006/customXml" ds:itemID="{A6D0F6C4-9EB7-4062-86F8-715E8F5BF469}">
  <ds:schemaRefs/>
</ds:datastoreItem>
</file>

<file path=customXml/itemProps2.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xml><?xml version="1.0" encoding="utf-8"?>
<ds:datastoreItem xmlns:ds="http://schemas.openxmlformats.org/officeDocument/2006/customXml" ds:itemID="{209D4F95-E077-4258-B233-BD907958FBE7}">
  <ds:schemaRefs/>
</ds:datastoreItem>
</file>

<file path=customXml/itemProps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6.xml><?xml version="1.0" encoding="utf-8"?>
<ds:datastoreItem xmlns:ds="http://schemas.openxmlformats.org/officeDocument/2006/customXml" ds:itemID="{CCFAB5FF-26AB-4CB9-BA2C-5A121007B041}">
  <ds:schemaRefs/>
</ds:datastoreItem>
</file>

<file path=customXml/itemProps7.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8.xml><?xml version="1.0" encoding="utf-8"?>
<ds:datastoreItem xmlns:ds="http://schemas.openxmlformats.org/officeDocument/2006/customXml" ds:itemID="{428F1076-103E-499B-8C54-5C5D9C35FA22}">
  <ds:schemaRefs/>
</ds:datastoreItem>
</file>

<file path=customXml/itemProps9.xml><?xml version="1.0" encoding="utf-8"?>
<ds:datastoreItem xmlns:ds="http://schemas.openxmlformats.org/officeDocument/2006/customXml" ds:itemID="{104A6CAF-8CC0-4F12-8051-31E2340CC4C2}">
  <ds:schemaRefs/>
</ds:datastoreItem>
</file>

<file path=customXml/itemProps10.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1.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2.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3.xml><?xml version="1.0" encoding="utf-8"?>
<ds:datastoreItem xmlns:ds="http://schemas.openxmlformats.org/officeDocument/2006/customXml" ds:itemID="{92792D96-9FF0-4B2F-85AA-68E139707CCB}">
  <ds:schemaRefs/>
</ds:datastoreItem>
</file>

<file path=customXml/itemProps14.xml><?xml version="1.0" encoding="utf-8"?>
<ds:datastoreItem xmlns:ds="http://schemas.openxmlformats.org/officeDocument/2006/customXml" ds:itemID="{0B9C3544-1C46-45A4-BEB6-1CE4D6559900}">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2E9577AD-0BA1-4B97-A3AE-098C016630EA}">
  <ds:schemaRefs/>
</ds:datastoreItem>
</file>

<file path=customXml/itemProps1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9.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0.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15A5E9E7-8554-4C17-8FCE-88C5899190B5}">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Lịch trả gốc lãi vay</vt:lpstr>
      <vt:lpstr>MaKhoanVay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2025-06-03T09:22:37Z</dcterms:modified>
  <cp:category/>
  <cp:contentStatus/>
</cp:coreProperties>
</file>