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d.docs.live.net/ad09c6d446519e5c/Desktop/Full Combo/Files/"/>
    </mc:Choice>
  </mc:AlternateContent>
  <xr:revisionPtr revIDLastSave="0" documentId="8_{706A940F-E368-4BAF-8FB0-A4C7250AD3E0}" xr6:coauthVersionLast="47" xr6:coauthVersionMax="47" xr10:uidLastSave="{00000000-0000-0000-0000-000000000000}"/>
  <bookViews>
    <workbookView xWindow="-120" yWindow="-120" windowWidth="38640" windowHeight="21120" tabRatio="717" firstSheet="1" activeTab="2" xr2:uid="{B2DA85E2-969C-4F09-941C-CE16CCFE9D56}"/>
  </bookViews>
  <sheets>
    <sheet name="Security" sheetId="79" state="veryHidden" r:id="rId1"/>
    <sheet name="EULA" sheetId="77" r:id="rId2"/>
    <sheet name="Kế hoạch &amp; Định giá" sheetId="40" r:id="rId3"/>
  </sheets>
  <functionGroups builtInGroupCount="19"/>
  <externalReferences>
    <externalReference r:id="rId4"/>
  </externalReferences>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4" i="40" l="1" a="1"/>
  <c r="W4" i="40" s="1"/>
  <c r="O190" i="40" l="1"/>
  <c r="O45" i="40" s="1"/>
  <c r="N190" i="40"/>
  <c r="N45" i="40" s="1"/>
  <c r="M190" i="40"/>
  <c r="M45" i="40" s="1"/>
  <c r="L190" i="40"/>
  <c r="L45" i="40" s="1"/>
  <c r="K190" i="40"/>
  <c r="K45" i="40" s="1"/>
  <c r="J190" i="40"/>
  <c r="J45" i="40" s="1"/>
  <c r="I190" i="40"/>
  <c r="I45" i="40" s="1"/>
  <c r="H190" i="40"/>
  <c r="H45" i="40" s="1"/>
  <c r="G190" i="40"/>
  <c r="G45" i="40" s="1"/>
  <c r="F190" i="40"/>
  <c r="F45" i="40" s="1"/>
  <c r="E190" i="40"/>
  <c r="E45" i="40" s="1"/>
  <c r="D190" i="40"/>
  <c r="D45" i="40" s="1"/>
  <c r="C190" i="40"/>
  <c r="O185" i="40"/>
  <c r="O44" i="40" s="1"/>
  <c r="N185" i="40"/>
  <c r="N44" i="40" s="1"/>
  <c r="M185" i="40"/>
  <c r="M44" i="40" s="1"/>
  <c r="L185" i="40"/>
  <c r="L44" i="40" s="1"/>
  <c r="K185" i="40"/>
  <c r="K44" i="40" s="1"/>
  <c r="J185" i="40"/>
  <c r="J44" i="40" s="1"/>
  <c r="I185" i="40"/>
  <c r="I44" i="40" s="1"/>
  <c r="H185" i="40"/>
  <c r="H44" i="40" s="1"/>
  <c r="G185" i="40"/>
  <c r="G44" i="40" s="1"/>
  <c r="F185" i="40"/>
  <c r="F44" i="40" s="1"/>
  <c r="E185" i="40"/>
  <c r="E44" i="40" s="1"/>
  <c r="D185" i="40"/>
  <c r="D44" i="40" s="1"/>
  <c r="C185" i="40"/>
  <c r="C180" i="40"/>
  <c r="E179" i="40" a="1"/>
  <c r="E179" i="40" s="1"/>
  <c r="E180" i="40" s="1"/>
  <c r="E43" i="40" s="1"/>
  <c r="D179" i="40" a="1"/>
  <c r="D179" i="40" s="1"/>
  <c r="O175" i="40"/>
  <c r="O41" i="40" s="1"/>
  <c r="N175" i="40"/>
  <c r="N41" i="40" s="1"/>
  <c r="M175" i="40"/>
  <c r="M41" i="40" s="1"/>
  <c r="L175" i="40"/>
  <c r="L41" i="40" s="1"/>
  <c r="K175" i="40"/>
  <c r="K41" i="40" s="1"/>
  <c r="J175" i="40"/>
  <c r="J41" i="40" s="1"/>
  <c r="I175" i="40"/>
  <c r="I41" i="40" s="1"/>
  <c r="H175" i="40"/>
  <c r="H41" i="40" s="1"/>
  <c r="G175" i="40"/>
  <c r="G41" i="40" s="1"/>
  <c r="F175" i="40"/>
  <c r="F41" i="40" s="1"/>
  <c r="E175" i="40"/>
  <c r="E41" i="40" s="1"/>
  <c r="D175" i="40"/>
  <c r="D41" i="40" s="1"/>
  <c r="C175" i="40"/>
  <c r="O170" i="40"/>
  <c r="O40" i="40" s="1"/>
  <c r="N170" i="40"/>
  <c r="N40" i="40" s="1"/>
  <c r="M170" i="40"/>
  <c r="M40" i="40" s="1"/>
  <c r="L170" i="40"/>
  <c r="L40" i="40" s="1"/>
  <c r="K170" i="40"/>
  <c r="K40" i="40" s="1"/>
  <c r="J170" i="40"/>
  <c r="J40" i="40" s="1"/>
  <c r="I170" i="40"/>
  <c r="I40" i="40" s="1"/>
  <c r="H170" i="40"/>
  <c r="H40" i="40" s="1"/>
  <c r="G170" i="40"/>
  <c r="G40" i="40" s="1"/>
  <c r="F170" i="40"/>
  <c r="F40" i="40" s="1"/>
  <c r="E170" i="40"/>
  <c r="E40" i="40" s="1"/>
  <c r="D170" i="40"/>
  <c r="D40" i="40" s="1"/>
  <c r="C170" i="40"/>
  <c r="E143" i="40"/>
  <c r="E28" i="40" s="1"/>
  <c r="F143" i="40"/>
  <c r="F28" i="40" s="1"/>
  <c r="G143" i="40"/>
  <c r="G28" i="40" s="1"/>
  <c r="H143" i="40"/>
  <c r="H28" i="40" s="1"/>
  <c r="I143" i="40"/>
  <c r="I28" i="40" s="1"/>
  <c r="J143" i="40"/>
  <c r="J28" i="40" s="1"/>
  <c r="K143" i="40"/>
  <c r="K28" i="40" s="1"/>
  <c r="L143" i="40"/>
  <c r="L28" i="40" s="1"/>
  <c r="M143" i="40"/>
  <c r="M28" i="40" s="1"/>
  <c r="N143" i="40"/>
  <c r="N28" i="40" s="1"/>
  <c r="O143" i="40"/>
  <c r="O28" i="40" s="1"/>
  <c r="D143" i="40"/>
  <c r="D28" i="40" s="1"/>
  <c r="E131" i="40"/>
  <c r="E18" i="40" s="1"/>
  <c r="F131" i="40"/>
  <c r="F18" i="40" s="1"/>
  <c r="G131" i="40"/>
  <c r="G18" i="40" s="1"/>
  <c r="H131" i="40"/>
  <c r="H18" i="40" s="1"/>
  <c r="I131" i="40"/>
  <c r="I18" i="40" s="1"/>
  <c r="J131" i="40"/>
  <c r="J18" i="40" s="1"/>
  <c r="K131" i="40"/>
  <c r="K18" i="40" s="1"/>
  <c r="L131" i="40"/>
  <c r="L18" i="40" s="1"/>
  <c r="M131" i="40"/>
  <c r="M18" i="40" s="1"/>
  <c r="N131" i="40"/>
  <c r="N18" i="40" s="1"/>
  <c r="O131" i="40"/>
  <c r="O18" i="40" s="1"/>
  <c r="D131" i="40"/>
  <c r="D18" i="40" s="1"/>
  <c r="E90" i="40"/>
  <c r="E25" i="40" s="1"/>
  <c r="F90" i="40"/>
  <c r="F25" i="40" s="1"/>
  <c r="G90" i="40"/>
  <c r="G25" i="40" s="1"/>
  <c r="H90" i="40"/>
  <c r="H25" i="40" s="1"/>
  <c r="I90" i="40"/>
  <c r="I25" i="40" s="1"/>
  <c r="J90" i="40"/>
  <c r="J25" i="40" s="1"/>
  <c r="K90" i="40"/>
  <c r="K25" i="40" s="1"/>
  <c r="L90" i="40"/>
  <c r="L25" i="40" s="1"/>
  <c r="M90" i="40"/>
  <c r="M25" i="40" s="1"/>
  <c r="N90" i="40"/>
  <c r="N25" i="40" s="1"/>
  <c r="O90" i="40"/>
  <c r="O25" i="40" s="1"/>
  <c r="D90" i="40"/>
  <c r="D25" i="40" s="1"/>
  <c r="E85" i="40"/>
  <c r="E16" i="40" s="1"/>
  <c r="F85" i="40"/>
  <c r="F16" i="40" s="1"/>
  <c r="G85" i="40"/>
  <c r="G16" i="40" s="1"/>
  <c r="H85" i="40"/>
  <c r="H16" i="40" s="1"/>
  <c r="I85" i="40"/>
  <c r="I16" i="40" s="1"/>
  <c r="J85" i="40"/>
  <c r="J16" i="40" s="1"/>
  <c r="K85" i="40"/>
  <c r="K16" i="40" s="1"/>
  <c r="L85" i="40"/>
  <c r="L16" i="40" s="1"/>
  <c r="M85" i="40"/>
  <c r="M16" i="40" s="1"/>
  <c r="N85" i="40"/>
  <c r="N16" i="40" s="1"/>
  <c r="O85" i="40"/>
  <c r="O16" i="40" s="1"/>
  <c r="D85" i="40"/>
  <c r="D16" i="40" s="1"/>
  <c r="E80" i="40"/>
  <c r="F80" i="40"/>
  <c r="G80" i="40"/>
  <c r="H80" i="40"/>
  <c r="I80" i="40"/>
  <c r="J80" i="40"/>
  <c r="K80" i="40"/>
  <c r="L80" i="40"/>
  <c r="M80" i="40"/>
  <c r="N80" i="40"/>
  <c r="O80" i="40"/>
  <c r="D80" i="40"/>
  <c r="F179" i="40" l="1" a="1"/>
  <c r="F179" i="40" s="1"/>
  <c r="D180" i="40"/>
  <c r="D43" i="40" s="1"/>
  <c r="G179" i="40" a="1"/>
  <c r="G179" i="40" s="1"/>
  <c r="W38" i="40"/>
  <c r="W23" i="40"/>
  <c r="W13" i="40"/>
  <c r="W12" i="40" s="1"/>
  <c r="AA8" i="40"/>
  <c r="AA9" i="40" s="1"/>
  <c r="AA10" i="40" s="1"/>
  <c r="Z8" i="40"/>
  <c r="Z9" i="40" s="1"/>
  <c r="Z10" i="40" s="1"/>
  <c r="I179" i="40" l="1" a="1"/>
  <c r="I179" i="40" s="1"/>
  <c r="G180" i="40"/>
  <c r="G43" i="40" s="1"/>
  <c r="H179" i="40" a="1"/>
  <c r="H179" i="40" s="1"/>
  <c r="F180" i="40"/>
  <c r="F43" i="40" s="1"/>
  <c r="W37" i="40"/>
  <c r="W34" i="40" s="1"/>
  <c r="W42" i="40" s="1"/>
  <c r="W22" i="40"/>
  <c r="W21"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1" i="40"/>
  <c r="E32" i="40" s="1"/>
  <c r="F161" i="40"/>
  <c r="F32" i="40" s="1"/>
  <c r="G161" i="40"/>
  <c r="G32" i="40" s="1"/>
  <c r="H161" i="40"/>
  <c r="H32" i="40" s="1"/>
  <c r="I161" i="40"/>
  <c r="I32" i="40" s="1"/>
  <c r="J161" i="40"/>
  <c r="J32" i="40" s="1"/>
  <c r="K161" i="40"/>
  <c r="K32" i="40" s="1"/>
  <c r="L161" i="40"/>
  <c r="L32" i="40" s="1"/>
  <c r="M161" i="40"/>
  <c r="M32" i="40" s="1"/>
  <c r="N161" i="40"/>
  <c r="N32" i="40" s="1"/>
  <c r="O161" i="40"/>
  <c r="O32" i="40" s="1"/>
  <c r="D161" i="40"/>
  <c r="H180" i="40" l="1"/>
  <c r="H43" i="40" s="1"/>
  <c r="J179" i="40" a="1"/>
  <c r="J179" i="40" s="1"/>
  <c r="K179" i="40" a="1"/>
  <c r="K179" i="40" s="1"/>
  <c r="I180" i="40"/>
  <c r="I43" i="40" s="1"/>
  <c r="W33" i="40"/>
  <c r="W9" i="40"/>
  <c r="W10" i="40" s="1"/>
  <c r="W8" i="40"/>
  <c r="D32" i="40"/>
  <c r="M179" i="40" l="1" a="1"/>
  <c r="M179" i="40" s="1"/>
  <c r="K180" i="40"/>
  <c r="K43" i="40" s="1"/>
  <c r="J180" i="40"/>
  <c r="J43" i="40" s="1"/>
  <c r="L179" i="40" a="1"/>
  <c r="L179" i="40" s="1"/>
  <c r="E193" i="40"/>
  <c r="E194" i="40" s="1"/>
  <c r="F193" i="40"/>
  <c r="F194" i="40" s="1"/>
  <c r="G193" i="40"/>
  <c r="G194" i="40" s="1"/>
  <c r="H193" i="40"/>
  <c r="H194" i="40" s="1"/>
  <c r="I193" i="40"/>
  <c r="I194" i="40" s="1"/>
  <c r="J193" i="40"/>
  <c r="J194" i="40" s="1"/>
  <c r="K193" i="40"/>
  <c r="K194" i="40" s="1"/>
  <c r="L193" i="40"/>
  <c r="L194" i="40" s="1"/>
  <c r="M193" i="40"/>
  <c r="M194" i="40" s="1"/>
  <c r="N193" i="40"/>
  <c r="N194" i="40" s="1"/>
  <c r="O193" i="40"/>
  <c r="O194" i="40" s="1"/>
  <c r="D193" i="40"/>
  <c r="D194" i="40" s="1"/>
  <c r="L180" i="40" l="1"/>
  <c r="L43" i="40" s="1"/>
  <c r="N179" i="40" a="1"/>
  <c r="N179" i="40" s="1"/>
  <c r="N180" i="40" s="1"/>
  <c r="N43" i="40" s="1"/>
  <c r="M180" i="40"/>
  <c r="M43" i="40" s="1"/>
  <c r="O179" i="40" a="1"/>
  <c r="O179" i="40" s="1"/>
  <c r="O180" i="40" s="1"/>
  <c r="O43" i="40" s="1"/>
  <c r="O26" i="40"/>
  <c r="N26" i="40"/>
  <c r="M26" i="40"/>
  <c r="L26" i="40"/>
  <c r="K26" i="40"/>
  <c r="J26" i="40"/>
  <c r="I26" i="40"/>
  <c r="H26" i="40"/>
  <c r="G26" i="40"/>
  <c r="F26" i="40"/>
  <c r="E26" i="40"/>
  <c r="D26" i="40"/>
  <c r="O27" i="40"/>
  <c r="N27" i="40"/>
  <c r="M27" i="40"/>
  <c r="L27" i="40"/>
  <c r="K27" i="40"/>
  <c r="J27" i="40"/>
  <c r="I27" i="40"/>
  <c r="H27" i="40"/>
  <c r="G27" i="40"/>
  <c r="F27" i="40"/>
  <c r="E27" i="40"/>
  <c r="D27" i="40"/>
  <c r="C26" i="40" l="1"/>
  <c r="O74" i="40" l="1"/>
  <c r="O75" i="40" s="1"/>
  <c r="O15" i="40" s="1"/>
  <c r="N74" i="40"/>
  <c r="N75" i="40" s="1"/>
  <c r="N15" i="40" s="1"/>
  <c r="M74" i="40"/>
  <c r="M75" i="40" s="1"/>
  <c r="M15" i="40" s="1"/>
  <c r="L74" i="40"/>
  <c r="L75" i="40" s="1"/>
  <c r="L15" i="40" s="1"/>
  <c r="K74" i="40"/>
  <c r="K75" i="40" s="1"/>
  <c r="K15" i="40" s="1"/>
  <c r="J74" i="40"/>
  <c r="J75" i="40" s="1"/>
  <c r="J15" i="40" s="1"/>
  <c r="I74" i="40"/>
  <c r="I75" i="40" s="1"/>
  <c r="I15" i="40" s="1"/>
  <c r="H74" i="40"/>
  <c r="H75" i="40" s="1"/>
  <c r="H15" i="40" s="1"/>
  <c r="G74" i="40"/>
  <c r="G75" i="40" s="1"/>
  <c r="G15" i="40" s="1"/>
  <c r="F74" i="40"/>
  <c r="F75" i="40" s="1"/>
  <c r="F15" i="40" s="1"/>
  <c r="E74" i="40"/>
  <c r="E75" i="40" s="1"/>
  <c r="E15" i="40" s="1"/>
  <c r="O60" i="40"/>
  <c r="N60" i="40"/>
  <c r="M60" i="40"/>
  <c r="L60" i="40"/>
  <c r="K60" i="40"/>
  <c r="J60" i="40"/>
  <c r="I60" i="40"/>
  <c r="H60" i="40"/>
  <c r="G60" i="40"/>
  <c r="F60" i="40"/>
  <c r="E60" i="40"/>
  <c r="O52" i="40"/>
  <c r="O7" i="40" s="1"/>
  <c r="N52" i="40"/>
  <c r="N7" i="40" s="1"/>
  <c r="M52" i="40"/>
  <c r="M7" i="40" s="1"/>
  <c r="L52" i="40"/>
  <c r="L7" i="40" s="1"/>
  <c r="K52" i="40"/>
  <c r="K7" i="40" s="1"/>
  <c r="J52" i="40"/>
  <c r="J7" i="40" s="1"/>
  <c r="I52" i="40"/>
  <c r="I7" i="40" s="1"/>
  <c r="H52" i="40"/>
  <c r="H7" i="40" s="1"/>
  <c r="G52" i="40"/>
  <c r="G7" i="40" s="1"/>
  <c r="F52" i="40"/>
  <c r="F7" i="40" s="1"/>
  <c r="E52" i="40"/>
  <c r="E7" i="40" s="1"/>
  <c r="C46" i="40"/>
  <c r="C45" i="40"/>
  <c r="C44" i="40"/>
  <c r="C43" i="40"/>
  <c r="C41" i="40"/>
  <c r="C40" i="40"/>
  <c r="C32" i="40"/>
  <c r="O2" i="40"/>
  <c r="N2" i="40"/>
  <c r="M2" i="40"/>
  <c r="L2" i="40"/>
  <c r="K2" i="40"/>
  <c r="J2" i="40"/>
  <c r="I2" i="40"/>
  <c r="H2" i="40"/>
  <c r="G2" i="40"/>
  <c r="F2" i="40"/>
  <c r="E2" i="40"/>
  <c r="D2" i="40"/>
  <c r="E1" i="40"/>
  <c r="F1" i="40" s="1"/>
  <c r="I98" i="40" l="1"/>
  <c r="K98" i="40"/>
  <c r="O98" i="40"/>
  <c r="O99" i="40" s="1"/>
  <c r="O17" i="40" s="1"/>
  <c r="J98" i="40"/>
  <c r="L98" i="40"/>
  <c r="N98" i="40"/>
  <c r="E98" i="40"/>
  <c r="H125" i="40"/>
  <c r="H126" i="40" s="1"/>
  <c r="H24" i="40" s="1"/>
  <c r="G125" i="40"/>
  <c r="G126" i="40" s="1"/>
  <c r="G24" i="40" s="1"/>
  <c r="F125" i="40"/>
  <c r="F126" i="40" s="1"/>
  <c r="F24" i="40" s="1"/>
  <c r="O125" i="40"/>
  <c r="O126" i="40" s="1"/>
  <c r="O24" i="40" s="1"/>
  <c r="E125" i="40"/>
  <c r="E126" i="40" s="1"/>
  <c r="E24" i="40" s="1"/>
  <c r="D125" i="40"/>
  <c r="D126" i="40" s="1"/>
  <c r="D24" i="40" s="1"/>
  <c r="N125" i="40"/>
  <c r="N126" i="40" s="1"/>
  <c r="N24" i="40" s="1"/>
  <c r="I125" i="40"/>
  <c r="I126" i="40" s="1"/>
  <c r="I24" i="40" s="1"/>
  <c r="M125" i="40"/>
  <c r="M126" i="40" s="1"/>
  <c r="M24" i="40" s="1"/>
  <c r="L125" i="40"/>
  <c r="L126" i="40" s="1"/>
  <c r="L24" i="40" s="1"/>
  <c r="K125" i="40"/>
  <c r="K126" i="40" s="1"/>
  <c r="K24" i="40" s="1"/>
  <c r="J125" i="40"/>
  <c r="J126" i="40" s="1"/>
  <c r="J24" i="40" s="1"/>
  <c r="C27" i="40"/>
  <c r="H98" i="40"/>
  <c r="G61" i="40"/>
  <c r="G98" i="40"/>
  <c r="E61" i="40"/>
  <c r="J61" i="40"/>
  <c r="M98" i="40"/>
  <c r="M61" i="40"/>
  <c r="K61" i="40"/>
  <c r="C25" i="40"/>
  <c r="O61" i="40"/>
  <c r="G1" i="40"/>
  <c r="N61" i="40"/>
  <c r="F61" i="40"/>
  <c r="F98" i="40"/>
  <c r="I61" i="40"/>
  <c r="C18" i="40"/>
  <c r="H61" i="40"/>
  <c r="C28" i="40"/>
  <c r="L61" i="40"/>
  <c r="K66" i="40" l="1"/>
  <c r="K14" i="40" s="1"/>
  <c r="K11" i="40"/>
  <c r="H66" i="40"/>
  <c r="H14" i="40" s="1"/>
  <c r="H11" i="40"/>
  <c r="H35" i="40" s="1"/>
  <c r="J66" i="40"/>
  <c r="J14" i="40" s="1"/>
  <c r="J11" i="40"/>
  <c r="J35" i="40" s="1"/>
  <c r="F66" i="40"/>
  <c r="F14" i="40" s="1"/>
  <c r="F11" i="40"/>
  <c r="F35" i="40" s="1"/>
  <c r="G66" i="40"/>
  <c r="G14" i="40" s="1"/>
  <c r="G11" i="40"/>
  <c r="G35" i="40" s="1"/>
  <c r="O66" i="40"/>
  <c r="O14" i="40" s="1"/>
  <c r="O11" i="40"/>
  <c r="O35" i="40" s="1"/>
  <c r="L66" i="40"/>
  <c r="L14" i="40" s="1"/>
  <c r="L11" i="40"/>
  <c r="L35" i="40" s="1"/>
  <c r="M66" i="40"/>
  <c r="M14" i="40" s="1"/>
  <c r="M11" i="40"/>
  <c r="M35" i="40" s="1"/>
  <c r="I66" i="40"/>
  <c r="I14" i="40" s="1"/>
  <c r="I11" i="40"/>
  <c r="I35" i="40" s="1"/>
  <c r="E66" i="40"/>
  <c r="E14" i="40" s="1"/>
  <c r="E11" i="40"/>
  <c r="E35" i="40" s="1"/>
  <c r="N66" i="40"/>
  <c r="N14" i="40" s="1"/>
  <c r="N11" i="40"/>
  <c r="N35" i="40" s="1"/>
  <c r="G99" i="40"/>
  <c r="G17" i="40" s="1"/>
  <c r="F99" i="40"/>
  <c r="F17" i="40" s="1"/>
  <c r="H99" i="40"/>
  <c r="H17" i="40" s="1"/>
  <c r="L99" i="40"/>
  <c r="L17" i="40" s="1"/>
  <c r="J99" i="40"/>
  <c r="J17" i="40" s="1"/>
  <c r="K99" i="40"/>
  <c r="K17" i="40" s="1"/>
  <c r="M99" i="40"/>
  <c r="M17" i="40" s="1"/>
  <c r="E99" i="40"/>
  <c r="E17" i="40" s="1"/>
  <c r="N99" i="40"/>
  <c r="N17" i="40" s="1"/>
  <c r="I99" i="40"/>
  <c r="I17" i="40" s="1"/>
  <c r="M29" i="40"/>
  <c r="G29" i="40"/>
  <c r="O29" i="40"/>
  <c r="D29" i="40"/>
  <c r="L29" i="40"/>
  <c r="E29" i="40"/>
  <c r="H29" i="40"/>
  <c r="F29" i="40"/>
  <c r="N29" i="40"/>
  <c r="K29" i="40"/>
  <c r="J29" i="40"/>
  <c r="I29" i="40"/>
  <c r="G111" i="40"/>
  <c r="G112" i="40" s="1"/>
  <c r="G19" i="40" s="1"/>
  <c r="G117" i="40"/>
  <c r="G20" i="40" s="1"/>
  <c r="E111" i="40"/>
  <c r="E112" i="40" s="1"/>
  <c r="E19" i="40" s="1"/>
  <c r="E117" i="40"/>
  <c r="E20" i="40" s="1"/>
  <c r="F117" i="40"/>
  <c r="F20" i="40" s="1"/>
  <c r="F111" i="40"/>
  <c r="F112" i="40" s="1"/>
  <c r="F19" i="40" s="1"/>
  <c r="H1" i="40"/>
  <c r="M117" i="40"/>
  <c r="M20" i="40" s="1"/>
  <c r="M111" i="40"/>
  <c r="M112" i="40" s="1"/>
  <c r="M19" i="40" s="1"/>
  <c r="J111" i="40"/>
  <c r="J112" i="40" s="1"/>
  <c r="J19" i="40" s="1"/>
  <c r="J117" i="40"/>
  <c r="J20" i="40" s="1"/>
  <c r="O111" i="40"/>
  <c r="O112" i="40" s="1"/>
  <c r="O19" i="40" s="1"/>
  <c r="O117" i="40"/>
  <c r="O20" i="40" s="1"/>
  <c r="L117" i="40"/>
  <c r="L20" i="40" s="1"/>
  <c r="L111" i="40"/>
  <c r="L112" i="40" s="1"/>
  <c r="L19" i="40" s="1"/>
  <c r="H111" i="40"/>
  <c r="H112" i="40" s="1"/>
  <c r="H19" i="40" s="1"/>
  <c r="H117" i="40"/>
  <c r="H20" i="40" s="1"/>
  <c r="N117" i="40"/>
  <c r="N20" i="40" s="1"/>
  <c r="N111" i="40"/>
  <c r="N112" i="40" s="1"/>
  <c r="N19" i="40" s="1"/>
  <c r="I117" i="40"/>
  <c r="I20" i="40" s="1"/>
  <c r="I111" i="40"/>
  <c r="I112" i="40" s="1"/>
  <c r="I19" i="40" s="1"/>
  <c r="K35" i="40"/>
  <c r="K111" i="40"/>
  <c r="K112" i="40" s="1"/>
  <c r="K19" i="40" s="1"/>
  <c r="K117" i="40"/>
  <c r="K20" i="40" s="1"/>
  <c r="C29" i="40" l="1"/>
  <c r="C24" i="40"/>
  <c r="I1" i="40"/>
  <c r="J1" i="40" l="1"/>
  <c r="G39" i="40"/>
  <c r="G38" i="40" s="1"/>
  <c r="G30" i="40"/>
  <c r="D60" i="40"/>
  <c r="D52" i="40"/>
  <c r="D7" i="40" s="1"/>
  <c r="D74" i="40"/>
  <c r="D75" i="40" s="1"/>
  <c r="D15" i="40" s="1"/>
  <c r="G23" i="40" l="1"/>
  <c r="E39" i="40"/>
  <c r="E38" i="40" s="1"/>
  <c r="E30" i="40"/>
  <c r="M39" i="40"/>
  <c r="M38" i="40" s="1"/>
  <c r="M30" i="40"/>
  <c r="C7" i="40"/>
  <c r="H39" i="40"/>
  <c r="H38" i="40" s="1"/>
  <c r="H30" i="40"/>
  <c r="D98" i="40"/>
  <c r="D61" i="40"/>
  <c r="K39" i="40"/>
  <c r="K38" i="40" s="1"/>
  <c r="K30" i="40"/>
  <c r="N39" i="40"/>
  <c r="N38" i="40" s="1"/>
  <c r="N30" i="40"/>
  <c r="I30" i="40"/>
  <c r="I39" i="40"/>
  <c r="I38" i="40" s="1"/>
  <c r="D39" i="40"/>
  <c r="D30" i="40"/>
  <c r="L39" i="40"/>
  <c r="L38" i="40" s="1"/>
  <c r="L30" i="40"/>
  <c r="F39" i="40"/>
  <c r="F38" i="40" s="1"/>
  <c r="F30" i="40"/>
  <c r="O39" i="40"/>
  <c r="O38" i="40" s="1"/>
  <c r="O30" i="40"/>
  <c r="J39" i="40"/>
  <c r="J38" i="40" s="1"/>
  <c r="J30" i="40"/>
  <c r="K1" i="40"/>
  <c r="D66" i="40" l="1"/>
  <c r="D14" i="40" s="1"/>
  <c r="D11" i="40"/>
  <c r="C11" i="40" s="1"/>
  <c r="D99" i="40"/>
  <c r="D17" i="40" s="1"/>
  <c r="C17" i="40" s="1"/>
  <c r="F23" i="40"/>
  <c r="H23" i="40"/>
  <c r="M23" i="40"/>
  <c r="I23" i="40"/>
  <c r="J23" i="40"/>
  <c r="N23" i="40"/>
  <c r="E23" i="40"/>
  <c r="L23" i="40"/>
  <c r="O23" i="40"/>
  <c r="K23" i="40"/>
  <c r="E13" i="40"/>
  <c r="F13" i="40"/>
  <c r="G13" i="40"/>
  <c r="H13" i="40"/>
  <c r="I13" i="40"/>
  <c r="J13" i="40"/>
  <c r="K13" i="40"/>
  <c r="L13" i="40"/>
  <c r="M13" i="40"/>
  <c r="N13" i="40"/>
  <c r="O13" i="40"/>
  <c r="L1" i="40"/>
  <c r="D111" i="40"/>
  <c r="D112" i="40" s="1"/>
  <c r="D19" i="40" s="1"/>
  <c r="D117" i="40"/>
  <c r="C30" i="40"/>
  <c r="D23" i="40"/>
  <c r="C39" i="40"/>
  <c r="C38" i="40" s="1"/>
  <c r="D38" i="40"/>
  <c r="D35" i="40" l="1"/>
  <c r="D20" i="40"/>
  <c r="C20" i="40" s="1"/>
  <c r="M22" i="40"/>
  <c r="I22" i="40"/>
  <c r="L22" i="40"/>
  <c r="O22" i="40"/>
  <c r="H22" i="40"/>
  <c r="E22" i="40"/>
  <c r="N22" i="40"/>
  <c r="J22" i="40"/>
  <c r="C19" i="40"/>
  <c r="J37" i="40"/>
  <c r="J34" i="40" s="1"/>
  <c r="J12" i="40"/>
  <c r="J21" i="40"/>
  <c r="J155" i="40" s="1"/>
  <c r="M37" i="40"/>
  <c r="M34" i="40" s="1"/>
  <c r="M12" i="40"/>
  <c r="M21" i="40"/>
  <c r="M155" i="40" s="1"/>
  <c r="N37" i="40"/>
  <c r="N34" i="40" s="1"/>
  <c r="N21" i="40"/>
  <c r="N155" i="40" s="1"/>
  <c r="N12" i="40"/>
  <c r="E37" i="40"/>
  <c r="E34" i="40" s="1"/>
  <c r="E12" i="40"/>
  <c r="E21" i="40"/>
  <c r="E155" i="40" s="1"/>
  <c r="M1" i="40"/>
  <c r="C14" i="40"/>
  <c r="G12" i="40"/>
  <c r="G37" i="40"/>
  <c r="G34" i="40" s="1"/>
  <c r="G21" i="40"/>
  <c r="G155" i="40" s="1"/>
  <c r="G22" i="40"/>
  <c r="F37" i="40"/>
  <c r="F34" i="40" s="1"/>
  <c r="F21" i="40"/>
  <c r="F155" i="40" s="1"/>
  <c r="F12" i="40"/>
  <c r="K37" i="40"/>
  <c r="K34" i="40" s="1"/>
  <c r="K12" i="40"/>
  <c r="K21" i="40"/>
  <c r="K155" i="40" s="1"/>
  <c r="O37" i="40"/>
  <c r="O34" i="40" s="1"/>
  <c r="O21" i="40"/>
  <c r="O155" i="40" s="1"/>
  <c r="O12" i="40"/>
  <c r="C35" i="40"/>
  <c r="H21" i="40"/>
  <c r="H155" i="40" s="1"/>
  <c r="H37" i="40"/>
  <c r="H34" i="40" s="1"/>
  <c r="H12" i="40"/>
  <c r="L37" i="40"/>
  <c r="L34" i="40" s="1"/>
  <c r="L21" i="40"/>
  <c r="L155" i="40" s="1"/>
  <c r="L12" i="40"/>
  <c r="C23" i="40"/>
  <c r="I37" i="40"/>
  <c r="I34" i="40" s="1"/>
  <c r="I12" i="40"/>
  <c r="I21" i="40"/>
  <c r="I155" i="40" s="1"/>
  <c r="C16" i="40"/>
  <c r="F22" i="40"/>
  <c r="K22" i="40"/>
  <c r="L42" i="40" l="1"/>
  <c r="F42" i="40"/>
  <c r="F156" i="40"/>
  <c r="F31" i="40" s="1"/>
  <c r="I42" i="40"/>
  <c r="J42" i="40"/>
  <c r="H42" i="40"/>
  <c r="H156" i="40"/>
  <c r="H31" i="40" s="1"/>
  <c r="N42" i="40"/>
  <c r="N156" i="40"/>
  <c r="N31" i="40" s="1"/>
  <c r="G42" i="40"/>
  <c r="M42" i="40"/>
  <c r="M156" i="40"/>
  <c r="M31" i="40" s="1"/>
  <c r="O42" i="40"/>
  <c r="K42" i="40"/>
  <c r="K156" i="40"/>
  <c r="K31" i="40" s="1"/>
  <c r="E42" i="40"/>
  <c r="E156" i="40"/>
  <c r="E31" i="40" s="1"/>
  <c r="I33" i="40"/>
  <c r="I156" i="40" s="1"/>
  <c r="I31" i="40" s="1"/>
  <c r="I8" i="40"/>
  <c r="I9" i="40" s="1"/>
  <c r="I10" i="40" s="1"/>
  <c r="F33" i="40"/>
  <c r="F8" i="40"/>
  <c r="F9" i="40" s="1"/>
  <c r="F10" i="40" s="1"/>
  <c r="E33" i="40"/>
  <c r="E8" i="40"/>
  <c r="E9" i="40" s="1"/>
  <c r="E10" i="40" s="1"/>
  <c r="N1" i="40"/>
  <c r="L33" i="40"/>
  <c r="L156" i="40" s="1"/>
  <c r="L31" i="40" s="1"/>
  <c r="L8" i="40"/>
  <c r="L9" i="40" s="1"/>
  <c r="L10" i="40" s="1"/>
  <c r="O33" i="40"/>
  <c r="O156" i="40" s="1"/>
  <c r="O31" i="40" s="1"/>
  <c r="O8" i="40"/>
  <c r="O9" i="40" s="1"/>
  <c r="O10" i="40" s="1"/>
  <c r="G33" i="40"/>
  <c r="G156" i="40" s="1"/>
  <c r="G31" i="40" s="1"/>
  <c r="G8" i="40"/>
  <c r="G9" i="40" s="1"/>
  <c r="G10" i="40" s="1"/>
  <c r="M33" i="40"/>
  <c r="M8" i="40"/>
  <c r="M9" i="40" s="1"/>
  <c r="M10" i="40" s="1"/>
  <c r="H33" i="40"/>
  <c r="H8" i="40"/>
  <c r="H9" i="40" s="1"/>
  <c r="H10" i="40" s="1"/>
  <c r="K33" i="40"/>
  <c r="K8" i="40"/>
  <c r="K9" i="40" s="1"/>
  <c r="K10" i="40" s="1"/>
  <c r="N33" i="40"/>
  <c r="N8" i="40"/>
  <c r="N9" i="40" s="1"/>
  <c r="N10" i="40" s="1"/>
  <c r="J33" i="40"/>
  <c r="J156" i="40" s="1"/>
  <c r="J31" i="40" s="1"/>
  <c r="J8" i="40"/>
  <c r="J9" i="40" s="1"/>
  <c r="J10" i="40" s="1"/>
  <c r="O1" i="40" l="1"/>
  <c r="D13" i="40" l="1"/>
  <c r="D37" i="40" s="1"/>
  <c r="D34" i="40" s="1"/>
  <c r="C15" i="40"/>
  <c r="D12" i="40" l="1"/>
  <c r="C13" i="40"/>
  <c r="D21" i="40"/>
  <c r="D155" i="40" s="1"/>
  <c r="D22" i="40"/>
  <c r="D42" i="40" l="1"/>
  <c r="O47" i="40" s="1"/>
  <c r="C22" i="40"/>
  <c r="C12" i="40"/>
  <c r="C37" i="40"/>
  <c r="C21" i="40"/>
  <c r="D8" i="40"/>
  <c r="D9" i="40" s="1"/>
  <c r="D10" i="40" s="1"/>
  <c r="D33" i="40"/>
  <c r="D156" i="40" s="1"/>
  <c r="C34" i="40" l="1"/>
  <c r="C42" i="40" s="1"/>
  <c r="H47" i="40"/>
  <c r="D31" i="40"/>
  <c r="C31" i="40" s="1"/>
  <c r="E47" i="40"/>
  <c r="F47" i="40"/>
  <c r="D47" i="40"/>
  <c r="I47" i="40"/>
  <c r="J47" i="40"/>
  <c r="N47" i="40"/>
  <c r="G47" i="40"/>
  <c r="L47" i="40"/>
  <c r="K47" i="40"/>
  <c r="M47" i="40"/>
  <c r="C9" i="40"/>
  <c r="C10" i="40" s="1"/>
  <c r="C8" i="40"/>
  <c r="C33" i="40"/>
  <c r="R47" i="40" l="1"/>
  <c r="W47" i="40" a="1"/>
  <c r="W47" i="40" s="1"/>
  <c r="R5" i="40" l="1"/>
  <c r="R4" i="40"/>
  <c r="S4" i="40" s="1" a="1"/>
  <c r="S4" i="40" s="1"/>
  <c r="T4" i="40" s="1" a="1"/>
  <c r="T4" i="40" s="1"/>
  <c r="U4" i="40" s="1" a="1"/>
  <c r="U4" i="40" s="1"/>
  <c r="V4" i="40" s="1" a="1"/>
  <c r="V4" i="4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<sst xmlns="http://schemas.openxmlformats.org/spreadsheetml/2006/main" count="686" uniqueCount="190">
  <si>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</si>
  <si>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</si>
  <si>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</si>
  <si>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</si>
  <si>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</si>
  <si>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</si>
  <si>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</si>
  <si>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</si>
  <si>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</si>
  <si>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</si>
  <si>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</si>
  <si>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</si>
  <si>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</si>
  <si>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</si>
  <si>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</si>
  <si>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</si>
  <si>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</si>
  <si>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</si>
  <si>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</si>
  <si>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</si>
  <si>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</si>
  <si>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</si>
  <si>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</si>
  <si>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</si>
  <si>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</si>
  <si>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</si>
  <si>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</si>
  <si>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</si>
  <si>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</si>
  <si>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</si>
  <si>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</si>
  <si>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</si>
  <si>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</si>
  <si>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</si>
  <si>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</si>
  <si>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</si>
  <si>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</si>
  <si>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</si>
  <si>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</si>
  <si>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</si>
  <si>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</si>
  <si>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</si>
  <si>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</si>
  <si>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</si>
  <si>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</si>
  <si>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</si>
  <si>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</si>
  <si>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</si>
  <si>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</si>
  <si>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</si>
  <si>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</si>
  <si>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</si>
  <si>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</si>
  <si>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</si>
  <si>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</si>
  <si>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</si>
  <si>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</si>
  <si>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</si>
  <si>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</si>
  <si>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</si>
  <si>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</si>
  <si>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</si>
  <si>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</si>
  <si>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</si>
  <si>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</si>
  <si>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</si>
  <si>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</si>
  <si>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</si>
  <si>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</si>
  <si>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</si>
  <si>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</si>
  <si>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</si>
  <si>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</si>
  <si>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</si>
  <si>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</si>
  <si>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</si>
  <si>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</si>
  <si>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</si>
  <si>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</si>
  <si>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</si>
  <si>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</si>
  <si>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</si>
  <si>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</si>
  <si>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</si>
  <si>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</si>
  <si>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</si>
  <si>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</si>
  <si>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</si>
  <si>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</si>
  <si>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</si>
  <si>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</si>
  <si>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</si>
  <si>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</si>
  <si>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</si>
  <si>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</si>
  <si>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</si>
  <si>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</si>
  <si>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</si>
  <si>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</si>
  <si>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</si>
  <si>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</si>
  <si>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</si>
  <si>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</si>
  <si>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</si>
  <si>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</si>
  <si>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</si>
  <si>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</si>
  <si>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</si>
  <si>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</si>
  <si>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</si>
  <si>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</si>
  <si>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</si>
  <si>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</si>
  <si>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</si>
  <si>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</si>
  <si>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</si>
  <si>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</si>
  <si>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</si>
  <si>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</si>
  <si>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</si>
  <si>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</si>
  <si>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</si>
  <si>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</si>
  <si>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</si>
  <si>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</si>
  <si>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</si>
  <si>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</si>
  <si>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</si>
  <si>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</si>
  <si>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</si>
  <si>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</si>
  <si>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</si>
  <si>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</si>
  <si>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</si>
  <si>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</si>
  <si>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</si>
  <si>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</si>
  <si>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</si>
  <si>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</si>
  <si>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</si>
  <si>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</si>
  <si>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</si>
  <si>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</si>
  <si>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</si>
  <si>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</si>
  <si>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</si>
  <si>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</si>
  <si>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</si>
  <si>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</si>
  <si>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</si>
  <si>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</si>
  <si>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2025</t>
  </si>
  <si>
    <t>2026</t>
  </si>
  <si>
    <t>2027</t>
  </si>
  <si>
    <t>2028</t>
  </si>
  <si>
    <t>QT02</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</si>
  <si>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</si>
  <si>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</si>
  <si>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</si>
  <si>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</si>
  <si>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</si>
  <si>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</si>
  <si>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</si>
  <si>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</si>
  <si>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</si>
  <si>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Kế hoạch chi phí nhân sự (+ bảo hiểm)</t>
  </si>
  <si>
    <t>Liệt kê danh sách TSCĐ dự kiến chi trả tiền đầu tư (giá trị âm) hay thu tiền thanh lý (giá trị dương)</t>
  </si>
  <si>
    <t>Dòng tiền đầu tư và thanh lý TSCĐ</t>
  </si>
  <si>
    <t>Liệt kê danh sách các khoản đầu tư tài chính dự kiến đầu tư (giá trị âm)</t>
  </si>
  <si>
    <t>Dòng tiền đầu tư tài chính</t>
  </si>
  <si>
    <t>Liệt kê danh sách các khoản đầu tư tài chính dự kiến thu hồi (giá trị dương)</t>
  </si>
  <si>
    <t>Liệt kê danh sách các khoản vay dự kiến có thể huy động thêm (giá trị dương)</t>
  </si>
  <si>
    <t>Dòng tiền huy động vốn vay</t>
  </si>
  <si>
    <t>Liệt kê danh sách các khoản vốn góp dự kiến có thể huy động thêm (giá trị dương)</t>
  </si>
  <si>
    <t>Dòng tiền huy động vốn góp</t>
  </si>
  <si>
    <t>Dòng tiền thu hồi từ đầu tư tài chính</t>
  </si>
  <si>
    <t xml:space="preserve"> Tổng </t>
  </si>
  <si>
    <t xml:space="preserve"> Total </t>
  </si>
  <si>
    <t xml:space="preserve">  Total  </t>
  </si>
  <si>
    <t xml:space="preserve">   Total   </t>
  </si>
  <si>
    <t xml:space="preserve">    Total    </t>
  </si>
  <si>
    <t xml:space="preserve">     Total     </t>
  </si>
  <si>
    <t xml:space="preserve">      Total      </t>
  </si>
  <si>
    <t>2024</t>
  </si>
  <si>
    <t>Tăng trưởng dòng tiền kỳ vọng</t>
  </si>
  <si>
    <t>Năm đầu</t>
  </si>
  <si>
    <t>Tỷ suất lợi nhuận yêu cầu</t>
  </si>
  <si>
    <t>PIybEyHvvhO7Rf2wifv7O0bHv5bzw64DdDUJ</t>
  </si>
  <si>
    <t>8FE818A2-E086-5510-A5BA-2CF05D89041D</t>
  </si>
  <si>
    <t>FIRM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</si>
</sst>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b/>
      <sz val="8"/>
      <color theme="9" tint="-0.499984740745262"/>
      <name val="Segoe UI Light"/>
      <family val="2"/>
      <scheme val="minor"/>
    </font>
    <font>
      <sz val="11"/>
      <color theme="0"/>
      <name val="Segoe UI Light"/>
      <family val="2"/>
      <scheme val="minor"/>
    </font>
    <font>
      <u/>
      <sz val="12"/>
      <color theme="1"/>
      <name val="Segoe UI Light"/>
      <family val="2"/>
      <scheme val="minor"/>
    </font>
    <font>
      <i/>
      <sz val="8"/>
      <color theme="9"/>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9">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9" fontId="5" fillId="0" borderId="0" xfId="2"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164" fontId="9"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5" fillId="2" borderId="0" xfId="2" applyFont="1" applyFill="1" applyAlignment="1" applyProtection="1">
      <alignment horizontal="center" vertical="center"/>
      <protection locked="0" hidden="1"/>
    </xf>
    <xf numFmtId="0" fontId="26" fillId="0" borderId="0" xfId="0" applyFont="1" applyAlignment="1" applyProtection="1">
      <alignment vertical="center"/>
      <protection locked="0"/>
    </xf>
    <xf numFmtId="164" fontId="8" fillId="0" borderId="0" xfId="1" applyNumberFormat="1" applyFont="1" applyFill="1" applyAlignment="1" applyProtection="1">
      <alignment horizontal="right" vertical="center"/>
      <protection locked="0" hidden="1"/>
    </xf>
    <xf numFmtId="164" fontId="15" fillId="2" borderId="0" xfId="1" applyNumberFormat="1" applyFont="1" applyFill="1" applyAlignment="1" applyProtection="1">
      <alignment horizontal="right" vertical="center"/>
      <protection locked="0" hidden="1"/>
    </xf>
    <xf numFmtId="164" fontId="5" fillId="0" borderId="0" xfId="1" applyNumberFormat="1" applyFont="1" applyAlignment="1" applyProtection="1">
      <alignment horizontal="center" vertical="center"/>
      <protection locked="0" hidden="1"/>
    </xf>
    <xf numFmtId="0" fontId="28" fillId="0" borderId="0" xfId="0" applyFont="1" applyAlignment="1" applyProtection="1">
      <alignment vertical="center"/>
      <protection locked="0" hidden="1"/>
    </xf>
    <xf numFmtId="0" fontId="10" fillId="0" borderId="0" xfId="0" applyFont="1" applyAlignment="1" applyProtection="1">
      <alignment horizontal="center" vertical="center"/>
      <protection locked="0" hidden="1"/>
    </xf>
    <xf numFmtId="164" fontId="13" fillId="0" borderId="0" xfId="1" applyNumberFormat="1" applyFont="1" applyAlignment="1" applyProtection="1">
      <alignment vertical="center"/>
      <protection locked="0" hidden="1"/>
    </xf>
    <xf numFmtId="9" fontId="5" fillId="0" borderId="0" xfId="2" applyFont="1" applyAlignment="1" applyProtection="1">
      <alignment horizontal="center" vertical="center"/>
      <protection locked="0" hidden="1"/>
    </xf>
    <xf numFmtId="0" fontId="7" fillId="0" borderId="0" xfId="0" applyFont="1" applyAlignment="1" applyProtection="1">
      <alignment vertical="center" wrapText="1"/>
      <protection locked="0" hidden="1"/>
    </xf>
    <xf numFmtId="9" fontId="7" fillId="0" borderId="0" xfId="2" applyFont="1" applyAlignment="1" applyProtection="1">
      <alignment horizontal="center" vertical="center"/>
      <protection locked="0" hidden="1"/>
    </xf>
    <xf numFmtId="9" fontId="14" fillId="0" borderId="0" xfId="2" applyFont="1" applyAlignment="1" applyProtection="1">
      <alignment vertical="center"/>
      <protection locked="0" hidden="1"/>
    </xf>
    <xf numFmtId="43" fontId="7"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10" fillId="0" borderId="0" xfId="1" applyNumberFormat="1" applyFont="1" applyAlignment="1">
      <alignment vertical="center"/>
    </xf>
    <xf numFmtId="164" fontId="10" fillId="0" borderId="0" xfId="1" applyNumberFormat="1" applyFont="1"/>
    <xf numFmtId="164" fontId="7" fillId="0" borderId="0" xfId="1" applyNumberFormat="1" applyFont="1" applyFill="1" applyAlignment="1" applyProtection="1">
      <alignment vertical="center"/>
      <protection locked="0" hidden="1"/>
    </xf>
    <xf numFmtId="164" fontId="7" fillId="0" borderId="2" xfId="1" applyNumberFormat="1" applyFont="1" applyBorder="1" applyAlignment="1" applyProtection="1">
      <alignment vertical="center"/>
      <protection locked="0" hidden="1"/>
    </xf>
    <xf numFmtId="167" fontId="10" fillId="0" borderId="0" xfId="0" applyNumberFormat="1" applyFont="1" applyAlignment="1" applyProtection="1">
      <alignment horizontal="center" vertical="center"/>
      <protection locked="0" hidden="1"/>
    </xf>
    <xf numFmtId="9" fontId="13" fillId="0" borderId="0" xfId="2"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10" fillId="0" borderId="2" xfId="1" applyNumberFormat="1" applyFont="1" applyBorder="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164" fontId="10" fillId="0" borderId="0" xfId="1" applyNumberFormat="1" applyFont="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6" fillId="0" borderId="3" xfId="1" applyNumberFormat="1" applyFont="1" applyBorder="1" applyAlignment="1">
      <alignment vertical="center"/>
    </xf>
    <xf numFmtId="164" fontId="5" fillId="0" borderId="0" xfId="0" applyNumberFormat="1" applyFont="1" applyAlignment="1" applyProtection="1">
      <alignment horizontal="right" vertical="center"/>
      <protection locked="0" hidden="1"/>
    </xf>
    <xf numFmtId="164" fontId="10" fillId="0" borderId="0" xfId="0" applyNumberFormat="1" applyFont="1" applyAlignment="1" applyProtection="1">
      <alignment horizontal="right" vertical="center"/>
      <protection locked="0" hidden="1"/>
    </xf>
    <xf numFmtId="164" fontId="6" fillId="0" borderId="1" xfId="1" applyNumberFormat="1" applyFont="1" applyBorder="1" applyAlignment="1">
      <alignment horizontal="center" vertical="center"/>
    </xf>
    <xf numFmtId="9" fontId="6" fillId="0" borderId="1" xfId="2" applyFont="1" applyBorder="1" applyAlignment="1">
      <alignment horizontal="center" vertical="center"/>
    </xf>
    <xf numFmtId="9" fontId="5" fillId="0" borderId="0" xfId="2" applyFont="1" applyAlignment="1" applyProtection="1">
      <alignment horizontal="right" vertical="center"/>
      <protection locked="0" hidden="1"/>
    </xf>
    <xf numFmtId="9" fontId="10" fillId="0" borderId="0" xfId="0" applyNumberFormat="1" applyFont="1" applyAlignment="1" applyProtection="1">
      <alignment horizontal="right" vertical="center"/>
      <protection locked="0" hidden="1"/>
    </xf>
    <xf numFmtId="9" fontId="8" fillId="2" borderId="0" xfId="2" applyFont="1" applyFill="1" applyAlignment="1" applyProtection="1">
      <alignment horizontal="center" vertical="center"/>
      <protection locked="0" hidden="1"/>
    </xf>
  </cellXfs>
  <cellStyles count="3">
    <cellStyle name="Comma" xfId="1" builtinId="3"/>
    <cellStyle name="Normal" xfId="0" builtinId="0"/>
    <cellStyle name="Percent" xfId="2" builtinId="5"/>
  </cellStyles>
  <dxfs count="866">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865"/>
      <tableStyleElement type="headerRow" dxfId="864"/>
    </tableStyle>
    <tableStyle name="SlicerStyleLight1 2 2" pivot="0" table="0" count="10" xr9:uid="{9DB8D611-4D15-4128-AF8D-E3329BCC5BCE}">
      <tableStyleElement type="wholeTable" dxfId="863"/>
      <tableStyleElement type="headerRow" dxfId="862"/>
    </tableStyle>
    <tableStyle name="TimeSlicerStyleLight1 2" pivot="0" table="0" count="9" xr9:uid="{58382D9D-B456-41C4-B229-09D2A872184E}">
      <tableStyleElement type="wholeTable" dxfId="861"/>
      <tableStyleElement type="headerRow" dxfId="86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123824</xdr:colOff>
          <xdr:row>2</xdr:row>
          <xdr:rowOff>76200</xdr:rowOff>
        </xdr:from>
        <xdr:to>
          <xdr:col>1</xdr:col>
          <xdr:colOff>2114549</xdr:colOff>
          <xdr:row>3</xdr:row>
          <xdr:rowOff>209550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857249" y="533400"/>
              <a:ext cx="1990725" cy="361950"/>
              <a:chOff x="8191500" y="3409950"/>
              <a:chExt cx="1990725" cy="361950"/>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2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47625</xdr:colOff>
          <xdr:row>0</xdr:row>
          <xdr:rowOff>190500</xdr:rowOff>
        </xdr:from>
        <xdr:to>
          <xdr:col>24</xdr:col>
          <xdr:colOff>9525</xdr:colOff>
          <xdr:row>4</xdr:row>
          <xdr:rowOff>66675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4163675" y="190500"/>
              <a:ext cx="590550" cy="790575"/>
              <a:chOff x="14658975" y="866770"/>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1</xdr:row>
          <xdr:rowOff>0</xdr:rowOff>
        </xdr:from>
        <xdr:to>
          <xdr:col>27</xdr:col>
          <xdr:colOff>647700</xdr:colOff>
          <xdr:row>4</xdr:row>
          <xdr:rowOff>104775</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8392775" y="228600"/>
              <a:ext cx="590550" cy="790575"/>
              <a:chOff x="14658975" y="866770"/>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114300</xdr:rowOff>
        </xdr:from>
        <xdr:to>
          <xdr:col>0</xdr:col>
          <xdr:colOff>685800</xdr:colOff>
          <xdr:row>49</xdr:row>
          <xdr:rowOff>209550</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6675" y="108585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52</xdr:row>
          <xdr:rowOff>95250</xdr:rowOff>
        </xdr:from>
        <xdr:to>
          <xdr:col>0</xdr:col>
          <xdr:colOff>685800</xdr:colOff>
          <xdr:row>54</xdr:row>
          <xdr:rowOff>190500</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66675" y="119824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56</xdr:row>
          <xdr:rowOff>66675</xdr:rowOff>
        </xdr:from>
        <xdr:to>
          <xdr:col>0</xdr:col>
          <xdr:colOff>685800</xdr:colOff>
          <xdr:row>58</xdr:row>
          <xdr:rowOff>161925</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66675" y="128682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61</xdr:row>
          <xdr:rowOff>76200</xdr:rowOff>
        </xdr:from>
        <xdr:to>
          <xdr:col>0</xdr:col>
          <xdr:colOff>685800</xdr:colOff>
          <xdr:row>63</xdr:row>
          <xdr:rowOff>171450</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66675" y="140208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66</xdr:row>
          <xdr:rowOff>38100</xdr:rowOff>
        </xdr:from>
        <xdr:to>
          <xdr:col>0</xdr:col>
          <xdr:colOff>685800</xdr:colOff>
          <xdr:row>68</xdr:row>
          <xdr:rowOff>133350</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6675" y="151257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70</xdr:row>
          <xdr:rowOff>95250</xdr:rowOff>
        </xdr:from>
        <xdr:to>
          <xdr:col>0</xdr:col>
          <xdr:colOff>685800</xdr:colOff>
          <xdr:row>72</xdr:row>
          <xdr:rowOff>190500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6675" y="160972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75</xdr:row>
          <xdr:rowOff>85725</xdr:rowOff>
        </xdr:from>
        <xdr:to>
          <xdr:col>0</xdr:col>
          <xdr:colOff>685800</xdr:colOff>
          <xdr:row>77</xdr:row>
          <xdr:rowOff>180975</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66675" y="172307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80</xdr:row>
          <xdr:rowOff>66675</xdr:rowOff>
        </xdr:from>
        <xdr:to>
          <xdr:col>0</xdr:col>
          <xdr:colOff>685800</xdr:colOff>
          <xdr:row>82</xdr:row>
          <xdr:rowOff>161925</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66675" y="183546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85725</xdr:rowOff>
        </xdr:from>
        <xdr:to>
          <xdr:col>0</xdr:col>
          <xdr:colOff>685800</xdr:colOff>
          <xdr:row>87</xdr:row>
          <xdr:rowOff>180975</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6675" y="19516725"/>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90</xdr:row>
          <xdr:rowOff>123825</xdr:rowOff>
        </xdr:from>
        <xdr:to>
          <xdr:col>0</xdr:col>
          <xdr:colOff>685800</xdr:colOff>
          <xdr:row>92</xdr:row>
          <xdr:rowOff>219075</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66675" y="20697825"/>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94</xdr:row>
          <xdr:rowOff>114300</xdr:rowOff>
        </xdr:from>
        <xdr:to>
          <xdr:col>0</xdr:col>
          <xdr:colOff>685800</xdr:colOff>
          <xdr:row>96</xdr:row>
          <xdr:rowOff>209550</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66675" y="2160270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99</xdr:row>
          <xdr:rowOff>123825</xdr:rowOff>
        </xdr:from>
        <xdr:to>
          <xdr:col>0</xdr:col>
          <xdr:colOff>685800</xdr:colOff>
          <xdr:row>101</xdr:row>
          <xdr:rowOff>219075</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6675" y="22755225"/>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103</xdr:row>
          <xdr:rowOff>104775</xdr:rowOff>
        </xdr:from>
        <xdr:to>
          <xdr:col>0</xdr:col>
          <xdr:colOff>685800</xdr:colOff>
          <xdr:row>105</xdr:row>
          <xdr:rowOff>200025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66675" y="23650575"/>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107</xdr:row>
          <xdr:rowOff>104775</xdr:rowOff>
        </xdr:from>
        <xdr:to>
          <xdr:col>0</xdr:col>
          <xdr:colOff>685800</xdr:colOff>
          <xdr:row>109</xdr:row>
          <xdr:rowOff>200025</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66675" y="2456497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112</xdr:row>
          <xdr:rowOff>123825</xdr:rowOff>
        </xdr:from>
        <xdr:to>
          <xdr:col>0</xdr:col>
          <xdr:colOff>685800</xdr:colOff>
          <xdr:row>114</xdr:row>
          <xdr:rowOff>219075</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66675" y="25727025"/>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117</xdr:row>
          <xdr:rowOff>123825</xdr:rowOff>
        </xdr:from>
        <xdr:to>
          <xdr:col>0</xdr:col>
          <xdr:colOff>685800</xdr:colOff>
          <xdr:row>119</xdr:row>
          <xdr:rowOff>219075</xdr:rowOff>
        </xdr:to>
        <xdr:grpSp>
          <xdr:nvGrpSpPr>
            <xdr:cNvPr id="26" name="Group 25">
              <a:extLst>
                <a:ext uri="{FF2B5EF4-FFF2-40B4-BE49-F238E27FC236}">
                  <a16:creationId xmlns:a16="http://schemas.microsoft.com/office/drawing/2014/main" id="{00000000-0008-0000-0200-00001A000000}"/>
                </a:ext>
              </a:extLst>
            </xdr:cNvPr>
            <xdr:cNvGrpSpPr/>
          </xdr:nvGrpSpPr>
          <xdr:grpSpPr>
            <a:xfrm>
              <a:off x="66675" y="26870025"/>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121</xdr:row>
          <xdr:rowOff>133350</xdr:rowOff>
        </xdr:from>
        <xdr:to>
          <xdr:col>0</xdr:col>
          <xdr:colOff>685800</xdr:colOff>
          <xdr:row>124</xdr:row>
          <xdr:rowOff>0</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66675" y="2779395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126</xdr:row>
          <xdr:rowOff>123825</xdr:rowOff>
        </xdr:from>
        <xdr:to>
          <xdr:col>0</xdr:col>
          <xdr:colOff>685800</xdr:colOff>
          <xdr:row>128</xdr:row>
          <xdr:rowOff>219075</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6675" y="2892742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131</xdr:row>
          <xdr:rowOff>133350</xdr:rowOff>
        </xdr:from>
        <xdr:to>
          <xdr:col>0</xdr:col>
          <xdr:colOff>685800</xdr:colOff>
          <xdr:row>134</xdr:row>
          <xdr:rowOff>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66675" y="30079950"/>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137</xdr:row>
          <xdr:rowOff>133350</xdr:rowOff>
        </xdr:from>
        <xdr:to>
          <xdr:col>0</xdr:col>
          <xdr:colOff>685800</xdr:colOff>
          <xdr:row>140</xdr:row>
          <xdr:rowOff>0</xdr:rowOff>
        </xdr:to>
        <xdr:grpSp>
          <xdr:nvGrpSpPr>
            <xdr:cNvPr id="32" name="Group 31">
              <a:extLst>
                <a:ext uri="{FF2B5EF4-FFF2-40B4-BE49-F238E27FC236}">
                  <a16:creationId xmlns:a16="http://schemas.microsoft.com/office/drawing/2014/main" id="{00000000-0008-0000-0200-000020000000}"/>
                </a:ext>
              </a:extLst>
            </xdr:cNvPr>
            <xdr:cNvGrpSpPr/>
          </xdr:nvGrpSpPr>
          <xdr:grpSpPr>
            <a:xfrm>
              <a:off x="66675" y="31451550"/>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143</xdr:row>
          <xdr:rowOff>123825</xdr:rowOff>
        </xdr:from>
        <xdr:to>
          <xdr:col>0</xdr:col>
          <xdr:colOff>685800</xdr:colOff>
          <xdr:row>145</xdr:row>
          <xdr:rowOff>219075</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66675" y="328136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149</xdr:row>
          <xdr:rowOff>152400</xdr:rowOff>
        </xdr:from>
        <xdr:to>
          <xdr:col>0</xdr:col>
          <xdr:colOff>685800</xdr:colOff>
          <xdr:row>152</xdr:row>
          <xdr:rowOff>19050</xdr:rowOff>
        </xdr:to>
        <xdr:grpSp>
          <xdr:nvGrpSpPr>
            <xdr:cNvPr id="34" name="Group 33">
              <a:extLst>
                <a:ext uri="{FF2B5EF4-FFF2-40B4-BE49-F238E27FC236}">
                  <a16:creationId xmlns:a16="http://schemas.microsoft.com/office/drawing/2014/main" id="{00000000-0008-0000-0200-000022000000}"/>
                </a:ext>
              </a:extLst>
            </xdr:cNvPr>
            <xdr:cNvGrpSpPr/>
          </xdr:nvGrpSpPr>
          <xdr:grpSpPr>
            <a:xfrm>
              <a:off x="66675" y="3421380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161</xdr:row>
          <xdr:rowOff>104775</xdr:rowOff>
        </xdr:from>
        <xdr:to>
          <xdr:col>0</xdr:col>
          <xdr:colOff>685800</xdr:colOff>
          <xdr:row>163</xdr:row>
          <xdr:rowOff>200025</xdr:rowOff>
        </xdr:to>
        <xdr:grpSp>
          <xdr:nvGrpSpPr>
            <xdr:cNvPr id="35" name="Group 34">
              <a:extLst>
                <a:ext uri="{FF2B5EF4-FFF2-40B4-BE49-F238E27FC236}">
                  <a16:creationId xmlns:a16="http://schemas.microsoft.com/office/drawing/2014/main" id="{00000000-0008-0000-0200-000023000000}"/>
                </a:ext>
              </a:extLst>
            </xdr:cNvPr>
            <xdr:cNvGrpSpPr/>
          </xdr:nvGrpSpPr>
          <xdr:grpSpPr>
            <a:xfrm>
              <a:off x="66675" y="36909375"/>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189</xdr:row>
          <xdr:rowOff>85725</xdr:rowOff>
        </xdr:from>
        <xdr:to>
          <xdr:col>0</xdr:col>
          <xdr:colOff>685800</xdr:colOff>
          <xdr:row>191</xdr:row>
          <xdr:rowOff>180975</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66675" y="4329112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156</xdr:row>
          <xdr:rowOff>114300</xdr:rowOff>
        </xdr:from>
        <xdr:to>
          <xdr:col>0</xdr:col>
          <xdr:colOff>685800</xdr:colOff>
          <xdr:row>158</xdr:row>
          <xdr:rowOff>209550</xdr:rowOff>
        </xdr:to>
        <xdr:grpSp>
          <xdr:nvGrpSpPr>
            <xdr:cNvPr id="37" name="Group 36">
              <a:extLst>
                <a:ext uri="{FF2B5EF4-FFF2-40B4-BE49-F238E27FC236}">
                  <a16:creationId xmlns:a16="http://schemas.microsoft.com/office/drawing/2014/main" id="{00000000-0008-0000-0200-000025000000}"/>
                </a:ext>
              </a:extLst>
            </xdr:cNvPr>
            <xdr:cNvGrpSpPr/>
          </xdr:nvGrpSpPr>
          <xdr:grpSpPr>
            <a:xfrm>
              <a:off x="66675" y="357759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165</xdr:row>
          <xdr:rowOff>85725</xdr:rowOff>
        </xdr:from>
        <xdr:to>
          <xdr:col>0</xdr:col>
          <xdr:colOff>685800</xdr:colOff>
          <xdr:row>167</xdr:row>
          <xdr:rowOff>180975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6675" y="37804725"/>
              <a:ext cx="619125" cy="552450"/>
              <a:chOff x="342900" y="11725275"/>
              <a:chExt cx="619125" cy="552450"/>
            </a:xfrm>
          </xdr:grpSpPr>
          <xdr:sp macro="" textlink="">
            <xdr:nvSpPr>
              <xdr:cNvPr id="50254" name="Button 78" hidden="1">
                <a:extLst>
                  <a:ext uri="{63B3BB69-23CF-44E3-9099-C40C66FF867C}">
                    <a14:compatExt spid="_x0000_s50254"/>
                  </a:ext>
                  <a:ext uri="{FF2B5EF4-FFF2-40B4-BE49-F238E27FC236}">
                    <a16:creationId xmlns:a16="http://schemas.microsoft.com/office/drawing/2014/main" id="{00000000-0008-0000-0200-00004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5" name="Button 79" hidden="1">
                <a:extLst>
                  <a:ext uri="{63B3BB69-23CF-44E3-9099-C40C66FF867C}">
                    <a14:compatExt spid="_x0000_s50255"/>
                  </a:ext>
                  <a:ext uri="{FF2B5EF4-FFF2-40B4-BE49-F238E27FC236}">
                    <a16:creationId xmlns:a16="http://schemas.microsoft.com/office/drawing/2014/main" id="{00000000-0008-0000-0200-00004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170</xdr:row>
          <xdr:rowOff>95250</xdr:rowOff>
        </xdr:from>
        <xdr:to>
          <xdr:col>0</xdr:col>
          <xdr:colOff>685800</xdr:colOff>
          <xdr:row>172</xdr:row>
          <xdr:rowOff>190500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66675" y="38957250"/>
              <a:ext cx="619125" cy="552450"/>
              <a:chOff x="342900" y="11725275"/>
              <a:chExt cx="619125" cy="552450"/>
            </a:xfrm>
          </xdr:grpSpPr>
          <xdr:sp macro="" textlink="">
            <xdr:nvSpPr>
              <xdr:cNvPr id="50256" name="Button 80" hidden="1">
                <a:extLst>
                  <a:ext uri="{63B3BB69-23CF-44E3-9099-C40C66FF867C}">
                    <a14:compatExt spid="_x0000_s50256"/>
                  </a:ext>
                  <a:ext uri="{FF2B5EF4-FFF2-40B4-BE49-F238E27FC236}">
                    <a16:creationId xmlns:a16="http://schemas.microsoft.com/office/drawing/2014/main" id="{00000000-0008-0000-0200-00005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7" name="Button 81" hidden="1">
                <a:extLst>
                  <a:ext uri="{63B3BB69-23CF-44E3-9099-C40C66FF867C}">
                    <a14:compatExt spid="_x0000_s50257"/>
                  </a:ext>
                  <a:ext uri="{FF2B5EF4-FFF2-40B4-BE49-F238E27FC236}">
                    <a16:creationId xmlns:a16="http://schemas.microsoft.com/office/drawing/2014/main" id="{00000000-0008-0000-0200-00005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175</xdr:row>
          <xdr:rowOff>85725</xdr:rowOff>
        </xdr:from>
        <xdr:to>
          <xdr:col>0</xdr:col>
          <xdr:colOff>685800</xdr:colOff>
          <xdr:row>177</xdr:row>
          <xdr:rowOff>180975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66675" y="40090725"/>
              <a:ext cx="619125" cy="552450"/>
              <a:chOff x="342900" y="11725275"/>
              <a:chExt cx="619125" cy="552450"/>
            </a:xfrm>
          </xdr:grpSpPr>
          <xdr:sp macro="" textlink="">
            <xdr:nvSpPr>
              <xdr:cNvPr id="50258" name="Button 82" hidden="1">
                <a:extLst>
                  <a:ext uri="{63B3BB69-23CF-44E3-9099-C40C66FF867C}">
                    <a14:compatExt spid="_x0000_s50258"/>
                  </a:ext>
                  <a:ext uri="{FF2B5EF4-FFF2-40B4-BE49-F238E27FC236}">
                    <a16:creationId xmlns:a16="http://schemas.microsoft.com/office/drawing/2014/main" id="{00000000-0008-0000-0200-00005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9" name="Button 83" hidden="1">
                <a:extLst>
                  <a:ext uri="{63B3BB69-23CF-44E3-9099-C40C66FF867C}">
                    <a14:compatExt spid="_x0000_s50259"/>
                  </a:ext>
                  <a:ext uri="{FF2B5EF4-FFF2-40B4-BE49-F238E27FC236}">
                    <a16:creationId xmlns:a16="http://schemas.microsoft.com/office/drawing/2014/main" id="{00000000-0008-0000-0200-00005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180</xdr:row>
          <xdr:rowOff>85725</xdr:rowOff>
        </xdr:from>
        <xdr:to>
          <xdr:col>0</xdr:col>
          <xdr:colOff>685800</xdr:colOff>
          <xdr:row>182</xdr:row>
          <xdr:rowOff>180975</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66675" y="41233725"/>
              <a:ext cx="619125" cy="552450"/>
              <a:chOff x="342900" y="11725275"/>
              <a:chExt cx="619125" cy="552450"/>
            </a:xfrm>
          </xdr:grpSpPr>
          <xdr:sp macro="" textlink="">
            <xdr:nvSpPr>
              <xdr:cNvPr id="50260" name="Button 84" hidden="1">
                <a:extLst>
                  <a:ext uri="{63B3BB69-23CF-44E3-9099-C40C66FF867C}">
                    <a14:compatExt spid="_x0000_s50260"/>
                  </a:ext>
                  <a:ext uri="{FF2B5EF4-FFF2-40B4-BE49-F238E27FC236}">
                    <a16:creationId xmlns:a16="http://schemas.microsoft.com/office/drawing/2014/main" id="{00000000-0008-0000-0200-00005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61" name="Button 85" hidden="1">
                <a:extLst>
                  <a:ext uri="{63B3BB69-23CF-44E3-9099-C40C66FF867C}">
                    <a14:compatExt spid="_x0000_s50261"/>
                  </a:ext>
                  <a:ext uri="{FF2B5EF4-FFF2-40B4-BE49-F238E27FC236}">
                    <a16:creationId xmlns:a16="http://schemas.microsoft.com/office/drawing/2014/main" id="{00000000-0008-0000-0200-00005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185</xdr:row>
          <xdr:rowOff>123825</xdr:rowOff>
        </xdr:from>
        <xdr:to>
          <xdr:col>0</xdr:col>
          <xdr:colOff>685800</xdr:colOff>
          <xdr:row>187</xdr:row>
          <xdr:rowOff>219075</xdr:rowOff>
        </xdr:to>
        <xdr:grpSp>
          <xdr:nvGrpSpPr>
            <xdr:cNvPr id="31" name="Group 30">
              <a:extLst>
                <a:ext uri="{FF2B5EF4-FFF2-40B4-BE49-F238E27FC236}">
                  <a16:creationId xmlns:a16="http://schemas.microsoft.com/office/drawing/2014/main" id="{00000000-0008-0000-0200-00001F000000}"/>
                </a:ext>
              </a:extLst>
            </xdr:cNvPr>
            <xdr:cNvGrpSpPr/>
          </xdr:nvGrpSpPr>
          <xdr:grpSpPr>
            <a:xfrm>
              <a:off x="66675" y="42414825"/>
              <a:ext cx="619125" cy="552450"/>
              <a:chOff x="342900" y="11725275"/>
              <a:chExt cx="619125" cy="552450"/>
            </a:xfrm>
          </xdr:grpSpPr>
          <xdr:sp macro="" textlink="">
            <xdr:nvSpPr>
              <xdr:cNvPr id="50262" name="Button 86" hidden="1">
                <a:extLst>
                  <a:ext uri="{63B3BB69-23CF-44E3-9099-C40C66FF867C}">
                    <a14:compatExt spid="_x0000_s50262"/>
                  </a:ext>
                  <a:ext uri="{FF2B5EF4-FFF2-40B4-BE49-F238E27FC236}">
                    <a16:creationId xmlns:a16="http://schemas.microsoft.com/office/drawing/2014/main" id="{00000000-0008-0000-0200-00005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63" name="Button 87" hidden="1">
                <a:extLst>
                  <a:ext uri="{63B3BB69-23CF-44E3-9099-C40C66FF867C}">
                    <a14:compatExt spid="_x0000_s50263"/>
                  </a:ext>
                  <a:ext uri="{FF2B5EF4-FFF2-40B4-BE49-F238E27FC236}">
                    <a16:creationId xmlns:a16="http://schemas.microsoft.com/office/drawing/2014/main" id="{00000000-0008-0000-0200-00005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osung\Downloads\EASY.xlsm" TargetMode="External"/><Relationship Id="rId1" Type="http://schemas.openxmlformats.org/officeDocument/2006/relationships/externalLinkPath" Target="/Users/Hyosung/Downloads/EAS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curity"/>
      <sheetName val="HDSD"/>
      <sheetName val="EULA"/>
      <sheetName val="Contents"/>
      <sheetName val="Pivot"/>
      <sheetName val="Dashboard_BCQT"/>
      <sheetName val="Dashboard_ThiTruong"/>
      <sheetName val="Dashboard_SanPham"/>
      <sheetName val="Dashboard_KPI"/>
      <sheetName val="Dashboard_ChuongTrinh"/>
      <sheetName val="Sheet_KeHoach"/>
      <sheetName val="Sheet_BaoCaoQuanTri"/>
      <sheetName val="Sheet_BaoCaoTaiChinh"/>
      <sheetName val="Sheet_DuPhongPhaiThu"/>
      <sheetName val="Sheet_PhaiThu"/>
      <sheetName val="Sheet_PhaiTra"/>
      <sheetName val="Sheet_DiemDatHang"/>
      <sheetName val="Sheet_KHTieuThu"/>
      <sheetName val="Sheet_DuPhongTonKho"/>
      <sheetName val="Sheet_TonKho"/>
      <sheetName val="Sheet_ChiPhiNV"/>
      <sheetName val="Sheet_ChamCong"/>
      <sheetName val="Sheet_KPIBanHang"/>
      <sheetName val="Sheet_KhauHao"/>
      <sheetName val="Sheet_NopNS"/>
      <sheetName val="Sheet_LaiVay"/>
      <sheetName val="Sheet_PhaiThuDauTu"/>
      <sheetName val="Sheet_Main"/>
      <sheetName val="Sheet_DonMua"/>
      <sheetName val="Sheet_DonBan"/>
      <sheetName val="Sheet_VanDon"/>
      <sheetName val="Sheet_LaiKhac"/>
      <sheetName val="Sheet_ThuChiKD"/>
      <sheetName val="Sheet_ThuChiTC"/>
      <sheetName val="Sheet_TaiKhoan"/>
      <sheetName val="Sheet_DauTu"/>
      <sheetName val="Sheet_VayNo"/>
      <sheetName val="Sheet_CoDong"/>
      <sheetName val="Sheet_ChiPhiKD"/>
      <sheetName val="Code"/>
      <sheetName val="Sheet_DoiTac"/>
      <sheetName val="Sheet_CauTruc"/>
      <sheetName val="Sheet_TSCD"/>
      <sheetName val="Sheet_NguyenLieu"/>
      <sheetName val="Sheet_ChuongTrinh"/>
      <sheetName val="Sheet_HoaHong"/>
      <sheetName val="Sheet_Kenh"/>
      <sheetName val="Sheet_KHThanThiet"/>
      <sheetName val="Sheet_KhachHang"/>
      <sheetName val="Sheet_SKU"/>
      <sheetName val="Sheet_Kho"/>
      <sheetName val="EAS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O47" totalsRowShown="0" headerRowDxfId="846" dataDxfId="845">
  <autoFilter ref="B6:O47" xr:uid="{822B9D44-8197-4B45-BA58-5B50DB6A72B5}"/>
  <tableColumns count="14">
    <tableColumn id="1" xr3:uid="{656412B0-12BB-4819-9C73-49C79DEB4E6A}" name="Gtri" dataDxfId="844"/>
    <tableColumn id="4" xr3:uid="{09162BA7-3630-4B4C-95DE-4A93C54903A8}" name="Năm" dataDxfId="843"/>
    <tableColumn id="2" xr3:uid="{FB83258E-0BE8-455A-9DCB-4F9C3FA390D0}" name="Tháng 1" dataDxfId="842"/>
    <tableColumn id="3" xr3:uid="{641B1B86-10DE-4F0C-A502-11DEA59DF958}" name="Tháng 2" dataDxfId="841"/>
    <tableColumn id="5" xr3:uid="{754DA001-F6FD-443E-A174-CD7E0B1F5D17}" name="Tháng 3" dataDxfId="840"/>
    <tableColumn id="6" xr3:uid="{6FA9767F-3C52-4564-9992-686AC7EBEB3E}" name="Tháng 4" dataDxfId="839"/>
    <tableColumn id="7" xr3:uid="{F6BD0B78-CBC0-4377-A58A-555958C799E1}" name="Tháng 5" dataDxfId="838"/>
    <tableColumn id="8" xr3:uid="{75E88C8C-617B-475C-B72F-31798F0DD844}" name="Tháng 6" dataDxfId="837"/>
    <tableColumn id="9" xr3:uid="{20F2A264-1A70-4F0C-8BB9-D0162B0123E8}" name="Tháng 7" dataDxfId="836"/>
    <tableColumn id="10" xr3:uid="{9E5110B6-B694-4D70-8064-B95CECFFF716}" name="Tháng 8" dataDxfId="835"/>
    <tableColumn id="11" xr3:uid="{B3CA4AC5-536E-4D62-A03D-6901B8958F54}" name="Tháng 9" dataDxfId="834"/>
    <tableColumn id="12" xr3:uid="{51C600F4-235F-4505-A24C-F4DF37840B37}" name="Tháng 10" dataDxfId="833"/>
    <tableColumn id="13" xr3:uid="{2DFC94EE-8346-42BC-ADC0-510190C07656}" name="Tháng 11" dataDxfId="832"/>
    <tableColumn id="14" xr3:uid="{28C613C3-C209-4F7A-82BF-B2F301134772}" name="Tháng 12" dataDxfId="83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0:O52" totalsRowCount="1" headerRowDxfId="830" dataDxfId="829" totalsRowDxfId="828" headerRowCellStyle="Comma" dataCellStyle="Comma" totalsRowCellStyle="Comma">
  <autoFilter ref="B50:O51" xr:uid="{D31941DA-BE1B-4021-9B31-FDF3E083BB86}"/>
  <tableColumns count="14">
    <tableColumn id="1" xr3:uid="{82FAE5A8-DBFB-4E79-822D-469B63D66705}" name="Kế hoạch sản lượng" totalsRowLabel="Tổng" dataDxfId="827" totalsRowDxfId="826" dataCellStyle="Comma" totalsRowCellStyle="Comma"/>
    <tableColumn id="4" xr3:uid="{6B311055-99D3-4F69-B4DB-48A1AB894484}" name="Đơn vị" dataDxfId="825" totalsRowDxfId="824" dataCellStyle="Comma" totalsRowCellStyle="Comma"/>
    <tableColumn id="29" xr3:uid="{C9D35E4E-90E4-4E68-AA1B-3453F8A03048}" name="Tháng 1" totalsRowFunction="custom" dataDxfId="823" totalsRowDxfId="822" dataCellStyle="Comma" totalsRowCellStyle="Comma">
      <totalsRowFormula>SUM(Table_KeHoach_SanLuong[Tháng 1])</totalsRowFormula>
    </tableColumn>
    <tableColumn id="30" xr3:uid="{70694902-0D86-4550-8978-6631221B1110}" name="Tháng 2" totalsRowFunction="custom" dataDxfId="821" totalsRowDxfId="820" dataCellStyle="Comma" totalsRowCellStyle="Comma">
      <totalsRowFormula>SUM(Table_KeHoach_SanLuong[Tháng 2])</totalsRowFormula>
    </tableColumn>
    <tableColumn id="31" xr3:uid="{C1E724A7-9693-46FC-8A7A-304F00161DBE}" name="Tháng 3" totalsRowFunction="custom" dataDxfId="819" totalsRowDxfId="818" dataCellStyle="Comma" totalsRowCellStyle="Comma">
      <totalsRowFormula>SUM(Table_KeHoach_SanLuong[Tháng 3])</totalsRowFormula>
    </tableColumn>
    <tableColumn id="32" xr3:uid="{7221CCF4-72B1-44F8-BEEB-AAD846AA595F}" name="Tháng 4" totalsRowFunction="custom" dataDxfId="817" totalsRowDxfId="816" dataCellStyle="Comma" totalsRowCellStyle="Comma">
      <totalsRowFormula>SUM(Table_KeHoach_SanLuong[Tháng 4])</totalsRowFormula>
    </tableColumn>
    <tableColumn id="33" xr3:uid="{0E67CAE7-0D32-49F3-BD50-A158C644B1BD}" name="Tháng 5" totalsRowFunction="custom" dataDxfId="815" totalsRowDxfId="814" dataCellStyle="Comma" totalsRowCellStyle="Comma">
      <totalsRowFormula>SUM(Table_KeHoach_SanLuong[Tháng 5])</totalsRowFormula>
    </tableColumn>
    <tableColumn id="34" xr3:uid="{1918CD14-C8BB-4831-A685-D18D5461986C}" name="Tháng 6" totalsRowFunction="custom" dataDxfId="813" totalsRowDxfId="812" dataCellStyle="Comma" totalsRowCellStyle="Comma">
      <totalsRowFormula>SUM(Table_KeHoach_SanLuong[Tháng 6])</totalsRowFormula>
    </tableColumn>
    <tableColumn id="35" xr3:uid="{15CFC91E-B8B9-42A1-8A2B-87E661BF4084}" name="Tháng 7" totalsRowFunction="custom" dataDxfId="811" totalsRowDxfId="810" dataCellStyle="Comma" totalsRowCellStyle="Comma">
      <totalsRowFormula>SUM(Table_KeHoach_SanLuong[Tháng 7])</totalsRowFormula>
    </tableColumn>
    <tableColumn id="36" xr3:uid="{DEAE018A-5B97-4FF8-B5C6-524BBD8A8553}" name="Tháng 8" totalsRowFunction="custom" dataDxfId="809" totalsRowDxfId="808" dataCellStyle="Comma" totalsRowCellStyle="Comma">
      <totalsRowFormula>SUM(Table_KeHoach_SanLuong[Tháng 8])</totalsRowFormula>
    </tableColumn>
    <tableColumn id="37" xr3:uid="{69090A1D-A073-4FD8-889C-ADBE6A9D7DB8}" name="Tháng 9" totalsRowFunction="custom" dataDxfId="807" totalsRowDxfId="806" dataCellStyle="Comma" totalsRowCellStyle="Comma">
      <totalsRowFormula>SUM(Table_KeHoach_SanLuong[Tháng 9])</totalsRowFormula>
    </tableColumn>
    <tableColumn id="38" xr3:uid="{11A81D84-C3DD-47F7-AF28-E389CC9FF3CB}" name="Tháng 10" totalsRowFunction="custom" dataDxfId="805" totalsRowDxfId="804" dataCellStyle="Comma" totalsRowCellStyle="Comma">
      <totalsRowFormula>SUM(Table_KeHoach_SanLuong[Tháng 10])</totalsRowFormula>
    </tableColumn>
    <tableColumn id="39" xr3:uid="{14A6A2F5-5E15-4169-86A9-3229B946B250}" name="Tháng 11" totalsRowFunction="custom" dataDxfId="803" totalsRowDxfId="802" dataCellStyle="Comma" totalsRowCellStyle="Comma">
      <totalsRowFormula>SUM(Table_KeHoach_SanLuong[Tháng 11])</totalsRowFormula>
    </tableColumn>
    <tableColumn id="40" xr3:uid="{7C1CB8B1-00D4-4FA9-A290-F043A0FA9307}" name="Tháng 12" totalsRowFunction="custom" dataDxfId="801" totalsRowDxfId="800" dataCellStyle="Comma" totalsRowCellStyle="Comma">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5:O56" insertRow="1" totalsRowShown="0" headerRowDxfId="799" dataDxfId="798" headerRowCellStyle="Comma" dataCellStyle="Comma">
  <autoFilter ref="B55:O56" xr:uid="{8A426214-1C38-4C4E-9C2C-D253B8886748}"/>
  <tableColumns count="14">
    <tableColumn id="1" xr3:uid="{EBDC21DB-0978-43FF-8F49-EB0A63ACFFC6}" name="Kế hoạch giá niêm yết thành phẩm" dataDxfId="797" totalsRowDxfId="796" dataCellStyle="Comma"/>
    <tableColumn id="3" xr3:uid="{425153B2-5062-4C16-A6F6-F47683DA3B49}" name="Đơn vị" dataDxfId="795" totalsRowDxfId="794" dataCellStyle="Comma"/>
    <tableColumn id="29" xr3:uid="{669CACBE-1D77-46AC-A978-B8FF66B671BB}" name="Tháng 1" dataDxfId="793" totalsRowDxfId="792" dataCellStyle="Comma"/>
    <tableColumn id="30" xr3:uid="{CF8A322E-866F-494C-966A-830B3ADA2CD2}" name="Tháng 2" dataDxfId="791" totalsRowDxfId="790" dataCellStyle="Comma"/>
    <tableColumn id="31" xr3:uid="{6B66BA70-F0F0-4B4E-87CF-79B7E1D3B29C}" name="Tháng 3" dataDxfId="789" totalsRowDxfId="788" dataCellStyle="Comma"/>
    <tableColumn id="32" xr3:uid="{5B3CE899-C52C-4E1C-A688-5D6030E82F01}" name="Tháng 4" dataDxfId="787" totalsRowDxfId="786" dataCellStyle="Comma"/>
    <tableColumn id="33" xr3:uid="{C034F888-AFFA-4740-B3BA-F4654FB405CF}" name="Tháng 5" dataDxfId="785" totalsRowDxfId="784" dataCellStyle="Comma"/>
    <tableColumn id="34" xr3:uid="{07693A9D-90BE-477A-BB72-83DE0C3434DF}" name="Tháng 6" dataDxfId="783" totalsRowDxfId="782" dataCellStyle="Comma"/>
    <tableColumn id="35" xr3:uid="{B0AE6993-599A-4E49-BDB1-73ABDD7A437B}" name="Tháng 7" dataDxfId="781" totalsRowDxfId="780" dataCellStyle="Comma"/>
    <tableColumn id="36" xr3:uid="{D49868AC-F67A-41A1-A3C9-45781D2C20F8}" name="Tháng 8" dataDxfId="779" totalsRowDxfId="778" dataCellStyle="Comma"/>
    <tableColumn id="37" xr3:uid="{468EF536-F826-42F5-9301-BAFFFD24E104}" name="Tháng 9" dataDxfId="777" totalsRowDxfId="776" dataCellStyle="Comma"/>
    <tableColumn id="38" xr3:uid="{70CE9CF4-C007-4692-8311-0BC64B9F3395}" name="Tháng 10" dataDxfId="775" totalsRowDxfId="774" dataCellStyle="Comma"/>
    <tableColumn id="39" xr3:uid="{04E84556-5D4C-4DA4-B749-C98FB45C0BAF}" name="Tháng 11" dataDxfId="773" totalsRowDxfId="772" dataCellStyle="Comma"/>
    <tableColumn id="40" xr3:uid="{68F1F4EB-3B1D-42A1-AC0E-1DCF48610F1E}" name="Tháng 12" dataDxfId="771" totalsRowDxfId="770" dataCellStyle="Comma"/>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9:O61" totalsRowCount="1" headerRowDxfId="769" dataDxfId="768" totalsRowDxfId="767" headerRowCellStyle="Comma" dataCellStyle="Comma" totalsRowCellStyle="Comma">
  <autoFilter ref="B59:O60" xr:uid="{711209EA-EEC6-4FC4-BAC5-C6E63F6E3A21}"/>
  <tableColumns count="14">
    <tableColumn id="1" xr3:uid="{F22794FE-2FF3-4CE4-82EB-81614189B352}" name="Kế hoạch doanh thu" totalsRowLabel=" Tổng " dataDxfId="766" totalsRowDxfId="765" dataCellStyle="Comma" totalsRowCellStyle="Comma"/>
    <tableColumn id="3" xr3:uid="{76F75EB8-7687-48A4-A860-C3AABF1EACB2}" name="Đơn vị" dataDxfId="764" totalsRowDxfId="763" dataCellStyle="Comma" totalsRowCellStyle="Comma"/>
    <tableColumn id="29" xr3:uid="{50184772-8DC7-4AF1-AAC3-18E289C04F3E}" name="Tháng 1" totalsRowFunction="custom" dataDxfId="762" totalsRowDxfId="761" dataCellStyle="Comma" totalsRowCellStyle="Comma">
      <calculatedColumnFormula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calculatedColumnFormula>
      <totalsRowFormula>SUM(Table_KeHoach_DoanhThu[Tháng 1])</totalsRowFormula>
    </tableColumn>
    <tableColumn id="30" xr3:uid="{7A212235-4EA0-4179-B870-D606FE76B216}" name="Tháng 2" totalsRowFunction="custom" dataDxfId="760" totalsRowDxfId="759" dataCellStyle="Comma" totalsRowCellStyle="Comma">
      <calculatedColumnFormula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calculatedColumnFormula>
      <totalsRowFormula>SUM(Table_KeHoach_DoanhThu[Tháng 2])</totalsRowFormula>
    </tableColumn>
    <tableColumn id="31" xr3:uid="{D9825A39-9B19-4658-8560-DDDD891E0205}" name="Tháng 3" totalsRowFunction="custom" dataDxfId="758" totalsRowDxfId="757" dataCellStyle="Comma" totalsRowCellStyle="Comma">
      <calculatedColumnFormula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calculatedColumnFormula>
      <totalsRowFormula>SUM(Table_KeHoach_DoanhThu[Tháng 3])</totalsRowFormula>
    </tableColumn>
    <tableColumn id="32" xr3:uid="{CF1D56F3-AD70-4276-BB0C-AD1DB6B57C66}" name="Tháng 4" totalsRowFunction="custom" dataDxfId="756" totalsRowDxfId="755" dataCellStyle="Comma" totalsRowCellStyle="Comma">
      <calculatedColumnFormula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calculatedColumnFormula>
      <totalsRowFormula>SUM(Table_KeHoach_DoanhThu[Tháng 4])</totalsRowFormula>
    </tableColumn>
    <tableColumn id="33" xr3:uid="{00880281-B1E6-4212-96C1-4D19F388A28B}" name="Tháng 5" totalsRowFunction="custom" dataDxfId="754" totalsRowDxfId="753" dataCellStyle="Comma" totalsRowCellStyle="Comma">
      <calculatedColumnFormula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calculatedColumnFormula>
      <totalsRowFormula>SUM(Table_KeHoach_DoanhThu[Tháng 5])</totalsRowFormula>
    </tableColumn>
    <tableColumn id="34" xr3:uid="{0C65B697-F7AA-4DE3-ADAE-0ADCA8351B2F}" name="Tháng 6" totalsRowFunction="custom" dataDxfId="752" totalsRowDxfId="751" dataCellStyle="Comma" totalsRowCellStyle="Comma">
      <calculatedColumnFormula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calculatedColumnFormula>
      <totalsRowFormula>SUM(Table_KeHoach_DoanhThu[Tháng 6])</totalsRowFormula>
    </tableColumn>
    <tableColumn id="35" xr3:uid="{FD5FC443-FABD-40AE-A1B2-AF43E5583B4A}" name="Tháng 7" totalsRowFunction="custom" dataDxfId="750" totalsRowDxfId="749" dataCellStyle="Comma" totalsRowCellStyle="Comma">
      <calculatedColumnFormula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calculatedColumnFormula>
      <totalsRowFormula>SUM(Table_KeHoach_DoanhThu[Tháng 7])</totalsRowFormula>
    </tableColumn>
    <tableColumn id="36" xr3:uid="{F5D51FF9-EFB8-4B10-BD35-9DFB587A52C7}" name="Tháng 8" totalsRowFunction="custom" dataDxfId="748" totalsRowDxfId="747" dataCellStyle="Comma" totalsRowCellStyle="Comma">
      <calculatedColumnFormula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calculatedColumnFormula>
      <totalsRowFormula>SUM(Table_KeHoach_DoanhThu[Tháng 8])</totalsRowFormula>
    </tableColumn>
    <tableColumn id="37" xr3:uid="{C6C15622-E8E9-487A-959D-8C220B56DE76}" name="Tháng 9" totalsRowFunction="custom" dataDxfId="746" totalsRowDxfId="745" dataCellStyle="Comma" totalsRowCellStyle="Comma">
      <calculatedColumnFormula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calculatedColumnFormula>
      <totalsRowFormula>SUM(Table_KeHoach_DoanhThu[Tháng 9])</totalsRowFormula>
    </tableColumn>
    <tableColumn id="38" xr3:uid="{7BFC1C3B-6EF3-4CF7-A300-C11AEEBB0E1A}" name="Tháng 10" totalsRowFunction="custom" dataDxfId="744" totalsRowDxfId="743" dataCellStyle="Comma" totalsRowCellStyle="Comma">
      <calculatedColumnFormula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calculatedColumnFormula>
      <totalsRowFormula>SUM(Table_KeHoach_DoanhThu[Tháng 10])</totalsRowFormula>
    </tableColumn>
    <tableColumn id="39" xr3:uid="{4D0CAB13-02F5-4D43-93DB-79792960CDFB}" name="Tháng 11" totalsRowFunction="custom" dataDxfId="742" totalsRowDxfId="741" dataCellStyle="Comma" totalsRowCellStyle="Comma">
      <calculatedColumnFormula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calculatedColumnFormula>
      <totalsRowFormula>SUM(Table_KeHoach_DoanhThu[Tháng 11])</totalsRowFormula>
    </tableColumn>
    <tableColumn id="40" xr3:uid="{784CDCAA-C9FB-447F-AAED-DD0A17FEAB77}" name="Tháng 12" totalsRowFunction="custom" dataDxfId="740" totalsRowDxfId="739" dataCellStyle="Comma" totalsRowCellStyle="Comma">
      <calculatedColumnFormula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9:O70" totalsRowShown="0" headerRowDxfId="738" dataDxfId="737" headerRowCellStyle="Comma" dataCellStyle="Comma">
  <autoFilter ref="B69:O70" xr:uid="{50D75140-F33D-450B-ACC0-7F92B177C57D}"/>
  <tableColumns count="14">
    <tableColumn id="1" xr3:uid="{C9B9741A-9357-40AD-8883-2D1E650453F5}" name="Kế hoạch giá nhập hàng hóa" dataDxfId="736" totalsRowDxfId="735" dataCellStyle="Comma"/>
    <tableColumn id="3" xr3:uid="{28B2834A-7CE4-43D5-ACA9-8317F7A289D2}" name="Đơn vị" dataDxfId="734" totalsRowDxfId="733" dataCellStyle="Comma"/>
    <tableColumn id="29" xr3:uid="{019E5F1B-DE2D-464D-8063-064C5116CFCC}" name="Tháng 1" dataDxfId="732" dataCellStyle="Comma"/>
    <tableColumn id="30" xr3:uid="{90AFC99B-1620-4C46-BD12-553A1C3FFDD8}" name="Tháng 2" dataDxfId="731" dataCellStyle="Comma"/>
    <tableColumn id="31" xr3:uid="{FBF2D68D-F4EB-4171-BD9D-E76539DF938C}" name="Tháng 3" dataDxfId="730" dataCellStyle="Comma"/>
    <tableColumn id="32" xr3:uid="{F41B1887-7A08-4DC9-BDE9-E43ABE4AE1BE}" name="Tháng 4" dataDxfId="729" dataCellStyle="Comma"/>
    <tableColumn id="33" xr3:uid="{D369E62A-3CDD-4B01-A431-C39C2CBE1293}" name="Tháng 5" dataDxfId="728" dataCellStyle="Comma"/>
    <tableColumn id="34" xr3:uid="{F0115D72-64F0-4CBC-A8C5-6835DCA86A12}" name="Tháng 6" dataDxfId="727" dataCellStyle="Comma"/>
    <tableColumn id="35" xr3:uid="{4AEC4DCF-162D-499F-A186-5800A521A71B}" name="Tháng 7" dataDxfId="726" dataCellStyle="Comma"/>
    <tableColumn id="36" xr3:uid="{5A6B4CEF-0269-4C8A-B8D5-9CB34819A8C8}" name="Tháng 8" dataDxfId="725" dataCellStyle="Comma"/>
    <tableColumn id="37" xr3:uid="{15EBC225-23BE-414B-B8C6-FF6D2C2DA707}" name="Tháng 9" dataDxfId="724" dataCellStyle="Comma"/>
    <tableColumn id="38" xr3:uid="{68785765-EC8D-400C-A53D-C098BAEB2867}" name="Tháng 10" dataDxfId="723" dataCellStyle="Comma"/>
    <tableColumn id="39" xr3:uid="{FE6CAAF6-4E91-48E9-BE30-736B71AE2517}" name="Tháng 11" dataDxfId="722" dataCellStyle="Comma"/>
    <tableColumn id="40" xr3:uid="{9B1D1B2C-78EE-4936-BA9C-70DE6FAEB0D5}" name="Tháng 12" dataDxfId="721" dataCellStyle="Comma"/>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3:O75" totalsRowCount="1" headerRowDxfId="720" dataDxfId="719" totalsRowDxfId="718" headerRowCellStyle="Comma" dataCellStyle="Comma" totalsRowCellStyle="Comma">
  <autoFilter ref="B73:O74" xr:uid="{673B555B-AF75-419C-8864-7B66DF2C2C6F}"/>
  <tableColumns count="14">
    <tableColumn id="1" xr3:uid="{91AE107E-7E90-4FD8-9894-89A53DE58960}" name="Kế hoạch chi phí hàng hóa" totalsRowLabel="Total" dataDxfId="717" totalsRowDxfId="716" dataCellStyle="Comma" totalsRowCellStyle="Comma"/>
    <tableColumn id="3" xr3:uid="{89E2E365-2517-477F-B95E-6FD048EFFFF0}" name="Đơn vị" dataDxfId="715" totalsRowDxfId="714" dataCellStyle="Comma" totalsRowCellStyle="Comma"/>
    <tableColumn id="29" xr3:uid="{F85F740B-EE9D-4A38-AED0-D66B55D25ADB}" name="Tháng 1" totalsRowFunction="sum" dataDxfId="713" totalsRowDxfId="712" dataCellStyle="Comma" totalsRowCellStyle="Comma">
      <calculatedColumnFormula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calculatedColumnFormula>
    </tableColumn>
    <tableColumn id="30" xr3:uid="{37F68F66-8DC6-4721-995B-A9C565EDC074}" name="Tháng 2" totalsRowFunction="sum" dataDxfId="711" totalsRowDxfId="710" dataCellStyle="Comma" totalsRowCellStyle="Comma">
      <calculatedColumnFormula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calculatedColumnFormula>
    </tableColumn>
    <tableColumn id="31" xr3:uid="{2BC7CA73-4BD0-470B-9B0D-9F76DAA6E07C}" name="Tháng 3" totalsRowFunction="sum" dataDxfId="709" totalsRowDxfId="708" dataCellStyle="Comma" totalsRowCellStyle="Comma">
      <calculatedColumnFormula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calculatedColumnFormula>
    </tableColumn>
    <tableColumn id="32" xr3:uid="{5644AD1C-3FFA-42FB-9ADE-2E483592E846}" name="Tháng 4" totalsRowFunction="sum" dataDxfId="707" totalsRowDxfId="706" dataCellStyle="Comma" totalsRowCellStyle="Comma">
      <calculatedColumnFormula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calculatedColumnFormula>
    </tableColumn>
    <tableColumn id="33" xr3:uid="{2FFF0947-01AC-41E7-ACDF-FAC1A6DA515C}" name="Tháng 5" totalsRowFunction="sum" dataDxfId="705" totalsRowDxfId="704" dataCellStyle="Comma" totalsRowCellStyle="Comma">
      <calculatedColumnFormula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calculatedColumnFormula>
    </tableColumn>
    <tableColumn id="34" xr3:uid="{5750EFE5-25E1-499F-A818-F1A750D13220}" name="Tháng 6" totalsRowFunction="sum" dataDxfId="703" totalsRowDxfId="702" dataCellStyle="Comma" totalsRowCellStyle="Comma">
      <calculatedColumnFormula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calculatedColumnFormula>
    </tableColumn>
    <tableColumn id="35" xr3:uid="{A4D3AFA5-70E9-450C-8894-1DE0C94FD9C1}" name="Tháng 7" totalsRowFunction="sum" dataDxfId="701" totalsRowDxfId="700" dataCellStyle="Comma" totalsRowCellStyle="Comma">
      <calculatedColumnFormula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calculatedColumnFormula>
    </tableColumn>
    <tableColumn id="36" xr3:uid="{0098CC1D-55DA-4BE3-AF11-DC348343C5FD}" name="Tháng 8" totalsRowFunction="sum" dataDxfId="699" totalsRowDxfId="698" dataCellStyle="Comma" totalsRowCellStyle="Comma">
      <calculatedColumnFormula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calculatedColumnFormula>
    </tableColumn>
    <tableColumn id="37" xr3:uid="{92521C97-0D88-45E6-AABC-A297D3839A8E}" name="Tháng 9" totalsRowFunction="sum" dataDxfId="697" totalsRowDxfId="696" dataCellStyle="Comma" totalsRowCellStyle="Comma">
      <calculatedColumnFormula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calculatedColumnFormula>
    </tableColumn>
    <tableColumn id="38" xr3:uid="{89D3235E-1CED-47EE-8B5A-44E67EFFB28C}" name="Tháng 10" totalsRowFunction="sum" dataDxfId="695" totalsRowDxfId="694" dataCellStyle="Comma" totalsRowCellStyle="Comma">
      <calculatedColumnFormula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calculatedColumnFormula>
    </tableColumn>
    <tableColumn id="39" xr3:uid="{15B70680-6B84-4E74-9D09-80A9E804313E}" name="Tháng 11" totalsRowFunction="sum" dataDxfId="693" totalsRowDxfId="692" dataCellStyle="Comma" totalsRowCellStyle="Comma">
      <calculatedColumnFormula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calculatedColumnFormula>
    </tableColumn>
    <tableColumn id="40" xr3:uid="{AA453F5D-621A-48ED-AE68-1464823DFBED}" name="Tháng 12" totalsRowFunction="sum" dataDxfId="691" totalsRowDxfId="690" dataCellStyle="Comma" totalsRowCellStyle="Comma">
      <calculatedColumnFormula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3:O94" totalsRowShown="0" headerRowDxfId="689" dataDxfId="688" headerRowCellStyle="Percent" dataCellStyle="Percent">
  <autoFilter ref="B93:O94" xr:uid="{571A7629-CD3D-4301-B87F-F24F63AD2A81}"/>
  <tableColumns count="14">
    <tableColumn id="1" xr3:uid="{89CE5103-5F2F-473A-8285-61F7E158BE32}" name="Kế hoạch tỷ lệ hoa hồng" dataDxfId="687" totalsRowDxfId="686" dataCellStyle="Percent"/>
    <tableColumn id="3" xr3:uid="{A1C5A2FF-BE5E-4865-9699-E09EA6B78869}" name="Column1" dataDxfId="685" totalsRowDxfId="684" dataCellStyle="Percent"/>
    <tableColumn id="29" xr3:uid="{42CEEF9C-84DE-45DF-BFFB-8E1D0BC996A0}" name="Tháng 1" dataDxfId="683" dataCellStyle="Percent"/>
    <tableColumn id="30" xr3:uid="{B17D0FDB-5B56-4429-9BF8-633417993FBB}" name="Tháng 2" dataDxfId="682" dataCellStyle="Percent"/>
    <tableColumn id="31" xr3:uid="{7F3739EE-012B-4AB4-ACE1-CBC110526F9D}" name="Tháng 3" dataDxfId="681" dataCellStyle="Percent"/>
    <tableColumn id="32" xr3:uid="{6103A08B-5854-4BEB-B0F6-AF7602FCE44A}" name="Tháng 4" dataDxfId="680" dataCellStyle="Percent"/>
    <tableColumn id="33" xr3:uid="{EE55A315-C233-4CC6-B5AF-32C405AB383B}" name="Tháng 5" dataDxfId="679" dataCellStyle="Percent"/>
    <tableColumn id="34" xr3:uid="{12B659E6-642C-4140-AA0D-2D84AB9B6125}" name="Tháng 6" dataDxfId="678" dataCellStyle="Percent"/>
    <tableColumn id="35" xr3:uid="{A00D81B6-DF88-4E88-8CFC-8C7C28D732F7}" name="Tháng 7" dataDxfId="677" dataCellStyle="Percent"/>
    <tableColumn id="36" xr3:uid="{211F463D-5EDA-41F3-803D-F665490CFE40}" name="Tháng 8" dataDxfId="676" dataCellStyle="Percent"/>
    <tableColumn id="37" xr3:uid="{B4EC8197-3C1F-43AB-A435-36D6AD6B3E13}" name="Tháng 9" dataDxfId="675" dataCellStyle="Percent"/>
    <tableColumn id="38" xr3:uid="{7C84B51B-A957-4A53-AC29-4A036ABA4C20}" name="Tháng 10" dataDxfId="674" dataCellStyle="Percent"/>
    <tableColumn id="39" xr3:uid="{E5FAA999-8C52-4A9F-B6FA-CA39A6D759DA}" name="Tháng 11" dataDxfId="673" dataCellStyle="Percent"/>
    <tableColumn id="40" xr3:uid="{5936866B-F994-4BD4-9014-345AD0715655}" name="Tháng 12" dataDxfId="672" dataCellStyle="Percent"/>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7:O99" totalsRowCount="1" headerRowDxfId="671" dataDxfId="670" totalsRowDxfId="669" headerRowCellStyle="Comma" dataCellStyle="Comma" totalsRowCellStyle="Comma">
  <autoFilter ref="B97:O98" xr:uid="{917CE6FA-BA76-44BB-B776-281155435948}"/>
  <tableColumns count="14">
    <tableColumn id="1" xr3:uid="{B069FC19-6704-4041-B913-34A9A708A151}" name="Kế hoạch chi phí hoa hồng" totalsRowLabel="Total" dataDxfId="668" totalsRowDxfId="667" dataCellStyle="Comma" totalsRowCellStyle="Comma"/>
    <tableColumn id="3" xr3:uid="{45A81392-9858-4624-9F4F-3DB6DC54E1DD}" name="Column1" dataDxfId="666" totalsRowDxfId="665" dataCellStyle="Comma" totalsRowCellStyle="Comma"/>
    <tableColumn id="29" xr3:uid="{44FF01A0-EDB3-4A6A-92FD-1674BC0087AE}" name="Tháng 1" totalsRowFunction="sum" dataDxfId="664" totalsRowDxfId="663" dataCellStyle="Comma" totalsRowCellStyle="Comma">
      <calculatedColumnFormula>-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calculatedColumnFormula>
    </tableColumn>
    <tableColumn id="30" xr3:uid="{AA758440-3D9D-4EED-984C-92AC297C6E87}" name="Tháng 2" totalsRowFunction="sum" dataDxfId="662" totalsRowDxfId="661" dataCellStyle="Comma" totalsRowCellStyle="Comma">
      <calculatedColumnFormula>-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calculatedColumnFormula>
    </tableColumn>
    <tableColumn id="31" xr3:uid="{F07668AE-AD66-4052-9593-D1A9368E6169}" name="Tháng 3" totalsRowFunction="sum" dataDxfId="660" totalsRowDxfId="659" dataCellStyle="Comma" totalsRowCellStyle="Comma">
      <calculatedColumnFormula>-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calculatedColumnFormula>
    </tableColumn>
    <tableColumn id="32" xr3:uid="{019F83CA-1D86-4894-9E1C-B97411E02CE3}" name="Tháng 4" totalsRowFunction="sum" dataDxfId="658" totalsRowDxfId="657" dataCellStyle="Comma" totalsRowCellStyle="Comma">
      <calculatedColumnFormula>-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calculatedColumnFormula>
    </tableColumn>
    <tableColumn id="33" xr3:uid="{98A21E41-7307-4A31-8516-C3BAAF1B6A71}" name="Tháng 5" totalsRowFunction="sum" dataDxfId="656" totalsRowDxfId="655" dataCellStyle="Comma" totalsRowCellStyle="Comma">
      <calculatedColumnFormula>-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calculatedColumnFormula>
    </tableColumn>
    <tableColumn id="34" xr3:uid="{A35D5DAD-05B9-47A1-BE73-C5B4D7AC14D2}" name="Tháng 6" totalsRowFunction="sum" dataDxfId="654" totalsRowDxfId="653" dataCellStyle="Comma" totalsRowCellStyle="Comma">
      <calculatedColumnFormula>-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calculatedColumnFormula>
    </tableColumn>
    <tableColumn id="35" xr3:uid="{DB88872F-43F3-4B29-B6D2-7C307941341D}" name="Tháng 7" totalsRowFunction="sum" dataDxfId="652" totalsRowDxfId="651" dataCellStyle="Comma" totalsRowCellStyle="Comma">
      <calculatedColumnFormula>-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calculatedColumnFormula>
    </tableColumn>
    <tableColumn id="36" xr3:uid="{4293C101-8A6A-48CA-BB50-59282E2317CE}" name="Tháng 8" totalsRowFunction="sum" dataDxfId="650" totalsRowDxfId="649" dataCellStyle="Comma" totalsRowCellStyle="Comma">
      <calculatedColumnFormula>-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calculatedColumnFormula>
    </tableColumn>
    <tableColumn id="37" xr3:uid="{95FBAF24-EB51-44D8-B651-26FE188B4B40}" name="Tháng 9" totalsRowFunction="sum" dataDxfId="648" totalsRowDxfId="647" dataCellStyle="Comma" totalsRowCellStyle="Comma">
      <calculatedColumnFormula>-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calculatedColumnFormula>
    </tableColumn>
    <tableColumn id="38" xr3:uid="{E4FFC353-4C31-4E0A-ABD0-521861BA3766}" name="Tháng 10" totalsRowFunction="sum" dataDxfId="646" totalsRowDxfId="645" dataCellStyle="Comma" totalsRowCellStyle="Comma">
      <calculatedColumnFormula>-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calculatedColumnFormula>
    </tableColumn>
    <tableColumn id="39" xr3:uid="{1176195A-F2D0-491F-ADAF-FEE4B331168F}" name="Tháng 11" totalsRowFunction="sum" dataDxfId="644" totalsRowDxfId="643" dataCellStyle="Comma" totalsRowCellStyle="Comma">
      <calculatedColumnFormula>-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calculatedColumnFormula>
    </tableColumn>
    <tableColumn id="40" xr3:uid="{F7A3A82A-D538-4F76-8571-151155BB1E03}" name="Tháng 12" totalsRowFunction="sum" dataDxfId="642" totalsRowDxfId="641" dataCellStyle="Comma" totalsRowCellStyle="Comma">
      <calculatedColumnFormula>-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15:O117" totalsRowShown="0" headerRowDxfId="640" dataDxfId="639">
  <autoFilter ref="B115:O117" xr:uid="{908E4510-1D66-4B62-BD4E-8366A63DB2D9}"/>
  <tableColumns count="14">
    <tableColumn id="1" xr3:uid="{4974AA81-EDE8-48A1-972A-BD6B8748ED4C}" name="Kế hoạch chi phí ship" dataDxfId="638" totalsRowDxfId="637"/>
    <tableColumn id="3" xr3:uid="{B298E000-F4DB-4ECC-9D0C-FCA782A86771}" name="Column1" dataDxfId="636"/>
    <tableColumn id="29" xr3:uid="{0E8CCF25-9538-4858-B4EB-66D14E65C5E6}" name="Tháng 1" dataDxfId="635">
      <calculatedColumnFormula>VLOOKUP(Table_KeHoach_ChiPhiShip[[#This Row],[Kế hoạch chi phí ship]],#REF!,#REF!,0)</calculatedColumnFormula>
    </tableColumn>
    <tableColumn id="30" xr3:uid="{AF72C6DF-EB35-4A98-ABEC-099350C31E27}" name="Tháng 2" dataDxfId="634">
      <calculatedColumnFormula>VLOOKUP(Table_KeHoach_ChiPhiShip[[#This Row],[Kế hoạch chi phí ship]],#REF!,#REF!,0)</calculatedColumnFormula>
    </tableColumn>
    <tableColumn id="31" xr3:uid="{3EAF95EE-2F6B-43B3-9D13-5D7C0429B475}" name="Tháng 3" dataDxfId="633">
      <calculatedColumnFormula>VLOOKUP(Table_KeHoach_ChiPhiShip[[#This Row],[Kế hoạch chi phí ship]],#REF!,#REF!,0)</calculatedColumnFormula>
    </tableColumn>
    <tableColumn id="32" xr3:uid="{D96EEB51-7417-4655-BDDC-D0E338E941FB}" name="Tháng 4" dataDxfId="632">
      <calculatedColumnFormula>VLOOKUP(Table_KeHoach_ChiPhiShip[[#This Row],[Kế hoạch chi phí ship]],#REF!,#REF!,0)</calculatedColumnFormula>
    </tableColumn>
    <tableColumn id="33" xr3:uid="{257E62C8-5051-48B2-85A8-3358E9656E87}" name="Tháng 5" dataDxfId="631">
      <calculatedColumnFormula>VLOOKUP(Table_KeHoach_ChiPhiShip[[#This Row],[Kế hoạch chi phí ship]],#REF!,#REF!,0)</calculatedColumnFormula>
    </tableColumn>
    <tableColumn id="34" xr3:uid="{0E06FA86-8BB1-4A39-B5C1-0D5C45891AD0}" name="Tháng 6" dataDxfId="630">
      <calculatedColumnFormula>VLOOKUP(Table_KeHoach_ChiPhiShip[[#This Row],[Kế hoạch chi phí ship]],#REF!,#REF!,0)</calculatedColumnFormula>
    </tableColumn>
    <tableColumn id="35" xr3:uid="{9F9131FD-5E00-446F-BB5F-FA90CC9D32D8}" name="Tháng 7" dataDxfId="629">
      <calculatedColumnFormula>VLOOKUP(Table_KeHoach_ChiPhiShip[[#This Row],[Kế hoạch chi phí ship]],#REF!,#REF!,0)</calculatedColumnFormula>
    </tableColumn>
    <tableColumn id="36" xr3:uid="{780160DC-AD91-4578-974A-DAA46A0EFA55}" name="Tháng 8" dataDxfId="628">
      <calculatedColumnFormula>VLOOKUP(Table_KeHoach_ChiPhiShip[[#This Row],[Kế hoạch chi phí ship]],#REF!,#REF!,0)</calculatedColumnFormula>
    </tableColumn>
    <tableColumn id="37" xr3:uid="{8F0619B7-DD39-44BB-919F-7190F8C66661}" name="Tháng 9" dataDxfId="627">
      <calculatedColumnFormula>VLOOKUP(Table_KeHoach_ChiPhiShip[[#This Row],[Kế hoạch chi phí ship]],#REF!,#REF!,0)</calculatedColumnFormula>
    </tableColumn>
    <tableColumn id="38" xr3:uid="{85E0E657-1656-49DE-ACC4-ECD2C5A8BD77}" name="Tháng 10" dataDxfId="626">
      <calculatedColumnFormula>VLOOKUP(Table_KeHoach_ChiPhiShip[[#This Row],[Kế hoạch chi phí ship]],#REF!,#REF!,0)</calculatedColumnFormula>
    </tableColumn>
    <tableColumn id="39" xr3:uid="{871494F5-3229-4D50-A00E-F79B1EC4C89C}" name="Tháng 11" dataDxfId="625">
      <calculatedColumnFormula>VLOOKUP(Table_KeHoach_ChiPhiShip[[#This Row],[Kế hoạch chi phí ship]],#REF!,#REF!,0)</calculatedColumnFormula>
    </tableColumn>
    <tableColumn id="40" xr3:uid="{93DF0D7F-F948-4D01-9B0F-5A68A405CC28}" name="Tháng 12" dataDxfId="624">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0:O121" totalsRowShown="0" headerRowDxfId="623" dataDxfId="622" headerRowCellStyle="Comma" dataCellStyle="Comma">
  <autoFilter ref="B120:O121" xr:uid="{3AA81467-7CA1-47A8-90EC-3D38BDD54257}"/>
  <tableColumns count="14">
    <tableColumn id="1" xr3:uid="{3C4D3BE7-FFE8-4AA6-9046-2E900FEAAF24}" name="Kế hoạch lương gross" dataDxfId="621" totalsRowDxfId="620" dataCellStyle="Comma"/>
    <tableColumn id="3" xr3:uid="{5406D85A-8CE2-4CC8-8623-275C8DAC4DB0}" name="Column1" dataDxfId="619" totalsRowDxfId="618" dataCellStyle="Comma"/>
    <tableColumn id="29" xr3:uid="{22CFBB3B-BFA7-42CB-BA20-AC6D1269A08E}" name="Tháng 1" dataDxfId="617" totalsRowDxfId="616" dataCellStyle="Comma"/>
    <tableColumn id="30" xr3:uid="{3C7E21A7-1D02-40CC-B621-9BA1EE2F5AF0}" name="Tháng 2" dataDxfId="615" totalsRowDxfId="614" dataCellStyle="Comma"/>
    <tableColumn id="31" xr3:uid="{0EA71E79-00ED-47C7-9E3F-25D06EA1FE91}" name="Tháng 3" dataDxfId="613" totalsRowDxfId="612" dataCellStyle="Comma"/>
    <tableColumn id="32" xr3:uid="{BC596114-217F-4B94-AD95-C681D74C7AEE}" name="Tháng 4" dataDxfId="611" totalsRowDxfId="610" dataCellStyle="Comma"/>
    <tableColumn id="33" xr3:uid="{4D50F754-44AB-4EA0-8411-B3DA58FA9F77}" name="Tháng 5" dataDxfId="609" totalsRowDxfId="608" dataCellStyle="Comma"/>
    <tableColumn id="34" xr3:uid="{095DA541-8FFF-4D4A-B0B1-0F628DFE99D0}" name="Tháng 6" dataDxfId="607" dataCellStyle="Comma"/>
    <tableColumn id="35" xr3:uid="{D3E05F56-0880-4153-91D3-D886DE1340C5}" name="Tháng 7" dataDxfId="606" dataCellStyle="Comma"/>
    <tableColumn id="36" xr3:uid="{D1923F54-11DB-4249-B122-FA71BE50ED0F}" name="Tháng 8" dataDxfId="605" dataCellStyle="Comma"/>
    <tableColumn id="37" xr3:uid="{01190BA1-8776-41CD-8213-306DC9E72917}" name="Tháng 9" dataDxfId="604" dataCellStyle="Comma"/>
    <tableColumn id="38" xr3:uid="{D4E78B4D-AEFC-4A5A-90AA-D2B0186513FD}" name="Tháng 10" dataDxfId="603" dataCellStyle="Comma"/>
    <tableColumn id="39" xr3:uid="{39541C43-C729-4B8C-A2DF-8B46DB19934F}" name="Tháng 11" dataDxfId="602" dataCellStyle="Comma"/>
    <tableColumn id="40" xr3:uid="{B507645B-A83E-40A1-8131-DC22121E7942}" name="Tháng 12" dataDxfId="601" dataCellStyle="Comma"/>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4:O126" totalsRowCount="1" headerRowDxfId="600" dataDxfId="599" totalsRowDxfId="598" headerRowCellStyle="Comma" dataCellStyle="Comma" totalsRowCellStyle="Comma">
  <autoFilter ref="B124:O125" xr:uid="{91BBA9C3-FC15-4CD7-9733-B5B5DB650110}"/>
  <tableColumns count="14">
    <tableColumn id="1" xr3:uid="{2E43917D-C813-4D56-BD16-1D4A8D96F05A}" name="Kế hoạch chi phí nhân sự (+ bảo hiểm)" totalsRowLabel="Total" dataDxfId="597" totalsRowDxfId="596" dataCellStyle="Comma" totalsRowCellStyle="Comma"/>
    <tableColumn id="3" xr3:uid="{A57E4123-9FD6-4DF6-9D3E-62EF299F2B98}" name="Column1" dataDxfId="595" totalsRowDxfId="594" dataCellStyle="Comma" totalsRowCellStyle="Comma"/>
    <tableColumn id="29" xr3:uid="{B2E2777D-DFCF-4D07-B498-2CCCF122CEE7}" name="Tháng 1" totalsRowFunction="sum" dataDxfId="593" totalsRowDxfId="592" dataCellStyle="Comma" totalsRowCellStyle="Comma">
      <calculatedColumnFormula>-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totalsRowFunction="sum" dataDxfId="591" totalsRowDxfId="590" dataCellStyle="Comma" totalsRowCellStyle="Comma">
      <calculatedColumnFormula>-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totalsRowFunction="sum" dataDxfId="589" totalsRowDxfId="588" dataCellStyle="Comma" totalsRowCellStyle="Comma">
      <calculatedColumnFormula>-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totalsRowFunction="sum" dataDxfId="587" totalsRowDxfId="586" dataCellStyle="Comma" totalsRowCellStyle="Comma">
      <calculatedColumnFormula>-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totalsRowFunction="sum" dataDxfId="585" totalsRowDxfId="584" dataCellStyle="Comma" totalsRowCellStyle="Comma">
      <calculatedColumnFormula>-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totalsRowFunction="sum" dataDxfId="583" totalsRowDxfId="582" dataCellStyle="Comma" totalsRowCellStyle="Comma">
      <calculatedColumnFormula>-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totalsRowFunction="sum" dataDxfId="581" totalsRowDxfId="580" dataCellStyle="Comma" totalsRowCellStyle="Comma">
      <calculatedColumnFormula>-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totalsRowFunction="sum" dataDxfId="579" totalsRowDxfId="578" dataCellStyle="Comma" totalsRowCellStyle="Comma">
      <calculatedColumnFormula>-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totalsRowFunction="sum" dataDxfId="577" totalsRowDxfId="576" dataCellStyle="Comma" totalsRowCellStyle="Comma">
      <calculatedColumnFormula>-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totalsRowFunction="sum" dataDxfId="575" totalsRowDxfId="574" dataCellStyle="Comma" totalsRowCellStyle="Comma">
      <calculatedColumnFormula>-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totalsRowFunction="sum" dataDxfId="573" totalsRowDxfId="572" dataCellStyle="Comma" totalsRowCellStyle="Comma">
      <calculatedColumnFormula>-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totalsRowFunction="sum" dataDxfId="571" totalsRowDxfId="570" dataCellStyle="Comma" totalsRowCellStyle="Comma">
      <calculatedColumnFormula>-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9:O131" totalsRowCount="1" headerRowDxfId="569" dataDxfId="568" totalsRowDxfId="567" headerRowCellStyle="Comma" dataCellStyle="Comma" totalsRowCellStyle="Comma">
  <autoFilter ref="B129:O130" xr:uid="{51C1DF05-35B2-4BFD-8DF4-9018A45F6CC9}"/>
  <tableColumns count="14">
    <tableColumn id="1" xr3:uid="{DE902550-E20E-4920-9A1F-69869534EED6}" name="Kế hoạch thưởng KPI" totalsRowLabel="Total" dataDxfId="566" totalsRowDxfId="565" dataCellStyle="Comma" totalsRowCellStyle="Comma"/>
    <tableColumn id="3" xr3:uid="{23B56988-FA74-49DE-860C-652B89832633}" name="Column1" dataDxfId="564" totalsRowDxfId="563" dataCellStyle="Comma" totalsRowCellStyle="Comma"/>
    <tableColumn id="29" xr3:uid="{218C951F-2A25-4221-8C6F-BC60515EF8B8}" name="Tháng 1" totalsRowFunction="sum" dataDxfId="562" totalsRowDxfId="561" dataCellStyle="Comma" totalsRowCellStyle="Comma"/>
    <tableColumn id="30" xr3:uid="{79562E96-A57B-4C97-B581-1FC0ECDC0E76}" name="Tháng 2" totalsRowFunction="sum" dataDxfId="560" totalsRowDxfId="559" dataCellStyle="Comma" totalsRowCellStyle="Comma"/>
    <tableColumn id="31" xr3:uid="{0A4730AF-73B6-4A07-958A-C8FF52EC6A41}" name="Tháng 3" totalsRowFunction="sum" dataDxfId="558" totalsRowDxfId="557" dataCellStyle="Comma" totalsRowCellStyle="Comma"/>
    <tableColumn id="32" xr3:uid="{F0F88703-DBDC-407F-8F7E-4483AECA0242}" name="Tháng 4" totalsRowFunction="sum" dataDxfId="556" totalsRowDxfId="555" dataCellStyle="Comma" totalsRowCellStyle="Comma"/>
    <tableColumn id="33" xr3:uid="{D10E704C-0465-4AE8-BCD8-36942ABB8208}" name="Tháng 5" totalsRowFunction="sum" dataDxfId="554" totalsRowDxfId="553" dataCellStyle="Comma" totalsRowCellStyle="Comma"/>
    <tableColumn id="34" xr3:uid="{D8F6CCAA-AFE4-4EC1-AE0D-510FB5B92FB5}" name="Tháng 6" totalsRowFunction="sum" dataDxfId="552" totalsRowDxfId="551" dataCellStyle="Comma" totalsRowCellStyle="Comma"/>
    <tableColumn id="35" xr3:uid="{678187C6-1705-4738-B037-28706C93C220}" name="Tháng 7" totalsRowFunction="sum" dataDxfId="550" totalsRowDxfId="549" dataCellStyle="Comma" totalsRowCellStyle="Comma"/>
    <tableColumn id="36" xr3:uid="{D79FF401-459B-4FD8-8631-FD8F00B21CE3}" name="Tháng 8" totalsRowFunction="sum" dataDxfId="548" totalsRowDxfId="547" dataCellStyle="Comma" totalsRowCellStyle="Comma"/>
    <tableColumn id="37" xr3:uid="{36801A4E-98B6-4028-8EBF-B03919843482}" name="Tháng 9" totalsRowFunction="sum" dataDxfId="546" totalsRowDxfId="545" dataCellStyle="Comma" totalsRowCellStyle="Comma"/>
    <tableColumn id="38" xr3:uid="{30753DC8-004B-477F-B388-CBD4F9EF4ECE}" name="Tháng 10" totalsRowFunction="sum" dataDxfId="544" totalsRowDxfId="543" dataCellStyle="Comma" totalsRowCellStyle="Comma"/>
    <tableColumn id="39" xr3:uid="{638B4AF6-6F7F-43EC-A0CE-20762E3E036D}" name="Tháng 11" totalsRowFunction="sum" dataDxfId="542" totalsRowDxfId="541" dataCellStyle="Comma" totalsRowCellStyle="Comma"/>
    <tableColumn id="40" xr3:uid="{2C7C1BC1-E77A-4FA3-9C3B-873B2BA91660}" name="Tháng 12" totalsRowFunction="sum" dataDxfId="540" totalsRowDxfId="539" dataCellStyle="Comma" totalsRowCellStyle="Comma"/>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8:O90" totalsRowCount="1" headerRowDxfId="538" dataDxfId="537" totalsRowDxfId="536" headerRowCellStyle="Comma" dataCellStyle="Comma" totalsRowCellStyle="Comma">
  <autoFilter ref="B88:O89" xr:uid="{65310F32-2FD4-490F-884B-1AA81C582DF4}"/>
  <tableColumns count="14">
    <tableColumn id="1" xr3:uid="{BE423CEE-B6E7-4111-8870-82E3FE033021}" name="Kế hoạch chi phí vật tư &amp; tiện ích văn phòng" totalsRowLabel="Total" dataDxfId="535" totalsRowDxfId="534" dataCellStyle="Comma" totalsRowCellStyle="Comma"/>
    <tableColumn id="3" xr3:uid="{EBB8A3FA-398D-4A82-9B88-93A338431418}" name="Column1" dataDxfId="533" totalsRowDxfId="532" dataCellStyle="Comma" totalsRowCellStyle="Comma"/>
    <tableColumn id="29" xr3:uid="{18458E08-BB69-483A-BFF6-CC58414AD0D7}" name="Tháng 1" totalsRowFunction="sum" dataDxfId="531" totalsRowDxfId="530" dataCellStyle="Comma" totalsRowCellStyle="Comma"/>
    <tableColumn id="30" xr3:uid="{7FD75624-7DC6-49A7-8E05-A71039153BF1}" name="Tháng 2" totalsRowFunction="sum" dataDxfId="529" totalsRowDxfId="528" dataCellStyle="Comma" totalsRowCellStyle="Comma"/>
    <tableColumn id="31" xr3:uid="{42CB0602-6C2C-429F-9B84-98C757C5C5E4}" name="Tháng 3" totalsRowFunction="sum" dataDxfId="527" totalsRowDxfId="526" dataCellStyle="Comma" totalsRowCellStyle="Comma"/>
    <tableColumn id="32" xr3:uid="{01087BC2-EBDB-4095-8A4A-732B0A6FE87E}" name="Tháng 4" totalsRowFunction="sum" dataDxfId="525" totalsRowDxfId="524" dataCellStyle="Comma" totalsRowCellStyle="Comma"/>
    <tableColumn id="33" xr3:uid="{304B7945-3140-472A-AD9E-868515C0D16C}" name="Tháng 5" totalsRowFunction="sum" dataDxfId="523" totalsRowDxfId="522" dataCellStyle="Comma" totalsRowCellStyle="Comma"/>
    <tableColumn id="34" xr3:uid="{3261FDF8-4E8D-44A5-9B23-D773F0C7B65B}" name="Tháng 6" totalsRowFunction="sum" dataDxfId="521" totalsRowDxfId="520" dataCellStyle="Comma" totalsRowCellStyle="Comma"/>
    <tableColumn id="35" xr3:uid="{C2668BA7-C9F7-4559-90D2-274692CC68BA}" name="Tháng 7" totalsRowFunction="sum" dataDxfId="519" totalsRowDxfId="518" dataCellStyle="Comma" totalsRowCellStyle="Comma"/>
    <tableColumn id="36" xr3:uid="{B8B3836E-E188-4747-8152-C6E22B15EA27}" name="Tháng 8" totalsRowFunction="sum" dataDxfId="517" totalsRowDxfId="516" dataCellStyle="Comma" totalsRowCellStyle="Comma"/>
    <tableColumn id="37" xr3:uid="{4124E7A8-F80D-4B28-A7AF-3D2F53163B04}" name="Tháng 9" totalsRowFunction="sum" dataDxfId="515" totalsRowDxfId="514" dataCellStyle="Comma" totalsRowCellStyle="Comma"/>
    <tableColumn id="38" xr3:uid="{4E61618F-7E56-433A-9F3D-A7BEF1423B52}" name="Tháng 10" totalsRowFunction="sum" dataDxfId="513" totalsRowDxfId="512" dataCellStyle="Comma" totalsRowCellStyle="Comma"/>
    <tableColumn id="39" xr3:uid="{42F0304F-0136-47F5-A156-67D1C6D5A0F8}" name="Tháng 11" totalsRowFunction="sum" dataDxfId="511" totalsRowDxfId="510" dataCellStyle="Comma" totalsRowCellStyle="Comma"/>
    <tableColumn id="40" xr3:uid="{32AC9F09-DE67-48F6-8C67-9DC92EE4D4CC}" name="Tháng 12" totalsRowFunction="sum" dataDxfId="509" totalsRowDxfId="508" dataCellStyle="Comma" totalsRowCellStyle="Comma"/>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4:O137" totalsRowShown="0" headerRowDxfId="507" dataDxfId="506" totalsRowDxfId="505" headerRowCellStyle="Comma" dataCellStyle="Comma">
  <autoFilter ref="B134:O137" xr:uid="{3D0FA759-8479-488D-839B-1BE0075A8A6C}"/>
  <tableColumns count="14">
    <tableColumn id="1" xr3:uid="{A3A5B59D-65BE-4BDD-8D15-A6692B89122C}" name="Kế hoạch ngân sách" dataDxfId="504" totalsRowDxfId="503" dataCellStyle="Comma"/>
    <tableColumn id="3" xr3:uid="{9A361F38-A974-4042-8B26-AC09A6AC678E}" name="Column1" dataDxfId="502" dataCellStyle="Comma"/>
    <tableColumn id="29" xr3:uid="{814D5643-16CD-47F4-A1E0-208A06B8A9D3}" name="Tháng 1" dataDxfId="501" totalsRowDxfId="500" dataCellStyle="Comma"/>
    <tableColumn id="30" xr3:uid="{7A393414-42CB-443D-9D95-3533718E1A1D}" name="Tháng 2" dataDxfId="499" totalsRowDxfId="498" dataCellStyle="Comma"/>
    <tableColumn id="31" xr3:uid="{1547A942-2141-4B1A-981E-FAFA34800349}" name="Tháng 3" dataDxfId="497" totalsRowDxfId="496" dataCellStyle="Comma"/>
    <tableColumn id="32" xr3:uid="{4BA2A346-C5A9-4F66-B866-D24B20A9F657}" name="Tháng 4" dataDxfId="495" totalsRowDxfId="494" dataCellStyle="Comma"/>
    <tableColumn id="33" xr3:uid="{72D605EF-2B61-4603-BCEA-EDBA2E24899C}" name="Tháng 5" dataDxfId="493" totalsRowDxfId="492" dataCellStyle="Comma"/>
    <tableColumn id="34" xr3:uid="{D875344A-BA11-4CC1-BB3B-8739F71AC936}" name="Tháng 6" dataDxfId="491" totalsRowDxfId="490" dataCellStyle="Comma"/>
    <tableColumn id="35" xr3:uid="{8B9B1D70-3FB2-4F52-B888-826982A5B247}" name="Tháng 7" dataDxfId="489" totalsRowDxfId="488" dataCellStyle="Comma"/>
    <tableColumn id="36" xr3:uid="{0B8202AD-3A51-404D-9F3F-05D009961822}" name="Tháng 8" dataDxfId="487" totalsRowDxfId="486" dataCellStyle="Comma"/>
    <tableColumn id="37" xr3:uid="{C122372F-CA84-4684-9337-528B16AB5609}" name="Tháng 9" dataDxfId="485" totalsRowDxfId="484" dataCellStyle="Comma"/>
    <tableColumn id="38" xr3:uid="{62E64D4F-8F5D-45B9-B48B-B5ADDCB026D3}" name="Tháng 10" dataDxfId="483" totalsRowDxfId="482" dataCellStyle="Comma"/>
    <tableColumn id="39" xr3:uid="{ECACEED0-E3A6-411F-9422-7CEA08BA2E8D}" name="Tháng 11" dataDxfId="481" totalsRowDxfId="480" dataCellStyle="Comma"/>
    <tableColumn id="40" xr3:uid="{9697E292-6880-42E7-A8AE-EE172DE9F15A}" name="Tháng 12" dataDxfId="479" totalsRowDxfId="478" dataCellStyle="Comma"/>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46:O149" totalsRowShown="0" headerRowDxfId="477" dataDxfId="476" headerRowCellStyle="Comma" dataCellStyle="Comma">
  <autoFilter ref="B146:O149" xr:uid="{97E71E07-08C3-4D75-87B9-575C55B5318E}"/>
  <tableColumns count="14">
    <tableColumn id="1" xr3:uid="{8C61939D-D1D3-4AA6-B8EC-9BF9733718F4}" name="Lịch khấu hao &amp; lãi vay" dataDxfId="475" totalsRowDxfId="474" dataCellStyle="Comma"/>
    <tableColumn id="3" xr3:uid="{EDAC3FF8-E543-464D-9B08-967E5E55A4FA}" name="Tham chiếu" dataDxfId="473" dataCellStyle="Comma"/>
    <tableColumn id="29" xr3:uid="{B71573E4-B697-46AB-9AAD-919DBC8C2FE4}" name="Tháng 1" dataDxfId="472" dataCellStyle="Comma"/>
    <tableColumn id="30" xr3:uid="{BB6EF50D-0D28-463F-A546-0322F2AA023F}" name="Tháng 2" dataDxfId="471" dataCellStyle="Comma"/>
    <tableColumn id="31" xr3:uid="{BEEDA225-F934-4EC8-A044-EF51D67FFEA6}" name="Tháng 3" dataDxfId="470" dataCellStyle="Comma"/>
    <tableColumn id="32" xr3:uid="{B6239208-B5A0-4BB3-876A-5D5156EDB6DD}" name="Tháng 4" dataDxfId="469" dataCellStyle="Comma"/>
    <tableColumn id="33" xr3:uid="{7E493B9B-A5A9-4C91-9CC4-83B34E29EE50}" name="Tháng 5" dataDxfId="468" dataCellStyle="Comma"/>
    <tableColumn id="34" xr3:uid="{37ACC2D8-4DEE-4789-AFB8-5D6B17420595}" name="Tháng 6" dataDxfId="467" dataCellStyle="Comma"/>
    <tableColumn id="35" xr3:uid="{C38990B5-9F3B-4DB4-9798-79782F699076}" name="Tháng 7" dataDxfId="466" dataCellStyle="Comma"/>
    <tableColumn id="36" xr3:uid="{11218192-6632-468B-9EE7-26F36E3398AE}" name="Tháng 8" dataDxfId="465" dataCellStyle="Comma"/>
    <tableColumn id="37" xr3:uid="{CFC4D188-33E2-4A7B-A9BD-E10A0C069D17}" name="Tháng 9" dataDxfId="464" dataCellStyle="Comma"/>
    <tableColumn id="38" xr3:uid="{98901CFD-0E90-426A-B1AE-8391DAC8D976}" name="Tháng 10" dataDxfId="463" dataCellStyle="Comma"/>
    <tableColumn id="39" xr3:uid="{1F566442-3E89-4C65-9077-775BF6EF3FB6}" name="Tháng 11" dataDxfId="462" dataCellStyle="Comma"/>
    <tableColumn id="40" xr3:uid="{58E047CC-369A-45E9-970B-69863F3C0B10}" name="Tháng 12" dataDxfId="461" dataCellStyle="Comma"/>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0:O143" totalsRowCount="1" headerRowDxfId="460" dataDxfId="459" totalsRowDxfId="458" headerRowCellStyle="Comma" dataCellStyle="Comma" totalsRowCellStyle="Comma">
  <autoFilter ref="B140:O142" xr:uid="{9E645D46-1A44-4F2B-8728-BC01BC6E8461}"/>
  <tableColumns count="14">
    <tableColumn id="1" xr3:uid="{5AA33CFF-2395-41B5-BF4C-27903568360B}" name="Kế hoạch ngân sách" totalsRowLabel="Total" dataDxfId="457" totalsRowDxfId="456" dataCellStyle="Comma" totalsRowCellStyle="Comma"/>
    <tableColumn id="3" xr3:uid="{DAE9A5E1-2CB3-4173-B33F-044FDCA10A62}" name="Column1" dataDxfId="455" totalsRowDxfId="454" dataCellStyle="Comma" totalsRowCellStyle="Comma"/>
    <tableColumn id="29" xr3:uid="{89D89AB7-BC0F-4F78-B5ED-5E36151E42EB}" name="Tháng 1" totalsRowFunction="sum" dataDxfId="453" totalsRowDxfId="452" dataCellStyle="Comma" totalsRowCellStyle="Comma"/>
    <tableColumn id="30" xr3:uid="{34C4D473-7E36-46F9-9EBA-E56D5FD0E172}" name="Tháng 2" totalsRowFunction="sum" dataDxfId="451" totalsRowDxfId="450" dataCellStyle="Comma" totalsRowCellStyle="Comma"/>
    <tableColumn id="31" xr3:uid="{20ECC82F-669A-4503-8155-4E0BD0CD521E}" name="Tháng 3" totalsRowFunction="sum" dataDxfId="449" totalsRowDxfId="448" dataCellStyle="Comma" totalsRowCellStyle="Comma"/>
    <tableColumn id="32" xr3:uid="{D7DF4C08-EF0D-459E-A993-EC17AB53D1BF}" name="Tháng 4" totalsRowFunction="sum" dataDxfId="447" totalsRowDxfId="446" dataCellStyle="Comma" totalsRowCellStyle="Comma"/>
    <tableColumn id="33" xr3:uid="{508CE090-5BF6-43D6-9AA3-7D2F39531309}" name="Tháng 5" totalsRowFunction="sum" dataDxfId="445" totalsRowDxfId="444" dataCellStyle="Comma" totalsRowCellStyle="Comma"/>
    <tableColumn id="34" xr3:uid="{6E7DB939-A67C-4B62-A246-94DEF021C7FA}" name="Tháng 6" totalsRowFunction="sum" dataDxfId="443" totalsRowDxfId="442" dataCellStyle="Comma" totalsRowCellStyle="Comma"/>
    <tableColumn id="35" xr3:uid="{E8F31322-4527-4EB4-8EBD-8E8CFD5F5E16}" name="Tháng 7" totalsRowFunction="sum" dataDxfId="441" totalsRowDxfId="440" dataCellStyle="Comma" totalsRowCellStyle="Comma"/>
    <tableColumn id="36" xr3:uid="{749398F3-9AB9-41DA-86BA-A41AB260C8A0}" name="Tháng 8" totalsRowFunction="sum" dataDxfId="439" totalsRowDxfId="438" dataCellStyle="Comma" totalsRowCellStyle="Comma"/>
    <tableColumn id="37" xr3:uid="{679E67DA-BE73-4F1E-904E-D4BAB51D59D2}" name="Tháng 9" totalsRowFunction="sum" dataDxfId="437" totalsRowDxfId="436" dataCellStyle="Comma" totalsRowCellStyle="Comma"/>
    <tableColumn id="38" xr3:uid="{C8B5B370-BD7A-42F4-ACA7-19D7B1064E9D}" name="Tháng 10" totalsRowFunction="sum" dataDxfId="435" totalsRowDxfId="434" dataCellStyle="Comma" totalsRowCellStyle="Comma"/>
    <tableColumn id="39" xr3:uid="{00FB2879-3329-4378-ACCB-05253AA210A9}" name="Tháng 11" totalsRowFunction="sum" dataDxfId="433" totalsRowDxfId="432" dataCellStyle="Comma" totalsRowCellStyle="Comma"/>
    <tableColumn id="40" xr3:uid="{EF5EC11B-262C-449B-BCD4-40B6D08C6A4E}" name="Tháng 12" totalsRowFunction="sum" dataDxfId="431" totalsRowDxfId="430" dataCellStyle="Comma" totalsRowCellStyle="Comma"/>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8:O80" totalsRowCount="1" headerRowDxfId="429" dataDxfId="428" totalsRowDxfId="427" headerRowCellStyle="Comma" dataCellStyle="Comma" totalsRowCellStyle="Comma">
  <autoFilter ref="B78:O79" xr:uid="{90CB3F43-228B-42C8-8033-82A9C464218A}"/>
  <tableColumns count="14">
    <tableColumn id="1" xr3:uid="{3372742A-D250-4646-8967-F0313A30B44F}" name="Kế hoạch chi phí nguyên liệu, vật tư" totalsRowLabel="Total" dataDxfId="426" totalsRowDxfId="425" dataCellStyle="Comma" totalsRowCellStyle="Comma"/>
    <tableColumn id="3" xr3:uid="{44871731-2E3E-470C-8662-4B271913AE86}" name="Column1" dataDxfId="424" totalsRowDxfId="423" dataCellStyle="Comma" totalsRowCellStyle="Comma"/>
    <tableColumn id="27" xr3:uid="{8ED96F53-513C-4E33-A5C5-182322C75381}" name="Tháng 1" totalsRowFunction="sum" dataDxfId="422" totalsRowDxfId="421" dataCellStyle="Comma" totalsRowCellStyle="Comma"/>
    <tableColumn id="28" xr3:uid="{EB268450-C92C-4EF4-B250-D1327E4DB0DD}" name="Tháng 2" totalsRowFunction="sum" dataDxfId="420" totalsRowDxfId="419" dataCellStyle="Comma" totalsRowCellStyle="Comma"/>
    <tableColumn id="29" xr3:uid="{9F8929A2-D8E6-4D5D-85C6-982E5C57DFB2}" name="Tháng 3" totalsRowFunction="sum" dataDxfId="418" totalsRowDxfId="417" dataCellStyle="Comma" totalsRowCellStyle="Comma"/>
    <tableColumn id="30" xr3:uid="{3B0680D1-6885-4501-8FDB-F1318F6CB0D8}" name="Tháng 4" totalsRowFunction="sum" dataDxfId="416" totalsRowDxfId="415" dataCellStyle="Comma" totalsRowCellStyle="Comma"/>
    <tableColumn id="31" xr3:uid="{BBAA5574-2400-46B0-9AF9-20B2BFDBD9DF}" name="Tháng 5" totalsRowFunction="sum" dataDxfId="414" totalsRowDxfId="413" dataCellStyle="Comma" totalsRowCellStyle="Comma"/>
    <tableColumn id="32" xr3:uid="{25BFBF1C-5AF4-49AE-8773-D775BD10541C}" name="Tháng 6" totalsRowFunction="sum" dataDxfId="412" totalsRowDxfId="411" dataCellStyle="Comma" totalsRowCellStyle="Comma"/>
    <tableColumn id="33" xr3:uid="{9DD9B0AB-9ADC-404B-A15A-150336570D6B}" name="Tháng 7" totalsRowFunction="sum" dataDxfId="410" totalsRowDxfId="409" dataCellStyle="Comma" totalsRowCellStyle="Comma"/>
    <tableColumn id="34" xr3:uid="{DB26B895-DA94-430D-B8B1-C4810F234A02}" name="Tháng 8" totalsRowFunction="sum" dataDxfId="408" totalsRowDxfId="407" dataCellStyle="Comma" totalsRowCellStyle="Comma"/>
    <tableColumn id="35" xr3:uid="{B41AAD7F-0471-425C-9C94-E0F57D8A3FD4}" name="Tháng 9" totalsRowFunction="sum" dataDxfId="406" totalsRowDxfId="405" dataCellStyle="Comma" totalsRowCellStyle="Comma"/>
    <tableColumn id="36" xr3:uid="{3C7456A8-64D5-4793-A017-A86820EA5328}" name="Tháng 10" totalsRowFunction="sum" dataDxfId="404" totalsRowDxfId="403" dataCellStyle="Comma" totalsRowCellStyle="Comma"/>
    <tableColumn id="37" xr3:uid="{4A752FBB-A857-49FA-9DFF-0746C4B7C7B3}" name="Tháng 11" totalsRowFunction="sum" dataDxfId="402" totalsRowDxfId="401" dataCellStyle="Comma" totalsRowCellStyle="Comma"/>
    <tableColumn id="38" xr3:uid="{25FB919C-492A-46B1-B521-987406C79B89}" name="Tháng 12" totalsRowFunction="sum" dataDxfId="400" totalsRowDxfId="399" dataCellStyle="Comma" totalsRowCellStyle="Comma"/>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3:O85" totalsRowCount="1" headerRowDxfId="398" dataDxfId="397" totalsRowDxfId="396" headerRowCellStyle="Comma" dataCellStyle="Comma" totalsRowCellStyle="Comma">
  <autoFilter ref="B83:O84" xr:uid="{221B0537-5FEB-4DED-A19F-3E6B77DA9996}"/>
  <tableColumns count="14">
    <tableColumn id="1" xr3:uid="{17A55D1D-8A7F-46C4-A78E-E6D88609A0ED}" name="Kế hoạch chi phí tiện ích sản xuất" totalsRowLabel="Total" dataDxfId="395" totalsRowDxfId="394" dataCellStyle="Comma" totalsRowCellStyle="Comma"/>
    <tableColumn id="3" xr3:uid="{03133537-8970-47C4-9CB1-F57A233D5355}" name="Column1" dataDxfId="393" totalsRowDxfId="392" dataCellStyle="Comma" totalsRowCellStyle="Comma"/>
    <tableColumn id="27" xr3:uid="{0E5F53FE-DD99-49BB-956B-C5B039632FC3}" name="Tháng 1" totalsRowFunction="sum" dataDxfId="391" totalsRowDxfId="390" dataCellStyle="Comma" totalsRowCellStyle="Comma"/>
    <tableColumn id="28" xr3:uid="{408F329E-A3BD-4780-A836-586D06F3F5F6}" name="Tháng 2" totalsRowFunction="sum" dataDxfId="389" totalsRowDxfId="388" dataCellStyle="Comma" totalsRowCellStyle="Comma"/>
    <tableColumn id="29" xr3:uid="{93B60ABC-5251-432D-8B09-2C62360426B9}" name="Tháng 3" totalsRowFunction="sum" dataDxfId="387" totalsRowDxfId="386" dataCellStyle="Comma" totalsRowCellStyle="Comma"/>
    <tableColumn id="30" xr3:uid="{8CA584FC-B8D9-4903-8138-100091B50430}" name="Tháng 4" totalsRowFunction="sum" dataDxfId="385" totalsRowDxfId="384" dataCellStyle="Comma" totalsRowCellStyle="Comma"/>
    <tableColumn id="31" xr3:uid="{D7148F32-51F6-407D-BA56-EEF0BAAFF045}" name="Tháng 5" totalsRowFunction="sum" dataDxfId="383" totalsRowDxfId="382" dataCellStyle="Comma" totalsRowCellStyle="Comma"/>
    <tableColumn id="32" xr3:uid="{E4B3771C-3F5D-4E1B-B8C5-F0AB7A779F31}" name="Tháng 6" totalsRowFunction="sum" dataDxfId="381" totalsRowDxfId="380" dataCellStyle="Comma" totalsRowCellStyle="Comma"/>
    <tableColumn id="33" xr3:uid="{BB5112F1-DF2B-46EF-A759-0B8526A16202}" name="Tháng 7" totalsRowFunction="sum" dataDxfId="379" totalsRowDxfId="378" dataCellStyle="Comma" totalsRowCellStyle="Comma"/>
    <tableColumn id="34" xr3:uid="{53491907-D6B4-44B1-B631-825C9AB3EAC9}" name="Tháng 8" totalsRowFunction="sum" dataDxfId="377" totalsRowDxfId="376" dataCellStyle="Comma" totalsRowCellStyle="Comma"/>
    <tableColumn id="35" xr3:uid="{DBD3DFBF-CB4A-4279-B26F-2294BD4221B8}" name="Tháng 9" totalsRowFunction="sum" dataDxfId="375" totalsRowDxfId="374" dataCellStyle="Comma" totalsRowCellStyle="Comma"/>
    <tableColumn id="36" xr3:uid="{99835027-2C0C-4E07-8D04-B5AEE2FCAED3}" name="Tháng 10" totalsRowFunction="sum" dataDxfId="373" totalsRowDxfId="372" dataCellStyle="Comma" totalsRowCellStyle="Comma"/>
    <tableColumn id="37" xr3:uid="{E54489E3-CF50-4AF1-8114-420E4169CF1C}" name="Tháng 11" totalsRowFunction="sum" dataDxfId="371" totalsRowDxfId="370" dataCellStyle="Comma" totalsRowCellStyle="Comma"/>
    <tableColumn id="38" xr3:uid="{81D93D54-7809-486C-8C6D-B20D35EC3603}" name="Tháng 12" totalsRowFunction="sum" dataDxfId="369" totalsRowDxfId="368" dataCellStyle="Comma" totalsRowCellStyle="Comma"/>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2:O103" totalsRowShown="0" headerRowDxfId="367" dataDxfId="366" headerRowCellStyle="Percent" dataCellStyle="Percent">
  <autoFilter ref="B102:O103" xr:uid="{6F4378BF-C48C-4BF7-978E-B05133837A9C}"/>
  <tableColumns count="14">
    <tableColumn id="1" xr3:uid="{0AB704CD-6E77-4A19-8A14-44B491ED44A9}" name="Kế hoạch tỷ lệ CK thanh toán" dataDxfId="365" dataCellStyle="Percent"/>
    <tableColumn id="3" xr3:uid="{2D2F2141-648C-44C4-A38F-63B74B7ADD09}" name="Column1" dataDxfId="364" dataCellStyle="Percent"/>
    <tableColumn id="27" xr3:uid="{8572BB42-B998-4847-BD79-619E9E413158}" name="Tháng 1" dataDxfId="363" dataCellStyle="Percent"/>
    <tableColumn id="28" xr3:uid="{84EE1221-DEC1-4F70-9345-67F537D90FF1}" name="Tháng 2" dataDxfId="362" dataCellStyle="Percent"/>
    <tableColumn id="29" xr3:uid="{529C4CF1-0CD0-4188-9775-240208D63558}" name="Tháng 3" dataDxfId="361" dataCellStyle="Percent"/>
    <tableColumn id="30" xr3:uid="{388C03E3-701B-43CD-98FF-FB59C839699F}" name="Tháng 4" dataDxfId="360" dataCellStyle="Percent"/>
    <tableColumn id="31" xr3:uid="{A27FB24F-7DB3-45CA-9BB7-26DE3660DD4A}" name="Tháng 5" dataDxfId="359" dataCellStyle="Percent"/>
    <tableColumn id="32" xr3:uid="{CDFB964C-256B-4671-9E9A-6736F6E35215}" name="Tháng 6" dataDxfId="358" dataCellStyle="Percent"/>
    <tableColumn id="33" xr3:uid="{9F5978D1-9D0F-435B-B981-77F26AB879EC}" name="Tháng 7" dataDxfId="357" dataCellStyle="Percent"/>
    <tableColumn id="34" xr3:uid="{9C76757D-0A13-4B88-A3E0-8FB691A90FD6}" name="Tháng 8" dataDxfId="356" dataCellStyle="Percent"/>
    <tableColumn id="35" xr3:uid="{42FBE347-EDDD-4577-A72B-093288F992EA}" name="Tháng 9" dataDxfId="355" dataCellStyle="Percent"/>
    <tableColumn id="36" xr3:uid="{C10786ED-D15A-4048-B931-CE8FE052E0BB}" name="Tháng 10" dataDxfId="354" dataCellStyle="Percent"/>
    <tableColumn id="37" xr3:uid="{E0E1F05E-4DF9-48A2-A327-71B98B576B04}" name="Tháng 11" dataDxfId="353" dataCellStyle="Percent"/>
    <tableColumn id="38" xr3:uid="{1B2BC369-8B67-4EA4-B6B1-78066DCB5241}" name="Tháng 12" dataDxfId="352" dataCellStyle="Percent"/>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6:O107" totalsRowShown="0" headerRowDxfId="351" dataDxfId="350" headerRowCellStyle="Percent" dataCellStyle="Percent">
  <autoFilter ref="B106:O107" xr:uid="{4DB4E945-1A05-4874-A72A-EEAF59322C13}"/>
  <tableColumns count="14">
    <tableColumn id="1" xr3:uid="{EBB5E7C6-D939-4589-8704-A0CFFC685DB4}" name="Kế hoạch tỷ trọng doanh thu" dataDxfId="349" dataCellStyle="Percent"/>
    <tableColumn id="3" xr3:uid="{F510D5AB-1223-433A-9DD7-BB949C5603C7}" name="Column1" dataDxfId="348" dataCellStyle="Percent"/>
    <tableColumn id="27" xr3:uid="{DFF02D24-4281-4ED6-A6C5-733B4AECC52A}" name="Tháng 1" dataDxfId="347" dataCellStyle="Percent"/>
    <tableColumn id="28" xr3:uid="{AC15DDAC-1488-496D-A1FD-755A17C1765C}" name="Tháng 2" dataDxfId="346" dataCellStyle="Percent"/>
    <tableColumn id="29" xr3:uid="{8F89C81C-9306-4476-9065-1C9055D23101}" name="Tháng 3" dataDxfId="345" dataCellStyle="Percent"/>
    <tableColumn id="30" xr3:uid="{FB51BEB5-3EBC-4225-AFA9-1582A2D0E694}" name="Tháng 4" dataDxfId="344" dataCellStyle="Percent"/>
    <tableColumn id="31" xr3:uid="{D59A1D80-6E2A-4F74-B9B2-3CB8EE5D48AC}" name="Tháng 5" dataDxfId="343" dataCellStyle="Percent"/>
    <tableColumn id="32" xr3:uid="{B5BA3823-4DA6-4052-877C-67FB19C2D153}" name="Tháng 6" dataDxfId="342" dataCellStyle="Percent"/>
    <tableColumn id="33" xr3:uid="{87A57697-B2D6-4D67-AF6D-87B1A2F2031D}" name="Tháng 7" dataDxfId="341" dataCellStyle="Percent"/>
    <tableColumn id="34" xr3:uid="{52576BFB-2F7A-44B4-BE29-972875199C82}" name="Tháng 8" dataDxfId="340" dataCellStyle="Percent"/>
    <tableColumn id="35" xr3:uid="{60667DE0-46F3-41A5-B737-276C5E83E46B}" name="Tháng 9" dataDxfId="339" dataCellStyle="Percent"/>
    <tableColumn id="36" xr3:uid="{79D79A59-26BF-4C3B-BAB3-FCDB2B9DBFA0}" name="Tháng 10" dataDxfId="338" dataCellStyle="Percent"/>
    <tableColumn id="37" xr3:uid="{EE95E868-2995-43EE-8E53-035105D694A9}" name="Tháng 11" dataDxfId="337" dataCellStyle="Percent"/>
    <tableColumn id="38" xr3:uid="{1C4C6182-AF5E-42F6-A7FF-40D2E44EBD89}" name="Tháng 12" dataDxfId="336" dataCellStyle="Percent"/>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0:O112" totalsRowCount="1" headerRowDxfId="335" dataDxfId="334" totalsRowDxfId="333" headerRowCellStyle="Comma" dataCellStyle="Comma" totalsRowCellStyle="Comma">
  <autoFilter ref="B110:O111" xr:uid="{4E79D7EF-FE20-446B-8CC3-46D2CC3EA444}"/>
  <tableColumns count="14">
    <tableColumn id="1" xr3:uid="{26A35DC7-8E8B-45E3-BB3A-C37DFD8EE114}" name="Kế hoạch chi phí thanh toán" totalsRowLabel="Total" dataDxfId="332" totalsRowDxfId="331" dataCellStyle="Comma" totalsRowCellStyle="Comma"/>
    <tableColumn id="3" xr3:uid="{57AF8CD3-7273-4172-8B35-08BB4E2A0CEF}" name="Column1" dataDxfId="330" totalsRowDxfId="329" dataCellStyle="Comma" totalsRowCellStyle="Comma"/>
    <tableColumn id="27" xr3:uid="{86C37662-7BBE-4106-9E4A-7220856970C4}" name="Tháng 1" totalsRowFunction="sum" dataDxfId="328" totalsRowDxfId="327" dataCellStyle="Comma" totalsRowCellStyle="Comma">
      <calculatedColumnFormula>-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calculatedColumnFormula>
    </tableColumn>
    <tableColumn id="28" xr3:uid="{3C1FD459-BE52-476C-A231-93612BDC781D}" name="Tháng 2" totalsRowFunction="sum" dataDxfId="326" totalsRowDxfId="325" dataCellStyle="Comma" totalsRowCellStyle="Comma">
      <calculatedColumnFormula>-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calculatedColumnFormula>
    </tableColumn>
    <tableColumn id="29" xr3:uid="{44E99AC0-CE1E-4FEA-B1EC-56FE319B7BDB}" name="Tháng 3" totalsRowFunction="sum" dataDxfId="324" totalsRowDxfId="323" dataCellStyle="Comma" totalsRowCellStyle="Comma">
      <calculatedColumnFormula>-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calculatedColumnFormula>
    </tableColumn>
    <tableColumn id="30" xr3:uid="{96C0360B-2A89-485D-AF92-3B6FF178430A}" name="Tháng 4" totalsRowFunction="sum" dataDxfId="322" totalsRowDxfId="321" dataCellStyle="Comma" totalsRowCellStyle="Comma">
      <calculatedColumnFormula>-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calculatedColumnFormula>
    </tableColumn>
    <tableColumn id="31" xr3:uid="{42586720-5824-4FE3-A8DF-B80FDE5EF3D4}" name="Tháng 5" totalsRowFunction="sum" dataDxfId="320" totalsRowDxfId="319" dataCellStyle="Comma" totalsRowCellStyle="Comma">
      <calculatedColumnFormula>-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calculatedColumnFormula>
    </tableColumn>
    <tableColumn id="32" xr3:uid="{07F0297E-062C-4051-8E96-4FA401FF61A4}" name="Tháng 6" totalsRowFunction="sum" dataDxfId="318" totalsRowDxfId="317" dataCellStyle="Comma" totalsRowCellStyle="Comma">
      <calculatedColumnFormula>-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calculatedColumnFormula>
    </tableColumn>
    <tableColumn id="33" xr3:uid="{B905C123-8F78-469A-881C-7FF04EC6AA39}" name="Tháng 7" totalsRowFunction="sum" dataDxfId="316" totalsRowDxfId="315" dataCellStyle="Comma" totalsRowCellStyle="Comma">
      <calculatedColumnFormula>-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calculatedColumnFormula>
    </tableColumn>
    <tableColumn id="34" xr3:uid="{7F55150A-0CF2-4CFB-BFE1-2A95E9D95074}" name="Tháng 8" totalsRowFunction="sum" dataDxfId="314" totalsRowDxfId="313" dataCellStyle="Comma" totalsRowCellStyle="Comma">
      <calculatedColumnFormula>-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calculatedColumnFormula>
    </tableColumn>
    <tableColumn id="35" xr3:uid="{73FA5353-45C9-4ED4-999D-14E70B99E824}" name="Tháng 9" totalsRowFunction="sum" dataDxfId="312" totalsRowDxfId="311" dataCellStyle="Comma" totalsRowCellStyle="Comma">
      <calculatedColumnFormula>-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calculatedColumnFormula>
    </tableColumn>
    <tableColumn id="36" xr3:uid="{D4791067-9357-49C2-84E1-DFAC0F17A84F}" name="Tháng 10" totalsRowFunction="sum" dataDxfId="310" totalsRowDxfId="309" dataCellStyle="Comma" totalsRowCellStyle="Comma">
      <calculatedColumnFormula>-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calculatedColumnFormula>
    </tableColumn>
    <tableColumn id="37" xr3:uid="{5611D5E6-8D29-43D1-9B81-864F4CE55C4C}" name="Tháng 11" totalsRowFunction="sum" dataDxfId="308" totalsRowDxfId="307" dataCellStyle="Comma" totalsRowCellStyle="Comma">
      <calculatedColumnFormula>-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calculatedColumnFormula>
    </tableColumn>
    <tableColumn id="38" xr3:uid="{8181C98D-3CAA-4B60-8AD7-1538621D71FC}" name="Tháng 12" totalsRowFunction="sum" dataDxfId="306" totalsRowDxfId="305" dataCellStyle="Comma" totalsRowCellStyle="Comma">
      <calculatedColumnFormula>-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4:O66" totalsRowShown="0" headerRowDxfId="304" dataDxfId="303">
  <autoFilter ref="B64:O66" xr:uid="{0C63FCA5-374F-45E9-B948-7D48CC19EBA8}"/>
  <tableColumns count="14">
    <tableColumn id="1" xr3:uid="{76415C8B-364D-4D08-A827-14CA674598A8}" name="Kế hoạch chiết khấu thương mại" dataDxfId="302"/>
    <tableColumn id="3" xr3:uid="{2D1F0164-FE3F-4FC6-81B1-670A52FB817F}" name="Column1" dataDxfId="301"/>
    <tableColumn id="27" xr3:uid="{F4421827-F4C5-411A-96EC-B157E5401B70}" name="Tháng 1" dataDxfId="300">
      <calculatedColumnFormula>IFERROR(-D64*Table_KeHoach_DoanhThu[[#Totals],[Tháng 1]],0)</calculatedColumnFormula>
    </tableColumn>
    <tableColumn id="28" xr3:uid="{3D5D0C1B-0AF8-4F92-BBAC-01DC57CAA70C}" name="Tháng 2" dataDxfId="299">
      <calculatedColumnFormula>IFERROR(-$C$65*Table_KeHoach_DoanhThu[[#Totals],[Tháng 2]],0)</calculatedColumnFormula>
    </tableColumn>
    <tableColumn id="29" xr3:uid="{2184DEE7-0896-49DE-836E-27156D3DB4E3}" name="Tháng 3" dataDxfId="298">
      <calculatedColumnFormula>IFERROR(-$C$65*Table_KeHoach_DoanhThu[[#Totals],[Tháng 3]],0)</calculatedColumnFormula>
    </tableColumn>
    <tableColumn id="30" xr3:uid="{C24C7C88-ED1E-45EC-A3F8-182C13247E9C}" name="Tháng 4" dataDxfId="297">
      <calculatedColumnFormula>IFERROR(-$C$65*Table_KeHoach_DoanhThu[[#Totals],[Tháng 4]],0)</calculatedColumnFormula>
    </tableColumn>
    <tableColumn id="31" xr3:uid="{BB7AD995-EE6B-4BF7-A5F7-FCADABCEA453}" name="Tháng 5" dataDxfId="296">
      <calculatedColumnFormula>IFERROR(-$C$65*Table_KeHoach_DoanhThu[[#Totals],[Tháng 5]],0)</calculatedColumnFormula>
    </tableColumn>
    <tableColumn id="32" xr3:uid="{76BFFA42-73D8-439A-9CD4-3BBB1077ADC8}" name="Tháng 6" dataDxfId="295">
      <calculatedColumnFormula>IFERROR(-$C$65*Table_KeHoach_DoanhThu[[#Totals],[Tháng 6]],0)</calculatedColumnFormula>
    </tableColumn>
    <tableColumn id="33" xr3:uid="{32662CD6-B520-4DC0-9AD1-2C6240AFB0B2}" name="Tháng 7" dataDxfId="294">
      <calculatedColumnFormula>IFERROR(-$C$65*Table_KeHoach_DoanhThu[[#Totals],[Tháng 7]],0)</calculatedColumnFormula>
    </tableColumn>
    <tableColumn id="34" xr3:uid="{2E0AEA39-18D9-4BA8-AFDD-957A02179027}" name="Tháng 8" dataDxfId="293">
      <calculatedColumnFormula>IFERROR(-$C$65*Table_KeHoach_DoanhThu[[#Totals],[Tháng 8]],0)</calculatedColumnFormula>
    </tableColumn>
    <tableColumn id="35" xr3:uid="{D0234ED1-E665-4A9E-BB14-46DADF752A7F}" name="Tháng 9" dataDxfId="292">
      <calculatedColumnFormula>IFERROR(-$C$65*Table_KeHoach_DoanhThu[[#Totals],[Tháng 9]],0)</calculatedColumnFormula>
    </tableColumn>
    <tableColumn id="36" xr3:uid="{AD609898-BC6C-4B43-B083-24250902B7C3}" name="Tháng 10" dataDxfId="291">
      <calculatedColumnFormula>IFERROR(-$C$65*Table_KeHoach_DoanhThu[[#Totals],[Tháng 10]],0)</calculatedColumnFormula>
    </tableColumn>
    <tableColumn id="37" xr3:uid="{BAAC8AB2-3DB4-4465-A261-52A69FB1BEF0}" name="Tháng 11" dataDxfId="290">
      <calculatedColumnFormula>IFERROR(-$C$65*Table_KeHoach_DoanhThu[[#Totals],[Tháng 11]],0)</calculatedColumnFormula>
    </tableColumn>
    <tableColumn id="38" xr3:uid="{BC8D763A-019F-43F4-BDD8-DB95305BE6E2}" name="Tháng 12" dataDxfId="289">
      <calculatedColumnFormula>IFERROR(-$C$65*Table_KeHoach_DoanhThu[[#Totals],[Tháng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6:W47" totalsRowShown="0" headerRowDxfId="288" dataDxfId="287">
  <autoFilter ref="Q6:W47" xr:uid="{1035B389-90D7-47BF-AE83-78827CD02611}"/>
  <tableColumns count="7">
    <tableColumn id="1" xr3:uid="{D1EA0B06-F776-4AE7-AFFA-8DDC0BEBB2C7}" name="Gtri" dataDxfId="286"/>
    <tableColumn id="2" xr3:uid="{190F32B2-23F3-48B5-96C2-FCA536CD7DDE}" name="Năm đầu" dataDxfId="285" dataCellStyle="Comma"/>
    <tableColumn id="3" xr3:uid="{780DE01B-FDE7-4083-9A9B-C3BB1D01BF65}" name="2025" dataDxfId="284" dataCellStyle="Comma"/>
    <tableColumn id="4" xr3:uid="{A8900383-F6F4-486B-BE13-AF173052E2A1}" name="2026" dataDxfId="283" dataCellStyle="Comma"/>
    <tableColumn id="5" xr3:uid="{23DFDA4F-9AEB-416E-ADB2-4BD4472BC4DE}" name="2027" dataDxfId="282" dataCellStyle="Comma"/>
    <tableColumn id="6" xr3:uid="{FA7603CF-7C12-4CE6-8549-F51760746745}" name="2028" dataDxfId="281" dataCellStyle="Comma"/>
    <tableColumn id="15" xr3:uid="{0A76CFCF-213F-4B57-ACE5-C49B82D60DF1}" name="Add" dataDxfId="280" data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2:O194" totalsRowCount="1" headerRowDxfId="279" dataDxfId="277" headerRowBorderDxfId="278" tableBorderDxfId="276">
  <autoFilter ref="B192:O193" xr:uid="{808A2169-8554-4C17-96AC-814597A28FCD}"/>
  <tableColumns count="14">
    <tableColumn id="1" xr3:uid="{49D0F695-8A6B-4F93-8F8B-468B99DE390C}" name="Kế hoạch cổ tức" totalsRowLabel="      Total      " dataDxfId="275" totalsRowDxfId="274"/>
    <tableColumn id="2" xr3:uid="{DD60580E-24DA-42B0-B365-15B56EFBD16B}" name="Tỷ lệ lợi ích" dataDxfId="273" totalsRowDxfId="272" dataCellStyle="Percent" totalsRowCellStyle="Percent"/>
    <tableColumn id="3" xr3:uid="{A86E0184-D6A9-4F55-9781-6D86B31090DF}" name="Tháng 1" totalsRowFunction="sum" dataDxfId="271" totalsRowDxfId="270" dataCellStyle="Comma" totalsRowCellStyle="Comma">
      <calculatedColumnFormula>Table_KeHoach_CoTuc[[#This Row],[Tỷ lệ lợi ích]]*D$46</calculatedColumnFormula>
    </tableColumn>
    <tableColumn id="4" xr3:uid="{1E3DF815-1A4A-43CB-9723-2E250B7B2039}" name="Tháng 2" totalsRowFunction="sum" dataDxfId="269" totalsRowDxfId="268" dataCellStyle="Comma" totalsRowCellStyle="Comma">
      <calculatedColumnFormula>Table_KeHoach_CoTuc[[#This Row],[Tỷ lệ lợi ích]]*E$46</calculatedColumnFormula>
    </tableColumn>
    <tableColumn id="5" xr3:uid="{798EBA13-5C1C-4B3B-886D-7B42854CD1DE}" name="Tháng 3" totalsRowFunction="sum" dataDxfId="267" totalsRowDxfId="266" dataCellStyle="Comma" totalsRowCellStyle="Comma">
      <calculatedColumnFormula>Table_KeHoach_CoTuc[[#This Row],[Tỷ lệ lợi ích]]*F$46</calculatedColumnFormula>
    </tableColumn>
    <tableColumn id="6" xr3:uid="{8830216C-BA41-42D5-876B-AE721F398DED}" name="Tháng 4" totalsRowFunction="sum" dataDxfId="265" totalsRowDxfId="264" dataCellStyle="Comma" totalsRowCellStyle="Comma">
      <calculatedColumnFormula>Table_KeHoach_CoTuc[[#This Row],[Tỷ lệ lợi ích]]*G$46</calculatedColumnFormula>
    </tableColumn>
    <tableColumn id="7" xr3:uid="{CFBE895E-3AF4-435F-A0A6-AD782E142082}" name="Tháng 5" totalsRowFunction="sum" dataDxfId="263" totalsRowDxfId="262" dataCellStyle="Comma" totalsRowCellStyle="Comma">
      <calculatedColumnFormula>Table_KeHoach_CoTuc[[#This Row],[Tỷ lệ lợi ích]]*H$46</calculatedColumnFormula>
    </tableColumn>
    <tableColumn id="8" xr3:uid="{6AF681AF-ADB8-4ED1-A741-AB1B95CE411B}" name="Tháng 6" totalsRowFunction="sum" dataDxfId="261" totalsRowDxfId="260" dataCellStyle="Comma" totalsRowCellStyle="Comma">
      <calculatedColumnFormula>Table_KeHoach_CoTuc[[#This Row],[Tỷ lệ lợi ích]]*I$46</calculatedColumnFormula>
    </tableColumn>
    <tableColumn id="9" xr3:uid="{2859DA0C-AB7B-4D95-A27B-C0F30E1235A6}" name="Tháng 7" totalsRowFunction="sum" dataDxfId="259" totalsRowDxfId="258" dataCellStyle="Comma" totalsRowCellStyle="Comma">
      <calculatedColumnFormula>Table_KeHoach_CoTuc[[#This Row],[Tỷ lệ lợi ích]]*J$46</calculatedColumnFormula>
    </tableColumn>
    <tableColumn id="10" xr3:uid="{276E9A06-AFA5-4E42-BF42-CD0D2D891F37}" name="Tháng 8" totalsRowFunction="sum" dataDxfId="257" totalsRowDxfId="256" dataCellStyle="Comma" totalsRowCellStyle="Comma">
      <calculatedColumnFormula>Table_KeHoach_CoTuc[[#This Row],[Tỷ lệ lợi ích]]*K$46</calculatedColumnFormula>
    </tableColumn>
    <tableColumn id="11" xr3:uid="{E6C25EAF-8AD9-4321-9B36-672D987AE47D}" name="Tháng 9" totalsRowFunction="sum" dataDxfId="255" totalsRowDxfId="254" dataCellStyle="Comma" totalsRowCellStyle="Comma">
      <calculatedColumnFormula>Table_KeHoach_CoTuc[[#This Row],[Tỷ lệ lợi ích]]*L$46</calculatedColumnFormula>
    </tableColumn>
    <tableColumn id="12" xr3:uid="{A4509611-8DC1-4631-AD16-64AAC808B76D}" name="Tháng 10" totalsRowFunction="sum" dataDxfId="253" totalsRowDxfId="252" dataCellStyle="Comma" totalsRowCellStyle="Comma">
      <calculatedColumnFormula>Table_KeHoach_CoTuc[[#This Row],[Tỷ lệ lợi ích]]*M$46</calculatedColumnFormula>
    </tableColumn>
    <tableColumn id="13" xr3:uid="{94D4291B-9242-43C1-90C3-C2A12092243B}" name="Tháng 11" totalsRowFunction="sum" dataDxfId="251" totalsRowDxfId="250" dataCellStyle="Comma" totalsRowCellStyle="Comma">
      <calculatedColumnFormula>Table_KeHoach_CoTuc[[#This Row],[Tỷ lệ lợi ích]]*N$46</calculatedColumnFormula>
    </tableColumn>
    <tableColumn id="14" xr3:uid="{F3EBB3AF-1773-483A-8741-1AFC969F4F19}" name="Tháng 12" totalsRowFunction="sum" dataDxfId="249" totalsRowDxfId="248" dataCellStyle="Comma" totalsRowCellStyle="Comma">
      <calculatedColumnFormula>Table_KeHoach_CoTuc[[#This Row],[Tỷ lệ lợi ích]]*O$46</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52:O156" totalsRowCount="1" headerRowDxfId="247" dataDxfId="246" totalsRowDxfId="245" headerRowCellStyle="Comma" dataCellStyle="Comma" totalsRowCellStyle="Comma">
  <autoFilter ref="B152:O155" xr:uid="{8A8F14B1-111A-413B-A67F-CF2B5D205696}"/>
  <tableColumns count="14">
    <tableColumn id="1" xr3:uid="{E1B4FD86-CE22-490C-85A3-15FE4154DBCD}" name="Thuế phí nộp NS" totalsRowLabel=" Total " dataDxfId="244" totalsRowDxfId="243" dataCellStyle="Comma" totalsRowCellStyle="Comma"/>
    <tableColumn id="2" xr3:uid="{D53202FB-2655-4012-857A-E01506606BE1}" name="Thuế suất TNDN" dataDxfId="242" totalsRowDxfId="241" dataCellStyle="Comma" totalsRowCellStyle="Comma"/>
    <tableColumn id="3" xr3:uid="{65637690-DDDE-46C4-99F5-B081E93AECFE}" name="Tháng 1" totalsRowFunction="sum" dataDxfId="240" totalsRowDxfId="239" dataCellStyle="Comma" totalsRowCellStyle="Comma">
      <calculatedColumnFormula>Table_KeHoach_ThuePhi[[#This Row],[Thuế suất TNDN]]*(D19-SUM(D22:D28)-D30-SUM(D150:D152))</calculatedColumnFormula>
    </tableColumn>
    <tableColumn id="4" xr3:uid="{8F1A8FD3-96CE-4482-B092-0AD925CBC846}" name="Tháng 2" totalsRowFunction="sum" dataDxfId="238" totalsRowDxfId="237" dataCellStyle="Comma" totalsRowCellStyle="Comma">
      <calculatedColumnFormula>Table_KeHoach_ThuePhi[[#This Row],[Thuế suất TNDN]]*(E19-SUM(E22:E28)-E30-SUM(E150:E152))</calculatedColumnFormula>
    </tableColumn>
    <tableColumn id="5" xr3:uid="{6EA37890-682A-4634-8958-22A476BAF45E}" name="Tháng 3" totalsRowFunction="sum" dataDxfId="236" totalsRowDxfId="235" dataCellStyle="Comma" totalsRowCellStyle="Comma">
      <calculatedColumnFormula>Table_KeHoach_ThuePhi[[#This Row],[Thuế suất TNDN]]*(F19-SUM(F22:F28)-F30-SUM(F150:F152))</calculatedColumnFormula>
    </tableColumn>
    <tableColumn id="6" xr3:uid="{760D7F1E-131D-4271-9D5B-0BE459EE774B}" name="Tháng 4" totalsRowFunction="sum" dataDxfId="234" totalsRowDxfId="233" dataCellStyle="Comma" totalsRowCellStyle="Comma">
      <calculatedColumnFormula>Table_KeHoach_ThuePhi[[#This Row],[Thuế suất TNDN]]*(G19-SUM(G22:G28)-G30-SUM(G150:G152))</calculatedColumnFormula>
    </tableColumn>
    <tableColumn id="7" xr3:uid="{5542AD53-E67D-4BC2-8175-39371ECB670C}" name="Tháng 5" totalsRowFunction="sum" dataDxfId="232" totalsRowDxfId="231" dataCellStyle="Comma" totalsRowCellStyle="Comma">
      <calculatedColumnFormula>Table_KeHoach_ThuePhi[[#This Row],[Thuế suất TNDN]]*(H19-SUM(H22:H28)-H30-SUM(H150:H152))</calculatedColumnFormula>
    </tableColumn>
    <tableColumn id="8" xr3:uid="{DF93FB31-5492-4303-8DD6-91C4803FCF04}" name="Tháng 6" totalsRowFunction="sum" dataDxfId="230" totalsRowDxfId="229" dataCellStyle="Comma" totalsRowCellStyle="Comma">
      <calculatedColumnFormula>Table_KeHoach_ThuePhi[[#This Row],[Thuế suất TNDN]]*(I19-SUM(I22:I28)-I30-SUM(I150:I152))</calculatedColumnFormula>
    </tableColumn>
    <tableColumn id="9" xr3:uid="{9B41CE32-9491-48D6-A5EC-089D3738AA5D}" name="Tháng 7" totalsRowFunction="sum" dataDxfId="228" totalsRowDxfId="227" dataCellStyle="Comma" totalsRowCellStyle="Comma">
      <calculatedColumnFormula>Table_KeHoach_ThuePhi[[#This Row],[Thuế suất TNDN]]*(J19-SUM(J22:J28)-J30-SUM(J150:J152))</calculatedColumnFormula>
    </tableColumn>
    <tableColumn id="10" xr3:uid="{8E7505FD-F3A2-4304-9321-60B6D8F3FD94}" name="Tháng 8" totalsRowFunction="sum" dataDxfId="226" totalsRowDxfId="225" dataCellStyle="Comma" totalsRowCellStyle="Comma">
      <calculatedColumnFormula>Table_KeHoach_ThuePhi[[#This Row],[Thuế suất TNDN]]*(K19-SUM(K22:K28)-K30-SUM(K150:K152))</calculatedColumnFormula>
    </tableColumn>
    <tableColumn id="11" xr3:uid="{8681826C-DCC4-40FC-932C-32E16DD4DF57}" name="Tháng 9" totalsRowFunction="sum" dataDxfId="224" totalsRowDxfId="223" dataCellStyle="Comma" totalsRowCellStyle="Comma">
      <calculatedColumnFormula>Table_KeHoach_ThuePhi[[#This Row],[Thuế suất TNDN]]*(L19-SUM(L22:L28)-L30-SUM(L150:L152))</calculatedColumnFormula>
    </tableColumn>
    <tableColumn id="12" xr3:uid="{9C798E64-E67C-478B-B93A-B9C6DA4FC7F9}" name="Tháng 10" totalsRowFunction="sum" dataDxfId="222" totalsRowDxfId="221" dataCellStyle="Comma" totalsRowCellStyle="Comma">
      <calculatedColumnFormula>Table_KeHoach_ThuePhi[[#This Row],[Thuế suất TNDN]]*(M19-SUM(M22:M28)-M30-SUM(M150:M152))</calculatedColumnFormula>
    </tableColumn>
    <tableColumn id="13" xr3:uid="{9A368F42-0582-441C-9F84-BF9025C50EE3}" name="Tháng 11" totalsRowFunction="sum" dataDxfId="220" totalsRowDxfId="219" dataCellStyle="Comma" totalsRowCellStyle="Comma">
      <calculatedColumnFormula>Table_KeHoach_ThuePhi[[#This Row],[Thuế suất TNDN]]*(N19-SUM(N22:N28)-N30-SUM(N150:N152))</calculatedColumnFormula>
    </tableColumn>
    <tableColumn id="14" xr3:uid="{DCA6B3CE-C59C-4E58-82C3-3ADBAF5B8485}" name="Tháng 12" totalsRowFunction="sum" dataDxfId="218" totalsRowDxfId="217" dataCellStyle="Comma" totalsRowCellStyle="Comma">
      <calculatedColumnFormula>Table_KeHoach_ThuePhi[[#This Row],[Thuế suất TNDN]]*(O19-SUM(O22:O28)-O30-SUM(O150:O152))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59:O161" totalsRowCount="1" headerRowDxfId="216" dataDxfId="215" totalsRowDxfId="214" headerRowCellStyle="Comma" dataCellStyle="Comma" totalsRowCellStyle="Comma">
  <autoFilter ref="B159:O160" xr:uid="{96FD8BD8-B7E5-419E-8BB2-78218593F1B2}"/>
  <tableColumns count="14">
    <tableColumn id="1" xr3:uid="{768FE315-31C0-4DB4-9021-2FE7E955FBF9}" name="Chi phí khác" totalsRowLabel="Total" dataDxfId="213" totalsRowDxfId="212" dataCellStyle="Comma" totalsRowCellStyle="Comma"/>
    <tableColumn id="2" xr3:uid="{E76566A7-ACF6-4C07-9CA0-B6DE1AB3C1C2}" name="Column1" dataDxfId="211" totalsRowDxfId="210" dataCellStyle="Comma" totalsRowCellStyle="Comma"/>
    <tableColumn id="3" xr3:uid="{4D99DE36-398C-49DD-8883-00CB9184DBFD}" name="Tháng 1" totalsRowFunction="sum" dataDxfId="209" totalsRowDxfId="208" dataCellStyle="Comma" totalsRowCellStyle="Comma"/>
    <tableColumn id="4" xr3:uid="{C48CBD3E-92B2-4F67-9343-8D382630343C}" name="Tháng 2" totalsRowFunction="sum" dataDxfId="207" totalsRowDxfId="206" dataCellStyle="Comma" totalsRowCellStyle="Comma"/>
    <tableColumn id="5" xr3:uid="{43FD04D6-46DF-46C1-9525-736694AB7D1F}" name="Tháng 3" totalsRowFunction="sum" dataDxfId="205" totalsRowDxfId="204" dataCellStyle="Comma" totalsRowCellStyle="Comma"/>
    <tableColumn id="6" xr3:uid="{338911FA-A216-40BC-8FFD-0DA4F52200F4}" name="Tháng 4" totalsRowFunction="sum" dataDxfId="203" totalsRowDxfId="202" dataCellStyle="Comma" totalsRowCellStyle="Comma"/>
    <tableColumn id="7" xr3:uid="{9625CA5C-45E0-4828-8EC3-E1DD30D29CF5}" name="Tháng 5" totalsRowFunction="sum" dataDxfId="201" totalsRowDxfId="200" dataCellStyle="Comma" totalsRowCellStyle="Comma"/>
    <tableColumn id="8" xr3:uid="{22690AF8-CB46-4424-82B9-90A9ACEDF7C9}" name="Tháng 6" totalsRowFunction="sum" dataDxfId="199" totalsRowDxfId="198" dataCellStyle="Comma" totalsRowCellStyle="Comma"/>
    <tableColumn id="9" xr3:uid="{46B20350-B1F2-444D-8280-E74F5AFB7623}" name="Tháng 7" totalsRowFunction="sum" dataDxfId="197" totalsRowDxfId="196" dataCellStyle="Comma" totalsRowCellStyle="Comma"/>
    <tableColumn id="10" xr3:uid="{DED24CC5-90EB-41BE-A611-942287018FC7}" name="Tháng 8" totalsRowFunction="sum" dataDxfId="195" totalsRowDxfId="194" dataCellStyle="Comma" totalsRowCellStyle="Comma"/>
    <tableColumn id="11" xr3:uid="{B7F3D681-D599-4B53-90CB-2DDA2EF51765}" name="Tháng 9" totalsRowFunction="sum" dataDxfId="193" totalsRowDxfId="192" dataCellStyle="Comma" totalsRowCellStyle="Comma"/>
    <tableColumn id="12" xr3:uid="{DE9129F3-515D-41CD-AA67-CF85B3FE4214}" name="Tháng 10" totalsRowFunction="sum" dataDxfId="191" totalsRowDxfId="190" dataCellStyle="Comma" totalsRowCellStyle="Comma"/>
    <tableColumn id="13" xr3:uid="{8CCD98CF-960C-45F0-A381-B894F5A1ECB2}" name="Tháng 11" totalsRowFunction="sum" dataDxfId="189" totalsRowDxfId="188" dataCellStyle="Comma" totalsRowCellStyle="Comma"/>
    <tableColumn id="14" xr3:uid="{51557357-AFF3-40C6-9B8D-4A1DF3076586}" name="Tháng 12" totalsRowFunction="sum" dataDxfId="187" totalsRowDxfId="186" dataCellStyle="Comma" totalsRowCellStyle="Comma"/>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64:O165" totalsRowShown="0" headerRowDxfId="185" dataDxfId="184" headerRowCellStyle="Percent" dataCellStyle="Percent">
  <autoFilter ref="B164:O165" xr:uid="{2F886034-4997-42ED-9CB6-13B61DBCED3D}"/>
  <tableColumns count="14">
    <tableColumn id="1" xr3:uid="{5D6511A4-A82D-4138-A154-BBC13B2D9890}" name="Tỷ lệ nợ trên doanh thu" dataDxfId="183" dataCellStyle="Percent"/>
    <tableColumn id="2" xr3:uid="{4C8AFAD8-1B43-4BC9-9A80-8D046B836805}" name="Column1" dataDxfId="182" dataCellStyle="Percent"/>
    <tableColumn id="3" xr3:uid="{F6E6C07B-61B7-44DA-8A34-52D0EBF9B536}" name="Tháng 1" dataDxfId="181" dataCellStyle="Percent"/>
    <tableColumn id="4" xr3:uid="{F76896B2-FEA9-4271-B1C1-22ACB50F70B8}" name="Tháng 2" dataDxfId="180" dataCellStyle="Percent"/>
    <tableColumn id="5" xr3:uid="{4361CE05-549B-4EDB-AD1D-EB6473142EEF}" name="Tháng 3" dataDxfId="179" dataCellStyle="Percent"/>
    <tableColumn id="6" xr3:uid="{5BFE392B-7CD8-4B2F-87CA-CA1FDAAE4E7C}" name="Tháng 4" dataDxfId="178" dataCellStyle="Percent"/>
    <tableColumn id="7" xr3:uid="{34FC78E8-465C-4D01-85BB-A6CFBBC8FD9F}" name="Tháng 5" dataDxfId="177" dataCellStyle="Percent"/>
    <tableColumn id="8" xr3:uid="{8529FBB6-A405-40C0-92DF-9EAE442DFA82}" name="Tháng 6" dataDxfId="176" dataCellStyle="Percent"/>
    <tableColumn id="9" xr3:uid="{8657A63F-D963-4E70-8916-C7EE689A35F3}" name="Tháng 7" dataDxfId="175" dataCellStyle="Percent"/>
    <tableColumn id="10" xr3:uid="{B05A8636-3DD2-420A-9889-E9A5E4CDD776}" name="Tháng 8" dataDxfId="174" dataCellStyle="Percent"/>
    <tableColumn id="11" xr3:uid="{50925FC6-05BE-416A-A989-A4D3168D72B5}" name="Tháng 9" dataDxfId="173" dataCellStyle="Percent"/>
    <tableColumn id="12" xr3:uid="{786D6859-7458-4381-A34E-1697DF5BA2F6}" name="Tháng 10" dataDxfId="172" dataCellStyle="Percent"/>
    <tableColumn id="13" xr3:uid="{1AAC06D0-E615-4C60-A136-A838C3C27029}" name="Tháng 11" dataDxfId="171" dataCellStyle="Percent"/>
    <tableColumn id="14" xr3:uid="{30CD70F2-9EEE-43A3-A6E2-DD6A7C586936}" name="Tháng 12" dataDxfId="170"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Y6:AA47" totalsRowShown="0" headerRowDxfId="169" dataDxfId="168">
  <autoFilter ref="Y6:AA47" xr:uid="{F0D1B767-E383-406E-8FDE-2130594FDFAA}"/>
  <tableColumns count="3">
    <tableColumn id="1" xr3:uid="{E01F3758-F6DC-4D50-BA14-C5C056EB4B41}" name="Gtri" dataDxfId="167"/>
    <tableColumn id="2" xr3:uid="{CA485F36-BEC3-42D6-94EC-451FEC0F99D9}" name="Tháng" dataDxfId="166" dataCellStyle="Comma"/>
    <tableColumn id="15" xr3:uid="{4E548353-44A3-44DF-A1B7-3D2C4835FE97}" name="Add" dataDxfId="165" dataCellStyle="Comma"/>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E7AE1E-4F3C-4A30-8948-1A3A995603CE}" name="Table_KeHoach_TSCD" displayName="Table_KeHoach_TSCD" ref="B168:O170" totalsRowCount="1" headerRowDxfId="164" dataDxfId="162" totalsRowDxfId="160" headerRowBorderDxfId="163" tableBorderDxfId="161" headerRowCellStyle="Comma" dataCellStyle="Comma" totalsRowCellStyle="Comma">
  <autoFilter ref="B168:O169" xr:uid="{57E7AE1E-4F3C-4A30-8948-1A3A995603CE}"/>
  <tableColumns count="14">
    <tableColumn id="1" xr3:uid="{DF8E4BD0-CBD3-4888-BCFD-408918A6544A}" name="Dòng tiền đầu tư và thanh lý TSCĐ" totalsRowLabel=" Total " dataDxfId="159" totalsRowDxfId="158" dataCellStyle="Comma" totalsRowCellStyle="Comma"/>
    <tableColumn id="2" xr3:uid="{C4EAD64F-07F8-4D00-A873-E2C84E637CA4}" name="Column1" totalsRowFunction="sum" dataDxfId="157" totalsRowDxfId="156" dataCellStyle="Comma" totalsRowCellStyle="Comma"/>
    <tableColumn id="3" xr3:uid="{8CAE4353-F8DA-41C1-A640-2B2844B5A8A7}" name="Tháng 1" totalsRowFunction="sum" dataDxfId="155" totalsRowDxfId="154" dataCellStyle="Comma" totalsRowCellStyle="Comma"/>
    <tableColumn id="4" xr3:uid="{996C5785-64C8-4DC8-96C7-2CC842B1CE86}" name="Tháng 2" totalsRowFunction="sum" dataDxfId="153" totalsRowDxfId="152" dataCellStyle="Comma" totalsRowCellStyle="Comma"/>
    <tableColumn id="5" xr3:uid="{EE1F4D7A-5A52-44A4-918D-A41942A1C821}" name="Tháng 3" totalsRowFunction="sum" dataDxfId="151" totalsRowDxfId="150" dataCellStyle="Comma" totalsRowCellStyle="Comma"/>
    <tableColumn id="6" xr3:uid="{E712445B-4607-4BE2-BF89-C9757E7040F1}" name="Tháng 4" totalsRowFunction="sum" dataDxfId="149" totalsRowDxfId="148" dataCellStyle="Comma" totalsRowCellStyle="Comma"/>
    <tableColumn id="7" xr3:uid="{FBA29EEC-51AF-4209-8826-7FB7AD4EA635}" name="Tháng 5" totalsRowFunction="sum" dataDxfId="147" totalsRowDxfId="146" dataCellStyle="Comma" totalsRowCellStyle="Comma"/>
    <tableColumn id="8" xr3:uid="{1B000ADF-2817-4292-81CE-0CD6F7BE728A}" name="Tháng 6" totalsRowFunction="sum" dataDxfId="145" totalsRowDxfId="144" dataCellStyle="Comma" totalsRowCellStyle="Comma"/>
    <tableColumn id="9" xr3:uid="{225E191B-1FC0-4D12-870D-2D218A4E5452}" name="Tháng 7" totalsRowFunction="sum" dataDxfId="143" totalsRowDxfId="142" dataCellStyle="Comma" totalsRowCellStyle="Comma"/>
    <tableColumn id="10" xr3:uid="{91A38B1B-8831-4C44-B99F-14A82AC23E5D}" name="Tháng 8" totalsRowFunction="sum" dataDxfId="141" totalsRowDxfId="140" dataCellStyle="Comma" totalsRowCellStyle="Comma"/>
    <tableColumn id="11" xr3:uid="{23E495A3-2314-49B0-AB12-BA4F4E0A3CDA}" name="Tháng 9" totalsRowFunction="sum" dataDxfId="139" totalsRowDxfId="138" dataCellStyle="Comma" totalsRowCellStyle="Comma"/>
    <tableColumn id="12" xr3:uid="{52320F0B-95EB-4535-8EFC-82F93472336A}" name="Tháng 10" totalsRowFunction="sum" dataDxfId="137" totalsRowDxfId="136" dataCellStyle="Comma" totalsRowCellStyle="Comma"/>
    <tableColumn id="13" xr3:uid="{DDBADAE3-CE32-427D-B610-F430C9B00305}" name="Tháng 11" totalsRowFunction="sum" dataDxfId="135" totalsRowDxfId="134" dataCellStyle="Comma" totalsRowCellStyle="Comma"/>
    <tableColumn id="14" xr3:uid="{EF5ED6FD-85C7-4785-BA3F-51F82ECF1BB8}" name="Tháng 12" totalsRowFunction="sum" dataDxfId="133" totalsRowDxfId="132" dataCellStyle="Comma" totalsRow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FA173-6EA1-4190-BA07-6D79771C25A3}" name="Table_KeHoach_DTTC" displayName="Table_KeHoach_DTTC" ref="B173:O175" totalsRowCount="1" headerRowDxfId="131" dataDxfId="129" totalsRowDxfId="127" headerRowBorderDxfId="130" tableBorderDxfId="128" headerRowCellStyle="Comma" dataCellStyle="Comma" totalsRowCellStyle="Comma">
  <autoFilter ref="B173:O174" xr:uid="{307FA173-6EA1-4190-BA07-6D79771C25A3}"/>
  <tableColumns count="14">
    <tableColumn id="1" xr3:uid="{2B241E7C-A41B-48EB-BE09-F51F0999F7ED}" name="Dòng tiền đầu tư tài chính" totalsRowLabel="  Total  " dataDxfId="126" totalsRowDxfId="125" dataCellStyle="Comma"/>
    <tableColumn id="2" xr3:uid="{F97BBE64-F50D-435F-9793-A1BC827E3667}" name="Column1" totalsRowFunction="sum" dataDxfId="124" totalsRowDxfId="123" dataCellStyle="Comma" totalsRowCellStyle="Comma"/>
    <tableColumn id="3" xr3:uid="{0EC0F75E-7092-423C-B8FD-E32130DDE85E}" name="Tháng 1" totalsRowFunction="sum" dataDxfId="122" totalsRowDxfId="121" dataCellStyle="Comma" totalsRowCellStyle="Comma"/>
    <tableColumn id="4" xr3:uid="{F2642C23-1BF3-4FF6-8BC0-6E39048B40A2}" name="Tháng 2" totalsRowFunction="sum" dataDxfId="120" totalsRowDxfId="119" dataCellStyle="Comma" totalsRowCellStyle="Comma"/>
    <tableColumn id="5" xr3:uid="{7A8F5E28-2C43-4B3F-812B-89852BE8799F}" name="Tháng 3" totalsRowFunction="sum" dataDxfId="118" totalsRowDxfId="117" dataCellStyle="Comma" totalsRowCellStyle="Comma"/>
    <tableColumn id="6" xr3:uid="{4F60220C-2132-4A96-99CD-BC51917E9722}" name="Tháng 4" totalsRowFunction="sum" dataDxfId="116" totalsRowDxfId="115" dataCellStyle="Comma" totalsRowCellStyle="Comma"/>
    <tableColumn id="7" xr3:uid="{CED7769D-A038-4EB2-B76F-5E76B7E04B56}" name="Tháng 5" totalsRowFunction="sum" dataDxfId="114" totalsRowDxfId="113" dataCellStyle="Comma" totalsRowCellStyle="Comma"/>
    <tableColumn id="8" xr3:uid="{4141AD0F-89F5-4EFF-87DB-F7D025CA2289}" name="Tháng 6" totalsRowFunction="sum" dataDxfId="112" totalsRowDxfId="111" dataCellStyle="Comma" totalsRowCellStyle="Comma"/>
    <tableColumn id="9" xr3:uid="{1DDD47B5-1F31-4620-91D9-21C2165EF1FF}" name="Tháng 7" totalsRowFunction="sum" dataDxfId="110" totalsRowDxfId="109" dataCellStyle="Comma" totalsRowCellStyle="Comma"/>
    <tableColumn id="10" xr3:uid="{0AFE09F3-1A6F-4EA4-9876-5A08293196A9}" name="Tháng 8" totalsRowFunction="sum" dataDxfId="108" totalsRowDxfId="107" dataCellStyle="Comma" totalsRowCellStyle="Comma"/>
    <tableColumn id="11" xr3:uid="{5502B91E-6EAF-47C2-96F6-51775C5887B5}" name="Tháng 9" totalsRowFunction="sum" dataDxfId="106" totalsRowDxfId="105" dataCellStyle="Comma" totalsRowCellStyle="Comma"/>
    <tableColumn id="12" xr3:uid="{858C8A95-A86A-4123-ADDE-5C1BA4CCA8F4}" name="Tháng 10" totalsRowFunction="sum" dataDxfId="104" totalsRowDxfId="103" dataCellStyle="Comma" totalsRowCellStyle="Comma"/>
    <tableColumn id="13" xr3:uid="{D40A66CD-8DCC-40FB-B519-7CB9937992B0}" name="Tháng 11" totalsRowFunction="sum" dataDxfId="102" totalsRowDxfId="101" dataCellStyle="Comma" totalsRowCellStyle="Comma"/>
    <tableColumn id="14" xr3:uid="{8AA98F56-0943-46D8-8F9D-AFC3E6AD01D3}" name="Tháng 12" totalsRowFunction="sum" dataDxfId="100" totalsRowDxfId="99" dataCellStyle="Comma" totalsRow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F21C48-B334-4982-837E-78000767865C}" name="Table_KeHoach_LaiDTTC" displayName="Table_KeHoach_LaiDTTC" ref="B178:O180" totalsRowCount="1" headerRowDxfId="98" dataDxfId="96" totalsRowDxfId="94" headerRowBorderDxfId="97" tableBorderDxfId="95" headerRowCellStyle="Comma" dataCellStyle="Comma" totalsRowCellStyle="Comma">
  <autoFilter ref="B178:O179" xr:uid="{DCF21C48-B334-4982-837E-78000767865C}"/>
  <tableColumns count="14">
    <tableColumn id="1" xr3:uid="{6B9AF71E-7299-4F56-8534-29E3D3F38D75}" name="Dòng tiền thu hồi từ đầu tư tài chính" totalsRowLabel="   Total   " dataDxfId="93" totalsRowDxfId="92" dataCellStyle="Comma"/>
    <tableColumn id="2" xr3:uid="{B7B31807-4EEA-4D9B-AA5F-D204D5B27FAA}" name="Column1" totalsRowFunction="sum" dataDxfId="91" totalsRowDxfId="90" dataCellStyle="Comma" totalsRowCellStyle="Comma"/>
    <tableColumn id="3" xr3:uid="{82958EE4-C703-4DD7-9164-32DA5AD01B59}" name="Tháng 1" totalsRowFunction="sum" dataDxfId="89" totalsRowDxfId="8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Row],[Dòng tiền thu hồi từ đầu tư tài chính]])
)),0)</calculatedColumnFormula>
    </tableColumn>
    <tableColumn id="4" xr3:uid="{AA7B9A6E-EA27-46C2-8DD7-985D8D19C154}" name="Tháng 2" totalsRowFunction="sum" dataDxfId="87" totalsRowDxfId="8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Row],[Column1]])
)),0)</calculatedColumnFormula>
    </tableColumn>
    <tableColumn id="5" xr3:uid="{7F3FE9B0-AC45-4CBF-A53F-F9D82DAE9388}" name="Tháng 3" totalsRowFunction="sum" dataDxfId="85" totalsRowDxfId="84" dataCellStyle="Comma" totalsRowCellStyle="Comma">
      <calculatedColumnFormula array="1">-IFERROR(
SUM(_xlfn._xlws.FILTER([1]!Table_DauTu_LichThu[Add],
([1]!Table_DauTu_LichThu[Tài sản đầu tư]=DiemHoaVon_NamKeHoach)*
([1]!Table_DauTu_LichThu[Nhận gốc]=#REF!)*
([1]!Table_DauTu_LichThu[Nhận lãi]=Table_KeHoach_LaiDTTC[[#This Row],[Tháng 1]])
)),0)</calculatedColumnFormula>
    </tableColumn>
    <tableColumn id="6" xr3:uid="{D0B2C436-517F-4373-A1B0-3B75916FB118}" name="Tháng 4" totalsRowFunction="sum" dataDxfId="83" totalsRowDxfId="82" dataCellStyle="Comma" totalsRowCellStyle="Comma">
      <calculatedColumnFormula array="1">-IFERROR(
SUM(_xlfn._xlws.FILTER([1]!Table_DauTu_LichThu[Remain],
([1]!Table_DauTu_LichThu[Nhận gốc]=DiemHoaVon_NamKeHoach)*
([1]!Table_DauTu_LichThu[Nhận lãi]=#REF!)*
([1]!Table_DauTu_LichThu[Tổng phải thu]=Table_KeHoach_LaiDTTC[[#This Row],[Tháng 2]])
)),0)</calculatedColumnFormula>
    </tableColumn>
    <tableColumn id="7" xr3:uid="{0293027E-8202-4B8C-99F9-AA6B33A40F89}" name="Tháng 5" totalsRowFunction="sum" dataDxfId="81" totalsRowDxfId="80" dataCellStyle="Comma" totalsRowCellStyle="Comma">
      <calculatedColumnFormula array="1">-IFERROR(
SUM(_xlfn._xlws.FILTER([1]!Table_DauTu_LichThu[Kỳ],
([1]!Table_DauTu_LichThu[Nhận lãi]=DiemHoaVon_NamKeHoach)*
([1]!Table_DauTu_LichThu[Tổng phải thu]=#REF!)*
([1]!Table_DauTu_LichThu[Thu nhập tính thuế]=Table_KeHoach_LaiDTTC[[#This Row],[Tháng 3]])
)),0)</calculatedColumnFormula>
    </tableColumn>
    <tableColumn id="8" xr3:uid="{AE043381-D2B4-42CC-837F-A248F49937C8}" name="Tháng 6" totalsRowFunction="sum" dataDxfId="79" totalsRowDxfId="78" dataCellStyle="Comma" totalsRowCellStyle="Comma">
      <calculatedColumnFormula array="1">-IFERROR(
SUM(_xlfn._xlws.FILTER([1]!Table_DauTu_LichThu[Năm],
([1]!Table_DauTu_LichThu[Tổng phải thu]=DiemHoaVon_NamKeHoach)*
([1]!Table_DauTu_LichThu[Thu nhập tính thuế]=#REF!)*
([1]!Table_DauTu_LichThu[Add]=Table_KeHoach_LaiDTTC[[#This Row],[Tháng 4]])
)),0)</calculatedColumnFormula>
    </tableColumn>
    <tableColumn id="9" xr3:uid="{557867C0-5FD2-49C4-ADBD-CDE7440200F8}" name="Tháng 7" totalsRowFunction="sum" dataDxfId="77" totalsRowDxfId="76" dataCellStyle="Comma" totalsRowCellStyle="Comma">
      <calculatedColumnFormula array="1">-IFERROR(
SUM(_xlfn._xlws.FILTER([1]!Table_DauTu_LichThu[Tháng],
([1]!Table_DauTu_LichThu[Thu nhập tính thuế]=DiemHoaVon_NamKeHoach)*
([1]!Table_DauTu_LichThu[Add]=#REF!)*
([1]!Table_DauTu_LichThu[Remain]=Table_KeHoach_LaiDTTC[[#This Row],[Tháng 5]])
)),0)</calculatedColumnFormula>
    </tableColumn>
    <tableColumn id="10" xr3:uid="{FF5B27B9-13B5-4D5A-9D86-F9F46E198971}" name="Tháng 8" totalsRowFunction="sum" dataDxfId="75" totalsRowDxfId="74" dataCellStyle="Comma" totalsRowCellStyle="Comma">
      <calculatedColumnFormula array="1">-IFERROR(
SUM(_xlfn._xlws.FILTER([1]!Table_DauTu_LichThu[Tài sản đầu tư],
([1]!Table_DauTu_LichThu[Add]=DiemHoaVon_NamKeHoach)*
([1]!Table_DauTu_LichThu[Remain]=#REF!)*
([1]!Table_DauTu_LichThu[Kỳ]=Table_KeHoach_LaiDTTC[[#This Row],[Tháng 6]])
)),0)</calculatedColumnFormula>
    </tableColumn>
    <tableColumn id="11" xr3:uid="{AC4267F3-CA47-47D7-81A1-E1A46403287D}" name="Tháng 9" totalsRowFunction="sum" dataDxfId="73" totalsRowDxfId="72" dataCellStyle="Comma" totalsRowCellStyle="Comma">
      <calculatedColumnFormula array="1">-IFERROR(
SUM(_xlfn._xlws.FILTER([1]!Table_DauTu_LichThu[Nhận gốc],
([1]!Table_DauTu_LichThu[Remain]=DiemHoaVon_NamKeHoach)*
([1]!Table_DauTu_LichThu[Kỳ]=#REF!)*
([1]!Table_DauTu_LichThu[Năm]=Table_KeHoach_LaiDTTC[[#This Row],[Tháng 7]])
)),0)</calculatedColumnFormula>
    </tableColumn>
    <tableColumn id="12" xr3:uid="{16CB006D-6A8D-4271-9D8C-7172A27AAB46}" name="Tháng 10" totalsRowFunction="sum" dataDxfId="71" totalsRowDxfId="70" dataCellStyle="Comma" totalsRowCellStyle="Comma">
      <calculatedColumnFormula array="1">-IFERROR(
SUM(_xlfn._xlws.FILTER([1]!Table_DauTu_LichThu[Nhận lãi],
([1]!Table_DauTu_LichThu[Kỳ]=DiemHoaVon_NamKeHoach)*
([1]!Table_DauTu_LichThu[Năm]=#REF!)*
([1]!Table_DauTu_LichThu[Tháng]=Table_KeHoach_LaiDTTC[[#This Row],[Tháng 8]])
)),0)</calculatedColumnFormula>
    </tableColumn>
    <tableColumn id="13" xr3:uid="{585D2649-3C80-43F0-9ADD-3113D7DC44BD}" name="Tháng 11" totalsRowFunction="sum" dataDxfId="69" totalsRowDxfId="6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Row],[Tháng 9]])
)),0)</calculatedColumnFormula>
    </tableColumn>
    <tableColumn id="14" xr3:uid="{F8429900-4123-465A-BED1-3B19311D72B6}" name="Tháng 12" totalsRowFunction="sum" dataDxfId="67" totalsRowDxfId="6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Row],[Tháng 10]])
)),0)</calculatedColumnFormula>
    </tableColumn>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A8CA08-1034-47F8-A506-AB8098DA15F9}" name="Table_KeHoach_VonVay" displayName="Table_KeHoach_VonVay" ref="B183:O185" totalsRowCount="1" headerRowDxfId="65" dataDxfId="63" totalsRowDxfId="61" headerRowBorderDxfId="64" tableBorderDxfId="62" headerRowCellStyle="Comma" dataCellStyle="Comma" totalsRowCellStyle="Comma">
  <autoFilter ref="B183:O184" xr:uid="{B1A8CA08-1034-47F8-A506-AB8098DA15F9}"/>
  <tableColumns count="14">
    <tableColumn id="1" xr3:uid="{A8D382F1-8193-4BB0-B2C5-55F4C409B145}" name="Dòng tiền huy động vốn vay" totalsRowLabel="    Total    " dataDxfId="60" totalsRowDxfId="59" dataCellStyle="Comma"/>
    <tableColumn id="2" xr3:uid="{438C3D77-B530-4CFF-BF0F-67F55BC7CB26}" name="Column1" totalsRowFunction="sum" dataDxfId="58" totalsRowDxfId="57" dataCellStyle="Comma" totalsRowCellStyle="Comma"/>
    <tableColumn id="3" xr3:uid="{3241F8BE-A95A-4AFE-B884-6AD137840BB8}" name="Tháng 1" totalsRowFunction="sum" dataDxfId="56" totalsRowDxfId="55" dataCellStyle="Comma" totalsRowCellStyle="Comma"/>
    <tableColumn id="4" xr3:uid="{74BAFE83-13A4-4125-90B4-71690F8E1304}" name="Tháng 2" totalsRowFunction="sum" dataDxfId="54" totalsRowDxfId="53" dataCellStyle="Comma" totalsRowCellStyle="Comma"/>
    <tableColumn id="5" xr3:uid="{6098A7A1-A138-4540-B923-9103828C10FB}" name="Tháng 3" totalsRowFunction="sum" dataDxfId="52" totalsRowDxfId="51" dataCellStyle="Comma" totalsRowCellStyle="Comma"/>
    <tableColumn id="6" xr3:uid="{29845516-6FED-4B31-A45F-647FD516F1DC}" name="Tháng 4" totalsRowFunction="sum" dataDxfId="50" totalsRowDxfId="49" dataCellStyle="Comma" totalsRowCellStyle="Comma"/>
    <tableColumn id="7" xr3:uid="{2684C4FF-7B6D-4B64-9A95-209A46651A5F}" name="Tháng 5" totalsRowFunction="sum" dataDxfId="48" totalsRowDxfId="47" dataCellStyle="Comma" totalsRowCellStyle="Comma"/>
    <tableColumn id="8" xr3:uid="{0397864F-F042-450C-8776-44D2702A2EA6}" name="Tháng 6" totalsRowFunction="sum" dataDxfId="46" totalsRowDxfId="45" dataCellStyle="Comma" totalsRowCellStyle="Comma"/>
    <tableColumn id="9" xr3:uid="{0E489B34-82FE-4BD5-97A7-7C03BF2FCECF}" name="Tháng 7" totalsRowFunction="sum" dataDxfId="44" totalsRowDxfId="43" dataCellStyle="Comma" totalsRowCellStyle="Comma"/>
    <tableColumn id="10" xr3:uid="{9A396C1A-3640-4A36-80D4-F0172780449C}" name="Tháng 8" totalsRowFunction="sum" dataDxfId="42" totalsRowDxfId="41" dataCellStyle="Comma" totalsRowCellStyle="Comma"/>
    <tableColumn id="11" xr3:uid="{51B5F621-2D95-4139-82C5-A6ECB50A51D7}" name="Tháng 9" totalsRowFunction="sum" dataDxfId="40" totalsRowDxfId="39" dataCellStyle="Comma" totalsRowCellStyle="Comma"/>
    <tableColumn id="12" xr3:uid="{EF1120F2-FC59-4201-A6AC-22FDA7D474B3}" name="Tháng 10" totalsRowFunction="sum" dataDxfId="38" totalsRowDxfId="37" dataCellStyle="Comma" totalsRowCellStyle="Comma"/>
    <tableColumn id="13" xr3:uid="{61396333-799A-4C9D-969D-E74EBA9D969B}" name="Tháng 11" totalsRowFunction="sum" dataDxfId="36" totalsRowDxfId="35" dataCellStyle="Comma" totalsRowCellStyle="Comma"/>
    <tableColumn id="14" xr3:uid="{5844FFE7-EC4E-41FA-9E83-3A18107296D5}" name="Tháng 12" totalsRowFunction="sum" dataDxfId="34" totalsRowDxfId="33"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28DDF-751F-46E6-B0C3-3E906116C77E}" name="Table_KeHoach_VonGop" displayName="Table_KeHoach_VonGop" ref="B188:O190" totalsRowCount="1" headerRowDxfId="32" dataDxfId="30" totalsRowDxfId="28" headerRowBorderDxfId="31" tableBorderDxfId="29" headerRowCellStyle="Comma" dataCellStyle="Comma" totalsRowCellStyle="Comma">
  <autoFilter ref="B188:O189" xr:uid="{9AD28DDF-751F-46E6-B0C3-3E906116C77E}"/>
  <tableColumns count="14">
    <tableColumn id="1" xr3:uid="{5E98BBCA-CA8F-468F-8190-C2CDEB2A1BDD}" name="Dòng tiền huy động vốn góp" totalsRowLabel="     Total     " dataDxfId="27" totalsRowDxfId="26" dataCellStyle="Comma"/>
    <tableColumn id="2" xr3:uid="{9C42F533-A489-48C4-AC7F-A75819FE822F}" name="Column1" totalsRowFunction="sum" dataDxfId="25" totalsRowDxfId="24" dataCellStyle="Comma" totalsRowCellStyle="Comma"/>
    <tableColumn id="3" xr3:uid="{FF43CF86-DA96-4471-834A-891DE344D188}" name="Tháng 1" totalsRowFunction="sum" dataDxfId="23" totalsRowDxfId="22" dataCellStyle="Comma" totalsRowCellStyle="Comma"/>
    <tableColumn id="4" xr3:uid="{42F52C8D-787B-4A64-9895-DD85EC4C3A74}" name="Tháng 2" totalsRowFunction="sum" dataDxfId="21" totalsRowDxfId="20" dataCellStyle="Comma" totalsRowCellStyle="Comma"/>
    <tableColumn id="5" xr3:uid="{91892909-8586-4056-8DFB-19086F3DE973}" name="Tháng 3" totalsRowFunction="sum" dataDxfId="19" totalsRowDxfId="18" dataCellStyle="Comma" totalsRowCellStyle="Comma"/>
    <tableColumn id="6" xr3:uid="{F525D4B9-AED3-40C5-9A1D-9987FC9CCE2B}" name="Tháng 4" totalsRowFunction="sum" dataDxfId="17" totalsRowDxfId="16" dataCellStyle="Comma" totalsRowCellStyle="Comma"/>
    <tableColumn id="7" xr3:uid="{427ECAE7-93D5-4E58-AA73-727646912DF7}" name="Tháng 5" totalsRowFunction="sum" dataDxfId="15" totalsRowDxfId="14" dataCellStyle="Comma" totalsRowCellStyle="Comma"/>
    <tableColumn id="8" xr3:uid="{EBF3D8BF-DBBE-4100-B86B-EB2BB1AFCA2F}" name="Tháng 6" totalsRowFunction="sum" dataDxfId="13" totalsRowDxfId="12" dataCellStyle="Comma" totalsRowCellStyle="Comma"/>
    <tableColumn id="9" xr3:uid="{8BF5C412-BAA1-4B39-B025-172CA1073177}" name="Tháng 7" totalsRowFunction="sum" dataDxfId="11" totalsRowDxfId="10" dataCellStyle="Comma" totalsRowCellStyle="Comma"/>
    <tableColumn id="10" xr3:uid="{6D138913-4A61-4926-B7DE-3F46D44BDFF7}" name="Tháng 8" totalsRowFunction="sum" dataDxfId="9" totalsRowDxfId="8" dataCellStyle="Comma" totalsRowCellStyle="Comma"/>
    <tableColumn id="11" xr3:uid="{219D3B40-1532-42B8-9C97-F14509B01BB5}" name="Tháng 9" totalsRowFunction="sum" dataDxfId="7" totalsRowDxfId="6" dataCellStyle="Comma" totalsRowCellStyle="Comma"/>
    <tableColumn id="12" xr3:uid="{162E168B-A78A-44DB-B17B-0C48E818292F}" name="Tháng 10" totalsRowFunction="sum" dataDxfId="5" totalsRowDxfId="4" dataCellStyle="Comma" totalsRowCellStyle="Comma"/>
    <tableColumn id="13" xr3:uid="{EF2EC303-102F-4090-9695-9736F37DE73F}" name="Tháng 11" totalsRowFunction="sum" dataDxfId="3" totalsRowDxfId="2" dataCellStyle="Comma" totalsRowCellStyle="Comma"/>
    <tableColumn id="14" xr3:uid="{5A5146E7-6774-4827-AFB6-6A462C7EC007}" name="Tháng 12" totalsRowFunction="sum" dataDxfId="1" totalsRowDxfId="0" dataCellStyle="Comma" totalsRow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table" Target="../tables/table8.xml"/><Relationship Id="rId89" Type="http://schemas.openxmlformats.org/officeDocument/2006/relationships/table" Target="../tables/table13.xml"/><Relationship Id="rId16" Type="http://schemas.openxmlformats.org/officeDocument/2006/relationships/ctrlProp" Target="../ctrlProps/ctrlProp14.xml"/><Relationship Id="rId107" Type="http://schemas.openxmlformats.org/officeDocument/2006/relationships/table" Target="../tables/table31.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table" Target="../tables/table3.xml"/><Relationship Id="rId102" Type="http://schemas.openxmlformats.org/officeDocument/2006/relationships/table" Target="../tables/table26.xml"/><Relationship Id="rId5" Type="http://schemas.openxmlformats.org/officeDocument/2006/relationships/ctrlProp" Target="../ctrlProps/ctrlProp3.xml"/><Relationship Id="rId90" Type="http://schemas.openxmlformats.org/officeDocument/2006/relationships/table" Target="../tables/table14.xml"/><Relationship Id="rId95" Type="http://schemas.openxmlformats.org/officeDocument/2006/relationships/table" Target="../tables/table19.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table" Target="../tables/table4.xml"/><Relationship Id="rId85" Type="http://schemas.openxmlformats.org/officeDocument/2006/relationships/table" Target="../tables/table9.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table" Target="../tables/table27.xml"/><Relationship Id="rId108" Type="http://schemas.openxmlformats.org/officeDocument/2006/relationships/table" Target="../tables/table32.xml"/><Relationship Id="rId54" Type="http://schemas.openxmlformats.org/officeDocument/2006/relationships/ctrlProp" Target="../ctrlProps/ctrlProp52.xml"/><Relationship Id="rId70" Type="http://schemas.openxmlformats.org/officeDocument/2006/relationships/ctrlProp" Target="../ctrlProps/ctrlProp68.xml"/><Relationship Id="rId75" Type="http://schemas.openxmlformats.org/officeDocument/2006/relationships/ctrlProp" Target="../ctrlProps/ctrlProp73.xml"/><Relationship Id="rId91" Type="http://schemas.openxmlformats.org/officeDocument/2006/relationships/table" Target="../tables/table15.xml"/><Relationship Id="rId96" Type="http://schemas.openxmlformats.org/officeDocument/2006/relationships/table" Target="../tables/table20.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6" Type="http://schemas.openxmlformats.org/officeDocument/2006/relationships/table" Target="../tables/table30.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table" Target="../tables/table2.xml"/><Relationship Id="rId81" Type="http://schemas.openxmlformats.org/officeDocument/2006/relationships/table" Target="../tables/table5.xml"/><Relationship Id="rId86" Type="http://schemas.openxmlformats.org/officeDocument/2006/relationships/table" Target="../tables/table10.xml"/><Relationship Id="rId94" Type="http://schemas.openxmlformats.org/officeDocument/2006/relationships/table" Target="../tables/table18.xml"/><Relationship Id="rId99" Type="http://schemas.openxmlformats.org/officeDocument/2006/relationships/table" Target="../tables/table23.xml"/><Relationship Id="rId101" Type="http://schemas.openxmlformats.org/officeDocument/2006/relationships/table" Target="../tables/table25.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109" Type="http://schemas.openxmlformats.org/officeDocument/2006/relationships/table" Target="../tables/table33.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table" Target="../tables/table21.xml"/><Relationship Id="rId104" Type="http://schemas.openxmlformats.org/officeDocument/2006/relationships/table" Target="../tables/table28.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table" Target="../tables/table1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11.xml"/><Relationship Id="rId61" Type="http://schemas.openxmlformats.org/officeDocument/2006/relationships/ctrlProp" Target="../ctrlProps/ctrlProp59.xml"/><Relationship Id="rId82" Type="http://schemas.openxmlformats.org/officeDocument/2006/relationships/table" Target="../tables/table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xml"/><Relationship Id="rId100" Type="http://schemas.openxmlformats.org/officeDocument/2006/relationships/table" Target="../tables/table24.xml"/><Relationship Id="rId105" Type="http://schemas.openxmlformats.org/officeDocument/2006/relationships/table" Target="../tables/table29.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table" Target="../tables/table17.xml"/><Relationship Id="rId98" Type="http://schemas.openxmlformats.org/officeDocument/2006/relationships/table" Target="../tables/table22.xml"/><Relationship Id="rId3" Type="http://schemas.openxmlformats.org/officeDocument/2006/relationships/vmlDrawing" Target="../drawings/vmlDrawing2.v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table" Target="../tables/table7.xml"/><Relationship Id="rId88"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0" bestFit="1" customWidth="1"/>
    <col min="2" max="2" width="36.25" style="30" bestFit="1" customWidth="1"/>
    <col min="3" max="3" width="16.125" style="30" bestFit="1" customWidth="1"/>
    <col min="4" max="5" width="14.375" style="59" bestFit="1" customWidth="1"/>
    <col min="6" max="25" width="9" style="30"/>
    <col min="26" max="26" width="9" style="30" hidden="1" customWidth="1"/>
    <col min="27" max="16384" width="9" style="30"/>
  </cols>
  <sheetData>
    <row r="1" spans="1:26" x14ac:dyDescent="0.3">
      <c r="A1" s="54" t="s">
        <v>101</v>
      </c>
      <c r="B1" s="55" t="s">
        <v>11</v>
      </c>
      <c r="C1" s="56" t="s">
        <v>12</v>
      </c>
      <c r="D1" s="58" t="s">
        <v>102</v>
      </c>
      <c r="E1" s="58" t="s">
        <v>103</v>
      </c>
      <c r="F1" s="54" t="s">
        <v>104</v>
      </c>
      <c r="G1" s="57" t="s">
        <v>105</v>
      </c>
      <c r="H1" s="54" t="s">
        <v>106</v>
      </c>
      <c r="I1" s="54" t="s">
        <v>107</v>
      </c>
      <c r="J1" s="57" t="s">
        <v>108</v>
      </c>
      <c r="K1" s="57" t="s">
        <v>109</v>
      </c>
      <c r="L1" s="57" t="s">
        <v>110</v>
      </c>
      <c r="M1" s="57" t="s">
        <v>111</v>
      </c>
      <c r="N1" s="78"/>
      <c r="O1" s="78"/>
      <c r="P1" s="78"/>
      <c r="Q1" s="78"/>
      <c r="R1" s="78"/>
      <c r="S1" s="78"/>
      <c r="T1" s="78"/>
      <c r="U1" s="78"/>
      <c r="V1" s="78"/>
      <c r="W1" s="78"/>
      <c r="X1" s="78"/>
      <c r="Y1" s="78"/>
      <c r="Z1" s="30" t="s">
        <v>113</v>
      </c>
    </row>
    <row r="2" spans="1:26" x14ac:dyDescent="0.3">
      <c r="A2" s="78"/>
      <c r="B2" s="30" t="s">
        <v>188</v>
      </c>
      <c r="C2" s="30" t="s">
        <v>189</v>
      </c>
      <c r="D2" s="59">
        <v>45785</v>
      </c>
      <c r="E2" s="59">
        <v>46150</v>
      </c>
      <c r="F2" s="78">
        <v>365</v>
      </c>
      <c r="G2" s="30" t="s">
        <v>118</v>
      </c>
      <c r="H2" s="78"/>
      <c r="I2" s="78"/>
      <c r="J2" s="78"/>
      <c r="K2" s="78"/>
      <c r="L2" s="78"/>
      <c r="M2" s="78"/>
      <c r="N2" s="78"/>
      <c r="O2" s="78"/>
      <c r="P2" s="78"/>
      <c r="Q2" s="78"/>
      <c r="R2" s="78"/>
      <c r="S2" s="78"/>
      <c r="T2" s="78"/>
      <c r="U2" s="78"/>
      <c r="V2" s="78"/>
      <c r="W2" s="78"/>
      <c r="X2" s="78"/>
      <c r="Y2" s="78"/>
      <c r="Z2" s="78" t="s">
        <v>187</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1" sqref="J11"/>
    </sheetView>
  </sheetViews>
  <sheetFormatPr defaultRowHeight="16.5" x14ac:dyDescent="0.3"/>
  <cols>
    <col min="1" max="1" width="11.625" style="49" bestFit="1" customWidth="1"/>
    <col min="2" max="16384" width="9" style="49"/>
  </cols>
  <sheetData>
    <row r="1" spans="1:12" x14ac:dyDescent="0.3">
      <c r="K1" s="87">
        <v>1</v>
      </c>
      <c r="L1" s="87" t="s">
        <v>156</v>
      </c>
    </row>
    <row r="2" spans="1:12" x14ac:dyDescent="0.3">
      <c r="A2" s="49" t="s">
        <v>155</v>
      </c>
      <c r="L2" s="87" t="s">
        <v>157</v>
      </c>
    </row>
    <row r="3" spans="1:12" x14ac:dyDescent="0.3">
      <c r="L3" s="87" t="s">
        <v>158</v>
      </c>
    </row>
    <row r="4" spans="1:12" ht="37.5" x14ac:dyDescent="0.3">
      <c r="A4" s="52" t="s">
        <v>2</v>
      </c>
      <c r="B4" s="52" t="s">
        <v>3</v>
      </c>
      <c r="L4" s="87" t="s">
        <v>159</v>
      </c>
    </row>
    <row r="5" spans="1:12" ht="17.25" x14ac:dyDescent="0.3">
      <c r="A5" s="73"/>
      <c r="B5" s="60" t="s">
        <v>161</v>
      </c>
      <c r="L5" s="87" t="s">
        <v>160</v>
      </c>
    </row>
    <row r="6" spans="1:12" ht="17.25" x14ac:dyDescent="0.3">
      <c r="A6" s="73"/>
      <c r="B6" s="60" t="s">
        <v>112</v>
      </c>
    </row>
    <row r="7" spans="1:12" ht="17.25" x14ac:dyDescent="0.3">
      <c r="A7" s="73"/>
      <c r="B7" s="60" t="s">
        <v>162</v>
      </c>
    </row>
    <row r="8" spans="1:12" ht="17.25" x14ac:dyDescent="0.3">
      <c r="A8" s="73"/>
      <c r="B8" s="60" t="s">
        <v>163</v>
      </c>
    </row>
    <row r="9" spans="1:12" ht="17.25" x14ac:dyDescent="0.3">
      <c r="A9" s="73"/>
      <c r="B9" s="61" t="s">
        <v>164</v>
      </c>
    </row>
    <row r="10" spans="1:12" x14ac:dyDescent="0.3">
      <c r="A10" s="73"/>
      <c r="B10" s="73"/>
    </row>
    <row r="11" spans="1:12" ht="37.5" x14ac:dyDescent="0.3">
      <c r="A11" s="52" t="s">
        <v>9</v>
      </c>
      <c r="B11" s="52" t="s">
        <v>10</v>
      </c>
    </row>
    <row r="12" spans="1:12" x14ac:dyDescent="0.3">
      <c r="A12" s="53" t="s">
        <v>11</v>
      </c>
      <c r="B12" s="49" t="s">
        <v>188</v>
      </c>
    </row>
    <row r="13" spans="1:12" x14ac:dyDescent="0.3">
      <c r="A13" s="53" t="s">
        <v>12</v>
      </c>
      <c r="B13" s="49" t="s">
        <v>189</v>
      </c>
    </row>
    <row r="14" spans="1:12" ht="17.25" x14ac:dyDescent="0.3">
      <c r="A14" s="73"/>
      <c r="B14" s="50" t="s">
        <v>4</v>
      </c>
    </row>
    <row r="15" spans="1:12" ht="17.25" x14ac:dyDescent="0.3">
      <c r="A15" s="73"/>
      <c r="B15" s="50" t="s">
        <v>5</v>
      </c>
    </row>
    <row r="16" spans="1:12" ht="17.25" x14ac:dyDescent="0.3">
      <c r="A16" s="73"/>
      <c r="B16" s="50" t="s">
        <v>6</v>
      </c>
    </row>
    <row r="17" spans="1:2" ht="17.25" x14ac:dyDescent="0.3">
      <c r="A17" s="73"/>
      <c r="B17" s="50" t="s">
        <v>7</v>
      </c>
    </row>
    <row r="18" spans="1:2" ht="17.25" x14ac:dyDescent="0.3">
      <c r="A18" s="73"/>
      <c r="B18" s="51" t="s">
        <v>8</v>
      </c>
    </row>
    <row r="19" spans="1:2" x14ac:dyDescent="0.3">
      <c r="A19" s="73"/>
      <c r="B19" s="73"/>
    </row>
    <row r="20" spans="1:2" x14ac:dyDescent="0.3">
      <c r="A20" s="73"/>
      <c r="B20" s="73"/>
    </row>
    <row r="21" spans="1:2" x14ac:dyDescent="0.3">
      <c r="A21" s="73"/>
      <c r="B21" s="73"/>
    </row>
    <row r="22" spans="1:2" x14ac:dyDescent="0.3">
      <c r="A22" s="73"/>
      <c r="B22" s="73"/>
    </row>
    <row r="23" spans="1:2" x14ac:dyDescent="0.3">
      <c r="A23" s="73"/>
      <c r="B23" s="73"/>
    </row>
    <row r="24" spans="1:2" x14ac:dyDescent="0.3">
      <c r="A24" s="74"/>
      <c r="B24" s="73"/>
    </row>
    <row r="25" spans="1:2" x14ac:dyDescent="0.3">
      <c r="A25" s="75"/>
      <c r="B25" s="73"/>
    </row>
    <row r="26" spans="1:2" x14ac:dyDescent="0.3">
      <c r="A26" s="74"/>
      <c r="B26" s="73"/>
    </row>
    <row r="27" spans="1:2" x14ac:dyDescent="0.3">
      <c r="A27" s="75"/>
      <c r="B27" s="73"/>
    </row>
    <row r="28" spans="1:2" x14ac:dyDescent="0.3">
      <c r="A28" s="75"/>
      <c r="B28" s="73"/>
    </row>
    <row r="29" spans="1:2" x14ac:dyDescent="0.3">
      <c r="A29" s="75"/>
      <c r="B29" s="73"/>
    </row>
    <row r="30" spans="1:2" x14ac:dyDescent="0.3">
      <c r="A30" s="75"/>
      <c r="B30" s="73"/>
    </row>
    <row r="31" spans="1:2" x14ac:dyDescent="0.3">
      <c r="A31" s="74"/>
      <c r="B31" s="73"/>
    </row>
    <row r="32" spans="1:2" x14ac:dyDescent="0.3">
      <c r="A32" s="75"/>
      <c r="B32" s="73"/>
    </row>
    <row r="33" spans="1:2" x14ac:dyDescent="0.3">
      <c r="A33" s="75"/>
      <c r="B33" s="73"/>
    </row>
    <row r="34" spans="1:2" x14ac:dyDescent="0.3">
      <c r="A34" s="75"/>
      <c r="B34" s="73"/>
    </row>
    <row r="35" spans="1:2" x14ac:dyDescent="0.3">
      <c r="A35" s="75"/>
      <c r="B35" s="73"/>
    </row>
    <row r="36" spans="1:2" x14ac:dyDescent="0.3">
      <c r="A36" s="74"/>
      <c r="B36" s="73"/>
    </row>
    <row r="37" spans="1:2" x14ac:dyDescent="0.3">
      <c r="A37" s="76"/>
      <c r="B37" s="73"/>
    </row>
    <row r="38" spans="1:2" x14ac:dyDescent="0.3">
      <c r="A38" s="77"/>
      <c r="B38" s="73"/>
    </row>
    <row r="39" spans="1:2" x14ac:dyDescent="0.3">
      <c r="A39" s="76"/>
      <c r="B39" s="73"/>
    </row>
    <row r="40" spans="1:2" x14ac:dyDescent="0.3">
      <c r="A40" s="77"/>
      <c r="B40" s="73"/>
    </row>
    <row r="41" spans="1:2" x14ac:dyDescent="0.3">
      <c r="A41" s="76"/>
      <c r="B41" s="73"/>
    </row>
    <row r="42" spans="1:2" x14ac:dyDescent="0.3">
      <c r="A42" s="77"/>
      <c r="B42" s="73"/>
    </row>
    <row r="43" spans="1:2" x14ac:dyDescent="0.3">
      <c r="A43" s="76"/>
      <c r="B43" s="73"/>
    </row>
    <row r="44" spans="1:2" x14ac:dyDescent="0.3">
      <c r="A44" s="77"/>
      <c r="B44" s="73"/>
    </row>
    <row r="45" spans="1:2" x14ac:dyDescent="0.3">
      <c r="A45" s="76"/>
      <c r="B45" s="73"/>
    </row>
    <row r="46" spans="1:2" x14ac:dyDescent="0.3">
      <c r="A46" s="77"/>
      <c r="B46" s="73"/>
    </row>
    <row r="47" spans="1:2" x14ac:dyDescent="0.3">
      <c r="A47" s="75"/>
      <c r="B47" s="73"/>
    </row>
    <row r="48" spans="1:2" x14ac:dyDescent="0.3">
      <c r="A48" s="75"/>
      <c r="B48" s="73"/>
    </row>
    <row r="49" spans="1:2" x14ac:dyDescent="0.3">
      <c r="A49" s="75"/>
      <c r="B49" s="73"/>
    </row>
    <row r="50" spans="1:2" x14ac:dyDescent="0.3">
      <c r="A50" s="74"/>
      <c r="B50" s="73"/>
    </row>
    <row r="51" spans="1:2" x14ac:dyDescent="0.3">
      <c r="A51" s="75"/>
      <c r="B51" s="73"/>
    </row>
    <row r="52" spans="1:2" x14ac:dyDescent="0.3">
      <c r="A52" s="75"/>
      <c r="B52" s="73"/>
    </row>
    <row r="53" spans="1:2" x14ac:dyDescent="0.3">
      <c r="A53" s="75"/>
      <c r="B53" s="73"/>
    </row>
    <row r="54" spans="1:2" x14ac:dyDescent="0.3">
      <c r="A54" s="75"/>
      <c r="B54" s="73"/>
    </row>
    <row r="55" spans="1:2" x14ac:dyDescent="0.3">
      <c r="A55" s="74"/>
      <c r="B55" s="73"/>
    </row>
    <row r="56" spans="1:2" x14ac:dyDescent="0.3">
      <c r="A56" s="76"/>
      <c r="B56" s="73"/>
    </row>
    <row r="57" spans="1:2" x14ac:dyDescent="0.3">
      <c r="A57" s="76"/>
      <c r="B57" s="73"/>
    </row>
    <row r="58" spans="1:2" x14ac:dyDescent="0.3">
      <c r="A58" s="76"/>
      <c r="B58" s="73"/>
    </row>
    <row r="59" spans="1:2" x14ac:dyDescent="0.3">
      <c r="A59" s="76"/>
      <c r="B59" s="73"/>
    </row>
    <row r="60" spans="1:2" x14ac:dyDescent="0.3">
      <c r="A60" s="75"/>
      <c r="B60" s="73"/>
    </row>
    <row r="61" spans="1:2" x14ac:dyDescent="0.3">
      <c r="A61" s="75"/>
      <c r="B61" s="73"/>
    </row>
    <row r="62" spans="1:2" x14ac:dyDescent="0.3">
      <c r="A62" s="75"/>
      <c r="B62" s="73"/>
    </row>
    <row r="63" spans="1:2" x14ac:dyDescent="0.3">
      <c r="A63" s="74"/>
      <c r="B63" s="73"/>
    </row>
    <row r="64" spans="1:2" x14ac:dyDescent="0.3">
      <c r="A64" s="75"/>
      <c r="B64" s="73"/>
    </row>
    <row r="65" spans="1:2" x14ac:dyDescent="0.3">
      <c r="A65" s="75"/>
      <c r="B65" s="73"/>
    </row>
    <row r="66" spans="1:2" x14ac:dyDescent="0.3">
      <c r="A66" s="75"/>
      <c r="B66" s="73"/>
    </row>
    <row r="67" spans="1:2" x14ac:dyDescent="0.3">
      <c r="A67" s="75"/>
      <c r="B67" s="73"/>
    </row>
    <row r="68" spans="1:2" x14ac:dyDescent="0.3">
      <c r="A68" s="74"/>
      <c r="B68" s="73"/>
    </row>
    <row r="69" spans="1:2" x14ac:dyDescent="0.3">
      <c r="A69" s="76"/>
      <c r="B69" s="73"/>
    </row>
    <row r="70" spans="1:2" x14ac:dyDescent="0.3">
      <c r="A70" s="76"/>
      <c r="B70" s="73"/>
    </row>
    <row r="71" spans="1:2" x14ac:dyDescent="0.3">
      <c r="A71" s="76"/>
      <c r="B71" s="73"/>
    </row>
    <row r="72" spans="1:2" x14ac:dyDescent="0.3">
      <c r="A72" s="76"/>
      <c r="B72" s="73"/>
    </row>
    <row r="73" spans="1:2" x14ac:dyDescent="0.3">
      <c r="A73" s="76"/>
      <c r="B73" s="73"/>
    </row>
    <row r="74" spans="1:2" x14ac:dyDescent="0.3">
      <c r="A74" s="76"/>
      <c r="B74" s="73"/>
    </row>
    <row r="75" spans="1:2" x14ac:dyDescent="0.3">
      <c r="A75" s="75"/>
      <c r="B75" s="73"/>
    </row>
    <row r="76" spans="1:2" x14ac:dyDescent="0.3">
      <c r="A76" s="74"/>
      <c r="B76" s="7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C194"/>
  <sheetViews>
    <sheetView showGridLines="0" tabSelected="1" topLeftCell="A61" zoomScaleNormal="100" workbookViewId="0">
      <selection activeCell="D89" sqref="D89"/>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6.125" style="2" bestFit="1" customWidth="1"/>
    <col min="18" max="18" width="14.5" style="2" bestFit="1" customWidth="1"/>
    <col min="19" max="20" width="13.125" style="2" bestFit="1" customWidth="1"/>
    <col min="21" max="21" width="13.25" style="2" bestFit="1" customWidth="1"/>
    <col min="22" max="22" width="13.25" style="2" customWidth="1"/>
    <col min="23" max="23" width="12.125" style="2" bestFit="1" customWidth="1"/>
    <col min="24" max="24" width="8.25" style="2" customWidth="1"/>
    <col min="25" max="25" width="27.375" style="2" bestFit="1" customWidth="1"/>
    <col min="26" max="26" width="10.75" style="2" bestFit="1" customWidth="1"/>
    <col min="27" max="27" width="9" style="2"/>
    <col min="28" max="28" width="9.875" style="2" customWidth="1"/>
    <col min="29" max="16384" width="9" style="2"/>
  </cols>
  <sheetData>
    <row r="1" spans="1:27" ht="18" customHeight="1" x14ac:dyDescent="0.3">
      <c r="B1" s="20"/>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72" t="s">
        <v>183</v>
      </c>
      <c r="S1" s="72" t="s">
        <v>151</v>
      </c>
      <c r="T1" s="72" t="s">
        <v>152</v>
      </c>
      <c r="U1" s="72" t="s">
        <v>153</v>
      </c>
      <c r="V1" s="72" t="s">
        <v>154</v>
      </c>
      <c r="W1" s="72"/>
      <c r="Y1" s="2" t="s">
        <v>0</v>
      </c>
      <c r="Z1" s="83"/>
      <c r="AA1" s="83"/>
    </row>
    <row r="2" spans="1:27" ht="18" customHeight="1" x14ac:dyDescent="0.3">
      <c r="B2" s="20"/>
      <c r="C2" s="23"/>
      <c r="D2" s="24">
        <f>DATE(DiemHoaVon_NamKeHoach,COUNTA($D$50:D50),1)</f>
        <v>1</v>
      </c>
      <c r="E2" s="24">
        <f>DATE(DiemHoaVon_NamKeHoach,COUNTA($D$50:E50),1)</f>
        <v>32</v>
      </c>
      <c r="F2" s="24">
        <f>DATE(DiemHoaVon_NamKeHoach,COUNTA($D$50:F50),1)</f>
        <v>61</v>
      </c>
      <c r="G2" s="24">
        <f>DATE(DiemHoaVon_NamKeHoach,COUNTA($D$50:G50),1)</f>
        <v>92</v>
      </c>
      <c r="H2" s="24">
        <f>DATE(DiemHoaVon_NamKeHoach,COUNTA($D$50:H50),1)</f>
        <v>122</v>
      </c>
      <c r="I2" s="24">
        <f>DATE(DiemHoaVon_NamKeHoach,COUNTA($D$50:I50),1)</f>
        <v>153</v>
      </c>
      <c r="J2" s="24">
        <f>DATE(DiemHoaVon_NamKeHoach,COUNTA($D$50:J50),1)</f>
        <v>183</v>
      </c>
      <c r="K2" s="24">
        <f>DATE(DiemHoaVon_NamKeHoach,COUNTA($D$50:K50),1)</f>
        <v>214</v>
      </c>
      <c r="L2" s="24">
        <f>DATE(DiemHoaVon_NamKeHoach,COUNTA($D$50:L50),1)</f>
        <v>245</v>
      </c>
      <c r="M2" s="24">
        <f>DATE(DiemHoaVon_NamKeHoach,COUNTA($D$50:M50),1)</f>
        <v>275</v>
      </c>
      <c r="N2" s="24">
        <f>DATE(DiemHoaVon_NamKeHoach,COUNTA($D$50:N50),1)</f>
        <v>306</v>
      </c>
      <c r="O2" s="24">
        <f>DATE(DiemHoaVon_NamKeHoach,COUNTA($D$50:O50),1)</f>
        <v>336</v>
      </c>
      <c r="P2" s="24"/>
      <c r="Q2" s="14" t="s">
        <v>186</v>
      </c>
      <c r="R2" s="86">
        <v>0.15</v>
      </c>
    </row>
    <row r="3" spans="1:27" ht="18" customHeight="1" x14ac:dyDescent="0.3">
      <c r="B3" s="20"/>
      <c r="C3" s="24"/>
      <c r="D3" s="24"/>
      <c r="E3" s="24"/>
      <c r="F3" s="24"/>
      <c r="G3" s="24"/>
      <c r="H3" s="24"/>
      <c r="I3" s="24"/>
      <c r="J3" s="24"/>
      <c r="K3" s="24"/>
      <c r="L3" s="24"/>
      <c r="M3" s="24"/>
      <c r="N3" s="24"/>
      <c r="O3" s="24"/>
      <c r="P3" s="24"/>
      <c r="Q3" s="14" t="s">
        <v>184</v>
      </c>
      <c r="R3" s="118">
        <v>0.03</v>
      </c>
    </row>
    <row r="4" spans="1:27" ht="18" customHeight="1" x14ac:dyDescent="0.3">
      <c r="B4" s="20"/>
      <c r="C4" s="24"/>
      <c r="D4" s="24"/>
      <c r="E4" s="24"/>
      <c r="F4" s="24"/>
      <c r="G4" s="24"/>
      <c r="H4" s="24"/>
      <c r="I4" s="24"/>
      <c r="J4" s="24"/>
      <c r="K4" s="24"/>
      <c r="L4" s="24"/>
      <c r="M4" s="24"/>
      <c r="N4" s="24"/>
      <c r="O4" s="24"/>
      <c r="P4" s="24"/>
      <c r="Q4" s="14" t="s">
        <v>125</v>
      </c>
      <c r="R4" s="84">
        <f>NPV(R2,R47:W47)</f>
        <v>1110910476.580447</v>
      </c>
      <c r="S4" s="84" cm="1">
        <f t="array" ref="S4">IF(ISBLANK(S1),0,INDEX($Q$1:S4,COUNTA($Q$1:$Q$4),COUNTA($Q$1:S1)-1)/(1+$R$2)^(S1-$R$1))</f>
        <v>966009110.06995392</v>
      </c>
      <c r="T4" s="84" cm="1">
        <f t="array" ref="T4">IF(ISBLANK(T1),0,INDEX($Q$1:T4,COUNTA($Q$1:$Q$4),COUNTA($Q$1:T1)-1)/(1+$R$2)^(T1-$R$1))</f>
        <v>730441671.13040006</v>
      </c>
      <c r="U4" s="84" cm="1">
        <f t="array" ref="U4">IF(ISBLANK(U1),0,INDEX($Q$1:U4,COUNTA($Q$1:$Q$4),COUNTA($Q$1:U1)-1)/(1+$R$2)^(U1-$R$1))</f>
        <v>480277255.61298615</v>
      </c>
      <c r="V4" s="84" cm="1">
        <f t="array" ref="V4">IF(ISBLANK(V1),0,INDEX($Q$1:V4,COUNTA($Q$1:$Q$4),COUNTA($Q$1:V1)-1)/(1+$R$2)^(V1-$R$1))</f>
        <v>274600079.68123972</v>
      </c>
      <c r="W4" s="84" cm="1">
        <f t="array" ref="W4">IF(ISBLANK(W1),0,INDEX($Q$1:W4,COUNTA($Q$1:$Q$4),COUNTA($Q$1:W1)-1)/(1+$R$2)^(W1-$R$1))</f>
        <v>0</v>
      </c>
    </row>
    <row r="5" spans="1:27" ht="18" customHeight="1" x14ac:dyDescent="0.3">
      <c r="B5" s="20"/>
      <c r="C5" s="24"/>
      <c r="D5" s="24"/>
      <c r="E5" s="24"/>
      <c r="F5" s="24"/>
      <c r="G5" s="24"/>
      <c r="H5" s="24"/>
      <c r="I5" s="24"/>
      <c r="J5" s="24"/>
      <c r="K5" s="24"/>
      <c r="L5" s="24"/>
      <c r="M5" s="24"/>
      <c r="N5" s="24"/>
      <c r="O5" s="24"/>
      <c r="P5" s="24"/>
      <c r="Q5" s="14" t="s">
        <v>126</v>
      </c>
      <c r="R5" s="85">
        <f>IRR(R47:W47)</f>
        <v>0.2780254864377385</v>
      </c>
    </row>
    <row r="6" spans="1:27" s="3" customFormat="1" ht="18" customHeight="1" x14ac:dyDescent="0.3">
      <c r="B6" s="1" t="s">
        <v>115</v>
      </c>
      <c r="C6" s="1" t="s">
        <v>1</v>
      </c>
      <c r="D6" s="5" t="s">
        <v>28</v>
      </c>
      <c r="E6" s="5" t="s">
        <v>29</v>
      </c>
      <c r="F6" s="5" t="s">
        <v>30</v>
      </c>
      <c r="G6" s="5" t="s">
        <v>31</v>
      </c>
      <c r="H6" s="5" t="s">
        <v>32</v>
      </c>
      <c r="I6" s="5" t="s">
        <v>33</v>
      </c>
      <c r="J6" s="5" t="s">
        <v>34</v>
      </c>
      <c r="K6" s="5" t="s">
        <v>35</v>
      </c>
      <c r="L6" s="5" t="s">
        <v>36</v>
      </c>
      <c r="M6" s="5" t="s">
        <v>37</v>
      </c>
      <c r="N6" s="5" t="s">
        <v>38</v>
      </c>
      <c r="O6" s="5" t="s">
        <v>39</v>
      </c>
      <c r="P6" s="5"/>
      <c r="Q6" s="1" t="s">
        <v>115</v>
      </c>
      <c r="R6" s="1" t="s">
        <v>185</v>
      </c>
      <c r="S6" s="1" t="s">
        <v>151</v>
      </c>
      <c r="T6" s="1" t="s">
        <v>152</v>
      </c>
      <c r="U6" s="1" t="s">
        <v>153</v>
      </c>
      <c r="V6" s="1" t="s">
        <v>154</v>
      </c>
      <c r="W6" s="1" t="s">
        <v>114</v>
      </c>
      <c r="Y6" s="1" t="s">
        <v>115</v>
      </c>
      <c r="Z6" s="1" t="s">
        <v>0</v>
      </c>
      <c r="AA6" s="1" t="s">
        <v>114</v>
      </c>
    </row>
    <row r="7" spans="1:27" s="3" customFormat="1" ht="18" customHeight="1" x14ac:dyDescent="0.3">
      <c r="B7" s="22" t="s">
        <v>15</v>
      </c>
      <c r="C7" s="88">
        <f>SUM(Table_KeHoach_TuDong[[#This Row],[Tháng 1]:[Tháng 12]])</f>
        <v>0</v>
      </c>
      <c r="D7" s="88">
        <f>Table_KeHoach_SanLuong[[#Totals],[Tháng 1]]</f>
        <v>0</v>
      </c>
      <c r="E7" s="88">
        <f>Table_KeHoach_SanLuong[[#Totals],[Tháng 2]]</f>
        <v>0</v>
      </c>
      <c r="F7" s="88">
        <f>Table_KeHoach_SanLuong[[#Totals],[Tháng 3]]</f>
        <v>0</v>
      </c>
      <c r="G7" s="88">
        <f>Table_KeHoach_SanLuong[[#Totals],[Tháng 4]]</f>
        <v>0</v>
      </c>
      <c r="H7" s="88">
        <f>Table_KeHoach_SanLuong[[#Totals],[Tháng 5]]</f>
        <v>0</v>
      </c>
      <c r="I7" s="88">
        <f>Table_KeHoach_SanLuong[[#Totals],[Tháng 6]]</f>
        <v>0</v>
      </c>
      <c r="J7" s="88">
        <f>Table_KeHoach_SanLuong[[#Totals],[Tháng 7]]</f>
        <v>0</v>
      </c>
      <c r="K7" s="88">
        <f>Table_KeHoach_SanLuong[[#Totals],[Tháng 8]]</f>
        <v>0</v>
      </c>
      <c r="L7" s="88">
        <f>Table_KeHoach_SanLuong[[#Totals],[Tháng 9]]</f>
        <v>0</v>
      </c>
      <c r="M7" s="88">
        <f>Table_KeHoach_SanLuong[[#Totals],[Tháng 10]]</f>
        <v>0</v>
      </c>
      <c r="N7" s="88">
        <f>Table_KeHoach_SanLuong[[#Totals],[Tháng 11]]</f>
        <v>0</v>
      </c>
      <c r="O7" s="88">
        <f>Table_KeHoach_SanLuong[[#Totals],[Tháng 12]]</f>
        <v>0</v>
      </c>
      <c r="P7" s="62"/>
      <c r="Q7" s="22" t="s">
        <v>15</v>
      </c>
      <c r="R7" s="88"/>
      <c r="S7" s="88"/>
      <c r="T7" s="88"/>
      <c r="U7" s="88"/>
      <c r="V7" s="88"/>
      <c r="W7" s="88"/>
      <c r="Y7" s="22" t="s">
        <v>15</v>
      </c>
      <c r="Z7" s="88"/>
      <c r="AA7" s="88"/>
    </row>
    <row r="8" spans="1:27" ht="18" customHeight="1" outlineLevel="1" x14ac:dyDescent="0.3">
      <c r="B8" s="28" t="s">
        <v>40</v>
      </c>
      <c r="C8" s="36" t="e">
        <f>(-C23/(C21/C7))/12</f>
        <v>#N/A</v>
      </c>
      <c r="D8" s="36" t="e">
        <f t="shared" ref="D8:O8" si="1">(-D23/(D21/D7))</f>
        <v>#N/A</v>
      </c>
      <c r="E8" s="36" t="e">
        <f t="shared" si="1"/>
        <v>#N/A</v>
      </c>
      <c r="F8" s="36" t="e">
        <f t="shared" si="1"/>
        <v>#N/A</v>
      </c>
      <c r="G8" s="36" t="e">
        <f t="shared" si="1"/>
        <v>#N/A</v>
      </c>
      <c r="H8" s="36" t="e">
        <f t="shared" si="1"/>
        <v>#N/A</v>
      </c>
      <c r="I8" s="36" t="e">
        <f t="shared" si="1"/>
        <v>#N/A</v>
      </c>
      <c r="J8" s="36" t="e">
        <f t="shared" si="1"/>
        <v>#N/A</v>
      </c>
      <c r="K8" s="36" t="e">
        <f t="shared" si="1"/>
        <v>#N/A</v>
      </c>
      <c r="L8" s="36" t="e">
        <f t="shared" si="1"/>
        <v>#N/A</v>
      </c>
      <c r="M8" s="36" t="e">
        <f t="shared" si="1"/>
        <v>#N/A</v>
      </c>
      <c r="N8" s="36" t="e">
        <f t="shared" si="1"/>
        <v>#N/A</v>
      </c>
      <c r="O8" s="36" t="e">
        <f t="shared" si="1"/>
        <v>#N/A</v>
      </c>
      <c r="P8" s="36"/>
      <c r="Q8" s="28" t="s">
        <v>40</v>
      </c>
      <c r="R8" s="36"/>
      <c r="S8" s="36" t="e">
        <v>#DIV/0!</v>
      </c>
      <c r="T8" s="36" t="e">
        <v>#DIV/0!</v>
      </c>
      <c r="U8" s="36" t="e">
        <v>#DIV/0!</v>
      </c>
      <c r="V8" s="36" t="e">
        <v>#DIV/0!</v>
      </c>
      <c r="W8" s="36" t="e">
        <f t="shared" ref="W8" si="2">(-W23/(W21/W7))/12</f>
        <v>#DIV/0!</v>
      </c>
      <c r="Y8" s="28" t="s">
        <v>40</v>
      </c>
      <c r="Z8" s="36" t="e">
        <f t="shared" ref="Z8:AA8" si="3">(-Z23/(Z21/Z7))</f>
        <v>#DIV/0!</v>
      </c>
      <c r="AA8" s="36" t="e">
        <f t="shared" si="3"/>
        <v>#DIV/0!</v>
      </c>
    </row>
    <row r="9" spans="1:27" s="29" customFormat="1" ht="18" customHeight="1" outlineLevel="1" x14ac:dyDescent="0.3">
      <c r="A9" s="20"/>
      <c r="B9" s="28" t="s">
        <v>41</v>
      </c>
      <c r="C9" s="36" t="e">
        <f>(-C23/(C21/C7))/365</f>
        <v>#N/A</v>
      </c>
      <c r="D9" s="36" t="e">
        <f t="shared" ref="D9:O9" si="4">D8/_xlfn.DAYS(
DATE(YEAR(D$2),MONTH(D$2)+1,1),
DATE(YEAR(D$2),MONTH(D$2),1)
)</f>
        <v>#N/A</v>
      </c>
      <c r="E9" s="36" t="e">
        <f t="shared" si="4"/>
        <v>#N/A</v>
      </c>
      <c r="F9" s="36" t="e">
        <f t="shared" si="4"/>
        <v>#N/A</v>
      </c>
      <c r="G9" s="36" t="e">
        <f t="shared" si="4"/>
        <v>#N/A</v>
      </c>
      <c r="H9" s="36" t="e">
        <f t="shared" si="4"/>
        <v>#N/A</v>
      </c>
      <c r="I9" s="36" t="e">
        <f t="shared" si="4"/>
        <v>#N/A</v>
      </c>
      <c r="J9" s="36" t="e">
        <f t="shared" si="4"/>
        <v>#N/A</v>
      </c>
      <c r="K9" s="36" t="e">
        <f t="shared" si="4"/>
        <v>#N/A</v>
      </c>
      <c r="L9" s="36" t="e">
        <f t="shared" si="4"/>
        <v>#N/A</v>
      </c>
      <c r="M9" s="36" t="e">
        <f t="shared" si="4"/>
        <v>#N/A</v>
      </c>
      <c r="N9" s="36" t="e">
        <f t="shared" si="4"/>
        <v>#N/A</v>
      </c>
      <c r="O9" s="36" t="e">
        <f t="shared" si="4"/>
        <v>#N/A</v>
      </c>
      <c r="P9" s="36"/>
      <c r="Q9" s="28" t="s">
        <v>41</v>
      </c>
      <c r="R9" s="36"/>
      <c r="S9" s="36" t="e">
        <v>#DIV/0!</v>
      </c>
      <c r="T9" s="36" t="e">
        <v>#DIV/0!</v>
      </c>
      <c r="U9" s="36" t="e">
        <v>#DIV/0!</v>
      </c>
      <c r="V9" s="36" t="e">
        <v>#DIV/0!</v>
      </c>
      <c r="W9" s="36" t="e">
        <f t="shared" ref="W9" si="5">(-W23/(W21/W7))/365</f>
        <v>#DIV/0!</v>
      </c>
      <c r="Y9" s="28" t="s">
        <v>41</v>
      </c>
      <c r="Z9" s="36" t="e">
        <f t="shared" ref="Z9" si="6">Z8/_xlfn.DAYS(
DATE(YEAR(Z$2),MONTH(Z$2)+1,1),
DATE(YEAR(Z$2),MONTH(Z$2),1)
)</f>
        <v>#DIV/0!</v>
      </c>
      <c r="AA9" s="36" t="e">
        <f t="shared" ref="AA9" si="7">AA8/_xlfn.DAYS(
DATE(YEAR(AA$2),MONTH(AA$2)+1,1),
DATE(YEAR(AA$2),MONTH(AA$2),1)
)</f>
        <v>#DIV/0!</v>
      </c>
    </row>
    <row r="10" spans="1:27" s="29" customFormat="1" ht="18" customHeight="1" outlineLevel="1" x14ac:dyDescent="0.3">
      <c r="A10" s="20"/>
      <c r="B10" s="18" t="s">
        <v>16</v>
      </c>
      <c r="C10" s="33" t="e">
        <f>(C7/365)/C9-1</f>
        <v>#N/A</v>
      </c>
      <c r="D10" s="33" t="e">
        <f t="shared" ref="D10:O10" si="8">(D7/_xlfn.DAYS(
DATE(YEAR(D$2),MONTH(D$2)+1,1),
DATE(YEAR(D$2),MONTH(D$2),1)))/D9-1</f>
        <v>#N/A</v>
      </c>
      <c r="E10" s="33" t="e">
        <f t="shared" si="8"/>
        <v>#N/A</v>
      </c>
      <c r="F10" s="33" t="e">
        <f t="shared" si="8"/>
        <v>#N/A</v>
      </c>
      <c r="G10" s="33" t="e">
        <f t="shared" si="8"/>
        <v>#N/A</v>
      </c>
      <c r="H10" s="33" t="e">
        <f t="shared" si="8"/>
        <v>#N/A</v>
      </c>
      <c r="I10" s="33" t="e">
        <f t="shared" si="8"/>
        <v>#N/A</v>
      </c>
      <c r="J10" s="33" t="e">
        <f t="shared" si="8"/>
        <v>#N/A</v>
      </c>
      <c r="K10" s="33" t="e">
        <f t="shared" si="8"/>
        <v>#N/A</v>
      </c>
      <c r="L10" s="33" t="e">
        <f t="shared" si="8"/>
        <v>#N/A</v>
      </c>
      <c r="M10" s="33" t="e">
        <f t="shared" si="8"/>
        <v>#N/A</v>
      </c>
      <c r="N10" s="33" t="e">
        <f t="shared" si="8"/>
        <v>#N/A</v>
      </c>
      <c r="O10" s="33" t="e">
        <f t="shared" si="8"/>
        <v>#N/A</v>
      </c>
      <c r="P10" s="33"/>
      <c r="Q10" s="18" t="s">
        <v>16</v>
      </c>
      <c r="R10" s="33"/>
      <c r="S10" s="33" t="e">
        <v>#DIV/0!</v>
      </c>
      <c r="T10" s="33" t="e">
        <v>#DIV/0!</v>
      </c>
      <c r="U10" s="33" t="e">
        <v>#DIV/0!</v>
      </c>
      <c r="V10" s="33" t="e">
        <v>#DIV/0!</v>
      </c>
      <c r="W10" s="33" t="e">
        <f t="shared" ref="W10" si="9">(W7/365)/W9-1</f>
        <v>#DIV/0!</v>
      </c>
      <c r="Y10" s="18" t="s">
        <v>16</v>
      </c>
      <c r="Z10" s="33" t="e">
        <f t="shared" ref="Z10" si="10">(Z7/_xlfn.DAYS(
DATE(YEAR(Z$2),MONTH(Z$2)+1,1),
DATE(YEAR(Z$2),MONTH(Z$2),1)))/Z9-1</f>
        <v>#DIV/0!</v>
      </c>
      <c r="AA10" s="33" t="e">
        <f t="shared" ref="AA10" si="11">(AA7/_xlfn.DAYS(
DATE(YEAR(AA$2),MONTH(AA$2)+1,1),
DATE(YEAR(AA$2),MONTH(AA$2),1)))/AA9-1</f>
        <v>#DIV/0!</v>
      </c>
    </row>
    <row r="11" spans="1:27" s="29" customFormat="1" ht="18" customHeight="1" outlineLevel="1" x14ac:dyDescent="0.3">
      <c r="A11" s="20"/>
      <c r="B11" s="22" t="s">
        <v>13</v>
      </c>
      <c r="C11" s="35" t="e">
        <f>SUM(Table_KeHoach_TuDong[[#This Row],[Tháng 1]:[Tháng 12]])</f>
        <v>#N/A</v>
      </c>
      <c r="D11" s="35" t="e">
        <f>Table_KeHoach_DoanhThu[[#Totals],[Tháng 1]]</f>
        <v>#N/A</v>
      </c>
      <c r="E11" s="35" t="e">
        <f>Table_KeHoach_DoanhThu[[#Totals],[Tháng 2]]</f>
        <v>#N/A</v>
      </c>
      <c r="F11" s="35" t="e">
        <f>Table_KeHoach_DoanhThu[[#Totals],[Tháng 3]]</f>
        <v>#N/A</v>
      </c>
      <c r="G11" s="35" t="e">
        <f>Table_KeHoach_DoanhThu[[#Totals],[Tháng 4]]</f>
        <v>#N/A</v>
      </c>
      <c r="H11" s="35" t="e">
        <f>Table_KeHoach_DoanhThu[[#Totals],[Tháng 5]]</f>
        <v>#N/A</v>
      </c>
      <c r="I11" s="35" t="e">
        <f>Table_KeHoach_DoanhThu[[#Totals],[Tháng 6]]</f>
        <v>#N/A</v>
      </c>
      <c r="J11" s="35" t="e">
        <f>Table_KeHoach_DoanhThu[[#Totals],[Tháng 7]]</f>
        <v>#N/A</v>
      </c>
      <c r="K11" s="35" t="e">
        <f>Table_KeHoach_DoanhThu[[#Totals],[Tháng 8]]</f>
        <v>#N/A</v>
      </c>
      <c r="L11" s="35" t="e">
        <f>Table_KeHoach_DoanhThu[[#Totals],[Tháng 9]]</f>
        <v>#N/A</v>
      </c>
      <c r="M11" s="35" t="e">
        <f>Table_KeHoach_DoanhThu[[#Totals],[Tháng 10]]</f>
        <v>#N/A</v>
      </c>
      <c r="N11" s="35" t="e">
        <f>Table_KeHoach_DoanhThu[[#Totals],[Tháng 11]]</f>
        <v>#N/A</v>
      </c>
      <c r="O11" s="35" t="e">
        <f>Table_KeHoach_DoanhThu[[#Totals],[Tháng 12]]</f>
        <v>#N/A</v>
      </c>
      <c r="P11" s="35"/>
      <c r="Q11" s="22" t="s">
        <v>13</v>
      </c>
      <c r="R11" s="35"/>
      <c r="S11" s="35">
        <v>1000000000</v>
      </c>
      <c r="T11" s="35">
        <v>2000000000</v>
      </c>
      <c r="U11" s="35">
        <v>2500000000</v>
      </c>
      <c r="V11" s="35">
        <v>3000000000</v>
      </c>
      <c r="W11" s="35"/>
      <c r="Y11" s="22" t="s">
        <v>13</v>
      </c>
      <c r="Z11" s="35"/>
      <c r="AA11" s="35"/>
    </row>
    <row r="12" spans="1:27" ht="18" customHeight="1" outlineLevel="1" x14ac:dyDescent="0.3">
      <c r="B12" s="31" t="s">
        <v>42</v>
      </c>
      <c r="C12" s="40">
        <f t="shared" ref="C12:O12" si="12">IFERROR((C11+C13)/C11,0)</f>
        <v>0</v>
      </c>
      <c r="D12" s="40">
        <f t="shared" si="12"/>
        <v>0</v>
      </c>
      <c r="E12" s="40">
        <f t="shared" si="12"/>
        <v>0</v>
      </c>
      <c r="F12" s="40">
        <f t="shared" si="12"/>
        <v>0</v>
      </c>
      <c r="G12" s="40">
        <f t="shared" si="12"/>
        <v>0</v>
      </c>
      <c r="H12" s="40">
        <f t="shared" si="12"/>
        <v>0</v>
      </c>
      <c r="I12" s="40">
        <f t="shared" si="12"/>
        <v>0</v>
      </c>
      <c r="J12" s="40">
        <f t="shared" si="12"/>
        <v>0</v>
      </c>
      <c r="K12" s="40">
        <f t="shared" si="12"/>
        <v>0</v>
      </c>
      <c r="L12" s="40">
        <f t="shared" si="12"/>
        <v>0</v>
      </c>
      <c r="M12" s="40">
        <f t="shared" si="12"/>
        <v>0</v>
      </c>
      <c r="N12" s="40">
        <f t="shared" si="12"/>
        <v>0</v>
      </c>
      <c r="O12" s="40">
        <f t="shared" si="12"/>
        <v>0</v>
      </c>
      <c r="P12" s="40"/>
      <c r="Q12" s="31" t="s">
        <v>42</v>
      </c>
      <c r="R12" s="40"/>
      <c r="S12" s="40">
        <v>0.6</v>
      </c>
      <c r="T12" s="40">
        <v>0.61</v>
      </c>
      <c r="U12" s="40">
        <v>0.60399999999999998</v>
      </c>
      <c r="V12" s="40">
        <v>0.6</v>
      </c>
      <c r="W12" s="40">
        <f t="shared" ref="W12" si="13">IFERROR((W11+W13)/W11,0)</f>
        <v>0</v>
      </c>
      <c r="Y12" s="31" t="s">
        <v>42</v>
      </c>
      <c r="Z12" s="40"/>
      <c r="AA12" s="40"/>
    </row>
    <row r="13" spans="1:27" s="32" customFormat="1" ht="18" customHeight="1" outlineLevel="1" x14ac:dyDescent="0.3">
      <c r="B13" s="18" t="s">
        <v>17</v>
      </c>
      <c r="C13" s="34" t="e">
        <f>SUM(Table_KeHoach_TuDong[[#This Row],[Tháng 1]:[Tháng 12]])</f>
        <v>#N/A</v>
      </c>
      <c r="D13" s="34" t="e">
        <f t="shared" ref="D13:O13" si="14">SUM(D14:D20)</f>
        <v>#N/A</v>
      </c>
      <c r="E13" s="34" t="e">
        <f t="shared" si="14"/>
        <v>#N/A</v>
      </c>
      <c r="F13" s="34" t="e">
        <f t="shared" si="14"/>
        <v>#N/A</v>
      </c>
      <c r="G13" s="34" t="e">
        <f t="shared" si="14"/>
        <v>#N/A</v>
      </c>
      <c r="H13" s="34" t="e">
        <f t="shared" si="14"/>
        <v>#N/A</v>
      </c>
      <c r="I13" s="34" t="e">
        <f t="shared" si="14"/>
        <v>#N/A</v>
      </c>
      <c r="J13" s="34" t="e">
        <f t="shared" si="14"/>
        <v>#N/A</v>
      </c>
      <c r="K13" s="34" t="e">
        <f t="shared" si="14"/>
        <v>#N/A</v>
      </c>
      <c r="L13" s="34" t="e">
        <f t="shared" si="14"/>
        <v>#N/A</v>
      </c>
      <c r="M13" s="34" t="e">
        <f t="shared" si="14"/>
        <v>#N/A</v>
      </c>
      <c r="N13" s="34" t="e">
        <f t="shared" si="14"/>
        <v>#N/A</v>
      </c>
      <c r="O13" s="34" t="e">
        <f t="shared" si="14"/>
        <v>#N/A</v>
      </c>
      <c r="P13" s="34"/>
      <c r="Q13" s="18" t="s">
        <v>17</v>
      </c>
      <c r="R13" s="34"/>
      <c r="S13" s="34">
        <v>-400000000</v>
      </c>
      <c r="T13" s="34">
        <v>-780000000</v>
      </c>
      <c r="U13" s="34">
        <v>-990000000</v>
      </c>
      <c r="V13" s="34">
        <v>-1200000000</v>
      </c>
      <c r="W13" s="34">
        <f t="shared" ref="W13" si="15">SUM(W14:W20)</f>
        <v>0</v>
      </c>
      <c r="Y13" s="18" t="s">
        <v>17</v>
      </c>
      <c r="Z13" s="34"/>
      <c r="AA13" s="34"/>
    </row>
    <row r="14" spans="1:27" ht="18" customHeight="1" outlineLevel="2" x14ac:dyDescent="0.3">
      <c r="B14" s="21" t="s">
        <v>43</v>
      </c>
      <c r="C14" s="38">
        <f>SUM(Table_KeHoach_TuDong[[#This Row],[Tháng 1]:[Tháng 12]])</f>
        <v>0</v>
      </c>
      <c r="D14" s="38">
        <f>D66</f>
        <v>0</v>
      </c>
      <c r="E14" s="38">
        <f t="shared" ref="E14:O14" si="16">E66</f>
        <v>0</v>
      </c>
      <c r="F14" s="38">
        <f t="shared" si="16"/>
        <v>0</v>
      </c>
      <c r="G14" s="38">
        <f t="shared" si="16"/>
        <v>0</v>
      </c>
      <c r="H14" s="38">
        <f t="shared" si="16"/>
        <v>0</v>
      </c>
      <c r="I14" s="38">
        <f t="shared" si="16"/>
        <v>0</v>
      </c>
      <c r="J14" s="38">
        <f t="shared" si="16"/>
        <v>0</v>
      </c>
      <c r="K14" s="38">
        <f t="shared" si="16"/>
        <v>0</v>
      </c>
      <c r="L14" s="38">
        <f t="shared" si="16"/>
        <v>0</v>
      </c>
      <c r="M14" s="38">
        <f t="shared" si="16"/>
        <v>0</v>
      </c>
      <c r="N14" s="38">
        <f t="shared" si="16"/>
        <v>0</v>
      </c>
      <c r="O14" s="38">
        <f t="shared" si="16"/>
        <v>0</v>
      </c>
      <c r="P14" s="64"/>
      <c r="Q14" s="21" t="s">
        <v>43</v>
      </c>
      <c r="R14" s="38"/>
      <c r="S14" s="38"/>
      <c r="T14" s="38"/>
      <c r="U14" s="38"/>
      <c r="V14" s="38"/>
      <c r="W14" s="38"/>
      <c r="Y14" s="21" t="s">
        <v>43</v>
      </c>
      <c r="Z14" s="38"/>
      <c r="AA14" s="38"/>
    </row>
    <row r="15" spans="1:27" s="14" customFormat="1" ht="18" customHeight="1" outlineLevel="2" x14ac:dyDescent="0.3">
      <c r="B15" s="21" t="s">
        <v>44</v>
      </c>
      <c r="C15" s="38">
        <f>SUM(Table_KeHoach_TuDong[[#This Row],[Tháng 1]:[Tháng 12]])</f>
        <v>0</v>
      </c>
      <c r="D15" s="38">
        <f>Table_KeHoach_ChiPhiSKU[[#Totals],[Tháng 1]]+Table_KeHoach_ChiPhiVatTuSX[[#Totals],[Tháng 1]]</f>
        <v>0</v>
      </c>
      <c r="E15" s="38">
        <f>Table_KeHoach_ChiPhiSKU[[#Totals],[Tháng 2]]+Table_KeHoach_ChiPhiVatTuSX[[#Totals],[Tháng 2]]</f>
        <v>0</v>
      </c>
      <c r="F15" s="38">
        <f>Table_KeHoach_ChiPhiSKU[[#Totals],[Tháng 3]]+Table_KeHoach_ChiPhiVatTuSX[[#Totals],[Tháng 3]]</f>
        <v>0</v>
      </c>
      <c r="G15" s="38">
        <f>Table_KeHoach_ChiPhiSKU[[#Totals],[Tháng 4]]+Table_KeHoach_ChiPhiVatTuSX[[#Totals],[Tháng 4]]</f>
        <v>0</v>
      </c>
      <c r="H15" s="38">
        <f>Table_KeHoach_ChiPhiSKU[[#Totals],[Tháng 5]]+Table_KeHoach_ChiPhiVatTuSX[[#Totals],[Tháng 5]]</f>
        <v>0</v>
      </c>
      <c r="I15" s="38">
        <f>Table_KeHoach_ChiPhiSKU[[#Totals],[Tháng 6]]+Table_KeHoach_ChiPhiVatTuSX[[#Totals],[Tháng 6]]</f>
        <v>0</v>
      </c>
      <c r="J15" s="38">
        <f>Table_KeHoach_ChiPhiSKU[[#Totals],[Tháng 7]]+Table_KeHoach_ChiPhiVatTuSX[[#Totals],[Tháng 7]]</f>
        <v>0</v>
      </c>
      <c r="K15" s="38">
        <f>Table_KeHoach_ChiPhiSKU[[#Totals],[Tháng 8]]+Table_KeHoach_ChiPhiVatTuSX[[#Totals],[Tháng 8]]</f>
        <v>0</v>
      </c>
      <c r="L15" s="38">
        <f>Table_KeHoach_ChiPhiSKU[[#Totals],[Tháng 9]]+Table_KeHoach_ChiPhiVatTuSX[[#Totals],[Tháng 9]]</f>
        <v>0</v>
      </c>
      <c r="M15" s="38">
        <f>Table_KeHoach_ChiPhiSKU[[#Totals],[Tháng 10]]+Table_KeHoach_ChiPhiVatTuSX[[#Totals],[Tháng 10]]</f>
        <v>0</v>
      </c>
      <c r="N15" s="38">
        <f>Table_KeHoach_ChiPhiSKU[[#Totals],[Tháng 11]]+Table_KeHoach_ChiPhiVatTuSX[[#Totals],[Tháng 11]]</f>
        <v>0</v>
      </c>
      <c r="O15" s="38">
        <f>Table_KeHoach_ChiPhiSKU[[#Totals],[Tháng 12]]+Table_KeHoach_ChiPhiVatTuSX[[#Totals],[Tháng 12]]</f>
        <v>0</v>
      </c>
      <c r="P15" s="64"/>
      <c r="Q15" s="21" t="s">
        <v>44</v>
      </c>
      <c r="R15" s="38"/>
      <c r="S15" s="38">
        <v>-300000000</v>
      </c>
      <c r="T15" s="38">
        <v>-500000000</v>
      </c>
      <c r="U15" s="38">
        <v>-600000000</v>
      </c>
      <c r="V15" s="38">
        <v>-700000000</v>
      </c>
      <c r="W15" s="38"/>
      <c r="Y15" s="21" t="s">
        <v>44</v>
      </c>
      <c r="Z15" s="38"/>
      <c r="AA15" s="38"/>
    </row>
    <row r="16" spans="1:27" ht="18" customHeight="1" outlineLevel="2" x14ac:dyDescent="0.3">
      <c r="B16" s="21" t="s">
        <v>45</v>
      </c>
      <c r="C16" s="38">
        <f>SUM(Table_KeHoach_TuDong[[#This Row],[Tháng 1]:[Tháng 12]])</f>
        <v>0</v>
      </c>
      <c r="D16" s="39">
        <f>Table_KeHoach_ChiPhiTienIchSX[[#Totals],[Tháng 1]]</f>
        <v>0</v>
      </c>
      <c r="E16" s="39">
        <f>Table_KeHoach_ChiPhiTienIchSX[[#Totals],[Tháng 2]]</f>
        <v>0</v>
      </c>
      <c r="F16" s="39">
        <f>Table_KeHoach_ChiPhiTienIchSX[[#Totals],[Tháng 3]]</f>
        <v>0</v>
      </c>
      <c r="G16" s="39">
        <f>Table_KeHoach_ChiPhiTienIchSX[[#Totals],[Tháng 4]]</f>
        <v>0</v>
      </c>
      <c r="H16" s="39">
        <f>Table_KeHoach_ChiPhiTienIchSX[[#Totals],[Tháng 5]]</f>
        <v>0</v>
      </c>
      <c r="I16" s="39">
        <f>Table_KeHoach_ChiPhiTienIchSX[[#Totals],[Tháng 6]]</f>
        <v>0</v>
      </c>
      <c r="J16" s="39">
        <f>Table_KeHoach_ChiPhiTienIchSX[[#Totals],[Tháng 7]]</f>
        <v>0</v>
      </c>
      <c r="K16" s="39">
        <f>Table_KeHoach_ChiPhiTienIchSX[[#Totals],[Tháng 8]]</f>
        <v>0</v>
      </c>
      <c r="L16" s="39">
        <f>Table_KeHoach_ChiPhiTienIchSX[[#Totals],[Tháng 9]]</f>
        <v>0</v>
      </c>
      <c r="M16" s="39">
        <f>Table_KeHoach_ChiPhiTienIchSX[[#Totals],[Tháng 10]]</f>
        <v>0</v>
      </c>
      <c r="N16" s="39">
        <f>Table_KeHoach_ChiPhiTienIchSX[[#Totals],[Tháng 11]]</f>
        <v>0</v>
      </c>
      <c r="O16" s="39">
        <f>Table_KeHoach_ChiPhiTienIchSX[[#Totals],[Tháng 12]]</f>
        <v>0</v>
      </c>
      <c r="P16" s="65"/>
      <c r="Q16" s="21" t="s">
        <v>45</v>
      </c>
      <c r="R16" s="39"/>
      <c r="S16" s="39">
        <v>-100000000</v>
      </c>
      <c r="T16" s="39">
        <v>-200000000</v>
      </c>
      <c r="U16" s="39">
        <v>-250000000</v>
      </c>
      <c r="V16" s="39">
        <v>-300000000</v>
      </c>
      <c r="W16" s="39"/>
      <c r="Y16" s="21" t="s">
        <v>45</v>
      </c>
      <c r="Z16" s="39"/>
      <c r="AA16" s="39"/>
    </row>
    <row r="17" spans="2:27" ht="18" customHeight="1" outlineLevel="2" x14ac:dyDescent="0.3">
      <c r="B17" s="21" t="s">
        <v>46</v>
      </c>
      <c r="C17" s="38" t="e">
        <f>SUM(Table_KeHoach_TuDong[[#This Row],[Tháng 1]:[Tháng 12]])</f>
        <v>#N/A</v>
      </c>
      <c r="D17" s="38" t="e">
        <f>Table_KeHoach_ChiPhiHoaHong[[#Totals],[Tháng 1]]</f>
        <v>#N/A</v>
      </c>
      <c r="E17" s="38" t="e">
        <f>Table_KeHoach_ChiPhiHoaHong[[#Totals],[Tháng 2]]</f>
        <v>#N/A</v>
      </c>
      <c r="F17" s="38" t="e">
        <f>Table_KeHoach_ChiPhiHoaHong[[#Totals],[Tháng 3]]</f>
        <v>#N/A</v>
      </c>
      <c r="G17" s="38" t="e">
        <f>Table_KeHoach_ChiPhiHoaHong[[#Totals],[Tháng 4]]</f>
        <v>#N/A</v>
      </c>
      <c r="H17" s="38" t="e">
        <f>Table_KeHoach_ChiPhiHoaHong[[#Totals],[Tháng 5]]</f>
        <v>#N/A</v>
      </c>
      <c r="I17" s="38" t="e">
        <f>Table_KeHoach_ChiPhiHoaHong[[#Totals],[Tháng 6]]</f>
        <v>#N/A</v>
      </c>
      <c r="J17" s="38" t="e">
        <f>Table_KeHoach_ChiPhiHoaHong[[#Totals],[Tháng 7]]</f>
        <v>#N/A</v>
      </c>
      <c r="K17" s="38" t="e">
        <f>Table_KeHoach_ChiPhiHoaHong[[#Totals],[Tháng 8]]</f>
        <v>#N/A</v>
      </c>
      <c r="L17" s="38" t="e">
        <f>Table_KeHoach_ChiPhiHoaHong[[#Totals],[Tháng 9]]</f>
        <v>#N/A</v>
      </c>
      <c r="M17" s="38" t="e">
        <f>Table_KeHoach_ChiPhiHoaHong[[#Totals],[Tháng 10]]</f>
        <v>#N/A</v>
      </c>
      <c r="N17" s="38" t="e">
        <f>Table_KeHoach_ChiPhiHoaHong[[#Totals],[Tháng 11]]</f>
        <v>#N/A</v>
      </c>
      <c r="O17" s="38" t="e">
        <f>Table_KeHoach_ChiPhiHoaHong[[#Totals],[Tháng 12]]</f>
        <v>#N/A</v>
      </c>
      <c r="P17" s="38"/>
      <c r="Q17" s="21" t="s">
        <v>46</v>
      </c>
      <c r="R17" s="38"/>
      <c r="S17" s="38"/>
      <c r="T17" s="38">
        <v>-50000000</v>
      </c>
      <c r="U17" s="38">
        <v>-100000000</v>
      </c>
      <c r="V17" s="38">
        <v>-150000000</v>
      </c>
      <c r="W17" s="38"/>
      <c r="Y17" s="21" t="s">
        <v>46</v>
      </c>
      <c r="Z17" s="38"/>
      <c r="AA17" s="38"/>
    </row>
    <row r="18" spans="2:27" s="14" customFormat="1" ht="18" customHeight="1" outlineLevel="2" x14ac:dyDescent="0.3">
      <c r="B18" s="21" t="s">
        <v>47</v>
      </c>
      <c r="C18" s="38">
        <f>SUM(Table_KeHoach_TuDong[[#This Row],[Tháng 1]:[Tháng 12]])</f>
        <v>0</v>
      </c>
      <c r="D18" s="39">
        <f>Table_KeHoach_ThuongNhanSu[[#Totals],[Tháng 1]]</f>
        <v>0</v>
      </c>
      <c r="E18" s="39">
        <f>Table_KeHoach_ThuongNhanSu[[#Totals],[Tháng 2]]</f>
        <v>0</v>
      </c>
      <c r="F18" s="39">
        <f>Table_KeHoach_ThuongNhanSu[[#Totals],[Tháng 3]]</f>
        <v>0</v>
      </c>
      <c r="G18" s="39">
        <f>Table_KeHoach_ThuongNhanSu[[#Totals],[Tháng 4]]</f>
        <v>0</v>
      </c>
      <c r="H18" s="39">
        <f>Table_KeHoach_ThuongNhanSu[[#Totals],[Tháng 5]]</f>
        <v>0</v>
      </c>
      <c r="I18" s="39">
        <f>Table_KeHoach_ThuongNhanSu[[#Totals],[Tháng 6]]</f>
        <v>0</v>
      </c>
      <c r="J18" s="39">
        <f>Table_KeHoach_ThuongNhanSu[[#Totals],[Tháng 7]]</f>
        <v>0</v>
      </c>
      <c r="K18" s="39">
        <f>Table_KeHoach_ThuongNhanSu[[#Totals],[Tháng 8]]</f>
        <v>0</v>
      </c>
      <c r="L18" s="39">
        <f>Table_KeHoach_ThuongNhanSu[[#Totals],[Tháng 9]]</f>
        <v>0</v>
      </c>
      <c r="M18" s="39">
        <f>Table_KeHoach_ThuongNhanSu[[#Totals],[Tháng 10]]</f>
        <v>0</v>
      </c>
      <c r="N18" s="39">
        <f>Table_KeHoach_ThuongNhanSu[[#Totals],[Tháng 11]]</f>
        <v>0</v>
      </c>
      <c r="O18" s="39">
        <f>Table_KeHoach_ThuongNhanSu[[#Totals],[Tháng 12]]</f>
        <v>0</v>
      </c>
      <c r="P18" s="65"/>
      <c r="Q18" s="21" t="s">
        <v>47</v>
      </c>
      <c r="R18" s="39"/>
      <c r="S18" s="39"/>
      <c r="T18" s="39"/>
      <c r="U18" s="39"/>
      <c r="V18" s="39"/>
      <c r="W18" s="39"/>
      <c r="Y18" s="21" t="s">
        <v>47</v>
      </c>
      <c r="Z18" s="39"/>
      <c r="AA18" s="39"/>
    </row>
    <row r="19" spans="2:27" ht="18" customHeight="1" outlineLevel="2" x14ac:dyDescent="0.3">
      <c r="B19" s="21" t="s">
        <v>48</v>
      </c>
      <c r="C19" s="38" t="e">
        <f>SUM(Table_KeHoach_TuDong[[#This Row],[Tháng 1]:[Tháng 12]])</f>
        <v>#N/A</v>
      </c>
      <c r="D19" s="39" t="e">
        <f>Table_KeHoach_ChiPhiThanhToan[[#Totals],[Tháng 1]]</f>
        <v>#N/A</v>
      </c>
      <c r="E19" s="39" t="e">
        <f>Table_KeHoach_ChiPhiThanhToan[[#Totals],[Tháng 2]]</f>
        <v>#N/A</v>
      </c>
      <c r="F19" s="39" t="e">
        <f>Table_KeHoach_ChiPhiThanhToan[[#Totals],[Tháng 3]]</f>
        <v>#N/A</v>
      </c>
      <c r="G19" s="39" t="e">
        <f>Table_KeHoach_ChiPhiThanhToan[[#Totals],[Tháng 4]]</f>
        <v>#N/A</v>
      </c>
      <c r="H19" s="39" t="e">
        <f>Table_KeHoach_ChiPhiThanhToan[[#Totals],[Tháng 5]]</f>
        <v>#N/A</v>
      </c>
      <c r="I19" s="39" t="e">
        <f>Table_KeHoach_ChiPhiThanhToan[[#Totals],[Tháng 6]]</f>
        <v>#N/A</v>
      </c>
      <c r="J19" s="39" t="e">
        <f>Table_KeHoach_ChiPhiThanhToan[[#Totals],[Tháng 7]]</f>
        <v>#N/A</v>
      </c>
      <c r="K19" s="39" t="e">
        <f>Table_KeHoach_ChiPhiThanhToan[[#Totals],[Tháng 8]]</f>
        <v>#N/A</v>
      </c>
      <c r="L19" s="39" t="e">
        <f>Table_KeHoach_ChiPhiThanhToan[[#Totals],[Tháng 9]]</f>
        <v>#N/A</v>
      </c>
      <c r="M19" s="39" t="e">
        <f>Table_KeHoach_ChiPhiThanhToan[[#Totals],[Tháng 10]]</f>
        <v>#N/A</v>
      </c>
      <c r="N19" s="39" t="e">
        <f>Table_KeHoach_ChiPhiThanhToan[[#Totals],[Tháng 11]]</f>
        <v>#N/A</v>
      </c>
      <c r="O19" s="39" t="e">
        <f>Table_KeHoach_ChiPhiThanhToan[[#Totals],[Tháng 12]]</f>
        <v>#N/A</v>
      </c>
      <c r="P19" s="39"/>
      <c r="Q19" s="21" t="s">
        <v>48</v>
      </c>
      <c r="R19" s="39"/>
      <c r="S19" s="39"/>
      <c r="T19" s="39"/>
      <c r="U19" s="39"/>
      <c r="V19" s="39"/>
      <c r="W19" s="39"/>
      <c r="Y19" s="21" t="s">
        <v>48</v>
      </c>
      <c r="Z19" s="39"/>
      <c r="AA19" s="39"/>
    </row>
    <row r="20" spans="2:27" ht="18" customHeight="1" outlineLevel="2" x14ac:dyDescent="0.3">
      <c r="B20" s="21" t="s">
        <v>49</v>
      </c>
      <c r="C20" s="38" t="e">
        <f>SUM(Table_KeHoach_TuDong[[#This Row],[Tháng 1]:[Tháng 12]])</f>
        <v>#N/A</v>
      </c>
      <c r="D20" s="38" t="e">
        <f>D117</f>
        <v>#N/A</v>
      </c>
      <c r="E20" s="38" t="e">
        <f t="shared" ref="E20:O20" si="17">E117</f>
        <v>#N/A</v>
      </c>
      <c r="F20" s="38" t="e">
        <f t="shared" si="17"/>
        <v>#N/A</v>
      </c>
      <c r="G20" s="38" t="e">
        <f t="shared" si="17"/>
        <v>#N/A</v>
      </c>
      <c r="H20" s="38" t="e">
        <f t="shared" si="17"/>
        <v>#N/A</v>
      </c>
      <c r="I20" s="38" t="e">
        <f t="shared" si="17"/>
        <v>#N/A</v>
      </c>
      <c r="J20" s="38" t="e">
        <f t="shared" si="17"/>
        <v>#N/A</v>
      </c>
      <c r="K20" s="38" t="e">
        <f t="shared" si="17"/>
        <v>#N/A</v>
      </c>
      <c r="L20" s="38" t="e">
        <f t="shared" si="17"/>
        <v>#N/A</v>
      </c>
      <c r="M20" s="38" t="e">
        <f t="shared" si="17"/>
        <v>#N/A</v>
      </c>
      <c r="N20" s="38" t="e">
        <f t="shared" si="17"/>
        <v>#N/A</v>
      </c>
      <c r="O20" s="38" t="e">
        <f t="shared" si="17"/>
        <v>#N/A</v>
      </c>
      <c r="P20" s="38"/>
      <c r="Q20" s="21" t="s">
        <v>49</v>
      </c>
      <c r="R20" s="38"/>
      <c r="S20" s="38"/>
      <c r="T20" s="38">
        <v>-30000000</v>
      </c>
      <c r="U20" s="38">
        <v>-40000000</v>
      </c>
      <c r="V20" s="38">
        <v>-50000000</v>
      </c>
      <c r="W20" s="38"/>
      <c r="Y20" s="21" t="s">
        <v>49</v>
      </c>
      <c r="Z20" s="38"/>
      <c r="AA20" s="38"/>
    </row>
    <row r="21" spans="2:27" ht="18" customHeight="1" outlineLevel="1" x14ac:dyDescent="0.3">
      <c r="B21" s="22" t="s">
        <v>18</v>
      </c>
      <c r="C21" s="35" t="e">
        <f>SUM(Table_KeHoach_TuDong[[#This Row],[Tháng 1]:[Tháng 12]])</f>
        <v>#N/A</v>
      </c>
      <c r="D21" s="35" t="e">
        <f t="shared" ref="D21:O21" si="18">+D11+D13</f>
        <v>#N/A</v>
      </c>
      <c r="E21" s="35" t="e">
        <f t="shared" si="18"/>
        <v>#N/A</v>
      </c>
      <c r="F21" s="35" t="e">
        <f t="shared" si="18"/>
        <v>#N/A</v>
      </c>
      <c r="G21" s="35" t="e">
        <f t="shared" si="18"/>
        <v>#N/A</v>
      </c>
      <c r="H21" s="35" t="e">
        <f t="shared" si="18"/>
        <v>#N/A</v>
      </c>
      <c r="I21" s="35" t="e">
        <f t="shared" si="18"/>
        <v>#N/A</v>
      </c>
      <c r="J21" s="35" t="e">
        <f t="shared" si="18"/>
        <v>#N/A</v>
      </c>
      <c r="K21" s="35" t="e">
        <f t="shared" si="18"/>
        <v>#N/A</v>
      </c>
      <c r="L21" s="35" t="e">
        <f t="shared" si="18"/>
        <v>#N/A</v>
      </c>
      <c r="M21" s="35" t="e">
        <f t="shared" si="18"/>
        <v>#N/A</v>
      </c>
      <c r="N21" s="35" t="e">
        <f t="shared" si="18"/>
        <v>#N/A</v>
      </c>
      <c r="O21" s="35" t="e">
        <f t="shared" si="18"/>
        <v>#N/A</v>
      </c>
      <c r="P21" s="35"/>
      <c r="Q21" s="22" t="s">
        <v>18</v>
      </c>
      <c r="R21" s="35"/>
      <c r="S21" s="35">
        <v>600000000</v>
      </c>
      <c r="T21" s="35">
        <v>1220000000</v>
      </c>
      <c r="U21" s="35">
        <v>1510000000</v>
      </c>
      <c r="V21" s="35">
        <v>1800000000</v>
      </c>
      <c r="W21" s="35">
        <f t="shared" ref="W21" si="19">+W11+W13</f>
        <v>0</v>
      </c>
      <c r="Y21" s="22" t="s">
        <v>18</v>
      </c>
      <c r="Z21" s="35"/>
      <c r="AA21" s="35"/>
    </row>
    <row r="22" spans="2:27" s="17" customFormat="1" ht="18" customHeight="1" outlineLevel="1" x14ac:dyDescent="0.3">
      <c r="B22" s="31" t="s">
        <v>50</v>
      </c>
      <c r="C22" s="40">
        <f t="shared" ref="C22:O22" si="20">IFERROR(C23/(C23+C13),0)</f>
        <v>0</v>
      </c>
      <c r="D22" s="40">
        <f t="shared" si="20"/>
        <v>0</v>
      </c>
      <c r="E22" s="40">
        <f t="shared" si="20"/>
        <v>0</v>
      </c>
      <c r="F22" s="40">
        <f t="shared" si="20"/>
        <v>0</v>
      </c>
      <c r="G22" s="40">
        <f t="shared" si="20"/>
        <v>0</v>
      </c>
      <c r="H22" s="40">
        <f t="shared" si="20"/>
        <v>0</v>
      </c>
      <c r="I22" s="40">
        <f t="shared" si="20"/>
        <v>0</v>
      </c>
      <c r="J22" s="40">
        <f t="shared" si="20"/>
        <v>0</v>
      </c>
      <c r="K22" s="40">
        <f t="shared" si="20"/>
        <v>0</v>
      </c>
      <c r="L22" s="40">
        <f t="shared" si="20"/>
        <v>0</v>
      </c>
      <c r="M22" s="40">
        <f t="shared" si="20"/>
        <v>0</v>
      </c>
      <c r="N22" s="40">
        <f t="shared" si="20"/>
        <v>0</v>
      </c>
      <c r="O22" s="40">
        <f t="shared" si="20"/>
        <v>0</v>
      </c>
      <c r="P22" s="40"/>
      <c r="Q22" s="31" t="s">
        <v>50</v>
      </c>
      <c r="R22" s="40"/>
      <c r="S22" s="40">
        <v>0.61165048543689315</v>
      </c>
      <c r="T22" s="40">
        <v>0.54385964912280704</v>
      </c>
      <c r="U22" s="40">
        <v>0.54897494305239181</v>
      </c>
      <c r="V22" s="40">
        <v>0.550561797752809</v>
      </c>
      <c r="W22" s="40">
        <f t="shared" ref="W22" si="21">IFERROR(W23/(W23+W13),0)</f>
        <v>0</v>
      </c>
      <c r="Y22" s="31" t="s">
        <v>50</v>
      </c>
      <c r="Z22" s="40"/>
      <c r="AA22" s="40"/>
    </row>
    <row r="23" spans="2:27" s="17" customFormat="1" ht="18" customHeight="1" outlineLevel="1" x14ac:dyDescent="0.3">
      <c r="B23" s="18" t="s">
        <v>19</v>
      </c>
      <c r="C23" s="34" t="e">
        <f>SUM(Table_KeHoach_TuDong[[#This Row],[Tháng 1]:[Tháng 12]])</f>
        <v>#N/A</v>
      </c>
      <c r="D23" s="34" t="e">
        <f t="shared" ref="D23:O23" si="22">+SUM(D24:D32)</f>
        <v>#N/A</v>
      </c>
      <c r="E23" s="34" t="e">
        <f t="shared" si="22"/>
        <v>#N/A</v>
      </c>
      <c r="F23" s="34" t="e">
        <f t="shared" si="22"/>
        <v>#N/A</v>
      </c>
      <c r="G23" s="34" t="e">
        <f t="shared" si="22"/>
        <v>#N/A</v>
      </c>
      <c r="H23" s="34" t="e">
        <f t="shared" si="22"/>
        <v>#N/A</v>
      </c>
      <c r="I23" s="34" t="e">
        <f t="shared" si="22"/>
        <v>#N/A</v>
      </c>
      <c r="J23" s="34" t="e">
        <f t="shared" si="22"/>
        <v>#N/A</v>
      </c>
      <c r="K23" s="34" t="e">
        <f t="shared" si="22"/>
        <v>#N/A</v>
      </c>
      <c r="L23" s="34" t="e">
        <f t="shared" si="22"/>
        <v>#N/A</v>
      </c>
      <c r="M23" s="34" t="e">
        <f t="shared" si="22"/>
        <v>#N/A</v>
      </c>
      <c r="N23" s="34" t="e">
        <f t="shared" si="22"/>
        <v>#N/A</v>
      </c>
      <c r="O23" s="34" t="e">
        <f t="shared" si="22"/>
        <v>#N/A</v>
      </c>
      <c r="P23" s="34"/>
      <c r="Q23" s="18" t="s">
        <v>19</v>
      </c>
      <c r="R23" s="34"/>
      <c r="S23" s="34">
        <v>-630000000</v>
      </c>
      <c r="T23" s="34">
        <v>-930000000</v>
      </c>
      <c r="U23" s="34">
        <v>-1205000000</v>
      </c>
      <c r="V23" s="34">
        <v>-1470000000</v>
      </c>
      <c r="W23" s="34">
        <f t="shared" ref="W23" si="23">+SUM(W24:W32)</f>
        <v>0</v>
      </c>
      <c r="Y23" s="18" t="s">
        <v>19</v>
      </c>
      <c r="Z23" s="34"/>
      <c r="AA23" s="34"/>
    </row>
    <row r="24" spans="2:27" s="32" customFormat="1" ht="18" customHeight="1" outlineLevel="2" x14ac:dyDescent="0.3">
      <c r="B24" s="21" t="s">
        <v>51</v>
      </c>
      <c r="C24" s="38" t="e">
        <f>SUM(Table_KeHoach_TuDong[[#This Row],[Tháng 1]:[Tháng 12]])</f>
        <v>#N/A</v>
      </c>
      <c r="D24" s="38" t="e">
        <f>Table_KeHoach_LuongGross[[#Totals],[Tháng 1]]</f>
        <v>#N/A</v>
      </c>
      <c r="E24" s="38" t="e">
        <f>Table_KeHoach_LuongGross[[#Totals],[Tháng 2]]</f>
        <v>#N/A</v>
      </c>
      <c r="F24" s="38" t="e">
        <f>Table_KeHoach_LuongGross[[#Totals],[Tháng 3]]</f>
        <v>#N/A</v>
      </c>
      <c r="G24" s="38" t="e">
        <f>Table_KeHoach_LuongGross[[#Totals],[Tháng 4]]</f>
        <v>#N/A</v>
      </c>
      <c r="H24" s="38" t="e">
        <f>Table_KeHoach_LuongGross[[#Totals],[Tháng 5]]</f>
        <v>#N/A</v>
      </c>
      <c r="I24" s="38" t="e">
        <f>Table_KeHoach_LuongGross[[#Totals],[Tháng 6]]</f>
        <v>#N/A</v>
      </c>
      <c r="J24" s="38" t="e">
        <f>Table_KeHoach_LuongGross[[#Totals],[Tháng 7]]</f>
        <v>#N/A</v>
      </c>
      <c r="K24" s="38" t="e">
        <f>Table_KeHoach_LuongGross[[#Totals],[Tháng 8]]</f>
        <v>#N/A</v>
      </c>
      <c r="L24" s="38" t="e">
        <f>Table_KeHoach_LuongGross[[#Totals],[Tháng 9]]</f>
        <v>#N/A</v>
      </c>
      <c r="M24" s="38" t="e">
        <f>Table_KeHoach_LuongGross[[#Totals],[Tháng 10]]</f>
        <v>#N/A</v>
      </c>
      <c r="N24" s="38" t="e">
        <f>Table_KeHoach_LuongGross[[#Totals],[Tháng 11]]</f>
        <v>#N/A</v>
      </c>
      <c r="O24" s="38" t="e">
        <f>Table_KeHoach_LuongGross[[#Totals],[Tháng 12]]</f>
        <v>#N/A</v>
      </c>
      <c r="P24" s="38"/>
      <c r="Q24" s="21" t="s">
        <v>51</v>
      </c>
      <c r="R24" s="38"/>
      <c r="S24" s="38">
        <v>-100000000</v>
      </c>
      <c r="T24" s="38">
        <v>-200000000</v>
      </c>
      <c r="U24" s="38">
        <v>-300000000</v>
      </c>
      <c r="V24" s="38">
        <v>-400000000</v>
      </c>
      <c r="W24" s="38"/>
      <c r="Y24" s="21" t="s">
        <v>51</v>
      </c>
      <c r="Z24" s="38"/>
      <c r="AA24" s="38"/>
    </row>
    <row r="25" spans="2:27" s="17" customFormat="1" ht="18" customHeight="1" outlineLevel="2" x14ac:dyDescent="0.3">
      <c r="B25" s="21" t="s">
        <v>52</v>
      </c>
      <c r="C25" s="38">
        <f>SUM(Table_KeHoach_TuDong[[#This Row],[Tháng 1]:[Tháng 12]])</f>
        <v>0</v>
      </c>
      <c r="D25" s="38">
        <f>Table_KeHoach_ChiPhiVatTuVP[[#Totals],[Tháng 1]]</f>
        <v>0</v>
      </c>
      <c r="E25" s="38">
        <f>Table_KeHoach_ChiPhiVatTuVP[[#Totals],[Tháng 2]]</f>
        <v>0</v>
      </c>
      <c r="F25" s="38">
        <f>Table_KeHoach_ChiPhiVatTuVP[[#Totals],[Tháng 3]]</f>
        <v>0</v>
      </c>
      <c r="G25" s="38">
        <f>Table_KeHoach_ChiPhiVatTuVP[[#Totals],[Tháng 4]]</f>
        <v>0</v>
      </c>
      <c r="H25" s="38">
        <f>Table_KeHoach_ChiPhiVatTuVP[[#Totals],[Tháng 5]]</f>
        <v>0</v>
      </c>
      <c r="I25" s="38">
        <f>Table_KeHoach_ChiPhiVatTuVP[[#Totals],[Tháng 6]]</f>
        <v>0</v>
      </c>
      <c r="J25" s="38">
        <f>Table_KeHoach_ChiPhiVatTuVP[[#Totals],[Tháng 7]]</f>
        <v>0</v>
      </c>
      <c r="K25" s="38">
        <f>Table_KeHoach_ChiPhiVatTuVP[[#Totals],[Tháng 8]]</f>
        <v>0</v>
      </c>
      <c r="L25" s="38">
        <f>Table_KeHoach_ChiPhiVatTuVP[[#Totals],[Tháng 9]]</f>
        <v>0</v>
      </c>
      <c r="M25" s="38">
        <f>Table_KeHoach_ChiPhiVatTuVP[[#Totals],[Tháng 10]]</f>
        <v>0</v>
      </c>
      <c r="N25" s="38">
        <f>Table_KeHoach_ChiPhiVatTuVP[[#Totals],[Tháng 11]]</f>
        <v>0</v>
      </c>
      <c r="O25" s="38">
        <f>Table_KeHoach_ChiPhiVatTuVP[[#Totals],[Tháng 12]]</f>
        <v>0</v>
      </c>
      <c r="P25" s="64"/>
      <c r="Q25" s="21" t="s">
        <v>52</v>
      </c>
      <c r="R25" s="38"/>
      <c r="S25" s="38">
        <v>-30000000</v>
      </c>
      <c r="T25" s="38">
        <v>-40000000</v>
      </c>
      <c r="U25" s="38">
        <v>-45000000</v>
      </c>
      <c r="V25" s="38">
        <v>-50000000</v>
      </c>
      <c r="W25" s="38"/>
      <c r="Y25" s="21" t="s">
        <v>52</v>
      </c>
      <c r="Z25" s="38"/>
      <c r="AA25" s="38"/>
    </row>
    <row r="26" spans="2:27" ht="18" customHeight="1" outlineLevel="2" x14ac:dyDescent="0.3">
      <c r="B26" s="21" t="s">
        <v>98</v>
      </c>
      <c r="C26" s="38">
        <f>SUM(Table_KeHoach_TuDong[[#This Row],[Tháng 1]:[Tháng 12]])</f>
        <v>0</v>
      </c>
      <c r="D26" s="79">
        <f t="shared" ref="D26:O26" si="24">+D135</f>
        <v>0</v>
      </c>
      <c r="E26" s="79">
        <f t="shared" si="24"/>
        <v>0</v>
      </c>
      <c r="F26" s="79">
        <f t="shared" si="24"/>
        <v>0</v>
      </c>
      <c r="G26" s="79">
        <f t="shared" si="24"/>
        <v>0</v>
      </c>
      <c r="H26" s="79">
        <f t="shared" si="24"/>
        <v>0</v>
      </c>
      <c r="I26" s="79">
        <f t="shared" si="24"/>
        <v>0</v>
      </c>
      <c r="J26" s="79">
        <f t="shared" si="24"/>
        <v>0</v>
      </c>
      <c r="K26" s="79">
        <f t="shared" si="24"/>
        <v>0</v>
      </c>
      <c r="L26" s="79">
        <f t="shared" si="24"/>
        <v>0</v>
      </c>
      <c r="M26" s="79">
        <f t="shared" si="24"/>
        <v>0</v>
      </c>
      <c r="N26" s="79">
        <f t="shared" si="24"/>
        <v>0</v>
      </c>
      <c r="O26" s="79">
        <f t="shared" si="24"/>
        <v>0</v>
      </c>
      <c r="P26" s="79"/>
      <c r="Q26" s="21" t="s">
        <v>98</v>
      </c>
      <c r="R26" s="79"/>
      <c r="S26" s="79"/>
      <c r="T26" s="79"/>
      <c r="U26" s="79"/>
      <c r="V26" s="79"/>
      <c r="W26" s="79"/>
      <c r="Y26" s="21" t="s">
        <v>98</v>
      </c>
      <c r="Z26" s="79"/>
      <c r="AA26" s="79"/>
    </row>
    <row r="27" spans="2:27" ht="18" customHeight="1" outlineLevel="2" x14ac:dyDescent="0.3">
      <c r="B27" s="21" t="s">
        <v>53</v>
      </c>
      <c r="C27" s="38">
        <f>SUM(Table_KeHoach_TuDong[[#This Row],[Tháng 1]:[Tháng 12]])</f>
        <v>0</v>
      </c>
      <c r="D27" s="38">
        <f t="shared" ref="D27:O27" si="25">+SUM(D136:D137)</f>
        <v>0</v>
      </c>
      <c r="E27" s="38">
        <f t="shared" si="25"/>
        <v>0</v>
      </c>
      <c r="F27" s="38">
        <f t="shared" si="25"/>
        <v>0</v>
      </c>
      <c r="G27" s="38">
        <f t="shared" si="25"/>
        <v>0</v>
      </c>
      <c r="H27" s="38">
        <f t="shared" si="25"/>
        <v>0</v>
      </c>
      <c r="I27" s="38">
        <f t="shared" si="25"/>
        <v>0</v>
      </c>
      <c r="J27" s="38">
        <f t="shared" si="25"/>
        <v>0</v>
      </c>
      <c r="K27" s="38">
        <f t="shared" si="25"/>
        <v>0</v>
      </c>
      <c r="L27" s="38">
        <f t="shared" si="25"/>
        <v>0</v>
      </c>
      <c r="M27" s="38">
        <f t="shared" si="25"/>
        <v>0</v>
      </c>
      <c r="N27" s="38">
        <f t="shared" si="25"/>
        <v>0</v>
      </c>
      <c r="O27" s="38">
        <f t="shared" si="25"/>
        <v>0</v>
      </c>
      <c r="P27" s="64"/>
      <c r="Q27" s="21" t="s">
        <v>53</v>
      </c>
      <c r="R27" s="38"/>
      <c r="S27" s="38">
        <v>-50000000</v>
      </c>
      <c r="T27" s="38">
        <v>-100000000</v>
      </c>
      <c r="U27" s="38">
        <v>-200000000</v>
      </c>
      <c r="V27" s="38">
        <v>-300000000</v>
      </c>
      <c r="W27" s="38"/>
      <c r="Y27" s="21" t="s">
        <v>53</v>
      </c>
      <c r="Z27" s="38"/>
      <c r="AA27" s="38"/>
    </row>
    <row r="28" spans="2:27" ht="18" customHeight="1" outlineLevel="2" x14ac:dyDescent="0.3">
      <c r="B28" s="21" t="s">
        <v>54</v>
      </c>
      <c r="C28" s="38">
        <f>SUM(Table_KeHoach_TuDong[[#This Row],[Tháng 1]:[Tháng 12]])</f>
        <v>0</v>
      </c>
      <c r="D28" s="38">
        <f>Table_KeHoach_ChiPhiKhac[[#Totals],[Tháng 1]]</f>
        <v>0</v>
      </c>
      <c r="E28" s="38">
        <f>Table_KeHoach_ChiPhiKhac[[#Totals],[Tháng 2]]</f>
        <v>0</v>
      </c>
      <c r="F28" s="38">
        <f>Table_KeHoach_ChiPhiKhac[[#Totals],[Tháng 3]]</f>
        <v>0</v>
      </c>
      <c r="G28" s="38">
        <f>Table_KeHoach_ChiPhiKhac[[#Totals],[Tháng 4]]</f>
        <v>0</v>
      </c>
      <c r="H28" s="38">
        <f>Table_KeHoach_ChiPhiKhac[[#Totals],[Tháng 5]]</f>
        <v>0</v>
      </c>
      <c r="I28" s="38">
        <f>Table_KeHoach_ChiPhiKhac[[#Totals],[Tháng 6]]</f>
        <v>0</v>
      </c>
      <c r="J28" s="38">
        <f>Table_KeHoach_ChiPhiKhac[[#Totals],[Tháng 7]]</f>
        <v>0</v>
      </c>
      <c r="K28" s="38">
        <f>Table_KeHoach_ChiPhiKhac[[#Totals],[Tháng 8]]</f>
        <v>0</v>
      </c>
      <c r="L28" s="38">
        <f>Table_KeHoach_ChiPhiKhac[[#Totals],[Tháng 9]]</f>
        <v>0</v>
      </c>
      <c r="M28" s="38">
        <f>Table_KeHoach_ChiPhiKhac[[#Totals],[Tháng 10]]</f>
        <v>0</v>
      </c>
      <c r="N28" s="38">
        <f>Table_KeHoach_ChiPhiKhac[[#Totals],[Tháng 11]]</f>
        <v>0</v>
      </c>
      <c r="O28" s="38">
        <f>Table_KeHoach_ChiPhiKhac[[#Totals],[Tháng 12]]</f>
        <v>0</v>
      </c>
      <c r="P28" s="64"/>
      <c r="Q28" s="21" t="s">
        <v>54</v>
      </c>
      <c r="R28" s="38"/>
      <c r="S28" s="38">
        <v>-100000000</v>
      </c>
      <c r="T28" s="38">
        <v>-150000000</v>
      </c>
      <c r="U28" s="38">
        <v>-200000000</v>
      </c>
      <c r="V28" s="38">
        <v>-250000000</v>
      </c>
      <c r="W28" s="38"/>
      <c r="Y28" s="21" t="s">
        <v>54</v>
      </c>
      <c r="Z28" s="38"/>
      <c r="AA28" s="38"/>
    </row>
    <row r="29" spans="2:27" s="14" customFormat="1" ht="18" customHeight="1" outlineLevel="2" x14ac:dyDescent="0.3">
      <c r="B29" s="21" t="s">
        <v>55</v>
      </c>
      <c r="C29" s="38">
        <f>SUM(Table_KeHoach_TuDong[[#This Row],[Tháng 1]:[Tháng 12]])</f>
        <v>0</v>
      </c>
      <c r="D29" s="38">
        <f t="shared" ref="D29:O29" si="26">+D147</f>
        <v>0</v>
      </c>
      <c r="E29" s="38">
        <f t="shared" si="26"/>
        <v>0</v>
      </c>
      <c r="F29" s="38">
        <f t="shared" si="26"/>
        <v>0</v>
      </c>
      <c r="G29" s="38">
        <f t="shared" si="26"/>
        <v>0</v>
      </c>
      <c r="H29" s="38">
        <f t="shared" si="26"/>
        <v>0</v>
      </c>
      <c r="I29" s="38">
        <f t="shared" si="26"/>
        <v>0</v>
      </c>
      <c r="J29" s="38">
        <f t="shared" si="26"/>
        <v>0</v>
      </c>
      <c r="K29" s="38">
        <f t="shared" si="26"/>
        <v>0</v>
      </c>
      <c r="L29" s="38">
        <f t="shared" si="26"/>
        <v>0</v>
      </c>
      <c r="M29" s="38">
        <f t="shared" si="26"/>
        <v>0</v>
      </c>
      <c r="N29" s="38">
        <f t="shared" si="26"/>
        <v>0</v>
      </c>
      <c r="O29" s="38">
        <f t="shared" si="26"/>
        <v>0</v>
      </c>
      <c r="P29" s="64"/>
      <c r="Q29" s="21" t="s">
        <v>55</v>
      </c>
      <c r="R29" s="38"/>
      <c r="S29" s="38">
        <v>-200000000</v>
      </c>
      <c r="T29" s="38">
        <v>-200000000</v>
      </c>
      <c r="U29" s="38">
        <v>-200000000</v>
      </c>
      <c r="V29" s="38">
        <v>-200000000</v>
      </c>
      <c r="W29" s="38"/>
      <c r="Y29" s="21" t="s">
        <v>55</v>
      </c>
      <c r="Z29" s="38"/>
      <c r="AA29" s="38"/>
    </row>
    <row r="30" spans="2:27" ht="18" customHeight="1" outlineLevel="2" x14ac:dyDescent="0.3">
      <c r="B30" s="21" t="s">
        <v>56</v>
      </c>
      <c r="C30" s="38">
        <f>SUM(Table_KeHoach_TuDong[[#This Row],[Tháng 1]:[Tháng 12]])</f>
        <v>0</v>
      </c>
      <c r="D30" s="38">
        <f t="shared" ref="D30:O30" si="27">+D148</f>
        <v>0</v>
      </c>
      <c r="E30" s="38">
        <f t="shared" si="27"/>
        <v>0</v>
      </c>
      <c r="F30" s="38">
        <f t="shared" si="27"/>
        <v>0</v>
      </c>
      <c r="G30" s="38">
        <f t="shared" si="27"/>
        <v>0</v>
      </c>
      <c r="H30" s="38">
        <f t="shared" si="27"/>
        <v>0</v>
      </c>
      <c r="I30" s="38">
        <f t="shared" si="27"/>
        <v>0</v>
      </c>
      <c r="J30" s="38">
        <f t="shared" si="27"/>
        <v>0</v>
      </c>
      <c r="K30" s="38">
        <f t="shared" si="27"/>
        <v>0</v>
      </c>
      <c r="L30" s="38">
        <f t="shared" si="27"/>
        <v>0</v>
      </c>
      <c r="M30" s="38">
        <f t="shared" si="27"/>
        <v>0</v>
      </c>
      <c r="N30" s="38">
        <f t="shared" si="27"/>
        <v>0</v>
      </c>
      <c r="O30" s="38">
        <f t="shared" si="27"/>
        <v>0</v>
      </c>
      <c r="P30" s="64"/>
      <c r="Q30" s="21" t="s">
        <v>56</v>
      </c>
      <c r="R30" s="38"/>
      <c r="S30" s="38">
        <v>-100000000</v>
      </c>
      <c r="T30" s="38">
        <v>-90000000</v>
      </c>
      <c r="U30" s="38">
        <v>-80000000</v>
      </c>
      <c r="V30" s="38">
        <v>-70000000</v>
      </c>
      <c r="W30" s="38"/>
      <c r="Y30" s="21" t="s">
        <v>56</v>
      </c>
      <c r="Z30" s="38"/>
      <c r="AA30" s="38"/>
    </row>
    <row r="31" spans="2:27" ht="18" customHeight="1" outlineLevel="2" x14ac:dyDescent="0.3">
      <c r="B31" s="21" t="s">
        <v>58</v>
      </c>
      <c r="C31" s="38" t="e">
        <f>SUM(Table_KeHoach_TuDong[[#This Row],[Tháng 1]:[Tháng 12]])</f>
        <v>#N/A</v>
      </c>
      <c r="D31" s="38" t="e">
        <f>+Table_KeHoach_ThuePhi[[#Totals],[Tháng 1]]</f>
        <v>#N/A</v>
      </c>
      <c r="E31" s="38" t="e">
        <f>+Table_KeHoach_ThuePhi[[#Totals],[Tháng 2]]</f>
        <v>#N/A</v>
      </c>
      <c r="F31" s="38" t="e">
        <f>+Table_KeHoach_ThuePhi[[#Totals],[Tháng 3]]</f>
        <v>#N/A</v>
      </c>
      <c r="G31" s="38" t="e">
        <f>+Table_KeHoach_ThuePhi[[#Totals],[Tháng 4]]</f>
        <v>#N/A</v>
      </c>
      <c r="H31" s="38" t="e">
        <f>+Table_KeHoach_ThuePhi[[#Totals],[Tháng 5]]</f>
        <v>#N/A</v>
      </c>
      <c r="I31" s="38" t="e">
        <f>+Table_KeHoach_ThuePhi[[#Totals],[Tháng 6]]</f>
        <v>#N/A</v>
      </c>
      <c r="J31" s="38" t="e">
        <f>+Table_KeHoach_ThuePhi[[#Totals],[Tháng 7]]</f>
        <v>#N/A</v>
      </c>
      <c r="K31" s="38" t="e">
        <f>+Table_KeHoach_ThuePhi[[#Totals],[Tháng 8]]</f>
        <v>#N/A</v>
      </c>
      <c r="L31" s="38" t="e">
        <f>+Table_KeHoach_ThuePhi[[#Totals],[Tháng 9]]</f>
        <v>#N/A</v>
      </c>
      <c r="M31" s="38" t="e">
        <f>+Table_KeHoach_ThuePhi[[#Totals],[Tháng 10]]</f>
        <v>#N/A</v>
      </c>
      <c r="N31" s="38" t="e">
        <f>+Table_KeHoach_ThuePhi[[#Totals],[Tháng 11]]</f>
        <v>#N/A</v>
      </c>
      <c r="O31" s="38" t="e">
        <f>+Table_KeHoach_ThuePhi[[#Totals],[Tháng 12]]</f>
        <v>#N/A</v>
      </c>
      <c r="P31" s="64"/>
      <c r="Q31" s="21" t="s">
        <v>58</v>
      </c>
      <c r="R31" s="38"/>
      <c r="S31" s="38">
        <v>-50000000</v>
      </c>
      <c r="T31" s="38">
        <v>-150000000</v>
      </c>
      <c r="U31" s="38">
        <v>-180000000</v>
      </c>
      <c r="V31" s="38">
        <v>-200000000</v>
      </c>
      <c r="W31" s="38"/>
      <c r="Y31" s="21" t="s">
        <v>58</v>
      </c>
      <c r="Z31" s="38"/>
      <c r="AA31" s="38"/>
    </row>
    <row r="32" spans="2:27" ht="18" customHeight="1" outlineLevel="2" x14ac:dyDescent="0.3">
      <c r="B32" s="21" t="s">
        <v>57</v>
      </c>
      <c r="C32" s="38">
        <f>SUM(Table_KeHoach_TuDong[[#This Row],[Tháng 1]:[Tháng 12]])</f>
        <v>0</v>
      </c>
      <c r="D32" s="38">
        <f>+Table_KeHoach_CPKhac[[#Totals],[Tháng 1]]</f>
        <v>0</v>
      </c>
      <c r="E32" s="38">
        <f>+Table_KeHoach_CPKhac[[#Totals],[Tháng 2]]</f>
        <v>0</v>
      </c>
      <c r="F32" s="38">
        <f>+Table_KeHoach_CPKhac[[#Totals],[Tháng 3]]</f>
        <v>0</v>
      </c>
      <c r="G32" s="38">
        <f>+Table_KeHoach_CPKhac[[#Totals],[Tháng 4]]</f>
        <v>0</v>
      </c>
      <c r="H32" s="38">
        <f>+Table_KeHoach_CPKhac[[#Totals],[Tháng 5]]</f>
        <v>0</v>
      </c>
      <c r="I32" s="38">
        <f>+Table_KeHoach_CPKhac[[#Totals],[Tháng 6]]</f>
        <v>0</v>
      </c>
      <c r="J32" s="38">
        <f>+Table_KeHoach_CPKhac[[#Totals],[Tháng 7]]</f>
        <v>0</v>
      </c>
      <c r="K32" s="38">
        <f>+Table_KeHoach_CPKhac[[#Totals],[Tháng 8]]</f>
        <v>0</v>
      </c>
      <c r="L32" s="38">
        <f>+Table_KeHoach_CPKhac[[#Totals],[Tháng 9]]</f>
        <v>0</v>
      </c>
      <c r="M32" s="38">
        <f>+Table_KeHoach_CPKhac[[#Totals],[Tháng 10]]</f>
        <v>0</v>
      </c>
      <c r="N32" s="38">
        <f>+Table_KeHoach_CPKhac[[#Totals],[Tháng 11]]</f>
        <v>0</v>
      </c>
      <c r="O32" s="38">
        <f>+Table_KeHoach_CPKhac[[#Totals],[Tháng 12]]</f>
        <v>0</v>
      </c>
      <c r="P32" s="64"/>
      <c r="Q32" s="21" t="s">
        <v>57</v>
      </c>
      <c r="R32" s="38"/>
      <c r="S32" s="38"/>
      <c r="T32" s="38"/>
      <c r="U32" s="38"/>
      <c r="V32" s="38"/>
      <c r="W32" s="38"/>
      <c r="Y32" s="21" t="s">
        <v>57</v>
      </c>
      <c r="Z32" s="38"/>
      <c r="AA32" s="38"/>
    </row>
    <row r="33" spans="2:27" ht="18" customHeight="1" outlineLevel="1" x14ac:dyDescent="0.3">
      <c r="B33" s="28" t="s">
        <v>59</v>
      </c>
      <c r="C33" s="36" t="e">
        <f t="shared" ref="C33:O33" si="28">+C21+C23</f>
        <v>#N/A</v>
      </c>
      <c r="D33" s="36" t="e">
        <f t="shared" si="28"/>
        <v>#N/A</v>
      </c>
      <c r="E33" s="36" t="e">
        <f t="shared" si="28"/>
        <v>#N/A</v>
      </c>
      <c r="F33" s="36" t="e">
        <f t="shared" si="28"/>
        <v>#N/A</v>
      </c>
      <c r="G33" s="36" t="e">
        <f t="shared" si="28"/>
        <v>#N/A</v>
      </c>
      <c r="H33" s="36" t="e">
        <f t="shared" si="28"/>
        <v>#N/A</v>
      </c>
      <c r="I33" s="36" t="e">
        <f t="shared" si="28"/>
        <v>#N/A</v>
      </c>
      <c r="J33" s="36" t="e">
        <f t="shared" si="28"/>
        <v>#N/A</v>
      </c>
      <c r="K33" s="36" t="e">
        <f t="shared" si="28"/>
        <v>#N/A</v>
      </c>
      <c r="L33" s="36" t="e">
        <f t="shared" si="28"/>
        <v>#N/A</v>
      </c>
      <c r="M33" s="36" t="e">
        <f t="shared" si="28"/>
        <v>#N/A</v>
      </c>
      <c r="N33" s="36" t="e">
        <f t="shared" si="28"/>
        <v>#N/A</v>
      </c>
      <c r="O33" s="36" t="e">
        <f t="shared" si="28"/>
        <v>#N/A</v>
      </c>
      <c r="P33" s="36"/>
      <c r="Q33" s="28" t="s">
        <v>59</v>
      </c>
      <c r="R33" s="36"/>
      <c r="S33" s="36">
        <v>-30000000</v>
      </c>
      <c r="T33" s="36">
        <v>290000000</v>
      </c>
      <c r="U33" s="36">
        <v>305000000</v>
      </c>
      <c r="V33" s="36">
        <v>330000000</v>
      </c>
      <c r="W33" s="36">
        <f t="shared" ref="W33" si="29">+W21+W23</f>
        <v>0</v>
      </c>
      <c r="Y33" s="28" t="s">
        <v>59</v>
      </c>
      <c r="Z33" s="36"/>
      <c r="AA33" s="36"/>
    </row>
    <row r="34" spans="2:27" s="17" customFormat="1" ht="18" customHeight="1" outlineLevel="1" x14ac:dyDescent="0.3">
      <c r="B34" s="44" t="s">
        <v>20</v>
      </c>
      <c r="C34" s="45" t="e">
        <f>+C35+C37</f>
        <v>#N/A</v>
      </c>
      <c r="D34" s="45" t="e">
        <f t="shared" ref="D34:O34" si="30">+D35+D37</f>
        <v>#N/A</v>
      </c>
      <c r="E34" s="45" t="e">
        <f t="shared" si="30"/>
        <v>#N/A</v>
      </c>
      <c r="F34" s="45" t="e">
        <f t="shared" si="30"/>
        <v>#N/A</v>
      </c>
      <c r="G34" s="45" t="e">
        <f t="shared" si="30"/>
        <v>#N/A</v>
      </c>
      <c r="H34" s="45" t="e">
        <f t="shared" si="30"/>
        <v>#N/A</v>
      </c>
      <c r="I34" s="45" t="e">
        <f t="shared" si="30"/>
        <v>#N/A</v>
      </c>
      <c r="J34" s="45" t="e">
        <f t="shared" si="30"/>
        <v>#N/A</v>
      </c>
      <c r="K34" s="45" t="e">
        <f t="shared" si="30"/>
        <v>#N/A</v>
      </c>
      <c r="L34" s="45" t="e">
        <f t="shared" si="30"/>
        <v>#N/A</v>
      </c>
      <c r="M34" s="45" t="e">
        <f t="shared" si="30"/>
        <v>#N/A</v>
      </c>
      <c r="N34" s="45" t="e">
        <f>+N35+N37</f>
        <v>#N/A</v>
      </c>
      <c r="O34" s="45" t="e">
        <f t="shared" si="30"/>
        <v>#N/A</v>
      </c>
      <c r="P34" s="41"/>
      <c r="Q34" s="44" t="s">
        <v>20</v>
      </c>
      <c r="R34" s="45"/>
      <c r="S34" s="45">
        <v>150000000</v>
      </c>
      <c r="T34" s="45">
        <v>430000000</v>
      </c>
      <c r="U34" s="45">
        <v>405000000</v>
      </c>
      <c r="V34" s="45">
        <v>380000000</v>
      </c>
      <c r="W34" s="45">
        <f t="shared" ref="W34" si="31">+W35+W37</f>
        <v>0</v>
      </c>
      <c r="Y34" s="44" t="s">
        <v>20</v>
      </c>
      <c r="Z34" s="45"/>
      <c r="AA34" s="45"/>
    </row>
    <row r="35" spans="2:27" s="17" customFormat="1" ht="18" customHeight="1" outlineLevel="2" x14ac:dyDescent="0.3">
      <c r="B35" s="18" t="s">
        <v>60</v>
      </c>
      <c r="C35" s="34" t="e">
        <f t="shared" ref="C35:O35" si="32">C11*(1-C36)</f>
        <v>#N/A</v>
      </c>
      <c r="D35" s="34" t="e">
        <f t="shared" si="32"/>
        <v>#N/A</v>
      </c>
      <c r="E35" s="34" t="e">
        <f t="shared" si="32"/>
        <v>#N/A</v>
      </c>
      <c r="F35" s="34" t="e">
        <f t="shared" si="32"/>
        <v>#N/A</v>
      </c>
      <c r="G35" s="34" t="e">
        <f t="shared" si="32"/>
        <v>#N/A</v>
      </c>
      <c r="H35" s="34" t="e">
        <f t="shared" si="32"/>
        <v>#N/A</v>
      </c>
      <c r="I35" s="34" t="e">
        <f t="shared" si="32"/>
        <v>#N/A</v>
      </c>
      <c r="J35" s="34" t="e">
        <f t="shared" si="32"/>
        <v>#N/A</v>
      </c>
      <c r="K35" s="34" t="e">
        <f t="shared" si="32"/>
        <v>#N/A</v>
      </c>
      <c r="L35" s="34" t="e">
        <f t="shared" si="32"/>
        <v>#N/A</v>
      </c>
      <c r="M35" s="34" t="e">
        <f t="shared" si="32"/>
        <v>#N/A</v>
      </c>
      <c r="N35" s="34" t="e">
        <f t="shared" si="32"/>
        <v>#N/A</v>
      </c>
      <c r="O35" s="34" t="e">
        <f t="shared" si="32"/>
        <v>#N/A</v>
      </c>
      <c r="P35" s="45"/>
      <c r="Q35" s="18" t="s">
        <v>60</v>
      </c>
      <c r="R35" s="34"/>
      <c r="S35" s="34">
        <v>980000000</v>
      </c>
      <c r="T35" s="34">
        <v>1940000000</v>
      </c>
      <c r="U35" s="34">
        <v>2400000000</v>
      </c>
      <c r="V35" s="34">
        <v>2850000000</v>
      </c>
      <c r="W35" s="34"/>
      <c r="Y35" s="18" t="s">
        <v>60</v>
      </c>
      <c r="Z35" s="34"/>
      <c r="AA35" s="34"/>
    </row>
    <row r="36" spans="2:27" s="17" customFormat="1" ht="18" customHeight="1" outlineLevel="2" x14ac:dyDescent="0.3">
      <c r="B36" s="31" t="s">
        <v>21</v>
      </c>
      <c r="C36" s="42"/>
      <c r="D36" s="42" cm="1">
        <f t="array" ref="D36">+Table_KeHoach_TyLeNo[Tháng 1]</f>
        <v>0</v>
      </c>
      <c r="E36" s="42" cm="1">
        <f t="array" ref="E36">+Table_KeHoach_TyLeNo[Tháng 1]</f>
        <v>0</v>
      </c>
      <c r="F36" s="42" cm="1">
        <f t="array" ref="F36">+Table_KeHoach_TyLeNo[Tháng 1]</f>
        <v>0</v>
      </c>
      <c r="G36" s="42" cm="1">
        <f t="array" ref="G36">+Table_KeHoach_TyLeNo[Tháng 1]</f>
        <v>0</v>
      </c>
      <c r="H36" s="42" cm="1">
        <f t="array" ref="H36">+Table_KeHoach_TyLeNo[Tháng 1]</f>
        <v>0</v>
      </c>
      <c r="I36" s="42" cm="1">
        <f t="array" ref="I36">+Table_KeHoach_TyLeNo[Tháng 1]</f>
        <v>0</v>
      </c>
      <c r="J36" s="42" cm="1">
        <f t="array" ref="J36">+Table_KeHoach_TyLeNo[Tháng 1]</f>
        <v>0</v>
      </c>
      <c r="K36" s="42" cm="1">
        <f t="array" ref="K36">+Table_KeHoach_TyLeNo[Tháng 1]</f>
        <v>0</v>
      </c>
      <c r="L36" s="42" cm="1">
        <f t="array" ref="L36">+Table_KeHoach_TyLeNo[Tháng 1]</f>
        <v>0</v>
      </c>
      <c r="M36" s="42" cm="1">
        <f t="array" ref="M36">+Table_KeHoach_TyLeNo[Tháng 1]</f>
        <v>0</v>
      </c>
      <c r="N36" s="42" cm="1">
        <f t="array" ref="N36">+Table_KeHoach_TyLeNo[Tháng 1]</f>
        <v>0</v>
      </c>
      <c r="O36" s="42" cm="1">
        <f t="array" ref="O36">+Table_KeHoach_TyLeNo[Tháng 1]</f>
        <v>0</v>
      </c>
      <c r="P36" s="34"/>
      <c r="Q36" s="31" t="s">
        <v>21</v>
      </c>
      <c r="R36" s="42"/>
      <c r="S36" s="42">
        <v>0.98</v>
      </c>
      <c r="T36" s="42">
        <v>0.97</v>
      </c>
      <c r="U36" s="42">
        <v>0.96</v>
      </c>
      <c r="V36" s="42">
        <v>0.95</v>
      </c>
      <c r="W36" s="42"/>
      <c r="Y36" s="31" t="s">
        <v>21</v>
      </c>
      <c r="Z36" s="42"/>
      <c r="AA36" s="42"/>
    </row>
    <row r="37" spans="2:27" s="17" customFormat="1" ht="18" customHeight="1" outlineLevel="2" x14ac:dyDescent="0.3">
      <c r="B37" s="43" t="s">
        <v>61</v>
      </c>
      <c r="C37" s="34" t="e">
        <f t="shared" ref="C37:O37" si="33">+C13+C23-C29</f>
        <v>#N/A</v>
      </c>
      <c r="D37" s="34" t="e">
        <f t="shared" si="33"/>
        <v>#N/A</v>
      </c>
      <c r="E37" s="34" t="e">
        <f t="shared" si="33"/>
        <v>#N/A</v>
      </c>
      <c r="F37" s="34" t="e">
        <f t="shared" si="33"/>
        <v>#N/A</v>
      </c>
      <c r="G37" s="34" t="e">
        <f t="shared" si="33"/>
        <v>#N/A</v>
      </c>
      <c r="H37" s="34" t="e">
        <f t="shared" si="33"/>
        <v>#N/A</v>
      </c>
      <c r="I37" s="34" t="e">
        <f t="shared" si="33"/>
        <v>#N/A</v>
      </c>
      <c r="J37" s="34" t="e">
        <f t="shared" si="33"/>
        <v>#N/A</v>
      </c>
      <c r="K37" s="34" t="e">
        <f t="shared" si="33"/>
        <v>#N/A</v>
      </c>
      <c r="L37" s="34" t="e">
        <f t="shared" si="33"/>
        <v>#N/A</v>
      </c>
      <c r="M37" s="34" t="e">
        <f t="shared" si="33"/>
        <v>#N/A</v>
      </c>
      <c r="N37" s="34" t="e">
        <f t="shared" si="33"/>
        <v>#N/A</v>
      </c>
      <c r="O37" s="34" t="e">
        <f t="shared" si="33"/>
        <v>#N/A</v>
      </c>
      <c r="P37" s="42"/>
      <c r="Q37" s="43" t="s">
        <v>61</v>
      </c>
      <c r="R37" s="34"/>
      <c r="S37" s="34">
        <v>-830000000</v>
      </c>
      <c r="T37" s="34">
        <v>-1510000000</v>
      </c>
      <c r="U37" s="34">
        <v>-1995000000</v>
      </c>
      <c r="V37" s="34">
        <v>-2470000000</v>
      </c>
      <c r="W37" s="34">
        <f t="shared" ref="W37" si="34">+W13+W23-W29</f>
        <v>0</v>
      </c>
      <c r="Y37" s="43" t="s">
        <v>61</v>
      </c>
      <c r="Z37" s="34"/>
      <c r="AA37" s="34"/>
    </row>
    <row r="38" spans="2:27" s="17" customFormat="1" ht="18" customHeight="1" outlineLevel="1" x14ac:dyDescent="0.3">
      <c r="B38" s="22" t="s">
        <v>62</v>
      </c>
      <c r="C38" s="35">
        <f t="shared" ref="C38:O38" si="35">+SUM(C39:C41)</f>
        <v>0</v>
      </c>
      <c r="D38" s="35">
        <f t="shared" si="35"/>
        <v>0</v>
      </c>
      <c r="E38" s="35">
        <f t="shared" si="35"/>
        <v>0</v>
      </c>
      <c r="F38" s="35">
        <f t="shared" si="35"/>
        <v>0</v>
      </c>
      <c r="G38" s="35">
        <f t="shared" si="35"/>
        <v>0</v>
      </c>
      <c r="H38" s="35">
        <f t="shared" si="35"/>
        <v>0</v>
      </c>
      <c r="I38" s="35">
        <f t="shared" si="35"/>
        <v>0</v>
      </c>
      <c r="J38" s="35">
        <f t="shared" si="35"/>
        <v>0</v>
      </c>
      <c r="K38" s="35">
        <f t="shared" si="35"/>
        <v>0</v>
      </c>
      <c r="L38" s="35">
        <f t="shared" si="35"/>
        <v>0</v>
      </c>
      <c r="M38" s="35">
        <f t="shared" si="35"/>
        <v>0</v>
      </c>
      <c r="N38" s="35">
        <f t="shared" si="35"/>
        <v>0</v>
      </c>
      <c r="O38" s="35">
        <f t="shared" si="35"/>
        <v>0</v>
      </c>
      <c r="P38" s="34"/>
      <c r="Q38" s="22" t="s">
        <v>62</v>
      </c>
      <c r="R38" s="35"/>
      <c r="S38" s="35">
        <v>-4200000000</v>
      </c>
      <c r="T38" s="35">
        <v>-190000000</v>
      </c>
      <c r="U38" s="35">
        <v>-180000000</v>
      </c>
      <c r="V38" s="35">
        <v>-170000000</v>
      </c>
      <c r="W38" s="35">
        <f t="shared" ref="W38" si="36">+SUM(W39:W41)</f>
        <v>0</v>
      </c>
      <c r="Y38" s="22" t="s">
        <v>62</v>
      </c>
      <c r="Z38" s="35"/>
      <c r="AA38" s="35"/>
    </row>
    <row r="39" spans="2:27" s="17" customFormat="1" ht="18" customHeight="1" outlineLevel="2" x14ac:dyDescent="0.3">
      <c r="B39" s="21" t="s">
        <v>63</v>
      </c>
      <c r="C39" s="38">
        <f>SUM(Table_KeHoach_TuDong[[#This Row],[Tháng 1]:[Tháng 12]])</f>
        <v>0</v>
      </c>
      <c r="D39" s="38">
        <f t="shared" ref="D39:O39" si="37">+D148+D149</f>
        <v>0</v>
      </c>
      <c r="E39" s="38">
        <f t="shared" si="37"/>
        <v>0</v>
      </c>
      <c r="F39" s="38">
        <f t="shared" si="37"/>
        <v>0</v>
      </c>
      <c r="G39" s="38">
        <f t="shared" si="37"/>
        <v>0</v>
      </c>
      <c r="H39" s="38">
        <f t="shared" si="37"/>
        <v>0</v>
      </c>
      <c r="I39" s="38">
        <f t="shared" si="37"/>
        <v>0</v>
      </c>
      <c r="J39" s="38">
        <f t="shared" si="37"/>
        <v>0</v>
      </c>
      <c r="K39" s="38">
        <f t="shared" si="37"/>
        <v>0</v>
      </c>
      <c r="L39" s="38">
        <f t="shared" si="37"/>
        <v>0</v>
      </c>
      <c r="M39" s="38">
        <f t="shared" si="37"/>
        <v>0</v>
      </c>
      <c r="N39" s="38">
        <f t="shared" si="37"/>
        <v>0</v>
      </c>
      <c r="O39" s="38">
        <f t="shared" si="37"/>
        <v>0</v>
      </c>
      <c r="P39" s="66"/>
      <c r="Q39" s="21" t="s">
        <v>63</v>
      </c>
      <c r="R39" s="38"/>
      <c r="S39" s="38">
        <v>-200000000</v>
      </c>
      <c r="T39" s="38">
        <v>-190000000</v>
      </c>
      <c r="U39" s="38">
        <v>-180000000</v>
      </c>
      <c r="V39" s="38">
        <v>-170000000</v>
      </c>
      <c r="W39" s="38"/>
      <c r="Y39" s="21" t="s">
        <v>63</v>
      </c>
      <c r="Z39" s="38"/>
      <c r="AA39" s="38"/>
    </row>
    <row r="40" spans="2:27" s="17" customFormat="1" ht="18" customHeight="1" outlineLevel="2" x14ac:dyDescent="0.3">
      <c r="B40" s="21" t="s">
        <v>64</v>
      </c>
      <c r="C40" s="38">
        <f>SUM(Table_KeHoach_TuDong[[#This Row],[Tháng 1]:[Tháng 12]])</f>
        <v>0</v>
      </c>
      <c r="D40" s="38">
        <f>+Table_KeHoach_TSCD[[#Totals],[Tháng 1]]</f>
        <v>0</v>
      </c>
      <c r="E40" s="38">
        <f>+Table_KeHoach_TSCD[[#Totals],[Tháng 2]]</f>
        <v>0</v>
      </c>
      <c r="F40" s="38">
        <f>+Table_KeHoach_TSCD[[#Totals],[Tháng 3]]</f>
        <v>0</v>
      </c>
      <c r="G40" s="38">
        <f>+Table_KeHoach_TSCD[[#Totals],[Tháng 4]]</f>
        <v>0</v>
      </c>
      <c r="H40" s="38">
        <f>+Table_KeHoach_TSCD[[#Totals],[Tháng 5]]</f>
        <v>0</v>
      </c>
      <c r="I40" s="38">
        <f>+Table_KeHoach_TSCD[[#Totals],[Tháng 6]]</f>
        <v>0</v>
      </c>
      <c r="J40" s="38">
        <f>+Table_KeHoach_TSCD[[#Totals],[Tháng 7]]</f>
        <v>0</v>
      </c>
      <c r="K40" s="38">
        <f>+Table_KeHoach_TSCD[[#Totals],[Tháng 8]]</f>
        <v>0</v>
      </c>
      <c r="L40" s="38">
        <f>+Table_KeHoach_TSCD[[#Totals],[Tháng 9]]</f>
        <v>0</v>
      </c>
      <c r="M40" s="38">
        <f>+Table_KeHoach_TSCD[[#Totals],[Tháng 10]]</f>
        <v>0</v>
      </c>
      <c r="N40" s="38">
        <f>+Table_KeHoach_TSCD[[#Totals],[Tháng 11]]</f>
        <v>0</v>
      </c>
      <c r="O40" s="38">
        <f>+Table_KeHoach_TSCD[[#Totals],[Tháng 12]]</f>
        <v>0</v>
      </c>
      <c r="P40" s="64"/>
      <c r="Q40" s="21" t="s">
        <v>64</v>
      </c>
      <c r="R40" s="38"/>
      <c r="S40" s="38">
        <v>-4000000000</v>
      </c>
      <c r="T40" s="38"/>
      <c r="U40" s="38"/>
      <c r="V40" s="38"/>
      <c r="W40" s="38"/>
      <c r="Y40" s="21" t="s">
        <v>64</v>
      </c>
      <c r="Z40" s="38"/>
      <c r="AA40" s="38"/>
    </row>
    <row r="41" spans="2:27" s="17" customFormat="1" ht="18" customHeight="1" outlineLevel="2" x14ac:dyDescent="0.3">
      <c r="B41" s="21" t="s">
        <v>65</v>
      </c>
      <c r="C41" s="38">
        <f>SUM(Table_KeHoach_TuDong[[#This Row],[Tháng 1]:[Tháng 12]])</f>
        <v>0</v>
      </c>
      <c r="D41" s="38">
        <f>+Table_KeHoach_DTTC[[#Totals],[Tháng 1]]</f>
        <v>0</v>
      </c>
      <c r="E41" s="38">
        <f>+Table_KeHoach_DTTC[[#Totals],[Tháng 2]]</f>
        <v>0</v>
      </c>
      <c r="F41" s="38">
        <f>+Table_KeHoach_DTTC[[#Totals],[Tháng 3]]</f>
        <v>0</v>
      </c>
      <c r="G41" s="38">
        <f>+Table_KeHoach_DTTC[[#Totals],[Tháng 4]]</f>
        <v>0</v>
      </c>
      <c r="H41" s="38">
        <f>+Table_KeHoach_DTTC[[#Totals],[Tháng 5]]</f>
        <v>0</v>
      </c>
      <c r="I41" s="38">
        <f>+Table_KeHoach_DTTC[[#Totals],[Tháng 6]]</f>
        <v>0</v>
      </c>
      <c r="J41" s="38">
        <f>+Table_KeHoach_DTTC[[#Totals],[Tháng 7]]</f>
        <v>0</v>
      </c>
      <c r="K41" s="38">
        <f>+Table_KeHoach_DTTC[[#Totals],[Tháng 8]]</f>
        <v>0</v>
      </c>
      <c r="L41" s="38">
        <f>+Table_KeHoach_DTTC[[#Totals],[Tháng 9]]</f>
        <v>0</v>
      </c>
      <c r="M41" s="38">
        <f>+Table_KeHoach_DTTC[[#Totals],[Tháng 10]]</f>
        <v>0</v>
      </c>
      <c r="N41" s="38">
        <f>+Table_KeHoach_DTTC[[#Totals],[Tháng 11]]</f>
        <v>0</v>
      </c>
      <c r="O41" s="38">
        <f>+Table_KeHoach_DTTC[[#Totals],[Tháng 12]]</f>
        <v>0</v>
      </c>
      <c r="P41" s="64"/>
      <c r="Q41" s="21" t="s">
        <v>65</v>
      </c>
      <c r="R41" s="38"/>
      <c r="S41" s="38"/>
      <c r="T41" s="38"/>
      <c r="U41" s="38"/>
      <c r="V41" s="38"/>
      <c r="W41" s="38"/>
      <c r="Y41" s="21" t="s">
        <v>65</v>
      </c>
      <c r="Z41" s="38"/>
      <c r="AA41" s="38"/>
    </row>
    <row r="42" spans="2:27" s="17" customFormat="1" ht="18" customHeight="1" outlineLevel="1" x14ac:dyDescent="0.3">
      <c r="B42" s="28" t="s">
        <v>66</v>
      </c>
      <c r="C42" s="36" t="e">
        <f t="shared" ref="C42:O42" si="38">+C34+C39</f>
        <v>#N/A</v>
      </c>
      <c r="D42" s="36" t="e">
        <f t="shared" si="38"/>
        <v>#N/A</v>
      </c>
      <c r="E42" s="36" t="e">
        <f t="shared" si="38"/>
        <v>#N/A</v>
      </c>
      <c r="F42" s="36" t="e">
        <f t="shared" si="38"/>
        <v>#N/A</v>
      </c>
      <c r="G42" s="36" t="e">
        <f t="shared" si="38"/>
        <v>#N/A</v>
      </c>
      <c r="H42" s="36" t="e">
        <f t="shared" si="38"/>
        <v>#N/A</v>
      </c>
      <c r="I42" s="36" t="e">
        <f t="shared" si="38"/>
        <v>#N/A</v>
      </c>
      <c r="J42" s="36" t="e">
        <f t="shared" si="38"/>
        <v>#N/A</v>
      </c>
      <c r="K42" s="36" t="e">
        <f t="shared" si="38"/>
        <v>#N/A</v>
      </c>
      <c r="L42" s="36" t="e">
        <f t="shared" si="38"/>
        <v>#N/A</v>
      </c>
      <c r="M42" s="36" t="e">
        <f t="shared" si="38"/>
        <v>#N/A</v>
      </c>
      <c r="N42" s="36" t="e">
        <f t="shared" si="38"/>
        <v>#N/A</v>
      </c>
      <c r="O42" s="36" t="e">
        <f t="shared" si="38"/>
        <v>#N/A</v>
      </c>
      <c r="P42" s="64"/>
      <c r="Q42" s="28" t="s">
        <v>66</v>
      </c>
      <c r="R42" s="36"/>
      <c r="S42" s="36">
        <v>-50000000</v>
      </c>
      <c r="T42" s="36">
        <v>240000000</v>
      </c>
      <c r="U42" s="36">
        <v>225000000</v>
      </c>
      <c r="V42" s="36">
        <v>210000000</v>
      </c>
      <c r="W42" s="36">
        <f t="shared" ref="W42" si="39">+W34+W39</f>
        <v>0</v>
      </c>
      <c r="Y42" s="28" t="s">
        <v>66</v>
      </c>
      <c r="Z42" s="36"/>
      <c r="AA42" s="36"/>
    </row>
    <row r="43" spans="2:27" s="17" customFormat="1" ht="18" customHeight="1" outlineLevel="2" x14ac:dyDescent="0.3">
      <c r="B43" s="21" t="s">
        <v>67</v>
      </c>
      <c r="C43" s="34">
        <f>SUM(Table_KeHoach_TuDong[[#This Row],[Tháng 1]:[Tháng 12]])</f>
        <v>0</v>
      </c>
      <c r="D43" s="38">
        <f>+Table_KeHoach_LaiDTTC[[#Totals],[Tháng 1]]</f>
        <v>0</v>
      </c>
      <c r="E43" s="38">
        <f>+Table_KeHoach_LaiDTTC[[#Totals],[Tháng 2]]</f>
        <v>0</v>
      </c>
      <c r="F43" s="38">
        <f>+Table_KeHoach_LaiDTTC[[#Totals],[Tháng 3]]</f>
        <v>0</v>
      </c>
      <c r="G43" s="38">
        <f>+Table_KeHoach_LaiDTTC[[#Totals],[Tháng 4]]</f>
        <v>0</v>
      </c>
      <c r="H43" s="38">
        <f>+Table_KeHoach_LaiDTTC[[#Totals],[Tháng 5]]</f>
        <v>0</v>
      </c>
      <c r="I43" s="38">
        <f>+Table_KeHoach_LaiDTTC[[#Totals],[Tháng 6]]</f>
        <v>0</v>
      </c>
      <c r="J43" s="38">
        <f>+Table_KeHoach_LaiDTTC[[#Totals],[Tháng 7]]</f>
        <v>0</v>
      </c>
      <c r="K43" s="38">
        <f>+Table_KeHoach_LaiDTTC[[#Totals],[Tháng 8]]</f>
        <v>0</v>
      </c>
      <c r="L43" s="38">
        <f>+Table_KeHoach_LaiDTTC[[#Totals],[Tháng 9]]</f>
        <v>0</v>
      </c>
      <c r="M43" s="38">
        <f>+Table_KeHoach_LaiDTTC[[#Totals],[Tháng 10]]</f>
        <v>0</v>
      </c>
      <c r="N43" s="38">
        <f>+Table_KeHoach_LaiDTTC[[#Totals],[Tháng 11]]</f>
        <v>0</v>
      </c>
      <c r="O43" s="38">
        <f>+Table_KeHoach_LaiDTTC[[#Totals],[Tháng 12]]</f>
        <v>0</v>
      </c>
      <c r="P43" s="36"/>
      <c r="Q43" s="21" t="s">
        <v>67</v>
      </c>
      <c r="R43" s="38"/>
      <c r="S43" s="38"/>
      <c r="T43" s="38"/>
      <c r="U43" s="38"/>
      <c r="V43" s="38"/>
      <c r="W43" s="38"/>
      <c r="Y43" s="21" t="s">
        <v>67</v>
      </c>
      <c r="Z43" s="38"/>
      <c r="AA43" s="38"/>
    </row>
    <row r="44" spans="2:27" s="17" customFormat="1" ht="18" customHeight="1" outlineLevel="2" x14ac:dyDescent="0.3">
      <c r="B44" s="21" t="s">
        <v>22</v>
      </c>
      <c r="C44" s="34">
        <f>SUM(Table_KeHoach_TuDong[[#This Row],[Tháng 1]:[Tháng 12]])</f>
        <v>0</v>
      </c>
      <c r="D44" s="38">
        <f>+Table_KeHoach_VonVay[[#Totals],[Tháng 1]]</f>
        <v>0</v>
      </c>
      <c r="E44" s="38">
        <f>+Table_KeHoach_VonVay[[#Totals],[Tháng 2]]</f>
        <v>0</v>
      </c>
      <c r="F44" s="38">
        <f>+Table_KeHoach_VonVay[[#Totals],[Tháng 3]]</f>
        <v>0</v>
      </c>
      <c r="G44" s="38">
        <f>+Table_KeHoach_VonVay[[#Totals],[Tháng 4]]</f>
        <v>0</v>
      </c>
      <c r="H44" s="38">
        <f>+Table_KeHoach_VonVay[[#Totals],[Tháng 5]]</f>
        <v>0</v>
      </c>
      <c r="I44" s="38">
        <f>+Table_KeHoach_VonVay[[#Totals],[Tháng 6]]</f>
        <v>0</v>
      </c>
      <c r="J44" s="38">
        <f>+Table_KeHoach_VonVay[[#Totals],[Tháng 7]]</f>
        <v>0</v>
      </c>
      <c r="K44" s="38">
        <f>+Table_KeHoach_VonVay[[#Totals],[Tháng 8]]</f>
        <v>0</v>
      </c>
      <c r="L44" s="38">
        <f>+Table_KeHoach_VonVay[[#Totals],[Tháng 9]]</f>
        <v>0</v>
      </c>
      <c r="M44" s="38">
        <f>+Table_KeHoach_VonVay[[#Totals],[Tháng 10]]</f>
        <v>0</v>
      </c>
      <c r="N44" s="38">
        <f>+Table_KeHoach_VonVay[[#Totals],[Tháng 11]]</f>
        <v>0</v>
      </c>
      <c r="O44" s="38">
        <f>+Table_KeHoach_VonVay[[#Totals],[Tháng 12]]</f>
        <v>0</v>
      </c>
      <c r="P44" s="46"/>
      <c r="Q44" s="21" t="s">
        <v>22</v>
      </c>
      <c r="R44" s="38"/>
      <c r="S44" s="38">
        <v>1000000000</v>
      </c>
      <c r="T44" s="38"/>
      <c r="U44" s="38"/>
      <c r="V44" s="38"/>
      <c r="W44" s="38"/>
      <c r="Y44" s="21" t="s">
        <v>22</v>
      </c>
      <c r="Z44" s="38"/>
      <c r="AA44" s="38"/>
    </row>
    <row r="45" spans="2:27" s="17" customFormat="1" ht="18" customHeight="1" outlineLevel="2" x14ac:dyDescent="0.3">
      <c r="B45" s="21" t="s">
        <v>68</v>
      </c>
      <c r="C45" s="34">
        <f>SUM(Table_KeHoach_TuDong[[#This Row],[Tháng 1]:[Tháng 12]])</f>
        <v>0</v>
      </c>
      <c r="D45" s="38">
        <f>+Table_KeHoach_VonGop[[#Totals],[Tháng 1]]</f>
        <v>0</v>
      </c>
      <c r="E45" s="38">
        <f>+Table_KeHoach_VonGop[[#Totals],[Tháng 2]]</f>
        <v>0</v>
      </c>
      <c r="F45" s="38">
        <f>+Table_KeHoach_VonGop[[#Totals],[Tháng 3]]</f>
        <v>0</v>
      </c>
      <c r="G45" s="38">
        <f>+Table_KeHoach_VonGop[[#Totals],[Tháng 4]]</f>
        <v>0</v>
      </c>
      <c r="H45" s="38">
        <f>+Table_KeHoach_VonGop[[#Totals],[Tháng 5]]</f>
        <v>0</v>
      </c>
      <c r="I45" s="38">
        <f>+Table_KeHoach_VonGop[[#Totals],[Tháng 6]]</f>
        <v>0</v>
      </c>
      <c r="J45" s="38">
        <f>+Table_KeHoach_VonGop[[#Totals],[Tháng 7]]</f>
        <v>0</v>
      </c>
      <c r="K45" s="38">
        <f>+Table_KeHoach_VonGop[[#Totals],[Tháng 8]]</f>
        <v>0</v>
      </c>
      <c r="L45" s="38">
        <f>+Table_KeHoach_VonGop[[#Totals],[Tháng 9]]</f>
        <v>0</v>
      </c>
      <c r="M45" s="38">
        <f>+Table_KeHoach_VonGop[[#Totals],[Tháng 10]]</f>
        <v>0</v>
      </c>
      <c r="N45" s="38">
        <f>+Table_KeHoach_VonGop[[#Totals],[Tháng 11]]</f>
        <v>0</v>
      </c>
      <c r="O45" s="38">
        <f>+Table_KeHoach_VonGop[[#Totals],[Tháng 12]]</f>
        <v>0</v>
      </c>
      <c r="P45" s="35"/>
      <c r="Q45" s="21" t="s">
        <v>68</v>
      </c>
      <c r="R45" s="38"/>
      <c r="S45" s="38">
        <v>4000000000</v>
      </c>
      <c r="T45" s="38"/>
      <c r="U45" s="38"/>
      <c r="V45" s="38"/>
      <c r="W45" s="38"/>
      <c r="Y45" s="21" t="s">
        <v>68</v>
      </c>
      <c r="Z45" s="38"/>
      <c r="AA45" s="38"/>
    </row>
    <row r="46" spans="2:27" ht="18" customHeight="1" outlineLevel="2" x14ac:dyDescent="0.3">
      <c r="B46" s="21" t="s">
        <v>23</v>
      </c>
      <c r="C46" s="38">
        <f>SUM(Table_KeHoach_TuDong[[#This Row],[Tháng 1]:[Tháng 12]])</f>
        <v>0</v>
      </c>
      <c r="D46" s="38"/>
      <c r="E46" s="38"/>
      <c r="F46" s="38"/>
      <c r="G46" s="38"/>
      <c r="H46" s="38"/>
      <c r="I46" s="38"/>
      <c r="J46" s="38"/>
      <c r="K46" s="38"/>
      <c r="L46" s="38"/>
      <c r="M46" s="38"/>
      <c r="N46" s="38"/>
      <c r="O46" s="38"/>
      <c r="P46" s="63"/>
      <c r="Q46" s="21" t="s">
        <v>23</v>
      </c>
      <c r="R46" s="38"/>
      <c r="S46" s="38"/>
      <c r="T46" s="38"/>
      <c r="U46" s="38"/>
      <c r="V46" s="38"/>
      <c r="W46" s="38"/>
      <c r="Y46" s="21" t="s">
        <v>23</v>
      </c>
      <c r="Z46" s="38"/>
      <c r="AA46" s="38"/>
    </row>
    <row r="47" spans="2:27" s="17" customFormat="1" ht="18" customHeight="1" outlineLevel="1" x14ac:dyDescent="0.3">
      <c r="B47" s="28" t="s">
        <v>69</v>
      </c>
      <c r="C47" s="89"/>
      <c r="D47" s="36" t="e">
        <f>$C$47+SUM($D$42:D42)+SUM($D$40:D41)+SUM($D$43:D45)+SUM($D$46:D46)</f>
        <v>#N/A</v>
      </c>
      <c r="E47" s="36" t="e">
        <f>$C$47+SUM($D$42:E42)+SUM($D$40:E41)+SUM($D$43:E45)+SUM($D$46:E46)</f>
        <v>#N/A</v>
      </c>
      <c r="F47" s="36" t="e">
        <f>$C$47+SUM($D$42:F42)+SUM($D$40:F41)+SUM($D$43:F45)+SUM($D$46:F46)</f>
        <v>#N/A</v>
      </c>
      <c r="G47" s="36" t="e">
        <f>$C$47+SUM($D$42:G42)+SUM($D$40:G41)+SUM($D$43:G45)+SUM($D$46:G46)</f>
        <v>#N/A</v>
      </c>
      <c r="H47" s="36" t="e">
        <f>$C$47+SUM($D$42:H42)+SUM($D$40:H41)+SUM($D$43:H45)+SUM($D$46:H46)</f>
        <v>#N/A</v>
      </c>
      <c r="I47" s="36" t="e">
        <f>$C$47+SUM($D$42:I42)+SUM($D$40:I41)+SUM($D$43:I45)+SUM($D$46:I46)</f>
        <v>#N/A</v>
      </c>
      <c r="J47" s="36" t="e">
        <f>$C$47+SUM($D$42:J42)+SUM($D$40:J41)+SUM($D$43:J45)+SUM($D$46:J46)</f>
        <v>#N/A</v>
      </c>
      <c r="K47" s="36" t="e">
        <f>$C$47+SUM($D$42:K42)+SUM($D$40:K41)+SUM($D$43:K45)+SUM($D$46:K46)</f>
        <v>#N/A</v>
      </c>
      <c r="L47" s="36" t="e">
        <f>$C$47+SUM($D$42:L42)+SUM($D$40:L41)+SUM($D$43:L45)+SUM($D$46:L46)</f>
        <v>#N/A</v>
      </c>
      <c r="M47" s="36" t="e">
        <f>$C$47+SUM($D$42:M42)+SUM($D$40:M41)+SUM($D$43:M45)+SUM($D$46:M46)</f>
        <v>#N/A</v>
      </c>
      <c r="N47" s="36" t="e">
        <f>$C$47+SUM($D$42:N42)+SUM($D$40:N41)+SUM($D$43:N45)+SUM($D$46:N46)</f>
        <v>#N/A</v>
      </c>
      <c r="O47" s="36" t="e">
        <f>$C$47+SUM($D$42:O42)+SUM($D$40:O41)+SUM($D$43:O45)+SUM($D$46:O46)</f>
        <v>#N/A</v>
      </c>
      <c r="P47" s="63"/>
      <c r="Q47" s="28" t="s">
        <v>124</v>
      </c>
      <c r="R47" s="36">
        <f>+R35+R37+SUM(R39:R41)+SUM(R43:R44)</f>
        <v>0</v>
      </c>
      <c r="S47" s="36">
        <v>-3050000000</v>
      </c>
      <c r="T47" s="36">
        <v>240000000</v>
      </c>
      <c r="U47" s="36">
        <v>225000000</v>
      </c>
      <c r="V47" s="36">
        <v>210000000</v>
      </c>
      <c r="W47" s="36" cm="1">
        <f t="array" ref="W47">INDEX(Table_KeHoach_Nam[#All],42,
COUNTA(Table_KeHoach_Nam[#Headers])-1)/R3</f>
        <v>7000000000</v>
      </c>
      <c r="Y47" s="28" t="s">
        <v>69</v>
      </c>
      <c r="Z47" s="36"/>
      <c r="AA47" s="36"/>
    </row>
    <row r="48" spans="2:27" s="17" customFormat="1" ht="18" customHeight="1" x14ac:dyDescent="0.3">
      <c r="B48" s="2"/>
      <c r="C48" s="10"/>
      <c r="D48" s="2"/>
      <c r="E48" s="2"/>
      <c r="F48" s="2"/>
      <c r="G48" s="2"/>
      <c r="H48" s="2"/>
      <c r="I48" s="2"/>
      <c r="J48" s="2"/>
      <c r="K48" s="2"/>
      <c r="L48" s="2"/>
      <c r="M48" s="2"/>
      <c r="N48" s="2"/>
      <c r="O48" s="2"/>
      <c r="P48" s="63"/>
      <c r="Q48" s="3"/>
      <c r="R48" s="3"/>
      <c r="S48" s="3"/>
      <c r="T48" s="3"/>
      <c r="U48" s="3"/>
      <c r="V48" s="3"/>
      <c r="W48" s="3"/>
      <c r="Y48" s="2"/>
      <c r="Z48" s="2"/>
    </row>
    <row r="49" spans="2:29" s="17" customFormat="1" ht="18" customHeight="1" x14ac:dyDescent="0.3">
      <c r="B49" s="2" t="s">
        <v>128</v>
      </c>
      <c r="C49" s="10"/>
      <c r="D49" s="2"/>
      <c r="E49" s="2"/>
      <c r="F49" s="2"/>
      <c r="G49" s="2"/>
      <c r="H49" s="2"/>
      <c r="I49" s="2"/>
      <c r="J49" s="2"/>
      <c r="K49" s="2"/>
      <c r="L49" s="2"/>
      <c r="M49" s="2"/>
      <c r="N49" s="2"/>
      <c r="O49" s="2"/>
      <c r="P49" s="63"/>
      <c r="Q49" s="3"/>
      <c r="R49" s="3"/>
      <c r="S49" s="3"/>
      <c r="T49" s="3"/>
      <c r="U49" s="3"/>
      <c r="V49" s="3"/>
      <c r="W49" s="3"/>
      <c r="Y49" s="2"/>
      <c r="Z49" s="2"/>
    </row>
    <row r="50" spans="2:29" ht="18" customHeight="1" x14ac:dyDescent="0.3">
      <c r="B50" s="90" t="s">
        <v>71</v>
      </c>
      <c r="C50" s="90" t="s">
        <v>70</v>
      </c>
      <c r="D50" s="90" t="s">
        <v>28</v>
      </c>
      <c r="E50" s="90" t="s">
        <v>29</v>
      </c>
      <c r="F50" s="90" t="s">
        <v>30</v>
      </c>
      <c r="G50" s="90" t="s">
        <v>31</v>
      </c>
      <c r="H50" s="90" t="s">
        <v>32</v>
      </c>
      <c r="I50" s="90" t="s">
        <v>33</v>
      </c>
      <c r="J50" s="90" t="s">
        <v>34</v>
      </c>
      <c r="K50" s="90" t="s">
        <v>35</v>
      </c>
      <c r="L50" s="90" t="s">
        <v>36</v>
      </c>
      <c r="M50" s="90" t="s">
        <v>37</v>
      </c>
      <c r="N50" s="90" t="s">
        <v>38</v>
      </c>
      <c r="O50" s="90" t="s">
        <v>39</v>
      </c>
      <c r="Y50" s="3"/>
      <c r="Z50" s="3"/>
      <c r="AA50" s="3"/>
    </row>
    <row r="51" spans="2:29" s="17" customFormat="1" ht="18" customHeight="1" x14ac:dyDescent="0.3">
      <c r="B51" s="4"/>
      <c r="C51" s="4"/>
      <c r="D51" s="4"/>
      <c r="E51" s="4"/>
      <c r="F51" s="4"/>
      <c r="G51" s="4"/>
      <c r="H51" s="4"/>
      <c r="I51" s="4"/>
      <c r="J51" s="4"/>
      <c r="K51" s="4"/>
      <c r="L51" s="4"/>
      <c r="M51" s="4"/>
      <c r="N51" s="4"/>
      <c r="O51" s="4"/>
      <c r="P51" s="5"/>
      <c r="Q51" s="2"/>
      <c r="R51" s="2"/>
      <c r="S51" s="2"/>
      <c r="T51" s="2"/>
      <c r="U51" s="2"/>
      <c r="V51" s="2"/>
      <c r="W51" s="2"/>
      <c r="Y51" s="2"/>
      <c r="Z51" s="2"/>
      <c r="AA51" s="2"/>
    </row>
    <row r="52" spans="2:29" s="91" customFormat="1" ht="18" customHeight="1" x14ac:dyDescent="0.3">
      <c r="B52" s="7" t="s">
        <v>14</v>
      </c>
      <c r="C52" s="7"/>
      <c r="D52" s="7">
        <f>SUM(Table_KeHoach_SanLuong[Tháng 1])</f>
        <v>0</v>
      </c>
      <c r="E52" s="7">
        <f>SUM(Table_KeHoach_SanLuong[Tháng 2])</f>
        <v>0</v>
      </c>
      <c r="F52" s="7">
        <f>SUM(Table_KeHoach_SanLuong[Tháng 3])</f>
        <v>0</v>
      </c>
      <c r="G52" s="7">
        <f>SUM(Table_KeHoach_SanLuong[Tháng 4])</f>
        <v>0</v>
      </c>
      <c r="H52" s="7">
        <f>SUM(Table_KeHoach_SanLuong[Tháng 5])</f>
        <v>0</v>
      </c>
      <c r="I52" s="7">
        <f>SUM(Table_KeHoach_SanLuong[Tháng 6])</f>
        <v>0</v>
      </c>
      <c r="J52" s="7">
        <f>SUM(Table_KeHoach_SanLuong[Tháng 7])</f>
        <v>0</v>
      </c>
      <c r="K52" s="7">
        <f>SUM(Table_KeHoach_SanLuong[Tháng 8])</f>
        <v>0</v>
      </c>
      <c r="L52" s="7">
        <f>SUM(Table_KeHoach_SanLuong[Tháng 9])</f>
        <v>0</v>
      </c>
      <c r="M52" s="7">
        <f>SUM(Table_KeHoach_SanLuong[Tháng 10])</f>
        <v>0</v>
      </c>
      <c r="N52" s="7">
        <f>SUM(Table_KeHoach_SanLuong[Tháng 11])</f>
        <v>0</v>
      </c>
      <c r="O52" s="7">
        <f>SUM(Table_KeHoach_SanLuong[Tháng 12])</f>
        <v>0</v>
      </c>
      <c r="P52" s="48"/>
      <c r="W52" s="92"/>
      <c r="Y52" s="11"/>
      <c r="Z52" s="11"/>
      <c r="AA52" s="11"/>
    </row>
    <row r="53" spans="2:29" s="17" customFormat="1" ht="18" customHeight="1" x14ac:dyDescent="0.3">
      <c r="B53" s="2"/>
      <c r="C53" s="9"/>
      <c r="D53" s="2"/>
      <c r="E53" s="2"/>
      <c r="F53" s="2"/>
      <c r="G53" s="2"/>
      <c r="H53" s="2"/>
      <c r="I53" s="2"/>
      <c r="J53" s="2"/>
      <c r="K53" s="2"/>
      <c r="L53" s="2"/>
      <c r="M53" s="2"/>
      <c r="N53" s="2"/>
      <c r="O53" s="2"/>
      <c r="P53" s="48"/>
      <c r="W53" s="3"/>
      <c r="Y53" s="2"/>
      <c r="Z53" s="2"/>
      <c r="AA53" s="2"/>
    </row>
    <row r="54" spans="2:29" s="17" customFormat="1" ht="18" customHeight="1" x14ac:dyDescent="0.3">
      <c r="B54" s="2" t="s">
        <v>129</v>
      </c>
      <c r="C54" s="10"/>
      <c r="D54" s="2"/>
      <c r="E54" s="2"/>
      <c r="F54" s="2"/>
      <c r="G54" s="2"/>
      <c r="H54" s="2"/>
      <c r="I54" s="2"/>
      <c r="J54" s="2"/>
      <c r="K54" s="2"/>
      <c r="L54" s="2"/>
      <c r="M54" s="2"/>
      <c r="N54" s="2"/>
      <c r="O54" s="2"/>
      <c r="P54" s="2"/>
      <c r="Q54" s="2"/>
      <c r="R54" s="2"/>
      <c r="S54" s="2"/>
      <c r="T54" s="2"/>
      <c r="U54" s="2"/>
      <c r="V54" s="2"/>
      <c r="W54" s="2"/>
      <c r="X54" s="3"/>
      <c r="Y54" s="2"/>
      <c r="Z54" s="2"/>
      <c r="AB54" s="3"/>
    </row>
    <row r="55" spans="2:29" s="17" customFormat="1" ht="18" customHeight="1" x14ac:dyDescent="0.3">
      <c r="B55" s="4" t="s">
        <v>72</v>
      </c>
      <c r="C55" s="90" t="s">
        <v>70</v>
      </c>
      <c r="D55" s="90" t="s">
        <v>28</v>
      </c>
      <c r="E55" s="90" t="s">
        <v>29</v>
      </c>
      <c r="F55" s="90" t="s">
        <v>30</v>
      </c>
      <c r="G55" s="90" t="s">
        <v>31</v>
      </c>
      <c r="H55" s="90" t="s">
        <v>32</v>
      </c>
      <c r="I55" s="90" t="s">
        <v>33</v>
      </c>
      <c r="J55" s="90" t="s">
        <v>34</v>
      </c>
      <c r="K55" s="90" t="s">
        <v>35</v>
      </c>
      <c r="L55" s="90" t="s">
        <v>36</v>
      </c>
      <c r="M55" s="90" t="s">
        <v>37</v>
      </c>
      <c r="N55" s="90" t="s">
        <v>38</v>
      </c>
      <c r="O55" s="90" t="s">
        <v>39</v>
      </c>
      <c r="P55" s="5"/>
      <c r="Q55" s="2"/>
      <c r="R55" s="2"/>
      <c r="S55" s="2"/>
      <c r="T55" s="2"/>
      <c r="U55" s="2"/>
      <c r="V55" s="2"/>
      <c r="W55" s="2"/>
      <c r="Y55" s="2"/>
      <c r="Z55" s="2"/>
      <c r="AA55" s="2"/>
    </row>
    <row r="56" spans="2:29" ht="18" customHeight="1" x14ac:dyDescent="0.3">
      <c r="B56" s="4"/>
      <c r="C56" s="4"/>
      <c r="D56" s="4"/>
      <c r="E56" s="4"/>
      <c r="F56" s="4"/>
      <c r="G56" s="4"/>
      <c r="H56" s="4"/>
      <c r="I56" s="4"/>
      <c r="J56" s="4"/>
      <c r="K56" s="4"/>
      <c r="L56" s="4"/>
      <c r="M56" s="4"/>
      <c r="N56" s="4"/>
      <c r="O56" s="4"/>
    </row>
    <row r="57" spans="2:29" ht="18" customHeight="1" x14ac:dyDescent="0.3">
      <c r="C57" s="67"/>
      <c r="D57" s="67"/>
      <c r="E57" s="67"/>
      <c r="F57" s="67"/>
      <c r="G57" s="67"/>
      <c r="H57" s="67"/>
      <c r="I57" s="67"/>
      <c r="J57" s="67"/>
      <c r="K57" s="67"/>
      <c r="L57" s="67"/>
      <c r="M57" s="67"/>
      <c r="N57" s="67"/>
      <c r="O57" s="67"/>
    </row>
    <row r="58" spans="2:29" s="17" customFormat="1" ht="18" customHeight="1" x14ac:dyDescent="0.3">
      <c r="B58" s="2" t="s">
        <v>130</v>
      </c>
      <c r="C58" s="2"/>
      <c r="D58" s="2"/>
      <c r="E58" s="2"/>
      <c r="F58" s="2"/>
      <c r="G58" s="2"/>
      <c r="H58" s="2"/>
      <c r="I58" s="2"/>
      <c r="J58" s="2"/>
      <c r="K58" s="2"/>
      <c r="L58" s="2"/>
      <c r="M58" s="2"/>
      <c r="N58" s="2"/>
      <c r="O58" s="2"/>
      <c r="P58" s="2"/>
      <c r="Q58" s="2"/>
      <c r="R58" s="2"/>
      <c r="S58" s="2"/>
      <c r="T58" s="2"/>
      <c r="U58" s="2"/>
      <c r="V58" s="2"/>
      <c r="W58" s="2"/>
      <c r="Y58" s="3"/>
      <c r="Z58" s="3"/>
      <c r="AA58" s="3"/>
    </row>
    <row r="59" spans="2:29" s="17" customFormat="1" ht="18" customHeight="1" x14ac:dyDescent="0.3">
      <c r="B59" s="93" t="s">
        <v>73</v>
      </c>
      <c r="C59" s="90" t="s">
        <v>70</v>
      </c>
      <c r="D59" s="90" t="s">
        <v>28</v>
      </c>
      <c r="E59" s="90" t="s">
        <v>29</v>
      </c>
      <c r="F59" s="90" t="s">
        <v>30</v>
      </c>
      <c r="G59" s="90" t="s">
        <v>31</v>
      </c>
      <c r="H59" s="90" t="s">
        <v>32</v>
      </c>
      <c r="I59" s="90" t="s">
        <v>33</v>
      </c>
      <c r="J59" s="90" t="s">
        <v>34</v>
      </c>
      <c r="K59" s="90" t="s">
        <v>35</v>
      </c>
      <c r="L59" s="90" t="s">
        <v>36</v>
      </c>
      <c r="M59" s="90" t="s">
        <v>37</v>
      </c>
      <c r="N59" s="90" t="s">
        <v>38</v>
      </c>
      <c r="O59" s="90" t="s">
        <v>39</v>
      </c>
      <c r="P59" s="2"/>
      <c r="Q59" s="2"/>
      <c r="R59" s="2"/>
      <c r="S59" s="2"/>
      <c r="T59" s="2"/>
      <c r="U59" s="2"/>
      <c r="V59" s="2"/>
      <c r="W59" s="2"/>
      <c r="X59" s="2"/>
      <c r="Y59" s="2"/>
      <c r="Z59" s="2"/>
      <c r="AA59" s="2"/>
      <c r="AB59" s="2"/>
      <c r="AC59" s="2"/>
    </row>
    <row r="60" spans="2:29" s="17" customFormat="1" ht="18" customHeight="1" x14ac:dyDescent="0.3">
      <c r="B60" s="4"/>
      <c r="C60" s="7"/>
      <c r="D60" s="7" t="e">
        <f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f>
        <v>#N/A</v>
      </c>
      <c r="E60" s="7" t="e">
        <f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f>
        <v>#N/A</v>
      </c>
      <c r="F60" s="7" t="e">
        <f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f>
        <v>#N/A</v>
      </c>
      <c r="G60" s="7" t="e">
        <f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f>
        <v>#N/A</v>
      </c>
      <c r="H60" s="7" t="e">
        <f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f>
        <v>#N/A</v>
      </c>
      <c r="I60" s="7" t="e">
        <f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f>
        <v>#N/A</v>
      </c>
      <c r="J60" s="7" t="e">
        <f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f>
        <v>#N/A</v>
      </c>
      <c r="K60" s="7" t="e">
        <f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f>
        <v>#N/A</v>
      </c>
      <c r="L60" s="7" t="e">
        <f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f>
        <v>#N/A</v>
      </c>
      <c r="M60" s="7" t="e">
        <f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f>
        <v>#N/A</v>
      </c>
      <c r="N60" s="7" t="e">
        <f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f>
        <v>#N/A</v>
      </c>
      <c r="O60" s="7" t="e">
        <f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f>
        <v>#N/A</v>
      </c>
      <c r="P60" s="5"/>
      <c r="Q60" s="2"/>
      <c r="R60" s="2"/>
      <c r="S60" s="2"/>
      <c r="T60" s="2"/>
      <c r="U60" s="2"/>
      <c r="V60" s="2"/>
      <c r="W60" s="2"/>
      <c r="Y60" s="2"/>
      <c r="Z60" s="2"/>
      <c r="AA60" s="2"/>
    </row>
    <row r="61" spans="2:29" s="3" customFormat="1" ht="18" customHeight="1" x14ac:dyDescent="0.3">
      <c r="B61" s="12" t="s">
        <v>176</v>
      </c>
      <c r="C61" s="12"/>
      <c r="D61" s="12" t="e">
        <f>SUM(Table_KeHoach_DoanhThu[Tháng 1])</f>
        <v>#N/A</v>
      </c>
      <c r="E61" s="12" t="e">
        <f>SUM(Table_KeHoach_DoanhThu[Tháng 2])</f>
        <v>#N/A</v>
      </c>
      <c r="F61" s="12" t="e">
        <f>SUM(Table_KeHoach_DoanhThu[Tháng 3])</f>
        <v>#N/A</v>
      </c>
      <c r="G61" s="12" t="e">
        <f>SUM(Table_KeHoach_DoanhThu[Tháng 4])</f>
        <v>#N/A</v>
      </c>
      <c r="H61" s="12" t="e">
        <f>SUM(Table_KeHoach_DoanhThu[Tháng 5])</f>
        <v>#N/A</v>
      </c>
      <c r="I61" s="12" t="e">
        <f>SUM(Table_KeHoach_DoanhThu[Tháng 6])</f>
        <v>#N/A</v>
      </c>
      <c r="J61" s="12" t="e">
        <f>SUM(Table_KeHoach_DoanhThu[Tháng 7])</f>
        <v>#N/A</v>
      </c>
      <c r="K61" s="12" t="e">
        <f>SUM(Table_KeHoach_DoanhThu[Tháng 8])</f>
        <v>#N/A</v>
      </c>
      <c r="L61" s="12" t="e">
        <f>SUM(Table_KeHoach_DoanhThu[Tháng 9])</f>
        <v>#N/A</v>
      </c>
      <c r="M61" s="12" t="e">
        <f>SUM(Table_KeHoach_DoanhThu[Tháng 10])</f>
        <v>#N/A</v>
      </c>
      <c r="N61" s="12" t="e">
        <f>SUM(Table_KeHoach_DoanhThu[Tháng 11])</f>
        <v>#N/A</v>
      </c>
      <c r="O61" s="12" t="e">
        <f>SUM(Table_KeHoach_DoanhThu[Tháng 12])</f>
        <v>#N/A</v>
      </c>
      <c r="P61" s="67"/>
      <c r="Q61" s="2"/>
      <c r="R61" s="2"/>
      <c r="S61" s="2"/>
      <c r="T61" s="2"/>
      <c r="U61" s="2"/>
      <c r="V61" s="2"/>
      <c r="W61" s="2"/>
      <c r="Y61" s="2"/>
      <c r="Z61" s="2"/>
      <c r="AA61" s="2"/>
    </row>
    <row r="62" spans="2:29" s="3" customFormat="1" ht="18" customHeight="1" x14ac:dyDescent="0.3">
      <c r="B62" s="2"/>
      <c r="C62" s="10"/>
      <c r="D62" s="2"/>
      <c r="E62" s="2"/>
      <c r="F62" s="2"/>
      <c r="G62" s="2"/>
      <c r="H62" s="2"/>
      <c r="I62" s="2"/>
      <c r="J62" s="2"/>
      <c r="K62" s="2"/>
      <c r="L62" s="2"/>
      <c r="M62" s="2"/>
      <c r="N62" s="2"/>
      <c r="O62" s="2"/>
      <c r="P62" s="2"/>
      <c r="Q62" s="2"/>
      <c r="R62" s="2"/>
      <c r="S62" s="2"/>
      <c r="T62" s="2"/>
      <c r="U62" s="2"/>
      <c r="V62" s="2"/>
      <c r="W62" s="2"/>
      <c r="X62" s="2"/>
      <c r="Y62" s="2"/>
      <c r="Z62" s="2"/>
      <c r="AA62" s="2"/>
      <c r="AB62" s="2"/>
    </row>
    <row r="63" spans="2:29" s="3" customFormat="1" ht="18" customHeight="1" x14ac:dyDescent="0.3">
      <c r="B63" s="2" t="s">
        <v>127</v>
      </c>
      <c r="C63" s="10"/>
      <c r="D63" s="2"/>
      <c r="E63" s="2"/>
      <c r="F63" s="2"/>
      <c r="G63" s="2"/>
      <c r="H63" s="2"/>
      <c r="I63" s="2"/>
      <c r="J63" s="2"/>
      <c r="K63" s="2"/>
      <c r="L63" s="2"/>
      <c r="M63" s="2"/>
      <c r="N63" s="2"/>
      <c r="O63" s="2"/>
      <c r="P63" s="2"/>
      <c r="Q63" s="2"/>
      <c r="R63" s="2"/>
      <c r="S63" s="2"/>
      <c r="T63" s="2"/>
      <c r="U63" s="2"/>
      <c r="V63" s="2"/>
      <c r="W63" s="2"/>
      <c r="X63" s="2"/>
      <c r="Y63" s="2"/>
      <c r="Z63" s="2"/>
      <c r="AA63" s="2"/>
      <c r="AB63" s="2"/>
    </row>
    <row r="64" spans="2:29" s="3" customFormat="1" ht="18" customHeight="1" x14ac:dyDescent="0.3">
      <c r="B64" s="2" t="s">
        <v>74</v>
      </c>
      <c r="C64" s="3" t="s">
        <v>123</v>
      </c>
      <c r="D64" s="5" t="s">
        <v>28</v>
      </c>
      <c r="E64" s="5" t="s">
        <v>29</v>
      </c>
      <c r="F64" s="5" t="s">
        <v>30</v>
      </c>
      <c r="G64" s="5" t="s">
        <v>31</v>
      </c>
      <c r="H64" s="5" t="s">
        <v>32</v>
      </c>
      <c r="I64" s="5" t="s">
        <v>33</v>
      </c>
      <c r="J64" s="5" t="s">
        <v>34</v>
      </c>
      <c r="K64" s="5" t="s">
        <v>35</v>
      </c>
      <c r="L64" s="5" t="s">
        <v>36</v>
      </c>
      <c r="M64" s="5" t="s">
        <v>37</v>
      </c>
      <c r="N64" s="5" t="s">
        <v>38</v>
      </c>
      <c r="O64" s="5" t="s">
        <v>39</v>
      </c>
      <c r="P64" s="5"/>
      <c r="Q64" s="2"/>
      <c r="R64" s="2"/>
      <c r="S64" s="2"/>
      <c r="T64" s="2"/>
      <c r="U64" s="2"/>
      <c r="V64" s="2"/>
      <c r="W64" s="2"/>
      <c r="Y64" s="2"/>
      <c r="Z64" s="2"/>
      <c r="AA64" s="2"/>
    </row>
    <row r="65" spans="1:29" s="8" customFormat="1" ht="18" customHeight="1" x14ac:dyDescent="0.3">
      <c r="A65" s="95"/>
      <c r="B65" s="19" t="s">
        <v>136</v>
      </c>
      <c r="C65" s="96"/>
      <c r="D65" s="97"/>
      <c r="E65" s="97"/>
      <c r="F65" s="97"/>
      <c r="G65" s="97"/>
      <c r="H65" s="97"/>
      <c r="I65" s="97"/>
      <c r="J65" s="97"/>
      <c r="K65" s="97"/>
      <c r="L65" s="97"/>
      <c r="M65" s="97"/>
      <c r="N65" s="97"/>
      <c r="O65" s="97"/>
      <c r="P65" s="98"/>
    </row>
    <row r="66" spans="1:29" s="4" customFormat="1" ht="18" customHeight="1" x14ac:dyDescent="0.3">
      <c r="B66" s="99" t="s">
        <v>43</v>
      </c>
      <c r="C66" s="99"/>
      <c r="D66" s="99">
        <f>IFERROR(-D65*Table_KeHoach_DoanhThu[[#Totals],[Tháng 1]],0)</f>
        <v>0</v>
      </c>
      <c r="E66" s="99">
        <f>IFERROR(-E65*Table_KeHoach_DoanhThu[[#Totals],[Tháng 2]],0)</f>
        <v>0</v>
      </c>
      <c r="F66" s="99">
        <f>IFERROR(-F65*Table_KeHoach_DoanhThu[[#Totals],[Tháng 3]],0)</f>
        <v>0</v>
      </c>
      <c r="G66" s="99">
        <f>IFERROR(-G65*Table_KeHoach_DoanhThu[[#Totals],[Tháng 4]],0)</f>
        <v>0</v>
      </c>
      <c r="H66" s="99">
        <f>IFERROR(-H65*Table_KeHoach_DoanhThu[[#Totals],[Tháng 5]],0)</f>
        <v>0</v>
      </c>
      <c r="I66" s="99">
        <f>IFERROR(-I65*Table_KeHoach_DoanhThu[[#Totals],[Tháng 6]],0)</f>
        <v>0</v>
      </c>
      <c r="J66" s="99">
        <f>IFERROR(-J65*Table_KeHoach_DoanhThu[[#Totals],[Tháng 7]],0)</f>
        <v>0</v>
      </c>
      <c r="K66" s="99">
        <f>IFERROR(-K65*Table_KeHoach_DoanhThu[[#Totals],[Tháng 8]],0)</f>
        <v>0</v>
      </c>
      <c r="L66" s="99">
        <f>IFERROR(-L65*Table_KeHoach_DoanhThu[[#Totals],[Tháng 9]],0)</f>
        <v>0</v>
      </c>
      <c r="M66" s="99">
        <f>IFERROR(-M65*Table_KeHoach_DoanhThu[[#Totals],[Tháng 10]],0)</f>
        <v>0</v>
      </c>
      <c r="N66" s="99">
        <f>IFERROR(-N65*Table_KeHoach_DoanhThu[[#Totals],[Tháng 11]],0)</f>
        <v>0</v>
      </c>
      <c r="O66" s="99">
        <f>IFERROR(-O65*Table_KeHoach_DoanhThu[[#Totals],[Tháng 12]],0)</f>
        <v>0</v>
      </c>
      <c r="P66" s="7"/>
    </row>
    <row r="67" spans="1:29" s="17" customFormat="1" ht="18" customHeight="1" x14ac:dyDescent="0.3">
      <c r="B67" s="2"/>
      <c r="C67" s="10"/>
      <c r="D67" s="2"/>
      <c r="E67" s="2"/>
      <c r="F67" s="2"/>
      <c r="G67" s="2"/>
      <c r="H67" s="2"/>
      <c r="I67" s="2"/>
      <c r="J67" s="2"/>
      <c r="K67" s="2"/>
      <c r="L67" s="2"/>
      <c r="M67" s="2"/>
      <c r="N67" s="2"/>
      <c r="O67" s="2"/>
      <c r="P67" s="2"/>
      <c r="Q67" s="2"/>
      <c r="R67" s="2"/>
      <c r="S67" s="2"/>
      <c r="T67" s="2"/>
      <c r="U67" s="2"/>
      <c r="V67" s="2"/>
      <c r="W67" s="2"/>
      <c r="X67" s="2"/>
      <c r="Y67" s="2"/>
      <c r="Z67" s="2"/>
      <c r="AA67" s="2"/>
      <c r="AB67" s="2"/>
      <c r="AC67" s="2"/>
    </row>
    <row r="68" spans="1:29" s="17" customFormat="1" ht="18" customHeight="1" x14ac:dyDescent="0.3">
      <c r="B68" s="2" t="s">
        <v>131</v>
      </c>
      <c r="C68" s="10"/>
      <c r="D68" s="2"/>
      <c r="E68" s="2"/>
      <c r="F68" s="2"/>
      <c r="G68" s="2"/>
      <c r="H68" s="2"/>
      <c r="I68" s="2"/>
      <c r="J68" s="2"/>
      <c r="K68" s="2"/>
      <c r="L68" s="2"/>
      <c r="M68" s="2"/>
      <c r="N68" s="2"/>
      <c r="O68" s="2"/>
      <c r="P68" s="2"/>
      <c r="Q68" s="2"/>
      <c r="R68" s="2"/>
      <c r="S68" s="2"/>
      <c r="T68" s="2"/>
      <c r="U68" s="2"/>
      <c r="V68" s="2"/>
      <c r="W68" s="2"/>
      <c r="X68" s="2"/>
      <c r="Y68" s="2"/>
      <c r="Z68" s="2"/>
      <c r="AA68" s="2"/>
      <c r="AB68" s="2"/>
      <c r="AC68" s="2"/>
    </row>
    <row r="69" spans="1:29" s="3" customFormat="1" ht="18" customHeight="1" x14ac:dyDescent="0.3">
      <c r="B69" s="4" t="s">
        <v>75</v>
      </c>
      <c r="C69" s="90" t="s">
        <v>70</v>
      </c>
      <c r="D69" s="90" t="s">
        <v>28</v>
      </c>
      <c r="E69" s="90" t="s">
        <v>29</v>
      </c>
      <c r="F69" s="90" t="s">
        <v>30</v>
      </c>
      <c r="G69" s="90" t="s">
        <v>31</v>
      </c>
      <c r="H69" s="90" t="s">
        <v>32</v>
      </c>
      <c r="I69" s="90" t="s">
        <v>33</v>
      </c>
      <c r="J69" s="90" t="s">
        <v>34</v>
      </c>
      <c r="K69" s="90" t="s">
        <v>35</v>
      </c>
      <c r="L69" s="90" t="s">
        <v>36</v>
      </c>
      <c r="M69" s="90" t="s">
        <v>37</v>
      </c>
      <c r="N69" s="90" t="s">
        <v>38</v>
      </c>
      <c r="O69" s="90" t="s">
        <v>39</v>
      </c>
      <c r="P69" s="5"/>
      <c r="Q69" s="2"/>
      <c r="R69" s="2"/>
      <c r="S69" s="2"/>
      <c r="T69" s="2"/>
      <c r="U69" s="2"/>
      <c r="V69" s="2"/>
      <c r="W69" s="2"/>
      <c r="Y69" s="2"/>
      <c r="Z69" s="2"/>
      <c r="AA69" s="2"/>
    </row>
    <row r="70" spans="1:29" s="3" customFormat="1" ht="18" customHeight="1" x14ac:dyDescent="0.3">
      <c r="B70" s="4"/>
      <c r="C70" s="4"/>
      <c r="D70" s="4"/>
      <c r="E70" s="4"/>
      <c r="F70" s="4"/>
      <c r="G70" s="4"/>
      <c r="H70" s="4"/>
      <c r="I70" s="4"/>
      <c r="J70" s="4"/>
      <c r="K70" s="4"/>
      <c r="L70" s="4"/>
      <c r="M70" s="4"/>
      <c r="N70" s="4"/>
      <c r="O70" s="4"/>
      <c r="P70" s="47"/>
      <c r="Q70" s="2"/>
      <c r="R70" s="2"/>
      <c r="S70" s="2"/>
      <c r="T70" s="2"/>
      <c r="U70" s="2"/>
      <c r="V70" s="2"/>
      <c r="W70" s="2"/>
      <c r="Y70" s="2"/>
      <c r="Z70" s="2"/>
      <c r="AA70" s="2"/>
    </row>
    <row r="71" spans="1:29" s="3" customFormat="1" ht="18" customHeight="1" x14ac:dyDescent="0.3">
      <c r="B71" s="2"/>
      <c r="C71" s="10"/>
      <c r="D71" s="2"/>
      <c r="E71" s="2"/>
      <c r="F71" s="2"/>
      <c r="G71" s="2"/>
      <c r="H71" s="2"/>
      <c r="I71" s="2"/>
      <c r="J71" s="2"/>
      <c r="K71" s="2"/>
      <c r="L71" s="2"/>
      <c r="M71" s="2"/>
      <c r="N71" s="2"/>
      <c r="O71" s="2"/>
      <c r="P71" s="47"/>
      <c r="Q71" s="2"/>
      <c r="R71" s="2"/>
      <c r="S71" s="2"/>
      <c r="T71" s="2"/>
      <c r="U71" s="2"/>
      <c r="V71" s="2"/>
      <c r="W71" s="2"/>
      <c r="Y71" s="2"/>
      <c r="Z71" s="2"/>
      <c r="AA71" s="2"/>
    </row>
    <row r="72" spans="1:29" s="3" customFormat="1" ht="18" customHeight="1" x14ac:dyDescent="0.3">
      <c r="B72" s="2" t="s">
        <v>132</v>
      </c>
      <c r="C72" s="10"/>
      <c r="D72" s="2"/>
      <c r="E72" s="2"/>
      <c r="F72" s="2"/>
      <c r="G72" s="2"/>
      <c r="H72" s="2"/>
      <c r="I72" s="2"/>
      <c r="J72" s="2"/>
      <c r="K72" s="2"/>
      <c r="L72" s="2"/>
      <c r="M72" s="2"/>
      <c r="N72" s="2"/>
      <c r="O72" s="2"/>
      <c r="P72" s="16"/>
      <c r="Q72" s="2"/>
      <c r="R72" s="2"/>
      <c r="S72" s="2"/>
      <c r="T72" s="2"/>
      <c r="U72" s="2"/>
      <c r="V72" s="2"/>
      <c r="W72" s="2"/>
      <c r="X72" s="2"/>
      <c r="Y72" s="2"/>
      <c r="Z72" s="2"/>
      <c r="AA72" s="2"/>
      <c r="AB72" s="2"/>
    </row>
    <row r="73" spans="1:29" ht="18" customHeight="1" x14ac:dyDescent="0.3">
      <c r="B73" s="93" t="s">
        <v>76</v>
      </c>
      <c r="C73" s="90" t="s">
        <v>70</v>
      </c>
      <c r="D73" s="90" t="s">
        <v>28</v>
      </c>
      <c r="E73" s="90" t="s">
        <v>29</v>
      </c>
      <c r="F73" s="90" t="s">
        <v>30</v>
      </c>
      <c r="G73" s="90" t="s">
        <v>31</v>
      </c>
      <c r="H73" s="90" t="s">
        <v>32</v>
      </c>
      <c r="I73" s="90" t="s">
        <v>33</v>
      </c>
      <c r="J73" s="90" t="s">
        <v>34</v>
      </c>
      <c r="K73" s="90" t="s">
        <v>35</v>
      </c>
      <c r="L73" s="90" t="s">
        <v>36</v>
      </c>
      <c r="M73" s="90" t="s">
        <v>37</v>
      </c>
      <c r="N73" s="90" t="s">
        <v>38</v>
      </c>
      <c r="O73" s="90" t="s">
        <v>39</v>
      </c>
    </row>
    <row r="74" spans="1:29" ht="18" customHeight="1" x14ac:dyDescent="0.3">
      <c r="B74" s="4"/>
      <c r="C74" s="7"/>
      <c r="D74" s="7">
        <f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f>
        <v>0</v>
      </c>
      <c r="E74" s="7">
        <f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f>
        <v>0</v>
      </c>
      <c r="F74" s="7">
        <f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f>
        <v>0</v>
      </c>
      <c r="G74" s="7">
        <f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f>
        <v>0</v>
      </c>
      <c r="H74" s="7">
        <f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f>
        <v>0</v>
      </c>
      <c r="I74" s="7">
        <f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f>
        <v>0</v>
      </c>
      <c r="J74" s="7">
        <f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f>
        <v>0</v>
      </c>
      <c r="K74" s="7">
        <f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f>
        <v>0</v>
      </c>
      <c r="L74" s="7">
        <f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f>
        <v>0</v>
      </c>
      <c r="M74" s="7">
        <f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f>
        <v>0</v>
      </c>
      <c r="N74" s="7">
        <f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f>
        <v>0</v>
      </c>
      <c r="O74" s="7">
        <f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f>
        <v>0</v>
      </c>
      <c r="P74" s="5"/>
    </row>
    <row r="75" spans="1:29" ht="18" customHeight="1" x14ac:dyDescent="0.15">
      <c r="B75" s="100" t="s">
        <v>122</v>
      </c>
      <c r="C75" s="100"/>
      <c r="D75" s="101">
        <f>SUBTOTAL(109,Table_KeHoach_ChiPhiSKU[Tháng 1])</f>
        <v>0</v>
      </c>
      <c r="E75" s="101">
        <f>SUBTOTAL(109,Table_KeHoach_ChiPhiSKU[Tháng 2])</f>
        <v>0</v>
      </c>
      <c r="F75" s="101">
        <f>SUBTOTAL(109,Table_KeHoach_ChiPhiSKU[Tháng 3])</f>
        <v>0</v>
      </c>
      <c r="G75" s="101">
        <f>SUBTOTAL(109,Table_KeHoach_ChiPhiSKU[Tháng 4])</f>
        <v>0</v>
      </c>
      <c r="H75" s="101">
        <f>SUBTOTAL(109,Table_KeHoach_ChiPhiSKU[Tháng 5])</f>
        <v>0</v>
      </c>
      <c r="I75" s="101">
        <f>SUBTOTAL(109,Table_KeHoach_ChiPhiSKU[Tháng 6])</f>
        <v>0</v>
      </c>
      <c r="J75" s="101">
        <f>SUBTOTAL(109,Table_KeHoach_ChiPhiSKU[Tháng 7])</f>
        <v>0</v>
      </c>
      <c r="K75" s="101">
        <f>SUBTOTAL(109,Table_KeHoach_ChiPhiSKU[Tháng 8])</f>
        <v>0</v>
      </c>
      <c r="L75" s="101">
        <f>SUBTOTAL(109,Table_KeHoach_ChiPhiSKU[Tháng 9])</f>
        <v>0</v>
      </c>
      <c r="M75" s="101">
        <f>SUBTOTAL(109,Table_KeHoach_ChiPhiSKU[Tháng 10])</f>
        <v>0</v>
      </c>
      <c r="N75" s="101">
        <f>SUBTOTAL(109,Table_KeHoach_ChiPhiSKU[Tháng 11])</f>
        <v>0</v>
      </c>
      <c r="O75" s="101">
        <f>SUBTOTAL(109,Table_KeHoach_ChiPhiSKU[Tháng 12])</f>
        <v>0</v>
      </c>
      <c r="P75" s="5"/>
    </row>
    <row r="76" spans="1:29" ht="18" customHeight="1" x14ac:dyDescent="0.3">
      <c r="B76" s="11"/>
      <c r="C76" s="37"/>
      <c r="D76" s="11"/>
      <c r="E76" s="11"/>
      <c r="F76" s="11"/>
      <c r="G76" s="11"/>
      <c r="H76" s="11"/>
      <c r="I76" s="11"/>
      <c r="J76" s="11"/>
      <c r="K76" s="11"/>
      <c r="L76" s="11"/>
      <c r="M76" s="11"/>
      <c r="N76" s="11"/>
      <c r="O76" s="11"/>
      <c r="P76" s="67"/>
    </row>
    <row r="77" spans="1:29" ht="18" customHeight="1" x14ac:dyDescent="0.3">
      <c r="B77" s="2" t="s">
        <v>133</v>
      </c>
      <c r="C77" s="37"/>
      <c r="D77" s="11"/>
      <c r="E77" s="11"/>
      <c r="F77" s="11"/>
      <c r="G77" s="11"/>
      <c r="H77" s="11"/>
      <c r="I77" s="11"/>
      <c r="J77" s="11"/>
      <c r="K77" s="11"/>
      <c r="L77" s="11"/>
      <c r="M77" s="11"/>
      <c r="N77" s="11"/>
      <c r="O77" s="11"/>
    </row>
    <row r="78" spans="1:29" ht="18" customHeight="1" x14ac:dyDescent="0.3">
      <c r="B78" s="93" t="s">
        <v>77</v>
      </c>
      <c r="C78" s="90" t="s">
        <v>123</v>
      </c>
      <c r="D78" s="90" t="s">
        <v>28</v>
      </c>
      <c r="E78" s="90" t="s">
        <v>29</v>
      </c>
      <c r="F78" s="90" t="s">
        <v>30</v>
      </c>
      <c r="G78" s="90" t="s">
        <v>31</v>
      </c>
      <c r="H78" s="90" t="s">
        <v>32</v>
      </c>
      <c r="I78" s="90" t="s">
        <v>33</v>
      </c>
      <c r="J78" s="90" t="s">
        <v>34</v>
      </c>
      <c r="K78" s="90" t="s">
        <v>35</v>
      </c>
      <c r="L78" s="90" t="s">
        <v>36</v>
      </c>
      <c r="M78" s="90" t="s">
        <v>37</v>
      </c>
      <c r="N78" s="90" t="s">
        <v>38</v>
      </c>
      <c r="O78" s="90" t="s">
        <v>39</v>
      </c>
      <c r="P78" s="5"/>
    </row>
    <row r="79" spans="1:29" ht="18" customHeight="1" x14ac:dyDescent="0.3">
      <c r="B79" s="7"/>
      <c r="C79" s="6"/>
      <c r="D79" s="102"/>
      <c r="E79" s="102"/>
      <c r="F79" s="102"/>
      <c r="G79" s="102"/>
      <c r="H79" s="102"/>
      <c r="I79" s="102"/>
      <c r="J79" s="102"/>
      <c r="K79" s="102"/>
      <c r="L79" s="102"/>
      <c r="M79" s="102"/>
      <c r="N79" s="102"/>
      <c r="O79" s="102"/>
      <c r="P79" s="5"/>
    </row>
    <row r="80" spans="1:29" s="11" customFormat="1" ht="18" customHeight="1" x14ac:dyDescent="0.3">
      <c r="B80" s="100" t="s">
        <v>122</v>
      </c>
      <c r="C80" s="100"/>
      <c r="D80" s="7">
        <f>SUBTOTAL(109,Table_KeHoach_ChiPhiVatTuSX[Tháng 1])</f>
        <v>0</v>
      </c>
      <c r="E80" s="7">
        <f>SUBTOTAL(109,Table_KeHoach_ChiPhiVatTuSX[Tháng 2])</f>
        <v>0</v>
      </c>
      <c r="F80" s="7">
        <f>SUBTOTAL(109,Table_KeHoach_ChiPhiVatTuSX[Tháng 3])</f>
        <v>0</v>
      </c>
      <c r="G80" s="7">
        <f>SUBTOTAL(109,Table_KeHoach_ChiPhiVatTuSX[Tháng 4])</f>
        <v>0</v>
      </c>
      <c r="H80" s="7">
        <f>SUBTOTAL(109,Table_KeHoach_ChiPhiVatTuSX[Tháng 5])</f>
        <v>0</v>
      </c>
      <c r="I80" s="7">
        <f>SUBTOTAL(109,Table_KeHoach_ChiPhiVatTuSX[Tháng 6])</f>
        <v>0</v>
      </c>
      <c r="J80" s="7">
        <f>SUBTOTAL(109,Table_KeHoach_ChiPhiVatTuSX[Tháng 7])</f>
        <v>0</v>
      </c>
      <c r="K80" s="7">
        <f>SUBTOTAL(109,Table_KeHoach_ChiPhiVatTuSX[Tháng 8])</f>
        <v>0</v>
      </c>
      <c r="L80" s="7">
        <f>SUBTOTAL(109,Table_KeHoach_ChiPhiVatTuSX[Tháng 9])</f>
        <v>0</v>
      </c>
      <c r="M80" s="7">
        <f>SUBTOTAL(109,Table_KeHoach_ChiPhiVatTuSX[Tháng 10])</f>
        <v>0</v>
      </c>
      <c r="N80" s="7">
        <f>SUBTOTAL(109,Table_KeHoach_ChiPhiVatTuSX[Tháng 11])</f>
        <v>0</v>
      </c>
      <c r="O80" s="7">
        <f>SUBTOTAL(109,Table_KeHoach_ChiPhiVatTuSX[Tháng 12])</f>
        <v>0</v>
      </c>
      <c r="P80" s="68"/>
    </row>
    <row r="81" spans="2:16" ht="18" customHeight="1" x14ac:dyDescent="0.3">
      <c r="B81" s="11"/>
      <c r="C81" s="37"/>
      <c r="D81" s="70"/>
      <c r="E81" s="69"/>
      <c r="F81" s="69"/>
      <c r="G81" s="69"/>
      <c r="H81" s="69"/>
      <c r="I81" s="69"/>
      <c r="J81" s="69"/>
      <c r="K81" s="69"/>
      <c r="L81" s="69"/>
      <c r="M81" s="69"/>
      <c r="N81" s="69"/>
      <c r="O81" s="69"/>
      <c r="P81" s="11"/>
    </row>
    <row r="82" spans="2:16" ht="18" customHeight="1" x14ac:dyDescent="0.3">
      <c r="B82" s="2" t="s">
        <v>134</v>
      </c>
      <c r="C82" s="37"/>
      <c r="D82" s="70"/>
      <c r="E82" s="69"/>
      <c r="F82" s="69"/>
      <c r="G82" s="69"/>
      <c r="H82" s="69"/>
      <c r="I82" s="69"/>
      <c r="J82" s="69"/>
      <c r="K82" s="69"/>
      <c r="L82" s="69"/>
      <c r="M82" s="69"/>
      <c r="N82" s="69"/>
      <c r="O82" s="69"/>
      <c r="P82" s="5"/>
    </row>
    <row r="83" spans="2:16" ht="18" customHeight="1" x14ac:dyDescent="0.3">
      <c r="B83" s="93" t="s">
        <v>78</v>
      </c>
      <c r="C83" s="90" t="s">
        <v>123</v>
      </c>
      <c r="D83" s="90" t="s">
        <v>28</v>
      </c>
      <c r="E83" s="90" t="s">
        <v>29</v>
      </c>
      <c r="F83" s="90" t="s">
        <v>30</v>
      </c>
      <c r="G83" s="90" t="s">
        <v>31</v>
      </c>
      <c r="H83" s="90" t="s">
        <v>32</v>
      </c>
      <c r="I83" s="90" t="s">
        <v>33</v>
      </c>
      <c r="J83" s="90" t="s">
        <v>34</v>
      </c>
      <c r="K83" s="90" t="s">
        <v>35</v>
      </c>
      <c r="L83" s="90" t="s">
        <v>36</v>
      </c>
      <c r="M83" s="90" t="s">
        <v>37</v>
      </c>
      <c r="N83" s="90" t="s">
        <v>38</v>
      </c>
      <c r="O83" s="90" t="s">
        <v>39</v>
      </c>
      <c r="P83" s="5"/>
    </row>
    <row r="84" spans="2:16" ht="18" customHeight="1" x14ac:dyDescent="0.3">
      <c r="B84" s="103"/>
      <c r="C84" s="7"/>
      <c r="D84" s="102"/>
      <c r="E84" s="102"/>
      <c r="F84" s="102"/>
      <c r="G84" s="102"/>
      <c r="H84" s="102"/>
      <c r="I84" s="102"/>
      <c r="J84" s="102"/>
      <c r="K84" s="102"/>
      <c r="L84" s="102"/>
      <c r="M84" s="102"/>
      <c r="N84" s="102"/>
      <c r="O84" s="102"/>
      <c r="P84" s="69"/>
    </row>
    <row r="85" spans="2:16" s="11" customFormat="1" ht="18" customHeight="1" x14ac:dyDescent="0.3">
      <c r="B85" s="100" t="s">
        <v>122</v>
      </c>
      <c r="C85" s="100"/>
      <c r="D85" s="7">
        <f>SUBTOTAL(109,Table_KeHoach_ChiPhiTienIchSX[Tháng 1])</f>
        <v>0</v>
      </c>
      <c r="E85" s="7">
        <f>SUBTOTAL(109,Table_KeHoach_ChiPhiTienIchSX[Tháng 2])</f>
        <v>0</v>
      </c>
      <c r="F85" s="7">
        <f>SUBTOTAL(109,Table_KeHoach_ChiPhiTienIchSX[Tháng 3])</f>
        <v>0</v>
      </c>
      <c r="G85" s="7">
        <f>SUBTOTAL(109,Table_KeHoach_ChiPhiTienIchSX[Tháng 4])</f>
        <v>0</v>
      </c>
      <c r="H85" s="7">
        <f>SUBTOTAL(109,Table_KeHoach_ChiPhiTienIchSX[Tháng 5])</f>
        <v>0</v>
      </c>
      <c r="I85" s="7">
        <f>SUBTOTAL(109,Table_KeHoach_ChiPhiTienIchSX[Tháng 6])</f>
        <v>0</v>
      </c>
      <c r="J85" s="7">
        <f>SUBTOTAL(109,Table_KeHoach_ChiPhiTienIchSX[Tháng 7])</f>
        <v>0</v>
      </c>
      <c r="K85" s="7">
        <f>SUBTOTAL(109,Table_KeHoach_ChiPhiTienIchSX[Tháng 8])</f>
        <v>0</v>
      </c>
      <c r="L85" s="7">
        <f>SUBTOTAL(109,Table_KeHoach_ChiPhiTienIchSX[Tháng 9])</f>
        <v>0</v>
      </c>
      <c r="M85" s="7">
        <f>SUBTOTAL(109,Table_KeHoach_ChiPhiTienIchSX[Tháng 10])</f>
        <v>0</v>
      </c>
      <c r="N85" s="7">
        <f>SUBTOTAL(109,Table_KeHoach_ChiPhiTienIchSX[Tháng 11])</f>
        <v>0</v>
      </c>
      <c r="O85" s="7">
        <f>SUBTOTAL(109,Table_KeHoach_ChiPhiTienIchSX[Tháng 12])</f>
        <v>0</v>
      </c>
      <c r="P85" s="70"/>
    </row>
    <row r="86" spans="2:16" ht="18" customHeight="1" x14ac:dyDescent="0.3">
      <c r="P86" s="5"/>
    </row>
    <row r="87" spans="2:16" ht="18" customHeight="1" x14ac:dyDescent="0.3">
      <c r="B87" s="2" t="s">
        <v>135</v>
      </c>
      <c r="P87" s="5"/>
    </row>
    <row r="88" spans="2:16" ht="18" customHeight="1" x14ac:dyDescent="0.3">
      <c r="B88" s="93" t="s">
        <v>79</v>
      </c>
      <c r="C88" s="90" t="s">
        <v>123</v>
      </c>
      <c r="D88" s="90" t="s">
        <v>28</v>
      </c>
      <c r="E88" s="90" t="s">
        <v>29</v>
      </c>
      <c r="F88" s="90" t="s">
        <v>30</v>
      </c>
      <c r="G88" s="90" t="s">
        <v>31</v>
      </c>
      <c r="H88" s="90" t="s">
        <v>32</v>
      </c>
      <c r="I88" s="90" t="s">
        <v>33</v>
      </c>
      <c r="J88" s="90" t="s">
        <v>34</v>
      </c>
      <c r="K88" s="90" t="s">
        <v>35</v>
      </c>
      <c r="L88" s="90" t="s">
        <v>36</v>
      </c>
      <c r="M88" s="90" t="s">
        <v>37</v>
      </c>
      <c r="N88" s="90" t="s">
        <v>38</v>
      </c>
      <c r="O88" s="90" t="s">
        <v>39</v>
      </c>
      <c r="P88" s="69"/>
    </row>
    <row r="89" spans="2:16" ht="18" customHeight="1" x14ac:dyDescent="0.3">
      <c r="B89" s="13"/>
      <c r="C89" s="13"/>
      <c r="D89" s="13"/>
      <c r="E89" s="13"/>
      <c r="F89" s="13"/>
      <c r="G89" s="13"/>
      <c r="H89" s="13"/>
      <c r="I89" s="13"/>
      <c r="J89" s="13"/>
      <c r="K89" s="13"/>
      <c r="L89" s="13"/>
      <c r="M89" s="13"/>
      <c r="N89" s="13"/>
      <c r="O89" s="13"/>
    </row>
    <row r="90" spans="2:16" s="11" customFormat="1" ht="18" customHeight="1" x14ac:dyDescent="0.15">
      <c r="B90" s="100" t="s">
        <v>122</v>
      </c>
      <c r="C90" s="100"/>
      <c r="D90" s="101">
        <f>SUBTOTAL(109,Table_KeHoach_ChiPhiVatTuVP[Tháng 1])</f>
        <v>0</v>
      </c>
      <c r="E90" s="101">
        <f>SUBTOTAL(109,Table_KeHoach_ChiPhiVatTuVP[Tháng 2])</f>
        <v>0</v>
      </c>
      <c r="F90" s="101">
        <f>SUBTOTAL(109,Table_KeHoach_ChiPhiVatTuVP[Tháng 3])</f>
        <v>0</v>
      </c>
      <c r="G90" s="101">
        <f>SUBTOTAL(109,Table_KeHoach_ChiPhiVatTuVP[Tháng 4])</f>
        <v>0</v>
      </c>
      <c r="H90" s="101">
        <f>SUBTOTAL(109,Table_KeHoach_ChiPhiVatTuVP[Tháng 5])</f>
        <v>0</v>
      </c>
      <c r="I90" s="101">
        <f>SUBTOTAL(109,Table_KeHoach_ChiPhiVatTuVP[Tháng 6])</f>
        <v>0</v>
      </c>
      <c r="J90" s="101">
        <f>SUBTOTAL(109,Table_KeHoach_ChiPhiVatTuVP[Tháng 7])</f>
        <v>0</v>
      </c>
      <c r="K90" s="101">
        <f>SUBTOTAL(109,Table_KeHoach_ChiPhiVatTuVP[Tháng 8])</f>
        <v>0</v>
      </c>
      <c r="L90" s="101">
        <f>SUBTOTAL(109,Table_KeHoach_ChiPhiVatTuVP[Tháng 9])</f>
        <v>0</v>
      </c>
      <c r="M90" s="101">
        <f>SUBTOTAL(109,Table_KeHoach_ChiPhiVatTuVP[Tháng 10])</f>
        <v>0</v>
      </c>
      <c r="N90" s="101">
        <f>SUBTOTAL(109,Table_KeHoach_ChiPhiVatTuVP[Tháng 11])</f>
        <v>0</v>
      </c>
      <c r="O90" s="101">
        <f>SUBTOTAL(109,Table_KeHoach_ChiPhiVatTuVP[Tháng 12])</f>
        <v>0</v>
      </c>
      <c r="P90" s="104"/>
    </row>
    <row r="91" spans="2:16" ht="18" customHeight="1" x14ac:dyDescent="0.3">
      <c r="B91" s="11"/>
      <c r="C91" s="37"/>
      <c r="D91" s="11"/>
      <c r="E91" s="11"/>
      <c r="F91" s="11"/>
      <c r="G91" s="11"/>
      <c r="H91" s="11"/>
      <c r="I91" s="11"/>
      <c r="J91" s="11"/>
      <c r="K91" s="11"/>
      <c r="L91" s="11"/>
      <c r="M91" s="11"/>
      <c r="N91" s="11"/>
      <c r="O91" s="11"/>
      <c r="P91" s="71"/>
    </row>
    <row r="92" spans="2:16" ht="18" customHeight="1" x14ac:dyDescent="0.3">
      <c r="B92" s="2" t="s">
        <v>137</v>
      </c>
      <c r="C92" s="37"/>
      <c r="D92" s="11"/>
      <c r="E92" s="11"/>
      <c r="F92" s="11"/>
      <c r="G92" s="11"/>
      <c r="H92" s="11"/>
      <c r="I92" s="11"/>
      <c r="J92" s="11"/>
      <c r="K92" s="11"/>
      <c r="L92" s="11"/>
      <c r="M92" s="11"/>
      <c r="N92" s="11"/>
      <c r="O92" s="11"/>
      <c r="P92" s="71"/>
    </row>
    <row r="93" spans="2:16" ht="18" customHeight="1" x14ac:dyDescent="0.3">
      <c r="B93" s="15" t="s">
        <v>80</v>
      </c>
      <c r="C93" s="94" t="s">
        <v>123</v>
      </c>
      <c r="D93" s="94" t="s">
        <v>28</v>
      </c>
      <c r="E93" s="94" t="s">
        <v>29</v>
      </c>
      <c r="F93" s="94" t="s">
        <v>30</v>
      </c>
      <c r="G93" s="94" t="s">
        <v>31</v>
      </c>
      <c r="H93" s="94" t="s">
        <v>32</v>
      </c>
      <c r="I93" s="94" t="s">
        <v>33</v>
      </c>
      <c r="J93" s="94" t="s">
        <v>34</v>
      </c>
      <c r="K93" s="94" t="s">
        <v>35</v>
      </c>
      <c r="L93" s="94" t="s">
        <v>36</v>
      </c>
      <c r="M93" s="94" t="s">
        <v>37</v>
      </c>
      <c r="N93" s="94" t="s">
        <v>38</v>
      </c>
      <c r="O93" s="94" t="s">
        <v>39</v>
      </c>
      <c r="P93" s="11"/>
    </row>
    <row r="94" spans="2:16" ht="18" customHeight="1" x14ac:dyDescent="0.3">
      <c r="B94" s="15"/>
      <c r="C94" s="15"/>
      <c r="D94" s="15"/>
      <c r="E94" s="15"/>
      <c r="F94" s="15"/>
      <c r="G94" s="15"/>
      <c r="H94" s="15"/>
      <c r="I94" s="15"/>
      <c r="J94" s="15"/>
      <c r="K94" s="15"/>
      <c r="L94" s="15"/>
      <c r="M94" s="15"/>
      <c r="N94" s="15"/>
      <c r="O94" s="15"/>
      <c r="P94" s="5"/>
    </row>
    <row r="95" spans="2:16" ht="18" customHeight="1" x14ac:dyDescent="0.3">
      <c r="P95" s="15"/>
    </row>
    <row r="96" spans="2:16" ht="18" customHeight="1" x14ac:dyDescent="0.3">
      <c r="B96" s="2" t="s">
        <v>138</v>
      </c>
      <c r="P96" s="15"/>
    </row>
    <row r="97" spans="2:16" ht="18" customHeight="1" x14ac:dyDescent="0.3">
      <c r="B97" s="93" t="s">
        <v>81</v>
      </c>
      <c r="C97" s="90" t="s">
        <v>123</v>
      </c>
      <c r="D97" s="90" t="s">
        <v>28</v>
      </c>
      <c r="E97" s="90" t="s">
        <v>29</v>
      </c>
      <c r="F97" s="90" t="s">
        <v>30</v>
      </c>
      <c r="G97" s="90" t="s">
        <v>31</v>
      </c>
      <c r="H97" s="90" t="s">
        <v>32</v>
      </c>
      <c r="I97" s="90" t="s">
        <v>33</v>
      </c>
      <c r="J97" s="90" t="s">
        <v>34</v>
      </c>
      <c r="K97" s="90" t="s">
        <v>35</v>
      </c>
      <c r="L97" s="90" t="s">
        <v>36</v>
      </c>
      <c r="M97" s="90" t="s">
        <v>37</v>
      </c>
      <c r="N97" s="90" t="s">
        <v>38</v>
      </c>
      <c r="O97" s="90" t="s">
        <v>39</v>
      </c>
    </row>
    <row r="98" spans="2:16" ht="18" customHeight="1" x14ac:dyDescent="0.3">
      <c r="B98" s="4"/>
      <c r="C98" s="7"/>
      <c r="D98" s="7" t="e">
        <f>-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f>
        <v>#N/A</v>
      </c>
      <c r="E98" s="7" t="e">
        <f>-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f>
        <v>#N/A</v>
      </c>
      <c r="F98" s="7" t="e">
        <f>-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f>
        <v>#N/A</v>
      </c>
      <c r="G98" s="7" t="e">
        <f>-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f>
        <v>#N/A</v>
      </c>
      <c r="H98" s="7" t="e">
        <f>-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f>
        <v>#N/A</v>
      </c>
      <c r="I98" s="7" t="e">
        <f>-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f>
        <v>#N/A</v>
      </c>
      <c r="J98" s="7" t="e">
        <f>-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f>
        <v>#N/A</v>
      </c>
      <c r="K98" s="7" t="e">
        <f>-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f>
        <v>#N/A</v>
      </c>
      <c r="L98" s="7" t="e">
        <f>-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f>
        <v>#N/A</v>
      </c>
      <c r="M98" s="7" t="e">
        <f>-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f>
        <v>#N/A</v>
      </c>
      <c r="N98" s="7" t="e">
        <f>-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f>
        <v>#N/A</v>
      </c>
      <c r="O98" s="7" t="e">
        <f>-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f>
        <v>#N/A</v>
      </c>
      <c r="P98" s="5"/>
    </row>
    <row r="99" spans="2:16" ht="18" customHeight="1" x14ac:dyDescent="0.15">
      <c r="B99" s="100" t="s">
        <v>122</v>
      </c>
      <c r="C99" s="101"/>
      <c r="D99" s="100" t="e">
        <f>SUBTOTAL(109,Table_KeHoach_ChiPhiHoaHong[Tháng 1])</f>
        <v>#N/A</v>
      </c>
      <c r="E99" s="100" t="e">
        <f>SUBTOTAL(109,Table_KeHoach_ChiPhiHoaHong[Tháng 2])</f>
        <v>#N/A</v>
      </c>
      <c r="F99" s="100" t="e">
        <f>SUBTOTAL(109,Table_KeHoach_ChiPhiHoaHong[Tháng 3])</f>
        <v>#N/A</v>
      </c>
      <c r="G99" s="100" t="e">
        <f>SUBTOTAL(109,Table_KeHoach_ChiPhiHoaHong[Tháng 4])</f>
        <v>#N/A</v>
      </c>
      <c r="H99" s="100" t="e">
        <f>SUBTOTAL(109,Table_KeHoach_ChiPhiHoaHong[Tháng 5])</f>
        <v>#N/A</v>
      </c>
      <c r="I99" s="100" t="e">
        <f>SUBTOTAL(109,Table_KeHoach_ChiPhiHoaHong[Tháng 6])</f>
        <v>#N/A</v>
      </c>
      <c r="J99" s="100" t="e">
        <f>SUBTOTAL(109,Table_KeHoach_ChiPhiHoaHong[Tháng 7])</f>
        <v>#N/A</v>
      </c>
      <c r="K99" s="100" t="e">
        <f>SUBTOTAL(109,Table_KeHoach_ChiPhiHoaHong[Tháng 8])</f>
        <v>#N/A</v>
      </c>
      <c r="L99" s="100" t="e">
        <f>SUBTOTAL(109,Table_KeHoach_ChiPhiHoaHong[Tháng 9])</f>
        <v>#N/A</v>
      </c>
      <c r="M99" s="100" t="e">
        <f>SUBTOTAL(109,Table_KeHoach_ChiPhiHoaHong[Tháng 10])</f>
        <v>#N/A</v>
      </c>
      <c r="N99" s="100" t="e">
        <f>SUBTOTAL(109,Table_KeHoach_ChiPhiHoaHong[Tháng 11])</f>
        <v>#N/A</v>
      </c>
      <c r="O99" s="100" t="e">
        <f>SUBTOTAL(109,Table_KeHoach_ChiPhiHoaHong[Tháng 12])</f>
        <v>#N/A</v>
      </c>
      <c r="P99" s="7"/>
    </row>
    <row r="100" spans="2:16" ht="18" customHeight="1" x14ac:dyDescent="0.3">
      <c r="P100" s="7"/>
    </row>
    <row r="101" spans="2:16" ht="18" customHeight="1" x14ac:dyDescent="0.3">
      <c r="B101" s="2" t="s">
        <v>139</v>
      </c>
    </row>
    <row r="102" spans="2:16" ht="18" customHeight="1" x14ac:dyDescent="0.3">
      <c r="B102" s="105" t="s">
        <v>83</v>
      </c>
      <c r="C102" s="94" t="s">
        <v>123</v>
      </c>
      <c r="D102" s="94" t="s">
        <v>28</v>
      </c>
      <c r="E102" s="94" t="s">
        <v>29</v>
      </c>
      <c r="F102" s="94" t="s">
        <v>30</v>
      </c>
      <c r="G102" s="94" t="s">
        <v>31</v>
      </c>
      <c r="H102" s="94" t="s">
        <v>32</v>
      </c>
      <c r="I102" s="94" t="s">
        <v>33</v>
      </c>
      <c r="J102" s="94" t="s">
        <v>34</v>
      </c>
      <c r="K102" s="94" t="s">
        <v>35</v>
      </c>
      <c r="L102" s="94" t="s">
        <v>36</v>
      </c>
      <c r="M102" s="94" t="s">
        <v>37</v>
      </c>
      <c r="N102" s="94" t="s">
        <v>38</v>
      </c>
      <c r="O102" s="94" t="s">
        <v>39</v>
      </c>
      <c r="P102" s="5"/>
    </row>
    <row r="103" spans="2:16" ht="18" customHeight="1" x14ac:dyDescent="0.3">
      <c r="B103" s="15"/>
      <c r="C103" s="19"/>
      <c r="D103" s="19"/>
      <c r="E103" s="19"/>
      <c r="F103" s="19"/>
      <c r="G103" s="19"/>
      <c r="H103" s="19"/>
      <c r="I103" s="19"/>
      <c r="J103" s="19"/>
      <c r="K103" s="19"/>
      <c r="L103" s="19"/>
      <c r="M103" s="19"/>
      <c r="N103" s="19"/>
      <c r="O103" s="19"/>
      <c r="P103" s="26"/>
    </row>
    <row r="104" spans="2:16" ht="18" customHeight="1" x14ac:dyDescent="0.3">
      <c r="B104" s="11"/>
      <c r="C104" s="37"/>
      <c r="D104" s="11"/>
      <c r="E104" s="11"/>
      <c r="F104" s="11"/>
      <c r="G104" s="11"/>
      <c r="H104" s="11"/>
      <c r="I104" s="11"/>
      <c r="J104" s="11"/>
      <c r="K104" s="11"/>
      <c r="L104" s="11"/>
      <c r="M104" s="11"/>
      <c r="N104" s="11"/>
      <c r="O104" s="11"/>
      <c r="P104" s="26"/>
    </row>
    <row r="105" spans="2:16" ht="18" customHeight="1" x14ac:dyDescent="0.3">
      <c r="B105" s="2" t="s">
        <v>140</v>
      </c>
      <c r="C105" s="37"/>
      <c r="D105" s="11"/>
      <c r="E105" s="11"/>
      <c r="F105" s="11"/>
      <c r="G105" s="11"/>
      <c r="H105" s="11"/>
      <c r="I105" s="11"/>
      <c r="J105" s="11"/>
      <c r="K105" s="11"/>
      <c r="L105" s="11"/>
      <c r="M105" s="11"/>
      <c r="N105" s="11"/>
      <c r="O105" s="11"/>
      <c r="P105" s="11"/>
    </row>
    <row r="106" spans="2:16" ht="18" customHeight="1" x14ac:dyDescent="0.3">
      <c r="B106" s="15" t="s">
        <v>82</v>
      </c>
      <c r="C106" s="94" t="s">
        <v>123</v>
      </c>
      <c r="D106" s="94" t="s">
        <v>28</v>
      </c>
      <c r="E106" s="94" t="s">
        <v>29</v>
      </c>
      <c r="F106" s="94" t="s">
        <v>30</v>
      </c>
      <c r="G106" s="94" t="s">
        <v>31</v>
      </c>
      <c r="H106" s="94" t="s">
        <v>32</v>
      </c>
      <c r="I106" s="94" t="s">
        <v>33</v>
      </c>
      <c r="J106" s="94" t="s">
        <v>34</v>
      </c>
      <c r="K106" s="94" t="s">
        <v>35</v>
      </c>
      <c r="L106" s="94" t="s">
        <v>36</v>
      </c>
      <c r="M106" s="94" t="s">
        <v>37</v>
      </c>
      <c r="N106" s="94" t="s">
        <v>38</v>
      </c>
      <c r="O106" s="94" t="s">
        <v>39</v>
      </c>
      <c r="P106" s="5"/>
    </row>
    <row r="107" spans="2:16" ht="18" customHeight="1" x14ac:dyDescent="0.3">
      <c r="B107" s="15"/>
      <c r="C107" s="19"/>
      <c r="D107" s="19"/>
      <c r="E107" s="19"/>
      <c r="F107" s="19"/>
      <c r="G107" s="19"/>
      <c r="H107" s="19"/>
      <c r="I107" s="19"/>
      <c r="J107" s="19"/>
      <c r="K107" s="19"/>
      <c r="L107" s="19"/>
      <c r="M107" s="19"/>
      <c r="N107" s="19"/>
      <c r="O107" s="19"/>
      <c r="P107" s="19"/>
    </row>
    <row r="108" spans="2:16" ht="18" customHeight="1" x14ac:dyDescent="0.3">
      <c r="B108" s="11"/>
      <c r="C108" s="37"/>
      <c r="D108" s="11"/>
      <c r="E108" s="11"/>
      <c r="F108" s="11"/>
      <c r="G108" s="11"/>
      <c r="H108" s="11"/>
      <c r="I108" s="11"/>
      <c r="J108" s="11"/>
      <c r="K108" s="11"/>
      <c r="L108" s="11"/>
      <c r="M108" s="11"/>
      <c r="N108" s="11"/>
      <c r="P108" s="19"/>
    </row>
    <row r="109" spans="2:16" ht="18" customHeight="1" x14ac:dyDescent="0.3">
      <c r="B109" s="8" t="s">
        <v>141</v>
      </c>
      <c r="C109" s="37"/>
      <c r="D109" s="11"/>
      <c r="E109" s="11"/>
      <c r="F109" s="11"/>
      <c r="G109" s="11"/>
      <c r="H109" s="11"/>
      <c r="I109" s="11"/>
      <c r="J109" s="11"/>
      <c r="K109" s="11"/>
      <c r="L109" s="11"/>
      <c r="M109" s="11"/>
      <c r="N109" s="11"/>
    </row>
    <row r="110" spans="2:16" ht="18" customHeight="1" x14ac:dyDescent="0.3">
      <c r="B110" s="93" t="s">
        <v>84</v>
      </c>
      <c r="C110" s="90" t="s">
        <v>123</v>
      </c>
      <c r="D110" s="90" t="s">
        <v>28</v>
      </c>
      <c r="E110" s="90" t="s">
        <v>29</v>
      </c>
      <c r="F110" s="90" t="s">
        <v>30</v>
      </c>
      <c r="G110" s="90" t="s">
        <v>31</v>
      </c>
      <c r="H110" s="90" t="s">
        <v>32</v>
      </c>
      <c r="I110" s="90" t="s">
        <v>33</v>
      </c>
      <c r="J110" s="90" t="s">
        <v>34</v>
      </c>
      <c r="K110" s="90" t="s">
        <v>35</v>
      </c>
      <c r="L110" s="90" t="s">
        <v>36</v>
      </c>
      <c r="M110" s="90" t="s">
        <v>37</v>
      </c>
      <c r="N110" s="90" t="s">
        <v>38</v>
      </c>
      <c r="O110" s="90" t="s">
        <v>39</v>
      </c>
      <c r="P110" s="5"/>
    </row>
    <row r="111" spans="2:16" ht="18" customHeight="1" x14ac:dyDescent="0.3">
      <c r="B111" s="4"/>
      <c r="C111" s="7"/>
      <c r="D111" s="7" t="e">
        <f>-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f>
        <v>#N/A</v>
      </c>
      <c r="E111" s="7" t="e">
        <f>-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f>
        <v>#N/A</v>
      </c>
      <c r="F111" s="7" t="e">
        <f>-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f>
        <v>#N/A</v>
      </c>
      <c r="G111" s="7" t="e">
        <f>-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f>
        <v>#N/A</v>
      </c>
      <c r="H111" s="7" t="e">
        <f>-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f>
        <v>#N/A</v>
      </c>
      <c r="I111" s="7" t="e">
        <f>-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f>
        <v>#N/A</v>
      </c>
      <c r="J111" s="7" t="e">
        <f>-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f>
        <v>#N/A</v>
      </c>
      <c r="K111" s="7" t="e">
        <f>-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f>
        <v>#N/A</v>
      </c>
      <c r="L111" s="7" t="e">
        <f>-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f>
        <v>#N/A</v>
      </c>
      <c r="M111" s="7" t="e">
        <f>-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f>
        <v>#N/A</v>
      </c>
      <c r="N111" s="7" t="e">
        <f>-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f>
        <v>#N/A</v>
      </c>
      <c r="O111" s="7" t="e">
        <f>-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f>
        <v>#N/A</v>
      </c>
      <c r="P111" s="7"/>
    </row>
    <row r="112" spans="2:16" ht="18" customHeight="1" x14ac:dyDescent="0.3">
      <c r="B112" s="100" t="s">
        <v>122</v>
      </c>
      <c r="C112" s="100"/>
      <c r="D112" s="100" t="e">
        <f>SUBTOTAL(109,Table_KeHoach_ChiPhiThanhToan[Tháng 1])</f>
        <v>#N/A</v>
      </c>
      <c r="E112" s="100" t="e">
        <f>SUBTOTAL(109,Table_KeHoach_ChiPhiThanhToan[Tháng 2])</f>
        <v>#N/A</v>
      </c>
      <c r="F112" s="100" t="e">
        <f>SUBTOTAL(109,Table_KeHoach_ChiPhiThanhToan[Tháng 3])</f>
        <v>#N/A</v>
      </c>
      <c r="G112" s="100" t="e">
        <f>SUBTOTAL(109,Table_KeHoach_ChiPhiThanhToan[Tháng 4])</f>
        <v>#N/A</v>
      </c>
      <c r="H112" s="100" t="e">
        <f>SUBTOTAL(109,Table_KeHoach_ChiPhiThanhToan[Tháng 5])</f>
        <v>#N/A</v>
      </c>
      <c r="I112" s="100" t="e">
        <f>SUBTOTAL(109,Table_KeHoach_ChiPhiThanhToan[Tháng 6])</f>
        <v>#N/A</v>
      </c>
      <c r="J112" s="100" t="e">
        <f>SUBTOTAL(109,Table_KeHoach_ChiPhiThanhToan[Tháng 7])</f>
        <v>#N/A</v>
      </c>
      <c r="K112" s="100" t="e">
        <f>SUBTOTAL(109,Table_KeHoach_ChiPhiThanhToan[Tháng 8])</f>
        <v>#N/A</v>
      </c>
      <c r="L112" s="100" t="e">
        <f>SUBTOTAL(109,Table_KeHoach_ChiPhiThanhToan[Tháng 9])</f>
        <v>#N/A</v>
      </c>
      <c r="M112" s="100" t="e">
        <f>SUBTOTAL(109,Table_KeHoach_ChiPhiThanhToan[Tháng 10])</f>
        <v>#N/A</v>
      </c>
      <c r="N112" s="100" t="e">
        <f>SUBTOTAL(109,Table_KeHoach_ChiPhiThanhToan[Tháng 11])</f>
        <v>#N/A</v>
      </c>
      <c r="O112" s="100" t="e">
        <f>SUBTOTAL(109,Table_KeHoach_ChiPhiThanhToan[Tháng 12])</f>
        <v>#N/A</v>
      </c>
    </row>
    <row r="114" spans="2:16" ht="18" customHeight="1" x14ac:dyDescent="0.3">
      <c r="B114" s="2" t="s">
        <v>142</v>
      </c>
      <c r="P114" s="5"/>
    </row>
    <row r="115" spans="2:16" ht="18" customHeight="1" x14ac:dyDescent="0.3">
      <c r="B115" s="2" t="s">
        <v>85</v>
      </c>
      <c r="C115" s="3" t="s">
        <v>123</v>
      </c>
      <c r="D115" s="5" t="s">
        <v>28</v>
      </c>
      <c r="E115" s="5" t="s">
        <v>29</v>
      </c>
      <c r="F115" s="5" t="s">
        <v>30</v>
      </c>
      <c r="G115" s="5" t="s">
        <v>31</v>
      </c>
      <c r="H115" s="5" t="s">
        <v>32</v>
      </c>
      <c r="I115" s="5" t="s">
        <v>33</v>
      </c>
      <c r="J115" s="5" t="s">
        <v>34</v>
      </c>
      <c r="K115" s="5" t="s">
        <v>35</v>
      </c>
      <c r="L115" s="5" t="s">
        <v>36</v>
      </c>
      <c r="M115" s="5" t="s">
        <v>37</v>
      </c>
      <c r="N115" s="5" t="s">
        <v>38</v>
      </c>
      <c r="O115" s="5" t="s">
        <v>39</v>
      </c>
      <c r="P115" s="27"/>
    </row>
    <row r="116" spans="2:16" ht="18" customHeight="1" x14ac:dyDescent="0.3">
      <c r="B116" s="15" t="s">
        <v>86</v>
      </c>
      <c r="C116" s="19"/>
      <c r="D116" s="19"/>
      <c r="E116" s="19"/>
      <c r="F116" s="19"/>
      <c r="G116" s="19"/>
      <c r="H116" s="19"/>
      <c r="I116" s="19"/>
      <c r="J116" s="19"/>
      <c r="K116" s="19"/>
      <c r="L116" s="19"/>
      <c r="M116" s="19"/>
      <c r="N116" s="19"/>
      <c r="O116" s="19"/>
      <c r="P116" s="25"/>
    </row>
    <row r="117" spans="2:16" ht="18" customHeight="1" x14ac:dyDescent="0.3">
      <c r="B117" s="99" t="s">
        <v>49</v>
      </c>
      <c r="C117" s="99"/>
      <c r="D117" s="99" t="e">
        <f>-D116*HLOOKUP(D$115,Table_KeHoach_DoanhThu[#All],COUNTA(Table_KeHoach_DoanhThu[[#All],[Kế hoạch doanh thu]]),0)</f>
        <v>#N/A</v>
      </c>
      <c r="E117" s="99" t="e">
        <f>-E116*HLOOKUP(E$115,Table_KeHoach_DoanhThu[#All],COUNTA(Table_KeHoach_DoanhThu[[#All],[Kế hoạch doanh thu]]),0)</f>
        <v>#N/A</v>
      </c>
      <c r="F117" s="99" t="e">
        <f>-F116*HLOOKUP(F$115,Table_KeHoach_DoanhThu[#All],COUNTA(Table_KeHoach_DoanhThu[[#All],[Kế hoạch doanh thu]]),0)</f>
        <v>#N/A</v>
      </c>
      <c r="G117" s="99" t="e">
        <f>-G116*HLOOKUP(G$115,Table_KeHoach_DoanhThu[#All],COUNTA(Table_KeHoach_DoanhThu[[#All],[Kế hoạch doanh thu]]),0)</f>
        <v>#N/A</v>
      </c>
      <c r="H117" s="99" t="e">
        <f>-H116*HLOOKUP(H$115,Table_KeHoach_DoanhThu[#All],COUNTA(Table_KeHoach_DoanhThu[[#All],[Kế hoạch doanh thu]]),0)</f>
        <v>#N/A</v>
      </c>
      <c r="I117" s="99" t="e">
        <f>-I116*HLOOKUP(I$115,Table_KeHoach_DoanhThu[#All],COUNTA(Table_KeHoach_DoanhThu[[#All],[Kế hoạch doanh thu]]),0)</f>
        <v>#N/A</v>
      </c>
      <c r="J117" s="99" t="e">
        <f>-J116*HLOOKUP(J$115,Table_KeHoach_DoanhThu[#All],COUNTA(Table_KeHoach_DoanhThu[[#All],[Kế hoạch doanh thu]]),0)</f>
        <v>#N/A</v>
      </c>
      <c r="K117" s="99" t="e">
        <f>-K116*HLOOKUP(K$115,Table_KeHoach_DoanhThu[#All],COUNTA(Table_KeHoach_DoanhThu[[#All],[Kế hoạch doanh thu]]),0)</f>
        <v>#N/A</v>
      </c>
      <c r="L117" s="99" t="e">
        <f>-L116*HLOOKUP(L$115,Table_KeHoach_DoanhThu[#All],COUNTA(Table_KeHoach_DoanhThu[[#All],[Kế hoạch doanh thu]]),0)</f>
        <v>#N/A</v>
      </c>
      <c r="M117" s="99" t="e">
        <f>-M116*HLOOKUP(M$115,Table_KeHoach_DoanhThu[#All],COUNTA(Table_KeHoach_DoanhThu[[#All],[Kế hoạch doanh thu]]),0)</f>
        <v>#N/A</v>
      </c>
      <c r="N117" s="99" t="e">
        <f>-N116*HLOOKUP(N$115,Table_KeHoach_DoanhThu[#All],COUNTA(Table_KeHoach_DoanhThu[[#All],[Kế hoạch doanh thu]]),0)</f>
        <v>#N/A</v>
      </c>
      <c r="O117" s="99" t="e">
        <f>-O116*HLOOKUP(O$115,Table_KeHoach_DoanhThu[#All],COUNTA(Table_KeHoach_DoanhThu[[#All],[Kế hoạch doanh thu]]),0)</f>
        <v>#N/A</v>
      </c>
      <c r="P117" s="25"/>
    </row>
    <row r="119" spans="2:16" ht="18" customHeight="1" x14ac:dyDescent="0.3">
      <c r="B119" s="2" t="s">
        <v>143</v>
      </c>
      <c r="P119" s="5"/>
    </row>
    <row r="120" spans="2:16" ht="18" customHeight="1" x14ac:dyDescent="0.3">
      <c r="B120" s="4" t="s">
        <v>87</v>
      </c>
      <c r="C120" s="90" t="s">
        <v>123</v>
      </c>
      <c r="D120" s="90" t="s">
        <v>28</v>
      </c>
      <c r="E120" s="90" t="s">
        <v>29</v>
      </c>
      <c r="F120" s="90" t="s">
        <v>30</v>
      </c>
      <c r="G120" s="90" t="s">
        <v>31</v>
      </c>
      <c r="H120" s="90" t="s">
        <v>32</v>
      </c>
      <c r="I120" s="90" t="s">
        <v>33</v>
      </c>
      <c r="J120" s="90" t="s">
        <v>34</v>
      </c>
      <c r="K120" s="90" t="s">
        <v>35</v>
      </c>
      <c r="L120" s="90" t="s">
        <v>36</v>
      </c>
      <c r="M120" s="90" t="s">
        <v>37</v>
      </c>
      <c r="N120" s="90" t="s">
        <v>38</v>
      </c>
      <c r="O120" s="90" t="s">
        <v>39</v>
      </c>
      <c r="P120" s="67"/>
    </row>
    <row r="121" spans="2:16" ht="18" customHeight="1" x14ac:dyDescent="0.3">
      <c r="B121" s="4"/>
      <c r="C121" s="4"/>
      <c r="D121" s="4"/>
      <c r="E121" s="4"/>
      <c r="F121" s="4"/>
      <c r="G121" s="4"/>
      <c r="H121" s="4"/>
      <c r="I121" s="4"/>
      <c r="J121" s="4"/>
      <c r="K121" s="4"/>
      <c r="L121" s="4"/>
      <c r="M121" s="4"/>
      <c r="N121" s="4"/>
      <c r="O121" s="4"/>
      <c r="P121" s="67"/>
    </row>
    <row r="123" spans="2:16" ht="18" customHeight="1" x14ac:dyDescent="0.3">
      <c r="B123" s="2" t="s">
        <v>144</v>
      </c>
      <c r="P123" s="5"/>
    </row>
    <row r="124" spans="2:16" ht="18" customHeight="1" x14ac:dyDescent="0.3">
      <c r="B124" s="93" t="s">
        <v>165</v>
      </c>
      <c r="C124" s="90" t="s">
        <v>123</v>
      </c>
      <c r="D124" s="90" t="s">
        <v>28</v>
      </c>
      <c r="E124" s="90" t="s">
        <v>29</v>
      </c>
      <c r="F124" s="90" t="s">
        <v>30</v>
      </c>
      <c r="G124" s="90" t="s">
        <v>31</v>
      </c>
      <c r="H124" s="90" t="s">
        <v>32</v>
      </c>
      <c r="I124" s="90" t="s">
        <v>33</v>
      </c>
      <c r="J124" s="90" t="s">
        <v>34</v>
      </c>
      <c r="K124" s="90" t="s">
        <v>35</v>
      </c>
      <c r="L124" s="90" t="s">
        <v>36</v>
      </c>
      <c r="M124" s="90" t="s">
        <v>37</v>
      </c>
      <c r="N124" s="90" t="s">
        <v>38</v>
      </c>
      <c r="O124" s="90" t="s">
        <v>39</v>
      </c>
      <c r="P124" s="7"/>
    </row>
    <row r="125" spans="2:16" ht="18" customHeight="1" x14ac:dyDescent="0.3">
      <c r="B125" s="4"/>
      <c r="C125" s="7"/>
      <c r="D125" s="7" t="e">
        <f>-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f>
        <v>#N/A</v>
      </c>
      <c r="E125" s="7" t="e">
        <f>-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f>
        <v>#N/A</v>
      </c>
      <c r="F125" s="7" t="e">
        <f>-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f>
        <v>#N/A</v>
      </c>
      <c r="G125" s="7" t="e">
        <f>-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f>
        <v>#N/A</v>
      </c>
      <c r="H125" s="7" t="e">
        <f>-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f>
        <v>#N/A</v>
      </c>
      <c r="I125" s="7" t="e">
        <f>-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f>
        <v>#N/A</v>
      </c>
      <c r="J125" s="7" t="e">
        <f>-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f>
        <v>#N/A</v>
      </c>
      <c r="K125" s="7" t="e">
        <f>-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f>
        <v>#N/A</v>
      </c>
      <c r="L125" s="7" t="e">
        <f>-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f>
        <v>#N/A</v>
      </c>
      <c r="M125" s="7" t="e">
        <f>-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f>
        <v>#N/A</v>
      </c>
      <c r="N125" s="7" t="e">
        <f>-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f>
        <v>#N/A</v>
      </c>
      <c r="O125" s="7" t="e">
        <f>-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f>
        <v>#N/A</v>
      </c>
      <c r="P125" s="7"/>
    </row>
    <row r="126" spans="2:16" ht="18" customHeight="1" x14ac:dyDescent="0.3">
      <c r="B126" s="100" t="s">
        <v>122</v>
      </c>
      <c r="C126" s="100"/>
      <c r="D126" s="100" t="e">
        <f>SUBTOTAL(109,Table_KeHoach_LuongGross[Tháng 1])</f>
        <v>#N/A</v>
      </c>
      <c r="E126" s="100" t="e">
        <f>SUBTOTAL(109,Table_KeHoach_LuongGross[Tháng 2])</f>
        <v>#N/A</v>
      </c>
      <c r="F126" s="100" t="e">
        <f>SUBTOTAL(109,Table_KeHoach_LuongGross[Tháng 3])</f>
        <v>#N/A</v>
      </c>
      <c r="G126" s="100" t="e">
        <f>SUBTOTAL(109,Table_KeHoach_LuongGross[Tháng 4])</f>
        <v>#N/A</v>
      </c>
      <c r="H126" s="100" t="e">
        <f>SUBTOTAL(109,Table_KeHoach_LuongGross[Tháng 5])</f>
        <v>#N/A</v>
      </c>
      <c r="I126" s="100" t="e">
        <f>SUBTOTAL(109,Table_KeHoach_LuongGross[Tháng 6])</f>
        <v>#N/A</v>
      </c>
      <c r="J126" s="100" t="e">
        <f>SUBTOTAL(109,Table_KeHoach_LuongGross[Tháng 7])</f>
        <v>#N/A</v>
      </c>
      <c r="K126" s="100" t="e">
        <f>SUBTOTAL(109,Table_KeHoach_LuongGross[Tháng 8])</f>
        <v>#N/A</v>
      </c>
      <c r="L126" s="100" t="e">
        <f>SUBTOTAL(109,Table_KeHoach_LuongGross[Tháng 9])</f>
        <v>#N/A</v>
      </c>
      <c r="M126" s="100" t="e">
        <f>SUBTOTAL(109,Table_KeHoach_LuongGross[Tháng 10])</f>
        <v>#N/A</v>
      </c>
      <c r="N126" s="100" t="e">
        <f>SUBTOTAL(109,Table_KeHoach_LuongGross[Tháng 11])</f>
        <v>#N/A</v>
      </c>
      <c r="O126" s="100" t="e">
        <f>SUBTOTAL(109,Table_KeHoach_LuongGross[Tháng 12])</f>
        <v>#N/A</v>
      </c>
    </row>
    <row r="127" spans="2:16" ht="18" customHeight="1" x14ac:dyDescent="0.3">
      <c r="P127" s="5"/>
    </row>
    <row r="128" spans="2:16" ht="18" customHeight="1" x14ac:dyDescent="0.3">
      <c r="B128" s="2" t="s">
        <v>145</v>
      </c>
      <c r="P128" s="67"/>
    </row>
    <row r="129" spans="2:16" ht="18" customHeight="1" x14ac:dyDescent="0.3">
      <c r="B129" s="4" t="s">
        <v>88</v>
      </c>
      <c r="C129" s="90" t="s">
        <v>123</v>
      </c>
      <c r="D129" s="90" t="s">
        <v>28</v>
      </c>
      <c r="E129" s="90" t="s">
        <v>29</v>
      </c>
      <c r="F129" s="90" t="s">
        <v>30</v>
      </c>
      <c r="G129" s="90" t="s">
        <v>31</v>
      </c>
      <c r="H129" s="90" t="s">
        <v>32</v>
      </c>
      <c r="I129" s="90" t="s">
        <v>33</v>
      </c>
      <c r="J129" s="90" t="s">
        <v>34</v>
      </c>
      <c r="K129" s="90" t="s">
        <v>35</v>
      </c>
      <c r="L129" s="90" t="s">
        <v>36</v>
      </c>
      <c r="M129" s="90" t="s">
        <v>37</v>
      </c>
      <c r="N129" s="90" t="s">
        <v>38</v>
      </c>
      <c r="O129" s="90" t="s">
        <v>39</v>
      </c>
    </row>
    <row r="130" spans="2:16" ht="18" customHeight="1" x14ac:dyDescent="0.3">
      <c r="B130" s="4"/>
      <c r="C130" s="4"/>
      <c r="D130" s="4"/>
      <c r="E130" s="4"/>
      <c r="F130" s="4"/>
      <c r="G130" s="4"/>
      <c r="H130" s="4"/>
      <c r="I130" s="4"/>
      <c r="J130" s="4"/>
      <c r="K130" s="4"/>
      <c r="L130" s="4"/>
      <c r="M130" s="4"/>
      <c r="N130" s="4"/>
      <c r="O130" s="4"/>
      <c r="P130" s="5"/>
    </row>
    <row r="131" spans="2:16" ht="18" customHeight="1" x14ac:dyDescent="0.3">
      <c r="B131" s="100" t="s">
        <v>122</v>
      </c>
      <c r="C131" s="100"/>
      <c r="D131" s="100">
        <f>SUBTOTAL(109,Table_KeHoach_ThuongNhanSu[Tháng 1])</f>
        <v>0</v>
      </c>
      <c r="E131" s="100">
        <f>SUBTOTAL(109,Table_KeHoach_ThuongNhanSu[Tháng 2])</f>
        <v>0</v>
      </c>
      <c r="F131" s="100">
        <f>SUBTOTAL(109,Table_KeHoach_ThuongNhanSu[Tháng 3])</f>
        <v>0</v>
      </c>
      <c r="G131" s="100">
        <f>SUBTOTAL(109,Table_KeHoach_ThuongNhanSu[Tháng 4])</f>
        <v>0</v>
      </c>
      <c r="H131" s="100">
        <f>SUBTOTAL(109,Table_KeHoach_ThuongNhanSu[Tháng 5])</f>
        <v>0</v>
      </c>
      <c r="I131" s="100">
        <f>SUBTOTAL(109,Table_KeHoach_ThuongNhanSu[Tháng 6])</f>
        <v>0</v>
      </c>
      <c r="J131" s="100">
        <f>SUBTOTAL(109,Table_KeHoach_ThuongNhanSu[Tháng 7])</f>
        <v>0</v>
      </c>
      <c r="K131" s="100">
        <f>SUBTOTAL(109,Table_KeHoach_ThuongNhanSu[Tháng 8])</f>
        <v>0</v>
      </c>
      <c r="L131" s="100">
        <f>SUBTOTAL(109,Table_KeHoach_ThuongNhanSu[Tháng 9])</f>
        <v>0</v>
      </c>
      <c r="M131" s="100">
        <f>SUBTOTAL(109,Table_KeHoach_ThuongNhanSu[Tháng 10])</f>
        <v>0</v>
      </c>
      <c r="N131" s="100">
        <f>SUBTOTAL(109,Table_KeHoach_ThuongNhanSu[Tháng 11])</f>
        <v>0</v>
      </c>
      <c r="O131" s="100">
        <f>SUBTOTAL(109,Table_KeHoach_ThuongNhanSu[Tháng 12])</f>
        <v>0</v>
      </c>
      <c r="P131" s="5"/>
    </row>
    <row r="133" spans="2:16" ht="18" customHeight="1" x14ac:dyDescent="0.3">
      <c r="B133" s="2" t="s">
        <v>146</v>
      </c>
    </row>
    <row r="134" spans="2:16" ht="18" customHeight="1" x14ac:dyDescent="0.3">
      <c r="B134" s="4" t="s">
        <v>89</v>
      </c>
      <c r="C134" s="90" t="s">
        <v>123</v>
      </c>
      <c r="D134" s="90" t="s">
        <v>28</v>
      </c>
      <c r="E134" s="90" t="s">
        <v>29</v>
      </c>
      <c r="F134" s="90" t="s">
        <v>30</v>
      </c>
      <c r="G134" s="90" t="s">
        <v>31</v>
      </c>
      <c r="H134" s="90" t="s">
        <v>32</v>
      </c>
      <c r="I134" s="90" t="s">
        <v>33</v>
      </c>
      <c r="J134" s="90" t="s">
        <v>34</v>
      </c>
      <c r="K134" s="90" t="s">
        <v>35</v>
      </c>
      <c r="L134" s="90" t="s">
        <v>36</v>
      </c>
      <c r="M134" s="90" t="s">
        <v>37</v>
      </c>
      <c r="N134" s="90" t="s">
        <v>38</v>
      </c>
      <c r="O134" s="90" t="s">
        <v>39</v>
      </c>
    </row>
    <row r="135" spans="2:16" ht="18" customHeight="1" x14ac:dyDescent="0.3">
      <c r="B135" s="106" t="s">
        <v>90</v>
      </c>
      <c r="C135" s="4"/>
      <c r="D135" s="4"/>
      <c r="E135" s="4"/>
      <c r="F135" s="4"/>
      <c r="G135" s="4"/>
      <c r="H135" s="4"/>
      <c r="I135" s="4"/>
      <c r="J135" s="4"/>
      <c r="K135" s="4"/>
      <c r="L135" s="4"/>
      <c r="M135" s="4"/>
      <c r="N135" s="4"/>
      <c r="O135" s="4"/>
      <c r="P135" s="11"/>
    </row>
    <row r="136" spans="2:16" ht="18" customHeight="1" x14ac:dyDescent="0.3">
      <c r="B136" s="106" t="s">
        <v>91</v>
      </c>
      <c r="C136" s="4"/>
      <c r="D136" s="4"/>
      <c r="E136" s="4"/>
      <c r="F136" s="4"/>
      <c r="G136" s="4"/>
      <c r="H136" s="4"/>
      <c r="I136" s="4"/>
      <c r="J136" s="4"/>
      <c r="K136" s="4"/>
      <c r="L136" s="4"/>
      <c r="M136" s="4"/>
      <c r="N136" s="4"/>
      <c r="O136" s="4"/>
      <c r="P136" s="5"/>
    </row>
    <row r="137" spans="2:16" ht="18" customHeight="1" x14ac:dyDescent="0.3">
      <c r="B137" s="106" t="s">
        <v>92</v>
      </c>
      <c r="C137" s="4"/>
      <c r="D137" s="4"/>
      <c r="E137" s="4"/>
      <c r="F137" s="4"/>
      <c r="G137" s="4"/>
      <c r="H137" s="4"/>
      <c r="I137" s="4"/>
      <c r="J137" s="4"/>
      <c r="K137" s="4"/>
      <c r="L137" s="4"/>
      <c r="M137" s="4"/>
      <c r="N137" s="4"/>
      <c r="O137" s="4"/>
      <c r="P137" s="5"/>
    </row>
    <row r="138" spans="2:16" ht="18" customHeight="1" x14ac:dyDescent="0.3">
      <c r="B138" s="11"/>
      <c r="C138" s="37"/>
      <c r="D138" s="11"/>
      <c r="E138" s="11"/>
      <c r="F138" s="11"/>
      <c r="G138" s="11"/>
      <c r="H138" s="11"/>
      <c r="I138" s="11"/>
      <c r="J138" s="11"/>
      <c r="K138" s="11"/>
      <c r="L138" s="11"/>
      <c r="M138" s="11"/>
      <c r="N138" s="11"/>
      <c r="O138" s="11"/>
    </row>
    <row r="139" spans="2:16" ht="18" customHeight="1" x14ac:dyDescent="0.3">
      <c r="B139" s="2" t="s">
        <v>147</v>
      </c>
      <c r="C139" s="37"/>
      <c r="D139" s="11"/>
      <c r="E139" s="11"/>
      <c r="F139" s="11"/>
      <c r="G139" s="11"/>
      <c r="H139" s="11"/>
      <c r="I139" s="11"/>
      <c r="J139" s="11"/>
      <c r="K139" s="11"/>
      <c r="L139" s="11"/>
      <c r="M139" s="11"/>
      <c r="N139" s="11"/>
      <c r="O139" s="11"/>
    </row>
    <row r="140" spans="2:16" ht="18" customHeight="1" x14ac:dyDescent="0.3">
      <c r="B140" s="4" t="s">
        <v>89</v>
      </c>
      <c r="C140" s="90" t="s">
        <v>123</v>
      </c>
      <c r="D140" s="90" t="s">
        <v>28</v>
      </c>
      <c r="E140" s="90" t="s">
        <v>29</v>
      </c>
      <c r="F140" s="90" t="s">
        <v>30</v>
      </c>
      <c r="G140" s="90" t="s">
        <v>31</v>
      </c>
      <c r="H140" s="90" t="s">
        <v>32</v>
      </c>
      <c r="I140" s="90" t="s">
        <v>33</v>
      </c>
      <c r="J140" s="90" t="s">
        <v>34</v>
      </c>
      <c r="K140" s="90" t="s">
        <v>35</v>
      </c>
      <c r="L140" s="90" t="s">
        <v>36</v>
      </c>
      <c r="M140" s="90" t="s">
        <v>37</v>
      </c>
      <c r="N140" s="90" t="s">
        <v>38</v>
      </c>
      <c r="O140" s="90" t="s">
        <v>39</v>
      </c>
    </row>
    <row r="141" spans="2:16" ht="18" customHeight="1" x14ac:dyDescent="0.3">
      <c r="B141" s="4" t="s">
        <v>93</v>
      </c>
      <c r="C141" s="4"/>
      <c r="D141" s="4"/>
      <c r="E141" s="4"/>
      <c r="F141" s="4"/>
      <c r="G141" s="4"/>
      <c r="H141" s="4"/>
      <c r="I141" s="4"/>
      <c r="J141" s="4"/>
      <c r="K141" s="4"/>
      <c r="L141" s="4"/>
      <c r="M141" s="4"/>
      <c r="N141" s="4"/>
      <c r="O141" s="4"/>
    </row>
    <row r="142" spans="2:16" ht="18" customHeight="1" x14ac:dyDescent="0.3">
      <c r="B142" s="106" t="s">
        <v>94</v>
      </c>
      <c r="C142" s="4"/>
      <c r="D142" s="4"/>
      <c r="E142" s="4"/>
      <c r="F142" s="4"/>
      <c r="G142" s="4"/>
      <c r="H142" s="4"/>
      <c r="I142" s="4"/>
      <c r="J142" s="4"/>
      <c r="K142" s="4"/>
      <c r="L142" s="4"/>
      <c r="M142" s="4"/>
      <c r="N142" s="4"/>
      <c r="O142" s="4"/>
    </row>
    <row r="143" spans="2:16" ht="18" customHeight="1" x14ac:dyDescent="0.3">
      <c r="B143" s="100" t="s">
        <v>122</v>
      </c>
      <c r="C143" s="100"/>
      <c r="D143" s="100">
        <f>SUBTOTAL(109,Table_KeHoach_ChiPhiKhac[Tháng 1])</f>
        <v>0</v>
      </c>
      <c r="E143" s="100">
        <f>SUBTOTAL(109,Table_KeHoach_ChiPhiKhac[Tháng 2])</f>
        <v>0</v>
      </c>
      <c r="F143" s="100">
        <f>SUBTOTAL(109,Table_KeHoach_ChiPhiKhac[Tháng 3])</f>
        <v>0</v>
      </c>
      <c r="G143" s="100">
        <f>SUBTOTAL(109,Table_KeHoach_ChiPhiKhac[Tháng 4])</f>
        <v>0</v>
      </c>
      <c r="H143" s="100">
        <f>SUBTOTAL(109,Table_KeHoach_ChiPhiKhac[Tháng 5])</f>
        <v>0</v>
      </c>
      <c r="I143" s="100">
        <f>SUBTOTAL(109,Table_KeHoach_ChiPhiKhac[Tháng 6])</f>
        <v>0</v>
      </c>
      <c r="J143" s="100">
        <f>SUBTOTAL(109,Table_KeHoach_ChiPhiKhac[Tháng 7])</f>
        <v>0</v>
      </c>
      <c r="K143" s="100">
        <f>SUBTOTAL(109,Table_KeHoach_ChiPhiKhac[Tháng 8])</f>
        <v>0</v>
      </c>
      <c r="L143" s="100">
        <f>SUBTOTAL(109,Table_KeHoach_ChiPhiKhac[Tháng 9])</f>
        <v>0</v>
      </c>
      <c r="M143" s="100">
        <f>SUBTOTAL(109,Table_KeHoach_ChiPhiKhac[Tháng 10])</f>
        <v>0</v>
      </c>
      <c r="N143" s="100">
        <f>SUBTOTAL(109,Table_KeHoach_ChiPhiKhac[Tháng 11])</f>
        <v>0</v>
      </c>
      <c r="O143" s="100">
        <f>SUBTOTAL(109,Table_KeHoach_ChiPhiKhac[Tháng 12])</f>
        <v>0</v>
      </c>
      <c r="P143" s="5"/>
    </row>
    <row r="144" spans="2:16" ht="18" customHeight="1" x14ac:dyDescent="0.3">
      <c r="P144" s="68"/>
    </row>
    <row r="145" spans="2:16" ht="18" customHeight="1" x14ac:dyDescent="0.3">
      <c r="B145" s="2" t="s">
        <v>147</v>
      </c>
      <c r="P145" s="68"/>
    </row>
    <row r="146" spans="2:16" ht="18" customHeight="1" x14ac:dyDescent="0.3">
      <c r="B146" s="93" t="s">
        <v>95</v>
      </c>
      <c r="C146" s="90" t="s">
        <v>27</v>
      </c>
      <c r="D146" s="90" t="s">
        <v>28</v>
      </c>
      <c r="E146" s="90" t="s">
        <v>29</v>
      </c>
      <c r="F146" s="90" t="s">
        <v>30</v>
      </c>
      <c r="G146" s="90" t="s">
        <v>31</v>
      </c>
      <c r="H146" s="90" t="s">
        <v>32</v>
      </c>
      <c r="I146" s="90" t="s">
        <v>33</v>
      </c>
      <c r="J146" s="90" t="s">
        <v>34</v>
      </c>
      <c r="K146" s="90" t="s">
        <v>35</v>
      </c>
      <c r="L146" s="90" t="s">
        <v>36</v>
      </c>
      <c r="M146" s="90" t="s">
        <v>37</v>
      </c>
      <c r="N146" s="90" t="s">
        <v>38</v>
      </c>
      <c r="O146" s="90" t="s">
        <v>39</v>
      </c>
      <c r="P146" s="68"/>
    </row>
    <row r="147" spans="2:16" ht="18" customHeight="1" x14ac:dyDescent="0.3">
      <c r="B147" s="107" t="s">
        <v>96</v>
      </c>
      <c r="C147" s="13"/>
      <c r="D147" s="13"/>
      <c r="E147" s="13"/>
      <c r="F147" s="13"/>
      <c r="G147" s="13"/>
      <c r="H147" s="13"/>
      <c r="I147" s="13"/>
      <c r="J147" s="13"/>
      <c r="K147" s="13"/>
      <c r="L147" s="13"/>
      <c r="M147" s="13"/>
      <c r="N147" s="13"/>
      <c r="O147" s="13"/>
    </row>
    <row r="148" spans="2:16" ht="18" customHeight="1" x14ac:dyDescent="0.3">
      <c r="B148" s="107" t="s">
        <v>56</v>
      </c>
      <c r="C148" s="13"/>
      <c r="D148" s="13"/>
      <c r="E148" s="13"/>
      <c r="F148" s="13"/>
      <c r="G148" s="13"/>
      <c r="H148" s="13"/>
      <c r="I148" s="13"/>
      <c r="J148" s="13"/>
      <c r="K148" s="13"/>
      <c r="L148" s="13"/>
      <c r="M148" s="13"/>
      <c r="N148" s="13"/>
      <c r="O148" s="13"/>
      <c r="P148" s="5"/>
    </row>
    <row r="149" spans="2:16" ht="18" customHeight="1" x14ac:dyDescent="0.3">
      <c r="B149" s="7" t="s">
        <v>97</v>
      </c>
      <c r="C149" s="13"/>
      <c r="D149" s="13"/>
      <c r="E149" s="13"/>
      <c r="F149" s="13"/>
      <c r="G149" s="13"/>
      <c r="H149" s="13"/>
      <c r="I149" s="13"/>
      <c r="J149" s="13"/>
      <c r="K149" s="13"/>
      <c r="L149" s="13"/>
      <c r="M149" s="13"/>
      <c r="N149" s="13"/>
      <c r="O149" s="13"/>
      <c r="P149" s="5"/>
    </row>
    <row r="150" spans="2:16" ht="18" customHeight="1" x14ac:dyDescent="0.3">
      <c r="P150" s="9"/>
    </row>
    <row r="151" spans="2:16" ht="18" customHeight="1" x14ac:dyDescent="0.3">
      <c r="B151" s="2" t="s">
        <v>148</v>
      </c>
      <c r="P151" s="9"/>
    </row>
    <row r="152" spans="2:16" ht="18" customHeight="1" x14ac:dyDescent="0.3">
      <c r="B152" s="4" t="s">
        <v>119</v>
      </c>
      <c r="C152" s="90" t="s">
        <v>100</v>
      </c>
      <c r="D152" s="90" t="s">
        <v>28</v>
      </c>
      <c r="E152" s="90" t="s">
        <v>29</v>
      </c>
      <c r="F152" s="90" t="s">
        <v>30</v>
      </c>
      <c r="G152" s="90" t="s">
        <v>31</v>
      </c>
      <c r="H152" s="90" t="s">
        <v>32</v>
      </c>
      <c r="I152" s="90" t="s">
        <v>33</v>
      </c>
      <c r="J152" s="90" t="s">
        <v>34</v>
      </c>
      <c r="K152" s="90" t="s">
        <v>35</v>
      </c>
      <c r="L152" s="90" t="s">
        <v>36</v>
      </c>
      <c r="M152" s="90" t="s">
        <v>37</v>
      </c>
      <c r="N152" s="90" t="s">
        <v>38</v>
      </c>
      <c r="O152" s="90" t="s">
        <v>39</v>
      </c>
      <c r="P152" s="12"/>
    </row>
    <row r="153" spans="2:16" ht="18" customHeight="1" collapsed="1" x14ac:dyDescent="0.3">
      <c r="B153" s="4" t="s">
        <v>120</v>
      </c>
      <c r="C153" s="108"/>
      <c r="D153" s="4"/>
      <c r="E153" s="4"/>
      <c r="F153" s="4"/>
      <c r="G153" s="4"/>
      <c r="H153" s="4"/>
      <c r="I153" s="4"/>
      <c r="J153" s="4"/>
      <c r="K153" s="4"/>
      <c r="L153" s="4"/>
      <c r="M153" s="4"/>
      <c r="N153" s="4"/>
      <c r="O153" s="4"/>
      <c r="P153" s="11"/>
    </row>
    <row r="154" spans="2:16" ht="18" customHeight="1" x14ac:dyDescent="0.3">
      <c r="B154" s="4" t="s">
        <v>121</v>
      </c>
      <c r="C154" s="108"/>
      <c r="D154" s="4"/>
      <c r="E154" s="4"/>
      <c r="F154" s="4"/>
      <c r="G154" s="4"/>
      <c r="H154" s="4"/>
      <c r="I154" s="4"/>
      <c r="J154" s="4"/>
      <c r="K154" s="4"/>
      <c r="L154" s="4"/>
      <c r="M154" s="4"/>
      <c r="N154" s="4"/>
      <c r="O154" s="4"/>
      <c r="P154" s="11"/>
    </row>
    <row r="155" spans="2:16" ht="18" customHeight="1" x14ac:dyDescent="0.3">
      <c r="B155" s="4" t="s">
        <v>99</v>
      </c>
      <c r="C155" s="108">
        <v>0.2</v>
      </c>
      <c r="D155" s="7" t="e">
        <f>Table_KeHoach_ThuePhi[[#This Row],[Thuế suất TNDN]]*(D21-SUM(D24:D30)-D32-SUM(D153:D154))</f>
        <v>#N/A</v>
      </c>
      <c r="E155" s="7" t="e">
        <f>Table_KeHoach_ThuePhi[[#This Row],[Thuế suất TNDN]]*(E21-SUM(E24:E30)-E32-SUM(E153:E154))</f>
        <v>#N/A</v>
      </c>
      <c r="F155" s="7" t="e">
        <f>Table_KeHoach_ThuePhi[[#This Row],[Thuế suất TNDN]]*(F21-SUM(F24:F30)-F32-SUM(F153:F154))</f>
        <v>#N/A</v>
      </c>
      <c r="G155" s="7" t="e">
        <f>Table_KeHoach_ThuePhi[[#This Row],[Thuế suất TNDN]]*(G21-SUM(G24:G30)-G32-SUM(G153:G154))</f>
        <v>#N/A</v>
      </c>
      <c r="H155" s="7" t="e">
        <f>Table_KeHoach_ThuePhi[[#This Row],[Thuế suất TNDN]]*(H21-SUM(H24:H30)-H32-SUM(H153:H154))</f>
        <v>#N/A</v>
      </c>
      <c r="I155" s="7" t="e">
        <f>Table_KeHoach_ThuePhi[[#This Row],[Thuế suất TNDN]]*(I21-SUM(I24:I30)-I32-SUM(I153:I154))</f>
        <v>#N/A</v>
      </c>
      <c r="J155" s="7" t="e">
        <f>Table_KeHoach_ThuePhi[[#This Row],[Thuế suất TNDN]]*(J21-SUM(J24:J30)-J32-SUM(J153:J154))</f>
        <v>#N/A</v>
      </c>
      <c r="K155" s="7" t="e">
        <f>Table_KeHoach_ThuePhi[[#This Row],[Thuế suất TNDN]]*(K21-SUM(K24:K30)-K32-SUM(K153:K154))</f>
        <v>#N/A</v>
      </c>
      <c r="L155" s="7" t="e">
        <f>Table_KeHoach_ThuePhi[[#This Row],[Thuế suất TNDN]]*(L21-SUM(L24:L30)-L32-SUM(L153:L154))</f>
        <v>#N/A</v>
      </c>
      <c r="M155" s="7" t="e">
        <f>Table_KeHoach_ThuePhi[[#This Row],[Thuế suất TNDN]]*(M21-SUM(M24:M30)-M32-SUM(M153:M154))</f>
        <v>#N/A</v>
      </c>
      <c r="N155" s="7" t="e">
        <f>Table_KeHoach_ThuePhi[[#This Row],[Thuế suất TNDN]]*(N21-SUM(N24:N30)-N32-SUM(N153:N154))</f>
        <v>#N/A</v>
      </c>
      <c r="O155" s="7" t="e">
        <f>Table_KeHoach_ThuePhi[[#This Row],[Thuế suất TNDN]]*(O21-SUM(O24:O30)-O32-SUM(O153:O154))</f>
        <v>#N/A</v>
      </c>
      <c r="P155" s="11"/>
    </row>
    <row r="156" spans="2:16" ht="18" customHeight="1" x14ac:dyDescent="0.3">
      <c r="B156" s="12" t="s">
        <v>177</v>
      </c>
      <c r="C156" s="112"/>
      <c r="D156" s="12" t="e">
        <f>SUBTOTAL(109,Table_KeHoach_ThuePhi[Tháng 1])</f>
        <v>#N/A</v>
      </c>
      <c r="E156" s="12" t="e">
        <f>SUBTOTAL(109,Table_KeHoach_ThuePhi[Tháng 2])</f>
        <v>#N/A</v>
      </c>
      <c r="F156" s="12" t="e">
        <f>SUBTOTAL(109,Table_KeHoach_ThuePhi[Tháng 3])</f>
        <v>#N/A</v>
      </c>
      <c r="G156" s="12" t="e">
        <f>SUBTOTAL(109,Table_KeHoach_ThuePhi[Tháng 4])</f>
        <v>#N/A</v>
      </c>
      <c r="H156" s="12" t="e">
        <f>SUBTOTAL(109,Table_KeHoach_ThuePhi[Tháng 5])</f>
        <v>#N/A</v>
      </c>
      <c r="I156" s="12" t="e">
        <f>SUBTOTAL(109,Table_KeHoach_ThuePhi[Tháng 6])</f>
        <v>#N/A</v>
      </c>
      <c r="J156" s="12" t="e">
        <f>SUBTOTAL(109,Table_KeHoach_ThuePhi[Tháng 7])</f>
        <v>#N/A</v>
      </c>
      <c r="K156" s="12" t="e">
        <f>SUBTOTAL(109,Table_KeHoach_ThuePhi[Tháng 8])</f>
        <v>#N/A</v>
      </c>
      <c r="L156" s="12" t="e">
        <f>SUBTOTAL(109,Table_KeHoach_ThuePhi[Tháng 9])</f>
        <v>#N/A</v>
      </c>
      <c r="M156" s="12" t="e">
        <f>SUBTOTAL(109,Table_KeHoach_ThuePhi[Tháng 10])</f>
        <v>#N/A</v>
      </c>
      <c r="N156" s="12" t="e">
        <f>SUBTOTAL(109,Table_KeHoach_ThuePhi[Tháng 11])</f>
        <v>#N/A</v>
      </c>
      <c r="O156" s="12" t="e">
        <f>SUBTOTAL(109,Table_KeHoach_ThuePhi[Tháng 12])</f>
        <v>#N/A</v>
      </c>
      <c r="P156" s="5"/>
    </row>
    <row r="157" spans="2:16" ht="18" customHeight="1" x14ac:dyDescent="0.3">
      <c r="D157" s="11"/>
      <c r="E157" s="11"/>
      <c r="F157" s="11"/>
      <c r="G157" s="11"/>
      <c r="H157" s="11"/>
      <c r="I157" s="11"/>
      <c r="J157" s="11"/>
      <c r="K157" s="11"/>
      <c r="L157" s="11"/>
      <c r="M157" s="11"/>
      <c r="N157" s="11"/>
      <c r="O157" s="11"/>
    </row>
    <row r="158" spans="2:16" ht="18" customHeight="1" x14ac:dyDescent="0.3">
      <c r="B158" s="2" t="s">
        <v>149</v>
      </c>
      <c r="D158" s="11"/>
      <c r="E158" s="11"/>
      <c r="F158" s="11"/>
      <c r="G158" s="11"/>
      <c r="H158" s="11"/>
      <c r="I158" s="11"/>
      <c r="J158" s="11"/>
      <c r="K158" s="11"/>
      <c r="L158" s="11"/>
      <c r="M158" s="11"/>
      <c r="N158" s="11"/>
      <c r="O158" s="11"/>
    </row>
    <row r="159" spans="2:16" ht="18" customHeight="1" x14ac:dyDescent="0.3">
      <c r="B159" s="4" t="s">
        <v>57</v>
      </c>
      <c r="C159" s="90" t="s">
        <v>123</v>
      </c>
      <c r="D159" s="90" t="s">
        <v>28</v>
      </c>
      <c r="E159" s="90" t="s">
        <v>29</v>
      </c>
      <c r="F159" s="90" t="s">
        <v>30</v>
      </c>
      <c r="G159" s="90" t="s">
        <v>31</v>
      </c>
      <c r="H159" s="90" t="s">
        <v>32</v>
      </c>
      <c r="I159" s="90" t="s">
        <v>33</v>
      </c>
      <c r="J159" s="90" t="s">
        <v>34</v>
      </c>
      <c r="K159" s="90" t="s">
        <v>35</v>
      </c>
      <c r="L159" s="90" t="s">
        <v>36</v>
      </c>
      <c r="M159" s="90" t="s">
        <v>37</v>
      </c>
      <c r="N159" s="90" t="s">
        <v>38</v>
      </c>
      <c r="O159" s="90" t="s">
        <v>39</v>
      </c>
      <c r="P159" s="4"/>
    </row>
    <row r="160" spans="2:16" ht="18" customHeight="1" x14ac:dyDescent="0.3">
      <c r="B160" s="4" t="s">
        <v>24</v>
      </c>
      <c r="C160" s="108"/>
      <c r="D160" s="4"/>
      <c r="E160" s="4"/>
      <c r="F160" s="4"/>
      <c r="G160" s="4"/>
      <c r="H160" s="4"/>
      <c r="I160" s="4"/>
      <c r="J160" s="4"/>
      <c r="K160" s="4"/>
      <c r="L160" s="4"/>
      <c r="M160" s="4"/>
      <c r="N160" s="4"/>
      <c r="O160" s="4"/>
      <c r="P160" s="90"/>
    </row>
    <row r="161" spans="2:16" s="11" customFormat="1" ht="18" customHeight="1" x14ac:dyDescent="0.3">
      <c r="B161" s="7" t="s">
        <v>122</v>
      </c>
      <c r="C161" s="109"/>
      <c r="D161" s="7">
        <f>SUBTOTAL(109,Table_KeHoach_CPKhac[Tháng 1])</f>
        <v>0</v>
      </c>
      <c r="E161" s="7">
        <f>SUBTOTAL(109,Table_KeHoach_CPKhac[Tháng 2])</f>
        <v>0</v>
      </c>
      <c r="F161" s="7">
        <f>SUBTOTAL(109,Table_KeHoach_CPKhac[Tháng 3])</f>
        <v>0</v>
      </c>
      <c r="G161" s="7">
        <f>SUBTOTAL(109,Table_KeHoach_CPKhac[Tháng 4])</f>
        <v>0</v>
      </c>
      <c r="H161" s="7">
        <f>SUBTOTAL(109,Table_KeHoach_CPKhac[Tháng 5])</f>
        <v>0</v>
      </c>
      <c r="I161" s="7">
        <f>SUBTOTAL(109,Table_KeHoach_CPKhac[Tháng 6])</f>
        <v>0</v>
      </c>
      <c r="J161" s="7">
        <f>SUBTOTAL(109,Table_KeHoach_CPKhac[Tháng 7])</f>
        <v>0</v>
      </c>
      <c r="K161" s="7">
        <f>SUBTOTAL(109,Table_KeHoach_CPKhac[Tháng 8])</f>
        <v>0</v>
      </c>
      <c r="L161" s="7">
        <f>SUBTOTAL(109,Table_KeHoach_CPKhac[Tháng 9])</f>
        <v>0</v>
      </c>
      <c r="M161" s="7">
        <f>SUBTOTAL(109,Table_KeHoach_CPKhac[Tháng 10])</f>
        <v>0</v>
      </c>
      <c r="N161" s="7">
        <f>SUBTOTAL(109,Table_KeHoach_CPKhac[Tháng 11])</f>
        <v>0</v>
      </c>
      <c r="O161" s="7">
        <f>SUBTOTAL(109,Table_KeHoach_CPKhac[Tháng 12])</f>
        <v>0</v>
      </c>
      <c r="P161" s="7"/>
    </row>
    <row r="163" spans="2:16" ht="18" customHeight="1" x14ac:dyDescent="0.3">
      <c r="B163" s="2" t="s">
        <v>150</v>
      </c>
    </row>
    <row r="164" spans="2:16" ht="18" customHeight="1" x14ac:dyDescent="0.3">
      <c r="B164" s="15" t="s">
        <v>21</v>
      </c>
      <c r="C164" s="94" t="s">
        <v>123</v>
      </c>
      <c r="D164" s="94" t="s">
        <v>28</v>
      </c>
      <c r="E164" s="94" t="s">
        <v>29</v>
      </c>
      <c r="F164" s="94" t="s">
        <v>30</v>
      </c>
      <c r="G164" s="94" t="s">
        <v>31</v>
      </c>
      <c r="H164" s="94" t="s">
        <v>32</v>
      </c>
      <c r="I164" s="94" t="s">
        <v>33</v>
      </c>
      <c r="J164" s="94" t="s">
        <v>34</v>
      </c>
      <c r="K164" s="94" t="s">
        <v>35</v>
      </c>
      <c r="L164" s="94" t="s">
        <v>36</v>
      </c>
      <c r="M164" s="94" t="s">
        <v>37</v>
      </c>
      <c r="N164" s="94" t="s">
        <v>38</v>
      </c>
      <c r="O164" s="94" t="s">
        <v>39</v>
      </c>
      <c r="P164" s="82"/>
    </row>
    <row r="165" spans="2:16" ht="18" customHeight="1" x14ac:dyDescent="0.3">
      <c r="B165" s="15" t="s">
        <v>25</v>
      </c>
      <c r="C165" s="110"/>
      <c r="D165" s="15"/>
      <c r="E165" s="15"/>
      <c r="F165" s="15"/>
      <c r="G165" s="15"/>
      <c r="H165" s="15"/>
      <c r="I165" s="15"/>
      <c r="J165" s="15"/>
      <c r="K165" s="15"/>
      <c r="L165" s="15"/>
      <c r="M165" s="15"/>
      <c r="N165" s="15"/>
      <c r="O165" s="15"/>
      <c r="P165" s="11"/>
    </row>
    <row r="166" spans="2:16" ht="18" customHeight="1" x14ac:dyDescent="0.3">
      <c r="C166" s="81"/>
      <c r="D166" s="15"/>
      <c r="E166" s="15"/>
      <c r="F166" s="15"/>
      <c r="G166" s="15"/>
      <c r="H166" s="15"/>
      <c r="I166" s="15"/>
      <c r="J166" s="15"/>
      <c r="K166" s="15"/>
      <c r="L166" s="15"/>
      <c r="M166" s="15"/>
      <c r="N166" s="15"/>
      <c r="O166" s="15"/>
      <c r="P166" s="11"/>
    </row>
    <row r="167" spans="2:16" ht="18" customHeight="1" x14ac:dyDescent="0.3">
      <c r="B167" s="2" t="s">
        <v>166</v>
      </c>
    </row>
    <row r="168" spans="2:16" ht="18" customHeight="1" x14ac:dyDescent="0.3">
      <c r="B168" s="111" t="s">
        <v>167</v>
      </c>
      <c r="C168" s="90" t="s">
        <v>123</v>
      </c>
      <c r="D168" s="90" t="s">
        <v>28</v>
      </c>
      <c r="E168" s="90" t="s">
        <v>29</v>
      </c>
      <c r="F168" s="90" t="s">
        <v>30</v>
      </c>
      <c r="G168" s="90" t="s">
        <v>31</v>
      </c>
      <c r="H168" s="90" t="s">
        <v>32</v>
      </c>
      <c r="I168" s="90" t="s">
        <v>33</v>
      </c>
      <c r="J168" s="90" t="s">
        <v>34</v>
      </c>
      <c r="K168" s="90" t="s">
        <v>35</v>
      </c>
      <c r="L168" s="90" t="s">
        <v>36</v>
      </c>
      <c r="M168" s="90" t="s">
        <v>37</v>
      </c>
      <c r="N168" s="90" t="s">
        <v>38</v>
      </c>
      <c r="O168" s="90" t="s">
        <v>39</v>
      </c>
    </row>
    <row r="169" spans="2:16" ht="18" customHeight="1" x14ac:dyDescent="0.3">
      <c r="B169" s="4"/>
      <c r="C169" s="108"/>
      <c r="D169" s="4"/>
      <c r="E169" s="4"/>
      <c r="F169" s="4"/>
      <c r="G169" s="4"/>
      <c r="H169" s="4"/>
      <c r="I169" s="4"/>
      <c r="J169" s="4"/>
      <c r="K169" s="4"/>
      <c r="L169" s="4"/>
      <c r="M169" s="4"/>
      <c r="N169" s="4"/>
      <c r="O169" s="4"/>
    </row>
    <row r="170" spans="2:16" ht="18" customHeight="1" x14ac:dyDescent="0.3">
      <c r="B170" s="12" t="s">
        <v>177</v>
      </c>
      <c r="C170" s="113">
        <f>SUBTOTAL(109,Table_KeHoach_TSCD[Column1])</f>
        <v>0</v>
      </c>
      <c r="D170" s="113">
        <f>SUBTOTAL(109,Table_KeHoach_TSCD[Tháng 1])</f>
        <v>0</v>
      </c>
      <c r="E170" s="113">
        <f>SUBTOTAL(109,Table_KeHoach_TSCD[Tháng 2])</f>
        <v>0</v>
      </c>
      <c r="F170" s="113">
        <f>SUBTOTAL(109,Table_KeHoach_TSCD[Tháng 3])</f>
        <v>0</v>
      </c>
      <c r="G170" s="113">
        <f>SUBTOTAL(109,Table_KeHoach_TSCD[Tháng 4])</f>
        <v>0</v>
      </c>
      <c r="H170" s="113">
        <f>SUBTOTAL(109,Table_KeHoach_TSCD[Tháng 5])</f>
        <v>0</v>
      </c>
      <c r="I170" s="113">
        <f>SUBTOTAL(109,Table_KeHoach_TSCD[Tháng 6])</f>
        <v>0</v>
      </c>
      <c r="J170" s="113">
        <f>SUBTOTAL(109,Table_KeHoach_TSCD[Tháng 7])</f>
        <v>0</v>
      </c>
      <c r="K170" s="113">
        <f>SUBTOTAL(109,Table_KeHoach_TSCD[Tháng 8])</f>
        <v>0</v>
      </c>
      <c r="L170" s="113">
        <f>SUBTOTAL(109,Table_KeHoach_TSCD[Tháng 9])</f>
        <v>0</v>
      </c>
      <c r="M170" s="113">
        <f>SUBTOTAL(109,Table_KeHoach_TSCD[Tháng 10])</f>
        <v>0</v>
      </c>
      <c r="N170" s="113">
        <f>SUBTOTAL(109,Table_KeHoach_TSCD[Tháng 11])</f>
        <v>0</v>
      </c>
      <c r="O170" s="113">
        <f>SUBTOTAL(109,Table_KeHoach_TSCD[Tháng 12])</f>
        <v>0</v>
      </c>
    </row>
    <row r="172" spans="2:16" ht="18" customHeight="1" x14ac:dyDescent="0.3">
      <c r="B172" s="2" t="s">
        <v>168</v>
      </c>
    </row>
    <row r="173" spans="2:16" ht="18" customHeight="1" x14ac:dyDescent="0.3">
      <c r="B173" s="111" t="s">
        <v>169</v>
      </c>
      <c r="C173" s="90" t="s">
        <v>123</v>
      </c>
      <c r="D173" s="90" t="s">
        <v>28</v>
      </c>
      <c r="E173" s="90" t="s">
        <v>29</v>
      </c>
      <c r="F173" s="90" t="s">
        <v>30</v>
      </c>
      <c r="G173" s="90" t="s">
        <v>31</v>
      </c>
      <c r="H173" s="90" t="s">
        <v>32</v>
      </c>
      <c r="I173" s="90" t="s">
        <v>33</v>
      </c>
      <c r="J173" s="90" t="s">
        <v>34</v>
      </c>
      <c r="K173" s="90" t="s">
        <v>35</v>
      </c>
      <c r="L173" s="90" t="s">
        <v>36</v>
      </c>
      <c r="M173" s="90" t="s">
        <v>37</v>
      </c>
      <c r="N173" s="90" t="s">
        <v>38</v>
      </c>
      <c r="O173" s="90" t="s">
        <v>39</v>
      </c>
    </row>
    <row r="174" spans="2:16" ht="18" customHeight="1" x14ac:dyDescent="0.3">
      <c r="B174" s="4"/>
      <c r="C174" s="108"/>
      <c r="D174" s="4"/>
      <c r="E174" s="4"/>
      <c r="F174" s="4"/>
      <c r="G174" s="4"/>
      <c r="H174" s="4"/>
      <c r="I174" s="4"/>
      <c r="J174" s="4"/>
      <c r="K174" s="4"/>
      <c r="L174" s="4"/>
      <c r="M174" s="4"/>
      <c r="N174" s="4"/>
      <c r="O174" s="4"/>
    </row>
    <row r="175" spans="2:16" ht="18" customHeight="1" x14ac:dyDescent="0.3">
      <c r="B175" s="12" t="s">
        <v>178</v>
      </c>
      <c r="C175" s="113">
        <f>SUBTOTAL(109,Table_KeHoach_DTTC[Column1])</f>
        <v>0</v>
      </c>
      <c r="D175" s="113">
        <f>SUBTOTAL(109,Table_KeHoach_DTTC[Tháng 1])</f>
        <v>0</v>
      </c>
      <c r="E175" s="113">
        <f>SUBTOTAL(109,Table_KeHoach_DTTC[Tháng 2])</f>
        <v>0</v>
      </c>
      <c r="F175" s="113">
        <f>SUBTOTAL(109,Table_KeHoach_DTTC[Tháng 3])</f>
        <v>0</v>
      </c>
      <c r="G175" s="113">
        <f>SUBTOTAL(109,Table_KeHoach_DTTC[Tháng 4])</f>
        <v>0</v>
      </c>
      <c r="H175" s="113">
        <f>SUBTOTAL(109,Table_KeHoach_DTTC[Tháng 5])</f>
        <v>0</v>
      </c>
      <c r="I175" s="113">
        <f>SUBTOTAL(109,Table_KeHoach_DTTC[Tháng 6])</f>
        <v>0</v>
      </c>
      <c r="J175" s="113">
        <f>SUBTOTAL(109,Table_KeHoach_DTTC[Tháng 7])</f>
        <v>0</v>
      </c>
      <c r="K175" s="113">
        <f>SUBTOTAL(109,Table_KeHoach_DTTC[Tháng 8])</f>
        <v>0</v>
      </c>
      <c r="L175" s="113">
        <f>SUBTOTAL(109,Table_KeHoach_DTTC[Tháng 9])</f>
        <v>0</v>
      </c>
      <c r="M175" s="113">
        <f>SUBTOTAL(109,Table_KeHoach_DTTC[Tháng 10])</f>
        <v>0</v>
      </c>
      <c r="N175" s="113">
        <f>SUBTOTAL(109,Table_KeHoach_DTTC[Tháng 11])</f>
        <v>0</v>
      </c>
      <c r="O175" s="113">
        <f>SUBTOTAL(109,Table_KeHoach_DTTC[Tháng 12])</f>
        <v>0</v>
      </c>
    </row>
    <row r="177" spans="2:15" ht="18" customHeight="1" x14ac:dyDescent="0.3">
      <c r="B177" s="2" t="s">
        <v>170</v>
      </c>
    </row>
    <row r="178" spans="2:15" ht="18" customHeight="1" x14ac:dyDescent="0.3">
      <c r="B178" s="111" t="s">
        <v>175</v>
      </c>
      <c r="C178" s="90" t="s">
        <v>123</v>
      </c>
      <c r="D178" s="90" t="s">
        <v>28</v>
      </c>
      <c r="E178" s="90" t="s">
        <v>29</v>
      </c>
      <c r="F178" s="90" t="s">
        <v>30</v>
      </c>
      <c r="G178" s="90" t="s">
        <v>31</v>
      </c>
      <c r="H178" s="90" t="s">
        <v>32</v>
      </c>
      <c r="I178" s="90" t="s">
        <v>33</v>
      </c>
      <c r="J178" s="90" t="s">
        <v>34</v>
      </c>
      <c r="K178" s="90" t="s">
        <v>35</v>
      </c>
      <c r="L178" s="90" t="s">
        <v>36</v>
      </c>
      <c r="M178" s="90" t="s">
        <v>37</v>
      </c>
      <c r="N178" s="90" t="s">
        <v>38</v>
      </c>
      <c r="O178" s="90" t="s">
        <v>39</v>
      </c>
    </row>
    <row r="179" spans="2:15" ht="18" customHeight="1" x14ac:dyDescent="0.3">
      <c r="B179" s="4"/>
      <c r="C179" s="108"/>
      <c r="D179" s="7" cm="1">
        <f t="array" ref="D179">-IFERROR(
SUM(_xlfn._xlws.FILTER([1]!Table_DauTu_LichThu[Tổng phải thu],
([1]!Table_DauTu_LichThu[Năm]=DiemHoaVon_NamKeHoach)*
([1]!Table_DauTu_LichThu[Tháng]=#REF!)*
([1]!Table_DauTu_LichThu[Tài sản đầu tư]=Table_KeHoach_LaiDTTC[[#This Row],[Dòng tiền thu hồi từ đầu tư tài chính]])
)),0)</f>
        <v>0</v>
      </c>
      <c r="E179" s="7" cm="1">
        <f t="array" ref="E179">-IFERROR(
SUM(_xlfn._xlws.FILTER([1]!Table_DauTu_LichThu[Thu nhập tính thuế],
([1]!Table_DauTu_LichThu[Tháng]=DiemHoaVon_NamKeHoach)*
([1]!Table_DauTu_LichThu[Tài sản đầu tư]=#REF!)*
([1]!Table_DauTu_LichThu[Nhận gốc]=Table_KeHoach_LaiDTTC[[#This Row],[Column1]])
)),0)</f>
        <v>0</v>
      </c>
      <c r="F179" s="7" cm="1">
        <f t="array" ref="F179">-IFERROR(
SUM(_xlfn._xlws.FILTER([1]!Table_DauTu_LichThu[Add],
([1]!Table_DauTu_LichThu[Tài sản đầu tư]=DiemHoaVon_NamKeHoach)*
([1]!Table_DauTu_LichThu[Nhận gốc]=#REF!)*
([1]!Table_DauTu_LichThu[Nhận lãi]=Table_KeHoach_LaiDTTC[[#This Row],[Tháng 1]])
)),0)</f>
        <v>0</v>
      </c>
      <c r="G179" s="7" cm="1">
        <f t="array" ref="G179">-IFERROR(
SUM(_xlfn._xlws.FILTER([1]!Table_DauTu_LichThu[Remain],
([1]!Table_DauTu_LichThu[Nhận gốc]=DiemHoaVon_NamKeHoach)*
([1]!Table_DauTu_LichThu[Nhận lãi]=#REF!)*
([1]!Table_DauTu_LichThu[Tổng phải thu]=Table_KeHoach_LaiDTTC[[#This Row],[Tháng 2]])
)),0)</f>
        <v>0</v>
      </c>
      <c r="H179" s="7" cm="1">
        <f t="array" ref="H179">-IFERROR(
SUM(_xlfn._xlws.FILTER([1]!Table_DauTu_LichThu[Kỳ],
([1]!Table_DauTu_LichThu[Nhận lãi]=DiemHoaVon_NamKeHoach)*
([1]!Table_DauTu_LichThu[Tổng phải thu]=#REF!)*
([1]!Table_DauTu_LichThu[Thu nhập tính thuế]=Table_KeHoach_LaiDTTC[[#This Row],[Tháng 3]])
)),0)</f>
        <v>0</v>
      </c>
      <c r="I179" s="7" cm="1">
        <f t="array" ref="I179">-IFERROR(
SUM(_xlfn._xlws.FILTER([1]!Table_DauTu_LichThu[Năm],
([1]!Table_DauTu_LichThu[Tổng phải thu]=DiemHoaVon_NamKeHoach)*
([1]!Table_DauTu_LichThu[Thu nhập tính thuế]=#REF!)*
([1]!Table_DauTu_LichThu[Add]=Table_KeHoach_LaiDTTC[[#This Row],[Tháng 4]])
)),0)</f>
        <v>0</v>
      </c>
      <c r="J179" s="7" cm="1">
        <f t="array" ref="J179">-IFERROR(
SUM(_xlfn._xlws.FILTER([1]!Table_DauTu_LichThu[Tháng],
([1]!Table_DauTu_LichThu[Thu nhập tính thuế]=DiemHoaVon_NamKeHoach)*
([1]!Table_DauTu_LichThu[Add]=#REF!)*
([1]!Table_DauTu_LichThu[Remain]=Table_KeHoach_LaiDTTC[[#This Row],[Tháng 5]])
)),0)</f>
        <v>0</v>
      </c>
      <c r="K179" s="7" cm="1">
        <f t="array" ref="K179">-IFERROR(
SUM(_xlfn._xlws.FILTER([1]!Table_DauTu_LichThu[Tài sản đầu tư],
([1]!Table_DauTu_LichThu[Add]=DiemHoaVon_NamKeHoach)*
([1]!Table_DauTu_LichThu[Remain]=#REF!)*
([1]!Table_DauTu_LichThu[Kỳ]=Table_KeHoach_LaiDTTC[[#This Row],[Tháng 6]])
)),0)</f>
        <v>0</v>
      </c>
      <c r="L179" s="7" cm="1">
        <f t="array" ref="L179">-IFERROR(
SUM(_xlfn._xlws.FILTER([1]!Table_DauTu_LichThu[Nhận gốc],
([1]!Table_DauTu_LichThu[Remain]=DiemHoaVon_NamKeHoach)*
([1]!Table_DauTu_LichThu[Kỳ]=#REF!)*
([1]!Table_DauTu_LichThu[Năm]=Table_KeHoach_LaiDTTC[[#This Row],[Tháng 7]])
)),0)</f>
        <v>0</v>
      </c>
      <c r="M179" s="7" cm="1">
        <f t="array" ref="M179">-IFERROR(
SUM(_xlfn._xlws.FILTER([1]!Table_DauTu_LichThu[Nhận lãi],
([1]!Table_DauTu_LichThu[Kỳ]=DiemHoaVon_NamKeHoach)*
([1]!Table_DauTu_LichThu[Năm]=#REF!)*
([1]!Table_DauTu_LichThu[Tháng]=Table_KeHoach_LaiDTTC[[#This Row],[Tháng 8]])
)),0)</f>
        <v>0</v>
      </c>
      <c r="N179" s="7" cm="1">
        <f t="array" ref="N179">-IFERROR(
SUM(_xlfn._xlws.FILTER([1]!Table_DauTu_LichThu[Tổng phải thu],
([1]!Table_DauTu_LichThu[Năm]=DiemHoaVon_NamKeHoach)*
([1]!Table_DauTu_LichThu[Tháng]=#REF!)*
([1]!Table_DauTu_LichThu[Tài sản đầu tư]=Table_KeHoach_LaiDTTC[[#This Row],[Tháng 9]])
)),0)</f>
        <v>0</v>
      </c>
      <c r="O179" s="7" cm="1">
        <f t="array" ref="O179">-IFERROR(
SUM(_xlfn._xlws.FILTER([1]!Table_DauTu_LichThu[Thu nhập tính thuế],
([1]!Table_DauTu_LichThu[Tháng]=DiemHoaVon_NamKeHoach)*
([1]!Table_DauTu_LichThu[Tài sản đầu tư]=#REF!)*
([1]!Table_DauTu_LichThu[Nhận gốc]=Table_KeHoach_LaiDTTC[[#This Row],[Tháng 10]])
)),0)</f>
        <v>0</v>
      </c>
    </row>
    <row r="180" spans="2:15" ht="18" customHeight="1" x14ac:dyDescent="0.3">
      <c r="B180" s="12" t="s">
        <v>179</v>
      </c>
      <c r="C180" s="113">
        <f>SUBTOTAL(109,Table_KeHoach_LaiDTTC[Column1])</f>
        <v>0</v>
      </c>
      <c r="D180" s="113">
        <f>SUBTOTAL(109,Table_KeHoach_LaiDTTC[Tháng 1])</f>
        <v>0</v>
      </c>
      <c r="E180" s="113">
        <f>SUBTOTAL(109,Table_KeHoach_LaiDTTC[Tháng 2])</f>
        <v>0</v>
      </c>
      <c r="F180" s="113">
        <f>SUBTOTAL(109,Table_KeHoach_LaiDTTC[Tháng 3])</f>
        <v>0</v>
      </c>
      <c r="G180" s="113">
        <f>SUBTOTAL(109,Table_KeHoach_LaiDTTC[Tháng 4])</f>
        <v>0</v>
      </c>
      <c r="H180" s="113">
        <f>SUBTOTAL(109,Table_KeHoach_LaiDTTC[Tháng 5])</f>
        <v>0</v>
      </c>
      <c r="I180" s="113">
        <f>SUBTOTAL(109,Table_KeHoach_LaiDTTC[Tháng 6])</f>
        <v>0</v>
      </c>
      <c r="J180" s="113">
        <f>SUBTOTAL(109,Table_KeHoach_LaiDTTC[Tháng 7])</f>
        <v>0</v>
      </c>
      <c r="K180" s="113">
        <f>SUBTOTAL(109,Table_KeHoach_LaiDTTC[Tháng 8])</f>
        <v>0</v>
      </c>
      <c r="L180" s="113">
        <f>SUBTOTAL(109,Table_KeHoach_LaiDTTC[Tháng 9])</f>
        <v>0</v>
      </c>
      <c r="M180" s="113">
        <f>SUBTOTAL(109,Table_KeHoach_LaiDTTC[Tháng 10])</f>
        <v>0</v>
      </c>
      <c r="N180" s="113">
        <f>SUBTOTAL(109,Table_KeHoach_LaiDTTC[Tháng 11])</f>
        <v>0</v>
      </c>
      <c r="O180" s="113">
        <f>SUBTOTAL(109,Table_KeHoach_LaiDTTC[Tháng 12])</f>
        <v>0</v>
      </c>
    </row>
    <row r="182" spans="2:15" ht="18" customHeight="1" x14ac:dyDescent="0.3">
      <c r="B182" s="2" t="s">
        <v>171</v>
      </c>
    </row>
    <row r="183" spans="2:15" ht="18" customHeight="1" x14ac:dyDescent="0.3">
      <c r="B183" s="111" t="s">
        <v>172</v>
      </c>
      <c r="C183" s="90" t="s">
        <v>123</v>
      </c>
      <c r="D183" s="90" t="s">
        <v>28</v>
      </c>
      <c r="E183" s="90" t="s">
        <v>29</v>
      </c>
      <c r="F183" s="90" t="s">
        <v>30</v>
      </c>
      <c r="G183" s="90" t="s">
        <v>31</v>
      </c>
      <c r="H183" s="90" t="s">
        <v>32</v>
      </c>
      <c r="I183" s="90" t="s">
        <v>33</v>
      </c>
      <c r="J183" s="90" t="s">
        <v>34</v>
      </c>
      <c r="K183" s="90" t="s">
        <v>35</v>
      </c>
      <c r="L183" s="90" t="s">
        <v>36</v>
      </c>
      <c r="M183" s="90" t="s">
        <v>37</v>
      </c>
      <c r="N183" s="90" t="s">
        <v>38</v>
      </c>
      <c r="O183" s="90" t="s">
        <v>39</v>
      </c>
    </row>
    <row r="184" spans="2:15" ht="18" customHeight="1" x14ac:dyDescent="0.3">
      <c r="B184" s="4"/>
      <c r="C184" s="108"/>
      <c r="D184" s="7"/>
      <c r="E184" s="7"/>
      <c r="F184" s="7"/>
      <c r="G184" s="7"/>
      <c r="H184" s="7"/>
      <c r="I184" s="7"/>
      <c r="J184" s="7"/>
      <c r="K184" s="7"/>
      <c r="L184" s="7"/>
      <c r="M184" s="7"/>
      <c r="N184" s="7"/>
      <c r="O184" s="7"/>
    </row>
    <row r="185" spans="2:15" ht="18" customHeight="1" x14ac:dyDescent="0.3">
      <c r="B185" s="12" t="s">
        <v>180</v>
      </c>
      <c r="C185" s="113">
        <f>SUBTOTAL(109,Table_KeHoach_VonVay[Column1])</f>
        <v>0</v>
      </c>
      <c r="D185" s="113">
        <f>SUBTOTAL(109,Table_KeHoach_VonVay[Tháng 1])</f>
        <v>0</v>
      </c>
      <c r="E185" s="113">
        <f>SUBTOTAL(109,Table_KeHoach_VonVay[Tháng 2])</f>
        <v>0</v>
      </c>
      <c r="F185" s="113">
        <f>SUBTOTAL(109,Table_KeHoach_VonVay[Tháng 3])</f>
        <v>0</v>
      </c>
      <c r="G185" s="113">
        <f>SUBTOTAL(109,Table_KeHoach_VonVay[Tháng 4])</f>
        <v>0</v>
      </c>
      <c r="H185" s="113">
        <f>SUBTOTAL(109,Table_KeHoach_VonVay[Tháng 5])</f>
        <v>0</v>
      </c>
      <c r="I185" s="113">
        <f>SUBTOTAL(109,Table_KeHoach_VonVay[Tháng 6])</f>
        <v>0</v>
      </c>
      <c r="J185" s="113">
        <f>SUBTOTAL(109,Table_KeHoach_VonVay[Tháng 7])</f>
        <v>0</v>
      </c>
      <c r="K185" s="113">
        <f>SUBTOTAL(109,Table_KeHoach_VonVay[Tháng 8])</f>
        <v>0</v>
      </c>
      <c r="L185" s="113">
        <f>SUBTOTAL(109,Table_KeHoach_VonVay[Tháng 9])</f>
        <v>0</v>
      </c>
      <c r="M185" s="113">
        <f>SUBTOTAL(109,Table_KeHoach_VonVay[Tháng 10])</f>
        <v>0</v>
      </c>
      <c r="N185" s="113">
        <f>SUBTOTAL(109,Table_KeHoach_VonVay[Tháng 11])</f>
        <v>0</v>
      </c>
      <c r="O185" s="113">
        <f>SUBTOTAL(109,Table_KeHoach_VonVay[Tháng 12])</f>
        <v>0</v>
      </c>
    </row>
    <row r="187" spans="2:15" ht="18" customHeight="1" x14ac:dyDescent="0.3">
      <c r="B187" s="2" t="s">
        <v>173</v>
      </c>
    </row>
    <row r="188" spans="2:15" ht="18" customHeight="1" x14ac:dyDescent="0.3">
      <c r="B188" s="111" t="s">
        <v>174</v>
      </c>
      <c r="C188" s="114" t="s">
        <v>123</v>
      </c>
      <c r="D188" s="90" t="s">
        <v>28</v>
      </c>
      <c r="E188" s="90" t="s">
        <v>29</v>
      </c>
      <c r="F188" s="90" t="s">
        <v>30</v>
      </c>
      <c r="G188" s="90" t="s">
        <v>31</v>
      </c>
      <c r="H188" s="90" t="s">
        <v>32</v>
      </c>
      <c r="I188" s="90" t="s">
        <v>33</v>
      </c>
      <c r="J188" s="90" t="s">
        <v>34</v>
      </c>
      <c r="K188" s="90" t="s">
        <v>35</v>
      </c>
      <c r="L188" s="90" t="s">
        <v>36</v>
      </c>
      <c r="M188" s="90" t="s">
        <v>37</v>
      </c>
      <c r="N188" s="90" t="s">
        <v>38</v>
      </c>
      <c r="O188" s="90" t="s">
        <v>39</v>
      </c>
    </row>
    <row r="189" spans="2:15" ht="18" customHeight="1" x14ac:dyDescent="0.3">
      <c r="B189" s="4"/>
      <c r="C189" s="109"/>
      <c r="D189" s="7"/>
      <c r="E189" s="7"/>
      <c r="F189" s="7"/>
      <c r="G189" s="7"/>
      <c r="H189" s="7"/>
      <c r="I189" s="7"/>
      <c r="J189" s="7"/>
      <c r="K189" s="7"/>
      <c r="L189" s="7"/>
      <c r="M189" s="7"/>
      <c r="N189" s="7"/>
      <c r="O189" s="7"/>
    </row>
    <row r="190" spans="2:15" ht="18" customHeight="1" x14ac:dyDescent="0.3">
      <c r="B190" s="12" t="s">
        <v>181</v>
      </c>
      <c r="C190" s="113">
        <f>SUBTOTAL(109,Table_KeHoach_VonGop[Column1])</f>
        <v>0</v>
      </c>
      <c r="D190" s="113">
        <f>SUBTOTAL(109,Table_KeHoach_VonGop[Tháng 1])</f>
        <v>0</v>
      </c>
      <c r="E190" s="113">
        <f>SUBTOTAL(109,Table_KeHoach_VonGop[Tháng 2])</f>
        <v>0</v>
      </c>
      <c r="F190" s="113">
        <f>SUBTOTAL(109,Table_KeHoach_VonGop[Tháng 3])</f>
        <v>0</v>
      </c>
      <c r="G190" s="113">
        <f>SUBTOTAL(109,Table_KeHoach_VonGop[Tháng 4])</f>
        <v>0</v>
      </c>
      <c r="H190" s="113">
        <f>SUBTOTAL(109,Table_KeHoach_VonGop[Tháng 5])</f>
        <v>0</v>
      </c>
      <c r="I190" s="113">
        <f>SUBTOTAL(109,Table_KeHoach_VonGop[Tháng 6])</f>
        <v>0</v>
      </c>
      <c r="J190" s="113">
        <f>SUBTOTAL(109,Table_KeHoach_VonGop[Tháng 7])</f>
        <v>0</v>
      </c>
      <c r="K190" s="113">
        <f>SUBTOTAL(109,Table_KeHoach_VonGop[Tháng 8])</f>
        <v>0</v>
      </c>
      <c r="L190" s="113">
        <f>SUBTOTAL(109,Table_KeHoach_VonGop[Tháng 9])</f>
        <v>0</v>
      </c>
      <c r="M190" s="113">
        <f>SUBTOTAL(109,Table_KeHoach_VonGop[Tháng 10])</f>
        <v>0</v>
      </c>
      <c r="N190" s="113">
        <f>SUBTOTAL(109,Table_KeHoach_VonGop[Tháng 11])</f>
        <v>0</v>
      </c>
      <c r="O190" s="113">
        <f>SUBTOTAL(109,Table_KeHoach_VonGop[Tháng 12])</f>
        <v>0</v>
      </c>
    </row>
    <row r="192" spans="2:15" ht="18" customHeight="1" x14ac:dyDescent="0.3">
      <c r="B192" s="80" t="s">
        <v>116</v>
      </c>
      <c r="C192" s="115" t="s">
        <v>117</v>
      </c>
      <c r="D192" s="114" t="s">
        <v>28</v>
      </c>
      <c r="E192" s="114" t="s">
        <v>29</v>
      </c>
      <c r="F192" s="114" t="s">
        <v>30</v>
      </c>
      <c r="G192" s="114" t="s">
        <v>31</v>
      </c>
      <c r="H192" s="114" t="s">
        <v>32</v>
      </c>
      <c r="I192" s="114" t="s">
        <v>33</v>
      </c>
      <c r="J192" s="114" t="s">
        <v>34</v>
      </c>
      <c r="K192" s="114" t="s">
        <v>35</v>
      </c>
      <c r="L192" s="114" t="s">
        <v>36</v>
      </c>
      <c r="M192" s="114" t="s">
        <v>37</v>
      </c>
      <c r="N192" s="114" t="s">
        <v>38</v>
      </c>
      <c r="O192" s="114" t="s">
        <v>39</v>
      </c>
    </row>
    <row r="193" spans="2:15" ht="18" customHeight="1" x14ac:dyDescent="0.3">
      <c r="C193" s="116"/>
      <c r="D193" s="7">
        <f>Table_KeHoach_CoTuc[[#This Row],[Tỷ lệ lợi ích]]*D$46</f>
        <v>0</v>
      </c>
      <c r="E193" s="7">
        <f>Table_KeHoach_CoTuc[[#This Row],[Tỷ lệ lợi ích]]*E$46</f>
        <v>0</v>
      </c>
      <c r="F193" s="7">
        <f>Table_KeHoach_CoTuc[[#This Row],[Tỷ lệ lợi ích]]*F$46</f>
        <v>0</v>
      </c>
      <c r="G193" s="7">
        <f>Table_KeHoach_CoTuc[[#This Row],[Tỷ lệ lợi ích]]*G$46</f>
        <v>0</v>
      </c>
      <c r="H193" s="7">
        <f>Table_KeHoach_CoTuc[[#This Row],[Tỷ lệ lợi ích]]*H$46</f>
        <v>0</v>
      </c>
      <c r="I193" s="7">
        <f>Table_KeHoach_CoTuc[[#This Row],[Tỷ lệ lợi ích]]*I$46</f>
        <v>0</v>
      </c>
      <c r="J193" s="7">
        <f>Table_KeHoach_CoTuc[[#This Row],[Tỷ lệ lợi ích]]*J$46</f>
        <v>0</v>
      </c>
      <c r="K193" s="7">
        <f>Table_KeHoach_CoTuc[[#This Row],[Tỷ lệ lợi ích]]*K$46</f>
        <v>0</v>
      </c>
      <c r="L193" s="7">
        <f>Table_KeHoach_CoTuc[[#This Row],[Tỷ lệ lợi ích]]*L$46</f>
        <v>0</v>
      </c>
      <c r="M193" s="7">
        <f>Table_KeHoach_CoTuc[[#This Row],[Tỷ lệ lợi ích]]*M$46</f>
        <v>0</v>
      </c>
      <c r="N193" s="7">
        <f>Table_KeHoach_CoTuc[[#This Row],[Tỷ lệ lợi ích]]*N$46</f>
        <v>0</v>
      </c>
      <c r="O193" s="7">
        <f>Table_KeHoach_CoTuc[[#This Row],[Tỷ lệ lợi ích]]*O$46</f>
        <v>0</v>
      </c>
    </row>
    <row r="194" spans="2:15" ht="18" customHeight="1" x14ac:dyDescent="0.3">
      <c r="B194" s="12" t="s">
        <v>182</v>
      </c>
      <c r="C194" s="117"/>
      <c r="D194" s="12">
        <f>SUBTOTAL(109,Table_KeHoach_CoTuc[Tháng 1])</f>
        <v>0</v>
      </c>
      <c r="E194" s="12">
        <f>SUBTOTAL(109,Table_KeHoach_CoTuc[Tháng 2])</f>
        <v>0</v>
      </c>
      <c r="F194" s="12">
        <f>SUBTOTAL(109,Table_KeHoach_CoTuc[Tháng 3])</f>
        <v>0</v>
      </c>
      <c r="G194" s="12">
        <f>SUBTOTAL(109,Table_KeHoach_CoTuc[Tháng 4])</f>
        <v>0</v>
      </c>
      <c r="H194" s="12">
        <f>SUBTOTAL(109,Table_KeHoach_CoTuc[Tháng 5])</f>
        <v>0</v>
      </c>
      <c r="I194" s="12">
        <f>SUBTOTAL(109,Table_KeHoach_CoTuc[Tháng 6])</f>
        <v>0</v>
      </c>
      <c r="J194" s="12">
        <f>SUBTOTAL(109,Table_KeHoach_CoTuc[Tháng 7])</f>
        <v>0</v>
      </c>
      <c r="K194" s="12">
        <f>SUBTOTAL(109,Table_KeHoach_CoTuc[Tháng 8])</f>
        <v>0</v>
      </c>
      <c r="L194" s="12">
        <f>SUBTOTAL(109,Table_KeHoach_CoTuc[Tháng 9])</f>
        <v>0</v>
      </c>
      <c r="M194" s="12">
        <f>SUBTOTAL(109,Table_KeHoach_CoTuc[Tháng 10])</f>
        <v>0</v>
      </c>
      <c r="N194" s="12">
        <f>SUBTOTAL(109,Table_KeHoach_CoTuc[Tháng 11])</f>
        <v>0</v>
      </c>
      <c r="O194" s="12">
        <f>SUBTOTAL(109,Table_KeHoach_CoTuc[Tháng 12])</f>
        <v>0</v>
      </c>
    </row>
  </sheetData>
  <sheetProtection algorithmName="SHA-512" hashValue="4FlVUE5y8GkNLtOSAY4advRDUEU49jjdW3xCOColOT43vr3wKYNEAEN5EWUwPvX/uuirdZxUFjo8epkSmIDHbw==" saltValue="2M6Fcnbba+hU5VeEevg+MA==" spinCount="100000" sheet="1" scenarios="1" formatCells="0" formatColumns="0" formatRows="0" autoFilter="0" pivotTables="0"/>
  <protectedRanges>
    <protectedRange sqref="B13 B23 B10 AB143:XFD146 X148:X154 X209:X1048576 AB209:AB1048576 AB90:XFD92 AC141:XFD142 W54:W57 AB74:XFD76 Y136:Z137 AB86:XFD88 W72:W73 AA69:AA75 W84:W85 AC147:XFD147 W91:W93 X156:X161 AB114:XFD117 W99:W101 Q66:V66 W109:W110 W112:W114 AC155:XFD155 W120:W125 AA150 AB136:XFD140 AA155 AB148:XFD154 AD196:XFD1048576 D193:O193 AB164:XFD166 Y212:Z1048576 AA162:AA166 AC216:AC1048576 B193 W50:W51 B1:B5 X164:X166 A6:A166 W159:W166 R1:X1 AC162:XFD163 AC50:XFD50 Z1:XFD1 AA51:AA57 Y143:Z166 AC59:XFD59 AA59:AA61 AC192:XFD195 AC62:XFD63 Y58:AA58 Y62:AA63 W64:W65 AC67:XFD68 Y67:AA68 W67:W69 AC73:XFD73 Y72:Z72 AC77:XFD77 AA77:AA79 AC81:XFD81 Y76:AA76 W76:W77 Y80:AA80 W80:W81 AC85:XFD85 Y84:Z84 AC89:XFD89 AA81:AA90 AC93:XFD93 Y88:Z88 W88:W89 Y91:AA92 AC97:XFD97 AC101:XFD101 Y95:AA96 W95:W97 Y99:AA100 AC105:XFD105 AC109:XFD109 Y103:AA104 W103:W106 Y107:AA108 AC112:XFD113 AA109:AA115 AC118:XFD118 Y112:Z113 AC122:XFD122 Y116:AA117 W116:W118 Y120:AA121 AC126:XFD126 AA126:AA143 AC129:XFD129 Y124:AA125 Y130:Z131 AC135:XFD135 B48:O49 P50 B149:O150 Y50:AA50 W133:W137 X127:X128 X114:X117 X106:X108 X98:X100 X90:X92 X86:X88 X78:X80 X74:X76 X69:X72 W6:W7 X60:X61 X143:X146 W127:W131 X123:X125 X119:X121 X110:X111 X102:X104 X94:X96 X82:X84 W59:W61 AB130:XFD134 AA122:AA123 AA118:AA119 AB110:XFD111 AA101:AA102 AA93:AA94 AB82:XFD84 AA64:XFD66 AB60:XFD61 AB51:XFD58 AA6:AA7 AB69:XFD72 AB127:XFD128 AA105:AA106 AA97:AA98 AA159 X54:Z54 AB156:XFD161 AB98:XFD100 AB106:XFD108 AB94:XFD96 AB102:XFD104 AB119:XFD121 AB123:XFD125 AB78:XFD80 P54 X64:X66 Q48:W49 B195:O1048576 X130:X134 X136:X140 AB6:XFD49 B54 B58 B63 B68 B72 B77 B82 B87 B92 B96 B101 B105 C151:O151 W11 AA11:AA37 W14:W20 W24:W32 W35:W36 P165:P166 P146:P147 AA192:AA1048576 A192:A1048576 Q52:W53 R2:XFD3 Q107:V108 Q58:V58 R47:W47 P192:W1048576 Q162:V166 Q111:V111 Q4:XFD5" name="Range1_63"/>
    <protectedRange sqref="D21:P21 B8:B9 C7 C11 Y6:Z6 C24:C30 C39 C32 C14:C21 B6:C6 B33 B35:B47 D18:P18 Q6:V6 R21:W21" name="Range1_63_63_1"/>
    <protectedRange sqref="B21 C22:P22 C12:P12 R12:W12 R22:W22" name="Range1_5_1_3_1"/>
    <protectedRange sqref="B136:B137 B147:B148 B142" name="Range1_2_2"/>
    <protectedRange sqref="B19" name="Range1_5_1"/>
    <protectedRange sqref="B11" name="Range1_5_2"/>
    <protectedRange sqref="B7" name="Range1_5_3"/>
    <protectedRange sqref="B34" name="Range1_63_63_1_1"/>
    <protectedRange sqref="C31" name="Range1_63_63_1_3"/>
    <protectedRange sqref="Q13 Q23 Q10" name="Range1_63_1"/>
    <protectedRange sqref="Q42 Q38 Q8:Q9 Q33:Q34" name="Range1_63_63_1_6"/>
    <protectedRange sqref="Q21" name="Range1_5_1_3_1_2"/>
    <protectedRange sqref="Q19 S19:V19" name="Range1_5_1_1"/>
    <protectedRange sqref="Q7:V7" name="Range1_5_4"/>
    <protectedRange sqref="Q11:V11" name="Range1_5_2_1"/>
    <protectedRange sqref="Y13:Z13 Y23:Z23 Y10" name="Range1_63_2"/>
    <protectedRange sqref="Y47:Z47 Y33:Z34 Y38:Z38 Y42:Z42 Y8:Y9" name="Range1_63_63_1_7"/>
    <protectedRange sqref="Y21:Z21" name="Range1_5_1_3_1_2_1"/>
    <protectedRange sqref="Y19:Z19" name="Range1_5_1_2"/>
    <protectedRange sqref="Y7:Z7" name="Range1_5_5"/>
    <protectedRange sqref="Y11:Z11" name="Range1_5_2_2"/>
    <protectedRange sqref="B152 B153:O157 C193 P150:P155 C158:O158" name="Range1_63_3"/>
    <protectedRange sqref="B159 P157:P159 B160:O163 P162:P163" name="Range1_63_4"/>
    <protectedRange sqref="B164 B165:O166 P161" name="Range1_63_6"/>
    <protectedRange sqref="Q47" name="Range1_63_3_1"/>
    <protectedRange sqref="Q1" name="Range1_63_5"/>
    <protectedRange sqref="Y1" name="Range1_63_7"/>
    <protectedRange sqref="Q2:Q3" name="Range1_63_5_1"/>
    <protectedRange sqref="P171 P173:R175 P176 AA176:XFD177 B179:C179 Z183:XFD185 Q181:S182 B184:C184 P188:R190 P168:R170 Z168:XFD170 W186:X187 W191:X191 B189:C189 A167:A191 W167:X167 AA167:XFD167 Z173:XFD175 Q167:S167 B169:O171 AA171:XFD172 Z178:XFD180 W171:X172 B174:O176 Q171:S172 P178:R180 Q176:S177 P183:R185 B180:O181 P181 W176:X177 W181:X182 B185:O186 P186 AA181:XFD182 Z188:XFD190 AA186:XFD187 AA191:XFD191 B190:O191 Q186:S187 P191:S191 U178:W180 U168:W170 U173:W175 U183:W185 U188:W190" name="Range1_63_8"/>
    <protectedRange sqref="B167:P167 B172:P172 B177:P177 B187:P187 B182:P182" name="Range1_63_4_2"/>
  </protectedRanges>
  <dataConsolidate link="1"/>
  <phoneticPr fontId="7" type="noConversion"/>
  <conditionalFormatting sqref="B121">
    <cfRule type="duplicateValues" dxfId="857" priority="196"/>
  </conditionalFormatting>
  <conditionalFormatting sqref="B125">
    <cfRule type="duplicateValues" dxfId="856" priority="197"/>
  </conditionalFormatting>
  <conditionalFormatting sqref="B130">
    <cfRule type="duplicateValues" dxfId="855" priority="198"/>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238125</xdr:colOff>
                    <xdr:row>2</xdr:row>
                    <xdr:rowOff>123825</xdr:rowOff>
                  </from>
                  <to>
                    <xdr:col>1</xdr:col>
                    <xdr:colOff>828675</xdr:colOff>
                    <xdr:row>3</xdr:row>
                    <xdr:rowOff>171450</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704850</xdr:colOff>
                    <xdr:row>2</xdr:row>
                    <xdr:rowOff>123825</xdr:rowOff>
                  </from>
                  <to>
                    <xdr:col>1</xdr:col>
                    <xdr:colOff>1295400</xdr:colOff>
                    <xdr:row>3</xdr:row>
                    <xdr:rowOff>171450</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1171575</xdr:colOff>
                    <xdr:row>2</xdr:row>
                    <xdr:rowOff>123825</xdr:rowOff>
                  </from>
                  <to>
                    <xdr:col>1</xdr:col>
                    <xdr:colOff>1762125</xdr:colOff>
                    <xdr:row>3</xdr:row>
                    <xdr:rowOff>171450</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1647825</xdr:colOff>
                    <xdr:row>2</xdr:row>
                    <xdr:rowOff>123825</xdr:rowOff>
                  </from>
                  <to>
                    <xdr:col>1</xdr:col>
                    <xdr:colOff>2000250</xdr:colOff>
                    <xdr:row>3</xdr:row>
                    <xdr:rowOff>171450</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123825</xdr:colOff>
                    <xdr:row>2</xdr:row>
                    <xdr:rowOff>76200</xdr:rowOff>
                  </from>
                  <to>
                    <xdr:col>1</xdr:col>
                    <xdr:colOff>2114550</xdr:colOff>
                    <xdr:row>3</xdr:row>
                    <xdr:rowOff>209550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23</xdr:col>
                    <xdr:colOff>47625</xdr:colOff>
                    <xdr:row>0</xdr:row>
                    <xdr:rowOff>190500</xdr:rowOff>
                  </from>
                  <to>
                    <xdr:col>24</xdr:col>
                    <xdr:colOff>9525</xdr:colOff>
                    <xdr:row>2</xdr:row>
                    <xdr:rowOff>95250</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23</xdr:col>
                    <xdr:colOff>47625</xdr:colOff>
                    <xdr:row>2</xdr:row>
                    <xdr:rowOff>161925</xdr:rowOff>
                  </from>
                  <to>
                    <xdr:col>24</xdr:col>
                    <xdr:colOff>9525</xdr:colOff>
                    <xdr:row>4</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27</xdr:col>
                    <xdr:colOff>57150</xdr:colOff>
                    <xdr:row>1</xdr:row>
                    <xdr:rowOff>0</xdr:rowOff>
                  </from>
                  <to>
                    <xdr:col>27</xdr:col>
                    <xdr:colOff>647700</xdr:colOff>
                    <xdr:row>2</xdr:row>
                    <xdr:rowOff>133350</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27</xdr:col>
                    <xdr:colOff>57150</xdr:colOff>
                    <xdr:row>2</xdr:row>
                    <xdr:rowOff>200025</xdr:rowOff>
                  </from>
                  <to>
                    <xdr:col>27</xdr:col>
                    <xdr:colOff>647700</xdr:colOff>
                    <xdr:row>4</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114300</xdr:rowOff>
                  </from>
                  <to>
                    <xdr:col>0</xdr:col>
                    <xdr:colOff>685800</xdr:colOff>
                    <xdr:row>48</xdr:row>
                    <xdr:rowOff>142875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180975</xdr:rowOff>
                  </from>
                  <to>
                    <xdr:col>0</xdr:col>
                    <xdr:colOff>685800</xdr:colOff>
                    <xdr:row>49</xdr:row>
                    <xdr:rowOff>209550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52</xdr:row>
                    <xdr:rowOff>95250</xdr:rowOff>
                  </from>
                  <to>
                    <xdr:col>0</xdr:col>
                    <xdr:colOff>685800</xdr:colOff>
                    <xdr:row>53</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53</xdr:row>
                    <xdr:rowOff>161925</xdr:rowOff>
                  </from>
                  <to>
                    <xdr:col>0</xdr:col>
                    <xdr:colOff>685800</xdr:colOff>
                    <xdr:row>54</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56</xdr:row>
                    <xdr:rowOff>66675</xdr:rowOff>
                  </from>
                  <to>
                    <xdr:col>0</xdr:col>
                    <xdr:colOff>685800</xdr:colOff>
                    <xdr:row>57</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57</xdr:row>
                    <xdr:rowOff>133350</xdr:rowOff>
                  </from>
                  <to>
                    <xdr:col>0</xdr:col>
                    <xdr:colOff>685800</xdr:colOff>
                    <xdr:row>58</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61</xdr:row>
                    <xdr:rowOff>76200</xdr:rowOff>
                  </from>
                  <to>
                    <xdr:col>0</xdr:col>
                    <xdr:colOff>685800</xdr:colOff>
                    <xdr:row>62</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62</xdr:row>
                    <xdr:rowOff>142875</xdr:rowOff>
                  </from>
                  <to>
                    <xdr:col>0</xdr:col>
                    <xdr:colOff>685800</xdr:colOff>
                    <xdr:row>63</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66</xdr:row>
                    <xdr:rowOff>38100</xdr:rowOff>
                  </from>
                  <to>
                    <xdr:col>0</xdr:col>
                    <xdr:colOff>685800</xdr:colOff>
                    <xdr:row>67</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67</xdr:row>
                    <xdr:rowOff>104775</xdr:rowOff>
                  </from>
                  <to>
                    <xdr:col>0</xdr:col>
                    <xdr:colOff>685800</xdr:colOff>
                    <xdr:row>68</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70</xdr:row>
                    <xdr:rowOff>95250</xdr:rowOff>
                  </from>
                  <to>
                    <xdr:col>0</xdr:col>
                    <xdr:colOff>685800</xdr:colOff>
                    <xdr:row>71</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71</xdr:row>
                    <xdr:rowOff>161925</xdr:rowOff>
                  </from>
                  <to>
                    <xdr:col>0</xdr:col>
                    <xdr:colOff>685800</xdr:colOff>
                    <xdr:row>72</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75</xdr:row>
                    <xdr:rowOff>85725</xdr:rowOff>
                  </from>
                  <to>
                    <xdr:col>0</xdr:col>
                    <xdr:colOff>685800</xdr:colOff>
                    <xdr:row>76</xdr:row>
                    <xdr:rowOff>114300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76</xdr:row>
                    <xdr:rowOff>152400</xdr:rowOff>
                  </from>
                  <to>
                    <xdr:col>0</xdr:col>
                    <xdr:colOff>685800</xdr:colOff>
                    <xdr:row>77</xdr:row>
                    <xdr:rowOff>180975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80</xdr:row>
                    <xdr:rowOff>66675</xdr:rowOff>
                  </from>
                  <to>
                    <xdr:col>0</xdr:col>
                    <xdr:colOff>685800</xdr:colOff>
                    <xdr:row>81</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81</xdr:row>
                    <xdr:rowOff>133350</xdr:rowOff>
                  </from>
                  <to>
                    <xdr:col>0</xdr:col>
                    <xdr:colOff>685800</xdr:colOff>
                    <xdr:row>82</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85</xdr:row>
                    <xdr:rowOff>85725</xdr:rowOff>
                  </from>
                  <to>
                    <xdr:col>0</xdr:col>
                    <xdr:colOff>685800</xdr:colOff>
                    <xdr:row>86</xdr:row>
                    <xdr:rowOff>114300</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86</xdr:row>
                    <xdr:rowOff>152400</xdr:rowOff>
                  </from>
                  <to>
                    <xdr:col>0</xdr:col>
                    <xdr:colOff>685800</xdr:colOff>
                    <xdr:row>87</xdr:row>
                    <xdr:rowOff>180975</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90</xdr:row>
                    <xdr:rowOff>123825</xdr:rowOff>
                  </from>
                  <to>
                    <xdr:col>0</xdr:col>
                    <xdr:colOff>685800</xdr:colOff>
                    <xdr:row>91</xdr:row>
                    <xdr:rowOff>152400</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91</xdr:row>
                    <xdr:rowOff>190500</xdr:rowOff>
                  </from>
                  <to>
                    <xdr:col>0</xdr:col>
                    <xdr:colOff>685800</xdr:colOff>
                    <xdr:row>92</xdr:row>
                    <xdr:rowOff>219075</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94</xdr:row>
                    <xdr:rowOff>114300</xdr:rowOff>
                  </from>
                  <to>
                    <xdr:col>0</xdr:col>
                    <xdr:colOff>685800</xdr:colOff>
                    <xdr:row>95</xdr:row>
                    <xdr:rowOff>142875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95</xdr:row>
                    <xdr:rowOff>180975</xdr:rowOff>
                  </from>
                  <to>
                    <xdr:col>0</xdr:col>
                    <xdr:colOff>685800</xdr:colOff>
                    <xdr:row>96</xdr:row>
                    <xdr:rowOff>209550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99</xdr:row>
                    <xdr:rowOff>123825</xdr:rowOff>
                  </from>
                  <to>
                    <xdr:col>0</xdr:col>
                    <xdr:colOff>685800</xdr:colOff>
                    <xdr:row>100</xdr:row>
                    <xdr:rowOff>152400</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100</xdr:row>
                    <xdr:rowOff>190500</xdr:rowOff>
                  </from>
                  <to>
                    <xdr:col>0</xdr:col>
                    <xdr:colOff>685800</xdr:colOff>
                    <xdr:row>101</xdr:row>
                    <xdr:rowOff>219075</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103</xdr:row>
                    <xdr:rowOff>104775</xdr:rowOff>
                  </from>
                  <to>
                    <xdr:col>0</xdr:col>
                    <xdr:colOff>685800</xdr:colOff>
                    <xdr:row>104</xdr:row>
                    <xdr:rowOff>133350</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104</xdr:row>
                    <xdr:rowOff>171450</xdr:rowOff>
                  </from>
                  <to>
                    <xdr:col>0</xdr:col>
                    <xdr:colOff>685800</xdr:colOff>
                    <xdr:row>105</xdr:row>
                    <xdr:rowOff>200025</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107</xdr:row>
                    <xdr:rowOff>104775</xdr:rowOff>
                  </from>
                  <to>
                    <xdr:col>0</xdr:col>
                    <xdr:colOff>685800</xdr:colOff>
                    <xdr:row>108</xdr:row>
                    <xdr:rowOff>133350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108</xdr:row>
                    <xdr:rowOff>171450</xdr:rowOff>
                  </from>
                  <to>
                    <xdr:col>0</xdr:col>
                    <xdr:colOff>685800</xdr:colOff>
                    <xdr:row>109</xdr:row>
                    <xdr:rowOff>200025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112</xdr:row>
                    <xdr:rowOff>123825</xdr:rowOff>
                  </from>
                  <to>
                    <xdr:col>0</xdr:col>
                    <xdr:colOff>685800</xdr:colOff>
                    <xdr:row>113</xdr:row>
                    <xdr:rowOff>152400</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113</xdr:row>
                    <xdr:rowOff>190500</xdr:rowOff>
                  </from>
                  <to>
                    <xdr:col>0</xdr:col>
                    <xdr:colOff>685800</xdr:colOff>
                    <xdr:row>114</xdr:row>
                    <xdr:rowOff>219075</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117</xdr:row>
                    <xdr:rowOff>123825</xdr:rowOff>
                  </from>
                  <to>
                    <xdr:col>0</xdr:col>
                    <xdr:colOff>685800</xdr:colOff>
                    <xdr:row>118</xdr:row>
                    <xdr:rowOff>152400</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118</xdr:row>
                    <xdr:rowOff>190500</xdr:rowOff>
                  </from>
                  <to>
                    <xdr:col>0</xdr:col>
                    <xdr:colOff>685800</xdr:colOff>
                    <xdr:row>119</xdr:row>
                    <xdr:rowOff>219075</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121</xdr:row>
                    <xdr:rowOff>133350</xdr:rowOff>
                  </from>
                  <to>
                    <xdr:col>0</xdr:col>
                    <xdr:colOff>685800</xdr:colOff>
                    <xdr:row>122</xdr:row>
                    <xdr:rowOff>161925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122</xdr:row>
                    <xdr:rowOff>200025</xdr:rowOff>
                  </from>
                  <to>
                    <xdr:col>0</xdr:col>
                    <xdr:colOff>685800</xdr:colOff>
                    <xdr:row>124</xdr:row>
                    <xdr:rowOff>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126</xdr:row>
                    <xdr:rowOff>123825</xdr:rowOff>
                  </from>
                  <to>
                    <xdr:col>0</xdr:col>
                    <xdr:colOff>685800</xdr:colOff>
                    <xdr:row>127</xdr:row>
                    <xdr:rowOff>152400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127</xdr:row>
                    <xdr:rowOff>190500</xdr:rowOff>
                  </from>
                  <to>
                    <xdr:col>0</xdr:col>
                    <xdr:colOff>685800</xdr:colOff>
                    <xdr:row>128</xdr:row>
                    <xdr:rowOff>219075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131</xdr:row>
                    <xdr:rowOff>133350</xdr:rowOff>
                  </from>
                  <to>
                    <xdr:col>0</xdr:col>
                    <xdr:colOff>685800</xdr:colOff>
                    <xdr:row>132</xdr:row>
                    <xdr:rowOff>161925</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132</xdr:row>
                    <xdr:rowOff>200025</xdr:rowOff>
                  </from>
                  <to>
                    <xdr:col>0</xdr:col>
                    <xdr:colOff>685800</xdr:colOff>
                    <xdr:row>134</xdr:row>
                    <xdr:rowOff>0</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137</xdr:row>
                    <xdr:rowOff>133350</xdr:rowOff>
                  </from>
                  <to>
                    <xdr:col>0</xdr:col>
                    <xdr:colOff>685800</xdr:colOff>
                    <xdr:row>138</xdr:row>
                    <xdr:rowOff>161925</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138</xdr:row>
                    <xdr:rowOff>200025</xdr:rowOff>
                  </from>
                  <to>
                    <xdr:col>0</xdr:col>
                    <xdr:colOff>685800</xdr:colOff>
                    <xdr:row>140</xdr:row>
                    <xdr:rowOff>0</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143</xdr:row>
                    <xdr:rowOff>123825</xdr:rowOff>
                  </from>
                  <to>
                    <xdr:col>0</xdr:col>
                    <xdr:colOff>685800</xdr:colOff>
                    <xdr:row>144</xdr:row>
                    <xdr:rowOff>152400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144</xdr:row>
                    <xdr:rowOff>190500</xdr:rowOff>
                  </from>
                  <to>
                    <xdr:col>0</xdr:col>
                    <xdr:colOff>685800</xdr:colOff>
                    <xdr:row>145</xdr:row>
                    <xdr:rowOff>219075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149</xdr:row>
                    <xdr:rowOff>152400</xdr:rowOff>
                  </from>
                  <to>
                    <xdr:col>0</xdr:col>
                    <xdr:colOff>685800</xdr:colOff>
                    <xdr:row>150</xdr:row>
                    <xdr:rowOff>180975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150</xdr:row>
                    <xdr:rowOff>219075</xdr:rowOff>
                  </from>
                  <to>
                    <xdr:col>0</xdr:col>
                    <xdr:colOff>685800</xdr:colOff>
                    <xdr:row>152</xdr:row>
                    <xdr:rowOff>19050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161</xdr:row>
                    <xdr:rowOff>104775</xdr:rowOff>
                  </from>
                  <to>
                    <xdr:col>0</xdr:col>
                    <xdr:colOff>685800</xdr:colOff>
                    <xdr:row>162</xdr:row>
                    <xdr:rowOff>133350</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162</xdr:row>
                    <xdr:rowOff>171450</xdr:rowOff>
                  </from>
                  <to>
                    <xdr:col>0</xdr:col>
                    <xdr:colOff>685800</xdr:colOff>
                    <xdr:row>163</xdr:row>
                    <xdr:rowOff>200025</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189</xdr:row>
                    <xdr:rowOff>85725</xdr:rowOff>
                  </from>
                  <to>
                    <xdr:col>0</xdr:col>
                    <xdr:colOff>685800</xdr:colOff>
                    <xdr:row>190</xdr:row>
                    <xdr:rowOff>114300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190</xdr:row>
                    <xdr:rowOff>152400</xdr:rowOff>
                  </from>
                  <to>
                    <xdr:col>0</xdr:col>
                    <xdr:colOff>685800</xdr:colOff>
                    <xdr:row>191</xdr:row>
                    <xdr:rowOff>180975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156</xdr:row>
                    <xdr:rowOff>114300</xdr:rowOff>
                  </from>
                  <to>
                    <xdr:col>0</xdr:col>
                    <xdr:colOff>685800</xdr:colOff>
                    <xdr:row>157</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157</xdr:row>
                    <xdr:rowOff>180975</xdr:rowOff>
                  </from>
                  <to>
                    <xdr:col>0</xdr:col>
                    <xdr:colOff>685800</xdr:colOff>
                    <xdr:row>158</xdr:row>
                    <xdr:rowOff>209550</xdr:rowOff>
                  </to>
                </anchor>
              </controlPr>
            </control>
          </mc:Choice>
        </mc:AlternateContent>
        <mc:AlternateContent xmlns:mc="http://schemas.openxmlformats.org/markup-compatibility/2006">
          <mc:Choice Requires="x14">
            <control shapeId="50254" r:id="rId67" name="Button 78">
              <controlPr defaultSize="0" print="0" autoFill="0" autoPict="0" macro="[0]!AddRow">
                <anchor moveWithCells="1">
                  <from>
                    <xdr:col>0</xdr:col>
                    <xdr:colOff>66675</xdr:colOff>
                    <xdr:row>165</xdr:row>
                    <xdr:rowOff>85725</xdr:rowOff>
                  </from>
                  <to>
                    <xdr:col>0</xdr:col>
                    <xdr:colOff>685800</xdr:colOff>
                    <xdr:row>166</xdr:row>
                    <xdr:rowOff>114300</xdr:rowOff>
                  </to>
                </anchor>
              </controlPr>
            </control>
          </mc:Choice>
        </mc:AlternateContent>
        <mc:AlternateContent xmlns:mc="http://schemas.openxmlformats.org/markup-compatibility/2006">
          <mc:Choice Requires="x14">
            <control shapeId="50255" r:id="rId68" name="Button 79">
              <controlPr defaultSize="0" print="0" autoFill="0" autoPict="0" macro="[0]!DeleteRow">
                <anchor moveWithCells="1">
                  <from>
                    <xdr:col>0</xdr:col>
                    <xdr:colOff>66675</xdr:colOff>
                    <xdr:row>166</xdr:row>
                    <xdr:rowOff>152400</xdr:rowOff>
                  </from>
                  <to>
                    <xdr:col>0</xdr:col>
                    <xdr:colOff>685800</xdr:colOff>
                    <xdr:row>167</xdr:row>
                    <xdr:rowOff>180975</xdr:rowOff>
                  </to>
                </anchor>
              </controlPr>
            </control>
          </mc:Choice>
        </mc:AlternateContent>
        <mc:AlternateContent xmlns:mc="http://schemas.openxmlformats.org/markup-compatibility/2006">
          <mc:Choice Requires="x14">
            <control shapeId="50256" r:id="rId69" name="Button 80">
              <controlPr defaultSize="0" print="0" autoFill="0" autoPict="0" macro="[0]!AddRow">
                <anchor moveWithCells="1">
                  <from>
                    <xdr:col>0</xdr:col>
                    <xdr:colOff>66675</xdr:colOff>
                    <xdr:row>170</xdr:row>
                    <xdr:rowOff>95250</xdr:rowOff>
                  </from>
                  <to>
                    <xdr:col>0</xdr:col>
                    <xdr:colOff>685800</xdr:colOff>
                    <xdr:row>171</xdr:row>
                    <xdr:rowOff>123825</xdr:rowOff>
                  </to>
                </anchor>
              </controlPr>
            </control>
          </mc:Choice>
        </mc:AlternateContent>
        <mc:AlternateContent xmlns:mc="http://schemas.openxmlformats.org/markup-compatibility/2006">
          <mc:Choice Requires="x14">
            <control shapeId="50257" r:id="rId70" name="Button 81">
              <controlPr defaultSize="0" print="0" autoFill="0" autoPict="0" macro="[0]!DeleteRow">
                <anchor moveWithCells="1">
                  <from>
                    <xdr:col>0</xdr:col>
                    <xdr:colOff>66675</xdr:colOff>
                    <xdr:row>171</xdr:row>
                    <xdr:rowOff>161925</xdr:rowOff>
                  </from>
                  <to>
                    <xdr:col>0</xdr:col>
                    <xdr:colOff>685800</xdr:colOff>
                    <xdr:row>172</xdr:row>
                    <xdr:rowOff>190500</xdr:rowOff>
                  </to>
                </anchor>
              </controlPr>
            </control>
          </mc:Choice>
        </mc:AlternateContent>
        <mc:AlternateContent xmlns:mc="http://schemas.openxmlformats.org/markup-compatibility/2006">
          <mc:Choice Requires="x14">
            <control shapeId="50258" r:id="rId71" name="Button 82">
              <controlPr defaultSize="0" print="0" autoFill="0" autoPict="0" macro="[0]!AddRow">
                <anchor moveWithCells="1">
                  <from>
                    <xdr:col>0</xdr:col>
                    <xdr:colOff>66675</xdr:colOff>
                    <xdr:row>175</xdr:row>
                    <xdr:rowOff>85725</xdr:rowOff>
                  </from>
                  <to>
                    <xdr:col>0</xdr:col>
                    <xdr:colOff>685800</xdr:colOff>
                    <xdr:row>176</xdr:row>
                    <xdr:rowOff>114300</xdr:rowOff>
                  </to>
                </anchor>
              </controlPr>
            </control>
          </mc:Choice>
        </mc:AlternateContent>
        <mc:AlternateContent xmlns:mc="http://schemas.openxmlformats.org/markup-compatibility/2006">
          <mc:Choice Requires="x14">
            <control shapeId="50259" r:id="rId72" name="Button 83">
              <controlPr defaultSize="0" print="0" autoFill="0" autoPict="0" macro="[0]!DeleteRow">
                <anchor moveWithCells="1">
                  <from>
                    <xdr:col>0</xdr:col>
                    <xdr:colOff>66675</xdr:colOff>
                    <xdr:row>176</xdr:row>
                    <xdr:rowOff>152400</xdr:rowOff>
                  </from>
                  <to>
                    <xdr:col>0</xdr:col>
                    <xdr:colOff>685800</xdr:colOff>
                    <xdr:row>177</xdr:row>
                    <xdr:rowOff>180975</xdr:rowOff>
                  </to>
                </anchor>
              </controlPr>
            </control>
          </mc:Choice>
        </mc:AlternateContent>
        <mc:AlternateContent xmlns:mc="http://schemas.openxmlformats.org/markup-compatibility/2006">
          <mc:Choice Requires="x14">
            <control shapeId="50260" r:id="rId73" name="Button 84">
              <controlPr defaultSize="0" print="0" autoFill="0" autoPict="0" macro="[0]!AddRow">
                <anchor moveWithCells="1">
                  <from>
                    <xdr:col>0</xdr:col>
                    <xdr:colOff>66675</xdr:colOff>
                    <xdr:row>180</xdr:row>
                    <xdr:rowOff>85725</xdr:rowOff>
                  </from>
                  <to>
                    <xdr:col>0</xdr:col>
                    <xdr:colOff>685800</xdr:colOff>
                    <xdr:row>181</xdr:row>
                    <xdr:rowOff>114300</xdr:rowOff>
                  </to>
                </anchor>
              </controlPr>
            </control>
          </mc:Choice>
        </mc:AlternateContent>
        <mc:AlternateContent xmlns:mc="http://schemas.openxmlformats.org/markup-compatibility/2006">
          <mc:Choice Requires="x14">
            <control shapeId="50261" r:id="rId74" name="Button 85">
              <controlPr defaultSize="0" print="0" autoFill="0" autoPict="0" macro="[0]!DeleteRow">
                <anchor moveWithCells="1">
                  <from>
                    <xdr:col>0</xdr:col>
                    <xdr:colOff>66675</xdr:colOff>
                    <xdr:row>181</xdr:row>
                    <xdr:rowOff>152400</xdr:rowOff>
                  </from>
                  <to>
                    <xdr:col>0</xdr:col>
                    <xdr:colOff>685800</xdr:colOff>
                    <xdr:row>182</xdr:row>
                    <xdr:rowOff>180975</xdr:rowOff>
                  </to>
                </anchor>
              </controlPr>
            </control>
          </mc:Choice>
        </mc:AlternateContent>
        <mc:AlternateContent xmlns:mc="http://schemas.openxmlformats.org/markup-compatibility/2006">
          <mc:Choice Requires="x14">
            <control shapeId="50262" r:id="rId75" name="Button 86">
              <controlPr defaultSize="0" print="0" autoFill="0" autoPict="0" macro="[0]!AddRow">
                <anchor moveWithCells="1">
                  <from>
                    <xdr:col>0</xdr:col>
                    <xdr:colOff>66675</xdr:colOff>
                    <xdr:row>185</xdr:row>
                    <xdr:rowOff>123825</xdr:rowOff>
                  </from>
                  <to>
                    <xdr:col>0</xdr:col>
                    <xdr:colOff>685800</xdr:colOff>
                    <xdr:row>186</xdr:row>
                    <xdr:rowOff>152400</xdr:rowOff>
                  </to>
                </anchor>
              </controlPr>
            </control>
          </mc:Choice>
        </mc:AlternateContent>
        <mc:AlternateContent xmlns:mc="http://schemas.openxmlformats.org/markup-compatibility/2006">
          <mc:Choice Requires="x14">
            <control shapeId="50263" r:id="rId76" name="Button 87">
              <controlPr defaultSize="0" print="0" autoFill="0" autoPict="0" macro="[0]!DeleteRow">
                <anchor moveWithCells="1">
                  <from>
                    <xdr:col>0</xdr:col>
                    <xdr:colOff>66675</xdr:colOff>
                    <xdr:row>186</xdr:row>
                    <xdr:rowOff>190500</xdr:rowOff>
                  </from>
                  <to>
                    <xdr:col>0</xdr:col>
                    <xdr:colOff>685800</xdr:colOff>
                    <xdr:row>187</xdr:row>
                    <xdr:rowOff>219075</xdr:rowOff>
                  </to>
                </anchor>
              </controlPr>
            </control>
          </mc:Choice>
        </mc:AlternateContent>
      </controls>
    </mc:Choice>
  </mc:AlternateContent>
  <tableParts count="33">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s>
  <extLst>
    <ext xmlns:x14="http://schemas.microsoft.com/office/spreadsheetml/2009/9/main" uri="{78C0D931-6437-407d-A8EE-F0AAD7539E65}">
      <x14:conditionalFormattings>
        <x14:conditionalFormatting xmlns:xm="http://schemas.microsoft.com/office/excel/2006/main">
          <x14:cfRule type="expression" priority="18" id="{8FDBA642-DE3F-4297-8F37-5F29D79C75AB}">
            <xm:f>Security!$A$1="NO VBA"</xm:f>
            <x14:dxf>
              <font>
                <color theme="0"/>
              </font>
              <border>
                <vertical/>
                <horizontal/>
              </border>
            </x14:dxf>
          </x14:cfRule>
          <xm:sqref>C6:P6 Z1:XFD1 P34:P147 A6:A166 X6:X166 AB6:XFD166 W1:X1 Q7:Q46 C124:O124 B76:O79 B81:O84 P164:P166 B195:O1048576 B86:O89 B91:O98 B100:O111 B113:O123 B125:O125 B127:O130 B132:O142 B144:O151 A192:A1048576 B7:P33 B192:O192 B193 D193:O193 Y7:AA166 B34:O74 X2:XFD2 W3:XFD5 R1:V3 Q48:W166 P192:XFD1048576 R7:W47 A4:V5 W2:W4 A1:P3</xm:sqref>
        </x14:conditionalFormatting>
        <x14:conditionalFormatting xmlns:xm="http://schemas.microsoft.com/office/excel/2006/main">
          <x14:cfRule type="expression" priority="13" id="{4DADBD3D-0766-4CE2-83A1-DE2AC3295260}">
            <xm:f>Security!$A$1="NO VBA"</xm:f>
            <x14:dxf>
              <font>
                <color theme="0"/>
              </font>
              <border>
                <vertical/>
                <horizontal/>
              </border>
            </x14:dxf>
          </x14:cfRule>
          <xm:sqref>W6</xm:sqref>
        </x14:conditionalFormatting>
        <x14:conditionalFormatting xmlns:xm="http://schemas.microsoft.com/office/excel/2006/main">
          <x14:cfRule type="expression" priority="12" id="{F8F177BC-0617-4B1D-865F-B06DFB944222}">
            <xm:f>Security!$A$1="NO VBA"</xm:f>
            <x14:dxf>
              <font>
                <color theme="0"/>
              </font>
              <border>
                <vertical/>
                <horizontal/>
              </border>
            </x14:dxf>
          </x14:cfRule>
          <xm:sqref>AA6</xm:sqref>
        </x14:conditionalFormatting>
        <x14:conditionalFormatting xmlns:xm="http://schemas.microsoft.com/office/excel/2006/main">
          <x14:cfRule type="expression" priority="11" id="{593DBDB1-6C15-4492-B086-A4D535D57A29}">
            <xm:f>Security!$A$1="NO VBA"</xm:f>
            <x14:dxf>
              <font>
                <color theme="0"/>
              </font>
              <border>
                <vertical/>
                <horizontal/>
              </border>
            </x14:dxf>
          </x14:cfRule>
          <xm:sqref>Q6:V6</xm:sqref>
        </x14:conditionalFormatting>
        <x14:conditionalFormatting xmlns:xm="http://schemas.microsoft.com/office/excel/2006/main">
          <x14:cfRule type="expression" priority="10" id="{A29D879D-8CAA-4F1B-8592-B0374AC2F983}">
            <xm:f>Security!$A$1="NO VBA"</xm:f>
            <x14:dxf>
              <font>
                <color theme="0"/>
              </font>
              <border>
                <vertical/>
                <horizontal/>
              </border>
            </x14:dxf>
          </x14:cfRule>
          <xm:sqref>Y6:Z6</xm:sqref>
        </x14:conditionalFormatting>
        <x14:conditionalFormatting xmlns:xm="http://schemas.microsoft.com/office/excel/2006/main">
          <x14:cfRule type="expression" priority="9"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2" id="{C3FB88D9-121E-43F0-A3FA-2CD876A4778F}">
            <xm:f>Security!$A$1="NO VBA"</xm:f>
            <x14:dxf>
              <font>
                <color theme="0"/>
              </font>
              <border>
                <vertical/>
                <horizontal/>
              </border>
            </x14:dxf>
          </x14:cfRule>
          <xm:sqref>B158</xm:sqref>
        </x14:conditionalFormatting>
        <x14:conditionalFormatting xmlns:xm="http://schemas.microsoft.com/office/excel/2006/main">
          <x14:cfRule type="expression" priority="1" id="{EE271175-121B-45D6-A58D-B1982B9F7A5D}">
            <xm:f>Security!$A$1="NO VBA"</xm:f>
            <x14:dxf>
              <font>
                <color theme="0"/>
              </font>
              <border>
                <vertical/>
                <horizontal/>
              </border>
            </x14:dxf>
          </x14:cfRule>
          <xm:sqref>S6:V6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file>

<file path=customXml/item2.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3.xml>�� �� �i   t �� � �� �t   � � �  l � � �  l �� �  t � � �� �i   t �� � �� �t   � � �  l � � �  l �� �  t � � 
</file>

<file path=customXml/item4.xml>�� � � � �� �  l � � � � i �m   s �  d � � �n   c � � �p    � � � � i � �  d �  �  �  �  �  l ��  �  � �  l � � � � � � �� �  l � � � � i �m   s �  d � � �n   c � � �p    � � � � i � �  d �  �  �  �  �  l ��  �  � �  l � � � 
</file>

<file path=customXml/item5.xml>��   
</file>

<file path=customXml/item6.xml>��   
</file>

<file path=customXml/item7.xml>��   
</file>

<file path=customXml/item8.xml>��   
</file>

<file path=customXml/item9.xml>�� �n   �u   t � �n   �u   t � �  �u   t � �i   h � �  �  �u   t � �   � �n   �u   t � �n   �u   t � �  �u   t � �i   h � �  �  �u   t � �   � 
</file>

<file path=customXml/item10.xml>�� � � � � � � � � � � 
</file>

<file path=customXml/item11.xml>�� �  �� �i   t �� � �� �t   � � �  l � � �  l �� �  t � � � � �n   v � �  s u � �  l � � � � � i � �  d � i �m   s �  d � �� �  l � � � � � �n   c � � � � � �  l � � � � �p     �  �  �  �  l ��  �  � 
</file>

<file path=customXml/item12.xml>��   
</file>

<file path=customXml/item13.xml>�� 
</file>

<file path=customXml/item14.xml>��   
</file>

<file path=customXml/item15.xml>�� 
</file>

<file path=customXml/item16.xml>�� � � �n   v � �  s u � �  l � � � � �n   v � �  s u � �  l � � 
</file>

<file path=customXml/item17.xml>��   
</file>

<file path=customXml/item18.xml>�� � � � � 
</file>

<file path=customXml/item19.xml>��   
</file>

<file path=customXml/item20.xml>��   
</file>

<file path=customXml/item21.xml>��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191B7BA9-1DA0-4A1F-92C6-58CED33D8FBA}">
  <ds:schemaRefs/>
</ds:datastoreItem>
</file>

<file path=customXml/itemProps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4.xml><?xml version="1.0" encoding="utf-8"?>
<ds:datastoreItem xmlns:ds="http://schemas.openxmlformats.org/officeDocument/2006/customXml" ds:itemID="{1878C8EF-93C6-4493-B3A1-62EC837691DB}">
  <ds:schemaRefs/>
</ds:datastoreItem>
</file>

<file path=customXml/itemProps5.xml><?xml version="1.0" encoding="utf-8"?>
<ds:datastoreItem xmlns:ds="http://schemas.openxmlformats.org/officeDocument/2006/customXml" ds:itemID="{4BA9E5F1-90AC-490B-B178-7C8B339E1A47}">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8.xml><?xml version="1.0" encoding="utf-8"?>
<ds:datastoreItem xmlns:ds="http://schemas.openxmlformats.org/officeDocument/2006/customXml" ds:itemID="{A849B9D7-188B-48DA-AB5B-54583621621D}">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01740693-DF8D-48A7-957D-FF5E30362565}">
  <ds:schemaRefs/>
</ds:datastoreItem>
</file>

<file path=customXml/itemProps11.xml><?xml version="1.0" encoding="utf-8"?>
<ds:datastoreItem xmlns:ds="http://schemas.openxmlformats.org/officeDocument/2006/customXml" ds:itemID="{06903EA6-24B6-482A-8718-123CC552769D}">
  <ds:schemaRefs/>
</ds:datastoreItem>
</file>

<file path=customXml/itemProps1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0B9C3544-1C46-45A4-BEB6-1CE4D6559900}">
  <ds:schemaRefs/>
</ds:datastoreItem>
</file>

<file path=customXml/itemProps1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6.xml><?xml version="1.0" encoding="utf-8"?>
<ds:datastoreItem xmlns:ds="http://schemas.openxmlformats.org/officeDocument/2006/customXml" ds:itemID="{584F28E9-849A-497A-B7B7-AE2BAA06EB0A}">
  <ds:schemaRefs/>
</ds:datastoreItem>
</file>

<file path=customXml/itemProps17.xml><?xml version="1.0" encoding="utf-8"?>
<ds:datastoreItem xmlns:ds="http://schemas.openxmlformats.org/officeDocument/2006/customXml" ds:itemID="{9E94C942-6F7D-4A68-9432-23867B043DC6}">
  <ds:schemaRefs/>
</ds:datastoreItem>
</file>

<file path=customXml/itemProps1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9.xml><?xml version="1.0" encoding="utf-8"?>
<ds:datastoreItem xmlns:ds="http://schemas.openxmlformats.org/officeDocument/2006/customXml" ds:itemID="{339EBD31-34FE-48FA-B11C-5697D02F64AC}">
  <ds:schemaRefs/>
</ds:datastoreItem>
</file>

<file path=customXml/itemProps2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2025-06-28T15:13:34Z</dcterms:modified>
  <cp:category/>
  <cp:contentStatus/>
</cp:coreProperties>
</file>