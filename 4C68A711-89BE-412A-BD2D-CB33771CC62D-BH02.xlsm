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7BEC7E92-C2FC-45C6-B01F-FD1DF02D6E8D}" xr6:coauthVersionLast="47" xr6:coauthVersionMax="47" xr10:uidLastSave="{00000000-0000-0000-0000-000000000000}"/>
  <bookViews>
    <workbookView xWindow="14295" yWindow="0" windowWidth="14610" windowHeight="15585" tabRatio="717" firstSheet="1" activeTab="1" xr2:uid="{B2DA85E2-969C-4F09-941C-CE16CCFE9D56}"/>
  </bookViews>
  <sheets>
    <sheet name="Security" sheetId="79" state="veryHidden" r:id="rId1"/>
    <sheet name="EULA" sheetId="77" r:id="rId2"/>
    <sheet name="Quản lý KPI" sheetId="52"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5"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0" i="52" l="1" a="1"/>
  <c r="AI20" i="52" s="1"/>
  <c r="AI18" i="52" a="1"/>
  <c r="AI18" i="52" s="1"/>
  <c r="AI17" i="52" a="1"/>
  <c r="AI17" i="52" s="1"/>
  <c r="AI11" i="52" a="1"/>
  <c r="AI11" i="52" s="1"/>
  <c r="AI9" i="52" a="1"/>
  <c r="AI9" i="52" s="1"/>
  <c r="AI8" i="52" a="1"/>
  <c r="AI8" i="52" s="1"/>
  <c r="AI10" i="52" l="1"/>
  <c r="AI19" i="52"/>
  <c r="X30" i="52"/>
  <c r="AD30" i="52" s="1" a="1"/>
  <c r="AD30" i="52" s="1"/>
  <c r="X31" i="52"/>
  <c r="AD31" i="52" s="1" a="1"/>
  <c r="AD31" i="52" s="1"/>
  <c r="X32" i="52"/>
  <c r="AD32" i="52" s="1" a="1"/>
  <c r="AD32" i="52" s="1"/>
  <c r="X33" i="52"/>
  <c r="AD33" i="52" s="1" a="1"/>
  <c r="AD33" i="52" s="1"/>
  <c r="X34" i="52"/>
  <c r="AD34" i="52" s="1" a="1"/>
  <c r="AD34" i="52" s="1"/>
  <c r="AE34" i="52" s="1"/>
  <c r="AF34" i="52" s="1"/>
  <c r="AE30" i="52" l="1"/>
  <c r="AF30" i="52" s="1"/>
  <c r="AE33" i="52"/>
  <c r="AF33" i="52" s="1"/>
  <c r="AE32" i="52"/>
  <c r="AF32" i="52" s="1"/>
  <c r="AE31" i="52"/>
  <c r="AF31" i="52" s="1"/>
  <c r="X35" i="52"/>
  <c r="AD35" i="52" s="1" a="1"/>
  <c r="AD35" i="52" s="1"/>
  <c r="AE35" i="52" l="1"/>
  <c r="AF35" i="5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<sst xmlns="http://schemas.openxmlformats.org/spreadsheetml/2006/main" count="189" uniqueCount="76">
  <si>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</si>
  <si>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</si>
  <si>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</si>
  <si>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</si>
  <si>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</si>
  <si>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</si>
  <si>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</si>
  <si>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</si>
  <si>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</si>
  <si>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</si>
  <si>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</si>
  <si>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</si>
  <si>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</si>
  <si>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</si>
  <si>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</si>
  <si>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Nhân viên</t>
  </si>
  <si>
    <t>Kênh</t>
  </si>
  <si>
    <t>Thưởng KPI</t>
  </si>
  <si>
    <t>Tỷ lệ KPI</t>
  </si>
  <si>
    <t>Đối tượng áp dụng</t>
  </si>
  <si>
    <t>Loại KPI</t>
  </si>
  <si>
    <t>Tỷ lệ KPI min</t>
  </si>
  <si>
    <t>Tỷ lệ KPI max</t>
  </si>
  <si>
    <t>Mức thưởng</t>
  </si>
  <si>
    <t>Doanh thu KPI</t>
  </si>
  <si>
    <t>Doanh thu thực tế</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</si>
  <si>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</si>
  <si>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</si>
  <si>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</si>
  <si>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</si>
  <si>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</si>
  <si>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</si>
  <si>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</si>
  <si>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</si>
  <si>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</si>
  <si>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</si>
  <si>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</si>
  <si>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</si>
  <si>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</si>
  <si>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</si>
  <si>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</si>
  <si>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</si>
  <si>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</si>
  <si>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</si>
  <si>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</si>
  <si>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</si>
  <si>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NV1</t>
  </si>
  <si>
    <t>K1</t>
  </si>
  <si>
    <t>NV2</t>
  </si>
  <si>
    <t>Row Labels</t>
  </si>
  <si>
    <t>Grand Total</t>
  </si>
  <si>
    <t>Mar</t>
  </si>
  <si>
    <t>Apr</t>
  </si>
  <si>
    <t>May</t>
  </si>
  <si>
    <t>Sum of Tỷ lệ KPI</t>
  </si>
  <si>
    <t>KPI</t>
  </si>
  <si>
    <t>Doanh thu</t>
  </si>
  <si>
    <t>Hoàn thành</t>
  </si>
  <si>
    <t>(blank)</t>
  </si>
  <si>
    <t>Months (Kỳ)</t>
  </si>
  <si>
    <t>CHI TIẾT KÊNH</t>
  </si>
  <si>
    <t>GIAI ĐOẠN</t>
  </si>
  <si>
    <t>SỐ THÁNG ĐẠT KPI</t>
  </si>
  <si>
    <t>TỶ LỆ HOÀN THÀNH</t>
  </si>
  <si>
    <t>TỔNG KPI</t>
  </si>
  <si>
    <t>TỔNG DOANH THU</t>
  </si>
  <si>
    <t>CHI TIẾT NHÂN VIÊN</t>
  </si>
  <si>
    <t>ĐẾN</t>
  </si>
  <si>
    <t>4C68A711-89BE-412A-BD2D-CB33771CC62D</t>
  </si>
  <si>
    <t>EASY-33329183463</t>
  </si>
  <si>
    <t>BH02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</si>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</sst>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yyyy"/>
    <numFmt numFmtId="166" formatCode="[$-1010000]d/m/yyyy;@"/>
    <numFmt numFmtId="167" formatCode="_(#,##0_);_(\(#,##0\);_(\-_);_(@_)"/>
    <numFmt numFmtId="168" formatCode="dd/mm/yyyy"/>
    <numFmt numFmtId="169" formatCode="[$-1010000]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5" fontId="7" fillId="0" borderId="0" xfId="0" applyNumberFormat="1" applyFont="1" applyAlignment="1" applyProtection="1">
      <alignment vertical="center"/>
      <protection locked="0" hidden="1"/>
    </xf>
    <xf numFmtId="9" fontId="7"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0" fontId="6" fillId="0" borderId="0" xfId="0" applyFont="1" applyAlignment="1" applyProtection="1">
      <alignment vertical="center"/>
      <protection locked="0" hidden="1"/>
    </xf>
    <xf numFmtId="14" fontId="0" fillId="0" borderId="0" xfId="0" applyNumberFormat="1" applyProtection="1">
      <protection locked="0" hidden="1"/>
    </xf>
    <xf numFmtId="164" fontId="6" fillId="0" borderId="0" xfId="1" applyNumberFormat="1" applyFont="1" applyFill="1" applyBorder="1" applyAlignment="1" applyProtection="1">
      <alignment vertical="center"/>
      <protection locked="0" hidden="1"/>
    </xf>
    <xf numFmtId="167" fontId="6" fillId="0" borderId="1" xfId="0" applyNumberFormat="1" applyFont="1" applyBorder="1" applyAlignment="1" applyProtection="1">
      <alignment vertical="center"/>
      <protection locked="0" hidden="1"/>
    </xf>
    <xf numFmtId="167" fontId="6" fillId="0" borderId="0" xfId="0"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4" fontId="0" fillId="0" borderId="0" xfId="0" applyNumberFormat="1"/>
    <xf numFmtId="9" fontId="0" fillId="0" borderId="0" xfId="0" applyNumberFormat="1"/>
    <xf numFmtId="0" fontId="15" fillId="0" borderId="0" xfId="0" applyFont="1" applyProtection="1">
      <protection locked="0" hidden="1"/>
    </xf>
    <xf numFmtId="0" fontId="15" fillId="0" borderId="0" xfId="0" applyFont="1" applyAlignment="1" applyProtection="1">
      <alignment horizontal="center"/>
      <protection locked="0" hidden="1"/>
    </xf>
    <xf numFmtId="169" fontId="16" fillId="2" borderId="0" xfId="0" applyNumberFormat="1" applyFont="1" applyFill="1" applyProtection="1">
      <protection locked="0" hidden="1"/>
    </xf>
    <xf numFmtId="3" fontId="16" fillId="0" borderId="0" xfId="0" applyNumberFormat="1" applyFont="1" applyAlignment="1" applyProtection="1">
      <alignment horizontal="center"/>
      <protection locked="0" hidden="1"/>
    </xf>
    <xf numFmtId="9" fontId="16" fillId="0" borderId="0" xfId="2" applyFont="1" applyAlignment="1" applyProtection="1">
      <alignment horizontal="center"/>
      <protection locked="0" hidden="1"/>
    </xf>
    <xf numFmtId="0" fontId="16" fillId="2" borderId="0" xfId="0" applyFont="1" applyFill="1" applyAlignment="1" applyProtection="1">
      <alignment horizontal="center"/>
      <protection locked="0" hidden="1"/>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34">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5"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3"/>
      <tableStyleElement type="headerRow" dxfId="32"/>
    </tableStyle>
    <tableStyle name="SlicerStyleLight1 2 2" pivot="0" table="0" count="10" xr9:uid="{9DB8D611-4D15-4128-AF8D-E3329BCC5BCE}">
      <tableStyleElement type="wholeTable" dxfId="31"/>
      <tableStyleElement type="headerRow" dxfId="30"/>
    </tableStyle>
    <tableStyle name="TimeSlicerStyleLight1 2" pivot="0" table="0" count="9" xr9:uid="{58382D9D-B456-41C4-B229-09D2A872184E}">
      <tableStyleElement type="wholeTable" dxfId="29"/>
      <tableStyleElement type="headerRow" dxfId="2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KPI'!$C$29</c:f>
              <c:strCache>
                <c:ptCount val="1"/>
                <c:pt idx="0">
                  <c:v>KPI</c:v>
                </c:pt>
              </c:strCache>
            </c:strRef>
          </c:tx>
          <c:spPr>
            <a:solidFill>
              <a:schemeClr val="accent1"/>
            </a:solidFill>
            <a:ln>
              <a:noFill/>
            </a:ln>
            <a:effectLst/>
          </c:spPr>
          <c:invertIfNegative val="0"/>
          <c:cat>
            <c:strRef>
              <c:f>'Quản lý KPI'!$B$30:$B$33</c:f>
              <c:strCache>
                <c:ptCount val="3"/>
                <c:pt idx="0">
                  <c:v>Mar</c:v>
                </c:pt>
                <c:pt idx="1">
                  <c:v>Apr</c:v>
                </c:pt>
                <c:pt idx="2">
                  <c:v>May</c:v>
                </c:pt>
              </c:strCache>
            </c:strRef>
          </c:cat>
          <c:val>
            <c:numRef>
              <c:f>'Quản lý KPI'!$C$30:$C$33</c:f>
              <c:numCache>
                <c:formatCode>_(* #,##0_);_(* \(#,##0\);_(* "-"??_);_(@_)</c:formatCode>
                <c:ptCount val="3"/>
                <c:pt idx="0">
                  <c:v>50000000</c:v>
                </c:pt>
                <c:pt idx="1">
                  <c:v>60000000</c:v>
                </c:pt>
                <c:pt idx="2">
                  <c:v>70000000</c:v>
                </c:pt>
              </c:numCache>
            </c:numRef>
          </c:val>
          <c:extLst>
            <c:ext xmlns:c16="http://schemas.microsoft.com/office/drawing/2014/chart" uri="{C3380CC4-5D6E-409C-BE32-E72D297353CC}">
              <c16:uniqueId val="{00000000-EC41-4D37-8059-CD3A51831C7E}"/>
            </c:ext>
          </c:extLst>
        </c:ser>
        <c:ser>
          <c:idx val="1"/>
          <c:order val="1"/>
          <c:tx>
            <c:strRef>
              <c:f>'Quản lý KPI'!$D$29</c:f>
              <c:strCache>
                <c:ptCount val="1"/>
                <c:pt idx="0">
                  <c:v>Doanh thu</c:v>
                </c:pt>
              </c:strCache>
            </c:strRef>
          </c:tx>
          <c:spPr>
            <a:solidFill>
              <a:schemeClr val="accent2"/>
            </a:solidFill>
            <a:ln>
              <a:noFill/>
            </a:ln>
            <a:effectLst/>
          </c:spPr>
          <c:invertIfNegative val="0"/>
          <c:cat>
            <c:strRef>
              <c:f>'Quản lý KPI'!$B$30:$B$33</c:f>
              <c:strCache>
                <c:ptCount val="3"/>
                <c:pt idx="0">
                  <c:v>Mar</c:v>
                </c:pt>
                <c:pt idx="1">
                  <c:v>Apr</c:v>
                </c:pt>
                <c:pt idx="2">
                  <c:v>May</c:v>
                </c:pt>
              </c:strCache>
            </c:strRef>
          </c:cat>
          <c:val>
            <c:numRef>
              <c:f>'Quản lý KPI'!$D$30:$D$33</c:f>
              <c:numCache>
                <c:formatCode>_(* #,##0_);_(* \(#,##0\);_(* "-"??_);_(@_)</c:formatCode>
                <c:ptCount val="3"/>
                <c:pt idx="0">
                  <c:v>25416127</c:v>
                </c:pt>
                <c:pt idx="1">
                  <c:v>123167198</c:v>
                </c:pt>
                <c:pt idx="2">
                  <c:v>95973578</c:v>
                </c:pt>
              </c:numCache>
            </c:numRef>
          </c:val>
          <c:extLst>
            <c:ext xmlns:c16="http://schemas.microsoft.com/office/drawing/2014/chart" uri="{C3380CC4-5D6E-409C-BE32-E72D297353CC}">
              <c16:uniqueId val="{00000002-EC41-4D37-8059-CD3A51831C7E}"/>
            </c:ext>
          </c:extLst>
        </c:ser>
        <c:dLbls>
          <c:showLegendKey val="0"/>
          <c:showVal val="0"/>
          <c:showCatName val="0"/>
          <c:showSerName val="0"/>
          <c:showPercent val="0"/>
          <c:showBubbleSize val="0"/>
        </c:dLbls>
        <c:gapWidth val="219"/>
        <c:axId val="492260687"/>
        <c:axId val="492261167"/>
      </c:barChart>
      <c:lineChart>
        <c:grouping val="standard"/>
        <c:varyColors val="0"/>
        <c:ser>
          <c:idx val="2"/>
          <c:order val="2"/>
          <c:tx>
            <c:strRef>
              <c:f>'Quản lý KPI'!$E$29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KPI'!$B$30:$B$33</c:f>
              <c:strCache>
                <c:ptCount val="3"/>
                <c:pt idx="0">
                  <c:v>Mar</c:v>
                </c:pt>
                <c:pt idx="1">
                  <c:v>Apr</c:v>
                </c:pt>
                <c:pt idx="2">
                  <c:v>May</c:v>
                </c:pt>
              </c:strCache>
            </c:strRef>
          </c:cat>
          <c:val>
            <c:numRef>
              <c:f>'Quản lý KPI'!$E$30:$E$33</c:f>
              <c:numCache>
                <c:formatCode>0%</c:formatCode>
                <c:ptCount val="3"/>
                <c:pt idx="0">
                  <c:v>0.50832253999999999</c:v>
                </c:pt>
                <c:pt idx="1">
                  <c:v>2.0527866333333336</c:v>
                </c:pt>
                <c:pt idx="2">
                  <c:v>1.3710511142857142</c:v>
                </c:pt>
              </c:numCache>
            </c:numRef>
          </c:val>
          <c:smooth val="0"/>
          <c:extLst>
            <c:ext xmlns:c16="http://schemas.microsoft.com/office/drawing/2014/chart" uri="{C3380CC4-5D6E-409C-BE32-E72D297353CC}">
              <c16:uniqueId val="{00000003-EC41-4D37-8059-CD3A51831C7E}"/>
            </c:ext>
          </c:extLst>
        </c:ser>
        <c:dLbls>
          <c:showLegendKey val="0"/>
          <c:showVal val="0"/>
          <c:showCatName val="0"/>
          <c:showSerName val="0"/>
          <c:showPercent val="0"/>
          <c:showBubbleSize val="0"/>
        </c:dLbls>
        <c:marker val="1"/>
        <c:smooth val="0"/>
        <c:axId val="768734271"/>
        <c:axId val="768735231"/>
      </c:lineChart>
      <c:catAx>
        <c:axId val="492260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1167"/>
        <c:crosses val="autoZero"/>
        <c:auto val="1"/>
        <c:lblAlgn val="ctr"/>
        <c:lblOffset val="100"/>
        <c:noMultiLvlLbl val="0"/>
      </c:catAx>
      <c:valAx>
        <c:axId val="492261167"/>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0687"/>
        <c:crosses val="autoZero"/>
        <c:crossBetween val="between"/>
      </c:valAx>
      <c:valAx>
        <c:axId val="76873523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8734271"/>
        <c:crosses val="max"/>
        <c:crossBetween val="between"/>
      </c:valAx>
      <c:catAx>
        <c:axId val="768734271"/>
        <c:scaling>
          <c:orientation val="minMax"/>
        </c:scaling>
        <c:delete val="1"/>
        <c:axPos val="b"/>
        <c:numFmt formatCode="General" sourceLinked="1"/>
        <c:majorTickMark val="out"/>
        <c:minorTickMark val="none"/>
        <c:tickLblPos val="nextTo"/>
        <c:crossAx val="76873523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KPI'!$H$29</c:f>
              <c:strCache>
                <c:ptCount val="1"/>
                <c:pt idx="0">
                  <c:v>KPI</c:v>
                </c:pt>
              </c:strCache>
            </c:strRef>
          </c:tx>
          <c:spPr>
            <a:solidFill>
              <a:schemeClr val="accent1"/>
            </a:solidFill>
            <a:ln>
              <a:noFill/>
            </a:ln>
            <a:effectLst/>
          </c:spPr>
          <c:invertIfNegative val="0"/>
          <c:cat>
            <c:strRef>
              <c:f>'Quản lý KPI'!$G$30:$G$33</c:f>
              <c:strCache>
                <c:ptCount val="3"/>
                <c:pt idx="0">
                  <c:v>Mar</c:v>
                </c:pt>
                <c:pt idx="1">
                  <c:v>Apr</c:v>
                </c:pt>
                <c:pt idx="2">
                  <c:v>May</c:v>
                </c:pt>
              </c:strCache>
            </c:strRef>
          </c:cat>
          <c:val>
            <c:numRef>
              <c:f>'Quản lý KPI'!$H$30:$H$33</c:f>
              <c:numCache>
                <c:formatCode>_(* #,##0_);_(* \(#,##0\);_(* "-"??_);_(@_)</c:formatCode>
                <c:ptCount val="3"/>
                <c:pt idx="0">
                  <c:v>150000000</c:v>
                </c:pt>
                <c:pt idx="1">
                  <c:v>200000000</c:v>
                </c:pt>
                <c:pt idx="2">
                  <c:v>250000000</c:v>
                </c:pt>
              </c:numCache>
            </c:numRef>
          </c:val>
          <c:extLst>
            <c:ext xmlns:c16="http://schemas.microsoft.com/office/drawing/2014/chart" uri="{C3380CC4-5D6E-409C-BE32-E72D297353CC}">
              <c16:uniqueId val="{00000000-5605-445C-AAC2-FB32E2F10721}"/>
            </c:ext>
          </c:extLst>
        </c:ser>
        <c:ser>
          <c:idx val="1"/>
          <c:order val="1"/>
          <c:tx>
            <c:strRef>
              <c:f>'Quản lý KPI'!$I$29</c:f>
              <c:strCache>
                <c:ptCount val="1"/>
                <c:pt idx="0">
                  <c:v>Doanh thu</c:v>
                </c:pt>
              </c:strCache>
            </c:strRef>
          </c:tx>
          <c:spPr>
            <a:solidFill>
              <a:schemeClr val="accent2"/>
            </a:solidFill>
            <a:ln>
              <a:noFill/>
            </a:ln>
            <a:effectLst/>
          </c:spPr>
          <c:invertIfNegative val="0"/>
          <c:cat>
            <c:strRef>
              <c:f>'Quản lý KPI'!$G$30:$G$33</c:f>
              <c:strCache>
                <c:ptCount val="3"/>
                <c:pt idx="0">
                  <c:v>Mar</c:v>
                </c:pt>
                <c:pt idx="1">
                  <c:v>Apr</c:v>
                </c:pt>
                <c:pt idx="2">
                  <c:v>May</c:v>
                </c:pt>
              </c:strCache>
            </c:strRef>
          </c:cat>
          <c:val>
            <c:numRef>
              <c:f>'Quản lý KPI'!$I$30:$I$33</c:f>
              <c:numCache>
                <c:formatCode>_(* #,##0_);_(* \(#,##0\);_(* "-"??_);_(@_)</c:formatCode>
                <c:ptCount val="3"/>
                <c:pt idx="0">
                  <c:v>66534612</c:v>
                </c:pt>
                <c:pt idx="1">
                  <c:v>217163027</c:v>
                </c:pt>
                <c:pt idx="2">
                  <c:v>124983307</c:v>
                </c:pt>
              </c:numCache>
            </c:numRef>
          </c:val>
          <c:extLst>
            <c:ext xmlns:c16="http://schemas.microsoft.com/office/drawing/2014/chart" uri="{C3380CC4-5D6E-409C-BE32-E72D297353CC}">
              <c16:uniqueId val="{00000002-5605-445C-AAC2-FB32E2F10721}"/>
            </c:ext>
          </c:extLst>
        </c:ser>
        <c:dLbls>
          <c:showLegendKey val="0"/>
          <c:showVal val="0"/>
          <c:showCatName val="0"/>
          <c:showSerName val="0"/>
          <c:showPercent val="0"/>
          <c:showBubbleSize val="0"/>
        </c:dLbls>
        <c:gapWidth val="219"/>
        <c:axId val="769521199"/>
        <c:axId val="769519279"/>
      </c:barChart>
      <c:lineChart>
        <c:grouping val="standard"/>
        <c:varyColors val="0"/>
        <c:ser>
          <c:idx val="2"/>
          <c:order val="2"/>
          <c:tx>
            <c:strRef>
              <c:f>'Quản lý KPI'!$J$29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KPI'!$G$30:$G$33</c:f>
              <c:strCache>
                <c:ptCount val="3"/>
                <c:pt idx="0">
                  <c:v>Mar</c:v>
                </c:pt>
                <c:pt idx="1">
                  <c:v>Apr</c:v>
                </c:pt>
                <c:pt idx="2">
                  <c:v>May</c:v>
                </c:pt>
              </c:strCache>
            </c:strRef>
          </c:cat>
          <c:val>
            <c:numRef>
              <c:f>'Quản lý KPI'!$J$30:$J$33</c:f>
              <c:numCache>
                <c:formatCode>0%</c:formatCode>
                <c:ptCount val="3"/>
                <c:pt idx="0">
                  <c:v>0.44356408000000003</c:v>
                </c:pt>
                <c:pt idx="1">
                  <c:v>1.085815135</c:v>
                </c:pt>
                <c:pt idx="2">
                  <c:v>0.49993322800000001</c:v>
                </c:pt>
              </c:numCache>
            </c:numRef>
          </c:val>
          <c:smooth val="0"/>
          <c:extLst>
            <c:ext xmlns:c16="http://schemas.microsoft.com/office/drawing/2014/chart" uri="{C3380CC4-5D6E-409C-BE32-E72D297353CC}">
              <c16:uniqueId val="{00000003-5605-445C-AAC2-FB32E2F10721}"/>
            </c:ext>
          </c:extLst>
        </c:ser>
        <c:dLbls>
          <c:showLegendKey val="0"/>
          <c:showVal val="0"/>
          <c:showCatName val="0"/>
          <c:showSerName val="0"/>
          <c:showPercent val="0"/>
          <c:showBubbleSize val="0"/>
        </c:dLbls>
        <c:marker val="1"/>
        <c:smooth val="0"/>
        <c:axId val="1385985887"/>
        <c:axId val="1385983007"/>
      </c:lineChart>
      <c:catAx>
        <c:axId val="76952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19279"/>
        <c:crosses val="autoZero"/>
        <c:auto val="1"/>
        <c:lblAlgn val="ctr"/>
        <c:lblOffset val="100"/>
        <c:noMultiLvlLbl val="0"/>
      </c:catAx>
      <c:valAx>
        <c:axId val="7695192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21199"/>
        <c:crosses val="autoZero"/>
        <c:crossBetween val="between"/>
      </c:valAx>
      <c:valAx>
        <c:axId val="138598300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385985887"/>
        <c:crosses val="max"/>
        <c:crossBetween val="between"/>
      </c:valAx>
      <c:catAx>
        <c:axId val="1385985887"/>
        <c:scaling>
          <c:orientation val="minMax"/>
        </c:scaling>
        <c:delete val="1"/>
        <c:axPos val="b"/>
        <c:numFmt formatCode="General" sourceLinked="1"/>
        <c:majorTickMark val="out"/>
        <c:minorTickMark val="none"/>
        <c:tickLblPos val="nextTo"/>
        <c:crossAx val="1385983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KPI'!$M$29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KPI'!$L$30:$L$32</c:f>
              <c:strCache>
                <c:ptCount val="2"/>
                <c:pt idx="0">
                  <c:v>NV1</c:v>
                </c:pt>
                <c:pt idx="1">
                  <c:v>(blank)</c:v>
                </c:pt>
              </c:strCache>
            </c:strRef>
          </c:cat>
          <c:val>
            <c:numRef>
              <c:f>'Quản lý KPI'!$M$30:$M$32</c:f>
              <c:numCache>
                <c:formatCode>0%</c:formatCode>
                <c:ptCount val="2"/>
                <c:pt idx="0">
                  <c:v>1.3710511142857142</c:v>
                </c:pt>
                <c:pt idx="1">
                  <c:v>0.49993322800000001</c:v>
                </c:pt>
              </c:numCache>
            </c:numRef>
          </c:val>
          <c:extLst>
            <c:ext xmlns:c16="http://schemas.microsoft.com/office/drawing/2014/chart" uri="{C3380CC4-5D6E-409C-BE32-E72D297353CC}">
              <c16:uniqueId val="{00000002-2748-421F-9B24-F030B09BEB87}"/>
            </c:ext>
          </c:extLst>
        </c:ser>
        <c:dLbls>
          <c:showLegendKey val="0"/>
          <c:showVal val="0"/>
          <c:showCatName val="0"/>
          <c:showSerName val="0"/>
          <c:showPercent val="0"/>
          <c:showBubbleSize val="0"/>
        </c:dLbls>
        <c:gapWidth val="219"/>
        <c:axId val="492262607"/>
        <c:axId val="492263087"/>
      </c:barChart>
      <c:catAx>
        <c:axId val="492262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3087"/>
        <c:crosses val="autoZero"/>
        <c:auto val="1"/>
        <c:lblAlgn val="ctr"/>
        <c:lblOffset val="100"/>
        <c:noMultiLvlLbl val="0"/>
      </c:catAx>
      <c:valAx>
        <c:axId val="4922630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2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KPI'!$P$29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KPI'!$O$30:$O$32</c:f>
              <c:strCache>
                <c:ptCount val="2"/>
                <c:pt idx="0">
                  <c:v>K1</c:v>
                </c:pt>
                <c:pt idx="1">
                  <c:v>(blank)</c:v>
                </c:pt>
              </c:strCache>
            </c:strRef>
          </c:cat>
          <c:val>
            <c:numRef>
              <c:f>'Quản lý KPI'!$P$30:$P$32</c:f>
              <c:numCache>
                <c:formatCode>0%</c:formatCode>
                <c:ptCount val="2"/>
                <c:pt idx="0">
                  <c:v>0.49993322800000001</c:v>
                </c:pt>
                <c:pt idx="1">
                  <c:v>1.3710511142857142</c:v>
                </c:pt>
              </c:numCache>
            </c:numRef>
          </c:val>
          <c:extLst>
            <c:ext xmlns:c16="http://schemas.microsoft.com/office/drawing/2014/chart" uri="{C3380CC4-5D6E-409C-BE32-E72D297353CC}">
              <c16:uniqueId val="{00000000-9546-4566-9187-975994C87B57}"/>
            </c:ext>
          </c:extLst>
        </c:ser>
        <c:dLbls>
          <c:showLegendKey val="0"/>
          <c:showVal val="0"/>
          <c:showCatName val="0"/>
          <c:showSerName val="0"/>
          <c:showPercent val="0"/>
          <c:showBubbleSize val="0"/>
        </c:dLbls>
        <c:gapWidth val="219"/>
        <c:axId val="2102539199"/>
        <c:axId val="701414223"/>
      </c:barChart>
      <c:catAx>
        <c:axId val="2102539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1414223"/>
        <c:crosses val="autoZero"/>
        <c:auto val="1"/>
        <c:lblAlgn val="ctr"/>
        <c:lblOffset val="100"/>
        <c:noMultiLvlLbl val="0"/>
      </c:catAx>
      <c:valAx>
        <c:axId val="70141422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210253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DABC557D-1762-48D6-A2D5-A4C517E55CA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57151</xdr:colOff>
          <xdr:row>0</xdr:row>
          <xdr:rowOff>104775</xdr:rowOff>
        </xdr:from>
        <xdr:to>
          <xdr:col>20</xdr:col>
          <xdr:colOff>619125</xdr:colOff>
          <xdr:row>2</xdr:row>
          <xdr:rowOff>9525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24765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6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6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02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02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02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02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02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6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02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6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2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2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2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762000</xdr:colOff>
          <xdr:row>0</xdr:row>
          <xdr:rowOff>76200</xdr:rowOff>
        </xdr:from>
        <xdr:to>
          <xdr:col>21</xdr:col>
          <xdr:colOff>847725</xdr:colOff>
          <xdr:row>1</xdr:row>
          <xdr:rowOff>104775</xdr:rowOff>
        </xdr:to>
        <xdr:grpSp>
          <xdr:nvGrpSpPr>
            <xdr:cNvPr id="30" name="Group 29">
              <a:extLst>
                <a:ext uri="{FF2B5EF4-FFF2-40B4-BE49-F238E27FC236}">
                  <a16:creationId xmlns:a16="http://schemas.microsoft.com/office/drawing/2014/main" id="{00000000-0008-0000-1600-00001E000000}"/>
                </a:ext>
              </a:extLst>
            </xdr:cNvPr>
            <xdr:cNvGrpSpPr/>
          </xdr:nvGrpSpPr>
          <xdr:grpSpPr>
            <a:xfrm>
              <a:off x="4086225"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02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02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47625</xdr:colOff>
      <xdr:row>2</xdr:row>
      <xdr:rowOff>200025</xdr:rowOff>
    </xdr:from>
    <xdr:to>
      <xdr:col>23</xdr:col>
      <xdr:colOff>208875</xdr:colOff>
      <xdr:row>13</xdr:row>
      <xdr:rowOff>205425</xdr:rowOff>
    </xdr:to>
    <xdr:graphicFrame macro="">
      <xdr:nvGraphicFramePr>
        <xdr:cNvPr id="2" name="Chart 1">
          <a:extLst>
            <a:ext uri="{FF2B5EF4-FFF2-40B4-BE49-F238E27FC236}">
              <a16:creationId xmlns:a16="http://schemas.microsoft.com/office/drawing/2014/main" id="{54F63B2F-A7A3-B52B-093E-4C244FB8FB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247650</xdr:colOff>
      <xdr:row>2</xdr:row>
      <xdr:rowOff>200025</xdr:rowOff>
    </xdr:from>
    <xdr:to>
      <xdr:col>30</xdr:col>
      <xdr:colOff>656550</xdr:colOff>
      <xdr:row>13</xdr:row>
      <xdr:rowOff>205425</xdr:rowOff>
    </xdr:to>
    <xdr:graphicFrame macro="">
      <xdr:nvGraphicFramePr>
        <xdr:cNvPr id="3" name="Chart 2">
          <a:extLst>
            <a:ext uri="{FF2B5EF4-FFF2-40B4-BE49-F238E27FC236}">
              <a16:creationId xmlns:a16="http://schemas.microsoft.com/office/drawing/2014/main" id="{C4FEEFD5-9EC6-7349-C824-DE8254E6C8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47625</xdr:colOff>
      <xdr:row>14</xdr:row>
      <xdr:rowOff>19050</xdr:rowOff>
    </xdr:from>
    <xdr:to>
      <xdr:col>23</xdr:col>
      <xdr:colOff>208875</xdr:colOff>
      <xdr:row>25</xdr:row>
      <xdr:rowOff>24450</xdr:rowOff>
    </xdr:to>
    <xdr:graphicFrame macro="">
      <xdr:nvGraphicFramePr>
        <xdr:cNvPr id="6" name="Chart 5">
          <a:extLst>
            <a:ext uri="{FF2B5EF4-FFF2-40B4-BE49-F238E27FC236}">
              <a16:creationId xmlns:a16="http://schemas.microsoft.com/office/drawing/2014/main" id="{E073DBB1-0459-D0AA-9E8E-B3E9E71E25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247650</xdr:colOff>
      <xdr:row>14</xdr:row>
      <xdr:rowOff>19050</xdr:rowOff>
    </xdr:from>
    <xdr:to>
      <xdr:col>30</xdr:col>
      <xdr:colOff>656550</xdr:colOff>
      <xdr:row>25</xdr:row>
      <xdr:rowOff>24450</xdr:rowOff>
    </xdr:to>
    <xdr:graphicFrame macro="">
      <xdr:nvGraphicFramePr>
        <xdr:cNvPr id="7" name="Chart 6">
          <a:extLst>
            <a:ext uri="{FF2B5EF4-FFF2-40B4-BE49-F238E27FC236}">
              <a16:creationId xmlns:a16="http://schemas.microsoft.com/office/drawing/2014/main" id="{7F033D45-0285-263D-297D-5B664D8FD2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29</xdr:col>
          <xdr:colOff>295275</xdr:colOff>
          <xdr:row>0</xdr:row>
          <xdr:rowOff>85725</xdr:rowOff>
        </xdr:from>
        <xdr:to>
          <xdr:col>29</xdr:col>
          <xdr:colOff>914400</xdr:colOff>
          <xdr:row>1</xdr:row>
          <xdr:rowOff>114300</xdr:rowOff>
        </xdr:to>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0200-00001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340697106483" createdVersion="8" refreshedVersion="8" minRefreshableVersion="3" recordCount="6" xr:uid="{075D3B9A-B477-490A-A1FC-3028F7C1B85F}">
  <cacheSource type="worksheet">
    <worksheetSource name="Table_KPI"/>
  </cacheSource>
  <cacheFields count="11">
    <cacheField name="Kỳ" numFmtId="165">
      <sharedItems containsSemiMixedTypes="0" containsNonDate="0" containsDate="1" containsString="0" minDate="2025-03-01T00:00:00" maxDate="2025-05-02T00:00:00" count="3">
        <d v="2025-05-01T00:00:00"/>
        <d v="2025-04-01T00:00:00"/>
        <d v="2025-03-01T00:00:00"/>
      </sharedItems>
      <fieldGroup par="10"/>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Nhân viên" numFmtId="0">
      <sharedItems containsBlank="1" count="2">
        <m/>
        <s v="NV1"/>
      </sharedItems>
    </cacheField>
    <cacheField name="Kênh" numFmtId="0">
      <sharedItems containsBlank="1" count="2">
        <s v="K1"/>
        <m/>
      </sharedItems>
    </cacheField>
    <cacheField name="Doanh thu KPI" numFmtId="164">
      <sharedItems containsSemiMixedTypes="0" containsString="0" containsNumber="1" containsInteger="1" minValue="50000000" maxValue="250000000"/>
    </cacheField>
    <cacheField name="Doanh thu thực tế" numFmtId="164">
      <sharedItems containsSemiMixedTypes="0" containsString="0" containsNumber="1" containsInteger="1" minValue="25416127" maxValue="217163027"/>
    </cacheField>
    <cacheField name="Tỷ lệ KPI" numFmtId="9">
      <sharedItems containsSemiMixedTypes="0" containsString="0" containsNumber="1" minValue="0.44356408000000003" maxValue="2.0527866333333336"/>
    </cacheField>
    <cacheField name="Thưởng KPI" numFmtId="164">
      <sharedItems containsSemiMixedTypes="0" containsString="0" containsNumber="1" containsInteger="1" minValue="0" maxValue="1500000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x v="0"/>
    <n v="250000000"/>
    <n v="124983307"/>
    <n v="0.49993322800000001"/>
    <n v="0"/>
  </r>
  <r>
    <x v="1"/>
    <n v="2025"/>
    <n v="4"/>
    <x v="0"/>
    <x v="0"/>
    <n v="200000000"/>
    <n v="217163027"/>
    <n v="1.085815135"/>
    <n v="15000000"/>
  </r>
  <r>
    <x v="2"/>
    <n v="2025"/>
    <n v="3"/>
    <x v="0"/>
    <x v="0"/>
    <n v="150000000"/>
    <n v="66534612"/>
    <n v="0.44356408000000003"/>
    <n v="0"/>
  </r>
  <r>
    <x v="0"/>
    <n v="2025"/>
    <n v="5"/>
    <x v="1"/>
    <x v="1"/>
    <n v="70000000"/>
    <n v="95973578"/>
    <n v="1.3710511142857142"/>
    <n v="7000000"/>
  </r>
  <r>
    <x v="1"/>
    <n v="2025"/>
    <n v="4"/>
    <x v="1"/>
    <x v="1"/>
    <n v="60000000"/>
    <n v="123167198"/>
    <n v="2.0527866333333336"/>
    <n v="10000000"/>
  </r>
  <r>
    <x v="2"/>
    <n v="2025"/>
    <n v="3"/>
    <x v="1"/>
    <x v="1"/>
    <n v="50000000"/>
    <n v="25416127"/>
    <n v="0.5083225399999999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387177-B739-47C8-8D34-042E7B297C79}"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29:E33" firstHeaderRow="0" firstDataRow="1" firstDataCol="1" rowPageCount="1" colPageCount="1"/>
  <pivotFields count="11">
    <pivotField numFmtId="165" showAll="0">
      <items count="4">
        <item x="2"/>
        <item x="1"/>
        <item x="0"/>
        <item t="default"/>
      </items>
    </pivotField>
    <pivotField showAll="0"/>
    <pivotField showAll="0"/>
    <pivotField axis="axisPage" multipleItemSelectionAllowed="1" showAll="0">
      <items count="3">
        <item x="1"/>
        <item h="1" x="0"/>
        <item t="default"/>
      </items>
    </pivotField>
    <pivotField showAll="0"/>
    <pivotField dataField="1" numFmtId="164" showAll="0"/>
    <pivotField dataField="1" numFmtId="164" showAll="0"/>
    <pivotField dataField="1" numFmtId="9"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3"/>
    </i>
    <i>
      <x v="4"/>
    </i>
    <i>
      <x v="5"/>
    </i>
    <i t="grand">
      <x/>
    </i>
  </rowItems>
  <colFields count="1">
    <field x="-2"/>
  </colFields>
  <colItems count="3">
    <i>
      <x/>
    </i>
    <i i="1">
      <x v="1"/>
    </i>
    <i i="2">
      <x v="2"/>
    </i>
  </colItems>
  <pageFields count="1">
    <pageField fld="3"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58E00F-26FD-4044-BFF8-38D1C7E98050}" name="PivotTable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O29:P32" firstHeaderRow="1" firstDataRow="1" firstDataCol="1" rowPageCount="1" colPageCount="1"/>
  <pivotFields count="11">
    <pivotField numFmtId="165" showAll="0">
      <items count="4">
        <item x="2"/>
        <item x="1"/>
        <item x="0"/>
        <item t="default"/>
      </items>
    </pivotField>
    <pivotField showAll="0"/>
    <pivotField showAll="0"/>
    <pivotField showAll="0"/>
    <pivotField axis="axisRow" showAll="0">
      <items count="3">
        <item x="0"/>
        <item x="1"/>
        <item t="default"/>
      </items>
    </pivotField>
    <pivotField numFmtId="164" showAll="0"/>
    <pivotField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3">
    <i>
      <x/>
    </i>
    <i>
      <x v="1"/>
    </i>
    <i t="grand">
      <x/>
    </i>
  </rowItems>
  <colItems count="1">
    <i/>
  </colItems>
  <pageFields count="1">
    <pageField fld="10" item="5" hier="-1"/>
  </pageFields>
  <dataFields count="1">
    <dataField name="Sum of Tỷ lệ KPI" fld="7" baseField="0" baseItem="0" numFmtId="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EFC336-6611-4182-8F10-F4FA5984BD44}"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9:M32" firstHeaderRow="1" firstDataRow="1" firstDataCol="1" rowPageCount="1" colPageCount="1"/>
  <pivotFields count="11">
    <pivotField axis="axisPage" numFmtId="165" showAll="0">
      <items count="4">
        <item x="2"/>
        <item x="1"/>
        <item x="0"/>
        <item t="default"/>
      </items>
    </pivotField>
    <pivotField showAll="0"/>
    <pivotField showAll="0"/>
    <pivotField axis="axisRow" showAll="0">
      <items count="3">
        <item x="1"/>
        <item x="0"/>
        <item t="default"/>
      </items>
    </pivotField>
    <pivotField showAll="0"/>
    <pivotField numFmtId="164" showAll="0"/>
    <pivotField numFmtId="164" showAll="0"/>
    <pivotField dataField="1" numFmtId="9"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3">
    <i>
      <x/>
    </i>
    <i>
      <x v="1"/>
    </i>
    <i t="grand">
      <x/>
    </i>
  </rowItems>
  <colItems count="1">
    <i/>
  </colItems>
  <pageFields count="1">
    <pageField fld="0" item="2" hier="-1"/>
  </pageFields>
  <dataFields count="1">
    <dataField name="Hoàn thành" fld="7" baseField="3" baseItem="0" numFmtId="9"/>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2882C4-FEF0-46F9-9DF8-5B2B5850B5F4}"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29:J33" firstHeaderRow="0" firstDataRow="1" firstDataCol="1" rowPageCount="1" colPageCount="1"/>
  <pivotFields count="11">
    <pivotField numFmtId="165" showAll="0">
      <items count="4">
        <item x="2"/>
        <item x="1"/>
        <item x="0"/>
        <item t="default"/>
      </items>
    </pivotField>
    <pivotField showAll="0"/>
    <pivotField showAll="0"/>
    <pivotField showAll="0"/>
    <pivotField axis="axisPage" multipleItemSelectionAllowed="1" showAll="0">
      <items count="3">
        <item x="0"/>
        <item h="1" x="1"/>
        <item t="default"/>
      </items>
    </pivotField>
    <pivotField dataField="1" numFmtId="164" showAll="0"/>
    <pivotField dataField="1"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name="Tháng " axis="axisRow"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4">
    <i>
      <x v="3"/>
    </i>
    <i>
      <x v="4"/>
    </i>
    <i>
      <x v="5"/>
    </i>
    <i t="grand">
      <x/>
    </i>
  </rowItems>
  <colFields count="1">
    <field x="-2"/>
  </colFields>
  <colItems count="3">
    <i>
      <x/>
    </i>
    <i i="1">
      <x v="1"/>
    </i>
    <i i="2">
      <x v="2"/>
    </i>
  </colItems>
  <pageFields count="1">
    <pageField fld="4"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X29:AF35" totalsRowShown="0" headerRowDxfId="23" dataDxfId="22">
  <autoFilter ref="X29:AF35" xr:uid="{25B92B70-A65A-4BB4-AFAF-17CD34038C01}"/>
  <tableColumns count="9">
    <tableColumn id="4" xr3:uid="{831F5562-6DF2-4C26-AF42-9E500D5C2BBA}" name="Kỳ" dataDxfId="21">
      <calculatedColumnFormula>IFERROR(
IF(ISBLANK(Table_KPI[[#This Row],[Tháng]]),
DATE(Table_KPI[[#This Row],[Năm]],12,1),
DATE(Table_KPI[[#This Row],[Năm]],Table_KPI[[#This Row],[Tháng]],1)),0)</calculatedColumnFormula>
    </tableColumn>
    <tableColumn id="3" xr3:uid="{2808BE42-D5DC-4AC5-9DF6-CB1FFC344678}" name="Năm" dataDxfId="20"/>
    <tableColumn id="9" xr3:uid="{6FBBBEE4-1479-4737-A4B7-428567D70F40}" name="Tháng" dataDxfId="19"/>
    <tableColumn id="1" xr3:uid="{BC1162C5-DCE7-4D84-9630-A787E918F57C}" name="Nhân viên" dataDxfId="18"/>
    <tableColumn id="2" xr3:uid="{5ABB2918-90ED-4247-B51E-231B14F7DE9E}" name="Kênh" dataDxfId="17"/>
    <tableColumn id="5" xr3:uid="{DED0AA08-5E3A-499C-9E4F-A67A626A20AE}" name="Doanh thu KPI" dataDxfId="16" dataCellStyle="Comma"/>
    <tableColumn id="6" xr3:uid="{E4446FF1-0070-4E03-B157-8F9425FA327E}" name="Doanh thu thực tế" dataDxfId="15" dataCellStyle="Comma">
      <calculatedColumnFormula array="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calculatedColumnFormula>
    </tableColumn>
    <tableColumn id="7" xr3:uid="{9D97A11E-383B-4963-941A-F78165ACA0CB}" name="Tỷ lệ KPI" dataDxfId="14" dataCellStyle="Percent">
      <calculatedColumnFormula>IFERROR(Table_KPI[[#This Row],[Doanh thu thực tế]]/Table_KPI[[#This Row],[Doanh thu KPI]],0)</calculatedColumnFormula>
    </tableColumn>
    <tableColumn id="8" xr3:uid="{7159B510-A5A6-4011-8850-B711CAF79CD1}" name="Thưởng KPI" dataDxfId="13" dataCellStyle="Comma">
      <calculatedColumnFormula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R29:V35" totalsRowShown="0" headerRowDxfId="12" dataDxfId="11">
  <autoFilter ref="R29:V35" xr:uid="{2A700966-B946-4558-BE22-99AF6B5C1F14}"/>
  <tableColumns count="5">
    <tableColumn id="1" xr3:uid="{372298CB-1FC0-44F9-9A44-07D557C3001F}" name="Đối tượng áp dụng" dataDxfId="10"/>
    <tableColumn id="2" xr3:uid="{3EF02C4B-8043-4158-84AE-E39B6E150981}" name="Loại KPI" dataDxfId="9"/>
    <tableColumn id="3" xr3:uid="{5F10DCD2-E481-44D2-91BF-149730CD7F5A}" name="Tỷ lệ KPI min" dataDxfId="8" dataCellStyle="Percent"/>
    <tableColumn id="6" xr3:uid="{5E21FD03-D69C-4215-925E-44A1D4F69061}" name="Tỷ lệ KPI max" dataDxfId="7" dataCellStyle="Percent"/>
    <tableColumn id="4" xr3:uid="{98E3AD66-020E-40A9-A6A3-48CA0E959609}" name="Mức thưởng" dataDxfId="6"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AH29:AK61" totalsRowShown="0" headerRowDxfId="5" dataDxfId="4">
  <autoFilter ref="AH29:AK61" xr:uid="{4166925E-1F0B-42C7-A01A-835B42134064}"/>
  <sortState xmlns:xlrd2="http://schemas.microsoft.com/office/spreadsheetml/2017/richdata2" ref="AH30:AK61">
    <sortCondition descending="1" ref="AH29:AH61"/>
  </sortState>
  <tableColumns count="4">
    <tableColumn id="2" xr3:uid="{E5AA3C4E-F90F-4FED-99CD-D14026B1048E}" name="Ngày" dataDxfId="3"/>
    <tableColumn id="15" xr3:uid="{1F7A1852-3D39-4901-A0D5-DAD713C5C5F9}" name="Nhân viên" dataDxfId="2"/>
    <tableColumn id="16" xr3:uid="{818A9779-FBC2-448F-820D-00D6B112FFD2}" name="Kênh" dataDxfId="1"/>
    <tableColumn id="24" xr3:uid="{4E3C5E00-2D00-4F19-A2BF-C42B840493B9}" name="Doanh thu rò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21" Type="http://schemas.openxmlformats.org/officeDocument/2006/relationships/table" Target="../tables/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1" bestFit="1" customWidth="1"/>
    <col min="2" max="2" width="36.25" style="11" bestFit="1" customWidth="1"/>
    <col min="3" max="3" width="16.125" style="11" bestFit="1" customWidth="1"/>
    <col min="4" max="5" width="14.375" style="22" bestFit="1" customWidth="1"/>
    <col min="6" max="25" width="9" style="11"/>
    <col min="26" max="26" width="9" style="11" hidden="1" customWidth="1"/>
    <col min="27" max="16384" width="9" style="11"/>
  </cols>
  <sheetData>
    <row r="1" spans="1:26" x14ac:dyDescent="0.3">
      <c r="A1" s="17" t="s">
        <v>26</v>
      </c>
      <c r="B1" s="18" t="s">
        <v>13</v>
      </c>
      <c r="C1" s="19" t="s">
        <v>14</v>
      </c>
      <c r="D1" s="21" t="s">
        <v>27</v>
      </c>
      <c r="E1" s="21" t="s">
        <v>28</v>
      </c>
      <c r="F1" s="17" t="s">
        <v>29</v>
      </c>
      <c r="G1" s="20" t="s">
        <v>30</v>
      </c>
      <c r="H1" s="17" t="s">
        <v>31</v>
      </c>
      <c r="I1" s="17" t="s">
        <v>32</v>
      </c>
      <c r="J1" s="20" t="s">
        <v>33</v>
      </c>
      <c r="K1" s="20" t="s">
        <v>34</v>
      </c>
      <c r="L1" s="20" t="s">
        <v>35</v>
      </c>
      <c r="M1" s="20" t="s">
        <v>36</v>
      </c>
      <c r="N1" s="30"/>
      <c r="O1" s="30"/>
      <c r="P1" s="30"/>
      <c r="Q1" s="30"/>
      <c r="R1" s="30"/>
      <c r="S1" s="30"/>
      <c r="T1" s="30"/>
      <c r="U1" s="30"/>
      <c r="V1" s="30"/>
      <c r="W1" s="30"/>
      <c r="X1" s="30"/>
      <c r="Y1" s="30"/>
      <c r="Z1" s="11" t="s">
        <v>38</v>
      </c>
    </row>
    <row r="2" spans="1:26" x14ac:dyDescent="0.3">
      <c r="A2" s="30"/>
      <c r="B2" s="11" t="s">
        <v>68</v>
      </c>
      <c r="C2" s="11" t="s">
        <v>69</v>
      </c>
      <c r="D2" s="22">
        <v>45785</v>
      </c>
      <c r="E2" s="22">
        <v>46150</v>
      </c>
      <c r="F2" s="30">
        <v>365</v>
      </c>
      <c r="G2" s="11" t="s">
        <v>41</v>
      </c>
      <c r="H2" s="30"/>
      <c r="I2" s="30"/>
      <c r="J2" s="30"/>
      <c r="K2" s="30"/>
      <c r="L2" s="30"/>
      <c r="M2" s="30"/>
      <c r="N2" s="30"/>
      <c r="O2" s="30"/>
      <c r="P2" s="30"/>
      <c r="Q2" s="30"/>
      <c r="R2" s="30"/>
      <c r="S2" s="30"/>
      <c r="T2" s="30"/>
      <c r="U2" s="30"/>
      <c r="V2" s="30"/>
      <c r="W2" s="30"/>
      <c r="X2" s="30"/>
      <c r="Y2" s="30"/>
      <c r="Z2" s="30"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F15" sqref="F15"/>
    </sheetView>
  </sheetViews>
  <sheetFormatPr defaultRowHeight="16.5" x14ac:dyDescent="0.3"/>
  <cols>
    <col min="1" max="1" width="11.625" style="12" bestFit="1" customWidth="1"/>
    <col min="2" max="16384" width="9" style="12"/>
  </cols>
  <sheetData>
    <row r="1" spans="1:12" x14ac:dyDescent="0.3">
      <c r="K1" s="47">
        <v>1</v>
      </c>
      <c r="L1" s="47" t="s">
        <v>71</v>
      </c>
    </row>
    <row r="2" spans="1:12" x14ac:dyDescent="0.3">
      <c r="A2" s="12" t="s">
        <v>70</v>
      </c>
      <c r="L2" s="47" t="s">
        <v>72</v>
      </c>
    </row>
    <row r="3" spans="1:12" x14ac:dyDescent="0.3">
      <c r="L3" s="47" t="s">
        <v>73</v>
      </c>
    </row>
    <row r="4" spans="1:12" ht="37.5" x14ac:dyDescent="0.3">
      <c r="A4" s="15" t="s">
        <v>4</v>
      </c>
      <c r="B4" s="15" t="s">
        <v>5</v>
      </c>
      <c r="L4" s="47" t="s">
        <v>74</v>
      </c>
    </row>
    <row r="5" spans="1:12" ht="17.25" x14ac:dyDescent="0.3">
      <c r="A5" s="25"/>
      <c r="B5" s="23" t="s">
        <v>42</v>
      </c>
      <c r="L5" s="47" t="s">
        <v>75</v>
      </c>
    </row>
    <row r="6" spans="1:12" ht="17.25" x14ac:dyDescent="0.3">
      <c r="A6" s="25"/>
      <c r="B6" s="23" t="s">
        <v>37</v>
      </c>
    </row>
    <row r="7" spans="1:12" ht="17.25" x14ac:dyDescent="0.3">
      <c r="A7" s="25"/>
      <c r="B7" s="23" t="s">
        <v>43</v>
      </c>
    </row>
    <row r="8" spans="1:12" ht="17.25" x14ac:dyDescent="0.3">
      <c r="A8" s="25"/>
      <c r="B8" s="23" t="s">
        <v>44</v>
      </c>
    </row>
    <row r="9" spans="1:12" ht="17.25" x14ac:dyDescent="0.3">
      <c r="A9" s="25"/>
      <c r="B9" s="24" t="s">
        <v>45</v>
      </c>
    </row>
    <row r="10" spans="1:12" x14ac:dyDescent="0.3">
      <c r="A10" s="25"/>
      <c r="B10" s="25"/>
    </row>
    <row r="11" spans="1:12" ht="37.5" x14ac:dyDescent="0.3">
      <c r="A11" s="15" t="s">
        <v>11</v>
      </c>
      <c r="B11" s="15" t="s">
        <v>12</v>
      </c>
    </row>
    <row r="12" spans="1:12" x14ac:dyDescent="0.3">
      <c r="A12" s="16" t="s">
        <v>13</v>
      </c>
      <c r="B12" s="12" t="s">
        <v>68</v>
      </c>
    </row>
    <row r="13" spans="1:12" x14ac:dyDescent="0.3">
      <c r="A13" s="16" t="s">
        <v>14</v>
      </c>
      <c r="B13" s="12" t="s">
        <v>69</v>
      </c>
    </row>
    <row r="14" spans="1:12" ht="17.25" x14ac:dyDescent="0.3">
      <c r="A14" s="25"/>
      <c r="B14" s="13" t="s">
        <v>6</v>
      </c>
    </row>
    <row r="15" spans="1:12" ht="17.25" x14ac:dyDescent="0.3">
      <c r="A15" s="25"/>
      <c r="B15" s="13" t="s">
        <v>7</v>
      </c>
    </row>
    <row r="16" spans="1:12" ht="17.25" x14ac:dyDescent="0.3">
      <c r="A16" s="25"/>
      <c r="B16" s="13" t="s">
        <v>8</v>
      </c>
    </row>
    <row r="17" spans="1:2" ht="17.25" x14ac:dyDescent="0.3">
      <c r="A17" s="25"/>
      <c r="B17" s="13" t="s">
        <v>9</v>
      </c>
    </row>
    <row r="18" spans="1:2" ht="17.25" x14ac:dyDescent="0.3">
      <c r="A18" s="25"/>
      <c r="B18" s="14" t="s">
        <v>10</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tint="0.79998168889431442"/>
    <outlinePr summaryBelow="0" summaryRight="0"/>
  </sheetPr>
  <dimension ref="A1:AK61"/>
  <sheetViews>
    <sheetView showGridLines="0" workbookViewId="0">
      <selection activeCell="AN26" sqref="AN26"/>
    </sheetView>
  </sheetViews>
  <sheetFormatPr defaultRowHeight="18" customHeight="1" outlineLevelRow="1" outlineLevelCol="1" x14ac:dyDescent="0.3"/>
  <cols>
    <col min="1" max="1" width="1.25" style="1" customWidth="1" collapsed="1"/>
    <col min="2" max="2" width="12.875" style="1" hidden="1" customWidth="1" outlineLevel="1"/>
    <col min="3" max="3" width="13.25" style="1" hidden="1" customWidth="1" outlineLevel="1"/>
    <col min="4" max="4" width="13.625" style="1" hidden="1" customWidth="1" outlineLevel="1"/>
    <col min="5" max="5" width="11.375" style="1" hidden="1" customWidth="1" outlineLevel="1"/>
    <col min="6" max="6" width="1.25" style="1" hidden="1" customWidth="1" outlineLevel="1"/>
    <col min="7" max="7" width="12.875" style="1" hidden="1" customWidth="1" outlineLevel="1"/>
    <col min="8" max="9" width="13.625" style="1" hidden="1" customWidth="1" outlineLevel="1"/>
    <col min="10" max="10" width="11.375" style="1" hidden="1" customWidth="1" outlineLevel="1"/>
    <col min="11" max="11" width="1.25" style="1" hidden="1" customWidth="1" outlineLevel="1"/>
    <col min="12" max="12" width="12.875" style="1" hidden="1" customWidth="1" outlineLevel="1"/>
    <col min="13" max="13" width="11.375" style="1" hidden="1" customWidth="1" outlineLevel="1"/>
    <col min="14" max="14" width="1.25" style="1" hidden="1" customWidth="1" outlineLevel="1"/>
    <col min="15" max="15" width="12.875" style="1" hidden="1" customWidth="1" outlineLevel="1"/>
    <col min="16" max="16" width="15.75" style="1" hidden="1" customWidth="1" outlineLevel="1"/>
    <col min="17" max="17" width="1.25" style="1" customWidth="1"/>
    <col min="18" max="18" width="19.375" style="1" customWidth="1"/>
    <col min="19" max="19" width="9.75" style="1" customWidth="1"/>
    <col min="20" max="20" width="12" style="1" customWidth="1"/>
    <col min="21" max="21" width="13.375" style="1" customWidth="1"/>
    <col min="22" max="22" width="13" style="1" customWidth="1"/>
    <col min="23" max="23" width="1.25" style="1" customWidth="1"/>
    <col min="24" max="24" width="5.375" style="1" bestFit="1" customWidth="1"/>
    <col min="25" max="25" width="6" style="5" bestFit="1" customWidth="1"/>
    <col min="26" max="26" width="7.125" style="5" bestFit="1" customWidth="1"/>
    <col min="27" max="27" width="9.875" style="5" bestFit="1" customWidth="1"/>
    <col min="28" max="28" width="8.875" style="1" customWidth="1"/>
    <col min="29" max="29" width="12.75" style="1" bestFit="1" customWidth="1"/>
    <col min="30" max="30" width="15.5" style="1" customWidth="1" outlineLevel="1"/>
    <col min="31" max="31" width="9" style="1" customWidth="1" outlineLevel="1"/>
    <col min="32" max="32" width="16.125" style="1" customWidth="1" outlineLevel="1"/>
    <col min="33" max="33" width="1.25" style="1" customWidth="1"/>
    <col min="34" max="34" width="9.375" style="4" bestFit="1" customWidth="1"/>
    <col min="35" max="36" width="9" style="4"/>
    <col min="37" max="16384" width="9" style="1"/>
  </cols>
  <sheetData>
    <row r="1" spans="24:37" ht="18" customHeight="1" x14ac:dyDescent="0.3">
      <c r="AH1" s="33"/>
      <c r="AK1" s="4"/>
    </row>
    <row r="2" spans="24:37" ht="18" customHeight="1" x14ac:dyDescent="0.3">
      <c r="AH2" s="33"/>
      <c r="AK2" s="4"/>
    </row>
    <row r="3" spans="24:37" ht="18" customHeight="1" outlineLevel="1" x14ac:dyDescent="0.3">
      <c r="X3" s="4"/>
      <c r="Y3" s="4"/>
      <c r="Z3" s="4"/>
      <c r="AA3" s="4"/>
      <c r="AB3" s="4"/>
      <c r="AC3" s="4"/>
      <c r="AD3" s="4"/>
      <c r="AE3" s="4"/>
      <c r="AF3" s="4"/>
      <c r="AK3" s="4"/>
    </row>
    <row r="4" spans="24:37" ht="18" customHeight="1" outlineLevel="1" x14ac:dyDescent="0.3">
      <c r="X4" s="4"/>
      <c r="Y4" s="4"/>
      <c r="Z4" s="4"/>
      <c r="AA4" s="4"/>
      <c r="AB4" s="4"/>
      <c r="AC4" s="4"/>
      <c r="AD4" s="4"/>
      <c r="AE4" s="4"/>
      <c r="AF4" s="4"/>
      <c r="AK4" s="4"/>
    </row>
    <row r="5" spans="24:37" ht="18" customHeight="1" outlineLevel="1" x14ac:dyDescent="0.35">
      <c r="X5" s="4"/>
      <c r="Y5" s="4"/>
      <c r="Z5" s="4"/>
      <c r="AA5" s="4"/>
      <c r="AB5" s="4"/>
      <c r="AC5" s="4"/>
      <c r="AD5" s="4"/>
      <c r="AE5" s="4"/>
      <c r="AF5" s="41" t="s">
        <v>61</v>
      </c>
      <c r="AH5" s="43"/>
      <c r="AI5" s="42" t="s">
        <v>67</v>
      </c>
      <c r="AJ5" s="43"/>
      <c r="AK5" s="4"/>
    </row>
    <row r="6" spans="24:37" ht="18" customHeight="1" outlineLevel="1" x14ac:dyDescent="0.3">
      <c r="X6" s="4"/>
      <c r="Y6" s="4"/>
      <c r="Z6" s="4"/>
      <c r="AA6" s="4"/>
      <c r="AB6" s="4"/>
      <c r="AC6" s="4"/>
      <c r="AD6" s="4"/>
      <c r="AE6" s="4"/>
      <c r="AK6" s="4"/>
    </row>
    <row r="7" spans="24:37" ht="18" customHeight="1" outlineLevel="1" x14ac:dyDescent="0.35">
      <c r="X7" s="4"/>
      <c r="Y7" s="4"/>
      <c r="Z7" s="4"/>
      <c r="AA7" s="4"/>
      <c r="AB7" s="4"/>
      <c r="AC7" s="4"/>
      <c r="AD7" s="4"/>
      <c r="AE7" s="4"/>
      <c r="AF7" s="41" t="s">
        <v>60</v>
      </c>
      <c r="AI7" s="46" t="s">
        <v>47</v>
      </c>
      <c r="AJ7" s="46"/>
      <c r="AK7" s="4"/>
    </row>
    <row r="8" spans="24:37" ht="18" customHeight="1" outlineLevel="1" x14ac:dyDescent="0.35">
      <c r="X8" s="4"/>
      <c r="Y8" s="4"/>
      <c r="Z8" s="4"/>
      <c r="AA8" s="4"/>
      <c r="AB8" s="4"/>
      <c r="AC8" s="4"/>
      <c r="AD8" s="4"/>
      <c r="AE8" s="4"/>
      <c r="AF8" s="41" t="s">
        <v>64</v>
      </c>
      <c r="AI8" s="44" cm="1">
        <f t="array" ref="AI8">IF(
ISBLANK($AJ$5),
IFERROR(
SUM(_xlfn._xlws.FILTER(Table_KPI[Doanh thu KPI],
(Table_KPI[Kênh] = $AI$7)*
(Table_KPI[Kỳ]&gt;=$AH$5)
)),0),
IFERROR(
SUM(_xlfn._xlws.FILTER(Table_KPI[Doanh thu KPI],
(Table_KPI[Kênh] = $AI$7)*
(Table_KPI[Kỳ]&gt;=$AH$5)*
(Table_KPI[Kỳ]&lt;=$AJ$5)
)),0)
)</f>
        <v>600000000</v>
      </c>
      <c r="AJ8" s="44"/>
      <c r="AK8" s="4"/>
    </row>
    <row r="9" spans="24:37" ht="18" customHeight="1" outlineLevel="1" x14ac:dyDescent="0.35">
      <c r="X9" s="4"/>
      <c r="Y9" s="4"/>
      <c r="Z9" s="4"/>
      <c r="AA9" s="4"/>
      <c r="AB9" s="4"/>
      <c r="AC9" s="4"/>
      <c r="AD9" s="4"/>
      <c r="AE9" s="4"/>
      <c r="AF9" s="41" t="s">
        <v>65</v>
      </c>
      <c r="AI9" s="44" cm="1">
        <f t="array" ref="AI9">IF(
ISBLANK($AJ$5),
IFERROR(
SUM(_xlfn._xlws.FILTER(Table_KPI[Doanh thu thực tế],
(Table_KPI[Kênh] = $AI$7)*
(Table_KPI[Kỳ]&gt;=$AH$5)
)),0),
IFERROR(
SUM(_xlfn._xlws.FILTER(Table_KPI[Doanh thu thực tế],
(Table_KPI[Kênh] = $AI$7)*
(Table_KPI[Kỳ]&gt;=$AH$5)*
(Table_KPI[Kỳ]&lt;=$AJ$5)
)),0)
)</f>
        <v>408680946</v>
      </c>
      <c r="AJ9" s="44"/>
      <c r="AK9" s="4"/>
    </row>
    <row r="10" spans="24:37" ht="18" customHeight="1" outlineLevel="1" x14ac:dyDescent="0.35">
      <c r="X10" s="4"/>
      <c r="Y10" s="4"/>
      <c r="Z10" s="4"/>
      <c r="AA10" s="4"/>
      <c r="AB10" s="4"/>
      <c r="AC10" s="4"/>
      <c r="AD10" s="4"/>
      <c r="AE10" s="4"/>
      <c r="AF10" s="41" t="s">
        <v>63</v>
      </c>
      <c r="AI10" s="45">
        <f>AI9/AI8</f>
        <v>0.68113491000000004</v>
      </c>
      <c r="AJ10" s="45"/>
      <c r="AK10" s="4"/>
    </row>
    <row r="11" spans="24:37" ht="18" customHeight="1" outlineLevel="1" x14ac:dyDescent="0.35">
      <c r="X11" s="4"/>
      <c r="Y11" s="4"/>
      <c r="Z11" s="4"/>
      <c r="AA11" s="4"/>
      <c r="AB11" s="4"/>
      <c r="AC11" s="4"/>
      <c r="AD11" s="4"/>
      <c r="AE11" s="4"/>
      <c r="AF11" s="41" t="s">
        <v>62</v>
      </c>
      <c r="AI11" s="44" cm="1">
        <f t="array" ref="AI11">IF(
ISBLANK($AJ$5),
IFERROR(
COUNT(_xlfn._xlws.FILTER(Table_KPI[Doanh thu thực tế],
(Table_KPI[Tỷ lệ KPI] &gt;= 1)*
(Table_KPI[Kênh] = $AI$7)*
(Table_KPI[Kỳ]&gt;=$AH$5)
)),0),
IFERROR(
SUM(_xlfn._xlws.FILTER(Table_KPI[Doanh thu thực tế],
(Table_KPI[Tỷ lệ KPI] &gt;= 1)*
(Table_KPI[Kênh] = $AI$7)*
(Table_KPI[Kỳ]&gt;=$AH$5)*
(Table_KPI[Kỳ]&lt;=$AJ$5)
)),0)
)</f>
        <v>1</v>
      </c>
      <c r="AJ11" s="44"/>
      <c r="AK11" s="4"/>
    </row>
    <row r="12" spans="24:37" ht="18" customHeight="1" outlineLevel="1" x14ac:dyDescent="0.3">
      <c r="X12" s="4"/>
      <c r="Y12" s="4"/>
      <c r="Z12" s="4"/>
      <c r="AA12" s="4"/>
      <c r="AB12" s="4"/>
      <c r="AC12" s="4"/>
      <c r="AD12" s="4"/>
      <c r="AE12" s="4"/>
      <c r="AF12" s="4"/>
      <c r="AK12" s="4"/>
    </row>
    <row r="13" spans="24:37" ht="18" customHeight="1" outlineLevel="1" x14ac:dyDescent="0.3">
      <c r="X13" s="4"/>
      <c r="Y13" s="4"/>
      <c r="Z13" s="4"/>
      <c r="AA13" s="4"/>
      <c r="AB13" s="4"/>
      <c r="AC13" s="4"/>
      <c r="AD13" s="4"/>
      <c r="AE13" s="4"/>
      <c r="AF13" s="4"/>
      <c r="AK13" s="4"/>
    </row>
    <row r="14" spans="24:37" ht="18" customHeight="1" outlineLevel="1" x14ac:dyDescent="0.3">
      <c r="X14" s="4"/>
      <c r="Y14" s="4"/>
      <c r="Z14" s="4"/>
      <c r="AA14" s="4"/>
      <c r="AB14" s="4"/>
      <c r="AC14" s="4"/>
      <c r="AD14" s="4"/>
      <c r="AE14" s="4"/>
      <c r="AF14" s="4"/>
      <c r="AK14" s="4"/>
    </row>
    <row r="15" spans="24:37" ht="18" customHeight="1" outlineLevel="1" x14ac:dyDescent="0.3">
      <c r="X15" s="4"/>
      <c r="Y15" s="4"/>
      <c r="Z15" s="4"/>
      <c r="AA15" s="4"/>
      <c r="AB15" s="4"/>
      <c r="AC15" s="4"/>
      <c r="AD15" s="4"/>
      <c r="AE15" s="4"/>
      <c r="AF15" s="4"/>
      <c r="AK15" s="4"/>
    </row>
    <row r="16" spans="24:37" ht="18" customHeight="1" outlineLevel="1" x14ac:dyDescent="0.35">
      <c r="X16" s="4"/>
      <c r="Y16" s="4"/>
      <c r="Z16" s="4"/>
      <c r="AA16" s="4"/>
      <c r="AB16" s="4"/>
      <c r="AC16" s="4"/>
      <c r="AD16" s="4"/>
      <c r="AE16" s="4"/>
      <c r="AF16" s="41" t="s">
        <v>66</v>
      </c>
      <c r="AI16" s="46" t="s">
        <v>46</v>
      </c>
      <c r="AJ16" s="46"/>
      <c r="AK16" s="4"/>
    </row>
    <row r="17" spans="2:37" ht="18" customHeight="1" outlineLevel="1" x14ac:dyDescent="0.35">
      <c r="X17" s="4"/>
      <c r="Y17" s="4"/>
      <c r="Z17" s="4"/>
      <c r="AA17" s="4"/>
      <c r="AB17" s="4"/>
      <c r="AC17" s="4"/>
      <c r="AD17" s="4"/>
      <c r="AE17" s="4"/>
      <c r="AF17" s="41" t="s">
        <v>64</v>
      </c>
      <c r="AI17" s="44" cm="1">
        <f t="array" ref="AI17">IF(
ISBLANK($AJ$5),
IFERROR(
SUM(_xlfn._xlws.FILTER(Table_KPI[Doanh thu KPI],
(Table_KPI[Nhân viên] = $AI$16)*
(Table_KPI[Kỳ]&gt;=$AH$5)
)),0),
IFERROR(
SUM(_xlfn._xlws.FILTER(Table_KPI[Doanh thu KPI],
(Table_KPI[Nhân viên] = $AI$16)*
(Table_KPI[Kỳ]&gt;=$AH$5)*
(Table_KPI[Kỳ]&lt;=$AJ$5)
)),0)
)</f>
        <v>180000000</v>
      </c>
      <c r="AJ17" s="44"/>
      <c r="AK17" s="4"/>
    </row>
    <row r="18" spans="2:37" ht="18" customHeight="1" outlineLevel="1" x14ac:dyDescent="0.35">
      <c r="X18" s="4"/>
      <c r="Y18" s="4"/>
      <c r="Z18" s="4"/>
      <c r="AA18" s="4"/>
      <c r="AB18" s="4"/>
      <c r="AC18" s="4"/>
      <c r="AD18" s="4"/>
      <c r="AE18" s="4"/>
      <c r="AF18" s="41" t="s">
        <v>65</v>
      </c>
      <c r="AI18" s="44" cm="1">
        <f t="array" ref="AI18">IF(
ISBLANK($AJ$5),
IFERROR(
SUM(_xlfn._xlws.FILTER(Table_KPI[Doanh thu thực tế],
(Table_KPI[Nhân viên] = $AI$16)*
(Table_KPI[Kỳ]&gt;=$AH$5)
)),0),
IFERROR(
SUM(_xlfn._xlws.FILTER(Table_KPI[Doanh thu thực tế],
(Table_KPI[Nhân viên] = $AI$16)*
(Table_KPI[Kỳ]&gt;=$AH$5)*
(Table_KPI[Kỳ]&lt;=$AJ$5)
)),0)
)</f>
        <v>244556903</v>
      </c>
      <c r="AJ18" s="44"/>
      <c r="AK18" s="4"/>
    </row>
    <row r="19" spans="2:37" ht="18" customHeight="1" outlineLevel="1" x14ac:dyDescent="0.35">
      <c r="X19" s="4"/>
      <c r="Y19" s="4"/>
      <c r="Z19" s="4"/>
      <c r="AA19" s="4"/>
      <c r="AB19" s="4"/>
      <c r="AC19" s="4"/>
      <c r="AD19" s="4"/>
      <c r="AE19" s="4"/>
      <c r="AF19" s="41" t="s">
        <v>63</v>
      </c>
      <c r="AI19" s="45">
        <f>AI18/AI17</f>
        <v>1.3586494611111111</v>
      </c>
      <c r="AJ19" s="45"/>
      <c r="AK19" s="4"/>
    </row>
    <row r="20" spans="2:37" ht="18" customHeight="1" outlineLevel="1" x14ac:dyDescent="0.35">
      <c r="X20" s="4"/>
      <c r="Y20" s="4"/>
      <c r="Z20" s="4"/>
      <c r="AA20" s="4"/>
      <c r="AB20" s="4"/>
      <c r="AC20" s="4"/>
      <c r="AD20" s="4"/>
      <c r="AE20" s="4"/>
      <c r="AF20" s="41" t="s">
        <v>62</v>
      </c>
      <c r="AI20" s="44" cm="1">
        <f t="array" ref="AI20">IF(
ISBLANK($AJ$5),
IFERROR(
COUNT(_xlfn._xlws.FILTER(Table_KPI[Doanh thu thực tế],
(Table_KPI[Tỷ lệ KPI] &gt;= 1)*
(Table_KPI[Nhân viên] = $AI$16)*
(Table_KPI[Kỳ]&gt;=$AH$5)
)),0),
IFERROR(
SUM(_xlfn._xlws.FILTER(Table_KPI[Doanh thu thực tế],
(Table_KPI[Tỷ lệ KPI] &gt;= 1)*
(Table_KPI[Nhân viên] = $AI$16)*
(Table_KPI[Kỳ]&gt;=$AH$5)*
(Table_KPI[Kỳ]&lt;=$AJ$5)
)),0)
)</f>
        <v>2</v>
      </c>
      <c r="AJ20" s="44"/>
      <c r="AK20" s="4"/>
    </row>
    <row r="21" spans="2:37" ht="18" customHeight="1" outlineLevel="1" x14ac:dyDescent="0.3">
      <c r="X21" s="4"/>
      <c r="Y21" s="4"/>
      <c r="Z21" s="4"/>
      <c r="AA21" s="4"/>
      <c r="AB21" s="4"/>
      <c r="AC21" s="4"/>
      <c r="AD21" s="4"/>
      <c r="AE21" s="4"/>
      <c r="AF21" s="4"/>
      <c r="AK21" s="4"/>
    </row>
    <row r="22" spans="2:37" ht="18" customHeight="1" outlineLevel="1" x14ac:dyDescent="0.3">
      <c r="X22" s="4"/>
      <c r="Y22" s="4"/>
      <c r="Z22" s="4"/>
      <c r="AA22" s="4"/>
      <c r="AB22" s="4"/>
      <c r="AC22" s="4"/>
      <c r="AD22" s="4"/>
      <c r="AE22" s="4"/>
      <c r="AF22" s="4"/>
      <c r="AK22" s="4"/>
    </row>
    <row r="23" spans="2:37" ht="18" customHeight="1" outlineLevel="1" x14ac:dyDescent="0.3">
      <c r="X23" s="4"/>
      <c r="Y23" s="4"/>
      <c r="Z23" s="4"/>
      <c r="AA23" s="4"/>
      <c r="AB23" s="4"/>
      <c r="AC23" s="4"/>
      <c r="AD23" s="4"/>
      <c r="AE23" s="4"/>
      <c r="AF23" s="4"/>
      <c r="AK23" s="4"/>
    </row>
    <row r="24" spans="2:37" ht="18" customHeight="1" outlineLevel="1" x14ac:dyDescent="0.3">
      <c r="X24" s="4"/>
      <c r="Y24" s="4"/>
      <c r="Z24" s="4"/>
      <c r="AA24" s="4"/>
      <c r="AB24" s="4"/>
      <c r="AC24" s="4"/>
      <c r="AD24" s="4"/>
      <c r="AE24" s="4"/>
      <c r="AF24" s="4"/>
      <c r="AK24" s="4"/>
    </row>
    <row r="25" spans="2:37" ht="18" customHeight="1" outlineLevel="1" x14ac:dyDescent="0.3">
      <c r="X25" s="4"/>
      <c r="Y25" s="4"/>
      <c r="Z25" s="4"/>
      <c r="AA25" s="4"/>
      <c r="AB25" s="4"/>
      <c r="AC25" s="4"/>
      <c r="AD25" s="4"/>
      <c r="AE25" s="4"/>
      <c r="AF25" s="4"/>
      <c r="AK25" s="4"/>
    </row>
    <row r="26" spans="2:37" ht="18" customHeight="1" outlineLevel="1" x14ac:dyDescent="0.3">
      <c r="X26" s="4"/>
      <c r="Y26" s="4"/>
      <c r="Z26" s="4"/>
      <c r="AA26" s="4"/>
      <c r="AB26" s="4"/>
      <c r="AC26" s="4"/>
      <c r="AD26" s="4"/>
      <c r="AE26" s="4"/>
      <c r="AF26" s="4"/>
      <c r="AK26" s="4"/>
    </row>
    <row r="27" spans="2:37" ht="16.5" outlineLevel="1" x14ac:dyDescent="0.3">
      <c r="B27" s="37" t="s">
        <v>15</v>
      </c>
      <c r="C27" t="s">
        <v>46</v>
      </c>
      <c r="G27" s="37" t="s">
        <v>16</v>
      </c>
      <c r="H27" t="s">
        <v>47</v>
      </c>
      <c r="L27" s="37" t="s">
        <v>3</v>
      </c>
      <c r="M27" s="38">
        <v>45778</v>
      </c>
      <c r="O27" s="37" t="s">
        <v>59</v>
      </c>
      <c r="P27" t="s">
        <v>53</v>
      </c>
      <c r="X27" s="4"/>
      <c r="Y27" s="4"/>
      <c r="Z27" s="4"/>
      <c r="AA27" s="4"/>
      <c r="AB27" s="4"/>
      <c r="AC27" s="4"/>
      <c r="AD27" s="4"/>
      <c r="AE27" s="4"/>
      <c r="AF27" s="4"/>
      <c r="AK27" s="4"/>
    </row>
    <row r="28" spans="2:37" ht="18" customHeight="1" x14ac:dyDescent="0.3">
      <c r="X28" s="4"/>
      <c r="Y28" s="4"/>
      <c r="Z28" s="4"/>
      <c r="AA28" s="4"/>
      <c r="AB28" s="4"/>
      <c r="AC28" s="4"/>
      <c r="AD28" s="4"/>
      <c r="AE28" s="4"/>
      <c r="AF28" s="4"/>
      <c r="AK28" s="4"/>
    </row>
    <row r="29" spans="2:37" ht="16.5" x14ac:dyDescent="0.3">
      <c r="B29" s="37" t="s">
        <v>49</v>
      </c>
      <c r="C29" t="s">
        <v>55</v>
      </c>
      <c r="D29" t="s">
        <v>56</v>
      </c>
      <c r="E29" t="s">
        <v>57</v>
      </c>
      <c r="G29" s="37" t="s">
        <v>49</v>
      </c>
      <c r="H29" t="s">
        <v>55</v>
      </c>
      <c r="I29" t="s">
        <v>56</v>
      </c>
      <c r="J29" t="s">
        <v>57</v>
      </c>
      <c r="L29" s="37" t="s">
        <v>49</v>
      </c>
      <c r="M29" t="s">
        <v>57</v>
      </c>
      <c r="O29" s="37" t="s">
        <v>49</v>
      </c>
      <c r="P29" t="s">
        <v>54</v>
      </c>
      <c r="R29" s="1" t="s">
        <v>19</v>
      </c>
      <c r="S29" s="1" t="s">
        <v>20</v>
      </c>
      <c r="T29" s="1" t="s">
        <v>21</v>
      </c>
      <c r="U29" s="1" t="s">
        <v>22</v>
      </c>
      <c r="V29" s="1" t="s">
        <v>23</v>
      </c>
      <c r="X29" s="1" t="s">
        <v>3</v>
      </c>
      <c r="Y29" s="1" t="s">
        <v>2</v>
      </c>
      <c r="Z29" s="1" t="s">
        <v>1</v>
      </c>
      <c r="AA29" s="1" t="s">
        <v>15</v>
      </c>
      <c r="AB29" s="1" t="s">
        <v>16</v>
      </c>
      <c r="AC29" s="1" t="s">
        <v>24</v>
      </c>
      <c r="AD29" s="1" t="s">
        <v>25</v>
      </c>
      <c r="AE29" s="6" t="s">
        <v>18</v>
      </c>
      <c r="AF29" s="1" t="s">
        <v>17</v>
      </c>
      <c r="AH29" s="7" t="s">
        <v>0</v>
      </c>
      <c r="AI29" s="7" t="s">
        <v>15</v>
      </c>
      <c r="AJ29" s="7" t="s">
        <v>16</v>
      </c>
      <c r="AK29" s="7" t="s">
        <v>39</v>
      </c>
    </row>
    <row r="30" spans="2:37" ht="16.5" x14ac:dyDescent="0.3">
      <c r="B30" s="11" t="s">
        <v>51</v>
      </c>
      <c r="C30" s="39">
        <v>50000000</v>
      </c>
      <c r="D30" s="39">
        <v>25416127</v>
      </c>
      <c r="E30" s="40">
        <v>0.50832253999999999</v>
      </c>
      <c r="G30" s="11" t="s">
        <v>51</v>
      </c>
      <c r="H30" s="39">
        <v>150000000</v>
      </c>
      <c r="I30" s="39">
        <v>66534612</v>
      </c>
      <c r="J30" s="40">
        <v>0.44356408000000003</v>
      </c>
      <c r="L30" s="11" t="s">
        <v>46</v>
      </c>
      <c r="M30" s="40">
        <v>1.3710511142857142</v>
      </c>
      <c r="O30" s="11" t="s">
        <v>47</v>
      </c>
      <c r="P30" s="40">
        <v>0.49993322800000001</v>
      </c>
      <c r="R30" s="1" t="s">
        <v>16</v>
      </c>
      <c r="S30" s="1" t="s">
        <v>1</v>
      </c>
      <c r="T30" s="6">
        <v>0.8</v>
      </c>
      <c r="U30" s="6">
        <v>1</v>
      </c>
      <c r="V30" s="2">
        <v>10000000</v>
      </c>
      <c r="X30" s="9">
        <f>IFERROR(
IF(ISBLANK(Table_KPI[[#This Row],[Tháng]]),
DATE(Table_KPI[[#This Row],[Năm]],12,1),
DATE(Table_KPI[[#This Row],[Năm]],Table_KPI[[#This Row],[Tháng]],1)),0)</f>
        <v>45778</v>
      </c>
      <c r="Y30" s="1">
        <v>2025</v>
      </c>
      <c r="Z30" s="32">
        <v>5</v>
      </c>
      <c r="AA30" s="32"/>
      <c r="AB30" s="32" t="s">
        <v>47</v>
      </c>
      <c r="AC30" s="2">
        <v>250000000</v>
      </c>
      <c r="AD30" s="3" cm="1">
        <f t="array" ref="AD30">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124983307</v>
      </c>
      <c r="AE30" s="10">
        <f>IFERROR(Table_KPI[[#This Row],[Doanh thu thực tế]]/Table_KPI[[#This Row],[Doanh thu KPI]],0)</f>
        <v>0.49993322800000001</v>
      </c>
      <c r="AF30"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0" s="31">
        <v>45804</v>
      </c>
      <c r="AI30" s="36" t="s">
        <v>46</v>
      </c>
      <c r="AJ30" s="36" t="s">
        <v>47</v>
      </c>
      <c r="AK30" s="34">
        <v>8465809</v>
      </c>
    </row>
    <row r="31" spans="2:37" ht="16.5" x14ac:dyDescent="0.3">
      <c r="B31" s="11" t="s">
        <v>52</v>
      </c>
      <c r="C31" s="39">
        <v>60000000</v>
      </c>
      <c r="D31" s="39">
        <v>123167198</v>
      </c>
      <c r="E31" s="40">
        <v>2.0527866333333336</v>
      </c>
      <c r="G31" s="11" t="s">
        <v>52</v>
      </c>
      <c r="H31" s="39">
        <v>200000000</v>
      </c>
      <c r="I31" s="39">
        <v>217163027</v>
      </c>
      <c r="J31" s="40">
        <v>1.085815135</v>
      </c>
      <c r="L31" s="11" t="s">
        <v>58</v>
      </c>
      <c r="M31" s="40">
        <v>0.49993322800000001</v>
      </c>
      <c r="O31" s="11" t="s">
        <v>58</v>
      </c>
      <c r="P31" s="40">
        <v>1.3710511142857142</v>
      </c>
      <c r="R31" s="1" t="s">
        <v>16</v>
      </c>
      <c r="S31" s="1" t="s">
        <v>1</v>
      </c>
      <c r="T31" s="6">
        <v>1</v>
      </c>
      <c r="U31" s="6">
        <v>1.5</v>
      </c>
      <c r="V31" s="2">
        <v>15000000</v>
      </c>
      <c r="X31" s="9">
        <f>IFERROR(
IF(ISBLANK(Table_KPI[[#This Row],[Tháng]]),
DATE(Table_KPI[[#This Row],[Năm]],12,1),
DATE(Table_KPI[[#This Row],[Năm]],Table_KPI[[#This Row],[Tháng]],1)),0)</f>
        <v>45748</v>
      </c>
      <c r="Y31" s="1">
        <v>2025</v>
      </c>
      <c r="Z31" s="32">
        <v>4</v>
      </c>
      <c r="AA31" s="32"/>
      <c r="AB31" s="32" t="s">
        <v>47</v>
      </c>
      <c r="AC31" s="2">
        <v>200000000</v>
      </c>
      <c r="AD31" s="3" cm="1">
        <f t="array" ref="AD3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217163027</v>
      </c>
      <c r="AE31" s="10">
        <f>IFERROR(Table_KPI[[#This Row],[Doanh thu thực tế]]/Table_KPI[[#This Row],[Doanh thu KPI]],0)</f>
        <v>1.085815135</v>
      </c>
      <c r="AF31"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15000000</v>
      </c>
      <c r="AH31" s="31">
        <v>45798</v>
      </c>
      <c r="AI31" s="35" t="s">
        <v>46</v>
      </c>
      <c r="AJ31" s="35" t="s">
        <v>47</v>
      </c>
      <c r="AK31" s="34">
        <v>15764316</v>
      </c>
    </row>
    <row r="32" spans="2:37" ht="16.5" x14ac:dyDescent="0.3">
      <c r="B32" s="11" t="s">
        <v>53</v>
      </c>
      <c r="C32" s="39">
        <v>70000000</v>
      </c>
      <c r="D32" s="39">
        <v>95973578</v>
      </c>
      <c r="E32" s="40">
        <v>1.3710511142857142</v>
      </c>
      <c r="G32" s="11" t="s">
        <v>53</v>
      </c>
      <c r="H32" s="39">
        <v>250000000</v>
      </c>
      <c r="I32" s="39">
        <v>124983307</v>
      </c>
      <c r="J32" s="40">
        <v>0.49993322800000001</v>
      </c>
      <c r="L32" s="11" t="s">
        <v>50</v>
      </c>
      <c r="M32" s="40">
        <v>1.8709843422857142</v>
      </c>
      <c r="O32" s="11" t="s">
        <v>50</v>
      </c>
      <c r="P32" s="40">
        <v>1.8709843422857142</v>
      </c>
      <c r="R32" s="1" t="s">
        <v>16</v>
      </c>
      <c r="S32" s="1" t="s">
        <v>1</v>
      </c>
      <c r="T32" s="6">
        <v>1.5</v>
      </c>
      <c r="U32" s="6"/>
      <c r="V32" s="2">
        <v>20000000</v>
      </c>
      <c r="X32" s="9">
        <f>IFERROR(
IF(ISBLANK(Table_KPI[[#This Row],[Tháng]]),
DATE(Table_KPI[[#This Row],[Năm]],12,1),
DATE(Table_KPI[[#This Row],[Năm]],Table_KPI[[#This Row],[Tháng]],1)),0)</f>
        <v>45717</v>
      </c>
      <c r="Y32" s="1">
        <v>2025</v>
      </c>
      <c r="Z32" s="32">
        <v>3</v>
      </c>
      <c r="AA32" s="32"/>
      <c r="AB32" s="32" t="s">
        <v>47</v>
      </c>
      <c r="AC32" s="2">
        <v>150000000</v>
      </c>
      <c r="AD32" s="3" cm="1">
        <f t="array" ref="AD32">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66534612</v>
      </c>
      <c r="AE32" s="10">
        <f>IFERROR(Table_KPI[[#This Row],[Doanh thu thực tế]]/Table_KPI[[#This Row],[Doanh thu KPI]],0)</f>
        <v>0.44356408000000003</v>
      </c>
      <c r="AF32"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2" s="31">
        <v>45797</v>
      </c>
      <c r="AI32" s="35" t="s">
        <v>46</v>
      </c>
      <c r="AJ32" s="35" t="s">
        <v>47</v>
      </c>
      <c r="AK32" s="34">
        <v>18136761</v>
      </c>
    </row>
    <row r="33" spans="2:37" ht="16.5" x14ac:dyDescent="0.3">
      <c r="B33" s="11" t="s">
        <v>50</v>
      </c>
      <c r="C33" s="39">
        <v>180000000</v>
      </c>
      <c r="D33" s="39">
        <v>244556903</v>
      </c>
      <c r="E33" s="40">
        <v>3.9321602876190478</v>
      </c>
      <c r="G33" s="11" t="s">
        <v>50</v>
      </c>
      <c r="H33" s="39">
        <v>600000000</v>
      </c>
      <c r="I33" s="39">
        <v>408680946</v>
      </c>
      <c r="J33" s="40">
        <v>2.0293124430000002</v>
      </c>
      <c r="L33"/>
      <c r="M33"/>
      <c r="O33"/>
      <c r="P33"/>
      <c r="R33" s="1" t="s">
        <v>15</v>
      </c>
      <c r="S33" s="1" t="s">
        <v>1</v>
      </c>
      <c r="T33" s="6">
        <v>0.8</v>
      </c>
      <c r="U33" s="6">
        <v>1</v>
      </c>
      <c r="V33" s="2">
        <v>5000000</v>
      </c>
      <c r="X33" s="9">
        <f>IFERROR(
IF(ISBLANK(Table_KPI[[#This Row],[Tháng]]),
DATE(Table_KPI[[#This Row],[Năm]],12,1),
DATE(Table_KPI[[#This Row],[Năm]],Table_KPI[[#This Row],[Tháng]],1)),0)</f>
        <v>45778</v>
      </c>
      <c r="Y33" s="1">
        <v>2025</v>
      </c>
      <c r="Z33" s="32">
        <v>5</v>
      </c>
      <c r="AA33" s="32" t="s">
        <v>46</v>
      </c>
      <c r="AB33" s="32"/>
      <c r="AC33" s="2">
        <v>70000000</v>
      </c>
      <c r="AD33" s="3" cm="1">
        <f t="array" ref="AD33">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95973578</v>
      </c>
      <c r="AE33" s="10">
        <f>IFERROR(Table_KPI[[#This Row],[Doanh thu thực tế]]/Table_KPI[[#This Row],[Doanh thu KPI]],0)</f>
        <v>1.3710511142857142</v>
      </c>
      <c r="AF33"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7000000</v>
      </c>
      <c r="AH33" s="31">
        <v>45797</v>
      </c>
      <c r="AI33" s="35" t="s">
        <v>46</v>
      </c>
      <c r="AJ33" s="35" t="s">
        <v>47</v>
      </c>
      <c r="AK33" s="34">
        <v>15341241</v>
      </c>
    </row>
    <row r="34" spans="2:37" ht="16.5" x14ac:dyDescent="0.3">
      <c r="B34"/>
      <c r="C34"/>
      <c r="D34"/>
      <c r="G34"/>
      <c r="H34"/>
      <c r="I34"/>
      <c r="J34"/>
      <c r="L34"/>
      <c r="M34"/>
      <c r="O34"/>
      <c r="P34"/>
      <c r="R34" s="1" t="s">
        <v>15</v>
      </c>
      <c r="S34" s="1" t="s">
        <v>1</v>
      </c>
      <c r="T34" s="6">
        <v>1</v>
      </c>
      <c r="U34" s="6">
        <v>1.5</v>
      </c>
      <c r="V34" s="2">
        <v>7000000</v>
      </c>
      <c r="X34" s="9">
        <f>IFERROR(
IF(ISBLANK(Table_KPI[[#This Row],[Tháng]]),
DATE(Table_KPI[[#This Row],[Năm]],12,1),
DATE(Table_KPI[[#This Row],[Năm]],Table_KPI[[#This Row],[Tháng]],1)),0)</f>
        <v>45748</v>
      </c>
      <c r="Y34" s="1">
        <v>2025</v>
      </c>
      <c r="Z34" s="32">
        <v>4</v>
      </c>
      <c r="AA34" s="32" t="s">
        <v>46</v>
      </c>
      <c r="AB34" s="32"/>
      <c r="AC34" s="2">
        <v>60000000</v>
      </c>
      <c r="AD34" s="3" cm="1">
        <f t="array" ref="AD34">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123167198</v>
      </c>
      <c r="AE34" s="10">
        <f>IFERROR(Table_KPI[[#This Row],[Doanh thu thực tế]]/Table_KPI[[#This Row],[Doanh thu KPI]],0)</f>
        <v>2.0527866333333336</v>
      </c>
      <c r="AF34"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10000000</v>
      </c>
      <c r="AH34" s="31">
        <v>45796</v>
      </c>
      <c r="AI34" s="35" t="s">
        <v>48</v>
      </c>
      <c r="AJ34" s="35" t="s">
        <v>47</v>
      </c>
      <c r="AK34" s="34">
        <v>5456128</v>
      </c>
    </row>
    <row r="35" spans="2:37" ht="16.5" x14ac:dyDescent="0.3">
      <c r="B35"/>
      <c r="C35"/>
      <c r="D35"/>
      <c r="G35"/>
      <c r="H35"/>
      <c r="I35"/>
      <c r="J35"/>
      <c r="L35"/>
      <c r="M35"/>
      <c r="O35"/>
      <c r="P35"/>
      <c r="R35" s="1" t="s">
        <v>15</v>
      </c>
      <c r="S35" s="1" t="s">
        <v>1</v>
      </c>
      <c r="T35" s="6">
        <v>1.5</v>
      </c>
      <c r="U35" s="6"/>
      <c r="V35" s="2">
        <v>10000000</v>
      </c>
      <c r="X35" s="9">
        <f>IFERROR(
IF(ISBLANK(Table_KPI[[#This Row],[Tháng]]),
DATE(Table_KPI[[#This Row],[Năm]],12,1),
DATE(Table_KPI[[#This Row],[Năm]],Table_KPI[[#This Row],[Tháng]],1)),0)</f>
        <v>45717</v>
      </c>
      <c r="Y35" s="1">
        <v>2025</v>
      </c>
      <c r="Z35" s="32">
        <v>3</v>
      </c>
      <c r="AA35" s="32" t="s">
        <v>46</v>
      </c>
      <c r="AB35" s="32"/>
      <c r="AC35" s="2">
        <v>50000000</v>
      </c>
      <c r="AD35" s="8" cm="1">
        <f t="array" ref="AD35">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25416127</v>
      </c>
      <c r="AE35" s="10">
        <f>IFERROR(Table_KPI[[#This Row],[Doanh thu thực tế]]/Table_KPI[[#This Row],[Doanh thu KPI]],0)</f>
        <v>0.50832253999999999</v>
      </c>
      <c r="AF35"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5" s="31">
        <v>45796</v>
      </c>
      <c r="AI35" s="35" t="s">
        <v>46</v>
      </c>
      <c r="AJ35" s="35" t="s">
        <v>47</v>
      </c>
      <c r="AK35" s="34">
        <v>9212925</v>
      </c>
    </row>
    <row r="36" spans="2:37" ht="16.5" x14ac:dyDescent="0.3">
      <c r="B36"/>
      <c r="C36"/>
      <c r="D36"/>
      <c r="G36"/>
      <c r="H36"/>
      <c r="I36"/>
      <c r="J36"/>
      <c r="L36"/>
      <c r="M36"/>
      <c r="O36"/>
      <c r="P36"/>
      <c r="AH36" s="31">
        <v>45790</v>
      </c>
      <c r="AI36" s="35" t="s">
        <v>48</v>
      </c>
      <c r="AJ36" s="35" t="s">
        <v>47</v>
      </c>
      <c r="AK36" s="34">
        <v>5561220</v>
      </c>
    </row>
    <row r="37" spans="2:37" ht="16.5" x14ac:dyDescent="0.3">
      <c r="B37"/>
      <c r="C37"/>
      <c r="D37"/>
      <c r="G37"/>
      <c r="H37"/>
      <c r="I37"/>
      <c r="J37"/>
      <c r="L37"/>
      <c r="M37"/>
      <c r="O37"/>
      <c r="P37"/>
      <c r="AH37" s="31">
        <v>45787</v>
      </c>
      <c r="AI37" s="35" t="s">
        <v>46</v>
      </c>
      <c r="AJ37" s="35" t="s">
        <v>47</v>
      </c>
      <c r="AK37" s="34">
        <v>13086268</v>
      </c>
    </row>
    <row r="38" spans="2:37" ht="16.5" x14ac:dyDescent="0.3">
      <c r="B38"/>
      <c r="C38"/>
      <c r="D38"/>
      <c r="G38"/>
      <c r="H38"/>
      <c r="I38"/>
      <c r="J38"/>
      <c r="L38"/>
      <c r="M38"/>
      <c r="O38"/>
      <c r="P38"/>
      <c r="AH38" s="31">
        <v>45782</v>
      </c>
      <c r="AI38" s="35" t="s">
        <v>46</v>
      </c>
      <c r="AJ38" s="35" t="s">
        <v>47</v>
      </c>
      <c r="AK38" s="34">
        <v>9166947</v>
      </c>
    </row>
    <row r="39" spans="2:37" ht="16.5" x14ac:dyDescent="0.3">
      <c r="B39"/>
      <c r="C39"/>
      <c r="D39"/>
      <c r="G39"/>
      <c r="H39"/>
      <c r="I39"/>
      <c r="J39"/>
      <c r="L39"/>
      <c r="M39"/>
      <c r="O39"/>
      <c r="P39"/>
      <c r="AH39" s="31">
        <v>45782</v>
      </c>
      <c r="AI39" s="35" t="s">
        <v>48</v>
      </c>
      <c r="AJ39" s="35" t="s">
        <v>47</v>
      </c>
      <c r="AK39" s="34">
        <v>17992381</v>
      </c>
    </row>
    <row r="40" spans="2:37" ht="16.5" x14ac:dyDescent="0.3">
      <c r="B40"/>
      <c r="C40"/>
      <c r="D40"/>
      <c r="G40"/>
      <c r="H40"/>
      <c r="I40"/>
      <c r="J40"/>
      <c r="L40"/>
      <c r="M40"/>
      <c r="O40"/>
      <c r="P40"/>
      <c r="AH40" s="31">
        <v>45780</v>
      </c>
      <c r="AI40" s="35" t="s">
        <v>46</v>
      </c>
      <c r="AJ40" s="35" t="s">
        <v>47</v>
      </c>
      <c r="AK40" s="34">
        <v>6799311</v>
      </c>
    </row>
    <row r="41" spans="2:37" ht="16.5" x14ac:dyDescent="0.3">
      <c r="B41"/>
      <c r="C41"/>
      <c r="D41"/>
      <c r="G41"/>
      <c r="H41"/>
      <c r="I41"/>
      <c r="J41"/>
      <c r="L41"/>
      <c r="M41"/>
      <c r="O41"/>
      <c r="P41"/>
      <c r="AH41" s="31">
        <v>45777</v>
      </c>
      <c r="AI41" s="35" t="s">
        <v>48</v>
      </c>
      <c r="AJ41" s="35" t="s">
        <v>47</v>
      </c>
      <c r="AK41" s="34">
        <v>19755707</v>
      </c>
    </row>
    <row r="42" spans="2:37" ht="16.5" x14ac:dyDescent="0.3">
      <c r="B42"/>
      <c r="C42"/>
      <c r="D42"/>
      <c r="G42"/>
      <c r="H42"/>
      <c r="I42"/>
      <c r="J42"/>
      <c r="L42"/>
      <c r="M42"/>
      <c r="O42"/>
      <c r="P42"/>
      <c r="AH42" s="31">
        <v>45773</v>
      </c>
      <c r="AI42" s="35" t="s">
        <v>46</v>
      </c>
      <c r="AJ42" s="35" t="s">
        <v>47</v>
      </c>
      <c r="AK42" s="34">
        <v>6868181</v>
      </c>
    </row>
    <row r="43" spans="2:37" ht="16.5" x14ac:dyDescent="0.3">
      <c r="B43"/>
      <c r="C43"/>
      <c r="D43"/>
      <c r="G43"/>
      <c r="H43"/>
      <c r="I43"/>
      <c r="J43"/>
      <c r="L43"/>
      <c r="M43"/>
      <c r="O43"/>
      <c r="P43"/>
      <c r="AH43" s="31">
        <v>45770</v>
      </c>
      <c r="AI43" s="35" t="s">
        <v>46</v>
      </c>
      <c r="AJ43" s="35" t="s">
        <v>47</v>
      </c>
      <c r="AK43" s="34">
        <v>11688398</v>
      </c>
    </row>
    <row r="44" spans="2:37" ht="16.5" x14ac:dyDescent="0.3">
      <c r="B44"/>
      <c r="C44"/>
      <c r="D44"/>
      <c r="G44"/>
      <c r="H44"/>
      <c r="I44"/>
      <c r="J44"/>
      <c r="L44"/>
      <c r="M44"/>
      <c r="O44"/>
      <c r="P44"/>
      <c r="AH44" s="31">
        <v>45769</v>
      </c>
      <c r="AI44" s="35" t="s">
        <v>46</v>
      </c>
      <c r="AJ44" s="35" t="s">
        <v>47</v>
      </c>
      <c r="AK44" s="34">
        <v>19891013</v>
      </c>
    </row>
    <row r="45" spans="2:37" ht="16.5" x14ac:dyDescent="0.3">
      <c r="B45"/>
      <c r="C45"/>
      <c r="D45"/>
      <c r="G45"/>
      <c r="H45"/>
      <c r="I45"/>
      <c r="J45"/>
      <c r="L45"/>
      <c r="M45"/>
      <c r="O45"/>
      <c r="P45"/>
      <c r="AH45" s="31">
        <v>45769</v>
      </c>
      <c r="AI45" s="35" t="s">
        <v>48</v>
      </c>
      <c r="AJ45" s="35" t="s">
        <v>47</v>
      </c>
      <c r="AK45" s="34">
        <v>12492312</v>
      </c>
    </row>
    <row r="46" spans="2:37" ht="16.5" x14ac:dyDescent="0.3">
      <c r="B46"/>
      <c r="C46"/>
      <c r="D46"/>
      <c r="G46"/>
      <c r="H46"/>
      <c r="I46"/>
      <c r="J46"/>
      <c r="L46"/>
      <c r="M46"/>
      <c r="O46"/>
      <c r="P46"/>
      <c r="AH46" s="31">
        <v>45768</v>
      </c>
      <c r="AI46" s="35" t="s">
        <v>46</v>
      </c>
      <c r="AJ46" s="35" t="s">
        <v>47</v>
      </c>
      <c r="AK46" s="34">
        <v>19274428</v>
      </c>
    </row>
    <row r="47" spans="2:37" ht="18" customHeight="1" x14ac:dyDescent="0.15">
      <c r="AH47" s="31">
        <v>45768</v>
      </c>
      <c r="AI47" s="35" t="s">
        <v>48</v>
      </c>
      <c r="AJ47" s="35" t="s">
        <v>47</v>
      </c>
      <c r="AK47" s="34">
        <v>14687570</v>
      </c>
    </row>
    <row r="48" spans="2:37" ht="18" customHeight="1" x14ac:dyDescent="0.15">
      <c r="AH48" s="31">
        <v>45764</v>
      </c>
      <c r="AI48" s="35" t="s">
        <v>46</v>
      </c>
      <c r="AJ48" s="35" t="s">
        <v>47</v>
      </c>
      <c r="AK48" s="34">
        <v>12117520</v>
      </c>
    </row>
    <row r="49" spans="34:37" ht="18" customHeight="1" x14ac:dyDescent="0.15">
      <c r="AH49" s="31">
        <v>45764</v>
      </c>
      <c r="AI49" s="35" t="s">
        <v>48</v>
      </c>
      <c r="AJ49" s="35" t="s">
        <v>47</v>
      </c>
      <c r="AK49" s="34">
        <v>11365169</v>
      </c>
    </row>
    <row r="50" spans="34:37" ht="18" customHeight="1" x14ac:dyDescent="0.15">
      <c r="AH50" s="31">
        <v>45763</v>
      </c>
      <c r="AI50" s="35" t="s">
        <v>46</v>
      </c>
      <c r="AJ50" s="35" t="s">
        <v>47</v>
      </c>
      <c r="AK50" s="34">
        <v>19473446</v>
      </c>
    </row>
    <row r="51" spans="34:37" ht="18" customHeight="1" x14ac:dyDescent="0.15">
      <c r="AH51" s="31">
        <v>45763</v>
      </c>
      <c r="AI51" s="35" t="s">
        <v>48</v>
      </c>
      <c r="AJ51" s="35" t="s">
        <v>47</v>
      </c>
      <c r="AK51" s="34">
        <v>9598388</v>
      </c>
    </row>
    <row r="52" spans="34:37" ht="18" customHeight="1" x14ac:dyDescent="0.15">
      <c r="AH52" s="31">
        <v>45759</v>
      </c>
      <c r="AI52" s="35" t="s">
        <v>48</v>
      </c>
      <c r="AJ52" s="35" t="s">
        <v>47</v>
      </c>
      <c r="AK52" s="34">
        <v>6123025</v>
      </c>
    </row>
    <row r="53" spans="34:37" ht="18" customHeight="1" x14ac:dyDescent="0.15">
      <c r="AH53" s="31">
        <v>45751</v>
      </c>
      <c r="AI53" s="35" t="s">
        <v>46</v>
      </c>
      <c r="AJ53" s="35" t="s">
        <v>47</v>
      </c>
      <c r="AK53" s="34">
        <v>14180034</v>
      </c>
    </row>
    <row r="54" spans="34:37" ht="18" customHeight="1" x14ac:dyDescent="0.15">
      <c r="AH54" s="31">
        <v>45751</v>
      </c>
      <c r="AI54" s="35" t="s">
        <v>48</v>
      </c>
      <c r="AJ54" s="35" t="s">
        <v>47</v>
      </c>
      <c r="AK54" s="34">
        <v>19973658</v>
      </c>
    </row>
    <row r="55" spans="34:37" ht="18" customHeight="1" x14ac:dyDescent="0.15">
      <c r="AH55" s="31">
        <v>45748</v>
      </c>
      <c r="AI55" s="35" t="s">
        <v>46</v>
      </c>
      <c r="AJ55" s="35" t="s">
        <v>47</v>
      </c>
      <c r="AK55" s="34">
        <v>10144248</v>
      </c>
    </row>
    <row r="56" spans="34:37" ht="18" customHeight="1" x14ac:dyDescent="0.15">
      <c r="AH56" s="31">
        <v>45748</v>
      </c>
      <c r="AI56" s="35" t="s">
        <v>46</v>
      </c>
      <c r="AJ56" s="35" t="s">
        <v>47</v>
      </c>
      <c r="AK56" s="34">
        <v>9529930</v>
      </c>
    </row>
    <row r="57" spans="34:37" ht="18" customHeight="1" x14ac:dyDescent="0.15">
      <c r="AH57" s="31">
        <v>45746</v>
      </c>
      <c r="AI57" s="35" t="s">
        <v>48</v>
      </c>
      <c r="AJ57" s="35" t="s">
        <v>47</v>
      </c>
      <c r="AK57" s="34">
        <v>19994916</v>
      </c>
    </row>
    <row r="58" spans="34:37" ht="18" customHeight="1" x14ac:dyDescent="0.15">
      <c r="AH58" s="31">
        <v>45745</v>
      </c>
      <c r="AI58" s="35" t="s">
        <v>46</v>
      </c>
      <c r="AJ58" s="35" t="s">
        <v>47</v>
      </c>
      <c r="AK58" s="34">
        <v>14075748</v>
      </c>
    </row>
    <row r="59" spans="34:37" ht="18" customHeight="1" x14ac:dyDescent="0.15">
      <c r="AH59" s="31">
        <v>45728</v>
      </c>
      <c r="AI59" s="35" t="s">
        <v>46</v>
      </c>
      <c r="AJ59" s="35" t="s">
        <v>47</v>
      </c>
      <c r="AK59" s="34">
        <v>11340379</v>
      </c>
    </row>
    <row r="60" spans="34:37" ht="18" customHeight="1" x14ac:dyDescent="0.15">
      <c r="AH60" s="31">
        <v>45723</v>
      </c>
      <c r="AI60" s="35" t="s">
        <v>48</v>
      </c>
      <c r="AJ60" s="35" t="s">
        <v>47</v>
      </c>
      <c r="AK60" s="34">
        <v>5540317</v>
      </c>
    </row>
    <row r="61" spans="34:37" ht="18" customHeight="1" x14ac:dyDescent="0.15">
      <c r="AH61" s="31">
        <v>45718</v>
      </c>
      <c r="AI61" s="35" t="s">
        <v>48</v>
      </c>
      <c r="AJ61" s="35" t="s">
        <v>47</v>
      </c>
      <c r="AK61" s="34">
        <v>15583252</v>
      </c>
    </row>
  </sheetData>
  <sheetProtection algorithmName="SHA-512" hashValue="y0fEAR2aCLYl83jQnOYOz6ynavuv0YGi475jQ85RevqwIAb7I2CD85q0042kemlYY/wNTIxDCr5RixDpJh2Fkw==" saltValue="yeJR7F/o8PUCTUxK8htZIQ==" spinCount="100000" sheet="1" scenarios="1" formatColumns="0" formatRows="0" autoFilter="0" pivotTables="0"/>
  <protectedRanges>
    <protectedRange sqref="AH29:AK29 AK30:AK61" name="Range1"/>
    <protectedRange sqref="AK29" name="Range1_3"/>
    <protectedRange sqref="AH30:AJ61" name="Range1_4"/>
  </protectedRanges>
  <mergeCells count="10">
    <mergeCell ref="AI17:AJ17"/>
    <mergeCell ref="AI18:AJ18"/>
    <mergeCell ref="AI19:AJ19"/>
    <mergeCell ref="AI20:AJ20"/>
    <mergeCell ref="AI7:AJ7"/>
    <mergeCell ref="AI16:AJ16"/>
    <mergeCell ref="AI8:AJ8"/>
    <mergeCell ref="AI9:AJ9"/>
    <mergeCell ref="AI10:AJ10"/>
    <mergeCell ref="AI11:AJ11"/>
  </mergeCells>
  <dataValidations disablePrompts="1" count="2">
    <dataValidation type="list" allowBlank="1" showInputMessage="1" showErrorMessage="1" sqref="R30:R35" xr:uid="{4D04BFE7-F3F0-4095-9676-5B726BC4340B}">
      <formula1>"Nhân viên, Kênh"</formula1>
    </dataValidation>
    <dataValidation type="list" allowBlank="1" showInputMessage="1" showErrorMessage="1" sqref="S30:S35" xr:uid="{A1008991-E4FC-444B-8201-AB4163CDA35B}">
      <formula1>"Tháng, Năm"</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2476" r:id="rId7" name="Option Button 12">
              <controlPr defaultSize="0" autoFill="0" autoLine="0" autoPict="0" macro="[0]!DoiDonViHienThi">
                <anchor moveWithCells="1">
                  <from>
                    <xdr:col>18</xdr:col>
                    <xdr:colOff>400050</xdr:colOff>
                    <xdr:row>0</xdr:row>
                    <xdr:rowOff>152400</xdr:rowOff>
                  </from>
                  <to>
                    <xdr:col>19</xdr:col>
                    <xdr:colOff>247650</xdr:colOff>
                    <xdr:row>1</xdr:row>
                    <xdr:rowOff>200025</xdr:rowOff>
                  </to>
                </anchor>
              </controlPr>
            </control>
          </mc:Choice>
        </mc:AlternateContent>
        <mc:AlternateContent xmlns:mc="http://schemas.openxmlformats.org/markup-compatibility/2006">
          <mc:Choice Requires="x14">
            <control shapeId="62477" r:id="rId8" name="Option Button 13">
              <controlPr defaultSize="0" autoFill="0" autoLine="0" autoPict="0" macro="[0]!DoiDonViHienThi">
                <anchor moveWithCells="1">
                  <from>
                    <xdr:col>19</xdr:col>
                    <xdr:colOff>123825</xdr:colOff>
                    <xdr:row>0</xdr:row>
                    <xdr:rowOff>152400</xdr:rowOff>
                  </from>
                  <to>
                    <xdr:col>19</xdr:col>
                    <xdr:colOff>714375</xdr:colOff>
                    <xdr:row>1</xdr:row>
                    <xdr:rowOff>200025</xdr:rowOff>
                  </to>
                </anchor>
              </controlPr>
            </control>
          </mc:Choice>
        </mc:AlternateContent>
        <mc:AlternateContent xmlns:mc="http://schemas.openxmlformats.org/markup-compatibility/2006">
          <mc:Choice Requires="x14">
            <control shapeId="62478" r:id="rId9" name="Option Button 14">
              <controlPr defaultSize="0" autoFill="0" autoLine="0" autoPict="0" macro="[0]!DoiDonViHienThi">
                <anchor moveWithCells="1">
                  <from>
                    <xdr:col>19</xdr:col>
                    <xdr:colOff>590550</xdr:colOff>
                    <xdr:row>0</xdr:row>
                    <xdr:rowOff>152400</xdr:rowOff>
                  </from>
                  <to>
                    <xdr:col>20</xdr:col>
                    <xdr:colOff>266700</xdr:colOff>
                    <xdr:row>1</xdr:row>
                    <xdr:rowOff>200025</xdr:rowOff>
                  </to>
                </anchor>
              </controlPr>
            </control>
          </mc:Choice>
        </mc:AlternateContent>
        <mc:AlternateContent xmlns:mc="http://schemas.openxmlformats.org/markup-compatibility/2006">
          <mc:Choice Requires="x14">
            <control shapeId="62479" r:id="rId10" name="Option Button 15">
              <controlPr defaultSize="0" autoFill="0" autoLine="0" autoPict="0" macro="[0]!DoiDonViHienThi">
                <anchor moveWithCells="1">
                  <from>
                    <xdr:col>20</xdr:col>
                    <xdr:colOff>152400</xdr:colOff>
                    <xdr:row>0</xdr:row>
                    <xdr:rowOff>152400</xdr:rowOff>
                  </from>
                  <to>
                    <xdr:col>20</xdr:col>
                    <xdr:colOff>504825</xdr:colOff>
                    <xdr:row>1</xdr:row>
                    <xdr:rowOff>200025</xdr:rowOff>
                  </to>
                </anchor>
              </controlPr>
            </control>
          </mc:Choice>
        </mc:AlternateContent>
        <mc:AlternateContent xmlns:mc="http://schemas.openxmlformats.org/markup-compatibility/2006">
          <mc:Choice Requires="x14">
            <control shapeId="62480" r:id="rId11" name="Group Box 16">
              <controlPr defaultSize="0" autoFill="0" autoPict="0">
                <anchor moveWithCells="1">
                  <from>
                    <xdr:col>18</xdr:col>
                    <xdr:colOff>285750</xdr:colOff>
                    <xdr:row>0</xdr:row>
                    <xdr:rowOff>104775</xdr:rowOff>
                  </from>
                  <to>
                    <xdr:col>20</xdr:col>
                    <xdr:colOff>619125</xdr:colOff>
                    <xdr:row>2</xdr:row>
                    <xdr:rowOff>9525</xdr:rowOff>
                  </to>
                </anchor>
              </controlPr>
            </control>
          </mc:Choice>
        </mc:AlternateContent>
        <mc:AlternateContent xmlns:mc="http://schemas.openxmlformats.org/markup-compatibility/2006">
          <mc:Choice Requires="x14">
            <control shapeId="62481" r:id="rId12" name="Group Box 17">
              <controlPr defaultSize="0" autoFill="0" autoPict="0">
                <anchor moveWithCells="1">
                  <from>
                    <xdr:col>17</xdr:col>
                    <xdr:colOff>57150</xdr:colOff>
                    <xdr:row>0</xdr:row>
                    <xdr:rowOff>104775</xdr:rowOff>
                  </from>
                  <to>
                    <xdr:col>18</xdr:col>
                    <xdr:colOff>238125</xdr:colOff>
                    <xdr:row>2</xdr:row>
                    <xdr:rowOff>9525</xdr:rowOff>
                  </to>
                </anchor>
              </controlPr>
            </control>
          </mc:Choice>
        </mc:AlternateContent>
        <mc:AlternateContent xmlns:mc="http://schemas.openxmlformats.org/markup-compatibility/2006">
          <mc:Choice Requires="x14">
            <control shapeId="62482" r:id="rId13" name="Button 18">
              <controlPr defaultSize="0" autoFill="0" autoPict="0" macro="[0]!NhanNghin">
                <anchor moveWithCells="1">
                  <from>
                    <xdr:col>17</xdr:col>
                    <xdr:colOff>142875</xdr:colOff>
                    <xdr:row>0</xdr:row>
                    <xdr:rowOff>200025</xdr:rowOff>
                  </from>
                  <to>
                    <xdr:col>17</xdr:col>
                    <xdr:colOff>609600</xdr:colOff>
                    <xdr:row>1</xdr:row>
                    <xdr:rowOff>142875</xdr:rowOff>
                  </to>
                </anchor>
              </controlPr>
            </control>
          </mc:Choice>
        </mc:AlternateContent>
        <mc:AlternateContent xmlns:mc="http://schemas.openxmlformats.org/markup-compatibility/2006">
          <mc:Choice Requires="x14">
            <control shapeId="62483" r:id="rId14" name="Button 19">
              <controlPr defaultSize="0" autoFill="0" autoPict="0" macro="[0]!NhanTrieu">
                <anchor moveWithCells="1">
                  <from>
                    <xdr:col>17</xdr:col>
                    <xdr:colOff>657225</xdr:colOff>
                    <xdr:row>0</xdr:row>
                    <xdr:rowOff>200025</xdr:rowOff>
                  </from>
                  <to>
                    <xdr:col>17</xdr:col>
                    <xdr:colOff>1123950</xdr:colOff>
                    <xdr:row>1</xdr:row>
                    <xdr:rowOff>142875</xdr:rowOff>
                  </to>
                </anchor>
              </controlPr>
            </control>
          </mc:Choice>
        </mc:AlternateContent>
        <mc:AlternateContent xmlns:mc="http://schemas.openxmlformats.org/markup-compatibility/2006">
          <mc:Choice Requires="x14">
            <control shapeId="62484" r:id="rId15" name="Button 20">
              <controlPr defaultSize="0" autoFill="0" autoPict="0" macro="[0]!NhanTy">
                <anchor moveWithCells="1">
                  <from>
                    <xdr:col>17</xdr:col>
                    <xdr:colOff>1171575</xdr:colOff>
                    <xdr:row>0</xdr:row>
                    <xdr:rowOff>200025</xdr:rowOff>
                  </from>
                  <to>
                    <xdr:col>18</xdr:col>
                    <xdr:colOff>161925</xdr:colOff>
                    <xdr:row>1</xdr:row>
                    <xdr:rowOff>142875</xdr:rowOff>
                  </to>
                </anchor>
              </controlPr>
            </control>
          </mc:Choice>
        </mc:AlternateContent>
        <mc:AlternateContent xmlns:mc="http://schemas.openxmlformats.org/markup-compatibility/2006">
          <mc:Choice Requires="x14">
            <control shapeId="62487" r:id="rId16" name="Button 23">
              <controlPr defaultSize="0" print="0" autoFill="0" autoPict="0" macro="[0]!AddRow">
                <anchor moveWithCells="1">
                  <from>
                    <xdr:col>20</xdr:col>
                    <xdr:colOff>762000</xdr:colOff>
                    <xdr:row>0</xdr:row>
                    <xdr:rowOff>76200</xdr:rowOff>
                  </from>
                  <to>
                    <xdr:col>21</xdr:col>
                    <xdr:colOff>219075</xdr:colOff>
                    <xdr:row>1</xdr:row>
                    <xdr:rowOff>104775</xdr:rowOff>
                  </to>
                </anchor>
              </controlPr>
            </control>
          </mc:Choice>
        </mc:AlternateContent>
        <mc:AlternateContent xmlns:mc="http://schemas.openxmlformats.org/markup-compatibility/2006">
          <mc:Choice Requires="x14">
            <control shapeId="62488" r:id="rId17" name="Button 24">
              <controlPr defaultSize="0" print="0" autoFill="0" autoPict="0" macro="[0]!DeleteRow">
                <anchor moveWithCells="1">
                  <from>
                    <xdr:col>21</xdr:col>
                    <xdr:colOff>371475</xdr:colOff>
                    <xdr:row>0</xdr:row>
                    <xdr:rowOff>76200</xdr:rowOff>
                  </from>
                  <to>
                    <xdr:col>21</xdr:col>
                    <xdr:colOff>847725</xdr:colOff>
                    <xdr:row>1</xdr:row>
                    <xdr:rowOff>104775</xdr:rowOff>
                  </to>
                </anchor>
              </controlPr>
            </control>
          </mc:Choice>
        </mc:AlternateContent>
        <mc:AlternateContent xmlns:mc="http://schemas.openxmlformats.org/markup-compatibility/2006">
          <mc:Choice Requires="x14">
            <control shapeId="62489" r:id="rId18" name="Button 25">
              <controlPr defaultSize="0" print="0" autoFill="0" autoPict="0" macro="[0]!RefreshTables">
                <anchor moveWithCells="1">
                  <from>
                    <xdr:col>29</xdr:col>
                    <xdr:colOff>295275</xdr:colOff>
                    <xdr:row>0</xdr:row>
                    <xdr:rowOff>85725</xdr:rowOff>
                  </from>
                  <to>
                    <xdr:col>29</xdr:col>
                    <xdr:colOff>914400</xdr:colOff>
                    <xdr:row>1</xdr:row>
                    <xdr:rowOff>114300</xdr:rowOff>
                  </to>
                </anchor>
              </controlPr>
            </control>
          </mc:Choice>
        </mc:AlternateContent>
      </controls>
    </mc:Choice>
  </mc:AlternateContent>
  <tableParts count="3">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9" id="{5ED6262E-14E1-4DAD-8647-08F91A2BE1EB}">
            <xm:f>Security!$A$1="NO VBA"</xm:f>
            <x14:dxf>
              <font>
                <color theme="0"/>
              </font>
              <border>
                <vertical/>
                <horizontal/>
              </border>
            </x14:dxf>
          </x14:cfRule>
          <xm:sqref>R44:S44 U44:V44 R45:V1048576 W30:AF1048576 W1:AG2 AI1:XFD2 R42:U42 R43:V43 Q1:Q1048576 R1:V41 A1:A1048576 F1:F1048576 K1:K1048576 W3:AK5 W6:AE6 AG3:XFD6 W12:XFD15 W21:AK29 AG21:XFD1048576 AK7:XFD11 W7:AI11 AK16:XFD20 W16:AI20</xm:sqref>
        </x14:conditionalFormatting>
        <x14:conditionalFormatting xmlns:xm="http://schemas.microsoft.com/office/excel/2006/main">
          <x14:cfRule type="expression" priority="1" id="{B7DB74B5-8D2B-44F6-8FDE-1274A9610268}">
            <xm:f>Security!$A$1="NO VBA"</xm:f>
            <x14:dxf>
              <font>
                <color theme="0"/>
              </font>
              <border>
                <vertical/>
                <horizontal/>
              </border>
            </x14:dxf>
          </x14:cfRule>
          <xm:sqref>N1:N1048576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�  �  
</file>

<file path=customXml/item5.xml>��   
</file>

<file path=customXml/item6.xml>��   
</file>

<file path=customXml/item7.xml>��   
</file>

<file path=customXml/item8.xml>�� � � � i � �  d � i �m   s �  d � �� �  l � � � � � �n   c � � � � � �  l � � � � �p     �  �  �  �  l ��  �  � 
</file>

<file path=customXml/item9.xml>�� �  p h � �c   n  � �� � � �  p h � �c   n  � �� � � 
</file>

<file path=customXml/item10.xml>��   
</file>

<file path=customXml/item11.xml>��   
</file>

<file path=customXml/item12.xml>�� �� �i   t �� � �� �t   � � �  l � � �  l �� �  t � � �� �i   t �� � �� �t   � � �  l � � �  l �� �  t � � 
</file>

<file path=customXml/item13.xml>�� �n   �u   t � �n   �u   t � �  �u   t � �i   h � �  �  �u   t � �   � �n   �u   t � �n   �u   t � �  �u   t � �i   h � �  �  �u   t � �   � 
</file>

<file path=customXml/item14.xml>�� �c   n  �c   n  
</file>

<file path=customXml/item15.xml>��   
</file>

<file path=customXml/item16.xml>�� � � � � 
</file>

<file path=customXml/item17.xml>�� 
</file>

<file path=customXml/item18.xml>�� � � �n   v � �  s u � �  l � � � � �n   v � �  s u � �  l � � 
</file>

<file path=customXml/item19.xml>�� � � � �� �  l � � � � i �m   s �  d � � �n   c � � �p    � � � � i � �  d �  �  �  �  �  l ��  �  � �  l � � � � � � �� �  l � � � � i �m   s �  d � � �n   c � � �p    � � � � i � �  d �  �  �  �  �  l ��  �  � �  l � � � 
</file>

<file path=customXml/item20.xml>��   
</file>

<file path=customXml/item21.xml>�� 
</file>

<file path=customXml/item22.xml>�� 
</file>

<file path=customXml/item23.xml>��   
</file>

<file path=customXml/itemProps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xml><?xml version="1.0" encoding="utf-8"?>
<ds:datastoreItem xmlns:ds="http://schemas.openxmlformats.org/officeDocument/2006/customXml" ds:itemID="{339EBD31-34FE-48FA-B11C-5697D02F64AC}">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8.xml><?xml version="1.0" encoding="utf-8"?>
<ds:datastoreItem xmlns:ds="http://schemas.openxmlformats.org/officeDocument/2006/customXml" ds:itemID="{4F023B59-6671-4442-B15F-D8D1F04CE43F}">
  <ds:schemaRefs/>
</ds:datastoreItem>
</file>

<file path=customXml/itemProps9.xml><?xml version="1.0" encoding="utf-8"?>
<ds:datastoreItem xmlns:ds="http://schemas.openxmlformats.org/officeDocument/2006/customXml" ds:itemID="{7D64D66F-1898-49BE-A788-6FA781CEE8F3}">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4BA9E5F1-90AC-490B-B178-7C8B339E1A47}">
  <ds:schemaRefs/>
</ds:datastoreItem>
</file>

<file path=customXml/itemProps1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4.xml><?xml version="1.0" encoding="utf-8"?>
<ds:datastoreItem xmlns:ds="http://schemas.openxmlformats.org/officeDocument/2006/customXml" ds:itemID="{A6D0F6C4-9EB7-4062-86F8-715E8F5BF469}">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8.xml><?xml version="1.0" encoding="utf-8"?>
<ds:datastoreItem xmlns:ds="http://schemas.openxmlformats.org/officeDocument/2006/customXml" ds:itemID="{19BA8129-97AB-4694-BBC1-89CB3D2043B0}">
  <ds:schemaRefs/>
</ds:datastoreItem>
</file>

<file path=customXml/itemProps19.xml><?xml version="1.0" encoding="utf-8"?>
<ds:datastoreItem xmlns:ds="http://schemas.openxmlformats.org/officeDocument/2006/customXml" ds:itemID="{CCFAB5FF-26AB-4CB9-BA2C-5A121007B041}">
  <ds:schemaRefs/>
</ds:datastoreItem>
</file>

<file path=customXml/itemProps20.xml><?xml version="1.0" encoding="utf-8"?>
<ds:datastoreItem xmlns:ds="http://schemas.openxmlformats.org/officeDocument/2006/customXml" ds:itemID="{0B9C3544-1C46-45A4-BEB6-1CE4D6559900}">
  <ds:schemaRefs/>
</ds:datastoreItem>
</file>

<file path=customXml/itemProps2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3.xml><?xml version="1.0" encoding="utf-8"?>
<ds:datastoreItem xmlns:ds="http://schemas.openxmlformats.org/officeDocument/2006/customXml" ds:itemID="{104A6CAF-8CC0-4F12-8051-31E2340CC4C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KPI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2025-06-04T03:01:10Z</dcterms:modified>
  <cp:category/>
  <cp:contentStatus/>
</cp:coreProperties>
</file>