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0686C78-F731-4A4F-934B-E514874A0B00}"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<sst xmlns="http://schemas.openxmlformats.org/spreadsheetml/2006/main" count="189" uniqueCount="75">
  <si>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</si>
  <si>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</si>
  <si>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</si>
  <si>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</si>
  <si>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</si>
  <si>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</si>
  <si>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</si>
  <si>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</si>
  <si>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</si>
  <si>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</si>
  <si>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</si>
  <si>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</si>
  <si>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</si>
  <si>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</si>
  <si>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</si>
  <si>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</si>
  <si>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</si>
  <si>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</si>
  <si>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</si>
  <si>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</si>
  <si>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</si>
  <si>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</si>
  <si>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</si>
  <si>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</si>
  <si>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</si>
  <si>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</si>
  <si>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</si>
  <si>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</si>
  <si>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</si>
  <si>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</si>
  <si>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</si>
  <si>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</si>
  <si>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</si>
  <si>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</si>
  <si>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</si>
  <si>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</si>
  <si>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</si>
  <si>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</si>
  <si>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</si>
  <si>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</si>
  <si>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</si>
  <si>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</si>
  <si>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</si>
  <si>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</si>
  <si>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</si>
  <si>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</si>
  <si>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</si>
  <si>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</si>
  <si>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</si>
  <si>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</si>
  <si>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</si>
  <si>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</si>
  <si>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</si>
  <si>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KPI</t>
  </si>
  <si>
    <t>Doanh thu</t>
  </si>
  <si>
    <t>Hoàn thành</t>
  </si>
  <si>
    <t>(blank)</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</si>
  <si>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</si>
  <si>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</si>
  <si>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</si>
  <si>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</si>
  <si>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</si>
  <si>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</si>
  <si>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</si>
  <si>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</si>
  <si>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</si>
  <si>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</si>
  <si>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</si>
  <si>
    <t>Red</t>
  </si>
  <si>
    <t>Green</t>
  </si>
  <si>
    <t>Blue</t>
  </si>
  <si>
    <t>Gray</t>
  </si>
  <si>
    <t>Brown</t>
  </si>
  <si>
    <t xml:space="preserve">Kỳ </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</si>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</sst>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0" fontId="17" fillId="0" borderId="0" xfId="0" applyFont="1" applyAlignment="1" applyProtection="1">
      <alignment vertical="center"/>
      <protection locked="0"/>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Kỳ "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Hoàn thành" fld="7" baseField="4"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65</v>
      </c>
      <c r="C2" s="11" t="s">
        <v>66</v>
      </c>
      <c r="D2" s="22">
        <v>45785</v>
      </c>
      <c r="E2" s="22">
        <v>46150</v>
      </c>
      <c r="F2" s="30">
        <v>365</v>
      </c>
      <c r="G2" s="11" t="s">
        <v>40</v>
      </c>
      <c r="H2" s="30"/>
      <c r="I2" s="30"/>
      <c r="J2" s="30"/>
      <c r="K2" s="30"/>
      <c r="L2" s="30"/>
      <c r="M2" s="30"/>
      <c r="N2" s="30"/>
      <c r="O2" s="30"/>
      <c r="P2" s="30"/>
      <c r="Q2" s="30"/>
      <c r="R2" s="30"/>
      <c r="S2" s="30"/>
      <c r="T2" s="30"/>
      <c r="U2" s="30"/>
      <c r="V2" s="30"/>
      <c r="W2" s="30"/>
      <c r="X2" s="30"/>
      <c r="Y2" s="30"/>
      <c r="Z2" s="30" t="s">
        <v>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1" sqref="J11"/>
    </sheetView>
  </sheetViews>
  <sheetFormatPr defaultRowHeight="16.5" x14ac:dyDescent="0.3"/>
  <cols>
    <col min="1" max="1" width="11.625" style="12" bestFit="1" customWidth="1"/>
    <col min="2" max="16384" width="9" style="12"/>
  </cols>
  <sheetData>
    <row r="1" spans="1:12" x14ac:dyDescent="0.3">
      <c r="K1" s="44">
        <v>1</v>
      </c>
      <c r="L1" s="44" t="s">
        <v>68</v>
      </c>
    </row>
    <row r="2" spans="1:12" x14ac:dyDescent="0.3">
      <c r="A2" s="12" t="s">
        <v>67</v>
      </c>
      <c r="L2" s="44" t="s">
        <v>69</v>
      </c>
    </row>
    <row r="3" spans="1:12" x14ac:dyDescent="0.3">
      <c r="L3" s="44" t="s">
        <v>70</v>
      </c>
    </row>
    <row r="4" spans="1:12" ht="37.5" x14ac:dyDescent="0.3">
      <c r="A4" s="15" t="s">
        <v>4</v>
      </c>
      <c r="B4" s="15" t="s">
        <v>5</v>
      </c>
      <c r="L4" s="44" t="s">
        <v>71</v>
      </c>
    </row>
    <row r="5" spans="1:12" ht="17.25" x14ac:dyDescent="0.3">
      <c r="A5" s="25"/>
      <c r="B5" s="23" t="s">
        <v>41</v>
      </c>
      <c r="L5" s="44" t="s">
        <v>72</v>
      </c>
    </row>
    <row r="6" spans="1:12" ht="17.25" x14ac:dyDescent="0.3">
      <c r="A6" s="25"/>
      <c r="B6" s="23" t="s">
        <v>37</v>
      </c>
    </row>
    <row r="7" spans="1:12" ht="17.25" x14ac:dyDescent="0.3">
      <c r="A7" s="25"/>
      <c r="B7" s="23" t="s">
        <v>42</v>
      </c>
    </row>
    <row r="8" spans="1:12" ht="17.25" x14ac:dyDescent="0.3">
      <c r="A8" s="25"/>
      <c r="B8" s="23" t="s">
        <v>43</v>
      </c>
    </row>
    <row r="9" spans="1:12" ht="17.25" x14ac:dyDescent="0.3">
      <c r="A9" s="25"/>
      <c r="B9" s="24" t="s">
        <v>44</v>
      </c>
    </row>
    <row r="10" spans="1:12" x14ac:dyDescent="0.3">
      <c r="A10" s="25"/>
      <c r="B10" s="25"/>
    </row>
    <row r="11" spans="1:12" ht="37.5" x14ac:dyDescent="0.3">
      <c r="A11" s="15" t="s">
        <v>11</v>
      </c>
      <c r="B11" s="15" t="s">
        <v>12</v>
      </c>
    </row>
    <row r="12" spans="1:12" x14ac:dyDescent="0.3">
      <c r="A12" s="16" t="s">
        <v>13</v>
      </c>
      <c r="B12" s="12" t="s">
        <v>65</v>
      </c>
    </row>
    <row r="13" spans="1:12" x14ac:dyDescent="0.3">
      <c r="A13" s="16" t="s">
        <v>14</v>
      </c>
      <c r="B13" s="12" t="s">
        <v>66</v>
      </c>
    </row>
    <row r="14" spans="1:12" ht="17.25" x14ac:dyDescent="0.3">
      <c r="A14" s="25"/>
      <c r="B14" s="13" t="s">
        <v>6</v>
      </c>
    </row>
    <row r="15" spans="1:12" ht="17.25" x14ac:dyDescent="0.3">
      <c r="A15" s="25"/>
      <c r="B15" s="13" t="s">
        <v>7</v>
      </c>
    </row>
    <row r="16" spans="1: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C27" sqref="AC27:AD27"/>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58</v>
      </c>
      <c r="AH5" s="43"/>
      <c r="AI5" s="42" t="s">
        <v>64</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57</v>
      </c>
      <c r="AI7" s="47" t="s">
        <v>46</v>
      </c>
      <c r="AJ7" s="47"/>
      <c r="AK7" s="4"/>
    </row>
    <row r="8" spans="24:37" ht="18" customHeight="1" outlineLevel="1" x14ac:dyDescent="0.35">
      <c r="X8" s="4"/>
      <c r="Y8" s="4"/>
      <c r="Z8" s="4"/>
      <c r="AA8" s="4"/>
      <c r="AB8" s="4"/>
      <c r="AC8" s="4"/>
      <c r="AD8" s="4"/>
      <c r="AE8" s="4"/>
      <c r="AF8" s="41" t="s">
        <v>61</v>
      </c>
      <c r="AI8" s="45" cm="1">
        <f t="array" ref="AI8">IF(
ISBLANK($AJ$5),
IFERROR(
SUM(_xlfn._xlws.FILTER(Table_KPI[Doanh thu KPI],
(Table_KPI[Kênh] = $AI$7)*
(Table_KPI[Kỳ]&gt;=$AH$5)
)),0),
IFERROR(
SUM(_xlfn._xlws.FILTER(Table_KPI[Doanh thu KPI],
(Table_KPI[Kênh] = $AI$7)*
(Table_KPI[Kỳ]&gt;=$AH$5)*
(Table_KPI[Kỳ]&lt;=$AJ$5)
)),0)
)</f>
        <v>600000000</v>
      </c>
      <c r="AJ8" s="45"/>
      <c r="AK8" s="4"/>
    </row>
    <row r="9" spans="24:37" ht="18" customHeight="1" outlineLevel="1" x14ac:dyDescent="0.35">
      <c r="X9" s="4"/>
      <c r="Y9" s="4"/>
      <c r="Z9" s="4"/>
      <c r="AA9" s="4"/>
      <c r="AB9" s="4"/>
      <c r="AC9" s="4"/>
      <c r="AD9" s="4"/>
      <c r="AE9" s="4"/>
      <c r="AF9" s="41" t="s">
        <v>62</v>
      </c>
      <c r="AI9" s="45" cm="1">
        <f t="array" ref="AI9">IF(
ISBLANK($AJ$5),
IFERROR(
SUM(_xlfn._xlws.FILTER(Table_KPI[Doanh thu thực tế],
(Table_KPI[Kênh] = $AI$7)*
(Table_KPI[Kỳ]&gt;=$AH$5)
)),0),
IFERROR(
SUM(_xlfn._xlws.FILTER(Table_KPI[Doanh thu thực tế],
(Table_KPI[Kênh] = $AI$7)*
(Table_KPI[Kỳ]&gt;=$AH$5)*
(Table_KPI[Kỳ]&lt;=$AJ$5)
)),0)
)</f>
        <v>408680946</v>
      </c>
      <c r="AJ9" s="45"/>
      <c r="AK9" s="4"/>
    </row>
    <row r="10" spans="24:37" ht="18" customHeight="1" outlineLevel="1" x14ac:dyDescent="0.35">
      <c r="X10" s="4"/>
      <c r="Y10" s="4"/>
      <c r="Z10" s="4"/>
      <c r="AA10" s="4"/>
      <c r="AB10" s="4"/>
      <c r="AC10" s="4"/>
      <c r="AD10" s="4"/>
      <c r="AE10" s="4"/>
      <c r="AF10" s="41" t="s">
        <v>60</v>
      </c>
      <c r="AI10" s="46">
        <f>AI9/AI8</f>
        <v>0.68113491000000004</v>
      </c>
      <c r="AJ10" s="46"/>
      <c r="AK10" s="4"/>
    </row>
    <row r="11" spans="24:37" ht="18" customHeight="1" outlineLevel="1" x14ac:dyDescent="0.35">
      <c r="X11" s="4"/>
      <c r="Y11" s="4"/>
      <c r="Z11" s="4"/>
      <c r="AA11" s="4"/>
      <c r="AB11" s="4"/>
      <c r="AC11" s="4"/>
      <c r="AD11" s="4"/>
      <c r="AE11" s="4"/>
      <c r="AF11" s="41" t="s">
        <v>59</v>
      </c>
      <c r="AI11" s="45"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5"/>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63</v>
      </c>
      <c r="AI16" s="47" t="s">
        <v>45</v>
      </c>
      <c r="AJ16" s="47"/>
      <c r="AK16" s="4"/>
    </row>
    <row r="17" spans="2:37" ht="18" customHeight="1" outlineLevel="1" x14ac:dyDescent="0.35">
      <c r="X17" s="4"/>
      <c r="Y17" s="4"/>
      <c r="Z17" s="4"/>
      <c r="AA17" s="4"/>
      <c r="AB17" s="4"/>
      <c r="AC17" s="4"/>
      <c r="AD17" s="4"/>
      <c r="AE17" s="4"/>
      <c r="AF17" s="41" t="s">
        <v>61</v>
      </c>
      <c r="AI17" s="45" cm="1">
        <f t="array" ref="AI17">IF(
ISBLANK($AJ$5),
IFERROR(
SUM(_xlfn._xlws.FILTER(Table_KPI[Doanh thu KPI],
(Table_KPI[Nhân viên] = $AI$16)*
(Table_KPI[Kỳ]&gt;=$AH$5)
)),0),
IFERROR(
SUM(_xlfn._xlws.FILTER(Table_KPI[Doanh thu KPI],
(Table_KPI[Nhân viên] = $AI$16)*
(Table_KPI[Kỳ]&gt;=$AH$5)*
(Table_KPI[Kỳ]&lt;=$AJ$5)
)),0)
)</f>
        <v>180000000</v>
      </c>
      <c r="AJ17" s="45"/>
      <c r="AK17" s="4"/>
    </row>
    <row r="18" spans="2:37" ht="18" customHeight="1" outlineLevel="1" x14ac:dyDescent="0.35">
      <c r="X18" s="4"/>
      <c r="Y18" s="4"/>
      <c r="Z18" s="4"/>
      <c r="AA18" s="4"/>
      <c r="AB18" s="4"/>
      <c r="AC18" s="4"/>
      <c r="AD18" s="4"/>
      <c r="AE18" s="4"/>
      <c r="AF18" s="41" t="s">
        <v>62</v>
      </c>
      <c r="AI18" s="45"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5"/>
      <c r="AK18" s="4"/>
    </row>
    <row r="19" spans="2:37" ht="18" customHeight="1" outlineLevel="1" x14ac:dyDescent="0.35">
      <c r="X19" s="4"/>
      <c r="Y19" s="4"/>
      <c r="Z19" s="4"/>
      <c r="AA19" s="4"/>
      <c r="AB19" s="4"/>
      <c r="AC19" s="4"/>
      <c r="AD19" s="4"/>
      <c r="AE19" s="4"/>
      <c r="AF19" s="41" t="s">
        <v>60</v>
      </c>
      <c r="AI19" s="46">
        <f>AI18/AI17</f>
        <v>1.3586494611111111</v>
      </c>
      <c r="AJ19" s="46"/>
      <c r="AK19" s="4"/>
    </row>
    <row r="20" spans="2:37" ht="18" customHeight="1" outlineLevel="1" x14ac:dyDescent="0.35">
      <c r="X20" s="4"/>
      <c r="Y20" s="4"/>
      <c r="Z20" s="4"/>
      <c r="AA20" s="4"/>
      <c r="AB20" s="4"/>
      <c r="AC20" s="4"/>
      <c r="AD20" s="4"/>
      <c r="AE20" s="4"/>
      <c r="AF20" s="41" t="s">
        <v>59</v>
      </c>
      <c r="AI20" s="45"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5"/>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45</v>
      </c>
      <c r="G27" s="37" t="s">
        <v>16</v>
      </c>
      <c r="H27" t="s">
        <v>46</v>
      </c>
      <c r="L27" s="37" t="s">
        <v>3</v>
      </c>
      <c r="M27" s="38">
        <v>45778</v>
      </c>
      <c r="O27" s="37" t="s">
        <v>73</v>
      </c>
      <c r="P27" t="s">
        <v>52</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48</v>
      </c>
      <c r="C29" t="s">
        <v>53</v>
      </c>
      <c r="D29" t="s">
        <v>54</v>
      </c>
      <c r="E29" t="s">
        <v>55</v>
      </c>
      <c r="G29" s="37" t="s">
        <v>48</v>
      </c>
      <c r="H29" t="s">
        <v>53</v>
      </c>
      <c r="I29" t="s">
        <v>54</v>
      </c>
      <c r="J29" t="s">
        <v>55</v>
      </c>
      <c r="L29" s="37" t="s">
        <v>48</v>
      </c>
      <c r="M29" t="s">
        <v>55</v>
      </c>
      <c r="O29" s="37" t="s">
        <v>48</v>
      </c>
      <c r="P29" t="s">
        <v>55</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50</v>
      </c>
      <c r="C30" s="39">
        <v>50000000</v>
      </c>
      <c r="D30" s="39">
        <v>25416127</v>
      </c>
      <c r="E30" s="40">
        <v>0.50832253999999999</v>
      </c>
      <c r="G30" s="11" t="s">
        <v>50</v>
      </c>
      <c r="H30" s="39">
        <v>150000000</v>
      </c>
      <c r="I30" s="39">
        <v>66534612</v>
      </c>
      <c r="J30" s="40">
        <v>0.44356408000000003</v>
      </c>
      <c r="L30" s="11" t="s">
        <v>45</v>
      </c>
      <c r="M30" s="40">
        <v>1.3710511142857142</v>
      </c>
      <c r="O30" s="11" t="s">
        <v>46</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46</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45</v>
      </c>
      <c r="AJ30" s="36" t="s">
        <v>46</v>
      </c>
      <c r="AK30" s="34">
        <v>8465809</v>
      </c>
    </row>
    <row r="31" spans="2:37" ht="16.5" x14ac:dyDescent="0.3">
      <c r="B31" s="11" t="s">
        <v>51</v>
      </c>
      <c r="C31" s="39">
        <v>60000000</v>
      </c>
      <c r="D31" s="39">
        <v>123167198</v>
      </c>
      <c r="E31" s="40">
        <v>2.0527866333333336</v>
      </c>
      <c r="G31" s="11" t="s">
        <v>51</v>
      </c>
      <c r="H31" s="39">
        <v>200000000</v>
      </c>
      <c r="I31" s="39">
        <v>217163027</v>
      </c>
      <c r="J31" s="40">
        <v>1.085815135</v>
      </c>
      <c r="L31" s="11" t="s">
        <v>56</v>
      </c>
      <c r="M31" s="40">
        <v>0.49993322800000001</v>
      </c>
      <c r="O31" s="11" t="s">
        <v>56</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46</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45</v>
      </c>
      <c r="AJ31" s="35" t="s">
        <v>46</v>
      </c>
      <c r="AK31" s="34">
        <v>15764316</v>
      </c>
    </row>
    <row r="32" spans="2:37" ht="16.5" x14ac:dyDescent="0.3">
      <c r="B32" s="11" t="s">
        <v>52</v>
      </c>
      <c r="C32" s="39">
        <v>70000000</v>
      </c>
      <c r="D32" s="39">
        <v>95973578</v>
      </c>
      <c r="E32" s="40">
        <v>1.3710511142857142</v>
      </c>
      <c r="G32" s="11" t="s">
        <v>52</v>
      </c>
      <c r="H32" s="39">
        <v>250000000</v>
      </c>
      <c r="I32" s="39">
        <v>124983307</v>
      </c>
      <c r="J32" s="40">
        <v>0.49993322800000001</v>
      </c>
      <c r="L32" s="11" t="s">
        <v>49</v>
      </c>
      <c r="M32" s="40">
        <v>1.8709843422857142</v>
      </c>
      <c r="O32" s="11" t="s">
        <v>49</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46</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45</v>
      </c>
      <c r="AJ32" s="35" t="s">
        <v>46</v>
      </c>
      <c r="AK32" s="34">
        <v>18136761</v>
      </c>
    </row>
    <row r="33" spans="2:37" ht="16.5" x14ac:dyDescent="0.3">
      <c r="B33" s="11" t="s">
        <v>49</v>
      </c>
      <c r="C33" s="39">
        <v>180000000</v>
      </c>
      <c r="D33" s="39">
        <v>244556903</v>
      </c>
      <c r="E33" s="40">
        <v>3.9321602876190478</v>
      </c>
      <c r="G33" s="11" t="s">
        <v>49</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45</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45</v>
      </c>
      <c r="AJ33" s="35" t="s">
        <v>46</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45</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47</v>
      </c>
      <c r="AJ34" s="35" t="s">
        <v>46</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45</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45</v>
      </c>
      <c r="AJ35" s="35" t="s">
        <v>46</v>
      </c>
      <c r="AK35" s="34">
        <v>9212925</v>
      </c>
    </row>
    <row r="36" spans="2:37" ht="16.5" x14ac:dyDescent="0.3">
      <c r="B36"/>
      <c r="C36"/>
      <c r="D36"/>
      <c r="G36"/>
      <c r="H36"/>
      <c r="I36"/>
      <c r="J36"/>
      <c r="L36"/>
      <c r="M36"/>
      <c r="O36"/>
      <c r="P36"/>
      <c r="AH36" s="31">
        <v>45790</v>
      </c>
      <c r="AI36" s="35" t="s">
        <v>47</v>
      </c>
      <c r="AJ36" s="35" t="s">
        <v>46</v>
      </c>
      <c r="AK36" s="34">
        <v>5561220</v>
      </c>
    </row>
    <row r="37" spans="2:37" ht="16.5" x14ac:dyDescent="0.3">
      <c r="B37"/>
      <c r="C37"/>
      <c r="D37"/>
      <c r="G37"/>
      <c r="H37"/>
      <c r="I37"/>
      <c r="J37"/>
      <c r="L37"/>
      <c r="M37"/>
      <c r="O37"/>
      <c r="P37"/>
      <c r="AH37" s="31">
        <v>45787</v>
      </c>
      <c r="AI37" s="35" t="s">
        <v>45</v>
      </c>
      <c r="AJ37" s="35" t="s">
        <v>46</v>
      </c>
      <c r="AK37" s="34">
        <v>13086268</v>
      </c>
    </row>
    <row r="38" spans="2:37" ht="16.5" x14ac:dyDescent="0.3">
      <c r="B38"/>
      <c r="C38"/>
      <c r="D38"/>
      <c r="G38"/>
      <c r="H38"/>
      <c r="I38"/>
      <c r="J38"/>
      <c r="L38"/>
      <c r="M38"/>
      <c r="O38"/>
      <c r="P38"/>
      <c r="AH38" s="31">
        <v>45782</v>
      </c>
      <c r="AI38" s="35" t="s">
        <v>45</v>
      </c>
      <c r="AJ38" s="35" t="s">
        <v>46</v>
      </c>
      <c r="AK38" s="34">
        <v>9166947</v>
      </c>
    </row>
    <row r="39" spans="2:37" ht="16.5" x14ac:dyDescent="0.3">
      <c r="B39"/>
      <c r="C39"/>
      <c r="D39"/>
      <c r="G39"/>
      <c r="H39"/>
      <c r="I39"/>
      <c r="J39"/>
      <c r="L39"/>
      <c r="M39"/>
      <c r="O39"/>
      <c r="P39"/>
      <c r="AH39" s="31">
        <v>45782</v>
      </c>
      <c r="AI39" s="35" t="s">
        <v>47</v>
      </c>
      <c r="AJ39" s="35" t="s">
        <v>46</v>
      </c>
      <c r="AK39" s="34">
        <v>17992381</v>
      </c>
    </row>
    <row r="40" spans="2:37" ht="16.5" x14ac:dyDescent="0.3">
      <c r="B40"/>
      <c r="C40"/>
      <c r="D40"/>
      <c r="G40"/>
      <c r="H40"/>
      <c r="I40"/>
      <c r="J40"/>
      <c r="L40"/>
      <c r="M40"/>
      <c r="O40"/>
      <c r="P40"/>
      <c r="AH40" s="31">
        <v>45780</v>
      </c>
      <c r="AI40" s="35" t="s">
        <v>45</v>
      </c>
      <c r="AJ40" s="35" t="s">
        <v>46</v>
      </c>
      <c r="AK40" s="34">
        <v>6799311</v>
      </c>
    </row>
    <row r="41" spans="2:37" ht="16.5" x14ac:dyDescent="0.3">
      <c r="B41"/>
      <c r="C41"/>
      <c r="D41"/>
      <c r="G41"/>
      <c r="H41"/>
      <c r="I41"/>
      <c r="J41"/>
      <c r="L41"/>
      <c r="M41"/>
      <c r="O41"/>
      <c r="P41"/>
      <c r="AH41" s="31">
        <v>45777</v>
      </c>
      <c r="AI41" s="35" t="s">
        <v>47</v>
      </c>
      <c r="AJ41" s="35" t="s">
        <v>46</v>
      </c>
      <c r="AK41" s="34">
        <v>19755707</v>
      </c>
    </row>
    <row r="42" spans="2:37" ht="16.5" x14ac:dyDescent="0.3">
      <c r="B42"/>
      <c r="C42"/>
      <c r="D42"/>
      <c r="G42"/>
      <c r="H42"/>
      <c r="I42"/>
      <c r="J42"/>
      <c r="L42"/>
      <c r="M42"/>
      <c r="O42"/>
      <c r="P42"/>
      <c r="AH42" s="31">
        <v>45773</v>
      </c>
      <c r="AI42" s="35" t="s">
        <v>45</v>
      </c>
      <c r="AJ42" s="35" t="s">
        <v>46</v>
      </c>
      <c r="AK42" s="34">
        <v>6868181</v>
      </c>
    </row>
    <row r="43" spans="2:37" ht="16.5" x14ac:dyDescent="0.3">
      <c r="B43"/>
      <c r="C43"/>
      <c r="D43"/>
      <c r="G43"/>
      <c r="H43"/>
      <c r="I43"/>
      <c r="J43"/>
      <c r="L43"/>
      <c r="M43"/>
      <c r="O43"/>
      <c r="P43"/>
      <c r="AH43" s="31">
        <v>45770</v>
      </c>
      <c r="AI43" s="35" t="s">
        <v>45</v>
      </c>
      <c r="AJ43" s="35" t="s">
        <v>46</v>
      </c>
      <c r="AK43" s="34">
        <v>11688398</v>
      </c>
    </row>
    <row r="44" spans="2:37" ht="16.5" x14ac:dyDescent="0.3">
      <c r="B44"/>
      <c r="C44"/>
      <c r="D44"/>
      <c r="G44"/>
      <c r="H44"/>
      <c r="I44"/>
      <c r="J44"/>
      <c r="L44"/>
      <c r="M44"/>
      <c r="O44"/>
      <c r="P44"/>
      <c r="AH44" s="31">
        <v>45769</v>
      </c>
      <c r="AI44" s="35" t="s">
        <v>45</v>
      </c>
      <c r="AJ44" s="35" t="s">
        <v>46</v>
      </c>
      <c r="AK44" s="34">
        <v>19891013</v>
      </c>
    </row>
    <row r="45" spans="2:37" ht="16.5" x14ac:dyDescent="0.3">
      <c r="B45"/>
      <c r="C45"/>
      <c r="D45"/>
      <c r="G45"/>
      <c r="H45"/>
      <c r="I45"/>
      <c r="J45"/>
      <c r="L45"/>
      <c r="M45"/>
      <c r="O45"/>
      <c r="P45"/>
      <c r="AH45" s="31">
        <v>45769</v>
      </c>
      <c r="AI45" s="35" t="s">
        <v>47</v>
      </c>
      <c r="AJ45" s="35" t="s">
        <v>46</v>
      </c>
      <c r="AK45" s="34">
        <v>12492312</v>
      </c>
    </row>
    <row r="46" spans="2:37" ht="16.5" x14ac:dyDescent="0.3">
      <c r="B46"/>
      <c r="C46"/>
      <c r="D46"/>
      <c r="G46"/>
      <c r="H46"/>
      <c r="I46"/>
      <c r="J46"/>
      <c r="L46"/>
      <c r="M46"/>
      <c r="O46"/>
      <c r="P46"/>
      <c r="AH46" s="31">
        <v>45768</v>
      </c>
      <c r="AI46" s="35" t="s">
        <v>45</v>
      </c>
      <c r="AJ46" s="35" t="s">
        <v>46</v>
      </c>
      <c r="AK46" s="34">
        <v>19274428</v>
      </c>
    </row>
    <row r="47" spans="2:37" ht="18" customHeight="1" x14ac:dyDescent="0.15">
      <c r="AH47" s="31">
        <v>45768</v>
      </c>
      <c r="AI47" s="35" t="s">
        <v>47</v>
      </c>
      <c r="AJ47" s="35" t="s">
        <v>46</v>
      </c>
      <c r="AK47" s="34">
        <v>14687570</v>
      </c>
    </row>
    <row r="48" spans="2:37" ht="18" customHeight="1" x14ac:dyDescent="0.15">
      <c r="AH48" s="31">
        <v>45764</v>
      </c>
      <c r="AI48" s="35" t="s">
        <v>45</v>
      </c>
      <c r="AJ48" s="35" t="s">
        <v>46</v>
      </c>
      <c r="AK48" s="34">
        <v>12117520</v>
      </c>
    </row>
    <row r="49" spans="34:37" ht="18" customHeight="1" x14ac:dyDescent="0.15">
      <c r="AH49" s="31">
        <v>45764</v>
      </c>
      <c r="AI49" s="35" t="s">
        <v>47</v>
      </c>
      <c r="AJ49" s="35" t="s">
        <v>46</v>
      </c>
      <c r="AK49" s="34">
        <v>11365169</v>
      </c>
    </row>
    <row r="50" spans="34:37" ht="18" customHeight="1" x14ac:dyDescent="0.15">
      <c r="AH50" s="31">
        <v>45763</v>
      </c>
      <c r="AI50" s="35" t="s">
        <v>45</v>
      </c>
      <c r="AJ50" s="35" t="s">
        <v>46</v>
      </c>
      <c r="AK50" s="34">
        <v>19473446</v>
      </c>
    </row>
    <row r="51" spans="34:37" ht="18" customHeight="1" x14ac:dyDescent="0.15">
      <c r="AH51" s="31">
        <v>45763</v>
      </c>
      <c r="AI51" s="35" t="s">
        <v>47</v>
      </c>
      <c r="AJ51" s="35" t="s">
        <v>46</v>
      </c>
      <c r="AK51" s="34">
        <v>9598388</v>
      </c>
    </row>
    <row r="52" spans="34:37" ht="18" customHeight="1" x14ac:dyDescent="0.15">
      <c r="AH52" s="31">
        <v>45759</v>
      </c>
      <c r="AI52" s="35" t="s">
        <v>47</v>
      </c>
      <c r="AJ52" s="35" t="s">
        <v>46</v>
      </c>
      <c r="AK52" s="34">
        <v>6123025</v>
      </c>
    </row>
    <row r="53" spans="34:37" ht="18" customHeight="1" x14ac:dyDescent="0.15">
      <c r="AH53" s="31">
        <v>45751</v>
      </c>
      <c r="AI53" s="35" t="s">
        <v>45</v>
      </c>
      <c r="AJ53" s="35" t="s">
        <v>46</v>
      </c>
      <c r="AK53" s="34">
        <v>14180034</v>
      </c>
    </row>
    <row r="54" spans="34:37" ht="18" customHeight="1" x14ac:dyDescent="0.15">
      <c r="AH54" s="31">
        <v>45751</v>
      </c>
      <c r="AI54" s="35" t="s">
        <v>47</v>
      </c>
      <c r="AJ54" s="35" t="s">
        <v>46</v>
      </c>
      <c r="AK54" s="34">
        <v>19973658</v>
      </c>
    </row>
    <row r="55" spans="34:37" ht="18" customHeight="1" x14ac:dyDescent="0.15">
      <c r="AH55" s="31">
        <v>45748</v>
      </c>
      <c r="AI55" s="35" t="s">
        <v>45</v>
      </c>
      <c r="AJ55" s="35" t="s">
        <v>46</v>
      </c>
      <c r="AK55" s="34">
        <v>10144248</v>
      </c>
    </row>
    <row r="56" spans="34:37" ht="18" customHeight="1" x14ac:dyDescent="0.15">
      <c r="AH56" s="31">
        <v>45748</v>
      </c>
      <c r="AI56" s="35" t="s">
        <v>45</v>
      </c>
      <c r="AJ56" s="35" t="s">
        <v>46</v>
      </c>
      <c r="AK56" s="34">
        <v>9529930</v>
      </c>
    </row>
    <row r="57" spans="34:37" ht="18" customHeight="1" x14ac:dyDescent="0.15">
      <c r="AH57" s="31">
        <v>45746</v>
      </c>
      <c r="AI57" s="35" t="s">
        <v>47</v>
      </c>
      <c r="AJ57" s="35" t="s">
        <v>46</v>
      </c>
      <c r="AK57" s="34">
        <v>19994916</v>
      </c>
    </row>
    <row r="58" spans="34:37" ht="18" customHeight="1" x14ac:dyDescent="0.15">
      <c r="AH58" s="31">
        <v>45745</v>
      </c>
      <c r="AI58" s="35" t="s">
        <v>45</v>
      </c>
      <c r="AJ58" s="35" t="s">
        <v>46</v>
      </c>
      <c r="AK58" s="34">
        <v>14075748</v>
      </c>
    </row>
    <row r="59" spans="34:37" ht="18" customHeight="1" x14ac:dyDescent="0.15">
      <c r="AH59" s="31">
        <v>45728</v>
      </c>
      <c r="AI59" s="35" t="s">
        <v>45</v>
      </c>
      <c r="AJ59" s="35" t="s">
        <v>46</v>
      </c>
      <c r="AK59" s="34">
        <v>11340379</v>
      </c>
    </row>
    <row r="60" spans="34:37" ht="18" customHeight="1" x14ac:dyDescent="0.15">
      <c r="AH60" s="31">
        <v>45723</v>
      </c>
      <c r="AI60" s="35" t="s">
        <v>47</v>
      </c>
      <c r="AJ60" s="35" t="s">
        <v>46</v>
      </c>
      <c r="AK60" s="34">
        <v>5540317</v>
      </c>
    </row>
    <row r="61" spans="34:37" ht="18" customHeight="1" x14ac:dyDescent="0.15">
      <c r="AH61" s="31">
        <v>45718</v>
      </c>
      <c r="AI61" s="35" t="s">
        <v>47</v>
      </c>
      <c r="AJ61" s="35" t="s">
        <v>46</v>
      </c>
      <c r="AK61" s="34">
        <v>15583252</v>
      </c>
    </row>
  </sheetData>
  <sheetProtection algorithmName="SHA-512" hashValue="GeBcLuY1+cxe0knBXlc/IIhkJMe/HNG6t73CdyzpeUvcKlygSetjFRzQ6Fho85DCIzNxJnaITcpMpydmatlv4w==" saltValue="IX4gAjZuMyea4DpxlB1JvA==" spinCount="100000" sheet="1" scenarios="1" formatCells="0"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�i   t �� � �� �t   � � �  l � � �  l �� �  t � � �� �i   t �� � �� �t   � � �  l � � �  l �� �  t � � 
</file>

<file path=customXml/item3.xml>�� �n   �u   t � �n   �u   t � �  �u   t � �i   h � �  �  �u   t � �   � �n   �u   t � �n   �u   t � �  �u   t � �i   h � �  �  �u   t � �   � 
</file>

<file path=customXml/item4.xml>��   
</file>

<file path=customXml/item5.xml>��   
</file>

<file path=customXml/item6.xml>�� �c   n  �c   n  
</file>

<file path=customXml/item7.xml>�� 
</file>

<file path=customXml/item8.xml>�� �  �  
</file>

<file path=customXml/item9.xml>��   
</file>

<file path=customXml/item10.xml>�� � � � � �  t �n   � �  t � � � � � � � � � � � �  t �n   � �  t � � � � � � � � � � � �  l �� � � � � � �  s u � � � � � � � � � �� �  l � � � �� �  l � � � �  l � �n   � � �n   s �  b � � �p     �  �  �  �  l ��  �  � � � � � �  t �n   � �  t � � � � � � � � � � � �  t �n   � �  t � � � � � � � � � � � �  l �� � � � � � �  s u � � � � � � � � � �� �  l � � � �� �  l � � � �  l � �n   � � �n   s �  b � � �p     �  �  �  �  l ��  �  � 
</file>

<file path=customXml/item11.xml>��   
</file>

<file path=customXml/item12.xml>�� � � �n   v � �  s u � �  l � � � � �n   v � �  s u � �  l � � 
</file>

<file path=customXml/item13.xml>��   
</file>

<file path=customXml/item14.xml>��   
</file>

<file path=customXml/item15.xml>�� 
</file>

<file path=customXml/item16.xml>��   
</file>

<file path=customXml/item17.xml>�� � � � �� �  l � � � � i �m   s �  d � � �n   c � � �p    � � � � i � �  d �  �  �  �  �  l ��  �  � �  l � � � � � � �� �  l � � � � i �m   s �  d � � �n   c � � �p    � � � � i � �  d �  �  �  �  �  l ��  �  � �  l � � � 
</file>

<file path=customXml/item18.xml>��   
</file>

<file path=customXml/item19.xml>��   
</file>

<file path=customXml/item20.xml>�� �  p h � �c   n  � �� � � �  p h � �c   n  � �� � � 
</file>

<file path=customXml/item21.xml>�� � � � � 
</file>

<file path=customXml/item22.xml>��   
</file>

<file path=customXml/item23.xml>�� � � � i � �  d � i �m   s �  d � �� �  l � � � � � �n   c � � � � � �  l � � � � �p     �  �  �  �  l ��  �  � 
</file>

<file path=customXml/itemProps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339EBD31-34FE-48FA-B11C-5697D02F64AC}">
  <ds:schemaRefs/>
</ds:datastoreItem>
</file>

<file path=customXml/itemProps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8.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0.xml><?xml version="1.0" encoding="utf-8"?>
<ds:datastoreItem xmlns:ds="http://schemas.openxmlformats.org/officeDocument/2006/customXml" ds:itemID="{2BF00A03-70FC-4137-967C-82A1B61F0E08}">
  <ds:schemaRefs/>
</ds:datastoreItem>
</file>

<file path=customXml/itemProps11.xml><?xml version="1.0" encoding="utf-8"?>
<ds:datastoreItem xmlns:ds="http://schemas.openxmlformats.org/officeDocument/2006/customXml" ds:itemID="{A849B9D7-188B-48DA-AB5B-54583621621D}">
  <ds:schemaRefs/>
</ds:datastoreItem>
</file>

<file path=customXml/itemProps12.xml><?xml version="1.0" encoding="utf-8"?>
<ds:datastoreItem xmlns:ds="http://schemas.openxmlformats.org/officeDocument/2006/customXml" ds:itemID="{19BA8129-97AB-4694-BBC1-89CB3D2043B0}">
  <ds:schemaRefs/>
</ds:datastoreItem>
</file>

<file path=customXml/itemProps13.xml><?xml version="1.0" encoding="utf-8"?>
<ds:datastoreItem xmlns:ds="http://schemas.openxmlformats.org/officeDocument/2006/customXml" ds:itemID="{15A5E9E7-8554-4C17-8FCE-88C5899190B5}">
  <ds:schemaRefs/>
</ds:datastoreItem>
</file>

<file path=customXml/itemProps14.xml><?xml version="1.0" encoding="utf-8"?>
<ds:datastoreItem xmlns:ds="http://schemas.openxmlformats.org/officeDocument/2006/customXml" ds:itemID="{104A6CAF-8CC0-4F12-8051-31E2340CC4C2}">
  <ds:schemaRefs/>
</ds:datastoreItem>
</file>

<file path=customXml/itemProps1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CCFAB5FF-26AB-4CB9-BA2C-5A121007B041}">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7D64D66F-1898-49BE-A788-6FA781CEE8F3}">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3.xml><?xml version="1.0" encoding="utf-8"?>
<ds:datastoreItem xmlns:ds="http://schemas.openxmlformats.org/officeDocument/2006/customXml" ds:itemID="{4F023B59-6671-4442-B15F-D8D1F04CE43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2025-06-10T04:00:40Z</dcterms:modified>
  <cp:category/>
  <cp:contentStatus/>
</cp:coreProperties>
</file>