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B9B5DF6E-5009-43E5-9054-A9E70E55FD05}"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tiêu hao" sheetId="58" r:id="rId3"/>
  </sheets>
  <functionGroups builtInGroupCount="19"/>
  <externalReferences>
    <externalReference r:id="rId4"/>
  </externalReferences>
  <definedNames>
    <definedName name="_xlcn.WorksheetConnection_06.EASYLK02.xlsmTable_HieuQuaSX_DinhMuc1" hidden="1">Table_HieuQuaSX_DinhMuc</definedName>
    <definedName name="_xlcn.WorksheetConnection_06.EASYLK02.xlsmTable_HieuQuaSX_KHTieuThu1" hidden="1">Table_HieuQuaSX_KHTieuThu</definedName>
    <definedName name="_xleta.IF" hidden="1" xlm="1">#NAME?</definedName>
    <definedName name="_xleta.N" hidden="1" xlm="1">#NAME?</definedName>
    <definedName name="_xleta.PHI" hidden="1" xlm="1">#NAME?</definedName>
    <definedName name="Ma_SKU">[1]!Table_SKU[Mã SKU]</definedName>
    <definedName name="MaChuongTrinh">[1]!Table_ChuongTrinh[Mã Chương trình]</definedName>
    <definedName name="MaDonBan">[1]!Table_DonBan[Mã Đơn bán]</definedName>
    <definedName name="MaDonMua">[1]!Table_DonMua[Mã Đơn mua]</definedName>
    <definedName name="MaKho">[1]!Table_Kho[Mã Kho]</definedName>
    <definedName name="MaNguyenLieu">[1]!Table_NguyenLieu[Mã Nguyên liệu]</definedName>
    <definedName name="MaVanDon">[1]!Table_VanDon[Mã Vận đơn]</definedName>
  </definedNames>
  <calcPr calcId="191029"/>
  <pivotCaches>
    <pivotCache cacheId="204"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KHTieuThu" name="Table_HieuQuaSX_KHTieuThu" connection="WorksheetConnection_06. EASY-LK02.xlsm!Table_HieuQuaSX_KHTieuThu"/>
          <x15:modelTable id="Table_HieuQuaSX_DinhMuc" name="Table_HieuQuaSX_DinhMuc" connection="WorksheetConnection_06. EASY-LK02.xlsm!Table_HieuQuaSX_DinhMuc"/>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42" i="58" l="1"/>
  <c r="Q42" i="58"/>
  <c r="N42" i="58"/>
  <c r="U41" i="58"/>
  <c r="Q41" i="58"/>
  <c r="N41" i="58"/>
  <c r="U40" i="58"/>
  <c r="N40" i="58"/>
  <c r="U39" i="58"/>
  <c r="Q39" i="58"/>
  <c r="N39" i="58"/>
  <c r="U38" i="58"/>
  <c r="Q38" i="58"/>
  <c r="N38" i="58"/>
  <c r="U37" i="58"/>
  <c r="Q37" i="58"/>
  <c r="N37" i="58"/>
  <c r="U36" i="58"/>
  <c r="N36" i="58"/>
  <c r="U35" i="58"/>
  <c r="N35" i="58"/>
  <c r="U34" i="58"/>
  <c r="N34" i="58"/>
  <c r="U33" i="58"/>
  <c r="N33" i="58"/>
  <c r="U32" i="58"/>
  <c r="Q32" i="58"/>
  <c r="N32" i="58"/>
  <c r="U31" i="58"/>
  <c r="Q31" i="58"/>
  <c r="N31" i="58"/>
  <c r="U30" i="58"/>
  <c r="Q30" i="58"/>
  <c r="N30" i="58"/>
  <c r="U29" i="58"/>
  <c r="N29" i="58"/>
  <c r="U28" i="58"/>
  <c r="Q28" i="58"/>
  <c r="N28" i="58"/>
  <c r="U27" i="58"/>
  <c r="N27" i="58"/>
  <c r="U26" i="58"/>
  <c r="N26" i="58"/>
  <c r="U25" i="58"/>
  <c r="Q25" i="58"/>
  <c r="N25" i="58"/>
  <c r="U24" i="58"/>
  <c r="Q24" i="58"/>
  <c r="N24" i="58"/>
  <c r="U23" i="58"/>
  <c r="Q23" i="58"/>
  <c r="N23" i="58"/>
  <c r="Q29" i="58" l="1"/>
  <c r="Q36" i="58"/>
  <c r="Q26" i="58"/>
  <c r="Q35" i="58"/>
  <c r="Q40" i="58"/>
  <c r="Q34" i="58"/>
  <c r="Q33" i="58"/>
  <c r="Q27" i="5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1"/>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1"/>
        </x15:connection>
      </ext>
    </extLst>
  </connection>
</connections>
</file>

<file path=xl/sharedStrings.xml><?xml version="1.0" encoding="utf-8"?>
<sst xmlns="http://schemas.openxmlformats.org/spreadsheetml/2006/main" count="121" uniqueCount="66">
  <si>
    <t>Bên A</t>
  </si>
  <si>
    <t>Công ty TNHH Tư vấn Quản trị FIRM</t>
  </si>
  <si>
    <t>[Địa chỉ]</t>
  </si>
  <si>
    <t>[Mã số thuế]</t>
  </si>
  <si>
    <t>[SĐT - Fax]</t>
  </si>
  <si>
    <t>[Website - Page]</t>
  </si>
  <si>
    <t>[STK - Ngân hàng]</t>
  </si>
  <si>
    <t>Bên B</t>
  </si>
  <si>
    <t>Công ty ABC XYZ</t>
  </si>
  <si>
    <t>ID</t>
  </si>
  <si>
    <t>License</t>
  </si>
  <si>
    <t>Đơn giá</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</si>
  <si>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</si>
  <si>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</si>
  <si>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</si>
  <si>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</si>
  <si>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</si>
  <si>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</si>
  <si>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</si>
  <si>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</si>
  <si>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</si>
  <si>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</si>
  <si>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</si>
  <si>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</si>
  <si>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</si>
  <si>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</si>
  <si>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</si>
  <si>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</si>
  <si>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</si>
  <si>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</si>
  <si>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Row Labels</t>
  </si>
  <si>
    <t>Grand Total</t>
  </si>
  <si>
    <t>NL1</t>
  </si>
  <si>
    <t>NL2</t>
  </si>
  <si>
    <t>4C68A711-89BE-412A-BD2D-CB33771CC62D</t>
  </si>
  <si>
    <t>EASY-33329183463</t>
  </si>
  <si>
    <t>Red</t>
  </si>
  <si>
    <t>Green</t>
  </si>
  <si>
    <t>Blue</t>
  </si>
  <si>
    <t>Gray</t>
  </si>
  <si>
    <t>Brown</t>
  </si>
  <si>
    <t>PIybEyHvvhO7Rf2wifv7O0bHv5bzw64DdDUJ</t>
  </si>
  <si>
    <t>Mã SKU</t>
  </si>
  <si>
    <t>Mã Nguyên liệu</t>
  </si>
  <si>
    <t>Đối tượng</t>
  </si>
  <si>
    <t>Ngày xuất nhập</t>
  </si>
  <si>
    <t>Ngày lên đơn</t>
  </si>
  <si>
    <t>Ngày ship mua</t>
  </si>
  <si>
    <t>Số lượng</t>
  </si>
  <si>
    <t>Nhà cung cấp</t>
  </si>
  <si>
    <t>Giá nhập</t>
  </si>
  <si>
    <t>Giá trị hàng nhập</t>
  </si>
  <si>
    <t>HH1</t>
  </si>
  <si>
    <t>NCC1</t>
  </si>
  <si>
    <t>NCC2</t>
  </si>
  <si>
    <t>NCC3</t>
  </si>
  <si>
    <t>Mar</t>
  </si>
  <si>
    <t>Apr</t>
  </si>
  <si>
    <t>May</t>
  </si>
  <si>
    <t>(All)</t>
  </si>
  <si>
    <t>Tháng</t>
  </si>
  <si>
    <t>Người bán</t>
  </si>
  <si>
    <t>Giá trị nhập mua</t>
  </si>
  <si>
    <t>Hàng</t>
  </si>
  <si>
    <t>Ngày ship</t>
  </si>
  <si>
    <t>LK04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</si>
</sst>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1010000]d/m/yyyy;@"/>
    <numFmt numFmtId="166" formatCode="_(#,##0_);_(\(#,##0\);_(\-_);_(@_)"/>
    <numFmt numFmtId="167" formatCode="d/m/yyyy"/>
    <numFmt numFmtId="169" formatCode="[&lt;-1000]\-#,##0.0,,&quot;tr&quot;;[&lt;1000]#,##0;#,##0.0,,&quot;tr&quot;"/>
    <numFmt numFmtId="170" formatCode="0.0"/>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
      <sz val="8"/>
      <color theme="0"/>
      <name val="Segoe UI Light"/>
      <family val="2"/>
      <scheme val="minor"/>
    </font>
    <font>
      <sz val="8"/>
      <color rgb="FF000000"/>
      <name val="Segoe UI Light"/>
      <family val="2"/>
    </font>
    <font>
      <sz val="8"/>
      <color theme="9"/>
      <name val="Segoe UI Light"/>
      <family val="2"/>
    </font>
    <font>
      <sz val="8"/>
      <name val="Segoe UI Light"/>
      <family val="2"/>
    </font>
  </fonts>
  <fills count="2">
    <fill>
      <patternFill patternType="none"/>
    </fill>
    <fill>
      <patternFill patternType="gray125"/>
    </fill>
  </fills>
  <borders count="3">
    <border>
      <left/>
      <right/>
      <top/>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3">
    <xf numFmtId="0" fontId="0" fillId="0" borderId="0" xfId="0"/>
    <xf numFmtId="0" fontId="5"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xf>
    <xf numFmtId="0" fontId="7" fillId="0" borderId="1" xfId="0" applyFont="1" applyBorder="1" applyAlignment="1" applyProtection="1">
      <alignment vertical="center"/>
      <protection locked="0" hidden="1"/>
    </xf>
    <xf numFmtId="0" fontId="15" fillId="0" borderId="0" xfId="0" applyFont="1" applyAlignment="1" applyProtection="1">
      <alignment vertical="center"/>
      <protection locked="0" hidden="1"/>
    </xf>
    <xf numFmtId="0" fontId="16" fillId="0" borderId="1" xfId="0" applyFont="1" applyBorder="1" applyAlignment="1" applyProtection="1">
      <alignment vertical="center"/>
      <protection locked="0" hidden="1"/>
    </xf>
    <xf numFmtId="0" fontId="17" fillId="0" borderId="1" xfId="0" applyFont="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0" fontId="18" fillId="0" borderId="1" xfId="1" applyNumberFormat="1" applyFont="1" applyFill="1" applyBorder="1" applyAlignment="1" applyProtection="1">
      <alignment vertical="center"/>
      <protection locked="0" hidden="1"/>
    </xf>
    <xf numFmtId="0" fontId="16" fillId="0" borderId="1" xfId="1" applyNumberFormat="1" applyFont="1" applyFill="1" applyBorder="1" applyAlignment="1" applyProtection="1">
      <alignment vertical="center"/>
      <protection locked="0" hidden="1"/>
    </xf>
    <xf numFmtId="0" fontId="17" fillId="0" borderId="1" xfId="1" applyNumberFormat="1" applyFont="1" applyFill="1" applyBorder="1" applyAlignment="1" applyProtection="1">
      <alignment vertical="center"/>
      <protection locked="0" hidden="1"/>
    </xf>
    <xf numFmtId="0" fontId="7" fillId="0" borderId="0" xfId="0" applyFont="1" applyProtection="1">
      <protection locked="0" hidden="1"/>
    </xf>
    <xf numFmtId="0" fontId="18" fillId="0" borderId="2" xfId="1" applyNumberFormat="1" applyFont="1" applyFill="1" applyBorder="1" applyAlignment="1" applyProtection="1">
      <alignment vertical="center"/>
      <protection locked="0" hidden="1"/>
    </xf>
    <xf numFmtId="0" fontId="16" fillId="0" borderId="2" xfId="0" applyFont="1" applyBorder="1" applyAlignment="1" applyProtection="1">
      <alignment vertical="center"/>
      <protection locked="0" hidden="1"/>
    </xf>
    <xf numFmtId="0" fontId="16" fillId="0" borderId="2" xfId="1" applyNumberFormat="1" applyFont="1" applyFill="1" applyBorder="1" applyAlignment="1" applyProtection="1">
      <alignment vertical="center"/>
      <protection locked="0" hidden="1"/>
    </xf>
    <xf numFmtId="0" fontId="18" fillId="0" borderId="1" xfId="0" applyFont="1" applyBorder="1" applyAlignment="1" applyProtection="1">
      <alignment vertical="center"/>
      <protection locked="0" hidden="1"/>
    </xf>
    <xf numFmtId="169" fontId="0" fillId="0" borderId="0" xfId="0" applyNumberFormat="1"/>
    <xf numFmtId="170" fontId="0" fillId="0" borderId="0" xfId="0" applyNumberFormat="1"/>
  </cellXfs>
  <cellStyles count="2">
    <cellStyle name="Comma" xfId="1" builtinId="3"/>
    <cellStyle name="Normal" xfId="0" builtinId="0"/>
  </cellStyles>
  <dxfs count="21">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auto="1"/>
        <name val="Segoe UI Light"/>
        <family val="2"/>
        <scheme val="none"/>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7"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0"/>
      <tableStyleElement type="headerRow" dxfId="19"/>
    </tableStyle>
    <tableStyle name="SlicerStyleLight1 2 2" pivot="0" table="0" count="10" xr9:uid="{9DB8D611-4D15-4128-AF8D-E3329BCC5BCE}">
      <tableStyleElement type="wholeTable" dxfId="18"/>
      <tableStyleElement type="headerRow" dxfId="17"/>
    </tableStyle>
    <tableStyle name="TimeSlicerStyleLight1 2" pivot="0" table="0" count="9" xr9:uid="{58382D9D-B456-41C4-B229-09D2A872184E}">
      <tableStyleElement type="wholeTable" dxfId="16"/>
      <tableStyleElement type="headerRow" dxfId="1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 Type="http://schemas.openxmlformats.org/officeDocument/2006/relationships/pivotCacheDefinition" Target="pivotCache/pivotCacheDefinition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10" Type="http://schemas.openxmlformats.org/officeDocument/2006/relationships/powerPivotData" Target="model/item.data"/><Relationship Id="rId19" Type="http://schemas.openxmlformats.org/officeDocument/2006/relationships/customXml" Target="../customXml/item8.xml"/><Relationship Id="rId31" Type="http://schemas.openxmlformats.org/officeDocument/2006/relationships/customXml" Target="../customXml/item20.xml"/><Relationship Id="rId44" Type="http://schemas.openxmlformats.org/officeDocument/2006/relationships/customXml" Target="../customXml/item33.xml"/><Relationship Id="rId4" Type="http://schemas.openxmlformats.org/officeDocument/2006/relationships/externalLink" Target="externalLinks/externalLink1.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8" Type="http://schemas.openxmlformats.org/officeDocument/2006/relationships/styles" Target="styles.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20" Type="http://schemas.openxmlformats.org/officeDocument/2006/relationships/customXml" Target="../customXml/item9.xml"/><Relationship Id="rId41"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[15. EASY-LK04 - So sánh nguồn hàng.xlsm]Kế hoạch tiêu hao!PivotTable10</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'Kế hoạch tiêu hao'!$C$22</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hao'!$B$23:$B$26</c:f>
              <c:strCache>
                <c:ptCount val="3"/>
                <c:pt idx="0">
                  <c:v>HH1</c:v>
                </c:pt>
                <c:pt idx="1">
                  <c:v>NL1</c:v>
                </c:pt>
                <c:pt idx="2">
                  <c:v>NL2</c:v>
                </c:pt>
              </c:strCache>
            </c:strRef>
          </c:cat>
          <c:val>
            <c:numRef>
              <c:f>'Kế hoạch tiêu hao'!$C$23:$C$26</c:f>
              <c:numCache>
                <c:formatCode>[&lt;-1000]\-#,##0.0,,"tr";[&lt;1000]#,##0;#,##0.0,,"tr"</c:formatCode>
                <c:ptCount val="3"/>
                <c:pt idx="0">
                  <c:v>23096559</c:v>
                </c:pt>
                <c:pt idx="1">
                  <c:v>39699855</c:v>
                </c:pt>
                <c:pt idx="2">
                  <c:v>44003929</c:v>
                </c:pt>
              </c:numCache>
            </c:numRef>
          </c:val>
          <c:extLst>
            <c:ext xmlns:c16="http://schemas.microsoft.com/office/drawing/2014/chart" uri="{C3380CC4-5D6E-409C-BE32-E72D297353CC}">
              <c16:uniqueId val="{00000000-3F3D-4393-9A5F-3EC7B8BD27F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[15. EASY-LK04 - So sánh nguồn hàng.xlsm]Kế hoạch tiêu hao!PivotTable12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'Kế hoạch tiêu hao'!$F$22</c:f>
              <c:strCache>
                <c:ptCount val="1"/>
                <c:pt idx="0">
                  <c:v>Total</c:v>
                </c:pt>
              </c:strCache>
            </c:strRef>
          </c:tx>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hao'!$E$23:$E$26</c:f>
              <c:strCache>
                <c:ptCount val="3"/>
                <c:pt idx="0">
                  <c:v>Mar</c:v>
                </c:pt>
                <c:pt idx="1">
                  <c:v>Apr</c:v>
                </c:pt>
                <c:pt idx="2">
                  <c:v>May</c:v>
                </c:pt>
              </c:strCache>
            </c:strRef>
          </c:cat>
          <c:val>
            <c:numRef>
              <c:f>'Kế hoạch tiêu hao'!$F$23:$F$26</c:f>
              <c:numCache>
                <c:formatCode>[&lt;-1000]\-#,##0.0,,"tr";[&lt;1000]#,##0;#,##0.0,,"tr"</c:formatCode>
                <c:ptCount val="3"/>
                <c:pt idx="0">
                  <c:v>79228308</c:v>
                </c:pt>
                <c:pt idx="1">
                  <c:v>6935065</c:v>
                </c:pt>
                <c:pt idx="2">
                  <c:v>20636970</c:v>
                </c:pt>
              </c:numCache>
            </c:numRef>
          </c:val>
          <c:extLst>
            <c:ext xmlns:c16="http://schemas.microsoft.com/office/drawing/2014/chart" uri="{C3380CC4-5D6E-409C-BE32-E72D297353CC}">
              <c16:uniqueId val="{00000000-0269-4D58-9D46-52450098F054}"/>
            </c:ext>
          </c:extLst>
        </c:ser>
        <c:dLbls>
          <c:showLegendKey val="0"/>
          <c:showVal val="0"/>
          <c:showCatName val="0"/>
          <c:showSerName val="0"/>
          <c:showPercent val="0"/>
          <c:showBubbleSize val="0"/>
        </c:dLbls>
        <c:axId val="377717407"/>
        <c:axId val="377717887"/>
      </c:areaChart>
      <c:catAx>
        <c:axId val="37771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17887"/>
        <c:crosses val="autoZero"/>
        <c:auto val="1"/>
        <c:lblAlgn val="ctr"/>
        <c:lblOffset val="100"/>
        <c:noMultiLvlLbl val="0"/>
      </c:catAx>
      <c:valAx>
        <c:axId val="377717887"/>
        <c:scaling>
          <c:orientation val="minMax"/>
        </c:scaling>
        <c:delete val="1"/>
        <c:axPos val="l"/>
        <c:numFmt formatCode="[&lt;-1000]\-#,##0.0,,&quot;tr&quot;;[&lt;1000]#,##0;#,##0.0,,&quot;tr&quot;" sourceLinked="1"/>
        <c:majorTickMark val="none"/>
        <c:minorTickMark val="none"/>
        <c:tickLblPos val="nextTo"/>
        <c:crossAx val="3777174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[15. EASY-LK04 - So sánh nguồn hàng.xlsm]Kế hoạch tiêu hao!PivotTable13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744814814814821E-2"/>
          <c:y val="0.12808661616161618"/>
          <c:w val="0.85977481481481477"/>
          <c:h val="0.72848434343434343"/>
        </c:manualLayout>
      </c:layout>
      <c:barChart>
        <c:barDir val="col"/>
        <c:grouping val="clustered"/>
        <c:varyColors val="0"/>
        <c:ser>
          <c:idx val="0"/>
          <c:order val="0"/>
          <c:tx>
            <c:strRef>
              <c:f>'Kế hoạch tiêu hao'!$I$22</c:f>
              <c:strCache>
                <c:ptCount val="1"/>
                <c:pt idx="0">
                  <c:v>Đơn giá</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hao'!$H$23:$H$26</c:f>
              <c:strCache>
                <c:ptCount val="3"/>
                <c:pt idx="0">
                  <c:v>NCC1</c:v>
                </c:pt>
                <c:pt idx="1">
                  <c:v>NCC2</c:v>
                </c:pt>
                <c:pt idx="2">
                  <c:v>NCC3</c:v>
                </c:pt>
              </c:strCache>
            </c:strRef>
          </c:cat>
          <c:val>
            <c:numRef>
              <c:f>'Kế hoạch tiêu hao'!$I$23:$I$26</c:f>
              <c:numCache>
                <c:formatCode>_(* #,##0_);_(* \(#,##0\);_(* "-"??_);_(@_)</c:formatCode>
                <c:ptCount val="3"/>
                <c:pt idx="0">
                  <c:v>100154.125</c:v>
                </c:pt>
                <c:pt idx="1">
                  <c:v>118616</c:v>
                </c:pt>
                <c:pt idx="2">
                  <c:v>80204.333333333328</c:v>
                </c:pt>
              </c:numCache>
            </c:numRef>
          </c:val>
          <c:extLst>
            <c:ext xmlns:c16="http://schemas.microsoft.com/office/drawing/2014/chart" uri="{C3380CC4-5D6E-409C-BE32-E72D297353CC}">
              <c16:uniqueId val="{00000000-EC4F-44C7-BDAA-F80A186E5337}"/>
            </c:ext>
          </c:extLst>
        </c:ser>
        <c:dLbls>
          <c:showLegendKey val="0"/>
          <c:showVal val="0"/>
          <c:showCatName val="0"/>
          <c:showSerName val="0"/>
          <c:showPercent val="0"/>
          <c:showBubbleSize val="0"/>
        </c:dLbls>
        <c:gapWidth val="219"/>
        <c:axId val="377764927"/>
        <c:axId val="377771167"/>
      </c:barChart>
      <c:lineChart>
        <c:grouping val="standard"/>
        <c:varyColors val="0"/>
        <c:ser>
          <c:idx val="1"/>
          <c:order val="1"/>
          <c:tx>
            <c:strRef>
              <c:f>'Kế hoạch tiêu hao'!$J$22</c:f>
              <c:strCache>
                <c:ptCount val="1"/>
                <c:pt idx="0">
                  <c:v>Ngày ship</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hao'!$H$23:$H$26</c:f>
              <c:strCache>
                <c:ptCount val="3"/>
                <c:pt idx="0">
                  <c:v>NCC1</c:v>
                </c:pt>
                <c:pt idx="1">
                  <c:v>NCC2</c:v>
                </c:pt>
                <c:pt idx="2">
                  <c:v>NCC3</c:v>
                </c:pt>
              </c:strCache>
            </c:strRef>
          </c:cat>
          <c:val>
            <c:numRef>
              <c:f>'Kế hoạch tiêu hao'!$J$23:$J$26</c:f>
              <c:numCache>
                <c:formatCode>0.0</c:formatCode>
                <c:ptCount val="3"/>
                <c:pt idx="0">
                  <c:v>0.625</c:v>
                </c:pt>
                <c:pt idx="1">
                  <c:v>1.6666666666666667</c:v>
                </c:pt>
                <c:pt idx="2">
                  <c:v>1.6666666666666667</c:v>
                </c:pt>
              </c:numCache>
            </c:numRef>
          </c:val>
          <c:smooth val="0"/>
          <c:extLst>
            <c:ext xmlns:c16="http://schemas.microsoft.com/office/drawing/2014/chart" uri="{C3380CC4-5D6E-409C-BE32-E72D297353CC}">
              <c16:uniqueId val="{00000002-EC4F-44C7-BDAA-F80A186E5337}"/>
            </c:ext>
          </c:extLst>
        </c:ser>
        <c:dLbls>
          <c:showLegendKey val="0"/>
          <c:showVal val="0"/>
          <c:showCatName val="0"/>
          <c:showSerName val="0"/>
          <c:showPercent val="0"/>
          <c:showBubbleSize val="0"/>
        </c:dLbls>
        <c:marker val="1"/>
        <c:smooth val="0"/>
        <c:axId val="377799967"/>
        <c:axId val="377803327"/>
      </c:lineChart>
      <c:catAx>
        <c:axId val="37776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771167"/>
        <c:crosses val="autoZero"/>
        <c:auto val="1"/>
        <c:lblAlgn val="ctr"/>
        <c:lblOffset val="100"/>
        <c:noMultiLvlLbl val="0"/>
      </c:catAx>
      <c:valAx>
        <c:axId val="37777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377764927"/>
        <c:crosses val="autoZero"/>
        <c:crossBetween val="between"/>
      </c:valAx>
      <c:valAx>
        <c:axId val="377803327"/>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377799967"/>
        <c:crosses val="max"/>
        <c:crossBetween val="between"/>
      </c:valAx>
      <c:catAx>
        <c:axId val="377799967"/>
        <c:scaling>
          <c:orientation val="minMax"/>
        </c:scaling>
        <c:delete val="1"/>
        <c:axPos val="b"/>
        <c:numFmt formatCode="General" sourceLinked="1"/>
        <c:majorTickMark val="out"/>
        <c:minorTickMark val="none"/>
        <c:tickLblPos val="nextTo"/>
        <c:crossAx val="377803327"/>
        <c:auto val="1"/>
        <c:lblAlgn val="ctr"/>
        <c:lblOffset val="100"/>
        <c:noMultiLvlLbl val="0"/>
      </c:catAx>
      <c:spPr>
        <a:noFill/>
        <a:ln>
          <a:noFill/>
        </a:ln>
        <a:effectLst/>
      </c:spPr>
    </c:plotArea>
    <c:legend>
      <c:legendPos val="t"/>
      <c:layout>
        <c:manualLayout>
          <c:xMode val="edge"/>
          <c:yMode val="edge"/>
          <c:x val="0.33960814814814816"/>
          <c:y val="2.1035353535353535E-2"/>
          <c:w val="0.32548740740740739"/>
          <c:h val="0.103844191919191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38100</xdr:colOff>
          <xdr:row>0</xdr:row>
          <xdr:rowOff>104775</xdr:rowOff>
        </xdr:from>
        <xdr:to>
          <xdr:col>19</xdr:col>
          <xdr:colOff>495300</xdr:colOff>
          <xdr:row>1</xdr:row>
          <xdr:rowOff>133350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4524375" y="10477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66673</xdr:colOff>
          <xdr:row>0</xdr:row>
          <xdr:rowOff>85725</xdr:rowOff>
        </xdr:from>
        <xdr:to>
          <xdr:col>17</xdr:col>
          <xdr:colOff>390526</xdr:colOff>
          <xdr:row>1</xdr:row>
          <xdr:rowOff>219075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257173" y="85725"/>
              <a:ext cx="3667128" cy="361950"/>
              <a:chOff x="6162673" y="3409950"/>
              <a:chExt cx="3695702"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8" cy="361950"/>
                <a:chOff x="8191507" y="3409950"/>
                <a:chExt cx="1990718"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8" cy="276225"/>
                  <a:chOff x="8305812" y="3457575"/>
                  <a:chExt cx="1769678"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1" cy="180000"/>
                  <a:chOff x="6029325" y="4257675"/>
                  <a:chExt cx="1495411"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171450</xdr:colOff>
          <xdr:row>0</xdr:row>
          <xdr:rowOff>76200</xdr:rowOff>
        </xdr:from>
        <xdr:to>
          <xdr:col>22</xdr:col>
          <xdr:colOff>133350</xdr:colOff>
          <xdr:row>1</xdr:row>
          <xdr:rowOff>104775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11</xdr:col>
      <xdr:colOff>28575</xdr:colOff>
      <xdr:row>2</xdr:row>
      <xdr:rowOff>104775</xdr:rowOff>
    </xdr:from>
    <xdr:to>
      <xdr:col>17</xdr:col>
      <xdr:colOff>285300</xdr:colOff>
      <xdr:row>20</xdr:row>
      <xdr:rowOff>7125</xdr:rowOff>
    </xdr:to>
    <xdr:graphicFrame macro="">
      <xdr:nvGraphicFramePr>
        <xdr:cNvPr id="2" name="Chart 1">
          <a:extLst>
            <a:ext uri="{FF2B5EF4-FFF2-40B4-BE49-F238E27FC236}">
              <a16:creationId xmlns:a16="http://schemas.microsoft.com/office/drawing/2014/main" id="{11A07A9F-8082-B4E5-D08C-A6E34F5118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414337</xdr:colOff>
      <xdr:row>2</xdr:row>
      <xdr:rowOff>104775</xdr:rowOff>
    </xdr:from>
    <xdr:to>
      <xdr:col>24</xdr:col>
      <xdr:colOff>680362</xdr:colOff>
      <xdr:row>20</xdr:row>
      <xdr:rowOff>7125</xdr:rowOff>
    </xdr:to>
    <xdr:graphicFrame macro="">
      <xdr:nvGraphicFramePr>
        <xdr:cNvPr id="7" name="Chart 6">
          <a:extLst>
            <a:ext uri="{FF2B5EF4-FFF2-40B4-BE49-F238E27FC236}">
              <a16:creationId xmlns:a16="http://schemas.microsoft.com/office/drawing/2014/main" id="{66FCEC03-743B-B615-AF13-141ACD7AB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76200</xdr:colOff>
      <xdr:row>2</xdr:row>
      <xdr:rowOff>104775</xdr:rowOff>
    </xdr:from>
    <xdr:to>
      <xdr:col>32</xdr:col>
      <xdr:colOff>675600</xdr:colOff>
      <xdr:row>20</xdr:row>
      <xdr:rowOff>7125</xdr:rowOff>
    </xdr:to>
    <xdr:graphicFrame macro="">
      <xdr:nvGraphicFramePr>
        <xdr:cNvPr id="9" name="Chart 8">
          <a:extLst>
            <a:ext uri="{FF2B5EF4-FFF2-40B4-BE49-F238E27FC236}">
              <a16:creationId xmlns:a16="http://schemas.microsoft.com/office/drawing/2014/main" id="{55F5AF21-02C4-F5CF-6CB2-E323808C2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NguonHang"/>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450303819445" createdVersion="8" refreshedVersion="8" minRefreshableVersion="3" recordCount="20" xr:uid="{2C70BD33-3ED9-4B34-B70D-8AB608D2B147}">
  <cacheSource type="worksheet">
    <worksheetSource name="Table_Main"/>
  </cacheSource>
  <cacheFields count="14">
    <cacheField name="Mã SKU" numFmtId="0">
      <sharedItems containsBlank="1"/>
    </cacheField>
    <cacheField name="Mã Nguyên liệu" numFmtId="0">
      <sharedItems containsBlank="1"/>
    </cacheField>
    <cacheField name="Đối tượng" numFmtId="0">
      <sharedItems count="3">
        <s v="NL2"/>
        <s v="HH1"/>
        <s v="NL1"/>
      </sharedItems>
    </cacheField>
    <cacheField name="Ngày xuất nhập" numFmtId="167">
      <sharedItems containsSemiMixedTypes="0" containsNonDate="0" containsDate="1" containsString="0" minDate="2025-03-06T00:00:00" maxDate="2025-05-31T00:00:00" count="15">
        <d v="2025-05-30T00:00:00"/>
        <d v="2025-05-28T00:00:00"/>
        <d v="2025-05-25T00:00:00"/>
        <d v="2025-05-22T00:00:00"/>
        <d v="2025-05-12T00:00:00"/>
        <d v="2025-05-07T00:00:00"/>
        <d v="2025-05-02T00:00:00"/>
        <d v="2025-04-28T00:00:00"/>
        <d v="2025-04-22T00:00:00"/>
        <d v="2025-04-18T00:00:00"/>
        <d v="2025-03-30T00:00:00"/>
        <d v="2025-03-21T00:00:00"/>
        <d v="2025-03-16T00:00:00"/>
        <d v="2025-03-15T00:00:00"/>
        <d v="2025-03-06T00:00:00"/>
      </sharedItems>
      <fieldGroup par="13"/>
    </cacheField>
    <cacheField name="Ngày lên đơn" numFmtId="167">
      <sharedItems containsSemiMixedTypes="0" containsNonDate="0" containsDate="1" containsString="0" minDate="2025-03-04T00:00:00" maxDate="2025-05-29T00:00:00" count="19">
        <d v="2025-05-28T00:00:00"/>
        <d v="2025-05-27T00:00:00"/>
        <d v="2025-05-25T00:00:00"/>
        <d v="2025-05-23T00:00:00"/>
        <d v="2025-05-20T00:00:00"/>
        <d v="2025-05-11T00:00:00"/>
        <d v="2025-05-05T00:00:00"/>
        <d v="2025-05-01T00:00:00"/>
        <d v="2025-04-28T00:00:00"/>
        <d v="2025-04-25T00:00:00"/>
        <d v="2025-04-20T00:00:00"/>
        <d v="2025-04-17T00:00:00"/>
        <d v="2025-03-28T00:00:00"/>
        <d v="2025-03-21T00:00:00"/>
        <d v="2025-03-16T00:00:00"/>
        <d v="2025-03-14T00:00:00"/>
        <d v="2025-03-12T00:00:00"/>
        <d v="2025-03-06T00:00:00"/>
        <d v="2025-03-04T00:00:00"/>
      </sharedItems>
      <fieldGroup par="11"/>
    </cacheField>
    <cacheField name="Ngày ship mua" numFmtId="0">
      <sharedItems containsSemiMixedTypes="0" containsString="0" containsNumber="1" containsInteger="1" minValue="0" maxValue="3"/>
    </cacheField>
    <cacheField name="Nhà cung cấp" numFmtId="0">
      <sharedItems count="3">
        <s v="NCC1"/>
        <s v="NCC2"/>
        <s v="NCC3"/>
      </sharedItems>
    </cacheField>
    <cacheField name="Số lượng" numFmtId="164">
      <sharedItems containsSemiMixedTypes="0" containsString="0" containsNumber="1" containsInteger="1" minValue="4" maxValue="300"/>
    </cacheField>
    <cacheField name="Giá nhập" numFmtId="164">
      <sharedItems containsSemiMixedTypes="0" containsString="0" containsNumber="1" containsInteger="1" minValue="56213" maxValue="150000"/>
    </cacheField>
    <cacheField name="Giá trị hàng nhập" numFmtId="164">
      <sharedItems containsSemiMixedTypes="0" containsString="0" containsNumber="1" containsInteger="1" minValue="540624" maxValue="30000000"/>
    </cacheField>
    <cacheField name="Days (Ngày lên đơn)" numFmtId="0" databaseField="0">
      <fieldGroup base="4">
        <rangePr groupBy="days" startDate="2025-03-04T00:00:00" endDate="2025-05-29T00:00:00"/>
        <groupItems count="368">
          <s v="&lt;04-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05-25"/>
        </groupItems>
      </fieldGroup>
    </cacheField>
    <cacheField name="Months (Ngày lên đơn)" numFmtId="0" databaseField="0">
      <fieldGroup base="4">
        <rangePr groupBy="months" startDate="2025-03-04T00:00:00" endDate="2025-05-29T00:00:00"/>
        <groupItems count="14">
          <s v="&lt;04-03-25"/>
          <s v="Jan"/>
          <s v="Feb"/>
          <s v="Mar"/>
          <s v="Apr"/>
          <s v="May"/>
          <s v="Jun"/>
          <s v="Jul"/>
          <s v="Aug"/>
          <s v="Sep"/>
          <s v="Oct"/>
          <s v="Nov"/>
          <s v="Dec"/>
          <s v="&gt;29-05-25"/>
        </groupItems>
      </fieldGroup>
    </cacheField>
    <cacheField name="Days (Ngày xuất nhập)" numFmtId="0" databaseField="0">
      <fieldGroup base="3">
        <rangePr groupBy="days" startDate="2025-03-06T00:00:00" endDate="2025-05-3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05-25"/>
        </groupItems>
      </fieldGroup>
    </cacheField>
    <cacheField name="Months (Ngày xuất nhập)" numFmtId="0" databaseField="0">
      <fieldGroup base="3">
        <rangePr groupBy="months" startDate="2025-03-06T00:00:00" endDate="2025-05-31T00:00:00"/>
        <groupItems count="14">
          <s v="&lt;06-03-25"/>
          <s v="Jan"/>
          <s v="Feb"/>
          <s v="Mar"/>
          <s v="Apr"/>
          <s v="May"/>
          <s v="Jun"/>
          <s v="Jul"/>
          <s v="Aug"/>
          <s v="Sep"/>
          <s v="Oct"/>
          <s v="Nov"/>
          <s v="Dec"/>
          <s v="&gt;31-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m/>
    <s v="NL2"/>
    <x v="0"/>
    <x v="0"/>
    <x v="0"/>
    <n v="2"/>
    <x v="0"/>
    <n v="28"/>
    <n v="149711"/>
    <n v="4191908"/>
  </r>
  <r>
    <s v="HH1"/>
    <m/>
    <x v="1"/>
    <x v="1"/>
    <x v="1"/>
    <n v="1"/>
    <x v="1"/>
    <n v="32"/>
    <n v="102194"/>
    <n v="3270208"/>
  </r>
  <r>
    <s v="HH1"/>
    <m/>
    <x v="1"/>
    <x v="2"/>
    <x v="2"/>
    <n v="0"/>
    <x v="2"/>
    <n v="13"/>
    <n v="102040"/>
    <n v="1326520"/>
  </r>
  <r>
    <m/>
    <s v="NL2"/>
    <x v="0"/>
    <x v="2"/>
    <x v="3"/>
    <n v="2"/>
    <x v="1"/>
    <n v="24"/>
    <n v="99528"/>
    <n v="2388672"/>
  </r>
  <r>
    <m/>
    <s v="NL1"/>
    <x v="2"/>
    <x v="3"/>
    <x v="4"/>
    <n v="2"/>
    <x v="1"/>
    <n v="35"/>
    <n v="142298"/>
    <n v="4980430"/>
  </r>
  <r>
    <m/>
    <s v="NL2"/>
    <x v="0"/>
    <x v="4"/>
    <x v="5"/>
    <n v="1"/>
    <x v="1"/>
    <n v="4"/>
    <n v="135156"/>
    <n v="540624"/>
  </r>
  <r>
    <s v="HH1"/>
    <m/>
    <x v="1"/>
    <x v="5"/>
    <x v="6"/>
    <n v="2"/>
    <x v="0"/>
    <n v="40"/>
    <n v="64282"/>
    <n v="2571280"/>
  </r>
  <r>
    <m/>
    <s v="NL1"/>
    <x v="2"/>
    <x v="6"/>
    <x v="7"/>
    <n v="1"/>
    <x v="1"/>
    <n v="16"/>
    <n v="85458"/>
    <n v="1367328"/>
  </r>
  <r>
    <m/>
    <s v="NL1"/>
    <x v="2"/>
    <x v="7"/>
    <x v="8"/>
    <n v="0"/>
    <x v="0"/>
    <n v="15"/>
    <n v="63209"/>
    <n v="948135"/>
  </r>
  <r>
    <m/>
    <s v="NL2"/>
    <x v="0"/>
    <x v="7"/>
    <x v="9"/>
    <n v="3"/>
    <x v="1"/>
    <n v="25"/>
    <n v="146875"/>
    <n v="3671875"/>
  </r>
  <r>
    <m/>
    <s v="NL2"/>
    <x v="0"/>
    <x v="8"/>
    <x v="10"/>
    <n v="2"/>
    <x v="2"/>
    <n v="23"/>
    <n v="68882"/>
    <n v="1584286"/>
  </r>
  <r>
    <s v="HH1"/>
    <m/>
    <x v="1"/>
    <x v="9"/>
    <x v="11"/>
    <n v="1"/>
    <x v="0"/>
    <n v="13"/>
    <n v="56213"/>
    <n v="730769"/>
  </r>
  <r>
    <m/>
    <s v="NL1"/>
    <x v="2"/>
    <x v="10"/>
    <x v="12"/>
    <n v="2"/>
    <x v="1"/>
    <n v="6"/>
    <n v="147566"/>
    <n v="885396"/>
  </r>
  <r>
    <m/>
    <s v="NL2"/>
    <x v="0"/>
    <x v="11"/>
    <x v="13"/>
    <n v="0"/>
    <x v="0"/>
    <n v="8"/>
    <n v="98784"/>
    <n v="790272"/>
  </r>
  <r>
    <s v="HH1"/>
    <m/>
    <x v="1"/>
    <x v="12"/>
    <x v="14"/>
    <n v="0"/>
    <x v="0"/>
    <n v="23"/>
    <n v="139034"/>
    <n v="3197782"/>
  </r>
  <r>
    <m/>
    <s v="NL1"/>
    <x v="2"/>
    <x v="13"/>
    <x v="15"/>
    <n v="1"/>
    <x v="1"/>
    <n v="14"/>
    <n v="108469"/>
    <n v="1518566"/>
  </r>
  <r>
    <m/>
    <s v="NL2"/>
    <x v="0"/>
    <x v="13"/>
    <x v="16"/>
    <n v="3"/>
    <x v="2"/>
    <n v="12"/>
    <n v="69691"/>
    <n v="836292"/>
  </r>
  <r>
    <s v="HH1"/>
    <m/>
    <x v="1"/>
    <x v="14"/>
    <x v="17"/>
    <n v="0"/>
    <x v="0"/>
    <n v="150"/>
    <n v="80000"/>
    <n v="12000000"/>
  </r>
  <r>
    <m/>
    <s v="NL2"/>
    <x v="0"/>
    <x v="14"/>
    <x v="17"/>
    <n v="0"/>
    <x v="0"/>
    <n v="200"/>
    <n v="150000"/>
    <n v="30000000"/>
  </r>
  <r>
    <m/>
    <s v="NL1"/>
    <x v="2"/>
    <x v="14"/>
    <x v="18"/>
    <n v="2"/>
    <x v="1"/>
    <n v="300"/>
    <n v="100000"/>
    <n v="30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F21EB92-93C1-4D0E-B413-C7C3E7DEEB53}" name="PivotTable13" cacheId="2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22:J26" firstHeaderRow="0" firstDataRow="1" firstDataCol="1" rowPageCount="1" colPageCount="1"/>
  <pivotFields count="14">
    <pivotField showAll="0"/>
    <pivotField showAll="0"/>
    <pivotField axis="axisPage" showAll="0">
      <items count="4">
        <item x="1"/>
        <item x="2"/>
        <item x="0"/>
        <item t="default"/>
      </items>
    </pivotField>
    <pivotField numFmtId="167" showAll="0">
      <items count="16">
        <item x="14"/>
        <item x="13"/>
        <item x="12"/>
        <item x="11"/>
        <item x="10"/>
        <item x="9"/>
        <item x="8"/>
        <item x="7"/>
        <item x="6"/>
        <item x="5"/>
        <item x="4"/>
        <item x="3"/>
        <item x="2"/>
        <item x="1"/>
        <item x="0"/>
        <item t="default"/>
      </items>
    </pivotField>
    <pivotField numFmtId="167" showAll="0">
      <items count="20">
        <item x="18"/>
        <item x="17"/>
        <item x="16"/>
        <item x="15"/>
        <item x="14"/>
        <item x="13"/>
        <item x="12"/>
        <item x="11"/>
        <item x="10"/>
        <item x="9"/>
        <item x="8"/>
        <item x="7"/>
        <item x="6"/>
        <item x="5"/>
        <item x="4"/>
        <item x="3"/>
        <item x="2"/>
        <item x="1"/>
        <item x="0"/>
        <item t="default"/>
      </items>
    </pivotField>
    <pivotField dataField="1" showAll="0"/>
    <pivotField axis="axisRow" showAll="0">
      <items count="4">
        <item x="0"/>
        <item x="1"/>
        <item x="2"/>
        <item t="default"/>
      </items>
    </pivotField>
    <pivotField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4">
    <i>
      <x/>
    </i>
    <i>
      <x v="1"/>
    </i>
    <i>
      <x v="2"/>
    </i>
    <i t="grand">
      <x/>
    </i>
  </rowItems>
  <colFields count="1">
    <field x="-2"/>
  </colFields>
  <colItems count="2">
    <i>
      <x/>
    </i>
    <i i="1">
      <x v="1"/>
    </i>
  </colItems>
  <pageFields count="1">
    <pageField fld="2" hier="-1"/>
  </pageFields>
  <dataFields count="2">
    <dataField name="Đơn giá" fld="8" subtotal="average" baseField="6" baseItem="0" numFmtId="164"/>
    <dataField name="Ngày ship" fld="5" subtotal="average" baseField="6" baseItem="1" numFmtId="17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4BBABC-064D-4BA6-94C4-9590EF800C49}" name="PivotTable12" cacheId="2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E22:F26" firstHeaderRow="1" firstDataRow="1" firstDataCol="1" rowPageCount="2" colPageCount="1"/>
  <pivotFields count="14">
    <pivotField showAll="0"/>
    <pivotField showAll="0"/>
    <pivotField name="Hàng" axis="axisPage" showAll="0">
      <items count="4">
        <item x="1"/>
        <item x="2"/>
        <item x="0"/>
        <item t="default"/>
      </items>
    </pivotField>
    <pivotField axis="axisRow" numFmtId="167" showAll="0">
      <items count="16">
        <item x="14"/>
        <item x="13"/>
        <item x="12"/>
        <item x="11"/>
        <item x="10"/>
        <item x="9"/>
        <item x="8"/>
        <item x="7"/>
        <item x="6"/>
        <item x="5"/>
        <item x="4"/>
        <item x="3"/>
        <item x="2"/>
        <item x="1"/>
        <item x="0"/>
        <item t="default"/>
      </items>
    </pivotField>
    <pivotField numFmtId="167" showAll="0">
      <items count="20">
        <item x="18"/>
        <item x="17"/>
        <item x="16"/>
        <item x="15"/>
        <item x="14"/>
        <item x="13"/>
        <item x="12"/>
        <item x="11"/>
        <item x="10"/>
        <item x="9"/>
        <item x="8"/>
        <item x="7"/>
        <item x="6"/>
        <item x="5"/>
        <item x="4"/>
        <item x="3"/>
        <item x="2"/>
        <item x="1"/>
        <item x="0"/>
        <item t="default"/>
      </items>
    </pivotField>
    <pivotField showAll="0"/>
    <pivotField name="Người bán" axis="axisPage" showAll="0">
      <items count="4">
        <item x="0"/>
        <item x="1"/>
        <item x="2"/>
        <item t="default"/>
      </items>
    </pivotField>
    <pivotField numFmtId="164" showAll="0"/>
    <pivotField numFmtId="164"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13"/>
    <field x="3"/>
  </rowFields>
  <rowItems count="4">
    <i>
      <x v="3"/>
    </i>
    <i>
      <x v="4"/>
    </i>
    <i>
      <x v="5"/>
    </i>
    <i t="grand">
      <x/>
    </i>
  </rowItems>
  <colItems count="1">
    <i/>
  </colItems>
  <pageFields count="2">
    <pageField fld="2" hier="-1"/>
    <pageField fld="6" hier="-1"/>
  </pageFields>
  <dataFields count="1">
    <dataField name="Giá trị nhập mua" fld="9" baseField="13" baseItem="3" numFmtId="16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FFB517-E90D-4533-8E6C-5971D68EE7A7}" name="PivotTable10" cacheId="2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C26" firstHeaderRow="1" firstDataRow="1" firstDataCol="1" rowPageCount="2" colPageCount="1"/>
  <pivotFields count="14">
    <pivotField showAll="0"/>
    <pivotField showAll="0"/>
    <pivotField name="Hàng" axis="axisRow" showAll="0">
      <items count="4">
        <item x="1"/>
        <item x="2"/>
        <item x="0"/>
        <item t="default"/>
      </items>
    </pivotField>
    <pivotField numFmtId="167" showAll="0">
      <items count="16">
        <item x="14"/>
        <item x="13"/>
        <item x="12"/>
        <item x="11"/>
        <item x="10"/>
        <item x="9"/>
        <item x="8"/>
        <item x="7"/>
        <item x="6"/>
        <item x="5"/>
        <item x="4"/>
        <item x="3"/>
        <item x="2"/>
        <item x="1"/>
        <item x="0"/>
        <item t="default"/>
      </items>
    </pivotField>
    <pivotField numFmtId="167" showAll="0">
      <items count="20">
        <item x="18"/>
        <item x="17"/>
        <item x="16"/>
        <item x="15"/>
        <item x="14"/>
        <item x="13"/>
        <item x="12"/>
        <item x="11"/>
        <item x="10"/>
        <item x="9"/>
        <item x="8"/>
        <item x="7"/>
        <item x="6"/>
        <item x="5"/>
        <item x="4"/>
        <item x="3"/>
        <item x="2"/>
        <item x="1"/>
        <item x="0"/>
        <item t="default"/>
      </items>
    </pivotField>
    <pivotField showAll="0"/>
    <pivotField name="Người bán" axis="axisPage" showAll="0">
      <items count="4">
        <item x="0"/>
        <item x="1"/>
        <item x="2"/>
        <item t="default"/>
      </items>
    </pivotField>
    <pivotField numFmtId="164" showAll="0"/>
    <pivotField numFmtId="164" showAll="0"/>
    <pivotField dataField="1"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axis="axisPage" showAll="0">
      <items count="15">
        <item sd="0" x="0"/>
        <item sd="0" x="1"/>
        <item sd="0" x="2"/>
        <item sd="0" x="3"/>
        <item sd="0" x="4"/>
        <item sd="0" x="5"/>
        <item sd="0" x="6"/>
        <item sd="0" x="7"/>
        <item sd="0" x="8"/>
        <item sd="0" x="9"/>
        <item sd="0" x="10"/>
        <item sd="0" x="11"/>
        <item sd="0" x="12"/>
        <item sd="0" x="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4">
    <i>
      <x/>
    </i>
    <i>
      <x v="1"/>
    </i>
    <i>
      <x v="2"/>
    </i>
    <i t="grand">
      <x/>
    </i>
  </rowItems>
  <colItems count="1">
    <i/>
  </colItems>
  <pageFields count="2">
    <pageField fld="11" hier="-1"/>
    <pageField fld="6" hier="-1"/>
  </pageFields>
  <dataFields count="1">
    <dataField name="Giá trị nhập mua" fld="9" baseField="2" baseItem="0" numFmtId="16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77DEC6-B65D-4BD8-A2FB-D8D8956577A2}" name="Table_Main" displayName="Table_Main" ref="L22:U42" totalsRowShown="0" headerRowDxfId="14" dataDxfId="13">
  <autoFilter ref="L22:U42" xr:uid="{F477DEC6-B65D-4BD8-A2FB-D8D8956577A2}"/>
  <sortState xmlns:xlrd2="http://schemas.microsoft.com/office/spreadsheetml/2017/richdata2" ref="L23:U42">
    <sortCondition descending="1" ref="O4:O36"/>
  </sortState>
  <tableColumns count="10">
    <tableColumn id="19" xr3:uid="{93F13125-89A0-496E-855F-DE556A1CF219}" name="Mã SKU" dataDxfId="12"/>
    <tableColumn id="1" xr3:uid="{3DAA36F8-85A0-4067-81B5-C80D1073E1E7}" name="Mã Nguyên liệu" dataDxfId="11"/>
    <tableColumn id="3" xr3:uid="{D0E74D49-D6CD-45EE-AB4F-2FD8E77A06D6}" name="Đối tượng" dataDxfId="10" dataCellStyle="Comma">
      <calculatedColumnFormula>IF(ISBLANK(Table_Main[[#This Row],[Mã SKU]]),Table_Main[[#This Row],[Mã Nguyên liệu]],Table_Main[[#This Row],[Mã SKU]])</calculatedColumnFormula>
    </tableColumn>
    <tableColumn id="38" xr3:uid="{7417FB8F-DE6D-4BFD-8C35-005F8C8BDA5C}" name="Ngày xuất nhập" dataDxfId="5"/>
    <tableColumn id="2" xr3:uid="{4949DB5F-9593-4311-A3FC-F327E6D79956}" name="Ngày lên đơn" dataDxfId="4"/>
    <tableColumn id="10" xr3:uid="{17AD3CF9-2E55-4B0D-8886-2EE5D8DF8E9C}" name="Ngày ship mua" dataDxfId="9">
      <calculatedColumnFormula>IF(Table_Main[[#This Row],[Ngày lên đơn]]=0,"",Table_Main[[#This Row],[Ngày xuất nhập]]-Table_Main[[#This Row],[Ngày lên đơn]])</calculatedColumnFormula>
    </tableColumn>
    <tableColumn id="9" xr3:uid="{1AB51471-192A-4A4E-B8B8-AD3AC932D74D}" name="Nhà cung cấp" dataDxfId="3"/>
    <tableColumn id="5" xr3:uid="{3F848EC8-FDEA-4F11-B4E4-6127179C9F7A}" name="Số lượng" dataDxfId="8" dataCellStyle="Comma"/>
    <tableColumn id="29" xr3:uid="{ACEBC0F0-8A25-43B1-9A0B-BE665A9E5E23}" name="Giá nhập" dataDxfId="6" dataCellStyle="Comma"/>
    <tableColumn id="20" xr3:uid="{42A2C465-AE17-4678-8E01-E1577DEADE1A}" name="Giá trị hàng nhập" dataDxfId="7" dataCellStyle="Comma">
      <calculatedColumnFormula xml:space="preserve">
IF(NOT(ISBLANK(#REF!)),Table_Main[[#This Row],[Số lượng]]*Table_Main[[#This Row],[Giá nhập]],Table_Main[[#This Row],[Số lượng]]*#REF!)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 bestFit="1" customWidth="1"/>
    <col min="2" max="2" width="36.25" style="2" bestFit="1" customWidth="1"/>
    <col min="3" max="3" width="16.125" style="2" bestFit="1" customWidth="1"/>
    <col min="4" max="5" width="14.375" style="13" bestFit="1" customWidth="1"/>
    <col min="6" max="25" width="9" style="2"/>
    <col min="26" max="26" width="9" style="2" hidden="1" customWidth="1"/>
    <col min="27" max="16384" width="9" style="2"/>
  </cols>
  <sheetData>
    <row r="1" spans="1:26" x14ac:dyDescent="0.3">
      <c r="A1" s="8" t="s">
        <v>12</v>
      </c>
      <c r="B1" s="9" t="s">
        <v>9</v>
      </c>
      <c r="C1" s="10" t="s">
        <v>10</v>
      </c>
      <c r="D1" s="12" t="s">
        <v>13</v>
      </c>
      <c r="E1" s="12" t="s">
        <v>14</v>
      </c>
      <c r="F1" s="8" t="s">
        <v>15</v>
      </c>
      <c r="G1" s="11" t="s">
        <v>16</v>
      </c>
      <c r="H1" s="8" t="s">
        <v>17</v>
      </c>
      <c r="I1" s="8" t="s">
        <v>18</v>
      </c>
      <c r="J1" s="11" t="s">
        <v>19</v>
      </c>
      <c r="K1" s="11" t="s">
        <v>20</v>
      </c>
      <c r="L1" s="11" t="s">
        <v>21</v>
      </c>
      <c r="M1" s="11" t="s">
        <v>22</v>
      </c>
      <c r="N1" s="21"/>
      <c r="O1" s="21"/>
      <c r="P1" s="21"/>
      <c r="Q1" s="21"/>
      <c r="R1" s="21"/>
      <c r="S1" s="21"/>
      <c r="T1" s="21"/>
      <c r="U1" s="21"/>
      <c r="V1" s="21"/>
      <c r="W1" s="21"/>
      <c r="X1" s="21"/>
      <c r="Y1" s="21"/>
      <c r="Z1" s="2" t="s">
        <v>24</v>
      </c>
    </row>
    <row r="2" spans="1:26" x14ac:dyDescent="0.3">
      <c r="A2" s="21"/>
      <c r="B2" s="2" t="s">
        <v>34</v>
      </c>
      <c r="C2" s="2" t="s">
        <v>35</v>
      </c>
      <c r="D2" s="13">
        <v>45785</v>
      </c>
      <c r="E2" s="13">
        <v>46150</v>
      </c>
      <c r="F2" s="21">
        <v>365</v>
      </c>
      <c r="G2" s="2" t="s">
        <v>25</v>
      </c>
      <c r="H2" s="21"/>
      <c r="I2" s="21"/>
      <c r="J2" s="21"/>
      <c r="K2" s="21"/>
      <c r="L2" s="21"/>
      <c r="M2" s="21"/>
      <c r="N2" s="21"/>
      <c r="O2" s="21"/>
      <c r="P2" s="21"/>
      <c r="Q2" s="21"/>
      <c r="R2" s="21"/>
      <c r="S2" s="21"/>
      <c r="T2" s="21"/>
      <c r="U2" s="21"/>
      <c r="V2" s="21"/>
      <c r="W2" s="21"/>
      <c r="X2" s="21"/>
      <c r="Y2" s="21"/>
      <c r="Z2" s="21" t="s">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A3" sqref="A3"/>
    </sheetView>
  </sheetViews>
  <sheetFormatPr defaultRowHeight="16.5" x14ac:dyDescent="0.3"/>
  <cols>
    <col min="1" max="1" width="11.625" style="3" bestFit="1" customWidth="1"/>
    <col min="2" max="16384" width="9" style="3"/>
  </cols>
  <sheetData>
    <row r="1" spans="1:12" x14ac:dyDescent="0.3">
      <c r="K1" s="24">
        <v>1</v>
      </c>
      <c r="L1" s="24" t="s">
        <v>36</v>
      </c>
    </row>
    <row r="2" spans="1:12" x14ac:dyDescent="0.3">
      <c r="A2" s="3" t="s">
        <v>65</v>
      </c>
      <c r="L2" s="24" t="s">
        <v>37</v>
      </c>
    </row>
    <row r="3" spans="1:12" x14ac:dyDescent="0.3">
      <c r="L3" s="24" t="s">
        <v>38</v>
      </c>
    </row>
    <row r="4" spans="1:12" ht="37.5" x14ac:dyDescent="0.3">
      <c r="A4" s="6" t="s">
        <v>0</v>
      </c>
      <c r="B4" s="6" t="s">
        <v>1</v>
      </c>
      <c r="L4" s="24" t="s">
        <v>39</v>
      </c>
    </row>
    <row r="5" spans="1:12" ht="17.25" x14ac:dyDescent="0.3">
      <c r="A5" s="16"/>
      <c r="B5" s="14" t="s">
        <v>26</v>
      </c>
      <c r="L5" s="24" t="s">
        <v>40</v>
      </c>
    </row>
    <row r="6" spans="1:12" ht="17.25" x14ac:dyDescent="0.3">
      <c r="A6" s="16"/>
      <c r="B6" s="14" t="s">
        <v>23</v>
      </c>
    </row>
    <row r="7" spans="1:12" ht="17.25" x14ac:dyDescent="0.3">
      <c r="A7" s="16"/>
      <c r="B7" s="14" t="s">
        <v>27</v>
      </c>
    </row>
    <row r="8" spans="1:12" ht="17.25" x14ac:dyDescent="0.3">
      <c r="A8" s="16"/>
      <c r="B8" s="14" t="s">
        <v>28</v>
      </c>
    </row>
    <row r="9" spans="1:12" ht="17.25" x14ac:dyDescent="0.3">
      <c r="A9" s="16"/>
      <c r="B9" s="15" t="s">
        <v>29</v>
      </c>
    </row>
    <row r="10" spans="1:12" x14ac:dyDescent="0.3">
      <c r="A10" s="16"/>
      <c r="B10" s="16"/>
    </row>
    <row r="11" spans="1:12" ht="37.5" x14ac:dyDescent="0.3">
      <c r="A11" s="6" t="s">
        <v>7</v>
      </c>
      <c r="B11" s="6" t="s">
        <v>8</v>
      </c>
    </row>
    <row r="12" spans="1:12" x14ac:dyDescent="0.3">
      <c r="A12" s="7" t="s">
        <v>9</v>
      </c>
      <c r="B12" s="3" t="s">
        <v>34</v>
      </c>
    </row>
    <row r="13" spans="1:12" x14ac:dyDescent="0.3">
      <c r="A13" s="7" t="s">
        <v>10</v>
      </c>
      <c r="B13" s="3" t="s">
        <v>35</v>
      </c>
    </row>
    <row r="14" spans="1:12" ht="17.25" x14ac:dyDescent="0.3">
      <c r="A14" s="16"/>
      <c r="B14" s="4" t="s">
        <v>2</v>
      </c>
    </row>
    <row r="15" spans="1:12" ht="17.25" x14ac:dyDescent="0.3">
      <c r="A15" s="16"/>
      <c r="B15" s="4" t="s">
        <v>3</v>
      </c>
    </row>
    <row r="16" spans="1:12" ht="17.25" x14ac:dyDescent="0.3">
      <c r="A16" s="16"/>
      <c r="B16" s="4" t="s">
        <v>4</v>
      </c>
    </row>
    <row r="17" spans="1:2" ht="17.25" x14ac:dyDescent="0.3">
      <c r="A17" s="16"/>
      <c r="B17" s="4" t="s">
        <v>5</v>
      </c>
    </row>
    <row r="18" spans="1:2" ht="17.25" x14ac:dyDescent="0.3">
      <c r="A18" s="16"/>
      <c r="B18" s="5" t="s">
        <v>6</v>
      </c>
    </row>
    <row r="19" spans="1:2" x14ac:dyDescent="0.3">
      <c r="A19" s="16"/>
      <c r="B19" s="16"/>
    </row>
    <row r="20" spans="1:2" x14ac:dyDescent="0.3">
      <c r="A20" s="16"/>
      <c r="B20" s="16"/>
    </row>
    <row r="21" spans="1:2" x14ac:dyDescent="0.3">
      <c r="A21" s="16"/>
      <c r="B21" s="16"/>
    </row>
    <row r="22" spans="1:2" x14ac:dyDescent="0.3">
      <c r="A22" s="16"/>
      <c r="B22" s="16"/>
    </row>
    <row r="23" spans="1:2" x14ac:dyDescent="0.3">
      <c r="A23" s="16"/>
      <c r="B23" s="16"/>
    </row>
    <row r="24" spans="1:2" x14ac:dyDescent="0.3">
      <c r="A24" s="17"/>
      <c r="B24" s="16"/>
    </row>
    <row r="25" spans="1:2" x14ac:dyDescent="0.3">
      <c r="A25" s="18"/>
      <c r="B25" s="16"/>
    </row>
    <row r="26" spans="1:2" x14ac:dyDescent="0.3">
      <c r="A26" s="17"/>
      <c r="B26" s="16"/>
    </row>
    <row r="27" spans="1:2" x14ac:dyDescent="0.3">
      <c r="A27" s="18"/>
      <c r="B27" s="16"/>
    </row>
    <row r="28" spans="1:2" x14ac:dyDescent="0.3">
      <c r="A28" s="18"/>
      <c r="B28" s="16"/>
    </row>
    <row r="29" spans="1:2" x14ac:dyDescent="0.3">
      <c r="A29" s="18"/>
      <c r="B29" s="16"/>
    </row>
    <row r="30" spans="1:2" x14ac:dyDescent="0.3">
      <c r="A30" s="18"/>
      <c r="B30" s="16"/>
    </row>
    <row r="31" spans="1:2" x14ac:dyDescent="0.3">
      <c r="A31" s="17"/>
      <c r="B31" s="16"/>
    </row>
    <row r="32" spans="1:2" x14ac:dyDescent="0.3">
      <c r="A32" s="18"/>
      <c r="B32" s="16"/>
    </row>
    <row r="33" spans="1:2" x14ac:dyDescent="0.3">
      <c r="A33" s="18"/>
      <c r="B33" s="16"/>
    </row>
    <row r="34" spans="1:2" x14ac:dyDescent="0.3">
      <c r="A34" s="18"/>
      <c r="B34" s="16"/>
    </row>
    <row r="35" spans="1:2" x14ac:dyDescent="0.3">
      <c r="A35" s="18"/>
      <c r="B35" s="16"/>
    </row>
    <row r="36" spans="1:2" x14ac:dyDescent="0.3">
      <c r="A36" s="17"/>
      <c r="B36" s="16"/>
    </row>
    <row r="37" spans="1:2" x14ac:dyDescent="0.3">
      <c r="A37" s="19"/>
      <c r="B37" s="16"/>
    </row>
    <row r="38" spans="1:2" x14ac:dyDescent="0.3">
      <c r="A38" s="20"/>
      <c r="B38" s="16"/>
    </row>
    <row r="39" spans="1:2" x14ac:dyDescent="0.3">
      <c r="A39" s="19"/>
      <c r="B39" s="16"/>
    </row>
    <row r="40" spans="1:2" x14ac:dyDescent="0.3">
      <c r="A40" s="20"/>
      <c r="B40" s="16"/>
    </row>
    <row r="41" spans="1:2" x14ac:dyDescent="0.3">
      <c r="A41" s="19"/>
      <c r="B41" s="16"/>
    </row>
    <row r="42" spans="1:2" x14ac:dyDescent="0.3">
      <c r="A42" s="20"/>
      <c r="B42" s="16"/>
    </row>
    <row r="43" spans="1:2" x14ac:dyDescent="0.3">
      <c r="A43" s="19"/>
      <c r="B43" s="16"/>
    </row>
    <row r="44" spans="1:2" x14ac:dyDescent="0.3">
      <c r="A44" s="20"/>
      <c r="B44" s="16"/>
    </row>
    <row r="45" spans="1:2" x14ac:dyDescent="0.3">
      <c r="A45" s="19"/>
      <c r="B45" s="16"/>
    </row>
    <row r="46" spans="1:2" x14ac:dyDescent="0.3">
      <c r="A46" s="20"/>
      <c r="B46" s="16"/>
    </row>
    <row r="47" spans="1:2" x14ac:dyDescent="0.3">
      <c r="A47" s="18"/>
      <c r="B47" s="16"/>
    </row>
    <row r="48" spans="1:2" x14ac:dyDescent="0.3">
      <c r="A48" s="18"/>
      <c r="B48" s="16"/>
    </row>
    <row r="49" spans="1:2" x14ac:dyDescent="0.3">
      <c r="A49" s="18"/>
      <c r="B49" s="16"/>
    </row>
    <row r="50" spans="1:2" x14ac:dyDescent="0.3">
      <c r="A50" s="17"/>
      <c r="B50" s="16"/>
    </row>
    <row r="51" spans="1:2" x14ac:dyDescent="0.3">
      <c r="A51" s="18"/>
      <c r="B51" s="16"/>
    </row>
    <row r="52" spans="1:2" x14ac:dyDescent="0.3">
      <c r="A52" s="18"/>
      <c r="B52" s="16"/>
    </row>
    <row r="53" spans="1:2" x14ac:dyDescent="0.3">
      <c r="A53" s="18"/>
      <c r="B53" s="16"/>
    </row>
    <row r="54" spans="1:2" x14ac:dyDescent="0.3">
      <c r="A54" s="18"/>
      <c r="B54" s="16"/>
    </row>
    <row r="55" spans="1:2" x14ac:dyDescent="0.3">
      <c r="A55" s="17"/>
      <c r="B55" s="16"/>
    </row>
    <row r="56" spans="1:2" x14ac:dyDescent="0.3">
      <c r="A56" s="19"/>
      <c r="B56" s="16"/>
    </row>
    <row r="57" spans="1:2" x14ac:dyDescent="0.3">
      <c r="A57" s="19"/>
      <c r="B57" s="16"/>
    </row>
    <row r="58" spans="1:2" x14ac:dyDescent="0.3">
      <c r="A58" s="19"/>
      <c r="B58" s="16"/>
    </row>
    <row r="59" spans="1:2" x14ac:dyDescent="0.3">
      <c r="A59" s="19"/>
      <c r="B59" s="16"/>
    </row>
    <row r="60" spans="1:2" x14ac:dyDescent="0.3">
      <c r="A60" s="18"/>
      <c r="B60" s="16"/>
    </row>
    <row r="61" spans="1:2" x14ac:dyDescent="0.3">
      <c r="A61" s="18"/>
      <c r="B61" s="16"/>
    </row>
    <row r="62" spans="1:2" x14ac:dyDescent="0.3">
      <c r="A62" s="18"/>
      <c r="B62" s="16"/>
    </row>
    <row r="63" spans="1:2" x14ac:dyDescent="0.3">
      <c r="A63" s="17"/>
      <c r="B63" s="16"/>
    </row>
    <row r="64" spans="1:2" x14ac:dyDescent="0.3">
      <c r="A64" s="18"/>
      <c r="B64" s="16"/>
    </row>
    <row r="65" spans="1:2" x14ac:dyDescent="0.3">
      <c r="A65" s="18"/>
      <c r="B65" s="16"/>
    </row>
    <row r="66" spans="1:2" x14ac:dyDescent="0.3">
      <c r="A66" s="18"/>
      <c r="B66" s="16"/>
    </row>
    <row r="67" spans="1:2" x14ac:dyDescent="0.3">
      <c r="A67" s="18"/>
      <c r="B67" s="16"/>
    </row>
    <row r="68" spans="1:2" x14ac:dyDescent="0.3">
      <c r="A68" s="17"/>
      <c r="B68" s="16"/>
    </row>
    <row r="69" spans="1:2" x14ac:dyDescent="0.3">
      <c r="A69" s="19"/>
      <c r="B69" s="16"/>
    </row>
    <row r="70" spans="1:2" x14ac:dyDescent="0.3">
      <c r="A70" s="19"/>
      <c r="B70" s="16"/>
    </row>
    <row r="71" spans="1:2" x14ac:dyDescent="0.3">
      <c r="A71" s="19"/>
      <c r="B71" s="16"/>
    </row>
    <row r="72" spans="1:2" x14ac:dyDescent="0.3">
      <c r="A72" s="19"/>
      <c r="B72" s="16"/>
    </row>
    <row r="73" spans="1:2" x14ac:dyDescent="0.3">
      <c r="A73" s="19"/>
      <c r="B73" s="16"/>
    </row>
    <row r="74" spans="1:2" x14ac:dyDescent="0.3">
      <c r="A74" s="19"/>
      <c r="B74" s="16"/>
    </row>
    <row r="75" spans="1:2" x14ac:dyDescent="0.3">
      <c r="A75" s="18"/>
      <c r="B75" s="16"/>
    </row>
    <row r="76" spans="1:2" x14ac:dyDescent="0.3">
      <c r="A76" s="17"/>
      <c r="B76" s="16"/>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U56"/>
  <sheetViews>
    <sheetView showGridLines="0" topLeftCell="A13" workbookViewId="0">
      <selection activeCell="Y33" sqref="X33:Y33"/>
    </sheetView>
  </sheetViews>
  <sheetFormatPr defaultRowHeight="18" customHeight="1" outlineLevelRow="1" outlineLevelCol="1" x14ac:dyDescent="0.3"/>
  <cols>
    <col min="1" max="1" width="1.25" style="1" customWidth="1"/>
    <col min="2" max="2" width="13" style="1" hidden="1" customWidth="1" outlineLevel="1"/>
    <col min="3" max="3" width="16" style="1" hidden="1" customWidth="1" outlineLevel="1"/>
    <col min="4" max="4" width="1.25" style="1" hidden="1" customWidth="1" outlineLevel="1"/>
    <col min="5" max="5" width="13" style="1" hidden="1" customWidth="1" outlineLevel="1"/>
    <col min="6" max="6" width="16" style="1" hidden="1" customWidth="1" outlineLevel="1"/>
    <col min="7" max="7" width="1.25" style="1" hidden="1" customWidth="1" outlineLevel="1"/>
    <col min="8" max="8" width="13" style="1" hidden="1" customWidth="1" outlineLevel="1"/>
    <col min="9" max="9" width="9.125" style="1" hidden="1" customWidth="1" outlineLevel="1"/>
    <col min="10" max="10" width="10" style="1" hidden="1" customWidth="1" outlineLevel="1"/>
    <col min="11" max="11" width="1.25" style="1" customWidth="1" collapsed="1"/>
    <col min="12" max="13" width="11.375" style="1" bestFit="1" customWidth="1"/>
    <col min="14" max="14" width="9.625" style="1" hidden="1" customWidth="1" outlineLevel="1"/>
    <col min="15" max="15" width="9" collapsed="1"/>
    <col min="16" max="16" width="12.125" style="1" bestFit="1" customWidth="1"/>
    <col min="17" max="17" width="9" hidden="1" customWidth="1" outlineLevel="1"/>
    <col min="18" max="18" width="12.5" style="1" bestFit="1" customWidth="1" collapsed="1"/>
    <col min="19" max="19" width="10.625" style="1" customWidth="1"/>
    <col min="21" max="21" width="9" outlineLevel="1"/>
    <col min="22" max="22" width="8.25" style="1" bestFit="1" customWidth="1"/>
    <col min="23"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21" ht="18" customHeight="1" outlineLevel="1" x14ac:dyDescent="0.3">
      <c r="O17" s="1"/>
      <c r="Q17" s="1"/>
      <c r="T17" s="1"/>
      <c r="U17" s="1"/>
    </row>
    <row r="18" spans="2:21" ht="16.5" outlineLevel="1" x14ac:dyDescent="0.3">
      <c r="B18"/>
      <c r="C18"/>
      <c r="O18" s="1"/>
      <c r="Q18" s="1"/>
      <c r="T18" s="1"/>
      <c r="U18" s="1"/>
    </row>
    <row r="19" spans="2:21" ht="16.5" outlineLevel="1" x14ac:dyDescent="0.3">
      <c r="B19" s="22" t="s">
        <v>60</v>
      </c>
      <c r="C19" t="s">
        <v>59</v>
      </c>
      <c r="E19" s="22" t="s">
        <v>63</v>
      </c>
      <c r="F19" t="s">
        <v>59</v>
      </c>
      <c r="O19" s="1"/>
      <c r="Q19" s="1"/>
      <c r="T19" s="1"/>
      <c r="U19" s="1"/>
    </row>
    <row r="20" spans="2:21" ht="16.5" outlineLevel="1" x14ac:dyDescent="0.3">
      <c r="B20" s="22" t="s">
        <v>61</v>
      </c>
      <c r="C20" t="s">
        <v>59</v>
      </c>
      <c r="E20" s="22" t="s">
        <v>61</v>
      </c>
      <c r="F20" t="s">
        <v>59</v>
      </c>
      <c r="H20" s="22" t="s">
        <v>44</v>
      </c>
      <c r="I20" t="s">
        <v>59</v>
      </c>
      <c r="O20" s="1"/>
      <c r="Q20" s="1"/>
      <c r="T20" s="1"/>
      <c r="U20" s="1"/>
    </row>
    <row r="21" spans="2:21" ht="16.5" outlineLevel="1" x14ac:dyDescent="0.3">
      <c r="E21"/>
      <c r="F21"/>
      <c r="O21" s="1"/>
      <c r="Q21" s="1"/>
      <c r="T21" s="1"/>
      <c r="U21" s="1"/>
    </row>
    <row r="22" spans="2:21" ht="16.5" x14ac:dyDescent="0.3">
      <c r="B22" s="22" t="s">
        <v>30</v>
      </c>
      <c r="C22" t="s">
        <v>62</v>
      </c>
      <c r="D22"/>
      <c r="E22" s="22" t="s">
        <v>30</v>
      </c>
      <c r="F22" t="s">
        <v>62</v>
      </c>
      <c r="G22"/>
      <c r="H22" s="22" t="s">
        <v>30</v>
      </c>
      <c r="I22" t="s">
        <v>11</v>
      </c>
      <c r="J22" t="s">
        <v>64</v>
      </c>
      <c r="L22" s="26" t="s">
        <v>42</v>
      </c>
      <c r="M22" s="26" t="s">
        <v>43</v>
      </c>
      <c r="N22" s="26" t="s">
        <v>44</v>
      </c>
      <c r="O22" s="26" t="s">
        <v>45</v>
      </c>
      <c r="P22" s="26" t="s">
        <v>46</v>
      </c>
      <c r="Q22" s="26" t="s">
        <v>47</v>
      </c>
      <c r="R22" s="26" t="s">
        <v>49</v>
      </c>
      <c r="S22" s="26" t="s">
        <v>48</v>
      </c>
      <c r="T22" s="26" t="s">
        <v>50</v>
      </c>
      <c r="U22" s="26" t="s">
        <v>51</v>
      </c>
    </row>
    <row r="23" spans="2:21" ht="16.5" x14ac:dyDescent="0.3">
      <c r="B23" s="2" t="s">
        <v>52</v>
      </c>
      <c r="C23" s="41">
        <v>23096559</v>
      </c>
      <c r="D23"/>
      <c r="E23" s="2" t="s">
        <v>56</v>
      </c>
      <c r="F23" s="41">
        <v>79228308</v>
      </c>
      <c r="G23"/>
      <c r="H23" s="2" t="s">
        <v>53</v>
      </c>
      <c r="I23" s="23">
        <v>100154.125</v>
      </c>
      <c r="J23" s="42">
        <v>0.625</v>
      </c>
      <c r="L23" s="33"/>
      <c r="M23" s="34" t="s">
        <v>33</v>
      </c>
      <c r="N23" s="35" t="str">
        <f>IF(ISBLANK(Table_Main[[#This Row],[Mã SKU]]),Table_Main[[#This Row],[Mã Nguyên liệu]],Table_Main[[#This Row],[Mã SKU]])</f>
        <v>NL2</v>
      </c>
      <c r="O23" s="29">
        <v>45807</v>
      </c>
      <c r="P23" s="29">
        <v>45805</v>
      </c>
      <c r="Q23" s="25">
        <f>IF(Table_Main[[#This Row],[Ngày lên đơn]]=0,"",Table_Main[[#This Row],[Ngày xuất nhập]]-Table_Main[[#This Row],[Ngày lên đơn]])</f>
        <v>2</v>
      </c>
      <c r="R23" s="40" t="s">
        <v>53</v>
      </c>
      <c r="S23" s="30">
        <v>28</v>
      </c>
      <c r="T23" s="31">
        <v>149711</v>
      </c>
      <c r="U23" s="32">
        <f xml:space="preserve">
IF(NOT(ISBLANK(#REF!)),Table_Main[[#This Row],[Số lượng]]*Table_Main[[#This Row],[Giá nhập]],Table_Main[[#This Row],[Số lượng]]*#REF!)</f>
        <v>4191908</v>
      </c>
    </row>
    <row r="24" spans="2:21" ht="16.5" x14ac:dyDescent="0.3">
      <c r="B24" s="2" t="s">
        <v>32</v>
      </c>
      <c r="C24" s="41">
        <v>39699855</v>
      </c>
      <c r="D24"/>
      <c r="E24" s="2" t="s">
        <v>57</v>
      </c>
      <c r="F24" s="41">
        <v>6935065</v>
      </c>
      <c r="G24"/>
      <c r="H24" s="2" t="s">
        <v>54</v>
      </c>
      <c r="I24" s="23">
        <v>118616</v>
      </c>
      <c r="J24" s="42">
        <v>1.6666666666666667</v>
      </c>
      <c r="L24" s="27" t="s">
        <v>52</v>
      </c>
      <c r="M24" s="27"/>
      <c r="N24" s="28" t="str">
        <f>IF(ISBLANK(Table_Main[[#This Row],[Mã SKU]]),Table_Main[[#This Row],[Mã Nguyên liệu]],Table_Main[[#This Row],[Mã SKU]])</f>
        <v>HH1</v>
      </c>
      <c r="O24" s="29">
        <v>45805</v>
      </c>
      <c r="P24" s="29">
        <v>45804</v>
      </c>
      <c r="Q24" s="25">
        <f>IF(Table_Main[[#This Row],[Ngày lên đơn]]=0,"",Table_Main[[#This Row],[Ngày xuất nhập]]-Table_Main[[#This Row],[Ngày lên đơn]])</f>
        <v>1</v>
      </c>
      <c r="R24" s="40" t="s">
        <v>54</v>
      </c>
      <c r="S24" s="30">
        <v>32</v>
      </c>
      <c r="T24" s="31">
        <v>102194</v>
      </c>
      <c r="U24" s="32">
        <f xml:space="preserve">
IF(NOT(ISBLANK(#REF!)),Table_Main[[#This Row],[Số lượng]]*Table_Main[[#This Row],[Giá nhập]],Table_Main[[#This Row],[Số lượng]]*#REF!)</f>
        <v>3270208</v>
      </c>
    </row>
    <row r="25" spans="2:21" ht="16.5" x14ac:dyDescent="0.3">
      <c r="B25" s="2" t="s">
        <v>33</v>
      </c>
      <c r="C25" s="41">
        <v>44003929</v>
      </c>
      <c r="D25"/>
      <c r="E25" s="2" t="s">
        <v>58</v>
      </c>
      <c r="F25" s="41">
        <v>20636970</v>
      </c>
      <c r="G25"/>
      <c r="H25" s="2" t="s">
        <v>55</v>
      </c>
      <c r="I25" s="23">
        <v>80204.333333333328</v>
      </c>
      <c r="J25" s="42">
        <v>1.6666666666666667</v>
      </c>
      <c r="L25" s="27" t="s">
        <v>52</v>
      </c>
      <c r="M25" s="27"/>
      <c r="N25" s="28" t="str">
        <f>IF(ISBLANK(Table_Main[[#This Row],[Mã SKU]]),Table_Main[[#This Row],[Mã Nguyên liệu]],Table_Main[[#This Row],[Mã SKU]])</f>
        <v>HH1</v>
      </c>
      <c r="O25" s="29">
        <v>45802</v>
      </c>
      <c r="P25" s="29">
        <v>45802</v>
      </c>
      <c r="Q25" s="25">
        <f>IF(Table_Main[[#This Row],[Ngày lên đơn]]=0,"",Table_Main[[#This Row],[Ngày xuất nhập]]-Table_Main[[#This Row],[Ngày lên đơn]])</f>
        <v>0</v>
      </c>
      <c r="R25" s="40" t="s">
        <v>55</v>
      </c>
      <c r="S25" s="30">
        <v>13</v>
      </c>
      <c r="T25" s="31">
        <v>102040</v>
      </c>
      <c r="U25" s="32">
        <f xml:space="preserve">
IF(NOT(ISBLANK(#REF!)),Table_Main[[#This Row],[Số lượng]]*Table_Main[[#This Row],[Giá nhập]],Table_Main[[#This Row],[Số lượng]]*#REF!)</f>
        <v>1326520</v>
      </c>
    </row>
    <row r="26" spans="2:21" ht="16.5" x14ac:dyDescent="0.3">
      <c r="B26" s="2" t="s">
        <v>31</v>
      </c>
      <c r="C26" s="41">
        <v>106800343</v>
      </c>
      <c r="D26"/>
      <c r="E26" s="2" t="s">
        <v>31</v>
      </c>
      <c r="F26" s="41">
        <v>106800343</v>
      </c>
      <c r="G26"/>
      <c r="H26" s="2" t="s">
        <v>31</v>
      </c>
      <c r="I26" s="23">
        <v>105469.5</v>
      </c>
      <c r="J26" s="42">
        <v>1.25</v>
      </c>
      <c r="L26" s="33"/>
      <c r="M26" s="34" t="s">
        <v>33</v>
      </c>
      <c r="N26" s="35" t="str">
        <f>IF(ISBLANK(Table_Main[[#This Row],[Mã SKU]]),Table_Main[[#This Row],[Mã Nguyên liệu]],Table_Main[[#This Row],[Mã SKU]])</f>
        <v>NL2</v>
      </c>
      <c r="O26" s="29">
        <v>45802</v>
      </c>
      <c r="P26" s="29">
        <v>45800</v>
      </c>
      <c r="Q26" s="25">
        <f>IF(Table_Main[[#This Row],[Ngày lên đơn]]=0,"",Table_Main[[#This Row],[Ngày xuất nhập]]-Table_Main[[#This Row],[Ngày lên đơn]])</f>
        <v>2</v>
      </c>
      <c r="R26" s="40" t="s">
        <v>54</v>
      </c>
      <c r="S26" s="30">
        <v>24</v>
      </c>
      <c r="T26" s="31">
        <v>99528</v>
      </c>
      <c r="U26" s="32">
        <f xml:space="preserve">
IF(NOT(ISBLANK(#REF!)),Table_Main[[#This Row],[Số lượng]]*Table_Main[[#This Row],[Giá nhập]],Table_Main[[#This Row],[Số lượng]]*#REF!)</f>
        <v>2388672</v>
      </c>
    </row>
    <row r="27" spans="2:21" ht="16.5" x14ac:dyDescent="0.3">
      <c r="B27"/>
      <c r="C27"/>
      <c r="D27"/>
      <c r="E27"/>
      <c r="F27"/>
      <c r="G27"/>
      <c r="H27"/>
      <c r="I27"/>
      <c r="J27"/>
      <c r="L27" s="33"/>
      <c r="M27" s="34" t="s">
        <v>32</v>
      </c>
      <c r="N27" s="35" t="str">
        <f>IF(ISBLANK(Table_Main[[#This Row],[Mã SKU]]),Table_Main[[#This Row],[Mã Nguyên liệu]],Table_Main[[#This Row],[Mã SKU]])</f>
        <v>NL1</v>
      </c>
      <c r="O27" s="29">
        <v>45799</v>
      </c>
      <c r="P27" s="29">
        <v>45797</v>
      </c>
      <c r="Q27" s="25">
        <f>IF(Table_Main[[#This Row],[Ngày lên đơn]]=0,"",Table_Main[[#This Row],[Ngày xuất nhập]]-Table_Main[[#This Row],[Ngày lên đơn]])</f>
        <v>2</v>
      </c>
      <c r="R27" s="40" t="s">
        <v>54</v>
      </c>
      <c r="S27" s="30">
        <v>35</v>
      </c>
      <c r="T27" s="31">
        <v>142298</v>
      </c>
      <c r="U27" s="32">
        <f xml:space="preserve">
IF(NOT(ISBLANK(#REF!)),Table_Main[[#This Row],[Số lượng]]*Table_Main[[#This Row],[Giá nhập]],Table_Main[[#This Row],[Số lượng]]*#REF!)</f>
        <v>4980430</v>
      </c>
    </row>
    <row r="28" spans="2:21" ht="16.5" x14ac:dyDescent="0.3">
      <c r="B28"/>
      <c r="C28"/>
      <c r="D28"/>
      <c r="E28"/>
      <c r="F28"/>
      <c r="G28"/>
      <c r="H28"/>
      <c r="I28"/>
      <c r="J28"/>
      <c r="L28" s="33"/>
      <c r="M28" s="34" t="s">
        <v>33</v>
      </c>
      <c r="N28" s="35" t="str">
        <f>IF(ISBLANK(Table_Main[[#This Row],[Mã SKU]]),Table_Main[[#This Row],[Mã Nguyên liệu]],Table_Main[[#This Row],[Mã SKU]])</f>
        <v>NL2</v>
      </c>
      <c r="O28" s="29">
        <v>45789</v>
      </c>
      <c r="P28" s="29">
        <v>45788</v>
      </c>
      <c r="Q28" s="25">
        <f>IF(Table_Main[[#This Row],[Ngày lên đơn]]=0,"",Table_Main[[#This Row],[Ngày xuất nhập]]-Table_Main[[#This Row],[Ngày lên đơn]])</f>
        <v>1</v>
      </c>
      <c r="R28" s="40" t="s">
        <v>54</v>
      </c>
      <c r="S28" s="30">
        <v>4</v>
      </c>
      <c r="T28" s="31">
        <v>135156</v>
      </c>
      <c r="U28" s="32">
        <f xml:space="preserve">
IF(NOT(ISBLANK(#REF!)),Table_Main[[#This Row],[Số lượng]]*Table_Main[[#This Row],[Giá nhập]],Table_Main[[#This Row],[Số lượng]]*#REF!)</f>
        <v>540624</v>
      </c>
    </row>
    <row r="29" spans="2:21" ht="16.5" x14ac:dyDescent="0.3">
      <c r="B29"/>
      <c r="C29"/>
      <c r="D29"/>
      <c r="E29"/>
      <c r="F29"/>
      <c r="G29"/>
      <c r="H29"/>
      <c r="I29"/>
      <c r="J29"/>
      <c r="L29" s="27" t="s">
        <v>52</v>
      </c>
      <c r="M29" s="27"/>
      <c r="N29" s="28" t="str">
        <f>IF(ISBLANK(Table_Main[[#This Row],[Mã SKU]]),Table_Main[[#This Row],[Mã Nguyên liệu]],Table_Main[[#This Row],[Mã SKU]])</f>
        <v>HH1</v>
      </c>
      <c r="O29" s="29">
        <v>45784</v>
      </c>
      <c r="P29" s="29">
        <v>45782</v>
      </c>
      <c r="Q29" s="25">
        <f>IF(Table_Main[[#This Row],[Ngày lên đơn]]=0,"",Table_Main[[#This Row],[Ngày xuất nhập]]-Table_Main[[#This Row],[Ngày lên đơn]])</f>
        <v>2</v>
      </c>
      <c r="R29" s="40" t="s">
        <v>53</v>
      </c>
      <c r="S29" s="30">
        <v>40</v>
      </c>
      <c r="T29" s="31">
        <v>64282</v>
      </c>
      <c r="U29" s="32">
        <f xml:space="preserve">
IF(NOT(ISBLANK(#REF!)),Table_Main[[#This Row],[Số lượng]]*Table_Main[[#This Row],[Giá nhập]],Table_Main[[#This Row],[Số lượng]]*#REF!)</f>
        <v>2571280</v>
      </c>
    </row>
    <row r="30" spans="2:21" ht="16.5" x14ac:dyDescent="0.3">
      <c r="B30"/>
      <c r="C30"/>
      <c r="D30"/>
      <c r="E30"/>
      <c r="F30"/>
      <c r="G30"/>
      <c r="H30"/>
      <c r="I30"/>
      <c r="J30"/>
      <c r="L30" s="33"/>
      <c r="M30" s="34" t="s">
        <v>32</v>
      </c>
      <c r="N30" s="35" t="str">
        <f>IF(ISBLANK(Table_Main[[#This Row],[Mã SKU]]),Table_Main[[#This Row],[Mã Nguyên liệu]],Table_Main[[#This Row],[Mã SKU]])</f>
        <v>NL1</v>
      </c>
      <c r="O30" s="29">
        <v>45779</v>
      </c>
      <c r="P30" s="29">
        <v>45778</v>
      </c>
      <c r="Q30" s="25">
        <f>IF(Table_Main[[#This Row],[Ngày lên đơn]]=0,"",Table_Main[[#This Row],[Ngày xuất nhập]]-Table_Main[[#This Row],[Ngày lên đơn]])</f>
        <v>1</v>
      </c>
      <c r="R30" s="40" t="s">
        <v>54</v>
      </c>
      <c r="S30" s="30">
        <v>16</v>
      </c>
      <c r="T30" s="31">
        <v>85458</v>
      </c>
      <c r="U30" s="32">
        <f xml:space="preserve">
IF(NOT(ISBLANK(#REF!)),Table_Main[[#This Row],[Số lượng]]*Table_Main[[#This Row],[Giá nhập]],Table_Main[[#This Row],[Số lượng]]*#REF!)</f>
        <v>1367328</v>
      </c>
    </row>
    <row r="31" spans="2:21" ht="16.5" x14ac:dyDescent="0.3">
      <c r="B31"/>
      <c r="C31"/>
      <c r="D31"/>
      <c r="E31"/>
      <c r="F31"/>
      <c r="G31"/>
      <c r="H31"/>
      <c r="I31"/>
      <c r="J31"/>
      <c r="L31" s="33"/>
      <c r="M31" s="34" t="s">
        <v>32</v>
      </c>
      <c r="N31" s="35" t="str">
        <f>IF(ISBLANK(Table_Main[[#This Row],[Mã SKU]]),Table_Main[[#This Row],[Mã Nguyên liệu]],Table_Main[[#This Row],[Mã SKU]])</f>
        <v>NL1</v>
      </c>
      <c r="O31" s="29">
        <v>45775</v>
      </c>
      <c r="P31" s="29">
        <v>45775</v>
      </c>
      <c r="Q31" s="25">
        <f>IF(Table_Main[[#This Row],[Ngày lên đơn]]=0,"",Table_Main[[#This Row],[Ngày xuất nhập]]-Table_Main[[#This Row],[Ngày lên đơn]])</f>
        <v>0</v>
      </c>
      <c r="R31" s="40" t="s">
        <v>53</v>
      </c>
      <c r="S31" s="30">
        <v>15</v>
      </c>
      <c r="T31" s="31">
        <v>63209</v>
      </c>
      <c r="U31" s="32">
        <f xml:space="preserve">
IF(NOT(ISBLANK(#REF!)),Table_Main[[#This Row],[Số lượng]]*Table_Main[[#This Row],[Giá nhập]],Table_Main[[#This Row],[Số lượng]]*#REF!)</f>
        <v>948135</v>
      </c>
    </row>
    <row r="32" spans="2:21" ht="16.5" x14ac:dyDescent="0.3">
      <c r="B32"/>
      <c r="C32"/>
      <c r="D32"/>
      <c r="E32"/>
      <c r="F32"/>
      <c r="G32"/>
      <c r="H32"/>
      <c r="I32"/>
      <c r="J32"/>
      <c r="L32" s="33"/>
      <c r="M32" s="34" t="s">
        <v>33</v>
      </c>
      <c r="N32" s="35" t="str">
        <f>IF(ISBLANK(Table_Main[[#This Row],[Mã SKU]]),Table_Main[[#This Row],[Mã Nguyên liệu]],Table_Main[[#This Row],[Mã SKU]])</f>
        <v>NL2</v>
      </c>
      <c r="O32" s="29">
        <v>45775</v>
      </c>
      <c r="P32" s="29">
        <v>45772</v>
      </c>
      <c r="Q32" s="36">
        <f>IF(Table_Main[[#This Row],[Ngày lên đơn]]=0,"",Table_Main[[#This Row],[Ngày xuất nhập]]-Table_Main[[#This Row],[Ngày lên đơn]])</f>
        <v>3</v>
      </c>
      <c r="R32" s="40" t="s">
        <v>54</v>
      </c>
      <c r="S32" s="30">
        <v>25</v>
      </c>
      <c r="T32" s="31">
        <v>146875</v>
      </c>
      <c r="U32" s="32">
        <f xml:space="preserve">
IF(NOT(ISBLANK(#REF!)),Table_Main[[#This Row],[Số lượng]]*Table_Main[[#This Row],[Giá nhập]],Table_Main[[#This Row],[Số lượng]]*#REF!)</f>
        <v>3671875</v>
      </c>
    </row>
    <row r="33" spans="2:21" ht="16.5" x14ac:dyDescent="0.3">
      <c r="B33"/>
      <c r="C33"/>
      <c r="D33"/>
      <c r="E33"/>
      <c r="F33"/>
      <c r="G33"/>
      <c r="H33"/>
      <c r="I33"/>
      <c r="J33"/>
      <c r="L33" s="33"/>
      <c r="M33" s="34" t="s">
        <v>33</v>
      </c>
      <c r="N33" s="35" t="str">
        <f>IF(ISBLANK(Table_Main[[#This Row],[Mã SKU]]),Table_Main[[#This Row],[Mã Nguyên liệu]],Table_Main[[#This Row],[Mã SKU]])</f>
        <v>NL2</v>
      </c>
      <c r="O33" s="29">
        <v>45769</v>
      </c>
      <c r="P33" s="29">
        <v>45767</v>
      </c>
      <c r="Q33" s="36">
        <f>IF(Table_Main[[#This Row],[Ngày lên đơn]]=0,"",Table_Main[[#This Row],[Ngày xuất nhập]]-Table_Main[[#This Row],[Ngày lên đơn]])</f>
        <v>2</v>
      </c>
      <c r="R33" s="40" t="s">
        <v>55</v>
      </c>
      <c r="S33" s="30">
        <v>23</v>
      </c>
      <c r="T33" s="31">
        <v>68882</v>
      </c>
      <c r="U33" s="32">
        <f xml:space="preserve">
IF(NOT(ISBLANK(#REF!)),Table_Main[[#This Row],[Số lượng]]*Table_Main[[#This Row],[Giá nhập]],Table_Main[[#This Row],[Số lượng]]*#REF!)</f>
        <v>1584286</v>
      </c>
    </row>
    <row r="34" spans="2:21" ht="16.5" x14ac:dyDescent="0.3">
      <c r="B34"/>
      <c r="C34"/>
      <c r="D34"/>
      <c r="E34"/>
      <c r="F34"/>
      <c r="G34"/>
      <c r="H34"/>
      <c r="I34"/>
      <c r="J34"/>
      <c r="L34" s="27" t="s">
        <v>52</v>
      </c>
      <c r="M34" s="27"/>
      <c r="N34" s="28" t="str">
        <f>IF(ISBLANK(Table_Main[[#This Row],[Mã SKU]]),Table_Main[[#This Row],[Mã Nguyên liệu]],Table_Main[[#This Row],[Mã SKU]])</f>
        <v>HH1</v>
      </c>
      <c r="O34" s="29">
        <v>45765</v>
      </c>
      <c r="P34" s="29">
        <v>45764</v>
      </c>
      <c r="Q34" s="36">
        <f>IF(Table_Main[[#This Row],[Ngày lên đơn]]=0,"",Table_Main[[#This Row],[Ngày xuất nhập]]-Table_Main[[#This Row],[Ngày lên đơn]])</f>
        <v>1</v>
      </c>
      <c r="R34" s="40" t="s">
        <v>53</v>
      </c>
      <c r="S34" s="30">
        <v>13</v>
      </c>
      <c r="T34" s="31">
        <v>56213</v>
      </c>
      <c r="U34" s="32">
        <f xml:space="preserve">
IF(NOT(ISBLANK(#REF!)),Table_Main[[#This Row],[Số lượng]]*Table_Main[[#This Row],[Giá nhập]],Table_Main[[#This Row],[Số lượng]]*#REF!)</f>
        <v>730769</v>
      </c>
    </row>
    <row r="35" spans="2:21" ht="16.5" x14ac:dyDescent="0.3">
      <c r="B35"/>
      <c r="C35"/>
      <c r="D35"/>
      <c r="E35"/>
      <c r="F35"/>
      <c r="G35"/>
      <c r="H35"/>
      <c r="I35"/>
      <c r="J35"/>
      <c r="L35" s="37"/>
      <c r="M35" s="34" t="s">
        <v>32</v>
      </c>
      <c r="N35" s="35" t="str">
        <f>IF(ISBLANK(Table_Main[[#This Row],[Mã SKU]]),Table_Main[[#This Row],[Mã Nguyên liệu]],Table_Main[[#This Row],[Mã SKU]])</f>
        <v>NL1</v>
      </c>
      <c r="O35" s="29">
        <v>45746</v>
      </c>
      <c r="P35" s="29">
        <v>45744</v>
      </c>
      <c r="Q35" s="25">
        <f>IF(Table_Main[[#This Row],[Ngày lên đơn]]=0,"",Table_Main[[#This Row],[Ngày xuất nhập]]-Table_Main[[#This Row],[Ngày lên đơn]])</f>
        <v>2</v>
      </c>
      <c r="R35" s="40" t="s">
        <v>54</v>
      </c>
      <c r="S35" s="30">
        <v>6</v>
      </c>
      <c r="T35" s="31">
        <v>147566</v>
      </c>
      <c r="U35" s="32">
        <f xml:space="preserve">
IF(NOT(ISBLANK(#REF!)),Table_Main[[#This Row],[Số lượng]]*Table_Main[[#This Row],[Giá nhập]],Table_Main[[#This Row],[Số lượng]]*#REF!)</f>
        <v>885396</v>
      </c>
    </row>
    <row r="36" spans="2:21" ht="16.5" x14ac:dyDescent="0.3">
      <c r="B36"/>
      <c r="C36"/>
      <c r="D36"/>
      <c r="E36"/>
      <c r="F36"/>
      <c r="G36"/>
      <c r="H36"/>
      <c r="I36"/>
      <c r="J36"/>
      <c r="L36" s="37"/>
      <c r="M36" s="34" t="s">
        <v>33</v>
      </c>
      <c r="N36" s="35" t="str">
        <f>IF(ISBLANK(Table_Main[[#This Row],[Mã SKU]]),Table_Main[[#This Row],[Mã Nguyên liệu]],Table_Main[[#This Row],[Mã SKU]])</f>
        <v>NL2</v>
      </c>
      <c r="O36" s="29">
        <v>45737</v>
      </c>
      <c r="P36" s="29">
        <v>45737</v>
      </c>
      <c r="Q36" s="25">
        <f>IF(Table_Main[[#This Row],[Ngày lên đơn]]=0,"",Table_Main[[#This Row],[Ngày xuất nhập]]-Table_Main[[#This Row],[Ngày lên đơn]])</f>
        <v>0</v>
      </c>
      <c r="R36" s="40" t="s">
        <v>53</v>
      </c>
      <c r="S36" s="30">
        <v>8</v>
      </c>
      <c r="T36" s="31">
        <v>98784</v>
      </c>
      <c r="U36" s="32">
        <f xml:space="preserve">
IF(NOT(ISBLANK(#REF!)),Table_Main[[#This Row],[Số lượng]]*Table_Main[[#This Row],[Giá nhập]],Table_Main[[#This Row],[Số lượng]]*#REF!)</f>
        <v>790272</v>
      </c>
    </row>
    <row r="37" spans="2:21" ht="16.5" x14ac:dyDescent="0.3">
      <c r="B37"/>
      <c r="C37"/>
      <c r="D37"/>
      <c r="E37"/>
      <c r="F37"/>
      <c r="G37"/>
      <c r="H37"/>
      <c r="I37"/>
      <c r="J37"/>
      <c r="L37" s="38" t="s">
        <v>52</v>
      </c>
      <c r="M37" s="27"/>
      <c r="N37" s="28" t="str">
        <f>IF(ISBLANK(Table_Main[[#This Row],[Mã SKU]]),Table_Main[[#This Row],[Mã Nguyên liệu]],Table_Main[[#This Row],[Mã SKU]])</f>
        <v>HH1</v>
      </c>
      <c r="O37" s="29">
        <v>45732</v>
      </c>
      <c r="P37" s="29">
        <v>45732</v>
      </c>
      <c r="Q37" s="25">
        <f>IF(Table_Main[[#This Row],[Ngày lên đơn]]=0,"",Table_Main[[#This Row],[Ngày xuất nhập]]-Table_Main[[#This Row],[Ngày lên đơn]])</f>
        <v>0</v>
      </c>
      <c r="R37" s="40" t="s">
        <v>53</v>
      </c>
      <c r="S37" s="30">
        <v>23</v>
      </c>
      <c r="T37" s="31">
        <v>139034</v>
      </c>
      <c r="U37" s="32">
        <f xml:space="preserve">
IF(NOT(ISBLANK(#REF!)),Table_Main[[#This Row],[Số lượng]]*Table_Main[[#This Row],[Giá nhập]],Table_Main[[#This Row],[Số lượng]]*#REF!)</f>
        <v>3197782</v>
      </c>
    </row>
    <row r="38" spans="2:21" ht="16.5" x14ac:dyDescent="0.3">
      <c r="B38"/>
      <c r="C38"/>
      <c r="D38"/>
      <c r="E38"/>
      <c r="F38"/>
      <c r="G38"/>
      <c r="H38"/>
      <c r="I38"/>
      <c r="J38"/>
      <c r="L38" s="37"/>
      <c r="M38" s="34" t="s">
        <v>32</v>
      </c>
      <c r="N38" s="35" t="str">
        <f>IF(ISBLANK(Table_Main[[#This Row],[Mã SKU]]),Table_Main[[#This Row],[Mã Nguyên liệu]],Table_Main[[#This Row],[Mã SKU]])</f>
        <v>NL1</v>
      </c>
      <c r="O38" s="29">
        <v>45731</v>
      </c>
      <c r="P38" s="29">
        <v>45730</v>
      </c>
      <c r="Q38" s="25">
        <f>IF(Table_Main[[#This Row],[Ngày lên đơn]]=0,"",Table_Main[[#This Row],[Ngày xuất nhập]]-Table_Main[[#This Row],[Ngày lên đơn]])</f>
        <v>1</v>
      </c>
      <c r="R38" s="40" t="s">
        <v>54</v>
      </c>
      <c r="S38" s="30">
        <v>14</v>
      </c>
      <c r="T38" s="31">
        <v>108469</v>
      </c>
      <c r="U38" s="32">
        <f xml:space="preserve">
IF(NOT(ISBLANK(#REF!)),Table_Main[[#This Row],[Số lượng]]*Table_Main[[#This Row],[Giá nhập]],Table_Main[[#This Row],[Số lượng]]*#REF!)</f>
        <v>1518566</v>
      </c>
    </row>
    <row r="39" spans="2:21" ht="16.5" x14ac:dyDescent="0.3">
      <c r="B39"/>
      <c r="C39"/>
      <c r="D39"/>
      <c r="E39"/>
      <c r="F39"/>
      <c r="G39"/>
      <c r="H39"/>
      <c r="I39"/>
      <c r="J39"/>
      <c r="L39" s="37"/>
      <c r="M39" s="34" t="s">
        <v>33</v>
      </c>
      <c r="N39" s="35" t="str">
        <f>IF(ISBLANK(Table_Main[[#This Row],[Mã SKU]]),Table_Main[[#This Row],[Mã Nguyên liệu]],Table_Main[[#This Row],[Mã SKU]])</f>
        <v>NL2</v>
      </c>
      <c r="O39" s="29">
        <v>45731</v>
      </c>
      <c r="P39" s="29">
        <v>45728</v>
      </c>
      <c r="Q39" s="25">
        <f>IF(Table_Main[[#This Row],[Ngày lên đơn]]=0,"",Table_Main[[#This Row],[Ngày xuất nhập]]-Table_Main[[#This Row],[Ngày lên đơn]])</f>
        <v>3</v>
      </c>
      <c r="R39" s="40" t="s">
        <v>55</v>
      </c>
      <c r="S39" s="30">
        <v>12</v>
      </c>
      <c r="T39" s="31">
        <v>69691</v>
      </c>
      <c r="U39" s="32">
        <f xml:space="preserve">
IF(NOT(ISBLANK(#REF!)),Table_Main[[#This Row],[Số lượng]]*Table_Main[[#This Row],[Giá nhập]],Table_Main[[#This Row],[Số lượng]]*#REF!)</f>
        <v>836292</v>
      </c>
    </row>
    <row r="40" spans="2:21" ht="16.5" x14ac:dyDescent="0.3">
      <c r="B40"/>
      <c r="E40"/>
      <c r="F40"/>
      <c r="L40" s="39" t="s">
        <v>52</v>
      </c>
      <c r="M40" s="27"/>
      <c r="N40" s="28" t="str">
        <f>IF(ISBLANK(Table_Main[[#This Row],[Mã SKU]]),Table_Main[[#This Row],[Mã Nguyên liệu]],Table_Main[[#This Row],[Mã SKU]])</f>
        <v>HH1</v>
      </c>
      <c r="O40" s="29">
        <v>45722</v>
      </c>
      <c r="P40" s="29">
        <v>45722</v>
      </c>
      <c r="Q40" s="25">
        <f>IF(Table_Main[[#This Row],[Ngày lên đơn]]=0,"",Table_Main[[#This Row],[Ngày xuất nhập]]-Table_Main[[#This Row],[Ngày lên đơn]])</f>
        <v>0</v>
      </c>
      <c r="R40" s="40" t="s">
        <v>53</v>
      </c>
      <c r="S40" s="30">
        <v>150</v>
      </c>
      <c r="T40" s="31">
        <v>80000</v>
      </c>
      <c r="U40" s="32">
        <f xml:space="preserve">
IF(NOT(ISBLANK(#REF!)),Table_Main[[#This Row],[Số lượng]]*Table_Main[[#This Row],[Giá nhập]],Table_Main[[#This Row],[Số lượng]]*#REF!)</f>
        <v>12000000</v>
      </c>
    </row>
    <row r="41" spans="2:21" ht="16.5" x14ac:dyDescent="0.3">
      <c r="B41"/>
      <c r="E41"/>
      <c r="F41"/>
      <c r="L41" s="37"/>
      <c r="M41" s="34" t="s">
        <v>33</v>
      </c>
      <c r="N41" s="35" t="str">
        <f>IF(ISBLANK(Table_Main[[#This Row],[Mã SKU]]),Table_Main[[#This Row],[Mã Nguyên liệu]],Table_Main[[#This Row],[Mã SKU]])</f>
        <v>NL2</v>
      </c>
      <c r="O41" s="29">
        <v>45722</v>
      </c>
      <c r="P41" s="29">
        <v>45722</v>
      </c>
      <c r="Q41" s="25">
        <f>IF(Table_Main[[#This Row],[Ngày lên đơn]]=0,"",Table_Main[[#This Row],[Ngày xuất nhập]]-Table_Main[[#This Row],[Ngày lên đơn]])</f>
        <v>0</v>
      </c>
      <c r="R41" s="40" t="s">
        <v>53</v>
      </c>
      <c r="S41" s="30">
        <v>200</v>
      </c>
      <c r="T41" s="31">
        <v>150000</v>
      </c>
      <c r="U41" s="32">
        <f xml:space="preserve">
IF(NOT(ISBLANK(#REF!)),Table_Main[[#This Row],[Số lượng]]*Table_Main[[#This Row],[Giá nhập]],Table_Main[[#This Row],[Số lượng]]*#REF!)</f>
        <v>30000000</v>
      </c>
    </row>
    <row r="42" spans="2:21" ht="16.5" x14ac:dyDescent="0.3">
      <c r="B42"/>
      <c r="E42"/>
      <c r="L42" s="37"/>
      <c r="M42" s="34" t="s">
        <v>32</v>
      </c>
      <c r="N42" s="35" t="str">
        <f>IF(ISBLANK(Table_Main[[#This Row],[Mã SKU]]),Table_Main[[#This Row],[Mã Nguyên liệu]],Table_Main[[#This Row],[Mã SKU]])</f>
        <v>NL1</v>
      </c>
      <c r="O42" s="29">
        <v>45722</v>
      </c>
      <c r="P42" s="29">
        <v>45720</v>
      </c>
      <c r="Q42" s="36">
        <f>IF(Table_Main[[#This Row],[Ngày lên đơn]]=0,"",Table_Main[[#This Row],[Ngày xuất nhập]]-Table_Main[[#This Row],[Ngày lên đơn]])</f>
        <v>2</v>
      </c>
      <c r="R42" s="40" t="s">
        <v>54</v>
      </c>
      <c r="S42" s="30">
        <v>300</v>
      </c>
      <c r="T42" s="31">
        <v>100000</v>
      </c>
      <c r="U42" s="32">
        <f xml:space="preserve">
IF(NOT(ISBLANK(#REF!)),Table_Main[[#This Row],[Số lượng]]*Table_Main[[#This Row],[Giá nhập]],Table_Main[[#This Row],[Số lượng]]*#REF!)</f>
        <v>30000000</v>
      </c>
    </row>
    <row r="43" spans="2:21" ht="16.5" x14ac:dyDescent="0.3">
      <c r="E43"/>
    </row>
    <row r="44" spans="2:21" ht="16.5" x14ac:dyDescent="0.3">
      <c r="E44"/>
    </row>
    <row r="45" spans="2:21" ht="16.5" x14ac:dyDescent="0.3">
      <c r="E45"/>
    </row>
    <row r="46" spans="2:21" ht="16.5" x14ac:dyDescent="0.3">
      <c r="E46"/>
    </row>
    <row r="47" spans="2:21" ht="16.5" x14ac:dyDescent="0.3">
      <c r="E47"/>
    </row>
    <row r="48" spans="2:21" ht="16.5" x14ac:dyDescent="0.3">
      <c r="E48"/>
    </row>
    <row r="49" spans="5:5" ht="16.5" x14ac:dyDescent="0.3">
      <c r="E49"/>
    </row>
    <row r="50" spans="5:5" ht="16.5" x14ac:dyDescent="0.3">
      <c r="E50"/>
    </row>
    <row r="51" spans="5:5" ht="16.5" x14ac:dyDescent="0.3">
      <c r="E51"/>
    </row>
    <row r="52" spans="5:5" ht="16.5" x14ac:dyDescent="0.3">
      <c r="E52"/>
    </row>
    <row r="53" spans="5:5" ht="16.5" x14ac:dyDescent="0.3">
      <c r="E53"/>
    </row>
    <row r="54" spans="5:5" ht="16.5" x14ac:dyDescent="0.3">
      <c r="E54"/>
    </row>
    <row r="55" spans="5:5" ht="16.5" x14ac:dyDescent="0.3">
      <c r="E55"/>
    </row>
    <row r="56" spans="5:5" ht="16.5" x14ac:dyDescent="0.3">
      <c r="E56"/>
    </row>
  </sheetData>
  <sheetProtection algorithmName="SHA-512" hashValue="kyE3liTU5NBxDHAIqZNh0DxDJN5VpDtN5jcFL5g4MVmWTUfgn6TN0r4IOB+kCOVjSY8MPmUhqmz3kPdL79FDtQ==" saltValue="iQyTzi7qwjReP7Ih5dATBA==" spinCount="100000" sheet="1" scenarios="1" formatCells="0" formatColumns="0" formatRows="0" autoFilter="0" pivotTables="0"/>
  <protectedRanges>
    <protectedRange sqref="L22:L42 T22:T42 O22:S42" name="Range1"/>
    <protectedRange sqref="M22:N42" name="Range1_1"/>
    <protectedRange sqref="U22:U42" name="Range1_3"/>
  </protectedRanges>
  <dataValidations count="2">
    <dataValidation type="list" allowBlank="1" showInputMessage="1" sqref="M23:M42" xr:uid="{1912BCB4-C7C0-4199-BF0B-F7A6F12F740A}">
      <formula1>MaNguyenLieu</formula1>
    </dataValidation>
    <dataValidation type="list" allowBlank="1" showInputMessage="1" sqref="L23:L42" xr:uid="{A72C620E-8630-498F-92BA-701C61CDA54F}">
      <formula1>Ma_SKU</formula1>
    </dataValidation>
  </dataValidation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18</xdr:col>
                    <xdr:colOff>38100</xdr:colOff>
                    <xdr:row>0</xdr:row>
                    <xdr:rowOff>104775</xdr:rowOff>
                  </from>
                  <to>
                    <xdr:col>18</xdr:col>
                    <xdr:colOff>581025</xdr:colOff>
                    <xdr:row>1</xdr:row>
                    <xdr:rowOff>133350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18</xdr:col>
                    <xdr:colOff>762000</xdr:colOff>
                    <xdr:row>0</xdr:row>
                    <xdr:rowOff>104775</xdr:rowOff>
                  </from>
                  <to>
                    <xdr:col>19</xdr:col>
                    <xdr:colOff>495300</xdr:colOff>
                    <xdr:row>1</xdr:row>
                    <xdr:rowOff>133350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14</xdr:col>
                    <xdr:colOff>133350</xdr:colOff>
                    <xdr:row>0</xdr:row>
                    <xdr:rowOff>133350</xdr:rowOff>
                  </from>
                  <to>
                    <xdr:col>15</xdr:col>
                    <xdr:colOff>38100</xdr:colOff>
                    <xdr:row>1</xdr:row>
                    <xdr:rowOff>180975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14</xdr:col>
                    <xdr:colOff>600075</xdr:colOff>
                    <xdr:row>0</xdr:row>
                    <xdr:rowOff>133350</xdr:rowOff>
                  </from>
                  <to>
                    <xdr:col>15</xdr:col>
                    <xdr:colOff>504825</xdr:colOff>
                    <xdr:row>1</xdr:row>
                    <xdr:rowOff>180975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15</xdr:col>
                    <xdr:colOff>381000</xdr:colOff>
                    <xdr:row>0</xdr:row>
                    <xdr:rowOff>133350</xdr:rowOff>
                  </from>
                  <to>
                    <xdr:col>17</xdr:col>
                    <xdr:colOff>47625</xdr:colOff>
                    <xdr:row>1</xdr:row>
                    <xdr:rowOff>180975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15</xdr:col>
                    <xdr:colOff>847725</xdr:colOff>
                    <xdr:row>0</xdr:row>
                    <xdr:rowOff>133350</xdr:rowOff>
                  </from>
                  <to>
                    <xdr:col>17</xdr:col>
                    <xdr:colOff>276225</xdr:colOff>
                    <xdr:row>1</xdr:row>
                    <xdr:rowOff>180975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14</xdr:col>
                    <xdr:colOff>28575</xdr:colOff>
                    <xdr:row>0</xdr:row>
                    <xdr:rowOff>85725</xdr:rowOff>
                  </from>
                  <to>
                    <xdr:col>17</xdr:col>
                    <xdr:colOff>390525</xdr:colOff>
                    <xdr:row>1</xdr:row>
                    <xdr:rowOff>219075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66675</xdr:colOff>
                    <xdr:row>0</xdr:row>
                    <xdr:rowOff>85725</xdr:rowOff>
                  </from>
                  <to>
                    <xdr:col>12</xdr:col>
                    <xdr:colOff>847725</xdr:colOff>
                    <xdr:row>1</xdr:row>
                    <xdr:rowOff>219075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142875</xdr:colOff>
                    <xdr:row>0</xdr:row>
                    <xdr:rowOff>180975</xdr:rowOff>
                  </from>
                  <to>
                    <xdr:col>11</xdr:col>
                    <xdr:colOff>609600</xdr:colOff>
                    <xdr:row>1</xdr:row>
                    <xdr:rowOff>123825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657225</xdr:colOff>
                    <xdr:row>0</xdr:row>
                    <xdr:rowOff>180975</xdr:rowOff>
                  </from>
                  <to>
                    <xdr:col>12</xdr:col>
                    <xdr:colOff>257175</xdr:colOff>
                    <xdr:row>1</xdr:row>
                    <xdr:rowOff>123825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304800</xdr:colOff>
                    <xdr:row>0</xdr:row>
                    <xdr:rowOff>180975</xdr:rowOff>
                  </from>
                  <to>
                    <xdr:col>12</xdr:col>
                    <xdr:colOff>762000</xdr:colOff>
                    <xdr:row>1</xdr:row>
                    <xdr:rowOff>123825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21</xdr:col>
                    <xdr:colOff>171450</xdr:colOff>
                    <xdr:row>0</xdr:row>
                    <xdr:rowOff>76200</xdr:rowOff>
                  </from>
                  <to>
                    <xdr:col>22</xdr:col>
                    <xdr:colOff>133350</xdr:colOff>
                    <xdr:row>1</xdr:row>
                    <xdr:rowOff>104775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2" id="{F53924F9-F227-4F7F-9A12-DCE1A492951D}">
            <xm:f>Security!$A$1="NO VBA"</xm:f>
            <x14:dxf>
              <font>
                <color theme="0"/>
              </font>
              <border>
                <vertical/>
                <horizontal/>
              </border>
            </x14:dxf>
          </x14:cfRule>
          <xm:sqref>P43:P1048576 L43:N1048576 V22:XFD1048576 K1:K1048576 A1:A1048576 D1:D22 G1:G22 L1:R21 T1:XFD21 R2:S21 R43:S1048576 D40:D1048576 G40:G1048576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  
</file>

<file path=customXml/item3.xml>�� �  p h � �c   n  � �� � � �  p h � �c   n  � �� � � 
</file>

<file path=customXml/item4.xml>�� � � �n   v � �  s u � �  l � � � � �n   v � �  s u � �  l � � 
</file>

<file path=customXml/item5.xml>��   
</file>

<file path=customXml/item6.xml>�� 
</file>

<file path=customXml/item7.xml>�� 
</file>

<file path=customXml/item8.xml>�� �n   �u   t � �n   �u   t � �  �u   t � �i   h � �  �  �u   t � �   � �n   �u   t � �n   �u   t � �  �u   t � �i   h � �  �  �u   t � �   � 
</file>

<file path=customXml/item9.xml>��   
</file>

<file path=customXml/item10.xml>�� 
</file>

<file path=customXml/item11.xml>�� � �n   v � � � �n   t � �  l �� �n   � �  c �n   � � �n   v � � � �n   t � �  l �� �n   � �  c �n   � 
</file>

<file path=customXml/item12.xml>�� �  �  
</file>

<file path=customXml/item13.xml>�� 
</file>

<file path=customXml/item14.xml>�� � � � �� �  l � � � � i �m   s �  d � � �n   c � � �p    � � � � i � �  d �  �  �  �  �  l ��  �  � �  l � � � � � � �� �  l � � � � i �m   s �  d � � �n   c � � �p    � � � � i � �  d �  �  �  �  �  l ��  �  � �  l � � � 
</file>

<file path=customXml/item15.xml>�� � � � � �  t �n   � �  t � � � � � � � � � � � �  t �n   � �  t � � � � � � � � � � � �  l �� � � � � � �  s u � � � � � � � � � �� �  l � � � �� �  l � � � �  l � �n   � � �n   s �  b � � �p     �  �  �  �  l ��  �  � � � � � �  t �n   � �  t � � � � � � � � � � � �  t �n   � �  t � � � � � � � � � � � �  l �� � � � � � �  s u � � � � � � � � � �� �  l � � � �� �  l � � � �  l � �n   � � �n   s �  b � � �p     �  �  �  �  l ��  �  � 
</file>

<file path=customXml/item16.xml>��   
</file>

<file path=customXml/item17.xml>��   
</file>

<file path=customXml/item18.xml>�� 
</file>

<file path=customXml/item19.xml>��   
</file>

<file path=customXml/item20.xml>��   
</file>

<file path=customXml/item21.xml>�� 
</file>

<file path=customXml/item22.xml>��   
</file>

<file path=customXml/item23.xml>�� 
</file>

<file path=customXml/item24.xml>�� �c   n  �c   n  
</file>

<file path=customXml/item25.xml>�� 
</file>

<file path=customXml/item26.xml>�� � �n   v � � �n   l �� �  h o � � �n   v � � � � �  l �� � � � � � �n   v � � �n   l �� �  h o � � �n   v � � � � �  l �� � � � � 
</file>

<file path=customXml/item27.xml>�� � � � � 
</file>

<file path=customXml/item28.xml>�� �� �i   t �� � �� �t   � � �  l � � �  l �� �  t � � �� �i   t �� � �� �t   � � �  l � � �  l �� �  t � � 
</file>

<file path=customXml/item29.xml>��   
</file>

<file path=customXml/item30.xml>�� 
</file>

<file path=customXml/item31.xml>�� 
</file>

<file path=customXml/item32.xml>�� 
</file>

<file path=customXml/item33.xml>�� � � � i � �  d � i �m   s �  d � �� �  l � � � � � �n   c � � � � � �  l � � � � �p     �  �  �  �  l ��  �  � � �n   v � � �n   l �� �  h o � � �n   v � � � � �  l �� � � � � � �n   v � � � �n   t � �  l �� �n   � �  c �n   � 
</file>

<file path=customXml/item34.xml>��   
</file>

<file path=customXml/item35.xml>�� 
</file>

<file path=customXml/item36.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37.xml>�� 
</file>

<file path=customXml/item38.xml>�� 
</file>

<file path=customXml/item39.xml>�� 
</file>

<file path=customXml/itemProps1.xml><?xml version="1.0" encoding="utf-8"?>
<ds:datastoreItem xmlns:ds="http://schemas.openxmlformats.org/officeDocument/2006/customXml" ds:itemID="{E6D04F09-A0CB-4767-9A3B-DEFC48A93C2E}">
  <ds:schemaRefs/>
</ds:datastoreItem>
</file>

<file path=customXml/itemProps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xml><?xml version="1.0" encoding="utf-8"?>
<ds:datastoreItem xmlns:ds="http://schemas.openxmlformats.org/officeDocument/2006/customXml" ds:itemID="{7D64D66F-1898-49BE-A788-6FA781CEE8F3}">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A849B9D7-188B-48DA-AB5B-54583621621D}">
  <ds:schemaRefs/>
</ds:datastoreItem>
</file>

<file path=customXml/itemProps6.xml><?xml version="1.0" encoding="utf-8"?>
<ds:datastoreItem xmlns:ds="http://schemas.openxmlformats.org/officeDocument/2006/customXml" ds:itemID="{7021A11F-0BD7-4116-A1BA-408464620E95}">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1DCF6CF2-3AC1-40B5-8ED4-45397DB698C8}">
  <ds:schemaRefs/>
</ds:datastoreItem>
</file>

<file path=customXml/itemProps11.xml><?xml version="1.0" encoding="utf-8"?>
<ds:datastoreItem xmlns:ds="http://schemas.openxmlformats.org/officeDocument/2006/customXml" ds:itemID="{8B98AF96-AE99-4FFA-A257-0384ACCA009E}">
  <ds:schemaRefs/>
</ds:datastoreItem>
</file>

<file path=customXml/itemProps1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3.xml><?xml version="1.0" encoding="utf-8"?>
<ds:datastoreItem xmlns:ds="http://schemas.openxmlformats.org/officeDocument/2006/customXml" ds:itemID="{A1EA2536-6CF2-4BF9-B797-861E61AA8554}">
  <ds:schemaRefs/>
</ds:datastoreItem>
</file>

<file path=customXml/itemProps14.xml><?xml version="1.0" encoding="utf-8"?>
<ds:datastoreItem xmlns:ds="http://schemas.openxmlformats.org/officeDocument/2006/customXml" ds:itemID="{CCFAB5FF-26AB-4CB9-BA2C-5A121007B041}">
  <ds:schemaRefs/>
</ds:datastoreItem>
</file>

<file path=customXml/itemProps15.xml><?xml version="1.0" encoding="utf-8"?>
<ds:datastoreItem xmlns:ds="http://schemas.openxmlformats.org/officeDocument/2006/customXml" ds:itemID="{2BF00A03-70FC-4137-967C-82A1B61F0E08}">
  <ds:schemaRefs/>
</ds:datastoreItem>
</file>

<file path=customXml/itemProps16.xml><?xml version="1.0" encoding="utf-8"?>
<ds:datastoreItem xmlns:ds="http://schemas.openxmlformats.org/officeDocument/2006/customXml" ds:itemID="{339EBD31-34FE-48FA-B11C-5697D02F64AC}">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E4A72D0F-82E5-49F6-94ED-FAAB12E0866D}">
  <ds:schemaRefs/>
</ds:datastoreItem>
</file>

<file path=customXml/itemProps1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BD0A3295-775E-4690-B937-12063737D224}">
  <ds:schemaRefs/>
</ds:datastoreItem>
</file>

<file path=customXml/itemProps24.xml><?xml version="1.0" encoding="utf-8"?>
<ds:datastoreItem xmlns:ds="http://schemas.openxmlformats.org/officeDocument/2006/customXml" ds:itemID="{A6D0F6C4-9EB7-4062-86F8-715E8F5BF469}">
  <ds:schemaRefs/>
</ds:datastoreItem>
</file>

<file path=customXml/itemProps25.xml><?xml version="1.0" encoding="utf-8"?>
<ds:datastoreItem xmlns:ds="http://schemas.openxmlformats.org/officeDocument/2006/customXml" ds:itemID="{02186421-9719-4C31-96F7-D4797282906B}">
  <ds:schemaRefs/>
</ds:datastoreItem>
</file>

<file path=customXml/itemProps26.xml><?xml version="1.0" encoding="utf-8"?>
<ds:datastoreItem xmlns:ds="http://schemas.openxmlformats.org/officeDocument/2006/customXml" ds:itemID="{8CF5C40D-0438-4F30-AF26-479883D0ECA4}">
  <ds:schemaRefs/>
</ds:datastoreItem>
</file>

<file path=customXml/itemProps2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0.xml><?xml version="1.0" encoding="utf-8"?>
<ds:datastoreItem xmlns:ds="http://schemas.openxmlformats.org/officeDocument/2006/customXml" ds:itemID="{A4EF8C1A-1873-467C-B390-C3A3C13B97E1}">
  <ds:schemaRefs/>
</ds:datastoreItem>
</file>

<file path=customXml/itemProps31.xml><?xml version="1.0" encoding="utf-8"?>
<ds:datastoreItem xmlns:ds="http://schemas.openxmlformats.org/officeDocument/2006/customXml" ds:itemID="{7EEB9E87-0CB2-4B08-8718-D73C70A0EF2E}">
  <ds:schemaRefs/>
</ds:datastoreItem>
</file>

<file path=customXml/itemProps3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3.xml><?xml version="1.0" encoding="utf-8"?>
<ds:datastoreItem xmlns:ds="http://schemas.openxmlformats.org/officeDocument/2006/customXml" ds:itemID="{5E546383-D2BA-476C-88AE-B2B724C630BE}">
  <ds:schemaRefs/>
</ds:datastoreItem>
</file>

<file path=customXml/itemProps34.xml><?xml version="1.0" encoding="utf-8"?>
<ds:datastoreItem xmlns:ds="http://schemas.openxmlformats.org/officeDocument/2006/customXml" ds:itemID="{0B9C3544-1C46-45A4-BEB6-1CE4D6559900}">
  <ds:schemaRefs/>
</ds:datastoreItem>
</file>

<file path=customXml/itemProps35.xml><?xml version="1.0" encoding="utf-8"?>
<ds:datastoreItem xmlns:ds="http://schemas.openxmlformats.org/officeDocument/2006/customXml" ds:itemID="{04EC37D3-95F9-4497-8F2D-52060F2CB90B}">
  <ds:schemaRefs/>
</ds:datastoreItem>
</file>

<file path=customXml/itemProps36.xml><?xml version="1.0" encoding="utf-8"?>
<ds:datastoreItem xmlns:ds="http://schemas.openxmlformats.org/officeDocument/2006/customXml" ds:itemID="{46C12687-E171-4F06-AB12-4269FC52E376}">
  <ds:schemaRefs/>
</ds:datastoreItem>
</file>

<file path=customXml/itemProps37.xml><?xml version="1.0" encoding="utf-8"?>
<ds:datastoreItem xmlns:ds="http://schemas.openxmlformats.org/officeDocument/2006/customXml" ds:itemID="{15928715-2AE1-4852-B923-842E3F216749}">
  <ds:schemaRefs/>
</ds:datastoreItem>
</file>

<file path=customXml/itemProps38.xml><?xml version="1.0" encoding="utf-8"?>
<ds:datastoreItem xmlns:ds="http://schemas.openxmlformats.org/officeDocument/2006/customXml" ds:itemID="{48CCF521-6BC6-4824-9A98-C28B83F05652}">
  <ds:schemaRefs/>
</ds:datastoreItem>
</file>

<file path=customXml/itemProps39.xml><?xml version="1.0" encoding="utf-8"?>
<ds:datastoreItem xmlns:ds="http://schemas.openxmlformats.org/officeDocument/2006/customXml" ds:itemID="{BEB9306D-19A9-4A0D-AFA6-D833DD14C82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2025-06-24T04:08:56Z</dcterms:modified>
  <cp:category/>
  <cp:contentStatus/>
</cp:coreProperties>
</file>