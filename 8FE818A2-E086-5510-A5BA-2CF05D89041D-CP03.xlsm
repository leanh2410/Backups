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d.docs.live.net/ad09c6d446519e5c/Desktop/Full Combo/Files/"/>
    </mc:Choice>
  </mc:AlternateContent>
  <xr:revisionPtr revIDLastSave="0" documentId="8_{09E3FFC0-F8FC-4A9E-9A7D-EC3CEE5E52A9}" xr6:coauthVersionLast="47" xr6:coauthVersionMax="47" xr10:uidLastSave="{00000000-0000-0000-0000-000000000000}"/>
  <bookViews>
    <workbookView xWindow="-120" yWindow="-120" windowWidth="38640" windowHeight="21120" tabRatio="717" firstSheet="1" activeTab="2"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9" i="61" l="1"/>
  <c r="Z7" i="61"/>
  <c r="AA7" i="61" s="1" a="1"/>
  <c r="AA7" i="61" s="1"/>
  <c r="BL10" i="61" l="1"/>
  <c r="BL11" i="61"/>
  <c r="BM11" i="61" s="1"/>
  <c r="BL12" i="61"/>
  <c r="BM12" i="61" s="1"/>
  <c r="BM10" i="61" l="1"/>
  <c r="AC5" i="61"/>
  <c r="BT9" i="61"/>
  <c r="BS9" i="61"/>
  <c r="BO9" i="61"/>
  <c r="Z6" i="61" l="1"/>
  <c r="X5" i="61"/>
  <c r="BL9" i="61" l="1"/>
  <c r="BK7" i="61"/>
  <c r="BL7" i="61" s="1"/>
  <c r="BM9" i="61" l="1"/>
  <c r="AC4" i="61"/>
  <c r="BM7" i="61"/>
  <c r="AC24" i="61" l="1" a="1"/>
  <c r="AC24" i="61" s="1"/>
  <c r="AC34" i="61" a="1"/>
  <c r="AC34" i="61" s="1"/>
  <c r="AC33" i="61" a="1"/>
  <c r="AC33"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R11" i="61" l="1"/>
  <c r="R10" i="61"/>
  <c r="R9" i="61"/>
  <c r="R8" i="61"/>
  <c r="H8" i="61"/>
  <c r="H5" i="61" s="1"/>
  <c r="R7" i="61"/>
  <c r="R6" i="61"/>
  <c r="S5" i="61" a="1"/>
  <c r="S5" i="61" s="1"/>
  <c r="R5" i="61"/>
  <c r="G5" i="61"/>
  <c r="F5" i="61"/>
  <c r="S3" i="61" a="1"/>
  <c r="S3" i="61" s="1"/>
  <c r="R3" i="61"/>
  <c r="AC2" i="61"/>
  <c r="AD1" i="61"/>
  <c r="AD5" i="61" l="1"/>
  <c r="AD4" i="61"/>
  <c r="CB9" i="61"/>
  <c r="CC9" i="61"/>
  <c r="AC47" i="61" a="1"/>
  <c r="AC47" i="61" s="1"/>
  <c r="AC35" i="61" a="1"/>
  <c r="AC35" i="61" s="1"/>
  <c r="AC46" i="61" a="1"/>
  <c r="AC46" i="61" s="1"/>
  <c r="AC45" i="61" a="1"/>
  <c r="AC45" i="61" s="1"/>
  <c r="AC40" i="61" a="1"/>
  <c r="AC40" i="61" s="1"/>
  <c r="AC39" i="61" a="1"/>
  <c r="AC39" i="61" s="1"/>
  <c r="AC38" i="61" a="1"/>
  <c r="AC38" i="61" s="1"/>
  <c r="AC37" i="61" a="1"/>
  <c r="AC37" i="61" s="1"/>
  <c r="AC29" i="61" a="1"/>
  <c r="AC29" i="61" s="1"/>
  <c r="AC27" i="61" a="1"/>
  <c r="AC27" i="61" s="1"/>
  <c r="AC50" i="61" a="1"/>
  <c r="AC50" i="61" s="1"/>
  <c r="AC57" i="61" a="1"/>
  <c r="AC57" i="61" s="1"/>
  <c r="AC36" i="61" a="1"/>
  <c r="AC36" i="61" s="1"/>
  <c r="AC56" i="61" a="1"/>
  <c r="AC56" i="61" s="1"/>
  <c r="AC44" i="61" a="1"/>
  <c r="AC44" i="61" s="1"/>
  <c r="AC32" i="61" a="1"/>
  <c r="AC32" i="61" s="1"/>
  <c r="AC42" i="61" a="1"/>
  <c r="AC42" i="61" s="1"/>
  <c r="AC41" i="61" a="1"/>
  <c r="AC41" i="61" s="1"/>
  <c r="AC28" i="61" a="1"/>
  <c r="AC28" i="61" s="1"/>
  <c r="AC52" i="61" a="1"/>
  <c r="AC52" i="61" s="1"/>
  <c r="AC51" i="61" a="1"/>
  <c r="AC51" i="61" s="1"/>
  <c r="AC26" i="61" a="1"/>
  <c r="AC26" i="61" s="1"/>
  <c r="AC48" i="61" a="1"/>
  <c r="AC48" i="61" s="1"/>
  <c r="AC55" i="61" a="1"/>
  <c r="AC55" i="61" s="1"/>
  <c r="AC43" i="61" a="1"/>
  <c r="AC43" i="61" s="1"/>
  <c r="AC31" i="61" a="1"/>
  <c r="AC31" i="61" s="1"/>
  <c r="AC54" i="61" a="1"/>
  <c r="AC54" i="61" s="1"/>
  <c r="AC30" i="61" a="1"/>
  <c r="AC30" i="61" s="1"/>
  <c r="AC53" i="61" a="1"/>
  <c r="AC53" i="61" s="1"/>
  <c r="AC49" i="61" a="1"/>
  <c r="AC49" i="61" s="1"/>
  <c r="AD24" i="61" a="1"/>
  <c r="AD24" i="61" s="1"/>
  <c r="AD33" i="61" a="1"/>
  <c r="AD33" i="61" s="1"/>
  <c r="AD13" i="61" a="1"/>
  <c r="AD13" i="61" s="1"/>
  <c r="AD22" i="61" a="1"/>
  <c r="AD22" i="61" s="1"/>
  <c r="AD19" i="61" a="1"/>
  <c r="AD19" i="61" s="1"/>
  <c r="AD25" i="61" a="1"/>
  <c r="AD25" i="61" s="1"/>
  <c r="AD34" i="61" a="1"/>
  <c r="AD34" i="61" s="1"/>
  <c r="AD23" i="61" a="1"/>
  <c r="AD23" i="61" s="1"/>
  <c r="AD11" i="61" a="1"/>
  <c r="AD11" i="61" s="1"/>
  <c r="AD21" i="61" a="1"/>
  <c r="AD21" i="61" s="1"/>
  <c r="AD14" i="61" a="1"/>
  <c r="AD14" i="61" s="1"/>
  <c r="AD9" i="61" a="1"/>
  <c r="AD9" i="61" s="1"/>
  <c r="AD18" i="61" a="1"/>
  <c r="AD18" i="61" s="1"/>
  <c r="AD17" i="61" a="1"/>
  <c r="AD17" i="61" s="1"/>
  <c r="AD16" i="61" a="1"/>
  <c r="AD16" i="61" s="1"/>
  <c r="S6" i="61" a="1"/>
  <c r="S6" i="61" s="1"/>
  <c r="S11" i="61" a="1"/>
  <c r="S11" i="61" s="1"/>
  <c r="AD2" i="61"/>
  <c r="AD44" i="61" s="1" a="1"/>
  <c r="AD44" i="61" s="1"/>
  <c r="S8" i="61" a="1"/>
  <c r="S8" i="61" s="1"/>
  <c r="S10" i="61" a="1"/>
  <c r="S10" i="61" s="1"/>
  <c r="S7" i="61" a="1"/>
  <c r="S7" i="61" s="1"/>
  <c r="S9" i="61" a="1"/>
  <c r="S9" i="61" s="1"/>
  <c r="AE1" i="61"/>
  <c r="CD9" i="61" l="1"/>
  <c r="AE5" i="61"/>
  <c r="AE4" i="61"/>
  <c r="AD15" i="61" a="1"/>
  <c r="AD15" i="61" s="1"/>
  <c r="AD12" i="61" a="1"/>
  <c r="AD12" i="61" s="1"/>
  <c r="AD10" i="61" a="1"/>
  <c r="AD10" i="61" s="1"/>
  <c r="AD20" i="61" a="1"/>
  <c r="AD20" i="61" s="1"/>
  <c r="AD43" i="61" a="1"/>
  <c r="AD43" i="61" s="1"/>
  <c r="AD47" i="61" a="1"/>
  <c r="AD47" i="61" s="1"/>
  <c r="AD53" i="61" a="1"/>
  <c r="AD53" i="61" s="1"/>
  <c r="AD28" i="61" a="1"/>
  <c r="AD28" i="61" s="1"/>
  <c r="AD45" i="61" a="1"/>
  <c r="AD45" i="61" s="1"/>
  <c r="AD27" i="61" a="1"/>
  <c r="AD27" i="61" s="1"/>
  <c r="AD39" i="61" a="1"/>
  <c r="AD39" i="61" s="1"/>
  <c r="AD40" i="61" a="1"/>
  <c r="AD40" i="61" s="1"/>
  <c r="AD38" i="61" a="1"/>
  <c r="AD38" i="61" s="1"/>
  <c r="AD29" i="61" a="1"/>
  <c r="AD29" i="61" s="1"/>
  <c r="AD54" i="61" a="1"/>
  <c r="AD54" i="61" s="1"/>
  <c r="AD35" i="61" a="1"/>
  <c r="AD35" i="61" s="1"/>
  <c r="AD41" i="61" a="1"/>
  <c r="AD41" i="61" s="1"/>
  <c r="AD57" i="61" a="1"/>
  <c r="AD57" i="61" s="1"/>
  <c r="AD26" i="61" a="1"/>
  <c r="AD26" i="61" s="1"/>
  <c r="AD42" i="61" a="1"/>
  <c r="AD42" i="61" s="1"/>
  <c r="AD31" i="61" a="1"/>
  <c r="AD31" i="61" s="1"/>
  <c r="AD37" i="61" a="1"/>
  <c r="AD37" i="61" s="1"/>
  <c r="AD36" i="61" a="1"/>
  <c r="AD36" i="61" s="1"/>
  <c r="AD48" i="61" a="1"/>
  <c r="AD48" i="61" s="1"/>
  <c r="AD46" i="61" a="1"/>
  <c r="AD46" i="61" s="1"/>
  <c r="AD55" i="61" a="1"/>
  <c r="AD55" i="61" s="1"/>
  <c r="AD32" i="61" a="1"/>
  <c r="AD32" i="61" s="1"/>
  <c r="AD51" i="61" a="1"/>
  <c r="AD51" i="61" s="1"/>
  <c r="AD56" i="61" a="1"/>
  <c r="AD56" i="61" s="1"/>
  <c r="AD30" i="61" a="1"/>
  <c r="AD30" i="61" s="1"/>
  <c r="AD50" i="61" a="1"/>
  <c r="AD50" i="61" s="1"/>
  <c r="AD52" i="61" a="1"/>
  <c r="AD52" i="61" s="1"/>
  <c r="AD49" i="61" a="1"/>
  <c r="AD49" i="61" s="1"/>
  <c r="AE29" i="61" a="1"/>
  <c r="AE29" i="61" s="1"/>
  <c r="AE24" i="61" a="1"/>
  <c r="AE24" i="61" s="1"/>
  <c r="Z5" i="61"/>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E2" i="61"/>
  <c r="AF1" i="61"/>
  <c r="AF5" i="61" l="1"/>
  <c r="AF4" i="61"/>
  <c r="AF24" i="61" a="1"/>
  <c r="AF24" i="61" s="1"/>
  <c r="AF29" i="61" a="1"/>
  <c r="AF29" i="61" s="1"/>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AF2" i="61"/>
  <c r="AG1" i="61"/>
  <c r="AG5" i="61" l="1"/>
  <c r="AG4" i="61"/>
  <c r="AG50" i="61" s="1" a="1"/>
  <c r="AG50" i="61" s="1"/>
  <c r="AG29" i="61" a="1"/>
  <c r="AG29" i="61" s="1"/>
  <c r="AG30" i="61" a="1"/>
  <c r="AG30" i="61" s="1"/>
  <c r="AG35" i="61" a="1"/>
  <c r="AG35" i="61" s="1"/>
  <c r="AG56" i="61" a="1"/>
  <c r="AG56" i="61" s="1"/>
  <c r="AG45" i="61" a="1"/>
  <c r="AG45" i="61" s="1"/>
  <c r="AG53" i="61" a="1"/>
  <c r="AG53" i="61" s="1"/>
  <c r="AG49" i="61" a="1"/>
  <c r="AG49" i="61" s="1"/>
  <c r="AG33" i="61" a="1"/>
  <c r="AG33" i="61" s="1"/>
  <c r="AG57" i="61" a="1"/>
  <c r="AG57" i="61" s="1"/>
  <c r="AG36" i="61" a="1"/>
  <c r="AG36" i="61" s="1"/>
  <c r="AG54" i="61" a="1"/>
  <c r="AG54" i="61" s="1"/>
  <c r="AG39" i="61" a="1"/>
  <c r="AG39" i="61" s="1"/>
  <c r="AG34" i="61" a="1"/>
  <c r="AG34" i="61" s="1"/>
  <c r="AG12" i="61" a="1"/>
  <c r="AG12" i="61" s="1"/>
  <c r="AG25" i="61" a="1"/>
  <c r="AG25" i="61" s="1"/>
  <c r="AG20" i="61" a="1"/>
  <c r="AG20" i="61" s="1"/>
  <c r="AG44" i="61" a="1"/>
  <c r="AG44" i="61" s="1"/>
  <c r="AG23" i="61" a="1"/>
  <c r="AG23" i="61" s="1"/>
  <c r="AG28" i="61" a="1"/>
  <c r="AG28" i="61" s="1"/>
  <c r="AG11" i="61" a="1"/>
  <c r="AG11" i="61" s="1"/>
  <c r="AG21" i="61" a="1"/>
  <c r="AG21" i="61" s="1"/>
  <c r="AG9" i="61" a="1"/>
  <c r="AG9" i="61" s="1"/>
  <c r="AG18" i="61" a="1"/>
  <c r="AG18" i="61" s="1"/>
  <c r="AG14" i="61" a="1"/>
  <c r="AG14" i="61" s="1"/>
  <c r="AG10" i="61" a="1"/>
  <c r="AG10" i="61" s="1"/>
  <c r="AG17" i="61" a="1"/>
  <c r="AG17" i="61" s="1"/>
  <c r="AG47" i="61" a="1"/>
  <c r="AG47" i="61" s="1"/>
  <c r="AG43" i="61" a="1"/>
  <c r="AG43" i="61" s="1"/>
  <c r="AG24" i="61" a="1"/>
  <c r="AG24" i="61" s="1"/>
  <c r="AG19" i="61" a="1"/>
  <c r="AG19" i="61" s="1"/>
  <c r="AG13" i="61" a="1"/>
  <c r="AG13" i="61" s="1"/>
  <c r="AG22" i="61" a="1"/>
  <c r="AG22" i="61" s="1"/>
  <c r="AG2" i="61"/>
  <c r="AG42" i="61" s="1" a="1"/>
  <c r="AG42" i="61" s="1"/>
  <c r="AH1" i="61"/>
  <c r="AG16" i="61" l="1" a="1"/>
  <c r="AG16" i="61" s="1"/>
  <c r="AG51" i="61" a="1"/>
  <c r="AG51" i="61" s="1"/>
  <c r="AG48" i="61" a="1"/>
  <c r="AG48" i="61" s="1"/>
  <c r="AG32" i="61" a="1"/>
  <c r="AG32" i="61" s="1"/>
  <c r="AG15" i="61" a="1"/>
  <c r="AG15" i="61" s="1"/>
  <c r="AG41" i="61" a="1"/>
  <c r="AG41" i="61" s="1"/>
  <c r="AG26" i="61" a="1"/>
  <c r="AG26" i="61" s="1"/>
  <c r="AG37" i="61" a="1"/>
  <c r="AG37" i="61" s="1"/>
  <c r="AH5" i="61"/>
  <c r="AH4" i="61"/>
  <c r="AG31" i="61" a="1"/>
  <c r="AG31" i="61" s="1"/>
  <c r="AG52" i="61" a="1"/>
  <c r="AG52" i="61" s="1"/>
  <c r="AG46" i="61" a="1"/>
  <c r="AG46" i="61" s="1"/>
  <c r="AG55" i="61" a="1"/>
  <c r="AG55" i="61" s="1"/>
  <c r="AG40" i="61" a="1"/>
  <c r="AG40" i="61" s="1"/>
  <c r="AG38" i="61" a="1"/>
  <c r="AG38" i="61" s="1"/>
  <c r="AG27" i="61" a="1"/>
  <c r="AG27" i="61" s="1"/>
  <c r="AH56" i="61" a="1"/>
  <c r="AH56" i="61" s="1"/>
  <c r="AH48" i="61" a="1"/>
  <c r="AH48" i="61" s="1"/>
  <c r="AH35" i="61" a="1"/>
  <c r="AH35" i="61" s="1"/>
  <c r="AH33" i="61" a="1"/>
  <c r="AH33" i="61" s="1"/>
  <c r="AH31" i="61" a="1"/>
  <c r="AH31" i="61" s="1"/>
  <c r="AH57" i="61" a="1"/>
  <c r="AH57" i="61" s="1"/>
  <c r="AH25" i="61" a="1"/>
  <c r="AH25" i="61" s="1"/>
  <c r="AH20" i="61" a="1"/>
  <c r="AH20" i="61" s="1"/>
  <c r="AH12" i="61" a="1"/>
  <c r="AH12" i="61" s="1"/>
  <c r="AH34" i="61" a="1"/>
  <c r="AH34" i="61" s="1"/>
  <c r="AH14" i="61" a="1"/>
  <c r="AH14" i="61" s="1"/>
  <c r="AH10" i="61" a="1"/>
  <c r="AH10" i="61" s="1"/>
  <c r="AH55" i="61" a="1"/>
  <c r="AH55" i="61" s="1"/>
  <c r="AH51" i="61" a="1"/>
  <c r="AH51" i="61" s="1"/>
  <c r="AH13" i="61" a="1"/>
  <c r="AH13" i="61" s="1"/>
  <c r="AH2" i="61"/>
  <c r="AH46" i="61" s="1" a="1"/>
  <c r="AH46" i="61" s="1"/>
  <c r="AI1" i="61"/>
  <c r="AI5" i="61" l="1"/>
  <c r="AI4" i="61"/>
  <c r="AH52" i="61" a="1"/>
  <c r="AH52" i="61" s="1"/>
  <c r="AH26" i="61" a="1"/>
  <c r="AH26" i="61" s="1"/>
  <c r="AH38" i="61" a="1"/>
  <c r="AH38" i="61" s="1"/>
  <c r="AH44" i="61" a="1"/>
  <c r="AH44" i="61" s="1"/>
  <c r="AH47" i="61" a="1"/>
  <c r="AH47" i="61" s="1"/>
  <c r="AH30" i="61" a="1"/>
  <c r="AH30" i="61" s="1"/>
  <c r="AH40" i="61" a="1"/>
  <c r="AH40" i="61" s="1"/>
  <c r="AH49" i="61" a="1"/>
  <c r="AH49" i="61" s="1"/>
  <c r="AH27" i="61" a="1"/>
  <c r="AH27" i="61" s="1"/>
  <c r="AH19" i="61" a="1"/>
  <c r="AH19" i="61" s="1"/>
  <c r="AH39" i="61" a="1"/>
  <c r="AH39" i="61" s="1"/>
  <c r="AH11" i="61" a="1"/>
  <c r="AH11" i="61" s="1"/>
  <c r="AH43" i="61" a="1"/>
  <c r="AH43" i="61" s="1"/>
  <c r="AH53" i="61" a="1"/>
  <c r="AH53" i="61" s="1"/>
  <c r="AH54" i="61" a="1"/>
  <c r="AH54" i="61" s="1"/>
  <c r="AH9" i="61" a="1"/>
  <c r="AH9" i="61" s="1"/>
  <c r="AH16" i="61" a="1"/>
  <c r="AH16" i="61" s="1"/>
  <c r="AH22" i="61" a="1"/>
  <c r="AH22" i="61" s="1"/>
  <c r="AH24" i="61" a="1"/>
  <c r="AH24" i="61" s="1"/>
  <c r="AH15" i="61" a="1"/>
  <c r="AH15" i="61" s="1"/>
  <c r="AH36" i="61" a="1"/>
  <c r="AH36" i="61" s="1"/>
  <c r="AH28" i="61" a="1"/>
  <c r="AH28" i="61" s="1"/>
  <c r="AH32" i="61" a="1"/>
  <c r="AH32" i="61" s="1"/>
  <c r="AH21" i="61" a="1"/>
  <c r="AH21" i="61" s="1"/>
  <c r="AH37" i="61" a="1"/>
  <c r="AH37" i="61" s="1"/>
  <c r="AH41" i="61" a="1"/>
  <c r="AH41" i="61" s="1"/>
  <c r="AH45" i="61" a="1"/>
  <c r="AH45" i="61" s="1"/>
  <c r="AH29" i="61" a="1"/>
  <c r="AH29" i="61" s="1"/>
  <c r="AH42" i="61" a="1"/>
  <c r="AH42" i="61" s="1"/>
  <c r="AH17" i="61" a="1"/>
  <c r="AH17" i="61" s="1"/>
  <c r="AH18" i="61" a="1"/>
  <c r="AH18" i="61" s="1"/>
  <c r="AH23" i="61" a="1"/>
  <c r="AH23" i="61" s="1"/>
  <c r="AH50" i="61" a="1"/>
  <c r="AH50" i="61" s="1"/>
  <c r="AI33" i="61" a="1"/>
  <c r="AI33" i="61" s="1"/>
  <c r="AI43" i="61" a="1"/>
  <c r="AI43" i="61" s="1"/>
  <c r="AI34" i="61" a="1"/>
  <c r="AI34" i="61" s="1"/>
  <c r="AI52" i="61" a="1"/>
  <c r="AI52"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4" i="61" a="1"/>
  <c r="AI24" i="61" s="1"/>
  <c r="AI22" i="61" a="1"/>
  <c r="AI22" i="61" s="1"/>
  <c r="AI25" i="61" a="1"/>
  <c r="AI25" i="61" s="1"/>
  <c r="AI20" i="61" a="1"/>
  <c r="AI20" i="61" s="1"/>
  <c r="AI19" i="61" a="1"/>
  <c r="AI19" i="61" s="1"/>
  <c r="AI12" i="61" a="1"/>
  <c r="AI12" i="61" s="1"/>
  <c r="AI11" i="61" a="1"/>
  <c r="AI11" i="61" s="1"/>
  <c r="AI15" i="61" a="1"/>
  <c r="AI15" i="61" s="1"/>
  <c r="AI2" i="61"/>
  <c r="AI53" i="61" s="1" a="1"/>
  <c r="AI53" i="61" s="1"/>
  <c r="AJ1" i="61"/>
  <c r="AJ5" i="61" l="1"/>
  <c r="AJ4" i="61"/>
  <c r="AI32" i="61" a="1"/>
  <c r="AI32" i="61" s="1"/>
  <c r="AI46" i="61" a="1"/>
  <c r="AI46" i="61" s="1"/>
  <c r="AI39" i="61" a="1"/>
  <c r="AI39" i="61" s="1"/>
  <c r="AI38" i="61" a="1"/>
  <c r="AI38" i="61" s="1"/>
  <c r="AI37" i="61" a="1"/>
  <c r="AI37" i="61" s="1"/>
  <c r="AI56" i="61" a="1"/>
  <c r="AI56" i="61" s="1"/>
  <c r="AI31" i="61" a="1"/>
  <c r="AI31" i="61" s="1"/>
  <c r="AI51" i="61" a="1"/>
  <c r="AI51" i="61" s="1"/>
  <c r="AI42" i="61" a="1"/>
  <c r="AI42" i="61" s="1"/>
  <c r="AI45" i="61" a="1"/>
  <c r="AI45" i="61" s="1"/>
  <c r="AI55" i="61" a="1"/>
  <c r="AI55" i="61" s="1"/>
  <c r="AI50" i="61" a="1"/>
  <c r="AI50" i="61" s="1"/>
  <c r="AI44" i="61" a="1"/>
  <c r="AI44" i="61" s="1"/>
  <c r="AI27" i="61" a="1"/>
  <c r="AI27" i="61" s="1"/>
  <c r="AI54" i="61" a="1"/>
  <c r="AI54" i="61" s="1"/>
  <c r="AI36" i="61" a="1"/>
  <c r="AI36" i="61" s="1"/>
  <c r="AI41" i="61" a="1"/>
  <c r="AI41" i="61" s="1"/>
  <c r="AI30" i="61" a="1"/>
  <c r="AI30" i="61" s="1"/>
  <c r="AI29" i="61" a="1"/>
  <c r="AI29" i="61" s="1"/>
  <c r="AI49" i="61" a="1"/>
  <c r="AI49" i="61" s="1"/>
  <c r="AI28" i="61" a="1"/>
  <c r="AI28" i="61" s="1"/>
  <c r="AI26" i="61" a="1"/>
  <c r="AI26" i="61" s="1"/>
  <c r="AI57" i="61" a="1"/>
  <c r="AI57" i="61" s="1"/>
  <c r="AI47" i="61" a="1"/>
  <c r="AI47" i="61" s="1"/>
  <c r="AI35" i="61" a="1"/>
  <c r="AI35" i="61" s="1"/>
  <c r="AI48" i="61" a="1"/>
  <c r="AI48" i="61" s="1"/>
  <c r="AI40" i="61" a="1"/>
  <c r="AI40" i="61" s="1"/>
  <c r="AJ49" i="61" a="1"/>
  <c r="AJ49" i="61" s="1"/>
  <c r="AJ33" i="61" a="1"/>
  <c r="AJ33" i="61" s="1"/>
  <c r="AJ38" i="61" a="1"/>
  <c r="AJ38" i="61" s="1"/>
  <c r="AJ46" i="61" a="1"/>
  <c r="AJ46" i="61" s="1"/>
  <c r="AJ57" i="61" a="1"/>
  <c r="AJ57" i="61" s="1"/>
  <c r="AJ51" i="61" a="1"/>
  <c r="AJ51" i="61" s="1"/>
  <c r="AJ39" i="61" a="1"/>
  <c r="AJ39" i="61" s="1"/>
  <c r="AJ34" i="61" a="1"/>
  <c r="AJ34" i="61" s="1"/>
  <c r="AJ55" i="61" a="1"/>
  <c r="AJ55" i="61" s="1"/>
  <c r="AJ37" i="61" a="1"/>
  <c r="AJ37" i="61" s="1"/>
  <c r="AJ52" i="61" a="1"/>
  <c r="AJ52"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4" i="61" a="1"/>
  <c r="AJ24" i="61" s="1"/>
  <c r="AJ13" i="61" a="1"/>
  <c r="AJ13"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AJ2" i="61"/>
  <c r="AJ50" i="61" s="1" a="1"/>
  <c r="AJ50" i="61" s="1"/>
  <c r="AK1" i="61"/>
  <c r="AK5" i="61" l="1"/>
  <c r="AK4" i="61"/>
  <c r="AJ42" i="61" a="1"/>
  <c r="AJ42" i="61" s="1"/>
  <c r="AJ43" i="61" a="1"/>
  <c r="AJ43" i="61" s="1"/>
  <c r="AJ47" i="61" a="1"/>
  <c r="AJ47" i="61" s="1"/>
  <c r="AJ36" i="61" a="1"/>
  <c r="AJ36" i="61" s="1"/>
  <c r="AJ45" i="61" a="1"/>
  <c r="AJ45" i="61" s="1"/>
  <c r="AJ56" i="61" a="1"/>
  <c r="AJ56" i="61" s="1"/>
  <c r="AJ30" i="61" a="1"/>
  <c r="AJ30" i="61" s="1"/>
  <c r="AJ41" i="61" a="1"/>
  <c r="AJ41" i="61" s="1"/>
  <c r="AJ31" i="61" a="1"/>
  <c r="AJ31" i="61" s="1"/>
  <c r="AJ54" i="61" a="1"/>
  <c r="AJ54" i="61" s="1"/>
  <c r="AJ53" i="61" a="1"/>
  <c r="AJ53" i="61" s="1"/>
  <c r="AJ35" i="61" a="1"/>
  <c r="AJ35" i="61" s="1"/>
  <c r="AJ40" i="61" a="1"/>
  <c r="AJ40" i="61" s="1"/>
  <c r="AJ26" i="61" a="1"/>
  <c r="AJ26" i="61" s="1"/>
  <c r="AJ48" i="61" a="1"/>
  <c r="AJ48" i="61" s="1"/>
  <c r="AK26" i="61" a="1"/>
  <c r="AK26" i="61" s="1"/>
  <c r="AK39" i="61" a="1"/>
  <c r="AK39" i="61" s="1"/>
  <c r="AK34" i="61" a="1"/>
  <c r="AK34" i="61" s="1"/>
  <c r="AK44" i="61" a="1"/>
  <c r="AK44" i="61" s="1"/>
  <c r="AK15" i="61" a="1"/>
  <c r="AK15" i="61" s="1"/>
  <c r="AK11" i="61" a="1"/>
  <c r="AK11" i="61" s="1"/>
  <c r="AK33" i="61" a="1"/>
  <c r="AK33" i="61" s="1"/>
  <c r="AK21" i="61" a="1"/>
  <c r="AK21" i="61" s="1"/>
  <c r="AK16" i="61" a="1"/>
  <c r="AK16" i="61" s="1"/>
  <c r="AK9" i="61" a="1"/>
  <c r="AK9" i="61" s="1"/>
  <c r="AK28" i="61" a="1"/>
  <c r="AK28" i="61" s="1"/>
  <c r="AK18" i="61" a="1"/>
  <c r="AK18" i="61" s="1"/>
  <c r="AK17" i="61" a="1"/>
  <c r="AK17" i="61" s="1"/>
  <c r="AK24" i="61" a="1"/>
  <c r="AK24" i="61" s="1"/>
  <c r="AK13" i="61" a="1"/>
  <c r="AK13" i="61" s="1"/>
  <c r="AK22" i="61" a="1"/>
  <c r="AK22" i="61" s="1"/>
  <c r="AK19" i="61" a="1"/>
  <c r="AK19" i="61" s="1"/>
  <c r="AK45" i="61" a="1"/>
  <c r="AK45" i="61" s="1"/>
  <c r="AK25" i="61" a="1"/>
  <c r="AK25" i="61" s="1"/>
  <c r="AK20" i="61" a="1"/>
  <c r="AK20" i="61" s="1"/>
  <c r="AK12" i="61" a="1"/>
  <c r="AK12" i="61" s="1"/>
  <c r="AK23" i="61" a="1"/>
  <c r="AK23" i="61" s="1"/>
  <c r="AK10" i="61" a="1"/>
  <c r="AK10" i="61" s="1"/>
  <c r="AK14" i="61" a="1"/>
  <c r="AK14" i="61" s="1"/>
  <c r="AL1" i="61"/>
  <c r="AK2" i="61"/>
  <c r="AK41" i="61" s="1" a="1"/>
  <c r="AK41" i="61" s="1"/>
  <c r="AL5" i="61" l="1"/>
  <c r="AL4" i="61"/>
  <c r="AK47" i="61" a="1"/>
  <c r="AK47" i="61" s="1"/>
  <c r="AK57" i="61" a="1"/>
  <c r="AK57" i="61" s="1"/>
  <c r="AK27" i="61" a="1"/>
  <c r="AK27" i="61" s="1"/>
  <c r="AK31" i="61" a="1"/>
  <c r="AK31" i="61" s="1"/>
  <c r="AK50" i="61" a="1"/>
  <c r="AK50" i="61" s="1"/>
  <c r="AK37" i="61" a="1"/>
  <c r="AK37" i="61" s="1"/>
  <c r="AK30" i="61" a="1"/>
  <c r="AK30" i="61" s="1"/>
  <c r="AK46" i="61" a="1"/>
  <c r="AK46" i="61" s="1"/>
  <c r="AK35" i="61" a="1"/>
  <c r="AK35" i="61" s="1"/>
  <c r="AK40" i="61" a="1"/>
  <c r="AK40" i="61" s="1"/>
  <c r="AK53" i="61" a="1"/>
  <c r="AK53" i="61" s="1"/>
  <c r="AK51" i="61" a="1"/>
  <c r="AK51" i="61" s="1"/>
  <c r="AK42" i="61" a="1"/>
  <c r="AK42" i="61" s="1"/>
  <c r="AK29" i="61" a="1"/>
  <c r="AK29" i="61" s="1"/>
  <c r="AK49" i="61" a="1"/>
  <c r="AK49" i="61" s="1"/>
  <c r="AK55" i="61" a="1"/>
  <c r="AK55" i="61" s="1"/>
  <c r="AK48" i="61" a="1"/>
  <c r="AK48" i="61" s="1"/>
  <c r="AK43" i="61" a="1"/>
  <c r="AK43" i="61" s="1"/>
  <c r="AK38" i="61" a="1"/>
  <c r="AK38" i="61" s="1"/>
  <c r="AK54" i="61" a="1"/>
  <c r="AK54" i="61" s="1"/>
  <c r="AK52" i="61" a="1"/>
  <c r="AK52" i="61" s="1"/>
  <c r="AK36" i="61" a="1"/>
  <c r="AK36" i="61" s="1"/>
  <c r="AK56" i="61" a="1"/>
  <c r="AK56" i="61" s="1"/>
  <c r="AK32" i="61" a="1"/>
  <c r="AK32" i="61" s="1"/>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AL2" i="61"/>
  <c r="AM1" i="61"/>
  <c r="AM5" i="61" l="1"/>
  <c r="AM4" i="6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AN1" i="61"/>
  <c r="AM2" i="61"/>
  <c r="AN5" i="61" l="1"/>
  <c r="AN4" i="61"/>
  <c r="AN54" i="61" a="1"/>
  <c r="AN54" i="61" s="1"/>
  <c r="AN51" i="61" a="1"/>
  <c r="AN51" i="61" s="1"/>
  <c r="AN34" i="61" a="1"/>
  <c r="AN34" i="61" s="1"/>
  <c r="AN44" i="61" a="1"/>
  <c r="AN44" i="61" s="1"/>
  <c r="AN32" i="61" a="1"/>
  <c r="AN32" i="61" s="1"/>
  <c r="AN53" i="61" a="1"/>
  <c r="AN53" i="61" s="1"/>
  <c r="AN33" i="61" a="1"/>
  <c r="AN33" i="61" s="1"/>
  <c r="AN42" i="61" a="1"/>
  <c r="AN42" i="61" s="1"/>
  <c r="AN50" i="61" a="1"/>
  <c r="AN50" i="61" s="1"/>
  <c r="AN46" i="61" a="1"/>
  <c r="AN46" i="61" s="1"/>
  <c r="AN18" i="61" a="1"/>
  <c r="AN18" i="61" s="1"/>
  <c r="AN17" i="61" a="1"/>
  <c r="AN17" i="61" s="1"/>
  <c r="AN13" i="61" a="1"/>
  <c r="AN13" i="61" s="1"/>
  <c r="AN41" i="61" a="1"/>
  <c r="AN41" i="61" s="1"/>
  <c r="AN24" i="61" a="1"/>
  <c r="AN24" i="61" s="1"/>
  <c r="AN22" i="61" a="1"/>
  <c r="AN22" i="61" s="1"/>
  <c r="AN19" i="61" a="1"/>
  <c r="AN19"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10" i="61" a="1"/>
  <c r="AN10" i="61" s="1"/>
  <c r="AN16" i="61" a="1"/>
  <c r="AN16" i="61" s="1"/>
  <c r="AN15" i="61" a="1"/>
  <c r="AN15" i="61" s="1"/>
  <c r="AN9" i="61" a="1"/>
  <c r="AN9" i="61" s="1"/>
  <c r="AO1" i="61"/>
  <c r="AN2" i="61"/>
  <c r="AN57" i="61" s="1" a="1"/>
  <c r="AN57" i="61" s="1"/>
  <c r="AO5" i="61" l="1"/>
  <c r="AO4" i="61"/>
  <c r="AN31" i="61" a="1"/>
  <c r="AN31" i="61" s="1"/>
  <c r="AN26" i="61" a="1"/>
  <c r="AN26" i="61" s="1"/>
  <c r="AN47" i="61" a="1"/>
  <c r="AN47" i="61" s="1"/>
  <c r="AN56" i="61" a="1"/>
  <c r="AN56" i="61" s="1"/>
  <c r="AN49" i="61" a="1"/>
  <c r="AN49" i="61" s="1"/>
  <c r="AN38" i="61" a="1"/>
  <c r="AN38" i="61" s="1"/>
  <c r="AN55" i="61" a="1"/>
  <c r="AN55" i="61" s="1"/>
  <c r="AN35" i="61" a="1"/>
  <c r="AN35" i="61" s="1"/>
  <c r="AN29" i="61" a="1"/>
  <c r="AN29" i="61" s="1"/>
  <c r="AN30" i="61" a="1"/>
  <c r="AN30" i="61" s="1"/>
  <c r="AN39" i="61" a="1"/>
  <c r="AN39" i="61" s="1"/>
  <c r="AN48" i="61" a="1"/>
  <c r="AN48" i="61" s="1"/>
  <c r="AN40" i="61" a="1"/>
  <c r="AN40" i="61" s="1"/>
  <c r="AN52" i="61" a="1"/>
  <c r="AN52" i="61" s="1"/>
  <c r="AN43" i="61" a="1"/>
  <c r="AN43" i="61" s="1"/>
  <c r="AN28" i="61" a="1"/>
  <c r="AN28" i="61" s="1"/>
  <c r="AN37" i="61" a="1"/>
  <c r="AN37" i="61" s="1"/>
  <c r="AO34" i="61" a="1"/>
  <c r="AO34" i="61" s="1"/>
  <c r="AO44" i="61" a="1"/>
  <c r="AO44" i="61" s="1"/>
  <c r="AO38" i="61" a="1"/>
  <c r="AO38" i="61" s="1"/>
  <c r="AO24" i="61" a="1"/>
  <c r="AO24" i="61" s="1"/>
  <c r="AO22" i="61" a="1"/>
  <c r="AO22" i="61" s="1"/>
  <c r="AO19" i="61" a="1"/>
  <c r="AO19" i="61" s="1"/>
  <c r="AO12" i="61" a="1"/>
  <c r="AO12" i="61" s="1"/>
  <c r="AO25" i="61" a="1"/>
  <c r="AO25" i="61" s="1"/>
  <c r="AO20" i="61" a="1"/>
  <c r="AO20" i="61" s="1"/>
  <c r="AO15" i="61" a="1"/>
  <c r="AO15" i="61" s="1"/>
  <c r="AO23" i="61" a="1"/>
  <c r="AO23" i="61" s="1"/>
  <c r="AO11" i="61" a="1"/>
  <c r="AO11" i="61" s="1"/>
  <c r="AO21" i="61" a="1"/>
  <c r="AO21" i="61" s="1"/>
  <c r="AO33" i="61" a="1"/>
  <c r="AO33" i="61" s="1"/>
  <c r="AO18" i="61" a="1"/>
  <c r="AO18" i="61" s="1"/>
  <c r="AO10" i="61" a="1"/>
  <c r="AO10" i="61" s="1"/>
  <c r="AO16" i="61" a="1"/>
  <c r="AO16" i="61" s="1"/>
  <c r="AO17" i="61" a="1"/>
  <c r="AO17" i="61" s="1"/>
  <c r="AO14" i="61" a="1"/>
  <c r="AO14" i="61" s="1"/>
  <c r="AO13" i="61" a="1"/>
  <c r="AO13" i="61" s="1"/>
  <c r="AO9" i="61" a="1"/>
  <c r="AO9" i="61" s="1"/>
  <c r="AO2" i="61"/>
  <c r="AO32" i="61" s="1" a="1"/>
  <c r="AO32" i="61" s="1"/>
  <c r="AP1" i="61"/>
  <c r="AP5" i="61" l="1"/>
  <c r="AP4" i="61"/>
  <c r="AO53" i="61" a="1"/>
  <c r="AO53" i="61" s="1"/>
  <c r="AO47" i="61" a="1"/>
  <c r="AO47" i="61" s="1"/>
  <c r="AO55" i="61" a="1"/>
  <c r="AO55" i="61" s="1"/>
  <c r="AO41" i="61" a="1"/>
  <c r="AO41" i="61" s="1"/>
  <c r="AO57" i="61" a="1"/>
  <c r="AO57" i="61" s="1"/>
  <c r="AO28" i="61" a="1"/>
  <c r="AO28" i="61" s="1"/>
  <c r="AO40" i="61" a="1"/>
  <c r="AO40" i="61" s="1"/>
  <c r="AO45" i="61" a="1"/>
  <c r="AO45" i="61" s="1"/>
  <c r="AO27" i="61" a="1"/>
  <c r="AO27" i="61" s="1"/>
  <c r="AO29" i="61" a="1"/>
  <c r="AO29" i="61" s="1"/>
  <c r="AO56" i="61" a="1"/>
  <c r="AO56" i="61" s="1"/>
  <c r="AO35" i="61" a="1"/>
  <c r="AO35" i="61" s="1"/>
  <c r="AO26" i="61" a="1"/>
  <c r="AO26" i="61" s="1"/>
  <c r="AO30" i="61" a="1"/>
  <c r="AO30" i="61" s="1"/>
  <c r="AO43" i="61" a="1"/>
  <c r="AO43" i="61" s="1"/>
  <c r="AO31" i="61" a="1"/>
  <c r="AO31" i="61" s="1"/>
  <c r="AO37" i="61" a="1"/>
  <c r="AO37" i="61" s="1"/>
  <c r="AO51" i="61" a="1"/>
  <c r="AO51" i="61" s="1"/>
  <c r="AO46" i="61" a="1"/>
  <c r="AO46" i="61" s="1"/>
  <c r="AO48" i="61" a="1"/>
  <c r="AO48" i="61" s="1"/>
  <c r="AO49" i="61" a="1"/>
  <c r="AO49" i="61" s="1"/>
  <c r="AO36" i="61" a="1"/>
  <c r="AO36" i="61" s="1"/>
  <c r="AO39" i="61" a="1"/>
  <c r="AO39" i="61" s="1"/>
  <c r="AO54" i="61" a="1"/>
  <c r="AO54" i="61" s="1"/>
  <c r="AO42" i="61" a="1"/>
  <c r="AO42" i="61" s="1"/>
  <c r="AO52" i="61" a="1"/>
  <c r="AO52" i="61" s="1"/>
  <c r="AO50" i="61" a="1"/>
  <c r="AO50" i="61" s="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P2" i="61"/>
  <c r="AP51" i="61" s="1" a="1"/>
  <c r="AP51" i="61" s="1"/>
  <c r="AQ1" i="61"/>
  <c r="AQ5" i="61" l="1"/>
  <c r="AQ4"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4" i="61" a="1"/>
  <c r="AQ44" i="61" s="1"/>
  <c r="AQ48" i="61" a="1"/>
  <c r="AQ48" i="61" s="1"/>
  <c r="AQ37" i="61" a="1"/>
  <c r="AQ37" i="61" s="1"/>
  <c r="AQ33" i="61" a="1"/>
  <c r="AQ33" i="61" s="1"/>
  <c r="AQ57" i="61" a="1"/>
  <c r="AQ57" i="61" s="1"/>
  <c r="AQ43" i="61" a="1"/>
  <c r="AQ43" i="61" s="1"/>
  <c r="AQ39" i="61" a="1"/>
  <c r="AQ39" i="61" s="1"/>
  <c r="AQ22" i="61" a="1"/>
  <c r="AQ22" i="61" s="1"/>
  <c r="AQ19" i="61" a="1"/>
  <c r="AQ19" i="61" s="1"/>
  <c r="AQ12" i="61" a="1"/>
  <c r="AQ12" i="61" s="1"/>
  <c r="AQ34" i="61" a="1"/>
  <c r="AQ34" i="61" s="1"/>
  <c r="AQ25" i="61" a="1"/>
  <c r="AQ25" i="61" s="1"/>
  <c r="AQ20" i="61" a="1"/>
  <c r="AQ20" i="61" s="1"/>
  <c r="AQ31" i="61" a="1"/>
  <c r="AQ31" i="61" s="1"/>
  <c r="AQ15" i="61" a="1"/>
  <c r="AQ15"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24" i="61" a="1"/>
  <c r="AQ24" i="61" s="1"/>
  <c r="AQ2" i="61"/>
  <c r="AQ35" i="61" s="1" a="1"/>
  <c r="AQ35" i="61" s="1"/>
  <c r="AR1" i="61"/>
  <c r="AR5" i="61" l="1"/>
  <c r="AR4" i="61"/>
  <c r="AQ52" i="61" a="1"/>
  <c r="AQ52" i="61" s="1"/>
  <c r="AQ38" i="61" a="1"/>
  <c r="AQ38" i="61" s="1"/>
  <c r="AQ32" i="61" a="1"/>
  <c r="AQ32" i="61" s="1"/>
  <c r="AQ47" i="61" a="1"/>
  <c r="AQ47" i="61" s="1"/>
  <c r="AQ26" i="61" a="1"/>
  <c r="AQ26" i="61" s="1"/>
  <c r="AQ53" i="61" a="1"/>
  <c r="AQ53" i="61" s="1"/>
  <c r="AQ42" i="61" a="1"/>
  <c r="AQ42" i="61" s="1"/>
  <c r="AQ46" i="61" a="1"/>
  <c r="AQ46" i="61" s="1"/>
  <c r="AQ27" i="61" a="1"/>
  <c r="AQ27" i="61" s="1"/>
  <c r="AQ29" i="61" a="1"/>
  <c r="AQ29" i="61" s="1"/>
  <c r="AQ45" i="61" a="1"/>
  <c r="AQ45" i="61" s="1"/>
  <c r="AQ55" i="61" a="1"/>
  <c r="AQ55" i="61" s="1"/>
  <c r="AQ28" i="61" a="1"/>
  <c r="AQ28" i="61" s="1"/>
  <c r="AQ50" i="61" a="1"/>
  <c r="AQ50" i="61" s="1"/>
  <c r="AQ30" i="61" a="1"/>
  <c r="AQ30" i="61" s="1"/>
  <c r="AQ40" i="61" a="1"/>
  <c r="AQ40" i="61" s="1"/>
  <c r="AQ49" i="61" a="1"/>
  <c r="AQ49" i="61" s="1"/>
  <c r="AQ54" i="61" a="1"/>
  <c r="AQ54" i="61" s="1"/>
  <c r="AQ41" i="61" a="1"/>
  <c r="AQ41" i="61" s="1"/>
  <c r="AQ51" i="61" a="1"/>
  <c r="AQ51" i="61" s="1"/>
  <c r="AQ56" i="61" a="1"/>
  <c r="AQ56" i="61" s="1"/>
  <c r="AQ36" i="61" a="1"/>
  <c r="AQ36" i="61" s="1"/>
  <c r="AR33" i="61" a="1"/>
  <c r="AR33" i="61" s="1"/>
  <c r="AR34" i="61" a="1"/>
  <c r="AR34" i="61" s="1"/>
  <c r="AR12" i="61" a="1"/>
  <c r="AR12" i="61" s="1"/>
  <c r="AR25" i="61" a="1"/>
  <c r="AR25" i="61" s="1"/>
  <c r="AR20" i="61" a="1"/>
  <c r="AR20" i="61" s="1"/>
  <c r="AR23" i="61" a="1"/>
  <c r="AR23" i="61" s="1"/>
  <c r="AR11" i="61" a="1"/>
  <c r="AR11" i="61" s="1"/>
  <c r="AR16" i="61" a="1"/>
  <c r="AR16" i="61" s="1"/>
  <c r="AR14" i="61" a="1"/>
  <c r="AR14" i="61" s="1"/>
  <c r="AR10" i="61" a="1"/>
  <c r="AR10" i="61" s="1"/>
  <c r="AR9" i="61" a="1"/>
  <c r="AR9" i="61" s="1"/>
  <c r="AR21" i="61" a="1"/>
  <c r="AR21" i="61" s="1"/>
  <c r="AR17" i="61" a="1"/>
  <c r="AR17" i="61" s="1"/>
  <c r="AR13" i="61" a="1"/>
  <c r="AR13" i="61" s="1"/>
  <c r="AR24" i="61" a="1"/>
  <c r="AR24" i="61" s="1"/>
  <c r="AR22" i="61" a="1"/>
  <c r="AR22" i="61" s="1"/>
  <c r="AR19" i="61" a="1"/>
  <c r="AR19" i="61" s="1"/>
  <c r="AR15" i="61" a="1"/>
  <c r="AR15" i="61" s="1"/>
  <c r="AR18" i="61" a="1"/>
  <c r="AR18" i="61" s="1"/>
  <c r="AR2" i="61"/>
  <c r="AR52" i="61" s="1" a="1"/>
  <c r="AR52" i="61" s="1"/>
  <c r="AS1" i="61"/>
  <c r="AS5" i="61" l="1"/>
  <c r="AS4" i="61"/>
  <c r="AR28" i="61" a="1"/>
  <c r="AR28" i="61" s="1"/>
  <c r="AR43" i="61" a="1"/>
  <c r="AR43" i="61" s="1"/>
  <c r="AR35" i="61" a="1"/>
  <c r="AR35" i="61" s="1"/>
  <c r="AR47" i="61" a="1"/>
  <c r="AR47" i="61" s="1"/>
  <c r="AR46" i="61" a="1"/>
  <c r="AR46" i="61" s="1"/>
  <c r="AR45" i="61" a="1"/>
  <c r="AR45" i="61" s="1"/>
  <c r="AR44" i="61" a="1"/>
  <c r="AR44" i="61" s="1"/>
  <c r="AR55" i="61" a="1"/>
  <c r="AR55" i="61" s="1"/>
  <c r="AR56" i="61" a="1"/>
  <c r="AR56" i="61" s="1"/>
  <c r="AR31" i="61" a="1"/>
  <c r="AR31" i="61" s="1"/>
  <c r="AR50" i="61" a="1"/>
  <c r="AR50" i="61" s="1"/>
  <c r="AR30" i="61" a="1"/>
  <c r="AR30" i="61" s="1"/>
  <c r="AR41" i="61" a="1"/>
  <c r="AR41" i="61" s="1"/>
  <c r="AR42" i="61" a="1"/>
  <c r="AR42" i="61" s="1"/>
  <c r="AR49" i="61" a="1"/>
  <c r="AR49" i="61" s="1"/>
  <c r="AR26" i="61" a="1"/>
  <c r="AR26" i="61" s="1"/>
  <c r="AR37" i="61" a="1"/>
  <c r="AR37" i="61" s="1"/>
  <c r="AR51" i="61" a="1"/>
  <c r="AR51" i="61" s="1"/>
  <c r="AR29" i="61" a="1"/>
  <c r="AR29" i="61" s="1"/>
  <c r="AR48" i="61" a="1"/>
  <c r="AR48" i="61" s="1"/>
  <c r="AR39" i="61" a="1"/>
  <c r="AR39" i="61" s="1"/>
  <c r="AR53" i="61" a="1"/>
  <c r="AR53" i="61" s="1"/>
  <c r="AR54" i="61" a="1"/>
  <c r="AR54" i="61" s="1"/>
  <c r="AR36" i="61" a="1"/>
  <c r="AR36" i="61" s="1"/>
  <c r="AR40" i="61" a="1"/>
  <c r="AR40" i="61" s="1"/>
  <c r="AR32" i="61" a="1"/>
  <c r="AR32" i="61" s="1"/>
  <c r="AR27" i="61" a="1"/>
  <c r="AR27" i="61" s="1"/>
  <c r="AR38" i="61" a="1"/>
  <c r="AR38" i="61" s="1"/>
  <c r="AR57" i="61" a="1"/>
  <c r="AR57" i="61" s="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33" i="61" a="1"/>
  <c r="AU33" i="61" s="1"/>
  <c r="AU31" i="61" a="1"/>
  <c r="AU31" i="61" s="1"/>
  <c r="AU34" i="61" a="1"/>
  <c r="AU34" i="61" s="1"/>
  <c r="AU14" i="61" a="1"/>
  <c r="AU14" i="61" s="1"/>
  <c r="AU11" i="61" a="1"/>
  <c r="AU11" i="61" s="1"/>
  <c r="AU10" i="61" a="1"/>
  <c r="AU10" i="61" s="1"/>
  <c r="AU9" i="61" a="1"/>
  <c r="AU9" i="61" s="1"/>
  <c r="AU23" i="61" a="1"/>
  <c r="AU23" i="61" s="1"/>
  <c r="AU21" i="61" a="1"/>
  <c r="AU21" i="61" s="1"/>
  <c r="AU13" i="61" a="1"/>
  <c r="AU13" i="61" s="1"/>
  <c r="AU47" i="61" a="1"/>
  <c r="AU47" i="61" s="1"/>
  <c r="AU18" i="61" a="1"/>
  <c r="AU18" i="61" s="1"/>
  <c r="AU24" i="61" a="1"/>
  <c r="AU24" i="61" s="1"/>
  <c r="AU22" i="61" a="1"/>
  <c r="AU22" i="61" s="1"/>
  <c r="AU25" i="61" a="1"/>
  <c r="AU25" i="61" s="1"/>
  <c r="AU20" i="61" a="1"/>
  <c r="AU20" i="61" s="1"/>
  <c r="AU17" i="61" a="1"/>
  <c r="AU17" i="61" s="1"/>
  <c r="AU16" i="61" a="1"/>
  <c r="AU16" i="61" s="1"/>
  <c r="AU15" i="61" a="1"/>
  <c r="AU15" i="61" s="1"/>
  <c r="AU26" i="61" a="1"/>
  <c r="AU26" i="61" s="1"/>
  <c r="AU12" i="61" a="1"/>
  <c r="AU12" i="61" s="1"/>
  <c r="AU19" i="61" a="1"/>
  <c r="AU19" i="61" s="1"/>
  <c r="AU2" i="61"/>
  <c r="AU45" i="61" s="1" a="1"/>
  <c r="AU45" i="61" s="1"/>
  <c r="AV1" i="61"/>
  <c r="AV5" i="61" l="1"/>
  <c r="AV4" i="61"/>
  <c r="AU50" i="61" a="1"/>
  <c r="AU50" i="61" s="1"/>
  <c r="AU52" i="61" a="1"/>
  <c r="AU52" i="61" s="1"/>
  <c r="AU39" i="61" a="1"/>
  <c r="AU39" i="61" s="1"/>
  <c r="AU48" i="61" a="1"/>
  <c r="AU48" i="61" s="1"/>
  <c r="AU38" i="61" a="1"/>
  <c r="AU38" i="61" s="1"/>
  <c r="AU51" i="61" a="1"/>
  <c r="AU51" i="61" s="1"/>
  <c r="AU29" i="61" a="1"/>
  <c r="AU29" i="61" s="1"/>
  <c r="AU42" i="61" a="1"/>
  <c r="AU42" i="61" s="1"/>
  <c r="AU55" i="61" a="1"/>
  <c r="AU55" i="61" s="1"/>
  <c r="AU41" i="61" a="1"/>
  <c r="AU41" i="61" s="1"/>
  <c r="AU54" i="61" a="1"/>
  <c r="AU54" i="61" s="1"/>
  <c r="AU53" i="61" a="1"/>
  <c r="AU53" i="61" s="1"/>
  <c r="AU44" i="61" a="1"/>
  <c r="AU44" i="61" s="1"/>
  <c r="AU27" i="61" a="1"/>
  <c r="AU27" i="61" s="1"/>
  <c r="AU36" i="61" a="1"/>
  <c r="AU36" i="61" s="1"/>
  <c r="AU28" i="61" a="1"/>
  <c r="AU28" i="61" s="1"/>
  <c r="AU32" i="61" a="1"/>
  <c r="AU32" i="61" s="1"/>
  <c r="AU30" i="61" a="1"/>
  <c r="AU30" i="61" s="1"/>
  <c r="AU40" i="61" a="1"/>
  <c r="AU40" i="61" s="1"/>
  <c r="AU49" i="61" a="1"/>
  <c r="AU49" i="61" s="1"/>
  <c r="AU43" i="61" a="1"/>
  <c r="AU43" i="61" s="1"/>
  <c r="AU56" i="61" a="1"/>
  <c r="AU56" i="61" s="1"/>
  <c r="AU46" i="61" a="1"/>
  <c r="AU46" i="61" s="1"/>
  <c r="AU35" i="61" a="1"/>
  <c r="AU35" i="61" s="1"/>
  <c r="AU37" i="61" a="1"/>
  <c r="AU37" i="61" s="1"/>
  <c r="AU57" i="61" a="1"/>
  <c r="AU57" i="61" s="1"/>
  <c r="AV33" i="61" a="1"/>
  <c r="AV33" i="61" s="1"/>
  <c r="AV38" i="61" a="1"/>
  <c r="AV38" i="61" s="1"/>
  <c r="AV46" i="61" a="1"/>
  <c r="AV46" i="61" s="1"/>
  <c r="AV39" i="61" a="1"/>
  <c r="AV39" i="61" s="1"/>
  <c r="AV57" i="61" a="1"/>
  <c r="AV57" i="61" s="1"/>
  <c r="AV34" i="61" a="1"/>
  <c r="AV34" i="61" s="1"/>
  <c r="AV47" i="61" a="1"/>
  <c r="AV47" i="61" s="1"/>
  <c r="AV37" i="61" a="1"/>
  <c r="AV37" i="61" s="1"/>
  <c r="AV41" i="61" a="1"/>
  <c r="AV41" i="61" s="1"/>
  <c r="AV30" i="61" a="1"/>
  <c r="AV30" i="61" s="1"/>
  <c r="AV23" i="61" a="1"/>
  <c r="AV23" i="61" s="1"/>
  <c r="AV9" i="61" a="1"/>
  <c r="AV9" i="61" s="1"/>
  <c r="AV17" i="61" a="1"/>
  <c r="AV17" i="61" s="1"/>
  <c r="AV16" i="61" a="1"/>
  <c r="AV16" i="61" s="1"/>
  <c r="AV21" i="61" a="1"/>
  <c r="AV2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V43" i="61" s="1" a="1"/>
  <c r="AV43" i="61" s="1"/>
  <c r="AW1" i="61"/>
  <c r="AW5" i="61" l="1"/>
  <c r="AW4" i="61"/>
  <c r="AV52" i="61" a="1"/>
  <c r="AV52" i="61" s="1"/>
  <c r="AV50" i="61" a="1"/>
  <c r="AV50" i="61" s="1"/>
  <c r="AV31" i="61" a="1"/>
  <c r="AV31" i="61" s="1"/>
  <c r="AV55" i="61" a="1"/>
  <c r="AV55" i="61" s="1"/>
  <c r="AV28" i="61" a="1"/>
  <c r="AV28" i="61" s="1"/>
  <c r="AV42" i="61" a="1"/>
  <c r="AV42" i="61" s="1"/>
  <c r="AV48" i="61" a="1"/>
  <c r="AV48" i="61" s="1"/>
  <c r="AV51" i="61" a="1"/>
  <c r="AV51" i="61" s="1"/>
  <c r="AV53" i="61" a="1"/>
  <c r="AV53" i="61" s="1"/>
  <c r="AV54" i="61" a="1"/>
  <c r="AV54" i="61" s="1"/>
  <c r="AV49" i="61" a="1"/>
  <c r="AV49" i="61" s="1"/>
  <c r="AV27" i="61" a="1"/>
  <c r="AV27" i="61" s="1"/>
  <c r="AV36" i="61" a="1"/>
  <c r="AV36" i="61" s="1"/>
  <c r="AV56" i="61" a="1"/>
  <c r="AV56" i="61" s="1"/>
  <c r="AV40" i="61" a="1"/>
  <c r="AV40" i="61" s="1"/>
  <c r="AW46" i="61" a="1"/>
  <c r="AW46" i="61" s="1"/>
  <c r="AW40" i="61" a="1"/>
  <c r="AW40" i="61" s="1"/>
  <c r="AW39" i="61" a="1"/>
  <c r="AW39" i="61" s="1"/>
  <c r="AW31" i="61" a="1"/>
  <c r="AW31" i="61" s="1"/>
  <c r="AW57" i="61" a="1"/>
  <c r="AW57" i="61" s="1"/>
  <c r="AW34" i="61" a="1"/>
  <c r="AW34" i="61" s="1"/>
  <c r="AW55" i="61" a="1"/>
  <c r="AW55" i="61" s="1"/>
  <c r="AW47" i="61" a="1"/>
  <c r="AW47" i="61" s="1"/>
  <c r="AW27" i="61" a="1"/>
  <c r="AW27" i="61" s="1"/>
  <c r="AW48" i="61" a="1"/>
  <c r="AW48" i="61" s="1"/>
  <c r="AW44" i="61" a="1"/>
  <c r="AW44" i="61" s="1"/>
  <c r="AW32" i="61" a="1"/>
  <c r="AW32" i="61" s="1"/>
  <c r="AW17" i="61" a="1"/>
  <c r="AW17" i="61" s="1"/>
  <c r="AW16" i="61" a="1"/>
  <c r="AW16" i="61" s="1"/>
  <c r="AW21" i="61" a="1"/>
  <c r="AW21" i="61" s="1"/>
  <c r="AW13" i="61" a="1"/>
  <c r="AW13" i="61" s="1"/>
  <c r="AW30" i="61" a="1"/>
  <c r="AW30" i="61" s="1"/>
  <c r="AW49" i="61" a="1"/>
  <c r="AW49" i="61" s="1"/>
  <c r="AW24" i="61" a="1"/>
  <c r="AW24" i="61" s="1"/>
  <c r="AW22" i="61" a="1"/>
  <c r="AW22" i="61" s="1"/>
  <c r="AW19" i="61" a="1"/>
  <c r="AW19" i="61" s="1"/>
  <c r="AW12" i="61" a="1"/>
  <c r="AW1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W43" i="61" s="1" a="1"/>
  <c r="AW43" i="61" s="1"/>
  <c r="AX5" i="61" l="1"/>
  <c r="AX4" i="61"/>
  <c r="AW50" i="61" a="1"/>
  <c r="AW50" i="61" s="1"/>
  <c r="AW42" i="61" a="1"/>
  <c r="AW42" i="61" s="1"/>
  <c r="AW26" i="61" a="1"/>
  <c r="AW26" i="61" s="1"/>
  <c r="AW52" i="61" a="1"/>
  <c r="AW52" i="61" s="1"/>
  <c r="AW51" i="61" a="1"/>
  <c r="AW51" i="61" s="1"/>
  <c r="AW38" i="61" a="1"/>
  <c r="AW38" i="61" s="1"/>
  <c r="AW56" i="61" a="1"/>
  <c r="AW56" i="61" s="1"/>
  <c r="AW29" i="61" a="1"/>
  <c r="AW29" i="61" s="1"/>
  <c r="AW53" i="61" a="1"/>
  <c r="AW53" i="61" s="1"/>
  <c r="AW28" i="61" a="1"/>
  <c r="AW28" i="61" s="1"/>
  <c r="AW35" i="61" a="1"/>
  <c r="AW35" i="61" s="1"/>
  <c r="AW54" i="61" a="1"/>
  <c r="AW54" i="61" s="1"/>
  <c r="AW45" i="61" a="1"/>
  <c r="AW45" i="61" s="1"/>
  <c r="AW36" i="61" a="1"/>
  <c r="AW36" i="61" s="1"/>
  <c r="AW41" i="61" a="1"/>
  <c r="AW41" i="61" s="1"/>
  <c r="AX40" i="61" a="1"/>
  <c r="AX40" i="61" s="1"/>
  <c r="AX39" i="61" a="1"/>
  <c r="AX39" i="61" s="1"/>
  <c r="AX43" i="61" a="1"/>
  <c r="AX43" i="61" s="1"/>
  <c r="AX36" i="61" a="1"/>
  <c r="AX36" i="61" s="1"/>
  <c r="AX54" i="61" a="1"/>
  <c r="AX54" i="61" s="1"/>
  <c r="AX34" i="61" a="1"/>
  <c r="AX34" i="61" s="1"/>
  <c r="AX32" i="61" a="1"/>
  <c r="AX32" i="61" s="1"/>
  <c r="AX52" i="61" a="1"/>
  <c r="AX52" i="61" s="1"/>
  <c r="AX35" i="61" a="1"/>
  <c r="AX35" i="61" s="1"/>
  <c r="AX56" i="61" a="1"/>
  <c r="AX56" i="61" s="1"/>
  <c r="AX49" i="61" a="1"/>
  <c r="AX49" i="61" s="1"/>
  <c r="AX21" i="61" a="1"/>
  <c r="AX21" i="61" s="1"/>
  <c r="AX13" i="61" a="1"/>
  <c r="AX13"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5" i="61" a="1"/>
  <c r="AX25"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X51" i="61" s="1" a="1"/>
  <c r="AX51" i="61" s="1"/>
  <c r="AY1" i="61"/>
  <c r="AY5" i="61" l="1"/>
  <c r="AY4" i="61"/>
  <c r="AX37" i="61" a="1"/>
  <c r="AX37" i="61" s="1"/>
  <c r="AX31" i="61" a="1"/>
  <c r="AX31" i="61" s="1"/>
  <c r="AX41" i="61" a="1"/>
  <c r="AX41" i="61" s="1"/>
  <c r="AX30" i="61" a="1"/>
  <c r="AX30" i="61" s="1"/>
  <c r="AX44" i="61" a="1"/>
  <c r="AX44" i="61" s="1"/>
  <c r="AX46" i="61" a="1"/>
  <c r="AX46" i="61" s="1"/>
  <c r="AX48" i="61" a="1"/>
  <c r="AX48" i="61" s="1"/>
  <c r="AX50" i="61" a="1"/>
  <c r="AX50" i="61" s="1"/>
  <c r="AX26" i="61" a="1"/>
  <c r="AX26" i="61" s="1"/>
  <c r="AX47" i="61" a="1"/>
  <c r="AX47" i="61" s="1"/>
  <c r="AX57" i="61" a="1"/>
  <c r="AX57" i="61" s="1"/>
  <c r="AX27" i="61" a="1"/>
  <c r="AX27" i="61" s="1"/>
  <c r="AX55" i="61" a="1"/>
  <c r="AX55" i="61" s="1"/>
  <c r="AX42" i="61" a="1"/>
  <c r="AX42" i="61" s="1"/>
  <c r="AX28" i="61" a="1"/>
  <c r="AX28" i="61" s="1"/>
  <c r="AY54" i="61" a="1"/>
  <c r="AY54" i="61" s="1"/>
  <c r="AY29" i="61" a="1"/>
  <c r="AY29" i="61" s="1"/>
  <c r="AY34" i="61" a="1"/>
  <c r="AY34" i="61" s="1"/>
  <c r="AY55" i="61" a="1"/>
  <c r="AY55" i="61" s="1"/>
  <c r="AY37" i="61" a="1"/>
  <c r="AY37" i="61" s="1"/>
  <c r="AY45" i="61" a="1"/>
  <c r="AY45" i="61" s="1"/>
  <c r="AY30" i="61" a="1"/>
  <c r="AY30" i="61" s="1"/>
  <c r="AY49" i="61" a="1"/>
  <c r="AY49" i="61" s="1"/>
  <c r="AY53" i="61" a="1"/>
  <c r="AY53" i="61" s="1"/>
  <c r="AY33" i="61" a="1"/>
  <c r="AY33" i="61" s="1"/>
  <c r="AY24" i="61" a="1"/>
  <c r="AY24" i="61" s="1"/>
  <c r="AY12" i="61" a="1"/>
  <c r="AY12" i="61" s="1"/>
  <c r="AY39" i="61" a="1"/>
  <c r="AY39" i="61" s="1"/>
  <c r="AY22" i="61" a="1"/>
  <c r="AY22" i="61" s="1"/>
  <c r="AY19" i="61" a="1"/>
  <c r="AY19" i="61" s="1"/>
  <c r="AY15" i="61" a="1"/>
  <c r="AY15" i="61" s="1"/>
  <c r="AY11" i="61" a="1"/>
  <c r="AY11" i="61" s="1"/>
  <c r="AY10" i="61" a="1"/>
  <c r="AY10" i="61" s="1"/>
  <c r="AY20" i="61" a="1"/>
  <c r="AY20" i="61" s="1"/>
  <c r="AY25" i="61" a="1"/>
  <c r="AY25" i="61" s="1"/>
  <c r="AY14" i="61" a="1"/>
  <c r="AY14" i="61" s="1"/>
  <c r="AY56" i="61" a="1"/>
  <c r="AY56" i="61" s="1"/>
  <c r="AY40" i="61" a="1"/>
  <c r="AY40" i="61" s="1"/>
  <c r="AY23" i="61" a="1"/>
  <c r="AY23" i="61" s="1"/>
  <c r="AY16" i="61" a="1"/>
  <c r="AY16" i="61" s="1"/>
  <c r="AY21" i="61" a="1"/>
  <c r="AY21" i="61" s="1"/>
  <c r="AY18" i="61" a="1"/>
  <c r="AY18" i="61" s="1"/>
  <c r="AY9" i="61" a="1"/>
  <c r="AY9" i="61" s="1"/>
  <c r="AY17" i="61" a="1"/>
  <c r="AY17" i="61" s="1"/>
  <c r="AY13" i="61" a="1"/>
  <c r="AY13" i="61" s="1"/>
  <c r="AY2" i="61"/>
  <c r="AY47" i="61" s="1" a="1"/>
  <c r="AY47" i="61" s="1"/>
  <c r="AZ1" i="61"/>
  <c r="AZ5" i="61" l="1"/>
  <c r="AZ4" i="61"/>
  <c r="AY41" i="61" a="1"/>
  <c r="AY41" i="61" s="1"/>
  <c r="AY51" i="61" a="1"/>
  <c r="AY51" i="61" s="1"/>
  <c r="AY35" i="61" a="1"/>
  <c r="AY35" i="61" s="1"/>
  <c r="AY32" i="61" a="1"/>
  <c r="AY32" i="61" s="1"/>
  <c r="AY46" i="61" a="1"/>
  <c r="AY46" i="61" s="1"/>
  <c r="AY52" i="61" a="1"/>
  <c r="AY52" i="61" s="1"/>
  <c r="AY26" i="61" a="1"/>
  <c r="AY26" i="61" s="1"/>
  <c r="AY31" i="61" a="1"/>
  <c r="AY31" i="61" s="1"/>
  <c r="AY48" i="61" a="1"/>
  <c r="AY48" i="61" s="1"/>
  <c r="AY57" i="61" a="1"/>
  <c r="AY57" i="61" s="1"/>
  <c r="AY38" i="61" a="1"/>
  <c r="AY38" i="61" s="1"/>
  <c r="AY27" i="61" a="1"/>
  <c r="AY27" i="61" s="1"/>
  <c r="AY36" i="61" a="1"/>
  <c r="AY36" i="61" s="1"/>
  <c r="AY43" i="61" a="1"/>
  <c r="AY43" i="61" s="1"/>
  <c r="AY28" i="61" a="1"/>
  <c r="AY28" i="61" s="1"/>
  <c r="AY44" i="61" a="1"/>
  <c r="AY44" i="61" s="1"/>
  <c r="AY50" i="61" a="1"/>
  <c r="AY50" i="61" s="1"/>
  <c r="AY42" i="61" a="1"/>
  <c r="AY42" i="61" s="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5" i="61" l="1"/>
  <c r="BA4"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5" i="61" l="1"/>
  <c r="BB4" i="61"/>
  <c r="BB30" i="61" a="1"/>
  <c r="BB30" i="61" s="1"/>
  <c r="BB56" i="61" a="1"/>
  <c r="BB56" i="61" s="1"/>
  <c r="BB33" i="61" a="1"/>
  <c r="BB33" i="61" s="1"/>
  <c r="BB54" i="61" a="1"/>
  <c r="BB54" i="61" s="1"/>
  <c r="BB36" i="61" a="1"/>
  <c r="BB36" i="61" s="1"/>
  <c r="BB34" i="61" a="1"/>
  <c r="BB34" i="61" s="1"/>
  <c r="BB19" i="61" a="1"/>
  <c r="BB19" i="61" s="1"/>
  <c r="BB22" i="61" a="1"/>
  <c r="BB22" i="61" s="1"/>
  <c r="BB14" i="61" a="1"/>
  <c r="BB14" i="61" s="1"/>
  <c r="BB10" i="61" a="1"/>
  <c r="BB10" i="61" s="1"/>
  <c r="BB25" i="61" a="1"/>
  <c r="BB25" i="61" s="1"/>
  <c r="BB20" i="61" a="1"/>
  <c r="BB20" i="61" s="1"/>
  <c r="BB15" i="61" a="1"/>
  <c r="BB15" i="61" s="1"/>
  <c r="BB9" i="61" a="1"/>
  <c r="BB9" i="61" s="1"/>
  <c r="BB23" i="61" a="1"/>
  <c r="BB23" i="61" s="1"/>
  <c r="BB17" i="61" a="1"/>
  <c r="BB17" i="61" s="1"/>
  <c r="BB16" i="61" a="1"/>
  <c r="BB16" i="61" s="1"/>
  <c r="BB13" i="61" a="1"/>
  <c r="BB13" i="61" s="1"/>
  <c r="BB21" i="61" a="1"/>
  <c r="BB21" i="61" s="1"/>
  <c r="BB24" i="61" a="1"/>
  <c r="BB24" i="61" s="1"/>
  <c r="BB18" i="61" a="1"/>
  <c r="BB18" i="61" s="1"/>
  <c r="BB12" i="61" a="1"/>
  <c r="BB12" i="61" s="1"/>
  <c r="BB11" i="61" a="1"/>
  <c r="BB11" i="61" s="1"/>
  <c r="BC1" i="61"/>
  <c r="BB2" i="61"/>
  <c r="BB47" i="61" s="1" a="1"/>
  <c r="BB47" i="61" s="1"/>
  <c r="BC5" i="61" l="1"/>
  <c r="BC4" i="61"/>
  <c r="BB31" i="61" a="1"/>
  <c r="BB31" i="61" s="1"/>
  <c r="BB45" i="61" a="1"/>
  <c r="BB45" i="61" s="1"/>
  <c r="BB50" i="61" a="1"/>
  <c r="BB50" i="61" s="1"/>
  <c r="BB43" i="61" a="1"/>
  <c r="BB43" i="61" s="1"/>
  <c r="BB37" i="61" a="1"/>
  <c r="BB37" i="61" s="1"/>
  <c r="BB41" i="61" a="1"/>
  <c r="BB41" i="61" s="1"/>
  <c r="BB39" i="61" a="1"/>
  <c r="BB39" i="61" s="1"/>
  <c r="BB51" i="61" a="1"/>
  <c r="BB51" i="61" s="1"/>
  <c r="BB32" i="61" a="1"/>
  <c r="BB32" i="61" s="1"/>
  <c r="BB46" i="61" a="1"/>
  <c r="BB46" i="61" s="1"/>
  <c r="BB57" i="61" a="1"/>
  <c r="BB57" i="61" s="1"/>
  <c r="BB29" i="61" a="1"/>
  <c r="BB29" i="61" s="1"/>
  <c r="BB53" i="61" a="1"/>
  <c r="BB53" i="61" s="1"/>
  <c r="BB48" i="61" a="1"/>
  <c r="BB48" i="61" s="1"/>
  <c r="BB52" i="61" a="1"/>
  <c r="BB52" i="61" s="1"/>
  <c r="BB28" i="61" a="1"/>
  <c r="BB28" i="61" s="1"/>
  <c r="BB27" i="61" a="1"/>
  <c r="BB27" i="61" s="1"/>
  <c r="BB40" i="61" a="1"/>
  <c r="BB40" i="61" s="1"/>
  <c r="BB38" i="61" a="1"/>
  <c r="BB38" i="61" s="1"/>
  <c r="BB42" i="61" a="1"/>
  <c r="BB42" i="61" s="1"/>
  <c r="BB44" i="61" a="1"/>
  <c r="BB44" i="61" s="1"/>
  <c r="BB35" i="61" a="1"/>
  <c r="BB35" i="61" s="1"/>
  <c r="BB55" i="61" a="1"/>
  <c r="BB55" i="61" s="1"/>
  <c r="BB26" i="61" a="1"/>
  <c r="BB26" i="61" s="1"/>
  <c r="BB49" i="61" a="1"/>
  <c r="BB49" i="61" s="1"/>
  <c r="BC45" i="61" a="1"/>
  <c r="BC45" i="61" s="1"/>
  <c r="BC56" i="61" a="1"/>
  <c r="BC56" i="61" s="1"/>
  <c r="BC49" i="61" a="1"/>
  <c r="BC49" i="61" s="1"/>
  <c r="BC35" i="61" a="1"/>
  <c r="BC35" i="61" s="1"/>
  <c r="BC33" i="61" a="1"/>
  <c r="BC33" i="61" s="1"/>
  <c r="BC36" i="61" a="1"/>
  <c r="BC36" i="61" s="1"/>
  <c r="BC51" i="61" a="1"/>
  <c r="BC51" i="61" s="1"/>
  <c r="BC29" i="61" a="1"/>
  <c r="BC29" i="61" s="1"/>
  <c r="BC31" i="61" a="1"/>
  <c r="BC31" i="61" s="1"/>
  <c r="BC22" i="61" a="1"/>
  <c r="BC22" i="61" s="1"/>
  <c r="BC11" i="61" a="1"/>
  <c r="BC11" i="61" s="1"/>
  <c r="BC10" i="61" a="1"/>
  <c r="BC10" i="61" s="1"/>
  <c r="BC25" i="61" a="1"/>
  <c r="BC25" i="61" s="1"/>
  <c r="BC20" i="61" a="1"/>
  <c r="BC20" i="61" s="1"/>
  <c r="BC15" i="61" a="1"/>
  <c r="BC15" i="61" s="1"/>
  <c r="BC43" i="61" a="1"/>
  <c r="BC43" i="61" s="1"/>
  <c r="BC26" i="61" a="1"/>
  <c r="BC26" i="61" s="1"/>
  <c r="BC17" i="61" a="1"/>
  <c r="BC17" i="61" s="1"/>
  <c r="BC9" i="61" a="1"/>
  <c r="BC9"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12" i="61" a="1"/>
  <c r="BC12" i="61" s="1"/>
  <c r="BC2" i="61"/>
  <c r="BC42" i="61" s="1" a="1"/>
  <c r="BC42" i="61" s="1"/>
  <c r="BD1" i="61"/>
  <c r="BD5" i="61" l="1"/>
  <c r="BD4" i="61"/>
  <c r="BC54" i="61" a="1"/>
  <c r="BC54" i="61" s="1"/>
  <c r="BC38" i="61" a="1"/>
  <c r="BC38" i="61" s="1"/>
  <c r="BC41" i="61" a="1"/>
  <c r="BC41" i="61" s="1"/>
  <c r="BC47" i="61" a="1"/>
  <c r="BC47" i="61" s="1"/>
  <c r="BC39" i="61" a="1"/>
  <c r="BC39" i="61" s="1"/>
  <c r="BC32" i="61" a="1"/>
  <c r="BC32" i="61" s="1"/>
  <c r="BC37" i="61" a="1"/>
  <c r="BC37" i="61" s="1"/>
  <c r="BC57" i="61" a="1"/>
  <c r="BC57" i="61" s="1"/>
  <c r="BC50" i="61" a="1"/>
  <c r="BC50" i="61" s="1"/>
  <c r="BC48" i="61" a="1"/>
  <c r="BC48" i="61" s="1"/>
  <c r="BC52" i="61" a="1"/>
  <c r="BC52" i="61" s="1"/>
  <c r="BC40" i="61" a="1"/>
  <c r="BC40" i="61" s="1"/>
  <c r="BC44" i="61" a="1"/>
  <c r="BC44" i="61" s="1"/>
  <c r="BC53" i="61" a="1"/>
  <c r="BC53" i="61" s="1"/>
  <c r="BC55" i="61" a="1"/>
  <c r="BC55" i="61" s="1"/>
  <c r="BC28" i="61" a="1"/>
  <c r="BC28" i="61" s="1"/>
  <c r="BC27" i="61" a="1"/>
  <c r="BC27" i="61" s="1"/>
  <c r="BC30" i="61" a="1"/>
  <c r="BC30" i="61" s="1"/>
  <c r="BD52" i="61" a="1"/>
  <c r="BD52" i="61" s="1"/>
  <c r="BD37" i="61" a="1"/>
  <c r="BD37" i="61" s="1"/>
  <c r="BD45" i="61" a="1"/>
  <c r="BD45" i="61" s="1"/>
  <c r="BD30" i="61" a="1"/>
  <c r="BD30" i="61" s="1"/>
  <c r="BD33" i="61" a="1"/>
  <c r="BD33" i="61" s="1"/>
  <c r="BD57" i="61" a="1"/>
  <c r="BD57" i="61" s="1"/>
  <c r="BD50" i="61" a="1"/>
  <c r="BD50" i="61" s="1"/>
  <c r="BD38" i="61" a="1"/>
  <c r="BD38"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23" i="61" a="1"/>
  <c r="BD23" i="61" s="1"/>
  <c r="BD13" i="61" a="1"/>
  <c r="BD13"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2" i="61"/>
  <c r="BD56" i="61" s="1" a="1"/>
  <c r="BD56" i="61" s="1"/>
  <c r="BE1" i="61"/>
  <c r="BE5" i="61" l="1"/>
  <c r="BE4" i="61"/>
  <c r="BD36" i="61" a="1"/>
  <c r="BD36" i="61" s="1"/>
  <c r="BD44" i="61" a="1"/>
  <c r="BD44" i="61" s="1"/>
  <c r="BD47" i="61" a="1"/>
  <c r="BD47" i="61" s="1"/>
  <c r="BD28" i="61" a="1"/>
  <c r="BD28" i="61" s="1"/>
  <c r="BD32" i="61" a="1"/>
  <c r="BD32" i="61" s="1"/>
  <c r="BD51" i="61" a="1"/>
  <c r="BD51" i="61" s="1"/>
  <c r="BD40" i="61" a="1"/>
  <c r="BD40" i="61" s="1"/>
  <c r="BD31" i="61" a="1"/>
  <c r="BD31" i="61" s="1"/>
  <c r="BD42" i="61" a="1"/>
  <c r="BD42" i="61" s="1"/>
  <c r="BD39" i="61" a="1"/>
  <c r="BD39" i="61" s="1"/>
  <c r="BD53" i="61" a="1"/>
  <c r="BD53" i="61" s="1"/>
  <c r="BD43" i="61" a="1"/>
  <c r="BD43" i="61" s="1"/>
  <c r="BD35" i="61" a="1"/>
  <c r="BD35" i="61" s="1"/>
  <c r="BD46" i="61" a="1"/>
  <c r="BD46" i="61" s="1"/>
  <c r="BD49" i="61" a="1"/>
  <c r="BD49" i="61" s="1"/>
  <c r="BD41" i="61" a="1"/>
  <c r="BD41" i="61" s="1"/>
  <c r="BD48" i="61" a="1"/>
  <c r="BD48" i="61" s="1"/>
  <c r="BD26" i="61" a="1"/>
  <c r="BD26" i="61" s="1"/>
  <c r="BE49" i="61" a="1"/>
  <c r="BE49" i="61" s="1"/>
  <c r="BE35" i="61" a="1"/>
  <c r="BE35" i="61" s="1"/>
  <c r="BE42" i="61" a="1"/>
  <c r="BE42" i="61" s="1"/>
  <c r="BE33" i="61" a="1"/>
  <c r="BE33" i="61" s="1"/>
  <c r="BE31" i="61" a="1"/>
  <c r="BE31" i="61" s="1"/>
  <c r="BE54" i="61" a="1"/>
  <c r="BE54" i="61" s="1"/>
  <c r="BE36" i="61" a="1"/>
  <c r="BE36" i="61" s="1"/>
  <c r="BE34" i="61" a="1"/>
  <c r="BE34" i="61" s="1"/>
  <c r="BE25" i="61" a="1"/>
  <c r="BE25" i="61" s="1"/>
  <c r="BE20" i="61" a="1"/>
  <c r="BE20" i="61" s="1"/>
  <c r="BE15" i="61" a="1"/>
  <c r="BE15" i="61" s="1"/>
  <c r="BE51" i="61" a="1"/>
  <c r="BE51" i="61" s="1"/>
  <c r="BE32" i="61" a="1"/>
  <c r="BE32" i="61" s="1"/>
  <c r="BE26" i="61" a="1"/>
  <c r="BE26" i="61" s="1"/>
  <c r="BE23" i="61" a="1"/>
  <c r="BE23" i="61" s="1"/>
  <c r="BE13" i="61" a="1"/>
  <c r="BE13" i="61" s="1"/>
  <c r="BE21" i="61" a="1"/>
  <c r="BE21" i="61" s="1"/>
  <c r="BE18" i="61" a="1"/>
  <c r="BE18" i="61" s="1"/>
  <c r="BE12" i="61" a="1"/>
  <c r="BE12" i="61" s="1"/>
  <c r="BE24" i="61" a="1"/>
  <c r="BE24" i="61" s="1"/>
  <c r="BE17" i="61" a="1"/>
  <c r="BE17" i="61" s="1"/>
  <c r="BE16" i="61" a="1"/>
  <c r="BE16" i="61" s="1"/>
  <c r="BE14" i="61" a="1"/>
  <c r="BE14" i="61" s="1"/>
  <c r="BE9" i="61" a="1"/>
  <c r="BE9" i="61" s="1"/>
  <c r="BE11" i="61" a="1"/>
  <c r="BE11" i="61" s="1"/>
  <c r="BE10" i="61" a="1"/>
  <c r="BE10" i="61" s="1"/>
  <c r="BE22" i="61" a="1"/>
  <c r="BE22" i="61" s="1"/>
  <c r="BE19" i="61" a="1"/>
  <c r="BE19" i="61" s="1"/>
  <c r="BE2" i="61"/>
  <c r="BE40" i="61" s="1" a="1"/>
  <c r="BE40" i="61" s="1"/>
  <c r="BF1" i="61"/>
  <c r="BF5" i="61" l="1"/>
  <c r="BF4" i="61"/>
  <c r="BE41" i="61" a="1"/>
  <c r="BE41" i="61" s="1"/>
  <c r="BE27" i="61" a="1"/>
  <c r="BE27" i="61" s="1"/>
  <c r="BE38" i="61" a="1"/>
  <c r="BE38" i="61" s="1"/>
  <c r="BE29" i="61" a="1"/>
  <c r="BE29" i="61" s="1"/>
  <c r="BE44" i="61" a="1"/>
  <c r="BE44" i="61" s="1"/>
  <c r="BE50" i="61" a="1"/>
  <c r="BE50" i="61" s="1"/>
  <c r="BE56" i="61" a="1"/>
  <c r="BE56" i="61" s="1"/>
  <c r="BE30" i="61" a="1"/>
  <c r="BE30" i="61" s="1"/>
  <c r="BE52" i="61" a="1"/>
  <c r="BE52" i="61" s="1"/>
  <c r="BE37" i="61" a="1"/>
  <c r="BE37" i="61" s="1"/>
  <c r="BE57" i="61" a="1"/>
  <c r="BE57" i="61" s="1"/>
  <c r="BE28" i="61" a="1"/>
  <c r="BE28" i="61" s="1"/>
  <c r="BE55" i="61" a="1"/>
  <c r="BE55" i="61" s="1"/>
  <c r="BE53" i="61" a="1"/>
  <c r="BE53" i="61" s="1"/>
  <c r="BE46" i="61" a="1"/>
  <c r="BE46" i="61" s="1"/>
  <c r="BE39" i="61" a="1"/>
  <c r="BE39" i="61" s="1"/>
  <c r="BE43" i="61" a="1"/>
  <c r="BE43" i="61" s="1"/>
  <c r="BE48" i="61" a="1"/>
  <c r="BE48" i="61" s="1"/>
  <c r="BE45" i="61" a="1"/>
  <c r="BE45" i="61" s="1"/>
  <c r="BE47" i="61" a="1"/>
  <c r="BE47" i="61" s="1"/>
  <c r="BF35" i="61" a="1"/>
  <c r="BF35" i="61" s="1"/>
  <c r="BF33" i="61" a="1"/>
  <c r="BF33" i="61" s="1"/>
  <c r="BF43" i="61" a="1"/>
  <c r="BF43" i="61" s="1"/>
  <c r="BF25" i="61" a="1"/>
  <c r="BF25" i="61" s="1"/>
  <c r="BF15" i="61" a="1"/>
  <c r="BF15" i="61" s="1"/>
  <c r="BF9" i="61" a="1"/>
  <c r="BF9" i="61" s="1"/>
  <c r="BF13" i="61" a="1"/>
  <c r="BF13" i="61" s="1"/>
  <c r="BF17" i="61" a="1"/>
  <c r="BF17" i="61" s="1"/>
  <c r="BF16" i="61" a="1"/>
  <c r="BF16" i="61" s="1"/>
  <c r="BF23" i="61" a="1"/>
  <c r="BF23" i="61" s="1"/>
  <c r="BF21" i="61" a="1"/>
  <c r="BF21" i="61" s="1"/>
  <c r="BF18" i="61" a="1"/>
  <c r="BF18" i="61" s="1"/>
  <c r="BF12" i="61" a="1"/>
  <c r="BF12" i="61" s="1"/>
  <c r="BF24" i="61" a="1"/>
  <c r="BF24" i="61" s="1"/>
  <c r="BF19" i="61" a="1"/>
  <c r="BF19" i="61" s="1"/>
  <c r="BF22" i="61" a="1"/>
  <c r="BF22" i="61" s="1"/>
  <c r="BF11" i="61" a="1"/>
  <c r="BF11" i="61" s="1"/>
  <c r="BF20" i="61" a="1"/>
  <c r="BF20" i="61" s="1"/>
  <c r="BF34" i="61" a="1"/>
  <c r="BF34" i="61" s="1"/>
  <c r="BF10" i="61" a="1"/>
  <c r="BF10" i="61" s="1"/>
  <c r="BF14" i="61" a="1"/>
  <c r="BF14" i="61" s="1"/>
  <c r="BF2" i="61"/>
  <c r="BF42" i="61" s="1" a="1"/>
  <c r="BF42" i="61" s="1"/>
  <c r="BG1" i="61"/>
  <c r="BG5" i="61" l="1"/>
  <c r="BG4" i="61"/>
  <c r="BF41" i="61" a="1"/>
  <c r="BF41" i="61" s="1"/>
  <c r="BF32" i="61" a="1"/>
  <c r="BF32" i="61" s="1"/>
  <c r="BF26" i="61" a="1"/>
  <c r="BF26" i="61" s="1"/>
  <c r="BF56" i="61" a="1"/>
  <c r="BF56" i="61" s="1"/>
  <c r="BF48" i="61" a="1"/>
  <c r="BF48" i="61" s="1"/>
  <c r="BF57" i="61" a="1"/>
  <c r="BF57" i="61" s="1"/>
  <c r="BF45" i="61" a="1"/>
  <c r="BF45" i="61" s="1"/>
  <c r="BF49" i="61" a="1"/>
  <c r="BF49" i="61" s="1"/>
  <c r="BF38" i="61" a="1"/>
  <c r="BF38" i="61" s="1"/>
  <c r="BF53" i="61" a="1"/>
  <c r="BF53" i="61" s="1"/>
  <c r="BF55" i="61" a="1"/>
  <c r="BF55" i="61" s="1"/>
  <c r="BF47" i="61" a="1"/>
  <c r="BF47" i="61" s="1"/>
  <c r="BF51" i="61" a="1"/>
  <c r="BF51" i="61" s="1"/>
  <c r="BF28" i="61" a="1"/>
  <c r="BF28" i="61" s="1"/>
  <c r="BF50" i="61" a="1"/>
  <c r="BF50" i="61" s="1"/>
  <c r="BF30" i="61" a="1"/>
  <c r="BF30" i="61" s="1"/>
  <c r="BF36" i="61" a="1"/>
  <c r="BF36" i="61" s="1"/>
  <c r="BF39" i="61" a="1"/>
  <c r="BF39" i="61" s="1"/>
  <c r="BF37" i="61" a="1"/>
  <c r="BF37" i="61" s="1"/>
  <c r="BF54" i="61" a="1"/>
  <c r="BF54" i="61" s="1"/>
  <c r="BF40" i="61" a="1"/>
  <c r="BF40" i="61" s="1"/>
  <c r="BF46" i="61" a="1"/>
  <c r="BF46" i="61" s="1"/>
  <c r="BF52" i="61" a="1"/>
  <c r="BF52" i="61" s="1"/>
  <c r="BF44" i="61" a="1"/>
  <c r="BF44" i="61" s="1"/>
  <c r="BF29" i="61" a="1"/>
  <c r="BF29" i="61" s="1"/>
  <c r="BF27" i="61" a="1"/>
  <c r="BF27" i="61" s="1"/>
  <c r="BF31" i="61" a="1"/>
  <c r="BF31" i="61" s="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BV9" i="61" l="1"/>
  <c r="BY9" i="61"/>
  <c r="CF9" i="61"/>
  <c r="BZ9" i="61"/>
  <c r="CA9" i="61" l="1"/>
  <c r="CE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<sst xmlns="http://schemas.openxmlformats.org/spreadsheetml/2006/main" count="159" uniqueCount="119">
  <si>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</si>
  <si>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</si>
  <si>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</si>
  <si>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</si>
  <si>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</si>
  <si>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</si>
  <si>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</si>
  <si>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</si>
  <si>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</si>
  <si>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</si>
  <si>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</si>
  <si>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</si>
  <si>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</si>
  <si>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</si>
  <si>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</si>
  <si>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</si>
  <si>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</si>
  <si>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</si>
  <si>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</si>
  <si>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</si>
  <si>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</si>
  <si>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</si>
  <si>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</si>
  <si>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</si>
  <si>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</si>
  <si>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</si>
  <si>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</si>
  <si>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</si>
  <si>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</si>
  <si>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</si>
  <si>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</si>
  <si>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</si>
  <si>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</si>
  <si>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</si>
  <si>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</si>
  <si>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</si>
  <si>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</si>
  <si>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</si>
  <si>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</si>
  <si>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</si>
  <si>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</si>
  <si>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</si>
  <si>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</si>
  <si>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</si>
  <si>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</si>
  <si>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</si>
  <si>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</si>
  <si>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</si>
  <si>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</si>
  <si>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</si>
  <si>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</si>
  <si>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</si>
  <si>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</si>
  <si>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</si>
  <si>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</si>
  <si>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</si>
  <si>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</si>
  <si>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</si>
  <si>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</si>
  <si>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</si>
  <si>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</si>
  <si>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</si>
  <si>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</si>
  <si>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</si>
  <si>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</si>
  <si>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</si>
  <si>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</si>
  <si>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</si>
  <si>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</si>
  <si>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</si>
  <si>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</si>
  <si>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</si>
  <si>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</si>
  <si>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</si>
  <si>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</si>
  <si>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</si>
  <si>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</si>
  <si>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</si>
  <si>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</si>
  <si>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</si>
  <si>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</si>
  <si>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</si>
  <si>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</si>
  <si>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</si>
  <si>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</si>
  <si>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</si>
  <si>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</si>
  <si>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</si>
  <si>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</si>
  <si>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</si>
  <si>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</si>
  <si>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</si>
  <si>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</si>
  <si>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</si>
  <si>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</si>
  <si>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</si>
  <si>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</si>
  <si>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</si>
  <si>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</si>
  <si>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</si>
  <si>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</si>
  <si>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</si>
  <si>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Vào</t>
  </si>
  <si>
    <t>Ra</t>
  </si>
  <si>
    <t>Có</t>
  </si>
  <si>
    <t>CP03</t>
  </si>
  <si>
    <t>Red</t>
  </si>
  <si>
    <t>Green</t>
  </si>
  <si>
    <t>Blue</t>
  </si>
  <si>
    <t>Gray</t>
  </si>
  <si>
    <t>Brown</t>
  </si>
  <si>
    <t>PIybEyHvvhO7Rf2wifv7O0bHv5bzw64DdDUJ</t>
  </si>
  <si>
    <t>Nghỉ phép</t>
  </si>
  <si>
    <t>Lương</t>
  </si>
  <si>
    <t>Nghỉ phép năm</t>
  </si>
  <si>
    <t>Ngày nghỉ phép</t>
  </si>
  <si>
    <t>Ngày nghỉ phép - Còn</t>
  </si>
  <si>
    <t>8FE818A2-E086-5510-A5BA-2CF05D89041D</t>
  </si>
  <si>
    <t>FIRM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</si>
</sst>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xf numFmtId="164" fontId="5" fillId="0" borderId="0" xfId="0" applyNumberFormat="1" applyFont="1" applyAlignment="1" applyProtection="1">
      <alignment vertical="center"/>
      <protection locked="0" hidden="1"/>
    </xf>
  </cellXfs>
  <cellStyles count="3">
    <cellStyle name="Comma" xfId="1" builtinId="3"/>
    <cellStyle name="Normal" xfId="0" builtinId="0"/>
    <cellStyle name="Percent" xfId="2" builtinId="5"/>
  </cellStyles>
  <dxfs count="74">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3"/>
      <tableStyleElement type="headerRow" dxfId="72"/>
    </tableStyle>
    <tableStyle name="SlicerStyleLight1 2 2" pivot="0" table="0" count="10" xr9:uid="{9DB8D611-4D15-4128-AF8D-E3329BCC5BCE}">
      <tableStyleElement type="wholeTable" dxfId="71"/>
      <tableStyleElement type="headerRow" dxfId="70"/>
    </tableStyle>
    <tableStyle name="TimeSlicerStyleLight1 2" pivot="0" table="0" count="9" xr9:uid="{58382D9D-B456-41C4-B229-09D2A872184E}">
      <tableStyleElement type="wholeTable" dxfId="69"/>
      <tableStyleElement type="headerRow" dxfId="6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1308735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1308735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390650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38100</xdr:colOff>
          <xdr:row>4</xdr:row>
          <xdr:rowOff>152400</xdr:rowOff>
        </xdr:from>
        <xdr:to>
          <xdr:col>64</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3236595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3" dataDxfId="62">
  <autoFilter ref="E4:H9" xr:uid="{550F5245-E1EE-48BB-BA97-D53103E2B2FC}"/>
  <tableColumns count="4">
    <tableColumn id="1" xr3:uid="{62F57CB7-BD30-4CE3-AD5A-9EF6C021EAA8}" name="Giá trị" dataDxfId="61"/>
    <tableColumn id="2" xr3:uid="{801C3C2D-2DDD-4915-AC1A-DCD2A6F5566F}" name="BHXH" dataDxfId="60"/>
    <tableColumn id="3" xr3:uid="{59E7F34B-C57D-4E9B-9404-7B7D4142484B}" name="BHYT" dataDxfId="59"/>
    <tableColumn id="4" xr3:uid="{457FBBE8-3A9F-42FF-BDBA-AF1891425452}" name="BHTN" dataDxfId="58"/>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7" dataDxfId="56">
  <autoFilter ref="B4:C8" xr:uid="{B138438F-4B40-44C6-8281-F50AC510196F}"/>
  <tableColumns count="2">
    <tableColumn id="1" xr3:uid="{292AA1A7-C753-482E-94E9-088666BFB0BF}" name="Vùng" dataDxfId="55"/>
    <tableColumn id="2" xr3:uid="{F3B5F18E-1A2D-431F-9B40-2E7779B7ABA8}" name="Lương tối thiểu" dataDxfId="54"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3" dataDxfId="52">
  <autoFilter ref="O4:T11" xr:uid="{078AA6C2-B37A-44C8-9A66-799E81312864}"/>
  <tableColumns count="6">
    <tableColumn id="3" xr3:uid="{F5508474-EC5D-439A-8E93-CDD6AB2B131F}" name="Thuế suất" dataDxfId="51"/>
    <tableColumn id="1" xr3:uid="{CA2D4145-A7E0-4FFF-8284-433A4132CF97}" name="Thu nhập tối thiểu" dataDxfId="50"/>
    <tableColumn id="2" xr3:uid="{A6D996EA-5AE9-433A-91F2-46B352BEEA31}" name="Thu nhập tối đa" dataDxfId="49"/>
    <tableColumn id="4" xr3:uid="{3EFB4C5C-8B20-467E-A5AA-DBFF74729D36}" name="Thuế tối đa" dataDxfId="48">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7">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5" dataDxfId="44">
  <autoFilter ref="J4:M13" xr:uid="{1B309752-0D63-4923-9376-1BD4C4E71FD9}"/>
  <tableColumns count="4">
    <tableColumn id="1" xr3:uid="{76ABAB96-134A-4B93-A7C2-97BD4320930C}" name="Ngày" dataDxfId="43"/>
    <tableColumn id="2" xr3:uid="{91F3741B-8C80-45EB-8295-286C033070FC}" name="Giờ min" dataDxfId="42"/>
    <tableColumn id="3" xr3:uid="{AEE0EA62-A316-445B-862E-FFF5B2C4B89E}" name="Giờ max" dataDxfId="41"/>
    <tableColumn id="4" xr3:uid="{437B4F63-EC96-4774-89E5-C76DD82E5D5A}" name="Tỷ lệ" dataDxfId="40"/>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9" dataDxfId="38">
  <autoFilter ref="V8:Z11" xr:uid="{4D4ED97C-84DF-4E9E-B6CD-EA405CFD15E8}"/>
  <tableColumns count="5">
    <tableColumn id="1" xr3:uid="{06930772-A5E6-4FEA-8CAF-FE3FD3978895}" name="Ca" dataDxfId="37"/>
    <tableColumn id="2" xr3:uid="{753A739A-0E94-45D1-B3C8-EB2EDABEA806}" name="Bắt đầu" dataDxfId="36"/>
    <tableColumn id="3" xr3:uid="{A837C844-A844-4A2E-8FF0-7675770C0856}" name="Kết thúc" dataDxfId="35"/>
    <tableColumn id="4" xr3:uid="{BEB9C2FA-DC05-4867-95F3-10ACCF9B98CC}" name="Bắt đầu nghỉ" dataDxfId="34"/>
    <tableColumn id="5" xr3:uid="{630AB563-C317-4C5E-B4AF-C417FEE7FA7F}" name="Kết thúc nghỉ" dataDxfId="33"/>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M12" totalsRowShown="0" headerRowDxfId="32" dataDxfId="31">
  <autoFilter ref="BI8:BM12" xr:uid="{C03752B9-6441-44CC-9F83-B8ADA8647E1D}"/>
  <tableColumns count="5">
    <tableColumn id="1" xr3:uid="{0D3E401B-B875-45CB-BEBE-89FD7B825B13}" name="Loại" dataDxfId="30"/>
    <tableColumn id="2" xr3:uid="{8D0AAFE9-FD63-4F86-9B4D-E77AD4DDF4B8}" name="Mã Nhân viên" dataDxfId="29"/>
    <tableColumn id="3" xr3:uid="{F930BECB-6125-493C-922B-048549C0882C}" name="Thời điểm" dataDxfId="28"/>
    <tableColumn id="4" xr3:uid="{36B04F39-A935-4B83-B2DC-05AE3893B680}" name="Ngày" dataDxfId="27">
      <calculatedColumnFormula>INT(Table_ChiPhiNV_ChamCong[[#This Row],[Thời điểm]])</calculatedColumnFormula>
    </tableColumn>
    <tableColumn id="5" xr3:uid="{3D1FC5E7-A715-479D-BAF5-DEFA48B735AA}" name="Giờ" dataDxfId="26">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Y15" totalsRowShown="0" headerRowDxfId="25" dataDxfId="24">
  <autoFilter ref="V14:Y15" xr:uid="{D36C50C2-9F50-44F9-851E-AF3CE876FBFE}"/>
  <tableColumns count="4">
    <tableColumn id="1" xr3:uid="{4A3FCD0C-E17B-4120-9BE4-7374A2C75088}" name="Mã NV" dataDxfId="23"/>
    <tableColumn id="7" xr3:uid="{8B9A2DC1-6892-4BE3-8A30-44D5EB94ABC1}" name="Lương gross" dataDxfId="22" dataCellStyle="Comma"/>
    <tableColumn id="12" xr3:uid="{E89F53C3-90D6-460E-8E47-F1E06E1BC555}" name="Phụ thuộc" dataDxfId="21" dataCellStyle="Comma"/>
    <tableColumn id="2" xr3:uid="{730F5E64-55D0-4E7E-A904-A17779A2A994}" name="Nghỉ phép năm" dataDxfId="2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O8:CF9" totalsRowShown="0" headerRowDxfId="19" dataDxfId="18">
  <autoFilter ref="BO8:CF9" xr:uid="{294AD96D-0920-41EA-B450-443D36503C0F}"/>
  <tableColumns count="18">
    <tableColumn id="4" xr3:uid="{E21D6851-EFFE-4BD5-A67A-650AEF0F3499}" name="Kỳ" dataDxfId="17">
      <calculatedColumnFormula>IFERROR(
IF(ISBLANK(BQ9),
DATE(BP9,12,1),
DATE(BP9,BQ9,1)),0)</calculatedColumnFormula>
    </tableColumn>
    <tableColumn id="3" xr3:uid="{B7B57384-659E-4D19-BF64-F183B8616345}" name="Năm" dataDxfId="16"/>
    <tableColumn id="10" xr3:uid="{EBBF7EAF-37D3-4CAE-8B21-0F2C1D936CAA}" name="Tháng" dataDxfId="15"/>
    <tableColumn id="6" xr3:uid="{883A56C4-ABE3-4EA9-B271-FCF4C1EB2798}" name="Nhân viên" dataDxfId="14"/>
    <tableColumn id="29" xr3:uid="{7A67EBDD-67E8-4B0C-BE6D-713068461E5A}" name="Phụ thuộc" dataDxfId="13" dataCellStyle="Comma">
      <calculatedColumnFormula xml:space="preserve">
IFERROR(
VLOOKUP(BR9,Table_NhanVien[],COUNTA(Table_NhanVien[#Headers]),0),0)</calculatedColumnFormula>
    </tableColumn>
    <tableColumn id="5" xr3:uid="{66C17047-5F6E-4666-AEBB-B34FD6C909B8}" name="Lương hợp đồng" dataDxfId="12" dataCellStyle="Comma">
      <calculatedColumnFormula xml:space="preserve">
IFERROR(
VLOOKUP(BR9,Table_NhanVien[],COUNTA(Table_NhanVien[[#Headers],[Mã NV]:[Lương gross]]),0),0)</calculatedColumnFormula>
    </tableColumn>
    <tableColumn id="7" xr3:uid="{893CBA04-0FCB-4E57-9FC2-EDDB5F244913}" name="Ngày nghỉ phép" dataDxfId="11" dataCellStyle="Comma">
      <calculatedColumnFormula>Z7</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IF(ISBLANK(BQ9),0,
+BV9+BW9-Table_ChiPhiNV[[#This Row],[Miễn thuế tăng ca]]-ChiPhiNV_GiamTruBanThan-ChiPhiNV_GiamTruPhuThuoc*BS9)</calculatedColumnFormula>
    </tableColumn>
    <tableColumn id="14" xr3:uid="{F490DC5D-E949-4E78-BD3E-8D3A7D1B4F2A}" name="Thuế TNCN" dataDxfId="5" dataCellStyle="Comma">
      <calculatedColumnFormula xml:space="preserve">
MAX(0,IFERROR(
SUM(_xlfn._xlws.FILTER(Table_ChiPhiNV_ThueSuatTNCN[Thuế lũy kế],
(NOT(ISBLANK(Table_ChiPhiNV_ThueSuatTNCN[Thu nhập tối đa])))*
(Table_ChiPhiNV_ThueSuatTNCN[Thu nhập tối thiểu]&lt;BZ9)*
(Table_ChiPhiNV_ThueSuatTNCN[Thu nhập tối đa]&gt;=BZ9)
)),0)
+
IFERROR(
SUM(_xlfn._xlws.FILTER(Table_ChiPhiNV_ThueSuatTNCN[Thuế suất],
(NOT(ISBLANK(Table_ChiPhiNV_ThueSuatTNCN[Thu nhập tối đa])))*
(Table_ChiPhiNV_ThueSuatTNCN[Thu nhập tối thiểu]&lt;BZ9)*
(Table_ChiPhiNV_ThueSuatTNCN[Thu nhập tối đa]&gt;=BZ9)
)),0)*
(BZ9
- IFERROR(
SUM(_xlfn._xlws.FILTER(Table_ChiPhiNV_ThueSuatTNCN[Thu nhập tối thiểu],
(NOT(ISBLANK(Table_ChiPhiNV_ThueSuatTNCN[Thu nhập tối đa])))*
(Table_ChiPhiNV_ThueSuatTNCN[Thu nhập tối thiểu]&lt;BZ9)*
(Table_ChiPhiNV_ThueSuatTNCN[Thu nhập tối đa]&gt;=BZ9)
)),0))
+IFERROR(
MAX(_xlfn._xlws.FILTER(Table_ChiPhiNV_ThueSuatTNCN[Thuế lũy kế],
(Table_ChiPhiNV_ThueSuatTNCN[Thu nhập tối thiểu]&lt;BZ9)*
(ISBLANK(Table_ChiPhiNV_ThueSuatTNCN[Thu nhập tối đa]))
)),0)
+
IFERROR(
MAX(_xlfn._xlws.FILTER(Table_ChiPhiNV_ThueSuatTNCN[Thuế suất],
(Table_ChiPhiNV_ThueSuatTNCN[Thu nhập tối thiểu]&lt;BZ9)*
(ISBLANK(Table_ChiPhiNV_ThueSuatTNCN[Thu nhập tối đa]))
)),0)*
(BZ9
- IFERROR(
MAX(_xlfn._xlws.FILTER(Table_ChiPhiNV_ThueSuatTNCN[Thu nhập tối thiểu],
(Table_ChiPhiNV_ThueSuatTNCN[Thu nhập tối thiểu]&lt;BZ9)*
(ISBLANK(Table_ChiPhiNV_ThueSuatTNCN[Thu nhập tối đa]))
)),0)))</calculatedColumnFormula>
    </tableColumn>
    <tableColumn id="16" xr3:uid="{58C9362E-8BCE-4C96-9B91-18880BB5ABFC}" name="Chi phí bảo hiểm" dataDxfId="4" dataCellStyle="Comma">
      <calculatedColumnFormula>IF(ISBLANK(BQ9),0,
IF(
BT9 &lt;BHXH_LuongMax,
BT9 * BHXH_TyLeDN,
BHXH_LuongMax * BHXH_TyLeDN
)
+IF(
BT9 &lt; BHYT_LuongMax,
BT9 * BHYT_TyLeDN,
BHYT_LuongMax * BHYT_TyLeDN
)
+IF(BT9 &lt;BHTN_LuongMax,
BT9 * BHTN_TyLeDN,
BHTN_LuongMax * BHTN_TyLeDN
)
)</calculatedColumnFormula>
    </tableColumn>
    <tableColumn id="19" xr3:uid="{EDB56C31-7C6C-4F84-88BF-4DE03FF89940}" name="Bảo hiểm nộp hộ" dataDxfId="3" dataCellStyle="Comma">
      <calculatedColumnFormula>IF(ISBLANK(BQ9),0,
IF(
BT9 &lt; BHXH_LuongMax,
BT9 * BHXH_TyLeNV,
BHXH_LuongMax *BHXH_TyLeNV
)
+IF(
BT9 &lt; BHYT_LuongMax,
BT9 * BHYT_TyLeNV,
BHYT_LuongMax * BHYT_TyLeNV
)
+IF(
BT9 &lt; BHTN_LuongMax,
BT9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IF(ISBLANK(BQ9),0,
IF(BV9+BW9+BX9-CA9&lt;0,0,
BV9+BW9+BX9-CA9))</calculatedColumnFormula>
    </tableColumn>
    <tableColumn id="9" xr3:uid="{BBEECC58-D2D0-4267-A2F0-4240BF383B1E}" name="Tổng chi phí" dataDxfId="0" dataCellStyle="Comma">
      <calculatedColumnFormula xml:space="preserve">
IF(ISBLANK(BQ9),BV9,BV9+BW9+CB9)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117</v>
      </c>
      <c r="C2" s="22" t="s">
        <v>118</v>
      </c>
      <c r="D2" s="36">
        <v>45785</v>
      </c>
      <c r="E2" s="36">
        <v>46150</v>
      </c>
      <c r="F2" s="48">
        <v>365</v>
      </c>
      <c r="G2" s="22" t="s">
        <v>93</v>
      </c>
      <c r="H2" s="48"/>
      <c r="I2" s="48"/>
      <c r="J2" s="48"/>
      <c r="K2" s="48"/>
      <c r="L2" s="48"/>
      <c r="M2" s="48"/>
      <c r="N2" s="48"/>
      <c r="O2" s="48"/>
      <c r="P2" s="48"/>
      <c r="Q2" s="48"/>
      <c r="R2" s="48"/>
      <c r="S2" s="48"/>
      <c r="T2" s="48"/>
      <c r="U2" s="48"/>
      <c r="V2" s="48"/>
      <c r="W2" s="48"/>
      <c r="X2" s="48"/>
      <c r="Y2" s="48"/>
      <c r="Z2" s="48" t="s">
        <v>111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9" sqref="J9"/>
    </sheetView>
  </sheetViews>
  <sheetFormatPr defaultRowHeight="16.5" x14ac:dyDescent="0.3"/>
  <cols>
    <col min="1" max="1" width="11.625" style="26" bestFit="1" customWidth="1"/>
    <col min="2" max="16384" width="9" style="26"/>
  </cols>
  <sheetData>
    <row r="1" spans="1:12" x14ac:dyDescent="0.3">
      <c r="K1" s="67">
        <v>1</v>
      </c>
      <c r="L1" s="67" t="s">
        <v>106</v>
      </c>
    </row>
    <row r="2" spans="1:12" x14ac:dyDescent="0.3">
      <c r="A2" s="26" t="s">
        <v>105</v>
      </c>
      <c r="L2" s="67" t="s">
        <v>107</v>
      </c>
    </row>
    <row r="3" spans="1:12" x14ac:dyDescent="0.3">
      <c r="L3" s="67" t="s">
        <v>108</v>
      </c>
    </row>
    <row r="4" spans="1:12" ht="37.5" x14ac:dyDescent="0.3">
      <c r="A4" s="29" t="s">
        <v>4</v>
      </c>
      <c r="B4" s="29" t="s">
        <v>5</v>
      </c>
      <c r="L4" s="67" t="s">
        <v>109</v>
      </c>
    </row>
    <row r="5" spans="1:12" ht="17.25" x14ac:dyDescent="0.3">
      <c r="A5" s="43"/>
      <c r="B5" s="37" t="s">
        <v>94</v>
      </c>
      <c r="L5" s="67" t="s">
        <v>110</v>
      </c>
    </row>
    <row r="6" spans="1:12" ht="17.25" x14ac:dyDescent="0.3">
      <c r="A6" s="43"/>
      <c r="B6" s="37" t="s">
        <v>85</v>
      </c>
    </row>
    <row r="7" spans="1:12" ht="17.25" x14ac:dyDescent="0.3">
      <c r="A7" s="43"/>
      <c r="B7" s="37" t="s">
        <v>95</v>
      </c>
    </row>
    <row r="8" spans="1:12" ht="17.25" x14ac:dyDescent="0.3">
      <c r="A8" s="43"/>
      <c r="B8" s="37" t="s">
        <v>96</v>
      </c>
    </row>
    <row r="9" spans="1:12" ht="17.25" x14ac:dyDescent="0.3">
      <c r="A9" s="43"/>
      <c r="B9" s="38" t="s">
        <v>97</v>
      </c>
    </row>
    <row r="10" spans="1:12" x14ac:dyDescent="0.3">
      <c r="A10" s="43"/>
      <c r="B10" s="43"/>
    </row>
    <row r="11" spans="1:12" ht="37.5" x14ac:dyDescent="0.3">
      <c r="A11" s="29" t="s">
        <v>11</v>
      </c>
      <c r="B11" s="29" t="s">
        <v>12</v>
      </c>
    </row>
    <row r="12" spans="1:12" x14ac:dyDescent="0.3">
      <c r="A12" s="30" t="s">
        <v>13</v>
      </c>
      <c r="B12" s="26" t="s">
        <v>117</v>
      </c>
    </row>
    <row r="13" spans="1:12" x14ac:dyDescent="0.3">
      <c r="A13" s="30" t="s">
        <v>14</v>
      </c>
      <c r="B13" s="26" t="s">
        <v>118</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B1:CF57"/>
  <sheetViews>
    <sheetView showGridLines="0" tabSelected="1" workbookViewId="0">
      <selection activeCell="X19" sqref="X19"/>
    </sheetView>
  </sheetViews>
  <sheetFormatPr defaultRowHeight="18" customHeight="1" outlineLevelRow="1" outlineLevelCol="2" x14ac:dyDescent="0.3"/>
  <cols>
    <col min="1" max="1" width="1.25" style="1" customWidth="1"/>
    <col min="2" max="2" width="8.5" style="1" customWidth="1" outlineLevel="1"/>
    <col min="3" max="3" width="11.75" style="1" customWidth="1" outlineLevel="1"/>
    <col min="4" max="4" width="1.625" style="1" customWidth="1" outlineLevel="1"/>
    <col min="5" max="5" width="11.75" style="1" customWidth="1" outlineLevel="1"/>
    <col min="6" max="6" width="8.625" style="1" customWidth="1" outlineLevel="1"/>
    <col min="7" max="7" width="8.5" style="1" customWidth="1" outlineLevel="1"/>
    <col min="8" max="8" width="8.75" style="1" customWidth="1" outlineLevel="1"/>
    <col min="9" max="9" width="1.625" style="1" customWidth="1" outlineLevel="1"/>
    <col min="10" max="10" width="9.5" style="1" customWidth="1" outlineLevel="1"/>
    <col min="11" max="11" width="10.125" style="1" customWidth="1" outlineLevel="1"/>
    <col min="12" max="12" width="10.375" style="1" customWidth="1" outlineLevel="1"/>
    <col min="13" max="13" width="8.25" style="1" customWidth="1" outlineLevel="1"/>
    <col min="14" max="14" width="1.625" style="1" customWidth="1" outlineLevel="1"/>
    <col min="15" max="17" width="11.75" style="1" customWidth="1" outlineLevel="1"/>
    <col min="18" max="18" width="12.75" style="1" customWidth="1" outlineLevel="2"/>
    <col min="19" max="19" width="13" style="1" customWidth="1" outlineLevel="2"/>
    <col min="20" max="20" width="6.75" style="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375" style="1" customWidth="1" outlineLevel="1"/>
    <col min="28" max="28" width="7" style="1" customWidth="1"/>
    <col min="29" max="59" width="5.125" style="1" customWidth="1" outlineLevel="1"/>
    <col min="60" max="60" width="1.25" style="1" customWidth="1"/>
    <col min="61" max="61" width="9" style="1"/>
    <col min="62" max="62" width="12.25" style="1" customWidth="1"/>
    <col min="63" max="63" width="9.625" style="1" customWidth="1"/>
    <col min="64" max="65" width="9" style="1"/>
    <col min="66" max="66" width="1.25" style="1" customWidth="1"/>
    <col min="67" max="69" width="9" style="1"/>
    <col min="70" max="70" width="9" style="1" collapsed="1"/>
    <col min="71" max="71" width="9.875" style="1" hidden="1" customWidth="1" outlineLevel="1"/>
    <col min="72" max="72" width="14.25" style="1" hidden="1" customWidth="1" outlineLevel="1"/>
    <col min="73" max="73" width="14.25" style="1" customWidth="1"/>
    <col min="74" max="74" width="12.5" style="1" bestFit="1" customWidth="1"/>
    <col min="75" max="75" width="20.25" style="1" bestFit="1" customWidth="1"/>
    <col min="76" max="76" width="21.375" style="1" bestFit="1" customWidth="1"/>
    <col min="77" max="77" width="15.5" style="1" bestFit="1" customWidth="1" collapsed="1"/>
    <col min="78" max="78" width="16.5" style="1" hidden="1" customWidth="1" outlineLevel="1"/>
    <col min="79" max="79" width="11" style="1" bestFit="1" customWidth="1" collapsed="1"/>
    <col min="80" max="81" width="14.625" style="1" hidden="1" customWidth="1" outlineLevel="1"/>
    <col min="82" max="82" width="19.25" style="1" bestFit="1" customWidth="1"/>
    <col min="83" max="83" width="14" style="1" bestFit="1" customWidth="1"/>
    <col min="84" max="84" width="11.5" style="1" bestFit="1" customWidth="1"/>
    <col min="85" max="16384" width="9" style="1"/>
  </cols>
  <sheetData>
    <row r="1" spans="2:84" ht="18" customHeight="1" x14ac:dyDescent="0.3">
      <c r="W1" s="2" t="s">
        <v>18</v>
      </c>
      <c r="X1" s="6" t="s">
        <v>90</v>
      </c>
      <c r="Y1" s="8" t="s">
        <v>24</v>
      </c>
      <c r="Z1" s="9" t="s">
        <v>25</v>
      </c>
      <c r="AA1" s="40"/>
      <c r="AB1" s="3" t="s">
        <v>0</v>
      </c>
      <c r="AC1" s="17">
        <v>1</v>
      </c>
      <c r="AD1" s="17">
        <f t="shared" ref="AD1:BG1" si="0" xml:space="preserve">
IF(AC1="","",
IF(MONTH(DATE(BangLuong_Nam,BangLuong_Thang,
AC1+1)) = BangLuong_Thang,
AC1+1,
""))</f>
        <v>2</v>
      </c>
      <c r="AE1" s="17">
        <f t="shared" si="0"/>
        <v>3</v>
      </c>
      <c r="AF1" s="17">
        <f t="shared" si="0"/>
        <v>4</v>
      </c>
      <c r="AG1" s="17">
        <f t="shared" si="0"/>
        <v>5</v>
      </c>
      <c r="AH1" s="17">
        <f t="shared" si="0"/>
        <v>6</v>
      </c>
      <c r="AI1" s="17">
        <f t="shared" si="0"/>
        <v>7</v>
      </c>
      <c r="AJ1" s="17">
        <f t="shared" si="0"/>
        <v>8</v>
      </c>
      <c r="AK1" s="17">
        <f t="shared" si="0"/>
        <v>9</v>
      </c>
      <c r="AL1" s="17">
        <f t="shared" si="0"/>
        <v>10</v>
      </c>
      <c r="AM1" s="17">
        <f t="shared" si="0"/>
        <v>11</v>
      </c>
      <c r="AN1" s="17">
        <f t="shared" si="0"/>
        <v>12</v>
      </c>
      <c r="AO1" s="17">
        <f t="shared" si="0"/>
        <v>13</v>
      </c>
      <c r="AP1" s="17">
        <f t="shared" si="0"/>
        <v>14</v>
      </c>
      <c r="AQ1" s="17">
        <f t="shared" si="0"/>
        <v>15</v>
      </c>
      <c r="AR1" s="17">
        <f t="shared" si="0"/>
        <v>16</v>
      </c>
      <c r="AS1" s="17">
        <f t="shared" si="0"/>
        <v>17</v>
      </c>
      <c r="AT1" s="17">
        <f t="shared" si="0"/>
        <v>18</v>
      </c>
      <c r="AU1" s="17">
        <f t="shared" si="0"/>
        <v>19</v>
      </c>
      <c r="AV1" s="17">
        <f t="shared" si="0"/>
        <v>20</v>
      </c>
      <c r="AW1" s="17">
        <f t="shared" si="0"/>
        <v>21</v>
      </c>
      <c r="AX1" s="17">
        <f t="shared" si="0"/>
        <v>22</v>
      </c>
      <c r="AY1" s="17">
        <f t="shared" si="0"/>
        <v>23</v>
      </c>
      <c r="AZ1" s="17">
        <f t="shared" si="0"/>
        <v>24</v>
      </c>
      <c r="BA1" s="17">
        <f t="shared" si="0"/>
        <v>25</v>
      </c>
      <c r="BB1" s="17">
        <f t="shared" si="0"/>
        <v>26</v>
      </c>
      <c r="BC1" s="17">
        <f t="shared" si="0"/>
        <v>27</v>
      </c>
      <c r="BD1" s="17">
        <f t="shared" si="0"/>
        <v>28</v>
      </c>
      <c r="BE1" s="17">
        <f t="shared" si="0"/>
        <v>29</v>
      </c>
      <c r="BF1" s="17">
        <f t="shared" si="0"/>
        <v>30</v>
      </c>
      <c r="BG1" s="17">
        <f t="shared" si="0"/>
        <v>31</v>
      </c>
    </row>
    <row r="2" spans="2:84" ht="18" customHeight="1" x14ac:dyDescent="0.3">
      <c r="W2" s="2" t="s">
        <v>1</v>
      </c>
      <c r="X2" s="7">
        <v>5</v>
      </c>
      <c r="Y2" s="2" t="s">
        <v>2</v>
      </c>
      <c r="Z2" s="7">
        <v>2025</v>
      </c>
      <c r="AA2" s="40"/>
      <c r="AB2" s="3" t="s">
        <v>26</v>
      </c>
      <c r="AC2" s="17">
        <f t="shared" ref="AC2:BG2" si="1" xml:space="preserve">
IF(AC1="","",
IF(WEEKDAY(DATE(BangLuong_Nam,BangLuong_Thang,AC1))=1,
"CN",WEEKDAY(DATE(BangLuong_Nam,BangLuong_Thang,AC1))))</f>
        <v>5</v>
      </c>
      <c r="AD2" s="17">
        <f t="shared" si="1"/>
        <v>6</v>
      </c>
      <c r="AE2" s="17">
        <f t="shared" si="1"/>
        <v>7</v>
      </c>
      <c r="AF2" s="17" t="str">
        <f t="shared" si="1"/>
        <v>CN</v>
      </c>
      <c r="AG2" s="17">
        <f t="shared" si="1"/>
        <v>2</v>
      </c>
      <c r="AH2" s="17">
        <f t="shared" si="1"/>
        <v>3</v>
      </c>
      <c r="AI2" s="17">
        <f t="shared" si="1"/>
        <v>4</v>
      </c>
      <c r="AJ2" s="17">
        <f t="shared" si="1"/>
        <v>5</v>
      </c>
      <c r="AK2" s="17">
        <f t="shared" si="1"/>
        <v>6</v>
      </c>
      <c r="AL2" s="17">
        <f t="shared" si="1"/>
        <v>7</v>
      </c>
      <c r="AM2" s="17" t="str">
        <f t="shared" si="1"/>
        <v>CN</v>
      </c>
      <c r="AN2" s="17">
        <f t="shared" si="1"/>
        <v>2</v>
      </c>
      <c r="AO2" s="17">
        <f t="shared" si="1"/>
        <v>3</v>
      </c>
      <c r="AP2" s="17">
        <f t="shared" si="1"/>
        <v>4</v>
      </c>
      <c r="AQ2" s="17">
        <f t="shared" si="1"/>
        <v>5</v>
      </c>
      <c r="AR2" s="17">
        <f t="shared" si="1"/>
        <v>6</v>
      </c>
      <c r="AS2" s="17">
        <f t="shared" si="1"/>
        <v>7</v>
      </c>
      <c r="AT2" s="17" t="str">
        <f t="shared" si="1"/>
        <v>CN</v>
      </c>
      <c r="AU2" s="17">
        <f t="shared" si="1"/>
        <v>2</v>
      </c>
      <c r="AV2" s="17">
        <f t="shared" si="1"/>
        <v>3</v>
      </c>
      <c r="AW2" s="17">
        <f t="shared" si="1"/>
        <v>4</v>
      </c>
      <c r="AX2" s="17">
        <f t="shared" si="1"/>
        <v>5</v>
      </c>
      <c r="AY2" s="17">
        <f t="shared" si="1"/>
        <v>6</v>
      </c>
      <c r="AZ2" s="17">
        <f t="shared" si="1"/>
        <v>7</v>
      </c>
      <c r="BA2" s="17" t="str">
        <f t="shared" si="1"/>
        <v>CN</v>
      </c>
      <c r="BB2" s="17">
        <f t="shared" si="1"/>
        <v>2</v>
      </c>
      <c r="BC2" s="17">
        <f t="shared" si="1"/>
        <v>3</v>
      </c>
      <c r="BD2" s="17">
        <f t="shared" si="1"/>
        <v>4</v>
      </c>
      <c r="BE2" s="17">
        <f t="shared" si="1"/>
        <v>5</v>
      </c>
      <c r="BF2" s="17">
        <f t="shared" si="1"/>
        <v>6</v>
      </c>
      <c r="BG2" s="17">
        <f t="shared" si="1"/>
        <v>7</v>
      </c>
    </row>
    <row r="3" spans="2:84"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8*(COUNT(AC1:BG1) - COUNTA(AC3:BG3))</f>
        <v>176</v>
      </c>
      <c r="AA3" s="40"/>
      <c r="AB3" s="3" t="s">
        <v>29</v>
      </c>
      <c r="AC3" s="3"/>
      <c r="AD3" s="3"/>
      <c r="AE3" s="3" t="s">
        <v>62</v>
      </c>
      <c r="AF3" s="3" t="s">
        <v>62</v>
      </c>
      <c r="AG3" s="3"/>
      <c r="AH3" s="3"/>
      <c r="AI3" s="3"/>
      <c r="AJ3" s="3"/>
      <c r="AK3" s="3"/>
      <c r="AL3" s="3" t="s">
        <v>62</v>
      </c>
      <c r="AM3" s="3" t="s">
        <v>62</v>
      </c>
      <c r="AN3" s="3"/>
      <c r="AO3" s="3"/>
      <c r="AP3" s="3"/>
      <c r="AQ3" s="3"/>
      <c r="AR3" s="3"/>
      <c r="AS3" s="3" t="s">
        <v>62</v>
      </c>
      <c r="AT3" s="3" t="s">
        <v>62</v>
      </c>
      <c r="AU3" s="3"/>
      <c r="AV3" s="3"/>
      <c r="AW3" s="3"/>
      <c r="AX3" s="3"/>
      <c r="AY3" s="3"/>
      <c r="AZ3" s="3" t="s">
        <v>62</v>
      </c>
      <c r="BA3" s="3" t="s">
        <v>62</v>
      </c>
      <c r="BB3" s="3"/>
      <c r="BC3" s="3"/>
      <c r="BD3" s="3"/>
      <c r="BE3" s="3"/>
      <c r="BF3" s="3"/>
      <c r="BG3" s="3" t="s">
        <v>62</v>
      </c>
    </row>
    <row r="4" spans="2:84"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51"/>
      <c r="AB4" s="3" t="s">
        <v>43</v>
      </c>
      <c r="AC4" s="52">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0.3319444444423425</v>
      </c>
      <c r="AD4" s="52">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0.34027777778101154</v>
      </c>
      <c r="AE4" s="52">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0</v>
      </c>
      <c r="AF4" s="52">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0</v>
      </c>
      <c r="AG4" s="52">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0.33333333333333298</v>
      </c>
      <c r="AH4" s="52">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0</v>
      </c>
      <c r="AI4" s="52">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0</v>
      </c>
      <c r="AJ4" s="52">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0</v>
      </c>
      <c r="AK4" s="52">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0</v>
      </c>
      <c r="AL4" s="52">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0</v>
      </c>
      <c r="AM4" s="52">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0</v>
      </c>
      <c r="AN4" s="52">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0</v>
      </c>
      <c r="AO4" s="52">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0</v>
      </c>
      <c r="AP4" s="52">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0</v>
      </c>
      <c r="AQ4" s="52">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0</v>
      </c>
      <c r="AR4" s="52">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0</v>
      </c>
      <c r="AS4" s="52">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0</v>
      </c>
      <c r="AT4" s="52">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0</v>
      </c>
      <c r="AU4" s="52">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0</v>
      </c>
      <c r="AV4" s="52">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0</v>
      </c>
      <c r="AW4" s="52">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0</v>
      </c>
      <c r="AX4" s="52">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0</v>
      </c>
      <c r="AY4" s="52">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0</v>
      </c>
      <c r="AZ4" s="52">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0</v>
      </c>
      <c r="BA4" s="52">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0</v>
      </c>
      <c r="BB4" s="52">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0</v>
      </c>
      <c r="BC4" s="52">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0</v>
      </c>
      <c r="BD4" s="52">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0</v>
      </c>
      <c r="BE4" s="52">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0</v>
      </c>
      <c r="BF4" s="52">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0</v>
      </c>
      <c r="BG4" s="52">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0</v>
      </c>
    </row>
    <row r="5" spans="2:84"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15"/>
      <c r="AB5" s="3" t="s">
        <v>48</v>
      </c>
      <c r="AC5" s="52">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0.70486111110949423</v>
      </c>
      <c r="AD5" s="52">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0.92152777777664596</v>
      </c>
      <c r="AE5" s="52">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0</v>
      </c>
      <c r="AF5" s="52">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0</v>
      </c>
      <c r="AG5" s="52">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0.70833333333333304</v>
      </c>
      <c r="AH5" s="52">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0</v>
      </c>
      <c r="AI5" s="52">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0</v>
      </c>
      <c r="AJ5" s="52">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0</v>
      </c>
      <c r="AK5" s="52">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0</v>
      </c>
      <c r="AL5" s="52">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0</v>
      </c>
      <c r="AM5" s="52">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0</v>
      </c>
      <c r="AN5" s="52">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0</v>
      </c>
      <c r="AO5" s="52">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0</v>
      </c>
      <c r="AP5" s="52">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0</v>
      </c>
      <c r="AQ5" s="52">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0</v>
      </c>
      <c r="AR5" s="52">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0</v>
      </c>
      <c r="AS5" s="52">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0</v>
      </c>
      <c r="AT5" s="52">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0</v>
      </c>
      <c r="AU5" s="52">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0</v>
      </c>
      <c r="AV5" s="52">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0</v>
      </c>
      <c r="AW5" s="52">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0</v>
      </c>
      <c r="AX5" s="52">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0</v>
      </c>
      <c r="AY5" s="52">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0</v>
      </c>
      <c r="AZ5" s="52">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0</v>
      </c>
      <c r="BA5" s="52">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0</v>
      </c>
      <c r="BB5" s="52">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0</v>
      </c>
      <c r="BC5" s="52">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0</v>
      </c>
      <c r="BD5" s="52">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0</v>
      </c>
      <c r="BE5" s="52">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0</v>
      </c>
      <c r="BF5" s="52">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0</v>
      </c>
      <c r="BG5" s="52">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0</v>
      </c>
    </row>
    <row r="6" spans="2:84"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SUM(AC9:BG57)/2*((X5-Z5)/Z3)</f>
        <v>8012444.3181818184</v>
      </c>
      <c r="Y6" s="2" t="s">
        <v>51</v>
      </c>
      <c r="Z6" s="1">
        <f>VLOOKUP(X1,Table_NhanVien[],COUNTA(Table_NhanVien[[#Headers],[Mã NV]:[Phụ thuộc]]),0)</f>
        <v>2</v>
      </c>
      <c r="AB6" s="1" t="s">
        <v>52</v>
      </c>
      <c r="AC6" s="1" t="s">
        <v>63</v>
      </c>
      <c r="AD6" s="1" t="s">
        <v>63</v>
      </c>
      <c r="AG6" s="1" t="s">
        <v>63</v>
      </c>
    </row>
    <row r="7" spans="2:84"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(SUMIF(AC9:BG57, "&gt;1", AC9:BG57)-COUNTIF(AC9:BG57, "&gt;1"))/2*((X5-Z5)/Z3)</f>
        <v>844762.50000000012</v>
      </c>
      <c r="Y7" s="1" t="s">
        <v>116</v>
      </c>
      <c r="Z7" s="1">
        <f>COUNTIF(AC8:BH8,"Lương")</f>
        <v>1</v>
      </c>
      <c r="AA7" s="68" cm="1">
        <f t="array" ref="AA7">VLOOKUP($X$1,Table_NhanVien[],COUNTA(Table_NhanVien[[#Headers],[Mã NV]:[Nghỉ phép năm]]),0)
-IFERROR(
SUM(_xlfn._xlws.FILTER(Table_ChiPhiNV[Ngày nghỉ phép],
(Table_ChiPhiNV[Nhân viên] = $X$1)*
(Table_ChiPhiNV[Năm] = BangLuong_Nam) *
(Table_ChiPhiNV[Tháng] &lt; BangLuong_Thang)
)),0)
-Z7</f>
        <v>9</v>
      </c>
      <c r="AB7" s="3" t="s">
        <v>55</v>
      </c>
      <c r="AC7" s="3"/>
      <c r="AD7" s="3" t="s">
        <v>104</v>
      </c>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I7" s="59"/>
      <c r="BJ7" s="60"/>
      <c r="BK7" s="61">
        <f ca="1">NOW()</f>
        <v>45890.897340509262</v>
      </c>
      <c r="BL7" s="62">
        <f ca="1">INT(BK7)</f>
        <v>45890</v>
      </c>
      <c r="BM7" s="64">
        <f ca="1">BK7-BL7</f>
        <v>0.89734050926199416</v>
      </c>
    </row>
    <row r="8" spans="2:84"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B8" s="3" t="s">
        <v>112</v>
      </c>
      <c r="AG8" s="1" t="s">
        <v>113</v>
      </c>
      <c r="BI8" s="1" t="s">
        <v>16</v>
      </c>
      <c r="BJ8" s="1" t="s">
        <v>87</v>
      </c>
      <c r="BK8" s="1" t="s">
        <v>91</v>
      </c>
      <c r="BL8" s="1" t="s">
        <v>0</v>
      </c>
      <c r="BM8" s="1" t="s">
        <v>92</v>
      </c>
      <c r="BO8" s="1" t="s">
        <v>3</v>
      </c>
      <c r="BP8" s="1" t="s">
        <v>2</v>
      </c>
      <c r="BQ8" s="1" t="s">
        <v>1</v>
      </c>
      <c r="BR8" s="1" t="s">
        <v>18</v>
      </c>
      <c r="BS8" s="1" t="s">
        <v>67</v>
      </c>
      <c r="BT8" s="1" t="s">
        <v>46</v>
      </c>
      <c r="BU8" s="1" t="s">
        <v>115</v>
      </c>
      <c r="BV8" s="1" t="s">
        <v>68</v>
      </c>
      <c r="BW8" s="1" t="s">
        <v>98</v>
      </c>
      <c r="BX8" s="1" t="s">
        <v>99</v>
      </c>
      <c r="BY8" s="1" t="s">
        <v>88</v>
      </c>
      <c r="BZ8" s="1" t="s">
        <v>69</v>
      </c>
      <c r="CA8" s="1" t="s">
        <v>70</v>
      </c>
      <c r="CB8" s="1" t="s">
        <v>71</v>
      </c>
      <c r="CC8" s="1" t="s">
        <v>72</v>
      </c>
      <c r="CD8" s="1" t="s">
        <v>101</v>
      </c>
      <c r="CE8" s="1" t="s">
        <v>100</v>
      </c>
      <c r="CF8" s="1" t="s">
        <v>22</v>
      </c>
    </row>
    <row r="9" spans="2:84"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c r="AB9" s="50">
        <v>0</v>
      </c>
      <c r="AC9" s="18"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18"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18"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18"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18"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18"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18"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18"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18"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18"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18"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18"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18"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18"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18"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18"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18"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18"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18"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18"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18"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18"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18"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18"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18"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18"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18"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18"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18"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18"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18"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I9" s="1" t="s">
        <v>102</v>
      </c>
      <c r="BJ9" s="1" t="s">
        <v>90</v>
      </c>
      <c r="BK9" s="61">
        <v>45778.331944444442</v>
      </c>
      <c r="BL9" s="62">
        <f>INT(Table_ChiPhiNV_ChamCong[[#This Row],[Thời điểm]])</f>
        <v>45778</v>
      </c>
      <c r="BM9" s="63">
        <f>Table_ChiPhiNV_ChamCong[[#This Row],[Thời điểm]]-Table_ChiPhiNV_ChamCong[[#This Row],[Ngày]]</f>
        <v>0.3319444444423425</v>
      </c>
      <c r="BO9" s="21">
        <f>IFERROR(
IF(ISBLANK(BQ9),
DATE(BP9,12,1),
DATE(BP9,BQ9,1)),0)</f>
        <v>45778</v>
      </c>
      <c r="BP9" s="1">
        <v>2025</v>
      </c>
      <c r="BQ9" s="1">
        <v>5</v>
      </c>
      <c r="BR9" s="1" t="s">
        <v>90</v>
      </c>
      <c r="BS9" s="55">
        <f xml:space="preserve">
IFERROR(
VLOOKUP(BR9,Table_NhanVien[],COUNTA(Table_NhanVien[#Headers]),0),0)</f>
        <v>10</v>
      </c>
      <c r="BT9" s="20">
        <f xml:space="preserve">
IFERROR(
VLOOKUP(BR9,Table_NhanVien[],COUNTA(Table_NhanVien[[#Headers],[Mã NV]:[Lương gross]]),0),0)</f>
        <v>50000000</v>
      </c>
      <c r="BU9" s="55">
        <f>Z7</f>
        <v>1</v>
      </c>
      <c r="BV9" s="55">
        <f>ChamCong_LuongTT</f>
        <v>8012444.3181818184</v>
      </c>
      <c r="BW9" s="55">
        <v>5000000</v>
      </c>
      <c r="BX9" s="55"/>
      <c r="BY9" s="55">
        <f>ChamCong_MienThueOT</f>
        <v>844762.50000000012</v>
      </c>
      <c r="BZ9" s="20">
        <f xml:space="preserve">
IF(ISBLANK(BQ9),0,
+BV9+BW9-Table_ChiPhiNV[[#This Row],[Miễn thuế tăng ca]]-ChiPhiNV_GiamTruBanThan-ChiPhiNV_GiamTruPhuThuoc*BS9)</f>
        <v>-42832318.18181818</v>
      </c>
      <c r="CA9" s="20">
        <f xml:space="preserve">
MAX(0,IFERROR(
SUM(_xlfn._xlws.FILTER(Table_ChiPhiNV_ThueSuatTNCN[Thuế lũy kế],
(NOT(ISBLANK(Table_ChiPhiNV_ThueSuatTNCN[Thu nhập tối đa])))*
(Table_ChiPhiNV_ThueSuatTNCN[Thu nhập tối thiểu]&lt;BZ9)*
(Table_ChiPhiNV_ThueSuatTNCN[Thu nhập tối đa]&gt;=BZ9)
)),0)
+
IFERROR(
SUM(_xlfn._xlws.FILTER(Table_ChiPhiNV_ThueSuatTNCN[Thuế suất],
(NOT(ISBLANK(Table_ChiPhiNV_ThueSuatTNCN[Thu nhập tối đa])))*
(Table_ChiPhiNV_ThueSuatTNCN[Thu nhập tối thiểu]&lt;BZ9)*
(Table_ChiPhiNV_ThueSuatTNCN[Thu nhập tối đa]&gt;=BZ9)
)),0)*
(BZ9
- IFERROR(
SUM(_xlfn._xlws.FILTER(Table_ChiPhiNV_ThueSuatTNCN[Thu nhập tối thiểu],
(NOT(ISBLANK(Table_ChiPhiNV_ThueSuatTNCN[Thu nhập tối đa])))*
(Table_ChiPhiNV_ThueSuatTNCN[Thu nhập tối thiểu]&lt;BZ9)*
(Table_ChiPhiNV_ThueSuatTNCN[Thu nhập tối đa]&gt;=BZ9)
)),0))
+IFERROR(
MAX(_xlfn._xlws.FILTER(Table_ChiPhiNV_ThueSuatTNCN[Thuế lũy kế],
(Table_ChiPhiNV_ThueSuatTNCN[Thu nhập tối thiểu]&lt;BZ9)*
(ISBLANK(Table_ChiPhiNV_ThueSuatTNCN[Thu nhập tối đa]))
)),0)
+
IFERROR(
MAX(_xlfn._xlws.FILTER(Table_ChiPhiNV_ThueSuatTNCN[Thuế suất],
(Table_ChiPhiNV_ThueSuatTNCN[Thu nhập tối thiểu]&lt;BZ9)*
(ISBLANK(Table_ChiPhiNV_ThueSuatTNCN[Thu nhập tối đa]))
)),0)*
(BZ9
- IFERROR(
MAX(_xlfn._xlws.FILTER(Table_ChiPhiNV_ThueSuatTNCN[Thu nhập tối thiểu],
(Table_ChiPhiNV_ThueSuatTNCN[Thu nhập tối thiểu]&lt;BZ9)*
(ISBLANK(Table_ChiPhiNV_ThueSuatTNCN[Thu nhập tối đa]))
)),0)))</f>
        <v>0</v>
      </c>
      <c r="CB9" s="20">
        <f>IF(ISBLANK(BQ9),0,
IF(
BT9 &lt;BHXH_LuongMax,
BT9 * BHXH_TyLeDN,
BHXH_LuongMax * BHXH_TyLeDN
)
+IF(
BT9 &lt; BHYT_LuongMax,
BT9 * BHYT_TyLeDN,
BHYT_LuongMax * BHYT_TyLeDN
)
+IF(BT9 &lt;BHTN_LuongMax,
BT9 * BHTN_TyLeDN,
BHTN_LuongMax * BHTN_TyLeDN
)
)</f>
        <v>10094000</v>
      </c>
      <c r="CC9" s="20">
        <f>IF(ISBLANK(BQ9),0,
IF(
BT9 &lt; BHXH_LuongMax,
BT9 * BHXH_TyLeNV,
BHXH_LuongMax *BHXH_TyLeNV
)
+IF(
BT9 &lt; BHYT_LuongMax,
BT9 * BHYT_TyLeNV,
BHYT_LuongMax * BHYT_TyLeNV
)
+IF(
BT9 &lt; BHTN_LuongMax,
BT9 * BHTN_TyLeNV,
BHTN_LuongMax * BHTN_TyLeNV
)
)</f>
        <v>4946000</v>
      </c>
      <c r="CD9" s="20">
        <f>+Table_ChiPhiNV[[#This Row],[Bảo hiểm nộp hộ]]+Table_ChiPhiNV[[#This Row],[Chi phí bảo hiểm]]</f>
        <v>15040000</v>
      </c>
      <c r="CE9" s="20">
        <f xml:space="preserve">
IF(ISBLANK(BQ9),0,
IF(BV9+BW9+BX9-CA9&lt;0,0,
BV9+BW9+BX9-CA9))</f>
        <v>13012444.318181818</v>
      </c>
      <c r="CF9" s="20">
        <f xml:space="preserve">
IF(ISBLANK(BQ9),BV9,BV9+BW9+CB9)</f>
        <v>23106444.31818182</v>
      </c>
    </row>
    <row r="10" spans="2:84"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c r="AB10" s="50">
        <v>2.0833333333333332E-2</v>
      </c>
      <c r="AC10" s="18"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18"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18"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18"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18"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18"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18"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18"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18"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18"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18"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18"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18"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18"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18"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18"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18"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18"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18"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18"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18"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18"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18"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18"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18"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18"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18"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18"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18"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18"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18"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I10" s="1" t="s">
        <v>103</v>
      </c>
      <c r="BJ10" s="1" t="s">
        <v>90</v>
      </c>
      <c r="BK10" s="61">
        <v>45778.704861111109</v>
      </c>
      <c r="BL10" s="62">
        <f>INT(Table_ChiPhiNV_ChamCong[[#This Row],[Thời điểm]])</f>
        <v>45778</v>
      </c>
      <c r="BM10" s="63">
        <f>Table_ChiPhiNV_ChamCong[[#This Row],[Thời điểm]]-Table_ChiPhiNV_ChamCong[[#This Row],[Ngày]]</f>
        <v>0.70486111110949423</v>
      </c>
    </row>
    <row r="11" spans="2:84"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c r="AB11" s="50">
        <v>4.1666666666666664E-2</v>
      </c>
      <c r="AC11" s="18"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18"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18"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18"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18"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18"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18"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18"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18"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18"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18"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18"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18"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18"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18"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18"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18"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18"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18"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18"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18"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18"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18"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18"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18"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18"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18"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18"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18"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18"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18"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I11" s="1" t="s">
        <v>102</v>
      </c>
      <c r="BJ11" s="1" t="s">
        <v>90</v>
      </c>
      <c r="BK11" s="58">
        <v>45779.340277777781</v>
      </c>
      <c r="BL11" s="65">
        <f>INT(Table_ChiPhiNV_ChamCong[[#This Row],[Thời điểm]])</f>
        <v>45779</v>
      </c>
      <c r="BM11" s="66">
        <f>Table_ChiPhiNV_ChamCong[[#This Row],[Thời điểm]]-Table_ChiPhiNV_ChamCong[[#This Row],[Ngày]]</f>
        <v>0.34027777778101154</v>
      </c>
    </row>
    <row r="12" spans="2:84" ht="18" customHeight="1" outlineLevel="1" x14ac:dyDescent="0.3">
      <c r="J12" s="3" t="s">
        <v>66</v>
      </c>
      <c r="K12" s="49">
        <v>0.25</v>
      </c>
      <c r="L12" s="49">
        <v>0.91666666666666663</v>
      </c>
      <c r="M12" s="13">
        <v>3</v>
      </c>
      <c r="AB12" s="50">
        <v>6.25E-2</v>
      </c>
      <c r="AC12" s="18"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18"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18"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18"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18"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18"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18"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18"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18"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18"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18"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18"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18"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18"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18"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18"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18"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18"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18"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18"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18"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18"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18"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18"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18"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18"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18"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18"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18"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18"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18"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I12" s="1" t="s">
        <v>103</v>
      </c>
      <c r="BJ12" s="1" t="s">
        <v>90</v>
      </c>
      <c r="BK12" s="58">
        <v>45779.921527777777</v>
      </c>
      <c r="BL12" s="65">
        <f>INT(Table_ChiPhiNV_ChamCong[[#This Row],[Thời điểm]])</f>
        <v>45779</v>
      </c>
      <c r="BM12" s="66">
        <f>Table_ChiPhiNV_ChamCong[[#This Row],[Thời điểm]]-Table_ChiPhiNV_ChamCong[[#This Row],[Ngày]]</f>
        <v>0.92152777777664596</v>
      </c>
    </row>
    <row r="13" spans="2:84" ht="18" customHeight="1" outlineLevel="1" x14ac:dyDescent="0.3">
      <c r="J13" s="3" t="s">
        <v>66</v>
      </c>
      <c r="K13" s="49">
        <v>0.91666666666666663</v>
      </c>
      <c r="L13" s="49">
        <v>0.99998842592592596</v>
      </c>
      <c r="M13" s="13">
        <v>3.9</v>
      </c>
      <c r="AB13" s="50">
        <v>8.3333333333333301E-2</v>
      </c>
      <c r="AC13" s="18"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18"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18"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18"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18"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18"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18"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18"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18"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18"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18"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18"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18"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18"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18"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18"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18"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18"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18"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18"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18"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18"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18"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18"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18"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18"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18"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18"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18"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18"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18"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84" ht="18" customHeight="1" outlineLevel="1" x14ac:dyDescent="0.3">
      <c r="V14" s="23" t="s">
        <v>17</v>
      </c>
      <c r="W14" s="23" t="s">
        <v>73</v>
      </c>
      <c r="X14" s="23" t="s">
        <v>67</v>
      </c>
      <c r="Y14" s="23" t="s">
        <v>114</v>
      </c>
      <c r="AB14" s="50">
        <v>0.104166666666667</v>
      </c>
      <c r="AC14" s="18"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18"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18"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18"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18"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18"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18"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18"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18"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18"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18"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18"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18"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18"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18"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18"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18"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18"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18"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18"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18"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18"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18"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18"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18"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18"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18"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18"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18"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18"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18"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84" ht="18" customHeight="1" outlineLevel="1" x14ac:dyDescent="0.3">
      <c r="V15" s="42" t="s">
        <v>90</v>
      </c>
      <c r="W15" s="4">
        <v>50000000</v>
      </c>
      <c r="X15" s="4">
        <v>2</v>
      </c>
      <c r="Y15" s="1">
        <v>10</v>
      </c>
      <c r="AB15" s="50">
        <v>0.125</v>
      </c>
      <c r="AC15" s="18"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18"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18"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18"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18"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18"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18"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18"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18"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18"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18"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18"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18"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18"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18"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18"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18"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18"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18"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18"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18"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18"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18"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18"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18"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18"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18"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18"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18"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18"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18"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84" ht="18" customHeight="1" outlineLevel="1" x14ac:dyDescent="0.3">
      <c r="AB16" s="50">
        <v>0.14583333333333301</v>
      </c>
      <c r="AC16" s="18"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18"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18"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18"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18"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18"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18"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18"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18"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18"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18"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18"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18"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18"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18"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18"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18"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18"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18"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18"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18"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18"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18"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18"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18"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18"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18"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18"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18"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18"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18"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50">
        <v>0.16666666666666699</v>
      </c>
      <c r="AC17" s="18"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18"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18"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18"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18"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18"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18"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18"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18"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18"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18"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18"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18"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18"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18"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18"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18"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18"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18"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18"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18"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18"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18"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18"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18"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18"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18"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18"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18"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18"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18"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50">
        <v>0.1875</v>
      </c>
      <c r="AC18" s="18"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18"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18"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18"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18"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18"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18"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18"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18"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18"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18"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18"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18"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18"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18"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18"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18"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18"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18"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18"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18"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18"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18"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18"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18"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18"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18"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18"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18"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18"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18"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58"/>
      <c r="AB19" s="50">
        <v>0.20833333333333301</v>
      </c>
      <c r="AC19" s="18"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18"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18"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18"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18"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18"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18"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18"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18"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18"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18"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18"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18"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18"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18"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18"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18"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18"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18"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18"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18"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18"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18"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18"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18"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18"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18"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18"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18"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18"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18"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39"/>
      <c r="AB20" s="50">
        <v>0.22916666666666699</v>
      </c>
      <c r="AC20" s="18"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18"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18"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18"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18"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18"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18"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18"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18"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18"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18"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18"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18"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18"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18"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18"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18"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18"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18"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18"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18"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18"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18"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18"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18"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18"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18"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18"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18"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18"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18"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50">
        <v>0.25</v>
      </c>
      <c r="AC21" s="18"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18"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18"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18"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18"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18"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18"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18"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18"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18"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18"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18"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18"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18"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18"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18"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18"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18"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18"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18"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18"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18"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18"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18"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18"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18"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18"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18"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18"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18"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18"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3"/>
      <c r="K22" s="3"/>
      <c r="L22" s="3"/>
      <c r="M22" s="3"/>
      <c r="AB22" s="50">
        <v>0.27083333333333298</v>
      </c>
      <c r="AC22" s="18"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18"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18"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18"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18"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18"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18"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18"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18"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18"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18"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18"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18"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18"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18"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18"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18"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18"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18"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18"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18"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18"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18"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18"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18"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18"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18"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18"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18"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18"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18"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11"/>
      <c r="K23" s="11"/>
      <c r="L23" s="11"/>
      <c r="M23" s="11"/>
      <c r="AB23" s="50">
        <v>0.29166666666666702</v>
      </c>
      <c r="AC23" s="18"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18"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18"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18"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18"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18"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18"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18"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18"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18"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18"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18"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18"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18"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18"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18"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18"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18"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18"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18"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18"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18"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18"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18"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18"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18"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18"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18"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18"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18"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18"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11"/>
      <c r="K24" s="11"/>
      <c r="L24" s="11"/>
      <c r="M24" s="11"/>
      <c r="AB24" s="50">
        <v>0.3125</v>
      </c>
      <c r="AC24" s="18"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18"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18"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18"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18"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18"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18"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18"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18"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18"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18"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18"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18"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18"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18"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18"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18"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18"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18"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18"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18"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18"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18"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18"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18"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18"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18"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18"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18"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18"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18"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3"/>
      <c r="C25" s="3"/>
      <c r="D25" s="3"/>
      <c r="E25" s="3"/>
      <c r="F25" s="3"/>
      <c r="G25" s="3"/>
      <c r="H25" s="3"/>
      <c r="I25" s="3"/>
      <c r="J25" s="11"/>
      <c r="K25" s="11"/>
      <c r="L25" s="11"/>
      <c r="M25" s="11"/>
      <c r="N25" s="3"/>
      <c r="AB25" s="50">
        <v>0.33333333333333298</v>
      </c>
      <c r="AC25" s="18"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18"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18"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18"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18"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18"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18"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18"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18"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18"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18"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18"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18"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18"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18"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18"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18"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18"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18"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18"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18"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18"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18"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18"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18"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18"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18"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18"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18"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18"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18"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11"/>
      <c r="C26" s="11"/>
      <c r="D26" s="11"/>
      <c r="E26" s="11"/>
      <c r="F26" s="11"/>
      <c r="G26" s="11"/>
      <c r="H26" s="11"/>
      <c r="I26" s="11"/>
      <c r="J26" s="11"/>
      <c r="K26" s="11"/>
      <c r="L26" s="11"/>
      <c r="M26" s="11"/>
      <c r="N26" s="11"/>
      <c r="AB26" s="50">
        <v>0.35416666666666702</v>
      </c>
      <c r="AC26" s="18"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1</v>
      </c>
      <c r="AD26" s="18"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18"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18"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18"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1</v>
      </c>
      <c r="AH26" s="18"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18"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18"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18"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18"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18"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18"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18"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18"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18"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18"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18"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18"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18"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18"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18"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18"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18"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18"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18"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18"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18"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18"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18"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18"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18"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11"/>
      <c r="C27" s="11"/>
      <c r="D27" s="11"/>
      <c r="E27" s="11"/>
      <c r="F27" s="11"/>
      <c r="G27" s="11"/>
      <c r="H27" s="11"/>
      <c r="I27" s="11"/>
      <c r="J27" s="11"/>
      <c r="K27" s="11"/>
      <c r="L27" s="11"/>
      <c r="M27" s="11"/>
      <c r="N27" s="11"/>
      <c r="O27" s="11"/>
      <c r="P27" s="11"/>
      <c r="Q27" s="11"/>
      <c r="R27" s="11"/>
      <c r="S27" s="11"/>
      <c r="AB27" s="50">
        <v>0.375</v>
      </c>
      <c r="AC27" s="18"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D27" s="18"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E27" s="18"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18"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18"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H27" s="18"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18"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18"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18"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18"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18"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18"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18"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18"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18"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18"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18"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18"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18"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18"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18"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18"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18"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18"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18"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18"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18"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18"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18"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18"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18"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11"/>
      <c r="C28" s="11"/>
      <c r="D28" s="11"/>
      <c r="E28" s="11"/>
      <c r="F28" s="11"/>
      <c r="G28" s="11"/>
      <c r="H28" s="11"/>
      <c r="I28" s="11"/>
      <c r="J28" s="11"/>
      <c r="K28" s="11"/>
      <c r="L28" s="11"/>
      <c r="M28" s="11"/>
      <c r="N28" s="11"/>
      <c r="O28" s="11"/>
      <c r="P28" s="11"/>
      <c r="Q28" s="11"/>
      <c r="R28" s="11"/>
      <c r="S28" s="11"/>
      <c r="AB28" s="50">
        <v>0.39583333333333298</v>
      </c>
      <c r="AC28" s="18"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D28" s="18"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E28" s="18"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18"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18"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H28" s="18"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18"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18"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18"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18"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18"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18"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18"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18"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18"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18"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18"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18"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18"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18"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18"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18"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18"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18"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18"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18"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18"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18"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18"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18"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18"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11"/>
      <c r="C29" s="11"/>
      <c r="D29" s="11"/>
      <c r="E29" s="11"/>
      <c r="F29" s="11"/>
      <c r="G29" s="11"/>
      <c r="H29" s="11"/>
      <c r="I29" s="11"/>
      <c r="J29" s="11"/>
      <c r="K29" s="11"/>
      <c r="L29" s="11"/>
      <c r="M29" s="11"/>
      <c r="N29" s="11"/>
      <c r="O29" s="11"/>
      <c r="P29" s="11"/>
      <c r="Q29" s="11"/>
      <c r="R29" s="11"/>
      <c r="S29" s="11"/>
      <c r="AB29" s="50">
        <v>0.41666666666666702</v>
      </c>
      <c r="AC29" s="18"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D29" s="18"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E29" s="18"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18"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18"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H29" s="18"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18"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18"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18"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18"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18"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18"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18"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18"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18"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18"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18"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18"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18"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18"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18"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18"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18"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18"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18"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18"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18"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18"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18"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18"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18"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11"/>
      <c r="C30" s="11"/>
      <c r="D30" s="11"/>
      <c r="E30" s="11"/>
      <c r="F30" s="11"/>
      <c r="G30" s="11"/>
      <c r="H30" s="11"/>
      <c r="I30" s="11"/>
      <c r="J30" s="11"/>
      <c r="K30" s="11"/>
      <c r="L30" s="11"/>
      <c r="M30" s="11"/>
      <c r="N30" s="11"/>
      <c r="O30" s="11"/>
      <c r="P30" s="11"/>
      <c r="Q30" s="11"/>
      <c r="R30" s="11"/>
      <c r="S30" s="11"/>
      <c r="AB30" s="50">
        <v>0.4375</v>
      </c>
      <c r="AC30" s="18"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D30" s="18"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E30" s="18"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18"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18"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H30" s="18"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18"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18"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18"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18"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18"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18"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18"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18"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18"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18"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18"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18"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18"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18"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18"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18"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18"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18"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18"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18"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18"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18"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18"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18"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18"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11"/>
      <c r="C31" s="11"/>
      <c r="D31" s="11"/>
      <c r="E31" s="11"/>
      <c r="F31" s="11"/>
      <c r="G31" s="11"/>
      <c r="H31" s="11"/>
      <c r="I31" s="11"/>
      <c r="N31" s="11"/>
      <c r="O31" s="11"/>
      <c r="P31" s="11"/>
      <c r="Q31" s="11"/>
      <c r="R31" s="11"/>
      <c r="S31" s="11"/>
      <c r="AB31" s="50">
        <v>0.45833333333333298</v>
      </c>
      <c r="AC31" s="18"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D31" s="18"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E31" s="18"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18"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18"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H31" s="18"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18"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18"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18"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18"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18"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18"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18"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18"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18"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18"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18"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18"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18"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18"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18"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18"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18"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18"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18"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18"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18"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18"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18"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18"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18"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11"/>
      <c r="C32" s="11"/>
      <c r="D32" s="11"/>
      <c r="E32" s="11"/>
      <c r="F32" s="11"/>
      <c r="G32" s="11"/>
      <c r="H32" s="11"/>
      <c r="I32" s="11"/>
      <c r="N32" s="11"/>
      <c r="AB32" s="50">
        <v>0.47916666666666702</v>
      </c>
      <c r="AC32" s="18"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D32" s="18"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E32" s="18"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18"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18"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H32" s="18"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18"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18"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18"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18"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18"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18"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18"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18"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18"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18"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18"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18"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18"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18"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18"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18"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18"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18"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18"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18"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18"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18"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18"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18"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18"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11"/>
      <c r="C33" s="11"/>
      <c r="D33" s="11"/>
      <c r="E33" s="11"/>
      <c r="F33" s="11"/>
      <c r="G33" s="11"/>
      <c r="H33" s="11"/>
      <c r="I33" s="11"/>
      <c r="N33" s="11"/>
      <c r="AB33" s="50">
        <v>0.5</v>
      </c>
      <c r="AC33" s="18"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18"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18"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18"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18"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18"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18"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18"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18"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18"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18"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18"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18"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18"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18"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18"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18"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18"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18"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18"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18"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18"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18"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18"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18"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18"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18"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18"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18"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18"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18"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50">
        <v>0.52083333333333304</v>
      </c>
      <c r="AC34" s="18"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18"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18"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18"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18"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18"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18"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18"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18"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18"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18"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18"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18"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18"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18"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18"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18"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18"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18"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18"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18"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18"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18"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18"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18"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18"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18"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18"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18"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18"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18"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50">
        <v>0.54166666666666696</v>
      </c>
      <c r="AC35" s="18"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D35" s="18"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E35" s="18"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18"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18"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H35" s="18"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18"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18"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18"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18"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18"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18"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18"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18"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18"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18"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18"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18"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18"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18"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18"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18"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18"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18"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18"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18"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18"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18"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18"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18"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18"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50">
        <v>0.5625</v>
      </c>
      <c r="AC36" s="18"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D36" s="18"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E36" s="18"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18"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18"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H36" s="18"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18"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18"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18"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18"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18"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18"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18"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18"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18"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18"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18"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18"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18"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18"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18"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18"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18"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18"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18"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18"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18"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18"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18"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18"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18"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50">
        <v>0.58333333333333304</v>
      </c>
      <c r="AC37" s="18"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D37" s="18"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E37" s="18"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18"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18"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H37" s="18"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18"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18"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18"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18"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18"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18"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18"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18"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18"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18"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18"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18"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18"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18"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18"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18"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18"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18"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18"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18"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18"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18"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18"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18"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18"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50">
        <v>0.60416666666666696</v>
      </c>
      <c r="AC38" s="18"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D38" s="18"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E38" s="18"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18"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18"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H38" s="18"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18"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18"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18"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18"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18"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18"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18"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18"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18"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18"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18"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18"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18"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18"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18"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18"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18"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18"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18"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18"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18"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18"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18"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18"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18"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50">
        <v>0.625</v>
      </c>
      <c r="AC39" s="18"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D39" s="18"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E39" s="18"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18"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18"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H39" s="18"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18"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18"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18"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18"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18"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18"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18"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18"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18"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18"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18"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18"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18"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18"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18"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18"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18"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18"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18"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18"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18"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18"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18"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18"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18"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50">
        <v>0.64583333333333304</v>
      </c>
      <c r="AC40" s="18"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D40" s="18"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E40" s="18"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18"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18"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H40" s="18"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18"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18"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18"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18"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18"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18"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18"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18"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18"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18"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18"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18"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18"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18"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18"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18"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18"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18"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18"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18"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18"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18"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18"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18"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18"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50">
        <v>0.66666666666666696</v>
      </c>
      <c r="AC41" s="18"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D41" s="18"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E41" s="18"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18"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18"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H41" s="18"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18"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18"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18"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18"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18"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18"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18"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18"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18"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18"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18"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18"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18"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18"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18"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18"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18"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18"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18"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18"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18"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18"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18"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18"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18"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50">
        <v>0.6875</v>
      </c>
      <c r="AC42" s="18"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D42" s="18"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E42" s="18"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18"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18"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H42" s="18"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18"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18"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18"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18"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18"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18"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18"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18"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18"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18"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18"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18"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18"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18"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18"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18"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18"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18"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18"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18"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18"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18"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18"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18"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18"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50">
        <v>0.70833333333333304</v>
      </c>
      <c r="AC43" s="18"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18"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1.5</v>
      </c>
      <c r="AE43" s="18"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18"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18"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1</v>
      </c>
      <c r="AH43" s="18"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18"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18"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18"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18"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18"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18"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18"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18"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18"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18"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18"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18"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18"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18"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18"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18"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18"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18"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18"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18"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18"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18"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18"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18"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18"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50">
        <v>0.72916666666666696</v>
      </c>
      <c r="AC44" s="18"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18"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1.5</v>
      </c>
      <c r="AE44" s="18"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18"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18"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18"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18"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18"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18"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18"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18"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18"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18"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18"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18"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18"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18"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18"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18"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18"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18"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18"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18"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18"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18"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18"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18"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18"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18"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18"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18"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50">
        <v>0.75</v>
      </c>
      <c r="AC45" s="18"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18"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1.5</v>
      </c>
      <c r="AE45" s="18"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18"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18"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18"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18"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18"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18"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18"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18"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18"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18"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18"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18"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18"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18"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18"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18"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18"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18"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18"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18"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18"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18"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18"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18"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18"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18"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18"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18"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50">
        <v>0.77083333333333304</v>
      </c>
      <c r="AC46" s="18"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18"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1.5</v>
      </c>
      <c r="AE46" s="18"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18"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18"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18"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18"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18"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18"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18"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18"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18"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18"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18"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18"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18"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18"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18"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18"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18"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18"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18"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18"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18"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18"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18"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18"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18"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18"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18"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18"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50">
        <v>0.79166666666666696</v>
      </c>
      <c r="AC47" s="18"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18"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1.5</v>
      </c>
      <c r="AE47" s="18"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18"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18"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18"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18"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18"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18"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18"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18"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18"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18"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18"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18"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18"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18"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18"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18"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18"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18"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18"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18"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18"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18"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18"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18"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18"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18"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18"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18"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50">
        <v>0.8125</v>
      </c>
      <c r="AC48" s="18"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18"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1.5</v>
      </c>
      <c r="AE48" s="18"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18"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18"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18"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18"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18"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18"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18"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18"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18"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18"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18"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18"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18"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18"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18"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18"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18"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18"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18"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18"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18"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18"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18"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18"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18"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18"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18"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18"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8:59" ht="18" customHeight="1" outlineLevel="1" x14ac:dyDescent="0.3">
      <c r="AB49" s="50">
        <v>0.83333333333333304</v>
      </c>
      <c r="AC49" s="18"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18"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1.5</v>
      </c>
      <c r="AE49" s="18"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18"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18"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18"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18"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18"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18"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18"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18"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18"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18"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18"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18"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18"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18"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18"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18"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18"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18"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18"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18"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18"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18"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18"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18"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18"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18"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18"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18"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8:59" ht="18" customHeight="1" outlineLevel="1" x14ac:dyDescent="0.3">
      <c r="AB50" s="50">
        <v>0.85416666666666696</v>
      </c>
      <c r="AC50" s="18"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18"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1.5</v>
      </c>
      <c r="AE50" s="18"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18"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18"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18"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18"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18"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18"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18"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18"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18"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18"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18"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18"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18"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18"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18"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18"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18"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18"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18"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18"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18"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18"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18"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18"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18"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18"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18"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18"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8:59" ht="18" customHeight="1" outlineLevel="1" x14ac:dyDescent="0.3">
      <c r="AB51" s="50">
        <v>0.875</v>
      </c>
      <c r="AC51" s="18"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18"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1.5</v>
      </c>
      <c r="AE51" s="18"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18"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18"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18"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18"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18"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18"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18"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18"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18"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18"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18"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18"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18"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18"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18"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18"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18"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18"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18"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18"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18"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18"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18"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18"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18"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18"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18"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18"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8:59" ht="18" customHeight="1" outlineLevel="1" x14ac:dyDescent="0.3">
      <c r="AB52" s="50">
        <v>0.89583333333333304</v>
      </c>
      <c r="AC52" s="18"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18"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1.5</v>
      </c>
      <c r="AE52" s="18"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18"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18"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18"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18"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18"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18"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18"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18"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18"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18"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18"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18"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18"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18"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18"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18"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18"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18"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18"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18"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18"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18"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18"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18"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18"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18"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18"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18"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8:59" ht="18" customHeight="1" outlineLevel="1" x14ac:dyDescent="0.3">
      <c r="AB53" s="50">
        <v>0.91666666666666696</v>
      </c>
      <c r="AC53" s="18"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18"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2.6</v>
      </c>
      <c r="AE53" s="18"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18"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18"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18"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18"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18"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18"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18"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18"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18"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18"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18"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18"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18"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18"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18"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18"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18"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18"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18"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18"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18"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18"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18"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18"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18"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18"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18"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18"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8:59" ht="18" customHeight="1" outlineLevel="1" x14ac:dyDescent="0.3">
      <c r="AB54" s="50">
        <v>0.9375</v>
      </c>
      <c r="AC54" s="18"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18"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18"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18"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18"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18"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18"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18"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18"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18"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18"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18"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18"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18"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18"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18"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18"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18"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18"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18"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18"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18"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18"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18"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18"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18"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18"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18"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18"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18"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18"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8:59" ht="18" customHeight="1" outlineLevel="1" x14ac:dyDescent="0.3">
      <c r="AB55" s="50">
        <v>0.95833333333333304</v>
      </c>
      <c r="AC55" s="18"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18"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18"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18"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18"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18"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18"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18"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18"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18"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18"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18"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18"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18"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18"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18"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18"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18"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18"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18"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18"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18"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18"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18"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18"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18"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18"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18"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18"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18"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18"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8:59" ht="18" customHeight="1" outlineLevel="1" x14ac:dyDescent="0.3">
      <c r="AB56" s="50">
        <v>0.97916666666666696</v>
      </c>
      <c r="AC56" s="18"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18"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18"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18"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18"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18"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18"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18"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18"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18"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18"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18"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18"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18"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18"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18"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18"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18"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18"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18"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18"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18"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18"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18"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18"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18"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18"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18"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18"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18"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18"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8:59" ht="18" customHeight="1" outlineLevel="1" x14ac:dyDescent="0.3">
      <c r="AB57" s="50">
        <v>0.99930555555555556</v>
      </c>
      <c r="AC57" s="18"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18"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18"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18"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18"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18"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18"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18"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18"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18"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18"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18"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18"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18"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18"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18"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18"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18"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18"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18"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18"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18"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18"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18"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18"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18"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18"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18"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18"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18"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18"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JGk48Q6XL0nJUJoGpL0djZjqiOiRA5U+CW4N6Et0C90esblzT/5GCdp+fMP/cs/BNhiIMSOr6vreOGJSa2NiFw==" saltValue="Q4YlMbfjqCnUDbCN8LRVjA==" spinCount="100000" sheet="1" scenarios="1" formatCells="0" formatColumns="0" formatRows="0" autoFilter="0" pivotTables="0"/>
  <protectedRanges>
    <protectedRange sqref="W2 Y2:Y3 W5:W7 Y5:Y6" name="Range1_3"/>
    <protectedRange sqref="V14:X15" name="Range1_2_1"/>
    <protectedRange sqref="BR9" name="Range1_4"/>
  </protectedRanges>
  <phoneticPr fontId="6" type="noConversion"/>
  <conditionalFormatting sqref="V15">
    <cfRule type="duplicateValues" dxfId="65" priority="4"/>
  </conditionalFormatting>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BI12" xr:uid="{F35C762C-56A3-43C0-BE48-3877FA70D110}">
      <formula1>"Vào, Ra"</formula1>
    </dataValidation>
    <dataValidation type="list" allowBlank="1" showInputMessage="1" sqref="BJ9:BJ12 BR9" xr:uid="{6918494C-25E3-4C6B-BB86-9A762C192BC7}">
      <formula1>MaNhanVien</formula1>
    </dataValidation>
    <dataValidation type="list" allowBlank="1" showInputMessage="1" showErrorMessage="1" sqref="AC8:BG8" xr:uid="{CA0A9F25-78DC-466A-9C15-0B717B30ED0A}">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64</xdr:col>
                    <xdr:colOff>38100</xdr:colOff>
                    <xdr:row>4</xdr:row>
                    <xdr:rowOff>152400</xdr:rowOff>
                  </from>
                  <to>
                    <xdr:col>64</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A10:BM1048576 A8:AA9 AB7:BM9 A1:BM6 BN1:XFD1048576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file>

<file path=customXml/item3.xml>��   
</file>

<file path=customXml/item4.xml>�� � � � �� �  l � � � � i �m   s �  d � � �n   c � � �p    � � � � i � �  d �  �  �  �  �  l ��  �  � �  l � � � � � � �� �  l � � � � i �m   s �  d � � �n   c � � �p    � � � � i � �  d �  �  �  �  �  l ��  �  � �  l � � � 
</file>

<file path=customXml/item5.xml>�� � � �n   v � �  s u � �  l � � � � �n   v � �  s u � �  l � � 
</file>

<file path=customXml/item6.xml>�� � � � � 
</file>

<file path=customXml/item7.xml>�� 
</file>

<file path=customXml/item8.xml>��   
</file>

<file path=customXml/item9.xml>�� �n   �u   t � �n   �u   t � �  �u   t � �i   h � �  �  �u   t � �   � �n   �u   t � �n   �u   t � �  �u   t � �i   h � �  �  �u   t � �   � 
</file>

<file path=customXml/item10.xml>��   
</file>

<file path=customXml/item11.xml>��   
</file>

<file path=customXml/item12.xml>�� �  p h � �c   n  � �� � � �  p h � �c   n  � �� � � 
</file>

<file path=customXml/item13.xml>��   
</file>

<file path=customXml/item14.xml>�� �c   n  �c   n  
</file>

<file path=customXml/item15.xml>��   
</file>

<file path=customXml/item16.xml>�� � � � � �  t �n   � �  t � � � � � � � � � � � �  t �n   � �  t � � � � � � � � � � � �  l �� � � � � � �  s u � � � � � � � � � �� �  l � � � �� �  l � � � �  l � �n   � � �n   s �  b � � �p     �  �  �  �  l ��  �  � � � � � �  t �n   � �  t � � � � � � � � � � � �  t �n   � �  t � � � � � � � � � � � �  l �� � � � � � �  s u � � � � � � � � � �� �  l � � � �� �  l � � � �  l � �n   � � �n   s �  b � � �p     �  �  �  �  l ��  �  � 
</file>

<file path=customXml/item17.xml>�� �  �  
</file>

<file path=customXml/item18.xml>��   
</file>

<file path=customXml/item19.xml>�� 
</file>

<file path=customXml/item20.xml>�� � � � i � �  d � i �m   s �  d � �� �  l � � � � � �n   c � � � � � �  l � � � � �p     �  �  �  �  l ��  �  � 
</file>

<file path=customXml/item21.xml>��   
</file>

<file path=customXml/item22.xml>�� �� �i   t �� � �� �t   � � �  l � � �  l �� �  t � � �� �i   t �� � �� �t   � � �  l � � �  l �� �  t � � 
</file>

<file path=customXml/item23.xml>��  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CCFAB5FF-26AB-4CB9-BA2C-5A121007B041}">
  <ds:schemaRefs/>
</ds:datastoreItem>
</file>

<file path=customXml/itemProps5.xml><?xml version="1.0" encoding="utf-8"?>
<ds:datastoreItem xmlns:ds="http://schemas.openxmlformats.org/officeDocument/2006/customXml" ds:itemID="{19BA8129-97AB-4694-BBC1-89CB3D2043B0}">
  <ds:schemaRefs/>
</ds:datastoreItem>
</file>

<file path=customXml/itemProps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A849B9D7-188B-48DA-AB5B-54583621621D}">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7D64D66F-1898-49BE-A788-6FA781CEE8F3}">
  <ds:schemaRefs/>
</ds:datastoreItem>
</file>

<file path=customXml/itemProps1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4.xml><?xml version="1.0" encoding="utf-8"?>
<ds:datastoreItem xmlns:ds="http://schemas.openxmlformats.org/officeDocument/2006/customXml" ds:itemID="{A6D0F6C4-9EB7-4062-86F8-715E8F5BF469}">
  <ds:schemaRefs/>
</ds:datastoreItem>
</file>

<file path=customXml/itemProps15.xml><?xml version="1.0" encoding="utf-8"?>
<ds:datastoreItem xmlns:ds="http://schemas.openxmlformats.org/officeDocument/2006/customXml" ds:itemID="{15A5E9E7-8554-4C17-8FCE-88C5899190B5}">
  <ds:schemaRefs/>
</ds:datastoreItem>
</file>

<file path=customXml/itemProps16.xml><?xml version="1.0" encoding="utf-8"?>
<ds:datastoreItem xmlns:ds="http://schemas.openxmlformats.org/officeDocument/2006/customXml" ds:itemID="{2BF00A03-70FC-4137-967C-82A1B61F0E08}">
  <ds:schemaRefs/>
</ds:datastoreItem>
</file>

<file path=customXml/itemProps17.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4F023B59-6671-4442-B15F-D8D1F04CE43F}">
  <ds:schemaRefs/>
</ds:datastoreItem>
</file>

<file path=customXml/itemProps21.xml><?xml version="1.0" encoding="utf-8"?>
<ds:datastoreItem xmlns:ds="http://schemas.openxmlformats.org/officeDocument/2006/customXml" ds:itemID="{0B9C3544-1C46-45A4-BEB6-1CE4D6559900}">
  <ds:schemaRefs/>
</ds:datastoreItem>
</file>

<file path=customXml/itemProps2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2025-08-21T15:35:58Z</dcterms:modified>
  <cp:category/>
  <cp:contentStatus/>
</cp:coreProperties>
</file>