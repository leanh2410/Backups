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689154D1-685E-409C-B6E9-5051A83C832B}"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10" i="61" l="1"/>
  <c r="BL10" i="61" s="1"/>
  <c r="BK11" i="61"/>
  <c r="BL11" i="61" s="1"/>
  <c r="BK12" i="61"/>
  <c r="BL12" i="61" s="1"/>
  <c r="BS9" i="61" l="1"/>
  <c r="BR9" i="61"/>
  <c r="BN9" i="61"/>
  <c r="Z6" i="61" l="1"/>
  <c r="X5" i="61"/>
  <c r="BK9" i="61" l="1"/>
  <c r="BL9" i="61" s="1"/>
  <c r="BJ7" i="61"/>
  <c r="BK7" i="61" s="1"/>
  <c r="AB4" i="61" l="1"/>
  <c r="BL7" i="61"/>
  <c r="AB24" i="61" l="1" a="1"/>
  <c r="AB24" i="61" s="1"/>
  <c r="AB34" i="61" a="1"/>
  <c r="AB34" i="61" s="1"/>
  <c r="AB33" i="61" a="1"/>
  <c r="AB33" i="61" s="1"/>
  <c r="AB25" i="61" a="1"/>
  <c r="AB25" i="61" s="1"/>
  <c r="AB23" i="61" a="1"/>
  <c r="AB23" i="61" s="1"/>
  <c r="AB22" i="61" a="1"/>
  <c r="AB22" i="61" s="1"/>
  <c r="AB21" i="61" a="1"/>
  <c r="AB21" i="61" s="1"/>
  <c r="AB20" i="61" a="1"/>
  <c r="AB20" i="61" s="1"/>
  <c r="AB19" i="61" a="1"/>
  <c r="AB19" i="61" s="1"/>
  <c r="AB18" i="61" a="1"/>
  <c r="AB18" i="61" s="1"/>
  <c r="AB17" i="61" a="1"/>
  <c r="AB17" i="61" s="1"/>
  <c r="AB16" i="61" a="1"/>
  <c r="AB16" i="61" s="1"/>
  <c r="AB15" i="61" a="1"/>
  <c r="AB15" i="61" s="1"/>
  <c r="AB14" i="61" a="1"/>
  <c r="AB14" i="61" s="1"/>
  <c r="AB13" i="61" a="1"/>
  <c r="AB13" i="61" s="1"/>
  <c r="AB12" i="61" a="1"/>
  <c r="AB12" i="61" s="1"/>
  <c r="AB11" i="61" a="1"/>
  <c r="AB11" i="61" s="1"/>
  <c r="AB10" i="61" a="1"/>
  <c r="AB10" i="61" s="1"/>
  <c r="AB9" i="61" a="1"/>
  <c r="AB9" i="61" s="1"/>
  <c r="R11" i="61" l="1"/>
  <c r="R10" i="61"/>
  <c r="R9" i="61"/>
  <c r="R8" i="61"/>
  <c r="H8" i="61"/>
  <c r="H5" i="61" s="1"/>
  <c r="R7" i="61"/>
  <c r="R6" i="61"/>
  <c r="S5" i="61" a="1"/>
  <c r="S5" i="61" s="1"/>
  <c r="R5" i="61"/>
  <c r="G5" i="61"/>
  <c r="F5" i="61"/>
  <c r="S3" i="61" a="1"/>
  <c r="S3" i="61" s="1"/>
  <c r="R3" i="61"/>
  <c r="AB2" i="61"/>
  <c r="AB5" i="61" s="1"/>
  <c r="AC1" i="61"/>
  <c r="AC4" i="61" s="1"/>
  <c r="BZ9" i="61" l="1"/>
  <c r="CA9" i="61"/>
  <c r="CB9" i="61" s="1"/>
  <c r="AB47" i="61" a="1"/>
  <c r="AB47" i="61" s="1"/>
  <c r="AB35" i="61" a="1"/>
  <c r="AB35" i="61" s="1"/>
  <c r="AB46" i="61" a="1"/>
  <c r="AB46" i="61" s="1"/>
  <c r="AB45" i="61" a="1"/>
  <c r="AB45" i="61" s="1"/>
  <c r="AB40" i="61" a="1"/>
  <c r="AB40" i="61" s="1"/>
  <c r="AB39" i="61" a="1"/>
  <c r="AB39" i="61" s="1"/>
  <c r="AB38" i="61" a="1"/>
  <c r="AB38" i="61" s="1"/>
  <c r="AB37" i="61" a="1"/>
  <c r="AB37" i="61" s="1"/>
  <c r="AB29" i="61" a="1"/>
  <c r="AB29" i="61" s="1"/>
  <c r="AB27" i="61" a="1"/>
  <c r="AB27" i="61" s="1"/>
  <c r="AB50" i="61" a="1"/>
  <c r="AB50" i="61" s="1"/>
  <c r="AB57" i="61" a="1"/>
  <c r="AB57" i="61" s="1"/>
  <c r="AB36" i="61" a="1"/>
  <c r="AB36" i="61" s="1"/>
  <c r="AB56" i="61" a="1"/>
  <c r="AB56" i="61" s="1"/>
  <c r="AB44" i="61" a="1"/>
  <c r="AB44" i="61" s="1"/>
  <c r="AB32" i="61" a="1"/>
  <c r="AB32" i="61" s="1"/>
  <c r="AB42" i="61" a="1"/>
  <c r="AB42" i="61" s="1"/>
  <c r="AB41" i="61" a="1"/>
  <c r="AB41" i="61" s="1"/>
  <c r="AB28" i="61" a="1"/>
  <c r="AB28" i="61" s="1"/>
  <c r="AB52" i="61" a="1"/>
  <c r="AB52" i="61" s="1"/>
  <c r="AB51" i="61" a="1"/>
  <c r="AB51" i="61" s="1"/>
  <c r="AB26" i="61" a="1"/>
  <c r="AB26" i="61" s="1"/>
  <c r="AB48" i="61" a="1"/>
  <c r="AB48" i="61" s="1"/>
  <c r="AB55" i="61" a="1"/>
  <c r="AB55" i="61" s="1"/>
  <c r="AB43" i="61" a="1"/>
  <c r="AB43" i="61" s="1"/>
  <c r="AB31" i="61" a="1"/>
  <c r="AB31" i="61" s="1"/>
  <c r="AB54" i="61" a="1"/>
  <c r="AB54" i="61" s="1"/>
  <c r="AB30" i="61" a="1"/>
  <c r="AB30" i="61" s="1"/>
  <c r="AB53" i="61" a="1"/>
  <c r="AB53" i="61" s="1"/>
  <c r="AB49" i="61" a="1"/>
  <c r="AB49" i="61" s="1"/>
  <c r="AC24" i="61" a="1"/>
  <c r="AC24" i="61" s="1"/>
  <c r="AC33" i="61" a="1"/>
  <c r="AC33" i="61" s="1"/>
  <c r="AC13" i="61" a="1"/>
  <c r="AC13" i="61" s="1"/>
  <c r="AC22" i="61" a="1"/>
  <c r="AC22" i="61" s="1"/>
  <c r="AC19" i="61" a="1"/>
  <c r="AC19" i="61" s="1"/>
  <c r="AC25" i="61" a="1"/>
  <c r="AC25" i="61" s="1"/>
  <c r="AC34" i="61" a="1"/>
  <c r="AC34" i="61" s="1"/>
  <c r="AC23" i="61" a="1"/>
  <c r="AC23" i="61" s="1"/>
  <c r="AC11" i="61" a="1"/>
  <c r="AC11" i="61" s="1"/>
  <c r="AC21" i="61" a="1"/>
  <c r="AC21" i="61" s="1"/>
  <c r="AC14" i="61" a="1"/>
  <c r="AC14" i="61" s="1"/>
  <c r="AC9" i="61" a="1"/>
  <c r="AC9" i="61" s="1"/>
  <c r="AC18" i="61" a="1"/>
  <c r="AC18" i="61" s="1"/>
  <c r="AC17" i="61" a="1"/>
  <c r="AC17" i="61" s="1"/>
  <c r="AC16" i="61" a="1"/>
  <c r="AC16" i="61" s="1"/>
  <c r="S6" i="61" a="1"/>
  <c r="S6" i="61" s="1"/>
  <c r="S11" i="61" a="1"/>
  <c r="S11" i="61" s="1"/>
  <c r="AC2" i="61"/>
  <c r="AC5" i="61" s="1"/>
  <c r="AC44" i="61" s="1" a="1"/>
  <c r="AC44" i="61" s="1"/>
  <c r="S8" i="61" a="1"/>
  <c r="S8" i="61" s="1"/>
  <c r="S10" i="61" a="1"/>
  <c r="S10" i="61" s="1"/>
  <c r="S7" i="61" a="1"/>
  <c r="S7" i="61" s="1"/>
  <c r="S9" i="61" a="1"/>
  <c r="S9" i="61" s="1"/>
  <c r="AD1" i="61"/>
  <c r="AD4" i="61" s="1"/>
  <c r="AC15" i="61" l="1" a="1"/>
  <c r="AC15" i="61" s="1"/>
  <c r="AC12" i="61" a="1"/>
  <c r="AC12" i="61" s="1"/>
  <c r="AC10" i="61" a="1"/>
  <c r="AC10" i="61" s="1"/>
  <c r="AC20" i="61" a="1"/>
  <c r="AC20" i="61" s="1"/>
  <c r="AC43" i="61" a="1"/>
  <c r="AC43" i="61" s="1"/>
  <c r="AC47" i="61" a="1"/>
  <c r="AC47" i="61" s="1"/>
  <c r="AC53" i="61" a="1"/>
  <c r="AC53" i="61" s="1"/>
  <c r="AC28" i="61" a="1"/>
  <c r="AC28" i="61" s="1"/>
  <c r="AC45" i="61" a="1"/>
  <c r="AC45" i="61" s="1"/>
  <c r="AC27" i="61" a="1"/>
  <c r="AC27" i="61" s="1"/>
  <c r="AC39" i="61" a="1"/>
  <c r="AC39" i="61" s="1"/>
  <c r="AC40" i="61" a="1"/>
  <c r="AC40" i="61" s="1"/>
  <c r="AC38" i="61" a="1"/>
  <c r="AC38" i="61" s="1"/>
  <c r="AC29" i="61" a="1"/>
  <c r="AC29" i="61" s="1"/>
  <c r="AC54" i="61" a="1"/>
  <c r="AC54" i="61" s="1"/>
  <c r="AC35" i="61" a="1"/>
  <c r="AC35" i="61" s="1"/>
  <c r="AC41" i="61" a="1"/>
  <c r="AC41" i="61" s="1"/>
  <c r="AC57" i="61" a="1"/>
  <c r="AC57" i="61" s="1"/>
  <c r="AC26" i="61" a="1"/>
  <c r="AC26" i="61" s="1"/>
  <c r="AC42" i="61" a="1"/>
  <c r="AC42" i="61" s="1"/>
  <c r="AC31" i="61" a="1"/>
  <c r="AC31" i="61" s="1"/>
  <c r="AC37" i="61" a="1"/>
  <c r="AC37" i="61" s="1"/>
  <c r="AC36" i="61" a="1"/>
  <c r="AC36" i="61" s="1"/>
  <c r="AC48" i="61" a="1"/>
  <c r="AC48" i="61" s="1"/>
  <c r="AC46" i="61" a="1"/>
  <c r="AC46" i="61" s="1"/>
  <c r="AC55" i="61" a="1"/>
  <c r="AC55" i="61" s="1"/>
  <c r="AC32" i="61" a="1"/>
  <c r="AC32" i="61" s="1"/>
  <c r="AC51" i="61" a="1"/>
  <c r="AC51" i="61" s="1"/>
  <c r="AC56" i="61" a="1"/>
  <c r="AC56" i="61" s="1"/>
  <c r="AC30" i="61" a="1"/>
  <c r="AC30" i="61" s="1"/>
  <c r="AC50" i="61" a="1"/>
  <c r="AC50" i="61" s="1"/>
  <c r="AC52" i="61" a="1"/>
  <c r="AC52" i="61" s="1"/>
  <c r="AC49" i="61" a="1"/>
  <c r="AC49" i="61" s="1"/>
  <c r="AD29" i="61" a="1"/>
  <c r="AD29" i="61" s="1"/>
  <c r="AD24" i="61" a="1"/>
  <c r="AD24" i="61" s="1"/>
  <c r="Z5" i="61"/>
  <c r="AD47" i="61" a="1"/>
  <c r="AD47" i="61" s="1"/>
  <c r="AD44" i="61" a="1"/>
  <c r="AD44" i="61" s="1"/>
  <c r="AD32" i="61" a="1"/>
  <c r="AD32" i="61" s="1"/>
  <c r="AD55" i="61" a="1"/>
  <c r="AD55" i="61" s="1"/>
  <c r="AD37" i="61" a="1"/>
  <c r="AD37" i="61" s="1"/>
  <c r="AD52" i="61" a="1"/>
  <c r="AD52" i="61" s="1"/>
  <c r="AD48" i="61" a="1"/>
  <c r="AD48" i="61" s="1"/>
  <c r="AD35" i="61" a="1"/>
  <c r="AD35" i="61" s="1"/>
  <c r="AD56" i="61" a="1"/>
  <c r="AD56" i="61" s="1"/>
  <c r="AD45" i="61" a="1"/>
  <c r="AD45" i="61" s="1"/>
  <c r="AD53" i="61" a="1"/>
  <c r="AD53" i="61" s="1"/>
  <c r="AD49" i="61" a="1"/>
  <c r="AD49" i="61" s="1"/>
  <c r="AD33" i="61" a="1"/>
  <c r="AD33" i="61" s="1"/>
  <c r="AD42" i="61" a="1"/>
  <c r="AD42" i="61" s="1"/>
  <c r="AD38" i="61" a="1"/>
  <c r="AD38" i="61" s="1"/>
  <c r="AD57" i="61" a="1"/>
  <c r="AD57" i="61" s="1"/>
  <c r="AD50" i="61" a="1"/>
  <c r="AD50" i="61" s="1"/>
  <c r="AD41" i="61" a="1"/>
  <c r="AD41" i="61" s="1"/>
  <c r="AD36" i="61" a="1"/>
  <c r="AD36" i="61" s="1"/>
  <c r="AD43" i="61" a="1"/>
  <c r="AD43" i="61" s="1"/>
  <c r="AD40" i="61" a="1"/>
  <c r="AD40" i="61" s="1"/>
  <c r="AD27" i="61" a="1"/>
  <c r="AD27" i="61" s="1"/>
  <c r="AD22" i="61" a="1"/>
  <c r="AD22" i="61" s="1"/>
  <c r="AD19" i="61" a="1"/>
  <c r="AD19" i="61" s="1"/>
  <c r="AD13" i="61" a="1"/>
  <c r="AD13" i="61" s="1"/>
  <c r="AD54" i="61" a="1"/>
  <c r="AD54" i="61" s="1"/>
  <c r="AD46" i="61" a="1"/>
  <c r="AD46" i="61" s="1"/>
  <c r="AD25" i="61" a="1"/>
  <c r="AD25" i="61" s="1"/>
  <c r="AD20" i="61" a="1"/>
  <c r="AD20" i="61" s="1"/>
  <c r="AD12" i="61" a="1"/>
  <c r="AD12" i="61" s="1"/>
  <c r="AD34" i="61" a="1"/>
  <c r="AD34" i="61" s="1"/>
  <c r="AD28" i="61" a="1"/>
  <c r="AD28" i="61" s="1"/>
  <c r="AD23" i="61" a="1"/>
  <c r="AD23" i="61" s="1"/>
  <c r="AD15" i="61" a="1"/>
  <c r="AD15" i="61" s="1"/>
  <c r="AD11" i="61" a="1"/>
  <c r="AD11" i="61" s="1"/>
  <c r="AD16" i="61" a="1"/>
  <c r="AD16" i="61" s="1"/>
  <c r="AD51" i="61" a="1"/>
  <c r="AD51" i="61" s="1"/>
  <c r="AD21" i="61" a="1"/>
  <c r="AD21" i="61" s="1"/>
  <c r="AD31" i="61" a="1"/>
  <c r="AD31" i="61" s="1"/>
  <c r="AD26" i="61" a="1"/>
  <c r="AD26" i="61" s="1"/>
  <c r="AD18" i="61" a="1"/>
  <c r="AD18" i="61" s="1"/>
  <c r="AD17" i="61" a="1"/>
  <c r="AD17" i="61" s="1"/>
  <c r="AD9" i="61" a="1"/>
  <c r="AD9" i="61" s="1"/>
  <c r="AD39" i="61" a="1"/>
  <c r="AD39" i="61" s="1"/>
  <c r="AD10" i="61" a="1"/>
  <c r="AD10" i="61" s="1"/>
  <c r="AD30" i="61" a="1"/>
  <c r="AD30" i="61" s="1"/>
  <c r="AD14" i="61" a="1"/>
  <c r="AD14" i="61" s="1"/>
  <c r="AD2" i="61"/>
  <c r="AD5" i="61" s="1"/>
  <c r="AE1" i="61"/>
  <c r="AE4" i="61" s="1"/>
  <c r="AE24" i="61" l="1" a="1"/>
  <c r="AE24" i="61" s="1"/>
  <c r="AE29" i="61" a="1"/>
  <c r="AE29" i="61" s="1"/>
  <c r="AE47" i="61" a="1"/>
  <c r="AE47" i="61" s="1"/>
  <c r="AE44" i="61" a="1"/>
  <c r="AE44" i="61" s="1"/>
  <c r="AE55" i="61" a="1"/>
  <c r="AE55" i="61" s="1"/>
  <c r="AE37" i="61" a="1"/>
  <c r="AE37" i="61" s="1"/>
  <c r="AE52" i="61" a="1"/>
  <c r="AE52" i="61" s="1"/>
  <c r="AE48" i="61" a="1"/>
  <c r="AE48" i="61" s="1"/>
  <c r="AE30" i="61" a="1"/>
  <c r="AE30" i="61" s="1"/>
  <c r="AE35" i="61" a="1"/>
  <c r="AE35" i="61" s="1"/>
  <c r="AE56" i="61" a="1"/>
  <c r="AE56" i="61" s="1"/>
  <c r="AE45" i="61" a="1"/>
  <c r="AE45" i="61" s="1"/>
  <c r="AE28" i="61" a="1"/>
  <c r="AE28" i="61" s="1"/>
  <c r="AE53" i="61" a="1"/>
  <c r="AE53" i="61" s="1"/>
  <c r="AE49" i="61" a="1"/>
  <c r="AE49" i="61" s="1"/>
  <c r="AE33" i="61" a="1"/>
  <c r="AE33" i="61" s="1"/>
  <c r="AE42" i="61" a="1"/>
  <c r="AE42" i="61" s="1"/>
  <c r="AE38" i="61" a="1"/>
  <c r="AE38" i="61" s="1"/>
  <c r="AE46" i="61" a="1"/>
  <c r="AE46" i="61" s="1"/>
  <c r="AE31" i="61" a="1"/>
  <c r="AE31" i="61" s="1"/>
  <c r="AE43" i="61" a="1"/>
  <c r="AE43" i="61" s="1"/>
  <c r="AE40" i="61" a="1"/>
  <c r="AE40" i="61" s="1"/>
  <c r="AE54" i="61" a="1"/>
  <c r="AE54" i="61" s="1"/>
  <c r="AE51" i="61" a="1"/>
  <c r="AE51" i="61" s="1"/>
  <c r="AE39" i="61" a="1"/>
  <c r="AE39" i="61" s="1"/>
  <c r="AE34" i="61" a="1"/>
  <c r="AE34" i="61" s="1"/>
  <c r="AE36" i="61" a="1"/>
  <c r="AE36" i="61" s="1"/>
  <c r="AE50" i="61" a="1"/>
  <c r="AE50" i="61" s="1"/>
  <c r="AE25" i="61" a="1"/>
  <c r="AE25" i="61" s="1"/>
  <c r="AE20" i="61" a="1"/>
  <c r="AE20" i="61" s="1"/>
  <c r="AE41" i="61" a="1"/>
  <c r="AE41" i="61" s="1"/>
  <c r="AE23" i="61" a="1"/>
  <c r="AE23" i="61" s="1"/>
  <c r="AE15" i="61" a="1"/>
  <c r="AE15" i="61" s="1"/>
  <c r="AE11" i="61" a="1"/>
  <c r="AE11" i="61" s="1"/>
  <c r="AE14" i="61" a="1"/>
  <c r="AE14" i="61" s="1"/>
  <c r="AE57" i="61" a="1"/>
  <c r="AE57" i="61" s="1"/>
  <c r="AE21" i="61" a="1"/>
  <c r="AE21" i="61" s="1"/>
  <c r="AE16" i="61" a="1"/>
  <c r="AE16" i="61" s="1"/>
  <c r="AE9" i="61" a="1"/>
  <c r="AE9" i="61" s="1"/>
  <c r="AE26" i="61" a="1"/>
  <c r="AE26" i="61" s="1"/>
  <c r="AE27" i="61" a="1"/>
  <c r="AE27" i="61" s="1"/>
  <c r="AE22" i="61" a="1"/>
  <c r="AE22" i="61" s="1"/>
  <c r="AE19" i="61" a="1"/>
  <c r="AE19" i="61" s="1"/>
  <c r="AE13" i="61" a="1"/>
  <c r="AE13" i="61" s="1"/>
  <c r="AE12" i="61" a="1"/>
  <c r="AE12" i="61" s="1"/>
  <c r="AE32" i="61" a="1"/>
  <c r="AE32" i="61" s="1"/>
  <c r="AE10" i="61" a="1"/>
  <c r="AE10" i="61" s="1"/>
  <c r="AE18" i="61" a="1"/>
  <c r="AE18" i="61" s="1"/>
  <c r="AE17" i="61" a="1"/>
  <c r="AE17" i="61" s="1"/>
  <c r="AE2" i="61"/>
  <c r="AE5" i="61" s="1"/>
  <c r="AF1" i="61"/>
  <c r="AF4" i="61" l="1"/>
  <c r="AF29" i="61" s="1" a="1"/>
  <c r="AF29" i="61" s="1"/>
  <c r="AF48" i="61" a="1"/>
  <c r="AF48" i="61" s="1"/>
  <c r="AF30" i="61" a="1"/>
  <c r="AF30" i="61" s="1"/>
  <c r="AF35" i="61" a="1"/>
  <c r="AF35" i="61" s="1"/>
  <c r="AF56" i="61" a="1"/>
  <c r="AF56" i="61" s="1"/>
  <c r="AF45" i="61" a="1"/>
  <c r="AF45" i="61" s="1"/>
  <c r="AF53" i="61" a="1"/>
  <c r="AF53" i="61" s="1"/>
  <c r="AF49" i="61" a="1"/>
  <c r="AF49" i="61" s="1"/>
  <c r="AF33" i="61" a="1"/>
  <c r="AF33" i="61" s="1"/>
  <c r="AF57" i="61" a="1"/>
  <c r="AF57" i="61" s="1"/>
  <c r="AF50" i="61" a="1"/>
  <c r="AF50" i="61" s="1"/>
  <c r="AF41" i="61" a="1"/>
  <c r="AF41" i="61" s="1"/>
  <c r="AF36" i="61" a="1"/>
  <c r="AF36" i="61" s="1"/>
  <c r="AF54" i="61" a="1"/>
  <c r="AF54" i="61" s="1"/>
  <c r="AF51" i="61" a="1"/>
  <c r="AF51" i="61" s="1"/>
  <c r="AF39" i="61" a="1"/>
  <c r="AF39" i="61" s="1"/>
  <c r="AF34" i="61" a="1"/>
  <c r="AF34" i="61" s="1"/>
  <c r="AF12" i="61" a="1"/>
  <c r="AF12" i="61" s="1"/>
  <c r="AF25" i="61" a="1"/>
  <c r="AF25" i="61" s="1"/>
  <c r="AF20" i="61" a="1"/>
  <c r="AF20" i="61" s="1"/>
  <c r="AF44" i="61" a="1"/>
  <c r="AF44" i="61" s="1"/>
  <c r="AF23" i="61" a="1"/>
  <c r="AF23" i="61" s="1"/>
  <c r="AF37" i="61" a="1"/>
  <c r="AF37" i="61" s="1"/>
  <c r="AF28" i="61" a="1"/>
  <c r="AF28" i="61" s="1"/>
  <c r="AF15" i="61" a="1"/>
  <c r="AF15" i="61" s="1"/>
  <c r="AF11" i="61" a="1"/>
  <c r="AF11" i="61" s="1"/>
  <c r="AF21" i="61" a="1"/>
  <c r="AF21" i="61" s="1"/>
  <c r="AF16" i="61" a="1"/>
  <c r="AF16" i="61" s="1"/>
  <c r="AF9" i="61" a="1"/>
  <c r="AF9" i="61" s="1"/>
  <c r="AF18" i="61" a="1"/>
  <c r="AF18" i="61" s="1"/>
  <c r="AF14" i="61" a="1"/>
  <c r="AF14" i="61" s="1"/>
  <c r="AF10" i="61" a="1"/>
  <c r="AF10" i="61" s="1"/>
  <c r="AF17" i="61" a="1"/>
  <c r="AF17" i="61" s="1"/>
  <c r="AF47" i="61" a="1"/>
  <c r="AF47" i="61" s="1"/>
  <c r="AF26" i="61" a="1"/>
  <c r="AF26" i="61" s="1"/>
  <c r="AF43" i="61" a="1"/>
  <c r="AF43" i="61" s="1"/>
  <c r="AF24" i="61" a="1"/>
  <c r="AF24" i="61" s="1"/>
  <c r="AF32" i="61" a="1"/>
  <c r="AF32" i="61" s="1"/>
  <c r="AF19" i="61" a="1"/>
  <c r="AF19" i="61" s="1"/>
  <c r="AF13" i="61" a="1"/>
  <c r="AF13" i="61" s="1"/>
  <c r="AF22" i="61" a="1"/>
  <c r="AF22" i="61" s="1"/>
  <c r="AF2" i="61"/>
  <c r="AF5" i="61" s="1"/>
  <c r="AF42" i="61" s="1" a="1"/>
  <c r="AF42" i="61" s="1"/>
  <c r="AG1" i="61"/>
  <c r="AF31" i="61" l="1" a="1"/>
  <c r="AF31" i="61" s="1"/>
  <c r="AF52" i="61" a="1"/>
  <c r="AF52" i="61" s="1"/>
  <c r="AF46" i="61" a="1"/>
  <c r="AF46" i="61" s="1"/>
  <c r="AF55" i="61" a="1"/>
  <c r="AF55" i="61" s="1"/>
  <c r="AF40" i="61" a="1"/>
  <c r="AF40" i="61" s="1"/>
  <c r="AF38" i="61" a="1"/>
  <c r="AF38" i="61" s="1"/>
  <c r="AF27" i="61" a="1"/>
  <c r="AF27" i="61" s="1"/>
  <c r="AG4" i="61"/>
  <c r="AG56" i="61" s="1" a="1"/>
  <c r="AG56" i="61" s="1"/>
  <c r="AG48" i="61" a="1"/>
  <c r="AG48" i="61" s="1"/>
  <c r="AG35" i="61" a="1"/>
  <c r="AG35" i="61" s="1"/>
  <c r="AG33" i="61" a="1"/>
  <c r="AG33" i="61" s="1"/>
  <c r="AG31" i="61" a="1"/>
  <c r="AG31" i="61" s="1"/>
  <c r="AG57" i="61" a="1"/>
  <c r="AG57" i="61" s="1"/>
  <c r="AG25" i="61" a="1"/>
  <c r="AG25" i="61" s="1"/>
  <c r="AG20" i="61" a="1"/>
  <c r="AG20" i="61" s="1"/>
  <c r="AG12" i="61" a="1"/>
  <c r="AG12" i="61" s="1"/>
  <c r="AG34" i="61" a="1"/>
  <c r="AG34" i="61" s="1"/>
  <c r="AG14" i="61" a="1"/>
  <c r="AG14" i="61" s="1"/>
  <c r="AG10" i="61" a="1"/>
  <c r="AG10" i="61" s="1"/>
  <c r="AG55" i="61" a="1"/>
  <c r="AG55" i="61" s="1"/>
  <c r="AG51" i="61" a="1"/>
  <c r="AG51" i="61" s="1"/>
  <c r="AG13" i="61" a="1"/>
  <c r="AG13" i="61" s="1"/>
  <c r="AG2" i="61"/>
  <c r="AG5" i="61" s="1"/>
  <c r="AG46" i="61" s="1" a="1"/>
  <c r="AG46" i="61" s="1"/>
  <c r="AH1" i="61"/>
  <c r="AH4" i="61" s="1"/>
  <c r="AG52" i="61" l="1" a="1"/>
  <c r="AG52" i="61" s="1"/>
  <c r="AG26" i="61" a="1"/>
  <c r="AG26" i="61" s="1"/>
  <c r="AG38" i="61" a="1"/>
  <c r="AG38" i="61" s="1"/>
  <c r="AG44" i="61" a="1"/>
  <c r="AG44" i="61" s="1"/>
  <c r="AG47" i="61" a="1"/>
  <c r="AG47" i="61" s="1"/>
  <c r="AG30" i="61" a="1"/>
  <c r="AG30" i="61" s="1"/>
  <c r="AG40" i="61" a="1"/>
  <c r="AG40" i="61" s="1"/>
  <c r="AG49" i="61" a="1"/>
  <c r="AG49" i="61" s="1"/>
  <c r="AG27" i="61" a="1"/>
  <c r="AG27" i="61" s="1"/>
  <c r="AG19" i="61" a="1"/>
  <c r="AG19" i="61" s="1"/>
  <c r="AG39" i="61" a="1"/>
  <c r="AG39" i="61" s="1"/>
  <c r="AG11" i="61" a="1"/>
  <c r="AG11" i="61" s="1"/>
  <c r="AG43" i="61" a="1"/>
  <c r="AG43" i="61" s="1"/>
  <c r="AG53" i="61" a="1"/>
  <c r="AG53" i="61" s="1"/>
  <c r="AG54" i="61" a="1"/>
  <c r="AG54" i="61" s="1"/>
  <c r="AG9" i="61" a="1"/>
  <c r="AG9" i="61" s="1"/>
  <c r="AG16" i="61" a="1"/>
  <c r="AG16" i="61" s="1"/>
  <c r="AG22" i="61" a="1"/>
  <c r="AG22" i="61" s="1"/>
  <c r="AG24" i="61" a="1"/>
  <c r="AG24" i="61" s="1"/>
  <c r="AG15" i="61" a="1"/>
  <c r="AG15" i="61" s="1"/>
  <c r="AG36" i="61" a="1"/>
  <c r="AG36" i="61" s="1"/>
  <c r="AG28" i="61" a="1"/>
  <c r="AG28" i="61" s="1"/>
  <c r="AG32" i="61" a="1"/>
  <c r="AG32" i="61" s="1"/>
  <c r="AG21" i="61" a="1"/>
  <c r="AG21" i="61" s="1"/>
  <c r="AG37" i="61" a="1"/>
  <c r="AG37" i="61" s="1"/>
  <c r="AG41" i="61" a="1"/>
  <c r="AG41" i="61" s="1"/>
  <c r="AG45" i="61" a="1"/>
  <c r="AG45" i="61" s="1"/>
  <c r="AG29" i="61" a="1"/>
  <c r="AG29" i="61" s="1"/>
  <c r="AG42" i="61" a="1"/>
  <c r="AG42" i="61" s="1"/>
  <c r="AG17" i="61" a="1"/>
  <c r="AG17" i="61" s="1"/>
  <c r="AG18" i="61" a="1"/>
  <c r="AG18" i="61" s="1"/>
  <c r="AG23" i="61" a="1"/>
  <c r="AG23" i="61" s="1"/>
  <c r="AG50" i="61" a="1"/>
  <c r="AG50" i="61" s="1"/>
  <c r="AH33" i="61" a="1"/>
  <c r="AH33" i="61" s="1"/>
  <c r="AH43" i="61" a="1"/>
  <c r="AH43" i="61" s="1"/>
  <c r="AH34" i="61" a="1"/>
  <c r="AH34" i="61" s="1"/>
  <c r="AH52" i="61" a="1"/>
  <c r="AH52" i="61" s="1"/>
  <c r="AH23" i="61" a="1"/>
  <c r="AH23" i="61" s="1"/>
  <c r="AH21" i="61" a="1"/>
  <c r="AH21" i="61" s="1"/>
  <c r="AH16" i="61" a="1"/>
  <c r="AH16" i="61" s="1"/>
  <c r="AH9" i="61" a="1"/>
  <c r="AH9" i="61" s="1"/>
  <c r="AH14" i="61" a="1"/>
  <c r="AH14" i="61" s="1"/>
  <c r="AH10" i="61" a="1"/>
  <c r="AH10" i="61" s="1"/>
  <c r="AH18" i="61" a="1"/>
  <c r="AH18" i="61" s="1"/>
  <c r="AH17" i="61" a="1"/>
  <c r="AH17" i="61" s="1"/>
  <c r="AH13" i="61" a="1"/>
  <c r="AH13" i="61" s="1"/>
  <c r="AH24" i="61" a="1"/>
  <c r="AH24" i="61" s="1"/>
  <c r="AH22" i="61" a="1"/>
  <c r="AH22" i="61" s="1"/>
  <c r="AH25" i="61" a="1"/>
  <c r="AH25" i="61" s="1"/>
  <c r="AH20" i="61" a="1"/>
  <c r="AH20" i="61" s="1"/>
  <c r="AH19" i="61" a="1"/>
  <c r="AH19" i="61" s="1"/>
  <c r="AH12" i="61" a="1"/>
  <c r="AH12" i="61" s="1"/>
  <c r="AH11" i="61" a="1"/>
  <c r="AH11" i="61" s="1"/>
  <c r="AH15" i="61" a="1"/>
  <c r="AH15" i="61" s="1"/>
  <c r="AH2" i="61"/>
  <c r="AH5" i="61" s="1"/>
  <c r="AH53" i="61" s="1" a="1"/>
  <c r="AH53" i="61" s="1"/>
  <c r="AI1" i="61"/>
  <c r="AI4" i="61" s="1"/>
  <c r="AH32" i="61" l="1" a="1"/>
  <c r="AH32" i="61" s="1"/>
  <c r="AH46" i="61" a="1"/>
  <c r="AH46" i="61" s="1"/>
  <c r="AH39" i="61" a="1"/>
  <c r="AH39" i="61" s="1"/>
  <c r="AH38" i="61" a="1"/>
  <c r="AH38" i="61" s="1"/>
  <c r="AH37" i="61" a="1"/>
  <c r="AH37" i="61" s="1"/>
  <c r="AH56" i="61" a="1"/>
  <c r="AH56" i="61" s="1"/>
  <c r="AH31" i="61" a="1"/>
  <c r="AH31" i="61" s="1"/>
  <c r="AH51" i="61" a="1"/>
  <c r="AH51" i="61" s="1"/>
  <c r="AH42" i="61" a="1"/>
  <c r="AH42" i="61" s="1"/>
  <c r="AH45" i="61" a="1"/>
  <c r="AH45" i="61" s="1"/>
  <c r="AH55" i="61" a="1"/>
  <c r="AH55" i="61" s="1"/>
  <c r="AH50" i="61" a="1"/>
  <c r="AH50" i="61" s="1"/>
  <c r="AH44" i="61" a="1"/>
  <c r="AH44" i="61" s="1"/>
  <c r="AH27" i="61" a="1"/>
  <c r="AH27" i="61" s="1"/>
  <c r="AH54" i="61" a="1"/>
  <c r="AH54" i="61" s="1"/>
  <c r="AH36" i="61" a="1"/>
  <c r="AH36" i="61" s="1"/>
  <c r="AH41" i="61" a="1"/>
  <c r="AH41" i="61" s="1"/>
  <c r="AH30" i="61" a="1"/>
  <c r="AH30" i="61" s="1"/>
  <c r="AH29" i="61" a="1"/>
  <c r="AH29" i="61" s="1"/>
  <c r="AH49" i="61" a="1"/>
  <c r="AH49" i="61" s="1"/>
  <c r="AH28" i="61" a="1"/>
  <c r="AH28" i="61" s="1"/>
  <c r="AH26" i="61" a="1"/>
  <c r="AH26" i="61" s="1"/>
  <c r="AH57" i="61" a="1"/>
  <c r="AH57" i="61" s="1"/>
  <c r="AH47" i="61" a="1"/>
  <c r="AH47" i="61" s="1"/>
  <c r="AH35" i="61" a="1"/>
  <c r="AH35" i="61" s="1"/>
  <c r="AH48" i="61" a="1"/>
  <c r="AH48" i="61" s="1"/>
  <c r="AH40" i="61" a="1"/>
  <c r="AH40" i="61" s="1"/>
  <c r="AI49" i="61" a="1"/>
  <c r="AI49" i="61" s="1"/>
  <c r="AI33" i="61" a="1"/>
  <c r="AI33" i="61" s="1"/>
  <c r="AI38" i="61" a="1"/>
  <c r="AI38" i="61" s="1"/>
  <c r="AI46" i="61" a="1"/>
  <c r="AI46" i="61" s="1"/>
  <c r="AI57" i="61" a="1"/>
  <c r="AI57" i="61" s="1"/>
  <c r="AI51" i="61" a="1"/>
  <c r="AI51" i="61" s="1"/>
  <c r="AI39" i="61" a="1"/>
  <c r="AI39" i="61" s="1"/>
  <c r="AI34" i="61" a="1"/>
  <c r="AI34" i="61" s="1"/>
  <c r="AI55" i="61" a="1"/>
  <c r="AI55" i="61" s="1"/>
  <c r="AI37" i="61" a="1"/>
  <c r="AI37" i="61" s="1"/>
  <c r="AI52" i="61" a="1"/>
  <c r="AI52" i="61" s="1"/>
  <c r="AI23" i="61" a="1"/>
  <c r="AI23" i="61" s="1"/>
  <c r="AI11" i="61" a="1"/>
  <c r="AI11" i="61" s="1"/>
  <c r="AI21" i="61" a="1"/>
  <c r="AI21" i="61" s="1"/>
  <c r="AI44" i="61" a="1"/>
  <c r="AI44" i="61" s="1"/>
  <c r="AI15" i="61" a="1"/>
  <c r="AI15" i="61" s="1"/>
  <c r="AI28" i="61" a="1"/>
  <c r="AI28" i="61" s="1"/>
  <c r="AI14" i="61" a="1"/>
  <c r="AI14" i="61" s="1"/>
  <c r="AI10" i="61" a="1"/>
  <c r="AI10" i="61" s="1"/>
  <c r="AI18" i="61" a="1"/>
  <c r="AI18" i="61" s="1"/>
  <c r="AI17" i="61" a="1"/>
  <c r="AI17" i="61" s="1"/>
  <c r="AI24" i="61" a="1"/>
  <c r="AI24" i="61" s="1"/>
  <c r="AI13" i="61" a="1"/>
  <c r="AI13" i="61" s="1"/>
  <c r="AI22" i="61" a="1"/>
  <c r="AI22" i="61" s="1"/>
  <c r="AI19" i="61" a="1"/>
  <c r="AI19" i="61" s="1"/>
  <c r="AI32" i="61" a="1"/>
  <c r="AI32" i="61" s="1"/>
  <c r="AI27" i="61" a="1"/>
  <c r="AI27" i="61" s="1"/>
  <c r="AI29" i="61" a="1"/>
  <c r="AI29" i="61" s="1"/>
  <c r="AI9" i="61" a="1"/>
  <c r="AI9" i="61" s="1"/>
  <c r="AI20" i="61" a="1"/>
  <c r="AI20" i="61" s="1"/>
  <c r="AI25" i="61" a="1"/>
  <c r="AI25" i="61" s="1"/>
  <c r="AI12" i="61" a="1"/>
  <c r="AI12" i="61" s="1"/>
  <c r="AI16" i="61" a="1"/>
  <c r="AI16" i="61" s="1"/>
  <c r="AI2" i="61"/>
  <c r="AI5" i="61" s="1"/>
  <c r="AI50" i="61" s="1" a="1"/>
  <c r="AI50" i="61" s="1"/>
  <c r="AJ1" i="61"/>
  <c r="AJ4" i="61" s="1"/>
  <c r="AI42" i="61" l="1" a="1"/>
  <c r="AI42" i="61" s="1"/>
  <c r="AI43" i="61" a="1"/>
  <c r="AI43" i="61" s="1"/>
  <c r="AI47" i="61" a="1"/>
  <c r="AI47" i="61" s="1"/>
  <c r="AI36" i="61" a="1"/>
  <c r="AI36" i="61" s="1"/>
  <c r="AI45" i="61" a="1"/>
  <c r="AI45" i="61" s="1"/>
  <c r="AI56" i="61" a="1"/>
  <c r="AI56" i="61" s="1"/>
  <c r="AI30" i="61" a="1"/>
  <c r="AI30" i="61" s="1"/>
  <c r="AI41" i="61" a="1"/>
  <c r="AI41" i="61" s="1"/>
  <c r="AI31" i="61" a="1"/>
  <c r="AI31" i="61" s="1"/>
  <c r="AI54" i="61" a="1"/>
  <c r="AI54" i="61" s="1"/>
  <c r="AI53" i="61" a="1"/>
  <c r="AI53" i="61" s="1"/>
  <c r="AI35" i="61" a="1"/>
  <c r="AI35" i="61" s="1"/>
  <c r="AI40" i="61" a="1"/>
  <c r="AI40" i="61" s="1"/>
  <c r="AI26" i="61" a="1"/>
  <c r="AI26" i="61" s="1"/>
  <c r="AI48" i="61" a="1"/>
  <c r="AI48" i="61" s="1"/>
  <c r="AJ26" i="61" a="1"/>
  <c r="AJ26" i="61" s="1"/>
  <c r="AJ39" i="61" a="1"/>
  <c r="AJ39" i="61" s="1"/>
  <c r="AJ34" i="61" a="1"/>
  <c r="AJ34" i="61" s="1"/>
  <c r="AJ44" i="61" a="1"/>
  <c r="AJ44" i="61" s="1"/>
  <c r="AJ15" i="61" a="1"/>
  <c r="AJ15" i="61" s="1"/>
  <c r="AJ11" i="61" a="1"/>
  <c r="AJ11" i="61" s="1"/>
  <c r="AJ33" i="61" a="1"/>
  <c r="AJ33" i="61" s="1"/>
  <c r="AJ21" i="61" a="1"/>
  <c r="AJ21" i="61" s="1"/>
  <c r="AJ16" i="61" a="1"/>
  <c r="AJ16" i="61" s="1"/>
  <c r="AJ9" i="61" a="1"/>
  <c r="AJ9" i="61" s="1"/>
  <c r="AJ28" i="61" a="1"/>
  <c r="AJ28" i="61" s="1"/>
  <c r="AJ18" i="61" a="1"/>
  <c r="AJ18" i="61" s="1"/>
  <c r="AJ17" i="61" a="1"/>
  <c r="AJ17" i="61" s="1"/>
  <c r="AJ24" i="61" a="1"/>
  <c r="AJ24" i="61" s="1"/>
  <c r="AJ13" i="61" a="1"/>
  <c r="AJ13" i="61" s="1"/>
  <c r="AJ22" i="61" a="1"/>
  <c r="AJ22" i="61" s="1"/>
  <c r="AJ19" i="61" a="1"/>
  <c r="AJ19" i="61" s="1"/>
  <c r="AJ45" i="61" a="1"/>
  <c r="AJ45" i="61" s="1"/>
  <c r="AJ25" i="61" a="1"/>
  <c r="AJ25" i="61" s="1"/>
  <c r="AJ20" i="61" a="1"/>
  <c r="AJ20" i="61" s="1"/>
  <c r="AJ12" i="61" a="1"/>
  <c r="AJ12" i="61" s="1"/>
  <c r="AJ23" i="61" a="1"/>
  <c r="AJ23" i="61" s="1"/>
  <c r="AJ10" i="61" a="1"/>
  <c r="AJ10" i="61" s="1"/>
  <c r="AJ14" i="61" a="1"/>
  <c r="AJ14" i="61" s="1"/>
  <c r="AK1" i="61"/>
  <c r="AK4" i="61" s="1"/>
  <c r="AJ2" i="61"/>
  <c r="AJ5" i="61" s="1"/>
  <c r="AJ41" i="61" s="1" a="1"/>
  <c r="AJ41" i="61" s="1"/>
  <c r="AJ47" i="61" l="1" a="1"/>
  <c r="AJ47" i="61" s="1"/>
  <c r="AJ57" i="61" a="1"/>
  <c r="AJ57" i="61" s="1"/>
  <c r="AJ27" i="61" a="1"/>
  <c r="AJ27" i="61" s="1"/>
  <c r="AJ31" i="61" a="1"/>
  <c r="AJ31" i="61" s="1"/>
  <c r="AJ50" i="61" a="1"/>
  <c r="AJ50" i="61" s="1"/>
  <c r="AJ37" i="61" a="1"/>
  <c r="AJ37" i="61" s="1"/>
  <c r="AJ30" i="61" a="1"/>
  <c r="AJ30" i="61" s="1"/>
  <c r="AJ46" i="61" a="1"/>
  <c r="AJ46" i="61" s="1"/>
  <c r="AJ35" i="61" a="1"/>
  <c r="AJ35" i="61" s="1"/>
  <c r="AJ40" i="61" a="1"/>
  <c r="AJ40" i="61" s="1"/>
  <c r="AJ53" i="61" a="1"/>
  <c r="AJ53" i="61" s="1"/>
  <c r="AJ51" i="61" a="1"/>
  <c r="AJ51" i="61" s="1"/>
  <c r="AJ42" i="61" a="1"/>
  <c r="AJ42" i="61" s="1"/>
  <c r="AJ29" i="61" a="1"/>
  <c r="AJ29" i="61" s="1"/>
  <c r="AJ49" i="61" a="1"/>
  <c r="AJ49" i="61" s="1"/>
  <c r="AJ55" i="61" a="1"/>
  <c r="AJ55" i="61" s="1"/>
  <c r="AJ48" i="61" a="1"/>
  <c r="AJ48" i="61" s="1"/>
  <c r="AJ43" i="61" a="1"/>
  <c r="AJ43" i="61" s="1"/>
  <c r="AJ38" i="61" a="1"/>
  <c r="AJ38" i="61" s="1"/>
  <c r="AJ54" i="61" a="1"/>
  <c r="AJ54" i="61" s="1"/>
  <c r="AJ52" i="61" a="1"/>
  <c r="AJ52" i="61" s="1"/>
  <c r="AJ36" i="61" a="1"/>
  <c r="AJ36" i="61" s="1"/>
  <c r="AJ56" i="61" a="1"/>
  <c r="AJ56" i="61" s="1"/>
  <c r="AJ32" i="61" a="1"/>
  <c r="AJ32" i="61" s="1"/>
  <c r="AK46" i="61" a="1"/>
  <c r="AK46" i="61" s="1"/>
  <c r="AK31" i="61" a="1"/>
  <c r="AK31" i="61" s="1"/>
  <c r="AK57" i="61" a="1"/>
  <c r="AK57" i="61" s="1"/>
  <c r="AK50" i="61" a="1"/>
  <c r="AK50" i="61" s="1"/>
  <c r="AK41" i="61" a="1"/>
  <c r="AK41" i="61" s="1"/>
  <c r="AK36" i="61" a="1"/>
  <c r="AK36" i="61" s="1"/>
  <c r="AK43" i="61" a="1"/>
  <c r="AK43" i="61" s="1"/>
  <c r="AK40" i="61" a="1"/>
  <c r="AK40" i="61" s="1"/>
  <c r="AK39" i="61" a="1"/>
  <c r="AK39" i="61" s="1"/>
  <c r="AK54" i="61" a="1"/>
  <c r="AK54" i="61" s="1"/>
  <c r="AK51" i="61" a="1"/>
  <c r="AK51" i="61" s="1"/>
  <c r="AK34" i="61" a="1"/>
  <c r="AK34" i="61" s="1"/>
  <c r="AK47" i="61" a="1"/>
  <c r="AK47" i="61" s="1"/>
  <c r="AK44" i="61" a="1"/>
  <c r="AK44" i="61" s="1"/>
  <c r="AK32" i="61" a="1"/>
  <c r="AK32" i="61" s="1"/>
  <c r="AK55" i="61" a="1"/>
  <c r="AK55" i="61" s="1"/>
  <c r="AK37" i="61" a="1"/>
  <c r="AK37" i="61" s="1"/>
  <c r="AK35" i="61" a="1"/>
  <c r="AK35" i="61" s="1"/>
  <c r="AK56" i="61" a="1"/>
  <c r="AK56" i="61" s="1"/>
  <c r="AK45" i="61" a="1"/>
  <c r="AK45" i="61" s="1"/>
  <c r="AK28" i="61" a="1"/>
  <c r="AK28" i="61" s="1"/>
  <c r="AK33" i="61" a="1"/>
  <c r="AK33" i="61" s="1"/>
  <c r="AK21" i="61" a="1"/>
  <c r="AK21" i="61" s="1"/>
  <c r="AK16" i="61" a="1"/>
  <c r="AK16" i="61" s="1"/>
  <c r="AK14" i="61" a="1"/>
  <c r="AK14" i="61" s="1"/>
  <c r="AK9" i="61" a="1"/>
  <c r="AK9" i="61" s="1"/>
  <c r="AK10" i="61" a="1"/>
  <c r="AK10" i="61" s="1"/>
  <c r="AK24" i="61" a="1"/>
  <c r="AK24" i="61" s="1"/>
  <c r="AK42" i="61" a="1"/>
  <c r="AK42" i="61" s="1"/>
  <c r="AK26" i="61" a="1"/>
  <c r="AK26" i="61" s="1"/>
  <c r="AK13" i="61" a="1"/>
  <c r="AK13" i="61" s="1"/>
  <c r="AK22" i="61" a="1"/>
  <c r="AK22" i="61" s="1"/>
  <c r="AK19" i="61" a="1"/>
  <c r="AK19" i="61" s="1"/>
  <c r="AK53" i="61" a="1"/>
  <c r="AK53" i="61" s="1"/>
  <c r="AK49" i="61" a="1"/>
  <c r="AK49" i="61" s="1"/>
  <c r="AK38" i="61" a="1"/>
  <c r="AK38" i="61" s="1"/>
  <c r="AK30" i="61" a="1"/>
  <c r="AK30" i="61" s="1"/>
  <c r="AK27" i="61" a="1"/>
  <c r="AK27" i="61" s="1"/>
  <c r="AK25" i="61" a="1"/>
  <c r="AK25" i="61" s="1"/>
  <c r="AK52" i="61" a="1"/>
  <c r="AK52" i="61" s="1"/>
  <c r="AK48" i="61" a="1"/>
  <c r="AK48" i="61" s="1"/>
  <c r="AK11" i="61" a="1"/>
  <c r="AK11" i="61" s="1"/>
  <c r="AK23" i="61" a="1"/>
  <c r="AK23" i="61" s="1"/>
  <c r="AK20" i="61" a="1"/>
  <c r="AK20" i="61" s="1"/>
  <c r="AK29" i="61" a="1"/>
  <c r="AK29" i="61" s="1"/>
  <c r="AK18" i="61" a="1"/>
  <c r="AK18" i="61" s="1"/>
  <c r="AK17" i="61" a="1"/>
  <c r="AK17" i="61" s="1"/>
  <c r="AK15" i="61" a="1"/>
  <c r="AK15" i="61" s="1"/>
  <c r="AK12" i="61" a="1"/>
  <c r="AK12" i="61" s="1"/>
  <c r="AK2" i="61"/>
  <c r="AK5" i="61" s="1"/>
  <c r="AL1" i="61"/>
  <c r="AL4" i="61" s="1"/>
  <c r="AL50" i="61" l="1" a="1"/>
  <c r="AL50" i="61" s="1"/>
  <c r="AL46" i="61" a="1"/>
  <c r="AL46" i="61" s="1"/>
  <c r="AL57" i="61" a="1"/>
  <c r="AL57" i="61" s="1"/>
  <c r="AL41" i="61" a="1"/>
  <c r="AL41" i="61" s="1"/>
  <c r="AL36" i="61" a="1"/>
  <c r="AL36" i="61" s="1"/>
  <c r="AL43" i="61" a="1"/>
  <c r="AL43" i="61" s="1"/>
  <c r="AL40" i="61" a="1"/>
  <c r="AL40" i="61" s="1"/>
  <c r="AL39" i="61" a="1"/>
  <c r="AL39" i="61" s="1"/>
  <c r="AL29" i="61" a="1"/>
  <c r="AL29" i="61" s="1"/>
  <c r="AL54" i="61" a="1"/>
  <c r="AL54" i="61" s="1"/>
  <c r="AL51" i="61" a="1"/>
  <c r="AL51" i="61" s="1"/>
  <c r="AL34" i="61" a="1"/>
  <c r="AL34" i="61" s="1"/>
  <c r="AL27" i="61" a="1"/>
  <c r="AL27" i="61" s="1"/>
  <c r="AL47" i="61" a="1"/>
  <c r="AL47" i="61" s="1"/>
  <c r="AL44" i="61" a="1"/>
  <c r="AL44" i="61" s="1"/>
  <c r="AL32" i="61" a="1"/>
  <c r="AL32" i="61" s="1"/>
  <c r="AL55" i="61" a="1"/>
  <c r="AL55" i="61" s="1"/>
  <c r="AL37" i="61" a="1"/>
  <c r="AL37" i="61" s="1"/>
  <c r="AL52" i="61" a="1"/>
  <c r="AL52" i="61" s="1"/>
  <c r="AL48" i="61" a="1"/>
  <c r="AL48" i="61" s="1"/>
  <c r="AL30" i="61" a="1"/>
  <c r="AL30" i="61" s="1"/>
  <c r="AL56" i="61" a="1"/>
  <c r="AL56" i="61" s="1"/>
  <c r="AL45" i="61" a="1"/>
  <c r="AL45" i="61" s="1"/>
  <c r="AL53" i="61" a="1"/>
  <c r="AL53" i="61" s="1"/>
  <c r="AL49" i="61" a="1"/>
  <c r="AL49" i="61" s="1"/>
  <c r="AL33" i="61" a="1"/>
  <c r="AL33" i="61" s="1"/>
  <c r="AL10" i="61" a="1"/>
  <c r="AL10" i="61" s="1"/>
  <c r="AL28" i="61" a="1"/>
  <c r="AL28" i="61" s="1"/>
  <c r="AL18" i="61" a="1"/>
  <c r="AL18" i="61" s="1"/>
  <c r="AL17" i="61" a="1"/>
  <c r="AL17" i="61" s="1"/>
  <c r="AL24" i="61" a="1"/>
  <c r="AL24" i="61" s="1"/>
  <c r="AL42" i="61" a="1"/>
  <c r="AL42" i="61" s="1"/>
  <c r="AL26" i="61" a="1"/>
  <c r="AL26" i="61" s="1"/>
  <c r="AL13" i="61" a="1"/>
  <c r="AL13" i="61" s="1"/>
  <c r="AL22" i="61" a="1"/>
  <c r="AL22" i="61" s="1"/>
  <c r="AL19" i="61" a="1"/>
  <c r="AL19" i="61" s="1"/>
  <c r="AL38" i="61" a="1"/>
  <c r="AL38" i="61" s="1"/>
  <c r="AL20" i="61" a="1"/>
  <c r="AL20" i="61" s="1"/>
  <c r="AL35" i="61" a="1"/>
  <c r="AL35" i="61" s="1"/>
  <c r="AL31" i="61" a="1"/>
  <c r="AL31" i="61" s="1"/>
  <c r="AL12" i="61" a="1"/>
  <c r="AL12" i="61" s="1"/>
  <c r="AL25" i="61" a="1"/>
  <c r="AL25" i="61" s="1"/>
  <c r="AL23" i="61" a="1"/>
  <c r="AL23" i="61" s="1"/>
  <c r="AL15" i="61" a="1"/>
  <c r="AL15" i="61" s="1"/>
  <c r="AL21" i="61" a="1"/>
  <c r="AL21" i="61" s="1"/>
  <c r="AL11" i="61" a="1"/>
  <c r="AL11" i="61" s="1"/>
  <c r="AL16" i="61" a="1"/>
  <c r="AL16" i="61" s="1"/>
  <c r="AL14" i="61" a="1"/>
  <c r="AL14" i="61" s="1"/>
  <c r="AL9" i="61" a="1"/>
  <c r="AL9" i="61" s="1"/>
  <c r="AM1" i="61"/>
  <c r="AM4" i="61" s="1"/>
  <c r="AL2" i="61"/>
  <c r="AL5" i="61" s="1"/>
  <c r="AM54" i="61" l="1" a="1"/>
  <c r="AM54" i="61" s="1"/>
  <c r="AM51" i="61" a="1"/>
  <c r="AM51" i="61" s="1"/>
  <c r="AM34" i="61" a="1"/>
  <c r="AM34" i="61" s="1"/>
  <c r="AM44" i="61" a="1"/>
  <c r="AM44" i="61" s="1"/>
  <c r="AM32" i="61" a="1"/>
  <c r="AM32" i="61" s="1"/>
  <c r="AM53" i="61" a="1"/>
  <c r="AM53" i="61" s="1"/>
  <c r="AM33" i="61" a="1"/>
  <c r="AM33" i="61" s="1"/>
  <c r="AM42" i="61" a="1"/>
  <c r="AM42" i="61" s="1"/>
  <c r="AM50" i="61" a="1"/>
  <c r="AM50" i="61" s="1"/>
  <c r="AM46" i="61" a="1"/>
  <c r="AM46" i="61" s="1"/>
  <c r="AM18" i="61" a="1"/>
  <c r="AM18" i="61" s="1"/>
  <c r="AM17" i="61" a="1"/>
  <c r="AM17" i="61" s="1"/>
  <c r="AM13" i="61" a="1"/>
  <c r="AM13" i="61" s="1"/>
  <c r="AM41" i="61" a="1"/>
  <c r="AM41" i="61" s="1"/>
  <c r="AM24" i="61" a="1"/>
  <c r="AM24" i="61" s="1"/>
  <c r="AM22" i="61" a="1"/>
  <c r="AM22" i="61" s="1"/>
  <c r="AM19" i="61" a="1"/>
  <c r="AM19" i="61" s="1"/>
  <c r="AM12" i="61" a="1"/>
  <c r="AM12" i="61" s="1"/>
  <c r="AM45" i="61" a="1"/>
  <c r="AM45" i="61" s="1"/>
  <c r="AM27" i="61" a="1"/>
  <c r="AM27" i="61" s="1"/>
  <c r="AM25" i="61" a="1"/>
  <c r="AM25" i="61" s="1"/>
  <c r="AM20" i="61" a="1"/>
  <c r="AM20" i="61" s="1"/>
  <c r="AM23" i="61" a="1"/>
  <c r="AM23" i="61" s="1"/>
  <c r="AM14" i="61" a="1"/>
  <c r="AM14" i="61" s="1"/>
  <c r="AM11" i="61" a="1"/>
  <c r="AM11" i="61" s="1"/>
  <c r="AM36" i="61" a="1"/>
  <c r="AM36" i="61" s="1"/>
  <c r="AM21" i="61" a="1"/>
  <c r="AM21" i="61" s="1"/>
  <c r="AM10" i="61" a="1"/>
  <c r="AM10" i="61" s="1"/>
  <c r="AM16" i="61" a="1"/>
  <c r="AM16" i="61" s="1"/>
  <c r="AM15" i="61" a="1"/>
  <c r="AM15" i="61" s="1"/>
  <c r="AM9" i="61" a="1"/>
  <c r="AM9" i="61" s="1"/>
  <c r="AN1" i="61"/>
  <c r="AN4" i="61" s="1"/>
  <c r="AM2" i="61"/>
  <c r="AM5" i="61" s="1"/>
  <c r="AM57" i="61" s="1" a="1"/>
  <c r="AM57" i="61" s="1"/>
  <c r="AM31" i="61" l="1" a="1"/>
  <c r="AM31" i="61" s="1"/>
  <c r="AM26" i="61" a="1"/>
  <c r="AM26" i="61" s="1"/>
  <c r="AM47" i="61" a="1"/>
  <c r="AM47" i="61" s="1"/>
  <c r="AM56" i="61" a="1"/>
  <c r="AM56" i="61" s="1"/>
  <c r="AM49" i="61" a="1"/>
  <c r="AM49" i="61" s="1"/>
  <c r="AM38" i="61" a="1"/>
  <c r="AM38" i="61" s="1"/>
  <c r="AM55" i="61" a="1"/>
  <c r="AM55" i="61" s="1"/>
  <c r="AM35" i="61" a="1"/>
  <c r="AM35" i="61" s="1"/>
  <c r="AM29" i="61" a="1"/>
  <c r="AM29" i="61" s="1"/>
  <c r="AM30" i="61" a="1"/>
  <c r="AM30" i="61" s="1"/>
  <c r="AM39" i="61" a="1"/>
  <c r="AM39" i="61" s="1"/>
  <c r="AM48" i="61" a="1"/>
  <c r="AM48" i="61" s="1"/>
  <c r="AM40" i="61" a="1"/>
  <c r="AM40" i="61" s="1"/>
  <c r="AM52" i="61" a="1"/>
  <c r="AM52" i="61" s="1"/>
  <c r="AM43" i="61" a="1"/>
  <c r="AM43" i="61" s="1"/>
  <c r="AM28" i="61" a="1"/>
  <c r="AM28" i="61" s="1"/>
  <c r="AM37" i="61" a="1"/>
  <c r="AM37" i="61" s="1"/>
  <c r="AN34" i="61" a="1"/>
  <c r="AN34" i="61" s="1"/>
  <c r="AN44" i="61" a="1"/>
  <c r="AN44" i="61" s="1"/>
  <c r="AN38" i="61" a="1"/>
  <c r="AN38" i="61" s="1"/>
  <c r="AN24" i="61" a="1"/>
  <c r="AN24" i="61" s="1"/>
  <c r="AN22" i="61" a="1"/>
  <c r="AN22" i="61" s="1"/>
  <c r="AN19" i="61" a="1"/>
  <c r="AN19" i="61" s="1"/>
  <c r="AN12" i="61" a="1"/>
  <c r="AN12" i="61" s="1"/>
  <c r="AN25" i="61" a="1"/>
  <c r="AN25" i="61" s="1"/>
  <c r="AN20" i="61" a="1"/>
  <c r="AN20" i="61" s="1"/>
  <c r="AN15" i="61" a="1"/>
  <c r="AN15" i="61" s="1"/>
  <c r="AN23" i="61" a="1"/>
  <c r="AN23" i="61" s="1"/>
  <c r="AN11" i="61" a="1"/>
  <c r="AN11" i="61" s="1"/>
  <c r="AN21" i="61" a="1"/>
  <c r="AN21" i="61" s="1"/>
  <c r="AN33" i="61" a="1"/>
  <c r="AN33" i="61" s="1"/>
  <c r="AN18" i="61" a="1"/>
  <c r="AN18" i="61" s="1"/>
  <c r="AN10" i="61" a="1"/>
  <c r="AN10" i="61" s="1"/>
  <c r="AN16" i="61" a="1"/>
  <c r="AN16" i="61" s="1"/>
  <c r="AN17" i="61" a="1"/>
  <c r="AN17" i="61" s="1"/>
  <c r="AN14" i="61" a="1"/>
  <c r="AN14" i="61" s="1"/>
  <c r="AN13" i="61" a="1"/>
  <c r="AN13" i="61" s="1"/>
  <c r="AN9" i="61" a="1"/>
  <c r="AN9" i="61" s="1"/>
  <c r="AN2" i="61"/>
  <c r="AN5" i="61" s="1"/>
  <c r="AN32" i="61" s="1" a="1"/>
  <c r="AN32" i="61" s="1"/>
  <c r="AO1" i="61"/>
  <c r="AO4" i="61" s="1"/>
  <c r="AN53" i="61" l="1" a="1"/>
  <c r="AN53" i="61" s="1"/>
  <c r="AN47" i="61" a="1"/>
  <c r="AN47" i="61" s="1"/>
  <c r="AN55" i="61" a="1"/>
  <c r="AN55" i="61" s="1"/>
  <c r="AN41" i="61" a="1"/>
  <c r="AN41" i="61" s="1"/>
  <c r="AN57" i="61" a="1"/>
  <c r="AN57" i="61" s="1"/>
  <c r="AN28" i="61" a="1"/>
  <c r="AN28" i="61" s="1"/>
  <c r="AN40" i="61" a="1"/>
  <c r="AN40" i="61" s="1"/>
  <c r="AN45" i="61" a="1"/>
  <c r="AN45" i="61" s="1"/>
  <c r="AN27" i="61" a="1"/>
  <c r="AN27" i="61" s="1"/>
  <c r="AN29" i="61" a="1"/>
  <c r="AN29" i="61" s="1"/>
  <c r="AN56" i="61" a="1"/>
  <c r="AN56" i="61" s="1"/>
  <c r="AN35" i="61" a="1"/>
  <c r="AN35" i="61" s="1"/>
  <c r="AN26" i="61" a="1"/>
  <c r="AN26" i="61" s="1"/>
  <c r="AN30" i="61" a="1"/>
  <c r="AN30" i="61" s="1"/>
  <c r="AN43" i="61" a="1"/>
  <c r="AN43" i="61" s="1"/>
  <c r="AN31" i="61" a="1"/>
  <c r="AN31" i="61" s="1"/>
  <c r="AN37" i="61" a="1"/>
  <c r="AN37" i="61" s="1"/>
  <c r="AN51" i="61" a="1"/>
  <c r="AN51" i="61" s="1"/>
  <c r="AN46" i="61" a="1"/>
  <c r="AN46" i="61" s="1"/>
  <c r="AN48" i="61" a="1"/>
  <c r="AN48" i="61" s="1"/>
  <c r="AN49" i="61" a="1"/>
  <c r="AN49" i="61" s="1"/>
  <c r="AN36" i="61" a="1"/>
  <c r="AN36" i="61" s="1"/>
  <c r="AN39" i="61" a="1"/>
  <c r="AN39" i="61" s="1"/>
  <c r="AN54" i="61" a="1"/>
  <c r="AN54" i="61" s="1"/>
  <c r="AN42" i="61" a="1"/>
  <c r="AN42" i="61" s="1"/>
  <c r="AN52" i="61" a="1"/>
  <c r="AN52" i="61" s="1"/>
  <c r="AN50" i="61" a="1"/>
  <c r="AN50" i="61" s="1"/>
  <c r="AO33" i="61" a="1"/>
  <c r="AO33" i="61" s="1"/>
  <c r="AO22" i="61" a="1"/>
  <c r="AO22" i="61" s="1"/>
  <c r="AO19" i="61" a="1"/>
  <c r="AO19" i="61" s="1"/>
  <c r="AO34" i="61" a="1"/>
  <c r="AO34" i="61" s="1"/>
  <c r="AO25" i="61" a="1"/>
  <c r="AO25" i="61" s="1"/>
  <c r="AO20" i="61" a="1"/>
  <c r="AO20" i="61" s="1"/>
  <c r="AO23" i="61" a="1"/>
  <c r="AO23" i="61" s="1"/>
  <c r="AO15" i="61" a="1"/>
  <c r="AO15" i="61" s="1"/>
  <c r="AO11" i="61" a="1"/>
  <c r="AO11" i="61" s="1"/>
  <c r="AO14" i="61" a="1"/>
  <c r="AO14" i="61" s="1"/>
  <c r="AO16" i="61" a="1"/>
  <c r="AO16" i="61" s="1"/>
  <c r="AO21" i="61" a="1"/>
  <c r="AO21" i="61" s="1"/>
  <c r="AO17" i="61" a="1"/>
  <c r="AO17" i="61" s="1"/>
  <c r="AO24" i="61" a="1"/>
  <c r="AO24" i="61" s="1"/>
  <c r="AO10" i="61" a="1"/>
  <c r="AO10" i="61" s="1"/>
  <c r="AO18" i="61" a="1"/>
  <c r="AO18" i="61" s="1"/>
  <c r="AO13" i="61" a="1"/>
  <c r="AO13" i="61" s="1"/>
  <c r="AO9" i="61" a="1"/>
  <c r="AO9" i="61" s="1"/>
  <c r="AO12" i="61" a="1"/>
  <c r="AO12" i="61" s="1"/>
  <c r="AO2" i="61"/>
  <c r="AO5" i="61" s="1"/>
  <c r="AO51" i="61" s="1" a="1"/>
  <c r="AO51" i="61" s="1"/>
  <c r="AP1" i="61"/>
  <c r="AP4" i="61" s="1"/>
  <c r="AO40" i="61" l="1" a="1"/>
  <c r="AO40" i="61" s="1"/>
  <c r="AO39" i="61" a="1"/>
  <c r="AO39" i="61" s="1"/>
  <c r="AO56" i="61" a="1"/>
  <c r="AO56" i="61" s="1"/>
  <c r="AO43" i="61" a="1"/>
  <c r="AO43" i="61" s="1"/>
  <c r="AO35" i="61" a="1"/>
  <c r="AO35" i="61" s="1"/>
  <c r="AO57" i="61" a="1"/>
  <c r="AO57" i="61" s="1"/>
  <c r="AO30" i="61" a="1"/>
  <c r="AO30" i="61" s="1"/>
  <c r="AO31" i="61" a="1"/>
  <c r="AO31" i="61" s="1"/>
  <c r="AO52" i="61" a="1"/>
  <c r="AO52" i="61" s="1"/>
  <c r="AO46" i="61" a="1"/>
  <c r="AO46" i="61" s="1"/>
  <c r="AO37" i="61" a="1"/>
  <c r="AO37" i="61" s="1"/>
  <c r="AO38" i="61" a="1"/>
  <c r="AO38" i="61" s="1"/>
  <c r="AO50" i="61" a="1"/>
  <c r="AO50" i="61" s="1"/>
  <c r="AO48" i="61" a="1"/>
  <c r="AO48" i="61" s="1"/>
  <c r="AO54" i="61" a="1"/>
  <c r="AO54" i="61" s="1"/>
  <c r="AO32" i="61" a="1"/>
  <c r="AO32" i="61" s="1"/>
  <c r="AO42" i="61" a="1"/>
  <c r="AO42" i="61" s="1"/>
  <c r="AO44" i="61" a="1"/>
  <c r="AO44" i="61" s="1"/>
  <c r="AO53" i="61" a="1"/>
  <c r="AO53" i="61" s="1"/>
  <c r="AO55" i="61" a="1"/>
  <c r="AO55" i="61" s="1"/>
  <c r="AO29" i="61" a="1"/>
  <c r="AO29" i="61" s="1"/>
  <c r="AO26" i="61" a="1"/>
  <c r="AO26" i="61" s="1"/>
  <c r="AO28" i="61" a="1"/>
  <c r="AO28" i="61" s="1"/>
  <c r="AO27" i="61" a="1"/>
  <c r="AO27" i="61" s="1"/>
  <c r="AO41" i="61" a="1"/>
  <c r="AO41" i="61" s="1"/>
  <c r="AO45" i="61" a="1"/>
  <c r="AO45" i="61" s="1"/>
  <c r="AO47" i="61" a="1"/>
  <c r="AO47" i="61" s="1"/>
  <c r="AO36" i="61" a="1"/>
  <c r="AO36" i="61" s="1"/>
  <c r="AO49" i="61" a="1"/>
  <c r="AO49" i="61" s="1"/>
  <c r="AP44" i="61" a="1"/>
  <c r="AP44" i="61" s="1"/>
  <c r="AP48" i="61" a="1"/>
  <c r="AP48" i="61" s="1"/>
  <c r="AP37" i="61" a="1"/>
  <c r="AP37" i="61" s="1"/>
  <c r="AP33" i="61" a="1"/>
  <c r="AP33" i="61" s="1"/>
  <c r="AP57" i="61" a="1"/>
  <c r="AP57" i="61" s="1"/>
  <c r="AP43" i="61" a="1"/>
  <c r="AP43" i="61" s="1"/>
  <c r="AP39" i="61" a="1"/>
  <c r="AP39" i="61" s="1"/>
  <c r="AP22" i="61" a="1"/>
  <c r="AP22" i="61" s="1"/>
  <c r="AP19" i="61" a="1"/>
  <c r="AP19" i="61" s="1"/>
  <c r="AP12" i="61" a="1"/>
  <c r="AP12" i="61" s="1"/>
  <c r="AP34" i="61" a="1"/>
  <c r="AP34" i="61" s="1"/>
  <c r="AP25" i="61" a="1"/>
  <c r="AP25" i="61" s="1"/>
  <c r="AP20" i="61" a="1"/>
  <c r="AP20" i="61" s="1"/>
  <c r="AP31" i="61" a="1"/>
  <c r="AP31" i="61" s="1"/>
  <c r="AP15" i="61" a="1"/>
  <c r="AP15" i="61" s="1"/>
  <c r="AP23" i="61" a="1"/>
  <c r="AP23" i="61" s="1"/>
  <c r="AP11" i="61" a="1"/>
  <c r="AP11" i="61" s="1"/>
  <c r="AP16" i="61" a="1"/>
  <c r="AP16" i="61" s="1"/>
  <c r="AP14" i="61" a="1"/>
  <c r="AP14" i="61" s="1"/>
  <c r="AP10" i="61" a="1"/>
  <c r="AP10" i="61" s="1"/>
  <c r="AP9" i="61" a="1"/>
  <c r="AP9" i="61" s="1"/>
  <c r="AP21" i="61" a="1"/>
  <c r="AP21" i="61" s="1"/>
  <c r="AP17" i="61" a="1"/>
  <c r="AP17" i="61" s="1"/>
  <c r="AP18" i="61" a="1"/>
  <c r="AP18" i="61" s="1"/>
  <c r="AP13" i="61" a="1"/>
  <c r="AP13" i="61" s="1"/>
  <c r="AP24" i="61" a="1"/>
  <c r="AP24" i="61" s="1"/>
  <c r="AP2" i="61"/>
  <c r="AP5" i="61" s="1"/>
  <c r="AP35" i="61" s="1" a="1"/>
  <c r="AP35" i="61" s="1"/>
  <c r="AQ1" i="61"/>
  <c r="AQ4" i="61" s="1"/>
  <c r="AP52" i="61" l="1" a="1"/>
  <c r="AP52" i="61" s="1"/>
  <c r="AP38" i="61" a="1"/>
  <c r="AP38" i="61" s="1"/>
  <c r="AP32" i="61" a="1"/>
  <c r="AP32" i="61" s="1"/>
  <c r="AP47" i="61" a="1"/>
  <c r="AP47" i="61" s="1"/>
  <c r="AP26" i="61" a="1"/>
  <c r="AP26" i="61" s="1"/>
  <c r="AP53" i="61" a="1"/>
  <c r="AP53" i="61" s="1"/>
  <c r="AP42" i="61" a="1"/>
  <c r="AP42" i="61" s="1"/>
  <c r="AP46" i="61" a="1"/>
  <c r="AP46" i="61" s="1"/>
  <c r="AP27" i="61" a="1"/>
  <c r="AP27" i="61" s="1"/>
  <c r="AP29" i="61" a="1"/>
  <c r="AP29" i="61" s="1"/>
  <c r="AP45" i="61" a="1"/>
  <c r="AP45" i="61" s="1"/>
  <c r="AP55" i="61" a="1"/>
  <c r="AP55" i="61" s="1"/>
  <c r="AP28" i="61" a="1"/>
  <c r="AP28" i="61" s="1"/>
  <c r="AP50" i="61" a="1"/>
  <c r="AP50" i="61" s="1"/>
  <c r="AP30" i="61" a="1"/>
  <c r="AP30" i="61" s="1"/>
  <c r="AP40" i="61" a="1"/>
  <c r="AP40" i="61" s="1"/>
  <c r="AP49" i="61" a="1"/>
  <c r="AP49" i="61" s="1"/>
  <c r="AP54" i="61" a="1"/>
  <c r="AP54" i="61" s="1"/>
  <c r="AP41" i="61" a="1"/>
  <c r="AP41" i="61" s="1"/>
  <c r="AP51" i="61" a="1"/>
  <c r="AP51" i="61" s="1"/>
  <c r="AP56" i="61" a="1"/>
  <c r="AP56" i="61" s="1"/>
  <c r="AP36" i="61" a="1"/>
  <c r="AP36" i="61" s="1"/>
  <c r="AQ33" i="61" a="1"/>
  <c r="AQ33" i="61" s="1"/>
  <c r="AQ34" i="61" a="1"/>
  <c r="AQ34" i="61" s="1"/>
  <c r="AQ12" i="61" a="1"/>
  <c r="AQ12" i="61" s="1"/>
  <c r="AQ25" i="61" a="1"/>
  <c r="AQ25" i="61" s="1"/>
  <c r="AQ20" i="61" a="1"/>
  <c r="AQ20" i="61" s="1"/>
  <c r="AQ23" i="61" a="1"/>
  <c r="AQ23" i="61" s="1"/>
  <c r="AQ11" i="61" a="1"/>
  <c r="AQ11" i="61" s="1"/>
  <c r="AQ16" i="61" a="1"/>
  <c r="AQ16" i="61" s="1"/>
  <c r="AQ14" i="61" a="1"/>
  <c r="AQ14" i="61" s="1"/>
  <c r="AQ10" i="61" a="1"/>
  <c r="AQ10" i="61" s="1"/>
  <c r="AQ9" i="61" a="1"/>
  <c r="AQ9" i="61" s="1"/>
  <c r="AQ21" i="61" a="1"/>
  <c r="AQ21" i="61" s="1"/>
  <c r="AQ17" i="61" a="1"/>
  <c r="AQ17" i="61" s="1"/>
  <c r="AQ13" i="61" a="1"/>
  <c r="AQ13" i="61" s="1"/>
  <c r="AQ24" i="61" a="1"/>
  <c r="AQ24" i="61" s="1"/>
  <c r="AQ22" i="61" a="1"/>
  <c r="AQ22" i="61" s="1"/>
  <c r="AQ19" i="61" a="1"/>
  <c r="AQ19" i="61" s="1"/>
  <c r="AQ15" i="61" a="1"/>
  <c r="AQ15" i="61" s="1"/>
  <c r="AQ18" i="61" a="1"/>
  <c r="AQ18" i="61" s="1"/>
  <c r="AQ2" i="61"/>
  <c r="AQ5" i="61" s="1"/>
  <c r="AQ52" i="61" s="1" a="1"/>
  <c r="AQ52" i="61" s="1"/>
  <c r="AR1" i="61"/>
  <c r="AR4" i="61" s="1"/>
  <c r="AQ28" i="61" l="1" a="1"/>
  <c r="AQ28" i="61" s="1"/>
  <c r="AQ43" i="61" a="1"/>
  <c r="AQ43" i="61" s="1"/>
  <c r="AQ35" i="61" a="1"/>
  <c r="AQ35" i="61" s="1"/>
  <c r="AQ47" i="61" a="1"/>
  <c r="AQ47" i="61" s="1"/>
  <c r="AQ46" i="61" a="1"/>
  <c r="AQ46" i="61" s="1"/>
  <c r="AQ45" i="61" a="1"/>
  <c r="AQ45" i="61" s="1"/>
  <c r="AQ44" i="61" a="1"/>
  <c r="AQ44" i="61" s="1"/>
  <c r="AQ55" i="61" a="1"/>
  <c r="AQ55" i="61" s="1"/>
  <c r="AQ56" i="61" a="1"/>
  <c r="AQ56" i="61" s="1"/>
  <c r="AQ31" i="61" a="1"/>
  <c r="AQ31" i="61" s="1"/>
  <c r="AQ50" i="61" a="1"/>
  <c r="AQ50" i="61" s="1"/>
  <c r="AQ30" i="61" a="1"/>
  <c r="AQ30" i="61" s="1"/>
  <c r="AQ41" i="61" a="1"/>
  <c r="AQ41" i="61" s="1"/>
  <c r="AQ42" i="61" a="1"/>
  <c r="AQ42" i="61" s="1"/>
  <c r="AQ49" i="61" a="1"/>
  <c r="AQ49" i="61" s="1"/>
  <c r="AQ26" i="61" a="1"/>
  <c r="AQ26" i="61" s="1"/>
  <c r="AQ37" i="61" a="1"/>
  <c r="AQ37" i="61" s="1"/>
  <c r="AQ51" i="61" a="1"/>
  <c r="AQ51" i="61" s="1"/>
  <c r="AQ29" i="61" a="1"/>
  <c r="AQ29" i="61" s="1"/>
  <c r="AQ48" i="61" a="1"/>
  <c r="AQ48" i="61" s="1"/>
  <c r="AQ39" i="61" a="1"/>
  <c r="AQ39" i="61" s="1"/>
  <c r="AQ53" i="61" a="1"/>
  <c r="AQ53" i="61" s="1"/>
  <c r="AQ54" i="61" a="1"/>
  <c r="AQ54" i="61" s="1"/>
  <c r="AQ36" i="61" a="1"/>
  <c r="AQ36" i="61" s="1"/>
  <c r="AQ40" i="61" a="1"/>
  <c r="AQ40" i="61" s="1"/>
  <c r="AQ32" i="61" a="1"/>
  <c r="AQ32" i="61" s="1"/>
  <c r="AQ27" i="61" a="1"/>
  <c r="AQ27" i="61" s="1"/>
  <c r="AQ38" i="61" a="1"/>
  <c r="AQ38" i="61" s="1"/>
  <c r="AQ57" i="61" a="1"/>
  <c r="AQ57" i="61" s="1"/>
  <c r="AR52" i="61" a="1"/>
  <c r="AR52" i="61" s="1"/>
  <c r="AR48" i="61" a="1"/>
  <c r="AR48" i="61" s="1"/>
  <c r="AR30" i="61" a="1"/>
  <c r="AR30" i="61" s="1"/>
  <c r="AR45" i="61" a="1"/>
  <c r="AR45" i="61" s="1"/>
  <c r="AR35" i="61" a="1"/>
  <c r="AR35" i="61" s="1"/>
  <c r="AR56" i="61" a="1"/>
  <c r="AR56" i="61" s="1"/>
  <c r="AR49" i="61" a="1"/>
  <c r="AR49" i="61" s="1"/>
  <c r="AR53" i="61" a="1"/>
  <c r="AR53" i="61" s="1"/>
  <c r="AR42" i="61" a="1"/>
  <c r="AR42" i="61" s="1"/>
  <c r="AR41" i="61" a="1"/>
  <c r="AR41" i="61" s="1"/>
  <c r="AR33" i="61" a="1"/>
  <c r="AR33" i="61" s="1"/>
  <c r="AR38" i="61" a="1"/>
  <c r="AR38" i="61" s="1"/>
  <c r="AR50" i="61" a="1"/>
  <c r="AR50" i="61" s="1"/>
  <c r="AR46" i="61" a="1"/>
  <c r="AR46" i="61" s="1"/>
  <c r="AR39" i="61" a="1"/>
  <c r="AR39" i="61" s="1"/>
  <c r="AR31" i="61" a="1"/>
  <c r="AR31" i="61" s="1"/>
  <c r="AR57" i="61" a="1"/>
  <c r="AR57" i="61" s="1"/>
  <c r="AR43" i="61" a="1"/>
  <c r="AR43" i="61" s="1"/>
  <c r="AR40" i="61" a="1"/>
  <c r="AR40" i="61" s="1"/>
  <c r="AR36" i="61" a="1"/>
  <c r="AR36" i="61" s="1"/>
  <c r="AR51" i="61" a="1"/>
  <c r="AR51" i="61" s="1"/>
  <c r="AR34" i="61" a="1"/>
  <c r="AR34" i="61" s="1"/>
  <c r="AR47" i="61" a="1"/>
  <c r="AR47" i="61" s="1"/>
  <c r="AR27" i="61" a="1"/>
  <c r="AR27" i="61" s="1"/>
  <c r="AR44" i="61" a="1"/>
  <c r="AR44" i="61" s="1"/>
  <c r="AR37" i="61" a="1"/>
  <c r="AR37" i="61" s="1"/>
  <c r="AR25" i="61" a="1"/>
  <c r="AR25" i="61" s="1"/>
  <c r="AR20" i="61" a="1"/>
  <c r="AR20" i="61" s="1"/>
  <c r="AR15" i="61" a="1"/>
  <c r="AR15" i="61" s="1"/>
  <c r="AR23" i="61" a="1"/>
  <c r="AR23" i="61" s="1"/>
  <c r="AR14" i="61" a="1"/>
  <c r="AR14" i="61" s="1"/>
  <c r="AR11" i="61" a="1"/>
  <c r="AR11" i="61" s="1"/>
  <c r="AR55" i="61" a="1"/>
  <c r="AR55" i="61" s="1"/>
  <c r="AR16" i="61" a="1"/>
  <c r="AR16" i="61" s="1"/>
  <c r="AR10" i="61" a="1"/>
  <c r="AR10" i="61" s="1"/>
  <c r="AR9" i="61" a="1"/>
  <c r="AR9" i="61" s="1"/>
  <c r="AR21" i="61" a="1"/>
  <c r="AR21" i="61" s="1"/>
  <c r="AR17" i="61" a="1"/>
  <c r="AR17" i="61" s="1"/>
  <c r="AR32" i="61" a="1"/>
  <c r="AR32" i="61" s="1"/>
  <c r="AR29" i="61" a="1"/>
  <c r="AR29" i="61" s="1"/>
  <c r="AR13" i="61" a="1"/>
  <c r="AR13" i="61" s="1"/>
  <c r="AR18" i="61" a="1"/>
  <c r="AR18" i="61" s="1"/>
  <c r="AR24" i="61" a="1"/>
  <c r="AR24" i="61" s="1"/>
  <c r="AR26" i="61" a="1"/>
  <c r="AR26" i="61" s="1"/>
  <c r="AR28" i="61" a="1"/>
  <c r="AR28" i="61" s="1"/>
  <c r="AR54" i="61" a="1"/>
  <c r="AR54" i="61" s="1"/>
  <c r="AR22" i="61" a="1"/>
  <c r="AR22" i="61" s="1"/>
  <c r="AR12" i="61" a="1"/>
  <c r="AR12" i="61" s="1"/>
  <c r="AR19" i="61" a="1"/>
  <c r="AR19" i="61" s="1"/>
  <c r="AS1" i="61"/>
  <c r="AS4" i="61" s="1"/>
  <c r="AR2" i="61"/>
  <c r="AR5" i="61" s="1"/>
  <c r="AS45" i="61" l="1" a="1"/>
  <c r="AS45" i="61" s="1"/>
  <c r="AS35" i="61" a="1"/>
  <c r="AS35" i="61" s="1"/>
  <c r="AS56" i="61" a="1"/>
  <c r="AS56" i="61" s="1"/>
  <c r="AS49" i="61" a="1"/>
  <c r="AS49" i="61" s="1"/>
  <c r="AS41" i="61" a="1"/>
  <c r="AS41" i="61" s="1"/>
  <c r="AS28" i="61" a="1"/>
  <c r="AS28" i="61" s="1"/>
  <c r="AS53" i="61" a="1"/>
  <c r="AS53" i="61" s="1"/>
  <c r="AS42" i="61" a="1"/>
  <c r="AS42" i="61" s="1"/>
  <c r="AS33" i="61" a="1"/>
  <c r="AS33" i="61" s="1"/>
  <c r="AS38" i="61" a="1"/>
  <c r="AS38" i="61" s="1"/>
  <c r="AS26" i="61" a="1"/>
  <c r="AS26" i="61" s="1"/>
  <c r="AS50" i="61" a="1"/>
  <c r="AS50" i="61" s="1"/>
  <c r="AS46" i="61" a="1"/>
  <c r="AS46" i="61" s="1"/>
  <c r="AS39" i="61" a="1"/>
  <c r="AS39" i="61" s="1"/>
  <c r="AS31" i="61" a="1"/>
  <c r="AS31" i="61" s="1"/>
  <c r="AS57" i="61" a="1"/>
  <c r="AS57" i="61" s="1"/>
  <c r="AS43" i="61" a="1"/>
  <c r="AS43" i="61" s="1"/>
  <c r="AS40" i="61" a="1"/>
  <c r="AS40" i="61" s="1"/>
  <c r="AS36" i="61" a="1"/>
  <c r="AS36" i="61" s="1"/>
  <c r="AS54" i="61" a="1"/>
  <c r="AS54" i="61" s="1"/>
  <c r="AS29" i="61" a="1"/>
  <c r="AS29" i="61" s="1"/>
  <c r="AS55" i="61" a="1"/>
  <c r="AS55" i="61" s="1"/>
  <c r="AS47" i="61" a="1"/>
  <c r="AS47" i="61" s="1"/>
  <c r="AS44" i="61" a="1"/>
  <c r="AS44" i="61" s="1"/>
  <c r="AS32" i="61" a="1"/>
  <c r="AS32" i="61" s="1"/>
  <c r="AS37" i="61" a="1"/>
  <c r="AS37" i="61" s="1"/>
  <c r="AS25" i="61" a="1"/>
  <c r="AS25" i="61" s="1"/>
  <c r="AS20" i="61" a="1"/>
  <c r="AS20" i="61" s="1"/>
  <c r="AS15" i="61" a="1"/>
  <c r="AS15" i="61" s="1"/>
  <c r="AS11" i="61" a="1"/>
  <c r="AS11" i="61" s="1"/>
  <c r="AS34" i="61" a="1"/>
  <c r="AS34" i="61" s="1"/>
  <c r="AS14" i="61" a="1"/>
  <c r="AS14" i="61" s="1"/>
  <c r="AS23" i="61" a="1"/>
  <c r="AS23" i="61" s="1"/>
  <c r="AS27" i="61" a="1"/>
  <c r="AS27" i="61" s="1"/>
  <c r="AS16" i="61" a="1"/>
  <c r="AS16" i="61" s="1"/>
  <c r="AS10" i="61" a="1"/>
  <c r="AS10" i="61" s="1"/>
  <c r="AS51" i="61" a="1"/>
  <c r="AS51" i="61" s="1"/>
  <c r="AS30" i="61" a="1"/>
  <c r="AS30" i="61" s="1"/>
  <c r="AS21" i="61" a="1"/>
  <c r="AS21" i="61" s="1"/>
  <c r="AS17" i="61" a="1"/>
  <c r="AS17" i="61" s="1"/>
  <c r="AS13" i="61" a="1"/>
  <c r="AS13" i="61" s="1"/>
  <c r="AS18" i="61" a="1"/>
  <c r="AS18" i="61" s="1"/>
  <c r="AS24" i="61" a="1"/>
  <c r="AS24" i="61" s="1"/>
  <c r="AS22" i="61" a="1"/>
  <c r="AS22" i="61" s="1"/>
  <c r="AS19" i="61" a="1"/>
  <c r="AS19" i="61" s="1"/>
  <c r="AS12" i="61" a="1"/>
  <c r="AS12" i="61" s="1"/>
  <c r="AS48" i="61" a="1"/>
  <c r="AS48" i="61" s="1"/>
  <c r="AS9" i="61" a="1"/>
  <c r="AS9" i="61" s="1"/>
  <c r="AS52" i="61" a="1"/>
  <c r="AS52" i="61" s="1"/>
  <c r="AS2" i="61"/>
  <c r="AS5" i="61" s="1"/>
  <c r="AT1" i="61"/>
  <c r="AT4" i="61" s="1"/>
  <c r="AT33" i="61" l="1" a="1"/>
  <c r="AT33" i="61" s="1"/>
  <c r="AT31" i="61" a="1"/>
  <c r="AT31" i="61" s="1"/>
  <c r="AT34" i="61" a="1"/>
  <c r="AT34" i="61" s="1"/>
  <c r="AT14" i="61" a="1"/>
  <c r="AT14" i="61" s="1"/>
  <c r="AT11" i="61" a="1"/>
  <c r="AT11" i="61" s="1"/>
  <c r="AT10" i="61" a="1"/>
  <c r="AT10" i="61" s="1"/>
  <c r="AT9" i="61" a="1"/>
  <c r="AT9" i="61" s="1"/>
  <c r="AT23" i="61" a="1"/>
  <c r="AT23" i="61" s="1"/>
  <c r="AT21" i="61" a="1"/>
  <c r="AT21" i="61" s="1"/>
  <c r="AT13" i="61" a="1"/>
  <c r="AT13" i="61" s="1"/>
  <c r="AT47" i="61" a="1"/>
  <c r="AT47" i="61" s="1"/>
  <c r="AT18" i="61" a="1"/>
  <c r="AT18" i="61" s="1"/>
  <c r="AT24" i="61" a="1"/>
  <c r="AT24" i="61" s="1"/>
  <c r="AT22" i="61" a="1"/>
  <c r="AT22" i="61" s="1"/>
  <c r="AT25" i="61" a="1"/>
  <c r="AT25" i="61" s="1"/>
  <c r="AT20" i="61" a="1"/>
  <c r="AT20" i="61" s="1"/>
  <c r="AT17" i="61" a="1"/>
  <c r="AT17" i="61" s="1"/>
  <c r="AT16" i="61" a="1"/>
  <c r="AT16" i="61" s="1"/>
  <c r="AT15" i="61" a="1"/>
  <c r="AT15" i="61" s="1"/>
  <c r="AT26" i="61" a="1"/>
  <c r="AT26" i="61" s="1"/>
  <c r="AT12" i="61" a="1"/>
  <c r="AT12" i="61" s="1"/>
  <c r="AT19" i="61" a="1"/>
  <c r="AT19" i="61" s="1"/>
  <c r="AT2" i="61"/>
  <c r="AT5" i="61" s="1"/>
  <c r="AT45" i="61" s="1" a="1"/>
  <c r="AT45" i="61" s="1"/>
  <c r="AU1" i="61"/>
  <c r="AU4" i="61" s="1"/>
  <c r="AT50" i="61" l="1" a="1"/>
  <c r="AT50" i="61" s="1"/>
  <c r="AT52" i="61" a="1"/>
  <c r="AT52" i="61" s="1"/>
  <c r="AT39" i="61" a="1"/>
  <c r="AT39" i="61" s="1"/>
  <c r="AT48" i="61" a="1"/>
  <c r="AT48" i="61" s="1"/>
  <c r="AT38" i="61" a="1"/>
  <c r="AT38" i="61" s="1"/>
  <c r="AT51" i="61" a="1"/>
  <c r="AT51" i="61" s="1"/>
  <c r="AT29" i="61" a="1"/>
  <c r="AT29" i="61" s="1"/>
  <c r="AT42" i="61" a="1"/>
  <c r="AT42" i="61" s="1"/>
  <c r="AT55" i="61" a="1"/>
  <c r="AT55" i="61" s="1"/>
  <c r="AT41" i="61" a="1"/>
  <c r="AT41" i="61" s="1"/>
  <c r="AT54" i="61" a="1"/>
  <c r="AT54" i="61" s="1"/>
  <c r="AT53" i="61" a="1"/>
  <c r="AT53" i="61" s="1"/>
  <c r="AT44" i="61" a="1"/>
  <c r="AT44" i="61" s="1"/>
  <c r="AT27" i="61" a="1"/>
  <c r="AT27" i="61" s="1"/>
  <c r="AT36" i="61" a="1"/>
  <c r="AT36" i="61" s="1"/>
  <c r="AT28" i="61" a="1"/>
  <c r="AT28" i="61" s="1"/>
  <c r="AT32" i="61" a="1"/>
  <c r="AT32" i="61" s="1"/>
  <c r="AT30" i="61" a="1"/>
  <c r="AT30" i="61" s="1"/>
  <c r="AT40" i="61" a="1"/>
  <c r="AT40" i="61" s="1"/>
  <c r="AT49" i="61" a="1"/>
  <c r="AT49" i="61" s="1"/>
  <c r="AT43" i="61" a="1"/>
  <c r="AT43" i="61" s="1"/>
  <c r="AT56" i="61" a="1"/>
  <c r="AT56" i="61" s="1"/>
  <c r="AT46" i="61" a="1"/>
  <c r="AT46" i="61" s="1"/>
  <c r="AT35" i="61" a="1"/>
  <c r="AT35" i="61" s="1"/>
  <c r="AT37" i="61" a="1"/>
  <c r="AT37" i="61" s="1"/>
  <c r="AT57" i="61" a="1"/>
  <c r="AT57" i="61" s="1"/>
  <c r="AU33" i="61" a="1"/>
  <c r="AU33" i="61" s="1"/>
  <c r="AU38" i="61" a="1"/>
  <c r="AU38" i="61" s="1"/>
  <c r="AU46" i="61" a="1"/>
  <c r="AU46" i="61" s="1"/>
  <c r="AU39" i="61" a="1"/>
  <c r="AU39" i="61" s="1"/>
  <c r="AU57" i="61" a="1"/>
  <c r="AU57" i="61" s="1"/>
  <c r="AU34" i="61" a="1"/>
  <c r="AU34" i="61" s="1"/>
  <c r="AU47" i="61" a="1"/>
  <c r="AU47" i="61" s="1"/>
  <c r="AU37" i="61" a="1"/>
  <c r="AU37" i="61" s="1"/>
  <c r="AU41" i="61" a="1"/>
  <c r="AU41" i="61" s="1"/>
  <c r="AU30" i="61" a="1"/>
  <c r="AU30" i="61" s="1"/>
  <c r="AU23" i="61" a="1"/>
  <c r="AU23" i="61" s="1"/>
  <c r="AU9" i="61" a="1"/>
  <c r="AU9" i="61" s="1"/>
  <c r="AU17" i="61" a="1"/>
  <c r="AU17" i="61" s="1"/>
  <c r="AU16" i="61" a="1"/>
  <c r="AU16" i="61" s="1"/>
  <c r="AU21" i="61" a="1"/>
  <c r="AU21" i="61" s="1"/>
  <c r="AU18" i="61" a="1"/>
  <c r="AU18" i="61" s="1"/>
  <c r="AU35" i="61" a="1"/>
  <c r="AU35" i="61" s="1"/>
  <c r="AU45" i="61" a="1"/>
  <c r="AU45" i="61" s="1"/>
  <c r="AU32" i="61" a="1"/>
  <c r="AU32" i="61" s="1"/>
  <c r="AU29" i="61" a="1"/>
  <c r="AU29" i="61" s="1"/>
  <c r="AU24" i="61" a="1"/>
  <c r="AU24" i="61" s="1"/>
  <c r="AU12" i="61" a="1"/>
  <c r="AU12" i="61" s="1"/>
  <c r="AU22" i="61" a="1"/>
  <c r="AU22" i="61" s="1"/>
  <c r="AU19" i="61" a="1"/>
  <c r="AU19" i="61" s="1"/>
  <c r="AU26" i="61" a="1"/>
  <c r="AU26" i="61" s="1"/>
  <c r="AU44" i="61" a="1"/>
  <c r="AU44" i="61" s="1"/>
  <c r="AU15" i="61" a="1"/>
  <c r="AU15" i="61" s="1"/>
  <c r="AU20" i="61" a="1"/>
  <c r="AU20" i="61" s="1"/>
  <c r="AU14" i="61" a="1"/>
  <c r="AU14" i="61" s="1"/>
  <c r="AU13" i="61" a="1"/>
  <c r="AU13" i="61" s="1"/>
  <c r="AU10" i="61" a="1"/>
  <c r="AU10" i="61" s="1"/>
  <c r="AU11" i="61" a="1"/>
  <c r="AU11" i="61" s="1"/>
  <c r="AU25" i="61" a="1"/>
  <c r="AU25" i="61" s="1"/>
  <c r="AU2" i="61"/>
  <c r="AU5" i="61" s="1"/>
  <c r="AU43" i="61" s="1" a="1"/>
  <c r="AU43" i="61" s="1"/>
  <c r="AV1" i="61"/>
  <c r="AV4" i="61" s="1"/>
  <c r="AU52" i="61" l="1" a="1"/>
  <c r="AU52" i="61" s="1"/>
  <c r="AU50" i="61" a="1"/>
  <c r="AU50" i="61" s="1"/>
  <c r="AU31" i="61" a="1"/>
  <c r="AU31" i="61" s="1"/>
  <c r="AU55" i="61" a="1"/>
  <c r="AU55" i="61" s="1"/>
  <c r="AU28" i="61" a="1"/>
  <c r="AU28" i="61" s="1"/>
  <c r="AU42" i="61" a="1"/>
  <c r="AU42" i="61" s="1"/>
  <c r="AU48" i="61" a="1"/>
  <c r="AU48" i="61" s="1"/>
  <c r="AU51" i="61" a="1"/>
  <c r="AU51" i="61" s="1"/>
  <c r="AU53" i="61" a="1"/>
  <c r="AU53" i="61" s="1"/>
  <c r="AU54" i="61" a="1"/>
  <c r="AU54" i="61" s="1"/>
  <c r="AU49" i="61" a="1"/>
  <c r="AU49" i="61" s="1"/>
  <c r="AU27" i="61" a="1"/>
  <c r="AU27" i="61" s="1"/>
  <c r="AU36" i="61" a="1"/>
  <c r="AU36" i="61" s="1"/>
  <c r="AU56" i="61" a="1"/>
  <c r="AU56" i="61" s="1"/>
  <c r="AU40" i="61" a="1"/>
  <c r="AU40" i="61" s="1"/>
  <c r="AV46" i="61" a="1"/>
  <c r="AV46" i="61" s="1"/>
  <c r="AV40" i="61" a="1"/>
  <c r="AV40" i="61" s="1"/>
  <c r="AV39" i="61" a="1"/>
  <c r="AV39" i="61" s="1"/>
  <c r="AV31" i="61" a="1"/>
  <c r="AV31" i="61" s="1"/>
  <c r="AV57" i="61" a="1"/>
  <c r="AV57" i="61" s="1"/>
  <c r="AV34" i="61" a="1"/>
  <c r="AV34" i="61" s="1"/>
  <c r="AV55" i="61" a="1"/>
  <c r="AV55" i="61" s="1"/>
  <c r="AV47" i="61" a="1"/>
  <c r="AV47" i="61" s="1"/>
  <c r="AV27" i="61" a="1"/>
  <c r="AV27" i="61" s="1"/>
  <c r="AV48" i="61" a="1"/>
  <c r="AV48" i="61" s="1"/>
  <c r="AV44" i="61" a="1"/>
  <c r="AV44" i="61" s="1"/>
  <c r="AV32" i="61" a="1"/>
  <c r="AV32" i="61" s="1"/>
  <c r="AV17" i="61" a="1"/>
  <c r="AV17" i="61" s="1"/>
  <c r="AV16" i="61" a="1"/>
  <c r="AV16" i="61" s="1"/>
  <c r="AV21" i="61" a="1"/>
  <c r="AV21" i="61" s="1"/>
  <c r="AV13" i="61" a="1"/>
  <c r="AV13" i="61" s="1"/>
  <c r="AV30" i="61" a="1"/>
  <c r="AV30" i="61" s="1"/>
  <c r="AV49" i="61" a="1"/>
  <c r="AV49" i="61" s="1"/>
  <c r="AV24" i="61" a="1"/>
  <c r="AV24" i="61" s="1"/>
  <c r="AV22" i="61" a="1"/>
  <c r="AV22" i="61" s="1"/>
  <c r="AV19" i="61" a="1"/>
  <c r="AV19" i="61" s="1"/>
  <c r="AV12" i="61" a="1"/>
  <c r="AV12" i="61" s="1"/>
  <c r="AV25" i="61" a="1"/>
  <c r="AV25" i="61" s="1"/>
  <c r="AV20" i="61" a="1"/>
  <c r="AV20" i="61" s="1"/>
  <c r="AV15" i="61" a="1"/>
  <c r="AV15" i="61" s="1"/>
  <c r="AV14" i="61" a="1"/>
  <c r="AV14" i="61" s="1"/>
  <c r="AV11" i="61" a="1"/>
  <c r="AV11" i="61" s="1"/>
  <c r="AV37" i="61" a="1"/>
  <c r="AV37" i="61" s="1"/>
  <c r="AV23" i="61" a="1"/>
  <c r="AV23" i="61" s="1"/>
  <c r="AV33" i="61" a="1"/>
  <c r="AV33" i="61" s="1"/>
  <c r="AV18" i="61" a="1"/>
  <c r="AV18" i="61" s="1"/>
  <c r="AV9" i="61" a="1"/>
  <c r="AV9" i="61" s="1"/>
  <c r="AV10" i="61" a="1"/>
  <c r="AV10" i="61" s="1"/>
  <c r="AW1" i="61"/>
  <c r="AW4" i="61" s="1"/>
  <c r="AV2" i="61"/>
  <c r="AV5" i="61" s="1"/>
  <c r="AV43" i="61" s="1" a="1"/>
  <c r="AV43" i="61" s="1"/>
  <c r="AV50" i="61" l="1" a="1"/>
  <c r="AV50" i="61" s="1"/>
  <c r="AV42" i="61" a="1"/>
  <c r="AV42" i="61" s="1"/>
  <c r="AV26" i="61" a="1"/>
  <c r="AV26" i="61" s="1"/>
  <c r="AV52" i="61" a="1"/>
  <c r="AV52" i="61" s="1"/>
  <c r="AV51" i="61" a="1"/>
  <c r="AV51" i="61" s="1"/>
  <c r="AV38" i="61" a="1"/>
  <c r="AV38" i="61" s="1"/>
  <c r="AV56" i="61" a="1"/>
  <c r="AV56" i="61" s="1"/>
  <c r="AV29" i="61" a="1"/>
  <c r="AV29" i="61" s="1"/>
  <c r="AV53" i="61" a="1"/>
  <c r="AV53" i="61" s="1"/>
  <c r="AV28" i="61" a="1"/>
  <c r="AV28" i="61" s="1"/>
  <c r="AV35" i="61" a="1"/>
  <c r="AV35" i="61" s="1"/>
  <c r="AV54" i="61" a="1"/>
  <c r="AV54" i="61" s="1"/>
  <c r="AV45" i="61" a="1"/>
  <c r="AV45" i="61" s="1"/>
  <c r="AV36" i="61" a="1"/>
  <c r="AV36" i="61" s="1"/>
  <c r="AV41" i="61" a="1"/>
  <c r="AV41" i="61" s="1"/>
  <c r="AW40" i="61" a="1"/>
  <c r="AW40" i="61" s="1"/>
  <c r="AW39" i="61" a="1"/>
  <c r="AW39" i="61" s="1"/>
  <c r="AW43" i="61" a="1"/>
  <c r="AW43" i="61" s="1"/>
  <c r="AW36" i="61" a="1"/>
  <c r="AW36" i="61" s="1"/>
  <c r="AW54" i="61" a="1"/>
  <c r="AW54" i="61" s="1"/>
  <c r="AW34" i="61" a="1"/>
  <c r="AW34" i="61" s="1"/>
  <c r="AW32" i="61" a="1"/>
  <c r="AW32" i="61" s="1"/>
  <c r="AW52" i="61" a="1"/>
  <c r="AW52" i="61" s="1"/>
  <c r="AW35" i="61" a="1"/>
  <c r="AW35" i="61" s="1"/>
  <c r="AW56" i="61" a="1"/>
  <c r="AW56" i="61" s="1"/>
  <c r="AW49" i="61" a="1"/>
  <c r="AW49" i="61" s="1"/>
  <c r="AW21" i="61" a="1"/>
  <c r="AW21" i="61" s="1"/>
  <c r="AW13" i="61" a="1"/>
  <c r="AW13" i="61" s="1"/>
  <c r="AW18" i="61" a="1"/>
  <c r="AW18" i="61" s="1"/>
  <c r="AW38" i="61" a="1"/>
  <c r="AW38" i="61" s="1"/>
  <c r="AW24" i="61" a="1"/>
  <c r="AW24" i="61" s="1"/>
  <c r="AW53" i="61" a="1"/>
  <c r="AW53" i="61" s="1"/>
  <c r="AW45" i="61" a="1"/>
  <c r="AW45" i="61" s="1"/>
  <c r="AW29" i="61" a="1"/>
  <c r="AW29" i="61" s="1"/>
  <c r="AW22" i="61" a="1"/>
  <c r="AW22" i="61" s="1"/>
  <c r="AW19" i="61" a="1"/>
  <c r="AW19" i="61" s="1"/>
  <c r="AW12" i="61" a="1"/>
  <c r="AW12" i="61" s="1"/>
  <c r="AW25" i="61" a="1"/>
  <c r="AW25" i="61" s="1"/>
  <c r="AW33" i="61" a="1"/>
  <c r="AW33" i="61" s="1"/>
  <c r="AW16" i="61" a="1"/>
  <c r="AW16" i="61" s="1"/>
  <c r="AW15" i="61" a="1"/>
  <c r="AW15" i="61" s="1"/>
  <c r="AW14" i="61" a="1"/>
  <c r="AW14" i="61" s="1"/>
  <c r="AW20" i="61" a="1"/>
  <c r="AW20" i="61" s="1"/>
  <c r="AW17" i="61" a="1"/>
  <c r="AW17" i="61" s="1"/>
  <c r="AW23" i="61" a="1"/>
  <c r="AW23" i="61" s="1"/>
  <c r="AW9" i="61" a="1"/>
  <c r="AW9" i="61" s="1"/>
  <c r="AW11" i="61" a="1"/>
  <c r="AW11" i="61" s="1"/>
  <c r="AW10" i="61" a="1"/>
  <c r="AW10" i="61" s="1"/>
  <c r="AW2" i="61"/>
  <c r="AW5" i="61" s="1"/>
  <c r="AW51" i="61" s="1" a="1"/>
  <c r="AW51" i="61" s="1"/>
  <c r="AX1" i="61"/>
  <c r="AX4" i="61" s="1"/>
  <c r="AW37" i="61" l="1" a="1"/>
  <c r="AW37" i="61" s="1"/>
  <c r="AW31" i="61" a="1"/>
  <c r="AW31" i="61" s="1"/>
  <c r="AW41" i="61" a="1"/>
  <c r="AW41" i="61" s="1"/>
  <c r="AW30" i="61" a="1"/>
  <c r="AW30" i="61" s="1"/>
  <c r="AW44" i="61" a="1"/>
  <c r="AW44" i="61" s="1"/>
  <c r="AW46" i="61" a="1"/>
  <c r="AW46" i="61" s="1"/>
  <c r="AW48" i="61" a="1"/>
  <c r="AW48" i="61" s="1"/>
  <c r="AW50" i="61" a="1"/>
  <c r="AW50" i="61" s="1"/>
  <c r="AW26" i="61" a="1"/>
  <c r="AW26" i="61" s="1"/>
  <c r="AW47" i="61" a="1"/>
  <c r="AW47" i="61" s="1"/>
  <c r="AW57" i="61" a="1"/>
  <c r="AW57" i="61" s="1"/>
  <c r="AW27" i="61" a="1"/>
  <c r="AW27" i="61" s="1"/>
  <c r="AW55" i="61" a="1"/>
  <c r="AW55" i="61" s="1"/>
  <c r="AW42" i="61" a="1"/>
  <c r="AW42" i="61" s="1"/>
  <c r="AW28" i="61" a="1"/>
  <c r="AW28" i="61" s="1"/>
  <c r="AX54" i="61" a="1"/>
  <c r="AX54" i="61" s="1"/>
  <c r="AX29" i="61" a="1"/>
  <c r="AX29" i="61" s="1"/>
  <c r="AX34" i="61" a="1"/>
  <c r="AX34" i="61" s="1"/>
  <c r="AX55" i="61" a="1"/>
  <c r="AX55" i="61" s="1"/>
  <c r="AX37" i="61" a="1"/>
  <c r="AX37" i="61" s="1"/>
  <c r="AX45" i="61" a="1"/>
  <c r="AX45" i="61" s="1"/>
  <c r="AX30" i="61" a="1"/>
  <c r="AX30" i="61" s="1"/>
  <c r="AX49" i="61" a="1"/>
  <c r="AX49" i="61" s="1"/>
  <c r="AX53" i="61" a="1"/>
  <c r="AX53" i="61" s="1"/>
  <c r="AX33" i="61" a="1"/>
  <c r="AX33" i="61" s="1"/>
  <c r="AX24" i="61" a="1"/>
  <c r="AX24" i="61" s="1"/>
  <c r="AX12" i="61" a="1"/>
  <c r="AX12" i="61" s="1"/>
  <c r="AX39" i="61" a="1"/>
  <c r="AX39" i="61" s="1"/>
  <c r="AX22" i="61" a="1"/>
  <c r="AX22" i="61" s="1"/>
  <c r="AX19" i="61" a="1"/>
  <c r="AX19" i="61" s="1"/>
  <c r="AX15" i="61" a="1"/>
  <c r="AX15" i="61" s="1"/>
  <c r="AX11" i="61" a="1"/>
  <c r="AX11" i="61" s="1"/>
  <c r="AX10" i="61" a="1"/>
  <c r="AX10" i="61" s="1"/>
  <c r="AX20" i="61" a="1"/>
  <c r="AX20" i="61" s="1"/>
  <c r="AX25" i="61" a="1"/>
  <c r="AX25" i="61" s="1"/>
  <c r="AX14" i="61" a="1"/>
  <c r="AX14" i="61" s="1"/>
  <c r="AX56" i="61" a="1"/>
  <c r="AX56" i="61" s="1"/>
  <c r="AX40" i="61" a="1"/>
  <c r="AX40" i="61" s="1"/>
  <c r="AX23" i="61" a="1"/>
  <c r="AX23" i="61" s="1"/>
  <c r="AX16" i="61" a="1"/>
  <c r="AX16" i="61" s="1"/>
  <c r="AX21" i="61" a="1"/>
  <c r="AX21" i="61" s="1"/>
  <c r="AX18" i="61" a="1"/>
  <c r="AX18" i="61" s="1"/>
  <c r="AX9" i="61" a="1"/>
  <c r="AX9" i="61" s="1"/>
  <c r="AX17" i="61" a="1"/>
  <c r="AX17" i="61" s="1"/>
  <c r="AX13" i="61" a="1"/>
  <c r="AX13" i="61" s="1"/>
  <c r="AX2" i="61"/>
  <c r="AX5" i="61" s="1"/>
  <c r="AX47" i="61" s="1" a="1"/>
  <c r="AX47" i="61" s="1"/>
  <c r="AY1" i="61"/>
  <c r="AY4" i="61" s="1"/>
  <c r="AX41" i="61" l="1" a="1"/>
  <c r="AX41" i="61" s="1"/>
  <c r="AX51" i="61" a="1"/>
  <c r="AX51" i="61" s="1"/>
  <c r="AX35" i="61" a="1"/>
  <c r="AX35" i="61" s="1"/>
  <c r="AX32" i="61" a="1"/>
  <c r="AX32" i="61" s="1"/>
  <c r="AX46" i="61" a="1"/>
  <c r="AX46" i="61" s="1"/>
  <c r="AX52" i="61" a="1"/>
  <c r="AX52" i="61" s="1"/>
  <c r="AX26" i="61" a="1"/>
  <c r="AX26" i="61" s="1"/>
  <c r="AX31" i="61" a="1"/>
  <c r="AX31" i="61" s="1"/>
  <c r="AX48" i="61" a="1"/>
  <c r="AX48" i="61" s="1"/>
  <c r="AX57" i="61" a="1"/>
  <c r="AX57" i="61" s="1"/>
  <c r="AX38" i="61" a="1"/>
  <c r="AX38" i="61" s="1"/>
  <c r="AX27" i="61" a="1"/>
  <c r="AX27" i="61" s="1"/>
  <c r="AX36" i="61" a="1"/>
  <c r="AX36" i="61" s="1"/>
  <c r="AX43" i="61" a="1"/>
  <c r="AX43" i="61" s="1"/>
  <c r="AX28" i="61" a="1"/>
  <c r="AX28" i="61" s="1"/>
  <c r="AX44" i="61" a="1"/>
  <c r="AX44" i="61" s="1"/>
  <c r="AX50" i="61" a="1"/>
  <c r="AX50" i="61" s="1"/>
  <c r="AX42" i="61" a="1"/>
  <c r="AX42" i="61" s="1"/>
  <c r="AY54" i="61" a="1"/>
  <c r="AY54" i="61" s="1"/>
  <c r="AY51" i="61" a="1"/>
  <c r="AY51" i="61" s="1"/>
  <c r="AY29" i="61" a="1"/>
  <c r="AY29" i="61" s="1"/>
  <c r="AY34" i="61" a="1"/>
  <c r="AY34" i="61" s="1"/>
  <c r="AY55" i="61" a="1"/>
  <c r="AY55" i="61" s="1"/>
  <c r="AY47" i="61" a="1"/>
  <c r="AY47" i="61" s="1"/>
  <c r="AY44" i="61" a="1"/>
  <c r="AY44" i="61" s="1"/>
  <c r="AY48" i="61" a="1"/>
  <c r="AY48" i="61" s="1"/>
  <c r="AY32" i="61" a="1"/>
  <c r="AY32" i="61" s="1"/>
  <c r="AY52" i="61" a="1"/>
  <c r="AY52" i="61" s="1"/>
  <c r="AY37" i="61" a="1"/>
  <c r="AY37" i="61" s="1"/>
  <c r="AY45" i="61" a="1"/>
  <c r="AY45" i="61" s="1"/>
  <c r="AY41" i="61" a="1"/>
  <c r="AY41" i="61" s="1"/>
  <c r="AY30" i="61" a="1"/>
  <c r="AY30" i="61" s="1"/>
  <c r="AY56" i="61" a="1"/>
  <c r="AY56" i="61" s="1"/>
  <c r="AY49" i="61" a="1"/>
  <c r="AY49" i="61" s="1"/>
  <c r="AY35" i="61" a="1"/>
  <c r="AY35" i="61" s="1"/>
  <c r="AY53" i="61" a="1"/>
  <c r="AY53" i="61" s="1"/>
  <c r="AY42" i="61" a="1"/>
  <c r="AY42" i="61" s="1"/>
  <c r="AY33" i="61" a="1"/>
  <c r="AY33" i="61" s="1"/>
  <c r="AY50" i="61" a="1"/>
  <c r="AY50" i="61" s="1"/>
  <c r="AY39" i="61" a="1"/>
  <c r="AY39" i="61" s="1"/>
  <c r="AY38" i="61" a="1"/>
  <c r="AY38" i="61" s="1"/>
  <c r="AY26" i="61" a="1"/>
  <c r="AY26" i="61" s="1"/>
  <c r="AY31" i="61" a="1"/>
  <c r="AY31" i="61" s="1"/>
  <c r="AY24" i="61" a="1"/>
  <c r="AY24" i="61" s="1"/>
  <c r="AY57" i="61" a="1"/>
  <c r="AY57" i="61" s="1"/>
  <c r="AY22" i="61" a="1"/>
  <c r="AY22" i="61" s="1"/>
  <c r="AY19" i="61" a="1"/>
  <c r="AY19" i="61" s="1"/>
  <c r="AY43" i="61" a="1"/>
  <c r="AY43" i="61" s="1"/>
  <c r="AY14" i="61" a="1"/>
  <c r="AY14" i="61" s="1"/>
  <c r="AY11" i="61" a="1"/>
  <c r="AY11" i="61" s="1"/>
  <c r="AY28" i="61" a="1"/>
  <c r="AY28" i="61" s="1"/>
  <c r="AY25" i="61" a="1"/>
  <c r="AY25" i="61" s="1"/>
  <c r="AY20" i="61" a="1"/>
  <c r="AY20" i="61" s="1"/>
  <c r="AY15" i="61" a="1"/>
  <c r="AY15" i="61" s="1"/>
  <c r="AY10" i="61" a="1"/>
  <c r="AY10" i="61" s="1"/>
  <c r="AY40" i="61" a="1"/>
  <c r="AY40" i="61" s="1"/>
  <c r="AY36" i="61" a="1"/>
  <c r="AY36" i="61" s="1"/>
  <c r="AY23" i="61" a="1"/>
  <c r="AY23" i="61" s="1"/>
  <c r="AY17" i="61" a="1"/>
  <c r="AY17" i="61" s="1"/>
  <c r="AY13" i="61" a="1"/>
  <c r="AY13" i="61" s="1"/>
  <c r="AY27" i="61" a="1"/>
  <c r="AY27" i="61" s="1"/>
  <c r="AY16" i="61" a="1"/>
  <c r="AY16" i="61" s="1"/>
  <c r="AY9" i="61" a="1"/>
  <c r="AY9" i="61" s="1"/>
  <c r="AY18" i="61" a="1"/>
  <c r="AY18" i="61" s="1"/>
  <c r="AY12" i="61" a="1"/>
  <c r="AY12" i="61" s="1"/>
  <c r="AY46" i="61" a="1"/>
  <c r="AY46" i="61" s="1"/>
  <c r="AY21" i="61" a="1"/>
  <c r="AY21" i="61" s="1"/>
  <c r="AZ1" i="61"/>
  <c r="AZ4" i="61" s="1"/>
  <c r="AY2" i="61"/>
  <c r="AY5" i="61" s="1"/>
  <c r="AZ51" i="61" l="1" a="1"/>
  <c r="AZ51" i="61" s="1"/>
  <c r="AZ34" i="61" a="1"/>
  <c r="AZ34" i="61" s="1"/>
  <c r="AZ55" i="61" a="1"/>
  <c r="AZ55" i="61" s="1"/>
  <c r="AZ47" i="61" a="1"/>
  <c r="AZ47" i="61" s="1"/>
  <c r="AZ44" i="61" a="1"/>
  <c r="AZ44" i="61" s="1"/>
  <c r="AZ27" i="61" a="1"/>
  <c r="AZ27"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42" i="61" a="1"/>
  <c r="AZ42" i="61" s="1"/>
  <c r="AZ28" i="61" a="1"/>
  <c r="AZ28" i="61" s="1"/>
  <c r="AZ50" i="61" a="1"/>
  <c r="AZ50" i="61" s="1"/>
  <c r="AZ39" i="61" a="1"/>
  <c r="AZ39" i="61" s="1"/>
  <c r="AZ38" i="61" a="1"/>
  <c r="AZ38" i="61" s="1"/>
  <c r="AZ57" i="61" a="1"/>
  <c r="AZ57" i="61" s="1"/>
  <c r="AZ46" i="61" a="1"/>
  <c r="AZ46" i="61" s="1"/>
  <c r="AZ43" i="61" a="1"/>
  <c r="AZ43" i="61" s="1"/>
  <c r="AZ40" i="61" a="1"/>
  <c r="AZ40" i="61" s="1"/>
  <c r="AZ31" i="61" a="1"/>
  <c r="AZ31" i="61" s="1"/>
  <c r="AZ24" i="61" a="1"/>
  <c r="AZ24" i="61" s="1"/>
  <c r="AZ12" i="61" a="1"/>
  <c r="AZ12" i="61" s="1"/>
  <c r="AZ19" i="61" a="1"/>
  <c r="AZ19" i="61" s="1"/>
  <c r="AZ22" i="61" a="1"/>
  <c r="AZ22" i="61" s="1"/>
  <c r="AZ53" i="61" a="1"/>
  <c r="AZ53" i="61" s="1"/>
  <c r="AZ29" i="61" a="1"/>
  <c r="AZ29" i="61" s="1"/>
  <c r="AZ11" i="61" a="1"/>
  <c r="AZ11" i="61" s="1"/>
  <c r="AZ14" i="61" a="1"/>
  <c r="AZ14" i="61" s="1"/>
  <c r="AZ25" i="61" a="1"/>
  <c r="AZ25" i="61" s="1"/>
  <c r="AZ20" i="61" a="1"/>
  <c r="AZ20" i="61" s="1"/>
  <c r="AZ15" i="61" a="1"/>
  <c r="AZ15" i="61" s="1"/>
  <c r="AZ10" i="61" a="1"/>
  <c r="AZ10" i="61" s="1"/>
  <c r="AZ16" i="61" a="1"/>
  <c r="AZ16" i="61" s="1"/>
  <c r="AZ26" i="61" a="1"/>
  <c r="AZ26" i="61" s="1"/>
  <c r="AZ9" i="61" a="1"/>
  <c r="AZ9" i="61" s="1"/>
  <c r="AZ17" i="61" a="1"/>
  <c r="AZ17" i="61" s="1"/>
  <c r="AZ36" i="61" a="1"/>
  <c r="AZ36" i="61" s="1"/>
  <c r="AZ23" i="61" a="1"/>
  <c r="AZ23" i="61" s="1"/>
  <c r="AZ33" i="61" a="1"/>
  <c r="AZ33" i="61" s="1"/>
  <c r="AZ54" i="61" a="1"/>
  <c r="AZ54" i="61" s="1"/>
  <c r="AZ21" i="61" a="1"/>
  <c r="AZ21" i="61" s="1"/>
  <c r="AZ18" i="61" a="1"/>
  <c r="AZ18" i="61" s="1"/>
  <c r="AZ13" i="61" a="1"/>
  <c r="AZ13" i="61" s="1"/>
  <c r="AZ2" i="61"/>
  <c r="AZ5" i="61" s="1"/>
  <c r="BA1" i="61"/>
  <c r="BA4" i="61" s="1"/>
  <c r="BA30" i="61" l="1" a="1"/>
  <c r="BA30" i="61" s="1"/>
  <c r="BA56" i="61" a="1"/>
  <c r="BA56" i="61" s="1"/>
  <c r="BA33" i="61" a="1"/>
  <c r="BA33" i="61" s="1"/>
  <c r="BA54" i="61" a="1"/>
  <c r="BA54" i="61" s="1"/>
  <c r="BA36" i="61" a="1"/>
  <c r="BA36" i="61" s="1"/>
  <c r="BA34" i="61" a="1"/>
  <c r="BA34" i="61" s="1"/>
  <c r="BA19" i="61" a="1"/>
  <c r="BA19" i="61" s="1"/>
  <c r="BA22" i="61" a="1"/>
  <c r="BA22" i="61" s="1"/>
  <c r="BA14" i="61" a="1"/>
  <c r="BA14" i="61" s="1"/>
  <c r="BA10" i="61" a="1"/>
  <c r="BA10" i="61" s="1"/>
  <c r="BA25" i="61" a="1"/>
  <c r="BA25" i="61" s="1"/>
  <c r="BA20" i="61" a="1"/>
  <c r="BA20" i="61" s="1"/>
  <c r="BA15" i="61" a="1"/>
  <c r="BA15" i="61" s="1"/>
  <c r="BA9" i="61" a="1"/>
  <c r="BA9" i="61" s="1"/>
  <c r="BA23" i="61" a="1"/>
  <c r="BA23" i="61" s="1"/>
  <c r="BA17" i="61" a="1"/>
  <c r="BA17" i="61" s="1"/>
  <c r="BA16" i="61" a="1"/>
  <c r="BA16" i="61" s="1"/>
  <c r="BA13" i="61" a="1"/>
  <c r="BA13" i="61" s="1"/>
  <c r="BA21" i="61" a="1"/>
  <c r="BA21" i="61" s="1"/>
  <c r="BA24" i="61" a="1"/>
  <c r="BA24" i="61" s="1"/>
  <c r="BA18" i="61" a="1"/>
  <c r="BA18" i="61" s="1"/>
  <c r="BA12" i="61" a="1"/>
  <c r="BA12" i="61" s="1"/>
  <c r="BA11" i="61" a="1"/>
  <c r="BA11" i="61" s="1"/>
  <c r="BB1" i="61"/>
  <c r="BB4" i="61" s="1"/>
  <c r="BA2" i="61"/>
  <c r="BA5" i="61" s="1"/>
  <c r="BA47" i="61" s="1" a="1"/>
  <c r="BA47" i="61" s="1"/>
  <c r="BA31" i="61" l="1" a="1"/>
  <c r="BA31" i="61" s="1"/>
  <c r="BA45" i="61" a="1"/>
  <c r="BA45" i="61" s="1"/>
  <c r="BA50" i="61" a="1"/>
  <c r="BA50" i="61" s="1"/>
  <c r="BA43" i="61" a="1"/>
  <c r="BA43" i="61" s="1"/>
  <c r="BA37" i="61" a="1"/>
  <c r="BA37" i="61" s="1"/>
  <c r="BA41" i="61" a="1"/>
  <c r="BA41" i="61" s="1"/>
  <c r="BA39" i="61" a="1"/>
  <c r="BA39" i="61" s="1"/>
  <c r="BA51" i="61" a="1"/>
  <c r="BA51" i="61" s="1"/>
  <c r="BA32" i="61" a="1"/>
  <c r="BA32" i="61" s="1"/>
  <c r="BA46" i="61" a="1"/>
  <c r="BA46" i="61" s="1"/>
  <c r="BA57" i="61" a="1"/>
  <c r="BA57" i="61" s="1"/>
  <c r="BA29" i="61" a="1"/>
  <c r="BA29" i="61" s="1"/>
  <c r="BA53" i="61" a="1"/>
  <c r="BA53" i="61" s="1"/>
  <c r="BA48" i="61" a="1"/>
  <c r="BA48" i="61" s="1"/>
  <c r="BA52" i="61" a="1"/>
  <c r="BA52" i="61" s="1"/>
  <c r="BA28" i="61" a="1"/>
  <c r="BA28" i="61" s="1"/>
  <c r="BA27" i="61" a="1"/>
  <c r="BA27" i="61" s="1"/>
  <c r="BA40" i="61" a="1"/>
  <c r="BA40" i="61" s="1"/>
  <c r="BA38" i="61" a="1"/>
  <c r="BA38" i="61" s="1"/>
  <c r="BA42" i="61" a="1"/>
  <c r="BA42" i="61" s="1"/>
  <c r="BA44" i="61" a="1"/>
  <c r="BA44" i="61" s="1"/>
  <c r="BA35" i="61" a="1"/>
  <c r="BA35" i="61" s="1"/>
  <c r="BA55" i="61" a="1"/>
  <c r="BA55" i="61" s="1"/>
  <c r="BA26" i="61" a="1"/>
  <c r="BA26" i="61" s="1"/>
  <c r="BA49" i="61" a="1"/>
  <c r="BA49" i="61" s="1"/>
  <c r="BB45" i="61" a="1"/>
  <c r="BB45" i="61" s="1"/>
  <c r="BB56" i="61" a="1"/>
  <c r="BB56" i="61" s="1"/>
  <c r="BB49" i="61" a="1"/>
  <c r="BB49" i="61" s="1"/>
  <c r="BB35" i="61" a="1"/>
  <c r="BB35" i="61" s="1"/>
  <c r="BB33" i="61" a="1"/>
  <c r="BB33" i="61" s="1"/>
  <c r="BB36" i="61" a="1"/>
  <c r="BB36" i="61" s="1"/>
  <c r="BB51" i="61" a="1"/>
  <c r="BB51" i="61" s="1"/>
  <c r="BB29" i="61" a="1"/>
  <c r="BB29" i="61" s="1"/>
  <c r="BB31" i="61" a="1"/>
  <c r="BB31" i="61" s="1"/>
  <c r="BB22" i="61" a="1"/>
  <c r="BB22" i="61" s="1"/>
  <c r="BB11" i="61" a="1"/>
  <c r="BB11" i="61" s="1"/>
  <c r="BB10" i="61" a="1"/>
  <c r="BB10" i="61" s="1"/>
  <c r="BB25" i="61" a="1"/>
  <c r="BB25" i="61" s="1"/>
  <c r="BB20" i="61" a="1"/>
  <c r="BB20" i="61" s="1"/>
  <c r="BB15" i="61" a="1"/>
  <c r="BB15" i="61" s="1"/>
  <c r="BB43" i="61" a="1"/>
  <c r="BB43" i="61" s="1"/>
  <c r="BB26" i="61" a="1"/>
  <c r="BB26" i="61" s="1"/>
  <c r="BB17" i="61" a="1"/>
  <c r="BB17" i="61" s="1"/>
  <c r="BB9" i="61" a="1"/>
  <c r="BB9" i="61" s="1"/>
  <c r="BB23" i="61" a="1"/>
  <c r="BB23" i="61" s="1"/>
  <c r="BB16" i="61" a="1"/>
  <c r="BB16" i="61" s="1"/>
  <c r="BB13" i="61" a="1"/>
  <c r="BB13" i="61" s="1"/>
  <c r="BB21" i="61" a="1"/>
  <c r="BB21" i="61" s="1"/>
  <c r="BB18" i="61" a="1"/>
  <c r="BB18" i="61" s="1"/>
  <c r="BB46" i="61" a="1"/>
  <c r="BB46" i="61" s="1"/>
  <c r="BB34" i="61" a="1"/>
  <c r="BB34" i="61" s="1"/>
  <c r="BB19" i="61" a="1"/>
  <c r="BB19" i="61" s="1"/>
  <c r="BB24" i="61" a="1"/>
  <c r="BB24" i="61" s="1"/>
  <c r="BB14" i="61" a="1"/>
  <c r="BB14" i="61" s="1"/>
  <c r="BB12" i="61" a="1"/>
  <c r="BB12" i="61" s="1"/>
  <c r="BB2" i="61"/>
  <c r="BB5" i="61" s="1"/>
  <c r="BB42" i="61" s="1" a="1"/>
  <c r="BB42" i="61" s="1"/>
  <c r="BC1" i="61"/>
  <c r="BC4" i="61" s="1"/>
  <c r="BB54" i="61" l="1" a="1"/>
  <c r="BB54" i="61" s="1"/>
  <c r="BB38" i="61" a="1"/>
  <c r="BB38" i="61" s="1"/>
  <c r="BB41" i="61" a="1"/>
  <c r="BB41" i="61" s="1"/>
  <c r="BB47" i="61" a="1"/>
  <c r="BB47" i="61" s="1"/>
  <c r="BB39" i="61" a="1"/>
  <c r="BB39" i="61" s="1"/>
  <c r="BB32" i="61" a="1"/>
  <c r="BB32" i="61" s="1"/>
  <c r="BB37" i="61" a="1"/>
  <c r="BB37" i="61" s="1"/>
  <c r="BB57" i="61" a="1"/>
  <c r="BB57" i="61" s="1"/>
  <c r="BB50" i="61" a="1"/>
  <c r="BB50" i="61" s="1"/>
  <c r="BB48" i="61" a="1"/>
  <c r="BB48" i="61" s="1"/>
  <c r="BB52" i="61" a="1"/>
  <c r="BB52" i="61" s="1"/>
  <c r="BB40" i="61" a="1"/>
  <c r="BB40" i="61" s="1"/>
  <c r="BB44" i="61" a="1"/>
  <c r="BB44" i="61" s="1"/>
  <c r="BB53" i="61" a="1"/>
  <c r="BB53" i="61" s="1"/>
  <c r="BB55" i="61" a="1"/>
  <c r="BB55" i="61" s="1"/>
  <c r="BB28" i="61" a="1"/>
  <c r="BB28" i="61" s="1"/>
  <c r="BB27" i="61" a="1"/>
  <c r="BB27" i="61" s="1"/>
  <c r="BB30" i="61" a="1"/>
  <c r="BB30" i="61" s="1"/>
  <c r="BC52" i="61" a="1"/>
  <c r="BC52" i="61" s="1"/>
  <c r="BC37" i="61" a="1"/>
  <c r="BC37" i="61" s="1"/>
  <c r="BC45" i="61" a="1"/>
  <c r="BC45" i="61" s="1"/>
  <c r="BC30" i="61" a="1"/>
  <c r="BC30" i="61" s="1"/>
  <c r="BC33" i="61" a="1"/>
  <c r="BC33" i="61" s="1"/>
  <c r="BC57" i="61" a="1"/>
  <c r="BC57" i="61" s="1"/>
  <c r="BC50" i="61" a="1"/>
  <c r="BC50" i="61" s="1"/>
  <c r="BC38" i="61" a="1"/>
  <c r="BC38" i="61" s="1"/>
  <c r="BC34" i="61" a="1"/>
  <c r="BC34" i="61" s="1"/>
  <c r="BC14" i="61" a="1"/>
  <c r="BC14" i="61" s="1"/>
  <c r="BC10" i="61" a="1"/>
  <c r="BC10" i="61" s="1"/>
  <c r="BC29" i="61" a="1"/>
  <c r="BC29" i="61" s="1"/>
  <c r="BC55" i="61" a="1"/>
  <c r="BC55" i="61" s="1"/>
  <c r="BC25" i="61" a="1"/>
  <c r="BC25" i="61" s="1"/>
  <c r="BC20" i="61" a="1"/>
  <c r="BC20" i="61" s="1"/>
  <c r="BC17" i="61" a="1"/>
  <c r="BC17" i="61" s="1"/>
  <c r="BC16" i="61" a="1"/>
  <c r="BC16" i="61" s="1"/>
  <c r="BC9" i="61" a="1"/>
  <c r="BC9" i="61" s="1"/>
  <c r="BC23" i="61" a="1"/>
  <c r="BC23" i="61" s="1"/>
  <c r="BC13" i="61" a="1"/>
  <c r="BC13" i="61" s="1"/>
  <c r="BC21" i="61" a="1"/>
  <c r="BC21" i="61" s="1"/>
  <c r="BC18" i="61" a="1"/>
  <c r="BC18" i="61" s="1"/>
  <c r="BC54" i="61" a="1"/>
  <c r="BC54" i="61" s="1"/>
  <c r="BC27" i="61" a="1"/>
  <c r="BC27" i="61" s="1"/>
  <c r="BC24" i="61" a="1"/>
  <c r="BC24" i="61" s="1"/>
  <c r="BC19" i="61" a="1"/>
  <c r="BC19" i="61" s="1"/>
  <c r="BC12" i="61" a="1"/>
  <c r="BC12" i="61" s="1"/>
  <c r="BC22" i="61" a="1"/>
  <c r="BC22" i="61" s="1"/>
  <c r="BC15" i="61" a="1"/>
  <c r="BC15" i="61" s="1"/>
  <c r="BC11" i="61" a="1"/>
  <c r="BC11" i="61" s="1"/>
  <c r="BC2" i="61"/>
  <c r="BC5" i="61" s="1"/>
  <c r="BC56" i="61" s="1" a="1"/>
  <c r="BC56" i="61" s="1"/>
  <c r="BD1" i="61"/>
  <c r="BD4" i="61" s="1"/>
  <c r="BC36" i="61" l="1" a="1"/>
  <c r="BC36" i="61" s="1"/>
  <c r="BC44" i="61" a="1"/>
  <c r="BC44" i="61" s="1"/>
  <c r="BC47" i="61" a="1"/>
  <c r="BC47" i="61" s="1"/>
  <c r="BC28" i="61" a="1"/>
  <c r="BC28" i="61" s="1"/>
  <c r="BC32" i="61" a="1"/>
  <c r="BC32" i="61" s="1"/>
  <c r="BC51" i="61" a="1"/>
  <c r="BC51" i="61" s="1"/>
  <c r="BC40" i="61" a="1"/>
  <c r="BC40" i="61" s="1"/>
  <c r="BC31" i="61" a="1"/>
  <c r="BC31" i="61" s="1"/>
  <c r="BC42" i="61" a="1"/>
  <c r="BC42" i="61" s="1"/>
  <c r="BC39" i="61" a="1"/>
  <c r="BC39" i="61" s="1"/>
  <c r="BC53" i="61" a="1"/>
  <c r="BC53" i="61" s="1"/>
  <c r="BC43" i="61" a="1"/>
  <c r="BC43" i="61" s="1"/>
  <c r="BC35" i="61" a="1"/>
  <c r="BC35" i="61" s="1"/>
  <c r="BC46" i="61" a="1"/>
  <c r="BC46" i="61" s="1"/>
  <c r="BC49" i="61" a="1"/>
  <c r="BC49" i="61" s="1"/>
  <c r="BC41" i="61" a="1"/>
  <c r="BC41" i="61" s="1"/>
  <c r="BC48" i="61" a="1"/>
  <c r="BC48" i="61" s="1"/>
  <c r="BC26" i="61" a="1"/>
  <c r="BC26" i="61" s="1"/>
  <c r="BD49" i="61" a="1"/>
  <c r="BD49" i="61" s="1"/>
  <c r="BD35" i="61" a="1"/>
  <c r="BD35" i="61" s="1"/>
  <c r="BD42" i="61" a="1"/>
  <c r="BD42" i="61" s="1"/>
  <c r="BD33" i="61" a="1"/>
  <c r="BD33" i="61" s="1"/>
  <c r="BD31" i="61" a="1"/>
  <c r="BD31" i="61" s="1"/>
  <c r="BD54" i="61" a="1"/>
  <c r="BD54" i="61" s="1"/>
  <c r="BD36" i="61" a="1"/>
  <c r="BD36" i="61" s="1"/>
  <c r="BD34" i="61" a="1"/>
  <c r="BD34" i="61" s="1"/>
  <c r="BD25" i="61" a="1"/>
  <c r="BD25" i="61" s="1"/>
  <c r="BD20" i="61" a="1"/>
  <c r="BD20" i="61" s="1"/>
  <c r="BD15" i="61" a="1"/>
  <c r="BD15" i="61" s="1"/>
  <c r="BD51" i="61" a="1"/>
  <c r="BD51" i="61" s="1"/>
  <c r="BD32" i="61" a="1"/>
  <c r="BD32" i="61" s="1"/>
  <c r="BD26" i="61" a="1"/>
  <c r="BD26" i="61" s="1"/>
  <c r="BD23" i="61" a="1"/>
  <c r="BD23" i="61" s="1"/>
  <c r="BD13" i="61" a="1"/>
  <c r="BD13" i="61" s="1"/>
  <c r="BD21" i="61" a="1"/>
  <c r="BD21" i="61" s="1"/>
  <c r="BD18" i="61" a="1"/>
  <c r="BD18" i="61" s="1"/>
  <c r="BD12" i="61" a="1"/>
  <c r="BD12" i="61" s="1"/>
  <c r="BD24" i="61" a="1"/>
  <c r="BD24" i="61" s="1"/>
  <c r="BD17" i="61" a="1"/>
  <c r="BD17" i="61" s="1"/>
  <c r="BD16" i="61" a="1"/>
  <c r="BD16" i="61" s="1"/>
  <c r="BD14" i="61" a="1"/>
  <c r="BD14" i="61" s="1"/>
  <c r="BD9" i="61" a="1"/>
  <c r="BD9" i="61" s="1"/>
  <c r="BD11" i="61" a="1"/>
  <c r="BD11" i="61" s="1"/>
  <c r="BD10" i="61" a="1"/>
  <c r="BD10" i="61" s="1"/>
  <c r="BD22" i="61" a="1"/>
  <c r="BD22" i="61" s="1"/>
  <c r="BD19" i="61" a="1"/>
  <c r="BD19" i="61" s="1"/>
  <c r="BD2" i="61"/>
  <c r="BD5" i="61" s="1"/>
  <c r="BD40" i="61" s="1" a="1"/>
  <c r="BD40" i="61" s="1"/>
  <c r="BE1" i="61"/>
  <c r="BE4" i="61" s="1"/>
  <c r="BD41" i="61" l="1" a="1"/>
  <c r="BD41" i="61" s="1"/>
  <c r="BD27" i="61" a="1"/>
  <c r="BD27" i="61" s="1"/>
  <c r="BD38" i="61" a="1"/>
  <c r="BD38" i="61" s="1"/>
  <c r="BD29" i="61" a="1"/>
  <c r="BD29" i="61" s="1"/>
  <c r="BD44" i="61" a="1"/>
  <c r="BD44" i="61" s="1"/>
  <c r="BD50" i="61" a="1"/>
  <c r="BD50" i="61" s="1"/>
  <c r="BD56" i="61" a="1"/>
  <c r="BD56" i="61" s="1"/>
  <c r="BD30" i="61" a="1"/>
  <c r="BD30" i="61" s="1"/>
  <c r="BD52" i="61" a="1"/>
  <c r="BD52" i="61" s="1"/>
  <c r="BD37" i="61" a="1"/>
  <c r="BD37" i="61" s="1"/>
  <c r="BD57" i="61" a="1"/>
  <c r="BD57" i="61" s="1"/>
  <c r="BD28" i="61" a="1"/>
  <c r="BD28" i="61" s="1"/>
  <c r="BD55" i="61" a="1"/>
  <c r="BD55" i="61" s="1"/>
  <c r="BD53" i="61" a="1"/>
  <c r="BD53" i="61" s="1"/>
  <c r="BD46" i="61" a="1"/>
  <c r="BD46" i="61" s="1"/>
  <c r="BD39" i="61" a="1"/>
  <c r="BD39" i="61" s="1"/>
  <c r="BD43" i="61" a="1"/>
  <c r="BD43" i="61" s="1"/>
  <c r="BD48" i="61" a="1"/>
  <c r="BD48" i="61" s="1"/>
  <c r="BD45" i="61" a="1"/>
  <c r="BD45" i="61" s="1"/>
  <c r="BD47" i="61" a="1"/>
  <c r="BD47" i="61" s="1"/>
  <c r="BE35" i="61" a="1"/>
  <c r="BE35" i="61" s="1"/>
  <c r="BE33" i="61" a="1"/>
  <c r="BE33" i="61" s="1"/>
  <c r="BE43" i="61" a="1"/>
  <c r="BE43" i="61" s="1"/>
  <c r="BE25" i="61" a="1"/>
  <c r="BE25" i="61" s="1"/>
  <c r="BE15" i="61" a="1"/>
  <c r="BE15" i="61" s="1"/>
  <c r="BE9" i="61" a="1"/>
  <c r="BE9" i="61" s="1"/>
  <c r="BE13" i="61" a="1"/>
  <c r="BE13" i="61" s="1"/>
  <c r="BE17" i="61" a="1"/>
  <c r="BE17" i="61" s="1"/>
  <c r="BE16" i="61" a="1"/>
  <c r="BE16" i="61" s="1"/>
  <c r="BE23" i="61" a="1"/>
  <c r="BE23" i="61" s="1"/>
  <c r="BE21" i="61" a="1"/>
  <c r="BE21" i="61" s="1"/>
  <c r="BE18" i="61" a="1"/>
  <c r="BE18" i="61" s="1"/>
  <c r="BE12" i="61" a="1"/>
  <c r="BE12" i="61" s="1"/>
  <c r="BE24" i="61" a="1"/>
  <c r="BE24" i="61" s="1"/>
  <c r="BE19" i="61" a="1"/>
  <c r="BE19" i="61" s="1"/>
  <c r="BE22" i="61" a="1"/>
  <c r="BE22" i="61" s="1"/>
  <c r="BE11" i="61" a="1"/>
  <c r="BE11" i="61" s="1"/>
  <c r="BE20" i="61" a="1"/>
  <c r="BE20" i="61" s="1"/>
  <c r="BE34" i="61" a="1"/>
  <c r="BE34" i="61" s="1"/>
  <c r="BE10" i="61" a="1"/>
  <c r="BE10" i="61" s="1"/>
  <c r="BE14" i="61" a="1"/>
  <c r="BE14" i="61" s="1"/>
  <c r="BE2" i="61"/>
  <c r="BE5" i="61" s="1"/>
  <c r="BE42" i="61" s="1" a="1"/>
  <c r="BE42" i="61" s="1"/>
  <c r="BF1" i="61"/>
  <c r="BF4" i="61" s="1"/>
  <c r="BE41" i="61" l="1" a="1"/>
  <c r="BE41" i="61" s="1"/>
  <c r="BE32" i="61" a="1"/>
  <c r="BE32" i="61" s="1"/>
  <c r="BE26" i="61" a="1"/>
  <c r="BE26" i="61" s="1"/>
  <c r="BE56" i="61" a="1"/>
  <c r="BE56" i="61" s="1"/>
  <c r="BE48" i="61" a="1"/>
  <c r="BE48" i="61" s="1"/>
  <c r="BE57" i="61" a="1"/>
  <c r="BE57" i="61" s="1"/>
  <c r="BE45" i="61" a="1"/>
  <c r="BE45" i="61" s="1"/>
  <c r="BE49" i="61" a="1"/>
  <c r="BE49" i="61" s="1"/>
  <c r="BE38" i="61" a="1"/>
  <c r="BE38" i="61" s="1"/>
  <c r="BE53" i="61" a="1"/>
  <c r="BE53" i="61" s="1"/>
  <c r="BE55" i="61" a="1"/>
  <c r="BE55" i="61" s="1"/>
  <c r="BE47" i="61" a="1"/>
  <c r="BE47" i="61" s="1"/>
  <c r="BE51" i="61" a="1"/>
  <c r="BE51" i="61" s="1"/>
  <c r="BE28" i="61" a="1"/>
  <c r="BE28" i="61" s="1"/>
  <c r="BE50" i="61" a="1"/>
  <c r="BE50" i="61" s="1"/>
  <c r="BE30" i="61" a="1"/>
  <c r="BE30" i="61" s="1"/>
  <c r="BE36" i="61" a="1"/>
  <c r="BE36" i="61" s="1"/>
  <c r="BE39" i="61" a="1"/>
  <c r="BE39" i="61" s="1"/>
  <c r="BE37" i="61" a="1"/>
  <c r="BE37" i="61" s="1"/>
  <c r="BE54" i="61" a="1"/>
  <c r="BE54" i="61" s="1"/>
  <c r="BE40" i="61" a="1"/>
  <c r="BE40" i="61" s="1"/>
  <c r="BE46" i="61" a="1"/>
  <c r="BE46" i="61" s="1"/>
  <c r="BE52" i="61" a="1"/>
  <c r="BE52" i="61" s="1"/>
  <c r="BE44" i="61" a="1"/>
  <c r="BE44" i="61" s="1"/>
  <c r="BE29" i="61" a="1"/>
  <c r="BE29" i="61" s="1"/>
  <c r="BE27" i="61" a="1"/>
  <c r="BE27" i="61" s="1"/>
  <c r="BE31" i="61" a="1"/>
  <c r="BE31" i="61" s="1"/>
  <c r="BF56" i="61" a="1"/>
  <c r="BF56" i="61" s="1"/>
  <c r="BF49" i="61" a="1"/>
  <c r="BF49"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46" i="61" a="1"/>
  <c r="BF46" i="61" s="1"/>
  <c r="BF43" i="61" a="1"/>
  <c r="BF43" i="61" s="1"/>
  <c r="BF31" i="61" a="1"/>
  <c r="BF31" i="61" s="1"/>
  <c r="BF54" i="61" a="1"/>
  <c r="BF54" i="61" s="1"/>
  <c r="BF36" i="61" a="1"/>
  <c r="BF36" i="61" s="1"/>
  <c r="BF51" i="61" a="1"/>
  <c r="BF51" i="61" s="1"/>
  <c r="BF29" i="61" a="1"/>
  <c r="BF29" i="61" s="1"/>
  <c r="BF47" i="61" a="1"/>
  <c r="BF47" i="61" s="1"/>
  <c r="BF34" i="61" a="1"/>
  <c r="BF34" i="61" s="1"/>
  <c r="BF52" i="61" a="1"/>
  <c r="BF52" i="61" s="1"/>
  <c r="BF48" i="61" a="1"/>
  <c r="BF48" i="61" s="1"/>
  <c r="BF32" i="61" a="1"/>
  <c r="BF32" i="61" s="1"/>
  <c r="BF41" i="61" a="1"/>
  <c r="BF41" i="61" s="1"/>
  <c r="BF37" i="61" a="1"/>
  <c r="BF37" i="61" s="1"/>
  <c r="BF25" i="61" a="1"/>
  <c r="BF25" i="61" s="1"/>
  <c r="BF17" i="61" a="1"/>
  <c r="BF17" i="61" s="1"/>
  <c r="BF16" i="61" a="1"/>
  <c r="BF16" i="61" s="1"/>
  <c r="BF13" i="61" a="1"/>
  <c r="BF13" i="61" s="1"/>
  <c r="BF55" i="61" a="1"/>
  <c r="BF55" i="61" s="1"/>
  <c r="BF23" i="61" a="1"/>
  <c r="BF23" i="61" s="1"/>
  <c r="BF35" i="61" a="1"/>
  <c r="BF35" i="61" s="1"/>
  <c r="BF26" i="61" a="1"/>
  <c r="BF26" i="61" s="1"/>
  <c r="BF45" i="61" a="1"/>
  <c r="BF45" i="61" s="1"/>
  <c r="BF21" i="61" a="1"/>
  <c r="BF21" i="61" s="1"/>
  <c r="BF18" i="61" a="1"/>
  <c r="BF18" i="61" s="1"/>
  <c r="BF12" i="61" a="1"/>
  <c r="BF12" i="61" s="1"/>
  <c r="BF24" i="61" a="1"/>
  <c r="BF24" i="61" s="1"/>
  <c r="BF19" i="61" a="1"/>
  <c r="BF19" i="61" s="1"/>
  <c r="BF11" i="61" a="1"/>
  <c r="BF11" i="61" s="1"/>
  <c r="BF27" i="61" a="1"/>
  <c r="BF27" i="61" s="1"/>
  <c r="BF22" i="61" a="1"/>
  <c r="BF22" i="61" s="1"/>
  <c r="BF44" i="61" a="1"/>
  <c r="BF44" i="61" s="1"/>
  <c r="BF14" i="61" a="1"/>
  <c r="BF14" i="61" s="1"/>
  <c r="BF15" i="61" a="1"/>
  <c r="BF15" i="61" s="1"/>
  <c r="BF9" i="61" a="1"/>
  <c r="BF9" i="61" s="1"/>
  <c r="BF20" i="61" a="1"/>
  <c r="BF20" i="61" s="1"/>
  <c r="BF10" i="61" a="1"/>
  <c r="BF10" i="61" s="1"/>
  <c r="BF30" i="61" a="1"/>
  <c r="BF30" i="61" s="1"/>
  <c r="BF2" i="61"/>
  <c r="BF5" i="61" s="1"/>
  <c r="Z3" i="61"/>
  <c r="X7" i="61" l="1"/>
  <c r="BW9" i="61" s="1"/>
  <c r="X6" i="61"/>
  <c r="BT9" i="61" s="1"/>
  <c r="CD9" i="61" l="1"/>
  <c r="BX9" i="61"/>
  <c r="BY9" i="61" s="1" a="1"/>
  <c r="BY9" i="61" s="1"/>
  <c r="CC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<sst xmlns="http://schemas.openxmlformats.org/spreadsheetml/2006/main" count="149" uniqueCount="109">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</sst>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7">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cellXfs>
  <cellStyles count="3">
    <cellStyle name="Comma" xfId="1" builtinId="3"/>
    <cellStyle name="Normal" xfId="0" builtinId="0"/>
    <cellStyle name="Percent" xfId="2" builtinId="5"/>
  </cellStyles>
  <dxfs count="72">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1"/>
      <tableStyleElement type="headerRow" dxfId="70"/>
    </tableStyle>
    <tableStyle name="SlicerStyleLight1 2 2" pivot="0" table="0" count="10" xr9:uid="{9DB8D611-4D15-4128-AF8D-E3329BCC5BCE}">
      <tableStyleElement type="wholeTable" dxfId="69"/>
      <tableStyleElement type="headerRow" dxfId="68"/>
    </tableStyle>
    <tableStyle name="TimeSlicerStyleLight1 2" pivot="0" table="0" count="9" xr9:uid="{58382D9D-B456-41C4-B229-09D2A872184E}">
      <tableStyleElement type="wholeTable" dxfId="67"/>
      <tableStyleElement type="headerRow" dxfId="6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22860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22860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04775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38100</xdr:colOff>
          <xdr:row>4</xdr:row>
          <xdr:rowOff>152400</xdr:rowOff>
        </xdr:from>
        <xdr:to>
          <xdr:col>63</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4</xdr:row>
          <xdr:rowOff>133350</xdr:rowOff>
        </xdr:from>
        <xdr:to>
          <xdr:col>60</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18945225"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1" dataDxfId="60">
  <autoFilter ref="E4:H9" xr:uid="{550F5245-E1EE-48BB-BA97-D53103E2B2FC}"/>
  <tableColumns count="4">
    <tableColumn id="1" xr3:uid="{62F57CB7-BD30-4CE3-AD5A-9EF6C021EAA8}" name="Giá trị" dataDxfId="59"/>
    <tableColumn id="2" xr3:uid="{801C3C2D-2DDD-4915-AC1A-DCD2A6F5566F}" name="BHXH" dataDxfId="58"/>
    <tableColumn id="3" xr3:uid="{59E7F34B-C57D-4E9B-9404-7B7D4142484B}" name="BHYT" dataDxfId="57"/>
    <tableColumn id="4" xr3:uid="{457FBBE8-3A9F-42FF-BDBA-AF1891425452}" name="BHTN" dataDxfId="5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5" dataDxfId="54">
  <autoFilter ref="B4:C8" xr:uid="{B138438F-4B40-44C6-8281-F50AC510196F}"/>
  <tableColumns count="2">
    <tableColumn id="1" xr3:uid="{292AA1A7-C753-482E-94E9-088666BFB0BF}" name="Vùng" dataDxfId="53"/>
    <tableColumn id="2" xr3:uid="{F3B5F18E-1A2D-431F-9B40-2E7779B7ABA8}" name="Lương tối thiểu" dataDxfId="52"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1" dataDxfId="50">
  <autoFilter ref="O4:T11" xr:uid="{078AA6C2-B37A-44C8-9A66-799E81312864}"/>
  <tableColumns count="6">
    <tableColumn id="3" xr3:uid="{F5508474-EC5D-439A-8E93-CDD6AB2B131F}" name="Thuế suất" dataDxfId="49"/>
    <tableColumn id="1" xr3:uid="{CA2D4145-A7E0-4FFF-8284-433A4132CF97}" name="Thu nhập tối thiểu" dataDxfId="48"/>
    <tableColumn id="2" xr3:uid="{A6D996EA-5AE9-433A-91F2-46B352BEEA31}" name="Thu nhập tối đa" dataDxfId="47"/>
    <tableColumn id="4" xr3:uid="{3EFB4C5C-8B20-467E-A5AA-DBFF74729D36}" name="Thuế tối đa" dataDxfId="4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4"/>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3" dataDxfId="42">
  <autoFilter ref="J4:M13" xr:uid="{1B309752-0D63-4923-9376-1BD4C4E71FD9}"/>
  <tableColumns count="4">
    <tableColumn id="1" xr3:uid="{76ABAB96-134A-4B93-A7C2-97BD4320930C}" name="Ngày" dataDxfId="41"/>
    <tableColumn id="2" xr3:uid="{91F3741B-8C80-45EB-8295-286C033070FC}" name="Giờ min" dataDxfId="40"/>
    <tableColumn id="3" xr3:uid="{AEE0EA62-A316-445B-862E-FFF5B2C4B89E}" name="Giờ max" dataDxfId="39"/>
    <tableColumn id="4" xr3:uid="{437B4F63-EC96-4774-89E5-C76DD82E5D5A}" name="Tỷ lệ" dataDxfId="3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7" dataDxfId="36">
  <autoFilter ref="V8:Z11" xr:uid="{4D4ED97C-84DF-4E9E-B6CD-EA405CFD15E8}"/>
  <tableColumns count="5">
    <tableColumn id="1" xr3:uid="{06930772-A5E6-4FEA-8CAF-FE3FD3978895}" name="Ca" dataDxfId="35"/>
    <tableColumn id="2" xr3:uid="{753A739A-0E94-45D1-B3C8-EB2EDABEA806}" name="Bắt đầu" dataDxfId="34"/>
    <tableColumn id="3" xr3:uid="{A837C844-A844-4A2E-8FF0-7675770C0856}" name="Kết thúc" dataDxfId="33"/>
    <tableColumn id="4" xr3:uid="{BEB9C2FA-DC05-4867-95F3-10ACCF9B98CC}" name="Bắt đầu nghỉ" dataDxfId="32"/>
    <tableColumn id="5" xr3:uid="{630AB563-C317-4C5E-B4AF-C417FEE7FA7F}" name="Kết thúc nghỉ" dataDxfId="31"/>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H8:BL12" totalsRowShown="0" headerRowDxfId="30" dataDxfId="29">
  <autoFilter ref="BH8:BL12" xr:uid="{C03752B9-6441-44CC-9F83-B8ADA8647E1D}"/>
  <tableColumns count="5">
    <tableColumn id="1" xr3:uid="{0D3E401B-B875-45CB-BEBE-89FD7B825B13}" name="Loại" dataDxfId="28"/>
    <tableColumn id="2" xr3:uid="{8D0AAFE9-FD63-4F86-9B4D-E77AD4DDF4B8}" name="Mã Nhân viên" dataDxfId="27"/>
    <tableColumn id="3" xr3:uid="{F930BECB-6125-493C-922B-048549C0882C}" name="Thời điểm" dataDxfId="26"/>
    <tableColumn id="4" xr3:uid="{36B04F39-A935-4B83-B2DC-05AE3893B680}" name="Ngày" dataDxfId="25">
      <calculatedColumnFormula>INT(Table_ChiPhiNV_ChamCong[[#This Row],[Thời điểm]])</calculatedColumnFormula>
    </tableColumn>
    <tableColumn id="5" xr3:uid="{3D1FC5E7-A715-479D-BAF5-DEFA48B735AA}" name="Giờ" dataDxfId="24">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X15" totalsRowShown="0" headerRowDxfId="23" dataDxfId="22">
  <autoFilter ref="V14:X15" xr:uid="{D36C50C2-9F50-44F9-851E-AF3CE876FBFE}"/>
  <tableColumns count="3">
    <tableColumn id="1" xr3:uid="{4A3FCD0C-E17B-4120-9BE4-7374A2C75088}" name="Mã NV" dataDxfId="21"/>
    <tableColumn id="7" xr3:uid="{8B9A2DC1-6892-4BE3-8A30-44D5EB94ABC1}" name="Lương gross" dataDxfId="20" dataCellStyle="Comma"/>
    <tableColumn id="12" xr3:uid="{E89F53C3-90D6-460E-8E47-F1E06E1BC555}" name="Phụ thuộc" dataDxfId="19" dataCellStyle="Comma"/>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N8:CD9" totalsRowShown="0" headerRowDxfId="18" dataDxfId="17">
  <autoFilter ref="BN8:CD9" xr:uid="{294AD96D-0920-41EA-B450-443D36503C0F}"/>
  <tableColumns count="17">
    <tableColumn id="4" xr3:uid="{E21D6851-EFFE-4BD5-A67A-650AEF0F3499}" name="Kỳ" dataDxfId="16">
      <calculatedColumnFormula>IFERROR(
IF(ISBLANK(BP9),
DATE(BO9,12,1),
DATE(BO9,BP9,1)),0)</calculatedColumnFormula>
    </tableColumn>
    <tableColumn id="3" xr3:uid="{B7B57384-659E-4D19-BF64-F183B8616345}" name="Năm" dataDxfId="15"/>
    <tableColumn id="10" xr3:uid="{EBBF7EAF-37D3-4CAE-8B21-0F2C1D936CAA}" name="Tháng" dataDxfId="14"/>
    <tableColumn id="6" xr3:uid="{883A56C4-ABE3-4EA9-B271-FCF4C1EB2798}" name="Nhân viên" dataDxfId="13"/>
    <tableColumn id="29" xr3:uid="{7A67EBDD-67E8-4B0C-BE6D-713068461E5A}" name="Phụ thuộc" dataDxfId="12" dataCellStyle="Comma">
      <calculatedColumnFormula xml:space="preserve">
IFERROR(
VLOOKUP(BQ9,Table_NhanVien[],COUNTA(Table_NhanVien[#Headers]),0),0)</calculatedColumnFormula>
    </tableColumn>
    <tableColumn id="5" xr3:uid="{66C17047-5F6E-4666-AEBB-B34FD6C909B8}" name="Lương hợp đồng" dataDxfId="11" dataCellStyle="Comma">
      <calculatedColumnFormula xml:space="preserve">
IFERROR(
VLOOKUP(BQ9,Table_NhanVien[],COUNTA(Table_NhanVien[[#Headers],[Mã NV]:[Lương gross]]),0),0)</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IF(ISBLANK(BP9),0,
+BT9+BU9-Table_ChiPhiNV[[#This Row],[Miễn thuế tăng ca]]-ChiPhiNV_GiamTruBanThan-ChiPhiNV_GiamTruPhuThuoc*BR9)</calculatedColumnFormula>
    </tableColumn>
    <tableColumn id="14" xr3:uid="{F490DC5D-E949-4E78-BD3E-8D3A7D1B4F2A}" name="Thuế TNCN" dataDxfId="5" dataCellStyle="Comma">
      <calculatedColumnFormula array="1"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calculatedColumnFormula>
    </tableColumn>
    <tableColumn id="16" xr3:uid="{58C9362E-8BCE-4C96-9B91-18880BB5ABFC}" name="Chi phí bảo hiểm" dataDxfId="4" dataCellStyle="Comma">
      <calculatedColumnFormula>IF(ISBLANK(BP9),0,
IF(
BS9 &lt;BHXH_LuongMax,
BS9 * BHXH_TyLeDN,
BHXH_LuongMax * BHXH_TyLeDN
)
+IF(
BS9 &lt; BHYT_LuongMax,
BS9 * BHYT_TyLeDN,
BHYT_LuongMax * BHYT_TyLeDN
)
+IF(BS9 &lt;BHTN_LuongMax,
BS9 * BHTN_TyLeDN,
BHTN_LuongMax * BHTN_TyLeDN
)
)</calculatedColumnFormula>
    </tableColumn>
    <tableColumn id="19" xr3:uid="{EDB56C31-7C6C-4F84-88BF-4DE03FF89940}" name="Bảo hiểm nộp hộ" dataDxfId="3" dataCellStyle="Comma">
      <calculatedColumnFormula>IF(ISBLANK(BP9),0,
IF(
BS9 &lt; BHXH_LuongMax,
BS9 * BHXH_TyLeNV,
BHXH_LuongMax *BHXH_TyLeNV
)
+IF(
BS9 &lt; BHYT_LuongMax,
BS9 * BHYT_TyLeNV,
BHYT_LuongMax * BHYT_TyLeNV
)
+IF(
BS9 &lt; BHTN_LuongMax,
BS9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IF(ISBLANK(BP9),0,
IF(BT9+BU9+BV9-BY9&lt;0,0,
BT9+BU9+BV9-BY9))</calculatedColumnFormula>
    </tableColumn>
    <tableColumn id="9" xr3:uid="{BBEECC58-D2D0-4267-A2F0-4240BF383B1E}" name="Tổng chi phí" dataDxfId="0" dataCellStyle="Comma">
      <calculatedColumnFormula xml:space="preserve">
IF(ISBLANK(BP9),BT9,BT9+BU9+BZ9)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table" Target="../tables/table2.xml"/><Relationship Id="rId3" Type="http://schemas.openxmlformats.org/officeDocument/2006/relationships/ctrlProp" Target="../ctrlProps/ctrlProp1.xml"/><Relationship Id="rId21" Type="http://schemas.openxmlformats.org/officeDocument/2006/relationships/table" Target="../tables/table5.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table" Target="../tables/table1.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table" Target="../tables/table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table" Target="../tables/table7.xml"/><Relationship Id="rId10" Type="http://schemas.openxmlformats.org/officeDocument/2006/relationships/ctrlProp" Target="../ctrlProps/ctrlProp8.xml"/><Relationship Id="rId19"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103</v>
      </c>
      <c r="C2" s="22" t="s">
        <v>104</v>
      </c>
      <c r="D2" s="36">
        <v>45785</v>
      </c>
      <c r="E2" s="36">
        <v>46150</v>
      </c>
      <c r="F2" s="48">
        <v>365</v>
      </c>
      <c r="G2" s="22" t="s">
        <v>94</v>
      </c>
      <c r="H2" s="48"/>
      <c r="I2" s="48"/>
      <c r="J2" s="48"/>
      <c r="K2" s="48"/>
      <c r="L2" s="48"/>
      <c r="M2" s="48"/>
      <c r="N2" s="48"/>
      <c r="O2" s="48"/>
      <c r="P2" s="48"/>
      <c r="Q2" s="48"/>
      <c r="R2" s="48"/>
      <c r="S2" s="48"/>
      <c r="T2" s="48"/>
      <c r="U2" s="48"/>
      <c r="V2" s="48"/>
      <c r="W2" s="48"/>
      <c r="X2" s="48"/>
      <c r="Y2" s="48"/>
      <c r="Z2" s="48" t="s">
        <v>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26" bestFit="1" customWidth="1"/>
    <col min="2" max="16384" width="9" style="26"/>
  </cols>
  <sheetData>
    <row r="2" spans="1:2" x14ac:dyDescent="0.3">
      <c r="A2" s="26" t="s">
        <v>108</v>
      </c>
    </row>
    <row r="4" spans="1:2" ht="37.5" x14ac:dyDescent="0.3">
      <c r="A4" s="29" t="s">
        <v>4</v>
      </c>
      <c r="B4" s="29" t="s">
        <v>5</v>
      </c>
    </row>
    <row r="5" spans="1:2" ht="17.25" x14ac:dyDescent="0.3">
      <c r="A5" s="43"/>
      <c r="B5" s="37" t="s">
        <v>95</v>
      </c>
    </row>
    <row r="6" spans="1:2" ht="17.25" x14ac:dyDescent="0.3">
      <c r="A6" s="43"/>
      <c r="B6" s="37" t="s">
        <v>85</v>
      </c>
    </row>
    <row r="7" spans="1:2" ht="17.25" x14ac:dyDescent="0.3">
      <c r="A7" s="43"/>
      <c r="B7" s="37" t="s">
        <v>96</v>
      </c>
    </row>
    <row r="8" spans="1:2" ht="17.25" x14ac:dyDescent="0.3">
      <c r="A8" s="43"/>
      <c r="B8" s="37" t="s">
        <v>97</v>
      </c>
    </row>
    <row r="9" spans="1:2" ht="17.25" x14ac:dyDescent="0.3">
      <c r="A9" s="43"/>
      <c r="B9" s="38" t="s">
        <v>98</v>
      </c>
    </row>
    <row r="10" spans="1:2" x14ac:dyDescent="0.3">
      <c r="A10" s="43"/>
      <c r="B10" s="43"/>
    </row>
    <row r="11" spans="1:2" ht="37.5" x14ac:dyDescent="0.3">
      <c r="A11" s="29" t="s">
        <v>11</v>
      </c>
      <c r="B11" s="29" t="s">
        <v>12</v>
      </c>
    </row>
    <row r="12" spans="1:2" x14ac:dyDescent="0.3">
      <c r="A12" s="30" t="s">
        <v>13</v>
      </c>
      <c r="B12" s="26" t="s">
        <v>103</v>
      </c>
    </row>
    <row r="13" spans="1:2" x14ac:dyDescent="0.3">
      <c r="A13" s="30" t="s">
        <v>14</v>
      </c>
      <c r="B13" s="26" t="s">
        <v>104</v>
      </c>
    </row>
    <row r="14" spans="1:2" ht="17.25" x14ac:dyDescent="0.3">
      <c r="A14" s="43"/>
      <c r="B14" s="27" t="s">
        <v>6</v>
      </c>
    </row>
    <row r="15" spans="1:2" ht="17.25" x14ac:dyDescent="0.3">
      <c r="A15" s="43"/>
      <c r="B15" s="27" t="s">
        <v>7</v>
      </c>
    </row>
    <row r="16" spans="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A1:CD57"/>
  <sheetViews>
    <sheetView showGridLines="0" workbookViewId="0">
      <selection activeCell="Y27" sqref="Y27"/>
    </sheetView>
  </sheetViews>
  <sheetFormatPr defaultRowHeight="18" customHeight="1" outlineLevelRow="1" outlineLevelCol="2" x14ac:dyDescent="0.3"/>
  <cols>
    <col min="1" max="1" width="1.25" style="1" customWidth="1" collapsed="1"/>
    <col min="2" max="2" width="8.5" style="1" hidden="1" customWidth="1" outlineLevel="1"/>
    <col min="3" max="3" width="11.75" style="1" hidden="1" customWidth="1" outlineLevel="1"/>
    <col min="4" max="4" width="1.625" style="1" hidden="1" customWidth="1" outlineLevel="1"/>
    <col min="5" max="5" width="11.75" style="1" hidden="1" customWidth="1" outlineLevel="1"/>
    <col min="6" max="6" width="8.625" style="1" hidden="1" customWidth="1" outlineLevel="1"/>
    <col min="7" max="7" width="8.5" style="1" hidden="1" customWidth="1" outlineLevel="1"/>
    <col min="8" max="8" width="8.75" style="1" hidden="1" customWidth="1" outlineLevel="1"/>
    <col min="9" max="9" width="1.625" style="1" hidden="1" customWidth="1" outlineLevel="1"/>
    <col min="10" max="10" width="9.5" style="1" hidden="1" customWidth="1" outlineLevel="1"/>
    <col min="11" max="11" width="10.125" style="1" hidden="1" customWidth="1" outlineLevel="1"/>
    <col min="12" max="12" width="10.375" style="1" hidden="1" customWidth="1" outlineLevel="1"/>
    <col min="13" max="13" width="8.25" style="1" hidden="1" customWidth="1" outlineLevel="1"/>
    <col min="14" max="14" width="1.625" style="1" hidden="1" customWidth="1" outlineLevel="1"/>
    <col min="15" max="17" width="11.75" style="1" hidden="1" customWidth="1" outlineLevel="1"/>
    <col min="18" max="18" width="12.75" style="1" hidden="1" customWidth="1" outlineLevel="2"/>
    <col min="19" max="19" width="13" style="1" hidden="1" customWidth="1" outlineLevel="2"/>
    <col min="20" max="20" width="6.75" style="1" hidden="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 style="1" customWidth="1"/>
    <col min="28" max="58" width="5.125" style="1" customWidth="1" outlineLevel="1"/>
    <col min="59" max="59" width="1.25" style="1" customWidth="1"/>
    <col min="60" max="60" width="9" style="1"/>
    <col min="61" max="61" width="12.25" style="1" customWidth="1"/>
    <col min="62" max="62" width="9.625" style="1" customWidth="1"/>
    <col min="63" max="64" width="9" style="1"/>
    <col min="65" max="65" width="1.25" style="1" customWidth="1"/>
    <col min="66" max="68" width="9" style="1"/>
    <col min="69" max="69" width="9" style="1" collapsed="1"/>
    <col min="70" max="70" width="9.875" style="1" hidden="1" customWidth="1" outlineLevel="1"/>
    <col min="71" max="71" width="14.25" style="1" hidden="1" customWidth="1" outlineLevel="1"/>
    <col min="72" max="72" width="12.5" style="1" bestFit="1" customWidth="1"/>
    <col min="73" max="73" width="20.25" style="1" bestFit="1" customWidth="1"/>
    <col min="74" max="74" width="21.375" style="1" bestFit="1" customWidth="1"/>
    <col min="75" max="75" width="15.5" style="1" bestFit="1" customWidth="1" collapsed="1"/>
    <col min="76" max="76" width="16.5" style="1" hidden="1" customWidth="1" outlineLevel="1"/>
    <col min="77" max="77" width="11" style="1" bestFit="1" customWidth="1" collapsed="1"/>
    <col min="78" max="79" width="14.625" style="1" hidden="1" customWidth="1" outlineLevel="1"/>
    <col min="80" max="80" width="19.25" style="1" bestFit="1" customWidth="1"/>
    <col min="81" max="81" width="14" style="1" bestFit="1" customWidth="1"/>
    <col min="82" max="82" width="11.5" style="1" bestFit="1" customWidth="1"/>
    <col min="83" max="16384" width="9" style="1"/>
  </cols>
  <sheetData>
    <row r="1" spans="2:82" ht="18" customHeight="1" x14ac:dyDescent="0.3">
      <c r="W1" s="2" t="s">
        <v>18</v>
      </c>
      <c r="X1" s="6" t="s">
        <v>90</v>
      </c>
      <c r="Y1" s="8" t="s">
        <v>24</v>
      </c>
      <c r="Z1" s="9" t="s">
        <v>25</v>
      </c>
      <c r="AA1" s="3" t="s">
        <v>0</v>
      </c>
      <c r="AB1" s="17">
        <v>1</v>
      </c>
      <c r="AC1" s="17">
        <f t="shared" ref="AC1:BF1" si="0" xml:space="preserve">
IF(AB1="","",
IF(MONTH(DATE(BangLuong_Nam,BangLuong_Thang,
AB1+1)) = BangLuong_Thang,
AB1+1,
""))</f>
        <v>2</v>
      </c>
      <c r="AD1" s="17">
        <f t="shared" si="0"/>
        <v>3</v>
      </c>
      <c r="AE1" s="17">
        <f t="shared" si="0"/>
        <v>4</v>
      </c>
      <c r="AF1" s="17">
        <f t="shared" si="0"/>
        <v>5</v>
      </c>
      <c r="AG1" s="17">
        <f t="shared" si="0"/>
        <v>6</v>
      </c>
      <c r="AH1" s="17">
        <f t="shared" si="0"/>
        <v>7</v>
      </c>
      <c r="AI1" s="17">
        <f t="shared" si="0"/>
        <v>8</v>
      </c>
      <c r="AJ1" s="17">
        <f t="shared" si="0"/>
        <v>9</v>
      </c>
      <c r="AK1" s="17">
        <f t="shared" si="0"/>
        <v>10</v>
      </c>
      <c r="AL1" s="17">
        <f t="shared" si="0"/>
        <v>11</v>
      </c>
      <c r="AM1" s="17">
        <f t="shared" si="0"/>
        <v>12</v>
      </c>
      <c r="AN1" s="17">
        <f t="shared" si="0"/>
        <v>13</v>
      </c>
      <c r="AO1" s="17">
        <f t="shared" si="0"/>
        <v>14</v>
      </c>
      <c r="AP1" s="17">
        <f t="shared" si="0"/>
        <v>15</v>
      </c>
      <c r="AQ1" s="17">
        <f t="shared" si="0"/>
        <v>16</v>
      </c>
      <c r="AR1" s="17">
        <f t="shared" si="0"/>
        <v>17</v>
      </c>
      <c r="AS1" s="17">
        <f t="shared" si="0"/>
        <v>18</v>
      </c>
      <c r="AT1" s="17">
        <f t="shared" si="0"/>
        <v>19</v>
      </c>
      <c r="AU1" s="17">
        <f t="shared" si="0"/>
        <v>20</v>
      </c>
      <c r="AV1" s="17">
        <f t="shared" si="0"/>
        <v>21</v>
      </c>
      <c r="AW1" s="17">
        <f t="shared" si="0"/>
        <v>22</v>
      </c>
      <c r="AX1" s="17">
        <f t="shared" si="0"/>
        <v>23</v>
      </c>
      <c r="AY1" s="17">
        <f t="shared" si="0"/>
        <v>24</v>
      </c>
      <c r="AZ1" s="17">
        <f t="shared" si="0"/>
        <v>25</v>
      </c>
      <c r="BA1" s="17">
        <f t="shared" si="0"/>
        <v>26</v>
      </c>
      <c r="BB1" s="17">
        <f t="shared" si="0"/>
        <v>27</v>
      </c>
      <c r="BC1" s="17">
        <f t="shared" si="0"/>
        <v>28</v>
      </c>
      <c r="BD1" s="17">
        <f t="shared" si="0"/>
        <v>29</v>
      </c>
      <c r="BE1" s="17">
        <f t="shared" si="0"/>
        <v>30</v>
      </c>
      <c r="BF1" s="17">
        <f t="shared" si="0"/>
        <v>31</v>
      </c>
    </row>
    <row r="2" spans="2:82" ht="18" customHeight="1" x14ac:dyDescent="0.3">
      <c r="W2" s="2" t="s">
        <v>1</v>
      </c>
      <c r="X2" s="7">
        <v>5</v>
      </c>
      <c r="Y2" s="2" t="s">
        <v>2</v>
      </c>
      <c r="Z2" s="7">
        <v>2025</v>
      </c>
      <c r="AA2" s="3" t="s">
        <v>26</v>
      </c>
      <c r="AB2" s="17">
        <f t="shared" ref="AB2:BF2" si="1" xml:space="preserve">
IF(AB1="","",
IF(WEEKDAY(DATE(BangLuong_Nam,BangLuong_Thang,AB1))=1,
"CN",WEEKDAY(DATE(BangLuong_Nam,BangLuong_Thang,AB1))))</f>
        <v>5</v>
      </c>
      <c r="AC2" s="17">
        <f t="shared" si="1"/>
        <v>6</v>
      </c>
      <c r="AD2" s="17">
        <f t="shared" si="1"/>
        <v>7</v>
      </c>
      <c r="AE2" s="17" t="str">
        <f t="shared" si="1"/>
        <v>CN</v>
      </c>
      <c r="AF2" s="17">
        <f t="shared" si="1"/>
        <v>2</v>
      </c>
      <c r="AG2" s="17">
        <f t="shared" si="1"/>
        <v>3</v>
      </c>
      <c r="AH2" s="17">
        <f t="shared" si="1"/>
        <v>4</v>
      </c>
      <c r="AI2" s="17">
        <f t="shared" si="1"/>
        <v>5</v>
      </c>
      <c r="AJ2" s="17">
        <f t="shared" si="1"/>
        <v>6</v>
      </c>
      <c r="AK2" s="17">
        <f t="shared" si="1"/>
        <v>7</v>
      </c>
      <c r="AL2" s="17" t="str">
        <f t="shared" si="1"/>
        <v>CN</v>
      </c>
      <c r="AM2" s="17">
        <f t="shared" si="1"/>
        <v>2</v>
      </c>
      <c r="AN2" s="17">
        <f t="shared" si="1"/>
        <v>3</v>
      </c>
      <c r="AO2" s="17">
        <f t="shared" si="1"/>
        <v>4</v>
      </c>
      <c r="AP2" s="17">
        <f t="shared" si="1"/>
        <v>5</v>
      </c>
      <c r="AQ2" s="17">
        <f t="shared" si="1"/>
        <v>6</v>
      </c>
      <c r="AR2" s="17">
        <f t="shared" si="1"/>
        <v>7</v>
      </c>
      <c r="AS2" s="17" t="str">
        <f t="shared" si="1"/>
        <v>CN</v>
      </c>
      <c r="AT2" s="17">
        <f t="shared" si="1"/>
        <v>2</v>
      </c>
      <c r="AU2" s="17">
        <f t="shared" si="1"/>
        <v>3</v>
      </c>
      <c r="AV2" s="17">
        <f t="shared" si="1"/>
        <v>4</v>
      </c>
      <c r="AW2" s="17">
        <f t="shared" si="1"/>
        <v>5</v>
      </c>
      <c r="AX2" s="17">
        <f t="shared" si="1"/>
        <v>6</v>
      </c>
      <c r="AY2" s="17">
        <f t="shared" si="1"/>
        <v>7</v>
      </c>
      <c r="AZ2" s="17" t="str">
        <f t="shared" si="1"/>
        <v>CN</v>
      </c>
      <c r="BA2" s="17">
        <f t="shared" si="1"/>
        <v>2</v>
      </c>
      <c r="BB2" s="17">
        <f t="shared" si="1"/>
        <v>3</v>
      </c>
      <c r="BC2" s="17">
        <f t="shared" si="1"/>
        <v>4</v>
      </c>
      <c r="BD2" s="17">
        <f t="shared" si="1"/>
        <v>5</v>
      </c>
      <c r="BE2" s="17">
        <f t="shared" si="1"/>
        <v>6</v>
      </c>
      <c r="BF2" s="17">
        <f t="shared" si="1"/>
        <v>7</v>
      </c>
    </row>
    <row r="3" spans="2:82"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8*(COUNT(AB1:BF1) - COUNTA(AB3:BF3))</f>
        <v>176</v>
      </c>
      <c r="AA3" s="3" t="s">
        <v>29</v>
      </c>
      <c r="AB3" s="3"/>
      <c r="AC3" s="3"/>
      <c r="AD3" s="3" t="s">
        <v>62</v>
      </c>
      <c r="AE3" s="3" t="s">
        <v>62</v>
      </c>
      <c r="AF3" s="3"/>
      <c r="AG3" s="3"/>
      <c r="AH3" s="3"/>
      <c r="AI3" s="3"/>
      <c r="AJ3" s="3"/>
      <c r="AK3" s="3" t="s">
        <v>62</v>
      </c>
      <c r="AL3" s="3" t="s">
        <v>62</v>
      </c>
      <c r="AM3" s="3"/>
      <c r="AN3" s="3"/>
      <c r="AO3" s="3"/>
      <c r="AP3" s="3"/>
      <c r="AQ3" s="3"/>
      <c r="AR3" s="3" t="s">
        <v>62</v>
      </c>
      <c r="AS3" s="3" t="s">
        <v>62</v>
      </c>
      <c r="AT3" s="3"/>
      <c r="AU3" s="3"/>
      <c r="AV3" s="3"/>
      <c r="AW3" s="3"/>
      <c r="AX3" s="3"/>
      <c r="AY3" s="3" t="s">
        <v>62</v>
      </c>
      <c r="AZ3" s="3" t="s">
        <v>62</v>
      </c>
      <c r="BA3" s="3"/>
      <c r="BB3" s="3"/>
      <c r="BC3" s="3"/>
      <c r="BD3" s="3"/>
      <c r="BE3" s="3"/>
      <c r="BF3" s="3" t="s">
        <v>62</v>
      </c>
    </row>
    <row r="4" spans="2:82"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3" t="s">
        <v>43</v>
      </c>
      <c r="AB4" s="52">
        <f>IF(AB1="","",
IFERROR(
_xlfn.MINIFS(Table_ChiPhiNV_ChamCong[Giờ],
Table_ChiPhiNV_ChamCong[Loại], "Vào",
Table_ChiPhiNV_ChamCong[Mã Nhân viên],$X$1,
Table_ChiPhiNV_ChamCong[Ngày], DATE(BangLuong_Nam,BangLuong_Thang,AB$1)),
""))</f>
        <v>0.3319444444423425</v>
      </c>
      <c r="AC4" s="52">
        <f>IF(AC1="","",
IFERROR(
_xlfn.MINIFS(Table_ChiPhiNV_ChamCong[Giờ],
Table_ChiPhiNV_ChamCong[Loại], "Vào",
Table_ChiPhiNV_ChamCong[Mã Nhân viên],$X$1,
Table_ChiPhiNV_ChamCong[Ngày], DATE(BangLuong_Nam,BangLuong_Thang,AC$1)),
""))</f>
        <v>0.34027777778101154</v>
      </c>
      <c r="AD4" s="52">
        <f>IF(AD1="","",
IFERROR(
_xlfn.MINIFS(Table_ChiPhiNV_ChamCong[Giờ],
Table_ChiPhiNV_ChamCong[Loại], "Vào",
Table_ChiPhiNV_ChamCong[Mã Nhân viên],$X$1,
Table_ChiPhiNV_ChamCong[Ngày], DATE(BangLuong_Nam,BangLuong_Thang,AD$1)),
""))</f>
        <v>0</v>
      </c>
      <c r="AE4" s="52">
        <f>IF(AE1="","",
IFERROR(
_xlfn.MINIFS(Table_ChiPhiNV_ChamCong[Giờ],
Table_ChiPhiNV_ChamCong[Loại], "Vào",
Table_ChiPhiNV_ChamCong[Mã Nhân viên],$X$1,
Table_ChiPhiNV_ChamCong[Ngày], DATE(BangLuong_Nam,BangLuong_Thang,AE$1)),
""))</f>
        <v>0</v>
      </c>
      <c r="AF4" s="52">
        <f>IF(AF1="","",
IFERROR(
_xlfn.MINIFS(Table_ChiPhiNV_ChamCong[Giờ],
Table_ChiPhiNV_ChamCong[Loại], "Vào",
Table_ChiPhiNV_ChamCong[Mã Nhân viên],$X$1,
Table_ChiPhiNV_ChamCong[Ngày], DATE(BangLuong_Nam,BangLuong_Thang,AF$1)),
""))</f>
        <v>0</v>
      </c>
      <c r="AG4" s="52">
        <f>IF(AG1="","",
IFERROR(
_xlfn.MINIFS(Table_ChiPhiNV_ChamCong[Giờ],
Table_ChiPhiNV_ChamCong[Loại], "Vào",
Table_ChiPhiNV_ChamCong[Mã Nhân viên],$X$1,
Table_ChiPhiNV_ChamCong[Ngày], DATE(BangLuong_Nam,BangLuong_Thang,AG$1)),
""))</f>
        <v>0</v>
      </c>
      <c r="AH4" s="52">
        <f>IF(AH1="","",
IFERROR(
_xlfn.MINIFS(Table_ChiPhiNV_ChamCong[Giờ],
Table_ChiPhiNV_ChamCong[Loại], "Vào",
Table_ChiPhiNV_ChamCong[Mã Nhân viên],$X$1,
Table_ChiPhiNV_ChamCong[Ngày], DATE(BangLuong_Nam,BangLuong_Thang,AH$1)),
""))</f>
        <v>0</v>
      </c>
      <c r="AI4" s="52">
        <f>IF(AI1="","",
IFERROR(
_xlfn.MINIFS(Table_ChiPhiNV_ChamCong[Giờ],
Table_ChiPhiNV_ChamCong[Loại], "Vào",
Table_ChiPhiNV_ChamCong[Mã Nhân viên],$X$1,
Table_ChiPhiNV_ChamCong[Ngày], DATE(BangLuong_Nam,BangLuong_Thang,AI$1)),
""))</f>
        <v>0</v>
      </c>
      <c r="AJ4" s="52">
        <f>IF(AJ1="","",
IFERROR(
_xlfn.MINIFS(Table_ChiPhiNV_ChamCong[Giờ],
Table_ChiPhiNV_ChamCong[Loại], "Vào",
Table_ChiPhiNV_ChamCong[Mã Nhân viên],$X$1,
Table_ChiPhiNV_ChamCong[Ngày], DATE(BangLuong_Nam,BangLuong_Thang,AJ$1)),
""))</f>
        <v>0</v>
      </c>
      <c r="AK4" s="52">
        <f>IF(AK1="","",
IFERROR(
_xlfn.MINIFS(Table_ChiPhiNV_ChamCong[Giờ],
Table_ChiPhiNV_ChamCong[Loại], "Vào",
Table_ChiPhiNV_ChamCong[Mã Nhân viên],$X$1,
Table_ChiPhiNV_ChamCong[Ngày], DATE(BangLuong_Nam,BangLuong_Thang,AK$1)),
""))</f>
        <v>0</v>
      </c>
      <c r="AL4" s="52">
        <f>IF(AL1="","",
IFERROR(
_xlfn.MINIFS(Table_ChiPhiNV_ChamCong[Giờ],
Table_ChiPhiNV_ChamCong[Loại], "Vào",
Table_ChiPhiNV_ChamCong[Mã Nhân viên],$X$1,
Table_ChiPhiNV_ChamCong[Ngày], DATE(BangLuong_Nam,BangLuong_Thang,AL$1)),
""))</f>
        <v>0</v>
      </c>
      <c r="AM4" s="52">
        <f>IF(AM1="","",
IFERROR(
_xlfn.MINIFS(Table_ChiPhiNV_ChamCong[Giờ],
Table_ChiPhiNV_ChamCong[Loại], "Vào",
Table_ChiPhiNV_ChamCong[Mã Nhân viên],$X$1,
Table_ChiPhiNV_ChamCong[Ngày], DATE(BangLuong_Nam,BangLuong_Thang,AM$1)),
""))</f>
        <v>0</v>
      </c>
      <c r="AN4" s="52">
        <f>IF(AN1="","",
IFERROR(
_xlfn.MINIFS(Table_ChiPhiNV_ChamCong[Giờ],
Table_ChiPhiNV_ChamCong[Loại], "Vào",
Table_ChiPhiNV_ChamCong[Mã Nhân viên],$X$1,
Table_ChiPhiNV_ChamCong[Ngày], DATE(BangLuong_Nam,BangLuong_Thang,AN$1)),
""))</f>
        <v>0</v>
      </c>
      <c r="AO4" s="52">
        <f>IF(AO1="","",
IFERROR(
_xlfn.MINIFS(Table_ChiPhiNV_ChamCong[Giờ],
Table_ChiPhiNV_ChamCong[Loại], "Vào",
Table_ChiPhiNV_ChamCong[Mã Nhân viên],$X$1,
Table_ChiPhiNV_ChamCong[Ngày], DATE(BangLuong_Nam,BangLuong_Thang,AO$1)),
""))</f>
        <v>0</v>
      </c>
      <c r="AP4" s="52">
        <f>IF(AP1="","",
IFERROR(
_xlfn.MINIFS(Table_ChiPhiNV_ChamCong[Giờ],
Table_ChiPhiNV_ChamCong[Loại], "Vào",
Table_ChiPhiNV_ChamCong[Mã Nhân viên],$X$1,
Table_ChiPhiNV_ChamCong[Ngày], DATE(BangLuong_Nam,BangLuong_Thang,AP$1)),
""))</f>
        <v>0</v>
      </c>
      <c r="AQ4" s="52">
        <f>IF(AQ1="","",
IFERROR(
_xlfn.MINIFS(Table_ChiPhiNV_ChamCong[Giờ],
Table_ChiPhiNV_ChamCong[Loại], "Vào",
Table_ChiPhiNV_ChamCong[Mã Nhân viên],$X$1,
Table_ChiPhiNV_ChamCong[Ngày], DATE(BangLuong_Nam,BangLuong_Thang,AQ$1)),
""))</f>
        <v>0</v>
      </c>
      <c r="AR4" s="52">
        <f>IF(AR1="","",
IFERROR(
_xlfn.MINIFS(Table_ChiPhiNV_ChamCong[Giờ],
Table_ChiPhiNV_ChamCong[Loại], "Vào",
Table_ChiPhiNV_ChamCong[Mã Nhân viên],$X$1,
Table_ChiPhiNV_ChamCong[Ngày], DATE(BangLuong_Nam,BangLuong_Thang,AR$1)),
""))</f>
        <v>0</v>
      </c>
      <c r="AS4" s="52">
        <f>IF(AS1="","",
IFERROR(
_xlfn.MINIFS(Table_ChiPhiNV_ChamCong[Giờ],
Table_ChiPhiNV_ChamCong[Loại], "Vào",
Table_ChiPhiNV_ChamCong[Mã Nhân viên],$X$1,
Table_ChiPhiNV_ChamCong[Ngày], DATE(BangLuong_Nam,BangLuong_Thang,AS$1)),
""))</f>
        <v>0</v>
      </c>
      <c r="AT4" s="52">
        <f>IF(AT1="","",
IFERROR(
_xlfn.MINIFS(Table_ChiPhiNV_ChamCong[Giờ],
Table_ChiPhiNV_ChamCong[Loại], "Vào",
Table_ChiPhiNV_ChamCong[Mã Nhân viên],$X$1,
Table_ChiPhiNV_ChamCong[Ngày], DATE(BangLuong_Nam,BangLuong_Thang,AT$1)),
""))</f>
        <v>0</v>
      </c>
      <c r="AU4" s="52">
        <f>IF(AU1="","",
IFERROR(
_xlfn.MINIFS(Table_ChiPhiNV_ChamCong[Giờ],
Table_ChiPhiNV_ChamCong[Loại], "Vào",
Table_ChiPhiNV_ChamCong[Mã Nhân viên],$X$1,
Table_ChiPhiNV_ChamCong[Ngày], DATE(BangLuong_Nam,BangLuong_Thang,AU$1)),
""))</f>
        <v>0</v>
      </c>
      <c r="AV4" s="52">
        <f>IF(AV1="","",
IFERROR(
_xlfn.MINIFS(Table_ChiPhiNV_ChamCong[Giờ],
Table_ChiPhiNV_ChamCong[Loại], "Vào",
Table_ChiPhiNV_ChamCong[Mã Nhân viên],$X$1,
Table_ChiPhiNV_ChamCong[Ngày], DATE(BangLuong_Nam,BangLuong_Thang,AV$1)),
""))</f>
        <v>0</v>
      </c>
      <c r="AW4" s="52">
        <f>IF(AW1="","",
IFERROR(
_xlfn.MINIFS(Table_ChiPhiNV_ChamCong[Giờ],
Table_ChiPhiNV_ChamCong[Loại], "Vào",
Table_ChiPhiNV_ChamCong[Mã Nhân viên],$X$1,
Table_ChiPhiNV_ChamCong[Ngày], DATE(BangLuong_Nam,BangLuong_Thang,AW$1)),
""))</f>
        <v>0</v>
      </c>
      <c r="AX4" s="52">
        <f>IF(AX1="","",
IFERROR(
_xlfn.MINIFS(Table_ChiPhiNV_ChamCong[Giờ],
Table_ChiPhiNV_ChamCong[Loại], "Vào",
Table_ChiPhiNV_ChamCong[Mã Nhân viên],$X$1,
Table_ChiPhiNV_ChamCong[Ngày], DATE(BangLuong_Nam,BangLuong_Thang,AX$1)),
""))</f>
        <v>0</v>
      </c>
      <c r="AY4" s="52">
        <f>IF(AY1="","",
IFERROR(
_xlfn.MINIFS(Table_ChiPhiNV_ChamCong[Giờ],
Table_ChiPhiNV_ChamCong[Loại], "Vào",
Table_ChiPhiNV_ChamCong[Mã Nhân viên],$X$1,
Table_ChiPhiNV_ChamCong[Ngày], DATE(BangLuong_Nam,BangLuong_Thang,AY$1)),
""))</f>
        <v>0</v>
      </c>
      <c r="AZ4" s="52">
        <f>IF(AZ1="","",
IFERROR(
_xlfn.MINIFS(Table_ChiPhiNV_ChamCong[Giờ],
Table_ChiPhiNV_ChamCong[Loại], "Vào",
Table_ChiPhiNV_ChamCong[Mã Nhân viên],$X$1,
Table_ChiPhiNV_ChamCong[Ngày], DATE(BangLuong_Nam,BangLuong_Thang,AZ$1)),
""))</f>
        <v>0</v>
      </c>
      <c r="BA4" s="52">
        <f>IF(BA1="","",
IFERROR(
_xlfn.MINIFS(Table_ChiPhiNV_ChamCong[Giờ],
Table_ChiPhiNV_ChamCong[Loại], "Vào",
Table_ChiPhiNV_ChamCong[Mã Nhân viên],$X$1,
Table_ChiPhiNV_ChamCong[Ngày], DATE(BangLuong_Nam,BangLuong_Thang,BA$1)),
""))</f>
        <v>0</v>
      </c>
      <c r="BB4" s="52">
        <f>IF(BB1="","",
IFERROR(
_xlfn.MINIFS(Table_ChiPhiNV_ChamCong[Giờ],
Table_ChiPhiNV_ChamCong[Loại], "Vào",
Table_ChiPhiNV_ChamCong[Mã Nhân viên],$X$1,
Table_ChiPhiNV_ChamCong[Ngày], DATE(BangLuong_Nam,BangLuong_Thang,BB$1)),
""))</f>
        <v>0</v>
      </c>
      <c r="BC4" s="52">
        <f>IF(BC1="","",
IFERROR(
_xlfn.MINIFS(Table_ChiPhiNV_ChamCong[Giờ],
Table_ChiPhiNV_ChamCong[Loại], "Vào",
Table_ChiPhiNV_ChamCong[Mã Nhân viên],$X$1,
Table_ChiPhiNV_ChamCong[Ngày], DATE(BangLuong_Nam,BangLuong_Thang,BC$1)),
""))</f>
        <v>0</v>
      </c>
      <c r="BD4" s="52">
        <f>IF(BD1="","",
IFERROR(
_xlfn.MINIFS(Table_ChiPhiNV_ChamCong[Giờ],
Table_ChiPhiNV_ChamCong[Loại], "Vào",
Table_ChiPhiNV_ChamCong[Mã Nhân viên],$X$1,
Table_ChiPhiNV_ChamCong[Ngày], DATE(BangLuong_Nam,BangLuong_Thang,BD$1)),
""))</f>
        <v>0</v>
      </c>
      <c r="BE4" s="52">
        <f>IF(BE1="","",
IFERROR(
_xlfn.MINIFS(Table_ChiPhiNV_ChamCong[Giờ],
Table_ChiPhiNV_ChamCong[Loại], "Vào",
Table_ChiPhiNV_ChamCong[Mã Nhân viên],$X$1,
Table_ChiPhiNV_ChamCong[Ngày], DATE(BangLuong_Nam,BangLuong_Thang,BE$1)),
""))</f>
        <v>0</v>
      </c>
      <c r="BF4" s="52">
        <f>IF(BF1="","",
IFERROR(
_xlfn.MINIFS(Table_ChiPhiNV_ChamCong[Giờ],
Table_ChiPhiNV_ChamCong[Loại], "Vào",
Table_ChiPhiNV_ChamCong[Mã Nhân viên],$X$1,
Table_ChiPhiNV_ChamCong[Ngày], DATE(BangLuong_Nam,BangLuong_Thang,BF$1)),
""))</f>
        <v>0</v>
      </c>
    </row>
    <row r="5" spans="2:82"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3" t="s">
        <v>48</v>
      </c>
      <c r="AB5" s="52">
        <f>IF(AB2="","",
IFERROR(
_xlfn.MINIFS(Table_ChiPhiNV_ChamCong[Giờ],
Table_ChiPhiNV_ChamCong[Loại], "Ra",
Table_ChiPhiNV_ChamCong[Mã Nhân viên],$X$1,
Table_ChiPhiNV_ChamCong[Ngày], DATE(BangLuong_Nam,BangLuong_Thang,AB$1)),
""))</f>
        <v>0.70486111110949423</v>
      </c>
      <c r="AC5" s="52">
        <f>IF(AC2="","",
IFERROR(
_xlfn.MINIFS(Table_ChiPhiNV_ChamCong[Giờ],
Table_ChiPhiNV_ChamCong[Loại], "Ra",
Table_ChiPhiNV_ChamCong[Mã Nhân viên],$X$1,
Table_ChiPhiNV_ChamCong[Ngày], DATE(BangLuong_Nam,BangLuong_Thang,AC$1)),
""))</f>
        <v>0.92152777777664596</v>
      </c>
      <c r="AD5" s="52">
        <f>IF(AD2="","",
IFERROR(
_xlfn.MINIFS(Table_ChiPhiNV_ChamCong[Giờ],
Table_ChiPhiNV_ChamCong[Loại], "Ra",
Table_ChiPhiNV_ChamCong[Mã Nhân viên],$X$1,
Table_ChiPhiNV_ChamCong[Ngày], DATE(BangLuong_Nam,BangLuong_Thang,AD$1)),
""))</f>
        <v>0</v>
      </c>
      <c r="AE5" s="52">
        <f>IF(AE2="","",
IFERROR(
_xlfn.MINIFS(Table_ChiPhiNV_ChamCong[Giờ],
Table_ChiPhiNV_ChamCong[Loại], "Ra",
Table_ChiPhiNV_ChamCong[Mã Nhân viên],$X$1,
Table_ChiPhiNV_ChamCong[Ngày], DATE(BangLuong_Nam,BangLuong_Thang,AE$1)),
""))</f>
        <v>0</v>
      </c>
      <c r="AF5" s="52">
        <f>IF(AF2="","",
IFERROR(
_xlfn.MINIFS(Table_ChiPhiNV_ChamCong[Giờ],
Table_ChiPhiNV_ChamCong[Loại], "Ra",
Table_ChiPhiNV_ChamCong[Mã Nhân viên],$X$1,
Table_ChiPhiNV_ChamCong[Ngày], DATE(BangLuong_Nam,BangLuong_Thang,AF$1)),
""))</f>
        <v>0</v>
      </c>
      <c r="AG5" s="52">
        <f>IF(AG2="","",
IFERROR(
_xlfn.MINIFS(Table_ChiPhiNV_ChamCong[Giờ],
Table_ChiPhiNV_ChamCong[Loại], "Ra",
Table_ChiPhiNV_ChamCong[Mã Nhân viên],$X$1,
Table_ChiPhiNV_ChamCong[Ngày], DATE(BangLuong_Nam,BangLuong_Thang,AG$1)),
""))</f>
        <v>0</v>
      </c>
      <c r="AH5" s="52">
        <f>IF(AH2="","",
IFERROR(
_xlfn.MINIFS(Table_ChiPhiNV_ChamCong[Giờ],
Table_ChiPhiNV_ChamCong[Loại], "Ra",
Table_ChiPhiNV_ChamCong[Mã Nhân viên],$X$1,
Table_ChiPhiNV_ChamCong[Ngày], DATE(BangLuong_Nam,BangLuong_Thang,AH$1)),
""))</f>
        <v>0</v>
      </c>
      <c r="AI5" s="52">
        <f>IF(AI2="","",
IFERROR(
_xlfn.MINIFS(Table_ChiPhiNV_ChamCong[Giờ],
Table_ChiPhiNV_ChamCong[Loại], "Ra",
Table_ChiPhiNV_ChamCong[Mã Nhân viên],$X$1,
Table_ChiPhiNV_ChamCong[Ngày], DATE(BangLuong_Nam,BangLuong_Thang,AI$1)),
""))</f>
        <v>0</v>
      </c>
      <c r="AJ5" s="52">
        <f>IF(AJ2="","",
IFERROR(
_xlfn.MINIFS(Table_ChiPhiNV_ChamCong[Giờ],
Table_ChiPhiNV_ChamCong[Loại], "Ra",
Table_ChiPhiNV_ChamCong[Mã Nhân viên],$X$1,
Table_ChiPhiNV_ChamCong[Ngày], DATE(BangLuong_Nam,BangLuong_Thang,AJ$1)),
""))</f>
        <v>0</v>
      </c>
      <c r="AK5" s="52">
        <f>IF(AK2="","",
IFERROR(
_xlfn.MINIFS(Table_ChiPhiNV_ChamCong[Giờ],
Table_ChiPhiNV_ChamCong[Loại], "Ra",
Table_ChiPhiNV_ChamCong[Mã Nhân viên],$X$1,
Table_ChiPhiNV_ChamCong[Ngày], DATE(BangLuong_Nam,BangLuong_Thang,AK$1)),
""))</f>
        <v>0</v>
      </c>
      <c r="AL5" s="52">
        <f>IF(AL2="","",
IFERROR(
_xlfn.MINIFS(Table_ChiPhiNV_ChamCong[Giờ],
Table_ChiPhiNV_ChamCong[Loại], "Ra",
Table_ChiPhiNV_ChamCong[Mã Nhân viên],$X$1,
Table_ChiPhiNV_ChamCong[Ngày], DATE(BangLuong_Nam,BangLuong_Thang,AL$1)),
""))</f>
        <v>0</v>
      </c>
      <c r="AM5" s="52">
        <f>IF(AM2="","",
IFERROR(
_xlfn.MINIFS(Table_ChiPhiNV_ChamCong[Giờ],
Table_ChiPhiNV_ChamCong[Loại], "Ra",
Table_ChiPhiNV_ChamCong[Mã Nhân viên],$X$1,
Table_ChiPhiNV_ChamCong[Ngày], DATE(BangLuong_Nam,BangLuong_Thang,AM$1)),
""))</f>
        <v>0</v>
      </c>
      <c r="AN5" s="52">
        <f>IF(AN2="","",
IFERROR(
_xlfn.MINIFS(Table_ChiPhiNV_ChamCong[Giờ],
Table_ChiPhiNV_ChamCong[Loại], "Ra",
Table_ChiPhiNV_ChamCong[Mã Nhân viên],$X$1,
Table_ChiPhiNV_ChamCong[Ngày], DATE(BangLuong_Nam,BangLuong_Thang,AN$1)),
""))</f>
        <v>0</v>
      </c>
      <c r="AO5" s="52">
        <f>IF(AO2="","",
IFERROR(
_xlfn.MINIFS(Table_ChiPhiNV_ChamCong[Giờ],
Table_ChiPhiNV_ChamCong[Loại], "Ra",
Table_ChiPhiNV_ChamCong[Mã Nhân viên],$X$1,
Table_ChiPhiNV_ChamCong[Ngày], DATE(BangLuong_Nam,BangLuong_Thang,AO$1)),
""))</f>
        <v>0</v>
      </c>
      <c r="AP5" s="52">
        <f>IF(AP2="","",
IFERROR(
_xlfn.MINIFS(Table_ChiPhiNV_ChamCong[Giờ],
Table_ChiPhiNV_ChamCong[Loại], "Ra",
Table_ChiPhiNV_ChamCong[Mã Nhân viên],$X$1,
Table_ChiPhiNV_ChamCong[Ngày], DATE(BangLuong_Nam,BangLuong_Thang,AP$1)),
""))</f>
        <v>0</v>
      </c>
      <c r="AQ5" s="52">
        <f>IF(AQ2="","",
IFERROR(
_xlfn.MINIFS(Table_ChiPhiNV_ChamCong[Giờ],
Table_ChiPhiNV_ChamCong[Loại], "Ra",
Table_ChiPhiNV_ChamCong[Mã Nhân viên],$X$1,
Table_ChiPhiNV_ChamCong[Ngày], DATE(BangLuong_Nam,BangLuong_Thang,AQ$1)),
""))</f>
        <v>0</v>
      </c>
      <c r="AR5" s="52">
        <f>IF(AR2="","",
IFERROR(
_xlfn.MINIFS(Table_ChiPhiNV_ChamCong[Giờ],
Table_ChiPhiNV_ChamCong[Loại], "Ra",
Table_ChiPhiNV_ChamCong[Mã Nhân viên],$X$1,
Table_ChiPhiNV_ChamCong[Ngày], DATE(BangLuong_Nam,BangLuong_Thang,AR$1)),
""))</f>
        <v>0</v>
      </c>
      <c r="AS5" s="52">
        <f>IF(AS2="","",
IFERROR(
_xlfn.MINIFS(Table_ChiPhiNV_ChamCong[Giờ],
Table_ChiPhiNV_ChamCong[Loại], "Ra",
Table_ChiPhiNV_ChamCong[Mã Nhân viên],$X$1,
Table_ChiPhiNV_ChamCong[Ngày], DATE(BangLuong_Nam,BangLuong_Thang,AS$1)),
""))</f>
        <v>0</v>
      </c>
      <c r="AT5" s="52">
        <f>IF(AT2="","",
IFERROR(
_xlfn.MINIFS(Table_ChiPhiNV_ChamCong[Giờ],
Table_ChiPhiNV_ChamCong[Loại], "Ra",
Table_ChiPhiNV_ChamCong[Mã Nhân viên],$X$1,
Table_ChiPhiNV_ChamCong[Ngày], DATE(BangLuong_Nam,BangLuong_Thang,AT$1)),
""))</f>
        <v>0</v>
      </c>
      <c r="AU5" s="52">
        <f>IF(AU2="","",
IFERROR(
_xlfn.MINIFS(Table_ChiPhiNV_ChamCong[Giờ],
Table_ChiPhiNV_ChamCong[Loại], "Ra",
Table_ChiPhiNV_ChamCong[Mã Nhân viên],$X$1,
Table_ChiPhiNV_ChamCong[Ngày], DATE(BangLuong_Nam,BangLuong_Thang,AU$1)),
""))</f>
        <v>0</v>
      </c>
      <c r="AV5" s="52">
        <f>IF(AV2="","",
IFERROR(
_xlfn.MINIFS(Table_ChiPhiNV_ChamCong[Giờ],
Table_ChiPhiNV_ChamCong[Loại], "Ra",
Table_ChiPhiNV_ChamCong[Mã Nhân viên],$X$1,
Table_ChiPhiNV_ChamCong[Ngày], DATE(BangLuong_Nam,BangLuong_Thang,AV$1)),
""))</f>
        <v>0</v>
      </c>
      <c r="AW5" s="52">
        <f>IF(AW2="","",
IFERROR(
_xlfn.MINIFS(Table_ChiPhiNV_ChamCong[Giờ],
Table_ChiPhiNV_ChamCong[Loại], "Ra",
Table_ChiPhiNV_ChamCong[Mã Nhân viên],$X$1,
Table_ChiPhiNV_ChamCong[Ngày], DATE(BangLuong_Nam,BangLuong_Thang,AW$1)),
""))</f>
        <v>0</v>
      </c>
      <c r="AX5" s="52">
        <f>IF(AX2="","",
IFERROR(
_xlfn.MINIFS(Table_ChiPhiNV_ChamCong[Giờ],
Table_ChiPhiNV_ChamCong[Loại], "Ra",
Table_ChiPhiNV_ChamCong[Mã Nhân viên],$X$1,
Table_ChiPhiNV_ChamCong[Ngày], DATE(BangLuong_Nam,BangLuong_Thang,AX$1)),
""))</f>
        <v>0</v>
      </c>
      <c r="AY5" s="52">
        <f>IF(AY2="","",
IFERROR(
_xlfn.MINIFS(Table_ChiPhiNV_ChamCong[Giờ],
Table_ChiPhiNV_ChamCong[Loại], "Ra",
Table_ChiPhiNV_ChamCong[Mã Nhân viên],$X$1,
Table_ChiPhiNV_ChamCong[Ngày], DATE(BangLuong_Nam,BangLuong_Thang,AY$1)),
""))</f>
        <v>0</v>
      </c>
      <c r="AZ5" s="52">
        <f>IF(AZ2="","",
IFERROR(
_xlfn.MINIFS(Table_ChiPhiNV_ChamCong[Giờ],
Table_ChiPhiNV_ChamCong[Loại], "Ra",
Table_ChiPhiNV_ChamCong[Mã Nhân viên],$X$1,
Table_ChiPhiNV_ChamCong[Ngày], DATE(BangLuong_Nam,BangLuong_Thang,AZ$1)),
""))</f>
        <v>0</v>
      </c>
      <c r="BA5" s="52">
        <f>IF(BA2="","",
IFERROR(
_xlfn.MINIFS(Table_ChiPhiNV_ChamCong[Giờ],
Table_ChiPhiNV_ChamCong[Loại], "Ra",
Table_ChiPhiNV_ChamCong[Mã Nhân viên],$X$1,
Table_ChiPhiNV_ChamCong[Ngày], DATE(BangLuong_Nam,BangLuong_Thang,BA$1)),
""))</f>
        <v>0</v>
      </c>
      <c r="BB5" s="52">
        <f>IF(BB2="","",
IFERROR(
_xlfn.MINIFS(Table_ChiPhiNV_ChamCong[Giờ],
Table_ChiPhiNV_ChamCong[Loại], "Ra",
Table_ChiPhiNV_ChamCong[Mã Nhân viên],$X$1,
Table_ChiPhiNV_ChamCong[Ngày], DATE(BangLuong_Nam,BangLuong_Thang,BB$1)),
""))</f>
        <v>0</v>
      </c>
      <c r="BC5" s="52">
        <f>IF(BC2="","",
IFERROR(
_xlfn.MINIFS(Table_ChiPhiNV_ChamCong[Giờ],
Table_ChiPhiNV_ChamCong[Loại], "Ra",
Table_ChiPhiNV_ChamCong[Mã Nhân viên],$X$1,
Table_ChiPhiNV_ChamCong[Ngày], DATE(BangLuong_Nam,BangLuong_Thang,BC$1)),
""))</f>
        <v>0</v>
      </c>
      <c r="BD5" s="52">
        <f>IF(BD2="","",
IFERROR(
_xlfn.MINIFS(Table_ChiPhiNV_ChamCong[Giờ],
Table_ChiPhiNV_ChamCong[Loại], "Ra",
Table_ChiPhiNV_ChamCong[Mã Nhân viên],$X$1,
Table_ChiPhiNV_ChamCong[Ngày], DATE(BangLuong_Nam,BangLuong_Thang,BD$1)),
""))</f>
        <v>0</v>
      </c>
      <c r="BE5" s="52">
        <f>IF(BE2="","",
IFERROR(
_xlfn.MINIFS(Table_ChiPhiNV_ChamCong[Giờ],
Table_ChiPhiNV_ChamCong[Loại], "Ra",
Table_ChiPhiNV_ChamCong[Mã Nhân viên],$X$1,
Table_ChiPhiNV_ChamCong[Ngày], DATE(BangLuong_Nam,BangLuong_Thang,BE$1)),
""))</f>
        <v>0</v>
      </c>
      <c r="BF5" s="52">
        <f>IF(BF2="","",
IFERROR(
_xlfn.MINIFS(Table_ChiPhiNV_ChamCong[Giờ],
Table_ChiPhiNV_ChamCong[Loại], "Ra",
Table_ChiPhiNV_ChamCong[Mã Nhân viên],$X$1,
Table_ChiPhiNV_ChamCong[Ngày], DATE(BangLuong_Nam,BangLuong_Thang,BF$1)),
""))</f>
        <v>0</v>
      </c>
    </row>
    <row r="6" spans="2:82"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SUM(AB9:BF57)/2*((X5-Z5)/Z3)</f>
        <v>5964535.2272727275</v>
      </c>
      <c r="Y6" s="2" t="s">
        <v>51</v>
      </c>
      <c r="Z6" s="1">
        <f>VLOOKUP(X1,Table_NhanVien[],COUNTA(Table_NhanVien[[#Headers],[Mã NV]:[Phụ thuộc]]),0)</f>
        <v>2</v>
      </c>
      <c r="AA6" s="1" t="s">
        <v>52</v>
      </c>
      <c r="AB6" s="1" t="s">
        <v>63</v>
      </c>
      <c r="AC6" s="1" t="s">
        <v>63</v>
      </c>
    </row>
    <row r="7" spans="2:82"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(SUMIF(AB9:BF57, "&gt;1", AB9:BF57)-COUNTIF(AB9:BF57, "&gt;1"))/2*((X5-Z5)/Z3)</f>
        <v>844762.50000000012</v>
      </c>
      <c r="AA7" s="3" t="s">
        <v>55</v>
      </c>
      <c r="AB7" s="3"/>
      <c r="AC7" s="3" t="s">
        <v>107</v>
      </c>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H7" s="59"/>
      <c r="BI7" s="60"/>
      <c r="BJ7" s="61">
        <f ca="1">NOW()</f>
        <v>45811.699224999997</v>
      </c>
      <c r="BK7" s="62">
        <f ca="1">INT(BJ7)</f>
        <v>45811</v>
      </c>
      <c r="BL7" s="64">
        <f ca="1">BJ7-BK7</f>
        <v>0.69922499999665888</v>
      </c>
    </row>
    <row r="8" spans="2:82"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A8" s="3" t="s">
        <v>42</v>
      </c>
      <c r="BH8" s="1" t="s">
        <v>16</v>
      </c>
      <c r="BI8" s="1" t="s">
        <v>87</v>
      </c>
      <c r="BJ8" s="1" t="s">
        <v>91</v>
      </c>
      <c r="BK8" s="1" t="s">
        <v>0</v>
      </c>
      <c r="BL8" s="1" t="s">
        <v>92</v>
      </c>
      <c r="BN8" s="1" t="s">
        <v>3</v>
      </c>
      <c r="BO8" s="1" t="s">
        <v>2</v>
      </c>
      <c r="BP8" s="1" t="s">
        <v>1</v>
      </c>
      <c r="BQ8" s="1" t="s">
        <v>18</v>
      </c>
      <c r="BR8" s="1" t="s">
        <v>67</v>
      </c>
      <c r="BS8" s="1" t="s">
        <v>46</v>
      </c>
      <c r="BT8" s="1" t="s">
        <v>68</v>
      </c>
      <c r="BU8" s="1" t="s">
        <v>99</v>
      </c>
      <c r="BV8" s="1" t="s">
        <v>100</v>
      </c>
      <c r="BW8" s="1" t="s">
        <v>88</v>
      </c>
      <c r="BX8" s="1" t="s">
        <v>69</v>
      </c>
      <c r="BY8" s="1" t="s">
        <v>70</v>
      </c>
      <c r="BZ8" s="1" t="s">
        <v>71</v>
      </c>
      <c r="CA8" s="1" t="s">
        <v>72</v>
      </c>
      <c r="CB8" s="1" t="s">
        <v>102</v>
      </c>
      <c r="CC8" s="1" t="s">
        <v>101</v>
      </c>
      <c r="CD8" s="1" t="s">
        <v>22</v>
      </c>
    </row>
    <row r="9" spans="2:82"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v>0</v>
      </c>
      <c r="AB9" s="18" cm="1">
        <f t="array" ref="AB9" xml:space="preserve">
IFERROR(
IF(AB$1="",0,
IF(AND(
$AA9&gt;=VLOOKUP(AB$6, Table_ChiPhiNV_Ca[], COUNTA(Table_ChiPhiNV_Ca[[#Headers],[Ca]:[Bắt đầu nghỉ]]),0),
$AA9&lt;VLOOKUP(AB$6, Table_ChiPhiNV_Ca[], COUNTA(Table_ChiPhiNV_Ca[[#Headers],[Ca]:[Kết thúc nghỉ]]),0)
),0,
IF(NOT(ISBLANK(AB$3)),
IF(ISBLANK(AB$7),0,
IF(AB$4 &lt; AB$5,
IF($AA9-$Z$4&lt;AB$4,0,
IF($AA9&gt;AB$5,0,
SUM(_xlfn._xlws.FILTER(Table_BangLuong_TyLeTangCa[Tỷ lệ],
(Table_BangLuong_TyLeTangCa[Ngày] = AB$3) *
(Table_BangLuong_TyLeTangCa[Giờ min]&lt;=$AA9) *
(Table_BangLuong_TyLeTangCa[Giờ max]&gt;$AA9)
)))),
IF(AND($AA9-$Z$4 &gt;= AB$5,$AA9 &lt; AB$4),0,
SUM(_xlfn._xlws.FILTER(Table_BangLuong_TyLeTangCa[Tỷ lệ],
(Table_BangLuong_TyLeTangCa[Ngày] = AB$3) *
(Table_BangLuong_TyLeTangCa[Giờ min]&lt;=$AA9) *
(Table_BangLuong_TyLeTangCa[Giờ max]&gt;$AA9)
))))
),
IF(ISBLANK(AB$7),
IF(VLOOKUP(AB$6, Table_ChiPhiNV_Ca[], COUNTA(Table_ChiPhiNV_Ca[[#Headers],[Ca]:[Kết thúc]]),0)&gt; VLOOKUP(AB$6, Table_ChiPhiNV_Ca[], COUNTA(Table_ChiPhiNV_Ca[[#Headers],[Ca]:[Bắt đầu]]),0),
IF($AA9-$Z$4&lt;MAX(AB$4,VLOOKUP(AB$6, Table_ChiPhiNV_Ca[], COUNTA(Table_ChiPhiNV_Ca[[#Headers],[Ca]:[Bắt đầu]]),0)),0,
IF($AA9&gt;MIN(AB$5,VLOOKUP(AB$6, Table_ChiPhiNV_Ca[], COUNTA(Table_ChiPhiNV_Ca[[#Headers],[Ca]:[Kết thúc]]),0)),0,
SUM(_xlfn._xlws.FILTER(Table_BangLuong_TyLeTangCa[Tỷ lệ],
(Table_BangLuong_TyLeTangCa[Ngày] = "Thường") *
(Table_BangLuong_TyLeTangCa[Giờ min]&lt;=$AA9) *
(Table_BangLuong_TyLeTangCa[Giờ max]&gt;$AA9)
)))),
IF(AB$4 &gt; AB$5,
IF(
AND(
$AA9-$Z$4&lt;MAX(AB$4,VLOOKUP(AB$6, Table_ChiPhiNV_Ca[], COUNTA(Table_ChiPhiNV_Ca[[#Headers],[Ca]:[Bắt đầu]]),0)),
$AA9&gt;MIN(AB$5,VLOOKUP(AB$6, Table_ChiPhiNV_Ca[], COUNTA(Table_ChiPhiNV_Ca[[#Headers],[Ca]:[Kết thúc]]),0))),0,
SUM(_xlfn._xlws.FILTER(Table_BangLuong_TyLeTangCa[Tỷ lệ],
(Table_BangLuong_TyLeTangCa[Ngày] = "Thường") *
(Table_BangLuong_TyLeTangCa[Giờ min]&lt;=$AA9) *
(Table_BangLuong_TyLeTangCa[Giờ max]&gt;$AA9)
))),
IF(
AND(
$AA9-$Z$4&gt;=MAX(AB$4,VLOOKUP(AB$6, Table_ChiPhiNV_Ca[], COUNTA(Table_ChiPhiNV_Ca[[#Headers],[Ca]:[Bắt đầu]]),0)),
$AA9&lt;MIN(AB$5,VLOOKUP(AB$6, Table_ChiPhiNV_Ca[], COUNTA(Table_ChiPhiNV_Ca[[#Headers],[Ca]:[Kết thúc]]),0))),
SUM(_xlfn._xlws.FILTER(Table_BangLuong_TyLeTangCa[Tỷ lệ],
(Table_BangLuong_TyLeTangCa[Ngày] = "Thường") *
(Table_BangLuong_TyLeTangCa[Giờ min]&lt;=$AA9) *
(Table_BangLuong_TyLeTangCa[Giờ max]&gt;$AA9)
)),0)
)),
IF(AB$4 &lt; AB$5,
IF($AA9-$Z$4&lt;AB$4,0,
IF($AA9&gt;AB$5,0,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AB$5,$AA9 &lt; AB$4),0,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C9" s="18" cm="1">
        <f t="array" ref="AC9" xml:space="preserve">
IFERROR(
IF(AC$1="",0,
IF(AND(
$AA9&gt;=VLOOKUP(AC$6, Table_ChiPhiNV_Ca[], COUNTA(Table_ChiPhiNV_Ca[[#Headers],[Ca]:[Bắt đầu nghỉ]]),0),
$AA9&lt;VLOOKUP(AC$6, Table_ChiPhiNV_Ca[], COUNTA(Table_ChiPhiNV_Ca[[#Headers],[Ca]:[Kết thúc nghỉ]]),0)
),0,
IF(NOT(ISBLANK(AC$3)),
IF(ISBLANK(AC$7),0,
IF(AC$4 &lt; AC$5,
IF($AA9-$Z$4&lt;AC$4,0,
IF($AA9&gt;AC$5,0,
SUM(_xlfn._xlws.FILTER(Table_BangLuong_TyLeTangCa[Tỷ lệ],
(Table_BangLuong_TyLeTangCa[Ngày] = AC$3) *
(Table_BangLuong_TyLeTangCa[Giờ min]&lt;=$AA9) *
(Table_BangLuong_TyLeTangCa[Giờ max]&gt;$AA9)
)))),
IF(AND($AA9-$Z$4 &gt;= AC$5,$AA9 &lt; AC$4),0,
SUM(_xlfn._xlws.FILTER(Table_BangLuong_TyLeTangCa[Tỷ lệ],
(Table_BangLuong_TyLeTangCa[Ngày] = AC$3) *
(Table_BangLuong_TyLeTangCa[Giờ min]&lt;=$AA9) *
(Table_BangLuong_TyLeTangCa[Giờ max]&gt;$AA9)
))))
),
IF(ISBLANK(AC$7),
IF(VLOOKUP(AC$6, Table_ChiPhiNV_Ca[], COUNTA(Table_ChiPhiNV_Ca[[#Headers],[Ca]:[Kết thúc]]),0)&gt; VLOOKUP(AC$6, Table_ChiPhiNV_Ca[], COUNTA(Table_ChiPhiNV_Ca[[#Headers],[Ca]:[Bắt đầu]]),0),
IF($AA9-$Z$4&lt;MAX(AC$4,VLOOKUP(AC$6, Table_ChiPhiNV_Ca[], COUNTA(Table_ChiPhiNV_Ca[[#Headers],[Ca]:[Bắt đầu]]),0)),0,
IF($AA9&gt;MIN(AC$5,VLOOKUP(AC$6, Table_ChiPhiNV_Ca[], COUNTA(Table_ChiPhiNV_Ca[[#Headers],[Ca]:[Kết thúc]]),0)),0,
SUM(_xlfn._xlws.FILTER(Table_BangLuong_TyLeTangCa[Tỷ lệ],
(Table_BangLuong_TyLeTangCa[Ngày] = "Thường") *
(Table_BangLuong_TyLeTangCa[Giờ min]&lt;=$AA9) *
(Table_BangLuong_TyLeTangCa[Giờ max]&gt;$AA9)
)))),
IF(AC$4 &gt; AC$5,
IF(
AND(
$AA9-$Z$4&lt;MAX(AC$4,VLOOKUP(AC$6, Table_ChiPhiNV_Ca[], COUNTA(Table_ChiPhiNV_Ca[[#Headers],[Ca]:[Bắt đầu]]),0)),
$AA9&gt;MIN(AC$5,VLOOKUP(AC$6, Table_ChiPhiNV_Ca[], COUNTA(Table_ChiPhiNV_Ca[[#Headers],[Ca]:[Kết thúc]]),0))),0,
SUM(_xlfn._xlws.FILTER(Table_BangLuong_TyLeTangCa[Tỷ lệ],
(Table_BangLuong_TyLeTangCa[Ngày] = "Thường") *
(Table_BangLuong_TyLeTangCa[Giờ min]&lt;=$AA9) *
(Table_BangLuong_TyLeTangCa[Giờ max]&gt;$AA9)
))),
IF(
AND(
$AA9-$Z$4&gt;=MAX(AC$4,VLOOKUP(AC$6, Table_ChiPhiNV_Ca[], COUNTA(Table_ChiPhiNV_Ca[[#Headers],[Ca]:[Bắt đầu]]),0)),
$AA9&lt;MIN(AC$5,VLOOKUP(AC$6, Table_ChiPhiNV_Ca[], COUNTA(Table_ChiPhiNV_Ca[[#Headers],[Ca]:[Kết thúc]]),0))),
SUM(_xlfn._xlws.FILTER(Table_BangLuong_TyLeTangCa[Tỷ lệ],
(Table_BangLuong_TyLeTangCa[Ngày] = "Thường") *
(Table_BangLuong_TyLeTangCa[Giờ min]&lt;=$AA9) *
(Table_BangLuong_TyLeTangCa[Giờ max]&gt;$AA9)
)),0)
)),
IF(AC$4 &lt; AC$5,
IF($AA9-$Z$4&lt;AC$4,0,
IF($AA9&gt;AC$5,0,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AC$5,$AA9 &lt; AC$4),0,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D9" s="18" cm="1">
        <f t="array" ref="AD9" xml:space="preserve">
IFERROR(
IF(AD$1="",0,
IF(AND(
$AA9&gt;=VLOOKUP(AD$6, Table_ChiPhiNV_Ca[], COUNTA(Table_ChiPhiNV_Ca[[#Headers],[Ca]:[Bắt đầu nghỉ]]),0),
$AA9&lt;VLOOKUP(AD$6, Table_ChiPhiNV_Ca[], COUNTA(Table_ChiPhiNV_Ca[[#Headers],[Ca]:[Kết thúc nghỉ]]),0)
),0,
IF(NOT(ISBLANK(AD$3)),
IF(ISBLANK(AD$7),0,
IF(AD$4 &lt; AD$5,
IF($AA9-$Z$4&lt;AD$4,0,
IF($AA9&gt;AD$5,0,
SUM(_xlfn._xlws.FILTER(Table_BangLuong_TyLeTangCa[Tỷ lệ],
(Table_BangLuong_TyLeTangCa[Ngày] = AD$3) *
(Table_BangLuong_TyLeTangCa[Giờ min]&lt;=$AA9) *
(Table_BangLuong_TyLeTangCa[Giờ max]&gt;$AA9)
)))),
IF(AND($AA9-$Z$4 &gt;= AD$5,$AA9 &lt; AD$4),0,
SUM(_xlfn._xlws.FILTER(Table_BangLuong_TyLeTangCa[Tỷ lệ],
(Table_BangLuong_TyLeTangCa[Ngày] = AD$3) *
(Table_BangLuong_TyLeTangCa[Giờ min]&lt;=$AA9) *
(Table_BangLuong_TyLeTangCa[Giờ max]&gt;$AA9)
))))
),
IF(ISBLANK(AD$7),
IF(VLOOKUP(AD$6, Table_ChiPhiNV_Ca[], COUNTA(Table_ChiPhiNV_Ca[[#Headers],[Ca]:[Kết thúc]]),0)&gt; VLOOKUP(AD$6, Table_ChiPhiNV_Ca[], COUNTA(Table_ChiPhiNV_Ca[[#Headers],[Ca]:[Bắt đầu]]),0),
IF($AA9-$Z$4&lt;MAX(AD$4,VLOOKUP(AD$6, Table_ChiPhiNV_Ca[], COUNTA(Table_ChiPhiNV_Ca[[#Headers],[Ca]:[Bắt đầu]]),0)),0,
IF($AA9&gt;MIN(AD$5,VLOOKUP(AD$6, Table_ChiPhiNV_Ca[], COUNTA(Table_ChiPhiNV_Ca[[#Headers],[Ca]:[Kết thúc]]),0)),0,
SUM(_xlfn._xlws.FILTER(Table_BangLuong_TyLeTangCa[Tỷ lệ],
(Table_BangLuong_TyLeTangCa[Ngày] = "Thường") *
(Table_BangLuong_TyLeTangCa[Giờ min]&lt;=$AA9) *
(Table_BangLuong_TyLeTangCa[Giờ max]&gt;$AA9)
)))),
IF(AD$4 &gt; AD$5,
IF(
AND(
$AA9-$Z$4&lt;MAX(AD$4,VLOOKUP(AD$6, Table_ChiPhiNV_Ca[], COUNTA(Table_ChiPhiNV_Ca[[#Headers],[Ca]:[Bắt đầu]]),0)),
$AA9&gt;MIN(AD$5,VLOOKUP(AD$6, Table_ChiPhiNV_Ca[], COUNTA(Table_ChiPhiNV_Ca[[#Headers],[Ca]:[Kết thúc]]),0))),0,
SUM(_xlfn._xlws.FILTER(Table_BangLuong_TyLeTangCa[Tỷ lệ],
(Table_BangLuong_TyLeTangCa[Ngày] = "Thường") *
(Table_BangLuong_TyLeTangCa[Giờ min]&lt;=$AA9) *
(Table_BangLuong_TyLeTangCa[Giờ max]&gt;$AA9)
))),
IF(
AND(
$AA9-$Z$4&gt;=MAX(AD$4,VLOOKUP(AD$6, Table_ChiPhiNV_Ca[], COUNTA(Table_ChiPhiNV_Ca[[#Headers],[Ca]:[Bắt đầu]]),0)),
$AA9&lt;MIN(AD$5,VLOOKUP(AD$6, Table_ChiPhiNV_Ca[], COUNTA(Table_ChiPhiNV_Ca[[#Headers],[Ca]:[Kết thúc]]),0))),
SUM(_xlfn._xlws.FILTER(Table_BangLuong_TyLeTangCa[Tỷ lệ],
(Table_BangLuong_TyLeTangCa[Ngày] = "Thường") *
(Table_BangLuong_TyLeTangCa[Giờ min]&lt;=$AA9) *
(Table_BangLuong_TyLeTangCa[Giờ max]&gt;$AA9)
)),0)
)),
IF(AD$4 &lt; AD$5,
IF($AA9-$Z$4&lt;AD$4,0,
IF($AA9&gt;AD$5,0,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AD$5,$AA9 &lt; AD$4),0,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E9" s="18" cm="1">
        <f t="array" ref="AE9" xml:space="preserve">
IFERROR(
IF(AE$1="",0,
IF(AND(
$AA9&gt;=VLOOKUP(AE$6, Table_ChiPhiNV_Ca[], COUNTA(Table_ChiPhiNV_Ca[[#Headers],[Ca]:[Bắt đầu nghỉ]]),0),
$AA9&lt;VLOOKUP(AE$6, Table_ChiPhiNV_Ca[], COUNTA(Table_ChiPhiNV_Ca[[#Headers],[Ca]:[Kết thúc nghỉ]]),0)
),0,
IF(NOT(ISBLANK(AE$3)),
IF(ISBLANK(AE$7),0,
IF(AE$4 &lt; AE$5,
IF($AA9-$Z$4&lt;AE$4,0,
IF($AA9&gt;AE$5,0,
SUM(_xlfn._xlws.FILTER(Table_BangLuong_TyLeTangCa[Tỷ lệ],
(Table_BangLuong_TyLeTangCa[Ngày] = AE$3) *
(Table_BangLuong_TyLeTangCa[Giờ min]&lt;=$AA9) *
(Table_BangLuong_TyLeTangCa[Giờ max]&gt;$AA9)
)))),
IF(AND($AA9-$Z$4 &gt;= AE$5,$AA9 &lt; AE$4),0,
SUM(_xlfn._xlws.FILTER(Table_BangLuong_TyLeTangCa[Tỷ lệ],
(Table_BangLuong_TyLeTangCa[Ngày] = AE$3) *
(Table_BangLuong_TyLeTangCa[Giờ min]&lt;=$AA9) *
(Table_BangLuong_TyLeTangCa[Giờ max]&gt;$AA9)
))))
),
IF(ISBLANK(AE$7),
IF(VLOOKUP(AE$6, Table_ChiPhiNV_Ca[], COUNTA(Table_ChiPhiNV_Ca[[#Headers],[Ca]:[Kết thúc]]),0)&gt; VLOOKUP(AE$6, Table_ChiPhiNV_Ca[], COUNTA(Table_ChiPhiNV_Ca[[#Headers],[Ca]:[Bắt đầu]]),0),
IF($AA9-$Z$4&lt;MAX(AE$4,VLOOKUP(AE$6, Table_ChiPhiNV_Ca[], COUNTA(Table_ChiPhiNV_Ca[[#Headers],[Ca]:[Bắt đầu]]),0)),0,
IF($AA9&gt;MIN(AE$5,VLOOKUP(AE$6, Table_ChiPhiNV_Ca[], COUNTA(Table_ChiPhiNV_Ca[[#Headers],[Ca]:[Kết thúc]]),0)),0,
SUM(_xlfn._xlws.FILTER(Table_BangLuong_TyLeTangCa[Tỷ lệ],
(Table_BangLuong_TyLeTangCa[Ngày] = "Thường") *
(Table_BangLuong_TyLeTangCa[Giờ min]&lt;=$AA9) *
(Table_BangLuong_TyLeTangCa[Giờ max]&gt;$AA9)
)))),
IF(AE$4 &gt; AE$5,
IF(
AND(
$AA9-$Z$4&lt;MAX(AE$4,VLOOKUP(AE$6, Table_ChiPhiNV_Ca[], COUNTA(Table_ChiPhiNV_Ca[[#Headers],[Ca]:[Bắt đầu]]),0)),
$AA9&gt;MIN(AE$5,VLOOKUP(AE$6, Table_ChiPhiNV_Ca[], COUNTA(Table_ChiPhiNV_Ca[[#Headers],[Ca]:[Kết thúc]]),0))),0,
SUM(_xlfn._xlws.FILTER(Table_BangLuong_TyLeTangCa[Tỷ lệ],
(Table_BangLuong_TyLeTangCa[Ngày] = "Thường") *
(Table_BangLuong_TyLeTangCa[Giờ min]&lt;=$AA9) *
(Table_BangLuong_TyLeTangCa[Giờ max]&gt;$AA9)
))),
IF(
AND(
$AA9-$Z$4&gt;=MAX(AE$4,VLOOKUP(AE$6, Table_ChiPhiNV_Ca[], COUNTA(Table_ChiPhiNV_Ca[[#Headers],[Ca]:[Bắt đầu]]),0)),
$AA9&lt;MIN(AE$5,VLOOKUP(AE$6, Table_ChiPhiNV_Ca[], COUNTA(Table_ChiPhiNV_Ca[[#Headers],[Ca]:[Kết thúc]]),0))),
SUM(_xlfn._xlws.FILTER(Table_BangLuong_TyLeTangCa[Tỷ lệ],
(Table_BangLuong_TyLeTangCa[Ngày] = "Thường") *
(Table_BangLuong_TyLeTangCa[Giờ min]&lt;=$AA9) *
(Table_BangLuong_TyLeTangCa[Giờ max]&gt;$AA9)
)),0)
)),
IF(AE$4 &lt; AE$5,
IF($AA9-$Z$4&lt;AE$4,0,
IF($AA9&gt;AE$5,0,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AE$5,$AA9 &lt; AE$4),0,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F9" s="18" cm="1">
        <f t="array" ref="AF9" xml:space="preserve">
IFERROR(
IF(AF$1="",0,
IF(AND(
$AA9&gt;=VLOOKUP(AF$6, Table_ChiPhiNV_Ca[], COUNTA(Table_ChiPhiNV_Ca[[#Headers],[Ca]:[Bắt đầu nghỉ]]),0),
$AA9&lt;VLOOKUP(AF$6, Table_ChiPhiNV_Ca[], COUNTA(Table_ChiPhiNV_Ca[[#Headers],[Ca]:[Kết thúc nghỉ]]),0)
),0,
IF(NOT(ISBLANK(AF$3)),
IF(ISBLANK(AF$7),0,
IF(AF$4 &lt; AF$5,
IF($AA9-$Z$4&lt;AF$4,0,
IF($AA9&gt;AF$5,0,
SUM(_xlfn._xlws.FILTER(Table_BangLuong_TyLeTangCa[Tỷ lệ],
(Table_BangLuong_TyLeTangCa[Ngày] = AF$3) *
(Table_BangLuong_TyLeTangCa[Giờ min]&lt;=$AA9) *
(Table_BangLuong_TyLeTangCa[Giờ max]&gt;$AA9)
)))),
IF(AND($AA9-$Z$4 &gt;= AF$5,$AA9 &lt; AF$4),0,
SUM(_xlfn._xlws.FILTER(Table_BangLuong_TyLeTangCa[Tỷ lệ],
(Table_BangLuong_TyLeTangCa[Ngày] = AF$3) *
(Table_BangLuong_TyLeTangCa[Giờ min]&lt;=$AA9) *
(Table_BangLuong_TyLeTangCa[Giờ max]&gt;$AA9)
))))
),
IF(ISBLANK(AF$7),
IF(VLOOKUP(AF$6, Table_ChiPhiNV_Ca[], COUNTA(Table_ChiPhiNV_Ca[[#Headers],[Ca]:[Kết thúc]]),0)&gt; VLOOKUP(AF$6, Table_ChiPhiNV_Ca[], COUNTA(Table_ChiPhiNV_Ca[[#Headers],[Ca]:[Bắt đầu]]),0),
IF($AA9-$Z$4&lt;MAX(AF$4,VLOOKUP(AF$6, Table_ChiPhiNV_Ca[], COUNTA(Table_ChiPhiNV_Ca[[#Headers],[Ca]:[Bắt đầu]]),0)),0,
IF($AA9&gt;MIN(AF$5,VLOOKUP(AF$6, Table_ChiPhiNV_Ca[], COUNTA(Table_ChiPhiNV_Ca[[#Headers],[Ca]:[Kết thúc]]),0)),0,
SUM(_xlfn._xlws.FILTER(Table_BangLuong_TyLeTangCa[Tỷ lệ],
(Table_BangLuong_TyLeTangCa[Ngày] = "Thường") *
(Table_BangLuong_TyLeTangCa[Giờ min]&lt;=$AA9) *
(Table_BangLuong_TyLeTangCa[Giờ max]&gt;$AA9)
)))),
IF(AF$4 &gt; AF$5,
IF(
AND(
$AA9-$Z$4&lt;MAX(AF$4,VLOOKUP(AF$6, Table_ChiPhiNV_Ca[], COUNTA(Table_ChiPhiNV_Ca[[#Headers],[Ca]:[Bắt đầu]]),0)),
$AA9&gt;MIN(AF$5,VLOOKUP(AF$6, Table_ChiPhiNV_Ca[], COUNTA(Table_ChiPhiNV_Ca[[#Headers],[Ca]:[Kết thúc]]),0))),0,
SUM(_xlfn._xlws.FILTER(Table_BangLuong_TyLeTangCa[Tỷ lệ],
(Table_BangLuong_TyLeTangCa[Ngày] = "Thường") *
(Table_BangLuong_TyLeTangCa[Giờ min]&lt;=$AA9) *
(Table_BangLuong_TyLeTangCa[Giờ max]&gt;$AA9)
))),
IF(
AND(
$AA9-$Z$4&gt;=MAX(AF$4,VLOOKUP(AF$6, Table_ChiPhiNV_Ca[], COUNTA(Table_ChiPhiNV_Ca[[#Headers],[Ca]:[Bắt đầu]]),0)),
$AA9&lt;MIN(AF$5,VLOOKUP(AF$6, Table_ChiPhiNV_Ca[], COUNTA(Table_ChiPhiNV_Ca[[#Headers],[Ca]:[Kết thúc]]),0))),
SUM(_xlfn._xlws.FILTER(Table_BangLuong_TyLeTangCa[Tỷ lệ],
(Table_BangLuong_TyLeTangCa[Ngày] = "Thường") *
(Table_BangLuong_TyLeTangCa[Giờ min]&lt;=$AA9) *
(Table_BangLuong_TyLeTangCa[Giờ max]&gt;$AA9)
)),0)
)),
IF(AF$4 &lt; AF$5,
IF($AA9-$Z$4&lt;AF$4,0,
IF($AA9&gt;AF$5,0,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AF$5,$AA9 &lt; AF$4),0,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G9" s="18" cm="1">
        <f t="array" ref="AG9" xml:space="preserve">
IFERROR(
IF(AG$1="",0,
IF(AND(
$AA9&gt;=VLOOKUP(AG$6, Table_ChiPhiNV_Ca[], COUNTA(Table_ChiPhiNV_Ca[[#Headers],[Ca]:[Bắt đầu nghỉ]]),0),
$AA9&lt;VLOOKUP(AG$6, Table_ChiPhiNV_Ca[], COUNTA(Table_ChiPhiNV_Ca[[#Headers],[Ca]:[Kết thúc nghỉ]]),0)
),0,
IF(NOT(ISBLANK(AG$3)),
IF(ISBLANK(AG$7),0,
IF(AG$4 &lt; AG$5,
IF($AA9-$Z$4&lt;AG$4,0,
IF($AA9&gt;AG$5,0,
SUM(_xlfn._xlws.FILTER(Table_BangLuong_TyLeTangCa[Tỷ lệ],
(Table_BangLuong_TyLeTangCa[Ngày] = AG$3) *
(Table_BangLuong_TyLeTangCa[Giờ min]&lt;=$AA9) *
(Table_BangLuong_TyLeTangCa[Giờ max]&gt;$AA9)
)))),
IF(AND($AA9-$Z$4 &gt;= AG$5,$AA9 &lt; AG$4),0,
SUM(_xlfn._xlws.FILTER(Table_BangLuong_TyLeTangCa[Tỷ lệ],
(Table_BangLuong_TyLeTangCa[Ngày] = AG$3) *
(Table_BangLuong_TyLeTangCa[Giờ min]&lt;=$AA9) *
(Table_BangLuong_TyLeTangCa[Giờ max]&gt;$AA9)
))))
),
IF(ISBLANK(AG$7),
IF(VLOOKUP(AG$6, Table_ChiPhiNV_Ca[], COUNTA(Table_ChiPhiNV_Ca[[#Headers],[Ca]:[Kết thúc]]),0)&gt; VLOOKUP(AG$6, Table_ChiPhiNV_Ca[], COUNTA(Table_ChiPhiNV_Ca[[#Headers],[Ca]:[Bắt đầu]]),0),
IF($AA9-$Z$4&lt;MAX(AG$4,VLOOKUP(AG$6, Table_ChiPhiNV_Ca[], COUNTA(Table_ChiPhiNV_Ca[[#Headers],[Ca]:[Bắt đầu]]),0)),0,
IF($AA9&gt;MIN(AG$5,VLOOKUP(AG$6, Table_ChiPhiNV_Ca[], COUNTA(Table_ChiPhiNV_Ca[[#Headers],[Ca]:[Kết thúc]]),0)),0,
SUM(_xlfn._xlws.FILTER(Table_BangLuong_TyLeTangCa[Tỷ lệ],
(Table_BangLuong_TyLeTangCa[Ngày] = "Thường") *
(Table_BangLuong_TyLeTangCa[Giờ min]&lt;=$AA9) *
(Table_BangLuong_TyLeTangCa[Giờ max]&gt;$AA9)
)))),
IF(AG$4 &gt; AG$5,
IF(
AND(
$AA9-$Z$4&lt;MAX(AG$4,VLOOKUP(AG$6, Table_ChiPhiNV_Ca[], COUNTA(Table_ChiPhiNV_Ca[[#Headers],[Ca]:[Bắt đầu]]),0)),
$AA9&gt;MIN(AG$5,VLOOKUP(AG$6, Table_ChiPhiNV_Ca[], COUNTA(Table_ChiPhiNV_Ca[[#Headers],[Ca]:[Kết thúc]]),0))),0,
SUM(_xlfn._xlws.FILTER(Table_BangLuong_TyLeTangCa[Tỷ lệ],
(Table_BangLuong_TyLeTangCa[Ngày] = "Thường") *
(Table_BangLuong_TyLeTangCa[Giờ min]&lt;=$AA9) *
(Table_BangLuong_TyLeTangCa[Giờ max]&gt;$AA9)
))),
IF(
AND(
$AA9-$Z$4&gt;=MAX(AG$4,VLOOKUP(AG$6, Table_ChiPhiNV_Ca[], COUNTA(Table_ChiPhiNV_Ca[[#Headers],[Ca]:[Bắt đầu]]),0)),
$AA9&lt;MIN(AG$5,VLOOKUP(AG$6, Table_ChiPhiNV_Ca[], COUNTA(Table_ChiPhiNV_Ca[[#Headers],[Ca]:[Kết thúc]]),0))),
SUM(_xlfn._xlws.FILTER(Table_BangLuong_TyLeTangCa[Tỷ lệ],
(Table_BangLuong_TyLeTangCa[Ngày] = "Thường") *
(Table_BangLuong_TyLeTangCa[Giờ min]&lt;=$AA9) *
(Table_BangLuong_TyLeTangCa[Giờ max]&gt;$AA9)
)),0)
)),
IF(AG$4 &lt; AG$5,
IF($AA9-$Z$4&lt;AG$4,0,
IF($AA9&gt;AG$5,0,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AG$5,$AA9 &lt; AG$4),0,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H9" s="18" cm="1">
        <f t="array" ref="AH9" xml:space="preserve">
IFERROR(
IF(AH$1="",0,
IF(AND(
$AA9&gt;=VLOOKUP(AH$6, Table_ChiPhiNV_Ca[], COUNTA(Table_ChiPhiNV_Ca[[#Headers],[Ca]:[Bắt đầu nghỉ]]),0),
$AA9&lt;VLOOKUP(AH$6, Table_ChiPhiNV_Ca[], COUNTA(Table_ChiPhiNV_Ca[[#Headers],[Ca]:[Kết thúc nghỉ]]),0)
),0,
IF(NOT(ISBLANK(AH$3)),
IF(ISBLANK(AH$7),0,
IF(AH$4 &lt; AH$5,
IF($AA9-$Z$4&lt;AH$4,0,
IF($AA9&gt;AH$5,0,
SUM(_xlfn._xlws.FILTER(Table_BangLuong_TyLeTangCa[Tỷ lệ],
(Table_BangLuong_TyLeTangCa[Ngày] = AH$3) *
(Table_BangLuong_TyLeTangCa[Giờ min]&lt;=$AA9) *
(Table_BangLuong_TyLeTangCa[Giờ max]&gt;$AA9)
)))),
IF(AND($AA9-$Z$4 &gt;= AH$5,$AA9 &lt; AH$4),0,
SUM(_xlfn._xlws.FILTER(Table_BangLuong_TyLeTangCa[Tỷ lệ],
(Table_BangLuong_TyLeTangCa[Ngày] = AH$3) *
(Table_BangLuong_TyLeTangCa[Giờ min]&lt;=$AA9) *
(Table_BangLuong_TyLeTangCa[Giờ max]&gt;$AA9)
))))
),
IF(ISBLANK(AH$7),
IF(VLOOKUP(AH$6, Table_ChiPhiNV_Ca[], COUNTA(Table_ChiPhiNV_Ca[[#Headers],[Ca]:[Kết thúc]]),0)&gt; VLOOKUP(AH$6, Table_ChiPhiNV_Ca[], COUNTA(Table_ChiPhiNV_Ca[[#Headers],[Ca]:[Bắt đầu]]),0),
IF($AA9-$Z$4&lt;MAX(AH$4,VLOOKUP(AH$6, Table_ChiPhiNV_Ca[], COUNTA(Table_ChiPhiNV_Ca[[#Headers],[Ca]:[Bắt đầu]]),0)),0,
IF($AA9&gt;MIN(AH$5,VLOOKUP(AH$6, Table_ChiPhiNV_Ca[], COUNTA(Table_ChiPhiNV_Ca[[#Headers],[Ca]:[Kết thúc]]),0)),0,
SUM(_xlfn._xlws.FILTER(Table_BangLuong_TyLeTangCa[Tỷ lệ],
(Table_BangLuong_TyLeTangCa[Ngày] = "Thường") *
(Table_BangLuong_TyLeTangCa[Giờ min]&lt;=$AA9) *
(Table_BangLuong_TyLeTangCa[Giờ max]&gt;$AA9)
)))),
IF(AH$4 &gt; AH$5,
IF(
AND(
$AA9-$Z$4&lt;MAX(AH$4,VLOOKUP(AH$6, Table_ChiPhiNV_Ca[], COUNTA(Table_ChiPhiNV_Ca[[#Headers],[Ca]:[Bắt đầu]]),0)),
$AA9&gt;MIN(AH$5,VLOOKUP(AH$6, Table_ChiPhiNV_Ca[], COUNTA(Table_ChiPhiNV_Ca[[#Headers],[Ca]:[Kết thúc]]),0))),0,
SUM(_xlfn._xlws.FILTER(Table_BangLuong_TyLeTangCa[Tỷ lệ],
(Table_BangLuong_TyLeTangCa[Ngày] = "Thường") *
(Table_BangLuong_TyLeTangCa[Giờ min]&lt;=$AA9) *
(Table_BangLuong_TyLeTangCa[Giờ max]&gt;$AA9)
))),
IF(
AND(
$AA9-$Z$4&gt;=MAX(AH$4,VLOOKUP(AH$6, Table_ChiPhiNV_Ca[], COUNTA(Table_ChiPhiNV_Ca[[#Headers],[Ca]:[Bắt đầu]]),0)),
$AA9&lt;MIN(AH$5,VLOOKUP(AH$6, Table_ChiPhiNV_Ca[], COUNTA(Table_ChiPhiNV_Ca[[#Headers],[Ca]:[Kết thúc]]),0))),
SUM(_xlfn._xlws.FILTER(Table_BangLuong_TyLeTangCa[Tỷ lệ],
(Table_BangLuong_TyLeTangCa[Ngày] = "Thường") *
(Table_BangLuong_TyLeTangCa[Giờ min]&lt;=$AA9) *
(Table_BangLuong_TyLeTangCa[Giờ max]&gt;$AA9)
)),0)
)),
IF(AH$4 &lt; AH$5,
IF($AA9-$Z$4&lt;AH$4,0,
IF($AA9&gt;AH$5,0,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AH$5,$AA9 &lt; AH$4),0,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I9" s="18" cm="1">
        <f t="array" ref="AI9" xml:space="preserve">
IFERROR(
IF(AI$1="",0,
IF(AND(
$AA9&gt;=VLOOKUP(AI$6, Table_ChiPhiNV_Ca[], COUNTA(Table_ChiPhiNV_Ca[[#Headers],[Ca]:[Bắt đầu nghỉ]]),0),
$AA9&lt;VLOOKUP(AI$6, Table_ChiPhiNV_Ca[], COUNTA(Table_ChiPhiNV_Ca[[#Headers],[Ca]:[Kết thúc nghỉ]]),0)
),0,
IF(NOT(ISBLANK(AI$3)),
IF(ISBLANK(AI$7),0,
IF(AI$4 &lt; AI$5,
IF($AA9-$Z$4&lt;AI$4,0,
IF($AA9&gt;AI$5,0,
SUM(_xlfn._xlws.FILTER(Table_BangLuong_TyLeTangCa[Tỷ lệ],
(Table_BangLuong_TyLeTangCa[Ngày] = AI$3) *
(Table_BangLuong_TyLeTangCa[Giờ min]&lt;=$AA9) *
(Table_BangLuong_TyLeTangCa[Giờ max]&gt;$AA9)
)))),
IF(AND($AA9-$Z$4 &gt;= AI$5,$AA9 &lt; AI$4),0,
SUM(_xlfn._xlws.FILTER(Table_BangLuong_TyLeTangCa[Tỷ lệ],
(Table_BangLuong_TyLeTangCa[Ngày] = AI$3) *
(Table_BangLuong_TyLeTangCa[Giờ min]&lt;=$AA9) *
(Table_BangLuong_TyLeTangCa[Giờ max]&gt;$AA9)
))))
),
IF(ISBLANK(AI$7),
IF(VLOOKUP(AI$6, Table_ChiPhiNV_Ca[], COUNTA(Table_ChiPhiNV_Ca[[#Headers],[Ca]:[Kết thúc]]),0)&gt; VLOOKUP(AI$6, Table_ChiPhiNV_Ca[], COUNTA(Table_ChiPhiNV_Ca[[#Headers],[Ca]:[Bắt đầu]]),0),
IF($AA9-$Z$4&lt;MAX(AI$4,VLOOKUP(AI$6, Table_ChiPhiNV_Ca[], COUNTA(Table_ChiPhiNV_Ca[[#Headers],[Ca]:[Bắt đầu]]),0)),0,
IF($AA9&gt;MIN(AI$5,VLOOKUP(AI$6, Table_ChiPhiNV_Ca[], COUNTA(Table_ChiPhiNV_Ca[[#Headers],[Ca]:[Kết thúc]]),0)),0,
SUM(_xlfn._xlws.FILTER(Table_BangLuong_TyLeTangCa[Tỷ lệ],
(Table_BangLuong_TyLeTangCa[Ngày] = "Thường") *
(Table_BangLuong_TyLeTangCa[Giờ min]&lt;=$AA9) *
(Table_BangLuong_TyLeTangCa[Giờ max]&gt;$AA9)
)))),
IF(AI$4 &gt; AI$5,
IF(
AND(
$AA9-$Z$4&lt;MAX(AI$4,VLOOKUP(AI$6, Table_ChiPhiNV_Ca[], COUNTA(Table_ChiPhiNV_Ca[[#Headers],[Ca]:[Bắt đầu]]),0)),
$AA9&gt;MIN(AI$5,VLOOKUP(AI$6, Table_ChiPhiNV_Ca[], COUNTA(Table_ChiPhiNV_Ca[[#Headers],[Ca]:[Kết thúc]]),0))),0,
SUM(_xlfn._xlws.FILTER(Table_BangLuong_TyLeTangCa[Tỷ lệ],
(Table_BangLuong_TyLeTangCa[Ngày] = "Thường") *
(Table_BangLuong_TyLeTangCa[Giờ min]&lt;=$AA9) *
(Table_BangLuong_TyLeTangCa[Giờ max]&gt;$AA9)
))),
IF(
AND(
$AA9-$Z$4&gt;=MAX(AI$4,VLOOKUP(AI$6, Table_ChiPhiNV_Ca[], COUNTA(Table_ChiPhiNV_Ca[[#Headers],[Ca]:[Bắt đầu]]),0)),
$AA9&lt;MIN(AI$5,VLOOKUP(AI$6, Table_ChiPhiNV_Ca[], COUNTA(Table_ChiPhiNV_Ca[[#Headers],[Ca]:[Kết thúc]]),0))),
SUM(_xlfn._xlws.FILTER(Table_BangLuong_TyLeTangCa[Tỷ lệ],
(Table_BangLuong_TyLeTangCa[Ngày] = "Thường") *
(Table_BangLuong_TyLeTangCa[Giờ min]&lt;=$AA9) *
(Table_BangLuong_TyLeTangCa[Giờ max]&gt;$AA9)
)),0)
)),
IF(AI$4 &lt; AI$5,
IF($AA9-$Z$4&lt;AI$4,0,
IF($AA9&gt;AI$5,0,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AI$5,$AA9 &lt; AI$4),0,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J9" s="18" cm="1">
        <f t="array" ref="AJ9" xml:space="preserve">
IFERROR(
IF(AJ$1="",0,
IF(AND(
$AA9&gt;=VLOOKUP(AJ$6, Table_ChiPhiNV_Ca[], COUNTA(Table_ChiPhiNV_Ca[[#Headers],[Ca]:[Bắt đầu nghỉ]]),0),
$AA9&lt;VLOOKUP(AJ$6, Table_ChiPhiNV_Ca[], COUNTA(Table_ChiPhiNV_Ca[[#Headers],[Ca]:[Kết thúc nghỉ]]),0)
),0,
IF(NOT(ISBLANK(AJ$3)),
IF(ISBLANK(AJ$7),0,
IF(AJ$4 &lt; AJ$5,
IF($AA9-$Z$4&lt;AJ$4,0,
IF($AA9&gt;AJ$5,0,
SUM(_xlfn._xlws.FILTER(Table_BangLuong_TyLeTangCa[Tỷ lệ],
(Table_BangLuong_TyLeTangCa[Ngày] = AJ$3) *
(Table_BangLuong_TyLeTangCa[Giờ min]&lt;=$AA9) *
(Table_BangLuong_TyLeTangCa[Giờ max]&gt;$AA9)
)))),
IF(AND($AA9-$Z$4 &gt;= AJ$5,$AA9 &lt; AJ$4),0,
SUM(_xlfn._xlws.FILTER(Table_BangLuong_TyLeTangCa[Tỷ lệ],
(Table_BangLuong_TyLeTangCa[Ngày] = AJ$3) *
(Table_BangLuong_TyLeTangCa[Giờ min]&lt;=$AA9) *
(Table_BangLuong_TyLeTangCa[Giờ max]&gt;$AA9)
))))
),
IF(ISBLANK(AJ$7),
IF(VLOOKUP(AJ$6, Table_ChiPhiNV_Ca[], COUNTA(Table_ChiPhiNV_Ca[[#Headers],[Ca]:[Kết thúc]]),0)&gt; VLOOKUP(AJ$6, Table_ChiPhiNV_Ca[], COUNTA(Table_ChiPhiNV_Ca[[#Headers],[Ca]:[Bắt đầu]]),0),
IF($AA9-$Z$4&lt;MAX(AJ$4,VLOOKUP(AJ$6, Table_ChiPhiNV_Ca[], COUNTA(Table_ChiPhiNV_Ca[[#Headers],[Ca]:[Bắt đầu]]),0)),0,
IF($AA9&gt;MIN(AJ$5,VLOOKUP(AJ$6, Table_ChiPhiNV_Ca[], COUNTA(Table_ChiPhiNV_Ca[[#Headers],[Ca]:[Kết thúc]]),0)),0,
SUM(_xlfn._xlws.FILTER(Table_BangLuong_TyLeTangCa[Tỷ lệ],
(Table_BangLuong_TyLeTangCa[Ngày] = "Thường") *
(Table_BangLuong_TyLeTangCa[Giờ min]&lt;=$AA9) *
(Table_BangLuong_TyLeTangCa[Giờ max]&gt;$AA9)
)))),
IF(AJ$4 &gt; AJ$5,
IF(
AND(
$AA9-$Z$4&lt;MAX(AJ$4,VLOOKUP(AJ$6, Table_ChiPhiNV_Ca[], COUNTA(Table_ChiPhiNV_Ca[[#Headers],[Ca]:[Bắt đầu]]),0)),
$AA9&gt;MIN(AJ$5,VLOOKUP(AJ$6, Table_ChiPhiNV_Ca[], COUNTA(Table_ChiPhiNV_Ca[[#Headers],[Ca]:[Kết thúc]]),0))),0,
SUM(_xlfn._xlws.FILTER(Table_BangLuong_TyLeTangCa[Tỷ lệ],
(Table_BangLuong_TyLeTangCa[Ngày] = "Thường") *
(Table_BangLuong_TyLeTangCa[Giờ min]&lt;=$AA9) *
(Table_BangLuong_TyLeTangCa[Giờ max]&gt;$AA9)
))),
IF(
AND(
$AA9-$Z$4&gt;=MAX(AJ$4,VLOOKUP(AJ$6, Table_ChiPhiNV_Ca[], COUNTA(Table_ChiPhiNV_Ca[[#Headers],[Ca]:[Bắt đầu]]),0)),
$AA9&lt;MIN(AJ$5,VLOOKUP(AJ$6, Table_ChiPhiNV_Ca[], COUNTA(Table_ChiPhiNV_Ca[[#Headers],[Ca]:[Kết thúc]]),0))),
SUM(_xlfn._xlws.FILTER(Table_BangLuong_TyLeTangCa[Tỷ lệ],
(Table_BangLuong_TyLeTangCa[Ngày] = "Thường") *
(Table_BangLuong_TyLeTangCa[Giờ min]&lt;=$AA9) *
(Table_BangLuong_TyLeTangCa[Giờ max]&gt;$AA9)
)),0)
)),
IF(AJ$4 &lt; AJ$5,
IF($AA9-$Z$4&lt;AJ$4,0,
IF($AA9&gt;AJ$5,0,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AJ$5,$AA9 &lt; AJ$4),0,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K9" s="18" cm="1">
        <f t="array" ref="AK9" xml:space="preserve">
IFERROR(
IF(AK$1="",0,
IF(AND(
$AA9&gt;=VLOOKUP(AK$6, Table_ChiPhiNV_Ca[], COUNTA(Table_ChiPhiNV_Ca[[#Headers],[Ca]:[Bắt đầu nghỉ]]),0),
$AA9&lt;VLOOKUP(AK$6, Table_ChiPhiNV_Ca[], COUNTA(Table_ChiPhiNV_Ca[[#Headers],[Ca]:[Kết thúc nghỉ]]),0)
),0,
IF(NOT(ISBLANK(AK$3)),
IF(ISBLANK(AK$7),0,
IF(AK$4 &lt; AK$5,
IF($AA9-$Z$4&lt;AK$4,0,
IF($AA9&gt;AK$5,0,
SUM(_xlfn._xlws.FILTER(Table_BangLuong_TyLeTangCa[Tỷ lệ],
(Table_BangLuong_TyLeTangCa[Ngày] = AK$3) *
(Table_BangLuong_TyLeTangCa[Giờ min]&lt;=$AA9) *
(Table_BangLuong_TyLeTangCa[Giờ max]&gt;$AA9)
)))),
IF(AND($AA9-$Z$4 &gt;= AK$5,$AA9 &lt; AK$4),0,
SUM(_xlfn._xlws.FILTER(Table_BangLuong_TyLeTangCa[Tỷ lệ],
(Table_BangLuong_TyLeTangCa[Ngày] = AK$3) *
(Table_BangLuong_TyLeTangCa[Giờ min]&lt;=$AA9) *
(Table_BangLuong_TyLeTangCa[Giờ max]&gt;$AA9)
))))
),
IF(ISBLANK(AK$7),
IF(VLOOKUP(AK$6, Table_ChiPhiNV_Ca[], COUNTA(Table_ChiPhiNV_Ca[[#Headers],[Ca]:[Kết thúc]]),0)&gt; VLOOKUP(AK$6, Table_ChiPhiNV_Ca[], COUNTA(Table_ChiPhiNV_Ca[[#Headers],[Ca]:[Bắt đầu]]),0),
IF($AA9-$Z$4&lt;MAX(AK$4,VLOOKUP(AK$6, Table_ChiPhiNV_Ca[], COUNTA(Table_ChiPhiNV_Ca[[#Headers],[Ca]:[Bắt đầu]]),0)),0,
IF($AA9&gt;MIN(AK$5,VLOOKUP(AK$6, Table_ChiPhiNV_Ca[], COUNTA(Table_ChiPhiNV_Ca[[#Headers],[Ca]:[Kết thúc]]),0)),0,
SUM(_xlfn._xlws.FILTER(Table_BangLuong_TyLeTangCa[Tỷ lệ],
(Table_BangLuong_TyLeTangCa[Ngày] = "Thường") *
(Table_BangLuong_TyLeTangCa[Giờ min]&lt;=$AA9) *
(Table_BangLuong_TyLeTangCa[Giờ max]&gt;$AA9)
)))),
IF(AK$4 &gt; AK$5,
IF(
AND(
$AA9-$Z$4&lt;MAX(AK$4,VLOOKUP(AK$6, Table_ChiPhiNV_Ca[], COUNTA(Table_ChiPhiNV_Ca[[#Headers],[Ca]:[Bắt đầu]]),0)),
$AA9&gt;MIN(AK$5,VLOOKUP(AK$6, Table_ChiPhiNV_Ca[], COUNTA(Table_ChiPhiNV_Ca[[#Headers],[Ca]:[Kết thúc]]),0))),0,
SUM(_xlfn._xlws.FILTER(Table_BangLuong_TyLeTangCa[Tỷ lệ],
(Table_BangLuong_TyLeTangCa[Ngày] = "Thường") *
(Table_BangLuong_TyLeTangCa[Giờ min]&lt;=$AA9) *
(Table_BangLuong_TyLeTangCa[Giờ max]&gt;$AA9)
))),
IF(
AND(
$AA9-$Z$4&gt;=MAX(AK$4,VLOOKUP(AK$6, Table_ChiPhiNV_Ca[], COUNTA(Table_ChiPhiNV_Ca[[#Headers],[Ca]:[Bắt đầu]]),0)),
$AA9&lt;MIN(AK$5,VLOOKUP(AK$6, Table_ChiPhiNV_Ca[], COUNTA(Table_ChiPhiNV_Ca[[#Headers],[Ca]:[Kết thúc]]),0))),
SUM(_xlfn._xlws.FILTER(Table_BangLuong_TyLeTangCa[Tỷ lệ],
(Table_BangLuong_TyLeTangCa[Ngày] = "Thường") *
(Table_BangLuong_TyLeTangCa[Giờ min]&lt;=$AA9) *
(Table_BangLuong_TyLeTangCa[Giờ max]&gt;$AA9)
)),0)
)),
IF(AK$4 &lt; AK$5,
IF($AA9-$Z$4&lt;AK$4,0,
IF($AA9&gt;AK$5,0,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AK$5,$AA9 &lt; AK$4),0,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L9" s="18" cm="1">
        <f t="array" ref="AL9" xml:space="preserve">
IFERROR(
IF(AL$1="",0,
IF(AND(
$AA9&gt;=VLOOKUP(AL$6, Table_ChiPhiNV_Ca[], COUNTA(Table_ChiPhiNV_Ca[[#Headers],[Ca]:[Bắt đầu nghỉ]]),0),
$AA9&lt;VLOOKUP(AL$6, Table_ChiPhiNV_Ca[], COUNTA(Table_ChiPhiNV_Ca[[#Headers],[Ca]:[Kết thúc nghỉ]]),0)
),0,
IF(NOT(ISBLANK(AL$3)),
IF(ISBLANK(AL$7),0,
IF(AL$4 &lt; AL$5,
IF($AA9-$Z$4&lt;AL$4,0,
IF($AA9&gt;AL$5,0,
SUM(_xlfn._xlws.FILTER(Table_BangLuong_TyLeTangCa[Tỷ lệ],
(Table_BangLuong_TyLeTangCa[Ngày] = AL$3) *
(Table_BangLuong_TyLeTangCa[Giờ min]&lt;=$AA9) *
(Table_BangLuong_TyLeTangCa[Giờ max]&gt;$AA9)
)))),
IF(AND($AA9-$Z$4 &gt;= AL$5,$AA9 &lt; AL$4),0,
SUM(_xlfn._xlws.FILTER(Table_BangLuong_TyLeTangCa[Tỷ lệ],
(Table_BangLuong_TyLeTangCa[Ngày] = AL$3) *
(Table_BangLuong_TyLeTangCa[Giờ min]&lt;=$AA9) *
(Table_BangLuong_TyLeTangCa[Giờ max]&gt;$AA9)
))))
),
IF(ISBLANK(AL$7),
IF(VLOOKUP(AL$6, Table_ChiPhiNV_Ca[], COUNTA(Table_ChiPhiNV_Ca[[#Headers],[Ca]:[Kết thúc]]),0)&gt; VLOOKUP(AL$6, Table_ChiPhiNV_Ca[], COUNTA(Table_ChiPhiNV_Ca[[#Headers],[Ca]:[Bắt đầu]]),0),
IF($AA9-$Z$4&lt;MAX(AL$4,VLOOKUP(AL$6, Table_ChiPhiNV_Ca[], COUNTA(Table_ChiPhiNV_Ca[[#Headers],[Ca]:[Bắt đầu]]),0)),0,
IF($AA9&gt;MIN(AL$5,VLOOKUP(AL$6, Table_ChiPhiNV_Ca[], COUNTA(Table_ChiPhiNV_Ca[[#Headers],[Ca]:[Kết thúc]]),0)),0,
SUM(_xlfn._xlws.FILTER(Table_BangLuong_TyLeTangCa[Tỷ lệ],
(Table_BangLuong_TyLeTangCa[Ngày] = "Thường") *
(Table_BangLuong_TyLeTangCa[Giờ min]&lt;=$AA9) *
(Table_BangLuong_TyLeTangCa[Giờ max]&gt;$AA9)
)))),
IF(AL$4 &gt; AL$5,
IF(
AND(
$AA9-$Z$4&lt;MAX(AL$4,VLOOKUP(AL$6, Table_ChiPhiNV_Ca[], COUNTA(Table_ChiPhiNV_Ca[[#Headers],[Ca]:[Bắt đầu]]),0)),
$AA9&gt;MIN(AL$5,VLOOKUP(AL$6, Table_ChiPhiNV_Ca[], COUNTA(Table_ChiPhiNV_Ca[[#Headers],[Ca]:[Kết thúc]]),0))),0,
SUM(_xlfn._xlws.FILTER(Table_BangLuong_TyLeTangCa[Tỷ lệ],
(Table_BangLuong_TyLeTangCa[Ngày] = "Thường") *
(Table_BangLuong_TyLeTangCa[Giờ min]&lt;=$AA9) *
(Table_BangLuong_TyLeTangCa[Giờ max]&gt;$AA9)
))),
IF(
AND(
$AA9-$Z$4&gt;=MAX(AL$4,VLOOKUP(AL$6, Table_ChiPhiNV_Ca[], COUNTA(Table_ChiPhiNV_Ca[[#Headers],[Ca]:[Bắt đầu]]),0)),
$AA9&lt;MIN(AL$5,VLOOKUP(AL$6, Table_ChiPhiNV_Ca[], COUNTA(Table_ChiPhiNV_Ca[[#Headers],[Ca]:[Kết thúc]]),0))),
SUM(_xlfn._xlws.FILTER(Table_BangLuong_TyLeTangCa[Tỷ lệ],
(Table_BangLuong_TyLeTangCa[Ngày] = "Thường") *
(Table_BangLuong_TyLeTangCa[Giờ min]&lt;=$AA9) *
(Table_BangLuong_TyLeTangCa[Giờ max]&gt;$AA9)
)),0)
)),
IF(AL$4 &lt; AL$5,
IF($AA9-$Z$4&lt;AL$4,0,
IF($AA9&gt;AL$5,0,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AL$5,$AA9 &lt; AL$4),0,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M9" s="18" cm="1">
        <f t="array" ref="AM9" xml:space="preserve">
IFERROR(
IF(AM$1="",0,
IF(AND(
$AA9&gt;=VLOOKUP(AM$6, Table_ChiPhiNV_Ca[], COUNTA(Table_ChiPhiNV_Ca[[#Headers],[Ca]:[Bắt đầu nghỉ]]),0),
$AA9&lt;VLOOKUP(AM$6, Table_ChiPhiNV_Ca[], COUNTA(Table_ChiPhiNV_Ca[[#Headers],[Ca]:[Kết thúc nghỉ]]),0)
),0,
IF(NOT(ISBLANK(AM$3)),
IF(ISBLANK(AM$7),0,
IF(AM$4 &lt; AM$5,
IF($AA9-$Z$4&lt;AM$4,0,
IF($AA9&gt;AM$5,0,
SUM(_xlfn._xlws.FILTER(Table_BangLuong_TyLeTangCa[Tỷ lệ],
(Table_BangLuong_TyLeTangCa[Ngày] = AM$3) *
(Table_BangLuong_TyLeTangCa[Giờ min]&lt;=$AA9) *
(Table_BangLuong_TyLeTangCa[Giờ max]&gt;$AA9)
)))),
IF(AND($AA9-$Z$4 &gt;= AM$5,$AA9 &lt; AM$4),0,
SUM(_xlfn._xlws.FILTER(Table_BangLuong_TyLeTangCa[Tỷ lệ],
(Table_BangLuong_TyLeTangCa[Ngày] = AM$3) *
(Table_BangLuong_TyLeTangCa[Giờ min]&lt;=$AA9) *
(Table_BangLuong_TyLeTangCa[Giờ max]&gt;$AA9)
))))
),
IF(ISBLANK(AM$7),
IF(VLOOKUP(AM$6, Table_ChiPhiNV_Ca[], COUNTA(Table_ChiPhiNV_Ca[[#Headers],[Ca]:[Kết thúc]]),0)&gt; VLOOKUP(AM$6, Table_ChiPhiNV_Ca[], COUNTA(Table_ChiPhiNV_Ca[[#Headers],[Ca]:[Bắt đầu]]),0),
IF($AA9-$Z$4&lt;MAX(AM$4,VLOOKUP(AM$6, Table_ChiPhiNV_Ca[], COUNTA(Table_ChiPhiNV_Ca[[#Headers],[Ca]:[Bắt đầu]]),0)),0,
IF($AA9&gt;MIN(AM$5,VLOOKUP(AM$6, Table_ChiPhiNV_Ca[], COUNTA(Table_ChiPhiNV_Ca[[#Headers],[Ca]:[Kết thúc]]),0)),0,
SUM(_xlfn._xlws.FILTER(Table_BangLuong_TyLeTangCa[Tỷ lệ],
(Table_BangLuong_TyLeTangCa[Ngày] = "Thường") *
(Table_BangLuong_TyLeTangCa[Giờ min]&lt;=$AA9) *
(Table_BangLuong_TyLeTangCa[Giờ max]&gt;$AA9)
)))),
IF(AM$4 &gt; AM$5,
IF(
AND(
$AA9-$Z$4&lt;MAX(AM$4,VLOOKUP(AM$6, Table_ChiPhiNV_Ca[], COUNTA(Table_ChiPhiNV_Ca[[#Headers],[Ca]:[Bắt đầu]]),0)),
$AA9&gt;MIN(AM$5,VLOOKUP(AM$6, Table_ChiPhiNV_Ca[], COUNTA(Table_ChiPhiNV_Ca[[#Headers],[Ca]:[Kết thúc]]),0))),0,
SUM(_xlfn._xlws.FILTER(Table_BangLuong_TyLeTangCa[Tỷ lệ],
(Table_BangLuong_TyLeTangCa[Ngày] = "Thường") *
(Table_BangLuong_TyLeTangCa[Giờ min]&lt;=$AA9) *
(Table_BangLuong_TyLeTangCa[Giờ max]&gt;$AA9)
))),
IF(
AND(
$AA9-$Z$4&gt;=MAX(AM$4,VLOOKUP(AM$6, Table_ChiPhiNV_Ca[], COUNTA(Table_ChiPhiNV_Ca[[#Headers],[Ca]:[Bắt đầu]]),0)),
$AA9&lt;MIN(AM$5,VLOOKUP(AM$6, Table_ChiPhiNV_Ca[], COUNTA(Table_ChiPhiNV_Ca[[#Headers],[Ca]:[Kết thúc]]),0))),
SUM(_xlfn._xlws.FILTER(Table_BangLuong_TyLeTangCa[Tỷ lệ],
(Table_BangLuong_TyLeTangCa[Ngày] = "Thường") *
(Table_BangLuong_TyLeTangCa[Giờ min]&lt;=$AA9) *
(Table_BangLuong_TyLeTangCa[Giờ max]&gt;$AA9)
)),0)
)),
IF(AM$4 &lt; AM$5,
IF($AA9-$Z$4&lt;AM$4,0,
IF($AA9&gt;AM$5,0,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AM$5,$AA9 &lt; AM$4),0,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N9" s="18" cm="1">
        <f t="array" ref="AN9" xml:space="preserve">
IFERROR(
IF(AN$1="",0,
IF(AND(
$AA9&gt;=VLOOKUP(AN$6, Table_ChiPhiNV_Ca[], COUNTA(Table_ChiPhiNV_Ca[[#Headers],[Ca]:[Bắt đầu nghỉ]]),0),
$AA9&lt;VLOOKUP(AN$6, Table_ChiPhiNV_Ca[], COUNTA(Table_ChiPhiNV_Ca[[#Headers],[Ca]:[Kết thúc nghỉ]]),0)
),0,
IF(NOT(ISBLANK(AN$3)),
IF(ISBLANK(AN$7),0,
IF(AN$4 &lt; AN$5,
IF($AA9-$Z$4&lt;AN$4,0,
IF($AA9&gt;AN$5,0,
SUM(_xlfn._xlws.FILTER(Table_BangLuong_TyLeTangCa[Tỷ lệ],
(Table_BangLuong_TyLeTangCa[Ngày] = AN$3) *
(Table_BangLuong_TyLeTangCa[Giờ min]&lt;=$AA9) *
(Table_BangLuong_TyLeTangCa[Giờ max]&gt;$AA9)
)))),
IF(AND($AA9-$Z$4 &gt;= AN$5,$AA9 &lt; AN$4),0,
SUM(_xlfn._xlws.FILTER(Table_BangLuong_TyLeTangCa[Tỷ lệ],
(Table_BangLuong_TyLeTangCa[Ngày] = AN$3) *
(Table_BangLuong_TyLeTangCa[Giờ min]&lt;=$AA9) *
(Table_BangLuong_TyLeTangCa[Giờ max]&gt;$AA9)
))))
),
IF(ISBLANK(AN$7),
IF(VLOOKUP(AN$6, Table_ChiPhiNV_Ca[], COUNTA(Table_ChiPhiNV_Ca[[#Headers],[Ca]:[Kết thúc]]),0)&gt; VLOOKUP(AN$6, Table_ChiPhiNV_Ca[], COUNTA(Table_ChiPhiNV_Ca[[#Headers],[Ca]:[Bắt đầu]]),0),
IF($AA9-$Z$4&lt;MAX(AN$4,VLOOKUP(AN$6, Table_ChiPhiNV_Ca[], COUNTA(Table_ChiPhiNV_Ca[[#Headers],[Ca]:[Bắt đầu]]),0)),0,
IF($AA9&gt;MIN(AN$5,VLOOKUP(AN$6, Table_ChiPhiNV_Ca[], COUNTA(Table_ChiPhiNV_Ca[[#Headers],[Ca]:[Kết thúc]]),0)),0,
SUM(_xlfn._xlws.FILTER(Table_BangLuong_TyLeTangCa[Tỷ lệ],
(Table_BangLuong_TyLeTangCa[Ngày] = "Thường") *
(Table_BangLuong_TyLeTangCa[Giờ min]&lt;=$AA9) *
(Table_BangLuong_TyLeTangCa[Giờ max]&gt;$AA9)
)))),
IF(AN$4 &gt; AN$5,
IF(
AND(
$AA9-$Z$4&lt;MAX(AN$4,VLOOKUP(AN$6, Table_ChiPhiNV_Ca[], COUNTA(Table_ChiPhiNV_Ca[[#Headers],[Ca]:[Bắt đầu]]),0)),
$AA9&gt;MIN(AN$5,VLOOKUP(AN$6, Table_ChiPhiNV_Ca[], COUNTA(Table_ChiPhiNV_Ca[[#Headers],[Ca]:[Kết thúc]]),0))),0,
SUM(_xlfn._xlws.FILTER(Table_BangLuong_TyLeTangCa[Tỷ lệ],
(Table_BangLuong_TyLeTangCa[Ngày] = "Thường") *
(Table_BangLuong_TyLeTangCa[Giờ min]&lt;=$AA9) *
(Table_BangLuong_TyLeTangCa[Giờ max]&gt;$AA9)
))),
IF(
AND(
$AA9-$Z$4&gt;=MAX(AN$4,VLOOKUP(AN$6, Table_ChiPhiNV_Ca[], COUNTA(Table_ChiPhiNV_Ca[[#Headers],[Ca]:[Bắt đầu]]),0)),
$AA9&lt;MIN(AN$5,VLOOKUP(AN$6, Table_ChiPhiNV_Ca[], COUNTA(Table_ChiPhiNV_Ca[[#Headers],[Ca]:[Kết thúc]]),0))),
SUM(_xlfn._xlws.FILTER(Table_BangLuong_TyLeTangCa[Tỷ lệ],
(Table_BangLuong_TyLeTangCa[Ngày] = "Thường") *
(Table_BangLuong_TyLeTangCa[Giờ min]&lt;=$AA9) *
(Table_BangLuong_TyLeTangCa[Giờ max]&gt;$AA9)
)),0)
)),
IF(AN$4 &lt; AN$5,
IF($AA9-$Z$4&lt;AN$4,0,
IF($AA9&gt;AN$5,0,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AN$5,$AA9 &lt; AN$4),0,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O9" s="18" cm="1">
        <f t="array" ref="AO9" xml:space="preserve">
IFERROR(
IF(AO$1="",0,
IF(AND(
$AA9&gt;=VLOOKUP(AO$6, Table_ChiPhiNV_Ca[], COUNTA(Table_ChiPhiNV_Ca[[#Headers],[Ca]:[Bắt đầu nghỉ]]),0),
$AA9&lt;VLOOKUP(AO$6, Table_ChiPhiNV_Ca[], COUNTA(Table_ChiPhiNV_Ca[[#Headers],[Ca]:[Kết thúc nghỉ]]),0)
),0,
IF(NOT(ISBLANK(AO$3)),
IF(ISBLANK(AO$7),0,
IF(AO$4 &lt; AO$5,
IF($AA9-$Z$4&lt;AO$4,0,
IF($AA9&gt;AO$5,0,
SUM(_xlfn._xlws.FILTER(Table_BangLuong_TyLeTangCa[Tỷ lệ],
(Table_BangLuong_TyLeTangCa[Ngày] = AO$3) *
(Table_BangLuong_TyLeTangCa[Giờ min]&lt;=$AA9) *
(Table_BangLuong_TyLeTangCa[Giờ max]&gt;$AA9)
)))),
IF(AND($AA9-$Z$4 &gt;= AO$5,$AA9 &lt; AO$4),0,
SUM(_xlfn._xlws.FILTER(Table_BangLuong_TyLeTangCa[Tỷ lệ],
(Table_BangLuong_TyLeTangCa[Ngày] = AO$3) *
(Table_BangLuong_TyLeTangCa[Giờ min]&lt;=$AA9) *
(Table_BangLuong_TyLeTangCa[Giờ max]&gt;$AA9)
))))
),
IF(ISBLANK(AO$7),
IF(VLOOKUP(AO$6, Table_ChiPhiNV_Ca[], COUNTA(Table_ChiPhiNV_Ca[[#Headers],[Ca]:[Kết thúc]]),0)&gt; VLOOKUP(AO$6, Table_ChiPhiNV_Ca[], COUNTA(Table_ChiPhiNV_Ca[[#Headers],[Ca]:[Bắt đầu]]),0),
IF($AA9-$Z$4&lt;MAX(AO$4,VLOOKUP(AO$6, Table_ChiPhiNV_Ca[], COUNTA(Table_ChiPhiNV_Ca[[#Headers],[Ca]:[Bắt đầu]]),0)),0,
IF($AA9&gt;MIN(AO$5,VLOOKUP(AO$6, Table_ChiPhiNV_Ca[], COUNTA(Table_ChiPhiNV_Ca[[#Headers],[Ca]:[Kết thúc]]),0)),0,
SUM(_xlfn._xlws.FILTER(Table_BangLuong_TyLeTangCa[Tỷ lệ],
(Table_BangLuong_TyLeTangCa[Ngày] = "Thường") *
(Table_BangLuong_TyLeTangCa[Giờ min]&lt;=$AA9) *
(Table_BangLuong_TyLeTangCa[Giờ max]&gt;$AA9)
)))),
IF(AO$4 &gt; AO$5,
IF(
AND(
$AA9-$Z$4&lt;MAX(AO$4,VLOOKUP(AO$6, Table_ChiPhiNV_Ca[], COUNTA(Table_ChiPhiNV_Ca[[#Headers],[Ca]:[Bắt đầu]]),0)),
$AA9&gt;MIN(AO$5,VLOOKUP(AO$6, Table_ChiPhiNV_Ca[], COUNTA(Table_ChiPhiNV_Ca[[#Headers],[Ca]:[Kết thúc]]),0))),0,
SUM(_xlfn._xlws.FILTER(Table_BangLuong_TyLeTangCa[Tỷ lệ],
(Table_BangLuong_TyLeTangCa[Ngày] = "Thường") *
(Table_BangLuong_TyLeTangCa[Giờ min]&lt;=$AA9) *
(Table_BangLuong_TyLeTangCa[Giờ max]&gt;$AA9)
))),
IF(
AND(
$AA9-$Z$4&gt;=MAX(AO$4,VLOOKUP(AO$6, Table_ChiPhiNV_Ca[], COUNTA(Table_ChiPhiNV_Ca[[#Headers],[Ca]:[Bắt đầu]]),0)),
$AA9&lt;MIN(AO$5,VLOOKUP(AO$6, Table_ChiPhiNV_Ca[], COUNTA(Table_ChiPhiNV_Ca[[#Headers],[Ca]:[Kết thúc]]),0))),
SUM(_xlfn._xlws.FILTER(Table_BangLuong_TyLeTangCa[Tỷ lệ],
(Table_BangLuong_TyLeTangCa[Ngày] = "Thường") *
(Table_BangLuong_TyLeTangCa[Giờ min]&lt;=$AA9) *
(Table_BangLuong_TyLeTangCa[Giờ max]&gt;$AA9)
)),0)
)),
IF(AO$4 &lt; AO$5,
IF($AA9-$Z$4&lt;AO$4,0,
IF($AA9&gt;AO$5,0,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AO$5,$AA9 &lt; AO$4),0,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P9" s="18" cm="1">
        <f t="array" ref="AP9" xml:space="preserve">
IFERROR(
IF(AP$1="",0,
IF(AND(
$AA9&gt;=VLOOKUP(AP$6, Table_ChiPhiNV_Ca[], COUNTA(Table_ChiPhiNV_Ca[[#Headers],[Ca]:[Bắt đầu nghỉ]]),0),
$AA9&lt;VLOOKUP(AP$6, Table_ChiPhiNV_Ca[], COUNTA(Table_ChiPhiNV_Ca[[#Headers],[Ca]:[Kết thúc nghỉ]]),0)
),0,
IF(NOT(ISBLANK(AP$3)),
IF(ISBLANK(AP$7),0,
IF(AP$4 &lt; AP$5,
IF($AA9-$Z$4&lt;AP$4,0,
IF($AA9&gt;AP$5,0,
SUM(_xlfn._xlws.FILTER(Table_BangLuong_TyLeTangCa[Tỷ lệ],
(Table_BangLuong_TyLeTangCa[Ngày] = AP$3) *
(Table_BangLuong_TyLeTangCa[Giờ min]&lt;=$AA9) *
(Table_BangLuong_TyLeTangCa[Giờ max]&gt;$AA9)
)))),
IF(AND($AA9-$Z$4 &gt;= AP$5,$AA9 &lt; AP$4),0,
SUM(_xlfn._xlws.FILTER(Table_BangLuong_TyLeTangCa[Tỷ lệ],
(Table_BangLuong_TyLeTangCa[Ngày] = AP$3) *
(Table_BangLuong_TyLeTangCa[Giờ min]&lt;=$AA9) *
(Table_BangLuong_TyLeTangCa[Giờ max]&gt;$AA9)
))))
),
IF(ISBLANK(AP$7),
IF(VLOOKUP(AP$6, Table_ChiPhiNV_Ca[], COUNTA(Table_ChiPhiNV_Ca[[#Headers],[Ca]:[Kết thúc]]),0)&gt; VLOOKUP(AP$6, Table_ChiPhiNV_Ca[], COUNTA(Table_ChiPhiNV_Ca[[#Headers],[Ca]:[Bắt đầu]]),0),
IF($AA9-$Z$4&lt;MAX(AP$4,VLOOKUP(AP$6, Table_ChiPhiNV_Ca[], COUNTA(Table_ChiPhiNV_Ca[[#Headers],[Ca]:[Bắt đầu]]),0)),0,
IF($AA9&gt;MIN(AP$5,VLOOKUP(AP$6, Table_ChiPhiNV_Ca[], COUNTA(Table_ChiPhiNV_Ca[[#Headers],[Ca]:[Kết thúc]]),0)),0,
SUM(_xlfn._xlws.FILTER(Table_BangLuong_TyLeTangCa[Tỷ lệ],
(Table_BangLuong_TyLeTangCa[Ngày] = "Thường") *
(Table_BangLuong_TyLeTangCa[Giờ min]&lt;=$AA9) *
(Table_BangLuong_TyLeTangCa[Giờ max]&gt;$AA9)
)))),
IF(AP$4 &gt; AP$5,
IF(
AND(
$AA9-$Z$4&lt;MAX(AP$4,VLOOKUP(AP$6, Table_ChiPhiNV_Ca[], COUNTA(Table_ChiPhiNV_Ca[[#Headers],[Ca]:[Bắt đầu]]),0)),
$AA9&gt;MIN(AP$5,VLOOKUP(AP$6, Table_ChiPhiNV_Ca[], COUNTA(Table_ChiPhiNV_Ca[[#Headers],[Ca]:[Kết thúc]]),0))),0,
SUM(_xlfn._xlws.FILTER(Table_BangLuong_TyLeTangCa[Tỷ lệ],
(Table_BangLuong_TyLeTangCa[Ngày] = "Thường") *
(Table_BangLuong_TyLeTangCa[Giờ min]&lt;=$AA9) *
(Table_BangLuong_TyLeTangCa[Giờ max]&gt;$AA9)
))),
IF(
AND(
$AA9-$Z$4&gt;=MAX(AP$4,VLOOKUP(AP$6, Table_ChiPhiNV_Ca[], COUNTA(Table_ChiPhiNV_Ca[[#Headers],[Ca]:[Bắt đầu]]),0)),
$AA9&lt;MIN(AP$5,VLOOKUP(AP$6, Table_ChiPhiNV_Ca[], COUNTA(Table_ChiPhiNV_Ca[[#Headers],[Ca]:[Kết thúc]]),0))),
SUM(_xlfn._xlws.FILTER(Table_BangLuong_TyLeTangCa[Tỷ lệ],
(Table_BangLuong_TyLeTangCa[Ngày] = "Thường") *
(Table_BangLuong_TyLeTangCa[Giờ min]&lt;=$AA9) *
(Table_BangLuong_TyLeTangCa[Giờ max]&gt;$AA9)
)),0)
)),
IF(AP$4 &lt; AP$5,
IF($AA9-$Z$4&lt;AP$4,0,
IF($AA9&gt;AP$5,0,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AP$5,$AA9 &lt; AP$4),0,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Q9" s="18" cm="1">
        <f t="array" ref="AQ9" xml:space="preserve">
IFERROR(
IF(AQ$1="",0,
IF(AND(
$AA9&gt;=VLOOKUP(AQ$6, Table_ChiPhiNV_Ca[], COUNTA(Table_ChiPhiNV_Ca[[#Headers],[Ca]:[Bắt đầu nghỉ]]),0),
$AA9&lt;VLOOKUP(AQ$6, Table_ChiPhiNV_Ca[], COUNTA(Table_ChiPhiNV_Ca[[#Headers],[Ca]:[Kết thúc nghỉ]]),0)
),0,
IF(NOT(ISBLANK(AQ$3)),
IF(ISBLANK(AQ$7),0,
IF(AQ$4 &lt; AQ$5,
IF($AA9-$Z$4&lt;AQ$4,0,
IF($AA9&gt;AQ$5,0,
SUM(_xlfn._xlws.FILTER(Table_BangLuong_TyLeTangCa[Tỷ lệ],
(Table_BangLuong_TyLeTangCa[Ngày] = AQ$3) *
(Table_BangLuong_TyLeTangCa[Giờ min]&lt;=$AA9) *
(Table_BangLuong_TyLeTangCa[Giờ max]&gt;$AA9)
)))),
IF(AND($AA9-$Z$4 &gt;= AQ$5,$AA9 &lt; AQ$4),0,
SUM(_xlfn._xlws.FILTER(Table_BangLuong_TyLeTangCa[Tỷ lệ],
(Table_BangLuong_TyLeTangCa[Ngày] = AQ$3) *
(Table_BangLuong_TyLeTangCa[Giờ min]&lt;=$AA9) *
(Table_BangLuong_TyLeTangCa[Giờ max]&gt;$AA9)
))))
),
IF(ISBLANK(AQ$7),
IF(VLOOKUP(AQ$6, Table_ChiPhiNV_Ca[], COUNTA(Table_ChiPhiNV_Ca[[#Headers],[Ca]:[Kết thúc]]),0)&gt; VLOOKUP(AQ$6, Table_ChiPhiNV_Ca[], COUNTA(Table_ChiPhiNV_Ca[[#Headers],[Ca]:[Bắt đầu]]),0),
IF($AA9-$Z$4&lt;MAX(AQ$4,VLOOKUP(AQ$6, Table_ChiPhiNV_Ca[], COUNTA(Table_ChiPhiNV_Ca[[#Headers],[Ca]:[Bắt đầu]]),0)),0,
IF($AA9&gt;MIN(AQ$5,VLOOKUP(AQ$6, Table_ChiPhiNV_Ca[], COUNTA(Table_ChiPhiNV_Ca[[#Headers],[Ca]:[Kết thúc]]),0)),0,
SUM(_xlfn._xlws.FILTER(Table_BangLuong_TyLeTangCa[Tỷ lệ],
(Table_BangLuong_TyLeTangCa[Ngày] = "Thường") *
(Table_BangLuong_TyLeTangCa[Giờ min]&lt;=$AA9) *
(Table_BangLuong_TyLeTangCa[Giờ max]&gt;$AA9)
)))),
IF(AQ$4 &gt; AQ$5,
IF(
AND(
$AA9-$Z$4&lt;MAX(AQ$4,VLOOKUP(AQ$6, Table_ChiPhiNV_Ca[], COUNTA(Table_ChiPhiNV_Ca[[#Headers],[Ca]:[Bắt đầu]]),0)),
$AA9&gt;MIN(AQ$5,VLOOKUP(AQ$6, Table_ChiPhiNV_Ca[], COUNTA(Table_ChiPhiNV_Ca[[#Headers],[Ca]:[Kết thúc]]),0))),0,
SUM(_xlfn._xlws.FILTER(Table_BangLuong_TyLeTangCa[Tỷ lệ],
(Table_BangLuong_TyLeTangCa[Ngày] = "Thường") *
(Table_BangLuong_TyLeTangCa[Giờ min]&lt;=$AA9) *
(Table_BangLuong_TyLeTangCa[Giờ max]&gt;$AA9)
))),
IF(
AND(
$AA9-$Z$4&gt;=MAX(AQ$4,VLOOKUP(AQ$6, Table_ChiPhiNV_Ca[], COUNTA(Table_ChiPhiNV_Ca[[#Headers],[Ca]:[Bắt đầu]]),0)),
$AA9&lt;MIN(AQ$5,VLOOKUP(AQ$6, Table_ChiPhiNV_Ca[], COUNTA(Table_ChiPhiNV_Ca[[#Headers],[Ca]:[Kết thúc]]),0))),
SUM(_xlfn._xlws.FILTER(Table_BangLuong_TyLeTangCa[Tỷ lệ],
(Table_BangLuong_TyLeTangCa[Ngày] = "Thường") *
(Table_BangLuong_TyLeTangCa[Giờ min]&lt;=$AA9) *
(Table_BangLuong_TyLeTangCa[Giờ max]&gt;$AA9)
)),0)
)),
IF(AQ$4 &lt; AQ$5,
IF($AA9-$Z$4&lt;AQ$4,0,
IF($AA9&gt;AQ$5,0,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AQ$5,$AA9 &lt; AQ$4),0,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R9" s="18" cm="1">
        <f t="array" ref="AR9" xml:space="preserve">
IFERROR(
IF(AR$1="",0,
IF(AND(
$AA9&gt;=VLOOKUP(AR$6, Table_ChiPhiNV_Ca[], COUNTA(Table_ChiPhiNV_Ca[[#Headers],[Ca]:[Bắt đầu nghỉ]]),0),
$AA9&lt;VLOOKUP(AR$6, Table_ChiPhiNV_Ca[], COUNTA(Table_ChiPhiNV_Ca[[#Headers],[Ca]:[Kết thúc nghỉ]]),0)
),0,
IF(NOT(ISBLANK(AR$3)),
IF(ISBLANK(AR$7),0,
IF(AR$4 &lt; AR$5,
IF($AA9-$Z$4&lt;AR$4,0,
IF($AA9&gt;AR$5,0,
SUM(_xlfn._xlws.FILTER(Table_BangLuong_TyLeTangCa[Tỷ lệ],
(Table_BangLuong_TyLeTangCa[Ngày] = AR$3) *
(Table_BangLuong_TyLeTangCa[Giờ min]&lt;=$AA9) *
(Table_BangLuong_TyLeTangCa[Giờ max]&gt;$AA9)
)))),
IF(AND($AA9-$Z$4 &gt;= AR$5,$AA9 &lt; AR$4),0,
SUM(_xlfn._xlws.FILTER(Table_BangLuong_TyLeTangCa[Tỷ lệ],
(Table_BangLuong_TyLeTangCa[Ngày] = AR$3) *
(Table_BangLuong_TyLeTangCa[Giờ min]&lt;=$AA9) *
(Table_BangLuong_TyLeTangCa[Giờ max]&gt;$AA9)
))))
),
IF(ISBLANK(AR$7),
IF(VLOOKUP(AR$6, Table_ChiPhiNV_Ca[], COUNTA(Table_ChiPhiNV_Ca[[#Headers],[Ca]:[Kết thúc]]),0)&gt; VLOOKUP(AR$6, Table_ChiPhiNV_Ca[], COUNTA(Table_ChiPhiNV_Ca[[#Headers],[Ca]:[Bắt đầu]]),0),
IF($AA9-$Z$4&lt;MAX(AR$4,VLOOKUP(AR$6, Table_ChiPhiNV_Ca[], COUNTA(Table_ChiPhiNV_Ca[[#Headers],[Ca]:[Bắt đầu]]),0)),0,
IF($AA9&gt;MIN(AR$5,VLOOKUP(AR$6, Table_ChiPhiNV_Ca[], COUNTA(Table_ChiPhiNV_Ca[[#Headers],[Ca]:[Kết thúc]]),0)),0,
SUM(_xlfn._xlws.FILTER(Table_BangLuong_TyLeTangCa[Tỷ lệ],
(Table_BangLuong_TyLeTangCa[Ngày] = "Thường") *
(Table_BangLuong_TyLeTangCa[Giờ min]&lt;=$AA9) *
(Table_BangLuong_TyLeTangCa[Giờ max]&gt;$AA9)
)))),
IF(AR$4 &gt; AR$5,
IF(
AND(
$AA9-$Z$4&lt;MAX(AR$4,VLOOKUP(AR$6, Table_ChiPhiNV_Ca[], COUNTA(Table_ChiPhiNV_Ca[[#Headers],[Ca]:[Bắt đầu]]),0)),
$AA9&gt;MIN(AR$5,VLOOKUP(AR$6, Table_ChiPhiNV_Ca[], COUNTA(Table_ChiPhiNV_Ca[[#Headers],[Ca]:[Kết thúc]]),0))),0,
SUM(_xlfn._xlws.FILTER(Table_BangLuong_TyLeTangCa[Tỷ lệ],
(Table_BangLuong_TyLeTangCa[Ngày] = "Thường") *
(Table_BangLuong_TyLeTangCa[Giờ min]&lt;=$AA9) *
(Table_BangLuong_TyLeTangCa[Giờ max]&gt;$AA9)
))),
IF(
AND(
$AA9-$Z$4&gt;=MAX(AR$4,VLOOKUP(AR$6, Table_ChiPhiNV_Ca[], COUNTA(Table_ChiPhiNV_Ca[[#Headers],[Ca]:[Bắt đầu]]),0)),
$AA9&lt;MIN(AR$5,VLOOKUP(AR$6, Table_ChiPhiNV_Ca[], COUNTA(Table_ChiPhiNV_Ca[[#Headers],[Ca]:[Kết thúc]]),0))),
SUM(_xlfn._xlws.FILTER(Table_BangLuong_TyLeTangCa[Tỷ lệ],
(Table_BangLuong_TyLeTangCa[Ngày] = "Thường") *
(Table_BangLuong_TyLeTangCa[Giờ min]&lt;=$AA9) *
(Table_BangLuong_TyLeTangCa[Giờ max]&gt;$AA9)
)),0)
)),
IF(AR$4 &lt; AR$5,
IF($AA9-$Z$4&lt;AR$4,0,
IF($AA9&gt;AR$5,0,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AR$5,$AA9 &lt; AR$4),0,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S9" s="18" cm="1">
        <f t="array" ref="AS9" xml:space="preserve">
IFERROR(
IF(AS$1="",0,
IF(AND(
$AA9&gt;=VLOOKUP(AS$6, Table_ChiPhiNV_Ca[], COUNTA(Table_ChiPhiNV_Ca[[#Headers],[Ca]:[Bắt đầu nghỉ]]),0),
$AA9&lt;VLOOKUP(AS$6, Table_ChiPhiNV_Ca[], COUNTA(Table_ChiPhiNV_Ca[[#Headers],[Ca]:[Kết thúc nghỉ]]),0)
),0,
IF(NOT(ISBLANK(AS$3)),
IF(ISBLANK(AS$7),0,
IF(AS$4 &lt; AS$5,
IF($AA9-$Z$4&lt;AS$4,0,
IF($AA9&gt;AS$5,0,
SUM(_xlfn._xlws.FILTER(Table_BangLuong_TyLeTangCa[Tỷ lệ],
(Table_BangLuong_TyLeTangCa[Ngày] = AS$3) *
(Table_BangLuong_TyLeTangCa[Giờ min]&lt;=$AA9) *
(Table_BangLuong_TyLeTangCa[Giờ max]&gt;$AA9)
)))),
IF(AND($AA9-$Z$4 &gt;= AS$5,$AA9 &lt; AS$4),0,
SUM(_xlfn._xlws.FILTER(Table_BangLuong_TyLeTangCa[Tỷ lệ],
(Table_BangLuong_TyLeTangCa[Ngày] = AS$3) *
(Table_BangLuong_TyLeTangCa[Giờ min]&lt;=$AA9) *
(Table_BangLuong_TyLeTangCa[Giờ max]&gt;$AA9)
))))
),
IF(ISBLANK(AS$7),
IF(VLOOKUP(AS$6, Table_ChiPhiNV_Ca[], COUNTA(Table_ChiPhiNV_Ca[[#Headers],[Ca]:[Kết thúc]]),0)&gt; VLOOKUP(AS$6, Table_ChiPhiNV_Ca[], COUNTA(Table_ChiPhiNV_Ca[[#Headers],[Ca]:[Bắt đầu]]),0),
IF($AA9-$Z$4&lt;MAX(AS$4,VLOOKUP(AS$6, Table_ChiPhiNV_Ca[], COUNTA(Table_ChiPhiNV_Ca[[#Headers],[Ca]:[Bắt đầu]]),0)),0,
IF($AA9&gt;MIN(AS$5,VLOOKUP(AS$6, Table_ChiPhiNV_Ca[], COUNTA(Table_ChiPhiNV_Ca[[#Headers],[Ca]:[Kết thúc]]),0)),0,
SUM(_xlfn._xlws.FILTER(Table_BangLuong_TyLeTangCa[Tỷ lệ],
(Table_BangLuong_TyLeTangCa[Ngày] = "Thường") *
(Table_BangLuong_TyLeTangCa[Giờ min]&lt;=$AA9) *
(Table_BangLuong_TyLeTangCa[Giờ max]&gt;$AA9)
)))),
IF(AS$4 &gt; AS$5,
IF(
AND(
$AA9-$Z$4&lt;MAX(AS$4,VLOOKUP(AS$6, Table_ChiPhiNV_Ca[], COUNTA(Table_ChiPhiNV_Ca[[#Headers],[Ca]:[Bắt đầu]]),0)),
$AA9&gt;MIN(AS$5,VLOOKUP(AS$6, Table_ChiPhiNV_Ca[], COUNTA(Table_ChiPhiNV_Ca[[#Headers],[Ca]:[Kết thúc]]),0))),0,
SUM(_xlfn._xlws.FILTER(Table_BangLuong_TyLeTangCa[Tỷ lệ],
(Table_BangLuong_TyLeTangCa[Ngày] = "Thường") *
(Table_BangLuong_TyLeTangCa[Giờ min]&lt;=$AA9) *
(Table_BangLuong_TyLeTangCa[Giờ max]&gt;$AA9)
))),
IF(
AND(
$AA9-$Z$4&gt;=MAX(AS$4,VLOOKUP(AS$6, Table_ChiPhiNV_Ca[], COUNTA(Table_ChiPhiNV_Ca[[#Headers],[Ca]:[Bắt đầu]]),0)),
$AA9&lt;MIN(AS$5,VLOOKUP(AS$6, Table_ChiPhiNV_Ca[], COUNTA(Table_ChiPhiNV_Ca[[#Headers],[Ca]:[Kết thúc]]),0))),
SUM(_xlfn._xlws.FILTER(Table_BangLuong_TyLeTangCa[Tỷ lệ],
(Table_BangLuong_TyLeTangCa[Ngày] = "Thường") *
(Table_BangLuong_TyLeTangCa[Giờ min]&lt;=$AA9) *
(Table_BangLuong_TyLeTangCa[Giờ max]&gt;$AA9)
)),0)
)),
IF(AS$4 &lt; AS$5,
IF($AA9-$Z$4&lt;AS$4,0,
IF($AA9&gt;AS$5,0,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AS$5,$AA9 &lt; AS$4),0,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T9" s="18" cm="1">
        <f t="array" ref="AT9" xml:space="preserve">
IFERROR(
IF(AT$1="",0,
IF(AND(
$AA9&gt;=VLOOKUP(AT$6, Table_ChiPhiNV_Ca[], COUNTA(Table_ChiPhiNV_Ca[[#Headers],[Ca]:[Bắt đầu nghỉ]]),0),
$AA9&lt;VLOOKUP(AT$6, Table_ChiPhiNV_Ca[], COUNTA(Table_ChiPhiNV_Ca[[#Headers],[Ca]:[Kết thúc nghỉ]]),0)
),0,
IF(NOT(ISBLANK(AT$3)),
IF(ISBLANK(AT$7),0,
IF(AT$4 &lt; AT$5,
IF($AA9-$Z$4&lt;AT$4,0,
IF($AA9&gt;AT$5,0,
SUM(_xlfn._xlws.FILTER(Table_BangLuong_TyLeTangCa[Tỷ lệ],
(Table_BangLuong_TyLeTangCa[Ngày] = AT$3) *
(Table_BangLuong_TyLeTangCa[Giờ min]&lt;=$AA9) *
(Table_BangLuong_TyLeTangCa[Giờ max]&gt;$AA9)
)))),
IF(AND($AA9-$Z$4 &gt;= AT$5,$AA9 &lt; AT$4),0,
SUM(_xlfn._xlws.FILTER(Table_BangLuong_TyLeTangCa[Tỷ lệ],
(Table_BangLuong_TyLeTangCa[Ngày] = AT$3) *
(Table_BangLuong_TyLeTangCa[Giờ min]&lt;=$AA9) *
(Table_BangLuong_TyLeTangCa[Giờ max]&gt;$AA9)
))))
),
IF(ISBLANK(AT$7),
IF(VLOOKUP(AT$6, Table_ChiPhiNV_Ca[], COUNTA(Table_ChiPhiNV_Ca[[#Headers],[Ca]:[Kết thúc]]),0)&gt; VLOOKUP(AT$6, Table_ChiPhiNV_Ca[], COUNTA(Table_ChiPhiNV_Ca[[#Headers],[Ca]:[Bắt đầu]]),0),
IF($AA9-$Z$4&lt;MAX(AT$4,VLOOKUP(AT$6, Table_ChiPhiNV_Ca[], COUNTA(Table_ChiPhiNV_Ca[[#Headers],[Ca]:[Bắt đầu]]),0)),0,
IF($AA9&gt;MIN(AT$5,VLOOKUP(AT$6, Table_ChiPhiNV_Ca[], COUNTA(Table_ChiPhiNV_Ca[[#Headers],[Ca]:[Kết thúc]]),0)),0,
SUM(_xlfn._xlws.FILTER(Table_BangLuong_TyLeTangCa[Tỷ lệ],
(Table_BangLuong_TyLeTangCa[Ngày] = "Thường") *
(Table_BangLuong_TyLeTangCa[Giờ min]&lt;=$AA9) *
(Table_BangLuong_TyLeTangCa[Giờ max]&gt;$AA9)
)))),
IF(AT$4 &gt; AT$5,
IF(
AND(
$AA9-$Z$4&lt;MAX(AT$4,VLOOKUP(AT$6, Table_ChiPhiNV_Ca[], COUNTA(Table_ChiPhiNV_Ca[[#Headers],[Ca]:[Bắt đầu]]),0)),
$AA9&gt;MIN(AT$5,VLOOKUP(AT$6, Table_ChiPhiNV_Ca[], COUNTA(Table_ChiPhiNV_Ca[[#Headers],[Ca]:[Kết thúc]]),0))),0,
SUM(_xlfn._xlws.FILTER(Table_BangLuong_TyLeTangCa[Tỷ lệ],
(Table_BangLuong_TyLeTangCa[Ngày] = "Thường") *
(Table_BangLuong_TyLeTangCa[Giờ min]&lt;=$AA9) *
(Table_BangLuong_TyLeTangCa[Giờ max]&gt;$AA9)
))),
IF(
AND(
$AA9-$Z$4&gt;=MAX(AT$4,VLOOKUP(AT$6, Table_ChiPhiNV_Ca[], COUNTA(Table_ChiPhiNV_Ca[[#Headers],[Ca]:[Bắt đầu]]),0)),
$AA9&lt;MIN(AT$5,VLOOKUP(AT$6, Table_ChiPhiNV_Ca[], COUNTA(Table_ChiPhiNV_Ca[[#Headers],[Ca]:[Kết thúc]]),0))),
SUM(_xlfn._xlws.FILTER(Table_BangLuong_TyLeTangCa[Tỷ lệ],
(Table_BangLuong_TyLeTangCa[Ngày] = "Thường") *
(Table_BangLuong_TyLeTangCa[Giờ min]&lt;=$AA9) *
(Table_BangLuong_TyLeTangCa[Giờ max]&gt;$AA9)
)),0)
)),
IF(AT$4 &lt; AT$5,
IF($AA9-$Z$4&lt;AT$4,0,
IF($AA9&gt;AT$5,0,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AT$5,$AA9 &lt; AT$4),0,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U9" s="18" cm="1">
        <f t="array" ref="AU9" xml:space="preserve">
IFERROR(
IF(AU$1="",0,
IF(AND(
$AA9&gt;=VLOOKUP(AU$6, Table_ChiPhiNV_Ca[], COUNTA(Table_ChiPhiNV_Ca[[#Headers],[Ca]:[Bắt đầu nghỉ]]),0),
$AA9&lt;VLOOKUP(AU$6, Table_ChiPhiNV_Ca[], COUNTA(Table_ChiPhiNV_Ca[[#Headers],[Ca]:[Kết thúc nghỉ]]),0)
),0,
IF(NOT(ISBLANK(AU$3)),
IF(ISBLANK(AU$7),0,
IF(AU$4 &lt; AU$5,
IF($AA9-$Z$4&lt;AU$4,0,
IF($AA9&gt;AU$5,0,
SUM(_xlfn._xlws.FILTER(Table_BangLuong_TyLeTangCa[Tỷ lệ],
(Table_BangLuong_TyLeTangCa[Ngày] = AU$3) *
(Table_BangLuong_TyLeTangCa[Giờ min]&lt;=$AA9) *
(Table_BangLuong_TyLeTangCa[Giờ max]&gt;$AA9)
)))),
IF(AND($AA9-$Z$4 &gt;= AU$5,$AA9 &lt; AU$4),0,
SUM(_xlfn._xlws.FILTER(Table_BangLuong_TyLeTangCa[Tỷ lệ],
(Table_BangLuong_TyLeTangCa[Ngày] = AU$3) *
(Table_BangLuong_TyLeTangCa[Giờ min]&lt;=$AA9) *
(Table_BangLuong_TyLeTangCa[Giờ max]&gt;$AA9)
))))
),
IF(ISBLANK(AU$7),
IF(VLOOKUP(AU$6, Table_ChiPhiNV_Ca[], COUNTA(Table_ChiPhiNV_Ca[[#Headers],[Ca]:[Kết thúc]]),0)&gt; VLOOKUP(AU$6, Table_ChiPhiNV_Ca[], COUNTA(Table_ChiPhiNV_Ca[[#Headers],[Ca]:[Bắt đầu]]),0),
IF($AA9-$Z$4&lt;MAX(AU$4,VLOOKUP(AU$6, Table_ChiPhiNV_Ca[], COUNTA(Table_ChiPhiNV_Ca[[#Headers],[Ca]:[Bắt đầu]]),0)),0,
IF($AA9&gt;MIN(AU$5,VLOOKUP(AU$6, Table_ChiPhiNV_Ca[], COUNTA(Table_ChiPhiNV_Ca[[#Headers],[Ca]:[Kết thúc]]),0)),0,
SUM(_xlfn._xlws.FILTER(Table_BangLuong_TyLeTangCa[Tỷ lệ],
(Table_BangLuong_TyLeTangCa[Ngày] = "Thường") *
(Table_BangLuong_TyLeTangCa[Giờ min]&lt;=$AA9) *
(Table_BangLuong_TyLeTangCa[Giờ max]&gt;$AA9)
)))),
IF(AU$4 &gt; AU$5,
IF(
AND(
$AA9-$Z$4&lt;MAX(AU$4,VLOOKUP(AU$6, Table_ChiPhiNV_Ca[], COUNTA(Table_ChiPhiNV_Ca[[#Headers],[Ca]:[Bắt đầu]]),0)),
$AA9&gt;MIN(AU$5,VLOOKUP(AU$6, Table_ChiPhiNV_Ca[], COUNTA(Table_ChiPhiNV_Ca[[#Headers],[Ca]:[Kết thúc]]),0))),0,
SUM(_xlfn._xlws.FILTER(Table_BangLuong_TyLeTangCa[Tỷ lệ],
(Table_BangLuong_TyLeTangCa[Ngày] = "Thường") *
(Table_BangLuong_TyLeTangCa[Giờ min]&lt;=$AA9) *
(Table_BangLuong_TyLeTangCa[Giờ max]&gt;$AA9)
))),
IF(
AND(
$AA9-$Z$4&gt;=MAX(AU$4,VLOOKUP(AU$6, Table_ChiPhiNV_Ca[], COUNTA(Table_ChiPhiNV_Ca[[#Headers],[Ca]:[Bắt đầu]]),0)),
$AA9&lt;MIN(AU$5,VLOOKUP(AU$6, Table_ChiPhiNV_Ca[], COUNTA(Table_ChiPhiNV_Ca[[#Headers],[Ca]:[Kết thúc]]),0))),
SUM(_xlfn._xlws.FILTER(Table_BangLuong_TyLeTangCa[Tỷ lệ],
(Table_BangLuong_TyLeTangCa[Ngày] = "Thường") *
(Table_BangLuong_TyLeTangCa[Giờ min]&lt;=$AA9) *
(Table_BangLuong_TyLeTangCa[Giờ max]&gt;$AA9)
)),0)
)),
IF(AU$4 &lt; AU$5,
IF($AA9-$Z$4&lt;AU$4,0,
IF($AA9&gt;AU$5,0,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AU$5,$AA9 &lt; AU$4),0,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V9" s="18" cm="1">
        <f t="array" ref="AV9" xml:space="preserve">
IFERROR(
IF(AV$1="",0,
IF(AND(
$AA9&gt;=VLOOKUP(AV$6, Table_ChiPhiNV_Ca[], COUNTA(Table_ChiPhiNV_Ca[[#Headers],[Ca]:[Bắt đầu nghỉ]]),0),
$AA9&lt;VLOOKUP(AV$6, Table_ChiPhiNV_Ca[], COUNTA(Table_ChiPhiNV_Ca[[#Headers],[Ca]:[Kết thúc nghỉ]]),0)
),0,
IF(NOT(ISBLANK(AV$3)),
IF(ISBLANK(AV$7),0,
IF(AV$4 &lt; AV$5,
IF($AA9-$Z$4&lt;AV$4,0,
IF($AA9&gt;AV$5,0,
SUM(_xlfn._xlws.FILTER(Table_BangLuong_TyLeTangCa[Tỷ lệ],
(Table_BangLuong_TyLeTangCa[Ngày] = AV$3) *
(Table_BangLuong_TyLeTangCa[Giờ min]&lt;=$AA9) *
(Table_BangLuong_TyLeTangCa[Giờ max]&gt;$AA9)
)))),
IF(AND($AA9-$Z$4 &gt;= AV$5,$AA9 &lt; AV$4),0,
SUM(_xlfn._xlws.FILTER(Table_BangLuong_TyLeTangCa[Tỷ lệ],
(Table_BangLuong_TyLeTangCa[Ngày] = AV$3) *
(Table_BangLuong_TyLeTangCa[Giờ min]&lt;=$AA9) *
(Table_BangLuong_TyLeTangCa[Giờ max]&gt;$AA9)
))))
),
IF(ISBLANK(AV$7),
IF(VLOOKUP(AV$6, Table_ChiPhiNV_Ca[], COUNTA(Table_ChiPhiNV_Ca[[#Headers],[Ca]:[Kết thúc]]),0)&gt; VLOOKUP(AV$6, Table_ChiPhiNV_Ca[], COUNTA(Table_ChiPhiNV_Ca[[#Headers],[Ca]:[Bắt đầu]]),0),
IF($AA9-$Z$4&lt;MAX(AV$4,VLOOKUP(AV$6, Table_ChiPhiNV_Ca[], COUNTA(Table_ChiPhiNV_Ca[[#Headers],[Ca]:[Bắt đầu]]),0)),0,
IF($AA9&gt;MIN(AV$5,VLOOKUP(AV$6, Table_ChiPhiNV_Ca[], COUNTA(Table_ChiPhiNV_Ca[[#Headers],[Ca]:[Kết thúc]]),0)),0,
SUM(_xlfn._xlws.FILTER(Table_BangLuong_TyLeTangCa[Tỷ lệ],
(Table_BangLuong_TyLeTangCa[Ngày] = "Thường") *
(Table_BangLuong_TyLeTangCa[Giờ min]&lt;=$AA9) *
(Table_BangLuong_TyLeTangCa[Giờ max]&gt;$AA9)
)))),
IF(AV$4 &gt; AV$5,
IF(
AND(
$AA9-$Z$4&lt;MAX(AV$4,VLOOKUP(AV$6, Table_ChiPhiNV_Ca[], COUNTA(Table_ChiPhiNV_Ca[[#Headers],[Ca]:[Bắt đầu]]),0)),
$AA9&gt;MIN(AV$5,VLOOKUP(AV$6, Table_ChiPhiNV_Ca[], COUNTA(Table_ChiPhiNV_Ca[[#Headers],[Ca]:[Kết thúc]]),0))),0,
SUM(_xlfn._xlws.FILTER(Table_BangLuong_TyLeTangCa[Tỷ lệ],
(Table_BangLuong_TyLeTangCa[Ngày] = "Thường") *
(Table_BangLuong_TyLeTangCa[Giờ min]&lt;=$AA9) *
(Table_BangLuong_TyLeTangCa[Giờ max]&gt;$AA9)
))),
IF(
AND(
$AA9-$Z$4&gt;=MAX(AV$4,VLOOKUP(AV$6, Table_ChiPhiNV_Ca[], COUNTA(Table_ChiPhiNV_Ca[[#Headers],[Ca]:[Bắt đầu]]),0)),
$AA9&lt;MIN(AV$5,VLOOKUP(AV$6, Table_ChiPhiNV_Ca[], COUNTA(Table_ChiPhiNV_Ca[[#Headers],[Ca]:[Kết thúc]]),0))),
SUM(_xlfn._xlws.FILTER(Table_BangLuong_TyLeTangCa[Tỷ lệ],
(Table_BangLuong_TyLeTangCa[Ngày] = "Thường") *
(Table_BangLuong_TyLeTangCa[Giờ min]&lt;=$AA9) *
(Table_BangLuong_TyLeTangCa[Giờ max]&gt;$AA9)
)),0)
)),
IF(AV$4 &lt; AV$5,
IF($AA9-$Z$4&lt;AV$4,0,
IF($AA9&gt;AV$5,0,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AV$5,$AA9 &lt; AV$4),0,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W9" s="18" cm="1">
        <f t="array" ref="AW9" xml:space="preserve">
IFERROR(
IF(AW$1="",0,
IF(AND(
$AA9&gt;=VLOOKUP(AW$6, Table_ChiPhiNV_Ca[], COUNTA(Table_ChiPhiNV_Ca[[#Headers],[Ca]:[Bắt đầu nghỉ]]),0),
$AA9&lt;VLOOKUP(AW$6, Table_ChiPhiNV_Ca[], COUNTA(Table_ChiPhiNV_Ca[[#Headers],[Ca]:[Kết thúc nghỉ]]),0)
),0,
IF(NOT(ISBLANK(AW$3)),
IF(ISBLANK(AW$7),0,
IF(AW$4 &lt; AW$5,
IF($AA9-$Z$4&lt;AW$4,0,
IF($AA9&gt;AW$5,0,
SUM(_xlfn._xlws.FILTER(Table_BangLuong_TyLeTangCa[Tỷ lệ],
(Table_BangLuong_TyLeTangCa[Ngày] = AW$3) *
(Table_BangLuong_TyLeTangCa[Giờ min]&lt;=$AA9) *
(Table_BangLuong_TyLeTangCa[Giờ max]&gt;$AA9)
)))),
IF(AND($AA9-$Z$4 &gt;= AW$5,$AA9 &lt; AW$4),0,
SUM(_xlfn._xlws.FILTER(Table_BangLuong_TyLeTangCa[Tỷ lệ],
(Table_BangLuong_TyLeTangCa[Ngày] = AW$3) *
(Table_BangLuong_TyLeTangCa[Giờ min]&lt;=$AA9) *
(Table_BangLuong_TyLeTangCa[Giờ max]&gt;$AA9)
))))
),
IF(ISBLANK(AW$7),
IF(VLOOKUP(AW$6, Table_ChiPhiNV_Ca[], COUNTA(Table_ChiPhiNV_Ca[[#Headers],[Ca]:[Kết thúc]]),0)&gt; VLOOKUP(AW$6, Table_ChiPhiNV_Ca[], COUNTA(Table_ChiPhiNV_Ca[[#Headers],[Ca]:[Bắt đầu]]),0),
IF($AA9-$Z$4&lt;MAX(AW$4,VLOOKUP(AW$6, Table_ChiPhiNV_Ca[], COUNTA(Table_ChiPhiNV_Ca[[#Headers],[Ca]:[Bắt đầu]]),0)),0,
IF($AA9&gt;MIN(AW$5,VLOOKUP(AW$6, Table_ChiPhiNV_Ca[], COUNTA(Table_ChiPhiNV_Ca[[#Headers],[Ca]:[Kết thúc]]),0)),0,
SUM(_xlfn._xlws.FILTER(Table_BangLuong_TyLeTangCa[Tỷ lệ],
(Table_BangLuong_TyLeTangCa[Ngày] = "Thường") *
(Table_BangLuong_TyLeTangCa[Giờ min]&lt;=$AA9) *
(Table_BangLuong_TyLeTangCa[Giờ max]&gt;$AA9)
)))),
IF(AW$4 &gt; AW$5,
IF(
AND(
$AA9-$Z$4&lt;MAX(AW$4,VLOOKUP(AW$6, Table_ChiPhiNV_Ca[], COUNTA(Table_ChiPhiNV_Ca[[#Headers],[Ca]:[Bắt đầu]]),0)),
$AA9&gt;MIN(AW$5,VLOOKUP(AW$6, Table_ChiPhiNV_Ca[], COUNTA(Table_ChiPhiNV_Ca[[#Headers],[Ca]:[Kết thúc]]),0))),0,
SUM(_xlfn._xlws.FILTER(Table_BangLuong_TyLeTangCa[Tỷ lệ],
(Table_BangLuong_TyLeTangCa[Ngày] = "Thường") *
(Table_BangLuong_TyLeTangCa[Giờ min]&lt;=$AA9) *
(Table_BangLuong_TyLeTangCa[Giờ max]&gt;$AA9)
))),
IF(
AND(
$AA9-$Z$4&gt;=MAX(AW$4,VLOOKUP(AW$6, Table_ChiPhiNV_Ca[], COUNTA(Table_ChiPhiNV_Ca[[#Headers],[Ca]:[Bắt đầu]]),0)),
$AA9&lt;MIN(AW$5,VLOOKUP(AW$6, Table_ChiPhiNV_Ca[], COUNTA(Table_ChiPhiNV_Ca[[#Headers],[Ca]:[Kết thúc]]),0))),
SUM(_xlfn._xlws.FILTER(Table_BangLuong_TyLeTangCa[Tỷ lệ],
(Table_BangLuong_TyLeTangCa[Ngày] = "Thường") *
(Table_BangLuong_TyLeTangCa[Giờ min]&lt;=$AA9) *
(Table_BangLuong_TyLeTangCa[Giờ max]&gt;$AA9)
)),0)
)),
IF(AW$4 &lt; AW$5,
IF($AA9-$Z$4&lt;AW$4,0,
IF($AA9&gt;AW$5,0,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AW$5,$AA9 &lt; AW$4),0,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X9" s="18" cm="1">
        <f t="array" ref="AX9" xml:space="preserve">
IFERROR(
IF(AX$1="",0,
IF(AND(
$AA9&gt;=VLOOKUP(AX$6, Table_ChiPhiNV_Ca[], COUNTA(Table_ChiPhiNV_Ca[[#Headers],[Ca]:[Bắt đầu nghỉ]]),0),
$AA9&lt;VLOOKUP(AX$6, Table_ChiPhiNV_Ca[], COUNTA(Table_ChiPhiNV_Ca[[#Headers],[Ca]:[Kết thúc nghỉ]]),0)
),0,
IF(NOT(ISBLANK(AX$3)),
IF(ISBLANK(AX$7),0,
IF(AX$4 &lt; AX$5,
IF($AA9-$Z$4&lt;AX$4,0,
IF($AA9&gt;AX$5,0,
SUM(_xlfn._xlws.FILTER(Table_BangLuong_TyLeTangCa[Tỷ lệ],
(Table_BangLuong_TyLeTangCa[Ngày] = AX$3) *
(Table_BangLuong_TyLeTangCa[Giờ min]&lt;=$AA9) *
(Table_BangLuong_TyLeTangCa[Giờ max]&gt;$AA9)
)))),
IF(AND($AA9-$Z$4 &gt;= AX$5,$AA9 &lt; AX$4),0,
SUM(_xlfn._xlws.FILTER(Table_BangLuong_TyLeTangCa[Tỷ lệ],
(Table_BangLuong_TyLeTangCa[Ngày] = AX$3) *
(Table_BangLuong_TyLeTangCa[Giờ min]&lt;=$AA9) *
(Table_BangLuong_TyLeTangCa[Giờ max]&gt;$AA9)
))))
),
IF(ISBLANK(AX$7),
IF(VLOOKUP(AX$6, Table_ChiPhiNV_Ca[], COUNTA(Table_ChiPhiNV_Ca[[#Headers],[Ca]:[Kết thúc]]),0)&gt; VLOOKUP(AX$6, Table_ChiPhiNV_Ca[], COUNTA(Table_ChiPhiNV_Ca[[#Headers],[Ca]:[Bắt đầu]]),0),
IF($AA9-$Z$4&lt;MAX(AX$4,VLOOKUP(AX$6, Table_ChiPhiNV_Ca[], COUNTA(Table_ChiPhiNV_Ca[[#Headers],[Ca]:[Bắt đầu]]),0)),0,
IF($AA9&gt;MIN(AX$5,VLOOKUP(AX$6, Table_ChiPhiNV_Ca[], COUNTA(Table_ChiPhiNV_Ca[[#Headers],[Ca]:[Kết thúc]]),0)),0,
SUM(_xlfn._xlws.FILTER(Table_BangLuong_TyLeTangCa[Tỷ lệ],
(Table_BangLuong_TyLeTangCa[Ngày] = "Thường") *
(Table_BangLuong_TyLeTangCa[Giờ min]&lt;=$AA9) *
(Table_BangLuong_TyLeTangCa[Giờ max]&gt;$AA9)
)))),
IF(AX$4 &gt; AX$5,
IF(
AND(
$AA9-$Z$4&lt;MAX(AX$4,VLOOKUP(AX$6, Table_ChiPhiNV_Ca[], COUNTA(Table_ChiPhiNV_Ca[[#Headers],[Ca]:[Bắt đầu]]),0)),
$AA9&gt;MIN(AX$5,VLOOKUP(AX$6, Table_ChiPhiNV_Ca[], COUNTA(Table_ChiPhiNV_Ca[[#Headers],[Ca]:[Kết thúc]]),0))),0,
SUM(_xlfn._xlws.FILTER(Table_BangLuong_TyLeTangCa[Tỷ lệ],
(Table_BangLuong_TyLeTangCa[Ngày] = "Thường") *
(Table_BangLuong_TyLeTangCa[Giờ min]&lt;=$AA9) *
(Table_BangLuong_TyLeTangCa[Giờ max]&gt;$AA9)
))),
IF(
AND(
$AA9-$Z$4&gt;=MAX(AX$4,VLOOKUP(AX$6, Table_ChiPhiNV_Ca[], COUNTA(Table_ChiPhiNV_Ca[[#Headers],[Ca]:[Bắt đầu]]),0)),
$AA9&lt;MIN(AX$5,VLOOKUP(AX$6, Table_ChiPhiNV_Ca[], COUNTA(Table_ChiPhiNV_Ca[[#Headers],[Ca]:[Kết thúc]]),0))),
SUM(_xlfn._xlws.FILTER(Table_BangLuong_TyLeTangCa[Tỷ lệ],
(Table_BangLuong_TyLeTangCa[Ngày] = "Thường") *
(Table_BangLuong_TyLeTangCa[Giờ min]&lt;=$AA9) *
(Table_BangLuong_TyLeTangCa[Giờ max]&gt;$AA9)
)),0)
)),
IF(AX$4 &lt; AX$5,
IF($AA9-$Z$4&lt;AX$4,0,
IF($AA9&gt;AX$5,0,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AX$5,$AA9 &lt; AX$4),0,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Y9" s="18" cm="1">
        <f t="array" ref="AY9" xml:space="preserve">
IFERROR(
IF(AY$1="",0,
IF(AND(
$AA9&gt;=VLOOKUP(AY$6, Table_ChiPhiNV_Ca[], COUNTA(Table_ChiPhiNV_Ca[[#Headers],[Ca]:[Bắt đầu nghỉ]]),0),
$AA9&lt;VLOOKUP(AY$6, Table_ChiPhiNV_Ca[], COUNTA(Table_ChiPhiNV_Ca[[#Headers],[Ca]:[Kết thúc nghỉ]]),0)
),0,
IF(NOT(ISBLANK(AY$3)),
IF(ISBLANK(AY$7),0,
IF(AY$4 &lt; AY$5,
IF($AA9-$Z$4&lt;AY$4,0,
IF($AA9&gt;AY$5,0,
SUM(_xlfn._xlws.FILTER(Table_BangLuong_TyLeTangCa[Tỷ lệ],
(Table_BangLuong_TyLeTangCa[Ngày] = AY$3) *
(Table_BangLuong_TyLeTangCa[Giờ min]&lt;=$AA9) *
(Table_BangLuong_TyLeTangCa[Giờ max]&gt;$AA9)
)))),
IF(AND($AA9-$Z$4 &gt;= AY$5,$AA9 &lt; AY$4),0,
SUM(_xlfn._xlws.FILTER(Table_BangLuong_TyLeTangCa[Tỷ lệ],
(Table_BangLuong_TyLeTangCa[Ngày] = AY$3) *
(Table_BangLuong_TyLeTangCa[Giờ min]&lt;=$AA9) *
(Table_BangLuong_TyLeTangCa[Giờ max]&gt;$AA9)
))))
),
IF(ISBLANK(AY$7),
IF(VLOOKUP(AY$6, Table_ChiPhiNV_Ca[], COUNTA(Table_ChiPhiNV_Ca[[#Headers],[Ca]:[Kết thúc]]),0)&gt; VLOOKUP(AY$6, Table_ChiPhiNV_Ca[], COUNTA(Table_ChiPhiNV_Ca[[#Headers],[Ca]:[Bắt đầu]]),0),
IF($AA9-$Z$4&lt;MAX(AY$4,VLOOKUP(AY$6, Table_ChiPhiNV_Ca[], COUNTA(Table_ChiPhiNV_Ca[[#Headers],[Ca]:[Bắt đầu]]),0)),0,
IF($AA9&gt;MIN(AY$5,VLOOKUP(AY$6, Table_ChiPhiNV_Ca[], COUNTA(Table_ChiPhiNV_Ca[[#Headers],[Ca]:[Kết thúc]]),0)),0,
SUM(_xlfn._xlws.FILTER(Table_BangLuong_TyLeTangCa[Tỷ lệ],
(Table_BangLuong_TyLeTangCa[Ngày] = "Thường") *
(Table_BangLuong_TyLeTangCa[Giờ min]&lt;=$AA9) *
(Table_BangLuong_TyLeTangCa[Giờ max]&gt;$AA9)
)))),
IF(AY$4 &gt; AY$5,
IF(
AND(
$AA9-$Z$4&lt;MAX(AY$4,VLOOKUP(AY$6, Table_ChiPhiNV_Ca[], COUNTA(Table_ChiPhiNV_Ca[[#Headers],[Ca]:[Bắt đầu]]),0)),
$AA9&gt;MIN(AY$5,VLOOKUP(AY$6, Table_ChiPhiNV_Ca[], COUNTA(Table_ChiPhiNV_Ca[[#Headers],[Ca]:[Kết thúc]]),0))),0,
SUM(_xlfn._xlws.FILTER(Table_BangLuong_TyLeTangCa[Tỷ lệ],
(Table_BangLuong_TyLeTangCa[Ngày] = "Thường") *
(Table_BangLuong_TyLeTangCa[Giờ min]&lt;=$AA9) *
(Table_BangLuong_TyLeTangCa[Giờ max]&gt;$AA9)
))),
IF(
AND(
$AA9-$Z$4&gt;=MAX(AY$4,VLOOKUP(AY$6, Table_ChiPhiNV_Ca[], COUNTA(Table_ChiPhiNV_Ca[[#Headers],[Ca]:[Bắt đầu]]),0)),
$AA9&lt;MIN(AY$5,VLOOKUP(AY$6, Table_ChiPhiNV_Ca[], COUNTA(Table_ChiPhiNV_Ca[[#Headers],[Ca]:[Kết thúc]]),0))),
SUM(_xlfn._xlws.FILTER(Table_BangLuong_TyLeTangCa[Tỷ lệ],
(Table_BangLuong_TyLeTangCa[Ngày] = "Thường") *
(Table_BangLuong_TyLeTangCa[Giờ min]&lt;=$AA9) *
(Table_BangLuong_TyLeTangCa[Giờ max]&gt;$AA9)
)),0)
)),
IF(AY$4 &lt; AY$5,
IF($AA9-$Z$4&lt;AY$4,0,
IF($AA9&gt;AY$5,0,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AY$5,$AA9 &lt; AY$4),0,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Z9" s="18" cm="1">
        <f t="array" ref="AZ9" xml:space="preserve">
IFERROR(
IF(AZ$1="",0,
IF(AND(
$AA9&gt;=VLOOKUP(AZ$6, Table_ChiPhiNV_Ca[], COUNTA(Table_ChiPhiNV_Ca[[#Headers],[Ca]:[Bắt đầu nghỉ]]),0),
$AA9&lt;VLOOKUP(AZ$6, Table_ChiPhiNV_Ca[], COUNTA(Table_ChiPhiNV_Ca[[#Headers],[Ca]:[Kết thúc nghỉ]]),0)
),0,
IF(NOT(ISBLANK(AZ$3)),
IF(ISBLANK(AZ$7),0,
IF(AZ$4 &lt; AZ$5,
IF($AA9-$Z$4&lt;AZ$4,0,
IF($AA9&gt;AZ$5,0,
SUM(_xlfn._xlws.FILTER(Table_BangLuong_TyLeTangCa[Tỷ lệ],
(Table_BangLuong_TyLeTangCa[Ngày] = AZ$3) *
(Table_BangLuong_TyLeTangCa[Giờ min]&lt;=$AA9) *
(Table_BangLuong_TyLeTangCa[Giờ max]&gt;$AA9)
)))),
IF(AND($AA9-$Z$4 &gt;= AZ$5,$AA9 &lt; AZ$4),0,
SUM(_xlfn._xlws.FILTER(Table_BangLuong_TyLeTangCa[Tỷ lệ],
(Table_BangLuong_TyLeTangCa[Ngày] = AZ$3) *
(Table_BangLuong_TyLeTangCa[Giờ min]&lt;=$AA9) *
(Table_BangLuong_TyLeTangCa[Giờ max]&gt;$AA9)
))))
),
IF(ISBLANK(AZ$7),
IF(VLOOKUP(AZ$6, Table_ChiPhiNV_Ca[], COUNTA(Table_ChiPhiNV_Ca[[#Headers],[Ca]:[Kết thúc]]),0)&gt; VLOOKUP(AZ$6, Table_ChiPhiNV_Ca[], COUNTA(Table_ChiPhiNV_Ca[[#Headers],[Ca]:[Bắt đầu]]),0),
IF($AA9-$Z$4&lt;MAX(AZ$4,VLOOKUP(AZ$6, Table_ChiPhiNV_Ca[], COUNTA(Table_ChiPhiNV_Ca[[#Headers],[Ca]:[Bắt đầu]]),0)),0,
IF($AA9&gt;MIN(AZ$5,VLOOKUP(AZ$6, Table_ChiPhiNV_Ca[], COUNTA(Table_ChiPhiNV_Ca[[#Headers],[Ca]:[Kết thúc]]),0)),0,
SUM(_xlfn._xlws.FILTER(Table_BangLuong_TyLeTangCa[Tỷ lệ],
(Table_BangLuong_TyLeTangCa[Ngày] = "Thường") *
(Table_BangLuong_TyLeTangCa[Giờ min]&lt;=$AA9) *
(Table_BangLuong_TyLeTangCa[Giờ max]&gt;$AA9)
)))),
IF(AZ$4 &gt; AZ$5,
IF(
AND(
$AA9-$Z$4&lt;MAX(AZ$4,VLOOKUP(AZ$6, Table_ChiPhiNV_Ca[], COUNTA(Table_ChiPhiNV_Ca[[#Headers],[Ca]:[Bắt đầu]]),0)),
$AA9&gt;MIN(AZ$5,VLOOKUP(AZ$6, Table_ChiPhiNV_Ca[], COUNTA(Table_ChiPhiNV_Ca[[#Headers],[Ca]:[Kết thúc]]),0))),0,
SUM(_xlfn._xlws.FILTER(Table_BangLuong_TyLeTangCa[Tỷ lệ],
(Table_BangLuong_TyLeTangCa[Ngày] = "Thường") *
(Table_BangLuong_TyLeTangCa[Giờ min]&lt;=$AA9) *
(Table_BangLuong_TyLeTangCa[Giờ max]&gt;$AA9)
))),
IF(
AND(
$AA9-$Z$4&gt;=MAX(AZ$4,VLOOKUP(AZ$6, Table_ChiPhiNV_Ca[], COUNTA(Table_ChiPhiNV_Ca[[#Headers],[Ca]:[Bắt đầu]]),0)),
$AA9&lt;MIN(AZ$5,VLOOKUP(AZ$6, Table_ChiPhiNV_Ca[], COUNTA(Table_ChiPhiNV_Ca[[#Headers],[Ca]:[Kết thúc]]),0))),
SUM(_xlfn._xlws.FILTER(Table_BangLuong_TyLeTangCa[Tỷ lệ],
(Table_BangLuong_TyLeTangCa[Ngày] = "Thường") *
(Table_BangLuong_TyLeTangCa[Giờ min]&lt;=$AA9) *
(Table_BangLuong_TyLeTangCa[Giờ max]&gt;$AA9)
)),0)
)),
IF(AZ$4 &lt; AZ$5,
IF($AA9-$Z$4&lt;AZ$4,0,
IF($AA9&gt;AZ$5,0,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AZ$5,$AA9 &lt; AZ$4),0,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A9" s="18" cm="1">
        <f t="array" ref="BA9" xml:space="preserve">
IFERROR(
IF(BA$1="",0,
IF(AND(
$AA9&gt;=VLOOKUP(BA$6, Table_ChiPhiNV_Ca[], COUNTA(Table_ChiPhiNV_Ca[[#Headers],[Ca]:[Bắt đầu nghỉ]]),0),
$AA9&lt;VLOOKUP(BA$6, Table_ChiPhiNV_Ca[], COUNTA(Table_ChiPhiNV_Ca[[#Headers],[Ca]:[Kết thúc nghỉ]]),0)
),0,
IF(NOT(ISBLANK(BA$3)),
IF(ISBLANK(BA$7),0,
IF(BA$4 &lt; BA$5,
IF($AA9-$Z$4&lt;BA$4,0,
IF($AA9&gt;BA$5,0,
SUM(_xlfn._xlws.FILTER(Table_BangLuong_TyLeTangCa[Tỷ lệ],
(Table_BangLuong_TyLeTangCa[Ngày] = BA$3) *
(Table_BangLuong_TyLeTangCa[Giờ min]&lt;=$AA9) *
(Table_BangLuong_TyLeTangCa[Giờ max]&gt;$AA9)
)))),
IF(AND($AA9-$Z$4 &gt;= BA$5,$AA9 &lt; BA$4),0,
SUM(_xlfn._xlws.FILTER(Table_BangLuong_TyLeTangCa[Tỷ lệ],
(Table_BangLuong_TyLeTangCa[Ngày] = BA$3) *
(Table_BangLuong_TyLeTangCa[Giờ min]&lt;=$AA9) *
(Table_BangLuong_TyLeTangCa[Giờ max]&gt;$AA9)
))))
),
IF(ISBLANK(BA$7),
IF(VLOOKUP(BA$6, Table_ChiPhiNV_Ca[], COUNTA(Table_ChiPhiNV_Ca[[#Headers],[Ca]:[Kết thúc]]),0)&gt; VLOOKUP(BA$6, Table_ChiPhiNV_Ca[], COUNTA(Table_ChiPhiNV_Ca[[#Headers],[Ca]:[Bắt đầu]]),0),
IF($AA9-$Z$4&lt;MAX(BA$4,VLOOKUP(BA$6, Table_ChiPhiNV_Ca[], COUNTA(Table_ChiPhiNV_Ca[[#Headers],[Ca]:[Bắt đầu]]),0)),0,
IF($AA9&gt;MIN(BA$5,VLOOKUP(BA$6, Table_ChiPhiNV_Ca[], COUNTA(Table_ChiPhiNV_Ca[[#Headers],[Ca]:[Kết thúc]]),0)),0,
SUM(_xlfn._xlws.FILTER(Table_BangLuong_TyLeTangCa[Tỷ lệ],
(Table_BangLuong_TyLeTangCa[Ngày] = "Thường") *
(Table_BangLuong_TyLeTangCa[Giờ min]&lt;=$AA9) *
(Table_BangLuong_TyLeTangCa[Giờ max]&gt;$AA9)
)))),
IF(BA$4 &gt; BA$5,
IF(
AND(
$AA9-$Z$4&lt;MAX(BA$4,VLOOKUP(BA$6, Table_ChiPhiNV_Ca[], COUNTA(Table_ChiPhiNV_Ca[[#Headers],[Ca]:[Bắt đầu]]),0)),
$AA9&gt;MIN(BA$5,VLOOKUP(BA$6, Table_ChiPhiNV_Ca[], COUNTA(Table_ChiPhiNV_Ca[[#Headers],[Ca]:[Kết thúc]]),0))),0,
SUM(_xlfn._xlws.FILTER(Table_BangLuong_TyLeTangCa[Tỷ lệ],
(Table_BangLuong_TyLeTangCa[Ngày] = "Thường") *
(Table_BangLuong_TyLeTangCa[Giờ min]&lt;=$AA9) *
(Table_BangLuong_TyLeTangCa[Giờ max]&gt;$AA9)
))),
IF(
AND(
$AA9-$Z$4&gt;=MAX(BA$4,VLOOKUP(BA$6, Table_ChiPhiNV_Ca[], COUNTA(Table_ChiPhiNV_Ca[[#Headers],[Ca]:[Bắt đầu]]),0)),
$AA9&lt;MIN(BA$5,VLOOKUP(BA$6, Table_ChiPhiNV_Ca[], COUNTA(Table_ChiPhiNV_Ca[[#Headers],[Ca]:[Kết thúc]]),0))),
SUM(_xlfn._xlws.FILTER(Table_BangLuong_TyLeTangCa[Tỷ lệ],
(Table_BangLuong_TyLeTangCa[Ngày] = "Thường") *
(Table_BangLuong_TyLeTangCa[Giờ min]&lt;=$AA9) *
(Table_BangLuong_TyLeTangCa[Giờ max]&gt;$AA9)
)),0)
)),
IF(BA$4 &lt; BA$5,
IF($AA9-$Z$4&lt;BA$4,0,
IF($AA9&gt;BA$5,0,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BA$5,$AA9 &lt; BA$4),0,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B9" s="18" cm="1">
        <f t="array" ref="BB9" xml:space="preserve">
IFERROR(
IF(BB$1="",0,
IF(AND(
$AA9&gt;=VLOOKUP(BB$6, Table_ChiPhiNV_Ca[], COUNTA(Table_ChiPhiNV_Ca[[#Headers],[Ca]:[Bắt đầu nghỉ]]),0),
$AA9&lt;VLOOKUP(BB$6, Table_ChiPhiNV_Ca[], COUNTA(Table_ChiPhiNV_Ca[[#Headers],[Ca]:[Kết thúc nghỉ]]),0)
),0,
IF(NOT(ISBLANK(BB$3)),
IF(ISBLANK(BB$7),0,
IF(BB$4 &lt; BB$5,
IF($AA9-$Z$4&lt;BB$4,0,
IF($AA9&gt;BB$5,0,
SUM(_xlfn._xlws.FILTER(Table_BangLuong_TyLeTangCa[Tỷ lệ],
(Table_BangLuong_TyLeTangCa[Ngày] = BB$3) *
(Table_BangLuong_TyLeTangCa[Giờ min]&lt;=$AA9) *
(Table_BangLuong_TyLeTangCa[Giờ max]&gt;$AA9)
)))),
IF(AND($AA9-$Z$4 &gt;= BB$5,$AA9 &lt; BB$4),0,
SUM(_xlfn._xlws.FILTER(Table_BangLuong_TyLeTangCa[Tỷ lệ],
(Table_BangLuong_TyLeTangCa[Ngày] = BB$3) *
(Table_BangLuong_TyLeTangCa[Giờ min]&lt;=$AA9) *
(Table_BangLuong_TyLeTangCa[Giờ max]&gt;$AA9)
))))
),
IF(ISBLANK(BB$7),
IF(VLOOKUP(BB$6, Table_ChiPhiNV_Ca[], COUNTA(Table_ChiPhiNV_Ca[[#Headers],[Ca]:[Kết thúc]]),0)&gt; VLOOKUP(BB$6, Table_ChiPhiNV_Ca[], COUNTA(Table_ChiPhiNV_Ca[[#Headers],[Ca]:[Bắt đầu]]),0),
IF($AA9-$Z$4&lt;MAX(BB$4,VLOOKUP(BB$6, Table_ChiPhiNV_Ca[], COUNTA(Table_ChiPhiNV_Ca[[#Headers],[Ca]:[Bắt đầu]]),0)),0,
IF($AA9&gt;MIN(BB$5,VLOOKUP(BB$6, Table_ChiPhiNV_Ca[], COUNTA(Table_ChiPhiNV_Ca[[#Headers],[Ca]:[Kết thúc]]),0)),0,
SUM(_xlfn._xlws.FILTER(Table_BangLuong_TyLeTangCa[Tỷ lệ],
(Table_BangLuong_TyLeTangCa[Ngày] = "Thường") *
(Table_BangLuong_TyLeTangCa[Giờ min]&lt;=$AA9) *
(Table_BangLuong_TyLeTangCa[Giờ max]&gt;$AA9)
)))),
IF(BB$4 &gt; BB$5,
IF(
AND(
$AA9-$Z$4&lt;MAX(BB$4,VLOOKUP(BB$6, Table_ChiPhiNV_Ca[], COUNTA(Table_ChiPhiNV_Ca[[#Headers],[Ca]:[Bắt đầu]]),0)),
$AA9&gt;MIN(BB$5,VLOOKUP(BB$6, Table_ChiPhiNV_Ca[], COUNTA(Table_ChiPhiNV_Ca[[#Headers],[Ca]:[Kết thúc]]),0))),0,
SUM(_xlfn._xlws.FILTER(Table_BangLuong_TyLeTangCa[Tỷ lệ],
(Table_BangLuong_TyLeTangCa[Ngày] = "Thường") *
(Table_BangLuong_TyLeTangCa[Giờ min]&lt;=$AA9) *
(Table_BangLuong_TyLeTangCa[Giờ max]&gt;$AA9)
))),
IF(
AND(
$AA9-$Z$4&gt;=MAX(BB$4,VLOOKUP(BB$6, Table_ChiPhiNV_Ca[], COUNTA(Table_ChiPhiNV_Ca[[#Headers],[Ca]:[Bắt đầu]]),0)),
$AA9&lt;MIN(BB$5,VLOOKUP(BB$6, Table_ChiPhiNV_Ca[], COUNTA(Table_ChiPhiNV_Ca[[#Headers],[Ca]:[Kết thúc]]),0))),
SUM(_xlfn._xlws.FILTER(Table_BangLuong_TyLeTangCa[Tỷ lệ],
(Table_BangLuong_TyLeTangCa[Ngày] = "Thường") *
(Table_BangLuong_TyLeTangCa[Giờ min]&lt;=$AA9) *
(Table_BangLuong_TyLeTangCa[Giờ max]&gt;$AA9)
)),0)
)),
IF(BB$4 &lt; BB$5,
IF($AA9-$Z$4&lt;BB$4,0,
IF($AA9&gt;BB$5,0,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BB$5,$AA9 &lt; BB$4),0,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C9" s="18" cm="1">
        <f t="array" ref="BC9" xml:space="preserve">
IFERROR(
IF(BC$1="",0,
IF(AND(
$AA9&gt;=VLOOKUP(BC$6, Table_ChiPhiNV_Ca[], COUNTA(Table_ChiPhiNV_Ca[[#Headers],[Ca]:[Bắt đầu nghỉ]]),0),
$AA9&lt;VLOOKUP(BC$6, Table_ChiPhiNV_Ca[], COUNTA(Table_ChiPhiNV_Ca[[#Headers],[Ca]:[Kết thúc nghỉ]]),0)
),0,
IF(NOT(ISBLANK(BC$3)),
IF(ISBLANK(BC$7),0,
IF(BC$4 &lt; BC$5,
IF($AA9-$Z$4&lt;BC$4,0,
IF($AA9&gt;BC$5,0,
SUM(_xlfn._xlws.FILTER(Table_BangLuong_TyLeTangCa[Tỷ lệ],
(Table_BangLuong_TyLeTangCa[Ngày] = BC$3) *
(Table_BangLuong_TyLeTangCa[Giờ min]&lt;=$AA9) *
(Table_BangLuong_TyLeTangCa[Giờ max]&gt;$AA9)
)))),
IF(AND($AA9-$Z$4 &gt;= BC$5,$AA9 &lt; BC$4),0,
SUM(_xlfn._xlws.FILTER(Table_BangLuong_TyLeTangCa[Tỷ lệ],
(Table_BangLuong_TyLeTangCa[Ngày] = BC$3) *
(Table_BangLuong_TyLeTangCa[Giờ min]&lt;=$AA9) *
(Table_BangLuong_TyLeTangCa[Giờ max]&gt;$AA9)
))))
),
IF(ISBLANK(BC$7),
IF(VLOOKUP(BC$6, Table_ChiPhiNV_Ca[], COUNTA(Table_ChiPhiNV_Ca[[#Headers],[Ca]:[Kết thúc]]),0)&gt; VLOOKUP(BC$6, Table_ChiPhiNV_Ca[], COUNTA(Table_ChiPhiNV_Ca[[#Headers],[Ca]:[Bắt đầu]]),0),
IF($AA9-$Z$4&lt;MAX(BC$4,VLOOKUP(BC$6, Table_ChiPhiNV_Ca[], COUNTA(Table_ChiPhiNV_Ca[[#Headers],[Ca]:[Bắt đầu]]),0)),0,
IF($AA9&gt;MIN(BC$5,VLOOKUP(BC$6, Table_ChiPhiNV_Ca[], COUNTA(Table_ChiPhiNV_Ca[[#Headers],[Ca]:[Kết thúc]]),0)),0,
SUM(_xlfn._xlws.FILTER(Table_BangLuong_TyLeTangCa[Tỷ lệ],
(Table_BangLuong_TyLeTangCa[Ngày] = "Thường") *
(Table_BangLuong_TyLeTangCa[Giờ min]&lt;=$AA9) *
(Table_BangLuong_TyLeTangCa[Giờ max]&gt;$AA9)
)))),
IF(BC$4 &gt; BC$5,
IF(
AND(
$AA9-$Z$4&lt;MAX(BC$4,VLOOKUP(BC$6, Table_ChiPhiNV_Ca[], COUNTA(Table_ChiPhiNV_Ca[[#Headers],[Ca]:[Bắt đầu]]),0)),
$AA9&gt;MIN(BC$5,VLOOKUP(BC$6, Table_ChiPhiNV_Ca[], COUNTA(Table_ChiPhiNV_Ca[[#Headers],[Ca]:[Kết thúc]]),0))),0,
SUM(_xlfn._xlws.FILTER(Table_BangLuong_TyLeTangCa[Tỷ lệ],
(Table_BangLuong_TyLeTangCa[Ngày] = "Thường") *
(Table_BangLuong_TyLeTangCa[Giờ min]&lt;=$AA9) *
(Table_BangLuong_TyLeTangCa[Giờ max]&gt;$AA9)
))),
IF(
AND(
$AA9-$Z$4&gt;=MAX(BC$4,VLOOKUP(BC$6, Table_ChiPhiNV_Ca[], COUNTA(Table_ChiPhiNV_Ca[[#Headers],[Ca]:[Bắt đầu]]),0)),
$AA9&lt;MIN(BC$5,VLOOKUP(BC$6, Table_ChiPhiNV_Ca[], COUNTA(Table_ChiPhiNV_Ca[[#Headers],[Ca]:[Kết thúc]]),0))),
SUM(_xlfn._xlws.FILTER(Table_BangLuong_TyLeTangCa[Tỷ lệ],
(Table_BangLuong_TyLeTangCa[Ngày] = "Thường") *
(Table_BangLuong_TyLeTangCa[Giờ min]&lt;=$AA9) *
(Table_BangLuong_TyLeTangCa[Giờ max]&gt;$AA9)
)),0)
)),
IF(BC$4 &lt; BC$5,
IF($AA9-$Z$4&lt;BC$4,0,
IF($AA9&gt;BC$5,0,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BC$5,$AA9 &lt; BC$4),0,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D9" s="18" cm="1">
        <f t="array" ref="BD9" xml:space="preserve">
IFERROR(
IF(BD$1="",0,
IF(AND(
$AA9&gt;=VLOOKUP(BD$6, Table_ChiPhiNV_Ca[], COUNTA(Table_ChiPhiNV_Ca[[#Headers],[Ca]:[Bắt đầu nghỉ]]),0),
$AA9&lt;VLOOKUP(BD$6, Table_ChiPhiNV_Ca[], COUNTA(Table_ChiPhiNV_Ca[[#Headers],[Ca]:[Kết thúc nghỉ]]),0)
),0,
IF(NOT(ISBLANK(BD$3)),
IF(ISBLANK(BD$7),0,
IF(BD$4 &lt; BD$5,
IF($AA9-$Z$4&lt;BD$4,0,
IF($AA9&gt;BD$5,0,
SUM(_xlfn._xlws.FILTER(Table_BangLuong_TyLeTangCa[Tỷ lệ],
(Table_BangLuong_TyLeTangCa[Ngày] = BD$3) *
(Table_BangLuong_TyLeTangCa[Giờ min]&lt;=$AA9) *
(Table_BangLuong_TyLeTangCa[Giờ max]&gt;$AA9)
)))),
IF(AND($AA9-$Z$4 &gt;= BD$5,$AA9 &lt; BD$4),0,
SUM(_xlfn._xlws.FILTER(Table_BangLuong_TyLeTangCa[Tỷ lệ],
(Table_BangLuong_TyLeTangCa[Ngày] = BD$3) *
(Table_BangLuong_TyLeTangCa[Giờ min]&lt;=$AA9) *
(Table_BangLuong_TyLeTangCa[Giờ max]&gt;$AA9)
))))
),
IF(ISBLANK(BD$7),
IF(VLOOKUP(BD$6, Table_ChiPhiNV_Ca[], COUNTA(Table_ChiPhiNV_Ca[[#Headers],[Ca]:[Kết thúc]]),0)&gt; VLOOKUP(BD$6, Table_ChiPhiNV_Ca[], COUNTA(Table_ChiPhiNV_Ca[[#Headers],[Ca]:[Bắt đầu]]),0),
IF($AA9-$Z$4&lt;MAX(BD$4,VLOOKUP(BD$6, Table_ChiPhiNV_Ca[], COUNTA(Table_ChiPhiNV_Ca[[#Headers],[Ca]:[Bắt đầu]]),0)),0,
IF($AA9&gt;MIN(BD$5,VLOOKUP(BD$6, Table_ChiPhiNV_Ca[], COUNTA(Table_ChiPhiNV_Ca[[#Headers],[Ca]:[Kết thúc]]),0)),0,
SUM(_xlfn._xlws.FILTER(Table_BangLuong_TyLeTangCa[Tỷ lệ],
(Table_BangLuong_TyLeTangCa[Ngày] = "Thường") *
(Table_BangLuong_TyLeTangCa[Giờ min]&lt;=$AA9) *
(Table_BangLuong_TyLeTangCa[Giờ max]&gt;$AA9)
)))),
IF(BD$4 &gt; BD$5,
IF(
AND(
$AA9-$Z$4&lt;MAX(BD$4,VLOOKUP(BD$6, Table_ChiPhiNV_Ca[], COUNTA(Table_ChiPhiNV_Ca[[#Headers],[Ca]:[Bắt đầu]]),0)),
$AA9&gt;MIN(BD$5,VLOOKUP(BD$6, Table_ChiPhiNV_Ca[], COUNTA(Table_ChiPhiNV_Ca[[#Headers],[Ca]:[Kết thúc]]),0))),0,
SUM(_xlfn._xlws.FILTER(Table_BangLuong_TyLeTangCa[Tỷ lệ],
(Table_BangLuong_TyLeTangCa[Ngày] = "Thường") *
(Table_BangLuong_TyLeTangCa[Giờ min]&lt;=$AA9) *
(Table_BangLuong_TyLeTangCa[Giờ max]&gt;$AA9)
))),
IF(
AND(
$AA9-$Z$4&gt;=MAX(BD$4,VLOOKUP(BD$6, Table_ChiPhiNV_Ca[], COUNTA(Table_ChiPhiNV_Ca[[#Headers],[Ca]:[Bắt đầu]]),0)),
$AA9&lt;MIN(BD$5,VLOOKUP(BD$6, Table_ChiPhiNV_Ca[], COUNTA(Table_ChiPhiNV_Ca[[#Headers],[Ca]:[Kết thúc]]),0))),
SUM(_xlfn._xlws.FILTER(Table_BangLuong_TyLeTangCa[Tỷ lệ],
(Table_BangLuong_TyLeTangCa[Ngày] = "Thường") *
(Table_BangLuong_TyLeTangCa[Giờ min]&lt;=$AA9) *
(Table_BangLuong_TyLeTangCa[Giờ max]&gt;$AA9)
)),0)
)),
IF(BD$4 &lt; BD$5,
IF($AA9-$Z$4&lt;BD$4,0,
IF($AA9&gt;BD$5,0,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BD$5,$AA9 &lt; BD$4),0,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E9" s="18" cm="1">
        <f t="array" ref="BE9" xml:space="preserve">
IFERROR(
IF(BE$1="",0,
IF(AND(
$AA9&gt;=VLOOKUP(BE$6, Table_ChiPhiNV_Ca[], COUNTA(Table_ChiPhiNV_Ca[[#Headers],[Ca]:[Bắt đầu nghỉ]]),0),
$AA9&lt;VLOOKUP(BE$6, Table_ChiPhiNV_Ca[], COUNTA(Table_ChiPhiNV_Ca[[#Headers],[Ca]:[Kết thúc nghỉ]]),0)
),0,
IF(NOT(ISBLANK(BE$3)),
IF(ISBLANK(BE$7),0,
IF(BE$4 &lt; BE$5,
IF($AA9-$Z$4&lt;BE$4,0,
IF($AA9&gt;BE$5,0,
SUM(_xlfn._xlws.FILTER(Table_BangLuong_TyLeTangCa[Tỷ lệ],
(Table_BangLuong_TyLeTangCa[Ngày] = BE$3) *
(Table_BangLuong_TyLeTangCa[Giờ min]&lt;=$AA9) *
(Table_BangLuong_TyLeTangCa[Giờ max]&gt;$AA9)
)))),
IF(AND($AA9-$Z$4 &gt;= BE$5,$AA9 &lt; BE$4),0,
SUM(_xlfn._xlws.FILTER(Table_BangLuong_TyLeTangCa[Tỷ lệ],
(Table_BangLuong_TyLeTangCa[Ngày] = BE$3) *
(Table_BangLuong_TyLeTangCa[Giờ min]&lt;=$AA9) *
(Table_BangLuong_TyLeTangCa[Giờ max]&gt;$AA9)
))))
),
IF(ISBLANK(BE$7),
IF(VLOOKUP(BE$6, Table_ChiPhiNV_Ca[], COUNTA(Table_ChiPhiNV_Ca[[#Headers],[Ca]:[Kết thúc]]),0)&gt; VLOOKUP(BE$6, Table_ChiPhiNV_Ca[], COUNTA(Table_ChiPhiNV_Ca[[#Headers],[Ca]:[Bắt đầu]]),0),
IF($AA9-$Z$4&lt;MAX(BE$4,VLOOKUP(BE$6, Table_ChiPhiNV_Ca[], COUNTA(Table_ChiPhiNV_Ca[[#Headers],[Ca]:[Bắt đầu]]),0)),0,
IF($AA9&gt;MIN(BE$5,VLOOKUP(BE$6, Table_ChiPhiNV_Ca[], COUNTA(Table_ChiPhiNV_Ca[[#Headers],[Ca]:[Kết thúc]]),0)),0,
SUM(_xlfn._xlws.FILTER(Table_BangLuong_TyLeTangCa[Tỷ lệ],
(Table_BangLuong_TyLeTangCa[Ngày] = "Thường") *
(Table_BangLuong_TyLeTangCa[Giờ min]&lt;=$AA9) *
(Table_BangLuong_TyLeTangCa[Giờ max]&gt;$AA9)
)))),
IF(BE$4 &gt; BE$5,
IF(
AND(
$AA9-$Z$4&lt;MAX(BE$4,VLOOKUP(BE$6, Table_ChiPhiNV_Ca[], COUNTA(Table_ChiPhiNV_Ca[[#Headers],[Ca]:[Bắt đầu]]),0)),
$AA9&gt;MIN(BE$5,VLOOKUP(BE$6, Table_ChiPhiNV_Ca[], COUNTA(Table_ChiPhiNV_Ca[[#Headers],[Ca]:[Kết thúc]]),0))),0,
SUM(_xlfn._xlws.FILTER(Table_BangLuong_TyLeTangCa[Tỷ lệ],
(Table_BangLuong_TyLeTangCa[Ngày] = "Thường") *
(Table_BangLuong_TyLeTangCa[Giờ min]&lt;=$AA9) *
(Table_BangLuong_TyLeTangCa[Giờ max]&gt;$AA9)
))),
IF(
AND(
$AA9-$Z$4&gt;=MAX(BE$4,VLOOKUP(BE$6, Table_ChiPhiNV_Ca[], COUNTA(Table_ChiPhiNV_Ca[[#Headers],[Ca]:[Bắt đầu]]),0)),
$AA9&lt;MIN(BE$5,VLOOKUP(BE$6, Table_ChiPhiNV_Ca[], COUNTA(Table_ChiPhiNV_Ca[[#Headers],[Ca]:[Kết thúc]]),0))),
SUM(_xlfn._xlws.FILTER(Table_BangLuong_TyLeTangCa[Tỷ lệ],
(Table_BangLuong_TyLeTangCa[Ngày] = "Thường") *
(Table_BangLuong_TyLeTangCa[Giờ min]&lt;=$AA9) *
(Table_BangLuong_TyLeTangCa[Giờ max]&gt;$AA9)
)),0)
)),
IF(BE$4 &lt; BE$5,
IF($AA9-$Z$4&lt;BE$4,0,
IF($AA9&gt;BE$5,0,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BE$5,$AA9 &lt; BE$4),0,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F9" s="18" cm="1">
        <f t="array" ref="BF9" xml:space="preserve">
IFERROR(
IF(BF$1="",0,
IF(AND(
$AA9&gt;=VLOOKUP(BF$6, Table_ChiPhiNV_Ca[], COUNTA(Table_ChiPhiNV_Ca[[#Headers],[Ca]:[Bắt đầu nghỉ]]),0),
$AA9&lt;VLOOKUP(BF$6, Table_ChiPhiNV_Ca[], COUNTA(Table_ChiPhiNV_Ca[[#Headers],[Ca]:[Kết thúc nghỉ]]),0)
),0,
IF(NOT(ISBLANK(BF$3)),
IF(ISBLANK(BF$7),0,
IF(BF$4 &lt; BF$5,
IF($AA9-$Z$4&lt;BF$4,0,
IF($AA9&gt;BF$5,0,
SUM(_xlfn._xlws.FILTER(Table_BangLuong_TyLeTangCa[Tỷ lệ],
(Table_BangLuong_TyLeTangCa[Ngày] = BF$3) *
(Table_BangLuong_TyLeTangCa[Giờ min]&lt;=$AA9) *
(Table_BangLuong_TyLeTangCa[Giờ max]&gt;$AA9)
)))),
IF(AND($AA9-$Z$4 &gt;= BF$5,$AA9 &lt; BF$4),0,
SUM(_xlfn._xlws.FILTER(Table_BangLuong_TyLeTangCa[Tỷ lệ],
(Table_BangLuong_TyLeTangCa[Ngày] = BF$3) *
(Table_BangLuong_TyLeTangCa[Giờ min]&lt;=$AA9) *
(Table_BangLuong_TyLeTangCa[Giờ max]&gt;$AA9)
))))
),
IF(ISBLANK(BF$7),
IF(VLOOKUP(BF$6, Table_ChiPhiNV_Ca[], COUNTA(Table_ChiPhiNV_Ca[[#Headers],[Ca]:[Kết thúc]]),0)&gt; VLOOKUP(BF$6, Table_ChiPhiNV_Ca[], COUNTA(Table_ChiPhiNV_Ca[[#Headers],[Ca]:[Bắt đầu]]),0),
IF($AA9-$Z$4&lt;MAX(BF$4,VLOOKUP(BF$6, Table_ChiPhiNV_Ca[], COUNTA(Table_ChiPhiNV_Ca[[#Headers],[Ca]:[Bắt đầu]]),0)),0,
IF($AA9&gt;MIN(BF$5,VLOOKUP(BF$6, Table_ChiPhiNV_Ca[], COUNTA(Table_ChiPhiNV_Ca[[#Headers],[Ca]:[Kết thúc]]),0)),0,
SUM(_xlfn._xlws.FILTER(Table_BangLuong_TyLeTangCa[Tỷ lệ],
(Table_BangLuong_TyLeTangCa[Ngày] = "Thường") *
(Table_BangLuong_TyLeTangCa[Giờ min]&lt;=$AA9) *
(Table_BangLuong_TyLeTangCa[Giờ max]&gt;$AA9)
)))),
IF(BF$4 &gt; BF$5,
IF(
AND(
$AA9-$Z$4&lt;MAX(BF$4,VLOOKUP(BF$6, Table_ChiPhiNV_Ca[], COUNTA(Table_ChiPhiNV_Ca[[#Headers],[Ca]:[Bắt đầu]]),0)),
$AA9&gt;MIN(BF$5,VLOOKUP(BF$6, Table_ChiPhiNV_Ca[], COUNTA(Table_ChiPhiNV_Ca[[#Headers],[Ca]:[Kết thúc]]),0))),0,
SUM(_xlfn._xlws.FILTER(Table_BangLuong_TyLeTangCa[Tỷ lệ],
(Table_BangLuong_TyLeTangCa[Ngày] = "Thường") *
(Table_BangLuong_TyLeTangCa[Giờ min]&lt;=$AA9) *
(Table_BangLuong_TyLeTangCa[Giờ max]&gt;$AA9)
))),
IF(
AND(
$AA9-$Z$4&gt;=MAX(BF$4,VLOOKUP(BF$6, Table_ChiPhiNV_Ca[], COUNTA(Table_ChiPhiNV_Ca[[#Headers],[Ca]:[Bắt đầu]]),0)),
$AA9&lt;MIN(BF$5,VLOOKUP(BF$6, Table_ChiPhiNV_Ca[], COUNTA(Table_ChiPhiNV_Ca[[#Headers],[Ca]:[Kết thúc]]),0))),
SUM(_xlfn._xlws.FILTER(Table_BangLuong_TyLeTangCa[Tỷ lệ],
(Table_BangLuong_TyLeTangCa[Ngày] = "Thường") *
(Table_BangLuong_TyLeTangCa[Giờ min]&lt;=$AA9) *
(Table_BangLuong_TyLeTangCa[Giờ max]&gt;$AA9)
)),0)
)),
IF(BF$4 &lt; BF$5,
IF($AA9-$Z$4&lt;BF$4,0,
IF($AA9&gt;BF$5,0,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BF$5,$AA9 &lt; BF$4),0,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H9" s="1" t="s">
        <v>105</v>
      </c>
      <c r="BI9" s="1" t="s">
        <v>90</v>
      </c>
      <c r="BJ9" s="61">
        <v>45778.331944444442</v>
      </c>
      <c r="BK9" s="62">
        <f>INT(Table_ChiPhiNV_ChamCong[[#This Row],[Thời điểm]])</f>
        <v>45778</v>
      </c>
      <c r="BL9" s="63">
        <f>Table_ChiPhiNV_ChamCong[[#This Row],[Thời điểm]]-Table_ChiPhiNV_ChamCong[[#This Row],[Ngày]]</f>
        <v>0.3319444444423425</v>
      </c>
      <c r="BN9" s="21">
        <f>IFERROR(
IF(ISBLANK(BP9),
DATE(BO9,12,1),
DATE(BO9,BP9,1)),0)</f>
        <v>45778</v>
      </c>
      <c r="BO9" s="1">
        <v>2025</v>
      </c>
      <c r="BP9" s="1">
        <v>5</v>
      </c>
      <c r="BQ9" s="1" t="s">
        <v>90</v>
      </c>
      <c r="BR9" s="55">
        <f xml:space="preserve">
IFERROR(
VLOOKUP(BQ9,Table_NhanVien[],COUNTA(Table_NhanVien[#Headers]),0),0)</f>
        <v>2</v>
      </c>
      <c r="BS9" s="20">
        <f xml:space="preserve">
IFERROR(
VLOOKUP(BQ9,Table_NhanVien[],COUNTA(Table_NhanVien[[#Headers],[Mã NV]:[Lương gross]]),0),0)</f>
        <v>50000000</v>
      </c>
      <c r="BT9" s="55">
        <f>ChamCong_LuongTT</f>
        <v>5964535.2272727275</v>
      </c>
      <c r="BU9" s="55">
        <v>5000000</v>
      </c>
      <c r="BV9" s="55"/>
      <c r="BW9" s="55">
        <f>ChamCong_MienThueOT</f>
        <v>844762.50000000012</v>
      </c>
      <c r="BX9" s="20">
        <f xml:space="preserve">
IF(ISBLANK(BP9),0,
+BT9+BU9-Table_ChiPhiNV[[#This Row],[Miễn thuế tăng ca]]-ChiPhiNV_GiamTruBanThan-ChiPhiNV_GiamTruPhuThuoc*BR9)</f>
        <v>-9680227.2727272734</v>
      </c>
      <c r="BY9" s="20" cm="1">
        <f t="array" ref="BY9"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f>
        <v>0</v>
      </c>
      <c r="BZ9" s="20">
        <f>IF(ISBLANK(BP9),0,
IF(
BS9 &lt;BHXH_LuongMax,
BS9 * BHXH_TyLeDN,
BHXH_LuongMax * BHXH_TyLeDN
)
+IF(
BS9 &lt; BHYT_LuongMax,
BS9 * BHYT_TyLeDN,
BHYT_LuongMax * BHYT_TyLeDN
)
+IF(BS9 &lt;BHTN_LuongMax,
BS9 * BHTN_TyLeDN,
BHTN_LuongMax * BHTN_TyLeDN
)
)</f>
        <v>10094000</v>
      </c>
      <c r="CA9" s="20">
        <f>IF(ISBLANK(BP9),0,
IF(
BS9 &lt; BHXH_LuongMax,
BS9 * BHXH_TyLeNV,
BHXH_LuongMax *BHXH_TyLeNV
)
+IF(
BS9 &lt; BHYT_LuongMax,
BS9 * BHYT_TyLeNV,
BHYT_LuongMax * BHYT_TyLeNV
)
+IF(
BS9 &lt; BHTN_LuongMax,
BS9 * BHTN_TyLeNV,
BHTN_LuongMax * BHTN_TyLeNV
)
)</f>
        <v>4946000</v>
      </c>
      <c r="CB9" s="20">
        <f>+Table_ChiPhiNV[[#This Row],[Bảo hiểm nộp hộ]]+Table_ChiPhiNV[[#This Row],[Chi phí bảo hiểm]]</f>
        <v>15040000</v>
      </c>
      <c r="CC9" s="20">
        <f xml:space="preserve">
IF(ISBLANK(BP9),0,
IF(BT9+BU9+BV9-BY9&lt;0,0,
BT9+BU9+BV9-BY9))</f>
        <v>10964535.227272727</v>
      </c>
      <c r="CD9" s="20">
        <f xml:space="preserve">
IF(ISBLANK(BP9),BT9,BT9+BU9+BZ9)</f>
        <v>21058535.227272727</v>
      </c>
    </row>
    <row r="10" spans="2:82"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v>2.0833333333333332E-2</v>
      </c>
      <c r="AB10" s="18" cm="1">
        <f t="array" ref="AB10" xml:space="preserve">
IFERROR(
IF(AB$1="",0,
IF(AND(
$AA10&gt;=VLOOKUP(AB$6, Table_ChiPhiNV_Ca[], COUNTA(Table_ChiPhiNV_Ca[[#Headers],[Ca]:[Bắt đầu nghỉ]]),0),
$AA10&lt;VLOOKUP(AB$6, Table_ChiPhiNV_Ca[], COUNTA(Table_ChiPhiNV_Ca[[#Headers],[Ca]:[Kết thúc nghỉ]]),0)
),0,
IF(NOT(ISBLANK(AB$3)),
IF(ISBLANK(AB$7),0,
IF(AB$4 &lt; AB$5,
IF($AA10-$Z$4&lt;AB$4,0,
IF($AA10&gt;AB$5,0,
SUM(_xlfn._xlws.FILTER(Table_BangLuong_TyLeTangCa[Tỷ lệ],
(Table_BangLuong_TyLeTangCa[Ngày] = AB$3) *
(Table_BangLuong_TyLeTangCa[Giờ min]&lt;=$AA10) *
(Table_BangLuong_TyLeTangCa[Giờ max]&gt;$AA10)
)))),
IF(AND($AA10-$Z$4 &gt;= AB$5,$AA10 &lt; AB$4),0,
SUM(_xlfn._xlws.FILTER(Table_BangLuong_TyLeTangCa[Tỷ lệ],
(Table_BangLuong_TyLeTangCa[Ngày] = AB$3) *
(Table_BangLuong_TyLeTangCa[Giờ min]&lt;=$AA10) *
(Table_BangLuong_TyLeTangCa[Giờ max]&gt;$AA10)
))))
),
IF(ISBLANK(AB$7),
IF(VLOOKUP(AB$6, Table_ChiPhiNV_Ca[], COUNTA(Table_ChiPhiNV_Ca[[#Headers],[Ca]:[Kết thúc]]),0)&gt; VLOOKUP(AB$6, Table_ChiPhiNV_Ca[], COUNTA(Table_ChiPhiNV_Ca[[#Headers],[Ca]:[Bắt đầu]]),0),
IF($AA10-$Z$4&lt;MAX(AB$4,VLOOKUP(AB$6, Table_ChiPhiNV_Ca[], COUNTA(Table_ChiPhiNV_Ca[[#Headers],[Ca]:[Bắt đầu]]),0)),0,
IF($AA10&gt;MIN(AB$5,VLOOKUP(AB$6, Table_ChiPhiNV_Ca[], COUNTA(Table_ChiPhiNV_Ca[[#Headers],[Ca]:[Kết thúc]]),0)),0,
SUM(_xlfn._xlws.FILTER(Table_BangLuong_TyLeTangCa[Tỷ lệ],
(Table_BangLuong_TyLeTangCa[Ngày] = "Thường") *
(Table_BangLuong_TyLeTangCa[Giờ min]&lt;=$AA10) *
(Table_BangLuong_TyLeTangCa[Giờ max]&gt;$AA10)
)))),
IF(AB$4 &gt; AB$5,
IF(
AND(
$AA10-$Z$4&lt;MAX(AB$4,VLOOKUP(AB$6, Table_ChiPhiNV_Ca[], COUNTA(Table_ChiPhiNV_Ca[[#Headers],[Ca]:[Bắt đầu]]),0)),
$AA10&gt;MIN(AB$5,VLOOKUP(AB$6, Table_ChiPhiNV_Ca[], COUNTA(Table_ChiPhiNV_Ca[[#Headers],[Ca]:[Kết thúc]]),0))),0,
SUM(_xlfn._xlws.FILTER(Table_BangLuong_TyLeTangCa[Tỷ lệ],
(Table_BangLuong_TyLeTangCa[Ngày] = "Thường") *
(Table_BangLuong_TyLeTangCa[Giờ min]&lt;=$AA10) *
(Table_BangLuong_TyLeTangCa[Giờ max]&gt;$AA10)
))),
IF(
AND(
$AA10-$Z$4&gt;=MAX(AB$4,VLOOKUP(AB$6, Table_ChiPhiNV_Ca[], COUNTA(Table_ChiPhiNV_Ca[[#Headers],[Ca]:[Bắt đầu]]),0)),
$AA10&lt;MIN(AB$5,VLOOKUP(AB$6, Table_ChiPhiNV_Ca[], COUNTA(Table_ChiPhiNV_Ca[[#Headers],[Ca]:[Kết thúc]]),0))),
SUM(_xlfn._xlws.FILTER(Table_BangLuong_TyLeTangCa[Tỷ lệ],
(Table_BangLuong_TyLeTangCa[Ngày] = "Thường") *
(Table_BangLuong_TyLeTangCa[Giờ min]&lt;=$AA10) *
(Table_BangLuong_TyLeTangCa[Giờ max]&gt;$AA10)
)),0)
)),
IF(AB$4 &lt; AB$5,
IF($AA10-$Z$4&lt;AB$4,0,
IF($AA10&gt;AB$5,0,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AB$5,$AA10 &lt; AB$4),0,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C10" s="18" cm="1">
        <f t="array" ref="AC10" xml:space="preserve">
IFERROR(
IF(AC$1="",0,
IF(AND(
$AA10&gt;=VLOOKUP(AC$6, Table_ChiPhiNV_Ca[], COUNTA(Table_ChiPhiNV_Ca[[#Headers],[Ca]:[Bắt đầu nghỉ]]),0),
$AA10&lt;VLOOKUP(AC$6, Table_ChiPhiNV_Ca[], COUNTA(Table_ChiPhiNV_Ca[[#Headers],[Ca]:[Kết thúc nghỉ]]),0)
),0,
IF(NOT(ISBLANK(AC$3)),
IF(ISBLANK(AC$7),0,
IF(AC$4 &lt; AC$5,
IF($AA10-$Z$4&lt;AC$4,0,
IF($AA10&gt;AC$5,0,
SUM(_xlfn._xlws.FILTER(Table_BangLuong_TyLeTangCa[Tỷ lệ],
(Table_BangLuong_TyLeTangCa[Ngày] = AC$3) *
(Table_BangLuong_TyLeTangCa[Giờ min]&lt;=$AA10) *
(Table_BangLuong_TyLeTangCa[Giờ max]&gt;$AA10)
)))),
IF(AND($AA10-$Z$4 &gt;= AC$5,$AA10 &lt; AC$4),0,
SUM(_xlfn._xlws.FILTER(Table_BangLuong_TyLeTangCa[Tỷ lệ],
(Table_BangLuong_TyLeTangCa[Ngày] = AC$3) *
(Table_BangLuong_TyLeTangCa[Giờ min]&lt;=$AA10) *
(Table_BangLuong_TyLeTangCa[Giờ max]&gt;$AA10)
))))
),
IF(ISBLANK(AC$7),
IF(VLOOKUP(AC$6, Table_ChiPhiNV_Ca[], COUNTA(Table_ChiPhiNV_Ca[[#Headers],[Ca]:[Kết thúc]]),0)&gt; VLOOKUP(AC$6, Table_ChiPhiNV_Ca[], COUNTA(Table_ChiPhiNV_Ca[[#Headers],[Ca]:[Bắt đầu]]),0),
IF($AA10-$Z$4&lt;MAX(AC$4,VLOOKUP(AC$6, Table_ChiPhiNV_Ca[], COUNTA(Table_ChiPhiNV_Ca[[#Headers],[Ca]:[Bắt đầu]]),0)),0,
IF($AA10&gt;MIN(AC$5,VLOOKUP(AC$6, Table_ChiPhiNV_Ca[], COUNTA(Table_ChiPhiNV_Ca[[#Headers],[Ca]:[Kết thúc]]),0)),0,
SUM(_xlfn._xlws.FILTER(Table_BangLuong_TyLeTangCa[Tỷ lệ],
(Table_BangLuong_TyLeTangCa[Ngày] = "Thường") *
(Table_BangLuong_TyLeTangCa[Giờ min]&lt;=$AA10) *
(Table_BangLuong_TyLeTangCa[Giờ max]&gt;$AA10)
)))),
IF(AC$4 &gt; AC$5,
IF(
AND(
$AA10-$Z$4&lt;MAX(AC$4,VLOOKUP(AC$6, Table_ChiPhiNV_Ca[], COUNTA(Table_ChiPhiNV_Ca[[#Headers],[Ca]:[Bắt đầu]]),0)),
$AA10&gt;MIN(AC$5,VLOOKUP(AC$6, Table_ChiPhiNV_Ca[], COUNTA(Table_ChiPhiNV_Ca[[#Headers],[Ca]:[Kết thúc]]),0))),0,
SUM(_xlfn._xlws.FILTER(Table_BangLuong_TyLeTangCa[Tỷ lệ],
(Table_BangLuong_TyLeTangCa[Ngày] = "Thường") *
(Table_BangLuong_TyLeTangCa[Giờ min]&lt;=$AA10) *
(Table_BangLuong_TyLeTangCa[Giờ max]&gt;$AA10)
))),
IF(
AND(
$AA10-$Z$4&gt;=MAX(AC$4,VLOOKUP(AC$6, Table_ChiPhiNV_Ca[], COUNTA(Table_ChiPhiNV_Ca[[#Headers],[Ca]:[Bắt đầu]]),0)),
$AA10&lt;MIN(AC$5,VLOOKUP(AC$6, Table_ChiPhiNV_Ca[], COUNTA(Table_ChiPhiNV_Ca[[#Headers],[Ca]:[Kết thúc]]),0))),
SUM(_xlfn._xlws.FILTER(Table_BangLuong_TyLeTangCa[Tỷ lệ],
(Table_BangLuong_TyLeTangCa[Ngày] = "Thường") *
(Table_BangLuong_TyLeTangCa[Giờ min]&lt;=$AA10) *
(Table_BangLuong_TyLeTangCa[Giờ max]&gt;$AA10)
)),0)
)),
IF(AC$4 &lt; AC$5,
IF($AA10-$Z$4&lt;AC$4,0,
IF($AA10&gt;AC$5,0,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AC$5,$AA10 &lt; AC$4),0,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D10" s="18" cm="1">
        <f t="array" ref="AD10" xml:space="preserve">
IFERROR(
IF(AD$1="",0,
IF(AND(
$AA10&gt;=VLOOKUP(AD$6, Table_ChiPhiNV_Ca[], COUNTA(Table_ChiPhiNV_Ca[[#Headers],[Ca]:[Bắt đầu nghỉ]]),0),
$AA10&lt;VLOOKUP(AD$6, Table_ChiPhiNV_Ca[], COUNTA(Table_ChiPhiNV_Ca[[#Headers],[Ca]:[Kết thúc nghỉ]]),0)
),0,
IF(NOT(ISBLANK(AD$3)),
IF(ISBLANK(AD$7),0,
IF(AD$4 &lt; AD$5,
IF($AA10-$Z$4&lt;AD$4,0,
IF($AA10&gt;AD$5,0,
SUM(_xlfn._xlws.FILTER(Table_BangLuong_TyLeTangCa[Tỷ lệ],
(Table_BangLuong_TyLeTangCa[Ngày] = AD$3) *
(Table_BangLuong_TyLeTangCa[Giờ min]&lt;=$AA10) *
(Table_BangLuong_TyLeTangCa[Giờ max]&gt;$AA10)
)))),
IF(AND($AA10-$Z$4 &gt;= AD$5,$AA10 &lt; AD$4),0,
SUM(_xlfn._xlws.FILTER(Table_BangLuong_TyLeTangCa[Tỷ lệ],
(Table_BangLuong_TyLeTangCa[Ngày] = AD$3) *
(Table_BangLuong_TyLeTangCa[Giờ min]&lt;=$AA10) *
(Table_BangLuong_TyLeTangCa[Giờ max]&gt;$AA10)
))))
),
IF(ISBLANK(AD$7),
IF(VLOOKUP(AD$6, Table_ChiPhiNV_Ca[], COUNTA(Table_ChiPhiNV_Ca[[#Headers],[Ca]:[Kết thúc]]),0)&gt; VLOOKUP(AD$6, Table_ChiPhiNV_Ca[], COUNTA(Table_ChiPhiNV_Ca[[#Headers],[Ca]:[Bắt đầu]]),0),
IF($AA10-$Z$4&lt;MAX(AD$4,VLOOKUP(AD$6, Table_ChiPhiNV_Ca[], COUNTA(Table_ChiPhiNV_Ca[[#Headers],[Ca]:[Bắt đầu]]),0)),0,
IF($AA10&gt;MIN(AD$5,VLOOKUP(AD$6, Table_ChiPhiNV_Ca[], COUNTA(Table_ChiPhiNV_Ca[[#Headers],[Ca]:[Kết thúc]]),0)),0,
SUM(_xlfn._xlws.FILTER(Table_BangLuong_TyLeTangCa[Tỷ lệ],
(Table_BangLuong_TyLeTangCa[Ngày] = "Thường") *
(Table_BangLuong_TyLeTangCa[Giờ min]&lt;=$AA10) *
(Table_BangLuong_TyLeTangCa[Giờ max]&gt;$AA10)
)))),
IF(AD$4 &gt; AD$5,
IF(
AND(
$AA10-$Z$4&lt;MAX(AD$4,VLOOKUP(AD$6, Table_ChiPhiNV_Ca[], COUNTA(Table_ChiPhiNV_Ca[[#Headers],[Ca]:[Bắt đầu]]),0)),
$AA10&gt;MIN(AD$5,VLOOKUP(AD$6, Table_ChiPhiNV_Ca[], COUNTA(Table_ChiPhiNV_Ca[[#Headers],[Ca]:[Kết thúc]]),0))),0,
SUM(_xlfn._xlws.FILTER(Table_BangLuong_TyLeTangCa[Tỷ lệ],
(Table_BangLuong_TyLeTangCa[Ngày] = "Thường") *
(Table_BangLuong_TyLeTangCa[Giờ min]&lt;=$AA10) *
(Table_BangLuong_TyLeTangCa[Giờ max]&gt;$AA10)
))),
IF(
AND(
$AA10-$Z$4&gt;=MAX(AD$4,VLOOKUP(AD$6, Table_ChiPhiNV_Ca[], COUNTA(Table_ChiPhiNV_Ca[[#Headers],[Ca]:[Bắt đầu]]),0)),
$AA10&lt;MIN(AD$5,VLOOKUP(AD$6, Table_ChiPhiNV_Ca[], COUNTA(Table_ChiPhiNV_Ca[[#Headers],[Ca]:[Kết thúc]]),0))),
SUM(_xlfn._xlws.FILTER(Table_BangLuong_TyLeTangCa[Tỷ lệ],
(Table_BangLuong_TyLeTangCa[Ngày] = "Thường") *
(Table_BangLuong_TyLeTangCa[Giờ min]&lt;=$AA10) *
(Table_BangLuong_TyLeTangCa[Giờ max]&gt;$AA10)
)),0)
)),
IF(AD$4 &lt; AD$5,
IF($AA10-$Z$4&lt;AD$4,0,
IF($AA10&gt;AD$5,0,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AD$5,$AA10 &lt; AD$4),0,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E10" s="18" cm="1">
        <f t="array" ref="AE10" xml:space="preserve">
IFERROR(
IF(AE$1="",0,
IF(AND(
$AA10&gt;=VLOOKUP(AE$6, Table_ChiPhiNV_Ca[], COUNTA(Table_ChiPhiNV_Ca[[#Headers],[Ca]:[Bắt đầu nghỉ]]),0),
$AA10&lt;VLOOKUP(AE$6, Table_ChiPhiNV_Ca[], COUNTA(Table_ChiPhiNV_Ca[[#Headers],[Ca]:[Kết thúc nghỉ]]),0)
),0,
IF(NOT(ISBLANK(AE$3)),
IF(ISBLANK(AE$7),0,
IF(AE$4 &lt; AE$5,
IF($AA10-$Z$4&lt;AE$4,0,
IF($AA10&gt;AE$5,0,
SUM(_xlfn._xlws.FILTER(Table_BangLuong_TyLeTangCa[Tỷ lệ],
(Table_BangLuong_TyLeTangCa[Ngày] = AE$3) *
(Table_BangLuong_TyLeTangCa[Giờ min]&lt;=$AA10) *
(Table_BangLuong_TyLeTangCa[Giờ max]&gt;$AA10)
)))),
IF(AND($AA10-$Z$4 &gt;= AE$5,$AA10 &lt; AE$4),0,
SUM(_xlfn._xlws.FILTER(Table_BangLuong_TyLeTangCa[Tỷ lệ],
(Table_BangLuong_TyLeTangCa[Ngày] = AE$3) *
(Table_BangLuong_TyLeTangCa[Giờ min]&lt;=$AA10) *
(Table_BangLuong_TyLeTangCa[Giờ max]&gt;$AA10)
))))
),
IF(ISBLANK(AE$7),
IF(VLOOKUP(AE$6, Table_ChiPhiNV_Ca[], COUNTA(Table_ChiPhiNV_Ca[[#Headers],[Ca]:[Kết thúc]]),0)&gt; VLOOKUP(AE$6, Table_ChiPhiNV_Ca[], COUNTA(Table_ChiPhiNV_Ca[[#Headers],[Ca]:[Bắt đầu]]),0),
IF($AA10-$Z$4&lt;MAX(AE$4,VLOOKUP(AE$6, Table_ChiPhiNV_Ca[], COUNTA(Table_ChiPhiNV_Ca[[#Headers],[Ca]:[Bắt đầu]]),0)),0,
IF($AA10&gt;MIN(AE$5,VLOOKUP(AE$6, Table_ChiPhiNV_Ca[], COUNTA(Table_ChiPhiNV_Ca[[#Headers],[Ca]:[Kết thúc]]),0)),0,
SUM(_xlfn._xlws.FILTER(Table_BangLuong_TyLeTangCa[Tỷ lệ],
(Table_BangLuong_TyLeTangCa[Ngày] = "Thường") *
(Table_BangLuong_TyLeTangCa[Giờ min]&lt;=$AA10) *
(Table_BangLuong_TyLeTangCa[Giờ max]&gt;$AA10)
)))),
IF(AE$4 &gt; AE$5,
IF(
AND(
$AA10-$Z$4&lt;MAX(AE$4,VLOOKUP(AE$6, Table_ChiPhiNV_Ca[], COUNTA(Table_ChiPhiNV_Ca[[#Headers],[Ca]:[Bắt đầu]]),0)),
$AA10&gt;MIN(AE$5,VLOOKUP(AE$6, Table_ChiPhiNV_Ca[], COUNTA(Table_ChiPhiNV_Ca[[#Headers],[Ca]:[Kết thúc]]),0))),0,
SUM(_xlfn._xlws.FILTER(Table_BangLuong_TyLeTangCa[Tỷ lệ],
(Table_BangLuong_TyLeTangCa[Ngày] = "Thường") *
(Table_BangLuong_TyLeTangCa[Giờ min]&lt;=$AA10) *
(Table_BangLuong_TyLeTangCa[Giờ max]&gt;$AA10)
))),
IF(
AND(
$AA10-$Z$4&gt;=MAX(AE$4,VLOOKUP(AE$6, Table_ChiPhiNV_Ca[], COUNTA(Table_ChiPhiNV_Ca[[#Headers],[Ca]:[Bắt đầu]]),0)),
$AA10&lt;MIN(AE$5,VLOOKUP(AE$6, Table_ChiPhiNV_Ca[], COUNTA(Table_ChiPhiNV_Ca[[#Headers],[Ca]:[Kết thúc]]),0))),
SUM(_xlfn._xlws.FILTER(Table_BangLuong_TyLeTangCa[Tỷ lệ],
(Table_BangLuong_TyLeTangCa[Ngày] = "Thường") *
(Table_BangLuong_TyLeTangCa[Giờ min]&lt;=$AA10) *
(Table_BangLuong_TyLeTangCa[Giờ max]&gt;$AA10)
)),0)
)),
IF(AE$4 &lt; AE$5,
IF($AA10-$Z$4&lt;AE$4,0,
IF($AA10&gt;AE$5,0,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AE$5,$AA10 &lt; AE$4),0,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F10" s="18" cm="1">
        <f t="array" ref="AF10" xml:space="preserve">
IFERROR(
IF(AF$1="",0,
IF(AND(
$AA10&gt;=VLOOKUP(AF$6, Table_ChiPhiNV_Ca[], COUNTA(Table_ChiPhiNV_Ca[[#Headers],[Ca]:[Bắt đầu nghỉ]]),0),
$AA10&lt;VLOOKUP(AF$6, Table_ChiPhiNV_Ca[], COUNTA(Table_ChiPhiNV_Ca[[#Headers],[Ca]:[Kết thúc nghỉ]]),0)
),0,
IF(NOT(ISBLANK(AF$3)),
IF(ISBLANK(AF$7),0,
IF(AF$4 &lt; AF$5,
IF($AA10-$Z$4&lt;AF$4,0,
IF($AA10&gt;AF$5,0,
SUM(_xlfn._xlws.FILTER(Table_BangLuong_TyLeTangCa[Tỷ lệ],
(Table_BangLuong_TyLeTangCa[Ngày] = AF$3) *
(Table_BangLuong_TyLeTangCa[Giờ min]&lt;=$AA10) *
(Table_BangLuong_TyLeTangCa[Giờ max]&gt;$AA10)
)))),
IF(AND($AA10-$Z$4 &gt;= AF$5,$AA10 &lt; AF$4),0,
SUM(_xlfn._xlws.FILTER(Table_BangLuong_TyLeTangCa[Tỷ lệ],
(Table_BangLuong_TyLeTangCa[Ngày] = AF$3) *
(Table_BangLuong_TyLeTangCa[Giờ min]&lt;=$AA10) *
(Table_BangLuong_TyLeTangCa[Giờ max]&gt;$AA10)
))))
),
IF(ISBLANK(AF$7),
IF(VLOOKUP(AF$6, Table_ChiPhiNV_Ca[], COUNTA(Table_ChiPhiNV_Ca[[#Headers],[Ca]:[Kết thúc]]),0)&gt; VLOOKUP(AF$6, Table_ChiPhiNV_Ca[], COUNTA(Table_ChiPhiNV_Ca[[#Headers],[Ca]:[Bắt đầu]]),0),
IF($AA10-$Z$4&lt;MAX(AF$4,VLOOKUP(AF$6, Table_ChiPhiNV_Ca[], COUNTA(Table_ChiPhiNV_Ca[[#Headers],[Ca]:[Bắt đầu]]),0)),0,
IF($AA10&gt;MIN(AF$5,VLOOKUP(AF$6, Table_ChiPhiNV_Ca[], COUNTA(Table_ChiPhiNV_Ca[[#Headers],[Ca]:[Kết thúc]]),0)),0,
SUM(_xlfn._xlws.FILTER(Table_BangLuong_TyLeTangCa[Tỷ lệ],
(Table_BangLuong_TyLeTangCa[Ngày] = "Thường") *
(Table_BangLuong_TyLeTangCa[Giờ min]&lt;=$AA10) *
(Table_BangLuong_TyLeTangCa[Giờ max]&gt;$AA10)
)))),
IF(AF$4 &gt; AF$5,
IF(
AND(
$AA10-$Z$4&lt;MAX(AF$4,VLOOKUP(AF$6, Table_ChiPhiNV_Ca[], COUNTA(Table_ChiPhiNV_Ca[[#Headers],[Ca]:[Bắt đầu]]),0)),
$AA10&gt;MIN(AF$5,VLOOKUP(AF$6, Table_ChiPhiNV_Ca[], COUNTA(Table_ChiPhiNV_Ca[[#Headers],[Ca]:[Kết thúc]]),0))),0,
SUM(_xlfn._xlws.FILTER(Table_BangLuong_TyLeTangCa[Tỷ lệ],
(Table_BangLuong_TyLeTangCa[Ngày] = "Thường") *
(Table_BangLuong_TyLeTangCa[Giờ min]&lt;=$AA10) *
(Table_BangLuong_TyLeTangCa[Giờ max]&gt;$AA10)
))),
IF(
AND(
$AA10-$Z$4&gt;=MAX(AF$4,VLOOKUP(AF$6, Table_ChiPhiNV_Ca[], COUNTA(Table_ChiPhiNV_Ca[[#Headers],[Ca]:[Bắt đầu]]),0)),
$AA10&lt;MIN(AF$5,VLOOKUP(AF$6, Table_ChiPhiNV_Ca[], COUNTA(Table_ChiPhiNV_Ca[[#Headers],[Ca]:[Kết thúc]]),0))),
SUM(_xlfn._xlws.FILTER(Table_BangLuong_TyLeTangCa[Tỷ lệ],
(Table_BangLuong_TyLeTangCa[Ngày] = "Thường") *
(Table_BangLuong_TyLeTangCa[Giờ min]&lt;=$AA10) *
(Table_BangLuong_TyLeTangCa[Giờ max]&gt;$AA10)
)),0)
)),
IF(AF$4 &lt; AF$5,
IF($AA10-$Z$4&lt;AF$4,0,
IF($AA10&gt;AF$5,0,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AF$5,$AA10 &lt; AF$4),0,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G10" s="18" cm="1">
        <f t="array" ref="AG10" xml:space="preserve">
IFERROR(
IF(AG$1="",0,
IF(AND(
$AA10&gt;=VLOOKUP(AG$6, Table_ChiPhiNV_Ca[], COUNTA(Table_ChiPhiNV_Ca[[#Headers],[Ca]:[Bắt đầu nghỉ]]),0),
$AA10&lt;VLOOKUP(AG$6, Table_ChiPhiNV_Ca[], COUNTA(Table_ChiPhiNV_Ca[[#Headers],[Ca]:[Kết thúc nghỉ]]),0)
),0,
IF(NOT(ISBLANK(AG$3)),
IF(ISBLANK(AG$7),0,
IF(AG$4 &lt; AG$5,
IF($AA10-$Z$4&lt;AG$4,0,
IF($AA10&gt;AG$5,0,
SUM(_xlfn._xlws.FILTER(Table_BangLuong_TyLeTangCa[Tỷ lệ],
(Table_BangLuong_TyLeTangCa[Ngày] = AG$3) *
(Table_BangLuong_TyLeTangCa[Giờ min]&lt;=$AA10) *
(Table_BangLuong_TyLeTangCa[Giờ max]&gt;$AA10)
)))),
IF(AND($AA10-$Z$4 &gt;= AG$5,$AA10 &lt; AG$4),0,
SUM(_xlfn._xlws.FILTER(Table_BangLuong_TyLeTangCa[Tỷ lệ],
(Table_BangLuong_TyLeTangCa[Ngày] = AG$3) *
(Table_BangLuong_TyLeTangCa[Giờ min]&lt;=$AA10) *
(Table_BangLuong_TyLeTangCa[Giờ max]&gt;$AA10)
))))
),
IF(ISBLANK(AG$7),
IF(VLOOKUP(AG$6, Table_ChiPhiNV_Ca[], COUNTA(Table_ChiPhiNV_Ca[[#Headers],[Ca]:[Kết thúc]]),0)&gt; VLOOKUP(AG$6, Table_ChiPhiNV_Ca[], COUNTA(Table_ChiPhiNV_Ca[[#Headers],[Ca]:[Bắt đầu]]),0),
IF($AA10-$Z$4&lt;MAX(AG$4,VLOOKUP(AG$6, Table_ChiPhiNV_Ca[], COUNTA(Table_ChiPhiNV_Ca[[#Headers],[Ca]:[Bắt đầu]]),0)),0,
IF($AA10&gt;MIN(AG$5,VLOOKUP(AG$6, Table_ChiPhiNV_Ca[], COUNTA(Table_ChiPhiNV_Ca[[#Headers],[Ca]:[Kết thúc]]),0)),0,
SUM(_xlfn._xlws.FILTER(Table_BangLuong_TyLeTangCa[Tỷ lệ],
(Table_BangLuong_TyLeTangCa[Ngày] = "Thường") *
(Table_BangLuong_TyLeTangCa[Giờ min]&lt;=$AA10) *
(Table_BangLuong_TyLeTangCa[Giờ max]&gt;$AA10)
)))),
IF(AG$4 &gt; AG$5,
IF(
AND(
$AA10-$Z$4&lt;MAX(AG$4,VLOOKUP(AG$6, Table_ChiPhiNV_Ca[], COUNTA(Table_ChiPhiNV_Ca[[#Headers],[Ca]:[Bắt đầu]]),0)),
$AA10&gt;MIN(AG$5,VLOOKUP(AG$6, Table_ChiPhiNV_Ca[], COUNTA(Table_ChiPhiNV_Ca[[#Headers],[Ca]:[Kết thúc]]),0))),0,
SUM(_xlfn._xlws.FILTER(Table_BangLuong_TyLeTangCa[Tỷ lệ],
(Table_BangLuong_TyLeTangCa[Ngày] = "Thường") *
(Table_BangLuong_TyLeTangCa[Giờ min]&lt;=$AA10) *
(Table_BangLuong_TyLeTangCa[Giờ max]&gt;$AA10)
))),
IF(
AND(
$AA10-$Z$4&gt;=MAX(AG$4,VLOOKUP(AG$6, Table_ChiPhiNV_Ca[], COUNTA(Table_ChiPhiNV_Ca[[#Headers],[Ca]:[Bắt đầu]]),0)),
$AA10&lt;MIN(AG$5,VLOOKUP(AG$6, Table_ChiPhiNV_Ca[], COUNTA(Table_ChiPhiNV_Ca[[#Headers],[Ca]:[Kết thúc]]),0))),
SUM(_xlfn._xlws.FILTER(Table_BangLuong_TyLeTangCa[Tỷ lệ],
(Table_BangLuong_TyLeTangCa[Ngày] = "Thường") *
(Table_BangLuong_TyLeTangCa[Giờ min]&lt;=$AA10) *
(Table_BangLuong_TyLeTangCa[Giờ max]&gt;$AA10)
)),0)
)),
IF(AG$4 &lt; AG$5,
IF($AA10-$Z$4&lt;AG$4,0,
IF($AA10&gt;AG$5,0,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AG$5,$AA10 &lt; AG$4),0,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H10" s="18" cm="1">
        <f t="array" ref="AH10" xml:space="preserve">
IFERROR(
IF(AH$1="",0,
IF(AND(
$AA10&gt;=VLOOKUP(AH$6, Table_ChiPhiNV_Ca[], COUNTA(Table_ChiPhiNV_Ca[[#Headers],[Ca]:[Bắt đầu nghỉ]]),0),
$AA10&lt;VLOOKUP(AH$6, Table_ChiPhiNV_Ca[], COUNTA(Table_ChiPhiNV_Ca[[#Headers],[Ca]:[Kết thúc nghỉ]]),0)
),0,
IF(NOT(ISBLANK(AH$3)),
IF(ISBLANK(AH$7),0,
IF(AH$4 &lt; AH$5,
IF($AA10-$Z$4&lt;AH$4,0,
IF($AA10&gt;AH$5,0,
SUM(_xlfn._xlws.FILTER(Table_BangLuong_TyLeTangCa[Tỷ lệ],
(Table_BangLuong_TyLeTangCa[Ngày] = AH$3) *
(Table_BangLuong_TyLeTangCa[Giờ min]&lt;=$AA10) *
(Table_BangLuong_TyLeTangCa[Giờ max]&gt;$AA10)
)))),
IF(AND($AA10-$Z$4 &gt;= AH$5,$AA10 &lt; AH$4),0,
SUM(_xlfn._xlws.FILTER(Table_BangLuong_TyLeTangCa[Tỷ lệ],
(Table_BangLuong_TyLeTangCa[Ngày] = AH$3) *
(Table_BangLuong_TyLeTangCa[Giờ min]&lt;=$AA10) *
(Table_BangLuong_TyLeTangCa[Giờ max]&gt;$AA10)
))))
),
IF(ISBLANK(AH$7),
IF(VLOOKUP(AH$6, Table_ChiPhiNV_Ca[], COUNTA(Table_ChiPhiNV_Ca[[#Headers],[Ca]:[Kết thúc]]),0)&gt; VLOOKUP(AH$6, Table_ChiPhiNV_Ca[], COUNTA(Table_ChiPhiNV_Ca[[#Headers],[Ca]:[Bắt đầu]]),0),
IF($AA10-$Z$4&lt;MAX(AH$4,VLOOKUP(AH$6, Table_ChiPhiNV_Ca[], COUNTA(Table_ChiPhiNV_Ca[[#Headers],[Ca]:[Bắt đầu]]),0)),0,
IF($AA10&gt;MIN(AH$5,VLOOKUP(AH$6, Table_ChiPhiNV_Ca[], COUNTA(Table_ChiPhiNV_Ca[[#Headers],[Ca]:[Kết thúc]]),0)),0,
SUM(_xlfn._xlws.FILTER(Table_BangLuong_TyLeTangCa[Tỷ lệ],
(Table_BangLuong_TyLeTangCa[Ngày] = "Thường") *
(Table_BangLuong_TyLeTangCa[Giờ min]&lt;=$AA10) *
(Table_BangLuong_TyLeTangCa[Giờ max]&gt;$AA10)
)))),
IF(AH$4 &gt; AH$5,
IF(
AND(
$AA10-$Z$4&lt;MAX(AH$4,VLOOKUP(AH$6, Table_ChiPhiNV_Ca[], COUNTA(Table_ChiPhiNV_Ca[[#Headers],[Ca]:[Bắt đầu]]),0)),
$AA10&gt;MIN(AH$5,VLOOKUP(AH$6, Table_ChiPhiNV_Ca[], COUNTA(Table_ChiPhiNV_Ca[[#Headers],[Ca]:[Kết thúc]]),0))),0,
SUM(_xlfn._xlws.FILTER(Table_BangLuong_TyLeTangCa[Tỷ lệ],
(Table_BangLuong_TyLeTangCa[Ngày] = "Thường") *
(Table_BangLuong_TyLeTangCa[Giờ min]&lt;=$AA10) *
(Table_BangLuong_TyLeTangCa[Giờ max]&gt;$AA10)
))),
IF(
AND(
$AA10-$Z$4&gt;=MAX(AH$4,VLOOKUP(AH$6, Table_ChiPhiNV_Ca[], COUNTA(Table_ChiPhiNV_Ca[[#Headers],[Ca]:[Bắt đầu]]),0)),
$AA10&lt;MIN(AH$5,VLOOKUP(AH$6, Table_ChiPhiNV_Ca[], COUNTA(Table_ChiPhiNV_Ca[[#Headers],[Ca]:[Kết thúc]]),0))),
SUM(_xlfn._xlws.FILTER(Table_BangLuong_TyLeTangCa[Tỷ lệ],
(Table_BangLuong_TyLeTangCa[Ngày] = "Thường") *
(Table_BangLuong_TyLeTangCa[Giờ min]&lt;=$AA10) *
(Table_BangLuong_TyLeTangCa[Giờ max]&gt;$AA10)
)),0)
)),
IF(AH$4 &lt; AH$5,
IF($AA10-$Z$4&lt;AH$4,0,
IF($AA10&gt;AH$5,0,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AH$5,$AA10 &lt; AH$4),0,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I10" s="18" cm="1">
        <f t="array" ref="AI10" xml:space="preserve">
IFERROR(
IF(AI$1="",0,
IF(AND(
$AA10&gt;=VLOOKUP(AI$6, Table_ChiPhiNV_Ca[], COUNTA(Table_ChiPhiNV_Ca[[#Headers],[Ca]:[Bắt đầu nghỉ]]),0),
$AA10&lt;VLOOKUP(AI$6, Table_ChiPhiNV_Ca[], COUNTA(Table_ChiPhiNV_Ca[[#Headers],[Ca]:[Kết thúc nghỉ]]),0)
),0,
IF(NOT(ISBLANK(AI$3)),
IF(ISBLANK(AI$7),0,
IF(AI$4 &lt; AI$5,
IF($AA10-$Z$4&lt;AI$4,0,
IF($AA10&gt;AI$5,0,
SUM(_xlfn._xlws.FILTER(Table_BangLuong_TyLeTangCa[Tỷ lệ],
(Table_BangLuong_TyLeTangCa[Ngày] = AI$3) *
(Table_BangLuong_TyLeTangCa[Giờ min]&lt;=$AA10) *
(Table_BangLuong_TyLeTangCa[Giờ max]&gt;$AA10)
)))),
IF(AND($AA10-$Z$4 &gt;= AI$5,$AA10 &lt; AI$4),0,
SUM(_xlfn._xlws.FILTER(Table_BangLuong_TyLeTangCa[Tỷ lệ],
(Table_BangLuong_TyLeTangCa[Ngày] = AI$3) *
(Table_BangLuong_TyLeTangCa[Giờ min]&lt;=$AA10) *
(Table_BangLuong_TyLeTangCa[Giờ max]&gt;$AA10)
))))
),
IF(ISBLANK(AI$7),
IF(VLOOKUP(AI$6, Table_ChiPhiNV_Ca[], COUNTA(Table_ChiPhiNV_Ca[[#Headers],[Ca]:[Kết thúc]]),0)&gt; VLOOKUP(AI$6, Table_ChiPhiNV_Ca[], COUNTA(Table_ChiPhiNV_Ca[[#Headers],[Ca]:[Bắt đầu]]),0),
IF($AA10-$Z$4&lt;MAX(AI$4,VLOOKUP(AI$6, Table_ChiPhiNV_Ca[], COUNTA(Table_ChiPhiNV_Ca[[#Headers],[Ca]:[Bắt đầu]]),0)),0,
IF($AA10&gt;MIN(AI$5,VLOOKUP(AI$6, Table_ChiPhiNV_Ca[], COUNTA(Table_ChiPhiNV_Ca[[#Headers],[Ca]:[Kết thúc]]),0)),0,
SUM(_xlfn._xlws.FILTER(Table_BangLuong_TyLeTangCa[Tỷ lệ],
(Table_BangLuong_TyLeTangCa[Ngày] = "Thường") *
(Table_BangLuong_TyLeTangCa[Giờ min]&lt;=$AA10) *
(Table_BangLuong_TyLeTangCa[Giờ max]&gt;$AA10)
)))),
IF(AI$4 &gt; AI$5,
IF(
AND(
$AA10-$Z$4&lt;MAX(AI$4,VLOOKUP(AI$6, Table_ChiPhiNV_Ca[], COUNTA(Table_ChiPhiNV_Ca[[#Headers],[Ca]:[Bắt đầu]]),0)),
$AA10&gt;MIN(AI$5,VLOOKUP(AI$6, Table_ChiPhiNV_Ca[], COUNTA(Table_ChiPhiNV_Ca[[#Headers],[Ca]:[Kết thúc]]),0))),0,
SUM(_xlfn._xlws.FILTER(Table_BangLuong_TyLeTangCa[Tỷ lệ],
(Table_BangLuong_TyLeTangCa[Ngày] = "Thường") *
(Table_BangLuong_TyLeTangCa[Giờ min]&lt;=$AA10) *
(Table_BangLuong_TyLeTangCa[Giờ max]&gt;$AA10)
))),
IF(
AND(
$AA10-$Z$4&gt;=MAX(AI$4,VLOOKUP(AI$6, Table_ChiPhiNV_Ca[], COUNTA(Table_ChiPhiNV_Ca[[#Headers],[Ca]:[Bắt đầu]]),0)),
$AA10&lt;MIN(AI$5,VLOOKUP(AI$6, Table_ChiPhiNV_Ca[], COUNTA(Table_ChiPhiNV_Ca[[#Headers],[Ca]:[Kết thúc]]),0))),
SUM(_xlfn._xlws.FILTER(Table_BangLuong_TyLeTangCa[Tỷ lệ],
(Table_BangLuong_TyLeTangCa[Ngày] = "Thường") *
(Table_BangLuong_TyLeTangCa[Giờ min]&lt;=$AA10) *
(Table_BangLuong_TyLeTangCa[Giờ max]&gt;$AA10)
)),0)
)),
IF(AI$4 &lt; AI$5,
IF($AA10-$Z$4&lt;AI$4,0,
IF($AA10&gt;AI$5,0,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AI$5,$AA10 &lt; AI$4),0,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J10" s="18" cm="1">
        <f t="array" ref="AJ10" xml:space="preserve">
IFERROR(
IF(AJ$1="",0,
IF(AND(
$AA10&gt;=VLOOKUP(AJ$6, Table_ChiPhiNV_Ca[], COUNTA(Table_ChiPhiNV_Ca[[#Headers],[Ca]:[Bắt đầu nghỉ]]),0),
$AA10&lt;VLOOKUP(AJ$6, Table_ChiPhiNV_Ca[], COUNTA(Table_ChiPhiNV_Ca[[#Headers],[Ca]:[Kết thúc nghỉ]]),0)
),0,
IF(NOT(ISBLANK(AJ$3)),
IF(ISBLANK(AJ$7),0,
IF(AJ$4 &lt; AJ$5,
IF($AA10-$Z$4&lt;AJ$4,0,
IF($AA10&gt;AJ$5,0,
SUM(_xlfn._xlws.FILTER(Table_BangLuong_TyLeTangCa[Tỷ lệ],
(Table_BangLuong_TyLeTangCa[Ngày] = AJ$3) *
(Table_BangLuong_TyLeTangCa[Giờ min]&lt;=$AA10) *
(Table_BangLuong_TyLeTangCa[Giờ max]&gt;$AA10)
)))),
IF(AND($AA10-$Z$4 &gt;= AJ$5,$AA10 &lt; AJ$4),0,
SUM(_xlfn._xlws.FILTER(Table_BangLuong_TyLeTangCa[Tỷ lệ],
(Table_BangLuong_TyLeTangCa[Ngày] = AJ$3) *
(Table_BangLuong_TyLeTangCa[Giờ min]&lt;=$AA10) *
(Table_BangLuong_TyLeTangCa[Giờ max]&gt;$AA10)
))))
),
IF(ISBLANK(AJ$7),
IF(VLOOKUP(AJ$6, Table_ChiPhiNV_Ca[], COUNTA(Table_ChiPhiNV_Ca[[#Headers],[Ca]:[Kết thúc]]),0)&gt; VLOOKUP(AJ$6, Table_ChiPhiNV_Ca[], COUNTA(Table_ChiPhiNV_Ca[[#Headers],[Ca]:[Bắt đầu]]),0),
IF($AA10-$Z$4&lt;MAX(AJ$4,VLOOKUP(AJ$6, Table_ChiPhiNV_Ca[], COUNTA(Table_ChiPhiNV_Ca[[#Headers],[Ca]:[Bắt đầu]]),0)),0,
IF($AA10&gt;MIN(AJ$5,VLOOKUP(AJ$6, Table_ChiPhiNV_Ca[], COUNTA(Table_ChiPhiNV_Ca[[#Headers],[Ca]:[Kết thúc]]),0)),0,
SUM(_xlfn._xlws.FILTER(Table_BangLuong_TyLeTangCa[Tỷ lệ],
(Table_BangLuong_TyLeTangCa[Ngày] = "Thường") *
(Table_BangLuong_TyLeTangCa[Giờ min]&lt;=$AA10) *
(Table_BangLuong_TyLeTangCa[Giờ max]&gt;$AA10)
)))),
IF(AJ$4 &gt; AJ$5,
IF(
AND(
$AA10-$Z$4&lt;MAX(AJ$4,VLOOKUP(AJ$6, Table_ChiPhiNV_Ca[], COUNTA(Table_ChiPhiNV_Ca[[#Headers],[Ca]:[Bắt đầu]]),0)),
$AA10&gt;MIN(AJ$5,VLOOKUP(AJ$6, Table_ChiPhiNV_Ca[], COUNTA(Table_ChiPhiNV_Ca[[#Headers],[Ca]:[Kết thúc]]),0))),0,
SUM(_xlfn._xlws.FILTER(Table_BangLuong_TyLeTangCa[Tỷ lệ],
(Table_BangLuong_TyLeTangCa[Ngày] = "Thường") *
(Table_BangLuong_TyLeTangCa[Giờ min]&lt;=$AA10) *
(Table_BangLuong_TyLeTangCa[Giờ max]&gt;$AA10)
))),
IF(
AND(
$AA10-$Z$4&gt;=MAX(AJ$4,VLOOKUP(AJ$6, Table_ChiPhiNV_Ca[], COUNTA(Table_ChiPhiNV_Ca[[#Headers],[Ca]:[Bắt đầu]]),0)),
$AA10&lt;MIN(AJ$5,VLOOKUP(AJ$6, Table_ChiPhiNV_Ca[], COUNTA(Table_ChiPhiNV_Ca[[#Headers],[Ca]:[Kết thúc]]),0))),
SUM(_xlfn._xlws.FILTER(Table_BangLuong_TyLeTangCa[Tỷ lệ],
(Table_BangLuong_TyLeTangCa[Ngày] = "Thường") *
(Table_BangLuong_TyLeTangCa[Giờ min]&lt;=$AA10) *
(Table_BangLuong_TyLeTangCa[Giờ max]&gt;$AA10)
)),0)
)),
IF(AJ$4 &lt; AJ$5,
IF($AA10-$Z$4&lt;AJ$4,0,
IF($AA10&gt;AJ$5,0,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AJ$5,$AA10 &lt; AJ$4),0,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K10" s="18" cm="1">
        <f t="array" ref="AK10" xml:space="preserve">
IFERROR(
IF(AK$1="",0,
IF(AND(
$AA10&gt;=VLOOKUP(AK$6, Table_ChiPhiNV_Ca[], COUNTA(Table_ChiPhiNV_Ca[[#Headers],[Ca]:[Bắt đầu nghỉ]]),0),
$AA10&lt;VLOOKUP(AK$6, Table_ChiPhiNV_Ca[], COUNTA(Table_ChiPhiNV_Ca[[#Headers],[Ca]:[Kết thúc nghỉ]]),0)
),0,
IF(NOT(ISBLANK(AK$3)),
IF(ISBLANK(AK$7),0,
IF(AK$4 &lt; AK$5,
IF($AA10-$Z$4&lt;AK$4,0,
IF($AA10&gt;AK$5,0,
SUM(_xlfn._xlws.FILTER(Table_BangLuong_TyLeTangCa[Tỷ lệ],
(Table_BangLuong_TyLeTangCa[Ngày] = AK$3) *
(Table_BangLuong_TyLeTangCa[Giờ min]&lt;=$AA10) *
(Table_BangLuong_TyLeTangCa[Giờ max]&gt;$AA10)
)))),
IF(AND($AA10-$Z$4 &gt;= AK$5,$AA10 &lt; AK$4),0,
SUM(_xlfn._xlws.FILTER(Table_BangLuong_TyLeTangCa[Tỷ lệ],
(Table_BangLuong_TyLeTangCa[Ngày] = AK$3) *
(Table_BangLuong_TyLeTangCa[Giờ min]&lt;=$AA10) *
(Table_BangLuong_TyLeTangCa[Giờ max]&gt;$AA10)
))))
),
IF(ISBLANK(AK$7),
IF(VLOOKUP(AK$6, Table_ChiPhiNV_Ca[], COUNTA(Table_ChiPhiNV_Ca[[#Headers],[Ca]:[Kết thúc]]),0)&gt; VLOOKUP(AK$6, Table_ChiPhiNV_Ca[], COUNTA(Table_ChiPhiNV_Ca[[#Headers],[Ca]:[Bắt đầu]]),0),
IF($AA10-$Z$4&lt;MAX(AK$4,VLOOKUP(AK$6, Table_ChiPhiNV_Ca[], COUNTA(Table_ChiPhiNV_Ca[[#Headers],[Ca]:[Bắt đầu]]),0)),0,
IF($AA10&gt;MIN(AK$5,VLOOKUP(AK$6, Table_ChiPhiNV_Ca[], COUNTA(Table_ChiPhiNV_Ca[[#Headers],[Ca]:[Kết thúc]]),0)),0,
SUM(_xlfn._xlws.FILTER(Table_BangLuong_TyLeTangCa[Tỷ lệ],
(Table_BangLuong_TyLeTangCa[Ngày] = "Thường") *
(Table_BangLuong_TyLeTangCa[Giờ min]&lt;=$AA10) *
(Table_BangLuong_TyLeTangCa[Giờ max]&gt;$AA10)
)))),
IF(AK$4 &gt; AK$5,
IF(
AND(
$AA10-$Z$4&lt;MAX(AK$4,VLOOKUP(AK$6, Table_ChiPhiNV_Ca[], COUNTA(Table_ChiPhiNV_Ca[[#Headers],[Ca]:[Bắt đầu]]),0)),
$AA10&gt;MIN(AK$5,VLOOKUP(AK$6, Table_ChiPhiNV_Ca[], COUNTA(Table_ChiPhiNV_Ca[[#Headers],[Ca]:[Kết thúc]]),0))),0,
SUM(_xlfn._xlws.FILTER(Table_BangLuong_TyLeTangCa[Tỷ lệ],
(Table_BangLuong_TyLeTangCa[Ngày] = "Thường") *
(Table_BangLuong_TyLeTangCa[Giờ min]&lt;=$AA10) *
(Table_BangLuong_TyLeTangCa[Giờ max]&gt;$AA10)
))),
IF(
AND(
$AA10-$Z$4&gt;=MAX(AK$4,VLOOKUP(AK$6, Table_ChiPhiNV_Ca[], COUNTA(Table_ChiPhiNV_Ca[[#Headers],[Ca]:[Bắt đầu]]),0)),
$AA10&lt;MIN(AK$5,VLOOKUP(AK$6, Table_ChiPhiNV_Ca[], COUNTA(Table_ChiPhiNV_Ca[[#Headers],[Ca]:[Kết thúc]]),0))),
SUM(_xlfn._xlws.FILTER(Table_BangLuong_TyLeTangCa[Tỷ lệ],
(Table_BangLuong_TyLeTangCa[Ngày] = "Thường") *
(Table_BangLuong_TyLeTangCa[Giờ min]&lt;=$AA10) *
(Table_BangLuong_TyLeTangCa[Giờ max]&gt;$AA10)
)),0)
)),
IF(AK$4 &lt; AK$5,
IF($AA10-$Z$4&lt;AK$4,0,
IF($AA10&gt;AK$5,0,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AK$5,$AA10 &lt; AK$4),0,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L10" s="18" cm="1">
        <f t="array" ref="AL10" xml:space="preserve">
IFERROR(
IF(AL$1="",0,
IF(AND(
$AA10&gt;=VLOOKUP(AL$6, Table_ChiPhiNV_Ca[], COUNTA(Table_ChiPhiNV_Ca[[#Headers],[Ca]:[Bắt đầu nghỉ]]),0),
$AA10&lt;VLOOKUP(AL$6, Table_ChiPhiNV_Ca[], COUNTA(Table_ChiPhiNV_Ca[[#Headers],[Ca]:[Kết thúc nghỉ]]),0)
),0,
IF(NOT(ISBLANK(AL$3)),
IF(ISBLANK(AL$7),0,
IF(AL$4 &lt; AL$5,
IF($AA10-$Z$4&lt;AL$4,0,
IF($AA10&gt;AL$5,0,
SUM(_xlfn._xlws.FILTER(Table_BangLuong_TyLeTangCa[Tỷ lệ],
(Table_BangLuong_TyLeTangCa[Ngày] = AL$3) *
(Table_BangLuong_TyLeTangCa[Giờ min]&lt;=$AA10) *
(Table_BangLuong_TyLeTangCa[Giờ max]&gt;$AA10)
)))),
IF(AND($AA10-$Z$4 &gt;= AL$5,$AA10 &lt; AL$4),0,
SUM(_xlfn._xlws.FILTER(Table_BangLuong_TyLeTangCa[Tỷ lệ],
(Table_BangLuong_TyLeTangCa[Ngày] = AL$3) *
(Table_BangLuong_TyLeTangCa[Giờ min]&lt;=$AA10) *
(Table_BangLuong_TyLeTangCa[Giờ max]&gt;$AA10)
))))
),
IF(ISBLANK(AL$7),
IF(VLOOKUP(AL$6, Table_ChiPhiNV_Ca[], COUNTA(Table_ChiPhiNV_Ca[[#Headers],[Ca]:[Kết thúc]]),0)&gt; VLOOKUP(AL$6, Table_ChiPhiNV_Ca[], COUNTA(Table_ChiPhiNV_Ca[[#Headers],[Ca]:[Bắt đầu]]),0),
IF($AA10-$Z$4&lt;MAX(AL$4,VLOOKUP(AL$6, Table_ChiPhiNV_Ca[], COUNTA(Table_ChiPhiNV_Ca[[#Headers],[Ca]:[Bắt đầu]]),0)),0,
IF($AA10&gt;MIN(AL$5,VLOOKUP(AL$6, Table_ChiPhiNV_Ca[], COUNTA(Table_ChiPhiNV_Ca[[#Headers],[Ca]:[Kết thúc]]),0)),0,
SUM(_xlfn._xlws.FILTER(Table_BangLuong_TyLeTangCa[Tỷ lệ],
(Table_BangLuong_TyLeTangCa[Ngày] = "Thường") *
(Table_BangLuong_TyLeTangCa[Giờ min]&lt;=$AA10) *
(Table_BangLuong_TyLeTangCa[Giờ max]&gt;$AA10)
)))),
IF(AL$4 &gt; AL$5,
IF(
AND(
$AA10-$Z$4&lt;MAX(AL$4,VLOOKUP(AL$6, Table_ChiPhiNV_Ca[], COUNTA(Table_ChiPhiNV_Ca[[#Headers],[Ca]:[Bắt đầu]]),0)),
$AA10&gt;MIN(AL$5,VLOOKUP(AL$6, Table_ChiPhiNV_Ca[], COUNTA(Table_ChiPhiNV_Ca[[#Headers],[Ca]:[Kết thúc]]),0))),0,
SUM(_xlfn._xlws.FILTER(Table_BangLuong_TyLeTangCa[Tỷ lệ],
(Table_BangLuong_TyLeTangCa[Ngày] = "Thường") *
(Table_BangLuong_TyLeTangCa[Giờ min]&lt;=$AA10) *
(Table_BangLuong_TyLeTangCa[Giờ max]&gt;$AA10)
))),
IF(
AND(
$AA10-$Z$4&gt;=MAX(AL$4,VLOOKUP(AL$6, Table_ChiPhiNV_Ca[], COUNTA(Table_ChiPhiNV_Ca[[#Headers],[Ca]:[Bắt đầu]]),0)),
$AA10&lt;MIN(AL$5,VLOOKUP(AL$6, Table_ChiPhiNV_Ca[], COUNTA(Table_ChiPhiNV_Ca[[#Headers],[Ca]:[Kết thúc]]),0))),
SUM(_xlfn._xlws.FILTER(Table_BangLuong_TyLeTangCa[Tỷ lệ],
(Table_BangLuong_TyLeTangCa[Ngày] = "Thường") *
(Table_BangLuong_TyLeTangCa[Giờ min]&lt;=$AA10) *
(Table_BangLuong_TyLeTangCa[Giờ max]&gt;$AA10)
)),0)
)),
IF(AL$4 &lt; AL$5,
IF($AA10-$Z$4&lt;AL$4,0,
IF($AA10&gt;AL$5,0,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AL$5,$AA10 &lt; AL$4),0,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M10" s="18" cm="1">
        <f t="array" ref="AM10" xml:space="preserve">
IFERROR(
IF(AM$1="",0,
IF(AND(
$AA10&gt;=VLOOKUP(AM$6, Table_ChiPhiNV_Ca[], COUNTA(Table_ChiPhiNV_Ca[[#Headers],[Ca]:[Bắt đầu nghỉ]]),0),
$AA10&lt;VLOOKUP(AM$6, Table_ChiPhiNV_Ca[], COUNTA(Table_ChiPhiNV_Ca[[#Headers],[Ca]:[Kết thúc nghỉ]]),0)
),0,
IF(NOT(ISBLANK(AM$3)),
IF(ISBLANK(AM$7),0,
IF(AM$4 &lt; AM$5,
IF($AA10-$Z$4&lt;AM$4,0,
IF($AA10&gt;AM$5,0,
SUM(_xlfn._xlws.FILTER(Table_BangLuong_TyLeTangCa[Tỷ lệ],
(Table_BangLuong_TyLeTangCa[Ngày] = AM$3) *
(Table_BangLuong_TyLeTangCa[Giờ min]&lt;=$AA10) *
(Table_BangLuong_TyLeTangCa[Giờ max]&gt;$AA10)
)))),
IF(AND($AA10-$Z$4 &gt;= AM$5,$AA10 &lt; AM$4),0,
SUM(_xlfn._xlws.FILTER(Table_BangLuong_TyLeTangCa[Tỷ lệ],
(Table_BangLuong_TyLeTangCa[Ngày] = AM$3) *
(Table_BangLuong_TyLeTangCa[Giờ min]&lt;=$AA10) *
(Table_BangLuong_TyLeTangCa[Giờ max]&gt;$AA10)
))))
),
IF(ISBLANK(AM$7),
IF(VLOOKUP(AM$6, Table_ChiPhiNV_Ca[], COUNTA(Table_ChiPhiNV_Ca[[#Headers],[Ca]:[Kết thúc]]),0)&gt; VLOOKUP(AM$6, Table_ChiPhiNV_Ca[], COUNTA(Table_ChiPhiNV_Ca[[#Headers],[Ca]:[Bắt đầu]]),0),
IF($AA10-$Z$4&lt;MAX(AM$4,VLOOKUP(AM$6, Table_ChiPhiNV_Ca[], COUNTA(Table_ChiPhiNV_Ca[[#Headers],[Ca]:[Bắt đầu]]),0)),0,
IF($AA10&gt;MIN(AM$5,VLOOKUP(AM$6, Table_ChiPhiNV_Ca[], COUNTA(Table_ChiPhiNV_Ca[[#Headers],[Ca]:[Kết thúc]]),0)),0,
SUM(_xlfn._xlws.FILTER(Table_BangLuong_TyLeTangCa[Tỷ lệ],
(Table_BangLuong_TyLeTangCa[Ngày] = "Thường") *
(Table_BangLuong_TyLeTangCa[Giờ min]&lt;=$AA10) *
(Table_BangLuong_TyLeTangCa[Giờ max]&gt;$AA10)
)))),
IF(AM$4 &gt; AM$5,
IF(
AND(
$AA10-$Z$4&lt;MAX(AM$4,VLOOKUP(AM$6, Table_ChiPhiNV_Ca[], COUNTA(Table_ChiPhiNV_Ca[[#Headers],[Ca]:[Bắt đầu]]),0)),
$AA10&gt;MIN(AM$5,VLOOKUP(AM$6, Table_ChiPhiNV_Ca[], COUNTA(Table_ChiPhiNV_Ca[[#Headers],[Ca]:[Kết thúc]]),0))),0,
SUM(_xlfn._xlws.FILTER(Table_BangLuong_TyLeTangCa[Tỷ lệ],
(Table_BangLuong_TyLeTangCa[Ngày] = "Thường") *
(Table_BangLuong_TyLeTangCa[Giờ min]&lt;=$AA10) *
(Table_BangLuong_TyLeTangCa[Giờ max]&gt;$AA10)
))),
IF(
AND(
$AA10-$Z$4&gt;=MAX(AM$4,VLOOKUP(AM$6, Table_ChiPhiNV_Ca[], COUNTA(Table_ChiPhiNV_Ca[[#Headers],[Ca]:[Bắt đầu]]),0)),
$AA10&lt;MIN(AM$5,VLOOKUP(AM$6, Table_ChiPhiNV_Ca[], COUNTA(Table_ChiPhiNV_Ca[[#Headers],[Ca]:[Kết thúc]]),0))),
SUM(_xlfn._xlws.FILTER(Table_BangLuong_TyLeTangCa[Tỷ lệ],
(Table_BangLuong_TyLeTangCa[Ngày] = "Thường") *
(Table_BangLuong_TyLeTangCa[Giờ min]&lt;=$AA10) *
(Table_BangLuong_TyLeTangCa[Giờ max]&gt;$AA10)
)),0)
)),
IF(AM$4 &lt; AM$5,
IF($AA10-$Z$4&lt;AM$4,0,
IF($AA10&gt;AM$5,0,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AM$5,$AA10 &lt; AM$4),0,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N10" s="18" cm="1">
        <f t="array" ref="AN10" xml:space="preserve">
IFERROR(
IF(AN$1="",0,
IF(AND(
$AA10&gt;=VLOOKUP(AN$6, Table_ChiPhiNV_Ca[], COUNTA(Table_ChiPhiNV_Ca[[#Headers],[Ca]:[Bắt đầu nghỉ]]),0),
$AA10&lt;VLOOKUP(AN$6, Table_ChiPhiNV_Ca[], COUNTA(Table_ChiPhiNV_Ca[[#Headers],[Ca]:[Kết thúc nghỉ]]),0)
),0,
IF(NOT(ISBLANK(AN$3)),
IF(ISBLANK(AN$7),0,
IF(AN$4 &lt; AN$5,
IF($AA10-$Z$4&lt;AN$4,0,
IF($AA10&gt;AN$5,0,
SUM(_xlfn._xlws.FILTER(Table_BangLuong_TyLeTangCa[Tỷ lệ],
(Table_BangLuong_TyLeTangCa[Ngày] = AN$3) *
(Table_BangLuong_TyLeTangCa[Giờ min]&lt;=$AA10) *
(Table_BangLuong_TyLeTangCa[Giờ max]&gt;$AA10)
)))),
IF(AND($AA10-$Z$4 &gt;= AN$5,$AA10 &lt; AN$4),0,
SUM(_xlfn._xlws.FILTER(Table_BangLuong_TyLeTangCa[Tỷ lệ],
(Table_BangLuong_TyLeTangCa[Ngày] = AN$3) *
(Table_BangLuong_TyLeTangCa[Giờ min]&lt;=$AA10) *
(Table_BangLuong_TyLeTangCa[Giờ max]&gt;$AA10)
))))
),
IF(ISBLANK(AN$7),
IF(VLOOKUP(AN$6, Table_ChiPhiNV_Ca[], COUNTA(Table_ChiPhiNV_Ca[[#Headers],[Ca]:[Kết thúc]]),0)&gt; VLOOKUP(AN$6, Table_ChiPhiNV_Ca[], COUNTA(Table_ChiPhiNV_Ca[[#Headers],[Ca]:[Bắt đầu]]),0),
IF($AA10-$Z$4&lt;MAX(AN$4,VLOOKUP(AN$6, Table_ChiPhiNV_Ca[], COUNTA(Table_ChiPhiNV_Ca[[#Headers],[Ca]:[Bắt đầu]]),0)),0,
IF($AA10&gt;MIN(AN$5,VLOOKUP(AN$6, Table_ChiPhiNV_Ca[], COUNTA(Table_ChiPhiNV_Ca[[#Headers],[Ca]:[Kết thúc]]),0)),0,
SUM(_xlfn._xlws.FILTER(Table_BangLuong_TyLeTangCa[Tỷ lệ],
(Table_BangLuong_TyLeTangCa[Ngày] = "Thường") *
(Table_BangLuong_TyLeTangCa[Giờ min]&lt;=$AA10) *
(Table_BangLuong_TyLeTangCa[Giờ max]&gt;$AA10)
)))),
IF(AN$4 &gt; AN$5,
IF(
AND(
$AA10-$Z$4&lt;MAX(AN$4,VLOOKUP(AN$6, Table_ChiPhiNV_Ca[], COUNTA(Table_ChiPhiNV_Ca[[#Headers],[Ca]:[Bắt đầu]]),0)),
$AA10&gt;MIN(AN$5,VLOOKUP(AN$6, Table_ChiPhiNV_Ca[], COUNTA(Table_ChiPhiNV_Ca[[#Headers],[Ca]:[Kết thúc]]),0))),0,
SUM(_xlfn._xlws.FILTER(Table_BangLuong_TyLeTangCa[Tỷ lệ],
(Table_BangLuong_TyLeTangCa[Ngày] = "Thường") *
(Table_BangLuong_TyLeTangCa[Giờ min]&lt;=$AA10) *
(Table_BangLuong_TyLeTangCa[Giờ max]&gt;$AA10)
))),
IF(
AND(
$AA10-$Z$4&gt;=MAX(AN$4,VLOOKUP(AN$6, Table_ChiPhiNV_Ca[], COUNTA(Table_ChiPhiNV_Ca[[#Headers],[Ca]:[Bắt đầu]]),0)),
$AA10&lt;MIN(AN$5,VLOOKUP(AN$6, Table_ChiPhiNV_Ca[], COUNTA(Table_ChiPhiNV_Ca[[#Headers],[Ca]:[Kết thúc]]),0))),
SUM(_xlfn._xlws.FILTER(Table_BangLuong_TyLeTangCa[Tỷ lệ],
(Table_BangLuong_TyLeTangCa[Ngày] = "Thường") *
(Table_BangLuong_TyLeTangCa[Giờ min]&lt;=$AA10) *
(Table_BangLuong_TyLeTangCa[Giờ max]&gt;$AA10)
)),0)
)),
IF(AN$4 &lt; AN$5,
IF($AA10-$Z$4&lt;AN$4,0,
IF($AA10&gt;AN$5,0,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AN$5,$AA10 &lt; AN$4),0,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O10" s="18" cm="1">
        <f t="array" ref="AO10" xml:space="preserve">
IFERROR(
IF(AO$1="",0,
IF(AND(
$AA10&gt;=VLOOKUP(AO$6, Table_ChiPhiNV_Ca[], COUNTA(Table_ChiPhiNV_Ca[[#Headers],[Ca]:[Bắt đầu nghỉ]]),0),
$AA10&lt;VLOOKUP(AO$6, Table_ChiPhiNV_Ca[], COUNTA(Table_ChiPhiNV_Ca[[#Headers],[Ca]:[Kết thúc nghỉ]]),0)
),0,
IF(NOT(ISBLANK(AO$3)),
IF(ISBLANK(AO$7),0,
IF(AO$4 &lt; AO$5,
IF($AA10-$Z$4&lt;AO$4,0,
IF($AA10&gt;AO$5,0,
SUM(_xlfn._xlws.FILTER(Table_BangLuong_TyLeTangCa[Tỷ lệ],
(Table_BangLuong_TyLeTangCa[Ngày] = AO$3) *
(Table_BangLuong_TyLeTangCa[Giờ min]&lt;=$AA10) *
(Table_BangLuong_TyLeTangCa[Giờ max]&gt;$AA10)
)))),
IF(AND($AA10-$Z$4 &gt;= AO$5,$AA10 &lt; AO$4),0,
SUM(_xlfn._xlws.FILTER(Table_BangLuong_TyLeTangCa[Tỷ lệ],
(Table_BangLuong_TyLeTangCa[Ngày] = AO$3) *
(Table_BangLuong_TyLeTangCa[Giờ min]&lt;=$AA10) *
(Table_BangLuong_TyLeTangCa[Giờ max]&gt;$AA10)
))))
),
IF(ISBLANK(AO$7),
IF(VLOOKUP(AO$6, Table_ChiPhiNV_Ca[], COUNTA(Table_ChiPhiNV_Ca[[#Headers],[Ca]:[Kết thúc]]),0)&gt; VLOOKUP(AO$6, Table_ChiPhiNV_Ca[], COUNTA(Table_ChiPhiNV_Ca[[#Headers],[Ca]:[Bắt đầu]]),0),
IF($AA10-$Z$4&lt;MAX(AO$4,VLOOKUP(AO$6, Table_ChiPhiNV_Ca[], COUNTA(Table_ChiPhiNV_Ca[[#Headers],[Ca]:[Bắt đầu]]),0)),0,
IF($AA10&gt;MIN(AO$5,VLOOKUP(AO$6, Table_ChiPhiNV_Ca[], COUNTA(Table_ChiPhiNV_Ca[[#Headers],[Ca]:[Kết thúc]]),0)),0,
SUM(_xlfn._xlws.FILTER(Table_BangLuong_TyLeTangCa[Tỷ lệ],
(Table_BangLuong_TyLeTangCa[Ngày] = "Thường") *
(Table_BangLuong_TyLeTangCa[Giờ min]&lt;=$AA10) *
(Table_BangLuong_TyLeTangCa[Giờ max]&gt;$AA10)
)))),
IF(AO$4 &gt; AO$5,
IF(
AND(
$AA10-$Z$4&lt;MAX(AO$4,VLOOKUP(AO$6, Table_ChiPhiNV_Ca[], COUNTA(Table_ChiPhiNV_Ca[[#Headers],[Ca]:[Bắt đầu]]),0)),
$AA10&gt;MIN(AO$5,VLOOKUP(AO$6, Table_ChiPhiNV_Ca[], COUNTA(Table_ChiPhiNV_Ca[[#Headers],[Ca]:[Kết thúc]]),0))),0,
SUM(_xlfn._xlws.FILTER(Table_BangLuong_TyLeTangCa[Tỷ lệ],
(Table_BangLuong_TyLeTangCa[Ngày] = "Thường") *
(Table_BangLuong_TyLeTangCa[Giờ min]&lt;=$AA10) *
(Table_BangLuong_TyLeTangCa[Giờ max]&gt;$AA10)
))),
IF(
AND(
$AA10-$Z$4&gt;=MAX(AO$4,VLOOKUP(AO$6, Table_ChiPhiNV_Ca[], COUNTA(Table_ChiPhiNV_Ca[[#Headers],[Ca]:[Bắt đầu]]),0)),
$AA10&lt;MIN(AO$5,VLOOKUP(AO$6, Table_ChiPhiNV_Ca[], COUNTA(Table_ChiPhiNV_Ca[[#Headers],[Ca]:[Kết thúc]]),0))),
SUM(_xlfn._xlws.FILTER(Table_BangLuong_TyLeTangCa[Tỷ lệ],
(Table_BangLuong_TyLeTangCa[Ngày] = "Thường") *
(Table_BangLuong_TyLeTangCa[Giờ min]&lt;=$AA10) *
(Table_BangLuong_TyLeTangCa[Giờ max]&gt;$AA10)
)),0)
)),
IF(AO$4 &lt; AO$5,
IF($AA10-$Z$4&lt;AO$4,0,
IF($AA10&gt;AO$5,0,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AO$5,$AA10 &lt; AO$4),0,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P10" s="18" cm="1">
        <f t="array" ref="AP10" xml:space="preserve">
IFERROR(
IF(AP$1="",0,
IF(AND(
$AA10&gt;=VLOOKUP(AP$6, Table_ChiPhiNV_Ca[], COUNTA(Table_ChiPhiNV_Ca[[#Headers],[Ca]:[Bắt đầu nghỉ]]),0),
$AA10&lt;VLOOKUP(AP$6, Table_ChiPhiNV_Ca[], COUNTA(Table_ChiPhiNV_Ca[[#Headers],[Ca]:[Kết thúc nghỉ]]),0)
),0,
IF(NOT(ISBLANK(AP$3)),
IF(ISBLANK(AP$7),0,
IF(AP$4 &lt; AP$5,
IF($AA10-$Z$4&lt;AP$4,0,
IF($AA10&gt;AP$5,0,
SUM(_xlfn._xlws.FILTER(Table_BangLuong_TyLeTangCa[Tỷ lệ],
(Table_BangLuong_TyLeTangCa[Ngày] = AP$3) *
(Table_BangLuong_TyLeTangCa[Giờ min]&lt;=$AA10) *
(Table_BangLuong_TyLeTangCa[Giờ max]&gt;$AA10)
)))),
IF(AND($AA10-$Z$4 &gt;= AP$5,$AA10 &lt; AP$4),0,
SUM(_xlfn._xlws.FILTER(Table_BangLuong_TyLeTangCa[Tỷ lệ],
(Table_BangLuong_TyLeTangCa[Ngày] = AP$3) *
(Table_BangLuong_TyLeTangCa[Giờ min]&lt;=$AA10) *
(Table_BangLuong_TyLeTangCa[Giờ max]&gt;$AA10)
))))
),
IF(ISBLANK(AP$7),
IF(VLOOKUP(AP$6, Table_ChiPhiNV_Ca[], COUNTA(Table_ChiPhiNV_Ca[[#Headers],[Ca]:[Kết thúc]]),0)&gt; VLOOKUP(AP$6, Table_ChiPhiNV_Ca[], COUNTA(Table_ChiPhiNV_Ca[[#Headers],[Ca]:[Bắt đầu]]),0),
IF($AA10-$Z$4&lt;MAX(AP$4,VLOOKUP(AP$6, Table_ChiPhiNV_Ca[], COUNTA(Table_ChiPhiNV_Ca[[#Headers],[Ca]:[Bắt đầu]]),0)),0,
IF($AA10&gt;MIN(AP$5,VLOOKUP(AP$6, Table_ChiPhiNV_Ca[], COUNTA(Table_ChiPhiNV_Ca[[#Headers],[Ca]:[Kết thúc]]),0)),0,
SUM(_xlfn._xlws.FILTER(Table_BangLuong_TyLeTangCa[Tỷ lệ],
(Table_BangLuong_TyLeTangCa[Ngày] = "Thường") *
(Table_BangLuong_TyLeTangCa[Giờ min]&lt;=$AA10) *
(Table_BangLuong_TyLeTangCa[Giờ max]&gt;$AA10)
)))),
IF(AP$4 &gt; AP$5,
IF(
AND(
$AA10-$Z$4&lt;MAX(AP$4,VLOOKUP(AP$6, Table_ChiPhiNV_Ca[], COUNTA(Table_ChiPhiNV_Ca[[#Headers],[Ca]:[Bắt đầu]]),0)),
$AA10&gt;MIN(AP$5,VLOOKUP(AP$6, Table_ChiPhiNV_Ca[], COUNTA(Table_ChiPhiNV_Ca[[#Headers],[Ca]:[Kết thúc]]),0))),0,
SUM(_xlfn._xlws.FILTER(Table_BangLuong_TyLeTangCa[Tỷ lệ],
(Table_BangLuong_TyLeTangCa[Ngày] = "Thường") *
(Table_BangLuong_TyLeTangCa[Giờ min]&lt;=$AA10) *
(Table_BangLuong_TyLeTangCa[Giờ max]&gt;$AA10)
))),
IF(
AND(
$AA10-$Z$4&gt;=MAX(AP$4,VLOOKUP(AP$6, Table_ChiPhiNV_Ca[], COUNTA(Table_ChiPhiNV_Ca[[#Headers],[Ca]:[Bắt đầu]]),0)),
$AA10&lt;MIN(AP$5,VLOOKUP(AP$6, Table_ChiPhiNV_Ca[], COUNTA(Table_ChiPhiNV_Ca[[#Headers],[Ca]:[Kết thúc]]),0))),
SUM(_xlfn._xlws.FILTER(Table_BangLuong_TyLeTangCa[Tỷ lệ],
(Table_BangLuong_TyLeTangCa[Ngày] = "Thường") *
(Table_BangLuong_TyLeTangCa[Giờ min]&lt;=$AA10) *
(Table_BangLuong_TyLeTangCa[Giờ max]&gt;$AA10)
)),0)
)),
IF(AP$4 &lt; AP$5,
IF($AA10-$Z$4&lt;AP$4,0,
IF($AA10&gt;AP$5,0,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AP$5,$AA10 &lt; AP$4),0,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Q10" s="18" cm="1">
        <f t="array" ref="AQ10" xml:space="preserve">
IFERROR(
IF(AQ$1="",0,
IF(AND(
$AA10&gt;=VLOOKUP(AQ$6, Table_ChiPhiNV_Ca[], COUNTA(Table_ChiPhiNV_Ca[[#Headers],[Ca]:[Bắt đầu nghỉ]]),0),
$AA10&lt;VLOOKUP(AQ$6, Table_ChiPhiNV_Ca[], COUNTA(Table_ChiPhiNV_Ca[[#Headers],[Ca]:[Kết thúc nghỉ]]),0)
),0,
IF(NOT(ISBLANK(AQ$3)),
IF(ISBLANK(AQ$7),0,
IF(AQ$4 &lt; AQ$5,
IF($AA10-$Z$4&lt;AQ$4,0,
IF($AA10&gt;AQ$5,0,
SUM(_xlfn._xlws.FILTER(Table_BangLuong_TyLeTangCa[Tỷ lệ],
(Table_BangLuong_TyLeTangCa[Ngày] = AQ$3) *
(Table_BangLuong_TyLeTangCa[Giờ min]&lt;=$AA10) *
(Table_BangLuong_TyLeTangCa[Giờ max]&gt;$AA10)
)))),
IF(AND($AA10-$Z$4 &gt;= AQ$5,$AA10 &lt; AQ$4),0,
SUM(_xlfn._xlws.FILTER(Table_BangLuong_TyLeTangCa[Tỷ lệ],
(Table_BangLuong_TyLeTangCa[Ngày] = AQ$3) *
(Table_BangLuong_TyLeTangCa[Giờ min]&lt;=$AA10) *
(Table_BangLuong_TyLeTangCa[Giờ max]&gt;$AA10)
))))
),
IF(ISBLANK(AQ$7),
IF(VLOOKUP(AQ$6, Table_ChiPhiNV_Ca[], COUNTA(Table_ChiPhiNV_Ca[[#Headers],[Ca]:[Kết thúc]]),0)&gt; VLOOKUP(AQ$6, Table_ChiPhiNV_Ca[], COUNTA(Table_ChiPhiNV_Ca[[#Headers],[Ca]:[Bắt đầu]]),0),
IF($AA10-$Z$4&lt;MAX(AQ$4,VLOOKUP(AQ$6, Table_ChiPhiNV_Ca[], COUNTA(Table_ChiPhiNV_Ca[[#Headers],[Ca]:[Bắt đầu]]),0)),0,
IF($AA10&gt;MIN(AQ$5,VLOOKUP(AQ$6, Table_ChiPhiNV_Ca[], COUNTA(Table_ChiPhiNV_Ca[[#Headers],[Ca]:[Kết thúc]]),0)),0,
SUM(_xlfn._xlws.FILTER(Table_BangLuong_TyLeTangCa[Tỷ lệ],
(Table_BangLuong_TyLeTangCa[Ngày] = "Thường") *
(Table_BangLuong_TyLeTangCa[Giờ min]&lt;=$AA10) *
(Table_BangLuong_TyLeTangCa[Giờ max]&gt;$AA10)
)))),
IF(AQ$4 &gt; AQ$5,
IF(
AND(
$AA10-$Z$4&lt;MAX(AQ$4,VLOOKUP(AQ$6, Table_ChiPhiNV_Ca[], COUNTA(Table_ChiPhiNV_Ca[[#Headers],[Ca]:[Bắt đầu]]),0)),
$AA10&gt;MIN(AQ$5,VLOOKUP(AQ$6, Table_ChiPhiNV_Ca[], COUNTA(Table_ChiPhiNV_Ca[[#Headers],[Ca]:[Kết thúc]]),0))),0,
SUM(_xlfn._xlws.FILTER(Table_BangLuong_TyLeTangCa[Tỷ lệ],
(Table_BangLuong_TyLeTangCa[Ngày] = "Thường") *
(Table_BangLuong_TyLeTangCa[Giờ min]&lt;=$AA10) *
(Table_BangLuong_TyLeTangCa[Giờ max]&gt;$AA10)
))),
IF(
AND(
$AA10-$Z$4&gt;=MAX(AQ$4,VLOOKUP(AQ$6, Table_ChiPhiNV_Ca[], COUNTA(Table_ChiPhiNV_Ca[[#Headers],[Ca]:[Bắt đầu]]),0)),
$AA10&lt;MIN(AQ$5,VLOOKUP(AQ$6, Table_ChiPhiNV_Ca[], COUNTA(Table_ChiPhiNV_Ca[[#Headers],[Ca]:[Kết thúc]]),0))),
SUM(_xlfn._xlws.FILTER(Table_BangLuong_TyLeTangCa[Tỷ lệ],
(Table_BangLuong_TyLeTangCa[Ngày] = "Thường") *
(Table_BangLuong_TyLeTangCa[Giờ min]&lt;=$AA10) *
(Table_BangLuong_TyLeTangCa[Giờ max]&gt;$AA10)
)),0)
)),
IF(AQ$4 &lt; AQ$5,
IF($AA10-$Z$4&lt;AQ$4,0,
IF($AA10&gt;AQ$5,0,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AQ$5,$AA10 &lt; AQ$4),0,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R10" s="18" cm="1">
        <f t="array" ref="AR10" xml:space="preserve">
IFERROR(
IF(AR$1="",0,
IF(AND(
$AA10&gt;=VLOOKUP(AR$6, Table_ChiPhiNV_Ca[], COUNTA(Table_ChiPhiNV_Ca[[#Headers],[Ca]:[Bắt đầu nghỉ]]),0),
$AA10&lt;VLOOKUP(AR$6, Table_ChiPhiNV_Ca[], COUNTA(Table_ChiPhiNV_Ca[[#Headers],[Ca]:[Kết thúc nghỉ]]),0)
),0,
IF(NOT(ISBLANK(AR$3)),
IF(ISBLANK(AR$7),0,
IF(AR$4 &lt; AR$5,
IF($AA10-$Z$4&lt;AR$4,0,
IF($AA10&gt;AR$5,0,
SUM(_xlfn._xlws.FILTER(Table_BangLuong_TyLeTangCa[Tỷ lệ],
(Table_BangLuong_TyLeTangCa[Ngày] = AR$3) *
(Table_BangLuong_TyLeTangCa[Giờ min]&lt;=$AA10) *
(Table_BangLuong_TyLeTangCa[Giờ max]&gt;$AA10)
)))),
IF(AND($AA10-$Z$4 &gt;= AR$5,$AA10 &lt; AR$4),0,
SUM(_xlfn._xlws.FILTER(Table_BangLuong_TyLeTangCa[Tỷ lệ],
(Table_BangLuong_TyLeTangCa[Ngày] = AR$3) *
(Table_BangLuong_TyLeTangCa[Giờ min]&lt;=$AA10) *
(Table_BangLuong_TyLeTangCa[Giờ max]&gt;$AA10)
))))
),
IF(ISBLANK(AR$7),
IF(VLOOKUP(AR$6, Table_ChiPhiNV_Ca[], COUNTA(Table_ChiPhiNV_Ca[[#Headers],[Ca]:[Kết thúc]]),0)&gt; VLOOKUP(AR$6, Table_ChiPhiNV_Ca[], COUNTA(Table_ChiPhiNV_Ca[[#Headers],[Ca]:[Bắt đầu]]),0),
IF($AA10-$Z$4&lt;MAX(AR$4,VLOOKUP(AR$6, Table_ChiPhiNV_Ca[], COUNTA(Table_ChiPhiNV_Ca[[#Headers],[Ca]:[Bắt đầu]]),0)),0,
IF($AA10&gt;MIN(AR$5,VLOOKUP(AR$6, Table_ChiPhiNV_Ca[], COUNTA(Table_ChiPhiNV_Ca[[#Headers],[Ca]:[Kết thúc]]),0)),0,
SUM(_xlfn._xlws.FILTER(Table_BangLuong_TyLeTangCa[Tỷ lệ],
(Table_BangLuong_TyLeTangCa[Ngày] = "Thường") *
(Table_BangLuong_TyLeTangCa[Giờ min]&lt;=$AA10) *
(Table_BangLuong_TyLeTangCa[Giờ max]&gt;$AA10)
)))),
IF(AR$4 &gt; AR$5,
IF(
AND(
$AA10-$Z$4&lt;MAX(AR$4,VLOOKUP(AR$6, Table_ChiPhiNV_Ca[], COUNTA(Table_ChiPhiNV_Ca[[#Headers],[Ca]:[Bắt đầu]]),0)),
$AA10&gt;MIN(AR$5,VLOOKUP(AR$6, Table_ChiPhiNV_Ca[], COUNTA(Table_ChiPhiNV_Ca[[#Headers],[Ca]:[Kết thúc]]),0))),0,
SUM(_xlfn._xlws.FILTER(Table_BangLuong_TyLeTangCa[Tỷ lệ],
(Table_BangLuong_TyLeTangCa[Ngày] = "Thường") *
(Table_BangLuong_TyLeTangCa[Giờ min]&lt;=$AA10) *
(Table_BangLuong_TyLeTangCa[Giờ max]&gt;$AA10)
))),
IF(
AND(
$AA10-$Z$4&gt;=MAX(AR$4,VLOOKUP(AR$6, Table_ChiPhiNV_Ca[], COUNTA(Table_ChiPhiNV_Ca[[#Headers],[Ca]:[Bắt đầu]]),0)),
$AA10&lt;MIN(AR$5,VLOOKUP(AR$6, Table_ChiPhiNV_Ca[], COUNTA(Table_ChiPhiNV_Ca[[#Headers],[Ca]:[Kết thúc]]),0))),
SUM(_xlfn._xlws.FILTER(Table_BangLuong_TyLeTangCa[Tỷ lệ],
(Table_BangLuong_TyLeTangCa[Ngày] = "Thường") *
(Table_BangLuong_TyLeTangCa[Giờ min]&lt;=$AA10) *
(Table_BangLuong_TyLeTangCa[Giờ max]&gt;$AA10)
)),0)
)),
IF(AR$4 &lt; AR$5,
IF($AA10-$Z$4&lt;AR$4,0,
IF($AA10&gt;AR$5,0,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AR$5,$AA10 &lt; AR$4),0,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S10" s="18" cm="1">
        <f t="array" ref="AS10" xml:space="preserve">
IFERROR(
IF(AS$1="",0,
IF(AND(
$AA10&gt;=VLOOKUP(AS$6, Table_ChiPhiNV_Ca[], COUNTA(Table_ChiPhiNV_Ca[[#Headers],[Ca]:[Bắt đầu nghỉ]]),0),
$AA10&lt;VLOOKUP(AS$6, Table_ChiPhiNV_Ca[], COUNTA(Table_ChiPhiNV_Ca[[#Headers],[Ca]:[Kết thúc nghỉ]]),0)
),0,
IF(NOT(ISBLANK(AS$3)),
IF(ISBLANK(AS$7),0,
IF(AS$4 &lt; AS$5,
IF($AA10-$Z$4&lt;AS$4,0,
IF($AA10&gt;AS$5,0,
SUM(_xlfn._xlws.FILTER(Table_BangLuong_TyLeTangCa[Tỷ lệ],
(Table_BangLuong_TyLeTangCa[Ngày] = AS$3) *
(Table_BangLuong_TyLeTangCa[Giờ min]&lt;=$AA10) *
(Table_BangLuong_TyLeTangCa[Giờ max]&gt;$AA10)
)))),
IF(AND($AA10-$Z$4 &gt;= AS$5,$AA10 &lt; AS$4),0,
SUM(_xlfn._xlws.FILTER(Table_BangLuong_TyLeTangCa[Tỷ lệ],
(Table_BangLuong_TyLeTangCa[Ngày] = AS$3) *
(Table_BangLuong_TyLeTangCa[Giờ min]&lt;=$AA10) *
(Table_BangLuong_TyLeTangCa[Giờ max]&gt;$AA10)
))))
),
IF(ISBLANK(AS$7),
IF(VLOOKUP(AS$6, Table_ChiPhiNV_Ca[], COUNTA(Table_ChiPhiNV_Ca[[#Headers],[Ca]:[Kết thúc]]),0)&gt; VLOOKUP(AS$6, Table_ChiPhiNV_Ca[], COUNTA(Table_ChiPhiNV_Ca[[#Headers],[Ca]:[Bắt đầu]]),0),
IF($AA10-$Z$4&lt;MAX(AS$4,VLOOKUP(AS$6, Table_ChiPhiNV_Ca[], COUNTA(Table_ChiPhiNV_Ca[[#Headers],[Ca]:[Bắt đầu]]),0)),0,
IF($AA10&gt;MIN(AS$5,VLOOKUP(AS$6, Table_ChiPhiNV_Ca[], COUNTA(Table_ChiPhiNV_Ca[[#Headers],[Ca]:[Kết thúc]]),0)),0,
SUM(_xlfn._xlws.FILTER(Table_BangLuong_TyLeTangCa[Tỷ lệ],
(Table_BangLuong_TyLeTangCa[Ngày] = "Thường") *
(Table_BangLuong_TyLeTangCa[Giờ min]&lt;=$AA10) *
(Table_BangLuong_TyLeTangCa[Giờ max]&gt;$AA10)
)))),
IF(AS$4 &gt; AS$5,
IF(
AND(
$AA10-$Z$4&lt;MAX(AS$4,VLOOKUP(AS$6, Table_ChiPhiNV_Ca[], COUNTA(Table_ChiPhiNV_Ca[[#Headers],[Ca]:[Bắt đầu]]),0)),
$AA10&gt;MIN(AS$5,VLOOKUP(AS$6, Table_ChiPhiNV_Ca[], COUNTA(Table_ChiPhiNV_Ca[[#Headers],[Ca]:[Kết thúc]]),0))),0,
SUM(_xlfn._xlws.FILTER(Table_BangLuong_TyLeTangCa[Tỷ lệ],
(Table_BangLuong_TyLeTangCa[Ngày] = "Thường") *
(Table_BangLuong_TyLeTangCa[Giờ min]&lt;=$AA10) *
(Table_BangLuong_TyLeTangCa[Giờ max]&gt;$AA10)
))),
IF(
AND(
$AA10-$Z$4&gt;=MAX(AS$4,VLOOKUP(AS$6, Table_ChiPhiNV_Ca[], COUNTA(Table_ChiPhiNV_Ca[[#Headers],[Ca]:[Bắt đầu]]),0)),
$AA10&lt;MIN(AS$5,VLOOKUP(AS$6, Table_ChiPhiNV_Ca[], COUNTA(Table_ChiPhiNV_Ca[[#Headers],[Ca]:[Kết thúc]]),0))),
SUM(_xlfn._xlws.FILTER(Table_BangLuong_TyLeTangCa[Tỷ lệ],
(Table_BangLuong_TyLeTangCa[Ngày] = "Thường") *
(Table_BangLuong_TyLeTangCa[Giờ min]&lt;=$AA10) *
(Table_BangLuong_TyLeTangCa[Giờ max]&gt;$AA10)
)),0)
)),
IF(AS$4 &lt; AS$5,
IF($AA10-$Z$4&lt;AS$4,0,
IF($AA10&gt;AS$5,0,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AS$5,$AA10 &lt; AS$4),0,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T10" s="18" cm="1">
        <f t="array" ref="AT10" xml:space="preserve">
IFERROR(
IF(AT$1="",0,
IF(AND(
$AA10&gt;=VLOOKUP(AT$6, Table_ChiPhiNV_Ca[], COUNTA(Table_ChiPhiNV_Ca[[#Headers],[Ca]:[Bắt đầu nghỉ]]),0),
$AA10&lt;VLOOKUP(AT$6, Table_ChiPhiNV_Ca[], COUNTA(Table_ChiPhiNV_Ca[[#Headers],[Ca]:[Kết thúc nghỉ]]),0)
),0,
IF(NOT(ISBLANK(AT$3)),
IF(ISBLANK(AT$7),0,
IF(AT$4 &lt; AT$5,
IF($AA10-$Z$4&lt;AT$4,0,
IF($AA10&gt;AT$5,0,
SUM(_xlfn._xlws.FILTER(Table_BangLuong_TyLeTangCa[Tỷ lệ],
(Table_BangLuong_TyLeTangCa[Ngày] = AT$3) *
(Table_BangLuong_TyLeTangCa[Giờ min]&lt;=$AA10) *
(Table_BangLuong_TyLeTangCa[Giờ max]&gt;$AA10)
)))),
IF(AND($AA10-$Z$4 &gt;= AT$5,$AA10 &lt; AT$4),0,
SUM(_xlfn._xlws.FILTER(Table_BangLuong_TyLeTangCa[Tỷ lệ],
(Table_BangLuong_TyLeTangCa[Ngày] = AT$3) *
(Table_BangLuong_TyLeTangCa[Giờ min]&lt;=$AA10) *
(Table_BangLuong_TyLeTangCa[Giờ max]&gt;$AA10)
))))
),
IF(ISBLANK(AT$7),
IF(VLOOKUP(AT$6, Table_ChiPhiNV_Ca[], COUNTA(Table_ChiPhiNV_Ca[[#Headers],[Ca]:[Kết thúc]]),0)&gt; VLOOKUP(AT$6, Table_ChiPhiNV_Ca[], COUNTA(Table_ChiPhiNV_Ca[[#Headers],[Ca]:[Bắt đầu]]),0),
IF($AA10-$Z$4&lt;MAX(AT$4,VLOOKUP(AT$6, Table_ChiPhiNV_Ca[], COUNTA(Table_ChiPhiNV_Ca[[#Headers],[Ca]:[Bắt đầu]]),0)),0,
IF($AA10&gt;MIN(AT$5,VLOOKUP(AT$6, Table_ChiPhiNV_Ca[], COUNTA(Table_ChiPhiNV_Ca[[#Headers],[Ca]:[Kết thúc]]),0)),0,
SUM(_xlfn._xlws.FILTER(Table_BangLuong_TyLeTangCa[Tỷ lệ],
(Table_BangLuong_TyLeTangCa[Ngày] = "Thường") *
(Table_BangLuong_TyLeTangCa[Giờ min]&lt;=$AA10) *
(Table_BangLuong_TyLeTangCa[Giờ max]&gt;$AA10)
)))),
IF(AT$4 &gt; AT$5,
IF(
AND(
$AA10-$Z$4&lt;MAX(AT$4,VLOOKUP(AT$6, Table_ChiPhiNV_Ca[], COUNTA(Table_ChiPhiNV_Ca[[#Headers],[Ca]:[Bắt đầu]]),0)),
$AA10&gt;MIN(AT$5,VLOOKUP(AT$6, Table_ChiPhiNV_Ca[], COUNTA(Table_ChiPhiNV_Ca[[#Headers],[Ca]:[Kết thúc]]),0))),0,
SUM(_xlfn._xlws.FILTER(Table_BangLuong_TyLeTangCa[Tỷ lệ],
(Table_BangLuong_TyLeTangCa[Ngày] = "Thường") *
(Table_BangLuong_TyLeTangCa[Giờ min]&lt;=$AA10) *
(Table_BangLuong_TyLeTangCa[Giờ max]&gt;$AA10)
))),
IF(
AND(
$AA10-$Z$4&gt;=MAX(AT$4,VLOOKUP(AT$6, Table_ChiPhiNV_Ca[], COUNTA(Table_ChiPhiNV_Ca[[#Headers],[Ca]:[Bắt đầu]]),0)),
$AA10&lt;MIN(AT$5,VLOOKUP(AT$6, Table_ChiPhiNV_Ca[], COUNTA(Table_ChiPhiNV_Ca[[#Headers],[Ca]:[Kết thúc]]),0))),
SUM(_xlfn._xlws.FILTER(Table_BangLuong_TyLeTangCa[Tỷ lệ],
(Table_BangLuong_TyLeTangCa[Ngày] = "Thường") *
(Table_BangLuong_TyLeTangCa[Giờ min]&lt;=$AA10) *
(Table_BangLuong_TyLeTangCa[Giờ max]&gt;$AA10)
)),0)
)),
IF(AT$4 &lt; AT$5,
IF($AA10-$Z$4&lt;AT$4,0,
IF($AA10&gt;AT$5,0,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AT$5,$AA10 &lt; AT$4),0,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U10" s="18" cm="1">
        <f t="array" ref="AU10" xml:space="preserve">
IFERROR(
IF(AU$1="",0,
IF(AND(
$AA10&gt;=VLOOKUP(AU$6, Table_ChiPhiNV_Ca[], COUNTA(Table_ChiPhiNV_Ca[[#Headers],[Ca]:[Bắt đầu nghỉ]]),0),
$AA10&lt;VLOOKUP(AU$6, Table_ChiPhiNV_Ca[], COUNTA(Table_ChiPhiNV_Ca[[#Headers],[Ca]:[Kết thúc nghỉ]]),0)
),0,
IF(NOT(ISBLANK(AU$3)),
IF(ISBLANK(AU$7),0,
IF(AU$4 &lt; AU$5,
IF($AA10-$Z$4&lt;AU$4,0,
IF($AA10&gt;AU$5,0,
SUM(_xlfn._xlws.FILTER(Table_BangLuong_TyLeTangCa[Tỷ lệ],
(Table_BangLuong_TyLeTangCa[Ngày] = AU$3) *
(Table_BangLuong_TyLeTangCa[Giờ min]&lt;=$AA10) *
(Table_BangLuong_TyLeTangCa[Giờ max]&gt;$AA10)
)))),
IF(AND($AA10-$Z$4 &gt;= AU$5,$AA10 &lt; AU$4),0,
SUM(_xlfn._xlws.FILTER(Table_BangLuong_TyLeTangCa[Tỷ lệ],
(Table_BangLuong_TyLeTangCa[Ngày] = AU$3) *
(Table_BangLuong_TyLeTangCa[Giờ min]&lt;=$AA10) *
(Table_BangLuong_TyLeTangCa[Giờ max]&gt;$AA10)
))))
),
IF(ISBLANK(AU$7),
IF(VLOOKUP(AU$6, Table_ChiPhiNV_Ca[], COUNTA(Table_ChiPhiNV_Ca[[#Headers],[Ca]:[Kết thúc]]),0)&gt; VLOOKUP(AU$6, Table_ChiPhiNV_Ca[], COUNTA(Table_ChiPhiNV_Ca[[#Headers],[Ca]:[Bắt đầu]]),0),
IF($AA10-$Z$4&lt;MAX(AU$4,VLOOKUP(AU$6, Table_ChiPhiNV_Ca[], COUNTA(Table_ChiPhiNV_Ca[[#Headers],[Ca]:[Bắt đầu]]),0)),0,
IF($AA10&gt;MIN(AU$5,VLOOKUP(AU$6, Table_ChiPhiNV_Ca[], COUNTA(Table_ChiPhiNV_Ca[[#Headers],[Ca]:[Kết thúc]]),0)),0,
SUM(_xlfn._xlws.FILTER(Table_BangLuong_TyLeTangCa[Tỷ lệ],
(Table_BangLuong_TyLeTangCa[Ngày] = "Thường") *
(Table_BangLuong_TyLeTangCa[Giờ min]&lt;=$AA10) *
(Table_BangLuong_TyLeTangCa[Giờ max]&gt;$AA10)
)))),
IF(AU$4 &gt; AU$5,
IF(
AND(
$AA10-$Z$4&lt;MAX(AU$4,VLOOKUP(AU$6, Table_ChiPhiNV_Ca[], COUNTA(Table_ChiPhiNV_Ca[[#Headers],[Ca]:[Bắt đầu]]),0)),
$AA10&gt;MIN(AU$5,VLOOKUP(AU$6, Table_ChiPhiNV_Ca[], COUNTA(Table_ChiPhiNV_Ca[[#Headers],[Ca]:[Kết thúc]]),0))),0,
SUM(_xlfn._xlws.FILTER(Table_BangLuong_TyLeTangCa[Tỷ lệ],
(Table_BangLuong_TyLeTangCa[Ngày] = "Thường") *
(Table_BangLuong_TyLeTangCa[Giờ min]&lt;=$AA10) *
(Table_BangLuong_TyLeTangCa[Giờ max]&gt;$AA10)
))),
IF(
AND(
$AA10-$Z$4&gt;=MAX(AU$4,VLOOKUP(AU$6, Table_ChiPhiNV_Ca[], COUNTA(Table_ChiPhiNV_Ca[[#Headers],[Ca]:[Bắt đầu]]),0)),
$AA10&lt;MIN(AU$5,VLOOKUP(AU$6, Table_ChiPhiNV_Ca[], COUNTA(Table_ChiPhiNV_Ca[[#Headers],[Ca]:[Kết thúc]]),0))),
SUM(_xlfn._xlws.FILTER(Table_BangLuong_TyLeTangCa[Tỷ lệ],
(Table_BangLuong_TyLeTangCa[Ngày] = "Thường") *
(Table_BangLuong_TyLeTangCa[Giờ min]&lt;=$AA10) *
(Table_BangLuong_TyLeTangCa[Giờ max]&gt;$AA10)
)),0)
)),
IF(AU$4 &lt; AU$5,
IF($AA10-$Z$4&lt;AU$4,0,
IF($AA10&gt;AU$5,0,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AU$5,$AA10 &lt; AU$4),0,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V10" s="18" cm="1">
        <f t="array" ref="AV10" xml:space="preserve">
IFERROR(
IF(AV$1="",0,
IF(AND(
$AA10&gt;=VLOOKUP(AV$6, Table_ChiPhiNV_Ca[], COUNTA(Table_ChiPhiNV_Ca[[#Headers],[Ca]:[Bắt đầu nghỉ]]),0),
$AA10&lt;VLOOKUP(AV$6, Table_ChiPhiNV_Ca[], COUNTA(Table_ChiPhiNV_Ca[[#Headers],[Ca]:[Kết thúc nghỉ]]),0)
),0,
IF(NOT(ISBLANK(AV$3)),
IF(ISBLANK(AV$7),0,
IF(AV$4 &lt; AV$5,
IF($AA10-$Z$4&lt;AV$4,0,
IF($AA10&gt;AV$5,0,
SUM(_xlfn._xlws.FILTER(Table_BangLuong_TyLeTangCa[Tỷ lệ],
(Table_BangLuong_TyLeTangCa[Ngày] = AV$3) *
(Table_BangLuong_TyLeTangCa[Giờ min]&lt;=$AA10) *
(Table_BangLuong_TyLeTangCa[Giờ max]&gt;$AA10)
)))),
IF(AND($AA10-$Z$4 &gt;= AV$5,$AA10 &lt; AV$4),0,
SUM(_xlfn._xlws.FILTER(Table_BangLuong_TyLeTangCa[Tỷ lệ],
(Table_BangLuong_TyLeTangCa[Ngày] = AV$3) *
(Table_BangLuong_TyLeTangCa[Giờ min]&lt;=$AA10) *
(Table_BangLuong_TyLeTangCa[Giờ max]&gt;$AA10)
))))
),
IF(ISBLANK(AV$7),
IF(VLOOKUP(AV$6, Table_ChiPhiNV_Ca[], COUNTA(Table_ChiPhiNV_Ca[[#Headers],[Ca]:[Kết thúc]]),0)&gt; VLOOKUP(AV$6, Table_ChiPhiNV_Ca[], COUNTA(Table_ChiPhiNV_Ca[[#Headers],[Ca]:[Bắt đầu]]),0),
IF($AA10-$Z$4&lt;MAX(AV$4,VLOOKUP(AV$6, Table_ChiPhiNV_Ca[], COUNTA(Table_ChiPhiNV_Ca[[#Headers],[Ca]:[Bắt đầu]]),0)),0,
IF($AA10&gt;MIN(AV$5,VLOOKUP(AV$6, Table_ChiPhiNV_Ca[], COUNTA(Table_ChiPhiNV_Ca[[#Headers],[Ca]:[Kết thúc]]),0)),0,
SUM(_xlfn._xlws.FILTER(Table_BangLuong_TyLeTangCa[Tỷ lệ],
(Table_BangLuong_TyLeTangCa[Ngày] = "Thường") *
(Table_BangLuong_TyLeTangCa[Giờ min]&lt;=$AA10) *
(Table_BangLuong_TyLeTangCa[Giờ max]&gt;$AA10)
)))),
IF(AV$4 &gt; AV$5,
IF(
AND(
$AA10-$Z$4&lt;MAX(AV$4,VLOOKUP(AV$6, Table_ChiPhiNV_Ca[], COUNTA(Table_ChiPhiNV_Ca[[#Headers],[Ca]:[Bắt đầu]]),0)),
$AA10&gt;MIN(AV$5,VLOOKUP(AV$6, Table_ChiPhiNV_Ca[], COUNTA(Table_ChiPhiNV_Ca[[#Headers],[Ca]:[Kết thúc]]),0))),0,
SUM(_xlfn._xlws.FILTER(Table_BangLuong_TyLeTangCa[Tỷ lệ],
(Table_BangLuong_TyLeTangCa[Ngày] = "Thường") *
(Table_BangLuong_TyLeTangCa[Giờ min]&lt;=$AA10) *
(Table_BangLuong_TyLeTangCa[Giờ max]&gt;$AA10)
))),
IF(
AND(
$AA10-$Z$4&gt;=MAX(AV$4,VLOOKUP(AV$6, Table_ChiPhiNV_Ca[], COUNTA(Table_ChiPhiNV_Ca[[#Headers],[Ca]:[Bắt đầu]]),0)),
$AA10&lt;MIN(AV$5,VLOOKUP(AV$6, Table_ChiPhiNV_Ca[], COUNTA(Table_ChiPhiNV_Ca[[#Headers],[Ca]:[Kết thúc]]),0))),
SUM(_xlfn._xlws.FILTER(Table_BangLuong_TyLeTangCa[Tỷ lệ],
(Table_BangLuong_TyLeTangCa[Ngày] = "Thường") *
(Table_BangLuong_TyLeTangCa[Giờ min]&lt;=$AA10) *
(Table_BangLuong_TyLeTangCa[Giờ max]&gt;$AA10)
)),0)
)),
IF(AV$4 &lt; AV$5,
IF($AA10-$Z$4&lt;AV$4,0,
IF($AA10&gt;AV$5,0,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AV$5,$AA10 &lt; AV$4),0,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W10" s="18" cm="1">
        <f t="array" ref="AW10" xml:space="preserve">
IFERROR(
IF(AW$1="",0,
IF(AND(
$AA10&gt;=VLOOKUP(AW$6, Table_ChiPhiNV_Ca[], COUNTA(Table_ChiPhiNV_Ca[[#Headers],[Ca]:[Bắt đầu nghỉ]]),0),
$AA10&lt;VLOOKUP(AW$6, Table_ChiPhiNV_Ca[], COUNTA(Table_ChiPhiNV_Ca[[#Headers],[Ca]:[Kết thúc nghỉ]]),0)
),0,
IF(NOT(ISBLANK(AW$3)),
IF(ISBLANK(AW$7),0,
IF(AW$4 &lt; AW$5,
IF($AA10-$Z$4&lt;AW$4,0,
IF($AA10&gt;AW$5,0,
SUM(_xlfn._xlws.FILTER(Table_BangLuong_TyLeTangCa[Tỷ lệ],
(Table_BangLuong_TyLeTangCa[Ngày] = AW$3) *
(Table_BangLuong_TyLeTangCa[Giờ min]&lt;=$AA10) *
(Table_BangLuong_TyLeTangCa[Giờ max]&gt;$AA10)
)))),
IF(AND($AA10-$Z$4 &gt;= AW$5,$AA10 &lt; AW$4),0,
SUM(_xlfn._xlws.FILTER(Table_BangLuong_TyLeTangCa[Tỷ lệ],
(Table_BangLuong_TyLeTangCa[Ngày] = AW$3) *
(Table_BangLuong_TyLeTangCa[Giờ min]&lt;=$AA10) *
(Table_BangLuong_TyLeTangCa[Giờ max]&gt;$AA10)
))))
),
IF(ISBLANK(AW$7),
IF(VLOOKUP(AW$6, Table_ChiPhiNV_Ca[], COUNTA(Table_ChiPhiNV_Ca[[#Headers],[Ca]:[Kết thúc]]),0)&gt; VLOOKUP(AW$6, Table_ChiPhiNV_Ca[], COUNTA(Table_ChiPhiNV_Ca[[#Headers],[Ca]:[Bắt đầu]]),0),
IF($AA10-$Z$4&lt;MAX(AW$4,VLOOKUP(AW$6, Table_ChiPhiNV_Ca[], COUNTA(Table_ChiPhiNV_Ca[[#Headers],[Ca]:[Bắt đầu]]),0)),0,
IF($AA10&gt;MIN(AW$5,VLOOKUP(AW$6, Table_ChiPhiNV_Ca[], COUNTA(Table_ChiPhiNV_Ca[[#Headers],[Ca]:[Kết thúc]]),0)),0,
SUM(_xlfn._xlws.FILTER(Table_BangLuong_TyLeTangCa[Tỷ lệ],
(Table_BangLuong_TyLeTangCa[Ngày] = "Thường") *
(Table_BangLuong_TyLeTangCa[Giờ min]&lt;=$AA10) *
(Table_BangLuong_TyLeTangCa[Giờ max]&gt;$AA10)
)))),
IF(AW$4 &gt; AW$5,
IF(
AND(
$AA10-$Z$4&lt;MAX(AW$4,VLOOKUP(AW$6, Table_ChiPhiNV_Ca[], COUNTA(Table_ChiPhiNV_Ca[[#Headers],[Ca]:[Bắt đầu]]),0)),
$AA10&gt;MIN(AW$5,VLOOKUP(AW$6, Table_ChiPhiNV_Ca[], COUNTA(Table_ChiPhiNV_Ca[[#Headers],[Ca]:[Kết thúc]]),0))),0,
SUM(_xlfn._xlws.FILTER(Table_BangLuong_TyLeTangCa[Tỷ lệ],
(Table_BangLuong_TyLeTangCa[Ngày] = "Thường") *
(Table_BangLuong_TyLeTangCa[Giờ min]&lt;=$AA10) *
(Table_BangLuong_TyLeTangCa[Giờ max]&gt;$AA10)
))),
IF(
AND(
$AA10-$Z$4&gt;=MAX(AW$4,VLOOKUP(AW$6, Table_ChiPhiNV_Ca[], COUNTA(Table_ChiPhiNV_Ca[[#Headers],[Ca]:[Bắt đầu]]),0)),
$AA10&lt;MIN(AW$5,VLOOKUP(AW$6, Table_ChiPhiNV_Ca[], COUNTA(Table_ChiPhiNV_Ca[[#Headers],[Ca]:[Kết thúc]]),0))),
SUM(_xlfn._xlws.FILTER(Table_BangLuong_TyLeTangCa[Tỷ lệ],
(Table_BangLuong_TyLeTangCa[Ngày] = "Thường") *
(Table_BangLuong_TyLeTangCa[Giờ min]&lt;=$AA10) *
(Table_BangLuong_TyLeTangCa[Giờ max]&gt;$AA10)
)),0)
)),
IF(AW$4 &lt; AW$5,
IF($AA10-$Z$4&lt;AW$4,0,
IF($AA10&gt;AW$5,0,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AW$5,$AA10 &lt; AW$4),0,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X10" s="18" cm="1">
        <f t="array" ref="AX10" xml:space="preserve">
IFERROR(
IF(AX$1="",0,
IF(AND(
$AA10&gt;=VLOOKUP(AX$6, Table_ChiPhiNV_Ca[], COUNTA(Table_ChiPhiNV_Ca[[#Headers],[Ca]:[Bắt đầu nghỉ]]),0),
$AA10&lt;VLOOKUP(AX$6, Table_ChiPhiNV_Ca[], COUNTA(Table_ChiPhiNV_Ca[[#Headers],[Ca]:[Kết thúc nghỉ]]),0)
),0,
IF(NOT(ISBLANK(AX$3)),
IF(ISBLANK(AX$7),0,
IF(AX$4 &lt; AX$5,
IF($AA10-$Z$4&lt;AX$4,0,
IF($AA10&gt;AX$5,0,
SUM(_xlfn._xlws.FILTER(Table_BangLuong_TyLeTangCa[Tỷ lệ],
(Table_BangLuong_TyLeTangCa[Ngày] = AX$3) *
(Table_BangLuong_TyLeTangCa[Giờ min]&lt;=$AA10) *
(Table_BangLuong_TyLeTangCa[Giờ max]&gt;$AA10)
)))),
IF(AND($AA10-$Z$4 &gt;= AX$5,$AA10 &lt; AX$4),0,
SUM(_xlfn._xlws.FILTER(Table_BangLuong_TyLeTangCa[Tỷ lệ],
(Table_BangLuong_TyLeTangCa[Ngày] = AX$3) *
(Table_BangLuong_TyLeTangCa[Giờ min]&lt;=$AA10) *
(Table_BangLuong_TyLeTangCa[Giờ max]&gt;$AA10)
))))
),
IF(ISBLANK(AX$7),
IF(VLOOKUP(AX$6, Table_ChiPhiNV_Ca[], COUNTA(Table_ChiPhiNV_Ca[[#Headers],[Ca]:[Kết thúc]]),0)&gt; VLOOKUP(AX$6, Table_ChiPhiNV_Ca[], COUNTA(Table_ChiPhiNV_Ca[[#Headers],[Ca]:[Bắt đầu]]),0),
IF($AA10-$Z$4&lt;MAX(AX$4,VLOOKUP(AX$6, Table_ChiPhiNV_Ca[], COUNTA(Table_ChiPhiNV_Ca[[#Headers],[Ca]:[Bắt đầu]]),0)),0,
IF($AA10&gt;MIN(AX$5,VLOOKUP(AX$6, Table_ChiPhiNV_Ca[], COUNTA(Table_ChiPhiNV_Ca[[#Headers],[Ca]:[Kết thúc]]),0)),0,
SUM(_xlfn._xlws.FILTER(Table_BangLuong_TyLeTangCa[Tỷ lệ],
(Table_BangLuong_TyLeTangCa[Ngày] = "Thường") *
(Table_BangLuong_TyLeTangCa[Giờ min]&lt;=$AA10) *
(Table_BangLuong_TyLeTangCa[Giờ max]&gt;$AA10)
)))),
IF(AX$4 &gt; AX$5,
IF(
AND(
$AA10-$Z$4&lt;MAX(AX$4,VLOOKUP(AX$6, Table_ChiPhiNV_Ca[], COUNTA(Table_ChiPhiNV_Ca[[#Headers],[Ca]:[Bắt đầu]]),0)),
$AA10&gt;MIN(AX$5,VLOOKUP(AX$6, Table_ChiPhiNV_Ca[], COUNTA(Table_ChiPhiNV_Ca[[#Headers],[Ca]:[Kết thúc]]),0))),0,
SUM(_xlfn._xlws.FILTER(Table_BangLuong_TyLeTangCa[Tỷ lệ],
(Table_BangLuong_TyLeTangCa[Ngày] = "Thường") *
(Table_BangLuong_TyLeTangCa[Giờ min]&lt;=$AA10) *
(Table_BangLuong_TyLeTangCa[Giờ max]&gt;$AA10)
))),
IF(
AND(
$AA10-$Z$4&gt;=MAX(AX$4,VLOOKUP(AX$6, Table_ChiPhiNV_Ca[], COUNTA(Table_ChiPhiNV_Ca[[#Headers],[Ca]:[Bắt đầu]]),0)),
$AA10&lt;MIN(AX$5,VLOOKUP(AX$6, Table_ChiPhiNV_Ca[], COUNTA(Table_ChiPhiNV_Ca[[#Headers],[Ca]:[Kết thúc]]),0))),
SUM(_xlfn._xlws.FILTER(Table_BangLuong_TyLeTangCa[Tỷ lệ],
(Table_BangLuong_TyLeTangCa[Ngày] = "Thường") *
(Table_BangLuong_TyLeTangCa[Giờ min]&lt;=$AA10) *
(Table_BangLuong_TyLeTangCa[Giờ max]&gt;$AA10)
)),0)
)),
IF(AX$4 &lt; AX$5,
IF($AA10-$Z$4&lt;AX$4,0,
IF($AA10&gt;AX$5,0,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AX$5,$AA10 &lt; AX$4),0,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Y10" s="18" cm="1">
        <f t="array" ref="AY10" xml:space="preserve">
IFERROR(
IF(AY$1="",0,
IF(AND(
$AA10&gt;=VLOOKUP(AY$6, Table_ChiPhiNV_Ca[], COUNTA(Table_ChiPhiNV_Ca[[#Headers],[Ca]:[Bắt đầu nghỉ]]),0),
$AA10&lt;VLOOKUP(AY$6, Table_ChiPhiNV_Ca[], COUNTA(Table_ChiPhiNV_Ca[[#Headers],[Ca]:[Kết thúc nghỉ]]),0)
),0,
IF(NOT(ISBLANK(AY$3)),
IF(ISBLANK(AY$7),0,
IF(AY$4 &lt; AY$5,
IF($AA10-$Z$4&lt;AY$4,0,
IF($AA10&gt;AY$5,0,
SUM(_xlfn._xlws.FILTER(Table_BangLuong_TyLeTangCa[Tỷ lệ],
(Table_BangLuong_TyLeTangCa[Ngày] = AY$3) *
(Table_BangLuong_TyLeTangCa[Giờ min]&lt;=$AA10) *
(Table_BangLuong_TyLeTangCa[Giờ max]&gt;$AA10)
)))),
IF(AND($AA10-$Z$4 &gt;= AY$5,$AA10 &lt; AY$4),0,
SUM(_xlfn._xlws.FILTER(Table_BangLuong_TyLeTangCa[Tỷ lệ],
(Table_BangLuong_TyLeTangCa[Ngày] = AY$3) *
(Table_BangLuong_TyLeTangCa[Giờ min]&lt;=$AA10) *
(Table_BangLuong_TyLeTangCa[Giờ max]&gt;$AA10)
))))
),
IF(ISBLANK(AY$7),
IF(VLOOKUP(AY$6, Table_ChiPhiNV_Ca[], COUNTA(Table_ChiPhiNV_Ca[[#Headers],[Ca]:[Kết thúc]]),0)&gt; VLOOKUP(AY$6, Table_ChiPhiNV_Ca[], COUNTA(Table_ChiPhiNV_Ca[[#Headers],[Ca]:[Bắt đầu]]),0),
IF($AA10-$Z$4&lt;MAX(AY$4,VLOOKUP(AY$6, Table_ChiPhiNV_Ca[], COUNTA(Table_ChiPhiNV_Ca[[#Headers],[Ca]:[Bắt đầu]]),0)),0,
IF($AA10&gt;MIN(AY$5,VLOOKUP(AY$6, Table_ChiPhiNV_Ca[], COUNTA(Table_ChiPhiNV_Ca[[#Headers],[Ca]:[Kết thúc]]),0)),0,
SUM(_xlfn._xlws.FILTER(Table_BangLuong_TyLeTangCa[Tỷ lệ],
(Table_BangLuong_TyLeTangCa[Ngày] = "Thường") *
(Table_BangLuong_TyLeTangCa[Giờ min]&lt;=$AA10) *
(Table_BangLuong_TyLeTangCa[Giờ max]&gt;$AA10)
)))),
IF(AY$4 &gt; AY$5,
IF(
AND(
$AA10-$Z$4&lt;MAX(AY$4,VLOOKUP(AY$6, Table_ChiPhiNV_Ca[], COUNTA(Table_ChiPhiNV_Ca[[#Headers],[Ca]:[Bắt đầu]]),0)),
$AA10&gt;MIN(AY$5,VLOOKUP(AY$6, Table_ChiPhiNV_Ca[], COUNTA(Table_ChiPhiNV_Ca[[#Headers],[Ca]:[Kết thúc]]),0))),0,
SUM(_xlfn._xlws.FILTER(Table_BangLuong_TyLeTangCa[Tỷ lệ],
(Table_BangLuong_TyLeTangCa[Ngày] = "Thường") *
(Table_BangLuong_TyLeTangCa[Giờ min]&lt;=$AA10) *
(Table_BangLuong_TyLeTangCa[Giờ max]&gt;$AA10)
))),
IF(
AND(
$AA10-$Z$4&gt;=MAX(AY$4,VLOOKUP(AY$6, Table_ChiPhiNV_Ca[], COUNTA(Table_ChiPhiNV_Ca[[#Headers],[Ca]:[Bắt đầu]]),0)),
$AA10&lt;MIN(AY$5,VLOOKUP(AY$6, Table_ChiPhiNV_Ca[], COUNTA(Table_ChiPhiNV_Ca[[#Headers],[Ca]:[Kết thúc]]),0))),
SUM(_xlfn._xlws.FILTER(Table_BangLuong_TyLeTangCa[Tỷ lệ],
(Table_BangLuong_TyLeTangCa[Ngày] = "Thường") *
(Table_BangLuong_TyLeTangCa[Giờ min]&lt;=$AA10) *
(Table_BangLuong_TyLeTangCa[Giờ max]&gt;$AA10)
)),0)
)),
IF(AY$4 &lt; AY$5,
IF($AA10-$Z$4&lt;AY$4,0,
IF($AA10&gt;AY$5,0,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AY$5,$AA10 &lt; AY$4),0,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Z10" s="18" cm="1">
        <f t="array" ref="AZ10" xml:space="preserve">
IFERROR(
IF(AZ$1="",0,
IF(AND(
$AA10&gt;=VLOOKUP(AZ$6, Table_ChiPhiNV_Ca[], COUNTA(Table_ChiPhiNV_Ca[[#Headers],[Ca]:[Bắt đầu nghỉ]]),0),
$AA10&lt;VLOOKUP(AZ$6, Table_ChiPhiNV_Ca[], COUNTA(Table_ChiPhiNV_Ca[[#Headers],[Ca]:[Kết thúc nghỉ]]),0)
),0,
IF(NOT(ISBLANK(AZ$3)),
IF(ISBLANK(AZ$7),0,
IF(AZ$4 &lt; AZ$5,
IF($AA10-$Z$4&lt;AZ$4,0,
IF($AA10&gt;AZ$5,0,
SUM(_xlfn._xlws.FILTER(Table_BangLuong_TyLeTangCa[Tỷ lệ],
(Table_BangLuong_TyLeTangCa[Ngày] = AZ$3) *
(Table_BangLuong_TyLeTangCa[Giờ min]&lt;=$AA10) *
(Table_BangLuong_TyLeTangCa[Giờ max]&gt;$AA10)
)))),
IF(AND($AA10-$Z$4 &gt;= AZ$5,$AA10 &lt; AZ$4),0,
SUM(_xlfn._xlws.FILTER(Table_BangLuong_TyLeTangCa[Tỷ lệ],
(Table_BangLuong_TyLeTangCa[Ngày] = AZ$3) *
(Table_BangLuong_TyLeTangCa[Giờ min]&lt;=$AA10) *
(Table_BangLuong_TyLeTangCa[Giờ max]&gt;$AA10)
))))
),
IF(ISBLANK(AZ$7),
IF(VLOOKUP(AZ$6, Table_ChiPhiNV_Ca[], COUNTA(Table_ChiPhiNV_Ca[[#Headers],[Ca]:[Kết thúc]]),0)&gt; VLOOKUP(AZ$6, Table_ChiPhiNV_Ca[], COUNTA(Table_ChiPhiNV_Ca[[#Headers],[Ca]:[Bắt đầu]]),0),
IF($AA10-$Z$4&lt;MAX(AZ$4,VLOOKUP(AZ$6, Table_ChiPhiNV_Ca[], COUNTA(Table_ChiPhiNV_Ca[[#Headers],[Ca]:[Bắt đầu]]),0)),0,
IF($AA10&gt;MIN(AZ$5,VLOOKUP(AZ$6, Table_ChiPhiNV_Ca[], COUNTA(Table_ChiPhiNV_Ca[[#Headers],[Ca]:[Kết thúc]]),0)),0,
SUM(_xlfn._xlws.FILTER(Table_BangLuong_TyLeTangCa[Tỷ lệ],
(Table_BangLuong_TyLeTangCa[Ngày] = "Thường") *
(Table_BangLuong_TyLeTangCa[Giờ min]&lt;=$AA10) *
(Table_BangLuong_TyLeTangCa[Giờ max]&gt;$AA10)
)))),
IF(AZ$4 &gt; AZ$5,
IF(
AND(
$AA10-$Z$4&lt;MAX(AZ$4,VLOOKUP(AZ$6, Table_ChiPhiNV_Ca[], COUNTA(Table_ChiPhiNV_Ca[[#Headers],[Ca]:[Bắt đầu]]),0)),
$AA10&gt;MIN(AZ$5,VLOOKUP(AZ$6, Table_ChiPhiNV_Ca[], COUNTA(Table_ChiPhiNV_Ca[[#Headers],[Ca]:[Kết thúc]]),0))),0,
SUM(_xlfn._xlws.FILTER(Table_BangLuong_TyLeTangCa[Tỷ lệ],
(Table_BangLuong_TyLeTangCa[Ngày] = "Thường") *
(Table_BangLuong_TyLeTangCa[Giờ min]&lt;=$AA10) *
(Table_BangLuong_TyLeTangCa[Giờ max]&gt;$AA10)
))),
IF(
AND(
$AA10-$Z$4&gt;=MAX(AZ$4,VLOOKUP(AZ$6, Table_ChiPhiNV_Ca[], COUNTA(Table_ChiPhiNV_Ca[[#Headers],[Ca]:[Bắt đầu]]),0)),
$AA10&lt;MIN(AZ$5,VLOOKUP(AZ$6, Table_ChiPhiNV_Ca[], COUNTA(Table_ChiPhiNV_Ca[[#Headers],[Ca]:[Kết thúc]]),0))),
SUM(_xlfn._xlws.FILTER(Table_BangLuong_TyLeTangCa[Tỷ lệ],
(Table_BangLuong_TyLeTangCa[Ngày] = "Thường") *
(Table_BangLuong_TyLeTangCa[Giờ min]&lt;=$AA10) *
(Table_BangLuong_TyLeTangCa[Giờ max]&gt;$AA10)
)),0)
)),
IF(AZ$4 &lt; AZ$5,
IF($AA10-$Z$4&lt;AZ$4,0,
IF($AA10&gt;AZ$5,0,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AZ$5,$AA10 &lt; AZ$4),0,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A10" s="18" cm="1">
        <f t="array" ref="BA10" xml:space="preserve">
IFERROR(
IF(BA$1="",0,
IF(AND(
$AA10&gt;=VLOOKUP(BA$6, Table_ChiPhiNV_Ca[], COUNTA(Table_ChiPhiNV_Ca[[#Headers],[Ca]:[Bắt đầu nghỉ]]),0),
$AA10&lt;VLOOKUP(BA$6, Table_ChiPhiNV_Ca[], COUNTA(Table_ChiPhiNV_Ca[[#Headers],[Ca]:[Kết thúc nghỉ]]),0)
),0,
IF(NOT(ISBLANK(BA$3)),
IF(ISBLANK(BA$7),0,
IF(BA$4 &lt; BA$5,
IF($AA10-$Z$4&lt;BA$4,0,
IF($AA10&gt;BA$5,0,
SUM(_xlfn._xlws.FILTER(Table_BangLuong_TyLeTangCa[Tỷ lệ],
(Table_BangLuong_TyLeTangCa[Ngày] = BA$3) *
(Table_BangLuong_TyLeTangCa[Giờ min]&lt;=$AA10) *
(Table_BangLuong_TyLeTangCa[Giờ max]&gt;$AA10)
)))),
IF(AND($AA10-$Z$4 &gt;= BA$5,$AA10 &lt; BA$4),0,
SUM(_xlfn._xlws.FILTER(Table_BangLuong_TyLeTangCa[Tỷ lệ],
(Table_BangLuong_TyLeTangCa[Ngày] = BA$3) *
(Table_BangLuong_TyLeTangCa[Giờ min]&lt;=$AA10) *
(Table_BangLuong_TyLeTangCa[Giờ max]&gt;$AA10)
))))
),
IF(ISBLANK(BA$7),
IF(VLOOKUP(BA$6, Table_ChiPhiNV_Ca[], COUNTA(Table_ChiPhiNV_Ca[[#Headers],[Ca]:[Kết thúc]]),0)&gt; VLOOKUP(BA$6, Table_ChiPhiNV_Ca[], COUNTA(Table_ChiPhiNV_Ca[[#Headers],[Ca]:[Bắt đầu]]),0),
IF($AA10-$Z$4&lt;MAX(BA$4,VLOOKUP(BA$6, Table_ChiPhiNV_Ca[], COUNTA(Table_ChiPhiNV_Ca[[#Headers],[Ca]:[Bắt đầu]]),0)),0,
IF($AA10&gt;MIN(BA$5,VLOOKUP(BA$6, Table_ChiPhiNV_Ca[], COUNTA(Table_ChiPhiNV_Ca[[#Headers],[Ca]:[Kết thúc]]),0)),0,
SUM(_xlfn._xlws.FILTER(Table_BangLuong_TyLeTangCa[Tỷ lệ],
(Table_BangLuong_TyLeTangCa[Ngày] = "Thường") *
(Table_BangLuong_TyLeTangCa[Giờ min]&lt;=$AA10) *
(Table_BangLuong_TyLeTangCa[Giờ max]&gt;$AA10)
)))),
IF(BA$4 &gt; BA$5,
IF(
AND(
$AA10-$Z$4&lt;MAX(BA$4,VLOOKUP(BA$6, Table_ChiPhiNV_Ca[], COUNTA(Table_ChiPhiNV_Ca[[#Headers],[Ca]:[Bắt đầu]]),0)),
$AA10&gt;MIN(BA$5,VLOOKUP(BA$6, Table_ChiPhiNV_Ca[], COUNTA(Table_ChiPhiNV_Ca[[#Headers],[Ca]:[Kết thúc]]),0))),0,
SUM(_xlfn._xlws.FILTER(Table_BangLuong_TyLeTangCa[Tỷ lệ],
(Table_BangLuong_TyLeTangCa[Ngày] = "Thường") *
(Table_BangLuong_TyLeTangCa[Giờ min]&lt;=$AA10) *
(Table_BangLuong_TyLeTangCa[Giờ max]&gt;$AA10)
))),
IF(
AND(
$AA10-$Z$4&gt;=MAX(BA$4,VLOOKUP(BA$6, Table_ChiPhiNV_Ca[], COUNTA(Table_ChiPhiNV_Ca[[#Headers],[Ca]:[Bắt đầu]]),0)),
$AA10&lt;MIN(BA$5,VLOOKUP(BA$6, Table_ChiPhiNV_Ca[], COUNTA(Table_ChiPhiNV_Ca[[#Headers],[Ca]:[Kết thúc]]),0))),
SUM(_xlfn._xlws.FILTER(Table_BangLuong_TyLeTangCa[Tỷ lệ],
(Table_BangLuong_TyLeTangCa[Ngày] = "Thường") *
(Table_BangLuong_TyLeTangCa[Giờ min]&lt;=$AA10) *
(Table_BangLuong_TyLeTangCa[Giờ max]&gt;$AA10)
)),0)
)),
IF(BA$4 &lt; BA$5,
IF($AA10-$Z$4&lt;BA$4,0,
IF($AA10&gt;BA$5,0,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BA$5,$AA10 &lt; BA$4),0,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B10" s="18" cm="1">
        <f t="array" ref="BB10" xml:space="preserve">
IFERROR(
IF(BB$1="",0,
IF(AND(
$AA10&gt;=VLOOKUP(BB$6, Table_ChiPhiNV_Ca[], COUNTA(Table_ChiPhiNV_Ca[[#Headers],[Ca]:[Bắt đầu nghỉ]]),0),
$AA10&lt;VLOOKUP(BB$6, Table_ChiPhiNV_Ca[], COUNTA(Table_ChiPhiNV_Ca[[#Headers],[Ca]:[Kết thúc nghỉ]]),0)
),0,
IF(NOT(ISBLANK(BB$3)),
IF(ISBLANK(BB$7),0,
IF(BB$4 &lt; BB$5,
IF($AA10-$Z$4&lt;BB$4,0,
IF($AA10&gt;BB$5,0,
SUM(_xlfn._xlws.FILTER(Table_BangLuong_TyLeTangCa[Tỷ lệ],
(Table_BangLuong_TyLeTangCa[Ngày] = BB$3) *
(Table_BangLuong_TyLeTangCa[Giờ min]&lt;=$AA10) *
(Table_BangLuong_TyLeTangCa[Giờ max]&gt;$AA10)
)))),
IF(AND($AA10-$Z$4 &gt;= BB$5,$AA10 &lt; BB$4),0,
SUM(_xlfn._xlws.FILTER(Table_BangLuong_TyLeTangCa[Tỷ lệ],
(Table_BangLuong_TyLeTangCa[Ngày] = BB$3) *
(Table_BangLuong_TyLeTangCa[Giờ min]&lt;=$AA10) *
(Table_BangLuong_TyLeTangCa[Giờ max]&gt;$AA10)
))))
),
IF(ISBLANK(BB$7),
IF(VLOOKUP(BB$6, Table_ChiPhiNV_Ca[], COUNTA(Table_ChiPhiNV_Ca[[#Headers],[Ca]:[Kết thúc]]),0)&gt; VLOOKUP(BB$6, Table_ChiPhiNV_Ca[], COUNTA(Table_ChiPhiNV_Ca[[#Headers],[Ca]:[Bắt đầu]]),0),
IF($AA10-$Z$4&lt;MAX(BB$4,VLOOKUP(BB$6, Table_ChiPhiNV_Ca[], COUNTA(Table_ChiPhiNV_Ca[[#Headers],[Ca]:[Bắt đầu]]),0)),0,
IF($AA10&gt;MIN(BB$5,VLOOKUP(BB$6, Table_ChiPhiNV_Ca[], COUNTA(Table_ChiPhiNV_Ca[[#Headers],[Ca]:[Kết thúc]]),0)),0,
SUM(_xlfn._xlws.FILTER(Table_BangLuong_TyLeTangCa[Tỷ lệ],
(Table_BangLuong_TyLeTangCa[Ngày] = "Thường") *
(Table_BangLuong_TyLeTangCa[Giờ min]&lt;=$AA10) *
(Table_BangLuong_TyLeTangCa[Giờ max]&gt;$AA10)
)))),
IF(BB$4 &gt; BB$5,
IF(
AND(
$AA10-$Z$4&lt;MAX(BB$4,VLOOKUP(BB$6, Table_ChiPhiNV_Ca[], COUNTA(Table_ChiPhiNV_Ca[[#Headers],[Ca]:[Bắt đầu]]),0)),
$AA10&gt;MIN(BB$5,VLOOKUP(BB$6, Table_ChiPhiNV_Ca[], COUNTA(Table_ChiPhiNV_Ca[[#Headers],[Ca]:[Kết thúc]]),0))),0,
SUM(_xlfn._xlws.FILTER(Table_BangLuong_TyLeTangCa[Tỷ lệ],
(Table_BangLuong_TyLeTangCa[Ngày] = "Thường") *
(Table_BangLuong_TyLeTangCa[Giờ min]&lt;=$AA10) *
(Table_BangLuong_TyLeTangCa[Giờ max]&gt;$AA10)
))),
IF(
AND(
$AA10-$Z$4&gt;=MAX(BB$4,VLOOKUP(BB$6, Table_ChiPhiNV_Ca[], COUNTA(Table_ChiPhiNV_Ca[[#Headers],[Ca]:[Bắt đầu]]),0)),
$AA10&lt;MIN(BB$5,VLOOKUP(BB$6, Table_ChiPhiNV_Ca[], COUNTA(Table_ChiPhiNV_Ca[[#Headers],[Ca]:[Kết thúc]]),0))),
SUM(_xlfn._xlws.FILTER(Table_BangLuong_TyLeTangCa[Tỷ lệ],
(Table_BangLuong_TyLeTangCa[Ngày] = "Thường") *
(Table_BangLuong_TyLeTangCa[Giờ min]&lt;=$AA10) *
(Table_BangLuong_TyLeTangCa[Giờ max]&gt;$AA10)
)),0)
)),
IF(BB$4 &lt; BB$5,
IF($AA10-$Z$4&lt;BB$4,0,
IF($AA10&gt;BB$5,0,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BB$5,$AA10 &lt; BB$4),0,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C10" s="18" cm="1">
        <f t="array" ref="BC10" xml:space="preserve">
IFERROR(
IF(BC$1="",0,
IF(AND(
$AA10&gt;=VLOOKUP(BC$6, Table_ChiPhiNV_Ca[], COUNTA(Table_ChiPhiNV_Ca[[#Headers],[Ca]:[Bắt đầu nghỉ]]),0),
$AA10&lt;VLOOKUP(BC$6, Table_ChiPhiNV_Ca[], COUNTA(Table_ChiPhiNV_Ca[[#Headers],[Ca]:[Kết thúc nghỉ]]),0)
),0,
IF(NOT(ISBLANK(BC$3)),
IF(ISBLANK(BC$7),0,
IF(BC$4 &lt; BC$5,
IF($AA10-$Z$4&lt;BC$4,0,
IF($AA10&gt;BC$5,0,
SUM(_xlfn._xlws.FILTER(Table_BangLuong_TyLeTangCa[Tỷ lệ],
(Table_BangLuong_TyLeTangCa[Ngày] = BC$3) *
(Table_BangLuong_TyLeTangCa[Giờ min]&lt;=$AA10) *
(Table_BangLuong_TyLeTangCa[Giờ max]&gt;$AA10)
)))),
IF(AND($AA10-$Z$4 &gt;= BC$5,$AA10 &lt; BC$4),0,
SUM(_xlfn._xlws.FILTER(Table_BangLuong_TyLeTangCa[Tỷ lệ],
(Table_BangLuong_TyLeTangCa[Ngày] = BC$3) *
(Table_BangLuong_TyLeTangCa[Giờ min]&lt;=$AA10) *
(Table_BangLuong_TyLeTangCa[Giờ max]&gt;$AA10)
))))
),
IF(ISBLANK(BC$7),
IF(VLOOKUP(BC$6, Table_ChiPhiNV_Ca[], COUNTA(Table_ChiPhiNV_Ca[[#Headers],[Ca]:[Kết thúc]]),0)&gt; VLOOKUP(BC$6, Table_ChiPhiNV_Ca[], COUNTA(Table_ChiPhiNV_Ca[[#Headers],[Ca]:[Bắt đầu]]),0),
IF($AA10-$Z$4&lt;MAX(BC$4,VLOOKUP(BC$6, Table_ChiPhiNV_Ca[], COUNTA(Table_ChiPhiNV_Ca[[#Headers],[Ca]:[Bắt đầu]]),0)),0,
IF($AA10&gt;MIN(BC$5,VLOOKUP(BC$6, Table_ChiPhiNV_Ca[], COUNTA(Table_ChiPhiNV_Ca[[#Headers],[Ca]:[Kết thúc]]),0)),0,
SUM(_xlfn._xlws.FILTER(Table_BangLuong_TyLeTangCa[Tỷ lệ],
(Table_BangLuong_TyLeTangCa[Ngày] = "Thường") *
(Table_BangLuong_TyLeTangCa[Giờ min]&lt;=$AA10) *
(Table_BangLuong_TyLeTangCa[Giờ max]&gt;$AA10)
)))),
IF(BC$4 &gt; BC$5,
IF(
AND(
$AA10-$Z$4&lt;MAX(BC$4,VLOOKUP(BC$6, Table_ChiPhiNV_Ca[], COUNTA(Table_ChiPhiNV_Ca[[#Headers],[Ca]:[Bắt đầu]]),0)),
$AA10&gt;MIN(BC$5,VLOOKUP(BC$6, Table_ChiPhiNV_Ca[], COUNTA(Table_ChiPhiNV_Ca[[#Headers],[Ca]:[Kết thúc]]),0))),0,
SUM(_xlfn._xlws.FILTER(Table_BangLuong_TyLeTangCa[Tỷ lệ],
(Table_BangLuong_TyLeTangCa[Ngày] = "Thường") *
(Table_BangLuong_TyLeTangCa[Giờ min]&lt;=$AA10) *
(Table_BangLuong_TyLeTangCa[Giờ max]&gt;$AA10)
))),
IF(
AND(
$AA10-$Z$4&gt;=MAX(BC$4,VLOOKUP(BC$6, Table_ChiPhiNV_Ca[], COUNTA(Table_ChiPhiNV_Ca[[#Headers],[Ca]:[Bắt đầu]]),0)),
$AA10&lt;MIN(BC$5,VLOOKUP(BC$6, Table_ChiPhiNV_Ca[], COUNTA(Table_ChiPhiNV_Ca[[#Headers],[Ca]:[Kết thúc]]),0))),
SUM(_xlfn._xlws.FILTER(Table_BangLuong_TyLeTangCa[Tỷ lệ],
(Table_BangLuong_TyLeTangCa[Ngày] = "Thường") *
(Table_BangLuong_TyLeTangCa[Giờ min]&lt;=$AA10) *
(Table_BangLuong_TyLeTangCa[Giờ max]&gt;$AA10)
)),0)
)),
IF(BC$4 &lt; BC$5,
IF($AA10-$Z$4&lt;BC$4,0,
IF($AA10&gt;BC$5,0,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BC$5,$AA10 &lt; BC$4),0,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D10" s="18" cm="1">
        <f t="array" ref="BD10" xml:space="preserve">
IFERROR(
IF(BD$1="",0,
IF(AND(
$AA10&gt;=VLOOKUP(BD$6, Table_ChiPhiNV_Ca[], COUNTA(Table_ChiPhiNV_Ca[[#Headers],[Ca]:[Bắt đầu nghỉ]]),0),
$AA10&lt;VLOOKUP(BD$6, Table_ChiPhiNV_Ca[], COUNTA(Table_ChiPhiNV_Ca[[#Headers],[Ca]:[Kết thúc nghỉ]]),0)
),0,
IF(NOT(ISBLANK(BD$3)),
IF(ISBLANK(BD$7),0,
IF(BD$4 &lt; BD$5,
IF($AA10-$Z$4&lt;BD$4,0,
IF($AA10&gt;BD$5,0,
SUM(_xlfn._xlws.FILTER(Table_BangLuong_TyLeTangCa[Tỷ lệ],
(Table_BangLuong_TyLeTangCa[Ngày] = BD$3) *
(Table_BangLuong_TyLeTangCa[Giờ min]&lt;=$AA10) *
(Table_BangLuong_TyLeTangCa[Giờ max]&gt;$AA10)
)))),
IF(AND($AA10-$Z$4 &gt;= BD$5,$AA10 &lt; BD$4),0,
SUM(_xlfn._xlws.FILTER(Table_BangLuong_TyLeTangCa[Tỷ lệ],
(Table_BangLuong_TyLeTangCa[Ngày] = BD$3) *
(Table_BangLuong_TyLeTangCa[Giờ min]&lt;=$AA10) *
(Table_BangLuong_TyLeTangCa[Giờ max]&gt;$AA10)
))))
),
IF(ISBLANK(BD$7),
IF(VLOOKUP(BD$6, Table_ChiPhiNV_Ca[], COUNTA(Table_ChiPhiNV_Ca[[#Headers],[Ca]:[Kết thúc]]),0)&gt; VLOOKUP(BD$6, Table_ChiPhiNV_Ca[], COUNTA(Table_ChiPhiNV_Ca[[#Headers],[Ca]:[Bắt đầu]]),0),
IF($AA10-$Z$4&lt;MAX(BD$4,VLOOKUP(BD$6, Table_ChiPhiNV_Ca[], COUNTA(Table_ChiPhiNV_Ca[[#Headers],[Ca]:[Bắt đầu]]),0)),0,
IF($AA10&gt;MIN(BD$5,VLOOKUP(BD$6, Table_ChiPhiNV_Ca[], COUNTA(Table_ChiPhiNV_Ca[[#Headers],[Ca]:[Kết thúc]]),0)),0,
SUM(_xlfn._xlws.FILTER(Table_BangLuong_TyLeTangCa[Tỷ lệ],
(Table_BangLuong_TyLeTangCa[Ngày] = "Thường") *
(Table_BangLuong_TyLeTangCa[Giờ min]&lt;=$AA10) *
(Table_BangLuong_TyLeTangCa[Giờ max]&gt;$AA10)
)))),
IF(BD$4 &gt; BD$5,
IF(
AND(
$AA10-$Z$4&lt;MAX(BD$4,VLOOKUP(BD$6, Table_ChiPhiNV_Ca[], COUNTA(Table_ChiPhiNV_Ca[[#Headers],[Ca]:[Bắt đầu]]),0)),
$AA10&gt;MIN(BD$5,VLOOKUP(BD$6, Table_ChiPhiNV_Ca[], COUNTA(Table_ChiPhiNV_Ca[[#Headers],[Ca]:[Kết thúc]]),0))),0,
SUM(_xlfn._xlws.FILTER(Table_BangLuong_TyLeTangCa[Tỷ lệ],
(Table_BangLuong_TyLeTangCa[Ngày] = "Thường") *
(Table_BangLuong_TyLeTangCa[Giờ min]&lt;=$AA10) *
(Table_BangLuong_TyLeTangCa[Giờ max]&gt;$AA10)
))),
IF(
AND(
$AA10-$Z$4&gt;=MAX(BD$4,VLOOKUP(BD$6, Table_ChiPhiNV_Ca[], COUNTA(Table_ChiPhiNV_Ca[[#Headers],[Ca]:[Bắt đầu]]),0)),
$AA10&lt;MIN(BD$5,VLOOKUP(BD$6, Table_ChiPhiNV_Ca[], COUNTA(Table_ChiPhiNV_Ca[[#Headers],[Ca]:[Kết thúc]]),0))),
SUM(_xlfn._xlws.FILTER(Table_BangLuong_TyLeTangCa[Tỷ lệ],
(Table_BangLuong_TyLeTangCa[Ngày] = "Thường") *
(Table_BangLuong_TyLeTangCa[Giờ min]&lt;=$AA10) *
(Table_BangLuong_TyLeTangCa[Giờ max]&gt;$AA10)
)),0)
)),
IF(BD$4 &lt; BD$5,
IF($AA10-$Z$4&lt;BD$4,0,
IF($AA10&gt;BD$5,0,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BD$5,$AA10 &lt; BD$4),0,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E10" s="18" cm="1">
        <f t="array" ref="BE10" xml:space="preserve">
IFERROR(
IF(BE$1="",0,
IF(AND(
$AA10&gt;=VLOOKUP(BE$6, Table_ChiPhiNV_Ca[], COUNTA(Table_ChiPhiNV_Ca[[#Headers],[Ca]:[Bắt đầu nghỉ]]),0),
$AA10&lt;VLOOKUP(BE$6, Table_ChiPhiNV_Ca[], COUNTA(Table_ChiPhiNV_Ca[[#Headers],[Ca]:[Kết thúc nghỉ]]),0)
),0,
IF(NOT(ISBLANK(BE$3)),
IF(ISBLANK(BE$7),0,
IF(BE$4 &lt; BE$5,
IF($AA10-$Z$4&lt;BE$4,0,
IF($AA10&gt;BE$5,0,
SUM(_xlfn._xlws.FILTER(Table_BangLuong_TyLeTangCa[Tỷ lệ],
(Table_BangLuong_TyLeTangCa[Ngày] = BE$3) *
(Table_BangLuong_TyLeTangCa[Giờ min]&lt;=$AA10) *
(Table_BangLuong_TyLeTangCa[Giờ max]&gt;$AA10)
)))),
IF(AND($AA10-$Z$4 &gt;= BE$5,$AA10 &lt; BE$4),0,
SUM(_xlfn._xlws.FILTER(Table_BangLuong_TyLeTangCa[Tỷ lệ],
(Table_BangLuong_TyLeTangCa[Ngày] = BE$3) *
(Table_BangLuong_TyLeTangCa[Giờ min]&lt;=$AA10) *
(Table_BangLuong_TyLeTangCa[Giờ max]&gt;$AA10)
))))
),
IF(ISBLANK(BE$7),
IF(VLOOKUP(BE$6, Table_ChiPhiNV_Ca[], COUNTA(Table_ChiPhiNV_Ca[[#Headers],[Ca]:[Kết thúc]]),0)&gt; VLOOKUP(BE$6, Table_ChiPhiNV_Ca[], COUNTA(Table_ChiPhiNV_Ca[[#Headers],[Ca]:[Bắt đầu]]),0),
IF($AA10-$Z$4&lt;MAX(BE$4,VLOOKUP(BE$6, Table_ChiPhiNV_Ca[], COUNTA(Table_ChiPhiNV_Ca[[#Headers],[Ca]:[Bắt đầu]]),0)),0,
IF($AA10&gt;MIN(BE$5,VLOOKUP(BE$6, Table_ChiPhiNV_Ca[], COUNTA(Table_ChiPhiNV_Ca[[#Headers],[Ca]:[Kết thúc]]),0)),0,
SUM(_xlfn._xlws.FILTER(Table_BangLuong_TyLeTangCa[Tỷ lệ],
(Table_BangLuong_TyLeTangCa[Ngày] = "Thường") *
(Table_BangLuong_TyLeTangCa[Giờ min]&lt;=$AA10) *
(Table_BangLuong_TyLeTangCa[Giờ max]&gt;$AA10)
)))),
IF(BE$4 &gt; BE$5,
IF(
AND(
$AA10-$Z$4&lt;MAX(BE$4,VLOOKUP(BE$6, Table_ChiPhiNV_Ca[], COUNTA(Table_ChiPhiNV_Ca[[#Headers],[Ca]:[Bắt đầu]]),0)),
$AA10&gt;MIN(BE$5,VLOOKUP(BE$6, Table_ChiPhiNV_Ca[], COUNTA(Table_ChiPhiNV_Ca[[#Headers],[Ca]:[Kết thúc]]),0))),0,
SUM(_xlfn._xlws.FILTER(Table_BangLuong_TyLeTangCa[Tỷ lệ],
(Table_BangLuong_TyLeTangCa[Ngày] = "Thường") *
(Table_BangLuong_TyLeTangCa[Giờ min]&lt;=$AA10) *
(Table_BangLuong_TyLeTangCa[Giờ max]&gt;$AA10)
))),
IF(
AND(
$AA10-$Z$4&gt;=MAX(BE$4,VLOOKUP(BE$6, Table_ChiPhiNV_Ca[], COUNTA(Table_ChiPhiNV_Ca[[#Headers],[Ca]:[Bắt đầu]]),0)),
$AA10&lt;MIN(BE$5,VLOOKUP(BE$6, Table_ChiPhiNV_Ca[], COUNTA(Table_ChiPhiNV_Ca[[#Headers],[Ca]:[Kết thúc]]),0))),
SUM(_xlfn._xlws.FILTER(Table_BangLuong_TyLeTangCa[Tỷ lệ],
(Table_BangLuong_TyLeTangCa[Ngày] = "Thường") *
(Table_BangLuong_TyLeTangCa[Giờ min]&lt;=$AA10) *
(Table_BangLuong_TyLeTangCa[Giờ max]&gt;$AA10)
)),0)
)),
IF(BE$4 &lt; BE$5,
IF($AA10-$Z$4&lt;BE$4,0,
IF($AA10&gt;BE$5,0,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BE$5,$AA10 &lt; BE$4),0,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F10" s="18" cm="1">
        <f t="array" ref="BF10" xml:space="preserve">
IFERROR(
IF(BF$1="",0,
IF(AND(
$AA10&gt;=VLOOKUP(BF$6, Table_ChiPhiNV_Ca[], COUNTA(Table_ChiPhiNV_Ca[[#Headers],[Ca]:[Bắt đầu nghỉ]]),0),
$AA10&lt;VLOOKUP(BF$6, Table_ChiPhiNV_Ca[], COUNTA(Table_ChiPhiNV_Ca[[#Headers],[Ca]:[Kết thúc nghỉ]]),0)
),0,
IF(NOT(ISBLANK(BF$3)),
IF(ISBLANK(BF$7),0,
IF(BF$4 &lt; BF$5,
IF($AA10-$Z$4&lt;BF$4,0,
IF($AA10&gt;BF$5,0,
SUM(_xlfn._xlws.FILTER(Table_BangLuong_TyLeTangCa[Tỷ lệ],
(Table_BangLuong_TyLeTangCa[Ngày] = BF$3) *
(Table_BangLuong_TyLeTangCa[Giờ min]&lt;=$AA10) *
(Table_BangLuong_TyLeTangCa[Giờ max]&gt;$AA10)
)))),
IF(AND($AA10-$Z$4 &gt;= BF$5,$AA10 &lt; BF$4),0,
SUM(_xlfn._xlws.FILTER(Table_BangLuong_TyLeTangCa[Tỷ lệ],
(Table_BangLuong_TyLeTangCa[Ngày] = BF$3) *
(Table_BangLuong_TyLeTangCa[Giờ min]&lt;=$AA10) *
(Table_BangLuong_TyLeTangCa[Giờ max]&gt;$AA10)
))))
),
IF(ISBLANK(BF$7),
IF(VLOOKUP(BF$6, Table_ChiPhiNV_Ca[], COUNTA(Table_ChiPhiNV_Ca[[#Headers],[Ca]:[Kết thúc]]),0)&gt; VLOOKUP(BF$6, Table_ChiPhiNV_Ca[], COUNTA(Table_ChiPhiNV_Ca[[#Headers],[Ca]:[Bắt đầu]]),0),
IF($AA10-$Z$4&lt;MAX(BF$4,VLOOKUP(BF$6, Table_ChiPhiNV_Ca[], COUNTA(Table_ChiPhiNV_Ca[[#Headers],[Ca]:[Bắt đầu]]),0)),0,
IF($AA10&gt;MIN(BF$5,VLOOKUP(BF$6, Table_ChiPhiNV_Ca[], COUNTA(Table_ChiPhiNV_Ca[[#Headers],[Ca]:[Kết thúc]]),0)),0,
SUM(_xlfn._xlws.FILTER(Table_BangLuong_TyLeTangCa[Tỷ lệ],
(Table_BangLuong_TyLeTangCa[Ngày] = "Thường") *
(Table_BangLuong_TyLeTangCa[Giờ min]&lt;=$AA10) *
(Table_BangLuong_TyLeTangCa[Giờ max]&gt;$AA10)
)))),
IF(BF$4 &gt; BF$5,
IF(
AND(
$AA10-$Z$4&lt;MAX(BF$4,VLOOKUP(BF$6, Table_ChiPhiNV_Ca[], COUNTA(Table_ChiPhiNV_Ca[[#Headers],[Ca]:[Bắt đầu]]),0)),
$AA10&gt;MIN(BF$5,VLOOKUP(BF$6, Table_ChiPhiNV_Ca[], COUNTA(Table_ChiPhiNV_Ca[[#Headers],[Ca]:[Kết thúc]]),0))),0,
SUM(_xlfn._xlws.FILTER(Table_BangLuong_TyLeTangCa[Tỷ lệ],
(Table_BangLuong_TyLeTangCa[Ngày] = "Thường") *
(Table_BangLuong_TyLeTangCa[Giờ min]&lt;=$AA10) *
(Table_BangLuong_TyLeTangCa[Giờ max]&gt;$AA10)
))),
IF(
AND(
$AA10-$Z$4&gt;=MAX(BF$4,VLOOKUP(BF$6, Table_ChiPhiNV_Ca[], COUNTA(Table_ChiPhiNV_Ca[[#Headers],[Ca]:[Bắt đầu]]),0)),
$AA10&lt;MIN(BF$5,VLOOKUP(BF$6, Table_ChiPhiNV_Ca[], COUNTA(Table_ChiPhiNV_Ca[[#Headers],[Ca]:[Kết thúc]]),0))),
SUM(_xlfn._xlws.FILTER(Table_BangLuong_TyLeTangCa[Tỷ lệ],
(Table_BangLuong_TyLeTangCa[Ngày] = "Thường") *
(Table_BangLuong_TyLeTangCa[Giờ min]&lt;=$AA10) *
(Table_BangLuong_TyLeTangCa[Giờ max]&gt;$AA10)
)),0)
)),
IF(BF$4 &lt; BF$5,
IF($AA10-$Z$4&lt;BF$4,0,
IF($AA10&gt;BF$5,0,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BF$5,$AA10 &lt; BF$4),0,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H10" s="1" t="s">
        <v>106</v>
      </c>
      <c r="BI10" s="1" t="s">
        <v>90</v>
      </c>
      <c r="BJ10" s="61">
        <v>45778.704861111109</v>
      </c>
      <c r="BK10" s="62">
        <f>INT(Table_ChiPhiNV_ChamCong[[#This Row],[Thời điểm]])</f>
        <v>45778</v>
      </c>
      <c r="BL10" s="63">
        <f>Table_ChiPhiNV_ChamCong[[#This Row],[Thời điểm]]-Table_ChiPhiNV_ChamCong[[#This Row],[Ngày]]</f>
        <v>0.70486111110949423</v>
      </c>
    </row>
    <row r="11" spans="2:82"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v>4.1666666666666664E-2</v>
      </c>
      <c r="AB11" s="18" cm="1">
        <f t="array" ref="AB11" xml:space="preserve">
IFERROR(
IF(AB$1="",0,
IF(AND(
$AA11&gt;=VLOOKUP(AB$6, Table_ChiPhiNV_Ca[], COUNTA(Table_ChiPhiNV_Ca[[#Headers],[Ca]:[Bắt đầu nghỉ]]),0),
$AA11&lt;VLOOKUP(AB$6, Table_ChiPhiNV_Ca[], COUNTA(Table_ChiPhiNV_Ca[[#Headers],[Ca]:[Kết thúc nghỉ]]),0)
),0,
IF(NOT(ISBLANK(AB$3)),
IF(ISBLANK(AB$7),0,
IF(AB$4 &lt; AB$5,
IF($AA11-$Z$4&lt;AB$4,0,
IF($AA11&gt;AB$5,0,
SUM(_xlfn._xlws.FILTER(Table_BangLuong_TyLeTangCa[Tỷ lệ],
(Table_BangLuong_TyLeTangCa[Ngày] = AB$3) *
(Table_BangLuong_TyLeTangCa[Giờ min]&lt;=$AA11) *
(Table_BangLuong_TyLeTangCa[Giờ max]&gt;$AA11)
)))),
IF(AND($AA11-$Z$4 &gt;= AB$5,$AA11 &lt; AB$4),0,
SUM(_xlfn._xlws.FILTER(Table_BangLuong_TyLeTangCa[Tỷ lệ],
(Table_BangLuong_TyLeTangCa[Ngày] = AB$3) *
(Table_BangLuong_TyLeTangCa[Giờ min]&lt;=$AA11) *
(Table_BangLuong_TyLeTangCa[Giờ max]&gt;$AA11)
))))
),
IF(ISBLANK(AB$7),
IF(VLOOKUP(AB$6, Table_ChiPhiNV_Ca[], COUNTA(Table_ChiPhiNV_Ca[[#Headers],[Ca]:[Kết thúc]]),0)&gt; VLOOKUP(AB$6, Table_ChiPhiNV_Ca[], COUNTA(Table_ChiPhiNV_Ca[[#Headers],[Ca]:[Bắt đầu]]),0),
IF($AA11-$Z$4&lt;MAX(AB$4,VLOOKUP(AB$6, Table_ChiPhiNV_Ca[], COUNTA(Table_ChiPhiNV_Ca[[#Headers],[Ca]:[Bắt đầu]]),0)),0,
IF($AA11&gt;MIN(AB$5,VLOOKUP(AB$6, Table_ChiPhiNV_Ca[], COUNTA(Table_ChiPhiNV_Ca[[#Headers],[Ca]:[Kết thúc]]),0)),0,
SUM(_xlfn._xlws.FILTER(Table_BangLuong_TyLeTangCa[Tỷ lệ],
(Table_BangLuong_TyLeTangCa[Ngày] = "Thường") *
(Table_BangLuong_TyLeTangCa[Giờ min]&lt;=$AA11) *
(Table_BangLuong_TyLeTangCa[Giờ max]&gt;$AA11)
)))),
IF(AB$4 &gt; AB$5,
IF(
AND(
$AA11-$Z$4&lt;MAX(AB$4,VLOOKUP(AB$6, Table_ChiPhiNV_Ca[], COUNTA(Table_ChiPhiNV_Ca[[#Headers],[Ca]:[Bắt đầu]]),0)),
$AA11&gt;MIN(AB$5,VLOOKUP(AB$6, Table_ChiPhiNV_Ca[], COUNTA(Table_ChiPhiNV_Ca[[#Headers],[Ca]:[Kết thúc]]),0))),0,
SUM(_xlfn._xlws.FILTER(Table_BangLuong_TyLeTangCa[Tỷ lệ],
(Table_BangLuong_TyLeTangCa[Ngày] = "Thường") *
(Table_BangLuong_TyLeTangCa[Giờ min]&lt;=$AA11) *
(Table_BangLuong_TyLeTangCa[Giờ max]&gt;$AA11)
))),
IF(
AND(
$AA11-$Z$4&gt;=MAX(AB$4,VLOOKUP(AB$6, Table_ChiPhiNV_Ca[], COUNTA(Table_ChiPhiNV_Ca[[#Headers],[Ca]:[Bắt đầu]]),0)),
$AA11&lt;MIN(AB$5,VLOOKUP(AB$6, Table_ChiPhiNV_Ca[], COUNTA(Table_ChiPhiNV_Ca[[#Headers],[Ca]:[Kết thúc]]),0))),
SUM(_xlfn._xlws.FILTER(Table_BangLuong_TyLeTangCa[Tỷ lệ],
(Table_BangLuong_TyLeTangCa[Ngày] = "Thường") *
(Table_BangLuong_TyLeTangCa[Giờ min]&lt;=$AA11) *
(Table_BangLuong_TyLeTangCa[Giờ max]&gt;$AA11)
)),0)
)),
IF(AB$4 &lt; AB$5,
IF($AA11-$Z$4&lt;AB$4,0,
IF($AA11&gt;AB$5,0,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AB$5,$AA11 &lt; AB$4),0,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C11" s="18" cm="1">
        <f t="array" ref="AC11" xml:space="preserve">
IFERROR(
IF(AC$1="",0,
IF(AND(
$AA11&gt;=VLOOKUP(AC$6, Table_ChiPhiNV_Ca[], COUNTA(Table_ChiPhiNV_Ca[[#Headers],[Ca]:[Bắt đầu nghỉ]]),0),
$AA11&lt;VLOOKUP(AC$6, Table_ChiPhiNV_Ca[], COUNTA(Table_ChiPhiNV_Ca[[#Headers],[Ca]:[Kết thúc nghỉ]]),0)
),0,
IF(NOT(ISBLANK(AC$3)),
IF(ISBLANK(AC$7),0,
IF(AC$4 &lt; AC$5,
IF($AA11-$Z$4&lt;AC$4,0,
IF($AA11&gt;AC$5,0,
SUM(_xlfn._xlws.FILTER(Table_BangLuong_TyLeTangCa[Tỷ lệ],
(Table_BangLuong_TyLeTangCa[Ngày] = AC$3) *
(Table_BangLuong_TyLeTangCa[Giờ min]&lt;=$AA11) *
(Table_BangLuong_TyLeTangCa[Giờ max]&gt;$AA11)
)))),
IF(AND($AA11-$Z$4 &gt;= AC$5,$AA11 &lt; AC$4),0,
SUM(_xlfn._xlws.FILTER(Table_BangLuong_TyLeTangCa[Tỷ lệ],
(Table_BangLuong_TyLeTangCa[Ngày] = AC$3) *
(Table_BangLuong_TyLeTangCa[Giờ min]&lt;=$AA11) *
(Table_BangLuong_TyLeTangCa[Giờ max]&gt;$AA11)
))))
),
IF(ISBLANK(AC$7),
IF(VLOOKUP(AC$6, Table_ChiPhiNV_Ca[], COUNTA(Table_ChiPhiNV_Ca[[#Headers],[Ca]:[Kết thúc]]),0)&gt; VLOOKUP(AC$6, Table_ChiPhiNV_Ca[], COUNTA(Table_ChiPhiNV_Ca[[#Headers],[Ca]:[Bắt đầu]]),0),
IF($AA11-$Z$4&lt;MAX(AC$4,VLOOKUP(AC$6, Table_ChiPhiNV_Ca[], COUNTA(Table_ChiPhiNV_Ca[[#Headers],[Ca]:[Bắt đầu]]),0)),0,
IF($AA11&gt;MIN(AC$5,VLOOKUP(AC$6, Table_ChiPhiNV_Ca[], COUNTA(Table_ChiPhiNV_Ca[[#Headers],[Ca]:[Kết thúc]]),0)),0,
SUM(_xlfn._xlws.FILTER(Table_BangLuong_TyLeTangCa[Tỷ lệ],
(Table_BangLuong_TyLeTangCa[Ngày] = "Thường") *
(Table_BangLuong_TyLeTangCa[Giờ min]&lt;=$AA11) *
(Table_BangLuong_TyLeTangCa[Giờ max]&gt;$AA11)
)))),
IF(AC$4 &gt; AC$5,
IF(
AND(
$AA11-$Z$4&lt;MAX(AC$4,VLOOKUP(AC$6, Table_ChiPhiNV_Ca[], COUNTA(Table_ChiPhiNV_Ca[[#Headers],[Ca]:[Bắt đầu]]),0)),
$AA11&gt;MIN(AC$5,VLOOKUP(AC$6, Table_ChiPhiNV_Ca[], COUNTA(Table_ChiPhiNV_Ca[[#Headers],[Ca]:[Kết thúc]]),0))),0,
SUM(_xlfn._xlws.FILTER(Table_BangLuong_TyLeTangCa[Tỷ lệ],
(Table_BangLuong_TyLeTangCa[Ngày] = "Thường") *
(Table_BangLuong_TyLeTangCa[Giờ min]&lt;=$AA11) *
(Table_BangLuong_TyLeTangCa[Giờ max]&gt;$AA11)
))),
IF(
AND(
$AA11-$Z$4&gt;=MAX(AC$4,VLOOKUP(AC$6, Table_ChiPhiNV_Ca[], COUNTA(Table_ChiPhiNV_Ca[[#Headers],[Ca]:[Bắt đầu]]),0)),
$AA11&lt;MIN(AC$5,VLOOKUP(AC$6, Table_ChiPhiNV_Ca[], COUNTA(Table_ChiPhiNV_Ca[[#Headers],[Ca]:[Kết thúc]]),0))),
SUM(_xlfn._xlws.FILTER(Table_BangLuong_TyLeTangCa[Tỷ lệ],
(Table_BangLuong_TyLeTangCa[Ngày] = "Thường") *
(Table_BangLuong_TyLeTangCa[Giờ min]&lt;=$AA11) *
(Table_BangLuong_TyLeTangCa[Giờ max]&gt;$AA11)
)),0)
)),
IF(AC$4 &lt; AC$5,
IF($AA11-$Z$4&lt;AC$4,0,
IF($AA11&gt;AC$5,0,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AC$5,$AA11 &lt; AC$4),0,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D11" s="18" cm="1">
        <f t="array" ref="AD11" xml:space="preserve">
IFERROR(
IF(AD$1="",0,
IF(AND(
$AA11&gt;=VLOOKUP(AD$6, Table_ChiPhiNV_Ca[], COUNTA(Table_ChiPhiNV_Ca[[#Headers],[Ca]:[Bắt đầu nghỉ]]),0),
$AA11&lt;VLOOKUP(AD$6, Table_ChiPhiNV_Ca[], COUNTA(Table_ChiPhiNV_Ca[[#Headers],[Ca]:[Kết thúc nghỉ]]),0)
),0,
IF(NOT(ISBLANK(AD$3)),
IF(ISBLANK(AD$7),0,
IF(AD$4 &lt; AD$5,
IF($AA11-$Z$4&lt;AD$4,0,
IF($AA11&gt;AD$5,0,
SUM(_xlfn._xlws.FILTER(Table_BangLuong_TyLeTangCa[Tỷ lệ],
(Table_BangLuong_TyLeTangCa[Ngày] = AD$3) *
(Table_BangLuong_TyLeTangCa[Giờ min]&lt;=$AA11) *
(Table_BangLuong_TyLeTangCa[Giờ max]&gt;$AA11)
)))),
IF(AND($AA11-$Z$4 &gt;= AD$5,$AA11 &lt; AD$4),0,
SUM(_xlfn._xlws.FILTER(Table_BangLuong_TyLeTangCa[Tỷ lệ],
(Table_BangLuong_TyLeTangCa[Ngày] = AD$3) *
(Table_BangLuong_TyLeTangCa[Giờ min]&lt;=$AA11) *
(Table_BangLuong_TyLeTangCa[Giờ max]&gt;$AA11)
))))
),
IF(ISBLANK(AD$7),
IF(VLOOKUP(AD$6, Table_ChiPhiNV_Ca[], COUNTA(Table_ChiPhiNV_Ca[[#Headers],[Ca]:[Kết thúc]]),0)&gt; VLOOKUP(AD$6, Table_ChiPhiNV_Ca[], COUNTA(Table_ChiPhiNV_Ca[[#Headers],[Ca]:[Bắt đầu]]),0),
IF($AA11-$Z$4&lt;MAX(AD$4,VLOOKUP(AD$6, Table_ChiPhiNV_Ca[], COUNTA(Table_ChiPhiNV_Ca[[#Headers],[Ca]:[Bắt đầu]]),0)),0,
IF($AA11&gt;MIN(AD$5,VLOOKUP(AD$6, Table_ChiPhiNV_Ca[], COUNTA(Table_ChiPhiNV_Ca[[#Headers],[Ca]:[Kết thúc]]),0)),0,
SUM(_xlfn._xlws.FILTER(Table_BangLuong_TyLeTangCa[Tỷ lệ],
(Table_BangLuong_TyLeTangCa[Ngày] = "Thường") *
(Table_BangLuong_TyLeTangCa[Giờ min]&lt;=$AA11) *
(Table_BangLuong_TyLeTangCa[Giờ max]&gt;$AA11)
)))),
IF(AD$4 &gt; AD$5,
IF(
AND(
$AA11-$Z$4&lt;MAX(AD$4,VLOOKUP(AD$6, Table_ChiPhiNV_Ca[], COUNTA(Table_ChiPhiNV_Ca[[#Headers],[Ca]:[Bắt đầu]]),0)),
$AA11&gt;MIN(AD$5,VLOOKUP(AD$6, Table_ChiPhiNV_Ca[], COUNTA(Table_ChiPhiNV_Ca[[#Headers],[Ca]:[Kết thúc]]),0))),0,
SUM(_xlfn._xlws.FILTER(Table_BangLuong_TyLeTangCa[Tỷ lệ],
(Table_BangLuong_TyLeTangCa[Ngày] = "Thường") *
(Table_BangLuong_TyLeTangCa[Giờ min]&lt;=$AA11) *
(Table_BangLuong_TyLeTangCa[Giờ max]&gt;$AA11)
))),
IF(
AND(
$AA11-$Z$4&gt;=MAX(AD$4,VLOOKUP(AD$6, Table_ChiPhiNV_Ca[], COUNTA(Table_ChiPhiNV_Ca[[#Headers],[Ca]:[Bắt đầu]]),0)),
$AA11&lt;MIN(AD$5,VLOOKUP(AD$6, Table_ChiPhiNV_Ca[], COUNTA(Table_ChiPhiNV_Ca[[#Headers],[Ca]:[Kết thúc]]),0))),
SUM(_xlfn._xlws.FILTER(Table_BangLuong_TyLeTangCa[Tỷ lệ],
(Table_BangLuong_TyLeTangCa[Ngày] = "Thường") *
(Table_BangLuong_TyLeTangCa[Giờ min]&lt;=$AA11) *
(Table_BangLuong_TyLeTangCa[Giờ max]&gt;$AA11)
)),0)
)),
IF(AD$4 &lt; AD$5,
IF($AA11-$Z$4&lt;AD$4,0,
IF($AA11&gt;AD$5,0,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AD$5,$AA11 &lt; AD$4),0,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E11" s="18" cm="1">
        <f t="array" ref="AE11" xml:space="preserve">
IFERROR(
IF(AE$1="",0,
IF(AND(
$AA11&gt;=VLOOKUP(AE$6, Table_ChiPhiNV_Ca[], COUNTA(Table_ChiPhiNV_Ca[[#Headers],[Ca]:[Bắt đầu nghỉ]]),0),
$AA11&lt;VLOOKUP(AE$6, Table_ChiPhiNV_Ca[], COUNTA(Table_ChiPhiNV_Ca[[#Headers],[Ca]:[Kết thúc nghỉ]]),0)
),0,
IF(NOT(ISBLANK(AE$3)),
IF(ISBLANK(AE$7),0,
IF(AE$4 &lt; AE$5,
IF($AA11-$Z$4&lt;AE$4,0,
IF($AA11&gt;AE$5,0,
SUM(_xlfn._xlws.FILTER(Table_BangLuong_TyLeTangCa[Tỷ lệ],
(Table_BangLuong_TyLeTangCa[Ngày] = AE$3) *
(Table_BangLuong_TyLeTangCa[Giờ min]&lt;=$AA11) *
(Table_BangLuong_TyLeTangCa[Giờ max]&gt;$AA11)
)))),
IF(AND($AA11-$Z$4 &gt;= AE$5,$AA11 &lt; AE$4),0,
SUM(_xlfn._xlws.FILTER(Table_BangLuong_TyLeTangCa[Tỷ lệ],
(Table_BangLuong_TyLeTangCa[Ngày] = AE$3) *
(Table_BangLuong_TyLeTangCa[Giờ min]&lt;=$AA11) *
(Table_BangLuong_TyLeTangCa[Giờ max]&gt;$AA11)
))))
),
IF(ISBLANK(AE$7),
IF(VLOOKUP(AE$6, Table_ChiPhiNV_Ca[], COUNTA(Table_ChiPhiNV_Ca[[#Headers],[Ca]:[Kết thúc]]),0)&gt; VLOOKUP(AE$6, Table_ChiPhiNV_Ca[], COUNTA(Table_ChiPhiNV_Ca[[#Headers],[Ca]:[Bắt đầu]]),0),
IF($AA11-$Z$4&lt;MAX(AE$4,VLOOKUP(AE$6, Table_ChiPhiNV_Ca[], COUNTA(Table_ChiPhiNV_Ca[[#Headers],[Ca]:[Bắt đầu]]),0)),0,
IF($AA11&gt;MIN(AE$5,VLOOKUP(AE$6, Table_ChiPhiNV_Ca[], COUNTA(Table_ChiPhiNV_Ca[[#Headers],[Ca]:[Kết thúc]]),0)),0,
SUM(_xlfn._xlws.FILTER(Table_BangLuong_TyLeTangCa[Tỷ lệ],
(Table_BangLuong_TyLeTangCa[Ngày] = "Thường") *
(Table_BangLuong_TyLeTangCa[Giờ min]&lt;=$AA11) *
(Table_BangLuong_TyLeTangCa[Giờ max]&gt;$AA11)
)))),
IF(AE$4 &gt; AE$5,
IF(
AND(
$AA11-$Z$4&lt;MAX(AE$4,VLOOKUP(AE$6, Table_ChiPhiNV_Ca[], COUNTA(Table_ChiPhiNV_Ca[[#Headers],[Ca]:[Bắt đầu]]),0)),
$AA11&gt;MIN(AE$5,VLOOKUP(AE$6, Table_ChiPhiNV_Ca[], COUNTA(Table_ChiPhiNV_Ca[[#Headers],[Ca]:[Kết thúc]]),0))),0,
SUM(_xlfn._xlws.FILTER(Table_BangLuong_TyLeTangCa[Tỷ lệ],
(Table_BangLuong_TyLeTangCa[Ngày] = "Thường") *
(Table_BangLuong_TyLeTangCa[Giờ min]&lt;=$AA11) *
(Table_BangLuong_TyLeTangCa[Giờ max]&gt;$AA11)
))),
IF(
AND(
$AA11-$Z$4&gt;=MAX(AE$4,VLOOKUP(AE$6, Table_ChiPhiNV_Ca[], COUNTA(Table_ChiPhiNV_Ca[[#Headers],[Ca]:[Bắt đầu]]),0)),
$AA11&lt;MIN(AE$5,VLOOKUP(AE$6, Table_ChiPhiNV_Ca[], COUNTA(Table_ChiPhiNV_Ca[[#Headers],[Ca]:[Kết thúc]]),0))),
SUM(_xlfn._xlws.FILTER(Table_BangLuong_TyLeTangCa[Tỷ lệ],
(Table_BangLuong_TyLeTangCa[Ngày] = "Thường") *
(Table_BangLuong_TyLeTangCa[Giờ min]&lt;=$AA11) *
(Table_BangLuong_TyLeTangCa[Giờ max]&gt;$AA11)
)),0)
)),
IF(AE$4 &lt; AE$5,
IF($AA11-$Z$4&lt;AE$4,0,
IF($AA11&gt;AE$5,0,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AE$5,$AA11 &lt; AE$4),0,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F11" s="18" cm="1">
        <f t="array" ref="AF11" xml:space="preserve">
IFERROR(
IF(AF$1="",0,
IF(AND(
$AA11&gt;=VLOOKUP(AF$6, Table_ChiPhiNV_Ca[], COUNTA(Table_ChiPhiNV_Ca[[#Headers],[Ca]:[Bắt đầu nghỉ]]),0),
$AA11&lt;VLOOKUP(AF$6, Table_ChiPhiNV_Ca[], COUNTA(Table_ChiPhiNV_Ca[[#Headers],[Ca]:[Kết thúc nghỉ]]),0)
),0,
IF(NOT(ISBLANK(AF$3)),
IF(ISBLANK(AF$7),0,
IF(AF$4 &lt; AF$5,
IF($AA11-$Z$4&lt;AF$4,0,
IF($AA11&gt;AF$5,0,
SUM(_xlfn._xlws.FILTER(Table_BangLuong_TyLeTangCa[Tỷ lệ],
(Table_BangLuong_TyLeTangCa[Ngày] = AF$3) *
(Table_BangLuong_TyLeTangCa[Giờ min]&lt;=$AA11) *
(Table_BangLuong_TyLeTangCa[Giờ max]&gt;$AA11)
)))),
IF(AND($AA11-$Z$4 &gt;= AF$5,$AA11 &lt; AF$4),0,
SUM(_xlfn._xlws.FILTER(Table_BangLuong_TyLeTangCa[Tỷ lệ],
(Table_BangLuong_TyLeTangCa[Ngày] = AF$3) *
(Table_BangLuong_TyLeTangCa[Giờ min]&lt;=$AA11) *
(Table_BangLuong_TyLeTangCa[Giờ max]&gt;$AA11)
))))
),
IF(ISBLANK(AF$7),
IF(VLOOKUP(AF$6, Table_ChiPhiNV_Ca[], COUNTA(Table_ChiPhiNV_Ca[[#Headers],[Ca]:[Kết thúc]]),0)&gt; VLOOKUP(AF$6, Table_ChiPhiNV_Ca[], COUNTA(Table_ChiPhiNV_Ca[[#Headers],[Ca]:[Bắt đầu]]),0),
IF($AA11-$Z$4&lt;MAX(AF$4,VLOOKUP(AF$6, Table_ChiPhiNV_Ca[], COUNTA(Table_ChiPhiNV_Ca[[#Headers],[Ca]:[Bắt đầu]]),0)),0,
IF($AA11&gt;MIN(AF$5,VLOOKUP(AF$6, Table_ChiPhiNV_Ca[], COUNTA(Table_ChiPhiNV_Ca[[#Headers],[Ca]:[Kết thúc]]),0)),0,
SUM(_xlfn._xlws.FILTER(Table_BangLuong_TyLeTangCa[Tỷ lệ],
(Table_BangLuong_TyLeTangCa[Ngày] = "Thường") *
(Table_BangLuong_TyLeTangCa[Giờ min]&lt;=$AA11) *
(Table_BangLuong_TyLeTangCa[Giờ max]&gt;$AA11)
)))),
IF(AF$4 &gt; AF$5,
IF(
AND(
$AA11-$Z$4&lt;MAX(AF$4,VLOOKUP(AF$6, Table_ChiPhiNV_Ca[], COUNTA(Table_ChiPhiNV_Ca[[#Headers],[Ca]:[Bắt đầu]]),0)),
$AA11&gt;MIN(AF$5,VLOOKUP(AF$6, Table_ChiPhiNV_Ca[], COUNTA(Table_ChiPhiNV_Ca[[#Headers],[Ca]:[Kết thúc]]),0))),0,
SUM(_xlfn._xlws.FILTER(Table_BangLuong_TyLeTangCa[Tỷ lệ],
(Table_BangLuong_TyLeTangCa[Ngày] = "Thường") *
(Table_BangLuong_TyLeTangCa[Giờ min]&lt;=$AA11) *
(Table_BangLuong_TyLeTangCa[Giờ max]&gt;$AA11)
))),
IF(
AND(
$AA11-$Z$4&gt;=MAX(AF$4,VLOOKUP(AF$6, Table_ChiPhiNV_Ca[], COUNTA(Table_ChiPhiNV_Ca[[#Headers],[Ca]:[Bắt đầu]]),0)),
$AA11&lt;MIN(AF$5,VLOOKUP(AF$6, Table_ChiPhiNV_Ca[], COUNTA(Table_ChiPhiNV_Ca[[#Headers],[Ca]:[Kết thúc]]),0))),
SUM(_xlfn._xlws.FILTER(Table_BangLuong_TyLeTangCa[Tỷ lệ],
(Table_BangLuong_TyLeTangCa[Ngày] = "Thường") *
(Table_BangLuong_TyLeTangCa[Giờ min]&lt;=$AA11) *
(Table_BangLuong_TyLeTangCa[Giờ max]&gt;$AA11)
)),0)
)),
IF(AF$4 &lt; AF$5,
IF($AA11-$Z$4&lt;AF$4,0,
IF($AA11&gt;AF$5,0,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AF$5,$AA11 &lt; AF$4),0,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G11" s="18" cm="1">
        <f t="array" ref="AG11" xml:space="preserve">
IFERROR(
IF(AG$1="",0,
IF(AND(
$AA11&gt;=VLOOKUP(AG$6, Table_ChiPhiNV_Ca[], COUNTA(Table_ChiPhiNV_Ca[[#Headers],[Ca]:[Bắt đầu nghỉ]]),0),
$AA11&lt;VLOOKUP(AG$6, Table_ChiPhiNV_Ca[], COUNTA(Table_ChiPhiNV_Ca[[#Headers],[Ca]:[Kết thúc nghỉ]]),0)
),0,
IF(NOT(ISBLANK(AG$3)),
IF(ISBLANK(AG$7),0,
IF(AG$4 &lt; AG$5,
IF($AA11-$Z$4&lt;AG$4,0,
IF($AA11&gt;AG$5,0,
SUM(_xlfn._xlws.FILTER(Table_BangLuong_TyLeTangCa[Tỷ lệ],
(Table_BangLuong_TyLeTangCa[Ngày] = AG$3) *
(Table_BangLuong_TyLeTangCa[Giờ min]&lt;=$AA11) *
(Table_BangLuong_TyLeTangCa[Giờ max]&gt;$AA11)
)))),
IF(AND($AA11-$Z$4 &gt;= AG$5,$AA11 &lt; AG$4),0,
SUM(_xlfn._xlws.FILTER(Table_BangLuong_TyLeTangCa[Tỷ lệ],
(Table_BangLuong_TyLeTangCa[Ngày] = AG$3) *
(Table_BangLuong_TyLeTangCa[Giờ min]&lt;=$AA11) *
(Table_BangLuong_TyLeTangCa[Giờ max]&gt;$AA11)
))))
),
IF(ISBLANK(AG$7),
IF(VLOOKUP(AG$6, Table_ChiPhiNV_Ca[], COUNTA(Table_ChiPhiNV_Ca[[#Headers],[Ca]:[Kết thúc]]),0)&gt; VLOOKUP(AG$6, Table_ChiPhiNV_Ca[], COUNTA(Table_ChiPhiNV_Ca[[#Headers],[Ca]:[Bắt đầu]]),0),
IF($AA11-$Z$4&lt;MAX(AG$4,VLOOKUP(AG$6, Table_ChiPhiNV_Ca[], COUNTA(Table_ChiPhiNV_Ca[[#Headers],[Ca]:[Bắt đầu]]),0)),0,
IF($AA11&gt;MIN(AG$5,VLOOKUP(AG$6, Table_ChiPhiNV_Ca[], COUNTA(Table_ChiPhiNV_Ca[[#Headers],[Ca]:[Kết thúc]]),0)),0,
SUM(_xlfn._xlws.FILTER(Table_BangLuong_TyLeTangCa[Tỷ lệ],
(Table_BangLuong_TyLeTangCa[Ngày] = "Thường") *
(Table_BangLuong_TyLeTangCa[Giờ min]&lt;=$AA11) *
(Table_BangLuong_TyLeTangCa[Giờ max]&gt;$AA11)
)))),
IF(AG$4 &gt; AG$5,
IF(
AND(
$AA11-$Z$4&lt;MAX(AG$4,VLOOKUP(AG$6, Table_ChiPhiNV_Ca[], COUNTA(Table_ChiPhiNV_Ca[[#Headers],[Ca]:[Bắt đầu]]),0)),
$AA11&gt;MIN(AG$5,VLOOKUP(AG$6, Table_ChiPhiNV_Ca[], COUNTA(Table_ChiPhiNV_Ca[[#Headers],[Ca]:[Kết thúc]]),0))),0,
SUM(_xlfn._xlws.FILTER(Table_BangLuong_TyLeTangCa[Tỷ lệ],
(Table_BangLuong_TyLeTangCa[Ngày] = "Thường") *
(Table_BangLuong_TyLeTangCa[Giờ min]&lt;=$AA11) *
(Table_BangLuong_TyLeTangCa[Giờ max]&gt;$AA11)
))),
IF(
AND(
$AA11-$Z$4&gt;=MAX(AG$4,VLOOKUP(AG$6, Table_ChiPhiNV_Ca[], COUNTA(Table_ChiPhiNV_Ca[[#Headers],[Ca]:[Bắt đầu]]),0)),
$AA11&lt;MIN(AG$5,VLOOKUP(AG$6, Table_ChiPhiNV_Ca[], COUNTA(Table_ChiPhiNV_Ca[[#Headers],[Ca]:[Kết thúc]]),0))),
SUM(_xlfn._xlws.FILTER(Table_BangLuong_TyLeTangCa[Tỷ lệ],
(Table_BangLuong_TyLeTangCa[Ngày] = "Thường") *
(Table_BangLuong_TyLeTangCa[Giờ min]&lt;=$AA11) *
(Table_BangLuong_TyLeTangCa[Giờ max]&gt;$AA11)
)),0)
)),
IF(AG$4 &lt; AG$5,
IF($AA11-$Z$4&lt;AG$4,0,
IF($AA11&gt;AG$5,0,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AG$5,$AA11 &lt; AG$4),0,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H11" s="18" cm="1">
        <f t="array" ref="AH11" xml:space="preserve">
IFERROR(
IF(AH$1="",0,
IF(AND(
$AA11&gt;=VLOOKUP(AH$6, Table_ChiPhiNV_Ca[], COUNTA(Table_ChiPhiNV_Ca[[#Headers],[Ca]:[Bắt đầu nghỉ]]),0),
$AA11&lt;VLOOKUP(AH$6, Table_ChiPhiNV_Ca[], COUNTA(Table_ChiPhiNV_Ca[[#Headers],[Ca]:[Kết thúc nghỉ]]),0)
),0,
IF(NOT(ISBLANK(AH$3)),
IF(ISBLANK(AH$7),0,
IF(AH$4 &lt; AH$5,
IF($AA11-$Z$4&lt;AH$4,0,
IF($AA11&gt;AH$5,0,
SUM(_xlfn._xlws.FILTER(Table_BangLuong_TyLeTangCa[Tỷ lệ],
(Table_BangLuong_TyLeTangCa[Ngày] = AH$3) *
(Table_BangLuong_TyLeTangCa[Giờ min]&lt;=$AA11) *
(Table_BangLuong_TyLeTangCa[Giờ max]&gt;$AA11)
)))),
IF(AND($AA11-$Z$4 &gt;= AH$5,$AA11 &lt; AH$4),0,
SUM(_xlfn._xlws.FILTER(Table_BangLuong_TyLeTangCa[Tỷ lệ],
(Table_BangLuong_TyLeTangCa[Ngày] = AH$3) *
(Table_BangLuong_TyLeTangCa[Giờ min]&lt;=$AA11) *
(Table_BangLuong_TyLeTangCa[Giờ max]&gt;$AA11)
))))
),
IF(ISBLANK(AH$7),
IF(VLOOKUP(AH$6, Table_ChiPhiNV_Ca[], COUNTA(Table_ChiPhiNV_Ca[[#Headers],[Ca]:[Kết thúc]]),0)&gt; VLOOKUP(AH$6, Table_ChiPhiNV_Ca[], COUNTA(Table_ChiPhiNV_Ca[[#Headers],[Ca]:[Bắt đầu]]),0),
IF($AA11-$Z$4&lt;MAX(AH$4,VLOOKUP(AH$6, Table_ChiPhiNV_Ca[], COUNTA(Table_ChiPhiNV_Ca[[#Headers],[Ca]:[Bắt đầu]]),0)),0,
IF($AA11&gt;MIN(AH$5,VLOOKUP(AH$6, Table_ChiPhiNV_Ca[], COUNTA(Table_ChiPhiNV_Ca[[#Headers],[Ca]:[Kết thúc]]),0)),0,
SUM(_xlfn._xlws.FILTER(Table_BangLuong_TyLeTangCa[Tỷ lệ],
(Table_BangLuong_TyLeTangCa[Ngày] = "Thường") *
(Table_BangLuong_TyLeTangCa[Giờ min]&lt;=$AA11) *
(Table_BangLuong_TyLeTangCa[Giờ max]&gt;$AA11)
)))),
IF(AH$4 &gt; AH$5,
IF(
AND(
$AA11-$Z$4&lt;MAX(AH$4,VLOOKUP(AH$6, Table_ChiPhiNV_Ca[], COUNTA(Table_ChiPhiNV_Ca[[#Headers],[Ca]:[Bắt đầu]]),0)),
$AA11&gt;MIN(AH$5,VLOOKUP(AH$6, Table_ChiPhiNV_Ca[], COUNTA(Table_ChiPhiNV_Ca[[#Headers],[Ca]:[Kết thúc]]),0))),0,
SUM(_xlfn._xlws.FILTER(Table_BangLuong_TyLeTangCa[Tỷ lệ],
(Table_BangLuong_TyLeTangCa[Ngày] = "Thường") *
(Table_BangLuong_TyLeTangCa[Giờ min]&lt;=$AA11) *
(Table_BangLuong_TyLeTangCa[Giờ max]&gt;$AA11)
))),
IF(
AND(
$AA11-$Z$4&gt;=MAX(AH$4,VLOOKUP(AH$6, Table_ChiPhiNV_Ca[], COUNTA(Table_ChiPhiNV_Ca[[#Headers],[Ca]:[Bắt đầu]]),0)),
$AA11&lt;MIN(AH$5,VLOOKUP(AH$6, Table_ChiPhiNV_Ca[], COUNTA(Table_ChiPhiNV_Ca[[#Headers],[Ca]:[Kết thúc]]),0))),
SUM(_xlfn._xlws.FILTER(Table_BangLuong_TyLeTangCa[Tỷ lệ],
(Table_BangLuong_TyLeTangCa[Ngày] = "Thường") *
(Table_BangLuong_TyLeTangCa[Giờ min]&lt;=$AA11) *
(Table_BangLuong_TyLeTangCa[Giờ max]&gt;$AA11)
)),0)
)),
IF(AH$4 &lt; AH$5,
IF($AA11-$Z$4&lt;AH$4,0,
IF($AA11&gt;AH$5,0,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AH$5,$AA11 &lt; AH$4),0,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I11" s="18" cm="1">
        <f t="array" ref="AI11" xml:space="preserve">
IFERROR(
IF(AI$1="",0,
IF(AND(
$AA11&gt;=VLOOKUP(AI$6, Table_ChiPhiNV_Ca[], COUNTA(Table_ChiPhiNV_Ca[[#Headers],[Ca]:[Bắt đầu nghỉ]]),0),
$AA11&lt;VLOOKUP(AI$6, Table_ChiPhiNV_Ca[], COUNTA(Table_ChiPhiNV_Ca[[#Headers],[Ca]:[Kết thúc nghỉ]]),0)
),0,
IF(NOT(ISBLANK(AI$3)),
IF(ISBLANK(AI$7),0,
IF(AI$4 &lt; AI$5,
IF($AA11-$Z$4&lt;AI$4,0,
IF($AA11&gt;AI$5,0,
SUM(_xlfn._xlws.FILTER(Table_BangLuong_TyLeTangCa[Tỷ lệ],
(Table_BangLuong_TyLeTangCa[Ngày] = AI$3) *
(Table_BangLuong_TyLeTangCa[Giờ min]&lt;=$AA11) *
(Table_BangLuong_TyLeTangCa[Giờ max]&gt;$AA11)
)))),
IF(AND($AA11-$Z$4 &gt;= AI$5,$AA11 &lt; AI$4),0,
SUM(_xlfn._xlws.FILTER(Table_BangLuong_TyLeTangCa[Tỷ lệ],
(Table_BangLuong_TyLeTangCa[Ngày] = AI$3) *
(Table_BangLuong_TyLeTangCa[Giờ min]&lt;=$AA11) *
(Table_BangLuong_TyLeTangCa[Giờ max]&gt;$AA11)
))))
),
IF(ISBLANK(AI$7),
IF(VLOOKUP(AI$6, Table_ChiPhiNV_Ca[], COUNTA(Table_ChiPhiNV_Ca[[#Headers],[Ca]:[Kết thúc]]),0)&gt; VLOOKUP(AI$6, Table_ChiPhiNV_Ca[], COUNTA(Table_ChiPhiNV_Ca[[#Headers],[Ca]:[Bắt đầu]]),0),
IF($AA11-$Z$4&lt;MAX(AI$4,VLOOKUP(AI$6, Table_ChiPhiNV_Ca[], COUNTA(Table_ChiPhiNV_Ca[[#Headers],[Ca]:[Bắt đầu]]),0)),0,
IF($AA11&gt;MIN(AI$5,VLOOKUP(AI$6, Table_ChiPhiNV_Ca[], COUNTA(Table_ChiPhiNV_Ca[[#Headers],[Ca]:[Kết thúc]]),0)),0,
SUM(_xlfn._xlws.FILTER(Table_BangLuong_TyLeTangCa[Tỷ lệ],
(Table_BangLuong_TyLeTangCa[Ngày] = "Thường") *
(Table_BangLuong_TyLeTangCa[Giờ min]&lt;=$AA11) *
(Table_BangLuong_TyLeTangCa[Giờ max]&gt;$AA11)
)))),
IF(AI$4 &gt; AI$5,
IF(
AND(
$AA11-$Z$4&lt;MAX(AI$4,VLOOKUP(AI$6, Table_ChiPhiNV_Ca[], COUNTA(Table_ChiPhiNV_Ca[[#Headers],[Ca]:[Bắt đầu]]),0)),
$AA11&gt;MIN(AI$5,VLOOKUP(AI$6, Table_ChiPhiNV_Ca[], COUNTA(Table_ChiPhiNV_Ca[[#Headers],[Ca]:[Kết thúc]]),0))),0,
SUM(_xlfn._xlws.FILTER(Table_BangLuong_TyLeTangCa[Tỷ lệ],
(Table_BangLuong_TyLeTangCa[Ngày] = "Thường") *
(Table_BangLuong_TyLeTangCa[Giờ min]&lt;=$AA11) *
(Table_BangLuong_TyLeTangCa[Giờ max]&gt;$AA11)
))),
IF(
AND(
$AA11-$Z$4&gt;=MAX(AI$4,VLOOKUP(AI$6, Table_ChiPhiNV_Ca[], COUNTA(Table_ChiPhiNV_Ca[[#Headers],[Ca]:[Bắt đầu]]),0)),
$AA11&lt;MIN(AI$5,VLOOKUP(AI$6, Table_ChiPhiNV_Ca[], COUNTA(Table_ChiPhiNV_Ca[[#Headers],[Ca]:[Kết thúc]]),0))),
SUM(_xlfn._xlws.FILTER(Table_BangLuong_TyLeTangCa[Tỷ lệ],
(Table_BangLuong_TyLeTangCa[Ngày] = "Thường") *
(Table_BangLuong_TyLeTangCa[Giờ min]&lt;=$AA11) *
(Table_BangLuong_TyLeTangCa[Giờ max]&gt;$AA11)
)),0)
)),
IF(AI$4 &lt; AI$5,
IF($AA11-$Z$4&lt;AI$4,0,
IF($AA11&gt;AI$5,0,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AI$5,$AA11 &lt; AI$4),0,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J11" s="18" cm="1">
        <f t="array" ref="AJ11" xml:space="preserve">
IFERROR(
IF(AJ$1="",0,
IF(AND(
$AA11&gt;=VLOOKUP(AJ$6, Table_ChiPhiNV_Ca[], COUNTA(Table_ChiPhiNV_Ca[[#Headers],[Ca]:[Bắt đầu nghỉ]]),0),
$AA11&lt;VLOOKUP(AJ$6, Table_ChiPhiNV_Ca[], COUNTA(Table_ChiPhiNV_Ca[[#Headers],[Ca]:[Kết thúc nghỉ]]),0)
),0,
IF(NOT(ISBLANK(AJ$3)),
IF(ISBLANK(AJ$7),0,
IF(AJ$4 &lt; AJ$5,
IF($AA11-$Z$4&lt;AJ$4,0,
IF($AA11&gt;AJ$5,0,
SUM(_xlfn._xlws.FILTER(Table_BangLuong_TyLeTangCa[Tỷ lệ],
(Table_BangLuong_TyLeTangCa[Ngày] = AJ$3) *
(Table_BangLuong_TyLeTangCa[Giờ min]&lt;=$AA11) *
(Table_BangLuong_TyLeTangCa[Giờ max]&gt;$AA11)
)))),
IF(AND($AA11-$Z$4 &gt;= AJ$5,$AA11 &lt; AJ$4),0,
SUM(_xlfn._xlws.FILTER(Table_BangLuong_TyLeTangCa[Tỷ lệ],
(Table_BangLuong_TyLeTangCa[Ngày] = AJ$3) *
(Table_BangLuong_TyLeTangCa[Giờ min]&lt;=$AA11) *
(Table_BangLuong_TyLeTangCa[Giờ max]&gt;$AA11)
))))
),
IF(ISBLANK(AJ$7),
IF(VLOOKUP(AJ$6, Table_ChiPhiNV_Ca[], COUNTA(Table_ChiPhiNV_Ca[[#Headers],[Ca]:[Kết thúc]]),0)&gt; VLOOKUP(AJ$6, Table_ChiPhiNV_Ca[], COUNTA(Table_ChiPhiNV_Ca[[#Headers],[Ca]:[Bắt đầu]]),0),
IF($AA11-$Z$4&lt;MAX(AJ$4,VLOOKUP(AJ$6, Table_ChiPhiNV_Ca[], COUNTA(Table_ChiPhiNV_Ca[[#Headers],[Ca]:[Bắt đầu]]),0)),0,
IF($AA11&gt;MIN(AJ$5,VLOOKUP(AJ$6, Table_ChiPhiNV_Ca[], COUNTA(Table_ChiPhiNV_Ca[[#Headers],[Ca]:[Kết thúc]]),0)),0,
SUM(_xlfn._xlws.FILTER(Table_BangLuong_TyLeTangCa[Tỷ lệ],
(Table_BangLuong_TyLeTangCa[Ngày] = "Thường") *
(Table_BangLuong_TyLeTangCa[Giờ min]&lt;=$AA11) *
(Table_BangLuong_TyLeTangCa[Giờ max]&gt;$AA11)
)))),
IF(AJ$4 &gt; AJ$5,
IF(
AND(
$AA11-$Z$4&lt;MAX(AJ$4,VLOOKUP(AJ$6, Table_ChiPhiNV_Ca[], COUNTA(Table_ChiPhiNV_Ca[[#Headers],[Ca]:[Bắt đầu]]),0)),
$AA11&gt;MIN(AJ$5,VLOOKUP(AJ$6, Table_ChiPhiNV_Ca[], COUNTA(Table_ChiPhiNV_Ca[[#Headers],[Ca]:[Kết thúc]]),0))),0,
SUM(_xlfn._xlws.FILTER(Table_BangLuong_TyLeTangCa[Tỷ lệ],
(Table_BangLuong_TyLeTangCa[Ngày] = "Thường") *
(Table_BangLuong_TyLeTangCa[Giờ min]&lt;=$AA11) *
(Table_BangLuong_TyLeTangCa[Giờ max]&gt;$AA11)
))),
IF(
AND(
$AA11-$Z$4&gt;=MAX(AJ$4,VLOOKUP(AJ$6, Table_ChiPhiNV_Ca[], COUNTA(Table_ChiPhiNV_Ca[[#Headers],[Ca]:[Bắt đầu]]),0)),
$AA11&lt;MIN(AJ$5,VLOOKUP(AJ$6, Table_ChiPhiNV_Ca[], COUNTA(Table_ChiPhiNV_Ca[[#Headers],[Ca]:[Kết thúc]]),0))),
SUM(_xlfn._xlws.FILTER(Table_BangLuong_TyLeTangCa[Tỷ lệ],
(Table_BangLuong_TyLeTangCa[Ngày] = "Thường") *
(Table_BangLuong_TyLeTangCa[Giờ min]&lt;=$AA11) *
(Table_BangLuong_TyLeTangCa[Giờ max]&gt;$AA11)
)),0)
)),
IF(AJ$4 &lt; AJ$5,
IF($AA11-$Z$4&lt;AJ$4,0,
IF($AA11&gt;AJ$5,0,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AJ$5,$AA11 &lt; AJ$4),0,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K11" s="18" cm="1">
        <f t="array" ref="AK11" xml:space="preserve">
IFERROR(
IF(AK$1="",0,
IF(AND(
$AA11&gt;=VLOOKUP(AK$6, Table_ChiPhiNV_Ca[], COUNTA(Table_ChiPhiNV_Ca[[#Headers],[Ca]:[Bắt đầu nghỉ]]),0),
$AA11&lt;VLOOKUP(AK$6, Table_ChiPhiNV_Ca[], COUNTA(Table_ChiPhiNV_Ca[[#Headers],[Ca]:[Kết thúc nghỉ]]),0)
),0,
IF(NOT(ISBLANK(AK$3)),
IF(ISBLANK(AK$7),0,
IF(AK$4 &lt; AK$5,
IF($AA11-$Z$4&lt;AK$4,0,
IF($AA11&gt;AK$5,0,
SUM(_xlfn._xlws.FILTER(Table_BangLuong_TyLeTangCa[Tỷ lệ],
(Table_BangLuong_TyLeTangCa[Ngày] = AK$3) *
(Table_BangLuong_TyLeTangCa[Giờ min]&lt;=$AA11) *
(Table_BangLuong_TyLeTangCa[Giờ max]&gt;$AA11)
)))),
IF(AND($AA11-$Z$4 &gt;= AK$5,$AA11 &lt; AK$4),0,
SUM(_xlfn._xlws.FILTER(Table_BangLuong_TyLeTangCa[Tỷ lệ],
(Table_BangLuong_TyLeTangCa[Ngày] = AK$3) *
(Table_BangLuong_TyLeTangCa[Giờ min]&lt;=$AA11) *
(Table_BangLuong_TyLeTangCa[Giờ max]&gt;$AA11)
))))
),
IF(ISBLANK(AK$7),
IF(VLOOKUP(AK$6, Table_ChiPhiNV_Ca[], COUNTA(Table_ChiPhiNV_Ca[[#Headers],[Ca]:[Kết thúc]]),0)&gt; VLOOKUP(AK$6, Table_ChiPhiNV_Ca[], COUNTA(Table_ChiPhiNV_Ca[[#Headers],[Ca]:[Bắt đầu]]),0),
IF($AA11-$Z$4&lt;MAX(AK$4,VLOOKUP(AK$6, Table_ChiPhiNV_Ca[], COUNTA(Table_ChiPhiNV_Ca[[#Headers],[Ca]:[Bắt đầu]]),0)),0,
IF($AA11&gt;MIN(AK$5,VLOOKUP(AK$6, Table_ChiPhiNV_Ca[], COUNTA(Table_ChiPhiNV_Ca[[#Headers],[Ca]:[Kết thúc]]),0)),0,
SUM(_xlfn._xlws.FILTER(Table_BangLuong_TyLeTangCa[Tỷ lệ],
(Table_BangLuong_TyLeTangCa[Ngày] = "Thường") *
(Table_BangLuong_TyLeTangCa[Giờ min]&lt;=$AA11) *
(Table_BangLuong_TyLeTangCa[Giờ max]&gt;$AA11)
)))),
IF(AK$4 &gt; AK$5,
IF(
AND(
$AA11-$Z$4&lt;MAX(AK$4,VLOOKUP(AK$6, Table_ChiPhiNV_Ca[], COUNTA(Table_ChiPhiNV_Ca[[#Headers],[Ca]:[Bắt đầu]]),0)),
$AA11&gt;MIN(AK$5,VLOOKUP(AK$6, Table_ChiPhiNV_Ca[], COUNTA(Table_ChiPhiNV_Ca[[#Headers],[Ca]:[Kết thúc]]),0))),0,
SUM(_xlfn._xlws.FILTER(Table_BangLuong_TyLeTangCa[Tỷ lệ],
(Table_BangLuong_TyLeTangCa[Ngày] = "Thường") *
(Table_BangLuong_TyLeTangCa[Giờ min]&lt;=$AA11) *
(Table_BangLuong_TyLeTangCa[Giờ max]&gt;$AA11)
))),
IF(
AND(
$AA11-$Z$4&gt;=MAX(AK$4,VLOOKUP(AK$6, Table_ChiPhiNV_Ca[], COUNTA(Table_ChiPhiNV_Ca[[#Headers],[Ca]:[Bắt đầu]]),0)),
$AA11&lt;MIN(AK$5,VLOOKUP(AK$6, Table_ChiPhiNV_Ca[], COUNTA(Table_ChiPhiNV_Ca[[#Headers],[Ca]:[Kết thúc]]),0))),
SUM(_xlfn._xlws.FILTER(Table_BangLuong_TyLeTangCa[Tỷ lệ],
(Table_BangLuong_TyLeTangCa[Ngày] = "Thường") *
(Table_BangLuong_TyLeTangCa[Giờ min]&lt;=$AA11) *
(Table_BangLuong_TyLeTangCa[Giờ max]&gt;$AA11)
)),0)
)),
IF(AK$4 &lt; AK$5,
IF($AA11-$Z$4&lt;AK$4,0,
IF($AA11&gt;AK$5,0,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AK$5,$AA11 &lt; AK$4),0,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L11" s="18" cm="1">
        <f t="array" ref="AL11" xml:space="preserve">
IFERROR(
IF(AL$1="",0,
IF(AND(
$AA11&gt;=VLOOKUP(AL$6, Table_ChiPhiNV_Ca[], COUNTA(Table_ChiPhiNV_Ca[[#Headers],[Ca]:[Bắt đầu nghỉ]]),0),
$AA11&lt;VLOOKUP(AL$6, Table_ChiPhiNV_Ca[], COUNTA(Table_ChiPhiNV_Ca[[#Headers],[Ca]:[Kết thúc nghỉ]]),0)
),0,
IF(NOT(ISBLANK(AL$3)),
IF(ISBLANK(AL$7),0,
IF(AL$4 &lt; AL$5,
IF($AA11-$Z$4&lt;AL$4,0,
IF($AA11&gt;AL$5,0,
SUM(_xlfn._xlws.FILTER(Table_BangLuong_TyLeTangCa[Tỷ lệ],
(Table_BangLuong_TyLeTangCa[Ngày] = AL$3) *
(Table_BangLuong_TyLeTangCa[Giờ min]&lt;=$AA11) *
(Table_BangLuong_TyLeTangCa[Giờ max]&gt;$AA11)
)))),
IF(AND($AA11-$Z$4 &gt;= AL$5,$AA11 &lt; AL$4),0,
SUM(_xlfn._xlws.FILTER(Table_BangLuong_TyLeTangCa[Tỷ lệ],
(Table_BangLuong_TyLeTangCa[Ngày] = AL$3) *
(Table_BangLuong_TyLeTangCa[Giờ min]&lt;=$AA11) *
(Table_BangLuong_TyLeTangCa[Giờ max]&gt;$AA11)
))))
),
IF(ISBLANK(AL$7),
IF(VLOOKUP(AL$6, Table_ChiPhiNV_Ca[], COUNTA(Table_ChiPhiNV_Ca[[#Headers],[Ca]:[Kết thúc]]),0)&gt; VLOOKUP(AL$6, Table_ChiPhiNV_Ca[], COUNTA(Table_ChiPhiNV_Ca[[#Headers],[Ca]:[Bắt đầu]]),0),
IF($AA11-$Z$4&lt;MAX(AL$4,VLOOKUP(AL$6, Table_ChiPhiNV_Ca[], COUNTA(Table_ChiPhiNV_Ca[[#Headers],[Ca]:[Bắt đầu]]),0)),0,
IF($AA11&gt;MIN(AL$5,VLOOKUP(AL$6, Table_ChiPhiNV_Ca[], COUNTA(Table_ChiPhiNV_Ca[[#Headers],[Ca]:[Kết thúc]]),0)),0,
SUM(_xlfn._xlws.FILTER(Table_BangLuong_TyLeTangCa[Tỷ lệ],
(Table_BangLuong_TyLeTangCa[Ngày] = "Thường") *
(Table_BangLuong_TyLeTangCa[Giờ min]&lt;=$AA11) *
(Table_BangLuong_TyLeTangCa[Giờ max]&gt;$AA11)
)))),
IF(AL$4 &gt; AL$5,
IF(
AND(
$AA11-$Z$4&lt;MAX(AL$4,VLOOKUP(AL$6, Table_ChiPhiNV_Ca[], COUNTA(Table_ChiPhiNV_Ca[[#Headers],[Ca]:[Bắt đầu]]),0)),
$AA11&gt;MIN(AL$5,VLOOKUP(AL$6, Table_ChiPhiNV_Ca[], COUNTA(Table_ChiPhiNV_Ca[[#Headers],[Ca]:[Kết thúc]]),0))),0,
SUM(_xlfn._xlws.FILTER(Table_BangLuong_TyLeTangCa[Tỷ lệ],
(Table_BangLuong_TyLeTangCa[Ngày] = "Thường") *
(Table_BangLuong_TyLeTangCa[Giờ min]&lt;=$AA11) *
(Table_BangLuong_TyLeTangCa[Giờ max]&gt;$AA11)
))),
IF(
AND(
$AA11-$Z$4&gt;=MAX(AL$4,VLOOKUP(AL$6, Table_ChiPhiNV_Ca[], COUNTA(Table_ChiPhiNV_Ca[[#Headers],[Ca]:[Bắt đầu]]),0)),
$AA11&lt;MIN(AL$5,VLOOKUP(AL$6, Table_ChiPhiNV_Ca[], COUNTA(Table_ChiPhiNV_Ca[[#Headers],[Ca]:[Kết thúc]]),0))),
SUM(_xlfn._xlws.FILTER(Table_BangLuong_TyLeTangCa[Tỷ lệ],
(Table_BangLuong_TyLeTangCa[Ngày] = "Thường") *
(Table_BangLuong_TyLeTangCa[Giờ min]&lt;=$AA11) *
(Table_BangLuong_TyLeTangCa[Giờ max]&gt;$AA11)
)),0)
)),
IF(AL$4 &lt; AL$5,
IF($AA11-$Z$4&lt;AL$4,0,
IF($AA11&gt;AL$5,0,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AL$5,$AA11 &lt; AL$4),0,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M11" s="18" cm="1">
        <f t="array" ref="AM11" xml:space="preserve">
IFERROR(
IF(AM$1="",0,
IF(AND(
$AA11&gt;=VLOOKUP(AM$6, Table_ChiPhiNV_Ca[], COUNTA(Table_ChiPhiNV_Ca[[#Headers],[Ca]:[Bắt đầu nghỉ]]),0),
$AA11&lt;VLOOKUP(AM$6, Table_ChiPhiNV_Ca[], COUNTA(Table_ChiPhiNV_Ca[[#Headers],[Ca]:[Kết thúc nghỉ]]),0)
),0,
IF(NOT(ISBLANK(AM$3)),
IF(ISBLANK(AM$7),0,
IF(AM$4 &lt; AM$5,
IF($AA11-$Z$4&lt;AM$4,0,
IF($AA11&gt;AM$5,0,
SUM(_xlfn._xlws.FILTER(Table_BangLuong_TyLeTangCa[Tỷ lệ],
(Table_BangLuong_TyLeTangCa[Ngày] = AM$3) *
(Table_BangLuong_TyLeTangCa[Giờ min]&lt;=$AA11) *
(Table_BangLuong_TyLeTangCa[Giờ max]&gt;$AA11)
)))),
IF(AND($AA11-$Z$4 &gt;= AM$5,$AA11 &lt; AM$4),0,
SUM(_xlfn._xlws.FILTER(Table_BangLuong_TyLeTangCa[Tỷ lệ],
(Table_BangLuong_TyLeTangCa[Ngày] = AM$3) *
(Table_BangLuong_TyLeTangCa[Giờ min]&lt;=$AA11) *
(Table_BangLuong_TyLeTangCa[Giờ max]&gt;$AA11)
))))
),
IF(ISBLANK(AM$7),
IF(VLOOKUP(AM$6, Table_ChiPhiNV_Ca[], COUNTA(Table_ChiPhiNV_Ca[[#Headers],[Ca]:[Kết thúc]]),0)&gt; VLOOKUP(AM$6, Table_ChiPhiNV_Ca[], COUNTA(Table_ChiPhiNV_Ca[[#Headers],[Ca]:[Bắt đầu]]),0),
IF($AA11-$Z$4&lt;MAX(AM$4,VLOOKUP(AM$6, Table_ChiPhiNV_Ca[], COUNTA(Table_ChiPhiNV_Ca[[#Headers],[Ca]:[Bắt đầu]]),0)),0,
IF($AA11&gt;MIN(AM$5,VLOOKUP(AM$6, Table_ChiPhiNV_Ca[], COUNTA(Table_ChiPhiNV_Ca[[#Headers],[Ca]:[Kết thúc]]),0)),0,
SUM(_xlfn._xlws.FILTER(Table_BangLuong_TyLeTangCa[Tỷ lệ],
(Table_BangLuong_TyLeTangCa[Ngày] = "Thường") *
(Table_BangLuong_TyLeTangCa[Giờ min]&lt;=$AA11) *
(Table_BangLuong_TyLeTangCa[Giờ max]&gt;$AA11)
)))),
IF(AM$4 &gt; AM$5,
IF(
AND(
$AA11-$Z$4&lt;MAX(AM$4,VLOOKUP(AM$6, Table_ChiPhiNV_Ca[], COUNTA(Table_ChiPhiNV_Ca[[#Headers],[Ca]:[Bắt đầu]]),0)),
$AA11&gt;MIN(AM$5,VLOOKUP(AM$6, Table_ChiPhiNV_Ca[], COUNTA(Table_ChiPhiNV_Ca[[#Headers],[Ca]:[Kết thúc]]),0))),0,
SUM(_xlfn._xlws.FILTER(Table_BangLuong_TyLeTangCa[Tỷ lệ],
(Table_BangLuong_TyLeTangCa[Ngày] = "Thường") *
(Table_BangLuong_TyLeTangCa[Giờ min]&lt;=$AA11) *
(Table_BangLuong_TyLeTangCa[Giờ max]&gt;$AA11)
))),
IF(
AND(
$AA11-$Z$4&gt;=MAX(AM$4,VLOOKUP(AM$6, Table_ChiPhiNV_Ca[], COUNTA(Table_ChiPhiNV_Ca[[#Headers],[Ca]:[Bắt đầu]]),0)),
$AA11&lt;MIN(AM$5,VLOOKUP(AM$6, Table_ChiPhiNV_Ca[], COUNTA(Table_ChiPhiNV_Ca[[#Headers],[Ca]:[Kết thúc]]),0))),
SUM(_xlfn._xlws.FILTER(Table_BangLuong_TyLeTangCa[Tỷ lệ],
(Table_BangLuong_TyLeTangCa[Ngày] = "Thường") *
(Table_BangLuong_TyLeTangCa[Giờ min]&lt;=$AA11) *
(Table_BangLuong_TyLeTangCa[Giờ max]&gt;$AA11)
)),0)
)),
IF(AM$4 &lt; AM$5,
IF($AA11-$Z$4&lt;AM$4,0,
IF($AA11&gt;AM$5,0,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AM$5,$AA11 &lt; AM$4),0,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N11" s="18" cm="1">
        <f t="array" ref="AN11" xml:space="preserve">
IFERROR(
IF(AN$1="",0,
IF(AND(
$AA11&gt;=VLOOKUP(AN$6, Table_ChiPhiNV_Ca[], COUNTA(Table_ChiPhiNV_Ca[[#Headers],[Ca]:[Bắt đầu nghỉ]]),0),
$AA11&lt;VLOOKUP(AN$6, Table_ChiPhiNV_Ca[], COUNTA(Table_ChiPhiNV_Ca[[#Headers],[Ca]:[Kết thúc nghỉ]]),0)
),0,
IF(NOT(ISBLANK(AN$3)),
IF(ISBLANK(AN$7),0,
IF(AN$4 &lt; AN$5,
IF($AA11-$Z$4&lt;AN$4,0,
IF($AA11&gt;AN$5,0,
SUM(_xlfn._xlws.FILTER(Table_BangLuong_TyLeTangCa[Tỷ lệ],
(Table_BangLuong_TyLeTangCa[Ngày] = AN$3) *
(Table_BangLuong_TyLeTangCa[Giờ min]&lt;=$AA11) *
(Table_BangLuong_TyLeTangCa[Giờ max]&gt;$AA11)
)))),
IF(AND($AA11-$Z$4 &gt;= AN$5,$AA11 &lt; AN$4),0,
SUM(_xlfn._xlws.FILTER(Table_BangLuong_TyLeTangCa[Tỷ lệ],
(Table_BangLuong_TyLeTangCa[Ngày] = AN$3) *
(Table_BangLuong_TyLeTangCa[Giờ min]&lt;=$AA11) *
(Table_BangLuong_TyLeTangCa[Giờ max]&gt;$AA11)
))))
),
IF(ISBLANK(AN$7),
IF(VLOOKUP(AN$6, Table_ChiPhiNV_Ca[], COUNTA(Table_ChiPhiNV_Ca[[#Headers],[Ca]:[Kết thúc]]),0)&gt; VLOOKUP(AN$6, Table_ChiPhiNV_Ca[], COUNTA(Table_ChiPhiNV_Ca[[#Headers],[Ca]:[Bắt đầu]]),0),
IF($AA11-$Z$4&lt;MAX(AN$4,VLOOKUP(AN$6, Table_ChiPhiNV_Ca[], COUNTA(Table_ChiPhiNV_Ca[[#Headers],[Ca]:[Bắt đầu]]),0)),0,
IF($AA11&gt;MIN(AN$5,VLOOKUP(AN$6, Table_ChiPhiNV_Ca[], COUNTA(Table_ChiPhiNV_Ca[[#Headers],[Ca]:[Kết thúc]]),0)),0,
SUM(_xlfn._xlws.FILTER(Table_BangLuong_TyLeTangCa[Tỷ lệ],
(Table_BangLuong_TyLeTangCa[Ngày] = "Thường") *
(Table_BangLuong_TyLeTangCa[Giờ min]&lt;=$AA11) *
(Table_BangLuong_TyLeTangCa[Giờ max]&gt;$AA11)
)))),
IF(AN$4 &gt; AN$5,
IF(
AND(
$AA11-$Z$4&lt;MAX(AN$4,VLOOKUP(AN$6, Table_ChiPhiNV_Ca[], COUNTA(Table_ChiPhiNV_Ca[[#Headers],[Ca]:[Bắt đầu]]),0)),
$AA11&gt;MIN(AN$5,VLOOKUP(AN$6, Table_ChiPhiNV_Ca[], COUNTA(Table_ChiPhiNV_Ca[[#Headers],[Ca]:[Kết thúc]]),0))),0,
SUM(_xlfn._xlws.FILTER(Table_BangLuong_TyLeTangCa[Tỷ lệ],
(Table_BangLuong_TyLeTangCa[Ngày] = "Thường") *
(Table_BangLuong_TyLeTangCa[Giờ min]&lt;=$AA11) *
(Table_BangLuong_TyLeTangCa[Giờ max]&gt;$AA11)
))),
IF(
AND(
$AA11-$Z$4&gt;=MAX(AN$4,VLOOKUP(AN$6, Table_ChiPhiNV_Ca[], COUNTA(Table_ChiPhiNV_Ca[[#Headers],[Ca]:[Bắt đầu]]),0)),
$AA11&lt;MIN(AN$5,VLOOKUP(AN$6, Table_ChiPhiNV_Ca[], COUNTA(Table_ChiPhiNV_Ca[[#Headers],[Ca]:[Kết thúc]]),0))),
SUM(_xlfn._xlws.FILTER(Table_BangLuong_TyLeTangCa[Tỷ lệ],
(Table_BangLuong_TyLeTangCa[Ngày] = "Thường") *
(Table_BangLuong_TyLeTangCa[Giờ min]&lt;=$AA11) *
(Table_BangLuong_TyLeTangCa[Giờ max]&gt;$AA11)
)),0)
)),
IF(AN$4 &lt; AN$5,
IF($AA11-$Z$4&lt;AN$4,0,
IF($AA11&gt;AN$5,0,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AN$5,$AA11 &lt; AN$4),0,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O11" s="18" cm="1">
        <f t="array" ref="AO11" xml:space="preserve">
IFERROR(
IF(AO$1="",0,
IF(AND(
$AA11&gt;=VLOOKUP(AO$6, Table_ChiPhiNV_Ca[], COUNTA(Table_ChiPhiNV_Ca[[#Headers],[Ca]:[Bắt đầu nghỉ]]),0),
$AA11&lt;VLOOKUP(AO$6, Table_ChiPhiNV_Ca[], COUNTA(Table_ChiPhiNV_Ca[[#Headers],[Ca]:[Kết thúc nghỉ]]),0)
),0,
IF(NOT(ISBLANK(AO$3)),
IF(ISBLANK(AO$7),0,
IF(AO$4 &lt; AO$5,
IF($AA11-$Z$4&lt;AO$4,0,
IF($AA11&gt;AO$5,0,
SUM(_xlfn._xlws.FILTER(Table_BangLuong_TyLeTangCa[Tỷ lệ],
(Table_BangLuong_TyLeTangCa[Ngày] = AO$3) *
(Table_BangLuong_TyLeTangCa[Giờ min]&lt;=$AA11) *
(Table_BangLuong_TyLeTangCa[Giờ max]&gt;$AA11)
)))),
IF(AND($AA11-$Z$4 &gt;= AO$5,$AA11 &lt; AO$4),0,
SUM(_xlfn._xlws.FILTER(Table_BangLuong_TyLeTangCa[Tỷ lệ],
(Table_BangLuong_TyLeTangCa[Ngày] = AO$3) *
(Table_BangLuong_TyLeTangCa[Giờ min]&lt;=$AA11) *
(Table_BangLuong_TyLeTangCa[Giờ max]&gt;$AA11)
))))
),
IF(ISBLANK(AO$7),
IF(VLOOKUP(AO$6, Table_ChiPhiNV_Ca[], COUNTA(Table_ChiPhiNV_Ca[[#Headers],[Ca]:[Kết thúc]]),0)&gt; VLOOKUP(AO$6, Table_ChiPhiNV_Ca[], COUNTA(Table_ChiPhiNV_Ca[[#Headers],[Ca]:[Bắt đầu]]),0),
IF($AA11-$Z$4&lt;MAX(AO$4,VLOOKUP(AO$6, Table_ChiPhiNV_Ca[], COUNTA(Table_ChiPhiNV_Ca[[#Headers],[Ca]:[Bắt đầu]]),0)),0,
IF($AA11&gt;MIN(AO$5,VLOOKUP(AO$6, Table_ChiPhiNV_Ca[], COUNTA(Table_ChiPhiNV_Ca[[#Headers],[Ca]:[Kết thúc]]),0)),0,
SUM(_xlfn._xlws.FILTER(Table_BangLuong_TyLeTangCa[Tỷ lệ],
(Table_BangLuong_TyLeTangCa[Ngày] = "Thường") *
(Table_BangLuong_TyLeTangCa[Giờ min]&lt;=$AA11) *
(Table_BangLuong_TyLeTangCa[Giờ max]&gt;$AA11)
)))),
IF(AO$4 &gt; AO$5,
IF(
AND(
$AA11-$Z$4&lt;MAX(AO$4,VLOOKUP(AO$6, Table_ChiPhiNV_Ca[], COUNTA(Table_ChiPhiNV_Ca[[#Headers],[Ca]:[Bắt đầu]]),0)),
$AA11&gt;MIN(AO$5,VLOOKUP(AO$6, Table_ChiPhiNV_Ca[], COUNTA(Table_ChiPhiNV_Ca[[#Headers],[Ca]:[Kết thúc]]),0))),0,
SUM(_xlfn._xlws.FILTER(Table_BangLuong_TyLeTangCa[Tỷ lệ],
(Table_BangLuong_TyLeTangCa[Ngày] = "Thường") *
(Table_BangLuong_TyLeTangCa[Giờ min]&lt;=$AA11) *
(Table_BangLuong_TyLeTangCa[Giờ max]&gt;$AA11)
))),
IF(
AND(
$AA11-$Z$4&gt;=MAX(AO$4,VLOOKUP(AO$6, Table_ChiPhiNV_Ca[], COUNTA(Table_ChiPhiNV_Ca[[#Headers],[Ca]:[Bắt đầu]]),0)),
$AA11&lt;MIN(AO$5,VLOOKUP(AO$6, Table_ChiPhiNV_Ca[], COUNTA(Table_ChiPhiNV_Ca[[#Headers],[Ca]:[Kết thúc]]),0))),
SUM(_xlfn._xlws.FILTER(Table_BangLuong_TyLeTangCa[Tỷ lệ],
(Table_BangLuong_TyLeTangCa[Ngày] = "Thường") *
(Table_BangLuong_TyLeTangCa[Giờ min]&lt;=$AA11) *
(Table_BangLuong_TyLeTangCa[Giờ max]&gt;$AA11)
)),0)
)),
IF(AO$4 &lt; AO$5,
IF($AA11-$Z$4&lt;AO$4,0,
IF($AA11&gt;AO$5,0,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AO$5,$AA11 &lt; AO$4),0,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P11" s="18" cm="1">
        <f t="array" ref="AP11" xml:space="preserve">
IFERROR(
IF(AP$1="",0,
IF(AND(
$AA11&gt;=VLOOKUP(AP$6, Table_ChiPhiNV_Ca[], COUNTA(Table_ChiPhiNV_Ca[[#Headers],[Ca]:[Bắt đầu nghỉ]]),0),
$AA11&lt;VLOOKUP(AP$6, Table_ChiPhiNV_Ca[], COUNTA(Table_ChiPhiNV_Ca[[#Headers],[Ca]:[Kết thúc nghỉ]]),0)
),0,
IF(NOT(ISBLANK(AP$3)),
IF(ISBLANK(AP$7),0,
IF(AP$4 &lt; AP$5,
IF($AA11-$Z$4&lt;AP$4,0,
IF($AA11&gt;AP$5,0,
SUM(_xlfn._xlws.FILTER(Table_BangLuong_TyLeTangCa[Tỷ lệ],
(Table_BangLuong_TyLeTangCa[Ngày] = AP$3) *
(Table_BangLuong_TyLeTangCa[Giờ min]&lt;=$AA11) *
(Table_BangLuong_TyLeTangCa[Giờ max]&gt;$AA11)
)))),
IF(AND($AA11-$Z$4 &gt;= AP$5,$AA11 &lt; AP$4),0,
SUM(_xlfn._xlws.FILTER(Table_BangLuong_TyLeTangCa[Tỷ lệ],
(Table_BangLuong_TyLeTangCa[Ngày] = AP$3) *
(Table_BangLuong_TyLeTangCa[Giờ min]&lt;=$AA11) *
(Table_BangLuong_TyLeTangCa[Giờ max]&gt;$AA11)
))))
),
IF(ISBLANK(AP$7),
IF(VLOOKUP(AP$6, Table_ChiPhiNV_Ca[], COUNTA(Table_ChiPhiNV_Ca[[#Headers],[Ca]:[Kết thúc]]),0)&gt; VLOOKUP(AP$6, Table_ChiPhiNV_Ca[], COUNTA(Table_ChiPhiNV_Ca[[#Headers],[Ca]:[Bắt đầu]]),0),
IF($AA11-$Z$4&lt;MAX(AP$4,VLOOKUP(AP$6, Table_ChiPhiNV_Ca[], COUNTA(Table_ChiPhiNV_Ca[[#Headers],[Ca]:[Bắt đầu]]),0)),0,
IF($AA11&gt;MIN(AP$5,VLOOKUP(AP$6, Table_ChiPhiNV_Ca[], COUNTA(Table_ChiPhiNV_Ca[[#Headers],[Ca]:[Kết thúc]]),0)),0,
SUM(_xlfn._xlws.FILTER(Table_BangLuong_TyLeTangCa[Tỷ lệ],
(Table_BangLuong_TyLeTangCa[Ngày] = "Thường") *
(Table_BangLuong_TyLeTangCa[Giờ min]&lt;=$AA11) *
(Table_BangLuong_TyLeTangCa[Giờ max]&gt;$AA11)
)))),
IF(AP$4 &gt; AP$5,
IF(
AND(
$AA11-$Z$4&lt;MAX(AP$4,VLOOKUP(AP$6, Table_ChiPhiNV_Ca[], COUNTA(Table_ChiPhiNV_Ca[[#Headers],[Ca]:[Bắt đầu]]),0)),
$AA11&gt;MIN(AP$5,VLOOKUP(AP$6, Table_ChiPhiNV_Ca[], COUNTA(Table_ChiPhiNV_Ca[[#Headers],[Ca]:[Kết thúc]]),0))),0,
SUM(_xlfn._xlws.FILTER(Table_BangLuong_TyLeTangCa[Tỷ lệ],
(Table_BangLuong_TyLeTangCa[Ngày] = "Thường") *
(Table_BangLuong_TyLeTangCa[Giờ min]&lt;=$AA11) *
(Table_BangLuong_TyLeTangCa[Giờ max]&gt;$AA11)
))),
IF(
AND(
$AA11-$Z$4&gt;=MAX(AP$4,VLOOKUP(AP$6, Table_ChiPhiNV_Ca[], COUNTA(Table_ChiPhiNV_Ca[[#Headers],[Ca]:[Bắt đầu]]),0)),
$AA11&lt;MIN(AP$5,VLOOKUP(AP$6, Table_ChiPhiNV_Ca[], COUNTA(Table_ChiPhiNV_Ca[[#Headers],[Ca]:[Kết thúc]]),0))),
SUM(_xlfn._xlws.FILTER(Table_BangLuong_TyLeTangCa[Tỷ lệ],
(Table_BangLuong_TyLeTangCa[Ngày] = "Thường") *
(Table_BangLuong_TyLeTangCa[Giờ min]&lt;=$AA11) *
(Table_BangLuong_TyLeTangCa[Giờ max]&gt;$AA11)
)),0)
)),
IF(AP$4 &lt; AP$5,
IF($AA11-$Z$4&lt;AP$4,0,
IF($AA11&gt;AP$5,0,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AP$5,$AA11 &lt; AP$4),0,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Q11" s="18" cm="1">
        <f t="array" ref="AQ11" xml:space="preserve">
IFERROR(
IF(AQ$1="",0,
IF(AND(
$AA11&gt;=VLOOKUP(AQ$6, Table_ChiPhiNV_Ca[], COUNTA(Table_ChiPhiNV_Ca[[#Headers],[Ca]:[Bắt đầu nghỉ]]),0),
$AA11&lt;VLOOKUP(AQ$6, Table_ChiPhiNV_Ca[], COUNTA(Table_ChiPhiNV_Ca[[#Headers],[Ca]:[Kết thúc nghỉ]]),0)
),0,
IF(NOT(ISBLANK(AQ$3)),
IF(ISBLANK(AQ$7),0,
IF(AQ$4 &lt; AQ$5,
IF($AA11-$Z$4&lt;AQ$4,0,
IF($AA11&gt;AQ$5,0,
SUM(_xlfn._xlws.FILTER(Table_BangLuong_TyLeTangCa[Tỷ lệ],
(Table_BangLuong_TyLeTangCa[Ngày] = AQ$3) *
(Table_BangLuong_TyLeTangCa[Giờ min]&lt;=$AA11) *
(Table_BangLuong_TyLeTangCa[Giờ max]&gt;$AA11)
)))),
IF(AND($AA11-$Z$4 &gt;= AQ$5,$AA11 &lt; AQ$4),0,
SUM(_xlfn._xlws.FILTER(Table_BangLuong_TyLeTangCa[Tỷ lệ],
(Table_BangLuong_TyLeTangCa[Ngày] = AQ$3) *
(Table_BangLuong_TyLeTangCa[Giờ min]&lt;=$AA11) *
(Table_BangLuong_TyLeTangCa[Giờ max]&gt;$AA11)
))))
),
IF(ISBLANK(AQ$7),
IF(VLOOKUP(AQ$6, Table_ChiPhiNV_Ca[], COUNTA(Table_ChiPhiNV_Ca[[#Headers],[Ca]:[Kết thúc]]),0)&gt; VLOOKUP(AQ$6, Table_ChiPhiNV_Ca[], COUNTA(Table_ChiPhiNV_Ca[[#Headers],[Ca]:[Bắt đầu]]),0),
IF($AA11-$Z$4&lt;MAX(AQ$4,VLOOKUP(AQ$6, Table_ChiPhiNV_Ca[], COUNTA(Table_ChiPhiNV_Ca[[#Headers],[Ca]:[Bắt đầu]]),0)),0,
IF($AA11&gt;MIN(AQ$5,VLOOKUP(AQ$6, Table_ChiPhiNV_Ca[], COUNTA(Table_ChiPhiNV_Ca[[#Headers],[Ca]:[Kết thúc]]),0)),0,
SUM(_xlfn._xlws.FILTER(Table_BangLuong_TyLeTangCa[Tỷ lệ],
(Table_BangLuong_TyLeTangCa[Ngày] = "Thường") *
(Table_BangLuong_TyLeTangCa[Giờ min]&lt;=$AA11) *
(Table_BangLuong_TyLeTangCa[Giờ max]&gt;$AA11)
)))),
IF(AQ$4 &gt; AQ$5,
IF(
AND(
$AA11-$Z$4&lt;MAX(AQ$4,VLOOKUP(AQ$6, Table_ChiPhiNV_Ca[], COUNTA(Table_ChiPhiNV_Ca[[#Headers],[Ca]:[Bắt đầu]]),0)),
$AA11&gt;MIN(AQ$5,VLOOKUP(AQ$6, Table_ChiPhiNV_Ca[], COUNTA(Table_ChiPhiNV_Ca[[#Headers],[Ca]:[Kết thúc]]),0))),0,
SUM(_xlfn._xlws.FILTER(Table_BangLuong_TyLeTangCa[Tỷ lệ],
(Table_BangLuong_TyLeTangCa[Ngày] = "Thường") *
(Table_BangLuong_TyLeTangCa[Giờ min]&lt;=$AA11) *
(Table_BangLuong_TyLeTangCa[Giờ max]&gt;$AA11)
))),
IF(
AND(
$AA11-$Z$4&gt;=MAX(AQ$4,VLOOKUP(AQ$6, Table_ChiPhiNV_Ca[], COUNTA(Table_ChiPhiNV_Ca[[#Headers],[Ca]:[Bắt đầu]]),0)),
$AA11&lt;MIN(AQ$5,VLOOKUP(AQ$6, Table_ChiPhiNV_Ca[], COUNTA(Table_ChiPhiNV_Ca[[#Headers],[Ca]:[Kết thúc]]),0))),
SUM(_xlfn._xlws.FILTER(Table_BangLuong_TyLeTangCa[Tỷ lệ],
(Table_BangLuong_TyLeTangCa[Ngày] = "Thường") *
(Table_BangLuong_TyLeTangCa[Giờ min]&lt;=$AA11) *
(Table_BangLuong_TyLeTangCa[Giờ max]&gt;$AA11)
)),0)
)),
IF(AQ$4 &lt; AQ$5,
IF($AA11-$Z$4&lt;AQ$4,0,
IF($AA11&gt;AQ$5,0,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AQ$5,$AA11 &lt; AQ$4),0,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R11" s="18" cm="1">
        <f t="array" ref="AR11" xml:space="preserve">
IFERROR(
IF(AR$1="",0,
IF(AND(
$AA11&gt;=VLOOKUP(AR$6, Table_ChiPhiNV_Ca[], COUNTA(Table_ChiPhiNV_Ca[[#Headers],[Ca]:[Bắt đầu nghỉ]]),0),
$AA11&lt;VLOOKUP(AR$6, Table_ChiPhiNV_Ca[], COUNTA(Table_ChiPhiNV_Ca[[#Headers],[Ca]:[Kết thúc nghỉ]]),0)
),0,
IF(NOT(ISBLANK(AR$3)),
IF(ISBLANK(AR$7),0,
IF(AR$4 &lt; AR$5,
IF($AA11-$Z$4&lt;AR$4,0,
IF($AA11&gt;AR$5,0,
SUM(_xlfn._xlws.FILTER(Table_BangLuong_TyLeTangCa[Tỷ lệ],
(Table_BangLuong_TyLeTangCa[Ngày] = AR$3) *
(Table_BangLuong_TyLeTangCa[Giờ min]&lt;=$AA11) *
(Table_BangLuong_TyLeTangCa[Giờ max]&gt;$AA11)
)))),
IF(AND($AA11-$Z$4 &gt;= AR$5,$AA11 &lt; AR$4),0,
SUM(_xlfn._xlws.FILTER(Table_BangLuong_TyLeTangCa[Tỷ lệ],
(Table_BangLuong_TyLeTangCa[Ngày] = AR$3) *
(Table_BangLuong_TyLeTangCa[Giờ min]&lt;=$AA11) *
(Table_BangLuong_TyLeTangCa[Giờ max]&gt;$AA11)
))))
),
IF(ISBLANK(AR$7),
IF(VLOOKUP(AR$6, Table_ChiPhiNV_Ca[], COUNTA(Table_ChiPhiNV_Ca[[#Headers],[Ca]:[Kết thúc]]),0)&gt; VLOOKUP(AR$6, Table_ChiPhiNV_Ca[], COUNTA(Table_ChiPhiNV_Ca[[#Headers],[Ca]:[Bắt đầu]]),0),
IF($AA11-$Z$4&lt;MAX(AR$4,VLOOKUP(AR$6, Table_ChiPhiNV_Ca[], COUNTA(Table_ChiPhiNV_Ca[[#Headers],[Ca]:[Bắt đầu]]),0)),0,
IF($AA11&gt;MIN(AR$5,VLOOKUP(AR$6, Table_ChiPhiNV_Ca[], COUNTA(Table_ChiPhiNV_Ca[[#Headers],[Ca]:[Kết thúc]]),0)),0,
SUM(_xlfn._xlws.FILTER(Table_BangLuong_TyLeTangCa[Tỷ lệ],
(Table_BangLuong_TyLeTangCa[Ngày] = "Thường") *
(Table_BangLuong_TyLeTangCa[Giờ min]&lt;=$AA11) *
(Table_BangLuong_TyLeTangCa[Giờ max]&gt;$AA11)
)))),
IF(AR$4 &gt; AR$5,
IF(
AND(
$AA11-$Z$4&lt;MAX(AR$4,VLOOKUP(AR$6, Table_ChiPhiNV_Ca[], COUNTA(Table_ChiPhiNV_Ca[[#Headers],[Ca]:[Bắt đầu]]),0)),
$AA11&gt;MIN(AR$5,VLOOKUP(AR$6, Table_ChiPhiNV_Ca[], COUNTA(Table_ChiPhiNV_Ca[[#Headers],[Ca]:[Kết thúc]]),0))),0,
SUM(_xlfn._xlws.FILTER(Table_BangLuong_TyLeTangCa[Tỷ lệ],
(Table_BangLuong_TyLeTangCa[Ngày] = "Thường") *
(Table_BangLuong_TyLeTangCa[Giờ min]&lt;=$AA11) *
(Table_BangLuong_TyLeTangCa[Giờ max]&gt;$AA11)
))),
IF(
AND(
$AA11-$Z$4&gt;=MAX(AR$4,VLOOKUP(AR$6, Table_ChiPhiNV_Ca[], COUNTA(Table_ChiPhiNV_Ca[[#Headers],[Ca]:[Bắt đầu]]),0)),
$AA11&lt;MIN(AR$5,VLOOKUP(AR$6, Table_ChiPhiNV_Ca[], COUNTA(Table_ChiPhiNV_Ca[[#Headers],[Ca]:[Kết thúc]]),0))),
SUM(_xlfn._xlws.FILTER(Table_BangLuong_TyLeTangCa[Tỷ lệ],
(Table_BangLuong_TyLeTangCa[Ngày] = "Thường") *
(Table_BangLuong_TyLeTangCa[Giờ min]&lt;=$AA11) *
(Table_BangLuong_TyLeTangCa[Giờ max]&gt;$AA11)
)),0)
)),
IF(AR$4 &lt; AR$5,
IF($AA11-$Z$4&lt;AR$4,0,
IF($AA11&gt;AR$5,0,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AR$5,$AA11 &lt; AR$4),0,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S11" s="18" cm="1">
        <f t="array" ref="AS11" xml:space="preserve">
IFERROR(
IF(AS$1="",0,
IF(AND(
$AA11&gt;=VLOOKUP(AS$6, Table_ChiPhiNV_Ca[], COUNTA(Table_ChiPhiNV_Ca[[#Headers],[Ca]:[Bắt đầu nghỉ]]),0),
$AA11&lt;VLOOKUP(AS$6, Table_ChiPhiNV_Ca[], COUNTA(Table_ChiPhiNV_Ca[[#Headers],[Ca]:[Kết thúc nghỉ]]),0)
),0,
IF(NOT(ISBLANK(AS$3)),
IF(ISBLANK(AS$7),0,
IF(AS$4 &lt; AS$5,
IF($AA11-$Z$4&lt;AS$4,0,
IF($AA11&gt;AS$5,0,
SUM(_xlfn._xlws.FILTER(Table_BangLuong_TyLeTangCa[Tỷ lệ],
(Table_BangLuong_TyLeTangCa[Ngày] = AS$3) *
(Table_BangLuong_TyLeTangCa[Giờ min]&lt;=$AA11) *
(Table_BangLuong_TyLeTangCa[Giờ max]&gt;$AA11)
)))),
IF(AND($AA11-$Z$4 &gt;= AS$5,$AA11 &lt; AS$4),0,
SUM(_xlfn._xlws.FILTER(Table_BangLuong_TyLeTangCa[Tỷ lệ],
(Table_BangLuong_TyLeTangCa[Ngày] = AS$3) *
(Table_BangLuong_TyLeTangCa[Giờ min]&lt;=$AA11) *
(Table_BangLuong_TyLeTangCa[Giờ max]&gt;$AA11)
))))
),
IF(ISBLANK(AS$7),
IF(VLOOKUP(AS$6, Table_ChiPhiNV_Ca[], COUNTA(Table_ChiPhiNV_Ca[[#Headers],[Ca]:[Kết thúc]]),0)&gt; VLOOKUP(AS$6, Table_ChiPhiNV_Ca[], COUNTA(Table_ChiPhiNV_Ca[[#Headers],[Ca]:[Bắt đầu]]),0),
IF($AA11-$Z$4&lt;MAX(AS$4,VLOOKUP(AS$6, Table_ChiPhiNV_Ca[], COUNTA(Table_ChiPhiNV_Ca[[#Headers],[Ca]:[Bắt đầu]]),0)),0,
IF($AA11&gt;MIN(AS$5,VLOOKUP(AS$6, Table_ChiPhiNV_Ca[], COUNTA(Table_ChiPhiNV_Ca[[#Headers],[Ca]:[Kết thúc]]),0)),0,
SUM(_xlfn._xlws.FILTER(Table_BangLuong_TyLeTangCa[Tỷ lệ],
(Table_BangLuong_TyLeTangCa[Ngày] = "Thường") *
(Table_BangLuong_TyLeTangCa[Giờ min]&lt;=$AA11) *
(Table_BangLuong_TyLeTangCa[Giờ max]&gt;$AA11)
)))),
IF(AS$4 &gt; AS$5,
IF(
AND(
$AA11-$Z$4&lt;MAX(AS$4,VLOOKUP(AS$6, Table_ChiPhiNV_Ca[], COUNTA(Table_ChiPhiNV_Ca[[#Headers],[Ca]:[Bắt đầu]]),0)),
$AA11&gt;MIN(AS$5,VLOOKUP(AS$6, Table_ChiPhiNV_Ca[], COUNTA(Table_ChiPhiNV_Ca[[#Headers],[Ca]:[Kết thúc]]),0))),0,
SUM(_xlfn._xlws.FILTER(Table_BangLuong_TyLeTangCa[Tỷ lệ],
(Table_BangLuong_TyLeTangCa[Ngày] = "Thường") *
(Table_BangLuong_TyLeTangCa[Giờ min]&lt;=$AA11) *
(Table_BangLuong_TyLeTangCa[Giờ max]&gt;$AA11)
))),
IF(
AND(
$AA11-$Z$4&gt;=MAX(AS$4,VLOOKUP(AS$6, Table_ChiPhiNV_Ca[], COUNTA(Table_ChiPhiNV_Ca[[#Headers],[Ca]:[Bắt đầu]]),0)),
$AA11&lt;MIN(AS$5,VLOOKUP(AS$6, Table_ChiPhiNV_Ca[], COUNTA(Table_ChiPhiNV_Ca[[#Headers],[Ca]:[Kết thúc]]),0))),
SUM(_xlfn._xlws.FILTER(Table_BangLuong_TyLeTangCa[Tỷ lệ],
(Table_BangLuong_TyLeTangCa[Ngày] = "Thường") *
(Table_BangLuong_TyLeTangCa[Giờ min]&lt;=$AA11) *
(Table_BangLuong_TyLeTangCa[Giờ max]&gt;$AA11)
)),0)
)),
IF(AS$4 &lt; AS$5,
IF($AA11-$Z$4&lt;AS$4,0,
IF($AA11&gt;AS$5,0,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AS$5,$AA11 &lt; AS$4),0,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T11" s="18" cm="1">
        <f t="array" ref="AT11" xml:space="preserve">
IFERROR(
IF(AT$1="",0,
IF(AND(
$AA11&gt;=VLOOKUP(AT$6, Table_ChiPhiNV_Ca[], COUNTA(Table_ChiPhiNV_Ca[[#Headers],[Ca]:[Bắt đầu nghỉ]]),0),
$AA11&lt;VLOOKUP(AT$6, Table_ChiPhiNV_Ca[], COUNTA(Table_ChiPhiNV_Ca[[#Headers],[Ca]:[Kết thúc nghỉ]]),0)
),0,
IF(NOT(ISBLANK(AT$3)),
IF(ISBLANK(AT$7),0,
IF(AT$4 &lt; AT$5,
IF($AA11-$Z$4&lt;AT$4,0,
IF($AA11&gt;AT$5,0,
SUM(_xlfn._xlws.FILTER(Table_BangLuong_TyLeTangCa[Tỷ lệ],
(Table_BangLuong_TyLeTangCa[Ngày] = AT$3) *
(Table_BangLuong_TyLeTangCa[Giờ min]&lt;=$AA11) *
(Table_BangLuong_TyLeTangCa[Giờ max]&gt;$AA11)
)))),
IF(AND($AA11-$Z$4 &gt;= AT$5,$AA11 &lt; AT$4),0,
SUM(_xlfn._xlws.FILTER(Table_BangLuong_TyLeTangCa[Tỷ lệ],
(Table_BangLuong_TyLeTangCa[Ngày] = AT$3) *
(Table_BangLuong_TyLeTangCa[Giờ min]&lt;=$AA11) *
(Table_BangLuong_TyLeTangCa[Giờ max]&gt;$AA11)
))))
),
IF(ISBLANK(AT$7),
IF(VLOOKUP(AT$6, Table_ChiPhiNV_Ca[], COUNTA(Table_ChiPhiNV_Ca[[#Headers],[Ca]:[Kết thúc]]),0)&gt; VLOOKUP(AT$6, Table_ChiPhiNV_Ca[], COUNTA(Table_ChiPhiNV_Ca[[#Headers],[Ca]:[Bắt đầu]]),0),
IF($AA11-$Z$4&lt;MAX(AT$4,VLOOKUP(AT$6, Table_ChiPhiNV_Ca[], COUNTA(Table_ChiPhiNV_Ca[[#Headers],[Ca]:[Bắt đầu]]),0)),0,
IF($AA11&gt;MIN(AT$5,VLOOKUP(AT$6, Table_ChiPhiNV_Ca[], COUNTA(Table_ChiPhiNV_Ca[[#Headers],[Ca]:[Kết thúc]]),0)),0,
SUM(_xlfn._xlws.FILTER(Table_BangLuong_TyLeTangCa[Tỷ lệ],
(Table_BangLuong_TyLeTangCa[Ngày] = "Thường") *
(Table_BangLuong_TyLeTangCa[Giờ min]&lt;=$AA11) *
(Table_BangLuong_TyLeTangCa[Giờ max]&gt;$AA11)
)))),
IF(AT$4 &gt; AT$5,
IF(
AND(
$AA11-$Z$4&lt;MAX(AT$4,VLOOKUP(AT$6, Table_ChiPhiNV_Ca[], COUNTA(Table_ChiPhiNV_Ca[[#Headers],[Ca]:[Bắt đầu]]),0)),
$AA11&gt;MIN(AT$5,VLOOKUP(AT$6, Table_ChiPhiNV_Ca[], COUNTA(Table_ChiPhiNV_Ca[[#Headers],[Ca]:[Kết thúc]]),0))),0,
SUM(_xlfn._xlws.FILTER(Table_BangLuong_TyLeTangCa[Tỷ lệ],
(Table_BangLuong_TyLeTangCa[Ngày] = "Thường") *
(Table_BangLuong_TyLeTangCa[Giờ min]&lt;=$AA11) *
(Table_BangLuong_TyLeTangCa[Giờ max]&gt;$AA11)
))),
IF(
AND(
$AA11-$Z$4&gt;=MAX(AT$4,VLOOKUP(AT$6, Table_ChiPhiNV_Ca[], COUNTA(Table_ChiPhiNV_Ca[[#Headers],[Ca]:[Bắt đầu]]),0)),
$AA11&lt;MIN(AT$5,VLOOKUP(AT$6, Table_ChiPhiNV_Ca[], COUNTA(Table_ChiPhiNV_Ca[[#Headers],[Ca]:[Kết thúc]]),0))),
SUM(_xlfn._xlws.FILTER(Table_BangLuong_TyLeTangCa[Tỷ lệ],
(Table_BangLuong_TyLeTangCa[Ngày] = "Thường") *
(Table_BangLuong_TyLeTangCa[Giờ min]&lt;=$AA11) *
(Table_BangLuong_TyLeTangCa[Giờ max]&gt;$AA11)
)),0)
)),
IF(AT$4 &lt; AT$5,
IF($AA11-$Z$4&lt;AT$4,0,
IF($AA11&gt;AT$5,0,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AT$5,$AA11 &lt; AT$4),0,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U11" s="18" cm="1">
        <f t="array" ref="AU11" xml:space="preserve">
IFERROR(
IF(AU$1="",0,
IF(AND(
$AA11&gt;=VLOOKUP(AU$6, Table_ChiPhiNV_Ca[], COUNTA(Table_ChiPhiNV_Ca[[#Headers],[Ca]:[Bắt đầu nghỉ]]),0),
$AA11&lt;VLOOKUP(AU$6, Table_ChiPhiNV_Ca[], COUNTA(Table_ChiPhiNV_Ca[[#Headers],[Ca]:[Kết thúc nghỉ]]),0)
),0,
IF(NOT(ISBLANK(AU$3)),
IF(ISBLANK(AU$7),0,
IF(AU$4 &lt; AU$5,
IF($AA11-$Z$4&lt;AU$4,0,
IF($AA11&gt;AU$5,0,
SUM(_xlfn._xlws.FILTER(Table_BangLuong_TyLeTangCa[Tỷ lệ],
(Table_BangLuong_TyLeTangCa[Ngày] = AU$3) *
(Table_BangLuong_TyLeTangCa[Giờ min]&lt;=$AA11) *
(Table_BangLuong_TyLeTangCa[Giờ max]&gt;$AA11)
)))),
IF(AND($AA11-$Z$4 &gt;= AU$5,$AA11 &lt; AU$4),0,
SUM(_xlfn._xlws.FILTER(Table_BangLuong_TyLeTangCa[Tỷ lệ],
(Table_BangLuong_TyLeTangCa[Ngày] = AU$3) *
(Table_BangLuong_TyLeTangCa[Giờ min]&lt;=$AA11) *
(Table_BangLuong_TyLeTangCa[Giờ max]&gt;$AA11)
))))
),
IF(ISBLANK(AU$7),
IF(VLOOKUP(AU$6, Table_ChiPhiNV_Ca[], COUNTA(Table_ChiPhiNV_Ca[[#Headers],[Ca]:[Kết thúc]]),0)&gt; VLOOKUP(AU$6, Table_ChiPhiNV_Ca[], COUNTA(Table_ChiPhiNV_Ca[[#Headers],[Ca]:[Bắt đầu]]),0),
IF($AA11-$Z$4&lt;MAX(AU$4,VLOOKUP(AU$6, Table_ChiPhiNV_Ca[], COUNTA(Table_ChiPhiNV_Ca[[#Headers],[Ca]:[Bắt đầu]]),0)),0,
IF($AA11&gt;MIN(AU$5,VLOOKUP(AU$6, Table_ChiPhiNV_Ca[], COUNTA(Table_ChiPhiNV_Ca[[#Headers],[Ca]:[Kết thúc]]),0)),0,
SUM(_xlfn._xlws.FILTER(Table_BangLuong_TyLeTangCa[Tỷ lệ],
(Table_BangLuong_TyLeTangCa[Ngày] = "Thường") *
(Table_BangLuong_TyLeTangCa[Giờ min]&lt;=$AA11) *
(Table_BangLuong_TyLeTangCa[Giờ max]&gt;$AA11)
)))),
IF(AU$4 &gt; AU$5,
IF(
AND(
$AA11-$Z$4&lt;MAX(AU$4,VLOOKUP(AU$6, Table_ChiPhiNV_Ca[], COUNTA(Table_ChiPhiNV_Ca[[#Headers],[Ca]:[Bắt đầu]]),0)),
$AA11&gt;MIN(AU$5,VLOOKUP(AU$6, Table_ChiPhiNV_Ca[], COUNTA(Table_ChiPhiNV_Ca[[#Headers],[Ca]:[Kết thúc]]),0))),0,
SUM(_xlfn._xlws.FILTER(Table_BangLuong_TyLeTangCa[Tỷ lệ],
(Table_BangLuong_TyLeTangCa[Ngày] = "Thường") *
(Table_BangLuong_TyLeTangCa[Giờ min]&lt;=$AA11) *
(Table_BangLuong_TyLeTangCa[Giờ max]&gt;$AA11)
))),
IF(
AND(
$AA11-$Z$4&gt;=MAX(AU$4,VLOOKUP(AU$6, Table_ChiPhiNV_Ca[], COUNTA(Table_ChiPhiNV_Ca[[#Headers],[Ca]:[Bắt đầu]]),0)),
$AA11&lt;MIN(AU$5,VLOOKUP(AU$6, Table_ChiPhiNV_Ca[], COUNTA(Table_ChiPhiNV_Ca[[#Headers],[Ca]:[Kết thúc]]),0))),
SUM(_xlfn._xlws.FILTER(Table_BangLuong_TyLeTangCa[Tỷ lệ],
(Table_BangLuong_TyLeTangCa[Ngày] = "Thường") *
(Table_BangLuong_TyLeTangCa[Giờ min]&lt;=$AA11) *
(Table_BangLuong_TyLeTangCa[Giờ max]&gt;$AA11)
)),0)
)),
IF(AU$4 &lt; AU$5,
IF($AA11-$Z$4&lt;AU$4,0,
IF($AA11&gt;AU$5,0,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AU$5,$AA11 &lt; AU$4),0,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V11" s="18" cm="1">
        <f t="array" ref="AV11" xml:space="preserve">
IFERROR(
IF(AV$1="",0,
IF(AND(
$AA11&gt;=VLOOKUP(AV$6, Table_ChiPhiNV_Ca[], COUNTA(Table_ChiPhiNV_Ca[[#Headers],[Ca]:[Bắt đầu nghỉ]]),0),
$AA11&lt;VLOOKUP(AV$6, Table_ChiPhiNV_Ca[], COUNTA(Table_ChiPhiNV_Ca[[#Headers],[Ca]:[Kết thúc nghỉ]]),0)
),0,
IF(NOT(ISBLANK(AV$3)),
IF(ISBLANK(AV$7),0,
IF(AV$4 &lt; AV$5,
IF($AA11-$Z$4&lt;AV$4,0,
IF($AA11&gt;AV$5,0,
SUM(_xlfn._xlws.FILTER(Table_BangLuong_TyLeTangCa[Tỷ lệ],
(Table_BangLuong_TyLeTangCa[Ngày] = AV$3) *
(Table_BangLuong_TyLeTangCa[Giờ min]&lt;=$AA11) *
(Table_BangLuong_TyLeTangCa[Giờ max]&gt;$AA11)
)))),
IF(AND($AA11-$Z$4 &gt;= AV$5,$AA11 &lt; AV$4),0,
SUM(_xlfn._xlws.FILTER(Table_BangLuong_TyLeTangCa[Tỷ lệ],
(Table_BangLuong_TyLeTangCa[Ngày] = AV$3) *
(Table_BangLuong_TyLeTangCa[Giờ min]&lt;=$AA11) *
(Table_BangLuong_TyLeTangCa[Giờ max]&gt;$AA11)
))))
),
IF(ISBLANK(AV$7),
IF(VLOOKUP(AV$6, Table_ChiPhiNV_Ca[], COUNTA(Table_ChiPhiNV_Ca[[#Headers],[Ca]:[Kết thúc]]),0)&gt; VLOOKUP(AV$6, Table_ChiPhiNV_Ca[], COUNTA(Table_ChiPhiNV_Ca[[#Headers],[Ca]:[Bắt đầu]]),0),
IF($AA11-$Z$4&lt;MAX(AV$4,VLOOKUP(AV$6, Table_ChiPhiNV_Ca[], COUNTA(Table_ChiPhiNV_Ca[[#Headers],[Ca]:[Bắt đầu]]),0)),0,
IF($AA11&gt;MIN(AV$5,VLOOKUP(AV$6, Table_ChiPhiNV_Ca[], COUNTA(Table_ChiPhiNV_Ca[[#Headers],[Ca]:[Kết thúc]]),0)),0,
SUM(_xlfn._xlws.FILTER(Table_BangLuong_TyLeTangCa[Tỷ lệ],
(Table_BangLuong_TyLeTangCa[Ngày] = "Thường") *
(Table_BangLuong_TyLeTangCa[Giờ min]&lt;=$AA11) *
(Table_BangLuong_TyLeTangCa[Giờ max]&gt;$AA11)
)))),
IF(AV$4 &gt; AV$5,
IF(
AND(
$AA11-$Z$4&lt;MAX(AV$4,VLOOKUP(AV$6, Table_ChiPhiNV_Ca[], COUNTA(Table_ChiPhiNV_Ca[[#Headers],[Ca]:[Bắt đầu]]),0)),
$AA11&gt;MIN(AV$5,VLOOKUP(AV$6, Table_ChiPhiNV_Ca[], COUNTA(Table_ChiPhiNV_Ca[[#Headers],[Ca]:[Kết thúc]]),0))),0,
SUM(_xlfn._xlws.FILTER(Table_BangLuong_TyLeTangCa[Tỷ lệ],
(Table_BangLuong_TyLeTangCa[Ngày] = "Thường") *
(Table_BangLuong_TyLeTangCa[Giờ min]&lt;=$AA11) *
(Table_BangLuong_TyLeTangCa[Giờ max]&gt;$AA11)
))),
IF(
AND(
$AA11-$Z$4&gt;=MAX(AV$4,VLOOKUP(AV$6, Table_ChiPhiNV_Ca[], COUNTA(Table_ChiPhiNV_Ca[[#Headers],[Ca]:[Bắt đầu]]),0)),
$AA11&lt;MIN(AV$5,VLOOKUP(AV$6, Table_ChiPhiNV_Ca[], COUNTA(Table_ChiPhiNV_Ca[[#Headers],[Ca]:[Kết thúc]]),0))),
SUM(_xlfn._xlws.FILTER(Table_BangLuong_TyLeTangCa[Tỷ lệ],
(Table_BangLuong_TyLeTangCa[Ngày] = "Thường") *
(Table_BangLuong_TyLeTangCa[Giờ min]&lt;=$AA11) *
(Table_BangLuong_TyLeTangCa[Giờ max]&gt;$AA11)
)),0)
)),
IF(AV$4 &lt; AV$5,
IF($AA11-$Z$4&lt;AV$4,0,
IF($AA11&gt;AV$5,0,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AV$5,$AA11 &lt; AV$4),0,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W11" s="18" cm="1">
        <f t="array" ref="AW11" xml:space="preserve">
IFERROR(
IF(AW$1="",0,
IF(AND(
$AA11&gt;=VLOOKUP(AW$6, Table_ChiPhiNV_Ca[], COUNTA(Table_ChiPhiNV_Ca[[#Headers],[Ca]:[Bắt đầu nghỉ]]),0),
$AA11&lt;VLOOKUP(AW$6, Table_ChiPhiNV_Ca[], COUNTA(Table_ChiPhiNV_Ca[[#Headers],[Ca]:[Kết thúc nghỉ]]),0)
),0,
IF(NOT(ISBLANK(AW$3)),
IF(ISBLANK(AW$7),0,
IF(AW$4 &lt; AW$5,
IF($AA11-$Z$4&lt;AW$4,0,
IF($AA11&gt;AW$5,0,
SUM(_xlfn._xlws.FILTER(Table_BangLuong_TyLeTangCa[Tỷ lệ],
(Table_BangLuong_TyLeTangCa[Ngày] = AW$3) *
(Table_BangLuong_TyLeTangCa[Giờ min]&lt;=$AA11) *
(Table_BangLuong_TyLeTangCa[Giờ max]&gt;$AA11)
)))),
IF(AND($AA11-$Z$4 &gt;= AW$5,$AA11 &lt; AW$4),0,
SUM(_xlfn._xlws.FILTER(Table_BangLuong_TyLeTangCa[Tỷ lệ],
(Table_BangLuong_TyLeTangCa[Ngày] = AW$3) *
(Table_BangLuong_TyLeTangCa[Giờ min]&lt;=$AA11) *
(Table_BangLuong_TyLeTangCa[Giờ max]&gt;$AA11)
))))
),
IF(ISBLANK(AW$7),
IF(VLOOKUP(AW$6, Table_ChiPhiNV_Ca[], COUNTA(Table_ChiPhiNV_Ca[[#Headers],[Ca]:[Kết thúc]]),0)&gt; VLOOKUP(AW$6, Table_ChiPhiNV_Ca[], COUNTA(Table_ChiPhiNV_Ca[[#Headers],[Ca]:[Bắt đầu]]),0),
IF($AA11-$Z$4&lt;MAX(AW$4,VLOOKUP(AW$6, Table_ChiPhiNV_Ca[], COUNTA(Table_ChiPhiNV_Ca[[#Headers],[Ca]:[Bắt đầu]]),0)),0,
IF($AA11&gt;MIN(AW$5,VLOOKUP(AW$6, Table_ChiPhiNV_Ca[], COUNTA(Table_ChiPhiNV_Ca[[#Headers],[Ca]:[Kết thúc]]),0)),0,
SUM(_xlfn._xlws.FILTER(Table_BangLuong_TyLeTangCa[Tỷ lệ],
(Table_BangLuong_TyLeTangCa[Ngày] = "Thường") *
(Table_BangLuong_TyLeTangCa[Giờ min]&lt;=$AA11) *
(Table_BangLuong_TyLeTangCa[Giờ max]&gt;$AA11)
)))),
IF(AW$4 &gt; AW$5,
IF(
AND(
$AA11-$Z$4&lt;MAX(AW$4,VLOOKUP(AW$6, Table_ChiPhiNV_Ca[], COUNTA(Table_ChiPhiNV_Ca[[#Headers],[Ca]:[Bắt đầu]]),0)),
$AA11&gt;MIN(AW$5,VLOOKUP(AW$6, Table_ChiPhiNV_Ca[], COUNTA(Table_ChiPhiNV_Ca[[#Headers],[Ca]:[Kết thúc]]),0))),0,
SUM(_xlfn._xlws.FILTER(Table_BangLuong_TyLeTangCa[Tỷ lệ],
(Table_BangLuong_TyLeTangCa[Ngày] = "Thường") *
(Table_BangLuong_TyLeTangCa[Giờ min]&lt;=$AA11) *
(Table_BangLuong_TyLeTangCa[Giờ max]&gt;$AA11)
))),
IF(
AND(
$AA11-$Z$4&gt;=MAX(AW$4,VLOOKUP(AW$6, Table_ChiPhiNV_Ca[], COUNTA(Table_ChiPhiNV_Ca[[#Headers],[Ca]:[Bắt đầu]]),0)),
$AA11&lt;MIN(AW$5,VLOOKUP(AW$6, Table_ChiPhiNV_Ca[], COUNTA(Table_ChiPhiNV_Ca[[#Headers],[Ca]:[Kết thúc]]),0))),
SUM(_xlfn._xlws.FILTER(Table_BangLuong_TyLeTangCa[Tỷ lệ],
(Table_BangLuong_TyLeTangCa[Ngày] = "Thường") *
(Table_BangLuong_TyLeTangCa[Giờ min]&lt;=$AA11) *
(Table_BangLuong_TyLeTangCa[Giờ max]&gt;$AA11)
)),0)
)),
IF(AW$4 &lt; AW$5,
IF($AA11-$Z$4&lt;AW$4,0,
IF($AA11&gt;AW$5,0,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AW$5,$AA11 &lt; AW$4),0,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X11" s="18" cm="1">
        <f t="array" ref="AX11" xml:space="preserve">
IFERROR(
IF(AX$1="",0,
IF(AND(
$AA11&gt;=VLOOKUP(AX$6, Table_ChiPhiNV_Ca[], COUNTA(Table_ChiPhiNV_Ca[[#Headers],[Ca]:[Bắt đầu nghỉ]]),0),
$AA11&lt;VLOOKUP(AX$6, Table_ChiPhiNV_Ca[], COUNTA(Table_ChiPhiNV_Ca[[#Headers],[Ca]:[Kết thúc nghỉ]]),0)
),0,
IF(NOT(ISBLANK(AX$3)),
IF(ISBLANK(AX$7),0,
IF(AX$4 &lt; AX$5,
IF($AA11-$Z$4&lt;AX$4,0,
IF($AA11&gt;AX$5,0,
SUM(_xlfn._xlws.FILTER(Table_BangLuong_TyLeTangCa[Tỷ lệ],
(Table_BangLuong_TyLeTangCa[Ngày] = AX$3) *
(Table_BangLuong_TyLeTangCa[Giờ min]&lt;=$AA11) *
(Table_BangLuong_TyLeTangCa[Giờ max]&gt;$AA11)
)))),
IF(AND($AA11-$Z$4 &gt;= AX$5,$AA11 &lt; AX$4),0,
SUM(_xlfn._xlws.FILTER(Table_BangLuong_TyLeTangCa[Tỷ lệ],
(Table_BangLuong_TyLeTangCa[Ngày] = AX$3) *
(Table_BangLuong_TyLeTangCa[Giờ min]&lt;=$AA11) *
(Table_BangLuong_TyLeTangCa[Giờ max]&gt;$AA11)
))))
),
IF(ISBLANK(AX$7),
IF(VLOOKUP(AX$6, Table_ChiPhiNV_Ca[], COUNTA(Table_ChiPhiNV_Ca[[#Headers],[Ca]:[Kết thúc]]),0)&gt; VLOOKUP(AX$6, Table_ChiPhiNV_Ca[], COUNTA(Table_ChiPhiNV_Ca[[#Headers],[Ca]:[Bắt đầu]]),0),
IF($AA11-$Z$4&lt;MAX(AX$4,VLOOKUP(AX$6, Table_ChiPhiNV_Ca[], COUNTA(Table_ChiPhiNV_Ca[[#Headers],[Ca]:[Bắt đầu]]),0)),0,
IF($AA11&gt;MIN(AX$5,VLOOKUP(AX$6, Table_ChiPhiNV_Ca[], COUNTA(Table_ChiPhiNV_Ca[[#Headers],[Ca]:[Kết thúc]]),0)),0,
SUM(_xlfn._xlws.FILTER(Table_BangLuong_TyLeTangCa[Tỷ lệ],
(Table_BangLuong_TyLeTangCa[Ngày] = "Thường") *
(Table_BangLuong_TyLeTangCa[Giờ min]&lt;=$AA11) *
(Table_BangLuong_TyLeTangCa[Giờ max]&gt;$AA11)
)))),
IF(AX$4 &gt; AX$5,
IF(
AND(
$AA11-$Z$4&lt;MAX(AX$4,VLOOKUP(AX$6, Table_ChiPhiNV_Ca[], COUNTA(Table_ChiPhiNV_Ca[[#Headers],[Ca]:[Bắt đầu]]),0)),
$AA11&gt;MIN(AX$5,VLOOKUP(AX$6, Table_ChiPhiNV_Ca[], COUNTA(Table_ChiPhiNV_Ca[[#Headers],[Ca]:[Kết thúc]]),0))),0,
SUM(_xlfn._xlws.FILTER(Table_BangLuong_TyLeTangCa[Tỷ lệ],
(Table_BangLuong_TyLeTangCa[Ngày] = "Thường") *
(Table_BangLuong_TyLeTangCa[Giờ min]&lt;=$AA11) *
(Table_BangLuong_TyLeTangCa[Giờ max]&gt;$AA11)
))),
IF(
AND(
$AA11-$Z$4&gt;=MAX(AX$4,VLOOKUP(AX$6, Table_ChiPhiNV_Ca[], COUNTA(Table_ChiPhiNV_Ca[[#Headers],[Ca]:[Bắt đầu]]),0)),
$AA11&lt;MIN(AX$5,VLOOKUP(AX$6, Table_ChiPhiNV_Ca[], COUNTA(Table_ChiPhiNV_Ca[[#Headers],[Ca]:[Kết thúc]]),0))),
SUM(_xlfn._xlws.FILTER(Table_BangLuong_TyLeTangCa[Tỷ lệ],
(Table_BangLuong_TyLeTangCa[Ngày] = "Thường") *
(Table_BangLuong_TyLeTangCa[Giờ min]&lt;=$AA11) *
(Table_BangLuong_TyLeTangCa[Giờ max]&gt;$AA11)
)),0)
)),
IF(AX$4 &lt; AX$5,
IF($AA11-$Z$4&lt;AX$4,0,
IF($AA11&gt;AX$5,0,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AX$5,$AA11 &lt; AX$4),0,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Y11" s="18" cm="1">
        <f t="array" ref="AY11" xml:space="preserve">
IFERROR(
IF(AY$1="",0,
IF(AND(
$AA11&gt;=VLOOKUP(AY$6, Table_ChiPhiNV_Ca[], COUNTA(Table_ChiPhiNV_Ca[[#Headers],[Ca]:[Bắt đầu nghỉ]]),0),
$AA11&lt;VLOOKUP(AY$6, Table_ChiPhiNV_Ca[], COUNTA(Table_ChiPhiNV_Ca[[#Headers],[Ca]:[Kết thúc nghỉ]]),0)
),0,
IF(NOT(ISBLANK(AY$3)),
IF(ISBLANK(AY$7),0,
IF(AY$4 &lt; AY$5,
IF($AA11-$Z$4&lt;AY$4,0,
IF($AA11&gt;AY$5,0,
SUM(_xlfn._xlws.FILTER(Table_BangLuong_TyLeTangCa[Tỷ lệ],
(Table_BangLuong_TyLeTangCa[Ngày] = AY$3) *
(Table_BangLuong_TyLeTangCa[Giờ min]&lt;=$AA11) *
(Table_BangLuong_TyLeTangCa[Giờ max]&gt;$AA11)
)))),
IF(AND($AA11-$Z$4 &gt;= AY$5,$AA11 &lt; AY$4),0,
SUM(_xlfn._xlws.FILTER(Table_BangLuong_TyLeTangCa[Tỷ lệ],
(Table_BangLuong_TyLeTangCa[Ngày] = AY$3) *
(Table_BangLuong_TyLeTangCa[Giờ min]&lt;=$AA11) *
(Table_BangLuong_TyLeTangCa[Giờ max]&gt;$AA11)
))))
),
IF(ISBLANK(AY$7),
IF(VLOOKUP(AY$6, Table_ChiPhiNV_Ca[], COUNTA(Table_ChiPhiNV_Ca[[#Headers],[Ca]:[Kết thúc]]),0)&gt; VLOOKUP(AY$6, Table_ChiPhiNV_Ca[], COUNTA(Table_ChiPhiNV_Ca[[#Headers],[Ca]:[Bắt đầu]]),0),
IF($AA11-$Z$4&lt;MAX(AY$4,VLOOKUP(AY$6, Table_ChiPhiNV_Ca[], COUNTA(Table_ChiPhiNV_Ca[[#Headers],[Ca]:[Bắt đầu]]),0)),0,
IF($AA11&gt;MIN(AY$5,VLOOKUP(AY$6, Table_ChiPhiNV_Ca[], COUNTA(Table_ChiPhiNV_Ca[[#Headers],[Ca]:[Kết thúc]]),0)),0,
SUM(_xlfn._xlws.FILTER(Table_BangLuong_TyLeTangCa[Tỷ lệ],
(Table_BangLuong_TyLeTangCa[Ngày] = "Thường") *
(Table_BangLuong_TyLeTangCa[Giờ min]&lt;=$AA11) *
(Table_BangLuong_TyLeTangCa[Giờ max]&gt;$AA11)
)))),
IF(AY$4 &gt; AY$5,
IF(
AND(
$AA11-$Z$4&lt;MAX(AY$4,VLOOKUP(AY$6, Table_ChiPhiNV_Ca[], COUNTA(Table_ChiPhiNV_Ca[[#Headers],[Ca]:[Bắt đầu]]),0)),
$AA11&gt;MIN(AY$5,VLOOKUP(AY$6, Table_ChiPhiNV_Ca[], COUNTA(Table_ChiPhiNV_Ca[[#Headers],[Ca]:[Kết thúc]]),0))),0,
SUM(_xlfn._xlws.FILTER(Table_BangLuong_TyLeTangCa[Tỷ lệ],
(Table_BangLuong_TyLeTangCa[Ngày] = "Thường") *
(Table_BangLuong_TyLeTangCa[Giờ min]&lt;=$AA11) *
(Table_BangLuong_TyLeTangCa[Giờ max]&gt;$AA11)
))),
IF(
AND(
$AA11-$Z$4&gt;=MAX(AY$4,VLOOKUP(AY$6, Table_ChiPhiNV_Ca[], COUNTA(Table_ChiPhiNV_Ca[[#Headers],[Ca]:[Bắt đầu]]),0)),
$AA11&lt;MIN(AY$5,VLOOKUP(AY$6, Table_ChiPhiNV_Ca[], COUNTA(Table_ChiPhiNV_Ca[[#Headers],[Ca]:[Kết thúc]]),0))),
SUM(_xlfn._xlws.FILTER(Table_BangLuong_TyLeTangCa[Tỷ lệ],
(Table_BangLuong_TyLeTangCa[Ngày] = "Thường") *
(Table_BangLuong_TyLeTangCa[Giờ min]&lt;=$AA11) *
(Table_BangLuong_TyLeTangCa[Giờ max]&gt;$AA11)
)),0)
)),
IF(AY$4 &lt; AY$5,
IF($AA11-$Z$4&lt;AY$4,0,
IF($AA11&gt;AY$5,0,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AY$5,$AA11 &lt; AY$4),0,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Z11" s="18" cm="1">
        <f t="array" ref="AZ11" xml:space="preserve">
IFERROR(
IF(AZ$1="",0,
IF(AND(
$AA11&gt;=VLOOKUP(AZ$6, Table_ChiPhiNV_Ca[], COUNTA(Table_ChiPhiNV_Ca[[#Headers],[Ca]:[Bắt đầu nghỉ]]),0),
$AA11&lt;VLOOKUP(AZ$6, Table_ChiPhiNV_Ca[], COUNTA(Table_ChiPhiNV_Ca[[#Headers],[Ca]:[Kết thúc nghỉ]]),0)
),0,
IF(NOT(ISBLANK(AZ$3)),
IF(ISBLANK(AZ$7),0,
IF(AZ$4 &lt; AZ$5,
IF($AA11-$Z$4&lt;AZ$4,0,
IF($AA11&gt;AZ$5,0,
SUM(_xlfn._xlws.FILTER(Table_BangLuong_TyLeTangCa[Tỷ lệ],
(Table_BangLuong_TyLeTangCa[Ngày] = AZ$3) *
(Table_BangLuong_TyLeTangCa[Giờ min]&lt;=$AA11) *
(Table_BangLuong_TyLeTangCa[Giờ max]&gt;$AA11)
)))),
IF(AND($AA11-$Z$4 &gt;= AZ$5,$AA11 &lt; AZ$4),0,
SUM(_xlfn._xlws.FILTER(Table_BangLuong_TyLeTangCa[Tỷ lệ],
(Table_BangLuong_TyLeTangCa[Ngày] = AZ$3) *
(Table_BangLuong_TyLeTangCa[Giờ min]&lt;=$AA11) *
(Table_BangLuong_TyLeTangCa[Giờ max]&gt;$AA11)
))))
),
IF(ISBLANK(AZ$7),
IF(VLOOKUP(AZ$6, Table_ChiPhiNV_Ca[], COUNTA(Table_ChiPhiNV_Ca[[#Headers],[Ca]:[Kết thúc]]),0)&gt; VLOOKUP(AZ$6, Table_ChiPhiNV_Ca[], COUNTA(Table_ChiPhiNV_Ca[[#Headers],[Ca]:[Bắt đầu]]),0),
IF($AA11-$Z$4&lt;MAX(AZ$4,VLOOKUP(AZ$6, Table_ChiPhiNV_Ca[], COUNTA(Table_ChiPhiNV_Ca[[#Headers],[Ca]:[Bắt đầu]]),0)),0,
IF($AA11&gt;MIN(AZ$5,VLOOKUP(AZ$6, Table_ChiPhiNV_Ca[], COUNTA(Table_ChiPhiNV_Ca[[#Headers],[Ca]:[Kết thúc]]),0)),0,
SUM(_xlfn._xlws.FILTER(Table_BangLuong_TyLeTangCa[Tỷ lệ],
(Table_BangLuong_TyLeTangCa[Ngày] = "Thường") *
(Table_BangLuong_TyLeTangCa[Giờ min]&lt;=$AA11) *
(Table_BangLuong_TyLeTangCa[Giờ max]&gt;$AA11)
)))),
IF(AZ$4 &gt; AZ$5,
IF(
AND(
$AA11-$Z$4&lt;MAX(AZ$4,VLOOKUP(AZ$6, Table_ChiPhiNV_Ca[], COUNTA(Table_ChiPhiNV_Ca[[#Headers],[Ca]:[Bắt đầu]]),0)),
$AA11&gt;MIN(AZ$5,VLOOKUP(AZ$6, Table_ChiPhiNV_Ca[], COUNTA(Table_ChiPhiNV_Ca[[#Headers],[Ca]:[Kết thúc]]),0))),0,
SUM(_xlfn._xlws.FILTER(Table_BangLuong_TyLeTangCa[Tỷ lệ],
(Table_BangLuong_TyLeTangCa[Ngày] = "Thường") *
(Table_BangLuong_TyLeTangCa[Giờ min]&lt;=$AA11) *
(Table_BangLuong_TyLeTangCa[Giờ max]&gt;$AA11)
))),
IF(
AND(
$AA11-$Z$4&gt;=MAX(AZ$4,VLOOKUP(AZ$6, Table_ChiPhiNV_Ca[], COUNTA(Table_ChiPhiNV_Ca[[#Headers],[Ca]:[Bắt đầu]]),0)),
$AA11&lt;MIN(AZ$5,VLOOKUP(AZ$6, Table_ChiPhiNV_Ca[], COUNTA(Table_ChiPhiNV_Ca[[#Headers],[Ca]:[Kết thúc]]),0))),
SUM(_xlfn._xlws.FILTER(Table_BangLuong_TyLeTangCa[Tỷ lệ],
(Table_BangLuong_TyLeTangCa[Ngày] = "Thường") *
(Table_BangLuong_TyLeTangCa[Giờ min]&lt;=$AA11) *
(Table_BangLuong_TyLeTangCa[Giờ max]&gt;$AA11)
)),0)
)),
IF(AZ$4 &lt; AZ$5,
IF($AA11-$Z$4&lt;AZ$4,0,
IF($AA11&gt;AZ$5,0,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AZ$5,$AA11 &lt; AZ$4),0,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A11" s="18" cm="1">
        <f t="array" ref="BA11" xml:space="preserve">
IFERROR(
IF(BA$1="",0,
IF(AND(
$AA11&gt;=VLOOKUP(BA$6, Table_ChiPhiNV_Ca[], COUNTA(Table_ChiPhiNV_Ca[[#Headers],[Ca]:[Bắt đầu nghỉ]]),0),
$AA11&lt;VLOOKUP(BA$6, Table_ChiPhiNV_Ca[], COUNTA(Table_ChiPhiNV_Ca[[#Headers],[Ca]:[Kết thúc nghỉ]]),0)
),0,
IF(NOT(ISBLANK(BA$3)),
IF(ISBLANK(BA$7),0,
IF(BA$4 &lt; BA$5,
IF($AA11-$Z$4&lt;BA$4,0,
IF($AA11&gt;BA$5,0,
SUM(_xlfn._xlws.FILTER(Table_BangLuong_TyLeTangCa[Tỷ lệ],
(Table_BangLuong_TyLeTangCa[Ngày] = BA$3) *
(Table_BangLuong_TyLeTangCa[Giờ min]&lt;=$AA11) *
(Table_BangLuong_TyLeTangCa[Giờ max]&gt;$AA11)
)))),
IF(AND($AA11-$Z$4 &gt;= BA$5,$AA11 &lt; BA$4),0,
SUM(_xlfn._xlws.FILTER(Table_BangLuong_TyLeTangCa[Tỷ lệ],
(Table_BangLuong_TyLeTangCa[Ngày] = BA$3) *
(Table_BangLuong_TyLeTangCa[Giờ min]&lt;=$AA11) *
(Table_BangLuong_TyLeTangCa[Giờ max]&gt;$AA11)
))))
),
IF(ISBLANK(BA$7),
IF(VLOOKUP(BA$6, Table_ChiPhiNV_Ca[], COUNTA(Table_ChiPhiNV_Ca[[#Headers],[Ca]:[Kết thúc]]),0)&gt; VLOOKUP(BA$6, Table_ChiPhiNV_Ca[], COUNTA(Table_ChiPhiNV_Ca[[#Headers],[Ca]:[Bắt đầu]]),0),
IF($AA11-$Z$4&lt;MAX(BA$4,VLOOKUP(BA$6, Table_ChiPhiNV_Ca[], COUNTA(Table_ChiPhiNV_Ca[[#Headers],[Ca]:[Bắt đầu]]),0)),0,
IF($AA11&gt;MIN(BA$5,VLOOKUP(BA$6, Table_ChiPhiNV_Ca[], COUNTA(Table_ChiPhiNV_Ca[[#Headers],[Ca]:[Kết thúc]]),0)),0,
SUM(_xlfn._xlws.FILTER(Table_BangLuong_TyLeTangCa[Tỷ lệ],
(Table_BangLuong_TyLeTangCa[Ngày] = "Thường") *
(Table_BangLuong_TyLeTangCa[Giờ min]&lt;=$AA11) *
(Table_BangLuong_TyLeTangCa[Giờ max]&gt;$AA11)
)))),
IF(BA$4 &gt; BA$5,
IF(
AND(
$AA11-$Z$4&lt;MAX(BA$4,VLOOKUP(BA$6, Table_ChiPhiNV_Ca[], COUNTA(Table_ChiPhiNV_Ca[[#Headers],[Ca]:[Bắt đầu]]),0)),
$AA11&gt;MIN(BA$5,VLOOKUP(BA$6, Table_ChiPhiNV_Ca[], COUNTA(Table_ChiPhiNV_Ca[[#Headers],[Ca]:[Kết thúc]]),0))),0,
SUM(_xlfn._xlws.FILTER(Table_BangLuong_TyLeTangCa[Tỷ lệ],
(Table_BangLuong_TyLeTangCa[Ngày] = "Thường") *
(Table_BangLuong_TyLeTangCa[Giờ min]&lt;=$AA11) *
(Table_BangLuong_TyLeTangCa[Giờ max]&gt;$AA11)
))),
IF(
AND(
$AA11-$Z$4&gt;=MAX(BA$4,VLOOKUP(BA$6, Table_ChiPhiNV_Ca[], COUNTA(Table_ChiPhiNV_Ca[[#Headers],[Ca]:[Bắt đầu]]),0)),
$AA11&lt;MIN(BA$5,VLOOKUP(BA$6, Table_ChiPhiNV_Ca[], COUNTA(Table_ChiPhiNV_Ca[[#Headers],[Ca]:[Kết thúc]]),0))),
SUM(_xlfn._xlws.FILTER(Table_BangLuong_TyLeTangCa[Tỷ lệ],
(Table_BangLuong_TyLeTangCa[Ngày] = "Thường") *
(Table_BangLuong_TyLeTangCa[Giờ min]&lt;=$AA11) *
(Table_BangLuong_TyLeTangCa[Giờ max]&gt;$AA11)
)),0)
)),
IF(BA$4 &lt; BA$5,
IF($AA11-$Z$4&lt;BA$4,0,
IF($AA11&gt;BA$5,0,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BA$5,$AA11 &lt; BA$4),0,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B11" s="18" cm="1">
        <f t="array" ref="BB11" xml:space="preserve">
IFERROR(
IF(BB$1="",0,
IF(AND(
$AA11&gt;=VLOOKUP(BB$6, Table_ChiPhiNV_Ca[], COUNTA(Table_ChiPhiNV_Ca[[#Headers],[Ca]:[Bắt đầu nghỉ]]),0),
$AA11&lt;VLOOKUP(BB$6, Table_ChiPhiNV_Ca[], COUNTA(Table_ChiPhiNV_Ca[[#Headers],[Ca]:[Kết thúc nghỉ]]),0)
),0,
IF(NOT(ISBLANK(BB$3)),
IF(ISBLANK(BB$7),0,
IF(BB$4 &lt; BB$5,
IF($AA11-$Z$4&lt;BB$4,0,
IF($AA11&gt;BB$5,0,
SUM(_xlfn._xlws.FILTER(Table_BangLuong_TyLeTangCa[Tỷ lệ],
(Table_BangLuong_TyLeTangCa[Ngày] = BB$3) *
(Table_BangLuong_TyLeTangCa[Giờ min]&lt;=$AA11) *
(Table_BangLuong_TyLeTangCa[Giờ max]&gt;$AA11)
)))),
IF(AND($AA11-$Z$4 &gt;= BB$5,$AA11 &lt; BB$4),0,
SUM(_xlfn._xlws.FILTER(Table_BangLuong_TyLeTangCa[Tỷ lệ],
(Table_BangLuong_TyLeTangCa[Ngày] = BB$3) *
(Table_BangLuong_TyLeTangCa[Giờ min]&lt;=$AA11) *
(Table_BangLuong_TyLeTangCa[Giờ max]&gt;$AA11)
))))
),
IF(ISBLANK(BB$7),
IF(VLOOKUP(BB$6, Table_ChiPhiNV_Ca[], COUNTA(Table_ChiPhiNV_Ca[[#Headers],[Ca]:[Kết thúc]]),0)&gt; VLOOKUP(BB$6, Table_ChiPhiNV_Ca[], COUNTA(Table_ChiPhiNV_Ca[[#Headers],[Ca]:[Bắt đầu]]),0),
IF($AA11-$Z$4&lt;MAX(BB$4,VLOOKUP(BB$6, Table_ChiPhiNV_Ca[], COUNTA(Table_ChiPhiNV_Ca[[#Headers],[Ca]:[Bắt đầu]]),0)),0,
IF($AA11&gt;MIN(BB$5,VLOOKUP(BB$6, Table_ChiPhiNV_Ca[], COUNTA(Table_ChiPhiNV_Ca[[#Headers],[Ca]:[Kết thúc]]),0)),0,
SUM(_xlfn._xlws.FILTER(Table_BangLuong_TyLeTangCa[Tỷ lệ],
(Table_BangLuong_TyLeTangCa[Ngày] = "Thường") *
(Table_BangLuong_TyLeTangCa[Giờ min]&lt;=$AA11) *
(Table_BangLuong_TyLeTangCa[Giờ max]&gt;$AA11)
)))),
IF(BB$4 &gt; BB$5,
IF(
AND(
$AA11-$Z$4&lt;MAX(BB$4,VLOOKUP(BB$6, Table_ChiPhiNV_Ca[], COUNTA(Table_ChiPhiNV_Ca[[#Headers],[Ca]:[Bắt đầu]]),0)),
$AA11&gt;MIN(BB$5,VLOOKUP(BB$6, Table_ChiPhiNV_Ca[], COUNTA(Table_ChiPhiNV_Ca[[#Headers],[Ca]:[Kết thúc]]),0))),0,
SUM(_xlfn._xlws.FILTER(Table_BangLuong_TyLeTangCa[Tỷ lệ],
(Table_BangLuong_TyLeTangCa[Ngày] = "Thường") *
(Table_BangLuong_TyLeTangCa[Giờ min]&lt;=$AA11) *
(Table_BangLuong_TyLeTangCa[Giờ max]&gt;$AA11)
))),
IF(
AND(
$AA11-$Z$4&gt;=MAX(BB$4,VLOOKUP(BB$6, Table_ChiPhiNV_Ca[], COUNTA(Table_ChiPhiNV_Ca[[#Headers],[Ca]:[Bắt đầu]]),0)),
$AA11&lt;MIN(BB$5,VLOOKUP(BB$6, Table_ChiPhiNV_Ca[], COUNTA(Table_ChiPhiNV_Ca[[#Headers],[Ca]:[Kết thúc]]),0))),
SUM(_xlfn._xlws.FILTER(Table_BangLuong_TyLeTangCa[Tỷ lệ],
(Table_BangLuong_TyLeTangCa[Ngày] = "Thường") *
(Table_BangLuong_TyLeTangCa[Giờ min]&lt;=$AA11) *
(Table_BangLuong_TyLeTangCa[Giờ max]&gt;$AA11)
)),0)
)),
IF(BB$4 &lt; BB$5,
IF($AA11-$Z$4&lt;BB$4,0,
IF($AA11&gt;BB$5,0,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BB$5,$AA11 &lt; BB$4),0,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C11" s="18" cm="1">
        <f t="array" ref="BC11" xml:space="preserve">
IFERROR(
IF(BC$1="",0,
IF(AND(
$AA11&gt;=VLOOKUP(BC$6, Table_ChiPhiNV_Ca[], COUNTA(Table_ChiPhiNV_Ca[[#Headers],[Ca]:[Bắt đầu nghỉ]]),0),
$AA11&lt;VLOOKUP(BC$6, Table_ChiPhiNV_Ca[], COUNTA(Table_ChiPhiNV_Ca[[#Headers],[Ca]:[Kết thúc nghỉ]]),0)
),0,
IF(NOT(ISBLANK(BC$3)),
IF(ISBLANK(BC$7),0,
IF(BC$4 &lt; BC$5,
IF($AA11-$Z$4&lt;BC$4,0,
IF($AA11&gt;BC$5,0,
SUM(_xlfn._xlws.FILTER(Table_BangLuong_TyLeTangCa[Tỷ lệ],
(Table_BangLuong_TyLeTangCa[Ngày] = BC$3) *
(Table_BangLuong_TyLeTangCa[Giờ min]&lt;=$AA11) *
(Table_BangLuong_TyLeTangCa[Giờ max]&gt;$AA11)
)))),
IF(AND($AA11-$Z$4 &gt;= BC$5,$AA11 &lt; BC$4),0,
SUM(_xlfn._xlws.FILTER(Table_BangLuong_TyLeTangCa[Tỷ lệ],
(Table_BangLuong_TyLeTangCa[Ngày] = BC$3) *
(Table_BangLuong_TyLeTangCa[Giờ min]&lt;=$AA11) *
(Table_BangLuong_TyLeTangCa[Giờ max]&gt;$AA11)
))))
),
IF(ISBLANK(BC$7),
IF(VLOOKUP(BC$6, Table_ChiPhiNV_Ca[], COUNTA(Table_ChiPhiNV_Ca[[#Headers],[Ca]:[Kết thúc]]),0)&gt; VLOOKUP(BC$6, Table_ChiPhiNV_Ca[], COUNTA(Table_ChiPhiNV_Ca[[#Headers],[Ca]:[Bắt đầu]]),0),
IF($AA11-$Z$4&lt;MAX(BC$4,VLOOKUP(BC$6, Table_ChiPhiNV_Ca[], COUNTA(Table_ChiPhiNV_Ca[[#Headers],[Ca]:[Bắt đầu]]),0)),0,
IF($AA11&gt;MIN(BC$5,VLOOKUP(BC$6, Table_ChiPhiNV_Ca[], COUNTA(Table_ChiPhiNV_Ca[[#Headers],[Ca]:[Kết thúc]]),0)),0,
SUM(_xlfn._xlws.FILTER(Table_BangLuong_TyLeTangCa[Tỷ lệ],
(Table_BangLuong_TyLeTangCa[Ngày] = "Thường") *
(Table_BangLuong_TyLeTangCa[Giờ min]&lt;=$AA11) *
(Table_BangLuong_TyLeTangCa[Giờ max]&gt;$AA11)
)))),
IF(BC$4 &gt; BC$5,
IF(
AND(
$AA11-$Z$4&lt;MAX(BC$4,VLOOKUP(BC$6, Table_ChiPhiNV_Ca[], COUNTA(Table_ChiPhiNV_Ca[[#Headers],[Ca]:[Bắt đầu]]),0)),
$AA11&gt;MIN(BC$5,VLOOKUP(BC$6, Table_ChiPhiNV_Ca[], COUNTA(Table_ChiPhiNV_Ca[[#Headers],[Ca]:[Kết thúc]]),0))),0,
SUM(_xlfn._xlws.FILTER(Table_BangLuong_TyLeTangCa[Tỷ lệ],
(Table_BangLuong_TyLeTangCa[Ngày] = "Thường") *
(Table_BangLuong_TyLeTangCa[Giờ min]&lt;=$AA11) *
(Table_BangLuong_TyLeTangCa[Giờ max]&gt;$AA11)
))),
IF(
AND(
$AA11-$Z$4&gt;=MAX(BC$4,VLOOKUP(BC$6, Table_ChiPhiNV_Ca[], COUNTA(Table_ChiPhiNV_Ca[[#Headers],[Ca]:[Bắt đầu]]),0)),
$AA11&lt;MIN(BC$5,VLOOKUP(BC$6, Table_ChiPhiNV_Ca[], COUNTA(Table_ChiPhiNV_Ca[[#Headers],[Ca]:[Kết thúc]]),0))),
SUM(_xlfn._xlws.FILTER(Table_BangLuong_TyLeTangCa[Tỷ lệ],
(Table_BangLuong_TyLeTangCa[Ngày] = "Thường") *
(Table_BangLuong_TyLeTangCa[Giờ min]&lt;=$AA11) *
(Table_BangLuong_TyLeTangCa[Giờ max]&gt;$AA11)
)),0)
)),
IF(BC$4 &lt; BC$5,
IF($AA11-$Z$4&lt;BC$4,0,
IF($AA11&gt;BC$5,0,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BC$5,$AA11 &lt; BC$4),0,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D11" s="18" cm="1">
        <f t="array" ref="BD11" xml:space="preserve">
IFERROR(
IF(BD$1="",0,
IF(AND(
$AA11&gt;=VLOOKUP(BD$6, Table_ChiPhiNV_Ca[], COUNTA(Table_ChiPhiNV_Ca[[#Headers],[Ca]:[Bắt đầu nghỉ]]),0),
$AA11&lt;VLOOKUP(BD$6, Table_ChiPhiNV_Ca[], COUNTA(Table_ChiPhiNV_Ca[[#Headers],[Ca]:[Kết thúc nghỉ]]),0)
),0,
IF(NOT(ISBLANK(BD$3)),
IF(ISBLANK(BD$7),0,
IF(BD$4 &lt; BD$5,
IF($AA11-$Z$4&lt;BD$4,0,
IF($AA11&gt;BD$5,0,
SUM(_xlfn._xlws.FILTER(Table_BangLuong_TyLeTangCa[Tỷ lệ],
(Table_BangLuong_TyLeTangCa[Ngày] = BD$3) *
(Table_BangLuong_TyLeTangCa[Giờ min]&lt;=$AA11) *
(Table_BangLuong_TyLeTangCa[Giờ max]&gt;$AA11)
)))),
IF(AND($AA11-$Z$4 &gt;= BD$5,$AA11 &lt; BD$4),0,
SUM(_xlfn._xlws.FILTER(Table_BangLuong_TyLeTangCa[Tỷ lệ],
(Table_BangLuong_TyLeTangCa[Ngày] = BD$3) *
(Table_BangLuong_TyLeTangCa[Giờ min]&lt;=$AA11) *
(Table_BangLuong_TyLeTangCa[Giờ max]&gt;$AA11)
))))
),
IF(ISBLANK(BD$7),
IF(VLOOKUP(BD$6, Table_ChiPhiNV_Ca[], COUNTA(Table_ChiPhiNV_Ca[[#Headers],[Ca]:[Kết thúc]]),0)&gt; VLOOKUP(BD$6, Table_ChiPhiNV_Ca[], COUNTA(Table_ChiPhiNV_Ca[[#Headers],[Ca]:[Bắt đầu]]),0),
IF($AA11-$Z$4&lt;MAX(BD$4,VLOOKUP(BD$6, Table_ChiPhiNV_Ca[], COUNTA(Table_ChiPhiNV_Ca[[#Headers],[Ca]:[Bắt đầu]]),0)),0,
IF($AA11&gt;MIN(BD$5,VLOOKUP(BD$6, Table_ChiPhiNV_Ca[], COUNTA(Table_ChiPhiNV_Ca[[#Headers],[Ca]:[Kết thúc]]),0)),0,
SUM(_xlfn._xlws.FILTER(Table_BangLuong_TyLeTangCa[Tỷ lệ],
(Table_BangLuong_TyLeTangCa[Ngày] = "Thường") *
(Table_BangLuong_TyLeTangCa[Giờ min]&lt;=$AA11) *
(Table_BangLuong_TyLeTangCa[Giờ max]&gt;$AA11)
)))),
IF(BD$4 &gt; BD$5,
IF(
AND(
$AA11-$Z$4&lt;MAX(BD$4,VLOOKUP(BD$6, Table_ChiPhiNV_Ca[], COUNTA(Table_ChiPhiNV_Ca[[#Headers],[Ca]:[Bắt đầu]]),0)),
$AA11&gt;MIN(BD$5,VLOOKUP(BD$6, Table_ChiPhiNV_Ca[], COUNTA(Table_ChiPhiNV_Ca[[#Headers],[Ca]:[Kết thúc]]),0))),0,
SUM(_xlfn._xlws.FILTER(Table_BangLuong_TyLeTangCa[Tỷ lệ],
(Table_BangLuong_TyLeTangCa[Ngày] = "Thường") *
(Table_BangLuong_TyLeTangCa[Giờ min]&lt;=$AA11) *
(Table_BangLuong_TyLeTangCa[Giờ max]&gt;$AA11)
))),
IF(
AND(
$AA11-$Z$4&gt;=MAX(BD$4,VLOOKUP(BD$6, Table_ChiPhiNV_Ca[], COUNTA(Table_ChiPhiNV_Ca[[#Headers],[Ca]:[Bắt đầu]]),0)),
$AA11&lt;MIN(BD$5,VLOOKUP(BD$6, Table_ChiPhiNV_Ca[], COUNTA(Table_ChiPhiNV_Ca[[#Headers],[Ca]:[Kết thúc]]),0))),
SUM(_xlfn._xlws.FILTER(Table_BangLuong_TyLeTangCa[Tỷ lệ],
(Table_BangLuong_TyLeTangCa[Ngày] = "Thường") *
(Table_BangLuong_TyLeTangCa[Giờ min]&lt;=$AA11) *
(Table_BangLuong_TyLeTangCa[Giờ max]&gt;$AA11)
)),0)
)),
IF(BD$4 &lt; BD$5,
IF($AA11-$Z$4&lt;BD$4,0,
IF($AA11&gt;BD$5,0,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BD$5,$AA11 &lt; BD$4),0,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E11" s="18" cm="1">
        <f t="array" ref="BE11" xml:space="preserve">
IFERROR(
IF(BE$1="",0,
IF(AND(
$AA11&gt;=VLOOKUP(BE$6, Table_ChiPhiNV_Ca[], COUNTA(Table_ChiPhiNV_Ca[[#Headers],[Ca]:[Bắt đầu nghỉ]]),0),
$AA11&lt;VLOOKUP(BE$6, Table_ChiPhiNV_Ca[], COUNTA(Table_ChiPhiNV_Ca[[#Headers],[Ca]:[Kết thúc nghỉ]]),0)
),0,
IF(NOT(ISBLANK(BE$3)),
IF(ISBLANK(BE$7),0,
IF(BE$4 &lt; BE$5,
IF($AA11-$Z$4&lt;BE$4,0,
IF($AA11&gt;BE$5,0,
SUM(_xlfn._xlws.FILTER(Table_BangLuong_TyLeTangCa[Tỷ lệ],
(Table_BangLuong_TyLeTangCa[Ngày] = BE$3) *
(Table_BangLuong_TyLeTangCa[Giờ min]&lt;=$AA11) *
(Table_BangLuong_TyLeTangCa[Giờ max]&gt;$AA11)
)))),
IF(AND($AA11-$Z$4 &gt;= BE$5,$AA11 &lt; BE$4),0,
SUM(_xlfn._xlws.FILTER(Table_BangLuong_TyLeTangCa[Tỷ lệ],
(Table_BangLuong_TyLeTangCa[Ngày] = BE$3) *
(Table_BangLuong_TyLeTangCa[Giờ min]&lt;=$AA11) *
(Table_BangLuong_TyLeTangCa[Giờ max]&gt;$AA11)
))))
),
IF(ISBLANK(BE$7),
IF(VLOOKUP(BE$6, Table_ChiPhiNV_Ca[], COUNTA(Table_ChiPhiNV_Ca[[#Headers],[Ca]:[Kết thúc]]),0)&gt; VLOOKUP(BE$6, Table_ChiPhiNV_Ca[], COUNTA(Table_ChiPhiNV_Ca[[#Headers],[Ca]:[Bắt đầu]]),0),
IF($AA11-$Z$4&lt;MAX(BE$4,VLOOKUP(BE$6, Table_ChiPhiNV_Ca[], COUNTA(Table_ChiPhiNV_Ca[[#Headers],[Ca]:[Bắt đầu]]),0)),0,
IF($AA11&gt;MIN(BE$5,VLOOKUP(BE$6, Table_ChiPhiNV_Ca[], COUNTA(Table_ChiPhiNV_Ca[[#Headers],[Ca]:[Kết thúc]]),0)),0,
SUM(_xlfn._xlws.FILTER(Table_BangLuong_TyLeTangCa[Tỷ lệ],
(Table_BangLuong_TyLeTangCa[Ngày] = "Thường") *
(Table_BangLuong_TyLeTangCa[Giờ min]&lt;=$AA11) *
(Table_BangLuong_TyLeTangCa[Giờ max]&gt;$AA11)
)))),
IF(BE$4 &gt; BE$5,
IF(
AND(
$AA11-$Z$4&lt;MAX(BE$4,VLOOKUP(BE$6, Table_ChiPhiNV_Ca[], COUNTA(Table_ChiPhiNV_Ca[[#Headers],[Ca]:[Bắt đầu]]),0)),
$AA11&gt;MIN(BE$5,VLOOKUP(BE$6, Table_ChiPhiNV_Ca[], COUNTA(Table_ChiPhiNV_Ca[[#Headers],[Ca]:[Kết thúc]]),0))),0,
SUM(_xlfn._xlws.FILTER(Table_BangLuong_TyLeTangCa[Tỷ lệ],
(Table_BangLuong_TyLeTangCa[Ngày] = "Thường") *
(Table_BangLuong_TyLeTangCa[Giờ min]&lt;=$AA11) *
(Table_BangLuong_TyLeTangCa[Giờ max]&gt;$AA11)
))),
IF(
AND(
$AA11-$Z$4&gt;=MAX(BE$4,VLOOKUP(BE$6, Table_ChiPhiNV_Ca[], COUNTA(Table_ChiPhiNV_Ca[[#Headers],[Ca]:[Bắt đầu]]),0)),
$AA11&lt;MIN(BE$5,VLOOKUP(BE$6, Table_ChiPhiNV_Ca[], COUNTA(Table_ChiPhiNV_Ca[[#Headers],[Ca]:[Kết thúc]]),0))),
SUM(_xlfn._xlws.FILTER(Table_BangLuong_TyLeTangCa[Tỷ lệ],
(Table_BangLuong_TyLeTangCa[Ngày] = "Thường") *
(Table_BangLuong_TyLeTangCa[Giờ min]&lt;=$AA11) *
(Table_BangLuong_TyLeTangCa[Giờ max]&gt;$AA11)
)),0)
)),
IF(BE$4 &lt; BE$5,
IF($AA11-$Z$4&lt;BE$4,0,
IF($AA11&gt;BE$5,0,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BE$5,$AA11 &lt; BE$4),0,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F11" s="18" cm="1">
        <f t="array" ref="BF11" xml:space="preserve">
IFERROR(
IF(BF$1="",0,
IF(AND(
$AA11&gt;=VLOOKUP(BF$6, Table_ChiPhiNV_Ca[], COUNTA(Table_ChiPhiNV_Ca[[#Headers],[Ca]:[Bắt đầu nghỉ]]),0),
$AA11&lt;VLOOKUP(BF$6, Table_ChiPhiNV_Ca[], COUNTA(Table_ChiPhiNV_Ca[[#Headers],[Ca]:[Kết thúc nghỉ]]),0)
),0,
IF(NOT(ISBLANK(BF$3)),
IF(ISBLANK(BF$7),0,
IF(BF$4 &lt; BF$5,
IF($AA11-$Z$4&lt;BF$4,0,
IF($AA11&gt;BF$5,0,
SUM(_xlfn._xlws.FILTER(Table_BangLuong_TyLeTangCa[Tỷ lệ],
(Table_BangLuong_TyLeTangCa[Ngày] = BF$3) *
(Table_BangLuong_TyLeTangCa[Giờ min]&lt;=$AA11) *
(Table_BangLuong_TyLeTangCa[Giờ max]&gt;$AA11)
)))),
IF(AND($AA11-$Z$4 &gt;= BF$5,$AA11 &lt; BF$4),0,
SUM(_xlfn._xlws.FILTER(Table_BangLuong_TyLeTangCa[Tỷ lệ],
(Table_BangLuong_TyLeTangCa[Ngày] = BF$3) *
(Table_BangLuong_TyLeTangCa[Giờ min]&lt;=$AA11) *
(Table_BangLuong_TyLeTangCa[Giờ max]&gt;$AA11)
))))
),
IF(ISBLANK(BF$7),
IF(VLOOKUP(BF$6, Table_ChiPhiNV_Ca[], COUNTA(Table_ChiPhiNV_Ca[[#Headers],[Ca]:[Kết thúc]]),0)&gt; VLOOKUP(BF$6, Table_ChiPhiNV_Ca[], COUNTA(Table_ChiPhiNV_Ca[[#Headers],[Ca]:[Bắt đầu]]),0),
IF($AA11-$Z$4&lt;MAX(BF$4,VLOOKUP(BF$6, Table_ChiPhiNV_Ca[], COUNTA(Table_ChiPhiNV_Ca[[#Headers],[Ca]:[Bắt đầu]]),0)),0,
IF($AA11&gt;MIN(BF$5,VLOOKUP(BF$6, Table_ChiPhiNV_Ca[], COUNTA(Table_ChiPhiNV_Ca[[#Headers],[Ca]:[Kết thúc]]),0)),0,
SUM(_xlfn._xlws.FILTER(Table_BangLuong_TyLeTangCa[Tỷ lệ],
(Table_BangLuong_TyLeTangCa[Ngày] = "Thường") *
(Table_BangLuong_TyLeTangCa[Giờ min]&lt;=$AA11) *
(Table_BangLuong_TyLeTangCa[Giờ max]&gt;$AA11)
)))),
IF(BF$4 &gt; BF$5,
IF(
AND(
$AA11-$Z$4&lt;MAX(BF$4,VLOOKUP(BF$6, Table_ChiPhiNV_Ca[], COUNTA(Table_ChiPhiNV_Ca[[#Headers],[Ca]:[Bắt đầu]]),0)),
$AA11&gt;MIN(BF$5,VLOOKUP(BF$6, Table_ChiPhiNV_Ca[], COUNTA(Table_ChiPhiNV_Ca[[#Headers],[Ca]:[Kết thúc]]),0))),0,
SUM(_xlfn._xlws.FILTER(Table_BangLuong_TyLeTangCa[Tỷ lệ],
(Table_BangLuong_TyLeTangCa[Ngày] = "Thường") *
(Table_BangLuong_TyLeTangCa[Giờ min]&lt;=$AA11) *
(Table_BangLuong_TyLeTangCa[Giờ max]&gt;$AA11)
))),
IF(
AND(
$AA11-$Z$4&gt;=MAX(BF$4,VLOOKUP(BF$6, Table_ChiPhiNV_Ca[], COUNTA(Table_ChiPhiNV_Ca[[#Headers],[Ca]:[Bắt đầu]]),0)),
$AA11&lt;MIN(BF$5,VLOOKUP(BF$6, Table_ChiPhiNV_Ca[], COUNTA(Table_ChiPhiNV_Ca[[#Headers],[Ca]:[Kết thúc]]),0))),
SUM(_xlfn._xlws.FILTER(Table_BangLuong_TyLeTangCa[Tỷ lệ],
(Table_BangLuong_TyLeTangCa[Ngày] = "Thường") *
(Table_BangLuong_TyLeTangCa[Giờ min]&lt;=$AA11) *
(Table_BangLuong_TyLeTangCa[Giờ max]&gt;$AA11)
)),0)
)),
IF(BF$4 &lt; BF$5,
IF($AA11-$Z$4&lt;BF$4,0,
IF($AA11&gt;BF$5,0,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BF$5,$AA11 &lt; BF$4),0,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H11" s="1" t="s">
        <v>105</v>
      </c>
      <c r="BI11" s="1" t="s">
        <v>90</v>
      </c>
      <c r="BJ11" s="58">
        <v>45779.340277777781</v>
      </c>
      <c r="BK11" s="65">
        <f>INT(Table_ChiPhiNV_ChamCong[[#This Row],[Thời điểm]])</f>
        <v>45779</v>
      </c>
      <c r="BL11" s="66">
        <f>Table_ChiPhiNV_ChamCong[[#This Row],[Thời điểm]]-Table_ChiPhiNV_ChamCong[[#This Row],[Ngày]]</f>
        <v>0.34027777778101154</v>
      </c>
    </row>
    <row r="12" spans="2:82" ht="18" customHeight="1" outlineLevel="1" x14ac:dyDescent="0.3">
      <c r="J12" s="3" t="s">
        <v>66</v>
      </c>
      <c r="K12" s="49">
        <v>0.25</v>
      </c>
      <c r="L12" s="49">
        <v>0.91666666666666663</v>
      </c>
      <c r="M12" s="13">
        <v>3</v>
      </c>
      <c r="AA12" s="50">
        <v>6.25E-2</v>
      </c>
      <c r="AB12" s="18" cm="1">
        <f t="array" ref="AB12" xml:space="preserve">
IFERROR(
IF(AB$1="",0,
IF(AND(
$AA12&gt;=VLOOKUP(AB$6, Table_ChiPhiNV_Ca[], COUNTA(Table_ChiPhiNV_Ca[[#Headers],[Ca]:[Bắt đầu nghỉ]]),0),
$AA12&lt;VLOOKUP(AB$6, Table_ChiPhiNV_Ca[], COUNTA(Table_ChiPhiNV_Ca[[#Headers],[Ca]:[Kết thúc nghỉ]]),0)
),0,
IF(NOT(ISBLANK(AB$3)),
IF(ISBLANK(AB$7),0,
IF(AB$4 &lt; AB$5,
IF($AA12-$Z$4&lt;AB$4,0,
IF($AA12&gt;AB$5,0,
SUM(_xlfn._xlws.FILTER(Table_BangLuong_TyLeTangCa[Tỷ lệ],
(Table_BangLuong_TyLeTangCa[Ngày] = AB$3) *
(Table_BangLuong_TyLeTangCa[Giờ min]&lt;=$AA12) *
(Table_BangLuong_TyLeTangCa[Giờ max]&gt;$AA12)
)))),
IF(AND($AA12-$Z$4 &gt;= AB$5,$AA12 &lt; AB$4),0,
SUM(_xlfn._xlws.FILTER(Table_BangLuong_TyLeTangCa[Tỷ lệ],
(Table_BangLuong_TyLeTangCa[Ngày] = AB$3) *
(Table_BangLuong_TyLeTangCa[Giờ min]&lt;=$AA12) *
(Table_BangLuong_TyLeTangCa[Giờ max]&gt;$AA12)
))))
),
IF(ISBLANK(AB$7),
IF(VLOOKUP(AB$6, Table_ChiPhiNV_Ca[], COUNTA(Table_ChiPhiNV_Ca[[#Headers],[Ca]:[Kết thúc]]),0)&gt; VLOOKUP(AB$6, Table_ChiPhiNV_Ca[], COUNTA(Table_ChiPhiNV_Ca[[#Headers],[Ca]:[Bắt đầu]]),0),
IF($AA12-$Z$4&lt;MAX(AB$4,VLOOKUP(AB$6, Table_ChiPhiNV_Ca[], COUNTA(Table_ChiPhiNV_Ca[[#Headers],[Ca]:[Bắt đầu]]),0)),0,
IF($AA12&gt;MIN(AB$5,VLOOKUP(AB$6, Table_ChiPhiNV_Ca[], COUNTA(Table_ChiPhiNV_Ca[[#Headers],[Ca]:[Kết thúc]]),0)),0,
SUM(_xlfn._xlws.FILTER(Table_BangLuong_TyLeTangCa[Tỷ lệ],
(Table_BangLuong_TyLeTangCa[Ngày] = "Thường") *
(Table_BangLuong_TyLeTangCa[Giờ min]&lt;=$AA12) *
(Table_BangLuong_TyLeTangCa[Giờ max]&gt;$AA12)
)))),
IF(AB$4 &gt; AB$5,
IF(
AND(
$AA12-$Z$4&lt;MAX(AB$4,VLOOKUP(AB$6, Table_ChiPhiNV_Ca[], COUNTA(Table_ChiPhiNV_Ca[[#Headers],[Ca]:[Bắt đầu]]),0)),
$AA12&gt;MIN(AB$5,VLOOKUP(AB$6, Table_ChiPhiNV_Ca[], COUNTA(Table_ChiPhiNV_Ca[[#Headers],[Ca]:[Kết thúc]]),0))),0,
SUM(_xlfn._xlws.FILTER(Table_BangLuong_TyLeTangCa[Tỷ lệ],
(Table_BangLuong_TyLeTangCa[Ngày] = "Thường") *
(Table_BangLuong_TyLeTangCa[Giờ min]&lt;=$AA12) *
(Table_BangLuong_TyLeTangCa[Giờ max]&gt;$AA12)
))),
IF(
AND(
$AA12-$Z$4&gt;=MAX(AB$4,VLOOKUP(AB$6, Table_ChiPhiNV_Ca[], COUNTA(Table_ChiPhiNV_Ca[[#Headers],[Ca]:[Bắt đầu]]),0)),
$AA12&lt;MIN(AB$5,VLOOKUP(AB$6, Table_ChiPhiNV_Ca[], COUNTA(Table_ChiPhiNV_Ca[[#Headers],[Ca]:[Kết thúc]]),0))),
SUM(_xlfn._xlws.FILTER(Table_BangLuong_TyLeTangCa[Tỷ lệ],
(Table_BangLuong_TyLeTangCa[Ngày] = "Thường") *
(Table_BangLuong_TyLeTangCa[Giờ min]&lt;=$AA12) *
(Table_BangLuong_TyLeTangCa[Giờ max]&gt;$AA12)
)),0)
)),
IF(AB$4 &lt; AB$5,
IF($AA12-$Z$4&lt;AB$4,0,
IF($AA12&gt;AB$5,0,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AB$5,$AA12 &lt; AB$4),0,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C12" s="18" cm="1">
        <f t="array" ref="AC12" xml:space="preserve">
IFERROR(
IF(AC$1="",0,
IF(AND(
$AA12&gt;=VLOOKUP(AC$6, Table_ChiPhiNV_Ca[], COUNTA(Table_ChiPhiNV_Ca[[#Headers],[Ca]:[Bắt đầu nghỉ]]),0),
$AA12&lt;VLOOKUP(AC$6, Table_ChiPhiNV_Ca[], COUNTA(Table_ChiPhiNV_Ca[[#Headers],[Ca]:[Kết thúc nghỉ]]),0)
),0,
IF(NOT(ISBLANK(AC$3)),
IF(ISBLANK(AC$7),0,
IF(AC$4 &lt; AC$5,
IF($AA12-$Z$4&lt;AC$4,0,
IF($AA12&gt;AC$5,0,
SUM(_xlfn._xlws.FILTER(Table_BangLuong_TyLeTangCa[Tỷ lệ],
(Table_BangLuong_TyLeTangCa[Ngày] = AC$3) *
(Table_BangLuong_TyLeTangCa[Giờ min]&lt;=$AA12) *
(Table_BangLuong_TyLeTangCa[Giờ max]&gt;$AA12)
)))),
IF(AND($AA12-$Z$4 &gt;= AC$5,$AA12 &lt; AC$4),0,
SUM(_xlfn._xlws.FILTER(Table_BangLuong_TyLeTangCa[Tỷ lệ],
(Table_BangLuong_TyLeTangCa[Ngày] = AC$3) *
(Table_BangLuong_TyLeTangCa[Giờ min]&lt;=$AA12) *
(Table_BangLuong_TyLeTangCa[Giờ max]&gt;$AA12)
))))
),
IF(ISBLANK(AC$7),
IF(VLOOKUP(AC$6, Table_ChiPhiNV_Ca[], COUNTA(Table_ChiPhiNV_Ca[[#Headers],[Ca]:[Kết thúc]]),0)&gt; VLOOKUP(AC$6, Table_ChiPhiNV_Ca[], COUNTA(Table_ChiPhiNV_Ca[[#Headers],[Ca]:[Bắt đầu]]),0),
IF($AA12-$Z$4&lt;MAX(AC$4,VLOOKUP(AC$6, Table_ChiPhiNV_Ca[], COUNTA(Table_ChiPhiNV_Ca[[#Headers],[Ca]:[Bắt đầu]]),0)),0,
IF($AA12&gt;MIN(AC$5,VLOOKUP(AC$6, Table_ChiPhiNV_Ca[], COUNTA(Table_ChiPhiNV_Ca[[#Headers],[Ca]:[Kết thúc]]),0)),0,
SUM(_xlfn._xlws.FILTER(Table_BangLuong_TyLeTangCa[Tỷ lệ],
(Table_BangLuong_TyLeTangCa[Ngày] = "Thường") *
(Table_BangLuong_TyLeTangCa[Giờ min]&lt;=$AA12) *
(Table_BangLuong_TyLeTangCa[Giờ max]&gt;$AA12)
)))),
IF(AC$4 &gt; AC$5,
IF(
AND(
$AA12-$Z$4&lt;MAX(AC$4,VLOOKUP(AC$6, Table_ChiPhiNV_Ca[], COUNTA(Table_ChiPhiNV_Ca[[#Headers],[Ca]:[Bắt đầu]]),0)),
$AA12&gt;MIN(AC$5,VLOOKUP(AC$6, Table_ChiPhiNV_Ca[], COUNTA(Table_ChiPhiNV_Ca[[#Headers],[Ca]:[Kết thúc]]),0))),0,
SUM(_xlfn._xlws.FILTER(Table_BangLuong_TyLeTangCa[Tỷ lệ],
(Table_BangLuong_TyLeTangCa[Ngày] = "Thường") *
(Table_BangLuong_TyLeTangCa[Giờ min]&lt;=$AA12) *
(Table_BangLuong_TyLeTangCa[Giờ max]&gt;$AA12)
))),
IF(
AND(
$AA12-$Z$4&gt;=MAX(AC$4,VLOOKUP(AC$6, Table_ChiPhiNV_Ca[], COUNTA(Table_ChiPhiNV_Ca[[#Headers],[Ca]:[Bắt đầu]]),0)),
$AA12&lt;MIN(AC$5,VLOOKUP(AC$6, Table_ChiPhiNV_Ca[], COUNTA(Table_ChiPhiNV_Ca[[#Headers],[Ca]:[Kết thúc]]),0))),
SUM(_xlfn._xlws.FILTER(Table_BangLuong_TyLeTangCa[Tỷ lệ],
(Table_BangLuong_TyLeTangCa[Ngày] = "Thường") *
(Table_BangLuong_TyLeTangCa[Giờ min]&lt;=$AA12) *
(Table_BangLuong_TyLeTangCa[Giờ max]&gt;$AA12)
)),0)
)),
IF(AC$4 &lt; AC$5,
IF($AA12-$Z$4&lt;AC$4,0,
IF($AA12&gt;AC$5,0,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AC$5,$AA12 &lt; AC$4),0,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D12" s="18" cm="1">
        <f t="array" ref="AD12" xml:space="preserve">
IFERROR(
IF(AD$1="",0,
IF(AND(
$AA12&gt;=VLOOKUP(AD$6, Table_ChiPhiNV_Ca[], COUNTA(Table_ChiPhiNV_Ca[[#Headers],[Ca]:[Bắt đầu nghỉ]]),0),
$AA12&lt;VLOOKUP(AD$6, Table_ChiPhiNV_Ca[], COUNTA(Table_ChiPhiNV_Ca[[#Headers],[Ca]:[Kết thúc nghỉ]]),0)
),0,
IF(NOT(ISBLANK(AD$3)),
IF(ISBLANK(AD$7),0,
IF(AD$4 &lt; AD$5,
IF($AA12-$Z$4&lt;AD$4,0,
IF($AA12&gt;AD$5,0,
SUM(_xlfn._xlws.FILTER(Table_BangLuong_TyLeTangCa[Tỷ lệ],
(Table_BangLuong_TyLeTangCa[Ngày] = AD$3) *
(Table_BangLuong_TyLeTangCa[Giờ min]&lt;=$AA12) *
(Table_BangLuong_TyLeTangCa[Giờ max]&gt;$AA12)
)))),
IF(AND($AA12-$Z$4 &gt;= AD$5,$AA12 &lt; AD$4),0,
SUM(_xlfn._xlws.FILTER(Table_BangLuong_TyLeTangCa[Tỷ lệ],
(Table_BangLuong_TyLeTangCa[Ngày] = AD$3) *
(Table_BangLuong_TyLeTangCa[Giờ min]&lt;=$AA12) *
(Table_BangLuong_TyLeTangCa[Giờ max]&gt;$AA12)
))))
),
IF(ISBLANK(AD$7),
IF(VLOOKUP(AD$6, Table_ChiPhiNV_Ca[], COUNTA(Table_ChiPhiNV_Ca[[#Headers],[Ca]:[Kết thúc]]),0)&gt; VLOOKUP(AD$6, Table_ChiPhiNV_Ca[], COUNTA(Table_ChiPhiNV_Ca[[#Headers],[Ca]:[Bắt đầu]]),0),
IF($AA12-$Z$4&lt;MAX(AD$4,VLOOKUP(AD$6, Table_ChiPhiNV_Ca[], COUNTA(Table_ChiPhiNV_Ca[[#Headers],[Ca]:[Bắt đầu]]),0)),0,
IF($AA12&gt;MIN(AD$5,VLOOKUP(AD$6, Table_ChiPhiNV_Ca[], COUNTA(Table_ChiPhiNV_Ca[[#Headers],[Ca]:[Kết thúc]]),0)),0,
SUM(_xlfn._xlws.FILTER(Table_BangLuong_TyLeTangCa[Tỷ lệ],
(Table_BangLuong_TyLeTangCa[Ngày] = "Thường") *
(Table_BangLuong_TyLeTangCa[Giờ min]&lt;=$AA12) *
(Table_BangLuong_TyLeTangCa[Giờ max]&gt;$AA12)
)))),
IF(AD$4 &gt; AD$5,
IF(
AND(
$AA12-$Z$4&lt;MAX(AD$4,VLOOKUP(AD$6, Table_ChiPhiNV_Ca[], COUNTA(Table_ChiPhiNV_Ca[[#Headers],[Ca]:[Bắt đầu]]),0)),
$AA12&gt;MIN(AD$5,VLOOKUP(AD$6, Table_ChiPhiNV_Ca[], COUNTA(Table_ChiPhiNV_Ca[[#Headers],[Ca]:[Kết thúc]]),0))),0,
SUM(_xlfn._xlws.FILTER(Table_BangLuong_TyLeTangCa[Tỷ lệ],
(Table_BangLuong_TyLeTangCa[Ngày] = "Thường") *
(Table_BangLuong_TyLeTangCa[Giờ min]&lt;=$AA12) *
(Table_BangLuong_TyLeTangCa[Giờ max]&gt;$AA12)
))),
IF(
AND(
$AA12-$Z$4&gt;=MAX(AD$4,VLOOKUP(AD$6, Table_ChiPhiNV_Ca[], COUNTA(Table_ChiPhiNV_Ca[[#Headers],[Ca]:[Bắt đầu]]),0)),
$AA12&lt;MIN(AD$5,VLOOKUP(AD$6, Table_ChiPhiNV_Ca[], COUNTA(Table_ChiPhiNV_Ca[[#Headers],[Ca]:[Kết thúc]]),0))),
SUM(_xlfn._xlws.FILTER(Table_BangLuong_TyLeTangCa[Tỷ lệ],
(Table_BangLuong_TyLeTangCa[Ngày] = "Thường") *
(Table_BangLuong_TyLeTangCa[Giờ min]&lt;=$AA12) *
(Table_BangLuong_TyLeTangCa[Giờ max]&gt;$AA12)
)),0)
)),
IF(AD$4 &lt; AD$5,
IF($AA12-$Z$4&lt;AD$4,0,
IF($AA12&gt;AD$5,0,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AD$5,$AA12 &lt; AD$4),0,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E12" s="18" cm="1">
        <f t="array" ref="AE12" xml:space="preserve">
IFERROR(
IF(AE$1="",0,
IF(AND(
$AA12&gt;=VLOOKUP(AE$6, Table_ChiPhiNV_Ca[], COUNTA(Table_ChiPhiNV_Ca[[#Headers],[Ca]:[Bắt đầu nghỉ]]),0),
$AA12&lt;VLOOKUP(AE$6, Table_ChiPhiNV_Ca[], COUNTA(Table_ChiPhiNV_Ca[[#Headers],[Ca]:[Kết thúc nghỉ]]),0)
),0,
IF(NOT(ISBLANK(AE$3)),
IF(ISBLANK(AE$7),0,
IF(AE$4 &lt; AE$5,
IF($AA12-$Z$4&lt;AE$4,0,
IF($AA12&gt;AE$5,0,
SUM(_xlfn._xlws.FILTER(Table_BangLuong_TyLeTangCa[Tỷ lệ],
(Table_BangLuong_TyLeTangCa[Ngày] = AE$3) *
(Table_BangLuong_TyLeTangCa[Giờ min]&lt;=$AA12) *
(Table_BangLuong_TyLeTangCa[Giờ max]&gt;$AA12)
)))),
IF(AND($AA12-$Z$4 &gt;= AE$5,$AA12 &lt; AE$4),0,
SUM(_xlfn._xlws.FILTER(Table_BangLuong_TyLeTangCa[Tỷ lệ],
(Table_BangLuong_TyLeTangCa[Ngày] = AE$3) *
(Table_BangLuong_TyLeTangCa[Giờ min]&lt;=$AA12) *
(Table_BangLuong_TyLeTangCa[Giờ max]&gt;$AA12)
))))
),
IF(ISBLANK(AE$7),
IF(VLOOKUP(AE$6, Table_ChiPhiNV_Ca[], COUNTA(Table_ChiPhiNV_Ca[[#Headers],[Ca]:[Kết thúc]]),0)&gt; VLOOKUP(AE$6, Table_ChiPhiNV_Ca[], COUNTA(Table_ChiPhiNV_Ca[[#Headers],[Ca]:[Bắt đầu]]),0),
IF($AA12-$Z$4&lt;MAX(AE$4,VLOOKUP(AE$6, Table_ChiPhiNV_Ca[], COUNTA(Table_ChiPhiNV_Ca[[#Headers],[Ca]:[Bắt đầu]]),0)),0,
IF($AA12&gt;MIN(AE$5,VLOOKUP(AE$6, Table_ChiPhiNV_Ca[], COUNTA(Table_ChiPhiNV_Ca[[#Headers],[Ca]:[Kết thúc]]),0)),0,
SUM(_xlfn._xlws.FILTER(Table_BangLuong_TyLeTangCa[Tỷ lệ],
(Table_BangLuong_TyLeTangCa[Ngày] = "Thường") *
(Table_BangLuong_TyLeTangCa[Giờ min]&lt;=$AA12) *
(Table_BangLuong_TyLeTangCa[Giờ max]&gt;$AA12)
)))),
IF(AE$4 &gt; AE$5,
IF(
AND(
$AA12-$Z$4&lt;MAX(AE$4,VLOOKUP(AE$6, Table_ChiPhiNV_Ca[], COUNTA(Table_ChiPhiNV_Ca[[#Headers],[Ca]:[Bắt đầu]]),0)),
$AA12&gt;MIN(AE$5,VLOOKUP(AE$6, Table_ChiPhiNV_Ca[], COUNTA(Table_ChiPhiNV_Ca[[#Headers],[Ca]:[Kết thúc]]),0))),0,
SUM(_xlfn._xlws.FILTER(Table_BangLuong_TyLeTangCa[Tỷ lệ],
(Table_BangLuong_TyLeTangCa[Ngày] = "Thường") *
(Table_BangLuong_TyLeTangCa[Giờ min]&lt;=$AA12) *
(Table_BangLuong_TyLeTangCa[Giờ max]&gt;$AA12)
))),
IF(
AND(
$AA12-$Z$4&gt;=MAX(AE$4,VLOOKUP(AE$6, Table_ChiPhiNV_Ca[], COUNTA(Table_ChiPhiNV_Ca[[#Headers],[Ca]:[Bắt đầu]]),0)),
$AA12&lt;MIN(AE$5,VLOOKUP(AE$6, Table_ChiPhiNV_Ca[], COUNTA(Table_ChiPhiNV_Ca[[#Headers],[Ca]:[Kết thúc]]),0))),
SUM(_xlfn._xlws.FILTER(Table_BangLuong_TyLeTangCa[Tỷ lệ],
(Table_BangLuong_TyLeTangCa[Ngày] = "Thường") *
(Table_BangLuong_TyLeTangCa[Giờ min]&lt;=$AA12) *
(Table_BangLuong_TyLeTangCa[Giờ max]&gt;$AA12)
)),0)
)),
IF(AE$4 &lt; AE$5,
IF($AA12-$Z$4&lt;AE$4,0,
IF($AA12&gt;AE$5,0,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AE$5,$AA12 &lt; AE$4),0,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F12" s="18" cm="1">
        <f t="array" ref="AF12" xml:space="preserve">
IFERROR(
IF(AF$1="",0,
IF(AND(
$AA12&gt;=VLOOKUP(AF$6, Table_ChiPhiNV_Ca[], COUNTA(Table_ChiPhiNV_Ca[[#Headers],[Ca]:[Bắt đầu nghỉ]]),0),
$AA12&lt;VLOOKUP(AF$6, Table_ChiPhiNV_Ca[], COUNTA(Table_ChiPhiNV_Ca[[#Headers],[Ca]:[Kết thúc nghỉ]]),0)
),0,
IF(NOT(ISBLANK(AF$3)),
IF(ISBLANK(AF$7),0,
IF(AF$4 &lt; AF$5,
IF($AA12-$Z$4&lt;AF$4,0,
IF($AA12&gt;AF$5,0,
SUM(_xlfn._xlws.FILTER(Table_BangLuong_TyLeTangCa[Tỷ lệ],
(Table_BangLuong_TyLeTangCa[Ngày] = AF$3) *
(Table_BangLuong_TyLeTangCa[Giờ min]&lt;=$AA12) *
(Table_BangLuong_TyLeTangCa[Giờ max]&gt;$AA12)
)))),
IF(AND($AA12-$Z$4 &gt;= AF$5,$AA12 &lt; AF$4),0,
SUM(_xlfn._xlws.FILTER(Table_BangLuong_TyLeTangCa[Tỷ lệ],
(Table_BangLuong_TyLeTangCa[Ngày] = AF$3) *
(Table_BangLuong_TyLeTangCa[Giờ min]&lt;=$AA12) *
(Table_BangLuong_TyLeTangCa[Giờ max]&gt;$AA12)
))))
),
IF(ISBLANK(AF$7),
IF(VLOOKUP(AF$6, Table_ChiPhiNV_Ca[], COUNTA(Table_ChiPhiNV_Ca[[#Headers],[Ca]:[Kết thúc]]),0)&gt; VLOOKUP(AF$6, Table_ChiPhiNV_Ca[], COUNTA(Table_ChiPhiNV_Ca[[#Headers],[Ca]:[Bắt đầu]]),0),
IF($AA12-$Z$4&lt;MAX(AF$4,VLOOKUP(AF$6, Table_ChiPhiNV_Ca[], COUNTA(Table_ChiPhiNV_Ca[[#Headers],[Ca]:[Bắt đầu]]),0)),0,
IF($AA12&gt;MIN(AF$5,VLOOKUP(AF$6, Table_ChiPhiNV_Ca[], COUNTA(Table_ChiPhiNV_Ca[[#Headers],[Ca]:[Kết thúc]]),0)),0,
SUM(_xlfn._xlws.FILTER(Table_BangLuong_TyLeTangCa[Tỷ lệ],
(Table_BangLuong_TyLeTangCa[Ngày] = "Thường") *
(Table_BangLuong_TyLeTangCa[Giờ min]&lt;=$AA12) *
(Table_BangLuong_TyLeTangCa[Giờ max]&gt;$AA12)
)))),
IF(AF$4 &gt; AF$5,
IF(
AND(
$AA12-$Z$4&lt;MAX(AF$4,VLOOKUP(AF$6, Table_ChiPhiNV_Ca[], COUNTA(Table_ChiPhiNV_Ca[[#Headers],[Ca]:[Bắt đầu]]),0)),
$AA12&gt;MIN(AF$5,VLOOKUP(AF$6, Table_ChiPhiNV_Ca[], COUNTA(Table_ChiPhiNV_Ca[[#Headers],[Ca]:[Kết thúc]]),0))),0,
SUM(_xlfn._xlws.FILTER(Table_BangLuong_TyLeTangCa[Tỷ lệ],
(Table_BangLuong_TyLeTangCa[Ngày] = "Thường") *
(Table_BangLuong_TyLeTangCa[Giờ min]&lt;=$AA12) *
(Table_BangLuong_TyLeTangCa[Giờ max]&gt;$AA12)
))),
IF(
AND(
$AA12-$Z$4&gt;=MAX(AF$4,VLOOKUP(AF$6, Table_ChiPhiNV_Ca[], COUNTA(Table_ChiPhiNV_Ca[[#Headers],[Ca]:[Bắt đầu]]),0)),
$AA12&lt;MIN(AF$5,VLOOKUP(AF$6, Table_ChiPhiNV_Ca[], COUNTA(Table_ChiPhiNV_Ca[[#Headers],[Ca]:[Kết thúc]]),0))),
SUM(_xlfn._xlws.FILTER(Table_BangLuong_TyLeTangCa[Tỷ lệ],
(Table_BangLuong_TyLeTangCa[Ngày] = "Thường") *
(Table_BangLuong_TyLeTangCa[Giờ min]&lt;=$AA12) *
(Table_BangLuong_TyLeTangCa[Giờ max]&gt;$AA12)
)),0)
)),
IF(AF$4 &lt; AF$5,
IF($AA12-$Z$4&lt;AF$4,0,
IF($AA12&gt;AF$5,0,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AF$5,$AA12 &lt; AF$4),0,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G12" s="18" cm="1">
        <f t="array" ref="AG12" xml:space="preserve">
IFERROR(
IF(AG$1="",0,
IF(AND(
$AA12&gt;=VLOOKUP(AG$6, Table_ChiPhiNV_Ca[], COUNTA(Table_ChiPhiNV_Ca[[#Headers],[Ca]:[Bắt đầu nghỉ]]),0),
$AA12&lt;VLOOKUP(AG$6, Table_ChiPhiNV_Ca[], COUNTA(Table_ChiPhiNV_Ca[[#Headers],[Ca]:[Kết thúc nghỉ]]),0)
),0,
IF(NOT(ISBLANK(AG$3)),
IF(ISBLANK(AG$7),0,
IF(AG$4 &lt; AG$5,
IF($AA12-$Z$4&lt;AG$4,0,
IF($AA12&gt;AG$5,0,
SUM(_xlfn._xlws.FILTER(Table_BangLuong_TyLeTangCa[Tỷ lệ],
(Table_BangLuong_TyLeTangCa[Ngày] = AG$3) *
(Table_BangLuong_TyLeTangCa[Giờ min]&lt;=$AA12) *
(Table_BangLuong_TyLeTangCa[Giờ max]&gt;$AA12)
)))),
IF(AND($AA12-$Z$4 &gt;= AG$5,$AA12 &lt; AG$4),0,
SUM(_xlfn._xlws.FILTER(Table_BangLuong_TyLeTangCa[Tỷ lệ],
(Table_BangLuong_TyLeTangCa[Ngày] = AG$3) *
(Table_BangLuong_TyLeTangCa[Giờ min]&lt;=$AA12) *
(Table_BangLuong_TyLeTangCa[Giờ max]&gt;$AA12)
))))
),
IF(ISBLANK(AG$7),
IF(VLOOKUP(AG$6, Table_ChiPhiNV_Ca[], COUNTA(Table_ChiPhiNV_Ca[[#Headers],[Ca]:[Kết thúc]]),0)&gt; VLOOKUP(AG$6, Table_ChiPhiNV_Ca[], COUNTA(Table_ChiPhiNV_Ca[[#Headers],[Ca]:[Bắt đầu]]),0),
IF($AA12-$Z$4&lt;MAX(AG$4,VLOOKUP(AG$6, Table_ChiPhiNV_Ca[], COUNTA(Table_ChiPhiNV_Ca[[#Headers],[Ca]:[Bắt đầu]]),0)),0,
IF($AA12&gt;MIN(AG$5,VLOOKUP(AG$6, Table_ChiPhiNV_Ca[], COUNTA(Table_ChiPhiNV_Ca[[#Headers],[Ca]:[Kết thúc]]),0)),0,
SUM(_xlfn._xlws.FILTER(Table_BangLuong_TyLeTangCa[Tỷ lệ],
(Table_BangLuong_TyLeTangCa[Ngày] = "Thường") *
(Table_BangLuong_TyLeTangCa[Giờ min]&lt;=$AA12) *
(Table_BangLuong_TyLeTangCa[Giờ max]&gt;$AA12)
)))),
IF(AG$4 &gt; AG$5,
IF(
AND(
$AA12-$Z$4&lt;MAX(AG$4,VLOOKUP(AG$6, Table_ChiPhiNV_Ca[], COUNTA(Table_ChiPhiNV_Ca[[#Headers],[Ca]:[Bắt đầu]]),0)),
$AA12&gt;MIN(AG$5,VLOOKUP(AG$6, Table_ChiPhiNV_Ca[], COUNTA(Table_ChiPhiNV_Ca[[#Headers],[Ca]:[Kết thúc]]),0))),0,
SUM(_xlfn._xlws.FILTER(Table_BangLuong_TyLeTangCa[Tỷ lệ],
(Table_BangLuong_TyLeTangCa[Ngày] = "Thường") *
(Table_BangLuong_TyLeTangCa[Giờ min]&lt;=$AA12) *
(Table_BangLuong_TyLeTangCa[Giờ max]&gt;$AA12)
))),
IF(
AND(
$AA12-$Z$4&gt;=MAX(AG$4,VLOOKUP(AG$6, Table_ChiPhiNV_Ca[], COUNTA(Table_ChiPhiNV_Ca[[#Headers],[Ca]:[Bắt đầu]]),0)),
$AA12&lt;MIN(AG$5,VLOOKUP(AG$6, Table_ChiPhiNV_Ca[], COUNTA(Table_ChiPhiNV_Ca[[#Headers],[Ca]:[Kết thúc]]),0))),
SUM(_xlfn._xlws.FILTER(Table_BangLuong_TyLeTangCa[Tỷ lệ],
(Table_BangLuong_TyLeTangCa[Ngày] = "Thường") *
(Table_BangLuong_TyLeTangCa[Giờ min]&lt;=$AA12) *
(Table_BangLuong_TyLeTangCa[Giờ max]&gt;$AA12)
)),0)
)),
IF(AG$4 &lt; AG$5,
IF($AA12-$Z$4&lt;AG$4,0,
IF($AA12&gt;AG$5,0,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AG$5,$AA12 &lt; AG$4),0,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H12" s="18" cm="1">
        <f t="array" ref="AH12" xml:space="preserve">
IFERROR(
IF(AH$1="",0,
IF(AND(
$AA12&gt;=VLOOKUP(AH$6, Table_ChiPhiNV_Ca[], COUNTA(Table_ChiPhiNV_Ca[[#Headers],[Ca]:[Bắt đầu nghỉ]]),0),
$AA12&lt;VLOOKUP(AH$6, Table_ChiPhiNV_Ca[], COUNTA(Table_ChiPhiNV_Ca[[#Headers],[Ca]:[Kết thúc nghỉ]]),0)
),0,
IF(NOT(ISBLANK(AH$3)),
IF(ISBLANK(AH$7),0,
IF(AH$4 &lt; AH$5,
IF($AA12-$Z$4&lt;AH$4,0,
IF($AA12&gt;AH$5,0,
SUM(_xlfn._xlws.FILTER(Table_BangLuong_TyLeTangCa[Tỷ lệ],
(Table_BangLuong_TyLeTangCa[Ngày] = AH$3) *
(Table_BangLuong_TyLeTangCa[Giờ min]&lt;=$AA12) *
(Table_BangLuong_TyLeTangCa[Giờ max]&gt;$AA12)
)))),
IF(AND($AA12-$Z$4 &gt;= AH$5,$AA12 &lt; AH$4),0,
SUM(_xlfn._xlws.FILTER(Table_BangLuong_TyLeTangCa[Tỷ lệ],
(Table_BangLuong_TyLeTangCa[Ngày] = AH$3) *
(Table_BangLuong_TyLeTangCa[Giờ min]&lt;=$AA12) *
(Table_BangLuong_TyLeTangCa[Giờ max]&gt;$AA12)
))))
),
IF(ISBLANK(AH$7),
IF(VLOOKUP(AH$6, Table_ChiPhiNV_Ca[], COUNTA(Table_ChiPhiNV_Ca[[#Headers],[Ca]:[Kết thúc]]),0)&gt; VLOOKUP(AH$6, Table_ChiPhiNV_Ca[], COUNTA(Table_ChiPhiNV_Ca[[#Headers],[Ca]:[Bắt đầu]]),0),
IF($AA12-$Z$4&lt;MAX(AH$4,VLOOKUP(AH$6, Table_ChiPhiNV_Ca[], COUNTA(Table_ChiPhiNV_Ca[[#Headers],[Ca]:[Bắt đầu]]),0)),0,
IF($AA12&gt;MIN(AH$5,VLOOKUP(AH$6, Table_ChiPhiNV_Ca[], COUNTA(Table_ChiPhiNV_Ca[[#Headers],[Ca]:[Kết thúc]]),0)),0,
SUM(_xlfn._xlws.FILTER(Table_BangLuong_TyLeTangCa[Tỷ lệ],
(Table_BangLuong_TyLeTangCa[Ngày] = "Thường") *
(Table_BangLuong_TyLeTangCa[Giờ min]&lt;=$AA12) *
(Table_BangLuong_TyLeTangCa[Giờ max]&gt;$AA12)
)))),
IF(AH$4 &gt; AH$5,
IF(
AND(
$AA12-$Z$4&lt;MAX(AH$4,VLOOKUP(AH$6, Table_ChiPhiNV_Ca[], COUNTA(Table_ChiPhiNV_Ca[[#Headers],[Ca]:[Bắt đầu]]),0)),
$AA12&gt;MIN(AH$5,VLOOKUP(AH$6, Table_ChiPhiNV_Ca[], COUNTA(Table_ChiPhiNV_Ca[[#Headers],[Ca]:[Kết thúc]]),0))),0,
SUM(_xlfn._xlws.FILTER(Table_BangLuong_TyLeTangCa[Tỷ lệ],
(Table_BangLuong_TyLeTangCa[Ngày] = "Thường") *
(Table_BangLuong_TyLeTangCa[Giờ min]&lt;=$AA12) *
(Table_BangLuong_TyLeTangCa[Giờ max]&gt;$AA12)
))),
IF(
AND(
$AA12-$Z$4&gt;=MAX(AH$4,VLOOKUP(AH$6, Table_ChiPhiNV_Ca[], COUNTA(Table_ChiPhiNV_Ca[[#Headers],[Ca]:[Bắt đầu]]),0)),
$AA12&lt;MIN(AH$5,VLOOKUP(AH$6, Table_ChiPhiNV_Ca[], COUNTA(Table_ChiPhiNV_Ca[[#Headers],[Ca]:[Kết thúc]]),0))),
SUM(_xlfn._xlws.FILTER(Table_BangLuong_TyLeTangCa[Tỷ lệ],
(Table_BangLuong_TyLeTangCa[Ngày] = "Thường") *
(Table_BangLuong_TyLeTangCa[Giờ min]&lt;=$AA12) *
(Table_BangLuong_TyLeTangCa[Giờ max]&gt;$AA12)
)),0)
)),
IF(AH$4 &lt; AH$5,
IF($AA12-$Z$4&lt;AH$4,0,
IF($AA12&gt;AH$5,0,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AH$5,$AA12 &lt; AH$4),0,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I12" s="18" cm="1">
        <f t="array" ref="AI12" xml:space="preserve">
IFERROR(
IF(AI$1="",0,
IF(AND(
$AA12&gt;=VLOOKUP(AI$6, Table_ChiPhiNV_Ca[], COUNTA(Table_ChiPhiNV_Ca[[#Headers],[Ca]:[Bắt đầu nghỉ]]),0),
$AA12&lt;VLOOKUP(AI$6, Table_ChiPhiNV_Ca[], COUNTA(Table_ChiPhiNV_Ca[[#Headers],[Ca]:[Kết thúc nghỉ]]),0)
),0,
IF(NOT(ISBLANK(AI$3)),
IF(ISBLANK(AI$7),0,
IF(AI$4 &lt; AI$5,
IF($AA12-$Z$4&lt;AI$4,0,
IF($AA12&gt;AI$5,0,
SUM(_xlfn._xlws.FILTER(Table_BangLuong_TyLeTangCa[Tỷ lệ],
(Table_BangLuong_TyLeTangCa[Ngày] = AI$3) *
(Table_BangLuong_TyLeTangCa[Giờ min]&lt;=$AA12) *
(Table_BangLuong_TyLeTangCa[Giờ max]&gt;$AA12)
)))),
IF(AND($AA12-$Z$4 &gt;= AI$5,$AA12 &lt; AI$4),0,
SUM(_xlfn._xlws.FILTER(Table_BangLuong_TyLeTangCa[Tỷ lệ],
(Table_BangLuong_TyLeTangCa[Ngày] = AI$3) *
(Table_BangLuong_TyLeTangCa[Giờ min]&lt;=$AA12) *
(Table_BangLuong_TyLeTangCa[Giờ max]&gt;$AA12)
))))
),
IF(ISBLANK(AI$7),
IF(VLOOKUP(AI$6, Table_ChiPhiNV_Ca[], COUNTA(Table_ChiPhiNV_Ca[[#Headers],[Ca]:[Kết thúc]]),0)&gt; VLOOKUP(AI$6, Table_ChiPhiNV_Ca[], COUNTA(Table_ChiPhiNV_Ca[[#Headers],[Ca]:[Bắt đầu]]),0),
IF($AA12-$Z$4&lt;MAX(AI$4,VLOOKUP(AI$6, Table_ChiPhiNV_Ca[], COUNTA(Table_ChiPhiNV_Ca[[#Headers],[Ca]:[Bắt đầu]]),0)),0,
IF($AA12&gt;MIN(AI$5,VLOOKUP(AI$6, Table_ChiPhiNV_Ca[], COUNTA(Table_ChiPhiNV_Ca[[#Headers],[Ca]:[Kết thúc]]),0)),0,
SUM(_xlfn._xlws.FILTER(Table_BangLuong_TyLeTangCa[Tỷ lệ],
(Table_BangLuong_TyLeTangCa[Ngày] = "Thường") *
(Table_BangLuong_TyLeTangCa[Giờ min]&lt;=$AA12) *
(Table_BangLuong_TyLeTangCa[Giờ max]&gt;$AA12)
)))),
IF(AI$4 &gt; AI$5,
IF(
AND(
$AA12-$Z$4&lt;MAX(AI$4,VLOOKUP(AI$6, Table_ChiPhiNV_Ca[], COUNTA(Table_ChiPhiNV_Ca[[#Headers],[Ca]:[Bắt đầu]]),0)),
$AA12&gt;MIN(AI$5,VLOOKUP(AI$6, Table_ChiPhiNV_Ca[], COUNTA(Table_ChiPhiNV_Ca[[#Headers],[Ca]:[Kết thúc]]),0))),0,
SUM(_xlfn._xlws.FILTER(Table_BangLuong_TyLeTangCa[Tỷ lệ],
(Table_BangLuong_TyLeTangCa[Ngày] = "Thường") *
(Table_BangLuong_TyLeTangCa[Giờ min]&lt;=$AA12) *
(Table_BangLuong_TyLeTangCa[Giờ max]&gt;$AA12)
))),
IF(
AND(
$AA12-$Z$4&gt;=MAX(AI$4,VLOOKUP(AI$6, Table_ChiPhiNV_Ca[], COUNTA(Table_ChiPhiNV_Ca[[#Headers],[Ca]:[Bắt đầu]]),0)),
$AA12&lt;MIN(AI$5,VLOOKUP(AI$6, Table_ChiPhiNV_Ca[], COUNTA(Table_ChiPhiNV_Ca[[#Headers],[Ca]:[Kết thúc]]),0))),
SUM(_xlfn._xlws.FILTER(Table_BangLuong_TyLeTangCa[Tỷ lệ],
(Table_BangLuong_TyLeTangCa[Ngày] = "Thường") *
(Table_BangLuong_TyLeTangCa[Giờ min]&lt;=$AA12) *
(Table_BangLuong_TyLeTangCa[Giờ max]&gt;$AA12)
)),0)
)),
IF(AI$4 &lt; AI$5,
IF($AA12-$Z$4&lt;AI$4,0,
IF($AA12&gt;AI$5,0,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AI$5,$AA12 &lt; AI$4),0,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J12" s="18" cm="1">
        <f t="array" ref="AJ12" xml:space="preserve">
IFERROR(
IF(AJ$1="",0,
IF(AND(
$AA12&gt;=VLOOKUP(AJ$6, Table_ChiPhiNV_Ca[], COUNTA(Table_ChiPhiNV_Ca[[#Headers],[Ca]:[Bắt đầu nghỉ]]),0),
$AA12&lt;VLOOKUP(AJ$6, Table_ChiPhiNV_Ca[], COUNTA(Table_ChiPhiNV_Ca[[#Headers],[Ca]:[Kết thúc nghỉ]]),0)
),0,
IF(NOT(ISBLANK(AJ$3)),
IF(ISBLANK(AJ$7),0,
IF(AJ$4 &lt; AJ$5,
IF($AA12-$Z$4&lt;AJ$4,0,
IF($AA12&gt;AJ$5,0,
SUM(_xlfn._xlws.FILTER(Table_BangLuong_TyLeTangCa[Tỷ lệ],
(Table_BangLuong_TyLeTangCa[Ngày] = AJ$3) *
(Table_BangLuong_TyLeTangCa[Giờ min]&lt;=$AA12) *
(Table_BangLuong_TyLeTangCa[Giờ max]&gt;$AA12)
)))),
IF(AND($AA12-$Z$4 &gt;= AJ$5,$AA12 &lt; AJ$4),0,
SUM(_xlfn._xlws.FILTER(Table_BangLuong_TyLeTangCa[Tỷ lệ],
(Table_BangLuong_TyLeTangCa[Ngày] = AJ$3) *
(Table_BangLuong_TyLeTangCa[Giờ min]&lt;=$AA12) *
(Table_BangLuong_TyLeTangCa[Giờ max]&gt;$AA12)
))))
),
IF(ISBLANK(AJ$7),
IF(VLOOKUP(AJ$6, Table_ChiPhiNV_Ca[], COUNTA(Table_ChiPhiNV_Ca[[#Headers],[Ca]:[Kết thúc]]),0)&gt; VLOOKUP(AJ$6, Table_ChiPhiNV_Ca[], COUNTA(Table_ChiPhiNV_Ca[[#Headers],[Ca]:[Bắt đầu]]),0),
IF($AA12-$Z$4&lt;MAX(AJ$4,VLOOKUP(AJ$6, Table_ChiPhiNV_Ca[], COUNTA(Table_ChiPhiNV_Ca[[#Headers],[Ca]:[Bắt đầu]]),0)),0,
IF($AA12&gt;MIN(AJ$5,VLOOKUP(AJ$6, Table_ChiPhiNV_Ca[], COUNTA(Table_ChiPhiNV_Ca[[#Headers],[Ca]:[Kết thúc]]),0)),0,
SUM(_xlfn._xlws.FILTER(Table_BangLuong_TyLeTangCa[Tỷ lệ],
(Table_BangLuong_TyLeTangCa[Ngày] = "Thường") *
(Table_BangLuong_TyLeTangCa[Giờ min]&lt;=$AA12) *
(Table_BangLuong_TyLeTangCa[Giờ max]&gt;$AA12)
)))),
IF(AJ$4 &gt; AJ$5,
IF(
AND(
$AA12-$Z$4&lt;MAX(AJ$4,VLOOKUP(AJ$6, Table_ChiPhiNV_Ca[], COUNTA(Table_ChiPhiNV_Ca[[#Headers],[Ca]:[Bắt đầu]]),0)),
$AA12&gt;MIN(AJ$5,VLOOKUP(AJ$6, Table_ChiPhiNV_Ca[], COUNTA(Table_ChiPhiNV_Ca[[#Headers],[Ca]:[Kết thúc]]),0))),0,
SUM(_xlfn._xlws.FILTER(Table_BangLuong_TyLeTangCa[Tỷ lệ],
(Table_BangLuong_TyLeTangCa[Ngày] = "Thường") *
(Table_BangLuong_TyLeTangCa[Giờ min]&lt;=$AA12) *
(Table_BangLuong_TyLeTangCa[Giờ max]&gt;$AA12)
))),
IF(
AND(
$AA12-$Z$4&gt;=MAX(AJ$4,VLOOKUP(AJ$6, Table_ChiPhiNV_Ca[], COUNTA(Table_ChiPhiNV_Ca[[#Headers],[Ca]:[Bắt đầu]]),0)),
$AA12&lt;MIN(AJ$5,VLOOKUP(AJ$6, Table_ChiPhiNV_Ca[], COUNTA(Table_ChiPhiNV_Ca[[#Headers],[Ca]:[Kết thúc]]),0))),
SUM(_xlfn._xlws.FILTER(Table_BangLuong_TyLeTangCa[Tỷ lệ],
(Table_BangLuong_TyLeTangCa[Ngày] = "Thường") *
(Table_BangLuong_TyLeTangCa[Giờ min]&lt;=$AA12) *
(Table_BangLuong_TyLeTangCa[Giờ max]&gt;$AA12)
)),0)
)),
IF(AJ$4 &lt; AJ$5,
IF($AA12-$Z$4&lt;AJ$4,0,
IF($AA12&gt;AJ$5,0,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AJ$5,$AA12 &lt; AJ$4),0,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K12" s="18" cm="1">
        <f t="array" ref="AK12" xml:space="preserve">
IFERROR(
IF(AK$1="",0,
IF(AND(
$AA12&gt;=VLOOKUP(AK$6, Table_ChiPhiNV_Ca[], COUNTA(Table_ChiPhiNV_Ca[[#Headers],[Ca]:[Bắt đầu nghỉ]]),0),
$AA12&lt;VLOOKUP(AK$6, Table_ChiPhiNV_Ca[], COUNTA(Table_ChiPhiNV_Ca[[#Headers],[Ca]:[Kết thúc nghỉ]]),0)
),0,
IF(NOT(ISBLANK(AK$3)),
IF(ISBLANK(AK$7),0,
IF(AK$4 &lt; AK$5,
IF($AA12-$Z$4&lt;AK$4,0,
IF($AA12&gt;AK$5,0,
SUM(_xlfn._xlws.FILTER(Table_BangLuong_TyLeTangCa[Tỷ lệ],
(Table_BangLuong_TyLeTangCa[Ngày] = AK$3) *
(Table_BangLuong_TyLeTangCa[Giờ min]&lt;=$AA12) *
(Table_BangLuong_TyLeTangCa[Giờ max]&gt;$AA12)
)))),
IF(AND($AA12-$Z$4 &gt;= AK$5,$AA12 &lt; AK$4),0,
SUM(_xlfn._xlws.FILTER(Table_BangLuong_TyLeTangCa[Tỷ lệ],
(Table_BangLuong_TyLeTangCa[Ngày] = AK$3) *
(Table_BangLuong_TyLeTangCa[Giờ min]&lt;=$AA12) *
(Table_BangLuong_TyLeTangCa[Giờ max]&gt;$AA12)
))))
),
IF(ISBLANK(AK$7),
IF(VLOOKUP(AK$6, Table_ChiPhiNV_Ca[], COUNTA(Table_ChiPhiNV_Ca[[#Headers],[Ca]:[Kết thúc]]),0)&gt; VLOOKUP(AK$6, Table_ChiPhiNV_Ca[], COUNTA(Table_ChiPhiNV_Ca[[#Headers],[Ca]:[Bắt đầu]]),0),
IF($AA12-$Z$4&lt;MAX(AK$4,VLOOKUP(AK$6, Table_ChiPhiNV_Ca[], COUNTA(Table_ChiPhiNV_Ca[[#Headers],[Ca]:[Bắt đầu]]),0)),0,
IF($AA12&gt;MIN(AK$5,VLOOKUP(AK$6, Table_ChiPhiNV_Ca[], COUNTA(Table_ChiPhiNV_Ca[[#Headers],[Ca]:[Kết thúc]]),0)),0,
SUM(_xlfn._xlws.FILTER(Table_BangLuong_TyLeTangCa[Tỷ lệ],
(Table_BangLuong_TyLeTangCa[Ngày] = "Thường") *
(Table_BangLuong_TyLeTangCa[Giờ min]&lt;=$AA12) *
(Table_BangLuong_TyLeTangCa[Giờ max]&gt;$AA12)
)))),
IF(AK$4 &gt; AK$5,
IF(
AND(
$AA12-$Z$4&lt;MAX(AK$4,VLOOKUP(AK$6, Table_ChiPhiNV_Ca[], COUNTA(Table_ChiPhiNV_Ca[[#Headers],[Ca]:[Bắt đầu]]),0)),
$AA12&gt;MIN(AK$5,VLOOKUP(AK$6, Table_ChiPhiNV_Ca[], COUNTA(Table_ChiPhiNV_Ca[[#Headers],[Ca]:[Kết thúc]]),0))),0,
SUM(_xlfn._xlws.FILTER(Table_BangLuong_TyLeTangCa[Tỷ lệ],
(Table_BangLuong_TyLeTangCa[Ngày] = "Thường") *
(Table_BangLuong_TyLeTangCa[Giờ min]&lt;=$AA12) *
(Table_BangLuong_TyLeTangCa[Giờ max]&gt;$AA12)
))),
IF(
AND(
$AA12-$Z$4&gt;=MAX(AK$4,VLOOKUP(AK$6, Table_ChiPhiNV_Ca[], COUNTA(Table_ChiPhiNV_Ca[[#Headers],[Ca]:[Bắt đầu]]),0)),
$AA12&lt;MIN(AK$5,VLOOKUP(AK$6, Table_ChiPhiNV_Ca[], COUNTA(Table_ChiPhiNV_Ca[[#Headers],[Ca]:[Kết thúc]]),0))),
SUM(_xlfn._xlws.FILTER(Table_BangLuong_TyLeTangCa[Tỷ lệ],
(Table_BangLuong_TyLeTangCa[Ngày] = "Thường") *
(Table_BangLuong_TyLeTangCa[Giờ min]&lt;=$AA12) *
(Table_BangLuong_TyLeTangCa[Giờ max]&gt;$AA12)
)),0)
)),
IF(AK$4 &lt; AK$5,
IF($AA12-$Z$4&lt;AK$4,0,
IF($AA12&gt;AK$5,0,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AK$5,$AA12 &lt; AK$4),0,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L12" s="18" cm="1">
        <f t="array" ref="AL12" xml:space="preserve">
IFERROR(
IF(AL$1="",0,
IF(AND(
$AA12&gt;=VLOOKUP(AL$6, Table_ChiPhiNV_Ca[], COUNTA(Table_ChiPhiNV_Ca[[#Headers],[Ca]:[Bắt đầu nghỉ]]),0),
$AA12&lt;VLOOKUP(AL$6, Table_ChiPhiNV_Ca[], COUNTA(Table_ChiPhiNV_Ca[[#Headers],[Ca]:[Kết thúc nghỉ]]),0)
),0,
IF(NOT(ISBLANK(AL$3)),
IF(ISBLANK(AL$7),0,
IF(AL$4 &lt; AL$5,
IF($AA12-$Z$4&lt;AL$4,0,
IF($AA12&gt;AL$5,0,
SUM(_xlfn._xlws.FILTER(Table_BangLuong_TyLeTangCa[Tỷ lệ],
(Table_BangLuong_TyLeTangCa[Ngày] = AL$3) *
(Table_BangLuong_TyLeTangCa[Giờ min]&lt;=$AA12) *
(Table_BangLuong_TyLeTangCa[Giờ max]&gt;$AA12)
)))),
IF(AND($AA12-$Z$4 &gt;= AL$5,$AA12 &lt; AL$4),0,
SUM(_xlfn._xlws.FILTER(Table_BangLuong_TyLeTangCa[Tỷ lệ],
(Table_BangLuong_TyLeTangCa[Ngày] = AL$3) *
(Table_BangLuong_TyLeTangCa[Giờ min]&lt;=$AA12) *
(Table_BangLuong_TyLeTangCa[Giờ max]&gt;$AA12)
))))
),
IF(ISBLANK(AL$7),
IF(VLOOKUP(AL$6, Table_ChiPhiNV_Ca[], COUNTA(Table_ChiPhiNV_Ca[[#Headers],[Ca]:[Kết thúc]]),0)&gt; VLOOKUP(AL$6, Table_ChiPhiNV_Ca[], COUNTA(Table_ChiPhiNV_Ca[[#Headers],[Ca]:[Bắt đầu]]),0),
IF($AA12-$Z$4&lt;MAX(AL$4,VLOOKUP(AL$6, Table_ChiPhiNV_Ca[], COUNTA(Table_ChiPhiNV_Ca[[#Headers],[Ca]:[Bắt đầu]]),0)),0,
IF($AA12&gt;MIN(AL$5,VLOOKUP(AL$6, Table_ChiPhiNV_Ca[], COUNTA(Table_ChiPhiNV_Ca[[#Headers],[Ca]:[Kết thúc]]),0)),0,
SUM(_xlfn._xlws.FILTER(Table_BangLuong_TyLeTangCa[Tỷ lệ],
(Table_BangLuong_TyLeTangCa[Ngày] = "Thường") *
(Table_BangLuong_TyLeTangCa[Giờ min]&lt;=$AA12) *
(Table_BangLuong_TyLeTangCa[Giờ max]&gt;$AA12)
)))),
IF(AL$4 &gt; AL$5,
IF(
AND(
$AA12-$Z$4&lt;MAX(AL$4,VLOOKUP(AL$6, Table_ChiPhiNV_Ca[], COUNTA(Table_ChiPhiNV_Ca[[#Headers],[Ca]:[Bắt đầu]]),0)),
$AA12&gt;MIN(AL$5,VLOOKUP(AL$6, Table_ChiPhiNV_Ca[], COUNTA(Table_ChiPhiNV_Ca[[#Headers],[Ca]:[Kết thúc]]),0))),0,
SUM(_xlfn._xlws.FILTER(Table_BangLuong_TyLeTangCa[Tỷ lệ],
(Table_BangLuong_TyLeTangCa[Ngày] = "Thường") *
(Table_BangLuong_TyLeTangCa[Giờ min]&lt;=$AA12) *
(Table_BangLuong_TyLeTangCa[Giờ max]&gt;$AA12)
))),
IF(
AND(
$AA12-$Z$4&gt;=MAX(AL$4,VLOOKUP(AL$6, Table_ChiPhiNV_Ca[], COUNTA(Table_ChiPhiNV_Ca[[#Headers],[Ca]:[Bắt đầu]]),0)),
$AA12&lt;MIN(AL$5,VLOOKUP(AL$6, Table_ChiPhiNV_Ca[], COUNTA(Table_ChiPhiNV_Ca[[#Headers],[Ca]:[Kết thúc]]),0))),
SUM(_xlfn._xlws.FILTER(Table_BangLuong_TyLeTangCa[Tỷ lệ],
(Table_BangLuong_TyLeTangCa[Ngày] = "Thường") *
(Table_BangLuong_TyLeTangCa[Giờ min]&lt;=$AA12) *
(Table_BangLuong_TyLeTangCa[Giờ max]&gt;$AA12)
)),0)
)),
IF(AL$4 &lt; AL$5,
IF($AA12-$Z$4&lt;AL$4,0,
IF($AA12&gt;AL$5,0,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AL$5,$AA12 &lt; AL$4),0,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M12" s="18" cm="1">
        <f t="array" ref="AM12" xml:space="preserve">
IFERROR(
IF(AM$1="",0,
IF(AND(
$AA12&gt;=VLOOKUP(AM$6, Table_ChiPhiNV_Ca[], COUNTA(Table_ChiPhiNV_Ca[[#Headers],[Ca]:[Bắt đầu nghỉ]]),0),
$AA12&lt;VLOOKUP(AM$6, Table_ChiPhiNV_Ca[], COUNTA(Table_ChiPhiNV_Ca[[#Headers],[Ca]:[Kết thúc nghỉ]]),0)
),0,
IF(NOT(ISBLANK(AM$3)),
IF(ISBLANK(AM$7),0,
IF(AM$4 &lt; AM$5,
IF($AA12-$Z$4&lt;AM$4,0,
IF($AA12&gt;AM$5,0,
SUM(_xlfn._xlws.FILTER(Table_BangLuong_TyLeTangCa[Tỷ lệ],
(Table_BangLuong_TyLeTangCa[Ngày] = AM$3) *
(Table_BangLuong_TyLeTangCa[Giờ min]&lt;=$AA12) *
(Table_BangLuong_TyLeTangCa[Giờ max]&gt;$AA12)
)))),
IF(AND($AA12-$Z$4 &gt;= AM$5,$AA12 &lt; AM$4),0,
SUM(_xlfn._xlws.FILTER(Table_BangLuong_TyLeTangCa[Tỷ lệ],
(Table_BangLuong_TyLeTangCa[Ngày] = AM$3) *
(Table_BangLuong_TyLeTangCa[Giờ min]&lt;=$AA12) *
(Table_BangLuong_TyLeTangCa[Giờ max]&gt;$AA12)
))))
),
IF(ISBLANK(AM$7),
IF(VLOOKUP(AM$6, Table_ChiPhiNV_Ca[], COUNTA(Table_ChiPhiNV_Ca[[#Headers],[Ca]:[Kết thúc]]),0)&gt; VLOOKUP(AM$6, Table_ChiPhiNV_Ca[], COUNTA(Table_ChiPhiNV_Ca[[#Headers],[Ca]:[Bắt đầu]]),0),
IF($AA12-$Z$4&lt;MAX(AM$4,VLOOKUP(AM$6, Table_ChiPhiNV_Ca[], COUNTA(Table_ChiPhiNV_Ca[[#Headers],[Ca]:[Bắt đầu]]),0)),0,
IF($AA12&gt;MIN(AM$5,VLOOKUP(AM$6, Table_ChiPhiNV_Ca[], COUNTA(Table_ChiPhiNV_Ca[[#Headers],[Ca]:[Kết thúc]]),0)),0,
SUM(_xlfn._xlws.FILTER(Table_BangLuong_TyLeTangCa[Tỷ lệ],
(Table_BangLuong_TyLeTangCa[Ngày] = "Thường") *
(Table_BangLuong_TyLeTangCa[Giờ min]&lt;=$AA12) *
(Table_BangLuong_TyLeTangCa[Giờ max]&gt;$AA12)
)))),
IF(AM$4 &gt; AM$5,
IF(
AND(
$AA12-$Z$4&lt;MAX(AM$4,VLOOKUP(AM$6, Table_ChiPhiNV_Ca[], COUNTA(Table_ChiPhiNV_Ca[[#Headers],[Ca]:[Bắt đầu]]),0)),
$AA12&gt;MIN(AM$5,VLOOKUP(AM$6, Table_ChiPhiNV_Ca[], COUNTA(Table_ChiPhiNV_Ca[[#Headers],[Ca]:[Kết thúc]]),0))),0,
SUM(_xlfn._xlws.FILTER(Table_BangLuong_TyLeTangCa[Tỷ lệ],
(Table_BangLuong_TyLeTangCa[Ngày] = "Thường") *
(Table_BangLuong_TyLeTangCa[Giờ min]&lt;=$AA12) *
(Table_BangLuong_TyLeTangCa[Giờ max]&gt;$AA12)
))),
IF(
AND(
$AA12-$Z$4&gt;=MAX(AM$4,VLOOKUP(AM$6, Table_ChiPhiNV_Ca[], COUNTA(Table_ChiPhiNV_Ca[[#Headers],[Ca]:[Bắt đầu]]),0)),
$AA12&lt;MIN(AM$5,VLOOKUP(AM$6, Table_ChiPhiNV_Ca[], COUNTA(Table_ChiPhiNV_Ca[[#Headers],[Ca]:[Kết thúc]]),0))),
SUM(_xlfn._xlws.FILTER(Table_BangLuong_TyLeTangCa[Tỷ lệ],
(Table_BangLuong_TyLeTangCa[Ngày] = "Thường") *
(Table_BangLuong_TyLeTangCa[Giờ min]&lt;=$AA12) *
(Table_BangLuong_TyLeTangCa[Giờ max]&gt;$AA12)
)),0)
)),
IF(AM$4 &lt; AM$5,
IF($AA12-$Z$4&lt;AM$4,0,
IF($AA12&gt;AM$5,0,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AM$5,$AA12 &lt; AM$4),0,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N12" s="18" cm="1">
        <f t="array" ref="AN12" xml:space="preserve">
IFERROR(
IF(AN$1="",0,
IF(AND(
$AA12&gt;=VLOOKUP(AN$6, Table_ChiPhiNV_Ca[], COUNTA(Table_ChiPhiNV_Ca[[#Headers],[Ca]:[Bắt đầu nghỉ]]),0),
$AA12&lt;VLOOKUP(AN$6, Table_ChiPhiNV_Ca[], COUNTA(Table_ChiPhiNV_Ca[[#Headers],[Ca]:[Kết thúc nghỉ]]),0)
),0,
IF(NOT(ISBLANK(AN$3)),
IF(ISBLANK(AN$7),0,
IF(AN$4 &lt; AN$5,
IF($AA12-$Z$4&lt;AN$4,0,
IF($AA12&gt;AN$5,0,
SUM(_xlfn._xlws.FILTER(Table_BangLuong_TyLeTangCa[Tỷ lệ],
(Table_BangLuong_TyLeTangCa[Ngày] = AN$3) *
(Table_BangLuong_TyLeTangCa[Giờ min]&lt;=$AA12) *
(Table_BangLuong_TyLeTangCa[Giờ max]&gt;$AA12)
)))),
IF(AND($AA12-$Z$4 &gt;= AN$5,$AA12 &lt; AN$4),0,
SUM(_xlfn._xlws.FILTER(Table_BangLuong_TyLeTangCa[Tỷ lệ],
(Table_BangLuong_TyLeTangCa[Ngày] = AN$3) *
(Table_BangLuong_TyLeTangCa[Giờ min]&lt;=$AA12) *
(Table_BangLuong_TyLeTangCa[Giờ max]&gt;$AA12)
))))
),
IF(ISBLANK(AN$7),
IF(VLOOKUP(AN$6, Table_ChiPhiNV_Ca[], COUNTA(Table_ChiPhiNV_Ca[[#Headers],[Ca]:[Kết thúc]]),0)&gt; VLOOKUP(AN$6, Table_ChiPhiNV_Ca[], COUNTA(Table_ChiPhiNV_Ca[[#Headers],[Ca]:[Bắt đầu]]),0),
IF($AA12-$Z$4&lt;MAX(AN$4,VLOOKUP(AN$6, Table_ChiPhiNV_Ca[], COUNTA(Table_ChiPhiNV_Ca[[#Headers],[Ca]:[Bắt đầu]]),0)),0,
IF($AA12&gt;MIN(AN$5,VLOOKUP(AN$6, Table_ChiPhiNV_Ca[], COUNTA(Table_ChiPhiNV_Ca[[#Headers],[Ca]:[Kết thúc]]),0)),0,
SUM(_xlfn._xlws.FILTER(Table_BangLuong_TyLeTangCa[Tỷ lệ],
(Table_BangLuong_TyLeTangCa[Ngày] = "Thường") *
(Table_BangLuong_TyLeTangCa[Giờ min]&lt;=$AA12) *
(Table_BangLuong_TyLeTangCa[Giờ max]&gt;$AA12)
)))),
IF(AN$4 &gt; AN$5,
IF(
AND(
$AA12-$Z$4&lt;MAX(AN$4,VLOOKUP(AN$6, Table_ChiPhiNV_Ca[], COUNTA(Table_ChiPhiNV_Ca[[#Headers],[Ca]:[Bắt đầu]]),0)),
$AA12&gt;MIN(AN$5,VLOOKUP(AN$6, Table_ChiPhiNV_Ca[], COUNTA(Table_ChiPhiNV_Ca[[#Headers],[Ca]:[Kết thúc]]),0))),0,
SUM(_xlfn._xlws.FILTER(Table_BangLuong_TyLeTangCa[Tỷ lệ],
(Table_BangLuong_TyLeTangCa[Ngày] = "Thường") *
(Table_BangLuong_TyLeTangCa[Giờ min]&lt;=$AA12) *
(Table_BangLuong_TyLeTangCa[Giờ max]&gt;$AA12)
))),
IF(
AND(
$AA12-$Z$4&gt;=MAX(AN$4,VLOOKUP(AN$6, Table_ChiPhiNV_Ca[], COUNTA(Table_ChiPhiNV_Ca[[#Headers],[Ca]:[Bắt đầu]]),0)),
$AA12&lt;MIN(AN$5,VLOOKUP(AN$6, Table_ChiPhiNV_Ca[], COUNTA(Table_ChiPhiNV_Ca[[#Headers],[Ca]:[Kết thúc]]),0))),
SUM(_xlfn._xlws.FILTER(Table_BangLuong_TyLeTangCa[Tỷ lệ],
(Table_BangLuong_TyLeTangCa[Ngày] = "Thường") *
(Table_BangLuong_TyLeTangCa[Giờ min]&lt;=$AA12) *
(Table_BangLuong_TyLeTangCa[Giờ max]&gt;$AA12)
)),0)
)),
IF(AN$4 &lt; AN$5,
IF($AA12-$Z$4&lt;AN$4,0,
IF($AA12&gt;AN$5,0,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AN$5,$AA12 &lt; AN$4),0,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O12" s="18" cm="1">
        <f t="array" ref="AO12" xml:space="preserve">
IFERROR(
IF(AO$1="",0,
IF(AND(
$AA12&gt;=VLOOKUP(AO$6, Table_ChiPhiNV_Ca[], COUNTA(Table_ChiPhiNV_Ca[[#Headers],[Ca]:[Bắt đầu nghỉ]]),0),
$AA12&lt;VLOOKUP(AO$6, Table_ChiPhiNV_Ca[], COUNTA(Table_ChiPhiNV_Ca[[#Headers],[Ca]:[Kết thúc nghỉ]]),0)
),0,
IF(NOT(ISBLANK(AO$3)),
IF(ISBLANK(AO$7),0,
IF(AO$4 &lt; AO$5,
IF($AA12-$Z$4&lt;AO$4,0,
IF($AA12&gt;AO$5,0,
SUM(_xlfn._xlws.FILTER(Table_BangLuong_TyLeTangCa[Tỷ lệ],
(Table_BangLuong_TyLeTangCa[Ngày] = AO$3) *
(Table_BangLuong_TyLeTangCa[Giờ min]&lt;=$AA12) *
(Table_BangLuong_TyLeTangCa[Giờ max]&gt;$AA12)
)))),
IF(AND($AA12-$Z$4 &gt;= AO$5,$AA12 &lt; AO$4),0,
SUM(_xlfn._xlws.FILTER(Table_BangLuong_TyLeTangCa[Tỷ lệ],
(Table_BangLuong_TyLeTangCa[Ngày] = AO$3) *
(Table_BangLuong_TyLeTangCa[Giờ min]&lt;=$AA12) *
(Table_BangLuong_TyLeTangCa[Giờ max]&gt;$AA12)
))))
),
IF(ISBLANK(AO$7),
IF(VLOOKUP(AO$6, Table_ChiPhiNV_Ca[], COUNTA(Table_ChiPhiNV_Ca[[#Headers],[Ca]:[Kết thúc]]),0)&gt; VLOOKUP(AO$6, Table_ChiPhiNV_Ca[], COUNTA(Table_ChiPhiNV_Ca[[#Headers],[Ca]:[Bắt đầu]]),0),
IF($AA12-$Z$4&lt;MAX(AO$4,VLOOKUP(AO$6, Table_ChiPhiNV_Ca[], COUNTA(Table_ChiPhiNV_Ca[[#Headers],[Ca]:[Bắt đầu]]),0)),0,
IF($AA12&gt;MIN(AO$5,VLOOKUP(AO$6, Table_ChiPhiNV_Ca[], COUNTA(Table_ChiPhiNV_Ca[[#Headers],[Ca]:[Kết thúc]]),0)),0,
SUM(_xlfn._xlws.FILTER(Table_BangLuong_TyLeTangCa[Tỷ lệ],
(Table_BangLuong_TyLeTangCa[Ngày] = "Thường") *
(Table_BangLuong_TyLeTangCa[Giờ min]&lt;=$AA12) *
(Table_BangLuong_TyLeTangCa[Giờ max]&gt;$AA12)
)))),
IF(AO$4 &gt; AO$5,
IF(
AND(
$AA12-$Z$4&lt;MAX(AO$4,VLOOKUP(AO$6, Table_ChiPhiNV_Ca[], COUNTA(Table_ChiPhiNV_Ca[[#Headers],[Ca]:[Bắt đầu]]),0)),
$AA12&gt;MIN(AO$5,VLOOKUP(AO$6, Table_ChiPhiNV_Ca[], COUNTA(Table_ChiPhiNV_Ca[[#Headers],[Ca]:[Kết thúc]]),0))),0,
SUM(_xlfn._xlws.FILTER(Table_BangLuong_TyLeTangCa[Tỷ lệ],
(Table_BangLuong_TyLeTangCa[Ngày] = "Thường") *
(Table_BangLuong_TyLeTangCa[Giờ min]&lt;=$AA12) *
(Table_BangLuong_TyLeTangCa[Giờ max]&gt;$AA12)
))),
IF(
AND(
$AA12-$Z$4&gt;=MAX(AO$4,VLOOKUP(AO$6, Table_ChiPhiNV_Ca[], COUNTA(Table_ChiPhiNV_Ca[[#Headers],[Ca]:[Bắt đầu]]),0)),
$AA12&lt;MIN(AO$5,VLOOKUP(AO$6, Table_ChiPhiNV_Ca[], COUNTA(Table_ChiPhiNV_Ca[[#Headers],[Ca]:[Kết thúc]]),0))),
SUM(_xlfn._xlws.FILTER(Table_BangLuong_TyLeTangCa[Tỷ lệ],
(Table_BangLuong_TyLeTangCa[Ngày] = "Thường") *
(Table_BangLuong_TyLeTangCa[Giờ min]&lt;=$AA12) *
(Table_BangLuong_TyLeTangCa[Giờ max]&gt;$AA12)
)),0)
)),
IF(AO$4 &lt; AO$5,
IF($AA12-$Z$4&lt;AO$4,0,
IF($AA12&gt;AO$5,0,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AO$5,$AA12 &lt; AO$4),0,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P12" s="18" cm="1">
        <f t="array" ref="AP12" xml:space="preserve">
IFERROR(
IF(AP$1="",0,
IF(AND(
$AA12&gt;=VLOOKUP(AP$6, Table_ChiPhiNV_Ca[], COUNTA(Table_ChiPhiNV_Ca[[#Headers],[Ca]:[Bắt đầu nghỉ]]),0),
$AA12&lt;VLOOKUP(AP$6, Table_ChiPhiNV_Ca[], COUNTA(Table_ChiPhiNV_Ca[[#Headers],[Ca]:[Kết thúc nghỉ]]),0)
),0,
IF(NOT(ISBLANK(AP$3)),
IF(ISBLANK(AP$7),0,
IF(AP$4 &lt; AP$5,
IF($AA12-$Z$4&lt;AP$4,0,
IF($AA12&gt;AP$5,0,
SUM(_xlfn._xlws.FILTER(Table_BangLuong_TyLeTangCa[Tỷ lệ],
(Table_BangLuong_TyLeTangCa[Ngày] = AP$3) *
(Table_BangLuong_TyLeTangCa[Giờ min]&lt;=$AA12) *
(Table_BangLuong_TyLeTangCa[Giờ max]&gt;$AA12)
)))),
IF(AND($AA12-$Z$4 &gt;= AP$5,$AA12 &lt; AP$4),0,
SUM(_xlfn._xlws.FILTER(Table_BangLuong_TyLeTangCa[Tỷ lệ],
(Table_BangLuong_TyLeTangCa[Ngày] = AP$3) *
(Table_BangLuong_TyLeTangCa[Giờ min]&lt;=$AA12) *
(Table_BangLuong_TyLeTangCa[Giờ max]&gt;$AA12)
))))
),
IF(ISBLANK(AP$7),
IF(VLOOKUP(AP$6, Table_ChiPhiNV_Ca[], COUNTA(Table_ChiPhiNV_Ca[[#Headers],[Ca]:[Kết thúc]]),0)&gt; VLOOKUP(AP$6, Table_ChiPhiNV_Ca[], COUNTA(Table_ChiPhiNV_Ca[[#Headers],[Ca]:[Bắt đầu]]),0),
IF($AA12-$Z$4&lt;MAX(AP$4,VLOOKUP(AP$6, Table_ChiPhiNV_Ca[], COUNTA(Table_ChiPhiNV_Ca[[#Headers],[Ca]:[Bắt đầu]]),0)),0,
IF($AA12&gt;MIN(AP$5,VLOOKUP(AP$6, Table_ChiPhiNV_Ca[], COUNTA(Table_ChiPhiNV_Ca[[#Headers],[Ca]:[Kết thúc]]),0)),0,
SUM(_xlfn._xlws.FILTER(Table_BangLuong_TyLeTangCa[Tỷ lệ],
(Table_BangLuong_TyLeTangCa[Ngày] = "Thường") *
(Table_BangLuong_TyLeTangCa[Giờ min]&lt;=$AA12) *
(Table_BangLuong_TyLeTangCa[Giờ max]&gt;$AA12)
)))),
IF(AP$4 &gt; AP$5,
IF(
AND(
$AA12-$Z$4&lt;MAX(AP$4,VLOOKUP(AP$6, Table_ChiPhiNV_Ca[], COUNTA(Table_ChiPhiNV_Ca[[#Headers],[Ca]:[Bắt đầu]]),0)),
$AA12&gt;MIN(AP$5,VLOOKUP(AP$6, Table_ChiPhiNV_Ca[], COUNTA(Table_ChiPhiNV_Ca[[#Headers],[Ca]:[Kết thúc]]),0))),0,
SUM(_xlfn._xlws.FILTER(Table_BangLuong_TyLeTangCa[Tỷ lệ],
(Table_BangLuong_TyLeTangCa[Ngày] = "Thường") *
(Table_BangLuong_TyLeTangCa[Giờ min]&lt;=$AA12) *
(Table_BangLuong_TyLeTangCa[Giờ max]&gt;$AA12)
))),
IF(
AND(
$AA12-$Z$4&gt;=MAX(AP$4,VLOOKUP(AP$6, Table_ChiPhiNV_Ca[], COUNTA(Table_ChiPhiNV_Ca[[#Headers],[Ca]:[Bắt đầu]]),0)),
$AA12&lt;MIN(AP$5,VLOOKUP(AP$6, Table_ChiPhiNV_Ca[], COUNTA(Table_ChiPhiNV_Ca[[#Headers],[Ca]:[Kết thúc]]),0))),
SUM(_xlfn._xlws.FILTER(Table_BangLuong_TyLeTangCa[Tỷ lệ],
(Table_BangLuong_TyLeTangCa[Ngày] = "Thường") *
(Table_BangLuong_TyLeTangCa[Giờ min]&lt;=$AA12) *
(Table_BangLuong_TyLeTangCa[Giờ max]&gt;$AA12)
)),0)
)),
IF(AP$4 &lt; AP$5,
IF($AA12-$Z$4&lt;AP$4,0,
IF($AA12&gt;AP$5,0,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AP$5,$AA12 &lt; AP$4),0,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Q12" s="18" cm="1">
        <f t="array" ref="AQ12" xml:space="preserve">
IFERROR(
IF(AQ$1="",0,
IF(AND(
$AA12&gt;=VLOOKUP(AQ$6, Table_ChiPhiNV_Ca[], COUNTA(Table_ChiPhiNV_Ca[[#Headers],[Ca]:[Bắt đầu nghỉ]]),0),
$AA12&lt;VLOOKUP(AQ$6, Table_ChiPhiNV_Ca[], COUNTA(Table_ChiPhiNV_Ca[[#Headers],[Ca]:[Kết thúc nghỉ]]),0)
),0,
IF(NOT(ISBLANK(AQ$3)),
IF(ISBLANK(AQ$7),0,
IF(AQ$4 &lt; AQ$5,
IF($AA12-$Z$4&lt;AQ$4,0,
IF($AA12&gt;AQ$5,0,
SUM(_xlfn._xlws.FILTER(Table_BangLuong_TyLeTangCa[Tỷ lệ],
(Table_BangLuong_TyLeTangCa[Ngày] = AQ$3) *
(Table_BangLuong_TyLeTangCa[Giờ min]&lt;=$AA12) *
(Table_BangLuong_TyLeTangCa[Giờ max]&gt;$AA12)
)))),
IF(AND($AA12-$Z$4 &gt;= AQ$5,$AA12 &lt; AQ$4),0,
SUM(_xlfn._xlws.FILTER(Table_BangLuong_TyLeTangCa[Tỷ lệ],
(Table_BangLuong_TyLeTangCa[Ngày] = AQ$3) *
(Table_BangLuong_TyLeTangCa[Giờ min]&lt;=$AA12) *
(Table_BangLuong_TyLeTangCa[Giờ max]&gt;$AA12)
))))
),
IF(ISBLANK(AQ$7),
IF(VLOOKUP(AQ$6, Table_ChiPhiNV_Ca[], COUNTA(Table_ChiPhiNV_Ca[[#Headers],[Ca]:[Kết thúc]]),0)&gt; VLOOKUP(AQ$6, Table_ChiPhiNV_Ca[], COUNTA(Table_ChiPhiNV_Ca[[#Headers],[Ca]:[Bắt đầu]]),0),
IF($AA12-$Z$4&lt;MAX(AQ$4,VLOOKUP(AQ$6, Table_ChiPhiNV_Ca[], COUNTA(Table_ChiPhiNV_Ca[[#Headers],[Ca]:[Bắt đầu]]),0)),0,
IF($AA12&gt;MIN(AQ$5,VLOOKUP(AQ$6, Table_ChiPhiNV_Ca[], COUNTA(Table_ChiPhiNV_Ca[[#Headers],[Ca]:[Kết thúc]]),0)),0,
SUM(_xlfn._xlws.FILTER(Table_BangLuong_TyLeTangCa[Tỷ lệ],
(Table_BangLuong_TyLeTangCa[Ngày] = "Thường") *
(Table_BangLuong_TyLeTangCa[Giờ min]&lt;=$AA12) *
(Table_BangLuong_TyLeTangCa[Giờ max]&gt;$AA12)
)))),
IF(AQ$4 &gt; AQ$5,
IF(
AND(
$AA12-$Z$4&lt;MAX(AQ$4,VLOOKUP(AQ$6, Table_ChiPhiNV_Ca[], COUNTA(Table_ChiPhiNV_Ca[[#Headers],[Ca]:[Bắt đầu]]),0)),
$AA12&gt;MIN(AQ$5,VLOOKUP(AQ$6, Table_ChiPhiNV_Ca[], COUNTA(Table_ChiPhiNV_Ca[[#Headers],[Ca]:[Kết thúc]]),0))),0,
SUM(_xlfn._xlws.FILTER(Table_BangLuong_TyLeTangCa[Tỷ lệ],
(Table_BangLuong_TyLeTangCa[Ngày] = "Thường") *
(Table_BangLuong_TyLeTangCa[Giờ min]&lt;=$AA12) *
(Table_BangLuong_TyLeTangCa[Giờ max]&gt;$AA12)
))),
IF(
AND(
$AA12-$Z$4&gt;=MAX(AQ$4,VLOOKUP(AQ$6, Table_ChiPhiNV_Ca[], COUNTA(Table_ChiPhiNV_Ca[[#Headers],[Ca]:[Bắt đầu]]),0)),
$AA12&lt;MIN(AQ$5,VLOOKUP(AQ$6, Table_ChiPhiNV_Ca[], COUNTA(Table_ChiPhiNV_Ca[[#Headers],[Ca]:[Kết thúc]]),0))),
SUM(_xlfn._xlws.FILTER(Table_BangLuong_TyLeTangCa[Tỷ lệ],
(Table_BangLuong_TyLeTangCa[Ngày] = "Thường") *
(Table_BangLuong_TyLeTangCa[Giờ min]&lt;=$AA12) *
(Table_BangLuong_TyLeTangCa[Giờ max]&gt;$AA12)
)),0)
)),
IF(AQ$4 &lt; AQ$5,
IF($AA12-$Z$4&lt;AQ$4,0,
IF($AA12&gt;AQ$5,0,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AQ$5,$AA12 &lt; AQ$4),0,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R12" s="18" cm="1">
        <f t="array" ref="AR12" xml:space="preserve">
IFERROR(
IF(AR$1="",0,
IF(AND(
$AA12&gt;=VLOOKUP(AR$6, Table_ChiPhiNV_Ca[], COUNTA(Table_ChiPhiNV_Ca[[#Headers],[Ca]:[Bắt đầu nghỉ]]),0),
$AA12&lt;VLOOKUP(AR$6, Table_ChiPhiNV_Ca[], COUNTA(Table_ChiPhiNV_Ca[[#Headers],[Ca]:[Kết thúc nghỉ]]),0)
),0,
IF(NOT(ISBLANK(AR$3)),
IF(ISBLANK(AR$7),0,
IF(AR$4 &lt; AR$5,
IF($AA12-$Z$4&lt;AR$4,0,
IF($AA12&gt;AR$5,0,
SUM(_xlfn._xlws.FILTER(Table_BangLuong_TyLeTangCa[Tỷ lệ],
(Table_BangLuong_TyLeTangCa[Ngày] = AR$3) *
(Table_BangLuong_TyLeTangCa[Giờ min]&lt;=$AA12) *
(Table_BangLuong_TyLeTangCa[Giờ max]&gt;$AA12)
)))),
IF(AND($AA12-$Z$4 &gt;= AR$5,$AA12 &lt; AR$4),0,
SUM(_xlfn._xlws.FILTER(Table_BangLuong_TyLeTangCa[Tỷ lệ],
(Table_BangLuong_TyLeTangCa[Ngày] = AR$3) *
(Table_BangLuong_TyLeTangCa[Giờ min]&lt;=$AA12) *
(Table_BangLuong_TyLeTangCa[Giờ max]&gt;$AA12)
))))
),
IF(ISBLANK(AR$7),
IF(VLOOKUP(AR$6, Table_ChiPhiNV_Ca[], COUNTA(Table_ChiPhiNV_Ca[[#Headers],[Ca]:[Kết thúc]]),0)&gt; VLOOKUP(AR$6, Table_ChiPhiNV_Ca[], COUNTA(Table_ChiPhiNV_Ca[[#Headers],[Ca]:[Bắt đầu]]),0),
IF($AA12-$Z$4&lt;MAX(AR$4,VLOOKUP(AR$6, Table_ChiPhiNV_Ca[], COUNTA(Table_ChiPhiNV_Ca[[#Headers],[Ca]:[Bắt đầu]]),0)),0,
IF($AA12&gt;MIN(AR$5,VLOOKUP(AR$6, Table_ChiPhiNV_Ca[], COUNTA(Table_ChiPhiNV_Ca[[#Headers],[Ca]:[Kết thúc]]),0)),0,
SUM(_xlfn._xlws.FILTER(Table_BangLuong_TyLeTangCa[Tỷ lệ],
(Table_BangLuong_TyLeTangCa[Ngày] = "Thường") *
(Table_BangLuong_TyLeTangCa[Giờ min]&lt;=$AA12) *
(Table_BangLuong_TyLeTangCa[Giờ max]&gt;$AA12)
)))),
IF(AR$4 &gt; AR$5,
IF(
AND(
$AA12-$Z$4&lt;MAX(AR$4,VLOOKUP(AR$6, Table_ChiPhiNV_Ca[], COUNTA(Table_ChiPhiNV_Ca[[#Headers],[Ca]:[Bắt đầu]]),0)),
$AA12&gt;MIN(AR$5,VLOOKUP(AR$6, Table_ChiPhiNV_Ca[], COUNTA(Table_ChiPhiNV_Ca[[#Headers],[Ca]:[Kết thúc]]),0))),0,
SUM(_xlfn._xlws.FILTER(Table_BangLuong_TyLeTangCa[Tỷ lệ],
(Table_BangLuong_TyLeTangCa[Ngày] = "Thường") *
(Table_BangLuong_TyLeTangCa[Giờ min]&lt;=$AA12) *
(Table_BangLuong_TyLeTangCa[Giờ max]&gt;$AA12)
))),
IF(
AND(
$AA12-$Z$4&gt;=MAX(AR$4,VLOOKUP(AR$6, Table_ChiPhiNV_Ca[], COUNTA(Table_ChiPhiNV_Ca[[#Headers],[Ca]:[Bắt đầu]]),0)),
$AA12&lt;MIN(AR$5,VLOOKUP(AR$6, Table_ChiPhiNV_Ca[], COUNTA(Table_ChiPhiNV_Ca[[#Headers],[Ca]:[Kết thúc]]),0))),
SUM(_xlfn._xlws.FILTER(Table_BangLuong_TyLeTangCa[Tỷ lệ],
(Table_BangLuong_TyLeTangCa[Ngày] = "Thường") *
(Table_BangLuong_TyLeTangCa[Giờ min]&lt;=$AA12) *
(Table_BangLuong_TyLeTangCa[Giờ max]&gt;$AA12)
)),0)
)),
IF(AR$4 &lt; AR$5,
IF($AA12-$Z$4&lt;AR$4,0,
IF($AA12&gt;AR$5,0,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AR$5,$AA12 &lt; AR$4),0,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S12" s="18" cm="1">
        <f t="array" ref="AS12" xml:space="preserve">
IFERROR(
IF(AS$1="",0,
IF(AND(
$AA12&gt;=VLOOKUP(AS$6, Table_ChiPhiNV_Ca[], COUNTA(Table_ChiPhiNV_Ca[[#Headers],[Ca]:[Bắt đầu nghỉ]]),0),
$AA12&lt;VLOOKUP(AS$6, Table_ChiPhiNV_Ca[], COUNTA(Table_ChiPhiNV_Ca[[#Headers],[Ca]:[Kết thúc nghỉ]]),0)
),0,
IF(NOT(ISBLANK(AS$3)),
IF(ISBLANK(AS$7),0,
IF(AS$4 &lt; AS$5,
IF($AA12-$Z$4&lt;AS$4,0,
IF($AA12&gt;AS$5,0,
SUM(_xlfn._xlws.FILTER(Table_BangLuong_TyLeTangCa[Tỷ lệ],
(Table_BangLuong_TyLeTangCa[Ngày] = AS$3) *
(Table_BangLuong_TyLeTangCa[Giờ min]&lt;=$AA12) *
(Table_BangLuong_TyLeTangCa[Giờ max]&gt;$AA12)
)))),
IF(AND($AA12-$Z$4 &gt;= AS$5,$AA12 &lt; AS$4),0,
SUM(_xlfn._xlws.FILTER(Table_BangLuong_TyLeTangCa[Tỷ lệ],
(Table_BangLuong_TyLeTangCa[Ngày] = AS$3) *
(Table_BangLuong_TyLeTangCa[Giờ min]&lt;=$AA12) *
(Table_BangLuong_TyLeTangCa[Giờ max]&gt;$AA12)
))))
),
IF(ISBLANK(AS$7),
IF(VLOOKUP(AS$6, Table_ChiPhiNV_Ca[], COUNTA(Table_ChiPhiNV_Ca[[#Headers],[Ca]:[Kết thúc]]),0)&gt; VLOOKUP(AS$6, Table_ChiPhiNV_Ca[], COUNTA(Table_ChiPhiNV_Ca[[#Headers],[Ca]:[Bắt đầu]]),0),
IF($AA12-$Z$4&lt;MAX(AS$4,VLOOKUP(AS$6, Table_ChiPhiNV_Ca[], COUNTA(Table_ChiPhiNV_Ca[[#Headers],[Ca]:[Bắt đầu]]),0)),0,
IF($AA12&gt;MIN(AS$5,VLOOKUP(AS$6, Table_ChiPhiNV_Ca[], COUNTA(Table_ChiPhiNV_Ca[[#Headers],[Ca]:[Kết thúc]]),0)),0,
SUM(_xlfn._xlws.FILTER(Table_BangLuong_TyLeTangCa[Tỷ lệ],
(Table_BangLuong_TyLeTangCa[Ngày] = "Thường") *
(Table_BangLuong_TyLeTangCa[Giờ min]&lt;=$AA12) *
(Table_BangLuong_TyLeTangCa[Giờ max]&gt;$AA12)
)))),
IF(AS$4 &gt; AS$5,
IF(
AND(
$AA12-$Z$4&lt;MAX(AS$4,VLOOKUP(AS$6, Table_ChiPhiNV_Ca[], COUNTA(Table_ChiPhiNV_Ca[[#Headers],[Ca]:[Bắt đầu]]),0)),
$AA12&gt;MIN(AS$5,VLOOKUP(AS$6, Table_ChiPhiNV_Ca[], COUNTA(Table_ChiPhiNV_Ca[[#Headers],[Ca]:[Kết thúc]]),0))),0,
SUM(_xlfn._xlws.FILTER(Table_BangLuong_TyLeTangCa[Tỷ lệ],
(Table_BangLuong_TyLeTangCa[Ngày] = "Thường") *
(Table_BangLuong_TyLeTangCa[Giờ min]&lt;=$AA12) *
(Table_BangLuong_TyLeTangCa[Giờ max]&gt;$AA12)
))),
IF(
AND(
$AA12-$Z$4&gt;=MAX(AS$4,VLOOKUP(AS$6, Table_ChiPhiNV_Ca[], COUNTA(Table_ChiPhiNV_Ca[[#Headers],[Ca]:[Bắt đầu]]),0)),
$AA12&lt;MIN(AS$5,VLOOKUP(AS$6, Table_ChiPhiNV_Ca[], COUNTA(Table_ChiPhiNV_Ca[[#Headers],[Ca]:[Kết thúc]]),0))),
SUM(_xlfn._xlws.FILTER(Table_BangLuong_TyLeTangCa[Tỷ lệ],
(Table_BangLuong_TyLeTangCa[Ngày] = "Thường") *
(Table_BangLuong_TyLeTangCa[Giờ min]&lt;=$AA12) *
(Table_BangLuong_TyLeTangCa[Giờ max]&gt;$AA12)
)),0)
)),
IF(AS$4 &lt; AS$5,
IF($AA12-$Z$4&lt;AS$4,0,
IF($AA12&gt;AS$5,0,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AS$5,$AA12 &lt; AS$4),0,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T12" s="18" cm="1">
        <f t="array" ref="AT12" xml:space="preserve">
IFERROR(
IF(AT$1="",0,
IF(AND(
$AA12&gt;=VLOOKUP(AT$6, Table_ChiPhiNV_Ca[], COUNTA(Table_ChiPhiNV_Ca[[#Headers],[Ca]:[Bắt đầu nghỉ]]),0),
$AA12&lt;VLOOKUP(AT$6, Table_ChiPhiNV_Ca[], COUNTA(Table_ChiPhiNV_Ca[[#Headers],[Ca]:[Kết thúc nghỉ]]),0)
),0,
IF(NOT(ISBLANK(AT$3)),
IF(ISBLANK(AT$7),0,
IF(AT$4 &lt; AT$5,
IF($AA12-$Z$4&lt;AT$4,0,
IF($AA12&gt;AT$5,0,
SUM(_xlfn._xlws.FILTER(Table_BangLuong_TyLeTangCa[Tỷ lệ],
(Table_BangLuong_TyLeTangCa[Ngày] = AT$3) *
(Table_BangLuong_TyLeTangCa[Giờ min]&lt;=$AA12) *
(Table_BangLuong_TyLeTangCa[Giờ max]&gt;$AA12)
)))),
IF(AND($AA12-$Z$4 &gt;= AT$5,$AA12 &lt; AT$4),0,
SUM(_xlfn._xlws.FILTER(Table_BangLuong_TyLeTangCa[Tỷ lệ],
(Table_BangLuong_TyLeTangCa[Ngày] = AT$3) *
(Table_BangLuong_TyLeTangCa[Giờ min]&lt;=$AA12) *
(Table_BangLuong_TyLeTangCa[Giờ max]&gt;$AA12)
))))
),
IF(ISBLANK(AT$7),
IF(VLOOKUP(AT$6, Table_ChiPhiNV_Ca[], COUNTA(Table_ChiPhiNV_Ca[[#Headers],[Ca]:[Kết thúc]]),0)&gt; VLOOKUP(AT$6, Table_ChiPhiNV_Ca[], COUNTA(Table_ChiPhiNV_Ca[[#Headers],[Ca]:[Bắt đầu]]),0),
IF($AA12-$Z$4&lt;MAX(AT$4,VLOOKUP(AT$6, Table_ChiPhiNV_Ca[], COUNTA(Table_ChiPhiNV_Ca[[#Headers],[Ca]:[Bắt đầu]]),0)),0,
IF($AA12&gt;MIN(AT$5,VLOOKUP(AT$6, Table_ChiPhiNV_Ca[], COUNTA(Table_ChiPhiNV_Ca[[#Headers],[Ca]:[Kết thúc]]),0)),0,
SUM(_xlfn._xlws.FILTER(Table_BangLuong_TyLeTangCa[Tỷ lệ],
(Table_BangLuong_TyLeTangCa[Ngày] = "Thường") *
(Table_BangLuong_TyLeTangCa[Giờ min]&lt;=$AA12) *
(Table_BangLuong_TyLeTangCa[Giờ max]&gt;$AA12)
)))),
IF(AT$4 &gt; AT$5,
IF(
AND(
$AA12-$Z$4&lt;MAX(AT$4,VLOOKUP(AT$6, Table_ChiPhiNV_Ca[], COUNTA(Table_ChiPhiNV_Ca[[#Headers],[Ca]:[Bắt đầu]]),0)),
$AA12&gt;MIN(AT$5,VLOOKUP(AT$6, Table_ChiPhiNV_Ca[], COUNTA(Table_ChiPhiNV_Ca[[#Headers],[Ca]:[Kết thúc]]),0))),0,
SUM(_xlfn._xlws.FILTER(Table_BangLuong_TyLeTangCa[Tỷ lệ],
(Table_BangLuong_TyLeTangCa[Ngày] = "Thường") *
(Table_BangLuong_TyLeTangCa[Giờ min]&lt;=$AA12) *
(Table_BangLuong_TyLeTangCa[Giờ max]&gt;$AA12)
))),
IF(
AND(
$AA12-$Z$4&gt;=MAX(AT$4,VLOOKUP(AT$6, Table_ChiPhiNV_Ca[], COUNTA(Table_ChiPhiNV_Ca[[#Headers],[Ca]:[Bắt đầu]]),0)),
$AA12&lt;MIN(AT$5,VLOOKUP(AT$6, Table_ChiPhiNV_Ca[], COUNTA(Table_ChiPhiNV_Ca[[#Headers],[Ca]:[Kết thúc]]),0))),
SUM(_xlfn._xlws.FILTER(Table_BangLuong_TyLeTangCa[Tỷ lệ],
(Table_BangLuong_TyLeTangCa[Ngày] = "Thường") *
(Table_BangLuong_TyLeTangCa[Giờ min]&lt;=$AA12) *
(Table_BangLuong_TyLeTangCa[Giờ max]&gt;$AA12)
)),0)
)),
IF(AT$4 &lt; AT$5,
IF($AA12-$Z$4&lt;AT$4,0,
IF($AA12&gt;AT$5,0,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AT$5,$AA12 &lt; AT$4),0,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U12" s="18" cm="1">
        <f t="array" ref="AU12" xml:space="preserve">
IFERROR(
IF(AU$1="",0,
IF(AND(
$AA12&gt;=VLOOKUP(AU$6, Table_ChiPhiNV_Ca[], COUNTA(Table_ChiPhiNV_Ca[[#Headers],[Ca]:[Bắt đầu nghỉ]]),0),
$AA12&lt;VLOOKUP(AU$6, Table_ChiPhiNV_Ca[], COUNTA(Table_ChiPhiNV_Ca[[#Headers],[Ca]:[Kết thúc nghỉ]]),0)
),0,
IF(NOT(ISBLANK(AU$3)),
IF(ISBLANK(AU$7),0,
IF(AU$4 &lt; AU$5,
IF($AA12-$Z$4&lt;AU$4,0,
IF($AA12&gt;AU$5,0,
SUM(_xlfn._xlws.FILTER(Table_BangLuong_TyLeTangCa[Tỷ lệ],
(Table_BangLuong_TyLeTangCa[Ngày] = AU$3) *
(Table_BangLuong_TyLeTangCa[Giờ min]&lt;=$AA12) *
(Table_BangLuong_TyLeTangCa[Giờ max]&gt;$AA12)
)))),
IF(AND($AA12-$Z$4 &gt;= AU$5,$AA12 &lt; AU$4),0,
SUM(_xlfn._xlws.FILTER(Table_BangLuong_TyLeTangCa[Tỷ lệ],
(Table_BangLuong_TyLeTangCa[Ngày] = AU$3) *
(Table_BangLuong_TyLeTangCa[Giờ min]&lt;=$AA12) *
(Table_BangLuong_TyLeTangCa[Giờ max]&gt;$AA12)
))))
),
IF(ISBLANK(AU$7),
IF(VLOOKUP(AU$6, Table_ChiPhiNV_Ca[], COUNTA(Table_ChiPhiNV_Ca[[#Headers],[Ca]:[Kết thúc]]),0)&gt; VLOOKUP(AU$6, Table_ChiPhiNV_Ca[], COUNTA(Table_ChiPhiNV_Ca[[#Headers],[Ca]:[Bắt đầu]]),0),
IF($AA12-$Z$4&lt;MAX(AU$4,VLOOKUP(AU$6, Table_ChiPhiNV_Ca[], COUNTA(Table_ChiPhiNV_Ca[[#Headers],[Ca]:[Bắt đầu]]),0)),0,
IF($AA12&gt;MIN(AU$5,VLOOKUP(AU$6, Table_ChiPhiNV_Ca[], COUNTA(Table_ChiPhiNV_Ca[[#Headers],[Ca]:[Kết thúc]]),0)),0,
SUM(_xlfn._xlws.FILTER(Table_BangLuong_TyLeTangCa[Tỷ lệ],
(Table_BangLuong_TyLeTangCa[Ngày] = "Thường") *
(Table_BangLuong_TyLeTangCa[Giờ min]&lt;=$AA12) *
(Table_BangLuong_TyLeTangCa[Giờ max]&gt;$AA12)
)))),
IF(AU$4 &gt; AU$5,
IF(
AND(
$AA12-$Z$4&lt;MAX(AU$4,VLOOKUP(AU$6, Table_ChiPhiNV_Ca[], COUNTA(Table_ChiPhiNV_Ca[[#Headers],[Ca]:[Bắt đầu]]),0)),
$AA12&gt;MIN(AU$5,VLOOKUP(AU$6, Table_ChiPhiNV_Ca[], COUNTA(Table_ChiPhiNV_Ca[[#Headers],[Ca]:[Kết thúc]]),0))),0,
SUM(_xlfn._xlws.FILTER(Table_BangLuong_TyLeTangCa[Tỷ lệ],
(Table_BangLuong_TyLeTangCa[Ngày] = "Thường") *
(Table_BangLuong_TyLeTangCa[Giờ min]&lt;=$AA12) *
(Table_BangLuong_TyLeTangCa[Giờ max]&gt;$AA12)
))),
IF(
AND(
$AA12-$Z$4&gt;=MAX(AU$4,VLOOKUP(AU$6, Table_ChiPhiNV_Ca[], COUNTA(Table_ChiPhiNV_Ca[[#Headers],[Ca]:[Bắt đầu]]),0)),
$AA12&lt;MIN(AU$5,VLOOKUP(AU$6, Table_ChiPhiNV_Ca[], COUNTA(Table_ChiPhiNV_Ca[[#Headers],[Ca]:[Kết thúc]]),0))),
SUM(_xlfn._xlws.FILTER(Table_BangLuong_TyLeTangCa[Tỷ lệ],
(Table_BangLuong_TyLeTangCa[Ngày] = "Thường") *
(Table_BangLuong_TyLeTangCa[Giờ min]&lt;=$AA12) *
(Table_BangLuong_TyLeTangCa[Giờ max]&gt;$AA12)
)),0)
)),
IF(AU$4 &lt; AU$5,
IF($AA12-$Z$4&lt;AU$4,0,
IF($AA12&gt;AU$5,0,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AU$5,$AA12 &lt; AU$4),0,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V12" s="18" cm="1">
        <f t="array" ref="AV12" xml:space="preserve">
IFERROR(
IF(AV$1="",0,
IF(AND(
$AA12&gt;=VLOOKUP(AV$6, Table_ChiPhiNV_Ca[], COUNTA(Table_ChiPhiNV_Ca[[#Headers],[Ca]:[Bắt đầu nghỉ]]),0),
$AA12&lt;VLOOKUP(AV$6, Table_ChiPhiNV_Ca[], COUNTA(Table_ChiPhiNV_Ca[[#Headers],[Ca]:[Kết thúc nghỉ]]),0)
),0,
IF(NOT(ISBLANK(AV$3)),
IF(ISBLANK(AV$7),0,
IF(AV$4 &lt; AV$5,
IF($AA12-$Z$4&lt;AV$4,0,
IF($AA12&gt;AV$5,0,
SUM(_xlfn._xlws.FILTER(Table_BangLuong_TyLeTangCa[Tỷ lệ],
(Table_BangLuong_TyLeTangCa[Ngày] = AV$3) *
(Table_BangLuong_TyLeTangCa[Giờ min]&lt;=$AA12) *
(Table_BangLuong_TyLeTangCa[Giờ max]&gt;$AA12)
)))),
IF(AND($AA12-$Z$4 &gt;= AV$5,$AA12 &lt; AV$4),0,
SUM(_xlfn._xlws.FILTER(Table_BangLuong_TyLeTangCa[Tỷ lệ],
(Table_BangLuong_TyLeTangCa[Ngày] = AV$3) *
(Table_BangLuong_TyLeTangCa[Giờ min]&lt;=$AA12) *
(Table_BangLuong_TyLeTangCa[Giờ max]&gt;$AA12)
))))
),
IF(ISBLANK(AV$7),
IF(VLOOKUP(AV$6, Table_ChiPhiNV_Ca[], COUNTA(Table_ChiPhiNV_Ca[[#Headers],[Ca]:[Kết thúc]]),0)&gt; VLOOKUP(AV$6, Table_ChiPhiNV_Ca[], COUNTA(Table_ChiPhiNV_Ca[[#Headers],[Ca]:[Bắt đầu]]),0),
IF($AA12-$Z$4&lt;MAX(AV$4,VLOOKUP(AV$6, Table_ChiPhiNV_Ca[], COUNTA(Table_ChiPhiNV_Ca[[#Headers],[Ca]:[Bắt đầu]]),0)),0,
IF($AA12&gt;MIN(AV$5,VLOOKUP(AV$6, Table_ChiPhiNV_Ca[], COUNTA(Table_ChiPhiNV_Ca[[#Headers],[Ca]:[Kết thúc]]),0)),0,
SUM(_xlfn._xlws.FILTER(Table_BangLuong_TyLeTangCa[Tỷ lệ],
(Table_BangLuong_TyLeTangCa[Ngày] = "Thường") *
(Table_BangLuong_TyLeTangCa[Giờ min]&lt;=$AA12) *
(Table_BangLuong_TyLeTangCa[Giờ max]&gt;$AA12)
)))),
IF(AV$4 &gt; AV$5,
IF(
AND(
$AA12-$Z$4&lt;MAX(AV$4,VLOOKUP(AV$6, Table_ChiPhiNV_Ca[], COUNTA(Table_ChiPhiNV_Ca[[#Headers],[Ca]:[Bắt đầu]]),0)),
$AA12&gt;MIN(AV$5,VLOOKUP(AV$6, Table_ChiPhiNV_Ca[], COUNTA(Table_ChiPhiNV_Ca[[#Headers],[Ca]:[Kết thúc]]),0))),0,
SUM(_xlfn._xlws.FILTER(Table_BangLuong_TyLeTangCa[Tỷ lệ],
(Table_BangLuong_TyLeTangCa[Ngày] = "Thường") *
(Table_BangLuong_TyLeTangCa[Giờ min]&lt;=$AA12) *
(Table_BangLuong_TyLeTangCa[Giờ max]&gt;$AA12)
))),
IF(
AND(
$AA12-$Z$4&gt;=MAX(AV$4,VLOOKUP(AV$6, Table_ChiPhiNV_Ca[], COUNTA(Table_ChiPhiNV_Ca[[#Headers],[Ca]:[Bắt đầu]]),0)),
$AA12&lt;MIN(AV$5,VLOOKUP(AV$6, Table_ChiPhiNV_Ca[], COUNTA(Table_ChiPhiNV_Ca[[#Headers],[Ca]:[Kết thúc]]),0))),
SUM(_xlfn._xlws.FILTER(Table_BangLuong_TyLeTangCa[Tỷ lệ],
(Table_BangLuong_TyLeTangCa[Ngày] = "Thường") *
(Table_BangLuong_TyLeTangCa[Giờ min]&lt;=$AA12) *
(Table_BangLuong_TyLeTangCa[Giờ max]&gt;$AA12)
)),0)
)),
IF(AV$4 &lt; AV$5,
IF($AA12-$Z$4&lt;AV$4,0,
IF($AA12&gt;AV$5,0,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AV$5,$AA12 &lt; AV$4),0,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W12" s="18" cm="1">
        <f t="array" ref="AW12" xml:space="preserve">
IFERROR(
IF(AW$1="",0,
IF(AND(
$AA12&gt;=VLOOKUP(AW$6, Table_ChiPhiNV_Ca[], COUNTA(Table_ChiPhiNV_Ca[[#Headers],[Ca]:[Bắt đầu nghỉ]]),0),
$AA12&lt;VLOOKUP(AW$6, Table_ChiPhiNV_Ca[], COUNTA(Table_ChiPhiNV_Ca[[#Headers],[Ca]:[Kết thúc nghỉ]]),0)
),0,
IF(NOT(ISBLANK(AW$3)),
IF(ISBLANK(AW$7),0,
IF(AW$4 &lt; AW$5,
IF($AA12-$Z$4&lt;AW$4,0,
IF($AA12&gt;AW$5,0,
SUM(_xlfn._xlws.FILTER(Table_BangLuong_TyLeTangCa[Tỷ lệ],
(Table_BangLuong_TyLeTangCa[Ngày] = AW$3) *
(Table_BangLuong_TyLeTangCa[Giờ min]&lt;=$AA12) *
(Table_BangLuong_TyLeTangCa[Giờ max]&gt;$AA12)
)))),
IF(AND($AA12-$Z$4 &gt;= AW$5,$AA12 &lt; AW$4),0,
SUM(_xlfn._xlws.FILTER(Table_BangLuong_TyLeTangCa[Tỷ lệ],
(Table_BangLuong_TyLeTangCa[Ngày] = AW$3) *
(Table_BangLuong_TyLeTangCa[Giờ min]&lt;=$AA12) *
(Table_BangLuong_TyLeTangCa[Giờ max]&gt;$AA12)
))))
),
IF(ISBLANK(AW$7),
IF(VLOOKUP(AW$6, Table_ChiPhiNV_Ca[], COUNTA(Table_ChiPhiNV_Ca[[#Headers],[Ca]:[Kết thúc]]),0)&gt; VLOOKUP(AW$6, Table_ChiPhiNV_Ca[], COUNTA(Table_ChiPhiNV_Ca[[#Headers],[Ca]:[Bắt đầu]]),0),
IF($AA12-$Z$4&lt;MAX(AW$4,VLOOKUP(AW$6, Table_ChiPhiNV_Ca[], COUNTA(Table_ChiPhiNV_Ca[[#Headers],[Ca]:[Bắt đầu]]),0)),0,
IF($AA12&gt;MIN(AW$5,VLOOKUP(AW$6, Table_ChiPhiNV_Ca[], COUNTA(Table_ChiPhiNV_Ca[[#Headers],[Ca]:[Kết thúc]]),0)),0,
SUM(_xlfn._xlws.FILTER(Table_BangLuong_TyLeTangCa[Tỷ lệ],
(Table_BangLuong_TyLeTangCa[Ngày] = "Thường") *
(Table_BangLuong_TyLeTangCa[Giờ min]&lt;=$AA12) *
(Table_BangLuong_TyLeTangCa[Giờ max]&gt;$AA12)
)))),
IF(AW$4 &gt; AW$5,
IF(
AND(
$AA12-$Z$4&lt;MAX(AW$4,VLOOKUP(AW$6, Table_ChiPhiNV_Ca[], COUNTA(Table_ChiPhiNV_Ca[[#Headers],[Ca]:[Bắt đầu]]),0)),
$AA12&gt;MIN(AW$5,VLOOKUP(AW$6, Table_ChiPhiNV_Ca[], COUNTA(Table_ChiPhiNV_Ca[[#Headers],[Ca]:[Kết thúc]]),0))),0,
SUM(_xlfn._xlws.FILTER(Table_BangLuong_TyLeTangCa[Tỷ lệ],
(Table_BangLuong_TyLeTangCa[Ngày] = "Thường") *
(Table_BangLuong_TyLeTangCa[Giờ min]&lt;=$AA12) *
(Table_BangLuong_TyLeTangCa[Giờ max]&gt;$AA12)
))),
IF(
AND(
$AA12-$Z$4&gt;=MAX(AW$4,VLOOKUP(AW$6, Table_ChiPhiNV_Ca[], COUNTA(Table_ChiPhiNV_Ca[[#Headers],[Ca]:[Bắt đầu]]),0)),
$AA12&lt;MIN(AW$5,VLOOKUP(AW$6, Table_ChiPhiNV_Ca[], COUNTA(Table_ChiPhiNV_Ca[[#Headers],[Ca]:[Kết thúc]]),0))),
SUM(_xlfn._xlws.FILTER(Table_BangLuong_TyLeTangCa[Tỷ lệ],
(Table_BangLuong_TyLeTangCa[Ngày] = "Thường") *
(Table_BangLuong_TyLeTangCa[Giờ min]&lt;=$AA12) *
(Table_BangLuong_TyLeTangCa[Giờ max]&gt;$AA12)
)),0)
)),
IF(AW$4 &lt; AW$5,
IF($AA12-$Z$4&lt;AW$4,0,
IF($AA12&gt;AW$5,0,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AW$5,$AA12 &lt; AW$4),0,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X12" s="18" cm="1">
        <f t="array" ref="AX12" xml:space="preserve">
IFERROR(
IF(AX$1="",0,
IF(AND(
$AA12&gt;=VLOOKUP(AX$6, Table_ChiPhiNV_Ca[], COUNTA(Table_ChiPhiNV_Ca[[#Headers],[Ca]:[Bắt đầu nghỉ]]),0),
$AA12&lt;VLOOKUP(AX$6, Table_ChiPhiNV_Ca[], COUNTA(Table_ChiPhiNV_Ca[[#Headers],[Ca]:[Kết thúc nghỉ]]),0)
),0,
IF(NOT(ISBLANK(AX$3)),
IF(ISBLANK(AX$7),0,
IF(AX$4 &lt; AX$5,
IF($AA12-$Z$4&lt;AX$4,0,
IF($AA12&gt;AX$5,0,
SUM(_xlfn._xlws.FILTER(Table_BangLuong_TyLeTangCa[Tỷ lệ],
(Table_BangLuong_TyLeTangCa[Ngày] = AX$3) *
(Table_BangLuong_TyLeTangCa[Giờ min]&lt;=$AA12) *
(Table_BangLuong_TyLeTangCa[Giờ max]&gt;$AA12)
)))),
IF(AND($AA12-$Z$4 &gt;= AX$5,$AA12 &lt; AX$4),0,
SUM(_xlfn._xlws.FILTER(Table_BangLuong_TyLeTangCa[Tỷ lệ],
(Table_BangLuong_TyLeTangCa[Ngày] = AX$3) *
(Table_BangLuong_TyLeTangCa[Giờ min]&lt;=$AA12) *
(Table_BangLuong_TyLeTangCa[Giờ max]&gt;$AA12)
))))
),
IF(ISBLANK(AX$7),
IF(VLOOKUP(AX$6, Table_ChiPhiNV_Ca[], COUNTA(Table_ChiPhiNV_Ca[[#Headers],[Ca]:[Kết thúc]]),0)&gt; VLOOKUP(AX$6, Table_ChiPhiNV_Ca[], COUNTA(Table_ChiPhiNV_Ca[[#Headers],[Ca]:[Bắt đầu]]),0),
IF($AA12-$Z$4&lt;MAX(AX$4,VLOOKUP(AX$6, Table_ChiPhiNV_Ca[], COUNTA(Table_ChiPhiNV_Ca[[#Headers],[Ca]:[Bắt đầu]]),0)),0,
IF($AA12&gt;MIN(AX$5,VLOOKUP(AX$6, Table_ChiPhiNV_Ca[], COUNTA(Table_ChiPhiNV_Ca[[#Headers],[Ca]:[Kết thúc]]),0)),0,
SUM(_xlfn._xlws.FILTER(Table_BangLuong_TyLeTangCa[Tỷ lệ],
(Table_BangLuong_TyLeTangCa[Ngày] = "Thường") *
(Table_BangLuong_TyLeTangCa[Giờ min]&lt;=$AA12) *
(Table_BangLuong_TyLeTangCa[Giờ max]&gt;$AA12)
)))),
IF(AX$4 &gt; AX$5,
IF(
AND(
$AA12-$Z$4&lt;MAX(AX$4,VLOOKUP(AX$6, Table_ChiPhiNV_Ca[], COUNTA(Table_ChiPhiNV_Ca[[#Headers],[Ca]:[Bắt đầu]]),0)),
$AA12&gt;MIN(AX$5,VLOOKUP(AX$6, Table_ChiPhiNV_Ca[], COUNTA(Table_ChiPhiNV_Ca[[#Headers],[Ca]:[Kết thúc]]),0))),0,
SUM(_xlfn._xlws.FILTER(Table_BangLuong_TyLeTangCa[Tỷ lệ],
(Table_BangLuong_TyLeTangCa[Ngày] = "Thường") *
(Table_BangLuong_TyLeTangCa[Giờ min]&lt;=$AA12) *
(Table_BangLuong_TyLeTangCa[Giờ max]&gt;$AA12)
))),
IF(
AND(
$AA12-$Z$4&gt;=MAX(AX$4,VLOOKUP(AX$6, Table_ChiPhiNV_Ca[], COUNTA(Table_ChiPhiNV_Ca[[#Headers],[Ca]:[Bắt đầu]]),0)),
$AA12&lt;MIN(AX$5,VLOOKUP(AX$6, Table_ChiPhiNV_Ca[], COUNTA(Table_ChiPhiNV_Ca[[#Headers],[Ca]:[Kết thúc]]),0))),
SUM(_xlfn._xlws.FILTER(Table_BangLuong_TyLeTangCa[Tỷ lệ],
(Table_BangLuong_TyLeTangCa[Ngày] = "Thường") *
(Table_BangLuong_TyLeTangCa[Giờ min]&lt;=$AA12) *
(Table_BangLuong_TyLeTangCa[Giờ max]&gt;$AA12)
)),0)
)),
IF(AX$4 &lt; AX$5,
IF($AA12-$Z$4&lt;AX$4,0,
IF($AA12&gt;AX$5,0,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AX$5,$AA12 &lt; AX$4),0,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Y12" s="18" cm="1">
        <f t="array" ref="AY12" xml:space="preserve">
IFERROR(
IF(AY$1="",0,
IF(AND(
$AA12&gt;=VLOOKUP(AY$6, Table_ChiPhiNV_Ca[], COUNTA(Table_ChiPhiNV_Ca[[#Headers],[Ca]:[Bắt đầu nghỉ]]),0),
$AA12&lt;VLOOKUP(AY$6, Table_ChiPhiNV_Ca[], COUNTA(Table_ChiPhiNV_Ca[[#Headers],[Ca]:[Kết thúc nghỉ]]),0)
),0,
IF(NOT(ISBLANK(AY$3)),
IF(ISBLANK(AY$7),0,
IF(AY$4 &lt; AY$5,
IF($AA12-$Z$4&lt;AY$4,0,
IF($AA12&gt;AY$5,0,
SUM(_xlfn._xlws.FILTER(Table_BangLuong_TyLeTangCa[Tỷ lệ],
(Table_BangLuong_TyLeTangCa[Ngày] = AY$3) *
(Table_BangLuong_TyLeTangCa[Giờ min]&lt;=$AA12) *
(Table_BangLuong_TyLeTangCa[Giờ max]&gt;$AA12)
)))),
IF(AND($AA12-$Z$4 &gt;= AY$5,$AA12 &lt; AY$4),0,
SUM(_xlfn._xlws.FILTER(Table_BangLuong_TyLeTangCa[Tỷ lệ],
(Table_BangLuong_TyLeTangCa[Ngày] = AY$3) *
(Table_BangLuong_TyLeTangCa[Giờ min]&lt;=$AA12) *
(Table_BangLuong_TyLeTangCa[Giờ max]&gt;$AA12)
))))
),
IF(ISBLANK(AY$7),
IF(VLOOKUP(AY$6, Table_ChiPhiNV_Ca[], COUNTA(Table_ChiPhiNV_Ca[[#Headers],[Ca]:[Kết thúc]]),0)&gt; VLOOKUP(AY$6, Table_ChiPhiNV_Ca[], COUNTA(Table_ChiPhiNV_Ca[[#Headers],[Ca]:[Bắt đầu]]),0),
IF($AA12-$Z$4&lt;MAX(AY$4,VLOOKUP(AY$6, Table_ChiPhiNV_Ca[], COUNTA(Table_ChiPhiNV_Ca[[#Headers],[Ca]:[Bắt đầu]]),0)),0,
IF($AA12&gt;MIN(AY$5,VLOOKUP(AY$6, Table_ChiPhiNV_Ca[], COUNTA(Table_ChiPhiNV_Ca[[#Headers],[Ca]:[Kết thúc]]),0)),0,
SUM(_xlfn._xlws.FILTER(Table_BangLuong_TyLeTangCa[Tỷ lệ],
(Table_BangLuong_TyLeTangCa[Ngày] = "Thường") *
(Table_BangLuong_TyLeTangCa[Giờ min]&lt;=$AA12) *
(Table_BangLuong_TyLeTangCa[Giờ max]&gt;$AA12)
)))),
IF(AY$4 &gt; AY$5,
IF(
AND(
$AA12-$Z$4&lt;MAX(AY$4,VLOOKUP(AY$6, Table_ChiPhiNV_Ca[], COUNTA(Table_ChiPhiNV_Ca[[#Headers],[Ca]:[Bắt đầu]]),0)),
$AA12&gt;MIN(AY$5,VLOOKUP(AY$6, Table_ChiPhiNV_Ca[], COUNTA(Table_ChiPhiNV_Ca[[#Headers],[Ca]:[Kết thúc]]),0))),0,
SUM(_xlfn._xlws.FILTER(Table_BangLuong_TyLeTangCa[Tỷ lệ],
(Table_BangLuong_TyLeTangCa[Ngày] = "Thường") *
(Table_BangLuong_TyLeTangCa[Giờ min]&lt;=$AA12) *
(Table_BangLuong_TyLeTangCa[Giờ max]&gt;$AA12)
))),
IF(
AND(
$AA12-$Z$4&gt;=MAX(AY$4,VLOOKUP(AY$6, Table_ChiPhiNV_Ca[], COUNTA(Table_ChiPhiNV_Ca[[#Headers],[Ca]:[Bắt đầu]]),0)),
$AA12&lt;MIN(AY$5,VLOOKUP(AY$6, Table_ChiPhiNV_Ca[], COUNTA(Table_ChiPhiNV_Ca[[#Headers],[Ca]:[Kết thúc]]),0))),
SUM(_xlfn._xlws.FILTER(Table_BangLuong_TyLeTangCa[Tỷ lệ],
(Table_BangLuong_TyLeTangCa[Ngày] = "Thường") *
(Table_BangLuong_TyLeTangCa[Giờ min]&lt;=$AA12) *
(Table_BangLuong_TyLeTangCa[Giờ max]&gt;$AA12)
)),0)
)),
IF(AY$4 &lt; AY$5,
IF($AA12-$Z$4&lt;AY$4,0,
IF($AA12&gt;AY$5,0,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AY$5,$AA12 &lt; AY$4),0,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Z12" s="18" cm="1">
        <f t="array" ref="AZ12" xml:space="preserve">
IFERROR(
IF(AZ$1="",0,
IF(AND(
$AA12&gt;=VLOOKUP(AZ$6, Table_ChiPhiNV_Ca[], COUNTA(Table_ChiPhiNV_Ca[[#Headers],[Ca]:[Bắt đầu nghỉ]]),0),
$AA12&lt;VLOOKUP(AZ$6, Table_ChiPhiNV_Ca[], COUNTA(Table_ChiPhiNV_Ca[[#Headers],[Ca]:[Kết thúc nghỉ]]),0)
),0,
IF(NOT(ISBLANK(AZ$3)),
IF(ISBLANK(AZ$7),0,
IF(AZ$4 &lt; AZ$5,
IF($AA12-$Z$4&lt;AZ$4,0,
IF($AA12&gt;AZ$5,0,
SUM(_xlfn._xlws.FILTER(Table_BangLuong_TyLeTangCa[Tỷ lệ],
(Table_BangLuong_TyLeTangCa[Ngày] = AZ$3) *
(Table_BangLuong_TyLeTangCa[Giờ min]&lt;=$AA12) *
(Table_BangLuong_TyLeTangCa[Giờ max]&gt;$AA12)
)))),
IF(AND($AA12-$Z$4 &gt;= AZ$5,$AA12 &lt; AZ$4),0,
SUM(_xlfn._xlws.FILTER(Table_BangLuong_TyLeTangCa[Tỷ lệ],
(Table_BangLuong_TyLeTangCa[Ngày] = AZ$3) *
(Table_BangLuong_TyLeTangCa[Giờ min]&lt;=$AA12) *
(Table_BangLuong_TyLeTangCa[Giờ max]&gt;$AA12)
))))
),
IF(ISBLANK(AZ$7),
IF(VLOOKUP(AZ$6, Table_ChiPhiNV_Ca[], COUNTA(Table_ChiPhiNV_Ca[[#Headers],[Ca]:[Kết thúc]]),0)&gt; VLOOKUP(AZ$6, Table_ChiPhiNV_Ca[], COUNTA(Table_ChiPhiNV_Ca[[#Headers],[Ca]:[Bắt đầu]]),0),
IF($AA12-$Z$4&lt;MAX(AZ$4,VLOOKUP(AZ$6, Table_ChiPhiNV_Ca[], COUNTA(Table_ChiPhiNV_Ca[[#Headers],[Ca]:[Bắt đầu]]),0)),0,
IF($AA12&gt;MIN(AZ$5,VLOOKUP(AZ$6, Table_ChiPhiNV_Ca[], COUNTA(Table_ChiPhiNV_Ca[[#Headers],[Ca]:[Kết thúc]]),0)),0,
SUM(_xlfn._xlws.FILTER(Table_BangLuong_TyLeTangCa[Tỷ lệ],
(Table_BangLuong_TyLeTangCa[Ngày] = "Thường") *
(Table_BangLuong_TyLeTangCa[Giờ min]&lt;=$AA12) *
(Table_BangLuong_TyLeTangCa[Giờ max]&gt;$AA12)
)))),
IF(AZ$4 &gt; AZ$5,
IF(
AND(
$AA12-$Z$4&lt;MAX(AZ$4,VLOOKUP(AZ$6, Table_ChiPhiNV_Ca[], COUNTA(Table_ChiPhiNV_Ca[[#Headers],[Ca]:[Bắt đầu]]),0)),
$AA12&gt;MIN(AZ$5,VLOOKUP(AZ$6, Table_ChiPhiNV_Ca[], COUNTA(Table_ChiPhiNV_Ca[[#Headers],[Ca]:[Kết thúc]]),0))),0,
SUM(_xlfn._xlws.FILTER(Table_BangLuong_TyLeTangCa[Tỷ lệ],
(Table_BangLuong_TyLeTangCa[Ngày] = "Thường") *
(Table_BangLuong_TyLeTangCa[Giờ min]&lt;=$AA12) *
(Table_BangLuong_TyLeTangCa[Giờ max]&gt;$AA12)
))),
IF(
AND(
$AA12-$Z$4&gt;=MAX(AZ$4,VLOOKUP(AZ$6, Table_ChiPhiNV_Ca[], COUNTA(Table_ChiPhiNV_Ca[[#Headers],[Ca]:[Bắt đầu]]),0)),
$AA12&lt;MIN(AZ$5,VLOOKUP(AZ$6, Table_ChiPhiNV_Ca[], COUNTA(Table_ChiPhiNV_Ca[[#Headers],[Ca]:[Kết thúc]]),0))),
SUM(_xlfn._xlws.FILTER(Table_BangLuong_TyLeTangCa[Tỷ lệ],
(Table_BangLuong_TyLeTangCa[Ngày] = "Thường") *
(Table_BangLuong_TyLeTangCa[Giờ min]&lt;=$AA12) *
(Table_BangLuong_TyLeTangCa[Giờ max]&gt;$AA12)
)),0)
)),
IF(AZ$4 &lt; AZ$5,
IF($AA12-$Z$4&lt;AZ$4,0,
IF($AA12&gt;AZ$5,0,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AZ$5,$AA12 &lt; AZ$4),0,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A12" s="18" cm="1">
        <f t="array" ref="BA12" xml:space="preserve">
IFERROR(
IF(BA$1="",0,
IF(AND(
$AA12&gt;=VLOOKUP(BA$6, Table_ChiPhiNV_Ca[], COUNTA(Table_ChiPhiNV_Ca[[#Headers],[Ca]:[Bắt đầu nghỉ]]),0),
$AA12&lt;VLOOKUP(BA$6, Table_ChiPhiNV_Ca[], COUNTA(Table_ChiPhiNV_Ca[[#Headers],[Ca]:[Kết thúc nghỉ]]),0)
),0,
IF(NOT(ISBLANK(BA$3)),
IF(ISBLANK(BA$7),0,
IF(BA$4 &lt; BA$5,
IF($AA12-$Z$4&lt;BA$4,0,
IF($AA12&gt;BA$5,0,
SUM(_xlfn._xlws.FILTER(Table_BangLuong_TyLeTangCa[Tỷ lệ],
(Table_BangLuong_TyLeTangCa[Ngày] = BA$3) *
(Table_BangLuong_TyLeTangCa[Giờ min]&lt;=$AA12) *
(Table_BangLuong_TyLeTangCa[Giờ max]&gt;$AA12)
)))),
IF(AND($AA12-$Z$4 &gt;= BA$5,$AA12 &lt; BA$4),0,
SUM(_xlfn._xlws.FILTER(Table_BangLuong_TyLeTangCa[Tỷ lệ],
(Table_BangLuong_TyLeTangCa[Ngày] = BA$3) *
(Table_BangLuong_TyLeTangCa[Giờ min]&lt;=$AA12) *
(Table_BangLuong_TyLeTangCa[Giờ max]&gt;$AA12)
))))
),
IF(ISBLANK(BA$7),
IF(VLOOKUP(BA$6, Table_ChiPhiNV_Ca[], COUNTA(Table_ChiPhiNV_Ca[[#Headers],[Ca]:[Kết thúc]]),0)&gt; VLOOKUP(BA$6, Table_ChiPhiNV_Ca[], COUNTA(Table_ChiPhiNV_Ca[[#Headers],[Ca]:[Bắt đầu]]),0),
IF($AA12-$Z$4&lt;MAX(BA$4,VLOOKUP(BA$6, Table_ChiPhiNV_Ca[], COUNTA(Table_ChiPhiNV_Ca[[#Headers],[Ca]:[Bắt đầu]]),0)),0,
IF($AA12&gt;MIN(BA$5,VLOOKUP(BA$6, Table_ChiPhiNV_Ca[], COUNTA(Table_ChiPhiNV_Ca[[#Headers],[Ca]:[Kết thúc]]),0)),0,
SUM(_xlfn._xlws.FILTER(Table_BangLuong_TyLeTangCa[Tỷ lệ],
(Table_BangLuong_TyLeTangCa[Ngày] = "Thường") *
(Table_BangLuong_TyLeTangCa[Giờ min]&lt;=$AA12) *
(Table_BangLuong_TyLeTangCa[Giờ max]&gt;$AA12)
)))),
IF(BA$4 &gt; BA$5,
IF(
AND(
$AA12-$Z$4&lt;MAX(BA$4,VLOOKUP(BA$6, Table_ChiPhiNV_Ca[], COUNTA(Table_ChiPhiNV_Ca[[#Headers],[Ca]:[Bắt đầu]]),0)),
$AA12&gt;MIN(BA$5,VLOOKUP(BA$6, Table_ChiPhiNV_Ca[], COUNTA(Table_ChiPhiNV_Ca[[#Headers],[Ca]:[Kết thúc]]),0))),0,
SUM(_xlfn._xlws.FILTER(Table_BangLuong_TyLeTangCa[Tỷ lệ],
(Table_BangLuong_TyLeTangCa[Ngày] = "Thường") *
(Table_BangLuong_TyLeTangCa[Giờ min]&lt;=$AA12) *
(Table_BangLuong_TyLeTangCa[Giờ max]&gt;$AA12)
))),
IF(
AND(
$AA12-$Z$4&gt;=MAX(BA$4,VLOOKUP(BA$6, Table_ChiPhiNV_Ca[], COUNTA(Table_ChiPhiNV_Ca[[#Headers],[Ca]:[Bắt đầu]]),0)),
$AA12&lt;MIN(BA$5,VLOOKUP(BA$6, Table_ChiPhiNV_Ca[], COUNTA(Table_ChiPhiNV_Ca[[#Headers],[Ca]:[Kết thúc]]),0))),
SUM(_xlfn._xlws.FILTER(Table_BangLuong_TyLeTangCa[Tỷ lệ],
(Table_BangLuong_TyLeTangCa[Ngày] = "Thường") *
(Table_BangLuong_TyLeTangCa[Giờ min]&lt;=$AA12) *
(Table_BangLuong_TyLeTangCa[Giờ max]&gt;$AA12)
)),0)
)),
IF(BA$4 &lt; BA$5,
IF($AA12-$Z$4&lt;BA$4,0,
IF($AA12&gt;BA$5,0,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BA$5,$AA12 &lt; BA$4),0,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B12" s="18" cm="1">
        <f t="array" ref="BB12" xml:space="preserve">
IFERROR(
IF(BB$1="",0,
IF(AND(
$AA12&gt;=VLOOKUP(BB$6, Table_ChiPhiNV_Ca[], COUNTA(Table_ChiPhiNV_Ca[[#Headers],[Ca]:[Bắt đầu nghỉ]]),0),
$AA12&lt;VLOOKUP(BB$6, Table_ChiPhiNV_Ca[], COUNTA(Table_ChiPhiNV_Ca[[#Headers],[Ca]:[Kết thúc nghỉ]]),0)
),0,
IF(NOT(ISBLANK(BB$3)),
IF(ISBLANK(BB$7),0,
IF(BB$4 &lt; BB$5,
IF($AA12-$Z$4&lt;BB$4,0,
IF($AA12&gt;BB$5,0,
SUM(_xlfn._xlws.FILTER(Table_BangLuong_TyLeTangCa[Tỷ lệ],
(Table_BangLuong_TyLeTangCa[Ngày] = BB$3) *
(Table_BangLuong_TyLeTangCa[Giờ min]&lt;=$AA12) *
(Table_BangLuong_TyLeTangCa[Giờ max]&gt;$AA12)
)))),
IF(AND($AA12-$Z$4 &gt;= BB$5,$AA12 &lt; BB$4),0,
SUM(_xlfn._xlws.FILTER(Table_BangLuong_TyLeTangCa[Tỷ lệ],
(Table_BangLuong_TyLeTangCa[Ngày] = BB$3) *
(Table_BangLuong_TyLeTangCa[Giờ min]&lt;=$AA12) *
(Table_BangLuong_TyLeTangCa[Giờ max]&gt;$AA12)
))))
),
IF(ISBLANK(BB$7),
IF(VLOOKUP(BB$6, Table_ChiPhiNV_Ca[], COUNTA(Table_ChiPhiNV_Ca[[#Headers],[Ca]:[Kết thúc]]),0)&gt; VLOOKUP(BB$6, Table_ChiPhiNV_Ca[], COUNTA(Table_ChiPhiNV_Ca[[#Headers],[Ca]:[Bắt đầu]]),0),
IF($AA12-$Z$4&lt;MAX(BB$4,VLOOKUP(BB$6, Table_ChiPhiNV_Ca[], COUNTA(Table_ChiPhiNV_Ca[[#Headers],[Ca]:[Bắt đầu]]),0)),0,
IF($AA12&gt;MIN(BB$5,VLOOKUP(BB$6, Table_ChiPhiNV_Ca[], COUNTA(Table_ChiPhiNV_Ca[[#Headers],[Ca]:[Kết thúc]]),0)),0,
SUM(_xlfn._xlws.FILTER(Table_BangLuong_TyLeTangCa[Tỷ lệ],
(Table_BangLuong_TyLeTangCa[Ngày] = "Thường") *
(Table_BangLuong_TyLeTangCa[Giờ min]&lt;=$AA12) *
(Table_BangLuong_TyLeTangCa[Giờ max]&gt;$AA12)
)))),
IF(BB$4 &gt; BB$5,
IF(
AND(
$AA12-$Z$4&lt;MAX(BB$4,VLOOKUP(BB$6, Table_ChiPhiNV_Ca[], COUNTA(Table_ChiPhiNV_Ca[[#Headers],[Ca]:[Bắt đầu]]),0)),
$AA12&gt;MIN(BB$5,VLOOKUP(BB$6, Table_ChiPhiNV_Ca[], COUNTA(Table_ChiPhiNV_Ca[[#Headers],[Ca]:[Kết thúc]]),0))),0,
SUM(_xlfn._xlws.FILTER(Table_BangLuong_TyLeTangCa[Tỷ lệ],
(Table_BangLuong_TyLeTangCa[Ngày] = "Thường") *
(Table_BangLuong_TyLeTangCa[Giờ min]&lt;=$AA12) *
(Table_BangLuong_TyLeTangCa[Giờ max]&gt;$AA12)
))),
IF(
AND(
$AA12-$Z$4&gt;=MAX(BB$4,VLOOKUP(BB$6, Table_ChiPhiNV_Ca[], COUNTA(Table_ChiPhiNV_Ca[[#Headers],[Ca]:[Bắt đầu]]),0)),
$AA12&lt;MIN(BB$5,VLOOKUP(BB$6, Table_ChiPhiNV_Ca[], COUNTA(Table_ChiPhiNV_Ca[[#Headers],[Ca]:[Kết thúc]]),0))),
SUM(_xlfn._xlws.FILTER(Table_BangLuong_TyLeTangCa[Tỷ lệ],
(Table_BangLuong_TyLeTangCa[Ngày] = "Thường") *
(Table_BangLuong_TyLeTangCa[Giờ min]&lt;=$AA12) *
(Table_BangLuong_TyLeTangCa[Giờ max]&gt;$AA12)
)),0)
)),
IF(BB$4 &lt; BB$5,
IF($AA12-$Z$4&lt;BB$4,0,
IF($AA12&gt;BB$5,0,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BB$5,$AA12 &lt; BB$4),0,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C12" s="18" cm="1">
        <f t="array" ref="BC12" xml:space="preserve">
IFERROR(
IF(BC$1="",0,
IF(AND(
$AA12&gt;=VLOOKUP(BC$6, Table_ChiPhiNV_Ca[], COUNTA(Table_ChiPhiNV_Ca[[#Headers],[Ca]:[Bắt đầu nghỉ]]),0),
$AA12&lt;VLOOKUP(BC$6, Table_ChiPhiNV_Ca[], COUNTA(Table_ChiPhiNV_Ca[[#Headers],[Ca]:[Kết thúc nghỉ]]),0)
),0,
IF(NOT(ISBLANK(BC$3)),
IF(ISBLANK(BC$7),0,
IF(BC$4 &lt; BC$5,
IF($AA12-$Z$4&lt;BC$4,0,
IF($AA12&gt;BC$5,0,
SUM(_xlfn._xlws.FILTER(Table_BangLuong_TyLeTangCa[Tỷ lệ],
(Table_BangLuong_TyLeTangCa[Ngày] = BC$3) *
(Table_BangLuong_TyLeTangCa[Giờ min]&lt;=$AA12) *
(Table_BangLuong_TyLeTangCa[Giờ max]&gt;$AA12)
)))),
IF(AND($AA12-$Z$4 &gt;= BC$5,$AA12 &lt; BC$4),0,
SUM(_xlfn._xlws.FILTER(Table_BangLuong_TyLeTangCa[Tỷ lệ],
(Table_BangLuong_TyLeTangCa[Ngày] = BC$3) *
(Table_BangLuong_TyLeTangCa[Giờ min]&lt;=$AA12) *
(Table_BangLuong_TyLeTangCa[Giờ max]&gt;$AA12)
))))
),
IF(ISBLANK(BC$7),
IF(VLOOKUP(BC$6, Table_ChiPhiNV_Ca[], COUNTA(Table_ChiPhiNV_Ca[[#Headers],[Ca]:[Kết thúc]]),0)&gt; VLOOKUP(BC$6, Table_ChiPhiNV_Ca[], COUNTA(Table_ChiPhiNV_Ca[[#Headers],[Ca]:[Bắt đầu]]),0),
IF($AA12-$Z$4&lt;MAX(BC$4,VLOOKUP(BC$6, Table_ChiPhiNV_Ca[], COUNTA(Table_ChiPhiNV_Ca[[#Headers],[Ca]:[Bắt đầu]]),0)),0,
IF($AA12&gt;MIN(BC$5,VLOOKUP(BC$6, Table_ChiPhiNV_Ca[], COUNTA(Table_ChiPhiNV_Ca[[#Headers],[Ca]:[Kết thúc]]),0)),0,
SUM(_xlfn._xlws.FILTER(Table_BangLuong_TyLeTangCa[Tỷ lệ],
(Table_BangLuong_TyLeTangCa[Ngày] = "Thường") *
(Table_BangLuong_TyLeTangCa[Giờ min]&lt;=$AA12) *
(Table_BangLuong_TyLeTangCa[Giờ max]&gt;$AA12)
)))),
IF(BC$4 &gt; BC$5,
IF(
AND(
$AA12-$Z$4&lt;MAX(BC$4,VLOOKUP(BC$6, Table_ChiPhiNV_Ca[], COUNTA(Table_ChiPhiNV_Ca[[#Headers],[Ca]:[Bắt đầu]]),0)),
$AA12&gt;MIN(BC$5,VLOOKUP(BC$6, Table_ChiPhiNV_Ca[], COUNTA(Table_ChiPhiNV_Ca[[#Headers],[Ca]:[Kết thúc]]),0))),0,
SUM(_xlfn._xlws.FILTER(Table_BangLuong_TyLeTangCa[Tỷ lệ],
(Table_BangLuong_TyLeTangCa[Ngày] = "Thường") *
(Table_BangLuong_TyLeTangCa[Giờ min]&lt;=$AA12) *
(Table_BangLuong_TyLeTangCa[Giờ max]&gt;$AA12)
))),
IF(
AND(
$AA12-$Z$4&gt;=MAX(BC$4,VLOOKUP(BC$6, Table_ChiPhiNV_Ca[], COUNTA(Table_ChiPhiNV_Ca[[#Headers],[Ca]:[Bắt đầu]]),0)),
$AA12&lt;MIN(BC$5,VLOOKUP(BC$6, Table_ChiPhiNV_Ca[], COUNTA(Table_ChiPhiNV_Ca[[#Headers],[Ca]:[Kết thúc]]),0))),
SUM(_xlfn._xlws.FILTER(Table_BangLuong_TyLeTangCa[Tỷ lệ],
(Table_BangLuong_TyLeTangCa[Ngày] = "Thường") *
(Table_BangLuong_TyLeTangCa[Giờ min]&lt;=$AA12) *
(Table_BangLuong_TyLeTangCa[Giờ max]&gt;$AA12)
)),0)
)),
IF(BC$4 &lt; BC$5,
IF($AA12-$Z$4&lt;BC$4,0,
IF($AA12&gt;BC$5,0,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BC$5,$AA12 &lt; BC$4),0,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D12" s="18" cm="1">
        <f t="array" ref="BD12" xml:space="preserve">
IFERROR(
IF(BD$1="",0,
IF(AND(
$AA12&gt;=VLOOKUP(BD$6, Table_ChiPhiNV_Ca[], COUNTA(Table_ChiPhiNV_Ca[[#Headers],[Ca]:[Bắt đầu nghỉ]]),0),
$AA12&lt;VLOOKUP(BD$6, Table_ChiPhiNV_Ca[], COUNTA(Table_ChiPhiNV_Ca[[#Headers],[Ca]:[Kết thúc nghỉ]]),0)
),0,
IF(NOT(ISBLANK(BD$3)),
IF(ISBLANK(BD$7),0,
IF(BD$4 &lt; BD$5,
IF($AA12-$Z$4&lt;BD$4,0,
IF($AA12&gt;BD$5,0,
SUM(_xlfn._xlws.FILTER(Table_BangLuong_TyLeTangCa[Tỷ lệ],
(Table_BangLuong_TyLeTangCa[Ngày] = BD$3) *
(Table_BangLuong_TyLeTangCa[Giờ min]&lt;=$AA12) *
(Table_BangLuong_TyLeTangCa[Giờ max]&gt;$AA12)
)))),
IF(AND($AA12-$Z$4 &gt;= BD$5,$AA12 &lt; BD$4),0,
SUM(_xlfn._xlws.FILTER(Table_BangLuong_TyLeTangCa[Tỷ lệ],
(Table_BangLuong_TyLeTangCa[Ngày] = BD$3) *
(Table_BangLuong_TyLeTangCa[Giờ min]&lt;=$AA12) *
(Table_BangLuong_TyLeTangCa[Giờ max]&gt;$AA12)
))))
),
IF(ISBLANK(BD$7),
IF(VLOOKUP(BD$6, Table_ChiPhiNV_Ca[], COUNTA(Table_ChiPhiNV_Ca[[#Headers],[Ca]:[Kết thúc]]),0)&gt; VLOOKUP(BD$6, Table_ChiPhiNV_Ca[], COUNTA(Table_ChiPhiNV_Ca[[#Headers],[Ca]:[Bắt đầu]]),0),
IF($AA12-$Z$4&lt;MAX(BD$4,VLOOKUP(BD$6, Table_ChiPhiNV_Ca[], COUNTA(Table_ChiPhiNV_Ca[[#Headers],[Ca]:[Bắt đầu]]),0)),0,
IF($AA12&gt;MIN(BD$5,VLOOKUP(BD$6, Table_ChiPhiNV_Ca[], COUNTA(Table_ChiPhiNV_Ca[[#Headers],[Ca]:[Kết thúc]]),0)),0,
SUM(_xlfn._xlws.FILTER(Table_BangLuong_TyLeTangCa[Tỷ lệ],
(Table_BangLuong_TyLeTangCa[Ngày] = "Thường") *
(Table_BangLuong_TyLeTangCa[Giờ min]&lt;=$AA12) *
(Table_BangLuong_TyLeTangCa[Giờ max]&gt;$AA12)
)))),
IF(BD$4 &gt; BD$5,
IF(
AND(
$AA12-$Z$4&lt;MAX(BD$4,VLOOKUP(BD$6, Table_ChiPhiNV_Ca[], COUNTA(Table_ChiPhiNV_Ca[[#Headers],[Ca]:[Bắt đầu]]),0)),
$AA12&gt;MIN(BD$5,VLOOKUP(BD$6, Table_ChiPhiNV_Ca[], COUNTA(Table_ChiPhiNV_Ca[[#Headers],[Ca]:[Kết thúc]]),0))),0,
SUM(_xlfn._xlws.FILTER(Table_BangLuong_TyLeTangCa[Tỷ lệ],
(Table_BangLuong_TyLeTangCa[Ngày] = "Thường") *
(Table_BangLuong_TyLeTangCa[Giờ min]&lt;=$AA12) *
(Table_BangLuong_TyLeTangCa[Giờ max]&gt;$AA12)
))),
IF(
AND(
$AA12-$Z$4&gt;=MAX(BD$4,VLOOKUP(BD$6, Table_ChiPhiNV_Ca[], COUNTA(Table_ChiPhiNV_Ca[[#Headers],[Ca]:[Bắt đầu]]),0)),
$AA12&lt;MIN(BD$5,VLOOKUP(BD$6, Table_ChiPhiNV_Ca[], COUNTA(Table_ChiPhiNV_Ca[[#Headers],[Ca]:[Kết thúc]]),0))),
SUM(_xlfn._xlws.FILTER(Table_BangLuong_TyLeTangCa[Tỷ lệ],
(Table_BangLuong_TyLeTangCa[Ngày] = "Thường") *
(Table_BangLuong_TyLeTangCa[Giờ min]&lt;=$AA12) *
(Table_BangLuong_TyLeTangCa[Giờ max]&gt;$AA12)
)),0)
)),
IF(BD$4 &lt; BD$5,
IF($AA12-$Z$4&lt;BD$4,0,
IF($AA12&gt;BD$5,0,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BD$5,$AA12 &lt; BD$4),0,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E12" s="18" cm="1">
        <f t="array" ref="BE12" xml:space="preserve">
IFERROR(
IF(BE$1="",0,
IF(AND(
$AA12&gt;=VLOOKUP(BE$6, Table_ChiPhiNV_Ca[], COUNTA(Table_ChiPhiNV_Ca[[#Headers],[Ca]:[Bắt đầu nghỉ]]),0),
$AA12&lt;VLOOKUP(BE$6, Table_ChiPhiNV_Ca[], COUNTA(Table_ChiPhiNV_Ca[[#Headers],[Ca]:[Kết thúc nghỉ]]),0)
),0,
IF(NOT(ISBLANK(BE$3)),
IF(ISBLANK(BE$7),0,
IF(BE$4 &lt; BE$5,
IF($AA12-$Z$4&lt;BE$4,0,
IF($AA12&gt;BE$5,0,
SUM(_xlfn._xlws.FILTER(Table_BangLuong_TyLeTangCa[Tỷ lệ],
(Table_BangLuong_TyLeTangCa[Ngày] = BE$3) *
(Table_BangLuong_TyLeTangCa[Giờ min]&lt;=$AA12) *
(Table_BangLuong_TyLeTangCa[Giờ max]&gt;$AA12)
)))),
IF(AND($AA12-$Z$4 &gt;= BE$5,$AA12 &lt; BE$4),0,
SUM(_xlfn._xlws.FILTER(Table_BangLuong_TyLeTangCa[Tỷ lệ],
(Table_BangLuong_TyLeTangCa[Ngày] = BE$3) *
(Table_BangLuong_TyLeTangCa[Giờ min]&lt;=$AA12) *
(Table_BangLuong_TyLeTangCa[Giờ max]&gt;$AA12)
))))
),
IF(ISBLANK(BE$7),
IF(VLOOKUP(BE$6, Table_ChiPhiNV_Ca[], COUNTA(Table_ChiPhiNV_Ca[[#Headers],[Ca]:[Kết thúc]]),0)&gt; VLOOKUP(BE$6, Table_ChiPhiNV_Ca[], COUNTA(Table_ChiPhiNV_Ca[[#Headers],[Ca]:[Bắt đầu]]),0),
IF($AA12-$Z$4&lt;MAX(BE$4,VLOOKUP(BE$6, Table_ChiPhiNV_Ca[], COUNTA(Table_ChiPhiNV_Ca[[#Headers],[Ca]:[Bắt đầu]]),0)),0,
IF($AA12&gt;MIN(BE$5,VLOOKUP(BE$6, Table_ChiPhiNV_Ca[], COUNTA(Table_ChiPhiNV_Ca[[#Headers],[Ca]:[Kết thúc]]),0)),0,
SUM(_xlfn._xlws.FILTER(Table_BangLuong_TyLeTangCa[Tỷ lệ],
(Table_BangLuong_TyLeTangCa[Ngày] = "Thường") *
(Table_BangLuong_TyLeTangCa[Giờ min]&lt;=$AA12) *
(Table_BangLuong_TyLeTangCa[Giờ max]&gt;$AA12)
)))),
IF(BE$4 &gt; BE$5,
IF(
AND(
$AA12-$Z$4&lt;MAX(BE$4,VLOOKUP(BE$6, Table_ChiPhiNV_Ca[], COUNTA(Table_ChiPhiNV_Ca[[#Headers],[Ca]:[Bắt đầu]]),0)),
$AA12&gt;MIN(BE$5,VLOOKUP(BE$6, Table_ChiPhiNV_Ca[], COUNTA(Table_ChiPhiNV_Ca[[#Headers],[Ca]:[Kết thúc]]),0))),0,
SUM(_xlfn._xlws.FILTER(Table_BangLuong_TyLeTangCa[Tỷ lệ],
(Table_BangLuong_TyLeTangCa[Ngày] = "Thường") *
(Table_BangLuong_TyLeTangCa[Giờ min]&lt;=$AA12) *
(Table_BangLuong_TyLeTangCa[Giờ max]&gt;$AA12)
))),
IF(
AND(
$AA12-$Z$4&gt;=MAX(BE$4,VLOOKUP(BE$6, Table_ChiPhiNV_Ca[], COUNTA(Table_ChiPhiNV_Ca[[#Headers],[Ca]:[Bắt đầu]]),0)),
$AA12&lt;MIN(BE$5,VLOOKUP(BE$6, Table_ChiPhiNV_Ca[], COUNTA(Table_ChiPhiNV_Ca[[#Headers],[Ca]:[Kết thúc]]),0))),
SUM(_xlfn._xlws.FILTER(Table_BangLuong_TyLeTangCa[Tỷ lệ],
(Table_BangLuong_TyLeTangCa[Ngày] = "Thường") *
(Table_BangLuong_TyLeTangCa[Giờ min]&lt;=$AA12) *
(Table_BangLuong_TyLeTangCa[Giờ max]&gt;$AA12)
)),0)
)),
IF(BE$4 &lt; BE$5,
IF($AA12-$Z$4&lt;BE$4,0,
IF($AA12&gt;BE$5,0,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BE$5,$AA12 &lt; BE$4),0,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F12" s="18" cm="1">
        <f t="array" ref="BF12" xml:space="preserve">
IFERROR(
IF(BF$1="",0,
IF(AND(
$AA12&gt;=VLOOKUP(BF$6, Table_ChiPhiNV_Ca[], COUNTA(Table_ChiPhiNV_Ca[[#Headers],[Ca]:[Bắt đầu nghỉ]]),0),
$AA12&lt;VLOOKUP(BF$6, Table_ChiPhiNV_Ca[], COUNTA(Table_ChiPhiNV_Ca[[#Headers],[Ca]:[Kết thúc nghỉ]]),0)
),0,
IF(NOT(ISBLANK(BF$3)),
IF(ISBLANK(BF$7),0,
IF(BF$4 &lt; BF$5,
IF($AA12-$Z$4&lt;BF$4,0,
IF($AA12&gt;BF$5,0,
SUM(_xlfn._xlws.FILTER(Table_BangLuong_TyLeTangCa[Tỷ lệ],
(Table_BangLuong_TyLeTangCa[Ngày] = BF$3) *
(Table_BangLuong_TyLeTangCa[Giờ min]&lt;=$AA12) *
(Table_BangLuong_TyLeTangCa[Giờ max]&gt;$AA12)
)))),
IF(AND($AA12-$Z$4 &gt;= BF$5,$AA12 &lt; BF$4),0,
SUM(_xlfn._xlws.FILTER(Table_BangLuong_TyLeTangCa[Tỷ lệ],
(Table_BangLuong_TyLeTangCa[Ngày] = BF$3) *
(Table_BangLuong_TyLeTangCa[Giờ min]&lt;=$AA12) *
(Table_BangLuong_TyLeTangCa[Giờ max]&gt;$AA12)
))))
),
IF(ISBLANK(BF$7),
IF(VLOOKUP(BF$6, Table_ChiPhiNV_Ca[], COUNTA(Table_ChiPhiNV_Ca[[#Headers],[Ca]:[Kết thúc]]),0)&gt; VLOOKUP(BF$6, Table_ChiPhiNV_Ca[], COUNTA(Table_ChiPhiNV_Ca[[#Headers],[Ca]:[Bắt đầu]]),0),
IF($AA12-$Z$4&lt;MAX(BF$4,VLOOKUP(BF$6, Table_ChiPhiNV_Ca[], COUNTA(Table_ChiPhiNV_Ca[[#Headers],[Ca]:[Bắt đầu]]),0)),0,
IF($AA12&gt;MIN(BF$5,VLOOKUP(BF$6, Table_ChiPhiNV_Ca[], COUNTA(Table_ChiPhiNV_Ca[[#Headers],[Ca]:[Kết thúc]]),0)),0,
SUM(_xlfn._xlws.FILTER(Table_BangLuong_TyLeTangCa[Tỷ lệ],
(Table_BangLuong_TyLeTangCa[Ngày] = "Thường") *
(Table_BangLuong_TyLeTangCa[Giờ min]&lt;=$AA12) *
(Table_BangLuong_TyLeTangCa[Giờ max]&gt;$AA12)
)))),
IF(BF$4 &gt; BF$5,
IF(
AND(
$AA12-$Z$4&lt;MAX(BF$4,VLOOKUP(BF$6, Table_ChiPhiNV_Ca[], COUNTA(Table_ChiPhiNV_Ca[[#Headers],[Ca]:[Bắt đầu]]),0)),
$AA12&gt;MIN(BF$5,VLOOKUP(BF$6, Table_ChiPhiNV_Ca[], COUNTA(Table_ChiPhiNV_Ca[[#Headers],[Ca]:[Kết thúc]]),0))),0,
SUM(_xlfn._xlws.FILTER(Table_BangLuong_TyLeTangCa[Tỷ lệ],
(Table_BangLuong_TyLeTangCa[Ngày] = "Thường") *
(Table_BangLuong_TyLeTangCa[Giờ min]&lt;=$AA12) *
(Table_BangLuong_TyLeTangCa[Giờ max]&gt;$AA12)
))),
IF(
AND(
$AA12-$Z$4&gt;=MAX(BF$4,VLOOKUP(BF$6, Table_ChiPhiNV_Ca[], COUNTA(Table_ChiPhiNV_Ca[[#Headers],[Ca]:[Bắt đầu]]),0)),
$AA12&lt;MIN(BF$5,VLOOKUP(BF$6, Table_ChiPhiNV_Ca[], COUNTA(Table_ChiPhiNV_Ca[[#Headers],[Ca]:[Kết thúc]]),0))),
SUM(_xlfn._xlws.FILTER(Table_BangLuong_TyLeTangCa[Tỷ lệ],
(Table_BangLuong_TyLeTangCa[Ngày] = "Thường") *
(Table_BangLuong_TyLeTangCa[Giờ min]&lt;=$AA12) *
(Table_BangLuong_TyLeTangCa[Giờ max]&gt;$AA12)
)),0)
)),
IF(BF$4 &lt; BF$5,
IF($AA12-$Z$4&lt;BF$4,0,
IF($AA12&gt;BF$5,0,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BF$5,$AA12 &lt; BF$4),0,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H12" s="1" t="s">
        <v>106</v>
      </c>
      <c r="BI12" s="1" t="s">
        <v>90</v>
      </c>
      <c r="BJ12" s="58">
        <v>45779.921527777777</v>
      </c>
      <c r="BK12" s="65">
        <f>INT(Table_ChiPhiNV_ChamCong[[#This Row],[Thời điểm]])</f>
        <v>45779</v>
      </c>
      <c r="BL12" s="66">
        <f>Table_ChiPhiNV_ChamCong[[#This Row],[Thời điểm]]-Table_ChiPhiNV_ChamCong[[#This Row],[Ngày]]</f>
        <v>0.92152777777664596</v>
      </c>
    </row>
    <row r="13" spans="2:82" ht="18" customHeight="1" outlineLevel="1" x14ac:dyDescent="0.3">
      <c r="J13" s="3" t="s">
        <v>66</v>
      </c>
      <c r="K13" s="49">
        <v>0.91666666666666663</v>
      </c>
      <c r="L13" s="49">
        <v>0.99998842592592596</v>
      </c>
      <c r="M13" s="13">
        <v>3.9</v>
      </c>
      <c r="AA13" s="50">
        <v>8.3333333333333301E-2</v>
      </c>
      <c r="AB13" s="18" cm="1">
        <f t="array" ref="AB13" xml:space="preserve">
IFERROR(
IF(AB$1="",0,
IF(AND(
$AA13&gt;=VLOOKUP(AB$6, Table_ChiPhiNV_Ca[], COUNTA(Table_ChiPhiNV_Ca[[#Headers],[Ca]:[Bắt đầu nghỉ]]),0),
$AA13&lt;VLOOKUP(AB$6, Table_ChiPhiNV_Ca[], COUNTA(Table_ChiPhiNV_Ca[[#Headers],[Ca]:[Kết thúc nghỉ]]),0)
),0,
IF(NOT(ISBLANK(AB$3)),
IF(ISBLANK(AB$7),0,
IF(AB$4 &lt; AB$5,
IF($AA13-$Z$4&lt;AB$4,0,
IF($AA13&gt;AB$5,0,
SUM(_xlfn._xlws.FILTER(Table_BangLuong_TyLeTangCa[Tỷ lệ],
(Table_BangLuong_TyLeTangCa[Ngày] = AB$3) *
(Table_BangLuong_TyLeTangCa[Giờ min]&lt;=$AA13) *
(Table_BangLuong_TyLeTangCa[Giờ max]&gt;$AA13)
)))),
IF(AND($AA13-$Z$4 &gt;= AB$5,$AA13 &lt; AB$4),0,
SUM(_xlfn._xlws.FILTER(Table_BangLuong_TyLeTangCa[Tỷ lệ],
(Table_BangLuong_TyLeTangCa[Ngày] = AB$3) *
(Table_BangLuong_TyLeTangCa[Giờ min]&lt;=$AA13) *
(Table_BangLuong_TyLeTangCa[Giờ max]&gt;$AA13)
))))
),
IF(ISBLANK(AB$7),
IF(VLOOKUP(AB$6, Table_ChiPhiNV_Ca[], COUNTA(Table_ChiPhiNV_Ca[[#Headers],[Ca]:[Kết thúc]]),0)&gt; VLOOKUP(AB$6, Table_ChiPhiNV_Ca[], COUNTA(Table_ChiPhiNV_Ca[[#Headers],[Ca]:[Bắt đầu]]),0),
IF($AA13-$Z$4&lt;MAX(AB$4,VLOOKUP(AB$6, Table_ChiPhiNV_Ca[], COUNTA(Table_ChiPhiNV_Ca[[#Headers],[Ca]:[Bắt đầu]]),0)),0,
IF($AA13&gt;MIN(AB$5,VLOOKUP(AB$6, Table_ChiPhiNV_Ca[], COUNTA(Table_ChiPhiNV_Ca[[#Headers],[Ca]:[Kết thúc]]),0)),0,
SUM(_xlfn._xlws.FILTER(Table_BangLuong_TyLeTangCa[Tỷ lệ],
(Table_BangLuong_TyLeTangCa[Ngày] = "Thường") *
(Table_BangLuong_TyLeTangCa[Giờ min]&lt;=$AA13) *
(Table_BangLuong_TyLeTangCa[Giờ max]&gt;$AA13)
)))),
IF(AB$4 &gt; AB$5,
IF(
AND(
$AA13-$Z$4&lt;MAX(AB$4,VLOOKUP(AB$6, Table_ChiPhiNV_Ca[], COUNTA(Table_ChiPhiNV_Ca[[#Headers],[Ca]:[Bắt đầu]]),0)),
$AA13&gt;MIN(AB$5,VLOOKUP(AB$6, Table_ChiPhiNV_Ca[], COUNTA(Table_ChiPhiNV_Ca[[#Headers],[Ca]:[Kết thúc]]),0))),0,
SUM(_xlfn._xlws.FILTER(Table_BangLuong_TyLeTangCa[Tỷ lệ],
(Table_BangLuong_TyLeTangCa[Ngày] = "Thường") *
(Table_BangLuong_TyLeTangCa[Giờ min]&lt;=$AA13) *
(Table_BangLuong_TyLeTangCa[Giờ max]&gt;$AA13)
))),
IF(
AND(
$AA13-$Z$4&gt;=MAX(AB$4,VLOOKUP(AB$6, Table_ChiPhiNV_Ca[], COUNTA(Table_ChiPhiNV_Ca[[#Headers],[Ca]:[Bắt đầu]]),0)),
$AA13&lt;MIN(AB$5,VLOOKUP(AB$6, Table_ChiPhiNV_Ca[], COUNTA(Table_ChiPhiNV_Ca[[#Headers],[Ca]:[Kết thúc]]),0))),
SUM(_xlfn._xlws.FILTER(Table_BangLuong_TyLeTangCa[Tỷ lệ],
(Table_BangLuong_TyLeTangCa[Ngày] = "Thường") *
(Table_BangLuong_TyLeTangCa[Giờ min]&lt;=$AA13) *
(Table_BangLuong_TyLeTangCa[Giờ max]&gt;$AA13)
)),0)
)),
IF(AB$4 &lt; AB$5,
IF($AA13-$Z$4&lt;AB$4,0,
IF($AA13&gt;AB$5,0,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AB$5,$AA13 &lt; AB$4),0,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C13" s="18" cm="1">
        <f t="array" ref="AC13" xml:space="preserve">
IFERROR(
IF(AC$1="",0,
IF(AND(
$AA13&gt;=VLOOKUP(AC$6, Table_ChiPhiNV_Ca[], COUNTA(Table_ChiPhiNV_Ca[[#Headers],[Ca]:[Bắt đầu nghỉ]]),0),
$AA13&lt;VLOOKUP(AC$6, Table_ChiPhiNV_Ca[], COUNTA(Table_ChiPhiNV_Ca[[#Headers],[Ca]:[Kết thúc nghỉ]]),0)
),0,
IF(NOT(ISBLANK(AC$3)),
IF(ISBLANK(AC$7),0,
IF(AC$4 &lt; AC$5,
IF($AA13-$Z$4&lt;AC$4,0,
IF($AA13&gt;AC$5,0,
SUM(_xlfn._xlws.FILTER(Table_BangLuong_TyLeTangCa[Tỷ lệ],
(Table_BangLuong_TyLeTangCa[Ngày] = AC$3) *
(Table_BangLuong_TyLeTangCa[Giờ min]&lt;=$AA13) *
(Table_BangLuong_TyLeTangCa[Giờ max]&gt;$AA13)
)))),
IF(AND($AA13-$Z$4 &gt;= AC$5,$AA13 &lt; AC$4),0,
SUM(_xlfn._xlws.FILTER(Table_BangLuong_TyLeTangCa[Tỷ lệ],
(Table_BangLuong_TyLeTangCa[Ngày] = AC$3) *
(Table_BangLuong_TyLeTangCa[Giờ min]&lt;=$AA13) *
(Table_BangLuong_TyLeTangCa[Giờ max]&gt;$AA13)
))))
),
IF(ISBLANK(AC$7),
IF(VLOOKUP(AC$6, Table_ChiPhiNV_Ca[], COUNTA(Table_ChiPhiNV_Ca[[#Headers],[Ca]:[Kết thúc]]),0)&gt; VLOOKUP(AC$6, Table_ChiPhiNV_Ca[], COUNTA(Table_ChiPhiNV_Ca[[#Headers],[Ca]:[Bắt đầu]]),0),
IF($AA13-$Z$4&lt;MAX(AC$4,VLOOKUP(AC$6, Table_ChiPhiNV_Ca[], COUNTA(Table_ChiPhiNV_Ca[[#Headers],[Ca]:[Bắt đầu]]),0)),0,
IF($AA13&gt;MIN(AC$5,VLOOKUP(AC$6, Table_ChiPhiNV_Ca[], COUNTA(Table_ChiPhiNV_Ca[[#Headers],[Ca]:[Kết thúc]]),0)),0,
SUM(_xlfn._xlws.FILTER(Table_BangLuong_TyLeTangCa[Tỷ lệ],
(Table_BangLuong_TyLeTangCa[Ngày] = "Thường") *
(Table_BangLuong_TyLeTangCa[Giờ min]&lt;=$AA13) *
(Table_BangLuong_TyLeTangCa[Giờ max]&gt;$AA13)
)))),
IF(AC$4 &gt; AC$5,
IF(
AND(
$AA13-$Z$4&lt;MAX(AC$4,VLOOKUP(AC$6, Table_ChiPhiNV_Ca[], COUNTA(Table_ChiPhiNV_Ca[[#Headers],[Ca]:[Bắt đầu]]),0)),
$AA13&gt;MIN(AC$5,VLOOKUP(AC$6, Table_ChiPhiNV_Ca[], COUNTA(Table_ChiPhiNV_Ca[[#Headers],[Ca]:[Kết thúc]]),0))),0,
SUM(_xlfn._xlws.FILTER(Table_BangLuong_TyLeTangCa[Tỷ lệ],
(Table_BangLuong_TyLeTangCa[Ngày] = "Thường") *
(Table_BangLuong_TyLeTangCa[Giờ min]&lt;=$AA13) *
(Table_BangLuong_TyLeTangCa[Giờ max]&gt;$AA13)
))),
IF(
AND(
$AA13-$Z$4&gt;=MAX(AC$4,VLOOKUP(AC$6, Table_ChiPhiNV_Ca[], COUNTA(Table_ChiPhiNV_Ca[[#Headers],[Ca]:[Bắt đầu]]),0)),
$AA13&lt;MIN(AC$5,VLOOKUP(AC$6, Table_ChiPhiNV_Ca[], COUNTA(Table_ChiPhiNV_Ca[[#Headers],[Ca]:[Kết thúc]]),0))),
SUM(_xlfn._xlws.FILTER(Table_BangLuong_TyLeTangCa[Tỷ lệ],
(Table_BangLuong_TyLeTangCa[Ngày] = "Thường") *
(Table_BangLuong_TyLeTangCa[Giờ min]&lt;=$AA13) *
(Table_BangLuong_TyLeTangCa[Giờ max]&gt;$AA13)
)),0)
)),
IF(AC$4 &lt; AC$5,
IF($AA13-$Z$4&lt;AC$4,0,
IF($AA13&gt;AC$5,0,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AC$5,$AA13 &lt; AC$4),0,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D13" s="18" cm="1">
        <f t="array" ref="AD13" xml:space="preserve">
IFERROR(
IF(AD$1="",0,
IF(AND(
$AA13&gt;=VLOOKUP(AD$6, Table_ChiPhiNV_Ca[], COUNTA(Table_ChiPhiNV_Ca[[#Headers],[Ca]:[Bắt đầu nghỉ]]),0),
$AA13&lt;VLOOKUP(AD$6, Table_ChiPhiNV_Ca[], COUNTA(Table_ChiPhiNV_Ca[[#Headers],[Ca]:[Kết thúc nghỉ]]),0)
),0,
IF(NOT(ISBLANK(AD$3)),
IF(ISBLANK(AD$7),0,
IF(AD$4 &lt; AD$5,
IF($AA13-$Z$4&lt;AD$4,0,
IF($AA13&gt;AD$5,0,
SUM(_xlfn._xlws.FILTER(Table_BangLuong_TyLeTangCa[Tỷ lệ],
(Table_BangLuong_TyLeTangCa[Ngày] = AD$3) *
(Table_BangLuong_TyLeTangCa[Giờ min]&lt;=$AA13) *
(Table_BangLuong_TyLeTangCa[Giờ max]&gt;$AA13)
)))),
IF(AND($AA13-$Z$4 &gt;= AD$5,$AA13 &lt; AD$4),0,
SUM(_xlfn._xlws.FILTER(Table_BangLuong_TyLeTangCa[Tỷ lệ],
(Table_BangLuong_TyLeTangCa[Ngày] = AD$3) *
(Table_BangLuong_TyLeTangCa[Giờ min]&lt;=$AA13) *
(Table_BangLuong_TyLeTangCa[Giờ max]&gt;$AA13)
))))
),
IF(ISBLANK(AD$7),
IF(VLOOKUP(AD$6, Table_ChiPhiNV_Ca[], COUNTA(Table_ChiPhiNV_Ca[[#Headers],[Ca]:[Kết thúc]]),0)&gt; VLOOKUP(AD$6, Table_ChiPhiNV_Ca[], COUNTA(Table_ChiPhiNV_Ca[[#Headers],[Ca]:[Bắt đầu]]),0),
IF($AA13-$Z$4&lt;MAX(AD$4,VLOOKUP(AD$6, Table_ChiPhiNV_Ca[], COUNTA(Table_ChiPhiNV_Ca[[#Headers],[Ca]:[Bắt đầu]]),0)),0,
IF($AA13&gt;MIN(AD$5,VLOOKUP(AD$6, Table_ChiPhiNV_Ca[], COUNTA(Table_ChiPhiNV_Ca[[#Headers],[Ca]:[Kết thúc]]),0)),0,
SUM(_xlfn._xlws.FILTER(Table_BangLuong_TyLeTangCa[Tỷ lệ],
(Table_BangLuong_TyLeTangCa[Ngày] = "Thường") *
(Table_BangLuong_TyLeTangCa[Giờ min]&lt;=$AA13) *
(Table_BangLuong_TyLeTangCa[Giờ max]&gt;$AA13)
)))),
IF(AD$4 &gt; AD$5,
IF(
AND(
$AA13-$Z$4&lt;MAX(AD$4,VLOOKUP(AD$6, Table_ChiPhiNV_Ca[], COUNTA(Table_ChiPhiNV_Ca[[#Headers],[Ca]:[Bắt đầu]]),0)),
$AA13&gt;MIN(AD$5,VLOOKUP(AD$6, Table_ChiPhiNV_Ca[], COUNTA(Table_ChiPhiNV_Ca[[#Headers],[Ca]:[Kết thúc]]),0))),0,
SUM(_xlfn._xlws.FILTER(Table_BangLuong_TyLeTangCa[Tỷ lệ],
(Table_BangLuong_TyLeTangCa[Ngày] = "Thường") *
(Table_BangLuong_TyLeTangCa[Giờ min]&lt;=$AA13) *
(Table_BangLuong_TyLeTangCa[Giờ max]&gt;$AA13)
))),
IF(
AND(
$AA13-$Z$4&gt;=MAX(AD$4,VLOOKUP(AD$6, Table_ChiPhiNV_Ca[], COUNTA(Table_ChiPhiNV_Ca[[#Headers],[Ca]:[Bắt đầu]]),0)),
$AA13&lt;MIN(AD$5,VLOOKUP(AD$6, Table_ChiPhiNV_Ca[], COUNTA(Table_ChiPhiNV_Ca[[#Headers],[Ca]:[Kết thúc]]),0))),
SUM(_xlfn._xlws.FILTER(Table_BangLuong_TyLeTangCa[Tỷ lệ],
(Table_BangLuong_TyLeTangCa[Ngày] = "Thường") *
(Table_BangLuong_TyLeTangCa[Giờ min]&lt;=$AA13) *
(Table_BangLuong_TyLeTangCa[Giờ max]&gt;$AA13)
)),0)
)),
IF(AD$4 &lt; AD$5,
IF($AA13-$Z$4&lt;AD$4,0,
IF($AA13&gt;AD$5,0,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AD$5,$AA13 &lt; AD$4),0,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E13" s="18" cm="1">
        <f t="array" ref="AE13" xml:space="preserve">
IFERROR(
IF(AE$1="",0,
IF(AND(
$AA13&gt;=VLOOKUP(AE$6, Table_ChiPhiNV_Ca[], COUNTA(Table_ChiPhiNV_Ca[[#Headers],[Ca]:[Bắt đầu nghỉ]]),0),
$AA13&lt;VLOOKUP(AE$6, Table_ChiPhiNV_Ca[], COUNTA(Table_ChiPhiNV_Ca[[#Headers],[Ca]:[Kết thúc nghỉ]]),0)
),0,
IF(NOT(ISBLANK(AE$3)),
IF(ISBLANK(AE$7),0,
IF(AE$4 &lt; AE$5,
IF($AA13-$Z$4&lt;AE$4,0,
IF($AA13&gt;AE$5,0,
SUM(_xlfn._xlws.FILTER(Table_BangLuong_TyLeTangCa[Tỷ lệ],
(Table_BangLuong_TyLeTangCa[Ngày] = AE$3) *
(Table_BangLuong_TyLeTangCa[Giờ min]&lt;=$AA13) *
(Table_BangLuong_TyLeTangCa[Giờ max]&gt;$AA13)
)))),
IF(AND($AA13-$Z$4 &gt;= AE$5,$AA13 &lt; AE$4),0,
SUM(_xlfn._xlws.FILTER(Table_BangLuong_TyLeTangCa[Tỷ lệ],
(Table_BangLuong_TyLeTangCa[Ngày] = AE$3) *
(Table_BangLuong_TyLeTangCa[Giờ min]&lt;=$AA13) *
(Table_BangLuong_TyLeTangCa[Giờ max]&gt;$AA13)
))))
),
IF(ISBLANK(AE$7),
IF(VLOOKUP(AE$6, Table_ChiPhiNV_Ca[], COUNTA(Table_ChiPhiNV_Ca[[#Headers],[Ca]:[Kết thúc]]),0)&gt; VLOOKUP(AE$6, Table_ChiPhiNV_Ca[], COUNTA(Table_ChiPhiNV_Ca[[#Headers],[Ca]:[Bắt đầu]]),0),
IF($AA13-$Z$4&lt;MAX(AE$4,VLOOKUP(AE$6, Table_ChiPhiNV_Ca[], COUNTA(Table_ChiPhiNV_Ca[[#Headers],[Ca]:[Bắt đầu]]),0)),0,
IF($AA13&gt;MIN(AE$5,VLOOKUP(AE$6, Table_ChiPhiNV_Ca[], COUNTA(Table_ChiPhiNV_Ca[[#Headers],[Ca]:[Kết thúc]]),0)),0,
SUM(_xlfn._xlws.FILTER(Table_BangLuong_TyLeTangCa[Tỷ lệ],
(Table_BangLuong_TyLeTangCa[Ngày] = "Thường") *
(Table_BangLuong_TyLeTangCa[Giờ min]&lt;=$AA13) *
(Table_BangLuong_TyLeTangCa[Giờ max]&gt;$AA13)
)))),
IF(AE$4 &gt; AE$5,
IF(
AND(
$AA13-$Z$4&lt;MAX(AE$4,VLOOKUP(AE$6, Table_ChiPhiNV_Ca[], COUNTA(Table_ChiPhiNV_Ca[[#Headers],[Ca]:[Bắt đầu]]),0)),
$AA13&gt;MIN(AE$5,VLOOKUP(AE$6, Table_ChiPhiNV_Ca[], COUNTA(Table_ChiPhiNV_Ca[[#Headers],[Ca]:[Kết thúc]]),0))),0,
SUM(_xlfn._xlws.FILTER(Table_BangLuong_TyLeTangCa[Tỷ lệ],
(Table_BangLuong_TyLeTangCa[Ngày] = "Thường") *
(Table_BangLuong_TyLeTangCa[Giờ min]&lt;=$AA13) *
(Table_BangLuong_TyLeTangCa[Giờ max]&gt;$AA13)
))),
IF(
AND(
$AA13-$Z$4&gt;=MAX(AE$4,VLOOKUP(AE$6, Table_ChiPhiNV_Ca[], COUNTA(Table_ChiPhiNV_Ca[[#Headers],[Ca]:[Bắt đầu]]),0)),
$AA13&lt;MIN(AE$5,VLOOKUP(AE$6, Table_ChiPhiNV_Ca[], COUNTA(Table_ChiPhiNV_Ca[[#Headers],[Ca]:[Kết thúc]]),0))),
SUM(_xlfn._xlws.FILTER(Table_BangLuong_TyLeTangCa[Tỷ lệ],
(Table_BangLuong_TyLeTangCa[Ngày] = "Thường") *
(Table_BangLuong_TyLeTangCa[Giờ min]&lt;=$AA13) *
(Table_BangLuong_TyLeTangCa[Giờ max]&gt;$AA13)
)),0)
)),
IF(AE$4 &lt; AE$5,
IF($AA13-$Z$4&lt;AE$4,0,
IF($AA13&gt;AE$5,0,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AE$5,$AA13 &lt; AE$4),0,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F13" s="18" cm="1">
        <f t="array" ref="AF13" xml:space="preserve">
IFERROR(
IF(AF$1="",0,
IF(AND(
$AA13&gt;=VLOOKUP(AF$6, Table_ChiPhiNV_Ca[], COUNTA(Table_ChiPhiNV_Ca[[#Headers],[Ca]:[Bắt đầu nghỉ]]),0),
$AA13&lt;VLOOKUP(AF$6, Table_ChiPhiNV_Ca[], COUNTA(Table_ChiPhiNV_Ca[[#Headers],[Ca]:[Kết thúc nghỉ]]),0)
),0,
IF(NOT(ISBLANK(AF$3)),
IF(ISBLANK(AF$7),0,
IF(AF$4 &lt; AF$5,
IF($AA13-$Z$4&lt;AF$4,0,
IF($AA13&gt;AF$5,0,
SUM(_xlfn._xlws.FILTER(Table_BangLuong_TyLeTangCa[Tỷ lệ],
(Table_BangLuong_TyLeTangCa[Ngày] = AF$3) *
(Table_BangLuong_TyLeTangCa[Giờ min]&lt;=$AA13) *
(Table_BangLuong_TyLeTangCa[Giờ max]&gt;$AA13)
)))),
IF(AND($AA13-$Z$4 &gt;= AF$5,$AA13 &lt; AF$4),0,
SUM(_xlfn._xlws.FILTER(Table_BangLuong_TyLeTangCa[Tỷ lệ],
(Table_BangLuong_TyLeTangCa[Ngày] = AF$3) *
(Table_BangLuong_TyLeTangCa[Giờ min]&lt;=$AA13) *
(Table_BangLuong_TyLeTangCa[Giờ max]&gt;$AA13)
))))
),
IF(ISBLANK(AF$7),
IF(VLOOKUP(AF$6, Table_ChiPhiNV_Ca[], COUNTA(Table_ChiPhiNV_Ca[[#Headers],[Ca]:[Kết thúc]]),0)&gt; VLOOKUP(AF$6, Table_ChiPhiNV_Ca[], COUNTA(Table_ChiPhiNV_Ca[[#Headers],[Ca]:[Bắt đầu]]),0),
IF($AA13-$Z$4&lt;MAX(AF$4,VLOOKUP(AF$6, Table_ChiPhiNV_Ca[], COUNTA(Table_ChiPhiNV_Ca[[#Headers],[Ca]:[Bắt đầu]]),0)),0,
IF($AA13&gt;MIN(AF$5,VLOOKUP(AF$6, Table_ChiPhiNV_Ca[], COUNTA(Table_ChiPhiNV_Ca[[#Headers],[Ca]:[Kết thúc]]),0)),0,
SUM(_xlfn._xlws.FILTER(Table_BangLuong_TyLeTangCa[Tỷ lệ],
(Table_BangLuong_TyLeTangCa[Ngày] = "Thường") *
(Table_BangLuong_TyLeTangCa[Giờ min]&lt;=$AA13) *
(Table_BangLuong_TyLeTangCa[Giờ max]&gt;$AA13)
)))),
IF(AF$4 &gt; AF$5,
IF(
AND(
$AA13-$Z$4&lt;MAX(AF$4,VLOOKUP(AF$6, Table_ChiPhiNV_Ca[], COUNTA(Table_ChiPhiNV_Ca[[#Headers],[Ca]:[Bắt đầu]]),0)),
$AA13&gt;MIN(AF$5,VLOOKUP(AF$6, Table_ChiPhiNV_Ca[], COUNTA(Table_ChiPhiNV_Ca[[#Headers],[Ca]:[Kết thúc]]),0))),0,
SUM(_xlfn._xlws.FILTER(Table_BangLuong_TyLeTangCa[Tỷ lệ],
(Table_BangLuong_TyLeTangCa[Ngày] = "Thường") *
(Table_BangLuong_TyLeTangCa[Giờ min]&lt;=$AA13) *
(Table_BangLuong_TyLeTangCa[Giờ max]&gt;$AA13)
))),
IF(
AND(
$AA13-$Z$4&gt;=MAX(AF$4,VLOOKUP(AF$6, Table_ChiPhiNV_Ca[], COUNTA(Table_ChiPhiNV_Ca[[#Headers],[Ca]:[Bắt đầu]]),0)),
$AA13&lt;MIN(AF$5,VLOOKUP(AF$6, Table_ChiPhiNV_Ca[], COUNTA(Table_ChiPhiNV_Ca[[#Headers],[Ca]:[Kết thúc]]),0))),
SUM(_xlfn._xlws.FILTER(Table_BangLuong_TyLeTangCa[Tỷ lệ],
(Table_BangLuong_TyLeTangCa[Ngày] = "Thường") *
(Table_BangLuong_TyLeTangCa[Giờ min]&lt;=$AA13) *
(Table_BangLuong_TyLeTangCa[Giờ max]&gt;$AA13)
)),0)
)),
IF(AF$4 &lt; AF$5,
IF($AA13-$Z$4&lt;AF$4,0,
IF($AA13&gt;AF$5,0,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AF$5,$AA13 &lt; AF$4),0,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G13" s="18" cm="1">
        <f t="array" ref="AG13" xml:space="preserve">
IFERROR(
IF(AG$1="",0,
IF(AND(
$AA13&gt;=VLOOKUP(AG$6, Table_ChiPhiNV_Ca[], COUNTA(Table_ChiPhiNV_Ca[[#Headers],[Ca]:[Bắt đầu nghỉ]]),0),
$AA13&lt;VLOOKUP(AG$6, Table_ChiPhiNV_Ca[], COUNTA(Table_ChiPhiNV_Ca[[#Headers],[Ca]:[Kết thúc nghỉ]]),0)
),0,
IF(NOT(ISBLANK(AG$3)),
IF(ISBLANK(AG$7),0,
IF(AG$4 &lt; AG$5,
IF($AA13-$Z$4&lt;AG$4,0,
IF($AA13&gt;AG$5,0,
SUM(_xlfn._xlws.FILTER(Table_BangLuong_TyLeTangCa[Tỷ lệ],
(Table_BangLuong_TyLeTangCa[Ngày] = AG$3) *
(Table_BangLuong_TyLeTangCa[Giờ min]&lt;=$AA13) *
(Table_BangLuong_TyLeTangCa[Giờ max]&gt;$AA13)
)))),
IF(AND($AA13-$Z$4 &gt;= AG$5,$AA13 &lt; AG$4),0,
SUM(_xlfn._xlws.FILTER(Table_BangLuong_TyLeTangCa[Tỷ lệ],
(Table_BangLuong_TyLeTangCa[Ngày] = AG$3) *
(Table_BangLuong_TyLeTangCa[Giờ min]&lt;=$AA13) *
(Table_BangLuong_TyLeTangCa[Giờ max]&gt;$AA13)
))))
),
IF(ISBLANK(AG$7),
IF(VLOOKUP(AG$6, Table_ChiPhiNV_Ca[], COUNTA(Table_ChiPhiNV_Ca[[#Headers],[Ca]:[Kết thúc]]),0)&gt; VLOOKUP(AG$6, Table_ChiPhiNV_Ca[], COUNTA(Table_ChiPhiNV_Ca[[#Headers],[Ca]:[Bắt đầu]]),0),
IF($AA13-$Z$4&lt;MAX(AG$4,VLOOKUP(AG$6, Table_ChiPhiNV_Ca[], COUNTA(Table_ChiPhiNV_Ca[[#Headers],[Ca]:[Bắt đầu]]),0)),0,
IF($AA13&gt;MIN(AG$5,VLOOKUP(AG$6, Table_ChiPhiNV_Ca[], COUNTA(Table_ChiPhiNV_Ca[[#Headers],[Ca]:[Kết thúc]]),0)),0,
SUM(_xlfn._xlws.FILTER(Table_BangLuong_TyLeTangCa[Tỷ lệ],
(Table_BangLuong_TyLeTangCa[Ngày] = "Thường") *
(Table_BangLuong_TyLeTangCa[Giờ min]&lt;=$AA13) *
(Table_BangLuong_TyLeTangCa[Giờ max]&gt;$AA13)
)))),
IF(AG$4 &gt; AG$5,
IF(
AND(
$AA13-$Z$4&lt;MAX(AG$4,VLOOKUP(AG$6, Table_ChiPhiNV_Ca[], COUNTA(Table_ChiPhiNV_Ca[[#Headers],[Ca]:[Bắt đầu]]),0)),
$AA13&gt;MIN(AG$5,VLOOKUP(AG$6, Table_ChiPhiNV_Ca[], COUNTA(Table_ChiPhiNV_Ca[[#Headers],[Ca]:[Kết thúc]]),0))),0,
SUM(_xlfn._xlws.FILTER(Table_BangLuong_TyLeTangCa[Tỷ lệ],
(Table_BangLuong_TyLeTangCa[Ngày] = "Thường") *
(Table_BangLuong_TyLeTangCa[Giờ min]&lt;=$AA13) *
(Table_BangLuong_TyLeTangCa[Giờ max]&gt;$AA13)
))),
IF(
AND(
$AA13-$Z$4&gt;=MAX(AG$4,VLOOKUP(AG$6, Table_ChiPhiNV_Ca[], COUNTA(Table_ChiPhiNV_Ca[[#Headers],[Ca]:[Bắt đầu]]),0)),
$AA13&lt;MIN(AG$5,VLOOKUP(AG$6, Table_ChiPhiNV_Ca[], COUNTA(Table_ChiPhiNV_Ca[[#Headers],[Ca]:[Kết thúc]]),0))),
SUM(_xlfn._xlws.FILTER(Table_BangLuong_TyLeTangCa[Tỷ lệ],
(Table_BangLuong_TyLeTangCa[Ngày] = "Thường") *
(Table_BangLuong_TyLeTangCa[Giờ min]&lt;=$AA13) *
(Table_BangLuong_TyLeTangCa[Giờ max]&gt;$AA13)
)),0)
)),
IF(AG$4 &lt; AG$5,
IF($AA13-$Z$4&lt;AG$4,0,
IF($AA13&gt;AG$5,0,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AG$5,$AA13 &lt; AG$4),0,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H13" s="18" cm="1">
        <f t="array" ref="AH13" xml:space="preserve">
IFERROR(
IF(AH$1="",0,
IF(AND(
$AA13&gt;=VLOOKUP(AH$6, Table_ChiPhiNV_Ca[], COUNTA(Table_ChiPhiNV_Ca[[#Headers],[Ca]:[Bắt đầu nghỉ]]),0),
$AA13&lt;VLOOKUP(AH$6, Table_ChiPhiNV_Ca[], COUNTA(Table_ChiPhiNV_Ca[[#Headers],[Ca]:[Kết thúc nghỉ]]),0)
),0,
IF(NOT(ISBLANK(AH$3)),
IF(ISBLANK(AH$7),0,
IF(AH$4 &lt; AH$5,
IF($AA13-$Z$4&lt;AH$4,0,
IF($AA13&gt;AH$5,0,
SUM(_xlfn._xlws.FILTER(Table_BangLuong_TyLeTangCa[Tỷ lệ],
(Table_BangLuong_TyLeTangCa[Ngày] = AH$3) *
(Table_BangLuong_TyLeTangCa[Giờ min]&lt;=$AA13) *
(Table_BangLuong_TyLeTangCa[Giờ max]&gt;$AA13)
)))),
IF(AND($AA13-$Z$4 &gt;= AH$5,$AA13 &lt; AH$4),0,
SUM(_xlfn._xlws.FILTER(Table_BangLuong_TyLeTangCa[Tỷ lệ],
(Table_BangLuong_TyLeTangCa[Ngày] = AH$3) *
(Table_BangLuong_TyLeTangCa[Giờ min]&lt;=$AA13) *
(Table_BangLuong_TyLeTangCa[Giờ max]&gt;$AA13)
))))
),
IF(ISBLANK(AH$7),
IF(VLOOKUP(AH$6, Table_ChiPhiNV_Ca[], COUNTA(Table_ChiPhiNV_Ca[[#Headers],[Ca]:[Kết thúc]]),0)&gt; VLOOKUP(AH$6, Table_ChiPhiNV_Ca[], COUNTA(Table_ChiPhiNV_Ca[[#Headers],[Ca]:[Bắt đầu]]),0),
IF($AA13-$Z$4&lt;MAX(AH$4,VLOOKUP(AH$6, Table_ChiPhiNV_Ca[], COUNTA(Table_ChiPhiNV_Ca[[#Headers],[Ca]:[Bắt đầu]]),0)),0,
IF($AA13&gt;MIN(AH$5,VLOOKUP(AH$6, Table_ChiPhiNV_Ca[], COUNTA(Table_ChiPhiNV_Ca[[#Headers],[Ca]:[Kết thúc]]),0)),0,
SUM(_xlfn._xlws.FILTER(Table_BangLuong_TyLeTangCa[Tỷ lệ],
(Table_BangLuong_TyLeTangCa[Ngày] = "Thường") *
(Table_BangLuong_TyLeTangCa[Giờ min]&lt;=$AA13) *
(Table_BangLuong_TyLeTangCa[Giờ max]&gt;$AA13)
)))),
IF(AH$4 &gt; AH$5,
IF(
AND(
$AA13-$Z$4&lt;MAX(AH$4,VLOOKUP(AH$6, Table_ChiPhiNV_Ca[], COUNTA(Table_ChiPhiNV_Ca[[#Headers],[Ca]:[Bắt đầu]]),0)),
$AA13&gt;MIN(AH$5,VLOOKUP(AH$6, Table_ChiPhiNV_Ca[], COUNTA(Table_ChiPhiNV_Ca[[#Headers],[Ca]:[Kết thúc]]),0))),0,
SUM(_xlfn._xlws.FILTER(Table_BangLuong_TyLeTangCa[Tỷ lệ],
(Table_BangLuong_TyLeTangCa[Ngày] = "Thường") *
(Table_BangLuong_TyLeTangCa[Giờ min]&lt;=$AA13) *
(Table_BangLuong_TyLeTangCa[Giờ max]&gt;$AA13)
))),
IF(
AND(
$AA13-$Z$4&gt;=MAX(AH$4,VLOOKUP(AH$6, Table_ChiPhiNV_Ca[], COUNTA(Table_ChiPhiNV_Ca[[#Headers],[Ca]:[Bắt đầu]]),0)),
$AA13&lt;MIN(AH$5,VLOOKUP(AH$6, Table_ChiPhiNV_Ca[], COUNTA(Table_ChiPhiNV_Ca[[#Headers],[Ca]:[Kết thúc]]),0))),
SUM(_xlfn._xlws.FILTER(Table_BangLuong_TyLeTangCa[Tỷ lệ],
(Table_BangLuong_TyLeTangCa[Ngày] = "Thường") *
(Table_BangLuong_TyLeTangCa[Giờ min]&lt;=$AA13) *
(Table_BangLuong_TyLeTangCa[Giờ max]&gt;$AA13)
)),0)
)),
IF(AH$4 &lt; AH$5,
IF($AA13-$Z$4&lt;AH$4,0,
IF($AA13&gt;AH$5,0,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AH$5,$AA13 &lt; AH$4),0,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I13" s="18" cm="1">
        <f t="array" ref="AI13" xml:space="preserve">
IFERROR(
IF(AI$1="",0,
IF(AND(
$AA13&gt;=VLOOKUP(AI$6, Table_ChiPhiNV_Ca[], COUNTA(Table_ChiPhiNV_Ca[[#Headers],[Ca]:[Bắt đầu nghỉ]]),0),
$AA13&lt;VLOOKUP(AI$6, Table_ChiPhiNV_Ca[], COUNTA(Table_ChiPhiNV_Ca[[#Headers],[Ca]:[Kết thúc nghỉ]]),0)
),0,
IF(NOT(ISBLANK(AI$3)),
IF(ISBLANK(AI$7),0,
IF(AI$4 &lt; AI$5,
IF($AA13-$Z$4&lt;AI$4,0,
IF($AA13&gt;AI$5,0,
SUM(_xlfn._xlws.FILTER(Table_BangLuong_TyLeTangCa[Tỷ lệ],
(Table_BangLuong_TyLeTangCa[Ngày] = AI$3) *
(Table_BangLuong_TyLeTangCa[Giờ min]&lt;=$AA13) *
(Table_BangLuong_TyLeTangCa[Giờ max]&gt;$AA13)
)))),
IF(AND($AA13-$Z$4 &gt;= AI$5,$AA13 &lt; AI$4),0,
SUM(_xlfn._xlws.FILTER(Table_BangLuong_TyLeTangCa[Tỷ lệ],
(Table_BangLuong_TyLeTangCa[Ngày] = AI$3) *
(Table_BangLuong_TyLeTangCa[Giờ min]&lt;=$AA13) *
(Table_BangLuong_TyLeTangCa[Giờ max]&gt;$AA13)
))))
),
IF(ISBLANK(AI$7),
IF(VLOOKUP(AI$6, Table_ChiPhiNV_Ca[], COUNTA(Table_ChiPhiNV_Ca[[#Headers],[Ca]:[Kết thúc]]),0)&gt; VLOOKUP(AI$6, Table_ChiPhiNV_Ca[], COUNTA(Table_ChiPhiNV_Ca[[#Headers],[Ca]:[Bắt đầu]]),0),
IF($AA13-$Z$4&lt;MAX(AI$4,VLOOKUP(AI$6, Table_ChiPhiNV_Ca[], COUNTA(Table_ChiPhiNV_Ca[[#Headers],[Ca]:[Bắt đầu]]),0)),0,
IF($AA13&gt;MIN(AI$5,VLOOKUP(AI$6, Table_ChiPhiNV_Ca[], COUNTA(Table_ChiPhiNV_Ca[[#Headers],[Ca]:[Kết thúc]]),0)),0,
SUM(_xlfn._xlws.FILTER(Table_BangLuong_TyLeTangCa[Tỷ lệ],
(Table_BangLuong_TyLeTangCa[Ngày] = "Thường") *
(Table_BangLuong_TyLeTangCa[Giờ min]&lt;=$AA13) *
(Table_BangLuong_TyLeTangCa[Giờ max]&gt;$AA13)
)))),
IF(AI$4 &gt; AI$5,
IF(
AND(
$AA13-$Z$4&lt;MAX(AI$4,VLOOKUP(AI$6, Table_ChiPhiNV_Ca[], COUNTA(Table_ChiPhiNV_Ca[[#Headers],[Ca]:[Bắt đầu]]),0)),
$AA13&gt;MIN(AI$5,VLOOKUP(AI$6, Table_ChiPhiNV_Ca[], COUNTA(Table_ChiPhiNV_Ca[[#Headers],[Ca]:[Kết thúc]]),0))),0,
SUM(_xlfn._xlws.FILTER(Table_BangLuong_TyLeTangCa[Tỷ lệ],
(Table_BangLuong_TyLeTangCa[Ngày] = "Thường") *
(Table_BangLuong_TyLeTangCa[Giờ min]&lt;=$AA13) *
(Table_BangLuong_TyLeTangCa[Giờ max]&gt;$AA13)
))),
IF(
AND(
$AA13-$Z$4&gt;=MAX(AI$4,VLOOKUP(AI$6, Table_ChiPhiNV_Ca[], COUNTA(Table_ChiPhiNV_Ca[[#Headers],[Ca]:[Bắt đầu]]),0)),
$AA13&lt;MIN(AI$5,VLOOKUP(AI$6, Table_ChiPhiNV_Ca[], COUNTA(Table_ChiPhiNV_Ca[[#Headers],[Ca]:[Kết thúc]]),0))),
SUM(_xlfn._xlws.FILTER(Table_BangLuong_TyLeTangCa[Tỷ lệ],
(Table_BangLuong_TyLeTangCa[Ngày] = "Thường") *
(Table_BangLuong_TyLeTangCa[Giờ min]&lt;=$AA13) *
(Table_BangLuong_TyLeTangCa[Giờ max]&gt;$AA13)
)),0)
)),
IF(AI$4 &lt; AI$5,
IF($AA13-$Z$4&lt;AI$4,0,
IF($AA13&gt;AI$5,0,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AI$5,$AA13 &lt; AI$4),0,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J13" s="18" cm="1">
        <f t="array" ref="AJ13" xml:space="preserve">
IFERROR(
IF(AJ$1="",0,
IF(AND(
$AA13&gt;=VLOOKUP(AJ$6, Table_ChiPhiNV_Ca[], COUNTA(Table_ChiPhiNV_Ca[[#Headers],[Ca]:[Bắt đầu nghỉ]]),0),
$AA13&lt;VLOOKUP(AJ$6, Table_ChiPhiNV_Ca[], COUNTA(Table_ChiPhiNV_Ca[[#Headers],[Ca]:[Kết thúc nghỉ]]),0)
),0,
IF(NOT(ISBLANK(AJ$3)),
IF(ISBLANK(AJ$7),0,
IF(AJ$4 &lt; AJ$5,
IF($AA13-$Z$4&lt;AJ$4,0,
IF($AA13&gt;AJ$5,0,
SUM(_xlfn._xlws.FILTER(Table_BangLuong_TyLeTangCa[Tỷ lệ],
(Table_BangLuong_TyLeTangCa[Ngày] = AJ$3) *
(Table_BangLuong_TyLeTangCa[Giờ min]&lt;=$AA13) *
(Table_BangLuong_TyLeTangCa[Giờ max]&gt;$AA13)
)))),
IF(AND($AA13-$Z$4 &gt;= AJ$5,$AA13 &lt; AJ$4),0,
SUM(_xlfn._xlws.FILTER(Table_BangLuong_TyLeTangCa[Tỷ lệ],
(Table_BangLuong_TyLeTangCa[Ngày] = AJ$3) *
(Table_BangLuong_TyLeTangCa[Giờ min]&lt;=$AA13) *
(Table_BangLuong_TyLeTangCa[Giờ max]&gt;$AA13)
))))
),
IF(ISBLANK(AJ$7),
IF(VLOOKUP(AJ$6, Table_ChiPhiNV_Ca[], COUNTA(Table_ChiPhiNV_Ca[[#Headers],[Ca]:[Kết thúc]]),0)&gt; VLOOKUP(AJ$6, Table_ChiPhiNV_Ca[], COUNTA(Table_ChiPhiNV_Ca[[#Headers],[Ca]:[Bắt đầu]]),0),
IF($AA13-$Z$4&lt;MAX(AJ$4,VLOOKUP(AJ$6, Table_ChiPhiNV_Ca[], COUNTA(Table_ChiPhiNV_Ca[[#Headers],[Ca]:[Bắt đầu]]),0)),0,
IF($AA13&gt;MIN(AJ$5,VLOOKUP(AJ$6, Table_ChiPhiNV_Ca[], COUNTA(Table_ChiPhiNV_Ca[[#Headers],[Ca]:[Kết thúc]]),0)),0,
SUM(_xlfn._xlws.FILTER(Table_BangLuong_TyLeTangCa[Tỷ lệ],
(Table_BangLuong_TyLeTangCa[Ngày] = "Thường") *
(Table_BangLuong_TyLeTangCa[Giờ min]&lt;=$AA13) *
(Table_BangLuong_TyLeTangCa[Giờ max]&gt;$AA13)
)))),
IF(AJ$4 &gt; AJ$5,
IF(
AND(
$AA13-$Z$4&lt;MAX(AJ$4,VLOOKUP(AJ$6, Table_ChiPhiNV_Ca[], COUNTA(Table_ChiPhiNV_Ca[[#Headers],[Ca]:[Bắt đầu]]),0)),
$AA13&gt;MIN(AJ$5,VLOOKUP(AJ$6, Table_ChiPhiNV_Ca[], COUNTA(Table_ChiPhiNV_Ca[[#Headers],[Ca]:[Kết thúc]]),0))),0,
SUM(_xlfn._xlws.FILTER(Table_BangLuong_TyLeTangCa[Tỷ lệ],
(Table_BangLuong_TyLeTangCa[Ngày] = "Thường") *
(Table_BangLuong_TyLeTangCa[Giờ min]&lt;=$AA13) *
(Table_BangLuong_TyLeTangCa[Giờ max]&gt;$AA13)
))),
IF(
AND(
$AA13-$Z$4&gt;=MAX(AJ$4,VLOOKUP(AJ$6, Table_ChiPhiNV_Ca[], COUNTA(Table_ChiPhiNV_Ca[[#Headers],[Ca]:[Bắt đầu]]),0)),
$AA13&lt;MIN(AJ$5,VLOOKUP(AJ$6, Table_ChiPhiNV_Ca[], COUNTA(Table_ChiPhiNV_Ca[[#Headers],[Ca]:[Kết thúc]]),0))),
SUM(_xlfn._xlws.FILTER(Table_BangLuong_TyLeTangCa[Tỷ lệ],
(Table_BangLuong_TyLeTangCa[Ngày] = "Thường") *
(Table_BangLuong_TyLeTangCa[Giờ min]&lt;=$AA13) *
(Table_BangLuong_TyLeTangCa[Giờ max]&gt;$AA13)
)),0)
)),
IF(AJ$4 &lt; AJ$5,
IF($AA13-$Z$4&lt;AJ$4,0,
IF($AA13&gt;AJ$5,0,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AJ$5,$AA13 &lt; AJ$4),0,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K13" s="18" cm="1">
        <f t="array" ref="AK13" xml:space="preserve">
IFERROR(
IF(AK$1="",0,
IF(AND(
$AA13&gt;=VLOOKUP(AK$6, Table_ChiPhiNV_Ca[], COUNTA(Table_ChiPhiNV_Ca[[#Headers],[Ca]:[Bắt đầu nghỉ]]),0),
$AA13&lt;VLOOKUP(AK$6, Table_ChiPhiNV_Ca[], COUNTA(Table_ChiPhiNV_Ca[[#Headers],[Ca]:[Kết thúc nghỉ]]),0)
),0,
IF(NOT(ISBLANK(AK$3)),
IF(ISBLANK(AK$7),0,
IF(AK$4 &lt; AK$5,
IF($AA13-$Z$4&lt;AK$4,0,
IF($AA13&gt;AK$5,0,
SUM(_xlfn._xlws.FILTER(Table_BangLuong_TyLeTangCa[Tỷ lệ],
(Table_BangLuong_TyLeTangCa[Ngày] = AK$3) *
(Table_BangLuong_TyLeTangCa[Giờ min]&lt;=$AA13) *
(Table_BangLuong_TyLeTangCa[Giờ max]&gt;$AA13)
)))),
IF(AND($AA13-$Z$4 &gt;= AK$5,$AA13 &lt; AK$4),0,
SUM(_xlfn._xlws.FILTER(Table_BangLuong_TyLeTangCa[Tỷ lệ],
(Table_BangLuong_TyLeTangCa[Ngày] = AK$3) *
(Table_BangLuong_TyLeTangCa[Giờ min]&lt;=$AA13) *
(Table_BangLuong_TyLeTangCa[Giờ max]&gt;$AA13)
))))
),
IF(ISBLANK(AK$7),
IF(VLOOKUP(AK$6, Table_ChiPhiNV_Ca[], COUNTA(Table_ChiPhiNV_Ca[[#Headers],[Ca]:[Kết thúc]]),0)&gt; VLOOKUP(AK$6, Table_ChiPhiNV_Ca[], COUNTA(Table_ChiPhiNV_Ca[[#Headers],[Ca]:[Bắt đầu]]),0),
IF($AA13-$Z$4&lt;MAX(AK$4,VLOOKUP(AK$6, Table_ChiPhiNV_Ca[], COUNTA(Table_ChiPhiNV_Ca[[#Headers],[Ca]:[Bắt đầu]]),0)),0,
IF($AA13&gt;MIN(AK$5,VLOOKUP(AK$6, Table_ChiPhiNV_Ca[], COUNTA(Table_ChiPhiNV_Ca[[#Headers],[Ca]:[Kết thúc]]),0)),0,
SUM(_xlfn._xlws.FILTER(Table_BangLuong_TyLeTangCa[Tỷ lệ],
(Table_BangLuong_TyLeTangCa[Ngày] = "Thường") *
(Table_BangLuong_TyLeTangCa[Giờ min]&lt;=$AA13) *
(Table_BangLuong_TyLeTangCa[Giờ max]&gt;$AA13)
)))),
IF(AK$4 &gt; AK$5,
IF(
AND(
$AA13-$Z$4&lt;MAX(AK$4,VLOOKUP(AK$6, Table_ChiPhiNV_Ca[], COUNTA(Table_ChiPhiNV_Ca[[#Headers],[Ca]:[Bắt đầu]]),0)),
$AA13&gt;MIN(AK$5,VLOOKUP(AK$6, Table_ChiPhiNV_Ca[], COUNTA(Table_ChiPhiNV_Ca[[#Headers],[Ca]:[Kết thúc]]),0))),0,
SUM(_xlfn._xlws.FILTER(Table_BangLuong_TyLeTangCa[Tỷ lệ],
(Table_BangLuong_TyLeTangCa[Ngày] = "Thường") *
(Table_BangLuong_TyLeTangCa[Giờ min]&lt;=$AA13) *
(Table_BangLuong_TyLeTangCa[Giờ max]&gt;$AA13)
))),
IF(
AND(
$AA13-$Z$4&gt;=MAX(AK$4,VLOOKUP(AK$6, Table_ChiPhiNV_Ca[], COUNTA(Table_ChiPhiNV_Ca[[#Headers],[Ca]:[Bắt đầu]]),0)),
$AA13&lt;MIN(AK$5,VLOOKUP(AK$6, Table_ChiPhiNV_Ca[], COUNTA(Table_ChiPhiNV_Ca[[#Headers],[Ca]:[Kết thúc]]),0))),
SUM(_xlfn._xlws.FILTER(Table_BangLuong_TyLeTangCa[Tỷ lệ],
(Table_BangLuong_TyLeTangCa[Ngày] = "Thường") *
(Table_BangLuong_TyLeTangCa[Giờ min]&lt;=$AA13) *
(Table_BangLuong_TyLeTangCa[Giờ max]&gt;$AA13)
)),0)
)),
IF(AK$4 &lt; AK$5,
IF($AA13-$Z$4&lt;AK$4,0,
IF($AA13&gt;AK$5,0,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AK$5,$AA13 &lt; AK$4),0,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L13" s="18" cm="1">
        <f t="array" ref="AL13" xml:space="preserve">
IFERROR(
IF(AL$1="",0,
IF(AND(
$AA13&gt;=VLOOKUP(AL$6, Table_ChiPhiNV_Ca[], COUNTA(Table_ChiPhiNV_Ca[[#Headers],[Ca]:[Bắt đầu nghỉ]]),0),
$AA13&lt;VLOOKUP(AL$6, Table_ChiPhiNV_Ca[], COUNTA(Table_ChiPhiNV_Ca[[#Headers],[Ca]:[Kết thúc nghỉ]]),0)
),0,
IF(NOT(ISBLANK(AL$3)),
IF(ISBLANK(AL$7),0,
IF(AL$4 &lt; AL$5,
IF($AA13-$Z$4&lt;AL$4,0,
IF($AA13&gt;AL$5,0,
SUM(_xlfn._xlws.FILTER(Table_BangLuong_TyLeTangCa[Tỷ lệ],
(Table_BangLuong_TyLeTangCa[Ngày] = AL$3) *
(Table_BangLuong_TyLeTangCa[Giờ min]&lt;=$AA13) *
(Table_BangLuong_TyLeTangCa[Giờ max]&gt;$AA13)
)))),
IF(AND($AA13-$Z$4 &gt;= AL$5,$AA13 &lt; AL$4),0,
SUM(_xlfn._xlws.FILTER(Table_BangLuong_TyLeTangCa[Tỷ lệ],
(Table_BangLuong_TyLeTangCa[Ngày] = AL$3) *
(Table_BangLuong_TyLeTangCa[Giờ min]&lt;=$AA13) *
(Table_BangLuong_TyLeTangCa[Giờ max]&gt;$AA13)
))))
),
IF(ISBLANK(AL$7),
IF(VLOOKUP(AL$6, Table_ChiPhiNV_Ca[], COUNTA(Table_ChiPhiNV_Ca[[#Headers],[Ca]:[Kết thúc]]),0)&gt; VLOOKUP(AL$6, Table_ChiPhiNV_Ca[], COUNTA(Table_ChiPhiNV_Ca[[#Headers],[Ca]:[Bắt đầu]]),0),
IF($AA13-$Z$4&lt;MAX(AL$4,VLOOKUP(AL$6, Table_ChiPhiNV_Ca[], COUNTA(Table_ChiPhiNV_Ca[[#Headers],[Ca]:[Bắt đầu]]),0)),0,
IF($AA13&gt;MIN(AL$5,VLOOKUP(AL$6, Table_ChiPhiNV_Ca[], COUNTA(Table_ChiPhiNV_Ca[[#Headers],[Ca]:[Kết thúc]]),0)),0,
SUM(_xlfn._xlws.FILTER(Table_BangLuong_TyLeTangCa[Tỷ lệ],
(Table_BangLuong_TyLeTangCa[Ngày] = "Thường") *
(Table_BangLuong_TyLeTangCa[Giờ min]&lt;=$AA13) *
(Table_BangLuong_TyLeTangCa[Giờ max]&gt;$AA13)
)))),
IF(AL$4 &gt; AL$5,
IF(
AND(
$AA13-$Z$4&lt;MAX(AL$4,VLOOKUP(AL$6, Table_ChiPhiNV_Ca[], COUNTA(Table_ChiPhiNV_Ca[[#Headers],[Ca]:[Bắt đầu]]),0)),
$AA13&gt;MIN(AL$5,VLOOKUP(AL$6, Table_ChiPhiNV_Ca[], COUNTA(Table_ChiPhiNV_Ca[[#Headers],[Ca]:[Kết thúc]]),0))),0,
SUM(_xlfn._xlws.FILTER(Table_BangLuong_TyLeTangCa[Tỷ lệ],
(Table_BangLuong_TyLeTangCa[Ngày] = "Thường") *
(Table_BangLuong_TyLeTangCa[Giờ min]&lt;=$AA13) *
(Table_BangLuong_TyLeTangCa[Giờ max]&gt;$AA13)
))),
IF(
AND(
$AA13-$Z$4&gt;=MAX(AL$4,VLOOKUP(AL$6, Table_ChiPhiNV_Ca[], COUNTA(Table_ChiPhiNV_Ca[[#Headers],[Ca]:[Bắt đầu]]),0)),
$AA13&lt;MIN(AL$5,VLOOKUP(AL$6, Table_ChiPhiNV_Ca[], COUNTA(Table_ChiPhiNV_Ca[[#Headers],[Ca]:[Kết thúc]]),0))),
SUM(_xlfn._xlws.FILTER(Table_BangLuong_TyLeTangCa[Tỷ lệ],
(Table_BangLuong_TyLeTangCa[Ngày] = "Thường") *
(Table_BangLuong_TyLeTangCa[Giờ min]&lt;=$AA13) *
(Table_BangLuong_TyLeTangCa[Giờ max]&gt;$AA13)
)),0)
)),
IF(AL$4 &lt; AL$5,
IF($AA13-$Z$4&lt;AL$4,0,
IF($AA13&gt;AL$5,0,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AL$5,$AA13 &lt; AL$4),0,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M13" s="18" cm="1">
        <f t="array" ref="AM13" xml:space="preserve">
IFERROR(
IF(AM$1="",0,
IF(AND(
$AA13&gt;=VLOOKUP(AM$6, Table_ChiPhiNV_Ca[], COUNTA(Table_ChiPhiNV_Ca[[#Headers],[Ca]:[Bắt đầu nghỉ]]),0),
$AA13&lt;VLOOKUP(AM$6, Table_ChiPhiNV_Ca[], COUNTA(Table_ChiPhiNV_Ca[[#Headers],[Ca]:[Kết thúc nghỉ]]),0)
),0,
IF(NOT(ISBLANK(AM$3)),
IF(ISBLANK(AM$7),0,
IF(AM$4 &lt; AM$5,
IF($AA13-$Z$4&lt;AM$4,0,
IF($AA13&gt;AM$5,0,
SUM(_xlfn._xlws.FILTER(Table_BangLuong_TyLeTangCa[Tỷ lệ],
(Table_BangLuong_TyLeTangCa[Ngày] = AM$3) *
(Table_BangLuong_TyLeTangCa[Giờ min]&lt;=$AA13) *
(Table_BangLuong_TyLeTangCa[Giờ max]&gt;$AA13)
)))),
IF(AND($AA13-$Z$4 &gt;= AM$5,$AA13 &lt; AM$4),0,
SUM(_xlfn._xlws.FILTER(Table_BangLuong_TyLeTangCa[Tỷ lệ],
(Table_BangLuong_TyLeTangCa[Ngày] = AM$3) *
(Table_BangLuong_TyLeTangCa[Giờ min]&lt;=$AA13) *
(Table_BangLuong_TyLeTangCa[Giờ max]&gt;$AA13)
))))
),
IF(ISBLANK(AM$7),
IF(VLOOKUP(AM$6, Table_ChiPhiNV_Ca[], COUNTA(Table_ChiPhiNV_Ca[[#Headers],[Ca]:[Kết thúc]]),0)&gt; VLOOKUP(AM$6, Table_ChiPhiNV_Ca[], COUNTA(Table_ChiPhiNV_Ca[[#Headers],[Ca]:[Bắt đầu]]),0),
IF($AA13-$Z$4&lt;MAX(AM$4,VLOOKUP(AM$6, Table_ChiPhiNV_Ca[], COUNTA(Table_ChiPhiNV_Ca[[#Headers],[Ca]:[Bắt đầu]]),0)),0,
IF($AA13&gt;MIN(AM$5,VLOOKUP(AM$6, Table_ChiPhiNV_Ca[], COUNTA(Table_ChiPhiNV_Ca[[#Headers],[Ca]:[Kết thúc]]),0)),0,
SUM(_xlfn._xlws.FILTER(Table_BangLuong_TyLeTangCa[Tỷ lệ],
(Table_BangLuong_TyLeTangCa[Ngày] = "Thường") *
(Table_BangLuong_TyLeTangCa[Giờ min]&lt;=$AA13) *
(Table_BangLuong_TyLeTangCa[Giờ max]&gt;$AA13)
)))),
IF(AM$4 &gt; AM$5,
IF(
AND(
$AA13-$Z$4&lt;MAX(AM$4,VLOOKUP(AM$6, Table_ChiPhiNV_Ca[], COUNTA(Table_ChiPhiNV_Ca[[#Headers],[Ca]:[Bắt đầu]]),0)),
$AA13&gt;MIN(AM$5,VLOOKUP(AM$6, Table_ChiPhiNV_Ca[], COUNTA(Table_ChiPhiNV_Ca[[#Headers],[Ca]:[Kết thúc]]),0))),0,
SUM(_xlfn._xlws.FILTER(Table_BangLuong_TyLeTangCa[Tỷ lệ],
(Table_BangLuong_TyLeTangCa[Ngày] = "Thường") *
(Table_BangLuong_TyLeTangCa[Giờ min]&lt;=$AA13) *
(Table_BangLuong_TyLeTangCa[Giờ max]&gt;$AA13)
))),
IF(
AND(
$AA13-$Z$4&gt;=MAX(AM$4,VLOOKUP(AM$6, Table_ChiPhiNV_Ca[], COUNTA(Table_ChiPhiNV_Ca[[#Headers],[Ca]:[Bắt đầu]]),0)),
$AA13&lt;MIN(AM$5,VLOOKUP(AM$6, Table_ChiPhiNV_Ca[], COUNTA(Table_ChiPhiNV_Ca[[#Headers],[Ca]:[Kết thúc]]),0))),
SUM(_xlfn._xlws.FILTER(Table_BangLuong_TyLeTangCa[Tỷ lệ],
(Table_BangLuong_TyLeTangCa[Ngày] = "Thường") *
(Table_BangLuong_TyLeTangCa[Giờ min]&lt;=$AA13) *
(Table_BangLuong_TyLeTangCa[Giờ max]&gt;$AA13)
)),0)
)),
IF(AM$4 &lt; AM$5,
IF($AA13-$Z$4&lt;AM$4,0,
IF($AA13&gt;AM$5,0,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AM$5,$AA13 &lt; AM$4),0,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N13" s="18" cm="1">
        <f t="array" ref="AN13" xml:space="preserve">
IFERROR(
IF(AN$1="",0,
IF(AND(
$AA13&gt;=VLOOKUP(AN$6, Table_ChiPhiNV_Ca[], COUNTA(Table_ChiPhiNV_Ca[[#Headers],[Ca]:[Bắt đầu nghỉ]]),0),
$AA13&lt;VLOOKUP(AN$6, Table_ChiPhiNV_Ca[], COUNTA(Table_ChiPhiNV_Ca[[#Headers],[Ca]:[Kết thúc nghỉ]]),0)
),0,
IF(NOT(ISBLANK(AN$3)),
IF(ISBLANK(AN$7),0,
IF(AN$4 &lt; AN$5,
IF($AA13-$Z$4&lt;AN$4,0,
IF($AA13&gt;AN$5,0,
SUM(_xlfn._xlws.FILTER(Table_BangLuong_TyLeTangCa[Tỷ lệ],
(Table_BangLuong_TyLeTangCa[Ngày] = AN$3) *
(Table_BangLuong_TyLeTangCa[Giờ min]&lt;=$AA13) *
(Table_BangLuong_TyLeTangCa[Giờ max]&gt;$AA13)
)))),
IF(AND($AA13-$Z$4 &gt;= AN$5,$AA13 &lt; AN$4),0,
SUM(_xlfn._xlws.FILTER(Table_BangLuong_TyLeTangCa[Tỷ lệ],
(Table_BangLuong_TyLeTangCa[Ngày] = AN$3) *
(Table_BangLuong_TyLeTangCa[Giờ min]&lt;=$AA13) *
(Table_BangLuong_TyLeTangCa[Giờ max]&gt;$AA13)
))))
),
IF(ISBLANK(AN$7),
IF(VLOOKUP(AN$6, Table_ChiPhiNV_Ca[], COUNTA(Table_ChiPhiNV_Ca[[#Headers],[Ca]:[Kết thúc]]),0)&gt; VLOOKUP(AN$6, Table_ChiPhiNV_Ca[], COUNTA(Table_ChiPhiNV_Ca[[#Headers],[Ca]:[Bắt đầu]]),0),
IF($AA13-$Z$4&lt;MAX(AN$4,VLOOKUP(AN$6, Table_ChiPhiNV_Ca[], COUNTA(Table_ChiPhiNV_Ca[[#Headers],[Ca]:[Bắt đầu]]),0)),0,
IF($AA13&gt;MIN(AN$5,VLOOKUP(AN$6, Table_ChiPhiNV_Ca[], COUNTA(Table_ChiPhiNV_Ca[[#Headers],[Ca]:[Kết thúc]]),0)),0,
SUM(_xlfn._xlws.FILTER(Table_BangLuong_TyLeTangCa[Tỷ lệ],
(Table_BangLuong_TyLeTangCa[Ngày] = "Thường") *
(Table_BangLuong_TyLeTangCa[Giờ min]&lt;=$AA13) *
(Table_BangLuong_TyLeTangCa[Giờ max]&gt;$AA13)
)))),
IF(AN$4 &gt; AN$5,
IF(
AND(
$AA13-$Z$4&lt;MAX(AN$4,VLOOKUP(AN$6, Table_ChiPhiNV_Ca[], COUNTA(Table_ChiPhiNV_Ca[[#Headers],[Ca]:[Bắt đầu]]),0)),
$AA13&gt;MIN(AN$5,VLOOKUP(AN$6, Table_ChiPhiNV_Ca[], COUNTA(Table_ChiPhiNV_Ca[[#Headers],[Ca]:[Kết thúc]]),0))),0,
SUM(_xlfn._xlws.FILTER(Table_BangLuong_TyLeTangCa[Tỷ lệ],
(Table_BangLuong_TyLeTangCa[Ngày] = "Thường") *
(Table_BangLuong_TyLeTangCa[Giờ min]&lt;=$AA13) *
(Table_BangLuong_TyLeTangCa[Giờ max]&gt;$AA13)
))),
IF(
AND(
$AA13-$Z$4&gt;=MAX(AN$4,VLOOKUP(AN$6, Table_ChiPhiNV_Ca[], COUNTA(Table_ChiPhiNV_Ca[[#Headers],[Ca]:[Bắt đầu]]),0)),
$AA13&lt;MIN(AN$5,VLOOKUP(AN$6, Table_ChiPhiNV_Ca[], COUNTA(Table_ChiPhiNV_Ca[[#Headers],[Ca]:[Kết thúc]]),0))),
SUM(_xlfn._xlws.FILTER(Table_BangLuong_TyLeTangCa[Tỷ lệ],
(Table_BangLuong_TyLeTangCa[Ngày] = "Thường") *
(Table_BangLuong_TyLeTangCa[Giờ min]&lt;=$AA13) *
(Table_BangLuong_TyLeTangCa[Giờ max]&gt;$AA13)
)),0)
)),
IF(AN$4 &lt; AN$5,
IF($AA13-$Z$4&lt;AN$4,0,
IF($AA13&gt;AN$5,0,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AN$5,$AA13 &lt; AN$4),0,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O13" s="18" cm="1">
        <f t="array" ref="AO13" xml:space="preserve">
IFERROR(
IF(AO$1="",0,
IF(AND(
$AA13&gt;=VLOOKUP(AO$6, Table_ChiPhiNV_Ca[], COUNTA(Table_ChiPhiNV_Ca[[#Headers],[Ca]:[Bắt đầu nghỉ]]),0),
$AA13&lt;VLOOKUP(AO$6, Table_ChiPhiNV_Ca[], COUNTA(Table_ChiPhiNV_Ca[[#Headers],[Ca]:[Kết thúc nghỉ]]),0)
),0,
IF(NOT(ISBLANK(AO$3)),
IF(ISBLANK(AO$7),0,
IF(AO$4 &lt; AO$5,
IF($AA13-$Z$4&lt;AO$4,0,
IF($AA13&gt;AO$5,0,
SUM(_xlfn._xlws.FILTER(Table_BangLuong_TyLeTangCa[Tỷ lệ],
(Table_BangLuong_TyLeTangCa[Ngày] = AO$3) *
(Table_BangLuong_TyLeTangCa[Giờ min]&lt;=$AA13) *
(Table_BangLuong_TyLeTangCa[Giờ max]&gt;$AA13)
)))),
IF(AND($AA13-$Z$4 &gt;= AO$5,$AA13 &lt; AO$4),0,
SUM(_xlfn._xlws.FILTER(Table_BangLuong_TyLeTangCa[Tỷ lệ],
(Table_BangLuong_TyLeTangCa[Ngày] = AO$3) *
(Table_BangLuong_TyLeTangCa[Giờ min]&lt;=$AA13) *
(Table_BangLuong_TyLeTangCa[Giờ max]&gt;$AA13)
))))
),
IF(ISBLANK(AO$7),
IF(VLOOKUP(AO$6, Table_ChiPhiNV_Ca[], COUNTA(Table_ChiPhiNV_Ca[[#Headers],[Ca]:[Kết thúc]]),0)&gt; VLOOKUP(AO$6, Table_ChiPhiNV_Ca[], COUNTA(Table_ChiPhiNV_Ca[[#Headers],[Ca]:[Bắt đầu]]),0),
IF($AA13-$Z$4&lt;MAX(AO$4,VLOOKUP(AO$6, Table_ChiPhiNV_Ca[], COUNTA(Table_ChiPhiNV_Ca[[#Headers],[Ca]:[Bắt đầu]]),0)),0,
IF($AA13&gt;MIN(AO$5,VLOOKUP(AO$6, Table_ChiPhiNV_Ca[], COUNTA(Table_ChiPhiNV_Ca[[#Headers],[Ca]:[Kết thúc]]),0)),0,
SUM(_xlfn._xlws.FILTER(Table_BangLuong_TyLeTangCa[Tỷ lệ],
(Table_BangLuong_TyLeTangCa[Ngày] = "Thường") *
(Table_BangLuong_TyLeTangCa[Giờ min]&lt;=$AA13) *
(Table_BangLuong_TyLeTangCa[Giờ max]&gt;$AA13)
)))),
IF(AO$4 &gt; AO$5,
IF(
AND(
$AA13-$Z$4&lt;MAX(AO$4,VLOOKUP(AO$6, Table_ChiPhiNV_Ca[], COUNTA(Table_ChiPhiNV_Ca[[#Headers],[Ca]:[Bắt đầu]]),0)),
$AA13&gt;MIN(AO$5,VLOOKUP(AO$6, Table_ChiPhiNV_Ca[], COUNTA(Table_ChiPhiNV_Ca[[#Headers],[Ca]:[Kết thúc]]),0))),0,
SUM(_xlfn._xlws.FILTER(Table_BangLuong_TyLeTangCa[Tỷ lệ],
(Table_BangLuong_TyLeTangCa[Ngày] = "Thường") *
(Table_BangLuong_TyLeTangCa[Giờ min]&lt;=$AA13) *
(Table_BangLuong_TyLeTangCa[Giờ max]&gt;$AA13)
))),
IF(
AND(
$AA13-$Z$4&gt;=MAX(AO$4,VLOOKUP(AO$6, Table_ChiPhiNV_Ca[], COUNTA(Table_ChiPhiNV_Ca[[#Headers],[Ca]:[Bắt đầu]]),0)),
$AA13&lt;MIN(AO$5,VLOOKUP(AO$6, Table_ChiPhiNV_Ca[], COUNTA(Table_ChiPhiNV_Ca[[#Headers],[Ca]:[Kết thúc]]),0))),
SUM(_xlfn._xlws.FILTER(Table_BangLuong_TyLeTangCa[Tỷ lệ],
(Table_BangLuong_TyLeTangCa[Ngày] = "Thường") *
(Table_BangLuong_TyLeTangCa[Giờ min]&lt;=$AA13) *
(Table_BangLuong_TyLeTangCa[Giờ max]&gt;$AA13)
)),0)
)),
IF(AO$4 &lt; AO$5,
IF($AA13-$Z$4&lt;AO$4,0,
IF($AA13&gt;AO$5,0,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AO$5,$AA13 &lt; AO$4),0,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P13" s="18" cm="1">
        <f t="array" ref="AP13" xml:space="preserve">
IFERROR(
IF(AP$1="",0,
IF(AND(
$AA13&gt;=VLOOKUP(AP$6, Table_ChiPhiNV_Ca[], COUNTA(Table_ChiPhiNV_Ca[[#Headers],[Ca]:[Bắt đầu nghỉ]]),0),
$AA13&lt;VLOOKUP(AP$6, Table_ChiPhiNV_Ca[], COUNTA(Table_ChiPhiNV_Ca[[#Headers],[Ca]:[Kết thúc nghỉ]]),0)
),0,
IF(NOT(ISBLANK(AP$3)),
IF(ISBLANK(AP$7),0,
IF(AP$4 &lt; AP$5,
IF($AA13-$Z$4&lt;AP$4,0,
IF($AA13&gt;AP$5,0,
SUM(_xlfn._xlws.FILTER(Table_BangLuong_TyLeTangCa[Tỷ lệ],
(Table_BangLuong_TyLeTangCa[Ngày] = AP$3) *
(Table_BangLuong_TyLeTangCa[Giờ min]&lt;=$AA13) *
(Table_BangLuong_TyLeTangCa[Giờ max]&gt;$AA13)
)))),
IF(AND($AA13-$Z$4 &gt;= AP$5,$AA13 &lt; AP$4),0,
SUM(_xlfn._xlws.FILTER(Table_BangLuong_TyLeTangCa[Tỷ lệ],
(Table_BangLuong_TyLeTangCa[Ngày] = AP$3) *
(Table_BangLuong_TyLeTangCa[Giờ min]&lt;=$AA13) *
(Table_BangLuong_TyLeTangCa[Giờ max]&gt;$AA13)
))))
),
IF(ISBLANK(AP$7),
IF(VLOOKUP(AP$6, Table_ChiPhiNV_Ca[], COUNTA(Table_ChiPhiNV_Ca[[#Headers],[Ca]:[Kết thúc]]),0)&gt; VLOOKUP(AP$6, Table_ChiPhiNV_Ca[], COUNTA(Table_ChiPhiNV_Ca[[#Headers],[Ca]:[Bắt đầu]]),0),
IF($AA13-$Z$4&lt;MAX(AP$4,VLOOKUP(AP$6, Table_ChiPhiNV_Ca[], COUNTA(Table_ChiPhiNV_Ca[[#Headers],[Ca]:[Bắt đầu]]),0)),0,
IF($AA13&gt;MIN(AP$5,VLOOKUP(AP$6, Table_ChiPhiNV_Ca[], COUNTA(Table_ChiPhiNV_Ca[[#Headers],[Ca]:[Kết thúc]]),0)),0,
SUM(_xlfn._xlws.FILTER(Table_BangLuong_TyLeTangCa[Tỷ lệ],
(Table_BangLuong_TyLeTangCa[Ngày] = "Thường") *
(Table_BangLuong_TyLeTangCa[Giờ min]&lt;=$AA13) *
(Table_BangLuong_TyLeTangCa[Giờ max]&gt;$AA13)
)))),
IF(AP$4 &gt; AP$5,
IF(
AND(
$AA13-$Z$4&lt;MAX(AP$4,VLOOKUP(AP$6, Table_ChiPhiNV_Ca[], COUNTA(Table_ChiPhiNV_Ca[[#Headers],[Ca]:[Bắt đầu]]),0)),
$AA13&gt;MIN(AP$5,VLOOKUP(AP$6, Table_ChiPhiNV_Ca[], COUNTA(Table_ChiPhiNV_Ca[[#Headers],[Ca]:[Kết thúc]]),0))),0,
SUM(_xlfn._xlws.FILTER(Table_BangLuong_TyLeTangCa[Tỷ lệ],
(Table_BangLuong_TyLeTangCa[Ngày] = "Thường") *
(Table_BangLuong_TyLeTangCa[Giờ min]&lt;=$AA13) *
(Table_BangLuong_TyLeTangCa[Giờ max]&gt;$AA13)
))),
IF(
AND(
$AA13-$Z$4&gt;=MAX(AP$4,VLOOKUP(AP$6, Table_ChiPhiNV_Ca[], COUNTA(Table_ChiPhiNV_Ca[[#Headers],[Ca]:[Bắt đầu]]),0)),
$AA13&lt;MIN(AP$5,VLOOKUP(AP$6, Table_ChiPhiNV_Ca[], COUNTA(Table_ChiPhiNV_Ca[[#Headers],[Ca]:[Kết thúc]]),0))),
SUM(_xlfn._xlws.FILTER(Table_BangLuong_TyLeTangCa[Tỷ lệ],
(Table_BangLuong_TyLeTangCa[Ngày] = "Thường") *
(Table_BangLuong_TyLeTangCa[Giờ min]&lt;=$AA13) *
(Table_BangLuong_TyLeTangCa[Giờ max]&gt;$AA13)
)),0)
)),
IF(AP$4 &lt; AP$5,
IF($AA13-$Z$4&lt;AP$4,0,
IF($AA13&gt;AP$5,0,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AP$5,$AA13 &lt; AP$4),0,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Q13" s="18" cm="1">
        <f t="array" ref="AQ13" xml:space="preserve">
IFERROR(
IF(AQ$1="",0,
IF(AND(
$AA13&gt;=VLOOKUP(AQ$6, Table_ChiPhiNV_Ca[], COUNTA(Table_ChiPhiNV_Ca[[#Headers],[Ca]:[Bắt đầu nghỉ]]),0),
$AA13&lt;VLOOKUP(AQ$6, Table_ChiPhiNV_Ca[], COUNTA(Table_ChiPhiNV_Ca[[#Headers],[Ca]:[Kết thúc nghỉ]]),0)
),0,
IF(NOT(ISBLANK(AQ$3)),
IF(ISBLANK(AQ$7),0,
IF(AQ$4 &lt; AQ$5,
IF($AA13-$Z$4&lt;AQ$4,0,
IF($AA13&gt;AQ$5,0,
SUM(_xlfn._xlws.FILTER(Table_BangLuong_TyLeTangCa[Tỷ lệ],
(Table_BangLuong_TyLeTangCa[Ngày] = AQ$3) *
(Table_BangLuong_TyLeTangCa[Giờ min]&lt;=$AA13) *
(Table_BangLuong_TyLeTangCa[Giờ max]&gt;$AA13)
)))),
IF(AND($AA13-$Z$4 &gt;= AQ$5,$AA13 &lt; AQ$4),0,
SUM(_xlfn._xlws.FILTER(Table_BangLuong_TyLeTangCa[Tỷ lệ],
(Table_BangLuong_TyLeTangCa[Ngày] = AQ$3) *
(Table_BangLuong_TyLeTangCa[Giờ min]&lt;=$AA13) *
(Table_BangLuong_TyLeTangCa[Giờ max]&gt;$AA13)
))))
),
IF(ISBLANK(AQ$7),
IF(VLOOKUP(AQ$6, Table_ChiPhiNV_Ca[], COUNTA(Table_ChiPhiNV_Ca[[#Headers],[Ca]:[Kết thúc]]),0)&gt; VLOOKUP(AQ$6, Table_ChiPhiNV_Ca[], COUNTA(Table_ChiPhiNV_Ca[[#Headers],[Ca]:[Bắt đầu]]),0),
IF($AA13-$Z$4&lt;MAX(AQ$4,VLOOKUP(AQ$6, Table_ChiPhiNV_Ca[], COUNTA(Table_ChiPhiNV_Ca[[#Headers],[Ca]:[Bắt đầu]]),0)),0,
IF($AA13&gt;MIN(AQ$5,VLOOKUP(AQ$6, Table_ChiPhiNV_Ca[], COUNTA(Table_ChiPhiNV_Ca[[#Headers],[Ca]:[Kết thúc]]),0)),0,
SUM(_xlfn._xlws.FILTER(Table_BangLuong_TyLeTangCa[Tỷ lệ],
(Table_BangLuong_TyLeTangCa[Ngày] = "Thường") *
(Table_BangLuong_TyLeTangCa[Giờ min]&lt;=$AA13) *
(Table_BangLuong_TyLeTangCa[Giờ max]&gt;$AA13)
)))),
IF(AQ$4 &gt; AQ$5,
IF(
AND(
$AA13-$Z$4&lt;MAX(AQ$4,VLOOKUP(AQ$6, Table_ChiPhiNV_Ca[], COUNTA(Table_ChiPhiNV_Ca[[#Headers],[Ca]:[Bắt đầu]]),0)),
$AA13&gt;MIN(AQ$5,VLOOKUP(AQ$6, Table_ChiPhiNV_Ca[], COUNTA(Table_ChiPhiNV_Ca[[#Headers],[Ca]:[Kết thúc]]),0))),0,
SUM(_xlfn._xlws.FILTER(Table_BangLuong_TyLeTangCa[Tỷ lệ],
(Table_BangLuong_TyLeTangCa[Ngày] = "Thường") *
(Table_BangLuong_TyLeTangCa[Giờ min]&lt;=$AA13) *
(Table_BangLuong_TyLeTangCa[Giờ max]&gt;$AA13)
))),
IF(
AND(
$AA13-$Z$4&gt;=MAX(AQ$4,VLOOKUP(AQ$6, Table_ChiPhiNV_Ca[], COUNTA(Table_ChiPhiNV_Ca[[#Headers],[Ca]:[Bắt đầu]]),0)),
$AA13&lt;MIN(AQ$5,VLOOKUP(AQ$6, Table_ChiPhiNV_Ca[], COUNTA(Table_ChiPhiNV_Ca[[#Headers],[Ca]:[Kết thúc]]),0))),
SUM(_xlfn._xlws.FILTER(Table_BangLuong_TyLeTangCa[Tỷ lệ],
(Table_BangLuong_TyLeTangCa[Ngày] = "Thường") *
(Table_BangLuong_TyLeTangCa[Giờ min]&lt;=$AA13) *
(Table_BangLuong_TyLeTangCa[Giờ max]&gt;$AA13)
)),0)
)),
IF(AQ$4 &lt; AQ$5,
IF($AA13-$Z$4&lt;AQ$4,0,
IF($AA13&gt;AQ$5,0,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AQ$5,$AA13 &lt; AQ$4),0,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R13" s="18" cm="1">
        <f t="array" ref="AR13" xml:space="preserve">
IFERROR(
IF(AR$1="",0,
IF(AND(
$AA13&gt;=VLOOKUP(AR$6, Table_ChiPhiNV_Ca[], COUNTA(Table_ChiPhiNV_Ca[[#Headers],[Ca]:[Bắt đầu nghỉ]]),0),
$AA13&lt;VLOOKUP(AR$6, Table_ChiPhiNV_Ca[], COUNTA(Table_ChiPhiNV_Ca[[#Headers],[Ca]:[Kết thúc nghỉ]]),0)
),0,
IF(NOT(ISBLANK(AR$3)),
IF(ISBLANK(AR$7),0,
IF(AR$4 &lt; AR$5,
IF($AA13-$Z$4&lt;AR$4,0,
IF($AA13&gt;AR$5,0,
SUM(_xlfn._xlws.FILTER(Table_BangLuong_TyLeTangCa[Tỷ lệ],
(Table_BangLuong_TyLeTangCa[Ngày] = AR$3) *
(Table_BangLuong_TyLeTangCa[Giờ min]&lt;=$AA13) *
(Table_BangLuong_TyLeTangCa[Giờ max]&gt;$AA13)
)))),
IF(AND($AA13-$Z$4 &gt;= AR$5,$AA13 &lt; AR$4),0,
SUM(_xlfn._xlws.FILTER(Table_BangLuong_TyLeTangCa[Tỷ lệ],
(Table_BangLuong_TyLeTangCa[Ngày] = AR$3) *
(Table_BangLuong_TyLeTangCa[Giờ min]&lt;=$AA13) *
(Table_BangLuong_TyLeTangCa[Giờ max]&gt;$AA13)
))))
),
IF(ISBLANK(AR$7),
IF(VLOOKUP(AR$6, Table_ChiPhiNV_Ca[], COUNTA(Table_ChiPhiNV_Ca[[#Headers],[Ca]:[Kết thúc]]),0)&gt; VLOOKUP(AR$6, Table_ChiPhiNV_Ca[], COUNTA(Table_ChiPhiNV_Ca[[#Headers],[Ca]:[Bắt đầu]]),0),
IF($AA13-$Z$4&lt;MAX(AR$4,VLOOKUP(AR$6, Table_ChiPhiNV_Ca[], COUNTA(Table_ChiPhiNV_Ca[[#Headers],[Ca]:[Bắt đầu]]),0)),0,
IF($AA13&gt;MIN(AR$5,VLOOKUP(AR$6, Table_ChiPhiNV_Ca[], COUNTA(Table_ChiPhiNV_Ca[[#Headers],[Ca]:[Kết thúc]]),0)),0,
SUM(_xlfn._xlws.FILTER(Table_BangLuong_TyLeTangCa[Tỷ lệ],
(Table_BangLuong_TyLeTangCa[Ngày] = "Thường") *
(Table_BangLuong_TyLeTangCa[Giờ min]&lt;=$AA13) *
(Table_BangLuong_TyLeTangCa[Giờ max]&gt;$AA13)
)))),
IF(AR$4 &gt; AR$5,
IF(
AND(
$AA13-$Z$4&lt;MAX(AR$4,VLOOKUP(AR$6, Table_ChiPhiNV_Ca[], COUNTA(Table_ChiPhiNV_Ca[[#Headers],[Ca]:[Bắt đầu]]),0)),
$AA13&gt;MIN(AR$5,VLOOKUP(AR$6, Table_ChiPhiNV_Ca[], COUNTA(Table_ChiPhiNV_Ca[[#Headers],[Ca]:[Kết thúc]]),0))),0,
SUM(_xlfn._xlws.FILTER(Table_BangLuong_TyLeTangCa[Tỷ lệ],
(Table_BangLuong_TyLeTangCa[Ngày] = "Thường") *
(Table_BangLuong_TyLeTangCa[Giờ min]&lt;=$AA13) *
(Table_BangLuong_TyLeTangCa[Giờ max]&gt;$AA13)
))),
IF(
AND(
$AA13-$Z$4&gt;=MAX(AR$4,VLOOKUP(AR$6, Table_ChiPhiNV_Ca[], COUNTA(Table_ChiPhiNV_Ca[[#Headers],[Ca]:[Bắt đầu]]),0)),
$AA13&lt;MIN(AR$5,VLOOKUP(AR$6, Table_ChiPhiNV_Ca[], COUNTA(Table_ChiPhiNV_Ca[[#Headers],[Ca]:[Kết thúc]]),0))),
SUM(_xlfn._xlws.FILTER(Table_BangLuong_TyLeTangCa[Tỷ lệ],
(Table_BangLuong_TyLeTangCa[Ngày] = "Thường") *
(Table_BangLuong_TyLeTangCa[Giờ min]&lt;=$AA13) *
(Table_BangLuong_TyLeTangCa[Giờ max]&gt;$AA13)
)),0)
)),
IF(AR$4 &lt; AR$5,
IF($AA13-$Z$4&lt;AR$4,0,
IF($AA13&gt;AR$5,0,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AR$5,$AA13 &lt; AR$4),0,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S13" s="18" cm="1">
        <f t="array" ref="AS13" xml:space="preserve">
IFERROR(
IF(AS$1="",0,
IF(AND(
$AA13&gt;=VLOOKUP(AS$6, Table_ChiPhiNV_Ca[], COUNTA(Table_ChiPhiNV_Ca[[#Headers],[Ca]:[Bắt đầu nghỉ]]),0),
$AA13&lt;VLOOKUP(AS$6, Table_ChiPhiNV_Ca[], COUNTA(Table_ChiPhiNV_Ca[[#Headers],[Ca]:[Kết thúc nghỉ]]),0)
),0,
IF(NOT(ISBLANK(AS$3)),
IF(ISBLANK(AS$7),0,
IF(AS$4 &lt; AS$5,
IF($AA13-$Z$4&lt;AS$4,0,
IF($AA13&gt;AS$5,0,
SUM(_xlfn._xlws.FILTER(Table_BangLuong_TyLeTangCa[Tỷ lệ],
(Table_BangLuong_TyLeTangCa[Ngày] = AS$3) *
(Table_BangLuong_TyLeTangCa[Giờ min]&lt;=$AA13) *
(Table_BangLuong_TyLeTangCa[Giờ max]&gt;$AA13)
)))),
IF(AND($AA13-$Z$4 &gt;= AS$5,$AA13 &lt; AS$4),0,
SUM(_xlfn._xlws.FILTER(Table_BangLuong_TyLeTangCa[Tỷ lệ],
(Table_BangLuong_TyLeTangCa[Ngày] = AS$3) *
(Table_BangLuong_TyLeTangCa[Giờ min]&lt;=$AA13) *
(Table_BangLuong_TyLeTangCa[Giờ max]&gt;$AA13)
))))
),
IF(ISBLANK(AS$7),
IF(VLOOKUP(AS$6, Table_ChiPhiNV_Ca[], COUNTA(Table_ChiPhiNV_Ca[[#Headers],[Ca]:[Kết thúc]]),0)&gt; VLOOKUP(AS$6, Table_ChiPhiNV_Ca[], COUNTA(Table_ChiPhiNV_Ca[[#Headers],[Ca]:[Bắt đầu]]),0),
IF($AA13-$Z$4&lt;MAX(AS$4,VLOOKUP(AS$6, Table_ChiPhiNV_Ca[], COUNTA(Table_ChiPhiNV_Ca[[#Headers],[Ca]:[Bắt đầu]]),0)),0,
IF($AA13&gt;MIN(AS$5,VLOOKUP(AS$6, Table_ChiPhiNV_Ca[], COUNTA(Table_ChiPhiNV_Ca[[#Headers],[Ca]:[Kết thúc]]),0)),0,
SUM(_xlfn._xlws.FILTER(Table_BangLuong_TyLeTangCa[Tỷ lệ],
(Table_BangLuong_TyLeTangCa[Ngày] = "Thường") *
(Table_BangLuong_TyLeTangCa[Giờ min]&lt;=$AA13) *
(Table_BangLuong_TyLeTangCa[Giờ max]&gt;$AA13)
)))),
IF(AS$4 &gt; AS$5,
IF(
AND(
$AA13-$Z$4&lt;MAX(AS$4,VLOOKUP(AS$6, Table_ChiPhiNV_Ca[], COUNTA(Table_ChiPhiNV_Ca[[#Headers],[Ca]:[Bắt đầu]]),0)),
$AA13&gt;MIN(AS$5,VLOOKUP(AS$6, Table_ChiPhiNV_Ca[], COUNTA(Table_ChiPhiNV_Ca[[#Headers],[Ca]:[Kết thúc]]),0))),0,
SUM(_xlfn._xlws.FILTER(Table_BangLuong_TyLeTangCa[Tỷ lệ],
(Table_BangLuong_TyLeTangCa[Ngày] = "Thường") *
(Table_BangLuong_TyLeTangCa[Giờ min]&lt;=$AA13) *
(Table_BangLuong_TyLeTangCa[Giờ max]&gt;$AA13)
))),
IF(
AND(
$AA13-$Z$4&gt;=MAX(AS$4,VLOOKUP(AS$6, Table_ChiPhiNV_Ca[], COUNTA(Table_ChiPhiNV_Ca[[#Headers],[Ca]:[Bắt đầu]]),0)),
$AA13&lt;MIN(AS$5,VLOOKUP(AS$6, Table_ChiPhiNV_Ca[], COUNTA(Table_ChiPhiNV_Ca[[#Headers],[Ca]:[Kết thúc]]),0))),
SUM(_xlfn._xlws.FILTER(Table_BangLuong_TyLeTangCa[Tỷ lệ],
(Table_BangLuong_TyLeTangCa[Ngày] = "Thường") *
(Table_BangLuong_TyLeTangCa[Giờ min]&lt;=$AA13) *
(Table_BangLuong_TyLeTangCa[Giờ max]&gt;$AA13)
)),0)
)),
IF(AS$4 &lt; AS$5,
IF($AA13-$Z$4&lt;AS$4,0,
IF($AA13&gt;AS$5,0,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AS$5,$AA13 &lt; AS$4),0,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T13" s="18" cm="1">
        <f t="array" ref="AT13" xml:space="preserve">
IFERROR(
IF(AT$1="",0,
IF(AND(
$AA13&gt;=VLOOKUP(AT$6, Table_ChiPhiNV_Ca[], COUNTA(Table_ChiPhiNV_Ca[[#Headers],[Ca]:[Bắt đầu nghỉ]]),0),
$AA13&lt;VLOOKUP(AT$6, Table_ChiPhiNV_Ca[], COUNTA(Table_ChiPhiNV_Ca[[#Headers],[Ca]:[Kết thúc nghỉ]]),0)
),0,
IF(NOT(ISBLANK(AT$3)),
IF(ISBLANK(AT$7),0,
IF(AT$4 &lt; AT$5,
IF($AA13-$Z$4&lt;AT$4,0,
IF($AA13&gt;AT$5,0,
SUM(_xlfn._xlws.FILTER(Table_BangLuong_TyLeTangCa[Tỷ lệ],
(Table_BangLuong_TyLeTangCa[Ngày] = AT$3) *
(Table_BangLuong_TyLeTangCa[Giờ min]&lt;=$AA13) *
(Table_BangLuong_TyLeTangCa[Giờ max]&gt;$AA13)
)))),
IF(AND($AA13-$Z$4 &gt;= AT$5,$AA13 &lt; AT$4),0,
SUM(_xlfn._xlws.FILTER(Table_BangLuong_TyLeTangCa[Tỷ lệ],
(Table_BangLuong_TyLeTangCa[Ngày] = AT$3) *
(Table_BangLuong_TyLeTangCa[Giờ min]&lt;=$AA13) *
(Table_BangLuong_TyLeTangCa[Giờ max]&gt;$AA13)
))))
),
IF(ISBLANK(AT$7),
IF(VLOOKUP(AT$6, Table_ChiPhiNV_Ca[], COUNTA(Table_ChiPhiNV_Ca[[#Headers],[Ca]:[Kết thúc]]),0)&gt; VLOOKUP(AT$6, Table_ChiPhiNV_Ca[], COUNTA(Table_ChiPhiNV_Ca[[#Headers],[Ca]:[Bắt đầu]]),0),
IF($AA13-$Z$4&lt;MAX(AT$4,VLOOKUP(AT$6, Table_ChiPhiNV_Ca[], COUNTA(Table_ChiPhiNV_Ca[[#Headers],[Ca]:[Bắt đầu]]),0)),0,
IF($AA13&gt;MIN(AT$5,VLOOKUP(AT$6, Table_ChiPhiNV_Ca[], COUNTA(Table_ChiPhiNV_Ca[[#Headers],[Ca]:[Kết thúc]]),0)),0,
SUM(_xlfn._xlws.FILTER(Table_BangLuong_TyLeTangCa[Tỷ lệ],
(Table_BangLuong_TyLeTangCa[Ngày] = "Thường") *
(Table_BangLuong_TyLeTangCa[Giờ min]&lt;=$AA13) *
(Table_BangLuong_TyLeTangCa[Giờ max]&gt;$AA13)
)))),
IF(AT$4 &gt; AT$5,
IF(
AND(
$AA13-$Z$4&lt;MAX(AT$4,VLOOKUP(AT$6, Table_ChiPhiNV_Ca[], COUNTA(Table_ChiPhiNV_Ca[[#Headers],[Ca]:[Bắt đầu]]),0)),
$AA13&gt;MIN(AT$5,VLOOKUP(AT$6, Table_ChiPhiNV_Ca[], COUNTA(Table_ChiPhiNV_Ca[[#Headers],[Ca]:[Kết thúc]]),0))),0,
SUM(_xlfn._xlws.FILTER(Table_BangLuong_TyLeTangCa[Tỷ lệ],
(Table_BangLuong_TyLeTangCa[Ngày] = "Thường") *
(Table_BangLuong_TyLeTangCa[Giờ min]&lt;=$AA13) *
(Table_BangLuong_TyLeTangCa[Giờ max]&gt;$AA13)
))),
IF(
AND(
$AA13-$Z$4&gt;=MAX(AT$4,VLOOKUP(AT$6, Table_ChiPhiNV_Ca[], COUNTA(Table_ChiPhiNV_Ca[[#Headers],[Ca]:[Bắt đầu]]),0)),
$AA13&lt;MIN(AT$5,VLOOKUP(AT$6, Table_ChiPhiNV_Ca[], COUNTA(Table_ChiPhiNV_Ca[[#Headers],[Ca]:[Kết thúc]]),0))),
SUM(_xlfn._xlws.FILTER(Table_BangLuong_TyLeTangCa[Tỷ lệ],
(Table_BangLuong_TyLeTangCa[Ngày] = "Thường") *
(Table_BangLuong_TyLeTangCa[Giờ min]&lt;=$AA13) *
(Table_BangLuong_TyLeTangCa[Giờ max]&gt;$AA13)
)),0)
)),
IF(AT$4 &lt; AT$5,
IF($AA13-$Z$4&lt;AT$4,0,
IF($AA13&gt;AT$5,0,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AT$5,$AA13 &lt; AT$4),0,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U13" s="18" cm="1">
        <f t="array" ref="AU13" xml:space="preserve">
IFERROR(
IF(AU$1="",0,
IF(AND(
$AA13&gt;=VLOOKUP(AU$6, Table_ChiPhiNV_Ca[], COUNTA(Table_ChiPhiNV_Ca[[#Headers],[Ca]:[Bắt đầu nghỉ]]),0),
$AA13&lt;VLOOKUP(AU$6, Table_ChiPhiNV_Ca[], COUNTA(Table_ChiPhiNV_Ca[[#Headers],[Ca]:[Kết thúc nghỉ]]),0)
),0,
IF(NOT(ISBLANK(AU$3)),
IF(ISBLANK(AU$7),0,
IF(AU$4 &lt; AU$5,
IF($AA13-$Z$4&lt;AU$4,0,
IF($AA13&gt;AU$5,0,
SUM(_xlfn._xlws.FILTER(Table_BangLuong_TyLeTangCa[Tỷ lệ],
(Table_BangLuong_TyLeTangCa[Ngày] = AU$3) *
(Table_BangLuong_TyLeTangCa[Giờ min]&lt;=$AA13) *
(Table_BangLuong_TyLeTangCa[Giờ max]&gt;$AA13)
)))),
IF(AND($AA13-$Z$4 &gt;= AU$5,$AA13 &lt; AU$4),0,
SUM(_xlfn._xlws.FILTER(Table_BangLuong_TyLeTangCa[Tỷ lệ],
(Table_BangLuong_TyLeTangCa[Ngày] = AU$3) *
(Table_BangLuong_TyLeTangCa[Giờ min]&lt;=$AA13) *
(Table_BangLuong_TyLeTangCa[Giờ max]&gt;$AA13)
))))
),
IF(ISBLANK(AU$7),
IF(VLOOKUP(AU$6, Table_ChiPhiNV_Ca[], COUNTA(Table_ChiPhiNV_Ca[[#Headers],[Ca]:[Kết thúc]]),0)&gt; VLOOKUP(AU$6, Table_ChiPhiNV_Ca[], COUNTA(Table_ChiPhiNV_Ca[[#Headers],[Ca]:[Bắt đầu]]),0),
IF($AA13-$Z$4&lt;MAX(AU$4,VLOOKUP(AU$6, Table_ChiPhiNV_Ca[], COUNTA(Table_ChiPhiNV_Ca[[#Headers],[Ca]:[Bắt đầu]]),0)),0,
IF($AA13&gt;MIN(AU$5,VLOOKUP(AU$6, Table_ChiPhiNV_Ca[], COUNTA(Table_ChiPhiNV_Ca[[#Headers],[Ca]:[Kết thúc]]),0)),0,
SUM(_xlfn._xlws.FILTER(Table_BangLuong_TyLeTangCa[Tỷ lệ],
(Table_BangLuong_TyLeTangCa[Ngày] = "Thường") *
(Table_BangLuong_TyLeTangCa[Giờ min]&lt;=$AA13) *
(Table_BangLuong_TyLeTangCa[Giờ max]&gt;$AA13)
)))),
IF(AU$4 &gt; AU$5,
IF(
AND(
$AA13-$Z$4&lt;MAX(AU$4,VLOOKUP(AU$6, Table_ChiPhiNV_Ca[], COUNTA(Table_ChiPhiNV_Ca[[#Headers],[Ca]:[Bắt đầu]]),0)),
$AA13&gt;MIN(AU$5,VLOOKUP(AU$6, Table_ChiPhiNV_Ca[], COUNTA(Table_ChiPhiNV_Ca[[#Headers],[Ca]:[Kết thúc]]),0))),0,
SUM(_xlfn._xlws.FILTER(Table_BangLuong_TyLeTangCa[Tỷ lệ],
(Table_BangLuong_TyLeTangCa[Ngày] = "Thường") *
(Table_BangLuong_TyLeTangCa[Giờ min]&lt;=$AA13) *
(Table_BangLuong_TyLeTangCa[Giờ max]&gt;$AA13)
))),
IF(
AND(
$AA13-$Z$4&gt;=MAX(AU$4,VLOOKUP(AU$6, Table_ChiPhiNV_Ca[], COUNTA(Table_ChiPhiNV_Ca[[#Headers],[Ca]:[Bắt đầu]]),0)),
$AA13&lt;MIN(AU$5,VLOOKUP(AU$6, Table_ChiPhiNV_Ca[], COUNTA(Table_ChiPhiNV_Ca[[#Headers],[Ca]:[Kết thúc]]),0))),
SUM(_xlfn._xlws.FILTER(Table_BangLuong_TyLeTangCa[Tỷ lệ],
(Table_BangLuong_TyLeTangCa[Ngày] = "Thường") *
(Table_BangLuong_TyLeTangCa[Giờ min]&lt;=$AA13) *
(Table_BangLuong_TyLeTangCa[Giờ max]&gt;$AA13)
)),0)
)),
IF(AU$4 &lt; AU$5,
IF($AA13-$Z$4&lt;AU$4,0,
IF($AA13&gt;AU$5,0,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AU$5,$AA13 &lt; AU$4),0,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V13" s="18" cm="1">
        <f t="array" ref="AV13" xml:space="preserve">
IFERROR(
IF(AV$1="",0,
IF(AND(
$AA13&gt;=VLOOKUP(AV$6, Table_ChiPhiNV_Ca[], COUNTA(Table_ChiPhiNV_Ca[[#Headers],[Ca]:[Bắt đầu nghỉ]]),0),
$AA13&lt;VLOOKUP(AV$6, Table_ChiPhiNV_Ca[], COUNTA(Table_ChiPhiNV_Ca[[#Headers],[Ca]:[Kết thúc nghỉ]]),0)
),0,
IF(NOT(ISBLANK(AV$3)),
IF(ISBLANK(AV$7),0,
IF(AV$4 &lt; AV$5,
IF($AA13-$Z$4&lt;AV$4,0,
IF($AA13&gt;AV$5,0,
SUM(_xlfn._xlws.FILTER(Table_BangLuong_TyLeTangCa[Tỷ lệ],
(Table_BangLuong_TyLeTangCa[Ngày] = AV$3) *
(Table_BangLuong_TyLeTangCa[Giờ min]&lt;=$AA13) *
(Table_BangLuong_TyLeTangCa[Giờ max]&gt;$AA13)
)))),
IF(AND($AA13-$Z$4 &gt;= AV$5,$AA13 &lt; AV$4),0,
SUM(_xlfn._xlws.FILTER(Table_BangLuong_TyLeTangCa[Tỷ lệ],
(Table_BangLuong_TyLeTangCa[Ngày] = AV$3) *
(Table_BangLuong_TyLeTangCa[Giờ min]&lt;=$AA13) *
(Table_BangLuong_TyLeTangCa[Giờ max]&gt;$AA13)
))))
),
IF(ISBLANK(AV$7),
IF(VLOOKUP(AV$6, Table_ChiPhiNV_Ca[], COUNTA(Table_ChiPhiNV_Ca[[#Headers],[Ca]:[Kết thúc]]),0)&gt; VLOOKUP(AV$6, Table_ChiPhiNV_Ca[], COUNTA(Table_ChiPhiNV_Ca[[#Headers],[Ca]:[Bắt đầu]]),0),
IF($AA13-$Z$4&lt;MAX(AV$4,VLOOKUP(AV$6, Table_ChiPhiNV_Ca[], COUNTA(Table_ChiPhiNV_Ca[[#Headers],[Ca]:[Bắt đầu]]),0)),0,
IF($AA13&gt;MIN(AV$5,VLOOKUP(AV$6, Table_ChiPhiNV_Ca[], COUNTA(Table_ChiPhiNV_Ca[[#Headers],[Ca]:[Kết thúc]]),0)),0,
SUM(_xlfn._xlws.FILTER(Table_BangLuong_TyLeTangCa[Tỷ lệ],
(Table_BangLuong_TyLeTangCa[Ngày] = "Thường") *
(Table_BangLuong_TyLeTangCa[Giờ min]&lt;=$AA13) *
(Table_BangLuong_TyLeTangCa[Giờ max]&gt;$AA13)
)))),
IF(AV$4 &gt; AV$5,
IF(
AND(
$AA13-$Z$4&lt;MAX(AV$4,VLOOKUP(AV$6, Table_ChiPhiNV_Ca[], COUNTA(Table_ChiPhiNV_Ca[[#Headers],[Ca]:[Bắt đầu]]),0)),
$AA13&gt;MIN(AV$5,VLOOKUP(AV$6, Table_ChiPhiNV_Ca[], COUNTA(Table_ChiPhiNV_Ca[[#Headers],[Ca]:[Kết thúc]]),0))),0,
SUM(_xlfn._xlws.FILTER(Table_BangLuong_TyLeTangCa[Tỷ lệ],
(Table_BangLuong_TyLeTangCa[Ngày] = "Thường") *
(Table_BangLuong_TyLeTangCa[Giờ min]&lt;=$AA13) *
(Table_BangLuong_TyLeTangCa[Giờ max]&gt;$AA13)
))),
IF(
AND(
$AA13-$Z$4&gt;=MAX(AV$4,VLOOKUP(AV$6, Table_ChiPhiNV_Ca[], COUNTA(Table_ChiPhiNV_Ca[[#Headers],[Ca]:[Bắt đầu]]),0)),
$AA13&lt;MIN(AV$5,VLOOKUP(AV$6, Table_ChiPhiNV_Ca[], COUNTA(Table_ChiPhiNV_Ca[[#Headers],[Ca]:[Kết thúc]]),0))),
SUM(_xlfn._xlws.FILTER(Table_BangLuong_TyLeTangCa[Tỷ lệ],
(Table_BangLuong_TyLeTangCa[Ngày] = "Thường") *
(Table_BangLuong_TyLeTangCa[Giờ min]&lt;=$AA13) *
(Table_BangLuong_TyLeTangCa[Giờ max]&gt;$AA13)
)),0)
)),
IF(AV$4 &lt; AV$5,
IF($AA13-$Z$4&lt;AV$4,0,
IF($AA13&gt;AV$5,0,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AV$5,$AA13 &lt; AV$4),0,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W13" s="18" cm="1">
        <f t="array" ref="AW13" xml:space="preserve">
IFERROR(
IF(AW$1="",0,
IF(AND(
$AA13&gt;=VLOOKUP(AW$6, Table_ChiPhiNV_Ca[], COUNTA(Table_ChiPhiNV_Ca[[#Headers],[Ca]:[Bắt đầu nghỉ]]),0),
$AA13&lt;VLOOKUP(AW$6, Table_ChiPhiNV_Ca[], COUNTA(Table_ChiPhiNV_Ca[[#Headers],[Ca]:[Kết thúc nghỉ]]),0)
),0,
IF(NOT(ISBLANK(AW$3)),
IF(ISBLANK(AW$7),0,
IF(AW$4 &lt; AW$5,
IF($AA13-$Z$4&lt;AW$4,0,
IF($AA13&gt;AW$5,0,
SUM(_xlfn._xlws.FILTER(Table_BangLuong_TyLeTangCa[Tỷ lệ],
(Table_BangLuong_TyLeTangCa[Ngày] = AW$3) *
(Table_BangLuong_TyLeTangCa[Giờ min]&lt;=$AA13) *
(Table_BangLuong_TyLeTangCa[Giờ max]&gt;$AA13)
)))),
IF(AND($AA13-$Z$4 &gt;= AW$5,$AA13 &lt; AW$4),0,
SUM(_xlfn._xlws.FILTER(Table_BangLuong_TyLeTangCa[Tỷ lệ],
(Table_BangLuong_TyLeTangCa[Ngày] = AW$3) *
(Table_BangLuong_TyLeTangCa[Giờ min]&lt;=$AA13) *
(Table_BangLuong_TyLeTangCa[Giờ max]&gt;$AA13)
))))
),
IF(ISBLANK(AW$7),
IF(VLOOKUP(AW$6, Table_ChiPhiNV_Ca[], COUNTA(Table_ChiPhiNV_Ca[[#Headers],[Ca]:[Kết thúc]]),0)&gt; VLOOKUP(AW$6, Table_ChiPhiNV_Ca[], COUNTA(Table_ChiPhiNV_Ca[[#Headers],[Ca]:[Bắt đầu]]),0),
IF($AA13-$Z$4&lt;MAX(AW$4,VLOOKUP(AW$6, Table_ChiPhiNV_Ca[], COUNTA(Table_ChiPhiNV_Ca[[#Headers],[Ca]:[Bắt đầu]]),0)),0,
IF($AA13&gt;MIN(AW$5,VLOOKUP(AW$6, Table_ChiPhiNV_Ca[], COUNTA(Table_ChiPhiNV_Ca[[#Headers],[Ca]:[Kết thúc]]),0)),0,
SUM(_xlfn._xlws.FILTER(Table_BangLuong_TyLeTangCa[Tỷ lệ],
(Table_BangLuong_TyLeTangCa[Ngày] = "Thường") *
(Table_BangLuong_TyLeTangCa[Giờ min]&lt;=$AA13) *
(Table_BangLuong_TyLeTangCa[Giờ max]&gt;$AA13)
)))),
IF(AW$4 &gt; AW$5,
IF(
AND(
$AA13-$Z$4&lt;MAX(AW$4,VLOOKUP(AW$6, Table_ChiPhiNV_Ca[], COUNTA(Table_ChiPhiNV_Ca[[#Headers],[Ca]:[Bắt đầu]]),0)),
$AA13&gt;MIN(AW$5,VLOOKUP(AW$6, Table_ChiPhiNV_Ca[], COUNTA(Table_ChiPhiNV_Ca[[#Headers],[Ca]:[Kết thúc]]),0))),0,
SUM(_xlfn._xlws.FILTER(Table_BangLuong_TyLeTangCa[Tỷ lệ],
(Table_BangLuong_TyLeTangCa[Ngày] = "Thường") *
(Table_BangLuong_TyLeTangCa[Giờ min]&lt;=$AA13) *
(Table_BangLuong_TyLeTangCa[Giờ max]&gt;$AA13)
))),
IF(
AND(
$AA13-$Z$4&gt;=MAX(AW$4,VLOOKUP(AW$6, Table_ChiPhiNV_Ca[], COUNTA(Table_ChiPhiNV_Ca[[#Headers],[Ca]:[Bắt đầu]]),0)),
$AA13&lt;MIN(AW$5,VLOOKUP(AW$6, Table_ChiPhiNV_Ca[], COUNTA(Table_ChiPhiNV_Ca[[#Headers],[Ca]:[Kết thúc]]),0))),
SUM(_xlfn._xlws.FILTER(Table_BangLuong_TyLeTangCa[Tỷ lệ],
(Table_BangLuong_TyLeTangCa[Ngày] = "Thường") *
(Table_BangLuong_TyLeTangCa[Giờ min]&lt;=$AA13) *
(Table_BangLuong_TyLeTangCa[Giờ max]&gt;$AA13)
)),0)
)),
IF(AW$4 &lt; AW$5,
IF($AA13-$Z$4&lt;AW$4,0,
IF($AA13&gt;AW$5,0,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AW$5,$AA13 &lt; AW$4),0,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X13" s="18" cm="1">
        <f t="array" ref="AX13" xml:space="preserve">
IFERROR(
IF(AX$1="",0,
IF(AND(
$AA13&gt;=VLOOKUP(AX$6, Table_ChiPhiNV_Ca[], COUNTA(Table_ChiPhiNV_Ca[[#Headers],[Ca]:[Bắt đầu nghỉ]]),0),
$AA13&lt;VLOOKUP(AX$6, Table_ChiPhiNV_Ca[], COUNTA(Table_ChiPhiNV_Ca[[#Headers],[Ca]:[Kết thúc nghỉ]]),0)
),0,
IF(NOT(ISBLANK(AX$3)),
IF(ISBLANK(AX$7),0,
IF(AX$4 &lt; AX$5,
IF($AA13-$Z$4&lt;AX$4,0,
IF($AA13&gt;AX$5,0,
SUM(_xlfn._xlws.FILTER(Table_BangLuong_TyLeTangCa[Tỷ lệ],
(Table_BangLuong_TyLeTangCa[Ngày] = AX$3) *
(Table_BangLuong_TyLeTangCa[Giờ min]&lt;=$AA13) *
(Table_BangLuong_TyLeTangCa[Giờ max]&gt;$AA13)
)))),
IF(AND($AA13-$Z$4 &gt;= AX$5,$AA13 &lt; AX$4),0,
SUM(_xlfn._xlws.FILTER(Table_BangLuong_TyLeTangCa[Tỷ lệ],
(Table_BangLuong_TyLeTangCa[Ngày] = AX$3) *
(Table_BangLuong_TyLeTangCa[Giờ min]&lt;=$AA13) *
(Table_BangLuong_TyLeTangCa[Giờ max]&gt;$AA13)
))))
),
IF(ISBLANK(AX$7),
IF(VLOOKUP(AX$6, Table_ChiPhiNV_Ca[], COUNTA(Table_ChiPhiNV_Ca[[#Headers],[Ca]:[Kết thúc]]),0)&gt; VLOOKUP(AX$6, Table_ChiPhiNV_Ca[], COUNTA(Table_ChiPhiNV_Ca[[#Headers],[Ca]:[Bắt đầu]]),0),
IF($AA13-$Z$4&lt;MAX(AX$4,VLOOKUP(AX$6, Table_ChiPhiNV_Ca[], COUNTA(Table_ChiPhiNV_Ca[[#Headers],[Ca]:[Bắt đầu]]),0)),0,
IF($AA13&gt;MIN(AX$5,VLOOKUP(AX$6, Table_ChiPhiNV_Ca[], COUNTA(Table_ChiPhiNV_Ca[[#Headers],[Ca]:[Kết thúc]]),0)),0,
SUM(_xlfn._xlws.FILTER(Table_BangLuong_TyLeTangCa[Tỷ lệ],
(Table_BangLuong_TyLeTangCa[Ngày] = "Thường") *
(Table_BangLuong_TyLeTangCa[Giờ min]&lt;=$AA13) *
(Table_BangLuong_TyLeTangCa[Giờ max]&gt;$AA13)
)))),
IF(AX$4 &gt; AX$5,
IF(
AND(
$AA13-$Z$4&lt;MAX(AX$4,VLOOKUP(AX$6, Table_ChiPhiNV_Ca[], COUNTA(Table_ChiPhiNV_Ca[[#Headers],[Ca]:[Bắt đầu]]),0)),
$AA13&gt;MIN(AX$5,VLOOKUP(AX$6, Table_ChiPhiNV_Ca[], COUNTA(Table_ChiPhiNV_Ca[[#Headers],[Ca]:[Kết thúc]]),0))),0,
SUM(_xlfn._xlws.FILTER(Table_BangLuong_TyLeTangCa[Tỷ lệ],
(Table_BangLuong_TyLeTangCa[Ngày] = "Thường") *
(Table_BangLuong_TyLeTangCa[Giờ min]&lt;=$AA13) *
(Table_BangLuong_TyLeTangCa[Giờ max]&gt;$AA13)
))),
IF(
AND(
$AA13-$Z$4&gt;=MAX(AX$4,VLOOKUP(AX$6, Table_ChiPhiNV_Ca[], COUNTA(Table_ChiPhiNV_Ca[[#Headers],[Ca]:[Bắt đầu]]),0)),
$AA13&lt;MIN(AX$5,VLOOKUP(AX$6, Table_ChiPhiNV_Ca[], COUNTA(Table_ChiPhiNV_Ca[[#Headers],[Ca]:[Kết thúc]]),0))),
SUM(_xlfn._xlws.FILTER(Table_BangLuong_TyLeTangCa[Tỷ lệ],
(Table_BangLuong_TyLeTangCa[Ngày] = "Thường") *
(Table_BangLuong_TyLeTangCa[Giờ min]&lt;=$AA13) *
(Table_BangLuong_TyLeTangCa[Giờ max]&gt;$AA13)
)),0)
)),
IF(AX$4 &lt; AX$5,
IF($AA13-$Z$4&lt;AX$4,0,
IF($AA13&gt;AX$5,0,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AX$5,$AA13 &lt; AX$4),0,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Y13" s="18" cm="1">
        <f t="array" ref="AY13" xml:space="preserve">
IFERROR(
IF(AY$1="",0,
IF(AND(
$AA13&gt;=VLOOKUP(AY$6, Table_ChiPhiNV_Ca[], COUNTA(Table_ChiPhiNV_Ca[[#Headers],[Ca]:[Bắt đầu nghỉ]]),0),
$AA13&lt;VLOOKUP(AY$6, Table_ChiPhiNV_Ca[], COUNTA(Table_ChiPhiNV_Ca[[#Headers],[Ca]:[Kết thúc nghỉ]]),0)
),0,
IF(NOT(ISBLANK(AY$3)),
IF(ISBLANK(AY$7),0,
IF(AY$4 &lt; AY$5,
IF($AA13-$Z$4&lt;AY$4,0,
IF($AA13&gt;AY$5,0,
SUM(_xlfn._xlws.FILTER(Table_BangLuong_TyLeTangCa[Tỷ lệ],
(Table_BangLuong_TyLeTangCa[Ngày] = AY$3) *
(Table_BangLuong_TyLeTangCa[Giờ min]&lt;=$AA13) *
(Table_BangLuong_TyLeTangCa[Giờ max]&gt;$AA13)
)))),
IF(AND($AA13-$Z$4 &gt;= AY$5,$AA13 &lt; AY$4),0,
SUM(_xlfn._xlws.FILTER(Table_BangLuong_TyLeTangCa[Tỷ lệ],
(Table_BangLuong_TyLeTangCa[Ngày] = AY$3) *
(Table_BangLuong_TyLeTangCa[Giờ min]&lt;=$AA13) *
(Table_BangLuong_TyLeTangCa[Giờ max]&gt;$AA13)
))))
),
IF(ISBLANK(AY$7),
IF(VLOOKUP(AY$6, Table_ChiPhiNV_Ca[], COUNTA(Table_ChiPhiNV_Ca[[#Headers],[Ca]:[Kết thúc]]),0)&gt; VLOOKUP(AY$6, Table_ChiPhiNV_Ca[], COUNTA(Table_ChiPhiNV_Ca[[#Headers],[Ca]:[Bắt đầu]]),0),
IF($AA13-$Z$4&lt;MAX(AY$4,VLOOKUP(AY$6, Table_ChiPhiNV_Ca[], COUNTA(Table_ChiPhiNV_Ca[[#Headers],[Ca]:[Bắt đầu]]),0)),0,
IF($AA13&gt;MIN(AY$5,VLOOKUP(AY$6, Table_ChiPhiNV_Ca[], COUNTA(Table_ChiPhiNV_Ca[[#Headers],[Ca]:[Kết thúc]]),0)),0,
SUM(_xlfn._xlws.FILTER(Table_BangLuong_TyLeTangCa[Tỷ lệ],
(Table_BangLuong_TyLeTangCa[Ngày] = "Thường") *
(Table_BangLuong_TyLeTangCa[Giờ min]&lt;=$AA13) *
(Table_BangLuong_TyLeTangCa[Giờ max]&gt;$AA13)
)))),
IF(AY$4 &gt; AY$5,
IF(
AND(
$AA13-$Z$4&lt;MAX(AY$4,VLOOKUP(AY$6, Table_ChiPhiNV_Ca[], COUNTA(Table_ChiPhiNV_Ca[[#Headers],[Ca]:[Bắt đầu]]),0)),
$AA13&gt;MIN(AY$5,VLOOKUP(AY$6, Table_ChiPhiNV_Ca[], COUNTA(Table_ChiPhiNV_Ca[[#Headers],[Ca]:[Kết thúc]]),0))),0,
SUM(_xlfn._xlws.FILTER(Table_BangLuong_TyLeTangCa[Tỷ lệ],
(Table_BangLuong_TyLeTangCa[Ngày] = "Thường") *
(Table_BangLuong_TyLeTangCa[Giờ min]&lt;=$AA13) *
(Table_BangLuong_TyLeTangCa[Giờ max]&gt;$AA13)
))),
IF(
AND(
$AA13-$Z$4&gt;=MAX(AY$4,VLOOKUP(AY$6, Table_ChiPhiNV_Ca[], COUNTA(Table_ChiPhiNV_Ca[[#Headers],[Ca]:[Bắt đầu]]),0)),
$AA13&lt;MIN(AY$5,VLOOKUP(AY$6, Table_ChiPhiNV_Ca[], COUNTA(Table_ChiPhiNV_Ca[[#Headers],[Ca]:[Kết thúc]]),0))),
SUM(_xlfn._xlws.FILTER(Table_BangLuong_TyLeTangCa[Tỷ lệ],
(Table_BangLuong_TyLeTangCa[Ngày] = "Thường") *
(Table_BangLuong_TyLeTangCa[Giờ min]&lt;=$AA13) *
(Table_BangLuong_TyLeTangCa[Giờ max]&gt;$AA13)
)),0)
)),
IF(AY$4 &lt; AY$5,
IF($AA13-$Z$4&lt;AY$4,0,
IF($AA13&gt;AY$5,0,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AY$5,$AA13 &lt; AY$4),0,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Z13" s="18" cm="1">
        <f t="array" ref="AZ13" xml:space="preserve">
IFERROR(
IF(AZ$1="",0,
IF(AND(
$AA13&gt;=VLOOKUP(AZ$6, Table_ChiPhiNV_Ca[], COUNTA(Table_ChiPhiNV_Ca[[#Headers],[Ca]:[Bắt đầu nghỉ]]),0),
$AA13&lt;VLOOKUP(AZ$6, Table_ChiPhiNV_Ca[], COUNTA(Table_ChiPhiNV_Ca[[#Headers],[Ca]:[Kết thúc nghỉ]]),0)
),0,
IF(NOT(ISBLANK(AZ$3)),
IF(ISBLANK(AZ$7),0,
IF(AZ$4 &lt; AZ$5,
IF($AA13-$Z$4&lt;AZ$4,0,
IF($AA13&gt;AZ$5,0,
SUM(_xlfn._xlws.FILTER(Table_BangLuong_TyLeTangCa[Tỷ lệ],
(Table_BangLuong_TyLeTangCa[Ngày] = AZ$3) *
(Table_BangLuong_TyLeTangCa[Giờ min]&lt;=$AA13) *
(Table_BangLuong_TyLeTangCa[Giờ max]&gt;$AA13)
)))),
IF(AND($AA13-$Z$4 &gt;= AZ$5,$AA13 &lt; AZ$4),0,
SUM(_xlfn._xlws.FILTER(Table_BangLuong_TyLeTangCa[Tỷ lệ],
(Table_BangLuong_TyLeTangCa[Ngày] = AZ$3) *
(Table_BangLuong_TyLeTangCa[Giờ min]&lt;=$AA13) *
(Table_BangLuong_TyLeTangCa[Giờ max]&gt;$AA13)
))))
),
IF(ISBLANK(AZ$7),
IF(VLOOKUP(AZ$6, Table_ChiPhiNV_Ca[], COUNTA(Table_ChiPhiNV_Ca[[#Headers],[Ca]:[Kết thúc]]),0)&gt; VLOOKUP(AZ$6, Table_ChiPhiNV_Ca[], COUNTA(Table_ChiPhiNV_Ca[[#Headers],[Ca]:[Bắt đầu]]),0),
IF($AA13-$Z$4&lt;MAX(AZ$4,VLOOKUP(AZ$6, Table_ChiPhiNV_Ca[], COUNTA(Table_ChiPhiNV_Ca[[#Headers],[Ca]:[Bắt đầu]]),0)),0,
IF($AA13&gt;MIN(AZ$5,VLOOKUP(AZ$6, Table_ChiPhiNV_Ca[], COUNTA(Table_ChiPhiNV_Ca[[#Headers],[Ca]:[Kết thúc]]),0)),0,
SUM(_xlfn._xlws.FILTER(Table_BangLuong_TyLeTangCa[Tỷ lệ],
(Table_BangLuong_TyLeTangCa[Ngày] = "Thường") *
(Table_BangLuong_TyLeTangCa[Giờ min]&lt;=$AA13) *
(Table_BangLuong_TyLeTangCa[Giờ max]&gt;$AA13)
)))),
IF(AZ$4 &gt; AZ$5,
IF(
AND(
$AA13-$Z$4&lt;MAX(AZ$4,VLOOKUP(AZ$6, Table_ChiPhiNV_Ca[], COUNTA(Table_ChiPhiNV_Ca[[#Headers],[Ca]:[Bắt đầu]]),0)),
$AA13&gt;MIN(AZ$5,VLOOKUP(AZ$6, Table_ChiPhiNV_Ca[], COUNTA(Table_ChiPhiNV_Ca[[#Headers],[Ca]:[Kết thúc]]),0))),0,
SUM(_xlfn._xlws.FILTER(Table_BangLuong_TyLeTangCa[Tỷ lệ],
(Table_BangLuong_TyLeTangCa[Ngày] = "Thường") *
(Table_BangLuong_TyLeTangCa[Giờ min]&lt;=$AA13) *
(Table_BangLuong_TyLeTangCa[Giờ max]&gt;$AA13)
))),
IF(
AND(
$AA13-$Z$4&gt;=MAX(AZ$4,VLOOKUP(AZ$6, Table_ChiPhiNV_Ca[], COUNTA(Table_ChiPhiNV_Ca[[#Headers],[Ca]:[Bắt đầu]]),0)),
$AA13&lt;MIN(AZ$5,VLOOKUP(AZ$6, Table_ChiPhiNV_Ca[], COUNTA(Table_ChiPhiNV_Ca[[#Headers],[Ca]:[Kết thúc]]),0))),
SUM(_xlfn._xlws.FILTER(Table_BangLuong_TyLeTangCa[Tỷ lệ],
(Table_BangLuong_TyLeTangCa[Ngày] = "Thường") *
(Table_BangLuong_TyLeTangCa[Giờ min]&lt;=$AA13) *
(Table_BangLuong_TyLeTangCa[Giờ max]&gt;$AA13)
)),0)
)),
IF(AZ$4 &lt; AZ$5,
IF($AA13-$Z$4&lt;AZ$4,0,
IF($AA13&gt;AZ$5,0,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AZ$5,$AA13 &lt; AZ$4),0,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A13" s="18" cm="1">
        <f t="array" ref="BA13" xml:space="preserve">
IFERROR(
IF(BA$1="",0,
IF(AND(
$AA13&gt;=VLOOKUP(BA$6, Table_ChiPhiNV_Ca[], COUNTA(Table_ChiPhiNV_Ca[[#Headers],[Ca]:[Bắt đầu nghỉ]]),0),
$AA13&lt;VLOOKUP(BA$6, Table_ChiPhiNV_Ca[], COUNTA(Table_ChiPhiNV_Ca[[#Headers],[Ca]:[Kết thúc nghỉ]]),0)
),0,
IF(NOT(ISBLANK(BA$3)),
IF(ISBLANK(BA$7),0,
IF(BA$4 &lt; BA$5,
IF($AA13-$Z$4&lt;BA$4,0,
IF($AA13&gt;BA$5,0,
SUM(_xlfn._xlws.FILTER(Table_BangLuong_TyLeTangCa[Tỷ lệ],
(Table_BangLuong_TyLeTangCa[Ngày] = BA$3) *
(Table_BangLuong_TyLeTangCa[Giờ min]&lt;=$AA13) *
(Table_BangLuong_TyLeTangCa[Giờ max]&gt;$AA13)
)))),
IF(AND($AA13-$Z$4 &gt;= BA$5,$AA13 &lt; BA$4),0,
SUM(_xlfn._xlws.FILTER(Table_BangLuong_TyLeTangCa[Tỷ lệ],
(Table_BangLuong_TyLeTangCa[Ngày] = BA$3) *
(Table_BangLuong_TyLeTangCa[Giờ min]&lt;=$AA13) *
(Table_BangLuong_TyLeTangCa[Giờ max]&gt;$AA13)
))))
),
IF(ISBLANK(BA$7),
IF(VLOOKUP(BA$6, Table_ChiPhiNV_Ca[], COUNTA(Table_ChiPhiNV_Ca[[#Headers],[Ca]:[Kết thúc]]),0)&gt; VLOOKUP(BA$6, Table_ChiPhiNV_Ca[], COUNTA(Table_ChiPhiNV_Ca[[#Headers],[Ca]:[Bắt đầu]]),0),
IF($AA13-$Z$4&lt;MAX(BA$4,VLOOKUP(BA$6, Table_ChiPhiNV_Ca[], COUNTA(Table_ChiPhiNV_Ca[[#Headers],[Ca]:[Bắt đầu]]),0)),0,
IF($AA13&gt;MIN(BA$5,VLOOKUP(BA$6, Table_ChiPhiNV_Ca[], COUNTA(Table_ChiPhiNV_Ca[[#Headers],[Ca]:[Kết thúc]]),0)),0,
SUM(_xlfn._xlws.FILTER(Table_BangLuong_TyLeTangCa[Tỷ lệ],
(Table_BangLuong_TyLeTangCa[Ngày] = "Thường") *
(Table_BangLuong_TyLeTangCa[Giờ min]&lt;=$AA13) *
(Table_BangLuong_TyLeTangCa[Giờ max]&gt;$AA13)
)))),
IF(BA$4 &gt; BA$5,
IF(
AND(
$AA13-$Z$4&lt;MAX(BA$4,VLOOKUP(BA$6, Table_ChiPhiNV_Ca[], COUNTA(Table_ChiPhiNV_Ca[[#Headers],[Ca]:[Bắt đầu]]),0)),
$AA13&gt;MIN(BA$5,VLOOKUP(BA$6, Table_ChiPhiNV_Ca[], COUNTA(Table_ChiPhiNV_Ca[[#Headers],[Ca]:[Kết thúc]]),0))),0,
SUM(_xlfn._xlws.FILTER(Table_BangLuong_TyLeTangCa[Tỷ lệ],
(Table_BangLuong_TyLeTangCa[Ngày] = "Thường") *
(Table_BangLuong_TyLeTangCa[Giờ min]&lt;=$AA13) *
(Table_BangLuong_TyLeTangCa[Giờ max]&gt;$AA13)
))),
IF(
AND(
$AA13-$Z$4&gt;=MAX(BA$4,VLOOKUP(BA$6, Table_ChiPhiNV_Ca[], COUNTA(Table_ChiPhiNV_Ca[[#Headers],[Ca]:[Bắt đầu]]),0)),
$AA13&lt;MIN(BA$5,VLOOKUP(BA$6, Table_ChiPhiNV_Ca[], COUNTA(Table_ChiPhiNV_Ca[[#Headers],[Ca]:[Kết thúc]]),0))),
SUM(_xlfn._xlws.FILTER(Table_BangLuong_TyLeTangCa[Tỷ lệ],
(Table_BangLuong_TyLeTangCa[Ngày] = "Thường") *
(Table_BangLuong_TyLeTangCa[Giờ min]&lt;=$AA13) *
(Table_BangLuong_TyLeTangCa[Giờ max]&gt;$AA13)
)),0)
)),
IF(BA$4 &lt; BA$5,
IF($AA13-$Z$4&lt;BA$4,0,
IF($AA13&gt;BA$5,0,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BA$5,$AA13 &lt; BA$4),0,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B13" s="18" cm="1">
        <f t="array" ref="BB13" xml:space="preserve">
IFERROR(
IF(BB$1="",0,
IF(AND(
$AA13&gt;=VLOOKUP(BB$6, Table_ChiPhiNV_Ca[], COUNTA(Table_ChiPhiNV_Ca[[#Headers],[Ca]:[Bắt đầu nghỉ]]),0),
$AA13&lt;VLOOKUP(BB$6, Table_ChiPhiNV_Ca[], COUNTA(Table_ChiPhiNV_Ca[[#Headers],[Ca]:[Kết thúc nghỉ]]),0)
),0,
IF(NOT(ISBLANK(BB$3)),
IF(ISBLANK(BB$7),0,
IF(BB$4 &lt; BB$5,
IF($AA13-$Z$4&lt;BB$4,0,
IF($AA13&gt;BB$5,0,
SUM(_xlfn._xlws.FILTER(Table_BangLuong_TyLeTangCa[Tỷ lệ],
(Table_BangLuong_TyLeTangCa[Ngày] = BB$3) *
(Table_BangLuong_TyLeTangCa[Giờ min]&lt;=$AA13) *
(Table_BangLuong_TyLeTangCa[Giờ max]&gt;$AA13)
)))),
IF(AND($AA13-$Z$4 &gt;= BB$5,$AA13 &lt; BB$4),0,
SUM(_xlfn._xlws.FILTER(Table_BangLuong_TyLeTangCa[Tỷ lệ],
(Table_BangLuong_TyLeTangCa[Ngày] = BB$3) *
(Table_BangLuong_TyLeTangCa[Giờ min]&lt;=$AA13) *
(Table_BangLuong_TyLeTangCa[Giờ max]&gt;$AA13)
))))
),
IF(ISBLANK(BB$7),
IF(VLOOKUP(BB$6, Table_ChiPhiNV_Ca[], COUNTA(Table_ChiPhiNV_Ca[[#Headers],[Ca]:[Kết thúc]]),0)&gt; VLOOKUP(BB$6, Table_ChiPhiNV_Ca[], COUNTA(Table_ChiPhiNV_Ca[[#Headers],[Ca]:[Bắt đầu]]),0),
IF($AA13-$Z$4&lt;MAX(BB$4,VLOOKUP(BB$6, Table_ChiPhiNV_Ca[], COUNTA(Table_ChiPhiNV_Ca[[#Headers],[Ca]:[Bắt đầu]]),0)),0,
IF($AA13&gt;MIN(BB$5,VLOOKUP(BB$6, Table_ChiPhiNV_Ca[], COUNTA(Table_ChiPhiNV_Ca[[#Headers],[Ca]:[Kết thúc]]),0)),0,
SUM(_xlfn._xlws.FILTER(Table_BangLuong_TyLeTangCa[Tỷ lệ],
(Table_BangLuong_TyLeTangCa[Ngày] = "Thường") *
(Table_BangLuong_TyLeTangCa[Giờ min]&lt;=$AA13) *
(Table_BangLuong_TyLeTangCa[Giờ max]&gt;$AA13)
)))),
IF(BB$4 &gt; BB$5,
IF(
AND(
$AA13-$Z$4&lt;MAX(BB$4,VLOOKUP(BB$6, Table_ChiPhiNV_Ca[], COUNTA(Table_ChiPhiNV_Ca[[#Headers],[Ca]:[Bắt đầu]]),0)),
$AA13&gt;MIN(BB$5,VLOOKUP(BB$6, Table_ChiPhiNV_Ca[], COUNTA(Table_ChiPhiNV_Ca[[#Headers],[Ca]:[Kết thúc]]),0))),0,
SUM(_xlfn._xlws.FILTER(Table_BangLuong_TyLeTangCa[Tỷ lệ],
(Table_BangLuong_TyLeTangCa[Ngày] = "Thường") *
(Table_BangLuong_TyLeTangCa[Giờ min]&lt;=$AA13) *
(Table_BangLuong_TyLeTangCa[Giờ max]&gt;$AA13)
))),
IF(
AND(
$AA13-$Z$4&gt;=MAX(BB$4,VLOOKUP(BB$6, Table_ChiPhiNV_Ca[], COUNTA(Table_ChiPhiNV_Ca[[#Headers],[Ca]:[Bắt đầu]]),0)),
$AA13&lt;MIN(BB$5,VLOOKUP(BB$6, Table_ChiPhiNV_Ca[], COUNTA(Table_ChiPhiNV_Ca[[#Headers],[Ca]:[Kết thúc]]),0))),
SUM(_xlfn._xlws.FILTER(Table_BangLuong_TyLeTangCa[Tỷ lệ],
(Table_BangLuong_TyLeTangCa[Ngày] = "Thường") *
(Table_BangLuong_TyLeTangCa[Giờ min]&lt;=$AA13) *
(Table_BangLuong_TyLeTangCa[Giờ max]&gt;$AA13)
)),0)
)),
IF(BB$4 &lt; BB$5,
IF($AA13-$Z$4&lt;BB$4,0,
IF($AA13&gt;BB$5,0,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BB$5,$AA13 &lt; BB$4),0,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C13" s="18" cm="1">
        <f t="array" ref="BC13" xml:space="preserve">
IFERROR(
IF(BC$1="",0,
IF(AND(
$AA13&gt;=VLOOKUP(BC$6, Table_ChiPhiNV_Ca[], COUNTA(Table_ChiPhiNV_Ca[[#Headers],[Ca]:[Bắt đầu nghỉ]]),0),
$AA13&lt;VLOOKUP(BC$6, Table_ChiPhiNV_Ca[], COUNTA(Table_ChiPhiNV_Ca[[#Headers],[Ca]:[Kết thúc nghỉ]]),0)
),0,
IF(NOT(ISBLANK(BC$3)),
IF(ISBLANK(BC$7),0,
IF(BC$4 &lt; BC$5,
IF($AA13-$Z$4&lt;BC$4,0,
IF($AA13&gt;BC$5,0,
SUM(_xlfn._xlws.FILTER(Table_BangLuong_TyLeTangCa[Tỷ lệ],
(Table_BangLuong_TyLeTangCa[Ngày] = BC$3) *
(Table_BangLuong_TyLeTangCa[Giờ min]&lt;=$AA13) *
(Table_BangLuong_TyLeTangCa[Giờ max]&gt;$AA13)
)))),
IF(AND($AA13-$Z$4 &gt;= BC$5,$AA13 &lt; BC$4),0,
SUM(_xlfn._xlws.FILTER(Table_BangLuong_TyLeTangCa[Tỷ lệ],
(Table_BangLuong_TyLeTangCa[Ngày] = BC$3) *
(Table_BangLuong_TyLeTangCa[Giờ min]&lt;=$AA13) *
(Table_BangLuong_TyLeTangCa[Giờ max]&gt;$AA13)
))))
),
IF(ISBLANK(BC$7),
IF(VLOOKUP(BC$6, Table_ChiPhiNV_Ca[], COUNTA(Table_ChiPhiNV_Ca[[#Headers],[Ca]:[Kết thúc]]),0)&gt; VLOOKUP(BC$6, Table_ChiPhiNV_Ca[], COUNTA(Table_ChiPhiNV_Ca[[#Headers],[Ca]:[Bắt đầu]]),0),
IF($AA13-$Z$4&lt;MAX(BC$4,VLOOKUP(BC$6, Table_ChiPhiNV_Ca[], COUNTA(Table_ChiPhiNV_Ca[[#Headers],[Ca]:[Bắt đầu]]),0)),0,
IF($AA13&gt;MIN(BC$5,VLOOKUP(BC$6, Table_ChiPhiNV_Ca[], COUNTA(Table_ChiPhiNV_Ca[[#Headers],[Ca]:[Kết thúc]]),0)),0,
SUM(_xlfn._xlws.FILTER(Table_BangLuong_TyLeTangCa[Tỷ lệ],
(Table_BangLuong_TyLeTangCa[Ngày] = "Thường") *
(Table_BangLuong_TyLeTangCa[Giờ min]&lt;=$AA13) *
(Table_BangLuong_TyLeTangCa[Giờ max]&gt;$AA13)
)))),
IF(BC$4 &gt; BC$5,
IF(
AND(
$AA13-$Z$4&lt;MAX(BC$4,VLOOKUP(BC$6, Table_ChiPhiNV_Ca[], COUNTA(Table_ChiPhiNV_Ca[[#Headers],[Ca]:[Bắt đầu]]),0)),
$AA13&gt;MIN(BC$5,VLOOKUP(BC$6, Table_ChiPhiNV_Ca[], COUNTA(Table_ChiPhiNV_Ca[[#Headers],[Ca]:[Kết thúc]]),0))),0,
SUM(_xlfn._xlws.FILTER(Table_BangLuong_TyLeTangCa[Tỷ lệ],
(Table_BangLuong_TyLeTangCa[Ngày] = "Thường") *
(Table_BangLuong_TyLeTangCa[Giờ min]&lt;=$AA13) *
(Table_BangLuong_TyLeTangCa[Giờ max]&gt;$AA13)
))),
IF(
AND(
$AA13-$Z$4&gt;=MAX(BC$4,VLOOKUP(BC$6, Table_ChiPhiNV_Ca[], COUNTA(Table_ChiPhiNV_Ca[[#Headers],[Ca]:[Bắt đầu]]),0)),
$AA13&lt;MIN(BC$5,VLOOKUP(BC$6, Table_ChiPhiNV_Ca[], COUNTA(Table_ChiPhiNV_Ca[[#Headers],[Ca]:[Kết thúc]]),0))),
SUM(_xlfn._xlws.FILTER(Table_BangLuong_TyLeTangCa[Tỷ lệ],
(Table_BangLuong_TyLeTangCa[Ngày] = "Thường") *
(Table_BangLuong_TyLeTangCa[Giờ min]&lt;=$AA13) *
(Table_BangLuong_TyLeTangCa[Giờ max]&gt;$AA13)
)),0)
)),
IF(BC$4 &lt; BC$5,
IF($AA13-$Z$4&lt;BC$4,0,
IF($AA13&gt;BC$5,0,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BC$5,$AA13 &lt; BC$4),0,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D13" s="18" cm="1">
        <f t="array" ref="BD13" xml:space="preserve">
IFERROR(
IF(BD$1="",0,
IF(AND(
$AA13&gt;=VLOOKUP(BD$6, Table_ChiPhiNV_Ca[], COUNTA(Table_ChiPhiNV_Ca[[#Headers],[Ca]:[Bắt đầu nghỉ]]),0),
$AA13&lt;VLOOKUP(BD$6, Table_ChiPhiNV_Ca[], COUNTA(Table_ChiPhiNV_Ca[[#Headers],[Ca]:[Kết thúc nghỉ]]),0)
),0,
IF(NOT(ISBLANK(BD$3)),
IF(ISBLANK(BD$7),0,
IF(BD$4 &lt; BD$5,
IF($AA13-$Z$4&lt;BD$4,0,
IF($AA13&gt;BD$5,0,
SUM(_xlfn._xlws.FILTER(Table_BangLuong_TyLeTangCa[Tỷ lệ],
(Table_BangLuong_TyLeTangCa[Ngày] = BD$3) *
(Table_BangLuong_TyLeTangCa[Giờ min]&lt;=$AA13) *
(Table_BangLuong_TyLeTangCa[Giờ max]&gt;$AA13)
)))),
IF(AND($AA13-$Z$4 &gt;= BD$5,$AA13 &lt; BD$4),0,
SUM(_xlfn._xlws.FILTER(Table_BangLuong_TyLeTangCa[Tỷ lệ],
(Table_BangLuong_TyLeTangCa[Ngày] = BD$3) *
(Table_BangLuong_TyLeTangCa[Giờ min]&lt;=$AA13) *
(Table_BangLuong_TyLeTangCa[Giờ max]&gt;$AA13)
))))
),
IF(ISBLANK(BD$7),
IF(VLOOKUP(BD$6, Table_ChiPhiNV_Ca[], COUNTA(Table_ChiPhiNV_Ca[[#Headers],[Ca]:[Kết thúc]]),0)&gt; VLOOKUP(BD$6, Table_ChiPhiNV_Ca[], COUNTA(Table_ChiPhiNV_Ca[[#Headers],[Ca]:[Bắt đầu]]),0),
IF($AA13-$Z$4&lt;MAX(BD$4,VLOOKUP(BD$6, Table_ChiPhiNV_Ca[], COUNTA(Table_ChiPhiNV_Ca[[#Headers],[Ca]:[Bắt đầu]]),0)),0,
IF($AA13&gt;MIN(BD$5,VLOOKUP(BD$6, Table_ChiPhiNV_Ca[], COUNTA(Table_ChiPhiNV_Ca[[#Headers],[Ca]:[Kết thúc]]),0)),0,
SUM(_xlfn._xlws.FILTER(Table_BangLuong_TyLeTangCa[Tỷ lệ],
(Table_BangLuong_TyLeTangCa[Ngày] = "Thường") *
(Table_BangLuong_TyLeTangCa[Giờ min]&lt;=$AA13) *
(Table_BangLuong_TyLeTangCa[Giờ max]&gt;$AA13)
)))),
IF(BD$4 &gt; BD$5,
IF(
AND(
$AA13-$Z$4&lt;MAX(BD$4,VLOOKUP(BD$6, Table_ChiPhiNV_Ca[], COUNTA(Table_ChiPhiNV_Ca[[#Headers],[Ca]:[Bắt đầu]]),0)),
$AA13&gt;MIN(BD$5,VLOOKUP(BD$6, Table_ChiPhiNV_Ca[], COUNTA(Table_ChiPhiNV_Ca[[#Headers],[Ca]:[Kết thúc]]),0))),0,
SUM(_xlfn._xlws.FILTER(Table_BangLuong_TyLeTangCa[Tỷ lệ],
(Table_BangLuong_TyLeTangCa[Ngày] = "Thường") *
(Table_BangLuong_TyLeTangCa[Giờ min]&lt;=$AA13) *
(Table_BangLuong_TyLeTangCa[Giờ max]&gt;$AA13)
))),
IF(
AND(
$AA13-$Z$4&gt;=MAX(BD$4,VLOOKUP(BD$6, Table_ChiPhiNV_Ca[], COUNTA(Table_ChiPhiNV_Ca[[#Headers],[Ca]:[Bắt đầu]]),0)),
$AA13&lt;MIN(BD$5,VLOOKUP(BD$6, Table_ChiPhiNV_Ca[], COUNTA(Table_ChiPhiNV_Ca[[#Headers],[Ca]:[Kết thúc]]),0))),
SUM(_xlfn._xlws.FILTER(Table_BangLuong_TyLeTangCa[Tỷ lệ],
(Table_BangLuong_TyLeTangCa[Ngày] = "Thường") *
(Table_BangLuong_TyLeTangCa[Giờ min]&lt;=$AA13) *
(Table_BangLuong_TyLeTangCa[Giờ max]&gt;$AA13)
)),0)
)),
IF(BD$4 &lt; BD$5,
IF($AA13-$Z$4&lt;BD$4,0,
IF($AA13&gt;BD$5,0,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BD$5,$AA13 &lt; BD$4),0,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E13" s="18" cm="1">
        <f t="array" ref="BE13" xml:space="preserve">
IFERROR(
IF(BE$1="",0,
IF(AND(
$AA13&gt;=VLOOKUP(BE$6, Table_ChiPhiNV_Ca[], COUNTA(Table_ChiPhiNV_Ca[[#Headers],[Ca]:[Bắt đầu nghỉ]]),0),
$AA13&lt;VLOOKUP(BE$6, Table_ChiPhiNV_Ca[], COUNTA(Table_ChiPhiNV_Ca[[#Headers],[Ca]:[Kết thúc nghỉ]]),0)
),0,
IF(NOT(ISBLANK(BE$3)),
IF(ISBLANK(BE$7),0,
IF(BE$4 &lt; BE$5,
IF($AA13-$Z$4&lt;BE$4,0,
IF($AA13&gt;BE$5,0,
SUM(_xlfn._xlws.FILTER(Table_BangLuong_TyLeTangCa[Tỷ lệ],
(Table_BangLuong_TyLeTangCa[Ngày] = BE$3) *
(Table_BangLuong_TyLeTangCa[Giờ min]&lt;=$AA13) *
(Table_BangLuong_TyLeTangCa[Giờ max]&gt;$AA13)
)))),
IF(AND($AA13-$Z$4 &gt;= BE$5,$AA13 &lt; BE$4),0,
SUM(_xlfn._xlws.FILTER(Table_BangLuong_TyLeTangCa[Tỷ lệ],
(Table_BangLuong_TyLeTangCa[Ngày] = BE$3) *
(Table_BangLuong_TyLeTangCa[Giờ min]&lt;=$AA13) *
(Table_BangLuong_TyLeTangCa[Giờ max]&gt;$AA13)
))))
),
IF(ISBLANK(BE$7),
IF(VLOOKUP(BE$6, Table_ChiPhiNV_Ca[], COUNTA(Table_ChiPhiNV_Ca[[#Headers],[Ca]:[Kết thúc]]),0)&gt; VLOOKUP(BE$6, Table_ChiPhiNV_Ca[], COUNTA(Table_ChiPhiNV_Ca[[#Headers],[Ca]:[Bắt đầu]]),0),
IF($AA13-$Z$4&lt;MAX(BE$4,VLOOKUP(BE$6, Table_ChiPhiNV_Ca[], COUNTA(Table_ChiPhiNV_Ca[[#Headers],[Ca]:[Bắt đầu]]),0)),0,
IF($AA13&gt;MIN(BE$5,VLOOKUP(BE$6, Table_ChiPhiNV_Ca[], COUNTA(Table_ChiPhiNV_Ca[[#Headers],[Ca]:[Kết thúc]]),0)),0,
SUM(_xlfn._xlws.FILTER(Table_BangLuong_TyLeTangCa[Tỷ lệ],
(Table_BangLuong_TyLeTangCa[Ngày] = "Thường") *
(Table_BangLuong_TyLeTangCa[Giờ min]&lt;=$AA13) *
(Table_BangLuong_TyLeTangCa[Giờ max]&gt;$AA13)
)))),
IF(BE$4 &gt; BE$5,
IF(
AND(
$AA13-$Z$4&lt;MAX(BE$4,VLOOKUP(BE$6, Table_ChiPhiNV_Ca[], COUNTA(Table_ChiPhiNV_Ca[[#Headers],[Ca]:[Bắt đầu]]),0)),
$AA13&gt;MIN(BE$5,VLOOKUP(BE$6, Table_ChiPhiNV_Ca[], COUNTA(Table_ChiPhiNV_Ca[[#Headers],[Ca]:[Kết thúc]]),0))),0,
SUM(_xlfn._xlws.FILTER(Table_BangLuong_TyLeTangCa[Tỷ lệ],
(Table_BangLuong_TyLeTangCa[Ngày] = "Thường") *
(Table_BangLuong_TyLeTangCa[Giờ min]&lt;=$AA13) *
(Table_BangLuong_TyLeTangCa[Giờ max]&gt;$AA13)
))),
IF(
AND(
$AA13-$Z$4&gt;=MAX(BE$4,VLOOKUP(BE$6, Table_ChiPhiNV_Ca[], COUNTA(Table_ChiPhiNV_Ca[[#Headers],[Ca]:[Bắt đầu]]),0)),
$AA13&lt;MIN(BE$5,VLOOKUP(BE$6, Table_ChiPhiNV_Ca[], COUNTA(Table_ChiPhiNV_Ca[[#Headers],[Ca]:[Kết thúc]]),0))),
SUM(_xlfn._xlws.FILTER(Table_BangLuong_TyLeTangCa[Tỷ lệ],
(Table_BangLuong_TyLeTangCa[Ngày] = "Thường") *
(Table_BangLuong_TyLeTangCa[Giờ min]&lt;=$AA13) *
(Table_BangLuong_TyLeTangCa[Giờ max]&gt;$AA13)
)),0)
)),
IF(BE$4 &lt; BE$5,
IF($AA13-$Z$4&lt;BE$4,0,
IF($AA13&gt;BE$5,0,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BE$5,$AA13 &lt; BE$4),0,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F13" s="18" cm="1">
        <f t="array" ref="BF13" xml:space="preserve">
IFERROR(
IF(BF$1="",0,
IF(AND(
$AA13&gt;=VLOOKUP(BF$6, Table_ChiPhiNV_Ca[], COUNTA(Table_ChiPhiNV_Ca[[#Headers],[Ca]:[Bắt đầu nghỉ]]),0),
$AA13&lt;VLOOKUP(BF$6, Table_ChiPhiNV_Ca[], COUNTA(Table_ChiPhiNV_Ca[[#Headers],[Ca]:[Kết thúc nghỉ]]),0)
),0,
IF(NOT(ISBLANK(BF$3)),
IF(ISBLANK(BF$7),0,
IF(BF$4 &lt; BF$5,
IF($AA13-$Z$4&lt;BF$4,0,
IF($AA13&gt;BF$5,0,
SUM(_xlfn._xlws.FILTER(Table_BangLuong_TyLeTangCa[Tỷ lệ],
(Table_BangLuong_TyLeTangCa[Ngày] = BF$3) *
(Table_BangLuong_TyLeTangCa[Giờ min]&lt;=$AA13) *
(Table_BangLuong_TyLeTangCa[Giờ max]&gt;$AA13)
)))),
IF(AND($AA13-$Z$4 &gt;= BF$5,$AA13 &lt; BF$4),0,
SUM(_xlfn._xlws.FILTER(Table_BangLuong_TyLeTangCa[Tỷ lệ],
(Table_BangLuong_TyLeTangCa[Ngày] = BF$3) *
(Table_BangLuong_TyLeTangCa[Giờ min]&lt;=$AA13) *
(Table_BangLuong_TyLeTangCa[Giờ max]&gt;$AA13)
))))
),
IF(ISBLANK(BF$7),
IF(VLOOKUP(BF$6, Table_ChiPhiNV_Ca[], COUNTA(Table_ChiPhiNV_Ca[[#Headers],[Ca]:[Kết thúc]]),0)&gt; VLOOKUP(BF$6, Table_ChiPhiNV_Ca[], COUNTA(Table_ChiPhiNV_Ca[[#Headers],[Ca]:[Bắt đầu]]),0),
IF($AA13-$Z$4&lt;MAX(BF$4,VLOOKUP(BF$6, Table_ChiPhiNV_Ca[], COUNTA(Table_ChiPhiNV_Ca[[#Headers],[Ca]:[Bắt đầu]]),0)),0,
IF($AA13&gt;MIN(BF$5,VLOOKUP(BF$6, Table_ChiPhiNV_Ca[], COUNTA(Table_ChiPhiNV_Ca[[#Headers],[Ca]:[Kết thúc]]),0)),0,
SUM(_xlfn._xlws.FILTER(Table_BangLuong_TyLeTangCa[Tỷ lệ],
(Table_BangLuong_TyLeTangCa[Ngày] = "Thường") *
(Table_BangLuong_TyLeTangCa[Giờ min]&lt;=$AA13) *
(Table_BangLuong_TyLeTangCa[Giờ max]&gt;$AA13)
)))),
IF(BF$4 &gt; BF$5,
IF(
AND(
$AA13-$Z$4&lt;MAX(BF$4,VLOOKUP(BF$6, Table_ChiPhiNV_Ca[], COUNTA(Table_ChiPhiNV_Ca[[#Headers],[Ca]:[Bắt đầu]]),0)),
$AA13&gt;MIN(BF$5,VLOOKUP(BF$6, Table_ChiPhiNV_Ca[], COUNTA(Table_ChiPhiNV_Ca[[#Headers],[Ca]:[Kết thúc]]),0))),0,
SUM(_xlfn._xlws.FILTER(Table_BangLuong_TyLeTangCa[Tỷ lệ],
(Table_BangLuong_TyLeTangCa[Ngày] = "Thường") *
(Table_BangLuong_TyLeTangCa[Giờ min]&lt;=$AA13) *
(Table_BangLuong_TyLeTangCa[Giờ max]&gt;$AA13)
))),
IF(
AND(
$AA13-$Z$4&gt;=MAX(BF$4,VLOOKUP(BF$6, Table_ChiPhiNV_Ca[], COUNTA(Table_ChiPhiNV_Ca[[#Headers],[Ca]:[Bắt đầu]]),0)),
$AA13&lt;MIN(BF$5,VLOOKUP(BF$6, Table_ChiPhiNV_Ca[], COUNTA(Table_ChiPhiNV_Ca[[#Headers],[Ca]:[Kết thúc]]),0))),
SUM(_xlfn._xlws.FILTER(Table_BangLuong_TyLeTangCa[Tỷ lệ],
(Table_BangLuong_TyLeTangCa[Ngày] = "Thường") *
(Table_BangLuong_TyLeTangCa[Giờ min]&lt;=$AA13) *
(Table_BangLuong_TyLeTangCa[Giờ max]&gt;$AA13)
)),0)
)),
IF(BF$4 &lt; BF$5,
IF($AA13-$Z$4&lt;BF$4,0,
IF($AA13&gt;BF$5,0,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BF$5,$AA13 &lt; BF$4),0,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row>
    <row r="14" spans="2:82" ht="18" customHeight="1" outlineLevel="1" x14ac:dyDescent="0.3">
      <c r="V14" s="23" t="s">
        <v>17</v>
      </c>
      <c r="W14" s="23" t="s">
        <v>73</v>
      </c>
      <c r="X14" s="23" t="s">
        <v>67</v>
      </c>
      <c r="AA14" s="50">
        <v>0.104166666666667</v>
      </c>
      <c r="AB14" s="18" cm="1">
        <f t="array" ref="AB14" xml:space="preserve">
IFERROR(
IF(AB$1="",0,
IF(AND(
$AA14&gt;=VLOOKUP(AB$6, Table_ChiPhiNV_Ca[], COUNTA(Table_ChiPhiNV_Ca[[#Headers],[Ca]:[Bắt đầu nghỉ]]),0),
$AA14&lt;VLOOKUP(AB$6, Table_ChiPhiNV_Ca[], COUNTA(Table_ChiPhiNV_Ca[[#Headers],[Ca]:[Kết thúc nghỉ]]),0)
),0,
IF(NOT(ISBLANK(AB$3)),
IF(ISBLANK(AB$7),0,
IF(AB$4 &lt; AB$5,
IF($AA14-$Z$4&lt;AB$4,0,
IF($AA14&gt;AB$5,0,
SUM(_xlfn._xlws.FILTER(Table_BangLuong_TyLeTangCa[Tỷ lệ],
(Table_BangLuong_TyLeTangCa[Ngày] = AB$3) *
(Table_BangLuong_TyLeTangCa[Giờ min]&lt;=$AA14) *
(Table_BangLuong_TyLeTangCa[Giờ max]&gt;$AA14)
)))),
IF(AND($AA14-$Z$4 &gt;= AB$5,$AA14 &lt; AB$4),0,
SUM(_xlfn._xlws.FILTER(Table_BangLuong_TyLeTangCa[Tỷ lệ],
(Table_BangLuong_TyLeTangCa[Ngày] = AB$3) *
(Table_BangLuong_TyLeTangCa[Giờ min]&lt;=$AA14) *
(Table_BangLuong_TyLeTangCa[Giờ max]&gt;$AA14)
))))
),
IF(ISBLANK(AB$7),
IF(VLOOKUP(AB$6, Table_ChiPhiNV_Ca[], COUNTA(Table_ChiPhiNV_Ca[[#Headers],[Ca]:[Kết thúc]]),0)&gt; VLOOKUP(AB$6, Table_ChiPhiNV_Ca[], COUNTA(Table_ChiPhiNV_Ca[[#Headers],[Ca]:[Bắt đầu]]),0),
IF($AA14-$Z$4&lt;MAX(AB$4,VLOOKUP(AB$6, Table_ChiPhiNV_Ca[], COUNTA(Table_ChiPhiNV_Ca[[#Headers],[Ca]:[Bắt đầu]]),0)),0,
IF($AA14&gt;MIN(AB$5,VLOOKUP(AB$6, Table_ChiPhiNV_Ca[], COUNTA(Table_ChiPhiNV_Ca[[#Headers],[Ca]:[Kết thúc]]),0)),0,
SUM(_xlfn._xlws.FILTER(Table_BangLuong_TyLeTangCa[Tỷ lệ],
(Table_BangLuong_TyLeTangCa[Ngày] = "Thường") *
(Table_BangLuong_TyLeTangCa[Giờ min]&lt;=$AA14) *
(Table_BangLuong_TyLeTangCa[Giờ max]&gt;$AA14)
)))),
IF(AB$4 &gt; AB$5,
IF(
AND(
$AA14-$Z$4&lt;MAX(AB$4,VLOOKUP(AB$6, Table_ChiPhiNV_Ca[], COUNTA(Table_ChiPhiNV_Ca[[#Headers],[Ca]:[Bắt đầu]]),0)),
$AA14&gt;MIN(AB$5,VLOOKUP(AB$6, Table_ChiPhiNV_Ca[], COUNTA(Table_ChiPhiNV_Ca[[#Headers],[Ca]:[Kết thúc]]),0))),0,
SUM(_xlfn._xlws.FILTER(Table_BangLuong_TyLeTangCa[Tỷ lệ],
(Table_BangLuong_TyLeTangCa[Ngày] = "Thường") *
(Table_BangLuong_TyLeTangCa[Giờ min]&lt;=$AA14) *
(Table_BangLuong_TyLeTangCa[Giờ max]&gt;$AA14)
))),
IF(
AND(
$AA14-$Z$4&gt;=MAX(AB$4,VLOOKUP(AB$6, Table_ChiPhiNV_Ca[], COUNTA(Table_ChiPhiNV_Ca[[#Headers],[Ca]:[Bắt đầu]]),0)),
$AA14&lt;MIN(AB$5,VLOOKUP(AB$6, Table_ChiPhiNV_Ca[], COUNTA(Table_ChiPhiNV_Ca[[#Headers],[Ca]:[Kết thúc]]),0))),
SUM(_xlfn._xlws.FILTER(Table_BangLuong_TyLeTangCa[Tỷ lệ],
(Table_BangLuong_TyLeTangCa[Ngày] = "Thường") *
(Table_BangLuong_TyLeTangCa[Giờ min]&lt;=$AA14) *
(Table_BangLuong_TyLeTangCa[Giờ max]&gt;$AA14)
)),0)
)),
IF(AB$4 &lt; AB$5,
IF($AA14-$Z$4&lt;AB$4,0,
IF($AA14&gt;AB$5,0,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AB$5,$AA14 &lt; AB$4),0,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C14" s="18" cm="1">
        <f t="array" ref="AC14" xml:space="preserve">
IFERROR(
IF(AC$1="",0,
IF(AND(
$AA14&gt;=VLOOKUP(AC$6, Table_ChiPhiNV_Ca[], COUNTA(Table_ChiPhiNV_Ca[[#Headers],[Ca]:[Bắt đầu nghỉ]]),0),
$AA14&lt;VLOOKUP(AC$6, Table_ChiPhiNV_Ca[], COUNTA(Table_ChiPhiNV_Ca[[#Headers],[Ca]:[Kết thúc nghỉ]]),0)
),0,
IF(NOT(ISBLANK(AC$3)),
IF(ISBLANK(AC$7),0,
IF(AC$4 &lt; AC$5,
IF($AA14-$Z$4&lt;AC$4,0,
IF($AA14&gt;AC$5,0,
SUM(_xlfn._xlws.FILTER(Table_BangLuong_TyLeTangCa[Tỷ lệ],
(Table_BangLuong_TyLeTangCa[Ngày] = AC$3) *
(Table_BangLuong_TyLeTangCa[Giờ min]&lt;=$AA14) *
(Table_BangLuong_TyLeTangCa[Giờ max]&gt;$AA14)
)))),
IF(AND($AA14-$Z$4 &gt;= AC$5,$AA14 &lt; AC$4),0,
SUM(_xlfn._xlws.FILTER(Table_BangLuong_TyLeTangCa[Tỷ lệ],
(Table_BangLuong_TyLeTangCa[Ngày] = AC$3) *
(Table_BangLuong_TyLeTangCa[Giờ min]&lt;=$AA14) *
(Table_BangLuong_TyLeTangCa[Giờ max]&gt;$AA14)
))))
),
IF(ISBLANK(AC$7),
IF(VLOOKUP(AC$6, Table_ChiPhiNV_Ca[], COUNTA(Table_ChiPhiNV_Ca[[#Headers],[Ca]:[Kết thúc]]),0)&gt; VLOOKUP(AC$6, Table_ChiPhiNV_Ca[], COUNTA(Table_ChiPhiNV_Ca[[#Headers],[Ca]:[Bắt đầu]]),0),
IF($AA14-$Z$4&lt;MAX(AC$4,VLOOKUP(AC$6, Table_ChiPhiNV_Ca[], COUNTA(Table_ChiPhiNV_Ca[[#Headers],[Ca]:[Bắt đầu]]),0)),0,
IF($AA14&gt;MIN(AC$5,VLOOKUP(AC$6, Table_ChiPhiNV_Ca[], COUNTA(Table_ChiPhiNV_Ca[[#Headers],[Ca]:[Kết thúc]]),0)),0,
SUM(_xlfn._xlws.FILTER(Table_BangLuong_TyLeTangCa[Tỷ lệ],
(Table_BangLuong_TyLeTangCa[Ngày] = "Thường") *
(Table_BangLuong_TyLeTangCa[Giờ min]&lt;=$AA14) *
(Table_BangLuong_TyLeTangCa[Giờ max]&gt;$AA14)
)))),
IF(AC$4 &gt; AC$5,
IF(
AND(
$AA14-$Z$4&lt;MAX(AC$4,VLOOKUP(AC$6, Table_ChiPhiNV_Ca[], COUNTA(Table_ChiPhiNV_Ca[[#Headers],[Ca]:[Bắt đầu]]),0)),
$AA14&gt;MIN(AC$5,VLOOKUP(AC$6, Table_ChiPhiNV_Ca[], COUNTA(Table_ChiPhiNV_Ca[[#Headers],[Ca]:[Kết thúc]]),0))),0,
SUM(_xlfn._xlws.FILTER(Table_BangLuong_TyLeTangCa[Tỷ lệ],
(Table_BangLuong_TyLeTangCa[Ngày] = "Thường") *
(Table_BangLuong_TyLeTangCa[Giờ min]&lt;=$AA14) *
(Table_BangLuong_TyLeTangCa[Giờ max]&gt;$AA14)
))),
IF(
AND(
$AA14-$Z$4&gt;=MAX(AC$4,VLOOKUP(AC$6, Table_ChiPhiNV_Ca[], COUNTA(Table_ChiPhiNV_Ca[[#Headers],[Ca]:[Bắt đầu]]),0)),
$AA14&lt;MIN(AC$5,VLOOKUP(AC$6, Table_ChiPhiNV_Ca[], COUNTA(Table_ChiPhiNV_Ca[[#Headers],[Ca]:[Kết thúc]]),0))),
SUM(_xlfn._xlws.FILTER(Table_BangLuong_TyLeTangCa[Tỷ lệ],
(Table_BangLuong_TyLeTangCa[Ngày] = "Thường") *
(Table_BangLuong_TyLeTangCa[Giờ min]&lt;=$AA14) *
(Table_BangLuong_TyLeTangCa[Giờ max]&gt;$AA14)
)),0)
)),
IF(AC$4 &lt; AC$5,
IF($AA14-$Z$4&lt;AC$4,0,
IF($AA14&gt;AC$5,0,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AC$5,$AA14 &lt; AC$4),0,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D14" s="18" cm="1">
        <f t="array" ref="AD14" xml:space="preserve">
IFERROR(
IF(AD$1="",0,
IF(AND(
$AA14&gt;=VLOOKUP(AD$6, Table_ChiPhiNV_Ca[], COUNTA(Table_ChiPhiNV_Ca[[#Headers],[Ca]:[Bắt đầu nghỉ]]),0),
$AA14&lt;VLOOKUP(AD$6, Table_ChiPhiNV_Ca[], COUNTA(Table_ChiPhiNV_Ca[[#Headers],[Ca]:[Kết thúc nghỉ]]),0)
),0,
IF(NOT(ISBLANK(AD$3)),
IF(ISBLANK(AD$7),0,
IF(AD$4 &lt; AD$5,
IF($AA14-$Z$4&lt;AD$4,0,
IF($AA14&gt;AD$5,0,
SUM(_xlfn._xlws.FILTER(Table_BangLuong_TyLeTangCa[Tỷ lệ],
(Table_BangLuong_TyLeTangCa[Ngày] = AD$3) *
(Table_BangLuong_TyLeTangCa[Giờ min]&lt;=$AA14) *
(Table_BangLuong_TyLeTangCa[Giờ max]&gt;$AA14)
)))),
IF(AND($AA14-$Z$4 &gt;= AD$5,$AA14 &lt; AD$4),0,
SUM(_xlfn._xlws.FILTER(Table_BangLuong_TyLeTangCa[Tỷ lệ],
(Table_BangLuong_TyLeTangCa[Ngày] = AD$3) *
(Table_BangLuong_TyLeTangCa[Giờ min]&lt;=$AA14) *
(Table_BangLuong_TyLeTangCa[Giờ max]&gt;$AA14)
))))
),
IF(ISBLANK(AD$7),
IF(VLOOKUP(AD$6, Table_ChiPhiNV_Ca[], COUNTA(Table_ChiPhiNV_Ca[[#Headers],[Ca]:[Kết thúc]]),0)&gt; VLOOKUP(AD$6, Table_ChiPhiNV_Ca[], COUNTA(Table_ChiPhiNV_Ca[[#Headers],[Ca]:[Bắt đầu]]),0),
IF($AA14-$Z$4&lt;MAX(AD$4,VLOOKUP(AD$6, Table_ChiPhiNV_Ca[], COUNTA(Table_ChiPhiNV_Ca[[#Headers],[Ca]:[Bắt đầu]]),0)),0,
IF($AA14&gt;MIN(AD$5,VLOOKUP(AD$6, Table_ChiPhiNV_Ca[], COUNTA(Table_ChiPhiNV_Ca[[#Headers],[Ca]:[Kết thúc]]),0)),0,
SUM(_xlfn._xlws.FILTER(Table_BangLuong_TyLeTangCa[Tỷ lệ],
(Table_BangLuong_TyLeTangCa[Ngày] = "Thường") *
(Table_BangLuong_TyLeTangCa[Giờ min]&lt;=$AA14) *
(Table_BangLuong_TyLeTangCa[Giờ max]&gt;$AA14)
)))),
IF(AD$4 &gt; AD$5,
IF(
AND(
$AA14-$Z$4&lt;MAX(AD$4,VLOOKUP(AD$6, Table_ChiPhiNV_Ca[], COUNTA(Table_ChiPhiNV_Ca[[#Headers],[Ca]:[Bắt đầu]]),0)),
$AA14&gt;MIN(AD$5,VLOOKUP(AD$6, Table_ChiPhiNV_Ca[], COUNTA(Table_ChiPhiNV_Ca[[#Headers],[Ca]:[Kết thúc]]),0))),0,
SUM(_xlfn._xlws.FILTER(Table_BangLuong_TyLeTangCa[Tỷ lệ],
(Table_BangLuong_TyLeTangCa[Ngày] = "Thường") *
(Table_BangLuong_TyLeTangCa[Giờ min]&lt;=$AA14) *
(Table_BangLuong_TyLeTangCa[Giờ max]&gt;$AA14)
))),
IF(
AND(
$AA14-$Z$4&gt;=MAX(AD$4,VLOOKUP(AD$6, Table_ChiPhiNV_Ca[], COUNTA(Table_ChiPhiNV_Ca[[#Headers],[Ca]:[Bắt đầu]]),0)),
$AA14&lt;MIN(AD$5,VLOOKUP(AD$6, Table_ChiPhiNV_Ca[], COUNTA(Table_ChiPhiNV_Ca[[#Headers],[Ca]:[Kết thúc]]),0))),
SUM(_xlfn._xlws.FILTER(Table_BangLuong_TyLeTangCa[Tỷ lệ],
(Table_BangLuong_TyLeTangCa[Ngày] = "Thường") *
(Table_BangLuong_TyLeTangCa[Giờ min]&lt;=$AA14) *
(Table_BangLuong_TyLeTangCa[Giờ max]&gt;$AA14)
)),0)
)),
IF(AD$4 &lt; AD$5,
IF($AA14-$Z$4&lt;AD$4,0,
IF($AA14&gt;AD$5,0,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AD$5,$AA14 &lt; AD$4),0,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E14" s="18" cm="1">
        <f t="array" ref="AE14" xml:space="preserve">
IFERROR(
IF(AE$1="",0,
IF(AND(
$AA14&gt;=VLOOKUP(AE$6, Table_ChiPhiNV_Ca[], COUNTA(Table_ChiPhiNV_Ca[[#Headers],[Ca]:[Bắt đầu nghỉ]]),0),
$AA14&lt;VLOOKUP(AE$6, Table_ChiPhiNV_Ca[], COUNTA(Table_ChiPhiNV_Ca[[#Headers],[Ca]:[Kết thúc nghỉ]]),0)
),0,
IF(NOT(ISBLANK(AE$3)),
IF(ISBLANK(AE$7),0,
IF(AE$4 &lt; AE$5,
IF($AA14-$Z$4&lt;AE$4,0,
IF($AA14&gt;AE$5,0,
SUM(_xlfn._xlws.FILTER(Table_BangLuong_TyLeTangCa[Tỷ lệ],
(Table_BangLuong_TyLeTangCa[Ngày] = AE$3) *
(Table_BangLuong_TyLeTangCa[Giờ min]&lt;=$AA14) *
(Table_BangLuong_TyLeTangCa[Giờ max]&gt;$AA14)
)))),
IF(AND($AA14-$Z$4 &gt;= AE$5,$AA14 &lt; AE$4),0,
SUM(_xlfn._xlws.FILTER(Table_BangLuong_TyLeTangCa[Tỷ lệ],
(Table_BangLuong_TyLeTangCa[Ngày] = AE$3) *
(Table_BangLuong_TyLeTangCa[Giờ min]&lt;=$AA14) *
(Table_BangLuong_TyLeTangCa[Giờ max]&gt;$AA14)
))))
),
IF(ISBLANK(AE$7),
IF(VLOOKUP(AE$6, Table_ChiPhiNV_Ca[], COUNTA(Table_ChiPhiNV_Ca[[#Headers],[Ca]:[Kết thúc]]),0)&gt; VLOOKUP(AE$6, Table_ChiPhiNV_Ca[], COUNTA(Table_ChiPhiNV_Ca[[#Headers],[Ca]:[Bắt đầu]]),0),
IF($AA14-$Z$4&lt;MAX(AE$4,VLOOKUP(AE$6, Table_ChiPhiNV_Ca[], COUNTA(Table_ChiPhiNV_Ca[[#Headers],[Ca]:[Bắt đầu]]),0)),0,
IF($AA14&gt;MIN(AE$5,VLOOKUP(AE$6, Table_ChiPhiNV_Ca[], COUNTA(Table_ChiPhiNV_Ca[[#Headers],[Ca]:[Kết thúc]]),0)),0,
SUM(_xlfn._xlws.FILTER(Table_BangLuong_TyLeTangCa[Tỷ lệ],
(Table_BangLuong_TyLeTangCa[Ngày] = "Thường") *
(Table_BangLuong_TyLeTangCa[Giờ min]&lt;=$AA14) *
(Table_BangLuong_TyLeTangCa[Giờ max]&gt;$AA14)
)))),
IF(AE$4 &gt; AE$5,
IF(
AND(
$AA14-$Z$4&lt;MAX(AE$4,VLOOKUP(AE$6, Table_ChiPhiNV_Ca[], COUNTA(Table_ChiPhiNV_Ca[[#Headers],[Ca]:[Bắt đầu]]),0)),
$AA14&gt;MIN(AE$5,VLOOKUP(AE$6, Table_ChiPhiNV_Ca[], COUNTA(Table_ChiPhiNV_Ca[[#Headers],[Ca]:[Kết thúc]]),0))),0,
SUM(_xlfn._xlws.FILTER(Table_BangLuong_TyLeTangCa[Tỷ lệ],
(Table_BangLuong_TyLeTangCa[Ngày] = "Thường") *
(Table_BangLuong_TyLeTangCa[Giờ min]&lt;=$AA14) *
(Table_BangLuong_TyLeTangCa[Giờ max]&gt;$AA14)
))),
IF(
AND(
$AA14-$Z$4&gt;=MAX(AE$4,VLOOKUP(AE$6, Table_ChiPhiNV_Ca[], COUNTA(Table_ChiPhiNV_Ca[[#Headers],[Ca]:[Bắt đầu]]),0)),
$AA14&lt;MIN(AE$5,VLOOKUP(AE$6, Table_ChiPhiNV_Ca[], COUNTA(Table_ChiPhiNV_Ca[[#Headers],[Ca]:[Kết thúc]]),0))),
SUM(_xlfn._xlws.FILTER(Table_BangLuong_TyLeTangCa[Tỷ lệ],
(Table_BangLuong_TyLeTangCa[Ngày] = "Thường") *
(Table_BangLuong_TyLeTangCa[Giờ min]&lt;=$AA14) *
(Table_BangLuong_TyLeTangCa[Giờ max]&gt;$AA14)
)),0)
)),
IF(AE$4 &lt; AE$5,
IF($AA14-$Z$4&lt;AE$4,0,
IF($AA14&gt;AE$5,0,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AE$5,$AA14 &lt; AE$4),0,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F14" s="18" cm="1">
        <f t="array" ref="AF14" xml:space="preserve">
IFERROR(
IF(AF$1="",0,
IF(AND(
$AA14&gt;=VLOOKUP(AF$6, Table_ChiPhiNV_Ca[], COUNTA(Table_ChiPhiNV_Ca[[#Headers],[Ca]:[Bắt đầu nghỉ]]),0),
$AA14&lt;VLOOKUP(AF$6, Table_ChiPhiNV_Ca[], COUNTA(Table_ChiPhiNV_Ca[[#Headers],[Ca]:[Kết thúc nghỉ]]),0)
),0,
IF(NOT(ISBLANK(AF$3)),
IF(ISBLANK(AF$7),0,
IF(AF$4 &lt; AF$5,
IF($AA14-$Z$4&lt;AF$4,0,
IF($AA14&gt;AF$5,0,
SUM(_xlfn._xlws.FILTER(Table_BangLuong_TyLeTangCa[Tỷ lệ],
(Table_BangLuong_TyLeTangCa[Ngày] = AF$3) *
(Table_BangLuong_TyLeTangCa[Giờ min]&lt;=$AA14) *
(Table_BangLuong_TyLeTangCa[Giờ max]&gt;$AA14)
)))),
IF(AND($AA14-$Z$4 &gt;= AF$5,$AA14 &lt; AF$4),0,
SUM(_xlfn._xlws.FILTER(Table_BangLuong_TyLeTangCa[Tỷ lệ],
(Table_BangLuong_TyLeTangCa[Ngày] = AF$3) *
(Table_BangLuong_TyLeTangCa[Giờ min]&lt;=$AA14) *
(Table_BangLuong_TyLeTangCa[Giờ max]&gt;$AA14)
))))
),
IF(ISBLANK(AF$7),
IF(VLOOKUP(AF$6, Table_ChiPhiNV_Ca[], COUNTA(Table_ChiPhiNV_Ca[[#Headers],[Ca]:[Kết thúc]]),0)&gt; VLOOKUP(AF$6, Table_ChiPhiNV_Ca[], COUNTA(Table_ChiPhiNV_Ca[[#Headers],[Ca]:[Bắt đầu]]),0),
IF($AA14-$Z$4&lt;MAX(AF$4,VLOOKUP(AF$6, Table_ChiPhiNV_Ca[], COUNTA(Table_ChiPhiNV_Ca[[#Headers],[Ca]:[Bắt đầu]]),0)),0,
IF($AA14&gt;MIN(AF$5,VLOOKUP(AF$6, Table_ChiPhiNV_Ca[], COUNTA(Table_ChiPhiNV_Ca[[#Headers],[Ca]:[Kết thúc]]),0)),0,
SUM(_xlfn._xlws.FILTER(Table_BangLuong_TyLeTangCa[Tỷ lệ],
(Table_BangLuong_TyLeTangCa[Ngày] = "Thường") *
(Table_BangLuong_TyLeTangCa[Giờ min]&lt;=$AA14) *
(Table_BangLuong_TyLeTangCa[Giờ max]&gt;$AA14)
)))),
IF(AF$4 &gt; AF$5,
IF(
AND(
$AA14-$Z$4&lt;MAX(AF$4,VLOOKUP(AF$6, Table_ChiPhiNV_Ca[], COUNTA(Table_ChiPhiNV_Ca[[#Headers],[Ca]:[Bắt đầu]]),0)),
$AA14&gt;MIN(AF$5,VLOOKUP(AF$6, Table_ChiPhiNV_Ca[], COUNTA(Table_ChiPhiNV_Ca[[#Headers],[Ca]:[Kết thúc]]),0))),0,
SUM(_xlfn._xlws.FILTER(Table_BangLuong_TyLeTangCa[Tỷ lệ],
(Table_BangLuong_TyLeTangCa[Ngày] = "Thường") *
(Table_BangLuong_TyLeTangCa[Giờ min]&lt;=$AA14) *
(Table_BangLuong_TyLeTangCa[Giờ max]&gt;$AA14)
))),
IF(
AND(
$AA14-$Z$4&gt;=MAX(AF$4,VLOOKUP(AF$6, Table_ChiPhiNV_Ca[], COUNTA(Table_ChiPhiNV_Ca[[#Headers],[Ca]:[Bắt đầu]]),0)),
$AA14&lt;MIN(AF$5,VLOOKUP(AF$6, Table_ChiPhiNV_Ca[], COUNTA(Table_ChiPhiNV_Ca[[#Headers],[Ca]:[Kết thúc]]),0))),
SUM(_xlfn._xlws.FILTER(Table_BangLuong_TyLeTangCa[Tỷ lệ],
(Table_BangLuong_TyLeTangCa[Ngày] = "Thường") *
(Table_BangLuong_TyLeTangCa[Giờ min]&lt;=$AA14) *
(Table_BangLuong_TyLeTangCa[Giờ max]&gt;$AA14)
)),0)
)),
IF(AF$4 &lt; AF$5,
IF($AA14-$Z$4&lt;AF$4,0,
IF($AA14&gt;AF$5,0,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AF$5,$AA14 &lt; AF$4),0,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G14" s="18" cm="1">
        <f t="array" ref="AG14" xml:space="preserve">
IFERROR(
IF(AG$1="",0,
IF(AND(
$AA14&gt;=VLOOKUP(AG$6, Table_ChiPhiNV_Ca[], COUNTA(Table_ChiPhiNV_Ca[[#Headers],[Ca]:[Bắt đầu nghỉ]]),0),
$AA14&lt;VLOOKUP(AG$6, Table_ChiPhiNV_Ca[], COUNTA(Table_ChiPhiNV_Ca[[#Headers],[Ca]:[Kết thúc nghỉ]]),0)
),0,
IF(NOT(ISBLANK(AG$3)),
IF(ISBLANK(AG$7),0,
IF(AG$4 &lt; AG$5,
IF($AA14-$Z$4&lt;AG$4,0,
IF($AA14&gt;AG$5,0,
SUM(_xlfn._xlws.FILTER(Table_BangLuong_TyLeTangCa[Tỷ lệ],
(Table_BangLuong_TyLeTangCa[Ngày] = AG$3) *
(Table_BangLuong_TyLeTangCa[Giờ min]&lt;=$AA14) *
(Table_BangLuong_TyLeTangCa[Giờ max]&gt;$AA14)
)))),
IF(AND($AA14-$Z$4 &gt;= AG$5,$AA14 &lt; AG$4),0,
SUM(_xlfn._xlws.FILTER(Table_BangLuong_TyLeTangCa[Tỷ lệ],
(Table_BangLuong_TyLeTangCa[Ngày] = AG$3) *
(Table_BangLuong_TyLeTangCa[Giờ min]&lt;=$AA14) *
(Table_BangLuong_TyLeTangCa[Giờ max]&gt;$AA14)
))))
),
IF(ISBLANK(AG$7),
IF(VLOOKUP(AG$6, Table_ChiPhiNV_Ca[], COUNTA(Table_ChiPhiNV_Ca[[#Headers],[Ca]:[Kết thúc]]),0)&gt; VLOOKUP(AG$6, Table_ChiPhiNV_Ca[], COUNTA(Table_ChiPhiNV_Ca[[#Headers],[Ca]:[Bắt đầu]]),0),
IF($AA14-$Z$4&lt;MAX(AG$4,VLOOKUP(AG$6, Table_ChiPhiNV_Ca[], COUNTA(Table_ChiPhiNV_Ca[[#Headers],[Ca]:[Bắt đầu]]),0)),0,
IF($AA14&gt;MIN(AG$5,VLOOKUP(AG$6, Table_ChiPhiNV_Ca[], COUNTA(Table_ChiPhiNV_Ca[[#Headers],[Ca]:[Kết thúc]]),0)),0,
SUM(_xlfn._xlws.FILTER(Table_BangLuong_TyLeTangCa[Tỷ lệ],
(Table_BangLuong_TyLeTangCa[Ngày] = "Thường") *
(Table_BangLuong_TyLeTangCa[Giờ min]&lt;=$AA14) *
(Table_BangLuong_TyLeTangCa[Giờ max]&gt;$AA14)
)))),
IF(AG$4 &gt; AG$5,
IF(
AND(
$AA14-$Z$4&lt;MAX(AG$4,VLOOKUP(AG$6, Table_ChiPhiNV_Ca[], COUNTA(Table_ChiPhiNV_Ca[[#Headers],[Ca]:[Bắt đầu]]),0)),
$AA14&gt;MIN(AG$5,VLOOKUP(AG$6, Table_ChiPhiNV_Ca[], COUNTA(Table_ChiPhiNV_Ca[[#Headers],[Ca]:[Kết thúc]]),0))),0,
SUM(_xlfn._xlws.FILTER(Table_BangLuong_TyLeTangCa[Tỷ lệ],
(Table_BangLuong_TyLeTangCa[Ngày] = "Thường") *
(Table_BangLuong_TyLeTangCa[Giờ min]&lt;=$AA14) *
(Table_BangLuong_TyLeTangCa[Giờ max]&gt;$AA14)
))),
IF(
AND(
$AA14-$Z$4&gt;=MAX(AG$4,VLOOKUP(AG$6, Table_ChiPhiNV_Ca[], COUNTA(Table_ChiPhiNV_Ca[[#Headers],[Ca]:[Bắt đầu]]),0)),
$AA14&lt;MIN(AG$5,VLOOKUP(AG$6, Table_ChiPhiNV_Ca[], COUNTA(Table_ChiPhiNV_Ca[[#Headers],[Ca]:[Kết thúc]]),0))),
SUM(_xlfn._xlws.FILTER(Table_BangLuong_TyLeTangCa[Tỷ lệ],
(Table_BangLuong_TyLeTangCa[Ngày] = "Thường") *
(Table_BangLuong_TyLeTangCa[Giờ min]&lt;=$AA14) *
(Table_BangLuong_TyLeTangCa[Giờ max]&gt;$AA14)
)),0)
)),
IF(AG$4 &lt; AG$5,
IF($AA14-$Z$4&lt;AG$4,0,
IF($AA14&gt;AG$5,0,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AG$5,$AA14 &lt; AG$4),0,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H14" s="18" cm="1">
        <f t="array" ref="AH14" xml:space="preserve">
IFERROR(
IF(AH$1="",0,
IF(AND(
$AA14&gt;=VLOOKUP(AH$6, Table_ChiPhiNV_Ca[], COUNTA(Table_ChiPhiNV_Ca[[#Headers],[Ca]:[Bắt đầu nghỉ]]),0),
$AA14&lt;VLOOKUP(AH$6, Table_ChiPhiNV_Ca[], COUNTA(Table_ChiPhiNV_Ca[[#Headers],[Ca]:[Kết thúc nghỉ]]),0)
),0,
IF(NOT(ISBLANK(AH$3)),
IF(ISBLANK(AH$7),0,
IF(AH$4 &lt; AH$5,
IF($AA14-$Z$4&lt;AH$4,0,
IF($AA14&gt;AH$5,0,
SUM(_xlfn._xlws.FILTER(Table_BangLuong_TyLeTangCa[Tỷ lệ],
(Table_BangLuong_TyLeTangCa[Ngày] = AH$3) *
(Table_BangLuong_TyLeTangCa[Giờ min]&lt;=$AA14) *
(Table_BangLuong_TyLeTangCa[Giờ max]&gt;$AA14)
)))),
IF(AND($AA14-$Z$4 &gt;= AH$5,$AA14 &lt; AH$4),0,
SUM(_xlfn._xlws.FILTER(Table_BangLuong_TyLeTangCa[Tỷ lệ],
(Table_BangLuong_TyLeTangCa[Ngày] = AH$3) *
(Table_BangLuong_TyLeTangCa[Giờ min]&lt;=$AA14) *
(Table_BangLuong_TyLeTangCa[Giờ max]&gt;$AA14)
))))
),
IF(ISBLANK(AH$7),
IF(VLOOKUP(AH$6, Table_ChiPhiNV_Ca[], COUNTA(Table_ChiPhiNV_Ca[[#Headers],[Ca]:[Kết thúc]]),0)&gt; VLOOKUP(AH$6, Table_ChiPhiNV_Ca[], COUNTA(Table_ChiPhiNV_Ca[[#Headers],[Ca]:[Bắt đầu]]),0),
IF($AA14-$Z$4&lt;MAX(AH$4,VLOOKUP(AH$6, Table_ChiPhiNV_Ca[], COUNTA(Table_ChiPhiNV_Ca[[#Headers],[Ca]:[Bắt đầu]]),0)),0,
IF($AA14&gt;MIN(AH$5,VLOOKUP(AH$6, Table_ChiPhiNV_Ca[], COUNTA(Table_ChiPhiNV_Ca[[#Headers],[Ca]:[Kết thúc]]),0)),0,
SUM(_xlfn._xlws.FILTER(Table_BangLuong_TyLeTangCa[Tỷ lệ],
(Table_BangLuong_TyLeTangCa[Ngày] = "Thường") *
(Table_BangLuong_TyLeTangCa[Giờ min]&lt;=$AA14) *
(Table_BangLuong_TyLeTangCa[Giờ max]&gt;$AA14)
)))),
IF(AH$4 &gt; AH$5,
IF(
AND(
$AA14-$Z$4&lt;MAX(AH$4,VLOOKUP(AH$6, Table_ChiPhiNV_Ca[], COUNTA(Table_ChiPhiNV_Ca[[#Headers],[Ca]:[Bắt đầu]]),0)),
$AA14&gt;MIN(AH$5,VLOOKUP(AH$6, Table_ChiPhiNV_Ca[], COUNTA(Table_ChiPhiNV_Ca[[#Headers],[Ca]:[Kết thúc]]),0))),0,
SUM(_xlfn._xlws.FILTER(Table_BangLuong_TyLeTangCa[Tỷ lệ],
(Table_BangLuong_TyLeTangCa[Ngày] = "Thường") *
(Table_BangLuong_TyLeTangCa[Giờ min]&lt;=$AA14) *
(Table_BangLuong_TyLeTangCa[Giờ max]&gt;$AA14)
))),
IF(
AND(
$AA14-$Z$4&gt;=MAX(AH$4,VLOOKUP(AH$6, Table_ChiPhiNV_Ca[], COUNTA(Table_ChiPhiNV_Ca[[#Headers],[Ca]:[Bắt đầu]]),0)),
$AA14&lt;MIN(AH$5,VLOOKUP(AH$6, Table_ChiPhiNV_Ca[], COUNTA(Table_ChiPhiNV_Ca[[#Headers],[Ca]:[Kết thúc]]),0))),
SUM(_xlfn._xlws.FILTER(Table_BangLuong_TyLeTangCa[Tỷ lệ],
(Table_BangLuong_TyLeTangCa[Ngày] = "Thường") *
(Table_BangLuong_TyLeTangCa[Giờ min]&lt;=$AA14) *
(Table_BangLuong_TyLeTangCa[Giờ max]&gt;$AA14)
)),0)
)),
IF(AH$4 &lt; AH$5,
IF($AA14-$Z$4&lt;AH$4,0,
IF($AA14&gt;AH$5,0,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AH$5,$AA14 &lt; AH$4),0,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I14" s="18" cm="1">
        <f t="array" ref="AI14" xml:space="preserve">
IFERROR(
IF(AI$1="",0,
IF(AND(
$AA14&gt;=VLOOKUP(AI$6, Table_ChiPhiNV_Ca[], COUNTA(Table_ChiPhiNV_Ca[[#Headers],[Ca]:[Bắt đầu nghỉ]]),0),
$AA14&lt;VLOOKUP(AI$6, Table_ChiPhiNV_Ca[], COUNTA(Table_ChiPhiNV_Ca[[#Headers],[Ca]:[Kết thúc nghỉ]]),0)
),0,
IF(NOT(ISBLANK(AI$3)),
IF(ISBLANK(AI$7),0,
IF(AI$4 &lt; AI$5,
IF($AA14-$Z$4&lt;AI$4,0,
IF($AA14&gt;AI$5,0,
SUM(_xlfn._xlws.FILTER(Table_BangLuong_TyLeTangCa[Tỷ lệ],
(Table_BangLuong_TyLeTangCa[Ngày] = AI$3) *
(Table_BangLuong_TyLeTangCa[Giờ min]&lt;=$AA14) *
(Table_BangLuong_TyLeTangCa[Giờ max]&gt;$AA14)
)))),
IF(AND($AA14-$Z$4 &gt;= AI$5,$AA14 &lt; AI$4),0,
SUM(_xlfn._xlws.FILTER(Table_BangLuong_TyLeTangCa[Tỷ lệ],
(Table_BangLuong_TyLeTangCa[Ngày] = AI$3) *
(Table_BangLuong_TyLeTangCa[Giờ min]&lt;=$AA14) *
(Table_BangLuong_TyLeTangCa[Giờ max]&gt;$AA14)
))))
),
IF(ISBLANK(AI$7),
IF(VLOOKUP(AI$6, Table_ChiPhiNV_Ca[], COUNTA(Table_ChiPhiNV_Ca[[#Headers],[Ca]:[Kết thúc]]),0)&gt; VLOOKUP(AI$6, Table_ChiPhiNV_Ca[], COUNTA(Table_ChiPhiNV_Ca[[#Headers],[Ca]:[Bắt đầu]]),0),
IF($AA14-$Z$4&lt;MAX(AI$4,VLOOKUP(AI$6, Table_ChiPhiNV_Ca[], COUNTA(Table_ChiPhiNV_Ca[[#Headers],[Ca]:[Bắt đầu]]),0)),0,
IF($AA14&gt;MIN(AI$5,VLOOKUP(AI$6, Table_ChiPhiNV_Ca[], COUNTA(Table_ChiPhiNV_Ca[[#Headers],[Ca]:[Kết thúc]]),0)),0,
SUM(_xlfn._xlws.FILTER(Table_BangLuong_TyLeTangCa[Tỷ lệ],
(Table_BangLuong_TyLeTangCa[Ngày] = "Thường") *
(Table_BangLuong_TyLeTangCa[Giờ min]&lt;=$AA14) *
(Table_BangLuong_TyLeTangCa[Giờ max]&gt;$AA14)
)))),
IF(AI$4 &gt; AI$5,
IF(
AND(
$AA14-$Z$4&lt;MAX(AI$4,VLOOKUP(AI$6, Table_ChiPhiNV_Ca[], COUNTA(Table_ChiPhiNV_Ca[[#Headers],[Ca]:[Bắt đầu]]),0)),
$AA14&gt;MIN(AI$5,VLOOKUP(AI$6, Table_ChiPhiNV_Ca[], COUNTA(Table_ChiPhiNV_Ca[[#Headers],[Ca]:[Kết thúc]]),0))),0,
SUM(_xlfn._xlws.FILTER(Table_BangLuong_TyLeTangCa[Tỷ lệ],
(Table_BangLuong_TyLeTangCa[Ngày] = "Thường") *
(Table_BangLuong_TyLeTangCa[Giờ min]&lt;=$AA14) *
(Table_BangLuong_TyLeTangCa[Giờ max]&gt;$AA14)
))),
IF(
AND(
$AA14-$Z$4&gt;=MAX(AI$4,VLOOKUP(AI$6, Table_ChiPhiNV_Ca[], COUNTA(Table_ChiPhiNV_Ca[[#Headers],[Ca]:[Bắt đầu]]),0)),
$AA14&lt;MIN(AI$5,VLOOKUP(AI$6, Table_ChiPhiNV_Ca[], COUNTA(Table_ChiPhiNV_Ca[[#Headers],[Ca]:[Kết thúc]]),0))),
SUM(_xlfn._xlws.FILTER(Table_BangLuong_TyLeTangCa[Tỷ lệ],
(Table_BangLuong_TyLeTangCa[Ngày] = "Thường") *
(Table_BangLuong_TyLeTangCa[Giờ min]&lt;=$AA14) *
(Table_BangLuong_TyLeTangCa[Giờ max]&gt;$AA14)
)),0)
)),
IF(AI$4 &lt; AI$5,
IF($AA14-$Z$4&lt;AI$4,0,
IF($AA14&gt;AI$5,0,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AI$5,$AA14 &lt; AI$4),0,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J14" s="18" cm="1">
        <f t="array" ref="AJ14" xml:space="preserve">
IFERROR(
IF(AJ$1="",0,
IF(AND(
$AA14&gt;=VLOOKUP(AJ$6, Table_ChiPhiNV_Ca[], COUNTA(Table_ChiPhiNV_Ca[[#Headers],[Ca]:[Bắt đầu nghỉ]]),0),
$AA14&lt;VLOOKUP(AJ$6, Table_ChiPhiNV_Ca[], COUNTA(Table_ChiPhiNV_Ca[[#Headers],[Ca]:[Kết thúc nghỉ]]),0)
),0,
IF(NOT(ISBLANK(AJ$3)),
IF(ISBLANK(AJ$7),0,
IF(AJ$4 &lt; AJ$5,
IF($AA14-$Z$4&lt;AJ$4,0,
IF($AA14&gt;AJ$5,0,
SUM(_xlfn._xlws.FILTER(Table_BangLuong_TyLeTangCa[Tỷ lệ],
(Table_BangLuong_TyLeTangCa[Ngày] = AJ$3) *
(Table_BangLuong_TyLeTangCa[Giờ min]&lt;=$AA14) *
(Table_BangLuong_TyLeTangCa[Giờ max]&gt;$AA14)
)))),
IF(AND($AA14-$Z$4 &gt;= AJ$5,$AA14 &lt; AJ$4),0,
SUM(_xlfn._xlws.FILTER(Table_BangLuong_TyLeTangCa[Tỷ lệ],
(Table_BangLuong_TyLeTangCa[Ngày] = AJ$3) *
(Table_BangLuong_TyLeTangCa[Giờ min]&lt;=$AA14) *
(Table_BangLuong_TyLeTangCa[Giờ max]&gt;$AA14)
))))
),
IF(ISBLANK(AJ$7),
IF(VLOOKUP(AJ$6, Table_ChiPhiNV_Ca[], COUNTA(Table_ChiPhiNV_Ca[[#Headers],[Ca]:[Kết thúc]]),0)&gt; VLOOKUP(AJ$6, Table_ChiPhiNV_Ca[], COUNTA(Table_ChiPhiNV_Ca[[#Headers],[Ca]:[Bắt đầu]]),0),
IF($AA14-$Z$4&lt;MAX(AJ$4,VLOOKUP(AJ$6, Table_ChiPhiNV_Ca[], COUNTA(Table_ChiPhiNV_Ca[[#Headers],[Ca]:[Bắt đầu]]),0)),0,
IF($AA14&gt;MIN(AJ$5,VLOOKUP(AJ$6, Table_ChiPhiNV_Ca[], COUNTA(Table_ChiPhiNV_Ca[[#Headers],[Ca]:[Kết thúc]]),0)),0,
SUM(_xlfn._xlws.FILTER(Table_BangLuong_TyLeTangCa[Tỷ lệ],
(Table_BangLuong_TyLeTangCa[Ngày] = "Thường") *
(Table_BangLuong_TyLeTangCa[Giờ min]&lt;=$AA14) *
(Table_BangLuong_TyLeTangCa[Giờ max]&gt;$AA14)
)))),
IF(AJ$4 &gt; AJ$5,
IF(
AND(
$AA14-$Z$4&lt;MAX(AJ$4,VLOOKUP(AJ$6, Table_ChiPhiNV_Ca[], COUNTA(Table_ChiPhiNV_Ca[[#Headers],[Ca]:[Bắt đầu]]),0)),
$AA14&gt;MIN(AJ$5,VLOOKUP(AJ$6, Table_ChiPhiNV_Ca[], COUNTA(Table_ChiPhiNV_Ca[[#Headers],[Ca]:[Kết thúc]]),0))),0,
SUM(_xlfn._xlws.FILTER(Table_BangLuong_TyLeTangCa[Tỷ lệ],
(Table_BangLuong_TyLeTangCa[Ngày] = "Thường") *
(Table_BangLuong_TyLeTangCa[Giờ min]&lt;=$AA14) *
(Table_BangLuong_TyLeTangCa[Giờ max]&gt;$AA14)
))),
IF(
AND(
$AA14-$Z$4&gt;=MAX(AJ$4,VLOOKUP(AJ$6, Table_ChiPhiNV_Ca[], COUNTA(Table_ChiPhiNV_Ca[[#Headers],[Ca]:[Bắt đầu]]),0)),
$AA14&lt;MIN(AJ$5,VLOOKUP(AJ$6, Table_ChiPhiNV_Ca[], COUNTA(Table_ChiPhiNV_Ca[[#Headers],[Ca]:[Kết thúc]]),0))),
SUM(_xlfn._xlws.FILTER(Table_BangLuong_TyLeTangCa[Tỷ lệ],
(Table_BangLuong_TyLeTangCa[Ngày] = "Thường") *
(Table_BangLuong_TyLeTangCa[Giờ min]&lt;=$AA14) *
(Table_BangLuong_TyLeTangCa[Giờ max]&gt;$AA14)
)),0)
)),
IF(AJ$4 &lt; AJ$5,
IF($AA14-$Z$4&lt;AJ$4,0,
IF($AA14&gt;AJ$5,0,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AJ$5,$AA14 &lt; AJ$4),0,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K14" s="18" cm="1">
        <f t="array" ref="AK14" xml:space="preserve">
IFERROR(
IF(AK$1="",0,
IF(AND(
$AA14&gt;=VLOOKUP(AK$6, Table_ChiPhiNV_Ca[], COUNTA(Table_ChiPhiNV_Ca[[#Headers],[Ca]:[Bắt đầu nghỉ]]),0),
$AA14&lt;VLOOKUP(AK$6, Table_ChiPhiNV_Ca[], COUNTA(Table_ChiPhiNV_Ca[[#Headers],[Ca]:[Kết thúc nghỉ]]),0)
),0,
IF(NOT(ISBLANK(AK$3)),
IF(ISBLANK(AK$7),0,
IF(AK$4 &lt; AK$5,
IF($AA14-$Z$4&lt;AK$4,0,
IF($AA14&gt;AK$5,0,
SUM(_xlfn._xlws.FILTER(Table_BangLuong_TyLeTangCa[Tỷ lệ],
(Table_BangLuong_TyLeTangCa[Ngày] = AK$3) *
(Table_BangLuong_TyLeTangCa[Giờ min]&lt;=$AA14) *
(Table_BangLuong_TyLeTangCa[Giờ max]&gt;$AA14)
)))),
IF(AND($AA14-$Z$4 &gt;= AK$5,$AA14 &lt; AK$4),0,
SUM(_xlfn._xlws.FILTER(Table_BangLuong_TyLeTangCa[Tỷ lệ],
(Table_BangLuong_TyLeTangCa[Ngày] = AK$3) *
(Table_BangLuong_TyLeTangCa[Giờ min]&lt;=$AA14) *
(Table_BangLuong_TyLeTangCa[Giờ max]&gt;$AA14)
))))
),
IF(ISBLANK(AK$7),
IF(VLOOKUP(AK$6, Table_ChiPhiNV_Ca[], COUNTA(Table_ChiPhiNV_Ca[[#Headers],[Ca]:[Kết thúc]]),0)&gt; VLOOKUP(AK$6, Table_ChiPhiNV_Ca[], COUNTA(Table_ChiPhiNV_Ca[[#Headers],[Ca]:[Bắt đầu]]),0),
IF($AA14-$Z$4&lt;MAX(AK$4,VLOOKUP(AK$6, Table_ChiPhiNV_Ca[], COUNTA(Table_ChiPhiNV_Ca[[#Headers],[Ca]:[Bắt đầu]]),0)),0,
IF($AA14&gt;MIN(AK$5,VLOOKUP(AK$6, Table_ChiPhiNV_Ca[], COUNTA(Table_ChiPhiNV_Ca[[#Headers],[Ca]:[Kết thúc]]),0)),0,
SUM(_xlfn._xlws.FILTER(Table_BangLuong_TyLeTangCa[Tỷ lệ],
(Table_BangLuong_TyLeTangCa[Ngày] = "Thường") *
(Table_BangLuong_TyLeTangCa[Giờ min]&lt;=$AA14) *
(Table_BangLuong_TyLeTangCa[Giờ max]&gt;$AA14)
)))),
IF(AK$4 &gt; AK$5,
IF(
AND(
$AA14-$Z$4&lt;MAX(AK$4,VLOOKUP(AK$6, Table_ChiPhiNV_Ca[], COUNTA(Table_ChiPhiNV_Ca[[#Headers],[Ca]:[Bắt đầu]]),0)),
$AA14&gt;MIN(AK$5,VLOOKUP(AK$6, Table_ChiPhiNV_Ca[], COUNTA(Table_ChiPhiNV_Ca[[#Headers],[Ca]:[Kết thúc]]),0))),0,
SUM(_xlfn._xlws.FILTER(Table_BangLuong_TyLeTangCa[Tỷ lệ],
(Table_BangLuong_TyLeTangCa[Ngày] = "Thường") *
(Table_BangLuong_TyLeTangCa[Giờ min]&lt;=$AA14) *
(Table_BangLuong_TyLeTangCa[Giờ max]&gt;$AA14)
))),
IF(
AND(
$AA14-$Z$4&gt;=MAX(AK$4,VLOOKUP(AK$6, Table_ChiPhiNV_Ca[], COUNTA(Table_ChiPhiNV_Ca[[#Headers],[Ca]:[Bắt đầu]]),0)),
$AA14&lt;MIN(AK$5,VLOOKUP(AK$6, Table_ChiPhiNV_Ca[], COUNTA(Table_ChiPhiNV_Ca[[#Headers],[Ca]:[Kết thúc]]),0))),
SUM(_xlfn._xlws.FILTER(Table_BangLuong_TyLeTangCa[Tỷ lệ],
(Table_BangLuong_TyLeTangCa[Ngày] = "Thường") *
(Table_BangLuong_TyLeTangCa[Giờ min]&lt;=$AA14) *
(Table_BangLuong_TyLeTangCa[Giờ max]&gt;$AA14)
)),0)
)),
IF(AK$4 &lt; AK$5,
IF($AA14-$Z$4&lt;AK$4,0,
IF($AA14&gt;AK$5,0,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AK$5,$AA14 &lt; AK$4),0,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L14" s="18" cm="1">
        <f t="array" ref="AL14" xml:space="preserve">
IFERROR(
IF(AL$1="",0,
IF(AND(
$AA14&gt;=VLOOKUP(AL$6, Table_ChiPhiNV_Ca[], COUNTA(Table_ChiPhiNV_Ca[[#Headers],[Ca]:[Bắt đầu nghỉ]]),0),
$AA14&lt;VLOOKUP(AL$6, Table_ChiPhiNV_Ca[], COUNTA(Table_ChiPhiNV_Ca[[#Headers],[Ca]:[Kết thúc nghỉ]]),0)
),0,
IF(NOT(ISBLANK(AL$3)),
IF(ISBLANK(AL$7),0,
IF(AL$4 &lt; AL$5,
IF($AA14-$Z$4&lt;AL$4,0,
IF($AA14&gt;AL$5,0,
SUM(_xlfn._xlws.FILTER(Table_BangLuong_TyLeTangCa[Tỷ lệ],
(Table_BangLuong_TyLeTangCa[Ngày] = AL$3) *
(Table_BangLuong_TyLeTangCa[Giờ min]&lt;=$AA14) *
(Table_BangLuong_TyLeTangCa[Giờ max]&gt;$AA14)
)))),
IF(AND($AA14-$Z$4 &gt;= AL$5,$AA14 &lt; AL$4),0,
SUM(_xlfn._xlws.FILTER(Table_BangLuong_TyLeTangCa[Tỷ lệ],
(Table_BangLuong_TyLeTangCa[Ngày] = AL$3) *
(Table_BangLuong_TyLeTangCa[Giờ min]&lt;=$AA14) *
(Table_BangLuong_TyLeTangCa[Giờ max]&gt;$AA14)
))))
),
IF(ISBLANK(AL$7),
IF(VLOOKUP(AL$6, Table_ChiPhiNV_Ca[], COUNTA(Table_ChiPhiNV_Ca[[#Headers],[Ca]:[Kết thúc]]),0)&gt; VLOOKUP(AL$6, Table_ChiPhiNV_Ca[], COUNTA(Table_ChiPhiNV_Ca[[#Headers],[Ca]:[Bắt đầu]]),0),
IF($AA14-$Z$4&lt;MAX(AL$4,VLOOKUP(AL$6, Table_ChiPhiNV_Ca[], COUNTA(Table_ChiPhiNV_Ca[[#Headers],[Ca]:[Bắt đầu]]),0)),0,
IF($AA14&gt;MIN(AL$5,VLOOKUP(AL$6, Table_ChiPhiNV_Ca[], COUNTA(Table_ChiPhiNV_Ca[[#Headers],[Ca]:[Kết thúc]]),0)),0,
SUM(_xlfn._xlws.FILTER(Table_BangLuong_TyLeTangCa[Tỷ lệ],
(Table_BangLuong_TyLeTangCa[Ngày] = "Thường") *
(Table_BangLuong_TyLeTangCa[Giờ min]&lt;=$AA14) *
(Table_BangLuong_TyLeTangCa[Giờ max]&gt;$AA14)
)))),
IF(AL$4 &gt; AL$5,
IF(
AND(
$AA14-$Z$4&lt;MAX(AL$4,VLOOKUP(AL$6, Table_ChiPhiNV_Ca[], COUNTA(Table_ChiPhiNV_Ca[[#Headers],[Ca]:[Bắt đầu]]),0)),
$AA14&gt;MIN(AL$5,VLOOKUP(AL$6, Table_ChiPhiNV_Ca[], COUNTA(Table_ChiPhiNV_Ca[[#Headers],[Ca]:[Kết thúc]]),0))),0,
SUM(_xlfn._xlws.FILTER(Table_BangLuong_TyLeTangCa[Tỷ lệ],
(Table_BangLuong_TyLeTangCa[Ngày] = "Thường") *
(Table_BangLuong_TyLeTangCa[Giờ min]&lt;=$AA14) *
(Table_BangLuong_TyLeTangCa[Giờ max]&gt;$AA14)
))),
IF(
AND(
$AA14-$Z$4&gt;=MAX(AL$4,VLOOKUP(AL$6, Table_ChiPhiNV_Ca[], COUNTA(Table_ChiPhiNV_Ca[[#Headers],[Ca]:[Bắt đầu]]),0)),
$AA14&lt;MIN(AL$5,VLOOKUP(AL$6, Table_ChiPhiNV_Ca[], COUNTA(Table_ChiPhiNV_Ca[[#Headers],[Ca]:[Kết thúc]]),0))),
SUM(_xlfn._xlws.FILTER(Table_BangLuong_TyLeTangCa[Tỷ lệ],
(Table_BangLuong_TyLeTangCa[Ngày] = "Thường") *
(Table_BangLuong_TyLeTangCa[Giờ min]&lt;=$AA14) *
(Table_BangLuong_TyLeTangCa[Giờ max]&gt;$AA14)
)),0)
)),
IF(AL$4 &lt; AL$5,
IF($AA14-$Z$4&lt;AL$4,0,
IF($AA14&gt;AL$5,0,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AL$5,$AA14 &lt; AL$4),0,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M14" s="18" cm="1">
        <f t="array" ref="AM14" xml:space="preserve">
IFERROR(
IF(AM$1="",0,
IF(AND(
$AA14&gt;=VLOOKUP(AM$6, Table_ChiPhiNV_Ca[], COUNTA(Table_ChiPhiNV_Ca[[#Headers],[Ca]:[Bắt đầu nghỉ]]),0),
$AA14&lt;VLOOKUP(AM$6, Table_ChiPhiNV_Ca[], COUNTA(Table_ChiPhiNV_Ca[[#Headers],[Ca]:[Kết thúc nghỉ]]),0)
),0,
IF(NOT(ISBLANK(AM$3)),
IF(ISBLANK(AM$7),0,
IF(AM$4 &lt; AM$5,
IF($AA14-$Z$4&lt;AM$4,0,
IF($AA14&gt;AM$5,0,
SUM(_xlfn._xlws.FILTER(Table_BangLuong_TyLeTangCa[Tỷ lệ],
(Table_BangLuong_TyLeTangCa[Ngày] = AM$3) *
(Table_BangLuong_TyLeTangCa[Giờ min]&lt;=$AA14) *
(Table_BangLuong_TyLeTangCa[Giờ max]&gt;$AA14)
)))),
IF(AND($AA14-$Z$4 &gt;= AM$5,$AA14 &lt; AM$4),0,
SUM(_xlfn._xlws.FILTER(Table_BangLuong_TyLeTangCa[Tỷ lệ],
(Table_BangLuong_TyLeTangCa[Ngày] = AM$3) *
(Table_BangLuong_TyLeTangCa[Giờ min]&lt;=$AA14) *
(Table_BangLuong_TyLeTangCa[Giờ max]&gt;$AA14)
))))
),
IF(ISBLANK(AM$7),
IF(VLOOKUP(AM$6, Table_ChiPhiNV_Ca[], COUNTA(Table_ChiPhiNV_Ca[[#Headers],[Ca]:[Kết thúc]]),0)&gt; VLOOKUP(AM$6, Table_ChiPhiNV_Ca[], COUNTA(Table_ChiPhiNV_Ca[[#Headers],[Ca]:[Bắt đầu]]),0),
IF($AA14-$Z$4&lt;MAX(AM$4,VLOOKUP(AM$6, Table_ChiPhiNV_Ca[], COUNTA(Table_ChiPhiNV_Ca[[#Headers],[Ca]:[Bắt đầu]]),0)),0,
IF($AA14&gt;MIN(AM$5,VLOOKUP(AM$6, Table_ChiPhiNV_Ca[], COUNTA(Table_ChiPhiNV_Ca[[#Headers],[Ca]:[Kết thúc]]),0)),0,
SUM(_xlfn._xlws.FILTER(Table_BangLuong_TyLeTangCa[Tỷ lệ],
(Table_BangLuong_TyLeTangCa[Ngày] = "Thường") *
(Table_BangLuong_TyLeTangCa[Giờ min]&lt;=$AA14) *
(Table_BangLuong_TyLeTangCa[Giờ max]&gt;$AA14)
)))),
IF(AM$4 &gt; AM$5,
IF(
AND(
$AA14-$Z$4&lt;MAX(AM$4,VLOOKUP(AM$6, Table_ChiPhiNV_Ca[], COUNTA(Table_ChiPhiNV_Ca[[#Headers],[Ca]:[Bắt đầu]]),0)),
$AA14&gt;MIN(AM$5,VLOOKUP(AM$6, Table_ChiPhiNV_Ca[], COUNTA(Table_ChiPhiNV_Ca[[#Headers],[Ca]:[Kết thúc]]),0))),0,
SUM(_xlfn._xlws.FILTER(Table_BangLuong_TyLeTangCa[Tỷ lệ],
(Table_BangLuong_TyLeTangCa[Ngày] = "Thường") *
(Table_BangLuong_TyLeTangCa[Giờ min]&lt;=$AA14) *
(Table_BangLuong_TyLeTangCa[Giờ max]&gt;$AA14)
))),
IF(
AND(
$AA14-$Z$4&gt;=MAX(AM$4,VLOOKUP(AM$6, Table_ChiPhiNV_Ca[], COUNTA(Table_ChiPhiNV_Ca[[#Headers],[Ca]:[Bắt đầu]]),0)),
$AA14&lt;MIN(AM$5,VLOOKUP(AM$6, Table_ChiPhiNV_Ca[], COUNTA(Table_ChiPhiNV_Ca[[#Headers],[Ca]:[Kết thúc]]),0))),
SUM(_xlfn._xlws.FILTER(Table_BangLuong_TyLeTangCa[Tỷ lệ],
(Table_BangLuong_TyLeTangCa[Ngày] = "Thường") *
(Table_BangLuong_TyLeTangCa[Giờ min]&lt;=$AA14) *
(Table_BangLuong_TyLeTangCa[Giờ max]&gt;$AA14)
)),0)
)),
IF(AM$4 &lt; AM$5,
IF($AA14-$Z$4&lt;AM$4,0,
IF($AA14&gt;AM$5,0,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AM$5,$AA14 &lt; AM$4),0,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N14" s="18" cm="1">
        <f t="array" ref="AN14" xml:space="preserve">
IFERROR(
IF(AN$1="",0,
IF(AND(
$AA14&gt;=VLOOKUP(AN$6, Table_ChiPhiNV_Ca[], COUNTA(Table_ChiPhiNV_Ca[[#Headers],[Ca]:[Bắt đầu nghỉ]]),0),
$AA14&lt;VLOOKUP(AN$6, Table_ChiPhiNV_Ca[], COUNTA(Table_ChiPhiNV_Ca[[#Headers],[Ca]:[Kết thúc nghỉ]]),0)
),0,
IF(NOT(ISBLANK(AN$3)),
IF(ISBLANK(AN$7),0,
IF(AN$4 &lt; AN$5,
IF($AA14-$Z$4&lt;AN$4,0,
IF($AA14&gt;AN$5,0,
SUM(_xlfn._xlws.FILTER(Table_BangLuong_TyLeTangCa[Tỷ lệ],
(Table_BangLuong_TyLeTangCa[Ngày] = AN$3) *
(Table_BangLuong_TyLeTangCa[Giờ min]&lt;=$AA14) *
(Table_BangLuong_TyLeTangCa[Giờ max]&gt;$AA14)
)))),
IF(AND($AA14-$Z$4 &gt;= AN$5,$AA14 &lt; AN$4),0,
SUM(_xlfn._xlws.FILTER(Table_BangLuong_TyLeTangCa[Tỷ lệ],
(Table_BangLuong_TyLeTangCa[Ngày] = AN$3) *
(Table_BangLuong_TyLeTangCa[Giờ min]&lt;=$AA14) *
(Table_BangLuong_TyLeTangCa[Giờ max]&gt;$AA14)
))))
),
IF(ISBLANK(AN$7),
IF(VLOOKUP(AN$6, Table_ChiPhiNV_Ca[], COUNTA(Table_ChiPhiNV_Ca[[#Headers],[Ca]:[Kết thúc]]),0)&gt; VLOOKUP(AN$6, Table_ChiPhiNV_Ca[], COUNTA(Table_ChiPhiNV_Ca[[#Headers],[Ca]:[Bắt đầu]]),0),
IF($AA14-$Z$4&lt;MAX(AN$4,VLOOKUP(AN$6, Table_ChiPhiNV_Ca[], COUNTA(Table_ChiPhiNV_Ca[[#Headers],[Ca]:[Bắt đầu]]),0)),0,
IF($AA14&gt;MIN(AN$5,VLOOKUP(AN$6, Table_ChiPhiNV_Ca[], COUNTA(Table_ChiPhiNV_Ca[[#Headers],[Ca]:[Kết thúc]]),0)),0,
SUM(_xlfn._xlws.FILTER(Table_BangLuong_TyLeTangCa[Tỷ lệ],
(Table_BangLuong_TyLeTangCa[Ngày] = "Thường") *
(Table_BangLuong_TyLeTangCa[Giờ min]&lt;=$AA14) *
(Table_BangLuong_TyLeTangCa[Giờ max]&gt;$AA14)
)))),
IF(AN$4 &gt; AN$5,
IF(
AND(
$AA14-$Z$4&lt;MAX(AN$4,VLOOKUP(AN$6, Table_ChiPhiNV_Ca[], COUNTA(Table_ChiPhiNV_Ca[[#Headers],[Ca]:[Bắt đầu]]),0)),
$AA14&gt;MIN(AN$5,VLOOKUP(AN$6, Table_ChiPhiNV_Ca[], COUNTA(Table_ChiPhiNV_Ca[[#Headers],[Ca]:[Kết thúc]]),0))),0,
SUM(_xlfn._xlws.FILTER(Table_BangLuong_TyLeTangCa[Tỷ lệ],
(Table_BangLuong_TyLeTangCa[Ngày] = "Thường") *
(Table_BangLuong_TyLeTangCa[Giờ min]&lt;=$AA14) *
(Table_BangLuong_TyLeTangCa[Giờ max]&gt;$AA14)
))),
IF(
AND(
$AA14-$Z$4&gt;=MAX(AN$4,VLOOKUP(AN$6, Table_ChiPhiNV_Ca[], COUNTA(Table_ChiPhiNV_Ca[[#Headers],[Ca]:[Bắt đầu]]),0)),
$AA14&lt;MIN(AN$5,VLOOKUP(AN$6, Table_ChiPhiNV_Ca[], COUNTA(Table_ChiPhiNV_Ca[[#Headers],[Ca]:[Kết thúc]]),0))),
SUM(_xlfn._xlws.FILTER(Table_BangLuong_TyLeTangCa[Tỷ lệ],
(Table_BangLuong_TyLeTangCa[Ngày] = "Thường") *
(Table_BangLuong_TyLeTangCa[Giờ min]&lt;=$AA14) *
(Table_BangLuong_TyLeTangCa[Giờ max]&gt;$AA14)
)),0)
)),
IF(AN$4 &lt; AN$5,
IF($AA14-$Z$4&lt;AN$4,0,
IF($AA14&gt;AN$5,0,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AN$5,$AA14 &lt; AN$4),0,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O14" s="18" cm="1">
        <f t="array" ref="AO14" xml:space="preserve">
IFERROR(
IF(AO$1="",0,
IF(AND(
$AA14&gt;=VLOOKUP(AO$6, Table_ChiPhiNV_Ca[], COUNTA(Table_ChiPhiNV_Ca[[#Headers],[Ca]:[Bắt đầu nghỉ]]),0),
$AA14&lt;VLOOKUP(AO$6, Table_ChiPhiNV_Ca[], COUNTA(Table_ChiPhiNV_Ca[[#Headers],[Ca]:[Kết thúc nghỉ]]),0)
),0,
IF(NOT(ISBLANK(AO$3)),
IF(ISBLANK(AO$7),0,
IF(AO$4 &lt; AO$5,
IF($AA14-$Z$4&lt;AO$4,0,
IF($AA14&gt;AO$5,0,
SUM(_xlfn._xlws.FILTER(Table_BangLuong_TyLeTangCa[Tỷ lệ],
(Table_BangLuong_TyLeTangCa[Ngày] = AO$3) *
(Table_BangLuong_TyLeTangCa[Giờ min]&lt;=$AA14) *
(Table_BangLuong_TyLeTangCa[Giờ max]&gt;$AA14)
)))),
IF(AND($AA14-$Z$4 &gt;= AO$5,$AA14 &lt; AO$4),0,
SUM(_xlfn._xlws.FILTER(Table_BangLuong_TyLeTangCa[Tỷ lệ],
(Table_BangLuong_TyLeTangCa[Ngày] = AO$3) *
(Table_BangLuong_TyLeTangCa[Giờ min]&lt;=$AA14) *
(Table_BangLuong_TyLeTangCa[Giờ max]&gt;$AA14)
))))
),
IF(ISBLANK(AO$7),
IF(VLOOKUP(AO$6, Table_ChiPhiNV_Ca[], COUNTA(Table_ChiPhiNV_Ca[[#Headers],[Ca]:[Kết thúc]]),0)&gt; VLOOKUP(AO$6, Table_ChiPhiNV_Ca[], COUNTA(Table_ChiPhiNV_Ca[[#Headers],[Ca]:[Bắt đầu]]),0),
IF($AA14-$Z$4&lt;MAX(AO$4,VLOOKUP(AO$6, Table_ChiPhiNV_Ca[], COUNTA(Table_ChiPhiNV_Ca[[#Headers],[Ca]:[Bắt đầu]]),0)),0,
IF($AA14&gt;MIN(AO$5,VLOOKUP(AO$6, Table_ChiPhiNV_Ca[], COUNTA(Table_ChiPhiNV_Ca[[#Headers],[Ca]:[Kết thúc]]),0)),0,
SUM(_xlfn._xlws.FILTER(Table_BangLuong_TyLeTangCa[Tỷ lệ],
(Table_BangLuong_TyLeTangCa[Ngày] = "Thường") *
(Table_BangLuong_TyLeTangCa[Giờ min]&lt;=$AA14) *
(Table_BangLuong_TyLeTangCa[Giờ max]&gt;$AA14)
)))),
IF(AO$4 &gt; AO$5,
IF(
AND(
$AA14-$Z$4&lt;MAX(AO$4,VLOOKUP(AO$6, Table_ChiPhiNV_Ca[], COUNTA(Table_ChiPhiNV_Ca[[#Headers],[Ca]:[Bắt đầu]]),0)),
$AA14&gt;MIN(AO$5,VLOOKUP(AO$6, Table_ChiPhiNV_Ca[], COUNTA(Table_ChiPhiNV_Ca[[#Headers],[Ca]:[Kết thúc]]),0))),0,
SUM(_xlfn._xlws.FILTER(Table_BangLuong_TyLeTangCa[Tỷ lệ],
(Table_BangLuong_TyLeTangCa[Ngày] = "Thường") *
(Table_BangLuong_TyLeTangCa[Giờ min]&lt;=$AA14) *
(Table_BangLuong_TyLeTangCa[Giờ max]&gt;$AA14)
))),
IF(
AND(
$AA14-$Z$4&gt;=MAX(AO$4,VLOOKUP(AO$6, Table_ChiPhiNV_Ca[], COUNTA(Table_ChiPhiNV_Ca[[#Headers],[Ca]:[Bắt đầu]]),0)),
$AA14&lt;MIN(AO$5,VLOOKUP(AO$6, Table_ChiPhiNV_Ca[], COUNTA(Table_ChiPhiNV_Ca[[#Headers],[Ca]:[Kết thúc]]),0))),
SUM(_xlfn._xlws.FILTER(Table_BangLuong_TyLeTangCa[Tỷ lệ],
(Table_BangLuong_TyLeTangCa[Ngày] = "Thường") *
(Table_BangLuong_TyLeTangCa[Giờ min]&lt;=$AA14) *
(Table_BangLuong_TyLeTangCa[Giờ max]&gt;$AA14)
)),0)
)),
IF(AO$4 &lt; AO$5,
IF($AA14-$Z$4&lt;AO$4,0,
IF($AA14&gt;AO$5,0,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AO$5,$AA14 &lt; AO$4),0,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P14" s="18" cm="1">
        <f t="array" ref="AP14" xml:space="preserve">
IFERROR(
IF(AP$1="",0,
IF(AND(
$AA14&gt;=VLOOKUP(AP$6, Table_ChiPhiNV_Ca[], COUNTA(Table_ChiPhiNV_Ca[[#Headers],[Ca]:[Bắt đầu nghỉ]]),0),
$AA14&lt;VLOOKUP(AP$6, Table_ChiPhiNV_Ca[], COUNTA(Table_ChiPhiNV_Ca[[#Headers],[Ca]:[Kết thúc nghỉ]]),0)
),0,
IF(NOT(ISBLANK(AP$3)),
IF(ISBLANK(AP$7),0,
IF(AP$4 &lt; AP$5,
IF($AA14-$Z$4&lt;AP$4,0,
IF($AA14&gt;AP$5,0,
SUM(_xlfn._xlws.FILTER(Table_BangLuong_TyLeTangCa[Tỷ lệ],
(Table_BangLuong_TyLeTangCa[Ngày] = AP$3) *
(Table_BangLuong_TyLeTangCa[Giờ min]&lt;=$AA14) *
(Table_BangLuong_TyLeTangCa[Giờ max]&gt;$AA14)
)))),
IF(AND($AA14-$Z$4 &gt;= AP$5,$AA14 &lt; AP$4),0,
SUM(_xlfn._xlws.FILTER(Table_BangLuong_TyLeTangCa[Tỷ lệ],
(Table_BangLuong_TyLeTangCa[Ngày] = AP$3) *
(Table_BangLuong_TyLeTangCa[Giờ min]&lt;=$AA14) *
(Table_BangLuong_TyLeTangCa[Giờ max]&gt;$AA14)
))))
),
IF(ISBLANK(AP$7),
IF(VLOOKUP(AP$6, Table_ChiPhiNV_Ca[], COUNTA(Table_ChiPhiNV_Ca[[#Headers],[Ca]:[Kết thúc]]),0)&gt; VLOOKUP(AP$6, Table_ChiPhiNV_Ca[], COUNTA(Table_ChiPhiNV_Ca[[#Headers],[Ca]:[Bắt đầu]]),0),
IF($AA14-$Z$4&lt;MAX(AP$4,VLOOKUP(AP$6, Table_ChiPhiNV_Ca[], COUNTA(Table_ChiPhiNV_Ca[[#Headers],[Ca]:[Bắt đầu]]),0)),0,
IF($AA14&gt;MIN(AP$5,VLOOKUP(AP$6, Table_ChiPhiNV_Ca[], COUNTA(Table_ChiPhiNV_Ca[[#Headers],[Ca]:[Kết thúc]]),0)),0,
SUM(_xlfn._xlws.FILTER(Table_BangLuong_TyLeTangCa[Tỷ lệ],
(Table_BangLuong_TyLeTangCa[Ngày] = "Thường") *
(Table_BangLuong_TyLeTangCa[Giờ min]&lt;=$AA14) *
(Table_BangLuong_TyLeTangCa[Giờ max]&gt;$AA14)
)))),
IF(AP$4 &gt; AP$5,
IF(
AND(
$AA14-$Z$4&lt;MAX(AP$4,VLOOKUP(AP$6, Table_ChiPhiNV_Ca[], COUNTA(Table_ChiPhiNV_Ca[[#Headers],[Ca]:[Bắt đầu]]),0)),
$AA14&gt;MIN(AP$5,VLOOKUP(AP$6, Table_ChiPhiNV_Ca[], COUNTA(Table_ChiPhiNV_Ca[[#Headers],[Ca]:[Kết thúc]]),0))),0,
SUM(_xlfn._xlws.FILTER(Table_BangLuong_TyLeTangCa[Tỷ lệ],
(Table_BangLuong_TyLeTangCa[Ngày] = "Thường") *
(Table_BangLuong_TyLeTangCa[Giờ min]&lt;=$AA14) *
(Table_BangLuong_TyLeTangCa[Giờ max]&gt;$AA14)
))),
IF(
AND(
$AA14-$Z$4&gt;=MAX(AP$4,VLOOKUP(AP$6, Table_ChiPhiNV_Ca[], COUNTA(Table_ChiPhiNV_Ca[[#Headers],[Ca]:[Bắt đầu]]),0)),
$AA14&lt;MIN(AP$5,VLOOKUP(AP$6, Table_ChiPhiNV_Ca[], COUNTA(Table_ChiPhiNV_Ca[[#Headers],[Ca]:[Kết thúc]]),0))),
SUM(_xlfn._xlws.FILTER(Table_BangLuong_TyLeTangCa[Tỷ lệ],
(Table_BangLuong_TyLeTangCa[Ngày] = "Thường") *
(Table_BangLuong_TyLeTangCa[Giờ min]&lt;=$AA14) *
(Table_BangLuong_TyLeTangCa[Giờ max]&gt;$AA14)
)),0)
)),
IF(AP$4 &lt; AP$5,
IF($AA14-$Z$4&lt;AP$4,0,
IF($AA14&gt;AP$5,0,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AP$5,$AA14 &lt; AP$4),0,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Q14" s="18" cm="1">
        <f t="array" ref="AQ14" xml:space="preserve">
IFERROR(
IF(AQ$1="",0,
IF(AND(
$AA14&gt;=VLOOKUP(AQ$6, Table_ChiPhiNV_Ca[], COUNTA(Table_ChiPhiNV_Ca[[#Headers],[Ca]:[Bắt đầu nghỉ]]),0),
$AA14&lt;VLOOKUP(AQ$6, Table_ChiPhiNV_Ca[], COUNTA(Table_ChiPhiNV_Ca[[#Headers],[Ca]:[Kết thúc nghỉ]]),0)
),0,
IF(NOT(ISBLANK(AQ$3)),
IF(ISBLANK(AQ$7),0,
IF(AQ$4 &lt; AQ$5,
IF($AA14-$Z$4&lt;AQ$4,0,
IF($AA14&gt;AQ$5,0,
SUM(_xlfn._xlws.FILTER(Table_BangLuong_TyLeTangCa[Tỷ lệ],
(Table_BangLuong_TyLeTangCa[Ngày] = AQ$3) *
(Table_BangLuong_TyLeTangCa[Giờ min]&lt;=$AA14) *
(Table_BangLuong_TyLeTangCa[Giờ max]&gt;$AA14)
)))),
IF(AND($AA14-$Z$4 &gt;= AQ$5,$AA14 &lt; AQ$4),0,
SUM(_xlfn._xlws.FILTER(Table_BangLuong_TyLeTangCa[Tỷ lệ],
(Table_BangLuong_TyLeTangCa[Ngày] = AQ$3) *
(Table_BangLuong_TyLeTangCa[Giờ min]&lt;=$AA14) *
(Table_BangLuong_TyLeTangCa[Giờ max]&gt;$AA14)
))))
),
IF(ISBLANK(AQ$7),
IF(VLOOKUP(AQ$6, Table_ChiPhiNV_Ca[], COUNTA(Table_ChiPhiNV_Ca[[#Headers],[Ca]:[Kết thúc]]),0)&gt; VLOOKUP(AQ$6, Table_ChiPhiNV_Ca[], COUNTA(Table_ChiPhiNV_Ca[[#Headers],[Ca]:[Bắt đầu]]),0),
IF($AA14-$Z$4&lt;MAX(AQ$4,VLOOKUP(AQ$6, Table_ChiPhiNV_Ca[], COUNTA(Table_ChiPhiNV_Ca[[#Headers],[Ca]:[Bắt đầu]]),0)),0,
IF($AA14&gt;MIN(AQ$5,VLOOKUP(AQ$6, Table_ChiPhiNV_Ca[], COUNTA(Table_ChiPhiNV_Ca[[#Headers],[Ca]:[Kết thúc]]),0)),0,
SUM(_xlfn._xlws.FILTER(Table_BangLuong_TyLeTangCa[Tỷ lệ],
(Table_BangLuong_TyLeTangCa[Ngày] = "Thường") *
(Table_BangLuong_TyLeTangCa[Giờ min]&lt;=$AA14) *
(Table_BangLuong_TyLeTangCa[Giờ max]&gt;$AA14)
)))),
IF(AQ$4 &gt; AQ$5,
IF(
AND(
$AA14-$Z$4&lt;MAX(AQ$4,VLOOKUP(AQ$6, Table_ChiPhiNV_Ca[], COUNTA(Table_ChiPhiNV_Ca[[#Headers],[Ca]:[Bắt đầu]]),0)),
$AA14&gt;MIN(AQ$5,VLOOKUP(AQ$6, Table_ChiPhiNV_Ca[], COUNTA(Table_ChiPhiNV_Ca[[#Headers],[Ca]:[Kết thúc]]),0))),0,
SUM(_xlfn._xlws.FILTER(Table_BangLuong_TyLeTangCa[Tỷ lệ],
(Table_BangLuong_TyLeTangCa[Ngày] = "Thường") *
(Table_BangLuong_TyLeTangCa[Giờ min]&lt;=$AA14) *
(Table_BangLuong_TyLeTangCa[Giờ max]&gt;$AA14)
))),
IF(
AND(
$AA14-$Z$4&gt;=MAX(AQ$4,VLOOKUP(AQ$6, Table_ChiPhiNV_Ca[], COUNTA(Table_ChiPhiNV_Ca[[#Headers],[Ca]:[Bắt đầu]]),0)),
$AA14&lt;MIN(AQ$5,VLOOKUP(AQ$6, Table_ChiPhiNV_Ca[], COUNTA(Table_ChiPhiNV_Ca[[#Headers],[Ca]:[Kết thúc]]),0))),
SUM(_xlfn._xlws.FILTER(Table_BangLuong_TyLeTangCa[Tỷ lệ],
(Table_BangLuong_TyLeTangCa[Ngày] = "Thường") *
(Table_BangLuong_TyLeTangCa[Giờ min]&lt;=$AA14) *
(Table_BangLuong_TyLeTangCa[Giờ max]&gt;$AA14)
)),0)
)),
IF(AQ$4 &lt; AQ$5,
IF($AA14-$Z$4&lt;AQ$4,0,
IF($AA14&gt;AQ$5,0,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AQ$5,$AA14 &lt; AQ$4),0,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R14" s="18" cm="1">
        <f t="array" ref="AR14" xml:space="preserve">
IFERROR(
IF(AR$1="",0,
IF(AND(
$AA14&gt;=VLOOKUP(AR$6, Table_ChiPhiNV_Ca[], COUNTA(Table_ChiPhiNV_Ca[[#Headers],[Ca]:[Bắt đầu nghỉ]]),0),
$AA14&lt;VLOOKUP(AR$6, Table_ChiPhiNV_Ca[], COUNTA(Table_ChiPhiNV_Ca[[#Headers],[Ca]:[Kết thúc nghỉ]]),0)
),0,
IF(NOT(ISBLANK(AR$3)),
IF(ISBLANK(AR$7),0,
IF(AR$4 &lt; AR$5,
IF($AA14-$Z$4&lt;AR$4,0,
IF($AA14&gt;AR$5,0,
SUM(_xlfn._xlws.FILTER(Table_BangLuong_TyLeTangCa[Tỷ lệ],
(Table_BangLuong_TyLeTangCa[Ngày] = AR$3) *
(Table_BangLuong_TyLeTangCa[Giờ min]&lt;=$AA14) *
(Table_BangLuong_TyLeTangCa[Giờ max]&gt;$AA14)
)))),
IF(AND($AA14-$Z$4 &gt;= AR$5,$AA14 &lt; AR$4),0,
SUM(_xlfn._xlws.FILTER(Table_BangLuong_TyLeTangCa[Tỷ lệ],
(Table_BangLuong_TyLeTangCa[Ngày] = AR$3) *
(Table_BangLuong_TyLeTangCa[Giờ min]&lt;=$AA14) *
(Table_BangLuong_TyLeTangCa[Giờ max]&gt;$AA14)
))))
),
IF(ISBLANK(AR$7),
IF(VLOOKUP(AR$6, Table_ChiPhiNV_Ca[], COUNTA(Table_ChiPhiNV_Ca[[#Headers],[Ca]:[Kết thúc]]),0)&gt; VLOOKUP(AR$6, Table_ChiPhiNV_Ca[], COUNTA(Table_ChiPhiNV_Ca[[#Headers],[Ca]:[Bắt đầu]]),0),
IF($AA14-$Z$4&lt;MAX(AR$4,VLOOKUP(AR$6, Table_ChiPhiNV_Ca[], COUNTA(Table_ChiPhiNV_Ca[[#Headers],[Ca]:[Bắt đầu]]),0)),0,
IF($AA14&gt;MIN(AR$5,VLOOKUP(AR$6, Table_ChiPhiNV_Ca[], COUNTA(Table_ChiPhiNV_Ca[[#Headers],[Ca]:[Kết thúc]]),0)),0,
SUM(_xlfn._xlws.FILTER(Table_BangLuong_TyLeTangCa[Tỷ lệ],
(Table_BangLuong_TyLeTangCa[Ngày] = "Thường") *
(Table_BangLuong_TyLeTangCa[Giờ min]&lt;=$AA14) *
(Table_BangLuong_TyLeTangCa[Giờ max]&gt;$AA14)
)))),
IF(AR$4 &gt; AR$5,
IF(
AND(
$AA14-$Z$4&lt;MAX(AR$4,VLOOKUP(AR$6, Table_ChiPhiNV_Ca[], COUNTA(Table_ChiPhiNV_Ca[[#Headers],[Ca]:[Bắt đầu]]),0)),
$AA14&gt;MIN(AR$5,VLOOKUP(AR$6, Table_ChiPhiNV_Ca[], COUNTA(Table_ChiPhiNV_Ca[[#Headers],[Ca]:[Kết thúc]]),0))),0,
SUM(_xlfn._xlws.FILTER(Table_BangLuong_TyLeTangCa[Tỷ lệ],
(Table_BangLuong_TyLeTangCa[Ngày] = "Thường") *
(Table_BangLuong_TyLeTangCa[Giờ min]&lt;=$AA14) *
(Table_BangLuong_TyLeTangCa[Giờ max]&gt;$AA14)
))),
IF(
AND(
$AA14-$Z$4&gt;=MAX(AR$4,VLOOKUP(AR$6, Table_ChiPhiNV_Ca[], COUNTA(Table_ChiPhiNV_Ca[[#Headers],[Ca]:[Bắt đầu]]),0)),
$AA14&lt;MIN(AR$5,VLOOKUP(AR$6, Table_ChiPhiNV_Ca[], COUNTA(Table_ChiPhiNV_Ca[[#Headers],[Ca]:[Kết thúc]]),0))),
SUM(_xlfn._xlws.FILTER(Table_BangLuong_TyLeTangCa[Tỷ lệ],
(Table_BangLuong_TyLeTangCa[Ngày] = "Thường") *
(Table_BangLuong_TyLeTangCa[Giờ min]&lt;=$AA14) *
(Table_BangLuong_TyLeTangCa[Giờ max]&gt;$AA14)
)),0)
)),
IF(AR$4 &lt; AR$5,
IF($AA14-$Z$4&lt;AR$4,0,
IF($AA14&gt;AR$5,0,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AR$5,$AA14 &lt; AR$4),0,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S14" s="18" cm="1">
        <f t="array" ref="AS14" xml:space="preserve">
IFERROR(
IF(AS$1="",0,
IF(AND(
$AA14&gt;=VLOOKUP(AS$6, Table_ChiPhiNV_Ca[], COUNTA(Table_ChiPhiNV_Ca[[#Headers],[Ca]:[Bắt đầu nghỉ]]),0),
$AA14&lt;VLOOKUP(AS$6, Table_ChiPhiNV_Ca[], COUNTA(Table_ChiPhiNV_Ca[[#Headers],[Ca]:[Kết thúc nghỉ]]),0)
),0,
IF(NOT(ISBLANK(AS$3)),
IF(ISBLANK(AS$7),0,
IF(AS$4 &lt; AS$5,
IF($AA14-$Z$4&lt;AS$4,0,
IF($AA14&gt;AS$5,0,
SUM(_xlfn._xlws.FILTER(Table_BangLuong_TyLeTangCa[Tỷ lệ],
(Table_BangLuong_TyLeTangCa[Ngày] = AS$3) *
(Table_BangLuong_TyLeTangCa[Giờ min]&lt;=$AA14) *
(Table_BangLuong_TyLeTangCa[Giờ max]&gt;$AA14)
)))),
IF(AND($AA14-$Z$4 &gt;= AS$5,$AA14 &lt; AS$4),0,
SUM(_xlfn._xlws.FILTER(Table_BangLuong_TyLeTangCa[Tỷ lệ],
(Table_BangLuong_TyLeTangCa[Ngày] = AS$3) *
(Table_BangLuong_TyLeTangCa[Giờ min]&lt;=$AA14) *
(Table_BangLuong_TyLeTangCa[Giờ max]&gt;$AA14)
))))
),
IF(ISBLANK(AS$7),
IF(VLOOKUP(AS$6, Table_ChiPhiNV_Ca[], COUNTA(Table_ChiPhiNV_Ca[[#Headers],[Ca]:[Kết thúc]]),0)&gt; VLOOKUP(AS$6, Table_ChiPhiNV_Ca[], COUNTA(Table_ChiPhiNV_Ca[[#Headers],[Ca]:[Bắt đầu]]),0),
IF($AA14-$Z$4&lt;MAX(AS$4,VLOOKUP(AS$6, Table_ChiPhiNV_Ca[], COUNTA(Table_ChiPhiNV_Ca[[#Headers],[Ca]:[Bắt đầu]]),0)),0,
IF($AA14&gt;MIN(AS$5,VLOOKUP(AS$6, Table_ChiPhiNV_Ca[], COUNTA(Table_ChiPhiNV_Ca[[#Headers],[Ca]:[Kết thúc]]),0)),0,
SUM(_xlfn._xlws.FILTER(Table_BangLuong_TyLeTangCa[Tỷ lệ],
(Table_BangLuong_TyLeTangCa[Ngày] = "Thường") *
(Table_BangLuong_TyLeTangCa[Giờ min]&lt;=$AA14) *
(Table_BangLuong_TyLeTangCa[Giờ max]&gt;$AA14)
)))),
IF(AS$4 &gt; AS$5,
IF(
AND(
$AA14-$Z$4&lt;MAX(AS$4,VLOOKUP(AS$6, Table_ChiPhiNV_Ca[], COUNTA(Table_ChiPhiNV_Ca[[#Headers],[Ca]:[Bắt đầu]]),0)),
$AA14&gt;MIN(AS$5,VLOOKUP(AS$6, Table_ChiPhiNV_Ca[], COUNTA(Table_ChiPhiNV_Ca[[#Headers],[Ca]:[Kết thúc]]),0))),0,
SUM(_xlfn._xlws.FILTER(Table_BangLuong_TyLeTangCa[Tỷ lệ],
(Table_BangLuong_TyLeTangCa[Ngày] = "Thường") *
(Table_BangLuong_TyLeTangCa[Giờ min]&lt;=$AA14) *
(Table_BangLuong_TyLeTangCa[Giờ max]&gt;$AA14)
))),
IF(
AND(
$AA14-$Z$4&gt;=MAX(AS$4,VLOOKUP(AS$6, Table_ChiPhiNV_Ca[], COUNTA(Table_ChiPhiNV_Ca[[#Headers],[Ca]:[Bắt đầu]]),0)),
$AA14&lt;MIN(AS$5,VLOOKUP(AS$6, Table_ChiPhiNV_Ca[], COUNTA(Table_ChiPhiNV_Ca[[#Headers],[Ca]:[Kết thúc]]),0))),
SUM(_xlfn._xlws.FILTER(Table_BangLuong_TyLeTangCa[Tỷ lệ],
(Table_BangLuong_TyLeTangCa[Ngày] = "Thường") *
(Table_BangLuong_TyLeTangCa[Giờ min]&lt;=$AA14) *
(Table_BangLuong_TyLeTangCa[Giờ max]&gt;$AA14)
)),0)
)),
IF(AS$4 &lt; AS$5,
IF($AA14-$Z$4&lt;AS$4,0,
IF($AA14&gt;AS$5,0,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AS$5,$AA14 &lt; AS$4),0,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T14" s="18" cm="1">
        <f t="array" ref="AT14" xml:space="preserve">
IFERROR(
IF(AT$1="",0,
IF(AND(
$AA14&gt;=VLOOKUP(AT$6, Table_ChiPhiNV_Ca[], COUNTA(Table_ChiPhiNV_Ca[[#Headers],[Ca]:[Bắt đầu nghỉ]]),0),
$AA14&lt;VLOOKUP(AT$6, Table_ChiPhiNV_Ca[], COUNTA(Table_ChiPhiNV_Ca[[#Headers],[Ca]:[Kết thúc nghỉ]]),0)
),0,
IF(NOT(ISBLANK(AT$3)),
IF(ISBLANK(AT$7),0,
IF(AT$4 &lt; AT$5,
IF($AA14-$Z$4&lt;AT$4,0,
IF($AA14&gt;AT$5,0,
SUM(_xlfn._xlws.FILTER(Table_BangLuong_TyLeTangCa[Tỷ lệ],
(Table_BangLuong_TyLeTangCa[Ngày] = AT$3) *
(Table_BangLuong_TyLeTangCa[Giờ min]&lt;=$AA14) *
(Table_BangLuong_TyLeTangCa[Giờ max]&gt;$AA14)
)))),
IF(AND($AA14-$Z$4 &gt;= AT$5,$AA14 &lt; AT$4),0,
SUM(_xlfn._xlws.FILTER(Table_BangLuong_TyLeTangCa[Tỷ lệ],
(Table_BangLuong_TyLeTangCa[Ngày] = AT$3) *
(Table_BangLuong_TyLeTangCa[Giờ min]&lt;=$AA14) *
(Table_BangLuong_TyLeTangCa[Giờ max]&gt;$AA14)
))))
),
IF(ISBLANK(AT$7),
IF(VLOOKUP(AT$6, Table_ChiPhiNV_Ca[], COUNTA(Table_ChiPhiNV_Ca[[#Headers],[Ca]:[Kết thúc]]),0)&gt; VLOOKUP(AT$6, Table_ChiPhiNV_Ca[], COUNTA(Table_ChiPhiNV_Ca[[#Headers],[Ca]:[Bắt đầu]]),0),
IF($AA14-$Z$4&lt;MAX(AT$4,VLOOKUP(AT$6, Table_ChiPhiNV_Ca[], COUNTA(Table_ChiPhiNV_Ca[[#Headers],[Ca]:[Bắt đầu]]),0)),0,
IF($AA14&gt;MIN(AT$5,VLOOKUP(AT$6, Table_ChiPhiNV_Ca[], COUNTA(Table_ChiPhiNV_Ca[[#Headers],[Ca]:[Kết thúc]]),0)),0,
SUM(_xlfn._xlws.FILTER(Table_BangLuong_TyLeTangCa[Tỷ lệ],
(Table_BangLuong_TyLeTangCa[Ngày] = "Thường") *
(Table_BangLuong_TyLeTangCa[Giờ min]&lt;=$AA14) *
(Table_BangLuong_TyLeTangCa[Giờ max]&gt;$AA14)
)))),
IF(AT$4 &gt; AT$5,
IF(
AND(
$AA14-$Z$4&lt;MAX(AT$4,VLOOKUP(AT$6, Table_ChiPhiNV_Ca[], COUNTA(Table_ChiPhiNV_Ca[[#Headers],[Ca]:[Bắt đầu]]),0)),
$AA14&gt;MIN(AT$5,VLOOKUP(AT$6, Table_ChiPhiNV_Ca[], COUNTA(Table_ChiPhiNV_Ca[[#Headers],[Ca]:[Kết thúc]]),0))),0,
SUM(_xlfn._xlws.FILTER(Table_BangLuong_TyLeTangCa[Tỷ lệ],
(Table_BangLuong_TyLeTangCa[Ngày] = "Thường") *
(Table_BangLuong_TyLeTangCa[Giờ min]&lt;=$AA14) *
(Table_BangLuong_TyLeTangCa[Giờ max]&gt;$AA14)
))),
IF(
AND(
$AA14-$Z$4&gt;=MAX(AT$4,VLOOKUP(AT$6, Table_ChiPhiNV_Ca[], COUNTA(Table_ChiPhiNV_Ca[[#Headers],[Ca]:[Bắt đầu]]),0)),
$AA14&lt;MIN(AT$5,VLOOKUP(AT$6, Table_ChiPhiNV_Ca[], COUNTA(Table_ChiPhiNV_Ca[[#Headers],[Ca]:[Kết thúc]]),0))),
SUM(_xlfn._xlws.FILTER(Table_BangLuong_TyLeTangCa[Tỷ lệ],
(Table_BangLuong_TyLeTangCa[Ngày] = "Thường") *
(Table_BangLuong_TyLeTangCa[Giờ min]&lt;=$AA14) *
(Table_BangLuong_TyLeTangCa[Giờ max]&gt;$AA14)
)),0)
)),
IF(AT$4 &lt; AT$5,
IF($AA14-$Z$4&lt;AT$4,0,
IF($AA14&gt;AT$5,0,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AT$5,$AA14 &lt; AT$4),0,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U14" s="18" cm="1">
        <f t="array" ref="AU14" xml:space="preserve">
IFERROR(
IF(AU$1="",0,
IF(AND(
$AA14&gt;=VLOOKUP(AU$6, Table_ChiPhiNV_Ca[], COUNTA(Table_ChiPhiNV_Ca[[#Headers],[Ca]:[Bắt đầu nghỉ]]),0),
$AA14&lt;VLOOKUP(AU$6, Table_ChiPhiNV_Ca[], COUNTA(Table_ChiPhiNV_Ca[[#Headers],[Ca]:[Kết thúc nghỉ]]),0)
),0,
IF(NOT(ISBLANK(AU$3)),
IF(ISBLANK(AU$7),0,
IF(AU$4 &lt; AU$5,
IF($AA14-$Z$4&lt;AU$4,0,
IF($AA14&gt;AU$5,0,
SUM(_xlfn._xlws.FILTER(Table_BangLuong_TyLeTangCa[Tỷ lệ],
(Table_BangLuong_TyLeTangCa[Ngày] = AU$3) *
(Table_BangLuong_TyLeTangCa[Giờ min]&lt;=$AA14) *
(Table_BangLuong_TyLeTangCa[Giờ max]&gt;$AA14)
)))),
IF(AND($AA14-$Z$4 &gt;= AU$5,$AA14 &lt; AU$4),0,
SUM(_xlfn._xlws.FILTER(Table_BangLuong_TyLeTangCa[Tỷ lệ],
(Table_BangLuong_TyLeTangCa[Ngày] = AU$3) *
(Table_BangLuong_TyLeTangCa[Giờ min]&lt;=$AA14) *
(Table_BangLuong_TyLeTangCa[Giờ max]&gt;$AA14)
))))
),
IF(ISBLANK(AU$7),
IF(VLOOKUP(AU$6, Table_ChiPhiNV_Ca[], COUNTA(Table_ChiPhiNV_Ca[[#Headers],[Ca]:[Kết thúc]]),0)&gt; VLOOKUP(AU$6, Table_ChiPhiNV_Ca[], COUNTA(Table_ChiPhiNV_Ca[[#Headers],[Ca]:[Bắt đầu]]),0),
IF($AA14-$Z$4&lt;MAX(AU$4,VLOOKUP(AU$6, Table_ChiPhiNV_Ca[], COUNTA(Table_ChiPhiNV_Ca[[#Headers],[Ca]:[Bắt đầu]]),0)),0,
IF($AA14&gt;MIN(AU$5,VLOOKUP(AU$6, Table_ChiPhiNV_Ca[], COUNTA(Table_ChiPhiNV_Ca[[#Headers],[Ca]:[Kết thúc]]),0)),0,
SUM(_xlfn._xlws.FILTER(Table_BangLuong_TyLeTangCa[Tỷ lệ],
(Table_BangLuong_TyLeTangCa[Ngày] = "Thường") *
(Table_BangLuong_TyLeTangCa[Giờ min]&lt;=$AA14) *
(Table_BangLuong_TyLeTangCa[Giờ max]&gt;$AA14)
)))),
IF(AU$4 &gt; AU$5,
IF(
AND(
$AA14-$Z$4&lt;MAX(AU$4,VLOOKUP(AU$6, Table_ChiPhiNV_Ca[], COUNTA(Table_ChiPhiNV_Ca[[#Headers],[Ca]:[Bắt đầu]]),0)),
$AA14&gt;MIN(AU$5,VLOOKUP(AU$6, Table_ChiPhiNV_Ca[], COUNTA(Table_ChiPhiNV_Ca[[#Headers],[Ca]:[Kết thúc]]),0))),0,
SUM(_xlfn._xlws.FILTER(Table_BangLuong_TyLeTangCa[Tỷ lệ],
(Table_BangLuong_TyLeTangCa[Ngày] = "Thường") *
(Table_BangLuong_TyLeTangCa[Giờ min]&lt;=$AA14) *
(Table_BangLuong_TyLeTangCa[Giờ max]&gt;$AA14)
))),
IF(
AND(
$AA14-$Z$4&gt;=MAX(AU$4,VLOOKUP(AU$6, Table_ChiPhiNV_Ca[], COUNTA(Table_ChiPhiNV_Ca[[#Headers],[Ca]:[Bắt đầu]]),0)),
$AA14&lt;MIN(AU$5,VLOOKUP(AU$6, Table_ChiPhiNV_Ca[], COUNTA(Table_ChiPhiNV_Ca[[#Headers],[Ca]:[Kết thúc]]),0))),
SUM(_xlfn._xlws.FILTER(Table_BangLuong_TyLeTangCa[Tỷ lệ],
(Table_BangLuong_TyLeTangCa[Ngày] = "Thường") *
(Table_BangLuong_TyLeTangCa[Giờ min]&lt;=$AA14) *
(Table_BangLuong_TyLeTangCa[Giờ max]&gt;$AA14)
)),0)
)),
IF(AU$4 &lt; AU$5,
IF($AA14-$Z$4&lt;AU$4,0,
IF($AA14&gt;AU$5,0,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AU$5,$AA14 &lt; AU$4),0,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V14" s="18" cm="1">
        <f t="array" ref="AV14" xml:space="preserve">
IFERROR(
IF(AV$1="",0,
IF(AND(
$AA14&gt;=VLOOKUP(AV$6, Table_ChiPhiNV_Ca[], COUNTA(Table_ChiPhiNV_Ca[[#Headers],[Ca]:[Bắt đầu nghỉ]]),0),
$AA14&lt;VLOOKUP(AV$6, Table_ChiPhiNV_Ca[], COUNTA(Table_ChiPhiNV_Ca[[#Headers],[Ca]:[Kết thúc nghỉ]]),0)
),0,
IF(NOT(ISBLANK(AV$3)),
IF(ISBLANK(AV$7),0,
IF(AV$4 &lt; AV$5,
IF($AA14-$Z$4&lt;AV$4,0,
IF($AA14&gt;AV$5,0,
SUM(_xlfn._xlws.FILTER(Table_BangLuong_TyLeTangCa[Tỷ lệ],
(Table_BangLuong_TyLeTangCa[Ngày] = AV$3) *
(Table_BangLuong_TyLeTangCa[Giờ min]&lt;=$AA14) *
(Table_BangLuong_TyLeTangCa[Giờ max]&gt;$AA14)
)))),
IF(AND($AA14-$Z$4 &gt;= AV$5,$AA14 &lt; AV$4),0,
SUM(_xlfn._xlws.FILTER(Table_BangLuong_TyLeTangCa[Tỷ lệ],
(Table_BangLuong_TyLeTangCa[Ngày] = AV$3) *
(Table_BangLuong_TyLeTangCa[Giờ min]&lt;=$AA14) *
(Table_BangLuong_TyLeTangCa[Giờ max]&gt;$AA14)
))))
),
IF(ISBLANK(AV$7),
IF(VLOOKUP(AV$6, Table_ChiPhiNV_Ca[], COUNTA(Table_ChiPhiNV_Ca[[#Headers],[Ca]:[Kết thúc]]),0)&gt; VLOOKUP(AV$6, Table_ChiPhiNV_Ca[], COUNTA(Table_ChiPhiNV_Ca[[#Headers],[Ca]:[Bắt đầu]]),0),
IF($AA14-$Z$4&lt;MAX(AV$4,VLOOKUP(AV$6, Table_ChiPhiNV_Ca[], COUNTA(Table_ChiPhiNV_Ca[[#Headers],[Ca]:[Bắt đầu]]),0)),0,
IF($AA14&gt;MIN(AV$5,VLOOKUP(AV$6, Table_ChiPhiNV_Ca[], COUNTA(Table_ChiPhiNV_Ca[[#Headers],[Ca]:[Kết thúc]]),0)),0,
SUM(_xlfn._xlws.FILTER(Table_BangLuong_TyLeTangCa[Tỷ lệ],
(Table_BangLuong_TyLeTangCa[Ngày] = "Thường") *
(Table_BangLuong_TyLeTangCa[Giờ min]&lt;=$AA14) *
(Table_BangLuong_TyLeTangCa[Giờ max]&gt;$AA14)
)))),
IF(AV$4 &gt; AV$5,
IF(
AND(
$AA14-$Z$4&lt;MAX(AV$4,VLOOKUP(AV$6, Table_ChiPhiNV_Ca[], COUNTA(Table_ChiPhiNV_Ca[[#Headers],[Ca]:[Bắt đầu]]),0)),
$AA14&gt;MIN(AV$5,VLOOKUP(AV$6, Table_ChiPhiNV_Ca[], COUNTA(Table_ChiPhiNV_Ca[[#Headers],[Ca]:[Kết thúc]]),0))),0,
SUM(_xlfn._xlws.FILTER(Table_BangLuong_TyLeTangCa[Tỷ lệ],
(Table_BangLuong_TyLeTangCa[Ngày] = "Thường") *
(Table_BangLuong_TyLeTangCa[Giờ min]&lt;=$AA14) *
(Table_BangLuong_TyLeTangCa[Giờ max]&gt;$AA14)
))),
IF(
AND(
$AA14-$Z$4&gt;=MAX(AV$4,VLOOKUP(AV$6, Table_ChiPhiNV_Ca[], COUNTA(Table_ChiPhiNV_Ca[[#Headers],[Ca]:[Bắt đầu]]),0)),
$AA14&lt;MIN(AV$5,VLOOKUP(AV$6, Table_ChiPhiNV_Ca[], COUNTA(Table_ChiPhiNV_Ca[[#Headers],[Ca]:[Kết thúc]]),0))),
SUM(_xlfn._xlws.FILTER(Table_BangLuong_TyLeTangCa[Tỷ lệ],
(Table_BangLuong_TyLeTangCa[Ngày] = "Thường") *
(Table_BangLuong_TyLeTangCa[Giờ min]&lt;=$AA14) *
(Table_BangLuong_TyLeTangCa[Giờ max]&gt;$AA14)
)),0)
)),
IF(AV$4 &lt; AV$5,
IF($AA14-$Z$4&lt;AV$4,0,
IF($AA14&gt;AV$5,0,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AV$5,$AA14 &lt; AV$4),0,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W14" s="18" cm="1">
        <f t="array" ref="AW14" xml:space="preserve">
IFERROR(
IF(AW$1="",0,
IF(AND(
$AA14&gt;=VLOOKUP(AW$6, Table_ChiPhiNV_Ca[], COUNTA(Table_ChiPhiNV_Ca[[#Headers],[Ca]:[Bắt đầu nghỉ]]),0),
$AA14&lt;VLOOKUP(AW$6, Table_ChiPhiNV_Ca[], COUNTA(Table_ChiPhiNV_Ca[[#Headers],[Ca]:[Kết thúc nghỉ]]),0)
),0,
IF(NOT(ISBLANK(AW$3)),
IF(ISBLANK(AW$7),0,
IF(AW$4 &lt; AW$5,
IF($AA14-$Z$4&lt;AW$4,0,
IF($AA14&gt;AW$5,0,
SUM(_xlfn._xlws.FILTER(Table_BangLuong_TyLeTangCa[Tỷ lệ],
(Table_BangLuong_TyLeTangCa[Ngày] = AW$3) *
(Table_BangLuong_TyLeTangCa[Giờ min]&lt;=$AA14) *
(Table_BangLuong_TyLeTangCa[Giờ max]&gt;$AA14)
)))),
IF(AND($AA14-$Z$4 &gt;= AW$5,$AA14 &lt; AW$4),0,
SUM(_xlfn._xlws.FILTER(Table_BangLuong_TyLeTangCa[Tỷ lệ],
(Table_BangLuong_TyLeTangCa[Ngày] = AW$3) *
(Table_BangLuong_TyLeTangCa[Giờ min]&lt;=$AA14) *
(Table_BangLuong_TyLeTangCa[Giờ max]&gt;$AA14)
))))
),
IF(ISBLANK(AW$7),
IF(VLOOKUP(AW$6, Table_ChiPhiNV_Ca[], COUNTA(Table_ChiPhiNV_Ca[[#Headers],[Ca]:[Kết thúc]]),0)&gt; VLOOKUP(AW$6, Table_ChiPhiNV_Ca[], COUNTA(Table_ChiPhiNV_Ca[[#Headers],[Ca]:[Bắt đầu]]),0),
IF($AA14-$Z$4&lt;MAX(AW$4,VLOOKUP(AW$6, Table_ChiPhiNV_Ca[], COUNTA(Table_ChiPhiNV_Ca[[#Headers],[Ca]:[Bắt đầu]]),0)),0,
IF($AA14&gt;MIN(AW$5,VLOOKUP(AW$6, Table_ChiPhiNV_Ca[], COUNTA(Table_ChiPhiNV_Ca[[#Headers],[Ca]:[Kết thúc]]),0)),0,
SUM(_xlfn._xlws.FILTER(Table_BangLuong_TyLeTangCa[Tỷ lệ],
(Table_BangLuong_TyLeTangCa[Ngày] = "Thường") *
(Table_BangLuong_TyLeTangCa[Giờ min]&lt;=$AA14) *
(Table_BangLuong_TyLeTangCa[Giờ max]&gt;$AA14)
)))),
IF(AW$4 &gt; AW$5,
IF(
AND(
$AA14-$Z$4&lt;MAX(AW$4,VLOOKUP(AW$6, Table_ChiPhiNV_Ca[], COUNTA(Table_ChiPhiNV_Ca[[#Headers],[Ca]:[Bắt đầu]]),0)),
$AA14&gt;MIN(AW$5,VLOOKUP(AW$6, Table_ChiPhiNV_Ca[], COUNTA(Table_ChiPhiNV_Ca[[#Headers],[Ca]:[Kết thúc]]),0))),0,
SUM(_xlfn._xlws.FILTER(Table_BangLuong_TyLeTangCa[Tỷ lệ],
(Table_BangLuong_TyLeTangCa[Ngày] = "Thường") *
(Table_BangLuong_TyLeTangCa[Giờ min]&lt;=$AA14) *
(Table_BangLuong_TyLeTangCa[Giờ max]&gt;$AA14)
))),
IF(
AND(
$AA14-$Z$4&gt;=MAX(AW$4,VLOOKUP(AW$6, Table_ChiPhiNV_Ca[], COUNTA(Table_ChiPhiNV_Ca[[#Headers],[Ca]:[Bắt đầu]]),0)),
$AA14&lt;MIN(AW$5,VLOOKUP(AW$6, Table_ChiPhiNV_Ca[], COUNTA(Table_ChiPhiNV_Ca[[#Headers],[Ca]:[Kết thúc]]),0))),
SUM(_xlfn._xlws.FILTER(Table_BangLuong_TyLeTangCa[Tỷ lệ],
(Table_BangLuong_TyLeTangCa[Ngày] = "Thường") *
(Table_BangLuong_TyLeTangCa[Giờ min]&lt;=$AA14) *
(Table_BangLuong_TyLeTangCa[Giờ max]&gt;$AA14)
)),0)
)),
IF(AW$4 &lt; AW$5,
IF($AA14-$Z$4&lt;AW$4,0,
IF($AA14&gt;AW$5,0,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AW$5,$AA14 &lt; AW$4),0,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X14" s="18" cm="1">
        <f t="array" ref="AX14" xml:space="preserve">
IFERROR(
IF(AX$1="",0,
IF(AND(
$AA14&gt;=VLOOKUP(AX$6, Table_ChiPhiNV_Ca[], COUNTA(Table_ChiPhiNV_Ca[[#Headers],[Ca]:[Bắt đầu nghỉ]]),0),
$AA14&lt;VLOOKUP(AX$6, Table_ChiPhiNV_Ca[], COUNTA(Table_ChiPhiNV_Ca[[#Headers],[Ca]:[Kết thúc nghỉ]]),0)
),0,
IF(NOT(ISBLANK(AX$3)),
IF(ISBLANK(AX$7),0,
IF(AX$4 &lt; AX$5,
IF($AA14-$Z$4&lt;AX$4,0,
IF($AA14&gt;AX$5,0,
SUM(_xlfn._xlws.FILTER(Table_BangLuong_TyLeTangCa[Tỷ lệ],
(Table_BangLuong_TyLeTangCa[Ngày] = AX$3) *
(Table_BangLuong_TyLeTangCa[Giờ min]&lt;=$AA14) *
(Table_BangLuong_TyLeTangCa[Giờ max]&gt;$AA14)
)))),
IF(AND($AA14-$Z$4 &gt;= AX$5,$AA14 &lt; AX$4),0,
SUM(_xlfn._xlws.FILTER(Table_BangLuong_TyLeTangCa[Tỷ lệ],
(Table_BangLuong_TyLeTangCa[Ngày] = AX$3) *
(Table_BangLuong_TyLeTangCa[Giờ min]&lt;=$AA14) *
(Table_BangLuong_TyLeTangCa[Giờ max]&gt;$AA14)
))))
),
IF(ISBLANK(AX$7),
IF(VLOOKUP(AX$6, Table_ChiPhiNV_Ca[], COUNTA(Table_ChiPhiNV_Ca[[#Headers],[Ca]:[Kết thúc]]),0)&gt; VLOOKUP(AX$6, Table_ChiPhiNV_Ca[], COUNTA(Table_ChiPhiNV_Ca[[#Headers],[Ca]:[Bắt đầu]]),0),
IF($AA14-$Z$4&lt;MAX(AX$4,VLOOKUP(AX$6, Table_ChiPhiNV_Ca[], COUNTA(Table_ChiPhiNV_Ca[[#Headers],[Ca]:[Bắt đầu]]),0)),0,
IF($AA14&gt;MIN(AX$5,VLOOKUP(AX$6, Table_ChiPhiNV_Ca[], COUNTA(Table_ChiPhiNV_Ca[[#Headers],[Ca]:[Kết thúc]]),0)),0,
SUM(_xlfn._xlws.FILTER(Table_BangLuong_TyLeTangCa[Tỷ lệ],
(Table_BangLuong_TyLeTangCa[Ngày] = "Thường") *
(Table_BangLuong_TyLeTangCa[Giờ min]&lt;=$AA14) *
(Table_BangLuong_TyLeTangCa[Giờ max]&gt;$AA14)
)))),
IF(AX$4 &gt; AX$5,
IF(
AND(
$AA14-$Z$4&lt;MAX(AX$4,VLOOKUP(AX$6, Table_ChiPhiNV_Ca[], COUNTA(Table_ChiPhiNV_Ca[[#Headers],[Ca]:[Bắt đầu]]),0)),
$AA14&gt;MIN(AX$5,VLOOKUP(AX$6, Table_ChiPhiNV_Ca[], COUNTA(Table_ChiPhiNV_Ca[[#Headers],[Ca]:[Kết thúc]]),0))),0,
SUM(_xlfn._xlws.FILTER(Table_BangLuong_TyLeTangCa[Tỷ lệ],
(Table_BangLuong_TyLeTangCa[Ngày] = "Thường") *
(Table_BangLuong_TyLeTangCa[Giờ min]&lt;=$AA14) *
(Table_BangLuong_TyLeTangCa[Giờ max]&gt;$AA14)
))),
IF(
AND(
$AA14-$Z$4&gt;=MAX(AX$4,VLOOKUP(AX$6, Table_ChiPhiNV_Ca[], COUNTA(Table_ChiPhiNV_Ca[[#Headers],[Ca]:[Bắt đầu]]),0)),
$AA14&lt;MIN(AX$5,VLOOKUP(AX$6, Table_ChiPhiNV_Ca[], COUNTA(Table_ChiPhiNV_Ca[[#Headers],[Ca]:[Kết thúc]]),0))),
SUM(_xlfn._xlws.FILTER(Table_BangLuong_TyLeTangCa[Tỷ lệ],
(Table_BangLuong_TyLeTangCa[Ngày] = "Thường") *
(Table_BangLuong_TyLeTangCa[Giờ min]&lt;=$AA14) *
(Table_BangLuong_TyLeTangCa[Giờ max]&gt;$AA14)
)),0)
)),
IF(AX$4 &lt; AX$5,
IF($AA14-$Z$4&lt;AX$4,0,
IF($AA14&gt;AX$5,0,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AX$5,$AA14 &lt; AX$4),0,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Y14" s="18" cm="1">
        <f t="array" ref="AY14" xml:space="preserve">
IFERROR(
IF(AY$1="",0,
IF(AND(
$AA14&gt;=VLOOKUP(AY$6, Table_ChiPhiNV_Ca[], COUNTA(Table_ChiPhiNV_Ca[[#Headers],[Ca]:[Bắt đầu nghỉ]]),0),
$AA14&lt;VLOOKUP(AY$6, Table_ChiPhiNV_Ca[], COUNTA(Table_ChiPhiNV_Ca[[#Headers],[Ca]:[Kết thúc nghỉ]]),0)
),0,
IF(NOT(ISBLANK(AY$3)),
IF(ISBLANK(AY$7),0,
IF(AY$4 &lt; AY$5,
IF($AA14-$Z$4&lt;AY$4,0,
IF($AA14&gt;AY$5,0,
SUM(_xlfn._xlws.FILTER(Table_BangLuong_TyLeTangCa[Tỷ lệ],
(Table_BangLuong_TyLeTangCa[Ngày] = AY$3) *
(Table_BangLuong_TyLeTangCa[Giờ min]&lt;=$AA14) *
(Table_BangLuong_TyLeTangCa[Giờ max]&gt;$AA14)
)))),
IF(AND($AA14-$Z$4 &gt;= AY$5,$AA14 &lt; AY$4),0,
SUM(_xlfn._xlws.FILTER(Table_BangLuong_TyLeTangCa[Tỷ lệ],
(Table_BangLuong_TyLeTangCa[Ngày] = AY$3) *
(Table_BangLuong_TyLeTangCa[Giờ min]&lt;=$AA14) *
(Table_BangLuong_TyLeTangCa[Giờ max]&gt;$AA14)
))))
),
IF(ISBLANK(AY$7),
IF(VLOOKUP(AY$6, Table_ChiPhiNV_Ca[], COUNTA(Table_ChiPhiNV_Ca[[#Headers],[Ca]:[Kết thúc]]),0)&gt; VLOOKUP(AY$6, Table_ChiPhiNV_Ca[], COUNTA(Table_ChiPhiNV_Ca[[#Headers],[Ca]:[Bắt đầu]]),0),
IF($AA14-$Z$4&lt;MAX(AY$4,VLOOKUP(AY$6, Table_ChiPhiNV_Ca[], COUNTA(Table_ChiPhiNV_Ca[[#Headers],[Ca]:[Bắt đầu]]),0)),0,
IF($AA14&gt;MIN(AY$5,VLOOKUP(AY$6, Table_ChiPhiNV_Ca[], COUNTA(Table_ChiPhiNV_Ca[[#Headers],[Ca]:[Kết thúc]]),0)),0,
SUM(_xlfn._xlws.FILTER(Table_BangLuong_TyLeTangCa[Tỷ lệ],
(Table_BangLuong_TyLeTangCa[Ngày] = "Thường") *
(Table_BangLuong_TyLeTangCa[Giờ min]&lt;=$AA14) *
(Table_BangLuong_TyLeTangCa[Giờ max]&gt;$AA14)
)))),
IF(AY$4 &gt; AY$5,
IF(
AND(
$AA14-$Z$4&lt;MAX(AY$4,VLOOKUP(AY$6, Table_ChiPhiNV_Ca[], COUNTA(Table_ChiPhiNV_Ca[[#Headers],[Ca]:[Bắt đầu]]),0)),
$AA14&gt;MIN(AY$5,VLOOKUP(AY$6, Table_ChiPhiNV_Ca[], COUNTA(Table_ChiPhiNV_Ca[[#Headers],[Ca]:[Kết thúc]]),0))),0,
SUM(_xlfn._xlws.FILTER(Table_BangLuong_TyLeTangCa[Tỷ lệ],
(Table_BangLuong_TyLeTangCa[Ngày] = "Thường") *
(Table_BangLuong_TyLeTangCa[Giờ min]&lt;=$AA14) *
(Table_BangLuong_TyLeTangCa[Giờ max]&gt;$AA14)
))),
IF(
AND(
$AA14-$Z$4&gt;=MAX(AY$4,VLOOKUP(AY$6, Table_ChiPhiNV_Ca[], COUNTA(Table_ChiPhiNV_Ca[[#Headers],[Ca]:[Bắt đầu]]),0)),
$AA14&lt;MIN(AY$5,VLOOKUP(AY$6, Table_ChiPhiNV_Ca[], COUNTA(Table_ChiPhiNV_Ca[[#Headers],[Ca]:[Kết thúc]]),0))),
SUM(_xlfn._xlws.FILTER(Table_BangLuong_TyLeTangCa[Tỷ lệ],
(Table_BangLuong_TyLeTangCa[Ngày] = "Thường") *
(Table_BangLuong_TyLeTangCa[Giờ min]&lt;=$AA14) *
(Table_BangLuong_TyLeTangCa[Giờ max]&gt;$AA14)
)),0)
)),
IF(AY$4 &lt; AY$5,
IF($AA14-$Z$4&lt;AY$4,0,
IF($AA14&gt;AY$5,0,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AY$5,$AA14 &lt; AY$4),0,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Z14" s="18" cm="1">
        <f t="array" ref="AZ14" xml:space="preserve">
IFERROR(
IF(AZ$1="",0,
IF(AND(
$AA14&gt;=VLOOKUP(AZ$6, Table_ChiPhiNV_Ca[], COUNTA(Table_ChiPhiNV_Ca[[#Headers],[Ca]:[Bắt đầu nghỉ]]),0),
$AA14&lt;VLOOKUP(AZ$6, Table_ChiPhiNV_Ca[], COUNTA(Table_ChiPhiNV_Ca[[#Headers],[Ca]:[Kết thúc nghỉ]]),0)
),0,
IF(NOT(ISBLANK(AZ$3)),
IF(ISBLANK(AZ$7),0,
IF(AZ$4 &lt; AZ$5,
IF($AA14-$Z$4&lt;AZ$4,0,
IF($AA14&gt;AZ$5,0,
SUM(_xlfn._xlws.FILTER(Table_BangLuong_TyLeTangCa[Tỷ lệ],
(Table_BangLuong_TyLeTangCa[Ngày] = AZ$3) *
(Table_BangLuong_TyLeTangCa[Giờ min]&lt;=$AA14) *
(Table_BangLuong_TyLeTangCa[Giờ max]&gt;$AA14)
)))),
IF(AND($AA14-$Z$4 &gt;= AZ$5,$AA14 &lt; AZ$4),0,
SUM(_xlfn._xlws.FILTER(Table_BangLuong_TyLeTangCa[Tỷ lệ],
(Table_BangLuong_TyLeTangCa[Ngày] = AZ$3) *
(Table_BangLuong_TyLeTangCa[Giờ min]&lt;=$AA14) *
(Table_BangLuong_TyLeTangCa[Giờ max]&gt;$AA14)
))))
),
IF(ISBLANK(AZ$7),
IF(VLOOKUP(AZ$6, Table_ChiPhiNV_Ca[], COUNTA(Table_ChiPhiNV_Ca[[#Headers],[Ca]:[Kết thúc]]),0)&gt; VLOOKUP(AZ$6, Table_ChiPhiNV_Ca[], COUNTA(Table_ChiPhiNV_Ca[[#Headers],[Ca]:[Bắt đầu]]),0),
IF($AA14-$Z$4&lt;MAX(AZ$4,VLOOKUP(AZ$6, Table_ChiPhiNV_Ca[], COUNTA(Table_ChiPhiNV_Ca[[#Headers],[Ca]:[Bắt đầu]]),0)),0,
IF($AA14&gt;MIN(AZ$5,VLOOKUP(AZ$6, Table_ChiPhiNV_Ca[], COUNTA(Table_ChiPhiNV_Ca[[#Headers],[Ca]:[Kết thúc]]),0)),0,
SUM(_xlfn._xlws.FILTER(Table_BangLuong_TyLeTangCa[Tỷ lệ],
(Table_BangLuong_TyLeTangCa[Ngày] = "Thường") *
(Table_BangLuong_TyLeTangCa[Giờ min]&lt;=$AA14) *
(Table_BangLuong_TyLeTangCa[Giờ max]&gt;$AA14)
)))),
IF(AZ$4 &gt; AZ$5,
IF(
AND(
$AA14-$Z$4&lt;MAX(AZ$4,VLOOKUP(AZ$6, Table_ChiPhiNV_Ca[], COUNTA(Table_ChiPhiNV_Ca[[#Headers],[Ca]:[Bắt đầu]]),0)),
$AA14&gt;MIN(AZ$5,VLOOKUP(AZ$6, Table_ChiPhiNV_Ca[], COUNTA(Table_ChiPhiNV_Ca[[#Headers],[Ca]:[Kết thúc]]),0))),0,
SUM(_xlfn._xlws.FILTER(Table_BangLuong_TyLeTangCa[Tỷ lệ],
(Table_BangLuong_TyLeTangCa[Ngày] = "Thường") *
(Table_BangLuong_TyLeTangCa[Giờ min]&lt;=$AA14) *
(Table_BangLuong_TyLeTangCa[Giờ max]&gt;$AA14)
))),
IF(
AND(
$AA14-$Z$4&gt;=MAX(AZ$4,VLOOKUP(AZ$6, Table_ChiPhiNV_Ca[], COUNTA(Table_ChiPhiNV_Ca[[#Headers],[Ca]:[Bắt đầu]]),0)),
$AA14&lt;MIN(AZ$5,VLOOKUP(AZ$6, Table_ChiPhiNV_Ca[], COUNTA(Table_ChiPhiNV_Ca[[#Headers],[Ca]:[Kết thúc]]),0))),
SUM(_xlfn._xlws.FILTER(Table_BangLuong_TyLeTangCa[Tỷ lệ],
(Table_BangLuong_TyLeTangCa[Ngày] = "Thường") *
(Table_BangLuong_TyLeTangCa[Giờ min]&lt;=$AA14) *
(Table_BangLuong_TyLeTangCa[Giờ max]&gt;$AA14)
)),0)
)),
IF(AZ$4 &lt; AZ$5,
IF($AA14-$Z$4&lt;AZ$4,0,
IF($AA14&gt;AZ$5,0,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AZ$5,$AA14 &lt; AZ$4),0,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A14" s="18" cm="1">
        <f t="array" ref="BA14" xml:space="preserve">
IFERROR(
IF(BA$1="",0,
IF(AND(
$AA14&gt;=VLOOKUP(BA$6, Table_ChiPhiNV_Ca[], COUNTA(Table_ChiPhiNV_Ca[[#Headers],[Ca]:[Bắt đầu nghỉ]]),0),
$AA14&lt;VLOOKUP(BA$6, Table_ChiPhiNV_Ca[], COUNTA(Table_ChiPhiNV_Ca[[#Headers],[Ca]:[Kết thúc nghỉ]]),0)
),0,
IF(NOT(ISBLANK(BA$3)),
IF(ISBLANK(BA$7),0,
IF(BA$4 &lt; BA$5,
IF($AA14-$Z$4&lt;BA$4,0,
IF($AA14&gt;BA$5,0,
SUM(_xlfn._xlws.FILTER(Table_BangLuong_TyLeTangCa[Tỷ lệ],
(Table_BangLuong_TyLeTangCa[Ngày] = BA$3) *
(Table_BangLuong_TyLeTangCa[Giờ min]&lt;=$AA14) *
(Table_BangLuong_TyLeTangCa[Giờ max]&gt;$AA14)
)))),
IF(AND($AA14-$Z$4 &gt;= BA$5,$AA14 &lt; BA$4),0,
SUM(_xlfn._xlws.FILTER(Table_BangLuong_TyLeTangCa[Tỷ lệ],
(Table_BangLuong_TyLeTangCa[Ngày] = BA$3) *
(Table_BangLuong_TyLeTangCa[Giờ min]&lt;=$AA14) *
(Table_BangLuong_TyLeTangCa[Giờ max]&gt;$AA14)
))))
),
IF(ISBLANK(BA$7),
IF(VLOOKUP(BA$6, Table_ChiPhiNV_Ca[], COUNTA(Table_ChiPhiNV_Ca[[#Headers],[Ca]:[Kết thúc]]),0)&gt; VLOOKUP(BA$6, Table_ChiPhiNV_Ca[], COUNTA(Table_ChiPhiNV_Ca[[#Headers],[Ca]:[Bắt đầu]]),0),
IF($AA14-$Z$4&lt;MAX(BA$4,VLOOKUP(BA$6, Table_ChiPhiNV_Ca[], COUNTA(Table_ChiPhiNV_Ca[[#Headers],[Ca]:[Bắt đầu]]),0)),0,
IF($AA14&gt;MIN(BA$5,VLOOKUP(BA$6, Table_ChiPhiNV_Ca[], COUNTA(Table_ChiPhiNV_Ca[[#Headers],[Ca]:[Kết thúc]]),0)),0,
SUM(_xlfn._xlws.FILTER(Table_BangLuong_TyLeTangCa[Tỷ lệ],
(Table_BangLuong_TyLeTangCa[Ngày] = "Thường") *
(Table_BangLuong_TyLeTangCa[Giờ min]&lt;=$AA14) *
(Table_BangLuong_TyLeTangCa[Giờ max]&gt;$AA14)
)))),
IF(BA$4 &gt; BA$5,
IF(
AND(
$AA14-$Z$4&lt;MAX(BA$4,VLOOKUP(BA$6, Table_ChiPhiNV_Ca[], COUNTA(Table_ChiPhiNV_Ca[[#Headers],[Ca]:[Bắt đầu]]),0)),
$AA14&gt;MIN(BA$5,VLOOKUP(BA$6, Table_ChiPhiNV_Ca[], COUNTA(Table_ChiPhiNV_Ca[[#Headers],[Ca]:[Kết thúc]]),0))),0,
SUM(_xlfn._xlws.FILTER(Table_BangLuong_TyLeTangCa[Tỷ lệ],
(Table_BangLuong_TyLeTangCa[Ngày] = "Thường") *
(Table_BangLuong_TyLeTangCa[Giờ min]&lt;=$AA14) *
(Table_BangLuong_TyLeTangCa[Giờ max]&gt;$AA14)
))),
IF(
AND(
$AA14-$Z$4&gt;=MAX(BA$4,VLOOKUP(BA$6, Table_ChiPhiNV_Ca[], COUNTA(Table_ChiPhiNV_Ca[[#Headers],[Ca]:[Bắt đầu]]),0)),
$AA14&lt;MIN(BA$5,VLOOKUP(BA$6, Table_ChiPhiNV_Ca[], COUNTA(Table_ChiPhiNV_Ca[[#Headers],[Ca]:[Kết thúc]]),0))),
SUM(_xlfn._xlws.FILTER(Table_BangLuong_TyLeTangCa[Tỷ lệ],
(Table_BangLuong_TyLeTangCa[Ngày] = "Thường") *
(Table_BangLuong_TyLeTangCa[Giờ min]&lt;=$AA14) *
(Table_BangLuong_TyLeTangCa[Giờ max]&gt;$AA14)
)),0)
)),
IF(BA$4 &lt; BA$5,
IF($AA14-$Z$4&lt;BA$4,0,
IF($AA14&gt;BA$5,0,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BA$5,$AA14 &lt; BA$4),0,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B14" s="18" cm="1">
        <f t="array" ref="BB14" xml:space="preserve">
IFERROR(
IF(BB$1="",0,
IF(AND(
$AA14&gt;=VLOOKUP(BB$6, Table_ChiPhiNV_Ca[], COUNTA(Table_ChiPhiNV_Ca[[#Headers],[Ca]:[Bắt đầu nghỉ]]),0),
$AA14&lt;VLOOKUP(BB$6, Table_ChiPhiNV_Ca[], COUNTA(Table_ChiPhiNV_Ca[[#Headers],[Ca]:[Kết thúc nghỉ]]),0)
),0,
IF(NOT(ISBLANK(BB$3)),
IF(ISBLANK(BB$7),0,
IF(BB$4 &lt; BB$5,
IF($AA14-$Z$4&lt;BB$4,0,
IF($AA14&gt;BB$5,0,
SUM(_xlfn._xlws.FILTER(Table_BangLuong_TyLeTangCa[Tỷ lệ],
(Table_BangLuong_TyLeTangCa[Ngày] = BB$3) *
(Table_BangLuong_TyLeTangCa[Giờ min]&lt;=$AA14) *
(Table_BangLuong_TyLeTangCa[Giờ max]&gt;$AA14)
)))),
IF(AND($AA14-$Z$4 &gt;= BB$5,$AA14 &lt; BB$4),0,
SUM(_xlfn._xlws.FILTER(Table_BangLuong_TyLeTangCa[Tỷ lệ],
(Table_BangLuong_TyLeTangCa[Ngày] = BB$3) *
(Table_BangLuong_TyLeTangCa[Giờ min]&lt;=$AA14) *
(Table_BangLuong_TyLeTangCa[Giờ max]&gt;$AA14)
))))
),
IF(ISBLANK(BB$7),
IF(VLOOKUP(BB$6, Table_ChiPhiNV_Ca[], COUNTA(Table_ChiPhiNV_Ca[[#Headers],[Ca]:[Kết thúc]]),0)&gt; VLOOKUP(BB$6, Table_ChiPhiNV_Ca[], COUNTA(Table_ChiPhiNV_Ca[[#Headers],[Ca]:[Bắt đầu]]),0),
IF($AA14-$Z$4&lt;MAX(BB$4,VLOOKUP(BB$6, Table_ChiPhiNV_Ca[], COUNTA(Table_ChiPhiNV_Ca[[#Headers],[Ca]:[Bắt đầu]]),0)),0,
IF($AA14&gt;MIN(BB$5,VLOOKUP(BB$6, Table_ChiPhiNV_Ca[], COUNTA(Table_ChiPhiNV_Ca[[#Headers],[Ca]:[Kết thúc]]),0)),0,
SUM(_xlfn._xlws.FILTER(Table_BangLuong_TyLeTangCa[Tỷ lệ],
(Table_BangLuong_TyLeTangCa[Ngày] = "Thường") *
(Table_BangLuong_TyLeTangCa[Giờ min]&lt;=$AA14) *
(Table_BangLuong_TyLeTangCa[Giờ max]&gt;$AA14)
)))),
IF(BB$4 &gt; BB$5,
IF(
AND(
$AA14-$Z$4&lt;MAX(BB$4,VLOOKUP(BB$6, Table_ChiPhiNV_Ca[], COUNTA(Table_ChiPhiNV_Ca[[#Headers],[Ca]:[Bắt đầu]]),0)),
$AA14&gt;MIN(BB$5,VLOOKUP(BB$6, Table_ChiPhiNV_Ca[], COUNTA(Table_ChiPhiNV_Ca[[#Headers],[Ca]:[Kết thúc]]),0))),0,
SUM(_xlfn._xlws.FILTER(Table_BangLuong_TyLeTangCa[Tỷ lệ],
(Table_BangLuong_TyLeTangCa[Ngày] = "Thường") *
(Table_BangLuong_TyLeTangCa[Giờ min]&lt;=$AA14) *
(Table_BangLuong_TyLeTangCa[Giờ max]&gt;$AA14)
))),
IF(
AND(
$AA14-$Z$4&gt;=MAX(BB$4,VLOOKUP(BB$6, Table_ChiPhiNV_Ca[], COUNTA(Table_ChiPhiNV_Ca[[#Headers],[Ca]:[Bắt đầu]]),0)),
$AA14&lt;MIN(BB$5,VLOOKUP(BB$6, Table_ChiPhiNV_Ca[], COUNTA(Table_ChiPhiNV_Ca[[#Headers],[Ca]:[Kết thúc]]),0))),
SUM(_xlfn._xlws.FILTER(Table_BangLuong_TyLeTangCa[Tỷ lệ],
(Table_BangLuong_TyLeTangCa[Ngày] = "Thường") *
(Table_BangLuong_TyLeTangCa[Giờ min]&lt;=$AA14) *
(Table_BangLuong_TyLeTangCa[Giờ max]&gt;$AA14)
)),0)
)),
IF(BB$4 &lt; BB$5,
IF($AA14-$Z$4&lt;BB$4,0,
IF($AA14&gt;BB$5,0,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BB$5,$AA14 &lt; BB$4),0,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C14" s="18" cm="1">
        <f t="array" ref="BC14" xml:space="preserve">
IFERROR(
IF(BC$1="",0,
IF(AND(
$AA14&gt;=VLOOKUP(BC$6, Table_ChiPhiNV_Ca[], COUNTA(Table_ChiPhiNV_Ca[[#Headers],[Ca]:[Bắt đầu nghỉ]]),0),
$AA14&lt;VLOOKUP(BC$6, Table_ChiPhiNV_Ca[], COUNTA(Table_ChiPhiNV_Ca[[#Headers],[Ca]:[Kết thúc nghỉ]]),0)
),0,
IF(NOT(ISBLANK(BC$3)),
IF(ISBLANK(BC$7),0,
IF(BC$4 &lt; BC$5,
IF($AA14-$Z$4&lt;BC$4,0,
IF($AA14&gt;BC$5,0,
SUM(_xlfn._xlws.FILTER(Table_BangLuong_TyLeTangCa[Tỷ lệ],
(Table_BangLuong_TyLeTangCa[Ngày] = BC$3) *
(Table_BangLuong_TyLeTangCa[Giờ min]&lt;=$AA14) *
(Table_BangLuong_TyLeTangCa[Giờ max]&gt;$AA14)
)))),
IF(AND($AA14-$Z$4 &gt;= BC$5,$AA14 &lt; BC$4),0,
SUM(_xlfn._xlws.FILTER(Table_BangLuong_TyLeTangCa[Tỷ lệ],
(Table_BangLuong_TyLeTangCa[Ngày] = BC$3) *
(Table_BangLuong_TyLeTangCa[Giờ min]&lt;=$AA14) *
(Table_BangLuong_TyLeTangCa[Giờ max]&gt;$AA14)
))))
),
IF(ISBLANK(BC$7),
IF(VLOOKUP(BC$6, Table_ChiPhiNV_Ca[], COUNTA(Table_ChiPhiNV_Ca[[#Headers],[Ca]:[Kết thúc]]),0)&gt; VLOOKUP(BC$6, Table_ChiPhiNV_Ca[], COUNTA(Table_ChiPhiNV_Ca[[#Headers],[Ca]:[Bắt đầu]]),0),
IF($AA14-$Z$4&lt;MAX(BC$4,VLOOKUP(BC$6, Table_ChiPhiNV_Ca[], COUNTA(Table_ChiPhiNV_Ca[[#Headers],[Ca]:[Bắt đầu]]),0)),0,
IF($AA14&gt;MIN(BC$5,VLOOKUP(BC$6, Table_ChiPhiNV_Ca[], COUNTA(Table_ChiPhiNV_Ca[[#Headers],[Ca]:[Kết thúc]]),0)),0,
SUM(_xlfn._xlws.FILTER(Table_BangLuong_TyLeTangCa[Tỷ lệ],
(Table_BangLuong_TyLeTangCa[Ngày] = "Thường") *
(Table_BangLuong_TyLeTangCa[Giờ min]&lt;=$AA14) *
(Table_BangLuong_TyLeTangCa[Giờ max]&gt;$AA14)
)))),
IF(BC$4 &gt; BC$5,
IF(
AND(
$AA14-$Z$4&lt;MAX(BC$4,VLOOKUP(BC$6, Table_ChiPhiNV_Ca[], COUNTA(Table_ChiPhiNV_Ca[[#Headers],[Ca]:[Bắt đầu]]),0)),
$AA14&gt;MIN(BC$5,VLOOKUP(BC$6, Table_ChiPhiNV_Ca[], COUNTA(Table_ChiPhiNV_Ca[[#Headers],[Ca]:[Kết thúc]]),0))),0,
SUM(_xlfn._xlws.FILTER(Table_BangLuong_TyLeTangCa[Tỷ lệ],
(Table_BangLuong_TyLeTangCa[Ngày] = "Thường") *
(Table_BangLuong_TyLeTangCa[Giờ min]&lt;=$AA14) *
(Table_BangLuong_TyLeTangCa[Giờ max]&gt;$AA14)
))),
IF(
AND(
$AA14-$Z$4&gt;=MAX(BC$4,VLOOKUP(BC$6, Table_ChiPhiNV_Ca[], COUNTA(Table_ChiPhiNV_Ca[[#Headers],[Ca]:[Bắt đầu]]),0)),
$AA14&lt;MIN(BC$5,VLOOKUP(BC$6, Table_ChiPhiNV_Ca[], COUNTA(Table_ChiPhiNV_Ca[[#Headers],[Ca]:[Kết thúc]]),0))),
SUM(_xlfn._xlws.FILTER(Table_BangLuong_TyLeTangCa[Tỷ lệ],
(Table_BangLuong_TyLeTangCa[Ngày] = "Thường") *
(Table_BangLuong_TyLeTangCa[Giờ min]&lt;=$AA14) *
(Table_BangLuong_TyLeTangCa[Giờ max]&gt;$AA14)
)),0)
)),
IF(BC$4 &lt; BC$5,
IF($AA14-$Z$4&lt;BC$4,0,
IF($AA14&gt;BC$5,0,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BC$5,$AA14 &lt; BC$4),0,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D14" s="18" cm="1">
        <f t="array" ref="BD14" xml:space="preserve">
IFERROR(
IF(BD$1="",0,
IF(AND(
$AA14&gt;=VLOOKUP(BD$6, Table_ChiPhiNV_Ca[], COUNTA(Table_ChiPhiNV_Ca[[#Headers],[Ca]:[Bắt đầu nghỉ]]),0),
$AA14&lt;VLOOKUP(BD$6, Table_ChiPhiNV_Ca[], COUNTA(Table_ChiPhiNV_Ca[[#Headers],[Ca]:[Kết thúc nghỉ]]),0)
),0,
IF(NOT(ISBLANK(BD$3)),
IF(ISBLANK(BD$7),0,
IF(BD$4 &lt; BD$5,
IF($AA14-$Z$4&lt;BD$4,0,
IF($AA14&gt;BD$5,0,
SUM(_xlfn._xlws.FILTER(Table_BangLuong_TyLeTangCa[Tỷ lệ],
(Table_BangLuong_TyLeTangCa[Ngày] = BD$3) *
(Table_BangLuong_TyLeTangCa[Giờ min]&lt;=$AA14) *
(Table_BangLuong_TyLeTangCa[Giờ max]&gt;$AA14)
)))),
IF(AND($AA14-$Z$4 &gt;= BD$5,$AA14 &lt; BD$4),0,
SUM(_xlfn._xlws.FILTER(Table_BangLuong_TyLeTangCa[Tỷ lệ],
(Table_BangLuong_TyLeTangCa[Ngày] = BD$3) *
(Table_BangLuong_TyLeTangCa[Giờ min]&lt;=$AA14) *
(Table_BangLuong_TyLeTangCa[Giờ max]&gt;$AA14)
))))
),
IF(ISBLANK(BD$7),
IF(VLOOKUP(BD$6, Table_ChiPhiNV_Ca[], COUNTA(Table_ChiPhiNV_Ca[[#Headers],[Ca]:[Kết thúc]]),0)&gt; VLOOKUP(BD$6, Table_ChiPhiNV_Ca[], COUNTA(Table_ChiPhiNV_Ca[[#Headers],[Ca]:[Bắt đầu]]),0),
IF($AA14-$Z$4&lt;MAX(BD$4,VLOOKUP(BD$6, Table_ChiPhiNV_Ca[], COUNTA(Table_ChiPhiNV_Ca[[#Headers],[Ca]:[Bắt đầu]]),0)),0,
IF($AA14&gt;MIN(BD$5,VLOOKUP(BD$6, Table_ChiPhiNV_Ca[], COUNTA(Table_ChiPhiNV_Ca[[#Headers],[Ca]:[Kết thúc]]),0)),0,
SUM(_xlfn._xlws.FILTER(Table_BangLuong_TyLeTangCa[Tỷ lệ],
(Table_BangLuong_TyLeTangCa[Ngày] = "Thường") *
(Table_BangLuong_TyLeTangCa[Giờ min]&lt;=$AA14) *
(Table_BangLuong_TyLeTangCa[Giờ max]&gt;$AA14)
)))),
IF(BD$4 &gt; BD$5,
IF(
AND(
$AA14-$Z$4&lt;MAX(BD$4,VLOOKUP(BD$6, Table_ChiPhiNV_Ca[], COUNTA(Table_ChiPhiNV_Ca[[#Headers],[Ca]:[Bắt đầu]]),0)),
$AA14&gt;MIN(BD$5,VLOOKUP(BD$6, Table_ChiPhiNV_Ca[], COUNTA(Table_ChiPhiNV_Ca[[#Headers],[Ca]:[Kết thúc]]),0))),0,
SUM(_xlfn._xlws.FILTER(Table_BangLuong_TyLeTangCa[Tỷ lệ],
(Table_BangLuong_TyLeTangCa[Ngày] = "Thường") *
(Table_BangLuong_TyLeTangCa[Giờ min]&lt;=$AA14) *
(Table_BangLuong_TyLeTangCa[Giờ max]&gt;$AA14)
))),
IF(
AND(
$AA14-$Z$4&gt;=MAX(BD$4,VLOOKUP(BD$6, Table_ChiPhiNV_Ca[], COUNTA(Table_ChiPhiNV_Ca[[#Headers],[Ca]:[Bắt đầu]]),0)),
$AA14&lt;MIN(BD$5,VLOOKUP(BD$6, Table_ChiPhiNV_Ca[], COUNTA(Table_ChiPhiNV_Ca[[#Headers],[Ca]:[Kết thúc]]),0))),
SUM(_xlfn._xlws.FILTER(Table_BangLuong_TyLeTangCa[Tỷ lệ],
(Table_BangLuong_TyLeTangCa[Ngày] = "Thường") *
(Table_BangLuong_TyLeTangCa[Giờ min]&lt;=$AA14) *
(Table_BangLuong_TyLeTangCa[Giờ max]&gt;$AA14)
)),0)
)),
IF(BD$4 &lt; BD$5,
IF($AA14-$Z$4&lt;BD$4,0,
IF($AA14&gt;BD$5,0,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BD$5,$AA14 &lt; BD$4),0,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E14" s="18" cm="1">
        <f t="array" ref="BE14" xml:space="preserve">
IFERROR(
IF(BE$1="",0,
IF(AND(
$AA14&gt;=VLOOKUP(BE$6, Table_ChiPhiNV_Ca[], COUNTA(Table_ChiPhiNV_Ca[[#Headers],[Ca]:[Bắt đầu nghỉ]]),0),
$AA14&lt;VLOOKUP(BE$6, Table_ChiPhiNV_Ca[], COUNTA(Table_ChiPhiNV_Ca[[#Headers],[Ca]:[Kết thúc nghỉ]]),0)
),0,
IF(NOT(ISBLANK(BE$3)),
IF(ISBLANK(BE$7),0,
IF(BE$4 &lt; BE$5,
IF($AA14-$Z$4&lt;BE$4,0,
IF($AA14&gt;BE$5,0,
SUM(_xlfn._xlws.FILTER(Table_BangLuong_TyLeTangCa[Tỷ lệ],
(Table_BangLuong_TyLeTangCa[Ngày] = BE$3) *
(Table_BangLuong_TyLeTangCa[Giờ min]&lt;=$AA14) *
(Table_BangLuong_TyLeTangCa[Giờ max]&gt;$AA14)
)))),
IF(AND($AA14-$Z$4 &gt;= BE$5,$AA14 &lt; BE$4),0,
SUM(_xlfn._xlws.FILTER(Table_BangLuong_TyLeTangCa[Tỷ lệ],
(Table_BangLuong_TyLeTangCa[Ngày] = BE$3) *
(Table_BangLuong_TyLeTangCa[Giờ min]&lt;=$AA14) *
(Table_BangLuong_TyLeTangCa[Giờ max]&gt;$AA14)
))))
),
IF(ISBLANK(BE$7),
IF(VLOOKUP(BE$6, Table_ChiPhiNV_Ca[], COUNTA(Table_ChiPhiNV_Ca[[#Headers],[Ca]:[Kết thúc]]),0)&gt; VLOOKUP(BE$6, Table_ChiPhiNV_Ca[], COUNTA(Table_ChiPhiNV_Ca[[#Headers],[Ca]:[Bắt đầu]]),0),
IF($AA14-$Z$4&lt;MAX(BE$4,VLOOKUP(BE$6, Table_ChiPhiNV_Ca[], COUNTA(Table_ChiPhiNV_Ca[[#Headers],[Ca]:[Bắt đầu]]),0)),0,
IF($AA14&gt;MIN(BE$5,VLOOKUP(BE$6, Table_ChiPhiNV_Ca[], COUNTA(Table_ChiPhiNV_Ca[[#Headers],[Ca]:[Kết thúc]]),0)),0,
SUM(_xlfn._xlws.FILTER(Table_BangLuong_TyLeTangCa[Tỷ lệ],
(Table_BangLuong_TyLeTangCa[Ngày] = "Thường") *
(Table_BangLuong_TyLeTangCa[Giờ min]&lt;=$AA14) *
(Table_BangLuong_TyLeTangCa[Giờ max]&gt;$AA14)
)))),
IF(BE$4 &gt; BE$5,
IF(
AND(
$AA14-$Z$4&lt;MAX(BE$4,VLOOKUP(BE$6, Table_ChiPhiNV_Ca[], COUNTA(Table_ChiPhiNV_Ca[[#Headers],[Ca]:[Bắt đầu]]),0)),
$AA14&gt;MIN(BE$5,VLOOKUP(BE$6, Table_ChiPhiNV_Ca[], COUNTA(Table_ChiPhiNV_Ca[[#Headers],[Ca]:[Kết thúc]]),0))),0,
SUM(_xlfn._xlws.FILTER(Table_BangLuong_TyLeTangCa[Tỷ lệ],
(Table_BangLuong_TyLeTangCa[Ngày] = "Thường") *
(Table_BangLuong_TyLeTangCa[Giờ min]&lt;=$AA14) *
(Table_BangLuong_TyLeTangCa[Giờ max]&gt;$AA14)
))),
IF(
AND(
$AA14-$Z$4&gt;=MAX(BE$4,VLOOKUP(BE$6, Table_ChiPhiNV_Ca[], COUNTA(Table_ChiPhiNV_Ca[[#Headers],[Ca]:[Bắt đầu]]),0)),
$AA14&lt;MIN(BE$5,VLOOKUP(BE$6, Table_ChiPhiNV_Ca[], COUNTA(Table_ChiPhiNV_Ca[[#Headers],[Ca]:[Kết thúc]]),0))),
SUM(_xlfn._xlws.FILTER(Table_BangLuong_TyLeTangCa[Tỷ lệ],
(Table_BangLuong_TyLeTangCa[Ngày] = "Thường") *
(Table_BangLuong_TyLeTangCa[Giờ min]&lt;=$AA14) *
(Table_BangLuong_TyLeTangCa[Giờ max]&gt;$AA14)
)),0)
)),
IF(BE$4 &lt; BE$5,
IF($AA14-$Z$4&lt;BE$4,0,
IF($AA14&gt;BE$5,0,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BE$5,$AA14 &lt; BE$4),0,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F14" s="18" cm="1">
        <f t="array" ref="BF14" xml:space="preserve">
IFERROR(
IF(BF$1="",0,
IF(AND(
$AA14&gt;=VLOOKUP(BF$6, Table_ChiPhiNV_Ca[], COUNTA(Table_ChiPhiNV_Ca[[#Headers],[Ca]:[Bắt đầu nghỉ]]),0),
$AA14&lt;VLOOKUP(BF$6, Table_ChiPhiNV_Ca[], COUNTA(Table_ChiPhiNV_Ca[[#Headers],[Ca]:[Kết thúc nghỉ]]),0)
),0,
IF(NOT(ISBLANK(BF$3)),
IF(ISBLANK(BF$7),0,
IF(BF$4 &lt; BF$5,
IF($AA14-$Z$4&lt;BF$4,0,
IF($AA14&gt;BF$5,0,
SUM(_xlfn._xlws.FILTER(Table_BangLuong_TyLeTangCa[Tỷ lệ],
(Table_BangLuong_TyLeTangCa[Ngày] = BF$3) *
(Table_BangLuong_TyLeTangCa[Giờ min]&lt;=$AA14) *
(Table_BangLuong_TyLeTangCa[Giờ max]&gt;$AA14)
)))),
IF(AND($AA14-$Z$4 &gt;= BF$5,$AA14 &lt; BF$4),0,
SUM(_xlfn._xlws.FILTER(Table_BangLuong_TyLeTangCa[Tỷ lệ],
(Table_BangLuong_TyLeTangCa[Ngày] = BF$3) *
(Table_BangLuong_TyLeTangCa[Giờ min]&lt;=$AA14) *
(Table_BangLuong_TyLeTangCa[Giờ max]&gt;$AA14)
))))
),
IF(ISBLANK(BF$7),
IF(VLOOKUP(BF$6, Table_ChiPhiNV_Ca[], COUNTA(Table_ChiPhiNV_Ca[[#Headers],[Ca]:[Kết thúc]]),0)&gt; VLOOKUP(BF$6, Table_ChiPhiNV_Ca[], COUNTA(Table_ChiPhiNV_Ca[[#Headers],[Ca]:[Bắt đầu]]),0),
IF($AA14-$Z$4&lt;MAX(BF$4,VLOOKUP(BF$6, Table_ChiPhiNV_Ca[], COUNTA(Table_ChiPhiNV_Ca[[#Headers],[Ca]:[Bắt đầu]]),0)),0,
IF($AA14&gt;MIN(BF$5,VLOOKUP(BF$6, Table_ChiPhiNV_Ca[], COUNTA(Table_ChiPhiNV_Ca[[#Headers],[Ca]:[Kết thúc]]),0)),0,
SUM(_xlfn._xlws.FILTER(Table_BangLuong_TyLeTangCa[Tỷ lệ],
(Table_BangLuong_TyLeTangCa[Ngày] = "Thường") *
(Table_BangLuong_TyLeTangCa[Giờ min]&lt;=$AA14) *
(Table_BangLuong_TyLeTangCa[Giờ max]&gt;$AA14)
)))),
IF(BF$4 &gt; BF$5,
IF(
AND(
$AA14-$Z$4&lt;MAX(BF$4,VLOOKUP(BF$6, Table_ChiPhiNV_Ca[], COUNTA(Table_ChiPhiNV_Ca[[#Headers],[Ca]:[Bắt đầu]]),0)),
$AA14&gt;MIN(BF$5,VLOOKUP(BF$6, Table_ChiPhiNV_Ca[], COUNTA(Table_ChiPhiNV_Ca[[#Headers],[Ca]:[Kết thúc]]),0))),0,
SUM(_xlfn._xlws.FILTER(Table_BangLuong_TyLeTangCa[Tỷ lệ],
(Table_BangLuong_TyLeTangCa[Ngày] = "Thường") *
(Table_BangLuong_TyLeTangCa[Giờ min]&lt;=$AA14) *
(Table_BangLuong_TyLeTangCa[Giờ max]&gt;$AA14)
))),
IF(
AND(
$AA14-$Z$4&gt;=MAX(BF$4,VLOOKUP(BF$6, Table_ChiPhiNV_Ca[], COUNTA(Table_ChiPhiNV_Ca[[#Headers],[Ca]:[Bắt đầu]]),0)),
$AA14&lt;MIN(BF$5,VLOOKUP(BF$6, Table_ChiPhiNV_Ca[], COUNTA(Table_ChiPhiNV_Ca[[#Headers],[Ca]:[Kết thúc]]),0))),
SUM(_xlfn._xlws.FILTER(Table_BangLuong_TyLeTangCa[Tỷ lệ],
(Table_BangLuong_TyLeTangCa[Ngày] = "Thường") *
(Table_BangLuong_TyLeTangCa[Giờ min]&lt;=$AA14) *
(Table_BangLuong_TyLeTangCa[Giờ max]&gt;$AA14)
)),0)
)),
IF(BF$4 &lt; BF$5,
IF($AA14-$Z$4&lt;BF$4,0,
IF($AA14&gt;BF$5,0,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BF$5,$AA14 &lt; BF$4),0,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row>
    <row r="15" spans="2:82" ht="18" customHeight="1" outlineLevel="1" x14ac:dyDescent="0.3">
      <c r="V15" s="42" t="s">
        <v>90</v>
      </c>
      <c r="W15" s="4">
        <v>50000000</v>
      </c>
      <c r="X15" s="4">
        <v>2</v>
      </c>
      <c r="AA15" s="50">
        <v>0.125</v>
      </c>
      <c r="AB15" s="18" cm="1">
        <f t="array" ref="AB15" xml:space="preserve">
IFERROR(
IF(AB$1="",0,
IF(AND(
$AA15&gt;=VLOOKUP(AB$6, Table_ChiPhiNV_Ca[], COUNTA(Table_ChiPhiNV_Ca[[#Headers],[Ca]:[Bắt đầu nghỉ]]),0),
$AA15&lt;VLOOKUP(AB$6, Table_ChiPhiNV_Ca[], COUNTA(Table_ChiPhiNV_Ca[[#Headers],[Ca]:[Kết thúc nghỉ]]),0)
),0,
IF(NOT(ISBLANK(AB$3)),
IF(ISBLANK(AB$7),0,
IF(AB$4 &lt; AB$5,
IF($AA15-$Z$4&lt;AB$4,0,
IF($AA15&gt;AB$5,0,
SUM(_xlfn._xlws.FILTER(Table_BangLuong_TyLeTangCa[Tỷ lệ],
(Table_BangLuong_TyLeTangCa[Ngày] = AB$3) *
(Table_BangLuong_TyLeTangCa[Giờ min]&lt;=$AA15) *
(Table_BangLuong_TyLeTangCa[Giờ max]&gt;$AA15)
)))),
IF(AND($AA15-$Z$4 &gt;= AB$5,$AA15 &lt; AB$4),0,
SUM(_xlfn._xlws.FILTER(Table_BangLuong_TyLeTangCa[Tỷ lệ],
(Table_BangLuong_TyLeTangCa[Ngày] = AB$3) *
(Table_BangLuong_TyLeTangCa[Giờ min]&lt;=$AA15) *
(Table_BangLuong_TyLeTangCa[Giờ max]&gt;$AA15)
))))
),
IF(ISBLANK(AB$7),
IF(VLOOKUP(AB$6, Table_ChiPhiNV_Ca[], COUNTA(Table_ChiPhiNV_Ca[[#Headers],[Ca]:[Kết thúc]]),0)&gt; VLOOKUP(AB$6, Table_ChiPhiNV_Ca[], COUNTA(Table_ChiPhiNV_Ca[[#Headers],[Ca]:[Bắt đầu]]),0),
IF($AA15-$Z$4&lt;MAX(AB$4,VLOOKUP(AB$6, Table_ChiPhiNV_Ca[], COUNTA(Table_ChiPhiNV_Ca[[#Headers],[Ca]:[Bắt đầu]]),0)),0,
IF($AA15&gt;MIN(AB$5,VLOOKUP(AB$6, Table_ChiPhiNV_Ca[], COUNTA(Table_ChiPhiNV_Ca[[#Headers],[Ca]:[Kết thúc]]),0)),0,
SUM(_xlfn._xlws.FILTER(Table_BangLuong_TyLeTangCa[Tỷ lệ],
(Table_BangLuong_TyLeTangCa[Ngày] = "Thường") *
(Table_BangLuong_TyLeTangCa[Giờ min]&lt;=$AA15) *
(Table_BangLuong_TyLeTangCa[Giờ max]&gt;$AA15)
)))),
IF(AB$4 &gt; AB$5,
IF(
AND(
$AA15-$Z$4&lt;MAX(AB$4,VLOOKUP(AB$6, Table_ChiPhiNV_Ca[], COUNTA(Table_ChiPhiNV_Ca[[#Headers],[Ca]:[Bắt đầu]]),0)),
$AA15&gt;MIN(AB$5,VLOOKUP(AB$6, Table_ChiPhiNV_Ca[], COUNTA(Table_ChiPhiNV_Ca[[#Headers],[Ca]:[Kết thúc]]),0))),0,
SUM(_xlfn._xlws.FILTER(Table_BangLuong_TyLeTangCa[Tỷ lệ],
(Table_BangLuong_TyLeTangCa[Ngày] = "Thường") *
(Table_BangLuong_TyLeTangCa[Giờ min]&lt;=$AA15) *
(Table_BangLuong_TyLeTangCa[Giờ max]&gt;$AA15)
))),
IF(
AND(
$AA15-$Z$4&gt;=MAX(AB$4,VLOOKUP(AB$6, Table_ChiPhiNV_Ca[], COUNTA(Table_ChiPhiNV_Ca[[#Headers],[Ca]:[Bắt đầu]]),0)),
$AA15&lt;MIN(AB$5,VLOOKUP(AB$6, Table_ChiPhiNV_Ca[], COUNTA(Table_ChiPhiNV_Ca[[#Headers],[Ca]:[Kết thúc]]),0))),
SUM(_xlfn._xlws.FILTER(Table_BangLuong_TyLeTangCa[Tỷ lệ],
(Table_BangLuong_TyLeTangCa[Ngày] = "Thường") *
(Table_BangLuong_TyLeTangCa[Giờ min]&lt;=$AA15) *
(Table_BangLuong_TyLeTangCa[Giờ max]&gt;$AA15)
)),0)
)),
IF(AB$4 &lt; AB$5,
IF($AA15-$Z$4&lt;AB$4,0,
IF($AA15&gt;AB$5,0,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AB$5,$AA15 &lt; AB$4),0,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C15" s="18" cm="1">
        <f t="array" ref="AC15" xml:space="preserve">
IFERROR(
IF(AC$1="",0,
IF(AND(
$AA15&gt;=VLOOKUP(AC$6, Table_ChiPhiNV_Ca[], COUNTA(Table_ChiPhiNV_Ca[[#Headers],[Ca]:[Bắt đầu nghỉ]]),0),
$AA15&lt;VLOOKUP(AC$6, Table_ChiPhiNV_Ca[], COUNTA(Table_ChiPhiNV_Ca[[#Headers],[Ca]:[Kết thúc nghỉ]]),0)
),0,
IF(NOT(ISBLANK(AC$3)),
IF(ISBLANK(AC$7),0,
IF(AC$4 &lt; AC$5,
IF($AA15-$Z$4&lt;AC$4,0,
IF($AA15&gt;AC$5,0,
SUM(_xlfn._xlws.FILTER(Table_BangLuong_TyLeTangCa[Tỷ lệ],
(Table_BangLuong_TyLeTangCa[Ngày] = AC$3) *
(Table_BangLuong_TyLeTangCa[Giờ min]&lt;=$AA15) *
(Table_BangLuong_TyLeTangCa[Giờ max]&gt;$AA15)
)))),
IF(AND($AA15-$Z$4 &gt;= AC$5,$AA15 &lt; AC$4),0,
SUM(_xlfn._xlws.FILTER(Table_BangLuong_TyLeTangCa[Tỷ lệ],
(Table_BangLuong_TyLeTangCa[Ngày] = AC$3) *
(Table_BangLuong_TyLeTangCa[Giờ min]&lt;=$AA15) *
(Table_BangLuong_TyLeTangCa[Giờ max]&gt;$AA15)
))))
),
IF(ISBLANK(AC$7),
IF(VLOOKUP(AC$6, Table_ChiPhiNV_Ca[], COUNTA(Table_ChiPhiNV_Ca[[#Headers],[Ca]:[Kết thúc]]),0)&gt; VLOOKUP(AC$6, Table_ChiPhiNV_Ca[], COUNTA(Table_ChiPhiNV_Ca[[#Headers],[Ca]:[Bắt đầu]]),0),
IF($AA15-$Z$4&lt;MAX(AC$4,VLOOKUP(AC$6, Table_ChiPhiNV_Ca[], COUNTA(Table_ChiPhiNV_Ca[[#Headers],[Ca]:[Bắt đầu]]),0)),0,
IF($AA15&gt;MIN(AC$5,VLOOKUP(AC$6, Table_ChiPhiNV_Ca[], COUNTA(Table_ChiPhiNV_Ca[[#Headers],[Ca]:[Kết thúc]]),0)),0,
SUM(_xlfn._xlws.FILTER(Table_BangLuong_TyLeTangCa[Tỷ lệ],
(Table_BangLuong_TyLeTangCa[Ngày] = "Thường") *
(Table_BangLuong_TyLeTangCa[Giờ min]&lt;=$AA15) *
(Table_BangLuong_TyLeTangCa[Giờ max]&gt;$AA15)
)))),
IF(AC$4 &gt; AC$5,
IF(
AND(
$AA15-$Z$4&lt;MAX(AC$4,VLOOKUP(AC$6, Table_ChiPhiNV_Ca[], COUNTA(Table_ChiPhiNV_Ca[[#Headers],[Ca]:[Bắt đầu]]),0)),
$AA15&gt;MIN(AC$5,VLOOKUP(AC$6, Table_ChiPhiNV_Ca[], COUNTA(Table_ChiPhiNV_Ca[[#Headers],[Ca]:[Kết thúc]]),0))),0,
SUM(_xlfn._xlws.FILTER(Table_BangLuong_TyLeTangCa[Tỷ lệ],
(Table_BangLuong_TyLeTangCa[Ngày] = "Thường") *
(Table_BangLuong_TyLeTangCa[Giờ min]&lt;=$AA15) *
(Table_BangLuong_TyLeTangCa[Giờ max]&gt;$AA15)
))),
IF(
AND(
$AA15-$Z$4&gt;=MAX(AC$4,VLOOKUP(AC$6, Table_ChiPhiNV_Ca[], COUNTA(Table_ChiPhiNV_Ca[[#Headers],[Ca]:[Bắt đầu]]),0)),
$AA15&lt;MIN(AC$5,VLOOKUP(AC$6, Table_ChiPhiNV_Ca[], COUNTA(Table_ChiPhiNV_Ca[[#Headers],[Ca]:[Kết thúc]]),0))),
SUM(_xlfn._xlws.FILTER(Table_BangLuong_TyLeTangCa[Tỷ lệ],
(Table_BangLuong_TyLeTangCa[Ngày] = "Thường") *
(Table_BangLuong_TyLeTangCa[Giờ min]&lt;=$AA15) *
(Table_BangLuong_TyLeTangCa[Giờ max]&gt;$AA15)
)),0)
)),
IF(AC$4 &lt; AC$5,
IF($AA15-$Z$4&lt;AC$4,0,
IF($AA15&gt;AC$5,0,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AC$5,$AA15 &lt; AC$4),0,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D15" s="18" cm="1">
        <f t="array" ref="AD15" xml:space="preserve">
IFERROR(
IF(AD$1="",0,
IF(AND(
$AA15&gt;=VLOOKUP(AD$6, Table_ChiPhiNV_Ca[], COUNTA(Table_ChiPhiNV_Ca[[#Headers],[Ca]:[Bắt đầu nghỉ]]),0),
$AA15&lt;VLOOKUP(AD$6, Table_ChiPhiNV_Ca[], COUNTA(Table_ChiPhiNV_Ca[[#Headers],[Ca]:[Kết thúc nghỉ]]),0)
),0,
IF(NOT(ISBLANK(AD$3)),
IF(ISBLANK(AD$7),0,
IF(AD$4 &lt; AD$5,
IF($AA15-$Z$4&lt;AD$4,0,
IF($AA15&gt;AD$5,0,
SUM(_xlfn._xlws.FILTER(Table_BangLuong_TyLeTangCa[Tỷ lệ],
(Table_BangLuong_TyLeTangCa[Ngày] = AD$3) *
(Table_BangLuong_TyLeTangCa[Giờ min]&lt;=$AA15) *
(Table_BangLuong_TyLeTangCa[Giờ max]&gt;$AA15)
)))),
IF(AND($AA15-$Z$4 &gt;= AD$5,$AA15 &lt; AD$4),0,
SUM(_xlfn._xlws.FILTER(Table_BangLuong_TyLeTangCa[Tỷ lệ],
(Table_BangLuong_TyLeTangCa[Ngày] = AD$3) *
(Table_BangLuong_TyLeTangCa[Giờ min]&lt;=$AA15) *
(Table_BangLuong_TyLeTangCa[Giờ max]&gt;$AA15)
))))
),
IF(ISBLANK(AD$7),
IF(VLOOKUP(AD$6, Table_ChiPhiNV_Ca[], COUNTA(Table_ChiPhiNV_Ca[[#Headers],[Ca]:[Kết thúc]]),0)&gt; VLOOKUP(AD$6, Table_ChiPhiNV_Ca[], COUNTA(Table_ChiPhiNV_Ca[[#Headers],[Ca]:[Bắt đầu]]),0),
IF($AA15-$Z$4&lt;MAX(AD$4,VLOOKUP(AD$6, Table_ChiPhiNV_Ca[], COUNTA(Table_ChiPhiNV_Ca[[#Headers],[Ca]:[Bắt đầu]]),0)),0,
IF($AA15&gt;MIN(AD$5,VLOOKUP(AD$6, Table_ChiPhiNV_Ca[], COUNTA(Table_ChiPhiNV_Ca[[#Headers],[Ca]:[Kết thúc]]),0)),0,
SUM(_xlfn._xlws.FILTER(Table_BangLuong_TyLeTangCa[Tỷ lệ],
(Table_BangLuong_TyLeTangCa[Ngày] = "Thường") *
(Table_BangLuong_TyLeTangCa[Giờ min]&lt;=$AA15) *
(Table_BangLuong_TyLeTangCa[Giờ max]&gt;$AA15)
)))),
IF(AD$4 &gt; AD$5,
IF(
AND(
$AA15-$Z$4&lt;MAX(AD$4,VLOOKUP(AD$6, Table_ChiPhiNV_Ca[], COUNTA(Table_ChiPhiNV_Ca[[#Headers],[Ca]:[Bắt đầu]]),0)),
$AA15&gt;MIN(AD$5,VLOOKUP(AD$6, Table_ChiPhiNV_Ca[], COUNTA(Table_ChiPhiNV_Ca[[#Headers],[Ca]:[Kết thúc]]),0))),0,
SUM(_xlfn._xlws.FILTER(Table_BangLuong_TyLeTangCa[Tỷ lệ],
(Table_BangLuong_TyLeTangCa[Ngày] = "Thường") *
(Table_BangLuong_TyLeTangCa[Giờ min]&lt;=$AA15) *
(Table_BangLuong_TyLeTangCa[Giờ max]&gt;$AA15)
))),
IF(
AND(
$AA15-$Z$4&gt;=MAX(AD$4,VLOOKUP(AD$6, Table_ChiPhiNV_Ca[], COUNTA(Table_ChiPhiNV_Ca[[#Headers],[Ca]:[Bắt đầu]]),0)),
$AA15&lt;MIN(AD$5,VLOOKUP(AD$6, Table_ChiPhiNV_Ca[], COUNTA(Table_ChiPhiNV_Ca[[#Headers],[Ca]:[Kết thúc]]),0))),
SUM(_xlfn._xlws.FILTER(Table_BangLuong_TyLeTangCa[Tỷ lệ],
(Table_BangLuong_TyLeTangCa[Ngày] = "Thường") *
(Table_BangLuong_TyLeTangCa[Giờ min]&lt;=$AA15) *
(Table_BangLuong_TyLeTangCa[Giờ max]&gt;$AA15)
)),0)
)),
IF(AD$4 &lt; AD$5,
IF($AA15-$Z$4&lt;AD$4,0,
IF($AA15&gt;AD$5,0,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AD$5,$AA15 &lt; AD$4),0,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E15" s="18" cm="1">
        <f t="array" ref="AE15" xml:space="preserve">
IFERROR(
IF(AE$1="",0,
IF(AND(
$AA15&gt;=VLOOKUP(AE$6, Table_ChiPhiNV_Ca[], COUNTA(Table_ChiPhiNV_Ca[[#Headers],[Ca]:[Bắt đầu nghỉ]]),0),
$AA15&lt;VLOOKUP(AE$6, Table_ChiPhiNV_Ca[], COUNTA(Table_ChiPhiNV_Ca[[#Headers],[Ca]:[Kết thúc nghỉ]]),0)
),0,
IF(NOT(ISBLANK(AE$3)),
IF(ISBLANK(AE$7),0,
IF(AE$4 &lt; AE$5,
IF($AA15-$Z$4&lt;AE$4,0,
IF($AA15&gt;AE$5,0,
SUM(_xlfn._xlws.FILTER(Table_BangLuong_TyLeTangCa[Tỷ lệ],
(Table_BangLuong_TyLeTangCa[Ngày] = AE$3) *
(Table_BangLuong_TyLeTangCa[Giờ min]&lt;=$AA15) *
(Table_BangLuong_TyLeTangCa[Giờ max]&gt;$AA15)
)))),
IF(AND($AA15-$Z$4 &gt;= AE$5,$AA15 &lt; AE$4),0,
SUM(_xlfn._xlws.FILTER(Table_BangLuong_TyLeTangCa[Tỷ lệ],
(Table_BangLuong_TyLeTangCa[Ngày] = AE$3) *
(Table_BangLuong_TyLeTangCa[Giờ min]&lt;=$AA15) *
(Table_BangLuong_TyLeTangCa[Giờ max]&gt;$AA15)
))))
),
IF(ISBLANK(AE$7),
IF(VLOOKUP(AE$6, Table_ChiPhiNV_Ca[], COUNTA(Table_ChiPhiNV_Ca[[#Headers],[Ca]:[Kết thúc]]),0)&gt; VLOOKUP(AE$6, Table_ChiPhiNV_Ca[], COUNTA(Table_ChiPhiNV_Ca[[#Headers],[Ca]:[Bắt đầu]]),0),
IF($AA15-$Z$4&lt;MAX(AE$4,VLOOKUP(AE$6, Table_ChiPhiNV_Ca[], COUNTA(Table_ChiPhiNV_Ca[[#Headers],[Ca]:[Bắt đầu]]),0)),0,
IF($AA15&gt;MIN(AE$5,VLOOKUP(AE$6, Table_ChiPhiNV_Ca[], COUNTA(Table_ChiPhiNV_Ca[[#Headers],[Ca]:[Kết thúc]]),0)),0,
SUM(_xlfn._xlws.FILTER(Table_BangLuong_TyLeTangCa[Tỷ lệ],
(Table_BangLuong_TyLeTangCa[Ngày] = "Thường") *
(Table_BangLuong_TyLeTangCa[Giờ min]&lt;=$AA15) *
(Table_BangLuong_TyLeTangCa[Giờ max]&gt;$AA15)
)))),
IF(AE$4 &gt; AE$5,
IF(
AND(
$AA15-$Z$4&lt;MAX(AE$4,VLOOKUP(AE$6, Table_ChiPhiNV_Ca[], COUNTA(Table_ChiPhiNV_Ca[[#Headers],[Ca]:[Bắt đầu]]),0)),
$AA15&gt;MIN(AE$5,VLOOKUP(AE$6, Table_ChiPhiNV_Ca[], COUNTA(Table_ChiPhiNV_Ca[[#Headers],[Ca]:[Kết thúc]]),0))),0,
SUM(_xlfn._xlws.FILTER(Table_BangLuong_TyLeTangCa[Tỷ lệ],
(Table_BangLuong_TyLeTangCa[Ngày] = "Thường") *
(Table_BangLuong_TyLeTangCa[Giờ min]&lt;=$AA15) *
(Table_BangLuong_TyLeTangCa[Giờ max]&gt;$AA15)
))),
IF(
AND(
$AA15-$Z$4&gt;=MAX(AE$4,VLOOKUP(AE$6, Table_ChiPhiNV_Ca[], COUNTA(Table_ChiPhiNV_Ca[[#Headers],[Ca]:[Bắt đầu]]),0)),
$AA15&lt;MIN(AE$5,VLOOKUP(AE$6, Table_ChiPhiNV_Ca[], COUNTA(Table_ChiPhiNV_Ca[[#Headers],[Ca]:[Kết thúc]]),0))),
SUM(_xlfn._xlws.FILTER(Table_BangLuong_TyLeTangCa[Tỷ lệ],
(Table_BangLuong_TyLeTangCa[Ngày] = "Thường") *
(Table_BangLuong_TyLeTangCa[Giờ min]&lt;=$AA15) *
(Table_BangLuong_TyLeTangCa[Giờ max]&gt;$AA15)
)),0)
)),
IF(AE$4 &lt; AE$5,
IF($AA15-$Z$4&lt;AE$4,0,
IF($AA15&gt;AE$5,0,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AE$5,$AA15 &lt; AE$4),0,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F15" s="18" cm="1">
        <f t="array" ref="AF15" xml:space="preserve">
IFERROR(
IF(AF$1="",0,
IF(AND(
$AA15&gt;=VLOOKUP(AF$6, Table_ChiPhiNV_Ca[], COUNTA(Table_ChiPhiNV_Ca[[#Headers],[Ca]:[Bắt đầu nghỉ]]),0),
$AA15&lt;VLOOKUP(AF$6, Table_ChiPhiNV_Ca[], COUNTA(Table_ChiPhiNV_Ca[[#Headers],[Ca]:[Kết thúc nghỉ]]),0)
),0,
IF(NOT(ISBLANK(AF$3)),
IF(ISBLANK(AF$7),0,
IF(AF$4 &lt; AF$5,
IF($AA15-$Z$4&lt;AF$4,0,
IF($AA15&gt;AF$5,0,
SUM(_xlfn._xlws.FILTER(Table_BangLuong_TyLeTangCa[Tỷ lệ],
(Table_BangLuong_TyLeTangCa[Ngày] = AF$3) *
(Table_BangLuong_TyLeTangCa[Giờ min]&lt;=$AA15) *
(Table_BangLuong_TyLeTangCa[Giờ max]&gt;$AA15)
)))),
IF(AND($AA15-$Z$4 &gt;= AF$5,$AA15 &lt; AF$4),0,
SUM(_xlfn._xlws.FILTER(Table_BangLuong_TyLeTangCa[Tỷ lệ],
(Table_BangLuong_TyLeTangCa[Ngày] = AF$3) *
(Table_BangLuong_TyLeTangCa[Giờ min]&lt;=$AA15) *
(Table_BangLuong_TyLeTangCa[Giờ max]&gt;$AA15)
))))
),
IF(ISBLANK(AF$7),
IF(VLOOKUP(AF$6, Table_ChiPhiNV_Ca[], COUNTA(Table_ChiPhiNV_Ca[[#Headers],[Ca]:[Kết thúc]]),0)&gt; VLOOKUP(AF$6, Table_ChiPhiNV_Ca[], COUNTA(Table_ChiPhiNV_Ca[[#Headers],[Ca]:[Bắt đầu]]),0),
IF($AA15-$Z$4&lt;MAX(AF$4,VLOOKUP(AF$6, Table_ChiPhiNV_Ca[], COUNTA(Table_ChiPhiNV_Ca[[#Headers],[Ca]:[Bắt đầu]]),0)),0,
IF($AA15&gt;MIN(AF$5,VLOOKUP(AF$6, Table_ChiPhiNV_Ca[], COUNTA(Table_ChiPhiNV_Ca[[#Headers],[Ca]:[Kết thúc]]),0)),0,
SUM(_xlfn._xlws.FILTER(Table_BangLuong_TyLeTangCa[Tỷ lệ],
(Table_BangLuong_TyLeTangCa[Ngày] = "Thường") *
(Table_BangLuong_TyLeTangCa[Giờ min]&lt;=$AA15) *
(Table_BangLuong_TyLeTangCa[Giờ max]&gt;$AA15)
)))),
IF(AF$4 &gt; AF$5,
IF(
AND(
$AA15-$Z$4&lt;MAX(AF$4,VLOOKUP(AF$6, Table_ChiPhiNV_Ca[], COUNTA(Table_ChiPhiNV_Ca[[#Headers],[Ca]:[Bắt đầu]]),0)),
$AA15&gt;MIN(AF$5,VLOOKUP(AF$6, Table_ChiPhiNV_Ca[], COUNTA(Table_ChiPhiNV_Ca[[#Headers],[Ca]:[Kết thúc]]),0))),0,
SUM(_xlfn._xlws.FILTER(Table_BangLuong_TyLeTangCa[Tỷ lệ],
(Table_BangLuong_TyLeTangCa[Ngày] = "Thường") *
(Table_BangLuong_TyLeTangCa[Giờ min]&lt;=$AA15) *
(Table_BangLuong_TyLeTangCa[Giờ max]&gt;$AA15)
))),
IF(
AND(
$AA15-$Z$4&gt;=MAX(AF$4,VLOOKUP(AF$6, Table_ChiPhiNV_Ca[], COUNTA(Table_ChiPhiNV_Ca[[#Headers],[Ca]:[Bắt đầu]]),0)),
$AA15&lt;MIN(AF$5,VLOOKUP(AF$6, Table_ChiPhiNV_Ca[], COUNTA(Table_ChiPhiNV_Ca[[#Headers],[Ca]:[Kết thúc]]),0))),
SUM(_xlfn._xlws.FILTER(Table_BangLuong_TyLeTangCa[Tỷ lệ],
(Table_BangLuong_TyLeTangCa[Ngày] = "Thường") *
(Table_BangLuong_TyLeTangCa[Giờ min]&lt;=$AA15) *
(Table_BangLuong_TyLeTangCa[Giờ max]&gt;$AA15)
)),0)
)),
IF(AF$4 &lt; AF$5,
IF($AA15-$Z$4&lt;AF$4,0,
IF($AA15&gt;AF$5,0,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AF$5,$AA15 &lt; AF$4),0,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G15" s="18" cm="1">
        <f t="array" ref="AG15" xml:space="preserve">
IFERROR(
IF(AG$1="",0,
IF(AND(
$AA15&gt;=VLOOKUP(AG$6, Table_ChiPhiNV_Ca[], COUNTA(Table_ChiPhiNV_Ca[[#Headers],[Ca]:[Bắt đầu nghỉ]]),0),
$AA15&lt;VLOOKUP(AG$6, Table_ChiPhiNV_Ca[], COUNTA(Table_ChiPhiNV_Ca[[#Headers],[Ca]:[Kết thúc nghỉ]]),0)
),0,
IF(NOT(ISBLANK(AG$3)),
IF(ISBLANK(AG$7),0,
IF(AG$4 &lt; AG$5,
IF($AA15-$Z$4&lt;AG$4,0,
IF($AA15&gt;AG$5,0,
SUM(_xlfn._xlws.FILTER(Table_BangLuong_TyLeTangCa[Tỷ lệ],
(Table_BangLuong_TyLeTangCa[Ngày] = AG$3) *
(Table_BangLuong_TyLeTangCa[Giờ min]&lt;=$AA15) *
(Table_BangLuong_TyLeTangCa[Giờ max]&gt;$AA15)
)))),
IF(AND($AA15-$Z$4 &gt;= AG$5,$AA15 &lt; AG$4),0,
SUM(_xlfn._xlws.FILTER(Table_BangLuong_TyLeTangCa[Tỷ lệ],
(Table_BangLuong_TyLeTangCa[Ngày] = AG$3) *
(Table_BangLuong_TyLeTangCa[Giờ min]&lt;=$AA15) *
(Table_BangLuong_TyLeTangCa[Giờ max]&gt;$AA15)
))))
),
IF(ISBLANK(AG$7),
IF(VLOOKUP(AG$6, Table_ChiPhiNV_Ca[], COUNTA(Table_ChiPhiNV_Ca[[#Headers],[Ca]:[Kết thúc]]),0)&gt; VLOOKUP(AG$6, Table_ChiPhiNV_Ca[], COUNTA(Table_ChiPhiNV_Ca[[#Headers],[Ca]:[Bắt đầu]]),0),
IF($AA15-$Z$4&lt;MAX(AG$4,VLOOKUP(AG$6, Table_ChiPhiNV_Ca[], COUNTA(Table_ChiPhiNV_Ca[[#Headers],[Ca]:[Bắt đầu]]),0)),0,
IF($AA15&gt;MIN(AG$5,VLOOKUP(AG$6, Table_ChiPhiNV_Ca[], COUNTA(Table_ChiPhiNV_Ca[[#Headers],[Ca]:[Kết thúc]]),0)),0,
SUM(_xlfn._xlws.FILTER(Table_BangLuong_TyLeTangCa[Tỷ lệ],
(Table_BangLuong_TyLeTangCa[Ngày] = "Thường") *
(Table_BangLuong_TyLeTangCa[Giờ min]&lt;=$AA15) *
(Table_BangLuong_TyLeTangCa[Giờ max]&gt;$AA15)
)))),
IF(AG$4 &gt; AG$5,
IF(
AND(
$AA15-$Z$4&lt;MAX(AG$4,VLOOKUP(AG$6, Table_ChiPhiNV_Ca[], COUNTA(Table_ChiPhiNV_Ca[[#Headers],[Ca]:[Bắt đầu]]),0)),
$AA15&gt;MIN(AG$5,VLOOKUP(AG$6, Table_ChiPhiNV_Ca[], COUNTA(Table_ChiPhiNV_Ca[[#Headers],[Ca]:[Kết thúc]]),0))),0,
SUM(_xlfn._xlws.FILTER(Table_BangLuong_TyLeTangCa[Tỷ lệ],
(Table_BangLuong_TyLeTangCa[Ngày] = "Thường") *
(Table_BangLuong_TyLeTangCa[Giờ min]&lt;=$AA15) *
(Table_BangLuong_TyLeTangCa[Giờ max]&gt;$AA15)
))),
IF(
AND(
$AA15-$Z$4&gt;=MAX(AG$4,VLOOKUP(AG$6, Table_ChiPhiNV_Ca[], COUNTA(Table_ChiPhiNV_Ca[[#Headers],[Ca]:[Bắt đầu]]),0)),
$AA15&lt;MIN(AG$5,VLOOKUP(AG$6, Table_ChiPhiNV_Ca[], COUNTA(Table_ChiPhiNV_Ca[[#Headers],[Ca]:[Kết thúc]]),0))),
SUM(_xlfn._xlws.FILTER(Table_BangLuong_TyLeTangCa[Tỷ lệ],
(Table_BangLuong_TyLeTangCa[Ngày] = "Thường") *
(Table_BangLuong_TyLeTangCa[Giờ min]&lt;=$AA15) *
(Table_BangLuong_TyLeTangCa[Giờ max]&gt;$AA15)
)),0)
)),
IF(AG$4 &lt; AG$5,
IF($AA15-$Z$4&lt;AG$4,0,
IF($AA15&gt;AG$5,0,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AG$5,$AA15 &lt; AG$4),0,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H15" s="18" cm="1">
        <f t="array" ref="AH15" xml:space="preserve">
IFERROR(
IF(AH$1="",0,
IF(AND(
$AA15&gt;=VLOOKUP(AH$6, Table_ChiPhiNV_Ca[], COUNTA(Table_ChiPhiNV_Ca[[#Headers],[Ca]:[Bắt đầu nghỉ]]),0),
$AA15&lt;VLOOKUP(AH$6, Table_ChiPhiNV_Ca[], COUNTA(Table_ChiPhiNV_Ca[[#Headers],[Ca]:[Kết thúc nghỉ]]),0)
),0,
IF(NOT(ISBLANK(AH$3)),
IF(ISBLANK(AH$7),0,
IF(AH$4 &lt; AH$5,
IF($AA15-$Z$4&lt;AH$4,0,
IF($AA15&gt;AH$5,0,
SUM(_xlfn._xlws.FILTER(Table_BangLuong_TyLeTangCa[Tỷ lệ],
(Table_BangLuong_TyLeTangCa[Ngày] = AH$3) *
(Table_BangLuong_TyLeTangCa[Giờ min]&lt;=$AA15) *
(Table_BangLuong_TyLeTangCa[Giờ max]&gt;$AA15)
)))),
IF(AND($AA15-$Z$4 &gt;= AH$5,$AA15 &lt; AH$4),0,
SUM(_xlfn._xlws.FILTER(Table_BangLuong_TyLeTangCa[Tỷ lệ],
(Table_BangLuong_TyLeTangCa[Ngày] = AH$3) *
(Table_BangLuong_TyLeTangCa[Giờ min]&lt;=$AA15) *
(Table_BangLuong_TyLeTangCa[Giờ max]&gt;$AA15)
))))
),
IF(ISBLANK(AH$7),
IF(VLOOKUP(AH$6, Table_ChiPhiNV_Ca[], COUNTA(Table_ChiPhiNV_Ca[[#Headers],[Ca]:[Kết thúc]]),0)&gt; VLOOKUP(AH$6, Table_ChiPhiNV_Ca[], COUNTA(Table_ChiPhiNV_Ca[[#Headers],[Ca]:[Bắt đầu]]),0),
IF($AA15-$Z$4&lt;MAX(AH$4,VLOOKUP(AH$6, Table_ChiPhiNV_Ca[], COUNTA(Table_ChiPhiNV_Ca[[#Headers],[Ca]:[Bắt đầu]]),0)),0,
IF($AA15&gt;MIN(AH$5,VLOOKUP(AH$6, Table_ChiPhiNV_Ca[], COUNTA(Table_ChiPhiNV_Ca[[#Headers],[Ca]:[Kết thúc]]),0)),0,
SUM(_xlfn._xlws.FILTER(Table_BangLuong_TyLeTangCa[Tỷ lệ],
(Table_BangLuong_TyLeTangCa[Ngày] = "Thường") *
(Table_BangLuong_TyLeTangCa[Giờ min]&lt;=$AA15) *
(Table_BangLuong_TyLeTangCa[Giờ max]&gt;$AA15)
)))),
IF(AH$4 &gt; AH$5,
IF(
AND(
$AA15-$Z$4&lt;MAX(AH$4,VLOOKUP(AH$6, Table_ChiPhiNV_Ca[], COUNTA(Table_ChiPhiNV_Ca[[#Headers],[Ca]:[Bắt đầu]]),0)),
$AA15&gt;MIN(AH$5,VLOOKUP(AH$6, Table_ChiPhiNV_Ca[], COUNTA(Table_ChiPhiNV_Ca[[#Headers],[Ca]:[Kết thúc]]),0))),0,
SUM(_xlfn._xlws.FILTER(Table_BangLuong_TyLeTangCa[Tỷ lệ],
(Table_BangLuong_TyLeTangCa[Ngày] = "Thường") *
(Table_BangLuong_TyLeTangCa[Giờ min]&lt;=$AA15) *
(Table_BangLuong_TyLeTangCa[Giờ max]&gt;$AA15)
))),
IF(
AND(
$AA15-$Z$4&gt;=MAX(AH$4,VLOOKUP(AH$6, Table_ChiPhiNV_Ca[], COUNTA(Table_ChiPhiNV_Ca[[#Headers],[Ca]:[Bắt đầu]]),0)),
$AA15&lt;MIN(AH$5,VLOOKUP(AH$6, Table_ChiPhiNV_Ca[], COUNTA(Table_ChiPhiNV_Ca[[#Headers],[Ca]:[Kết thúc]]),0))),
SUM(_xlfn._xlws.FILTER(Table_BangLuong_TyLeTangCa[Tỷ lệ],
(Table_BangLuong_TyLeTangCa[Ngày] = "Thường") *
(Table_BangLuong_TyLeTangCa[Giờ min]&lt;=$AA15) *
(Table_BangLuong_TyLeTangCa[Giờ max]&gt;$AA15)
)),0)
)),
IF(AH$4 &lt; AH$5,
IF($AA15-$Z$4&lt;AH$4,0,
IF($AA15&gt;AH$5,0,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AH$5,$AA15 &lt; AH$4),0,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I15" s="18" cm="1">
        <f t="array" ref="AI15" xml:space="preserve">
IFERROR(
IF(AI$1="",0,
IF(AND(
$AA15&gt;=VLOOKUP(AI$6, Table_ChiPhiNV_Ca[], COUNTA(Table_ChiPhiNV_Ca[[#Headers],[Ca]:[Bắt đầu nghỉ]]),0),
$AA15&lt;VLOOKUP(AI$6, Table_ChiPhiNV_Ca[], COUNTA(Table_ChiPhiNV_Ca[[#Headers],[Ca]:[Kết thúc nghỉ]]),0)
),0,
IF(NOT(ISBLANK(AI$3)),
IF(ISBLANK(AI$7),0,
IF(AI$4 &lt; AI$5,
IF($AA15-$Z$4&lt;AI$4,0,
IF($AA15&gt;AI$5,0,
SUM(_xlfn._xlws.FILTER(Table_BangLuong_TyLeTangCa[Tỷ lệ],
(Table_BangLuong_TyLeTangCa[Ngày] = AI$3) *
(Table_BangLuong_TyLeTangCa[Giờ min]&lt;=$AA15) *
(Table_BangLuong_TyLeTangCa[Giờ max]&gt;$AA15)
)))),
IF(AND($AA15-$Z$4 &gt;= AI$5,$AA15 &lt; AI$4),0,
SUM(_xlfn._xlws.FILTER(Table_BangLuong_TyLeTangCa[Tỷ lệ],
(Table_BangLuong_TyLeTangCa[Ngày] = AI$3) *
(Table_BangLuong_TyLeTangCa[Giờ min]&lt;=$AA15) *
(Table_BangLuong_TyLeTangCa[Giờ max]&gt;$AA15)
))))
),
IF(ISBLANK(AI$7),
IF(VLOOKUP(AI$6, Table_ChiPhiNV_Ca[], COUNTA(Table_ChiPhiNV_Ca[[#Headers],[Ca]:[Kết thúc]]),0)&gt; VLOOKUP(AI$6, Table_ChiPhiNV_Ca[], COUNTA(Table_ChiPhiNV_Ca[[#Headers],[Ca]:[Bắt đầu]]),0),
IF($AA15-$Z$4&lt;MAX(AI$4,VLOOKUP(AI$6, Table_ChiPhiNV_Ca[], COUNTA(Table_ChiPhiNV_Ca[[#Headers],[Ca]:[Bắt đầu]]),0)),0,
IF($AA15&gt;MIN(AI$5,VLOOKUP(AI$6, Table_ChiPhiNV_Ca[], COUNTA(Table_ChiPhiNV_Ca[[#Headers],[Ca]:[Kết thúc]]),0)),0,
SUM(_xlfn._xlws.FILTER(Table_BangLuong_TyLeTangCa[Tỷ lệ],
(Table_BangLuong_TyLeTangCa[Ngày] = "Thường") *
(Table_BangLuong_TyLeTangCa[Giờ min]&lt;=$AA15) *
(Table_BangLuong_TyLeTangCa[Giờ max]&gt;$AA15)
)))),
IF(AI$4 &gt; AI$5,
IF(
AND(
$AA15-$Z$4&lt;MAX(AI$4,VLOOKUP(AI$6, Table_ChiPhiNV_Ca[], COUNTA(Table_ChiPhiNV_Ca[[#Headers],[Ca]:[Bắt đầu]]),0)),
$AA15&gt;MIN(AI$5,VLOOKUP(AI$6, Table_ChiPhiNV_Ca[], COUNTA(Table_ChiPhiNV_Ca[[#Headers],[Ca]:[Kết thúc]]),0))),0,
SUM(_xlfn._xlws.FILTER(Table_BangLuong_TyLeTangCa[Tỷ lệ],
(Table_BangLuong_TyLeTangCa[Ngày] = "Thường") *
(Table_BangLuong_TyLeTangCa[Giờ min]&lt;=$AA15) *
(Table_BangLuong_TyLeTangCa[Giờ max]&gt;$AA15)
))),
IF(
AND(
$AA15-$Z$4&gt;=MAX(AI$4,VLOOKUP(AI$6, Table_ChiPhiNV_Ca[], COUNTA(Table_ChiPhiNV_Ca[[#Headers],[Ca]:[Bắt đầu]]),0)),
$AA15&lt;MIN(AI$5,VLOOKUP(AI$6, Table_ChiPhiNV_Ca[], COUNTA(Table_ChiPhiNV_Ca[[#Headers],[Ca]:[Kết thúc]]),0))),
SUM(_xlfn._xlws.FILTER(Table_BangLuong_TyLeTangCa[Tỷ lệ],
(Table_BangLuong_TyLeTangCa[Ngày] = "Thường") *
(Table_BangLuong_TyLeTangCa[Giờ min]&lt;=$AA15) *
(Table_BangLuong_TyLeTangCa[Giờ max]&gt;$AA15)
)),0)
)),
IF(AI$4 &lt; AI$5,
IF($AA15-$Z$4&lt;AI$4,0,
IF($AA15&gt;AI$5,0,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AI$5,$AA15 &lt; AI$4),0,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J15" s="18" cm="1">
        <f t="array" ref="AJ15" xml:space="preserve">
IFERROR(
IF(AJ$1="",0,
IF(AND(
$AA15&gt;=VLOOKUP(AJ$6, Table_ChiPhiNV_Ca[], COUNTA(Table_ChiPhiNV_Ca[[#Headers],[Ca]:[Bắt đầu nghỉ]]),0),
$AA15&lt;VLOOKUP(AJ$6, Table_ChiPhiNV_Ca[], COUNTA(Table_ChiPhiNV_Ca[[#Headers],[Ca]:[Kết thúc nghỉ]]),0)
),0,
IF(NOT(ISBLANK(AJ$3)),
IF(ISBLANK(AJ$7),0,
IF(AJ$4 &lt; AJ$5,
IF($AA15-$Z$4&lt;AJ$4,0,
IF($AA15&gt;AJ$5,0,
SUM(_xlfn._xlws.FILTER(Table_BangLuong_TyLeTangCa[Tỷ lệ],
(Table_BangLuong_TyLeTangCa[Ngày] = AJ$3) *
(Table_BangLuong_TyLeTangCa[Giờ min]&lt;=$AA15) *
(Table_BangLuong_TyLeTangCa[Giờ max]&gt;$AA15)
)))),
IF(AND($AA15-$Z$4 &gt;= AJ$5,$AA15 &lt; AJ$4),0,
SUM(_xlfn._xlws.FILTER(Table_BangLuong_TyLeTangCa[Tỷ lệ],
(Table_BangLuong_TyLeTangCa[Ngày] = AJ$3) *
(Table_BangLuong_TyLeTangCa[Giờ min]&lt;=$AA15) *
(Table_BangLuong_TyLeTangCa[Giờ max]&gt;$AA15)
))))
),
IF(ISBLANK(AJ$7),
IF(VLOOKUP(AJ$6, Table_ChiPhiNV_Ca[], COUNTA(Table_ChiPhiNV_Ca[[#Headers],[Ca]:[Kết thúc]]),0)&gt; VLOOKUP(AJ$6, Table_ChiPhiNV_Ca[], COUNTA(Table_ChiPhiNV_Ca[[#Headers],[Ca]:[Bắt đầu]]),0),
IF($AA15-$Z$4&lt;MAX(AJ$4,VLOOKUP(AJ$6, Table_ChiPhiNV_Ca[], COUNTA(Table_ChiPhiNV_Ca[[#Headers],[Ca]:[Bắt đầu]]),0)),0,
IF($AA15&gt;MIN(AJ$5,VLOOKUP(AJ$6, Table_ChiPhiNV_Ca[], COUNTA(Table_ChiPhiNV_Ca[[#Headers],[Ca]:[Kết thúc]]),0)),0,
SUM(_xlfn._xlws.FILTER(Table_BangLuong_TyLeTangCa[Tỷ lệ],
(Table_BangLuong_TyLeTangCa[Ngày] = "Thường") *
(Table_BangLuong_TyLeTangCa[Giờ min]&lt;=$AA15) *
(Table_BangLuong_TyLeTangCa[Giờ max]&gt;$AA15)
)))),
IF(AJ$4 &gt; AJ$5,
IF(
AND(
$AA15-$Z$4&lt;MAX(AJ$4,VLOOKUP(AJ$6, Table_ChiPhiNV_Ca[], COUNTA(Table_ChiPhiNV_Ca[[#Headers],[Ca]:[Bắt đầu]]),0)),
$AA15&gt;MIN(AJ$5,VLOOKUP(AJ$6, Table_ChiPhiNV_Ca[], COUNTA(Table_ChiPhiNV_Ca[[#Headers],[Ca]:[Kết thúc]]),0))),0,
SUM(_xlfn._xlws.FILTER(Table_BangLuong_TyLeTangCa[Tỷ lệ],
(Table_BangLuong_TyLeTangCa[Ngày] = "Thường") *
(Table_BangLuong_TyLeTangCa[Giờ min]&lt;=$AA15) *
(Table_BangLuong_TyLeTangCa[Giờ max]&gt;$AA15)
))),
IF(
AND(
$AA15-$Z$4&gt;=MAX(AJ$4,VLOOKUP(AJ$6, Table_ChiPhiNV_Ca[], COUNTA(Table_ChiPhiNV_Ca[[#Headers],[Ca]:[Bắt đầu]]),0)),
$AA15&lt;MIN(AJ$5,VLOOKUP(AJ$6, Table_ChiPhiNV_Ca[], COUNTA(Table_ChiPhiNV_Ca[[#Headers],[Ca]:[Kết thúc]]),0))),
SUM(_xlfn._xlws.FILTER(Table_BangLuong_TyLeTangCa[Tỷ lệ],
(Table_BangLuong_TyLeTangCa[Ngày] = "Thường") *
(Table_BangLuong_TyLeTangCa[Giờ min]&lt;=$AA15) *
(Table_BangLuong_TyLeTangCa[Giờ max]&gt;$AA15)
)),0)
)),
IF(AJ$4 &lt; AJ$5,
IF($AA15-$Z$4&lt;AJ$4,0,
IF($AA15&gt;AJ$5,0,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AJ$5,$AA15 &lt; AJ$4),0,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K15" s="18" cm="1">
        <f t="array" ref="AK15" xml:space="preserve">
IFERROR(
IF(AK$1="",0,
IF(AND(
$AA15&gt;=VLOOKUP(AK$6, Table_ChiPhiNV_Ca[], COUNTA(Table_ChiPhiNV_Ca[[#Headers],[Ca]:[Bắt đầu nghỉ]]),0),
$AA15&lt;VLOOKUP(AK$6, Table_ChiPhiNV_Ca[], COUNTA(Table_ChiPhiNV_Ca[[#Headers],[Ca]:[Kết thúc nghỉ]]),0)
),0,
IF(NOT(ISBLANK(AK$3)),
IF(ISBLANK(AK$7),0,
IF(AK$4 &lt; AK$5,
IF($AA15-$Z$4&lt;AK$4,0,
IF($AA15&gt;AK$5,0,
SUM(_xlfn._xlws.FILTER(Table_BangLuong_TyLeTangCa[Tỷ lệ],
(Table_BangLuong_TyLeTangCa[Ngày] = AK$3) *
(Table_BangLuong_TyLeTangCa[Giờ min]&lt;=$AA15) *
(Table_BangLuong_TyLeTangCa[Giờ max]&gt;$AA15)
)))),
IF(AND($AA15-$Z$4 &gt;= AK$5,$AA15 &lt; AK$4),0,
SUM(_xlfn._xlws.FILTER(Table_BangLuong_TyLeTangCa[Tỷ lệ],
(Table_BangLuong_TyLeTangCa[Ngày] = AK$3) *
(Table_BangLuong_TyLeTangCa[Giờ min]&lt;=$AA15) *
(Table_BangLuong_TyLeTangCa[Giờ max]&gt;$AA15)
))))
),
IF(ISBLANK(AK$7),
IF(VLOOKUP(AK$6, Table_ChiPhiNV_Ca[], COUNTA(Table_ChiPhiNV_Ca[[#Headers],[Ca]:[Kết thúc]]),0)&gt; VLOOKUP(AK$6, Table_ChiPhiNV_Ca[], COUNTA(Table_ChiPhiNV_Ca[[#Headers],[Ca]:[Bắt đầu]]),0),
IF($AA15-$Z$4&lt;MAX(AK$4,VLOOKUP(AK$6, Table_ChiPhiNV_Ca[], COUNTA(Table_ChiPhiNV_Ca[[#Headers],[Ca]:[Bắt đầu]]),0)),0,
IF($AA15&gt;MIN(AK$5,VLOOKUP(AK$6, Table_ChiPhiNV_Ca[], COUNTA(Table_ChiPhiNV_Ca[[#Headers],[Ca]:[Kết thúc]]),0)),0,
SUM(_xlfn._xlws.FILTER(Table_BangLuong_TyLeTangCa[Tỷ lệ],
(Table_BangLuong_TyLeTangCa[Ngày] = "Thường") *
(Table_BangLuong_TyLeTangCa[Giờ min]&lt;=$AA15) *
(Table_BangLuong_TyLeTangCa[Giờ max]&gt;$AA15)
)))),
IF(AK$4 &gt; AK$5,
IF(
AND(
$AA15-$Z$4&lt;MAX(AK$4,VLOOKUP(AK$6, Table_ChiPhiNV_Ca[], COUNTA(Table_ChiPhiNV_Ca[[#Headers],[Ca]:[Bắt đầu]]),0)),
$AA15&gt;MIN(AK$5,VLOOKUP(AK$6, Table_ChiPhiNV_Ca[], COUNTA(Table_ChiPhiNV_Ca[[#Headers],[Ca]:[Kết thúc]]),0))),0,
SUM(_xlfn._xlws.FILTER(Table_BangLuong_TyLeTangCa[Tỷ lệ],
(Table_BangLuong_TyLeTangCa[Ngày] = "Thường") *
(Table_BangLuong_TyLeTangCa[Giờ min]&lt;=$AA15) *
(Table_BangLuong_TyLeTangCa[Giờ max]&gt;$AA15)
))),
IF(
AND(
$AA15-$Z$4&gt;=MAX(AK$4,VLOOKUP(AK$6, Table_ChiPhiNV_Ca[], COUNTA(Table_ChiPhiNV_Ca[[#Headers],[Ca]:[Bắt đầu]]),0)),
$AA15&lt;MIN(AK$5,VLOOKUP(AK$6, Table_ChiPhiNV_Ca[], COUNTA(Table_ChiPhiNV_Ca[[#Headers],[Ca]:[Kết thúc]]),0))),
SUM(_xlfn._xlws.FILTER(Table_BangLuong_TyLeTangCa[Tỷ lệ],
(Table_BangLuong_TyLeTangCa[Ngày] = "Thường") *
(Table_BangLuong_TyLeTangCa[Giờ min]&lt;=$AA15) *
(Table_BangLuong_TyLeTangCa[Giờ max]&gt;$AA15)
)),0)
)),
IF(AK$4 &lt; AK$5,
IF($AA15-$Z$4&lt;AK$4,0,
IF($AA15&gt;AK$5,0,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AK$5,$AA15 &lt; AK$4),0,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L15" s="18" cm="1">
        <f t="array" ref="AL15" xml:space="preserve">
IFERROR(
IF(AL$1="",0,
IF(AND(
$AA15&gt;=VLOOKUP(AL$6, Table_ChiPhiNV_Ca[], COUNTA(Table_ChiPhiNV_Ca[[#Headers],[Ca]:[Bắt đầu nghỉ]]),0),
$AA15&lt;VLOOKUP(AL$6, Table_ChiPhiNV_Ca[], COUNTA(Table_ChiPhiNV_Ca[[#Headers],[Ca]:[Kết thúc nghỉ]]),0)
),0,
IF(NOT(ISBLANK(AL$3)),
IF(ISBLANK(AL$7),0,
IF(AL$4 &lt; AL$5,
IF($AA15-$Z$4&lt;AL$4,0,
IF($AA15&gt;AL$5,0,
SUM(_xlfn._xlws.FILTER(Table_BangLuong_TyLeTangCa[Tỷ lệ],
(Table_BangLuong_TyLeTangCa[Ngày] = AL$3) *
(Table_BangLuong_TyLeTangCa[Giờ min]&lt;=$AA15) *
(Table_BangLuong_TyLeTangCa[Giờ max]&gt;$AA15)
)))),
IF(AND($AA15-$Z$4 &gt;= AL$5,$AA15 &lt; AL$4),0,
SUM(_xlfn._xlws.FILTER(Table_BangLuong_TyLeTangCa[Tỷ lệ],
(Table_BangLuong_TyLeTangCa[Ngày] = AL$3) *
(Table_BangLuong_TyLeTangCa[Giờ min]&lt;=$AA15) *
(Table_BangLuong_TyLeTangCa[Giờ max]&gt;$AA15)
))))
),
IF(ISBLANK(AL$7),
IF(VLOOKUP(AL$6, Table_ChiPhiNV_Ca[], COUNTA(Table_ChiPhiNV_Ca[[#Headers],[Ca]:[Kết thúc]]),0)&gt; VLOOKUP(AL$6, Table_ChiPhiNV_Ca[], COUNTA(Table_ChiPhiNV_Ca[[#Headers],[Ca]:[Bắt đầu]]),0),
IF($AA15-$Z$4&lt;MAX(AL$4,VLOOKUP(AL$6, Table_ChiPhiNV_Ca[], COUNTA(Table_ChiPhiNV_Ca[[#Headers],[Ca]:[Bắt đầu]]),0)),0,
IF($AA15&gt;MIN(AL$5,VLOOKUP(AL$6, Table_ChiPhiNV_Ca[], COUNTA(Table_ChiPhiNV_Ca[[#Headers],[Ca]:[Kết thúc]]),0)),0,
SUM(_xlfn._xlws.FILTER(Table_BangLuong_TyLeTangCa[Tỷ lệ],
(Table_BangLuong_TyLeTangCa[Ngày] = "Thường") *
(Table_BangLuong_TyLeTangCa[Giờ min]&lt;=$AA15) *
(Table_BangLuong_TyLeTangCa[Giờ max]&gt;$AA15)
)))),
IF(AL$4 &gt; AL$5,
IF(
AND(
$AA15-$Z$4&lt;MAX(AL$4,VLOOKUP(AL$6, Table_ChiPhiNV_Ca[], COUNTA(Table_ChiPhiNV_Ca[[#Headers],[Ca]:[Bắt đầu]]),0)),
$AA15&gt;MIN(AL$5,VLOOKUP(AL$6, Table_ChiPhiNV_Ca[], COUNTA(Table_ChiPhiNV_Ca[[#Headers],[Ca]:[Kết thúc]]),0))),0,
SUM(_xlfn._xlws.FILTER(Table_BangLuong_TyLeTangCa[Tỷ lệ],
(Table_BangLuong_TyLeTangCa[Ngày] = "Thường") *
(Table_BangLuong_TyLeTangCa[Giờ min]&lt;=$AA15) *
(Table_BangLuong_TyLeTangCa[Giờ max]&gt;$AA15)
))),
IF(
AND(
$AA15-$Z$4&gt;=MAX(AL$4,VLOOKUP(AL$6, Table_ChiPhiNV_Ca[], COUNTA(Table_ChiPhiNV_Ca[[#Headers],[Ca]:[Bắt đầu]]),0)),
$AA15&lt;MIN(AL$5,VLOOKUP(AL$6, Table_ChiPhiNV_Ca[], COUNTA(Table_ChiPhiNV_Ca[[#Headers],[Ca]:[Kết thúc]]),0))),
SUM(_xlfn._xlws.FILTER(Table_BangLuong_TyLeTangCa[Tỷ lệ],
(Table_BangLuong_TyLeTangCa[Ngày] = "Thường") *
(Table_BangLuong_TyLeTangCa[Giờ min]&lt;=$AA15) *
(Table_BangLuong_TyLeTangCa[Giờ max]&gt;$AA15)
)),0)
)),
IF(AL$4 &lt; AL$5,
IF($AA15-$Z$4&lt;AL$4,0,
IF($AA15&gt;AL$5,0,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AL$5,$AA15 &lt; AL$4),0,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M15" s="18" cm="1">
        <f t="array" ref="AM15" xml:space="preserve">
IFERROR(
IF(AM$1="",0,
IF(AND(
$AA15&gt;=VLOOKUP(AM$6, Table_ChiPhiNV_Ca[], COUNTA(Table_ChiPhiNV_Ca[[#Headers],[Ca]:[Bắt đầu nghỉ]]),0),
$AA15&lt;VLOOKUP(AM$6, Table_ChiPhiNV_Ca[], COUNTA(Table_ChiPhiNV_Ca[[#Headers],[Ca]:[Kết thúc nghỉ]]),0)
),0,
IF(NOT(ISBLANK(AM$3)),
IF(ISBLANK(AM$7),0,
IF(AM$4 &lt; AM$5,
IF($AA15-$Z$4&lt;AM$4,0,
IF($AA15&gt;AM$5,0,
SUM(_xlfn._xlws.FILTER(Table_BangLuong_TyLeTangCa[Tỷ lệ],
(Table_BangLuong_TyLeTangCa[Ngày] = AM$3) *
(Table_BangLuong_TyLeTangCa[Giờ min]&lt;=$AA15) *
(Table_BangLuong_TyLeTangCa[Giờ max]&gt;$AA15)
)))),
IF(AND($AA15-$Z$4 &gt;= AM$5,$AA15 &lt; AM$4),0,
SUM(_xlfn._xlws.FILTER(Table_BangLuong_TyLeTangCa[Tỷ lệ],
(Table_BangLuong_TyLeTangCa[Ngày] = AM$3) *
(Table_BangLuong_TyLeTangCa[Giờ min]&lt;=$AA15) *
(Table_BangLuong_TyLeTangCa[Giờ max]&gt;$AA15)
))))
),
IF(ISBLANK(AM$7),
IF(VLOOKUP(AM$6, Table_ChiPhiNV_Ca[], COUNTA(Table_ChiPhiNV_Ca[[#Headers],[Ca]:[Kết thúc]]),0)&gt; VLOOKUP(AM$6, Table_ChiPhiNV_Ca[], COUNTA(Table_ChiPhiNV_Ca[[#Headers],[Ca]:[Bắt đầu]]),0),
IF($AA15-$Z$4&lt;MAX(AM$4,VLOOKUP(AM$6, Table_ChiPhiNV_Ca[], COUNTA(Table_ChiPhiNV_Ca[[#Headers],[Ca]:[Bắt đầu]]),0)),0,
IF($AA15&gt;MIN(AM$5,VLOOKUP(AM$6, Table_ChiPhiNV_Ca[], COUNTA(Table_ChiPhiNV_Ca[[#Headers],[Ca]:[Kết thúc]]),0)),0,
SUM(_xlfn._xlws.FILTER(Table_BangLuong_TyLeTangCa[Tỷ lệ],
(Table_BangLuong_TyLeTangCa[Ngày] = "Thường") *
(Table_BangLuong_TyLeTangCa[Giờ min]&lt;=$AA15) *
(Table_BangLuong_TyLeTangCa[Giờ max]&gt;$AA15)
)))),
IF(AM$4 &gt; AM$5,
IF(
AND(
$AA15-$Z$4&lt;MAX(AM$4,VLOOKUP(AM$6, Table_ChiPhiNV_Ca[], COUNTA(Table_ChiPhiNV_Ca[[#Headers],[Ca]:[Bắt đầu]]),0)),
$AA15&gt;MIN(AM$5,VLOOKUP(AM$6, Table_ChiPhiNV_Ca[], COUNTA(Table_ChiPhiNV_Ca[[#Headers],[Ca]:[Kết thúc]]),0))),0,
SUM(_xlfn._xlws.FILTER(Table_BangLuong_TyLeTangCa[Tỷ lệ],
(Table_BangLuong_TyLeTangCa[Ngày] = "Thường") *
(Table_BangLuong_TyLeTangCa[Giờ min]&lt;=$AA15) *
(Table_BangLuong_TyLeTangCa[Giờ max]&gt;$AA15)
))),
IF(
AND(
$AA15-$Z$4&gt;=MAX(AM$4,VLOOKUP(AM$6, Table_ChiPhiNV_Ca[], COUNTA(Table_ChiPhiNV_Ca[[#Headers],[Ca]:[Bắt đầu]]),0)),
$AA15&lt;MIN(AM$5,VLOOKUP(AM$6, Table_ChiPhiNV_Ca[], COUNTA(Table_ChiPhiNV_Ca[[#Headers],[Ca]:[Kết thúc]]),0))),
SUM(_xlfn._xlws.FILTER(Table_BangLuong_TyLeTangCa[Tỷ lệ],
(Table_BangLuong_TyLeTangCa[Ngày] = "Thường") *
(Table_BangLuong_TyLeTangCa[Giờ min]&lt;=$AA15) *
(Table_BangLuong_TyLeTangCa[Giờ max]&gt;$AA15)
)),0)
)),
IF(AM$4 &lt; AM$5,
IF($AA15-$Z$4&lt;AM$4,0,
IF($AA15&gt;AM$5,0,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AM$5,$AA15 &lt; AM$4),0,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N15" s="18" cm="1">
        <f t="array" ref="AN15" xml:space="preserve">
IFERROR(
IF(AN$1="",0,
IF(AND(
$AA15&gt;=VLOOKUP(AN$6, Table_ChiPhiNV_Ca[], COUNTA(Table_ChiPhiNV_Ca[[#Headers],[Ca]:[Bắt đầu nghỉ]]),0),
$AA15&lt;VLOOKUP(AN$6, Table_ChiPhiNV_Ca[], COUNTA(Table_ChiPhiNV_Ca[[#Headers],[Ca]:[Kết thúc nghỉ]]),0)
),0,
IF(NOT(ISBLANK(AN$3)),
IF(ISBLANK(AN$7),0,
IF(AN$4 &lt; AN$5,
IF($AA15-$Z$4&lt;AN$4,0,
IF($AA15&gt;AN$5,0,
SUM(_xlfn._xlws.FILTER(Table_BangLuong_TyLeTangCa[Tỷ lệ],
(Table_BangLuong_TyLeTangCa[Ngày] = AN$3) *
(Table_BangLuong_TyLeTangCa[Giờ min]&lt;=$AA15) *
(Table_BangLuong_TyLeTangCa[Giờ max]&gt;$AA15)
)))),
IF(AND($AA15-$Z$4 &gt;= AN$5,$AA15 &lt; AN$4),0,
SUM(_xlfn._xlws.FILTER(Table_BangLuong_TyLeTangCa[Tỷ lệ],
(Table_BangLuong_TyLeTangCa[Ngày] = AN$3) *
(Table_BangLuong_TyLeTangCa[Giờ min]&lt;=$AA15) *
(Table_BangLuong_TyLeTangCa[Giờ max]&gt;$AA15)
))))
),
IF(ISBLANK(AN$7),
IF(VLOOKUP(AN$6, Table_ChiPhiNV_Ca[], COUNTA(Table_ChiPhiNV_Ca[[#Headers],[Ca]:[Kết thúc]]),0)&gt; VLOOKUP(AN$6, Table_ChiPhiNV_Ca[], COUNTA(Table_ChiPhiNV_Ca[[#Headers],[Ca]:[Bắt đầu]]),0),
IF($AA15-$Z$4&lt;MAX(AN$4,VLOOKUP(AN$6, Table_ChiPhiNV_Ca[], COUNTA(Table_ChiPhiNV_Ca[[#Headers],[Ca]:[Bắt đầu]]),0)),0,
IF($AA15&gt;MIN(AN$5,VLOOKUP(AN$6, Table_ChiPhiNV_Ca[], COUNTA(Table_ChiPhiNV_Ca[[#Headers],[Ca]:[Kết thúc]]),0)),0,
SUM(_xlfn._xlws.FILTER(Table_BangLuong_TyLeTangCa[Tỷ lệ],
(Table_BangLuong_TyLeTangCa[Ngày] = "Thường") *
(Table_BangLuong_TyLeTangCa[Giờ min]&lt;=$AA15) *
(Table_BangLuong_TyLeTangCa[Giờ max]&gt;$AA15)
)))),
IF(AN$4 &gt; AN$5,
IF(
AND(
$AA15-$Z$4&lt;MAX(AN$4,VLOOKUP(AN$6, Table_ChiPhiNV_Ca[], COUNTA(Table_ChiPhiNV_Ca[[#Headers],[Ca]:[Bắt đầu]]),0)),
$AA15&gt;MIN(AN$5,VLOOKUP(AN$6, Table_ChiPhiNV_Ca[], COUNTA(Table_ChiPhiNV_Ca[[#Headers],[Ca]:[Kết thúc]]),0))),0,
SUM(_xlfn._xlws.FILTER(Table_BangLuong_TyLeTangCa[Tỷ lệ],
(Table_BangLuong_TyLeTangCa[Ngày] = "Thường") *
(Table_BangLuong_TyLeTangCa[Giờ min]&lt;=$AA15) *
(Table_BangLuong_TyLeTangCa[Giờ max]&gt;$AA15)
))),
IF(
AND(
$AA15-$Z$4&gt;=MAX(AN$4,VLOOKUP(AN$6, Table_ChiPhiNV_Ca[], COUNTA(Table_ChiPhiNV_Ca[[#Headers],[Ca]:[Bắt đầu]]),0)),
$AA15&lt;MIN(AN$5,VLOOKUP(AN$6, Table_ChiPhiNV_Ca[], COUNTA(Table_ChiPhiNV_Ca[[#Headers],[Ca]:[Kết thúc]]),0))),
SUM(_xlfn._xlws.FILTER(Table_BangLuong_TyLeTangCa[Tỷ lệ],
(Table_BangLuong_TyLeTangCa[Ngày] = "Thường") *
(Table_BangLuong_TyLeTangCa[Giờ min]&lt;=$AA15) *
(Table_BangLuong_TyLeTangCa[Giờ max]&gt;$AA15)
)),0)
)),
IF(AN$4 &lt; AN$5,
IF($AA15-$Z$4&lt;AN$4,0,
IF($AA15&gt;AN$5,0,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AN$5,$AA15 &lt; AN$4),0,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O15" s="18" cm="1">
        <f t="array" ref="AO15" xml:space="preserve">
IFERROR(
IF(AO$1="",0,
IF(AND(
$AA15&gt;=VLOOKUP(AO$6, Table_ChiPhiNV_Ca[], COUNTA(Table_ChiPhiNV_Ca[[#Headers],[Ca]:[Bắt đầu nghỉ]]),0),
$AA15&lt;VLOOKUP(AO$6, Table_ChiPhiNV_Ca[], COUNTA(Table_ChiPhiNV_Ca[[#Headers],[Ca]:[Kết thúc nghỉ]]),0)
),0,
IF(NOT(ISBLANK(AO$3)),
IF(ISBLANK(AO$7),0,
IF(AO$4 &lt; AO$5,
IF($AA15-$Z$4&lt;AO$4,0,
IF($AA15&gt;AO$5,0,
SUM(_xlfn._xlws.FILTER(Table_BangLuong_TyLeTangCa[Tỷ lệ],
(Table_BangLuong_TyLeTangCa[Ngày] = AO$3) *
(Table_BangLuong_TyLeTangCa[Giờ min]&lt;=$AA15) *
(Table_BangLuong_TyLeTangCa[Giờ max]&gt;$AA15)
)))),
IF(AND($AA15-$Z$4 &gt;= AO$5,$AA15 &lt; AO$4),0,
SUM(_xlfn._xlws.FILTER(Table_BangLuong_TyLeTangCa[Tỷ lệ],
(Table_BangLuong_TyLeTangCa[Ngày] = AO$3) *
(Table_BangLuong_TyLeTangCa[Giờ min]&lt;=$AA15) *
(Table_BangLuong_TyLeTangCa[Giờ max]&gt;$AA15)
))))
),
IF(ISBLANK(AO$7),
IF(VLOOKUP(AO$6, Table_ChiPhiNV_Ca[], COUNTA(Table_ChiPhiNV_Ca[[#Headers],[Ca]:[Kết thúc]]),0)&gt; VLOOKUP(AO$6, Table_ChiPhiNV_Ca[], COUNTA(Table_ChiPhiNV_Ca[[#Headers],[Ca]:[Bắt đầu]]),0),
IF($AA15-$Z$4&lt;MAX(AO$4,VLOOKUP(AO$6, Table_ChiPhiNV_Ca[], COUNTA(Table_ChiPhiNV_Ca[[#Headers],[Ca]:[Bắt đầu]]),0)),0,
IF($AA15&gt;MIN(AO$5,VLOOKUP(AO$6, Table_ChiPhiNV_Ca[], COUNTA(Table_ChiPhiNV_Ca[[#Headers],[Ca]:[Kết thúc]]),0)),0,
SUM(_xlfn._xlws.FILTER(Table_BangLuong_TyLeTangCa[Tỷ lệ],
(Table_BangLuong_TyLeTangCa[Ngày] = "Thường") *
(Table_BangLuong_TyLeTangCa[Giờ min]&lt;=$AA15) *
(Table_BangLuong_TyLeTangCa[Giờ max]&gt;$AA15)
)))),
IF(AO$4 &gt; AO$5,
IF(
AND(
$AA15-$Z$4&lt;MAX(AO$4,VLOOKUP(AO$6, Table_ChiPhiNV_Ca[], COUNTA(Table_ChiPhiNV_Ca[[#Headers],[Ca]:[Bắt đầu]]),0)),
$AA15&gt;MIN(AO$5,VLOOKUP(AO$6, Table_ChiPhiNV_Ca[], COUNTA(Table_ChiPhiNV_Ca[[#Headers],[Ca]:[Kết thúc]]),0))),0,
SUM(_xlfn._xlws.FILTER(Table_BangLuong_TyLeTangCa[Tỷ lệ],
(Table_BangLuong_TyLeTangCa[Ngày] = "Thường") *
(Table_BangLuong_TyLeTangCa[Giờ min]&lt;=$AA15) *
(Table_BangLuong_TyLeTangCa[Giờ max]&gt;$AA15)
))),
IF(
AND(
$AA15-$Z$4&gt;=MAX(AO$4,VLOOKUP(AO$6, Table_ChiPhiNV_Ca[], COUNTA(Table_ChiPhiNV_Ca[[#Headers],[Ca]:[Bắt đầu]]),0)),
$AA15&lt;MIN(AO$5,VLOOKUP(AO$6, Table_ChiPhiNV_Ca[], COUNTA(Table_ChiPhiNV_Ca[[#Headers],[Ca]:[Kết thúc]]),0))),
SUM(_xlfn._xlws.FILTER(Table_BangLuong_TyLeTangCa[Tỷ lệ],
(Table_BangLuong_TyLeTangCa[Ngày] = "Thường") *
(Table_BangLuong_TyLeTangCa[Giờ min]&lt;=$AA15) *
(Table_BangLuong_TyLeTangCa[Giờ max]&gt;$AA15)
)),0)
)),
IF(AO$4 &lt; AO$5,
IF($AA15-$Z$4&lt;AO$4,0,
IF($AA15&gt;AO$5,0,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AO$5,$AA15 &lt; AO$4),0,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P15" s="18" cm="1">
        <f t="array" ref="AP15" xml:space="preserve">
IFERROR(
IF(AP$1="",0,
IF(AND(
$AA15&gt;=VLOOKUP(AP$6, Table_ChiPhiNV_Ca[], COUNTA(Table_ChiPhiNV_Ca[[#Headers],[Ca]:[Bắt đầu nghỉ]]),0),
$AA15&lt;VLOOKUP(AP$6, Table_ChiPhiNV_Ca[], COUNTA(Table_ChiPhiNV_Ca[[#Headers],[Ca]:[Kết thúc nghỉ]]),0)
),0,
IF(NOT(ISBLANK(AP$3)),
IF(ISBLANK(AP$7),0,
IF(AP$4 &lt; AP$5,
IF($AA15-$Z$4&lt;AP$4,0,
IF($AA15&gt;AP$5,0,
SUM(_xlfn._xlws.FILTER(Table_BangLuong_TyLeTangCa[Tỷ lệ],
(Table_BangLuong_TyLeTangCa[Ngày] = AP$3) *
(Table_BangLuong_TyLeTangCa[Giờ min]&lt;=$AA15) *
(Table_BangLuong_TyLeTangCa[Giờ max]&gt;$AA15)
)))),
IF(AND($AA15-$Z$4 &gt;= AP$5,$AA15 &lt; AP$4),0,
SUM(_xlfn._xlws.FILTER(Table_BangLuong_TyLeTangCa[Tỷ lệ],
(Table_BangLuong_TyLeTangCa[Ngày] = AP$3) *
(Table_BangLuong_TyLeTangCa[Giờ min]&lt;=$AA15) *
(Table_BangLuong_TyLeTangCa[Giờ max]&gt;$AA15)
))))
),
IF(ISBLANK(AP$7),
IF(VLOOKUP(AP$6, Table_ChiPhiNV_Ca[], COUNTA(Table_ChiPhiNV_Ca[[#Headers],[Ca]:[Kết thúc]]),0)&gt; VLOOKUP(AP$6, Table_ChiPhiNV_Ca[], COUNTA(Table_ChiPhiNV_Ca[[#Headers],[Ca]:[Bắt đầu]]),0),
IF($AA15-$Z$4&lt;MAX(AP$4,VLOOKUP(AP$6, Table_ChiPhiNV_Ca[], COUNTA(Table_ChiPhiNV_Ca[[#Headers],[Ca]:[Bắt đầu]]),0)),0,
IF($AA15&gt;MIN(AP$5,VLOOKUP(AP$6, Table_ChiPhiNV_Ca[], COUNTA(Table_ChiPhiNV_Ca[[#Headers],[Ca]:[Kết thúc]]),0)),0,
SUM(_xlfn._xlws.FILTER(Table_BangLuong_TyLeTangCa[Tỷ lệ],
(Table_BangLuong_TyLeTangCa[Ngày] = "Thường") *
(Table_BangLuong_TyLeTangCa[Giờ min]&lt;=$AA15) *
(Table_BangLuong_TyLeTangCa[Giờ max]&gt;$AA15)
)))),
IF(AP$4 &gt; AP$5,
IF(
AND(
$AA15-$Z$4&lt;MAX(AP$4,VLOOKUP(AP$6, Table_ChiPhiNV_Ca[], COUNTA(Table_ChiPhiNV_Ca[[#Headers],[Ca]:[Bắt đầu]]),0)),
$AA15&gt;MIN(AP$5,VLOOKUP(AP$6, Table_ChiPhiNV_Ca[], COUNTA(Table_ChiPhiNV_Ca[[#Headers],[Ca]:[Kết thúc]]),0))),0,
SUM(_xlfn._xlws.FILTER(Table_BangLuong_TyLeTangCa[Tỷ lệ],
(Table_BangLuong_TyLeTangCa[Ngày] = "Thường") *
(Table_BangLuong_TyLeTangCa[Giờ min]&lt;=$AA15) *
(Table_BangLuong_TyLeTangCa[Giờ max]&gt;$AA15)
))),
IF(
AND(
$AA15-$Z$4&gt;=MAX(AP$4,VLOOKUP(AP$6, Table_ChiPhiNV_Ca[], COUNTA(Table_ChiPhiNV_Ca[[#Headers],[Ca]:[Bắt đầu]]),0)),
$AA15&lt;MIN(AP$5,VLOOKUP(AP$6, Table_ChiPhiNV_Ca[], COUNTA(Table_ChiPhiNV_Ca[[#Headers],[Ca]:[Kết thúc]]),0))),
SUM(_xlfn._xlws.FILTER(Table_BangLuong_TyLeTangCa[Tỷ lệ],
(Table_BangLuong_TyLeTangCa[Ngày] = "Thường") *
(Table_BangLuong_TyLeTangCa[Giờ min]&lt;=$AA15) *
(Table_BangLuong_TyLeTangCa[Giờ max]&gt;$AA15)
)),0)
)),
IF(AP$4 &lt; AP$5,
IF($AA15-$Z$4&lt;AP$4,0,
IF($AA15&gt;AP$5,0,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AP$5,$AA15 &lt; AP$4),0,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Q15" s="18" cm="1">
        <f t="array" ref="AQ15" xml:space="preserve">
IFERROR(
IF(AQ$1="",0,
IF(AND(
$AA15&gt;=VLOOKUP(AQ$6, Table_ChiPhiNV_Ca[], COUNTA(Table_ChiPhiNV_Ca[[#Headers],[Ca]:[Bắt đầu nghỉ]]),0),
$AA15&lt;VLOOKUP(AQ$6, Table_ChiPhiNV_Ca[], COUNTA(Table_ChiPhiNV_Ca[[#Headers],[Ca]:[Kết thúc nghỉ]]),0)
),0,
IF(NOT(ISBLANK(AQ$3)),
IF(ISBLANK(AQ$7),0,
IF(AQ$4 &lt; AQ$5,
IF($AA15-$Z$4&lt;AQ$4,0,
IF($AA15&gt;AQ$5,0,
SUM(_xlfn._xlws.FILTER(Table_BangLuong_TyLeTangCa[Tỷ lệ],
(Table_BangLuong_TyLeTangCa[Ngày] = AQ$3) *
(Table_BangLuong_TyLeTangCa[Giờ min]&lt;=$AA15) *
(Table_BangLuong_TyLeTangCa[Giờ max]&gt;$AA15)
)))),
IF(AND($AA15-$Z$4 &gt;= AQ$5,$AA15 &lt; AQ$4),0,
SUM(_xlfn._xlws.FILTER(Table_BangLuong_TyLeTangCa[Tỷ lệ],
(Table_BangLuong_TyLeTangCa[Ngày] = AQ$3) *
(Table_BangLuong_TyLeTangCa[Giờ min]&lt;=$AA15) *
(Table_BangLuong_TyLeTangCa[Giờ max]&gt;$AA15)
))))
),
IF(ISBLANK(AQ$7),
IF(VLOOKUP(AQ$6, Table_ChiPhiNV_Ca[], COUNTA(Table_ChiPhiNV_Ca[[#Headers],[Ca]:[Kết thúc]]),0)&gt; VLOOKUP(AQ$6, Table_ChiPhiNV_Ca[], COUNTA(Table_ChiPhiNV_Ca[[#Headers],[Ca]:[Bắt đầu]]),0),
IF($AA15-$Z$4&lt;MAX(AQ$4,VLOOKUP(AQ$6, Table_ChiPhiNV_Ca[], COUNTA(Table_ChiPhiNV_Ca[[#Headers],[Ca]:[Bắt đầu]]),0)),0,
IF($AA15&gt;MIN(AQ$5,VLOOKUP(AQ$6, Table_ChiPhiNV_Ca[], COUNTA(Table_ChiPhiNV_Ca[[#Headers],[Ca]:[Kết thúc]]),0)),0,
SUM(_xlfn._xlws.FILTER(Table_BangLuong_TyLeTangCa[Tỷ lệ],
(Table_BangLuong_TyLeTangCa[Ngày] = "Thường") *
(Table_BangLuong_TyLeTangCa[Giờ min]&lt;=$AA15) *
(Table_BangLuong_TyLeTangCa[Giờ max]&gt;$AA15)
)))),
IF(AQ$4 &gt; AQ$5,
IF(
AND(
$AA15-$Z$4&lt;MAX(AQ$4,VLOOKUP(AQ$6, Table_ChiPhiNV_Ca[], COUNTA(Table_ChiPhiNV_Ca[[#Headers],[Ca]:[Bắt đầu]]),0)),
$AA15&gt;MIN(AQ$5,VLOOKUP(AQ$6, Table_ChiPhiNV_Ca[], COUNTA(Table_ChiPhiNV_Ca[[#Headers],[Ca]:[Kết thúc]]),0))),0,
SUM(_xlfn._xlws.FILTER(Table_BangLuong_TyLeTangCa[Tỷ lệ],
(Table_BangLuong_TyLeTangCa[Ngày] = "Thường") *
(Table_BangLuong_TyLeTangCa[Giờ min]&lt;=$AA15) *
(Table_BangLuong_TyLeTangCa[Giờ max]&gt;$AA15)
))),
IF(
AND(
$AA15-$Z$4&gt;=MAX(AQ$4,VLOOKUP(AQ$6, Table_ChiPhiNV_Ca[], COUNTA(Table_ChiPhiNV_Ca[[#Headers],[Ca]:[Bắt đầu]]),0)),
$AA15&lt;MIN(AQ$5,VLOOKUP(AQ$6, Table_ChiPhiNV_Ca[], COUNTA(Table_ChiPhiNV_Ca[[#Headers],[Ca]:[Kết thúc]]),0))),
SUM(_xlfn._xlws.FILTER(Table_BangLuong_TyLeTangCa[Tỷ lệ],
(Table_BangLuong_TyLeTangCa[Ngày] = "Thường") *
(Table_BangLuong_TyLeTangCa[Giờ min]&lt;=$AA15) *
(Table_BangLuong_TyLeTangCa[Giờ max]&gt;$AA15)
)),0)
)),
IF(AQ$4 &lt; AQ$5,
IF($AA15-$Z$4&lt;AQ$4,0,
IF($AA15&gt;AQ$5,0,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AQ$5,$AA15 &lt; AQ$4),0,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R15" s="18" cm="1">
        <f t="array" ref="AR15" xml:space="preserve">
IFERROR(
IF(AR$1="",0,
IF(AND(
$AA15&gt;=VLOOKUP(AR$6, Table_ChiPhiNV_Ca[], COUNTA(Table_ChiPhiNV_Ca[[#Headers],[Ca]:[Bắt đầu nghỉ]]),0),
$AA15&lt;VLOOKUP(AR$6, Table_ChiPhiNV_Ca[], COUNTA(Table_ChiPhiNV_Ca[[#Headers],[Ca]:[Kết thúc nghỉ]]),0)
),0,
IF(NOT(ISBLANK(AR$3)),
IF(ISBLANK(AR$7),0,
IF(AR$4 &lt; AR$5,
IF($AA15-$Z$4&lt;AR$4,0,
IF($AA15&gt;AR$5,0,
SUM(_xlfn._xlws.FILTER(Table_BangLuong_TyLeTangCa[Tỷ lệ],
(Table_BangLuong_TyLeTangCa[Ngày] = AR$3) *
(Table_BangLuong_TyLeTangCa[Giờ min]&lt;=$AA15) *
(Table_BangLuong_TyLeTangCa[Giờ max]&gt;$AA15)
)))),
IF(AND($AA15-$Z$4 &gt;= AR$5,$AA15 &lt; AR$4),0,
SUM(_xlfn._xlws.FILTER(Table_BangLuong_TyLeTangCa[Tỷ lệ],
(Table_BangLuong_TyLeTangCa[Ngày] = AR$3) *
(Table_BangLuong_TyLeTangCa[Giờ min]&lt;=$AA15) *
(Table_BangLuong_TyLeTangCa[Giờ max]&gt;$AA15)
))))
),
IF(ISBLANK(AR$7),
IF(VLOOKUP(AR$6, Table_ChiPhiNV_Ca[], COUNTA(Table_ChiPhiNV_Ca[[#Headers],[Ca]:[Kết thúc]]),0)&gt; VLOOKUP(AR$6, Table_ChiPhiNV_Ca[], COUNTA(Table_ChiPhiNV_Ca[[#Headers],[Ca]:[Bắt đầu]]),0),
IF($AA15-$Z$4&lt;MAX(AR$4,VLOOKUP(AR$6, Table_ChiPhiNV_Ca[], COUNTA(Table_ChiPhiNV_Ca[[#Headers],[Ca]:[Bắt đầu]]),0)),0,
IF($AA15&gt;MIN(AR$5,VLOOKUP(AR$6, Table_ChiPhiNV_Ca[], COUNTA(Table_ChiPhiNV_Ca[[#Headers],[Ca]:[Kết thúc]]),0)),0,
SUM(_xlfn._xlws.FILTER(Table_BangLuong_TyLeTangCa[Tỷ lệ],
(Table_BangLuong_TyLeTangCa[Ngày] = "Thường") *
(Table_BangLuong_TyLeTangCa[Giờ min]&lt;=$AA15) *
(Table_BangLuong_TyLeTangCa[Giờ max]&gt;$AA15)
)))),
IF(AR$4 &gt; AR$5,
IF(
AND(
$AA15-$Z$4&lt;MAX(AR$4,VLOOKUP(AR$6, Table_ChiPhiNV_Ca[], COUNTA(Table_ChiPhiNV_Ca[[#Headers],[Ca]:[Bắt đầu]]),0)),
$AA15&gt;MIN(AR$5,VLOOKUP(AR$6, Table_ChiPhiNV_Ca[], COUNTA(Table_ChiPhiNV_Ca[[#Headers],[Ca]:[Kết thúc]]),0))),0,
SUM(_xlfn._xlws.FILTER(Table_BangLuong_TyLeTangCa[Tỷ lệ],
(Table_BangLuong_TyLeTangCa[Ngày] = "Thường") *
(Table_BangLuong_TyLeTangCa[Giờ min]&lt;=$AA15) *
(Table_BangLuong_TyLeTangCa[Giờ max]&gt;$AA15)
))),
IF(
AND(
$AA15-$Z$4&gt;=MAX(AR$4,VLOOKUP(AR$6, Table_ChiPhiNV_Ca[], COUNTA(Table_ChiPhiNV_Ca[[#Headers],[Ca]:[Bắt đầu]]),0)),
$AA15&lt;MIN(AR$5,VLOOKUP(AR$6, Table_ChiPhiNV_Ca[], COUNTA(Table_ChiPhiNV_Ca[[#Headers],[Ca]:[Kết thúc]]),0))),
SUM(_xlfn._xlws.FILTER(Table_BangLuong_TyLeTangCa[Tỷ lệ],
(Table_BangLuong_TyLeTangCa[Ngày] = "Thường") *
(Table_BangLuong_TyLeTangCa[Giờ min]&lt;=$AA15) *
(Table_BangLuong_TyLeTangCa[Giờ max]&gt;$AA15)
)),0)
)),
IF(AR$4 &lt; AR$5,
IF($AA15-$Z$4&lt;AR$4,0,
IF($AA15&gt;AR$5,0,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AR$5,$AA15 &lt; AR$4),0,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S15" s="18" cm="1">
        <f t="array" ref="AS15" xml:space="preserve">
IFERROR(
IF(AS$1="",0,
IF(AND(
$AA15&gt;=VLOOKUP(AS$6, Table_ChiPhiNV_Ca[], COUNTA(Table_ChiPhiNV_Ca[[#Headers],[Ca]:[Bắt đầu nghỉ]]),0),
$AA15&lt;VLOOKUP(AS$6, Table_ChiPhiNV_Ca[], COUNTA(Table_ChiPhiNV_Ca[[#Headers],[Ca]:[Kết thúc nghỉ]]),0)
),0,
IF(NOT(ISBLANK(AS$3)),
IF(ISBLANK(AS$7),0,
IF(AS$4 &lt; AS$5,
IF($AA15-$Z$4&lt;AS$4,0,
IF($AA15&gt;AS$5,0,
SUM(_xlfn._xlws.FILTER(Table_BangLuong_TyLeTangCa[Tỷ lệ],
(Table_BangLuong_TyLeTangCa[Ngày] = AS$3) *
(Table_BangLuong_TyLeTangCa[Giờ min]&lt;=$AA15) *
(Table_BangLuong_TyLeTangCa[Giờ max]&gt;$AA15)
)))),
IF(AND($AA15-$Z$4 &gt;= AS$5,$AA15 &lt; AS$4),0,
SUM(_xlfn._xlws.FILTER(Table_BangLuong_TyLeTangCa[Tỷ lệ],
(Table_BangLuong_TyLeTangCa[Ngày] = AS$3) *
(Table_BangLuong_TyLeTangCa[Giờ min]&lt;=$AA15) *
(Table_BangLuong_TyLeTangCa[Giờ max]&gt;$AA15)
))))
),
IF(ISBLANK(AS$7),
IF(VLOOKUP(AS$6, Table_ChiPhiNV_Ca[], COUNTA(Table_ChiPhiNV_Ca[[#Headers],[Ca]:[Kết thúc]]),0)&gt; VLOOKUP(AS$6, Table_ChiPhiNV_Ca[], COUNTA(Table_ChiPhiNV_Ca[[#Headers],[Ca]:[Bắt đầu]]),0),
IF($AA15-$Z$4&lt;MAX(AS$4,VLOOKUP(AS$6, Table_ChiPhiNV_Ca[], COUNTA(Table_ChiPhiNV_Ca[[#Headers],[Ca]:[Bắt đầu]]),0)),0,
IF($AA15&gt;MIN(AS$5,VLOOKUP(AS$6, Table_ChiPhiNV_Ca[], COUNTA(Table_ChiPhiNV_Ca[[#Headers],[Ca]:[Kết thúc]]),0)),0,
SUM(_xlfn._xlws.FILTER(Table_BangLuong_TyLeTangCa[Tỷ lệ],
(Table_BangLuong_TyLeTangCa[Ngày] = "Thường") *
(Table_BangLuong_TyLeTangCa[Giờ min]&lt;=$AA15) *
(Table_BangLuong_TyLeTangCa[Giờ max]&gt;$AA15)
)))),
IF(AS$4 &gt; AS$5,
IF(
AND(
$AA15-$Z$4&lt;MAX(AS$4,VLOOKUP(AS$6, Table_ChiPhiNV_Ca[], COUNTA(Table_ChiPhiNV_Ca[[#Headers],[Ca]:[Bắt đầu]]),0)),
$AA15&gt;MIN(AS$5,VLOOKUP(AS$6, Table_ChiPhiNV_Ca[], COUNTA(Table_ChiPhiNV_Ca[[#Headers],[Ca]:[Kết thúc]]),0))),0,
SUM(_xlfn._xlws.FILTER(Table_BangLuong_TyLeTangCa[Tỷ lệ],
(Table_BangLuong_TyLeTangCa[Ngày] = "Thường") *
(Table_BangLuong_TyLeTangCa[Giờ min]&lt;=$AA15) *
(Table_BangLuong_TyLeTangCa[Giờ max]&gt;$AA15)
))),
IF(
AND(
$AA15-$Z$4&gt;=MAX(AS$4,VLOOKUP(AS$6, Table_ChiPhiNV_Ca[], COUNTA(Table_ChiPhiNV_Ca[[#Headers],[Ca]:[Bắt đầu]]),0)),
$AA15&lt;MIN(AS$5,VLOOKUP(AS$6, Table_ChiPhiNV_Ca[], COUNTA(Table_ChiPhiNV_Ca[[#Headers],[Ca]:[Kết thúc]]),0))),
SUM(_xlfn._xlws.FILTER(Table_BangLuong_TyLeTangCa[Tỷ lệ],
(Table_BangLuong_TyLeTangCa[Ngày] = "Thường") *
(Table_BangLuong_TyLeTangCa[Giờ min]&lt;=$AA15) *
(Table_BangLuong_TyLeTangCa[Giờ max]&gt;$AA15)
)),0)
)),
IF(AS$4 &lt; AS$5,
IF($AA15-$Z$4&lt;AS$4,0,
IF($AA15&gt;AS$5,0,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AS$5,$AA15 &lt; AS$4),0,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T15" s="18" cm="1">
        <f t="array" ref="AT15" xml:space="preserve">
IFERROR(
IF(AT$1="",0,
IF(AND(
$AA15&gt;=VLOOKUP(AT$6, Table_ChiPhiNV_Ca[], COUNTA(Table_ChiPhiNV_Ca[[#Headers],[Ca]:[Bắt đầu nghỉ]]),0),
$AA15&lt;VLOOKUP(AT$6, Table_ChiPhiNV_Ca[], COUNTA(Table_ChiPhiNV_Ca[[#Headers],[Ca]:[Kết thúc nghỉ]]),0)
),0,
IF(NOT(ISBLANK(AT$3)),
IF(ISBLANK(AT$7),0,
IF(AT$4 &lt; AT$5,
IF($AA15-$Z$4&lt;AT$4,0,
IF($AA15&gt;AT$5,0,
SUM(_xlfn._xlws.FILTER(Table_BangLuong_TyLeTangCa[Tỷ lệ],
(Table_BangLuong_TyLeTangCa[Ngày] = AT$3) *
(Table_BangLuong_TyLeTangCa[Giờ min]&lt;=$AA15) *
(Table_BangLuong_TyLeTangCa[Giờ max]&gt;$AA15)
)))),
IF(AND($AA15-$Z$4 &gt;= AT$5,$AA15 &lt; AT$4),0,
SUM(_xlfn._xlws.FILTER(Table_BangLuong_TyLeTangCa[Tỷ lệ],
(Table_BangLuong_TyLeTangCa[Ngày] = AT$3) *
(Table_BangLuong_TyLeTangCa[Giờ min]&lt;=$AA15) *
(Table_BangLuong_TyLeTangCa[Giờ max]&gt;$AA15)
))))
),
IF(ISBLANK(AT$7),
IF(VLOOKUP(AT$6, Table_ChiPhiNV_Ca[], COUNTA(Table_ChiPhiNV_Ca[[#Headers],[Ca]:[Kết thúc]]),0)&gt; VLOOKUP(AT$6, Table_ChiPhiNV_Ca[], COUNTA(Table_ChiPhiNV_Ca[[#Headers],[Ca]:[Bắt đầu]]),0),
IF($AA15-$Z$4&lt;MAX(AT$4,VLOOKUP(AT$6, Table_ChiPhiNV_Ca[], COUNTA(Table_ChiPhiNV_Ca[[#Headers],[Ca]:[Bắt đầu]]),0)),0,
IF($AA15&gt;MIN(AT$5,VLOOKUP(AT$6, Table_ChiPhiNV_Ca[], COUNTA(Table_ChiPhiNV_Ca[[#Headers],[Ca]:[Kết thúc]]),0)),0,
SUM(_xlfn._xlws.FILTER(Table_BangLuong_TyLeTangCa[Tỷ lệ],
(Table_BangLuong_TyLeTangCa[Ngày] = "Thường") *
(Table_BangLuong_TyLeTangCa[Giờ min]&lt;=$AA15) *
(Table_BangLuong_TyLeTangCa[Giờ max]&gt;$AA15)
)))),
IF(AT$4 &gt; AT$5,
IF(
AND(
$AA15-$Z$4&lt;MAX(AT$4,VLOOKUP(AT$6, Table_ChiPhiNV_Ca[], COUNTA(Table_ChiPhiNV_Ca[[#Headers],[Ca]:[Bắt đầu]]),0)),
$AA15&gt;MIN(AT$5,VLOOKUP(AT$6, Table_ChiPhiNV_Ca[], COUNTA(Table_ChiPhiNV_Ca[[#Headers],[Ca]:[Kết thúc]]),0))),0,
SUM(_xlfn._xlws.FILTER(Table_BangLuong_TyLeTangCa[Tỷ lệ],
(Table_BangLuong_TyLeTangCa[Ngày] = "Thường") *
(Table_BangLuong_TyLeTangCa[Giờ min]&lt;=$AA15) *
(Table_BangLuong_TyLeTangCa[Giờ max]&gt;$AA15)
))),
IF(
AND(
$AA15-$Z$4&gt;=MAX(AT$4,VLOOKUP(AT$6, Table_ChiPhiNV_Ca[], COUNTA(Table_ChiPhiNV_Ca[[#Headers],[Ca]:[Bắt đầu]]),0)),
$AA15&lt;MIN(AT$5,VLOOKUP(AT$6, Table_ChiPhiNV_Ca[], COUNTA(Table_ChiPhiNV_Ca[[#Headers],[Ca]:[Kết thúc]]),0))),
SUM(_xlfn._xlws.FILTER(Table_BangLuong_TyLeTangCa[Tỷ lệ],
(Table_BangLuong_TyLeTangCa[Ngày] = "Thường") *
(Table_BangLuong_TyLeTangCa[Giờ min]&lt;=$AA15) *
(Table_BangLuong_TyLeTangCa[Giờ max]&gt;$AA15)
)),0)
)),
IF(AT$4 &lt; AT$5,
IF($AA15-$Z$4&lt;AT$4,0,
IF($AA15&gt;AT$5,0,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AT$5,$AA15 &lt; AT$4),0,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U15" s="18" cm="1">
        <f t="array" ref="AU15" xml:space="preserve">
IFERROR(
IF(AU$1="",0,
IF(AND(
$AA15&gt;=VLOOKUP(AU$6, Table_ChiPhiNV_Ca[], COUNTA(Table_ChiPhiNV_Ca[[#Headers],[Ca]:[Bắt đầu nghỉ]]),0),
$AA15&lt;VLOOKUP(AU$6, Table_ChiPhiNV_Ca[], COUNTA(Table_ChiPhiNV_Ca[[#Headers],[Ca]:[Kết thúc nghỉ]]),0)
),0,
IF(NOT(ISBLANK(AU$3)),
IF(ISBLANK(AU$7),0,
IF(AU$4 &lt; AU$5,
IF($AA15-$Z$4&lt;AU$4,0,
IF($AA15&gt;AU$5,0,
SUM(_xlfn._xlws.FILTER(Table_BangLuong_TyLeTangCa[Tỷ lệ],
(Table_BangLuong_TyLeTangCa[Ngày] = AU$3) *
(Table_BangLuong_TyLeTangCa[Giờ min]&lt;=$AA15) *
(Table_BangLuong_TyLeTangCa[Giờ max]&gt;$AA15)
)))),
IF(AND($AA15-$Z$4 &gt;= AU$5,$AA15 &lt; AU$4),0,
SUM(_xlfn._xlws.FILTER(Table_BangLuong_TyLeTangCa[Tỷ lệ],
(Table_BangLuong_TyLeTangCa[Ngày] = AU$3) *
(Table_BangLuong_TyLeTangCa[Giờ min]&lt;=$AA15) *
(Table_BangLuong_TyLeTangCa[Giờ max]&gt;$AA15)
))))
),
IF(ISBLANK(AU$7),
IF(VLOOKUP(AU$6, Table_ChiPhiNV_Ca[], COUNTA(Table_ChiPhiNV_Ca[[#Headers],[Ca]:[Kết thúc]]),0)&gt; VLOOKUP(AU$6, Table_ChiPhiNV_Ca[], COUNTA(Table_ChiPhiNV_Ca[[#Headers],[Ca]:[Bắt đầu]]),0),
IF($AA15-$Z$4&lt;MAX(AU$4,VLOOKUP(AU$6, Table_ChiPhiNV_Ca[], COUNTA(Table_ChiPhiNV_Ca[[#Headers],[Ca]:[Bắt đầu]]),0)),0,
IF($AA15&gt;MIN(AU$5,VLOOKUP(AU$6, Table_ChiPhiNV_Ca[], COUNTA(Table_ChiPhiNV_Ca[[#Headers],[Ca]:[Kết thúc]]),0)),0,
SUM(_xlfn._xlws.FILTER(Table_BangLuong_TyLeTangCa[Tỷ lệ],
(Table_BangLuong_TyLeTangCa[Ngày] = "Thường") *
(Table_BangLuong_TyLeTangCa[Giờ min]&lt;=$AA15) *
(Table_BangLuong_TyLeTangCa[Giờ max]&gt;$AA15)
)))),
IF(AU$4 &gt; AU$5,
IF(
AND(
$AA15-$Z$4&lt;MAX(AU$4,VLOOKUP(AU$6, Table_ChiPhiNV_Ca[], COUNTA(Table_ChiPhiNV_Ca[[#Headers],[Ca]:[Bắt đầu]]),0)),
$AA15&gt;MIN(AU$5,VLOOKUP(AU$6, Table_ChiPhiNV_Ca[], COUNTA(Table_ChiPhiNV_Ca[[#Headers],[Ca]:[Kết thúc]]),0))),0,
SUM(_xlfn._xlws.FILTER(Table_BangLuong_TyLeTangCa[Tỷ lệ],
(Table_BangLuong_TyLeTangCa[Ngày] = "Thường") *
(Table_BangLuong_TyLeTangCa[Giờ min]&lt;=$AA15) *
(Table_BangLuong_TyLeTangCa[Giờ max]&gt;$AA15)
))),
IF(
AND(
$AA15-$Z$4&gt;=MAX(AU$4,VLOOKUP(AU$6, Table_ChiPhiNV_Ca[], COUNTA(Table_ChiPhiNV_Ca[[#Headers],[Ca]:[Bắt đầu]]),0)),
$AA15&lt;MIN(AU$5,VLOOKUP(AU$6, Table_ChiPhiNV_Ca[], COUNTA(Table_ChiPhiNV_Ca[[#Headers],[Ca]:[Kết thúc]]),0))),
SUM(_xlfn._xlws.FILTER(Table_BangLuong_TyLeTangCa[Tỷ lệ],
(Table_BangLuong_TyLeTangCa[Ngày] = "Thường") *
(Table_BangLuong_TyLeTangCa[Giờ min]&lt;=$AA15) *
(Table_BangLuong_TyLeTangCa[Giờ max]&gt;$AA15)
)),0)
)),
IF(AU$4 &lt; AU$5,
IF($AA15-$Z$4&lt;AU$4,0,
IF($AA15&gt;AU$5,0,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AU$5,$AA15 &lt; AU$4),0,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V15" s="18" cm="1">
        <f t="array" ref="AV15" xml:space="preserve">
IFERROR(
IF(AV$1="",0,
IF(AND(
$AA15&gt;=VLOOKUP(AV$6, Table_ChiPhiNV_Ca[], COUNTA(Table_ChiPhiNV_Ca[[#Headers],[Ca]:[Bắt đầu nghỉ]]),0),
$AA15&lt;VLOOKUP(AV$6, Table_ChiPhiNV_Ca[], COUNTA(Table_ChiPhiNV_Ca[[#Headers],[Ca]:[Kết thúc nghỉ]]),0)
),0,
IF(NOT(ISBLANK(AV$3)),
IF(ISBLANK(AV$7),0,
IF(AV$4 &lt; AV$5,
IF($AA15-$Z$4&lt;AV$4,0,
IF($AA15&gt;AV$5,0,
SUM(_xlfn._xlws.FILTER(Table_BangLuong_TyLeTangCa[Tỷ lệ],
(Table_BangLuong_TyLeTangCa[Ngày] = AV$3) *
(Table_BangLuong_TyLeTangCa[Giờ min]&lt;=$AA15) *
(Table_BangLuong_TyLeTangCa[Giờ max]&gt;$AA15)
)))),
IF(AND($AA15-$Z$4 &gt;= AV$5,$AA15 &lt; AV$4),0,
SUM(_xlfn._xlws.FILTER(Table_BangLuong_TyLeTangCa[Tỷ lệ],
(Table_BangLuong_TyLeTangCa[Ngày] = AV$3) *
(Table_BangLuong_TyLeTangCa[Giờ min]&lt;=$AA15) *
(Table_BangLuong_TyLeTangCa[Giờ max]&gt;$AA15)
))))
),
IF(ISBLANK(AV$7),
IF(VLOOKUP(AV$6, Table_ChiPhiNV_Ca[], COUNTA(Table_ChiPhiNV_Ca[[#Headers],[Ca]:[Kết thúc]]),0)&gt; VLOOKUP(AV$6, Table_ChiPhiNV_Ca[], COUNTA(Table_ChiPhiNV_Ca[[#Headers],[Ca]:[Bắt đầu]]),0),
IF($AA15-$Z$4&lt;MAX(AV$4,VLOOKUP(AV$6, Table_ChiPhiNV_Ca[], COUNTA(Table_ChiPhiNV_Ca[[#Headers],[Ca]:[Bắt đầu]]),0)),0,
IF($AA15&gt;MIN(AV$5,VLOOKUP(AV$6, Table_ChiPhiNV_Ca[], COUNTA(Table_ChiPhiNV_Ca[[#Headers],[Ca]:[Kết thúc]]),0)),0,
SUM(_xlfn._xlws.FILTER(Table_BangLuong_TyLeTangCa[Tỷ lệ],
(Table_BangLuong_TyLeTangCa[Ngày] = "Thường") *
(Table_BangLuong_TyLeTangCa[Giờ min]&lt;=$AA15) *
(Table_BangLuong_TyLeTangCa[Giờ max]&gt;$AA15)
)))),
IF(AV$4 &gt; AV$5,
IF(
AND(
$AA15-$Z$4&lt;MAX(AV$4,VLOOKUP(AV$6, Table_ChiPhiNV_Ca[], COUNTA(Table_ChiPhiNV_Ca[[#Headers],[Ca]:[Bắt đầu]]),0)),
$AA15&gt;MIN(AV$5,VLOOKUP(AV$6, Table_ChiPhiNV_Ca[], COUNTA(Table_ChiPhiNV_Ca[[#Headers],[Ca]:[Kết thúc]]),0))),0,
SUM(_xlfn._xlws.FILTER(Table_BangLuong_TyLeTangCa[Tỷ lệ],
(Table_BangLuong_TyLeTangCa[Ngày] = "Thường") *
(Table_BangLuong_TyLeTangCa[Giờ min]&lt;=$AA15) *
(Table_BangLuong_TyLeTangCa[Giờ max]&gt;$AA15)
))),
IF(
AND(
$AA15-$Z$4&gt;=MAX(AV$4,VLOOKUP(AV$6, Table_ChiPhiNV_Ca[], COUNTA(Table_ChiPhiNV_Ca[[#Headers],[Ca]:[Bắt đầu]]),0)),
$AA15&lt;MIN(AV$5,VLOOKUP(AV$6, Table_ChiPhiNV_Ca[], COUNTA(Table_ChiPhiNV_Ca[[#Headers],[Ca]:[Kết thúc]]),0))),
SUM(_xlfn._xlws.FILTER(Table_BangLuong_TyLeTangCa[Tỷ lệ],
(Table_BangLuong_TyLeTangCa[Ngày] = "Thường") *
(Table_BangLuong_TyLeTangCa[Giờ min]&lt;=$AA15) *
(Table_BangLuong_TyLeTangCa[Giờ max]&gt;$AA15)
)),0)
)),
IF(AV$4 &lt; AV$5,
IF($AA15-$Z$4&lt;AV$4,0,
IF($AA15&gt;AV$5,0,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AV$5,$AA15 &lt; AV$4),0,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W15" s="18" cm="1">
        <f t="array" ref="AW15" xml:space="preserve">
IFERROR(
IF(AW$1="",0,
IF(AND(
$AA15&gt;=VLOOKUP(AW$6, Table_ChiPhiNV_Ca[], COUNTA(Table_ChiPhiNV_Ca[[#Headers],[Ca]:[Bắt đầu nghỉ]]),0),
$AA15&lt;VLOOKUP(AW$6, Table_ChiPhiNV_Ca[], COUNTA(Table_ChiPhiNV_Ca[[#Headers],[Ca]:[Kết thúc nghỉ]]),0)
),0,
IF(NOT(ISBLANK(AW$3)),
IF(ISBLANK(AW$7),0,
IF(AW$4 &lt; AW$5,
IF($AA15-$Z$4&lt;AW$4,0,
IF($AA15&gt;AW$5,0,
SUM(_xlfn._xlws.FILTER(Table_BangLuong_TyLeTangCa[Tỷ lệ],
(Table_BangLuong_TyLeTangCa[Ngày] = AW$3) *
(Table_BangLuong_TyLeTangCa[Giờ min]&lt;=$AA15) *
(Table_BangLuong_TyLeTangCa[Giờ max]&gt;$AA15)
)))),
IF(AND($AA15-$Z$4 &gt;= AW$5,$AA15 &lt; AW$4),0,
SUM(_xlfn._xlws.FILTER(Table_BangLuong_TyLeTangCa[Tỷ lệ],
(Table_BangLuong_TyLeTangCa[Ngày] = AW$3) *
(Table_BangLuong_TyLeTangCa[Giờ min]&lt;=$AA15) *
(Table_BangLuong_TyLeTangCa[Giờ max]&gt;$AA15)
))))
),
IF(ISBLANK(AW$7),
IF(VLOOKUP(AW$6, Table_ChiPhiNV_Ca[], COUNTA(Table_ChiPhiNV_Ca[[#Headers],[Ca]:[Kết thúc]]),0)&gt; VLOOKUP(AW$6, Table_ChiPhiNV_Ca[], COUNTA(Table_ChiPhiNV_Ca[[#Headers],[Ca]:[Bắt đầu]]),0),
IF($AA15-$Z$4&lt;MAX(AW$4,VLOOKUP(AW$6, Table_ChiPhiNV_Ca[], COUNTA(Table_ChiPhiNV_Ca[[#Headers],[Ca]:[Bắt đầu]]),0)),0,
IF($AA15&gt;MIN(AW$5,VLOOKUP(AW$6, Table_ChiPhiNV_Ca[], COUNTA(Table_ChiPhiNV_Ca[[#Headers],[Ca]:[Kết thúc]]),0)),0,
SUM(_xlfn._xlws.FILTER(Table_BangLuong_TyLeTangCa[Tỷ lệ],
(Table_BangLuong_TyLeTangCa[Ngày] = "Thường") *
(Table_BangLuong_TyLeTangCa[Giờ min]&lt;=$AA15) *
(Table_BangLuong_TyLeTangCa[Giờ max]&gt;$AA15)
)))),
IF(AW$4 &gt; AW$5,
IF(
AND(
$AA15-$Z$4&lt;MAX(AW$4,VLOOKUP(AW$6, Table_ChiPhiNV_Ca[], COUNTA(Table_ChiPhiNV_Ca[[#Headers],[Ca]:[Bắt đầu]]),0)),
$AA15&gt;MIN(AW$5,VLOOKUP(AW$6, Table_ChiPhiNV_Ca[], COUNTA(Table_ChiPhiNV_Ca[[#Headers],[Ca]:[Kết thúc]]),0))),0,
SUM(_xlfn._xlws.FILTER(Table_BangLuong_TyLeTangCa[Tỷ lệ],
(Table_BangLuong_TyLeTangCa[Ngày] = "Thường") *
(Table_BangLuong_TyLeTangCa[Giờ min]&lt;=$AA15) *
(Table_BangLuong_TyLeTangCa[Giờ max]&gt;$AA15)
))),
IF(
AND(
$AA15-$Z$4&gt;=MAX(AW$4,VLOOKUP(AW$6, Table_ChiPhiNV_Ca[], COUNTA(Table_ChiPhiNV_Ca[[#Headers],[Ca]:[Bắt đầu]]),0)),
$AA15&lt;MIN(AW$5,VLOOKUP(AW$6, Table_ChiPhiNV_Ca[], COUNTA(Table_ChiPhiNV_Ca[[#Headers],[Ca]:[Kết thúc]]),0))),
SUM(_xlfn._xlws.FILTER(Table_BangLuong_TyLeTangCa[Tỷ lệ],
(Table_BangLuong_TyLeTangCa[Ngày] = "Thường") *
(Table_BangLuong_TyLeTangCa[Giờ min]&lt;=$AA15) *
(Table_BangLuong_TyLeTangCa[Giờ max]&gt;$AA15)
)),0)
)),
IF(AW$4 &lt; AW$5,
IF($AA15-$Z$4&lt;AW$4,0,
IF($AA15&gt;AW$5,0,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AW$5,$AA15 &lt; AW$4),0,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X15" s="18" cm="1">
        <f t="array" ref="AX15" xml:space="preserve">
IFERROR(
IF(AX$1="",0,
IF(AND(
$AA15&gt;=VLOOKUP(AX$6, Table_ChiPhiNV_Ca[], COUNTA(Table_ChiPhiNV_Ca[[#Headers],[Ca]:[Bắt đầu nghỉ]]),0),
$AA15&lt;VLOOKUP(AX$6, Table_ChiPhiNV_Ca[], COUNTA(Table_ChiPhiNV_Ca[[#Headers],[Ca]:[Kết thúc nghỉ]]),0)
),0,
IF(NOT(ISBLANK(AX$3)),
IF(ISBLANK(AX$7),0,
IF(AX$4 &lt; AX$5,
IF($AA15-$Z$4&lt;AX$4,0,
IF($AA15&gt;AX$5,0,
SUM(_xlfn._xlws.FILTER(Table_BangLuong_TyLeTangCa[Tỷ lệ],
(Table_BangLuong_TyLeTangCa[Ngày] = AX$3) *
(Table_BangLuong_TyLeTangCa[Giờ min]&lt;=$AA15) *
(Table_BangLuong_TyLeTangCa[Giờ max]&gt;$AA15)
)))),
IF(AND($AA15-$Z$4 &gt;= AX$5,$AA15 &lt; AX$4),0,
SUM(_xlfn._xlws.FILTER(Table_BangLuong_TyLeTangCa[Tỷ lệ],
(Table_BangLuong_TyLeTangCa[Ngày] = AX$3) *
(Table_BangLuong_TyLeTangCa[Giờ min]&lt;=$AA15) *
(Table_BangLuong_TyLeTangCa[Giờ max]&gt;$AA15)
))))
),
IF(ISBLANK(AX$7),
IF(VLOOKUP(AX$6, Table_ChiPhiNV_Ca[], COUNTA(Table_ChiPhiNV_Ca[[#Headers],[Ca]:[Kết thúc]]),0)&gt; VLOOKUP(AX$6, Table_ChiPhiNV_Ca[], COUNTA(Table_ChiPhiNV_Ca[[#Headers],[Ca]:[Bắt đầu]]),0),
IF($AA15-$Z$4&lt;MAX(AX$4,VLOOKUP(AX$6, Table_ChiPhiNV_Ca[], COUNTA(Table_ChiPhiNV_Ca[[#Headers],[Ca]:[Bắt đầu]]),0)),0,
IF($AA15&gt;MIN(AX$5,VLOOKUP(AX$6, Table_ChiPhiNV_Ca[], COUNTA(Table_ChiPhiNV_Ca[[#Headers],[Ca]:[Kết thúc]]),0)),0,
SUM(_xlfn._xlws.FILTER(Table_BangLuong_TyLeTangCa[Tỷ lệ],
(Table_BangLuong_TyLeTangCa[Ngày] = "Thường") *
(Table_BangLuong_TyLeTangCa[Giờ min]&lt;=$AA15) *
(Table_BangLuong_TyLeTangCa[Giờ max]&gt;$AA15)
)))),
IF(AX$4 &gt; AX$5,
IF(
AND(
$AA15-$Z$4&lt;MAX(AX$4,VLOOKUP(AX$6, Table_ChiPhiNV_Ca[], COUNTA(Table_ChiPhiNV_Ca[[#Headers],[Ca]:[Bắt đầu]]),0)),
$AA15&gt;MIN(AX$5,VLOOKUP(AX$6, Table_ChiPhiNV_Ca[], COUNTA(Table_ChiPhiNV_Ca[[#Headers],[Ca]:[Kết thúc]]),0))),0,
SUM(_xlfn._xlws.FILTER(Table_BangLuong_TyLeTangCa[Tỷ lệ],
(Table_BangLuong_TyLeTangCa[Ngày] = "Thường") *
(Table_BangLuong_TyLeTangCa[Giờ min]&lt;=$AA15) *
(Table_BangLuong_TyLeTangCa[Giờ max]&gt;$AA15)
))),
IF(
AND(
$AA15-$Z$4&gt;=MAX(AX$4,VLOOKUP(AX$6, Table_ChiPhiNV_Ca[], COUNTA(Table_ChiPhiNV_Ca[[#Headers],[Ca]:[Bắt đầu]]),0)),
$AA15&lt;MIN(AX$5,VLOOKUP(AX$6, Table_ChiPhiNV_Ca[], COUNTA(Table_ChiPhiNV_Ca[[#Headers],[Ca]:[Kết thúc]]),0))),
SUM(_xlfn._xlws.FILTER(Table_BangLuong_TyLeTangCa[Tỷ lệ],
(Table_BangLuong_TyLeTangCa[Ngày] = "Thường") *
(Table_BangLuong_TyLeTangCa[Giờ min]&lt;=$AA15) *
(Table_BangLuong_TyLeTangCa[Giờ max]&gt;$AA15)
)),0)
)),
IF(AX$4 &lt; AX$5,
IF($AA15-$Z$4&lt;AX$4,0,
IF($AA15&gt;AX$5,0,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AX$5,$AA15 &lt; AX$4),0,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Y15" s="18" cm="1">
        <f t="array" ref="AY15" xml:space="preserve">
IFERROR(
IF(AY$1="",0,
IF(AND(
$AA15&gt;=VLOOKUP(AY$6, Table_ChiPhiNV_Ca[], COUNTA(Table_ChiPhiNV_Ca[[#Headers],[Ca]:[Bắt đầu nghỉ]]),0),
$AA15&lt;VLOOKUP(AY$6, Table_ChiPhiNV_Ca[], COUNTA(Table_ChiPhiNV_Ca[[#Headers],[Ca]:[Kết thúc nghỉ]]),0)
),0,
IF(NOT(ISBLANK(AY$3)),
IF(ISBLANK(AY$7),0,
IF(AY$4 &lt; AY$5,
IF($AA15-$Z$4&lt;AY$4,0,
IF($AA15&gt;AY$5,0,
SUM(_xlfn._xlws.FILTER(Table_BangLuong_TyLeTangCa[Tỷ lệ],
(Table_BangLuong_TyLeTangCa[Ngày] = AY$3) *
(Table_BangLuong_TyLeTangCa[Giờ min]&lt;=$AA15) *
(Table_BangLuong_TyLeTangCa[Giờ max]&gt;$AA15)
)))),
IF(AND($AA15-$Z$4 &gt;= AY$5,$AA15 &lt; AY$4),0,
SUM(_xlfn._xlws.FILTER(Table_BangLuong_TyLeTangCa[Tỷ lệ],
(Table_BangLuong_TyLeTangCa[Ngày] = AY$3) *
(Table_BangLuong_TyLeTangCa[Giờ min]&lt;=$AA15) *
(Table_BangLuong_TyLeTangCa[Giờ max]&gt;$AA15)
))))
),
IF(ISBLANK(AY$7),
IF(VLOOKUP(AY$6, Table_ChiPhiNV_Ca[], COUNTA(Table_ChiPhiNV_Ca[[#Headers],[Ca]:[Kết thúc]]),0)&gt; VLOOKUP(AY$6, Table_ChiPhiNV_Ca[], COUNTA(Table_ChiPhiNV_Ca[[#Headers],[Ca]:[Bắt đầu]]),0),
IF($AA15-$Z$4&lt;MAX(AY$4,VLOOKUP(AY$6, Table_ChiPhiNV_Ca[], COUNTA(Table_ChiPhiNV_Ca[[#Headers],[Ca]:[Bắt đầu]]),0)),0,
IF($AA15&gt;MIN(AY$5,VLOOKUP(AY$6, Table_ChiPhiNV_Ca[], COUNTA(Table_ChiPhiNV_Ca[[#Headers],[Ca]:[Kết thúc]]),0)),0,
SUM(_xlfn._xlws.FILTER(Table_BangLuong_TyLeTangCa[Tỷ lệ],
(Table_BangLuong_TyLeTangCa[Ngày] = "Thường") *
(Table_BangLuong_TyLeTangCa[Giờ min]&lt;=$AA15) *
(Table_BangLuong_TyLeTangCa[Giờ max]&gt;$AA15)
)))),
IF(AY$4 &gt; AY$5,
IF(
AND(
$AA15-$Z$4&lt;MAX(AY$4,VLOOKUP(AY$6, Table_ChiPhiNV_Ca[], COUNTA(Table_ChiPhiNV_Ca[[#Headers],[Ca]:[Bắt đầu]]),0)),
$AA15&gt;MIN(AY$5,VLOOKUP(AY$6, Table_ChiPhiNV_Ca[], COUNTA(Table_ChiPhiNV_Ca[[#Headers],[Ca]:[Kết thúc]]),0))),0,
SUM(_xlfn._xlws.FILTER(Table_BangLuong_TyLeTangCa[Tỷ lệ],
(Table_BangLuong_TyLeTangCa[Ngày] = "Thường") *
(Table_BangLuong_TyLeTangCa[Giờ min]&lt;=$AA15) *
(Table_BangLuong_TyLeTangCa[Giờ max]&gt;$AA15)
))),
IF(
AND(
$AA15-$Z$4&gt;=MAX(AY$4,VLOOKUP(AY$6, Table_ChiPhiNV_Ca[], COUNTA(Table_ChiPhiNV_Ca[[#Headers],[Ca]:[Bắt đầu]]),0)),
$AA15&lt;MIN(AY$5,VLOOKUP(AY$6, Table_ChiPhiNV_Ca[], COUNTA(Table_ChiPhiNV_Ca[[#Headers],[Ca]:[Kết thúc]]),0))),
SUM(_xlfn._xlws.FILTER(Table_BangLuong_TyLeTangCa[Tỷ lệ],
(Table_BangLuong_TyLeTangCa[Ngày] = "Thường") *
(Table_BangLuong_TyLeTangCa[Giờ min]&lt;=$AA15) *
(Table_BangLuong_TyLeTangCa[Giờ max]&gt;$AA15)
)),0)
)),
IF(AY$4 &lt; AY$5,
IF($AA15-$Z$4&lt;AY$4,0,
IF($AA15&gt;AY$5,0,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AY$5,$AA15 &lt; AY$4),0,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Z15" s="18" cm="1">
        <f t="array" ref="AZ15" xml:space="preserve">
IFERROR(
IF(AZ$1="",0,
IF(AND(
$AA15&gt;=VLOOKUP(AZ$6, Table_ChiPhiNV_Ca[], COUNTA(Table_ChiPhiNV_Ca[[#Headers],[Ca]:[Bắt đầu nghỉ]]),0),
$AA15&lt;VLOOKUP(AZ$6, Table_ChiPhiNV_Ca[], COUNTA(Table_ChiPhiNV_Ca[[#Headers],[Ca]:[Kết thúc nghỉ]]),0)
),0,
IF(NOT(ISBLANK(AZ$3)),
IF(ISBLANK(AZ$7),0,
IF(AZ$4 &lt; AZ$5,
IF($AA15-$Z$4&lt;AZ$4,0,
IF($AA15&gt;AZ$5,0,
SUM(_xlfn._xlws.FILTER(Table_BangLuong_TyLeTangCa[Tỷ lệ],
(Table_BangLuong_TyLeTangCa[Ngày] = AZ$3) *
(Table_BangLuong_TyLeTangCa[Giờ min]&lt;=$AA15) *
(Table_BangLuong_TyLeTangCa[Giờ max]&gt;$AA15)
)))),
IF(AND($AA15-$Z$4 &gt;= AZ$5,$AA15 &lt; AZ$4),0,
SUM(_xlfn._xlws.FILTER(Table_BangLuong_TyLeTangCa[Tỷ lệ],
(Table_BangLuong_TyLeTangCa[Ngày] = AZ$3) *
(Table_BangLuong_TyLeTangCa[Giờ min]&lt;=$AA15) *
(Table_BangLuong_TyLeTangCa[Giờ max]&gt;$AA15)
))))
),
IF(ISBLANK(AZ$7),
IF(VLOOKUP(AZ$6, Table_ChiPhiNV_Ca[], COUNTA(Table_ChiPhiNV_Ca[[#Headers],[Ca]:[Kết thúc]]),0)&gt; VLOOKUP(AZ$6, Table_ChiPhiNV_Ca[], COUNTA(Table_ChiPhiNV_Ca[[#Headers],[Ca]:[Bắt đầu]]),0),
IF($AA15-$Z$4&lt;MAX(AZ$4,VLOOKUP(AZ$6, Table_ChiPhiNV_Ca[], COUNTA(Table_ChiPhiNV_Ca[[#Headers],[Ca]:[Bắt đầu]]),0)),0,
IF($AA15&gt;MIN(AZ$5,VLOOKUP(AZ$6, Table_ChiPhiNV_Ca[], COUNTA(Table_ChiPhiNV_Ca[[#Headers],[Ca]:[Kết thúc]]),0)),0,
SUM(_xlfn._xlws.FILTER(Table_BangLuong_TyLeTangCa[Tỷ lệ],
(Table_BangLuong_TyLeTangCa[Ngày] = "Thường") *
(Table_BangLuong_TyLeTangCa[Giờ min]&lt;=$AA15) *
(Table_BangLuong_TyLeTangCa[Giờ max]&gt;$AA15)
)))),
IF(AZ$4 &gt; AZ$5,
IF(
AND(
$AA15-$Z$4&lt;MAX(AZ$4,VLOOKUP(AZ$6, Table_ChiPhiNV_Ca[], COUNTA(Table_ChiPhiNV_Ca[[#Headers],[Ca]:[Bắt đầu]]),0)),
$AA15&gt;MIN(AZ$5,VLOOKUP(AZ$6, Table_ChiPhiNV_Ca[], COUNTA(Table_ChiPhiNV_Ca[[#Headers],[Ca]:[Kết thúc]]),0))),0,
SUM(_xlfn._xlws.FILTER(Table_BangLuong_TyLeTangCa[Tỷ lệ],
(Table_BangLuong_TyLeTangCa[Ngày] = "Thường") *
(Table_BangLuong_TyLeTangCa[Giờ min]&lt;=$AA15) *
(Table_BangLuong_TyLeTangCa[Giờ max]&gt;$AA15)
))),
IF(
AND(
$AA15-$Z$4&gt;=MAX(AZ$4,VLOOKUP(AZ$6, Table_ChiPhiNV_Ca[], COUNTA(Table_ChiPhiNV_Ca[[#Headers],[Ca]:[Bắt đầu]]),0)),
$AA15&lt;MIN(AZ$5,VLOOKUP(AZ$6, Table_ChiPhiNV_Ca[], COUNTA(Table_ChiPhiNV_Ca[[#Headers],[Ca]:[Kết thúc]]),0))),
SUM(_xlfn._xlws.FILTER(Table_BangLuong_TyLeTangCa[Tỷ lệ],
(Table_BangLuong_TyLeTangCa[Ngày] = "Thường") *
(Table_BangLuong_TyLeTangCa[Giờ min]&lt;=$AA15) *
(Table_BangLuong_TyLeTangCa[Giờ max]&gt;$AA15)
)),0)
)),
IF(AZ$4 &lt; AZ$5,
IF($AA15-$Z$4&lt;AZ$4,0,
IF($AA15&gt;AZ$5,0,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AZ$5,$AA15 &lt; AZ$4),0,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A15" s="18" cm="1">
        <f t="array" ref="BA15" xml:space="preserve">
IFERROR(
IF(BA$1="",0,
IF(AND(
$AA15&gt;=VLOOKUP(BA$6, Table_ChiPhiNV_Ca[], COUNTA(Table_ChiPhiNV_Ca[[#Headers],[Ca]:[Bắt đầu nghỉ]]),0),
$AA15&lt;VLOOKUP(BA$6, Table_ChiPhiNV_Ca[], COUNTA(Table_ChiPhiNV_Ca[[#Headers],[Ca]:[Kết thúc nghỉ]]),0)
),0,
IF(NOT(ISBLANK(BA$3)),
IF(ISBLANK(BA$7),0,
IF(BA$4 &lt; BA$5,
IF($AA15-$Z$4&lt;BA$4,0,
IF($AA15&gt;BA$5,0,
SUM(_xlfn._xlws.FILTER(Table_BangLuong_TyLeTangCa[Tỷ lệ],
(Table_BangLuong_TyLeTangCa[Ngày] = BA$3) *
(Table_BangLuong_TyLeTangCa[Giờ min]&lt;=$AA15) *
(Table_BangLuong_TyLeTangCa[Giờ max]&gt;$AA15)
)))),
IF(AND($AA15-$Z$4 &gt;= BA$5,$AA15 &lt; BA$4),0,
SUM(_xlfn._xlws.FILTER(Table_BangLuong_TyLeTangCa[Tỷ lệ],
(Table_BangLuong_TyLeTangCa[Ngày] = BA$3) *
(Table_BangLuong_TyLeTangCa[Giờ min]&lt;=$AA15) *
(Table_BangLuong_TyLeTangCa[Giờ max]&gt;$AA15)
))))
),
IF(ISBLANK(BA$7),
IF(VLOOKUP(BA$6, Table_ChiPhiNV_Ca[], COUNTA(Table_ChiPhiNV_Ca[[#Headers],[Ca]:[Kết thúc]]),0)&gt; VLOOKUP(BA$6, Table_ChiPhiNV_Ca[], COUNTA(Table_ChiPhiNV_Ca[[#Headers],[Ca]:[Bắt đầu]]),0),
IF($AA15-$Z$4&lt;MAX(BA$4,VLOOKUP(BA$6, Table_ChiPhiNV_Ca[], COUNTA(Table_ChiPhiNV_Ca[[#Headers],[Ca]:[Bắt đầu]]),0)),0,
IF($AA15&gt;MIN(BA$5,VLOOKUP(BA$6, Table_ChiPhiNV_Ca[], COUNTA(Table_ChiPhiNV_Ca[[#Headers],[Ca]:[Kết thúc]]),0)),0,
SUM(_xlfn._xlws.FILTER(Table_BangLuong_TyLeTangCa[Tỷ lệ],
(Table_BangLuong_TyLeTangCa[Ngày] = "Thường") *
(Table_BangLuong_TyLeTangCa[Giờ min]&lt;=$AA15) *
(Table_BangLuong_TyLeTangCa[Giờ max]&gt;$AA15)
)))),
IF(BA$4 &gt; BA$5,
IF(
AND(
$AA15-$Z$4&lt;MAX(BA$4,VLOOKUP(BA$6, Table_ChiPhiNV_Ca[], COUNTA(Table_ChiPhiNV_Ca[[#Headers],[Ca]:[Bắt đầu]]),0)),
$AA15&gt;MIN(BA$5,VLOOKUP(BA$6, Table_ChiPhiNV_Ca[], COUNTA(Table_ChiPhiNV_Ca[[#Headers],[Ca]:[Kết thúc]]),0))),0,
SUM(_xlfn._xlws.FILTER(Table_BangLuong_TyLeTangCa[Tỷ lệ],
(Table_BangLuong_TyLeTangCa[Ngày] = "Thường") *
(Table_BangLuong_TyLeTangCa[Giờ min]&lt;=$AA15) *
(Table_BangLuong_TyLeTangCa[Giờ max]&gt;$AA15)
))),
IF(
AND(
$AA15-$Z$4&gt;=MAX(BA$4,VLOOKUP(BA$6, Table_ChiPhiNV_Ca[], COUNTA(Table_ChiPhiNV_Ca[[#Headers],[Ca]:[Bắt đầu]]),0)),
$AA15&lt;MIN(BA$5,VLOOKUP(BA$6, Table_ChiPhiNV_Ca[], COUNTA(Table_ChiPhiNV_Ca[[#Headers],[Ca]:[Kết thúc]]),0))),
SUM(_xlfn._xlws.FILTER(Table_BangLuong_TyLeTangCa[Tỷ lệ],
(Table_BangLuong_TyLeTangCa[Ngày] = "Thường") *
(Table_BangLuong_TyLeTangCa[Giờ min]&lt;=$AA15) *
(Table_BangLuong_TyLeTangCa[Giờ max]&gt;$AA15)
)),0)
)),
IF(BA$4 &lt; BA$5,
IF($AA15-$Z$4&lt;BA$4,0,
IF($AA15&gt;BA$5,0,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BA$5,$AA15 &lt; BA$4),0,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B15" s="18" cm="1">
        <f t="array" ref="BB15" xml:space="preserve">
IFERROR(
IF(BB$1="",0,
IF(AND(
$AA15&gt;=VLOOKUP(BB$6, Table_ChiPhiNV_Ca[], COUNTA(Table_ChiPhiNV_Ca[[#Headers],[Ca]:[Bắt đầu nghỉ]]),0),
$AA15&lt;VLOOKUP(BB$6, Table_ChiPhiNV_Ca[], COUNTA(Table_ChiPhiNV_Ca[[#Headers],[Ca]:[Kết thúc nghỉ]]),0)
),0,
IF(NOT(ISBLANK(BB$3)),
IF(ISBLANK(BB$7),0,
IF(BB$4 &lt; BB$5,
IF($AA15-$Z$4&lt;BB$4,0,
IF($AA15&gt;BB$5,0,
SUM(_xlfn._xlws.FILTER(Table_BangLuong_TyLeTangCa[Tỷ lệ],
(Table_BangLuong_TyLeTangCa[Ngày] = BB$3) *
(Table_BangLuong_TyLeTangCa[Giờ min]&lt;=$AA15) *
(Table_BangLuong_TyLeTangCa[Giờ max]&gt;$AA15)
)))),
IF(AND($AA15-$Z$4 &gt;= BB$5,$AA15 &lt; BB$4),0,
SUM(_xlfn._xlws.FILTER(Table_BangLuong_TyLeTangCa[Tỷ lệ],
(Table_BangLuong_TyLeTangCa[Ngày] = BB$3) *
(Table_BangLuong_TyLeTangCa[Giờ min]&lt;=$AA15) *
(Table_BangLuong_TyLeTangCa[Giờ max]&gt;$AA15)
))))
),
IF(ISBLANK(BB$7),
IF(VLOOKUP(BB$6, Table_ChiPhiNV_Ca[], COUNTA(Table_ChiPhiNV_Ca[[#Headers],[Ca]:[Kết thúc]]),0)&gt; VLOOKUP(BB$6, Table_ChiPhiNV_Ca[], COUNTA(Table_ChiPhiNV_Ca[[#Headers],[Ca]:[Bắt đầu]]),0),
IF($AA15-$Z$4&lt;MAX(BB$4,VLOOKUP(BB$6, Table_ChiPhiNV_Ca[], COUNTA(Table_ChiPhiNV_Ca[[#Headers],[Ca]:[Bắt đầu]]),0)),0,
IF($AA15&gt;MIN(BB$5,VLOOKUP(BB$6, Table_ChiPhiNV_Ca[], COUNTA(Table_ChiPhiNV_Ca[[#Headers],[Ca]:[Kết thúc]]),0)),0,
SUM(_xlfn._xlws.FILTER(Table_BangLuong_TyLeTangCa[Tỷ lệ],
(Table_BangLuong_TyLeTangCa[Ngày] = "Thường") *
(Table_BangLuong_TyLeTangCa[Giờ min]&lt;=$AA15) *
(Table_BangLuong_TyLeTangCa[Giờ max]&gt;$AA15)
)))),
IF(BB$4 &gt; BB$5,
IF(
AND(
$AA15-$Z$4&lt;MAX(BB$4,VLOOKUP(BB$6, Table_ChiPhiNV_Ca[], COUNTA(Table_ChiPhiNV_Ca[[#Headers],[Ca]:[Bắt đầu]]),0)),
$AA15&gt;MIN(BB$5,VLOOKUP(BB$6, Table_ChiPhiNV_Ca[], COUNTA(Table_ChiPhiNV_Ca[[#Headers],[Ca]:[Kết thúc]]),0))),0,
SUM(_xlfn._xlws.FILTER(Table_BangLuong_TyLeTangCa[Tỷ lệ],
(Table_BangLuong_TyLeTangCa[Ngày] = "Thường") *
(Table_BangLuong_TyLeTangCa[Giờ min]&lt;=$AA15) *
(Table_BangLuong_TyLeTangCa[Giờ max]&gt;$AA15)
))),
IF(
AND(
$AA15-$Z$4&gt;=MAX(BB$4,VLOOKUP(BB$6, Table_ChiPhiNV_Ca[], COUNTA(Table_ChiPhiNV_Ca[[#Headers],[Ca]:[Bắt đầu]]),0)),
$AA15&lt;MIN(BB$5,VLOOKUP(BB$6, Table_ChiPhiNV_Ca[], COUNTA(Table_ChiPhiNV_Ca[[#Headers],[Ca]:[Kết thúc]]),0))),
SUM(_xlfn._xlws.FILTER(Table_BangLuong_TyLeTangCa[Tỷ lệ],
(Table_BangLuong_TyLeTangCa[Ngày] = "Thường") *
(Table_BangLuong_TyLeTangCa[Giờ min]&lt;=$AA15) *
(Table_BangLuong_TyLeTangCa[Giờ max]&gt;$AA15)
)),0)
)),
IF(BB$4 &lt; BB$5,
IF($AA15-$Z$4&lt;BB$4,0,
IF($AA15&gt;BB$5,0,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BB$5,$AA15 &lt; BB$4),0,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C15" s="18" cm="1">
        <f t="array" ref="BC15" xml:space="preserve">
IFERROR(
IF(BC$1="",0,
IF(AND(
$AA15&gt;=VLOOKUP(BC$6, Table_ChiPhiNV_Ca[], COUNTA(Table_ChiPhiNV_Ca[[#Headers],[Ca]:[Bắt đầu nghỉ]]),0),
$AA15&lt;VLOOKUP(BC$6, Table_ChiPhiNV_Ca[], COUNTA(Table_ChiPhiNV_Ca[[#Headers],[Ca]:[Kết thúc nghỉ]]),0)
),0,
IF(NOT(ISBLANK(BC$3)),
IF(ISBLANK(BC$7),0,
IF(BC$4 &lt; BC$5,
IF($AA15-$Z$4&lt;BC$4,0,
IF($AA15&gt;BC$5,0,
SUM(_xlfn._xlws.FILTER(Table_BangLuong_TyLeTangCa[Tỷ lệ],
(Table_BangLuong_TyLeTangCa[Ngày] = BC$3) *
(Table_BangLuong_TyLeTangCa[Giờ min]&lt;=$AA15) *
(Table_BangLuong_TyLeTangCa[Giờ max]&gt;$AA15)
)))),
IF(AND($AA15-$Z$4 &gt;= BC$5,$AA15 &lt; BC$4),0,
SUM(_xlfn._xlws.FILTER(Table_BangLuong_TyLeTangCa[Tỷ lệ],
(Table_BangLuong_TyLeTangCa[Ngày] = BC$3) *
(Table_BangLuong_TyLeTangCa[Giờ min]&lt;=$AA15) *
(Table_BangLuong_TyLeTangCa[Giờ max]&gt;$AA15)
))))
),
IF(ISBLANK(BC$7),
IF(VLOOKUP(BC$6, Table_ChiPhiNV_Ca[], COUNTA(Table_ChiPhiNV_Ca[[#Headers],[Ca]:[Kết thúc]]),0)&gt; VLOOKUP(BC$6, Table_ChiPhiNV_Ca[], COUNTA(Table_ChiPhiNV_Ca[[#Headers],[Ca]:[Bắt đầu]]),0),
IF($AA15-$Z$4&lt;MAX(BC$4,VLOOKUP(BC$6, Table_ChiPhiNV_Ca[], COUNTA(Table_ChiPhiNV_Ca[[#Headers],[Ca]:[Bắt đầu]]),0)),0,
IF($AA15&gt;MIN(BC$5,VLOOKUP(BC$6, Table_ChiPhiNV_Ca[], COUNTA(Table_ChiPhiNV_Ca[[#Headers],[Ca]:[Kết thúc]]),0)),0,
SUM(_xlfn._xlws.FILTER(Table_BangLuong_TyLeTangCa[Tỷ lệ],
(Table_BangLuong_TyLeTangCa[Ngày] = "Thường") *
(Table_BangLuong_TyLeTangCa[Giờ min]&lt;=$AA15) *
(Table_BangLuong_TyLeTangCa[Giờ max]&gt;$AA15)
)))),
IF(BC$4 &gt; BC$5,
IF(
AND(
$AA15-$Z$4&lt;MAX(BC$4,VLOOKUP(BC$6, Table_ChiPhiNV_Ca[], COUNTA(Table_ChiPhiNV_Ca[[#Headers],[Ca]:[Bắt đầu]]),0)),
$AA15&gt;MIN(BC$5,VLOOKUP(BC$6, Table_ChiPhiNV_Ca[], COUNTA(Table_ChiPhiNV_Ca[[#Headers],[Ca]:[Kết thúc]]),0))),0,
SUM(_xlfn._xlws.FILTER(Table_BangLuong_TyLeTangCa[Tỷ lệ],
(Table_BangLuong_TyLeTangCa[Ngày] = "Thường") *
(Table_BangLuong_TyLeTangCa[Giờ min]&lt;=$AA15) *
(Table_BangLuong_TyLeTangCa[Giờ max]&gt;$AA15)
))),
IF(
AND(
$AA15-$Z$4&gt;=MAX(BC$4,VLOOKUP(BC$6, Table_ChiPhiNV_Ca[], COUNTA(Table_ChiPhiNV_Ca[[#Headers],[Ca]:[Bắt đầu]]),0)),
$AA15&lt;MIN(BC$5,VLOOKUP(BC$6, Table_ChiPhiNV_Ca[], COUNTA(Table_ChiPhiNV_Ca[[#Headers],[Ca]:[Kết thúc]]),0))),
SUM(_xlfn._xlws.FILTER(Table_BangLuong_TyLeTangCa[Tỷ lệ],
(Table_BangLuong_TyLeTangCa[Ngày] = "Thường") *
(Table_BangLuong_TyLeTangCa[Giờ min]&lt;=$AA15) *
(Table_BangLuong_TyLeTangCa[Giờ max]&gt;$AA15)
)),0)
)),
IF(BC$4 &lt; BC$5,
IF($AA15-$Z$4&lt;BC$4,0,
IF($AA15&gt;BC$5,0,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BC$5,$AA15 &lt; BC$4),0,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D15" s="18" cm="1">
        <f t="array" ref="BD15" xml:space="preserve">
IFERROR(
IF(BD$1="",0,
IF(AND(
$AA15&gt;=VLOOKUP(BD$6, Table_ChiPhiNV_Ca[], COUNTA(Table_ChiPhiNV_Ca[[#Headers],[Ca]:[Bắt đầu nghỉ]]),0),
$AA15&lt;VLOOKUP(BD$6, Table_ChiPhiNV_Ca[], COUNTA(Table_ChiPhiNV_Ca[[#Headers],[Ca]:[Kết thúc nghỉ]]),0)
),0,
IF(NOT(ISBLANK(BD$3)),
IF(ISBLANK(BD$7),0,
IF(BD$4 &lt; BD$5,
IF($AA15-$Z$4&lt;BD$4,0,
IF($AA15&gt;BD$5,0,
SUM(_xlfn._xlws.FILTER(Table_BangLuong_TyLeTangCa[Tỷ lệ],
(Table_BangLuong_TyLeTangCa[Ngày] = BD$3) *
(Table_BangLuong_TyLeTangCa[Giờ min]&lt;=$AA15) *
(Table_BangLuong_TyLeTangCa[Giờ max]&gt;$AA15)
)))),
IF(AND($AA15-$Z$4 &gt;= BD$5,$AA15 &lt; BD$4),0,
SUM(_xlfn._xlws.FILTER(Table_BangLuong_TyLeTangCa[Tỷ lệ],
(Table_BangLuong_TyLeTangCa[Ngày] = BD$3) *
(Table_BangLuong_TyLeTangCa[Giờ min]&lt;=$AA15) *
(Table_BangLuong_TyLeTangCa[Giờ max]&gt;$AA15)
))))
),
IF(ISBLANK(BD$7),
IF(VLOOKUP(BD$6, Table_ChiPhiNV_Ca[], COUNTA(Table_ChiPhiNV_Ca[[#Headers],[Ca]:[Kết thúc]]),0)&gt; VLOOKUP(BD$6, Table_ChiPhiNV_Ca[], COUNTA(Table_ChiPhiNV_Ca[[#Headers],[Ca]:[Bắt đầu]]),0),
IF($AA15-$Z$4&lt;MAX(BD$4,VLOOKUP(BD$6, Table_ChiPhiNV_Ca[], COUNTA(Table_ChiPhiNV_Ca[[#Headers],[Ca]:[Bắt đầu]]),0)),0,
IF($AA15&gt;MIN(BD$5,VLOOKUP(BD$6, Table_ChiPhiNV_Ca[], COUNTA(Table_ChiPhiNV_Ca[[#Headers],[Ca]:[Kết thúc]]),0)),0,
SUM(_xlfn._xlws.FILTER(Table_BangLuong_TyLeTangCa[Tỷ lệ],
(Table_BangLuong_TyLeTangCa[Ngày] = "Thường") *
(Table_BangLuong_TyLeTangCa[Giờ min]&lt;=$AA15) *
(Table_BangLuong_TyLeTangCa[Giờ max]&gt;$AA15)
)))),
IF(BD$4 &gt; BD$5,
IF(
AND(
$AA15-$Z$4&lt;MAX(BD$4,VLOOKUP(BD$6, Table_ChiPhiNV_Ca[], COUNTA(Table_ChiPhiNV_Ca[[#Headers],[Ca]:[Bắt đầu]]),0)),
$AA15&gt;MIN(BD$5,VLOOKUP(BD$6, Table_ChiPhiNV_Ca[], COUNTA(Table_ChiPhiNV_Ca[[#Headers],[Ca]:[Kết thúc]]),0))),0,
SUM(_xlfn._xlws.FILTER(Table_BangLuong_TyLeTangCa[Tỷ lệ],
(Table_BangLuong_TyLeTangCa[Ngày] = "Thường") *
(Table_BangLuong_TyLeTangCa[Giờ min]&lt;=$AA15) *
(Table_BangLuong_TyLeTangCa[Giờ max]&gt;$AA15)
))),
IF(
AND(
$AA15-$Z$4&gt;=MAX(BD$4,VLOOKUP(BD$6, Table_ChiPhiNV_Ca[], COUNTA(Table_ChiPhiNV_Ca[[#Headers],[Ca]:[Bắt đầu]]),0)),
$AA15&lt;MIN(BD$5,VLOOKUP(BD$6, Table_ChiPhiNV_Ca[], COUNTA(Table_ChiPhiNV_Ca[[#Headers],[Ca]:[Kết thúc]]),0))),
SUM(_xlfn._xlws.FILTER(Table_BangLuong_TyLeTangCa[Tỷ lệ],
(Table_BangLuong_TyLeTangCa[Ngày] = "Thường") *
(Table_BangLuong_TyLeTangCa[Giờ min]&lt;=$AA15) *
(Table_BangLuong_TyLeTangCa[Giờ max]&gt;$AA15)
)),0)
)),
IF(BD$4 &lt; BD$5,
IF($AA15-$Z$4&lt;BD$4,0,
IF($AA15&gt;BD$5,0,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BD$5,$AA15 &lt; BD$4),0,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E15" s="18" cm="1">
        <f t="array" ref="BE15" xml:space="preserve">
IFERROR(
IF(BE$1="",0,
IF(AND(
$AA15&gt;=VLOOKUP(BE$6, Table_ChiPhiNV_Ca[], COUNTA(Table_ChiPhiNV_Ca[[#Headers],[Ca]:[Bắt đầu nghỉ]]),0),
$AA15&lt;VLOOKUP(BE$6, Table_ChiPhiNV_Ca[], COUNTA(Table_ChiPhiNV_Ca[[#Headers],[Ca]:[Kết thúc nghỉ]]),0)
),0,
IF(NOT(ISBLANK(BE$3)),
IF(ISBLANK(BE$7),0,
IF(BE$4 &lt; BE$5,
IF($AA15-$Z$4&lt;BE$4,0,
IF($AA15&gt;BE$5,0,
SUM(_xlfn._xlws.FILTER(Table_BangLuong_TyLeTangCa[Tỷ lệ],
(Table_BangLuong_TyLeTangCa[Ngày] = BE$3) *
(Table_BangLuong_TyLeTangCa[Giờ min]&lt;=$AA15) *
(Table_BangLuong_TyLeTangCa[Giờ max]&gt;$AA15)
)))),
IF(AND($AA15-$Z$4 &gt;= BE$5,$AA15 &lt; BE$4),0,
SUM(_xlfn._xlws.FILTER(Table_BangLuong_TyLeTangCa[Tỷ lệ],
(Table_BangLuong_TyLeTangCa[Ngày] = BE$3) *
(Table_BangLuong_TyLeTangCa[Giờ min]&lt;=$AA15) *
(Table_BangLuong_TyLeTangCa[Giờ max]&gt;$AA15)
))))
),
IF(ISBLANK(BE$7),
IF(VLOOKUP(BE$6, Table_ChiPhiNV_Ca[], COUNTA(Table_ChiPhiNV_Ca[[#Headers],[Ca]:[Kết thúc]]),0)&gt; VLOOKUP(BE$6, Table_ChiPhiNV_Ca[], COUNTA(Table_ChiPhiNV_Ca[[#Headers],[Ca]:[Bắt đầu]]),0),
IF($AA15-$Z$4&lt;MAX(BE$4,VLOOKUP(BE$6, Table_ChiPhiNV_Ca[], COUNTA(Table_ChiPhiNV_Ca[[#Headers],[Ca]:[Bắt đầu]]),0)),0,
IF($AA15&gt;MIN(BE$5,VLOOKUP(BE$6, Table_ChiPhiNV_Ca[], COUNTA(Table_ChiPhiNV_Ca[[#Headers],[Ca]:[Kết thúc]]),0)),0,
SUM(_xlfn._xlws.FILTER(Table_BangLuong_TyLeTangCa[Tỷ lệ],
(Table_BangLuong_TyLeTangCa[Ngày] = "Thường") *
(Table_BangLuong_TyLeTangCa[Giờ min]&lt;=$AA15) *
(Table_BangLuong_TyLeTangCa[Giờ max]&gt;$AA15)
)))),
IF(BE$4 &gt; BE$5,
IF(
AND(
$AA15-$Z$4&lt;MAX(BE$4,VLOOKUP(BE$6, Table_ChiPhiNV_Ca[], COUNTA(Table_ChiPhiNV_Ca[[#Headers],[Ca]:[Bắt đầu]]),0)),
$AA15&gt;MIN(BE$5,VLOOKUP(BE$6, Table_ChiPhiNV_Ca[], COUNTA(Table_ChiPhiNV_Ca[[#Headers],[Ca]:[Kết thúc]]),0))),0,
SUM(_xlfn._xlws.FILTER(Table_BangLuong_TyLeTangCa[Tỷ lệ],
(Table_BangLuong_TyLeTangCa[Ngày] = "Thường") *
(Table_BangLuong_TyLeTangCa[Giờ min]&lt;=$AA15) *
(Table_BangLuong_TyLeTangCa[Giờ max]&gt;$AA15)
))),
IF(
AND(
$AA15-$Z$4&gt;=MAX(BE$4,VLOOKUP(BE$6, Table_ChiPhiNV_Ca[], COUNTA(Table_ChiPhiNV_Ca[[#Headers],[Ca]:[Bắt đầu]]),0)),
$AA15&lt;MIN(BE$5,VLOOKUP(BE$6, Table_ChiPhiNV_Ca[], COUNTA(Table_ChiPhiNV_Ca[[#Headers],[Ca]:[Kết thúc]]),0))),
SUM(_xlfn._xlws.FILTER(Table_BangLuong_TyLeTangCa[Tỷ lệ],
(Table_BangLuong_TyLeTangCa[Ngày] = "Thường") *
(Table_BangLuong_TyLeTangCa[Giờ min]&lt;=$AA15) *
(Table_BangLuong_TyLeTangCa[Giờ max]&gt;$AA15)
)),0)
)),
IF(BE$4 &lt; BE$5,
IF($AA15-$Z$4&lt;BE$4,0,
IF($AA15&gt;BE$5,0,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BE$5,$AA15 &lt; BE$4),0,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F15" s="18" cm="1">
        <f t="array" ref="BF15" xml:space="preserve">
IFERROR(
IF(BF$1="",0,
IF(AND(
$AA15&gt;=VLOOKUP(BF$6, Table_ChiPhiNV_Ca[], COUNTA(Table_ChiPhiNV_Ca[[#Headers],[Ca]:[Bắt đầu nghỉ]]),0),
$AA15&lt;VLOOKUP(BF$6, Table_ChiPhiNV_Ca[], COUNTA(Table_ChiPhiNV_Ca[[#Headers],[Ca]:[Kết thúc nghỉ]]),0)
),0,
IF(NOT(ISBLANK(BF$3)),
IF(ISBLANK(BF$7),0,
IF(BF$4 &lt; BF$5,
IF($AA15-$Z$4&lt;BF$4,0,
IF($AA15&gt;BF$5,0,
SUM(_xlfn._xlws.FILTER(Table_BangLuong_TyLeTangCa[Tỷ lệ],
(Table_BangLuong_TyLeTangCa[Ngày] = BF$3) *
(Table_BangLuong_TyLeTangCa[Giờ min]&lt;=$AA15) *
(Table_BangLuong_TyLeTangCa[Giờ max]&gt;$AA15)
)))),
IF(AND($AA15-$Z$4 &gt;= BF$5,$AA15 &lt; BF$4),0,
SUM(_xlfn._xlws.FILTER(Table_BangLuong_TyLeTangCa[Tỷ lệ],
(Table_BangLuong_TyLeTangCa[Ngày] = BF$3) *
(Table_BangLuong_TyLeTangCa[Giờ min]&lt;=$AA15) *
(Table_BangLuong_TyLeTangCa[Giờ max]&gt;$AA15)
))))
),
IF(ISBLANK(BF$7),
IF(VLOOKUP(BF$6, Table_ChiPhiNV_Ca[], COUNTA(Table_ChiPhiNV_Ca[[#Headers],[Ca]:[Kết thúc]]),0)&gt; VLOOKUP(BF$6, Table_ChiPhiNV_Ca[], COUNTA(Table_ChiPhiNV_Ca[[#Headers],[Ca]:[Bắt đầu]]),0),
IF($AA15-$Z$4&lt;MAX(BF$4,VLOOKUP(BF$6, Table_ChiPhiNV_Ca[], COUNTA(Table_ChiPhiNV_Ca[[#Headers],[Ca]:[Bắt đầu]]),0)),0,
IF($AA15&gt;MIN(BF$5,VLOOKUP(BF$6, Table_ChiPhiNV_Ca[], COUNTA(Table_ChiPhiNV_Ca[[#Headers],[Ca]:[Kết thúc]]),0)),0,
SUM(_xlfn._xlws.FILTER(Table_BangLuong_TyLeTangCa[Tỷ lệ],
(Table_BangLuong_TyLeTangCa[Ngày] = "Thường") *
(Table_BangLuong_TyLeTangCa[Giờ min]&lt;=$AA15) *
(Table_BangLuong_TyLeTangCa[Giờ max]&gt;$AA15)
)))),
IF(BF$4 &gt; BF$5,
IF(
AND(
$AA15-$Z$4&lt;MAX(BF$4,VLOOKUP(BF$6, Table_ChiPhiNV_Ca[], COUNTA(Table_ChiPhiNV_Ca[[#Headers],[Ca]:[Bắt đầu]]),0)),
$AA15&gt;MIN(BF$5,VLOOKUP(BF$6, Table_ChiPhiNV_Ca[], COUNTA(Table_ChiPhiNV_Ca[[#Headers],[Ca]:[Kết thúc]]),0))),0,
SUM(_xlfn._xlws.FILTER(Table_BangLuong_TyLeTangCa[Tỷ lệ],
(Table_BangLuong_TyLeTangCa[Ngày] = "Thường") *
(Table_BangLuong_TyLeTangCa[Giờ min]&lt;=$AA15) *
(Table_BangLuong_TyLeTangCa[Giờ max]&gt;$AA15)
))),
IF(
AND(
$AA15-$Z$4&gt;=MAX(BF$4,VLOOKUP(BF$6, Table_ChiPhiNV_Ca[], COUNTA(Table_ChiPhiNV_Ca[[#Headers],[Ca]:[Bắt đầu]]),0)),
$AA15&lt;MIN(BF$5,VLOOKUP(BF$6, Table_ChiPhiNV_Ca[], COUNTA(Table_ChiPhiNV_Ca[[#Headers],[Ca]:[Kết thúc]]),0))),
SUM(_xlfn._xlws.FILTER(Table_BangLuong_TyLeTangCa[Tỷ lệ],
(Table_BangLuong_TyLeTangCa[Ngày] = "Thường") *
(Table_BangLuong_TyLeTangCa[Giờ min]&lt;=$AA15) *
(Table_BangLuong_TyLeTangCa[Giờ max]&gt;$AA15)
)),0)
)),
IF(BF$4 &lt; BF$5,
IF($AA15-$Z$4&lt;BF$4,0,
IF($AA15&gt;BF$5,0,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BF$5,$AA15 &lt; BF$4),0,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row>
    <row r="16" spans="2:82" ht="18" customHeight="1" outlineLevel="1" x14ac:dyDescent="0.3">
      <c r="AA16" s="50">
        <v>0.14583333333333301</v>
      </c>
      <c r="AB16" s="18" cm="1">
        <f t="array" ref="AB16" xml:space="preserve">
IFERROR(
IF(AB$1="",0,
IF(AND(
$AA16&gt;=VLOOKUP(AB$6, Table_ChiPhiNV_Ca[], COUNTA(Table_ChiPhiNV_Ca[[#Headers],[Ca]:[Bắt đầu nghỉ]]),0),
$AA16&lt;VLOOKUP(AB$6, Table_ChiPhiNV_Ca[], COUNTA(Table_ChiPhiNV_Ca[[#Headers],[Ca]:[Kết thúc nghỉ]]),0)
),0,
IF(NOT(ISBLANK(AB$3)),
IF(ISBLANK(AB$7),0,
IF(AB$4 &lt; AB$5,
IF($AA16-$Z$4&lt;AB$4,0,
IF($AA16&gt;AB$5,0,
SUM(_xlfn._xlws.FILTER(Table_BangLuong_TyLeTangCa[Tỷ lệ],
(Table_BangLuong_TyLeTangCa[Ngày] = AB$3) *
(Table_BangLuong_TyLeTangCa[Giờ min]&lt;=$AA16) *
(Table_BangLuong_TyLeTangCa[Giờ max]&gt;$AA16)
)))),
IF(AND($AA16-$Z$4 &gt;= AB$5,$AA16 &lt; AB$4),0,
SUM(_xlfn._xlws.FILTER(Table_BangLuong_TyLeTangCa[Tỷ lệ],
(Table_BangLuong_TyLeTangCa[Ngày] = AB$3) *
(Table_BangLuong_TyLeTangCa[Giờ min]&lt;=$AA16) *
(Table_BangLuong_TyLeTangCa[Giờ max]&gt;$AA16)
))))
),
IF(ISBLANK(AB$7),
IF(VLOOKUP(AB$6, Table_ChiPhiNV_Ca[], COUNTA(Table_ChiPhiNV_Ca[[#Headers],[Ca]:[Kết thúc]]),0)&gt; VLOOKUP(AB$6, Table_ChiPhiNV_Ca[], COUNTA(Table_ChiPhiNV_Ca[[#Headers],[Ca]:[Bắt đầu]]),0),
IF($AA16-$Z$4&lt;MAX(AB$4,VLOOKUP(AB$6, Table_ChiPhiNV_Ca[], COUNTA(Table_ChiPhiNV_Ca[[#Headers],[Ca]:[Bắt đầu]]),0)),0,
IF($AA16&gt;MIN(AB$5,VLOOKUP(AB$6, Table_ChiPhiNV_Ca[], COUNTA(Table_ChiPhiNV_Ca[[#Headers],[Ca]:[Kết thúc]]),0)),0,
SUM(_xlfn._xlws.FILTER(Table_BangLuong_TyLeTangCa[Tỷ lệ],
(Table_BangLuong_TyLeTangCa[Ngày] = "Thường") *
(Table_BangLuong_TyLeTangCa[Giờ min]&lt;=$AA16) *
(Table_BangLuong_TyLeTangCa[Giờ max]&gt;$AA16)
)))),
IF(AB$4 &gt; AB$5,
IF(
AND(
$AA16-$Z$4&lt;MAX(AB$4,VLOOKUP(AB$6, Table_ChiPhiNV_Ca[], COUNTA(Table_ChiPhiNV_Ca[[#Headers],[Ca]:[Bắt đầu]]),0)),
$AA16&gt;MIN(AB$5,VLOOKUP(AB$6, Table_ChiPhiNV_Ca[], COUNTA(Table_ChiPhiNV_Ca[[#Headers],[Ca]:[Kết thúc]]),0))),0,
SUM(_xlfn._xlws.FILTER(Table_BangLuong_TyLeTangCa[Tỷ lệ],
(Table_BangLuong_TyLeTangCa[Ngày] = "Thường") *
(Table_BangLuong_TyLeTangCa[Giờ min]&lt;=$AA16) *
(Table_BangLuong_TyLeTangCa[Giờ max]&gt;$AA16)
))),
IF(
AND(
$AA16-$Z$4&gt;=MAX(AB$4,VLOOKUP(AB$6, Table_ChiPhiNV_Ca[], COUNTA(Table_ChiPhiNV_Ca[[#Headers],[Ca]:[Bắt đầu]]),0)),
$AA16&lt;MIN(AB$5,VLOOKUP(AB$6, Table_ChiPhiNV_Ca[], COUNTA(Table_ChiPhiNV_Ca[[#Headers],[Ca]:[Kết thúc]]),0))),
SUM(_xlfn._xlws.FILTER(Table_BangLuong_TyLeTangCa[Tỷ lệ],
(Table_BangLuong_TyLeTangCa[Ngày] = "Thường") *
(Table_BangLuong_TyLeTangCa[Giờ min]&lt;=$AA16) *
(Table_BangLuong_TyLeTangCa[Giờ max]&gt;$AA16)
)),0)
)),
IF(AB$4 &lt; AB$5,
IF($AA16-$Z$4&lt;AB$4,0,
IF($AA16&gt;AB$5,0,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AB$5,$AA16 &lt; AB$4),0,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C16" s="18" cm="1">
        <f t="array" ref="AC16" xml:space="preserve">
IFERROR(
IF(AC$1="",0,
IF(AND(
$AA16&gt;=VLOOKUP(AC$6, Table_ChiPhiNV_Ca[], COUNTA(Table_ChiPhiNV_Ca[[#Headers],[Ca]:[Bắt đầu nghỉ]]),0),
$AA16&lt;VLOOKUP(AC$6, Table_ChiPhiNV_Ca[], COUNTA(Table_ChiPhiNV_Ca[[#Headers],[Ca]:[Kết thúc nghỉ]]),0)
),0,
IF(NOT(ISBLANK(AC$3)),
IF(ISBLANK(AC$7),0,
IF(AC$4 &lt; AC$5,
IF($AA16-$Z$4&lt;AC$4,0,
IF($AA16&gt;AC$5,0,
SUM(_xlfn._xlws.FILTER(Table_BangLuong_TyLeTangCa[Tỷ lệ],
(Table_BangLuong_TyLeTangCa[Ngày] = AC$3) *
(Table_BangLuong_TyLeTangCa[Giờ min]&lt;=$AA16) *
(Table_BangLuong_TyLeTangCa[Giờ max]&gt;$AA16)
)))),
IF(AND($AA16-$Z$4 &gt;= AC$5,$AA16 &lt; AC$4),0,
SUM(_xlfn._xlws.FILTER(Table_BangLuong_TyLeTangCa[Tỷ lệ],
(Table_BangLuong_TyLeTangCa[Ngày] = AC$3) *
(Table_BangLuong_TyLeTangCa[Giờ min]&lt;=$AA16) *
(Table_BangLuong_TyLeTangCa[Giờ max]&gt;$AA16)
))))
),
IF(ISBLANK(AC$7),
IF(VLOOKUP(AC$6, Table_ChiPhiNV_Ca[], COUNTA(Table_ChiPhiNV_Ca[[#Headers],[Ca]:[Kết thúc]]),0)&gt; VLOOKUP(AC$6, Table_ChiPhiNV_Ca[], COUNTA(Table_ChiPhiNV_Ca[[#Headers],[Ca]:[Bắt đầu]]),0),
IF($AA16-$Z$4&lt;MAX(AC$4,VLOOKUP(AC$6, Table_ChiPhiNV_Ca[], COUNTA(Table_ChiPhiNV_Ca[[#Headers],[Ca]:[Bắt đầu]]),0)),0,
IF($AA16&gt;MIN(AC$5,VLOOKUP(AC$6, Table_ChiPhiNV_Ca[], COUNTA(Table_ChiPhiNV_Ca[[#Headers],[Ca]:[Kết thúc]]),0)),0,
SUM(_xlfn._xlws.FILTER(Table_BangLuong_TyLeTangCa[Tỷ lệ],
(Table_BangLuong_TyLeTangCa[Ngày] = "Thường") *
(Table_BangLuong_TyLeTangCa[Giờ min]&lt;=$AA16) *
(Table_BangLuong_TyLeTangCa[Giờ max]&gt;$AA16)
)))),
IF(AC$4 &gt; AC$5,
IF(
AND(
$AA16-$Z$4&lt;MAX(AC$4,VLOOKUP(AC$6, Table_ChiPhiNV_Ca[], COUNTA(Table_ChiPhiNV_Ca[[#Headers],[Ca]:[Bắt đầu]]),0)),
$AA16&gt;MIN(AC$5,VLOOKUP(AC$6, Table_ChiPhiNV_Ca[], COUNTA(Table_ChiPhiNV_Ca[[#Headers],[Ca]:[Kết thúc]]),0))),0,
SUM(_xlfn._xlws.FILTER(Table_BangLuong_TyLeTangCa[Tỷ lệ],
(Table_BangLuong_TyLeTangCa[Ngày] = "Thường") *
(Table_BangLuong_TyLeTangCa[Giờ min]&lt;=$AA16) *
(Table_BangLuong_TyLeTangCa[Giờ max]&gt;$AA16)
))),
IF(
AND(
$AA16-$Z$4&gt;=MAX(AC$4,VLOOKUP(AC$6, Table_ChiPhiNV_Ca[], COUNTA(Table_ChiPhiNV_Ca[[#Headers],[Ca]:[Bắt đầu]]),0)),
$AA16&lt;MIN(AC$5,VLOOKUP(AC$6, Table_ChiPhiNV_Ca[], COUNTA(Table_ChiPhiNV_Ca[[#Headers],[Ca]:[Kết thúc]]),0))),
SUM(_xlfn._xlws.FILTER(Table_BangLuong_TyLeTangCa[Tỷ lệ],
(Table_BangLuong_TyLeTangCa[Ngày] = "Thường") *
(Table_BangLuong_TyLeTangCa[Giờ min]&lt;=$AA16) *
(Table_BangLuong_TyLeTangCa[Giờ max]&gt;$AA16)
)),0)
)),
IF(AC$4 &lt; AC$5,
IF($AA16-$Z$4&lt;AC$4,0,
IF($AA16&gt;AC$5,0,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AC$5,$AA16 &lt; AC$4),0,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D16" s="18" cm="1">
        <f t="array" ref="AD16" xml:space="preserve">
IFERROR(
IF(AD$1="",0,
IF(AND(
$AA16&gt;=VLOOKUP(AD$6, Table_ChiPhiNV_Ca[], COUNTA(Table_ChiPhiNV_Ca[[#Headers],[Ca]:[Bắt đầu nghỉ]]),0),
$AA16&lt;VLOOKUP(AD$6, Table_ChiPhiNV_Ca[], COUNTA(Table_ChiPhiNV_Ca[[#Headers],[Ca]:[Kết thúc nghỉ]]),0)
),0,
IF(NOT(ISBLANK(AD$3)),
IF(ISBLANK(AD$7),0,
IF(AD$4 &lt; AD$5,
IF($AA16-$Z$4&lt;AD$4,0,
IF($AA16&gt;AD$5,0,
SUM(_xlfn._xlws.FILTER(Table_BangLuong_TyLeTangCa[Tỷ lệ],
(Table_BangLuong_TyLeTangCa[Ngày] = AD$3) *
(Table_BangLuong_TyLeTangCa[Giờ min]&lt;=$AA16) *
(Table_BangLuong_TyLeTangCa[Giờ max]&gt;$AA16)
)))),
IF(AND($AA16-$Z$4 &gt;= AD$5,$AA16 &lt; AD$4),0,
SUM(_xlfn._xlws.FILTER(Table_BangLuong_TyLeTangCa[Tỷ lệ],
(Table_BangLuong_TyLeTangCa[Ngày] = AD$3) *
(Table_BangLuong_TyLeTangCa[Giờ min]&lt;=$AA16) *
(Table_BangLuong_TyLeTangCa[Giờ max]&gt;$AA16)
))))
),
IF(ISBLANK(AD$7),
IF(VLOOKUP(AD$6, Table_ChiPhiNV_Ca[], COUNTA(Table_ChiPhiNV_Ca[[#Headers],[Ca]:[Kết thúc]]),0)&gt; VLOOKUP(AD$6, Table_ChiPhiNV_Ca[], COUNTA(Table_ChiPhiNV_Ca[[#Headers],[Ca]:[Bắt đầu]]),0),
IF($AA16-$Z$4&lt;MAX(AD$4,VLOOKUP(AD$6, Table_ChiPhiNV_Ca[], COUNTA(Table_ChiPhiNV_Ca[[#Headers],[Ca]:[Bắt đầu]]),0)),0,
IF($AA16&gt;MIN(AD$5,VLOOKUP(AD$6, Table_ChiPhiNV_Ca[], COUNTA(Table_ChiPhiNV_Ca[[#Headers],[Ca]:[Kết thúc]]),0)),0,
SUM(_xlfn._xlws.FILTER(Table_BangLuong_TyLeTangCa[Tỷ lệ],
(Table_BangLuong_TyLeTangCa[Ngày] = "Thường") *
(Table_BangLuong_TyLeTangCa[Giờ min]&lt;=$AA16) *
(Table_BangLuong_TyLeTangCa[Giờ max]&gt;$AA16)
)))),
IF(AD$4 &gt; AD$5,
IF(
AND(
$AA16-$Z$4&lt;MAX(AD$4,VLOOKUP(AD$6, Table_ChiPhiNV_Ca[], COUNTA(Table_ChiPhiNV_Ca[[#Headers],[Ca]:[Bắt đầu]]),0)),
$AA16&gt;MIN(AD$5,VLOOKUP(AD$6, Table_ChiPhiNV_Ca[], COUNTA(Table_ChiPhiNV_Ca[[#Headers],[Ca]:[Kết thúc]]),0))),0,
SUM(_xlfn._xlws.FILTER(Table_BangLuong_TyLeTangCa[Tỷ lệ],
(Table_BangLuong_TyLeTangCa[Ngày] = "Thường") *
(Table_BangLuong_TyLeTangCa[Giờ min]&lt;=$AA16) *
(Table_BangLuong_TyLeTangCa[Giờ max]&gt;$AA16)
))),
IF(
AND(
$AA16-$Z$4&gt;=MAX(AD$4,VLOOKUP(AD$6, Table_ChiPhiNV_Ca[], COUNTA(Table_ChiPhiNV_Ca[[#Headers],[Ca]:[Bắt đầu]]),0)),
$AA16&lt;MIN(AD$5,VLOOKUP(AD$6, Table_ChiPhiNV_Ca[], COUNTA(Table_ChiPhiNV_Ca[[#Headers],[Ca]:[Kết thúc]]),0))),
SUM(_xlfn._xlws.FILTER(Table_BangLuong_TyLeTangCa[Tỷ lệ],
(Table_BangLuong_TyLeTangCa[Ngày] = "Thường") *
(Table_BangLuong_TyLeTangCa[Giờ min]&lt;=$AA16) *
(Table_BangLuong_TyLeTangCa[Giờ max]&gt;$AA16)
)),0)
)),
IF(AD$4 &lt; AD$5,
IF($AA16-$Z$4&lt;AD$4,0,
IF($AA16&gt;AD$5,0,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AD$5,$AA16 &lt; AD$4),0,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E16" s="18" cm="1">
        <f t="array" ref="AE16" xml:space="preserve">
IFERROR(
IF(AE$1="",0,
IF(AND(
$AA16&gt;=VLOOKUP(AE$6, Table_ChiPhiNV_Ca[], COUNTA(Table_ChiPhiNV_Ca[[#Headers],[Ca]:[Bắt đầu nghỉ]]),0),
$AA16&lt;VLOOKUP(AE$6, Table_ChiPhiNV_Ca[], COUNTA(Table_ChiPhiNV_Ca[[#Headers],[Ca]:[Kết thúc nghỉ]]),0)
),0,
IF(NOT(ISBLANK(AE$3)),
IF(ISBLANK(AE$7),0,
IF(AE$4 &lt; AE$5,
IF($AA16-$Z$4&lt;AE$4,0,
IF($AA16&gt;AE$5,0,
SUM(_xlfn._xlws.FILTER(Table_BangLuong_TyLeTangCa[Tỷ lệ],
(Table_BangLuong_TyLeTangCa[Ngày] = AE$3) *
(Table_BangLuong_TyLeTangCa[Giờ min]&lt;=$AA16) *
(Table_BangLuong_TyLeTangCa[Giờ max]&gt;$AA16)
)))),
IF(AND($AA16-$Z$4 &gt;= AE$5,$AA16 &lt; AE$4),0,
SUM(_xlfn._xlws.FILTER(Table_BangLuong_TyLeTangCa[Tỷ lệ],
(Table_BangLuong_TyLeTangCa[Ngày] = AE$3) *
(Table_BangLuong_TyLeTangCa[Giờ min]&lt;=$AA16) *
(Table_BangLuong_TyLeTangCa[Giờ max]&gt;$AA16)
))))
),
IF(ISBLANK(AE$7),
IF(VLOOKUP(AE$6, Table_ChiPhiNV_Ca[], COUNTA(Table_ChiPhiNV_Ca[[#Headers],[Ca]:[Kết thúc]]),0)&gt; VLOOKUP(AE$6, Table_ChiPhiNV_Ca[], COUNTA(Table_ChiPhiNV_Ca[[#Headers],[Ca]:[Bắt đầu]]),0),
IF($AA16-$Z$4&lt;MAX(AE$4,VLOOKUP(AE$6, Table_ChiPhiNV_Ca[], COUNTA(Table_ChiPhiNV_Ca[[#Headers],[Ca]:[Bắt đầu]]),0)),0,
IF($AA16&gt;MIN(AE$5,VLOOKUP(AE$6, Table_ChiPhiNV_Ca[], COUNTA(Table_ChiPhiNV_Ca[[#Headers],[Ca]:[Kết thúc]]),0)),0,
SUM(_xlfn._xlws.FILTER(Table_BangLuong_TyLeTangCa[Tỷ lệ],
(Table_BangLuong_TyLeTangCa[Ngày] = "Thường") *
(Table_BangLuong_TyLeTangCa[Giờ min]&lt;=$AA16) *
(Table_BangLuong_TyLeTangCa[Giờ max]&gt;$AA16)
)))),
IF(AE$4 &gt; AE$5,
IF(
AND(
$AA16-$Z$4&lt;MAX(AE$4,VLOOKUP(AE$6, Table_ChiPhiNV_Ca[], COUNTA(Table_ChiPhiNV_Ca[[#Headers],[Ca]:[Bắt đầu]]),0)),
$AA16&gt;MIN(AE$5,VLOOKUP(AE$6, Table_ChiPhiNV_Ca[], COUNTA(Table_ChiPhiNV_Ca[[#Headers],[Ca]:[Kết thúc]]),0))),0,
SUM(_xlfn._xlws.FILTER(Table_BangLuong_TyLeTangCa[Tỷ lệ],
(Table_BangLuong_TyLeTangCa[Ngày] = "Thường") *
(Table_BangLuong_TyLeTangCa[Giờ min]&lt;=$AA16) *
(Table_BangLuong_TyLeTangCa[Giờ max]&gt;$AA16)
))),
IF(
AND(
$AA16-$Z$4&gt;=MAX(AE$4,VLOOKUP(AE$6, Table_ChiPhiNV_Ca[], COUNTA(Table_ChiPhiNV_Ca[[#Headers],[Ca]:[Bắt đầu]]),0)),
$AA16&lt;MIN(AE$5,VLOOKUP(AE$6, Table_ChiPhiNV_Ca[], COUNTA(Table_ChiPhiNV_Ca[[#Headers],[Ca]:[Kết thúc]]),0))),
SUM(_xlfn._xlws.FILTER(Table_BangLuong_TyLeTangCa[Tỷ lệ],
(Table_BangLuong_TyLeTangCa[Ngày] = "Thường") *
(Table_BangLuong_TyLeTangCa[Giờ min]&lt;=$AA16) *
(Table_BangLuong_TyLeTangCa[Giờ max]&gt;$AA16)
)),0)
)),
IF(AE$4 &lt; AE$5,
IF($AA16-$Z$4&lt;AE$4,0,
IF($AA16&gt;AE$5,0,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AE$5,$AA16 &lt; AE$4),0,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F16" s="18" cm="1">
        <f t="array" ref="AF16" xml:space="preserve">
IFERROR(
IF(AF$1="",0,
IF(AND(
$AA16&gt;=VLOOKUP(AF$6, Table_ChiPhiNV_Ca[], COUNTA(Table_ChiPhiNV_Ca[[#Headers],[Ca]:[Bắt đầu nghỉ]]),0),
$AA16&lt;VLOOKUP(AF$6, Table_ChiPhiNV_Ca[], COUNTA(Table_ChiPhiNV_Ca[[#Headers],[Ca]:[Kết thúc nghỉ]]),0)
),0,
IF(NOT(ISBLANK(AF$3)),
IF(ISBLANK(AF$7),0,
IF(AF$4 &lt; AF$5,
IF($AA16-$Z$4&lt;AF$4,0,
IF($AA16&gt;AF$5,0,
SUM(_xlfn._xlws.FILTER(Table_BangLuong_TyLeTangCa[Tỷ lệ],
(Table_BangLuong_TyLeTangCa[Ngày] = AF$3) *
(Table_BangLuong_TyLeTangCa[Giờ min]&lt;=$AA16) *
(Table_BangLuong_TyLeTangCa[Giờ max]&gt;$AA16)
)))),
IF(AND($AA16-$Z$4 &gt;= AF$5,$AA16 &lt; AF$4),0,
SUM(_xlfn._xlws.FILTER(Table_BangLuong_TyLeTangCa[Tỷ lệ],
(Table_BangLuong_TyLeTangCa[Ngày] = AF$3) *
(Table_BangLuong_TyLeTangCa[Giờ min]&lt;=$AA16) *
(Table_BangLuong_TyLeTangCa[Giờ max]&gt;$AA16)
))))
),
IF(ISBLANK(AF$7),
IF(VLOOKUP(AF$6, Table_ChiPhiNV_Ca[], COUNTA(Table_ChiPhiNV_Ca[[#Headers],[Ca]:[Kết thúc]]),0)&gt; VLOOKUP(AF$6, Table_ChiPhiNV_Ca[], COUNTA(Table_ChiPhiNV_Ca[[#Headers],[Ca]:[Bắt đầu]]),0),
IF($AA16-$Z$4&lt;MAX(AF$4,VLOOKUP(AF$6, Table_ChiPhiNV_Ca[], COUNTA(Table_ChiPhiNV_Ca[[#Headers],[Ca]:[Bắt đầu]]),0)),0,
IF($AA16&gt;MIN(AF$5,VLOOKUP(AF$6, Table_ChiPhiNV_Ca[], COUNTA(Table_ChiPhiNV_Ca[[#Headers],[Ca]:[Kết thúc]]),0)),0,
SUM(_xlfn._xlws.FILTER(Table_BangLuong_TyLeTangCa[Tỷ lệ],
(Table_BangLuong_TyLeTangCa[Ngày] = "Thường") *
(Table_BangLuong_TyLeTangCa[Giờ min]&lt;=$AA16) *
(Table_BangLuong_TyLeTangCa[Giờ max]&gt;$AA16)
)))),
IF(AF$4 &gt; AF$5,
IF(
AND(
$AA16-$Z$4&lt;MAX(AF$4,VLOOKUP(AF$6, Table_ChiPhiNV_Ca[], COUNTA(Table_ChiPhiNV_Ca[[#Headers],[Ca]:[Bắt đầu]]),0)),
$AA16&gt;MIN(AF$5,VLOOKUP(AF$6, Table_ChiPhiNV_Ca[], COUNTA(Table_ChiPhiNV_Ca[[#Headers],[Ca]:[Kết thúc]]),0))),0,
SUM(_xlfn._xlws.FILTER(Table_BangLuong_TyLeTangCa[Tỷ lệ],
(Table_BangLuong_TyLeTangCa[Ngày] = "Thường") *
(Table_BangLuong_TyLeTangCa[Giờ min]&lt;=$AA16) *
(Table_BangLuong_TyLeTangCa[Giờ max]&gt;$AA16)
))),
IF(
AND(
$AA16-$Z$4&gt;=MAX(AF$4,VLOOKUP(AF$6, Table_ChiPhiNV_Ca[], COUNTA(Table_ChiPhiNV_Ca[[#Headers],[Ca]:[Bắt đầu]]),0)),
$AA16&lt;MIN(AF$5,VLOOKUP(AF$6, Table_ChiPhiNV_Ca[], COUNTA(Table_ChiPhiNV_Ca[[#Headers],[Ca]:[Kết thúc]]),0))),
SUM(_xlfn._xlws.FILTER(Table_BangLuong_TyLeTangCa[Tỷ lệ],
(Table_BangLuong_TyLeTangCa[Ngày] = "Thường") *
(Table_BangLuong_TyLeTangCa[Giờ min]&lt;=$AA16) *
(Table_BangLuong_TyLeTangCa[Giờ max]&gt;$AA16)
)),0)
)),
IF(AF$4 &lt; AF$5,
IF($AA16-$Z$4&lt;AF$4,0,
IF($AA16&gt;AF$5,0,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AF$5,$AA16 &lt; AF$4),0,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G16" s="18" cm="1">
        <f t="array" ref="AG16" xml:space="preserve">
IFERROR(
IF(AG$1="",0,
IF(AND(
$AA16&gt;=VLOOKUP(AG$6, Table_ChiPhiNV_Ca[], COUNTA(Table_ChiPhiNV_Ca[[#Headers],[Ca]:[Bắt đầu nghỉ]]),0),
$AA16&lt;VLOOKUP(AG$6, Table_ChiPhiNV_Ca[], COUNTA(Table_ChiPhiNV_Ca[[#Headers],[Ca]:[Kết thúc nghỉ]]),0)
),0,
IF(NOT(ISBLANK(AG$3)),
IF(ISBLANK(AG$7),0,
IF(AG$4 &lt; AG$5,
IF($AA16-$Z$4&lt;AG$4,0,
IF($AA16&gt;AG$5,0,
SUM(_xlfn._xlws.FILTER(Table_BangLuong_TyLeTangCa[Tỷ lệ],
(Table_BangLuong_TyLeTangCa[Ngày] = AG$3) *
(Table_BangLuong_TyLeTangCa[Giờ min]&lt;=$AA16) *
(Table_BangLuong_TyLeTangCa[Giờ max]&gt;$AA16)
)))),
IF(AND($AA16-$Z$4 &gt;= AG$5,$AA16 &lt; AG$4),0,
SUM(_xlfn._xlws.FILTER(Table_BangLuong_TyLeTangCa[Tỷ lệ],
(Table_BangLuong_TyLeTangCa[Ngày] = AG$3) *
(Table_BangLuong_TyLeTangCa[Giờ min]&lt;=$AA16) *
(Table_BangLuong_TyLeTangCa[Giờ max]&gt;$AA16)
))))
),
IF(ISBLANK(AG$7),
IF(VLOOKUP(AG$6, Table_ChiPhiNV_Ca[], COUNTA(Table_ChiPhiNV_Ca[[#Headers],[Ca]:[Kết thúc]]),0)&gt; VLOOKUP(AG$6, Table_ChiPhiNV_Ca[], COUNTA(Table_ChiPhiNV_Ca[[#Headers],[Ca]:[Bắt đầu]]),0),
IF($AA16-$Z$4&lt;MAX(AG$4,VLOOKUP(AG$6, Table_ChiPhiNV_Ca[], COUNTA(Table_ChiPhiNV_Ca[[#Headers],[Ca]:[Bắt đầu]]),0)),0,
IF($AA16&gt;MIN(AG$5,VLOOKUP(AG$6, Table_ChiPhiNV_Ca[], COUNTA(Table_ChiPhiNV_Ca[[#Headers],[Ca]:[Kết thúc]]),0)),0,
SUM(_xlfn._xlws.FILTER(Table_BangLuong_TyLeTangCa[Tỷ lệ],
(Table_BangLuong_TyLeTangCa[Ngày] = "Thường") *
(Table_BangLuong_TyLeTangCa[Giờ min]&lt;=$AA16) *
(Table_BangLuong_TyLeTangCa[Giờ max]&gt;$AA16)
)))),
IF(AG$4 &gt; AG$5,
IF(
AND(
$AA16-$Z$4&lt;MAX(AG$4,VLOOKUP(AG$6, Table_ChiPhiNV_Ca[], COUNTA(Table_ChiPhiNV_Ca[[#Headers],[Ca]:[Bắt đầu]]),0)),
$AA16&gt;MIN(AG$5,VLOOKUP(AG$6, Table_ChiPhiNV_Ca[], COUNTA(Table_ChiPhiNV_Ca[[#Headers],[Ca]:[Kết thúc]]),0))),0,
SUM(_xlfn._xlws.FILTER(Table_BangLuong_TyLeTangCa[Tỷ lệ],
(Table_BangLuong_TyLeTangCa[Ngày] = "Thường") *
(Table_BangLuong_TyLeTangCa[Giờ min]&lt;=$AA16) *
(Table_BangLuong_TyLeTangCa[Giờ max]&gt;$AA16)
))),
IF(
AND(
$AA16-$Z$4&gt;=MAX(AG$4,VLOOKUP(AG$6, Table_ChiPhiNV_Ca[], COUNTA(Table_ChiPhiNV_Ca[[#Headers],[Ca]:[Bắt đầu]]),0)),
$AA16&lt;MIN(AG$5,VLOOKUP(AG$6, Table_ChiPhiNV_Ca[], COUNTA(Table_ChiPhiNV_Ca[[#Headers],[Ca]:[Kết thúc]]),0))),
SUM(_xlfn._xlws.FILTER(Table_BangLuong_TyLeTangCa[Tỷ lệ],
(Table_BangLuong_TyLeTangCa[Ngày] = "Thường") *
(Table_BangLuong_TyLeTangCa[Giờ min]&lt;=$AA16) *
(Table_BangLuong_TyLeTangCa[Giờ max]&gt;$AA16)
)),0)
)),
IF(AG$4 &lt; AG$5,
IF($AA16-$Z$4&lt;AG$4,0,
IF($AA16&gt;AG$5,0,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AG$5,$AA16 &lt; AG$4),0,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H16" s="18" cm="1">
        <f t="array" ref="AH16" xml:space="preserve">
IFERROR(
IF(AH$1="",0,
IF(AND(
$AA16&gt;=VLOOKUP(AH$6, Table_ChiPhiNV_Ca[], COUNTA(Table_ChiPhiNV_Ca[[#Headers],[Ca]:[Bắt đầu nghỉ]]),0),
$AA16&lt;VLOOKUP(AH$6, Table_ChiPhiNV_Ca[], COUNTA(Table_ChiPhiNV_Ca[[#Headers],[Ca]:[Kết thúc nghỉ]]),0)
),0,
IF(NOT(ISBLANK(AH$3)),
IF(ISBLANK(AH$7),0,
IF(AH$4 &lt; AH$5,
IF($AA16-$Z$4&lt;AH$4,0,
IF($AA16&gt;AH$5,0,
SUM(_xlfn._xlws.FILTER(Table_BangLuong_TyLeTangCa[Tỷ lệ],
(Table_BangLuong_TyLeTangCa[Ngày] = AH$3) *
(Table_BangLuong_TyLeTangCa[Giờ min]&lt;=$AA16) *
(Table_BangLuong_TyLeTangCa[Giờ max]&gt;$AA16)
)))),
IF(AND($AA16-$Z$4 &gt;= AH$5,$AA16 &lt; AH$4),0,
SUM(_xlfn._xlws.FILTER(Table_BangLuong_TyLeTangCa[Tỷ lệ],
(Table_BangLuong_TyLeTangCa[Ngày] = AH$3) *
(Table_BangLuong_TyLeTangCa[Giờ min]&lt;=$AA16) *
(Table_BangLuong_TyLeTangCa[Giờ max]&gt;$AA16)
))))
),
IF(ISBLANK(AH$7),
IF(VLOOKUP(AH$6, Table_ChiPhiNV_Ca[], COUNTA(Table_ChiPhiNV_Ca[[#Headers],[Ca]:[Kết thúc]]),0)&gt; VLOOKUP(AH$6, Table_ChiPhiNV_Ca[], COUNTA(Table_ChiPhiNV_Ca[[#Headers],[Ca]:[Bắt đầu]]),0),
IF($AA16-$Z$4&lt;MAX(AH$4,VLOOKUP(AH$6, Table_ChiPhiNV_Ca[], COUNTA(Table_ChiPhiNV_Ca[[#Headers],[Ca]:[Bắt đầu]]),0)),0,
IF($AA16&gt;MIN(AH$5,VLOOKUP(AH$6, Table_ChiPhiNV_Ca[], COUNTA(Table_ChiPhiNV_Ca[[#Headers],[Ca]:[Kết thúc]]),0)),0,
SUM(_xlfn._xlws.FILTER(Table_BangLuong_TyLeTangCa[Tỷ lệ],
(Table_BangLuong_TyLeTangCa[Ngày] = "Thường") *
(Table_BangLuong_TyLeTangCa[Giờ min]&lt;=$AA16) *
(Table_BangLuong_TyLeTangCa[Giờ max]&gt;$AA16)
)))),
IF(AH$4 &gt; AH$5,
IF(
AND(
$AA16-$Z$4&lt;MAX(AH$4,VLOOKUP(AH$6, Table_ChiPhiNV_Ca[], COUNTA(Table_ChiPhiNV_Ca[[#Headers],[Ca]:[Bắt đầu]]),0)),
$AA16&gt;MIN(AH$5,VLOOKUP(AH$6, Table_ChiPhiNV_Ca[], COUNTA(Table_ChiPhiNV_Ca[[#Headers],[Ca]:[Kết thúc]]),0))),0,
SUM(_xlfn._xlws.FILTER(Table_BangLuong_TyLeTangCa[Tỷ lệ],
(Table_BangLuong_TyLeTangCa[Ngày] = "Thường") *
(Table_BangLuong_TyLeTangCa[Giờ min]&lt;=$AA16) *
(Table_BangLuong_TyLeTangCa[Giờ max]&gt;$AA16)
))),
IF(
AND(
$AA16-$Z$4&gt;=MAX(AH$4,VLOOKUP(AH$6, Table_ChiPhiNV_Ca[], COUNTA(Table_ChiPhiNV_Ca[[#Headers],[Ca]:[Bắt đầu]]),0)),
$AA16&lt;MIN(AH$5,VLOOKUP(AH$6, Table_ChiPhiNV_Ca[], COUNTA(Table_ChiPhiNV_Ca[[#Headers],[Ca]:[Kết thúc]]),0))),
SUM(_xlfn._xlws.FILTER(Table_BangLuong_TyLeTangCa[Tỷ lệ],
(Table_BangLuong_TyLeTangCa[Ngày] = "Thường") *
(Table_BangLuong_TyLeTangCa[Giờ min]&lt;=$AA16) *
(Table_BangLuong_TyLeTangCa[Giờ max]&gt;$AA16)
)),0)
)),
IF(AH$4 &lt; AH$5,
IF($AA16-$Z$4&lt;AH$4,0,
IF($AA16&gt;AH$5,0,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AH$5,$AA16 &lt; AH$4),0,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I16" s="18" cm="1">
        <f t="array" ref="AI16" xml:space="preserve">
IFERROR(
IF(AI$1="",0,
IF(AND(
$AA16&gt;=VLOOKUP(AI$6, Table_ChiPhiNV_Ca[], COUNTA(Table_ChiPhiNV_Ca[[#Headers],[Ca]:[Bắt đầu nghỉ]]),0),
$AA16&lt;VLOOKUP(AI$6, Table_ChiPhiNV_Ca[], COUNTA(Table_ChiPhiNV_Ca[[#Headers],[Ca]:[Kết thúc nghỉ]]),0)
),0,
IF(NOT(ISBLANK(AI$3)),
IF(ISBLANK(AI$7),0,
IF(AI$4 &lt; AI$5,
IF($AA16-$Z$4&lt;AI$4,0,
IF($AA16&gt;AI$5,0,
SUM(_xlfn._xlws.FILTER(Table_BangLuong_TyLeTangCa[Tỷ lệ],
(Table_BangLuong_TyLeTangCa[Ngày] = AI$3) *
(Table_BangLuong_TyLeTangCa[Giờ min]&lt;=$AA16) *
(Table_BangLuong_TyLeTangCa[Giờ max]&gt;$AA16)
)))),
IF(AND($AA16-$Z$4 &gt;= AI$5,$AA16 &lt; AI$4),0,
SUM(_xlfn._xlws.FILTER(Table_BangLuong_TyLeTangCa[Tỷ lệ],
(Table_BangLuong_TyLeTangCa[Ngày] = AI$3) *
(Table_BangLuong_TyLeTangCa[Giờ min]&lt;=$AA16) *
(Table_BangLuong_TyLeTangCa[Giờ max]&gt;$AA16)
))))
),
IF(ISBLANK(AI$7),
IF(VLOOKUP(AI$6, Table_ChiPhiNV_Ca[], COUNTA(Table_ChiPhiNV_Ca[[#Headers],[Ca]:[Kết thúc]]),0)&gt; VLOOKUP(AI$6, Table_ChiPhiNV_Ca[], COUNTA(Table_ChiPhiNV_Ca[[#Headers],[Ca]:[Bắt đầu]]),0),
IF($AA16-$Z$4&lt;MAX(AI$4,VLOOKUP(AI$6, Table_ChiPhiNV_Ca[], COUNTA(Table_ChiPhiNV_Ca[[#Headers],[Ca]:[Bắt đầu]]),0)),0,
IF($AA16&gt;MIN(AI$5,VLOOKUP(AI$6, Table_ChiPhiNV_Ca[], COUNTA(Table_ChiPhiNV_Ca[[#Headers],[Ca]:[Kết thúc]]),0)),0,
SUM(_xlfn._xlws.FILTER(Table_BangLuong_TyLeTangCa[Tỷ lệ],
(Table_BangLuong_TyLeTangCa[Ngày] = "Thường") *
(Table_BangLuong_TyLeTangCa[Giờ min]&lt;=$AA16) *
(Table_BangLuong_TyLeTangCa[Giờ max]&gt;$AA16)
)))),
IF(AI$4 &gt; AI$5,
IF(
AND(
$AA16-$Z$4&lt;MAX(AI$4,VLOOKUP(AI$6, Table_ChiPhiNV_Ca[], COUNTA(Table_ChiPhiNV_Ca[[#Headers],[Ca]:[Bắt đầu]]),0)),
$AA16&gt;MIN(AI$5,VLOOKUP(AI$6, Table_ChiPhiNV_Ca[], COUNTA(Table_ChiPhiNV_Ca[[#Headers],[Ca]:[Kết thúc]]),0))),0,
SUM(_xlfn._xlws.FILTER(Table_BangLuong_TyLeTangCa[Tỷ lệ],
(Table_BangLuong_TyLeTangCa[Ngày] = "Thường") *
(Table_BangLuong_TyLeTangCa[Giờ min]&lt;=$AA16) *
(Table_BangLuong_TyLeTangCa[Giờ max]&gt;$AA16)
))),
IF(
AND(
$AA16-$Z$4&gt;=MAX(AI$4,VLOOKUP(AI$6, Table_ChiPhiNV_Ca[], COUNTA(Table_ChiPhiNV_Ca[[#Headers],[Ca]:[Bắt đầu]]),0)),
$AA16&lt;MIN(AI$5,VLOOKUP(AI$6, Table_ChiPhiNV_Ca[], COUNTA(Table_ChiPhiNV_Ca[[#Headers],[Ca]:[Kết thúc]]),0))),
SUM(_xlfn._xlws.FILTER(Table_BangLuong_TyLeTangCa[Tỷ lệ],
(Table_BangLuong_TyLeTangCa[Ngày] = "Thường") *
(Table_BangLuong_TyLeTangCa[Giờ min]&lt;=$AA16) *
(Table_BangLuong_TyLeTangCa[Giờ max]&gt;$AA16)
)),0)
)),
IF(AI$4 &lt; AI$5,
IF($AA16-$Z$4&lt;AI$4,0,
IF($AA16&gt;AI$5,0,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AI$5,$AA16 &lt; AI$4),0,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J16" s="18" cm="1">
        <f t="array" ref="AJ16" xml:space="preserve">
IFERROR(
IF(AJ$1="",0,
IF(AND(
$AA16&gt;=VLOOKUP(AJ$6, Table_ChiPhiNV_Ca[], COUNTA(Table_ChiPhiNV_Ca[[#Headers],[Ca]:[Bắt đầu nghỉ]]),0),
$AA16&lt;VLOOKUP(AJ$6, Table_ChiPhiNV_Ca[], COUNTA(Table_ChiPhiNV_Ca[[#Headers],[Ca]:[Kết thúc nghỉ]]),0)
),0,
IF(NOT(ISBLANK(AJ$3)),
IF(ISBLANK(AJ$7),0,
IF(AJ$4 &lt; AJ$5,
IF($AA16-$Z$4&lt;AJ$4,0,
IF($AA16&gt;AJ$5,0,
SUM(_xlfn._xlws.FILTER(Table_BangLuong_TyLeTangCa[Tỷ lệ],
(Table_BangLuong_TyLeTangCa[Ngày] = AJ$3) *
(Table_BangLuong_TyLeTangCa[Giờ min]&lt;=$AA16) *
(Table_BangLuong_TyLeTangCa[Giờ max]&gt;$AA16)
)))),
IF(AND($AA16-$Z$4 &gt;= AJ$5,$AA16 &lt; AJ$4),0,
SUM(_xlfn._xlws.FILTER(Table_BangLuong_TyLeTangCa[Tỷ lệ],
(Table_BangLuong_TyLeTangCa[Ngày] = AJ$3) *
(Table_BangLuong_TyLeTangCa[Giờ min]&lt;=$AA16) *
(Table_BangLuong_TyLeTangCa[Giờ max]&gt;$AA16)
))))
),
IF(ISBLANK(AJ$7),
IF(VLOOKUP(AJ$6, Table_ChiPhiNV_Ca[], COUNTA(Table_ChiPhiNV_Ca[[#Headers],[Ca]:[Kết thúc]]),0)&gt; VLOOKUP(AJ$6, Table_ChiPhiNV_Ca[], COUNTA(Table_ChiPhiNV_Ca[[#Headers],[Ca]:[Bắt đầu]]),0),
IF($AA16-$Z$4&lt;MAX(AJ$4,VLOOKUP(AJ$6, Table_ChiPhiNV_Ca[], COUNTA(Table_ChiPhiNV_Ca[[#Headers],[Ca]:[Bắt đầu]]),0)),0,
IF($AA16&gt;MIN(AJ$5,VLOOKUP(AJ$6, Table_ChiPhiNV_Ca[], COUNTA(Table_ChiPhiNV_Ca[[#Headers],[Ca]:[Kết thúc]]),0)),0,
SUM(_xlfn._xlws.FILTER(Table_BangLuong_TyLeTangCa[Tỷ lệ],
(Table_BangLuong_TyLeTangCa[Ngày] = "Thường") *
(Table_BangLuong_TyLeTangCa[Giờ min]&lt;=$AA16) *
(Table_BangLuong_TyLeTangCa[Giờ max]&gt;$AA16)
)))),
IF(AJ$4 &gt; AJ$5,
IF(
AND(
$AA16-$Z$4&lt;MAX(AJ$4,VLOOKUP(AJ$6, Table_ChiPhiNV_Ca[], COUNTA(Table_ChiPhiNV_Ca[[#Headers],[Ca]:[Bắt đầu]]),0)),
$AA16&gt;MIN(AJ$5,VLOOKUP(AJ$6, Table_ChiPhiNV_Ca[], COUNTA(Table_ChiPhiNV_Ca[[#Headers],[Ca]:[Kết thúc]]),0))),0,
SUM(_xlfn._xlws.FILTER(Table_BangLuong_TyLeTangCa[Tỷ lệ],
(Table_BangLuong_TyLeTangCa[Ngày] = "Thường") *
(Table_BangLuong_TyLeTangCa[Giờ min]&lt;=$AA16) *
(Table_BangLuong_TyLeTangCa[Giờ max]&gt;$AA16)
))),
IF(
AND(
$AA16-$Z$4&gt;=MAX(AJ$4,VLOOKUP(AJ$6, Table_ChiPhiNV_Ca[], COUNTA(Table_ChiPhiNV_Ca[[#Headers],[Ca]:[Bắt đầu]]),0)),
$AA16&lt;MIN(AJ$5,VLOOKUP(AJ$6, Table_ChiPhiNV_Ca[], COUNTA(Table_ChiPhiNV_Ca[[#Headers],[Ca]:[Kết thúc]]),0))),
SUM(_xlfn._xlws.FILTER(Table_BangLuong_TyLeTangCa[Tỷ lệ],
(Table_BangLuong_TyLeTangCa[Ngày] = "Thường") *
(Table_BangLuong_TyLeTangCa[Giờ min]&lt;=$AA16) *
(Table_BangLuong_TyLeTangCa[Giờ max]&gt;$AA16)
)),0)
)),
IF(AJ$4 &lt; AJ$5,
IF($AA16-$Z$4&lt;AJ$4,0,
IF($AA16&gt;AJ$5,0,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AJ$5,$AA16 &lt; AJ$4),0,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K16" s="18" cm="1">
        <f t="array" ref="AK16" xml:space="preserve">
IFERROR(
IF(AK$1="",0,
IF(AND(
$AA16&gt;=VLOOKUP(AK$6, Table_ChiPhiNV_Ca[], COUNTA(Table_ChiPhiNV_Ca[[#Headers],[Ca]:[Bắt đầu nghỉ]]),0),
$AA16&lt;VLOOKUP(AK$6, Table_ChiPhiNV_Ca[], COUNTA(Table_ChiPhiNV_Ca[[#Headers],[Ca]:[Kết thúc nghỉ]]),0)
),0,
IF(NOT(ISBLANK(AK$3)),
IF(ISBLANK(AK$7),0,
IF(AK$4 &lt; AK$5,
IF($AA16-$Z$4&lt;AK$4,0,
IF($AA16&gt;AK$5,0,
SUM(_xlfn._xlws.FILTER(Table_BangLuong_TyLeTangCa[Tỷ lệ],
(Table_BangLuong_TyLeTangCa[Ngày] = AK$3) *
(Table_BangLuong_TyLeTangCa[Giờ min]&lt;=$AA16) *
(Table_BangLuong_TyLeTangCa[Giờ max]&gt;$AA16)
)))),
IF(AND($AA16-$Z$4 &gt;= AK$5,$AA16 &lt; AK$4),0,
SUM(_xlfn._xlws.FILTER(Table_BangLuong_TyLeTangCa[Tỷ lệ],
(Table_BangLuong_TyLeTangCa[Ngày] = AK$3) *
(Table_BangLuong_TyLeTangCa[Giờ min]&lt;=$AA16) *
(Table_BangLuong_TyLeTangCa[Giờ max]&gt;$AA16)
))))
),
IF(ISBLANK(AK$7),
IF(VLOOKUP(AK$6, Table_ChiPhiNV_Ca[], COUNTA(Table_ChiPhiNV_Ca[[#Headers],[Ca]:[Kết thúc]]),0)&gt; VLOOKUP(AK$6, Table_ChiPhiNV_Ca[], COUNTA(Table_ChiPhiNV_Ca[[#Headers],[Ca]:[Bắt đầu]]),0),
IF($AA16-$Z$4&lt;MAX(AK$4,VLOOKUP(AK$6, Table_ChiPhiNV_Ca[], COUNTA(Table_ChiPhiNV_Ca[[#Headers],[Ca]:[Bắt đầu]]),0)),0,
IF($AA16&gt;MIN(AK$5,VLOOKUP(AK$6, Table_ChiPhiNV_Ca[], COUNTA(Table_ChiPhiNV_Ca[[#Headers],[Ca]:[Kết thúc]]),0)),0,
SUM(_xlfn._xlws.FILTER(Table_BangLuong_TyLeTangCa[Tỷ lệ],
(Table_BangLuong_TyLeTangCa[Ngày] = "Thường") *
(Table_BangLuong_TyLeTangCa[Giờ min]&lt;=$AA16) *
(Table_BangLuong_TyLeTangCa[Giờ max]&gt;$AA16)
)))),
IF(AK$4 &gt; AK$5,
IF(
AND(
$AA16-$Z$4&lt;MAX(AK$4,VLOOKUP(AK$6, Table_ChiPhiNV_Ca[], COUNTA(Table_ChiPhiNV_Ca[[#Headers],[Ca]:[Bắt đầu]]),0)),
$AA16&gt;MIN(AK$5,VLOOKUP(AK$6, Table_ChiPhiNV_Ca[], COUNTA(Table_ChiPhiNV_Ca[[#Headers],[Ca]:[Kết thúc]]),0))),0,
SUM(_xlfn._xlws.FILTER(Table_BangLuong_TyLeTangCa[Tỷ lệ],
(Table_BangLuong_TyLeTangCa[Ngày] = "Thường") *
(Table_BangLuong_TyLeTangCa[Giờ min]&lt;=$AA16) *
(Table_BangLuong_TyLeTangCa[Giờ max]&gt;$AA16)
))),
IF(
AND(
$AA16-$Z$4&gt;=MAX(AK$4,VLOOKUP(AK$6, Table_ChiPhiNV_Ca[], COUNTA(Table_ChiPhiNV_Ca[[#Headers],[Ca]:[Bắt đầu]]),0)),
$AA16&lt;MIN(AK$5,VLOOKUP(AK$6, Table_ChiPhiNV_Ca[], COUNTA(Table_ChiPhiNV_Ca[[#Headers],[Ca]:[Kết thúc]]),0))),
SUM(_xlfn._xlws.FILTER(Table_BangLuong_TyLeTangCa[Tỷ lệ],
(Table_BangLuong_TyLeTangCa[Ngày] = "Thường") *
(Table_BangLuong_TyLeTangCa[Giờ min]&lt;=$AA16) *
(Table_BangLuong_TyLeTangCa[Giờ max]&gt;$AA16)
)),0)
)),
IF(AK$4 &lt; AK$5,
IF($AA16-$Z$4&lt;AK$4,0,
IF($AA16&gt;AK$5,0,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AK$5,$AA16 &lt; AK$4),0,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L16" s="18" cm="1">
        <f t="array" ref="AL16" xml:space="preserve">
IFERROR(
IF(AL$1="",0,
IF(AND(
$AA16&gt;=VLOOKUP(AL$6, Table_ChiPhiNV_Ca[], COUNTA(Table_ChiPhiNV_Ca[[#Headers],[Ca]:[Bắt đầu nghỉ]]),0),
$AA16&lt;VLOOKUP(AL$6, Table_ChiPhiNV_Ca[], COUNTA(Table_ChiPhiNV_Ca[[#Headers],[Ca]:[Kết thúc nghỉ]]),0)
),0,
IF(NOT(ISBLANK(AL$3)),
IF(ISBLANK(AL$7),0,
IF(AL$4 &lt; AL$5,
IF($AA16-$Z$4&lt;AL$4,0,
IF($AA16&gt;AL$5,0,
SUM(_xlfn._xlws.FILTER(Table_BangLuong_TyLeTangCa[Tỷ lệ],
(Table_BangLuong_TyLeTangCa[Ngày] = AL$3) *
(Table_BangLuong_TyLeTangCa[Giờ min]&lt;=$AA16) *
(Table_BangLuong_TyLeTangCa[Giờ max]&gt;$AA16)
)))),
IF(AND($AA16-$Z$4 &gt;= AL$5,$AA16 &lt; AL$4),0,
SUM(_xlfn._xlws.FILTER(Table_BangLuong_TyLeTangCa[Tỷ lệ],
(Table_BangLuong_TyLeTangCa[Ngày] = AL$3) *
(Table_BangLuong_TyLeTangCa[Giờ min]&lt;=$AA16) *
(Table_BangLuong_TyLeTangCa[Giờ max]&gt;$AA16)
))))
),
IF(ISBLANK(AL$7),
IF(VLOOKUP(AL$6, Table_ChiPhiNV_Ca[], COUNTA(Table_ChiPhiNV_Ca[[#Headers],[Ca]:[Kết thúc]]),0)&gt; VLOOKUP(AL$6, Table_ChiPhiNV_Ca[], COUNTA(Table_ChiPhiNV_Ca[[#Headers],[Ca]:[Bắt đầu]]),0),
IF($AA16-$Z$4&lt;MAX(AL$4,VLOOKUP(AL$6, Table_ChiPhiNV_Ca[], COUNTA(Table_ChiPhiNV_Ca[[#Headers],[Ca]:[Bắt đầu]]),0)),0,
IF($AA16&gt;MIN(AL$5,VLOOKUP(AL$6, Table_ChiPhiNV_Ca[], COUNTA(Table_ChiPhiNV_Ca[[#Headers],[Ca]:[Kết thúc]]),0)),0,
SUM(_xlfn._xlws.FILTER(Table_BangLuong_TyLeTangCa[Tỷ lệ],
(Table_BangLuong_TyLeTangCa[Ngày] = "Thường") *
(Table_BangLuong_TyLeTangCa[Giờ min]&lt;=$AA16) *
(Table_BangLuong_TyLeTangCa[Giờ max]&gt;$AA16)
)))),
IF(AL$4 &gt; AL$5,
IF(
AND(
$AA16-$Z$4&lt;MAX(AL$4,VLOOKUP(AL$6, Table_ChiPhiNV_Ca[], COUNTA(Table_ChiPhiNV_Ca[[#Headers],[Ca]:[Bắt đầu]]),0)),
$AA16&gt;MIN(AL$5,VLOOKUP(AL$6, Table_ChiPhiNV_Ca[], COUNTA(Table_ChiPhiNV_Ca[[#Headers],[Ca]:[Kết thúc]]),0))),0,
SUM(_xlfn._xlws.FILTER(Table_BangLuong_TyLeTangCa[Tỷ lệ],
(Table_BangLuong_TyLeTangCa[Ngày] = "Thường") *
(Table_BangLuong_TyLeTangCa[Giờ min]&lt;=$AA16) *
(Table_BangLuong_TyLeTangCa[Giờ max]&gt;$AA16)
))),
IF(
AND(
$AA16-$Z$4&gt;=MAX(AL$4,VLOOKUP(AL$6, Table_ChiPhiNV_Ca[], COUNTA(Table_ChiPhiNV_Ca[[#Headers],[Ca]:[Bắt đầu]]),0)),
$AA16&lt;MIN(AL$5,VLOOKUP(AL$6, Table_ChiPhiNV_Ca[], COUNTA(Table_ChiPhiNV_Ca[[#Headers],[Ca]:[Kết thúc]]),0))),
SUM(_xlfn._xlws.FILTER(Table_BangLuong_TyLeTangCa[Tỷ lệ],
(Table_BangLuong_TyLeTangCa[Ngày] = "Thường") *
(Table_BangLuong_TyLeTangCa[Giờ min]&lt;=$AA16) *
(Table_BangLuong_TyLeTangCa[Giờ max]&gt;$AA16)
)),0)
)),
IF(AL$4 &lt; AL$5,
IF($AA16-$Z$4&lt;AL$4,0,
IF($AA16&gt;AL$5,0,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AL$5,$AA16 &lt; AL$4),0,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M16" s="18" cm="1">
        <f t="array" ref="AM16" xml:space="preserve">
IFERROR(
IF(AM$1="",0,
IF(AND(
$AA16&gt;=VLOOKUP(AM$6, Table_ChiPhiNV_Ca[], COUNTA(Table_ChiPhiNV_Ca[[#Headers],[Ca]:[Bắt đầu nghỉ]]),0),
$AA16&lt;VLOOKUP(AM$6, Table_ChiPhiNV_Ca[], COUNTA(Table_ChiPhiNV_Ca[[#Headers],[Ca]:[Kết thúc nghỉ]]),0)
),0,
IF(NOT(ISBLANK(AM$3)),
IF(ISBLANK(AM$7),0,
IF(AM$4 &lt; AM$5,
IF($AA16-$Z$4&lt;AM$4,0,
IF($AA16&gt;AM$5,0,
SUM(_xlfn._xlws.FILTER(Table_BangLuong_TyLeTangCa[Tỷ lệ],
(Table_BangLuong_TyLeTangCa[Ngày] = AM$3) *
(Table_BangLuong_TyLeTangCa[Giờ min]&lt;=$AA16) *
(Table_BangLuong_TyLeTangCa[Giờ max]&gt;$AA16)
)))),
IF(AND($AA16-$Z$4 &gt;= AM$5,$AA16 &lt; AM$4),0,
SUM(_xlfn._xlws.FILTER(Table_BangLuong_TyLeTangCa[Tỷ lệ],
(Table_BangLuong_TyLeTangCa[Ngày] = AM$3) *
(Table_BangLuong_TyLeTangCa[Giờ min]&lt;=$AA16) *
(Table_BangLuong_TyLeTangCa[Giờ max]&gt;$AA16)
))))
),
IF(ISBLANK(AM$7),
IF(VLOOKUP(AM$6, Table_ChiPhiNV_Ca[], COUNTA(Table_ChiPhiNV_Ca[[#Headers],[Ca]:[Kết thúc]]),0)&gt; VLOOKUP(AM$6, Table_ChiPhiNV_Ca[], COUNTA(Table_ChiPhiNV_Ca[[#Headers],[Ca]:[Bắt đầu]]),0),
IF($AA16-$Z$4&lt;MAX(AM$4,VLOOKUP(AM$6, Table_ChiPhiNV_Ca[], COUNTA(Table_ChiPhiNV_Ca[[#Headers],[Ca]:[Bắt đầu]]),0)),0,
IF($AA16&gt;MIN(AM$5,VLOOKUP(AM$6, Table_ChiPhiNV_Ca[], COUNTA(Table_ChiPhiNV_Ca[[#Headers],[Ca]:[Kết thúc]]),0)),0,
SUM(_xlfn._xlws.FILTER(Table_BangLuong_TyLeTangCa[Tỷ lệ],
(Table_BangLuong_TyLeTangCa[Ngày] = "Thường") *
(Table_BangLuong_TyLeTangCa[Giờ min]&lt;=$AA16) *
(Table_BangLuong_TyLeTangCa[Giờ max]&gt;$AA16)
)))),
IF(AM$4 &gt; AM$5,
IF(
AND(
$AA16-$Z$4&lt;MAX(AM$4,VLOOKUP(AM$6, Table_ChiPhiNV_Ca[], COUNTA(Table_ChiPhiNV_Ca[[#Headers],[Ca]:[Bắt đầu]]),0)),
$AA16&gt;MIN(AM$5,VLOOKUP(AM$6, Table_ChiPhiNV_Ca[], COUNTA(Table_ChiPhiNV_Ca[[#Headers],[Ca]:[Kết thúc]]),0))),0,
SUM(_xlfn._xlws.FILTER(Table_BangLuong_TyLeTangCa[Tỷ lệ],
(Table_BangLuong_TyLeTangCa[Ngày] = "Thường") *
(Table_BangLuong_TyLeTangCa[Giờ min]&lt;=$AA16) *
(Table_BangLuong_TyLeTangCa[Giờ max]&gt;$AA16)
))),
IF(
AND(
$AA16-$Z$4&gt;=MAX(AM$4,VLOOKUP(AM$6, Table_ChiPhiNV_Ca[], COUNTA(Table_ChiPhiNV_Ca[[#Headers],[Ca]:[Bắt đầu]]),0)),
$AA16&lt;MIN(AM$5,VLOOKUP(AM$6, Table_ChiPhiNV_Ca[], COUNTA(Table_ChiPhiNV_Ca[[#Headers],[Ca]:[Kết thúc]]),0))),
SUM(_xlfn._xlws.FILTER(Table_BangLuong_TyLeTangCa[Tỷ lệ],
(Table_BangLuong_TyLeTangCa[Ngày] = "Thường") *
(Table_BangLuong_TyLeTangCa[Giờ min]&lt;=$AA16) *
(Table_BangLuong_TyLeTangCa[Giờ max]&gt;$AA16)
)),0)
)),
IF(AM$4 &lt; AM$5,
IF($AA16-$Z$4&lt;AM$4,0,
IF($AA16&gt;AM$5,0,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AM$5,$AA16 &lt; AM$4),0,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N16" s="18" cm="1">
        <f t="array" ref="AN16" xml:space="preserve">
IFERROR(
IF(AN$1="",0,
IF(AND(
$AA16&gt;=VLOOKUP(AN$6, Table_ChiPhiNV_Ca[], COUNTA(Table_ChiPhiNV_Ca[[#Headers],[Ca]:[Bắt đầu nghỉ]]),0),
$AA16&lt;VLOOKUP(AN$6, Table_ChiPhiNV_Ca[], COUNTA(Table_ChiPhiNV_Ca[[#Headers],[Ca]:[Kết thúc nghỉ]]),0)
),0,
IF(NOT(ISBLANK(AN$3)),
IF(ISBLANK(AN$7),0,
IF(AN$4 &lt; AN$5,
IF($AA16-$Z$4&lt;AN$4,0,
IF($AA16&gt;AN$5,0,
SUM(_xlfn._xlws.FILTER(Table_BangLuong_TyLeTangCa[Tỷ lệ],
(Table_BangLuong_TyLeTangCa[Ngày] = AN$3) *
(Table_BangLuong_TyLeTangCa[Giờ min]&lt;=$AA16) *
(Table_BangLuong_TyLeTangCa[Giờ max]&gt;$AA16)
)))),
IF(AND($AA16-$Z$4 &gt;= AN$5,$AA16 &lt; AN$4),0,
SUM(_xlfn._xlws.FILTER(Table_BangLuong_TyLeTangCa[Tỷ lệ],
(Table_BangLuong_TyLeTangCa[Ngày] = AN$3) *
(Table_BangLuong_TyLeTangCa[Giờ min]&lt;=$AA16) *
(Table_BangLuong_TyLeTangCa[Giờ max]&gt;$AA16)
))))
),
IF(ISBLANK(AN$7),
IF(VLOOKUP(AN$6, Table_ChiPhiNV_Ca[], COUNTA(Table_ChiPhiNV_Ca[[#Headers],[Ca]:[Kết thúc]]),0)&gt; VLOOKUP(AN$6, Table_ChiPhiNV_Ca[], COUNTA(Table_ChiPhiNV_Ca[[#Headers],[Ca]:[Bắt đầu]]),0),
IF($AA16-$Z$4&lt;MAX(AN$4,VLOOKUP(AN$6, Table_ChiPhiNV_Ca[], COUNTA(Table_ChiPhiNV_Ca[[#Headers],[Ca]:[Bắt đầu]]),0)),0,
IF($AA16&gt;MIN(AN$5,VLOOKUP(AN$6, Table_ChiPhiNV_Ca[], COUNTA(Table_ChiPhiNV_Ca[[#Headers],[Ca]:[Kết thúc]]),0)),0,
SUM(_xlfn._xlws.FILTER(Table_BangLuong_TyLeTangCa[Tỷ lệ],
(Table_BangLuong_TyLeTangCa[Ngày] = "Thường") *
(Table_BangLuong_TyLeTangCa[Giờ min]&lt;=$AA16) *
(Table_BangLuong_TyLeTangCa[Giờ max]&gt;$AA16)
)))),
IF(AN$4 &gt; AN$5,
IF(
AND(
$AA16-$Z$4&lt;MAX(AN$4,VLOOKUP(AN$6, Table_ChiPhiNV_Ca[], COUNTA(Table_ChiPhiNV_Ca[[#Headers],[Ca]:[Bắt đầu]]),0)),
$AA16&gt;MIN(AN$5,VLOOKUP(AN$6, Table_ChiPhiNV_Ca[], COUNTA(Table_ChiPhiNV_Ca[[#Headers],[Ca]:[Kết thúc]]),0))),0,
SUM(_xlfn._xlws.FILTER(Table_BangLuong_TyLeTangCa[Tỷ lệ],
(Table_BangLuong_TyLeTangCa[Ngày] = "Thường") *
(Table_BangLuong_TyLeTangCa[Giờ min]&lt;=$AA16) *
(Table_BangLuong_TyLeTangCa[Giờ max]&gt;$AA16)
))),
IF(
AND(
$AA16-$Z$4&gt;=MAX(AN$4,VLOOKUP(AN$6, Table_ChiPhiNV_Ca[], COUNTA(Table_ChiPhiNV_Ca[[#Headers],[Ca]:[Bắt đầu]]),0)),
$AA16&lt;MIN(AN$5,VLOOKUP(AN$6, Table_ChiPhiNV_Ca[], COUNTA(Table_ChiPhiNV_Ca[[#Headers],[Ca]:[Kết thúc]]),0))),
SUM(_xlfn._xlws.FILTER(Table_BangLuong_TyLeTangCa[Tỷ lệ],
(Table_BangLuong_TyLeTangCa[Ngày] = "Thường") *
(Table_BangLuong_TyLeTangCa[Giờ min]&lt;=$AA16) *
(Table_BangLuong_TyLeTangCa[Giờ max]&gt;$AA16)
)),0)
)),
IF(AN$4 &lt; AN$5,
IF($AA16-$Z$4&lt;AN$4,0,
IF($AA16&gt;AN$5,0,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AN$5,$AA16 &lt; AN$4),0,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O16" s="18" cm="1">
        <f t="array" ref="AO16" xml:space="preserve">
IFERROR(
IF(AO$1="",0,
IF(AND(
$AA16&gt;=VLOOKUP(AO$6, Table_ChiPhiNV_Ca[], COUNTA(Table_ChiPhiNV_Ca[[#Headers],[Ca]:[Bắt đầu nghỉ]]),0),
$AA16&lt;VLOOKUP(AO$6, Table_ChiPhiNV_Ca[], COUNTA(Table_ChiPhiNV_Ca[[#Headers],[Ca]:[Kết thúc nghỉ]]),0)
),0,
IF(NOT(ISBLANK(AO$3)),
IF(ISBLANK(AO$7),0,
IF(AO$4 &lt; AO$5,
IF($AA16-$Z$4&lt;AO$4,0,
IF($AA16&gt;AO$5,0,
SUM(_xlfn._xlws.FILTER(Table_BangLuong_TyLeTangCa[Tỷ lệ],
(Table_BangLuong_TyLeTangCa[Ngày] = AO$3) *
(Table_BangLuong_TyLeTangCa[Giờ min]&lt;=$AA16) *
(Table_BangLuong_TyLeTangCa[Giờ max]&gt;$AA16)
)))),
IF(AND($AA16-$Z$4 &gt;= AO$5,$AA16 &lt; AO$4),0,
SUM(_xlfn._xlws.FILTER(Table_BangLuong_TyLeTangCa[Tỷ lệ],
(Table_BangLuong_TyLeTangCa[Ngày] = AO$3) *
(Table_BangLuong_TyLeTangCa[Giờ min]&lt;=$AA16) *
(Table_BangLuong_TyLeTangCa[Giờ max]&gt;$AA16)
))))
),
IF(ISBLANK(AO$7),
IF(VLOOKUP(AO$6, Table_ChiPhiNV_Ca[], COUNTA(Table_ChiPhiNV_Ca[[#Headers],[Ca]:[Kết thúc]]),0)&gt; VLOOKUP(AO$6, Table_ChiPhiNV_Ca[], COUNTA(Table_ChiPhiNV_Ca[[#Headers],[Ca]:[Bắt đầu]]),0),
IF($AA16-$Z$4&lt;MAX(AO$4,VLOOKUP(AO$6, Table_ChiPhiNV_Ca[], COUNTA(Table_ChiPhiNV_Ca[[#Headers],[Ca]:[Bắt đầu]]),0)),0,
IF($AA16&gt;MIN(AO$5,VLOOKUP(AO$6, Table_ChiPhiNV_Ca[], COUNTA(Table_ChiPhiNV_Ca[[#Headers],[Ca]:[Kết thúc]]),0)),0,
SUM(_xlfn._xlws.FILTER(Table_BangLuong_TyLeTangCa[Tỷ lệ],
(Table_BangLuong_TyLeTangCa[Ngày] = "Thường") *
(Table_BangLuong_TyLeTangCa[Giờ min]&lt;=$AA16) *
(Table_BangLuong_TyLeTangCa[Giờ max]&gt;$AA16)
)))),
IF(AO$4 &gt; AO$5,
IF(
AND(
$AA16-$Z$4&lt;MAX(AO$4,VLOOKUP(AO$6, Table_ChiPhiNV_Ca[], COUNTA(Table_ChiPhiNV_Ca[[#Headers],[Ca]:[Bắt đầu]]),0)),
$AA16&gt;MIN(AO$5,VLOOKUP(AO$6, Table_ChiPhiNV_Ca[], COUNTA(Table_ChiPhiNV_Ca[[#Headers],[Ca]:[Kết thúc]]),0))),0,
SUM(_xlfn._xlws.FILTER(Table_BangLuong_TyLeTangCa[Tỷ lệ],
(Table_BangLuong_TyLeTangCa[Ngày] = "Thường") *
(Table_BangLuong_TyLeTangCa[Giờ min]&lt;=$AA16) *
(Table_BangLuong_TyLeTangCa[Giờ max]&gt;$AA16)
))),
IF(
AND(
$AA16-$Z$4&gt;=MAX(AO$4,VLOOKUP(AO$6, Table_ChiPhiNV_Ca[], COUNTA(Table_ChiPhiNV_Ca[[#Headers],[Ca]:[Bắt đầu]]),0)),
$AA16&lt;MIN(AO$5,VLOOKUP(AO$6, Table_ChiPhiNV_Ca[], COUNTA(Table_ChiPhiNV_Ca[[#Headers],[Ca]:[Kết thúc]]),0))),
SUM(_xlfn._xlws.FILTER(Table_BangLuong_TyLeTangCa[Tỷ lệ],
(Table_BangLuong_TyLeTangCa[Ngày] = "Thường") *
(Table_BangLuong_TyLeTangCa[Giờ min]&lt;=$AA16) *
(Table_BangLuong_TyLeTangCa[Giờ max]&gt;$AA16)
)),0)
)),
IF(AO$4 &lt; AO$5,
IF($AA16-$Z$4&lt;AO$4,0,
IF($AA16&gt;AO$5,0,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AO$5,$AA16 &lt; AO$4),0,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P16" s="18" cm="1">
        <f t="array" ref="AP16" xml:space="preserve">
IFERROR(
IF(AP$1="",0,
IF(AND(
$AA16&gt;=VLOOKUP(AP$6, Table_ChiPhiNV_Ca[], COUNTA(Table_ChiPhiNV_Ca[[#Headers],[Ca]:[Bắt đầu nghỉ]]),0),
$AA16&lt;VLOOKUP(AP$6, Table_ChiPhiNV_Ca[], COUNTA(Table_ChiPhiNV_Ca[[#Headers],[Ca]:[Kết thúc nghỉ]]),0)
),0,
IF(NOT(ISBLANK(AP$3)),
IF(ISBLANK(AP$7),0,
IF(AP$4 &lt; AP$5,
IF($AA16-$Z$4&lt;AP$4,0,
IF($AA16&gt;AP$5,0,
SUM(_xlfn._xlws.FILTER(Table_BangLuong_TyLeTangCa[Tỷ lệ],
(Table_BangLuong_TyLeTangCa[Ngày] = AP$3) *
(Table_BangLuong_TyLeTangCa[Giờ min]&lt;=$AA16) *
(Table_BangLuong_TyLeTangCa[Giờ max]&gt;$AA16)
)))),
IF(AND($AA16-$Z$4 &gt;= AP$5,$AA16 &lt; AP$4),0,
SUM(_xlfn._xlws.FILTER(Table_BangLuong_TyLeTangCa[Tỷ lệ],
(Table_BangLuong_TyLeTangCa[Ngày] = AP$3) *
(Table_BangLuong_TyLeTangCa[Giờ min]&lt;=$AA16) *
(Table_BangLuong_TyLeTangCa[Giờ max]&gt;$AA16)
))))
),
IF(ISBLANK(AP$7),
IF(VLOOKUP(AP$6, Table_ChiPhiNV_Ca[], COUNTA(Table_ChiPhiNV_Ca[[#Headers],[Ca]:[Kết thúc]]),0)&gt; VLOOKUP(AP$6, Table_ChiPhiNV_Ca[], COUNTA(Table_ChiPhiNV_Ca[[#Headers],[Ca]:[Bắt đầu]]),0),
IF($AA16-$Z$4&lt;MAX(AP$4,VLOOKUP(AP$6, Table_ChiPhiNV_Ca[], COUNTA(Table_ChiPhiNV_Ca[[#Headers],[Ca]:[Bắt đầu]]),0)),0,
IF($AA16&gt;MIN(AP$5,VLOOKUP(AP$6, Table_ChiPhiNV_Ca[], COUNTA(Table_ChiPhiNV_Ca[[#Headers],[Ca]:[Kết thúc]]),0)),0,
SUM(_xlfn._xlws.FILTER(Table_BangLuong_TyLeTangCa[Tỷ lệ],
(Table_BangLuong_TyLeTangCa[Ngày] = "Thường") *
(Table_BangLuong_TyLeTangCa[Giờ min]&lt;=$AA16) *
(Table_BangLuong_TyLeTangCa[Giờ max]&gt;$AA16)
)))),
IF(AP$4 &gt; AP$5,
IF(
AND(
$AA16-$Z$4&lt;MAX(AP$4,VLOOKUP(AP$6, Table_ChiPhiNV_Ca[], COUNTA(Table_ChiPhiNV_Ca[[#Headers],[Ca]:[Bắt đầu]]),0)),
$AA16&gt;MIN(AP$5,VLOOKUP(AP$6, Table_ChiPhiNV_Ca[], COUNTA(Table_ChiPhiNV_Ca[[#Headers],[Ca]:[Kết thúc]]),0))),0,
SUM(_xlfn._xlws.FILTER(Table_BangLuong_TyLeTangCa[Tỷ lệ],
(Table_BangLuong_TyLeTangCa[Ngày] = "Thường") *
(Table_BangLuong_TyLeTangCa[Giờ min]&lt;=$AA16) *
(Table_BangLuong_TyLeTangCa[Giờ max]&gt;$AA16)
))),
IF(
AND(
$AA16-$Z$4&gt;=MAX(AP$4,VLOOKUP(AP$6, Table_ChiPhiNV_Ca[], COUNTA(Table_ChiPhiNV_Ca[[#Headers],[Ca]:[Bắt đầu]]),0)),
$AA16&lt;MIN(AP$5,VLOOKUP(AP$6, Table_ChiPhiNV_Ca[], COUNTA(Table_ChiPhiNV_Ca[[#Headers],[Ca]:[Kết thúc]]),0))),
SUM(_xlfn._xlws.FILTER(Table_BangLuong_TyLeTangCa[Tỷ lệ],
(Table_BangLuong_TyLeTangCa[Ngày] = "Thường") *
(Table_BangLuong_TyLeTangCa[Giờ min]&lt;=$AA16) *
(Table_BangLuong_TyLeTangCa[Giờ max]&gt;$AA16)
)),0)
)),
IF(AP$4 &lt; AP$5,
IF($AA16-$Z$4&lt;AP$4,0,
IF($AA16&gt;AP$5,0,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AP$5,$AA16 &lt; AP$4),0,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Q16" s="18" cm="1">
        <f t="array" ref="AQ16" xml:space="preserve">
IFERROR(
IF(AQ$1="",0,
IF(AND(
$AA16&gt;=VLOOKUP(AQ$6, Table_ChiPhiNV_Ca[], COUNTA(Table_ChiPhiNV_Ca[[#Headers],[Ca]:[Bắt đầu nghỉ]]),0),
$AA16&lt;VLOOKUP(AQ$6, Table_ChiPhiNV_Ca[], COUNTA(Table_ChiPhiNV_Ca[[#Headers],[Ca]:[Kết thúc nghỉ]]),0)
),0,
IF(NOT(ISBLANK(AQ$3)),
IF(ISBLANK(AQ$7),0,
IF(AQ$4 &lt; AQ$5,
IF($AA16-$Z$4&lt;AQ$4,0,
IF($AA16&gt;AQ$5,0,
SUM(_xlfn._xlws.FILTER(Table_BangLuong_TyLeTangCa[Tỷ lệ],
(Table_BangLuong_TyLeTangCa[Ngày] = AQ$3) *
(Table_BangLuong_TyLeTangCa[Giờ min]&lt;=$AA16) *
(Table_BangLuong_TyLeTangCa[Giờ max]&gt;$AA16)
)))),
IF(AND($AA16-$Z$4 &gt;= AQ$5,$AA16 &lt; AQ$4),0,
SUM(_xlfn._xlws.FILTER(Table_BangLuong_TyLeTangCa[Tỷ lệ],
(Table_BangLuong_TyLeTangCa[Ngày] = AQ$3) *
(Table_BangLuong_TyLeTangCa[Giờ min]&lt;=$AA16) *
(Table_BangLuong_TyLeTangCa[Giờ max]&gt;$AA16)
))))
),
IF(ISBLANK(AQ$7),
IF(VLOOKUP(AQ$6, Table_ChiPhiNV_Ca[], COUNTA(Table_ChiPhiNV_Ca[[#Headers],[Ca]:[Kết thúc]]),0)&gt; VLOOKUP(AQ$6, Table_ChiPhiNV_Ca[], COUNTA(Table_ChiPhiNV_Ca[[#Headers],[Ca]:[Bắt đầu]]),0),
IF($AA16-$Z$4&lt;MAX(AQ$4,VLOOKUP(AQ$6, Table_ChiPhiNV_Ca[], COUNTA(Table_ChiPhiNV_Ca[[#Headers],[Ca]:[Bắt đầu]]),0)),0,
IF($AA16&gt;MIN(AQ$5,VLOOKUP(AQ$6, Table_ChiPhiNV_Ca[], COUNTA(Table_ChiPhiNV_Ca[[#Headers],[Ca]:[Kết thúc]]),0)),0,
SUM(_xlfn._xlws.FILTER(Table_BangLuong_TyLeTangCa[Tỷ lệ],
(Table_BangLuong_TyLeTangCa[Ngày] = "Thường") *
(Table_BangLuong_TyLeTangCa[Giờ min]&lt;=$AA16) *
(Table_BangLuong_TyLeTangCa[Giờ max]&gt;$AA16)
)))),
IF(AQ$4 &gt; AQ$5,
IF(
AND(
$AA16-$Z$4&lt;MAX(AQ$4,VLOOKUP(AQ$6, Table_ChiPhiNV_Ca[], COUNTA(Table_ChiPhiNV_Ca[[#Headers],[Ca]:[Bắt đầu]]),0)),
$AA16&gt;MIN(AQ$5,VLOOKUP(AQ$6, Table_ChiPhiNV_Ca[], COUNTA(Table_ChiPhiNV_Ca[[#Headers],[Ca]:[Kết thúc]]),0))),0,
SUM(_xlfn._xlws.FILTER(Table_BangLuong_TyLeTangCa[Tỷ lệ],
(Table_BangLuong_TyLeTangCa[Ngày] = "Thường") *
(Table_BangLuong_TyLeTangCa[Giờ min]&lt;=$AA16) *
(Table_BangLuong_TyLeTangCa[Giờ max]&gt;$AA16)
))),
IF(
AND(
$AA16-$Z$4&gt;=MAX(AQ$4,VLOOKUP(AQ$6, Table_ChiPhiNV_Ca[], COUNTA(Table_ChiPhiNV_Ca[[#Headers],[Ca]:[Bắt đầu]]),0)),
$AA16&lt;MIN(AQ$5,VLOOKUP(AQ$6, Table_ChiPhiNV_Ca[], COUNTA(Table_ChiPhiNV_Ca[[#Headers],[Ca]:[Kết thúc]]),0))),
SUM(_xlfn._xlws.FILTER(Table_BangLuong_TyLeTangCa[Tỷ lệ],
(Table_BangLuong_TyLeTangCa[Ngày] = "Thường") *
(Table_BangLuong_TyLeTangCa[Giờ min]&lt;=$AA16) *
(Table_BangLuong_TyLeTangCa[Giờ max]&gt;$AA16)
)),0)
)),
IF(AQ$4 &lt; AQ$5,
IF($AA16-$Z$4&lt;AQ$4,0,
IF($AA16&gt;AQ$5,0,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AQ$5,$AA16 &lt; AQ$4),0,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R16" s="18" cm="1">
        <f t="array" ref="AR16" xml:space="preserve">
IFERROR(
IF(AR$1="",0,
IF(AND(
$AA16&gt;=VLOOKUP(AR$6, Table_ChiPhiNV_Ca[], COUNTA(Table_ChiPhiNV_Ca[[#Headers],[Ca]:[Bắt đầu nghỉ]]),0),
$AA16&lt;VLOOKUP(AR$6, Table_ChiPhiNV_Ca[], COUNTA(Table_ChiPhiNV_Ca[[#Headers],[Ca]:[Kết thúc nghỉ]]),0)
),0,
IF(NOT(ISBLANK(AR$3)),
IF(ISBLANK(AR$7),0,
IF(AR$4 &lt; AR$5,
IF($AA16-$Z$4&lt;AR$4,0,
IF($AA16&gt;AR$5,0,
SUM(_xlfn._xlws.FILTER(Table_BangLuong_TyLeTangCa[Tỷ lệ],
(Table_BangLuong_TyLeTangCa[Ngày] = AR$3) *
(Table_BangLuong_TyLeTangCa[Giờ min]&lt;=$AA16) *
(Table_BangLuong_TyLeTangCa[Giờ max]&gt;$AA16)
)))),
IF(AND($AA16-$Z$4 &gt;= AR$5,$AA16 &lt; AR$4),0,
SUM(_xlfn._xlws.FILTER(Table_BangLuong_TyLeTangCa[Tỷ lệ],
(Table_BangLuong_TyLeTangCa[Ngày] = AR$3) *
(Table_BangLuong_TyLeTangCa[Giờ min]&lt;=$AA16) *
(Table_BangLuong_TyLeTangCa[Giờ max]&gt;$AA16)
))))
),
IF(ISBLANK(AR$7),
IF(VLOOKUP(AR$6, Table_ChiPhiNV_Ca[], COUNTA(Table_ChiPhiNV_Ca[[#Headers],[Ca]:[Kết thúc]]),0)&gt; VLOOKUP(AR$6, Table_ChiPhiNV_Ca[], COUNTA(Table_ChiPhiNV_Ca[[#Headers],[Ca]:[Bắt đầu]]),0),
IF($AA16-$Z$4&lt;MAX(AR$4,VLOOKUP(AR$6, Table_ChiPhiNV_Ca[], COUNTA(Table_ChiPhiNV_Ca[[#Headers],[Ca]:[Bắt đầu]]),0)),0,
IF($AA16&gt;MIN(AR$5,VLOOKUP(AR$6, Table_ChiPhiNV_Ca[], COUNTA(Table_ChiPhiNV_Ca[[#Headers],[Ca]:[Kết thúc]]),0)),0,
SUM(_xlfn._xlws.FILTER(Table_BangLuong_TyLeTangCa[Tỷ lệ],
(Table_BangLuong_TyLeTangCa[Ngày] = "Thường") *
(Table_BangLuong_TyLeTangCa[Giờ min]&lt;=$AA16) *
(Table_BangLuong_TyLeTangCa[Giờ max]&gt;$AA16)
)))),
IF(AR$4 &gt; AR$5,
IF(
AND(
$AA16-$Z$4&lt;MAX(AR$4,VLOOKUP(AR$6, Table_ChiPhiNV_Ca[], COUNTA(Table_ChiPhiNV_Ca[[#Headers],[Ca]:[Bắt đầu]]),0)),
$AA16&gt;MIN(AR$5,VLOOKUP(AR$6, Table_ChiPhiNV_Ca[], COUNTA(Table_ChiPhiNV_Ca[[#Headers],[Ca]:[Kết thúc]]),0))),0,
SUM(_xlfn._xlws.FILTER(Table_BangLuong_TyLeTangCa[Tỷ lệ],
(Table_BangLuong_TyLeTangCa[Ngày] = "Thường") *
(Table_BangLuong_TyLeTangCa[Giờ min]&lt;=$AA16) *
(Table_BangLuong_TyLeTangCa[Giờ max]&gt;$AA16)
))),
IF(
AND(
$AA16-$Z$4&gt;=MAX(AR$4,VLOOKUP(AR$6, Table_ChiPhiNV_Ca[], COUNTA(Table_ChiPhiNV_Ca[[#Headers],[Ca]:[Bắt đầu]]),0)),
$AA16&lt;MIN(AR$5,VLOOKUP(AR$6, Table_ChiPhiNV_Ca[], COUNTA(Table_ChiPhiNV_Ca[[#Headers],[Ca]:[Kết thúc]]),0))),
SUM(_xlfn._xlws.FILTER(Table_BangLuong_TyLeTangCa[Tỷ lệ],
(Table_BangLuong_TyLeTangCa[Ngày] = "Thường") *
(Table_BangLuong_TyLeTangCa[Giờ min]&lt;=$AA16) *
(Table_BangLuong_TyLeTangCa[Giờ max]&gt;$AA16)
)),0)
)),
IF(AR$4 &lt; AR$5,
IF($AA16-$Z$4&lt;AR$4,0,
IF($AA16&gt;AR$5,0,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AR$5,$AA16 &lt; AR$4),0,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S16" s="18" cm="1">
        <f t="array" ref="AS16" xml:space="preserve">
IFERROR(
IF(AS$1="",0,
IF(AND(
$AA16&gt;=VLOOKUP(AS$6, Table_ChiPhiNV_Ca[], COUNTA(Table_ChiPhiNV_Ca[[#Headers],[Ca]:[Bắt đầu nghỉ]]),0),
$AA16&lt;VLOOKUP(AS$6, Table_ChiPhiNV_Ca[], COUNTA(Table_ChiPhiNV_Ca[[#Headers],[Ca]:[Kết thúc nghỉ]]),0)
),0,
IF(NOT(ISBLANK(AS$3)),
IF(ISBLANK(AS$7),0,
IF(AS$4 &lt; AS$5,
IF($AA16-$Z$4&lt;AS$4,0,
IF($AA16&gt;AS$5,0,
SUM(_xlfn._xlws.FILTER(Table_BangLuong_TyLeTangCa[Tỷ lệ],
(Table_BangLuong_TyLeTangCa[Ngày] = AS$3) *
(Table_BangLuong_TyLeTangCa[Giờ min]&lt;=$AA16) *
(Table_BangLuong_TyLeTangCa[Giờ max]&gt;$AA16)
)))),
IF(AND($AA16-$Z$4 &gt;= AS$5,$AA16 &lt; AS$4),0,
SUM(_xlfn._xlws.FILTER(Table_BangLuong_TyLeTangCa[Tỷ lệ],
(Table_BangLuong_TyLeTangCa[Ngày] = AS$3) *
(Table_BangLuong_TyLeTangCa[Giờ min]&lt;=$AA16) *
(Table_BangLuong_TyLeTangCa[Giờ max]&gt;$AA16)
))))
),
IF(ISBLANK(AS$7),
IF(VLOOKUP(AS$6, Table_ChiPhiNV_Ca[], COUNTA(Table_ChiPhiNV_Ca[[#Headers],[Ca]:[Kết thúc]]),0)&gt; VLOOKUP(AS$6, Table_ChiPhiNV_Ca[], COUNTA(Table_ChiPhiNV_Ca[[#Headers],[Ca]:[Bắt đầu]]),0),
IF($AA16-$Z$4&lt;MAX(AS$4,VLOOKUP(AS$6, Table_ChiPhiNV_Ca[], COUNTA(Table_ChiPhiNV_Ca[[#Headers],[Ca]:[Bắt đầu]]),0)),0,
IF($AA16&gt;MIN(AS$5,VLOOKUP(AS$6, Table_ChiPhiNV_Ca[], COUNTA(Table_ChiPhiNV_Ca[[#Headers],[Ca]:[Kết thúc]]),0)),0,
SUM(_xlfn._xlws.FILTER(Table_BangLuong_TyLeTangCa[Tỷ lệ],
(Table_BangLuong_TyLeTangCa[Ngày] = "Thường") *
(Table_BangLuong_TyLeTangCa[Giờ min]&lt;=$AA16) *
(Table_BangLuong_TyLeTangCa[Giờ max]&gt;$AA16)
)))),
IF(AS$4 &gt; AS$5,
IF(
AND(
$AA16-$Z$4&lt;MAX(AS$4,VLOOKUP(AS$6, Table_ChiPhiNV_Ca[], COUNTA(Table_ChiPhiNV_Ca[[#Headers],[Ca]:[Bắt đầu]]),0)),
$AA16&gt;MIN(AS$5,VLOOKUP(AS$6, Table_ChiPhiNV_Ca[], COUNTA(Table_ChiPhiNV_Ca[[#Headers],[Ca]:[Kết thúc]]),0))),0,
SUM(_xlfn._xlws.FILTER(Table_BangLuong_TyLeTangCa[Tỷ lệ],
(Table_BangLuong_TyLeTangCa[Ngày] = "Thường") *
(Table_BangLuong_TyLeTangCa[Giờ min]&lt;=$AA16) *
(Table_BangLuong_TyLeTangCa[Giờ max]&gt;$AA16)
))),
IF(
AND(
$AA16-$Z$4&gt;=MAX(AS$4,VLOOKUP(AS$6, Table_ChiPhiNV_Ca[], COUNTA(Table_ChiPhiNV_Ca[[#Headers],[Ca]:[Bắt đầu]]),0)),
$AA16&lt;MIN(AS$5,VLOOKUP(AS$6, Table_ChiPhiNV_Ca[], COUNTA(Table_ChiPhiNV_Ca[[#Headers],[Ca]:[Kết thúc]]),0))),
SUM(_xlfn._xlws.FILTER(Table_BangLuong_TyLeTangCa[Tỷ lệ],
(Table_BangLuong_TyLeTangCa[Ngày] = "Thường") *
(Table_BangLuong_TyLeTangCa[Giờ min]&lt;=$AA16) *
(Table_BangLuong_TyLeTangCa[Giờ max]&gt;$AA16)
)),0)
)),
IF(AS$4 &lt; AS$5,
IF($AA16-$Z$4&lt;AS$4,0,
IF($AA16&gt;AS$5,0,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AS$5,$AA16 &lt; AS$4),0,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T16" s="18" cm="1">
        <f t="array" ref="AT16" xml:space="preserve">
IFERROR(
IF(AT$1="",0,
IF(AND(
$AA16&gt;=VLOOKUP(AT$6, Table_ChiPhiNV_Ca[], COUNTA(Table_ChiPhiNV_Ca[[#Headers],[Ca]:[Bắt đầu nghỉ]]),0),
$AA16&lt;VLOOKUP(AT$6, Table_ChiPhiNV_Ca[], COUNTA(Table_ChiPhiNV_Ca[[#Headers],[Ca]:[Kết thúc nghỉ]]),0)
),0,
IF(NOT(ISBLANK(AT$3)),
IF(ISBLANK(AT$7),0,
IF(AT$4 &lt; AT$5,
IF($AA16-$Z$4&lt;AT$4,0,
IF($AA16&gt;AT$5,0,
SUM(_xlfn._xlws.FILTER(Table_BangLuong_TyLeTangCa[Tỷ lệ],
(Table_BangLuong_TyLeTangCa[Ngày] = AT$3) *
(Table_BangLuong_TyLeTangCa[Giờ min]&lt;=$AA16) *
(Table_BangLuong_TyLeTangCa[Giờ max]&gt;$AA16)
)))),
IF(AND($AA16-$Z$4 &gt;= AT$5,$AA16 &lt; AT$4),0,
SUM(_xlfn._xlws.FILTER(Table_BangLuong_TyLeTangCa[Tỷ lệ],
(Table_BangLuong_TyLeTangCa[Ngày] = AT$3) *
(Table_BangLuong_TyLeTangCa[Giờ min]&lt;=$AA16) *
(Table_BangLuong_TyLeTangCa[Giờ max]&gt;$AA16)
))))
),
IF(ISBLANK(AT$7),
IF(VLOOKUP(AT$6, Table_ChiPhiNV_Ca[], COUNTA(Table_ChiPhiNV_Ca[[#Headers],[Ca]:[Kết thúc]]),0)&gt; VLOOKUP(AT$6, Table_ChiPhiNV_Ca[], COUNTA(Table_ChiPhiNV_Ca[[#Headers],[Ca]:[Bắt đầu]]),0),
IF($AA16-$Z$4&lt;MAX(AT$4,VLOOKUP(AT$6, Table_ChiPhiNV_Ca[], COUNTA(Table_ChiPhiNV_Ca[[#Headers],[Ca]:[Bắt đầu]]),0)),0,
IF($AA16&gt;MIN(AT$5,VLOOKUP(AT$6, Table_ChiPhiNV_Ca[], COUNTA(Table_ChiPhiNV_Ca[[#Headers],[Ca]:[Kết thúc]]),0)),0,
SUM(_xlfn._xlws.FILTER(Table_BangLuong_TyLeTangCa[Tỷ lệ],
(Table_BangLuong_TyLeTangCa[Ngày] = "Thường") *
(Table_BangLuong_TyLeTangCa[Giờ min]&lt;=$AA16) *
(Table_BangLuong_TyLeTangCa[Giờ max]&gt;$AA16)
)))),
IF(AT$4 &gt; AT$5,
IF(
AND(
$AA16-$Z$4&lt;MAX(AT$4,VLOOKUP(AT$6, Table_ChiPhiNV_Ca[], COUNTA(Table_ChiPhiNV_Ca[[#Headers],[Ca]:[Bắt đầu]]),0)),
$AA16&gt;MIN(AT$5,VLOOKUP(AT$6, Table_ChiPhiNV_Ca[], COUNTA(Table_ChiPhiNV_Ca[[#Headers],[Ca]:[Kết thúc]]),0))),0,
SUM(_xlfn._xlws.FILTER(Table_BangLuong_TyLeTangCa[Tỷ lệ],
(Table_BangLuong_TyLeTangCa[Ngày] = "Thường") *
(Table_BangLuong_TyLeTangCa[Giờ min]&lt;=$AA16) *
(Table_BangLuong_TyLeTangCa[Giờ max]&gt;$AA16)
))),
IF(
AND(
$AA16-$Z$4&gt;=MAX(AT$4,VLOOKUP(AT$6, Table_ChiPhiNV_Ca[], COUNTA(Table_ChiPhiNV_Ca[[#Headers],[Ca]:[Bắt đầu]]),0)),
$AA16&lt;MIN(AT$5,VLOOKUP(AT$6, Table_ChiPhiNV_Ca[], COUNTA(Table_ChiPhiNV_Ca[[#Headers],[Ca]:[Kết thúc]]),0))),
SUM(_xlfn._xlws.FILTER(Table_BangLuong_TyLeTangCa[Tỷ lệ],
(Table_BangLuong_TyLeTangCa[Ngày] = "Thường") *
(Table_BangLuong_TyLeTangCa[Giờ min]&lt;=$AA16) *
(Table_BangLuong_TyLeTangCa[Giờ max]&gt;$AA16)
)),0)
)),
IF(AT$4 &lt; AT$5,
IF($AA16-$Z$4&lt;AT$4,0,
IF($AA16&gt;AT$5,0,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AT$5,$AA16 &lt; AT$4),0,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U16" s="18" cm="1">
        <f t="array" ref="AU16" xml:space="preserve">
IFERROR(
IF(AU$1="",0,
IF(AND(
$AA16&gt;=VLOOKUP(AU$6, Table_ChiPhiNV_Ca[], COUNTA(Table_ChiPhiNV_Ca[[#Headers],[Ca]:[Bắt đầu nghỉ]]),0),
$AA16&lt;VLOOKUP(AU$6, Table_ChiPhiNV_Ca[], COUNTA(Table_ChiPhiNV_Ca[[#Headers],[Ca]:[Kết thúc nghỉ]]),0)
),0,
IF(NOT(ISBLANK(AU$3)),
IF(ISBLANK(AU$7),0,
IF(AU$4 &lt; AU$5,
IF($AA16-$Z$4&lt;AU$4,0,
IF($AA16&gt;AU$5,0,
SUM(_xlfn._xlws.FILTER(Table_BangLuong_TyLeTangCa[Tỷ lệ],
(Table_BangLuong_TyLeTangCa[Ngày] = AU$3) *
(Table_BangLuong_TyLeTangCa[Giờ min]&lt;=$AA16) *
(Table_BangLuong_TyLeTangCa[Giờ max]&gt;$AA16)
)))),
IF(AND($AA16-$Z$4 &gt;= AU$5,$AA16 &lt; AU$4),0,
SUM(_xlfn._xlws.FILTER(Table_BangLuong_TyLeTangCa[Tỷ lệ],
(Table_BangLuong_TyLeTangCa[Ngày] = AU$3) *
(Table_BangLuong_TyLeTangCa[Giờ min]&lt;=$AA16) *
(Table_BangLuong_TyLeTangCa[Giờ max]&gt;$AA16)
))))
),
IF(ISBLANK(AU$7),
IF(VLOOKUP(AU$6, Table_ChiPhiNV_Ca[], COUNTA(Table_ChiPhiNV_Ca[[#Headers],[Ca]:[Kết thúc]]),0)&gt; VLOOKUP(AU$6, Table_ChiPhiNV_Ca[], COUNTA(Table_ChiPhiNV_Ca[[#Headers],[Ca]:[Bắt đầu]]),0),
IF($AA16-$Z$4&lt;MAX(AU$4,VLOOKUP(AU$6, Table_ChiPhiNV_Ca[], COUNTA(Table_ChiPhiNV_Ca[[#Headers],[Ca]:[Bắt đầu]]),0)),0,
IF($AA16&gt;MIN(AU$5,VLOOKUP(AU$6, Table_ChiPhiNV_Ca[], COUNTA(Table_ChiPhiNV_Ca[[#Headers],[Ca]:[Kết thúc]]),0)),0,
SUM(_xlfn._xlws.FILTER(Table_BangLuong_TyLeTangCa[Tỷ lệ],
(Table_BangLuong_TyLeTangCa[Ngày] = "Thường") *
(Table_BangLuong_TyLeTangCa[Giờ min]&lt;=$AA16) *
(Table_BangLuong_TyLeTangCa[Giờ max]&gt;$AA16)
)))),
IF(AU$4 &gt; AU$5,
IF(
AND(
$AA16-$Z$4&lt;MAX(AU$4,VLOOKUP(AU$6, Table_ChiPhiNV_Ca[], COUNTA(Table_ChiPhiNV_Ca[[#Headers],[Ca]:[Bắt đầu]]),0)),
$AA16&gt;MIN(AU$5,VLOOKUP(AU$6, Table_ChiPhiNV_Ca[], COUNTA(Table_ChiPhiNV_Ca[[#Headers],[Ca]:[Kết thúc]]),0))),0,
SUM(_xlfn._xlws.FILTER(Table_BangLuong_TyLeTangCa[Tỷ lệ],
(Table_BangLuong_TyLeTangCa[Ngày] = "Thường") *
(Table_BangLuong_TyLeTangCa[Giờ min]&lt;=$AA16) *
(Table_BangLuong_TyLeTangCa[Giờ max]&gt;$AA16)
))),
IF(
AND(
$AA16-$Z$4&gt;=MAX(AU$4,VLOOKUP(AU$6, Table_ChiPhiNV_Ca[], COUNTA(Table_ChiPhiNV_Ca[[#Headers],[Ca]:[Bắt đầu]]),0)),
$AA16&lt;MIN(AU$5,VLOOKUP(AU$6, Table_ChiPhiNV_Ca[], COUNTA(Table_ChiPhiNV_Ca[[#Headers],[Ca]:[Kết thúc]]),0))),
SUM(_xlfn._xlws.FILTER(Table_BangLuong_TyLeTangCa[Tỷ lệ],
(Table_BangLuong_TyLeTangCa[Ngày] = "Thường") *
(Table_BangLuong_TyLeTangCa[Giờ min]&lt;=$AA16) *
(Table_BangLuong_TyLeTangCa[Giờ max]&gt;$AA16)
)),0)
)),
IF(AU$4 &lt; AU$5,
IF($AA16-$Z$4&lt;AU$4,0,
IF($AA16&gt;AU$5,0,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AU$5,$AA16 &lt; AU$4),0,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V16" s="18" cm="1">
        <f t="array" ref="AV16" xml:space="preserve">
IFERROR(
IF(AV$1="",0,
IF(AND(
$AA16&gt;=VLOOKUP(AV$6, Table_ChiPhiNV_Ca[], COUNTA(Table_ChiPhiNV_Ca[[#Headers],[Ca]:[Bắt đầu nghỉ]]),0),
$AA16&lt;VLOOKUP(AV$6, Table_ChiPhiNV_Ca[], COUNTA(Table_ChiPhiNV_Ca[[#Headers],[Ca]:[Kết thúc nghỉ]]),0)
),0,
IF(NOT(ISBLANK(AV$3)),
IF(ISBLANK(AV$7),0,
IF(AV$4 &lt; AV$5,
IF($AA16-$Z$4&lt;AV$4,0,
IF($AA16&gt;AV$5,0,
SUM(_xlfn._xlws.FILTER(Table_BangLuong_TyLeTangCa[Tỷ lệ],
(Table_BangLuong_TyLeTangCa[Ngày] = AV$3) *
(Table_BangLuong_TyLeTangCa[Giờ min]&lt;=$AA16) *
(Table_BangLuong_TyLeTangCa[Giờ max]&gt;$AA16)
)))),
IF(AND($AA16-$Z$4 &gt;= AV$5,$AA16 &lt; AV$4),0,
SUM(_xlfn._xlws.FILTER(Table_BangLuong_TyLeTangCa[Tỷ lệ],
(Table_BangLuong_TyLeTangCa[Ngày] = AV$3) *
(Table_BangLuong_TyLeTangCa[Giờ min]&lt;=$AA16) *
(Table_BangLuong_TyLeTangCa[Giờ max]&gt;$AA16)
))))
),
IF(ISBLANK(AV$7),
IF(VLOOKUP(AV$6, Table_ChiPhiNV_Ca[], COUNTA(Table_ChiPhiNV_Ca[[#Headers],[Ca]:[Kết thúc]]),0)&gt; VLOOKUP(AV$6, Table_ChiPhiNV_Ca[], COUNTA(Table_ChiPhiNV_Ca[[#Headers],[Ca]:[Bắt đầu]]),0),
IF($AA16-$Z$4&lt;MAX(AV$4,VLOOKUP(AV$6, Table_ChiPhiNV_Ca[], COUNTA(Table_ChiPhiNV_Ca[[#Headers],[Ca]:[Bắt đầu]]),0)),0,
IF($AA16&gt;MIN(AV$5,VLOOKUP(AV$6, Table_ChiPhiNV_Ca[], COUNTA(Table_ChiPhiNV_Ca[[#Headers],[Ca]:[Kết thúc]]),0)),0,
SUM(_xlfn._xlws.FILTER(Table_BangLuong_TyLeTangCa[Tỷ lệ],
(Table_BangLuong_TyLeTangCa[Ngày] = "Thường") *
(Table_BangLuong_TyLeTangCa[Giờ min]&lt;=$AA16) *
(Table_BangLuong_TyLeTangCa[Giờ max]&gt;$AA16)
)))),
IF(AV$4 &gt; AV$5,
IF(
AND(
$AA16-$Z$4&lt;MAX(AV$4,VLOOKUP(AV$6, Table_ChiPhiNV_Ca[], COUNTA(Table_ChiPhiNV_Ca[[#Headers],[Ca]:[Bắt đầu]]),0)),
$AA16&gt;MIN(AV$5,VLOOKUP(AV$6, Table_ChiPhiNV_Ca[], COUNTA(Table_ChiPhiNV_Ca[[#Headers],[Ca]:[Kết thúc]]),0))),0,
SUM(_xlfn._xlws.FILTER(Table_BangLuong_TyLeTangCa[Tỷ lệ],
(Table_BangLuong_TyLeTangCa[Ngày] = "Thường") *
(Table_BangLuong_TyLeTangCa[Giờ min]&lt;=$AA16) *
(Table_BangLuong_TyLeTangCa[Giờ max]&gt;$AA16)
))),
IF(
AND(
$AA16-$Z$4&gt;=MAX(AV$4,VLOOKUP(AV$6, Table_ChiPhiNV_Ca[], COUNTA(Table_ChiPhiNV_Ca[[#Headers],[Ca]:[Bắt đầu]]),0)),
$AA16&lt;MIN(AV$5,VLOOKUP(AV$6, Table_ChiPhiNV_Ca[], COUNTA(Table_ChiPhiNV_Ca[[#Headers],[Ca]:[Kết thúc]]),0))),
SUM(_xlfn._xlws.FILTER(Table_BangLuong_TyLeTangCa[Tỷ lệ],
(Table_BangLuong_TyLeTangCa[Ngày] = "Thường") *
(Table_BangLuong_TyLeTangCa[Giờ min]&lt;=$AA16) *
(Table_BangLuong_TyLeTangCa[Giờ max]&gt;$AA16)
)),0)
)),
IF(AV$4 &lt; AV$5,
IF($AA16-$Z$4&lt;AV$4,0,
IF($AA16&gt;AV$5,0,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AV$5,$AA16 &lt; AV$4),0,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W16" s="18" cm="1">
        <f t="array" ref="AW16" xml:space="preserve">
IFERROR(
IF(AW$1="",0,
IF(AND(
$AA16&gt;=VLOOKUP(AW$6, Table_ChiPhiNV_Ca[], COUNTA(Table_ChiPhiNV_Ca[[#Headers],[Ca]:[Bắt đầu nghỉ]]),0),
$AA16&lt;VLOOKUP(AW$6, Table_ChiPhiNV_Ca[], COUNTA(Table_ChiPhiNV_Ca[[#Headers],[Ca]:[Kết thúc nghỉ]]),0)
),0,
IF(NOT(ISBLANK(AW$3)),
IF(ISBLANK(AW$7),0,
IF(AW$4 &lt; AW$5,
IF($AA16-$Z$4&lt;AW$4,0,
IF($AA16&gt;AW$5,0,
SUM(_xlfn._xlws.FILTER(Table_BangLuong_TyLeTangCa[Tỷ lệ],
(Table_BangLuong_TyLeTangCa[Ngày] = AW$3) *
(Table_BangLuong_TyLeTangCa[Giờ min]&lt;=$AA16) *
(Table_BangLuong_TyLeTangCa[Giờ max]&gt;$AA16)
)))),
IF(AND($AA16-$Z$4 &gt;= AW$5,$AA16 &lt; AW$4),0,
SUM(_xlfn._xlws.FILTER(Table_BangLuong_TyLeTangCa[Tỷ lệ],
(Table_BangLuong_TyLeTangCa[Ngày] = AW$3) *
(Table_BangLuong_TyLeTangCa[Giờ min]&lt;=$AA16) *
(Table_BangLuong_TyLeTangCa[Giờ max]&gt;$AA16)
))))
),
IF(ISBLANK(AW$7),
IF(VLOOKUP(AW$6, Table_ChiPhiNV_Ca[], COUNTA(Table_ChiPhiNV_Ca[[#Headers],[Ca]:[Kết thúc]]),0)&gt; VLOOKUP(AW$6, Table_ChiPhiNV_Ca[], COUNTA(Table_ChiPhiNV_Ca[[#Headers],[Ca]:[Bắt đầu]]),0),
IF($AA16-$Z$4&lt;MAX(AW$4,VLOOKUP(AW$6, Table_ChiPhiNV_Ca[], COUNTA(Table_ChiPhiNV_Ca[[#Headers],[Ca]:[Bắt đầu]]),0)),0,
IF($AA16&gt;MIN(AW$5,VLOOKUP(AW$6, Table_ChiPhiNV_Ca[], COUNTA(Table_ChiPhiNV_Ca[[#Headers],[Ca]:[Kết thúc]]),0)),0,
SUM(_xlfn._xlws.FILTER(Table_BangLuong_TyLeTangCa[Tỷ lệ],
(Table_BangLuong_TyLeTangCa[Ngày] = "Thường") *
(Table_BangLuong_TyLeTangCa[Giờ min]&lt;=$AA16) *
(Table_BangLuong_TyLeTangCa[Giờ max]&gt;$AA16)
)))),
IF(AW$4 &gt; AW$5,
IF(
AND(
$AA16-$Z$4&lt;MAX(AW$4,VLOOKUP(AW$6, Table_ChiPhiNV_Ca[], COUNTA(Table_ChiPhiNV_Ca[[#Headers],[Ca]:[Bắt đầu]]),0)),
$AA16&gt;MIN(AW$5,VLOOKUP(AW$6, Table_ChiPhiNV_Ca[], COUNTA(Table_ChiPhiNV_Ca[[#Headers],[Ca]:[Kết thúc]]),0))),0,
SUM(_xlfn._xlws.FILTER(Table_BangLuong_TyLeTangCa[Tỷ lệ],
(Table_BangLuong_TyLeTangCa[Ngày] = "Thường") *
(Table_BangLuong_TyLeTangCa[Giờ min]&lt;=$AA16) *
(Table_BangLuong_TyLeTangCa[Giờ max]&gt;$AA16)
))),
IF(
AND(
$AA16-$Z$4&gt;=MAX(AW$4,VLOOKUP(AW$6, Table_ChiPhiNV_Ca[], COUNTA(Table_ChiPhiNV_Ca[[#Headers],[Ca]:[Bắt đầu]]),0)),
$AA16&lt;MIN(AW$5,VLOOKUP(AW$6, Table_ChiPhiNV_Ca[], COUNTA(Table_ChiPhiNV_Ca[[#Headers],[Ca]:[Kết thúc]]),0))),
SUM(_xlfn._xlws.FILTER(Table_BangLuong_TyLeTangCa[Tỷ lệ],
(Table_BangLuong_TyLeTangCa[Ngày] = "Thường") *
(Table_BangLuong_TyLeTangCa[Giờ min]&lt;=$AA16) *
(Table_BangLuong_TyLeTangCa[Giờ max]&gt;$AA16)
)),0)
)),
IF(AW$4 &lt; AW$5,
IF($AA16-$Z$4&lt;AW$4,0,
IF($AA16&gt;AW$5,0,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AW$5,$AA16 &lt; AW$4),0,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X16" s="18" cm="1">
        <f t="array" ref="AX16" xml:space="preserve">
IFERROR(
IF(AX$1="",0,
IF(AND(
$AA16&gt;=VLOOKUP(AX$6, Table_ChiPhiNV_Ca[], COUNTA(Table_ChiPhiNV_Ca[[#Headers],[Ca]:[Bắt đầu nghỉ]]),0),
$AA16&lt;VLOOKUP(AX$6, Table_ChiPhiNV_Ca[], COUNTA(Table_ChiPhiNV_Ca[[#Headers],[Ca]:[Kết thúc nghỉ]]),0)
),0,
IF(NOT(ISBLANK(AX$3)),
IF(ISBLANK(AX$7),0,
IF(AX$4 &lt; AX$5,
IF($AA16-$Z$4&lt;AX$4,0,
IF($AA16&gt;AX$5,0,
SUM(_xlfn._xlws.FILTER(Table_BangLuong_TyLeTangCa[Tỷ lệ],
(Table_BangLuong_TyLeTangCa[Ngày] = AX$3) *
(Table_BangLuong_TyLeTangCa[Giờ min]&lt;=$AA16) *
(Table_BangLuong_TyLeTangCa[Giờ max]&gt;$AA16)
)))),
IF(AND($AA16-$Z$4 &gt;= AX$5,$AA16 &lt; AX$4),0,
SUM(_xlfn._xlws.FILTER(Table_BangLuong_TyLeTangCa[Tỷ lệ],
(Table_BangLuong_TyLeTangCa[Ngày] = AX$3) *
(Table_BangLuong_TyLeTangCa[Giờ min]&lt;=$AA16) *
(Table_BangLuong_TyLeTangCa[Giờ max]&gt;$AA16)
))))
),
IF(ISBLANK(AX$7),
IF(VLOOKUP(AX$6, Table_ChiPhiNV_Ca[], COUNTA(Table_ChiPhiNV_Ca[[#Headers],[Ca]:[Kết thúc]]),0)&gt; VLOOKUP(AX$6, Table_ChiPhiNV_Ca[], COUNTA(Table_ChiPhiNV_Ca[[#Headers],[Ca]:[Bắt đầu]]),0),
IF($AA16-$Z$4&lt;MAX(AX$4,VLOOKUP(AX$6, Table_ChiPhiNV_Ca[], COUNTA(Table_ChiPhiNV_Ca[[#Headers],[Ca]:[Bắt đầu]]),0)),0,
IF($AA16&gt;MIN(AX$5,VLOOKUP(AX$6, Table_ChiPhiNV_Ca[], COUNTA(Table_ChiPhiNV_Ca[[#Headers],[Ca]:[Kết thúc]]),0)),0,
SUM(_xlfn._xlws.FILTER(Table_BangLuong_TyLeTangCa[Tỷ lệ],
(Table_BangLuong_TyLeTangCa[Ngày] = "Thường") *
(Table_BangLuong_TyLeTangCa[Giờ min]&lt;=$AA16) *
(Table_BangLuong_TyLeTangCa[Giờ max]&gt;$AA16)
)))),
IF(AX$4 &gt; AX$5,
IF(
AND(
$AA16-$Z$4&lt;MAX(AX$4,VLOOKUP(AX$6, Table_ChiPhiNV_Ca[], COUNTA(Table_ChiPhiNV_Ca[[#Headers],[Ca]:[Bắt đầu]]),0)),
$AA16&gt;MIN(AX$5,VLOOKUP(AX$6, Table_ChiPhiNV_Ca[], COUNTA(Table_ChiPhiNV_Ca[[#Headers],[Ca]:[Kết thúc]]),0))),0,
SUM(_xlfn._xlws.FILTER(Table_BangLuong_TyLeTangCa[Tỷ lệ],
(Table_BangLuong_TyLeTangCa[Ngày] = "Thường") *
(Table_BangLuong_TyLeTangCa[Giờ min]&lt;=$AA16) *
(Table_BangLuong_TyLeTangCa[Giờ max]&gt;$AA16)
))),
IF(
AND(
$AA16-$Z$4&gt;=MAX(AX$4,VLOOKUP(AX$6, Table_ChiPhiNV_Ca[], COUNTA(Table_ChiPhiNV_Ca[[#Headers],[Ca]:[Bắt đầu]]),0)),
$AA16&lt;MIN(AX$5,VLOOKUP(AX$6, Table_ChiPhiNV_Ca[], COUNTA(Table_ChiPhiNV_Ca[[#Headers],[Ca]:[Kết thúc]]),0))),
SUM(_xlfn._xlws.FILTER(Table_BangLuong_TyLeTangCa[Tỷ lệ],
(Table_BangLuong_TyLeTangCa[Ngày] = "Thường") *
(Table_BangLuong_TyLeTangCa[Giờ min]&lt;=$AA16) *
(Table_BangLuong_TyLeTangCa[Giờ max]&gt;$AA16)
)),0)
)),
IF(AX$4 &lt; AX$5,
IF($AA16-$Z$4&lt;AX$4,0,
IF($AA16&gt;AX$5,0,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AX$5,$AA16 &lt; AX$4),0,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Y16" s="18" cm="1">
        <f t="array" ref="AY16" xml:space="preserve">
IFERROR(
IF(AY$1="",0,
IF(AND(
$AA16&gt;=VLOOKUP(AY$6, Table_ChiPhiNV_Ca[], COUNTA(Table_ChiPhiNV_Ca[[#Headers],[Ca]:[Bắt đầu nghỉ]]),0),
$AA16&lt;VLOOKUP(AY$6, Table_ChiPhiNV_Ca[], COUNTA(Table_ChiPhiNV_Ca[[#Headers],[Ca]:[Kết thúc nghỉ]]),0)
),0,
IF(NOT(ISBLANK(AY$3)),
IF(ISBLANK(AY$7),0,
IF(AY$4 &lt; AY$5,
IF($AA16-$Z$4&lt;AY$4,0,
IF($AA16&gt;AY$5,0,
SUM(_xlfn._xlws.FILTER(Table_BangLuong_TyLeTangCa[Tỷ lệ],
(Table_BangLuong_TyLeTangCa[Ngày] = AY$3) *
(Table_BangLuong_TyLeTangCa[Giờ min]&lt;=$AA16) *
(Table_BangLuong_TyLeTangCa[Giờ max]&gt;$AA16)
)))),
IF(AND($AA16-$Z$4 &gt;= AY$5,$AA16 &lt; AY$4),0,
SUM(_xlfn._xlws.FILTER(Table_BangLuong_TyLeTangCa[Tỷ lệ],
(Table_BangLuong_TyLeTangCa[Ngày] = AY$3) *
(Table_BangLuong_TyLeTangCa[Giờ min]&lt;=$AA16) *
(Table_BangLuong_TyLeTangCa[Giờ max]&gt;$AA16)
))))
),
IF(ISBLANK(AY$7),
IF(VLOOKUP(AY$6, Table_ChiPhiNV_Ca[], COUNTA(Table_ChiPhiNV_Ca[[#Headers],[Ca]:[Kết thúc]]),0)&gt; VLOOKUP(AY$6, Table_ChiPhiNV_Ca[], COUNTA(Table_ChiPhiNV_Ca[[#Headers],[Ca]:[Bắt đầu]]),0),
IF($AA16-$Z$4&lt;MAX(AY$4,VLOOKUP(AY$6, Table_ChiPhiNV_Ca[], COUNTA(Table_ChiPhiNV_Ca[[#Headers],[Ca]:[Bắt đầu]]),0)),0,
IF($AA16&gt;MIN(AY$5,VLOOKUP(AY$6, Table_ChiPhiNV_Ca[], COUNTA(Table_ChiPhiNV_Ca[[#Headers],[Ca]:[Kết thúc]]),0)),0,
SUM(_xlfn._xlws.FILTER(Table_BangLuong_TyLeTangCa[Tỷ lệ],
(Table_BangLuong_TyLeTangCa[Ngày] = "Thường") *
(Table_BangLuong_TyLeTangCa[Giờ min]&lt;=$AA16) *
(Table_BangLuong_TyLeTangCa[Giờ max]&gt;$AA16)
)))),
IF(AY$4 &gt; AY$5,
IF(
AND(
$AA16-$Z$4&lt;MAX(AY$4,VLOOKUP(AY$6, Table_ChiPhiNV_Ca[], COUNTA(Table_ChiPhiNV_Ca[[#Headers],[Ca]:[Bắt đầu]]),0)),
$AA16&gt;MIN(AY$5,VLOOKUP(AY$6, Table_ChiPhiNV_Ca[], COUNTA(Table_ChiPhiNV_Ca[[#Headers],[Ca]:[Kết thúc]]),0))),0,
SUM(_xlfn._xlws.FILTER(Table_BangLuong_TyLeTangCa[Tỷ lệ],
(Table_BangLuong_TyLeTangCa[Ngày] = "Thường") *
(Table_BangLuong_TyLeTangCa[Giờ min]&lt;=$AA16) *
(Table_BangLuong_TyLeTangCa[Giờ max]&gt;$AA16)
))),
IF(
AND(
$AA16-$Z$4&gt;=MAX(AY$4,VLOOKUP(AY$6, Table_ChiPhiNV_Ca[], COUNTA(Table_ChiPhiNV_Ca[[#Headers],[Ca]:[Bắt đầu]]),0)),
$AA16&lt;MIN(AY$5,VLOOKUP(AY$6, Table_ChiPhiNV_Ca[], COUNTA(Table_ChiPhiNV_Ca[[#Headers],[Ca]:[Kết thúc]]),0))),
SUM(_xlfn._xlws.FILTER(Table_BangLuong_TyLeTangCa[Tỷ lệ],
(Table_BangLuong_TyLeTangCa[Ngày] = "Thường") *
(Table_BangLuong_TyLeTangCa[Giờ min]&lt;=$AA16) *
(Table_BangLuong_TyLeTangCa[Giờ max]&gt;$AA16)
)),0)
)),
IF(AY$4 &lt; AY$5,
IF($AA16-$Z$4&lt;AY$4,0,
IF($AA16&gt;AY$5,0,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AY$5,$AA16 &lt; AY$4),0,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Z16" s="18" cm="1">
        <f t="array" ref="AZ16" xml:space="preserve">
IFERROR(
IF(AZ$1="",0,
IF(AND(
$AA16&gt;=VLOOKUP(AZ$6, Table_ChiPhiNV_Ca[], COUNTA(Table_ChiPhiNV_Ca[[#Headers],[Ca]:[Bắt đầu nghỉ]]),0),
$AA16&lt;VLOOKUP(AZ$6, Table_ChiPhiNV_Ca[], COUNTA(Table_ChiPhiNV_Ca[[#Headers],[Ca]:[Kết thúc nghỉ]]),0)
),0,
IF(NOT(ISBLANK(AZ$3)),
IF(ISBLANK(AZ$7),0,
IF(AZ$4 &lt; AZ$5,
IF($AA16-$Z$4&lt;AZ$4,0,
IF($AA16&gt;AZ$5,0,
SUM(_xlfn._xlws.FILTER(Table_BangLuong_TyLeTangCa[Tỷ lệ],
(Table_BangLuong_TyLeTangCa[Ngày] = AZ$3) *
(Table_BangLuong_TyLeTangCa[Giờ min]&lt;=$AA16) *
(Table_BangLuong_TyLeTangCa[Giờ max]&gt;$AA16)
)))),
IF(AND($AA16-$Z$4 &gt;= AZ$5,$AA16 &lt; AZ$4),0,
SUM(_xlfn._xlws.FILTER(Table_BangLuong_TyLeTangCa[Tỷ lệ],
(Table_BangLuong_TyLeTangCa[Ngày] = AZ$3) *
(Table_BangLuong_TyLeTangCa[Giờ min]&lt;=$AA16) *
(Table_BangLuong_TyLeTangCa[Giờ max]&gt;$AA16)
))))
),
IF(ISBLANK(AZ$7),
IF(VLOOKUP(AZ$6, Table_ChiPhiNV_Ca[], COUNTA(Table_ChiPhiNV_Ca[[#Headers],[Ca]:[Kết thúc]]),0)&gt; VLOOKUP(AZ$6, Table_ChiPhiNV_Ca[], COUNTA(Table_ChiPhiNV_Ca[[#Headers],[Ca]:[Bắt đầu]]),0),
IF($AA16-$Z$4&lt;MAX(AZ$4,VLOOKUP(AZ$6, Table_ChiPhiNV_Ca[], COUNTA(Table_ChiPhiNV_Ca[[#Headers],[Ca]:[Bắt đầu]]),0)),0,
IF($AA16&gt;MIN(AZ$5,VLOOKUP(AZ$6, Table_ChiPhiNV_Ca[], COUNTA(Table_ChiPhiNV_Ca[[#Headers],[Ca]:[Kết thúc]]),0)),0,
SUM(_xlfn._xlws.FILTER(Table_BangLuong_TyLeTangCa[Tỷ lệ],
(Table_BangLuong_TyLeTangCa[Ngày] = "Thường") *
(Table_BangLuong_TyLeTangCa[Giờ min]&lt;=$AA16) *
(Table_BangLuong_TyLeTangCa[Giờ max]&gt;$AA16)
)))),
IF(AZ$4 &gt; AZ$5,
IF(
AND(
$AA16-$Z$4&lt;MAX(AZ$4,VLOOKUP(AZ$6, Table_ChiPhiNV_Ca[], COUNTA(Table_ChiPhiNV_Ca[[#Headers],[Ca]:[Bắt đầu]]),0)),
$AA16&gt;MIN(AZ$5,VLOOKUP(AZ$6, Table_ChiPhiNV_Ca[], COUNTA(Table_ChiPhiNV_Ca[[#Headers],[Ca]:[Kết thúc]]),0))),0,
SUM(_xlfn._xlws.FILTER(Table_BangLuong_TyLeTangCa[Tỷ lệ],
(Table_BangLuong_TyLeTangCa[Ngày] = "Thường") *
(Table_BangLuong_TyLeTangCa[Giờ min]&lt;=$AA16) *
(Table_BangLuong_TyLeTangCa[Giờ max]&gt;$AA16)
))),
IF(
AND(
$AA16-$Z$4&gt;=MAX(AZ$4,VLOOKUP(AZ$6, Table_ChiPhiNV_Ca[], COUNTA(Table_ChiPhiNV_Ca[[#Headers],[Ca]:[Bắt đầu]]),0)),
$AA16&lt;MIN(AZ$5,VLOOKUP(AZ$6, Table_ChiPhiNV_Ca[], COUNTA(Table_ChiPhiNV_Ca[[#Headers],[Ca]:[Kết thúc]]),0))),
SUM(_xlfn._xlws.FILTER(Table_BangLuong_TyLeTangCa[Tỷ lệ],
(Table_BangLuong_TyLeTangCa[Ngày] = "Thường") *
(Table_BangLuong_TyLeTangCa[Giờ min]&lt;=$AA16) *
(Table_BangLuong_TyLeTangCa[Giờ max]&gt;$AA16)
)),0)
)),
IF(AZ$4 &lt; AZ$5,
IF($AA16-$Z$4&lt;AZ$4,0,
IF($AA16&gt;AZ$5,0,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AZ$5,$AA16 &lt; AZ$4),0,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A16" s="18" cm="1">
        <f t="array" ref="BA16" xml:space="preserve">
IFERROR(
IF(BA$1="",0,
IF(AND(
$AA16&gt;=VLOOKUP(BA$6, Table_ChiPhiNV_Ca[], COUNTA(Table_ChiPhiNV_Ca[[#Headers],[Ca]:[Bắt đầu nghỉ]]),0),
$AA16&lt;VLOOKUP(BA$6, Table_ChiPhiNV_Ca[], COUNTA(Table_ChiPhiNV_Ca[[#Headers],[Ca]:[Kết thúc nghỉ]]),0)
),0,
IF(NOT(ISBLANK(BA$3)),
IF(ISBLANK(BA$7),0,
IF(BA$4 &lt; BA$5,
IF($AA16-$Z$4&lt;BA$4,0,
IF($AA16&gt;BA$5,0,
SUM(_xlfn._xlws.FILTER(Table_BangLuong_TyLeTangCa[Tỷ lệ],
(Table_BangLuong_TyLeTangCa[Ngày] = BA$3) *
(Table_BangLuong_TyLeTangCa[Giờ min]&lt;=$AA16) *
(Table_BangLuong_TyLeTangCa[Giờ max]&gt;$AA16)
)))),
IF(AND($AA16-$Z$4 &gt;= BA$5,$AA16 &lt; BA$4),0,
SUM(_xlfn._xlws.FILTER(Table_BangLuong_TyLeTangCa[Tỷ lệ],
(Table_BangLuong_TyLeTangCa[Ngày] = BA$3) *
(Table_BangLuong_TyLeTangCa[Giờ min]&lt;=$AA16) *
(Table_BangLuong_TyLeTangCa[Giờ max]&gt;$AA16)
))))
),
IF(ISBLANK(BA$7),
IF(VLOOKUP(BA$6, Table_ChiPhiNV_Ca[], COUNTA(Table_ChiPhiNV_Ca[[#Headers],[Ca]:[Kết thúc]]),0)&gt; VLOOKUP(BA$6, Table_ChiPhiNV_Ca[], COUNTA(Table_ChiPhiNV_Ca[[#Headers],[Ca]:[Bắt đầu]]),0),
IF($AA16-$Z$4&lt;MAX(BA$4,VLOOKUP(BA$6, Table_ChiPhiNV_Ca[], COUNTA(Table_ChiPhiNV_Ca[[#Headers],[Ca]:[Bắt đầu]]),0)),0,
IF($AA16&gt;MIN(BA$5,VLOOKUP(BA$6, Table_ChiPhiNV_Ca[], COUNTA(Table_ChiPhiNV_Ca[[#Headers],[Ca]:[Kết thúc]]),0)),0,
SUM(_xlfn._xlws.FILTER(Table_BangLuong_TyLeTangCa[Tỷ lệ],
(Table_BangLuong_TyLeTangCa[Ngày] = "Thường") *
(Table_BangLuong_TyLeTangCa[Giờ min]&lt;=$AA16) *
(Table_BangLuong_TyLeTangCa[Giờ max]&gt;$AA16)
)))),
IF(BA$4 &gt; BA$5,
IF(
AND(
$AA16-$Z$4&lt;MAX(BA$4,VLOOKUP(BA$6, Table_ChiPhiNV_Ca[], COUNTA(Table_ChiPhiNV_Ca[[#Headers],[Ca]:[Bắt đầu]]),0)),
$AA16&gt;MIN(BA$5,VLOOKUP(BA$6, Table_ChiPhiNV_Ca[], COUNTA(Table_ChiPhiNV_Ca[[#Headers],[Ca]:[Kết thúc]]),0))),0,
SUM(_xlfn._xlws.FILTER(Table_BangLuong_TyLeTangCa[Tỷ lệ],
(Table_BangLuong_TyLeTangCa[Ngày] = "Thường") *
(Table_BangLuong_TyLeTangCa[Giờ min]&lt;=$AA16) *
(Table_BangLuong_TyLeTangCa[Giờ max]&gt;$AA16)
))),
IF(
AND(
$AA16-$Z$4&gt;=MAX(BA$4,VLOOKUP(BA$6, Table_ChiPhiNV_Ca[], COUNTA(Table_ChiPhiNV_Ca[[#Headers],[Ca]:[Bắt đầu]]),0)),
$AA16&lt;MIN(BA$5,VLOOKUP(BA$6, Table_ChiPhiNV_Ca[], COUNTA(Table_ChiPhiNV_Ca[[#Headers],[Ca]:[Kết thúc]]),0))),
SUM(_xlfn._xlws.FILTER(Table_BangLuong_TyLeTangCa[Tỷ lệ],
(Table_BangLuong_TyLeTangCa[Ngày] = "Thường") *
(Table_BangLuong_TyLeTangCa[Giờ min]&lt;=$AA16) *
(Table_BangLuong_TyLeTangCa[Giờ max]&gt;$AA16)
)),0)
)),
IF(BA$4 &lt; BA$5,
IF($AA16-$Z$4&lt;BA$4,0,
IF($AA16&gt;BA$5,0,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BA$5,$AA16 &lt; BA$4),0,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B16" s="18" cm="1">
        <f t="array" ref="BB16" xml:space="preserve">
IFERROR(
IF(BB$1="",0,
IF(AND(
$AA16&gt;=VLOOKUP(BB$6, Table_ChiPhiNV_Ca[], COUNTA(Table_ChiPhiNV_Ca[[#Headers],[Ca]:[Bắt đầu nghỉ]]),0),
$AA16&lt;VLOOKUP(BB$6, Table_ChiPhiNV_Ca[], COUNTA(Table_ChiPhiNV_Ca[[#Headers],[Ca]:[Kết thúc nghỉ]]),0)
),0,
IF(NOT(ISBLANK(BB$3)),
IF(ISBLANK(BB$7),0,
IF(BB$4 &lt; BB$5,
IF($AA16-$Z$4&lt;BB$4,0,
IF($AA16&gt;BB$5,0,
SUM(_xlfn._xlws.FILTER(Table_BangLuong_TyLeTangCa[Tỷ lệ],
(Table_BangLuong_TyLeTangCa[Ngày] = BB$3) *
(Table_BangLuong_TyLeTangCa[Giờ min]&lt;=$AA16) *
(Table_BangLuong_TyLeTangCa[Giờ max]&gt;$AA16)
)))),
IF(AND($AA16-$Z$4 &gt;= BB$5,$AA16 &lt; BB$4),0,
SUM(_xlfn._xlws.FILTER(Table_BangLuong_TyLeTangCa[Tỷ lệ],
(Table_BangLuong_TyLeTangCa[Ngày] = BB$3) *
(Table_BangLuong_TyLeTangCa[Giờ min]&lt;=$AA16) *
(Table_BangLuong_TyLeTangCa[Giờ max]&gt;$AA16)
))))
),
IF(ISBLANK(BB$7),
IF(VLOOKUP(BB$6, Table_ChiPhiNV_Ca[], COUNTA(Table_ChiPhiNV_Ca[[#Headers],[Ca]:[Kết thúc]]),0)&gt; VLOOKUP(BB$6, Table_ChiPhiNV_Ca[], COUNTA(Table_ChiPhiNV_Ca[[#Headers],[Ca]:[Bắt đầu]]),0),
IF($AA16-$Z$4&lt;MAX(BB$4,VLOOKUP(BB$6, Table_ChiPhiNV_Ca[], COUNTA(Table_ChiPhiNV_Ca[[#Headers],[Ca]:[Bắt đầu]]),0)),0,
IF($AA16&gt;MIN(BB$5,VLOOKUP(BB$6, Table_ChiPhiNV_Ca[], COUNTA(Table_ChiPhiNV_Ca[[#Headers],[Ca]:[Kết thúc]]),0)),0,
SUM(_xlfn._xlws.FILTER(Table_BangLuong_TyLeTangCa[Tỷ lệ],
(Table_BangLuong_TyLeTangCa[Ngày] = "Thường") *
(Table_BangLuong_TyLeTangCa[Giờ min]&lt;=$AA16) *
(Table_BangLuong_TyLeTangCa[Giờ max]&gt;$AA16)
)))),
IF(BB$4 &gt; BB$5,
IF(
AND(
$AA16-$Z$4&lt;MAX(BB$4,VLOOKUP(BB$6, Table_ChiPhiNV_Ca[], COUNTA(Table_ChiPhiNV_Ca[[#Headers],[Ca]:[Bắt đầu]]),0)),
$AA16&gt;MIN(BB$5,VLOOKUP(BB$6, Table_ChiPhiNV_Ca[], COUNTA(Table_ChiPhiNV_Ca[[#Headers],[Ca]:[Kết thúc]]),0))),0,
SUM(_xlfn._xlws.FILTER(Table_BangLuong_TyLeTangCa[Tỷ lệ],
(Table_BangLuong_TyLeTangCa[Ngày] = "Thường") *
(Table_BangLuong_TyLeTangCa[Giờ min]&lt;=$AA16) *
(Table_BangLuong_TyLeTangCa[Giờ max]&gt;$AA16)
))),
IF(
AND(
$AA16-$Z$4&gt;=MAX(BB$4,VLOOKUP(BB$6, Table_ChiPhiNV_Ca[], COUNTA(Table_ChiPhiNV_Ca[[#Headers],[Ca]:[Bắt đầu]]),0)),
$AA16&lt;MIN(BB$5,VLOOKUP(BB$6, Table_ChiPhiNV_Ca[], COUNTA(Table_ChiPhiNV_Ca[[#Headers],[Ca]:[Kết thúc]]),0))),
SUM(_xlfn._xlws.FILTER(Table_BangLuong_TyLeTangCa[Tỷ lệ],
(Table_BangLuong_TyLeTangCa[Ngày] = "Thường") *
(Table_BangLuong_TyLeTangCa[Giờ min]&lt;=$AA16) *
(Table_BangLuong_TyLeTangCa[Giờ max]&gt;$AA16)
)),0)
)),
IF(BB$4 &lt; BB$5,
IF($AA16-$Z$4&lt;BB$4,0,
IF($AA16&gt;BB$5,0,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BB$5,$AA16 &lt; BB$4),0,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C16" s="18" cm="1">
        <f t="array" ref="BC16" xml:space="preserve">
IFERROR(
IF(BC$1="",0,
IF(AND(
$AA16&gt;=VLOOKUP(BC$6, Table_ChiPhiNV_Ca[], COUNTA(Table_ChiPhiNV_Ca[[#Headers],[Ca]:[Bắt đầu nghỉ]]),0),
$AA16&lt;VLOOKUP(BC$6, Table_ChiPhiNV_Ca[], COUNTA(Table_ChiPhiNV_Ca[[#Headers],[Ca]:[Kết thúc nghỉ]]),0)
),0,
IF(NOT(ISBLANK(BC$3)),
IF(ISBLANK(BC$7),0,
IF(BC$4 &lt; BC$5,
IF($AA16-$Z$4&lt;BC$4,0,
IF($AA16&gt;BC$5,0,
SUM(_xlfn._xlws.FILTER(Table_BangLuong_TyLeTangCa[Tỷ lệ],
(Table_BangLuong_TyLeTangCa[Ngày] = BC$3) *
(Table_BangLuong_TyLeTangCa[Giờ min]&lt;=$AA16) *
(Table_BangLuong_TyLeTangCa[Giờ max]&gt;$AA16)
)))),
IF(AND($AA16-$Z$4 &gt;= BC$5,$AA16 &lt; BC$4),0,
SUM(_xlfn._xlws.FILTER(Table_BangLuong_TyLeTangCa[Tỷ lệ],
(Table_BangLuong_TyLeTangCa[Ngày] = BC$3) *
(Table_BangLuong_TyLeTangCa[Giờ min]&lt;=$AA16) *
(Table_BangLuong_TyLeTangCa[Giờ max]&gt;$AA16)
))))
),
IF(ISBLANK(BC$7),
IF(VLOOKUP(BC$6, Table_ChiPhiNV_Ca[], COUNTA(Table_ChiPhiNV_Ca[[#Headers],[Ca]:[Kết thúc]]),0)&gt; VLOOKUP(BC$6, Table_ChiPhiNV_Ca[], COUNTA(Table_ChiPhiNV_Ca[[#Headers],[Ca]:[Bắt đầu]]),0),
IF($AA16-$Z$4&lt;MAX(BC$4,VLOOKUP(BC$6, Table_ChiPhiNV_Ca[], COUNTA(Table_ChiPhiNV_Ca[[#Headers],[Ca]:[Bắt đầu]]),0)),0,
IF($AA16&gt;MIN(BC$5,VLOOKUP(BC$6, Table_ChiPhiNV_Ca[], COUNTA(Table_ChiPhiNV_Ca[[#Headers],[Ca]:[Kết thúc]]),0)),0,
SUM(_xlfn._xlws.FILTER(Table_BangLuong_TyLeTangCa[Tỷ lệ],
(Table_BangLuong_TyLeTangCa[Ngày] = "Thường") *
(Table_BangLuong_TyLeTangCa[Giờ min]&lt;=$AA16) *
(Table_BangLuong_TyLeTangCa[Giờ max]&gt;$AA16)
)))),
IF(BC$4 &gt; BC$5,
IF(
AND(
$AA16-$Z$4&lt;MAX(BC$4,VLOOKUP(BC$6, Table_ChiPhiNV_Ca[], COUNTA(Table_ChiPhiNV_Ca[[#Headers],[Ca]:[Bắt đầu]]),0)),
$AA16&gt;MIN(BC$5,VLOOKUP(BC$6, Table_ChiPhiNV_Ca[], COUNTA(Table_ChiPhiNV_Ca[[#Headers],[Ca]:[Kết thúc]]),0))),0,
SUM(_xlfn._xlws.FILTER(Table_BangLuong_TyLeTangCa[Tỷ lệ],
(Table_BangLuong_TyLeTangCa[Ngày] = "Thường") *
(Table_BangLuong_TyLeTangCa[Giờ min]&lt;=$AA16) *
(Table_BangLuong_TyLeTangCa[Giờ max]&gt;$AA16)
))),
IF(
AND(
$AA16-$Z$4&gt;=MAX(BC$4,VLOOKUP(BC$6, Table_ChiPhiNV_Ca[], COUNTA(Table_ChiPhiNV_Ca[[#Headers],[Ca]:[Bắt đầu]]),0)),
$AA16&lt;MIN(BC$5,VLOOKUP(BC$6, Table_ChiPhiNV_Ca[], COUNTA(Table_ChiPhiNV_Ca[[#Headers],[Ca]:[Kết thúc]]),0))),
SUM(_xlfn._xlws.FILTER(Table_BangLuong_TyLeTangCa[Tỷ lệ],
(Table_BangLuong_TyLeTangCa[Ngày] = "Thường") *
(Table_BangLuong_TyLeTangCa[Giờ min]&lt;=$AA16) *
(Table_BangLuong_TyLeTangCa[Giờ max]&gt;$AA16)
)),0)
)),
IF(BC$4 &lt; BC$5,
IF($AA16-$Z$4&lt;BC$4,0,
IF($AA16&gt;BC$5,0,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BC$5,$AA16 &lt; BC$4),0,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D16" s="18" cm="1">
        <f t="array" ref="BD16" xml:space="preserve">
IFERROR(
IF(BD$1="",0,
IF(AND(
$AA16&gt;=VLOOKUP(BD$6, Table_ChiPhiNV_Ca[], COUNTA(Table_ChiPhiNV_Ca[[#Headers],[Ca]:[Bắt đầu nghỉ]]),0),
$AA16&lt;VLOOKUP(BD$6, Table_ChiPhiNV_Ca[], COUNTA(Table_ChiPhiNV_Ca[[#Headers],[Ca]:[Kết thúc nghỉ]]),0)
),0,
IF(NOT(ISBLANK(BD$3)),
IF(ISBLANK(BD$7),0,
IF(BD$4 &lt; BD$5,
IF($AA16-$Z$4&lt;BD$4,0,
IF($AA16&gt;BD$5,0,
SUM(_xlfn._xlws.FILTER(Table_BangLuong_TyLeTangCa[Tỷ lệ],
(Table_BangLuong_TyLeTangCa[Ngày] = BD$3) *
(Table_BangLuong_TyLeTangCa[Giờ min]&lt;=$AA16) *
(Table_BangLuong_TyLeTangCa[Giờ max]&gt;$AA16)
)))),
IF(AND($AA16-$Z$4 &gt;= BD$5,$AA16 &lt; BD$4),0,
SUM(_xlfn._xlws.FILTER(Table_BangLuong_TyLeTangCa[Tỷ lệ],
(Table_BangLuong_TyLeTangCa[Ngày] = BD$3) *
(Table_BangLuong_TyLeTangCa[Giờ min]&lt;=$AA16) *
(Table_BangLuong_TyLeTangCa[Giờ max]&gt;$AA16)
))))
),
IF(ISBLANK(BD$7),
IF(VLOOKUP(BD$6, Table_ChiPhiNV_Ca[], COUNTA(Table_ChiPhiNV_Ca[[#Headers],[Ca]:[Kết thúc]]),0)&gt; VLOOKUP(BD$6, Table_ChiPhiNV_Ca[], COUNTA(Table_ChiPhiNV_Ca[[#Headers],[Ca]:[Bắt đầu]]),0),
IF($AA16-$Z$4&lt;MAX(BD$4,VLOOKUP(BD$6, Table_ChiPhiNV_Ca[], COUNTA(Table_ChiPhiNV_Ca[[#Headers],[Ca]:[Bắt đầu]]),0)),0,
IF($AA16&gt;MIN(BD$5,VLOOKUP(BD$6, Table_ChiPhiNV_Ca[], COUNTA(Table_ChiPhiNV_Ca[[#Headers],[Ca]:[Kết thúc]]),0)),0,
SUM(_xlfn._xlws.FILTER(Table_BangLuong_TyLeTangCa[Tỷ lệ],
(Table_BangLuong_TyLeTangCa[Ngày] = "Thường") *
(Table_BangLuong_TyLeTangCa[Giờ min]&lt;=$AA16) *
(Table_BangLuong_TyLeTangCa[Giờ max]&gt;$AA16)
)))),
IF(BD$4 &gt; BD$5,
IF(
AND(
$AA16-$Z$4&lt;MAX(BD$4,VLOOKUP(BD$6, Table_ChiPhiNV_Ca[], COUNTA(Table_ChiPhiNV_Ca[[#Headers],[Ca]:[Bắt đầu]]),0)),
$AA16&gt;MIN(BD$5,VLOOKUP(BD$6, Table_ChiPhiNV_Ca[], COUNTA(Table_ChiPhiNV_Ca[[#Headers],[Ca]:[Kết thúc]]),0))),0,
SUM(_xlfn._xlws.FILTER(Table_BangLuong_TyLeTangCa[Tỷ lệ],
(Table_BangLuong_TyLeTangCa[Ngày] = "Thường") *
(Table_BangLuong_TyLeTangCa[Giờ min]&lt;=$AA16) *
(Table_BangLuong_TyLeTangCa[Giờ max]&gt;$AA16)
))),
IF(
AND(
$AA16-$Z$4&gt;=MAX(BD$4,VLOOKUP(BD$6, Table_ChiPhiNV_Ca[], COUNTA(Table_ChiPhiNV_Ca[[#Headers],[Ca]:[Bắt đầu]]),0)),
$AA16&lt;MIN(BD$5,VLOOKUP(BD$6, Table_ChiPhiNV_Ca[], COUNTA(Table_ChiPhiNV_Ca[[#Headers],[Ca]:[Kết thúc]]),0))),
SUM(_xlfn._xlws.FILTER(Table_BangLuong_TyLeTangCa[Tỷ lệ],
(Table_BangLuong_TyLeTangCa[Ngày] = "Thường") *
(Table_BangLuong_TyLeTangCa[Giờ min]&lt;=$AA16) *
(Table_BangLuong_TyLeTangCa[Giờ max]&gt;$AA16)
)),0)
)),
IF(BD$4 &lt; BD$5,
IF($AA16-$Z$4&lt;BD$4,0,
IF($AA16&gt;BD$5,0,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BD$5,$AA16 &lt; BD$4),0,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E16" s="18" cm="1">
        <f t="array" ref="BE16" xml:space="preserve">
IFERROR(
IF(BE$1="",0,
IF(AND(
$AA16&gt;=VLOOKUP(BE$6, Table_ChiPhiNV_Ca[], COUNTA(Table_ChiPhiNV_Ca[[#Headers],[Ca]:[Bắt đầu nghỉ]]),0),
$AA16&lt;VLOOKUP(BE$6, Table_ChiPhiNV_Ca[], COUNTA(Table_ChiPhiNV_Ca[[#Headers],[Ca]:[Kết thúc nghỉ]]),0)
),0,
IF(NOT(ISBLANK(BE$3)),
IF(ISBLANK(BE$7),0,
IF(BE$4 &lt; BE$5,
IF($AA16-$Z$4&lt;BE$4,0,
IF($AA16&gt;BE$5,0,
SUM(_xlfn._xlws.FILTER(Table_BangLuong_TyLeTangCa[Tỷ lệ],
(Table_BangLuong_TyLeTangCa[Ngày] = BE$3) *
(Table_BangLuong_TyLeTangCa[Giờ min]&lt;=$AA16) *
(Table_BangLuong_TyLeTangCa[Giờ max]&gt;$AA16)
)))),
IF(AND($AA16-$Z$4 &gt;= BE$5,$AA16 &lt; BE$4),0,
SUM(_xlfn._xlws.FILTER(Table_BangLuong_TyLeTangCa[Tỷ lệ],
(Table_BangLuong_TyLeTangCa[Ngày] = BE$3) *
(Table_BangLuong_TyLeTangCa[Giờ min]&lt;=$AA16) *
(Table_BangLuong_TyLeTangCa[Giờ max]&gt;$AA16)
))))
),
IF(ISBLANK(BE$7),
IF(VLOOKUP(BE$6, Table_ChiPhiNV_Ca[], COUNTA(Table_ChiPhiNV_Ca[[#Headers],[Ca]:[Kết thúc]]),0)&gt; VLOOKUP(BE$6, Table_ChiPhiNV_Ca[], COUNTA(Table_ChiPhiNV_Ca[[#Headers],[Ca]:[Bắt đầu]]),0),
IF($AA16-$Z$4&lt;MAX(BE$4,VLOOKUP(BE$6, Table_ChiPhiNV_Ca[], COUNTA(Table_ChiPhiNV_Ca[[#Headers],[Ca]:[Bắt đầu]]),0)),0,
IF($AA16&gt;MIN(BE$5,VLOOKUP(BE$6, Table_ChiPhiNV_Ca[], COUNTA(Table_ChiPhiNV_Ca[[#Headers],[Ca]:[Kết thúc]]),0)),0,
SUM(_xlfn._xlws.FILTER(Table_BangLuong_TyLeTangCa[Tỷ lệ],
(Table_BangLuong_TyLeTangCa[Ngày] = "Thường") *
(Table_BangLuong_TyLeTangCa[Giờ min]&lt;=$AA16) *
(Table_BangLuong_TyLeTangCa[Giờ max]&gt;$AA16)
)))),
IF(BE$4 &gt; BE$5,
IF(
AND(
$AA16-$Z$4&lt;MAX(BE$4,VLOOKUP(BE$6, Table_ChiPhiNV_Ca[], COUNTA(Table_ChiPhiNV_Ca[[#Headers],[Ca]:[Bắt đầu]]),0)),
$AA16&gt;MIN(BE$5,VLOOKUP(BE$6, Table_ChiPhiNV_Ca[], COUNTA(Table_ChiPhiNV_Ca[[#Headers],[Ca]:[Kết thúc]]),0))),0,
SUM(_xlfn._xlws.FILTER(Table_BangLuong_TyLeTangCa[Tỷ lệ],
(Table_BangLuong_TyLeTangCa[Ngày] = "Thường") *
(Table_BangLuong_TyLeTangCa[Giờ min]&lt;=$AA16) *
(Table_BangLuong_TyLeTangCa[Giờ max]&gt;$AA16)
))),
IF(
AND(
$AA16-$Z$4&gt;=MAX(BE$4,VLOOKUP(BE$6, Table_ChiPhiNV_Ca[], COUNTA(Table_ChiPhiNV_Ca[[#Headers],[Ca]:[Bắt đầu]]),0)),
$AA16&lt;MIN(BE$5,VLOOKUP(BE$6, Table_ChiPhiNV_Ca[], COUNTA(Table_ChiPhiNV_Ca[[#Headers],[Ca]:[Kết thúc]]),0))),
SUM(_xlfn._xlws.FILTER(Table_BangLuong_TyLeTangCa[Tỷ lệ],
(Table_BangLuong_TyLeTangCa[Ngày] = "Thường") *
(Table_BangLuong_TyLeTangCa[Giờ min]&lt;=$AA16) *
(Table_BangLuong_TyLeTangCa[Giờ max]&gt;$AA16)
)),0)
)),
IF(BE$4 &lt; BE$5,
IF($AA16-$Z$4&lt;BE$4,0,
IF($AA16&gt;BE$5,0,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BE$5,$AA16 &lt; BE$4),0,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F16" s="18" cm="1">
        <f t="array" ref="BF16" xml:space="preserve">
IFERROR(
IF(BF$1="",0,
IF(AND(
$AA16&gt;=VLOOKUP(BF$6, Table_ChiPhiNV_Ca[], COUNTA(Table_ChiPhiNV_Ca[[#Headers],[Ca]:[Bắt đầu nghỉ]]),0),
$AA16&lt;VLOOKUP(BF$6, Table_ChiPhiNV_Ca[], COUNTA(Table_ChiPhiNV_Ca[[#Headers],[Ca]:[Kết thúc nghỉ]]),0)
),0,
IF(NOT(ISBLANK(BF$3)),
IF(ISBLANK(BF$7),0,
IF(BF$4 &lt; BF$5,
IF($AA16-$Z$4&lt;BF$4,0,
IF($AA16&gt;BF$5,0,
SUM(_xlfn._xlws.FILTER(Table_BangLuong_TyLeTangCa[Tỷ lệ],
(Table_BangLuong_TyLeTangCa[Ngày] = BF$3) *
(Table_BangLuong_TyLeTangCa[Giờ min]&lt;=$AA16) *
(Table_BangLuong_TyLeTangCa[Giờ max]&gt;$AA16)
)))),
IF(AND($AA16-$Z$4 &gt;= BF$5,$AA16 &lt; BF$4),0,
SUM(_xlfn._xlws.FILTER(Table_BangLuong_TyLeTangCa[Tỷ lệ],
(Table_BangLuong_TyLeTangCa[Ngày] = BF$3) *
(Table_BangLuong_TyLeTangCa[Giờ min]&lt;=$AA16) *
(Table_BangLuong_TyLeTangCa[Giờ max]&gt;$AA16)
))))
),
IF(ISBLANK(BF$7),
IF(VLOOKUP(BF$6, Table_ChiPhiNV_Ca[], COUNTA(Table_ChiPhiNV_Ca[[#Headers],[Ca]:[Kết thúc]]),0)&gt; VLOOKUP(BF$6, Table_ChiPhiNV_Ca[], COUNTA(Table_ChiPhiNV_Ca[[#Headers],[Ca]:[Bắt đầu]]),0),
IF($AA16-$Z$4&lt;MAX(BF$4,VLOOKUP(BF$6, Table_ChiPhiNV_Ca[], COUNTA(Table_ChiPhiNV_Ca[[#Headers],[Ca]:[Bắt đầu]]),0)),0,
IF($AA16&gt;MIN(BF$5,VLOOKUP(BF$6, Table_ChiPhiNV_Ca[], COUNTA(Table_ChiPhiNV_Ca[[#Headers],[Ca]:[Kết thúc]]),0)),0,
SUM(_xlfn._xlws.FILTER(Table_BangLuong_TyLeTangCa[Tỷ lệ],
(Table_BangLuong_TyLeTangCa[Ngày] = "Thường") *
(Table_BangLuong_TyLeTangCa[Giờ min]&lt;=$AA16) *
(Table_BangLuong_TyLeTangCa[Giờ max]&gt;$AA16)
)))),
IF(BF$4 &gt; BF$5,
IF(
AND(
$AA16-$Z$4&lt;MAX(BF$4,VLOOKUP(BF$6, Table_ChiPhiNV_Ca[], COUNTA(Table_ChiPhiNV_Ca[[#Headers],[Ca]:[Bắt đầu]]),0)),
$AA16&gt;MIN(BF$5,VLOOKUP(BF$6, Table_ChiPhiNV_Ca[], COUNTA(Table_ChiPhiNV_Ca[[#Headers],[Ca]:[Kết thúc]]),0))),0,
SUM(_xlfn._xlws.FILTER(Table_BangLuong_TyLeTangCa[Tỷ lệ],
(Table_BangLuong_TyLeTangCa[Ngày] = "Thường") *
(Table_BangLuong_TyLeTangCa[Giờ min]&lt;=$AA16) *
(Table_BangLuong_TyLeTangCa[Giờ max]&gt;$AA16)
))),
IF(
AND(
$AA16-$Z$4&gt;=MAX(BF$4,VLOOKUP(BF$6, Table_ChiPhiNV_Ca[], COUNTA(Table_ChiPhiNV_Ca[[#Headers],[Ca]:[Bắt đầu]]),0)),
$AA16&lt;MIN(BF$5,VLOOKUP(BF$6, Table_ChiPhiNV_Ca[], COUNTA(Table_ChiPhiNV_Ca[[#Headers],[Ca]:[Kết thúc]]),0))),
SUM(_xlfn._xlws.FILTER(Table_BangLuong_TyLeTangCa[Tỷ lệ],
(Table_BangLuong_TyLeTangCa[Ngày] = "Thường") *
(Table_BangLuong_TyLeTangCa[Giờ min]&lt;=$AA16) *
(Table_BangLuong_TyLeTangCa[Giờ max]&gt;$AA16)
)),0)
)),
IF(BF$4 &lt; BF$5,
IF($AA16-$Z$4&lt;BF$4,0,
IF($AA16&gt;BF$5,0,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BF$5,$AA16 &lt; BF$4),0,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row>
    <row r="17" spans="2:58" ht="18" customHeight="1" outlineLevel="1" x14ac:dyDescent="0.3">
      <c r="AA17" s="50">
        <v>0.16666666666666699</v>
      </c>
      <c r="AB17" s="18" cm="1">
        <f t="array" ref="AB17" xml:space="preserve">
IFERROR(
IF(AB$1="",0,
IF(AND(
$AA17&gt;=VLOOKUP(AB$6, Table_ChiPhiNV_Ca[], COUNTA(Table_ChiPhiNV_Ca[[#Headers],[Ca]:[Bắt đầu nghỉ]]),0),
$AA17&lt;VLOOKUP(AB$6, Table_ChiPhiNV_Ca[], COUNTA(Table_ChiPhiNV_Ca[[#Headers],[Ca]:[Kết thúc nghỉ]]),0)
),0,
IF(NOT(ISBLANK(AB$3)),
IF(ISBLANK(AB$7),0,
IF(AB$4 &lt; AB$5,
IF($AA17-$Z$4&lt;AB$4,0,
IF($AA17&gt;AB$5,0,
SUM(_xlfn._xlws.FILTER(Table_BangLuong_TyLeTangCa[Tỷ lệ],
(Table_BangLuong_TyLeTangCa[Ngày] = AB$3) *
(Table_BangLuong_TyLeTangCa[Giờ min]&lt;=$AA17) *
(Table_BangLuong_TyLeTangCa[Giờ max]&gt;$AA17)
)))),
IF(AND($AA17-$Z$4 &gt;= AB$5,$AA17 &lt; AB$4),0,
SUM(_xlfn._xlws.FILTER(Table_BangLuong_TyLeTangCa[Tỷ lệ],
(Table_BangLuong_TyLeTangCa[Ngày] = AB$3) *
(Table_BangLuong_TyLeTangCa[Giờ min]&lt;=$AA17) *
(Table_BangLuong_TyLeTangCa[Giờ max]&gt;$AA17)
))))
),
IF(ISBLANK(AB$7),
IF(VLOOKUP(AB$6, Table_ChiPhiNV_Ca[], COUNTA(Table_ChiPhiNV_Ca[[#Headers],[Ca]:[Kết thúc]]),0)&gt; VLOOKUP(AB$6, Table_ChiPhiNV_Ca[], COUNTA(Table_ChiPhiNV_Ca[[#Headers],[Ca]:[Bắt đầu]]),0),
IF($AA17-$Z$4&lt;MAX(AB$4,VLOOKUP(AB$6, Table_ChiPhiNV_Ca[], COUNTA(Table_ChiPhiNV_Ca[[#Headers],[Ca]:[Bắt đầu]]),0)),0,
IF($AA17&gt;MIN(AB$5,VLOOKUP(AB$6, Table_ChiPhiNV_Ca[], COUNTA(Table_ChiPhiNV_Ca[[#Headers],[Ca]:[Kết thúc]]),0)),0,
SUM(_xlfn._xlws.FILTER(Table_BangLuong_TyLeTangCa[Tỷ lệ],
(Table_BangLuong_TyLeTangCa[Ngày] = "Thường") *
(Table_BangLuong_TyLeTangCa[Giờ min]&lt;=$AA17) *
(Table_BangLuong_TyLeTangCa[Giờ max]&gt;$AA17)
)))),
IF(AB$4 &gt; AB$5,
IF(
AND(
$AA17-$Z$4&lt;MAX(AB$4,VLOOKUP(AB$6, Table_ChiPhiNV_Ca[], COUNTA(Table_ChiPhiNV_Ca[[#Headers],[Ca]:[Bắt đầu]]),0)),
$AA17&gt;MIN(AB$5,VLOOKUP(AB$6, Table_ChiPhiNV_Ca[], COUNTA(Table_ChiPhiNV_Ca[[#Headers],[Ca]:[Kết thúc]]),0))),0,
SUM(_xlfn._xlws.FILTER(Table_BangLuong_TyLeTangCa[Tỷ lệ],
(Table_BangLuong_TyLeTangCa[Ngày] = "Thường") *
(Table_BangLuong_TyLeTangCa[Giờ min]&lt;=$AA17) *
(Table_BangLuong_TyLeTangCa[Giờ max]&gt;$AA17)
))),
IF(
AND(
$AA17-$Z$4&gt;=MAX(AB$4,VLOOKUP(AB$6, Table_ChiPhiNV_Ca[], COUNTA(Table_ChiPhiNV_Ca[[#Headers],[Ca]:[Bắt đầu]]),0)),
$AA17&lt;MIN(AB$5,VLOOKUP(AB$6, Table_ChiPhiNV_Ca[], COUNTA(Table_ChiPhiNV_Ca[[#Headers],[Ca]:[Kết thúc]]),0))),
SUM(_xlfn._xlws.FILTER(Table_BangLuong_TyLeTangCa[Tỷ lệ],
(Table_BangLuong_TyLeTangCa[Ngày] = "Thường") *
(Table_BangLuong_TyLeTangCa[Giờ min]&lt;=$AA17) *
(Table_BangLuong_TyLeTangCa[Giờ max]&gt;$AA17)
)),0)
)),
IF(AB$4 &lt; AB$5,
IF($AA17-$Z$4&lt;AB$4,0,
IF($AA17&gt;AB$5,0,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AB$5,$AA17 &lt; AB$4),0,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C17" s="18" cm="1">
        <f t="array" ref="AC17" xml:space="preserve">
IFERROR(
IF(AC$1="",0,
IF(AND(
$AA17&gt;=VLOOKUP(AC$6, Table_ChiPhiNV_Ca[], COUNTA(Table_ChiPhiNV_Ca[[#Headers],[Ca]:[Bắt đầu nghỉ]]),0),
$AA17&lt;VLOOKUP(AC$6, Table_ChiPhiNV_Ca[], COUNTA(Table_ChiPhiNV_Ca[[#Headers],[Ca]:[Kết thúc nghỉ]]),0)
),0,
IF(NOT(ISBLANK(AC$3)),
IF(ISBLANK(AC$7),0,
IF(AC$4 &lt; AC$5,
IF($AA17-$Z$4&lt;AC$4,0,
IF($AA17&gt;AC$5,0,
SUM(_xlfn._xlws.FILTER(Table_BangLuong_TyLeTangCa[Tỷ lệ],
(Table_BangLuong_TyLeTangCa[Ngày] = AC$3) *
(Table_BangLuong_TyLeTangCa[Giờ min]&lt;=$AA17) *
(Table_BangLuong_TyLeTangCa[Giờ max]&gt;$AA17)
)))),
IF(AND($AA17-$Z$4 &gt;= AC$5,$AA17 &lt; AC$4),0,
SUM(_xlfn._xlws.FILTER(Table_BangLuong_TyLeTangCa[Tỷ lệ],
(Table_BangLuong_TyLeTangCa[Ngày] = AC$3) *
(Table_BangLuong_TyLeTangCa[Giờ min]&lt;=$AA17) *
(Table_BangLuong_TyLeTangCa[Giờ max]&gt;$AA17)
))))
),
IF(ISBLANK(AC$7),
IF(VLOOKUP(AC$6, Table_ChiPhiNV_Ca[], COUNTA(Table_ChiPhiNV_Ca[[#Headers],[Ca]:[Kết thúc]]),0)&gt; VLOOKUP(AC$6, Table_ChiPhiNV_Ca[], COUNTA(Table_ChiPhiNV_Ca[[#Headers],[Ca]:[Bắt đầu]]),0),
IF($AA17-$Z$4&lt;MAX(AC$4,VLOOKUP(AC$6, Table_ChiPhiNV_Ca[], COUNTA(Table_ChiPhiNV_Ca[[#Headers],[Ca]:[Bắt đầu]]),0)),0,
IF($AA17&gt;MIN(AC$5,VLOOKUP(AC$6, Table_ChiPhiNV_Ca[], COUNTA(Table_ChiPhiNV_Ca[[#Headers],[Ca]:[Kết thúc]]),0)),0,
SUM(_xlfn._xlws.FILTER(Table_BangLuong_TyLeTangCa[Tỷ lệ],
(Table_BangLuong_TyLeTangCa[Ngày] = "Thường") *
(Table_BangLuong_TyLeTangCa[Giờ min]&lt;=$AA17) *
(Table_BangLuong_TyLeTangCa[Giờ max]&gt;$AA17)
)))),
IF(AC$4 &gt; AC$5,
IF(
AND(
$AA17-$Z$4&lt;MAX(AC$4,VLOOKUP(AC$6, Table_ChiPhiNV_Ca[], COUNTA(Table_ChiPhiNV_Ca[[#Headers],[Ca]:[Bắt đầu]]),0)),
$AA17&gt;MIN(AC$5,VLOOKUP(AC$6, Table_ChiPhiNV_Ca[], COUNTA(Table_ChiPhiNV_Ca[[#Headers],[Ca]:[Kết thúc]]),0))),0,
SUM(_xlfn._xlws.FILTER(Table_BangLuong_TyLeTangCa[Tỷ lệ],
(Table_BangLuong_TyLeTangCa[Ngày] = "Thường") *
(Table_BangLuong_TyLeTangCa[Giờ min]&lt;=$AA17) *
(Table_BangLuong_TyLeTangCa[Giờ max]&gt;$AA17)
))),
IF(
AND(
$AA17-$Z$4&gt;=MAX(AC$4,VLOOKUP(AC$6, Table_ChiPhiNV_Ca[], COUNTA(Table_ChiPhiNV_Ca[[#Headers],[Ca]:[Bắt đầu]]),0)),
$AA17&lt;MIN(AC$5,VLOOKUP(AC$6, Table_ChiPhiNV_Ca[], COUNTA(Table_ChiPhiNV_Ca[[#Headers],[Ca]:[Kết thúc]]),0))),
SUM(_xlfn._xlws.FILTER(Table_BangLuong_TyLeTangCa[Tỷ lệ],
(Table_BangLuong_TyLeTangCa[Ngày] = "Thường") *
(Table_BangLuong_TyLeTangCa[Giờ min]&lt;=$AA17) *
(Table_BangLuong_TyLeTangCa[Giờ max]&gt;$AA17)
)),0)
)),
IF(AC$4 &lt; AC$5,
IF($AA17-$Z$4&lt;AC$4,0,
IF($AA17&gt;AC$5,0,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AC$5,$AA17 &lt; AC$4),0,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D17" s="18" cm="1">
        <f t="array" ref="AD17" xml:space="preserve">
IFERROR(
IF(AD$1="",0,
IF(AND(
$AA17&gt;=VLOOKUP(AD$6, Table_ChiPhiNV_Ca[], COUNTA(Table_ChiPhiNV_Ca[[#Headers],[Ca]:[Bắt đầu nghỉ]]),0),
$AA17&lt;VLOOKUP(AD$6, Table_ChiPhiNV_Ca[], COUNTA(Table_ChiPhiNV_Ca[[#Headers],[Ca]:[Kết thúc nghỉ]]),0)
),0,
IF(NOT(ISBLANK(AD$3)),
IF(ISBLANK(AD$7),0,
IF(AD$4 &lt; AD$5,
IF($AA17-$Z$4&lt;AD$4,0,
IF($AA17&gt;AD$5,0,
SUM(_xlfn._xlws.FILTER(Table_BangLuong_TyLeTangCa[Tỷ lệ],
(Table_BangLuong_TyLeTangCa[Ngày] = AD$3) *
(Table_BangLuong_TyLeTangCa[Giờ min]&lt;=$AA17) *
(Table_BangLuong_TyLeTangCa[Giờ max]&gt;$AA17)
)))),
IF(AND($AA17-$Z$4 &gt;= AD$5,$AA17 &lt; AD$4),0,
SUM(_xlfn._xlws.FILTER(Table_BangLuong_TyLeTangCa[Tỷ lệ],
(Table_BangLuong_TyLeTangCa[Ngày] = AD$3) *
(Table_BangLuong_TyLeTangCa[Giờ min]&lt;=$AA17) *
(Table_BangLuong_TyLeTangCa[Giờ max]&gt;$AA17)
))))
),
IF(ISBLANK(AD$7),
IF(VLOOKUP(AD$6, Table_ChiPhiNV_Ca[], COUNTA(Table_ChiPhiNV_Ca[[#Headers],[Ca]:[Kết thúc]]),0)&gt; VLOOKUP(AD$6, Table_ChiPhiNV_Ca[], COUNTA(Table_ChiPhiNV_Ca[[#Headers],[Ca]:[Bắt đầu]]),0),
IF($AA17-$Z$4&lt;MAX(AD$4,VLOOKUP(AD$6, Table_ChiPhiNV_Ca[], COUNTA(Table_ChiPhiNV_Ca[[#Headers],[Ca]:[Bắt đầu]]),0)),0,
IF($AA17&gt;MIN(AD$5,VLOOKUP(AD$6, Table_ChiPhiNV_Ca[], COUNTA(Table_ChiPhiNV_Ca[[#Headers],[Ca]:[Kết thúc]]),0)),0,
SUM(_xlfn._xlws.FILTER(Table_BangLuong_TyLeTangCa[Tỷ lệ],
(Table_BangLuong_TyLeTangCa[Ngày] = "Thường") *
(Table_BangLuong_TyLeTangCa[Giờ min]&lt;=$AA17) *
(Table_BangLuong_TyLeTangCa[Giờ max]&gt;$AA17)
)))),
IF(AD$4 &gt; AD$5,
IF(
AND(
$AA17-$Z$4&lt;MAX(AD$4,VLOOKUP(AD$6, Table_ChiPhiNV_Ca[], COUNTA(Table_ChiPhiNV_Ca[[#Headers],[Ca]:[Bắt đầu]]),0)),
$AA17&gt;MIN(AD$5,VLOOKUP(AD$6, Table_ChiPhiNV_Ca[], COUNTA(Table_ChiPhiNV_Ca[[#Headers],[Ca]:[Kết thúc]]),0))),0,
SUM(_xlfn._xlws.FILTER(Table_BangLuong_TyLeTangCa[Tỷ lệ],
(Table_BangLuong_TyLeTangCa[Ngày] = "Thường") *
(Table_BangLuong_TyLeTangCa[Giờ min]&lt;=$AA17) *
(Table_BangLuong_TyLeTangCa[Giờ max]&gt;$AA17)
))),
IF(
AND(
$AA17-$Z$4&gt;=MAX(AD$4,VLOOKUP(AD$6, Table_ChiPhiNV_Ca[], COUNTA(Table_ChiPhiNV_Ca[[#Headers],[Ca]:[Bắt đầu]]),0)),
$AA17&lt;MIN(AD$5,VLOOKUP(AD$6, Table_ChiPhiNV_Ca[], COUNTA(Table_ChiPhiNV_Ca[[#Headers],[Ca]:[Kết thúc]]),0))),
SUM(_xlfn._xlws.FILTER(Table_BangLuong_TyLeTangCa[Tỷ lệ],
(Table_BangLuong_TyLeTangCa[Ngày] = "Thường") *
(Table_BangLuong_TyLeTangCa[Giờ min]&lt;=$AA17) *
(Table_BangLuong_TyLeTangCa[Giờ max]&gt;$AA17)
)),0)
)),
IF(AD$4 &lt; AD$5,
IF($AA17-$Z$4&lt;AD$4,0,
IF($AA17&gt;AD$5,0,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AD$5,$AA17 &lt; AD$4),0,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E17" s="18" cm="1">
        <f t="array" ref="AE17" xml:space="preserve">
IFERROR(
IF(AE$1="",0,
IF(AND(
$AA17&gt;=VLOOKUP(AE$6, Table_ChiPhiNV_Ca[], COUNTA(Table_ChiPhiNV_Ca[[#Headers],[Ca]:[Bắt đầu nghỉ]]),0),
$AA17&lt;VLOOKUP(AE$6, Table_ChiPhiNV_Ca[], COUNTA(Table_ChiPhiNV_Ca[[#Headers],[Ca]:[Kết thúc nghỉ]]),0)
),0,
IF(NOT(ISBLANK(AE$3)),
IF(ISBLANK(AE$7),0,
IF(AE$4 &lt; AE$5,
IF($AA17-$Z$4&lt;AE$4,0,
IF($AA17&gt;AE$5,0,
SUM(_xlfn._xlws.FILTER(Table_BangLuong_TyLeTangCa[Tỷ lệ],
(Table_BangLuong_TyLeTangCa[Ngày] = AE$3) *
(Table_BangLuong_TyLeTangCa[Giờ min]&lt;=$AA17) *
(Table_BangLuong_TyLeTangCa[Giờ max]&gt;$AA17)
)))),
IF(AND($AA17-$Z$4 &gt;= AE$5,$AA17 &lt; AE$4),0,
SUM(_xlfn._xlws.FILTER(Table_BangLuong_TyLeTangCa[Tỷ lệ],
(Table_BangLuong_TyLeTangCa[Ngày] = AE$3) *
(Table_BangLuong_TyLeTangCa[Giờ min]&lt;=$AA17) *
(Table_BangLuong_TyLeTangCa[Giờ max]&gt;$AA17)
))))
),
IF(ISBLANK(AE$7),
IF(VLOOKUP(AE$6, Table_ChiPhiNV_Ca[], COUNTA(Table_ChiPhiNV_Ca[[#Headers],[Ca]:[Kết thúc]]),0)&gt; VLOOKUP(AE$6, Table_ChiPhiNV_Ca[], COUNTA(Table_ChiPhiNV_Ca[[#Headers],[Ca]:[Bắt đầu]]),0),
IF($AA17-$Z$4&lt;MAX(AE$4,VLOOKUP(AE$6, Table_ChiPhiNV_Ca[], COUNTA(Table_ChiPhiNV_Ca[[#Headers],[Ca]:[Bắt đầu]]),0)),0,
IF($AA17&gt;MIN(AE$5,VLOOKUP(AE$6, Table_ChiPhiNV_Ca[], COUNTA(Table_ChiPhiNV_Ca[[#Headers],[Ca]:[Kết thúc]]),0)),0,
SUM(_xlfn._xlws.FILTER(Table_BangLuong_TyLeTangCa[Tỷ lệ],
(Table_BangLuong_TyLeTangCa[Ngày] = "Thường") *
(Table_BangLuong_TyLeTangCa[Giờ min]&lt;=$AA17) *
(Table_BangLuong_TyLeTangCa[Giờ max]&gt;$AA17)
)))),
IF(AE$4 &gt; AE$5,
IF(
AND(
$AA17-$Z$4&lt;MAX(AE$4,VLOOKUP(AE$6, Table_ChiPhiNV_Ca[], COUNTA(Table_ChiPhiNV_Ca[[#Headers],[Ca]:[Bắt đầu]]),0)),
$AA17&gt;MIN(AE$5,VLOOKUP(AE$6, Table_ChiPhiNV_Ca[], COUNTA(Table_ChiPhiNV_Ca[[#Headers],[Ca]:[Kết thúc]]),0))),0,
SUM(_xlfn._xlws.FILTER(Table_BangLuong_TyLeTangCa[Tỷ lệ],
(Table_BangLuong_TyLeTangCa[Ngày] = "Thường") *
(Table_BangLuong_TyLeTangCa[Giờ min]&lt;=$AA17) *
(Table_BangLuong_TyLeTangCa[Giờ max]&gt;$AA17)
))),
IF(
AND(
$AA17-$Z$4&gt;=MAX(AE$4,VLOOKUP(AE$6, Table_ChiPhiNV_Ca[], COUNTA(Table_ChiPhiNV_Ca[[#Headers],[Ca]:[Bắt đầu]]),0)),
$AA17&lt;MIN(AE$5,VLOOKUP(AE$6, Table_ChiPhiNV_Ca[], COUNTA(Table_ChiPhiNV_Ca[[#Headers],[Ca]:[Kết thúc]]),0))),
SUM(_xlfn._xlws.FILTER(Table_BangLuong_TyLeTangCa[Tỷ lệ],
(Table_BangLuong_TyLeTangCa[Ngày] = "Thường") *
(Table_BangLuong_TyLeTangCa[Giờ min]&lt;=$AA17) *
(Table_BangLuong_TyLeTangCa[Giờ max]&gt;$AA17)
)),0)
)),
IF(AE$4 &lt; AE$5,
IF($AA17-$Z$4&lt;AE$4,0,
IF($AA17&gt;AE$5,0,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AE$5,$AA17 &lt; AE$4),0,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F17" s="18" cm="1">
        <f t="array" ref="AF17" xml:space="preserve">
IFERROR(
IF(AF$1="",0,
IF(AND(
$AA17&gt;=VLOOKUP(AF$6, Table_ChiPhiNV_Ca[], COUNTA(Table_ChiPhiNV_Ca[[#Headers],[Ca]:[Bắt đầu nghỉ]]),0),
$AA17&lt;VLOOKUP(AF$6, Table_ChiPhiNV_Ca[], COUNTA(Table_ChiPhiNV_Ca[[#Headers],[Ca]:[Kết thúc nghỉ]]),0)
),0,
IF(NOT(ISBLANK(AF$3)),
IF(ISBLANK(AF$7),0,
IF(AF$4 &lt; AF$5,
IF($AA17-$Z$4&lt;AF$4,0,
IF($AA17&gt;AF$5,0,
SUM(_xlfn._xlws.FILTER(Table_BangLuong_TyLeTangCa[Tỷ lệ],
(Table_BangLuong_TyLeTangCa[Ngày] = AF$3) *
(Table_BangLuong_TyLeTangCa[Giờ min]&lt;=$AA17) *
(Table_BangLuong_TyLeTangCa[Giờ max]&gt;$AA17)
)))),
IF(AND($AA17-$Z$4 &gt;= AF$5,$AA17 &lt; AF$4),0,
SUM(_xlfn._xlws.FILTER(Table_BangLuong_TyLeTangCa[Tỷ lệ],
(Table_BangLuong_TyLeTangCa[Ngày] = AF$3) *
(Table_BangLuong_TyLeTangCa[Giờ min]&lt;=$AA17) *
(Table_BangLuong_TyLeTangCa[Giờ max]&gt;$AA17)
))))
),
IF(ISBLANK(AF$7),
IF(VLOOKUP(AF$6, Table_ChiPhiNV_Ca[], COUNTA(Table_ChiPhiNV_Ca[[#Headers],[Ca]:[Kết thúc]]),0)&gt; VLOOKUP(AF$6, Table_ChiPhiNV_Ca[], COUNTA(Table_ChiPhiNV_Ca[[#Headers],[Ca]:[Bắt đầu]]),0),
IF($AA17-$Z$4&lt;MAX(AF$4,VLOOKUP(AF$6, Table_ChiPhiNV_Ca[], COUNTA(Table_ChiPhiNV_Ca[[#Headers],[Ca]:[Bắt đầu]]),0)),0,
IF($AA17&gt;MIN(AF$5,VLOOKUP(AF$6, Table_ChiPhiNV_Ca[], COUNTA(Table_ChiPhiNV_Ca[[#Headers],[Ca]:[Kết thúc]]),0)),0,
SUM(_xlfn._xlws.FILTER(Table_BangLuong_TyLeTangCa[Tỷ lệ],
(Table_BangLuong_TyLeTangCa[Ngày] = "Thường") *
(Table_BangLuong_TyLeTangCa[Giờ min]&lt;=$AA17) *
(Table_BangLuong_TyLeTangCa[Giờ max]&gt;$AA17)
)))),
IF(AF$4 &gt; AF$5,
IF(
AND(
$AA17-$Z$4&lt;MAX(AF$4,VLOOKUP(AF$6, Table_ChiPhiNV_Ca[], COUNTA(Table_ChiPhiNV_Ca[[#Headers],[Ca]:[Bắt đầu]]),0)),
$AA17&gt;MIN(AF$5,VLOOKUP(AF$6, Table_ChiPhiNV_Ca[], COUNTA(Table_ChiPhiNV_Ca[[#Headers],[Ca]:[Kết thúc]]),0))),0,
SUM(_xlfn._xlws.FILTER(Table_BangLuong_TyLeTangCa[Tỷ lệ],
(Table_BangLuong_TyLeTangCa[Ngày] = "Thường") *
(Table_BangLuong_TyLeTangCa[Giờ min]&lt;=$AA17) *
(Table_BangLuong_TyLeTangCa[Giờ max]&gt;$AA17)
))),
IF(
AND(
$AA17-$Z$4&gt;=MAX(AF$4,VLOOKUP(AF$6, Table_ChiPhiNV_Ca[], COUNTA(Table_ChiPhiNV_Ca[[#Headers],[Ca]:[Bắt đầu]]),0)),
$AA17&lt;MIN(AF$5,VLOOKUP(AF$6, Table_ChiPhiNV_Ca[], COUNTA(Table_ChiPhiNV_Ca[[#Headers],[Ca]:[Kết thúc]]),0))),
SUM(_xlfn._xlws.FILTER(Table_BangLuong_TyLeTangCa[Tỷ lệ],
(Table_BangLuong_TyLeTangCa[Ngày] = "Thường") *
(Table_BangLuong_TyLeTangCa[Giờ min]&lt;=$AA17) *
(Table_BangLuong_TyLeTangCa[Giờ max]&gt;$AA17)
)),0)
)),
IF(AF$4 &lt; AF$5,
IF($AA17-$Z$4&lt;AF$4,0,
IF($AA17&gt;AF$5,0,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AF$5,$AA17 &lt; AF$4),0,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G17" s="18" cm="1">
        <f t="array" ref="AG17" xml:space="preserve">
IFERROR(
IF(AG$1="",0,
IF(AND(
$AA17&gt;=VLOOKUP(AG$6, Table_ChiPhiNV_Ca[], COUNTA(Table_ChiPhiNV_Ca[[#Headers],[Ca]:[Bắt đầu nghỉ]]),0),
$AA17&lt;VLOOKUP(AG$6, Table_ChiPhiNV_Ca[], COUNTA(Table_ChiPhiNV_Ca[[#Headers],[Ca]:[Kết thúc nghỉ]]),0)
),0,
IF(NOT(ISBLANK(AG$3)),
IF(ISBLANK(AG$7),0,
IF(AG$4 &lt; AG$5,
IF($AA17-$Z$4&lt;AG$4,0,
IF($AA17&gt;AG$5,0,
SUM(_xlfn._xlws.FILTER(Table_BangLuong_TyLeTangCa[Tỷ lệ],
(Table_BangLuong_TyLeTangCa[Ngày] = AG$3) *
(Table_BangLuong_TyLeTangCa[Giờ min]&lt;=$AA17) *
(Table_BangLuong_TyLeTangCa[Giờ max]&gt;$AA17)
)))),
IF(AND($AA17-$Z$4 &gt;= AG$5,$AA17 &lt; AG$4),0,
SUM(_xlfn._xlws.FILTER(Table_BangLuong_TyLeTangCa[Tỷ lệ],
(Table_BangLuong_TyLeTangCa[Ngày] = AG$3) *
(Table_BangLuong_TyLeTangCa[Giờ min]&lt;=$AA17) *
(Table_BangLuong_TyLeTangCa[Giờ max]&gt;$AA17)
))))
),
IF(ISBLANK(AG$7),
IF(VLOOKUP(AG$6, Table_ChiPhiNV_Ca[], COUNTA(Table_ChiPhiNV_Ca[[#Headers],[Ca]:[Kết thúc]]),0)&gt; VLOOKUP(AG$6, Table_ChiPhiNV_Ca[], COUNTA(Table_ChiPhiNV_Ca[[#Headers],[Ca]:[Bắt đầu]]),0),
IF($AA17-$Z$4&lt;MAX(AG$4,VLOOKUP(AG$6, Table_ChiPhiNV_Ca[], COUNTA(Table_ChiPhiNV_Ca[[#Headers],[Ca]:[Bắt đầu]]),0)),0,
IF($AA17&gt;MIN(AG$5,VLOOKUP(AG$6, Table_ChiPhiNV_Ca[], COUNTA(Table_ChiPhiNV_Ca[[#Headers],[Ca]:[Kết thúc]]),0)),0,
SUM(_xlfn._xlws.FILTER(Table_BangLuong_TyLeTangCa[Tỷ lệ],
(Table_BangLuong_TyLeTangCa[Ngày] = "Thường") *
(Table_BangLuong_TyLeTangCa[Giờ min]&lt;=$AA17) *
(Table_BangLuong_TyLeTangCa[Giờ max]&gt;$AA17)
)))),
IF(AG$4 &gt; AG$5,
IF(
AND(
$AA17-$Z$4&lt;MAX(AG$4,VLOOKUP(AG$6, Table_ChiPhiNV_Ca[], COUNTA(Table_ChiPhiNV_Ca[[#Headers],[Ca]:[Bắt đầu]]),0)),
$AA17&gt;MIN(AG$5,VLOOKUP(AG$6, Table_ChiPhiNV_Ca[], COUNTA(Table_ChiPhiNV_Ca[[#Headers],[Ca]:[Kết thúc]]),0))),0,
SUM(_xlfn._xlws.FILTER(Table_BangLuong_TyLeTangCa[Tỷ lệ],
(Table_BangLuong_TyLeTangCa[Ngày] = "Thường") *
(Table_BangLuong_TyLeTangCa[Giờ min]&lt;=$AA17) *
(Table_BangLuong_TyLeTangCa[Giờ max]&gt;$AA17)
))),
IF(
AND(
$AA17-$Z$4&gt;=MAX(AG$4,VLOOKUP(AG$6, Table_ChiPhiNV_Ca[], COUNTA(Table_ChiPhiNV_Ca[[#Headers],[Ca]:[Bắt đầu]]),0)),
$AA17&lt;MIN(AG$5,VLOOKUP(AG$6, Table_ChiPhiNV_Ca[], COUNTA(Table_ChiPhiNV_Ca[[#Headers],[Ca]:[Kết thúc]]),0))),
SUM(_xlfn._xlws.FILTER(Table_BangLuong_TyLeTangCa[Tỷ lệ],
(Table_BangLuong_TyLeTangCa[Ngày] = "Thường") *
(Table_BangLuong_TyLeTangCa[Giờ min]&lt;=$AA17) *
(Table_BangLuong_TyLeTangCa[Giờ max]&gt;$AA17)
)),0)
)),
IF(AG$4 &lt; AG$5,
IF($AA17-$Z$4&lt;AG$4,0,
IF($AA17&gt;AG$5,0,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AG$5,$AA17 &lt; AG$4),0,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H17" s="18" cm="1">
        <f t="array" ref="AH17" xml:space="preserve">
IFERROR(
IF(AH$1="",0,
IF(AND(
$AA17&gt;=VLOOKUP(AH$6, Table_ChiPhiNV_Ca[], COUNTA(Table_ChiPhiNV_Ca[[#Headers],[Ca]:[Bắt đầu nghỉ]]),0),
$AA17&lt;VLOOKUP(AH$6, Table_ChiPhiNV_Ca[], COUNTA(Table_ChiPhiNV_Ca[[#Headers],[Ca]:[Kết thúc nghỉ]]),0)
),0,
IF(NOT(ISBLANK(AH$3)),
IF(ISBLANK(AH$7),0,
IF(AH$4 &lt; AH$5,
IF($AA17-$Z$4&lt;AH$4,0,
IF($AA17&gt;AH$5,0,
SUM(_xlfn._xlws.FILTER(Table_BangLuong_TyLeTangCa[Tỷ lệ],
(Table_BangLuong_TyLeTangCa[Ngày] = AH$3) *
(Table_BangLuong_TyLeTangCa[Giờ min]&lt;=$AA17) *
(Table_BangLuong_TyLeTangCa[Giờ max]&gt;$AA17)
)))),
IF(AND($AA17-$Z$4 &gt;= AH$5,$AA17 &lt; AH$4),0,
SUM(_xlfn._xlws.FILTER(Table_BangLuong_TyLeTangCa[Tỷ lệ],
(Table_BangLuong_TyLeTangCa[Ngày] = AH$3) *
(Table_BangLuong_TyLeTangCa[Giờ min]&lt;=$AA17) *
(Table_BangLuong_TyLeTangCa[Giờ max]&gt;$AA17)
))))
),
IF(ISBLANK(AH$7),
IF(VLOOKUP(AH$6, Table_ChiPhiNV_Ca[], COUNTA(Table_ChiPhiNV_Ca[[#Headers],[Ca]:[Kết thúc]]),0)&gt; VLOOKUP(AH$6, Table_ChiPhiNV_Ca[], COUNTA(Table_ChiPhiNV_Ca[[#Headers],[Ca]:[Bắt đầu]]),0),
IF($AA17-$Z$4&lt;MAX(AH$4,VLOOKUP(AH$6, Table_ChiPhiNV_Ca[], COUNTA(Table_ChiPhiNV_Ca[[#Headers],[Ca]:[Bắt đầu]]),0)),0,
IF($AA17&gt;MIN(AH$5,VLOOKUP(AH$6, Table_ChiPhiNV_Ca[], COUNTA(Table_ChiPhiNV_Ca[[#Headers],[Ca]:[Kết thúc]]),0)),0,
SUM(_xlfn._xlws.FILTER(Table_BangLuong_TyLeTangCa[Tỷ lệ],
(Table_BangLuong_TyLeTangCa[Ngày] = "Thường") *
(Table_BangLuong_TyLeTangCa[Giờ min]&lt;=$AA17) *
(Table_BangLuong_TyLeTangCa[Giờ max]&gt;$AA17)
)))),
IF(AH$4 &gt; AH$5,
IF(
AND(
$AA17-$Z$4&lt;MAX(AH$4,VLOOKUP(AH$6, Table_ChiPhiNV_Ca[], COUNTA(Table_ChiPhiNV_Ca[[#Headers],[Ca]:[Bắt đầu]]),0)),
$AA17&gt;MIN(AH$5,VLOOKUP(AH$6, Table_ChiPhiNV_Ca[], COUNTA(Table_ChiPhiNV_Ca[[#Headers],[Ca]:[Kết thúc]]),0))),0,
SUM(_xlfn._xlws.FILTER(Table_BangLuong_TyLeTangCa[Tỷ lệ],
(Table_BangLuong_TyLeTangCa[Ngày] = "Thường") *
(Table_BangLuong_TyLeTangCa[Giờ min]&lt;=$AA17) *
(Table_BangLuong_TyLeTangCa[Giờ max]&gt;$AA17)
))),
IF(
AND(
$AA17-$Z$4&gt;=MAX(AH$4,VLOOKUP(AH$6, Table_ChiPhiNV_Ca[], COUNTA(Table_ChiPhiNV_Ca[[#Headers],[Ca]:[Bắt đầu]]),0)),
$AA17&lt;MIN(AH$5,VLOOKUP(AH$6, Table_ChiPhiNV_Ca[], COUNTA(Table_ChiPhiNV_Ca[[#Headers],[Ca]:[Kết thúc]]),0))),
SUM(_xlfn._xlws.FILTER(Table_BangLuong_TyLeTangCa[Tỷ lệ],
(Table_BangLuong_TyLeTangCa[Ngày] = "Thường") *
(Table_BangLuong_TyLeTangCa[Giờ min]&lt;=$AA17) *
(Table_BangLuong_TyLeTangCa[Giờ max]&gt;$AA17)
)),0)
)),
IF(AH$4 &lt; AH$5,
IF($AA17-$Z$4&lt;AH$4,0,
IF($AA17&gt;AH$5,0,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AH$5,$AA17 &lt; AH$4),0,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I17" s="18" cm="1">
        <f t="array" ref="AI17" xml:space="preserve">
IFERROR(
IF(AI$1="",0,
IF(AND(
$AA17&gt;=VLOOKUP(AI$6, Table_ChiPhiNV_Ca[], COUNTA(Table_ChiPhiNV_Ca[[#Headers],[Ca]:[Bắt đầu nghỉ]]),0),
$AA17&lt;VLOOKUP(AI$6, Table_ChiPhiNV_Ca[], COUNTA(Table_ChiPhiNV_Ca[[#Headers],[Ca]:[Kết thúc nghỉ]]),0)
),0,
IF(NOT(ISBLANK(AI$3)),
IF(ISBLANK(AI$7),0,
IF(AI$4 &lt; AI$5,
IF($AA17-$Z$4&lt;AI$4,0,
IF($AA17&gt;AI$5,0,
SUM(_xlfn._xlws.FILTER(Table_BangLuong_TyLeTangCa[Tỷ lệ],
(Table_BangLuong_TyLeTangCa[Ngày] = AI$3) *
(Table_BangLuong_TyLeTangCa[Giờ min]&lt;=$AA17) *
(Table_BangLuong_TyLeTangCa[Giờ max]&gt;$AA17)
)))),
IF(AND($AA17-$Z$4 &gt;= AI$5,$AA17 &lt; AI$4),0,
SUM(_xlfn._xlws.FILTER(Table_BangLuong_TyLeTangCa[Tỷ lệ],
(Table_BangLuong_TyLeTangCa[Ngày] = AI$3) *
(Table_BangLuong_TyLeTangCa[Giờ min]&lt;=$AA17) *
(Table_BangLuong_TyLeTangCa[Giờ max]&gt;$AA17)
))))
),
IF(ISBLANK(AI$7),
IF(VLOOKUP(AI$6, Table_ChiPhiNV_Ca[], COUNTA(Table_ChiPhiNV_Ca[[#Headers],[Ca]:[Kết thúc]]),0)&gt; VLOOKUP(AI$6, Table_ChiPhiNV_Ca[], COUNTA(Table_ChiPhiNV_Ca[[#Headers],[Ca]:[Bắt đầu]]),0),
IF($AA17-$Z$4&lt;MAX(AI$4,VLOOKUP(AI$6, Table_ChiPhiNV_Ca[], COUNTA(Table_ChiPhiNV_Ca[[#Headers],[Ca]:[Bắt đầu]]),0)),0,
IF($AA17&gt;MIN(AI$5,VLOOKUP(AI$6, Table_ChiPhiNV_Ca[], COUNTA(Table_ChiPhiNV_Ca[[#Headers],[Ca]:[Kết thúc]]),0)),0,
SUM(_xlfn._xlws.FILTER(Table_BangLuong_TyLeTangCa[Tỷ lệ],
(Table_BangLuong_TyLeTangCa[Ngày] = "Thường") *
(Table_BangLuong_TyLeTangCa[Giờ min]&lt;=$AA17) *
(Table_BangLuong_TyLeTangCa[Giờ max]&gt;$AA17)
)))),
IF(AI$4 &gt; AI$5,
IF(
AND(
$AA17-$Z$4&lt;MAX(AI$4,VLOOKUP(AI$6, Table_ChiPhiNV_Ca[], COUNTA(Table_ChiPhiNV_Ca[[#Headers],[Ca]:[Bắt đầu]]),0)),
$AA17&gt;MIN(AI$5,VLOOKUP(AI$6, Table_ChiPhiNV_Ca[], COUNTA(Table_ChiPhiNV_Ca[[#Headers],[Ca]:[Kết thúc]]),0))),0,
SUM(_xlfn._xlws.FILTER(Table_BangLuong_TyLeTangCa[Tỷ lệ],
(Table_BangLuong_TyLeTangCa[Ngày] = "Thường") *
(Table_BangLuong_TyLeTangCa[Giờ min]&lt;=$AA17) *
(Table_BangLuong_TyLeTangCa[Giờ max]&gt;$AA17)
))),
IF(
AND(
$AA17-$Z$4&gt;=MAX(AI$4,VLOOKUP(AI$6, Table_ChiPhiNV_Ca[], COUNTA(Table_ChiPhiNV_Ca[[#Headers],[Ca]:[Bắt đầu]]),0)),
$AA17&lt;MIN(AI$5,VLOOKUP(AI$6, Table_ChiPhiNV_Ca[], COUNTA(Table_ChiPhiNV_Ca[[#Headers],[Ca]:[Kết thúc]]),0))),
SUM(_xlfn._xlws.FILTER(Table_BangLuong_TyLeTangCa[Tỷ lệ],
(Table_BangLuong_TyLeTangCa[Ngày] = "Thường") *
(Table_BangLuong_TyLeTangCa[Giờ min]&lt;=$AA17) *
(Table_BangLuong_TyLeTangCa[Giờ max]&gt;$AA17)
)),0)
)),
IF(AI$4 &lt; AI$5,
IF($AA17-$Z$4&lt;AI$4,0,
IF($AA17&gt;AI$5,0,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AI$5,$AA17 &lt; AI$4),0,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J17" s="18" cm="1">
        <f t="array" ref="AJ17" xml:space="preserve">
IFERROR(
IF(AJ$1="",0,
IF(AND(
$AA17&gt;=VLOOKUP(AJ$6, Table_ChiPhiNV_Ca[], COUNTA(Table_ChiPhiNV_Ca[[#Headers],[Ca]:[Bắt đầu nghỉ]]),0),
$AA17&lt;VLOOKUP(AJ$6, Table_ChiPhiNV_Ca[], COUNTA(Table_ChiPhiNV_Ca[[#Headers],[Ca]:[Kết thúc nghỉ]]),0)
),0,
IF(NOT(ISBLANK(AJ$3)),
IF(ISBLANK(AJ$7),0,
IF(AJ$4 &lt; AJ$5,
IF($AA17-$Z$4&lt;AJ$4,0,
IF($AA17&gt;AJ$5,0,
SUM(_xlfn._xlws.FILTER(Table_BangLuong_TyLeTangCa[Tỷ lệ],
(Table_BangLuong_TyLeTangCa[Ngày] = AJ$3) *
(Table_BangLuong_TyLeTangCa[Giờ min]&lt;=$AA17) *
(Table_BangLuong_TyLeTangCa[Giờ max]&gt;$AA17)
)))),
IF(AND($AA17-$Z$4 &gt;= AJ$5,$AA17 &lt; AJ$4),0,
SUM(_xlfn._xlws.FILTER(Table_BangLuong_TyLeTangCa[Tỷ lệ],
(Table_BangLuong_TyLeTangCa[Ngày] = AJ$3) *
(Table_BangLuong_TyLeTangCa[Giờ min]&lt;=$AA17) *
(Table_BangLuong_TyLeTangCa[Giờ max]&gt;$AA17)
))))
),
IF(ISBLANK(AJ$7),
IF(VLOOKUP(AJ$6, Table_ChiPhiNV_Ca[], COUNTA(Table_ChiPhiNV_Ca[[#Headers],[Ca]:[Kết thúc]]),0)&gt; VLOOKUP(AJ$6, Table_ChiPhiNV_Ca[], COUNTA(Table_ChiPhiNV_Ca[[#Headers],[Ca]:[Bắt đầu]]),0),
IF($AA17-$Z$4&lt;MAX(AJ$4,VLOOKUP(AJ$6, Table_ChiPhiNV_Ca[], COUNTA(Table_ChiPhiNV_Ca[[#Headers],[Ca]:[Bắt đầu]]),0)),0,
IF($AA17&gt;MIN(AJ$5,VLOOKUP(AJ$6, Table_ChiPhiNV_Ca[], COUNTA(Table_ChiPhiNV_Ca[[#Headers],[Ca]:[Kết thúc]]),0)),0,
SUM(_xlfn._xlws.FILTER(Table_BangLuong_TyLeTangCa[Tỷ lệ],
(Table_BangLuong_TyLeTangCa[Ngày] = "Thường") *
(Table_BangLuong_TyLeTangCa[Giờ min]&lt;=$AA17) *
(Table_BangLuong_TyLeTangCa[Giờ max]&gt;$AA17)
)))),
IF(AJ$4 &gt; AJ$5,
IF(
AND(
$AA17-$Z$4&lt;MAX(AJ$4,VLOOKUP(AJ$6, Table_ChiPhiNV_Ca[], COUNTA(Table_ChiPhiNV_Ca[[#Headers],[Ca]:[Bắt đầu]]),0)),
$AA17&gt;MIN(AJ$5,VLOOKUP(AJ$6, Table_ChiPhiNV_Ca[], COUNTA(Table_ChiPhiNV_Ca[[#Headers],[Ca]:[Kết thúc]]),0))),0,
SUM(_xlfn._xlws.FILTER(Table_BangLuong_TyLeTangCa[Tỷ lệ],
(Table_BangLuong_TyLeTangCa[Ngày] = "Thường") *
(Table_BangLuong_TyLeTangCa[Giờ min]&lt;=$AA17) *
(Table_BangLuong_TyLeTangCa[Giờ max]&gt;$AA17)
))),
IF(
AND(
$AA17-$Z$4&gt;=MAX(AJ$4,VLOOKUP(AJ$6, Table_ChiPhiNV_Ca[], COUNTA(Table_ChiPhiNV_Ca[[#Headers],[Ca]:[Bắt đầu]]),0)),
$AA17&lt;MIN(AJ$5,VLOOKUP(AJ$6, Table_ChiPhiNV_Ca[], COUNTA(Table_ChiPhiNV_Ca[[#Headers],[Ca]:[Kết thúc]]),0))),
SUM(_xlfn._xlws.FILTER(Table_BangLuong_TyLeTangCa[Tỷ lệ],
(Table_BangLuong_TyLeTangCa[Ngày] = "Thường") *
(Table_BangLuong_TyLeTangCa[Giờ min]&lt;=$AA17) *
(Table_BangLuong_TyLeTangCa[Giờ max]&gt;$AA17)
)),0)
)),
IF(AJ$4 &lt; AJ$5,
IF($AA17-$Z$4&lt;AJ$4,0,
IF($AA17&gt;AJ$5,0,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AJ$5,$AA17 &lt; AJ$4),0,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K17" s="18" cm="1">
        <f t="array" ref="AK17" xml:space="preserve">
IFERROR(
IF(AK$1="",0,
IF(AND(
$AA17&gt;=VLOOKUP(AK$6, Table_ChiPhiNV_Ca[], COUNTA(Table_ChiPhiNV_Ca[[#Headers],[Ca]:[Bắt đầu nghỉ]]),0),
$AA17&lt;VLOOKUP(AK$6, Table_ChiPhiNV_Ca[], COUNTA(Table_ChiPhiNV_Ca[[#Headers],[Ca]:[Kết thúc nghỉ]]),0)
),0,
IF(NOT(ISBLANK(AK$3)),
IF(ISBLANK(AK$7),0,
IF(AK$4 &lt; AK$5,
IF($AA17-$Z$4&lt;AK$4,0,
IF($AA17&gt;AK$5,0,
SUM(_xlfn._xlws.FILTER(Table_BangLuong_TyLeTangCa[Tỷ lệ],
(Table_BangLuong_TyLeTangCa[Ngày] = AK$3) *
(Table_BangLuong_TyLeTangCa[Giờ min]&lt;=$AA17) *
(Table_BangLuong_TyLeTangCa[Giờ max]&gt;$AA17)
)))),
IF(AND($AA17-$Z$4 &gt;= AK$5,$AA17 &lt; AK$4),0,
SUM(_xlfn._xlws.FILTER(Table_BangLuong_TyLeTangCa[Tỷ lệ],
(Table_BangLuong_TyLeTangCa[Ngày] = AK$3) *
(Table_BangLuong_TyLeTangCa[Giờ min]&lt;=$AA17) *
(Table_BangLuong_TyLeTangCa[Giờ max]&gt;$AA17)
))))
),
IF(ISBLANK(AK$7),
IF(VLOOKUP(AK$6, Table_ChiPhiNV_Ca[], COUNTA(Table_ChiPhiNV_Ca[[#Headers],[Ca]:[Kết thúc]]),0)&gt; VLOOKUP(AK$6, Table_ChiPhiNV_Ca[], COUNTA(Table_ChiPhiNV_Ca[[#Headers],[Ca]:[Bắt đầu]]),0),
IF($AA17-$Z$4&lt;MAX(AK$4,VLOOKUP(AK$6, Table_ChiPhiNV_Ca[], COUNTA(Table_ChiPhiNV_Ca[[#Headers],[Ca]:[Bắt đầu]]),0)),0,
IF($AA17&gt;MIN(AK$5,VLOOKUP(AK$6, Table_ChiPhiNV_Ca[], COUNTA(Table_ChiPhiNV_Ca[[#Headers],[Ca]:[Kết thúc]]),0)),0,
SUM(_xlfn._xlws.FILTER(Table_BangLuong_TyLeTangCa[Tỷ lệ],
(Table_BangLuong_TyLeTangCa[Ngày] = "Thường") *
(Table_BangLuong_TyLeTangCa[Giờ min]&lt;=$AA17) *
(Table_BangLuong_TyLeTangCa[Giờ max]&gt;$AA17)
)))),
IF(AK$4 &gt; AK$5,
IF(
AND(
$AA17-$Z$4&lt;MAX(AK$4,VLOOKUP(AK$6, Table_ChiPhiNV_Ca[], COUNTA(Table_ChiPhiNV_Ca[[#Headers],[Ca]:[Bắt đầu]]),0)),
$AA17&gt;MIN(AK$5,VLOOKUP(AK$6, Table_ChiPhiNV_Ca[], COUNTA(Table_ChiPhiNV_Ca[[#Headers],[Ca]:[Kết thúc]]),0))),0,
SUM(_xlfn._xlws.FILTER(Table_BangLuong_TyLeTangCa[Tỷ lệ],
(Table_BangLuong_TyLeTangCa[Ngày] = "Thường") *
(Table_BangLuong_TyLeTangCa[Giờ min]&lt;=$AA17) *
(Table_BangLuong_TyLeTangCa[Giờ max]&gt;$AA17)
))),
IF(
AND(
$AA17-$Z$4&gt;=MAX(AK$4,VLOOKUP(AK$6, Table_ChiPhiNV_Ca[], COUNTA(Table_ChiPhiNV_Ca[[#Headers],[Ca]:[Bắt đầu]]),0)),
$AA17&lt;MIN(AK$5,VLOOKUP(AK$6, Table_ChiPhiNV_Ca[], COUNTA(Table_ChiPhiNV_Ca[[#Headers],[Ca]:[Kết thúc]]),0))),
SUM(_xlfn._xlws.FILTER(Table_BangLuong_TyLeTangCa[Tỷ lệ],
(Table_BangLuong_TyLeTangCa[Ngày] = "Thường") *
(Table_BangLuong_TyLeTangCa[Giờ min]&lt;=$AA17) *
(Table_BangLuong_TyLeTangCa[Giờ max]&gt;$AA17)
)),0)
)),
IF(AK$4 &lt; AK$5,
IF($AA17-$Z$4&lt;AK$4,0,
IF($AA17&gt;AK$5,0,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AK$5,$AA17 &lt; AK$4),0,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L17" s="18" cm="1">
        <f t="array" ref="AL17" xml:space="preserve">
IFERROR(
IF(AL$1="",0,
IF(AND(
$AA17&gt;=VLOOKUP(AL$6, Table_ChiPhiNV_Ca[], COUNTA(Table_ChiPhiNV_Ca[[#Headers],[Ca]:[Bắt đầu nghỉ]]),0),
$AA17&lt;VLOOKUP(AL$6, Table_ChiPhiNV_Ca[], COUNTA(Table_ChiPhiNV_Ca[[#Headers],[Ca]:[Kết thúc nghỉ]]),0)
),0,
IF(NOT(ISBLANK(AL$3)),
IF(ISBLANK(AL$7),0,
IF(AL$4 &lt; AL$5,
IF($AA17-$Z$4&lt;AL$4,0,
IF($AA17&gt;AL$5,0,
SUM(_xlfn._xlws.FILTER(Table_BangLuong_TyLeTangCa[Tỷ lệ],
(Table_BangLuong_TyLeTangCa[Ngày] = AL$3) *
(Table_BangLuong_TyLeTangCa[Giờ min]&lt;=$AA17) *
(Table_BangLuong_TyLeTangCa[Giờ max]&gt;$AA17)
)))),
IF(AND($AA17-$Z$4 &gt;= AL$5,$AA17 &lt; AL$4),0,
SUM(_xlfn._xlws.FILTER(Table_BangLuong_TyLeTangCa[Tỷ lệ],
(Table_BangLuong_TyLeTangCa[Ngày] = AL$3) *
(Table_BangLuong_TyLeTangCa[Giờ min]&lt;=$AA17) *
(Table_BangLuong_TyLeTangCa[Giờ max]&gt;$AA17)
))))
),
IF(ISBLANK(AL$7),
IF(VLOOKUP(AL$6, Table_ChiPhiNV_Ca[], COUNTA(Table_ChiPhiNV_Ca[[#Headers],[Ca]:[Kết thúc]]),0)&gt; VLOOKUP(AL$6, Table_ChiPhiNV_Ca[], COUNTA(Table_ChiPhiNV_Ca[[#Headers],[Ca]:[Bắt đầu]]),0),
IF($AA17-$Z$4&lt;MAX(AL$4,VLOOKUP(AL$6, Table_ChiPhiNV_Ca[], COUNTA(Table_ChiPhiNV_Ca[[#Headers],[Ca]:[Bắt đầu]]),0)),0,
IF($AA17&gt;MIN(AL$5,VLOOKUP(AL$6, Table_ChiPhiNV_Ca[], COUNTA(Table_ChiPhiNV_Ca[[#Headers],[Ca]:[Kết thúc]]),0)),0,
SUM(_xlfn._xlws.FILTER(Table_BangLuong_TyLeTangCa[Tỷ lệ],
(Table_BangLuong_TyLeTangCa[Ngày] = "Thường") *
(Table_BangLuong_TyLeTangCa[Giờ min]&lt;=$AA17) *
(Table_BangLuong_TyLeTangCa[Giờ max]&gt;$AA17)
)))),
IF(AL$4 &gt; AL$5,
IF(
AND(
$AA17-$Z$4&lt;MAX(AL$4,VLOOKUP(AL$6, Table_ChiPhiNV_Ca[], COUNTA(Table_ChiPhiNV_Ca[[#Headers],[Ca]:[Bắt đầu]]),0)),
$AA17&gt;MIN(AL$5,VLOOKUP(AL$6, Table_ChiPhiNV_Ca[], COUNTA(Table_ChiPhiNV_Ca[[#Headers],[Ca]:[Kết thúc]]),0))),0,
SUM(_xlfn._xlws.FILTER(Table_BangLuong_TyLeTangCa[Tỷ lệ],
(Table_BangLuong_TyLeTangCa[Ngày] = "Thường") *
(Table_BangLuong_TyLeTangCa[Giờ min]&lt;=$AA17) *
(Table_BangLuong_TyLeTangCa[Giờ max]&gt;$AA17)
))),
IF(
AND(
$AA17-$Z$4&gt;=MAX(AL$4,VLOOKUP(AL$6, Table_ChiPhiNV_Ca[], COUNTA(Table_ChiPhiNV_Ca[[#Headers],[Ca]:[Bắt đầu]]),0)),
$AA17&lt;MIN(AL$5,VLOOKUP(AL$6, Table_ChiPhiNV_Ca[], COUNTA(Table_ChiPhiNV_Ca[[#Headers],[Ca]:[Kết thúc]]),0))),
SUM(_xlfn._xlws.FILTER(Table_BangLuong_TyLeTangCa[Tỷ lệ],
(Table_BangLuong_TyLeTangCa[Ngày] = "Thường") *
(Table_BangLuong_TyLeTangCa[Giờ min]&lt;=$AA17) *
(Table_BangLuong_TyLeTangCa[Giờ max]&gt;$AA17)
)),0)
)),
IF(AL$4 &lt; AL$5,
IF($AA17-$Z$4&lt;AL$4,0,
IF($AA17&gt;AL$5,0,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AL$5,$AA17 &lt; AL$4),0,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M17" s="18" cm="1">
        <f t="array" ref="AM17" xml:space="preserve">
IFERROR(
IF(AM$1="",0,
IF(AND(
$AA17&gt;=VLOOKUP(AM$6, Table_ChiPhiNV_Ca[], COUNTA(Table_ChiPhiNV_Ca[[#Headers],[Ca]:[Bắt đầu nghỉ]]),0),
$AA17&lt;VLOOKUP(AM$6, Table_ChiPhiNV_Ca[], COUNTA(Table_ChiPhiNV_Ca[[#Headers],[Ca]:[Kết thúc nghỉ]]),0)
),0,
IF(NOT(ISBLANK(AM$3)),
IF(ISBLANK(AM$7),0,
IF(AM$4 &lt; AM$5,
IF($AA17-$Z$4&lt;AM$4,0,
IF($AA17&gt;AM$5,0,
SUM(_xlfn._xlws.FILTER(Table_BangLuong_TyLeTangCa[Tỷ lệ],
(Table_BangLuong_TyLeTangCa[Ngày] = AM$3) *
(Table_BangLuong_TyLeTangCa[Giờ min]&lt;=$AA17) *
(Table_BangLuong_TyLeTangCa[Giờ max]&gt;$AA17)
)))),
IF(AND($AA17-$Z$4 &gt;= AM$5,$AA17 &lt; AM$4),0,
SUM(_xlfn._xlws.FILTER(Table_BangLuong_TyLeTangCa[Tỷ lệ],
(Table_BangLuong_TyLeTangCa[Ngày] = AM$3) *
(Table_BangLuong_TyLeTangCa[Giờ min]&lt;=$AA17) *
(Table_BangLuong_TyLeTangCa[Giờ max]&gt;$AA17)
))))
),
IF(ISBLANK(AM$7),
IF(VLOOKUP(AM$6, Table_ChiPhiNV_Ca[], COUNTA(Table_ChiPhiNV_Ca[[#Headers],[Ca]:[Kết thúc]]),0)&gt; VLOOKUP(AM$6, Table_ChiPhiNV_Ca[], COUNTA(Table_ChiPhiNV_Ca[[#Headers],[Ca]:[Bắt đầu]]),0),
IF($AA17-$Z$4&lt;MAX(AM$4,VLOOKUP(AM$6, Table_ChiPhiNV_Ca[], COUNTA(Table_ChiPhiNV_Ca[[#Headers],[Ca]:[Bắt đầu]]),0)),0,
IF($AA17&gt;MIN(AM$5,VLOOKUP(AM$6, Table_ChiPhiNV_Ca[], COUNTA(Table_ChiPhiNV_Ca[[#Headers],[Ca]:[Kết thúc]]),0)),0,
SUM(_xlfn._xlws.FILTER(Table_BangLuong_TyLeTangCa[Tỷ lệ],
(Table_BangLuong_TyLeTangCa[Ngày] = "Thường") *
(Table_BangLuong_TyLeTangCa[Giờ min]&lt;=$AA17) *
(Table_BangLuong_TyLeTangCa[Giờ max]&gt;$AA17)
)))),
IF(AM$4 &gt; AM$5,
IF(
AND(
$AA17-$Z$4&lt;MAX(AM$4,VLOOKUP(AM$6, Table_ChiPhiNV_Ca[], COUNTA(Table_ChiPhiNV_Ca[[#Headers],[Ca]:[Bắt đầu]]),0)),
$AA17&gt;MIN(AM$5,VLOOKUP(AM$6, Table_ChiPhiNV_Ca[], COUNTA(Table_ChiPhiNV_Ca[[#Headers],[Ca]:[Kết thúc]]),0))),0,
SUM(_xlfn._xlws.FILTER(Table_BangLuong_TyLeTangCa[Tỷ lệ],
(Table_BangLuong_TyLeTangCa[Ngày] = "Thường") *
(Table_BangLuong_TyLeTangCa[Giờ min]&lt;=$AA17) *
(Table_BangLuong_TyLeTangCa[Giờ max]&gt;$AA17)
))),
IF(
AND(
$AA17-$Z$4&gt;=MAX(AM$4,VLOOKUP(AM$6, Table_ChiPhiNV_Ca[], COUNTA(Table_ChiPhiNV_Ca[[#Headers],[Ca]:[Bắt đầu]]),0)),
$AA17&lt;MIN(AM$5,VLOOKUP(AM$6, Table_ChiPhiNV_Ca[], COUNTA(Table_ChiPhiNV_Ca[[#Headers],[Ca]:[Kết thúc]]),0))),
SUM(_xlfn._xlws.FILTER(Table_BangLuong_TyLeTangCa[Tỷ lệ],
(Table_BangLuong_TyLeTangCa[Ngày] = "Thường") *
(Table_BangLuong_TyLeTangCa[Giờ min]&lt;=$AA17) *
(Table_BangLuong_TyLeTangCa[Giờ max]&gt;$AA17)
)),0)
)),
IF(AM$4 &lt; AM$5,
IF($AA17-$Z$4&lt;AM$4,0,
IF($AA17&gt;AM$5,0,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AM$5,$AA17 &lt; AM$4),0,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N17" s="18" cm="1">
        <f t="array" ref="AN17" xml:space="preserve">
IFERROR(
IF(AN$1="",0,
IF(AND(
$AA17&gt;=VLOOKUP(AN$6, Table_ChiPhiNV_Ca[], COUNTA(Table_ChiPhiNV_Ca[[#Headers],[Ca]:[Bắt đầu nghỉ]]),0),
$AA17&lt;VLOOKUP(AN$6, Table_ChiPhiNV_Ca[], COUNTA(Table_ChiPhiNV_Ca[[#Headers],[Ca]:[Kết thúc nghỉ]]),0)
),0,
IF(NOT(ISBLANK(AN$3)),
IF(ISBLANK(AN$7),0,
IF(AN$4 &lt; AN$5,
IF($AA17-$Z$4&lt;AN$4,0,
IF($AA17&gt;AN$5,0,
SUM(_xlfn._xlws.FILTER(Table_BangLuong_TyLeTangCa[Tỷ lệ],
(Table_BangLuong_TyLeTangCa[Ngày] = AN$3) *
(Table_BangLuong_TyLeTangCa[Giờ min]&lt;=$AA17) *
(Table_BangLuong_TyLeTangCa[Giờ max]&gt;$AA17)
)))),
IF(AND($AA17-$Z$4 &gt;= AN$5,$AA17 &lt; AN$4),0,
SUM(_xlfn._xlws.FILTER(Table_BangLuong_TyLeTangCa[Tỷ lệ],
(Table_BangLuong_TyLeTangCa[Ngày] = AN$3) *
(Table_BangLuong_TyLeTangCa[Giờ min]&lt;=$AA17) *
(Table_BangLuong_TyLeTangCa[Giờ max]&gt;$AA17)
))))
),
IF(ISBLANK(AN$7),
IF(VLOOKUP(AN$6, Table_ChiPhiNV_Ca[], COUNTA(Table_ChiPhiNV_Ca[[#Headers],[Ca]:[Kết thúc]]),0)&gt; VLOOKUP(AN$6, Table_ChiPhiNV_Ca[], COUNTA(Table_ChiPhiNV_Ca[[#Headers],[Ca]:[Bắt đầu]]),0),
IF($AA17-$Z$4&lt;MAX(AN$4,VLOOKUP(AN$6, Table_ChiPhiNV_Ca[], COUNTA(Table_ChiPhiNV_Ca[[#Headers],[Ca]:[Bắt đầu]]),0)),0,
IF($AA17&gt;MIN(AN$5,VLOOKUP(AN$6, Table_ChiPhiNV_Ca[], COUNTA(Table_ChiPhiNV_Ca[[#Headers],[Ca]:[Kết thúc]]),0)),0,
SUM(_xlfn._xlws.FILTER(Table_BangLuong_TyLeTangCa[Tỷ lệ],
(Table_BangLuong_TyLeTangCa[Ngày] = "Thường") *
(Table_BangLuong_TyLeTangCa[Giờ min]&lt;=$AA17) *
(Table_BangLuong_TyLeTangCa[Giờ max]&gt;$AA17)
)))),
IF(AN$4 &gt; AN$5,
IF(
AND(
$AA17-$Z$4&lt;MAX(AN$4,VLOOKUP(AN$6, Table_ChiPhiNV_Ca[], COUNTA(Table_ChiPhiNV_Ca[[#Headers],[Ca]:[Bắt đầu]]),0)),
$AA17&gt;MIN(AN$5,VLOOKUP(AN$6, Table_ChiPhiNV_Ca[], COUNTA(Table_ChiPhiNV_Ca[[#Headers],[Ca]:[Kết thúc]]),0))),0,
SUM(_xlfn._xlws.FILTER(Table_BangLuong_TyLeTangCa[Tỷ lệ],
(Table_BangLuong_TyLeTangCa[Ngày] = "Thường") *
(Table_BangLuong_TyLeTangCa[Giờ min]&lt;=$AA17) *
(Table_BangLuong_TyLeTangCa[Giờ max]&gt;$AA17)
))),
IF(
AND(
$AA17-$Z$4&gt;=MAX(AN$4,VLOOKUP(AN$6, Table_ChiPhiNV_Ca[], COUNTA(Table_ChiPhiNV_Ca[[#Headers],[Ca]:[Bắt đầu]]),0)),
$AA17&lt;MIN(AN$5,VLOOKUP(AN$6, Table_ChiPhiNV_Ca[], COUNTA(Table_ChiPhiNV_Ca[[#Headers],[Ca]:[Kết thúc]]),0))),
SUM(_xlfn._xlws.FILTER(Table_BangLuong_TyLeTangCa[Tỷ lệ],
(Table_BangLuong_TyLeTangCa[Ngày] = "Thường") *
(Table_BangLuong_TyLeTangCa[Giờ min]&lt;=$AA17) *
(Table_BangLuong_TyLeTangCa[Giờ max]&gt;$AA17)
)),0)
)),
IF(AN$4 &lt; AN$5,
IF($AA17-$Z$4&lt;AN$4,0,
IF($AA17&gt;AN$5,0,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AN$5,$AA17 &lt; AN$4),0,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O17" s="18" cm="1">
        <f t="array" ref="AO17" xml:space="preserve">
IFERROR(
IF(AO$1="",0,
IF(AND(
$AA17&gt;=VLOOKUP(AO$6, Table_ChiPhiNV_Ca[], COUNTA(Table_ChiPhiNV_Ca[[#Headers],[Ca]:[Bắt đầu nghỉ]]),0),
$AA17&lt;VLOOKUP(AO$6, Table_ChiPhiNV_Ca[], COUNTA(Table_ChiPhiNV_Ca[[#Headers],[Ca]:[Kết thúc nghỉ]]),0)
),0,
IF(NOT(ISBLANK(AO$3)),
IF(ISBLANK(AO$7),0,
IF(AO$4 &lt; AO$5,
IF($AA17-$Z$4&lt;AO$4,0,
IF($AA17&gt;AO$5,0,
SUM(_xlfn._xlws.FILTER(Table_BangLuong_TyLeTangCa[Tỷ lệ],
(Table_BangLuong_TyLeTangCa[Ngày] = AO$3) *
(Table_BangLuong_TyLeTangCa[Giờ min]&lt;=$AA17) *
(Table_BangLuong_TyLeTangCa[Giờ max]&gt;$AA17)
)))),
IF(AND($AA17-$Z$4 &gt;= AO$5,$AA17 &lt; AO$4),0,
SUM(_xlfn._xlws.FILTER(Table_BangLuong_TyLeTangCa[Tỷ lệ],
(Table_BangLuong_TyLeTangCa[Ngày] = AO$3) *
(Table_BangLuong_TyLeTangCa[Giờ min]&lt;=$AA17) *
(Table_BangLuong_TyLeTangCa[Giờ max]&gt;$AA17)
))))
),
IF(ISBLANK(AO$7),
IF(VLOOKUP(AO$6, Table_ChiPhiNV_Ca[], COUNTA(Table_ChiPhiNV_Ca[[#Headers],[Ca]:[Kết thúc]]),0)&gt; VLOOKUP(AO$6, Table_ChiPhiNV_Ca[], COUNTA(Table_ChiPhiNV_Ca[[#Headers],[Ca]:[Bắt đầu]]),0),
IF($AA17-$Z$4&lt;MAX(AO$4,VLOOKUP(AO$6, Table_ChiPhiNV_Ca[], COUNTA(Table_ChiPhiNV_Ca[[#Headers],[Ca]:[Bắt đầu]]),0)),0,
IF($AA17&gt;MIN(AO$5,VLOOKUP(AO$6, Table_ChiPhiNV_Ca[], COUNTA(Table_ChiPhiNV_Ca[[#Headers],[Ca]:[Kết thúc]]),0)),0,
SUM(_xlfn._xlws.FILTER(Table_BangLuong_TyLeTangCa[Tỷ lệ],
(Table_BangLuong_TyLeTangCa[Ngày] = "Thường") *
(Table_BangLuong_TyLeTangCa[Giờ min]&lt;=$AA17) *
(Table_BangLuong_TyLeTangCa[Giờ max]&gt;$AA17)
)))),
IF(AO$4 &gt; AO$5,
IF(
AND(
$AA17-$Z$4&lt;MAX(AO$4,VLOOKUP(AO$6, Table_ChiPhiNV_Ca[], COUNTA(Table_ChiPhiNV_Ca[[#Headers],[Ca]:[Bắt đầu]]),0)),
$AA17&gt;MIN(AO$5,VLOOKUP(AO$6, Table_ChiPhiNV_Ca[], COUNTA(Table_ChiPhiNV_Ca[[#Headers],[Ca]:[Kết thúc]]),0))),0,
SUM(_xlfn._xlws.FILTER(Table_BangLuong_TyLeTangCa[Tỷ lệ],
(Table_BangLuong_TyLeTangCa[Ngày] = "Thường") *
(Table_BangLuong_TyLeTangCa[Giờ min]&lt;=$AA17) *
(Table_BangLuong_TyLeTangCa[Giờ max]&gt;$AA17)
))),
IF(
AND(
$AA17-$Z$4&gt;=MAX(AO$4,VLOOKUP(AO$6, Table_ChiPhiNV_Ca[], COUNTA(Table_ChiPhiNV_Ca[[#Headers],[Ca]:[Bắt đầu]]),0)),
$AA17&lt;MIN(AO$5,VLOOKUP(AO$6, Table_ChiPhiNV_Ca[], COUNTA(Table_ChiPhiNV_Ca[[#Headers],[Ca]:[Kết thúc]]),0))),
SUM(_xlfn._xlws.FILTER(Table_BangLuong_TyLeTangCa[Tỷ lệ],
(Table_BangLuong_TyLeTangCa[Ngày] = "Thường") *
(Table_BangLuong_TyLeTangCa[Giờ min]&lt;=$AA17) *
(Table_BangLuong_TyLeTangCa[Giờ max]&gt;$AA17)
)),0)
)),
IF(AO$4 &lt; AO$5,
IF($AA17-$Z$4&lt;AO$4,0,
IF($AA17&gt;AO$5,0,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AO$5,$AA17 &lt; AO$4),0,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P17" s="18" cm="1">
        <f t="array" ref="AP17" xml:space="preserve">
IFERROR(
IF(AP$1="",0,
IF(AND(
$AA17&gt;=VLOOKUP(AP$6, Table_ChiPhiNV_Ca[], COUNTA(Table_ChiPhiNV_Ca[[#Headers],[Ca]:[Bắt đầu nghỉ]]),0),
$AA17&lt;VLOOKUP(AP$6, Table_ChiPhiNV_Ca[], COUNTA(Table_ChiPhiNV_Ca[[#Headers],[Ca]:[Kết thúc nghỉ]]),0)
),0,
IF(NOT(ISBLANK(AP$3)),
IF(ISBLANK(AP$7),0,
IF(AP$4 &lt; AP$5,
IF($AA17-$Z$4&lt;AP$4,0,
IF($AA17&gt;AP$5,0,
SUM(_xlfn._xlws.FILTER(Table_BangLuong_TyLeTangCa[Tỷ lệ],
(Table_BangLuong_TyLeTangCa[Ngày] = AP$3) *
(Table_BangLuong_TyLeTangCa[Giờ min]&lt;=$AA17) *
(Table_BangLuong_TyLeTangCa[Giờ max]&gt;$AA17)
)))),
IF(AND($AA17-$Z$4 &gt;= AP$5,$AA17 &lt; AP$4),0,
SUM(_xlfn._xlws.FILTER(Table_BangLuong_TyLeTangCa[Tỷ lệ],
(Table_BangLuong_TyLeTangCa[Ngày] = AP$3) *
(Table_BangLuong_TyLeTangCa[Giờ min]&lt;=$AA17) *
(Table_BangLuong_TyLeTangCa[Giờ max]&gt;$AA17)
))))
),
IF(ISBLANK(AP$7),
IF(VLOOKUP(AP$6, Table_ChiPhiNV_Ca[], COUNTA(Table_ChiPhiNV_Ca[[#Headers],[Ca]:[Kết thúc]]),0)&gt; VLOOKUP(AP$6, Table_ChiPhiNV_Ca[], COUNTA(Table_ChiPhiNV_Ca[[#Headers],[Ca]:[Bắt đầu]]),0),
IF($AA17-$Z$4&lt;MAX(AP$4,VLOOKUP(AP$6, Table_ChiPhiNV_Ca[], COUNTA(Table_ChiPhiNV_Ca[[#Headers],[Ca]:[Bắt đầu]]),0)),0,
IF($AA17&gt;MIN(AP$5,VLOOKUP(AP$6, Table_ChiPhiNV_Ca[], COUNTA(Table_ChiPhiNV_Ca[[#Headers],[Ca]:[Kết thúc]]),0)),0,
SUM(_xlfn._xlws.FILTER(Table_BangLuong_TyLeTangCa[Tỷ lệ],
(Table_BangLuong_TyLeTangCa[Ngày] = "Thường") *
(Table_BangLuong_TyLeTangCa[Giờ min]&lt;=$AA17) *
(Table_BangLuong_TyLeTangCa[Giờ max]&gt;$AA17)
)))),
IF(AP$4 &gt; AP$5,
IF(
AND(
$AA17-$Z$4&lt;MAX(AP$4,VLOOKUP(AP$6, Table_ChiPhiNV_Ca[], COUNTA(Table_ChiPhiNV_Ca[[#Headers],[Ca]:[Bắt đầu]]),0)),
$AA17&gt;MIN(AP$5,VLOOKUP(AP$6, Table_ChiPhiNV_Ca[], COUNTA(Table_ChiPhiNV_Ca[[#Headers],[Ca]:[Kết thúc]]),0))),0,
SUM(_xlfn._xlws.FILTER(Table_BangLuong_TyLeTangCa[Tỷ lệ],
(Table_BangLuong_TyLeTangCa[Ngày] = "Thường") *
(Table_BangLuong_TyLeTangCa[Giờ min]&lt;=$AA17) *
(Table_BangLuong_TyLeTangCa[Giờ max]&gt;$AA17)
))),
IF(
AND(
$AA17-$Z$4&gt;=MAX(AP$4,VLOOKUP(AP$6, Table_ChiPhiNV_Ca[], COUNTA(Table_ChiPhiNV_Ca[[#Headers],[Ca]:[Bắt đầu]]),0)),
$AA17&lt;MIN(AP$5,VLOOKUP(AP$6, Table_ChiPhiNV_Ca[], COUNTA(Table_ChiPhiNV_Ca[[#Headers],[Ca]:[Kết thúc]]),0))),
SUM(_xlfn._xlws.FILTER(Table_BangLuong_TyLeTangCa[Tỷ lệ],
(Table_BangLuong_TyLeTangCa[Ngày] = "Thường") *
(Table_BangLuong_TyLeTangCa[Giờ min]&lt;=$AA17) *
(Table_BangLuong_TyLeTangCa[Giờ max]&gt;$AA17)
)),0)
)),
IF(AP$4 &lt; AP$5,
IF($AA17-$Z$4&lt;AP$4,0,
IF($AA17&gt;AP$5,0,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AP$5,$AA17 &lt; AP$4),0,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Q17" s="18" cm="1">
        <f t="array" ref="AQ17" xml:space="preserve">
IFERROR(
IF(AQ$1="",0,
IF(AND(
$AA17&gt;=VLOOKUP(AQ$6, Table_ChiPhiNV_Ca[], COUNTA(Table_ChiPhiNV_Ca[[#Headers],[Ca]:[Bắt đầu nghỉ]]),0),
$AA17&lt;VLOOKUP(AQ$6, Table_ChiPhiNV_Ca[], COUNTA(Table_ChiPhiNV_Ca[[#Headers],[Ca]:[Kết thúc nghỉ]]),0)
),0,
IF(NOT(ISBLANK(AQ$3)),
IF(ISBLANK(AQ$7),0,
IF(AQ$4 &lt; AQ$5,
IF($AA17-$Z$4&lt;AQ$4,0,
IF($AA17&gt;AQ$5,0,
SUM(_xlfn._xlws.FILTER(Table_BangLuong_TyLeTangCa[Tỷ lệ],
(Table_BangLuong_TyLeTangCa[Ngày] = AQ$3) *
(Table_BangLuong_TyLeTangCa[Giờ min]&lt;=$AA17) *
(Table_BangLuong_TyLeTangCa[Giờ max]&gt;$AA17)
)))),
IF(AND($AA17-$Z$4 &gt;= AQ$5,$AA17 &lt; AQ$4),0,
SUM(_xlfn._xlws.FILTER(Table_BangLuong_TyLeTangCa[Tỷ lệ],
(Table_BangLuong_TyLeTangCa[Ngày] = AQ$3) *
(Table_BangLuong_TyLeTangCa[Giờ min]&lt;=$AA17) *
(Table_BangLuong_TyLeTangCa[Giờ max]&gt;$AA17)
))))
),
IF(ISBLANK(AQ$7),
IF(VLOOKUP(AQ$6, Table_ChiPhiNV_Ca[], COUNTA(Table_ChiPhiNV_Ca[[#Headers],[Ca]:[Kết thúc]]),0)&gt; VLOOKUP(AQ$6, Table_ChiPhiNV_Ca[], COUNTA(Table_ChiPhiNV_Ca[[#Headers],[Ca]:[Bắt đầu]]),0),
IF($AA17-$Z$4&lt;MAX(AQ$4,VLOOKUP(AQ$6, Table_ChiPhiNV_Ca[], COUNTA(Table_ChiPhiNV_Ca[[#Headers],[Ca]:[Bắt đầu]]),0)),0,
IF($AA17&gt;MIN(AQ$5,VLOOKUP(AQ$6, Table_ChiPhiNV_Ca[], COUNTA(Table_ChiPhiNV_Ca[[#Headers],[Ca]:[Kết thúc]]),0)),0,
SUM(_xlfn._xlws.FILTER(Table_BangLuong_TyLeTangCa[Tỷ lệ],
(Table_BangLuong_TyLeTangCa[Ngày] = "Thường") *
(Table_BangLuong_TyLeTangCa[Giờ min]&lt;=$AA17) *
(Table_BangLuong_TyLeTangCa[Giờ max]&gt;$AA17)
)))),
IF(AQ$4 &gt; AQ$5,
IF(
AND(
$AA17-$Z$4&lt;MAX(AQ$4,VLOOKUP(AQ$6, Table_ChiPhiNV_Ca[], COUNTA(Table_ChiPhiNV_Ca[[#Headers],[Ca]:[Bắt đầu]]),0)),
$AA17&gt;MIN(AQ$5,VLOOKUP(AQ$6, Table_ChiPhiNV_Ca[], COUNTA(Table_ChiPhiNV_Ca[[#Headers],[Ca]:[Kết thúc]]),0))),0,
SUM(_xlfn._xlws.FILTER(Table_BangLuong_TyLeTangCa[Tỷ lệ],
(Table_BangLuong_TyLeTangCa[Ngày] = "Thường") *
(Table_BangLuong_TyLeTangCa[Giờ min]&lt;=$AA17) *
(Table_BangLuong_TyLeTangCa[Giờ max]&gt;$AA17)
))),
IF(
AND(
$AA17-$Z$4&gt;=MAX(AQ$4,VLOOKUP(AQ$6, Table_ChiPhiNV_Ca[], COUNTA(Table_ChiPhiNV_Ca[[#Headers],[Ca]:[Bắt đầu]]),0)),
$AA17&lt;MIN(AQ$5,VLOOKUP(AQ$6, Table_ChiPhiNV_Ca[], COUNTA(Table_ChiPhiNV_Ca[[#Headers],[Ca]:[Kết thúc]]),0))),
SUM(_xlfn._xlws.FILTER(Table_BangLuong_TyLeTangCa[Tỷ lệ],
(Table_BangLuong_TyLeTangCa[Ngày] = "Thường") *
(Table_BangLuong_TyLeTangCa[Giờ min]&lt;=$AA17) *
(Table_BangLuong_TyLeTangCa[Giờ max]&gt;$AA17)
)),0)
)),
IF(AQ$4 &lt; AQ$5,
IF($AA17-$Z$4&lt;AQ$4,0,
IF($AA17&gt;AQ$5,0,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AQ$5,$AA17 &lt; AQ$4),0,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R17" s="18" cm="1">
        <f t="array" ref="AR17" xml:space="preserve">
IFERROR(
IF(AR$1="",0,
IF(AND(
$AA17&gt;=VLOOKUP(AR$6, Table_ChiPhiNV_Ca[], COUNTA(Table_ChiPhiNV_Ca[[#Headers],[Ca]:[Bắt đầu nghỉ]]),0),
$AA17&lt;VLOOKUP(AR$6, Table_ChiPhiNV_Ca[], COUNTA(Table_ChiPhiNV_Ca[[#Headers],[Ca]:[Kết thúc nghỉ]]),0)
),0,
IF(NOT(ISBLANK(AR$3)),
IF(ISBLANK(AR$7),0,
IF(AR$4 &lt; AR$5,
IF($AA17-$Z$4&lt;AR$4,0,
IF($AA17&gt;AR$5,0,
SUM(_xlfn._xlws.FILTER(Table_BangLuong_TyLeTangCa[Tỷ lệ],
(Table_BangLuong_TyLeTangCa[Ngày] = AR$3) *
(Table_BangLuong_TyLeTangCa[Giờ min]&lt;=$AA17) *
(Table_BangLuong_TyLeTangCa[Giờ max]&gt;$AA17)
)))),
IF(AND($AA17-$Z$4 &gt;= AR$5,$AA17 &lt; AR$4),0,
SUM(_xlfn._xlws.FILTER(Table_BangLuong_TyLeTangCa[Tỷ lệ],
(Table_BangLuong_TyLeTangCa[Ngày] = AR$3) *
(Table_BangLuong_TyLeTangCa[Giờ min]&lt;=$AA17) *
(Table_BangLuong_TyLeTangCa[Giờ max]&gt;$AA17)
))))
),
IF(ISBLANK(AR$7),
IF(VLOOKUP(AR$6, Table_ChiPhiNV_Ca[], COUNTA(Table_ChiPhiNV_Ca[[#Headers],[Ca]:[Kết thúc]]),0)&gt; VLOOKUP(AR$6, Table_ChiPhiNV_Ca[], COUNTA(Table_ChiPhiNV_Ca[[#Headers],[Ca]:[Bắt đầu]]),0),
IF($AA17-$Z$4&lt;MAX(AR$4,VLOOKUP(AR$6, Table_ChiPhiNV_Ca[], COUNTA(Table_ChiPhiNV_Ca[[#Headers],[Ca]:[Bắt đầu]]),0)),0,
IF($AA17&gt;MIN(AR$5,VLOOKUP(AR$6, Table_ChiPhiNV_Ca[], COUNTA(Table_ChiPhiNV_Ca[[#Headers],[Ca]:[Kết thúc]]),0)),0,
SUM(_xlfn._xlws.FILTER(Table_BangLuong_TyLeTangCa[Tỷ lệ],
(Table_BangLuong_TyLeTangCa[Ngày] = "Thường") *
(Table_BangLuong_TyLeTangCa[Giờ min]&lt;=$AA17) *
(Table_BangLuong_TyLeTangCa[Giờ max]&gt;$AA17)
)))),
IF(AR$4 &gt; AR$5,
IF(
AND(
$AA17-$Z$4&lt;MAX(AR$4,VLOOKUP(AR$6, Table_ChiPhiNV_Ca[], COUNTA(Table_ChiPhiNV_Ca[[#Headers],[Ca]:[Bắt đầu]]),0)),
$AA17&gt;MIN(AR$5,VLOOKUP(AR$6, Table_ChiPhiNV_Ca[], COUNTA(Table_ChiPhiNV_Ca[[#Headers],[Ca]:[Kết thúc]]),0))),0,
SUM(_xlfn._xlws.FILTER(Table_BangLuong_TyLeTangCa[Tỷ lệ],
(Table_BangLuong_TyLeTangCa[Ngày] = "Thường") *
(Table_BangLuong_TyLeTangCa[Giờ min]&lt;=$AA17) *
(Table_BangLuong_TyLeTangCa[Giờ max]&gt;$AA17)
))),
IF(
AND(
$AA17-$Z$4&gt;=MAX(AR$4,VLOOKUP(AR$6, Table_ChiPhiNV_Ca[], COUNTA(Table_ChiPhiNV_Ca[[#Headers],[Ca]:[Bắt đầu]]),0)),
$AA17&lt;MIN(AR$5,VLOOKUP(AR$6, Table_ChiPhiNV_Ca[], COUNTA(Table_ChiPhiNV_Ca[[#Headers],[Ca]:[Kết thúc]]),0))),
SUM(_xlfn._xlws.FILTER(Table_BangLuong_TyLeTangCa[Tỷ lệ],
(Table_BangLuong_TyLeTangCa[Ngày] = "Thường") *
(Table_BangLuong_TyLeTangCa[Giờ min]&lt;=$AA17) *
(Table_BangLuong_TyLeTangCa[Giờ max]&gt;$AA17)
)),0)
)),
IF(AR$4 &lt; AR$5,
IF($AA17-$Z$4&lt;AR$4,0,
IF($AA17&gt;AR$5,0,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AR$5,$AA17 &lt; AR$4),0,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S17" s="18" cm="1">
        <f t="array" ref="AS17" xml:space="preserve">
IFERROR(
IF(AS$1="",0,
IF(AND(
$AA17&gt;=VLOOKUP(AS$6, Table_ChiPhiNV_Ca[], COUNTA(Table_ChiPhiNV_Ca[[#Headers],[Ca]:[Bắt đầu nghỉ]]),0),
$AA17&lt;VLOOKUP(AS$6, Table_ChiPhiNV_Ca[], COUNTA(Table_ChiPhiNV_Ca[[#Headers],[Ca]:[Kết thúc nghỉ]]),0)
),0,
IF(NOT(ISBLANK(AS$3)),
IF(ISBLANK(AS$7),0,
IF(AS$4 &lt; AS$5,
IF($AA17-$Z$4&lt;AS$4,0,
IF($AA17&gt;AS$5,0,
SUM(_xlfn._xlws.FILTER(Table_BangLuong_TyLeTangCa[Tỷ lệ],
(Table_BangLuong_TyLeTangCa[Ngày] = AS$3) *
(Table_BangLuong_TyLeTangCa[Giờ min]&lt;=$AA17) *
(Table_BangLuong_TyLeTangCa[Giờ max]&gt;$AA17)
)))),
IF(AND($AA17-$Z$4 &gt;= AS$5,$AA17 &lt; AS$4),0,
SUM(_xlfn._xlws.FILTER(Table_BangLuong_TyLeTangCa[Tỷ lệ],
(Table_BangLuong_TyLeTangCa[Ngày] = AS$3) *
(Table_BangLuong_TyLeTangCa[Giờ min]&lt;=$AA17) *
(Table_BangLuong_TyLeTangCa[Giờ max]&gt;$AA17)
))))
),
IF(ISBLANK(AS$7),
IF(VLOOKUP(AS$6, Table_ChiPhiNV_Ca[], COUNTA(Table_ChiPhiNV_Ca[[#Headers],[Ca]:[Kết thúc]]),0)&gt; VLOOKUP(AS$6, Table_ChiPhiNV_Ca[], COUNTA(Table_ChiPhiNV_Ca[[#Headers],[Ca]:[Bắt đầu]]),0),
IF($AA17-$Z$4&lt;MAX(AS$4,VLOOKUP(AS$6, Table_ChiPhiNV_Ca[], COUNTA(Table_ChiPhiNV_Ca[[#Headers],[Ca]:[Bắt đầu]]),0)),0,
IF($AA17&gt;MIN(AS$5,VLOOKUP(AS$6, Table_ChiPhiNV_Ca[], COUNTA(Table_ChiPhiNV_Ca[[#Headers],[Ca]:[Kết thúc]]),0)),0,
SUM(_xlfn._xlws.FILTER(Table_BangLuong_TyLeTangCa[Tỷ lệ],
(Table_BangLuong_TyLeTangCa[Ngày] = "Thường") *
(Table_BangLuong_TyLeTangCa[Giờ min]&lt;=$AA17) *
(Table_BangLuong_TyLeTangCa[Giờ max]&gt;$AA17)
)))),
IF(AS$4 &gt; AS$5,
IF(
AND(
$AA17-$Z$4&lt;MAX(AS$4,VLOOKUP(AS$6, Table_ChiPhiNV_Ca[], COUNTA(Table_ChiPhiNV_Ca[[#Headers],[Ca]:[Bắt đầu]]),0)),
$AA17&gt;MIN(AS$5,VLOOKUP(AS$6, Table_ChiPhiNV_Ca[], COUNTA(Table_ChiPhiNV_Ca[[#Headers],[Ca]:[Kết thúc]]),0))),0,
SUM(_xlfn._xlws.FILTER(Table_BangLuong_TyLeTangCa[Tỷ lệ],
(Table_BangLuong_TyLeTangCa[Ngày] = "Thường") *
(Table_BangLuong_TyLeTangCa[Giờ min]&lt;=$AA17) *
(Table_BangLuong_TyLeTangCa[Giờ max]&gt;$AA17)
))),
IF(
AND(
$AA17-$Z$4&gt;=MAX(AS$4,VLOOKUP(AS$6, Table_ChiPhiNV_Ca[], COUNTA(Table_ChiPhiNV_Ca[[#Headers],[Ca]:[Bắt đầu]]),0)),
$AA17&lt;MIN(AS$5,VLOOKUP(AS$6, Table_ChiPhiNV_Ca[], COUNTA(Table_ChiPhiNV_Ca[[#Headers],[Ca]:[Kết thúc]]),0))),
SUM(_xlfn._xlws.FILTER(Table_BangLuong_TyLeTangCa[Tỷ lệ],
(Table_BangLuong_TyLeTangCa[Ngày] = "Thường") *
(Table_BangLuong_TyLeTangCa[Giờ min]&lt;=$AA17) *
(Table_BangLuong_TyLeTangCa[Giờ max]&gt;$AA17)
)),0)
)),
IF(AS$4 &lt; AS$5,
IF($AA17-$Z$4&lt;AS$4,0,
IF($AA17&gt;AS$5,0,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AS$5,$AA17 &lt; AS$4),0,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T17" s="18" cm="1">
        <f t="array" ref="AT17" xml:space="preserve">
IFERROR(
IF(AT$1="",0,
IF(AND(
$AA17&gt;=VLOOKUP(AT$6, Table_ChiPhiNV_Ca[], COUNTA(Table_ChiPhiNV_Ca[[#Headers],[Ca]:[Bắt đầu nghỉ]]),0),
$AA17&lt;VLOOKUP(AT$6, Table_ChiPhiNV_Ca[], COUNTA(Table_ChiPhiNV_Ca[[#Headers],[Ca]:[Kết thúc nghỉ]]),0)
),0,
IF(NOT(ISBLANK(AT$3)),
IF(ISBLANK(AT$7),0,
IF(AT$4 &lt; AT$5,
IF($AA17-$Z$4&lt;AT$4,0,
IF($AA17&gt;AT$5,0,
SUM(_xlfn._xlws.FILTER(Table_BangLuong_TyLeTangCa[Tỷ lệ],
(Table_BangLuong_TyLeTangCa[Ngày] = AT$3) *
(Table_BangLuong_TyLeTangCa[Giờ min]&lt;=$AA17) *
(Table_BangLuong_TyLeTangCa[Giờ max]&gt;$AA17)
)))),
IF(AND($AA17-$Z$4 &gt;= AT$5,$AA17 &lt; AT$4),0,
SUM(_xlfn._xlws.FILTER(Table_BangLuong_TyLeTangCa[Tỷ lệ],
(Table_BangLuong_TyLeTangCa[Ngày] = AT$3) *
(Table_BangLuong_TyLeTangCa[Giờ min]&lt;=$AA17) *
(Table_BangLuong_TyLeTangCa[Giờ max]&gt;$AA17)
))))
),
IF(ISBLANK(AT$7),
IF(VLOOKUP(AT$6, Table_ChiPhiNV_Ca[], COUNTA(Table_ChiPhiNV_Ca[[#Headers],[Ca]:[Kết thúc]]),0)&gt; VLOOKUP(AT$6, Table_ChiPhiNV_Ca[], COUNTA(Table_ChiPhiNV_Ca[[#Headers],[Ca]:[Bắt đầu]]),0),
IF($AA17-$Z$4&lt;MAX(AT$4,VLOOKUP(AT$6, Table_ChiPhiNV_Ca[], COUNTA(Table_ChiPhiNV_Ca[[#Headers],[Ca]:[Bắt đầu]]),0)),0,
IF($AA17&gt;MIN(AT$5,VLOOKUP(AT$6, Table_ChiPhiNV_Ca[], COUNTA(Table_ChiPhiNV_Ca[[#Headers],[Ca]:[Kết thúc]]),0)),0,
SUM(_xlfn._xlws.FILTER(Table_BangLuong_TyLeTangCa[Tỷ lệ],
(Table_BangLuong_TyLeTangCa[Ngày] = "Thường") *
(Table_BangLuong_TyLeTangCa[Giờ min]&lt;=$AA17) *
(Table_BangLuong_TyLeTangCa[Giờ max]&gt;$AA17)
)))),
IF(AT$4 &gt; AT$5,
IF(
AND(
$AA17-$Z$4&lt;MAX(AT$4,VLOOKUP(AT$6, Table_ChiPhiNV_Ca[], COUNTA(Table_ChiPhiNV_Ca[[#Headers],[Ca]:[Bắt đầu]]),0)),
$AA17&gt;MIN(AT$5,VLOOKUP(AT$6, Table_ChiPhiNV_Ca[], COUNTA(Table_ChiPhiNV_Ca[[#Headers],[Ca]:[Kết thúc]]),0))),0,
SUM(_xlfn._xlws.FILTER(Table_BangLuong_TyLeTangCa[Tỷ lệ],
(Table_BangLuong_TyLeTangCa[Ngày] = "Thường") *
(Table_BangLuong_TyLeTangCa[Giờ min]&lt;=$AA17) *
(Table_BangLuong_TyLeTangCa[Giờ max]&gt;$AA17)
))),
IF(
AND(
$AA17-$Z$4&gt;=MAX(AT$4,VLOOKUP(AT$6, Table_ChiPhiNV_Ca[], COUNTA(Table_ChiPhiNV_Ca[[#Headers],[Ca]:[Bắt đầu]]),0)),
$AA17&lt;MIN(AT$5,VLOOKUP(AT$6, Table_ChiPhiNV_Ca[], COUNTA(Table_ChiPhiNV_Ca[[#Headers],[Ca]:[Kết thúc]]),0))),
SUM(_xlfn._xlws.FILTER(Table_BangLuong_TyLeTangCa[Tỷ lệ],
(Table_BangLuong_TyLeTangCa[Ngày] = "Thường") *
(Table_BangLuong_TyLeTangCa[Giờ min]&lt;=$AA17) *
(Table_BangLuong_TyLeTangCa[Giờ max]&gt;$AA17)
)),0)
)),
IF(AT$4 &lt; AT$5,
IF($AA17-$Z$4&lt;AT$4,0,
IF($AA17&gt;AT$5,0,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AT$5,$AA17 &lt; AT$4),0,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U17" s="18" cm="1">
        <f t="array" ref="AU17" xml:space="preserve">
IFERROR(
IF(AU$1="",0,
IF(AND(
$AA17&gt;=VLOOKUP(AU$6, Table_ChiPhiNV_Ca[], COUNTA(Table_ChiPhiNV_Ca[[#Headers],[Ca]:[Bắt đầu nghỉ]]),0),
$AA17&lt;VLOOKUP(AU$6, Table_ChiPhiNV_Ca[], COUNTA(Table_ChiPhiNV_Ca[[#Headers],[Ca]:[Kết thúc nghỉ]]),0)
),0,
IF(NOT(ISBLANK(AU$3)),
IF(ISBLANK(AU$7),0,
IF(AU$4 &lt; AU$5,
IF($AA17-$Z$4&lt;AU$4,0,
IF($AA17&gt;AU$5,0,
SUM(_xlfn._xlws.FILTER(Table_BangLuong_TyLeTangCa[Tỷ lệ],
(Table_BangLuong_TyLeTangCa[Ngày] = AU$3) *
(Table_BangLuong_TyLeTangCa[Giờ min]&lt;=$AA17) *
(Table_BangLuong_TyLeTangCa[Giờ max]&gt;$AA17)
)))),
IF(AND($AA17-$Z$4 &gt;= AU$5,$AA17 &lt; AU$4),0,
SUM(_xlfn._xlws.FILTER(Table_BangLuong_TyLeTangCa[Tỷ lệ],
(Table_BangLuong_TyLeTangCa[Ngày] = AU$3) *
(Table_BangLuong_TyLeTangCa[Giờ min]&lt;=$AA17) *
(Table_BangLuong_TyLeTangCa[Giờ max]&gt;$AA17)
))))
),
IF(ISBLANK(AU$7),
IF(VLOOKUP(AU$6, Table_ChiPhiNV_Ca[], COUNTA(Table_ChiPhiNV_Ca[[#Headers],[Ca]:[Kết thúc]]),0)&gt; VLOOKUP(AU$6, Table_ChiPhiNV_Ca[], COUNTA(Table_ChiPhiNV_Ca[[#Headers],[Ca]:[Bắt đầu]]),0),
IF($AA17-$Z$4&lt;MAX(AU$4,VLOOKUP(AU$6, Table_ChiPhiNV_Ca[], COUNTA(Table_ChiPhiNV_Ca[[#Headers],[Ca]:[Bắt đầu]]),0)),0,
IF($AA17&gt;MIN(AU$5,VLOOKUP(AU$6, Table_ChiPhiNV_Ca[], COUNTA(Table_ChiPhiNV_Ca[[#Headers],[Ca]:[Kết thúc]]),0)),0,
SUM(_xlfn._xlws.FILTER(Table_BangLuong_TyLeTangCa[Tỷ lệ],
(Table_BangLuong_TyLeTangCa[Ngày] = "Thường") *
(Table_BangLuong_TyLeTangCa[Giờ min]&lt;=$AA17) *
(Table_BangLuong_TyLeTangCa[Giờ max]&gt;$AA17)
)))),
IF(AU$4 &gt; AU$5,
IF(
AND(
$AA17-$Z$4&lt;MAX(AU$4,VLOOKUP(AU$6, Table_ChiPhiNV_Ca[], COUNTA(Table_ChiPhiNV_Ca[[#Headers],[Ca]:[Bắt đầu]]),0)),
$AA17&gt;MIN(AU$5,VLOOKUP(AU$6, Table_ChiPhiNV_Ca[], COUNTA(Table_ChiPhiNV_Ca[[#Headers],[Ca]:[Kết thúc]]),0))),0,
SUM(_xlfn._xlws.FILTER(Table_BangLuong_TyLeTangCa[Tỷ lệ],
(Table_BangLuong_TyLeTangCa[Ngày] = "Thường") *
(Table_BangLuong_TyLeTangCa[Giờ min]&lt;=$AA17) *
(Table_BangLuong_TyLeTangCa[Giờ max]&gt;$AA17)
))),
IF(
AND(
$AA17-$Z$4&gt;=MAX(AU$4,VLOOKUP(AU$6, Table_ChiPhiNV_Ca[], COUNTA(Table_ChiPhiNV_Ca[[#Headers],[Ca]:[Bắt đầu]]),0)),
$AA17&lt;MIN(AU$5,VLOOKUP(AU$6, Table_ChiPhiNV_Ca[], COUNTA(Table_ChiPhiNV_Ca[[#Headers],[Ca]:[Kết thúc]]),0))),
SUM(_xlfn._xlws.FILTER(Table_BangLuong_TyLeTangCa[Tỷ lệ],
(Table_BangLuong_TyLeTangCa[Ngày] = "Thường") *
(Table_BangLuong_TyLeTangCa[Giờ min]&lt;=$AA17) *
(Table_BangLuong_TyLeTangCa[Giờ max]&gt;$AA17)
)),0)
)),
IF(AU$4 &lt; AU$5,
IF($AA17-$Z$4&lt;AU$4,0,
IF($AA17&gt;AU$5,0,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AU$5,$AA17 &lt; AU$4),0,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V17" s="18" cm="1">
        <f t="array" ref="AV17" xml:space="preserve">
IFERROR(
IF(AV$1="",0,
IF(AND(
$AA17&gt;=VLOOKUP(AV$6, Table_ChiPhiNV_Ca[], COUNTA(Table_ChiPhiNV_Ca[[#Headers],[Ca]:[Bắt đầu nghỉ]]),0),
$AA17&lt;VLOOKUP(AV$6, Table_ChiPhiNV_Ca[], COUNTA(Table_ChiPhiNV_Ca[[#Headers],[Ca]:[Kết thúc nghỉ]]),0)
),0,
IF(NOT(ISBLANK(AV$3)),
IF(ISBLANK(AV$7),0,
IF(AV$4 &lt; AV$5,
IF($AA17-$Z$4&lt;AV$4,0,
IF($AA17&gt;AV$5,0,
SUM(_xlfn._xlws.FILTER(Table_BangLuong_TyLeTangCa[Tỷ lệ],
(Table_BangLuong_TyLeTangCa[Ngày] = AV$3) *
(Table_BangLuong_TyLeTangCa[Giờ min]&lt;=$AA17) *
(Table_BangLuong_TyLeTangCa[Giờ max]&gt;$AA17)
)))),
IF(AND($AA17-$Z$4 &gt;= AV$5,$AA17 &lt; AV$4),0,
SUM(_xlfn._xlws.FILTER(Table_BangLuong_TyLeTangCa[Tỷ lệ],
(Table_BangLuong_TyLeTangCa[Ngày] = AV$3) *
(Table_BangLuong_TyLeTangCa[Giờ min]&lt;=$AA17) *
(Table_BangLuong_TyLeTangCa[Giờ max]&gt;$AA17)
))))
),
IF(ISBLANK(AV$7),
IF(VLOOKUP(AV$6, Table_ChiPhiNV_Ca[], COUNTA(Table_ChiPhiNV_Ca[[#Headers],[Ca]:[Kết thúc]]),0)&gt; VLOOKUP(AV$6, Table_ChiPhiNV_Ca[], COUNTA(Table_ChiPhiNV_Ca[[#Headers],[Ca]:[Bắt đầu]]),0),
IF($AA17-$Z$4&lt;MAX(AV$4,VLOOKUP(AV$6, Table_ChiPhiNV_Ca[], COUNTA(Table_ChiPhiNV_Ca[[#Headers],[Ca]:[Bắt đầu]]),0)),0,
IF($AA17&gt;MIN(AV$5,VLOOKUP(AV$6, Table_ChiPhiNV_Ca[], COUNTA(Table_ChiPhiNV_Ca[[#Headers],[Ca]:[Kết thúc]]),0)),0,
SUM(_xlfn._xlws.FILTER(Table_BangLuong_TyLeTangCa[Tỷ lệ],
(Table_BangLuong_TyLeTangCa[Ngày] = "Thường") *
(Table_BangLuong_TyLeTangCa[Giờ min]&lt;=$AA17) *
(Table_BangLuong_TyLeTangCa[Giờ max]&gt;$AA17)
)))),
IF(AV$4 &gt; AV$5,
IF(
AND(
$AA17-$Z$4&lt;MAX(AV$4,VLOOKUP(AV$6, Table_ChiPhiNV_Ca[], COUNTA(Table_ChiPhiNV_Ca[[#Headers],[Ca]:[Bắt đầu]]),0)),
$AA17&gt;MIN(AV$5,VLOOKUP(AV$6, Table_ChiPhiNV_Ca[], COUNTA(Table_ChiPhiNV_Ca[[#Headers],[Ca]:[Kết thúc]]),0))),0,
SUM(_xlfn._xlws.FILTER(Table_BangLuong_TyLeTangCa[Tỷ lệ],
(Table_BangLuong_TyLeTangCa[Ngày] = "Thường") *
(Table_BangLuong_TyLeTangCa[Giờ min]&lt;=$AA17) *
(Table_BangLuong_TyLeTangCa[Giờ max]&gt;$AA17)
))),
IF(
AND(
$AA17-$Z$4&gt;=MAX(AV$4,VLOOKUP(AV$6, Table_ChiPhiNV_Ca[], COUNTA(Table_ChiPhiNV_Ca[[#Headers],[Ca]:[Bắt đầu]]),0)),
$AA17&lt;MIN(AV$5,VLOOKUP(AV$6, Table_ChiPhiNV_Ca[], COUNTA(Table_ChiPhiNV_Ca[[#Headers],[Ca]:[Kết thúc]]),0))),
SUM(_xlfn._xlws.FILTER(Table_BangLuong_TyLeTangCa[Tỷ lệ],
(Table_BangLuong_TyLeTangCa[Ngày] = "Thường") *
(Table_BangLuong_TyLeTangCa[Giờ min]&lt;=$AA17) *
(Table_BangLuong_TyLeTangCa[Giờ max]&gt;$AA17)
)),0)
)),
IF(AV$4 &lt; AV$5,
IF($AA17-$Z$4&lt;AV$4,0,
IF($AA17&gt;AV$5,0,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AV$5,$AA17 &lt; AV$4),0,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W17" s="18" cm="1">
        <f t="array" ref="AW17" xml:space="preserve">
IFERROR(
IF(AW$1="",0,
IF(AND(
$AA17&gt;=VLOOKUP(AW$6, Table_ChiPhiNV_Ca[], COUNTA(Table_ChiPhiNV_Ca[[#Headers],[Ca]:[Bắt đầu nghỉ]]),0),
$AA17&lt;VLOOKUP(AW$6, Table_ChiPhiNV_Ca[], COUNTA(Table_ChiPhiNV_Ca[[#Headers],[Ca]:[Kết thúc nghỉ]]),0)
),0,
IF(NOT(ISBLANK(AW$3)),
IF(ISBLANK(AW$7),0,
IF(AW$4 &lt; AW$5,
IF($AA17-$Z$4&lt;AW$4,0,
IF($AA17&gt;AW$5,0,
SUM(_xlfn._xlws.FILTER(Table_BangLuong_TyLeTangCa[Tỷ lệ],
(Table_BangLuong_TyLeTangCa[Ngày] = AW$3) *
(Table_BangLuong_TyLeTangCa[Giờ min]&lt;=$AA17) *
(Table_BangLuong_TyLeTangCa[Giờ max]&gt;$AA17)
)))),
IF(AND($AA17-$Z$4 &gt;= AW$5,$AA17 &lt; AW$4),0,
SUM(_xlfn._xlws.FILTER(Table_BangLuong_TyLeTangCa[Tỷ lệ],
(Table_BangLuong_TyLeTangCa[Ngày] = AW$3) *
(Table_BangLuong_TyLeTangCa[Giờ min]&lt;=$AA17) *
(Table_BangLuong_TyLeTangCa[Giờ max]&gt;$AA17)
))))
),
IF(ISBLANK(AW$7),
IF(VLOOKUP(AW$6, Table_ChiPhiNV_Ca[], COUNTA(Table_ChiPhiNV_Ca[[#Headers],[Ca]:[Kết thúc]]),0)&gt; VLOOKUP(AW$6, Table_ChiPhiNV_Ca[], COUNTA(Table_ChiPhiNV_Ca[[#Headers],[Ca]:[Bắt đầu]]),0),
IF($AA17-$Z$4&lt;MAX(AW$4,VLOOKUP(AW$6, Table_ChiPhiNV_Ca[], COUNTA(Table_ChiPhiNV_Ca[[#Headers],[Ca]:[Bắt đầu]]),0)),0,
IF($AA17&gt;MIN(AW$5,VLOOKUP(AW$6, Table_ChiPhiNV_Ca[], COUNTA(Table_ChiPhiNV_Ca[[#Headers],[Ca]:[Kết thúc]]),0)),0,
SUM(_xlfn._xlws.FILTER(Table_BangLuong_TyLeTangCa[Tỷ lệ],
(Table_BangLuong_TyLeTangCa[Ngày] = "Thường") *
(Table_BangLuong_TyLeTangCa[Giờ min]&lt;=$AA17) *
(Table_BangLuong_TyLeTangCa[Giờ max]&gt;$AA17)
)))),
IF(AW$4 &gt; AW$5,
IF(
AND(
$AA17-$Z$4&lt;MAX(AW$4,VLOOKUP(AW$6, Table_ChiPhiNV_Ca[], COUNTA(Table_ChiPhiNV_Ca[[#Headers],[Ca]:[Bắt đầu]]),0)),
$AA17&gt;MIN(AW$5,VLOOKUP(AW$6, Table_ChiPhiNV_Ca[], COUNTA(Table_ChiPhiNV_Ca[[#Headers],[Ca]:[Kết thúc]]),0))),0,
SUM(_xlfn._xlws.FILTER(Table_BangLuong_TyLeTangCa[Tỷ lệ],
(Table_BangLuong_TyLeTangCa[Ngày] = "Thường") *
(Table_BangLuong_TyLeTangCa[Giờ min]&lt;=$AA17) *
(Table_BangLuong_TyLeTangCa[Giờ max]&gt;$AA17)
))),
IF(
AND(
$AA17-$Z$4&gt;=MAX(AW$4,VLOOKUP(AW$6, Table_ChiPhiNV_Ca[], COUNTA(Table_ChiPhiNV_Ca[[#Headers],[Ca]:[Bắt đầu]]),0)),
$AA17&lt;MIN(AW$5,VLOOKUP(AW$6, Table_ChiPhiNV_Ca[], COUNTA(Table_ChiPhiNV_Ca[[#Headers],[Ca]:[Kết thúc]]),0))),
SUM(_xlfn._xlws.FILTER(Table_BangLuong_TyLeTangCa[Tỷ lệ],
(Table_BangLuong_TyLeTangCa[Ngày] = "Thường") *
(Table_BangLuong_TyLeTangCa[Giờ min]&lt;=$AA17) *
(Table_BangLuong_TyLeTangCa[Giờ max]&gt;$AA17)
)),0)
)),
IF(AW$4 &lt; AW$5,
IF($AA17-$Z$4&lt;AW$4,0,
IF($AA17&gt;AW$5,0,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AW$5,$AA17 &lt; AW$4),0,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X17" s="18" cm="1">
        <f t="array" ref="AX17" xml:space="preserve">
IFERROR(
IF(AX$1="",0,
IF(AND(
$AA17&gt;=VLOOKUP(AX$6, Table_ChiPhiNV_Ca[], COUNTA(Table_ChiPhiNV_Ca[[#Headers],[Ca]:[Bắt đầu nghỉ]]),0),
$AA17&lt;VLOOKUP(AX$6, Table_ChiPhiNV_Ca[], COUNTA(Table_ChiPhiNV_Ca[[#Headers],[Ca]:[Kết thúc nghỉ]]),0)
),0,
IF(NOT(ISBLANK(AX$3)),
IF(ISBLANK(AX$7),0,
IF(AX$4 &lt; AX$5,
IF($AA17-$Z$4&lt;AX$4,0,
IF($AA17&gt;AX$5,0,
SUM(_xlfn._xlws.FILTER(Table_BangLuong_TyLeTangCa[Tỷ lệ],
(Table_BangLuong_TyLeTangCa[Ngày] = AX$3) *
(Table_BangLuong_TyLeTangCa[Giờ min]&lt;=$AA17) *
(Table_BangLuong_TyLeTangCa[Giờ max]&gt;$AA17)
)))),
IF(AND($AA17-$Z$4 &gt;= AX$5,$AA17 &lt; AX$4),0,
SUM(_xlfn._xlws.FILTER(Table_BangLuong_TyLeTangCa[Tỷ lệ],
(Table_BangLuong_TyLeTangCa[Ngày] = AX$3) *
(Table_BangLuong_TyLeTangCa[Giờ min]&lt;=$AA17) *
(Table_BangLuong_TyLeTangCa[Giờ max]&gt;$AA17)
))))
),
IF(ISBLANK(AX$7),
IF(VLOOKUP(AX$6, Table_ChiPhiNV_Ca[], COUNTA(Table_ChiPhiNV_Ca[[#Headers],[Ca]:[Kết thúc]]),0)&gt; VLOOKUP(AX$6, Table_ChiPhiNV_Ca[], COUNTA(Table_ChiPhiNV_Ca[[#Headers],[Ca]:[Bắt đầu]]),0),
IF($AA17-$Z$4&lt;MAX(AX$4,VLOOKUP(AX$6, Table_ChiPhiNV_Ca[], COUNTA(Table_ChiPhiNV_Ca[[#Headers],[Ca]:[Bắt đầu]]),0)),0,
IF($AA17&gt;MIN(AX$5,VLOOKUP(AX$6, Table_ChiPhiNV_Ca[], COUNTA(Table_ChiPhiNV_Ca[[#Headers],[Ca]:[Kết thúc]]),0)),0,
SUM(_xlfn._xlws.FILTER(Table_BangLuong_TyLeTangCa[Tỷ lệ],
(Table_BangLuong_TyLeTangCa[Ngày] = "Thường") *
(Table_BangLuong_TyLeTangCa[Giờ min]&lt;=$AA17) *
(Table_BangLuong_TyLeTangCa[Giờ max]&gt;$AA17)
)))),
IF(AX$4 &gt; AX$5,
IF(
AND(
$AA17-$Z$4&lt;MAX(AX$4,VLOOKUP(AX$6, Table_ChiPhiNV_Ca[], COUNTA(Table_ChiPhiNV_Ca[[#Headers],[Ca]:[Bắt đầu]]),0)),
$AA17&gt;MIN(AX$5,VLOOKUP(AX$6, Table_ChiPhiNV_Ca[], COUNTA(Table_ChiPhiNV_Ca[[#Headers],[Ca]:[Kết thúc]]),0))),0,
SUM(_xlfn._xlws.FILTER(Table_BangLuong_TyLeTangCa[Tỷ lệ],
(Table_BangLuong_TyLeTangCa[Ngày] = "Thường") *
(Table_BangLuong_TyLeTangCa[Giờ min]&lt;=$AA17) *
(Table_BangLuong_TyLeTangCa[Giờ max]&gt;$AA17)
))),
IF(
AND(
$AA17-$Z$4&gt;=MAX(AX$4,VLOOKUP(AX$6, Table_ChiPhiNV_Ca[], COUNTA(Table_ChiPhiNV_Ca[[#Headers],[Ca]:[Bắt đầu]]),0)),
$AA17&lt;MIN(AX$5,VLOOKUP(AX$6, Table_ChiPhiNV_Ca[], COUNTA(Table_ChiPhiNV_Ca[[#Headers],[Ca]:[Kết thúc]]),0))),
SUM(_xlfn._xlws.FILTER(Table_BangLuong_TyLeTangCa[Tỷ lệ],
(Table_BangLuong_TyLeTangCa[Ngày] = "Thường") *
(Table_BangLuong_TyLeTangCa[Giờ min]&lt;=$AA17) *
(Table_BangLuong_TyLeTangCa[Giờ max]&gt;$AA17)
)),0)
)),
IF(AX$4 &lt; AX$5,
IF($AA17-$Z$4&lt;AX$4,0,
IF($AA17&gt;AX$5,0,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AX$5,$AA17 &lt; AX$4),0,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Y17" s="18" cm="1">
        <f t="array" ref="AY17" xml:space="preserve">
IFERROR(
IF(AY$1="",0,
IF(AND(
$AA17&gt;=VLOOKUP(AY$6, Table_ChiPhiNV_Ca[], COUNTA(Table_ChiPhiNV_Ca[[#Headers],[Ca]:[Bắt đầu nghỉ]]),0),
$AA17&lt;VLOOKUP(AY$6, Table_ChiPhiNV_Ca[], COUNTA(Table_ChiPhiNV_Ca[[#Headers],[Ca]:[Kết thúc nghỉ]]),0)
),0,
IF(NOT(ISBLANK(AY$3)),
IF(ISBLANK(AY$7),0,
IF(AY$4 &lt; AY$5,
IF($AA17-$Z$4&lt;AY$4,0,
IF($AA17&gt;AY$5,0,
SUM(_xlfn._xlws.FILTER(Table_BangLuong_TyLeTangCa[Tỷ lệ],
(Table_BangLuong_TyLeTangCa[Ngày] = AY$3) *
(Table_BangLuong_TyLeTangCa[Giờ min]&lt;=$AA17) *
(Table_BangLuong_TyLeTangCa[Giờ max]&gt;$AA17)
)))),
IF(AND($AA17-$Z$4 &gt;= AY$5,$AA17 &lt; AY$4),0,
SUM(_xlfn._xlws.FILTER(Table_BangLuong_TyLeTangCa[Tỷ lệ],
(Table_BangLuong_TyLeTangCa[Ngày] = AY$3) *
(Table_BangLuong_TyLeTangCa[Giờ min]&lt;=$AA17) *
(Table_BangLuong_TyLeTangCa[Giờ max]&gt;$AA17)
))))
),
IF(ISBLANK(AY$7),
IF(VLOOKUP(AY$6, Table_ChiPhiNV_Ca[], COUNTA(Table_ChiPhiNV_Ca[[#Headers],[Ca]:[Kết thúc]]),0)&gt; VLOOKUP(AY$6, Table_ChiPhiNV_Ca[], COUNTA(Table_ChiPhiNV_Ca[[#Headers],[Ca]:[Bắt đầu]]),0),
IF($AA17-$Z$4&lt;MAX(AY$4,VLOOKUP(AY$6, Table_ChiPhiNV_Ca[], COUNTA(Table_ChiPhiNV_Ca[[#Headers],[Ca]:[Bắt đầu]]),0)),0,
IF($AA17&gt;MIN(AY$5,VLOOKUP(AY$6, Table_ChiPhiNV_Ca[], COUNTA(Table_ChiPhiNV_Ca[[#Headers],[Ca]:[Kết thúc]]),0)),0,
SUM(_xlfn._xlws.FILTER(Table_BangLuong_TyLeTangCa[Tỷ lệ],
(Table_BangLuong_TyLeTangCa[Ngày] = "Thường") *
(Table_BangLuong_TyLeTangCa[Giờ min]&lt;=$AA17) *
(Table_BangLuong_TyLeTangCa[Giờ max]&gt;$AA17)
)))),
IF(AY$4 &gt; AY$5,
IF(
AND(
$AA17-$Z$4&lt;MAX(AY$4,VLOOKUP(AY$6, Table_ChiPhiNV_Ca[], COUNTA(Table_ChiPhiNV_Ca[[#Headers],[Ca]:[Bắt đầu]]),0)),
$AA17&gt;MIN(AY$5,VLOOKUP(AY$6, Table_ChiPhiNV_Ca[], COUNTA(Table_ChiPhiNV_Ca[[#Headers],[Ca]:[Kết thúc]]),0))),0,
SUM(_xlfn._xlws.FILTER(Table_BangLuong_TyLeTangCa[Tỷ lệ],
(Table_BangLuong_TyLeTangCa[Ngày] = "Thường") *
(Table_BangLuong_TyLeTangCa[Giờ min]&lt;=$AA17) *
(Table_BangLuong_TyLeTangCa[Giờ max]&gt;$AA17)
))),
IF(
AND(
$AA17-$Z$4&gt;=MAX(AY$4,VLOOKUP(AY$6, Table_ChiPhiNV_Ca[], COUNTA(Table_ChiPhiNV_Ca[[#Headers],[Ca]:[Bắt đầu]]),0)),
$AA17&lt;MIN(AY$5,VLOOKUP(AY$6, Table_ChiPhiNV_Ca[], COUNTA(Table_ChiPhiNV_Ca[[#Headers],[Ca]:[Kết thúc]]),0))),
SUM(_xlfn._xlws.FILTER(Table_BangLuong_TyLeTangCa[Tỷ lệ],
(Table_BangLuong_TyLeTangCa[Ngày] = "Thường") *
(Table_BangLuong_TyLeTangCa[Giờ min]&lt;=$AA17) *
(Table_BangLuong_TyLeTangCa[Giờ max]&gt;$AA17)
)),0)
)),
IF(AY$4 &lt; AY$5,
IF($AA17-$Z$4&lt;AY$4,0,
IF($AA17&gt;AY$5,0,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AY$5,$AA17 &lt; AY$4),0,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Z17" s="18" cm="1">
        <f t="array" ref="AZ17" xml:space="preserve">
IFERROR(
IF(AZ$1="",0,
IF(AND(
$AA17&gt;=VLOOKUP(AZ$6, Table_ChiPhiNV_Ca[], COUNTA(Table_ChiPhiNV_Ca[[#Headers],[Ca]:[Bắt đầu nghỉ]]),0),
$AA17&lt;VLOOKUP(AZ$6, Table_ChiPhiNV_Ca[], COUNTA(Table_ChiPhiNV_Ca[[#Headers],[Ca]:[Kết thúc nghỉ]]),0)
),0,
IF(NOT(ISBLANK(AZ$3)),
IF(ISBLANK(AZ$7),0,
IF(AZ$4 &lt; AZ$5,
IF($AA17-$Z$4&lt;AZ$4,0,
IF($AA17&gt;AZ$5,0,
SUM(_xlfn._xlws.FILTER(Table_BangLuong_TyLeTangCa[Tỷ lệ],
(Table_BangLuong_TyLeTangCa[Ngày] = AZ$3) *
(Table_BangLuong_TyLeTangCa[Giờ min]&lt;=$AA17) *
(Table_BangLuong_TyLeTangCa[Giờ max]&gt;$AA17)
)))),
IF(AND($AA17-$Z$4 &gt;= AZ$5,$AA17 &lt; AZ$4),0,
SUM(_xlfn._xlws.FILTER(Table_BangLuong_TyLeTangCa[Tỷ lệ],
(Table_BangLuong_TyLeTangCa[Ngày] = AZ$3) *
(Table_BangLuong_TyLeTangCa[Giờ min]&lt;=$AA17) *
(Table_BangLuong_TyLeTangCa[Giờ max]&gt;$AA17)
))))
),
IF(ISBLANK(AZ$7),
IF(VLOOKUP(AZ$6, Table_ChiPhiNV_Ca[], COUNTA(Table_ChiPhiNV_Ca[[#Headers],[Ca]:[Kết thúc]]),0)&gt; VLOOKUP(AZ$6, Table_ChiPhiNV_Ca[], COUNTA(Table_ChiPhiNV_Ca[[#Headers],[Ca]:[Bắt đầu]]),0),
IF($AA17-$Z$4&lt;MAX(AZ$4,VLOOKUP(AZ$6, Table_ChiPhiNV_Ca[], COUNTA(Table_ChiPhiNV_Ca[[#Headers],[Ca]:[Bắt đầu]]),0)),0,
IF($AA17&gt;MIN(AZ$5,VLOOKUP(AZ$6, Table_ChiPhiNV_Ca[], COUNTA(Table_ChiPhiNV_Ca[[#Headers],[Ca]:[Kết thúc]]),0)),0,
SUM(_xlfn._xlws.FILTER(Table_BangLuong_TyLeTangCa[Tỷ lệ],
(Table_BangLuong_TyLeTangCa[Ngày] = "Thường") *
(Table_BangLuong_TyLeTangCa[Giờ min]&lt;=$AA17) *
(Table_BangLuong_TyLeTangCa[Giờ max]&gt;$AA17)
)))),
IF(AZ$4 &gt; AZ$5,
IF(
AND(
$AA17-$Z$4&lt;MAX(AZ$4,VLOOKUP(AZ$6, Table_ChiPhiNV_Ca[], COUNTA(Table_ChiPhiNV_Ca[[#Headers],[Ca]:[Bắt đầu]]),0)),
$AA17&gt;MIN(AZ$5,VLOOKUP(AZ$6, Table_ChiPhiNV_Ca[], COUNTA(Table_ChiPhiNV_Ca[[#Headers],[Ca]:[Kết thúc]]),0))),0,
SUM(_xlfn._xlws.FILTER(Table_BangLuong_TyLeTangCa[Tỷ lệ],
(Table_BangLuong_TyLeTangCa[Ngày] = "Thường") *
(Table_BangLuong_TyLeTangCa[Giờ min]&lt;=$AA17) *
(Table_BangLuong_TyLeTangCa[Giờ max]&gt;$AA17)
))),
IF(
AND(
$AA17-$Z$4&gt;=MAX(AZ$4,VLOOKUP(AZ$6, Table_ChiPhiNV_Ca[], COUNTA(Table_ChiPhiNV_Ca[[#Headers],[Ca]:[Bắt đầu]]),0)),
$AA17&lt;MIN(AZ$5,VLOOKUP(AZ$6, Table_ChiPhiNV_Ca[], COUNTA(Table_ChiPhiNV_Ca[[#Headers],[Ca]:[Kết thúc]]),0))),
SUM(_xlfn._xlws.FILTER(Table_BangLuong_TyLeTangCa[Tỷ lệ],
(Table_BangLuong_TyLeTangCa[Ngày] = "Thường") *
(Table_BangLuong_TyLeTangCa[Giờ min]&lt;=$AA17) *
(Table_BangLuong_TyLeTangCa[Giờ max]&gt;$AA17)
)),0)
)),
IF(AZ$4 &lt; AZ$5,
IF($AA17-$Z$4&lt;AZ$4,0,
IF($AA17&gt;AZ$5,0,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AZ$5,$AA17 &lt; AZ$4),0,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A17" s="18" cm="1">
        <f t="array" ref="BA17" xml:space="preserve">
IFERROR(
IF(BA$1="",0,
IF(AND(
$AA17&gt;=VLOOKUP(BA$6, Table_ChiPhiNV_Ca[], COUNTA(Table_ChiPhiNV_Ca[[#Headers],[Ca]:[Bắt đầu nghỉ]]),0),
$AA17&lt;VLOOKUP(BA$6, Table_ChiPhiNV_Ca[], COUNTA(Table_ChiPhiNV_Ca[[#Headers],[Ca]:[Kết thúc nghỉ]]),0)
),0,
IF(NOT(ISBLANK(BA$3)),
IF(ISBLANK(BA$7),0,
IF(BA$4 &lt; BA$5,
IF($AA17-$Z$4&lt;BA$4,0,
IF($AA17&gt;BA$5,0,
SUM(_xlfn._xlws.FILTER(Table_BangLuong_TyLeTangCa[Tỷ lệ],
(Table_BangLuong_TyLeTangCa[Ngày] = BA$3) *
(Table_BangLuong_TyLeTangCa[Giờ min]&lt;=$AA17) *
(Table_BangLuong_TyLeTangCa[Giờ max]&gt;$AA17)
)))),
IF(AND($AA17-$Z$4 &gt;= BA$5,$AA17 &lt; BA$4),0,
SUM(_xlfn._xlws.FILTER(Table_BangLuong_TyLeTangCa[Tỷ lệ],
(Table_BangLuong_TyLeTangCa[Ngày] = BA$3) *
(Table_BangLuong_TyLeTangCa[Giờ min]&lt;=$AA17) *
(Table_BangLuong_TyLeTangCa[Giờ max]&gt;$AA17)
))))
),
IF(ISBLANK(BA$7),
IF(VLOOKUP(BA$6, Table_ChiPhiNV_Ca[], COUNTA(Table_ChiPhiNV_Ca[[#Headers],[Ca]:[Kết thúc]]),0)&gt; VLOOKUP(BA$6, Table_ChiPhiNV_Ca[], COUNTA(Table_ChiPhiNV_Ca[[#Headers],[Ca]:[Bắt đầu]]),0),
IF($AA17-$Z$4&lt;MAX(BA$4,VLOOKUP(BA$6, Table_ChiPhiNV_Ca[], COUNTA(Table_ChiPhiNV_Ca[[#Headers],[Ca]:[Bắt đầu]]),0)),0,
IF($AA17&gt;MIN(BA$5,VLOOKUP(BA$6, Table_ChiPhiNV_Ca[], COUNTA(Table_ChiPhiNV_Ca[[#Headers],[Ca]:[Kết thúc]]),0)),0,
SUM(_xlfn._xlws.FILTER(Table_BangLuong_TyLeTangCa[Tỷ lệ],
(Table_BangLuong_TyLeTangCa[Ngày] = "Thường") *
(Table_BangLuong_TyLeTangCa[Giờ min]&lt;=$AA17) *
(Table_BangLuong_TyLeTangCa[Giờ max]&gt;$AA17)
)))),
IF(BA$4 &gt; BA$5,
IF(
AND(
$AA17-$Z$4&lt;MAX(BA$4,VLOOKUP(BA$6, Table_ChiPhiNV_Ca[], COUNTA(Table_ChiPhiNV_Ca[[#Headers],[Ca]:[Bắt đầu]]),0)),
$AA17&gt;MIN(BA$5,VLOOKUP(BA$6, Table_ChiPhiNV_Ca[], COUNTA(Table_ChiPhiNV_Ca[[#Headers],[Ca]:[Kết thúc]]),0))),0,
SUM(_xlfn._xlws.FILTER(Table_BangLuong_TyLeTangCa[Tỷ lệ],
(Table_BangLuong_TyLeTangCa[Ngày] = "Thường") *
(Table_BangLuong_TyLeTangCa[Giờ min]&lt;=$AA17) *
(Table_BangLuong_TyLeTangCa[Giờ max]&gt;$AA17)
))),
IF(
AND(
$AA17-$Z$4&gt;=MAX(BA$4,VLOOKUP(BA$6, Table_ChiPhiNV_Ca[], COUNTA(Table_ChiPhiNV_Ca[[#Headers],[Ca]:[Bắt đầu]]),0)),
$AA17&lt;MIN(BA$5,VLOOKUP(BA$6, Table_ChiPhiNV_Ca[], COUNTA(Table_ChiPhiNV_Ca[[#Headers],[Ca]:[Kết thúc]]),0))),
SUM(_xlfn._xlws.FILTER(Table_BangLuong_TyLeTangCa[Tỷ lệ],
(Table_BangLuong_TyLeTangCa[Ngày] = "Thường") *
(Table_BangLuong_TyLeTangCa[Giờ min]&lt;=$AA17) *
(Table_BangLuong_TyLeTangCa[Giờ max]&gt;$AA17)
)),0)
)),
IF(BA$4 &lt; BA$5,
IF($AA17-$Z$4&lt;BA$4,0,
IF($AA17&gt;BA$5,0,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BA$5,$AA17 &lt; BA$4),0,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B17" s="18" cm="1">
        <f t="array" ref="BB17" xml:space="preserve">
IFERROR(
IF(BB$1="",0,
IF(AND(
$AA17&gt;=VLOOKUP(BB$6, Table_ChiPhiNV_Ca[], COUNTA(Table_ChiPhiNV_Ca[[#Headers],[Ca]:[Bắt đầu nghỉ]]),0),
$AA17&lt;VLOOKUP(BB$6, Table_ChiPhiNV_Ca[], COUNTA(Table_ChiPhiNV_Ca[[#Headers],[Ca]:[Kết thúc nghỉ]]),0)
),0,
IF(NOT(ISBLANK(BB$3)),
IF(ISBLANK(BB$7),0,
IF(BB$4 &lt; BB$5,
IF($AA17-$Z$4&lt;BB$4,0,
IF($AA17&gt;BB$5,0,
SUM(_xlfn._xlws.FILTER(Table_BangLuong_TyLeTangCa[Tỷ lệ],
(Table_BangLuong_TyLeTangCa[Ngày] = BB$3) *
(Table_BangLuong_TyLeTangCa[Giờ min]&lt;=$AA17) *
(Table_BangLuong_TyLeTangCa[Giờ max]&gt;$AA17)
)))),
IF(AND($AA17-$Z$4 &gt;= BB$5,$AA17 &lt; BB$4),0,
SUM(_xlfn._xlws.FILTER(Table_BangLuong_TyLeTangCa[Tỷ lệ],
(Table_BangLuong_TyLeTangCa[Ngày] = BB$3) *
(Table_BangLuong_TyLeTangCa[Giờ min]&lt;=$AA17) *
(Table_BangLuong_TyLeTangCa[Giờ max]&gt;$AA17)
))))
),
IF(ISBLANK(BB$7),
IF(VLOOKUP(BB$6, Table_ChiPhiNV_Ca[], COUNTA(Table_ChiPhiNV_Ca[[#Headers],[Ca]:[Kết thúc]]),0)&gt; VLOOKUP(BB$6, Table_ChiPhiNV_Ca[], COUNTA(Table_ChiPhiNV_Ca[[#Headers],[Ca]:[Bắt đầu]]),0),
IF($AA17-$Z$4&lt;MAX(BB$4,VLOOKUP(BB$6, Table_ChiPhiNV_Ca[], COUNTA(Table_ChiPhiNV_Ca[[#Headers],[Ca]:[Bắt đầu]]),0)),0,
IF($AA17&gt;MIN(BB$5,VLOOKUP(BB$6, Table_ChiPhiNV_Ca[], COUNTA(Table_ChiPhiNV_Ca[[#Headers],[Ca]:[Kết thúc]]),0)),0,
SUM(_xlfn._xlws.FILTER(Table_BangLuong_TyLeTangCa[Tỷ lệ],
(Table_BangLuong_TyLeTangCa[Ngày] = "Thường") *
(Table_BangLuong_TyLeTangCa[Giờ min]&lt;=$AA17) *
(Table_BangLuong_TyLeTangCa[Giờ max]&gt;$AA17)
)))),
IF(BB$4 &gt; BB$5,
IF(
AND(
$AA17-$Z$4&lt;MAX(BB$4,VLOOKUP(BB$6, Table_ChiPhiNV_Ca[], COUNTA(Table_ChiPhiNV_Ca[[#Headers],[Ca]:[Bắt đầu]]),0)),
$AA17&gt;MIN(BB$5,VLOOKUP(BB$6, Table_ChiPhiNV_Ca[], COUNTA(Table_ChiPhiNV_Ca[[#Headers],[Ca]:[Kết thúc]]),0))),0,
SUM(_xlfn._xlws.FILTER(Table_BangLuong_TyLeTangCa[Tỷ lệ],
(Table_BangLuong_TyLeTangCa[Ngày] = "Thường") *
(Table_BangLuong_TyLeTangCa[Giờ min]&lt;=$AA17) *
(Table_BangLuong_TyLeTangCa[Giờ max]&gt;$AA17)
))),
IF(
AND(
$AA17-$Z$4&gt;=MAX(BB$4,VLOOKUP(BB$6, Table_ChiPhiNV_Ca[], COUNTA(Table_ChiPhiNV_Ca[[#Headers],[Ca]:[Bắt đầu]]),0)),
$AA17&lt;MIN(BB$5,VLOOKUP(BB$6, Table_ChiPhiNV_Ca[], COUNTA(Table_ChiPhiNV_Ca[[#Headers],[Ca]:[Kết thúc]]),0))),
SUM(_xlfn._xlws.FILTER(Table_BangLuong_TyLeTangCa[Tỷ lệ],
(Table_BangLuong_TyLeTangCa[Ngày] = "Thường") *
(Table_BangLuong_TyLeTangCa[Giờ min]&lt;=$AA17) *
(Table_BangLuong_TyLeTangCa[Giờ max]&gt;$AA17)
)),0)
)),
IF(BB$4 &lt; BB$5,
IF($AA17-$Z$4&lt;BB$4,0,
IF($AA17&gt;BB$5,0,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BB$5,$AA17 &lt; BB$4),0,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C17" s="18" cm="1">
        <f t="array" ref="BC17" xml:space="preserve">
IFERROR(
IF(BC$1="",0,
IF(AND(
$AA17&gt;=VLOOKUP(BC$6, Table_ChiPhiNV_Ca[], COUNTA(Table_ChiPhiNV_Ca[[#Headers],[Ca]:[Bắt đầu nghỉ]]),0),
$AA17&lt;VLOOKUP(BC$6, Table_ChiPhiNV_Ca[], COUNTA(Table_ChiPhiNV_Ca[[#Headers],[Ca]:[Kết thúc nghỉ]]),0)
),0,
IF(NOT(ISBLANK(BC$3)),
IF(ISBLANK(BC$7),0,
IF(BC$4 &lt; BC$5,
IF($AA17-$Z$4&lt;BC$4,0,
IF($AA17&gt;BC$5,0,
SUM(_xlfn._xlws.FILTER(Table_BangLuong_TyLeTangCa[Tỷ lệ],
(Table_BangLuong_TyLeTangCa[Ngày] = BC$3) *
(Table_BangLuong_TyLeTangCa[Giờ min]&lt;=$AA17) *
(Table_BangLuong_TyLeTangCa[Giờ max]&gt;$AA17)
)))),
IF(AND($AA17-$Z$4 &gt;= BC$5,$AA17 &lt; BC$4),0,
SUM(_xlfn._xlws.FILTER(Table_BangLuong_TyLeTangCa[Tỷ lệ],
(Table_BangLuong_TyLeTangCa[Ngày] = BC$3) *
(Table_BangLuong_TyLeTangCa[Giờ min]&lt;=$AA17) *
(Table_BangLuong_TyLeTangCa[Giờ max]&gt;$AA17)
))))
),
IF(ISBLANK(BC$7),
IF(VLOOKUP(BC$6, Table_ChiPhiNV_Ca[], COUNTA(Table_ChiPhiNV_Ca[[#Headers],[Ca]:[Kết thúc]]),0)&gt; VLOOKUP(BC$6, Table_ChiPhiNV_Ca[], COUNTA(Table_ChiPhiNV_Ca[[#Headers],[Ca]:[Bắt đầu]]),0),
IF($AA17-$Z$4&lt;MAX(BC$4,VLOOKUP(BC$6, Table_ChiPhiNV_Ca[], COUNTA(Table_ChiPhiNV_Ca[[#Headers],[Ca]:[Bắt đầu]]),0)),0,
IF($AA17&gt;MIN(BC$5,VLOOKUP(BC$6, Table_ChiPhiNV_Ca[], COUNTA(Table_ChiPhiNV_Ca[[#Headers],[Ca]:[Kết thúc]]),0)),0,
SUM(_xlfn._xlws.FILTER(Table_BangLuong_TyLeTangCa[Tỷ lệ],
(Table_BangLuong_TyLeTangCa[Ngày] = "Thường") *
(Table_BangLuong_TyLeTangCa[Giờ min]&lt;=$AA17) *
(Table_BangLuong_TyLeTangCa[Giờ max]&gt;$AA17)
)))),
IF(BC$4 &gt; BC$5,
IF(
AND(
$AA17-$Z$4&lt;MAX(BC$4,VLOOKUP(BC$6, Table_ChiPhiNV_Ca[], COUNTA(Table_ChiPhiNV_Ca[[#Headers],[Ca]:[Bắt đầu]]),0)),
$AA17&gt;MIN(BC$5,VLOOKUP(BC$6, Table_ChiPhiNV_Ca[], COUNTA(Table_ChiPhiNV_Ca[[#Headers],[Ca]:[Kết thúc]]),0))),0,
SUM(_xlfn._xlws.FILTER(Table_BangLuong_TyLeTangCa[Tỷ lệ],
(Table_BangLuong_TyLeTangCa[Ngày] = "Thường") *
(Table_BangLuong_TyLeTangCa[Giờ min]&lt;=$AA17) *
(Table_BangLuong_TyLeTangCa[Giờ max]&gt;$AA17)
))),
IF(
AND(
$AA17-$Z$4&gt;=MAX(BC$4,VLOOKUP(BC$6, Table_ChiPhiNV_Ca[], COUNTA(Table_ChiPhiNV_Ca[[#Headers],[Ca]:[Bắt đầu]]),0)),
$AA17&lt;MIN(BC$5,VLOOKUP(BC$6, Table_ChiPhiNV_Ca[], COUNTA(Table_ChiPhiNV_Ca[[#Headers],[Ca]:[Kết thúc]]),0))),
SUM(_xlfn._xlws.FILTER(Table_BangLuong_TyLeTangCa[Tỷ lệ],
(Table_BangLuong_TyLeTangCa[Ngày] = "Thường") *
(Table_BangLuong_TyLeTangCa[Giờ min]&lt;=$AA17) *
(Table_BangLuong_TyLeTangCa[Giờ max]&gt;$AA17)
)),0)
)),
IF(BC$4 &lt; BC$5,
IF($AA17-$Z$4&lt;BC$4,0,
IF($AA17&gt;BC$5,0,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BC$5,$AA17 &lt; BC$4),0,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D17" s="18" cm="1">
        <f t="array" ref="BD17" xml:space="preserve">
IFERROR(
IF(BD$1="",0,
IF(AND(
$AA17&gt;=VLOOKUP(BD$6, Table_ChiPhiNV_Ca[], COUNTA(Table_ChiPhiNV_Ca[[#Headers],[Ca]:[Bắt đầu nghỉ]]),0),
$AA17&lt;VLOOKUP(BD$6, Table_ChiPhiNV_Ca[], COUNTA(Table_ChiPhiNV_Ca[[#Headers],[Ca]:[Kết thúc nghỉ]]),0)
),0,
IF(NOT(ISBLANK(BD$3)),
IF(ISBLANK(BD$7),0,
IF(BD$4 &lt; BD$5,
IF($AA17-$Z$4&lt;BD$4,0,
IF($AA17&gt;BD$5,0,
SUM(_xlfn._xlws.FILTER(Table_BangLuong_TyLeTangCa[Tỷ lệ],
(Table_BangLuong_TyLeTangCa[Ngày] = BD$3) *
(Table_BangLuong_TyLeTangCa[Giờ min]&lt;=$AA17) *
(Table_BangLuong_TyLeTangCa[Giờ max]&gt;$AA17)
)))),
IF(AND($AA17-$Z$4 &gt;= BD$5,$AA17 &lt; BD$4),0,
SUM(_xlfn._xlws.FILTER(Table_BangLuong_TyLeTangCa[Tỷ lệ],
(Table_BangLuong_TyLeTangCa[Ngày] = BD$3) *
(Table_BangLuong_TyLeTangCa[Giờ min]&lt;=$AA17) *
(Table_BangLuong_TyLeTangCa[Giờ max]&gt;$AA17)
))))
),
IF(ISBLANK(BD$7),
IF(VLOOKUP(BD$6, Table_ChiPhiNV_Ca[], COUNTA(Table_ChiPhiNV_Ca[[#Headers],[Ca]:[Kết thúc]]),0)&gt; VLOOKUP(BD$6, Table_ChiPhiNV_Ca[], COUNTA(Table_ChiPhiNV_Ca[[#Headers],[Ca]:[Bắt đầu]]),0),
IF($AA17-$Z$4&lt;MAX(BD$4,VLOOKUP(BD$6, Table_ChiPhiNV_Ca[], COUNTA(Table_ChiPhiNV_Ca[[#Headers],[Ca]:[Bắt đầu]]),0)),0,
IF($AA17&gt;MIN(BD$5,VLOOKUP(BD$6, Table_ChiPhiNV_Ca[], COUNTA(Table_ChiPhiNV_Ca[[#Headers],[Ca]:[Kết thúc]]),0)),0,
SUM(_xlfn._xlws.FILTER(Table_BangLuong_TyLeTangCa[Tỷ lệ],
(Table_BangLuong_TyLeTangCa[Ngày] = "Thường") *
(Table_BangLuong_TyLeTangCa[Giờ min]&lt;=$AA17) *
(Table_BangLuong_TyLeTangCa[Giờ max]&gt;$AA17)
)))),
IF(BD$4 &gt; BD$5,
IF(
AND(
$AA17-$Z$4&lt;MAX(BD$4,VLOOKUP(BD$6, Table_ChiPhiNV_Ca[], COUNTA(Table_ChiPhiNV_Ca[[#Headers],[Ca]:[Bắt đầu]]),0)),
$AA17&gt;MIN(BD$5,VLOOKUP(BD$6, Table_ChiPhiNV_Ca[], COUNTA(Table_ChiPhiNV_Ca[[#Headers],[Ca]:[Kết thúc]]),0))),0,
SUM(_xlfn._xlws.FILTER(Table_BangLuong_TyLeTangCa[Tỷ lệ],
(Table_BangLuong_TyLeTangCa[Ngày] = "Thường") *
(Table_BangLuong_TyLeTangCa[Giờ min]&lt;=$AA17) *
(Table_BangLuong_TyLeTangCa[Giờ max]&gt;$AA17)
))),
IF(
AND(
$AA17-$Z$4&gt;=MAX(BD$4,VLOOKUP(BD$6, Table_ChiPhiNV_Ca[], COUNTA(Table_ChiPhiNV_Ca[[#Headers],[Ca]:[Bắt đầu]]),0)),
$AA17&lt;MIN(BD$5,VLOOKUP(BD$6, Table_ChiPhiNV_Ca[], COUNTA(Table_ChiPhiNV_Ca[[#Headers],[Ca]:[Kết thúc]]),0))),
SUM(_xlfn._xlws.FILTER(Table_BangLuong_TyLeTangCa[Tỷ lệ],
(Table_BangLuong_TyLeTangCa[Ngày] = "Thường") *
(Table_BangLuong_TyLeTangCa[Giờ min]&lt;=$AA17) *
(Table_BangLuong_TyLeTangCa[Giờ max]&gt;$AA17)
)),0)
)),
IF(BD$4 &lt; BD$5,
IF($AA17-$Z$4&lt;BD$4,0,
IF($AA17&gt;BD$5,0,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BD$5,$AA17 &lt; BD$4),0,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E17" s="18" cm="1">
        <f t="array" ref="BE17" xml:space="preserve">
IFERROR(
IF(BE$1="",0,
IF(AND(
$AA17&gt;=VLOOKUP(BE$6, Table_ChiPhiNV_Ca[], COUNTA(Table_ChiPhiNV_Ca[[#Headers],[Ca]:[Bắt đầu nghỉ]]),0),
$AA17&lt;VLOOKUP(BE$6, Table_ChiPhiNV_Ca[], COUNTA(Table_ChiPhiNV_Ca[[#Headers],[Ca]:[Kết thúc nghỉ]]),0)
),0,
IF(NOT(ISBLANK(BE$3)),
IF(ISBLANK(BE$7),0,
IF(BE$4 &lt; BE$5,
IF($AA17-$Z$4&lt;BE$4,0,
IF($AA17&gt;BE$5,0,
SUM(_xlfn._xlws.FILTER(Table_BangLuong_TyLeTangCa[Tỷ lệ],
(Table_BangLuong_TyLeTangCa[Ngày] = BE$3) *
(Table_BangLuong_TyLeTangCa[Giờ min]&lt;=$AA17) *
(Table_BangLuong_TyLeTangCa[Giờ max]&gt;$AA17)
)))),
IF(AND($AA17-$Z$4 &gt;= BE$5,$AA17 &lt; BE$4),0,
SUM(_xlfn._xlws.FILTER(Table_BangLuong_TyLeTangCa[Tỷ lệ],
(Table_BangLuong_TyLeTangCa[Ngày] = BE$3) *
(Table_BangLuong_TyLeTangCa[Giờ min]&lt;=$AA17) *
(Table_BangLuong_TyLeTangCa[Giờ max]&gt;$AA17)
))))
),
IF(ISBLANK(BE$7),
IF(VLOOKUP(BE$6, Table_ChiPhiNV_Ca[], COUNTA(Table_ChiPhiNV_Ca[[#Headers],[Ca]:[Kết thúc]]),0)&gt; VLOOKUP(BE$6, Table_ChiPhiNV_Ca[], COUNTA(Table_ChiPhiNV_Ca[[#Headers],[Ca]:[Bắt đầu]]),0),
IF($AA17-$Z$4&lt;MAX(BE$4,VLOOKUP(BE$6, Table_ChiPhiNV_Ca[], COUNTA(Table_ChiPhiNV_Ca[[#Headers],[Ca]:[Bắt đầu]]),0)),0,
IF($AA17&gt;MIN(BE$5,VLOOKUP(BE$6, Table_ChiPhiNV_Ca[], COUNTA(Table_ChiPhiNV_Ca[[#Headers],[Ca]:[Kết thúc]]),0)),0,
SUM(_xlfn._xlws.FILTER(Table_BangLuong_TyLeTangCa[Tỷ lệ],
(Table_BangLuong_TyLeTangCa[Ngày] = "Thường") *
(Table_BangLuong_TyLeTangCa[Giờ min]&lt;=$AA17) *
(Table_BangLuong_TyLeTangCa[Giờ max]&gt;$AA17)
)))),
IF(BE$4 &gt; BE$5,
IF(
AND(
$AA17-$Z$4&lt;MAX(BE$4,VLOOKUP(BE$6, Table_ChiPhiNV_Ca[], COUNTA(Table_ChiPhiNV_Ca[[#Headers],[Ca]:[Bắt đầu]]),0)),
$AA17&gt;MIN(BE$5,VLOOKUP(BE$6, Table_ChiPhiNV_Ca[], COUNTA(Table_ChiPhiNV_Ca[[#Headers],[Ca]:[Kết thúc]]),0))),0,
SUM(_xlfn._xlws.FILTER(Table_BangLuong_TyLeTangCa[Tỷ lệ],
(Table_BangLuong_TyLeTangCa[Ngày] = "Thường") *
(Table_BangLuong_TyLeTangCa[Giờ min]&lt;=$AA17) *
(Table_BangLuong_TyLeTangCa[Giờ max]&gt;$AA17)
))),
IF(
AND(
$AA17-$Z$4&gt;=MAX(BE$4,VLOOKUP(BE$6, Table_ChiPhiNV_Ca[], COUNTA(Table_ChiPhiNV_Ca[[#Headers],[Ca]:[Bắt đầu]]),0)),
$AA17&lt;MIN(BE$5,VLOOKUP(BE$6, Table_ChiPhiNV_Ca[], COUNTA(Table_ChiPhiNV_Ca[[#Headers],[Ca]:[Kết thúc]]),0))),
SUM(_xlfn._xlws.FILTER(Table_BangLuong_TyLeTangCa[Tỷ lệ],
(Table_BangLuong_TyLeTangCa[Ngày] = "Thường") *
(Table_BangLuong_TyLeTangCa[Giờ min]&lt;=$AA17) *
(Table_BangLuong_TyLeTangCa[Giờ max]&gt;$AA17)
)),0)
)),
IF(BE$4 &lt; BE$5,
IF($AA17-$Z$4&lt;BE$4,0,
IF($AA17&gt;BE$5,0,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BE$5,$AA17 &lt; BE$4),0,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F17" s="18" cm="1">
        <f t="array" ref="BF17" xml:space="preserve">
IFERROR(
IF(BF$1="",0,
IF(AND(
$AA17&gt;=VLOOKUP(BF$6, Table_ChiPhiNV_Ca[], COUNTA(Table_ChiPhiNV_Ca[[#Headers],[Ca]:[Bắt đầu nghỉ]]),0),
$AA17&lt;VLOOKUP(BF$6, Table_ChiPhiNV_Ca[], COUNTA(Table_ChiPhiNV_Ca[[#Headers],[Ca]:[Kết thúc nghỉ]]),0)
),0,
IF(NOT(ISBLANK(BF$3)),
IF(ISBLANK(BF$7),0,
IF(BF$4 &lt; BF$5,
IF($AA17-$Z$4&lt;BF$4,0,
IF($AA17&gt;BF$5,0,
SUM(_xlfn._xlws.FILTER(Table_BangLuong_TyLeTangCa[Tỷ lệ],
(Table_BangLuong_TyLeTangCa[Ngày] = BF$3) *
(Table_BangLuong_TyLeTangCa[Giờ min]&lt;=$AA17) *
(Table_BangLuong_TyLeTangCa[Giờ max]&gt;$AA17)
)))),
IF(AND($AA17-$Z$4 &gt;= BF$5,$AA17 &lt; BF$4),0,
SUM(_xlfn._xlws.FILTER(Table_BangLuong_TyLeTangCa[Tỷ lệ],
(Table_BangLuong_TyLeTangCa[Ngày] = BF$3) *
(Table_BangLuong_TyLeTangCa[Giờ min]&lt;=$AA17) *
(Table_BangLuong_TyLeTangCa[Giờ max]&gt;$AA17)
))))
),
IF(ISBLANK(BF$7),
IF(VLOOKUP(BF$6, Table_ChiPhiNV_Ca[], COUNTA(Table_ChiPhiNV_Ca[[#Headers],[Ca]:[Kết thúc]]),0)&gt; VLOOKUP(BF$6, Table_ChiPhiNV_Ca[], COUNTA(Table_ChiPhiNV_Ca[[#Headers],[Ca]:[Bắt đầu]]),0),
IF($AA17-$Z$4&lt;MAX(BF$4,VLOOKUP(BF$6, Table_ChiPhiNV_Ca[], COUNTA(Table_ChiPhiNV_Ca[[#Headers],[Ca]:[Bắt đầu]]),0)),0,
IF($AA17&gt;MIN(BF$5,VLOOKUP(BF$6, Table_ChiPhiNV_Ca[], COUNTA(Table_ChiPhiNV_Ca[[#Headers],[Ca]:[Kết thúc]]),0)),0,
SUM(_xlfn._xlws.FILTER(Table_BangLuong_TyLeTangCa[Tỷ lệ],
(Table_BangLuong_TyLeTangCa[Ngày] = "Thường") *
(Table_BangLuong_TyLeTangCa[Giờ min]&lt;=$AA17) *
(Table_BangLuong_TyLeTangCa[Giờ max]&gt;$AA17)
)))),
IF(BF$4 &gt; BF$5,
IF(
AND(
$AA17-$Z$4&lt;MAX(BF$4,VLOOKUP(BF$6, Table_ChiPhiNV_Ca[], COUNTA(Table_ChiPhiNV_Ca[[#Headers],[Ca]:[Bắt đầu]]),0)),
$AA17&gt;MIN(BF$5,VLOOKUP(BF$6, Table_ChiPhiNV_Ca[], COUNTA(Table_ChiPhiNV_Ca[[#Headers],[Ca]:[Kết thúc]]),0))),0,
SUM(_xlfn._xlws.FILTER(Table_BangLuong_TyLeTangCa[Tỷ lệ],
(Table_BangLuong_TyLeTangCa[Ngày] = "Thường") *
(Table_BangLuong_TyLeTangCa[Giờ min]&lt;=$AA17) *
(Table_BangLuong_TyLeTangCa[Giờ max]&gt;$AA17)
))),
IF(
AND(
$AA17-$Z$4&gt;=MAX(BF$4,VLOOKUP(BF$6, Table_ChiPhiNV_Ca[], COUNTA(Table_ChiPhiNV_Ca[[#Headers],[Ca]:[Bắt đầu]]),0)),
$AA17&lt;MIN(BF$5,VLOOKUP(BF$6, Table_ChiPhiNV_Ca[], COUNTA(Table_ChiPhiNV_Ca[[#Headers],[Ca]:[Kết thúc]]),0))),
SUM(_xlfn._xlws.FILTER(Table_BangLuong_TyLeTangCa[Tỷ lệ],
(Table_BangLuong_TyLeTangCa[Ngày] = "Thường") *
(Table_BangLuong_TyLeTangCa[Giờ min]&lt;=$AA17) *
(Table_BangLuong_TyLeTangCa[Giờ max]&gt;$AA17)
)),0)
)),
IF(BF$4 &lt; BF$5,
IF($AA17-$Z$4&lt;BF$4,0,
IF($AA17&gt;BF$5,0,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BF$5,$AA17 &lt; BF$4),0,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row>
    <row r="18" spans="2:58" ht="18" customHeight="1" outlineLevel="1" x14ac:dyDescent="0.3">
      <c r="AA18" s="50">
        <v>0.1875</v>
      </c>
      <c r="AB18" s="18" cm="1">
        <f t="array" ref="AB18" xml:space="preserve">
IFERROR(
IF(AB$1="",0,
IF(AND(
$AA18&gt;=VLOOKUP(AB$6, Table_ChiPhiNV_Ca[], COUNTA(Table_ChiPhiNV_Ca[[#Headers],[Ca]:[Bắt đầu nghỉ]]),0),
$AA18&lt;VLOOKUP(AB$6, Table_ChiPhiNV_Ca[], COUNTA(Table_ChiPhiNV_Ca[[#Headers],[Ca]:[Kết thúc nghỉ]]),0)
),0,
IF(NOT(ISBLANK(AB$3)),
IF(ISBLANK(AB$7),0,
IF(AB$4 &lt; AB$5,
IF($AA18-$Z$4&lt;AB$4,0,
IF($AA18&gt;AB$5,0,
SUM(_xlfn._xlws.FILTER(Table_BangLuong_TyLeTangCa[Tỷ lệ],
(Table_BangLuong_TyLeTangCa[Ngày] = AB$3) *
(Table_BangLuong_TyLeTangCa[Giờ min]&lt;=$AA18) *
(Table_BangLuong_TyLeTangCa[Giờ max]&gt;$AA18)
)))),
IF(AND($AA18-$Z$4 &gt;= AB$5,$AA18 &lt; AB$4),0,
SUM(_xlfn._xlws.FILTER(Table_BangLuong_TyLeTangCa[Tỷ lệ],
(Table_BangLuong_TyLeTangCa[Ngày] = AB$3) *
(Table_BangLuong_TyLeTangCa[Giờ min]&lt;=$AA18) *
(Table_BangLuong_TyLeTangCa[Giờ max]&gt;$AA18)
))))
),
IF(ISBLANK(AB$7),
IF(VLOOKUP(AB$6, Table_ChiPhiNV_Ca[], COUNTA(Table_ChiPhiNV_Ca[[#Headers],[Ca]:[Kết thúc]]),0)&gt; VLOOKUP(AB$6, Table_ChiPhiNV_Ca[], COUNTA(Table_ChiPhiNV_Ca[[#Headers],[Ca]:[Bắt đầu]]),0),
IF($AA18-$Z$4&lt;MAX(AB$4,VLOOKUP(AB$6, Table_ChiPhiNV_Ca[], COUNTA(Table_ChiPhiNV_Ca[[#Headers],[Ca]:[Bắt đầu]]),0)),0,
IF($AA18&gt;MIN(AB$5,VLOOKUP(AB$6, Table_ChiPhiNV_Ca[], COUNTA(Table_ChiPhiNV_Ca[[#Headers],[Ca]:[Kết thúc]]),0)),0,
SUM(_xlfn._xlws.FILTER(Table_BangLuong_TyLeTangCa[Tỷ lệ],
(Table_BangLuong_TyLeTangCa[Ngày] = "Thường") *
(Table_BangLuong_TyLeTangCa[Giờ min]&lt;=$AA18) *
(Table_BangLuong_TyLeTangCa[Giờ max]&gt;$AA18)
)))),
IF(AB$4 &gt; AB$5,
IF(
AND(
$AA18-$Z$4&lt;MAX(AB$4,VLOOKUP(AB$6, Table_ChiPhiNV_Ca[], COUNTA(Table_ChiPhiNV_Ca[[#Headers],[Ca]:[Bắt đầu]]),0)),
$AA18&gt;MIN(AB$5,VLOOKUP(AB$6, Table_ChiPhiNV_Ca[], COUNTA(Table_ChiPhiNV_Ca[[#Headers],[Ca]:[Kết thúc]]),0))),0,
SUM(_xlfn._xlws.FILTER(Table_BangLuong_TyLeTangCa[Tỷ lệ],
(Table_BangLuong_TyLeTangCa[Ngày] = "Thường") *
(Table_BangLuong_TyLeTangCa[Giờ min]&lt;=$AA18) *
(Table_BangLuong_TyLeTangCa[Giờ max]&gt;$AA18)
))),
IF(
AND(
$AA18-$Z$4&gt;=MAX(AB$4,VLOOKUP(AB$6, Table_ChiPhiNV_Ca[], COUNTA(Table_ChiPhiNV_Ca[[#Headers],[Ca]:[Bắt đầu]]),0)),
$AA18&lt;MIN(AB$5,VLOOKUP(AB$6, Table_ChiPhiNV_Ca[], COUNTA(Table_ChiPhiNV_Ca[[#Headers],[Ca]:[Kết thúc]]),0))),
SUM(_xlfn._xlws.FILTER(Table_BangLuong_TyLeTangCa[Tỷ lệ],
(Table_BangLuong_TyLeTangCa[Ngày] = "Thường") *
(Table_BangLuong_TyLeTangCa[Giờ min]&lt;=$AA18) *
(Table_BangLuong_TyLeTangCa[Giờ max]&gt;$AA18)
)),0)
)),
IF(AB$4 &lt; AB$5,
IF($AA18-$Z$4&lt;AB$4,0,
IF($AA18&gt;AB$5,0,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AB$5,$AA18 &lt; AB$4),0,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C18" s="18" cm="1">
        <f t="array" ref="AC18" xml:space="preserve">
IFERROR(
IF(AC$1="",0,
IF(AND(
$AA18&gt;=VLOOKUP(AC$6, Table_ChiPhiNV_Ca[], COUNTA(Table_ChiPhiNV_Ca[[#Headers],[Ca]:[Bắt đầu nghỉ]]),0),
$AA18&lt;VLOOKUP(AC$6, Table_ChiPhiNV_Ca[], COUNTA(Table_ChiPhiNV_Ca[[#Headers],[Ca]:[Kết thúc nghỉ]]),0)
),0,
IF(NOT(ISBLANK(AC$3)),
IF(ISBLANK(AC$7),0,
IF(AC$4 &lt; AC$5,
IF($AA18-$Z$4&lt;AC$4,0,
IF($AA18&gt;AC$5,0,
SUM(_xlfn._xlws.FILTER(Table_BangLuong_TyLeTangCa[Tỷ lệ],
(Table_BangLuong_TyLeTangCa[Ngày] = AC$3) *
(Table_BangLuong_TyLeTangCa[Giờ min]&lt;=$AA18) *
(Table_BangLuong_TyLeTangCa[Giờ max]&gt;$AA18)
)))),
IF(AND($AA18-$Z$4 &gt;= AC$5,$AA18 &lt; AC$4),0,
SUM(_xlfn._xlws.FILTER(Table_BangLuong_TyLeTangCa[Tỷ lệ],
(Table_BangLuong_TyLeTangCa[Ngày] = AC$3) *
(Table_BangLuong_TyLeTangCa[Giờ min]&lt;=$AA18) *
(Table_BangLuong_TyLeTangCa[Giờ max]&gt;$AA18)
))))
),
IF(ISBLANK(AC$7),
IF(VLOOKUP(AC$6, Table_ChiPhiNV_Ca[], COUNTA(Table_ChiPhiNV_Ca[[#Headers],[Ca]:[Kết thúc]]),0)&gt; VLOOKUP(AC$6, Table_ChiPhiNV_Ca[], COUNTA(Table_ChiPhiNV_Ca[[#Headers],[Ca]:[Bắt đầu]]),0),
IF($AA18-$Z$4&lt;MAX(AC$4,VLOOKUP(AC$6, Table_ChiPhiNV_Ca[], COUNTA(Table_ChiPhiNV_Ca[[#Headers],[Ca]:[Bắt đầu]]),0)),0,
IF($AA18&gt;MIN(AC$5,VLOOKUP(AC$6, Table_ChiPhiNV_Ca[], COUNTA(Table_ChiPhiNV_Ca[[#Headers],[Ca]:[Kết thúc]]),0)),0,
SUM(_xlfn._xlws.FILTER(Table_BangLuong_TyLeTangCa[Tỷ lệ],
(Table_BangLuong_TyLeTangCa[Ngày] = "Thường") *
(Table_BangLuong_TyLeTangCa[Giờ min]&lt;=$AA18) *
(Table_BangLuong_TyLeTangCa[Giờ max]&gt;$AA18)
)))),
IF(AC$4 &gt; AC$5,
IF(
AND(
$AA18-$Z$4&lt;MAX(AC$4,VLOOKUP(AC$6, Table_ChiPhiNV_Ca[], COUNTA(Table_ChiPhiNV_Ca[[#Headers],[Ca]:[Bắt đầu]]),0)),
$AA18&gt;MIN(AC$5,VLOOKUP(AC$6, Table_ChiPhiNV_Ca[], COUNTA(Table_ChiPhiNV_Ca[[#Headers],[Ca]:[Kết thúc]]),0))),0,
SUM(_xlfn._xlws.FILTER(Table_BangLuong_TyLeTangCa[Tỷ lệ],
(Table_BangLuong_TyLeTangCa[Ngày] = "Thường") *
(Table_BangLuong_TyLeTangCa[Giờ min]&lt;=$AA18) *
(Table_BangLuong_TyLeTangCa[Giờ max]&gt;$AA18)
))),
IF(
AND(
$AA18-$Z$4&gt;=MAX(AC$4,VLOOKUP(AC$6, Table_ChiPhiNV_Ca[], COUNTA(Table_ChiPhiNV_Ca[[#Headers],[Ca]:[Bắt đầu]]),0)),
$AA18&lt;MIN(AC$5,VLOOKUP(AC$6, Table_ChiPhiNV_Ca[], COUNTA(Table_ChiPhiNV_Ca[[#Headers],[Ca]:[Kết thúc]]),0))),
SUM(_xlfn._xlws.FILTER(Table_BangLuong_TyLeTangCa[Tỷ lệ],
(Table_BangLuong_TyLeTangCa[Ngày] = "Thường") *
(Table_BangLuong_TyLeTangCa[Giờ min]&lt;=$AA18) *
(Table_BangLuong_TyLeTangCa[Giờ max]&gt;$AA18)
)),0)
)),
IF(AC$4 &lt; AC$5,
IF($AA18-$Z$4&lt;AC$4,0,
IF($AA18&gt;AC$5,0,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AC$5,$AA18 &lt; AC$4),0,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D18" s="18" cm="1">
        <f t="array" ref="AD18" xml:space="preserve">
IFERROR(
IF(AD$1="",0,
IF(AND(
$AA18&gt;=VLOOKUP(AD$6, Table_ChiPhiNV_Ca[], COUNTA(Table_ChiPhiNV_Ca[[#Headers],[Ca]:[Bắt đầu nghỉ]]),0),
$AA18&lt;VLOOKUP(AD$6, Table_ChiPhiNV_Ca[], COUNTA(Table_ChiPhiNV_Ca[[#Headers],[Ca]:[Kết thúc nghỉ]]),0)
),0,
IF(NOT(ISBLANK(AD$3)),
IF(ISBLANK(AD$7),0,
IF(AD$4 &lt; AD$5,
IF($AA18-$Z$4&lt;AD$4,0,
IF($AA18&gt;AD$5,0,
SUM(_xlfn._xlws.FILTER(Table_BangLuong_TyLeTangCa[Tỷ lệ],
(Table_BangLuong_TyLeTangCa[Ngày] = AD$3) *
(Table_BangLuong_TyLeTangCa[Giờ min]&lt;=$AA18) *
(Table_BangLuong_TyLeTangCa[Giờ max]&gt;$AA18)
)))),
IF(AND($AA18-$Z$4 &gt;= AD$5,$AA18 &lt; AD$4),0,
SUM(_xlfn._xlws.FILTER(Table_BangLuong_TyLeTangCa[Tỷ lệ],
(Table_BangLuong_TyLeTangCa[Ngày] = AD$3) *
(Table_BangLuong_TyLeTangCa[Giờ min]&lt;=$AA18) *
(Table_BangLuong_TyLeTangCa[Giờ max]&gt;$AA18)
))))
),
IF(ISBLANK(AD$7),
IF(VLOOKUP(AD$6, Table_ChiPhiNV_Ca[], COUNTA(Table_ChiPhiNV_Ca[[#Headers],[Ca]:[Kết thúc]]),0)&gt; VLOOKUP(AD$6, Table_ChiPhiNV_Ca[], COUNTA(Table_ChiPhiNV_Ca[[#Headers],[Ca]:[Bắt đầu]]),0),
IF($AA18-$Z$4&lt;MAX(AD$4,VLOOKUP(AD$6, Table_ChiPhiNV_Ca[], COUNTA(Table_ChiPhiNV_Ca[[#Headers],[Ca]:[Bắt đầu]]),0)),0,
IF($AA18&gt;MIN(AD$5,VLOOKUP(AD$6, Table_ChiPhiNV_Ca[], COUNTA(Table_ChiPhiNV_Ca[[#Headers],[Ca]:[Kết thúc]]),0)),0,
SUM(_xlfn._xlws.FILTER(Table_BangLuong_TyLeTangCa[Tỷ lệ],
(Table_BangLuong_TyLeTangCa[Ngày] = "Thường") *
(Table_BangLuong_TyLeTangCa[Giờ min]&lt;=$AA18) *
(Table_BangLuong_TyLeTangCa[Giờ max]&gt;$AA18)
)))),
IF(AD$4 &gt; AD$5,
IF(
AND(
$AA18-$Z$4&lt;MAX(AD$4,VLOOKUP(AD$6, Table_ChiPhiNV_Ca[], COUNTA(Table_ChiPhiNV_Ca[[#Headers],[Ca]:[Bắt đầu]]),0)),
$AA18&gt;MIN(AD$5,VLOOKUP(AD$6, Table_ChiPhiNV_Ca[], COUNTA(Table_ChiPhiNV_Ca[[#Headers],[Ca]:[Kết thúc]]),0))),0,
SUM(_xlfn._xlws.FILTER(Table_BangLuong_TyLeTangCa[Tỷ lệ],
(Table_BangLuong_TyLeTangCa[Ngày] = "Thường") *
(Table_BangLuong_TyLeTangCa[Giờ min]&lt;=$AA18) *
(Table_BangLuong_TyLeTangCa[Giờ max]&gt;$AA18)
))),
IF(
AND(
$AA18-$Z$4&gt;=MAX(AD$4,VLOOKUP(AD$6, Table_ChiPhiNV_Ca[], COUNTA(Table_ChiPhiNV_Ca[[#Headers],[Ca]:[Bắt đầu]]),0)),
$AA18&lt;MIN(AD$5,VLOOKUP(AD$6, Table_ChiPhiNV_Ca[], COUNTA(Table_ChiPhiNV_Ca[[#Headers],[Ca]:[Kết thúc]]),0))),
SUM(_xlfn._xlws.FILTER(Table_BangLuong_TyLeTangCa[Tỷ lệ],
(Table_BangLuong_TyLeTangCa[Ngày] = "Thường") *
(Table_BangLuong_TyLeTangCa[Giờ min]&lt;=$AA18) *
(Table_BangLuong_TyLeTangCa[Giờ max]&gt;$AA18)
)),0)
)),
IF(AD$4 &lt; AD$5,
IF($AA18-$Z$4&lt;AD$4,0,
IF($AA18&gt;AD$5,0,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AD$5,$AA18 &lt; AD$4),0,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E18" s="18" cm="1">
        <f t="array" ref="AE18" xml:space="preserve">
IFERROR(
IF(AE$1="",0,
IF(AND(
$AA18&gt;=VLOOKUP(AE$6, Table_ChiPhiNV_Ca[], COUNTA(Table_ChiPhiNV_Ca[[#Headers],[Ca]:[Bắt đầu nghỉ]]),0),
$AA18&lt;VLOOKUP(AE$6, Table_ChiPhiNV_Ca[], COUNTA(Table_ChiPhiNV_Ca[[#Headers],[Ca]:[Kết thúc nghỉ]]),0)
),0,
IF(NOT(ISBLANK(AE$3)),
IF(ISBLANK(AE$7),0,
IF(AE$4 &lt; AE$5,
IF($AA18-$Z$4&lt;AE$4,0,
IF($AA18&gt;AE$5,0,
SUM(_xlfn._xlws.FILTER(Table_BangLuong_TyLeTangCa[Tỷ lệ],
(Table_BangLuong_TyLeTangCa[Ngày] = AE$3) *
(Table_BangLuong_TyLeTangCa[Giờ min]&lt;=$AA18) *
(Table_BangLuong_TyLeTangCa[Giờ max]&gt;$AA18)
)))),
IF(AND($AA18-$Z$4 &gt;= AE$5,$AA18 &lt; AE$4),0,
SUM(_xlfn._xlws.FILTER(Table_BangLuong_TyLeTangCa[Tỷ lệ],
(Table_BangLuong_TyLeTangCa[Ngày] = AE$3) *
(Table_BangLuong_TyLeTangCa[Giờ min]&lt;=$AA18) *
(Table_BangLuong_TyLeTangCa[Giờ max]&gt;$AA18)
))))
),
IF(ISBLANK(AE$7),
IF(VLOOKUP(AE$6, Table_ChiPhiNV_Ca[], COUNTA(Table_ChiPhiNV_Ca[[#Headers],[Ca]:[Kết thúc]]),0)&gt; VLOOKUP(AE$6, Table_ChiPhiNV_Ca[], COUNTA(Table_ChiPhiNV_Ca[[#Headers],[Ca]:[Bắt đầu]]),0),
IF($AA18-$Z$4&lt;MAX(AE$4,VLOOKUP(AE$6, Table_ChiPhiNV_Ca[], COUNTA(Table_ChiPhiNV_Ca[[#Headers],[Ca]:[Bắt đầu]]),0)),0,
IF($AA18&gt;MIN(AE$5,VLOOKUP(AE$6, Table_ChiPhiNV_Ca[], COUNTA(Table_ChiPhiNV_Ca[[#Headers],[Ca]:[Kết thúc]]),0)),0,
SUM(_xlfn._xlws.FILTER(Table_BangLuong_TyLeTangCa[Tỷ lệ],
(Table_BangLuong_TyLeTangCa[Ngày] = "Thường") *
(Table_BangLuong_TyLeTangCa[Giờ min]&lt;=$AA18) *
(Table_BangLuong_TyLeTangCa[Giờ max]&gt;$AA18)
)))),
IF(AE$4 &gt; AE$5,
IF(
AND(
$AA18-$Z$4&lt;MAX(AE$4,VLOOKUP(AE$6, Table_ChiPhiNV_Ca[], COUNTA(Table_ChiPhiNV_Ca[[#Headers],[Ca]:[Bắt đầu]]),0)),
$AA18&gt;MIN(AE$5,VLOOKUP(AE$6, Table_ChiPhiNV_Ca[], COUNTA(Table_ChiPhiNV_Ca[[#Headers],[Ca]:[Kết thúc]]),0))),0,
SUM(_xlfn._xlws.FILTER(Table_BangLuong_TyLeTangCa[Tỷ lệ],
(Table_BangLuong_TyLeTangCa[Ngày] = "Thường") *
(Table_BangLuong_TyLeTangCa[Giờ min]&lt;=$AA18) *
(Table_BangLuong_TyLeTangCa[Giờ max]&gt;$AA18)
))),
IF(
AND(
$AA18-$Z$4&gt;=MAX(AE$4,VLOOKUP(AE$6, Table_ChiPhiNV_Ca[], COUNTA(Table_ChiPhiNV_Ca[[#Headers],[Ca]:[Bắt đầu]]),0)),
$AA18&lt;MIN(AE$5,VLOOKUP(AE$6, Table_ChiPhiNV_Ca[], COUNTA(Table_ChiPhiNV_Ca[[#Headers],[Ca]:[Kết thúc]]),0))),
SUM(_xlfn._xlws.FILTER(Table_BangLuong_TyLeTangCa[Tỷ lệ],
(Table_BangLuong_TyLeTangCa[Ngày] = "Thường") *
(Table_BangLuong_TyLeTangCa[Giờ min]&lt;=$AA18) *
(Table_BangLuong_TyLeTangCa[Giờ max]&gt;$AA18)
)),0)
)),
IF(AE$4 &lt; AE$5,
IF($AA18-$Z$4&lt;AE$4,0,
IF($AA18&gt;AE$5,0,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AE$5,$AA18 &lt; AE$4),0,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F18" s="18" cm="1">
        <f t="array" ref="AF18" xml:space="preserve">
IFERROR(
IF(AF$1="",0,
IF(AND(
$AA18&gt;=VLOOKUP(AF$6, Table_ChiPhiNV_Ca[], COUNTA(Table_ChiPhiNV_Ca[[#Headers],[Ca]:[Bắt đầu nghỉ]]),0),
$AA18&lt;VLOOKUP(AF$6, Table_ChiPhiNV_Ca[], COUNTA(Table_ChiPhiNV_Ca[[#Headers],[Ca]:[Kết thúc nghỉ]]),0)
),0,
IF(NOT(ISBLANK(AF$3)),
IF(ISBLANK(AF$7),0,
IF(AF$4 &lt; AF$5,
IF($AA18-$Z$4&lt;AF$4,0,
IF($AA18&gt;AF$5,0,
SUM(_xlfn._xlws.FILTER(Table_BangLuong_TyLeTangCa[Tỷ lệ],
(Table_BangLuong_TyLeTangCa[Ngày] = AF$3) *
(Table_BangLuong_TyLeTangCa[Giờ min]&lt;=$AA18) *
(Table_BangLuong_TyLeTangCa[Giờ max]&gt;$AA18)
)))),
IF(AND($AA18-$Z$4 &gt;= AF$5,$AA18 &lt; AF$4),0,
SUM(_xlfn._xlws.FILTER(Table_BangLuong_TyLeTangCa[Tỷ lệ],
(Table_BangLuong_TyLeTangCa[Ngày] = AF$3) *
(Table_BangLuong_TyLeTangCa[Giờ min]&lt;=$AA18) *
(Table_BangLuong_TyLeTangCa[Giờ max]&gt;$AA18)
))))
),
IF(ISBLANK(AF$7),
IF(VLOOKUP(AF$6, Table_ChiPhiNV_Ca[], COUNTA(Table_ChiPhiNV_Ca[[#Headers],[Ca]:[Kết thúc]]),0)&gt; VLOOKUP(AF$6, Table_ChiPhiNV_Ca[], COUNTA(Table_ChiPhiNV_Ca[[#Headers],[Ca]:[Bắt đầu]]),0),
IF($AA18-$Z$4&lt;MAX(AF$4,VLOOKUP(AF$6, Table_ChiPhiNV_Ca[], COUNTA(Table_ChiPhiNV_Ca[[#Headers],[Ca]:[Bắt đầu]]),0)),0,
IF($AA18&gt;MIN(AF$5,VLOOKUP(AF$6, Table_ChiPhiNV_Ca[], COUNTA(Table_ChiPhiNV_Ca[[#Headers],[Ca]:[Kết thúc]]),0)),0,
SUM(_xlfn._xlws.FILTER(Table_BangLuong_TyLeTangCa[Tỷ lệ],
(Table_BangLuong_TyLeTangCa[Ngày] = "Thường") *
(Table_BangLuong_TyLeTangCa[Giờ min]&lt;=$AA18) *
(Table_BangLuong_TyLeTangCa[Giờ max]&gt;$AA18)
)))),
IF(AF$4 &gt; AF$5,
IF(
AND(
$AA18-$Z$4&lt;MAX(AF$4,VLOOKUP(AF$6, Table_ChiPhiNV_Ca[], COUNTA(Table_ChiPhiNV_Ca[[#Headers],[Ca]:[Bắt đầu]]),0)),
$AA18&gt;MIN(AF$5,VLOOKUP(AF$6, Table_ChiPhiNV_Ca[], COUNTA(Table_ChiPhiNV_Ca[[#Headers],[Ca]:[Kết thúc]]),0))),0,
SUM(_xlfn._xlws.FILTER(Table_BangLuong_TyLeTangCa[Tỷ lệ],
(Table_BangLuong_TyLeTangCa[Ngày] = "Thường") *
(Table_BangLuong_TyLeTangCa[Giờ min]&lt;=$AA18) *
(Table_BangLuong_TyLeTangCa[Giờ max]&gt;$AA18)
))),
IF(
AND(
$AA18-$Z$4&gt;=MAX(AF$4,VLOOKUP(AF$6, Table_ChiPhiNV_Ca[], COUNTA(Table_ChiPhiNV_Ca[[#Headers],[Ca]:[Bắt đầu]]),0)),
$AA18&lt;MIN(AF$5,VLOOKUP(AF$6, Table_ChiPhiNV_Ca[], COUNTA(Table_ChiPhiNV_Ca[[#Headers],[Ca]:[Kết thúc]]),0))),
SUM(_xlfn._xlws.FILTER(Table_BangLuong_TyLeTangCa[Tỷ lệ],
(Table_BangLuong_TyLeTangCa[Ngày] = "Thường") *
(Table_BangLuong_TyLeTangCa[Giờ min]&lt;=$AA18) *
(Table_BangLuong_TyLeTangCa[Giờ max]&gt;$AA18)
)),0)
)),
IF(AF$4 &lt; AF$5,
IF($AA18-$Z$4&lt;AF$4,0,
IF($AA18&gt;AF$5,0,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AF$5,$AA18 &lt; AF$4),0,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G18" s="18" cm="1">
        <f t="array" ref="AG18" xml:space="preserve">
IFERROR(
IF(AG$1="",0,
IF(AND(
$AA18&gt;=VLOOKUP(AG$6, Table_ChiPhiNV_Ca[], COUNTA(Table_ChiPhiNV_Ca[[#Headers],[Ca]:[Bắt đầu nghỉ]]),0),
$AA18&lt;VLOOKUP(AG$6, Table_ChiPhiNV_Ca[], COUNTA(Table_ChiPhiNV_Ca[[#Headers],[Ca]:[Kết thúc nghỉ]]),0)
),0,
IF(NOT(ISBLANK(AG$3)),
IF(ISBLANK(AG$7),0,
IF(AG$4 &lt; AG$5,
IF($AA18-$Z$4&lt;AG$4,0,
IF($AA18&gt;AG$5,0,
SUM(_xlfn._xlws.FILTER(Table_BangLuong_TyLeTangCa[Tỷ lệ],
(Table_BangLuong_TyLeTangCa[Ngày] = AG$3) *
(Table_BangLuong_TyLeTangCa[Giờ min]&lt;=$AA18) *
(Table_BangLuong_TyLeTangCa[Giờ max]&gt;$AA18)
)))),
IF(AND($AA18-$Z$4 &gt;= AG$5,$AA18 &lt; AG$4),0,
SUM(_xlfn._xlws.FILTER(Table_BangLuong_TyLeTangCa[Tỷ lệ],
(Table_BangLuong_TyLeTangCa[Ngày] = AG$3) *
(Table_BangLuong_TyLeTangCa[Giờ min]&lt;=$AA18) *
(Table_BangLuong_TyLeTangCa[Giờ max]&gt;$AA18)
))))
),
IF(ISBLANK(AG$7),
IF(VLOOKUP(AG$6, Table_ChiPhiNV_Ca[], COUNTA(Table_ChiPhiNV_Ca[[#Headers],[Ca]:[Kết thúc]]),0)&gt; VLOOKUP(AG$6, Table_ChiPhiNV_Ca[], COUNTA(Table_ChiPhiNV_Ca[[#Headers],[Ca]:[Bắt đầu]]),0),
IF($AA18-$Z$4&lt;MAX(AG$4,VLOOKUP(AG$6, Table_ChiPhiNV_Ca[], COUNTA(Table_ChiPhiNV_Ca[[#Headers],[Ca]:[Bắt đầu]]),0)),0,
IF($AA18&gt;MIN(AG$5,VLOOKUP(AG$6, Table_ChiPhiNV_Ca[], COUNTA(Table_ChiPhiNV_Ca[[#Headers],[Ca]:[Kết thúc]]),0)),0,
SUM(_xlfn._xlws.FILTER(Table_BangLuong_TyLeTangCa[Tỷ lệ],
(Table_BangLuong_TyLeTangCa[Ngày] = "Thường") *
(Table_BangLuong_TyLeTangCa[Giờ min]&lt;=$AA18) *
(Table_BangLuong_TyLeTangCa[Giờ max]&gt;$AA18)
)))),
IF(AG$4 &gt; AG$5,
IF(
AND(
$AA18-$Z$4&lt;MAX(AG$4,VLOOKUP(AG$6, Table_ChiPhiNV_Ca[], COUNTA(Table_ChiPhiNV_Ca[[#Headers],[Ca]:[Bắt đầu]]),0)),
$AA18&gt;MIN(AG$5,VLOOKUP(AG$6, Table_ChiPhiNV_Ca[], COUNTA(Table_ChiPhiNV_Ca[[#Headers],[Ca]:[Kết thúc]]),0))),0,
SUM(_xlfn._xlws.FILTER(Table_BangLuong_TyLeTangCa[Tỷ lệ],
(Table_BangLuong_TyLeTangCa[Ngày] = "Thường") *
(Table_BangLuong_TyLeTangCa[Giờ min]&lt;=$AA18) *
(Table_BangLuong_TyLeTangCa[Giờ max]&gt;$AA18)
))),
IF(
AND(
$AA18-$Z$4&gt;=MAX(AG$4,VLOOKUP(AG$6, Table_ChiPhiNV_Ca[], COUNTA(Table_ChiPhiNV_Ca[[#Headers],[Ca]:[Bắt đầu]]),0)),
$AA18&lt;MIN(AG$5,VLOOKUP(AG$6, Table_ChiPhiNV_Ca[], COUNTA(Table_ChiPhiNV_Ca[[#Headers],[Ca]:[Kết thúc]]),0))),
SUM(_xlfn._xlws.FILTER(Table_BangLuong_TyLeTangCa[Tỷ lệ],
(Table_BangLuong_TyLeTangCa[Ngày] = "Thường") *
(Table_BangLuong_TyLeTangCa[Giờ min]&lt;=$AA18) *
(Table_BangLuong_TyLeTangCa[Giờ max]&gt;$AA18)
)),0)
)),
IF(AG$4 &lt; AG$5,
IF($AA18-$Z$4&lt;AG$4,0,
IF($AA18&gt;AG$5,0,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AG$5,$AA18 &lt; AG$4),0,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H18" s="18" cm="1">
        <f t="array" ref="AH18" xml:space="preserve">
IFERROR(
IF(AH$1="",0,
IF(AND(
$AA18&gt;=VLOOKUP(AH$6, Table_ChiPhiNV_Ca[], COUNTA(Table_ChiPhiNV_Ca[[#Headers],[Ca]:[Bắt đầu nghỉ]]),0),
$AA18&lt;VLOOKUP(AH$6, Table_ChiPhiNV_Ca[], COUNTA(Table_ChiPhiNV_Ca[[#Headers],[Ca]:[Kết thúc nghỉ]]),0)
),0,
IF(NOT(ISBLANK(AH$3)),
IF(ISBLANK(AH$7),0,
IF(AH$4 &lt; AH$5,
IF($AA18-$Z$4&lt;AH$4,0,
IF($AA18&gt;AH$5,0,
SUM(_xlfn._xlws.FILTER(Table_BangLuong_TyLeTangCa[Tỷ lệ],
(Table_BangLuong_TyLeTangCa[Ngày] = AH$3) *
(Table_BangLuong_TyLeTangCa[Giờ min]&lt;=$AA18) *
(Table_BangLuong_TyLeTangCa[Giờ max]&gt;$AA18)
)))),
IF(AND($AA18-$Z$4 &gt;= AH$5,$AA18 &lt; AH$4),0,
SUM(_xlfn._xlws.FILTER(Table_BangLuong_TyLeTangCa[Tỷ lệ],
(Table_BangLuong_TyLeTangCa[Ngày] = AH$3) *
(Table_BangLuong_TyLeTangCa[Giờ min]&lt;=$AA18) *
(Table_BangLuong_TyLeTangCa[Giờ max]&gt;$AA18)
))))
),
IF(ISBLANK(AH$7),
IF(VLOOKUP(AH$6, Table_ChiPhiNV_Ca[], COUNTA(Table_ChiPhiNV_Ca[[#Headers],[Ca]:[Kết thúc]]),0)&gt; VLOOKUP(AH$6, Table_ChiPhiNV_Ca[], COUNTA(Table_ChiPhiNV_Ca[[#Headers],[Ca]:[Bắt đầu]]),0),
IF($AA18-$Z$4&lt;MAX(AH$4,VLOOKUP(AH$6, Table_ChiPhiNV_Ca[], COUNTA(Table_ChiPhiNV_Ca[[#Headers],[Ca]:[Bắt đầu]]),0)),0,
IF($AA18&gt;MIN(AH$5,VLOOKUP(AH$6, Table_ChiPhiNV_Ca[], COUNTA(Table_ChiPhiNV_Ca[[#Headers],[Ca]:[Kết thúc]]),0)),0,
SUM(_xlfn._xlws.FILTER(Table_BangLuong_TyLeTangCa[Tỷ lệ],
(Table_BangLuong_TyLeTangCa[Ngày] = "Thường") *
(Table_BangLuong_TyLeTangCa[Giờ min]&lt;=$AA18) *
(Table_BangLuong_TyLeTangCa[Giờ max]&gt;$AA18)
)))),
IF(AH$4 &gt; AH$5,
IF(
AND(
$AA18-$Z$4&lt;MAX(AH$4,VLOOKUP(AH$6, Table_ChiPhiNV_Ca[], COUNTA(Table_ChiPhiNV_Ca[[#Headers],[Ca]:[Bắt đầu]]),0)),
$AA18&gt;MIN(AH$5,VLOOKUP(AH$6, Table_ChiPhiNV_Ca[], COUNTA(Table_ChiPhiNV_Ca[[#Headers],[Ca]:[Kết thúc]]),0))),0,
SUM(_xlfn._xlws.FILTER(Table_BangLuong_TyLeTangCa[Tỷ lệ],
(Table_BangLuong_TyLeTangCa[Ngày] = "Thường") *
(Table_BangLuong_TyLeTangCa[Giờ min]&lt;=$AA18) *
(Table_BangLuong_TyLeTangCa[Giờ max]&gt;$AA18)
))),
IF(
AND(
$AA18-$Z$4&gt;=MAX(AH$4,VLOOKUP(AH$6, Table_ChiPhiNV_Ca[], COUNTA(Table_ChiPhiNV_Ca[[#Headers],[Ca]:[Bắt đầu]]),0)),
$AA18&lt;MIN(AH$5,VLOOKUP(AH$6, Table_ChiPhiNV_Ca[], COUNTA(Table_ChiPhiNV_Ca[[#Headers],[Ca]:[Kết thúc]]),0))),
SUM(_xlfn._xlws.FILTER(Table_BangLuong_TyLeTangCa[Tỷ lệ],
(Table_BangLuong_TyLeTangCa[Ngày] = "Thường") *
(Table_BangLuong_TyLeTangCa[Giờ min]&lt;=$AA18) *
(Table_BangLuong_TyLeTangCa[Giờ max]&gt;$AA18)
)),0)
)),
IF(AH$4 &lt; AH$5,
IF($AA18-$Z$4&lt;AH$4,0,
IF($AA18&gt;AH$5,0,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AH$5,$AA18 &lt; AH$4),0,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I18" s="18" cm="1">
        <f t="array" ref="AI18" xml:space="preserve">
IFERROR(
IF(AI$1="",0,
IF(AND(
$AA18&gt;=VLOOKUP(AI$6, Table_ChiPhiNV_Ca[], COUNTA(Table_ChiPhiNV_Ca[[#Headers],[Ca]:[Bắt đầu nghỉ]]),0),
$AA18&lt;VLOOKUP(AI$6, Table_ChiPhiNV_Ca[], COUNTA(Table_ChiPhiNV_Ca[[#Headers],[Ca]:[Kết thúc nghỉ]]),0)
),0,
IF(NOT(ISBLANK(AI$3)),
IF(ISBLANK(AI$7),0,
IF(AI$4 &lt; AI$5,
IF($AA18-$Z$4&lt;AI$4,0,
IF($AA18&gt;AI$5,0,
SUM(_xlfn._xlws.FILTER(Table_BangLuong_TyLeTangCa[Tỷ lệ],
(Table_BangLuong_TyLeTangCa[Ngày] = AI$3) *
(Table_BangLuong_TyLeTangCa[Giờ min]&lt;=$AA18) *
(Table_BangLuong_TyLeTangCa[Giờ max]&gt;$AA18)
)))),
IF(AND($AA18-$Z$4 &gt;= AI$5,$AA18 &lt; AI$4),0,
SUM(_xlfn._xlws.FILTER(Table_BangLuong_TyLeTangCa[Tỷ lệ],
(Table_BangLuong_TyLeTangCa[Ngày] = AI$3) *
(Table_BangLuong_TyLeTangCa[Giờ min]&lt;=$AA18) *
(Table_BangLuong_TyLeTangCa[Giờ max]&gt;$AA18)
))))
),
IF(ISBLANK(AI$7),
IF(VLOOKUP(AI$6, Table_ChiPhiNV_Ca[], COUNTA(Table_ChiPhiNV_Ca[[#Headers],[Ca]:[Kết thúc]]),0)&gt; VLOOKUP(AI$6, Table_ChiPhiNV_Ca[], COUNTA(Table_ChiPhiNV_Ca[[#Headers],[Ca]:[Bắt đầu]]),0),
IF($AA18-$Z$4&lt;MAX(AI$4,VLOOKUP(AI$6, Table_ChiPhiNV_Ca[], COUNTA(Table_ChiPhiNV_Ca[[#Headers],[Ca]:[Bắt đầu]]),0)),0,
IF($AA18&gt;MIN(AI$5,VLOOKUP(AI$6, Table_ChiPhiNV_Ca[], COUNTA(Table_ChiPhiNV_Ca[[#Headers],[Ca]:[Kết thúc]]),0)),0,
SUM(_xlfn._xlws.FILTER(Table_BangLuong_TyLeTangCa[Tỷ lệ],
(Table_BangLuong_TyLeTangCa[Ngày] = "Thường") *
(Table_BangLuong_TyLeTangCa[Giờ min]&lt;=$AA18) *
(Table_BangLuong_TyLeTangCa[Giờ max]&gt;$AA18)
)))),
IF(AI$4 &gt; AI$5,
IF(
AND(
$AA18-$Z$4&lt;MAX(AI$4,VLOOKUP(AI$6, Table_ChiPhiNV_Ca[], COUNTA(Table_ChiPhiNV_Ca[[#Headers],[Ca]:[Bắt đầu]]),0)),
$AA18&gt;MIN(AI$5,VLOOKUP(AI$6, Table_ChiPhiNV_Ca[], COUNTA(Table_ChiPhiNV_Ca[[#Headers],[Ca]:[Kết thúc]]),0))),0,
SUM(_xlfn._xlws.FILTER(Table_BangLuong_TyLeTangCa[Tỷ lệ],
(Table_BangLuong_TyLeTangCa[Ngày] = "Thường") *
(Table_BangLuong_TyLeTangCa[Giờ min]&lt;=$AA18) *
(Table_BangLuong_TyLeTangCa[Giờ max]&gt;$AA18)
))),
IF(
AND(
$AA18-$Z$4&gt;=MAX(AI$4,VLOOKUP(AI$6, Table_ChiPhiNV_Ca[], COUNTA(Table_ChiPhiNV_Ca[[#Headers],[Ca]:[Bắt đầu]]),0)),
$AA18&lt;MIN(AI$5,VLOOKUP(AI$6, Table_ChiPhiNV_Ca[], COUNTA(Table_ChiPhiNV_Ca[[#Headers],[Ca]:[Kết thúc]]),0))),
SUM(_xlfn._xlws.FILTER(Table_BangLuong_TyLeTangCa[Tỷ lệ],
(Table_BangLuong_TyLeTangCa[Ngày] = "Thường") *
(Table_BangLuong_TyLeTangCa[Giờ min]&lt;=$AA18) *
(Table_BangLuong_TyLeTangCa[Giờ max]&gt;$AA18)
)),0)
)),
IF(AI$4 &lt; AI$5,
IF($AA18-$Z$4&lt;AI$4,0,
IF($AA18&gt;AI$5,0,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AI$5,$AA18 &lt; AI$4),0,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J18" s="18" cm="1">
        <f t="array" ref="AJ18" xml:space="preserve">
IFERROR(
IF(AJ$1="",0,
IF(AND(
$AA18&gt;=VLOOKUP(AJ$6, Table_ChiPhiNV_Ca[], COUNTA(Table_ChiPhiNV_Ca[[#Headers],[Ca]:[Bắt đầu nghỉ]]),0),
$AA18&lt;VLOOKUP(AJ$6, Table_ChiPhiNV_Ca[], COUNTA(Table_ChiPhiNV_Ca[[#Headers],[Ca]:[Kết thúc nghỉ]]),0)
),0,
IF(NOT(ISBLANK(AJ$3)),
IF(ISBLANK(AJ$7),0,
IF(AJ$4 &lt; AJ$5,
IF($AA18-$Z$4&lt;AJ$4,0,
IF($AA18&gt;AJ$5,0,
SUM(_xlfn._xlws.FILTER(Table_BangLuong_TyLeTangCa[Tỷ lệ],
(Table_BangLuong_TyLeTangCa[Ngày] = AJ$3) *
(Table_BangLuong_TyLeTangCa[Giờ min]&lt;=$AA18) *
(Table_BangLuong_TyLeTangCa[Giờ max]&gt;$AA18)
)))),
IF(AND($AA18-$Z$4 &gt;= AJ$5,$AA18 &lt; AJ$4),0,
SUM(_xlfn._xlws.FILTER(Table_BangLuong_TyLeTangCa[Tỷ lệ],
(Table_BangLuong_TyLeTangCa[Ngày] = AJ$3) *
(Table_BangLuong_TyLeTangCa[Giờ min]&lt;=$AA18) *
(Table_BangLuong_TyLeTangCa[Giờ max]&gt;$AA18)
))))
),
IF(ISBLANK(AJ$7),
IF(VLOOKUP(AJ$6, Table_ChiPhiNV_Ca[], COUNTA(Table_ChiPhiNV_Ca[[#Headers],[Ca]:[Kết thúc]]),0)&gt; VLOOKUP(AJ$6, Table_ChiPhiNV_Ca[], COUNTA(Table_ChiPhiNV_Ca[[#Headers],[Ca]:[Bắt đầu]]),0),
IF($AA18-$Z$4&lt;MAX(AJ$4,VLOOKUP(AJ$6, Table_ChiPhiNV_Ca[], COUNTA(Table_ChiPhiNV_Ca[[#Headers],[Ca]:[Bắt đầu]]),0)),0,
IF($AA18&gt;MIN(AJ$5,VLOOKUP(AJ$6, Table_ChiPhiNV_Ca[], COUNTA(Table_ChiPhiNV_Ca[[#Headers],[Ca]:[Kết thúc]]),0)),0,
SUM(_xlfn._xlws.FILTER(Table_BangLuong_TyLeTangCa[Tỷ lệ],
(Table_BangLuong_TyLeTangCa[Ngày] = "Thường") *
(Table_BangLuong_TyLeTangCa[Giờ min]&lt;=$AA18) *
(Table_BangLuong_TyLeTangCa[Giờ max]&gt;$AA18)
)))),
IF(AJ$4 &gt; AJ$5,
IF(
AND(
$AA18-$Z$4&lt;MAX(AJ$4,VLOOKUP(AJ$6, Table_ChiPhiNV_Ca[], COUNTA(Table_ChiPhiNV_Ca[[#Headers],[Ca]:[Bắt đầu]]),0)),
$AA18&gt;MIN(AJ$5,VLOOKUP(AJ$6, Table_ChiPhiNV_Ca[], COUNTA(Table_ChiPhiNV_Ca[[#Headers],[Ca]:[Kết thúc]]),0))),0,
SUM(_xlfn._xlws.FILTER(Table_BangLuong_TyLeTangCa[Tỷ lệ],
(Table_BangLuong_TyLeTangCa[Ngày] = "Thường") *
(Table_BangLuong_TyLeTangCa[Giờ min]&lt;=$AA18) *
(Table_BangLuong_TyLeTangCa[Giờ max]&gt;$AA18)
))),
IF(
AND(
$AA18-$Z$4&gt;=MAX(AJ$4,VLOOKUP(AJ$6, Table_ChiPhiNV_Ca[], COUNTA(Table_ChiPhiNV_Ca[[#Headers],[Ca]:[Bắt đầu]]),0)),
$AA18&lt;MIN(AJ$5,VLOOKUP(AJ$6, Table_ChiPhiNV_Ca[], COUNTA(Table_ChiPhiNV_Ca[[#Headers],[Ca]:[Kết thúc]]),0))),
SUM(_xlfn._xlws.FILTER(Table_BangLuong_TyLeTangCa[Tỷ lệ],
(Table_BangLuong_TyLeTangCa[Ngày] = "Thường") *
(Table_BangLuong_TyLeTangCa[Giờ min]&lt;=$AA18) *
(Table_BangLuong_TyLeTangCa[Giờ max]&gt;$AA18)
)),0)
)),
IF(AJ$4 &lt; AJ$5,
IF($AA18-$Z$4&lt;AJ$4,0,
IF($AA18&gt;AJ$5,0,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AJ$5,$AA18 &lt; AJ$4),0,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K18" s="18" cm="1">
        <f t="array" ref="AK18" xml:space="preserve">
IFERROR(
IF(AK$1="",0,
IF(AND(
$AA18&gt;=VLOOKUP(AK$6, Table_ChiPhiNV_Ca[], COUNTA(Table_ChiPhiNV_Ca[[#Headers],[Ca]:[Bắt đầu nghỉ]]),0),
$AA18&lt;VLOOKUP(AK$6, Table_ChiPhiNV_Ca[], COUNTA(Table_ChiPhiNV_Ca[[#Headers],[Ca]:[Kết thúc nghỉ]]),0)
),0,
IF(NOT(ISBLANK(AK$3)),
IF(ISBLANK(AK$7),0,
IF(AK$4 &lt; AK$5,
IF($AA18-$Z$4&lt;AK$4,0,
IF($AA18&gt;AK$5,0,
SUM(_xlfn._xlws.FILTER(Table_BangLuong_TyLeTangCa[Tỷ lệ],
(Table_BangLuong_TyLeTangCa[Ngày] = AK$3) *
(Table_BangLuong_TyLeTangCa[Giờ min]&lt;=$AA18) *
(Table_BangLuong_TyLeTangCa[Giờ max]&gt;$AA18)
)))),
IF(AND($AA18-$Z$4 &gt;= AK$5,$AA18 &lt; AK$4),0,
SUM(_xlfn._xlws.FILTER(Table_BangLuong_TyLeTangCa[Tỷ lệ],
(Table_BangLuong_TyLeTangCa[Ngày] = AK$3) *
(Table_BangLuong_TyLeTangCa[Giờ min]&lt;=$AA18) *
(Table_BangLuong_TyLeTangCa[Giờ max]&gt;$AA18)
))))
),
IF(ISBLANK(AK$7),
IF(VLOOKUP(AK$6, Table_ChiPhiNV_Ca[], COUNTA(Table_ChiPhiNV_Ca[[#Headers],[Ca]:[Kết thúc]]),0)&gt; VLOOKUP(AK$6, Table_ChiPhiNV_Ca[], COUNTA(Table_ChiPhiNV_Ca[[#Headers],[Ca]:[Bắt đầu]]),0),
IF($AA18-$Z$4&lt;MAX(AK$4,VLOOKUP(AK$6, Table_ChiPhiNV_Ca[], COUNTA(Table_ChiPhiNV_Ca[[#Headers],[Ca]:[Bắt đầu]]),0)),0,
IF($AA18&gt;MIN(AK$5,VLOOKUP(AK$6, Table_ChiPhiNV_Ca[], COUNTA(Table_ChiPhiNV_Ca[[#Headers],[Ca]:[Kết thúc]]),0)),0,
SUM(_xlfn._xlws.FILTER(Table_BangLuong_TyLeTangCa[Tỷ lệ],
(Table_BangLuong_TyLeTangCa[Ngày] = "Thường") *
(Table_BangLuong_TyLeTangCa[Giờ min]&lt;=$AA18) *
(Table_BangLuong_TyLeTangCa[Giờ max]&gt;$AA18)
)))),
IF(AK$4 &gt; AK$5,
IF(
AND(
$AA18-$Z$4&lt;MAX(AK$4,VLOOKUP(AK$6, Table_ChiPhiNV_Ca[], COUNTA(Table_ChiPhiNV_Ca[[#Headers],[Ca]:[Bắt đầu]]),0)),
$AA18&gt;MIN(AK$5,VLOOKUP(AK$6, Table_ChiPhiNV_Ca[], COUNTA(Table_ChiPhiNV_Ca[[#Headers],[Ca]:[Kết thúc]]),0))),0,
SUM(_xlfn._xlws.FILTER(Table_BangLuong_TyLeTangCa[Tỷ lệ],
(Table_BangLuong_TyLeTangCa[Ngày] = "Thường") *
(Table_BangLuong_TyLeTangCa[Giờ min]&lt;=$AA18) *
(Table_BangLuong_TyLeTangCa[Giờ max]&gt;$AA18)
))),
IF(
AND(
$AA18-$Z$4&gt;=MAX(AK$4,VLOOKUP(AK$6, Table_ChiPhiNV_Ca[], COUNTA(Table_ChiPhiNV_Ca[[#Headers],[Ca]:[Bắt đầu]]),0)),
$AA18&lt;MIN(AK$5,VLOOKUP(AK$6, Table_ChiPhiNV_Ca[], COUNTA(Table_ChiPhiNV_Ca[[#Headers],[Ca]:[Kết thúc]]),0))),
SUM(_xlfn._xlws.FILTER(Table_BangLuong_TyLeTangCa[Tỷ lệ],
(Table_BangLuong_TyLeTangCa[Ngày] = "Thường") *
(Table_BangLuong_TyLeTangCa[Giờ min]&lt;=$AA18) *
(Table_BangLuong_TyLeTangCa[Giờ max]&gt;$AA18)
)),0)
)),
IF(AK$4 &lt; AK$5,
IF($AA18-$Z$4&lt;AK$4,0,
IF($AA18&gt;AK$5,0,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AK$5,$AA18 &lt; AK$4),0,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L18" s="18" cm="1">
        <f t="array" ref="AL18" xml:space="preserve">
IFERROR(
IF(AL$1="",0,
IF(AND(
$AA18&gt;=VLOOKUP(AL$6, Table_ChiPhiNV_Ca[], COUNTA(Table_ChiPhiNV_Ca[[#Headers],[Ca]:[Bắt đầu nghỉ]]),0),
$AA18&lt;VLOOKUP(AL$6, Table_ChiPhiNV_Ca[], COUNTA(Table_ChiPhiNV_Ca[[#Headers],[Ca]:[Kết thúc nghỉ]]),0)
),0,
IF(NOT(ISBLANK(AL$3)),
IF(ISBLANK(AL$7),0,
IF(AL$4 &lt; AL$5,
IF($AA18-$Z$4&lt;AL$4,0,
IF($AA18&gt;AL$5,0,
SUM(_xlfn._xlws.FILTER(Table_BangLuong_TyLeTangCa[Tỷ lệ],
(Table_BangLuong_TyLeTangCa[Ngày] = AL$3) *
(Table_BangLuong_TyLeTangCa[Giờ min]&lt;=$AA18) *
(Table_BangLuong_TyLeTangCa[Giờ max]&gt;$AA18)
)))),
IF(AND($AA18-$Z$4 &gt;= AL$5,$AA18 &lt; AL$4),0,
SUM(_xlfn._xlws.FILTER(Table_BangLuong_TyLeTangCa[Tỷ lệ],
(Table_BangLuong_TyLeTangCa[Ngày] = AL$3) *
(Table_BangLuong_TyLeTangCa[Giờ min]&lt;=$AA18) *
(Table_BangLuong_TyLeTangCa[Giờ max]&gt;$AA18)
))))
),
IF(ISBLANK(AL$7),
IF(VLOOKUP(AL$6, Table_ChiPhiNV_Ca[], COUNTA(Table_ChiPhiNV_Ca[[#Headers],[Ca]:[Kết thúc]]),0)&gt; VLOOKUP(AL$6, Table_ChiPhiNV_Ca[], COUNTA(Table_ChiPhiNV_Ca[[#Headers],[Ca]:[Bắt đầu]]),0),
IF($AA18-$Z$4&lt;MAX(AL$4,VLOOKUP(AL$6, Table_ChiPhiNV_Ca[], COUNTA(Table_ChiPhiNV_Ca[[#Headers],[Ca]:[Bắt đầu]]),0)),0,
IF($AA18&gt;MIN(AL$5,VLOOKUP(AL$6, Table_ChiPhiNV_Ca[], COUNTA(Table_ChiPhiNV_Ca[[#Headers],[Ca]:[Kết thúc]]),0)),0,
SUM(_xlfn._xlws.FILTER(Table_BangLuong_TyLeTangCa[Tỷ lệ],
(Table_BangLuong_TyLeTangCa[Ngày] = "Thường") *
(Table_BangLuong_TyLeTangCa[Giờ min]&lt;=$AA18) *
(Table_BangLuong_TyLeTangCa[Giờ max]&gt;$AA18)
)))),
IF(AL$4 &gt; AL$5,
IF(
AND(
$AA18-$Z$4&lt;MAX(AL$4,VLOOKUP(AL$6, Table_ChiPhiNV_Ca[], COUNTA(Table_ChiPhiNV_Ca[[#Headers],[Ca]:[Bắt đầu]]),0)),
$AA18&gt;MIN(AL$5,VLOOKUP(AL$6, Table_ChiPhiNV_Ca[], COUNTA(Table_ChiPhiNV_Ca[[#Headers],[Ca]:[Kết thúc]]),0))),0,
SUM(_xlfn._xlws.FILTER(Table_BangLuong_TyLeTangCa[Tỷ lệ],
(Table_BangLuong_TyLeTangCa[Ngày] = "Thường") *
(Table_BangLuong_TyLeTangCa[Giờ min]&lt;=$AA18) *
(Table_BangLuong_TyLeTangCa[Giờ max]&gt;$AA18)
))),
IF(
AND(
$AA18-$Z$4&gt;=MAX(AL$4,VLOOKUP(AL$6, Table_ChiPhiNV_Ca[], COUNTA(Table_ChiPhiNV_Ca[[#Headers],[Ca]:[Bắt đầu]]),0)),
$AA18&lt;MIN(AL$5,VLOOKUP(AL$6, Table_ChiPhiNV_Ca[], COUNTA(Table_ChiPhiNV_Ca[[#Headers],[Ca]:[Kết thúc]]),0))),
SUM(_xlfn._xlws.FILTER(Table_BangLuong_TyLeTangCa[Tỷ lệ],
(Table_BangLuong_TyLeTangCa[Ngày] = "Thường") *
(Table_BangLuong_TyLeTangCa[Giờ min]&lt;=$AA18) *
(Table_BangLuong_TyLeTangCa[Giờ max]&gt;$AA18)
)),0)
)),
IF(AL$4 &lt; AL$5,
IF($AA18-$Z$4&lt;AL$4,0,
IF($AA18&gt;AL$5,0,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AL$5,$AA18 &lt; AL$4),0,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M18" s="18" cm="1">
        <f t="array" ref="AM18" xml:space="preserve">
IFERROR(
IF(AM$1="",0,
IF(AND(
$AA18&gt;=VLOOKUP(AM$6, Table_ChiPhiNV_Ca[], COUNTA(Table_ChiPhiNV_Ca[[#Headers],[Ca]:[Bắt đầu nghỉ]]),0),
$AA18&lt;VLOOKUP(AM$6, Table_ChiPhiNV_Ca[], COUNTA(Table_ChiPhiNV_Ca[[#Headers],[Ca]:[Kết thúc nghỉ]]),0)
),0,
IF(NOT(ISBLANK(AM$3)),
IF(ISBLANK(AM$7),0,
IF(AM$4 &lt; AM$5,
IF($AA18-$Z$4&lt;AM$4,0,
IF($AA18&gt;AM$5,0,
SUM(_xlfn._xlws.FILTER(Table_BangLuong_TyLeTangCa[Tỷ lệ],
(Table_BangLuong_TyLeTangCa[Ngày] = AM$3) *
(Table_BangLuong_TyLeTangCa[Giờ min]&lt;=$AA18) *
(Table_BangLuong_TyLeTangCa[Giờ max]&gt;$AA18)
)))),
IF(AND($AA18-$Z$4 &gt;= AM$5,$AA18 &lt; AM$4),0,
SUM(_xlfn._xlws.FILTER(Table_BangLuong_TyLeTangCa[Tỷ lệ],
(Table_BangLuong_TyLeTangCa[Ngày] = AM$3) *
(Table_BangLuong_TyLeTangCa[Giờ min]&lt;=$AA18) *
(Table_BangLuong_TyLeTangCa[Giờ max]&gt;$AA18)
))))
),
IF(ISBLANK(AM$7),
IF(VLOOKUP(AM$6, Table_ChiPhiNV_Ca[], COUNTA(Table_ChiPhiNV_Ca[[#Headers],[Ca]:[Kết thúc]]),0)&gt; VLOOKUP(AM$6, Table_ChiPhiNV_Ca[], COUNTA(Table_ChiPhiNV_Ca[[#Headers],[Ca]:[Bắt đầu]]),0),
IF($AA18-$Z$4&lt;MAX(AM$4,VLOOKUP(AM$6, Table_ChiPhiNV_Ca[], COUNTA(Table_ChiPhiNV_Ca[[#Headers],[Ca]:[Bắt đầu]]),0)),0,
IF($AA18&gt;MIN(AM$5,VLOOKUP(AM$6, Table_ChiPhiNV_Ca[], COUNTA(Table_ChiPhiNV_Ca[[#Headers],[Ca]:[Kết thúc]]),0)),0,
SUM(_xlfn._xlws.FILTER(Table_BangLuong_TyLeTangCa[Tỷ lệ],
(Table_BangLuong_TyLeTangCa[Ngày] = "Thường") *
(Table_BangLuong_TyLeTangCa[Giờ min]&lt;=$AA18) *
(Table_BangLuong_TyLeTangCa[Giờ max]&gt;$AA18)
)))),
IF(AM$4 &gt; AM$5,
IF(
AND(
$AA18-$Z$4&lt;MAX(AM$4,VLOOKUP(AM$6, Table_ChiPhiNV_Ca[], COUNTA(Table_ChiPhiNV_Ca[[#Headers],[Ca]:[Bắt đầu]]),0)),
$AA18&gt;MIN(AM$5,VLOOKUP(AM$6, Table_ChiPhiNV_Ca[], COUNTA(Table_ChiPhiNV_Ca[[#Headers],[Ca]:[Kết thúc]]),0))),0,
SUM(_xlfn._xlws.FILTER(Table_BangLuong_TyLeTangCa[Tỷ lệ],
(Table_BangLuong_TyLeTangCa[Ngày] = "Thường") *
(Table_BangLuong_TyLeTangCa[Giờ min]&lt;=$AA18) *
(Table_BangLuong_TyLeTangCa[Giờ max]&gt;$AA18)
))),
IF(
AND(
$AA18-$Z$4&gt;=MAX(AM$4,VLOOKUP(AM$6, Table_ChiPhiNV_Ca[], COUNTA(Table_ChiPhiNV_Ca[[#Headers],[Ca]:[Bắt đầu]]),0)),
$AA18&lt;MIN(AM$5,VLOOKUP(AM$6, Table_ChiPhiNV_Ca[], COUNTA(Table_ChiPhiNV_Ca[[#Headers],[Ca]:[Kết thúc]]),0))),
SUM(_xlfn._xlws.FILTER(Table_BangLuong_TyLeTangCa[Tỷ lệ],
(Table_BangLuong_TyLeTangCa[Ngày] = "Thường") *
(Table_BangLuong_TyLeTangCa[Giờ min]&lt;=$AA18) *
(Table_BangLuong_TyLeTangCa[Giờ max]&gt;$AA18)
)),0)
)),
IF(AM$4 &lt; AM$5,
IF($AA18-$Z$4&lt;AM$4,0,
IF($AA18&gt;AM$5,0,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AM$5,$AA18 &lt; AM$4),0,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N18" s="18" cm="1">
        <f t="array" ref="AN18" xml:space="preserve">
IFERROR(
IF(AN$1="",0,
IF(AND(
$AA18&gt;=VLOOKUP(AN$6, Table_ChiPhiNV_Ca[], COUNTA(Table_ChiPhiNV_Ca[[#Headers],[Ca]:[Bắt đầu nghỉ]]),0),
$AA18&lt;VLOOKUP(AN$6, Table_ChiPhiNV_Ca[], COUNTA(Table_ChiPhiNV_Ca[[#Headers],[Ca]:[Kết thúc nghỉ]]),0)
),0,
IF(NOT(ISBLANK(AN$3)),
IF(ISBLANK(AN$7),0,
IF(AN$4 &lt; AN$5,
IF($AA18-$Z$4&lt;AN$4,0,
IF($AA18&gt;AN$5,0,
SUM(_xlfn._xlws.FILTER(Table_BangLuong_TyLeTangCa[Tỷ lệ],
(Table_BangLuong_TyLeTangCa[Ngày] = AN$3) *
(Table_BangLuong_TyLeTangCa[Giờ min]&lt;=$AA18) *
(Table_BangLuong_TyLeTangCa[Giờ max]&gt;$AA18)
)))),
IF(AND($AA18-$Z$4 &gt;= AN$5,$AA18 &lt; AN$4),0,
SUM(_xlfn._xlws.FILTER(Table_BangLuong_TyLeTangCa[Tỷ lệ],
(Table_BangLuong_TyLeTangCa[Ngày] = AN$3) *
(Table_BangLuong_TyLeTangCa[Giờ min]&lt;=$AA18) *
(Table_BangLuong_TyLeTangCa[Giờ max]&gt;$AA18)
))))
),
IF(ISBLANK(AN$7),
IF(VLOOKUP(AN$6, Table_ChiPhiNV_Ca[], COUNTA(Table_ChiPhiNV_Ca[[#Headers],[Ca]:[Kết thúc]]),0)&gt; VLOOKUP(AN$6, Table_ChiPhiNV_Ca[], COUNTA(Table_ChiPhiNV_Ca[[#Headers],[Ca]:[Bắt đầu]]),0),
IF($AA18-$Z$4&lt;MAX(AN$4,VLOOKUP(AN$6, Table_ChiPhiNV_Ca[], COUNTA(Table_ChiPhiNV_Ca[[#Headers],[Ca]:[Bắt đầu]]),0)),0,
IF($AA18&gt;MIN(AN$5,VLOOKUP(AN$6, Table_ChiPhiNV_Ca[], COUNTA(Table_ChiPhiNV_Ca[[#Headers],[Ca]:[Kết thúc]]),0)),0,
SUM(_xlfn._xlws.FILTER(Table_BangLuong_TyLeTangCa[Tỷ lệ],
(Table_BangLuong_TyLeTangCa[Ngày] = "Thường") *
(Table_BangLuong_TyLeTangCa[Giờ min]&lt;=$AA18) *
(Table_BangLuong_TyLeTangCa[Giờ max]&gt;$AA18)
)))),
IF(AN$4 &gt; AN$5,
IF(
AND(
$AA18-$Z$4&lt;MAX(AN$4,VLOOKUP(AN$6, Table_ChiPhiNV_Ca[], COUNTA(Table_ChiPhiNV_Ca[[#Headers],[Ca]:[Bắt đầu]]),0)),
$AA18&gt;MIN(AN$5,VLOOKUP(AN$6, Table_ChiPhiNV_Ca[], COUNTA(Table_ChiPhiNV_Ca[[#Headers],[Ca]:[Kết thúc]]),0))),0,
SUM(_xlfn._xlws.FILTER(Table_BangLuong_TyLeTangCa[Tỷ lệ],
(Table_BangLuong_TyLeTangCa[Ngày] = "Thường") *
(Table_BangLuong_TyLeTangCa[Giờ min]&lt;=$AA18) *
(Table_BangLuong_TyLeTangCa[Giờ max]&gt;$AA18)
))),
IF(
AND(
$AA18-$Z$4&gt;=MAX(AN$4,VLOOKUP(AN$6, Table_ChiPhiNV_Ca[], COUNTA(Table_ChiPhiNV_Ca[[#Headers],[Ca]:[Bắt đầu]]),0)),
$AA18&lt;MIN(AN$5,VLOOKUP(AN$6, Table_ChiPhiNV_Ca[], COUNTA(Table_ChiPhiNV_Ca[[#Headers],[Ca]:[Kết thúc]]),0))),
SUM(_xlfn._xlws.FILTER(Table_BangLuong_TyLeTangCa[Tỷ lệ],
(Table_BangLuong_TyLeTangCa[Ngày] = "Thường") *
(Table_BangLuong_TyLeTangCa[Giờ min]&lt;=$AA18) *
(Table_BangLuong_TyLeTangCa[Giờ max]&gt;$AA18)
)),0)
)),
IF(AN$4 &lt; AN$5,
IF($AA18-$Z$4&lt;AN$4,0,
IF($AA18&gt;AN$5,0,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AN$5,$AA18 &lt; AN$4),0,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O18" s="18" cm="1">
        <f t="array" ref="AO18" xml:space="preserve">
IFERROR(
IF(AO$1="",0,
IF(AND(
$AA18&gt;=VLOOKUP(AO$6, Table_ChiPhiNV_Ca[], COUNTA(Table_ChiPhiNV_Ca[[#Headers],[Ca]:[Bắt đầu nghỉ]]),0),
$AA18&lt;VLOOKUP(AO$6, Table_ChiPhiNV_Ca[], COUNTA(Table_ChiPhiNV_Ca[[#Headers],[Ca]:[Kết thúc nghỉ]]),0)
),0,
IF(NOT(ISBLANK(AO$3)),
IF(ISBLANK(AO$7),0,
IF(AO$4 &lt; AO$5,
IF($AA18-$Z$4&lt;AO$4,0,
IF($AA18&gt;AO$5,0,
SUM(_xlfn._xlws.FILTER(Table_BangLuong_TyLeTangCa[Tỷ lệ],
(Table_BangLuong_TyLeTangCa[Ngày] = AO$3) *
(Table_BangLuong_TyLeTangCa[Giờ min]&lt;=$AA18) *
(Table_BangLuong_TyLeTangCa[Giờ max]&gt;$AA18)
)))),
IF(AND($AA18-$Z$4 &gt;= AO$5,$AA18 &lt; AO$4),0,
SUM(_xlfn._xlws.FILTER(Table_BangLuong_TyLeTangCa[Tỷ lệ],
(Table_BangLuong_TyLeTangCa[Ngày] = AO$3) *
(Table_BangLuong_TyLeTangCa[Giờ min]&lt;=$AA18) *
(Table_BangLuong_TyLeTangCa[Giờ max]&gt;$AA18)
))))
),
IF(ISBLANK(AO$7),
IF(VLOOKUP(AO$6, Table_ChiPhiNV_Ca[], COUNTA(Table_ChiPhiNV_Ca[[#Headers],[Ca]:[Kết thúc]]),0)&gt; VLOOKUP(AO$6, Table_ChiPhiNV_Ca[], COUNTA(Table_ChiPhiNV_Ca[[#Headers],[Ca]:[Bắt đầu]]),0),
IF($AA18-$Z$4&lt;MAX(AO$4,VLOOKUP(AO$6, Table_ChiPhiNV_Ca[], COUNTA(Table_ChiPhiNV_Ca[[#Headers],[Ca]:[Bắt đầu]]),0)),0,
IF($AA18&gt;MIN(AO$5,VLOOKUP(AO$6, Table_ChiPhiNV_Ca[], COUNTA(Table_ChiPhiNV_Ca[[#Headers],[Ca]:[Kết thúc]]),0)),0,
SUM(_xlfn._xlws.FILTER(Table_BangLuong_TyLeTangCa[Tỷ lệ],
(Table_BangLuong_TyLeTangCa[Ngày] = "Thường") *
(Table_BangLuong_TyLeTangCa[Giờ min]&lt;=$AA18) *
(Table_BangLuong_TyLeTangCa[Giờ max]&gt;$AA18)
)))),
IF(AO$4 &gt; AO$5,
IF(
AND(
$AA18-$Z$4&lt;MAX(AO$4,VLOOKUP(AO$6, Table_ChiPhiNV_Ca[], COUNTA(Table_ChiPhiNV_Ca[[#Headers],[Ca]:[Bắt đầu]]),0)),
$AA18&gt;MIN(AO$5,VLOOKUP(AO$6, Table_ChiPhiNV_Ca[], COUNTA(Table_ChiPhiNV_Ca[[#Headers],[Ca]:[Kết thúc]]),0))),0,
SUM(_xlfn._xlws.FILTER(Table_BangLuong_TyLeTangCa[Tỷ lệ],
(Table_BangLuong_TyLeTangCa[Ngày] = "Thường") *
(Table_BangLuong_TyLeTangCa[Giờ min]&lt;=$AA18) *
(Table_BangLuong_TyLeTangCa[Giờ max]&gt;$AA18)
))),
IF(
AND(
$AA18-$Z$4&gt;=MAX(AO$4,VLOOKUP(AO$6, Table_ChiPhiNV_Ca[], COUNTA(Table_ChiPhiNV_Ca[[#Headers],[Ca]:[Bắt đầu]]),0)),
$AA18&lt;MIN(AO$5,VLOOKUP(AO$6, Table_ChiPhiNV_Ca[], COUNTA(Table_ChiPhiNV_Ca[[#Headers],[Ca]:[Kết thúc]]),0))),
SUM(_xlfn._xlws.FILTER(Table_BangLuong_TyLeTangCa[Tỷ lệ],
(Table_BangLuong_TyLeTangCa[Ngày] = "Thường") *
(Table_BangLuong_TyLeTangCa[Giờ min]&lt;=$AA18) *
(Table_BangLuong_TyLeTangCa[Giờ max]&gt;$AA18)
)),0)
)),
IF(AO$4 &lt; AO$5,
IF($AA18-$Z$4&lt;AO$4,0,
IF($AA18&gt;AO$5,0,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AO$5,$AA18 &lt; AO$4),0,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P18" s="18" cm="1">
        <f t="array" ref="AP18" xml:space="preserve">
IFERROR(
IF(AP$1="",0,
IF(AND(
$AA18&gt;=VLOOKUP(AP$6, Table_ChiPhiNV_Ca[], COUNTA(Table_ChiPhiNV_Ca[[#Headers],[Ca]:[Bắt đầu nghỉ]]),0),
$AA18&lt;VLOOKUP(AP$6, Table_ChiPhiNV_Ca[], COUNTA(Table_ChiPhiNV_Ca[[#Headers],[Ca]:[Kết thúc nghỉ]]),0)
),0,
IF(NOT(ISBLANK(AP$3)),
IF(ISBLANK(AP$7),0,
IF(AP$4 &lt; AP$5,
IF($AA18-$Z$4&lt;AP$4,0,
IF($AA18&gt;AP$5,0,
SUM(_xlfn._xlws.FILTER(Table_BangLuong_TyLeTangCa[Tỷ lệ],
(Table_BangLuong_TyLeTangCa[Ngày] = AP$3) *
(Table_BangLuong_TyLeTangCa[Giờ min]&lt;=$AA18) *
(Table_BangLuong_TyLeTangCa[Giờ max]&gt;$AA18)
)))),
IF(AND($AA18-$Z$4 &gt;= AP$5,$AA18 &lt; AP$4),0,
SUM(_xlfn._xlws.FILTER(Table_BangLuong_TyLeTangCa[Tỷ lệ],
(Table_BangLuong_TyLeTangCa[Ngày] = AP$3) *
(Table_BangLuong_TyLeTangCa[Giờ min]&lt;=$AA18) *
(Table_BangLuong_TyLeTangCa[Giờ max]&gt;$AA18)
))))
),
IF(ISBLANK(AP$7),
IF(VLOOKUP(AP$6, Table_ChiPhiNV_Ca[], COUNTA(Table_ChiPhiNV_Ca[[#Headers],[Ca]:[Kết thúc]]),0)&gt; VLOOKUP(AP$6, Table_ChiPhiNV_Ca[], COUNTA(Table_ChiPhiNV_Ca[[#Headers],[Ca]:[Bắt đầu]]),0),
IF($AA18-$Z$4&lt;MAX(AP$4,VLOOKUP(AP$6, Table_ChiPhiNV_Ca[], COUNTA(Table_ChiPhiNV_Ca[[#Headers],[Ca]:[Bắt đầu]]),0)),0,
IF($AA18&gt;MIN(AP$5,VLOOKUP(AP$6, Table_ChiPhiNV_Ca[], COUNTA(Table_ChiPhiNV_Ca[[#Headers],[Ca]:[Kết thúc]]),0)),0,
SUM(_xlfn._xlws.FILTER(Table_BangLuong_TyLeTangCa[Tỷ lệ],
(Table_BangLuong_TyLeTangCa[Ngày] = "Thường") *
(Table_BangLuong_TyLeTangCa[Giờ min]&lt;=$AA18) *
(Table_BangLuong_TyLeTangCa[Giờ max]&gt;$AA18)
)))),
IF(AP$4 &gt; AP$5,
IF(
AND(
$AA18-$Z$4&lt;MAX(AP$4,VLOOKUP(AP$6, Table_ChiPhiNV_Ca[], COUNTA(Table_ChiPhiNV_Ca[[#Headers],[Ca]:[Bắt đầu]]),0)),
$AA18&gt;MIN(AP$5,VLOOKUP(AP$6, Table_ChiPhiNV_Ca[], COUNTA(Table_ChiPhiNV_Ca[[#Headers],[Ca]:[Kết thúc]]),0))),0,
SUM(_xlfn._xlws.FILTER(Table_BangLuong_TyLeTangCa[Tỷ lệ],
(Table_BangLuong_TyLeTangCa[Ngày] = "Thường") *
(Table_BangLuong_TyLeTangCa[Giờ min]&lt;=$AA18) *
(Table_BangLuong_TyLeTangCa[Giờ max]&gt;$AA18)
))),
IF(
AND(
$AA18-$Z$4&gt;=MAX(AP$4,VLOOKUP(AP$6, Table_ChiPhiNV_Ca[], COUNTA(Table_ChiPhiNV_Ca[[#Headers],[Ca]:[Bắt đầu]]),0)),
$AA18&lt;MIN(AP$5,VLOOKUP(AP$6, Table_ChiPhiNV_Ca[], COUNTA(Table_ChiPhiNV_Ca[[#Headers],[Ca]:[Kết thúc]]),0))),
SUM(_xlfn._xlws.FILTER(Table_BangLuong_TyLeTangCa[Tỷ lệ],
(Table_BangLuong_TyLeTangCa[Ngày] = "Thường") *
(Table_BangLuong_TyLeTangCa[Giờ min]&lt;=$AA18) *
(Table_BangLuong_TyLeTangCa[Giờ max]&gt;$AA18)
)),0)
)),
IF(AP$4 &lt; AP$5,
IF($AA18-$Z$4&lt;AP$4,0,
IF($AA18&gt;AP$5,0,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AP$5,$AA18 &lt; AP$4),0,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Q18" s="18" cm="1">
        <f t="array" ref="AQ18" xml:space="preserve">
IFERROR(
IF(AQ$1="",0,
IF(AND(
$AA18&gt;=VLOOKUP(AQ$6, Table_ChiPhiNV_Ca[], COUNTA(Table_ChiPhiNV_Ca[[#Headers],[Ca]:[Bắt đầu nghỉ]]),0),
$AA18&lt;VLOOKUP(AQ$6, Table_ChiPhiNV_Ca[], COUNTA(Table_ChiPhiNV_Ca[[#Headers],[Ca]:[Kết thúc nghỉ]]),0)
),0,
IF(NOT(ISBLANK(AQ$3)),
IF(ISBLANK(AQ$7),0,
IF(AQ$4 &lt; AQ$5,
IF($AA18-$Z$4&lt;AQ$4,0,
IF($AA18&gt;AQ$5,0,
SUM(_xlfn._xlws.FILTER(Table_BangLuong_TyLeTangCa[Tỷ lệ],
(Table_BangLuong_TyLeTangCa[Ngày] = AQ$3) *
(Table_BangLuong_TyLeTangCa[Giờ min]&lt;=$AA18) *
(Table_BangLuong_TyLeTangCa[Giờ max]&gt;$AA18)
)))),
IF(AND($AA18-$Z$4 &gt;= AQ$5,$AA18 &lt; AQ$4),0,
SUM(_xlfn._xlws.FILTER(Table_BangLuong_TyLeTangCa[Tỷ lệ],
(Table_BangLuong_TyLeTangCa[Ngày] = AQ$3) *
(Table_BangLuong_TyLeTangCa[Giờ min]&lt;=$AA18) *
(Table_BangLuong_TyLeTangCa[Giờ max]&gt;$AA18)
))))
),
IF(ISBLANK(AQ$7),
IF(VLOOKUP(AQ$6, Table_ChiPhiNV_Ca[], COUNTA(Table_ChiPhiNV_Ca[[#Headers],[Ca]:[Kết thúc]]),0)&gt; VLOOKUP(AQ$6, Table_ChiPhiNV_Ca[], COUNTA(Table_ChiPhiNV_Ca[[#Headers],[Ca]:[Bắt đầu]]),0),
IF($AA18-$Z$4&lt;MAX(AQ$4,VLOOKUP(AQ$6, Table_ChiPhiNV_Ca[], COUNTA(Table_ChiPhiNV_Ca[[#Headers],[Ca]:[Bắt đầu]]),0)),0,
IF($AA18&gt;MIN(AQ$5,VLOOKUP(AQ$6, Table_ChiPhiNV_Ca[], COUNTA(Table_ChiPhiNV_Ca[[#Headers],[Ca]:[Kết thúc]]),0)),0,
SUM(_xlfn._xlws.FILTER(Table_BangLuong_TyLeTangCa[Tỷ lệ],
(Table_BangLuong_TyLeTangCa[Ngày] = "Thường") *
(Table_BangLuong_TyLeTangCa[Giờ min]&lt;=$AA18) *
(Table_BangLuong_TyLeTangCa[Giờ max]&gt;$AA18)
)))),
IF(AQ$4 &gt; AQ$5,
IF(
AND(
$AA18-$Z$4&lt;MAX(AQ$4,VLOOKUP(AQ$6, Table_ChiPhiNV_Ca[], COUNTA(Table_ChiPhiNV_Ca[[#Headers],[Ca]:[Bắt đầu]]),0)),
$AA18&gt;MIN(AQ$5,VLOOKUP(AQ$6, Table_ChiPhiNV_Ca[], COUNTA(Table_ChiPhiNV_Ca[[#Headers],[Ca]:[Kết thúc]]),0))),0,
SUM(_xlfn._xlws.FILTER(Table_BangLuong_TyLeTangCa[Tỷ lệ],
(Table_BangLuong_TyLeTangCa[Ngày] = "Thường") *
(Table_BangLuong_TyLeTangCa[Giờ min]&lt;=$AA18) *
(Table_BangLuong_TyLeTangCa[Giờ max]&gt;$AA18)
))),
IF(
AND(
$AA18-$Z$4&gt;=MAX(AQ$4,VLOOKUP(AQ$6, Table_ChiPhiNV_Ca[], COUNTA(Table_ChiPhiNV_Ca[[#Headers],[Ca]:[Bắt đầu]]),0)),
$AA18&lt;MIN(AQ$5,VLOOKUP(AQ$6, Table_ChiPhiNV_Ca[], COUNTA(Table_ChiPhiNV_Ca[[#Headers],[Ca]:[Kết thúc]]),0))),
SUM(_xlfn._xlws.FILTER(Table_BangLuong_TyLeTangCa[Tỷ lệ],
(Table_BangLuong_TyLeTangCa[Ngày] = "Thường") *
(Table_BangLuong_TyLeTangCa[Giờ min]&lt;=$AA18) *
(Table_BangLuong_TyLeTangCa[Giờ max]&gt;$AA18)
)),0)
)),
IF(AQ$4 &lt; AQ$5,
IF($AA18-$Z$4&lt;AQ$4,0,
IF($AA18&gt;AQ$5,0,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AQ$5,$AA18 &lt; AQ$4),0,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R18" s="18" cm="1">
        <f t="array" ref="AR18" xml:space="preserve">
IFERROR(
IF(AR$1="",0,
IF(AND(
$AA18&gt;=VLOOKUP(AR$6, Table_ChiPhiNV_Ca[], COUNTA(Table_ChiPhiNV_Ca[[#Headers],[Ca]:[Bắt đầu nghỉ]]),0),
$AA18&lt;VLOOKUP(AR$6, Table_ChiPhiNV_Ca[], COUNTA(Table_ChiPhiNV_Ca[[#Headers],[Ca]:[Kết thúc nghỉ]]),0)
),0,
IF(NOT(ISBLANK(AR$3)),
IF(ISBLANK(AR$7),0,
IF(AR$4 &lt; AR$5,
IF($AA18-$Z$4&lt;AR$4,0,
IF($AA18&gt;AR$5,0,
SUM(_xlfn._xlws.FILTER(Table_BangLuong_TyLeTangCa[Tỷ lệ],
(Table_BangLuong_TyLeTangCa[Ngày] = AR$3) *
(Table_BangLuong_TyLeTangCa[Giờ min]&lt;=$AA18) *
(Table_BangLuong_TyLeTangCa[Giờ max]&gt;$AA18)
)))),
IF(AND($AA18-$Z$4 &gt;= AR$5,$AA18 &lt; AR$4),0,
SUM(_xlfn._xlws.FILTER(Table_BangLuong_TyLeTangCa[Tỷ lệ],
(Table_BangLuong_TyLeTangCa[Ngày] = AR$3) *
(Table_BangLuong_TyLeTangCa[Giờ min]&lt;=$AA18) *
(Table_BangLuong_TyLeTangCa[Giờ max]&gt;$AA18)
))))
),
IF(ISBLANK(AR$7),
IF(VLOOKUP(AR$6, Table_ChiPhiNV_Ca[], COUNTA(Table_ChiPhiNV_Ca[[#Headers],[Ca]:[Kết thúc]]),0)&gt; VLOOKUP(AR$6, Table_ChiPhiNV_Ca[], COUNTA(Table_ChiPhiNV_Ca[[#Headers],[Ca]:[Bắt đầu]]),0),
IF($AA18-$Z$4&lt;MAX(AR$4,VLOOKUP(AR$6, Table_ChiPhiNV_Ca[], COUNTA(Table_ChiPhiNV_Ca[[#Headers],[Ca]:[Bắt đầu]]),0)),0,
IF($AA18&gt;MIN(AR$5,VLOOKUP(AR$6, Table_ChiPhiNV_Ca[], COUNTA(Table_ChiPhiNV_Ca[[#Headers],[Ca]:[Kết thúc]]),0)),0,
SUM(_xlfn._xlws.FILTER(Table_BangLuong_TyLeTangCa[Tỷ lệ],
(Table_BangLuong_TyLeTangCa[Ngày] = "Thường") *
(Table_BangLuong_TyLeTangCa[Giờ min]&lt;=$AA18) *
(Table_BangLuong_TyLeTangCa[Giờ max]&gt;$AA18)
)))),
IF(AR$4 &gt; AR$5,
IF(
AND(
$AA18-$Z$4&lt;MAX(AR$4,VLOOKUP(AR$6, Table_ChiPhiNV_Ca[], COUNTA(Table_ChiPhiNV_Ca[[#Headers],[Ca]:[Bắt đầu]]),0)),
$AA18&gt;MIN(AR$5,VLOOKUP(AR$6, Table_ChiPhiNV_Ca[], COUNTA(Table_ChiPhiNV_Ca[[#Headers],[Ca]:[Kết thúc]]),0))),0,
SUM(_xlfn._xlws.FILTER(Table_BangLuong_TyLeTangCa[Tỷ lệ],
(Table_BangLuong_TyLeTangCa[Ngày] = "Thường") *
(Table_BangLuong_TyLeTangCa[Giờ min]&lt;=$AA18) *
(Table_BangLuong_TyLeTangCa[Giờ max]&gt;$AA18)
))),
IF(
AND(
$AA18-$Z$4&gt;=MAX(AR$4,VLOOKUP(AR$6, Table_ChiPhiNV_Ca[], COUNTA(Table_ChiPhiNV_Ca[[#Headers],[Ca]:[Bắt đầu]]),0)),
$AA18&lt;MIN(AR$5,VLOOKUP(AR$6, Table_ChiPhiNV_Ca[], COUNTA(Table_ChiPhiNV_Ca[[#Headers],[Ca]:[Kết thúc]]),0))),
SUM(_xlfn._xlws.FILTER(Table_BangLuong_TyLeTangCa[Tỷ lệ],
(Table_BangLuong_TyLeTangCa[Ngày] = "Thường") *
(Table_BangLuong_TyLeTangCa[Giờ min]&lt;=$AA18) *
(Table_BangLuong_TyLeTangCa[Giờ max]&gt;$AA18)
)),0)
)),
IF(AR$4 &lt; AR$5,
IF($AA18-$Z$4&lt;AR$4,0,
IF($AA18&gt;AR$5,0,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AR$5,$AA18 &lt; AR$4),0,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S18" s="18" cm="1">
        <f t="array" ref="AS18" xml:space="preserve">
IFERROR(
IF(AS$1="",0,
IF(AND(
$AA18&gt;=VLOOKUP(AS$6, Table_ChiPhiNV_Ca[], COUNTA(Table_ChiPhiNV_Ca[[#Headers],[Ca]:[Bắt đầu nghỉ]]),0),
$AA18&lt;VLOOKUP(AS$6, Table_ChiPhiNV_Ca[], COUNTA(Table_ChiPhiNV_Ca[[#Headers],[Ca]:[Kết thúc nghỉ]]),0)
),0,
IF(NOT(ISBLANK(AS$3)),
IF(ISBLANK(AS$7),0,
IF(AS$4 &lt; AS$5,
IF($AA18-$Z$4&lt;AS$4,0,
IF($AA18&gt;AS$5,0,
SUM(_xlfn._xlws.FILTER(Table_BangLuong_TyLeTangCa[Tỷ lệ],
(Table_BangLuong_TyLeTangCa[Ngày] = AS$3) *
(Table_BangLuong_TyLeTangCa[Giờ min]&lt;=$AA18) *
(Table_BangLuong_TyLeTangCa[Giờ max]&gt;$AA18)
)))),
IF(AND($AA18-$Z$4 &gt;= AS$5,$AA18 &lt; AS$4),0,
SUM(_xlfn._xlws.FILTER(Table_BangLuong_TyLeTangCa[Tỷ lệ],
(Table_BangLuong_TyLeTangCa[Ngày] = AS$3) *
(Table_BangLuong_TyLeTangCa[Giờ min]&lt;=$AA18) *
(Table_BangLuong_TyLeTangCa[Giờ max]&gt;$AA18)
))))
),
IF(ISBLANK(AS$7),
IF(VLOOKUP(AS$6, Table_ChiPhiNV_Ca[], COUNTA(Table_ChiPhiNV_Ca[[#Headers],[Ca]:[Kết thúc]]),0)&gt; VLOOKUP(AS$6, Table_ChiPhiNV_Ca[], COUNTA(Table_ChiPhiNV_Ca[[#Headers],[Ca]:[Bắt đầu]]),0),
IF($AA18-$Z$4&lt;MAX(AS$4,VLOOKUP(AS$6, Table_ChiPhiNV_Ca[], COUNTA(Table_ChiPhiNV_Ca[[#Headers],[Ca]:[Bắt đầu]]),0)),0,
IF($AA18&gt;MIN(AS$5,VLOOKUP(AS$6, Table_ChiPhiNV_Ca[], COUNTA(Table_ChiPhiNV_Ca[[#Headers],[Ca]:[Kết thúc]]),0)),0,
SUM(_xlfn._xlws.FILTER(Table_BangLuong_TyLeTangCa[Tỷ lệ],
(Table_BangLuong_TyLeTangCa[Ngày] = "Thường") *
(Table_BangLuong_TyLeTangCa[Giờ min]&lt;=$AA18) *
(Table_BangLuong_TyLeTangCa[Giờ max]&gt;$AA18)
)))),
IF(AS$4 &gt; AS$5,
IF(
AND(
$AA18-$Z$4&lt;MAX(AS$4,VLOOKUP(AS$6, Table_ChiPhiNV_Ca[], COUNTA(Table_ChiPhiNV_Ca[[#Headers],[Ca]:[Bắt đầu]]),0)),
$AA18&gt;MIN(AS$5,VLOOKUP(AS$6, Table_ChiPhiNV_Ca[], COUNTA(Table_ChiPhiNV_Ca[[#Headers],[Ca]:[Kết thúc]]),0))),0,
SUM(_xlfn._xlws.FILTER(Table_BangLuong_TyLeTangCa[Tỷ lệ],
(Table_BangLuong_TyLeTangCa[Ngày] = "Thường") *
(Table_BangLuong_TyLeTangCa[Giờ min]&lt;=$AA18) *
(Table_BangLuong_TyLeTangCa[Giờ max]&gt;$AA18)
))),
IF(
AND(
$AA18-$Z$4&gt;=MAX(AS$4,VLOOKUP(AS$6, Table_ChiPhiNV_Ca[], COUNTA(Table_ChiPhiNV_Ca[[#Headers],[Ca]:[Bắt đầu]]),0)),
$AA18&lt;MIN(AS$5,VLOOKUP(AS$6, Table_ChiPhiNV_Ca[], COUNTA(Table_ChiPhiNV_Ca[[#Headers],[Ca]:[Kết thúc]]),0))),
SUM(_xlfn._xlws.FILTER(Table_BangLuong_TyLeTangCa[Tỷ lệ],
(Table_BangLuong_TyLeTangCa[Ngày] = "Thường") *
(Table_BangLuong_TyLeTangCa[Giờ min]&lt;=$AA18) *
(Table_BangLuong_TyLeTangCa[Giờ max]&gt;$AA18)
)),0)
)),
IF(AS$4 &lt; AS$5,
IF($AA18-$Z$4&lt;AS$4,0,
IF($AA18&gt;AS$5,0,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AS$5,$AA18 &lt; AS$4),0,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T18" s="18" cm="1">
        <f t="array" ref="AT18" xml:space="preserve">
IFERROR(
IF(AT$1="",0,
IF(AND(
$AA18&gt;=VLOOKUP(AT$6, Table_ChiPhiNV_Ca[], COUNTA(Table_ChiPhiNV_Ca[[#Headers],[Ca]:[Bắt đầu nghỉ]]),0),
$AA18&lt;VLOOKUP(AT$6, Table_ChiPhiNV_Ca[], COUNTA(Table_ChiPhiNV_Ca[[#Headers],[Ca]:[Kết thúc nghỉ]]),0)
),0,
IF(NOT(ISBLANK(AT$3)),
IF(ISBLANK(AT$7),0,
IF(AT$4 &lt; AT$5,
IF($AA18-$Z$4&lt;AT$4,0,
IF($AA18&gt;AT$5,0,
SUM(_xlfn._xlws.FILTER(Table_BangLuong_TyLeTangCa[Tỷ lệ],
(Table_BangLuong_TyLeTangCa[Ngày] = AT$3) *
(Table_BangLuong_TyLeTangCa[Giờ min]&lt;=$AA18) *
(Table_BangLuong_TyLeTangCa[Giờ max]&gt;$AA18)
)))),
IF(AND($AA18-$Z$4 &gt;= AT$5,$AA18 &lt; AT$4),0,
SUM(_xlfn._xlws.FILTER(Table_BangLuong_TyLeTangCa[Tỷ lệ],
(Table_BangLuong_TyLeTangCa[Ngày] = AT$3) *
(Table_BangLuong_TyLeTangCa[Giờ min]&lt;=$AA18) *
(Table_BangLuong_TyLeTangCa[Giờ max]&gt;$AA18)
))))
),
IF(ISBLANK(AT$7),
IF(VLOOKUP(AT$6, Table_ChiPhiNV_Ca[], COUNTA(Table_ChiPhiNV_Ca[[#Headers],[Ca]:[Kết thúc]]),0)&gt; VLOOKUP(AT$6, Table_ChiPhiNV_Ca[], COUNTA(Table_ChiPhiNV_Ca[[#Headers],[Ca]:[Bắt đầu]]),0),
IF($AA18-$Z$4&lt;MAX(AT$4,VLOOKUP(AT$6, Table_ChiPhiNV_Ca[], COUNTA(Table_ChiPhiNV_Ca[[#Headers],[Ca]:[Bắt đầu]]),0)),0,
IF($AA18&gt;MIN(AT$5,VLOOKUP(AT$6, Table_ChiPhiNV_Ca[], COUNTA(Table_ChiPhiNV_Ca[[#Headers],[Ca]:[Kết thúc]]),0)),0,
SUM(_xlfn._xlws.FILTER(Table_BangLuong_TyLeTangCa[Tỷ lệ],
(Table_BangLuong_TyLeTangCa[Ngày] = "Thường") *
(Table_BangLuong_TyLeTangCa[Giờ min]&lt;=$AA18) *
(Table_BangLuong_TyLeTangCa[Giờ max]&gt;$AA18)
)))),
IF(AT$4 &gt; AT$5,
IF(
AND(
$AA18-$Z$4&lt;MAX(AT$4,VLOOKUP(AT$6, Table_ChiPhiNV_Ca[], COUNTA(Table_ChiPhiNV_Ca[[#Headers],[Ca]:[Bắt đầu]]),0)),
$AA18&gt;MIN(AT$5,VLOOKUP(AT$6, Table_ChiPhiNV_Ca[], COUNTA(Table_ChiPhiNV_Ca[[#Headers],[Ca]:[Kết thúc]]),0))),0,
SUM(_xlfn._xlws.FILTER(Table_BangLuong_TyLeTangCa[Tỷ lệ],
(Table_BangLuong_TyLeTangCa[Ngày] = "Thường") *
(Table_BangLuong_TyLeTangCa[Giờ min]&lt;=$AA18) *
(Table_BangLuong_TyLeTangCa[Giờ max]&gt;$AA18)
))),
IF(
AND(
$AA18-$Z$4&gt;=MAX(AT$4,VLOOKUP(AT$6, Table_ChiPhiNV_Ca[], COUNTA(Table_ChiPhiNV_Ca[[#Headers],[Ca]:[Bắt đầu]]),0)),
$AA18&lt;MIN(AT$5,VLOOKUP(AT$6, Table_ChiPhiNV_Ca[], COUNTA(Table_ChiPhiNV_Ca[[#Headers],[Ca]:[Kết thúc]]),0))),
SUM(_xlfn._xlws.FILTER(Table_BangLuong_TyLeTangCa[Tỷ lệ],
(Table_BangLuong_TyLeTangCa[Ngày] = "Thường") *
(Table_BangLuong_TyLeTangCa[Giờ min]&lt;=$AA18) *
(Table_BangLuong_TyLeTangCa[Giờ max]&gt;$AA18)
)),0)
)),
IF(AT$4 &lt; AT$5,
IF($AA18-$Z$4&lt;AT$4,0,
IF($AA18&gt;AT$5,0,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AT$5,$AA18 &lt; AT$4),0,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U18" s="18" cm="1">
        <f t="array" ref="AU18" xml:space="preserve">
IFERROR(
IF(AU$1="",0,
IF(AND(
$AA18&gt;=VLOOKUP(AU$6, Table_ChiPhiNV_Ca[], COUNTA(Table_ChiPhiNV_Ca[[#Headers],[Ca]:[Bắt đầu nghỉ]]),0),
$AA18&lt;VLOOKUP(AU$6, Table_ChiPhiNV_Ca[], COUNTA(Table_ChiPhiNV_Ca[[#Headers],[Ca]:[Kết thúc nghỉ]]),0)
),0,
IF(NOT(ISBLANK(AU$3)),
IF(ISBLANK(AU$7),0,
IF(AU$4 &lt; AU$5,
IF($AA18-$Z$4&lt;AU$4,0,
IF($AA18&gt;AU$5,0,
SUM(_xlfn._xlws.FILTER(Table_BangLuong_TyLeTangCa[Tỷ lệ],
(Table_BangLuong_TyLeTangCa[Ngày] = AU$3) *
(Table_BangLuong_TyLeTangCa[Giờ min]&lt;=$AA18) *
(Table_BangLuong_TyLeTangCa[Giờ max]&gt;$AA18)
)))),
IF(AND($AA18-$Z$4 &gt;= AU$5,$AA18 &lt; AU$4),0,
SUM(_xlfn._xlws.FILTER(Table_BangLuong_TyLeTangCa[Tỷ lệ],
(Table_BangLuong_TyLeTangCa[Ngày] = AU$3) *
(Table_BangLuong_TyLeTangCa[Giờ min]&lt;=$AA18) *
(Table_BangLuong_TyLeTangCa[Giờ max]&gt;$AA18)
))))
),
IF(ISBLANK(AU$7),
IF(VLOOKUP(AU$6, Table_ChiPhiNV_Ca[], COUNTA(Table_ChiPhiNV_Ca[[#Headers],[Ca]:[Kết thúc]]),0)&gt; VLOOKUP(AU$6, Table_ChiPhiNV_Ca[], COUNTA(Table_ChiPhiNV_Ca[[#Headers],[Ca]:[Bắt đầu]]),0),
IF($AA18-$Z$4&lt;MAX(AU$4,VLOOKUP(AU$6, Table_ChiPhiNV_Ca[], COUNTA(Table_ChiPhiNV_Ca[[#Headers],[Ca]:[Bắt đầu]]),0)),0,
IF($AA18&gt;MIN(AU$5,VLOOKUP(AU$6, Table_ChiPhiNV_Ca[], COUNTA(Table_ChiPhiNV_Ca[[#Headers],[Ca]:[Kết thúc]]),0)),0,
SUM(_xlfn._xlws.FILTER(Table_BangLuong_TyLeTangCa[Tỷ lệ],
(Table_BangLuong_TyLeTangCa[Ngày] = "Thường") *
(Table_BangLuong_TyLeTangCa[Giờ min]&lt;=$AA18) *
(Table_BangLuong_TyLeTangCa[Giờ max]&gt;$AA18)
)))),
IF(AU$4 &gt; AU$5,
IF(
AND(
$AA18-$Z$4&lt;MAX(AU$4,VLOOKUP(AU$6, Table_ChiPhiNV_Ca[], COUNTA(Table_ChiPhiNV_Ca[[#Headers],[Ca]:[Bắt đầu]]),0)),
$AA18&gt;MIN(AU$5,VLOOKUP(AU$6, Table_ChiPhiNV_Ca[], COUNTA(Table_ChiPhiNV_Ca[[#Headers],[Ca]:[Kết thúc]]),0))),0,
SUM(_xlfn._xlws.FILTER(Table_BangLuong_TyLeTangCa[Tỷ lệ],
(Table_BangLuong_TyLeTangCa[Ngày] = "Thường") *
(Table_BangLuong_TyLeTangCa[Giờ min]&lt;=$AA18) *
(Table_BangLuong_TyLeTangCa[Giờ max]&gt;$AA18)
))),
IF(
AND(
$AA18-$Z$4&gt;=MAX(AU$4,VLOOKUP(AU$6, Table_ChiPhiNV_Ca[], COUNTA(Table_ChiPhiNV_Ca[[#Headers],[Ca]:[Bắt đầu]]),0)),
$AA18&lt;MIN(AU$5,VLOOKUP(AU$6, Table_ChiPhiNV_Ca[], COUNTA(Table_ChiPhiNV_Ca[[#Headers],[Ca]:[Kết thúc]]),0))),
SUM(_xlfn._xlws.FILTER(Table_BangLuong_TyLeTangCa[Tỷ lệ],
(Table_BangLuong_TyLeTangCa[Ngày] = "Thường") *
(Table_BangLuong_TyLeTangCa[Giờ min]&lt;=$AA18) *
(Table_BangLuong_TyLeTangCa[Giờ max]&gt;$AA18)
)),0)
)),
IF(AU$4 &lt; AU$5,
IF($AA18-$Z$4&lt;AU$4,0,
IF($AA18&gt;AU$5,0,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AU$5,$AA18 &lt; AU$4),0,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V18" s="18" cm="1">
        <f t="array" ref="AV18" xml:space="preserve">
IFERROR(
IF(AV$1="",0,
IF(AND(
$AA18&gt;=VLOOKUP(AV$6, Table_ChiPhiNV_Ca[], COUNTA(Table_ChiPhiNV_Ca[[#Headers],[Ca]:[Bắt đầu nghỉ]]),0),
$AA18&lt;VLOOKUP(AV$6, Table_ChiPhiNV_Ca[], COUNTA(Table_ChiPhiNV_Ca[[#Headers],[Ca]:[Kết thúc nghỉ]]),0)
),0,
IF(NOT(ISBLANK(AV$3)),
IF(ISBLANK(AV$7),0,
IF(AV$4 &lt; AV$5,
IF($AA18-$Z$4&lt;AV$4,0,
IF($AA18&gt;AV$5,0,
SUM(_xlfn._xlws.FILTER(Table_BangLuong_TyLeTangCa[Tỷ lệ],
(Table_BangLuong_TyLeTangCa[Ngày] = AV$3) *
(Table_BangLuong_TyLeTangCa[Giờ min]&lt;=$AA18) *
(Table_BangLuong_TyLeTangCa[Giờ max]&gt;$AA18)
)))),
IF(AND($AA18-$Z$4 &gt;= AV$5,$AA18 &lt; AV$4),0,
SUM(_xlfn._xlws.FILTER(Table_BangLuong_TyLeTangCa[Tỷ lệ],
(Table_BangLuong_TyLeTangCa[Ngày] = AV$3) *
(Table_BangLuong_TyLeTangCa[Giờ min]&lt;=$AA18) *
(Table_BangLuong_TyLeTangCa[Giờ max]&gt;$AA18)
))))
),
IF(ISBLANK(AV$7),
IF(VLOOKUP(AV$6, Table_ChiPhiNV_Ca[], COUNTA(Table_ChiPhiNV_Ca[[#Headers],[Ca]:[Kết thúc]]),0)&gt; VLOOKUP(AV$6, Table_ChiPhiNV_Ca[], COUNTA(Table_ChiPhiNV_Ca[[#Headers],[Ca]:[Bắt đầu]]),0),
IF($AA18-$Z$4&lt;MAX(AV$4,VLOOKUP(AV$6, Table_ChiPhiNV_Ca[], COUNTA(Table_ChiPhiNV_Ca[[#Headers],[Ca]:[Bắt đầu]]),0)),0,
IF($AA18&gt;MIN(AV$5,VLOOKUP(AV$6, Table_ChiPhiNV_Ca[], COUNTA(Table_ChiPhiNV_Ca[[#Headers],[Ca]:[Kết thúc]]),0)),0,
SUM(_xlfn._xlws.FILTER(Table_BangLuong_TyLeTangCa[Tỷ lệ],
(Table_BangLuong_TyLeTangCa[Ngày] = "Thường") *
(Table_BangLuong_TyLeTangCa[Giờ min]&lt;=$AA18) *
(Table_BangLuong_TyLeTangCa[Giờ max]&gt;$AA18)
)))),
IF(AV$4 &gt; AV$5,
IF(
AND(
$AA18-$Z$4&lt;MAX(AV$4,VLOOKUP(AV$6, Table_ChiPhiNV_Ca[], COUNTA(Table_ChiPhiNV_Ca[[#Headers],[Ca]:[Bắt đầu]]),0)),
$AA18&gt;MIN(AV$5,VLOOKUP(AV$6, Table_ChiPhiNV_Ca[], COUNTA(Table_ChiPhiNV_Ca[[#Headers],[Ca]:[Kết thúc]]),0))),0,
SUM(_xlfn._xlws.FILTER(Table_BangLuong_TyLeTangCa[Tỷ lệ],
(Table_BangLuong_TyLeTangCa[Ngày] = "Thường") *
(Table_BangLuong_TyLeTangCa[Giờ min]&lt;=$AA18) *
(Table_BangLuong_TyLeTangCa[Giờ max]&gt;$AA18)
))),
IF(
AND(
$AA18-$Z$4&gt;=MAX(AV$4,VLOOKUP(AV$6, Table_ChiPhiNV_Ca[], COUNTA(Table_ChiPhiNV_Ca[[#Headers],[Ca]:[Bắt đầu]]),0)),
$AA18&lt;MIN(AV$5,VLOOKUP(AV$6, Table_ChiPhiNV_Ca[], COUNTA(Table_ChiPhiNV_Ca[[#Headers],[Ca]:[Kết thúc]]),0))),
SUM(_xlfn._xlws.FILTER(Table_BangLuong_TyLeTangCa[Tỷ lệ],
(Table_BangLuong_TyLeTangCa[Ngày] = "Thường") *
(Table_BangLuong_TyLeTangCa[Giờ min]&lt;=$AA18) *
(Table_BangLuong_TyLeTangCa[Giờ max]&gt;$AA18)
)),0)
)),
IF(AV$4 &lt; AV$5,
IF($AA18-$Z$4&lt;AV$4,0,
IF($AA18&gt;AV$5,0,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AV$5,$AA18 &lt; AV$4),0,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W18" s="18" cm="1">
        <f t="array" ref="AW18" xml:space="preserve">
IFERROR(
IF(AW$1="",0,
IF(AND(
$AA18&gt;=VLOOKUP(AW$6, Table_ChiPhiNV_Ca[], COUNTA(Table_ChiPhiNV_Ca[[#Headers],[Ca]:[Bắt đầu nghỉ]]),0),
$AA18&lt;VLOOKUP(AW$6, Table_ChiPhiNV_Ca[], COUNTA(Table_ChiPhiNV_Ca[[#Headers],[Ca]:[Kết thúc nghỉ]]),0)
),0,
IF(NOT(ISBLANK(AW$3)),
IF(ISBLANK(AW$7),0,
IF(AW$4 &lt; AW$5,
IF($AA18-$Z$4&lt;AW$4,0,
IF($AA18&gt;AW$5,0,
SUM(_xlfn._xlws.FILTER(Table_BangLuong_TyLeTangCa[Tỷ lệ],
(Table_BangLuong_TyLeTangCa[Ngày] = AW$3) *
(Table_BangLuong_TyLeTangCa[Giờ min]&lt;=$AA18) *
(Table_BangLuong_TyLeTangCa[Giờ max]&gt;$AA18)
)))),
IF(AND($AA18-$Z$4 &gt;= AW$5,$AA18 &lt; AW$4),0,
SUM(_xlfn._xlws.FILTER(Table_BangLuong_TyLeTangCa[Tỷ lệ],
(Table_BangLuong_TyLeTangCa[Ngày] = AW$3) *
(Table_BangLuong_TyLeTangCa[Giờ min]&lt;=$AA18) *
(Table_BangLuong_TyLeTangCa[Giờ max]&gt;$AA18)
))))
),
IF(ISBLANK(AW$7),
IF(VLOOKUP(AW$6, Table_ChiPhiNV_Ca[], COUNTA(Table_ChiPhiNV_Ca[[#Headers],[Ca]:[Kết thúc]]),0)&gt; VLOOKUP(AW$6, Table_ChiPhiNV_Ca[], COUNTA(Table_ChiPhiNV_Ca[[#Headers],[Ca]:[Bắt đầu]]),0),
IF($AA18-$Z$4&lt;MAX(AW$4,VLOOKUP(AW$6, Table_ChiPhiNV_Ca[], COUNTA(Table_ChiPhiNV_Ca[[#Headers],[Ca]:[Bắt đầu]]),0)),0,
IF($AA18&gt;MIN(AW$5,VLOOKUP(AW$6, Table_ChiPhiNV_Ca[], COUNTA(Table_ChiPhiNV_Ca[[#Headers],[Ca]:[Kết thúc]]),0)),0,
SUM(_xlfn._xlws.FILTER(Table_BangLuong_TyLeTangCa[Tỷ lệ],
(Table_BangLuong_TyLeTangCa[Ngày] = "Thường") *
(Table_BangLuong_TyLeTangCa[Giờ min]&lt;=$AA18) *
(Table_BangLuong_TyLeTangCa[Giờ max]&gt;$AA18)
)))),
IF(AW$4 &gt; AW$5,
IF(
AND(
$AA18-$Z$4&lt;MAX(AW$4,VLOOKUP(AW$6, Table_ChiPhiNV_Ca[], COUNTA(Table_ChiPhiNV_Ca[[#Headers],[Ca]:[Bắt đầu]]),0)),
$AA18&gt;MIN(AW$5,VLOOKUP(AW$6, Table_ChiPhiNV_Ca[], COUNTA(Table_ChiPhiNV_Ca[[#Headers],[Ca]:[Kết thúc]]),0))),0,
SUM(_xlfn._xlws.FILTER(Table_BangLuong_TyLeTangCa[Tỷ lệ],
(Table_BangLuong_TyLeTangCa[Ngày] = "Thường") *
(Table_BangLuong_TyLeTangCa[Giờ min]&lt;=$AA18) *
(Table_BangLuong_TyLeTangCa[Giờ max]&gt;$AA18)
))),
IF(
AND(
$AA18-$Z$4&gt;=MAX(AW$4,VLOOKUP(AW$6, Table_ChiPhiNV_Ca[], COUNTA(Table_ChiPhiNV_Ca[[#Headers],[Ca]:[Bắt đầu]]),0)),
$AA18&lt;MIN(AW$5,VLOOKUP(AW$6, Table_ChiPhiNV_Ca[], COUNTA(Table_ChiPhiNV_Ca[[#Headers],[Ca]:[Kết thúc]]),0))),
SUM(_xlfn._xlws.FILTER(Table_BangLuong_TyLeTangCa[Tỷ lệ],
(Table_BangLuong_TyLeTangCa[Ngày] = "Thường") *
(Table_BangLuong_TyLeTangCa[Giờ min]&lt;=$AA18) *
(Table_BangLuong_TyLeTangCa[Giờ max]&gt;$AA18)
)),0)
)),
IF(AW$4 &lt; AW$5,
IF($AA18-$Z$4&lt;AW$4,0,
IF($AA18&gt;AW$5,0,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AW$5,$AA18 &lt; AW$4),0,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X18" s="18" cm="1">
        <f t="array" ref="AX18" xml:space="preserve">
IFERROR(
IF(AX$1="",0,
IF(AND(
$AA18&gt;=VLOOKUP(AX$6, Table_ChiPhiNV_Ca[], COUNTA(Table_ChiPhiNV_Ca[[#Headers],[Ca]:[Bắt đầu nghỉ]]),0),
$AA18&lt;VLOOKUP(AX$6, Table_ChiPhiNV_Ca[], COUNTA(Table_ChiPhiNV_Ca[[#Headers],[Ca]:[Kết thúc nghỉ]]),0)
),0,
IF(NOT(ISBLANK(AX$3)),
IF(ISBLANK(AX$7),0,
IF(AX$4 &lt; AX$5,
IF($AA18-$Z$4&lt;AX$4,0,
IF($AA18&gt;AX$5,0,
SUM(_xlfn._xlws.FILTER(Table_BangLuong_TyLeTangCa[Tỷ lệ],
(Table_BangLuong_TyLeTangCa[Ngày] = AX$3) *
(Table_BangLuong_TyLeTangCa[Giờ min]&lt;=$AA18) *
(Table_BangLuong_TyLeTangCa[Giờ max]&gt;$AA18)
)))),
IF(AND($AA18-$Z$4 &gt;= AX$5,$AA18 &lt; AX$4),0,
SUM(_xlfn._xlws.FILTER(Table_BangLuong_TyLeTangCa[Tỷ lệ],
(Table_BangLuong_TyLeTangCa[Ngày] = AX$3) *
(Table_BangLuong_TyLeTangCa[Giờ min]&lt;=$AA18) *
(Table_BangLuong_TyLeTangCa[Giờ max]&gt;$AA18)
))))
),
IF(ISBLANK(AX$7),
IF(VLOOKUP(AX$6, Table_ChiPhiNV_Ca[], COUNTA(Table_ChiPhiNV_Ca[[#Headers],[Ca]:[Kết thúc]]),0)&gt; VLOOKUP(AX$6, Table_ChiPhiNV_Ca[], COUNTA(Table_ChiPhiNV_Ca[[#Headers],[Ca]:[Bắt đầu]]),0),
IF($AA18-$Z$4&lt;MAX(AX$4,VLOOKUP(AX$6, Table_ChiPhiNV_Ca[], COUNTA(Table_ChiPhiNV_Ca[[#Headers],[Ca]:[Bắt đầu]]),0)),0,
IF($AA18&gt;MIN(AX$5,VLOOKUP(AX$6, Table_ChiPhiNV_Ca[], COUNTA(Table_ChiPhiNV_Ca[[#Headers],[Ca]:[Kết thúc]]),0)),0,
SUM(_xlfn._xlws.FILTER(Table_BangLuong_TyLeTangCa[Tỷ lệ],
(Table_BangLuong_TyLeTangCa[Ngày] = "Thường") *
(Table_BangLuong_TyLeTangCa[Giờ min]&lt;=$AA18) *
(Table_BangLuong_TyLeTangCa[Giờ max]&gt;$AA18)
)))),
IF(AX$4 &gt; AX$5,
IF(
AND(
$AA18-$Z$4&lt;MAX(AX$4,VLOOKUP(AX$6, Table_ChiPhiNV_Ca[], COUNTA(Table_ChiPhiNV_Ca[[#Headers],[Ca]:[Bắt đầu]]),0)),
$AA18&gt;MIN(AX$5,VLOOKUP(AX$6, Table_ChiPhiNV_Ca[], COUNTA(Table_ChiPhiNV_Ca[[#Headers],[Ca]:[Kết thúc]]),0))),0,
SUM(_xlfn._xlws.FILTER(Table_BangLuong_TyLeTangCa[Tỷ lệ],
(Table_BangLuong_TyLeTangCa[Ngày] = "Thường") *
(Table_BangLuong_TyLeTangCa[Giờ min]&lt;=$AA18) *
(Table_BangLuong_TyLeTangCa[Giờ max]&gt;$AA18)
))),
IF(
AND(
$AA18-$Z$4&gt;=MAX(AX$4,VLOOKUP(AX$6, Table_ChiPhiNV_Ca[], COUNTA(Table_ChiPhiNV_Ca[[#Headers],[Ca]:[Bắt đầu]]),0)),
$AA18&lt;MIN(AX$5,VLOOKUP(AX$6, Table_ChiPhiNV_Ca[], COUNTA(Table_ChiPhiNV_Ca[[#Headers],[Ca]:[Kết thúc]]),0))),
SUM(_xlfn._xlws.FILTER(Table_BangLuong_TyLeTangCa[Tỷ lệ],
(Table_BangLuong_TyLeTangCa[Ngày] = "Thường") *
(Table_BangLuong_TyLeTangCa[Giờ min]&lt;=$AA18) *
(Table_BangLuong_TyLeTangCa[Giờ max]&gt;$AA18)
)),0)
)),
IF(AX$4 &lt; AX$5,
IF($AA18-$Z$4&lt;AX$4,0,
IF($AA18&gt;AX$5,0,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AX$5,$AA18 &lt; AX$4),0,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Y18" s="18" cm="1">
        <f t="array" ref="AY18" xml:space="preserve">
IFERROR(
IF(AY$1="",0,
IF(AND(
$AA18&gt;=VLOOKUP(AY$6, Table_ChiPhiNV_Ca[], COUNTA(Table_ChiPhiNV_Ca[[#Headers],[Ca]:[Bắt đầu nghỉ]]),0),
$AA18&lt;VLOOKUP(AY$6, Table_ChiPhiNV_Ca[], COUNTA(Table_ChiPhiNV_Ca[[#Headers],[Ca]:[Kết thúc nghỉ]]),0)
),0,
IF(NOT(ISBLANK(AY$3)),
IF(ISBLANK(AY$7),0,
IF(AY$4 &lt; AY$5,
IF($AA18-$Z$4&lt;AY$4,0,
IF($AA18&gt;AY$5,0,
SUM(_xlfn._xlws.FILTER(Table_BangLuong_TyLeTangCa[Tỷ lệ],
(Table_BangLuong_TyLeTangCa[Ngày] = AY$3) *
(Table_BangLuong_TyLeTangCa[Giờ min]&lt;=$AA18) *
(Table_BangLuong_TyLeTangCa[Giờ max]&gt;$AA18)
)))),
IF(AND($AA18-$Z$4 &gt;= AY$5,$AA18 &lt; AY$4),0,
SUM(_xlfn._xlws.FILTER(Table_BangLuong_TyLeTangCa[Tỷ lệ],
(Table_BangLuong_TyLeTangCa[Ngày] = AY$3) *
(Table_BangLuong_TyLeTangCa[Giờ min]&lt;=$AA18) *
(Table_BangLuong_TyLeTangCa[Giờ max]&gt;$AA18)
))))
),
IF(ISBLANK(AY$7),
IF(VLOOKUP(AY$6, Table_ChiPhiNV_Ca[], COUNTA(Table_ChiPhiNV_Ca[[#Headers],[Ca]:[Kết thúc]]),0)&gt; VLOOKUP(AY$6, Table_ChiPhiNV_Ca[], COUNTA(Table_ChiPhiNV_Ca[[#Headers],[Ca]:[Bắt đầu]]),0),
IF($AA18-$Z$4&lt;MAX(AY$4,VLOOKUP(AY$6, Table_ChiPhiNV_Ca[], COUNTA(Table_ChiPhiNV_Ca[[#Headers],[Ca]:[Bắt đầu]]),0)),0,
IF($AA18&gt;MIN(AY$5,VLOOKUP(AY$6, Table_ChiPhiNV_Ca[], COUNTA(Table_ChiPhiNV_Ca[[#Headers],[Ca]:[Kết thúc]]),0)),0,
SUM(_xlfn._xlws.FILTER(Table_BangLuong_TyLeTangCa[Tỷ lệ],
(Table_BangLuong_TyLeTangCa[Ngày] = "Thường") *
(Table_BangLuong_TyLeTangCa[Giờ min]&lt;=$AA18) *
(Table_BangLuong_TyLeTangCa[Giờ max]&gt;$AA18)
)))),
IF(AY$4 &gt; AY$5,
IF(
AND(
$AA18-$Z$4&lt;MAX(AY$4,VLOOKUP(AY$6, Table_ChiPhiNV_Ca[], COUNTA(Table_ChiPhiNV_Ca[[#Headers],[Ca]:[Bắt đầu]]),0)),
$AA18&gt;MIN(AY$5,VLOOKUP(AY$6, Table_ChiPhiNV_Ca[], COUNTA(Table_ChiPhiNV_Ca[[#Headers],[Ca]:[Kết thúc]]),0))),0,
SUM(_xlfn._xlws.FILTER(Table_BangLuong_TyLeTangCa[Tỷ lệ],
(Table_BangLuong_TyLeTangCa[Ngày] = "Thường") *
(Table_BangLuong_TyLeTangCa[Giờ min]&lt;=$AA18) *
(Table_BangLuong_TyLeTangCa[Giờ max]&gt;$AA18)
))),
IF(
AND(
$AA18-$Z$4&gt;=MAX(AY$4,VLOOKUP(AY$6, Table_ChiPhiNV_Ca[], COUNTA(Table_ChiPhiNV_Ca[[#Headers],[Ca]:[Bắt đầu]]),0)),
$AA18&lt;MIN(AY$5,VLOOKUP(AY$6, Table_ChiPhiNV_Ca[], COUNTA(Table_ChiPhiNV_Ca[[#Headers],[Ca]:[Kết thúc]]),0))),
SUM(_xlfn._xlws.FILTER(Table_BangLuong_TyLeTangCa[Tỷ lệ],
(Table_BangLuong_TyLeTangCa[Ngày] = "Thường") *
(Table_BangLuong_TyLeTangCa[Giờ min]&lt;=$AA18) *
(Table_BangLuong_TyLeTangCa[Giờ max]&gt;$AA18)
)),0)
)),
IF(AY$4 &lt; AY$5,
IF($AA18-$Z$4&lt;AY$4,0,
IF($AA18&gt;AY$5,0,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AY$5,$AA18 &lt; AY$4),0,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Z18" s="18" cm="1">
        <f t="array" ref="AZ18" xml:space="preserve">
IFERROR(
IF(AZ$1="",0,
IF(AND(
$AA18&gt;=VLOOKUP(AZ$6, Table_ChiPhiNV_Ca[], COUNTA(Table_ChiPhiNV_Ca[[#Headers],[Ca]:[Bắt đầu nghỉ]]),0),
$AA18&lt;VLOOKUP(AZ$6, Table_ChiPhiNV_Ca[], COUNTA(Table_ChiPhiNV_Ca[[#Headers],[Ca]:[Kết thúc nghỉ]]),0)
),0,
IF(NOT(ISBLANK(AZ$3)),
IF(ISBLANK(AZ$7),0,
IF(AZ$4 &lt; AZ$5,
IF($AA18-$Z$4&lt;AZ$4,0,
IF($AA18&gt;AZ$5,0,
SUM(_xlfn._xlws.FILTER(Table_BangLuong_TyLeTangCa[Tỷ lệ],
(Table_BangLuong_TyLeTangCa[Ngày] = AZ$3) *
(Table_BangLuong_TyLeTangCa[Giờ min]&lt;=$AA18) *
(Table_BangLuong_TyLeTangCa[Giờ max]&gt;$AA18)
)))),
IF(AND($AA18-$Z$4 &gt;= AZ$5,$AA18 &lt; AZ$4),0,
SUM(_xlfn._xlws.FILTER(Table_BangLuong_TyLeTangCa[Tỷ lệ],
(Table_BangLuong_TyLeTangCa[Ngày] = AZ$3) *
(Table_BangLuong_TyLeTangCa[Giờ min]&lt;=$AA18) *
(Table_BangLuong_TyLeTangCa[Giờ max]&gt;$AA18)
))))
),
IF(ISBLANK(AZ$7),
IF(VLOOKUP(AZ$6, Table_ChiPhiNV_Ca[], COUNTA(Table_ChiPhiNV_Ca[[#Headers],[Ca]:[Kết thúc]]),0)&gt; VLOOKUP(AZ$6, Table_ChiPhiNV_Ca[], COUNTA(Table_ChiPhiNV_Ca[[#Headers],[Ca]:[Bắt đầu]]),0),
IF($AA18-$Z$4&lt;MAX(AZ$4,VLOOKUP(AZ$6, Table_ChiPhiNV_Ca[], COUNTA(Table_ChiPhiNV_Ca[[#Headers],[Ca]:[Bắt đầu]]),0)),0,
IF($AA18&gt;MIN(AZ$5,VLOOKUP(AZ$6, Table_ChiPhiNV_Ca[], COUNTA(Table_ChiPhiNV_Ca[[#Headers],[Ca]:[Kết thúc]]),0)),0,
SUM(_xlfn._xlws.FILTER(Table_BangLuong_TyLeTangCa[Tỷ lệ],
(Table_BangLuong_TyLeTangCa[Ngày] = "Thường") *
(Table_BangLuong_TyLeTangCa[Giờ min]&lt;=$AA18) *
(Table_BangLuong_TyLeTangCa[Giờ max]&gt;$AA18)
)))),
IF(AZ$4 &gt; AZ$5,
IF(
AND(
$AA18-$Z$4&lt;MAX(AZ$4,VLOOKUP(AZ$6, Table_ChiPhiNV_Ca[], COUNTA(Table_ChiPhiNV_Ca[[#Headers],[Ca]:[Bắt đầu]]),0)),
$AA18&gt;MIN(AZ$5,VLOOKUP(AZ$6, Table_ChiPhiNV_Ca[], COUNTA(Table_ChiPhiNV_Ca[[#Headers],[Ca]:[Kết thúc]]),0))),0,
SUM(_xlfn._xlws.FILTER(Table_BangLuong_TyLeTangCa[Tỷ lệ],
(Table_BangLuong_TyLeTangCa[Ngày] = "Thường") *
(Table_BangLuong_TyLeTangCa[Giờ min]&lt;=$AA18) *
(Table_BangLuong_TyLeTangCa[Giờ max]&gt;$AA18)
))),
IF(
AND(
$AA18-$Z$4&gt;=MAX(AZ$4,VLOOKUP(AZ$6, Table_ChiPhiNV_Ca[], COUNTA(Table_ChiPhiNV_Ca[[#Headers],[Ca]:[Bắt đầu]]),0)),
$AA18&lt;MIN(AZ$5,VLOOKUP(AZ$6, Table_ChiPhiNV_Ca[], COUNTA(Table_ChiPhiNV_Ca[[#Headers],[Ca]:[Kết thúc]]),0))),
SUM(_xlfn._xlws.FILTER(Table_BangLuong_TyLeTangCa[Tỷ lệ],
(Table_BangLuong_TyLeTangCa[Ngày] = "Thường") *
(Table_BangLuong_TyLeTangCa[Giờ min]&lt;=$AA18) *
(Table_BangLuong_TyLeTangCa[Giờ max]&gt;$AA18)
)),0)
)),
IF(AZ$4 &lt; AZ$5,
IF($AA18-$Z$4&lt;AZ$4,0,
IF($AA18&gt;AZ$5,0,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AZ$5,$AA18 &lt; AZ$4),0,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A18" s="18" cm="1">
        <f t="array" ref="BA18" xml:space="preserve">
IFERROR(
IF(BA$1="",0,
IF(AND(
$AA18&gt;=VLOOKUP(BA$6, Table_ChiPhiNV_Ca[], COUNTA(Table_ChiPhiNV_Ca[[#Headers],[Ca]:[Bắt đầu nghỉ]]),0),
$AA18&lt;VLOOKUP(BA$6, Table_ChiPhiNV_Ca[], COUNTA(Table_ChiPhiNV_Ca[[#Headers],[Ca]:[Kết thúc nghỉ]]),0)
),0,
IF(NOT(ISBLANK(BA$3)),
IF(ISBLANK(BA$7),0,
IF(BA$4 &lt; BA$5,
IF($AA18-$Z$4&lt;BA$4,0,
IF($AA18&gt;BA$5,0,
SUM(_xlfn._xlws.FILTER(Table_BangLuong_TyLeTangCa[Tỷ lệ],
(Table_BangLuong_TyLeTangCa[Ngày] = BA$3) *
(Table_BangLuong_TyLeTangCa[Giờ min]&lt;=$AA18) *
(Table_BangLuong_TyLeTangCa[Giờ max]&gt;$AA18)
)))),
IF(AND($AA18-$Z$4 &gt;= BA$5,$AA18 &lt; BA$4),0,
SUM(_xlfn._xlws.FILTER(Table_BangLuong_TyLeTangCa[Tỷ lệ],
(Table_BangLuong_TyLeTangCa[Ngày] = BA$3) *
(Table_BangLuong_TyLeTangCa[Giờ min]&lt;=$AA18) *
(Table_BangLuong_TyLeTangCa[Giờ max]&gt;$AA18)
))))
),
IF(ISBLANK(BA$7),
IF(VLOOKUP(BA$6, Table_ChiPhiNV_Ca[], COUNTA(Table_ChiPhiNV_Ca[[#Headers],[Ca]:[Kết thúc]]),0)&gt; VLOOKUP(BA$6, Table_ChiPhiNV_Ca[], COUNTA(Table_ChiPhiNV_Ca[[#Headers],[Ca]:[Bắt đầu]]),0),
IF($AA18-$Z$4&lt;MAX(BA$4,VLOOKUP(BA$6, Table_ChiPhiNV_Ca[], COUNTA(Table_ChiPhiNV_Ca[[#Headers],[Ca]:[Bắt đầu]]),0)),0,
IF($AA18&gt;MIN(BA$5,VLOOKUP(BA$6, Table_ChiPhiNV_Ca[], COUNTA(Table_ChiPhiNV_Ca[[#Headers],[Ca]:[Kết thúc]]),0)),0,
SUM(_xlfn._xlws.FILTER(Table_BangLuong_TyLeTangCa[Tỷ lệ],
(Table_BangLuong_TyLeTangCa[Ngày] = "Thường") *
(Table_BangLuong_TyLeTangCa[Giờ min]&lt;=$AA18) *
(Table_BangLuong_TyLeTangCa[Giờ max]&gt;$AA18)
)))),
IF(BA$4 &gt; BA$5,
IF(
AND(
$AA18-$Z$4&lt;MAX(BA$4,VLOOKUP(BA$6, Table_ChiPhiNV_Ca[], COUNTA(Table_ChiPhiNV_Ca[[#Headers],[Ca]:[Bắt đầu]]),0)),
$AA18&gt;MIN(BA$5,VLOOKUP(BA$6, Table_ChiPhiNV_Ca[], COUNTA(Table_ChiPhiNV_Ca[[#Headers],[Ca]:[Kết thúc]]),0))),0,
SUM(_xlfn._xlws.FILTER(Table_BangLuong_TyLeTangCa[Tỷ lệ],
(Table_BangLuong_TyLeTangCa[Ngày] = "Thường") *
(Table_BangLuong_TyLeTangCa[Giờ min]&lt;=$AA18) *
(Table_BangLuong_TyLeTangCa[Giờ max]&gt;$AA18)
))),
IF(
AND(
$AA18-$Z$4&gt;=MAX(BA$4,VLOOKUP(BA$6, Table_ChiPhiNV_Ca[], COUNTA(Table_ChiPhiNV_Ca[[#Headers],[Ca]:[Bắt đầu]]),0)),
$AA18&lt;MIN(BA$5,VLOOKUP(BA$6, Table_ChiPhiNV_Ca[], COUNTA(Table_ChiPhiNV_Ca[[#Headers],[Ca]:[Kết thúc]]),0))),
SUM(_xlfn._xlws.FILTER(Table_BangLuong_TyLeTangCa[Tỷ lệ],
(Table_BangLuong_TyLeTangCa[Ngày] = "Thường") *
(Table_BangLuong_TyLeTangCa[Giờ min]&lt;=$AA18) *
(Table_BangLuong_TyLeTangCa[Giờ max]&gt;$AA18)
)),0)
)),
IF(BA$4 &lt; BA$5,
IF($AA18-$Z$4&lt;BA$4,0,
IF($AA18&gt;BA$5,0,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BA$5,$AA18 &lt; BA$4),0,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B18" s="18" cm="1">
        <f t="array" ref="BB18" xml:space="preserve">
IFERROR(
IF(BB$1="",0,
IF(AND(
$AA18&gt;=VLOOKUP(BB$6, Table_ChiPhiNV_Ca[], COUNTA(Table_ChiPhiNV_Ca[[#Headers],[Ca]:[Bắt đầu nghỉ]]),0),
$AA18&lt;VLOOKUP(BB$6, Table_ChiPhiNV_Ca[], COUNTA(Table_ChiPhiNV_Ca[[#Headers],[Ca]:[Kết thúc nghỉ]]),0)
),0,
IF(NOT(ISBLANK(BB$3)),
IF(ISBLANK(BB$7),0,
IF(BB$4 &lt; BB$5,
IF($AA18-$Z$4&lt;BB$4,0,
IF($AA18&gt;BB$5,0,
SUM(_xlfn._xlws.FILTER(Table_BangLuong_TyLeTangCa[Tỷ lệ],
(Table_BangLuong_TyLeTangCa[Ngày] = BB$3) *
(Table_BangLuong_TyLeTangCa[Giờ min]&lt;=$AA18) *
(Table_BangLuong_TyLeTangCa[Giờ max]&gt;$AA18)
)))),
IF(AND($AA18-$Z$4 &gt;= BB$5,$AA18 &lt; BB$4),0,
SUM(_xlfn._xlws.FILTER(Table_BangLuong_TyLeTangCa[Tỷ lệ],
(Table_BangLuong_TyLeTangCa[Ngày] = BB$3) *
(Table_BangLuong_TyLeTangCa[Giờ min]&lt;=$AA18) *
(Table_BangLuong_TyLeTangCa[Giờ max]&gt;$AA18)
))))
),
IF(ISBLANK(BB$7),
IF(VLOOKUP(BB$6, Table_ChiPhiNV_Ca[], COUNTA(Table_ChiPhiNV_Ca[[#Headers],[Ca]:[Kết thúc]]),0)&gt; VLOOKUP(BB$6, Table_ChiPhiNV_Ca[], COUNTA(Table_ChiPhiNV_Ca[[#Headers],[Ca]:[Bắt đầu]]),0),
IF($AA18-$Z$4&lt;MAX(BB$4,VLOOKUP(BB$6, Table_ChiPhiNV_Ca[], COUNTA(Table_ChiPhiNV_Ca[[#Headers],[Ca]:[Bắt đầu]]),0)),0,
IF($AA18&gt;MIN(BB$5,VLOOKUP(BB$6, Table_ChiPhiNV_Ca[], COUNTA(Table_ChiPhiNV_Ca[[#Headers],[Ca]:[Kết thúc]]),0)),0,
SUM(_xlfn._xlws.FILTER(Table_BangLuong_TyLeTangCa[Tỷ lệ],
(Table_BangLuong_TyLeTangCa[Ngày] = "Thường") *
(Table_BangLuong_TyLeTangCa[Giờ min]&lt;=$AA18) *
(Table_BangLuong_TyLeTangCa[Giờ max]&gt;$AA18)
)))),
IF(BB$4 &gt; BB$5,
IF(
AND(
$AA18-$Z$4&lt;MAX(BB$4,VLOOKUP(BB$6, Table_ChiPhiNV_Ca[], COUNTA(Table_ChiPhiNV_Ca[[#Headers],[Ca]:[Bắt đầu]]),0)),
$AA18&gt;MIN(BB$5,VLOOKUP(BB$6, Table_ChiPhiNV_Ca[], COUNTA(Table_ChiPhiNV_Ca[[#Headers],[Ca]:[Kết thúc]]),0))),0,
SUM(_xlfn._xlws.FILTER(Table_BangLuong_TyLeTangCa[Tỷ lệ],
(Table_BangLuong_TyLeTangCa[Ngày] = "Thường") *
(Table_BangLuong_TyLeTangCa[Giờ min]&lt;=$AA18) *
(Table_BangLuong_TyLeTangCa[Giờ max]&gt;$AA18)
))),
IF(
AND(
$AA18-$Z$4&gt;=MAX(BB$4,VLOOKUP(BB$6, Table_ChiPhiNV_Ca[], COUNTA(Table_ChiPhiNV_Ca[[#Headers],[Ca]:[Bắt đầu]]),0)),
$AA18&lt;MIN(BB$5,VLOOKUP(BB$6, Table_ChiPhiNV_Ca[], COUNTA(Table_ChiPhiNV_Ca[[#Headers],[Ca]:[Kết thúc]]),0))),
SUM(_xlfn._xlws.FILTER(Table_BangLuong_TyLeTangCa[Tỷ lệ],
(Table_BangLuong_TyLeTangCa[Ngày] = "Thường") *
(Table_BangLuong_TyLeTangCa[Giờ min]&lt;=$AA18) *
(Table_BangLuong_TyLeTangCa[Giờ max]&gt;$AA18)
)),0)
)),
IF(BB$4 &lt; BB$5,
IF($AA18-$Z$4&lt;BB$4,0,
IF($AA18&gt;BB$5,0,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BB$5,$AA18 &lt; BB$4),0,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C18" s="18" cm="1">
        <f t="array" ref="BC18" xml:space="preserve">
IFERROR(
IF(BC$1="",0,
IF(AND(
$AA18&gt;=VLOOKUP(BC$6, Table_ChiPhiNV_Ca[], COUNTA(Table_ChiPhiNV_Ca[[#Headers],[Ca]:[Bắt đầu nghỉ]]),0),
$AA18&lt;VLOOKUP(BC$6, Table_ChiPhiNV_Ca[], COUNTA(Table_ChiPhiNV_Ca[[#Headers],[Ca]:[Kết thúc nghỉ]]),0)
),0,
IF(NOT(ISBLANK(BC$3)),
IF(ISBLANK(BC$7),0,
IF(BC$4 &lt; BC$5,
IF($AA18-$Z$4&lt;BC$4,0,
IF($AA18&gt;BC$5,0,
SUM(_xlfn._xlws.FILTER(Table_BangLuong_TyLeTangCa[Tỷ lệ],
(Table_BangLuong_TyLeTangCa[Ngày] = BC$3) *
(Table_BangLuong_TyLeTangCa[Giờ min]&lt;=$AA18) *
(Table_BangLuong_TyLeTangCa[Giờ max]&gt;$AA18)
)))),
IF(AND($AA18-$Z$4 &gt;= BC$5,$AA18 &lt; BC$4),0,
SUM(_xlfn._xlws.FILTER(Table_BangLuong_TyLeTangCa[Tỷ lệ],
(Table_BangLuong_TyLeTangCa[Ngày] = BC$3) *
(Table_BangLuong_TyLeTangCa[Giờ min]&lt;=$AA18) *
(Table_BangLuong_TyLeTangCa[Giờ max]&gt;$AA18)
))))
),
IF(ISBLANK(BC$7),
IF(VLOOKUP(BC$6, Table_ChiPhiNV_Ca[], COUNTA(Table_ChiPhiNV_Ca[[#Headers],[Ca]:[Kết thúc]]),0)&gt; VLOOKUP(BC$6, Table_ChiPhiNV_Ca[], COUNTA(Table_ChiPhiNV_Ca[[#Headers],[Ca]:[Bắt đầu]]),0),
IF($AA18-$Z$4&lt;MAX(BC$4,VLOOKUP(BC$6, Table_ChiPhiNV_Ca[], COUNTA(Table_ChiPhiNV_Ca[[#Headers],[Ca]:[Bắt đầu]]),0)),0,
IF($AA18&gt;MIN(BC$5,VLOOKUP(BC$6, Table_ChiPhiNV_Ca[], COUNTA(Table_ChiPhiNV_Ca[[#Headers],[Ca]:[Kết thúc]]),0)),0,
SUM(_xlfn._xlws.FILTER(Table_BangLuong_TyLeTangCa[Tỷ lệ],
(Table_BangLuong_TyLeTangCa[Ngày] = "Thường") *
(Table_BangLuong_TyLeTangCa[Giờ min]&lt;=$AA18) *
(Table_BangLuong_TyLeTangCa[Giờ max]&gt;$AA18)
)))),
IF(BC$4 &gt; BC$5,
IF(
AND(
$AA18-$Z$4&lt;MAX(BC$4,VLOOKUP(BC$6, Table_ChiPhiNV_Ca[], COUNTA(Table_ChiPhiNV_Ca[[#Headers],[Ca]:[Bắt đầu]]),0)),
$AA18&gt;MIN(BC$5,VLOOKUP(BC$6, Table_ChiPhiNV_Ca[], COUNTA(Table_ChiPhiNV_Ca[[#Headers],[Ca]:[Kết thúc]]),0))),0,
SUM(_xlfn._xlws.FILTER(Table_BangLuong_TyLeTangCa[Tỷ lệ],
(Table_BangLuong_TyLeTangCa[Ngày] = "Thường") *
(Table_BangLuong_TyLeTangCa[Giờ min]&lt;=$AA18) *
(Table_BangLuong_TyLeTangCa[Giờ max]&gt;$AA18)
))),
IF(
AND(
$AA18-$Z$4&gt;=MAX(BC$4,VLOOKUP(BC$6, Table_ChiPhiNV_Ca[], COUNTA(Table_ChiPhiNV_Ca[[#Headers],[Ca]:[Bắt đầu]]),0)),
$AA18&lt;MIN(BC$5,VLOOKUP(BC$6, Table_ChiPhiNV_Ca[], COUNTA(Table_ChiPhiNV_Ca[[#Headers],[Ca]:[Kết thúc]]),0))),
SUM(_xlfn._xlws.FILTER(Table_BangLuong_TyLeTangCa[Tỷ lệ],
(Table_BangLuong_TyLeTangCa[Ngày] = "Thường") *
(Table_BangLuong_TyLeTangCa[Giờ min]&lt;=$AA18) *
(Table_BangLuong_TyLeTangCa[Giờ max]&gt;$AA18)
)),0)
)),
IF(BC$4 &lt; BC$5,
IF($AA18-$Z$4&lt;BC$4,0,
IF($AA18&gt;BC$5,0,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BC$5,$AA18 &lt; BC$4),0,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D18" s="18" cm="1">
        <f t="array" ref="BD18" xml:space="preserve">
IFERROR(
IF(BD$1="",0,
IF(AND(
$AA18&gt;=VLOOKUP(BD$6, Table_ChiPhiNV_Ca[], COUNTA(Table_ChiPhiNV_Ca[[#Headers],[Ca]:[Bắt đầu nghỉ]]),0),
$AA18&lt;VLOOKUP(BD$6, Table_ChiPhiNV_Ca[], COUNTA(Table_ChiPhiNV_Ca[[#Headers],[Ca]:[Kết thúc nghỉ]]),0)
),0,
IF(NOT(ISBLANK(BD$3)),
IF(ISBLANK(BD$7),0,
IF(BD$4 &lt; BD$5,
IF($AA18-$Z$4&lt;BD$4,0,
IF($AA18&gt;BD$5,0,
SUM(_xlfn._xlws.FILTER(Table_BangLuong_TyLeTangCa[Tỷ lệ],
(Table_BangLuong_TyLeTangCa[Ngày] = BD$3) *
(Table_BangLuong_TyLeTangCa[Giờ min]&lt;=$AA18) *
(Table_BangLuong_TyLeTangCa[Giờ max]&gt;$AA18)
)))),
IF(AND($AA18-$Z$4 &gt;= BD$5,$AA18 &lt; BD$4),0,
SUM(_xlfn._xlws.FILTER(Table_BangLuong_TyLeTangCa[Tỷ lệ],
(Table_BangLuong_TyLeTangCa[Ngày] = BD$3) *
(Table_BangLuong_TyLeTangCa[Giờ min]&lt;=$AA18) *
(Table_BangLuong_TyLeTangCa[Giờ max]&gt;$AA18)
))))
),
IF(ISBLANK(BD$7),
IF(VLOOKUP(BD$6, Table_ChiPhiNV_Ca[], COUNTA(Table_ChiPhiNV_Ca[[#Headers],[Ca]:[Kết thúc]]),0)&gt; VLOOKUP(BD$6, Table_ChiPhiNV_Ca[], COUNTA(Table_ChiPhiNV_Ca[[#Headers],[Ca]:[Bắt đầu]]),0),
IF($AA18-$Z$4&lt;MAX(BD$4,VLOOKUP(BD$6, Table_ChiPhiNV_Ca[], COUNTA(Table_ChiPhiNV_Ca[[#Headers],[Ca]:[Bắt đầu]]),0)),0,
IF($AA18&gt;MIN(BD$5,VLOOKUP(BD$6, Table_ChiPhiNV_Ca[], COUNTA(Table_ChiPhiNV_Ca[[#Headers],[Ca]:[Kết thúc]]),0)),0,
SUM(_xlfn._xlws.FILTER(Table_BangLuong_TyLeTangCa[Tỷ lệ],
(Table_BangLuong_TyLeTangCa[Ngày] = "Thường") *
(Table_BangLuong_TyLeTangCa[Giờ min]&lt;=$AA18) *
(Table_BangLuong_TyLeTangCa[Giờ max]&gt;$AA18)
)))),
IF(BD$4 &gt; BD$5,
IF(
AND(
$AA18-$Z$4&lt;MAX(BD$4,VLOOKUP(BD$6, Table_ChiPhiNV_Ca[], COUNTA(Table_ChiPhiNV_Ca[[#Headers],[Ca]:[Bắt đầu]]),0)),
$AA18&gt;MIN(BD$5,VLOOKUP(BD$6, Table_ChiPhiNV_Ca[], COUNTA(Table_ChiPhiNV_Ca[[#Headers],[Ca]:[Kết thúc]]),0))),0,
SUM(_xlfn._xlws.FILTER(Table_BangLuong_TyLeTangCa[Tỷ lệ],
(Table_BangLuong_TyLeTangCa[Ngày] = "Thường") *
(Table_BangLuong_TyLeTangCa[Giờ min]&lt;=$AA18) *
(Table_BangLuong_TyLeTangCa[Giờ max]&gt;$AA18)
))),
IF(
AND(
$AA18-$Z$4&gt;=MAX(BD$4,VLOOKUP(BD$6, Table_ChiPhiNV_Ca[], COUNTA(Table_ChiPhiNV_Ca[[#Headers],[Ca]:[Bắt đầu]]),0)),
$AA18&lt;MIN(BD$5,VLOOKUP(BD$6, Table_ChiPhiNV_Ca[], COUNTA(Table_ChiPhiNV_Ca[[#Headers],[Ca]:[Kết thúc]]),0))),
SUM(_xlfn._xlws.FILTER(Table_BangLuong_TyLeTangCa[Tỷ lệ],
(Table_BangLuong_TyLeTangCa[Ngày] = "Thường") *
(Table_BangLuong_TyLeTangCa[Giờ min]&lt;=$AA18) *
(Table_BangLuong_TyLeTangCa[Giờ max]&gt;$AA18)
)),0)
)),
IF(BD$4 &lt; BD$5,
IF($AA18-$Z$4&lt;BD$4,0,
IF($AA18&gt;BD$5,0,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BD$5,$AA18 &lt; BD$4),0,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E18" s="18" cm="1">
        <f t="array" ref="BE18" xml:space="preserve">
IFERROR(
IF(BE$1="",0,
IF(AND(
$AA18&gt;=VLOOKUP(BE$6, Table_ChiPhiNV_Ca[], COUNTA(Table_ChiPhiNV_Ca[[#Headers],[Ca]:[Bắt đầu nghỉ]]),0),
$AA18&lt;VLOOKUP(BE$6, Table_ChiPhiNV_Ca[], COUNTA(Table_ChiPhiNV_Ca[[#Headers],[Ca]:[Kết thúc nghỉ]]),0)
),0,
IF(NOT(ISBLANK(BE$3)),
IF(ISBLANK(BE$7),0,
IF(BE$4 &lt; BE$5,
IF($AA18-$Z$4&lt;BE$4,0,
IF($AA18&gt;BE$5,0,
SUM(_xlfn._xlws.FILTER(Table_BangLuong_TyLeTangCa[Tỷ lệ],
(Table_BangLuong_TyLeTangCa[Ngày] = BE$3) *
(Table_BangLuong_TyLeTangCa[Giờ min]&lt;=$AA18) *
(Table_BangLuong_TyLeTangCa[Giờ max]&gt;$AA18)
)))),
IF(AND($AA18-$Z$4 &gt;= BE$5,$AA18 &lt; BE$4),0,
SUM(_xlfn._xlws.FILTER(Table_BangLuong_TyLeTangCa[Tỷ lệ],
(Table_BangLuong_TyLeTangCa[Ngày] = BE$3) *
(Table_BangLuong_TyLeTangCa[Giờ min]&lt;=$AA18) *
(Table_BangLuong_TyLeTangCa[Giờ max]&gt;$AA18)
))))
),
IF(ISBLANK(BE$7),
IF(VLOOKUP(BE$6, Table_ChiPhiNV_Ca[], COUNTA(Table_ChiPhiNV_Ca[[#Headers],[Ca]:[Kết thúc]]),0)&gt; VLOOKUP(BE$6, Table_ChiPhiNV_Ca[], COUNTA(Table_ChiPhiNV_Ca[[#Headers],[Ca]:[Bắt đầu]]),0),
IF($AA18-$Z$4&lt;MAX(BE$4,VLOOKUP(BE$6, Table_ChiPhiNV_Ca[], COUNTA(Table_ChiPhiNV_Ca[[#Headers],[Ca]:[Bắt đầu]]),0)),0,
IF($AA18&gt;MIN(BE$5,VLOOKUP(BE$6, Table_ChiPhiNV_Ca[], COUNTA(Table_ChiPhiNV_Ca[[#Headers],[Ca]:[Kết thúc]]),0)),0,
SUM(_xlfn._xlws.FILTER(Table_BangLuong_TyLeTangCa[Tỷ lệ],
(Table_BangLuong_TyLeTangCa[Ngày] = "Thường") *
(Table_BangLuong_TyLeTangCa[Giờ min]&lt;=$AA18) *
(Table_BangLuong_TyLeTangCa[Giờ max]&gt;$AA18)
)))),
IF(BE$4 &gt; BE$5,
IF(
AND(
$AA18-$Z$4&lt;MAX(BE$4,VLOOKUP(BE$6, Table_ChiPhiNV_Ca[], COUNTA(Table_ChiPhiNV_Ca[[#Headers],[Ca]:[Bắt đầu]]),0)),
$AA18&gt;MIN(BE$5,VLOOKUP(BE$6, Table_ChiPhiNV_Ca[], COUNTA(Table_ChiPhiNV_Ca[[#Headers],[Ca]:[Kết thúc]]),0))),0,
SUM(_xlfn._xlws.FILTER(Table_BangLuong_TyLeTangCa[Tỷ lệ],
(Table_BangLuong_TyLeTangCa[Ngày] = "Thường") *
(Table_BangLuong_TyLeTangCa[Giờ min]&lt;=$AA18) *
(Table_BangLuong_TyLeTangCa[Giờ max]&gt;$AA18)
))),
IF(
AND(
$AA18-$Z$4&gt;=MAX(BE$4,VLOOKUP(BE$6, Table_ChiPhiNV_Ca[], COUNTA(Table_ChiPhiNV_Ca[[#Headers],[Ca]:[Bắt đầu]]),0)),
$AA18&lt;MIN(BE$5,VLOOKUP(BE$6, Table_ChiPhiNV_Ca[], COUNTA(Table_ChiPhiNV_Ca[[#Headers],[Ca]:[Kết thúc]]),0))),
SUM(_xlfn._xlws.FILTER(Table_BangLuong_TyLeTangCa[Tỷ lệ],
(Table_BangLuong_TyLeTangCa[Ngày] = "Thường") *
(Table_BangLuong_TyLeTangCa[Giờ min]&lt;=$AA18) *
(Table_BangLuong_TyLeTangCa[Giờ max]&gt;$AA18)
)),0)
)),
IF(BE$4 &lt; BE$5,
IF($AA18-$Z$4&lt;BE$4,0,
IF($AA18&gt;BE$5,0,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BE$5,$AA18 &lt; BE$4),0,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F18" s="18" cm="1">
        <f t="array" ref="BF18" xml:space="preserve">
IFERROR(
IF(BF$1="",0,
IF(AND(
$AA18&gt;=VLOOKUP(BF$6, Table_ChiPhiNV_Ca[], COUNTA(Table_ChiPhiNV_Ca[[#Headers],[Ca]:[Bắt đầu nghỉ]]),0),
$AA18&lt;VLOOKUP(BF$6, Table_ChiPhiNV_Ca[], COUNTA(Table_ChiPhiNV_Ca[[#Headers],[Ca]:[Kết thúc nghỉ]]),0)
),0,
IF(NOT(ISBLANK(BF$3)),
IF(ISBLANK(BF$7),0,
IF(BF$4 &lt; BF$5,
IF($AA18-$Z$4&lt;BF$4,0,
IF($AA18&gt;BF$5,0,
SUM(_xlfn._xlws.FILTER(Table_BangLuong_TyLeTangCa[Tỷ lệ],
(Table_BangLuong_TyLeTangCa[Ngày] = BF$3) *
(Table_BangLuong_TyLeTangCa[Giờ min]&lt;=$AA18) *
(Table_BangLuong_TyLeTangCa[Giờ max]&gt;$AA18)
)))),
IF(AND($AA18-$Z$4 &gt;= BF$5,$AA18 &lt; BF$4),0,
SUM(_xlfn._xlws.FILTER(Table_BangLuong_TyLeTangCa[Tỷ lệ],
(Table_BangLuong_TyLeTangCa[Ngày] = BF$3) *
(Table_BangLuong_TyLeTangCa[Giờ min]&lt;=$AA18) *
(Table_BangLuong_TyLeTangCa[Giờ max]&gt;$AA18)
))))
),
IF(ISBLANK(BF$7),
IF(VLOOKUP(BF$6, Table_ChiPhiNV_Ca[], COUNTA(Table_ChiPhiNV_Ca[[#Headers],[Ca]:[Kết thúc]]),0)&gt; VLOOKUP(BF$6, Table_ChiPhiNV_Ca[], COUNTA(Table_ChiPhiNV_Ca[[#Headers],[Ca]:[Bắt đầu]]),0),
IF($AA18-$Z$4&lt;MAX(BF$4,VLOOKUP(BF$6, Table_ChiPhiNV_Ca[], COUNTA(Table_ChiPhiNV_Ca[[#Headers],[Ca]:[Bắt đầu]]),0)),0,
IF($AA18&gt;MIN(BF$5,VLOOKUP(BF$6, Table_ChiPhiNV_Ca[], COUNTA(Table_ChiPhiNV_Ca[[#Headers],[Ca]:[Kết thúc]]),0)),0,
SUM(_xlfn._xlws.FILTER(Table_BangLuong_TyLeTangCa[Tỷ lệ],
(Table_BangLuong_TyLeTangCa[Ngày] = "Thường") *
(Table_BangLuong_TyLeTangCa[Giờ min]&lt;=$AA18) *
(Table_BangLuong_TyLeTangCa[Giờ max]&gt;$AA18)
)))),
IF(BF$4 &gt; BF$5,
IF(
AND(
$AA18-$Z$4&lt;MAX(BF$4,VLOOKUP(BF$6, Table_ChiPhiNV_Ca[], COUNTA(Table_ChiPhiNV_Ca[[#Headers],[Ca]:[Bắt đầu]]),0)),
$AA18&gt;MIN(BF$5,VLOOKUP(BF$6, Table_ChiPhiNV_Ca[], COUNTA(Table_ChiPhiNV_Ca[[#Headers],[Ca]:[Kết thúc]]),0))),0,
SUM(_xlfn._xlws.FILTER(Table_BangLuong_TyLeTangCa[Tỷ lệ],
(Table_BangLuong_TyLeTangCa[Ngày] = "Thường") *
(Table_BangLuong_TyLeTangCa[Giờ min]&lt;=$AA18) *
(Table_BangLuong_TyLeTangCa[Giờ max]&gt;$AA18)
))),
IF(
AND(
$AA18-$Z$4&gt;=MAX(BF$4,VLOOKUP(BF$6, Table_ChiPhiNV_Ca[], COUNTA(Table_ChiPhiNV_Ca[[#Headers],[Ca]:[Bắt đầu]]),0)),
$AA18&lt;MIN(BF$5,VLOOKUP(BF$6, Table_ChiPhiNV_Ca[], COUNTA(Table_ChiPhiNV_Ca[[#Headers],[Ca]:[Kết thúc]]),0))),
SUM(_xlfn._xlws.FILTER(Table_BangLuong_TyLeTangCa[Tỷ lệ],
(Table_BangLuong_TyLeTangCa[Ngày] = "Thường") *
(Table_BangLuong_TyLeTangCa[Giờ min]&lt;=$AA18) *
(Table_BangLuong_TyLeTangCa[Giờ max]&gt;$AA18)
)),0)
)),
IF(BF$4 &lt; BF$5,
IF($AA18-$Z$4&lt;BF$4,0,
IF($AA18&gt;BF$5,0,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BF$5,$AA18 &lt; BF$4),0,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row>
    <row r="19" spans="2:58" ht="18" customHeight="1" outlineLevel="1" x14ac:dyDescent="0.3">
      <c r="V19" s="58"/>
      <c r="AA19" s="50">
        <v>0.20833333333333301</v>
      </c>
      <c r="AB19" s="18" cm="1">
        <f t="array" ref="AB19" xml:space="preserve">
IFERROR(
IF(AB$1="",0,
IF(AND(
$AA19&gt;=VLOOKUP(AB$6, Table_ChiPhiNV_Ca[], COUNTA(Table_ChiPhiNV_Ca[[#Headers],[Ca]:[Bắt đầu nghỉ]]),0),
$AA19&lt;VLOOKUP(AB$6, Table_ChiPhiNV_Ca[], COUNTA(Table_ChiPhiNV_Ca[[#Headers],[Ca]:[Kết thúc nghỉ]]),0)
),0,
IF(NOT(ISBLANK(AB$3)),
IF(ISBLANK(AB$7),0,
IF(AB$4 &lt; AB$5,
IF($AA19-$Z$4&lt;AB$4,0,
IF($AA19&gt;AB$5,0,
SUM(_xlfn._xlws.FILTER(Table_BangLuong_TyLeTangCa[Tỷ lệ],
(Table_BangLuong_TyLeTangCa[Ngày] = AB$3) *
(Table_BangLuong_TyLeTangCa[Giờ min]&lt;=$AA19) *
(Table_BangLuong_TyLeTangCa[Giờ max]&gt;$AA19)
)))),
IF(AND($AA19-$Z$4 &gt;= AB$5,$AA19 &lt; AB$4),0,
SUM(_xlfn._xlws.FILTER(Table_BangLuong_TyLeTangCa[Tỷ lệ],
(Table_BangLuong_TyLeTangCa[Ngày] = AB$3) *
(Table_BangLuong_TyLeTangCa[Giờ min]&lt;=$AA19) *
(Table_BangLuong_TyLeTangCa[Giờ max]&gt;$AA19)
))))
),
IF(ISBLANK(AB$7),
IF(VLOOKUP(AB$6, Table_ChiPhiNV_Ca[], COUNTA(Table_ChiPhiNV_Ca[[#Headers],[Ca]:[Kết thúc]]),0)&gt; VLOOKUP(AB$6, Table_ChiPhiNV_Ca[], COUNTA(Table_ChiPhiNV_Ca[[#Headers],[Ca]:[Bắt đầu]]),0),
IF($AA19-$Z$4&lt;MAX(AB$4,VLOOKUP(AB$6, Table_ChiPhiNV_Ca[], COUNTA(Table_ChiPhiNV_Ca[[#Headers],[Ca]:[Bắt đầu]]),0)),0,
IF($AA19&gt;MIN(AB$5,VLOOKUP(AB$6, Table_ChiPhiNV_Ca[], COUNTA(Table_ChiPhiNV_Ca[[#Headers],[Ca]:[Kết thúc]]),0)),0,
SUM(_xlfn._xlws.FILTER(Table_BangLuong_TyLeTangCa[Tỷ lệ],
(Table_BangLuong_TyLeTangCa[Ngày] = "Thường") *
(Table_BangLuong_TyLeTangCa[Giờ min]&lt;=$AA19) *
(Table_BangLuong_TyLeTangCa[Giờ max]&gt;$AA19)
)))),
IF(AB$4 &gt; AB$5,
IF(
AND(
$AA19-$Z$4&lt;MAX(AB$4,VLOOKUP(AB$6, Table_ChiPhiNV_Ca[], COUNTA(Table_ChiPhiNV_Ca[[#Headers],[Ca]:[Bắt đầu]]),0)),
$AA19&gt;MIN(AB$5,VLOOKUP(AB$6, Table_ChiPhiNV_Ca[], COUNTA(Table_ChiPhiNV_Ca[[#Headers],[Ca]:[Kết thúc]]),0))),0,
SUM(_xlfn._xlws.FILTER(Table_BangLuong_TyLeTangCa[Tỷ lệ],
(Table_BangLuong_TyLeTangCa[Ngày] = "Thường") *
(Table_BangLuong_TyLeTangCa[Giờ min]&lt;=$AA19) *
(Table_BangLuong_TyLeTangCa[Giờ max]&gt;$AA19)
))),
IF(
AND(
$AA19-$Z$4&gt;=MAX(AB$4,VLOOKUP(AB$6, Table_ChiPhiNV_Ca[], COUNTA(Table_ChiPhiNV_Ca[[#Headers],[Ca]:[Bắt đầu]]),0)),
$AA19&lt;MIN(AB$5,VLOOKUP(AB$6, Table_ChiPhiNV_Ca[], COUNTA(Table_ChiPhiNV_Ca[[#Headers],[Ca]:[Kết thúc]]),0))),
SUM(_xlfn._xlws.FILTER(Table_BangLuong_TyLeTangCa[Tỷ lệ],
(Table_BangLuong_TyLeTangCa[Ngày] = "Thường") *
(Table_BangLuong_TyLeTangCa[Giờ min]&lt;=$AA19) *
(Table_BangLuong_TyLeTangCa[Giờ max]&gt;$AA19)
)),0)
)),
IF(AB$4 &lt; AB$5,
IF($AA19-$Z$4&lt;AB$4,0,
IF($AA19&gt;AB$5,0,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AB$5,$AA19 &lt; AB$4),0,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C19" s="18" cm="1">
        <f t="array" ref="AC19" xml:space="preserve">
IFERROR(
IF(AC$1="",0,
IF(AND(
$AA19&gt;=VLOOKUP(AC$6, Table_ChiPhiNV_Ca[], COUNTA(Table_ChiPhiNV_Ca[[#Headers],[Ca]:[Bắt đầu nghỉ]]),0),
$AA19&lt;VLOOKUP(AC$6, Table_ChiPhiNV_Ca[], COUNTA(Table_ChiPhiNV_Ca[[#Headers],[Ca]:[Kết thúc nghỉ]]),0)
),0,
IF(NOT(ISBLANK(AC$3)),
IF(ISBLANK(AC$7),0,
IF(AC$4 &lt; AC$5,
IF($AA19-$Z$4&lt;AC$4,0,
IF($AA19&gt;AC$5,0,
SUM(_xlfn._xlws.FILTER(Table_BangLuong_TyLeTangCa[Tỷ lệ],
(Table_BangLuong_TyLeTangCa[Ngày] = AC$3) *
(Table_BangLuong_TyLeTangCa[Giờ min]&lt;=$AA19) *
(Table_BangLuong_TyLeTangCa[Giờ max]&gt;$AA19)
)))),
IF(AND($AA19-$Z$4 &gt;= AC$5,$AA19 &lt; AC$4),0,
SUM(_xlfn._xlws.FILTER(Table_BangLuong_TyLeTangCa[Tỷ lệ],
(Table_BangLuong_TyLeTangCa[Ngày] = AC$3) *
(Table_BangLuong_TyLeTangCa[Giờ min]&lt;=$AA19) *
(Table_BangLuong_TyLeTangCa[Giờ max]&gt;$AA19)
))))
),
IF(ISBLANK(AC$7),
IF(VLOOKUP(AC$6, Table_ChiPhiNV_Ca[], COUNTA(Table_ChiPhiNV_Ca[[#Headers],[Ca]:[Kết thúc]]),0)&gt; VLOOKUP(AC$6, Table_ChiPhiNV_Ca[], COUNTA(Table_ChiPhiNV_Ca[[#Headers],[Ca]:[Bắt đầu]]),0),
IF($AA19-$Z$4&lt;MAX(AC$4,VLOOKUP(AC$6, Table_ChiPhiNV_Ca[], COUNTA(Table_ChiPhiNV_Ca[[#Headers],[Ca]:[Bắt đầu]]),0)),0,
IF($AA19&gt;MIN(AC$5,VLOOKUP(AC$6, Table_ChiPhiNV_Ca[], COUNTA(Table_ChiPhiNV_Ca[[#Headers],[Ca]:[Kết thúc]]),0)),0,
SUM(_xlfn._xlws.FILTER(Table_BangLuong_TyLeTangCa[Tỷ lệ],
(Table_BangLuong_TyLeTangCa[Ngày] = "Thường") *
(Table_BangLuong_TyLeTangCa[Giờ min]&lt;=$AA19) *
(Table_BangLuong_TyLeTangCa[Giờ max]&gt;$AA19)
)))),
IF(AC$4 &gt; AC$5,
IF(
AND(
$AA19-$Z$4&lt;MAX(AC$4,VLOOKUP(AC$6, Table_ChiPhiNV_Ca[], COUNTA(Table_ChiPhiNV_Ca[[#Headers],[Ca]:[Bắt đầu]]),0)),
$AA19&gt;MIN(AC$5,VLOOKUP(AC$6, Table_ChiPhiNV_Ca[], COUNTA(Table_ChiPhiNV_Ca[[#Headers],[Ca]:[Kết thúc]]),0))),0,
SUM(_xlfn._xlws.FILTER(Table_BangLuong_TyLeTangCa[Tỷ lệ],
(Table_BangLuong_TyLeTangCa[Ngày] = "Thường") *
(Table_BangLuong_TyLeTangCa[Giờ min]&lt;=$AA19) *
(Table_BangLuong_TyLeTangCa[Giờ max]&gt;$AA19)
))),
IF(
AND(
$AA19-$Z$4&gt;=MAX(AC$4,VLOOKUP(AC$6, Table_ChiPhiNV_Ca[], COUNTA(Table_ChiPhiNV_Ca[[#Headers],[Ca]:[Bắt đầu]]),0)),
$AA19&lt;MIN(AC$5,VLOOKUP(AC$6, Table_ChiPhiNV_Ca[], COUNTA(Table_ChiPhiNV_Ca[[#Headers],[Ca]:[Kết thúc]]),0))),
SUM(_xlfn._xlws.FILTER(Table_BangLuong_TyLeTangCa[Tỷ lệ],
(Table_BangLuong_TyLeTangCa[Ngày] = "Thường") *
(Table_BangLuong_TyLeTangCa[Giờ min]&lt;=$AA19) *
(Table_BangLuong_TyLeTangCa[Giờ max]&gt;$AA19)
)),0)
)),
IF(AC$4 &lt; AC$5,
IF($AA19-$Z$4&lt;AC$4,0,
IF($AA19&gt;AC$5,0,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AC$5,$AA19 &lt; AC$4),0,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D19" s="18" cm="1">
        <f t="array" ref="AD19" xml:space="preserve">
IFERROR(
IF(AD$1="",0,
IF(AND(
$AA19&gt;=VLOOKUP(AD$6, Table_ChiPhiNV_Ca[], COUNTA(Table_ChiPhiNV_Ca[[#Headers],[Ca]:[Bắt đầu nghỉ]]),0),
$AA19&lt;VLOOKUP(AD$6, Table_ChiPhiNV_Ca[], COUNTA(Table_ChiPhiNV_Ca[[#Headers],[Ca]:[Kết thúc nghỉ]]),0)
),0,
IF(NOT(ISBLANK(AD$3)),
IF(ISBLANK(AD$7),0,
IF(AD$4 &lt; AD$5,
IF($AA19-$Z$4&lt;AD$4,0,
IF($AA19&gt;AD$5,0,
SUM(_xlfn._xlws.FILTER(Table_BangLuong_TyLeTangCa[Tỷ lệ],
(Table_BangLuong_TyLeTangCa[Ngày] = AD$3) *
(Table_BangLuong_TyLeTangCa[Giờ min]&lt;=$AA19) *
(Table_BangLuong_TyLeTangCa[Giờ max]&gt;$AA19)
)))),
IF(AND($AA19-$Z$4 &gt;= AD$5,$AA19 &lt; AD$4),0,
SUM(_xlfn._xlws.FILTER(Table_BangLuong_TyLeTangCa[Tỷ lệ],
(Table_BangLuong_TyLeTangCa[Ngày] = AD$3) *
(Table_BangLuong_TyLeTangCa[Giờ min]&lt;=$AA19) *
(Table_BangLuong_TyLeTangCa[Giờ max]&gt;$AA19)
))))
),
IF(ISBLANK(AD$7),
IF(VLOOKUP(AD$6, Table_ChiPhiNV_Ca[], COUNTA(Table_ChiPhiNV_Ca[[#Headers],[Ca]:[Kết thúc]]),0)&gt; VLOOKUP(AD$6, Table_ChiPhiNV_Ca[], COUNTA(Table_ChiPhiNV_Ca[[#Headers],[Ca]:[Bắt đầu]]),0),
IF($AA19-$Z$4&lt;MAX(AD$4,VLOOKUP(AD$6, Table_ChiPhiNV_Ca[], COUNTA(Table_ChiPhiNV_Ca[[#Headers],[Ca]:[Bắt đầu]]),0)),0,
IF($AA19&gt;MIN(AD$5,VLOOKUP(AD$6, Table_ChiPhiNV_Ca[], COUNTA(Table_ChiPhiNV_Ca[[#Headers],[Ca]:[Kết thúc]]),0)),0,
SUM(_xlfn._xlws.FILTER(Table_BangLuong_TyLeTangCa[Tỷ lệ],
(Table_BangLuong_TyLeTangCa[Ngày] = "Thường") *
(Table_BangLuong_TyLeTangCa[Giờ min]&lt;=$AA19) *
(Table_BangLuong_TyLeTangCa[Giờ max]&gt;$AA19)
)))),
IF(AD$4 &gt; AD$5,
IF(
AND(
$AA19-$Z$4&lt;MAX(AD$4,VLOOKUP(AD$6, Table_ChiPhiNV_Ca[], COUNTA(Table_ChiPhiNV_Ca[[#Headers],[Ca]:[Bắt đầu]]),0)),
$AA19&gt;MIN(AD$5,VLOOKUP(AD$6, Table_ChiPhiNV_Ca[], COUNTA(Table_ChiPhiNV_Ca[[#Headers],[Ca]:[Kết thúc]]),0))),0,
SUM(_xlfn._xlws.FILTER(Table_BangLuong_TyLeTangCa[Tỷ lệ],
(Table_BangLuong_TyLeTangCa[Ngày] = "Thường") *
(Table_BangLuong_TyLeTangCa[Giờ min]&lt;=$AA19) *
(Table_BangLuong_TyLeTangCa[Giờ max]&gt;$AA19)
))),
IF(
AND(
$AA19-$Z$4&gt;=MAX(AD$4,VLOOKUP(AD$6, Table_ChiPhiNV_Ca[], COUNTA(Table_ChiPhiNV_Ca[[#Headers],[Ca]:[Bắt đầu]]),0)),
$AA19&lt;MIN(AD$5,VLOOKUP(AD$6, Table_ChiPhiNV_Ca[], COUNTA(Table_ChiPhiNV_Ca[[#Headers],[Ca]:[Kết thúc]]),0))),
SUM(_xlfn._xlws.FILTER(Table_BangLuong_TyLeTangCa[Tỷ lệ],
(Table_BangLuong_TyLeTangCa[Ngày] = "Thường") *
(Table_BangLuong_TyLeTangCa[Giờ min]&lt;=$AA19) *
(Table_BangLuong_TyLeTangCa[Giờ max]&gt;$AA19)
)),0)
)),
IF(AD$4 &lt; AD$5,
IF($AA19-$Z$4&lt;AD$4,0,
IF($AA19&gt;AD$5,0,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AD$5,$AA19 &lt; AD$4),0,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E19" s="18" cm="1">
        <f t="array" ref="AE19" xml:space="preserve">
IFERROR(
IF(AE$1="",0,
IF(AND(
$AA19&gt;=VLOOKUP(AE$6, Table_ChiPhiNV_Ca[], COUNTA(Table_ChiPhiNV_Ca[[#Headers],[Ca]:[Bắt đầu nghỉ]]),0),
$AA19&lt;VLOOKUP(AE$6, Table_ChiPhiNV_Ca[], COUNTA(Table_ChiPhiNV_Ca[[#Headers],[Ca]:[Kết thúc nghỉ]]),0)
),0,
IF(NOT(ISBLANK(AE$3)),
IF(ISBLANK(AE$7),0,
IF(AE$4 &lt; AE$5,
IF($AA19-$Z$4&lt;AE$4,0,
IF($AA19&gt;AE$5,0,
SUM(_xlfn._xlws.FILTER(Table_BangLuong_TyLeTangCa[Tỷ lệ],
(Table_BangLuong_TyLeTangCa[Ngày] = AE$3) *
(Table_BangLuong_TyLeTangCa[Giờ min]&lt;=$AA19) *
(Table_BangLuong_TyLeTangCa[Giờ max]&gt;$AA19)
)))),
IF(AND($AA19-$Z$4 &gt;= AE$5,$AA19 &lt; AE$4),0,
SUM(_xlfn._xlws.FILTER(Table_BangLuong_TyLeTangCa[Tỷ lệ],
(Table_BangLuong_TyLeTangCa[Ngày] = AE$3) *
(Table_BangLuong_TyLeTangCa[Giờ min]&lt;=$AA19) *
(Table_BangLuong_TyLeTangCa[Giờ max]&gt;$AA19)
))))
),
IF(ISBLANK(AE$7),
IF(VLOOKUP(AE$6, Table_ChiPhiNV_Ca[], COUNTA(Table_ChiPhiNV_Ca[[#Headers],[Ca]:[Kết thúc]]),0)&gt; VLOOKUP(AE$6, Table_ChiPhiNV_Ca[], COUNTA(Table_ChiPhiNV_Ca[[#Headers],[Ca]:[Bắt đầu]]),0),
IF($AA19-$Z$4&lt;MAX(AE$4,VLOOKUP(AE$6, Table_ChiPhiNV_Ca[], COUNTA(Table_ChiPhiNV_Ca[[#Headers],[Ca]:[Bắt đầu]]),0)),0,
IF($AA19&gt;MIN(AE$5,VLOOKUP(AE$6, Table_ChiPhiNV_Ca[], COUNTA(Table_ChiPhiNV_Ca[[#Headers],[Ca]:[Kết thúc]]),0)),0,
SUM(_xlfn._xlws.FILTER(Table_BangLuong_TyLeTangCa[Tỷ lệ],
(Table_BangLuong_TyLeTangCa[Ngày] = "Thường") *
(Table_BangLuong_TyLeTangCa[Giờ min]&lt;=$AA19) *
(Table_BangLuong_TyLeTangCa[Giờ max]&gt;$AA19)
)))),
IF(AE$4 &gt; AE$5,
IF(
AND(
$AA19-$Z$4&lt;MAX(AE$4,VLOOKUP(AE$6, Table_ChiPhiNV_Ca[], COUNTA(Table_ChiPhiNV_Ca[[#Headers],[Ca]:[Bắt đầu]]),0)),
$AA19&gt;MIN(AE$5,VLOOKUP(AE$6, Table_ChiPhiNV_Ca[], COUNTA(Table_ChiPhiNV_Ca[[#Headers],[Ca]:[Kết thúc]]),0))),0,
SUM(_xlfn._xlws.FILTER(Table_BangLuong_TyLeTangCa[Tỷ lệ],
(Table_BangLuong_TyLeTangCa[Ngày] = "Thường") *
(Table_BangLuong_TyLeTangCa[Giờ min]&lt;=$AA19) *
(Table_BangLuong_TyLeTangCa[Giờ max]&gt;$AA19)
))),
IF(
AND(
$AA19-$Z$4&gt;=MAX(AE$4,VLOOKUP(AE$6, Table_ChiPhiNV_Ca[], COUNTA(Table_ChiPhiNV_Ca[[#Headers],[Ca]:[Bắt đầu]]),0)),
$AA19&lt;MIN(AE$5,VLOOKUP(AE$6, Table_ChiPhiNV_Ca[], COUNTA(Table_ChiPhiNV_Ca[[#Headers],[Ca]:[Kết thúc]]),0))),
SUM(_xlfn._xlws.FILTER(Table_BangLuong_TyLeTangCa[Tỷ lệ],
(Table_BangLuong_TyLeTangCa[Ngày] = "Thường") *
(Table_BangLuong_TyLeTangCa[Giờ min]&lt;=$AA19) *
(Table_BangLuong_TyLeTangCa[Giờ max]&gt;$AA19)
)),0)
)),
IF(AE$4 &lt; AE$5,
IF($AA19-$Z$4&lt;AE$4,0,
IF($AA19&gt;AE$5,0,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AE$5,$AA19 &lt; AE$4),0,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F19" s="18" cm="1">
        <f t="array" ref="AF19" xml:space="preserve">
IFERROR(
IF(AF$1="",0,
IF(AND(
$AA19&gt;=VLOOKUP(AF$6, Table_ChiPhiNV_Ca[], COUNTA(Table_ChiPhiNV_Ca[[#Headers],[Ca]:[Bắt đầu nghỉ]]),0),
$AA19&lt;VLOOKUP(AF$6, Table_ChiPhiNV_Ca[], COUNTA(Table_ChiPhiNV_Ca[[#Headers],[Ca]:[Kết thúc nghỉ]]),0)
),0,
IF(NOT(ISBLANK(AF$3)),
IF(ISBLANK(AF$7),0,
IF(AF$4 &lt; AF$5,
IF($AA19-$Z$4&lt;AF$4,0,
IF($AA19&gt;AF$5,0,
SUM(_xlfn._xlws.FILTER(Table_BangLuong_TyLeTangCa[Tỷ lệ],
(Table_BangLuong_TyLeTangCa[Ngày] = AF$3) *
(Table_BangLuong_TyLeTangCa[Giờ min]&lt;=$AA19) *
(Table_BangLuong_TyLeTangCa[Giờ max]&gt;$AA19)
)))),
IF(AND($AA19-$Z$4 &gt;= AF$5,$AA19 &lt; AF$4),0,
SUM(_xlfn._xlws.FILTER(Table_BangLuong_TyLeTangCa[Tỷ lệ],
(Table_BangLuong_TyLeTangCa[Ngày] = AF$3) *
(Table_BangLuong_TyLeTangCa[Giờ min]&lt;=$AA19) *
(Table_BangLuong_TyLeTangCa[Giờ max]&gt;$AA19)
))))
),
IF(ISBLANK(AF$7),
IF(VLOOKUP(AF$6, Table_ChiPhiNV_Ca[], COUNTA(Table_ChiPhiNV_Ca[[#Headers],[Ca]:[Kết thúc]]),0)&gt; VLOOKUP(AF$6, Table_ChiPhiNV_Ca[], COUNTA(Table_ChiPhiNV_Ca[[#Headers],[Ca]:[Bắt đầu]]),0),
IF($AA19-$Z$4&lt;MAX(AF$4,VLOOKUP(AF$6, Table_ChiPhiNV_Ca[], COUNTA(Table_ChiPhiNV_Ca[[#Headers],[Ca]:[Bắt đầu]]),0)),0,
IF($AA19&gt;MIN(AF$5,VLOOKUP(AF$6, Table_ChiPhiNV_Ca[], COUNTA(Table_ChiPhiNV_Ca[[#Headers],[Ca]:[Kết thúc]]),0)),0,
SUM(_xlfn._xlws.FILTER(Table_BangLuong_TyLeTangCa[Tỷ lệ],
(Table_BangLuong_TyLeTangCa[Ngày] = "Thường") *
(Table_BangLuong_TyLeTangCa[Giờ min]&lt;=$AA19) *
(Table_BangLuong_TyLeTangCa[Giờ max]&gt;$AA19)
)))),
IF(AF$4 &gt; AF$5,
IF(
AND(
$AA19-$Z$4&lt;MAX(AF$4,VLOOKUP(AF$6, Table_ChiPhiNV_Ca[], COUNTA(Table_ChiPhiNV_Ca[[#Headers],[Ca]:[Bắt đầu]]),0)),
$AA19&gt;MIN(AF$5,VLOOKUP(AF$6, Table_ChiPhiNV_Ca[], COUNTA(Table_ChiPhiNV_Ca[[#Headers],[Ca]:[Kết thúc]]),0))),0,
SUM(_xlfn._xlws.FILTER(Table_BangLuong_TyLeTangCa[Tỷ lệ],
(Table_BangLuong_TyLeTangCa[Ngày] = "Thường") *
(Table_BangLuong_TyLeTangCa[Giờ min]&lt;=$AA19) *
(Table_BangLuong_TyLeTangCa[Giờ max]&gt;$AA19)
))),
IF(
AND(
$AA19-$Z$4&gt;=MAX(AF$4,VLOOKUP(AF$6, Table_ChiPhiNV_Ca[], COUNTA(Table_ChiPhiNV_Ca[[#Headers],[Ca]:[Bắt đầu]]),0)),
$AA19&lt;MIN(AF$5,VLOOKUP(AF$6, Table_ChiPhiNV_Ca[], COUNTA(Table_ChiPhiNV_Ca[[#Headers],[Ca]:[Kết thúc]]),0))),
SUM(_xlfn._xlws.FILTER(Table_BangLuong_TyLeTangCa[Tỷ lệ],
(Table_BangLuong_TyLeTangCa[Ngày] = "Thường") *
(Table_BangLuong_TyLeTangCa[Giờ min]&lt;=$AA19) *
(Table_BangLuong_TyLeTangCa[Giờ max]&gt;$AA19)
)),0)
)),
IF(AF$4 &lt; AF$5,
IF($AA19-$Z$4&lt;AF$4,0,
IF($AA19&gt;AF$5,0,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AF$5,$AA19 &lt; AF$4),0,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G19" s="18" cm="1">
        <f t="array" ref="AG19" xml:space="preserve">
IFERROR(
IF(AG$1="",0,
IF(AND(
$AA19&gt;=VLOOKUP(AG$6, Table_ChiPhiNV_Ca[], COUNTA(Table_ChiPhiNV_Ca[[#Headers],[Ca]:[Bắt đầu nghỉ]]),0),
$AA19&lt;VLOOKUP(AG$6, Table_ChiPhiNV_Ca[], COUNTA(Table_ChiPhiNV_Ca[[#Headers],[Ca]:[Kết thúc nghỉ]]),0)
),0,
IF(NOT(ISBLANK(AG$3)),
IF(ISBLANK(AG$7),0,
IF(AG$4 &lt; AG$5,
IF($AA19-$Z$4&lt;AG$4,0,
IF($AA19&gt;AG$5,0,
SUM(_xlfn._xlws.FILTER(Table_BangLuong_TyLeTangCa[Tỷ lệ],
(Table_BangLuong_TyLeTangCa[Ngày] = AG$3) *
(Table_BangLuong_TyLeTangCa[Giờ min]&lt;=$AA19) *
(Table_BangLuong_TyLeTangCa[Giờ max]&gt;$AA19)
)))),
IF(AND($AA19-$Z$4 &gt;= AG$5,$AA19 &lt; AG$4),0,
SUM(_xlfn._xlws.FILTER(Table_BangLuong_TyLeTangCa[Tỷ lệ],
(Table_BangLuong_TyLeTangCa[Ngày] = AG$3) *
(Table_BangLuong_TyLeTangCa[Giờ min]&lt;=$AA19) *
(Table_BangLuong_TyLeTangCa[Giờ max]&gt;$AA19)
))))
),
IF(ISBLANK(AG$7),
IF(VLOOKUP(AG$6, Table_ChiPhiNV_Ca[], COUNTA(Table_ChiPhiNV_Ca[[#Headers],[Ca]:[Kết thúc]]),0)&gt; VLOOKUP(AG$6, Table_ChiPhiNV_Ca[], COUNTA(Table_ChiPhiNV_Ca[[#Headers],[Ca]:[Bắt đầu]]),0),
IF($AA19-$Z$4&lt;MAX(AG$4,VLOOKUP(AG$6, Table_ChiPhiNV_Ca[], COUNTA(Table_ChiPhiNV_Ca[[#Headers],[Ca]:[Bắt đầu]]),0)),0,
IF($AA19&gt;MIN(AG$5,VLOOKUP(AG$6, Table_ChiPhiNV_Ca[], COUNTA(Table_ChiPhiNV_Ca[[#Headers],[Ca]:[Kết thúc]]),0)),0,
SUM(_xlfn._xlws.FILTER(Table_BangLuong_TyLeTangCa[Tỷ lệ],
(Table_BangLuong_TyLeTangCa[Ngày] = "Thường") *
(Table_BangLuong_TyLeTangCa[Giờ min]&lt;=$AA19) *
(Table_BangLuong_TyLeTangCa[Giờ max]&gt;$AA19)
)))),
IF(AG$4 &gt; AG$5,
IF(
AND(
$AA19-$Z$4&lt;MAX(AG$4,VLOOKUP(AG$6, Table_ChiPhiNV_Ca[], COUNTA(Table_ChiPhiNV_Ca[[#Headers],[Ca]:[Bắt đầu]]),0)),
$AA19&gt;MIN(AG$5,VLOOKUP(AG$6, Table_ChiPhiNV_Ca[], COUNTA(Table_ChiPhiNV_Ca[[#Headers],[Ca]:[Kết thúc]]),0))),0,
SUM(_xlfn._xlws.FILTER(Table_BangLuong_TyLeTangCa[Tỷ lệ],
(Table_BangLuong_TyLeTangCa[Ngày] = "Thường") *
(Table_BangLuong_TyLeTangCa[Giờ min]&lt;=$AA19) *
(Table_BangLuong_TyLeTangCa[Giờ max]&gt;$AA19)
))),
IF(
AND(
$AA19-$Z$4&gt;=MAX(AG$4,VLOOKUP(AG$6, Table_ChiPhiNV_Ca[], COUNTA(Table_ChiPhiNV_Ca[[#Headers],[Ca]:[Bắt đầu]]),0)),
$AA19&lt;MIN(AG$5,VLOOKUP(AG$6, Table_ChiPhiNV_Ca[], COUNTA(Table_ChiPhiNV_Ca[[#Headers],[Ca]:[Kết thúc]]),0))),
SUM(_xlfn._xlws.FILTER(Table_BangLuong_TyLeTangCa[Tỷ lệ],
(Table_BangLuong_TyLeTangCa[Ngày] = "Thường") *
(Table_BangLuong_TyLeTangCa[Giờ min]&lt;=$AA19) *
(Table_BangLuong_TyLeTangCa[Giờ max]&gt;$AA19)
)),0)
)),
IF(AG$4 &lt; AG$5,
IF($AA19-$Z$4&lt;AG$4,0,
IF($AA19&gt;AG$5,0,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AG$5,$AA19 &lt; AG$4),0,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H19" s="18" cm="1">
        <f t="array" ref="AH19" xml:space="preserve">
IFERROR(
IF(AH$1="",0,
IF(AND(
$AA19&gt;=VLOOKUP(AH$6, Table_ChiPhiNV_Ca[], COUNTA(Table_ChiPhiNV_Ca[[#Headers],[Ca]:[Bắt đầu nghỉ]]),0),
$AA19&lt;VLOOKUP(AH$6, Table_ChiPhiNV_Ca[], COUNTA(Table_ChiPhiNV_Ca[[#Headers],[Ca]:[Kết thúc nghỉ]]),0)
),0,
IF(NOT(ISBLANK(AH$3)),
IF(ISBLANK(AH$7),0,
IF(AH$4 &lt; AH$5,
IF($AA19-$Z$4&lt;AH$4,0,
IF($AA19&gt;AH$5,0,
SUM(_xlfn._xlws.FILTER(Table_BangLuong_TyLeTangCa[Tỷ lệ],
(Table_BangLuong_TyLeTangCa[Ngày] = AH$3) *
(Table_BangLuong_TyLeTangCa[Giờ min]&lt;=$AA19) *
(Table_BangLuong_TyLeTangCa[Giờ max]&gt;$AA19)
)))),
IF(AND($AA19-$Z$4 &gt;= AH$5,$AA19 &lt; AH$4),0,
SUM(_xlfn._xlws.FILTER(Table_BangLuong_TyLeTangCa[Tỷ lệ],
(Table_BangLuong_TyLeTangCa[Ngày] = AH$3) *
(Table_BangLuong_TyLeTangCa[Giờ min]&lt;=$AA19) *
(Table_BangLuong_TyLeTangCa[Giờ max]&gt;$AA19)
))))
),
IF(ISBLANK(AH$7),
IF(VLOOKUP(AH$6, Table_ChiPhiNV_Ca[], COUNTA(Table_ChiPhiNV_Ca[[#Headers],[Ca]:[Kết thúc]]),0)&gt; VLOOKUP(AH$6, Table_ChiPhiNV_Ca[], COUNTA(Table_ChiPhiNV_Ca[[#Headers],[Ca]:[Bắt đầu]]),0),
IF($AA19-$Z$4&lt;MAX(AH$4,VLOOKUP(AH$6, Table_ChiPhiNV_Ca[], COUNTA(Table_ChiPhiNV_Ca[[#Headers],[Ca]:[Bắt đầu]]),0)),0,
IF($AA19&gt;MIN(AH$5,VLOOKUP(AH$6, Table_ChiPhiNV_Ca[], COUNTA(Table_ChiPhiNV_Ca[[#Headers],[Ca]:[Kết thúc]]),0)),0,
SUM(_xlfn._xlws.FILTER(Table_BangLuong_TyLeTangCa[Tỷ lệ],
(Table_BangLuong_TyLeTangCa[Ngày] = "Thường") *
(Table_BangLuong_TyLeTangCa[Giờ min]&lt;=$AA19) *
(Table_BangLuong_TyLeTangCa[Giờ max]&gt;$AA19)
)))),
IF(AH$4 &gt; AH$5,
IF(
AND(
$AA19-$Z$4&lt;MAX(AH$4,VLOOKUP(AH$6, Table_ChiPhiNV_Ca[], COUNTA(Table_ChiPhiNV_Ca[[#Headers],[Ca]:[Bắt đầu]]),0)),
$AA19&gt;MIN(AH$5,VLOOKUP(AH$6, Table_ChiPhiNV_Ca[], COUNTA(Table_ChiPhiNV_Ca[[#Headers],[Ca]:[Kết thúc]]),0))),0,
SUM(_xlfn._xlws.FILTER(Table_BangLuong_TyLeTangCa[Tỷ lệ],
(Table_BangLuong_TyLeTangCa[Ngày] = "Thường") *
(Table_BangLuong_TyLeTangCa[Giờ min]&lt;=$AA19) *
(Table_BangLuong_TyLeTangCa[Giờ max]&gt;$AA19)
))),
IF(
AND(
$AA19-$Z$4&gt;=MAX(AH$4,VLOOKUP(AH$6, Table_ChiPhiNV_Ca[], COUNTA(Table_ChiPhiNV_Ca[[#Headers],[Ca]:[Bắt đầu]]),0)),
$AA19&lt;MIN(AH$5,VLOOKUP(AH$6, Table_ChiPhiNV_Ca[], COUNTA(Table_ChiPhiNV_Ca[[#Headers],[Ca]:[Kết thúc]]),0))),
SUM(_xlfn._xlws.FILTER(Table_BangLuong_TyLeTangCa[Tỷ lệ],
(Table_BangLuong_TyLeTangCa[Ngày] = "Thường") *
(Table_BangLuong_TyLeTangCa[Giờ min]&lt;=$AA19) *
(Table_BangLuong_TyLeTangCa[Giờ max]&gt;$AA19)
)),0)
)),
IF(AH$4 &lt; AH$5,
IF($AA19-$Z$4&lt;AH$4,0,
IF($AA19&gt;AH$5,0,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AH$5,$AA19 &lt; AH$4),0,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I19" s="18" cm="1">
        <f t="array" ref="AI19" xml:space="preserve">
IFERROR(
IF(AI$1="",0,
IF(AND(
$AA19&gt;=VLOOKUP(AI$6, Table_ChiPhiNV_Ca[], COUNTA(Table_ChiPhiNV_Ca[[#Headers],[Ca]:[Bắt đầu nghỉ]]),0),
$AA19&lt;VLOOKUP(AI$6, Table_ChiPhiNV_Ca[], COUNTA(Table_ChiPhiNV_Ca[[#Headers],[Ca]:[Kết thúc nghỉ]]),0)
),0,
IF(NOT(ISBLANK(AI$3)),
IF(ISBLANK(AI$7),0,
IF(AI$4 &lt; AI$5,
IF($AA19-$Z$4&lt;AI$4,0,
IF($AA19&gt;AI$5,0,
SUM(_xlfn._xlws.FILTER(Table_BangLuong_TyLeTangCa[Tỷ lệ],
(Table_BangLuong_TyLeTangCa[Ngày] = AI$3) *
(Table_BangLuong_TyLeTangCa[Giờ min]&lt;=$AA19) *
(Table_BangLuong_TyLeTangCa[Giờ max]&gt;$AA19)
)))),
IF(AND($AA19-$Z$4 &gt;= AI$5,$AA19 &lt; AI$4),0,
SUM(_xlfn._xlws.FILTER(Table_BangLuong_TyLeTangCa[Tỷ lệ],
(Table_BangLuong_TyLeTangCa[Ngày] = AI$3) *
(Table_BangLuong_TyLeTangCa[Giờ min]&lt;=$AA19) *
(Table_BangLuong_TyLeTangCa[Giờ max]&gt;$AA19)
))))
),
IF(ISBLANK(AI$7),
IF(VLOOKUP(AI$6, Table_ChiPhiNV_Ca[], COUNTA(Table_ChiPhiNV_Ca[[#Headers],[Ca]:[Kết thúc]]),0)&gt; VLOOKUP(AI$6, Table_ChiPhiNV_Ca[], COUNTA(Table_ChiPhiNV_Ca[[#Headers],[Ca]:[Bắt đầu]]),0),
IF($AA19-$Z$4&lt;MAX(AI$4,VLOOKUP(AI$6, Table_ChiPhiNV_Ca[], COUNTA(Table_ChiPhiNV_Ca[[#Headers],[Ca]:[Bắt đầu]]),0)),0,
IF($AA19&gt;MIN(AI$5,VLOOKUP(AI$6, Table_ChiPhiNV_Ca[], COUNTA(Table_ChiPhiNV_Ca[[#Headers],[Ca]:[Kết thúc]]),0)),0,
SUM(_xlfn._xlws.FILTER(Table_BangLuong_TyLeTangCa[Tỷ lệ],
(Table_BangLuong_TyLeTangCa[Ngày] = "Thường") *
(Table_BangLuong_TyLeTangCa[Giờ min]&lt;=$AA19) *
(Table_BangLuong_TyLeTangCa[Giờ max]&gt;$AA19)
)))),
IF(AI$4 &gt; AI$5,
IF(
AND(
$AA19-$Z$4&lt;MAX(AI$4,VLOOKUP(AI$6, Table_ChiPhiNV_Ca[], COUNTA(Table_ChiPhiNV_Ca[[#Headers],[Ca]:[Bắt đầu]]),0)),
$AA19&gt;MIN(AI$5,VLOOKUP(AI$6, Table_ChiPhiNV_Ca[], COUNTA(Table_ChiPhiNV_Ca[[#Headers],[Ca]:[Kết thúc]]),0))),0,
SUM(_xlfn._xlws.FILTER(Table_BangLuong_TyLeTangCa[Tỷ lệ],
(Table_BangLuong_TyLeTangCa[Ngày] = "Thường") *
(Table_BangLuong_TyLeTangCa[Giờ min]&lt;=$AA19) *
(Table_BangLuong_TyLeTangCa[Giờ max]&gt;$AA19)
))),
IF(
AND(
$AA19-$Z$4&gt;=MAX(AI$4,VLOOKUP(AI$6, Table_ChiPhiNV_Ca[], COUNTA(Table_ChiPhiNV_Ca[[#Headers],[Ca]:[Bắt đầu]]),0)),
$AA19&lt;MIN(AI$5,VLOOKUP(AI$6, Table_ChiPhiNV_Ca[], COUNTA(Table_ChiPhiNV_Ca[[#Headers],[Ca]:[Kết thúc]]),0))),
SUM(_xlfn._xlws.FILTER(Table_BangLuong_TyLeTangCa[Tỷ lệ],
(Table_BangLuong_TyLeTangCa[Ngày] = "Thường") *
(Table_BangLuong_TyLeTangCa[Giờ min]&lt;=$AA19) *
(Table_BangLuong_TyLeTangCa[Giờ max]&gt;$AA19)
)),0)
)),
IF(AI$4 &lt; AI$5,
IF($AA19-$Z$4&lt;AI$4,0,
IF($AA19&gt;AI$5,0,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AI$5,$AA19 &lt; AI$4),0,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J19" s="18" cm="1">
        <f t="array" ref="AJ19" xml:space="preserve">
IFERROR(
IF(AJ$1="",0,
IF(AND(
$AA19&gt;=VLOOKUP(AJ$6, Table_ChiPhiNV_Ca[], COUNTA(Table_ChiPhiNV_Ca[[#Headers],[Ca]:[Bắt đầu nghỉ]]),0),
$AA19&lt;VLOOKUP(AJ$6, Table_ChiPhiNV_Ca[], COUNTA(Table_ChiPhiNV_Ca[[#Headers],[Ca]:[Kết thúc nghỉ]]),0)
),0,
IF(NOT(ISBLANK(AJ$3)),
IF(ISBLANK(AJ$7),0,
IF(AJ$4 &lt; AJ$5,
IF($AA19-$Z$4&lt;AJ$4,0,
IF($AA19&gt;AJ$5,0,
SUM(_xlfn._xlws.FILTER(Table_BangLuong_TyLeTangCa[Tỷ lệ],
(Table_BangLuong_TyLeTangCa[Ngày] = AJ$3) *
(Table_BangLuong_TyLeTangCa[Giờ min]&lt;=$AA19) *
(Table_BangLuong_TyLeTangCa[Giờ max]&gt;$AA19)
)))),
IF(AND($AA19-$Z$4 &gt;= AJ$5,$AA19 &lt; AJ$4),0,
SUM(_xlfn._xlws.FILTER(Table_BangLuong_TyLeTangCa[Tỷ lệ],
(Table_BangLuong_TyLeTangCa[Ngày] = AJ$3) *
(Table_BangLuong_TyLeTangCa[Giờ min]&lt;=$AA19) *
(Table_BangLuong_TyLeTangCa[Giờ max]&gt;$AA19)
))))
),
IF(ISBLANK(AJ$7),
IF(VLOOKUP(AJ$6, Table_ChiPhiNV_Ca[], COUNTA(Table_ChiPhiNV_Ca[[#Headers],[Ca]:[Kết thúc]]),0)&gt; VLOOKUP(AJ$6, Table_ChiPhiNV_Ca[], COUNTA(Table_ChiPhiNV_Ca[[#Headers],[Ca]:[Bắt đầu]]),0),
IF($AA19-$Z$4&lt;MAX(AJ$4,VLOOKUP(AJ$6, Table_ChiPhiNV_Ca[], COUNTA(Table_ChiPhiNV_Ca[[#Headers],[Ca]:[Bắt đầu]]),0)),0,
IF($AA19&gt;MIN(AJ$5,VLOOKUP(AJ$6, Table_ChiPhiNV_Ca[], COUNTA(Table_ChiPhiNV_Ca[[#Headers],[Ca]:[Kết thúc]]),0)),0,
SUM(_xlfn._xlws.FILTER(Table_BangLuong_TyLeTangCa[Tỷ lệ],
(Table_BangLuong_TyLeTangCa[Ngày] = "Thường") *
(Table_BangLuong_TyLeTangCa[Giờ min]&lt;=$AA19) *
(Table_BangLuong_TyLeTangCa[Giờ max]&gt;$AA19)
)))),
IF(AJ$4 &gt; AJ$5,
IF(
AND(
$AA19-$Z$4&lt;MAX(AJ$4,VLOOKUP(AJ$6, Table_ChiPhiNV_Ca[], COUNTA(Table_ChiPhiNV_Ca[[#Headers],[Ca]:[Bắt đầu]]),0)),
$AA19&gt;MIN(AJ$5,VLOOKUP(AJ$6, Table_ChiPhiNV_Ca[], COUNTA(Table_ChiPhiNV_Ca[[#Headers],[Ca]:[Kết thúc]]),0))),0,
SUM(_xlfn._xlws.FILTER(Table_BangLuong_TyLeTangCa[Tỷ lệ],
(Table_BangLuong_TyLeTangCa[Ngày] = "Thường") *
(Table_BangLuong_TyLeTangCa[Giờ min]&lt;=$AA19) *
(Table_BangLuong_TyLeTangCa[Giờ max]&gt;$AA19)
))),
IF(
AND(
$AA19-$Z$4&gt;=MAX(AJ$4,VLOOKUP(AJ$6, Table_ChiPhiNV_Ca[], COUNTA(Table_ChiPhiNV_Ca[[#Headers],[Ca]:[Bắt đầu]]),0)),
$AA19&lt;MIN(AJ$5,VLOOKUP(AJ$6, Table_ChiPhiNV_Ca[], COUNTA(Table_ChiPhiNV_Ca[[#Headers],[Ca]:[Kết thúc]]),0))),
SUM(_xlfn._xlws.FILTER(Table_BangLuong_TyLeTangCa[Tỷ lệ],
(Table_BangLuong_TyLeTangCa[Ngày] = "Thường") *
(Table_BangLuong_TyLeTangCa[Giờ min]&lt;=$AA19) *
(Table_BangLuong_TyLeTangCa[Giờ max]&gt;$AA19)
)),0)
)),
IF(AJ$4 &lt; AJ$5,
IF($AA19-$Z$4&lt;AJ$4,0,
IF($AA19&gt;AJ$5,0,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AJ$5,$AA19 &lt; AJ$4),0,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K19" s="18" cm="1">
        <f t="array" ref="AK19" xml:space="preserve">
IFERROR(
IF(AK$1="",0,
IF(AND(
$AA19&gt;=VLOOKUP(AK$6, Table_ChiPhiNV_Ca[], COUNTA(Table_ChiPhiNV_Ca[[#Headers],[Ca]:[Bắt đầu nghỉ]]),0),
$AA19&lt;VLOOKUP(AK$6, Table_ChiPhiNV_Ca[], COUNTA(Table_ChiPhiNV_Ca[[#Headers],[Ca]:[Kết thúc nghỉ]]),0)
),0,
IF(NOT(ISBLANK(AK$3)),
IF(ISBLANK(AK$7),0,
IF(AK$4 &lt; AK$5,
IF($AA19-$Z$4&lt;AK$4,0,
IF($AA19&gt;AK$5,0,
SUM(_xlfn._xlws.FILTER(Table_BangLuong_TyLeTangCa[Tỷ lệ],
(Table_BangLuong_TyLeTangCa[Ngày] = AK$3) *
(Table_BangLuong_TyLeTangCa[Giờ min]&lt;=$AA19) *
(Table_BangLuong_TyLeTangCa[Giờ max]&gt;$AA19)
)))),
IF(AND($AA19-$Z$4 &gt;= AK$5,$AA19 &lt; AK$4),0,
SUM(_xlfn._xlws.FILTER(Table_BangLuong_TyLeTangCa[Tỷ lệ],
(Table_BangLuong_TyLeTangCa[Ngày] = AK$3) *
(Table_BangLuong_TyLeTangCa[Giờ min]&lt;=$AA19) *
(Table_BangLuong_TyLeTangCa[Giờ max]&gt;$AA19)
))))
),
IF(ISBLANK(AK$7),
IF(VLOOKUP(AK$6, Table_ChiPhiNV_Ca[], COUNTA(Table_ChiPhiNV_Ca[[#Headers],[Ca]:[Kết thúc]]),0)&gt; VLOOKUP(AK$6, Table_ChiPhiNV_Ca[], COUNTA(Table_ChiPhiNV_Ca[[#Headers],[Ca]:[Bắt đầu]]),0),
IF($AA19-$Z$4&lt;MAX(AK$4,VLOOKUP(AK$6, Table_ChiPhiNV_Ca[], COUNTA(Table_ChiPhiNV_Ca[[#Headers],[Ca]:[Bắt đầu]]),0)),0,
IF($AA19&gt;MIN(AK$5,VLOOKUP(AK$6, Table_ChiPhiNV_Ca[], COUNTA(Table_ChiPhiNV_Ca[[#Headers],[Ca]:[Kết thúc]]),0)),0,
SUM(_xlfn._xlws.FILTER(Table_BangLuong_TyLeTangCa[Tỷ lệ],
(Table_BangLuong_TyLeTangCa[Ngày] = "Thường") *
(Table_BangLuong_TyLeTangCa[Giờ min]&lt;=$AA19) *
(Table_BangLuong_TyLeTangCa[Giờ max]&gt;$AA19)
)))),
IF(AK$4 &gt; AK$5,
IF(
AND(
$AA19-$Z$4&lt;MAX(AK$4,VLOOKUP(AK$6, Table_ChiPhiNV_Ca[], COUNTA(Table_ChiPhiNV_Ca[[#Headers],[Ca]:[Bắt đầu]]),0)),
$AA19&gt;MIN(AK$5,VLOOKUP(AK$6, Table_ChiPhiNV_Ca[], COUNTA(Table_ChiPhiNV_Ca[[#Headers],[Ca]:[Kết thúc]]),0))),0,
SUM(_xlfn._xlws.FILTER(Table_BangLuong_TyLeTangCa[Tỷ lệ],
(Table_BangLuong_TyLeTangCa[Ngày] = "Thường") *
(Table_BangLuong_TyLeTangCa[Giờ min]&lt;=$AA19) *
(Table_BangLuong_TyLeTangCa[Giờ max]&gt;$AA19)
))),
IF(
AND(
$AA19-$Z$4&gt;=MAX(AK$4,VLOOKUP(AK$6, Table_ChiPhiNV_Ca[], COUNTA(Table_ChiPhiNV_Ca[[#Headers],[Ca]:[Bắt đầu]]),0)),
$AA19&lt;MIN(AK$5,VLOOKUP(AK$6, Table_ChiPhiNV_Ca[], COUNTA(Table_ChiPhiNV_Ca[[#Headers],[Ca]:[Kết thúc]]),0))),
SUM(_xlfn._xlws.FILTER(Table_BangLuong_TyLeTangCa[Tỷ lệ],
(Table_BangLuong_TyLeTangCa[Ngày] = "Thường") *
(Table_BangLuong_TyLeTangCa[Giờ min]&lt;=$AA19) *
(Table_BangLuong_TyLeTangCa[Giờ max]&gt;$AA19)
)),0)
)),
IF(AK$4 &lt; AK$5,
IF($AA19-$Z$4&lt;AK$4,0,
IF($AA19&gt;AK$5,0,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AK$5,$AA19 &lt; AK$4),0,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L19" s="18" cm="1">
        <f t="array" ref="AL19" xml:space="preserve">
IFERROR(
IF(AL$1="",0,
IF(AND(
$AA19&gt;=VLOOKUP(AL$6, Table_ChiPhiNV_Ca[], COUNTA(Table_ChiPhiNV_Ca[[#Headers],[Ca]:[Bắt đầu nghỉ]]),0),
$AA19&lt;VLOOKUP(AL$6, Table_ChiPhiNV_Ca[], COUNTA(Table_ChiPhiNV_Ca[[#Headers],[Ca]:[Kết thúc nghỉ]]),0)
),0,
IF(NOT(ISBLANK(AL$3)),
IF(ISBLANK(AL$7),0,
IF(AL$4 &lt; AL$5,
IF($AA19-$Z$4&lt;AL$4,0,
IF($AA19&gt;AL$5,0,
SUM(_xlfn._xlws.FILTER(Table_BangLuong_TyLeTangCa[Tỷ lệ],
(Table_BangLuong_TyLeTangCa[Ngày] = AL$3) *
(Table_BangLuong_TyLeTangCa[Giờ min]&lt;=$AA19) *
(Table_BangLuong_TyLeTangCa[Giờ max]&gt;$AA19)
)))),
IF(AND($AA19-$Z$4 &gt;= AL$5,$AA19 &lt; AL$4),0,
SUM(_xlfn._xlws.FILTER(Table_BangLuong_TyLeTangCa[Tỷ lệ],
(Table_BangLuong_TyLeTangCa[Ngày] = AL$3) *
(Table_BangLuong_TyLeTangCa[Giờ min]&lt;=$AA19) *
(Table_BangLuong_TyLeTangCa[Giờ max]&gt;$AA19)
))))
),
IF(ISBLANK(AL$7),
IF(VLOOKUP(AL$6, Table_ChiPhiNV_Ca[], COUNTA(Table_ChiPhiNV_Ca[[#Headers],[Ca]:[Kết thúc]]),0)&gt; VLOOKUP(AL$6, Table_ChiPhiNV_Ca[], COUNTA(Table_ChiPhiNV_Ca[[#Headers],[Ca]:[Bắt đầu]]),0),
IF($AA19-$Z$4&lt;MAX(AL$4,VLOOKUP(AL$6, Table_ChiPhiNV_Ca[], COUNTA(Table_ChiPhiNV_Ca[[#Headers],[Ca]:[Bắt đầu]]),0)),0,
IF($AA19&gt;MIN(AL$5,VLOOKUP(AL$6, Table_ChiPhiNV_Ca[], COUNTA(Table_ChiPhiNV_Ca[[#Headers],[Ca]:[Kết thúc]]),0)),0,
SUM(_xlfn._xlws.FILTER(Table_BangLuong_TyLeTangCa[Tỷ lệ],
(Table_BangLuong_TyLeTangCa[Ngày] = "Thường") *
(Table_BangLuong_TyLeTangCa[Giờ min]&lt;=$AA19) *
(Table_BangLuong_TyLeTangCa[Giờ max]&gt;$AA19)
)))),
IF(AL$4 &gt; AL$5,
IF(
AND(
$AA19-$Z$4&lt;MAX(AL$4,VLOOKUP(AL$6, Table_ChiPhiNV_Ca[], COUNTA(Table_ChiPhiNV_Ca[[#Headers],[Ca]:[Bắt đầu]]),0)),
$AA19&gt;MIN(AL$5,VLOOKUP(AL$6, Table_ChiPhiNV_Ca[], COUNTA(Table_ChiPhiNV_Ca[[#Headers],[Ca]:[Kết thúc]]),0))),0,
SUM(_xlfn._xlws.FILTER(Table_BangLuong_TyLeTangCa[Tỷ lệ],
(Table_BangLuong_TyLeTangCa[Ngày] = "Thường") *
(Table_BangLuong_TyLeTangCa[Giờ min]&lt;=$AA19) *
(Table_BangLuong_TyLeTangCa[Giờ max]&gt;$AA19)
))),
IF(
AND(
$AA19-$Z$4&gt;=MAX(AL$4,VLOOKUP(AL$6, Table_ChiPhiNV_Ca[], COUNTA(Table_ChiPhiNV_Ca[[#Headers],[Ca]:[Bắt đầu]]),0)),
$AA19&lt;MIN(AL$5,VLOOKUP(AL$6, Table_ChiPhiNV_Ca[], COUNTA(Table_ChiPhiNV_Ca[[#Headers],[Ca]:[Kết thúc]]),0))),
SUM(_xlfn._xlws.FILTER(Table_BangLuong_TyLeTangCa[Tỷ lệ],
(Table_BangLuong_TyLeTangCa[Ngày] = "Thường") *
(Table_BangLuong_TyLeTangCa[Giờ min]&lt;=$AA19) *
(Table_BangLuong_TyLeTangCa[Giờ max]&gt;$AA19)
)),0)
)),
IF(AL$4 &lt; AL$5,
IF($AA19-$Z$4&lt;AL$4,0,
IF($AA19&gt;AL$5,0,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AL$5,$AA19 &lt; AL$4),0,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M19" s="18" cm="1">
        <f t="array" ref="AM19" xml:space="preserve">
IFERROR(
IF(AM$1="",0,
IF(AND(
$AA19&gt;=VLOOKUP(AM$6, Table_ChiPhiNV_Ca[], COUNTA(Table_ChiPhiNV_Ca[[#Headers],[Ca]:[Bắt đầu nghỉ]]),0),
$AA19&lt;VLOOKUP(AM$6, Table_ChiPhiNV_Ca[], COUNTA(Table_ChiPhiNV_Ca[[#Headers],[Ca]:[Kết thúc nghỉ]]),0)
),0,
IF(NOT(ISBLANK(AM$3)),
IF(ISBLANK(AM$7),0,
IF(AM$4 &lt; AM$5,
IF($AA19-$Z$4&lt;AM$4,0,
IF($AA19&gt;AM$5,0,
SUM(_xlfn._xlws.FILTER(Table_BangLuong_TyLeTangCa[Tỷ lệ],
(Table_BangLuong_TyLeTangCa[Ngày] = AM$3) *
(Table_BangLuong_TyLeTangCa[Giờ min]&lt;=$AA19) *
(Table_BangLuong_TyLeTangCa[Giờ max]&gt;$AA19)
)))),
IF(AND($AA19-$Z$4 &gt;= AM$5,$AA19 &lt; AM$4),0,
SUM(_xlfn._xlws.FILTER(Table_BangLuong_TyLeTangCa[Tỷ lệ],
(Table_BangLuong_TyLeTangCa[Ngày] = AM$3) *
(Table_BangLuong_TyLeTangCa[Giờ min]&lt;=$AA19) *
(Table_BangLuong_TyLeTangCa[Giờ max]&gt;$AA19)
))))
),
IF(ISBLANK(AM$7),
IF(VLOOKUP(AM$6, Table_ChiPhiNV_Ca[], COUNTA(Table_ChiPhiNV_Ca[[#Headers],[Ca]:[Kết thúc]]),0)&gt; VLOOKUP(AM$6, Table_ChiPhiNV_Ca[], COUNTA(Table_ChiPhiNV_Ca[[#Headers],[Ca]:[Bắt đầu]]),0),
IF($AA19-$Z$4&lt;MAX(AM$4,VLOOKUP(AM$6, Table_ChiPhiNV_Ca[], COUNTA(Table_ChiPhiNV_Ca[[#Headers],[Ca]:[Bắt đầu]]),0)),0,
IF($AA19&gt;MIN(AM$5,VLOOKUP(AM$6, Table_ChiPhiNV_Ca[], COUNTA(Table_ChiPhiNV_Ca[[#Headers],[Ca]:[Kết thúc]]),0)),0,
SUM(_xlfn._xlws.FILTER(Table_BangLuong_TyLeTangCa[Tỷ lệ],
(Table_BangLuong_TyLeTangCa[Ngày] = "Thường") *
(Table_BangLuong_TyLeTangCa[Giờ min]&lt;=$AA19) *
(Table_BangLuong_TyLeTangCa[Giờ max]&gt;$AA19)
)))),
IF(AM$4 &gt; AM$5,
IF(
AND(
$AA19-$Z$4&lt;MAX(AM$4,VLOOKUP(AM$6, Table_ChiPhiNV_Ca[], COUNTA(Table_ChiPhiNV_Ca[[#Headers],[Ca]:[Bắt đầu]]),0)),
$AA19&gt;MIN(AM$5,VLOOKUP(AM$6, Table_ChiPhiNV_Ca[], COUNTA(Table_ChiPhiNV_Ca[[#Headers],[Ca]:[Kết thúc]]),0))),0,
SUM(_xlfn._xlws.FILTER(Table_BangLuong_TyLeTangCa[Tỷ lệ],
(Table_BangLuong_TyLeTangCa[Ngày] = "Thường") *
(Table_BangLuong_TyLeTangCa[Giờ min]&lt;=$AA19) *
(Table_BangLuong_TyLeTangCa[Giờ max]&gt;$AA19)
))),
IF(
AND(
$AA19-$Z$4&gt;=MAX(AM$4,VLOOKUP(AM$6, Table_ChiPhiNV_Ca[], COUNTA(Table_ChiPhiNV_Ca[[#Headers],[Ca]:[Bắt đầu]]),0)),
$AA19&lt;MIN(AM$5,VLOOKUP(AM$6, Table_ChiPhiNV_Ca[], COUNTA(Table_ChiPhiNV_Ca[[#Headers],[Ca]:[Kết thúc]]),0))),
SUM(_xlfn._xlws.FILTER(Table_BangLuong_TyLeTangCa[Tỷ lệ],
(Table_BangLuong_TyLeTangCa[Ngày] = "Thường") *
(Table_BangLuong_TyLeTangCa[Giờ min]&lt;=$AA19) *
(Table_BangLuong_TyLeTangCa[Giờ max]&gt;$AA19)
)),0)
)),
IF(AM$4 &lt; AM$5,
IF($AA19-$Z$4&lt;AM$4,0,
IF($AA19&gt;AM$5,0,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AM$5,$AA19 &lt; AM$4),0,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N19" s="18" cm="1">
        <f t="array" ref="AN19" xml:space="preserve">
IFERROR(
IF(AN$1="",0,
IF(AND(
$AA19&gt;=VLOOKUP(AN$6, Table_ChiPhiNV_Ca[], COUNTA(Table_ChiPhiNV_Ca[[#Headers],[Ca]:[Bắt đầu nghỉ]]),0),
$AA19&lt;VLOOKUP(AN$6, Table_ChiPhiNV_Ca[], COUNTA(Table_ChiPhiNV_Ca[[#Headers],[Ca]:[Kết thúc nghỉ]]),0)
),0,
IF(NOT(ISBLANK(AN$3)),
IF(ISBLANK(AN$7),0,
IF(AN$4 &lt; AN$5,
IF($AA19-$Z$4&lt;AN$4,0,
IF($AA19&gt;AN$5,0,
SUM(_xlfn._xlws.FILTER(Table_BangLuong_TyLeTangCa[Tỷ lệ],
(Table_BangLuong_TyLeTangCa[Ngày] = AN$3) *
(Table_BangLuong_TyLeTangCa[Giờ min]&lt;=$AA19) *
(Table_BangLuong_TyLeTangCa[Giờ max]&gt;$AA19)
)))),
IF(AND($AA19-$Z$4 &gt;= AN$5,$AA19 &lt; AN$4),0,
SUM(_xlfn._xlws.FILTER(Table_BangLuong_TyLeTangCa[Tỷ lệ],
(Table_BangLuong_TyLeTangCa[Ngày] = AN$3) *
(Table_BangLuong_TyLeTangCa[Giờ min]&lt;=$AA19) *
(Table_BangLuong_TyLeTangCa[Giờ max]&gt;$AA19)
))))
),
IF(ISBLANK(AN$7),
IF(VLOOKUP(AN$6, Table_ChiPhiNV_Ca[], COUNTA(Table_ChiPhiNV_Ca[[#Headers],[Ca]:[Kết thúc]]),0)&gt; VLOOKUP(AN$6, Table_ChiPhiNV_Ca[], COUNTA(Table_ChiPhiNV_Ca[[#Headers],[Ca]:[Bắt đầu]]),0),
IF($AA19-$Z$4&lt;MAX(AN$4,VLOOKUP(AN$6, Table_ChiPhiNV_Ca[], COUNTA(Table_ChiPhiNV_Ca[[#Headers],[Ca]:[Bắt đầu]]),0)),0,
IF($AA19&gt;MIN(AN$5,VLOOKUP(AN$6, Table_ChiPhiNV_Ca[], COUNTA(Table_ChiPhiNV_Ca[[#Headers],[Ca]:[Kết thúc]]),0)),0,
SUM(_xlfn._xlws.FILTER(Table_BangLuong_TyLeTangCa[Tỷ lệ],
(Table_BangLuong_TyLeTangCa[Ngày] = "Thường") *
(Table_BangLuong_TyLeTangCa[Giờ min]&lt;=$AA19) *
(Table_BangLuong_TyLeTangCa[Giờ max]&gt;$AA19)
)))),
IF(AN$4 &gt; AN$5,
IF(
AND(
$AA19-$Z$4&lt;MAX(AN$4,VLOOKUP(AN$6, Table_ChiPhiNV_Ca[], COUNTA(Table_ChiPhiNV_Ca[[#Headers],[Ca]:[Bắt đầu]]),0)),
$AA19&gt;MIN(AN$5,VLOOKUP(AN$6, Table_ChiPhiNV_Ca[], COUNTA(Table_ChiPhiNV_Ca[[#Headers],[Ca]:[Kết thúc]]),0))),0,
SUM(_xlfn._xlws.FILTER(Table_BangLuong_TyLeTangCa[Tỷ lệ],
(Table_BangLuong_TyLeTangCa[Ngày] = "Thường") *
(Table_BangLuong_TyLeTangCa[Giờ min]&lt;=$AA19) *
(Table_BangLuong_TyLeTangCa[Giờ max]&gt;$AA19)
))),
IF(
AND(
$AA19-$Z$4&gt;=MAX(AN$4,VLOOKUP(AN$6, Table_ChiPhiNV_Ca[], COUNTA(Table_ChiPhiNV_Ca[[#Headers],[Ca]:[Bắt đầu]]),0)),
$AA19&lt;MIN(AN$5,VLOOKUP(AN$6, Table_ChiPhiNV_Ca[], COUNTA(Table_ChiPhiNV_Ca[[#Headers],[Ca]:[Kết thúc]]),0))),
SUM(_xlfn._xlws.FILTER(Table_BangLuong_TyLeTangCa[Tỷ lệ],
(Table_BangLuong_TyLeTangCa[Ngày] = "Thường") *
(Table_BangLuong_TyLeTangCa[Giờ min]&lt;=$AA19) *
(Table_BangLuong_TyLeTangCa[Giờ max]&gt;$AA19)
)),0)
)),
IF(AN$4 &lt; AN$5,
IF($AA19-$Z$4&lt;AN$4,0,
IF($AA19&gt;AN$5,0,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AN$5,$AA19 &lt; AN$4),0,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O19" s="18" cm="1">
        <f t="array" ref="AO19" xml:space="preserve">
IFERROR(
IF(AO$1="",0,
IF(AND(
$AA19&gt;=VLOOKUP(AO$6, Table_ChiPhiNV_Ca[], COUNTA(Table_ChiPhiNV_Ca[[#Headers],[Ca]:[Bắt đầu nghỉ]]),0),
$AA19&lt;VLOOKUP(AO$6, Table_ChiPhiNV_Ca[], COUNTA(Table_ChiPhiNV_Ca[[#Headers],[Ca]:[Kết thúc nghỉ]]),0)
),0,
IF(NOT(ISBLANK(AO$3)),
IF(ISBLANK(AO$7),0,
IF(AO$4 &lt; AO$5,
IF($AA19-$Z$4&lt;AO$4,0,
IF($AA19&gt;AO$5,0,
SUM(_xlfn._xlws.FILTER(Table_BangLuong_TyLeTangCa[Tỷ lệ],
(Table_BangLuong_TyLeTangCa[Ngày] = AO$3) *
(Table_BangLuong_TyLeTangCa[Giờ min]&lt;=$AA19) *
(Table_BangLuong_TyLeTangCa[Giờ max]&gt;$AA19)
)))),
IF(AND($AA19-$Z$4 &gt;= AO$5,$AA19 &lt; AO$4),0,
SUM(_xlfn._xlws.FILTER(Table_BangLuong_TyLeTangCa[Tỷ lệ],
(Table_BangLuong_TyLeTangCa[Ngày] = AO$3) *
(Table_BangLuong_TyLeTangCa[Giờ min]&lt;=$AA19) *
(Table_BangLuong_TyLeTangCa[Giờ max]&gt;$AA19)
))))
),
IF(ISBLANK(AO$7),
IF(VLOOKUP(AO$6, Table_ChiPhiNV_Ca[], COUNTA(Table_ChiPhiNV_Ca[[#Headers],[Ca]:[Kết thúc]]),0)&gt; VLOOKUP(AO$6, Table_ChiPhiNV_Ca[], COUNTA(Table_ChiPhiNV_Ca[[#Headers],[Ca]:[Bắt đầu]]),0),
IF($AA19-$Z$4&lt;MAX(AO$4,VLOOKUP(AO$6, Table_ChiPhiNV_Ca[], COUNTA(Table_ChiPhiNV_Ca[[#Headers],[Ca]:[Bắt đầu]]),0)),0,
IF($AA19&gt;MIN(AO$5,VLOOKUP(AO$6, Table_ChiPhiNV_Ca[], COUNTA(Table_ChiPhiNV_Ca[[#Headers],[Ca]:[Kết thúc]]),0)),0,
SUM(_xlfn._xlws.FILTER(Table_BangLuong_TyLeTangCa[Tỷ lệ],
(Table_BangLuong_TyLeTangCa[Ngày] = "Thường") *
(Table_BangLuong_TyLeTangCa[Giờ min]&lt;=$AA19) *
(Table_BangLuong_TyLeTangCa[Giờ max]&gt;$AA19)
)))),
IF(AO$4 &gt; AO$5,
IF(
AND(
$AA19-$Z$4&lt;MAX(AO$4,VLOOKUP(AO$6, Table_ChiPhiNV_Ca[], COUNTA(Table_ChiPhiNV_Ca[[#Headers],[Ca]:[Bắt đầu]]),0)),
$AA19&gt;MIN(AO$5,VLOOKUP(AO$6, Table_ChiPhiNV_Ca[], COUNTA(Table_ChiPhiNV_Ca[[#Headers],[Ca]:[Kết thúc]]),0))),0,
SUM(_xlfn._xlws.FILTER(Table_BangLuong_TyLeTangCa[Tỷ lệ],
(Table_BangLuong_TyLeTangCa[Ngày] = "Thường") *
(Table_BangLuong_TyLeTangCa[Giờ min]&lt;=$AA19) *
(Table_BangLuong_TyLeTangCa[Giờ max]&gt;$AA19)
))),
IF(
AND(
$AA19-$Z$4&gt;=MAX(AO$4,VLOOKUP(AO$6, Table_ChiPhiNV_Ca[], COUNTA(Table_ChiPhiNV_Ca[[#Headers],[Ca]:[Bắt đầu]]),0)),
$AA19&lt;MIN(AO$5,VLOOKUP(AO$6, Table_ChiPhiNV_Ca[], COUNTA(Table_ChiPhiNV_Ca[[#Headers],[Ca]:[Kết thúc]]),0))),
SUM(_xlfn._xlws.FILTER(Table_BangLuong_TyLeTangCa[Tỷ lệ],
(Table_BangLuong_TyLeTangCa[Ngày] = "Thường") *
(Table_BangLuong_TyLeTangCa[Giờ min]&lt;=$AA19) *
(Table_BangLuong_TyLeTangCa[Giờ max]&gt;$AA19)
)),0)
)),
IF(AO$4 &lt; AO$5,
IF($AA19-$Z$4&lt;AO$4,0,
IF($AA19&gt;AO$5,0,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AO$5,$AA19 &lt; AO$4),0,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P19" s="18" cm="1">
        <f t="array" ref="AP19" xml:space="preserve">
IFERROR(
IF(AP$1="",0,
IF(AND(
$AA19&gt;=VLOOKUP(AP$6, Table_ChiPhiNV_Ca[], COUNTA(Table_ChiPhiNV_Ca[[#Headers],[Ca]:[Bắt đầu nghỉ]]),0),
$AA19&lt;VLOOKUP(AP$6, Table_ChiPhiNV_Ca[], COUNTA(Table_ChiPhiNV_Ca[[#Headers],[Ca]:[Kết thúc nghỉ]]),0)
),0,
IF(NOT(ISBLANK(AP$3)),
IF(ISBLANK(AP$7),0,
IF(AP$4 &lt; AP$5,
IF($AA19-$Z$4&lt;AP$4,0,
IF($AA19&gt;AP$5,0,
SUM(_xlfn._xlws.FILTER(Table_BangLuong_TyLeTangCa[Tỷ lệ],
(Table_BangLuong_TyLeTangCa[Ngày] = AP$3) *
(Table_BangLuong_TyLeTangCa[Giờ min]&lt;=$AA19) *
(Table_BangLuong_TyLeTangCa[Giờ max]&gt;$AA19)
)))),
IF(AND($AA19-$Z$4 &gt;= AP$5,$AA19 &lt; AP$4),0,
SUM(_xlfn._xlws.FILTER(Table_BangLuong_TyLeTangCa[Tỷ lệ],
(Table_BangLuong_TyLeTangCa[Ngày] = AP$3) *
(Table_BangLuong_TyLeTangCa[Giờ min]&lt;=$AA19) *
(Table_BangLuong_TyLeTangCa[Giờ max]&gt;$AA19)
))))
),
IF(ISBLANK(AP$7),
IF(VLOOKUP(AP$6, Table_ChiPhiNV_Ca[], COUNTA(Table_ChiPhiNV_Ca[[#Headers],[Ca]:[Kết thúc]]),0)&gt; VLOOKUP(AP$6, Table_ChiPhiNV_Ca[], COUNTA(Table_ChiPhiNV_Ca[[#Headers],[Ca]:[Bắt đầu]]),0),
IF($AA19-$Z$4&lt;MAX(AP$4,VLOOKUP(AP$6, Table_ChiPhiNV_Ca[], COUNTA(Table_ChiPhiNV_Ca[[#Headers],[Ca]:[Bắt đầu]]),0)),0,
IF($AA19&gt;MIN(AP$5,VLOOKUP(AP$6, Table_ChiPhiNV_Ca[], COUNTA(Table_ChiPhiNV_Ca[[#Headers],[Ca]:[Kết thúc]]),0)),0,
SUM(_xlfn._xlws.FILTER(Table_BangLuong_TyLeTangCa[Tỷ lệ],
(Table_BangLuong_TyLeTangCa[Ngày] = "Thường") *
(Table_BangLuong_TyLeTangCa[Giờ min]&lt;=$AA19) *
(Table_BangLuong_TyLeTangCa[Giờ max]&gt;$AA19)
)))),
IF(AP$4 &gt; AP$5,
IF(
AND(
$AA19-$Z$4&lt;MAX(AP$4,VLOOKUP(AP$6, Table_ChiPhiNV_Ca[], COUNTA(Table_ChiPhiNV_Ca[[#Headers],[Ca]:[Bắt đầu]]),0)),
$AA19&gt;MIN(AP$5,VLOOKUP(AP$6, Table_ChiPhiNV_Ca[], COUNTA(Table_ChiPhiNV_Ca[[#Headers],[Ca]:[Kết thúc]]),0))),0,
SUM(_xlfn._xlws.FILTER(Table_BangLuong_TyLeTangCa[Tỷ lệ],
(Table_BangLuong_TyLeTangCa[Ngày] = "Thường") *
(Table_BangLuong_TyLeTangCa[Giờ min]&lt;=$AA19) *
(Table_BangLuong_TyLeTangCa[Giờ max]&gt;$AA19)
))),
IF(
AND(
$AA19-$Z$4&gt;=MAX(AP$4,VLOOKUP(AP$6, Table_ChiPhiNV_Ca[], COUNTA(Table_ChiPhiNV_Ca[[#Headers],[Ca]:[Bắt đầu]]),0)),
$AA19&lt;MIN(AP$5,VLOOKUP(AP$6, Table_ChiPhiNV_Ca[], COUNTA(Table_ChiPhiNV_Ca[[#Headers],[Ca]:[Kết thúc]]),0))),
SUM(_xlfn._xlws.FILTER(Table_BangLuong_TyLeTangCa[Tỷ lệ],
(Table_BangLuong_TyLeTangCa[Ngày] = "Thường") *
(Table_BangLuong_TyLeTangCa[Giờ min]&lt;=$AA19) *
(Table_BangLuong_TyLeTangCa[Giờ max]&gt;$AA19)
)),0)
)),
IF(AP$4 &lt; AP$5,
IF($AA19-$Z$4&lt;AP$4,0,
IF($AA19&gt;AP$5,0,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AP$5,$AA19 &lt; AP$4),0,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Q19" s="18" cm="1">
        <f t="array" ref="AQ19" xml:space="preserve">
IFERROR(
IF(AQ$1="",0,
IF(AND(
$AA19&gt;=VLOOKUP(AQ$6, Table_ChiPhiNV_Ca[], COUNTA(Table_ChiPhiNV_Ca[[#Headers],[Ca]:[Bắt đầu nghỉ]]),0),
$AA19&lt;VLOOKUP(AQ$6, Table_ChiPhiNV_Ca[], COUNTA(Table_ChiPhiNV_Ca[[#Headers],[Ca]:[Kết thúc nghỉ]]),0)
),0,
IF(NOT(ISBLANK(AQ$3)),
IF(ISBLANK(AQ$7),0,
IF(AQ$4 &lt; AQ$5,
IF($AA19-$Z$4&lt;AQ$4,0,
IF($AA19&gt;AQ$5,0,
SUM(_xlfn._xlws.FILTER(Table_BangLuong_TyLeTangCa[Tỷ lệ],
(Table_BangLuong_TyLeTangCa[Ngày] = AQ$3) *
(Table_BangLuong_TyLeTangCa[Giờ min]&lt;=$AA19) *
(Table_BangLuong_TyLeTangCa[Giờ max]&gt;$AA19)
)))),
IF(AND($AA19-$Z$4 &gt;= AQ$5,$AA19 &lt; AQ$4),0,
SUM(_xlfn._xlws.FILTER(Table_BangLuong_TyLeTangCa[Tỷ lệ],
(Table_BangLuong_TyLeTangCa[Ngày] = AQ$3) *
(Table_BangLuong_TyLeTangCa[Giờ min]&lt;=$AA19) *
(Table_BangLuong_TyLeTangCa[Giờ max]&gt;$AA19)
))))
),
IF(ISBLANK(AQ$7),
IF(VLOOKUP(AQ$6, Table_ChiPhiNV_Ca[], COUNTA(Table_ChiPhiNV_Ca[[#Headers],[Ca]:[Kết thúc]]),0)&gt; VLOOKUP(AQ$6, Table_ChiPhiNV_Ca[], COUNTA(Table_ChiPhiNV_Ca[[#Headers],[Ca]:[Bắt đầu]]),0),
IF($AA19-$Z$4&lt;MAX(AQ$4,VLOOKUP(AQ$6, Table_ChiPhiNV_Ca[], COUNTA(Table_ChiPhiNV_Ca[[#Headers],[Ca]:[Bắt đầu]]),0)),0,
IF($AA19&gt;MIN(AQ$5,VLOOKUP(AQ$6, Table_ChiPhiNV_Ca[], COUNTA(Table_ChiPhiNV_Ca[[#Headers],[Ca]:[Kết thúc]]),0)),0,
SUM(_xlfn._xlws.FILTER(Table_BangLuong_TyLeTangCa[Tỷ lệ],
(Table_BangLuong_TyLeTangCa[Ngày] = "Thường") *
(Table_BangLuong_TyLeTangCa[Giờ min]&lt;=$AA19) *
(Table_BangLuong_TyLeTangCa[Giờ max]&gt;$AA19)
)))),
IF(AQ$4 &gt; AQ$5,
IF(
AND(
$AA19-$Z$4&lt;MAX(AQ$4,VLOOKUP(AQ$6, Table_ChiPhiNV_Ca[], COUNTA(Table_ChiPhiNV_Ca[[#Headers],[Ca]:[Bắt đầu]]),0)),
$AA19&gt;MIN(AQ$5,VLOOKUP(AQ$6, Table_ChiPhiNV_Ca[], COUNTA(Table_ChiPhiNV_Ca[[#Headers],[Ca]:[Kết thúc]]),0))),0,
SUM(_xlfn._xlws.FILTER(Table_BangLuong_TyLeTangCa[Tỷ lệ],
(Table_BangLuong_TyLeTangCa[Ngày] = "Thường") *
(Table_BangLuong_TyLeTangCa[Giờ min]&lt;=$AA19) *
(Table_BangLuong_TyLeTangCa[Giờ max]&gt;$AA19)
))),
IF(
AND(
$AA19-$Z$4&gt;=MAX(AQ$4,VLOOKUP(AQ$6, Table_ChiPhiNV_Ca[], COUNTA(Table_ChiPhiNV_Ca[[#Headers],[Ca]:[Bắt đầu]]),0)),
$AA19&lt;MIN(AQ$5,VLOOKUP(AQ$6, Table_ChiPhiNV_Ca[], COUNTA(Table_ChiPhiNV_Ca[[#Headers],[Ca]:[Kết thúc]]),0))),
SUM(_xlfn._xlws.FILTER(Table_BangLuong_TyLeTangCa[Tỷ lệ],
(Table_BangLuong_TyLeTangCa[Ngày] = "Thường") *
(Table_BangLuong_TyLeTangCa[Giờ min]&lt;=$AA19) *
(Table_BangLuong_TyLeTangCa[Giờ max]&gt;$AA19)
)),0)
)),
IF(AQ$4 &lt; AQ$5,
IF($AA19-$Z$4&lt;AQ$4,0,
IF($AA19&gt;AQ$5,0,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AQ$5,$AA19 &lt; AQ$4),0,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R19" s="18" cm="1">
        <f t="array" ref="AR19" xml:space="preserve">
IFERROR(
IF(AR$1="",0,
IF(AND(
$AA19&gt;=VLOOKUP(AR$6, Table_ChiPhiNV_Ca[], COUNTA(Table_ChiPhiNV_Ca[[#Headers],[Ca]:[Bắt đầu nghỉ]]),0),
$AA19&lt;VLOOKUP(AR$6, Table_ChiPhiNV_Ca[], COUNTA(Table_ChiPhiNV_Ca[[#Headers],[Ca]:[Kết thúc nghỉ]]),0)
),0,
IF(NOT(ISBLANK(AR$3)),
IF(ISBLANK(AR$7),0,
IF(AR$4 &lt; AR$5,
IF($AA19-$Z$4&lt;AR$4,0,
IF($AA19&gt;AR$5,0,
SUM(_xlfn._xlws.FILTER(Table_BangLuong_TyLeTangCa[Tỷ lệ],
(Table_BangLuong_TyLeTangCa[Ngày] = AR$3) *
(Table_BangLuong_TyLeTangCa[Giờ min]&lt;=$AA19) *
(Table_BangLuong_TyLeTangCa[Giờ max]&gt;$AA19)
)))),
IF(AND($AA19-$Z$4 &gt;= AR$5,$AA19 &lt; AR$4),0,
SUM(_xlfn._xlws.FILTER(Table_BangLuong_TyLeTangCa[Tỷ lệ],
(Table_BangLuong_TyLeTangCa[Ngày] = AR$3) *
(Table_BangLuong_TyLeTangCa[Giờ min]&lt;=$AA19) *
(Table_BangLuong_TyLeTangCa[Giờ max]&gt;$AA19)
))))
),
IF(ISBLANK(AR$7),
IF(VLOOKUP(AR$6, Table_ChiPhiNV_Ca[], COUNTA(Table_ChiPhiNV_Ca[[#Headers],[Ca]:[Kết thúc]]),0)&gt; VLOOKUP(AR$6, Table_ChiPhiNV_Ca[], COUNTA(Table_ChiPhiNV_Ca[[#Headers],[Ca]:[Bắt đầu]]),0),
IF($AA19-$Z$4&lt;MAX(AR$4,VLOOKUP(AR$6, Table_ChiPhiNV_Ca[], COUNTA(Table_ChiPhiNV_Ca[[#Headers],[Ca]:[Bắt đầu]]),0)),0,
IF($AA19&gt;MIN(AR$5,VLOOKUP(AR$6, Table_ChiPhiNV_Ca[], COUNTA(Table_ChiPhiNV_Ca[[#Headers],[Ca]:[Kết thúc]]),0)),0,
SUM(_xlfn._xlws.FILTER(Table_BangLuong_TyLeTangCa[Tỷ lệ],
(Table_BangLuong_TyLeTangCa[Ngày] = "Thường") *
(Table_BangLuong_TyLeTangCa[Giờ min]&lt;=$AA19) *
(Table_BangLuong_TyLeTangCa[Giờ max]&gt;$AA19)
)))),
IF(AR$4 &gt; AR$5,
IF(
AND(
$AA19-$Z$4&lt;MAX(AR$4,VLOOKUP(AR$6, Table_ChiPhiNV_Ca[], COUNTA(Table_ChiPhiNV_Ca[[#Headers],[Ca]:[Bắt đầu]]),0)),
$AA19&gt;MIN(AR$5,VLOOKUP(AR$6, Table_ChiPhiNV_Ca[], COUNTA(Table_ChiPhiNV_Ca[[#Headers],[Ca]:[Kết thúc]]),0))),0,
SUM(_xlfn._xlws.FILTER(Table_BangLuong_TyLeTangCa[Tỷ lệ],
(Table_BangLuong_TyLeTangCa[Ngày] = "Thường") *
(Table_BangLuong_TyLeTangCa[Giờ min]&lt;=$AA19) *
(Table_BangLuong_TyLeTangCa[Giờ max]&gt;$AA19)
))),
IF(
AND(
$AA19-$Z$4&gt;=MAX(AR$4,VLOOKUP(AR$6, Table_ChiPhiNV_Ca[], COUNTA(Table_ChiPhiNV_Ca[[#Headers],[Ca]:[Bắt đầu]]),0)),
$AA19&lt;MIN(AR$5,VLOOKUP(AR$6, Table_ChiPhiNV_Ca[], COUNTA(Table_ChiPhiNV_Ca[[#Headers],[Ca]:[Kết thúc]]),0))),
SUM(_xlfn._xlws.FILTER(Table_BangLuong_TyLeTangCa[Tỷ lệ],
(Table_BangLuong_TyLeTangCa[Ngày] = "Thường") *
(Table_BangLuong_TyLeTangCa[Giờ min]&lt;=$AA19) *
(Table_BangLuong_TyLeTangCa[Giờ max]&gt;$AA19)
)),0)
)),
IF(AR$4 &lt; AR$5,
IF($AA19-$Z$4&lt;AR$4,0,
IF($AA19&gt;AR$5,0,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AR$5,$AA19 &lt; AR$4),0,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S19" s="18" cm="1">
        <f t="array" ref="AS19" xml:space="preserve">
IFERROR(
IF(AS$1="",0,
IF(AND(
$AA19&gt;=VLOOKUP(AS$6, Table_ChiPhiNV_Ca[], COUNTA(Table_ChiPhiNV_Ca[[#Headers],[Ca]:[Bắt đầu nghỉ]]),0),
$AA19&lt;VLOOKUP(AS$6, Table_ChiPhiNV_Ca[], COUNTA(Table_ChiPhiNV_Ca[[#Headers],[Ca]:[Kết thúc nghỉ]]),0)
),0,
IF(NOT(ISBLANK(AS$3)),
IF(ISBLANK(AS$7),0,
IF(AS$4 &lt; AS$5,
IF($AA19-$Z$4&lt;AS$4,0,
IF($AA19&gt;AS$5,0,
SUM(_xlfn._xlws.FILTER(Table_BangLuong_TyLeTangCa[Tỷ lệ],
(Table_BangLuong_TyLeTangCa[Ngày] = AS$3) *
(Table_BangLuong_TyLeTangCa[Giờ min]&lt;=$AA19) *
(Table_BangLuong_TyLeTangCa[Giờ max]&gt;$AA19)
)))),
IF(AND($AA19-$Z$4 &gt;= AS$5,$AA19 &lt; AS$4),0,
SUM(_xlfn._xlws.FILTER(Table_BangLuong_TyLeTangCa[Tỷ lệ],
(Table_BangLuong_TyLeTangCa[Ngày] = AS$3) *
(Table_BangLuong_TyLeTangCa[Giờ min]&lt;=$AA19) *
(Table_BangLuong_TyLeTangCa[Giờ max]&gt;$AA19)
))))
),
IF(ISBLANK(AS$7),
IF(VLOOKUP(AS$6, Table_ChiPhiNV_Ca[], COUNTA(Table_ChiPhiNV_Ca[[#Headers],[Ca]:[Kết thúc]]),0)&gt; VLOOKUP(AS$6, Table_ChiPhiNV_Ca[], COUNTA(Table_ChiPhiNV_Ca[[#Headers],[Ca]:[Bắt đầu]]),0),
IF($AA19-$Z$4&lt;MAX(AS$4,VLOOKUP(AS$6, Table_ChiPhiNV_Ca[], COUNTA(Table_ChiPhiNV_Ca[[#Headers],[Ca]:[Bắt đầu]]),0)),0,
IF($AA19&gt;MIN(AS$5,VLOOKUP(AS$6, Table_ChiPhiNV_Ca[], COUNTA(Table_ChiPhiNV_Ca[[#Headers],[Ca]:[Kết thúc]]),0)),0,
SUM(_xlfn._xlws.FILTER(Table_BangLuong_TyLeTangCa[Tỷ lệ],
(Table_BangLuong_TyLeTangCa[Ngày] = "Thường") *
(Table_BangLuong_TyLeTangCa[Giờ min]&lt;=$AA19) *
(Table_BangLuong_TyLeTangCa[Giờ max]&gt;$AA19)
)))),
IF(AS$4 &gt; AS$5,
IF(
AND(
$AA19-$Z$4&lt;MAX(AS$4,VLOOKUP(AS$6, Table_ChiPhiNV_Ca[], COUNTA(Table_ChiPhiNV_Ca[[#Headers],[Ca]:[Bắt đầu]]),0)),
$AA19&gt;MIN(AS$5,VLOOKUP(AS$6, Table_ChiPhiNV_Ca[], COUNTA(Table_ChiPhiNV_Ca[[#Headers],[Ca]:[Kết thúc]]),0))),0,
SUM(_xlfn._xlws.FILTER(Table_BangLuong_TyLeTangCa[Tỷ lệ],
(Table_BangLuong_TyLeTangCa[Ngày] = "Thường") *
(Table_BangLuong_TyLeTangCa[Giờ min]&lt;=$AA19) *
(Table_BangLuong_TyLeTangCa[Giờ max]&gt;$AA19)
))),
IF(
AND(
$AA19-$Z$4&gt;=MAX(AS$4,VLOOKUP(AS$6, Table_ChiPhiNV_Ca[], COUNTA(Table_ChiPhiNV_Ca[[#Headers],[Ca]:[Bắt đầu]]),0)),
$AA19&lt;MIN(AS$5,VLOOKUP(AS$6, Table_ChiPhiNV_Ca[], COUNTA(Table_ChiPhiNV_Ca[[#Headers],[Ca]:[Kết thúc]]),0))),
SUM(_xlfn._xlws.FILTER(Table_BangLuong_TyLeTangCa[Tỷ lệ],
(Table_BangLuong_TyLeTangCa[Ngày] = "Thường") *
(Table_BangLuong_TyLeTangCa[Giờ min]&lt;=$AA19) *
(Table_BangLuong_TyLeTangCa[Giờ max]&gt;$AA19)
)),0)
)),
IF(AS$4 &lt; AS$5,
IF($AA19-$Z$4&lt;AS$4,0,
IF($AA19&gt;AS$5,0,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AS$5,$AA19 &lt; AS$4),0,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T19" s="18" cm="1">
        <f t="array" ref="AT19" xml:space="preserve">
IFERROR(
IF(AT$1="",0,
IF(AND(
$AA19&gt;=VLOOKUP(AT$6, Table_ChiPhiNV_Ca[], COUNTA(Table_ChiPhiNV_Ca[[#Headers],[Ca]:[Bắt đầu nghỉ]]),0),
$AA19&lt;VLOOKUP(AT$6, Table_ChiPhiNV_Ca[], COUNTA(Table_ChiPhiNV_Ca[[#Headers],[Ca]:[Kết thúc nghỉ]]),0)
),0,
IF(NOT(ISBLANK(AT$3)),
IF(ISBLANK(AT$7),0,
IF(AT$4 &lt; AT$5,
IF($AA19-$Z$4&lt;AT$4,0,
IF($AA19&gt;AT$5,0,
SUM(_xlfn._xlws.FILTER(Table_BangLuong_TyLeTangCa[Tỷ lệ],
(Table_BangLuong_TyLeTangCa[Ngày] = AT$3) *
(Table_BangLuong_TyLeTangCa[Giờ min]&lt;=$AA19) *
(Table_BangLuong_TyLeTangCa[Giờ max]&gt;$AA19)
)))),
IF(AND($AA19-$Z$4 &gt;= AT$5,$AA19 &lt; AT$4),0,
SUM(_xlfn._xlws.FILTER(Table_BangLuong_TyLeTangCa[Tỷ lệ],
(Table_BangLuong_TyLeTangCa[Ngày] = AT$3) *
(Table_BangLuong_TyLeTangCa[Giờ min]&lt;=$AA19) *
(Table_BangLuong_TyLeTangCa[Giờ max]&gt;$AA19)
))))
),
IF(ISBLANK(AT$7),
IF(VLOOKUP(AT$6, Table_ChiPhiNV_Ca[], COUNTA(Table_ChiPhiNV_Ca[[#Headers],[Ca]:[Kết thúc]]),0)&gt; VLOOKUP(AT$6, Table_ChiPhiNV_Ca[], COUNTA(Table_ChiPhiNV_Ca[[#Headers],[Ca]:[Bắt đầu]]),0),
IF($AA19-$Z$4&lt;MAX(AT$4,VLOOKUP(AT$6, Table_ChiPhiNV_Ca[], COUNTA(Table_ChiPhiNV_Ca[[#Headers],[Ca]:[Bắt đầu]]),0)),0,
IF($AA19&gt;MIN(AT$5,VLOOKUP(AT$6, Table_ChiPhiNV_Ca[], COUNTA(Table_ChiPhiNV_Ca[[#Headers],[Ca]:[Kết thúc]]),0)),0,
SUM(_xlfn._xlws.FILTER(Table_BangLuong_TyLeTangCa[Tỷ lệ],
(Table_BangLuong_TyLeTangCa[Ngày] = "Thường") *
(Table_BangLuong_TyLeTangCa[Giờ min]&lt;=$AA19) *
(Table_BangLuong_TyLeTangCa[Giờ max]&gt;$AA19)
)))),
IF(AT$4 &gt; AT$5,
IF(
AND(
$AA19-$Z$4&lt;MAX(AT$4,VLOOKUP(AT$6, Table_ChiPhiNV_Ca[], COUNTA(Table_ChiPhiNV_Ca[[#Headers],[Ca]:[Bắt đầu]]),0)),
$AA19&gt;MIN(AT$5,VLOOKUP(AT$6, Table_ChiPhiNV_Ca[], COUNTA(Table_ChiPhiNV_Ca[[#Headers],[Ca]:[Kết thúc]]),0))),0,
SUM(_xlfn._xlws.FILTER(Table_BangLuong_TyLeTangCa[Tỷ lệ],
(Table_BangLuong_TyLeTangCa[Ngày] = "Thường") *
(Table_BangLuong_TyLeTangCa[Giờ min]&lt;=$AA19) *
(Table_BangLuong_TyLeTangCa[Giờ max]&gt;$AA19)
))),
IF(
AND(
$AA19-$Z$4&gt;=MAX(AT$4,VLOOKUP(AT$6, Table_ChiPhiNV_Ca[], COUNTA(Table_ChiPhiNV_Ca[[#Headers],[Ca]:[Bắt đầu]]),0)),
$AA19&lt;MIN(AT$5,VLOOKUP(AT$6, Table_ChiPhiNV_Ca[], COUNTA(Table_ChiPhiNV_Ca[[#Headers],[Ca]:[Kết thúc]]),0))),
SUM(_xlfn._xlws.FILTER(Table_BangLuong_TyLeTangCa[Tỷ lệ],
(Table_BangLuong_TyLeTangCa[Ngày] = "Thường") *
(Table_BangLuong_TyLeTangCa[Giờ min]&lt;=$AA19) *
(Table_BangLuong_TyLeTangCa[Giờ max]&gt;$AA19)
)),0)
)),
IF(AT$4 &lt; AT$5,
IF($AA19-$Z$4&lt;AT$4,0,
IF($AA19&gt;AT$5,0,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AT$5,$AA19 &lt; AT$4),0,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U19" s="18" cm="1">
        <f t="array" ref="AU19" xml:space="preserve">
IFERROR(
IF(AU$1="",0,
IF(AND(
$AA19&gt;=VLOOKUP(AU$6, Table_ChiPhiNV_Ca[], COUNTA(Table_ChiPhiNV_Ca[[#Headers],[Ca]:[Bắt đầu nghỉ]]),0),
$AA19&lt;VLOOKUP(AU$6, Table_ChiPhiNV_Ca[], COUNTA(Table_ChiPhiNV_Ca[[#Headers],[Ca]:[Kết thúc nghỉ]]),0)
),0,
IF(NOT(ISBLANK(AU$3)),
IF(ISBLANK(AU$7),0,
IF(AU$4 &lt; AU$5,
IF($AA19-$Z$4&lt;AU$4,0,
IF($AA19&gt;AU$5,0,
SUM(_xlfn._xlws.FILTER(Table_BangLuong_TyLeTangCa[Tỷ lệ],
(Table_BangLuong_TyLeTangCa[Ngày] = AU$3) *
(Table_BangLuong_TyLeTangCa[Giờ min]&lt;=$AA19) *
(Table_BangLuong_TyLeTangCa[Giờ max]&gt;$AA19)
)))),
IF(AND($AA19-$Z$4 &gt;= AU$5,$AA19 &lt; AU$4),0,
SUM(_xlfn._xlws.FILTER(Table_BangLuong_TyLeTangCa[Tỷ lệ],
(Table_BangLuong_TyLeTangCa[Ngày] = AU$3) *
(Table_BangLuong_TyLeTangCa[Giờ min]&lt;=$AA19) *
(Table_BangLuong_TyLeTangCa[Giờ max]&gt;$AA19)
))))
),
IF(ISBLANK(AU$7),
IF(VLOOKUP(AU$6, Table_ChiPhiNV_Ca[], COUNTA(Table_ChiPhiNV_Ca[[#Headers],[Ca]:[Kết thúc]]),0)&gt; VLOOKUP(AU$6, Table_ChiPhiNV_Ca[], COUNTA(Table_ChiPhiNV_Ca[[#Headers],[Ca]:[Bắt đầu]]),0),
IF($AA19-$Z$4&lt;MAX(AU$4,VLOOKUP(AU$6, Table_ChiPhiNV_Ca[], COUNTA(Table_ChiPhiNV_Ca[[#Headers],[Ca]:[Bắt đầu]]),0)),0,
IF($AA19&gt;MIN(AU$5,VLOOKUP(AU$6, Table_ChiPhiNV_Ca[], COUNTA(Table_ChiPhiNV_Ca[[#Headers],[Ca]:[Kết thúc]]),0)),0,
SUM(_xlfn._xlws.FILTER(Table_BangLuong_TyLeTangCa[Tỷ lệ],
(Table_BangLuong_TyLeTangCa[Ngày] = "Thường") *
(Table_BangLuong_TyLeTangCa[Giờ min]&lt;=$AA19) *
(Table_BangLuong_TyLeTangCa[Giờ max]&gt;$AA19)
)))),
IF(AU$4 &gt; AU$5,
IF(
AND(
$AA19-$Z$4&lt;MAX(AU$4,VLOOKUP(AU$6, Table_ChiPhiNV_Ca[], COUNTA(Table_ChiPhiNV_Ca[[#Headers],[Ca]:[Bắt đầu]]),0)),
$AA19&gt;MIN(AU$5,VLOOKUP(AU$6, Table_ChiPhiNV_Ca[], COUNTA(Table_ChiPhiNV_Ca[[#Headers],[Ca]:[Kết thúc]]),0))),0,
SUM(_xlfn._xlws.FILTER(Table_BangLuong_TyLeTangCa[Tỷ lệ],
(Table_BangLuong_TyLeTangCa[Ngày] = "Thường") *
(Table_BangLuong_TyLeTangCa[Giờ min]&lt;=$AA19) *
(Table_BangLuong_TyLeTangCa[Giờ max]&gt;$AA19)
))),
IF(
AND(
$AA19-$Z$4&gt;=MAX(AU$4,VLOOKUP(AU$6, Table_ChiPhiNV_Ca[], COUNTA(Table_ChiPhiNV_Ca[[#Headers],[Ca]:[Bắt đầu]]),0)),
$AA19&lt;MIN(AU$5,VLOOKUP(AU$6, Table_ChiPhiNV_Ca[], COUNTA(Table_ChiPhiNV_Ca[[#Headers],[Ca]:[Kết thúc]]),0))),
SUM(_xlfn._xlws.FILTER(Table_BangLuong_TyLeTangCa[Tỷ lệ],
(Table_BangLuong_TyLeTangCa[Ngày] = "Thường") *
(Table_BangLuong_TyLeTangCa[Giờ min]&lt;=$AA19) *
(Table_BangLuong_TyLeTangCa[Giờ max]&gt;$AA19)
)),0)
)),
IF(AU$4 &lt; AU$5,
IF($AA19-$Z$4&lt;AU$4,0,
IF($AA19&gt;AU$5,0,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AU$5,$AA19 &lt; AU$4),0,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V19" s="18" cm="1">
        <f t="array" ref="AV19" xml:space="preserve">
IFERROR(
IF(AV$1="",0,
IF(AND(
$AA19&gt;=VLOOKUP(AV$6, Table_ChiPhiNV_Ca[], COUNTA(Table_ChiPhiNV_Ca[[#Headers],[Ca]:[Bắt đầu nghỉ]]),0),
$AA19&lt;VLOOKUP(AV$6, Table_ChiPhiNV_Ca[], COUNTA(Table_ChiPhiNV_Ca[[#Headers],[Ca]:[Kết thúc nghỉ]]),0)
),0,
IF(NOT(ISBLANK(AV$3)),
IF(ISBLANK(AV$7),0,
IF(AV$4 &lt; AV$5,
IF($AA19-$Z$4&lt;AV$4,0,
IF($AA19&gt;AV$5,0,
SUM(_xlfn._xlws.FILTER(Table_BangLuong_TyLeTangCa[Tỷ lệ],
(Table_BangLuong_TyLeTangCa[Ngày] = AV$3) *
(Table_BangLuong_TyLeTangCa[Giờ min]&lt;=$AA19) *
(Table_BangLuong_TyLeTangCa[Giờ max]&gt;$AA19)
)))),
IF(AND($AA19-$Z$4 &gt;= AV$5,$AA19 &lt; AV$4),0,
SUM(_xlfn._xlws.FILTER(Table_BangLuong_TyLeTangCa[Tỷ lệ],
(Table_BangLuong_TyLeTangCa[Ngày] = AV$3) *
(Table_BangLuong_TyLeTangCa[Giờ min]&lt;=$AA19) *
(Table_BangLuong_TyLeTangCa[Giờ max]&gt;$AA19)
))))
),
IF(ISBLANK(AV$7),
IF(VLOOKUP(AV$6, Table_ChiPhiNV_Ca[], COUNTA(Table_ChiPhiNV_Ca[[#Headers],[Ca]:[Kết thúc]]),0)&gt; VLOOKUP(AV$6, Table_ChiPhiNV_Ca[], COUNTA(Table_ChiPhiNV_Ca[[#Headers],[Ca]:[Bắt đầu]]),0),
IF($AA19-$Z$4&lt;MAX(AV$4,VLOOKUP(AV$6, Table_ChiPhiNV_Ca[], COUNTA(Table_ChiPhiNV_Ca[[#Headers],[Ca]:[Bắt đầu]]),0)),0,
IF($AA19&gt;MIN(AV$5,VLOOKUP(AV$6, Table_ChiPhiNV_Ca[], COUNTA(Table_ChiPhiNV_Ca[[#Headers],[Ca]:[Kết thúc]]),0)),0,
SUM(_xlfn._xlws.FILTER(Table_BangLuong_TyLeTangCa[Tỷ lệ],
(Table_BangLuong_TyLeTangCa[Ngày] = "Thường") *
(Table_BangLuong_TyLeTangCa[Giờ min]&lt;=$AA19) *
(Table_BangLuong_TyLeTangCa[Giờ max]&gt;$AA19)
)))),
IF(AV$4 &gt; AV$5,
IF(
AND(
$AA19-$Z$4&lt;MAX(AV$4,VLOOKUP(AV$6, Table_ChiPhiNV_Ca[], COUNTA(Table_ChiPhiNV_Ca[[#Headers],[Ca]:[Bắt đầu]]),0)),
$AA19&gt;MIN(AV$5,VLOOKUP(AV$6, Table_ChiPhiNV_Ca[], COUNTA(Table_ChiPhiNV_Ca[[#Headers],[Ca]:[Kết thúc]]),0))),0,
SUM(_xlfn._xlws.FILTER(Table_BangLuong_TyLeTangCa[Tỷ lệ],
(Table_BangLuong_TyLeTangCa[Ngày] = "Thường") *
(Table_BangLuong_TyLeTangCa[Giờ min]&lt;=$AA19) *
(Table_BangLuong_TyLeTangCa[Giờ max]&gt;$AA19)
))),
IF(
AND(
$AA19-$Z$4&gt;=MAX(AV$4,VLOOKUP(AV$6, Table_ChiPhiNV_Ca[], COUNTA(Table_ChiPhiNV_Ca[[#Headers],[Ca]:[Bắt đầu]]),0)),
$AA19&lt;MIN(AV$5,VLOOKUP(AV$6, Table_ChiPhiNV_Ca[], COUNTA(Table_ChiPhiNV_Ca[[#Headers],[Ca]:[Kết thúc]]),0))),
SUM(_xlfn._xlws.FILTER(Table_BangLuong_TyLeTangCa[Tỷ lệ],
(Table_BangLuong_TyLeTangCa[Ngày] = "Thường") *
(Table_BangLuong_TyLeTangCa[Giờ min]&lt;=$AA19) *
(Table_BangLuong_TyLeTangCa[Giờ max]&gt;$AA19)
)),0)
)),
IF(AV$4 &lt; AV$5,
IF($AA19-$Z$4&lt;AV$4,0,
IF($AA19&gt;AV$5,0,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AV$5,$AA19 &lt; AV$4),0,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W19" s="18" cm="1">
        <f t="array" ref="AW19" xml:space="preserve">
IFERROR(
IF(AW$1="",0,
IF(AND(
$AA19&gt;=VLOOKUP(AW$6, Table_ChiPhiNV_Ca[], COUNTA(Table_ChiPhiNV_Ca[[#Headers],[Ca]:[Bắt đầu nghỉ]]),0),
$AA19&lt;VLOOKUP(AW$6, Table_ChiPhiNV_Ca[], COUNTA(Table_ChiPhiNV_Ca[[#Headers],[Ca]:[Kết thúc nghỉ]]),0)
),0,
IF(NOT(ISBLANK(AW$3)),
IF(ISBLANK(AW$7),0,
IF(AW$4 &lt; AW$5,
IF($AA19-$Z$4&lt;AW$4,0,
IF($AA19&gt;AW$5,0,
SUM(_xlfn._xlws.FILTER(Table_BangLuong_TyLeTangCa[Tỷ lệ],
(Table_BangLuong_TyLeTangCa[Ngày] = AW$3) *
(Table_BangLuong_TyLeTangCa[Giờ min]&lt;=$AA19) *
(Table_BangLuong_TyLeTangCa[Giờ max]&gt;$AA19)
)))),
IF(AND($AA19-$Z$4 &gt;= AW$5,$AA19 &lt; AW$4),0,
SUM(_xlfn._xlws.FILTER(Table_BangLuong_TyLeTangCa[Tỷ lệ],
(Table_BangLuong_TyLeTangCa[Ngày] = AW$3) *
(Table_BangLuong_TyLeTangCa[Giờ min]&lt;=$AA19) *
(Table_BangLuong_TyLeTangCa[Giờ max]&gt;$AA19)
))))
),
IF(ISBLANK(AW$7),
IF(VLOOKUP(AW$6, Table_ChiPhiNV_Ca[], COUNTA(Table_ChiPhiNV_Ca[[#Headers],[Ca]:[Kết thúc]]),0)&gt; VLOOKUP(AW$6, Table_ChiPhiNV_Ca[], COUNTA(Table_ChiPhiNV_Ca[[#Headers],[Ca]:[Bắt đầu]]),0),
IF($AA19-$Z$4&lt;MAX(AW$4,VLOOKUP(AW$6, Table_ChiPhiNV_Ca[], COUNTA(Table_ChiPhiNV_Ca[[#Headers],[Ca]:[Bắt đầu]]),0)),0,
IF($AA19&gt;MIN(AW$5,VLOOKUP(AW$6, Table_ChiPhiNV_Ca[], COUNTA(Table_ChiPhiNV_Ca[[#Headers],[Ca]:[Kết thúc]]),0)),0,
SUM(_xlfn._xlws.FILTER(Table_BangLuong_TyLeTangCa[Tỷ lệ],
(Table_BangLuong_TyLeTangCa[Ngày] = "Thường") *
(Table_BangLuong_TyLeTangCa[Giờ min]&lt;=$AA19) *
(Table_BangLuong_TyLeTangCa[Giờ max]&gt;$AA19)
)))),
IF(AW$4 &gt; AW$5,
IF(
AND(
$AA19-$Z$4&lt;MAX(AW$4,VLOOKUP(AW$6, Table_ChiPhiNV_Ca[], COUNTA(Table_ChiPhiNV_Ca[[#Headers],[Ca]:[Bắt đầu]]),0)),
$AA19&gt;MIN(AW$5,VLOOKUP(AW$6, Table_ChiPhiNV_Ca[], COUNTA(Table_ChiPhiNV_Ca[[#Headers],[Ca]:[Kết thúc]]),0))),0,
SUM(_xlfn._xlws.FILTER(Table_BangLuong_TyLeTangCa[Tỷ lệ],
(Table_BangLuong_TyLeTangCa[Ngày] = "Thường") *
(Table_BangLuong_TyLeTangCa[Giờ min]&lt;=$AA19) *
(Table_BangLuong_TyLeTangCa[Giờ max]&gt;$AA19)
))),
IF(
AND(
$AA19-$Z$4&gt;=MAX(AW$4,VLOOKUP(AW$6, Table_ChiPhiNV_Ca[], COUNTA(Table_ChiPhiNV_Ca[[#Headers],[Ca]:[Bắt đầu]]),0)),
$AA19&lt;MIN(AW$5,VLOOKUP(AW$6, Table_ChiPhiNV_Ca[], COUNTA(Table_ChiPhiNV_Ca[[#Headers],[Ca]:[Kết thúc]]),0))),
SUM(_xlfn._xlws.FILTER(Table_BangLuong_TyLeTangCa[Tỷ lệ],
(Table_BangLuong_TyLeTangCa[Ngày] = "Thường") *
(Table_BangLuong_TyLeTangCa[Giờ min]&lt;=$AA19) *
(Table_BangLuong_TyLeTangCa[Giờ max]&gt;$AA19)
)),0)
)),
IF(AW$4 &lt; AW$5,
IF($AA19-$Z$4&lt;AW$4,0,
IF($AA19&gt;AW$5,0,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AW$5,$AA19 &lt; AW$4),0,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X19" s="18" cm="1">
        <f t="array" ref="AX19" xml:space="preserve">
IFERROR(
IF(AX$1="",0,
IF(AND(
$AA19&gt;=VLOOKUP(AX$6, Table_ChiPhiNV_Ca[], COUNTA(Table_ChiPhiNV_Ca[[#Headers],[Ca]:[Bắt đầu nghỉ]]),0),
$AA19&lt;VLOOKUP(AX$6, Table_ChiPhiNV_Ca[], COUNTA(Table_ChiPhiNV_Ca[[#Headers],[Ca]:[Kết thúc nghỉ]]),0)
),0,
IF(NOT(ISBLANK(AX$3)),
IF(ISBLANK(AX$7),0,
IF(AX$4 &lt; AX$5,
IF($AA19-$Z$4&lt;AX$4,0,
IF($AA19&gt;AX$5,0,
SUM(_xlfn._xlws.FILTER(Table_BangLuong_TyLeTangCa[Tỷ lệ],
(Table_BangLuong_TyLeTangCa[Ngày] = AX$3) *
(Table_BangLuong_TyLeTangCa[Giờ min]&lt;=$AA19) *
(Table_BangLuong_TyLeTangCa[Giờ max]&gt;$AA19)
)))),
IF(AND($AA19-$Z$4 &gt;= AX$5,$AA19 &lt; AX$4),0,
SUM(_xlfn._xlws.FILTER(Table_BangLuong_TyLeTangCa[Tỷ lệ],
(Table_BangLuong_TyLeTangCa[Ngày] = AX$3) *
(Table_BangLuong_TyLeTangCa[Giờ min]&lt;=$AA19) *
(Table_BangLuong_TyLeTangCa[Giờ max]&gt;$AA19)
))))
),
IF(ISBLANK(AX$7),
IF(VLOOKUP(AX$6, Table_ChiPhiNV_Ca[], COUNTA(Table_ChiPhiNV_Ca[[#Headers],[Ca]:[Kết thúc]]),0)&gt; VLOOKUP(AX$6, Table_ChiPhiNV_Ca[], COUNTA(Table_ChiPhiNV_Ca[[#Headers],[Ca]:[Bắt đầu]]),0),
IF($AA19-$Z$4&lt;MAX(AX$4,VLOOKUP(AX$6, Table_ChiPhiNV_Ca[], COUNTA(Table_ChiPhiNV_Ca[[#Headers],[Ca]:[Bắt đầu]]),0)),0,
IF($AA19&gt;MIN(AX$5,VLOOKUP(AX$6, Table_ChiPhiNV_Ca[], COUNTA(Table_ChiPhiNV_Ca[[#Headers],[Ca]:[Kết thúc]]),0)),0,
SUM(_xlfn._xlws.FILTER(Table_BangLuong_TyLeTangCa[Tỷ lệ],
(Table_BangLuong_TyLeTangCa[Ngày] = "Thường") *
(Table_BangLuong_TyLeTangCa[Giờ min]&lt;=$AA19) *
(Table_BangLuong_TyLeTangCa[Giờ max]&gt;$AA19)
)))),
IF(AX$4 &gt; AX$5,
IF(
AND(
$AA19-$Z$4&lt;MAX(AX$4,VLOOKUP(AX$6, Table_ChiPhiNV_Ca[], COUNTA(Table_ChiPhiNV_Ca[[#Headers],[Ca]:[Bắt đầu]]),0)),
$AA19&gt;MIN(AX$5,VLOOKUP(AX$6, Table_ChiPhiNV_Ca[], COUNTA(Table_ChiPhiNV_Ca[[#Headers],[Ca]:[Kết thúc]]),0))),0,
SUM(_xlfn._xlws.FILTER(Table_BangLuong_TyLeTangCa[Tỷ lệ],
(Table_BangLuong_TyLeTangCa[Ngày] = "Thường") *
(Table_BangLuong_TyLeTangCa[Giờ min]&lt;=$AA19) *
(Table_BangLuong_TyLeTangCa[Giờ max]&gt;$AA19)
))),
IF(
AND(
$AA19-$Z$4&gt;=MAX(AX$4,VLOOKUP(AX$6, Table_ChiPhiNV_Ca[], COUNTA(Table_ChiPhiNV_Ca[[#Headers],[Ca]:[Bắt đầu]]),0)),
$AA19&lt;MIN(AX$5,VLOOKUP(AX$6, Table_ChiPhiNV_Ca[], COUNTA(Table_ChiPhiNV_Ca[[#Headers],[Ca]:[Kết thúc]]),0))),
SUM(_xlfn._xlws.FILTER(Table_BangLuong_TyLeTangCa[Tỷ lệ],
(Table_BangLuong_TyLeTangCa[Ngày] = "Thường") *
(Table_BangLuong_TyLeTangCa[Giờ min]&lt;=$AA19) *
(Table_BangLuong_TyLeTangCa[Giờ max]&gt;$AA19)
)),0)
)),
IF(AX$4 &lt; AX$5,
IF($AA19-$Z$4&lt;AX$4,0,
IF($AA19&gt;AX$5,0,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AX$5,$AA19 &lt; AX$4),0,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Y19" s="18" cm="1">
        <f t="array" ref="AY19" xml:space="preserve">
IFERROR(
IF(AY$1="",0,
IF(AND(
$AA19&gt;=VLOOKUP(AY$6, Table_ChiPhiNV_Ca[], COUNTA(Table_ChiPhiNV_Ca[[#Headers],[Ca]:[Bắt đầu nghỉ]]),0),
$AA19&lt;VLOOKUP(AY$6, Table_ChiPhiNV_Ca[], COUNTA(Table_ChiPhiNV_Ca[[#Headers],[Ca]:[Kết thúc nghỉ]]),0)
),0,
IF(NOT(ISBLANK(AY$3)),
IF(ISBLANK(AY$7),0,
IF(AY$4 &lt; AY$5,
IF($AA19-$Z$4&lt;AY$4,0,
IF($AA19&gt;AY$5,0,
SUM(_xlfn._xlws.FILTER(Table_BangLuong_TyLeTangCa[Tỷ lệ],
(Table_BangLuong_TyLeTangCa[Ngày] = AY$3) *
(Table_BangLuong_TyLeTangCa[Giờ min]&lt;=$AA19) *
(Table_BangLuong_TyLeTangCa[Giờ max]&gt;$AA19)
)))),
IF(AND($AA19-$Z$4 &gt;= AY$5,$AA19 &lt; AY$4),0,
SUM(_xlfn._xlws.FILTER(Table_BangLuong_TyLeTangCa[Tỷ lệ],
(Table_BangLuong_TyLeTangCa[Ngày] = AY$3) *
(Table_BangLuong_TyLeTangCa[Giờ min]&lt;=$AA19) *
(Table_BangLuong_TyLeTangCa[Giờ max]&gt;$AA19)
))))
),
IF(ISBLANK(AY$7),
IF(VLOOKUP(AY$6, Table_ChiPhiNV_Ca[], COUNTA(Table_ChiPhiNV_Ca[[#Headers],[Ca]:[Kết thúc]]),0)&gt; VLOOKUP(AY$6, Table_ChiPhiNV_Ca[], COUNTA(Table_ChiPhiNV_Ca[[#Headers],[Ca]:[Bắt đầu]]),0),
IF($AA19-$Z$4&lt;MAX(AY$4,VLOOKUP(AY$6, Table_ChiPhiNV_Ca[], COUNTA(Table_ChiPhiNV_Ca[[#Headers],[Ca]:[Bắt đầu]]),0)),0,
IF($AA19&gt;MIN(AY$5,VLOOKUP(AY$6, Table_ChiPhiNV_Ca[], COUNTA(Table_ChiPhiNV_Ca[[#Headers],[Ca]:[Kết thúc]]),0)),0,
SUM(_xlfn._xlws.FILTER(Table_BangLuong_TyLeTangCa[Tỷ lệ],
(Table_BangLuong_TyLeTangCa[Ngày] = "Thường") *
(Table_BangLuong_TyLeTangCa[Giờ min]&lt;=$AA19) *
(Table_BangLuong_TyLeTangCa[Giờ max]&gt;$AA19)
)))),
IF(AY$4 &gt; AY$5,
IF(
AND(
$AA19-$Z$4&lt;MAX(AY$4,VLOOKUP(AY$6, Table_ChiPhiNV_Ca[], COUNTA(Table_ChiPhiNV_Ca[[#Headers],[Ca]:[Bắt đầu]]),0)),
$AA19&gt;MIN(AY$5,VLOOKUP(AY$6, Table_ChiPhiNV_Ca[], COUNTA(Table_ChiPhiNV_Ca[[#Headers],[Ca]:[Kết thúc]]),0))),0,
SUM(_xlfn._xlws.FILTER(Table_BangLuong_TyLeTangCa[Tỷ lệ],
(Table_BangLuong_TyLeTangCa[Ngày] = "Thường") *
(Table_BangLuong_TyLeTangCa[Giờ min]&lt;=$AA19) *
(Table_BangLuong_TyLeTangCa[Giờ max]&gt;$AA19)
))),
IF(
AND(
$AA19-$Z$4&gt;=MAX(AY$4,VLOOKUP(AY$6, Table_ChiPhiNV_Ca[], COUNTA(Table_ChiPhiNV_Ca[[#Headers],[Ca]:[Bắt đầu]]),0)),
$AA19&lt;MIN(AY$5,VLOOKUP(AY$6, Table_ChiPhiNV_Ca[], COUNTA(Table_ChiPhiNV_Ca[[#Headers],[Ca]:[Kết thúc]]),0))),
SUM(_xlfn._xlws.FILTER(Table_BangLuong_TyLeTangCa[Tỷ lệ],
(Table_BangLuong_TyLeTangCa[Ngày] = "Thường") *
(Table_BangLuong_TyLeTangCa[Giờ min]&lt;=$AA19) *
(Table_BangLuong_TyLeTangCa[Giờ max]&gt;$AA19)
)),0)
)),
IF(AY$4 &lt; AY$5,
IF($AA19-$Z$4&lt;AY$4,0,
IF($AA19&gt;AY$5,0,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AY$5,$AA19 &lt; AY$4),0,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Z19" s="18" cm="1">
        <f t="array" ref="AZ19" xml:space="preserve">
IFERROR(
IF(AZ$1="",0,
IF(AND(
$AA19&gt;=VLOOKUP(AZ$6, Table_ChiPhiNV_Ca[], COUNTA(Table_ChiPhiNV_Ca[[#Headers],[Ca]:[Bắt đầu nghỉ]]),0),
$AA19&lt;VLOOKUP(AZ$6, Table_ChiPhiNV_Ca[], COUNTA(Table_ChiPhiNV_Ca[[#Headers],[Ca]:[Kết thúc nghỉ]]),0)
),0,
IF(NOT(ISBLANK(AZ$3)),
IF(ISBLANK(AZ$7),0,
IF(AZ$4 &lt; AZ$5,
IF($AA19-$Z$4&lt;AZ$4,0,
IF($AA19&gt;AZ$5,0,
SUM(_xlfn._xlws.FILTER(Table_BangLuong_TyLeTangCa[Tỷ lệ],
(Table_BangLuong_TyLeTangCa[Ngày] = AZ$3) *
(Table_BangLuong_TyLeTangCa[Giờ min]&lt;=$AA19) *
(Table_BangLuong_TyLeTangCa[Giờ max]&gt;$AA19)
)))),
IF(AND($AA19-$Z$4 &gt;= AZ$5,$AA19 &lt; AZ$4),0,
SUM(_xlfn._xlws.FILTER(Table_BangLuong_TyLeTangCa[Tỷ lệ],
(Table_BangLuong_TyLeTangCa[Ngày] = AZ$3) *
(Table_BangLuong_TyLeTangCa[Giờ min]&lt;=$AA19) *
(Table_BangLuong_TyLeTangCa[Giờ max]&gt;$AA19)
))))
),
IF(ISBLANK(AZ$7),
IF(VLOOKUP(AZ$6, Table_ChiPhiNV_Ca[], COUNTA(Table_ChiPhiNV_Ca[[#Headers],[Ca]:[Kết thúc]]),0)&gt; VLOOKUP(AZ$6, Table_ChiPhiNV_Ca[], COUNTA(Table_ChiPhiNV_Ca[[#Headers],[Ca]:[Bắt đầu]]),0),
IF($AA19-$Z$4&lt;MAX(AZ$4,VLOOKUP(AZ$6, Table_ChiPhiNV_Ca[], COUNTA(Table_ChiPhiNV_Ca[[#Headers],[Ca]:[Bắt đầu]]),0)),0,
IF($AA19&gt;MIN(AZ$5,VLOOKUP(AZ$6, Table_ChiPhiNV_Ca[], COUNTA(Table_ChiPhiNV_Ca[[#Headers],[Ca]:[Kết thúc]]),0)),0,
SUM(_xlfn._xlws.FILTER(Table_BangLuong_TyLeTangCa[Tỷ lệ],
(Table_BangLuong_TyLeTangCa[Ngày] = "Thường") *
(Table_BangLuong_TyLeTangCa[Giờ min]&lt;=$AA19) *
(Table_BangLuong_TyLeTangCa[Giờ max]&gt;$AA19)
)))),
IF(AZ$4 &gt; AZ$5,
IF(
AND(
$AA19-$Z$4&lt;MAX(AZ$4,VLOOKUP(AZ$6, Table_ChiPhiNV_Ca[], COUNTA(Table_ChiPhiNV_Ca[[#Headers],[Ca]:[Bắt đầu]]),0)),
$AA19&gt;MIN(AZ$5,VLOOKUP(AZ$6, Table_ChiPhiNV_Ca[], COUNTA(Table_ChiPhiNV_Ca[[#Headers],[Ca]:[Kết thúc]]),0))),0,
SUM(_xlfn._xlws.FILTER(Table_BangLuong_TyLeTangCa[Tỷ lệ],
(Table_BangLuong_TyLeTangCa[Ngày] = "Thường") *
(Table_BangLuong_TyLeTangCa[Giờ min]&lt;=$AA19) *
(Table_BangLuong_TyLeTangCa[Giờ max]&gt;$AA19)
))),
IF(
AND(
$AA19-$Z$4&gt;=MAX(AZ$4,VLOOKUP(AZ$6, Table_ChiPhiNV_Ca[], COUNTA(Table_ChiPhiNV_Ca[[#Headers],[Ca]:[Bắt đầu]]),0)),
$AA19&lt;MIN(AZ$5,VLOOKUP(AZ$6, Table_ChiPhiNV_Ca[], COUNTA(Table_ChiPhiNV_Ca[[#Headers],[Ca]:[Kết thúc]]),0))),
SUM(_xlfn._xlws.FILTER(Table_BangLuong_TyLeTangCa[Tỷ lệ],
(Table_BangLuong_TyLeTangCa[Ngày] = "Thường") *
(Table_BangLuong_TyLeTangCa[Giờ min]&lt;=$AA19) *
(Table_BangLuong_TyLeTangCa[Giờ max]&gt;$AA19)
)),0)
)),
IF(AZ$4 &lt; AZ$5,
IF($AA19-$Z$4&lt;AZ$4,0,
IF($AA19&gt;AZ$5,0,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AZ$5,$AA19 &lt; AZ$4),0,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A19" s="18" cm="1">
        <f t="array" ref="BA19" xml:space="preserve">
IFERROR(
IF(BA$1="",0,
IF(AND(
$AA19&gt;=VLOOKUP(BA$6, Table_ChiPhiNV_Ca[], COUNTA(Table_ChiPhiNV_Ca[[#Headers],[Ca]:[Bắt đầu nghỉ]]),0),
$AA19&lt;VLOOKUP(BA$6, Table_ChiPhiNV_Ca[], COUNTA(Table_ChiPhiNV_Ca[[#Headers],[Ca]:[Kết thúc nghỉ]]),0)
),0,
IF(NOT(ISBLANK(BA$3)),
IF(ISBLANK(BA$7),0,
IF(BA$4 &lt; BA$5,
IF($AA19-$Z$4&lt;BA$4,0,
IF($AA19&gt;BA$5,0,
SUM(_xlfn._xlws.FILTER(Table_BangLuong_TyLeTangCa[Tỷ lệ],
(Table_BangLuong_TyLeTangCa[Ngày] = BA$3) *
(Table_BangLuong_TyLeTangCa[Giờ min]&lt;=$AA19) *
(Table_BangLuong_TyLeTangCa[Giờ max]&gt;$AA19)
)))),
IF(AND($AA19-$Z$4 &gt;= BA$5,$AA19 &lt; BA$4),0,
SUM(_xlfn._xlws.FILTER(Table_BangLuong_TyLeTangCa[Tỷ lệ],
(Table_BangLuong_TyLeTangCa[Ngày] = BA$3) *
(Table_BangLuong_TyLeTangCa[Giờ min]&lt;=$AA19) *
(Table_BangLuong_TyLeTangCa[Giờ max]&gt;$AA19)
))))
),
IF(ISBLANK(BA$7),
IF(VLOOKUP(BA$6, Table_ChiPhiNV_Ca[], COUNTA(Table_ChiPhiNV_Ca[[#Headers],[Ca]:[Kết thúc]]),0)&gt; VLOOKUP(BA$6, Table_ChiPhiNV_Ca[], COUNTA(Table_ChiPhiNV_Ca[[#Headers],[Ca]:[Bắt đầu]]),0),
IF($AA19-$Z$4&lt;MAX(BA$4,VLOOKUP(BA$6, Table_ChiPhiNV_Ca[], COUNTA(Table_ChiPhiNV_Ca[[#Headers],[Ca]:[Bắt đầu]]),0)),0,
IF($AA19&gt;MIN(BA$5,VLOOKUP(BA$6, Table_ChiPhiNV_Ca[], COUNTA(Table_ChiPhiNV_Ca[[#Headers],[Ca]:[Kết thúc]]),0)),0,
SUM(_xlfn._xlws.FILTER(Table_BangLuong_TyLeTangCa[Tỷ lệ],
(Table_BangLuong_TyLeTangCa[Ngày] = "Thường") *
(Table_BangLuong_TyLeTangCa[Giờ min]&lt;=$AA19) *
(Table_BangLuong_TyLeTangCa[Giờ max]&gt;$AA19)
)))),
IF(BA$4 &gt; BA$5,
IF(
AND(
$AA19-$Z$4&lt;MAX(BA$4,VLOOKUP(BA$6, Table_ChiPhiNV_Ca[], COUNTA(Table_ChiPhiNV_Ca[[#Headers],[Ca]:[Bắt đầu]]),0)),
$AA19&gt;MIN(BA$5,VLOOKUP(BA$6, Table_ChiPhiNV_Ca[], COUNTA(Table_ChiPhiNV_Ca[[#Headers],[Ca]:[Kết thúc]]),0))),0,
SUM(_xlfn._xlws.FILTER(Table_BangLuong_TyLeTangCa[Tỷ lệ],
(Table_BangLuong_TyLeTangCa[Ngày] = "Thường") *
(Table_BangLuong_TyLeTangCa[Giờ min]&lt;=$AA19) *
(Table_BangLuong_TyLeTangCa[Giờ max]&gt;$AA19)
))),
IF(
AND(
$AA19-$Z$4&gt;=MAX(BA$4,VLOOKUP(BA$6, Table_ChiPhiNV_Ca[], COUNTA(Table_ChiPhiNV_Ca[[#Headers],[Ca]:[Bắt đầu]]),0)),
$AA19&lt;MIN(BA$5,VLOOKUP(BA$6, Table_ChiPhiNV_Ca[], COUNTA(Table_ChiPhiNV_Ca[[#Headers],[Ca]:[Kết thúc]]),0))),
SUM(_xlfn._xlws.FILTER(Table_BangLuong_TyLeTangCa[Tỷ lệ],
(Table_BangLuong_TyLeTangCa[Ngày] = "Thường") *
(Table_BangLuong_TyLeTangCa[Giờ min]&lt;=$AA19) *
(Table_BangLuong_TyLeTangCa[Giờ max]&gt;$AA19)
)),0)
)),
IF(BA$4 &lt; BA$5,
IF($AA19-$Z$4&lt;BA$4,0,
IF($AA19&gt;BA$5,0,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BA$5,$AA19 &lt; BA$4),0,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B19" s="18" cm="1">
        <f t="array" ref="BB19" xml:space="preserve">
IFERROR(
IF(BB$1="",0,
IF(AND(
$AA19&gt;=VLOOKUP(BB$6, Table_ChiPhiNV_Ca[], COUNTA(Table_ChiPhiNV_Ca[[#Headers],[Ca]:[Bắt đầu nghỉ]]),0),
$AA19&lt;VLOOKUP(BB$6, Table_ChiPhiNV_Ca[], COUNTA(Table_ChiPhiNV_Ca[[#Headers],[Ca]:[Kết thúc nghỉ]]),0)
),0,
IF(NOT(ISBLANK(BB$3)),
IF(ISBLANK(BB$7),0,
IF(BB$4 &lt; BB$5,
IF($AA19-$Z$4&lt;BB$4,0,
IF($AA19&gt;BB$5,0,
SUM(_xlfn._xlws.FILTER(Table_BangLuong_TyLeTangCa[Tỷ lệ],
(Table_BangLuong_TyLeTangCa[Ngày] = BB$3) *
(Table_BangLuong_TyLeTangCa[Giờ min]&lt;=$AA19) *
(Table_BangLuong_TyLeTangCa[Giờ max]&gt;$AA19)
)))),
IF(AND($AA19-$Z$4 &gt;= BB$5,$AA19 &lt; BB$4),0,
SUM(_xlfn._xlws.FILTER(Table_BangLuong_TyLeTangCa[Tỷ lệ],
(Table_BangLuong_TyLeTangCa[Ngày] = BB$3) *
(Table_BangLuong_TyLeTangCa[Giờ min]&lt;=$AA19) *
(Table_BangLuong_TyLeTangCa[Giờ max]&gt;$AA19)
))))
),
IF(ISBLANK(BB$7),
IF(VLOOKUP(BB$6, Table_ChiPhiNV_Ca[], COUNTA(Table_ChiPhiNV_Ca[[#Headers],[Ca]:[Kết thúc]]),0)&gt; VLOOKUP(BB$6, Table_ChiPhiNV_Ca[], COUNTA(Table_ChiPhiNV_Ca[[#Headers],[Ca]:[Bắt đầu]]),0),
IF($AA19-$Z$4&lt;MAX(BB$4,VLOOKUP(BB$6, Table_ChiPhiNV_Ca[], COUNTA(Table_ChiPhiNV_Ca[[#Headers],[Ca]:[Bắt đầu]]),0)),0,
IF($AA19&gt;MIN(BB$5,VLOOKUP(BB$6, Table_ChiPhiNV_Ca[], COUNTA(Table_ChiPhiNV_Ca[[#Headers],[Ca]:[Kết thúc]]),0)),0,
SUM(_xlfn._xlws.FILTER(Table_BangLuong_TyLeTangCa[Tỷ lệ],
(Table_BangLuong_TyLeTangCa[Ngày] = "Thường") *
(Table_BangLuong_TyLeTangCa[Giờ min]&lt;=$AA19) *
(Table_BangLuong_TyLeTangCa[Giờ max]&gt;$AA19)
)))),
IF(BB$4 &gt; BB$5,
IF(
AND(
$AA19-$Z$4&lt;MAX(BB$4,VLOOKUP(BB$6, Table_ChiPhiNV_Ca[], COUNTA(Table_ChiPhiNV_Ca[[#Headers],[Ca]:[Bắt đầu]]),0)),
$AA19&gt;MIN(BB$5,VLOOKUP(BB$6, Table_ChiPhiNV_Ca[], COUNTA(Table_ChiPhiNV_Ca[[#Headers],[Ca]:[Kết thúc]]),0))),0,
SUM(_xlfn._xlws.FILTER(Table_BangLuong_TyLeTangCa[Tỷ lệ],
(Table_BangLuong_TyLeTangCa[Ngày] = "Thường") *
(Table_BangLuong_TyLeTangCa[Giờ min]&lt;=$AA19) *
(Table_BangLuong_TyLeTangCa[Giờ max]&gt;$AA19)
))),
IF(
AND(
$AA19-$Z$4&gt;=MAX(BB$4,VLOOKUP(BB$6, Table_ChiPhiNV_Ca[], COUNTA(Table_ChiPhiNV_Ca[[#Headers],[Ca]:[Bắt đầu]]),0)),
$AA19&lt;MIN(BB$5,VLOOKUP(BB$6, Table_ChiPhiNV_Ca[], COUNTA(Table_ChiPhiNV_Ca[[#Headers],[Ca]:[Kết thúc]]),0))),
SUM(_xlfn._xlws.FILTER(Table_BangLuong_TyLeTangCa[Tỷ lệ],
(Table_BangLuong_TyLeTangCa[Ngày] = "Thường") *
(Table_BangLuong_TyLeTangCa[Giờ min]&lt;=$AA19) *
(Table_BangLuong_TyLeTangCa[Giờ max]&gt;$AA19)
)),0)
)),
IF(BB$4 &lt; BB$5,
IF($AA19-$Z$4&lt;BB$4,0,
IF($AA19&gt;BB$5,0,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BB$5,$AA19 &lt; BB$4),0,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C19" s="18" cm="1">
        <f t="array" ref="BC19" xml:space="preserve">
IFERROR(
IF(BC$1="",0,
IF(AND(
$AA19&gt;=VLOOKUP(BC$6, Table_ChiPhiNV_Ca[], COUNTA(Table_ChiPhiNV_Ca[[#Headers],[Ca]:[Bắt đầu nghỉ]]),0),
$AA19&lt;VLOOKUP(BC$6, Table_ChiPhiNV_Ca[], COUNTA(Table_ChiPhiNV_Ca[[#Headers],[Ca]:[Kết thúc nghỉ]]),0)
),0,
IF(NOT(ISBLANK(BC$3)),
IF(ISBLANK(BC$7),0,
IF(BC$4 &lt; BC$5,
IF($AA19-$Z$4&lt;BC$4,0,
IF($AA19&gt;BC$5,0,
SUM(_xlfn._xlws.FILTER(Table_BangLuong_TyLeTangCa[Tỷ lệ],
(Table_BangLuong_TyLeTangCa[Ngày] = BC$3) *
(Table_BangLuong_TyLeTangCa[Giờ min]&lt;=$AA19) *
(Table_BangLuong_TyLeTangCa[Giờ max]&gt;$AA19)
)))),
IF(AND($AA19-$Z$4 &gt;= BC$5,$AA19 &lt; BC$4),0,
SUM(_xlfn._xlws.FILTER(Table_BangLuong_TyLeTangCa[Tỷ lệ],
(Table_BangLuong_TyLeTangCa[Ngày] = BC$3) *
(Table_BangLuong_TyLeTangCa[Giờ min]&lt;=$AA19) *
(Table_BangLuong_TyLeTangCa[Giờ max]&gt;$AA19)
))))
),
IF(ISBLANK(BC$7),
IF(VLOOKUP(BC$6, Table_ChiPhiNV_Ca[], COUNTA(Table_ChiPhiNV_Ca[[#Headers],[Ca]:[Kết thúc]]),0)&gt; VLOOKUP(BC$6, Table_ChiPhiNV_Ca[], COUNTA(Table_ChiPhiNV_Ca[[#Headers],[Ca]:[Bắt đầu]]),0),
IF($AA19-$Z$4&lt;MAX(BC$4,VLOOKUP(BC$6, Table_ChiPhiNV_Ca[], COUNTA(Table_ChiPhiNV_Ca[[#Headers],[Ca]:[Bắt đầu]]),0)),0,
IF($AA19&gt;MIN(BC$5,VLOOKUP(BC$6, Table_ChiPhiNV_Ca[], COUNTA(Table_ChiPhiNV_Ca[[#Headers],[Ca]:[Kết thúc]]),0)),0,
SUM(_xlfn._xlws.FILTER(Table_BangLuong_TyLeTangCa[Tỷ lệ],
(Table_BangLuong_TyLeTangCa[Ngày] = "Thường") *
(Table_BangLuong_TyLeTangCa[Giờ min]&lt;=$AA19) *
(Table_BangLuong_TyLeTangCa[Giờ max]&gt;$AA19)
)))),
IF(BC$4 &gt; BC$5,
IF(
AND(
$AA19-$Z$4&lt;MAX(BC$4,VLOOKUP(BC$6, Table_ChiPhiNV_Ca[], COUNTA(Table_ChiPhiNV_Ca[[#Headers],[Ca]:[Bắt đầu]]),0)),
$AA19&gt;MIN(BC$5,VLOOKUP(BC$6, Table_ChiPhiNV_Ca[], COUNTA(Table_ChiPhiNV_Ca[[#Headers],[Ca]:[Kết thúc]]),0))),0,
SUM(_xlfn._xlws.FILTER(Table_BangLuong_TyLeTangCa[Tỷ lệ],
(Table_BangLuong_TyLeTangCa[Ngày] = "Thường") *
(Table_BangLuong_TyLeTangCa[Giờ min]&lt;=$AA19) *
(Table_BangLuong_TyLeTangCa[Giờ max]&gt;$AA19)
))),
IF(
AND(
$AA19-$Z$4&gt;=MAX(BC$4,VLOOKUP(BC$6, Table_ChiPhiNV_Ca[], COUNTA(Table_ChiPhiNV_Ca[[#Headers],[Ca]:[Bắt đầu]]),0)),
$AA19&lt;MIN(BC$5,VLOOKUP(BC$6, Table_ChiPhiNV_Ca[], COUNTA(Table_ChiPhiNV_Ca[[#Headers],[Ca]:[Kết thúc]]),0))),
SUM(_xlfn._xlws.FILTER(Table_BangLuong_TyLeTangCa[Tỷ lệ],
(Table_BangLuong_TyLeTangCa[Ngày] = "Thường") *
(Table_BangLuong_TyLeTangCa[Giờ min]&lt;=$AA19) *
(Table_BangLuong_TyLeTangCa[Giờ max]&gt;$AA19)
)),0)
)),
IF(BC$4 &lt; BC$5,
IF($AA19-$Z$4&lt;BC$4,0,
IF($AA19&gt;BC$5,0,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BC$5,$AA19 &lt; BC$4),0,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D19" s="18" cm="1">
        <f t="array" ref="BD19" xml:space="preserve">
IFERROR(
IF(BD$1="",0,
IF(AND(
$AA19&gt;=VLOOKUP(BD$6, Table_ChiPhiNV_Ca[], COUNTA(Table_ChiPhiNV_Ca[[#Headers],[Ca]:[Bắt đầu nghỉ]]),0),
$AA19&lt;VLOOKUP(BD$6, Table_ChiPhiNV_Ca[], COUNTA(Table_ChiPhiNV_Ca[[#Headers],[Ca]:[Kết thúc nghỉ]]),0)
),0,
IF(NOT(ISBLANK(BD$3)),
IF(ISBLANK(BD$7),0,
IF(BD$4 &lt; BD$5,
IF($AA19-$Z$4&lt;BD$4,0,
IF($AA19&gt;BD$5,0,
SUM(_xlfn._xlws.FILTER(Table_BangLuong_TyLeTangCa[Tỷ lệ],
(Table_BangLuong_TyLeTangCa[Ngày] = BD$3) *
(Table_BangLuong_TyLeTangCa[Giờ min]&lt;=$AA19) *
(Table_BangLuong_TyLeTangCa[Giờ max]&gt;$AA19)
)))),
IF(AND($AA19-$Z$4 &gt;= BD$5,$AA19 &lt; BD$4),0,
SUM(_xlfn._xlws.FILTER(Table_BangLuong_TyLeTangCa[Tỷ lệ],
(Table_BangLuong_TyLeTangCa[Ngày] = BD$3) *
(Table_BangLuong_TyLeTangCa[Giờ min]&lt;=$AA19) *
(Table_BangLuong_TyLeTangCa[Giờ max]&gt;$AA19)
))))
),
IF(ISBLANK(BD$7),
IF(VLOOKUP(BD$6, Table_ChiPhiNV_Ca[], COUNTA(Table_ChiPhiNV_Ca[[#Headers],[Ca]:[Kết thúc]]),0)&gt; VLOOKUP(BD$6, Table_ChiPhiNV_Ca[], COUNTA(Table_ChiPhiNV_Ca[[#Headers],[Ca]:[Bắt đầu]]),0),
IF($AA19-$Z$4&lt;MAX(BD$4,VLOOKUP(BD$6, Table_ChiPhiNV_Ca[], COUNTA(Table_ChiPhiNV_Ca[[#Headers],[Ca]:[Bắt đầu]]),0)),0,
IF($AA19&gt;MIN(BD$5,VLOOKUP(BD$6, Table_ChiPhiNV_Ca[], COUNTA(Table_ChiPhiNV_Ca[[#Headers],[Ca]:[Kết thúc]]),0)),0,
SUM(_xlfn._xlws.FILTER(Table_BangLuong_TyLeTangCa[Tỷ lệ],
(Table_BangLuong_TyLeTangCa[Ngày] = "Thường") *
(Table_BangLuong_TyLeTangCa[Giờ min]&lt;=$AA19) *
(Table_BangLuong_TyLeTangCa[Giờ max]&gt;$AA19)
)))),
IF(BD$4 &gt; BD$5,
IF(
AND(
$AA19-$Z$4&lt;MAX(BD$4,VLOOKUP(BD$6, Table_ChiPhiNV_Ca[], COUNTA(Table_ChiPhiNV_Ca[[#Headers],[Ca]:[Bắt đầu]]),0)),
$AA19&gt;MIN(BD$5,VLOOKUP(BD$6, Table_ChiPhiNV_Ca[], COUNTA(Table_ChiPhiNV_Ca[[#Headers],[Ca]:[Kết thúc]]),0))),0,
SUM(_xlfn._xlws.FILTER(Table_BangLuong_TyLeTangCa[Tỷ lệ],
(Table_BangLuong_TyLeTangCa[Ngày] = "Thường") *
(Table_BangLuong_TyLeTangCa[Giờ min]&lt;=$AA19) *
(Table_BangLuong_TyLeTangCa[Giờ max]&gt;$AA19)
))),
IF(
AND(
$AA19-$Z$4&gt;=MAX(BD$4,VLOOKUP(BD$6, Table_ChiPhiNV_Ca[], COUNTA(Table_ChiPhiNV_Ca[[#Headers],[Ca]:[Bắt đầu]]),0)),
$AA19&lt;MIN(BD$5,VLOOKUP(BD$6, Table_ChiPhiNV_Ca[], COUNTA(Table_ChiPhiNV_Ca[[#Headers],[Ca]:[Kết thúc]]),0))),
SUM(_xlfn._xlws.FILTER(Table_BangLuong_TyLeTangCa[Tỷ lệ],
(Table_BangLuong_TyLeTangCa[Ngày] = "Thường") *
(Table_BangLuong_TyLeTangCa[Giờ min]&lt;=$AA19) *
(Table_BangLuong_TyLeTangCa[Giờ max]&gt;$AA19)
)),0)
)),
IF(BD$4 &lt; BD$5,
IF($AA19-$Z$4&lt;BD$4,0,
IF($AA19&gt;BD$5,0,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BD$5,$AA19 &lt; BD$4),0,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E19" s="18" cm="1">
        <f t="array" ref="BE19" xml:space="preserve">
IFERROR(
IF(BE$1="",0,
IF(AND(
$AA19&gt;=VLOOKUP(BE$6, Table_ChiPhiNV_Ca[], COUNTA(Table_ChiPhiNV_Ca[[#Headers],[Ca]:[Bắt đầu nghỉ]]),0),
$AA19&lt;VLOOKUP(BE$6, Table_ChiPhiNV_Ca[], COUNTA(Table_ChiPhiNV_Ca[[#Headers],[Ca]:[Kết thúc nghỉ]]),0)
),0,
IF(NOT(ISBLANK(BE$3)),
IF(ISBLANK(BE$7),0,
IF(BE$4 &lt; BE$5,
IF($AA19-$Z$4&lt;BE$4,0,
IF($AA19&gt;BE$5,0,
SUM(_xlfn._xlws.FILTER(Table_BangLuong_TyLeTangCa[Tỷ lệ],
(Table_BangLuong_TyLeTangCa[Ngày] = BE$3) *
(Table_BangLuong_TyLeTangCa[Giờ min]&lt;=$AA19) *
(Table_BangLuong_TyLeTangCa[Giờ max]&gt;$AA19)
)))),
IF(AND($AA19-$Z$4 &gt;= BE$5,$AA19 &lt; BE$4),0,
SUM(_xlfn._xlws.FILTER(Table_BangLuong_TyLeTangCa[Tỷ lệ],
(Table_BangLuong_TyLeTangCa[Ngày] = BE$3) *
(Table_BangLuong_TyLeTangCa[Giờ min]&lt;=$AA19) *
(Table_BangLuong_TyLeTangCa[Giờ max]&gt;$AA19)
))))
),
IF(ISBLANK(BE$7),
IF(VLOOKUP(BE$6, Table_ChiPhiNV_Ca[], COUNTA(Table_ChiPhiNV_Ca[[#Headers],[Ca]:[Kết thúc]]),0)&gt; VLOOKUP(BE$6, Table_ChiPhiNV_Ca[], COUNTA(Table_ChiPhiNV_Ca[[#Headers],[Ca]:[Bắt đầu]]),0),
IF($AA19-$Z$4&lt;MAX(BE$4,VLOOKUP(BE$6, Table_ChiPhiNV_Ca[], COUNTA(Table_ChiPhiNV_Ca[[#Headers],[Ca]:[Bắt đầu]]),0)),0,
IF($AA19&gt;MIN(BE$5,VLOOKUP(BE$6, Table_ChiPhiNV_Ca[], COUNTA(Table_ChiPhiNV_Ca[[#Headers],[Ca]:[Kết thúc]]),0)),0,
SUM(_xlfn._xlws.FILTER(Table_BangLuong_TyLeTangCa[Tỷ lệ],
(Table_BangLuong_TyLeTangCa[Ngày] = "Thường") *
(Table_BangLuong_TyLeTangCa[Giờ min]&lt;=$AA19) *
(Table_BangLuong_TyLeTangCa[Giờ max]&gt;$AA19)
)))),
IF(BE$4 &gt; BE$5,
IF(
AND(
$AA19-$Z$4&lt;MAX(BE$4,VLOOKUP(BE$6, Table_ChiPhiNV_Ca[], COUNTA(Table_ChiPhiNV_Ca[[#Headers],[Ca]:[Bắt đầu]]),0)),
$AA19&gt;MIN(BE$5,VLOOKUP(BE$6, Table_ChiPhiNV_Ca[], COUNTA(Table_ChiPhiNV_Ca[[#Headers],[Ca]:[Kết thúc]]),0))),0,
SUM(_xlfn._xlws.FILTER(Table_BangLuong_TyLeTangCa[Tỷ lệ],
(Table_BangLuong_TyLeTangCa[Ngày] = "Thường") *
(Table_BangLuong_TyLeTangCa[Giờ min]&lt;=$AA19) *
(Table_BangLuong_TyLeTangCa[Giờ max]&gt;$AA19)
))),
IF(
AND(
$AA19-$Z$4&gt;=MAX(BE$4,VLOOKUP(BE$6, Table_ChiPhiNV_Ca[], COUNTA(Table_ChiPhiNV_Ca[[#Headers],[Ca]:[Bắt đầu]]),0)),
$AA19&lt;MIN(BE$5,VLOOKUP(BE$6, Table_ChiPhiNV_Ca[], COUNTA(Table_ChiPhiNV_Ca[[#Headers],[Ca]:[Kết thúc]]),0))),
SUM(_xlfn._xlws.FILTER(Table_BangLuong_TyLeTangCa[Tỷ lệ],
(Table_BangLuong_TyLeTangCa[Ngày] = "Thường") *
(Table_BangLuong_TyLeTangCa[Giờ min]&lt;=$AA19) *
(Table_BangLuong_TyLeTangCa[Giờ max]&gt;$AA19)
)),0)
)),
IF(BE$4 &lt; BE$5,
IF($AA19-$Z$4&lt;BE$4,0,
IF($AA19&gt;BE$5,0,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BE$5,$AA19 &lt; BE$4),0,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F19" s="18" cm="1">
        <f t="array" ref="BF19" xml:space="preserve">
IFERROR(
IF(BF$1="",0,
IF(AND(
$AA19&gt;=VLOOKUP(BF$6, Table_ChiPhiNV_Ca[], COUNTA(Table_ChiPhiNV_Ca[[#Headers],[Ca]:[Bắt đầu nghỉ]]),0),
$AA19&lt;VLOOKUP(BF$6, Table_ChiPhiNV_Ca[], COUNTA(Table_ChiPhiNV_Ca[[#Headers],[Ca]:[Kết thúc nghỉ]]),0)
),0,
IF(NOT(ISBLANK(BF$3)),
IF(ISBLANK(BF$7),0,
IF(BF$4 &lt; BF$5,
IF($AA19-$Z$4&lt;BF$4,0,
IF($AA19&gt;BF$5,0,
SUM(_xlfn._xlws.FILTER(Table_BangLuong_TyLeTangCa[Tỷ lệ],
(Table_BangLuong_TyLeTangCa[Ngày] = BF$3) *
(Table_BangLuong_TyLeTangCa[Giờ min]&lt;=$AA19) *
(Table_BangLuong_TyLeTangCa[Giờ max]&gt;$AA19)
)))),
IF(AND($AA19-$Z$4 &gt;= BF$5,$AA19 &lt; BF$4),0,
SUM(_xlfn._xlws.FILTER(Table_BangLuong_TyLeTangCa[Tỷ lệ],
(Table_BangLuong_TyLeTangCa[Ngày] = BF$3) *
(Table_BangLuong_TyLeTangCa[Giờ min]&lt;=$AA19) *
(Table_BangLuong_TyLeTangCa[Giờ max]&gt;$AA19)
))))
),
IF(ISBLANK(BF$7),
IF(VLOOKUP(BF$6, Table_ChiPhiNV_Ca[], COUNTA(Table_ChiPhiNV_Ca[[#Headers],[Ca]:[Kết thúc]]),0)&gt; VLOOKUP(BF$6, Table_ChiPhiNV_Ca[], COUNTA(Table_ChiPhiNV_Ca[[#Headers],[Ca]:[Bắt đầu]]),0),
IF($AA19-$Z$4&lt;MAX(BF$4,VLOOKUP(BF$6, Table_ChiPhiNV_Ca[], COUNTA(Table_ChiPhiNV_Ca[[#Headers],[Ca]:[Bắt đầu]]),0)),0,
IF($AA19&gt;MIN(BF$5,VLOOKUP(BF$6, Table_ChiPhiNV_Ca[], COUNTA(Table_ChiPhiNV_Ca[[#Headers],[Ca]:[Kết thúc]]),0)),0,
SUM(_xlfn._xlws.FILTER(Table_BangLuong_TyLeTangCa[Tỷ lệ],
(Table_BangLuong_TyLeTangCa[Ngày] = "Thường") *
(Table_BangLuong_TyLeTangCa[Giờ min]&lt;=$AA19) *
(Table_BangLuong_TyLeTangCa[Giờ max]&gt;$AA19)
)))),
IF(BF$4 &gt; BF$5,
IF(
AND(
$AA19-$Z$4&lt;MAX(BF$4,VLOOKUP(BF$6, Table_ChiPhiNV_Ca[], COUNTA(Table_ChiPhiNV_Ca[[#Headers],[Ca]:[Bắt đầu]]),0)),
$AA19&gt;MIN(BF$5,VLOOKUP(BF$6, Table_ChiPhiNV_Ca[], COUNTA(Table_ChiPhiNV_Ca[[#Headers],[Ca]:[Kết thúc]]),0))),0,
SUM(_xlfn._xlws.FILTER(Table_BangLuong_TyLeTangCa[Tỷ lệ],
(Table_BangLuong_TyLeTangCa[Ngày] = "Thường") *
(Table_BangLuong_TyLeTangCa[Giờ min]&lt;=$AA19) *
(Table_BangLuong_TyLeTangCa[Giờ max]&gt;$AA19)
))),
IF(
AND(
$AA19-$Z$4&gt;=MAX(BF$4,VLOOKUP(BF$6, Table_ChiPhiNV_Ca[], COUNTA(Table_ChiPhiNV_Ca[[#Headers],[Ca]:[Bắt đầu]]),0)),
$AA19&lt;MIN(BF$5,VLOOKUP(BF$6, Table_ChiPhiNV_Ca[], COUNTA(Table_ChiPhiNV_Ca[[#Headers],[Ca]:[Kết thúc]]),0))),
SUM(_xlfn._xlws.FILTER(Table_BangLuong_TyLeTangCa[Tỷ lệ],
(Table_BangLuong_TyLeTangCa[Ngày] = "Thường") *
(Table_BangLuong_TyLeTangCa[Giờ min]&lt;=$AA19) *
(Table_BangLuong_TyLeTangCa[Giờ max]&gt;$AA19)
)),0)
)),
IF(BF$4 &lt; BF$5,
IF($AA19-$Z$4&lt;BF$4,0,
IF($AA19&gt;BF$5,0,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BF$5,$AA19 &lt; BF$4),0,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row>
    <row r="20" spans="2:58" ht="18" customHeight="1" outlineLevel="1" x14ac:dyDescent="0.3">
      <c r="X20" s="39"/>
      <c r="AA20" s="50">
        <v>0.22916666666666699</v>
      </c>
      <c r="AB20" s="18" cm="1">
        <f t="array" ref="AB20" xml:space="preserve">
IFERROR(
IF(AB$1="",0,
IF(AND(
$AA20&gt;=VLOOKUP(AB$6, Table_ChiPhiNV_Ca[], COUNTA(Table_ChiPhiNV_Ca[[#Headers],[Ca]:[Bắt đầu nghỉ]]),0),
$AA20&lt;VLOOKUP(AB$6, Table_ChiPhiNV_Ca[], COUNTA(Table_ChiPhiNV_Ca[[#Headers],[Ca]:[Kết thúc nghỉ]]),0)
),0,
IF(NOT(ISBLANK(AB$3)),
IF(ISBLANK(AB$7),0,
IF(AB$4 &lt; AB$5,
IF($AA20-$Z$4&lt;AB$4,0,
IF($AA20&gt;AB$5,0,
SUM(_xlfn._xlws.FILTER(Table_BangLuong_TyLeTangCa[Tỷ lệ],
(Table_BangLuong_TyLeTangCa[Ngày] = AB$3) *
(Table_BangLuong_TyLeTangCa[Giờ min]&lt;=$AA20) *
(Table_BangLuong_TyLeTangCa[Giờ max]&gt;$AA20)
)))),
IF(AND($AA20-$Z$4 &gt;= AB$5,$AA20 &lt; AB$4),0,
SUM(_xlfn._xlws.FILTER(Table_BangLuong_TyLeTangCa[Tỷ lệ],
(Table_BangLuong_TyLeTangCa[Ngày] = AB$3) *
(Table_BangLuong_TyLeTangCa[Giờ min]&lt;=$AA20) *
(Table_BangLuong_TyLeTangCa[Giờ max]&gt;$AA20)
))))
),
IF(ISBLANK(AB$7),
IF(VLOOKUP(AB$6, Table_ChiPhiNV_Ca[], COUNTA(Table_ChiPhiNV_Ca[[#Headers],[Ca]:[Kết thúc]]),0)&gt; VLOOKUP(AB$6, Table_ChiPhiNV_Ca[], COUNTA(Table_ChiPhiNV_Ca[[#Headers],[Ca]:[Bắt đầu]]),0),
IF($AA20-$Z$4&lt;MAX(AB$4,VLOOKUP(AB$6, Table_ChiPhiNV_Ca[], COUNTA(Table_ChiPhiNV_Ca[[#Headers],[Ca]:[Bắt đầu]]),0)),0,
IF($AA20&gt;MIN(AB$5,VLOOKUP(AB$6, Table_ChiPhiNV_Ca[], COUNTA(Table_ChiPhiNV_Ca[[#Headers],[Ca]:[Kết thúc]]),0)),0,
SUM(_xlfn._xlws.FILTER(Table_BangLuong_TyLeTangCa[Tỷ lệ],
(Table_BangLuong_TyLeTangCa[Ngày] = "Thường") *
(Table_BangLuong_TyLeTangCa[Giờ min]&lt;=$AA20) *
(Table_BangLuong_TyLeTangCa[Giờ max]&gt;$AA20)
)))),
IF(AB$4 &gt; AB$5,
IF(
AND(
$AA20-$Z$4&lt;MAX(AB$4,VLOOKUP(AB$6, Table_ChiPhiNV_Ca[], COUNTA(Table_ChiPhiNV_Ca[[#Headers],[Ca]:[Bắt đầu]]),0)),
$AA20&gt;MIN(AB$5,VLOOKUP(AB$6, Table_ChiPhiNV_Ca[], COUNTA(Table_ChiPhiNV_Ca[[#Headers],[Ca]:[Kết thúc]]),0))),0,
SUM(_xlfn._xlws.FILTER(Table_BangLuong_TyLeTangCa[Tỷ lệ],
(Table_BangLuong_TyLeTangCa[Ngày] = "Thường") *
(Table_BangLuong_TyLeTangCa[Giờ min]&lt;=$AA20) *
(Table_BangLuong_TyLeTangCa[Giờ max]&gt;$AA20)
))),
IF(
AND(
$AA20-$Z$4&gt;=MAX(AB$4,VLOOKUP(AB$6, Table_ChiPhiNV_Ca[], COUNTA(Table_ChiPhiNV_Ca[[#Headers],[Ca]:[Bắt đầu]]),0)),
$AA20&lt;MIN(AB$5,VLOOKUP(AB$6, Table_ChiPhiNV_Ca[], COUNTA(Table_ChiPhiNV_Ca[[#Headers],[Ca]:[Kết thúc]]),0))),
SUM(_xlfn._xlws.FILTER(Table_BangLuong_TyLeTangCa[Tỷ lệ],
(Table_BangLuong_TyLeTangCa[Ngày] = "Thường") *
(Table_BangLuong_TyLeTangCa[Giờ min]&lt;=$AA20) *
(Table_BangLuong_TyLeTangCa[Giờ max]&gt;$AA20)
)),0)
)),
IF(AB$4 &lt; AB$5,
IF($AA20-$Z$4&lt;AB$4,0,
IF($AA20&gt;AB$5,0,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AB$5,$AA20 &lt; AB$4),0,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C20" s="18" cm="1">
        <f t="array" ref="AC20" xml:space="preserve">
IFERROR(
IF(AC$1="",0,
IF(AND(
$AA20&gt;=VLOOKUP(AC$6, Table_ChiPhiNV_Ca[], COUNTA(Table_ChiPhiNV_Ca[[#Headers],[Ca]:[Bắt đầu nghỉ]]),0),
$AA20&lt;VLOOKUP(AC$6, Table_ChiPhiNV_Ca[], COUNTA(Table_ChiPhiNV_Ca[[#Headers],[Ca]:[Kết thúc nghỉ]]),0)
),0,
IF(NOT(ISBLANK(AC$3)),
IF(ISBLANK(AC$7),0,
IF(AC$4 &lt; AC$5,
IF($AA20-$Z$4&lt;AC$4,0,
IF($AA20&gt;AC$5,0,
SUM(_xlfn._xlws.FILTER(Table_BangLuong_TyLeTangCa[Tỷ lệ],
(Table_BangLuong_TyLeTangCa[Ngày] = AC$3) *
(Table_BangLuong_TyLeTangCa[Giờ min]&lt;=$AA20) *
(Table_BangLuong_TyLeTangCa[Giờ max]&gt;$AA20)
)))),
IF(AND($AA20-$Z$4 &gt;= AC$5,$AA20 &lt; AC$4),0,
SUM(_xlfn._xlws.FILTER(Table_BangLuong_TyLeTangCa[Tỷ lệ],
(Table_BangLuong_TyLeTangCa[Ngày] = AC$3) *
(Table_BangLuong_TyLeTangCa[Giờ min]&lt;=$AA20) *
(Table_BangLuong_TyLeTangCa[Giờ max]&gt;$AA20)
))))
),
IF(ISBLANK(AC$7),
IF(VLOOKUP(AC$6, Table_ChiPhiNV_Ca[], COUNTA(Table_ChiPhiNV_Ca[[#Headers],[Ca]:[Kết thúc]]),0)&gt; VLOOKUP(AC$6, Table_ChiPhiNV_Ca[], COUNTA(Table_ChiPhiNV_Ca[[#Headers],[Ca]:[Bắt đầu]]),0),
IF($AA20-$Z$4&lt;MAX(AC$4,VLOOKUP(AC$6, Table_ChiPhiNV_Ca[], COUNTA(Table_ChiPhiNV_Ca[[#Headers],[Ca]:[Bắt đầu]]),0)),0,
IF($AA20&gt;MIN(AC$5,VLOOKUP(AC$6, Table_ChiPhiNV_Ca[], COUNTA(Table_ChiPhiNV_Ca[[#Headers],[Ca]:[Kết thúc]]),0)),0,
SUM(_xlfn._xlws.FILTER(Table_BangLuong_TyLeTangCa[Tỷ lệ],
(Table_BangLuong_TyLeTangCa[Ngày] = "Thường") *
(Table_BangLuong_TyLeTangCa[Giờ min]&lt;=$AA20) *
(Table_BangLuong_TyLeTangCa[Giờ max]&gt;$AA20)
)))),
IF(AC$4 &gt; AC$5,
IF(
AND(
$AA20-$Z$4&lt;MAX(AC$4,VLOOKUP(AC$6, Table_ChiPhiNV_Ca[], COUNTA(Table_ChiPhiNV_Ca[[#Headers],[Ca]:[Bắt đầu]]),0)),
$AA20&gt;MIN(AC$5,VLOOKUP(AC$6, Table_ChiPhiNV_Ca[], COUNTA(Table_ChiPhiNV_Ca[[#Headers],[Ca]:[Kết thúc]]),0))),0,
SUM(_xlfn._xlws.FILTER(Table_BangLuong_TyLeTangCa[Tỷ lệ],
(Table_BangLuong_TyLeTangCa[Ngày] = "Thường") *
(Table_BangLuong_TyLeTangCa[Giờ min]&lt;=$AA20) *
(Table_BangLuong_TyLeTangCa[Giờ max]&gt;$AA20)
))),
IF(
AND(
$AA20-$Z$4&gt;=MAX(AC$4,VLOOKUP(AC$6, Table_ChiPhiNV_Ca[], COUNTA(Table_ChiPhiNV_Ca[[#Headers],[Ca]:[Bắt đầu]]),0)),
$AA20&lt;MIN(AC$5,VLOOKUP(AC$6, Table_ChiPhiNV_Ca[], COUNTA(Table_ChiPhiNV_Ca[[#Headers],[Ca]:[Kết thúc]]),0))),
SUM(_xlfn._xlws.FILTER(Table_BangLuong_TyLeTangCa[Tỷ lệ],
(Table_BangLuong_TyLeTangCa[Ngày] = "Thường") *
(Table_BangLuong_TyLeTangCa[Giờ min]&lt;=$AA20) *
(Table_BangLuong_TyLeTangCa[Giờ max]&gt;$AA20)
)),0)
)),
IF(AC$4 &lt; AC$5,
IF($AA20-$Z$4&lt;AC$4,0,
IF($AA20&gt;AC$5,0,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AC$5,$AA20 &lt; AC$4),0,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D20" s="18" cm="1">
        <f t="array" ref="AD20" xml:space="preserve">
IFERROR(
IF(AD$1="",0,
IF(AND(
$AA20&gt;=VLOOKUP(AD$6, Table_ChiPhiNV_Ca[], COUNTA(Table_ChiPhiNV_Ca[[#Headers],[Ca]:[Bắt đầu nghỉ]]),0),
$AA20&lt;VLOOKUP(AD$6, Table_ChiPhiNV_Ca[], COUNTA(Table_ChiPhiNV_Ca[[#Headers],[Ca]:[Kết thúc nghỉ]]),0)
),0,
IF(NOT(ISBLANK(AD$3)),
IF(ISBLANK(AD$7),0,
IF(AD$4 &lt; AD$5,
IF($AA20-$Z$4&lt;AD$4,0,
IF($AA20&gt;AD$5,0,
SUM(_xlfn._xlws.FILTER(Table_BangLuong_TyLeTangCa[Tỷ lệ],
(Table_BangLuong_TyLeTangCa[Ngày] = AD$3) *
(Table_BangLuong_TyLeTangCa[Giờ min]&lt;=$AA20) *
(Table_BangLuong_TyLeTangCa[Giờ max]&gt;$AA20)
)))),
IF(AND($AA20-$Z$4 &gt;= AD$5,$AA20 &lt; AD$4),0,
SUM(_xlfn._xlws.FILTER(Table_BangLuong_TyLeTangCa[Tỷ lệ],
(Table_BangLuong_TyLeTangCa[Ngày] = AD$3) *
(Table_BangLuong_TyLeTangCa[Giờ min]&lt;=$AA20) *
(Table_BangLuong_TyLeTangCa[Giờ max]&gt;$AA20)
))))
),
IF(ISBLANK(AD$7),
IF(VLOOKUP(AD$6, Table_ChiPhiNV_Ca[], COUNTA(Table_ChiPhiNV_Ca[[#Headers],[Ca]:[Kết thúc]]),0)&gt; VLOOKUP(AD$6, Table_ChiPhiNV_Ca[], COUNTA(Table_ChiPhiNV_Ca[[#Headers],[Ca]:[Bắt đầu]]),0),
IF($AA20-$Z$4&lt;MAX(AD$4,VLOOKUP(AD$6, Table_ChiPhiNV_Ca[], COUNTA(Table_ChiPhiNV_Ca[[#Headers],[Ca]:[Bắt đầu]]),0)),0,
IF($AA20&gt;MIN(AD$5,VLOOKUP(AD$6, Table_ChiPhiNV_Ca[], COUNTA(Table_ChiPhiNV_Ca[[#Headers],[Ca]:[Kết thúc]]),0)),0,
SUM(_xlfn._xlws.FILTER(Table_BangLuong_TyLeTangCa[Tỷ lệ],
(Table_BangLuong_TyLeTangCa[Ngày] = "Thường") *
(Table_BangLuong_TyLeTangCa[Giờ min]&lt;=$AA20) *
(Table_BangLuong_TyLeTangCa[Giờ max]&gt;$AA20)
)))),
IF(AD$4 &gt; AD$5,
IF(
AND(
$AA20-$Z$4&lt;MAX(AD$4,VLOOKUP(AD$6, Table_ChiPhiNV_Ca[], COUNTA(Table_ChiPhiNV_Ca[[#Headers],[Ca]:[Bắt đầu]]),0)),
$AA20&gt;MIN(AD$5,VLOOKUP(AD$6, Table_ChiPhiNV_Ca[], COUNTA(Table_ChiPhiNV_Ca[[#Headers],[Ca]:[Kết thúc]]),0))),0,
SUM(_xlfn._xlws.FILTER(Table_BangLuong_TyLeTangCa[Tỷ lệ],
(Table_BangLuong_TyLeTangCa[Ngày] = "Thường") *
(Table_BangLuong_TyLeTangCa[Giờ min]&lt;=$AA20) *
(Table_BangLuong_TyLeTangCa[Giờ max]&gt;$AA20)
))),
IF(
AND(
$AA20-$Z$4&gt;=MAX(AD$4,VLOOKUP(AD$6, Table_ChiPhiNV_Ca[], COUNTA(Table_ChiPhiNV_Ca[[#Headers],[Ca]:[Bắt đầu]]),0)),
$AA20&lt;MIN(AD$5,VLOOKUP(AD$6, Table_ChiPhiNV_Ca[], COUNTA(Table_ChiPhiNV_Ca[[#Headers],[Ca]:[Kết thúc]]),0))),
SUM(_xlfn._xlws.FILTER(Table_BangLuong_TyLeTangCa[Tỷ lệ],
(Table_BangLuong_TyLeTangCa[Ngày] = "Thường") *
(Table_BangLuong_TyLeTangCa[Giờ min]&lt;=$AA20) *
(Table_BangLuong_TyLeTangCa[Giờ max]&gt;$AA20)
)),0)
)),
IF(AD$4 &lt; AD$5,
IF($AA20-$Z$4&lt;AD$4,0,
IF($AA20&gt;AD$5,0,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AD$5,$AA20 &lt; AD$4),0,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E20" s="18" cm="1">
        <f t="array" ref="AE20" xml:space="preserve">
IFERROR(
IF(AE$1="",0,
IF(AND(
$AA20&gt;=VLOOKUP(AE$6, Table_ChiPhiNV_Ca[], COUNTA(Table_ChiPhiNV_Ca[[#Headers],[Ca]:[Bắt đầu nghỉ]]),0),
$AA20&lt;VLOOKUP(AE$6, Table_ChiPhiNV_Ca[], COUNTA(Table_ChiPhiNV_Ca[[#Headers],[Ca]:[Kết thúc nghỉ]]),0)
),0,
IF(NOT(ISBLANK(AE$3)),
IF(ISBLANK(AE$7),0,
IF(AE$4 &lt; AE$5,
IF($AA20-$Z$4&lt;AE$4,0,
IF($AA20&gt;AE$5,0,
SUM(_xlfn._xlws.FILTER(Table_BangLuong_TyLeTangCa[Tỷ lệ],
(Table_BangLuong_TyLeTangCa[Ngày] = AE$3) *
(Table_BangLuong_TyLeTangCa[Giờ min]&lt;=$AA20) *
(Table_BangLuong_TyLeTangCa[Giờ max]&gt;$AA20)
)))),
IF(AND($AA20-$Z$4 &gt;= AE$5,$AA20 &lt; AE$4),0,
SUM(_xlfn._xlws.FILTER(Table_BangLuong_TyLeTangCa[Tỷ lệ],
(Table_BangLuong_TyLeTangCa[Ngày] = AE$3) *
(Table_BangLuong_TyLeTangCa[Giờ min]&lt;=$AA20) *
(Table_BangLuong_TyLeTangCa[Giờ max]&gt;$AA20)
))))
),
IF(ISBLANK(AE$7),
IF(VLOOKUP(AE$6, Table_ChiPhiNV_Ca[], COUNTA(Table_ChiPhiNV_Ca[[#Headers],[Ca]:[Kết thúc]]),0)&gt; VLOOKUP(AE$6, Table_ChiPhiNV_Ca[], COUNTA(Table_ChiPhiNV_Ca[[#Headers],[Ca]:[Bắt đầu]]),0),
IF($AA20-$Z$4&lt;MAX(AE$4,VLOOKUP(AE$6, Table_ChiPhiNV_Ca[], COUNTA(Table_ChiPhiNV_Ca[[#Headers],[Ca]:[Bắt đầu]]),0)),0,
IF($AA20&gt;MIN(AE$5,VLOOKUP(AE$6, Table_ChiPhiNV_Ca[], COUNTA(Table_ChiPhiNV_Ca[[#Headers],[Ca]:[Kết thúc]]),0)),0,
SUM(_xlfn._xlws.FILTER(Table_BangLuong_TyLeTangCa[Tỷ lệ],
(Table_BangLuong_TyLeTangCa[Ngày] = "Thường") *
(Table_BangLuong_TyLeTangCa[Giờ min]&lt;=$AA20) *
(Table_BangLuong_TyLeTangCa[Giờ max]&gt;$AA20)
)))),
IF(AE$4 &gt; AE$5,
IF(
AND(
$AA20-$Z$4&lt;MAX(AE$4,VLOOKUP(AE$6, Table_ChiPhiNV_Ca[], COUNTA(Table_ChiPhiNV_Ca[[#Headers],[Ca]:[Bắt đầu]]),0)),
$AA20&gt;MIN(AE$5,VLOOKUP(AE$6, Table_ChiPhiNV_Ca[], COUNTA(Table_ChiPhiNV_Ca[[#Headers],[Ca]:[Kết thúc]]),0))),0,
SUM(_xlfn._xlws.FILTER(Table_BangLuong_TyLeTangCa[Tỷ lệ],
(Table_BangLuong_TyLeTangCa[Ngày] = "Thường") *
(Table_BangLuong_TyLeTangCa[Giờ min]&lt;=$AA20) *
(Table_BangLuong_TyLeTangCa[Giờ max]&gt;$AA20)
))),
IF(
AND(
$AA20-$Z$4&gt;=MAX(AE$4,VLOOKUP(AE$6, Table_ChiPhiNV_Ca[], COUNTA(Table_ChiPhiNV_Ca[[#Headers],[Ca]:[Bắt đầu]]),0)),
$AA20&lt;MIN(AE$5,VLOOKUP(AE$6, Table_ChiPhiNV_Ca[], COUNTA(Table_ChiPhiNV_Ca[[#Headers],[Ca]:[Kết thúc]]),0))),
SUM(_xlfn._xlws.FILTER(Table_BangLuong_TyLeTangCa[Tỷ lệ],
(Table_BangLuong_TyLeTangCa[Ngày] = "Thường") *
(Table_BangLuong_TyLeTangCa[Giờ min]&lt;=$AA20) *
(Table_BangLuong_TyLeTangCa[Giờ max]&gt;$AA20)
)),0)
)),
IF(AE$4 &lt; AE$5,
IF($AA20-$Z$4&lt;AE$4,0,
IF($AA20&gt;AE$5,0,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AE$5,$AA20 &lt; AE$4),0,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F20" s="18" cm="1">
        <f t="array" ref="AF20" xml:space="preserve">
IFERROR(
IF(AF$1="",0,
IF(AND(
$AA20&gt;=VLOOKUP(AF$6, Table_ChiPhiNV_Ca[], COUNTA(Table_ChiPhiNV_Ca[[#Headers],[Ca]:[Bắt đầu nghỉ]]),0),
$AA20&lt;VLOOKUP(AF$6, Table_ChiPhiNV_Ca[], COUNTA(Table_ChiPhiNV_Ca[[#Headers],[Ca]:[Kết thúc nghỉ]]),0)
),0,
IF(NOT(ISBLANK(AF$3)),
IF(ISBLANK(AF$7),0,
IF(AF$4 &lt; AF$5,
IF($AA20-$Z$4&lt;AF$4,0,
IF($AA20&gt;AF$5,0,
SUM(_xlfn._xlws.FILTER(Table_BangLuong_TyLeTangCa[Tỷ lệ],
(Table_BangLuong_TyLeTangCa[Ngày] = AF$3) *
(Table_BangLuong_TyLeTangCa[Giờ min]&lt;=$AA20) *
(Table_BangLuong_TyLeTangCa[Giờ max]&gt;$AA20)
)))),
IF(AND($AA20-$Z$4 &gt;= AF$5,$AA20 &lt; AF$4),0,
SUM(_xlfn._xlws.FILTER(Table_BangLuong_TyLeTangCa[Tỷ lệ],
(Table_BangLuong_TyLeTangCa[Ngày] = AF$3) *
(Table_BangLuong_TyLeTangCa[Giờ min]&lt;=$AA20) *
(Table_BangLuong_TyLeTangCa[Giờ max]&gt;$AA20)
))))
),
IF(ISBLANK(AF$7),
IF(VLOOKUP(AF$6, Table_ChiPhiNV_Ca[], COUNTA(Table_ChiPhiNV_Ca[[#Headers],[Ca]:[Kết thúc]]),0)&gt; VLOOKUP(AF$6, Table_ChiPhiNV_Ca[], COUNTA(Table_ChiPhiNV_Ca[[#Headers],[Ca]:[Bắt đầu]]),0),
IF($AA20-$Z$4&lt;MAX(AF$4,VLOOKUP(AF$6, Table_ChiPhiNV_Ca[], COUNTA(Table_ChiPhiNV_Ca[[#Headers],[Ca]:[Bắt đầu]]),0)),0,
IF($AA20&gt;MIN(AF$5,VLOOKUP(AF$6, Table_ChiPhiNV_Ca[], COUNTA(Table_ChiPhiNV_Ca[[#Headers],[Ca]:[Kết thúc]]),0)),0,
SUM(_xlfn._xlws.FILTER(Table_BangLuong_TyLeTangCa[Tỷ lệ],
(Table_BangLuong_TyLeTangCa[Ngày] = "Thường") *
(Table_BangLuong_TyLeTangCa[Giờ min]&lt;=$AA20) *
(Table_BangLuong_TyLeTangCa[Giờ max]&gt;$AA20)
)))),
IF(AF$4 &gt; AF$5,
IF(
AND(
$AA20-$Z$4&lt;MAX(AF$4,VLOOKUP(AF$6, Table_ChiPhiNV_Ca[], COUNTA(Table_ChiPhiNV_Ca[[#Headers],[Ca]:[Bắt đầu]]),0)),
$AA20&gt;MIN(AF$5,VLOOKUP(AF$6, Table_ChiPhiNV_Ca[], COUNTA(Table_ChiPhiNV_Ca[[#Headers],[Ca]:[Kết thúc]]),0))),0,
SUM(_xlfn._xlws.FILTER(Table_BangLuong_TyLeTangCa[Tỷ lệ],
(Table_BangLuong_TyLeTangCa[Ngày] = "Thường") *
(Table_BangLuong_TyLeTangCa[Giờ min]&lt;=$AA20) *
(Table_BangLuong_TyLeTangCa[Giờ max]&gt;$AA20)
))),
IF(
AND(
$AA20-$Z$4&gt;=MAX(AF$4,VLOOKUP(AF$6, Table_ChiPhiNV_Ca[], COUNTA(Table_ChiPhiNV_Ca[[#Headers],[Ca]:[Bắt đầu]]),0)),
$AA20&lt;MIN(AF$5,VLOOKUP(AF$6, Table_ChiPhiNV_Ca[], COUNTA(Table_ChiPhiNV_Ca[[#Headers],[Ca]:[Kết thúc]]),0))),
SUM(_xlfn._xlws.FILTER(Table_BangLuong_TyLeTangCa[Tỷ lệ],
(Table_BangLuong_TyLeTangCa[Ngày] = "Thường") *
(Table_BangLuong_TyLeTangCa[Giờ min]&lt;=$AA20) *
(Table_BangLuong_TyLeTangCa[Giờ max]&gt;$AA20)
)),0)
)),
IF(AF$4 &lt; AF$5,
IF($AA20-$Z$4&lt;AF$4,0,
IF($AA20&gt;AF$5,0,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AF$5,$AA20 &lt; AF$4),0,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G20" s="18" cm="1">
        <f t="array" ref="AG20" xml:space="preserve">
IFERROR(
IF(AG$1="",0,
IF(AND(
$AA20&gt;=VLOOKUP(AG$6, Table_ChiPhiNV_Ca[], COUNTA(Table_ChiPhiNV_Ca[[#Headers],[Ca]:[Bắt đầu nghỉ]]),0),
$AA20&lt;VLOOKUP(AG$6, Table_ChiPhiNV_Ca[], COUNTA(Table_ChiPhiNV_Ca[[#Headers],[Ca]:[Kết thúc nghỉ]]),0)
),0,
IF(NOT(ISBLANK(AG$3)),
IF(ISBLANK(AG$7),0,
IF(AG$4 &lt; AG$5,
IF($AA20-$Z$4&lt;AG$4,0,
IF($AA20&gt;AG$5,0,
SUM(_xlfn._xlws.FILTER(Table_BangLuong_TyLeTangCa[Tỷ lệ],
(Table_BangLuong_TyLeTangCa[Ngày] = AG$3) *
(Table_BangLuong_TyLeTangCa[Giờ min]&lt;=$AA20) *
(Table_BangLuong_TyLeTangCa[Giờ max]&gt;$AA20)
)))),
IF(AND($AA20-$Z$4 &gt;= AG$5,$AA20 &lt; AG$4),0,
SUM(_xlfn._xlws.FILTER(Table_BangLuong_TyLeTangCa[Tỷ lệ],
(Table_BangLuong_TyLeTangCa[Ngày] = AG$3) *
(Table_BangLuong_TyLeTangCa[Giờ min]&lt;=$AA20) *
(Table_BangLuong_TyLeTangCa[Giờ max]&gt;$AA20)
))))
),
IF(ISBLANK(AG$7),
IF(VLOOKUP(AG$6, Table_ChiPhiNV_Ca[], COUNTA(Table_ChiPhiNV_Ca[[#Headers],[Ca]:[Kết thúc]]),0)&gt; VLOOKUP(AG$6, Table_ChiPhiNV_Ca[], COUNTA(Table_ChiPhiNV_Ca[[#Headers],[Ca]:[Bắt đầu]]),0),
IF($AA20-$Z$4&lt;MAX(AG$4,VLOOKUP(AG$6, Table_ChiPhiNV_Ca[], COUNTA(Table_ChiPhiNV_Ca[[#Headers],[Ca]:[Bắt đầu]]),0)),0,
IF($AA20&gt;MIN(AG$5,VLOOKUP(AG$6, Table_ChiPhiNV_Ca[], COUNTA(Table_ChiPhiNV_Ca[[#Headers],[Ca]:[Kết thúc]]),0)),0,
SUM(_xlfn._xlws.FILTER(Table_BangLuong_TyLeTangCa[Tỷ lệ],
(Table_BangLuong_TyLeTangCa[Ngày] = "Thường") *
(Table_BangLuong_TyLeTangCa[Giờ min]&lt;=$AA20) *
(Table_BangLuong_TyLeTangCa[Giờ max]&gt;$AA20)
)))),
IF(AG$4 &gt; AG$5,
IF(
AND(
$AA20-$Z$4&lt;MAX(AG$4,VLOOKUP(AG$6, Table_ChiPhiNV_Ca[], COUNTA(Table_ChiPhiNV_Ca[[#Headers],[Ca]:[Bắt đầu]]),0)),
$AA20&gt;MIN(AG$5,VLOOKUP(AG$6, Table_ChiPhiNV_Ca[], COUNTA(Table_ChiPhiNV_Ca[[#Headers],[Ca]:[Kết thúc]]),0))),0,
SUM(_xlfn._xlws.FILTER(Table_BangLuong_TyLeTangCa[Tỷ lệ],
(Table_BangLuong_TyLeTangCa[Ngày] = "Thường") *
(Table_BangLuong_TyLeTangCa[Giờ min]&lt;=$AA20) *
(Table_BangLuong_TyLeTangCa[Giờ max]&gt;$AA20)
))),
IF(
AND(
$AA20-$Z$4&gt;=MAX(AG$4,VLOOKUP(AG$6, Table_ChiPhiNV_Ca[], COUNTA(Table_ChiPhiNV_Ca[[#Headers],[Ca]:[Bắt đầu]]),0)),
$AA20&lt;MIN(AG$5,VLOOKUP(AG$6, Table_ChiPhiNV_Ca[], COUNTA(Table_ChiPhiNV_Ca[[#Headers],[Ca]:[Kết thúc]]),0))),
SUM(_xlfn._xlws.FILTER(Table_BangLuong_TyLeTangCa[Tỷ lệ],
(Table_BangLuong_TyLeTangCa[Ngày] = "Thường") *
(Table_BangLuong_TyLeTangCa[Giờ min]&lt;=$AA20) *
(Table_BangLuong_TyLeTangCa[Giờ max]&gt;$AA20)
)),0)
)),
IF(AG$4 &lt; AG$5,
IF($AA20-$Z$4&lt;AG$4,0,
IF($AA20&gt;AG$5,0,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AG$5,$AA20 &lt; AG$4),0,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H20" s="18" cm="1">
        <f t="array" ref="AH20" xml:space="preserve">
IFERROR(
IF(AH$1="",0,
IF(AND(
$AA20&gt;=VLOOKUP(AH$6, Table_ChiPhiNV_Ca[], COUNTA(Table_ChiPhiNV_Ca[[#Headers],[Ca]:[Bắt đầu nghỉ]]),0),
$AA20&lt;VLOOKUP(AH$6, Table_ChiPhiNV_Ca[], COUNTA(Table_ChiPhiNV_Ca[[#Headers],[Ca]:[Kết thúc nghỉ]]),0)
),0,
IF(NOT(ISBLANK(AH$3)),
IF(ISBLANK(AH$7),0,
IF(AH$4 &lt; AH$5,
IF($AA20-$Z$4&lt;AH$4,0,
IF($AA20&gt;AH$5,0,
SUM(_xlfn._xlws.FILTER(Table_BangLuong_TyLeTangCa[Tỷ lệ],
(Table_BangLuong_TyLeTangCa[Ngày] = AH$3) *
(Table_BangLuong_TyLeTangCa[Giờ min]&lt;=$AA20) *
(Table_BangLuong_TyLeTangCa[Giờ max]&gt;$AA20)
)))),
IF(AND($AA20-$Z$4 &gt;= AH$5,$AA20 &lt; AH$4),0,
SUM(_xlfn._xlws.FILTER(Table_BangLuong_TyLeTangCa[Tỷ lệ],
(Table_BangLuong_TyLeTangCa[Ngày] = AH$3) *
(Table_BangLuong_TyLeTangCa[Giờ min]&lt;=$AA20) *
(Table_BangLuong_TyLeTangCa[Giờ max]&gt;$AA20)
))))
),
IF(ISBLANK(AH$7),
IF(VLOOKUP(AH$6, Table_ChiPhiNV_Ca[], COUNTA(Table_ChiPhiNV_Ca[[#Headers],[Ca]:[Kết thúc]]),0)&gt; VLOOKUP(AH$6, Table_ChiPhiNV_Ca[], COUNTA(Table_ChiPhiNV_Ca[[#Headers],[Ca]:[Bắt đầu]]),0),
IF($AA20-$Z$4&lt;MAX(AH$4,VLOOKUP(AH$6, Table_ChiPhiNV_Ca[], COUNTA(Table_ChiPhiNV_Ca[[#Headers],[Ca]:[Bắt đầu]]),0)),0,
IF($AA20&gt;MIN(AH$5,VLOOKUP(AH$6, Table_ChiPhiNV_Ca[], COUNTA(Table_ChiPhiNV_Ca[[#Headers],[Ca]:[Kết thúc]]),0)),0,
SUM(_xlfn._xlws.FILTER(Table_BangLuong_TyLeTangCa[Tỷ lệ],
(Table_BangLuong_TyLeTangCa[Ngày] = "Thường") *
(Table_BangLuong_TyLeTangCa[Giờ min]&lt;=$AA20) *
(Table_BangLuong_TyLeTangCa[Giờ max]&gt;$AA20)
)))),
IF(AH$4 &gt; AH$5,
IF(
AND(
$AA20-$Z$4&lt;MAX(AH$4,VLOOKUP(AH$6, Table_ChiPhiNV_Ca[], COUNTA(Table_ChiPhiNV_Ca[[#Headers],[Ca]:[Bắt đầu]]),0)),
$AA20&gt;MIN(AH$5,VLOOKUP(AH$6, Table_ChiPhiNV_Ca[], COUNTA(Table_ChiPhiNV_Ca[[#Headers],[Ca]:[Kết thúc]]),0))),0,
SUM(_xlfn._xlws.FILTER(Table_BangLuong_TyLeTangCa[Tỷ lệ],
(Table_BangLuong_TyLeTangCa[Ngày] = "Thường") *
(Table_BangLuong_TyLeTangCa[Giờ min]&lt;=$AA20) *
(Table_BangLuong_TyLeTangCa[Giờ max]&gt;$AA20)
))),
IF(
AND(
$AA20-$Z$4&gt;=MAX(AH$4,VLOOKUP(AH$6, Table_ChiPhiNV_Ca[], COUNTA(Table_ChiPhiNV_Ca[[#Headers],[Ca]:[Bắt đầu]]),0)),
$AA20&lt;MIN(AH$5,VLOOKUP(AH$6, Table_ChiPhiNV_Ca[], COUNTA(Table_ChiPhiNV_Ca[[#Headers],[Ca]:[Kết thúc]]),0))),
SUM(_xlfn._xlws.FILTER(Table_BangLuong_TyLeTangCa[Tỷ lệ],
(Table_BangLuong_TyLeTangCa[Ngày] = "Thường") *
(Table_BangLuong_TyLeTangCa[Giờ min]&lt;=$AA20) *
(Table_BangLuong_TyLeTangCa[Giờ max]&gt;$AA20)
)),0)
)),
IF(AH$4 &lt; AH$5,
IF($AA20-$Z$4&lt;AH$4,0,
IF($AA20&gt;AH$5,0,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AH$5,$AA20 &lt; AH$4),0,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I20" s="18" cm="1">
        <f t="array" ref="AI20" xml:space="preserve">
IFERROR(
IF(AI$1="",0,
IF(AND(
$AA20&gt;=VLOOKUP(AI$6, Table_ChiPhiNV_Ca[], COUNTA(Table_ChiPhiNV_Ca[[#Headers],[Ca]:[Bắt đầu nghỉ]]),0),
$AA20&lt;VLOOKUP(AI$6, Table_ChiPhiNV_Ca[], COUNTA(Table_ChiPhiNV_Ca[[#Headers],[Ca]:[Kết thúc nghỉ]]),0)
),0,
IF(NOT(ISBLANK(AI$3)),
IF(ISBLANK(AI$7),0,
IF(AI$4 &lt; AI$5,
IF($AA20-$Z$4&lt;AI$4,0,
IF($AA20&gt;AI$5,0,
SUM(_xlfn._xlws.FILTER(Table_BangLuong_TyLeTangCa[Tỷ lệ],
(Table_BangLuong_TyLeTangCa[Ngày] = AI$3) *
(Table_BangLuong_TyLeTangCa[Giờ min]&lt;=$AA20) *
(Table_BangLuong_TyLeTangCa[Giờ max]&gt;$AA20)
)))),
IF(AND($AA20-$Z$4 &gt;= AI$5,$AA20 &lt; AI$4),0,
SUM(_xlfn._xlws.FILTER(Table_BangLuong_TyLeTangCa[Tỷ lệ],
(Table_BangLuong_TyLeTangCa[Ngày] = AI$3) *
(Table_BangLuong_TyLeTangCa[Giờ min]&lt;=$AA20) *
(Table_BangLuong_TyLeTangCa[Giờ max]&gt;$AA20)
))))
),
IF(ISBLANK(AI$7),
IF(VLOOKUP(AI$6, Table_ChiPhiNV_Ca[], COUNTA(Table_ChiPhiNV_Ca[[#Headers],[Ca]:[Kết thúc]]),0)&gt; VLOOKUP(AI$6, Table_ChiPhiNV_Ca[], COUNTA(Table_ChiPhiNV_Ca[[#Headers],[Ca]:[Bắt đầu]]),0),
IF($AA20-$Z$4&lt;MAX(AI$4,VLOOKUP(AI$6, Table_ChiPhiNV_Ca[], COUNTA(Table_ChiPhiNV_Ca[[#Headers],[Ca]:[Bắt đầu]]),0)),0,
IF($AA20&gt;MIN(AI$5,VLOOKUP(AI$6, Table_ChiPhiNV_Ca[], COUNTA(Table_ChiPhiNV_Ca[[#Headers],[Ca]:[Kết thúc]]),0)),0,
SUM(_xlfn._xlws.FILTER(Table_BangLuong_TyLeTangCa[Tỷ lệ],
(Table_BangLuong_TyLeTangCa[Ngày] = "Thường") *
(Table_BangLuong_TyLeTangCa[Giờ min]&lt;=$AA20) *
(Table_BangLuong_TyLeTangCa[Giờ max]&gt;$AA20)
)))),
IF(AI$4 &gt; AI$5,
IF(
AND(
$AA20-$Z$4&lt;MAX(AI$4,VLOOKUP(AI$6, Table_ChiPhiNV_Ca[], COUNTA(Table_ChiPhiNV_Ca[[#Headers],[Ca]:[Bắt đầu]]),0)),
$AA20&gt;MIN(AI$5,VLOOKUP(AI$6, Table_ChiPhiNV_Ca[], COUNTA(Table_ChiPhiNV_Ca[[#Headers],[Ca]:[Kết thúc]]),0))),0,
SUM(_xlfn._xlws.FILTER(Table_BangLuong_TyLeTangCa[Tỷ lệ],
(Table_BangLuong_TyLeTangCa[Ngày] = "Thường") *
(Table_BangLuong_TyLeTangCa[Giờ min]&lt;=$AA20) *
(Table_BangLuong_TyLeTangCa[Giờ max]&gt;$AA20)
))),
IF(
AND(
$AA20-$Z$4&gt;=MAX(AI$4,VLOOKUP(AI$6, Table_ChiPhiNV_Ca[], COUNTA(Table_ChiPhiNV_Ca[[#Headers],[Ca]:[Bắt đầu]]),0)),
$AA20&lt;MIN(AI$5,VLOOKUP(AI$6, Table_ChiPhiNV_Ca[], COUNTA(Table_ChiPhiNV_Ca[[#Headers],[Ca]:[Kết thúc]]),0))),
SUM(_xlfn._xlws.FILTER(Table_BangLuong_TyLeTangCa[Tỷ lệ],
(Table_BangLuong_TyLeTangCa[Ngày] = "Thường") *
(Table_BangLuong_TyLeTangCa[Giờ min]&lt;=$AA20) *
(Table_BangLuong_TyLeTangCa[Giờ max]&gt;$AA20)
)),0)
)),
IF(AI$4 &lt; AI$5,
IF($AA20-$Z$4&lt;AI$4,0,
IF($AA20&gt;AI$5,0,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AI$5,$AA20 &lt; AI$4),0,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J20" s="18" cm="1">
        <f t="array" ref="AJ20" xml:space="preserve">
IFERROR(
IF(AJ$1="",0,
IF(AND(
$AA20&gt;=VLOOKUP(AJ$6, Table_ChiPhiNV_Ca[], COUNTA(Table_ChiPhiNV_Ca[[#Headers],[Ca]:[Bắt đầu nghỉ]]),0),
$AA20&lt;VLOOKUP(AJ$6, Table_ChiPhiNV_Ca[], COUNTA(Table_ChiPhiNV_Ca[[#Headers],[Ca]:[Kết thúc nghỉ]]),0)
),0,
IF(NOT(ISBLANK(AJ$3)),
IF(ISBLANK(AJ$7),0,
IF(AJ$4 &lt; AJ$5,
IF($AA20-$Z$4&lt;AJ$4,0,
IF($AA20&gt;AJ$5,0,
SUM(_xlfn._xlws.FILTER(Table_BangLuong_TyLeTangCa[Tỷ lệ],
(Table_BangLuong_TyLeTangCa[Ngày] = AJ$3) *
(Table_BangLuong_TyLeTangCa[Giờ min]&lt;=$AA20) *
(Table_BangLuong_TyLeTangCa[Giờ max]&gt;$AA20)
)))),
IF(AND($AA20-$Z$4 &gt;= AJ$5,$AA20 &lt; AJ$4),0,
SUM(_xlfn._xlws.FILTER(Table_BangLuong_TyLeTangCa[Tỷ lệ],
(Table_BangLuong_TyLeTangCa[Ngày] = AJ$3) *
(Table_BangLuong_TyLeTangCa[Giờ min]&lt;=$AA20) *
(Table_BangLuong_TyLeTangCa[Giờ max]&gt;$AA20)
))))
),
IF(ISBLANK(AJ$7),
IF(VLOOKUP(AJ$6, Table_ChiPhiNV_Ca[], COUNTA(Table_ChiPhiNV_Ca[[#Headers],[Ca]:[Kết thúc]]),0)&gt; VLOOKUP(AJ$6, Table_ChiPhiNV_Ca[], COUNTA(Table_ChiPhiNV_Ca[[#Headers],[Ca]:[Bắt đầu]]),0),
IF($AA20-$Z$4&lt;MAX(AJ$4,VLOOKUP(AJ$6, Table_ChiPhiNV_Ca[], COUNTA(Table_ChiPhiNV_Ca[[#Headers],[Ca]:[Bắt đầu]]),0)),0,
IF($AA20&gt;MIN(AJ$5,VLOOKUP(AJ$6, Table_ChiPhiNV_Ca[], COUNTA(Table_ChiPhiNV_Ca[[#Headers],[Ca]:[Kết thúc]]),0)),0,
SUM(_xlfn._xlws.FILTER(Table_BangLuong_TyLeTangCa[Tỷ lệ],
(Table_BangLuong_TyLeTangCa[Ngày] = "Thường") *
(Table_BangLuong_TyLeTangCa[Giờ min]&lt;=$AA20) *
(Table_BangLuong_TyLeTangCa[Giờ max]&gt;$AA20)
)))),
IF(AJ$4 &gt; AJ$5,
IF(
AND(
$AA20-$Z$4&lt;MAX(AJ$4,VLOOKUP(AJ$6, Table_ChiPhiNV_Ca[], COUNTA(Table_ChiPhiNV_Ca[[#Headers],[Ca]:[Bắt đầu]]),0)),
$AA20&gt;MIN(AJ$5,VLOOKUP(AJ$6, Table_ChiPhiNV_Ca[], COUNTA(Table_ChiPhiNV_Ca[[#Headers],[Ca]:[Kết thúc]]),0))),0,
SUM(_xlfn._xlws.FILTER(Table_BangLuong_TyLeTangCa[Tỷ lệ],
(Table_BangLuong_TyLeTangCa[Ngày] = "Thường") *
(Table_BangLuong_TyLeTangCa[Giờ min]&lt;=$AA20) *
(Table_BangLuong_TyLeTangCa[Giờ max]&gt;$AA20)
))),
IF(
AND(
$AA20-$Z$4&gt;=MAX(AJ$4,VLOOKUP(AJ$6, Table_ChiPhiNV_Ca[], COUNTA(Table_ChiPhiNV_Ca[[#Headers],[Ca]:[Bắt đầu]]),0)),
$AA20&lt;MIN(AJ$5,VLOOKUP(AJ$6, Table_ChiPhiNV_Ca[], COUNTA(Table_ChiPhiNV_Ca[[#Headers],[Ca]:[Kết thúc]]),0))),
SUM(_xlfn._xlws.FILTER(Table_BangLuong_TyLeTangCa[Tỷ lệ],
(Table_BangLuong_TyLeTangCa[Ngày] = "Thường") *
(Table_BangLuong_TyLeTangCa[Giờ min]&lt;=$AA20) *
(Table_BangLuong_TyLeTangCa[Giờ max]&gt;$AA20)
)),0)
)),
IF(AJ$4 &lt; AJ$5,
IF($AA20-$Z$4&lt;AJ$4,0,
IF($AA20&gt;AJ$5,0,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AJ$5,$AA20 &lt; AJ$4),0,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K20" s="18" cm="1">
        <f t="array" ref="AK20" xml:space="preserve">
IFERROR(
IF(AK$1="",0,
IF(AND(
$AA20&gt;=VLOOKUP(AK$6, Table_ChiPhiNV_Ca[], COUNTA(Table_ChiPhiNV_Ca[[#Headers],[Ca]:[Bắt đầu nghỉ]]),0),
$AA20&lt;VLOOKUP(AK$6, Table_ChiPhiNV_Ca[], COUNTA(Table_ChiPhiNV_Ca[[#Headers],[Ca]:[Kết thúc nghỉ]]),0)
),0,
IF(NOT(ISBLANK(AK$3)),
IF(ISBLANK(AK$7),0,
IF(AK$4 &lt; AK$5,
IF($AA20-$Z$4&lt;AK$4,0,
IF($AA20&gt;AK$5,0,
SUM(_xlfn._xlws.FILTER(Table_BangLuong_TyLeTangCa[Tỷ lệ],
(Table_BangLuong_TyLeTangCa[Ngày] = AK$3) *
(Table_BangLuong_TyLeTangCa[Giờ min]&lt;=$AA20) *
(Table_BangLuong_TyLeTangCa[Giờ max]&gt;$AA20)
)))),
IF(AND($AA20-$Z$4 &gt;= AK$5,$AA20 &lt; AK$4),0,
SUM(_xlfn._xlws.FILTER(Table_BangLuong_TyLeTangCa[Tỷ lệ],
(Table_BangLuong_TyLeTangCa[Ngày] = AK$3) *
(Table_BangLuong_TyLeTangCa[Giờ min]&lt;=$AA20) *
(Table_BangLuong_TyLeTangCa[Giờ max]&gt;$AA20)
))))
),
IF(ISBLANK(AK$7),
IF(VLOOKUP(AK$6, Table_ChiPhiNV_Ca[], COUNTA(Table_ChiPhiNV_Ca[[#Headers],[Ca]:[Kết thúc]]),0)&gt; VLOOKUP(AK$6, Table_ChiPhiNV_Ca[], COUNTA(Table_ChiPhiNV_Ca[[#Headers],[Ca]:[Bắt đầu]]),0),
IF($AA20-$Z$4&lt;MAX(AK$4,VLOOKUP(AK$6, Table_ChiPhiNV_Ca[], COUNTA(Table_ChiPhiNV_Ca[[#Headers],[Ca]:[Bắt đầu]]),0)),0,
IF($AA20&gt;MIN(AK$5,VLOOKUP(AK$6, Table_ChiPhiNV_Ca[], COUNTA(Table_ChiPhiNV_Ca[[#Headers],[Ca]:[Kết thúc]]),0)),0,
SUM(_xlfn._xlws.FILTER(Table_BangLuong_TyLeTangCa[Tỷ lệ],
(Table_BangLuong_TyLeTangCa[Ngày] = "Thường") *
(Table_BangLuong_TyLeTangCa[Giờ min]&lt;=$AA20) *
(Table_BangLuong_TyLeTangCa[Giờ max]&gt;$AA20)
)))),
IF(AK$4 &gt; AK$5,
IF(
AND(
$AA20-$Z$4&lt;MAX(AK$4,VLOOKUP(AK$6, Table_ChiPhiNV_Ca[], COUNTA(Table_ChiPhiNV_Ca[[#Headers],[Ca]:[Bắt đầu]]),0)),
$AA20&gt;MIN(AK$5,VLOOKUP(AK$6, Table_ChiPhiNV_Ca[], COUNTA(Table_ChiPhiNV_Ca[[#Headers],[Ca]:[Kết thúc]]),0))),0,
SUM(_xlfn._xlws.FILTER(Table_BangLuong_TyLeTangCa[Tỷ lệ],
(Table_BangLuong_TyLeTangCa[Ngày] = "Thường") *
(Table_BangLuong_TyLeTangCa[Giờ min]&lt;=$AA20) *
(Table_BangLuong_TyLeTangCa[Giờ max]&gt;$AA20)
))),
IF(
AND(
$AA20-$Z$4&gt;=MAX(AK$4,VLOOKUP(AK$6, Table_ChiPhiNV_Ca[], COUNTA(Table_ChiPhiNV_Ca[[#Headers],[Ca]:[Bắt đầu]]),0)),
$AA20&lt;MIN(AK$5,VLOOKUP(AK$6, Table_ChiPhiNV_Ca[], COUNTA(Table_ChiPhiNV_Ca[[#Headers],[Ca]:[Kết thúc]]),0))),
SUM(_xlfn._xlws.FILTER(Table_BangLuong_TyLeTangCa[Tỷ lệ],
(Table_BangLuong_TyLeTangCa[Ngày] = "Thường") *
(Table_BangLuong_TyLeTangCa[Giờ min]&lt;=$AA20) *
(Table_BangLuong_TyLeTangCa[Giờ max]&gt;$AA20)
)),0)
)),
IF(AK$4 &lt; AK$5,
IF($AA20-$Z$4&lt;AK$4,0,
IF($AA20&gt;AK$5,0,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AK$5,$AA20 &lt; AK$4),0,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L20" s="18" cm="1">
        <f t="array" ref="AL20" xml:space="preserve">
IFERROR(
IF(AL$1="",0,
IF(AND(
$AA20&gt;=VLOOKUP(AL$6, Table_ChiPhiNV_Ca[], COUNTA(Table_ChiPhiNV_Ca[[#Headers],[Ca]:[Bắt đầu nghỉ]]),0),
$AA20&lt;VLOOKUP(AL$6, Table_ChiPhiNV_Ca[], COUNTA(Table_ChiPhiNV_Ca[[#Headers],[Ca]:[Kết thúc nghỉ]]),0)
),0,
IF(NOT(ISBLANK(AL$3)),
IF(ISBLANK(AL$7),0,
IF(AL$4 &lt; AL$5,
IF($AA20-$Z$4&lt;AL$4,0,
IF($AA20&gt;AL$5,0,
SUM(_xlfn._xlws.FILTER(Table_BangLuong_TyLeTangCa[Tỷ lệ],
(Table_BangLuong_TyLeTangCa[Ngày] = AL$3) *
(Table_BangLuong_TyLeTangCa[Giờ min]&lt;=$AA20) *
(Table_BangLuong_TyLeTangCa[Giờ max]&gt;$AA20)
)))),
IF(AND($AA20-$Z$4 &gt;= AL$5,$AA20 &lt; AL$4),0,
SUM(_xlfn._xlws.FILTER(Table_BangLuong_TyLeTangCa[Tỷ lệ],
(Table_BangLuong_TyLeTangCa[Ngày] = AL$3) *
(Table_BangLuong_TyLeTangCa[Giờ min]&lt;=$AA20) *
(Table_BangLuong_TyLeTangCa[Giờ max]&gt;$AA20)
))))
),
IF(ISBLANK(AL$7),
IF(VLOOKUP(AL$6, Table_ChiPhiNV_Ca[], COUNTA(Table_ChiPhiNV_Ca[[#Headers],[Ca]:[Kết thúc]]),0)&gt; VLOOKUP(AL$6, Table_ChiPhiNV_Ca[], COUNTA(Table_ChiPhiNV_Ca[[#Headers],[Ca]:[Bắt đầu]]),0),
IF($AA20-$Z$4&lt;MAX(AL$4,VLOOKUP(AL$6, Table_ChiPhiNV_Ca[], COUNTA(Table_ChiPhiNV_Ca[[#Headers],[Ca]:[Bắt đầu]]),0)),0,
IF($AA20&gt;MIN(AL$5,VLOOKUP(AL$6, Table_ChiPhiNV_Ca[], COUNTA(Table_ChiPhiNV_Ca[[#Headers],[Ca]:[Kết thúc]]),0)),0,
SUM(_xlfn._xlws.FILTER(Table_BangLuong_TyLeTangCa[Tỷ lệ],
(Table_BangLuong_TyLeTangCa[Ngày] = "Thường") *
(Table_BangLuong_TyLeTangCa[Giờ min]&lt;=$AA20) *
(Table_BangLuong_TyLeTangCa[Giờ max]&gt;$AA20)
)))),
IF(AL$4 &gt; AL$5,
IF(
AND(
$AA20-$Z$4&lt;MAX(AL$4,VLOOKUP(AL$6, Table_ChiPhiNV_Ca[], COUNTA(Table_ChiPhiNV_Ca[[#Headers],[Ca]:[Bắt đầu]]),0)),
$AA20&gt;MIN(AL$5,VLOOKUP(AL$6, Table_ChiPhiNV_Ca[], COUNTA(Table_ChiPhiNV_Ca[[#Headers],[Ca]:[Kết thúc]]),0))),0,
SUM(_xlfn._xlws.FILTER(Table_BangLuong_TyLeTangCa[Tỷ lệ],
(Table_BangLuong_TyLeTangCa[Ngày] = "Thường") *
(Table_BangLuong_TyLeTangCa[Giờ min]&lt;=$AA20) *
(Table_BangLuong_TyLeTangCa[Giờ max]&gt;$AA20)
))),
IF(
AND(
$AA20-$Z$4&gt;=MAX(AL$4,VLOOKUP(AL$6, Table_ChiPhiNV_Ca[], COUNTA(Table_ChiPhiNV_Ca[[#Headers],[Ca]:[Bắt đầu]]),0)),
$AA20&lt;MIN(AL$5,VLOOKUP(AL$6, Table_ChiPhiNV_Ca[], COUNTA(Table_ChiPhiNV_Ca[[#Headers],[Ca]:[Kết thúc]]),0))),
SUM(_xlfn._xlws.FILTER(Table_BangLuong_TyLeTangCa[Tỷ lệ],
(Table_BangLuong_TyLeTangCa[Ngày] = "Thường") *
(Table_BangLuong_TyLeTangCa[Giờ min]&lt;=$AA20) *
(Table_BangLuong_TyLeTangCa[Giờ max]&gt;$AA20)
)),0)
)),
IF(AL$4 &lt; AL$5,
IF($AA20-$Z$4&lt;AL$4,0,
IF($AA20&gt;AL$5,0,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AL$5,$AA20 &lt; AL$4),0,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M20" s="18" cm="1">
        <f t="array" ref="AM20" xml:space="preserve">
IFERROR(
IF(AM$1="",0,
IF(AND(
$AA20&gt;=VLOOKUP(AM$6, Table_ChiPhiNV_Ca[], COUNTA(Table_ChiPhiNV_Ca[[#Headers],[Ca]:[Bắt đầu nghỉ]]),0),
$AA20&lt;VLOOKUP(AM$6, Table_ChiPhiNV_Ca[], COUNTA(Table_ChiPhiNV_Ca[[#Headers],[Ca]:[Kết thúc nghỉ]]),0)
),0,
IF(NOT(ISBLANK(AM$3)),
IF(ISBLANK(AM$7),0,
IF(AM$4 &lt; AM$5,
IF($AA20-$Z$4&lt;AM$4,0,
IF($AA20&gt;AM$5,0,
SUM(_xlfn._xlws.FILTER(Table_BangLuong_TyLeTangCa[Tỷ lệ],
(Table_BangLuong_TyLeTangCa[Ngày] = AM$3) *
(Table_BangLuong_TyLeTangCa[Giờ min]&lt;=$AA20) *
(Table_BangLuong_TyLeTangCa[Giờ max]&gt;$AA20)
)))),
IF(AND($AA20-$Z$4 &gt;= AM$5,$AA20 &lt; AM$4),0,
SUM(_xlfn._xlws.FILTER(Table_BangLuong_TyLeTangCa[Tỷ lệ],
(Table_BangLuong_TyLeTangCa[Ngày] = AM$3) *
(Table_BangLuong_TyLeTangCa[Giờ min]&lt;=$AA20) *
(Table_BangLuong_TyLeTangCa[Giờ max]&gt;$AA20)
))))
),
IF(ISBLANK(AM$7),
IF(VLOOKUP(AM$6, Table_ChiPhiNV_Ca[], COUNTA(Table_ChiPhiNV_Ca[[#Headers],[Ca]:[Kết thúc]]),0)&gt; VLOOKUP(AM$6, Table_ChiPhiNV_Ca[], COUNTA(Table_ChiPhiNV_Ca[[#Headers],[Ca]:[Bắt đầu]]),0),
IF($AA20-$Z$4&lt;MAX(AM$4,VLOOKUP(AM$6, Table_ChiPhiNV_Ca[], COUNTA(Table_ChiPhiNV_Ca[[#Headers],[Ca]:[Bắt đầu]]),0)),0,
IF($AA20&gt;MIN(AM$5,VLOOKUP(AM$6, Table_ChiPhiNV_Ca[], COUNTA(Table_ChiPhiNV_Ca[[#Headers],[Ca]:[Kết thúc]]),0)),0,
SUM(_xlfn._xlws.FILTER(Table_BangLuong_TyLeTangCa[Tỷ lệ],
(Table_BangLuong_TyLeTangCa[Ngày] = "Thường") *
(Table_BangLuong_TyLeTangCa[Giờ min]&lt;=$AA20) *
(Table_BangLuong_TyLeTangCa[Giờ max]&gt;$AA20)
)))),
IF(AM$4 &gt; AM$5,
IF(
AND(
$AA20-$Z$4&lt;MAX(AM$4,VLOOKUP(AM$6, Table_ChiPhiNV_Ca[], COUNTA(Table_ChiPhiNV_Ca[[#Headers],[Ca]:[Bắt đầu]]),0)),
$AA20&gt;MIN(AM$5,VLOOKUP(AM$6, Table_ChiPhiNV_Ca[], COUNTA(Table_ChiPhiNV_Ca[[#Headers],[Ca]:[Kết thúc]]),0))),0,
SUM(_xlfn._xlws.FILTER(Table_BangLuong_TyLeTangCa[Tỷ lệ],
(Table_BangLuong_TyLeTangCa[Ngày] = "Thường") *
(Table_BangLuong_TyLeTangCa[Giờ min]&lt;=$AA20) *
(Table_BangLuong_TyLeTangCa[Giờ max]&gt;$AA20)
))),
IF(
AND(
$AA20-$Z$4&gt;=MAX(AM$4,VLOOKUP(AM$6, Table_ChiPhiNV_Ca[], COUNTA(Table_ChiPhiNV_Ca[[#Headers],[Ca]:[Bắt đầu]]),0)),
$AA20&lt;MIN(AM$5,VLOOKUP(AM$6, Table_ChiPhiNV_Ca[], COUNTA(Table_ChiPhiNV_Ca[[#Headers],[Ca]:[Kết thúc]]),0))),
SUM(_xlfn._xlws.FILTER(Table_BangLuong_TyLeTangCa[Tỷ lệ],
(Table_BangLuong_TyLeTangCa[Ngày] = "Thường") *
(Table_BangLuong_TyLeTangCa[Giờ min]&lt;=$AA20) *
(Table_BangLuong_TyLeTangCa[Giờ max]&gt;$AA20)
)),0)
)),
IF(AM$4 &lt; AM$5,
IF($AA20-$Z$4&lt;AM$4,0,
IF($AA20&gt;AM$5,0,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AM$5,$AA20 &lt; AM$4),0,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N20" s="18" cm="1">
        <f t="array" ref="AN20" xml:space="preserve">
IFERROR(
IF(AN$1="",0,
IF(AND(
$AA20&gt;=VLOOKUP(AN$6, Table_ChiPhiNV_Ca[], COUNTA(Table_ChiPhiNV_Ca[[#Headers],[Ca]:[Bắt đầu nghỉ]]),0),
$AA20&lt;VLOOKUP(AN$6, Table_ChiPhiNV_Ca[], COUNTA(Table_ChiPhiNV_Ca[[#Headers],[Ca]:[Kết thúc nghỉ]]),0)
),0,
IF(NOT(ISBLANK(AN$3)),
IF(ISBLANK(AN$7),0,
IF(AN$4 &lt; AN$5,
IF($AA20-$Z$4&lt;AN$4,0,
IF($AA20&gt;AN$5,0,
SUM(_xlfn._xlws.FILTER(Table_BangLuong_TyLeTangCa[Tỷ lệ],
(Table_BangLuong_TyLeTangCa[Ngày] = AN$3) *
(Table_BangLuong_TyLeTangCa[Giờ min]&lt;=$AA20) *
(Table_BangLuong_TyLeTangCa[Giờ max]&gt;$AA20)
)))),
IF(AND($AA20-$Z$4 &gt;= AN$5,$AA20 &lt; AN$4),0,
SUM(_xlfn._xlws.FILTER(Table_BangLuong_TyLeTangCa[Tỷ lệ],
(Table_BangLuong_TyLeTangCa[Ngày] = AN$3) *
(Table_BangLuong_TyLeTangCa[Giờ min]&lt;=$AA20) *
(Table_BangLuong_TyLeTangCa[Giờ max]&gt;$AA20)
))))
),
IF(ISBLANK(AN$7),
IF(VLOOKUP(AN$6, Table_ChiPhiNV_Ca[], COUNTA(Table_ChiPhiNV_Ca[[#Headers],[Ca]:[Kết thúc]]),0)&gt; VLOOKUP(AN$6, Table_ChiPhiNV_Ca[], COUNTA(Table_ChiPhiNV_Ca[[#Headers],[Ca]:[Bắt đầu]]),0),
IF($AA20-$Z$4&lt;MAX(AN$4,VLOOKUP(AN$6, Table_ChiPhiNV_Ca[], COUNTA(Table_ChiPhiNV_Ca[[#Headers],[Ca]:[Bắt đầu]]),0)),0,
IF($AA20&gt;MIN(AN$5,VLOOKUP(AN$6, Table_ChiPhiNV_Ca[], COUNTA(Table_ChiPhiNV_Ca[[#Headers],[Ca]:[Kết thúc]]),0)),0,
SUM(_xlfn._xlws.FILTER(Table_BangLuong_TyLeTangCa[Tỷ lệ],
(Table_BangLuong_TyLeTangCa[Ngày] = "Thường") *
(Table_BangLuong_TyLeTangCa[Giờ min]&lt;=$AA20) *
(Table_BangLuong_TyLeTangCa[Giờ max]&gt;$AA20)
)))),
IF(AN$4 &gt; AN$5,
IF(
AND(
$AA20-$Z$4&lt;MAX(AN$4,VLOOKUP(AN$6, Table_ChiPhiNV_Ca[], COUNTA(Table_ChiPhiNV_Ca[[#Headers],[Ca]:[Bắt đầu]]),0)),
$AA20&gt;MIN(AN$5,VLOOKUP(AN$6, Table_ChiPhiNV_Ca[], COUNTA(Table_ChiPhiNV_Ca[[#Headers],[Ca]:[Kết thúc]]),0))),0,
SUM(_xlfn._xlws.FILTER(Table_BangLuong_TyLeTangCa[Tỷ lệ],
(Table_BangLuong_TyLeTangCa[Ngày] = "Thường") *
(Table_BangLuong_TyLeTangCa[Giờ min]&lt;=$AA20) *
(Table_BangLuong_TyLeTangCa[Giờ max]&gt;$AA20)
))),
IF(
AND(
$AA20-$Z$4&gt;=MAX(AN$4,VLOOKUP(AN$6, Table_ChiPhiNV_Ca[], COUNTA(Table_ChiPhiNV_Ca[[#Headers],[Ca]:[Bắt đầu]]),0)),
$AA20&lt;MIN(AN$5,VLOOKUP(AN$6, Table_ChiPhiNV_Ca[], COUNTA(Table_ChiPhiNV_Ca[[#Headers],[Ca]:[Kết thúc]]),0))),
SUM(_xlfn._xlws.FILTER(Table_BangLuong_TyLeTangCa[Tỷ lệ],
(Table_BangLuong_TyLeTangCa[Ngày] = "Thường") *
(Table_BangLuong_TyLeTangCa[Giờ min]&lt;=$AA20) *
(Table_BangLuong_TyLeTangCa[Giờ max]&gt;$AA20)
)),0)
)),
IF(AN$4 &lt; AN$5,
IF($AA20-$Z$4&lt;AN$4,0,
IF($AA20&gt;AN$5,0,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AN$5,$AA20 &lt; AN$4),0,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O20" s="18" cm="1">
        <f t="array" ref="AO20" xml:space="preserve">
IFERROR(
IF(AO$1="",0,
IF(AND(
$AA20&gt;=VLOOKUP(AO$6, Table_ChiPhiNV_Ca[], COUNTA(Table_ChiPhiNV_Ca[[#Headers],[Ca]:[Bắt đầu nghỉ]]),0),
$AA20&lt;VLOOKUP(AO$6, Table_ChiPhiNV_Ca[], COUNTA(Table_ChiPhiNV_Ca[[#Headers],[Ca]:[Kết thúc nghỉ]]),0)
),0,
IF(NOT(ISBLANK(AO$3)),
IF(ISBLANK(AO$7),0,
IF(AO$4 &lt; AO$5,
IF($AA20-$Z$4&lt;AO$4,0,
IF($AA20&gt;AO$5,0,
SUM(_xlfn._xlws.FILTER(Table_BangLuong_TyLeTangCa[Tỷ lệ],
(Table_BangLuong_TyLeTangCa[Ngày] = AO$3) *
(Table_BangLuong_TyLeTangCa[Giờ min]&lt;=$AA20) *
(Table_BangLuong_TyLeTangCa[Giờ max]&gt;$AA20)
)))),
IF(AND($AA20-$Z$4 &gt;= AO$5,$AA20 &lt; AO$4),0,
SUM(_xlfn._xlws.FILTER(Table_BangLuong_TyLeTangCa[Tỷ lệ],
(Table_BangLuong_TyLeTangCa[Ngày] = AO$3) *
(Table_BangLuong_TyLeTangCa[Giờ min]&lt;=$AA20) *
(Table_BangLuong_TyLeTangCa[Giờ max]&gt;$AA20)
))))
),
IF(ISBLANK(AO$7),
IF(VLOOKUP(AO$6, Table_ChiPhiNV_Ca[], COUNTA(Table_ChiPhiNV_Ca[[#Headers],[Ca]:[Kết thúc]]),0)&gt; VLOOKUP(AO$6, Table_ChiPhiNV_Ca[], COUNTA(Table_ChiPhiNV_Ca[[#Headers],[Ca]:[Bắt đầu]]),0),
IF($AA20-$Z$4&lt;MAX(AO$4,VLOOKUP(AO$6, Table_ChiPhiNV_Ca[], COUNTA(Table_ChiPhiNV_Ca[[#Headers],[Ca]:[Bắt đầu]]),0)),0,
IF($AA20&gt;MIN(AO$5,VLOOKUP(AO$6, Table_ChiPhiNV_Ca[], COUNTA(Table_ChiPhiNV_Ca[[#Headers],[Ca]:[Kết thúc]]),0)),0,
SUM(_xlfn._xlws.FILTER(Table_BangLuong_TyLeTangCa[Tỷ lệ],
(Table_BangLuong_TyLeTangCa[Ngày] = "Thường") *
(Table_BangLuong_TyLeTangCa[Giờ min]&lt;=$AA20) *
(Table_BangLuong_TyLeTangCa[Giờ max]&gt;$AA20)
)))),
IF(AO$4 &gt; AO$5,
IF(
AND(
$AA20-$Z$4&lt;MAX(AO$4,VLOOKUP(AO$6, Table_ChiPhiNV_Ca[], COUNTA(Table_ChiPhiNV_Ca[[#Headers],[Ca]:[Bắt đầu]]),0)),
$AA20&gt;MIN(AO$5,VLOOKUP(AO$6, Table_ChiPhiNV_Ca[], COUNTA(Table_ChiPhiNV_Ca[[#Headers],[Ca]:[Kết thúc]]),0))),0,
SUM(_xlfn._xlws.FILTER(Table_BangLuong_TyLeTangCa[Tỷ lệ],
(Table_BangLuong_TyLeTangCa[Ngày] = "Thường") *
(Table_BangLuong_TyLeTangCa[Giờ min]&lt;=$AA20) *
(Table_BangLuong_TyLeTangCa[Giờ max]&gt;$AA20)
))),
IF(
AND(
$AA20-$Z$4&gt;=MAX(AO$4,VLOOKUP(AO$6, Table_ChiPhiNV_Ca[], COUNTA(Table_ChiPhiNV_Ca[[#Headers],[Ca]:[Bắt đầu]]),0)),
$AA20&lt;MIN(AO$5,VLOOKUP(AO$6, Table_ChiPhiNV_Ca[], COUNTA(Table_ChiPhiNV_Ca[[#Headers],[Ca]:[Kết thúc]]),0))),
SUM(_xlfn._xlws.FILTER(Table_BangLuong_TyLeTangCa[Tỷ lệ],
(Table_BangLuong_TyLeTangCa[Ngày] = "Thường") *
(Table_BangLuong_TyLeTangCa[Giờ min]&lt;=$AA20) *
(Table_BangLuong_TyLeTangCa[Giờ max]&gt;$AA20)
)),0)
)),
IF(AO$4 &lt; AO$5,
IF($AA20-$Z$4&lt;AO$4,0,
IF($AA20&gt;AO$5,0,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AO$5,$AA20 &lt; AO$4),0,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P20" s="18" cm="1">
        <f t="array" ref="AP20" xml:space="preserve">
IFERROR(
IF(AP$1="",0,
IF(AND(
$AA20&gt;=VLOOKUP(AP$6, Table_ChiPhiNV_Ca[], COUNTA(Table_ChiPhiNV_Ca[[#Headers],[Ca]:[Bắt đầu nghỉ]]),0),
$AA20&lt;VLOOKUP(AP$6, Table_ChiPhiNV_Ca[], COUNTA(Table_ChiPhiNV_Ca[[#Headers],[Ca]:[Kết thúc nghỉ]]),0)
),0,
IF(NOT(ISBLANK(AP$3)),
IF(ISBLANK(AP$7),0,
IF(AP$4 &lt; AP$5,
IF($AA20-$Z$4&lt;AP$4,0,
IF($AA20&gt;AP$5,0,
SUM(_xlfn._xlws.FILTER(Table_BangLuong_TyLeTangCa[Tỷ lệ],
(Table_BangLuong_TyLeTangCa[Ngày] = AP$3) *
(Table_BangLuong_TyLeTangCa[Giờ min]&lt;=$AA20) *
(Table_BangLuong_TyLeTangCa[Giờ max]&gt;$AA20)
)))),
IF(AND($AA20-$Z$4 &gt;= AP$5,$AA20 &lt; AP$4),0,
SUM(_xlfn._xlws.FILTER(Table_BangLuong_TyLeTangCa[Tỷ lệ],
(Table_BangLuong_TyLeTangCa[Ngày] = AP$3) *
(Table_BangLuong_TyLeTangCa[Giờ min]&lt;=$AA20) *
(Table_BangLuong_TyLeTangCa[Giờ max]&gt;$AA20)
))))
),
IF(ISBLANK(AP$7),
IF(VLOOKUP(AP$6, Table_ChiPhiNV_Ca[], COUNTA(Table_ChiPhiNV_Ca[[#Headers],[Ca]:[Kết thúc]]),0)&gt; VLOOKUP(AP$6, Table_ChiPhiNV_Ca[], COUNTA(Table_ChiPhiNV_Ca[[#Headers],[Ca]:[Bắt đầu]]),0),
IF($AA20-$Z$4&lt;MAX(AP$4,VLOOKUP(AP$6, Table_ChiPhiNV_Ca[], COUNTA(Table_ChiPhiNV_Ca[[#Headers],[Ca]:[Bắt đầu]]),0)),0,
IF($AA20&gt;MIN(AP$5,VLOOKUP(AP$6, Table_ChiPhiNV_Ca[], COUNTA(Table_ChiPhiNV_Ca[[#Headers],[Ca]:[Kết thúc]]),0)),0,
SUM(_xlfn._xlws.FILTER(Table_BangLuong_TyLeTangCa[Tỷ lệ],
(Table_BangLuong_TyLeTangCa[Ngày] = "Thường") *
(Table_BangLuong_TyLeTangCa[Giờ min]&lt;=$AA20) *
(Table_BangLuong_TyLeTangCa[Giờ max]&gt;$AA20)
)))),
IF(AP$4 &gt; AP$5,
IF(
AND(
$AA20-$Z$4&lt;MAX(AP$4,VLOOKUP(AP$6, Table_ChiPhiNV_Ca[], COUNTA(Table_ChiPhiNV_Ca[[#Headers],[Ca]:[Bắt đầu]]),0)),
$AA20&gt;MIN(AP$5,VLOOKUP(AP$6, Table_ChiPhiNV_Ca[], COUNTA(Table_ChiPhiNV_Ca[[#Headers],[Ca]:[Kết thúc]]),0))),0,
SUM(_xlfn._xlws.FILTER(Table_BangLuong_TyLeTangCa[Tỷ lệ],
(Table_BangLuong_TyLeTangCa[Ngày] = "Thường") *
(Table_BangLuong_TyLeTangCa[Giờ min]&lt;=$AA20) *
(Table_BangLuong_TyLeTangCa[Giờ max]&gt;$AA20)
))),
IF(
AND(
$AA20-$Z$4&gt;=MAX(AP$4,VLOOKUP(AP$6, Table_ChiPhiNV_Ca[], COUNTA(Table_ChiPhiNV_Ca[[#Headers],[Ca]:[Bắt đầu]]),0)),
$AA20&lt;MIN(AP$5,VLOOKUP(AP$6, Table_ChiPhiNV_Ca[], COUNTA(Table_ChiPhiNV_Ca[[#Headers],[Ca]:[Kết thúc]]),0))),
SUM(_xlfn._xlws.FILTER(Table_BangLuong_TyLeTangCa[Tỷ lệ],
(Table_BangLuong_TyLeTangCa[Ngày] = "Thường") *
(Table_BangLuong_TyLeTangCa[Giờ min]&lt;=$AA20) *
(Table_BangLuong_TyLeTangCa[Giờ max]&gt;$AA20)
)),0)
)),
IF(AP$4 &lt; AP$5,
IF($AA20-$Z$4&lt;AP$4,0,
IF($AA20&gt;AP$5,0,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AP$5,$AA20 &lt; AP$4),0,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Q20" s="18" cm="1">
        <f t="array" ref="AQ20" xml:space="preserve">
IFERROR(
IF(AQ$1="",0,
IF(AND(
$AA20&gt;=VLOOKUP(AQ$6, Table_ChiPhiNV_Ca[], COUNTA(Table_ChiPhiNV_Ca[[#Headers],[Ca]:[Bắt đầu nghỉ]]),0),
$AA20&lt;VLOOKUP(AQ$6, Table_ChiPhiNV_Ca[], COUNTA(Table_ChiPhiNV_Ca[[#Headers],[Ca]:[Kết thúc nghỉ]]),0)
),0,
IF(NOT(ISBLANK(AQ$3)),
IF(ISBLANK(AQ$7),0,
IF(AQ$4 &lt; AQ$5,
IF($AA20-$Z$4&lt;AQ$4,0,
IF($AA20&gt;AQ$5,0,
SUM(_xlfn._xlws.FILTER(Table_BangLuong_TyLeTangCa[Tỷ lệ],
(Table_BangLuong_TyLeTangCa[Ngày] = AQ$3) *
(Table_BangLuong_TyLeTangCa[Giờ min]&lt;=$AA20) *
(Table_BangLuong_TyLeTangCa[Giờ max]&gt;$AA20)
)))),
IF(AND($AA20-$Z$4 &gt;= AQ$5,$AA20 &lt; AQ$4),0,
SUM(_xlfn._xlws.FILTER(Table_BangLuong_TyLeTangCa[Tỷ lệ],
(Table_BangLuong_TyLeTangCa[Ngày] = AQ$3) *
(Table_BangLuong_TyLeTangCa[Giờ min]&lt;=$AA20) *
(Table_BangLuong_TyLeTangCa[Giờ max]&gt;$AA20)
))))
),
IF(ISBLANK(AQ$7),
IF(VLOOKUP(AQ$6, Table_ChiPhiNV_Ca[], COUNTA(Table_ChiPhiNV_Ca[[#Headers],[Ca]:[Kết thúc]]),0)&gt; VLOOKUP(AQ$6, Table_ChiPhiNV_Ca[], COUNTA(Table_ChiPhiNV_Ca[[#Headers],[Ca]:[Bắt đầu]]),0),
IF($AA20-$Z$4&lt;MAX(AQ$4,VLOOKUP(AQ$6, Table_ChiPhiNV_Ca[], COUNTA(Table_ChiPhiNV_Ca[[#Headers],[Ca]:[Bắt đầu]]),0)),0,
IF($AA20&gt;MIN(AQ$5,VLOOKUP(AQ$6, Table_ChiPhiNV_Ca[], COUNTA(Table_ChiPhiNV_Ca[[#Headers],[Ca]:[Kết thúc]]),0)),0,
SUM(_xlfn._xlws.FILTER(Table_BangLuong_TyLeTangCa[Tỷ lệ],
(Table_BangLuong_TyLeTangCa[Ngày] = "Thường") *
(Table_BangLuong_TyLeTangCa[Giờ min]&lt;=$AA20) *
(Table_BangLuong_TyLeTangCa[Giờ max]&gt;$AA20)
)))),
IF(AQ$4 &gt; AQ$5,
IF(
AND(
$AA20-$Z$4&lt;MAX(AQ$4,VLOOKUP(AQ$6, Table_ChiPhiNV_Ca[], COUNTA(Table_ChiPhiNV_Ca[[#Headers],[Ca]:[Bắt đầu]]),0)),
$AA20&gt;MIN(AQ$5,VLOOKUP(AQ$6, Table_ChiPhiNV_Ca[], COUNTA(Table_ChiPhiNV_Ca[[#Headers],[Ca]:[Kết thúc]]),0))),0,
SUM(_xlfn._xlws.FILTER(Table_BangLuong_TyLeTangCa[Tỷ lệ],
(Table_BangLuong_TyLeTangCa[Ngày] = "Thường") *
(Table_BangLuong_TyLeTangCa[Giờ min]&lt;=$AA20) *
(Table_BangLuong_TyLeTangCa[Giờ max]&gt;$AA20)
))),
IF(
AND(
$AA20-$Z$4&gt;=MAX(AQ$4,VLOOKUP(AQ$6, Table_ChiPhiNV_Ca[], COUNTA(Table_ChiPhiNV_Ca[[#Headers],[Ca]:[Bắt đầu]]),0)),
$AA20&lt;MIN(AQ$5,VLOOKUP(AQ$6, Table_ChiPhiNV_Ca[], COUNTA(Table_ChiPhiNV_Ca[[#Headers],[Ca]:[Kết thúc]]),0))),
SUM(_xlfn._xlws.FILTER(Table_BangLuong_TyLeTangCa[Tỷ lệ],
(Table_BangLuong_TyLeTangCa[Ngày] = "Thường") *
(Table_BangLuong_TyLeTangCa[Giờ min]&lt;=$AA20) *
(Table_BangLuong_TyLeTangCa[Giờ max]&gt;$AA20)
)),0)
)),
IF(AQ$4 &lt; AQ$5,
IF($AA20-$Z$4&lt;AQ$4,0,
IF($AA20&gt;AQ$5,0,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AQ$5,$AA20 &lt; AQ$4),0,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R20" s="18" cm="1">
        <f t="array" ref="AR20" xml:space="preserve">
IFERROR(
IF(AR$1="",0,
IF(AND(
$AA20&gt;=VLOOKUP(AR$6, Table_ChiPhiNV_Ca[], COUNTA(Table_ChiPhiNV_Ca[[#Headers],[Ca]:[Bắt đầu nghỉ]]),0),
$AA20&lt;VLOOKUP(AR$6, Table_ChiPhiNV_Ca[], COUNTA(Table_ChiPhiNV_Ca[[#Headers],[Ca]:[Kết thúc nghỉ]]),0)
),0,
IF(NOT(ISBLANK(AR$3)),
IF(ISBLANK(AR$7),0,
IF(AR$4 &lt; AR$5,
IF($AA20-$Z$4&lt;AR$4,0,
IF($AA20&gt;AR$5,0,
SUM(_xlfn._xlws.FILTER(Table_BangLuong_TyLeTangCa[Tỷ lệ],
(Table_BangLuong_TyLeTangCa[Ngày] = AR$3) *
(Table_BangLuong_TyLeTangCa[Giờ min]&lt;=$AA20) *
(Table_BangLuong_TyLeTangCa[Giờ max]&gt;$AA20)
)))),
IF(AND($AA20-$Z$4 &gt;= AR$5,$AA20 &lt; AR$4),0,
SUM(_xlfn._xlws.FILTER(Table_BangLuong_TyLeTangCa[Tỷ lệ],
(Table_BangLuong_TyLeTangCa[Ngày] = AR$3) *
(Table_BangLuong_TyLeTangCa[Giờ min]&lt;=$AA20) *
(Table_BangLuong_TyLeTangCa[Giờ max]&gt;$AA20)
))))
),
IF(ISBLANK(AR$7),
IF(VLOOKUP(AR$6, Table_ChiPhiNV_Ca[], COUNTA(Table_ChiPhiNV_Ca[[#Headers],[Ca]:[Kết thúc]]),0)&gt; VLOOKUP(AR$6, Table_ChiPhiNV_Ca[], COUNTA(Table_ChiPhiNV_Ca[[#Headers],[Ca]:[Bắt đầu]]),0),
IF($AA20-$Z$4&lt;MAX(AR$4,VLOOKUP(AR$6, Table_ChiPhiNV_Ca[], COUNTA(Table_ChiPhiNV_Ca[[#Headers],[Ca]:[Bắt đầu]]),0)),0,
IF($AA20&gt;MIN(AR$5,VLOOKUP(AR$6, Table_ChiPhiNV_Ca[], COUNTA(Table_ChiPhiNV_Ca[[#Headers],[Ca]:[Kết thúc]]),0)),0,
SUM(_xlfn._xlws.FILTER(Table_BangLuong_TyLeTangCa[Tỷ lệ],
(Table_BangLuong_TyLeTangCa[Ngày] = "Thường") *
(Table_BangLuong_TyLeTangCa[Giờ min]&lt;=$AA20) *
(Table_BangLuong_TyLeTangCa[Giờ max]&gt;$AA20)
)))),
IF(AR$4 &gt; AR$5,
IF(
AND(
$AA20-$Z$4&lt;MAX(AR$4,VLOOKUP(AR$6, Table_ChiPhiNV_Ca[], COUNTA(Table_ChiPhiNV_Ca[[#Headers],[Ca]:[Bắt đầu]]),0)),
$AA20&gt;MIN(AR$5,VLOOKUP(AR$6, Table_ChiPhiNV_Ca[], COUNTA(Table_ChiPhiNV_Ca[[#Headers],[Ca]:[Kết thúc]]),0))),0,
SUM(_xlfn._xlws.FILTER(Table_BangLuong_TyLeTangCa[Tỷ lệ],
(Table_BangLuong_TyLeTangCa[Ngày] = "Thường") *
(Table_BangLuong_TyLeTangCa[Giờ min]&lt;=$AA20) *
(Table_BangLuong_TyLeTangCa[Giờ max]&gt;$AA20)
))),
IF(
AND(
$AA20-$Z$4&gt;=MAX(AR$4,VLOOKUP(AR$6, Table_ChiPhiNV_Ca[], COUNTA(Table_ChiPhiNV_Ca[[#Headers],[Ca]:[Bắt đầu]]),0)),
$AA20&lt;MIN(AR$5,VLOOKUP(AR$6, Table_ChiPhiNV_Ca[], COUNTA(Table_ChiPhiNV_Ca[[#Headers],[Ca]:[Kết thúc]]),0))),
SUM(_xlfn._xlws.FILTER(Table_BangLuong_TyLeTangCa[Tỷ lệ],
(Table_BangLuong_TyLeTangCa[Ngày] = "Thường") *
(Table_BangLuong_TyLeTangCa[Giờ min]&lt;=$AA20) *
(Table_BangLuong_TyLeTangCa[Giờ max]&gt;$AA20)
)),0)
)),
IF(AR$4 &lt; AR$5,
IF($AA20-$Z$4&lt;AR$4,0,
IF($AA20&gt;AR$5,0,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AR$5,$AA20 &lt; AR$4),0,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S20" s="18" cm="1">
        <f t="array" ref="AS20" xml:space="preserve">
IFERROR(
IF(AS$1="",0,
IF(AND(
$AA20&gt;=VLOOKUP(AS$6, Table_ChiPhiNV_Ca[], COUNTA(Table_ChiPhiNV_Ca[[#Headers],[Ca]:[Bắt đầu nghỉ]]),0),
$AA20&lt;VLOOKUP(AS$6, Table_ChiPhiNV_Ca[], COUNTA(Table_ChiPhiNV_Ca[[#Headers],[Ca]:[Kết thúc nghỉ]]),0)
),0,
IF(NOT(ISBLANK(AS$3)),
IF(ISBLANK(AS$7),0,
IF(AS$4 &lt; AS$5,
IF($AA20-$Z$4&lt;AS$4,0,
IF($AA20&gt;AS$5,0,
SUM(_xlfn._xlws.FILTER(Table_BangLuong_TyLeTangCa[Tỷ lệ],
(Table_BangLuong_TyLeTangCa[Ngày] = AS$3) *
(Table_BangLuong_TyLeTangCa[Giờ min]&lt;=$AA20) *
(Table_BangLuong_TyLeTangCa[Giờ max]&gt;$AA20)
)))),
IF(AND($AA20-$Z$4 &gt;= AS$5,$AA20 &lt; AS$4),0,
SUM(_xlfn._xlws.FILTER(Table_BangLuong_TyLeTangCa[Tỷ lệ],
(Table_BangLuong_TyLeTangCa[Ngày] = AS$3) *
(Table_BangLuong_TyLeTangCa[Giờ min]&lt;=$AA20) *
(Table_BangLuong_TyLeTangCa[Giờ max]&gt;$AA20)
))))
),
IF(ISBLANK(AS$7),
IF(VLOOKUP(AS$6, Table_ChiPhiNV_Ca[], COUNTA(Table_ChiPhiNV_Ca[[#Headers],[Ca]:[Kết thúc]]),0)&gt; VLOOKUP(AS$6, Table_ChiPhiNV_Ca[], COUNTA(Table_ChiPhiNV_Ca[[#Headers],[Ca]:[Bắt đầu]]),0),
IF($AA20-$Z$4&lt;MAX(AS$4,VLOOKUP(AS$6, Table_ChiPhiNV_Ca[], COUNTA(Table_ChiPhiNV_Ca[[#Headers],[Ca]:[Bắt đầu]]),0)),0,
IF($AA20&gt;MIN(AS$5,VLOOKUP(AS$6, Table_ChiPhiNV_Ca[], COUNTA(Table_ChiPhiNV_Ca[[#Headers],[Ca]:[Kết thúc]]),0)),0,
SUM(_xlfn._xlws.FILTER(Table_BangLuong_TyLeTangCa[Tỷ lệ],
(Table_BangLuong_TyLeTangCa[Ngày] = "Thường") *
(Table_BangLuong_TyLeTangCa[Giờ min]&lt;=$AA20) *
(Table_BangLuong_TyLeTangCa[Giờ max]&gt;$AA20)
)))),
IF(AS$4 &gt; AS$5,
IF(
AND(
$AA20-$Z$4&lt;MAX(AS$4,VLOOKUP(AS$6, Table_ChiPhiNV_Ca[], COUNTA(Table_ChiPhiNV_Ca[[#Headers],[Ca]:[Bắt đầu]]),0)),
$AA20&gt;MIN(AS$5,VLOOKUP(AS$6, Table_ChiPhiNV_Ca[], COUNTA(Table_ChiPhiNV_Ca[[#Headers],[Ca]:[Kết thúc]]),0))),0,
SUM(_xlfn._xlws.FILTER(Table_BangLuong_TyLeTangCa[Tỷ lệ],
(Table_BangLuong_TyLeTangCa[Ngày] = "Thường") *
(Table_BangLuong_TyLeTangCa[Giờ min]&lt;=$AA20) *
(Table_BangLuong_TyLeTangCa[Giờ max]&gt;$AA20)
))),
IF(
AND(
$AA20-$Z$4&gt;=MAX(AS$4,VLOOKUP(AS$6, Table_ChiPhiNV_Ca[], COUNTA(Table_ChiPhiNV_Ca[[#Headers],[Ca]:[Bắt đầu]]),0)),
$AA20&lt;MIN(AS$5,VLOOKUP(AS$6, Table_ChiPhiNV_Ca[], COUNTA(Table_ChiPhiNV_Ca[[#Headers],[Ca]:[Kết thúc]]),0))),
SUM(_xlfn._xlws.FILTER(Table_BangLuong_TyLeTangCa[Tỷ lệ],
(Table_BangLuong_TyLeTangCa[Ngày] = "Thường") *
(Table_BangLuong_TyLeTangCa[Giờ min]&lt;=$AA20) *
(Table_BangLuong_TyLeTangCa[Giờ max]&gt;$AA20)
)),0)
)),
IF(AS$4 &lt; AS$5,
IF($AA20-$Z$4&lt;AS$4,0,
IF($AA20&gt;AS$5,0,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AS$5,$AA20 &lt; AS$4),0,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T20" s="18" cm="1">
        <f t="array" ref="AT20" xml:space="preserve">
IFERROR(
IF(AT$1="",0,
IF(AND(
$AA20&gt;=VLOOKUP(AT$6, Table_ChiPhiNV_Ca[], COUNTA(Table_ChiPhiNV_Ca[[#Headers],[Ca]:[Bắt đầu nghỉ]]),0),
$AA20&lt;VLOOKUP(AT$6, Table_ChiPhiNV_Ca[], COUNTA(Table_ChiPhiNV_Ca[[#Headers],[Ca]:[Kết thúc nghỉ]]),0)
),0,
IF(NOT(ISBLANK(AT$3)),
IF(ISBLANK(AT$7),0,
IF(AT$4 &lt; AT$5,
IF($AA20-$Z$4&lt;AT$4,0,
IF($AA20&gt;AT$5,0,
SUM(_xlfn._xlws.FILTER(Table_BangLuong_TyLeTangCa[Tỷ lệ],
(Table_BangLuong_TyLeTangCa[Ngày] = AT$3) *
(Table_BangLuong_TyLeTangCa[Giờ min]&lt;=$AA20) *
(Table_BangLuong_TyLeTangCa[Giờ max]&gt;$AA20)
)))),
IF(AND($AA20-$Z$4 &gt;= AT$5,$AA20 &lt; AT$4),0,
SUM(_xlfn._xlws.FILTER(Table_BangLuong_TyLeTangCa[Tỷ lệ],
(Table_BangLuong_TyLeTangCa[Ngày] = AT$3) *
(Table_BangLuong_TyLeTangCa[Giờ min]&lt;=$AA20) *
(Table_BangLuong_TyLeTangCa[Giờ max]&gt;$AA20)
))))
),
IF(ISBLANK(AT$7),
IF(VLOOKUP(AT$6, Table_ChiPhiNV_Ca[], COUNTA(Table_ChiPhiNV_Ca[[#Headers],[Ca]:[Kết thúc]]),0)&gt; VLOOKUP(AT$6, Table_ChiPhiNV_Ca[], COUNTA(Table_ChiPhiNV_Ca[[#Headers],[Ca]:[Bắt đầu]]),0),
IF($AA20-$Z$4&lt;MAX(AT$4,VLOOKUP(AT$6, Table_ChiPhiNV_Ca[], COUNTA(Table_ChiPhiNV_Ca[[#Headers],[Ca]:[Bắt đầu]]),0)),0,
IF($AA20&gt;MIN(AT$5,VLOOKUP(AT$6, Table_ChiPhiNV_Ca[], COUNTA(Table_ChiPhiNV_Ca[[#Headers],[Ca]:[Kết thúc]]),0)),0,
SUM(_xlfn._xlws.FILTER(Table_BangLuong_TyLeTangCa[Tỷ lệ],
(Table_BangLuong_TyLeTangCa[Ngày] = "Thường") *
(Table_BangLuong_TyLeTangCa[Giờ min]&lt;=$AA20) *
(Table_BangLuong_TyLeTangCa[Giờ max]&gt;$AA20)
)))),
IF(AT$4 &gt; AT$5,
IF(
AND(
$AA20-$Z$4&lt;MAX(AT$4,VLOOKUP(AT$6, Table_ChiPhiNV_Ca[], COUNTA(Table_ChiPhiNV_Ca[[#Headers],[Ca]:[Bắt đầu]]),0)),
$AA20&gt;MIN(AT$5,VLOOKUP(AT$6, Table_ChiPhiNV_Ca[], COUNTA(Table_ChiPhiNV_Ca[[#Headers],[Ca]:[Kết thúc]]),0))),0,
SUM(_xlfn._xlws.FILTER(Table_BangLuong_TyLeTangCa[Tỷ lệ],
(Table_BangLuong_TyLeTangCa[Ngày] = "Thường") *
(Table_BangLuong_TyLeTangCa[Giờ min]&lt;=$AA20) *
(Table_BangLuong_TyLeTangCa[Giờ max]&gt;$AA20)
))),
IF(
AND(
$AA20-$Z$4&gt;=MAX(AT$4,VLOOKUP(AT$6, Table_ChiPhiNV_Ca[], COUNTA(Table_ChiPhiNV_Ca[[#Headers],[Ca]:[Bắt đầu]]),0)),
$AA20&lt;MIN(AT$5,VLOOKUP(AT$6, Table_ChiPhiNV_Ca[], COUNTA(Table_ChiPhiNV_Ca[[#Headers],[Ca]:[Kết thúc]]),0))),
SUM(_xlfn._xlws.FILTER(Table_BangLuong_TyLeTangCa[Tỷ lệ],
(Table_BangLuong_TyLeTangCa[Ngày] = "Thường") *
(Table_BangLuong_TyLeTangCa[Giờ min]&lt;=$AA20) *
(Table_BangLuong_TyLeTangCa[Giờ max]&gt;$AA20)
)),0)
)),
IF(AT$4 &lt; AT$5,
IF($AA20-$Z$4&lt;AT$4,0,
IF($AA20&gt;AT$5,0,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AT$5,$AA20 &lt; AT$4),0,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U20" s="18" cm="1">
        <f t="array" ref="AU20" xml:space="preserve">
IFERROR(
IF(AU$1="",0,
IF(AND(
$AA20&gt;=VLOOKUP(AU$6, Table_ChiPhiNV_Ca[], COUNTA(Table_ChiPhiNV_Ca[[#Headers],[Ca]:[Bắt đầu nghỉ]]),0),
$AA20&lt;VLOOKUP(AU$6, Table_ChiPhiNV_Ca[], COUNTA(Table_ChiPhiNV_Ca[[#Headers],[Ca]:[Kết thúc nghỉ]]),0)
),0,
IF(NOT(ISBLANK(AU$3)),
IF(ISBLANK(AU$7),0,
IF(AU$4 &lt; AU$5,
IF($AA20-$Z$4&lt;AU$4,0,
IF($AA20&gt;AU$5,0,
SUM(_xlfn._xlws.FILTER(Table_BangLuong_TyLeTangCa[Tỷ lệ],
(Table_BangLuong_TyLeTangCa[Ngày] = AU$3) *
(Table_BangLuong_TyLeTangCa[Giờ min]&lt;=$AA20) *
(Table_BangLuong_TyLeTangCa[Giờ max]&gt;$AA20)
)))),
IF(AND($AA20-$Z$4 &gt;= AU$5,$AA20 &lt; AU$4),0,
SUM(_xlfn._xlws.FILTER(Table_BangLuong_TyLeTangCa[Tỷ lệ],
(Table_BangLuong_TyLeTangCa[Ngày] = AU$3) *
(Table_BangLuong_TyLeTangCa[Giờ min]&lt;=$AA20) *
(Table_BangLuong_TyLeTangCa[Giờ max]&gt;$AA20)
))))
),
IF(ISBLANK(AU$7),
IF(VLOOKUP(AU$6, Table_ChiPhiNV_Ca[], COUNTA(Table_ChiPhiNV_Ca[[#Headers],[Ca]:[Kết thúc]]),0)&gt; VLOOKUP(AU$6, Table_ChiPhiNV_Ca[], COUNTA(Table_ChiPhiNV_Ca[[#Headers],[Ca]:[Bắt đầu]]),0),
IF($AA20-$Z$4&lt;MAX(AU$4,VLOOKUP(AU$6, Table_ChiPhiNV_Ca[], COUNTA(Table_ChiPhiNV_Ca[[#Headers],[Ca]:[Bắt đầu]]),0)),0,
IF($AA20&gt;MIN(AU$5,VLOOKUP(AU$6, Table_ChiPhiNV_Ca[], COUNTA(Table_ChiPhiNV_Ca[[#Headers],[Ca]:[Kết thúc]]),0)),0,
SUM(_xlfn._xlws.FILTER(Table_BangLuong_TyLeTangCa[Tỷ lệ],
(Table_BangLuong_TyLeTangCa[Ngày] = "Thường") *
(Table_BangLuong_TyLeTangCa[Giờ min]&lt;=$AA20) *
(Table_BangLuong_TyLeTangCa[Giờ max]&gt;$AA20)
)))),
IF(AU$4 &gt; AU$5,
IF(
AND(
$AA20-$Z$4&lt;MAX(AU$4,VLOOKUP(AU$6, Table_ChiPhiNV_Ca[], COUNTA(Table_ChiPhiNV_Ca[[#Headers],[Ca]:[Bắt đầu]]),0)),
$AA20&gt;MIN(AU$5,VLOOKUP(AU$6, Table_ChiPhiNV_Ca[], COUNTA(Table_ChiPhiNV_Ca[[#Headers],[Ca]:[Kết thúc]]),0))),0,
SUM(_xlfn._xlws.FILTER(Table_BangLuong_TyLeTangCa[Tỷ lệ],
(Table_BangLuong_TyLeTangCa[Ngày] = "Thường") *
(Table_BangLuong_TyLeTangCa[Giờ min]&lt;=$AA20) *
(Table_BangLuong_TyLeTangCa[Giờ max]&gt;$AA20)
))),
IF(
AND(
$AA20-$Z$4&gt;=MAX(AU$4,VLOOKUP(AU$6, Table_ChiPhiNV_Ca[], COUNTA(Table_ChiPhiNV_Ca[[#Headers],[Ca]:[Bắt đầu]]),0)),
$AA20&lt;MIN(AU$5,VLOOKUP(AU$6, Table_ChiPhiNV_Ca[], COUNTA(Table_ChiPhiNV_Ca[[#Headers],[Ca]:[Kết thúc]]),0))),
SUM(_xlfn._xlws.FILTER(Table_BangLuong_TyLeTangCa[Tỷ lệ],
(Table_BangLuong_TyLeTangCa[Ngày] = "Thường") *
(Table_BangLuong_TyLeTangCa[Giờ min]&lt;=$AA20) *
(Table_BangLuong_TyLeTangCa[Giờ max]&gt;$AA20)
)),0)
)),
IF(AU$4 &lt; AU$5,
IF($AA20-$Z$4&lt;AU$4,0,
IF($AA20&gt;AU$5,0,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AU$5,$AA20 &lt; AU$4),0,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V20" s="18" cm="1">
        <f t="array" ref="AV20" xml:space="preserve">
IFERROR(
IF(AV$1="",0,
IF(AND(
$AA20&gt;=VLOOKUP(AV$6, Table_ChiPhiNV_Ca[], COUNTA(Table_ChiPhiNV_Ca[[#Headers],[Ca]:[Bắt đầu nghỉ]]),0),
$AA20&lt;VLOOKUP(AV$6, Table_ChiPhiNV_Ca[], COUNTA(Table_ChiPhiNV_Ca[[#Headers],[Ca]:[Kết thúc nghỉ]]),0)
),0,
IF(NOT(ISBLANK(AV$3)),
IF(ISBLANK(AV$7),0,
IF(AV$4 &lt; AV$5,
IF($AA20-$Z$4&lt;AV$4,0,
IF($AA20&gt;AV$5,0,
SUM(_xlfn._xlws.FILTER(Table_BangLuong_TyLeTangCa[Tỷ lệ],
(Table_BangLuong_TyLeTangCa[Ngày] = AV$3) *
(Table_BangLuong_TyLeTangCa[Giờ min]&lt;=$AA20) *
(Table_BangLuong_TyLeTangCa[Giờ max]&gt;$AA20)
)))),
IF(AND($AA20-$Z$4 &gt;= AV$5,$AA20 &lt; AV$4),0,
SUM(_xlfn._xlws.FILTER(Table_BangLuong_TyLeTangCa[Tỷ lệ],
(Table_BangLuong_TyLeTangCa[Ngày] = AV$3) *
(Table_BangLuong_TyLeTangCa[Giờ min]&lt;=$AA20) *
(Table_BangLuong_TyLeTangCa[Giờ max]&gt;$AA20)
))))
),
IF(ISBLANK(AV$7),
IF(VLOOKUP(AV$6, Table_ChiPhiNV_Ca[], COUNTA(Table_ChiPhiNV_Ca[[#Headers],[Ca]:[Kết thúc]]),0)&gt; VLOOKUP(AV$6, Table_ChiPhiNV_Ca[], COUNTA(Table_ChiPhiNV_Ca[[#Headers],[Ca]:[Bắt đầu]]),0),
IF($AA20-$Z$4&lt;MAX(AV$4,VLOOKUP(AV$6, Table_ChiPhiNV_Ca[], COUNTA(Table_ChiPhiNV_Ca[[#Headers],[Ca]:[Bắt đầu]]),0)),0,
IF($AA20&gt;MIN(AV$5,VLOOKUP(AV$6, Table_ChiPhiNV_Ca[], COUNTA(Table_ChiPhiNV_Ca[[#Headers],[Ca]:[Kết thúc]]),0)),0,
SUM(_xlfn._xlws.FILTER(Table_BangLuong_TyLeTangCa[Tỷ lệ],
(Table_BangLuong_TyLeTangCa[Ngày] = "Thường") *
(Table_BangLuong_TyLeTangCa[Giờ min]&lt;=$AA20) *
(Table_BangLuong_TyLeTangCa[Giờ max]&gt;$AA20)
)))),
IF(AV$4 &gt; AV$5,
IF(
AND(
$AA20-$Z$4&lt;MAX(AV$4,VLOOKUP(AV$6, Table_ChiPhiNV_Ca[], COUNTA(Table_ChiPhiNV_Ca[[#Headers],[Ca]:[Bắt đầu]]),0)),
$AA20&gt;MIN(AV$5,VLOOKUP(AV$6, Table_ChiPhiNV_Ca[], COUNTA(Table_ChiPhiNV_Ca[[#Headers],[Ca]:[Kết thúc]]),0))),0,
SUM(_xlfn._xlws.FILTER(Table_BangLuong_TyLeTangCa[Tỷ lệ],
(Table_BangLuong_TyLeTangCa[Ngày] = "Thường") *
(Table_BangLuong_TyLeTangCa[Giờ min]&lt;=$AA20) *
(Table_BangLuong_TyLeTangCa[Giờ max]&gt;$AA20)
))),
IF(
AND(
$AA20-$Z$4&gt;=MAX(AV$4,VLOOKUP(AV$6, Table_ChiPhiNV_Ca[], COUNTA(Table_ChiPhiNV_Ca[[#Headers],[Ca]:[Bắt đầu]]),0)),
$AA20&lt;MIN(AV$5,VLOOKUP(AV$6, Table_ChiPhiNV_Ca[], COUNTA(Table_ChiPhiNV_Ca[[#Headers],[Ca]:[Kết thúc]]),0))),
SUM(_xlfn._xlws.FILTER(Table_BangLuong_TyLeTangCa[Tỷ lệ],
(Table_BangLuong_TyLeTangCa[Ngày] = "Thường") *
(Table_BangLuong_TyLeTangCa[Giờ min]&lt;=$AA20) *
(Table_BangLuong_TyLeTangCa[Giờ max]&gt;$AA20)
)),0)
)),
IF(AV$4 &lt; AV$5,
IF($AA20-$Z$4&lt;AV$4,0,
IF($AA20&gt;AV$5,0,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AV$5,$AA20 &lt; AV$4),0,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W20" s="18" cm="1">
        <f t="array" ref="AW20" xml:space="preserve">
IFERROR(
IF(AW$1="",0,
IF(AND(
$AA20&gt;=VLOOKUP(AW$6, Table_ChiPhiNV_Ca[], COUNTA(Table_ChiPhiNV_Ca[[#Headers],[Ca]:[Bắt đầu nghỉ]]),0),
$AA20&lt;VLOOKUP(AW$6, Table_ChiPhiNV_Ca[], COUNTA(Table_ChiPhiNV_Ca[[#Headers],[Ca]:[Kết thúc nghỉ]]),0)
),0,
IF(NOT(ISBLANK(AW$3)),
IF(ISBLANK(AW$7),0,
IF(AW$4 &lt; AW$5,
IF($AA20-$Z$4&lt;AW$4,0,
IF($AA20&gt;AW$5,0,
SUM(_xlfn._xlws.FILTER(Table_BangLuong_TyLeTangCa[Tỷ lệ],
(Table_BangLuong_TyLeTangCa[Ngày] = AW$3) *
(Table_BangLuong_TyLeTangCa[Giờ min]&lt;=$AA20) *
(Table_BangLuong_TyLeTangCa[Giờ max]&gt;$AA20)
)))),
IF(AND($AA20-$Z$4 &gt;= AW$5,$AA20 &lt; AW$4),0,
SUM(_xlfn._xlws.FILTER(Table_BangLuong_TyLeTangCa[Tỷ lệ],
(Table_BangLuong_TyLeTangCa[Ngày] = AW$3) *
(Table_BangLuong_TyLeTangCa[Giờ min]&lt;=$AA20) *
(Table_BangLuong_TyLeTangCa[Giờ max]&gt;$AA20)
))))
),
IF(ISBLANK(AW$7),
IF(VLOOKUP(AW$6, Table_ChiPhiNV_Ca[], COUNTA(Table_ChiPhiNV_Ca[[#Headers],[Ca]:[Kết thúc]]),0)&gt; VLOOKUP(AW$6, Table_ChiPhiNV_Ca[], COUNTA(Table_ChiPhiNV_Ca[[#Headers],[Ca]:[Bắt đầu]]),0),
IF($AA20-$Z$4&lt;MAX(AW$4,VLOOKUP(AW$6, Table_ChiPhiNV_Ca[], COUNTA(Table_ChiPhiNV_Ca[[#Headers],[Ca]:[Bắt đầu]]),0)),0,
IF($AA20&gt;MIN(AW$5,VLOOKUP(AW$6, Table_ChiPhiNV_Ca[], COUNTA(Table_ChiPhiNV_Ca[[#Headers],[Ca]:[Kết thúc]]),0)),0,
SUM(_xlfn._xlws.FILTER(Table_BangLuong_TyLeTangCa[Tỷ lệ],
(Table_BangLuong_TyLeTangCa[Ngày] = "Thường") *
(Table_BangLuong_TyLeTangCa[Giờ min]&lt;=$AA20) *
(Table_BangLuong_TyLeTangCa[Giờ max]&gt;$AA20)
)))),
IF(AW$4 &gt; AW$5,
IF(
AND(
$AA20-$Z$4&lt;MAX(AW$4,VLOOKUP(AW$6, Table_ChiPhiNV_Ca[], COUNTA(Table_ChiPhiNV_Ca[[#Headers],[Ca]:[Bắt đầu]]),0)),
$AA20&gt;MIN(AW$5,VLOOKUP(AW$6, Table_ChiPhiNV_Ca[], COUNTA(Table_ChiPhiNV_Ca[[#Headers],[Ca]:[Kết thúc]]),0))),0,
SUM(_xlfn._xlws.FILTER(Table_BangLuong_TyLeTangCa[Tỷ lệ],
(Table_BangLuong_TyLeTangCa[Ngày] = "Thường") *
(Table_BangLuong_TyLeTangCa[Giờ min]&lt;=$AA20) *
(Table_BangLuong_TyLeTangCa[Giờ max]&gt;$AA20)
))),
IF(
AND(
$AA20-$Z$4&gt;=MAX(AW$4,VLOOKUP(AW$6, Table_ChiPhiNV_Ca[], COUNTA(Table_ChiPhiNV_Ca[[#Headers],[Ca]:[Bắt đầu]]),0)),
$AA20&lt;MIN(AW$5,VLOOKUP(AW$6, Table_ChiPhiNV_Ca[], COUNTA(Table_ChiPhiNV_Ca[[#Headers],[Ca]:[Kết thúc]]),0))),
SUM(_xlfn._xlws.FILTER(Table_BangLuong_TyLeTangCa[Tỷ lệ],
(Table_BangLuong_TyLeTangCa[Ngày] = "Thường") *
(Table_BangLuong_TyLeTangCa[Giờ min]&lt;=$AA20) *
(Table_BangLuong_TyLeTangCa[Giờ max]&gt;$AA20)
)),0)
)),
IF(AW$4 &lt; AW$5,
IF($AA20-$Z$4&lt;AW$4,0,
IF($AA20&gt;AW$5,0,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AW$5,$AA20 &lt; AW$4),0,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X20" s="18" cm="1">
        <f t="array" ref="AX20" xml:space="preserve">
IFERROR(
IF(AX$1="",0,
IF(AND(
$AA20&gt;=VLOOKUP(AX$6, Table_ChiPhiNV_Ca[], COUNTA(Table_ChiPhiNV_Ca[[#Headers],[Ca]:[Bắt đầu nghỉ]]),0),
$AA20&lt;VLOOKUP(AX$6, Table_ChiPhiNV_Ca[], COUNTA(Table_ChiPhiNV_Ca[[#Headers],[Ca]:[Kết thúc nghỉ]]),0)
),0,
IF(NOT(ISBLANK(AX$3)),
IF(ISBLANK(AX$7),0,
IF(AX$4 &lt; AX$5,
IF($AA20-$Z$4&lt;AX$4,0,
IF($AA20&gt;AX$5,0,
SUM(_xlfn._xlws.FILTER(Table_BangLuong_TyLeTangCa[Tỷ lệ],
(Table_BangLuong_TyLeTangCa[Ngày] = AX$3) *
(Table_BangLuong_TyLeTangCa[Giờ min]&lt;=$AA20) *
(Table_BangLuong_TyLeTangCa[Giờ max]&gt;$AA20)
)))),
IF(AND($AA20-$Z$4 &gt;= AX$5,$AA20 &lt; AX$4),0,
SUM(_xlfn._xlws.FILTER(Table_BangLuong_TyLeTangCa[Tỷ lệ],
(Table_BangLuong_TyLeTangCa[Ngày] = AX$3) *
(Table_BangLuong_TyLeTangCa[Giờ min]&lt;=$AA20) *
(Table_BangLuong_TyLeTangCa[Giờ max]&gt;$AA20)
))))
),
IF(ISBLANK(AX$7),
IF(VLOOKUP(AX$6, Table_ChiPhiNV_Ca[], COUNTA(Table_ChiPhiNV_Ca[[#Headers],[Ca]:[Kết thúc]]),0)&gt; VLOOKUP(AX$6, Table_ChiPhiNV_Ca[], COUNTA(Table_ChiPhiNV_Ca[[#Headers],[Ca]:[Bắt đầu]]),0),
IF($AA20-$Z$4&lt;MAX(AX$4,VLOOKUP(AX$6, Table_ChiPhiNV_Ca[], COUNTA(Table_ChiPhiNV_Ca[[#Headers],[Ca]:[Bắt đầu]]),0)),0,
IF($AA20&gt;MIN(AX$5,VLOOKUP(AX$6, Table_ChiPhiNV_Ca[], COUNTA(Table_ChiPhiNV_Ca[[#Headers],[Ca]:[Kết thúc]]),0)),0,
SUM(_xlfn._xlws.FILTER(Table_BangLuong_TyLeTangCa[Tỷ lệ],
(Table_BangLuong_TyLeTangCa[Ngày] = "Thường") *
(Table_BangLuong_TyLeTangCa[Giờ min]&lt;=$AA20) *
(Table_BangLuong_TyLeTangCa[Giờ max]&gt;$AA20)
)))),
IF(AX$4 &gt; AX$5,
IF(
AND(
$AA20-$Z$4&lt;MAX(AX$4,VLOOKUP(AX$6, Table_ChiPhiNV_Ca[], COUNTA(Table_ChiPhiNV_Ca[[#Headers],[Ca]:[Bắt đầu]]),0)),
$AA20&gt;MIN(AX$5,VLOOKUP(AX$6, Table_ChiPhiNV_Ca[], COUNTA(Table_ChiPhiNV_Ca[[#Headers],[Ca]:[Kết thúc]]),0))),0,
SUM(_xlfn._xlws.FILTER(Table_BangLuong_TyLeTangCa[Tỷ lệ],
(Table_BangLuong_TyLeTangCa[Ngày] = "Thường") *
(Table_BangLuong_TyLeTangCa[Giờ min]&lt;=$AA20) *
(Table_BangLuong_TyLeTangCa[Giờ max]&gt;$AA20)
))),
IF(
AND(
$AA20-$Z$4&gt;=MAX(AX$4,VLOOKUP(AX$6, Table_ChiPhiNV_Ca[], COUNTA(Table_ChiPhiNV_Ca[[#Headers],[Ca]:[Bắt đầu]]),0)),
$AA20&lt;MIN(AX$5,VLOOKUP(AX$6, Table_ChiPhiNV_Ca[], COUNTA(Table_ChiPhiNV_Ca[[#Headers],[Ca]:[Kết thúc]]),0))),
SUM(_xlfn._xlws.FILTER(Table_BangLuong_TyLeTangCa[Tỷ lệ],
(Table_BangLuong_TyLeTangCa[Ngày] = "Thường") *
(Table_BangLuong_TyLeTangCa[Giờ min]&lt;=$AA20) *
(Table_BangLuong_TyLeTangCa[Giờ max]&gt;$AA20)
)),0)
)),
IF(AX$4 &lt; AX$5,
IF($AA20-$Z$4&lt;AX$4,0,
IF($AA20&gt;AX$5,0,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AX$5,$AA20 &lt; AX$4),0,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Y20" s="18" cm="1">
        <f t="array" ref="AY20" xml:space="preserve">
IFERROR(
IF(AY$1="",0,
IF(AND(
$AA20&gt;=VLOOKUP(AY$6, Table_ChiPhiNV_Ca[], COUNTA(Table_ChiPhiNV_Ca[[#Headers],[Ca]:[Bắt đầu nghỉ]]),0),
$AA20&lt;VLOOKUP(AY$6, Table_ChiPhiNV_Ca[], COUNTA(Table_ChiPhiNV_Ca[[#Headers],[Ca]:[Kết thúc nghỉ]]),0)
),0,
IF(NOT(ISBLANK(AY$3)),
IF(ISBLANK(AY$7),0,
IF(AY$4 &lt; AY$5,
IF($AA20-$Z$4&lt;AY$4,0,
IF($AA20&gt;AY$5,0,
SUM(_xlfn._xlws.FILTER(Table_BangLuong_TyLeTangCa[Tỷ lệ],
(Table_BangLuong_TyLeTangCa[Ngày] = AY$3) *
(Table_BangLuong_TyLeTangCa[Giờ min]&lt;=$AA20) *
(Table_BangLuong_TyLeTangCa[Giờ max]&gt;$AA20)
)))),
IF(AND($AA20-$Z$4 &gt;= AY$5,$AA20 &lt; AY$4),0,
SUM(_xlfn._xlws.FILTER(Table_BangLuong_TyLeTangCa[Tỷ lệ],
(Table_BangLuong_TyLeTangCa[Ngày] = AY$3) *
(Table_BangLuong_TyLeTangCa[Giờ min]&lt;=$AA20) *
(Table_BangLuong_TyLeTangCa[Giờ max]&gt;$AA20)
))))
),
IF(ISBLANK(AY$7),
IF(VLOOKUP(AY$6, Table_ChiPhiNV_Ca[], COUNTA(Table_ChiPhiNV_Ca[[#Headers],[Ca]:[Kết thúc]]),0)&gt; VLOOKUP(AY$6, Table_ChiPhiNV_Ca[], COUNTA(Table_ChiPhiNV_Ca[[#Headers],[Ca]:[Bắt đầu]]),0),
IF($AA20-$Z$4&lt;MAX(AY$4,VLOOKUP(AY$6, Table_ChiPhiNV_Ca[], COUNTA(Table_ChiPhiNV_Ca[[#Headers],[Ca]:[Bắt đầu]]),0)),0,
IF($AA20&gt;MIN(AY$5,VLOOKUP(AY$6, Table_ChiPhiNV_Ca[], COUNTA(Table_ChiPhiNV_Ca[[#Headers],[Ca]:[Kết thúc]]),0)),0,
SUM(_xlfn._xlws.FILTER(Table_BangLuong_TyLeTangCa[Tỷ lệ],
(Table_BangLuong_TyLeTangCa[Ngày] = "Thường") *
(Table_BangLuong_TyLeTangCa[Giờ min]&lt;=$AA20) *
(Table_BangLuong_TyLeTangCa[Giờ max]&gt;$AA20)
)))),
IF(AY$4 &gt; AY$5,
IF(
AND(
$AA20-$Z$4&lt;MAX(AY$4,VLOOKUP(AY$6, Table_ChiPhiNV_Ca[], COUNTA(Table_ChiPhiNV_Ca[[#Headers],[Ca]:[Bắt đầu]]),0)),
$AA20&gt;MIN(AY$5,VLOOKUP(AY$6, Table_ChiPhiNV_Ca[], COUNTA(Table_ChiPhiNV_Ca[[#Headers],[Ca]:[Kết thúc]]),0))),0,
SUM(_xlfn._xlws.FILTER(Table_BangLuong_TyLeTangCa[Tỷ lệ],
(Table_BangLuong_TyLeTangCa[Ngày] = "Thường") *
(Table_BangLuong_TyLeTangCa[Giờ min]&lt;=$AA20) *
(Table_BangLuong_TyLeTangCa[Giờ max]&gt;$AA20)
))),
IF(
AND(
$AA20-$Z$4&gt;=MAX(AY$4,VLOOKUP(AY$6, Table_ChiPhiNV_Ca[], COUNTA(Table_ChiPhiNV_Ca[[#Headers],[Ca]:[Bắt đầu]]),0)),
$AA20&lt;MIN(AY$5,VLOOKUP(AY$6, Table_ChiPhiNV_Ca[], COUNTA(Table_ChiPhiNV_Ca[[#Headers],[Ca]:[Kết thúc]]),0))),
SUM(_xlfn._xlws.FILTER(Table_BangLuong_TyLeTangCa[Tỷ lệ],
(Table_BangLuong_TyLeTangCa[Ngày] = "Thường") *
(Table_BangLuong_TyLeTangCa[Giờ min]&lt;=$AA20) *
(Table_BangLuong_TyLeTangCa[Giờ max]&gt;$AA20)
)),0)
)),
IF(AY$4 &lt; AY$5,
IF($AA20-$Z$4&lt;AY$4,0,
IF($AA20&gt;AY$5,0,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AY$5,$AA20 &lt; AY$4),0,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Z20" s="18" cm="1">
        <f t="array" ref="AZ20" xml:space="preserve">
IFERROR(
IF(AZ$1="",0,
IF(AND(
$AA20&gt;=VLOOKUP(AZ$6, Table_ChiPhiNV_Ca[], COUNTA(Table_ChiPhiNV_Ca[[#Headers],[Ca]:[Bắt đầu nghỉ]]),0),
$AA20&lt;VLOOKUP(AZ$6, Table_ChiPhiNV_Ca[], COUNTA(Table_ChiPhiNV_Ca[[#Headers],[Ca]:[Kết thúc nghỉ]]),0)
),0,
IF(NOT(ISBLANK(AZ$3)),
IF(ISBLANK(AZ$7),0,
IF(AZ$4 &lt; AZ$5,
IF($AA20-$Z$4&lt;AZ$4,0,
IF($AA20&gt;AZ$5,0,
SUM(_xlfn._xlws.FILTER(Table_BangLuong_TyLeTangCa[Tỷ lệ],
(Table_BangLuong_TyLeTangCa[Ngày] = AZ$3) *
(Table_BangLuong_TyLeTangCa[Giờ min]&lt;=$AA20) *
(Table_BangLuong_TyLeTangCa[Giờ max]&gt;$AA20)
)))),
IF(AND($AA20-$Z$4 &gt;= AZ$5,$AA20 &lt; AZ$4),0,
SUM(_xlfn._xlws.FILTER(Table_BangLuong_TyLeTangCa[Tỷ lệ],
(Table_BangLuong_TyLeTangCa[Ngày] = AZ$3) *
(Table_BangLuong_TyLeTangCa[Giờ min]&lt;=$AA20) *
(Table_BangLuong_TyLeTangCa[Giờ max]&gt;$AA20)
))))
),
IF(ISBLANK(AZ$7),
IF(VLOOKUP(AZ$6, Table_ChiPhiNV_Ca[], COUNTA(Table_ChiPhiNV_Ca[[#Headers],[Ca]:[Kết thúc]]),0)&gt; VLOOKUP(AZ$6, Table_ChiPhiNV_Ca[], COUNTA(Table_ChiPhiNV_Ca[[#Headers],[Ca]:[Bắt đầu]]),0),
IF($AA20-$Z$4&lt;MAX(AZ$4,VLOOKUP(AZ$6, Table_ChiPhiNV_Ca[], COUNTA(Table_ChiPhiNV_Ca[[#Headers],[Ca]:[Bắt đầu]]),0)),0,
IF($AA20&gt;MIN(AZ$5,VLOOKUP(AZ$6, Table_ChiPhiNV_Ca[], COUNTA(Table_ChiPhiNV_Ca[[#Headers],[Ca]:[Kết thúc]]),0)),0,
SUM(_xlfn._xlws.FILTER(Table_BangLuong_TyLeTangCa[Tỷ lệ],
(Table_BangLuong_TyLeTangCa[Ngày] = "Thường") *
(Table_BangLuong_TyLeTangCa[Giờ min]&lt;=$AA20) *
(Table_BangLuong_TyLeTangCa[Giờ max]&gt;$AA20)
)))),
IF(AZ$4 &gt; AZ$5,
IF(
AND(
$AA20-$Z$4&lt;MAX(AZ$4,VLOOKUP(AZ$6, Table_ChiPhiNV_Ca[], COUNTA(Table_ChiPhiNV_Ca[[#Headers],[Ca]:[Bắt đầu]]),0)),
$AA20&gt;MIN(AZ$5,VLOOKUP(AZ$6, Table_ChiPhiNV_Ca[], COUNTA(Table_ChiPhiNV_Ca[[#Headers],[Ca]:[Kết thúc]]),0))),0,
SUM(_xlfn._xlws.FILTER(Table_BangLuong_TyLeTangCa[Tỷ lệ],
(Table_BangLuong_TyLeTangCa[Ngày] = "Thường") *
(Table_BangLuong_TyLeTangCa[Giờ min]&lt;=$AA20) *
(Table_BangLuong_TyLeTangCa[Giờ max]&gt;$AA20)
))),
IF(
AND(
$AA20-$Z$4&gt;=MAX(AZ$4,VLOOKUP(AZ$6, Table_ChiPhiNV_Ca[], COUNTA(Table_ChiPhiNV_Ca[[#Headers],[Ca]:[Bắt đầu]]),0)),
$AA20&lt;MIN(AZ$5,VLOOKUP(AZ$6, Table_ChiPhiNV_Ca[], COUNTA(Table_ChiPhiNV_Ca[[#Headers],[Ca]:[Kết thúc]]),0))),
SUM(_xlfn._xlws.FILTER(Table_BangLuong_TyLeTangCa[Tỷ lệ],
(Table_BangLuong_TyLeTangCa[Ngày] = "Thường") *
(Table_BangLuong_TyLeTangCa[Giờ min]&lt;=$AA20) *
(Table_BangLuong_TyLeTangCa[Giờ max]&gt;$AA20)
)),0)
)),
IF(AZ$4 &lt; AZ$5,
IF($AA20-$Z$4&lt;AZ$4,0,
IF($AA20&gt;AZ$5,0,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AZ$5,$AA20 &lt; AZ$4),0,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A20" s="18" cm="1">
        <f t="array" ref="BA20" xml:space="preserve">
IFERROR(
IF(BA$1="",0,
IF(AND(
$AA20&gt;=VLOOKUP(BA$6, Table_ChiPhiNV_Ca[], COUNTA(Table_ChiPhiNV_Ca[[#Headers],[Ca]:[Bắt đầu nghỉ]]),0),
$AA20&lt;VLOOKUP(BA$6, Table_ChiPhiNV_Ca[], COUNTA(Table_ChiPhiNV_Ca[[#Headers],[Ca]:[Kết thúc nghỉ]]),0)
),0,
IF(NOT(ISBLANK(BA$3)),
IF(ISBLANK(BA$7),0,
IF(BA$4 &lt; BA$5,
IF($AA20-$Z$4&lt;BA$4,0,
IF($AA20&gt;BA$5,0,
SUM(_xlfn._xlws.FILTER(Table_BangLuong_TyLeTangCa[Tỷ lệ],
(Table_BangLuong_TyLeTangCa[Ngày] = BA$3) *
(Table_BangLuong_TyLeTangCa[Giờ min]&lt;=$AA20) *
(Table_BangLuong_TyLeTangCa[Giờ max]&gt;$AA20)
)))),
IF(AND($AA20-$Z$4 &gt;= BA$5,$AA20 &lt; BA$4),0,
SUM(_xlfn._xlws.FILTER(Table_BangLuong_TyLeTangCa[Tỷ lệ],
(Table_BangLuong_TyLeTangCa[Ngày] = BA$3) *
(Table_BangLuong_TyLeTangCa[Giờ min]&lt;=$AA20) *
(Table_BangLuong_TyLeTangCa[Giờ max]&gt;$AA20)
))))
),
IF(ISBLANK(BA$7),
IF(VLOOKUP(BA$6, Table_ChiPhiNV_Ca[], COUNTA(Table_ChiPhiNV_Ca[[#Headers],[Ca]:[Kết thúc]]),0)&gt; VLOOKUP(BA$6, Table_ChiPhiNV_Ca[], COUNTA(Table_ChiPhiNV_Ca[[#Headers],[Ca]:[Bắt đầu]]),0),
IF($AA20-$Z$4&lt;MAX(BA$4,VLOOKUP(BA$6, Table_ChiPhiNV_Ca[], COUNTA(Table_ChiPhiNV_Ca[[#Headers],[Ca]:[Bắt đầu]]),0)),0,
IF($AA20&gt;MIN(BA$5,VLOOKUP(BA$6, Table_ChiPhiNV_Ca[], COUNTA(Table_ChiPhiNV_Ca[[#Headers],[Ca]:[Kết thúc]]),0)),0,
SUM(_xlfn._xlws.FILTER(Table_BangLuong_TyLeTangCa[Tỷ lệ],
(Table_BangLuong_TyLeTangCa[Ngày] = "Thường") *
(Table_BangLuong_TyLeTangCa[Giờ min]&lt;=$AA20) *
(Table_BangLuong_TyLeTangCa[Giờ max]&gt;$AA20)
)))),
IF(BA$4 &gt; BA$5,
IF(
AND(
$AA20-$Z$4&lt;MAX(BA$4,VLOOKUP(BA$6, Table_ChiPhiNV_Ca[], COUNTA(Table_ChiPhiNV_Ca[[#Headers],[Ca]:[Bắt đầu]]),0)),
$AA20&gt;MIN(BA$5,VLOOKUP(BA$6, Table_ChiPhiNV_Ca[], COUNTA(Table_ChiPhiNV_Ca[[#Headers],[Ca]:[Kết thúc]]),0))),0,
SUM(_xlfn._xlws.FILTER(Table_BangLuong_TyLeTangCa[Tỷ lệ],
(Table_BangLuong_TyLeTangCa[Ngày] = "Thường") *
(Table_BangLuong_TyLeTangCa[Giờ min]&lt;=$AA20) *
(Table_BangLuong_TyLeTangCa[Giờ max]&gt;$AA20)
))),
IF(
AND(
$AA20-$Z$4&gt;=MAX(BA$4,VLOOKUP(BA$6, Table_ChiPhiNV_Ca[], COUNTA(Table_ChiPhiNV_Ca[[#Headers],[Ca]:[Bắt đầu]]),0)),
$AA20&lt;MIN(BA$5,VLOOKUP(BA$6, Table_ChiPhiNV_Ca[], COUNTA(Table_ChiPhiNV_Ca[[#Headers],[Ca]:[Kết thúc]]),0))),
SUM(_xlfn._xlws.FILTER(Table_BangLuong_TyLeTangCa[Tỷ lệ],
(Table_BangLuong_TyLeTangCa[Ngày] = "Thường") *
(Table_BangLuong_TyLeTangCa[Giờ min]&lt;=$AA20) *
(Table_BangLuong_TyLeTangCa[Giờ max]&gt;$AA20)
)),0)
)),
IF(BA$4 &lt; BA$5,
IF($AA20-$Z$4&lt;BA$4,0,
IF($AA20&gt;BA$5,0,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BA$5,$AA20 &lt; BA$4),0,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B20" s="18" cm="1">
        <f t="array" ref="BB20" xml:space="preserve">
IFERROR(
IF(BB$1="",0,
IF(AND(
$AA20&gt;=VLOOKUP(BB$6, Table_ChiPhiNV_Ca[], COUNTA(Table_ChiPhiNV_Ca[[#Headers],[Ca]:[Bắt đầu nghỉ]]),0),
$AA20&lt;VLOOKUP(BB$6, Table_ChiPhiNV_Ca[], COUNTA(Table_ChiPhiNV_Ca[[#Headers],[Ca]:[Kết thúc nghỉ]]),0)
),0,
IF(NOT(ISBLANK(BB$3)),
IF(ISBLANK(BB$7),0,
IF(BB$4 &lt; BB$5,
IF($AA20-$Z$4&lt;BB$4,0,
IF($AA20&gt;BB$5,0,
SUM(_xlfn._xlws.FILTER(Table_BangLuong_TyLeTangCa[Tỷ lệ],
(Table_BangLuong_TyLeTangCa[Ngày] = BB$3) *
(Table_BangLuong_TyLeTangCa[Giờ min]&lt;=$AA20) *
(Table_BangLuong_TyLeTangCa[Giờ max]&gt;$AA20)
)))),
IF(AND($AA20-$Z$4 &gt;= BB$5,$AA20 &lt; BB$4),0,
SUM(_xlfn._xlws.FILTER(Table_BangLuong_TyLeTangCa[Tỷ lệ],
(Table_BangLuong_TyLeTangCa[Ngày] = BB$3) *
(Table_BangLuong_TyLeTangCa[Giờ min]&lt;=$AA20) *
(Table_BangLuong_TyLeTangCa[Giờ max]&gt;$AA20)
))))
),
IF(ISBLANK(BB$7),
IF(VLOOKUP(BB$6, Table_ChiPhiNV_Ca[], COUNTA(Table_ChiPhiNV_Ca[[#Headers],[Ca]:[Kết thúc]]),0)&gt; VLOOKUP(BB$6, Table_ChiPhiNV_Ca[], COUNTA(Table_ChiPhiNV_Ca[[#Headers],[Ca]:[Bắt đầu]]),0),
IF($AA20-$Z$4&lt;MAX(BB$4,VLOOKUP(BB$6, Table_ChiPhiNV_Ca[], COUNTA(Table_ChiPhiNV_Ca[[#Headers],[Ca]:[Bắt đầu]]),0)),0,
IF($AA20&gt;MIN(BB$5,VLOOKUP(BB$6, Table_ChiPhiNV_Ca[], COUNTA(Table_ChiPhiNV_Ca[[#Headers],[Ca]:[Kết thúc]]),0)),0,
SUM(_xlfn._xlws.FILTER(Table_BangLuong_TyLeTangCa[Tỷ lệ],
(Table_BangLuong_TyLeTangCa[Ngày] = "Thường") *
(Table_BangLuong_TyLeTangCa[Giờ min]&lt;=$AA20) *
(Table_BangLuong_TyLeTangCa[Giờ max]&gt;$AA20)
)))),
IF(BB$4 &gt; BB$5,
IF(
AND(
$AA20-$Z$4&lt;MAX(BB$4,VLOOKUP(BB$6, Table_ChiPhiNV_Ca[], COUNTA(Table_ChiPhiNV_Ca[[#Headers],[Ca]:[Bắt đầu]]),0)),
$AA20&gt;MIN(BB$5,VLOOKUP(BB$6, Table_ChiPhiNV_Ca[], COUNTA(Table_ChiPhiNV_Ca[[#Headers],[Ca]:[Kết thúc]]),0))),0,
SUM(_xlfn._xlws.FILTER(Table_BangLuong_TyLeTangCa[Tỷ lệ],
(Table_BangLuong_TyLeTangCa[Ngày] = "Thường") *
(Table_BangLuong_TyLeTangCa[Giờ min]&lt;=$AA20) *
(Table_BangLuong_TyLeTangCa[Giờ max]&gt;$AA20)
))),
IF(
AND(
$AA20-$Z$4&gt;=MAX(BB$4,VLOOKUP(BB$6, Table_ChiPhiNV_Ca[], COUNTA(Table_ChiPhiNV_Ca[[#Headers],[Ca]:[Bắt đầu]]),0)),
$AA20&lt;MIN(BB$5,VLOOKUP(BB$6, Table_ChiPhiNV_Ca[], COUNTA(Table_ChiPhiNV_Ca[[#Headers],[Ca]:[Kết thúc]]),0))),
SUM(_xlfn._xlws.FILTER(Table_BangLuong_TyLeTangCa[Tỷ lệ],
(Table_BangLuong_TyLeTangCa[Ngày] = "Thường") *
(Table_BangLuong_TyLeTangCa[Giờ min]&lt;=$AA20) *
(Table_BangLuong_TyLeTangCa[Giờ max]&gt;$AA20)
)),0)
)),
IF(BB$4 &lt; BB$5,
IF($AA20-$Z$4&lt;BB$4,0,
IF($AA20&gt;BB$5,0,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BB$5,$AA20 &lt; BB$4),0,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C20" s="18" cm="1">
        <f t="array" ref="BC20" xml:space="preserve">
IFERROR(
IF(BC$1="",0,
IF(AND(
$AA20&gt;=VLOOKUP(BC$6, Table_ChiPhiNV_Ca[], COUNTA(Table_ChiPhiNV_Ca[[#Headers],[Ca]:[Bắt đầu nghỉ]]),0),
$AA20&lt;VLOOKUP(BC$6, Table_ChiPhiNV_Ca[], COUNTA(Table_ChiPhiNV_Ca[[#Headers],[Ca]:[Kết thúc nghỉ]]),0)
),0,
IF(NOT(ISBLANK(BC$3)),
IF(ISBLANK(BC$7),0,
IF(BC$4 &lt; BC$5,
IF($AA20-$Z$4&lt;BC$4,0,
IF($AA20&gt;BC$5,0,
SUM(_xlfn._xlws.FILTER(Table_BangLuong_TyLeTangCa[Tỷ lệ],
(Table_BangLuong_TyLeTangCa[Ngày] = BC$3) *
(Table_BangLuong_TyLeTangCa[Giờ min]&lt;=$AA20) *
(Table_BangLuong_TyLeTangCa[Giờ max]&gt;$AA20)
)))),
IF(AND($AA20-$Z$4 &gt;= BC$5,$AA20 &lt; BC$4),0,
SUM(_xlfn._xlws.FILTER(Table_BangLuong_TyLeTangCa[Tỷ lệ],
(Table_BangLuong_TyLeTangCa[Ngày] = BC$3) *
(Table_BangLuong_TyLeTangCa[Giờ min]&lt;=$AA20) *
(Table_BangLuong_TyLeTangCa[Giờ max]&gt;$AA20)
))))
),
IF(ISBLANK(BC$7),
IF(VLOOKUP(BC$6, Table_ChiPhiNV_Ca[], COUNTA(Table_ChiPhiNV_Ca[[#Headers],[Ca]:[Kết thúc]]),0)&gt; VLOOKUP(BC$6, Table_ChiPhiNV_Ca[], COUNTA(Table_ChiPhiNV_Ca[[#Headers],[Ca]:[Bắt đầu]]),0),
IF($AA20-$Z$4&lt;MAX(BC$4,VLOOKUP(BC$6, Table_ChiPhiNV_Ca[], COUNTA(Table_ChiPhiNV_Ca[[#Headers],[Ca]:[Bắt đầu]]),0)),0,
IF($AA20&gt;MIN(BC$5,VLOOKUP(BC$6, Table_ChiPhiNV_Ca[], COUNTA(Table_ChiPhiNV_Ca[[#Headers],[Ca]:[Kết thúc]]),0)),0,
SUM(_xlfn._xlws.FILTER(Table_BangLuong_TyLeTangCa[Tỷ lệ],
(Table_BangLuong_TyLeTangCa[Ngày] = "Thường") *
(Table_BangLuong_TyLeTangCa[Giờ min]&lt;=$AA20) *
(Table_BangLuong_TyLeTangCa[Giờ max]&gt;$AA20)
)))),
IF(BC$4 &gt; BC$5,
IF(
AND(
$AA20-$Z$4&lt;MAX(BC$4,VLOOKUP(BC$6, Table_ChiPhiNV_Ca[], COUNTA(Table_ChiPhiNV_Ca[[#Headers],[Ca]:[Bắt đầu]]),0)),
$AA20&gt;MIN(BC$5,VLOOKUP(BC$6, Table_ChiPhiNV_Ca[], COUNTA(Table_ChiPhiNV_Ca[[#Headers],[Ca]:[Kết thúc]]),0))),0,
SUM(_xlfn._xlws.FILTER(Table_BangLuong_TyLeTangCa[Tỷ lệ],
(Table_BangLuong_TyLeTangCa[Ngày] = "Thường") *
(Table_BangLuong_TyLeTangCa[Giờ min]&lt;=$AA20) *
(Table_BangLuong_TyLeTangCa[Giờ max]&gt;$AA20)
))),
IF(
AND(
$AA20-$Z$4&gt;=MAX(BC$4,VLOOKUP(BC$6, Table_ChiPhiNV_Ca[], COUNTA(Table_ChiPhiNV_Ca[[#Headers],[Ca]:[Bắt đầu]]),0)),
$AA20&lt;MIN(BC$5,VLOOKUP(BC$6, Table_ChiPhiNV_Ca[], COUNTA(Table_ChiPhiNV_Ca[[#Headers],[Ca]:[Kết thúc]]),0))),
SUM(_xlfn._xlws.FILTER(Table_BangLuong_TyLeTangCa[Tỷ lệ],
(Table_BangLuong_TyLeTangCa[Ngày] = "Thường") *
(Table_BangLuong_TyLeTangCa[Giờ min]&lt;=$AA20) *
(Table_BangLuong_TyLeTangCa[Giờ max]&gt;$AA20)
)),0)
)),
IF(BC$4 &lt; BC$5,
IF($AA20-$Z$4&lt;BC$4,0,
IF($AA20&gt;BC$5,0,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BC$5,$AA20 &lt; BC$4),0,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D20" s="18" cm="1">
        <f t="array" ref="BD20" xml:space="preserve">
IFERROR(
IF(BD$1="",0,
IF(AND(
$AA20&gt;=VLOOKUP(BD$6, Table_ChiPhiNV_Ca[], COUNTA(Table_ChiPhiNV_Ca[[#Headers],[Ca]:[Bắt đầu nghỉ]]),0),
$AA20&lt;VLOOKUP(BD$6, Table_ChiPhiNV_Ca[], COUNTA(Table_ChiPhiNV_Ca[[#Headers],[Ca]:[Kết thúc nghỉ]]),0)
),0,
IF(NOT(ISBLANK(BD$3)),
IF(ISBLANK(BD$7),0,
IF(BD$4 &lt; BD$5,
IF($AA20-$Z$4&lt;BD$4,0,
IF($AA20&gt;BD$5,0,
SUM(_xlfn._xlws.FILTER(Table_BangLuong_TyLeTangCa[Tỷ lệ],
(Table_BangLuong_TyLeTangCa[Ngày] = BD$3) *
(Table_BangLuong_TyLeTangCa[Giờ min]&lt;=$AA20) *
(Table_BangLuong_TyLeTangCa[Giờ max]&gt;$AA20)
)))),
IF(AND($AA20-$Z$4 &gt;= BD$5,$AA20 &lt; BD$4),0,
SUM(_xlfn._xlws.FILTER(Table_BangLuong_TyLeTangCa[Tỷ lệ],
(Table_BangLuong_TyLeTangCa[Ngày] = BD$3) *
(Table_BangLuong_TyLeTangCa[Giờ min]&lt;=$AA20) *
(Table_BangLuong_TyLeTangCa[Giờ max]&gt;$AA20)
))))
),
IF(ISBLANK(BD$7),
IF(VLOOKUP(BD$6, Table_ChiPhiNV_Ca[], COUNTA(Table_ChiPhiNV_Ca[[#Headers],[Ca]:[Kết thúc]]),0)&gt; VLOOKUP(BD$6, Table_ChiPhiNV_Ca[], COUNTA(Table_ChiPhiNV_Ca[[#Headers],[Ca]:[Bắt đầu]]),0),
IF($AA20-$Z$4&lt;MAX(BD$4,VLOOKUP(BD$6, Table_ChiPhiNV_Ca[], COUNTA(Table_ChiPhiNV_Ca[[#Headers],[Ca]:[Bắt đầu]]),0)),0,
IF($AA20&gt;MIN(BD$5,VLOOKUP(BD$6, Table_ChiPhiNV_Ca[], COUNTA(Table_ChiPhiNV_Ca[[#Headers],[Ca]:[Kết thúc]]),0)),0,
SUM(_xlfn._xlws.FILTER(Table_BangLuong_TyLeTangCa[Tỷ lệ],
(Table_BangLuong_TyLeTangCa[Ngày] = "Thường") *
(Table_BangLuong_TyLeTangCa[Giờ min]&lt;=$AA20) *
(Table_BangLuong_TyLeTangCa[Giờ max]&gt;$AA20)
)))),
IF(BD$4 &gt; BD$5,
IF(
AND(
$AA20-$Z$4&lt;MAX(BD$4,VLOOKUP(BD$6, Table_ChiPhiNV_Ca[], COUNTA(Table_ChiPhiNV_Ca[[#Headers],[Ca]:[Bắt đầu]]),0)),
$AA20&gt;MIN(BD$5,VLOOKUP(BD$6, Table_ChiPhiNV_Ca[], COUNTA(Table_ChiPhiNV_Ca[[#Headers],[Ca]:[Kết thúc]]),0))),0,
SUM(_xlfn._xlws.FILTER(Table_BangLuong_TyLeTangCa[Tỷ lệ],
(Table_BangLuong_TyLeTangCa[Ngày] = "Thường") *
(Table_BangLuong_TyLeTangCa[Giờ min]&lt;=$AA20) *
(Table_BangLuong_TyLeTangCa[Giờ max]&gt;$AA20)
))),
IF(
AND(
$AA20-$Z$4&gt;=MAX(BD$4,VLOOKUP(BD$6, Table_ChiPhiNV_Ca[], COUNTA(Table_ChiPhiNV_Ca[[#Headers],[Ca]:[Bắt đầu]]),0)),
$AA20&lt;MIN(BD$5,VLOOKUP(BD$6, Table_ChiPhiNV_Ca[], COUNTA(Table_ChiPhiNV_Ca[[#Headers],[Ca]:[Kết thúc]]),0))),
SUM(_xlfn._xlws.FILTER(Table_BangLuong_TyLeTangCa[Tỷ lệ],
(Table_BangLuong_TyLeTangCa[Ngày] = "Thường") *
(Table_BangLuong_TyLeTangCa[Giờ min]&lt;=$AA20) *
(Table_BangLuong_TyLeTangCa[Giờ max]&gt;$AA20)
)),0)
)),
IF(BD$4 &lt; BD$5,
IF($AA20-$Z$4&lt;BD$4,0,
IF($AA20&gt;BD$5,0,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BD$5,$AA20 &lt; BD$4),0,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E20" s="18" cm="1">
        <f t="array" ref="BE20" xml:space="preserve">
IFERROR(
IF(BE$1="",0,
IF(AND(
$AA20&gt;=VLOOKUP(BE$6, Table_ChiPhiNV_Ca[], COUNTA(Table_ChiPhiNV_Ca[[#Headers],[Ca]:[Bắt đầu nghỉ]]),0),
$AA20&lt;VLOOKUP(BE$6, Table_ChiPhiNV_Ca[], COUNTA(Table_ChiPhiNV_Ca[[#Headers],[Ca]:[Kết thúc nghỉ]]),0)
),0,
IF(NOT(ISBLANK(BE$3)),
IF(ISBLANK(BE$7),0,
IF(BE$4 &lt; BE$5,
IF($AA20-$Z$4&lt;BE$4,0,
IF($AA20&gt;BE$5,0,
SUM(_xlfn._xlws.FILTER(Table_BangLuong_TyLeTangCa[Tỷ lệ],
(Table_BangLuong_TyLeTangCa[Ngày] = BE$3) *
(Table_BangLuong_TyLeTangCa[Giờ min]&lt;=$AA20) *
(Table_BangLuong_TyLeTangCa[Giờ max]&gt;$AA20)
)))),
IF(AND($AA20-$Z$4 &gt;= BE$5,$AA20 &lt; BE$4),0,
SUM(_xlfn._xlws.FILTER(Table_BangLuong_TyLeTangCa[Tỷ lệ],
(Table_BangLuong_TyLeTangCa[Ngày] = BE$3) *
(Table_BangLuong_TyLeTangCa[Giờ min]&lt;=$AA20) *
(Table_BangLuong_TyLeTangCa[Giờ max]&gt;$AA20)
))))
),
IF(ISBLANK(BE$7),
IF(VLOOKUP(BE$6, Table_ChiPhiNV_Ca[], COUNTA(Table_ChiPhiNV_Ca[[#Headers],[Ca]:[Kết thúc]]),0)&gt; VLOOKUP(BE$6, Table_ChiPhiNV_Ca[], COUNTA(Table_ChiPhiNV_Ca[[#Headers],[Ca]:[Bắt đầu]]),0),
IF($AA20-$Z$4&lt;MAX(BE$4,VLOOKUP(BE$6, Table_ChiPhiNV_Ca[], COUNTA(Table_ChiPhiNV_Ca[[#Headers],[Ca]:[Bắt đầu]]),0)),0,
IF($AA20&gt;MIN(BE$5,VLOOKUP(BE$6, Table_ChiPhiNV_Ca[], COUNTA(Table_ChiPhiNV_Ca[[#Headers],[Ca]:[Kết thúc]]),0)),0,
SUM(_xlfn._xlws.FILTER(Table_BangLuong_TyLeTangCa[Tỷ lệ],
(Table_BangLuong_TyLeTangCa[Ngày] = "Thường") *
(Table_BangLuong_TyLeTangCa[Giờ min]&lt;=$AA20) *
(Table_BangLuong_TyLeTangCa[Giờ max]&gt;$AA20)
)))),
IF(BE$4 &gt; BE$5,
IF(
AND(
$AA20-$Z$4&lt;MAX(BE$4,VLOOKUP(BE$6, Table_ChiPhiNV_Ca[], COUNTA(Table_ChiPhiNV_Ca[[#Headers],[Ca]:[Bắt đầu]]),0)),
$AA20&gt;MIN(BE$5,VLOOKUP(BE$6, Table_ChiPhiNV_Ca[], COUNTA(Table_ChiPhiNV_Ca[[#Headers],[Ca]:[Kết thúc]]),0))),0,
SUM(_xlfn._xlws.FILTER(Table_BangLuong_TyLeTangCa[Tỷ lệ],
(Table_BangLuong_TyLeTangCa[Ngày] = "Thường") *
(Table_BangLuong_TyLeTangCa[Giờ min]&lt;=$AA20) *
(Table_BangLuong_TyLeTangCa[Giờ max]&gt;$AA20)
))),
IF(
AND(
$AA20-$Z$4&gt;=MAX(BE$4,VLOOKUP(BE$6, Table_ChiPhiNV_Ca[], COUNTA(Table_ChiPhiNV_Ca[[#Headers],[Ca]:[Bắt đầu]]),0)),
$AA20&lt;MIN(BE$5,VLOOKUP(BE$6, Table_ChiPhiNV_Ca[], COUNTA(Table_ChiPhiNV_Ca[[#Headers],[Ca]:[Kết thúc]]),0))),
SUM(_xlfn._xlws.FILTER(Table_BangLuong_TyLeTangCa[Tỷ lệ],
(Table_BangLuong_TyLeTangCa[Ngày] = "Thường") *
(Table_BangLuong_TyLeTangCa[Giờ min]&lt;=$AA20) *
(Table_BangLuong_TyLeTangCa[Giờ max]&gt;$AA20)
)),0)
)),
IF(BE$4 &lt; BE$5,
IF($AA20-$Z$4&lt;BE$4,0,
IF($AA20&gt;BE$5,0,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BE$5,$AA20 &lt; BE$4),0,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F20" s="18" cm="1">
        <f t="array" ref="BF20" xml:space="preserve">
IFERROR(
IF(BF$1="",0,
IF(AND(
$AA20&gt;=VLOOKUP(BF$6, Table_ChiPhiNV_Ca[], COUNTA(Table_ChiPhiNV_Ca[[#Headers],[Ca]:[Bắt đầu nghỉ]]),0),
$AA20&lt;VLOOKUP(BF$6, Table_ChiPhiNV_Ca[], COUNTA(Table_ChiPhiNV_Ca[[#Headers],[Ca]:[Kết thúc nghỉ]]),0)
),0,
IF(NOT(ISBLANK(BF$3)),
IF(ISBLANK(BF$7),0,
IF(BF$4 &lt; BF$5,
IF($AA20-$Z$4&lt;BF$4,0,
IF($AA20&gt;BF$5,0,
SUM(_xlfn._xlws.FILTER(Table_BangLuong_TyLeTangCa[Tỷ lệ],
(Table_BangLuong_TyLeTangCa[Ngày] = BF$3) *
(Table_BangLuong_TyLeTangCa[Giờ min]&lt;=$AA20) *
(Table_BangLuong_TyLeTangCa[Giờ max]&gt;$AA20)
)))),
IF(AND($AA20-$Z$4 &gt;= BF$5,$AA20 &lt; BF$4),0,
SUM(_xlfn._xlws.FILTER(Table_BangLuong_TyLeTangCa[Tỷ lệ],
(Table_BangLuong_TyLeTangCa[Ngày] = BF$3) *
(Table_BangLuong_TyLeTangCa[Giờ min]&lt;=$AA20) *
(Table_BangLuong_TyLeTangCa[Giờ max]&gt;$AA20)
))))
),
IF(ISBLANK(BF$7),
IF(VLOOKUP(BF$6, Table_ChiPhiNV_Ca[], COUNTA(Table_ChiPhiNV_Ca[[#Headers],[Ca]:[Kết thúc]]),0)&gt; VLOOKUP(BF$6, Table_ChiPhiNV_Ca[], COUNTA(Table_ChiPhiNV_Ca[[#Headers],[Ca]:[Bắt đầu]]),0),
IF($AA20-$Z$4&lt;MAX(BF$4,VLOOKUP(BF$6, Table_ChiPhiNV_Ca[], COUNTA(Table_ChiPhiNV_Ca[[#Headers],[Ca]:[Bắt đầu]]),0)),0,
IF($AA20&gt;MIN(BF$5,VLOOKUP(BF$6, Table_ChiPhiNV_Ca[], COUNTA(Table_ChiPhiNV_Ca[[#Headers],[Ca]:[Kết thúc]]),0)),0,
SUM(_xlfn._xlws.FILTER(Table_BangLuong_TyLeTangCa[Tỷ lệ],
(Table_BangLuong_TyLeTangCa[Ngày] = "Thường") *
(Table_BangLuong_TyLeTangCa[Giờ min]&lt;=$AA20) *
(Table_BangLuong_TyLeTangCa[Giờ max]&gt;$AA20)
)))),
IF(BF$4 &gt; BF$5,
IF(
AND(
$AA20-$Z$4&lt;MAX(BF$4,VLOOKUP(BF$6, Table_ChiPhiNV_Ca[], COUNTA(Table_ChiPhiNV_Ca[[#Headers],[Ca]:[Bắt đầu]]),0)),
$AA20&gt;MIN(BF$5,VLOOKUP(BF$6, Table_ChiPhiNV_Ca[], COUNTA(Table_ChiPhiNV_Ca[[#Headers],[Ca]:[Kết thúc]]),0))),0,
SUM(_xlfn._xlws.FILTER(Table_BangLuong_TyLeTangCa[Tỷ lệ],
(Table_BangLuong_TyLeTangCa[Ngày] = "Thường") *
(Table_BangLuong_TyLeTangCa[Giờ min]&lt;=$AA20) *
(Table_BangLuong_TyLeTangCa[Giờ max]&gt;$AA20)
))),
IF(
AND(
$AA20-$Z$4&gt;=MAX(BF$4,VLOOKUP(BF$6, Table_ChiPhiNV_Ca[], COUNTA(Table_ChiPhiNV_Ca[[#Headers],[Ca]:[Bắt đầu]]),0)),
$AA20&lt;MIN(BF$5,VLOOKUP(BF$6, Table_ChiPhiNV_Ca[], COUNTA(Table_ChiPhiNV_Ca[[#Headers],[Ca]:[Kết thúc]]),0))),
SUM(_xlfn._xlws.FILTER(Table_BangLuong_TyLeTangCa[Tỷ lệ],
(Table_BangLuong_TyLeTangCa[Ngày] = "Thường") *
(Table_BangLuong_TyLeTangCa[Giờ min]&lt;=$AA20) *
(Table_BangLuong_TyLeTangCa[Giờ max]&gt;$AA20)
)),0)
)),
IF(BF$4 &lt; BF$5,
IF($AA20-$Z$4&lt;BF$4,0,
IF($AA20&gt;BF$5,0,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BF$5,$AA20 &lt; BF$4),0,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row>
    <row r="21" spans="2:58" ht="18" customHeight="1" outlineLevel="1" x14ac:dyDescent="0.3">
      <c r="AA21" s="50">
        <v>0.25</v>
      </c>
      <c r="AB21" s="18" cm="1">
        <f t="array" ref="AB21" xml:space="preserve">
IFERROR(
IF(AB$1="",0,
IF(AND(
$AA21&gt;=VLOOKUP(AB$6, Table_ChiPhiNV_Ca[], COUNTA(Table_ChiPhiNV_Ca[[#Headers],[Ca]:[Bắt đầu nghỉ]]),0),
$AA21&lt;VLOOKUP(AB$6, Table_ChiPhiNV_Ca[], COUNTA(Table_ChiPhiNV_Ca[[#Headers],[Ca]:[Kết thúc nghỉ]]),0)
),0,
IF(NOT(ISBLANK(AB$3)),
IF(ISBLANK(AB$7),0,
IF(AB$4 &lt; AB$5,
IF($AA21-$Z$4&lt;AB$4,0,
IF($AA21&gt;AB$5,0,
SUM(_xlfn._xlws.FILTER(Table_BangLuong_TyLeTangCa[Tỷ lệ],
(Table_BangLuong_TyLeTangCa[Ngày] = AB$3) *
(Table_BangLuong_TyLeTangCa[Giờ min]&lt;=$AA21) *
(Table_BangLuong_TyLeTangCa[Giờ max]&gt;$AA21)
)))),
IF(AND($AA21-$Z$4 &gt;= AB$5,$AA21 &lt; AB$4),0,
SUM(_xlfn._xlws.FILTER(Table_BangLuong_TyLeTangCa[Tỷ lệ],
(Table_BangLuong_TyLeTangCa[Ngày] = AB$3) *
(Table_BangLuong_TyLeTangCa[Giờ min]&lt;=$AA21) *
(Table_BangLuong_TyLeTangCa[Giờ max]&gt;$AA21)
))))
),
IF(ISBLANK(AB$7),
IF(VLOOKUP(AB$6, Table_ChiPhiNV_Ca[], COUNTA(Table_ChiPhiNV_Ca[[#Headers],[Ca]:[Kết thúc]]),0)&gt; VLOOKUP(AB$6, Table_ChiPhiNV_Ca[], COUNTA(Table_ChiPhiNV_Ca[[#Headers],[Ca]:[Bắt đầu]]),0),
IF($AA21-$Z$4&lt;MAX(AB$4,VLOOKUP(AB$6, Table_ChiPhiNV_Ca[], COUNTA(Table_ChiPhiNV_Ca[[#Headers],[Ca]:[Bắt đầu]]),0)),0,
IF($AA21&gt;MIN(AB$5,VLOOKUP(AB$6, Table_ChiPhiNV_Ca[], COUNTA(Table_ChiPhiNV_Ca[[#Headers],[Ca]:[Kết thúc]]),0)),0,
SUM(_xlfn._xlws.FILTER(Table_BangLuong_TyLeTangCa[Tỷ lệ],
(Table_BangLuong_TyLeTangCa[Ngày] = "Thường") *
(Table_BangLuong_TyLeTangCa[Giờ min]&lt;=$AA21) *
(Table_BangLuong_TyLeTangCa[Giờ max]&gt;$AA21)
)))),
IF(AB$4 &gt; AB$5,
IF(
AND(
$AA21-$Z$4&lt;MAX(AB$4,VLOOKUP(AB$6, Table_ChiPhiNV_Ca[], COUNTA(Table_ChiPhiNV_Ca[[#Headers],[Ca]:[Bắt đầu]]),0)),
$AA21&gt;MIN(AB$5,VLOOKUP(AB$6, Table_ChiPhiNV_Ca[], COUNTA(Table_ChiPhiNV_Ca[[#Headers],[Ca]:[Kết thúc]]),0))),0,
SUM(_xlfn._xlws.FILTER(Table_BangLuong_TyLeTangCa[Tỷ lệ],
(Table_BangLuong_TyLeTangCa[Ngày] = "Thường") *
(Table_BangLuong_TyLeTangCa[Giờ min]&lt;=$AA21) *
(Table_BangLuong_TyLeTangCa[Giờ max]&gt;$AA21)
))),
IF(
AND(
$AA21-$Z$4&gt;=MAX(AB$4,VLOOKUP(AB$6, Table_ChiPhiNV_Ca[], COUNTA(Table_ChiPhiNV_Ca[[#Headers],[Ca]:[Bắt đầu]]),0)),
$AA21&lt;MIN(AB$5,VLOOKUP(AB$6, Table_ChiPhiNV_Ca[], COUNTA(Table_ChiPhiNV_Ca[[#Headers],[Ca]:[Kết thúc]]),0))),
SUM(_xlfn._xlws.FILTER(Table_BangLuong_TyLeTangCa[Tỷ lệ],
(Table_BangLuong_TyLeTangCa[Ngày] = "Thường") *
(Table_BangLuong_TyLeTangCa[Giờ min]&lt;=$AA21) *
(Table_BangLuong_TyLeTangCa[Giờ max]&gt;$AA21)
)),0)
)),
IF(AB$4 &lt; AB$5,
IF($AA21-$Z$4&lt;AB$4,0,
IF($AA21&gt;AB$5,0,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AB$5,$AA21 &lt; AB$4),0,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C21" s="18" cm="1">
        <f t="array" ref="AC21" xml:space="preserve">
IFERROR(
IF(AC$1="",0,
IF(AND(
$AA21&gt;=VLOOKUP(AC$6, Table_ChiPhiNV_Ca[], COUNTA(Table_ChiPhiNV_Ca[[#Headers],[Ca]:[Bắt đầu nghỉ]]),0),
$AA21&lt;VLOOKUP(AC$6, Table_ChiPhiNV_Ca[], COUNTA(Table_ChiPhiNV_Ca[[#Headers],[Ca]:[Kết thúc nghỉ]]),0)
),0,
IF(NOT(ISBLANK(AC$3)),
IF(ISBLANK(AC$7),0,
IF(AC$4 &lt; AC$5,
IF($AA21-$Z$4&lt;AC$4,0,
IF($AA21&gt;AC$5,0,
SUM(_xlfn._xlws.FILTER(Table_BangLuong_TyLeTangCa[Tỷ lệ],
(Table_BangLuong_TyLeTangCa[Ngày] = AC$3) *
(Table_BangLuong_TyLeTangCa[Giờ min]&lt;=$AA21) *
(Table_BangLuong_TyLeTangCa[Giờ max]&gt;$AA21)
)))),
IF(AND($AA21-$Z$4 &gt;= AC$5,$AA21 &lt; AC$4),0,
SUM(_xlfn._xlws.FILTER(Table_BangLuong_TyLeTangCa[Tỷ lệ],
(Table_BangLuong_TyLeTangCa[Ngày] = AC$3) *
(Table_BangLuong_TyLeTangCa[Giờ min]&lt;=$AA21) *
(Table_BangLuong_TyLeTangCa[Giờ max]&gt;$AA21)
))))
),
IF(ISBLANK(AC$7),
IF(VLOOKUP(AC$6, Table_ChiPhiNV_Ca[], COUNTA(Table_ChiPhiNV_Ca[[#Headers],[Ca]:[Kết thúc]]),0)&gt; VLOOKUP(AC$6, Table_ChiPhiNV_Ca[], COUNTA(Table_ChiPhiNV_Ca[[#Headers],[Ca]:[Bắt đầu]]),0),
IF($AA21-$Z$4&lt;MAX(AC$4,VLOOKUP(AC$6, Table_ChiPhiNV_Ca[], COUNTA(Table_ChiPhiNV_Ca[[#Headers],[Ca]:[Bắt đầu]]),0)),0,
IF($AA21&gt;MIN(AC$5,VLOOKUP(AC$6, Table_ChiPhiNV_Ca[], COUNTA(Table_ChiPhiNV_Ca[[#Headers],[Ca]:[Kết thúc]]),0)),0,
SUM(_xlfn._xlws.FILTER(Table_BangLuong_TyLeTangCa[Tỷ lệ],
(Table_BangLuong_TyLeTangCa[Ngày] = "Thường") *
(Table_BangLuong_TyLeTangCa[Giờ min]&lt;=$AA21) *
(Table_BangLuong_TyLeTangCa[Giờ max]&gt;$AA21)
)))),
IF(AC$4 &gt; AC$5,
IF(
AND(
$AA21-$Z$4&lt;MAX(AC$4,VLOOKUP(AC$6, Table_ChiPhiNV_Ca[], COUNTA(Table_ChiPhiNV_Ca[[#Headers],[Ca]:[Bắt đầu]]),0)),
$AA21&gt;MIN(AC$5,VLOOKUP(AC$6, Table_ChiPhiNV_Ca[], COUNTA(Table_ChiPhiNV_Ca[[#Headers],[Ca]:[Kết thúc]]),0))),0,
SUM(_xlfn._xlws.FILTER(Table_BangLuong_TyLeTangCa[Tỷ lệ],
(Table_BangLuong_TyLeTangCa[Ngày] = "Thường") *
(Table_BangLuong_TyLeTangCa[Giờ min]&lt;=$AA21) *
(Table_BangLuong_TyLeTangCa[Giờ max]&gt;$AA21)
))),
IF(
AND(
$AA21-$Z$4&gt;=MAX(AC$4,VLOOKUP(AC$6, Table_ChiPhiNV_Ca[], COUNTA(Table_ChiPhiNV_Ca[[#Headers],[Ca]:[Bắt đầu]]),0)),
$AA21&lt;MIN(AC$5,VLOOKUP(AC$6, Table_ChiPhiNV_Ca[], COUNTA(Table_ChiPhiNV_Ca[[#Headers],[Ca]:[Kết thúc]]),0))),
SUM(_xlfn._xlws.FILTER(Table_BangLuong_TyLeTangCa[Tỷ lệ],
(Table_BangLuong_TyLeTangCa[Ngày] = "Thường") *
(Table_BangLuong_TyLeTangCa[Giờ min]&lt;=$AA21) *
(Table_BangLuong_TyLeTangCa[Giờ max]&gt;$AA21)
)),0)
)),
IF(AC$4 &lt; AC$5,
IF($AA21-$Z$4&lt;AC$4,0,
IF($AA21&gt;AC$5,0,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AC$5,$AA21 &lt; AC$4),0,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D21" s="18" cm="1">
        <f t="array" ref="AD21" xml:space="preserve">
IFERROR(
IF(AD$1="",0,
IF(AND(
$AA21&gt;=VLOOKUP(AD$6, Table_ChiPhiNV_Ca[], COUNTA(Table_ChiPhiNV_Ca[[#Headers],[Ca]:[Bắt đầu nghỉ]]),0),
$AA21&lt;VLOOKUP(AD$6, Table_ChiPhiNV_Ca[], COUNTA(Table_ChiPhiNV_Ca[[#Headers],[Ca]:[Kết thúc nghỉ]]),0)
),0,
IF(NOT(ISBLANK(AD$3)),
IF(ISBLANK(AD$7),0,
IF(AD$4 &lt; AD$5,
IF($AA21-$Z$4&lt;AD$4,0,
IF($AA21&gt;AD$5,0,
SUM(_xlfn._xlws.FILTER(Table_BangLuong_TyLeTangCa[Tỷ lệ],
(Table_BangLuong_TyLeTangCa[Ngày] = AD$3) *
(Table_BangLuong_TyLeTangCa[Giờ min]&lt;=$AA21) *
(Table_BangLuong_TyLeTangCa[Giờ max]&gt;$AA21)
)))),
IF(AND($AA21-$Z$4 &gt;= AD$5,$AA21 &lt; AD$4),0,
SUM(_xlfn._xlws.FILTER(Table_BangLuong_TyLeTangCa[Tỷ lệ],
(Table_BangLuong_TyLeTangCa[Ngày] = AD$3) *
(Table_BangLuong_TyLeTangCa[Giờ min]&lt;=$AA21) *
(Table_BangLuong_TyLeTangCa[Giờ max]&gt;$AA21)
))))
),
IF(ISBLANK(AD$7),
IF(VLOOKUP(AD$6, Table_ChiPhiNV_Ca[], COUNTA(Table_ChiPhiNV_Ca[[#Headers],[Ca]:[Kết thúc]]),0)&gt; VLOOKUP(AD$6, Table_ChiPhiNV_Ca[], COUNTA(Table_ChiPhiNV_Ca[[#Headers],[Ca]:[Bắt đầu]]),0),
IF($AA21-$Z$4&lt;MAX(AD$4,VLOOKUP(AD$6, Table_ChiPhiNV_Ca[], COUNTA(Table_ChiPhiNV_Ca[[#Headers],[Ca]:[Bắt đầu]]),0)),0,
IF($AA21&gt;MIN(AD$5,VLOOKUP(AD$6, Table_ChiPhiNV_Ca[], COUNTA(Table_ChiPhiNV_Ca[[#Headers],[Ca]:[Kết thúc]]),0)),0,
SUM(_xlfn._xlws.FILTER(Table_BangLuong_TyLeTangCa[Tỷ lệ],
(Table_BangLuong_TyLeTangCa[Ngày] = "Thường") *
(Table_BangLuong_TyLeTangCa[Giờ min]&lt;=$AA21) *
(Table_BangLuong_TyLeTangCa[Giờ max]&gt;$AA21)
)))),
IF(AD$4 &gt; AD$5,
IF(
AND(
$AA21-$Z$4&lt;MAX(AD$4,VLOOKUP(AD$6, Table_ChiPhiNV_Ca[], COUNTA(Table_ChiPhiNV_Ca[[#Headers],[Ca]:[Bắt đầu]]),0)),
$AA21&gt;MIN(AD$5,VLOOKUP(AD$6, Table_ChiPhiNV_Ca[], COUNTA(Table_ChiPhiNV_Ca[[#Headers],[Ca]:[Kết thúc]]),0))),0,
SUM(_xlfn._xlws.FILTER(Table_BangLuong_TyLeTangCa[Tỷ lệ],
(Table_BangLuong_TyLeTangCa[Ngày] = "Thường") *
(Table_BangLuong_TyLeTangCa[Giờ min]&lt;=$AA21) *
(Table_BangLuong_TyLeTangCa[Giờ max]&gt;$AA21)
))),
IF(
AND(
$AA21-$Z$4&gt;=MAX(AD$4,VLOOKUP(AD$6, Table_ChiPhiNV_Ca[], COUNTA(Table_ChiPhiNV_Ca[[#Headers],[Ca]:[Bắt đầu]]),0)),
$AA21&lt;MIN(AD$5,VLOOKUP(AD$6, Table_ChiPhiNV_Ca[], COUNTA(Table_ChiPhiNV_Ca[[#Headers],[Ca]:[Kết thúc]]),0))),
SUM(_xlfn._xlws.FILTER(Table_BangLuong_TyLeTangCa[Tỷ lệ],
(Table_BangLuong_TyLeTangCa[Ngày] = "Thường") *
(Table_BangLuong_TyLeTangCa[Giờ min]&lt;=$AA21) *
(Table_BangLuong_TyLeTangCa[Giờ max]&gt;$AA21)
)),0)
)),
IF(AD$4 &lt; AD$5,
IF($AA21-$Z$4&lt;AD$4,0,
IF($AA21&gt;AD$5,0,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AD$5,$AA21 &lt; AD$4),0,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E21" s="18" cm="1">
        <f t="array" ref="AE21" xml:space="preserve">
IFERROR(
IF(AE$1="",0,
IF(AND(
$AA21&gt;=VLOOKUP(AE$6, Table_ChiPhiNV_Ca[], COUNTA(Table_ChiPhiNV_Ca[[#Headers],[Ca]:[Bắt đầu nghỉ]]),0),
$AA21&lt;VLOOKUP(AE$6, Table_ChiPhiNV_Ca[], COUNTA(Table_ChiPhiNV_Ca[[#Headers],[Ca]:[Kết thúc nghỉ]]),0)
),0,
IF(NOT(ISBLANK(AE$3)),
IF(ISBLANK(AE$7),0,
IF(AE$4 &lt; AE$5,
IF($AA21-$Z$4&lt;AE$4,0,
IF($AA21&gt;AE$5,0,
SUM(_xlfn._xlws.FILTER(Table_BangLuong_TyLeTangCa[Tỷ lệ],
(Table_BangLuong_TyLeTangCa[Ngày] = AE$3) *
(Table_BangLuong_TyLeTangCa[Giờ min]&lt;=$AA21) *
(Table_BangLuong_TyLeTangCa[Giờ max]&gt;$AA21)
)))),
IF(AND($AA21-$Z$4 &gt;= AE$5,$AA21 &lt; AE$4),0,
SUM(_xlfn._xlws.FILTER(Table_BangLuong_TyLeTangCa[Tỷ lệ],
(Table_BangLuong_TyLeTangCa[Ngày] = AE$3) *
(Table_BangLuong_TyLeTangCa[Giờ min]&lt;=$AA21) *
(Table_BangLuong_TyLeTangCa[Giờ max]&gt;$AA21)
))))
),
IF(ISBLANK(AE$7),
IF(VLOOKUP(AE$6, Table_ChiPhiNV_Ca[], COUNTA(Table_ChiPhiNV_Ca[[#Headers],[Ca]:[Kết thúc]]),0)&gt; VLOOKUP(AE$6, Table_ChiPhiNV_Ca[], COUNTA(Table_ChiPhiNV_Ca[[#Headers],[Ca]:[Bắt đầu]]),0),
IF($AA21-$Z$4&lt;MAX(AE$4,VLOOKUP(AE$6, Table_ChiPhiNV_Ca[], COUNTA(Table_ChiPhiNV_Ca[[#Headers],[Ca]:[Bắt đầu]]),0)),0,
IF($AA21&gt;MIN(AE$5,VLOOKUP(AE$6, Table_ChiPhiNV_Ca[], COUNTA(Table_ChiPhiNV_Ca[[#Headers],[Ca]:[Kết thúc]]),0)),0,
SUM(_xlfn._xlws.FILTER(Table_BangLuong_TyLeTangCa[Tỷ lệ],
(Table_BangLuong_TyLeTangCa[Ngày] = "Thường") *
(Table_BangLuong_TyLeTangCa[Giờ min]&lt;=$AA21) *
(Table_BangLuong_TyLeTangCa[Giờ max]&gt;$AA21)
)))),
IF(AE$4 &gt; AE$5,
IF(
AND(
$AA21-$Z$4&lt;MAX(AE$4,VLOOKUP(AE$6, Table_ChiPhiNV_Ca[], COUNTA(Table_ChiPhiNV_Ca[[#Headers],[Ca]:[Bắt đầu]]),0)),
$AA21&gt;MIN(AE$5,VLOOKUP(AE$6, Table_ChiPhiNV_Ca[], COUNTA(Table_ChiPhiNV_Ca[[#Headers],[Ca]:[Kết thúc]]),0))),0,
SUM(_xlfn._xlws.FILTER(Table_BangLuong_TyLeTangCa[Tỷ lệ],
(Table_BangLuong_TyLeTangCa[Ngày] = "Thường") *
(Table_BangLuong_TyLeTangCa[Giờ min]&lt;=$AA21) *
(Table_BangLuong_TyLeTangCa[Giờ max]&gt;$AA21)
))),
IF(
AND(
$AA21-$Z$4&gt;=MAX(AE$4,VLOOKUP(AE$6, Table_ChiPhiNV_Ca[], COUNTA(Table_ChiPhiNV_Ca[[#Headers],[Ca]:[Bắt đầu]]),0)),
$AA21&lt;MIN(AE$5,VLOOKUP(AE$6, Table_ChiPhiNV_Ca[], COUNTA(Table_ChiPhiNV_Ca[[#Headers],[Ca]:[Kết thúc]]),0))),
SUM(_xlfn._xlws.FILTER(Table_BangLuong_TyLeTangCa[Tỷ lệ],
(Table_BangLuong_TyLeTangCa[Ngày] = "Thường") *
(Table_BangLuong_TyLeTangCa[Giờ min]&lt;=$AA21) *
(Table_BangLuong_TyLeTangCa[Giờ max]&gt;$AA21)
)),0)
)),
IF(AE$4 &lt; AE$5,
IF($AA21-$Z$4&lt;AE$4,0,
IF($AA21&gt;AE$5,0,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AE$5,$AA21 &lt; AE$4),0,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F21" s="18" cm="1">
        <f t="array" ref="AF21" xml:space="preserve">
IFERROR(
IF(AF$1="",0,
IF(AND(
$AA21&gt;=VLOOKUP(AF$6, Table_ChiPhiNV_Ca[], COUNTA(Table_ChiPhiNV_Ca[[#Headers],[Ca]:[Bắt đầu nghỉ]]),0),
$AA21&lt;VLOOKUP(AF$6, Table_ChiPhiNV_Ca[], COUNTA(Table_ChiPhiNV_Ca[[#Headers],[Ca]:[Kết thúc nghỉ]]),0)
),0,
IF(NOT(ISBLANK(AF$3)),
IF(ISBLANK(AF$7),0,
IF(AF$4 &lt; AF$5,
IF($AA21-$Z$4&lt;AF$4,0,
IF($AA21&gt;AF$5,0,
SUM(_xlfn._xlws.FILTER(Table_BangLuong_TyLeTangCa[Tỷ lệ],
(Table_BangLuong_TyLeTangCa[Ngày] = AF$3) *
(Table_BangLuong_TyLeTangCa[Giờ min]&lt;=$AA21) *
(Table_BangLuong_TyLeTangCa[Giờ max]&gt;$AA21)
)))),
IF(AND($AA21-$Z$4 &gt;= AF$5,$AA21 &lt; AF$4),0,
SUM(_xlfn._xlws.FILTER(Table_BangLuong_TyLeTangCa[Tỷ lệ],
(Table_BangLuong_TyLeTangCa[Ngày] = AF$3) *
(Table_BangLuong_TyLeTangCa[Giờ min]&lt;=$AA21) *
(Table_BangLuong_TyLeTangCa[Giờ max]&gt;$AA21)
))))
),
IF(ISBLANK(AF$7),
IF(VLOOKUP(AF$6, Table_ChiPhiNV_Ca[], COUNTA(Table_ChiPhiNV_Ca[[#Headers],[Ca]:[Kết thúc]]),0)&gt; VLOOKUP(AF$6, Table_ChiPhiNV_Ca[], COUNTA(Table_ChiPhiNV_Ca[[#Headers],[Ca]:[Bắt đầu]]),0),
IF($AA21-$Z$4&lt;MAX(AF$4,VLOOKUP(AF$6, Table_ChiPhiNV_Ca[], COUNTA(Table_ChiPhiNV_Ca[[#Headers],[Ca]:[Bắt đầu]]),0)),0,
IF($AA21&gt;MIN(AF$5,VLOOKUP(AF$6, Table_ChiPhiNV_Ca[], COUNTA(Table_ChiPhiNV_Ca[[#Headers],[Ca]:[Kết thúc]]),0)),0,
SUM(_xlfn._xlws.FILTER(Table_BangLuong_TyLeTangCa[Tỷ lệ],
(Table_BangLuong_TyLeTangCa[Ngày] = "Thường") *
(Table_BangLuong_TyLeTangCa[Giờ min]&lt;=$AA21) *
(Table_BangLuong_TyLeTangCa[Giờ max]&gt;$AA21)
)))),
IF(AF$4 &gt; AF$5,
IF(
AND(
$AA21-$Z$4&lt;MAX(AF$4,VLOOKUP(AF$6, Table_ChiPhiNV_Ca[], COUNTA(Table_ChiPhiNV_Ca[[#Headers],[Ca]:[Bắt đầu]]),0)),
$AA21&gt;MIN(AF$5,VLOOKUP(AF$6, Table_ChiPhiNV_Ca[], COUNTA(Table_ChiPhiNV_Ca[[#Headers],[Ca]:[Kết thúc]]),0))),0,
SUM(_xlfn._xlws.FILTER(Table_BangLuong_TyLeTangCa[Tỷ lệ],
(Table_BangLuong_TyLeTangCa[Ngày] = "Thường") *
(Table_BangLuong_TyLeTangCa[Giờ min]&lt;=$AA21) *
(Table_BangLuong_TyLeTangCa[Giờ max]&gt;$AA21)
))),
IF(
AND(
$AA21-$Z$4&gt;=MAX(AF$4,VLOOKUP(AF$6, Table_ChiPhiNV_Ca[], COUNTA(Table_ChiPhiNV_Ca[[#Headers],[Ca]:[Bắt đầu]]),0)),
$AA21&lt;MIN(AF$5,VLOOKUP(AF$6, Table_ChiPhiNV_Ca[], COUNTA(Table_ChiPhiNV_Ca[[#Headers],[Ca]:[Kết thúc]]),0))),
SUM(_xlfn._xlws.FILTER(Table_BangLuong_TyLeTangCa[Tỷ lệ],
(Table_BangLuong_TyLeTangCa[Ngày] = "Thường") *
(Table_BangLuong_TyLeTangCa[Giờ min]&lt;=$AA21) *
(Table_BangLuong_TyLeTangCa[Giờ max]&gt;$AA21)
)),0)
)),
IF(AF$4 &lt; AF$5,
IF($AA21-$Z$4&lt;AF$4,0,
IF($AA21&gt;AF$5,0,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AF$5,$AA21 &lt; AF$4),0,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G21" s="18" cm="1">
        <f t="array" ref="AG21" xml:space="preserve">
IFERROR(
IF(AG$1="",0,
IF(AND(
$AA21&gt;=VLOOKUP(AG$6, Table_ChiPhiNV_Ca[], COUNTA(Table_ChiPhiNV_Ca[[#Headers],[Ca]:[Bắt đầu nghỉ]]),0),
$AA21&lt;VLOOKUP(AG$6, Table_ChiPhiNV_Ca[], COUNTA(Table_ChiPhiNV_Ca[[#Headers],[Ca]:[Kết thúc nghỉ]]),0)
),0,
IF(NOT(ISBLANK(AG$3)),
IF(ISBLANK(AG$7),0,
IF(AG$4 &lt; AG$5,
IF($AA21-$Z$4&lt;AG$4,0,
IF($AA21&gt;AG$5,0,
SUM(_xlfn._xlws.FILTER(Table_BangLuong_TyLeTangCa[Tỷ lệ],
(Table_BangLuong_TyLeTangCa[Ngày] = AG$3) *
(Table_BangLuong_TyLeTangCa[Giờ min]&lt;=$AA21) *
(Table_BangLuong_TyLeTangCa[Giờ max]&gt;$AA21)
)))),
IF(AND($AA21-$Z$4 &gt;= AG$5,$AA21 &lt; AG$4),0,
SUM(_xlfn._xlws.FILTER(Table_BangLuong_TyLeTangCa[Tỷ lệ],
(Table_BangLuong_TyLeTangCa[Ngày] = AG$3) *
(Table_BangLuong_TyLeTangCa[Giờ min]&lt;=$AA21) *
(Table_BangLuong_TyLeTangCa[Giờ max]&gt;$AA21)
))))
),
IF(ISBLANK(AG$7),
IF(VLOOKUP(AG$6, Table_ChiPhiNV_Ca[], COUNTA(Table_ChiPhiNV_Ca[[#Headers],[Ca]:[Kết thúc]]),0)&gt; VLOOKUP(AG$6, Table_ChiPhiNV_Ca[], COUNTA(Table_ChiPhiNV_Ca[[#Headers],[Ca]:[Bắt đầu]]),0),
IF($AA21-$Z$4&lt;MAX(AG$4,VLOOKUP(AG$6, Table_ChiPhiNV_Ca[], COUNTA(Table_ChiPhiNV_Ca[[#Headers],[Ca]:[Bắt đầu]]),0)),0,
IF($AA21&gt;MIN(AG$5,VLOOKUP(AG$6, Table_ChiPhiNV_Ca[], COUNTA(Table_ChiPhiNV_Ca[[#Headers],[Ca]:[Kết thúc]]),0)),0,
SUM(_xlfn._xlws.FILTER(Table_BangLuong_TyLeTangCa[Tỷ lệ],
(Table_BangLuong_TyLeTangCa[Ngày] = "Thường") *
(Table_BangLuong_TyLeTangCa[Giờ min]&lt;=$AA21) *
(Table_BangLuong_TyLeTangCa[Giờ max]&gt;$AA21)
)))),
IF(AG$4 &gt; AG$5,
IF(
AND(
$AA21-$Z$4&lt;MAX(AG$4,VLOOKUP(AG$6, Table_ChiPhiNV_Ca[], COUNTA(Table_ChiPhiNV_Ca[[#Headers],[Ca]:[Bắt đầu]]),0)),
$AA21&gt;MIN(AG$5,VLOOKUP(AG$6, Table_ChiPhiNV_Ca[], COUNTA(Table_ChiPhiNV_Ca[[#Headers],[Ca]:[Kết thúc]]),0))),0,
SUM(_xlfn._xlws.FILTER(Table_BangLuong_TyLeTangCa[Tỷ lệ],
(Table_BangLuong_TyLeTangCa[Ngày] = "Thường") *
(Table_BangLuong_TyLeTangCa[Giờ min]&lt;=$AA21) *
(Table_BangLuong_TyLeTangCa[Giờ max]&gt;$AA21)
))),
IF(
AND(
$AA21-$Z$4&gt;=MAX(AG$4,VLOOKUP(AG$6, Table_ChiPhiNV_Ca[], COUNTA(Table_ChiPhiNV_Ca[[#Headers],[Ca]:[Bắt đầu]]),0)),
$AA21&lt;MIN(AG$5,VLOOKUP(AG$6, Table_ChiPhiNV_Ca[], COUNTA(Table_ChiPhiNV_Ca[[#Headers],[Ca]:[Kết thúc]]),0))),
SUM(_xlfn._xlws.FILTER(Table_BangLuong_TyLeTangCa[Tỷ lệ],
(Table_BangLuong_TyLeTangCa[Ngày] = "Thường") *
(Table_BangLuong_TyLeTangCa[Giờ min]&lt;=$AA21) *
(Table_BangLuong_TyLeTangCa[Giờ max]&gt;$AA21)
)),0)
)),
IF(AG$4 &lt; AG$5,
IF($AA21-$Z$4&lt;AG$4,0,
IF($AA21&gt;AG$5,0,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AG$5,$AA21 &lt; AG$4),0,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H21" s="18" cm="1">
        <f t="array" ref="AH21" xml:space="preserve">
IFERROR(
IF(AH$1="",0,
IF(AND(
$AA21&gt;=VLOOKUP(AH$6, Table_ChiPhiNV_Ca[], COUNTA(Table_ChiPhiNV_Ca[[#Headers],[Ca]:[Bắt đầu nghỉ]]),0),
$AA21&lt;VLOOKUP(AH$6, Table_ChiPhiNV_Ca[], COUNTA(Table_ChiPhiNV_Ca[[#Headers],[Ca]:[Kết thúc nghỉ]]),0)
),0,
IF(NOT(ISBLANK(AH$3)),
IF(ISBLANK(AH$7),0,
IF(AH$4 &lt; AH$5,
IF($AA21-$Z$4&lt;AH$4,0,
IF($AA21&gt;AH$5,0,
SUM(_xlfn._xlws.FILTER(Table_BangLuong_TyLeTangCa[Tỷ lệ],
(Table_BangLuong_TyLeTangCa[Ngày] = AH$3) *
(Table_BangLuong_TyLeTangCa[Giờ min]&lt;=$AA21) *
(Table_BangLuong_TyLeTangCa[Giờ max]&gt;$AA21)
)))),
IF(AND($AA21-$Z$4 &gt;= AH$5,$AA21 &lt; AH$4),0,
SUM(_xlfn._xlws.FILTER(Table_BangLuong_TyLeTangCa[Tỷ lệ],
(Table_BangLuong_TyLeTangCa[Ngày] = AH$3) *
(Table_BangLuong_TyLeTangCa[Giờ min]&lt;=$AA21) *
(Table_BangLuong_TyLeTangCa[Giờ max]&gt;$AA21)
))))
),
IF(ISBLANK(AH$7),
IF(VLOOKUP(AH$6, Table_ChiPhiNV_Ca[], COUNTA(Table_ChiPhiNV_Ca[[#Headers],[Ca]:[Kết thúc]]),0)&gt; VLOOKUP(AH$6, Table_ChiPhiNV_Ca[], COUNTA(Table_ChiPhiNV_Ca[[#Headers],[Ca]:[Bắt đầu]]),0),
IF($AA21-$Z$4&lt;MAX(AH$4,VLOOKUP(AH$6, Table_ChiPhiNV_Ca[], COUNTA(Table_ChiPhiNV_Ca[[#Headers],[Ca]:[Bắt đầu]]),0)),0,
IF($AA21&gt;MIN(AH$5,VLOOKUP(AH$6, Table_ChiPhiNV_Ca[], COUNTA(Table_ChiPhiNV_Ca[[#Headers],[Ca]:[Kết thúc]]),0)),0,
SUM(_xlfn._xlws.FILTER(Table_BangLuong_TyLeTangCa[Tỷ lệ],
(Table_BangLuong_TyLeTangCa[Ngày] = "Thường") *
(Table_BangLuong_TyLeTangCa[Giờ min]&lt;=$AA21) *
(Table_BangLuong_TyLeTangCa[Giờ max]&gt;$AA21)
)))),
IF(AH$4 &gt; AH$5,
IF(
AND(
$AA21-$Z$4&lt;MAX(AH$4,VLOOKUP(AH$6, Table_ChiPhiNV_Ca[], COUNTA(Table_ChiPhiNV_Ca[[#Headers],[Ca]:[Bắt đầu]]),0)),
$AA21&gt;MIN(AH$5,VLOOKUP(AH$6, Table_ChiPhiNV_Ca[], COUNTA(Table_ChiPhiNV_Ca[[#Headers],[Ca]:[Kết thúc]]),0))),0,
SUM(_xlfn._xlws.FILTER(Table_BangLuong_TyLeTangCa[Tỷ lệ],
(Table_BangLuong_TyLeTangCa[Ngày] = "Thường") *
(Table_BangLuong_TyLeTangCa[Giờ min]&lt;=$AA21) *
(Table_BangLuong_TyLeTangCa[Giờ max]&gt;$AA21)
))),
IF(
AND(
$AA21-$Z$4&gt;=MAX(AH$4,VLOOKUP(AH$6, Table_ChiPhiNV_Ca[], COUNTA(Table_ChiPhiNV_Ca[[#Headers],[Ca]:[Bắt đầu]]),0)),
$AA21&lt;MIN(AH$5,VLOOKUP(AH$6, Table_ChiPhiNV_Ca[], COUNTA(Table_ChiPhiNV_Ca[[#Headers],[Ca]:[Kết thúc]]),0))),
SUM(_xlfn._xlws.FILTER(Table_BangLuong_TyLeTangCa[Tỷ lệ],
(Table_BangLuong_TyLeTangCa[Ngày] = "Thường") *
(Table_BangLuong_TyLeTangCa[Giờ min]&lt;=$AA21) *
(Table_BangLuong_TyLeTangCa[Giờ max]&gt;$AA21)
)),0)
)),
IF(AH$4 &lt; AH$5,
IF($AA21-$Z$4&lt;AH$4,0,
IF($AA21&gt;AH$5,0,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AH$5,$AA21 &lt; AH$4),0,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I21" s="18" cm="1">
        <f t="array" ref="AI21" xml:space="preserve">
IFERROR(
IF(AI$1="",0,
IF(AND(
$AA21&gt;=VLOOKUP(AI$6, Table_ChiPhiNV_Ca[], COUNTA(Table_ChiPhiNV_Ca[[#Headers],[Ca]:[Bắt đầu nghỉ]]),0),
$AA21&lt;VLOOKUP(AI$6, Table_ChiPhiNV_Ca[], COUNTA(Table_ChiPhiNV_Ca[[#Headers],[Ca]:[Kết thúc nghỉ]]),0)
),0,
IF(NOT(ISBLANK(AI$3)),
IF(ISBLANK(AI$7),0,
IF(AI$4 &lt; AI$5,
IF($AA21-$Z$4&lt;AI$4,0,
IF($AA21&gt;AI$5,0,
SUM(_xlfn._xlws.FILTER(Table_BangLuong_TyLeTangCa[Tỷ lệ],
(Table_BangLuong_TyLeTangCa[Ngày] = AI$3) *
(Table_BangLuong_TyLeTangCa[Giờ min]&lt;=$AA21) *
(Table_BangLuong_TyLeTangCa[Giờ max]&gt;$AA21)
)))),
IF(AND($AA21-$Z$4 &gt;= AI$5,$AA21 &lt; AI$4),0,
SUM(_xlfn._xlws.FILTER(Table_BangLuong_TyLeTangCa[Tỷ lệ],
(Table_BangLuong_TyLeTangCa[Ngày] = AI$3) *
(Table_BangLuong_TyLeTangCa[Giờ min]&lt;=$AA21) *
(Table_BangLuong_TyLeTangCa[Giờ max]&gt;$AA21)
))))
),
IF(ISBLANK(AI$7),
IF(VLOOKUP(AI$6, Table_ChiPhiNV_Ca[], COUNTA(Table_ChiPhiNV_Ca[[#Headers],[Ca]:[Kết thúc]]),0)&gt; VLOOKUP(AI$6, Table_ChiPhiNV_Ca[], COUNTA(Table_ChiPhiNV_Ca[[#Headers],[Ca]:[Bắt đầu]]),0),
IF($AA21-$Z$4&lt;MAX(AI$4,VLOOKUP(AI$6, Table_ChiPhiNV_Ca[], COUNTA(Table_ChiPhiNV_Ca[[#Headers],[Ca]:[Bắt đầu]]),0)),0,
IF($AA21&gt;MIN(AI$5,VLOOKUP(AI$6, Table_ChiPhiNV_Ca[], COUNTA(Table_ChiPhiNV_Ca[[#Headers],[Ca]:[Kết thúc]]),0)),0,
SUM(_xlfn._xlws.FILTER(Table_BangLuong_TyLeTangCa[Tỷ lệ],
(Table_BangLuong_TyLeTangCa[Ngày] = "Thường") *
(Table_BangLuong_TyLeTangCa[Giờ min]&lt;=$AA21) *
(Table_BangLuong_TyLeTangCa[Giờ max]&gt;$AA21)
)))),
IF(AI$4 &gt; AI$5,
IF(
AND(
$AA21-$Z$4&lt;MAX(AI$4,VLOOKUP(AI$6, Table_ChiPhiNV_Ca[], COUNTA(Table_ChiPhiNV_Ca[[#Headers],[Ca]:[Bắt đầu]]),0)),
$AA21&gt;MIN(AI$5,VLOOKUP(AI$6, Table_ChiPhiNV_Ca[], COUNTA(Table_ChiPhiNV_Ca[[#Headers],[Ca]:[Kết thúc]]),0))),0,
SUM(_xlfn._xlws.FILTER(Table_BangLuong_TyLeTangCa[Tỷ lệ],
(Table_BangLuong_TyLeTangCa[Ngày] = "Thường") *
(Table_BangLuong_TyLeTangCa[Giờ min]&lt;=$AA21) *
(Table_BangLuong_TyLeTangCa[Giờ max]&gt;$AA21)
))),
IF(
AND(
$AA21-$Z$4&gt;=MAX(AI$4,VLOOKUP(AI$6, Table_ChiPhiNV_Ca[], COUNTA(Table_ChiPhiNV_Ca[[#Headers],[Ca]:[Bắt đầu]]),0)),
$AA21&lt;MIN(AI$5,VLOOKUP(AI$6, Table_ChiPhiNV_Ca[], COUNTA(Table_ChiPhiNV_Ca[[#Headers],[Ca]:[Kết thúc]]),0))),
SUM(_xlfn._xlws.FILTER(Table_BangLuong_TyLeTangCa[Tỷ lệ],
(Table_BangLuong_TyLeTangCa[Ngày] = "Thường") *
(Table_BangLuong_TyLeTangCa[Giờ min]&lt;=$AA21) *
(Table_BangLuong_TyLeTangCa[Giờ max]&gt;$AA21)
)),0)
)),
IF(AI$4 &lt; AI$5,
IF($AA21-$Z$4&lt;AI$4,0,
IF($AA21&gt;AI$5,0,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AI$5,$AA21 &lt; AI$4),0,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J21" s="18" cm="1">
        <f t="array" ref="AJ21" xml:space="preserve">
IFERROR(
IF(AJ$1="",0,
IF(AND(
$AA21&gt;=VLOOKUP(AJ$6, Table_ChiPhiNV_Ca[], COUNTA(Table_ChiPhiNV_Ca[[#Headers],[Ca]:[Bắt đầu nghỉ]]),0),
$AA21&lt;VLOOKUP(AJ$6, Table_ChiPhiNV_Ca[], COUNTA(Table_ChiPhiNV_Ca[[#Headers],[Ca]:[Kết thúc nghỉ]]),0)
),0,
IF(NOT(ISBLANK(AJ$3)),
IF(ISBLANK(AJ$7),0,
IF(AJ$4 &lt; AJ$5,
IF($AA21-$Z$4&lt;AJ$4,0,
IF($AA21&gt;AJ$5,0,
SUM(_xlfn._xlws.FILTER(Table_BangLuong_TyLeTangCa[Tỷ lệ],
(Table_BangLuong_TyLeTangCa[Ngày] = AJ$3) *
(Table_BangLuong_TyLeTangCa[Giờ min]&lt;=$AA21) *
(Table_BangLuong_TyLeTangCa[Giờ max]&gt;$AA21)
)))),
IF(AND($AA21-$Z$4 &gt;= AJ$5,$AA21 &lt; AJ$4),0,
SUM(_xlfn._xlws.FILTER(Table_BangLuong_TyLeTangCa[Tỷ lệ],
(Table_BangLuong_TyLeTangCa[Ngày] = AJ$3) *
(Table_BangLuong_TyLeTangCa[Giờ min]&lt;=$AA21) *
(Table_BangLuong_TyLeTangCa[Giờ max]&gt;$AA21)
))))
),
IF(ISBLANK(AJ$7),
IF(VLOOKUP(AJ$6, Table_ChiPhiNV_Ca[], COUNTA(Table_ChiPhiNV_Ca[[#Headers],[Ca]:[Kết thúc]]),0)&gt; VLOOKUP(AJ$6, Table_ChiPhiNV_Ca[], COUNTA(Table_ChiPhiNV_Ca[[#Headers],[Ca]:[Bắt đầu]]),0),
IF($AA21-$Z$4&lt;MAX(AJ$4,VLOOKUP(AJ$6, Table_ChiPhiNV_Ca[], COUNTA(Table_ChiPhiNV_Ca[[#Headers],[Ca]:[Bắt đầu]]),0)),0,
IF($AA21&gt;MIN(AJ$5,VLOOKUP(AJ$6, Table_ChiPhiNV_Ca[], COUNTA(Table_ChiPhiNV_Ca[[#Headers],[Ca]:[Kết thúc]]),0)),0,
SUM(_xlfn._xlws.FILTER(Table_BangLuong_TyLeTangCa[Tỷ lệ],
(Table_BangLuong_TyLeTangCa[Ngày] = "Thường") *
(Table_BangLuong_TyLeTangCa[Giờ min]&lt;=$AA21) *
(Table_BangLuong_TyLeTangCa[Giờ max]&gt;$AA21)
)))),
IF(AJ$4 &gt; AJ$5,
IF(
AND(
$AA21-$Z$4&lt;MAX(AJ$4,VLOOKUP(AJ$6, Table_ChiPhiNV_Ca[], COUNTA(Table_ChiPhiNV_Ca[[#Headers],[Ca]:[Bắt đầu]]),0)),
$AA21&gt;MIN(AJ$5,VLOOKUP(AJ$6, Table_ChiPhiNV_Ca[], COUNTA(Table_ChiPhiNV_Ca[[#Headers],[Ca]:[Kết thúc]]),0))),0,
SUM(_xlfn._xlws.FILTER(Table_BangLuong_TyLeTangCa[Tỷ lệ],
(Table_BangLuong_TyLeTangCa[Ngày] = "Thường") *
(Table_BangLuong_TyLeTangCa[Giờ min]&lt;=$AA21) *
(Table_BangLuong_TyLeTangCa[Giờ max]&gt;$AA21)
))),
IF(
AND(
$AA21-$Z$4&gt;=MAX(AJ$4,VLOOKUP(AJ$6, Table_ChiPhiNV_Ca[], COUNTA(Table_ChiPhiNV_Ca[[#Headers],[Ca]:[Bắt đầu]]),0)),
$AA21&lt;MIN(AJ$5,VLOOKUP(AJ$6, Table_ChiPhiNV_Ca[], COUNTA(Table_ChiPhiNV_Ca[[#Headers],[Ca]:[Kết thúc]]),0))),
SUM(_xlfn._xlws.FILTER(Table_BangLuong_TyLeTangCa[Tỷ lệ],
(Table_BangLuong_TyLeTangCa[Ngày] = "Thường") *
(Table_BangLuong_TyLeTangCa[Giờ min]&lt;=$AA21) *
(Table_BangLuong_TyLeTangCa[Giờ max]&gt;$AA21)
)),0)
)),
IF(AJ$4 &lt; AJ$5,
IF($AA21-$Z$4&lt;AJ$4,0,
IF($AA21&gt;AJ$5,0,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AJ$5,$AA21 &lt; AJ$4),0,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K21" s="18" cm="1">
        <f t="array" ref="AK21" xml:space="preserve">
IFERROR(
IF(AK$1="",0,
IF(AND(
$AA21&gt;=VLOOKUP(AK$6, Table_ChiPhiNV_Ca[], COUNTA(Table_ChiPhiNV_Ca[[#Headers],[Ca]:[Bắt đầu nghỉ]]),0),
$AA21&lt;VLOOKUP(AK$6, Table_ChiPhiNV_Ca[], COUNTA(Table_ChiPhiNV_Ca[[#Headers],[Ca]:[Kết thúc nghỉ]]),0)
),0,
IF(NOT(ISBLANK(AK$3)),
IF(ISBLANK(AK$7),0,
IF(AK$4 &lt; AK$5,
IF($AA21-$Z$4&lt;AK$4,0,
IF($AA21&gt;AK$5,0,
SUM(_xlfn._xlws.FILTER(Table_BangLuong_TyLeTangCa[Tỷ lệ],
(Table_BangLuong_TyLeTangCa[Ngày] = AK$3) *
(Table_BangLuong_TyLeTangCa[Giờ min]&lt;=$AA21) *
(Table_BangLuong_TyLeTangCa[Giờ max]&gt;$AA21)
)))),
IF(AND($AA21-$Z$4 &gt;= AK$5,$AA21 &lt; AK$4),0,
SUM(_xlfn._xlws.FILTER(Table_BangLuong_TyLeTangCa[Tỷ lệ],
(Table_BangLuong_TyLeTangCa[Ngày] = AK$3) *
(Table_BangLuong_TyLeTangCa[Giờ min]&lt;=$AA21) *
(Table_BangLuong_TyLeTangCa[Giờ max]&gt;$AA21)
))))
),
IF(ISBLANK(AK$7),
IF(VLOOKUP(AK$6, Table_ChiPhiNV_Ca[], COUNTA(Table_ChiPhiNV_Ca[[#Headers],[Ca]:[Kết thúc]]),0)&gt; VLOOKUP(AK$6, Table_ChiPhiNV_Ca[], COUNTA(Table_ChiPhiNV_Ca[[#Headers],[Ca]:[Bắt đầu]]),0),
IF($AA21-$Z$4&lt;MAX(AK$4,VLOOKUP(AK$6, Table_ChiPhiNV_Ca[], COUNTA(Table_ChiPhiNV_Ca[[#Headers],[Ca]:[Bắt đầu]]),0)),0,
IF($AA21&gt;MIN(AK$5,VLOOKUP(AK$6, Table_ChiPhiNV_Ca[], COUNTA(Table_ChiPhiNV_Ca[[#Headers],[Ca]:[Kết thúc]]),0)),0,
SUM(_xlfn._xlws.FILTER(Table_BangLuong_TyLeTangCa[Tỷ lệ],
(Table_BangLuong_TyLeTangCa[Ngày] = "Thường") *
(Table_BangLuong_TyLeTangCa[Giờ min]&lt;=$AA21) *
(Table_BangLuong_TyLeTangCa[Giờ max]&gt;$AA21)
)))),
IF(AK$4 &gt; AK$5,
IF(
AND(
$AA21-$Z$4&lt;MAX(AK$4,VLOOKUP(AK$6, Table_ChiPhiNV_Ca[], COUNTA(Table_ChiPhiNV_Ca[[#Headers],[Ca]:[Bắt đầu]]),0)),
$AA21&gt;MIN(AK$5,VLOOKUP(AK$6, Table_ChiPhiNV_Ca[], COUNTA(Table_ChiPhiNV_Ca[[#Headers],[Ca]:[Kết thúc]]),0))),0,
SUM(_xlfn._xlws.FILTER(Table_BangLuong_TyLeTangCa[Tỷ lệ],
(Table_BangLuong_TyLeTangCa[Ngày] = "Thường") *
(Table_BangLuong_TyLeTangCa[Giờ min]&lt;=$AA21) *
(Table_BangLuong_TyLeTangCa[Giờ max]&gt;$AA21)
))),
IF(
AND(
$AA21-$Z$4&gt;=MAX(AK$4,VLOOKUP(AK$6, Table_ChiPhiNV_Ca[], COUNTA(Table_ChiPhiNV_Ca[[#Headers],[Ca]:[Bắt đầu]]),0)),
$AA21&lt;MIN(AK$5,VLOOKUP(AK$6, Table_ChiPhiNV_Ca[], COUNTA(Table_ChiPhiNV_Ca[[#Headers],[Ca]:[Kết thúc]]),0))),
SUM(_xlfn._xlws.FILTER(Table_BangLuong_TyLeTangCa[Tỷ lệ],
(Table_BangLuong_TyLeTangCa[Ngày] = "Thường") *
(Table_BangLuong_TyLeTangCa[Giờ min]&lt;=$AA21) *
(Table_BangLuong_TyLeTangCa[Giờ max]&gt;$AA21)
)),0)
)),
IF(AK$4 &lt; AK$5,
IF($AA21-$Z$4&lt;AK$4,0,
IF($AA21&gt;AK$5,0,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AK$5,$AA21 &lt; AK$4),0,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L21" s="18" cm="1">
        <f t="array" ref="AL21" xml:space="preserve">
IFERROR(
IF(AL$1="",0,
IF(AND(
$AA21&gt;=VLOOKUP(AL$6, Table_ChiPhiNV_Ca[], COUNTA(Table_ChiPhiNV_Ca[[#Headers],[Ca]:[Bắt đầu nghỉ]]),0),
$AA21&lt;VLOOKUP(AL$6, Table_ChiPhiNV_Ca[], COUNTA(Table_ChiPhiNV_Ca[[#Headers],[Ca]:[Kết thúc nghỉ]]),0)
),0,
IF(NOT(ISBLANK(AL$3)),
IF(ISBLANK(AL$7),0,
IF(AL$4 &lt; AL$5,
IF($AA21-$Z$4&lt;AL$4,0,
IF($AA21&gt;AL$5,0,
SUM(_xlfn._xlws.FILTER(Table_BangLuong_TyLeTangCa[Tỷ lệ],
(Table_BangLuong_TyLeTangCa[Ngày] = AL$3) *
(Table_BangLuong_TyLeTangCa[Giờ min]&lt;=$AA21) *
(Table_BangLuong_TyLeTangCa[Giờ max]&gt;$AA21)
)))),
IF(AND($AA21-$Z$4 &gt;= AL$5,$AA21 &lt; AL$4),0,
SUM(_xlfn._xlws.FILTER(Table_BangLuong_TyLeTangCa[Tỷ lệ],
(Table_BangLuong_TyLeTangCa[Ngày] = AL$3) *
(Table_BangLuong_TyLeTangCa[Giờ min]&lt;=$AA21) *
(Table_BangLuong_TyLeTangCa[Giờ max]&gt;$AA21)
))))
),
IF(ISBLANK(AL$7),
IF(VLOOKUP(AL$6, Table_ChiPhiNV_Ca[], COUNTA(Table_ChiPhiNV_Ca[[#Headers],[Ca]:[Kết thúc]]),0)&gt; VLOOKUP(AL$6, Table_ChiPhiNV_Ca[], COUNTA(Table_ChiPhiNV_Ca[[#Headers],[Ca]:[Bắt đầu]]),0),
IF($AA21-$Z$4&lt;MAX(AL$4,VLOOKUP(AL$6, Table_ChiPhiNV_Ca[], COUNTA(Table_ChiPhiNV_Ca[[#Headers],[Ca]:[Bắt đầu]]),0)),0,
IF($AA21&gt;MIN(AL$5,VLOOKUP(AL$6, Table_ChiPhiNV_Ca[], COUNTA(Table_ChiPhiNV_Ca[[#Headers],[Ca]:[Kết thúc]]),0)),0,
SUM(_xlfn._xlws.FILTER(Table_BangLuong_TyLeTangCa[Tỷ lệ],
(Table_BangLuong_TyLeTangCa[Ngày] = "Thường") *
(Table_BangLuong_TyLeTangCa[Giờ min]&lt;=$AA21) *
(Table_BangLuong_TyLeTangCa[Giờ max]&gt;$AA21)
)))),
IF(AL$4 &gt; AL$5,
IF(
AND(
$AA21-$Z$4&lt;MAX(AL$4,VLOOKUP(AL$6, Table_ChiPhiNV_Ca[], COUNTA(Table_ChiPhiNV_Ca[[#Headers],[Ca]:[Bắt đầu]]),0)),
$AA21&gt;MIN(AL$5,VLOOKUP(AL$6, Table_ChiPhiNV_Ca[], COUNTA(Table_ChiPhiNV_Ca[[#Headers],[Ca]:[Kết thúc]]),0))),0,
SUM(_xlfn._xlws.FILTER(Table_BangLuong_TyLeTangCa[Tỷ lệ],
(Table_BangLuong_TyLeTangCa[Ngày] = "Thường") *
(Table_BangLuong_TyLeTangCa[Giờ min]&lt;=$AA21) *
(Table_BangLuong_TyLeTangCa[Giờ max]&gt;$AA21)
))),
IF(
AND(
$AA21-$Z$4&gt;=MAX(AL$4,VLOOKUP(AL$6, Table_ChiPhiNV_Ca[], COUNTA(Table_ChiPhiNV_Ca[[#Headers],[Ca]:[Bắt đầu]]),0)),
$AA21&lt;MIN(AL$5,VLOOKUP(AL$6, Table_ChiPhiNV_Ca[], COUNTA(Table_ChiPhiNV_Ca[[#Headers],[Ca]:[Kết thúc]]),0))),
SUM(_xlfn._xlws.FILTER(Table_BangLuong_TyLeTangCa[Tỷ lệ],
(Table_BangLuong_TyLeTangCa[Ngày] = "Thường") *
(Table_BangLuong_TyLeTangCa[Giờ min]&lt;=$AA21) *
(Table_BangLuong_TyLeTangCa[Giờ max]&gt;$AA21)
)),0)
)),
IF(AL$4 &lt; AL$5,
IF($AA21-$Z$4&lt;AL$4,0,
IF($AA21&gt;AL$5,0,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AL$5,$AA21 &lt; AL$4),0,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M21" s="18" cm="1">
        <f t="array" ref="AM21" xml:space="preserve">
IFERROR(
IF(AM$1="",0,
IF(AND(
$AA21&gt;=VLOOKUP(AM$6, Table_ChiPhiNV_Ca[], COUNTA(Table_ChiPhiNV_Ca[[#Headers],[Ca]:[Bắt đầu nghỉ]]),0),
$AA21&lt;VLOOKUP(AM$6, Table_ChiPhiNV_Ca[], COUNTA(Table_ChiPhiNV_Ca[[#Headers],[Ca]:[Kết thúc nghỉ]]),0)
),0,
IF(NOT(ISBLANK(AM$3)),
IF(ISBLANK(AM$7),0,
IF(AM$4 &lt; AM$5,
IF($AA21-$Z$4&lt;AM$4,0,
IF($AA21&gt;AM$5,0,
SUM(_xlfn._xlws.FILTER(Table_BangLuong_TyLeTangCa[Tỷ lệ],
(Table_BangLuong_TyLeTangCa[Ngày] = AM$3) *
(Table_BangLuong_TyLeTangCa[Giờ min]&lt;=$AA21) *
(Table_BangLuong_TyLeTangCa[Giờ max]&gt;$AA21)
)))),
IF(AND($AA21-$Z$4 &gt;= AM$5,$AA21 &lt; AM$4),0,
SUM(_xlfn._xlws.FILTER(Table_BangLuong_TyLeTangCa[Tỷ lệ],
(Table_BangLuong_TyLeTangCa[Ngày] = AM$3) *
(Table_BangLuong_TyLeTangCa[Giờ min]&lt;=$AA21) *
(Table_BangLuong_TyLeTangCa[Giờ max]&gt;$AA21)
))))
),
IF(ISBLANK(AM$7),
IF(VLOOKUP(AM$6, Table_ChiPhiNV_Ca[], COUNTA(Table_ChiPhiNV_Ca[[#Headers],[Ca]:[Kết thúc]]),0)&gt; VLOOKUP(AM$6, Table_ChiPhiNV_Ca[], COUNTA(Table_ChiPhiNV_Ca[[#Headers],[Ca]:[Bắt đầu]]),0),
IF($AA21-$Z$4&lt;MAX(AM$4,VLOOKUP(AM$6, Table_ChiPhiNV_Ca[], COUNTA(Table_ChiPhiNV_Ca[[#Headers],[Ca]:[Bắt đầu]]),0)),0,
IF($AA21&gt;MIN(AM$5,VLOOKUP(AM$6, Table_ChiPhiNV_Ca[], COUNTA(Table_ChiPhiNV_Ca[[#Headers],[Ca]:[Kết thúc]]),0)),0,
SUM(_xlfn._xlws.FILTER(Table_BangLuong_TyLeTangCa[Tỷ lệ],
(Table_BangLuong_TyLeTangCa[Ngày] = "Thường") *
(Table_BangLuong_TyLeTangCa[Giờ min]&lt;=$AA21) *
(Table_BangLuong_TyLeTangCa[Giờ max]&gt;$AA21)
)))),
IF(AM$4 &gt; AM$5,
IF(
AND(
$AA21-$Z$4&lt;MAX(AM$4,VLOOKUP(AM$6, Table_ChiPhiNV_Ca[], COUNTA(Table_ChiPhiNV_Ca[[#Headers],[Ca]:[Bắt đầu]]),0)),
$AA21&gt;MIN(AM$5,VLOOKUP(AM$6, Table_ChiPhiNV_Ca[], COUNTA(Table_ChiPhiNV_Ca[[#Headers],[Ca]:[Kết thúc]]),0))),0,
SUM(_xlfn._xlws.FILTER(Table_BangLuong_TyLeTangCa[Tỷ lệ],
(Table_BangLuong_TyLeTangCa[Ngày] = "Thường") *
(Table_BangLuong_TyLeTangCa[Giờ min]&lt;=$AA21) *
(Table_BangLuong_TyLeTangCa[Giờ max]&gt;$AA21)
))),
IF(
AND(
$AA21-$Z$4&gt;=MAX(AM$4,VLOOKUP(AM$6, Table_ChiPhiNV_Ca[], COUNTA(Table_ChiPhiNV_Ca[[#Headers],[Ca]:[Bắt đầu]]),0)),
$AA21&lt;MIN(AM$5,VLOOKUP(AM$6, Table_ChiPhiNV_Ca[], COUNTA(Table_ChiPhiNV_Ca[[#Headers],[Ca]:[Kết thúc]]),0))),
SUM(_xlfn._xlws.FILTER(Table_BangLuong_TyLeTangCa[Tỷ lệ],
(Table_BangLuong_TyLeTangCa[Ngày] = "Thường") *
(Table_BangLuong_TyLeTangCa[Giờ min]&lt;=$AA21) *
(Table_BangLuong_TyLeTangCa[Giờ max]&gt;$AA21)
)),0)
)),
IF(AM$4 &lt; AM$5,
IF($AA21-$Z$4&lt;AM$4,0,
IF($AA21&gt;AM$5,0,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AM$5,$AA21 &lt; AM$4),0,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N21" s="18" cm="1">
        <f t="array" ref="AN21" xml:space="preserve">
IFERROR(
IF(AN$1="",0,
IF(AND(
$AA21&gt;=VLOOKUP(AN$6, Table_ChiPhiNV_Ca[], COUNTA(Table_ChiPhiNV_Ca[[#Headers],[Ca]:[Bắt đầu nghỉ]]),0),
$AA21&lt;VLOOKUP(AN$6, Table_ChiPhiNV_Ca[], COUNTA(Table_ChiPhiNV_Ca[[#Headers],[Ca]:[Kết thúc nghỉ]]),0)
),0,
IF(NOT(ISBLANK(AN$3)),
IF(ISBLANK(AN$7),0,
IF(AN$4 &lt; AN$5,
IF($AA21-$Z$4&lt;AN$4,0,
IF($AA21&gt;AN$5,0,
SUM(_xlfn._xlws.FILTER(Table_BangLuong_TyLeTangCa[Tỷ lệ],
(Table_BangLuong_TyLeTangCa[Ngày] = AN$3) *
(Table_BangLuong_TyLeTangCa[Giờ min]&lt;=$AA21) *
(Table_BangLuong_TyLeTangCa[Giờ max]&gt;$AA21)
)))),
IF(AND($AA21-$Z$4 &gt;= AN$5,$AA21 &lt; AN$4),0,
SUM(_xlfn._xlws.FILTER(Table_BangLuong_TyLeTangCa[Tỷ lệ],
(Table_BangLuong_TyLeTangCa[Ngày] = AN$3) *
(Table_BangLuong_TyLeTangCa[Giờ min]&lt;=$AA21) *
(Table_BangLuong_TyLeTangCa[Giờ max]&gt;$AA21)
))))
),
IF(ISBLANK(AN$7),
IF(VLOOKUP(AN$6, Table_ChiPhiNV_Ca[], COUNTA(Table_ChiPhiNV_Ca[[#Headers],[Ca]:[Kết thúc]]),0)&gt; VLOOKUP(AN$6, Table_ChiPhiNV_Ca[], COUNTA(Table_ChiPhiNV_Ca[[#Headers],[Ca]:[Bắt đầu]]),0),
IF($AA21-$Z$4&lt;MAX(AN$4,VLOOKUP(AN$6, Table_ChiPhiNV_Ca[], COUNTA(Table_ChiPhiNV_Ca[[#Headers],[Ca]:[Bắt đầu]]),0)),0,
IF($AA21&gt;MIN(AN$5,VLOOKUP(AN$6, Table_ChiPhiNV_Ca[], COUNTA(Table_ChiPhiNV_Ca[[#Headers],[Ca]:[Kết thúc]]),0)),0,
SUM(_xlfn._xlws.FILTER(Table_BangLuong_TyLeTangCa[Tỷ lệ],
(Table_BangLuong_TyLeTangCa[Ngày] = "Thường") *
(Table_BangLuong_TyLeTangCa[Giờ min]&lt;=$AA21) *
(Table_BangLuong_TyLeTangCa[Giờ max]&gt;$AA21)
)))),
IF(AN$4 &gt; AN$5,
IF(
AND(
$AA21-$Z$4&lt;MAX(AN$4,VLOOKUP(AN$6, Table_ChiPhiNV_Ca[], COUNTA(Table_ChiPhiNV_Ca[[#Headers],[Ca]:[Bắt đầu]]),0)),
$AA21&gt;MIN(AN$5,VLOOKUP(AN$6, Table_ChiPhiNV_Ca[], COUNTA(Table_ChiPhiNV_Ca[[#Headers],[Ca]:[Kết thúc]]),0))),0,
SUM(_xlfn._xlws.FILTER(Table_BangLuong_TyLeTangCa[Tỷ lệ],
(Table_BangLuong_TyLeTangCa[Ngày] = "Thường") *
(Table_BangLuong_TyLeTangCa[Giờ min]&lt;=$AA21) *
(Table_BangLuong_TyLeTangCa[Giờ max]&gt;$AA21)
))),
IF(
AND(
$AA21-$Z$4&gt;=MAX(AN$4,VLOOKUP(AN$6, Table_ChiPhiNV_Ca[], COUNTA(Table_ChiPhiNV_Ca[[#Headers],[Ca]:[Bắt đầu]]),0)),
$AA21&lt;MIN(AN$5,VLOOKUP(AN$6, Table_ChiPhiNV_Ca[], COUNTA(Table_ChiPhiNV_Ca[[#Headers],[Ca]:[Kết thúc]]),0))),
SUM(_xlfn._xlws.FILTER(Table_BangLuong_TyLeTangCa[Tỷ lệ],
(Table_BangLuong_TyLeTangCa[Ngày] = "Thường") *
(Table_BangLuong_TyLeTangCa[Giờ min]&lt;=$AA21) *
(Table_BangLuong_TyLeTangCa[Giờ max]&gt;$AA21)
)),0)
)),
IF(AN$4 &lt; AN$5,
IF($AA21-$Z$4&lt;AN$4,0,
IF($AA21&gt;AN$5,0,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AN$5,$AA21 &lt; AN$4),0,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O21" s="18" cm="1">
        <f t="array" ref="AO21" xml:space="preserve">
IFERROR(
IF(AO$1="",0,
IF(AND(
$AA21&gt;=VLOOKUP(AO$6, Table_ChiPhiNV_Ca[], COUNTA(Table_ChiPhiNV_Ca[[#Headers],[Ca]:[Bắt đầu nghỉ]]),0),
$AA21&lt;VLOOKUP(AO$6, Table_ChiPhiNV_Ca[], COUNTA(Table_ChiPhiNV_Ca[[#Headers],[Ca]:[Kết thúc nghỉ]]),0)
),0,
IF(NOT(ISBLANK(AO$3)),
IF(ISBLANK(AO$7),0,
IF(AO$4 &lt; AO$5,
IF($AA21-$Z$4&lt;AO$4,0,
IF($AA21&gt;AO$5,0,
SUM(_xlfn._xlws.FILTER(Table_BangLuong_TyLeTangCa[Tỷ lệ],
(Table_BangLuong_TyLeTangCa[Ngày] = AO$3) *
(Table_BangLuong_TyLeTangCa[Giờ min]&lt;=$AA21) *
(Table_BangLuong_TyLeTangCa[Giờ max]&gt;$AA21)
)))),
IF(AND($AA21-$Z$4 &gt;= AO$5,$AA21 &lt; AO$4),0,
SUM(_xlfn._xlws.FILTER(Table_BangLuong_TyLeTangCa[Tỷ lệ],
(Table_BangLuong_TyLeTangCa[Ngày] = AO$3) *
(Table_BangLuong_TyLeTangCa[Giờ min]&lt;=$AA21) *
(Table_BangLuong_TyLeTangCa[Giờ max]&gt;$AA21)
))))
),
IF(ISBLANK(AO$7),
IF(VLOOKUP(AO$6, Table_ChiPhiNV_Ca[], COUNTA(Table_ChiPhiNV_Ca[[#Headers],[Ca]:[Kết thúc]]),0)&gt; VLOOKUP(AO$6, Table_ChiPhiNV_Ca[], COUNTA(Table_ChiPhiNV_Ca[[#Headers],[Ca]:[Bắt đầu]]),0),
IF($AA21-$Z$4&lt;MAX(AO$4,VLOOKUP(AO$6, Table_ChiPhiNV_Ca[], COUNTA(Table_ChiPhiNV_Ca[[#Headers],[Ca]:[Bắt đầu]]),0)),0,
IF($AA21&gt;MIN(AO$5,VLOOKUP(AO$6, Table_ChiPhiNV_Ca[], COUNTA(Table_ChiPhiNV_Ca[[#Headers],[Ca]:[Kết thúc]]),0)),0,
SUM(_xlfn._xlws.FILTER(Table_BangLuong_TyLeTangCa[Tỷ lệ],
(Table_BangLuong_TyLeTangCa[Ngày] = "Thường") *
(Table_BangLuong_TyLeTangCa[Giờ min]&lt;=$AA21) *
(Table_BangLuong_TyLeTangCa[Giờ max]&gt;$AA21)
)))),
IF(AO$4 &gt; AO$5,
IF(
AND(
$AA21-$Z$4&lt;MAX(AO$4,VLOOKUP(AO$6, Table_ChiPhiNV_Ca[], COUNTA(Table_ChiPhiNV_Ca[[#Headers],[Ca]:[Bắt đầu]]),0)),
$AA21&gt;MIN(AO$5,VLOOKUP(AO$6, Table_ChiPhiNV_Ca[], COUNTA(Table_ChiPhiNV_Ca[[#Headers],[Ca]:[Kết thúc]]),0))),0,
SUM(_xlfn._xlws.FILTER(Table_BangLuong_TyLeTangCa[Tỷ lệ],
(Table_BangLuong_TyLeTangCa[Ngày] = "Thường") *
(Table_BangLuong_TyLeTangCa[Giờ min]&lt;=$AA21) *
(Table_BangLuong_TyLeTangCa[Giờ max]&gt;$AA21)
))),
IF(
AND(
$AA21-$Z$4&gt;=MAX(AO$4,VLOOKUP(AO$6, Table_ChiPhiNV_Ca[], COUNTA(Table_ChiPhiNV_Ca[[#Headers],[Ca]:[Bắt đầu]]),0)),
$AA21&lt;MIN(AO$5,VLOOKUP(AO$6, Table_ChiPhiNV_Ca[], COUNTA(Table_ChiPhiNV_Ca[[#Headers],[Ca]:[Kết thúc]]),0))),
SUM(_xlfn._xlws.FILTER(Table_BangLuong_TyLeTangCa[Tỷ lệ],
(Table_BangLuong_TyLeTangCa[Ngày] = "Thường") *
(Table_BangLuong_TyLeTangCa[Giờ min]&lt;=$AA21) *
(Table_BangLuong_TyLeTangCa[Giờ max]&gt;$AA21)
)),0)
)),
IF(AO$4 &lt; AO$5,
IF($AA21-$Z$4&lt;AO$4,0,
IF($AA21&gt;AO$5,0,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AO$5,$AA21 &lt; AO$4),0,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P21" s="18" cm="1">
        <f t="array" ref="AP21" xml:space="preserve">
IFERROR(
IF(AP$1="",0,
IF(AND(
$AA21&gt;=VLOOKUP(AP$6, Table_ChiPhiNV_Ca[], COUNTA(Table_ChiPhiNV_Ca[[#Headers],[Ca]:[Bắt đầu nghỉ]]),0),
$AA21&lt;VLOOKUP(AP$6, Table_ChiPhiNV_Ca[], COUNTA(Table_ChiPhiNV_Ca[[#Headers],[Ca]:[Kết thúc nghỉ]]),0)
),0,
IF(NOT(ISBLANK(AP$3)),
IF(ISBLANK(AP$7),0,
IF(AP$4 &lt; AP$5,
IF($AA21-$Z$4&lt;AP$4,0,
IF($AA21&gt;AP$5,0,
SUM(_xlfn._xlws.FILTER(Table_BangLuong_TyLeTangCa[Tỷ lệ],
(Table_BangLuong_TyLeTangCa[Ngày] = AP$3) *
(Table_BangLuong_TyLeTangCa[Giờ min]&lt;=$AA21) *
(Table_BangLuong_TyLeTangCa[Giờ max]&gt;$AA21)
)))),
IF(AND($AA21-$Z$4 &gt;= AP$5,$AA21 &lt; AP$4),0,
SUM(_xlfn._xlws.FILTER(Table_BangLuong_TyLeTangCa[Tỷ lệ],
(Table_BangLuong_TyLeTangCa[Ngày] = AP$3) *
(Table_BangLuong_TyLeTangCa[Giờ min]&lt;=$AA21) *
(Table_BangLuong_TyLeTangCa[Giờ max]&gt;$AA21)
))))
),
IF(ISBLANK(AP$7),
IF(VLOOKUP(AP$6, Table_ChiPhiNV_Ca[], COUNTA(Table_ChiPhiNV_Ca[[#Headers],[Ca]:[Kết thúc]]),0)&gt; VLOOKUP(AP$6, Table_ChiPhiNV_Ca[], COUNTA(Table_ChiPhiNV_Ca[[#Headers],[Ca]:[Bắt đầu]]),0),
IF($AA21-$Z$4&lt;MAX(AP$4,VLOOKUP(AP$6, Table_ChiPhiNV_Ca[], COUNTA(Table_ChiPhiNV_Ca[[#Headers],[Ca]:[Bắt đầu]]),0)),0,
IF($AA21&gt;MIN(AP$5,VLOOKUP(AP$6, Table_ChiPhiNV_Ca[], COUNTA(Table_ChiPhiNV_Ca[[#Headers],[Ca]:[Kết thúc]]),0)),0,
SUM(_xlfn._xlws.FILTER(Table_BangLuong_TyLeTangCa[Tỷ lệ],
(Table_BangLuong_TyLeTangCa[Ngày] = "Thường") *
(Table_BangLuong_TyLeTangCa[Giờ min]&lt;=$AA21) *
(Table_BangLuong_TyLeTangCa[Giờ max]&gt;$AA21)
)))),
IF(AP$4 &gt; AP$5,
IF(
AND(
$AA21-$Z$4&lt;MAX(AP$4,VLOOKUP(AP$6, Table_ChiPhiNV_Ca[], COUNTA(Table_ChiPhiNV_Ca[[#Headers],[Ca]:[Bắt đầu]]),0)),
$AA21&gt;MIN(AP$5,VLOOKUP(AP$6, Table_ChiPhiNV_Ca[], COUNTA(Table_ChiPhiNV_Ca[[#Headers],[Ca]:[Kết thúc]]),0))),0,
SUM(_xlfn._xlws.FILTER(Table_BangLuong_TyLeTangCa[Tỷ lệ],
(Table_BangLuong_TyLeTangCa[Ngày] = "Thường") *
(Table_BangLuong_TyLeTangCa[Giờ min]&lt;=$AA21) *
(Table_BangLuong_TyLeTangCa[Giờ max]&gt;$AA21)
))),
IF(
AND(
$AA21-$Z$4&gt;=MAX(AP$4,VLOOKUP(AP$6, Table_ChiPhiNV_Ca[], COUNTA(Table_ChiPhiNV_Ca[[#Headers],[Ca]:[Bắt đầu]]),0)),
$AA21&lt;MIN(AP$5,VLOOKUP(AP$6, Table_ChiPhiNV_Ca[], COUNTA(Table_ChiPhiNV_Ca[[#Headers],[Ca]:[Kết thúc]]),0))),
SUM(_xlfn._xlws.FILTER(Table_BangLuong_TyLeTangCa[Tỷ lệ],
(Table_BangLuong_TyLeTangCa[Ngày] = "Thường") *
(Table_BangLuong_TyLeTangCa[Giờ min]&lt;=$AA21) *
(Table_BangLuong_TyLeTangCa[Giờ max]&gt;$AA21)
)),0)
)),
IF(AP$4 &lt; AP$5,
IF($AA21-$Z$4&lt;AP$4,0,
IF($AA21&gt;AP$5,0,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AP$5,$AA21 &lt; AP$4),0,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Q21" s="18" cm="1">
        <f t="array" ref="AQ21" xml:space="preserve">
IFERROR(
IF(AQ$1="",0,
IF(AND(
$AA21&gt;=VLOOKUP(AQ$6, Table_ChiPhiNV_Ca[], COUNTA(Table_ChiPhiNV_Ca[[#Headers],[Ca]:[Bắt đầu nghỉ]]),0),
$AA21&lt;VLOOKUP(AQ$6, Table_ChiPhiNV_Ca[], COUNTA(Table_ChiPhiNV_Ca[[#Headers],[Ca]:[Kết thúc nghỉ]]),0)
),0,
IF(NOT(ISBLANK(AQ$3)),
IF(ISBLANK(AQ$7),0,
IF(AQ$4 &lt; AQ$5,
IF($AA21-$Z$4&lt;AQ$4,0,
IF($AA21&gt;AQ$5,0,
SUM(_xlfn._xlws.FILTER(Table_BangLuong_TyLeTangCa[Tỷ lệ],
(Table_BangLuong_TyLeTangCa[Ngày] = AQ$3) *
(Table_BangLuong_TyLeTangCa[Giờ min]&lt;=$AA21) *
(Table_BangLuong_TyLeTangCa[Giờ max]&gt;$AA21)
)))),
IF(AND($AA21-$Z$4 &gt;= AQ$5,$AA21 &lt; AQ$4),0,
SUM(_xlfn._xlws.FILTER(Table_BangLuong_TyLeTangCa[Tỷ lệ],
(Table_BangLuong_TyLeTangCa[Ngày] = AQ$3) *
(Table_BangLuong_TyLeTangCa[Giờ min]&lt;=$AA21) *
(Table_BangLuong_TyLeTangCa[Giờ max]&gt;$AA21)
))))
),
IF(ISBLANK(AQ$7),
IF(VLOOKUP(AQ$6, Table_ChiPhiNV_Ca[], COUNTA(Table_ChiPhiNV_Ca[[#Headers],[Ca]:[Kết thúc]]),0)&gt; VLOOKUP(AQ$6, Table_ChiPhiNV_Ca[], COUNTA(Table_ChiPhiNV_Ca[[#Headers],[Ca]:[Bắt đầu]]),0),
IF($AA21-$Z$4&lt;MAX(AQ$4,VLOOKUP(AQ$6, Table_ChiPhiNV_Ca[], COUNTA(Table_ChiPhiNV_Ca[[#Headers],[Ca]:[Bắt đầu]]),0)),0,
IF($AA21&gt;MIN(AQ$5,VLOOKUP(AQ$6, Table_ChiPhiNV_Ca[], COUNTA(Table_ChiPhiNV_Ca[[#Headers],[Ca]:[Kết thúc]]),0)),0,
SUM(_xlfn._xlws.FILTER(Table_BangLuong_TyLeTangCa[Tỷ lệ],
(Table_BangLuong_TyLeTangCa[Ngày] = "Thường") *
(Table_BangLuong_TyLeTangCa[Giờ min]&lt;=$AA21) *
(Table_BangLuong_TyLeTangCa[Giờ max]&gt;$AA21)
)))),
IF(AQ$4 &gt; AQ$5,
IF(
AND(
$AA21-$Z$4&lt;MAX(AQ$4,VLOOKUP(AQ$6, Table_ChiPhiNV_Ca[], COUNTA(Table_ChiPhiNV_Ca[[#Headers],[Ca]:[Bắt đầu]]),0)),
$AA21&gt;MIN(AQ$5,VLOOKUP(AQ$6, Table_ChiPhiNV_Ca[], COUNTA(Table_ChiPhiNV_Ca[[#Headers],[Ca]:[Kết thúc]]),0))),0,
SUM(_xlfn._xlws.FILTER(Table_BangLuong_TyLeTangCa[Tỷ lệ],
(Table_BangLuong_TyLeTangCa[Ngày] = "Thường") *
(Table_BangLuong_TyLeTangCa[Giờ min]&lt;=$AA21) *
(Table_BangLuong_TyLeTangCa[Giờ max]&gt;$AA21)
))),
IF(
AND(
$AA21-$Z$4&gt;=MAX(AQ$4,VLOOKUP(AQ$6, Table_ChiPhiNV_Ca[], COUNTA(Table_ChiPhiNV_Ca[[#Headers],[Ca]:[Bắt đầu]]),0)),
$AA21&lt;MIN(AQ$5,VLOOKUP(AQ$6, Table_ChiPhiNV_Ca[], COUNTA(Table_ChiPhiNV_Ca[[#Headers],[Ca]:[Kết thúc]]),0))),
SUM(_xlfn._xlws.FILTER(Table_BangLuong_TyLeTangCa[Tỷ lệ],
(Table_BangLuong_TyLeTangCa[Ngày] = "Thường") *
(Table_BangLuong_TyLeTangCa[Giờ min]&lt;=$AA21) *
(Table_BangLuong_TyLeTangCa[Giờ max]&gt;$AA21)
)),0)
)),
IF(AQ$4 &lt; AQ$5,
IF($AA21-$Z$4&lt;AQ$4,0,
IF($AA21&gt;AQ$5,0,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AQ$5,$AA21 &lt; AQ$4),0,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R21" s="18" cm="1">
        <f t="array" ref="AR21" xml:space="preserve">
IFERROR(
IF(AR$1="",0,
IF(AND(
$AA21&gt;=VLOOKUP(AR$6, Table_ChiPhiNV_Ca[], COUNTA(Table_ChiPhiNV_Ca[[#Headers],[Ca]:[Bắt đầu nghỉ]]),0),
$AA21&lt;VLOOKUP(AR$6, Table_ChiPhiNV_Ca[], COUNTA(Table_ChiPhiNV_Ca[[#Headers],[Ca]:[Kết thúc nghỉ]]),0)
),0,
IF(NOT(ISBLANK(AR$3)),
IF(ISBLANK(AR$7),0,
IF(AR$4 &lt; AR$5,
IF($AA21-$Z$4&lt;AR$4,0,
IF($AA21&gt;AR$5,0,
SUM(_xlfn._xlws.FILTER(Table_BangLuong_TyLeTangCa[Tỷ lệ],
(Table_BangLuong_TyLeTangCa[Ngày] = AR$3) *
(Table_BangLuong_TyLeTangCa[Giờ min]&lt;=$AA21) *
(Table_BangLuong_TyLeTangCa[Giờ max]&gt;$AA21)
)))),
IF(AND($AA21-$Z$4 &gt;= AR$5,$AA21 &lt; AR$4),0,
SUM(_xlfn._xlws.FILTER(Table_BangLuong_TyLeTangCa[Tỷ lệ],
(Table_BangLuong_TyLeTangCa[Ngày] = AR$3) *
(Table_BangLuong_TyLeTangCa[Giờ min]&lt;=$AA21) *
(Table_BangLuong_TyLeTangCa[Giờ max]&gt;$AA21)
))))
),
IF(ISBLANK(AR$7),
IF(VLOOKUP(AR$6, Table_ChiPhiNV_Ca[], COUNTA(Table_ChiPhiNV_Ca[[#Headers],[Ca]:[Kết thúc]]),0)&gt; VLOOKUP(AR$6, Table_ChiPhiNV_Ca[], COUNTA(Table_ChiPhiNV_Ca[[#Headers],[Ca]:[Bắt đầu]]),0),
IF($AA21-$Z$4&lt;MAX(AR$4,VLOOKUP(AR$6, Table_ChiPhiNV_Ca[], COUNTA(Table_ChiPhiNV_Ca[[#Headers],[Ca]:[Bắt đầu]]),0)),0,
IF($AA21&gt;MIN(AR$5,VLOOKUP(AR$6, Table_ChiPhiNV_Ca[], COUNTA(Table_ChiPhiNV_Ca[[#Headers],[Ca]:[Kết thúc]]),0)),0,
SUM(_xlfn._xlws.FILTER(Table_BangLuong_TyLeTangCa[Tỷ lệ],
(Table_BangLuong_TyLeTangCa[Ngày] = "Thường") *
(Table_BangLuong_TyLeTangCa[Giờ min]&lt;=$AA21) *
(Table_BangLuong_TyLeTangCa[Giờ max]&gt;$AA21)
)))),
IF(AR$4 &gt; AR$5,
IF(
AND(
$AA21-$Z$4&lt;MAX(AR$4,VLOOKUP(AR$6, Table_ChiPhiNV_Ca[], COUNTA(Table_ChiPhiNV_Ca[[#Headers],[Ca]:[Bắt đầu]]),0)),
$AA21&gt;MIN(AR$5,VLOOKUP(AR$6, Table_ChiPhiNV_Ca[], COUNTA(Table_ChiPhiNV_Ca[[#Headers],[Ca]:[Kết thúc]]),0))),0,
SUM(_xlfn._xlws.FILTER(Table_BangLuong_TyLeTangCa[Tỷ lệ],
(Table_BangLuong_TyLeTangCa[Ngày] = "Thường") *
(Table_BangLuong_TyLeTangCa[Giờ min]&lt;=$AA21) *
(Table_BangLuong_TyLeTangCa[Giờ max]&gt;$AA21)
))),
IF(
AND(
$AA21-$Z$4&gt;=MAX(AR$4,VLOOKUP(AR$6, Table_ChiPhiNV_Ca[], COUNTA(Table_ChiPhiNV_Ca[[#Headers],[Ca]:[Bắt đầu]]),0)),
$AA21&lt;MIN(AR$5,VLOOKUP(AR$6, Table_ChiPhiNV_Ca[], COUNTA(Table_ChiPhiNV_Ca[[#Headers],[Ca]:[Kết thúc]]),0))),
SUM(_xlfn._xlws.FILTER(Table_BangLuong_TyLeTangCa[Tỷ lệ],
(Table_BangLuong_TyLeTangCa[Ngày] = "Thường") *
(Table_BangLuong_TyLeTangCa[Giờ min]&lt;=$AA21) *
(Table_BangLuong_TyLeTangCa[Giờ max]&gt;$AA21)
)),0)
)),
IF(AR$4 &lt; AR$5,
IF($AA21-$Z$4&lt;AR$4,0,
IF($AA21&gt;AR$5,0,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AR$5,$AA21 &lt; AR$4),0,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S21" s="18" cm="1">
        <f t="array" ref="AS21" xml:space="preserve">
IFERROR(
IF(AS$1="",0,
IF(AND(
$AA21&gt;=VLOOKUP(AS$6, Table_ChiPhiNV_Ca[], COUNTA(Table_ChiPhiNV_Ca[[#Headers],[Ca]:[Bắt đầu nghỉ]]),0),
$AA21&lt;VLOOKUP(AS$6, Table_ChiPhiNV_Ca[], COUNTA(Table_ChiPhiNV_Ca[[#Headers],[Ca]:[Kết thúc nghỉ]]),0)
),0,
IF(NOT(ISBLANK(AS$3)),
IF(ISBLANK(AS$7),0,
IF(AS$4 &lt; AS$5,
IF($AA21-$Z$4&lt;AS$4,0,
IF($AA21&gt;AS$5,0,
SUM(_xlfn._xlws.FILTER(Table_BangLuong_TyLeTangCa[Tỷ lệ],
(Table_BangLuong_TyLeTangCa[Ngày] = AS$3) *
(Table_BangLuong_TyLeTangCa[Giờ min]&lt;=$AA21) *
(Table_BangLuong_TyLeTangCa[Giờ max]&gt;$AA21)
)))),
IF(AND($AA21-$Z$4 &gt;= AS$5,$AA21 &lt; AS$4),0,
SUM(_xlfn._xlws.FILTER(Table_BangLuong_TyLeTangCa[Tỷ lệ],
(Table_BangLuong_TyLeTangCa[Ngày] = AS$3) *
(Table_BangLuong_TyLeTangCa[Giờ min]&lt;=$AA21) *
(Table_BangLuong_TyLeTangCa[Giờ max]&gt;$AA21)
))))
),
IF(ISBLANK(AS$7),
IF(VLOOKUP(AS$6, Table_ChiPhiNV_Ca[], COUNTA(Table_ChiPhiNV_Ca[[#Headers],[Ca]:[Kết thúc]]),0)&gt; VLOOKUP(AS$6, Table_ChiPhiNV_Ca[], COUNTA(Table_ChiPhiNV_Ca[[#Headers],[Ca]:[Bắt đầu]]),0),
IF($AA21-$Z$4&lt;MAX(AS$4,VLOOKUP(AS$6, Table_ChiPhiNV_Ca[], COUNTA(Table_ChiPhiNV_Ca[[#Headers],[Ca]:[Bắt đầu]]),0)),0,
IF($AA21&gt;MIN(AS$5,VLOOKUP(AS$6, Table_ChiPhiNV_Ca[], COUNTA(Table_ChiPhiNV_Ca[[#Headers],[Ca]:[Kết thúc]]),0)),0,
SUM(_xlfn._xlws.FILTER(Table_BangLuong_TyLeTangCa[Tỷ lệ],
(Table_BangLuong_TyLeTangCa[Ngày] = "Thường") *
(Table_BangLuong_TyLeTangCa[Giờ min]&lt;=$AA21) *
(Table_BangLuong_TyLeTangCa[Giờ max]&gt;$AA21)
)))),
IF(AS$4 &gt; AS$5,
IF(
AND(
$AA21-$Z$4&lt;MAX(AS$4,VLOOKUP(AS$6, Table_ChiPhiNV_Ca[], COUNTA(Table_ChiPhiNV_Ca[[#Headers],[Ca]:[Bắt đầu]]),0)),
$AA21&gt;MIN(AS$5,VLOOKUP(AS$6, Table_ChiPhiNV_Ca[], COUNTA(Table_ChiPhiNV_Ca[[#Headers],[Ca]:[Kết thúc]]),0))),0,
SUM(_xlfn._xlws.FILTER(Table_BangLuong_TyLeTangCa[Tỷ lệ],
(Table_BangLuong_TyLeTangCa[Ngày] = "Thường") *
(Table_BangLuong_TyLeTangCa[Giờ min]&lt;=$AA21) *
(Table_BangLuong_TyLeTangCa[Giờ max]&gt;$AA21)
))),
IF(
AND(
$AA21-$Z$4&gt;=MAX(AS$4,VLOOKUP(AS$6, Table_ChiPhiNV_Ca[], COUNTA(Table_ChiPhiNV_Ca[[#Headers],[Ca]:[Bắt đầu]]),0)),
$AA21&lt;MIN(AS$5,VLOOKUP(AS$6, Table_ChiPhiNV_Ca[], COUNTA(Table_ChiPhiNV_Ca[[#Headers],[Ca]:[Kết thúc]]),0))),
SUM(_xlfn._xlws.FILTER(Table_BangLuong_TyLeTangCa[Tỷ lệ],
(Table_BangLuong_TyLeTangCa[Ngày] = "Thường") *
(Table_BangLuong_TyLeTangCa[Giờ min]&lt;=$AA21) *
(Table_BangLuong_TyLeTangCa[Giờ max]&gt;$AA21)
)),0)
)),
IF(AS$4 &lt; AS$5,
IF($AA21-$Z$4&lt;AS$4,0,
IF($AA21&gt;AS$5,0,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AS$5,$AA21 &lt; AS$4),0,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T21" s="18" cm="1">
        <f t="array" ref="AT21" xml:space="preserve">
IFERROR(
IF(AT$1="",0,
IF(AND(
$AA21&gt;=VLOOKUP(AT$6, Table_ChiPhiNV_Ca[], COUNTA(Table_ChiPhiNV_Ca[[#Headers],[Ca]:[Bắt đầu nghỉ]]),0),
$AA21&lt;VLOOKUP(AT$6, Table_ChiPhiNV_Ca[], COUNTA(Table_ChiPhiNV_Ca[[#Headers],[Ca]:[Kết thúc nghỉ]]),0)
),0,
IF(NOT(ISBLANK(AT$3)),
IF(ISBLANK(AT$7),0,
IF(AT$4 &lt; AT$5,
IF($AA21-$Z$4&lt;AT$4,0,
IF($AA21&gt;AT$5,0,
SUM(_xlfn._xlws.FILTER(Table_BangLuong_TyLeTangCa[Tỷ lệ],
(Table_BangLuong_TyLeTangCa[Ngày] = AT$3) *
(Table_BangLuong_TyLeTangCa[Giờ min]&lt;=$AA21) *
(Table_BangLuong_TyLeTangCa[Giờ max]&gt;$AA21)
)))),
IF(AND($AA21-$Z$4 &gt;= AT$5,$AA21 &lt; AT$4),0,
SUM(_xlfn._xlws.FILTER(Table_BangLuong_TyLeTangCa[Tỷ lệ],
(Table_BangLuong_TyLeTangCa[Ngày] = AT$3) *
(Table_BangLuong_TyLeTangCa[Giờ min]&lt;=$AA21) *
(Table_BangLuong_TyLeTangCa[Giờ max]&gt;$AA21)
))))
),
IF(ISBLANK(AT$7),
IF(VLOOKUP(AT$6, Table_ChiPhiNV_Ca[], COUNTA(Table_ChiPhiNV_Ca[[#Headers],[Ca]:[Kết thúc]]),0)&gt; VLOOKUP(AT$6, Table_ChiPhiNV_Ca[], COUNTA(Table_ChiPhiNV_Ca[[#Headers],[Ca]:[Bắt đầu]]),0),
IF($AA21-$Z$4&lt;MAX(AT$4,VLOOKUP(AT$6, Table_ChiPhiNV_Ca[], COUNTA(Table_ChiPhiNV_Ca[[#Headers],[Ca]:[Bắt đầu]]),0)),0,
IF($AA21&gt;MIN(AT$5,VLOOKUP(AT$6, Table_ChiPhiNV_Ca[], COUNTA(Table_ChiPhiNV_Ca[[#Headers],[Ca]:[Kết thúc]]),0)),0,
SUM(_xlfn._xlws.FILTER(Table_BangLuong_TyLeTangCa[Tỷ lệ],
(Table_BangLuong_TyLeTangCa[Ngày] = "Thường") *
(Table_BangLuong_TyLeTangCa[Giờ min]&lt;=$AA21) *
(Table_BangLuong_TyLeTangCa[Giờ max]&gt;$AA21)
)))),
IF(AT$4 &gt; AT$5,
IF(
AND(
$AA21-$Z$4&lt;MAX(AT$4,VLOOKUP(AT$6, Table_ChiPhiNV_Ca[], COUNTA(Table_ChiPhiNV_Ca[[#Headers],[Ca]:[Bắt đầu]]),0)),
$AA21&gt;MIN(AT$5,VLOOKUP(AT$6, Table_ChiPhiNV_Ca[], COUNTA(Table_ChiPhiNV_Ca[[#Headers],[Ca]:[Kết thúc]]),0))),0,
SUM(_xlfn._xlws.FILTER(Table_BangLuong_TyLeTangCa[Tỷ lệ],
(Table_BangLuong_TyLeTangCa[Ngày] = "Thường") *
(Table_BangLuong_TyLeTangCa[Giờ min]&lt;=$AA21) *
(Table_BangLuong_TyLeTangCa[Giờ max]&gt;$AA21)
))),
IF(
AND(
$AA21-$Z$4&gt;=MAX(AT$4,VLOOKUP(AT$6, Table_ChiPhiNV_Ca[], COUNTA(Table_ChiPhiNV_Ca[[#Headers],[Ca]:[Bắt đầu]]),0)),
$AA21&lt;MIN(AT$5,VLOOKUP(AT$6, Table_ChiPhiNV_Ca[], COUNTA(Table_ChiPhiNV_Ca[[#Headers],[Ca]:[Kết thúc]]),0))),
SUM(_xlfn._xlws.FILTER(Table_BangLuong_TyLeTangCa[Tỷ lệ],
(Table_BangLuong_TyLeTangCa[Ngày] = "Thường") *
(Table_BangLuong_TyLeTangCa[Giờ min]&lt;=$AA21) *
(Table_BangLuong_TyLeTangCa[Giờ max]&gt;$AA21)
)),0)
)),
IF(AT$4 &lt; AT$5,
IF($AA21-$Z$4&lt;AT$4,0,
IF($AA21&gt;AT$5,0,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AT$5,$AA21 &lt; AT$4),0,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U21" s="18" cm="1">
        <f t="array" ref="AU21" xml:space="preserve">
IFERROR(
IF(AU$1="",0,
IF(AND(
$AA21&gt;=VLOOKUP(AU$6, Table_ChiPhiNV_Ca[], COUNTA(Table_ChiPhiNV_Ca[[#Headers],[Ca]:[Bắt đầu nghỉ]]),0),
$AA21&lt;VLOOKUP(AU$6, Table_ChiPhiNV_Ca[], COUNTA(Table_ChiPhiNV_Ca[[#Headers],[Ca]:[Kết thúc nghỉ]]),0)
),0,
IF(NOT(ISBLANK(AU$3)),
IF(ISBLANK(AU$7),0,
IF(AU$4 &lt; AU$5,
IF($AA21-$Z$4&lt;AU$4,0,
IF($AA21&gt;AU$5,0,
SUM(_xlfn._xlws.FILTER(Table_BangLuong_TyLeTangCa[Tỷ lệ],
(Table_BangLuong_TyLeTangCa[Ngày] = AU$3) *
(Table_BangLuong_TyLeTangCa[Giờ min]&lt;=$AA21) *
(Table_BangLuong_TyLeTangCa[Giờ max]&gt;$AA21)
)))),
IF(AND($AA21-$Z$4 &gt;= AU$5,$AA21 &lt; AU$4),0,
SUM(_xlfn._xlws.FILTER(Table_BangLuong_TyLeTangCa[Tỷ lệ],
(Table_BangLuong_TyLeTangCa[Ngày] = AU$3) *
(Table_BangLuong_TyLeTangCa[Giờ min]&lt;=$AA21) *
(Table_BangLuong_TyLeTangCa[Giờ max]&gt;$AA21)
))))
),
IF(ISBLANK(AU$7),
IF(VLOOKUP(AU$6, Table_ChiPhiNV_Ca[], COUNTA(Table_ChiPhiNV_Ca[[#Headers],[Ca]:[Kết thúc]]),0)&gt; VLOOKUP(AU$6, Table_ChiPhiNV_Ca[], COUNTA(Table_ChiPhiNV_Ca[[#Headers],[Ca]:[Bắt đầu]]),0),
IF($AA21-$Z$4&lt;MAX(AU$4,VLOOKUP(AU$6, Table_ChiPhiNV_Ca[], COUNTA(Table_ChiPhiNV_Ca[[#Headers],[Ca]:[Bắt đầu]]),0)),0,
IF($AA21&gt;MIN(AU$5,VLOOKUP(AU$6, Table_ChiPhiNV_Ca[], COUNTA(Table_ChiPhiNV_Ca[[#Headers],[Ca]:[Kết thúc]]),0)),0,
SUM(_xlfn._xlws.FILTER(Table_BangLuong_TyLeTangCa[Tỷ lệ],
(Table_BangLuong_TyLeTangCa[Ngày] = "Thường") *
(Table_BangLuong_TyLeTangCa[Giờ min]&lt;=$AA21) *
(Table_BangLuong_TyLeTangCa[Giờ max]&gt;$AA21)
)))),
IF(AU$4 &gt; AU$5,
IF(
AND(
$AA21-$Z$4&lt;MAX(AU$4,VLOOKUP(AU$6, Table_ChiPhiNV_Ca[], COUNTA(Table_ChiPhiNV_Ca[[#Headers],[Ca]:[Bắt đầu]]),0)),
$AA21&gt;MIN(AU$5,VLOOKUP(AU$6, Table_ChiPhiNV_Ca[], COUNTA(Table_ChiPhiNV_Ca[[#Headers],[Ca]:[Kết thúc]]),0))),0,
SUM(_xlfn._xlws.FILTER(Table_BangLuong_TyLeTangCa[Tỷ lệ],
(Table_BangLuong_TyLeTangCa[Ngày] = "Thường") *
(Table_BangLuong_TyLeTangCa[Giờ min]&lt;=$AA21) *
(Table_BangLuong_TyLeTangCa[Giờ max]&gt;$AA21)
))),
IF(
AND(
$AA21-$Z$4&gt;=MAX(AU$4,VLOOKUP(AU$6, Table_ChiPhiNV_Ca[], COUNTA(Table_ChiPhiNV_Ca[[#Headers],[Ca]:[Bắt đầu]]),0)),
$AA21&lt;MIN(AU$5,VLOOKUP(AU$6, Table_ChiPhiNV_Ca[], COUNTA(Table_ChiPhiNV_Ca[[#Headers],[Ca]:[Kết thúc]]),0))),
SUM(_xlfn._xlws.FILTER(Table_BangLuong_TyLeTangCa[Tỷ lệ],
(Table_BangLuong_TyLeTangCa[Ngày] = "Thường") *
(Table_BangLuong_TyLeTangCa[Giờ min]&lt;=$AA21) *
(Table_BangLuong_TyLeTangCa[Giờ max]&gt;$AA21)
)),0)
)),
IF(AU$4 &lt; AU$5,
IF($AA21-$Z$4&lt;AU$4,0,
IF($AA21&gt;AU$5,0,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AU$5,$AA21 &lt; AU$4),0,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V21" s="18" cm="1">
        <f t="array" ref="AV21" xml:space="preserve">
IFERROR(
IF(AV$1="",0,
IF(AND(
$AA21&gt;=VLOOKUP(AV$6, Table_ChiPhiNV_Ca[], COUNTA(Table_ChiPhiNV_Ca[[#Headers],[Ca]:[Bắt đầu nghỉ]]),0),
$AA21&lt;VLOOKUP(AV$6, Table_ChiPhiNV_Ca[], COUNTA(Table_ChiPhiNV_Ca[[#Headers],[Ca]:[Kết thúc nghỉ]]),0)
),0,
IF(NOT(ISBLANK(AV$3)),
IF(ISBLANK(AV$7),0,
IF(AV$4 &lt; AV$5,
IF($AA21-$Z$4&lt;AV$4,0,
IF($AA21&gt;AV$5,0,
SUM(_xlfn._xlws.FILTER(Table_BangLuong_TyLeTangCa[Tỷ lệ],
(Table_BangLuong_TyLeTangCa[Ngày] = AV$3) *
(Table_BangLuong_TyLeTangCa[Giờ min]&lt;=$AA21) *
(Table_BangLuong_TyLeTangCa[Giờ max]&gt;$AA21)
)))),
IF(AND($AA21-$Z$4 &gt;= AV$5,$AA21 &lt; AV$4),0,
SUM(_xlfn._xlws.FILTER(Table_BangLuong_TyLeTangCa[Tỷ lệ],
(Table_BangLuong_TyLeTangCa[Ngày] = AV$3) *
(Table_BangLuong_TyLeTangCa[Giờ min]&lt;=$AA21) *
(Table_BangLuong_TyLeTangCa[Giờ max]&gt;$AA21)
))))
),
IF(ISBLANK(AV$7),
IF(VLOOKUP(AV$6, Table_ChiPhiNV_Ca[], COUNTA(Table_ChiPhiNV_Ca[[#Headers],[Ca]:[Kết thúc]]),0)&gt; VLOOKUP(AV$6, Table_ChiPhiNV_Ca[], COUNTA(Table_ChiPhiNV_Ca[[#Headers],[Ca]:[Bắt đầu]]),0),
IF($AA21-$Z$4&lt;MAX(AV$4,VLOOKUP(AV$6, Table_ChiPhiNV_Ca[], COUNTA(Table_ChiPhiNV_Ca[[#Headers],[Ca]:[Bắt đầu]]),0)),0,
IF($AA21&gt;MIN(AV$5,VLOOKUP(AV$6, Table_ChiPhiNV_Ca[], COUNTA(Table_ChiPhiNV_Ca[[#Headers],[Ca]:[Kết thúc]]),0)),0,
SUM(_xlfn._xlws.FILTER(Table_BangLuong_TyLeTangCa[Tỷ lệ],
(Table_BangLuong_TyLeTangCa[Ngày] = "Thường") *
(Table_BangLuong_TyLeTangCa[Giờ min]&lt;=$AA21) *
(Table_BangLuong_TyLeTangCa[Giờ max]&gt;$AA21)
)))),
IF(AV$4 &gt; AV$5,
IF(
AND(
$AA21-$Z$4&lt;MAX(AV$4,VLOOKUP(AV$6, Table_ChiPhiNV_Ca[], COUNTA(Table_ChiPhiNV_Ca[[#Headers],[Ca]:[Bắt đầu]]),0)),
$AA21&gt;MIN(AV$5,VLOOKUP(AV$6, Table_ChiPhiNV_Ca[], COUNTA(Table_ChiPhiNV_Ca[[#Headers],[Ca]:[Kết thúc]]),0))),0,
SUM(_xlfn._xlws.FILTER(Table_BangLuong_TyLeTangCa[Tỷ lệ],
(Table_BangLuong_TyLeTangCa[Ngày] = "Thường") *
(Table_BangLuong_TyLeTangCa[Giờ min]&lt;=$AA21) *
(Table_BangLuong_TyLeTangCa[Giờ max]&gt;$AA21)
))),
IF(
AND(
$AA21-$Z$4&gt;=MAX(AV$4,VLOOKUP(AV$6, Table_ChiPhiNV_Ca[], COUNTA(Table_ChiPhiNV_Ca[[#Headers],[Ca]:[Bắt đầu]]),0)),
$AA21&lt;MIN(AV$5,VLOOKUP(AV$6, Table_ChiPhiNV_Ca[], COUNTA(Table_ChiPhiNV_Ca[[#Headers],[Ca]:[Kết thúc]]),0))),
SUM(_xlfn._xlws.FILTER(Table_BangLuong_TyLeTangCa[Tỷ lệ],
(Table_BangLuong_TyLeTangCa[Ngày] = "Thường") *
(Table_BangLuong_TyLeTangCa[Giờ min]&lt;=$AA21) *
(Table_BangLuong_TyLeTangCa[Giờ max]&gt;$AA21)
)),0)
)),
IF(AV$4 &lt; AV$5,
IF($AA21-$Z$4&lt;AV$4,0,
IF($AA21&gt;AV$5,0,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AV$5,$AA21 &lt; AV$4),0,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W21" s="18" cm="1">
        <f t="array" ref="AW21" xml:space="preserve">
IFERROR(
IF(AW$1="",0,
IF(AND(
$AA21&gt;=VLOOKUP(AW$6, Table_ChiPhiNV_Ca[], COUNTA(Table_ChiPhiNV_Ca[[#Headers],[Ca]:[Bắt đầu nghỉ]]),0),
$AA21&lt;VLOOKUP(AW$6, Table_ChiPhiNV_Ca[], COUNTA(Table_ChiPhiNV_Ca[[#Headers],[Ca]:[Kết thúc nghỉ]]),0)
),0,
IF(NOT(ISBLANK(AW$3)),
IF(ISBLANK(AW$7),0,
IF(AW$4 &lt; AW$5,
IF($AA21-$Z$4&lt;AW$4,0,
IF($AA21&gt;AW$5,0,
SUM(_xlfn._xlws.FILTER(Table_BangLuong_TyLeTangCa[Tỷ lệ],
(Table_BangLuong_TyLeTangCa[Ngày] = AW$3) *
(Table_BangLuong_TyLeTangCa[Giờ min]&lt;=$AA21) *
(Table_BangLuong_TyLeTangCa[Giờ max]&gt;$AA21)
)))),
IF(AND($AA21-$Z$4 &gt;= AW$5,$AA21 &lt; AW$4),0,
SUM(_xlfn._xlws.FILTER(Table_BangLuong_TyLeTangCa[Tỷ lệ],
(Table_BangLuong_TyLeTangCa[Ngày] = AW$3) *
(Table_BangLuong_TyLeTangCa[Giờ min]&lt;=$AA21) *
(Table_BangLuong_TyLeTangCa[Giờ max]&gt;$AA21)
))))
),
IF(ISBLANK(AW$7),
IF(VLOOKUP(AW$6, Table_ChiPhiNV_Ca[], COUNTA(Table_ChiPhiNV_Ca[[#Headers],[Ca]:[Kết thúc]]),0)&gt; VLOOKUP(AW$6, Table_ChiPhiNV_Ca[], COUNTA(Table_ChiPhiNV_Ca[[#Headers],[Ca]:[Bắt đầu]]),0),
IF($AA21-$Z$4&lt;MAX(AW$4,VLOOKUP(AW$6, Table_ChiPhiNV_Ca[], COUNTA(Table_ChiPhiNV_Ca[[#Headers],[Ca]:[Bắt đầu]]),0)),0,
IF($AA21&gt;MIN(AW$5,VLOOKUP(AW$6, Table_ChiPhiNV_Ca[], COUNTA(Table_ChiPhiNV_Ca[[#Headers],[Ca]:[Kết thúc]]),0)),0,
SUM(_xlfn._xlws.FILTER(Table_BangLuong_TyLeTangCa[Tỷ lệ],
(Table_BangLuong_TyLeTangCa[Ngày] = "Thường") *
(Table_BangLuong_TyLeTangCa[Giờ min]&lt;=$AA21) *
(Table_BangLuong_TyLeTangCa[Giờ max]&gt;$AA21)
)))),
IF(AW$4 &gt; AW$5,
IF(
AND(
$AA21-$Z$4&lt;MAX(AW$4,VLOOKUP(AW$6, Table_ChiPhiNV_Ca[], COUNTA(Table_ChiPhiNV_Ca[[#Headers],[Ca]:[Bắt đầu]]),0)),
$AA21&gt;MIN(AW$5,VLOOKUP(AW$6, Table_ChiPhiNV_Ca[], COUNTA(Table_ChiPhiNV_Ca[[#Headers],[Ca]:[Kết thúc]]),0))),0,
SUM(_xlfn._xlws.FILTER(Table_BangLuong_TyLeTangCa[Tỷ lệ],
(Table_BangLuong_TyLeTangCa[Ngày] = "Thường") *
(Table_BangLuong_TyLeTangCa[Giờ min]&lt;=$AA21) *
(Table_BangLuong_TyLeTangCa[Giờ max]&gt;$AA21)
))),
IF(
AND(
$AA21-$Z$4&gt;=MAX(AW$4,VLOOKUP(AW$6, Table_ChiPhiNV_Ca[], COUNTA(Table_ChiPhiNV_Ca[[#Headers],[Ca]:[Bắt đầu]]),0)),
$AA21&lt;MIN(AW$5,VLOOKUP(AW$6, Table_ChiPhiNV_Ca[], COUNTA(Table_ChiPhiNV_Ca[[#Headers],[Ca]:[Kết thúc]]),0))),
SUM(_xlfn._xlws.FILTER(Table_BangLuong_TyLeTangCa[Tỷ lệ],
(Table_BangLuong_TyLeTangCa[Ngày] = "Thường") *
(Table_BangLuong_TyLeTangCa[Giờ min]&lt;=$AA21) *
(Table_BangLuong_TyLeTangCa[Giờ max]&gt;$AA21)
)),0)
)),
IF(AW$4 &lt; AW$5,
IF($AA21-$Z$4&lt;AW$4,0,
IF($AA21&gt;AW$5,0,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AW$5,$AA21 &lt; AW$4),0,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X21" s="18" cm="1">
        <f t="array" ref="AX21" xml:space="preserve">
IFERROR(
IF(AX$1="",0,
IF(AND(
$AA21&gt;=VLOOKUP(AX$6, Table_ChiPhiNV_Ca[], COUNTA(Table_ChiPhiNV_Ca[[#Headers],[Ca]:[Bắt đầu nghỉ]]),0),
$AA21&lt;VLOOKUP(AX$6, Table_ChiPhiNV_Ca[], COUNTA(Table_ChiPhiNV_Ca[[#Headers],[Ca]:[Kết thúc nghỉ]]),0)
),0,
IF(NOT(ISBLANK(AX$3)),
IF(ISBLANK(AX$7),0,
IF(AX$4 &lt; AX$5,
IF($AA21-$Z$4&lt;AX$4,0,
IF($AA21&gt;AX$5,0,
SUM(_xlfn._xlws.FILTER(Table_BangLuong_TyLeTangCa[Tỷ lệ],
(Table_BangLuong_TyLeTangCa[Ngày] = AX$3) *
(Table_BangLuong_TyLeTangCa[Giờ min]&lt;=$AA21) *
(Table_BangLuong_TyLeTangCa[Giờ max]&gt;$AA21)
)))),
IF(AND($AA21-$Z$4 &gt;= AX$5,$AA21 &lt; AX$4),0,
SUM(_xlfn._xlws.FILTER(Table_BangLuong_TyLeTangCa[Tỷ lệ],
(Table_BangLuong_TyLeTangCa[Ngày] = AX$3) *
(Table_BangLuong_TyLeTangCa[Giờ min]&lt;=$AA21) *
(Table_BangLuong_TyLeTangCa[Giờ max]&gt;$AA21)
))))
),
IF(ISBLANK(AX$7),
IF(VLOOKUP(AX$6, Table_ChiPhiNV_Ca[], COUNTA(Table_ChiPhiNV_Ca[[#Headers],[Ca]:[Kết thúc]]),0)&gt; VLOOKUP(AX$6, Table_ChiPhiNV_Ca[], COUNTA(Table_ChiPhiNV_Ca[[#Headers],[Ca]:[Bắt đầu]]),0),
IF($AA21-$Z$4&lt;MAX(AX$4,VLOOKUP(AX$6, Table_ChiPhiNV_Ca[], COUNTA(Table_ChiPhiNV_Ca[[#Headers],[Ca]:[Bắt đầu]]),0)),0,
IF($AA21&gt;MIN(AX$5,VLOOKUP(AX$6, Table_ChiPhiNV_Ca[], COUNTA(Table_ChiPhiNV_Ca[[#Headers],[Ca]:[Kết thúc]]),0)),0,
SUM(_xlfn._xlws.FILTER(Table_BangLuong_TyLeTangCa[Tỷ lệ],
(Table_BangLuong_TyLeTangCa[Ngày] = "Thường") *
(Table_BangLuong_TyLeTangCa[Giờ min]&lt;=$AA21) *
(Table_BangLuong_TyLeTangCa[Giờ max]&gt;$AA21)
)))),
IF(AX$4 &gt; AX$5,
IF(
AND(
$AA21-$Z$4&lt;MAX(AX$4,VLOOKUP(AX$6, Table_ChiPhiNV_Ca[], COUNTA(Table_ChiPhiNV_Ca[[#Headers],[Ca]:[Bắt đầu]]),0)),
$AA21&gt;MIN(AX$5,VLOOKUP(AX$6, Table_ChiPhiNV_Ca[], COUNTA(Table_ChiPhiNV_Ca[[#Headers],[Ca]:[Kết thúc]]),0))),0,
SUM(_xlfn._xlws.FILTER(Table_BangLuong_TyLeTangCa[Tỷ lệ],
(Table_BangLuong_TyLeTangCa[Ngày] = "Thường") *
(Table_BangLuong_TyLeTangCa[Giờ min]&lt;=$AA21) *
(Table_BangLuong_TyLeTangCa[Giờ max]&gt;$AA21)
))),
IF(
AND(
$AA21-$Z$4&gt;=MAX(AX$4,VLOOKUP(AX$6, Table_ChiPhiNV_Ca[], COUNTA(Table_ChiPhiNV_Ca[[#Headers],[Ca]:[Bắt đầu]]),0)),
$AA21&lt;MIN(AX$5,VLOOKUP(AX$6, Table_ChiPhiNV_Ca[], COUNTA(Table_ChiPhiNV_Ca[[#Headers],[Ca]:[Kết thúc]]),0))),
SUM(_xlfn._xlws.FILTER(Table_BangLuong_TyLeTangCa[Tỷ lệ],
(Table_BangLuong_TyLeTangCa[Ngày] = "Thường") *
(Table_BangLuong_TyLeTangCa[Giờ min]&lt;=$AA21) *
(Table_BangLuong_TyLeTangCa[Giờ max]&gt;$AA21)
)),0)
)),
IF(AX$4 &lt; AX$5,
IF($AA21-$Z$4&lt;AX$4,0,
IF($AA21&gt;AX$5,0,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AX$5,$AA21 &lt; AX$4),0,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Y21" s="18" cm="1">
        <f t="array" ref="AY21" xml:space="preserve">
IFERROR(
IF(AY$1="",0,
IF(AND(
$AA21&gt;=VLOOKUP(AY$6, Table_ChiPhiNV_Ca[], COUNTA(Table_ChiPhiNV_Ca[[#Headers],[Ca]:[Bắt đầu nghỉ]]),0),
$AA21&lt;VLOOKUP(AY$6, Table_ChiPhiNV_Ca[], COUNTA(Table_ChiPhiNV_Ca[[#Headers],[Ca]:[Kết thúc nghỉ]]),0)
),0,
IF(NOT(ISBLANK(AY$3)),
IF(ISBLANK(AY$7),0,
IF(AY$4 &lt; AY$5,
IF($AA21-$Z$4&lt;AY$4,0,
IF($AA21&gt;AY$5,0,
SUM(_xlfn._xlws.FILTER(Table_BangLuong_TyLeTangCa[Tỷ lệ],
(Table_BangLuong_TyLeTangCa[Ngày] = AY$3) *
(Table_BangLuong_TyLeTangCa[Giờ min]&lt;=$AA21) *
(Table_BangLuong_TyLeTangCa[Giờ max]&gt;$AA21)
)))),
IF(AND($AA21-$Z$4 &gt;= AY$5,$AA21 &lt; AY$4),0,
SUM(_xlfn._xlws.FILTER(Table_BangLuong_TyLeTangCa[Tỷ lệ],
(Table_BangLuong_TyLeTangCa[Ngày] = AY$3) *
(Table_BangLuong_TyLeTangCa[Giờ min]&lt;=$AA21) *
(Table_BangLuong_TyLeTangCa[Giờ max]&gt;$AA21)
))))
),
IF(ISBLANK(AY$7),
IF(VLOOKUP(AY$6, Table_ChiPhiNV_Ca[], COUNTA(Table_ChiPhiNV_Ca[[#Headers],[Ca]:[Kết thúc]]),0)&gt; VLOOKUP(AY$6, Table_ChiPhiNV_Ca[], COUNTA(Table_ChiPhiNV_Ca[[#Headers],[Ca]:[Bắt đầu]]),0),
IF($AA21-$Z$4&lt;MAX(AY$4,VLOOKUP(AY$6, Table_ChiPhiNV_Ca[], COUNTA(Table_ChiPhiNV_Ca[[#Headers],[Ca]:[Bắt đầu]]),0)),0,
IF($AA21&gt;MIN(AY$5,VLOOKUP(AY$6, Table_ChiPhiNV_Ca[], COUNTA(Table_ChiPhiNV_Ca[[#Headers],[Ca]:[Kết thúc]]),0)),0,
SUM(_xlfn._xlws.FILTER(Table_BangLuong_TyLeTangCa[Tỷ lệ],
(Table_BangLuong_TyLeTangCa[Ngày] = "Thường") *
(Table_BangLuong_TyLeTangCa[Giờ min]&lt;=$AA21) *
(Table_BangLuong_TyLeTangCa[Giờ max]&gt;$AA21)
)))),
IF(AY$4 &gt; AY$5,
IF(
AND(
$AA21-$Z$4&lt;MAX(AY$4,VLOOKUP(AY$6, Table_ChiPhiNV_Ca[], COUNTA(Table_ChiPhiNV_Ca[[#Headers],[Ca]:[Bắt đầu]]),0)),
$AA21&gt;MIN(AY$5,VLOOKUP(AY$6, Table_ChiPhiNV_Ca[], COUNTA(Table_ChiPhiNV_Ca[[#Headers],[Ca]:[Kết thúc]]),0))),0,
SUM(_xlfn._xlws.FILTER(Table_BangLuong_TyLeTangCa[Tỷ lệ],
(Table_BangLuong_TyLeTangCa[Ngày] = "Thường") *
(Table_BangLuong_TyLeTangCa[Giờ min]&lt;=$AA21) *
(Table_BangLuong_TyLeTangCa[Giờ max]&gt;$AA21)
))),
IF(
AND(
$AA21-$Z$4&gt;=MAX(AY$4,VLOOKUP(AY$6, Table_ChiPhiNV_Ca[], COUNTA(Table_ChiPhiNV_Ca[[#Headers],[Ca]:[Bắt đầu]]),0)),
$AA21&lt;MIN(AY$5,VLOOKUP(AY$6, Table_ChiPhiNV_Ca[], COUNTA(Table_ChiPhiNV_Ca[[#Headers],[Ca]:[Kết thúc]]),0))),
SUM(_xlfn._xlws.FILTER(Table_BangLuong_TyLeTangCa[Tỷ lệ],
(Table_BangLuong_TyLeTangCa[Ngày] = "Thường") *
(Table_BangLuong_TyLeTangCa[Giờ min]&lt;=$AA21) *
(Table_BangLuong_TyLeTangCa[Giờ max]&gt;$AA21)
)),0)
)),
IF(AY$4 &lt; AY$5,
IF($AA21-$Z$4&lt;AY$4,0,
IF($AA21&gt;AY$5,0,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AY$5,$AA21 &lt; AY$4),0,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Z21" s="18" cm="1">
        <f t="array" ref="AZ21" xml:space="preserve">
IFERROR(
IF(AZ$1="",0,
IF(AND(
$AA21&gt;=VLOOKUP(AZ$6, Table_ChiPhiNV_Ca[], COUNTA(Table_ChiPhiNV_Ca[[#Headers],[Ca]:[Bắt đầu nghỉ]]),0),
$AA21&lt;VLOOKUP(AZ$6, Table_ChiPhiNV_Ca[], COUNTA(Table_ChiPhiNV_Ca[[#Headers],[Ca]:[Kết thúc nghỉ]]),0)
),0,
IF(NOT(ISBLANK(AZ$3)),
IF(ISBLANK(AZ$7),0,
IF(AZ$4 &lt; AZ$5,
IF($AA21-$Z$4&lt;AZ$4,0,
IF($AA21&gt;AZ$5,0,
SUM(_xlfn._xlws.FILTER(Table_BangLuong_TyLeTangCa[Tỷ lệ],
(Table_BangLuong_TyLeTangCa[Ngày] = AZ$3) *
(Table_BangLuong_TyLeTangCa[Giờ min]&lt;=$AA21) *
(Table_BangLuong_TyLeTangCa[Giờ max]&gt;$AA21)
)))),
IF(AND($AA21-$Z$4 &gt;= AZ$5,$AA21 &lt; AZ$4),0,
SUM(_xlfn._xlws.FILTER(Table_BangLuong_TyLeTangCa[Tỷ lệ],
(Table_BangLuong_TyLeTangCa[Ngày] = AZ$3) *
(Table_BangLuong_TyLeTangCa[Giờ min]&lt;=$AA21) *
(Table_BangLuong_TyLeTangCa[Giờ max]&gt;$AA21)
))))
),
IF(ISBLANK(AZ$7),
IF(VLOOKUP(AZ$6, Table_ChiPhiNV_Ca[], COUNTA(Table_ChiPhiNV_Ca[[#Headers],[Ca]:[Kết thúc]]),0)&gt; VLOOKUP(AZ$6, Table_ChiPhiNV_Ca[], COUNTA(Table_ChiPhiNV_Ca[[#Headers],[Ca]:[Bắt đầu]]),0),
IF($AA21-$Z$4&lt;MAX(AZ$4,VLOOKUP(AZ$6, Table_ChiPhiNV_Ca[], COUNTA(Table_ChiPhiNV_Ca[[#Headers],[Ca]:[Bắt đầu]]),0)),0,
IF($AA21&gt;MIN(AZ$5,VLOOKUP(AZ$6, Table_ChiPhiNV_Ca[], COUNTA(Table_ChiPhiNV_Ca[[#Headers],[Ca]:[Kết thúc]]),0)),0,
SUM(_xlfn._xlws.FILTER(Table_BangLuong_TyLeTangCa[Tỷ lệ],
(Table_BangLuong_TyLeTangCa[Ngày] = "Thường") *
(Table_BangLuong_TyLeTangCa[Giờ min]&lt;=$AA21) *
(Table_BangLuong_TyLeTangCa[Giờ max]&gt;$AA21)
)))),
IF(AZ$4 &gt; AZ$5,
IF(
AND(
$AA21-$Z$4&lt;MAX(AZ$4,VLOOKUP(AZ$6, Table_ChiPhiNV_Ca[], COUNTA(Table_ChiPhiNV_Ca[[#Headers],[Ca]:[Bắt đầu]]),0)),
$AA21&gt;MIN(AZ$5,VLOOKUP(AZ$6, Table_ChiPhiNV_Ca[], COUNTA(Table_ChiPhiNV_Ca[[#Headers],[Ca]:[Kết thúc]]),0))),0,
SUM(_xlfn._xlws.FILTER(Table_BangLuong_TyLeTangCa[Tỷ lệ],
(Table_BangLuong_TyLeTangCa[Ngày] = "Thường") *
(Table_BangLuong_TyLeTangCa[Giờ min]&lt;=$AA21) *
(Table_BangLuong_TyLeTangCa[Giờ max]&gt;$AA21)
))),
IF(
AND(
$AA21-$Z$4&gt;=MAX(AZ$4,VLOOKUP(AZ$6, Table_ChiPhiNV_Ca[], COUNTA(Table_ChiPhiNV_Ca[[#Headers],[Ca]:[Bắt đầu]]),0)),
$AA21&lt;MIN(AZ$5,VLOOKUP(AZ$6, Table_ChiPhiNV_Ca[], COUNTA(Table_ChiPhiNV_Ca[[#Headers],[Ca]:[Kết thúc]]),0))),
SUM(_xlfn._xlws.FILTER(Table_BangLuong_TyLeTangCa[Tỷ lệ],
(Table_BangLuong_TyLeTangCa[Ngày] = "Thường") *
(Table_BangLuong_TyLeTangCa[Giờ min]&lt;=$AA21) *
(Table_BangLuong_TyLeTangCa[Giờ max]&gt;$AA21)
)),0)
)),
IF(AZ$4 &lt; AZ$5,
IF($AA21-$Z$4&lt;AZ$4,0,
IF($AA21&gt;AZ$5,0,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AZ$5,$AA21 &lt; AZ$4),0,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A21" s="18" cm="1">
        <f t="array" ref="BA21" xml:space="preserve">
IFERROR(
IF(BA$1="",0,
IF(AND(
$AA21&gt;=VLOOKUP(BA$6, Table_ChiPhiNV_Ca[], COUNTA(Table_ChiPhiNV_Ca[[#Headers],[Ca]:[Bắt đầu nghỉ]]),0),
$AA21&lt;VLOOKUP(BA$6, Table_ChiPhiNV_Ca[], COUNTA(Table_ChiPhiNV_Ca[[#Headers],[Ca]:[Kết thúc nghỉ]]),0)
),0,
IF(NOT(ISBLANK(BA$3)),
IF(ISBLANK(BA$7),0,
IF(BA$4 &lt; BA$5,
IF($AA21-$Z$4&lt;BA$4,0,
IF($AA21&gt;BA$5,0,
SUM(_xlfn._xlws.FILTER(Table_BangLuong_TyLeTangCa[Tỷ lệ],
(Table_BangLuong_TyLeTangCa[Ngày] = BA$3) *
(Table_BangLuong_TyLeTangCa[Giờ min]&lt;=$AA21) *
(Table_BangLuong_TyLeTangCa[Giờ max]&gt;$AA21)
)))),
IF(AND($AA21-$Z$4 &gt;= BA$5,$AA21 &lt; BA$4),0,
SUM(_xlfn._xlws.FILTER(Table_BangLuong_TyLeTangCa[Tỷ lệ],
(Table_BangLuong_TyLeTangCa[Ngày] = BA$3) *
(Table_BangLuong_TyLeTangCa[Giờ min]&lt;=$AA21) *
(Table_BangLuong_TyLeTangCa[Giờ max]&gt;$AA21)
))))
),
IF(ISBLANK(BA$7),
IF(VLOOKUP(BA$6, Table_ChiPhiNV_Ca[], COUNTA(Table_ChiPhiNV_Ca[[#Headers],[Ca]:[Kết thúc]]),0)&gt; VLOOKUP(BA$6, Table_ChiPhiNV_Ca[], COUNTA(Table_ChiPhiNV_Ca[[#Headers],[Ca]:[Bắt đầu]]),0),
IF($AA21-$Z$4&lt;MAX(BA$4,VLOOKUP(BA$6, Table_ChiPhiNV_Ca[], COUNTA(Table_ChiPhiNV_Ca[[#Headers],[Ca]:[Bắt đầu]]),0)),0,
IF($AA21&gt;MIN(BA$5,VLOOKUP(BA$6, Table_ChiPhiNV_Ca[], COUNTA(Table_ChiPhiNV_Ca[[#Headers],[Ca]:[Kết thúc]]),0)),0,
SUM(_xlfn._xlws.FILTER(Table_BangLuong_TyLeTangCa[Tỷ lệ],
(Table_BangLuong_TyLeTangCa[Ngày] = "Thường") *
(Table_BangLuong_TyLeTangCa[Giờ min]&lt;=$AA21) *
(Table_BangLuong_TyLeTangCa[Giờ max]&gt;$AA21)
)))),
IF(BA$4 &gt; BA$5,
IF(
AND(
$AA21-$Z$4&lt;MAX(BA$4,VLOOKUP(BA$6, Table_ChiPhiNV_Ca[], COUNTA(Table_ChiPhiNV_Ca[[#Headers],[Ca]:[Bắt đầu]]),0)),
$AA21&gt;MIN(BA$5,VLOOKUP(BA$6, Table_ChiPhiNV_Ca[], COUNTA(Table_ChiPhiNV_Ca[[#Headers],[Ca]:[Kết thúc]]),0))),0,
SUM(_xlfn._xlws.FILTER(Table_BangLuong_TyLeTangCa[Tỷ lệ],
(Table_BangLuong_TyLeTangCa[Ngày] = "Thường") *
(Table_BangLuong_TyLeTangCa[Giờ min]&lt;=$AA21) *
(Table_BangLuong_TyLeTangCa[Giờ max]&gt;$AA21)
))),
IF(
AND(
$AA21-$Z$4&gt;=MAX(BA$4,VLOOKUP(BA$6, Table_ChiPhiNV_Ca[], COUNTA(Table_ChiPhiNV_Ca[[#Headers],[Ca]:[Bắt đầu]]),0)),
$AA21&lt;MIN(BA$5,VLOOKUP(BA$6, Table_ChiPhiNV_Ca[], COUNTA(Table_ChiPhiNV_Ca[[#Headers],[Ca]:[Kết thúc]]),0))),
SUM(_xlfn._xlws.FILTER(Table_BangLuong_TyLeTangCa[Tỷ lệ],
(Table_BangLuong_TyLeTangCa[Ngày] = "Thường") *
(Table_BangLuong_TyLeTangCa[Giờ min]&lt;=$AA21) *
(Table_BangLuong_TyLeTangCa[Giờ max]&gt;$AA21)
)),0)
)),
IF(BA$4 &lt; BA$5,
IF($AA21-$Z$4&lt;BA$4,0,
IF($AA21&gt;BA$5,0,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BA$5,$AA21 &lt; BA$4),0,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B21" s="18" cm="1">
        <f t="array" ref="BB21" xml:space="preserve">
IFERROR(
IF(BB$1="",0,
IF(AND(
$AA21&gt;=VLOOKUP(BB$6, Table_ChiPhiNV_Ca[], COUNTA(Table_ChiPhiNV_Ca[[#Headers],[Ca]:[Bắt đầu nghỉ]]),0),
$AA21&lt;VLOOKUP(BB$6, Table_ChiPhiNV_Ca[], COUNTA(Table_ChiPhiNV_Ca[[#Headers],[Ca]:[Kết thúc nghỉ]]),0)
),0,
IF(NOT(ISBLANK(BB$3)),
IF(ISBLANK(BB$7),0,
IF(BB$4 &lt; BB$5,
IF($AA21-$Z$4&lt;BB$4,0,
IF($AA21&gt;BB$5,0,
SUM(_xlfn._xlws.FILTER(Table_BangLuong_TyLeTangCa[Tỷ lệ],
(Table_BangLuong_TyLeTangCa[Ngày] = BB$3) *
(Table_BangLuong_TyLeTangCa[Giờ min]&lt;=$AA21) *
(Table_BangLuong_TyLeTangCa[Giờ max]&gt;$AA21)
)))),
IF(AND($AA21-$Z$4 &gt;= BB$5,$AA21 &lt; BB$4),0,
SUM(_xlfn._xlws.FILTER(Table_BangLuong_TyLeTangCa[Tỷ lệ],
(Table_BangLuong_TyLeTangCa[Ngày] = BB$3) *
(Table_BangLuong_TyLeTangCa[Giờ min]&lt;=$AA21) *
(Table_BangLuong_TyLeTangCa[Giờ max]&gt;$AA21)
))))
),
IF(ISBLANK(BB$7),
IF(VLOOKUP(BB$6, Table_ChiPhiNV_Ca[], COUNTA(Table_ChiPhiNV_Ca[[#Headers],[Ca]:[Kết thúc]]),0)&gt; VLOOKUP(BB$6, Table_ChiPhiNV_Ca[], COUNTA(Table_ChiPhiNV_Ca[[#Headers],[Ca]:[Bắt đầu]]),0),
IF($AA21-$Z$4&lt;MAX(BB$4,VLOOKUP(BB$6, Table_ChiPhiNV_Ca[], COUNTA(Table_ChiPhiNV_Ca[[#Headers],[Ca]:[Bắt đầu]]),0)),0,
IF($AA21&gt;MIN(BB$5,VLOOKUP(BB$6, Table_ChiPhiNV_Ca[], COUNTA(Table_ChiPhiNV_Ca[[#Headers],[Ca]:[Kết thúc]]),0)),0,
SUM(_xlfn._xlws.FILTER(Table_BangLuong_TyLeTangCa[Tỷ lệ],
(Table_BangLuong_TyLeTangCa[Ngày] = "Thường") *
(Table_BangLuong_TyLeTangCa[Giờ min]&lt;=$AA21) *
(Table_BangLuong_TyLeTangCa[Giờ max]&gt;$AA21)
)))),
IF(BB$4 &gt; BB$5,
IF(
AND(
$AA21-$Z$4&lt;MAX(BB$4,VLOOKUP(BB$6, Table_ChiPhiNV_Ca[], COUNTA(Table_ChiPhiNV_Ca[[#Headers],[Ca]:[Bắt đầu]]),0)),
$AA21&gt;MIN(BB$5,VLOOKUP(BB$6, Table_ChiPhiNV_Ca[], COUNTA(Table_ChiPhiNV_Ca[[#Headers],[Ca]:[Kết thúc]]),0))),0,
SUM(_xlfn._xlws.FILTER(Table_BangLuong_TyLeTangCa[Tỷ lệ],
(Table_BangLuong_TyLeTangCa[Ngày] = "Thường") *
(Table_BangLuong_TyLeTangCa[Giờ min]&lt;=$AA21) *
(Table_BangLuong_TyLeTangCa[Giờ max]&gt;$AA21)
))),
IF(
AND(
$AA21-$Z$4&gt;=MAX(BB$4,VLOOKUP(BB$6, Table_ChiPhiNV_Ca[], COUNTA(Table_ChiPhiNV_Ca[[#Headers],[Ca]:[Bắt đầu]]),0)),
$AA21&lt;MIN(BB$5,VLOOKUP(BB$6, Table_ChiPhiNV_Ca[], COUNTA(Table_ChiPhiNV_Ca[[#Headers],[Ca]:[Kết thúc]]),0))),
SUM(_xlfn._xlws.FILTER(Table_BangLuong_TyLeTangCa[Tỷ lệ],
(Table_BangLuong_TyLeTangCa[Ngày] = "Thường") *
(Table_BangLuong_TyLeTangCa[Giờ min]&lt;=$AA21) *
(Table_BangLuong_TyLeTangCa[Giờ max]&gt;$AA21)
)),0)
)),
IF(BB$4 &lt; BB$5,
IF($AA21-$Z$4&lt;BB$4,0,
IF($AA21&gt;BB$5,0,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BB$5,$AA21 &lt; BB$4),0,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C21" s="18" cm="1">
        <f t="array" ref="BC21" xml:space="preserve">
IFERROR(
IF(BC$1="",0,
IF(AND(
$AA21&gt;=VLOOKUP(BC$6, Table_ChiPhiNV_Ca[], COUNTA(Table_ChiPhiNV_Ca[[#Headers],[Ca]:[Bắt đầu nghỉ]]),0),
$AA21&lt;VLOOKUP(BC$6, Table_ChiPhiNV_Ca[], COUNTA(Table_ChiPhiNV_Ca[[#Headers],[Ca]:[Kết thúc nghỉ]]),0)
),0,
IF(NOT(ISBLANK(BC$3)),
IF(ISBLANK(BC$7),0,
IF(BC$4 &lt; BC$5,
IF($AA21-$Z$4&lt;BC$4,0,
IF($AA21&gt;BC$5,0,
SUM(_xlfn._xlws.FILTER(Table_BangLuong_TyLeTangCa[Tỷ lệ],
(Table_BangLuong_TyLeTangCa[Ngày] = BC$3) *
(Table_BangLuong_TyLeTangCa[Giờ min]&lt;=$AA21) *
(Table_BangLuong_TyLeTangCa[Giờ max]&gt;$AA21)
)))),
IF(AND($AA21-$Z$4 &gt;= BC$5,$AA21 &lt; BC$4),0,
SUM(_xlfn._xlws.FILTER(Table_BangLuong_TyLeTangCa[Tỷ lệ],
(Table_BangLuong_TyLeTangCa[Ngày] = BC$3) *
(Table_BangLuong_TyLeTangCa[Giờ min]&lt;=$AA21) *
(Table_BangLuong_TyLeTangCa[Giờ max]&gt;$AA21)
))))
),
IF(ISBLANK(BC$7),
IF(VLOOKUP(BC$6, Table_ChiPhiNV_Ca[], COUNTA(Table_ChiPhiNV_Ca[[#Headers],[Ca]:[Kết thúc]]),0)&gt; VLOOKUP(BC$6, Table_ChiPhiNV_Ca[], COUNTA(Table_ChiPhiNV_Ca[[#Headers],[Ca]:[Bắt đầu]]),0),
IF($AA21-$Z$4&lt;MAX(BC$4,VLOOKUP(BC$6, Table_ChiPhiNV_Ca[], COUNTA(Table_ChiPhiNV_Ca[[#Headers],[Ca]:[Bắt đầu]]),0)),0,
IF($AA21&gt;MIN(BC$5,VLOOKUP(BC$6, Table_ChiPhiNV_Ca[], COUNTA(Table_ChiPhiNV_Ca[[#Headers],[Ca]:[Kết thúc]]),0)),0,
SUM(_xlfn._xlws.FILTER(Table_BangLuong_TyLeTangCa[Tỷ lệ],
(Table_BangLuong_TyLeTangCa[Ngày] = "Thường") *
(Table_BangLuong_TyLeTangCa[Giờ min]&lt;=$AA21) *
(Table_BangLuong_TyLeTangCa[Giờ max]&gt;$AA21)
)))),
IF(BC$4 &gt; BC$5,
IF(
AND(
$AA21-$Z$4&lt;MAX(BC$4,VLOOKUP(BC$6, Table_ChiPhiNV_Ca[], COUNTA(Table_ChiPhiNV_Ca[[#Headers],[Ca]:[Bắt đầu]]),0)),
$AA21&gt;MIN(BC$5,VLOOKUP(BC$6, Table_ChiPhiNV_Ca[], COUNTA(Table_ChiPhiNV_Ca[[#Headers],[Ca]:[Kết thúc]]),0))),0,
SUM(_xlfn._xlws.FILTER(Table_BangLuong_TyLeTangCa[Tỷ lệ],
(Table_BangLuong_TyLeTangCa[Ngày] = "Thường") *
(Table_BangLuong_TyLeTangCa[Giờ min]&lt;=$AA21) *
(Table_BangLuong_TyLeTangCa[Giờ max]&gt;$AA21)
))),
IF(
AND(
$AA21-$Z$4&gt;=MAX(BC$4,VLOOKUP(BC$6, Table_ChiPhiNV_Ca[], COUNTA(Table_ChiPhiNV_Ca[[#Headers],[Ca]:[Bắt đầu]]),0)),
$AA21&lt;MIN(BC$5,VLOOKUP(BC$6, Table_ChiPhiNV_Ca[], COUNTA(Table_ChiPhiNV_Ca[[#Headers],[Ca]:[Kết thúc]]),0))),
SUM(_xlfn._xlws.FILTER(Table_BangLuong_TyLeTangCa[Tỷ lệ],
(Table_BangLuong_TyLeTangCa[Ngày] = "Thường") *
(Table_BangLuong_TyLeTangCa[Giờ min]&lt;=$AA21) *
(Table_BangLuong_TyLeTangCa[Giờ max]&gt;$AA21)
)),0)
)),
IF(BC$4 &lt; BC$5,
IF($AA21-$Z$4&lt;BC$4,0,
IF($AA21&gt;BC$5,0,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BC$5,$AA21 &lt; BC$4),0,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D21" s="18" cm="1">
        <f t="array" ref="BD21" xml:space="preserve">
IFERROR(
IF(BD$1="",0,
IF(AND(
$AA21&gt;=VLOOKUP(BD$6, Table_ChiPhiNV_Ca[], COUNTA(Table_ChiPhiNV_Ca[[#Headers],[Ca]:[Bắt đầu nghỉ]]),0),
$AA21&lt;VLOOKUP(BD$6, Table_ChiPhiNV_Ca[], COUNTA(Table_ChiPhiNV_Ca[[#Headers],[Ca]:[Kết thúc nghỉ]]),0)
),0,
IF(NOT(ISBLANK(BD$3)),
IF(ISBLANK(BD$7),0,
IF(BD$4 &lt; BD$5,
IF($AA21-$Z$4&lt;BD$4,0,
IF($AA21&gt;BD$5,0,
SUM(_xlfn._xlws.FILTER(Table_BangLuong_TyLeTangCa[Tỷ lệ],
(Table_BangLuong_TyLeTangCa[Ngày] = BD$3) *
(Table_BangLuong_TyLeTangCa[Giờ min]&lt;=$AA21) *
(Table_BangLuong_TyLeTangCa[Giờ max]&gt;$AA21)
)))),
IF(AND($AA21-$Z$4 &gt;= BD$5,$AA21 &lt; BD$4),0,
SUM(_xlfn._xlws.FILTER(Table_BangLuong_TyLeTangCa[Tỷ lệ],
(Table_BangLuong_TyLeTangCa[Ngày] = BD$3) *
(Table_BangLuong_TyLeTangCa[Giờ min]&lt;=$AA21) *
(Table_BangLuong_TyLeTangCa[Giờ max]&gt;$AA21)
))))
),
IF(ISBLANK(BD$7),
IF(VLOOKUP(BD$6, Table_ChiPhiNV_Ca[], COUNTA(Table_ChiPhiNV_Ca[[#Headers],[Ca]:[Kết thúc]]),0)&gt; VLOOKUP(BD$6, Table_ChiPhiNV_Ca[], COUNTA(Table_ChiPhiNV_Ca[[#Headers],[Ca]:[Bắt đầu]]),0),
IF($AA21-$Z$4&lt;MAX(BD$4,VLOOKUP(BD$6, Table_ChiPhiNV_Ca[], COUNTA(Table_ChiPhiNV_Ca[[#Headers],[Ca]:[Bắt đầu]]),0)),0,
IF($AA21&gt;MIN(BD$5,VLOOKUP(BD$6, Table_ChiPhiNV_Ca[], COUNTA(Table_ChiPhiNV_Ca[[#Headers],[Ca]:[Kết thúc]]),0)),0,
SUM(_xlfn._xlws.FILTER(Table_BangLuong_TyLeTangCa[Tỷ lệ],
(Table_BangLuong_TyLeTangCa[Ngày] = "Thường") *
(Table_BangLuong_TyLeTangCa[Giờ min]&lt;=$AA21) *
(Table_BangLuong_TyLeTangCa[Giờ max]&gt;$AA21)
)))),
IF(BD$4 &gt; BD$5,
IF(
AND(
$AA21-$Z$4&lt;MAX(BD$4,VLOOKUP(BD$6, Table_ChiPhiNV_Ca[], COUNTA(Table_ChiPhiNV_Ca[[#Headers],[Ca]:[Bắt đầu]]),0)),
$AA21&gt;MIN(BD$5,VLOOKUP(BD$6, Table_ChiPhiNV_Ca[], COUNTA(Table_ChiPhiNV_Ca[[#Headers],[Ca]:[Kết thúc]]),0))),0,
SUM(_xlfn._xlws.FILTER(Table_BangLuong_TyLeTangCa[Tỷ lệ],
(Table_BangLuong_TyLeTangCa[Ngày] = "Thường") *
(Table_BangLuong_TyLeTangCa[Giờ min]&lt;=$AA21) *
(Table_BangLuong_TyLeTangCa[Giờ max]&gt;$AA21)
))),
IF(
AND(
$AA21-$Z$4&gt;=MAX(BD$4,VLOOKUP(BD$6, Table_ChiPhiNV_Ca[], COUNTA(Table_ChiPhiNV_Ca[[#Headers],[Ca]:[Bắt đầu]]),0)),
$AA21&lt;MIN(BD$5,VLOOKUP(BD$6, Table_ChiPhiNV_Ca[], COUNTA(Table_ChiPhiNV_Ca[[#Headers],[Ca]:[Kết thúc]]),0))),
SUM(_xlfn._xlws.FILTER(Table_BangLuong_TyLeTangCa[Tỷ lệ],
(Table_BangLuong_TyLeTangCa[Ngày] = "Thường") *
(Table_BangLuong_TyLeTangCa[Giờ min]&lt;=$AA21) *
(Table_BangLuong_TyLeTangCa[Giờ max]&gt;$AA21)
)),0)
)),
IF(BD$4 &lt; BD$5,
IF($AA21-$Z$4&lt;BD$4,0,
IF($AA21&gt;BD$5,0,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BD$5,$AA21 &lt; BD$4),0,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E21" s="18" cm="1">
        <f t="array" ref="BE21" xml:space="preserve">
IFERROR(
IF(BE$1="",0,
IF(AND(
$AA21&gt;=VLOOKUP(BE$6, Table_ChiPhiNV_Ca[], COUNTA(Table_ChiPhiNV_Ca[[#Headers],[Ca]:[Bắt đầu nghỉ]]),0),
$AA21&lt;VLOOKUP(BE$6, Table_ChiPhiNV_Ca[], COUNTA(Table_ChiPhiNV_Ca[[#Headers],[Ca]:[Kết thúc nghỉ]]),0)
),0,
IF(NOT(ISBLANK(BE$3)),
IF(ISBLANK(BE$7),0,
IF(BE$4 &lt; BE$5,
IF($AA21-$Z$4&lt;BE$4,0,
IF($AA21&gt;BE$5,0,
SUM(_xlfn._xlws.FILTER(Table_BangLuong_TyLeTangCa[Tỷ lệ],
(Table_BangLuong_TyLeTangCa[Ngày] = BE$3) *
(Table_BangLuong_TyLeTangCa[Giờ min]&lt;=$AA21) *
(Table_BangLuong_TyLeTangCa[Giờ max]&gt;$AA21)
)))),
IF(AND($AA21-$Z$4 &gt;= BE$5,$AA21 &lt; BE$4),0,
SUM(_xlfn._xlws.FILTER(Table_BangLuong_TyLeTangCa[Tỷ lệ],
(Table_BangLuong_TyLeTangCa[Ngày] = BE$3) *
(Table_BangLuong_TyLeTangCa[Giờ min]&lt;=$AA21) *
(Table_BangLuong_TyLeTangCa[Giờ max]&gt;$AA21)
))))
),
IF(ISBLANK(BE$7),
IF(VLOOKUP(BE$6, Table_ChiPhiNV_Ca[], COUNTA(Table_ChiPhiNV_Ca[[#Headers],[Ca]:[Kết thúc]]),0)&gt; VLOOKUP(BE$6, Table_ChiPhiNV_Ca[], COUNTA(Table_ChiPhiNV_Ca[[#Headers],[Ca]:[Bắt đầu]]),0),
IF($AA21-$Z$4&lt;MAX(BE$4,VLOOKUP(BE$6, Table_ChiPhiNV_Ca[], COUNTA(Table_ChiPhiNV_Ca[[#Headers],[Ca]:[Bắt đầu]]),0)),0,
IF($AA21&gt;MIN(BE$5,VLOOKUP(BE$6, Table_ChiPhiNV_Ca[], COUNTA(Table_ChiPhiNV_Ca[[#Headers],[Ca]:[Kết thúc]]),0)),0,
SUM(_xlfn._xlws.FILTER(Table_BangLuong_TyLeTangCa[Tỷ lệ],
(Table_BangLuong_TyLeTangCa[Ngày] = "Thường") *
(Table_BangLuong_TyLeTangCa[Giờ min]&lt;=$AA21) *
(Table_BangLuong_TyLeTangCa[Giờ max]&gt;$AA21)
)))),
IF(BE$4 &gt; BE$5,
IF(
AND(
$AA21-$Z$4&lt;MAX(BE$4,VLOOKUP(BE$6, Table_ChiPhiNV_Ca[], COUNTA(Table_ChiPhiNV_Ca[[#Headers],[Ca]:[Bắt đầu]]),0)),
$AA21&gt;MIN(BE$5,VLOOKUP(BE$6, Table_ChiPhiNV_Ca[], COUNTA(Table_ChiPhiNV_Ca[[#Headers],[Ca]:[Kết thúc]]),0))),0,
SUM(_xlfn._xlws.FILTER(Table_BangLuong_TyLeTangCa[Tỷ lệ],
(Table_BangLuong_TyLeTangCa[Ngày] = "Thường") *
(Table_BangLuong_TyLeTangCa[Giờ min]&lt;=$AA21) *
(Table_BangLuong_TyLeTangCa[Giờ max]&gt;$AA21)
))),
IF(
AND(
$AA21-$Z$4&gt;=MAX(BE$4,VLOOKUP(BE$6, Table_ChiPhiNV_Ca[], COUNTA(Table_ChiPhiNV_Ca[[#Headers],[Ca]:[Bắt đầu]]),0)),
$AA21&lt;MIN(BE$5,VLOOKUP(BE$6, Table_ChiPhiNV_Ca[], COUNTA(Table_ChiPhiNV_Ca[[#Headers],[Ca]:[Kết thúc]]),0))),
SUM(_xlfn._xlws.FILTER(Table_BangLuong_TyLeTangCa[Tỷ lệ],
(Table_BangLuong_TyLeTangCa[Ngày] = "Thường") *
(Table_BangLuong_TyLeTangCa[Giờ min]&lt;=$AA21) *
(Table_BangLuong_TyLeTangCa[Giờ max]&gt;$AA21)
)),0)
)),
IF(BE$4 &lt; BE$5,
IF($AA21-$Z$4&lt;BE$4,0,
IF($AA21&gt;BE$5,0,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BE$5,$AA21 &lt; BE$4),0,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F21" s="18" cm="1">
        <f t="array" ref="BF21" xml:space="preserve">
IFERROR(
IF(BF$1="",0,
IF(AND(
$AA21&gt;=VLOOKUP(BF$6, Table_ChiPhiNV_Ca[], COUNTA(Table_ChiPhiNV_Ca[[#Headers],[Ca]:[Bắt đầu nghỉ]]),0),
$AA21&lt;VLOOKUP(BF$6, Table_ChiPhiNV_Ca[], COUNTA(Table_ChiPhiNV_Ca[[#Headers],[Ca]:[Kết thúc nghỉ]]),0)
),0,
IF(NOT(ISBLANK(BF$3)),
IF(ISBLANK(BF$7),0,
IF(BF$4 &lt; BF$5,
IF($AA21-$Z$4&lt;BF$4,0,
IF($AA21&gt;BF$5,0,
SUM(_xlfn._xlws.FILTER(Table_BangLuong_TyLeTangCa[Tỷ lệ],
(Table_BangLuong_TyLeTangCa[Ngày] = BF$3) *
(Table_BangLuong_TyLeTangCa[Giờ min]&lt;=$AA21) *
(Table_BangLuong_TyLeTangCa[Giờ max]&gt;$AA21)
)))),
IF(AND($AA21-$Z$4 &gt;= BF$5,$AA21 &lt; BF$4),0,
SUM(_xlfn._xlws.FILTER(Table_BangLuong_TyLeTangCa[Tỷ lệ],
(Table_BangLuong_TyLeTangCa[Ngày] = BF$3) *
(Table_BangLuong_TyLeTangCa[Giờ min]&lt;=$AA21) *
(Table_BangLuong_TyLeTangCa[Giờ max]&gt;$AA21)
))))
),
IF(ISBLANK(BF$7),
IF(VLOOKUP(BF$6, Table_ChiPhiNV_Ca[], COUNTA(Table_ChiPhiNV_Ca[[#Headers],[Ca]:[Kết thúc]]),0)&gt; VLOOKUP(BF$6, Table_ChiPhiNV_Ca[], COUNTA(Table_ChiPhiNV_Ca[[#Headers],[Ca]:[Bắt đầu]]),0),
IF($AA21-$Z$4&lt;MAX(BF$4,VLOOKUP(BF$6, Table_ChiPhiNV_Ca[], COUNTA(Table_ChiPhiNV_Ca[[#Headers],[Ca]:[Bắt đầu]]),0)),0,
IF($AA21&gt;MIN(BF$5,VLOOKUP(BF$6, Table_ChiPhiNV_Ca[], COUNTA(Table_ChiPhiNV_Ca[[#Headers],[Ca]:[Kết thúc]]),0)),0,
SUM(_xlfn._xlws.FILTER(Table_BangLuong_TyLeTangCa[Tỷ lệ],
(Table_BangLuong_TyLeTangCa[Ngày] = "Thường") *
(Table_BangLuong_TyLeTangCa[Giờ min]&lt;=$AA21) *
(Table_BangLuong_TyLeTangCa[Giờ max]&gt;$AA21)
)))),
IF(BF$4 &gt; BF$5,
IF(
AND(
$AA21-$Z$4&lt;MAX(BF$4,VLOOKUP(BF$6, Table_ChiPhiNV_Ca[], COUNTA(Table_ChiPhiNV_Ca[[#Headers],[Ca]:[Bắt đầu]]),0)),
$AA21&gt;MIN(BF$5,VLOOKUP(BF$6, Table_ChiPhiNV_Ca[], COUNTA(Table_ChiPhiNV_Ca[[#Headers],[Ca]:[Kết thúc]]),0))),0,
SUM(_xlfn._xlws.FILTER(Table_BangLuong_TyLeTangCa[Tỷ lệ],
(Table_BangLuong_TyLeTangCa[Ngày] = "Thường") *
(Table_BangLuong_TyLeTangCa[Giờ min]&lt;=$AA21) *
(Table_BangLuong_TyLeTangCa[Giờ max]&gt;$AA21)
))),
IF(
AND(
$AA21-$Z$4&gt;=MAX(BF$4,VLOOKUP(BF$6, Table_ChiPhiNV_Ca[], COUNTA(Table_ChiPhiNV_Ca[[#Headers],[Ca]:[Bắt đầu]]),0)),
$AA21&lt;MIN(BF$5,VLOOKUP(BF$6, Table_ChiPhiNV_Ca[], COUNTA(Table_ChiPhiNV_Ca[[#Headers],[Ca]:[Kết thúc]]),0))),
SUM(_xlfn._xlws.FILTER(Table_BangLuong_TyLeTangCa[Tỷ lệ],
(Table_BangLuong_TyLeTangCa[Ngày] = "Thường") *
(Table_BangLuong_TyLeTangCa[Giờ min]&lt;=$AA21) *
(Table_BangLuong_TyLeTangCa[Giờ max]&gt;$AA21)
)),0)
)),
IF(BF$4 &lt; BF$5,
IF($AA21-$Z$4&lt;BF$4,0,
IF($AA21&gt;BF$5,0,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BF$5,$AA21 &lt; BF$4),0,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row>
    <row r="22" spans="2:58" ht="18" customHeight="1" outlineLevel="1" x14ac:dyDescent="0.3">
      <c r="J22" s="3"/>
      <c r="K22" s="3"/>
      <c r="L22" s="3"/>
      <c r="M22" s="3"/>
      <c r="AA22" s="50">
        <v>0.27083333333333298</v>
      </c>
      <c r="AB22" s="18" cm="1">
        <f t="array" ref="AB22" xml:space="preserve">
IFERROR(
IF(AB$1="",0,
IF(AND(
$AA22&gt;=VLOOKUP(AB$6, Table_ChiPhiNV_Ca[], COUNTA(Table_ChiPhiNV_Ca[[#Headers],[Ca]:[Bắt đầu nghỉ]]),0),
$AA22&lt;VLOOKUP(AB$6, Table_ChiPhiNV_Ca[], COUNTA(Table_ChiPhiNV_Ca[[#Headers],[Ca]:[Kết thúc nghỉ]]),0)
),0,
IF(NOT(ISBLANK(AB$3)),
IF(ISBLANK(AB$7),0,
IF(AB$4 &lt; AB$5,
IF($AA22-$Z$4&lt;AB$4,0,
IF($AA22&gt;AB$5,0,
SUM(_xlfn._xlws.FILTER(Table_BangLuong_TyLeTangCa[Tỷ lệ],
(Table_BangLuong_TyLeTangCa[Ngày] = AB$3) *
(Table_BangLuong_TyLeTangCa[Giờ min]&lt;=$AA22) *
(Table_BangLuong_TyLeTangCa[Giờ max]&gt;$AA22)
)))),
IF(AND($AA22-$Z$4 &gt;= AB$5,$AA22 &lt; AB$4),0,
SUM(_xlfn._xlws.FILTER(Table_BangLuong_TyLeTangCa[Tỷ lệ],
(Table_BangLuong_TyLeTangCa[Ngày] = AB$3) *
(Table_BangLuong_TyLeTangCa[Giờ min]&lt;=$AA22) *
(Table_BangLuong_TyLeTangCa[Giờ max]&gt;$AA22)
))))
),
IF(ISBLANK(AB$7),
IF(VLOOKUP(AB$6, Table_ChiPhiNV_Ca[], COUNTA(Table_ChiPhiNV_Ca[[#Headers],[Ca]:[Kết thúc]]),0)&gt; VLOOKUP(AB$6, Table_ChiPhiNV_Ca[], COUNTA(Table_ChiPhiNV_Ca[[#Headers],[Ca]:[Bắt đầu]]),0),
IF($AA22-$Z$4&lt;MAX(AB$4,VLOOKUP(AB$6, Table_ChiPhiNV_Ca[], COUNTA(Table_ChiPhiNV_Ca[[#Headers],[Ca]:[Bắt đầu]]),0)),0,
IF($AA22&gt;MIN(AB$5,VLOOKUP(AB$6, Table_ChiPhiNV_Ca[], COUNTA(Table_ChiPhiNV_Ca[[#Headers],[Ca]:[Kết thúc]]),0)),0,
SUM(_xlfn._xlws.FILTER(Table_BangLuong_TyLeTangCa[Tỷ lệ],
(Table_BangLuong_TyLeTangCa[Ngày] = "Thường") *
(Table_BangLuong_TyLeTangCa[Giờ min]&lt;=$AA22) *
(Table_BangLuong_TyLeTangCa[Giờ max]&gt;$AA22)
)))),
IF(AB$4 &gt; AB$5,
IF(
AND(
$AA22-$Z$4&lt;MAX(AB$4,VLOOKUP(AB$6, Table_ChiPhiNV_Ca[], COUNTA(Table_ChiPhiNV_Ca[[#Headers],[Ca]:[Bắt đầu]]),0)),
$AA22&gt;MIN(AB$5,VLOOKUP(AB$6, Table_ChiPhiNV_Ca[], COUNTA(Table_ChiPhiNV_Ca[[#Headers],[Ca]:[Kết thúc]]),0))),0,
SUM(_xlfn._xlws.FILTER(Table_BangLuong_TyLeTangCa[Tỷ lệ],
(Table_BangLuong_TyLeTangCa[Ngày] = "Thường") *
(Table_BangLuong_TyLeTangCa[Giờ min]&lt;=$AA22) *
(Table_BangLuong_TyLeTangCa[Giờ max]&gt;$AA22)
))),
IF(
AND(
$AA22-$Z$4&gt;=MAX(AB$4,VLOOKUP(AB$6, Table_ChiPhiNV_Ca[], COUNTA(Table_ChiPhiNV_Ca[[#Headers],[Ca]:[Bắt đầu]]),0)),
$AA22&lt;MIN(AB$5,VLOOKUP(AB$6, Table_ChiPhiNV_Ca[], COUNTA(Table_ChiPhiNV_Ca[[#Headers],[Ca]:[Kết thúc]]),0))),
SUM(_xlfn._xlws.FILTER(Table_BangLuong_TyLeTangCa[Tỷ lệ],
(Table_BangLuong_TyLeTangCa[Ngày] = "Thường") *
(Table_BangLuong_TyLeTangCa[Giờ min]&lt;=$AA22) *
(Table_BangLuong_TyLeTangCa[Giờ max]&gt;$AA22)
)),0)
)),
IF(AB$4 &lt; AB$5,
IF($AA22-$Z$4&lt;AB$4,0,
IF($AA22&gt;AB$5,0,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AB$5,$AA22 &lt; AB$4),0,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C22" s="18" cm="1">
        <f t="array" ref="AC22" xml:space="preserve">
IFERROR(
IF(AC$1="",0,
IF(AND(
$AA22&gt;=VLOOKUP(AC$6, Table_ChiPhiNV_Ca[], COUNTA(Table_ChiPhiNV_Ca[[#Headers],[Ca]:[Bắt đầu nghỉ]]),0),
$AA22&lt;VLOOKUP(AC$6, Table_ChiPhiNV_Ca[], COUNTA(Table_ChiPhiNV_Ca[[#Headers],[Ca]:[Kết thúc nghỉ]]),0)
),0,
IF(NOT(ISBLANK(AC$3)),
IF(ISBLANK(AC$7),0,
IF(AC$4 &lt; AC$5,
IF($AA22-$Z$4&lt;AC$4,0,
IF($AA22&gt;AC$5,0,
SUM(_xlfn._xlws.FILTER(Table_BangLuong_TyLeTangCa[Tỷ lệ],
(Table_BangLuong_TyLeTangCa[Ngày] = AC$3) *
(Table_BangLuong_TyLeTangCa[Giờ min]&lt;=$AA22) *
(Table_BangLuong_TyLeTangCa[Giờ max]&gt;$AA22)
)))),
IF(AND($AA22-$Z$4 &gt;= AC$5,$AA22 &lt; AC$4),0,
SUM(_xlfn._xlws.FILTER(Table_BangLuong_TyLeTangCa[Tỷ lệ],
(Table_BangLuong_TyLeTangCa[Ngày] = AC$3) *
(Table_BangLuong_TyLeTangCa[Giờ min]&lt;=$AA22) *
(Table_BangLuong_TyLeTangCa[Giờ max]&gt;$AA22)
))))
),
IF(ISBLANK(AC$7),
IF(VLOOKUP(AC$6, Table_ChiPhiNV_Ca[], COUNTA(Table_ChiPhiNV_Ca[[#Headers],[Ca]:[Kết thúc]]),0)&gt; VLOOKUP(AC$6, Table_ChiPhiNV_Ca[], COUNTA(Table_ChiPhiNV_Ca[[#Headers],[Ca]:[Bắt đầu]]),0),
IF($AA22-$Z$4&lt;MAX(AC$4,VLOOKUP(AC$6, Table_ChiPhiNV_Ca[], COUNTA(Table_ChiPhiNV_Ca[[#Headers],[Ca]:[Bắt đầu]]),0)),0,
IF($AA22&gt;MIN(AC$5,VLOOKUP(AC$6, Table_ChiPhiNV_Ca[], COUNTA(Table_ChiPhiNV_Ca[[#Headers],[Ca]:[Kết thúc]]),0)),0,
SUM(_xlfn._xlws.FILTER(Table_BangLuong_TyLeTangCa[Tỷ lệ],
(Table_BangLuong_TyLeTangCa[Ngày] = "Thường") *
(Table_BangLuong_TyLeTangCa[Giờ min]&lt;=$AA22) *
(Table_BangLuong_TyLeTangCa[Giờ max]&gt;$AA22)
)))),
IF(AC$4 &gt; AC$5,
IF(
AND(
$AA22-$Z$4&lt;MAX(AC$4,VLOOKUP(AC$6, Table_ChiPhiNV_Ca[], COUNTA(Table_ChiPhiNV_Ca[[#Headers],[Ca]:[Bắt đầu]]),0)),
$AA22&gt;MIN(AC$5,VLOOKUP(AC$6, Table_ChiPhiNV_Ca[], COUNTA(Table_ChiPhiNV_Ca[[#Headers],[Ca]:[Kết thúc]]),0))),0,
SUM(_xlfn._xlws.FILTER(Table_BangLuong_TyLeTangCa[Tỷ lệ],
(Table_BangLuong_TyLeTangCa[Ngày] = "Thường") *
(Table_BangLuong_TyLeTangCa[Giờ min]&lt;=$AA22) *
(Table_BangLuong_TyLeTangCa[Giờ max]&gt;$AA22)
))),
IF(
AND(
$AA22-$Z$4&gt;=MAX(AC$4,VLOOKUP(AC$6, Table_ChiPhiNV_Ca[], COUNTA(Table_ChiPhiNV_Ca[[#Headers],[Ca]:[Bắt đầu]]),0)),
$AA22&lt;MIN(AC$5,VLOOKUP(AC$6, Table_ChiPhiNV_Ca[], COUNTA(Table_ChiPhiNV_Ca[[#Headers],[Ca]:[Kết thúc]]),0))),
SUM(_xlfn._xlws.FILTER(Table_BangLuong_TyLeTangCa[Tỷ lệ],
(Table_BangLuong_TyLeTangCa[Ngày] = "Thường") *
(Table_BangLuong_TyLeTangCa[Giờ min]&lt;=$AA22) *
(Table_BangLuong_TyLeTangCa[Giờ max]&gt;$AA22)
)),0)
)),
IF(AC$4 &lt; AC$5,
IF($AA22-$Z$4&lt;AC$4,0,
IF($AA22&gt;AC$5,0,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AC$5,$AA22 &lt; AC$4),0,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D22" s="18" cm="1">
        <f t="array" ref="AD22" xml:space="preserve">
IFERROR(
IF(AD$1="",0,
IF(AND(
$AA22&gt;=VLOOKUP(AD$6, Table_ChiPhiNV_Ca[], COUNTA(Table_ChiPhiNV_Ca[[#Headers],[Ca]:[Bắt đầu nghỉ]]),0),
$AA22&lt;VLOOKUP(AD$6, Table_ChiPhiNV_Ca[], COUNTA(Table_ChiPhiNV_Ca[[#Headers],[Ca]:[Kết thúc nghỉ]]),0)
),0,
IF(NOT(ISBLANK(AD$3)),
IF(ISBLANK(AD$7),0,
IF(AD$4 &lt; AD$5,
IF($AA22-$Z$4&lt;AD$4,0,
IF($AA22&gt;AD$5,0,
SUM(_xlfn._xlws.FILTER(Table_BangLuong_TyLeTangCa[Tỷ lệ],
(Table_BangLuong_TyLeTangCa[Ngày] = AD$3) *
(Table_BangLuong_TyLeTangCa[Giờ min]&lt;=$AA22) *
(Table_BangLuong_TyLeTangCa[Giờ max]&gt;$AA22)
)))),
IF(AND($AA22-$Z$4 &gt;= AD$5,$AA22 &lt; AD$4),0,
SUM(_xlfn._xlws.FILTER(Table_BangLuong_TyLeTangCa[Tỷ lệ],
(Table_BangLuong_TyLeTangCa[Ngày] = AD$3) *
(Table_BangLuong_TyLeTangCa[Giờ min]&lt;=$AA22) *
(Table_BangLuong_TyLeTangCa[Giờ max]&gt;$AA22)
))))
),
IF(ISBLANK(AD$7),
IF(VLOOKUP(AD$6, Table_ChiPhiNV_Ca[], COUNTA(Table_ChiPhiNV_Ca[[#Headers],[Ca]:[Kết thúc]]),0)&gt; VLOOKUP(AD$6, Table_ChiPhiNV_Ca[], COUNTA(Table_ChiPhiNV_Ca[[#Headers],[Ca]:[Bắt đầu]]),0),
IF($AA22-$Z$4&lt;MAX(AD$4,VLOOKUP(AD$6, Table_ChiPhiNV_Ca[], COUNTA(Table_ChiPhiNV_Ca[[#Headers],[Ca]:[Bắt đầu]]),0)),0,
IF($AA22&gt;MIN(AD$5,VLOOKUP(AD$6, Table_ChiPhiNV_Ca[], COUNTA(Table_ChiPhiNV_Ca[[#Headers],[Ca]:[Kết thúc]]),0)),0,
SUM(_xlfn._xlws.FILTER(Table_BangLuong_TyLeTangCa[Tỷ lệ],
(Table_BangLuong_TyLeTangCa[Ngày] = "Thường") *
(Table_BangLuong_TyLeTangCa[Giờ min]&lt;=$AA22) *
(Table_BangLuong_TyLeTangCa[Giờ max]&gt;$AA22)
)))),
IF(AD$4 &gt; AD$5,
IF(
AND(
$AA22-$Z$4&lt;MAX(AD$4,VLOOKUP(AD$6, Table_ChiPhiNV_Ca[], COUNTA(Table_ChiPhiNV_Ca[[#Headers],[Ca]:[Bắt đầu]]),0)),
$AA22&gt;MIN(AD$5,VLOOKUP(AD$6, Table_ChiPhiNV_Ca[], COUNTA(Table_ChiPhiNV_Ca[[#Headers],[Ca]:[Kết thúc]]),0))),0,
SUM(_xlfn._xlws.FILTER(Table_BangLuong_TyLeTangCa[Tỷ lệ],
(Table_BangLuong_TyLeTangCa[Ngày] = "Thường") *
(Table_BangLuong_TyLeTangCa[Giờ min]&lt;=$AA22) *
(Table_BangLuong_TyLeTangCa[Giờ max]&gt;$AA22)
))),
IF(
AND(
$AA22-$Z$4&gt;=MAX(AD$4,VLOOKUP(AD$6, Table_ChiPhiNV_Ca[], COUNTA(Table_ChiPhiNV_Ca[[#Headers],[Ca]:[Bắt đầu]]),0)),
$AA22&lt;MIN(AD$5,VLOOKUP(AD$6, Table_ChiPhiNV_Ca[], COUNTA(Table_ChiPhiNV_Ca[[#Headers],[Ca]:[Kết thúc]]),0))),
SUM(_xlfn._xlws.FILTER(Table_BangLuong_TyLeTangCa[Tỷ lệ],
(Table_BangLuong_TyLeTangCa[Ngày] = "Thường") *
(Table_BangLuong_TyLeTangCa[Giờ min]&lt;=$AA22) *
(Table_BangLuong_TyLeTangCa[Giờ max]&gt;$AA22)
)),0)
)),
IF(AD$4 &lt; AD$5,
IF($AA22-$Z$4&lt;AD$4,0,
IF($AA22&gt;AD$5,0,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AD$5,$AA22 &lt; AD$4),0,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E22" s="18" cm="1">
        <f t="array" ref="AE22" xml:space="preserve">
IFERROR(
IF(AE$1="",0,
IF(AND(
$AA22&gt;=VLOOKUP(AE$6, Table_ChiPhiNV_Ca[], COUNTA(Table_ChiPhiNV_Ca[[#Headers],[Ca]:[Bắt đầu nghỉ]]),0),
$AA22&lt;VLOOKUP(AE$6, Table_ChiPhiNV_Ca[], COUNTA(Table_ChiPhiNV_Ca[[#Headers],[Ca]:[Kết thúc nghỉ]]),0)
),0,
IF(NOT(ISBLANK(AE$3)),
IF(ISBLANK(AE$7),0,
IF(AE$4 &lt; AE$5,
IF($AA22-$Z$4&lt;AE$4,0,
IF($AA22&gt;AE$5,0,
SUM(_xlfn._xlws.FILTER(Table_BangLuong_TyLeTangCa[Tỷ lệ],
(Table_BangLuong_TyLeTangCa[Ngày] = AE$3) *
(Table_BangLuong_TyLeTangCa[Giờ min]&lt;=$AA22) *
(Table_BangLuong_TyLeTangCa[Giờ max]&gt;$AA22)
)))),
IF(AND($AA22-$Z$4 &gt;= AE$5,$AA22 &lt; AE$4),0,
SUM(_xlfn._xlws.FILTER(Table_BangLuong_TyLeTangCa[Tỷ lệ],
(Table_BangLuong_TyLeTangCa[Ngày] = AE$3) *
(Table_BangLuong_TyLeTangCa[Giờ min]&lt;=$AA22) *
(Table_BangLuong_TyLeTangCa[Giờ max]&gt;$AA22)
))))
),
IF(ISBLANK(AE$7),
IF(VLOOKUP(AE$6, Table_ChiPhiNV_Ca[], COUNTA(Table_ChiPhiNV_Ca[[#Headers],[Ca]:[Kết thúc]]),0)&gt; VLOOKUP(AE$6, Table_ChiPhiNV_Ca[], COUNTA(Table_ChiPhiNV_Ca[[#Headers],[Ca]:[Bắt đầu]]),0),
IF($AA22-$Z$4&lt;MAX(AE$4,VLOOKUP(AE$6, Table_ChiPhiNV_Ca[], COUNTA(Table_ChiPhiNV_Ca[[#Headers],[Ca]:[Bắt đầu]]),0)),0,
IF($AA22&gt;MIN(AE$5,VLOOKUP(AE$6, Table_ChiPhiNV_Ca[], COUNTA(Table_ChiPhiNV_Ca[[#Headers],[Ca]:[Kết thúc]]),0)),0,
SUM(_xlfn._xlws.FILTER(Table_BangLuong_TyLeTangCa[Tỷ lệ],
(Table_BangLuong_TyLeTangCa[Ngày] = "Thường") *
(Table_BangLuong_TyLeTangCa[Giờ min]&lt;=$AA22) *
(Table_BangLuong_TyLeTangCa[Giờ max]&gt;$AA22)
)))),
IF(AE$4 &gt; AE$5,
IF(
AND(
$AA22-$Z$4&lt;MAX(AE$4,VLOOKUP(AE$6, Table_ChiPhiNV_Ca[], COUNTA(Table_ChiPhiNV_Ca[[#Headers],[Ca]:[Bắt đầu]]),0)),
$AA22&gt;MIN(AE$5,VLOOKUP(AE$6, Table_ChiPhiNV_Ca[], COUNTA(Table_ChiPhiNV_Ca[[#Headers],[Ca]:[Kết thúc]]),0))),0,
SUM(_xlfn._xlws.FILTER(Table_BangLuong_TyLeTangCa[Tỷ lệ],
(Table_BangLuong_TyLeTangCa[Ngày] = "Thường") *
(Table_BangLuong_TyLeTangCa[Giờ min]&lt;=$AA22) *
(Table_BangLuong_TyLeTangCa[Giờ max]&gt;$AA22)
))),
IF(
AND(
$AA22-$Z$4&gt;=MAX(AE$4,VLOOKUP(AE$6, Table_ChiPhiNV_Ca[], COUNTA(Table_ChiPhiNV_Ca[[#Headers],[Ca]:[Bắt đầu]]),0)),
$AA22&lt;MIN(AE$5,VLOOKUP(AE$6, Table_ChiPhiNV_Ca[], COUNTA(Table_ChiPhiNV_Ca[[#Headers],[Ca]:[Kết thúc]]),0))),
SUM(_xlfn._xlws.FILTER(Table_BangLuong_TyLeTangCa[Tỷ lệ],
(Table_BangLuong_TyLeTangCa[Ngày] = "Thường") *
(Table_BangLuong_TyLeTangCa[Giờ min]&lt;=$AA22) *
(Table_BangLuong_TyLeTangCa[Giờ max]&gt;$AA22)
)),0)
)),
IF(AE$4 &lt; AE$5,
IF($AA22-$Z$4&lt;AE$4,0,
IF($AA22&gt;AE$5,0,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AE$5,$AA22 &lt; AE$4),0,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F22" s="18" cm="1">
        <f t="array" ref="AF22" xml:space="preserve">
IFERROR(
IF(AF$1="",0,
IF(AND(
$AA22&gt;=VLOOKUP(AF$6, Table_ChiPhiNV_Ca[], COUNTA(Table_ChiPhiNV_Ca[[#Headers],[Ca]:[Bắt đầu nghỉ]]),0),
$AA22&lt;VLOOKUP(AF$6, Table_ChiPhiNV_Ca[], COUNTA(Table_ChiPhiNV_Ca[[#Headers],[Ca]:[Kết thúc nghỉ]]),0)
),0,
IF(NOT(ISBLANK(AF$3)),
IF(ISBLANK(AF$7),0,
IF(AF$4 &lt; AF$5,
IF($AA22-$Z$4&lt;AF$4,0,
IF($AA22&gt;AF$5,0,
SUM(_xlfn._xlws.FILTER(Table_BangLuong_TyLeTangCa[Tỷ lệ],
(Table_BangLuong_TyLeTangCa[Ngày] = AF$3) *
(Table_BangLuong_TyLeTangCa[Giờ min]&lt;=$AA22) *
(Table_BangLuong_TyLeTangCa[Giờ max]&gt;$AA22)
)))),
IF(AND($AA22-$Z$4 &gt;= AF$5,$AA22 &lt; AF$4),0,
SUM(_xlfn._xlws.FILTER(Table_BangLuong_TyLeTangCa[Tỷ lệ],
(Table_BangLuong_TyLeTangCa[Ngày] = AF$3) *
(Table_BangLuong_TyLeTangCa[Giờ min]&lt;=$AA22) *
(Table_BangLuong_TyLeTangCa[Giờ max]&gt;$AA22)
))))
),
IF(ISBLANK(AF$7),
IF(VLOOKUP(AF$6, Table_ChiPhiNV_Ca[], COUNTA(Table_ChiPhiNV_Ca[[#Headers],[Ca]:[Kết thúc]]),0)&gt; VLOOKUP(AF$6, Table_ChiPhiNV_Ca[], COUNTA(Table_ChiPhiNV_Ca[[#Headers],[Ca]:[Bắt đầu]]),0),
IF($AA22-$Z$4&lt;MAX(AF$4,VLOOKUP(AF$6, Table_ChiPhiNV_Ca[], COUNTA(Table_ChiPhiNV_Ca[[#Headers],[Ca]:[Bắt đầu]]),0)),0,
IF($AA22&gt;MIN(AF$5,VLOOKUP(AF$6, Table_ChiPhiNV_Ca[], COUNTA(Table_ChiPhiNV_Ca[[#Headers],[Ca]:[Kết thúc]]),0)),0,
SUM(_xlfn._xlws.FILTER(Table_BangLuong_TyLeTangCa[Tỷ lệ],
(Table_BangLuong_TyLeTangCa[Ngày] = "Thường") *
(Table_BangLuong_TyLeTangCa[Giờ min]&lt;=$AA22) *
(Table_BangLuong_TyLeTangCa[Giờ max]&gt;$AA22)
)))),
IF(AF$4 &gt; AF$5,
IF(
AND(
$AA22-$Z$4&lt;MAX(AF$4,VLOOKUP(AF$6, Table_ChiPhiNV_Ca[], COUNTA(Table_ChiPhiNV_Ca[[#Headers],[Ca]:[Bắt đầu]]),0)),
$AA22&gt;MIN(AF$5,VLOOKUP(AF$6, Table_ChiPhiNV_Ca[], COUNTA(Table_ChiPhiNV_Ca[[#Headers],[Ca]:[Kết thúc]]),0))),0,
SUM(_xlfn._xlws.FILTER(Table_BangLuong_TyLeTangCa[Tỷ lệ],
(Table_BangLuong_TyLeTangCa[Ngày] = "Thường") *
(Table_BangLuong_TyLeTangCa[Giờ min]&lt;=$AA22) *
(Table_BangLuong_TyLeTangCa[Giờ max]&gt;$AA22)
))),
IF(
AND(
$AA22-$Z$4&gt;=MAX(AF$4,VLOOKUP(AF$6, Table_ChiPhiNV_Ca[], COUNTA(Table_ChiPhiNV_Ca[[#Headers],[Ca]:[Bắt đầu]]),0)),
$AA22&lt;MIN(AF$5,VLOOKUP(AF$6, Table_ChiPhiNV_Ca[], COUNTA(Table_ChiPhiNV_Ca[[#Headers],[Ca]:[Kết thúc]]),0))),
SUM(_xlfn._xlws.FILTER(Table_BangLuong_TyLeTangCa[Tỷ lệ],
(Table_BangLuong_TyLeTangCa[Ngày] = "Thường") *
(Table_BangLuong_TyLeTangCa[Giờ min]&lt;=$AA22) *
(Table_BangLuong_TyLeTangCa[Giờ max]&gt;$AA22)
)),0)
)),
IF(AF$4 &lt; AF$5,
IF($AA22-$Z$4&lt;AF$4,0,
IF($AA22&gt;AF$5,0,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AF$5,$AA22 &lt; AF$4),0,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G22" s="18" cm="1">
        <f t="array" ref="AG22" xml:space="preserve">
IFERROR(
IF(AG$1="",0,
IF(AND(
$AA22&gt;=VLOOKUP(AG$6, Table_ChiPhiNV_Ca[], COUNTA(Table_ChiPhiNV_Ca[[#Headers],[Ca]:[Bắt đầu nghỉ]]),0),
$AA22&lt;VLOOKUP(AG$6, Table_ChiPhiNV_Ca[], COUNTA(Table_ChiPhiNV_Ca[[#Headers],[Ca]:[Kết thúc nghỉ]]),0)
),0,
IF(NOT(ISBLANK(AG$3)),
IF(ISBLANK(AG$7),0,
IF(AG$4 &lt; AG$5,
IF($AA22-$Z$4&lt;AG$4,0,
IF($AA22&gt;AG$5,0,
SUM(_xlfn._xlws.FILTER(Table_BangLuong_TyLeTangCa[Tỷ lệ],
(Table_BangLuong_TyLeTangCa[Ngày] = AG$3) *
(Table_BangLuong_TyLeTangCa[Giờ min]&lt;=$AA22) *
(Table_BangLuong_TyLeTangCa[Giờ max]&gt;$AA22)
)))),
IF(AND($AA22-$Z$4 &gt;= AG$5,$AA22 &lt; AG$4),0,
SUM(_xlfn._xlws.FILTER(Table_BangLuong_TyLeTangCa[Tỷ lệ],
(Table_BangLuong_TyLeTangCa[Ngày] = AG$3) *
(Table_BangLuong_TyLeTangCa[Giờ min]&lt;=$AA22) *
(Table_BangLuong_TyLeTangCa[Giờ max]&gt;$AA22)
))))
),
IF(ISBLANK(AG$7),
IF(VLOOKUP(AG$6, Table_ChiPhiNV_Ca[], COUNTA(Table_ChiPhiNV_Ca[[#Headers],[Ca]:[Kết thúc]]),0)&gt; VLOOKUP(AG$6, Table_ChiPhiNV_Ca[], COUNTA(Table_ChiPhiNV_Ca[[#Headers],[Ca]:[Bắt đầu]]),0),
IF($AA22-$Z$4&lt;MAX(AG$4,VLOOKUP(AG$6, Table_ChiPhiNV_Ca[], COUNTA(Table_ChiPhiNV_Ca[[#Headers],[Ca]:[Bắt đầu]]),0)),0,
IF($AA22&gt;MIN(AG$5,VLOOKUP(AG$6, Table_ChiPhiNV_Ca[], COUNTA(Table_ChiPhiNV_Ca[[#Headers],[Ca]:[Kết thúc]]),0)),0,
SUM(_xlfn._xlws.FILTER(Table_BangLuong_TyLeTangCa[Tỷ lệ],
(Table_BangLuong_TyLeTangCa[Ngày] = "Thường") *
(Table_BangLuong_TyLeTangCa[Giờ min]&lt;=$AA22) *
(Table_BangLuong_TyLeTangCa[Giờ max]&gt;$AA22)
)))),
IF(AG$4 &gt; AG$5,
IF(
AND(
$AA22-$Z$4&lt;MAX(AG$4,VLOOKUP(AG$6, Table_ChiPhiNV_Ca[], COUNTA(Table_ChiPhiNV_Ca[[#Headers],[Ca]:[Bắt đầu]]),0)),
$AA22&gt;MIN(AG$5,VLOOKUP(AG$6, Table_ChiPhiNV_Ca[], COUNTA(Table_ChiPhiNV_Ca[[#Headers],[Ca]:[Kết thúc]]),0))),0,
SUM(_xlfn._xlws.FILTER(Table_BangLuong_TyLeTangCa[Tỷ lệ],
(Table_BangLuong_TyLeTangCa[Ngày] = "Thường") *
(Table_BangLuong_TyLeTangCa[Giờ min]&lt;=$AA22) *
(Table_BangLuong_TyLeTangCa[Giờ max]&gt;$AA22)
))),
IF(
AND(
$AA22-$Z$4&gt;=MAX(AG$4,VLOOKUP(AG$6, Table_ChiPhiNV_Ca[], COUNTA(Table_ChiPhiNV_Ca[[#Headers],[Ca]:[Bắt đầu]]),0)),
$AA22&lt;MIN(AG$5,VLOOKUP(AG$6, Table_ChiPhiNV_Ca[], COUNTA(Table_ChiPhiNV_Ca[[#Headers],[Ca]:[Kết thúc]]),0))),
SUM(_xlfn._xlws.FILTER(Table_BangLuong_TyLeTangCa[Tỷ lệ],
(Table_BangLuong_TyLeTangCa[Ngày] = "Thường") *
(Table_BangLuong_TyLeTangCa[Giờ min]&lt;=$AA22) *
(Table_BangLuong_TyLeTangCa[Giờ max]&gt;$AA22)
)),0)
)),
IF(AG$4 &lt; AG$5,
IF($AA22-$Z$4&lt;AG$4,0,
IF($AA22&gt;AG$5,0,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AG$5,$AA22 &lt; AG$4),0,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H22" s="18" cm="1">
        <f t="array" ref="AH22" xml:space="preserve">
IFERROR(
IF(AH$1="",0,
IF(AND(
$AA22&gt;=VLOOKUP(AH$6, Table_ChiPhiNV_Ca[], COUNTA(Table_ChiPhiNV_Ca[[#Headers],[Ca]:[Bắt đầu nghỉ]]),0),
$AA22&lt;VLOOKUP(AH$6, Table_ChiPhiNV_Ca[], COUNTA(Table_ChiPhiNV_Ca[[#Headers],[Ca]:[Kết thúc nghỉ]]),0)
),0,
IF(NOT(ISBLANK(AH$3)),
IF(ISBLANK(AH$7),0,
IF(AH$4 &lt; AH$5,
IF($AA22-$Z$4&lt;AH$4,0,
IF($AA22&gt;AH$5,0,
SUM(_xlfn._xlws.FILTER(Table_BangLuong_TyLeTangCa[Tỷ lệ],
(Table_BangLuong_TyLeTangCa[Ngày] = AH$3) *
(Table_BangLuong_TyLeTangCa[Giờ min]&lt;=$AA22) *
(Table_BangLuong_TyLeTangCa[Giờ max]&gt;$AA22)
)))),
IF(AND($AA22-$Z$4 &gt;= AH$5,$AA22 &lt; AH$4),0,
SUM(_xlfn._xlws.FILTER(Table_BangLuong_TyLeTangCa[Tỷ lệ],
(Table_BangLuong_TyLeTangCa[Ngày] = AH$3) *
(Table_BangLuong_TyLeTangCa[Giờ min]&lt;=$AA22) *
(Table_BangLuong_TyLeTangCa[Giờ max]&gt;$AA22)
))))
),
IF(ISBLANK(AH$7),
IF(VLOOKUP(AH$6, Table_ChiPhiNV_Ca[], COUNTA(Table_ChiPhiNV_Ca[[#Headers],[Ca]:[Kết thúc]]),0)&gt; VLOOKUP(AH$6, Table_ChiPhiNV_Ca[], COUNTA(Table_ChiPhiNV_Ca[[#Headers],[Ca]:[Bắt đầu]]),0),
IF($AA22-$Z$4&lt;MAX(AH$4,VLOOKUP(AH$6, Table_ChiPhiNV_Ca[], COUNTA(Table_ChiPhiNV_Ca[[#Headers],[Ca]:[Bắt đầu]]),0)),0,
IF($AA22&gt;MIN(AH$5,VLOOKUP(AH$6, Table_ChiPhiNV_Ca[], COUNTA(Table_ChiPhiNV_Ca[[#Headers],[Ca]:[Kết thúc]]),0)),0,
SUM(_xlfn._xlws.FILTER(Table_BangLuong_TyLeTangCa[Tỷ lệ],
(Table_BangLuong_TyLeTangCa[Ngày] = "Thường") *
(Table_BangLuong_TyLeTangCa[Giờ min]&lt;=$AA22) *
(Table_BangLuong_TyLeTangCa[Giờ max]&gt;$AA22)
)))),
IF(AH$4 &gt; AH$5,
IF(
AND(
$AA22-$Z$4&lt;MAX(AH$4,VLOOKUP(AH$6, Table_ChiPhiNV_Ca[], COUNTA(Table_ChiPhiNV_Ca[[#Headers],[Ca]:[Bắt đầu]]),0)),
$AA22&gt;MIN(AH$5,VLOOKUP(AH$6, Table_ChiPhiNV_Ca[], COUNTA(Table_ChiPhiNV_Ca[[#Headers],[Ca]:[Kết thúc]]),0))),0,
SUM(_xlfn._xlws.FILTER(Table_BangLuong_TyLeTangCa[Tỷ lệ],
(Table_BangLuong_TyLeTangCa[Ngày] = "Thường") *
(Table_BangLuong_TyLeTangCa[Giờ min]&lt;=$AA22) *
(Table_BangLuong_TyLeTangCa[Giờ max]&gt;$AA22)
))),
IF(
AND(
$AA22-$Z$4&gt;=MAX(AH$4,VLOOKUP(AH$6, Table_ChiPhiNV_Ca[], COUNTA(Table_ChiPhiNV_Ca[[#Headers],[Ca]:[Bắt đầu]]),0)),
$AA22&lt;MIN(AH$5,VLOOKUP(AH$6, Table_ChiPhiNV_Ca[], COUNTA(Table_ChiPhiNV_Ca[[#Headers],[Ca]:[Kết thúc]]),0))),
SUM(_xlfn._xlws.FILTER(Table_BangLuong_TyLeTangCa[Tỷ lệ],
(Table_BangLuong_TyLeTangCa[Ngày] = "Thường") *
(Table_BangLuong_TyLeTangCa[Giờ min]&lt;=$AA22) *
(Table_BangLuong_TyLeTangCa[Giờ max]&gt;$AA22)
)),0)
)),
IF(AH$4 &lt; AH$5,
IF($AA22-$Z$4&lt;AH$4,0,
IF($AA22&gt;AH$5,0,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AH$5,$AA22 &lt; AH$4),0,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I22" s="18" cm="1">
        <f t="array" ref="AI22" xml:space="preserve">
IFERROR(
IF(AI$1="",0,
IF(AND(
$AA22&gt;=VLOOKUP(AI$6, Table_ChiPhiNV_Ca[], COUNTA(Table_ChiPhiNV_Ca[[#Headers],[Ca]:[Bắt đầu nghỉ]]),0),
$AA22&lt;VLOOKUP(AI$6, Table_ChiPhiNV_Ca[], COUNTA(Table_ChiPhiNV_Ca[[#Headers],[Ca]:[Kết thúc nghỉ]]),0)
),0,
IF(NOT(ISBLANK(AI$3)),
IF(ISBLANK(AI$7),0,
IF(AI$4 &lt; AI$5,
IF($AA22-$Z$4&lt;AI$4,0,
IF($AA22&gt;AI$5,0,
SUM(_xlfn._xlws.FILTER(Table_BangLuong_TyLeTangCa[Tỷ lệ],
(Table_BangLuong_TyLeTangCa[Ngày] = AI$3) *
(Table_BangLuong_TyLeTangCa[Giờ min]&lt;=$AA22) *
(Table_BangLuong_TyLeTangCa[Giờ max]&gt;$AA22)
)))),
IF(AND($AA22-$Z$4 &gt;= AI$5,$AA22 &lt; AI$4),0,
SUM(_xlfn._xlws.FILTER(Table_BangLuong_TyLeTangCa[Tỷ lệ],
(Table_BangLuong_TyLeTangCa[Ngày] = AI$3) *
(Table_BangLuong_TyLeTangCa[Giờ min]&lt;=$AA22) *
(Table_BangLuong_TyLeTangCa[Giờ max]&gt;$AA22)
))))
),
IF(ISBLANK(AI$7),
IF(VLOOKUP(AI$6, Table_ChiPhiNV_Ca[], COUNTA(Table_ChiPhiNV_Ca[[#Headers],[Ca]:[Kết thúc]]),0)&gt; VLOOKUP(AI$6, Table_ChiPhiNV_Ca[], COUNTA(Table_ChiPhiNV_Ca[[#Headers],[Ca]:[Bắt đầu]]),0),
IF($AA22-$Z$4&lt;MAX(AI$4,VLOOKUP(AI$6, Table_ChiPhiNV_Ca[], COUNTA(Table_ChiPhiNV_Ca[[#Headers],[Ca]:[Bắt đầu]]),0)),0,
IF($AA22&gt;MIN(AI$5,VLOOKUP(AI$6, Table_ChiPhiNV_Ca[], COUNTA(Table_ChiPhiNV_Ca[[#Headers],[Ca]:[Kết thúc]]),0)),0,
SUM(_xlfn._xlws.FILTER(Table_BangLuong_TyLeTangCa[Tỷ lệ],
(Table_BangLuong_TyLeTangCa[Ngày] = "Thường") *
(Table_BangLuong_TyLeTangCa[Giờ min]&lt;=$AA22) *
(Table_BangLuong_TyLeTangCa[Giờ max]&gt;$AA22)
)))),
IF(AI$4 &gt; AI$5,
IF(
AND(
$AA22-$Z$4&lt;MAX(AI$4,VLOOKUP(AI$6, Table_ChiPhiNV_Ca[], COUNTA(Table_ChiPhiNV_Ca[[#Headers],[Ca]:[Bắt đầu]]),0)),
$AA22&gt;MIN(AI$5,VLOOKUP(AI$6, Table_ChiPhiNV_Ca[], COUNTA(Table_ChiPhiNV_Ca[[#Headers],[Ca]:[Kết thúc]]),0))),0,
SUM(_xlfn._xlws.FILTER(Table_BangLuong_TyLeTangCa[Tỷ lệ],
(Table_BangLuong_TyLeTangCa[Ngày] = "Thường") *
(Table_BangLuong_TyLeTangCa[Giờ min]&lt;=$AA22) *
(Table_BangLuong_TyLeTangCa[Giờ max]&gt;$AA22)
))),
IF(
AND(
$AA22-$Z$4&gt;=MAX(AI$4,VLOOKUP(AI$6, Table_ChiPhiNV_Ca[], COUNTA(Table_ChiPhiNV_Ca[[#Headers],[Ca]:[Bắt đầu]]),0)),
$AA22&lt;MIN(AI$5,VLOOKUP(AI$6, Table_ChiPhiNV_Ca[], COUNTA(Table_ChiPhiNV_Ca[[#Headers],[Ca]:[Kết thúc]]),0))),
SUM(_xlfn._xlws.FILTER(Table_BangLuong_TyLeTangCa[Tỷ lệ],
(Table_BangLuong_TyLeTangCa[Ngày] = "Thường") *
(Table_BangLuong_TyLeTangCa[Giờ min]&lt;=$AA22) *
(Table_BangLuong_TyLeTangCa[Giờ max]&gt;$AA22)
)),0)
)),
IF(AI$4 &lt; AI$5,
IF($AA22-$Z$4&lt;AI$4,0,
IF($AA22&gt;AI$5,0,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AI$5,$AA22 &lt; AI$4),0,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J22" s="18" cm="1">
        <f t="array" ref="AJ22" xml:space="preserve">
IFERROR(
IF(AJ$1="",0,
IF(AND(
$AA22&gt;=VLOOKUP(AJ$6, Table_ChiPhiNV_Ca[], COUNTA(Table_ChiPhiNV_Ca[[#Headers],[Ca]:[Bắt đầu nghỉ]]),0),
$AA22&lt;VLOOKUP(AJ$6, Table_ChiPhiNV_Ca[], COUNTA(Table_ChiPhiNV_Ca[[#Headers],[Ca]:[Kết thúc nghỉ]]),0)
),0,
IF(NOT(ISBLANK(AJ$3)),
IF(ISBLANK(AJ$7),0,
IF(AJ$4 &lt; AJ$5,
IF($AA22-$Z$4&lt;AJ$4,0,
IF($AA22&gt;AJ$5,0,
SUM(_xlfn._xlws.FILTER(Table_BangLuong_TyLeTangCa[Tỷ lệ],
(Table_BangLuong_TyLeTangCa[Ngày] = AJ$3) *
(Table_BangLuong_TyLeTangCa[Giờ min]&lt;=$AA22) *
(Table_BangLuong_TyLeTangCa[Giờ max]&gt;$AA22)
)))),
IF(AND($AA22-$Z$4 &gt;= AJ$5,$AA22 &lt; AJ$4),0,
SUM(_xlfn._xlws.FILTER(Table_BangLuong_TyLeTangCa[Tỷ lệ],
(Table_BangLuong_TyLeTangCa[Ngày] = AJ$3) *
(Table_BangLuong_TyLeTangCa[Giờ min]&lt;=$AA22) *
(Table_BangLuong_TyLeTangCa[Giờ max]&gt;$AA22)
))))
),
IF(ISBLANK(AJ$7),
IF(VLOOKUP(AJ$6, Table_ChiPhiNV_Ca[], COUNTA(Table_ChiPhiNV_Ca[[#Headers],[Ca]:[Kết thúc]]),0)&gt; VLOOKUP(AJ$6, Table_ChiPhiNV_Ca[], COUNTA(Table_ChiPhiNV_Ca[[#Headers],[Ca]:[Bắt đầu]]),0),
IF($AA22-$Z$4&lt;MAX(AJ$4,VLOOKUP(AJ$6, Table_ChiPhiNV_Ca[], COUNTA(Table_ChiPhiNV_Ca[[#Headers],[Ca]:[Bắt đầu]]),0)),0,
IF($AA22&gt;MIN(AJ$5,VLOOKUP(AJ$6, Table_ChiPhiNV_Ca[], COUNTA(Table_ChiPhiNV_Ca[[#Headers],[Ca]:[Kết thúc]]),0)),0,
SUM(_xlfn._xlws.FILTER(Table_BangLuong_TyLeTangCa[Tỷ lệ],
(Table_BangLuong_TyLeTangCa[Ngày] = "Thường") *
(Table_BangLuong_TyLeTangCa[Giờ min]&lt;=$AA22) *
(Table_BangLuong_TyLeTangCa[Giờ max]&gt;$AA22)
)))),
IF(AJ$4 &gt; AJ$5,
IF(
AND(
$AA22-$Z$4&lt;MAX(AJ$4,VLOOKUP(AJ$6, Table_ChiPhiNV_Ca[], COUNTA(Table_ChiPhiNV_Ca[[#Headers],[Ca]:[Bắt đầu]]),0)),
$AA22&gt;MIN(AJ$5,VLOOKUP(AJ$6, Table_ChiPhiNV_Ca[], COUNTA(Table_ChiPhiNV_Ca[[#Headers],[Ca]:[Kết thúc]]),0))),0,
SUM(_xlfn._xlws.FILTER(Table_BangLuong_TyLeTangCa[Tỷ lệ],
(Table_BangLuong_TyLeTangCa[Ngày] = "Thường") *
(Table_BangLuong_TyLeTangCa[Giờ min]&lt;=$AA22) *
(Table_BangLuong_TyLeTangCa[Giờ max]&gt;$AA22)
))),
IF(
AND(
$AA22-$Z$4&gt;=MAX(AJ$4,VLOOKUP(AJ$6, Table_ChiPhiNV_Ca[], COUNTA(Table_ChiPhiNV_Ca[[#Headers],[Ca]:[Bắt đầu]]),0)),
$AA22&lt;MIN(AJ$5,VLOOKUP(AJ$6, Table_ChiPhiNV_Ca[], COUNTA(Table_ChiPhiNV_Ca[[#Headers],[Ca]:[Kết thúc]]),0))),
SUM(_xlfn._xlws.FILTER(Table_BangLuong_TyLeTangCa[Tỷ lệ],
(Table_BangLuong_TyLeTangCa[Ngày] = "Thường") *
(Table_BangLuong_TyLeTangCa[Giờ min]&lt;=$AA22) *
(Table_BangLuong_TyLeTangCa[Giờ max]&gt;$AA22)
)),0)
)),
IF(AJ$4 &lt; AJ$5,
IF($AA22-$Z$4&lt;AJ$4,0,
IF($AA22&gt;AJ$5,0,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AJ$5,$AA22 &lt; AJ$4),0,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K22" s="18" cm="1">
        <f t="array" ref="AK22" xml:space="preserve">
IFERROR(
IF(AK$1="",0,
IF(AND(
$AA22&gt;=VLOOKUP(AK$6, Table_ChiPhiNV_Ca[], COUNTA(Table_ChiPhiNV_Ca[[#Headers],[Ca]:[Bắt đầu nghỉ]]),0),
$AA22&lt;VLOOKUP(AK$6, Table_ChiPhiNV_Ca[], COUNTA(Table_ChiPhiNV_Ca[[#Headers],[Ca]:[Kết thúc nghỉ]]),0)
),0,
IF(NOT(ISBLANK(AK$3)),
IF(ISBLANK(AK$7),0,
IF(AK$4 &lt; AK$5,
IF($AA22-$Z$4&lt;AK$4,0,
IF($AA22&gt;AK$5,0,
SUM(_xlfn._xlws.FILTER(Table_BangLuong_TyLeTangCa[Tỷ lệ],
(Table_BangLuong_TyLeTangCa[Ngày] = AK$3) *
(Table_BangLuong_TyLeTangCa[Giờ min]&lt;=$AA22) *
(Table_BangLuong_TyLeTangCa[Giờ max]&gt;$AA22)
)))),
IF(AND($AA22-$Z$4 &gt;= AK$5,$AA22 &lt; AK$4),0,
SUM(_xlfn._xlws.FILTER(Table_BangLuong_TyLeTangCa[Tỷ lệ],
(Table_BangLuong_TyLeTangCa[Ngày] = AK$3) *
(Table_BangLuong_TyLeTangCa[Giờ min]&lt;=$AA22) *
(Table_BangLuong_TyLeTangCa[Giờ max]&gt;$AA22)
))))
),
IF(ISBLANK(AK$7),
IF(VLOOKUP(AK$6, Table_ChiPhiNV_Ca[], COUNTA(Table_ChiPhiNV_Ca[[#Headers],[Ca]:[Kết thúc]]),0)&gt; VLOOKUP(AK$6, Table_ChiPhiNV_Ca[], COUNTA(Table_ChiPhiNV_Ca[[#Headers],[Ca]:[Bắt đầu]]),0),
IF($AA22-$Z$4&lt;MAX(AK$4,VLOOKUP(AK$6, Table_ChiPhiNV_Ca[], COUNTA(Table_ChiPhiNV_Ca[[#Headers],[Ca]:[Bắt đầu]]),0)),0,
IF($AA22&gt;MIN(AK$5,VLOOKUP(AK$6, Table_ChiPhiNV_Ca[], COUNTA(Table_ChiPhiNV_Ca[[#Headers],[Ca]:[Kết thúc]]),0)),0,
SUM(_xlfn._xlws.FILTER(Table_BangLuong_TyLeTangCa[Tỷ lệ],
(Table_BangLuong_TyLeTangCa[Ngày] = "Thường") *
(Table_BangLuong_TyLeTangCa[Giờ min]&lt;=$AA22) *
(Table_BangLuong_TyLeTangCa[Giờ max]&gt;$AA22)
)))),
IF(AK$4 &gt; AK$5,
IF(
AND(
$AA22-$Z$4&lt;MAX(AK$4,VLOOKUP(AK$6, Table_ChiPhiNV_Ca[], COUNTA(Table_ChiPhiNV_Ca[[#Headers],[Ca]:[Bắt đầu]]),0)),
$AA22&gt;MIN(AK$5,VLOOKUP(AK$6, Table_ChiPhiNV_Ca[], COUNTA(Table_ChiPhiNV_Ca[[#Headers],[Ca]:[Kết thúc]]),0))),0,
SUM(_xlfn._xlws.FILTER(Table_BangLuong_TyLeTangCa[Tỷ lệ],
(Table_BangLuong_TyLeTangCa[Ngày] = "Thường") *
(Table_BangLuong_TyLeTangCa[Giờ min]&lt;=$AA22) *
(Table_BangLuong_TyLeTangCa[Giờ max]&gt;$AA22)
))),
IF(
AND(
$AA22-$Z$4&gt;=MAX(AK$4,VLOOKUP(AK$6, Table_ChiPhiNV_Ca[], COUNTA(Table_ChiPhiNV_Ca[[#Headers],[Ca]:[Bắt đầu]]),0)),
$AA22&lt;MIN(AK$5,VLOOKUP(AK$6, Table_ChiPhiNV_Ca[], COUNTA(Table_ChiPhiNV_Ca[[#Headers],[Ca]:[Kết thúc]]),0))),
SUM(_xlfn._xlws.FILTER(Table_BangLuong_TyLeTangCa[Tỷ lệ],
(Table_BangLuong_TyLeTangCa[Ngày] = "Thường") *
(Table_BangLuong_TyLeTangCa[Giờ min]&lt;=$AA22) *
(Table_BangLuong_TyLeTangCa[Giờ max]&gt;$AA22)
)),0)
)),
IF(AK$4 &lt; AK$5,
IF($AA22-$Z$4&lt;AK$4,0,
IF($AA22&gt;AK$5,0,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AK$5,$AA22 &lt; AK$4),0,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L22" s="18" cm="1">
        <f t="array" ref="AL22" xml:space="preserve">
IFERROR(
IF(AL$1="",0,
IF(AND(
$AA22&gt;=VLOOKUP(AL$6, Table_ChiPhiNV_Ca[], COUNTA(Table_ChiPhiNV_Ca[[#Headers],[Ca]:[Bắt đầu nghỉ]]),0),
$AA22&lt;VLOOKUP(AL$6, Table_ChiPhiNV_Ca[], COUNTA(Table_ChiPhiNV_Ca[[#Headers],[Ca]:[Kết thúc nghỉ]]),0)
),0,
IF(NOT(ISBLANK(AL$3)),
IF(ISBLANK(AL$7),0,
IF(AL$4 &lt; AL$5,
IF($AA22-$Z$4&lt;AL$4,0,
IF($AA22&gt;AL$5,0,
SUM(_xlfn._xlws.FILTER(Table_BangLuong_TyLeTangCa[Tỷ lệ],
(Table_BangLuong_TyLeTangCa[Ngày] = AL$3) *
(Table_BangLuong_TyLeTangCa[Giờ min]&lt;=$AA22) *
(Table_BangLuong_TyLeTangCa[Giờ max]&gt;$AA22)
)))),
IF(AND($AA22-$Z$4 &gt;= AL$5,$AA22 &lt; AL$4),0,
SUM(_xlfn._xlws.FILTER(Table_BangLuong_TyLeTangCa[Tỷ lệ],
(Table_BangLuong_TyLeTangCa[Ngày] = AL$3) *
(Table_BangLuong_TyLeTangCa[Giờ min]&lt;=$AA22) *
(Table_BangLuong_TyLeTangCa[Giờ max]&gt;$AA22)
))))
),
IF(ISBLANK(AL$7),
IF(VLOOKUP(AL$6, Table_ChiPhiNV_Ca[], COUNTA(Table_ChiPhiNV_Ca[[#Headers],[Ca]:[Kết thúc]]),0)&gt; VLOOKUP(AL$6, Table_ChiPhiNV_Ca[], COUNTA(Table_ChiPhiNV_Ca[[#Headers],[Ca]:[Bắt đầu]]),0),
IF($AA22-$Z$4&lt;MAX(AL$4,VLOOKUP(AL$6, Table_ChiPhiNV_Ca[], COUNTA(Table_ChiPhiNV_Ca[[#Headers],[Ca]:[Bắt đầu]]),0)),0,
IF($AA22&gt;MIN(AL$5,VLOOKUP(AL$6, Table_ChiPhiNV_Ca[], COUNTA(Table_ChiPhiNV_Ca[[#Headers],[Ca]:[Kết thúc]]),0)),0,
SUM(_xlfn._xlws.FILTER(Table_BangLuong_TyLeTangCa[Tỷ lệ],
(Table_BangLuong_TyLeTangCa[Ngày] = "Thường") *
(Table_BangLuong_TyLeTangCa[Giờ min]&lt;=$AA22) *
(Table_BangLuong_TyLeTangCa[Giờ max]&gt;$AA22)
)))),
IF(AL$4 &gt; AL$5,
IF(
AND(
$AA22-$Z$4&lt;MAX(AL$4,VLOOKUP(AL$6, Table_ChiPhiNV_Ca[], COUNTA(Table_ChiPhiNV_Ca[[#Headers],[Ca]:[Bắt đầu]]),0)),
$AA22&gt;MIN(AL$5,VLOOKUP(AL$6, Table_ChiPhiNV_Ca[], COUNTA(Table_ChiPhiNV_Ca[[#Headers],[Ca]:[Kết thúc]]),0))),0,
SUM(_xlfn._xlws.FILTER(Table_BangLuong_TyLeTangCa[Tỷ lệ],
(Table_BangLuong_TyLeTangCa[Ngày] = "Thường") *
(Table_BangLuong_TyLeTangCa[Giờ min]&lt;=$AA22) *
(Table_BangLuong_TyLeTangCa[Giờ max]&gt;$AA22)
))),
IF(
AND(
$AA22-$Z$4&gt;=MAX(AL$4,VLOOKUP(AL$6, Table_ChiPhiNV_Ca[], COUNTA(Table_ChiPhiNV_Ca[[#Headers],[Ca]:[Bắt đầu]]),0)),
$AA22&lt;MIN(AL$5,VLOOKUP(AL$6, Table_ChiPhiNV_Ca[], COUNTA(Table_ChiPhiNV_Ca[[#Headers],[Ca]:[Kết thúc]]),0))),
SUM(_xlfn._xlws.FILTER(Table_BangLuong_TyLeTangCa[Tỷ lệ],
(Table_BangLuong_TyLeTangCa[Ngày] = "Thường") *
(Table_BangLuong_TyLeTangCa[Giờ min]&lt;=$AA22) *
(Table_BangLuong_TyLeTangCa[Giờ max]&gt;$AA22)
)),0)
)),
IF(AL$4 &lt; AL$5,
IF($AA22-$Z$4&lt;AL$4,0,
IF($AA22&gt;AL$5,0,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AL$5,$AA22 &lt; AL$4),0,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M22" s="18" cm="1">
        <f t="array" ref="AM22" xml:space="preserve">
IFERROR(
IF(AM$1="",0,
IF(AND(
$AA22&gt;=VLOOKUP(AM$6, Table_ChiPhiNV_Ca[], COUNTA(Table_ChiPhiNV_Ca[[#Headers],[Ca]:[Bắt đầu nghỉ]]),0),
$AA22&lt;VLOOKUP(AM$6, Table_ChiPhiNV_Ca[], COUNTA(Table_ChiPhiNV_Ca[[#Headers],[Ca]:[Kết thúc nghỉ]]),0)
),0,
IF(NOT(ISBLANK(AM$3)),
IF(ISBLANK(AM$7),0,
IF(AM$4 &lt; AM$5,
IF($AA22-$Z$4&lt;AM$4,0,
IF($AA22&gt;AM$5,0,
SUM(_xlfn._xlws.FILTER(Table_BangLuong_TyLeTangCa[Tỷ lệ],
(Table_BangLuong_TyLeTangCa[Ngày] = AM$3) *
(Table_BangLuong_TyLeTangCa[Giờ min]&lt;=$AA22) *
(Table_BangLuong_TyLeTangCa[Giờ max]&gt;$AA22)
)))),
IF(AND($AA22-$Z$4 &gt;= AM$5,$AA22 &lt; AM$4),0,
SUM(_xlfn._xlws.FILTER(Table_BangLuong_TyLeTangCa[Tỷ lệ],
(Table_BangLuong_TyLeTangCa[Ngày] = AM$3) *
(Table_BangLuong_TyLeTangCa[Giờ min]&lt;=$AA22) *
(Table_BangLuong_TyLeTangCa[Giờ max]&gt;$AA22)
))))
),
IF(ISBLANK(AM$7),
IF(VLOOKUP(AM$6, Table_ChiPhiNV_Ca[], COUNTA(Table_ChiPhiNV_Ca[[#Headers],[Ca]:[Kết thúc]]),0)&gt; VLOOKUP(AM$6, Table_ChiPhiNV_Ca[], COUNTA(Table_ChiPhiNV_Ca[[#Headers],[Ca]:[Bắt đầu]]),0),
IF($AA22-$Z$4&lt;MAX(AM$4,VLOOKUP(AM$6, Table_ChiPhiNV_Ca[], COUNTA(Table_ChiPhiNV_Ca[[#Headers],[Ca]:[Bắt đầu]]),0)),0,
IF($AA22&gt;MIN(AM$5,VLOOKUP(AM$6, Table_ChiPhiNV_Ca[], COUNTA(Table_ChiPhiNV_Ca[[#Headers],[Ca]:[Kết thúc]]),0)),0,
SUM(_xlfn._xlws.FILTER(Table_BangLuong_TyLeTangCa[Tỷ lệ],
(Table_BangLuong_TyLeTangCa[Ngày] = "Thường") *
(Table_BangLuong_TyLeTangCa[Giờ min]&lt;=$AA22) *
(Table_BangLuong_TyLeTangCa[Giờ max]&gt;$AA22)
)))),
IF(AM$4 &gt; AM$5,
IF(
AND(
$AA22-$Z$4&lt;MAX(AM$4,VLOOKUP(AM$6, Table_ChiPhiNV_Ca[], COUNTA(Table_ChiPhiNV_Ca[[#Headers],[Ca]:[Bắt đầu]]),0)),
$AA22&gt;MIN(AM$5,VLOOKUP(AM$6, Table_ChiPhiNV_Ca[], COUNTA(Table_ChiPhiNV_Ca[[#Headers],[Ca]:[Kết thúc]]),0))),0,
SUM(_xlfn._xlws.FILTER(Table_BangLuong_TyLeTangCa[Tỷ lệ],
(Table_BangLuong_TyLeTangCa[Ngày] = "Thường") *
(Table_BangLuong_TyLeTangCa[Giờ min]&lt;=$AA22) *
(Table_BangLuong_TyLeTangCa[Giờ max]&gt;$AA22)
))),
IF(
AND(
$AA22-$Z$4&gt;=MAX(AM$4,VLOOKUP(AM$6, Table_ChiPhiNV_Ca[], COUNTA(Table_ChiPhiNV_Ca[[#Headers],[Ca]:[Bắt đầu]]),0)),
$AA22&lt;MIN(AM$5,VLOOKUP(AM$6, Table_ChiPhiNV_Ca[], COUNTA(Table_ChiPhiNV_Ca[[#Headers],[Ca]:[Kết thúc]]),0))),
SUM(_xlfn._xlws.FILTER(Table_BangLuong_TyLeTangCa[Tỷ lệ],
(Table_BangLuong_TyLeTangCa[Ngày] = "Thường") *
(Table_BangLuong_TyLeTangCa[Giờ min]&lt;=$AA22) *
(Table_BangLuong_TyLeTangCa[Giờ max]&gt;$AA22)
)),0)
)),
IF(AM$4 &lt; AM$5,
IF($AA22-$Z$4&lt;AM$4,0,
IF($AA22&gt;AM$5,0,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AM$5,$AA22 &lt; AM$4),0,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N22" s="18" cm="1">
        <f t="array" ref="AN22" xml:space="preserve">
IFERROR(
IF(AN$1="",0,
IF(AND(
$AA22&gt;=VLOOKUP(AN$6, Table_ChiPhiNV_Ca[], COUNTA(Table_ChiPhiNV_Ca[[#Headers],[Ca]:[Bắt đầu nghỉ]]),0),
$AA22&lt;VLOOKUP(AN$6, Table_ChiPhiNV_Ca[], COUNTA(Table_ChiPhiNV_Ca[[#Headers],[Ca]:[Kết thúc nghỉ]]),0)
),0,
IF(NOT(ISBLANK(AN$3)),
IF(ISBLANK(AN$7),0,
IF(AN$4 &lt; AN$5,
IF($AA22-$Z$4&lt;AN$4,0,
IF($AA22&gt;AN$5,0,
SUM(_xlfn._xlws.FILTER(Table_BangLuong_TyLeTangCa[Tỷ lệ],
(Table_BangLuong_TyLeTangCa[Ngày] = AN$3) *
(Table_BangLuong_TyLeTangCa[Giờ min]&lt;=$AA22) *
(Table_BangLuong_TyLeTangCa[Giờ max]&gt;$AA22)
)))),
IF(AND($AA22-$Z$4 &gt;= AN$5,$AA22 &lt; AN$4),0,
SUM(_xlfn._xlws.FILTER(Table_BangLuong_TyLeTangCa[Tỷ lệ],
(Table_BangLuong_TyLeTangCa[Ngày] = AN$3) *
(Table_BangLuong_TyLeTangCa[Giờ min]&lt;=$AA22) *
(Table_BangLuong_TyLeTangCa[Giờ max]&gt;$AA22)
))))
),
IF(ISBLANK(AN$7),
IF(VLOOKUP(AN$6, Table_ChiPhiNV_Ca[], COUNTA(Table_ChiPhiNV_Ca[[#Headers],[Ca]:[Kết thúc]]),0)&gt; VLOOKUP(AN$6, Table_ChiPhiNV_Ca[], COUNTA(Table_ChiPhiNV_Ca[[#Headers],[Ca]:[Bắt đầu]]),0),
IF($AA22-$Z$4&lt;MAX(AN$4,VLOOKUP(AN$6, Table_ChiPhiNV_Ca[], COUNTA(Table_ChiPhiNV_Ca[[#Headers],[Ca]:[Bắt đầu]]),0)),0,
IF($AA22&gt;MIN(AN$5,VLOOKUP(AN$6, Table_ChiPhiNV_Ca[], COUNTA(Table_ChiPhiNV_Ca[[#Headers],[Ca]:[Kết thúc]]),0)),0,
SUM(_xlfn._xlws.FILTER(Table_BangLuong_TyLeTangCa[Tỷ lệ],
(Table_BangLuong_TyLeTangCa[Ngày] = "Thường") *
(Table_BangLuong_TyLeTangCa[Giờ min]&lt;=$AA22) *
(Table_BangLuong_TyLeTangCa[Giờ max]&gt;$AA22)
)))),
IF(AN$4 &gt; AN$5,
IF(
AND(
$AA22-$Z$4&lt;MAX(AN$4,VLOOKUP(AN$6, Table_ChiPhiNV_Ca[], COUNTA(Table_ChiPhiNV_Ca[[#Headers],[Ca]:[Bắt đầu]]),0)),
$AA22&gt;MIN(AN$5,VLOOKUP(AN$6, Table_ChiPhiNV_Ca[], COUNTA(Table_ChiPhiNV_Ca[[#Headers],[Ca]:[Kết thúc]]),0))),0,
SUM(_xlfn._xlws.FILTER(Table_BangLuong_TyLeTangCa[Tỷ lệ],
(Table_BangLuong_TyLeTangCa[Ngày] = "Thường") *
(Table_BangLuong_TyLeTangCa[Giờ min]&lt;=$AA22) *
(Table_BangLuong_TyLeTangCa[Giờ max]&gt;$AA22)
))),
IF(
AND(
$AA22-$Z$4&gt;=MAX(AN$4,VLOOKUP(AN$6, Table_ChiPhiNV_Ca[], COUNTA(Table_ChiPhiNV_Ca[[#Headers],[Ca]:[Bắt đầu]]),0)),
$AA22&lt;MIN(AN$5,VLOOKUP(AN$6, Table_ChiPhiNV_Ca[], COUNTA(Table_ChiPhiNV_Ca[[#Headers],[Ca]:[Kết thúc]]),0))),
SUM(_xlfn._xlws.FILTER(Table_BangLuong_TyLeTangCa[Tỷ lệ],
(Table_BangLuong_TyLeTangCa[Ngày] = "Thường") *
(Table_BangLuong_TyLeTangCa[Giờ min]&lt;=$AA22) *
(Table_BangLuong_TyLeTangCa[Giờ max]&gt;$AA22)
)),0)
)),
IF(AN$4 &lt; AN$5,
IF($AA22-$Z$4&lt;AN$4,0,
IF($AA22&gt;AN$5,0,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AN$5,$AA22 &lt; AN$4),0,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O22" s="18" cm="1">
        <f t="array" ref="AO22" xml:space="preserve">
IFERROR(
IF(AO$1="",0,
IF(AND(
$AA22&gt;=VLOOKUP(AO$6, Table_ChiPhiNV_Ca[], COUNTA(Table_ChiPhiNV_Ca[[#Headers],[Ca]:[Bắt đầu nghỉ]]),0),
$AA22&lt;VLOOKUP(AO$6, Table_ChiPhiNV_Ca[], COUNTA(Table_ChiPhiNV_Ca[[#Headers],[Ca]:[Kết thúc nghỉ]]),0)
),0,
IF(NOT(ISBLANK(AO$3)),
IF(ISBLANK(AO$7),0,
IF(AO$4 &lt; AO$5,
IF($AA22-$Z$4&lt;AO$4,0,
IF($AA22&gt;AO$5,0,
SUM(_xlfn._xlws.FILTER(Table_BangLuong_TyLeTangCa[Tỷ lệ],
(Table_BangLuong_TyLeTangCa[Ngày] = AO$3) *
(Table_BangLuong_TyLeTangCa[Giờ min]&lt;=$AA22) *
(Table_BangLuong_TyLeTangCa[Giờ max]&gt;$AA22)
)))),
IF(AND($AA22-$Z$4 &gt;= AO$5,$AA22 &lt; AO$4),0,
SUM(_xlfn._xlws.FILTER(Table_BangLuong_TyLeTangCa[Tỷ lệ],
(Table_BangLuong_TyLeTangCa[Ngày] = AO$3) *
(Table_BangLuong_TyLeTangCa[Giờ min]&lt;=$AA22) *
(Table_BangLuong_TyLeTangCa[Giờ max]&gt;$AA22)
))))
),
IF(ISBLANK(AO$7),
IF(VLOOKUP(AO$6, Table_ChiPhiNV_Ca[], COUNTA(Table_ChiPhiNV_Ca[[#Headers],[Ca]:[Kết thúc]]),0)&gt; VLOOKUP(AO$6, Table_ChiPhiNV_Ca[], COUNTA(Table_ChiPhiNV_Ca[[#Headers],[Ca]:[Bắt đầu]]),0),
IF($AA22-$Z$4&lt;MAX(AO$4,VLOOKUP(AO$6, Table_ChiPhiNV_Ca[], COUNTA(Table_ChiPhiNV_Ca[[#Headers],[Ca]:[Bắt đầu]]),0)),0,
IF($AA22&gt;MIN(AO$5,VLOOKUP(AO$6, Table_ChiPhiNV_Ca[], COUNTA(Table_ChiPhiNV_Ca[[#Headers],[Ca]:[Kết thúc]]),0)),0,
SUM(_xlfn._xlws.FILTER(Table_BangLuong_TyLeTangCa[Tỷ lệ],
(Table_BangLuong_TyLeTangCa[Ngày] = "Thường") *
(Table_BangLuong_TyLeTangCa[Giờ min]&lt;=$AA22) *
(Table_BangLuong_TyLeTangCa[Giờ max]&gt;$AA22)
)))),
IF(AO$4 &gt; AO$5,
IF(
AND(
$AA22-$Z$4&lt;MAX(AO$4,VLOOKUP(AO$6, Table_ChiPhiNV_Ca[], COUNTA(Table_ChiPhiNV_Ca[[#Headers],[Ca]:[Bắt đầu]]),0)),
$AA22&gt;MIN(AO$5,VLOOKUP(AO$6, Table_ChiPhiNV_Ca[], COUNTA(Table_ChiPhiNV_Ca[[#Headers],[Ca]:[Kết thúc]]),0))),0,
SUM(_xlfn._xlws.FILTER(Table_BangLuong_TyLeTangCa[Tỷ lệ],
(Table_BangLuong_TyLeTangCa[Ngày] = "Thường") *
(Table_BangLuong_TyLeTangCa[Giờ min]&lt;=$AA22) *
(Table_BangLuong_TyLeTangCa[Giờ max]&gt;$AA22)
))),
IF(
AND(
$AA22-$Z$4&gt;=MAX(AO$4,VLOOKUP(AO$6, Table_ChiPhiNV_Ca[], COUNTA(Table_ChiPhiNV_Ca[[#Headers],[Ca]:[Bắt đầu]]),0)),
$AA22&lt;MIN(AO$5,VLOOKUP(AO$6, Table_ChiPhiNV_Ca[], COUNTA(Table_ChiPhiNV_Ca[[#Headers],[Ca]:[Kết thúc]]),0))),
SUM(_xlfn._xlws.FILTER(Table_BangLuong_TyLeTangCa[Tỷ lệ],
(Table_BangLuong_TyLeTangCa[Ngày] = "Thường") *
(Table_BangLuong_TyLeTangCa[Giờ min]&lt;=$AA22) *
(Table_BangLuong_TyLeTangCa[Giờ max]&gt;$AA22)
)),0)
)),
IF(AO$4 &lt; AO$5,
IF($AA22-$Z$4&lt;AO$4,0,
IF($AA22&gt;AO$5,0,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AO$5,$AA22 &lt; AO$4),0,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P22" s="18" cm="1">
        <f t="array" ref="AP22" xml:space="preserve">
IFERROR(
IF(AP$1="",0,
IF(AND(
$AA22&gt;=VLOOKUP(AP$6, Table_ChiPhiNV_Ca[], COUNTA(Table_ChiPhiNV_Ca[[#Headers],[Ca]:[Bắt đầu nghỉ]]),0),
$AA22&lt;VLOOKUP(AP$6, Table_ChiPhiNV_Ca[], COUNTA(Table_ChiPhiNV_Ca[[#Headers],[Ca]:[Kết thúc nghỉ]]),0)
),0,
IF(NOT(ISBLANK(AP$3)),
IF(ISBLANK(AP$7),0,
IF(AP$4 &lt; AP$5,
IF($AA22-$Z$4&lt;AP$4,0,
IF($AA22&gt;AP$5,0,
SUM(_xlfn._xlws.FILTER(Table_BangLuong_TyLeTangCa[Tỷ lệ],
(Table_BangLuong_TyLeTangCa[Ngày] = AP$3) *
(Table_BangLuong_TyLeTangCa[Giờ min]&lt;=$AA22) *
(Table_BangLuong_TyLeTangCa[Giờ max]&gt;$AA22)
)))),
IF(AND($AA22-$Z$4 &gt;= AP$5,$AA22 &lt; AP$4),0,
SUM(_xlfn._xlws.FILTER(Table_BangLuong_TyLeTangCa[Tỷ lệ],
(Table_BangLuong_TyLeTangCa[Ngày] = AP$3) *
(Table_BangLuong_TyLeTangCa[Giờ min]&lt;=$AA22) *
(Table_BangLuong_TyLeTangCa[Giờ max]&gt;$AA22)
))))
),
IF(ISBLANK(AP$7),
IF(VLOOKUP(AP$6, Table_ChiPhiNV_Ca[], COUNTA(Table_ChiPhiNV_Ca[[#Headers],[Ca]:[Kết thúc]]),0)&gt; VLOOKUP(AP$6, Table_ChiPhiNV_Ca[], COUNTA(Table_ChiPhiNV_Ca[[#Headers],[Ca]:[Bắt đầu]]),0),
IF($AA22-$Z$4&lt;MAX(AP$4,VLOOKUP(AP$6, Table_ChiPhiNV_Ca[], COUNTA(Table_ChiPhiNV_Ca[[#Headers],[Ca]:[Bắt đầu]]),0)),0,
IF($AA22&gt;MIN(AP$5,VLOOKUP(AP$6, Table_ChiPhiNV_Ca[], COUNTA(Table_ChiPhiNV_Ca[[#Headers],[Ca]:[Kết thúc]]),0)),0,
SUM(_xlfn._xlws.FILTER(Table_BangLuong_TyLeTangCa[Tỷ lệ],
(Table_BangLuong_TyLeTangCa[Ngày] = "Thường") *
(Table_BangLuong_TyLeTangCa[Giờ min]&lt;=$AA22) *
(Table_BangLuong_TyLeTangCa[Giờ max]&gt;$AA22)
)))),
IF(AP$4 &gt; AP$5,
IF(
AND(
$AA22-$Z$4&lt;MAX(AP$4,VLOOKUP(AP$6, Table_ChiPhiNV_Ca[], COUNTA(Table_ChiPhiNV_Ca[[#Headers],[Ca]:[Bắt đầu]]),0)),
$AA22&gt;MIN(AP$5,VLOOKUP(AP$6, Table_ChiPhiNV_Ca[], COUNTA(Table_ChiPhiNV_Ca[[#Headers],[Ca]:[Kết thúc]]),0))),0,
SUM(_xlfn._xlws.FILTER(Table_BangLuong_TyLeTangCa[Tỷ lệ],
(Table_BangLuong_TyLeTangCa[Ngày] = "Thường") *
(Table_BangLuong_TyLeTangCa[Giờ min]&lt;=$AA22) *
(Table_BangLuong_TyLeTangCa[Giờ max]&gt;$AA22)
))),
IF(
AND(
$AA22-$Z$4&gt;=MAX(AP$4,VLOOKUP(AP$6, Table_ChiPhiNV_Ca[], COUNTA(Table_ChiPhiNV_Ca[[#Headers],[Ca]:[Bắt đầu]]),0)),
$AA22&lt;MIN(AP$5,VLOOKUP(AP$6, Table_ChiPhiNV_Ca[], COUNTA(Table_ChiPhiNV_Ca[[#Headers],[Ca]:[Kết thúc]]),0))),
SUM(_xlfn._xlws.FILTER(Table_BangLuong_TyLeTangCa[Tỷ lệ],
(Table_BangLuong_TyLeTangCa[Ngày] = "Thường") *
(Table_BangLuong_TyLeTangCa[Giờ min]&lt;=$AA22) *
(Table_BangLuong_TyLeTangCa[Giờ max]&gt;$AA22)
)),0)
)),
IF(AP$4 &lt; AP$5,
IF($AA22-$Z$4&lt;AP$4,0,
IF($AA22&gt;AP$5,0,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AP$5,$AA22 &lt; AP$4),0,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Q22" s="18" cm="1">
        <f t="array" ref="AQ22" xml:space="preserve">
IFERROR(
IF(AQ$1="",0,
IF(AND(
$AA22&gt;=VLOOKUP(AQ$6, Table_ChiPhiNV_Ca[], COUNTA(Table_ChiPhiNV_Ca[[#Headers],[Ca]:[Bắt đầu nghỉ]]),0),
$AA22&lt;VLOOKUP(AQ$6, Table_ChiPhiNV_Ca[], COUNTA(Table_ChiPhiNV_Ca[[#Headers],[Ca]:[Kết thúc nghỉ]]),0)
),0,
IF(NOT(ISBLANK(AQ$3)),
IF(ISBLANK(AQ$7),0,
IF(AQ$4 &lt; AQ$5,
IF($AA22-$Z$4&lt;AQ$4,0,
IF($AA22&gt;AQ$5,0,
SUM(_xlfn._xlws.FILTER(Table_BangLuong_TyLeTangCa[Tỷ lệ],
(Table_BangLuong_TyLeTangCa[Ngày] = AQ$3) *
(Table_BangLuong_TyLeTangCa[Giờ min]&lt;=$AA22) *
(Table_BangLuong_TyLeTangCa[Giờ max]&gt;$AA22)
)))),
IF(AND($AA22-$Z$4 &gt;= AQ$5,$AA22 &lt; AQ$4),0,
SUM(_xlfn._xlws.FILTER(Table_BangLuong_TyLeTangCa[Tỷ lệ],
(Table_BangLuong_TyLeTangCa[Ngày] = AQ$3) *
(Table_BangLuong_TyLeTangCa[Giờ min]&lt;=$AA22) *
(Table_BangLuong_TyLeTangCa[Giờ max]&gt;$AA22)
))))
),
IF(ISBLANK(AQ$7),
IF(VLOOKUP(AQ$6, Table_ChiPhiNV_Ca[], COUNTA(Table_ChiPhiNV_Ca[[#Headers],[Ca]:[Kết thúc]]),0)&gt; VLOOKUP(AQ$6, Table_ChiPhiNV_Ca[], COUNTA(Table_ChiPhiNV_Ca[[#Headers],[Ca]:[Bắt đầu]]),0),
IF($AA22-$Z$4&lt;MAX(AQ$4,VLOOKUP(AQ$6, Table_ChiPhiNV_Ca[], COUNTA(Table_ChiPhiNV_Ca[[#Headers],[Ca]:[Bắt đầu]]),0)),0,
IF($AA22&gt;MIN(AQ$5,VLOOKUP(AQ$6, Table_ChiPhiNV_Ca[], COUNTA(Table_ChiPhiNV_Ca[[#Headers],[Ca]:[Kết thúc]]),0)),0,
SUM(_xlfn._xlws.FILTER(Table_BangLuong_TyLeTangCa[Tỷ lệ],
(Table_BangLuong_TyLeTangCa[Ngày] = "Thường") *
(Table_BangLuong_TyLeTangCa[Giờ min]&lt;=$AA22) *
(Table_BangLuong_TyLeTangCa[Giờ max]&gt;$AA22)
)))),
IF(AQ$4 &gt; AQ$5,
IF(
AND(
$AA22-$Z$4&lt;MAX(AQ$4,VLOOKUP(AQ$6, Table_ChiPhiNV_Ca[], COUNTA(Table_ChiPhiNV_Ca[[#Headers],[Ca]:[Bắt đầu]]),0)),
$AA22&gt;MIN(AQ$5,VLOOKUP(AQ$6, Table_ChiPhiNV_Ca[], COUNTA(Table_ChiPhiNV_Ca[[#Headers],[Ca]:[Kết thúc]]),0))),0,
SUM(_xlfn._xlws.FILTER(Table_BangLuong_TyLeTangCa[Tỷ lệ],
(Table_BangLuong_TyLeTangCa[Ngày] = "Thường") *
(Table_BangLuong_TyLeTangCa[Giờ min]&lt;=$AA22) *
(Table_BangLuong_TyLeTangCa[Giờ max]&gt;$AA22)
))),
IF(
AND(
$AA22-$Z$4&gt;=MAX(AQ$4,VLOOKUP(AQ$6, Table_ChiPhiNV_Ca[], COUNTA(Table_ChiPhiNV_Ca[[#Headers],[Ca]:[Bắt đầu]]),0)),
$AA22&lt;MIN(AQ$5,VLOOKUP(AQ$6, Table_ChiPhiNV_Ca[], COUNTA(Table_ChiPhiNV_Ca[[#Headers],[Ca]:[Kết thúc]]),0))),
SUM(_xlfn._xlws.FILTER(Table_BangLuong_TyLeTangCa[Tỷ lệ],
(Table_BangLuong_TyLeTangCa[Ngày] = "Thường") *
(Table_BangLuong_TyLeTangCa[Giờ min]&lt;=$AA22) *
(Table_BangLuong_TyLeTangCa[Giờ max]&gt;$AA22)
)),0)
)),
IF(AQ$4 &lt; AQ$5,
IF($AA22-$Z$4&lt;AQ$4,0,
IF($AA22&gt;AQ$5,0,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AQ$5,$AA22 &lt; AQ$4),0,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R22" s="18" cm="1">
        <f t="array" ref="AR22" xml:space="preserve">
IFERROR(
IF(AR$1="",0,
IF(AND(
$AA22&gt;=VLOOKUP(AR$6, Table_ChiPhiNV_Ca[], COUNTA(Table_ChiPhiNV_Ca[[#Headers],[Ca]:[Bắt đầu nghỉ]]),0),
$AA22&lt;VLOOKUP(AR$6, Table_ChiPhiNV_Ca[], COUNTA(Table_ChiPhiNV_Ca[[#Headers],[Ca]:[Kết thúc nghỉ]]),0)
),0,
IF(NOT(ISBLANK(AR$3)),
IF(ISBLANK(AR$7),0,
IF(AR$4 &lt; AR$5,
IF($AA22-$Z$4&lt;AR$4,0,
IF($AA22&gt;AR$5,0,
SUM(_xlfn._xlws.FILTER(Table_BangLuong_TyLeTangCa[Tỷ lệ],
(Table_BangLuong_TyLeTangCa[Ngày] = AR$3) *
(Table_BangLuong_TyLeTangCa[Giờ min]&lt;=$AA22) *
(Table_BangLuong_TyLeTangCa[Giờ max]&gt;$AA22)
)))),
IF(AND($AA22-$Z$4 &gt;= AR$5,$AA22 &lt; AR$4),0,
SUM(_xlfn._xlws.FILTER(Table_BangLuong_TyLeTangCa[Tỷ lệ],
(Table_BangLuong_TyLeTangCa[Ngày] = AR$3) *
(Table_BangLuong_TyLeTangCa[Giờ min]&lt;=$AA22) *
(Table_BangLuong_TyLeTangCa[Giờ max]&gt;$AA22)
))))
),
IF(ISBLANK(AR$7),
IF(VLOOKUP(AR$6, Table_ChiPhiNV_Ca[], COUNTA(Table_ChiPhiNV_Ca[[#Headers],[Ca]:[Kết thúc]]),0)&gt; VLOOKUP(AR$6, Table_ChiPhiNV_Ca[], COUNTA(Table_ChiPhiNV_Ca[[#Headers],[Ca]:[Bắt đầu]]),0),
IF($AA22-$Z$4&lt;MAX(AR$4,VLOOKUP(AR$6, Table_ChiPhiNV_Ca[], COUNTA(Table_ChiPhiNV_Ca[[#Headers],[Ca]:[Bắt đầu]]),0)),0,
IF($AA22&gt;MIN(AR$5,VLOOKUP(AR$6, Table_ChiPhiNV_Ca[], COUNTA(Table_ChiPhiNV_Ca[[#Headers],[Ca]:[Kết thúc]]),0)),0,
SUM(_xlfn._xlws.FILTER(Table_BangLuong_TyLeTangCa[Tỷ lệ],
(Table_BangLuong_TyLeTangCa[Ngày] = "Thường") *
(Table_BangLuong_TyLeTangCa[Giờ min]&lt;=$AA22) *
(Table_BangLuong_TyLeTangCa[Giờ max]&gt;$AA22)
)))),
IF(AR$4 &gt; AR$5,
IF(
AND(
$AA22-$Z$4&lt;MAX(AR$4,VLOOKUP(AR$6, Table_ChiPhiNV_Ca[], COUNTA(Table_ChiPhiNV_Ca[[#Headers],[Ca]:[Bắt đầu]]),0)),
$AA22&gt;MIN(AR$5,VLOOKUP(AR$6, Table_ChiPhiNV_Ca[], COUNTA(Table_ChiPhiNV_Ca[[#Headers],[Ca]:[Kết thúc]]),0))),0,
SUM(_xlfn._xlws.FILTER(Table_BangLuong_TyLeTangCa[Tỷ lệ],
(Table_BangLuong_TyLeTangCa[Ngày] = "Thường") *
(Table_BangLuong_TyLeTangCa[Giờ min]&lt;=$AA22) *
(Table_BangLuong_TyLeTangCa[Giờ max]&gt;$AA22)
))),
IF(
AND(
$AA22-$Z$4&gt;=MAX(AR$4,VLOOKUP(AR$6, Table_ChiPhiNV_Ca[], COUNTA(Table_ChiPhiNV_Ca[[#Headers],[Ca]:[Bắt đầu]]),0)),
$AA22&lt;MIN(AR$5,VLOOKUP(AR$6, Table_ChiPhiNV_Ca[], COUNTA(Table_ChiPhiNV_Ca[[#Headers],[Ca]:[Kết thúc]]),0))),
SUM(_xlfn._xlws.FILTER(Table_BangLuong_TyLeTangCa[Tỷ lệ],
(Table_BangLuong_TyLeTangCa[Ngày] = "Thường") *
(Table_BangLuong_TyLeTangCa[Giờ min]&lt;=$AA22) *
(Table_BangLuong_TyLeTangCa[Giờ max]&gt;$AA22)
)),0)
)),
IF(AR$4 &lt; AR$5,
IF($AA22-$Z$4&lt;AR$4,0,
IF($AA22&gt;AR$5,0,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AR$5,$AA22 &lt; AR$4),0,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S22" s="18" cm="1">
        <f t="array" ref="AS22" xml:space="preserve">
IFERROR(
IF(AS$1="",0,
IF(AND(
$AA22&gt;=VLOOKUP(AS$6, Table_ChiPhiNV_Ca[], COUNTA(Table_ChiPhiNV_Ca[[#Headers],[Ca]:[Bắt đầu nghỉ]]),0),
$AA22&lt;VLOOKUP(AS$6, Table_ChiPhiNV_Ca[], COUNTA(Table_ChiPhiNV_Ca[[#Headers],[Ca]:[Kết thúc nghỉ]]),0)
),0,
IF(NOT(ISBLANK(AS$3)),
IF(ISBLANK(AS$7),0,
IF(AS$4 &lt; AS$5,
IF($AA22-$Z$4&lt;AS$4,0,
IF($AA22&gt;AS$5,0,
SUM(_xlfn._xlws.FILTER(Table_BangLuong_TyLeTangCa[Tỷ lệ],
(Table_BangLuong_TyLeTangCa[Ngày] = AS$3) *
(Table_BangLuong_TyLeTangCa[Giờ min]&lt;=$AA22) *
(Table_BangLuong_TyLeTangCa[Giờ max]&gt;$AA22)
)))),
IF(AND($AA22-$Z$4 &gt;= AS$5,$AA22 &lt; AS$4),0,
SUM(_xlfn._xlws.FILTER(Table_BangLuong_TyLeTangCa[Tỷ lệ],
(Table_BangLuong_TyLeTangCa[Ngày] = AS$3) *
(Table_BangLuong_TyLeTangCa[Giờ min]&lt;=$AA22) *
(Table_BangLuong_TyLeTangCa[Giờ max]&gt;$AA22)
))))
),
IF(ISBLANK(AS$7),
IF(VLOOKUP(AS$6, Table_ChiPhiNV_Ca[], COUNTA(Table_ChiPhiNV_Ca[[#Headers],[Ca]:[Kết thúc]]),0)&gt; VLOOKUP(AS$6, Table_ChiPhiNV_Ca[], COUNTA(Table_ChiPhiNV_Ca[[#Headers],[Ca]:[Bắt đầu]]),0),
IF($AA22-$Z$4&lt;MAX(AS$4,VLOOKUP(AS$6, Table_ChiPhiNV_Ca[], COUNTA(Table_ChiPhiNV_Ca[[#Headers],[Ca]:[Bắt đầu]]),0)),0,
IF($AA22&gt;MIN(AS$5,VLOOKUP(AS$6, Table_ChiPhiNV_Ca[], COUNTA(Table_ChiPhiNV_Ca[[#Headers],[Ca]:[Kết thúc]]),0)),0,
SUM(_xlfn._xlws.FILTER(Table_BangLuong_TyLeTangCa[Tỷ lệ],
(Table_BangLuong_TyLeTangCa[Ngày] = "Thường") *
(Table_BangLuong_TyLeTangCa[Giờ min]&lt;=$AA22) *
(Table_BangLuong_TyLeTangCa[Giờ max]&gt;$AA22)
)))),
IF(AS$4 &gt; AS$5,
IF(
AND(
$AA22-$Z$4&lt;MAX(AS$4,VLOOKUP(AS$6, Table_ChiPhiNV_Ca[], COUNTA(Table_ChiPhiNV_Ca[[#Headers],[Ca]:[Bắt đầu]]),0)),
$AA22&gt;MIN(AS$5,VLOOKUP(AS$6, Table_ChiPhiNV_Ca[], COUNTA(Table_ChiPhiNV_Ca[[#Headers],[Ca]:[Kết thúc]]),0))),0,
SUM(_xlfn._xlws.FILTER(Table_BangLuong_TyLeTangCa[Tỷ lệ],
(Table_BangLuong_TyLeTangCa[Ngày] = "Thường") *
(Table_BangLuong_TyLeTangCa[Giờ min]&lt;=$AA22) *
(Table_BangLuong_TyLeTangCa[Giờ max]&gt;$AA22)
))),
IF(
AND(
$AA22-$Z$4&gt;=MAX(AS$4,VLOOKUP(AS$6, Table_ChiPhiNV_Ca[], COUNTA(Table_ChiPhiNV_Ca[[#Headers],[Ca]:[Bắt đầu]]),0)),
$AA22&lt;MIN(AS$5,VLOOKUP(AS$6, Table_ChiPhiNV_Ca[], COUNTA(Table_ChiPhiNV_Ca[[#Headers],[Ca]:[Kết thúc]]),0))),
SUM(_xlfn._xlws.FILTER(Table_BangLuong_TyLeTangCa[Tỷ lệ],
(Table_BangLuong_TyLeTangCa[Ngày] = "Thường") *
(Table_BangLuong_TyLeTangCa[Giờ min]&lt;=$AA22) *
(Table_BangLuong_TyLeTangCa[Giờ max]&gt;$AA22)
)),0)
)),
IF(AS$4 &lt; AS$5,
IF($AA22-$Z$4&lt;AS$4,0,
IF($AA22&gt;AS$5,0,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AS$5,$AA22 &lt; AS$4),0,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T22" s="18" cm="1">
        <f t="array" ref="AT22" xml:space="preserve">
IFERROR(
IF(AT$1="",0,
IF(AND(
$AA22&gt;=VLOOKUP(AT$6, Table_ChiPhiNV_Ca[], COUNTA(Table_ChiPhiNV_Ca[[#Headers],[Ca]:[Bắt đầu nghỉ]]),0),
$AA22&lt;VLOOKUP(AT$6, Table_ChiPhiNV_Ca[], COUNTA(Table_ChiPhiNV_Ca[[#Headers],[Ca]:[Kết thúc nghỉ]]),0)
),0,
IF(NOT(ISBLANK(AT$3)),
IF(ISBLANK(AT$7),0,
IF(AT$4 &lt; AT$5,
IF($AA22-$Z$4&lt;AT$4,0,
IF($AA22&gt;AT$5,0,
SUM(_xlfn._xlws.FILTER(Table_BangLuong_TyLeTangCa[Tỷ lệ],
(Table_BangLuong_TyLeTangCa[Ngày] = AT$3) *
(Table_BangLuong_TyLeTangCa[Giờ min]&lt;=$AA22) *
(Table_BangLuong_TyLeTangCa[Giờ max]&gt;$AA22)
)))),
IF(AND($AA22-$Z$4 &gt;= AT$5,$AA22 &lt; AT$4),0,
SUM(_xlfn._xlws.FILTER(Table_BangLuong_TyLeTangCa[Tỷ lệ],
(Table_BangLuong_TyLeTangCa[Ngày] = AT$3) *
(Table_BangLuong_TyLeTangCa[Giờ min]&lt;=$AA22) *
(Table_BangLuong_TyLeTangCa[Giờ max]&gt;$AA22)
))))
),
IF(ISBLANK(AT$7),
IF(VLOOKUP(AT$6, Table_ChiPhiNV_Ca[], COUNTA(Table_ChiPhiNV_Ca[[#Headers],[Ca]:[Kết thúc]]),0)&gt; VLOOKUP(AT$6, Table_ChiPhiNV_Ca[], COUNTA(Table_ChiPhiNV_Ca[[#Headers],[Ca]:[Bắt đầu]]),0),
IF($AA22-$Z$4&lt;MAX(AT$4,VLOOKUP(AT$6, Table_ChiPhiNV_Ca[], COUNTA(Table_ChiPhiNV_Ca[[#Headers],[Ca]:[Bắt đầu]]),0)),0,
IF($AA22&gt;MIN(AT$5,VLOOKUP(AT$6, Table_ChiPhiNV_Ca[], COUNTA(Table_ChiPhiNV_Ca[[#Headers],[Ca]:[Kết thúc]]),0)),0,
SUM(_xlfn._xlws.FILTER(Table_BangLuong_TyLeTangCa[Tỷ lệ],
(Table_BangLuong_TyLeTangCa[Ngày] = "Thường") *
(Table_BangLuong_TyLeTangCa[Giờ min]&lt;=$AA22) *
(Table_BangLuong_TyLeTangCa[Giờ max]&gt;$AA22)
)))),
IF(AT$4 &gt; AT$5,
IF(
AND(
$AA22-$Z$4&lt;MAX(AT$4,VLOOKUP(AT$6, Table_ChiPhiNV_Ca[], COUNTA(Table_ChiPhiNV_Ca[[#Headers],[Ca]:[Bắt đầu]]),0)),
$AA22&gt;MIN(AT$5,VLOOKUP(AT$6, Table_ChiPhiNV_Ca[], COUNTA(Table_ChiPhiNV_Ca[[#Headers],[Ca]:[Kết thúc]]),0))),0,
SUM(_xlfn._xlws.FILTER(Table_BangLuong_TyLeTangCa[Tỷ lệ],
(Table_BangLuong_TyLeTangCa[Ngày] = "Thường") *
(Table_BangLuong_TyLeTangCa[Giờ min]&lt;=$AA22) *
(Table_BangLuong_TyLeTangCa[Giờ max]&gt;$AA22)
))),
IF(
AND(
$AA22-$Z$4&gt;=MAX(AT$4,VLOOKUP(AT$6, Table_ChiPhiNV_Ca[], COUNTA(Table_ChiPhiNV_Ca[[#Headers],[Ca]:[Bắt đầu]]),0)),
$AA22&lt;MIN(AT$5,VLOOKUP(AT$6, Table_ChiPhiNV_Ca[], COUNTA(Table_ChiPhiNV_Ca[[#Headers],[Ca]:[Kết thúc]]),0))),
SUM(_xlfn._xlws.FILTER(Table_BangLuong_TyLeTangCa[Tỷ lệ],
(Table_BangLuong_TyLeTangCa[Ngày] = "Thường") *
(Table_BangLuong_TyLeTangCa[Giờ min]&lt;=$AA22) *
(Table_BangLuong_TyLeTangCa[Giờ max]&gt;$AA22)
)),0)
)),
IF(AT$4 &lt; AT$5,
IF($AA22-$Z$4&lt;AT$4,0,
IF($AA22&gt;AT$5,0,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AT$5,$AA22 &lt; AT$4),0,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U22" s="18" cm="1">
        <f t="array" ref="AU22" xml:space="preserve">
IFERROR(
IF(AU$1="",0,
IF(AND(
$AA22&gt;=VLOOKUP(AU$6, Table_ChiPhiNV_Ca[], COUNTA(Table_ChiPhiNV_Ca[[#Headers],[Ca]:[Bắt đầu nghỉ]]),0),
$AA22&lt;VLOOKUP(AU$6, Table_ChiPhiNV_Ca[], COUNTA(Table_ChiPhiNV_Ca[[#Headers],[Ca]:[Kết thúc nghỉ]]),0)
),0,
IF(NOT(ISBLANK(AU$3)),
IF(ISBLANK(AU$7),0,
IF(AU$4 &lt; AU$5,
IF($AA22-$Z$4&lt;AU$4,0,
IF($AA22&gt;AU$5,0,
SUM(_xlfn._xlws.FILTER(Table_BangLuong_TyLeTangCa[Tỷ lệ],
(Table_BangLuong_TyLeTangCa[Ngày] = AU$3) *
(Table_BangLuong_TyLeTangCa[Giờ min]&lt;=$AA22) *
(Table_BangLuong_TyLeTangCa[Giờ max]&gt;$AA22)
)))),
IF(AND($AA22-$Z$4 &gt;= AU$5,$AA22 &lt; AU$4),0,
SUM(_xlfn._xlws.FILTER(Table_BangLuong_TyLeTangCa[Tỷ lệ],
(Table_BangLuong_TyLeTangCa[Ngày] = AU$3) *
(Table_BangLuong_TyLeTangCa[Giờ min]&lt;=$AA22) *
(Table_BangLuong_TyLeTangCa[Giờ max]&gt;$AA22)
))))
),
IF(ISBLANK(AU$7),
IF(VLOOKUP(AU$6, Table_ChiPhiNV_Ca[], COUNTA(Table_ChiPhiNV_Ca[[#Headers],[Ca]:[Kết thúc]]),0)&gt; VLOOKUP(AU$6, Table_ChiPhiNV_Ca[], COUNTA(Table_ChiPhiNV_Ca[[#Headers],[Ca]:[Bắt đầu]]),0),
IF($AA22-$Z$4&lt;MAX(AU$4,VLOOKUP(AU$6, Table_ChiPhiNV_Ca[], COUNTA(Table_ChiPhiNV_Ca[[#Headers],[Ca]:[Bắt đầu]]),0)),0,
IF($AA22&gt;MIN(AU$5,VLOOKUP(AU$6, Table_ChiPhiNV_Ca[], COUNTA(Table_ChiPhiNV_Ca[[#Headers],[Ca]:[Kết thúc]]),0)),0,
SUM(_xlfn._xlws.FILTER(Table_BangLuong_TyLeTangCa[Tỷ lệ],
(Table_BangLuong_TyLeTangCa[Ngày] = "Thường") *
(Table_BangLuong_TyLeTangCa[Giờ min]&lt;=$AA22) *
(Table_BangLuong_TyLeTangCa[Giờ max]&gt;$AA22)
)))),
IF(AU$4 &gt; AU$5,
IF(
AND(
$AA22-$Z$4&lt;MAX(AU$4,VLOOKUP(AU$6, Table_ChiPhiNV_Ca[], COUNTA(Table_ChiPhiNV_Ca[[#Headers],[Ca]:[Bắt đầu]]),0)),
$AA22&gt;MIN(AU$5,VLOOKUP(AU$6, Table_ChiPhiNV_Ca[], COUNTA(Table_ChiPhiNV_Ca[[#Headers],[Ca]:[Kết thúc]]),0))),0,
SUM(_xlfn._xlws.FILTER(Table_BangLuong_TyLeTangCa[Tỷ lệ],
(Table_BangLuong_TyLeTangCa[Ngày] = "Thường") *
(Table_BangLuong_TyLeTangCa[Giờ min]&lt;=$AA22) *
(Table_BangLuong_TyLeTangCa[Giờ max]&gt;$AA22)
))),
IF(
AND(
$AA22-$Z$4&gt;=MAX(AU$4,VLOOKUP(AU$6, Table_ChiPhiNV_Ca[], COUNTA(Table_ChiPhiNV_Ca[[#Headers],[Ca]:[Bắt đầu]]),0)),
$AA22&lt;MIN(AU$5,VLOOKUP(AU$6, Table_ChiPhiNV_Ca[], COUNTA(Table_ChiPhiNV_Ca[[#Headers],[Ca]:[Kết thúc]]),0))),
SUM(_xlfn._xlws.FILTER(Table_BangLuong_TyLeTangCa[Tỷ lệ],
(Table_BangLuong_TyLeTangCa[Ngày] = "Thường") *
(Table_BangLuong_TyLeTangCa[Giờ min]&lt;=$AA22) *
(Table_BangLuong_TyLeTangCa[Giờ max]&gt;$AA22)
)),0)
)),
IF(AU$4 &lt; AU$5,
IF($AA22-$Z$4&lt;AU$4,0,
IF($AA22&gt;AU$5,0,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AU$5,$AA22 &lt; AU$4),0,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V22" s="18" cm="1">
        <f t="array" ref="AV22" xml:space="preserve">
IFERROR(
IF(AV$1="",0,
IF(AND(
$AA22&gt;=VLOOKUP(AV$6, Table_ChiPhiNV_Ca[], COUNTA(Table_ChiPhiNV_Ca[[#Headers],[Ca]:[Bắt đầu nghỉ]]),0),
$AA22&lt;VLOOKUP(AV$6, Table_ChiPhiNV_Ca[], COUNTA(Table_ChiPhiNV_Ca[[#Headers],[Ca]:[Kết thúc nghỉ]]),0)
),0,
IF(NOT(ISBLANK(AV$3)),
IF(ISBLANK(AV$7),0,
IF(AV$4 &lt; AV$5,
IF($AA22-$Z$4&lt;AV$4,0,
IF($AA22&gt;AV$5,0,
SUM(_xlfn._xlws.FILTER(Table_BangLuong_TyLeTangCa[Tỷ lệ],
(Table_BangLuong_TyLeTangCa[Ngày] = AV$3) *
(Table_BangLuong_TyLeTangCa[Giờ min]&lt;=$AA22) *
(Table_BangLuong_TyLeTangCa[Giờ max]&gt;$AA22)
)))),
IF(AND($AA22-$Z$4 &gt;= AV$5,$AA22 &lt; AV$4),0,
SUM(_xlfn._xlws.FILTER(Table_BangLuong_TyLeTangCa[Tỷ lệ],
(Table_BangLuong_TyLeTangCa[Ngày] = AV$3) *
(Table_BangLuong_TyLeTangCa[Giờ min]&lt;=$AA22) *
(Table_BangLuong_TyLeTangCa[Giờ max]&gt;$AA22)
))))
),
IF(ISBLANK(AV$7),
IF(VLOOKUP(AV$6, Table_ChiPhiNV_Ca[], COUNTA(Table_ChiPhiNV_Ca[[#Headers],[Ca]:[Kết thúc]]),0)&gt; VLOOKUP(AV$6, Table_ChiPhiNV_Ca[], COUNTA(Table_ChiPhiNV_Ca[[#Headers],[Ca]:[Bắt đầu]]),0),
IF($AA22-$Z$4&lt;MAX(AV$4,VLOOKUP(AV$6, Table_ChiPhiNV_Ca[], COUNTA(Table_ChiPhiNV_Ca[[#Headers],[Ca]:[Bắt đầu]]),0)),0,
IF($AA22&gt;MIN(AV$5,VLOOKUP(AV$6, Table_ChiPhiNV_Ca[], COUNTA(Table_ChiPhiNV_Ca[[#Headers],[Ca]:[Kết thúc]]),0)),0,
SUM(_xlfn._xlws.FILTER(Table_BangLuong_TyLeTangCa[Tỷ lệ],
(Table_BangLuong_TyLeTangCa[Ngày] = "Thường") *
(Table_BangLuong_TyLeTangCa[Giờ min]&lt;=$AA22) *
(Table_BangLuong_TyLeTangCa[Giờ max]&gt;$AA22)
)))),
IF(AV$4 &gt; AV$5,
IF(
AND(
$AA22-$Z$4&lt;MAX(AV$4,VLOOKUP(AV$6, Table_ChiPhiNV_Ca[], COUNTA(Table_ChiPhiNV_Ca[[#Headers],[Ca]:[Bắt đầu]]),0)),
$AA22&gt;MIN(AV$5,VLOOKUP(AV$6, Table_ChiPhiNV_Ca[], COUNTA(Table_ChiPhiNV_Ca[[#Headers],[Ca]:[Kết thúc]]),0))),0,
SUM(_xlfn._xlws.FILTER(Table_BangLuong_TyLeTangCa[Tỷ lệ],
(Table_BangLuong_TyLeTangCa[Ngày] = "Thường") *
(Table_BangLuong_TyLeTangCa[Giờ min]&lt;=$AA22) *
(Table_BangLuong_TyLeTangCa[Giờ max]&gt;$AA22)
))),
IF(
AND(
$AA22-$Z$4&gt;=MAX(AV$4,VLOOKUP(AV$6, Table_ChiPhiNV_Ca[], COUNTA(Table_ChiPhiNV_Ca[[#Headers],[Ca]:[Bắt đầu]]),0)),
$AA22&lt;MIN(AV$5,VLOOKUP(AV$6, Table_ChiPhiNV_Ca[], COUNTA(Table_ChiPhiNV_Ca[[#Headers],[Ca]:[Kết thúc]]),0))),
SUM(_xlfn._xlws.FILTER(Table_BangLuong_TyLeTangCa[Tỷ lệ],
(Table_BangLuong_TyLeTangCa[Ngày] = "Thường") *
(Table_BangLuong_TyLeTangCa[Giờ min]&lt;=$AA22) *
(Table_BangLuong_TyLeTangCa[Giờ max]&gt;$AA22)
)),0)
)),
IF(AV$4 &lt; AV$5,
IF($AA22-$Z$4&lt;AV$4,0,
IF($AA22&gt;AV$5,0,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AV$5,$AA22 &lt; AV$4),0,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W22" s="18" cm="1">
        <f t="array" ref="AW22" xml:space="preserve">
IFERROR(
IF(AW$1="",0,
IF(AND(
$AA22&gt;=VLOOKUP(AW$6, Table_ChiPhiNV_Ca[], COUNTA(Table_ChiPhiNV_Ca[[#Headers],[Ca]:[Bắt đầu nghỉ]]),0),
$AA22&lt;VLOOKUP(AW$6, Table_ChiPhiNV_Ca[], COUNTA(Table_ChiPhiNV_Ca[[#Headers],[Ca]:[Kết thúc nghỉ]]),0)
),0,
IF(NOT(ISBLANK(AW$3)),
IF(ISBLANK(AW$7),0,
IF(AW$4 &lt; AW$5,
IF($AA22-$Z$4&lt;AW$4,0,
IF($AA22&gt;AW$5,0,
SUM(_xlfn._xlws.FILTER(Table_BangLuong_TyLeTangCa[Tỷ lệ],
(Table_BangLuong_TyLeTangCa[Ngày] = AW$3) *
(Table_BangLuong_TyLeTangCa[Giờ min]&lt;=$AA22) *
(Table_BangLuong_TyLeTangCa[Giờ max]&gt;$AA22)
)))),
IF(AND($AA22-$Z$4 &gt;= AW$5,$AA22 &lt; AW$4),0,
SUM(_xlfn._xlws.FILTER(Table_BangLuong_TyLeTangCa[Tỷ lệ],
(Table_BangLuong_TyLeTangCa[Ngày] = AW$3) *
(Table_BangLuong_TyLeTangCa[Giờ min]&lt;=$AA22) *
(Table_BangLuong_TyLeTangCa[Giờ max]&gt;$AA22)
))))
),
IF(ISBLANK(AW$7),
IF(VLOOKUP(AW$6, Table_ChiPhiNV_Ca[], COUNTA(Table_ChiPhiNV_Ca[[#Headers],[Ca]:[Kết thúc]]),0)&gt; VLOOKUP(AW$6, Table_ChiPhiNV_Ca[], COUNTA(Table_ChiPhiNV_Ca[[#Headers],[Ca]:[Bắt đầu]]),0),
IF($AA22-$Z$4&lt;MAX(AW$4,VLOOKUP(AW$6, Table_ChiPhiNV_Ca[], COUNTA(Table_ChiPhiNV_Ca[[#Headers],[Ca]:[Bắt đầu]]),0)),0,
IF($AA22&gt;MIN(AW$5,VLOOKUP(AW$6, Table_ChiPhiNV_Ca[], COUNTA(Table_ChiPhiNV_Ca[[#Headers],[Ca]:[Kết thúc]]),0)),0,
SUM(_xlfn._xlws.FILTER(Table_BangLuong_TyLeTangCa[Tỷ lệ],
(Table_BangLuong_TyLeTangCa[Ngày] = "Thường") *
(Table_BangLuong_TyLeTangCa[Giờ min]&lt;=$AA22) *
(Table_BangLuong_TyLeTangCa[Giờ max]&gt;$AA22)
)))),
IF(AW$4 &gt; AW$5,
IF(
AND(
$AA22-$Z$4&lt;MAX(AW$4,VLOOKUP(AW$6, Table_ChiPhiNV_Ca[], COUNTA(Table_ChiPhiNV_Ca[[#Headers],[Ca]:[Bắt đầu]]),0)),
$AA22&gt;MIN(AW$5,VLOOKUP(AW$6, Table_ChiPhiNV_Ca[], COUNTA(Table_ChiPhiNV_Ca[[#Headers],[Ca]:[Kết thúc]]),0))),0,
SUM(_xlfn._xlws.FILTER(Table_BangLuong_TyLeTangCa[Tỷ lệ],
(Table_BangLuong_TyLeTangCa[Ngày] = "Thường") *
(Table_BangLuong_TyLeTangCa[Giờ min]&lt;=$AA22) *
(Table_BangLuong_TyLeTangCa[Giờ max]&gt;$AA22)
))),
IF(
AND(
$AA22-$Z$4&gt;=MAX(AW$4,VLOOKUP(AW$6, Table_ChiPhiNV_Ca[], COUNTA(Table_ChiPhiNV_Ca[[#Headers],[Ca]:[Bắt đầu]]),0)),
$AA22&lt;MIN(AW$5,VLOOKUP(AW$6, Table_ChiPhiNV_Ca[], COUNTA(Table_ChiPhiNV_Ca[[#Headers],[Ca]:[Kết thúc]]),0))),
SUM(_xlfn._xlws.FILTER(Table_BangLuong_TyLeTangCa[Tỷ lệ],
(Table_BangLuong_TyLeTangCa[Ngày] = "Thường") *
(Table_BangLuong_TyLeTangCa[Giờ min]&lt;=$AA22) *
(Table_BangLuong_TyLeTangCa[Giờ max]&gt;$AA22)
)),0)
)),
IF(AW$4 &lt; AW$5,
IF($AA22-$Z$4&lt;AW$4,0,
IF($AA22&gt;AW$5,0,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AW$5,$AA22 &lt; AW$4),0,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X22" s="18" cm="1">
        <f t="array" ref="AX22" xml:space="preserve">
IFERROR(
IF(AX$1="",0,
IF(AND(
$AA22&gt;=VLOOKUP(AX$6, Table_ChiPhiNV_Ca[], COUNTA(Table_ChiPhiNV_Ca[[#Headers],[Ca]:[Bắt đầu nghỉ]]),0),
$AA22&lt;VLOOKUP(AX$6, Table_ChiPhiNV_Ca[], COUNTA(Table_ChiPhiNV_Ca[[#Headers],[Ca]:[Kết thúc nghỉ]]),0)
),0,
IF(NOT(ISBLANK(AX$3)),
IF(ISBLANK(AX$7),0,
IF(AX$4 &lt; AX$5,
IF($AA22-$Z$4&lt;AX$4,0,
IF($AA22&gt;AX$5,0,
SUM(_xlfn._xlws.FILTER(Table_BangLuong_TyLeTangCa[Tỷ lệ],
(Table_BangLuong_TyLeTangCa[Ngày] = AX$3) *
(Table_BangLuong_TyLeTangCa[Giờ min]&lt;=$AA22) *
(Table_BangLuong_TyLeTangCa[Giờ max]&gt;$AA22)
)))),
IF(AND($AA22-$Z$4 &gt;= AX$5,$AA22 &lt; AX$4),0,
SUM(_xlfn._xlws.FILTER(Table_BangLuong_TyLeTangCa[Tỷ lệ],
(Table_BangLuong_TyLeTangCa[Ngày] = AX$3) *
(Table_BangLuong_TyLeTangCa[Giờ min]&lt;=$AA22) *
(Table_BangLuong_TyLeTangCa[Giờ max]&gt;$AA22)
))))
),
IF(ISBLANK(AX$7),
IF(VLOOKUP(AX$6, Table_ChiPhiNV_Ca[], COUNTA(Table_ChiPhiNV_Ca[[#Headers],[Ca]:[Kết thúc]]),0)&gt; VLOOKUP(AX$6, Table_ChiPhiNV_Ca[], COUNTA(Table_ChiPhiNV_Ca[[#Headers],[Ca]:[Bắt đầu]]),0),
IF($AA22-$Z$4&lt;MAX(AX$4,VLOOKUP(AX$6, Table_ChiPhiNV_Ca[], COUNTA(Table_ChiPhiNV_Ca[[#Headers],[Ca]:[Bắt đầu]]),0)),0,
IF($AA22&gt;MIN(AX$5,VLOOKUP(AX$6, Table_ChiPhiNV_Ca[], COUNTA(Table_ChiPhiNV_Ca[[#Headers],[Ca]:[Kết thúc]]),0)),0,
SUM(_xlfn._xlws.FILTER(Table_BangLuong_TyLeTangCa[Tỷ lệ],
(Table_BangLuong_TyLeTangCa[Ngày] = "Thường") *
(Table_BangLuong_TyLeTangCa[Giờ min]&lt;=$AA22) *
(Table_BangLuong_TyLeTangCa[Giờ max]&gt;$AA22)
)))),
IF(AX$4 &gt; AX$5,
IF(
AND(
$AA22-$Z$4&lt;MAX(AX$4,VLOOKUP(AX$6, Table_ChiPhiNV_Ca[], COUNTA(Table_ChiPhiNV_Ca[[#Headers],[Ca]:[Bắt đầu]]),0)),
$AA22&gt;MIN(AX$5,VLOOKUP(AX$6, Table_ChiPhiNV_Ca[], COUNTA(Table_ChiPhiNV_Ca[[#Headers],[Ca]:[Kết thúc]]),0))),0,
SUM(_xlfn._xlws.FILTER(Table_BangLuong_TyLeTangCa[Tỷ lệ],
(Table_BangLuong_TyLeTangCa[Ngày] = "Thường") *
(Table_BangLuong_TyLeTangCa[Giờ min]&lt;=$AA22) *
(Table_BangLuong_TyLeTangCa[Giờ max]&gt;$AA22)
))),
IF(
AND(
$AA22-$Z$4&gt;=MAX(AX$4,VLOOKUP(AX$6, Table_ChiPhiNV_Ca[], COUNTA(Table_ChiPhiNV_Ca[[#Headers],[Ca]:[Bắt đầu]]),0)),
$AA22&lt;MIN(AX$5,VLOOKUP(AX$6, Table_ChiPhiNV_Ca[], COUNTA(Table_ChiPhiNV_Ca[[#Headers],[Ca]:[Kết thúc]]),0))),
SUM(_xlfn._xlws.FILTER(Table_BangLuong_TyLeTangCa[Tỷ lệ],
(Table_BangLuong_TyLeTangCa[Ngày] = "Thường") *
(Table_BangLuong_TyLeTangCa[Giờ min]&lt;=$AA22) *
(Table_BangLuong_TyLeTangCa[Giờ max]&gt;$AA22)
)),0)
)),
IF(AX$4 &lt; AX$5,
IF($AA22-$Z$4&lt;AX$4,0,
IF($AA22&gt;AX$5,0,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AX$5,$AA22 &lt; AX$4),0,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Y22" s="18" cm="1">
        <f t="array" ref="AY22" xml:space="preserve">
IFERROR(
IF(AY$1="",0,
IF(AND(
$AA22&gt;=VLOOKUP(AY$6, Table_ChiPhiNV_Ca[], COUNTA(Table_ChiPhiNV_Ca[[#Headers],[Ca]:[Bắt đầu nghỉ]]),0),
$AA22&lt;VLOOKUP(AY$6, Table_ChiPhiNV_Ca[], COUNTA(Table_ChiPhiNV_Ca[[#Headers],[Ca]:[Kết thúc nghỉ]]),0)
),0,
IF(NOT(ISBLANK(AY$3)),
IF(ISBLANK(AY$7),0,
IF(AY$4 &lt; AY$5,
IF($AA22-$Z$4&lt;AY$4,0,
IF($AA22&gt;AY$5,0,
SUM(_xlfn._xlws.FILTER(Table_BangLuong_TyLeTangCa[Tỷ lệ],
(Table_BangLuong_TyLeTangCa[Ngày] = AY$3) *
(Table_BangLuong_TyLeTangCa[Giờ min]&lt;=$AA22) *
(Table_BangLuong_TyLeTangCa[Giờ max]&gt;$AA22)
)))),
IF(AND($AA22-$Z$4 &gt;= AY$5,$AA22 &lt; AY$4),0,
SUM(_xlfn._xlws.FILTER(Table_BangLuong_TyLeTangCa[Tỷ lệ],
(Table_BangLuong_TyLeTangCa[Ngày] = AY$3) *
(Table_BangLuong_TyLeTangCa[Giờ min]&lt;=$AA22) *
(Table_BangLuong_TyLeTangCa[Giờ max]&gt;$AA22)
))))
),
IF(ISBLANK(AY$7),
IF(VLOOKUP(AY$6, Table_ChiPhiNV_Ca[], COUNTA(Table_ChiPhiNV_Ca[[#Headers],[Ca]:[Kết thúc]]),0)&gt; VLOOKUP(AY$6, Table_ChiPhiNV_Ca[], COUNTA(Table_ChiPhiNV_Ca[[#Headers],[Ca]:[Bắt đầu]]),0),
IF($AA22-$Z$4&lt;MAX(AY$4,VLOOKUP(AY$6, Table_ChiPhiNV_Ca[], COUNTA(Table_ChiPhiNV_Ca[[#Headers],[Ca]:[Bắt đầu]]),0)),0,
IF($AA22&gt;MIN(AY$5,VLOOKUP(AY$6, Table_ChiPhiNV_Ca[], COUNTA(Table_ChiPhiNV_Ca[[#Headers],[Ca]:[Kết thúc]]),0)),0,
SUM(_xlfn._xlws.FILTER(Table_BangLuong_TyLeTangCa[Tỷ lệ],
(Table_BangLuong_TyLeTangCa[Ngày] = "Thường") *
(Table_BangLuong_TyLeTangCa[Giờ min]&lt;=$AA22) *
(Table_BangLuong_TyLeTangCa[Giờ max]&gt;$AA22)
)))),
IF(AY$4 &gt; AY$5,
IF(
AND(
$AA22-$Z$4&lt;MAX(AY$4,VLOOKUP(AY$6, Table_ChiPhiNV_Ca[], COUNTA(Table_ChiPhiNV_Ca[[#Headers],[Ca]:[Bắt đầu]]),0)),
$AA22&gt;MIN(AY$5,VLOOKUP(AY$6, Table_ChiPhiNV_Ca[], COUNTA(Table_ChiPhiNV_Ca[[#Headers],[Ca]:[Kết thúc]]),0))),0,
SUM(_xlfn._xlws.FILTER(Table_BangLuong_TyLeTangCa[Tỷ lệ],
(Table_BangLuong_TyLeTangCa[Ngày] = "Thường") *
(Table_BangLuong_TyLeTangCa[Giờ min]&lt;=$AA22) *
(Table_BangLuong_TyLeTangCa[Giờ max]&gt;$AA22)
))),
IF(
AND(
$AA22-$Z$4&gt;=MAX(AY$4,VLOOKUP(AY$6, Table_ChiPhiNV_Ca[], COUNTA(Table_ChiPhiNV_Ca[[#Headers],[Ca]:[Bắt đầu]]),0)),
$AA22&lt;MIN(AY$5,VLOOKUP(AY$6, Table_ChiPhiNV_Ca[], COUNTA(Table_ChiPhiNV_Ca[[#Headers],[Ca]:[Kết thúc]]),0))),
SUM(_xlfn._xlws.FILTER(Table_BangLuong_TyLeTangCa[Tỷ lệ],
(Table_BangLuong_TyLeTangCa[Ngày] = "Thường") *
(Table_BangLuong_TyLeTangCa[Giờ min]&lt;=$AA22) *
(Table_BangLuong_TyLeTangCa[Giờ max]&gt;$AA22)
)),0)
)),
IF(AY$4 &lt; AY$5,
IF($AA22-$Z$4&lt;AY$4,0,
IF($AA22&gt;AY$5,0,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AY$5,$AA22 &lt; AY$4),0,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Z22" s="18" cm="1">
        <f t="array" ref="AZ22" xml:space="preserve">
IFERROR(
IF(AZ$1="",0,
IF(AND(
$AA22&gt;=VLOOKUP(AZ$6, Table_ChiPhiNV_Ca[], COUNTA(Table_ChiPhiNV_Ca[[#Headers],[Ca]:[Bắt đầu nghỉ]]),0),
$AA22&lt;VLOOKUP(AZ$6, Table_ChiPhiNV_Ca[], COUNTA(Table_ChiPhiNV_Ca[[#Headers],[Ca]:[Kết thúc nghỉ]]),0)
),0,
IF(NOT(ISBLANK(AZ$3)),
IF(ISBLANK(AZ$7),0,
IF(AZ$4 &lt; AZ$5,
IF($AA22-$Z$4&lt;AZ$4,0,
IF($AA22&gt;AZ$5,0,
SUM(_xlfn._xlws.FILTER(Table_BangLuong_TyLeTangCa[Tỷ lệ],
(Table_BangLuong_TyLeTangCa[Ngày] = AZ$3) *
(Table_BangLuong_TyLeTangCa[Giờ min]&lt;=$AA22) *
(Table_BangLuong_TyLeTangCa[Giờ max]&gt;$AA22)
)))),
IF(AND($AA22-$Z$4 &gt;= AZ$5,$AA22 &lt; AZ$4),0,
SUM(_xlfn._xlws.FILTER(Table_BangLuong_TyLeTangCa[Tỷ lệ],
(Table_BangLuong_TyLeTangCa[Ngày] = AZ$3) *
(Table_BangLuong_TyLeTangCa[Giờ min]&lt;=$AA22) *
(Table_BangLuong_TyLeTangCa[Giờ max]&gt;$AA22)
))))
),
IF(ISBLANK(AZ$7),
IF(VLOOKUP(AZ$6, Table_ChiPhiNV_Ca[], COUNTA(Table_ChiPhiNV_Ca[[#Headers],[Ca]:[Kết thúc]]),0)&gt; VLOOKUP(AZ$6, Table_ChiPhiNV_Ca[], COUNTA(Table_ChiPhiNV_Ca[[#Headers],[Ca]:[Bắt đầu]]),0),
IF($AA22-$Z$4&lt;MAX(AZ$4,VLOOKUP(AZ$6, Table_ChiPhiNV_Ca[], COUNTA(Table_ChiPhiNV_Ca[[#Headers],[Ca]:[Bắt đầu]]),0)),0,
IF($AA22&gt;MIN(AZ$5,VLOOKUP(AZ$6, Table_ChiPhiNV_Ca[], COUNTA(Table_ChiPhiNV_Ca[[#Headers],[Ca]:[Kết thúc]]),0)),0,
SUM(_xlfn._xlws.FILTER(Table_BangLuong_TyLeTangCa[Tỷ lệ],
(Table_BangLuong_TyLeTangCa[Ngày] = "Thường") *
(Table_BangLuong_TyLeTangCa[Giờ min]&lt;=$AA22) *
(Table_BangLuong_TyLeTangCa[Giờ max]&gt;$AA22)
)))),
IF(AZ$4 &gt; AZ$5,
IF(
AND(
$AA22-$Z$4&lt;MAX(AZ$4,VLOOKUP(AZ$6, Table_ChiPhiNV_Ca[], COUNTA(Table_ChiPhiNV_Ca[[#Headers],[Ca]:[Bắt đầu]]),0)),
$AA22&gt;MIN(AZ$5,VLOOKUP(AZ$6, Table_ChiPhiNV_Ca[], COUNTA(Table_ChiPhiNV_Ca[[#Headers],[Ca]:[Kết thúc]]),0))),0,
SUM(_xlfn._xlws.FILTER(Table_BangLuong_TyLeTangCa[Tỷ lệ],
(Table_BangLuong_TyLeTangCa[Ngày] = "Thường") *
(Table_BangLuong_TyLeTangCa[Giờ min]&lt;=$AA22) *
(Table_BangLuong_TyLeTangCa[Giờ max]&gt;$AA22)
))),
IF(
AND(
$AA22-$Z$4&gt;=MAX(AZ$4,VLOOKUP(AZ$6, Table_ChiPhiNV_Ca[], COUNTA(Table_ChiPhiNV_Ca[[#Headers],[Ca]:[Bắt đầu]]),0)),
$AA22&lt;MIN(AZ$5,VLOOKUP(AZ$6, Table_ChiPhiNV_Ca[], COUNTA(Table_ChiPhiNV_Ca[[#Headers],[Ca]:[Kết thúc]]),0))),
SUM(_xlfn._xlws.FILTER(Table_BangLuong_TyLeTangCa[Tỷ lệ],
(Table_BangLuong_TyLeTangCa[Ngày] = "Thường") *
(Table_BangLuong_TyLeTangCa[Giờ min]&lt;=$AA22) *
(Table_BangLuong_TyLeTangCa[Giờ max]&gt;$AA22)
)),0)
)),
IF(AZ$4 &lt; AZ$5,
IF($AA22-$Z$4&lt;AZ$4,0,
IF($AA22&gt;AZ$5,0,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AZ$5,$AA22 &lt; AZ$4),0,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A22" s="18" cm="1">
        <f t="array" ref="BA22" xml:space="preserve">
IFERROR(
IF(BA$1="",0,
IF(AND(
$AA22&gt;=VLOOKUP(BA$6, Table_ChiPhiNV_Ca[], COUNTA(Table_ChiPhiNV_Ca[[#Headers],[Ca]:[Bắt đầu nghỉ]]),0),
$AA22&lt;VLOOKUP(BA$6, Table_ChiPhiNV_Ca[], COUNTA(Table_ChiPhiNV_Ca[[#Headers],[Ca]:[Kết thúc nghỉ]]),0)
),0,
IF(NOT(ISBLANK(BA$3)),
IF(ISBLANK(BA$7),0,
IF(BA$4 &lt; BA$5,
IF($AA22-$Z$4&lt;BA$4,0,
IF($AA22&gt;BA$5,0,
SUM(_xlfn._xlws.FILTER(Table_BangLuong_TyLeTangCa[Tỷ lệ],
(Table_BangLuong_TyLeTangCa[Ngày] = BA$3) *
(Table_BangLuong_TyLeTangCa[Giờ min]&lt;=$AA22) *
(Table_BangLuong_TyLeTangCa[Giờ max]&gt;$AA22)
)))),
IF(AND($AA22-$Z$4 &gt;= BA$5,$AA22 &lt; BA$4),0,
SUM(_xlfn._xlws.FILTER(Table_BangLuong_TyLeTangCa[Tỷ lệ],
(Table_BangLuong_TyLeTangCa[Ngày] = BA$3) *
(Table_BangLuong_TyLeTangCa[Giờ min]&lt;=$AA22) *
(Table_BangLuong_TyLeTangCa[Giờ max]&gt;$AA22)
))))
),
IF(ISBLANK(BA$7),
IF(VLOOKUP(BA$6, Table_ChiPhiNV_Ca[], COUNTA(Table_ChiPhiNV_Ca[[#Headers],[Ca]:[Kết thúc]]),0)&gt; VLOOKUP(BA$6, Table_ChiPhiNV_Ca[], COUNTA(Table_ChiPhiNV_Ca[[#Headers],[Ca]:[Bắt đầu]]),0),
IF($AA22-$Z$4&lt;MAX(BA$4,VLOOKUP(BA$6, Table_ChiPhiNV_Ca[], COUNTA(Table_ChiPhiNV_Ca[[#Headers],[Ca]:[Bắt đầu]]),0)),0,
IF($AA22&gt;MIN(BA$5,VLOOKUP(BA$6, Table_ChiPhiNV_Ca[], COUNTA(Table_ChiPhiNV_Ca[[#Headers],[Ca]:[Kết thúc]]),0)),0,
SUM(_xlfn._xlws.FILTER(Table_BangLuong_TyLeTangCa[Tỷ lệ],
(Table_BangLuong_TyLeTangCa[Ngày] = "Thường") *
(Table_BangLuong_TyLeTangCa[Giờ min]&lt;=$AA22) *
(Table_BangLuong_TyLeTangCa[Giờ max]&gt;$AA22)
)))),
IF(BA$4 &gt; BA$5,
IF(
AND(
$AA22-$Z$4&lt;MAX(BA$4,VLOOKUP(BA$6, Table_ChiPhiNV_Ca[], COUNTA(Table_ChiPhiNV_Ca[[#Headers],[Ca]:[Bắt đầu]]),0)),
$AA22&gt;MIN(BA$5,VLOOKUP(BA$6, Table_ChiPhiNV_Ca[], COUNTA(Table_ChiPhiNV_Ca[[#Headers],[Ca]:[Kết thúc]]),0))),0,
SUM(_xlfn._xlws.FILTER(Table_BangLuong_TyLeTangCa[Tỷ lệ],
(Table_BangLuong_TyLeTangCa[Ngày] = "Thường") *
(Table_BangLuong_TyLeTangCa[Giờ min]&lt;=$AA22) *
(Table_BangLuong_TyLeTangCa[Giờ max]&gt;$AA22)
))),
IF(
AND(
$AA22-$Z$4&gt;=MAX(BA$4,VLOOKUP(BA$6, Table_ChiPhiNV_Ca[], COUNTA(Table_ChiPhiNV_Ca[[#Headers],[Ca]:[Bắt đầu]]),0)),
$AA22&lt;MIN(BA$5,VLOOKUP(BA$6, Table_ChiPhiNV_Ca[], COUNTA(Table_ChiPhiNV_Ca[[#Headers],[Ca]:[Kết thúc]]),0))),
SUM(_xlfn._xlws.FILTER(Table_BangLuong_TyLeTangCa[Tỷ lệ],
(Table_BangLuong_TyLeTangCa[Ngày] = "Thường") *
(Table_BangLuong_TyLeTangCa[Giờ min]&lt;=$AA22) *
(Table_BangLuong_TyLeTangCa[Giờ max]&gt;$AA22)
)),0)
)),
IF(BA$4 &lt; BA$5,
IF($AA22-$Z$4&lt;BA$4,0,
IF($AA22&gt;BA$5,0,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BA$5,$AA22 &lt; BA$4),0,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B22" s="18" cm="1">
        <f t="array" ref="BB22" xml:space="preserve">
IFERROR(
IF(BB$1="",0,
IF(AND(
$AA22&gt;=VLOOKUP(BB$6, Table_ChiPhiNV_Ca[], COUNTA(Table_ChiPhiNV_Ca[[#Headers],[Ca]:[Bắt đầu nghỉ]]),0),
$AA22&lt;VLOOKUP(BB$6, Table_ChiPhiNV_Ca[], COUNTA(Table_ChiPhiNV_Ca[[#Headers],[Ca]:[Kết thúc nghỉ]]),0)
),0,
IF(NOT(ISBLANK(BB$3)),
IF(ISBLANK(BB$7),0,
IF(BB$4 &lt; BB$5,
IF($AA22-$Z$4&lt;BB$4,0,
IF($AA22&gt;BB$5,0,
SUM(_xlfn._xlws.FILTER(Table_BangLuong_TyLeTangCa[Tỷ lệ],
(Table_BangLuong_TyLeTangCa[Ngày] = BB$3) *
(Table_BangLuong_TyLeTangCa[Giờ min]&lt;=$AA22) *
(Table_BangLuong_TyLeTangCa[Giờ max]&gt;$AA22)
)))),
IF(AND($AA22-$Z$4 &gt;= BB$5,$AA22 &lt; BB$4),0,
SUM(_xlfn._xlws.FILTER(Table_BangLuong_TyLeTangCa[Tỷ lệ],
(Table_BangLuong_TyLeTangCa[Ngày] = BB$3) *
(Table_BangLuong_TyLeTangCa[Giờ min]&lt;=$AA22) *
(Table_BangLuong_TyLeTangCa[Giờ max]&gt;$AA22)
))))
),
IF(ISBLANK(BB$7),
IF(VLOOKUP(BB$6, Table_ChiPhiNV_Ca[], COUNTA(Table_ChiPhiNV_Ca[[#Headers],[Ca]:[Kết thúc]]),0)&gt; VLOOKUP(BB$6, Table_ChiPhiNV_Ca[], COUNTA(Table_ChiPhiNV_Ca[[#Headers],[Ca]:[Bắt đầu]]),0),
IF($AA22-$Z$4&lt;MAX(BB$4,VLOOKUP(BB$6, Table_ChiPhiNV_Ca[], COUNTA(Table_ChiPhiNV_Ca[[#Headers],[Ca]:[Bắt đầu]]),0)),0,
IF($AA22&gt;MIN(BB$5,VLOOKUP(BB$6, Table_ChiPhiNV_Ca[], COUNTA(Table_ChiPhiNV_Ca[[#Headers],[Ca]:[Kết thúc]]),0)),0,
SUM(_xlfn._xlws.FILTER(Table_BangLuong_TyLeTangCa[Tỷ lệ],
(Table_BangLuong_TyLeTangCa[Ngày] = "Thường") *
(Table_BangLuong_TyLeTangCa[Giờ min]&lt;=$AA22) *
(Table_BangLuong_TyLeTangCa[Giờ max]&gt;$AA22)
)))),
IF(BB$4 &gt; BB$5,
IF(
AND(
$AA22-$Z$4&lt;MAX(BB$4,VLOOKUP(BB$6, Table_ChiPhiNV_Ca[], COUNTA(Table_ChiPhiNV_Ca[[#Headers],[Ca]:[Bắt đầu]]),0)),
$AA22&gt;MIN(BB$5,VLOOKUP(BB$6, Table_ChiPhiNV_Ca[], COUNTA(Table_ChiPhiNV_Ca[[#Headers],[Ca]:[Kết thúc]]),0))),0,
SUM(_xlfn._xlws.FILTER(Table_BangLuong_TyLeTangCa[Tỷ lệ],
(Table_BangLuong_TyLeTangCa[Ngày] = "Thường") *
(Table_BangLuong_TyLeTangCa[Giờ min]&lt;=$AA22) *
(Table_BangLuong_TyLeTangCa[Giờ max]&gt;$AA22)
))),
IF(
AND(
$AA22-$Z$4&gt;=MAX(BB$4,VLOOKUP(BB$6, Table_ChiPhiNV_Ca[], COUNTA(Table_ChiPhiNV_Ca[[#Headers],[Ca]:[Bắt đầu]]),0)),
$AA22&lt;MIN(BB$5,VLOOKUP(BB$6, Table_ChiPhiNV_Ca[], COUNTA(Table_ChiPhiNV_Ca[[#Headers],[Ca]:[Kết thúc]]),0))),
SUM(_xlfn._xlws.FILTER(Table_BangLuong_TyLeTangCa[Tỷ lệ],
(Table_BangLuong_TyLeTangCa[Ngày] = "Thường") *
(Table_BangLuong_TyLeTangCa[Giờ min]&lt;=$AA22) *
(Table_BangLuong_TyLeTangCa[Giờ max]&gt;$AA22)
)),0)
)),
IF(BB$4 &lt; BB$5,
IF($AA22-$Z$4&lt;BB$4,0,
IF($AA22&gt;BB$5,0,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BB$5,$AA22 &lt; BB$4),0,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C22" s="18" cm="1">
        <f t="array" ref="BC22" xml:space="preserve">
IFERROR(
IF(BC$1="",0,
IF(AND(
$AA22&gt;=VLOOKUP(BC$6, Table_ChiPhiNV_Ca[], COUNTA(Table_ChiPhiNV_Ca[[#Headers],[Ca]:[Bắt đầu nghỉ]]),0),
$AA22&lt;VLOOKUP(BC$6, Table_ChiPhiNV_Ca[], COUNTA(Table_ChiPhiNV_Ca[[#Headers],[Ca]:[Kết thúc nghỉ]]),0)
),0,
IF(NOT(ISBLANK(BC$3)),
IF(ISBLANK(BC$7),0,
IF(BC$4 &lt; BC$5,
IF($AA22-$Z$4&lt;BC$4,0,
IF($AA22&gt;BC$5,0,
SUM(_xlfn._xlws.FILTER(Table_BangLuong_TyLeTangCa[Tỷ lệ],
(Table_BangLuong_TyLeTangCa[Ngày] = BC$3) *
(Table_BangLuong_TyLeTangCa[Giờ min]&lt;=$AA22) *
(Table_BangLuong_TyLeTangCa[Giờ max]&gt;$AA22)
)))),
IF(AND($AA22-$Z$4 &gt;= BC$5,$AA22 &lt; BC$4),0,
SUM(_xlfn._xlws.FILTER(Table_BangLuong_TyLeTangCa[Tỷ lệ],
(Table_BangLuong_TyLeTangCa[Ngày] = BC$3) *
(Table_BangLuong_TyLeTangCa[Giờ min]&lt;=$AA22) *
(Table_BangLuong_TyLeTangCa[Giờ max]&gt;$AA22)
))))
),
IF(ISBLANK(BC$7),
IF(VLOOKUP(BC$6, Table_ChiPhiNV_Ca[], COUNTA(Table_ChiPhiNV_Ca[[#Headers],[Ca]:[Kết thúc]]),0)&gt; VLOOKUP(BC$6, Table_ChiPhiNV_Ca[], COUNTA(Table_ChiPhiNV_Ca[[#Headers],[Ca]:[Bắt đầu]]),0),
IF($AA22-$Z$4&lt;MAX(BC$4,VLOOKUP(BC$6, Table_ChiPhiNV_Ca[], COUNTA(Table_ChiPhiNV_Ca[[#Headers],[Ca]:[Bắt đầu]]),0)),0,
IF($AA22&gt;MIN(BC$5,VLOOKUP(BC$6, Table_ChiPhiNV_Ca[], COUNTA(Table_ChiPhiNV_Ca[[#Headers],[Ca]:[Kết thúc]]),0)),0,
SUM(_xlfn._xlws.FILTER(Table_BangLuong_TyLeTangCa[Tỷ lệ],
(Table_BangLuong_TyLeTangCa[Ngày] = "Thường") *
(Table_BangLuong_TyLeTangCa[Giờ min]&lt;=$AA22) *
(Table_BangLuong_TyLeTangCa[Giờ max]&gt;$AA22)
)))),
IF(BC$4 &gt; BC$5,
IF(
AND(
$AA22-$Z$4&lt;MAX(BC$4,VLOOKUP(BC$6, Table_ChiPhiNV_Ca[], COUNTA(Table_ChiPhiNV_Ca[[#Headers],[Ca]:[Bắt đầu]]),0)),
$AA22&gt;MIN(BC$5,VLOOKUP(BC$6, Table_ChiPhiNV_Ca[], COUNTA(Table_ChiPhiNV_Ca[[#Headers],[Ca]:[Kết thúc]]),0))),0,
SUM(_xlfn._xlws.FILTER(Table_BangLuong_TyLeTangCa[Tỷ lệ],
(Table_BangLuong_TyLeTangCa[Ngày] = "Thường") *
(Table_BangLuong_TyLeTangCa[Giờ min]&lt;=$AA22) *
(Table_BangLuong_TyLeTangCa[Giờ max]&gt;$AA22)
))),
IF(
AND(
$AA22-$Z$4&gt;=MAX(BC$4,VLOOKUP(BC$6, Table_ChiPhiNV_Ca[], COUNTA(Table_ChiPhiNV_Ca[[#Headers],[Ca]:[Bắt đầu]]),0)),
$AA22&lt;MIN(BC$5,VLOOKUP(BC$6, Table_ChiPhiNV_Ca[], COUNTA(Table_ChiPhiNV_Ca[[#Headers],[Ca]:[Kết thúc]]),0))),
SUM(_xlfn._xlws.FILTER(Table_BangLuong_TyLeTangCa[Tỷ lệ],
(Table_BangLuong_TyLeTangCa[Ngày] = "Thường") *
(Table_BangLuong_TyLeTangCa[Giờ min]&lt;=$AA22) *
(Table_BangLuong_TyLeTangCa[Giờ max]&gt;$AA22)
)),0)
)),
IF(BC$4 &lt; BC$5,
IF($AA22-$Z$4&lt;BC$4,0,
IF($AA22&gt;BC$5,0,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BC$5,$AA22 &lt; BC$4),0,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D22" s="18" cm="1">
        <f t="array" ref="BD22" xml:space="preserve">
IFERROR(
IF(BD$1="",0,
IF(AND(
$AA22&gt;=VLOOKUP(BD$6, Table_ChiPhiNV_Ca[], COUNTA(Table_ChiPhiNV_Ca[[#Headers],[Ca]:[Bắt đầu nghỉ]]),0),
$AA22&lt;VLOOKUP(BD$6, Table_ChiPhiNV_Ca[], COUNTA(Table_ChiPhiNV_Ca[[#Headers],[Ca]:[Kết thúc nghỉ]]),0)
),0,
IF(NOT(ISBLANK(BD$3)),
IF(ISBLANK(BD$7),0,
IF(BD$4 &lt; BD$5,
IF($AA22-$Z$4&lt;BD$4,0,
IF($AA22&gt;BD$5,0,
SUM(_xlfn._xlws.FILTER(Table_BangLuong_TyLeTangCa[Tỷ lệ],
(Table_BangLuong_TyLeTangCa[Ngày] = BD$3) *
(Table_BangLuong_TyLeTangCa[Giờ min]&lt;=$AA22) *
(Table_BangLuong_TyLeTangCa[Giờ max]&gt;$AA22)
)))),
IF(AND($AA22-$Z$4 &gt;= BD$5,$AA22 &lt; BD$4),0,
SUM(_xlfn._xlws.FILTER(Table_BangLuong_TyLeTangCa[Tỷ lệ],
(Table_BangLuong_TyLeTangCa[Ngày] = BD$3) *
(Table_BangLuong_TyLeTangCa[Giờ min]&lt;=$AA22) *
(Table_BangLuong_TyLeTangCa[Giờ max]&gt;$AA22)
))))
),
IF(ISBLANK(BD$7),
IF(VLOOKUP(BD$6, Table_ChiPhiNV_Ca[], COUNTA(Table_ChiPhiNV_Ca[[#Headers],[Ca]:[Kết thúc]]),0)&gt; VLOOKUP(BD$6, Table_ChiPhiNV_Ca[], COUNTA(Table_ChiPhiNV_Ca[[#Headers],[Ca]:[Bắt đầu]]),0),
IF($AA22-$Z$4&lt;MAX(BD$4,VLOOKUP(BD$6, Table_ChiPhiNV_Ca[], COUNTA(Table_ChiPhiNV_Ca[[#Headers],[Ca]:[Bắt đầu]]),0)),0,
IF($AA22&gt;MIN(BD$5,VLOOKUP(BD$6, Table_ChiPhiNV_Ca[], COUNTA(Table_ChiPhiNV_Ca[[#Headers],[Ca]:[Kết thúc]]),0)),0,
SUM(_xlfn._xlws.FILTER(Table_BangLuong_TyLeTangCa[Tỷ lệ],
(Table_BangLuong_TyLeTangCa[Ngày] = "Thường") *
(Table_BangLuong_TyLeTangCa[Giờ min]&lt;=$AA22) *
(Table_BangLuong_TyLeTangCa[Giờ max]&gt;$AA22)
)))),
IF(BD$4 &gt; BD$5,
IF(
AND(
$AA22-$Z$4&lt;MAX(BD$4,VLOOKUP(BD$6, Table_ChiPhiNV_Ca[], COUNTA(Table_ChiPhiNV_Ca[[#Headers],[Ca]:[Bắt đầu]]),0)),
$AA22&gt;MIN(BD$5,VLOOKUP(BD$6, Table_ChiPhiNV_Ca[], COUNTA(Table_ChiPhiNV_Ca[[#Headers],[Ca]:[Kết thúc]]),0))),0,
SUM(_xlfn._xlws.FILTER(Table_BangLuong_TyLeTangCa[Tỷ lệ],
(Table_BangLuong_TyLeTangCa[Ngày] = "Thường") *
(Table_BangLuong_TyLeTangCa[Giờ min]&lt;=$AA22) *
(Table_BangLuong_TyLeTangCa[Giờ max]&gt;$AA22)
))),
IF(
AND(
$AA22-$Z$4&gt;=MAX(BD$4,VLOOKUP(BD$6, Table_ChiPhiNV_Ca[], COUNTA(Table_ChiPhiNV_Ca[[#Headers],[Ca]:[Bắt đầu]]),0)),
$AA22&lt;MIN(BD$5,VLOOKUP(BD$6, Table_ChiPhiNV_Ca[], COUNTA(Table_ChiPhiNV_Ca[[#Headers],[Ca]:[Kết thúc]]),0))),
SUM(_xlfn._xlws.FILTER(Table_BangLuong_TyLeTangCa[Tỷ lệ],
(Table_BangLuong_TyLeTangCa[Ngày] = "Thường") *
(Table_BangLuong_TyLeTangCa[Giờ min]&lt;=$AA22) *
(Table_BangLuong_TyLeTangCa[Giờ max]&gt;$AA22)
)),0)
)),
IF(BD$4 &lt; BD$5,
IF($AA22-$Z$4&lt;BD$4,0,
IF($AA22&gt;BD$5,0,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BD$5,$AA22 &lt; BD$4),0,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E22" s="18" cm="1">
        <f t="array" ref="BE22" xml:space="preserve">
IFERROR(
IF(BE$1="",0,
IF(AND(
$AA22&gt;=VLOOKUP(BE$6, Table_ChiPhiNV_Ca[], COUNTA(Table_ChiPhiNV_Ca[[#Headers],[Ca]:[Bắt đầu nghỉ]]),0),
$AA22&lt;VLOOKUP(BE$6, Table_ChiPhiNV_Ca[], COUNTA(Table_ChiPhiNV_Ca[[#Headers],[Ca]:[Kết thúc nghỉ]]),0)
),0,
IF(NOT(ISBLANK(BE$3)),
IF(ISBLANK(BE$7),0,
IF(BE$4 &lt; BE$5,
IF($AA22-$Z$4&lt;BE$4,0,
IF($AA22&gt;BE$5,0,
SUM(_xlfn._xlws.FILTER(Table_BangLuong_TyLeTangCa[Tỷ lệ],
(Table_BangLuong_TyLeTangCa[Ngày] = BE$3) *
(Table_BangLuong_TyLeTangCa[Giờ min]&lt;=$AA22) *
(Table_BangLuong_TyLeTangCa[Giờ max]&gt;$AA22)
)))),
IF(AND($AA22-$Z$4 &gt;= BE$5,$AA22 &lt; BE$4),0,
SUM(_xlfn._xlws.FILTER(Table_BangLuong_TyLeTangCa[Tỷ lệ],
(Table_BangLuong_TyLeTangCa[Ngày] = BE$3) *
(Table_BangLuong_TyLeTangCa[Giờ min]&lt;=$AA22) *
(Table_BangLuong_TyLeTangCa[Giờ max]&gt;$AA22)
))))
),
IF(ISBLANK(BE$7),
IF(VLOOKUP(BE$6, Table_ChiPhiNV_Ca[], COUNTA(Table_ChiPhiNV_Ca[[#Headers],[Ca]:[Kết thúc]]),0)&gt; VLOOKUP(BE$6, Table_ChiPhiNV_Ca[], COUNTA(Table_ChiPhiNV_Ca[[#Headers],[Ca]:[Bắt đầu]]),0),
IF($AA22-$Z$4&lt;MAX(BE$4,VLOOKUP(BE$6, Table_ChiPhiNV_Ca[], COUNTA(Table_ChiPhiNV_Ca[[#Headers],[Ca]:[Bắt đầu]]),0)),0,
IF($AA22&gt;MIN(BE$5,VLOOKUP(BE$6, Table_ChiPhiNV_Ca[], COUNTA(Table_ChiPhiNV_Ca[[#Headers],[Ca]:[Kết thúc]]),0)),0,
SUM(_xlfn._xlws.FILTER(Table_BangLuong_TyLeTangCa[Tỷ lệ],
(Table_BangLuong_TyLeTangCa[Ngày] = "Thường") *
(Table_BangLuong_TyLeTangCa[Giờ min]&lt;=$AA22) *
(Table_BangLuong_TyLeTangCa[Giờ max]&gt;$AA22)
)))),
IF(BE$4 &gt; BE$5,
IF(
AND(
$AA22-$Z$4&lt;MAX(BE$4,VLOOKUP(BE$6, Table_ChiPhiNV_Ca[], COUNTA(Table_ChiPhiNV_Ca[[#Headers],[Ca]:[Bắt đầu]]),0)),
$AA22&gt;MIN(BE$5,VLOOKUP(BE$6, Table_ChiPhiNV_Ca[], COUNTA(Table_ChiPhiNV_Ca[[#Headers],[Ca]:[Kết thúc]]),0))),0,
SUM(_xlfn._xlws.FILTER(Table_BangLuong_TyLeTangCa[Tỷ lệ],
(Table_BangLuong_TyLeTangCa[Ngày] = "Thường") *
(Table_BangLuong_TyLeTangCa[Giờ min]&lt;=$AA22) *
(Table_BangLuong_TyLeTangCa[Giờ max]&gt;$AA22)
))),
IF(
AND(
$AA22-$Z$4&gt;=MAX(BE$4,VLOOKUP(BE$6, Table_ChiPhiNV_Ca[], COUNTA(Table_ChiPhiNV_Ca[[#Headers],[Ca]:[Bắt đầu]]),0)),
$AA22&lt;MIN(BE$5,VLOOKUP(BE$6, Table_ChiPhiNV_Ca[], COUNTA(Table_ChiPhiNV_Ca[[#Headers],[Ca]:[Kết thúc]]),0))),
SUM(_xlfn._xlws.FILTER(Table_BangLuong_TyLeTangCa[Tỷ lệ],
(Table_BangLuong_TyLeTangCa[Ngày] = "Thường") *
(Table_BangLuong_TyLeTangCa[Giờ min]&lt;=$AA22) *
(Table_BangLuong_TyLeTangCa[Giờ max]&gt;$AA22)
)),0)
)),
IF(BE$4 &lt; BE$5,
IF($AA22-$Z$4&lt;BE$4,0,
IF($AA22&gt;BE$5,0,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BE$5,$AA22 &lt; BE$4),0,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F22" s="18" cm="1">
        <f t="array" ref="BF22" xml:space="preserve">
IFERROR(
IF(BF$1="",0,
IF(AND(
$AA22&gt;=VLOOKUP(BF$6, Table_ChiPhiNV_Ca[], COUNTA(Table_ChiPhiNV_Ca[[#Headers],[Ca]:[Bắt đầu nghỉ]]),0),
$AA22&lt;VLOOKUP(BF$6, Table_ChiPhiNV_Ca[], COUNTA(Table_ChiPhiNV_Ca[[#Headers],[Ca]:[Kết thúc nghỉ]]),0)
),0,
IF(NOT(ISBLANK(BF$3)),
IF(ISBLANK(BF$7),0,
IF(BF$4 &lt; BF$5,
IF($AA22-$Z$4&lt;BF$4,0,
IF($AA22&gt;BF$5,0,
SUM(_xlfn._xlws.FILTER(Table_BangLuong_TyLeTangCa[Tỷ lệ],
(Table_BangLuong_TyLeTangCa[Ngày] = BF$3) *
(Table_BangLuong_TyLeTangCa[Giờ min]&lt;=$AA22) *
(Table_BangLuong_TyLeTangCa[Giờ max]&gt;$AA22)
)))),
IF(AND($AA22-$Z$4 &gt;= BF$5,$AA22 &lt; BF$4),0,
SUM(_xlfn._xlws.FILTER(Table_BangLuong_TyLeTangCa[Tỷ lệ],
(Table_BangLuong_TyLeTangCa[Ngày] = BF$3) *
(Table_BangLuong_TyLeTangCa[Giờ min]&lt;=$AA22) *
(Table_BangLuong_TyLeTangCa[Giờ max]&gt;$AA22)
))))
),
IF(ISBLANK(BF$7),
IF(VLOOKUP(BF$6, Table_ChiPhiNV_Ca[], COUNTA(Table_ChiPhiNV_Ca[[#Headers],[Ca]:[Kết thúc]]),0)&gt; VLOOKUP(BF$6, Table_ChiPhiNV_Ca[], COUNTA(Table_ChiPhiNV_Ca[[#Headers],[Ca]:[Bắt đầu]]),0),
IF($AA22-$Z$4&lt;MAX(BF$4,VLOOKUP(BF$6, Table_ChiPhiNV_Ca[], COUNTA(Table_ChiPhiNV_Ca[[#Headers],[Ca]:[Bắt đầu]]),0)),0,
IF($AA22&gt;MIN(BF$5,VLOOKUP(BF$6, Table_ChiPhiNV_Ca[], COUNTA(Table_ChiPhiNV_Ca[[#Headers],[Ca]:[Kết thúc]]),0)),0,
SUM(_xlfn._xlws.FILTER(Table_BangLuong_TyLeTangCa[Tỷ lệ],
(Table_BangLuong_TyLeTangCa[Ngày] = "Thường") *
(Table_BangLuong_TyLeTangCa[Giờ min]&lt;=$AA22) *
(Table_BangLuong_TyLeTangCa[Giờ max]&gt;$AA22)
)))),
IF(BF$4 &gt; BF$5,
IF(
AND(
$AA22-$Z$4&lt;MAX(BF$4,VLOOKUP(BF$6, Table_ChiPhiNV_Ca[], COUNTA(Table_ChiPhiNV_Ca[[#Headers],[Ca]:[Bắt đầu]]),0)),
$AA22&gt;MIN(BF$5,VLOOKUP(BF$6, Table_ChiPhiNV_Ca[], COUNTA(Table_ChiPhiNV_Ca[[#Headers],[Ca]:[Kết thúc]]),0))),0,
SUM(_xlfn._xlws.FILTER(Table_BangLuong_TyLeTangCa[Tỷ lệ],
(Table_BangLuong_TyLeTangCa[Ngày] = "Thường") *
(Table_BangLuong_TyLeTangCa[Giờ min]&lt;=$AA22) *
(Table_BangLuong_TyLeTangCa[Giờ max]&gt;$AA22)
))),
IF(
AND(
$AA22-$Z$4&gt;=MAX(BF$4,VLOOKUP(BF$6, Table_ChiPhiNV_Ca[], COUNTA(Table_ChiPhiNV_Ca[[#Headers],[Ca]:[Bắt đầu]]),0)),
$AA22&lt;MIN(BF$5,VLOOKUP(BF$6, Table_ChiPhiNV_Ca[], COUNTA(Table_ChiPhiNV_Ca[[#Headers],[Ca]:[Kết thúc]]),0))),
SUM(_xlfn._xlws.FILTER(Table_BangLuong_TyLeTangCa[Tỷ lệ],
(Table_BangLuong_TyLeTangCa[Ngày] = "Thường") *
(Table_BangLuong_TyLeTangCa[Giờ min]&lt;=$AA22) *
(Table_BangLuong_TyLeTangCa[Giờ max]&gt;$AA22)
)),0)
)),
IF(BF$4 &lt; BF$5,
IF($AA22-$Z$4&lt;BF$4,0,
IF($AA22&gt;BF$5,0,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BF$5,$AA22 &lt; BF$4),0,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row>
    <row r="23" spans="2:58" ht="18" customHeight="1" outlineLevel="1" x14ac:dyDescent="0.3">
      <c r="J23" s="11"/>
      <c r="K23" s="11"/>
      <c r="L23" s="11"/>
      <c r="M23" s="11"/>
      <c r="AA23" s="50">
        <v>0.29166666666666702</v>
      </c>
      <c r="AB23" s="18" cm="1">
        <f t="array" ref="AB23" xml:space="preserve">
IFERROR(
IF(AB$1="",0,
IF(AND(
$AA23&gt;=VLOOKUP(AB$6, Table_ChiPhiNV_Ca[], COUNTA(Table_ChiPhiNV_Ca[[#Headers],[Ca]:[Bắt đầu nghỉ]]),0),
$AA23&lt;VLOOKUP(AB$6, Table_ChiPhiNV_Ca[], COUNTA(Table_ChiPhiNV_Ca[[#Headers],[Ca]:[Kết thúc nghỉ]]),0)
),0,
IF(NOT(ISBLANK(AB$3)),
IF(ISBLANK(AB$7),0,
IF(AB$4 &lt; AB$5,
IF($AA23-$Z$4&lt;AB$4,0,
IF($AA23&gt;AB$5,0,
SUM(_xlfn._xlws.FILTER(Table_BangLuong_TyLeTangCa[Tỷ lệ],
(Table_BangLuong_TyLeTangCa[Ngày] = AB$3) *
(Table_BangLuong_TyLeTangCa[Giờ min]&lt;=$AA23) *
(Table_BangLuong_TyLeTangCa[Giờ max]&gt;$AA23)
)))),
IF(AND($AA23-$Z$4 &gt;= AB$5,$AA23 &lt; AB$4),0,
SUM(_xlfn._xlws.FILTER(Table_BangLuong_TyLeTangCa[Tỷ lệ],
(Table_BangLuong_TyLeTangCa[Ngày] = AB$3) *
(Table_BangLuong_TyLeTangCa[Giờ min]&lt;=$AA23) *
(Table_BangLuong_TyLeTangCa[Giờ max]&gt;$AA23)
))))
),
IF(ISBLANK(AB$7),
IF(VLOOKUP(AB$6, Table_ChiPhiNV_Ca[], COUNTA(Table_ChiPhiNV_Ca[[#Headers],[Ca]:[Kết thúc]]),0)&gt; VLOOKUP(AB$6, Table_ChiPhiNV_Ca[], COUNTA(Table_ChiPhiNV_Ca[[#Headers],[Ca]:[Bắt đầu]]),0),
IF($AA23-$Z$4&lt;MAX(AB$4,VLOOKUP(AB$6, Table_ChiPhiNV_Ca[], COUNTA(Table_ChiPhiNV_Ca[[#Headers],[Ca]:[Bắt đầu]]),0)),0,
IF($AA23&gt;MIN(AB$5,VLOOKUP(AB$6, Table_ChiPhiNV_Ca[], COUNTA(Table_ChiPhiNV_Ca[[#Headers],[Ca]:[Kết thúc]]),0)),0,
SUM(_xlfn._xlws.FILTER(Table_BangLuong_TyLeTangCa[Tỷ lệ],
(Table_BangLuong_TyLeTangCa[Ngày] = "Thường") *
(Table_BangLuong_TyLeTangCa[Giờ min]&lt;=$AA23) *
(Table_BangLuong_TyLeTangCa[Giờ max]&gt;$AA23)
)))),
IF(AB$4 &gt; AB$5,
IF(
AND(
$AA23-$Z$4&lt;MAX(AB$4,VLOOKUP(AB$6, Table_ChiPhiNV_Ca[], COUNTA(Table_ChiPhiNV_Ca[[#Headers],[Ca]:[Bắt đầu]]),0)),
$AA23&gt;MIN(AB$5,VLOOKUP(AB$6, Table_ChiPhiNV_Ca[], COUNTA(Table_ChiPhiNV_Ca[[#Headers],[Ca]:[Kết thúc]]),0))),0,
SUM(_xlfn._xlws.FILTER(Table_BangLuong_TyLeTangCa[Tỷ lệ],
(Table_BangLuong_TyLeTangCa[Ngày] = "Thường") *
(Table_BangLuong_TyLeTangCa[Giờ min]&lt;=$AA23) *
(Table_BangLuong_TyLeTangCa[Giờ max]&gt;$AA23)
))),
IF(
AND(
$AA23-$Z$4&gt;=MAX(AB$4,VLOOKUP(AB$6, Table_ChiPhiNV_Ca[], COUNTA(Table_ChiPhiNV_Ca[[#Headers],[Ca]:[Bắt đầu]]),0)),
$AA23&lt;MIN(AB$5,VLOOKUP(AB$6, Table_ChiPhiNV_Ca[], COUNTA(Table_ChiPhiNV_Ca[[#Headers],[Ca]:[Kết thúc]]),0))),
SUM(_xlfn._xlws.FILTER(Table_BangLuong_TyLeTangCa[Tỷ lệ],
(Table_BangLuong_TyLeTangCa[Ngày] = "Thường") *
(Table_BangLuong_TyLeTangCa[Giờ min]&lt;=$AA23) *
(Table_BangLuong_TyLeTangCa[Giờ max]&gt;$AA23)
)),0)
)),
IF(AB$4 &lt; AB$5,
IF($AA23-$Z$4&lt;AB$4,0,
IF($AA23&gt;AB$5,0,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AB$5,$AA23 &lt; AB$4),0,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C23" s="18" cm="1">
        <f t="array" ref="AC23" xml:space="preserve">
IFERROR(
IF(AC$1="",0,
IF(AND(
$AA23&gt;=VLOOKUP(AC$6, Table_ChiPhiNV_Ca[], COUNTA(Table_ChiPhiNV_Ca[[#Headers],[Ca]:[Bắt đầu nghỉ]]),0),
$AA23&lt;VLOOKUP(AC$6, Table_ChiPhiNV_Ca[], COUNTA(Table_ChiPhiNV_Ca[[#Headers],[Ca]:[Kết thúc nghỉ]]),0)
),0,
IF(NOT(ISBLANK(AC$3)),
IF(ISBLANK(AC$7),0,
IF(AC$4 &lt; AC$5,
IF($AA23-$Z$4&lt;AC$4,0,
IF($AA23&gt;AC$5,0,
SUM(_xlfn._xlws.FILTER(Table_BangLuong_TyLeTangCa[Tỷ lệ],
(Table_BangLuong_TyLeTangCa[Ngày] = AC$3) *
(Table_BangLuong_TyLeTangCa[Giờ min]&lt;=$AA23) *
(Table_BangLuong_TyLeTangCa[Giờ max]&gt;$AA23)
)))),
IF(AND($AA23-$Z$4 &gt;= AC$5,$AA23 &lt; AC$4),0,
SUM(_xlfn._xlws.FILTER(Table_BangLuong_TyLeTangCa[Tỷ lệ],
(Table_BangLuong_TyLeTangCa[Ngày] = AC$3) *
(Table_BangLuong_TyLeTangCa[Giờ min]&lt;=$AA23) *
(Table_BangLuong_TyLeTangCa[Giờ max]&gt;$AA23)
))))
),
IF(ISBLANK(AC$7),
IF(VLOOKUP(AC$6, Table_ChiPhiNV_Ca[], COUNTA(Table_ChiPhiNV_Ca[[#Headers],[Ca]:[Kết thúc]]),0)&gt; VLOOKUP(AC$6, Table_ChiPhiNV_Ca[], COUNTA(Table_ChiPhiNV_Ca[[#Headers],[Ca]:[Bắt đầu]]),0),
IF($AA23-$Z$4&lt;MAX(AC$4,VLOOKUP(AC$6, Table_ChiPhiNV_Ca[], COUNTA(Table_ChiPhiNV_Ca[[#Headers],[Ca]:[Bắt đầu]]),0)),0,
IF($AA23&gt;MIN(AC$5,VLOOKUP(AC$6, Table_ChiPhiNV_Ca[], COUNTA(Table_ChiPhiNV_Ca[[#Headers],[Ca]:[Kết thúc]]),0)),0,
SUM(_xlfn._xlws.FILTER(Table_BangLuong_TyLeTangCa[Tỷ lệ],
(Table_BangLuong_TyLeTangCa[Ngày] = "Thường") *
(Table_BangLuong_TyLeTangCa[Giờ min]&lt;=$AA23) *
(Table_BangLuong_TyLeTangCa[Giờ max]&gt;$AA23)
)))),
IF(AC$4 &gt; AC$5,
IF(
AND(
$AA23-$Z$4&lt;MAX(AC$4,VLOOKUP(AC$6, Table_ChiPhiNV_Ca[], COUNTA(Table_ChiPhiNV_Ca[[#Headers],[Ca]:[Bắt đầu]]),0)),
$AA23&gt;MIN(AC$5,VLOOKUP(AC$6, Table_ChiPhiNV_Ca[], COUNTA(Table_ChiPhiNV_Ca[[#Headers],[Ca]:[Kết thúc]]),0))),0,
SUM(_xlfn._xlws.FILTER(Table_BangLuong_TyLeTangCa[Tỷ lệ],
(Table_BangLuong_TyLeTangCa[Ngày] = "Thường") *
(Table_BangLuong_TyLeTangCa[Giờ min]&lt;=$AA23) *
(Table_BangLuong_TyLeTangCa[Giờ max]&gt;$AA23)
))),
IF(
AND(
$AA23-$Z$4&gt;=MAX(AC$4,VLOOKUP(AC$6, Table_ChiPhiNV_Ca[], COUNTA(Table_ChiPhiNV_Ca[[#Headers],[Ca]:[Bắt đầu]]),0)),
$AA23&lt;MIN(AC$5,VLOOKUP(AC$6, Table_ChiPhiNV_Ca[], COUNTA(Table_ChiPhiNV_Ca[[#Headers],[Ca]:[Kết thúc]]),0))),
SUM(_xlfn._xlws.FILTER(Table_BangLuong_TyLeTangCa[Tỷ lệ],
(Table_BangLuong_TyLeTangCa[Ngày] = "Thường") *
(Table_BangLuong_TyLeTangCa[Giờ min]&lt;=$AA23) *
(Table_BangLuong_TyLeTangCa[Giờ max]&gt;$AA23)
)),0)
)),
IF(AC$4 &lt; AC$5,
IF($AA23-$Z$4&lt;AC$4,0,
IF($AA23&gt;AC$5,0,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AC$5,$AA23 &lt; AC$4),0,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D23" s="18" cm="1">
        <f t="array" ref="AD23" xml:space="preserve">
IFERROR(
IF(AD$1="",0,
IF(AND(
$AA23&gt;=VLOOKUP(AD$6, Table_ChiPhiNV_Ca[], COUNTA(Table_ChiPhiNV_Ca[[#Headers],[Ca]:[Bắt đầu nghỉ]]),0),
$AA23&lt;VLOOKUP(AD$6, Table_ChiPhiNV_Ca[], COUNTA(Table_ChiPhiNV_Ca[[#Headers],[Ca]:[Kết thúc nghỉ]]),0)
),0,
IF(NOT(ISBLANK(AD$3)),
IF(ISBLANK(AD$7),0,
IF(AD$4 &lt; AD$5,
IF($AA23-$Z$4&lt;AD$4,0,
IF($AA23&gt;AD$5,0,
SUM(_xlfn._xlws.FILTER(Table_BangLuong_TyLeTangCa[Tỷ lệ],
(Table_BangLuong_TyLeTangCa[Ngày] = AD$3) *
(Table_BangLuong_TyLeTangCa[Giờ min]&lt;=$AA23) *
(Table_BangLuong_TyLeTangCa[Giờ max]&gt;$AA23)
)))),
IF(AND($AA23-$Z$4 &gt;= AD$5,$AA23 &lt; AD$4),0,
SUM(_xlfn._xlws.FILTER(Table_BangLuong_TyLeTangCa[Tỷ lệ],
(Table_BangLuong_TyLeTangCa[Ngày] = AD$3) *
(Table_BangLuong_TyLeTangCa[Giờ min]&lt;=$AA23) *
(Table_BangLuong_TyLeTangCa[Giờ max]&gt;$AA23)
))))
),
IF(ISBLANK(AD$7),
IF(VLOOKUP(AD$6, Table_ChiPhiNV_Ca[], COUNTA(Table_ChiPhiNV_Ca[[#Headers],[Ca]:[Kết thúc]]),0)&gt; VLOOKUP(AD$6, Table_ChiPhiNV_Ca[], COUNTA(Table_ChiPhiNV_Ca[[#Headers],[Ca]:[Bắt đầu]]),0),
IF($AA23-$Z$4&lt;MAX(AD$4,VLOOKUP(AD$6, Table_ChiPhiNV_Ca[], COUNTA(Table_ChiPhiNV_Ca[[#Headers],[Ca]:[Bắt đầu]]),0)),0,
IF($AA23&gt;MIN(AD$5,VLOOKUP(AD$6, Table_ChiPhiNV_Ca[], COUNTA(Table_ChiPhiNV_Ca[[#Headers],[Ca]:[Kết thúc]]),0)),0,
SUM(_xlfn._xlws.FILTER(Table_BangLuong_TyLeTangCa[Tỷ lệ],
(Table_BangLuong_TyLeTangCa[Ngày] = "Thường") *
(Table_BangLuong_TyLeTangCa[Giờ min]&lt;=$AA23) *
(Table_BangLuong_TyLeTangCa[Giờ max]&gt;$AA23)
)))),
IF(AD$4 &gt; AD$5,
IF(
AND(
$AA23-$Z$4&lt;MAX(AD$4,VLOOKUP(AD$6, Table_ChiPhiNV_Ca[], COUNTA(Table_ChiPhiNV_Ca[[#Headers],[Ca]:[Bắt đầu]]),0)),
$AA23&gt;MIN(AD$5,VLOOKUP(AD$6, Table_ChiPhiNV_Ca[], COUNTA(Table_ChiPhiNV_Ca[[#Headers],[Ca]:[Kết thúc]]),0))),0,
SUM(_xlfn._xlws.FILTER(Table_BangLuong_TyLeTangCa[Tỷ lệ],
(Table_BangLuong_TyLeTangCa[Ngày] = "Thường") *
(Table_BangLuong_TyLeTangCa[Giờ min]&lt;=$AA23) *
(Table_BangLuong_TyLeTangCa[Giờ max]&gt;$AA23)
))),
IF(
AND(
$AA23-$Z$4&gt;=MAX(AD$4,VLOOKUP(AD$6, Table_ChiPhiNV_Ca[], COUNTA(Table_ChiPhiNV_Ca[[#Headers],[Ca]:[Bắt đầu]]),0)),
$AA23&lt;MIN(AD$5,VLOOKUP(AD$6, Table_ChiPhiNV_Ca[], COUNTA(Table_ChiPhiNV_Ca[[#Headers],[Ca]:[Kết thúc]]),0))),
SUM(_xlfn._xlws.FILTER(Table_BangLuong_TyLeTangCa[Tỷ lệ],
(Table_BangLuong_TyLeTangCa[Ngày] = "Thường") *
(Table_BangLuong_TyLeTangCa[Giờ min]&lt;=$AA23) *
(Table_BangLuong_TyLeTangCa[Giờ max]&gt;$AA23)
)),0)
)),
IF(AD$4 &lt; AD$5,
IF($AA23-$Z$4&lt;AD$4,0,
IF($AA23&gt;AD$5,0,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AD$5,$AA23 &lt; AD$4),0,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E23" s="18" cm="1">
        <f t="array" ref="AE23" xml:space="preserve">
IFERROR(
IF(AE$1="",0,
IF(AND(
$AA23&gt;=VLOOKUP(AE$6, Table_ChiPhiNV_Ca[], COUNTA(Table_ChiPhiNV_Ca[[#Headers],[Ca]:[Bắt đầu nghỉ]]),0),
$AA23&lt;VLOOKUP(AE$6, Table_ChiPhiNV_Ca[], COUNTA(Table_ChiPhiNV_Ca[[#Headers],[Ca]:[Kết thúc nghỉ]]),0)
),0,
IF(NOT(ISBLANK(AE$3)),
IF(ISBLANK(AE$7),0,
IF(AE$4 &lt; AE$5,
IF($AA23-$Z$4&lt;AE$4,0,
IF($AA23&gt;AE$5,0,
SUM(_xlfn._xlws.FILTER(Table_BangLuong_TyLeTangCa[Tỷ lệ],
(Table_BangLuong_TyLeTangCa[Ngày] = AE$3) *
(Table_BangLuong_TyLeTangCa[Giờ min]&lt;=$AA23) *
(Table_BangLuong_TyLeTangCa[Giờ max]&gt;$AA23)
)))),
IF(AND($AA23-$Z$4 &gt;= AE$5,$AA23 &lt; AE$4),0,
SUM(_xlfn._xlws.FILTER(Table_BangLuong_TyLeTangCa[Tỷ lệ],
(Table_BangLuong_TyLeTangCa[Ngày] = AE$3) *
(Table_BangLuong_TyLeTangCa[Giờ min]&lt;=$AA23) *
(Table_BangLuong_TyLeTangCa[Giờ max]&gt;$AA23)
))))
),
IF(ISBLANK(AE$7),
IF(VLOOKUP(AE$6, Table_ChiPhiNV_Ca[], COUNTA(Table_ChiPhiNV_Ca[[#Headers],[Ca]:[Kết thúc]]),0)&gt; VLOOKUP(AE$6, Table_ChiPhiNV_Ca[], COUNTA(Table_ChiPhiNV_Ca[[#Headers],[Ca]:[Bắt đầu]]),0),
IF($AA23-$Z$4&lt;MAX(AE$4,VLOOKUP(AE$6, Table_ChiPhiNV_Ca[], COUNTA(Table_ChiPhiNV_Ca[[#Headers],[Ca]:[Bắt đầu]]),0)),0,
IF($AA23&gt;MIN(AE$5,VLOOKUP(AE$6, Table_ChiPhiNV_Ca[], COUNTA(Table_ChiPhiNV_Ca[[#Headers],[Ca]:[Kết thúc]]),0)),0,
SUM(_xlfn._xlws.FILTER(Table_BangLuong_TyLeTangCa[Tỷ lệ],
(Table_BangLuong_TyLeTangCa[Ngày] = "Thường") *
(Table_BangLuong_TyLeTangCa[Giờ min]&lt;=$AA23) *
(Table_BangLuong_TyLeTangCa[Giờ max]&gt;$AA23)
)))),
IF(AE$4 &gt; AE$5,
IF(
AND(
$AA23-$Z$4&lt;MAX(AE$4,VLOOKUP(AE$6, Table_ChiPhiNV_Ca[], COUNTA(Table_ChiPhiNV_Ca[[#Headers],[Ca]:[Bắt đầu]]),0)),
$AA23&gt;MIN(AE$5,VLOOKUP(AE$6, Table_ChiPhiNV_Ca[], COUNTA(Table_ChiPhiNV_Ca[[#Headers],[Ca]:[Kết thúc]]),0))),0,
SUM(_xlfn._xlws.FILTER(Table_BangLuong_TyLeTangCa[Tỷ lệ],
(Table_BangLuong_TyLeTangCa[Ngày] = "Thường") *
(Table_BangLuong_TyLeTangCa[Giờ min]&lt;=$AA23) *
(Table_BangLuong_TyLeTangCa[Giờ max]&gt;$AA23)
))),
IF(
AND(
$AA23-$Z$4&gt;=MAX(AE$4,VLOOKUP(AE$6, Table_ChiPhiNV_Ca[], COUNTA(Table_ChiPhiNV_Ca[[#Headers],[Ca]:[Bắt đầu]]),0)),
$AA23&lt;MIN(AE$5,VLOOKUP(AE$6, Table_ChiPhiNV_Ca[], COUNTA(Table_ChiPhiNV_Ca[[#Headers],[Ca]:[Kết thúc]]),0))),
SUM(_xlfn._xlws.FILTER(Table_BangLuong_TyLeTangCa[Tỷ lệ],
(Table_BangLuong_TyLeTangCa[Ngày] = "Thường") *
(Table_BangLuong_TyLeTangCa[Giờ min]&lt;=$AA23) *
(Table_BangLuong_TyLeTangCa[Giờ max]&gt;$AA23)
)),0)
)),
IF(AE$4 &lt; AE$5,
IF($AA23-$Z$4&lt;AE$4,0,
IF($AA23&gt;AE$5,0,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AE$5,$AA23 &lt; AE$4),0,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F23" s="18" cm="1">
        <f t="array" ref="AF23" xml:space="preserve">
IFERROR(
IF(AF$1="",0,
IF(AND(
$AA23&gt;=VLOOKUP(AF$6, Table_ChiPhiNV_Ca[], COUNTA(Table_ChiPhiNV_Ca[[#Headers],[Ca]:[Bắt đầu nghỉ]]),0),
$AA23&lt;VLOOKUP(AF$6, Table_ChiPhiNV_Ca[], COUNTA(Table_ChiPhiNV_Ca[[#Headers],[Ca]:[Kết thúc nghỉ]]),0)
),0,
IF(NOT(ISBLANK(AF$3)),
IF(ISBLANK(AF$7),0,
IF(AF$4 &lt; AF$5,
IF($AA23-$Z$4&lt;AF$4,0,
IF($AA23&gt;AF$5,0,
SUM(_xlfn._xlws.FILTER(Table_BangLuong_TyLeTangCa[Tỷ lệ],
(Table_BangLuong_TyLeTangCa[Ngày] = AF$3) *
(Table_BangLuong_TyLeTangCa[Giờ min]&lt;=$AA23) *
(Table_BangLuong_TyLeTangCa[Giờ max]&gt;$AA23)
)))),
IF(AND($AA23-$Z$4 &gt;= AF$5,$AA23 &lt; AF$4),0,
SUM(_xlfn._xlws.FILTER(Table_BangLuong_TyLeTangCa[Tỷ lệ],
(Table_BangLuong_TyLeTangCa[Ngày] = AF$3) *
(Table_BangLuong_TyLeTangCa[Giờ min]&lt;=$AA23) *
(Table_BangLuong_TyLeTangCa[Giờ max]&gt;$AA23)
))))
),
IF(ISBLANK(AF$7),
IF(VLOOKUP(AF$6, Table_ChiPhiNV_Ca[], COUNTA(Table_ChiPhiNV_Ca[[#Headers],[Ca]:[Kết thúc]]),0)&gt; VLOOKUP(AF$6, Table_ChiPhiNV_Ca[], COUNTA(Table_ChiPhiNV_Ca[[#Headers],[Ca]:[Bắt đầu]]),0),
IF($AA23-$Z$4&lt;MAX(AF$4,VLOOKUP(AF$6, Table_ChiPhiNV_Ca[], COUNTA(Table_ChiPhiNV_Ca[[#Headers],[Ca]:[Bắt đầu]]),0)),0,
IF($AA23&gt;MIN(AF$5,VLOOKUP(AF$6, Table_ChiPhiNV_Ca[], COUNTA(Table_ChiPhiNV_Ca[[#Headers],[Ca]:[Kết thúc]]),0)),0,
SUM(_xlfn._xlws.FILTER(Table_BangLuong_TyLeTangCa[Tỷ lệ],
(Table_BangLuong_TyLeTangCa[Ngày] = "Thường") *
(Table_BangLuong_TyLeTangCa[Giờ min]&lt;=$AA23) *
(Table_BangLuong_TyLeTangCa[Giờ max]&gt;$AA23)
)))),
IF(AF$4 &gt; AF$5,
IF(
AND(
$AA23-$Z$4&lt;MAX(AF$4,VLOOKUP(AF$6, Table_ChiPhiNV_Ca[], COUNTA(Table_ChiPhiNV_Ca[[#Headers],[Ca]:[Bắt đầu]]),0)),
$AA23&gt;MIN(AF$5,VLOOKUP(AF$6, Table_ChiPhiNV_Ca[], COUNTA(Table_ChiPhiNV_Ca[[#Headers],[Ca]:[Kết thúc]]),0))),0,
SUM(_xlfn._xlws.FILTER(Table_BangLuong_TyLeTangCa[Tỷ lệ],
(Table_BangLuong_TyLeTangCa[Ngày] = "Thường") *
(Table_BangLuong_TyLeTangCa[Giờ min]&lt;=$AA23) *
(Table_BangLuong_TyLeTangCa[Giờ max]&gt;$AA23)
))),
IF(
AND(
$AA23-$Z$4&gt;=MAX(AF$4,VLOOKUP(AF$6, Table_ChiPhiNV_Ca[], COUNTA(Table_ChiPhiNV_Ca[[#Headers],[Ca]:[Bắt đầu]]),0)),
$AA23&lt;MIN(AF$5,VLOOKUP(AF$6, Table_ChiPhiNV_Ca[], COUNTA(Table_ChiPhiNV_Ca[[#Headers],[Ca]:[Kết thúc]]),0))),
SUM(_xlfn._xlws.FILTER(Table_BangLuong_TyLeTangCa[Tỷ lệ],
(Table_BangLuong_TyLeTangCa[Ngày] = "Thường") *
(Table_BangLuong_TyLeTangCa[Giờ min]&lt;=$AA23) *
(Table_BangLuong_TyLeTangCa[Giờ max]&gt;$AA23)
)),0)
)),
IF(AF$4 &lt; AF$5,
IF($AA23-$Z$4&lt;AF$4,0,
IF($AA23&gt;AF$5,0,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AF$5,$AA23 &lt; AF$4),0,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G23" s="18" cm="1">
        <f t="array" ref="AG23" xml:space="preserve">
IFERROR(
IF(AG$1="",0,
IF(AND(
$AA23&gt;=VLOOKUP(AG$6, Table_ChiPhiNV_Ca[], COUNTA(Table_ChiPhiNV_Ca[[#Headers],[Ca]:[Bắt đầu nghỉ]]),0),
$AA23&lt;VLOOKUP(AG$6, Table_ChiPhiNV_Ca[], COUNTA(Table_ChiPhiNV_Ca[[#Headers],[Ca]:[Kết thúc nghỉ]]),0)
),0,
IF(NOT(ISBLANK(AG$3)),
IF(ISBLANK(AG$7),0,
IF(AG$4 &lt; AG$5,
IF($AA23-$Z$4&lt;AG$4,0,
IF($AA23&gt;AG$5,0,
SUM(_xlfn._xlws.FILTER(Table_BangLuong_TyLeTangCa[Tỷ lệ],
(Table_BangLuong_TyLeTangCa[Ngày] = AG$3) *
(Table_BangLuong_TyLeTangCa[Giờ min]&lt;=$AA23) *
(Table_BangLuong_TyLeTangCa[Giờ max]&gt;$AA23)
)))),
IF(AND($AA23-$Z$4 &gt;= AG$5,$AA23 &lt; AG$4),0,
SUM(_xlfn._xlws.FILTER(Table_BangLuong_TyLeTangCa[Tỷ lệ],
(Table_BangLuong_TyLeTangCa[Ngày] = AG$3) *
(Table_BangLuong_TyLeTangCa[Giờ min]&lt;=$AA23) *
(Table_BangLuong_TyLeTangCa[Giờ max]&gt;$AA23)
))))
),
IF(ISBLANK(AG$7),
IF(VLOOKUP(AG$6, Table_ChiPhiNV_Ca[], COUNTA(Table_ChiPhiNV_Ca[[#Headers],[Ca]:[Kết thúc]]),0)&gt; VLOOKUP(AG$6, Table_ChiPhiNV_Ca[], COUNTA(Table_ChiPhiNV_Ca[[#Headers],[Ca]:[Bắt đầu]]),0),
IF($AA23-$Z$4&lt;MAX(AG$4,VLOOKUP(AG$6, Table_ChiPhiNV_Ca[], COUNTA(Table_ChiPhiNV_Ca[[#Headers],[Ca]:[Bắt đầu]]),0)),0,
IF($AA23&gt;MIN(AG$5,VLOOKUP(AG$6, Table_ChiPhiNV_Ca[], COUNTA(Table_ChiPhiNV_Ca[[#Headers],[Ca]:[Kết thúc]]),0)),0,
SUM(_xlfn._xlws.FILTER(Table_BangLuong_TyLeTangCa[Tỷ lệ],
(Table_BangLuong_TyLeTangCa[Ngày] = "Thường") *
(Table_BangLuong_TyLeTangCa[Giờ min]&lt;=$AA23) *
(Table_BangLuong_TyLeTangCa[Giờ max]&gt;$AA23)
)))),
IF(AG$4 &gt; AG$5,
IF(
AND(
$AA23-$Z$4&lt;MAX(AG$4,VLOOKUP(AG$6, Table_ChiPhiNV_Ca[], COUNTA(Table_ChiPhiNV_Ca[[#Headers],[Ca]:[Bắt đầu]]),0)),
$AA23&gt;MIN(AG$5,VLOOKUP(AG$6, Table_ChiPhiNV_Ca[], COUNTA(Table_ChiPhiNV_Ca[[#Headers],[Ca]:[Kết thúc]]),0))),0,
SUM(_xlfn._xlws.FILTER(Table_BangLuong_TyLeTangCa[Tỷ lệ],
(Table_BangLuong_TyLeTangCa[Ngày] = "Thường") *
(Table_BangLuong_TyLeTangCa[Giờ min]&lt;=$AA23) *
(Table_BangLuong_TyLeTangCa[Giờ max]&gt;$AA23)
))),
IF(
AND(
$AA23-$Z$4&gt;=MAX(AG$4,VLOOKUP(AG$6, Table_ChiPhiNV_Ca[], COUNTA(Table_ChiPhiNV_Ca[[#Headers],[Ca]:[Bắt đầu]]),0)),
$AA23&lt;MIN(AG$5,VLOOKUP(AG$6, Table_ChiPhiNV_Ca[], COUNTA(Table_ChiPhiNV_Ca[[#Headers],[Ca]:[Kết thúc]]),0))),
SUM(_xlfn._xlws.FILTER(Table_BangLuong_TyLeTangCa[Tỷ lệ],
(Table_BangLuong_TyLeTangCa[Ngày] = "Thường") *
(Table_BangLuong_TyLeTangCa[Giờ min]&lt;=$AA23) *
(Table_BangLuong_TyLeTangCa[Giờ max]&gt;$AA23)
)),0)
)),
IF(AG$4 &lt; AG$5,
IF($AA23-$Z$4&lt;AG$4,0,
IF($AA23&gt;AG$5,0,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AG$5,$AA23 &lt; AG$4),0,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H23" s="18" cm="1">
        <f t="array" ref="AH23" xml:space="preserve">
IFERROR(
IF(AH$1="",0,
IF(AND(
$AA23&gt;=VLOOKUP(AH$6, Table_ChiPhiNV_Ca[], COUNTA(Table_ChiPhiNV_Ca[[#Headers],[Ca]:[Bắt đầu nghỉ]]),0),
$AA23&lt;VLOOKUP(AH$6, Table_ChiPhiNV_Ca[], COUNTA(Table_ChiPhiNV_Ca[[#Headers],[Ca]:[Kết thúc nghỉ]]),0)
),0,
IF(NOT(ISBLANK(AH$3)),
IF(ISBLANK(AH$7),0,
IF(AH$4 &lt; AH$5,
IF($AA23-$Z$4&lt;AH$4,0,
IF($AA23&gt;AH$5,0,
SUM(_xlfn._xlws.FILTER(Table_BangLuong_TyLeTangCa[Tỷ lệ],
(Table_BangLuong_TyLeTangCa[Ngày] = AH$3) *
(Table_BangLuong_TyLeTangCa[Giờ min]&lt;=$AA23) *
(Table_BangLuong_TyLeTangCa[Giờ max]&gt;$AA23)
)))),
IF(AND($AA23-$Z$4 &gt;= AH$5,$AA23 &lt; AH$4),0,
SUM(_xlfn._xlws.FILTER(Table_BangLuong_TyLeTangCa[Tỷ lệ],
(Table_BangLuong_TyLeTangCa[Ngày] = AH$3) *
(Table_BangLuong_TyLeTangCa[Giờ min]&lt;=$AA23) *
(Table_BangLuong_TyLeTangCa[Giờ max]&gt;$AA23)
))))
),
IF(ISBLANK(AH$7),
IF(VLOOKUP(AH$6, Table_ChiPhiNV_Ca[], COUNTA(Table_ChiPhiNV_Ca[[#Headers],[Ca]:[Kết thúc]]),0)&gt; VLOOKUP(AH$6, Table_ChiPhiNV_Ca[], COUNTA(Table_ChiPhiNV_Ca[[#Headers],[Ca]:[Bắt đầu]]),0),
IF($AA23-$Z$4&lt;MAX(AH$4,VLOOKUP(AH$6, Table_ChiPhiNV_Ca[], COUNTA(Table_ChiPhiNV_Ca[[#Headers],[Ca]:[Bắt đầu]]),0)),0,
IF($AA23&gt;MIN(AH$5,VLOOKUP(AH$6, Table_ChiPhiNV_Ca[], COUNTA(Table_ChiPhiNV_Ca[[#Headers],[Ca]:[Kết thúc]]),0)),0,
SUM(_xlfn._xlws.FILTER(Table_BangLuong_TyLeTangCa[Tỷ lệ],
(Table_BangLuong_TyLeTangCa[Ngày] = "Thường") *
(Table_BangLuong_TyLeTangCa[Giờ min]&lt;=$AA23) *
(Table_BangLuong_TyLeTangCa[Giờ max]&gt;$AA23)
)))),
IF(AH$4 &gt; AH$5,
IF(
AND(
$AA23-$Z$4&lt;MAX(AH$4,VLOOKUP(AH$6, Table_ChiPhiNV_Ca[], COUNTA(Table_ChiPhiNV_Ca[[#Headers],[Ca]:[Bắt đầu]]),0)),
$AA23&gt;MIN(AH$5,VLOOKUP(AH$6, Table_ChiPhiNV_Ca[], COUNTA(Table_ChiPhiNV_Ca[[#Headers],[Ca]:[Kết thúc]]),0))),0,
SUM(_xlfn._xlws.FILTER(Table_BangLuong_TyLeTangCa[Tỷ lệ],
(Table_BangLuong_TyLeTangCa[Ngày] = "Thường") *
(Table_BangLuong_TyLeTangCa[Giờ min]&lt;=$AA23) *
(Table_BangLuong_TyLeTangCa[Giờ max]&gt;$AA23)
))),
IF(
AND(
$AA23-$Z$4&gt;=MAX(AH$4,VLOOKUP(AH$6, Table_ChiPhiNV_Ca[], COUNTA(Table_ChiPhiNV_Ca[[#Headers],[Ca]:[Bắt đầu]]),0)),
$AA23&lt;MIN(AH$5,VLOOKUP(AH$6, Table_ChiPhiNV_Ca[], COUNTA(Table_ChiPhiNV_Ca[[#Headers],[Ca]:[Kết thúc]]),0))),
SUM(_xlfn._xlws.FILTER(Table_BangLuong_TyLeTangCa[Tỷ lệ],
(Table_BangLuong_TyLeTangCa[Ngày] = "Thường") *
(Table_BangLuong_TyLeTangCa[Giờ min]&lt;=$AA23) *
(Table_BangLuong_TyLeTangCa[Giờ max]&gt;$AA23)
)),0)
)),
IF(AH$4 &lt; AH$5,
IF($AA23-$Z$4&lt;AH$4,0,
IF($AA23&gt;AH$5,0,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AH$5,$AA23 &lt; AH$4),0,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I23" s="18" cm="1">
        <f t="array" ref="AI23" xml:space="preserve">
IFERROR(
IF(AI$1="",0,
IF(AND(
$AA23&gt;=VLOOKUP(AI$6, Table_ChiPhiNV_Ca[], COUNTA(Table_ChiPhiNV_Ca[[#Headers],[Ca]:[Bắt đầu nghỉ]]),0),
$AA23&lt;VLOOKUP(AI$6, Table_ChiPhiNV_Ca[], COUNTA(Table_ChiPhiNV_Ca[[#Headers],[Ca]:[Kết thúc nghỉ]]),0)
),0,
IF(NOT(ISBLANK(AI$3)),
IF(ISBLANK(AI$7),0,
IF(AI$4 &lt; AI$5,
IF($AA23-$Z$4&lt;AI$4,0,
IF($AA23&gt;AI$5,0,
SUM(_xlfn._xlws.FILTER(Table_BangLuong_TyLeTangCa[Tỷ lệ],
(Table_BangLuong_TyLeTangCa[Ngày] = AI$3) *
(Table_BangLuong_TyLeTangCa[Giờ min]&lt;=$AA23) *
(Table_BangLuong_TyLeTangCa[Giờ max]&gt;$AA23)
)))),
IF(AND($AA23-$Z$4 &gt;= AI$5,$AA23 &lt; AI$4),0,
SUM(_xlfn._xlws.FILTER(Table_BangLuong_TyLeTangCa[Tỷ lệ],
(Table_BangLuong_TyLeTangCa[Ngày] = AI$3) *
(Table_BangLuong_TyLeTangCa[Giờ min]&lt;=$AA23) *
(Table_BangLuong_TyLeTangCa[Giờ max]&gt;$AA23)
))))
),
IF(ISBLANK(AI$7),
IF(VLOOKUP(AI$6, Table_ChiPhiNV_Ca[], COUNTA(Table_ChiPhiNV_Ca[[#Headers],[Ca]:[Kết thúc]]),0)&gt; VLOOKUP(AI$6, Table_ChiPhiNV_Ca[], COUNTA(Table_ChiPhiNV_Ca[[#Headers],[Ca]:[Bắt đầu]]),0),
IF($AA23-$Z$4&lt;MAX(AI$4,VLOOKUP(AI$6, Table_ChiPhiNV_Ca[], COUNTA(Table_ChiPhiNV_Ca[[#Headers],[Ca]:[Bắt đầu]]),0)),0,
IF($AA23&gt;MIN(AI$5,VLOOKUP(AI$6, Table_ChiPhiNV_Ca[], COUNTA(Table_ChiPhiNV_Ca[[#Headers],[Ca]:[Kết thúc]]),0)),0,
SUM(_xlfn._xlws.FILTER(Table_BangLuong_TyLeTangCa[Tỷ lệ],
(Table_BangLuong_TyLeTangCa[Ngày] = "Thường") *
(Table_BangLuong_TyLeTangCa[Giờ min]&lt;=$AA23) *
(Table_BangLuong_TyLeTangCa[Giờ max]&gt;$AA23)
)))),
IF(AI$4 &gt; AI$5,
IF(
AND(
$AA23-$Z$4&lt;MAX(AI$4,VLOOKUP(AI$6, Table_ChiPhiNV_Ca[], COUNTA(Table_ChiPhiNV_Ca[[#Headers],[Ca]:[Bắt đầu]]),0)),
$AA23&gt;MIN(AI$5,VLOOKUP(AI$6, Table_ChiPhiNV_Ca[], COUNTA(Table_ChiPhiNV_Ca[[#Headers],[Ca]:[Kết thúc]]),0))),0,
SUM(_xlfn._xlws.FILTER(Table_BangLuong_TyLeTangCa[Tỷ lệ],
(Table_BangLuong_TyLeTangCa[Ngày] = "Thường") *
(Table_BangLuong_TyLeTangCa[Giờ min]&lt;=$AA23) *
(Table_BangLuong_TyLeTangCa[Giờ max]&gt;$AA23)
))),
IF(
AND(
$AA23-$Z$4&gt;=MAX(AI$4,VLOOKUP(AI$6, Table_ChiPhiNV_Ca[], COUNTA(Table_ChiPhiNV_Ca[[#Headers],[Ca]:[Bắt đầu]]),0)),
$AA23&lt;MIN(AI$5,VLOOKUP(AI$6, Table_ChiPhiNV_Ca[], COUNTA(Table_ChiPhiNV_Ca[[#Headers],[Ca]:[Kết thúc]]),0))),
SUM(_xlfn._xlws.FILTER(Table_BangLuong_TyLeTangCa[Tỷ lệ],
(Table_BangLuong_TyLeTangCa[Ngày] = "Thường") *
(Table_BangLuong_TyLeTangCa[Giờ min]&lt;=$AA23) *
(Table_BangLuong_TyLeTangCa[Giờ max]&gt;$AA23)
)),0)
)),
IF(AI$4 &lt; AI$5,
IF($AA23-$Z$4&lt;AI$4,0,
IF($AA23&gt;AI$5,0,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AI$5,$AA23 &lt; AI$4),0,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J23" s="18" cm="1">
        <f t="array" ref="AJ23" xml:space="preserve">
IFERROR(
IF(AJ$1="",0,
IF(AND(
$AA23&gt;=VLOOKUP(AJ$6, Table_ChiPhiNV_Ca[], COUNTA(Table_ChiPhiNV_Ca[[#Headers],[Ca]:[Bắt đầu nghỉ]]),0),
$AA23&lt;VLOOKUP(AJ$6, Table_ChiPhiNV_Ca[], COUNTA(Table_ChiPhiNV_Ca[[#Headers],[Ca]:[Kết thúc nghỉ]]),0)
),0,
IF(NOT(ISBLANK(AJ$3)),
IF(ISBLANK(AJ$7),0,
IF(AJ$4 &lt; AJ$5,
IF($AA23-$Z$4&lt;AJ$4,0,
IF($AA23&gt;AJ$5,0,
SUM(_xlfn._xlws.FILTER(Table_BangLuong_TyLeTangCa[Tỷ lệ],
(Table_BangLuong_TyLeTangCa[Ngày] = AJ$3) *
(Table_BangLuong_TyLeTangCa[Giờ min]&lt;=$AA23) *
(Table_BangLuong_TyLeTangCa[Giờ max]&gt;$AA23)
)))),
IF(AND($AA23-$Z$4 &gt;= AJ$5,$AA23 &lt; AJ$4),0,
SUM(_xlfn._xlws.FILTER(Table_BangLuong_TyLeTangCa[Tỷ lệ],
(Table_BangLuong_TyLeTangCa[Ngày] = AJ$3) *
(Table_BangLuong_TyLeTangCa[Giờ min]&lt;=$AA23) *
(Table_BangLuong_TyLeTangCa[Giờ max]&gt;$AA23)
))))
),
IF(ISBLANK(AJ$7),
IF(VLOOKUP(AJ$6, Table_ChiPhiNV_Ca[], COUNTA(Table_ChiPhiNV_Ca[[#Headers],[Ca]:[Kết thúc]]),0)&gt; VLOOKUP(AJ$6, Table_ChiPhiNV_Ca[], COUNTA(Table_ChiPhiNV_Ca[[#Headers],[Ca]:[Bắt đầu]]),0),
IF($AA23-$Z$4&lt;MAX(AJ$4,VLOOKUP(AJ$6, Table_ChiPhiNV_Ca[], COUNTA(Table_ChiPhiNV_Ca[[#Headers],[Ca]:[Bắt đầu]]),0)),0,
IF($AA23&gt;MIN(AJ$5,VLOOKUP(AJ$6, Table_ChiPhiNV_Ca[], COUNTA(Table_ChiPhiNV_Ca[[#Headers],[Ca]:[Kết thúc]]),0)),0,
SUM(_xlfn._xlws.FILTER(Table_BangLuong_TyLeTangCa[Tỷ lệ],
(Table_BangLuong_TyLeTangCa[Ngày] = "Thường") *
(Table_BangLuong_TyLeTangCa[Giờ min]&lt;=$AA23) *
(Table_BangLuong_TyLeTangCa[Giờ max]&gt;$AA23)
)))),
IF(AJ$4 &gt; AJ$5,
IF(
AND(
$AA23-$Z$4&lt;MAX(AJ$4,VLOOKUP(AJ$6, Table_ChiPhiNV_Ca[], COUNTA(Table_ChiPhiNV_Ca[[#Headers],[Ca]:[Bắt đầu]]),0)),
$AA23&gt;MIN(AJ$5,VLOOKUP(AJ$6, Table_ChiPhiNV_Ca[], COUNTA(Table_ChiPhiNV_Ca[[#Headers],[Ca]:[Kết thúc]]),0))),0,
SUM(_xlfn._xlws.FILTER(Table_BangLuong_TyLeTangCa[Tỷ lệ],
(Table_BangLuong_TyLeTangCa[Ngày] = "Thường") *
(Table_BangLuong_TyLeTangCa[Giờ min]&lt;=$AA23) *
(Table_BangLuong_TyLeTangCa[Giờ max]&gt;$AA23)
))),
IF(
AND(
$AA23-$Z$4&gt;=MAX(AJ$4,VLOOKUP(AJ$6, Table_ChiPhiNV_Ca[], COUNTA(Table_ChiPhiNV_Ca[[#Headers],[Ca]:[Bắt đầu]]),0)),
$AA23&lt;MIN(AJ$5,VLOOKUP(AJ$6, Table_ChiPhiNV_Ca[], COUNTA(Table_ChiPhiNV_Ca[[#Headers],[Ca]:[Kết thúc]]),0))),
SUM(_xlfn._xlws.FILTER(Table_BangLuong_TyLeTangCa[Tỷ lệ],
(Table_BangLuong_TyLeTangCa[Ngày] = "Thường") *
(Table_BangLuong_TyLeTangCa[Giờ min]&lt;=$AA23) *
(Table_BangLuong_TyLeTangCa[Giờ max]&gt;$AA23)
)),0)
)),
IF(AJ$4 &lt; AJ$5,
IF($AA23-$Z$4&lt;AJ$4,0,
IF($AA23&gt;AJ$5,0,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AJ$5,$AA23 &lt; AJ$4),0,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K23" s="18" cm="1">
        <f t="array" ref="AK23" xml:space="preserve">
IFERROR(
IF(AK$1="",0,
IF(AND(
$AA23&gt;=VLOOKUP(AK$6, Table_ChiPhiNV_Ca[], COUNTA(Table_ChiPhiNV_Ca[[#Headers],[Ca]:[Bắt đầu nghỉ]]),0),
$AA23&lt;VLOOKUP(AK$6, Table_ChiPhiNV_Ca[], COUNTA(Table_ChiPhiNV_Ca[[#Headers],[Ca]:[Kết thúc nghỉ]]),0)
),0,
IF(NOT(ISBLANK(AK$3)),
IF(ISBLANK(AK$7),0,
IF(AK$4 &lt; AK$5,
IF($AA23-$Z$4&lt;AK$4,0,
IF($AA23&gt;AK$5,0,
SUM(_xlfn._xlws.FILTER(Table_BangLuong_TyLeTangCa[Tỷ lệ],
(Table_BangLuong_TyLeTangCa[Ngày] = AK$3) *
(Table_BangLuong_TyLeTangCa[Giờ min]&lt;=$AA23) *
(Table_BangLuong_TyLeTangCa[Giờ max]&gt;$AA23)
)))),
IF(AND($AA23-$Z$4 &gt;= AK$5,$AA23 &lt; AK$4),0,
SUM(_xlfn._xlws.FILTER(Table_BangLuong_TyLeTangCa[Tỷ lệ],
(Table_BangLuong_TyLeTangCa[Ngày] = AK$3) *
(Table_BangLuong_TyLeTangCa[Giờ min]&lt;=$AA23) *
(Table_BangLuong_TyLeTangCa[Giờ max]&gt;$AA23)
))))
),
IF(ISBLANK(AK$7),
IF(VLOOKUP(AK$6, Table_ChiPhiNV_Ca[], COUNTA(Table_ChiPhiNV_Ca[[#Headers],[Ca]:[Kết thúc]]),0)&gt; VLOOKUP(AK$6, Table_ChiPhiNV_Ca[], COUNTA(Table_ChiPhiNV_Ca[[#Headers],[Ca]:[Bắt đầu]]),0),
IF($AA23-$Z$4&lt;MAX(AK$4,VLOOKUP(AK$6, Table_ChiPhiNV_Ca[], COUNTA(Table_ChiPhiNV_Ca[[#Headers],[Ca]:[Bắt đầu]]),0)),0,
IF($AA23&gt;MIN(AK$5,VLOOKUP(AK$6, Table_ChiPhiNV_Ca[], COUNTA(Table_ChiPhiNV_Ca[[#Headers],[Ca]:[Kết thúc]]),0)),0,
SUM(_xlfn._xlws.FILTER(Table_BangLuong_TyLeTangCa[Tỷ lệ],
(Table_BangLuong_TyLeTangCa[Ngày] = "Thường") *
(Table_BangLuong_TyLeTangCa[Giờ min]&lt;=$AA23) *
(Table_BangLuong_TyLeTangCa[Giờ max]&gt;$AA23)
)))),
IF(AK$4 &gt; AK$5,
IF(
AND(
$AA23-$Z$4&lt;MAX(AK$4,VLOOKUP(AK$6, Table_ChiPhiNV_Ca[], COUNTA(Table_ChiPhiNV_Ca[[#Headers],[Ca]:[Bắt đầu]]),0)),
$AA23&gt;MIN(AK$5,VLOOKUP(AK$6, Table_ChiPhiNV_Ca[], COUNTA(Table_ChiPhiNV_Ca[[#Headers],[Ca]:[Kết thúc]]),0))),0,
SUM(_xlfn._xlws.FILTER(Table_BangLuong_TyLeTangCa[Tỷ lệ],
(Table_BangLuong_TyLeTangCa[Ngày] = "Thường") *
(Table_BangLuong_TyLeTangCa[Giờ min]&lt;=$AA23) *
(Table_BangLuong_TyLeTangCa[Giờ max]&gt;$AA23)
))),
IF(
AND(
$AA23-$Z$4&gt;=MAX(AK$4,VLOOKUP(AK$6, Table_ChiPhiNV_Ca[], COUNTA(Table_ChiPhiNV_Ca[[#Headers],[Ca]:[Bắt đầu]]),0)),
$AA23&lt;MIN(AK$5,VLOOKUP(AK$6, Table_ChiPhiNV_Ca[], COUNTA(Table_ChiPhiNV_Ca[[#Headers],[Ca]:[Kết thúc]]),0))),
SUM(_xlfn._xlws.FILTER(Table_BangLuong_TyLeTangCa[Tỷ lệ],
(Table_BangLuong_TyLeTangCa[Ngày] = "Thường") *
(Table_BangLuong_TyLeTangCa[Giờ min]&lt;=$AA23) *
(Table_BangLuong_TyLeTangCa[Giờ max]&gt;$AA23)
)),0)
)),
IF(AK$4 &lt; AK$5,
IF($AA23-$Z$4&lt;AK$4,0,
IF($AA23&gt;AK$5,0,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AK$5,$AA23 &lt; AK$4),0,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L23" s="18" cm="1">
        <f t="array" ref="AL23" xml:space="preserve">
IFERROR(
IF(AL$1="",0,
IF(AND(
$AA23&gt;=VLOOKUP(AL$6, Table_ChiPhiNV_Ca[], COUNTA(Table_ChiPhiNV_Ca[[#Headers],[Ca]:[Bắt đầu nghỉ]]),0),
$AA23&lt;VLOOKUP(AL$6, Table_ChiPhiNV_Ca[], COUNTA(Table_ChiPhiNV_Ca[[#Headers],[Ca]:[Kết thúc nghỉ]]),0)
),0,
IF(NOT(ISBLANK(AL$3)),
IF(ISBLANK(AL$7),0,
IF(AL$4 &lt; AL$5,
IF($AA23-$Z$4&lt;AL$4,0,
IF($AA23&gt;AL$5,0,
SUM(_xlfn._xlws.FILTER(Table_BangLuong_TyLeTangCa[Tỷ lệ],
(Table_BangLuong_TyLeTangCa[Ngày] = AL$3) *
(Table_BangLuong_TyLeTangCa[Giờ min]&lt;=$AA23) *
(Table_BangLuong_TyLeTangCa[Giờ max]&gt;$AA23)
)))),
IF(AND($AA23-$Z$4 &gt;= AL$5,$AA23 &lt; AL$4),0,
SUM(_xlfn._xlws.FILTER(Table_BangLuong_TyLeTangCa[Tỷ lệ],
(Table_BangLuong_TyLeTangCa[Ngày] = AL$3) *
(Table_BangLuong_TyLeTangCa[Giờ min]&lt;=$AA23) *
(Table_BangLuong_TyLeTangCa[Giờ max]&gt;$AA23)
))))
),
IF(ISBLANK(AL$7),
IF(VLOOKUP(AL$6, Table_ChiPhiNV_Ca[], COUNTA(Table_ChiPhiNV_Ca[[#Headers],[Ca]:[Kết thúc]]),0)&gt; VLOOKUP(AL$6, Table_ChiPhiNV_Ca[], COUNTA(Table_ChiPhiNV_Ca[[#Headers],[Ca]:[Bắt đầu]]),0),
IF($AA23-$Z$4&lt;MAX(AL$4,VLOOKUP(AL$6, Table_ChiPhiNV_Ca[], COUNTA(Table_ChiPhiNV_Ca[[#Headers],[Ca]:[Bắt đầu]]),0)),0,
IF($AA23&gt;MIN(AL$5,VLOOKUP(AL$6, Table_ChiPhiNV_Ca[], COUNTA(Table_ChiPhiNV_Ca[[#Headers],[Ca]:[Kết thúc]]),0)),0,
SUM(_xlfn._xlws.FILTER(Table_BangLuong_TyLeTangCa[Tỷ lệ],
(Table_BangLuong_TyLeTangCa[Ngày] = "Thường") *
(Table_BangLuong_TyLeTangCa[Giờ min]&lt;=$AA23) *
(Table_BangLuong_TyLeTangCa[Giờ max]&gt;$AA23)
)))),
IF(AL$4 &gt; AL$5,
IF(
AND(
$AA23-$Z$4&lt;MAX(AL$4,VLOOKUP(AL$6, Table_ChiPhiNV_Ca[], COUNTA(Table_ChiPhiNV_Ca[[#Headers],[Ca]:[Bắt đầu]]),0)),
$AA23&gt;MIN(AL$5,VLOOKUP(AL$6, Table_ChiPhiNV_Ca[], COUNTA(Table_ChiPhiNV_Ca[[#Headers],[Ca]:[Kết thúc]]),0))),0,
SUM(_xlfn._xlws.FILTER(Table_BangLuong_TyLeTangCa[Tỷ lệ],
(Table_BangLuong_TyLeTangCa[Ngày] = "Thường") *
(Table_BangLuong_TyLeTangCa[Giờ min]&lt;=$AA23) *
(Table_BangLuong_TyLeTangCa[Giờ max]&gt;$AA23)
))),
IF(
AND(
$AA23-$Z$4&gt;=MAX(AL$4,VLOOKUP(AL$6, Table_ChiPhiNV_Ca[], COUNTA(Table_ChiPhiNV_Ca[[#Headers],[Ca]:[Bắt đầu]]),0)),
$AA23&lt;MIN(AL$5,VLOOKUP(AL$6, Table_ChiPhiNV_Ca[], COUNTA(Table_ChiPhiNV_Ca[[#Headers],[Ca]:[Kết thúc]]),0))),
SUM(_xlfn._xlws.FILTER(Table_BangLuong_TyLeTangCa[Tỷ lệ],
(Table_BangLuong_TyLeTangCa[Ngày] = "Thường") *
(Table_BangLuong_TyLeTangCa[Giờ min]&lt;=$AA23) *
(Table_BangLuong_TyLeTangCa[Giờ max]&gt;$AA23)
)),0)
)),
IF(AL$4 &lt; AL$5,
IF($AA23-$Z$4&lt;AL$4,0,
IF($AA23&gt;AL$5,0,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AL$5,$AA23 &lt; AL$4),0,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M23" s="18" cm="1">
        <f t="array" ref="AM23" xml:space="preserve">
IFERROR(
IF(AM$1="",0,
IF(AND(
$AA23&gt;=VLOOKUP(AM$6, Table_ChiPhiNV_Ca[], COUNTA(Table_ChiPhiNV_Ca[[#Headers],[Ca]:[Bắt đầu nghỉ]]),0),
$AA23&lt;VLOOKUP(AM$6, Table_ChiPhiNV_Ca[], COUNTA(Table_ChiPhiNV_Ca[[#Headers],[Ca]:[Kết thúc nghỉ]]),0)
),0,
IF(NOT(ISBLANK(AM$3)),
IF(ISBLANK(AM$7),0,
IF(AM$4 &lt; AM$5,
IF($AA23-$Z$4&lt;AM$4,0,
IF($AA23&gt;AM$5,0,
SUM(_xlfn._xlws.FILTER(Table_BangLuong_TyLeTangCa[Tỷ lệ],
(Table_BangLuong_TyLeTangCa[Ngày] = AM$3) *
(Table_BangLuong_TyLeTangCa[Giờ min]&lt;=$AA23) *
(Table_BangLuong_TyLeTangCa[Giờ max]&gt;$AA23)
)))),
IF(AND($AA23-$Z$4 &gt;= AM$5,$AA23 &lt; AM$4),0,
SUM(_xlfn._xlws.FILTER(Table_BangLuong_TyLeTangCa[Tỷ lệ],
(Table_BangLuong_TyLeTangCa[Ngày] = AM$3) *
(Table_BangLuong_TyLeTangCa[Giờ min]&lt;=$AA23) *
(Table_BangLuong_TyLeTangCa[Giờ max]&gt;$AA23)
))))
),
IF(ISBLANK(AM$7),
IF(VLOOKUP(AM$6, Table_ChiPhiNV_Ca[], COUNTA(Table_ChiPhiNV_Ca[[#Headers],[Ca]:[Kết thúc]]),0)&gt; VLOOKUP(AM$6, Table_ChiPhiNV_Ca[], COUNTA(Table_ChiPhiNV_Ca[[#Headers],[Ca]:[Bắt đầu]]),0),
IF($AA23-$Z$4&lt;MAX(AM$4,VLOOKUP(AM$6, Table_ChiPhiNV_Ca[], COUNTA(Table_ChiPhiNV_Ca[[#Headers],[Ca]:[Bắt đầu]]),0)),0,
IF($AA23&gt;MIN(AM$5,VLOOKUP(AM$6, Table_ChiPhiNV_Ca[], COUNTA(Table_ChiPhiNV_Ca[[#Headers],[Ca]:[Kết thúc]]),0)),0,
SUM(_xlfn._xlws.FILTER(Table_BangLuong_TyLeTangCa[Tỷ lệ],
(Table_BangLuong_TyLeTangCa[Ngày] = "Thường") *
(Table_BangLuong_TyLeTangCa[Giờ min]&lt;=$AA23) *
(Table_BangLuong_TyLeTangCa[Giờ max]&gt;$AA23)
)))),
IF(AM$4 &gt; AM$5,
IF(
AND(
$AA23-$Z$4&lt;MAX(AM$4,VLOOKUP(AM$6, Table_ChiPhiNV_Ca[], COUNTA(Table_ChiPhiNV_Ca[[#Headers],[Ca]:[Bắt đầu]]),0)),
$AA23&gt;MIN(AM$5,VLOOKUP(AM$6, Table_ChiPhiNV_Ca[], COUNTA(Table_ChiPhiNV_Ca[[#Headers],[Ca]:[Kết thúc]]),0))),0,
SUM(_xlfn._xlws.FILTER(Table_BangLuong_TyLeTangCa[Tỷ lệ],
(Table_BangLuong_TyLeTangCa[Ngày] = "Thường") *
(Table_BangLuong_TyLeTangCa[Giờ min]&lt;=$AA23) *
(Table_BangLuong_TyLeTangCa[Giờ max]&gt;$AA23)
))),
IF(
AND(
$AA23-$Z$4&gt;=MAX(AM$4,VLOOKUP(AM$6, Table_ChiPhiNV_Ca[], COUNTA(Table_ChiPhiNV_Ca[[#Headers],[Ca]:[Bắt đầu]]),0)),
$AA23&lt;MIN(AM$5,VLOOKUP(AM$6, Table_ChiPhiNV_Ca[], COUNTA(Table_ChiPhiNV_Ca[[#Headers],[Ca]:[Kết thúc]]),0))),
SUM(_xlfn._xlws.FILTER(Table_BangLuong_TyLeTangCa[Tỷ lệ],
(Table_BangLuong_TyLeTangCa[Ngày] = "Thường") *
(Table_BangLuong_TyLeTangCa[Giờ min]&lt;=$AA23) *
(Table_BangLuong_TyLeTangCa[Giờ max]&gt;$AA23)
)),0)
)),
IF(AM$4 &lt; AM$5,
IF($AA23-$Z$4&lt;AM$4,0,
IF($AA23&gt;AM$5,0,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AM$5,$AA23 &lt; AM$4),0,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N23" s="18" cm="1">
        <f t="array" ref="AN23" xml:space="preserve">
IFERROR(
IF(AN$1="",0,
IF(AND(
$AA23&gt;=VLOOKUP(AN$6, Table_ChiPhiNV_Ca[], COUNTA(Table_ChiPhiNV_Ca[[#Headers],[Ca]:[Bắt đầu nghỉ]]),0),
$AA23&lt;VLOOKUP(AN$6, Table_ChiPhiNV_Ca[], COUNTA(Table_ChiPhiNV_Ca[[#Headers],[Ca]:[Kết thúc nghỉ]]),0)
),0,
IF(NOT(ISBLANK(AN$3)),
IF(ISBLANK(AN$7),0,
IF(AN$4 &lt; AN$5,
IF($AA23-$Z$4&lt;AN$4,0,
IF($AA23&gt;AN$5,0,
SUM(_xlfn._xlws.FILTER(Table_BangLuong_TyLeTangCa[Tỷ lệ],
(Table_BangLuong_TyLeTangCa[Ngày] = AN$3) *
(Table_BangLuong_TyLeTangCa[Giờ min]&lt;=$AA23) *
(Table_BangLuong_TyLeTangCa[Giờ max]&gt;$AA23)
)))),
IF(AND($AA23-$Z$4 &gt;= AN$5,$AA23 &lt; AN$4),0,
SUM(_xlfn._xlws.FILTER(Table_BangLuong_TyLeTangCa[Tỷ lệ],
(Table_BangLuong_TyLeTangCa[Ngày] = AN$3) *
(Table_BangLuong_TyLeTangCa[Giờ min]&lt;=$AA23) *
(Table_BangLuong_TyLeTangCa[Giờ max]&gt;$AA23)
))))
),
IF(ISBLANK(AN$7),
IF(VLOOKUP(AN$6, Table_ChiPhiNV_Ca[], COUNTA(Table_ChiPhiNV_Ca[[#Headers],[Ca]:[Kết thúc]]),0)&gt; VLOOKUP(AN$6, Table_ChiPhiNV_Ca[], COUNTA(Table_ChiPhiNV_Ca[[#Headers],[Ca]:[Bắt đầu]]),0),
IF($AA23-$Z$4&lt;MAX(AN$4,VLOOKUP(AN$6, Table_ChiPhiNV_Ca[], COUNTA(Table_ChiPhiNV_Ca[[#Headers],[Ca]:[Bắt đầu]]),0)),0,
IF($AA23&gt;MIN(AN$5,VLOOKUP(AN$6, Table_ChiPhiNV_Ca[], COUNTA(Table_ChiPhiNV_Ca[[#Headers],[Ca]:[Kết thúc]]),0)),0,
SUM(_xlfn._xlws.FILTER(Table_BangLuong_TyLeTangCa[Tỷ lệ],
(Table_BangLuong_TyLeTangCa[Ngày] = "Thường") *
(Table_BangLuong_TyLeTangCa[Giờ min]&lt;=$AA23) *
(Table_BangLuong_TyLeTangCa[Giờ max]&gt;$AA23)
)))),
IF(AN$4 &gt; AN$5,
IF(
AND(
$AA23-$Z$4&lt;MAX(AN$4,VLOOKUP(AN$6, Table_ChiPhiNV_Ca[], COUNTA(Table_ChiPhiNV_Ca[[#Headers],[Ca]:[Bắt đầu]]),0)),
$AA23&gt;MIN(AN$5,VLOOKUP(AN$6, Table_ChiPhiNV_Ca[], COUNTA(Table_ChiPhiNV_Ca[[#Headers],[Ca]:[Kết thúc]]),0))),0,
SUM(_xlfn._xlws.FILTER(Table_BangLuong_TyLeTangCa[Tỷ lệ],
(Table_BangLuong_TyLeTangCa[Ngày] = "Thường") *
(Table_BangLuong_TyLeTangCa[Giờ min]&lt;=$AA23) *
(Table_BangLuong_TyLeTangCa[Giờ max]&gt;$AA23)
))),
IF(
AND(
$AA23-$Z$4&gt;=MAX(AN$4,VLOOKUP(AN$6, Table_ChiPhiNV_Ca[], COUNTA(Table_ChiPhiNV_Ca[[#Headers],[Ca]:[Bắt đầu]]),0)),
$AA23&lt;MIN(AN$5,VLOOKUP(AN$6, Table_ChiPhiNV_Ca[], COUNTA(Table_ChiPhiNV_Ca[[#Headers],[Ca]:[Kết thúc]]),0))),
SUM(_xlfn._xlws.FILTER(Table_BangLuong_TyLeTangCa[Tỷ lệ],
(Table_BangLuong_TyLeTangCa[Ngày] = "Thường") *
(Table_BangLuong_TyLeTangCa[Giờ min]&lt;=$AA23) *
(Table_BangLuong_TyLeTangCa[Giờ max]&gt;$AA23)
)),0)
)),
IF(AN$4 &lt; AN$5,
IF($AA23-$Z$4&lt;AN$4,0,
IF($AA23&gt;AN$5,0,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AN$5,$AA23 &lt; AN$4),0,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O23" s="18" cm="1">
        <f t="array" ref="AO23" xml:space="preserve">
IFERROR(
IF(AO$1="",0,
IF(AND(
$AA23&gt;=VLOOKUP(AO$6, Table_ChiPhiNV_Ca[], COUNTA(Table_ChiPhiNV_Ca[[#Headers],[Ca]:[Bắt đầu nghỉ]]),0),
$AA23&lt;VLOOKUP(AO$6, Table_ChiPhiNV_Ca[], COUNTA(Table_ChiPhiNV_Ca[[#Headers],[Ca]:[Kết thúc nghỉ]]),0)
),0,
IF(NOT(ISBLANK(AO$3)),
IF(ISBLANK(AO$7),0,
IF(AO$4 &lt; AO$5,
IF($AA23-$Z$4&lt;AO$4,0,
IF($AA23&gt;AO$5,0,
SUM(_xlfn._xlws.FILTER(Table_BangLuong_TyLeTangCa[Tỷ lệ],
(Table_BangLuong_TyLeTangCa[Ngày] = AO$3) *
(Table_BangLuong_TyLeTangCa[Giờ min]&lt;=$AA23) *
(Table_BangLuong_TyLeTangCa[Giờ max]&gt;$AA23)
)))),
IF(AND($AA23-$Z$4 &gt;= AO$5,$AA23 &lt; AO$4),0,
SUM(_xlfn._xlws.FILTER(Table_BangLuong_TyLeTangCa[Tỷ lệ],
(Table_BangLuong_TyLeTangCa[Ngày] = AO$3) *
(Table_BangLuong_TyLeTangCa[Giờ min]&lt;=$AA23) *
(Table_BangLuong_TyLeTangCa[Giờ max]&gt;$AA23)
))))
),
IF(ISBLANK(AO$7),
IF(VLOOKUP(AO$6, Table_ChiPhiNV_Ca[], COUNTA(Table_ChiPhiNV_Ca[[#Headers],[Ca]:[Kết thúc]]),0)&gt; VLOOKUP(AO$6, Table_ChiPhiNV_Ca[], COUNTA(Table_ChiPhiNV_Ca[[#Headers],[Ca]:[Bắt đầu]]),0),
IF($AA23-$Z$4&lt;MAX(AO$4,VLOOKUP(AO$6, Table_ChiPhiNV_Ca[], COUNTA(Table_ChiPhiNV_Ca[[#Headers],[Ca]:[Bắt đầu]]),0)),0,
IF($AA23&gt;MIN(AO$5,VLOOKUP(AO$6, Table_ChiPhiNV_Ca[], COUNTA(Table_ChiPhiNV_Ca[[#Headers],[Ca]:[Kết thúc]]),0)),0,
SUM(_xlfn._xlws.FILTER(Table_BangLuong_TyLeTangCa[Tỷ lệ],
(Table_BangLuong_TyLeTangCa[Ngày] = "Thường") *
(Table_BangLuong_TyLeTangCa[Giờ min]&lt;=$AA23) *
(Table_BangLuong_TyLeTangCa[Giờ max]&gt;$AA23)
)))),
IF(AO$4 &gt; AO$5,
IF(
AND(
$AA23-$Z$4&lt;MAX(AO$4,VLOOKUP(AO$6, Table_ChiPhiNV_Ca[], COUNTA(Table_ChiPhiNV_Ca[[#Headers],[Ca]:[Bắt đầu]]),0)),
$AA23&gt;MIN(AO$5,VLOOKUP(AO$6, Table_ChiPhiNV_Ca[], COUNTA(Table_ChiPhiNV_Ca[[#Headers],[Ca]:[Kết thúc]]),0))),0,
SUM(_xlfn._xlws.FILTER(Table_BangLuong_TyLeTangCa[Tỷ lệ],
(Table_BangLuong_TyLeTangCa[Ngày] = "Thường") *
(Table_BangLuong_TyLeTangCa[Giờ min]&lt;=$AA23) *
(Table_BangLuong_TyLeTangCa[Giờ max]&gt;$AA23)
))),
IF(
AND(
$AA23-$Z$4&gt;=MAX(AO$4,VLOOKUP(AO$6, Table_ChiPhiNV_Ca[], COUNTA(Table_ChiPhiNV_Ca[[#Headers],[Ca]:[Bắt đầu]]),0)),
$AA23&lt;MIN(AO$5,VLOOKUP(AO$6, Table_ChiPhiNV_Ca[], COUNTA(Table_ChiPhiNV_Ca[[#Headers],[Ca]:[Kết thúc]]),0))),
SUM(_xlfn._xlws.FILTER(Table_BangLuong_TyLeTangCa[Tỷ lệ],
(Table_BangLuong_TyLeTangCa[Ngày] = "Thường") *
(Table_BangLuong_TyLeTangCa[Giờ min]&lt;=$AA23) *
(Table_BangLuong_TyLeTangCa[Giờ max]&gt;$AA23)
)),0)
)),
IF(AO$4 &lt; AO$5,
IF($AA23-$Z$4&lt;AO$4,0,
IF($AA23&gt;AO$5,0,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AO$5,$AA23 &lt; AO$4),0,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P23" s="18" cm="1">
        <f t="array" ref="AP23" xml:space="preserve">
IFERROR(
IF(AP$1="",0,
IF(AND(
$AA23&gt;=VLOOKUP(AP$6, Table_ChiPhiNV_Ca[], COUNTA(Table_ChiPhiNV_Ca[[#Headers],[Ca]:[Bắt đầu nghỉ]]),0),
$AA23&lt;VLOOKUP(AP$6, Table_ChiPhiNV_Ca[], COUNTA(Table_ChiPhiNV_Ca[[#Headers],[Ca]:[Kết thúc nghỉ]]),0)
),0,
IF(NOT(ISBLANK(AP$3)),
IF(ISBLANK(AP$7),0,
IF(AP$4 &lt; AP$5,
IF($AA23-$Z$4&lt;AP$4,0,
IF($AA23&gt;AP$5,0,
SUM(_xlfn._xlws.FILTER(Table_BangLuong_TyLeTangCa[Tỷ lệ],
(Table_BangLuong_TyLeTangCa[Ngày] = AP$3) *
(Table_BangLuong_TyLeTangCa[Giờ min]&lt;=$AA23) *
(Table_BangLuong_TyLeTangCa[Giờ max]&gt;$AA23)
)))),
IF(AND($AA23-$Z$4 &gt;= AP$5,$AA23 &lt; AP$4),0,
SUM(_xlfn._xlws.FILTER(Table_BangLuong_TyLeTangCa[Tỷ lệ],
(Table_BangLuong_TyLeTangCa[Ngày] = AP$3) *
(Table_BangLuong_TyLeTangCa[Giờ min]&lt;=$AA23) *
(Table_BangLuong_TyLeTangCa[Giờ max]&gt;$AA23)
))))
),
IF(ISBLANK(AP$7),
IF(VLOOKUP(AP$6, Table_ChiPhiNV_Ca[], COUNTA(Table_ChiPhiNV_Ca[[#Headers],[Ca]:[Kết thúc]]),0)&gt; VLOOKUP(AP$6, Table_ChiPhiNV_Ca[], COUNTA(Table_ChiPhiNV_Ca[[#Headers],[Ca]:[Bắt đầu]]),0),
IF($AA23-$Z$4&lt;MAX(AP$4,VLOOKUP(AP$6, Table_ChiPhiNV_Ca[], COUNTA(Table_ChiPhiNV_Ca[[#Headers],[Ca]:[Bắt đầu]]),0)),0,
IF($AA23&gt;MIN(AP$5,VLOOKUP(AP$6, Table_ChiPhiNV_Ca[], COUNTA(Table_ChiPhiNV_Ca[[#Headers],[Ca]:[Kết thúc]]),0)),0,
SUM(_xlfn._xlws.FILTER(Table_BangLuong_TyLeTangCa[Tỷ lệ],
(Table_BangLuong_TyLeTangCa[Ngày] = "Thường") *
(Table_BangLuong_TyLeTangCa[Giờ min]&lt;=$AA23) *
(Table_BangLuong_TyLeTangCa[Giờ max]&gt;$AA23)
)))),
IF(AP$4 &gt; AP$5,
IF(
AND(
$AA23-$Z$4&lt;MAX(AP$4,VLOOKUP(AP$6, Table_ChiPhiNV_Ca[], COUNTA(Table_ChiPhiNV_Ca[[#Headers],[Ca]:[Bắt đầu]]),0)),
$AA23&gt;MIN(AP$5,VLOOKUP(AP$6, Table_ChiPhiNV_Ca[], COUNTA(Table_ChiPhiNV_Ca[[#Headers],[Ca]:[Kết thúc]]),0))),0,
SUM(_xlfn._xlws.FILTER(Table_BangLuong_TyLeTangCa[Tỷ lệ],
(Table_BangLuong_TyLeTangCa[Ngày] = "Thường") *
(Table_BangLuong_TyLeTangCa[Giờ min]&lt;=$AA23) *
(Table_BangLuong_TyLeTangCa[Giờ max]&gt;$AA23)
))),
IF(
AND(
$AA23-$Z$4&gt;=MAX(AP$4,VLOOKUP(AP$6, Table_ChiPhiNV_Ca[], COUNTA(Table_ChiPhiNV_Ca[[#Headers],[Ca]:[Bắt đầu]]),0)),
$AA23&lt;MIN(AP$5,VLOOKUP(AP$6, Table_ChiPhiNV_Ca[], COUNTA(Table_ChiPhiNV_Ca[[#Headers],[Ca]:[Kết thúc]]),0))),
SUM(_xlfn._xlws.FILTER(Table_BangLuong_TyLeTangCa[Tỷ lệ],
(Table_BangLuong_TyLeTangCa[Ngày] = "Thường") *
(Table_BangLuong_TyLeTangCa[Giờ min]&lt;=$AA23) *
(Table_BangLuong_TyLeTangCa[Giờ max]&gt;$AA23)
)),0)
)),
IF(AP$4 &lt; AP$5,
IF($AA23-$Z$4&lt;AP$4,0,
IF($AA23&gt;AP$5,0,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AP$5,$AA23 &lt; AP$4),0,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Q23" s="18" cm="1">
        <f t="array" ref="AQ23" xml:space="preserve">
IFERROR(
IF(AQ$1="",0,
IF(AND(
$AA23&gt;=VLOOKUP(AQ$6, Table_ChiPhiNV_Ca[], COUNTA(Table_ChiPhiNV_Ca[[#Headers],[Ca]:[Bắt đầu nghỉ]]),0),
$AA23&lt;VLOOKUP(AQ$6, Table_ChiPhiNV_Ca[], COUNTA(Table_ChiPhiNV_Ca[[#Headers],[Ca]:[Kết thúc nghỉ]]),0)
),0,
IF(NOT(ISBLANK(AQ$3)),
IF(ISBLANK(AQ$7),0,
IF(AQ$4 &lt; AQ$5,
IF($AA23-$Z$4&lt;AQ$4,0,
IF($AA23&gt;AQ$5,0,
SUM(_xlfn._xlws.FILTER(Table_BangLuong_TyLeTangCa[Tỷ lệ],
(Table_BangLuong_TyLeTangCa[Ngày] = AQ$3) *
(Table_BangLuong_TyLeTangCa[Giờ min]&lt;=$AA23) *
(Table_BangLuong_TyLeTangCa[Giờ max]&gt;$AA23)
)))),
IF(AND($AA23-$Z$4 &gt;= AQ$5,$AA23 &lt; AQ$4),0,
SUM(_xlfn._xlws.FILTER(Table_BangLuong_TyLeTangCa[Tỷ lệ],
(Table_BangLuong_TyLeTangCa[Ngày] = AQ$3) *
(Table_BangLuong_TyLeTangCa[Giờ min]&lt;=$AA23) *
(Table_BangLuong_TyLeTangCa[Giờ max]&gt;$AA23)
))))
),
IF(ISBLANK(AQ$7),
IF(VLOOKUP(AQ$6, Table_ChiPhiNV_Ca[], COUNTA(Table_ChiPhiNV_Ca[[#Headers],[Ca]:[Kết thúc]]),0)&gt; VLOOKUP(AQ$6, Table_ChiPhiNV_Ca[], COUNTA(Table_ChiPhiNV_Ca[[#Headers],[Ca]:[Bắt đầu]]),0),
IF($AA23-$Z$4&lt;MAX(AQ$4,VLOOKUP(AQ$6, Table_ChiPhiNV_Ca[], COUNTA(Table_ChiPhiNV_Ca[[#Headers],[Ca]:[Bắt đầu]]),0)),0,
IF($AA23&gt;MIN(AQ$5,VLOOKUP(AQ$6, Table_ChiPhiNV_Ca[], COUNTA(Table_ChiPhiNV_Ca[[#Headers],[Ca]:[Kết thúc]]),0)),0,
SUM(_xlfn._xlws.FILTER(Table_BangLuong_TyLeTangCa[Tỷ lệ],
(Table_BangLuong_TyLeTangCa[Ngày] = "Thường") *
(Table_BangLuong_TyLeTangCa[Giờ min]&lt;=$AA23) *
(Table_BangLuong_TyLeTangCa[Giờ max]&gt;$AA23)
)))),
IF(AQ$4 &gt; AQ$5,
IF(
AND(
$AA23-$Z$4&lt;MAX(AQ$4,VLOOKUP(AQ$6, Table_ChiPhiNV_Ca[], COUNTA(Table_ChiPhiNV_Ca[[#Headers],[Ca]:[Bắt đầu]]),0)),
$AA23&gt;MIN(AQ$5,VLOOKUP(AQ$6, Table_ChiPhiNV_Ca[], COUNTA(Table_ChiPhiNV_Ca[[#Headers],[Ca]:[Kết thúc]]),0))),0,
SUM(_xlfn._xlws.FILTER(Table_BangLuong_TyLeTangCa[Tỷ lệ],
(Table_BangLuong_TyLeTangCa[Ngày] = "Thường") *
(Table_BangLuong_TyLeTangCa[Giờ min]&lt;=$AA23) *
(Table_BangLuong_TyLeTangCa[Giờ max]&gt;$AA23)
))),
IF(
AND(
$AA23-$Z$4&gt;=MAX(AQ$4,VLOOKUP(AQ$6, Table_ChiPhiNV_Ca[], COUNTA(Table_ChiPhiNV_Ca[[#Headers],[Ca]:[Bắt đầu]]),0)),
$AA23&lt;MIN(AQ$5,VLOOKUP(AQ$6, Table_ChiPhiNV_Ca[], COUNTA(Table_ChiPhiNV_Ca[[#Headers],[Ca]:[Kết thúc]]),0))),
SUM(_xlfn._xlws.FILTER(Table_BangLuong_TyLeTangCa[Tỷ lệ],
(Table_BangLuong_TyLeTangCa[Ngày] = "Thường") *
(Table_BangLuong_TyLeTangCa[Giờ min]&lt;=$AA23) *
(Table_BangLuong_TyLeTangCa[Giờ max]&gt;$AA23)
)),0)
)),
IF(AQ$4 &lt; AQ$5,
IF($AA23-$Z$4&lt;AQ$4,0,
IF($AA23&gt;AQ$5,0,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AQ$5,$AA23 &lt; AQ$4),0,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R23" s="18" cm="1">
        <f t="array" ref="AR23" xml:space="preserve">
IFERROR(
IF(AR$1="",0,
IF(AND(
$AA23&gt;=VLOOKUP(AR$6, Table_ChiPhiNV_Ca[], COUNTA(Table_ChiPhiNV_Ca[[#Headers],[Ca]:[Bắt đầu nghỉ]]),0),
$AA23&lt;VLOOKUP(AR$6, Table_ChiPhiNV_Ca[], COUNTA(Table_ChiPhiNV_Ca[[#Headers],[Ca]:[Kết thúc nghỉ]]),0)
),0,
IF(NOT(ISBLANK(AR$3)),
IF(ISBLANK(AR$7),0,
IF(AR$4 &lt; AR$5,
IF($AA23-$Z$4&lt;AR$4,0,
IF($AA23&gt;AR$5,0,
SUM(_xlfn._xlws.FILTER(Table_BangLuong_TyLeTangCa[Tỷ lệ],
(Table_BangLuong_TyLeTangCa[Ngày] = AR$3) *
(Table_BangLuong_TyLeTangCa[Giờ min]&lt;=$AA23) *
(Table_BangLuong_TyLeTangCa[Giờ max]&gt;$AA23)
)))),
IF(AND($AA23-$Z$4 &gt;= AR$5,$AA23 &lt; AR$4),0,
SUM(_xlfn._xlws.FILTER(Table_BangLuong_TyLeTangCa[Tỷ lệ],
(Table_BangLuong_TyLeTangCa[Ngày] = AR$3) *
(Table_BangLuong_TyLeTangCa[Giờ min]&lt;=$AA23) *
(Table_BangLuong_TyLeTangCa[Giờ max]&gt;$AA23)
))))
),
IF(ISBLANK(AR$7),
IF(VLOOKUP(AR$6, Table_ChiPhiNV_Ca[], COUNTA(Table_ChiPhiNV_Ca[[#Headers],[Ca]:[Kết thúc]]),0)&gt; VLOOKUP(AR$6, Table_ChiPhiNV_Ca[], COUNTA(Table_ChiPhiNV_Ca[[#Headers],[Ca]:[Bắt đầu]]),0),
IF($AA23-$Z$4&lt;MAX(AR$4,VLOOKUP(AR$6, Table_ChiPhiNV_Ca[], COUNTA(Table_ChiPhiNV_Ca[[#Headers],[Ca]:[Bắt đầu]]),0)),0,
IF($AA23&gt;MIN(AR$5,VLOOKUP(AR$6, Table_ChiPhiNV_Ca[], COUNTA(Table_ChiPhiNV_Ca[[#Headers],[Ca]:[Kết thúc]]),0)),0,
SUM(_xlfn._xlws.FILTER(Table_BangLuong_TyLeTangCa[Tỷ lệ],
(Table_BangLuong_TyLeTangCa[Ngày] = "Thường") *
(Table_BangLuong_TyLeTangCa[Giờ min]&lt;=$AA23) *
(Table_BangLuong_TyLeTangCa[Giờ max]&gt;$AA23)
)))),
IF(AR$4 &gt; AR$5,
IF(
AND(
$AA23-$Z$4&lt;MAX(AR$4,VLOOKUP(AR$6, Table_ChiPhiNV_Ca[], COUNTA(Table_ChiPhiNV_Ca[[#Headers],[Ca]:[Bắt đầu]]),0)),
$AA23&gt;MIN(AR$5,VLOOKUP(AR$6, Table_ChiPhiNV_Ca[], COUNTA(Table_ChiPhiNV_Ca[[#Headers],[Ca]:[Kết thúc]]),0))),0,
SUM(_xlfn._xlws.FILTER(Table_BangLuong_TyLeTangCa[Tỷ lệ],
(Table_BangLuong_TyLeTangCa[Ngày] = "Thường") *
(Table_BangLuong_TyLeTangCa[Giờ min]&lt;=$AA23) *
(Table_BangLuong_TyLeTangCa[Giờ max]&gt;$AA23)
))),
IF(
AND(
$AA23-$Z$4&gt;=MAX(AR$4,VLOOKUP(AR$6, Table_ChiPhiNV_Ca[], COUNTA(Table_ChiPhiNV_Ca[[#Headers],[Ca]:[Bắt đầu]]),0)),
$AA23&lt;MIN(AR$5,VLOOKUP(AR$6, Table_ChiPhiNV_Ca[], COUNTA(Table_ChiPhiNV_Ca[[#Headers],[Ca]:[Kết thúc]]),0))),
SUM(_xlfn._xlws.FILTER(Table_BangLuong_TyLeTangCa[Tỷ lệ],
(Table_BangLuong_TyLeTangCa[Ngày] = "Thường") *
(Table_BangLuong_TyLeTangCa[Giờ min]&lt;=$AA23) *
(Table_BangLuong_TyLeTangCa[Giờ max]&gt;$AA23)
)),0)
)),
IF(AR$4 &lt; AR$5,
IF($AA23-$Z$4&lt;AR$4,0,
IF($AA23&gt;AR$5,0,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AR$5,$AA23 &lt; AR$4),0,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S23" s="18" cm="1">
        <f t="array" ref="AS23" xml:space="preserve">
IFERROR(
IF(AS$1="",0,
IF(AND(
$AA23&gt;=VLOOKUP(AS$6, Table_ChiPhiNV_Ca[], COUNTA(Table_ChiPhiNV_Ca[[#Headers],[Ca]:[Bắt đầu nghỉ]]),0),
$AA23&lt;VLOOKUP(AS$6, Table_ChiPhiNV_Ca[], COUNTA(Table_ChiPhiNV_Ca[[#Headers],[Ca]:[Kết thúc nghỉ]]),0)
),0,
IF(NOT(ISBLANK(AS$3)),
IF(ISBLANK(AS$7),0,
IF(AS$4 &lt; AS$5,
IF($AA23-$Z$4&lt;AS$4,0,
IF($AA23&gt;AS$5,0,
SUM(_xlfn._xlws.FILTER(Table_BangLuong_TyLeTangCa[Tỷ lệ],
(Table_BangLuong_TyLeTangCa[Ngày] = AS$3) *
(Table_BangLuong_TyLeTangCa[Giờ min]&lt;=$AA23) *
(Table_BangLuong_TyLeTangCa[Giờ max]&gt;$AA23)
)))),
IF(AND($AA23-$Z$4 &gt;= AS$5,$AA23 &lt; AS$4),0,
SUM(_xlfn._xlws.FILTER(Table_BangLuong_TyLeTangCa[Tỷ lệ],
(Table_BangLuong_TyLeTangCa[Ngày] = AS$3) *
(Table_BangLuong_TyLeTangCa[Giờ min]&lt;=$AA23) *
(Table_BangLuong_TyLeTangCa[Giờ max]&gt;$AA23)
))))
),
IF(ISBLANK(AS$7),
IF(VLOOKUP(AS$6, Table_ChiPhiNV_Ca[], COUNTA(Table_ChiPhiNV_Ca[[#Headers],[Ca]:[Kết thúc]]),0)&gt; VLOOKUP(AS$6, Table_ChiPhiNV_Ca[], COUNTA(Table_ChiPhiNV_Ca[[#Headers],[Ca]:[Bắt đầu]]),0),
IF($AA23-$Z$4&lt;MAX(AS$4,VLOOKUP(AS$6, Table_ChiPhiNV_Ca[], COUNTA(Table_ChiPhiNV_Ca[[#Headers],[Ca]:[Bắt đầu]]),0)),0,
IF($AA23&gt;MIN(AS$5,VLOOKUP(AS$6, Table_ChiPhiNV_Ca[], COUNTA(Table_ChiPhiNV_Ca[[#Headers],[Ca]:[Kết thúc]]),0)),0,
SUM(_xlfn._xlws.FILTER(Table_BangLuong_TyLeTangCa[Tỷ lệ],
(Table_BangLuong_TyLeTangCa[Ngày] = "Thường") *
(Table_BangLuong_TyLeTangCa[Giờ min]&lt;=$AA23) *
(Table_BangLuong_TyLeTangCa[Giờ max]&gt;$AA23)
)))),
IF(AS$4 &gt; AS$5,
IF(
AND(
$AA23-$Z$4&lt;MAX(AS$4,VLOOKUP(AS$6, Table_ChiPhiNV_Ca[], COUNTA(Table_ChiPhiNV_Ca[[#Headers],[Ca]:[Bắt đầu]]),0)),
$AA23&gt;MIN(AS$5,VLOOKUP(AS$6, Table_ChiPhiNV_Ca[], COUNTA(Table_ChiPhiNV_Ca[[#Headers],[Ca]:[Kết thúc]]),0))),0,
SUM(_xlfn._xlws.FILTER(Table_BangLuong_TyLeTangCa[Tỷ lệ],
(Table_BangLuong_TyLeTangCa[Ngày] = "Thường") *
(Table_BangLuong_TyLeTangCa[Giờ min]&lt;=$AA23) *
(Table_BangLuong_TyLeTangCa[Giờ max]&gt;$AA23)
))),
IF(
AND(
$AA23-$Z$4&gt;=MAX(AS$4,VLOOKUP(AS$6, Table_ChiPhiNV_Ca[], COUNTA(Table_ChiPhiNV_Ca[[#Headers],[Ca]:[Bắt đầu]]),0)),
$AA23&lt;MIN(AS$5,VLOOKUP(AS$6, Table_ChiPhiNV_Ca[], COUNTA(Table_ChiPhiNV_Ca[[#Headers],[Ca]:[Kết thúc]]),0))),
SUM(_xlfn._xlws.FILTER(Table_BangLuong_TyLeTangCa[Tỷ lệ],
(Table_BangLuong_TyLeTangCa[Ngày] = "Thường") *
(Table_BangLuong_TyLeTangCa[Giờ min]&lt;=$AA23) *
(Table_BangLuong_TyLeTangCa[Giờ max]&gt;$AA23)
)),0)
)),
IF(AS$4 &lt; AS$5,
IF($AA23-$Z$4&lt;AS$4,0,
IF($AA23&gt;AS$5,0,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AS$5,$AA23 &lt; AS$4),0,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T23" s="18" cm="1">
        <f t="array" ref="AT23" xml:space="preserve">
IFERROR(
IF(AT$1="",0,
IF(AND(
$AA23&gt;=VLOOKUP(AT$6, Table_ChiPhiNV_Ca[], COUNTA(Table_ChiPhiNV_Ca[[#Headers],[Ca]:[Bắt đầu nghỉ]]),0),
$AA23&lt;VLOOKUP(AT$6, Table_ChiPhiNV_Ca[], COUNTA(Table_ChiPhiNV_Ca[[#Headers],[Ca]:[Kết thúc nghỉ]]),0)
),0,
IF(NOT(ISBLANK(AT$3)),
IF(ISBLANK(AT$7),0,
IF(AT$4 &lt; AT$5,
IF($AA23-$Z$4&lt;AT$4,0,
IF($AA23&gt;AT$5,0,
SUM(_xlfn._xlws.FILTER(Table_BangLuong_TyLeTangCa[Tỷ lệ],
(Table_BangLuong_TyLeTangCa[Ngày] = AT$3) *
(Table_BangLuong_TyLeTangCa[Giờ min]&lt;=$AA23) *
(Table_BangLuong_TyLeTangCa[Giờ max]&gt;$AA23)
)))),
IF(AND($AA23-$Z$4 &gt;= AT$5,$AA23 &lt; AT$4),0,
SUM(_xlfn._xlws.FILTER(Table_BangLuong_TyLeTangCa[Tỷ lệ],
(Table_BangLuong_TyLeTangCa[Ngày] = AT$3) *
(Table_BangLuong_TyLeTangCa[Giờ min]&lt;=$AA23) *
(Table_BangLuong_TyLeTangCa[Giờ max]&gt;$AA23)
))))
),
IF(ISBLANK(AT$7),
IF(VLOOKUP(AT$6, Table_ChiPhiNV_Ca[], COUNTA(Table_ChiPhiNV_Ca[[#Headers],[Ca]:[Kết thúc]]),0)&gt; VLOOKUP(AT$6, Table_ChiPhiNV_Ca[], COUNTA(Table_ChiPhiNV_Ca[[#Headers],[Ca]:[Bắt đầu]]),0),
IF($AA23-$Z$4&lt;MAX(AT$4,VLOOKUP(AT$6, Table_ChiPhiNV_Ca[], COUNTA(Table_ChiPhiNV_Ca[[#Headers],[Ca]:[Bắt đầu]]),0)),0,
IF($AA23&gt;MIN(AT$5,VLOOKUP(AT$6, Table_ChiPhiNV_Ca[], COUNTA(Table_ChiPhiNV_Ca[[#Headers],[Ca]:[Kết thúc]]),0)),0,
SUM(_xlfn._xlws.FILTER(Table_BangLuong_TyLeTangCa[Tỷ lệ],
(Table_BangLuong_TyLeTangCa[Ngày] = "Thường") *
(Table_BangLuong_TyLeTangCa[Giờ min]&lt;=$AA23) *
(Table_BangLuong_TyLeTangCa[Giờ max]&gt;$AA23)
)))),
IF(AT$4 &gt; AT$5,
IF(
AND(
$AA23-$Z$4&lt;MAX(AT$4,VLOOKUP(AT$6, Table_ChiPhiNV_Ca[], COUNTA(Table_ChiPhiNV_Ca[[#Headers],[Ca]:[Bắt đầu]]),0)),
$AA23&gt;MIN(AT$5,VLOOKUP(AT$6, Table_ChiPhiNV_Ca[], COUNTA(Table_ChiPhiNV_Ca[[#Headers],[Ca]:[Kết thúc]]),0))),0,
SUM(_xlfn._xlws.FILTER(Table_BangLuong_TyLeTangCa[Tỷ lệ],
(Table_BangLuong_TyLeTangCa[Ngày] = "Thường") *
(Table_BangLuong_TyLeTangCa[Giờ min]&lt;=$AA23) *
(Table_BangLuong_TyLeTangCa[Giờ max]&gt;$AA23)
))),
IF(
AND(
$AA23-$Z$4&gt;=MAX(AT$4,VLOOKUP(AT$6, Table_ChiPhiNV_Ca[], COUNTA(Table_ChiPhiNV_Ca[[#Headers],[Ca]:[Bắt đầu]]),0)),
$AA23&lt;MIN(AT$5,VLOOKUP(AT$6, Table_ChiPhiNV_Ca[], COUNTA(Table_ChiPhiNV_Ca[[#Headers],[Ca]:[Kết thúc]]),0))),
SUM(_xlfn._xlws.FILTER(Table_BangLuong_TyLeTangCa[Tỷ lệ],
(Table_BangLuong_TyLeTangCa[Ngày] = "Thường") *
(Table_BangLuong_TyLeTangCa[Giờ min]&lt;=$AA23) *
(Table_BangLuong_TyLeTangCa[Giờ max]&gt;$AA23)
)),0)
)),
IF(AT$4 &lt; AT$5,
IF($AA23-$Z$4&lt;AT$4,0,
IF($AA23&gt;AT$5,0,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AT$5,$AA23 &lt; AT$4),0,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U23" s="18" cm="1">
        <f t="array" ref="AU23" xml:space="preserve">
IFERROR(
IF(AU$1="",0,
IF(AND(
$AA23&gt;=VLOOKUP(AU$6, Table_ChiPhiNV_Ca[], COUNTA(Table_ChiPhiNV_Ca[[#Headers],[Ca]:[Bắt đầu nghỉ]]),0),
$AA23&lt;VLOOKUP(AU$6, Table_ChiPhiNV_Ca[], COUNTA(Table_ChiPhiNV_Ca[[#Headers],[Ca]:[Kết thúc nghỉ]]),0)
),0,
IF(NOT(ISBLANK(AU$3)),
IF(ISBLANK(AU$7),0,
IF(AU$4 &lt; AU$5,
IF($AA23-$Z$4&lt;AU$4,0,
IF($AA23&gt;AU$5,0,
SUM(_xlfn._xlws.FILTER(Table_BangLuong_TyLeTangCa[Tỷ lệ],
(Table_BangLuong_TyLeTangCa[Ngày] = AU$3) *
(Table_BangLuong_TyLeTangCa[Giờ min]&lt;=$AA23) *
(Table_BangLuong_TyLeTangCa[Giờ max]&gt;$AA23)
)))),
IF(AND($AA23-$Z$4 &gt;= AU$5,$AA23 &lt; AU$4),0,
SUM(_xlfn._xlws.FILTER(Table_BangLuong_TyLeTangCa[Tỷ lệ],
(Table_BangLuong_TyLeTangCa[Ngày] = AU$3) *
(Table_BangLuong_TyLeTangCa[Giờ min]&lt;=$AA23) *
(Table_BangLuong_TyLeTangCa[Giờ max]&gt;$AA23)
))))
),
IF(ISBLANK(AU$7),
IF(VLOOKUP(AU$6, Table_ChiPhiNV_Ca[], COUNTA(Table_ChiPhiNV_Ca[[#Headers],[Ca]:[Kết thúc]]),0)&gt; VLOOKUP(AU$6, Table_ChiPhiNV_Ca[], COUNTA(Table_ChiPhiNV_Ca[[#Headers],[Ca]:[Bắt đầu]]),0),
IF($AA23-$Z$4&lt;MAX(AU$4,VLOOKUP(AU$6, Table_ChiPhiNV_Ca[], COUNTA(Table_ChiPhiNV_Ca[[#Headers],[Ca]:[Bắt đầu]]),0)),0,
IF($AA23&gt;MIN(AU$5,VLOOKUP(AU$6, Table_ChiPhiNV_Ca[], COUNTA(Table_ChiPhiNV_Ca[[#Headers],[Ca]:[Kết thúc]]),0)),0,
SUM(_xlfn._xlws.FILTER(Table_BangLuong_TyLeTangCa[Tỷ lệ],
(Table_BangLuong_TyLeTangCa[Ngày] = "Thường") *
(Table_BangLuong_TyLeTangCa[Giờ min]&lt;=$AA23) *
(Table_BangLuong_TyLeTangCa[Giờ max]&gt;$AA23)
)))),
IF(AU$4 &gt; AU$5,
IF(
AND(
$AA23-$Z$4&lt;MAX(AU$4,VLOOKUP(AU$6, Table_ChiPhiNV_Ca[], COUNTA(Table_ChiPhiNV_Ca[[#Headers],[Ca]:[Bắt đầu]]),0)),
$AA23&gt;MIN(AU$5,VLOOKUP(AU$6, Table_ChiPhiNV_Ca[], COUNTA(Table_ChiPhiNV_Ca[[#Headers],[Ca]:[Kết thúc]]),0))),0,
SUM(_xlfn._xlws.FILTER(Table_BangLuong_TyLeTangCa[Tỷ lệ],
(Table_BangLuong_TyLeTangCa[Ngày] = "Thường") *
(Table_BangLuong_TyLeTangCa[Giờ min]&lt;=$AA23) *
(Table_BangLuong_TyLeTangCa[Giờ max]&gt;$AA23)
))),
IF(
AND(
$AA23-$Z$4&gt;=MAX(AU$4,VLOOKUP(AU$6, Table_ChiPhiNV_Ca[], COUNTA(Table_ChiPhiNV_Ca[[#Headers],[Ca]:[Bắt đầu]]),0)),
$AA23&lt;MIN(AU$5,VLOOKUP(AU$6, Table_ChiPhiNV_Ca[], COUNTA(Table_ChiPhiNV_Ca[[#Headers],[Ca]:[Kết thúc]]),0))),
SUM(_xlfn._xlws.FILTER(Table_BangLuong_TyLeTangCa[Tỷ lệ],
(Table_BangLuong_TyLeTangCa[Ngày] = "Thường") *
(Table_BangLuong_TyLeTangCa[Giờ min]&lt;=$AA23) *
(Table_BangLuong_TyLeTangCa[Giờ max]&gt;$AA23)
)),0)
)),
IF(AU$4 &lt; AU$5,
IF($AA23-$Z$4&lt;AU$4,0,
IF($AA23&gt;AU$5,0,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AU$5,$AA23 &lt; AU$4),0,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V23" s="18" cm="1">
        <f t="array" ref="AV23" xml:space="preserve">
IFERROR(
IF(AV$1="",0,
IF(AND(
$AA23&gt;=VLOOKUP(AV$6, Table_ChiPhiNV_Ca[], COUNTA(Table_ChiPhiNV_Ca[[#Headers],[Ca]:[Bắt đầu nghỉ]]),0),
$AA23&lt;VLOOKUP(AV$6, Table_ChiPhiNV_Ca[], COUNTA(Table_ChiPhiNV_Ca[[#Headers],[Ca]:[Kết thúc nghỉ]]),0)
),0,
IF(NOT(ISBLANK(AV$3)),
IF(ISBLANK(AV$7),0,
IF(AV$4 &lt; AV$5,
IF($AA23-$Z$4&lt;AV$4,0,
IF($AA23&gt;AV$5,0,
SUM(_xlfn._xlws.FILTER(Table_BangLuong_TyLeTangCa[Tỷ lệ],
(Table_BangLuong_TyLeTangCa[Ngày] = AV$3) *
(Table_BangLuong_TyLeTangCa[Giờ min]&lt;=$AA23) *
(Table_BangLuong_TyLeTangCa[Giờ max]&gt;$AA23)
)))),
IF(AND($AA23-$Z$4 &gt;= AV$5,$AA23 &lt; AV$4),0,
SUM(_xlfn._xlws.FILTER(Table_BangLuong_TyLeTangCa[Tỷ lệ],
(Table_BangLuong_TyLeTangCa[Ngày] = AV$3) *
(Table_BangLuong_TyLeTangCa[Giờ min]&lt;=$AA23) *
(Table_BangLuong_TyLeTangCa[Giờ max]&gt;$AA23)
))))
),
IF(ISBLANK(AV$7),
IF(VLOOKUP(AV$6, Table_ChiPhiNV_Ca[], COUNTA(Table_ChiPhiNV_Ca[[#Headers],[Ca]:[Kết thúc]]),0)&gt; VLOOKUP(AV$6, Table_ChiPhiNV_Ca[], COUNTA(Table_ChiPhiNV_Ca[[#Headers],[Ca]:[Bắt đầu]]),0),
IF($AA23-$Z$4&lt;MAX(AV$4,VLOOKUP(AV$6, Table_ChiPhiNV_Ca[], COUNTA(Table_ChiPhiNV_Ca[[#Headers],[Ca]:[Bắt đầu]]),0)),0,
IF($AA23&gt;MIN(AV$5,VLOOKUP(AV$6, Table_ChiPhiNV_Ca[], COUNTA(Table_ChiPhiNV_Ca[[#Headers],[Ca]:[Kết thúc]]),0)),0,
SUM(_xlfn._xlws.FILTER(Table_BangLuong_TyLeTangCa[Tỷ lệ],
(Table_BangLuong_TyLeTangCa[Ngày] = "Thường") *
(Table_BangLuong_TyLeTangCa[Giờ min]&lt;=$AA23) *
(Table_BangLuong_TyLeTangCa[Giờ max]&gt;$AA23)
)))),
IF(AV$4 &gt; AV$5,
IF(
AND(
$AA23-$Z$4&lt;MAX(AV$4,VLOOKUP(AV$6, Table_ChiPhiNV_Ca[], COUNTA(Table_ChiPhiNV_Ca[[#Headers],[Ca]:[Bắt đầu]]),0)),
$AA23&gt;MIN(AV$5,VLOOKUP(AV$6, Table_ChiPhiNV_Ca[], COUNTA(Table_ChiPhiNV_Ca[[#Headers],[Ca]:[Kết thúc]]),0))),0,
SUM(_xlfn._xlws.FILTER(Table_BangLuong_TyLeTangCa[Tỷ lệ],
(Table_BangLuong_TyLeTangCa[Ngày] = "Thường") *
(Table_BangLuong_TyLeTangCa[Giờ min]&lt;=$AA23) *
(Table_BangLuong_TyLeTangCa[Giờ max]&gt;$AA23)
))),
IF(
AND(
$AA23-$Z$4&gt;=MAX(AV$4,VLOOKUP(AV$6, Table_ChiPhiNV_Ca[], COUNTA(Table_ChiPhiNV_Ca[[#Headers],[Ca]:[Bắt đầu]]),0)),
$AA23&lt;MIN(AV$5,VLOOKUP(AV$6, Table_ChiPhiNV_Ca[], COUNTA(Table_ChiPhiNV_Ca[[#Headers],[Ca]:[Kết thúc]]),0))),
SUM(_xlfn._xlws.FILTER(Table_BangLuong_TyLeTangCa[Tỷ lệ],
(Table_BangLuong_TyLeTangCa[Ngày] = "Thường") *
(Table_BangLuong_TyLeTangCa[Giờ min]&lt;=$AA23) *
(Table_BangLuong_TyLeTangCa[Giờ max]&gt;$AA23)
)),0)
)),
IF(AV$4 &lt; AV$5,
IF($AA23-$Z$4&lt;AV$4,0,
IF($AA23&gt;AV$5,0,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AV$5,$AA23 &lt; AV$4),0,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W23" s="18" cm="1">
        <f t="array" ref="AW23" xml:space="preserve">
IFERROR(
IF(AW$1="",0,
IF(AND(
$AA23&gt;=VLOOKUP(AW$6, Table_ChiPhiNV_Ca[], COUNTA(Table_ChiPhiNV_Ca[[#Headers],[Ca]:[Bắt đầu nghỉ]]),0),
$AA23&lt;VLOOKUP(AW$6, Table_ChiPhiNV_Ca[], COUNTA(Table_ChiPhiNV_Ca[[#Headers],[Ca]:[Kết thúc nghỉ]]),0)
),0,
IF(NOT(ISBLANK(AW$3)),
IF(ISBLANK(AW$7),0,
IF(AW$4 &lt; AW$5,
IF($AA23-$Z$4&lt;AW$4,0,
IF($AA23&gt;AW$5,0,
SUM(_xlfn._xlws.FILTER(Table_BangLuong_TyLeTangCa[Tỷ lệ],
(Table_BangLuong_TyLeTangCa[Ngày] = AW$3) *
(Table_BangLuong_TyLeTangCa[Giờ min]&lt;=$AA23) *
(Table_BangLuong_TyLeTangCa[Giờ max]&gt;$AA23)
)))),
IF(AND($AA23-$Z$4 &gt;= AW$5,$AA23 &lt; AW$4),0,
SUM(_xlfn._xlws.FILTER(Table_BangLuong_TyLeTangCa[Tỷ lệ],
(Table_BangLuong_TyLeTangCa[Ngày] = AW$3) *
(Table_BangLuong_TyLeTangCa[Giờ min]&lt;=$AA23) *
(Table_BangLuong_TyLeTangCa[Giờ max]&gt;$AA23)
))))
),
IF(ISBLANK(AW$7),
IF(VLOOKUP(AW$6, Table_ChiPhiNV_Ca[], COUNTA(Table_ChiPhiNV_Ca[[#Headers],[Ca]:[Kết thúc]]),0)&gt; VLOOKUP(AW$6, Table_ChiPhiNV_Ca[], COUNTA(Table_ChiPhiNV_Ca[[#Headers],[Ca]:[Bắt đầu]]),0),
IF($AA23-$Z$4&lt;MAX(AW$4,VLOOKUP(AW$6, Table_ChiPhiNV_Ca[], COUNTA(Table_ChiPhiNV_Ca[[#Headers],[Ca]:[Bắt đầu]]),0)),0,
IF($AA23&gt;MIN(AW$5,VLOOKUP(AW$6, Table_ChiPhiNV_Ca[], COUNTA(Table_ChiPhiNV_Ca[[#Headers],[Ca]:[Kết thúc]]),0)),0,
SUM(_xlfn._xlws.FILTER(Table_BangLuong_TyLeTangCa[Tỷ lệ],
(Table_BangLuong_TyLeTangCa[Ngày] = "Thường") *
(Table_BangLuong_TyLeTangCa[Giờ min]&lt;=$AA23) *
(Table_BangLuong_TyLeTangCa[Giờ max]&gt;$AA23)
)))),
IF(AW$4 &gt; AW$5,
IF(
AND(
$AA23-$Z$4&lt;MAX(AW$4,VLOOKUP(AW$6, Table_ChiPhiNV_Ca[], COUNTA(Table_ChiPhiNV_Ca[[#Headers],[Ca]:[Bắt đầu]]),0)),
$AA23&gt;MIN(AW$5,VLOOKUP(AW$6, Table_ChiPhiNV_Ca[], COUNTA(Table_ChiPhiNV_Ca[[#Headers],[Ca]:[Kết thúc]]),0))),0,
SUM(_xlfn._xlws.FILTER(Table_BangLuong_TyLeTangCa[Tỷ lệ],
(Table_BangLuong_TyLeTangCa[Ngày] = "Thường") *
(Table_BangLuong_TyLeTangCa[Giờ min]&lt;=$AA23) *
(Table_BangLuong_TyLeTangCa[Giờ max]&gt;$AA23)
))),
IF(
AND(
$AA23-$Z$4&gt;=MAX(AW$4,VLOOKUP(AW$6, Table_ChiPhiNV_Ca[], COUNTA(Table_ChiPhiNV_Ca[[#Headers],[Ca]:[Bắt đầu]]),0)),
$AA23&lt;MIN(AW$5,VLOOKUP(AW$6, Table_ChiPhiNV_Ca[], COUNTA(Table_ChiPhiNV_Ca[[#Headers],[Ca]:[Kết thúc]]),0))),
SUM(_xlfn._xlws.FILTER(Table_BangLuong_TyLeTangCa[Tỷ lệ],
(Table_BangLuong_TyLeTangCa[Ngày] = "Thường") *
(Table_BangLuong_TyLeTangCa[Giờ min]&lt;=$AA23) *
(Table_BangLuong_TyLeTangCa[Giờ max]&gt;$AA23)
)),0)
)),
IF(AW$4 &lt; AW$5,
IF($AA23-$Z$4&lt;AW$4,0,
IF($AA23&gt;AW$5,0,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AW$5,$AA23 &lt; AW$4),0,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X23" s="18" cm="1">
        <f t="array" ref="AX23" xml:space="preserve">
IFERROR(
IF(AX$1="",0,
IF(AND(
$AA23&gt;=VLOOKUP(AX$6, Table_ChiPhiNV_Ca[], COUNTA(Table_ChiPhiNV_Ca[[#Headers],[Ca]:[Bắt đầu nghỉ]]),0),
$AA23&lt;VLOOKUP(AX$6, Table_ChiPhiNV_Ca[], COUNTA(Table_ChiPhiNV_Ca[[#Headers],[Ca]:[Kết thúc nghỉ]]),0)
),0,
IF(NOT(ISBLANK(AX$3)),
IF(ISBLANK(AX$7),0,
IF(AX$4 &lt; AX$5,
IF($AA23-$Z$4&lt;AX$4,0,
IF($AA23&gt;AX$5,0,
SUM(_xlfn._xlws.FILTER(Table_BangLuong_TyLeTangCa[Tỷ lệ],
(Table_BangLuong_TyLeTangCa[Ngày] = AX$3) *
(Table_BangLuong_TyLeTangCa[Giờ min]&lt;=$AA23) *
(Table_BangLuong_TyLeTangCa[Giờ max]&gt;$AA23)
)))),
IF(AND($AA23-$Z$4 &gt;= AX$5,$AA23 &lt; AX$4),0,
SUM(_xlfn._xlws.FILTER(Table_BangLuong_TyLeTangCa[Tỷ lệ],
(Table_BangLuong_TyLeTangCa[Ngày] = AX$3) *
(Table_BangLuong_TyLeTangCa[Giờ min]&lt;=$AA23) *
(Table_BangLuong_TyLeTangCa[Giờ max]&gt;$AA23)
))))
),
IF(ISBLANK(AX$7),
IF(VLOOKUP(AX$6, Table_ChiPhiNV_Ca[], COUNTA(Table_ChiPhiNV_Ca[[#Headers],[Ca]:[Kết thúc]]),0)&gt; VLOOKUP(AX$6, Table_ChiPhiNV_Ca[], COUNTA(Table_ChiPhiNV_Ca[[#Headers],[Ca]:[Bắt đầu]]),0),
IF($AA23-$Z$4&lt;MAX(AX$4,VLOOKUP(AX$6, Table_ChiPhiNV_Ca[], COUNTA(Table_ChiPhiNV_Ca[[#Headers],[Ca]:[Bắt đầu]]),0)),0,
IF($AA23&gt;MIN(AX$5,VLOOKUP(AX$6, Table_ChiPhiNV_Ca[], COUNTA(Table_ChiPhiNV_Ca[[#Headers],[Ca]:[Kết thúc]]),0)),0,
SUM(_xlfn._xlws.FILTER(Table_BangLuong_TyLeTangCa[Tỷ lệ],
(Table_BangLuong_TyLeTangCa[Ngày] = "Thường") *
(Table_BangLuong_TyLeTangCa[Giờ min]&lt;=$AA23) *
(Table_BangLuong_TyLeTangCa[Giờ max]&gt;$AA23)
)))),
IF(AX$4 &gt; AX$5,
IF(
AND(
$AA23-$Z$4&lt;MAX(AX$4,VLOOKUP(AX$6, Table_ChiPhiNV_Ca[], COUNTA(Table_ChiPhiNV_Ca[[#Headers],[Ca]:[Bắt đầu]]),0)),
$AA23&gt;MIN(AX$5,VLOOKUP(AX$6, Table_ChiPhiNV_Ca[], COUNTA(Table_ChiPhiNV_Ca[[#Headers],[Ca]:[Kết thúc]]),0))),0,
SUM(_xlfn._xlws.FILTER(Table_BangLuong_TyLeTangCa[Tỷ lệ],
(Table_BangLuong_TyLeTangCa[Ngày] = "Thường") *
(Table_BangLuong_TyLeTangCa[Giờ min]&lt;=$AA23) *
(Table_BangLuong_TyLeTangCa[Giờ max]&gt;$AA23)
))),
IF(
AND(
$AA23-$Z$4&gt;=MAX(AX$4,VLOOKUP(AX$6, Table_ChiPhiNV_Ca[], COUNTA(Table_ChiPhiNV_Ca[[#Headers],[Ca]:[Bắt đầu]]),0)),
$AA23&lt;MIN(AX$5,VLOOKUP(AX$6, Table_ChiPhiNV_Ca[], COUNTA(Table_ChiPhiNV_Ca[[#Headers],[Ca]:[Kết thúc]]),0))),
SUM(_xlfn._xlws.FILTER(Table_BangLuong_TyLeTangCa[Tỷ lệ],
(Table_BangLuong_TyLeTangCa[Ngày] = "Thường") *
(Table_BangLuong_TyLeTangCa[Giờ min]&lt;=$AA23) *
(Table_BangLuong_TyLeTangCa[Giờ max]&gt;$AA23)
)),0)
)),
IF(AX$4 &lt; AX$5,
IF($AA23-$Z$4&lt;AX$4,0,
IF($AA23&gt;AX$5,0,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AX$5,$AA23 &lt; AX$4),0,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Y23" s="18" cm="1">
        <f t="array" ref="AY23" xml:space="preserve">
IFERROR(
IF(AY$1="",0,
IF(AND(
$AA23&gt;=VLOOKUP(AY$6, Table_ChiPhiNV_Ca[], COUNTA(Table_ChiPhiNV_Ca[[#Headers],[Ca]:[Bắt đầu nghỉ]]),0),
$AA23&lt;VLOOKUP(AY$6, Table_ChiPhiNV_Ca[], COUNTA(Table_ChiPhiNV_Ca[[#Headers],[Ca]:[Kết thúc nghỉ]]),0)
),0,
IF(NOT(ISBLANK(AY$3)),
IF(ISBLANK(AY$7),0,
IF(AY$4 &lt; AY$5,
IF($AA23-$Z$4&lt;AY$4,0,
IF($AA23&gt;AY$5,0,
SUM(_xlfn._xlws.FILTER(Table_BangLuong_TyLeTangCa[Tỷ lệ],
(Table_BangLuong_TyLeTangCa[Ngày] = AY$3) *
(Table_BangLuong_TyLeTangCa[Giờ min]&lt;=$AA23) *
(Table_BangLuong_TyLeTangCa[Giờ max]&gt;$AA23)
)))),
IF(AND($AA23-$Z$4 &gt;= AY$5,$AA23 &lt; AY$4),0,
SUM(_xlfn._xlws.FILTER(Table_BangLuong_TyLeTangCa[Tỷ lệ],
(Table_BangLuong_TyLeTangCa[Ngày] = AY$3) *
(Table_BangLuong_TyLeTangCa[Giờ min]&lt;=$AA23) *
(Table_BangLuong_TyLeTangCa[Giờ max]&gt;$AA23)
))))
),
IF(ISBLANK(AY$7),
IF(VLOOKUP(AY$6, Table_ChiPhiNV_Ca[], COUNTA(Table_ChiPhiNV_Ca[[#Headers],[Ca]:[Kết thúc]]),0)&gt; VLOOKUP(AY$6, Table_ChiPhiNV_Ca[], COUNTA(Table_ChiPhiNV_Ca[[#Headers],[Ca]:[Bắt đầu]]),0),
IF($AA23-$Z$4&lt;MAX(AY$4,VLOOKUP(AY$6, Table_ChiPhiNV_Ca[], COUNTA(Table_ChiPhiNV_Ca[[#Headers],[Ca]:[Bắt đầu]]),0)),0,
IF($AA23&gt;MIN(AY$5,VLOOKUP(AY$6, Table_ChiPhiNV_Ca[], COUNTA(Table_ChiPhiNV_Ca[[#Headers],[Ca]:[Kết thúc]]),0)),0,
SUM(_xlfn._xlws.FILTER(Table_BangLuong_TyLeTangCa[Tỷ lệ],
(Table_BangLuong_TyLeTangCa[Ngày] = "Thường") *
(Table_BangLuong_TyLeTangCa[Giờ min]&lt;=$AA23) *
(Table_BangLuong_TyLeTangCa[Giờ max]&gt;$AA23)
)))),
IF(AY$4 &gt; AY$5,
IF(
AND(
$AA23-$Z$4&lt;MAX(AY$4,VLOOKUP(AY$6, Table_ChiPhiNV_Ca[], COUNTA(Table_ChiPhiNV_Ca[[#Headers],[Ca]:[Bắt đầu]]),0)),
$AA23&gt;MIN(AY$5,VLOOKUP(AY$6, Table_ChiPhiNV_Ca[], COUNTA(Table_ChiPhiNV_Ca[[#Headers],[Ca]:[Kết thúc]]),0))),0,
SUM(_xlfn._xlws.FILTER(Table_BangLuong_TyLeTangCa[Tỷ lệ],
(Table_BangLuong_TyLeTangCa[Ngày] = "Thường") *
(Table_BangLuong_TyLeTangCa[Giờ min]&lt;=$AA23) *
(Table_BangLuong_TyLeTangCa[Giờ max]&gt;$AA23)
))),
IF(
AND(
$AA23-$Z$4&gt;=MAX(AY$4,VLOOKUP(AY$6, Table_ChiPhiNV_Ca[], COUNTA(Table_ChiPhiNV_Ca[[#Headers],[Ca]:[Bắt đầu]]),0)),
$AA23&lt;MIN(AY$5,VLOOKUP(AY$6, Table_ChiPhiNV_Ca[], COUNTA(Table_ChiPhiNV_Ca[[#Headers],[Ca]:[Kết thúc]]),0))),
SUM(_xlfn._xlws.FILTER(Table_BangLuong_TyLeTangCa[Tỷ lệ],
(Table_BangLuong_TyLeTangCa[Ngày] = "Thường") *
(Table_BangLuong_TyLeTangCa[Giờ min]&lt;=$AA23) *
(Table_BangLuong_TyLeTangCa[Giờ max]&gt;$AA23)
)),0)
)),
IF(AY$4 &lt; AY$5,
IF($AA23-$Z$4&lt;AY$4,0,
IF($AA23&gt;AY$5,0,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AY$5,$AA23 &lt; AY$4),0,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Z23" s="18" cm="1">
        <f t="array" ref="AZ23" xml:space="preserve">
IFERROR(
IF(AZ$1="",0,
IF(AND(
$AA23&gt;=VLOOKUP(AZ$6, Table_ChiPhiNV_Ca[], COUNTA(Table_ChiPhiNV_Ca[[#Headers],[Ca]:[Bắt đầu nghỉ]]),0),
$AA23&lt;VLOOKUP(AZ$6, Table_ChiPhiNV_Ca[], COUNTA(Table_ChiPhiNV_Ca[[#Headers],[Ca]:[Kết thúc nghỉ]]),0)
),0,
IF(NOT(ISBLANK(AZ$3)),
IF(ISBLANK(AZ$7),0,
IF(AZ$4 &lt; AZ$5,
IF($AA23-$Z$4&lt;AZ$4,0,
IF($AA23&gt;AZ$5,0,
SUM(_xlfn._xlws.FILTER(Table_BangLuong_TyLeTangCa[Tỷ lệ],
(Table_BangLuong_TyLeTangCa[Ngày] = AZ$3) *
(Table_BangLuong_TyLeTangCa[Giờ min]&lt;=$AA23) *
(Table_BangLuong_TyLeTangCa[Giờ max]&gt;$AA23)
)))),
IF(AND($AA23-$Z$4 &gt;= AZ$5,$AA23 &lt; AZ$4),0,
SUM(_xlfn._xlws.FILTER(Table_BangLuong_TyLeTangCa[Tỷ lệ],
(Table_BangLuong_TyLeTangCa[Ngày] = AZ$3) *
(Table_BangLuong_TyLeTangCa[Giờ min]&lt;=$AA23) *
(Table_BangLuong_TyLeTangCa[Giờ max]&gt;$AA23)
))))
),
IF(ISBLANK(AZ$7),
IF(VLOOKUP(AZ$6, Table_ChiPhiNV_Ca[], COUNTA(Table_ChiPhiNV_Ca[[#Headers],[Ca]:[Kết thúc]]),0)&gt; VLOOKUP(AZ$6, Table_ChiPhiNV_Ca[], COUNTA(Table_ChiPhiNV_Ca[[#Headers],[Ca]:[Bắt đầu]]),0),
IF($AA23-$Z$4&lt;MAX(AZ$4,VLOOKUP(AZ$6, Table_ChiPhiNV_Ca[], COUNTA(Table_ChiPhiNV_Ca[[#Headers],[Ca]:[Bắt đầu]]),0)),0,
IF($AA23&gt;MIN(AZ$5,VLOOKUP(AZ$6, Table_ChiPhiNV_Ca[], COUNTA(Table_ChiPhiNV_Ca[[#Headers],[Ca]:[Kết thúc]]),0)),0,
SUM(_xlfn._xlws.FILTER(Table_BangLuong_TyLeTangCa[Tỷ lệ],
(Table_BangLuong_TyLeTangCa[Ngày] = "Thường") *
(Table_BangLuong_TyLeTangCa[Giờ min]&lt;=$AA23) *
(Table_BangLuong_TyLeTangCa[Giờ max]&gt;$AA23)
)))),
IF(AZ$4 &gt; AZ$5,
IF(
AND(
$AA23-$Z$4&lt;MAX(AZ$4,VLOOKUP(AZ$6, Table_ChiPhiNV_Ca[], COUNTA(Table_ChiPhiNV_Ca[[#Headers],[Ca]:[Bắt đầu]]),0)),
$AA23&gt;MIN(AZ$5,VLOOKUP(AZ$6, Table_ChiPhiNV_Ca[], COUNTA(Table_ChiPhiNV_Ca[[#Headers],[Ca]:[Kết thúc]]),0))),0,
SUM(_xlfn._xlws.FILTER(Table_BangLuong_TyLeTangCa[Tỷ lệ],
(Table_BangLuong_TyLeTangCa[Ngày] = "Thường") *
(Table_BangLuong_TyLeTangCa[Giờ min]&lt;=$AA23) *
(Table_BangLuong_TyLeTangCa[Giờ max]&gt;$AA23)
))),
IF(
AND(
$AA23-$Z$4&gt;=MAX(AZ$4,VLOOKUP(AZ$6, Table_ChiPhiNV_Ca[], COUNTA(Table_ChiPhiNV_Ca[[#Headers],[Ca]:[Bắt đầu]]),0)),
$AA23&lt;MIN(AZ$5,VLOOKUP(AZ$6, Table_ChiPhiNV_Ca[], COUNTA(Table_ChiPhiNV_Ca[[#Headers],[Ca]:[Kết thúc]]),0))),
SUM(_xlfn._xlws.FILTER(Table_BangLuong_TyLeTangCa[Tỷ lệ],
(Table_BangLuong_TyLeTangCa[Ngày] = "Thường") *
(Table_BangLuong_TyLeTangCa[Giờ min]&lt;=$AA23) *
(Table_BangLuong_TyLeTangCa[Giờ max]&gt;$AA23)
)),0)
)),
IF(AZ$4 &lt; AZ$5,
IF($AA23-$Z$4&lt;AZ$4,0,
IF($AA23&gt;AZ$5,0,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AZ$5,$AA23 &lt; AZ$4),0,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A23" s="18" cm="1">
        <f t="array" ref="BA23" xml:space="preserve">
IFERROR(
IF(BA$1="",0,
IF(AND(
$AA23&gt;=VLOOKUP(BA$6, Table_ChiPhiNV_Ca[], COUNTA(Table_ChiPhiNV_Ca[[#Headers],[Ca]:[Bắt đầu nghỉ]]),0),
$AA23&lt;VLOOKUP(BA$6, Table_ChiPhiNV_Ca[], COUNTA(Table_ChiPhiNV_Ca[[#Headers],[Ca]:[Kết thúc nghỉ]]),0)
),0,
IF(NOT(ISBLANK(BA$3)),
IF(ISBLANK(BA$7),0,
IF(BA$4 &lt; BA$5,
IF($AA23-$Z$4&lt;BA$4,0,
IF($AA23&gt;BA$5,0,
SUM(_xlfn._xlws.FILTER(Table_BangLuong_TyLeTangCa[Tỷ lệ],
(Table_BangLuong_TyLeTangCa[Ngày] = BA$3) *
(Table_BangLuong_TyLeTangCa[Giờ min]&lt;=$AA23) *
(Table_BangLuong_TyLeTangCa[Giờ max]&gt;$AA23)
)))),
IF(AND($AA23-$Z$4 &gt;= BA$5,$AA23 &lt; BA$4),0,
SUM(_xlfn._xlws.FILTER(Table_BangLuong_TyLeTangCa[Tỷ lệ],
(Table_BangLuong_TyLeTangCa[Ngày] = BA$3) *
(Table_BangLuong_TyLeTangCa[Giờ min]&lt;=$AA23) *
(Table_BangLuong_TyLeTangCa[Giờ max]&gt;$AA23)
))))
),
IF(ISBLANK(BA$7),
IF(VLOOKUP(BA$6, Table_ChiPhiNV_Ca[], COUNTA(Table_ChiPhiNV_Ca[[#Headers],[Ca]:[Kết thúc]]),0)&gt; VLOOKUP(BA$6, Table_ChiPhiNV_Ca[], COUNTA(Table_ChiPhiNV_Ca[[#Headers],[Ca]:[Bắt đầu]]),0),
IF($AA23-$Z$4&lt;MAX(BA$4,VLOOKUP(BA$6, Table_ChiPhiNV_Ca[], COUNTA(Table_ChiPhiNV_Ca[[#Headers],[Ca]:[Bắt đầu]]),0)),0,
IF($AA23&gt;MIN(BA$5,VLOOKUP(BA$6, Table_ChiPhiNV_Ca[], COUNTA(Table_ChiPhiNV_Ca[[#Headers],[Ca]:[Kết thúc]]),0)),0,
SUM(_xlfn._xlws.FILTER(Table_BangLuong_TyLeTangCa[Tỷ lệ],
(Table_BangLuong_TyLeTangCa[Ngày] = "Thường") *
(Table_BangLuong_TyLeTangCa[Giờ min]&lt;=$AA23) *
(Table_BangLuong_TyLeTangCa[Giờ max]&gt;$AA23)
)))),
IF(BA$4 &gt; BA$5,
IF(
AND(
$AA23-$Z$4&lt;MAX(BA$4,VLOOKUP(BA$6, Table_ChiPhiNV_Ca[], COUNTA(Table_ChiPhiNV_Ca[[#Headers],[Ca]:[Bắt đầu]]),0)),
$AA23&gt;MIN(BA$5,VLOOKUP(BA$6, Table_ChiPhiNV_Ca[], COUNTA(Table_ChiPhiNV_Ca[[#Headers],[Ca]:[Kết thúc]]),0))),0,
SUM(_xlfn._xlws.FILTER(Table_BangLuong_TyLeTangCa[Tỷ lệ],
(Table_BangLuong_TyLeTangCa[Ngày] = "Thường") *
(Table_BangLuong_TyLeTangCa[Giờ min]&lt;=$AA23) *
(Table_BangLuong_TyLeTangCa[Giờ max]&gt;$AA23)
))),
IF(
AND(
$AA23-$Z$4&gt;=MAX(BA$4,VLOOKUP(BA$6, Table_ChiPhiNV_Ca[], COUNTA(Table_ChiPhiNV_Ca[[#Headers],[Ca]:[Bắt đầu]]),0)),
$AA23&lt;MIN(BA$5,VLOOKUP(BA$6, Table_ChiPhiNV_Ca[], COUNTA(Table_ChiPhiNV_Ca[[#Headers],[Ca]:[Kết thúc]]),0))),
SUM(_xlfn._xlws.FILTER(Table_BangLuong_TyLeTangCa[Tỷ lệ],
(Table_BangLuong_TyLeTangCa[Ngày] = "Thường") *
(Table_BangLuong_TyLeTangCa[Giờ min]&lt;=$AA23) *
(Table_BangLuong_TyLeTangCa[Giờ max]&gt;$AA23)
)),0)
)),
IF(BA$4 &lt; BA$5,
IF($AA23-$Z$4&lt;BA$4,0,
IF($AA23&gt;BA$5,0,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BA$5,$AA23 &lt; BA$4),0,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B23" s="18" cm="1">
        <f t="array" ref="BB23" xml:space="preserve">
IFERROR(
IF(BB$1="",0,
IF(AND(
$AA23&gt;=VLOOKUP(BB$6, Table_ChiPhiNV_Ca[], COUNTA(Table_ChiPhiNV_Ca[[#Headers],[Ca]:[Bắt đầu nghỉ]]),0),
$AA23&lt;VLOOKUP(BB$6, Table_ChiPhiNV_Ca[], COUNTA(Table_ChiPhiNV_Ca[[#Headers],[Ca]:[Kết thúc nghỉ]]),0)
),0,
IF(NOT(ISBLANK(BB$3)),
IF(ISBLANK(BB$7),0,
IF(BB$4 &lt; BB$5,
IF($AA23-$Z$4&lt;BB$4,0,
IF($AA23&gt;BB$5,0,
SUM(_xlfn._xlws.FILTER(Table_BangLuong_TyLeTangCa[Tỷ lệ],
(Table_BangLuong_TyLeTangCa[Ngày] = BB$3) *
(Table_BangLuong_TyLeTangCa[Giờ min]&lt;=$AA23) *
(Table_BangLuong_TyLeTangCa[Giờ max]&gt;$AA23)
)))),
IF(AND($AA23-$Z$4 &gt;= BB$5,$AA23 &lt; BB$4),0,
SUM(_xlfn._xlws.FILTER(Table_BangLuong_TyLeTangCa[Tỷ lệ],
(Table_BangLuong_TyLeTangCa[Ngày] = BB$3) *
(Table_BangLuong_TyLeTangCa[Giờ min]&lt;=$AA23) *
(Table_BangLuong_TyLeTangCa[Giờ max]&gt;$AA23)
))))
),
IF(ISBLANK(BB$7),
IF(VLOOKUP(BB$6, Table_ChiPhiNV_Ca[], COUNTA(Table_ChiPhiNV_Ca[[#Headers],[Ca]:[Kết thúc]]),0)&gt; VLOOKUP(BB$6, Table_ChiPhiNV_Ca[], COUNTA(Table_ChiPhiNV_Ca[[#Headers],[Ca]:[Bắt đầu]]),0),
IF($AA23-$Z$4&lt;MAX(BB$4,VLOOKUP(BB$6, Table_ChiPhiNV_Ca[], COUNTA(Table_ChiPhiNV_Ca[[#Headers],[Ca]:[Bắt đầu]]),0)),0,
IF($AA23&gt;MIN(BB$5,VLOOKUP(BB$6, Table_ChiPhiNV_Ca[], COUNTA(Table_ChiPhiNV_Ca[[#Headers],[Ca]:[Kết thúc]]),0)),0,
SUM(_xlfn._xlws.FILTER(Table_BangLuong_TyLeTangCa[Tỷ lệ],
(Table_BangLuong_TyLeTangCa[Ngày] = "Thường") *
(Table_BangLuong_TyLeTangCa[Giờ min]&lt;=$AA23) *
(Table_BangLuong_TyLeTangCa[Giờ max]&gt;$AA23)
)))),
IF(BB$4 &gt; BB$5,
IF(
AND(
$AA23-$Z$4&lt;MAX(BB$4,VLOOKUP(BB$6, Table_ChiPhiNV_Ca[], COUNTA(Table_ChiPhiNV_Ca[[#Headers],[Ca]:[Bắt đầu]]),0)),
$AA23&gt;MIN(BB$5,VLOOKUP(BB$6, Table_ChiPhiNV_Ca[], COUNTA(Table_ChiPhiNV_Ca[[#Headers],[Ca]:[Kết thúc]]),0))),0,
SUM(_xlfn._xlws.FILTER(Table_BangLuong_TyLeTangCa[Tỷ lệ],
(Table_BangLuong_TyLeTangCa[Ngày] = "Thường") *
(Table_BangLuong_TyLeTangCa[Giờ min]&lt;=$AA23) *
(Table_BangLuong_TyLeTangCa[Giờ max]&gt;$AA23)
))),
IF(
AND(
$AA23-$Z$4&gt;=MAX(BB$4,VLOOKUP(BB$6, Table_ChiPhiNV_Ca[], COUNTA(Table_ChiPhiNV_Ca[[#Headers],[Ca]:[Bắt đầu]]),0)),
$AA23&lt;MIN(BB$5,VLOOKUP(BB$6, Table_ChiPhiNV_Ca[], COUNTA(Table_ChiPhiNV_Ca[[#Headers],[Ca]:[Kết thúc]]),0))),
SUM(_xlfn._xlws.FILTER(Table_BangLuong_TyLeTangCa[Tỷ lệ],
(Table_BangLuong_TyLeTangCa[Ngày] = "Thường") *
(Table_BangLuong_TyLeTangCa[Giờ min]&lt;=$AA23) *
(Table_BangLuong_TyLeTangCa[Giờ max]&gt;$AA23)
)),0)
)),
IF(BB$4 &lt; BB$5,
IF($AA23-$Z$4&lt;BB$4,0,
IF($AA23&gt;BB$5,0,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BB$5,$AA23 &lt; BB$4),0,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C23" s="18" cm="1">
        <f t="array" ref="BC23" xml:space="preserve">
IFERROR(
IF(BC$1="",0,
IF(AND(
$AA23&gt;=VLOOKUP(BC$6, Table_ChiPhiNV_Ca[], COUNTA(Table_ChiPhiNV_Ca[[#Headers],[Ca]:[Bắt đầu nghỉ]]),0),
$AA23&lt;VLOOKUP(BC$6, Table_ChiPhiNV_Ca[], COUNTA(Table_ChiPhiNV_Ca[[#Headers],[Ca]:[Kết thúc nghỉ]]),0)
),0,
IF(NOT(ISBLANK(BC$3)),
IF(ISBLANK(BC$7),0,
IF(BC$4 &lt; BC$5,
IF($AA23-$Z$4&lt;BC$4,0,
IF($AA23&gt;BC$5,0,
SUM(_xlfn._xlws.FILTER(Table_BangLuong_TyLeTangCa[Tỷ lệ],
(Table_BangLuong_TyLeTangCa[Ngày] = BC$3) *
(Table_BangLuong_TyLeTangCa[Giờ min]&lt;=$AA23) *
(Table_BangLuong_TyLeTangCa[Giờ max]&gt;$AA23)
)))),
IF(AND($AA23-$Z$4 &gt;= BC$5,$AA23 &lt; BC$4),0,
SUM(_xlfn._xlws.FILTER(Table_BangLuong_TyLeTangCa[Tỷ lệ],
(Table_BangLuong_TyLeTangCa[Ngày] = BC$3) *
(Table_BangLuong_TyLeTangCa[Giờ min]&lt;=$AA23) *
(Table_BangLuong_TyLeTangCa[Giờ max]&gt;$AA23)
))))
),
IF(ISBLANK(BC$7),
IF(VLOOKUP(BC$6, Table_ChiPhiNV_Ca[], COUNTA(Table_ChiPhiNV_Ca[[#Headers],[Ca]:[Kết thúc]]),0)&gt; VLOOKUP(BC$6, Table_ChiPhiNV_Ca[], COUNTA(Table_ChiPhiNV_Ca[[#Headers],[Ca]:[Bắt đầu]]),0),
IF($AA23-$Z$4&lt;MAX(BC$4,VLOOKUP(BC$6, Table_ChiPhiNV_Ca[], COUNTA(Table_ChiPhiNV_Ca[[#Headers],[Ca]:[Bắt đầu]]),0)),0,
IF($AA23&gt;MIN(BC$5,VLOOKUP(BC$6, Table_ChiPhiNV_Ca[], COUNTA(Table_ChiPhiNV_Ca[[#Headers],[Ca]:[Kết thúc]]),0)),0,
SUM(_xlfn._xlws.FILTER(Table_BangLuong_TyLeTangCa[Tỷ lệ],
(Table_BangLuong_TyLeTangCa[Ngày] = "Thường") *
(Table_BangLuong_TyLeTangCa[Giờ min]&lt;=$AA23) *
(Table_BangLuong_TyLeTangCa[Giờ max]&gt;$AA23)
)))),
IF(BC$4 &gt; BC$5,
IF(
AND(
$AA23-$Z$4&lt;MAX(BC$4,VLOOKUP(BC$6, Table_ChiPhiNV_Ca[], COUNTA(Table_ChiPhiNV_Ca[[#Headers],[Ca]:[Bắt đầu]]),0)),
$AA23&gt;MIN(BC$5,VLOOKUP(BC$6, Table_ChiPhiNV_Ca[], COUNTA(Table_ChiPhiNV_Ca[[#Headers],[Ca]:[Kết thúc]]),0))),0,
SUM(_xlfn._xlws.FILTER(Table_BangLuong_TyLeTangCa[Tỷ lệ],
(Table_BangLuong_TyLeTangCa[Ngày] = "Thường") *
(Table_BangLuong_TyLeTangCa[Giờ min]&lt;=$AA23) *
(Table_BangLuong_TyLeTangCa[Giờ max]&gt;$AA23)
))),
IF(
AND(
$AA23-$Z$4&gt;=MAX(BC$4,VLOOKUP(BC$6, Table_ChiPhiNV_Ca[], COUNTA(Table_ChiPhiNV_Ca[[#Headers],[Ca]:[Bắt đầu]]),0)),
$AA23&lt;MIN(BC$5,VLOOKUP(BC$6, Table_ChiPhiNV_Ca[], COUNTA(Table_ChiPhiNV_Ca[[#Headers],[Ca]:[Kết thúc]]),0))),
SUM(_xlfn._xlws.FILTER(Table_BangLuong_TyLeTangCa[Tỷ lệ],
(Table_BangLuong_TyLeTangCa[Ngày] = "Thường") *
(Table_BangLuong_TyLeTangCa[Giờ min]&lt;=$AA23) *
(Table_BangLuong_TyLeTangCa[Giờ max]&gt;$AA23)
)),0)
)),
IF(BC$4 &lt; BC$5,
IF($AA23-$Z$4&lt;BC$4,0,
IF($AA23&gt;BC$5,0,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BC$5,$AA23 &lt; BC$4),0,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D23" s="18" cm="1">
        <f t="array" ref="BD23" xml:space="preserve">
IFERROR(
IF(BD$1="",0,
IF(AND(
$AA23&gt;=VLOOKUP(BD$6, Table_ChiPhiNV_Ca[], COUNTA(Table_ChiPhiNV_Ca[[#Headers],[Ca]:[Bắt đầu nghỉ]]),0),
$AA23&lt;VLOOKUP(BD$6, Table_ChiPhiNV_Ca[], COUNTA(Table_ChiPhiNV_Ca[[#Headers],[Ca]:[Kết thúc nghỉ]]),0)
),0,
IF(NOT(ISBLANK(BD$3)),
IF(ISBLANK(BD$7),0,
IF(BD$4 &lt; BD$5,
IF($AA23-$Z$4&lt;BD$4,0,
IF($AA23&gt;BD$5,0,
SUM(_xlfn._xlws.FILTER(Table_BangLuong_TyLeTangCa[Tỷ lệ],
(Table_BangLuong_TyLeTangCa[Ngày] = BD$3) *
(Table_BangLuong_TyLeTangCa[Giờ min]&lt;=$AA23) *
(Table_BangLuong_TyLeTangCa[Giờ max]&gt;$AA23)
)))),
IF(AND($AA23-$Z$4 &gt;= BD$5,$AA23 &lt; BD$4),0,
SUM(_xlfn._xlws.FILTER(Table_BangLuong_TyLeTangCa[Tỷ lệ],
(Table_BangLuong_TyLeTangCa[Ngày] = BD$3) *
(Table_BangLuong_TyLeTangCa[Giờ min]&lt;=$AA23) *
(Table_BangLuong_TyLeTangCa[Giờ max]&gt;$AA23)
))))
),
IF(ISBLANK(BD$7),
IF(VLOOKUP(BD$6, Table_ChiPhiNV_Ca[], COUNTA(Table_ChiPhiNV_Ca[[#Headers],[Ca]:[Kết thúc]]),0)&gt; VLOOKUP(BD$6, Table_ChiPhiNV_Ca[], COUNTA(Table_ChiPhiNV_Ca[[#Headers],[Ca]:[Bắt đầu]]),0),
IF($AA23-$Z$4&lt;MAX(BD$4,VLOOKUP(BD$6, Table_ChiPhiNV_Ca[], COUNTA(Table_ChiPhiNV_Ca[[#Headers],[Ca]:[Bắt đầu]]),0)),0,
IF($AA23&gt;MIN(BD$5,VLOOKUP(BD$6, Table_ChiPhiNV_Ca[], COUNTA(Table_ChiPhiNV_Ca[[#Headers],[Ca]:[Kết thúc]]),0)),0,
SUM(_xlfn._xlws.FILTER(Table_BangLuong_TyLeTangCa[Tỷ lệ],
(Table_BangLuong_TyLeTangCa[Ngày] = "Thường") *
(Table_BangLuong_TyLeTangCa[Giờ min]&lt;=$AA23) *
(Table_BangLuong_TyLeTangCa[Giờ max]&gt;$AA23)
)))),
IF(BD$4 &gt; BD$5,
IF(
AND(
$AA23-$Z$4&lt;MAX(BD$4,VLOOKUP(BD$6, Table_ChiPhiNV_Ca[], COUNTA(Table_ChiPhiNV_Ca[[#Headers],[Ca]:[Bắt đầu]]),0)),
$AA23&gt;MIN(BD$5,VLOOKUP(BD$6, Table_ChiPhiNV_Ca[], COUNTA(Table_ChiPhiNV_Ca[[#Headers],[Ca]:[Kết thúc]]),0))),0,
SUM(_xlfn._xlws.FILTER(Table_BangLuong_TyLeTangCa[Tỷ lệ],
(Table_BangLuong_TyLeTangCa[Ngày] = "Thường") *
(Table_BangLuong_TyLeTangCa[Giờ min]&lt;=$AA23) *
(Table_BangLuong_TyLeTangCa[Giờ max]&gt;$AA23)
))),
IF(
AND(
$AA23-$Z$4&gt;=MAX(BD$4,VLOOKUP(BD$6, Table_ChiPhiNV_Ca[], COUNTA(Table_ChiPhiNV_Ca[[#Headers],[Ca]:[Bắt đầu]]),0)),
$AA23&lt;MIN(BD$5,VLOOKUP(BD$6, Table_ChiPhiNV_Ca[], COUNTA(Table_ChiPhiNV_Ca[[#Headers],[Ca]:[Kết thúc]]),0))),
SUM(_xlfn._xlws.FILTER(Table_BangLuong_TyLeTangCa[Tỷ lệ],
(Table_BangLuong_TyLeTangCa[Ngày] = "Thường") *
(Table_BangLuong_TyLeTangCa[Giờ min]&lt;=$AA23) *
(Table_BangLuong_TyLeTangCa[Giờ max]&gt;$AA23)
)),0)
)),
IF(BD$4 &lt; BD$5,
IF($AA23-$Z$4&lt;BD$4,0,
IF($AA23&gt;BD$5,0,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BD$5,$AA23 &lt; BD$4),0,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E23" s="18" cm="1">
        <f t="array" ref="BE23" xml:space="preserve">
IFERROR(
IF(BE$1="",0,
IF(AND(
$AA23&gt;=VLOOKUP(BE$6, Table_ChiPhiNV_Ca[], COUNTA(Table_ChiPhiNV_Ca[[#Headers],[Ca]:[Bắt đầu nghỉ]]),0),
$AA23&lt;VLOOKUP(BE$6, Table_ChiPhiNV_Ca[], COUNTA(Table_ChiPhiNV_Ca[[#Headers],[Ca]:[Kết thúc nghỉ]]),0)
),0,
IF(NOT(ISBLANK(BE$3)),
IF(ISBLANK(BE$7),0,
IF(BE$4 &lt; BE$5,
IF($AA23-$Z$4&lt;BE$4,0,
IF($AA23&gt;BE$5,0,
SUM(_xlfn._xlws.FILTER(Table_BangLuong_TyLeTangCa[Tỷ lệ],
(Table_BangLuong_TyLeTangCa[Ngày] = BE$3) *
(Table_BangLuong_TyLeTangCa[Giờ min]&lt;=$AA23) *
(Table_BangLuong_TyLeTangCa[Giờ max]&gt;$AA23)
)))),
IF(AND($AA23-$Z$4 &gt;= BE$5,$AA23 &lt; BE$4),0,
SUM(_xlfn._xlws.FILTER(Table_BangLuong_TyLeTangCa[Tỷ lệ],
(Table_BangLuong_TyLeTangCa[Ngày] = BE$3) *
(Table_BangLuong_TyLeTangCa[Giờ min]&lt;=$AA23) *
(Table_BangLuong_TyLeTangCa[Giờ max]&gt;$AA23)
))))
),
IF(ISBLANK(BE$7),
IF(VLOOKUP(BE$6, Table_ChiPhiNV_Ca[], COUNTA(Table_ChiPhiNV_Ca[[#Headers],[Ca]:[Kết thúc]]),0)&gt; VLOOKUP(BE$6, Table_ChiPhiNV_Ca[], COUNTA(Table_ChiPhiNV_Ca[[#Headers],[Ca]:[Bắt đầu]]),0),
IF($AA23-$Z$4&lt;MAX(BE$4,VLOOKUP(BE$6, Table_ChiPhiNV_Ca[], COUNTA(Table_ChiPhiNV_Ca[[#Headers],[Ca]:[Bắt đầu]]),0)),0,
IF($AA23&gt;MIN(BE$5,VLOOKUP(BE$6, Table_ChiPhiNV_Ca[], COUNTA(Table_ChiPhiNV_Ca[[#Headers],[Ca]:[Kết thúc]]),0)),0,
SUM(_xlfn._xlws.FILTER(Table_BangLuong_TyLeTangCa[Tỷ lệ],
(Table_BangLuong_TyLeTangCa[Ngày] = "Thường") *
(Table_BangLuong_TyLeTangCa[Giờ min]&lt;=$AA23) *
(Table_BangLuong_TyLeTangCa[Giờ max]&gt;$AA23)
)))),
IF(BE$4 &gt; BE$5,
IF(
AND(
$AA23-$Z$4&lt;MAX(BE$4,VLOOKUP(BE$6, Table_ChiPhiNV_Ca[], COUNTA(Table_ChiPhiNV_Ca[[#Headers],[Ca]:[Bắt đầu]]),0)),
$AA23&gt;MIN(BE$5,VLOOKUP(BE$6, Table_ChiPhiNV_Ca[], COUNTA(Table_ChiPhiNV_Ca[[#Headers],[Ca]:[Kết thúc]]),0))),0,
SUM(_xlfn._xlws.FILTER(Table_BangLuong_TyLeTangCa[Tỷ lệ],
(Table_BangLuong_TyLeTangCa[Ngày] = "Thường") *
(Table_BangLuong_TyLeTangCa[Giờ min]&lt;=$AA23) *
(Table_BangLuong_TyLeTangCa[Giờ max]&gt;$AA23)
))),
IF(
AND(
$AA23-$Z$4&gt;=MAX(BE$4,VLOOKUP(BE$6, Table_ChiPhiNV_Ca[], COUNTA(Table_ChiPhiNV_Ca[[#Headers],[Ca]:[Bắt đầu]]),0)),
$AA23&lt;MIN(BE$5,VLOOKUP(BE$6, Table_ChiPhiNV_Ca[], COUNTA(Table_ChiPhiNV_Ca[[#Headers],[Ca]:[Kết thúc]]),0))),
SUM(_xlfn._xlws.FILTER(Table_BangLuong_TyLeTangCa[Tỷ lệ],
(Table_BangLuong_TyLeTangCa[Ngày] = "Thường") *
(Table_BangLuong_TyLeTangCa[Giờ min]&lt;=$AA23) *
(Table_BangLuong_TyLeTangCa[Giờ max]&gt;$AA23)
)),0)
)),
IF(BE$4 &lt; BE$5,
IF($AA23-$Z$4&lt;BE$4,0,
IF($AA23&gt;BE$5,0,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BE$5,$AA23 &lt; BE$4),0,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F23" s="18" cm="1">
        <f t="array" ref="BF23" xml:space="preserve">
IFERROR(
IF(BF$1="",0,
IF(AND(
$AA23&gt;=VLOOKUP(BF$6, Table_ChiPhiNV_Ca[], COUNTA(Table_ChiPhiNV_Ca[[#Headers],[Ca]:[Bắt đầu nghỉ]]),0),
$AA23&lt;VLOOKUP(BF$6, Table_ChiPhiNV_Ca[], COUNTA(Table_ChiPhiNV_Ca[[#Headers],[Ca]:[Kết thúc nghỉ]]),0)
),0,
IF(NOT(ISBLANK(BF$3)),
IF(ISBLANK(BF$7),0,
IF(BF$4 &lt; BF$5,
IF($AA23-$Z$4&lt;BF$4,0,
IF($AA23&gt;BF$5,0,
SUM(_xlfn._xlws.FILTER(Table_BangLuong_TyLeTangCa[Tỷ lệ],
(Table_BangLuong_TyLeTangCa[Ngày] = BF$3) *
(Table_BangLuong_TyLeTangCa[Giờ min]&lt;=$AA23) *
(Table_BangLuong_TyLeTangCa[Giờ max]&gt;$AA23)
)))),
IF(AND($AA23-$Z$4 &gt;= BF$5,$AA23 &lt; BF$4),0,
SUM(_xlfn._xlws.FILTER(Table_BangLuong_TyLeTangCa[Tỷ lệ],
(Table_BangLuong_TyLeTangCa[Ngày] = BF$3) *
(Table_BangLuong_TyLeTangCa[Giờ min]&lt;=$AA23) *
(Table_BangLuong_TyLeTangCa[Giờ max]&gt;$AA23)
))))
),
IF(ISBLANK(BF$7),
IF(VLOOKUP(BF$6, Table_ChiPhiNV_Ca[], COUNTA(Table_ChiPhiNV_Ca[[#Headers],[Ca]:[Kết thúc]]),0)&gt; VLOOKUP(BF$6, Table_ChiPhiNV_Ca[], COUNTA(Table_ChiPhiNV_Ca[[#Headers],[Ca]:[Bắt đầu]]),0),
IF($AA23-$Z$4&lt;MAX(BF$4,VLOOKUP(BF$6, Table_ChiPhiNV_Ca[], COUNTA(Table_ChiPhiNV_Ca[[#Headers],[Ca]:[Bắt đầu]]),0)),0,
IF($AA23&gt;MIN(BF$5,VLOOKUP(BF$6, Table_ChiPhiNV_Ca[], COUNTA(Table_ChiPhiNV_Ca[[#Headers],[Ca]:[Kết thúc]]),0)),0,
SUM(_xlfn._xlws.FILTER(Table_BangLuong_TyLeTangCa[Tỷ lệ],
(Table_BangLuong_TyLeTangCa[Ngày] = "Thường") *
(Table_BangLuong_TyLeTangCa[Giờ min]&lt;=$AA23) *
(Table_BangLuong_TyLeTangCa[Giờ max]&gt;$AA23)
)))),
IF(BF$4 &gt; BF$5,
IF(
AND(
$AA23-$Z$4&lt;MAX(BF$4,VLOOKUP(BF$6, Table_ChiPhiNV_Ca[], COUNTA(Table_ChiPhiNV_Ca[[#Headers],[Ca]:[Bắt đầu]]),0)),
$AA23&gt;MIN(BF$5,VLOOKUP(BF$6, Table_ChiPhiNV_Ca[], COUNTA(Table_ChiPhiNV_Ca[[#Headers],[Ca]:[Kết thúc]]),0))),0,
SUM(_xlfn._xlws.FILTER(Table_BangLuong_TyLeTangCa[Tỷ lệ],
(Table_BangLuong_TyLeTangCa[Ngày] = "Thường") *
(Table_BangLuong_TyLeTangCa[Giờ min]&lt;=$AA23) *
(Table_BangLuong_TyLeTangCa[Giờ max]&gt;$AA23)
))),
IF(
AND(
$AA23-$Z$4&gt;=MAX(BF$4,VLOOKUP(BF$6, Table_ChiPhiNV_Ca[], COUNTA(Table_ChiPhiNV_Ca[[#Headers],[Ca]:[Bắt đầu]]),0)),
$AA23&lt;MIN(BF$5,VLOOKUP(BF$6, Table_ChiPhiNV_Ca[], COUNTA(Table_ChiPhiNV_Ca[[#Headers],[Ca]:[Kết thúc]]),0))),
SUM(_xlfn._xlws.FILTER(Table_BangLuong_TyLeTangCa[Tỷ lệ],
(Table_BangLuong_TyLeTangCa[Ngày] = "Thường") *
(Table_BangLuong_TyLeTangCa[Giờ min]&lt;=$AA23) *
(Table_BangLuong_TyLeTangCa[Giờ max]&gt;$AA23)
)),0)
)),
IF(BF$4 &lt; BF$5,
IF($AA23-$Z$4&lt;BF$4,0,
IF($AA23&gt;BF$5,0,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BF$5,$AA23 &lt; BF$4),0,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row>
    <row r="24" spans="2:58" ht="18" customHeight="1" outlineLevel="1" x14ac:dyDescent="0.3">
      <c r="J24" s="11"/>
      <c r="K24" s="11"/>
      <c r="L24" s="11"/>
      <c r="M24" s="11"/>
      <c r="AA24" s="50">
        <v>0.3125</v>
      </c>
      <c r="AB24" s="18" cm="1">
        <f t="array" ref="AB24" xml:space="preserve">
IFERROR(
IF(AB$1="",0,
IF(AND(
$AA24&gt;=VLOOKUP(AB$6, Table_ChiPhiNV_Ca[], COUNTA(Table_ChiPhiNV_Ca[[#Headers],[Ca]:[Bắt đầu nghỉ]]),0),
$AA24&lt;VLOOKUP(AB$6, Table_ChiPhiNV_Ca[], COUNTA(Table_ChiPhiNV_Ca[[#Headers],[Ca]:[Kết thúc nghỉ]]),0)
),0,
IF(NOT(ISBLANK(AB$3)),
IF(ISBLANK(AB$7),0,
IF(AB$4 &lt; AB$5,
IF($AA24-$Z$4&lt;AB$4,0,
IF($AA24&gt;AB$5,0,
SUM(_xlfn._xlws.FILTER(Table_BangLuong_TyLeTangCa[Tỷ lệ],
(Table_BangLuong_TyLeTangCa[Ngày] = AB$3) *
(Table_BangLuong_TyLeTangCa[Giờ min]&lt;=$AA24) *
(Table_BangLuong_TyLeTangCa[Giờ max]&gt;$AA24)
)))),
IF(AND($AA24-$Z$4 &gt;= AB$5,$AA24 &lt; AB$4),0,
SUM(_xlfn._xlws.FILTER(Table_BangLuong_TyLeTangCa[Tỷ lệ],
(Table_BangLuong_TyLeTangCa[Ngày] = AB$3) *
(Table_BangLuong_TyLeTangCa[Giờ min]&lt;=$AA24) *
(Table_BangLuong_TyLeTangCa[Giờ max]&gt;$AA24)
))))
),
IF(ISBLANK(AB$7),
IF(VLOOKUP(AB$6, Table_ChiPhiNV_Ca[], COUNTA(Table_ChiPhiNV_Ca[[#Headers],[Ca]:[Kết thúc]]),0)&gt; VLOOKUP(AB$6, Table_ChiPhiNV_Ca[], COUNTA(Table_ChiPhiNV_Ca[[#Headers],[Ca]:[Bắt đầu]]),0),
IF($AA24-$Z$4&lt;MAX(AB$4,VLOOKUP(AB$6, Table_ChiPhiNV_Ca[], COUNTA(Table_ChiPhiNV_Ca[[#Headers],[Ca]:[Bắt đầu]]),0)),0,
IF($AA24&gt;MIN(AB$5,VLOOKUP(AB$6, Table_ChiPhiNV_Ca[], COUNTA(Table_ChiPhiNV_Ca[[#Headers],[Ca]:[Kết thúc]]),0)),0,
SUM(_xlfn._xlws.FILTER(Table_BangLuong_TyLeTangCa[Tỷ lệ],
(Table_BangLuong_TyLeTangCa[Ngày] = "Thường") *
(Table_BangLuong_TyLeTangCa[Giờ min]&lt;=$AA24) *
(Table_BangLuong_TyLeTangCa[Giờ max]&gt;$AA24)
)))),
IF(AB$4 &gt; AB$5,
IF(
AND(
$AA24-$Z$4&lt;MAX(AB$4,VLOOKUP(AB$6, Table_ChiPhiNV_Ca[], COUNTA(Table_ChiPhiNV_Ca[[#Headers],[Ca]:[Bắt đầu]]),0)),
$AA24&gt;MIN(AB$5,VLOOKUP(AB$6, Table_ChiPhiNV_Ca[], COUNTA(Table_ChiPhiNV_Ca[[#Headers],[Ca]:[Kết thúc]]),0))),0,
SUM(_xlfn._xlws.FILTER(Table_BangLuong_TyLeTangCa[Tỷ lệ],
(Table_BangLuong_TyLeTangCa[Ngày] = "Thường") *
(Table_BangLuong_TyLeTangCa[Giờ min]&lt;=$AA24) *
(Table_BangLuong_TyLeTangCa[Giờ max]&gt;$AA24)
))),
IF(
AND(
$AA24-$Z$4&gt;=MAX(AB$4,VLOOKUP(AB$6, Table_ChiPhiNV_Ca[], COUNTA(Table_ChiPhiNV_Ca[[#Headers],[Ca]:[Bắt đầu]]),0)),
$AA24&lt;MIN(AB$5,VLOOKUP(AB$6, Table_ChiPhiNV_Ca[], COUNTA(Table_ChiPhiNV_Ca[[#Headers],[Ca]:[Kết thúc]]),0))),
SUM(_xlfn._xlws.FILTER(Table_BangLuong_TyLeTangCa[Tỷ lệ],
(Table_BangLuong_TyLeTangCa[Ngày] = "Thường") *
(Table_BangLuong_TyLeTangCa[Giờ min]&lt;=$AA24) *
(Table_BangLuong_TyLeTangCa[Giờ max]&gt;$AA24)
)),0)
)),
IF(AB$4 &lt; AB$5,
IF($AA24-$Z$4&lt;AB$4,0,
IF($AA24&gt;AB$5,0,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AB$5,$AA24 &lt; AB$4),0,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C24" s="18" cm="1">
        <f t="array" ref="AC24" xml:space="preserve">
IFERROR(
IF(AC$1="",0,
IF(AND(
$AA24&gt;=VLOOKUP(AC$6, Table_ChiPhiNV_Ca[], COUNTA(Table_ChiPhiNV_Ca[[#Headers],[Ca]:[Bắt đầu nghỉ]]),0),
$AA24&lt;VLOOKUP(AC$6, Table_ChiPhiNV_Ca[], COUNTA(Table_ChiPhiNV_Ca[[#Headers],[Ca]:[Kết thúc nghỉ]]),0)
),0,
IF(NOT(ISBLANK(AC$3)),
IF(ISBLANK(AC$7),0,
IF(AC$4 &lt; AC$5,
IF($AA24-$Z$4&lt;AC$4,0,
IF($AA24&gt;AC$5,0,
SUM(_xlfn._xlws.FILTER(Table_BangLuong_TyLeTangCa[Tỷ lệ],
(Table_BangLuong_TyLeTangCa[Ngày] = AC$3) *
(Table_BangLuong_TyLeTangCa[Giờ min]&lt;=$AA24) *
(Table_BangLuong_TyLeTangCa[Giờ max]&gt;$AA24)
)))),
IF(AND($AA24-$Z$4 &gt;= AC$5,$AA24 &lt; AC$4),0,
SUM(_xlfn._xlws.FILTER(Table_BangLuong_TyLeTangCa[Tỷ lệ],
(Table_BangLuong_TyLeTangCa[Ngày] = AC$3) *
(Table_BangLuong_TyLeTangCa[Giờ min]&lt;=$AA24) *
(Table_BangLuong_TyLeTangCa[Giờ max]&gt;$AA24)
))))
),
IF(ISBLANK(AC$7),
IF(VLOOKUP(AC$6, Table_ChiPhiNV_Ca[], COUNTA(Table_ChiPhiNV_Ca[[#Headers],[Ca]:[Kết thúc]]),0)&gt; VLOOKUP(AC$6, Table_ChiPhiNV_Ca[], COUNTA(Table_ChiPhiNV_Ca[[#Headers],[Ca]:[Bắt đầu]]),0),
IF($AA24-$Z$4&lt;MAX(AC$4,VLOOKUP(AC$6, Table_ChiPhiNV_Ca[], COUNTA(Table_ChiPhiNV_Ca[[#Headers],[Ca]:[Bắt đầu]]),0)),0,
IF($AA24&gt;MIN(AC$5,VLOOKUP(AC$6, Table_ChiPhiNV_Ca[], COUNTA(Table_ChiPhiNV_Ca[[#Headers],[Ca]:[Kết thúc]]),0)),0,
SUM(_xlfn._xlws.FILTER(Table_BangLuong_TyLeTangCa[Tỷ lệ],
(Table_BangLuong_TyLeTangCa[Ngày] = "Thường") *
(Table_BangLuong_TyLeTangCa[Giờ min]&lt;=$AA24) *
(Table_BangLuong_TyLeTangCa[Giờ max]&gt;$AA24)
)))),
IF(AC$4 &gt; AC$5,
IF(
AND(
$AA24-$Z$4&lt;MAX(AC$4,VLOOKUP(AC$6, Table_ChiPhiNV_Ca[], COUNTA(Table_ChiPhiNV_Ca[[#Headers],[Ca]:[Bắt đầu]]),0)),
$AA24&gt;MIN(AC$5,VLOOKUP(AC$6, Table_ChiPhiNV_Ca[], COUNTA(Table_ChiPhiNV_Ca[[#Headers],[Ca]:[Kết thúc]]),0))),0,
SUM(_xlfn._xlws.FILTER(Table_BangLuong_TyLeTangCa[Tỷ lệ],
(Table_BangLuong_TyLeTangCa[Ngày] = "Thường") *
(Table_BangLuong_TyLeTangCa[Giờ min]&lt;=$AA24) *
(Table_BangLuong_TyLeTangCa[Giờ max]&gt;$AA24)
))),
IF(
AND(
$AA24-$Z$4&gt;=MAX(AC$4,VLOOKUP(AC$6, Table_ChiPhiNV_Ca[], COUNTA(Table_ChiPhiNV_Ca[[#Headers],[Ca]:[Bắt đầu]]),0)),
$AA24&lt;MIN(AC$5,VLOOKUP(AC$6, Table_ChiPhiNV_Ca[], COUNTA(Table_ChiPhiNV_Ca[[#Headers],[Ca]:[Kết thúc]]),0))),
SUM(_xlfn._xlws.FILTER(Table_BangLuong_TyLeTangCa[Tỷ lệ],
(Table_BangLuong_TyLeTangCa[Ngày] = "Thường") *
(Table_BangLuong_TyLeTangCa[Giờ min]&lt;=$AA24) *
(Table_BangLuong_TyLeTangCa[Giờ max]&gt;$AA24)
)),0)
)),
IF(AC$4 &lt; AC$5,
IF($AA24-$Z$4&lt;AC$4,0,
IF($AA24&gt;AC$5,0,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AC$5,$AA24 &lt; AC$4),0,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D24" s="18" cm="1">
        <f t="array" ref="AD24" xml:space="preserve">
IFERROR(
IF(AD$1="",0,
IF(AND(
$AA24&gt;=VLOOKUP(AD$6, Table_ChiPhiNV_Ca[], COUNTA(Table_ChiPhiNV_Ca[[#Headers],[Ca]:[Bắt đầu nghỉ]]),0),
$AA24&lt;VLOOKUP(AD$6, Table_ChiPhiNV_Ca[], COUNTA(Table_ChiPhiNV_Ca[[#Headers],[Ca]:[Kết thúc nghỉ]]),0)
),0,
IF(NOT(ISBLANK(AD$3)),
IF(ISBLANK(AD$7),0,
IF(AD$4 &lt; AD$5,
IF($AA24-$Z$4&lt;AD$4,0,
IF($AA24&gt;AD$5,0,
SUM(_xlfn._xlws.FILTER(Table_BangLuong_TyLeTangCa[Tỷ lệ],
(Table_BangLuong_TyLeTangCa[Ngày] = AD$3) *
(Table_BangLuong_TyLeTangCa[Giờ min]&lt;=$AA24) *
(Table_BangLuong_TyLeTangCa[Giờ max]&gt;$AA24)
)))),
IF(AND($AA24-$Z$4 &gt;= AD$5,$AA24 &lt; AD$4),0,
SUM(_xlfn._xlws.FILTER(Table_BangLuong_TyLeTangCa[Tỷ lệ],
(Table_BangLuong_TyLeTangCa[Ngày] = AD$3) *
(Table_BangLuong_TyLeTangCa[Giờ min]&lt;=$AA24) *
(Table_BangLuong_TyLeTangCa[Giờ max]&gt;$AA24)
))))
),
IF(ISBLANK(AD$7),
IF(VLOOKUP(AD$6, Table_ChiPhiNV_Ca[], COUNTA(Table_ChiPhiNV_Ca[[#Headers],[Ca]:[Kết thúc]]),0)&gt; VLOOKUP(AD$6, Table_ChiPhiNV_Ca[], COUNTA(Table_ChiPhiNV_Ca[[#Headers],[Ca]:[Bắt đầu]]),0),
IF($AA24-$Z$4&lt;MAX(AD$4,VLOOKUP(AD$6, Table_ChiPhiNV_Ca[], COUNTA(Table_ChiPhiNV_Ca[[#Headers],[Ca]:[Bắt đầu]]),0)),0,
IF($AA24&gt;MIN(AD$5,VLOOKUP(AD$6, Table_ChiPhiNV_Ca[], COUNTA(Table_ChiPhiNV_Ca[[#Headers],[Ca]:[Kết thúc]]),0)),0,
SUM(_xlfn._xlws.FILTER(Table_BangLuong_TyLeTangCa[Tỷ lệ],
(Table_BangLuong_TyLeTangCa[Ngày] = "Thường") *
(Table_BangLuong_TyLeTangCa[Giờ min]&lt;=$AA24) *
(Table_BangLuong_TyLeTangCa[Giờ max]&gt;$AA24)
)))),
IF(AD$4 &gt; AD$5,
IF(
AND(
$AA24-$Z$4&lt;MAX(AD$4,VLOOKUP(AD$6, Table_ChiPhiNV_Ca[], COUNTA(Table_ChiPhiNV_Ca[[#Headers],[Ca]:[Bắt đầu]]),0)),
$AA24&gt;MIN(AD$5,VLOOKUP(AD$6, Table_ChiPhiNV_Ca[], COUNTA(Table_ChiPhiNV_Ca[[#Headers],[Ca]:[Kết thúc]]),0))),0,
SUM(_xlfn._xlws.FILTER(Table_BangLuong_TyLeTangCa[Tỷ lệ],
(Table_BangLuong_TyLeTangCa[Ngày] = "Thường") *
(Table_BangLuong_TyLeTangCa[Giờ min]&lt;=$AA24) *
(Table_BangLuong_TyLeTangCa[Giờ max]&gt;$AA24)
))),
IF(
AND(
$AA24-$Z$4&gt;=MAX(AD$4,VLOOKUP(AD$6, Table_ChiPhiNV_Ca[], COUNTA(Table_ChiPhiNV_Ca[[#Headers],[Ca]:[Bắt đầu]]),0)),
$AA24&lt;MIN(AD$5,VLOOKUP(AD$6, Table_ChiPhiNV_Ca[], COUNTA(Table_ChiPhiNV_Ca[[#Headers],[Ca]:[Kết thúc]]),0))),
SUM(_xlfn._xlws.FILTER(Table_BangLuong_TyLeTangCa[Tỷ lệ],
(Table_BangLuong_TyLeTangCa[Ngày] = "Thường") *
(Table_BangLuong_TyLeTangCa[Giờ min]&lt;=$AA24) *
(Table_BangLuong_TyLeTangCa[Giờ max]&gt;$AA24)
)),0)
)),
IF(AD$4 &lt; AD$5,
IF($AA24-$Z$4&lt;AD$4,0,
IF($AA24&gt;AD$5,0,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AD$5,$AA24 &lt; AD$4),0,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E24" s="18" cm="1">
        <f t="array" ref="AE24" xml:space="preserve">
IFERROR(
IF(AE$1="",0,
IF(AND(
$AA24&gt;=VLOOKUP(AE$6, Table_ChiPhiNV_Ca[], COUNTA(Table_ChiPhiNV_Ca[[#Headers],[Ca]:[Bắt đầu nghỉ]]),0),
$AA24&lt;VLOOKUP(AE$6, Table_ChiPhiNV_Ca[], COUNTA(Table_ChiPhiNV_Ca[[#Headers],[Ca]:[Kết thúc nghỉ]]),0)
),0,
IF(NOT(ISBLANK(AE$3)),
IF(ISBLANK(AE$7),0,
IF(AE$4 &lt; AE$5,
IF($AA24-$Z$4&lt;AE$4,0,
IF($AA24&gt;AE$5,0,
SUM(_xlfn._xlws.FILTER(Table_BangLuong_TyLeTangCa[Tỷ lệ],
(Table_BangLuong_TyLeTangCa[Ngày] = AE$3) *
(Table_BangLuong_TyLeTangCa[Giờ min]&lt;=$AA24) *
(Table_BangLuong_TyLeTangCa[Giờ max]&gt;$AA24)
)))),
IF(AND($AA24-$Z$4 &gt;= AE$5,$AA24 &lt; AE$4),0,
SUM(_xlfn._xlws.FILTER(Table_BangLuong_TyLeTangCa[Tỷ lệ],
(Table_BangLuong_TyLeTangCa[Ngày] = AE$3) *
(Table_BangLuong_TyLeTangCa[Giờ min]&lt;=$AA24) *
(Table_BangLuong_TyLeTangCa[Giờ max]&gt;$AA24)
))))
),
IF(ISBLANK(AE$7),
IF(VLOOKUP(AE$6, Table_ChiPhiNV_Ca[], COUNTA(Table_ChiPhiNV_Ca[[#Headers],[Ca]:[Kết thúc]]),0)&gt; VLOOKUP(AE$6, Table_ChiPhiNV_Ca[], COUNTA(Table_ChiPhiNV_Ca[[#Headers],[Ca]:[Bắt đầu]]),0),
IF($AA24-$Z$4&lt;MAX(AE$4,VLOOKUP(AE$6, Table_ChiPhiNV_Ca[], COUNTA(Table_ChiPhiNV_Ca[[#Headers],[Ca]:[Bắt đầu]]),0)),0,
IF($AA24&gt;MIN(AE$5,VLOOKUP(AE$6, Table_ChiPhiNV_Ca[], COUNTA(Table_ChiPhiNV_Ca[[#Headers],[Ca]:[Kết thúc]]),0)),0,
SUM(_xlfn._xlws.FILTER(Table_BangLuong_TyLeTangCa[Tỷ lệ],
(Table_BangLuong_TyLeTangCa[Ngày] = "Thường") *
(Table_BangLuong_TyLeTangCa[Giờ min]&lt;=$AA24) *
(Table_BangLuong_TyLeTangCa[Giờ max]&gt;$AA24)
)))),
IF(AE$4 &gt; AE$5,
IF(
AND(
$AA24-$Z$4&lt;MAX(AE$4,VLOOKUP(AE$6, Table_ChiPhiNV_Ca[], COUNTA(Table_ChiPhiNV_Ca[[#Headers],[Ca]:[Bắt đầu]]),0)),
$AA24&gt;MIN(AE$5,VLOOKUP(AE$6, Table_ChiPhiNV_Ca[], COUNTA(Table_ChiPhiNV_Ca[[#Headers],[Ca]:[Kết thúc]]),0))),0,
SUM(_xlfn._xlws.FILTER(Table_BangLuong_TyLeTangCa[Tỷ lệ],
(Table_BangLuong_TyLeTangCa[Ngày] = "Thường") *
(Table_BangLuong_TyLeTangCa[Giờ min]&lt;=$AA24) *
(Table_BangLuong_TyLeTangCa[Giờ max]&gt;$AA24)
))),
IF(
AND(
$AA24-$Z$4&gt;=MAX(AE$4,VLOOKUP(AE$6, Table_ChiPhiNV_Ca[], COUNTA(Table_ChiPhiNV_Ca[[#Headers],[Ca]:[Bắt đầu]]),0)),
$AA24&lt;MIN(AE$5,VLOOKUP(AE$6, Table_ChiPhiNV_Ca[], COUNTA(Table_ChiPhiNV_Ca[[#Headers],[Ca]:[Kết thúc]]),0))),
SUM(_xlfn._xlws.FILTER(Table_BangLuong_TyLeTangCa[Tỷ lệ],
(Table_BangLuong_TyLeTangCa[Ngày] = "Thường") *
(Table_BangLuong_TyLeTangCa[Giờ min]&lt;=$AA24) *
(Table_BangLuong_TyLeTangCa[Giờ max]&gt;$AA24)
)),0)
)),
IF(AE$4 &lt; AE$5,
IF($AA24-$Z$4&lt;AE$4,0,
IF($AA24&gt;AE$5,0,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AE$5,$AA24 &lt; AE$4),0,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F24" s="18" cm="1">
        <f t="array" ref="AF24" xml:space="preserve">
IFERROR(
IF(AF$1="",0,
IF(AND(
$AA24&gt;=VLOOKUP(AF$6, Table_ChiPhiNV_Ca[], COUNTA(Table_ChiPhiNV_Ca[[#Headers],[Ca]:[Bắt đầu nghỉ]]),0),
$AA24&lt;VLOOKUP(AF$6, Table_ChiPhiNV_Ca[], COUNTA(Table_ChiPhiNV_Ca[[#Headers],[Ca]:[Kết thúc nghỉ]]),0)
),0,
IF(NOT(ISBLANK(AF$3)),
IF(ISBLANK(AF$7),0,
IF(AF$4 &lt; AF$5,
IF($AA24-$Z$4&lt;AF$4,0,
IF($AA24&gt;AF$5,0,
SUM(_xlfn._xlws.FILTER(Table_BangLuong_TyLeTangCa[Tỷ lệ],
(Table_BangLuong_TyLeTangCa[Ngày] = AF$3) *
(Table_BangLuong_TyLeTangCa[Giờ min]&lt;=$AA24) *
(Table_BangLuong_TyLeTangCa[Giờ max]&gt;$AA24)
)))),
IF(AND($AA24-$Z$4 &gt;= AF$5,$AA24 &lt; AF$4),0,
SUM(_xlfn._xlws.FILTER(Table_BangLuong_TyLeTangCa[Tỷ lệ],
(Table_BangLuong_TyLeTangCa[Ngày] = AF$3) *
(Table_BangLuong_TyLeTangCa[Giờ min]&lt;=$AA24) *
(Table_BangLuong_TyLeTangCa[Giờ max]&gt;$AA24)
))))
),
IF(ISBLANK(AF$7),
IF(VLOOKUP(AF$6, Table_ChiPhiNV_Ca[], COUNTA(Table_ChiPhiNV_Ca[[#Headers],[Ca]:[Kết thúc]]),0)&gt; VLOOKUP(AF$6, Table_ChiPhiNV_Ca[], COUNTA(Table_ChiPhiNV_Ca[[#Headers],[Ca]:[Bắt đầu]]),0),
IF($AA24-$Z$4&lt;MAX(AF$4,VLOOKUP(AF$6, Table_ChiPhiNV_Ca[], COUNTA(Table_ChiPhiNV_Ca[[#Headers],[Ca]:[Bắt đầu]]),0)),0,
IF($AA24&gt;MIN(AF$5,VLOOKUP(AF$6, Table_ChiPhiNV_Ca[], COUNTA(Table_ChiPhiNV_Ca[[#Headers],[Ca]:[Kết thúc]]),0)),0,
SUM(_xlfn._xlws.FILTER(Table_BangLuong_TyLeTangCa[Tỷ lệ],
(Table_BangLuong_TyLeTangCa[Ngày] = "Thường") *
(Table_BangLuong_TyLeTangCa[Giờ min]&lt;=$AA24) *
(Table_BangLuong_TyLeTangCa[Giờ max]&gt;$AA24)
)))),
IF(AF$4 &gt; AF$5,
IF(
AND(
$AA24-$Z$4&lt;MAX(AF$4,VLOOKUP(AF$6, Table_ChiPhiNV_Ca[], COUNTA(Table_ChiPhiNV_Ca[[#Headers],[Ca]:[Bắt đầu]]),0)),
$AA24&gt;MIN(AF$5,VLOOKUP(AF$6, Table_ChiPhiNV_Ca[], COUNTA(Table_ChiPhiNV_Ca[[#Headers],[Ca]:[Kết thúc]]),0))),0,
SUM(_xlfn._xlws.FILTER(Table_BangLuong_TyLeTangCa[Tỷ lệ],
(Table_BangLuong_TyLeTangCa[Ngày] = "Thường") *
(Table_BangLuong_TyLeTangCa[Giờ min]&lt;=$AA24) *
(Table_BangLuong_TyLeTangCa[Giờ max]&gt;$AA24)
))),
IF(
AND(
$AA24-$Z$4&gt;=MAX(AF$4,VLOOKUP(AF$6, Table_ChiPhiNV_Ca[], COUNTA(Table_ChiPhiNV_Ca[[#Headers],[Ca]:[Bắt đầu]]),0)),
$AA24&lt;MIN(AF$5,VLOOKUP(AF$6, Table_ChiPhiNV_Ca[], COUNTA(Table_ChiPhiNV_Ca[[#Headers],[Ca]:[Kết thúc]]),0))),
SUM(_xlfn._xlws.FILTER(Table_BangLuong_TyLeTangCa[Tỷ lệ],
(Table_BangLuong_TyLeTangCa[Ngày] = "Thường") *
(Table_BangLuong_TyLeTangCa[Giờ min]&lt;=$AA24) *
(Table_BangLuong_TyLeTangCa[Giờ max]&gt;$AA24)
)),0)
)),
IF(AF$4 &lt; AF$5,
IF($AA24-$Z$4&lt;AF$4,0,
IF($AA24&gt;AF$5,0,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AF$5,$AA24 &lt; AF$4),0,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G24" s="18" cm="1">
        <f t="array" ref="AG24" xml:space="preserve">
IFERROR(
IF(AG$1="",0,
IF(AND(
$AA24&gt;=VLOOKUP(AG$6, Table_ChiPhiNV_Ca[], COUNTA(Table_ChiPhiNV_Ca[[#Headers],[Ca]:[Bắt đầu nghỉ]]),0),
$AA24&lt;VLOOKUP(AG$6, Table_ChiPhiNV_Ca[], COUNTA(Table_ChiPhiNV_Ca[[#Headers],[Ca]:[Kết thúc nghỉ]]),0)
),0,
IF(NOT(ISBLANK(AG$3)),
IF(ISBLANK(AG$7),0,
IF(AG$4 &lt; AG$5,
IF($AA24-$Z$4&lt;AG$4,0,
IF($AA24&gt;AG$5,0,
SUM(_xlfn._xlws.FILTER(Table_BangLuong_TyLeTangCa[Tỷ lệ],
(Table_BangLuong_TyLeTangCa[Ngày] = AG$3) *
(Table_BangLuong_TyLeTangCa[Giờ min]&lt;=$AA24) *
(Table_BangLuong_TyLeTangCa[Giờ max]&gt;$AA24)
)))),
IF(AND($AA24-$Z$4 &gt;= AG$5,$AA24 &lt; AG$4),0,
SUM(_xlfn._xlws.FILTER(Table_BangLuong_TyLeTangCa[Tỷ lệ],
(Table_BangLuong_TyLeTangCa[Ngày] = AG$3) *
(Table_BangLuong_TyLeTangCa[Giờ min]&lt;=$AA24) *
(Table_BangLuong_TyLeTangCa[Giờ max]&gt;$AA24)
))))
),
IF(ISBLANK(AG$7),
IF(VLOOKUP(AG$6, Table_ChiPhiNV_Ca[], COUNTA(Table_ChiPhiNV_Ca[[#Headers],[Ca]:[Kết thúc]]),0)&gt; VLOOKUP(AG$6, Table_ChiPhiNV_Ca[], COUNTA(Table_ChiPhiNV_Ca[[#Headers],[Ca]:[Bắt đầu]]),0),
IF($AA24-$Z$4&lt;MAX(AG$4,VLOOKUP(AG$6, Table_ChiPhiNV_Ca[], COUNTA(Table_ChiPhiNV_Ca[[#Headers],[Ca]:[Bắt đầu]]),0)),0,
IF($AA24&gt;MIN(AG$5,VLOOKUP(AG$6, Table_ChiPhiNV_Ca[], COUNTA(Table_ChiPhiNV_Ca[[#Headers],[Ca]:[Kết thúc]]),0)),0,
SUM(_xlfn._xlws.FILTER(Table_BangLuong_TyLeTangCa[Tỷ lệ],
(Table_BangLuong_TyLeTangCa[Ngày] = "Thường") *
(Table_BangLuong_TyLeTangCa[Giờ min]&lt;=$AA24) *
(Table_BangLuong_TyLeTangCa[Giờ max]&gt;$AA24)
)))),
IF(AG$4 &gt; AG$5,
IF(
AND(
$AA24-$Z$4&lt;MAX(AG$4,VLOOKUP(AG$6, Table_ChiPhiNV_Ca[], COUNTA(Table_ChiPhiNV_Ca[[#Headers],[Ca]:[Bắt đầu]]),0)),
$AA24&gt;MIN(AG$5,VLOOKUP(AG$6, Table_ChiPhiNV_Ca[], COUNTA(Table_ChiPhiNV_Ca[[#Headers],[Ca]:[Kết thúc]]),0))),0,
SUM(_xlfn._xlws.FILTER(Table_BangLuong_TyLeTangCa[Tỷ lệ],
(Table_BangLuong_TyLeTangCa[Ngày] = "Thường") *
(Table_BangLuong_TyLeTangCa[Giờ min]&lt;=$AA24) *
(Table_BangLuong_TyLeTangCa[Giờ max]&gt;$AA24)
))),
IF(
AND(
$AA24-$Z$4&gt;=MAX(AG$4,VLOOKUP(AG$6, Table_ChiPhiNV_Ca[], COUNTA(Table_ChiPhiNV_Ca[[#Headers],[Ca]:[Bắt đầu]]),0)),
$AA24&lt;MIN(AG$5,VLOOKUP(AG$6, Table_ChiPhiNV_Ca[], COUNTA(Table_ChiPhiNV_Ca[[#Headers],[Ca]:[Kết thúc]]),0))),
SUM(_xlfn._xlws.FILTER(Table_BangLuong_TyLeTangCa[Tỷ lệ],
(Table_BangLuong_TyLeTangCa[Ngày] = "Thường") *
(Table_BangLuong_TyLeTangCa[Giờ min]&lt;=$AA24) *
(Table_BangLuong_TyLeTangCa[Giờ max]&gt;$AA24)
)),0)
)),
IF(AG$4 &lt; AG$5,
IF($AA24-$Z$4&lt;AG$4,0,
IF($AA24&gt;AG$5,0,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AG$5,$AA24 &lt; AG$4),0,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H24" s="18" cm="1">
        <f t="array" ref="AH24" xml:space="preserve">
IFERROR(
IF(AH$1="",0,
IF(AND(
$AA24&gt;=VLOOKUP(AH$6, Table_ChiPhiNV_Ca[], COUNTA(Table_ChiPhiNV_Ca[[#Headers],[Ca]:[Bắt đầu nghỉ]]),0),
$AA24&lt;VLOOKUP(AH$6, Table_ChiPhiNV_Ca[], COUNTA(Table_ChiPhiNV_Ca[[#Headers],[Ca]:[Kết thúc nghỉ]]),0)
),0,
IF(NOT(ISBLANK(AH$3)),
IF(ISBLANK(AH$7),0,
IF(AH$4 &lt; AH$5,
IF($AA24-$Z$4&lt;AH$4,0,
IF($AA24&gt;AH$5,0,
SUM(_xlfn._xlws.FILTER(Table_BangLuong_TyLeTangCa[Tỷ lệ],
(Table_BangLuong_TyLeTangCa[Ngày] = AH$3) *
(Table_BangLuong_TyLeTangCa[Giờ min]&lt;=$AA24) *
(Table_BangLuong_TyLeTangCa[Giờ max]&gt;$AA24)
)))),
IF(AND($AA24-$Z$4 &gt;= AH$5,$AA24 &lt; AH$4),0,
SUM(_xlfn._xlws.FILTER(Table_BangLuong_TyLeTangCa[Tỷ lệ],
(Table_BangLuong_TyLeTangCa[Ngày] = AH$3) *
(Table_BangLuong_TyLeTangCa[Giờ min]&lt;=$AA24) *
(Table_BangLuong_TyLeTangCa[Giờ max]&gt;$AA24)
))))
),
IF(ISBLANK(AH$7),
IF(VLOOKUP(AH$6, Table_ChiPhiNV_Ca[], COUNTA(Table_ChiPhiNV_Ca[[#Headers],[Ca]:[Kết thúc]]),0)&gt; VLOOKUP(AH$6, Table_ChiPhiNV_Ca[], COUNTA(Table_ChiPhiNV_Ca[[#Headers],[Ca]:[Bắt đầu]]),0),
IF($AA24-$Z$4&lt;MAX(AH$4,VLOOKUP(AH$6, Table_ChiPhiNV_Ca[], COUNTA(Table_ChiPhiNV_Ca[[#Headers],[Ca]:[Bắt đầu]]),0)),0,
IF($AA24&gt;MIN(AH$5,VLOOKUP(AH$6, Table_ChiPhiNV_Ca[], COUNTA(Table_ChiPhiNV_Ca[[#Headers],[Ca]:[Kết thúc]]),0)),0,
SUM(_xlfn._xlws.FILTER(Table_BangLuong_TyLeTangCa[Tỷ lệ],
(Table_BangLuong_TyLeTangCa[Ngày] = "Thường") *
(Table_BangLuong_TyLeTangCa[Giờ min]&lt;=$AA24) *
(Table_BangLuong_TyLeTangCa[Giờ max]&gt;$AA24)
)))),
IF(AH$4 &gt; AH$5,
IF(
AND(
$AA24-$Z$4&lt;MAX(AH$4,VLOOKUP(AH$6, Table_ChiPhiNV_Ca[], COUNTA(Table_ChiPhiNV_Ca[[#Headers],[Ca]:[Bắt đầu]]),0)),
$AA24&gt;MIN(AH$5,VLOOKUP(AH$6, Table_ChiPhiNV_Ca[], COUNTA(Table_ChiPhiNV_Ca[[#Headers],[Ca]:[Kết thúc]]),0))),0,
SUM(_xlfn._xlws.FILTER(Table_BangLuong_TyLeTangCa[Tỷ lệ],
(Table_BangLuong_TyLeTangCa[Ngày] = "Thường") *
(Table_BangLuong_TyLeTangCa[Giờ min]&lt;=$AA24) *
(Table_BangLuong_TyLeTangCa[Giờ max]&gt;$AA24)
))),
IF(
AND(
$AA24-$Z$4&gt;=MAX(AH$4,VLOOKUP(AH$6, Table_ChiPhiNV_Ca[], COUNTA(Table_ChiPhiNV_Ca[[#Headers],[Ca]:[Bắt đầu]]),0)),
$AA24&lt;MIN(AH$5,VLOOKUP(AH$6, Table_ChiPhiNV_Ca[], COUNTA(Table_ChiPhiNV_Ca[[#Headers],[Ca]:[Kết thúc]]),0))),
SUM(_xlfn._xlws.FILTER(Table_BangLuong_TyLeTangCa[Tỷ lệ],
(Table_BangLuong_TyLeTangCa[Ngày] = "Thường") *
(Table_BangLuong_TyLeTangCa[Giờ min]&lt;=$AA24) *
(Table_BangLuong_TyLeTangCa[Giờ max]&gt;$AA24)
)),0)
)),
IF(AH$4 &lt; AH$5,
IF($AA24-$Z$4&lt;AH$4,0,
IF($AA24&gt;AH$5,0,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AH$5,$AA24 &lt; AH$4),0,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I24" s="18" cm="1">
        <f t="array" ref="AI24" xml:space="preserve">
IFERROR(
IF(AI$1="",0,
IF(AND(
$AA24&gt;=VLOOKUP(AI$6, Table_ChiPhiNV_Ca[], COUNTA(Table_ChiPhiNV_Ca[[#Headers],[Ca]:[Bắt đầu nghỉ]]),0),
$AA24&lt;VLOOKUP(AI$6, Table_ChiPhiNV_Ca[], COUNTA(Table_ChiPhiNV_Ca[[#Headers],[Ca]:[Kết thúc nghỉ]]),0)
),0,
IF(NOT(ISBLANK(AI$3)),
IF(ISBLANK(AI$7),0,
IF(AI$4 &lt; AI$5,
IF($AA24-$Z$4&lt;AI$4,0,
IF($AA24&gt;AI$5,0,
SUM(_xlfn._xlws.FILTER(Table_BangLuong_TyLeTangCa[Tỷ lệ],
(Table_BangLuong_TyLeTangCa[Ngày] = AI$3) *
(Table_BangLuong_TyLeTangCa[Giờ min]&lt;=$AA24) *
(Table_BangLuong_TyLeTangCa[Giờ max]&gt;$AA24)
)))),
IF(AND($AA24-$Z$4 &gt;= AI$5,$AA24 &lt; AI$4),0,
SUM(_xlfn._xlws.FILTER(Table_BangLuong_TyLeTangCa[Tỷ lệ],
(Table_BangLuong_TyLeTangCa[Ngày] = AI$3) *
(Table_BangLuong_TyLeTangCa[Giờ min]&lt;=$AA24) *
(Table_BangLuong_TyLeTangCa[Giờ max]&gt;$AA24)
))))
),
IF(ISBLANK(AI$7),
IF(VLOOKUP(AI$6, Table_ChiPhiNV_Ca[], COUNTA(Table_ChiPhiNV_Ca[[#Headers],[Ca]:[Kết thúc]]),0)&gt; VLOOKUP(AI$6, Table_ChiPhiNV_Ca[], COUNTA(Table_ChiPhiNV_Ca[[#Headers],[Ca]:[Bắt đầu]]),0),
IF($AA24-$Z$4&lt;MAX(AI$4,VLOOKUP(AI$6, Table_ChiPhiNV_Ca[], COUNTA(Table_ChiPhiNV_Ca[[#Headers],[Ca]:[Bắt đầu]]),0)),0,
IF($AA24&gt;MIN(AI$5,VLOOKUP(AI$6, Table_ChiPhiNV_Ca[], COUNTA(Table_ChiPhiNV_Ca[[#Headers],[Ca]:[Kết thúc]]),0)),0,
SUM(_xlfn._xlws.FILTER(Table_BangLuong_TyLeTangCa[Tỷ lệ],
(Table_BangLuong_TyLeTangCa[Ngày] = "Thường") *
(Table_BangLuong_TyLeTangCa[Giờ min]&lt;=$AA24) *
(Table_BangLuong_TyLeTangCa[Giờ max]&gt;$AA24)
)))),
IF(AI$4 &gt; AI$5,
IF(
AND(
$AA24-$Z$4&lt;MAX(AI$4,VLOOKUP(AI$6, Table_ChiPhiNV_Ca[], COUNTA(Table_ChiPhiNV_Ca[[#Headers],[Ca]:[Bắt đầu]]),0)),
$AA24&gt;MIN(AI$5,VLOOKUP(AI$6, Table_ChiPhiNV_Ca[], COUNTA(Table_ChiPhiNV_Ca[[#Headers],[Ca]:[Kết thúc]]),0))),0,
SUM(_xlfn._xlws.FILTER(Table_BangLuong_TyLeTangCa[Tỷ lệ],
(Table_BangLuong_TyLeTangCa[Ngày] = "Thường") *
(Table_BangLuong_TyLeTangCa[Giờ min]&lt;=$AA24) *
(Table_BangLuong_TyLeTangCa[Giờ max]&gt;$AA24)
))),
IF(
AND(
$AA24-$Z$4&gt;=MAX(AI$4,VLOOKUP(AI$6, Table_ChiPhiNV_Ca[], COUNTA(Table_ChiPhiNV_Ca[[#Headers],[Ca]:[Bắt đầu]]),0)),
$AA24&lt;MIN(AI$5,VLOOKUP(AI$6, Table_ChiPhiNV_Ca[], COUNTA(Table_ChiPhiNV_Ca[[#Headers],[Ca]:[Kết thúc]]),0))),
SUM(_xlfn._xlws.FILTER(Table_BangLuong_TyLeTangCa[Tỷ lệ],
(Table_BangLuong_TyLeTangCa[Ngày] = "Thường") *
(Table_BangLuong_TyLeTangCa[Giờ min]&lt;=$AA24) *
(Table_BangLuong_TyLeTangCa[Giờ max]&gt;$AA24)
)),0)
)),
IF(AI$4 &lt; AI$5,
IF($AA24-$Z$4&lt;AI$4,0,
IF($AA24&gt;AI$5,0,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AI$5,$AA24 &lt; AI$4),0,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J24" s="18" cm="1">
        <f t="array" ref="AJ24" xml:space="preserve">
IFERROR(
IF(AJ$1="",0,
IF(AND(
$AA24&gt;=VLOOKUP(AJ$6, Table_ChiPhiNV_Ca[], COUNTA(Table_ChiPhiNV_Ca[[#Headers],[Ca]:[Bắt đầu nghỉ]]),0),
$AA24&lt;VLOOKUP(AJ$6, Table_ChiPhiNV_Ca[], COUNTA(Table_ChiPhiNV_Ca[[#Headers],[Ca]:[Kết thúc nghỉ]]),0)
),0,
IF(NOT(ISBLANK(AJ$3)),
IF(ISBLANK(AJ$7),0,
IF(AJ$4 &lt; AJ$5,
IF($AA24-$Z$4&lt;AJ$4,0,
IF($AA24&gt;AJ$5,0,
SUM(_xlfn._xlws.FILTER(Table_BangLuong_TyLeTangCa[Tỷ lệ],
(Table_BangLuong_TyLeTangCa[Ngày] = AJ$3) *
(Table_BangLuong_TyLeTangCa[Giờ min]&lt;=$AA24) *
(Table_BangLuong_TyLeTangCa[Giờ max]&gt;$AA24)
)))),
IF(AND($AA24-$Z$4 &gt;= AJ$5,$AA24 &lt; AJ$4),0,
SUM(_xlfn._xlws.FILTER(Table_BangLuong_TyLeTangCa[Tỷ lệ],
(Table_BangLuong_TyLeTangCa[Ngày] = AJ$3) *
(Table_BangLuong_TyLeTangCa[Giờ min]&lt;=$AA24) *
(Table_BangLuong_TyLeTangCa[Giờ max]&gt;$AA24)
))))
),
IF(ISBLANK(AJ$7),
IF(VLOOKUP(AJ$6, Table_ChiPhiNV_Ca[], COUNTA(Table_ChiPhiNV_Ca[[#Headers],[Ca]:[Kết thúc]]),0)&gt; VLOOKUP(AJ$6, Table_ChiPhiNV_Ca[], COUNTA(Table_ChiPhiNV_Ca[[#Headers],[Ca]:[Bắt đầu]]),0),
IF($AA24-$Z$4&lt;MAX(AJ$4,VLOOKUP(AJ$6, Table_ChiPhiNV_Ca[], COUNTA(Table_ChiPhiNV_Ca[[#Headers],[Ca]:[Bắt đầu]]),0)),0,
IF($AA24&gt;MIN(AJ$5,VLOOKUP(AJ$6, Table_ChiPhiNV_Ca[], COUNTA(Table_ChiPhiNV_Ca[[#Headers],[Ca]:[Kết thúc]]),0)),0,
SUM(_xlfn._xlws.FILTER(Table_BangLuong_TyLeTangCa[Tỷ lệ],
(Table_BangLuong_TyLeTangCa[Ngày] = "Thường") *
(Table_BangLuong_TyLeTangCa[Giờ min]&lt;=$AA24) *
(Table_BangLuong_TyLeTangCa[Giờ max]&gt;$AA24)
)))),
IF(AJ$4 &gt; AJ$5,
IF(
AND(
$AA24-$Z$4&lt;MAX(AJ$4,VLOOKUP(AJ$6, Table_ChiPhiNV_Ca[], COUNTA(Table_ChiPhiNV_Ca[[#Headers],[Ca]:[Bắt đầu]]),0)),
$AA24&gt;MIN(AJ$5,VLOOKUP(AJ$6, Table_ChiPhiNV_Ca[], COUNTA(Table_ChiPhiNV_Ca[[#Headers],[Ca]:[Kết thúc]]),0))),0,
SUM(_xlfn._xlws.FILTER(Table_BangLuong_TyLeTangCa[Tỷ lệ],
(Table_BangLuong_TyLeTangCa[Ngày] = "Thường") *
(Table_BangLuong_TyLeTangCa[Giờ min]&lt;=$AA24) *
(Table_BangLuong_TyLeTangCa[Giờ max]&gt;$AA24)
))),
IF(
AND(
$AA24-$Z$4&gt;=MAX(AJ$4,VLOOKUP(AJ$6, Table_ChiPhiNV_Ca[], COUNTA(Table_ChiPhiNV_Ca[[#Headers],[Ca]:[Bắt đầu]]),0)),
$AA24&lt;MIN(AJ$5,VLOOKUP(AJ$6, Table_ChiPhiNV_Ca[], COUNTA(Table_ChiPhiNV_Ca[[#Headers],[Ca]:[Kết thúc]]),0))),
SUM(_xlfn._xlws.FILTER(Table_BangLuong_TyLeTangCa[Tỷ lệ],
(Table_BangLuong_TyLeTangCa[Ngày] = "Thường") *
(Table_BangLuong_TyLeTangCa[Giờ min]&lt;=$AA24) *
(Table_BangLuong_TyLeTangCa[Giờ max]&gt;$AA24)
)),0)
)),
IF(AJ$4 &lt; AJ$5,
IF($AA24-$Z$4&lt;AJ$4,0,
IF($AA24&gt;AJ$5,0,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AJ$5,$AA24 &lt; AJ$4),0,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K24" s="18" cm="1">
        <f t="array" ref="AK24" xml:space="preserve">
IFERROR(
IF(AK$1="",0,
IF(AND(
$AA24&gt;=VLOOKUP(AK$6, Table_ChiPhiNV_Ca[], COUNTA(Table_ChiPhiNV_Ca[[#Headers],[Ca]:[Bắt đầu nghỉ]]),0),
$AA24&lt;VLOOKUP(AK$6, Table_ChiPhiNV_Ca[], COUNTA(Table_ChiPhiNV_Ca[[#Headers],[Ca]:[Kết thúc nghỉ]]),0)
),0,
IF(NOT(ISBLANK(AK$3)),
IF(ISBLANK(AK$7),0,
IF(AK$4 &lt; AK$5,
IF($AA24-$Z$4&lt;AK$4,0,
IF($AA24&gt;AK$5,0,
SUM(_xlfn._xlws.FILTER(Table_BangLuong_TyLeTangCa[Tỷ lệ],
(Table_BangLuong_TyLeTangCa[Ngày] = AK$3) *
(Table_BangLuong_TyLeTangCa[Giờ min]&lt;=$AA24) *
(Table_BangLuong_TyLeTangCa[Giờ max]&gt;$AA24)
)))),
IF(AND($AA24-$Z$4 &gt;= AK$5,$AA24 &lt; AK$4),0,
SUM(_xlfn._xlws.FILTER(Table_BangLuong_TyLeTangCa[Tỷ lệ],
(Table_BangLuong_TyLeTangCa[Ngày] = AK$3) *
(Table_BangLuong_TyLeTangCa[Giờ min]&lt;=$AA24) *
(Table_BangLuong_TyLeTangCa[Giờ max]&gt;$AA24)
))))
),
IF(ISBLANK(AK$7),
IF(VLOOKUP(AK$6, Table_ChiPhiNV_Ca[], COUNTA(Table_ChiPhiNV_Ca[[#Headers],[Ca]:[Kết thúc]]),0)&gt; VLOOKUP(AK$6, Table_ChiPhiNV_Ca[], COUNTA(Table_ChiPhiNV_Ca[[#Headers],[Ca]:[Bắt đầu]]),0),
IF($AA24-$Z$4&lt;MAX(AK$4,VLOOKUP(AK$6, Table_ChiPhiNV_Ca[], COUNTA(Table_ChiPhiNV_Ca[[#Headers],[Ca]:[Bắt đầu]]),0)),0,
IF($AA24&gt;MIN(AK$5,VLOOKUP(AK$6, Table_ChiPhiNV_Ca[], COUNTA(Table_ChiPhiNV_Ca[[#Headers],[Ca]:[Kết thúc]]),0)),0,
SUM(_xlfn._xlws.FILTER(Table_BangLuong_TyLeTangCa[Tỷ lệ],
(Table_BangLuong_TyLeTangCa[Ngày] = "Thường") *
(Table_BangLuong_TyLeTangCa[Giờ min]&lt;=$AA24) *
(Table_BangLuong_TyLeTangCa[Giờ max]&gt;$AA24)
)))),
IF(AK$4 &gt; AK$5,
IF(
AND(
$AA24-$Z$4&lt;MAX(AK$4,VLOOKUP(AK$6, Table_ChiPhiNV_Ca[], COUNTA(Table_ChiPhiNV_Ca[[#Headers],[Ca]:[Bắt đầu]]),0)),
$AA24&gt;MIN(AK$5,VLOOKUP(AK$6, Table_ChiPhiNV_Ca[], COUNTA(Table_ChiPhiNV_Ca[[#Headers],[Ca]:[Kết thúc]]),0))),0,
SUM(_xlfn._xlws.FILTER(Table_BangLuong_TyLeTangCa[Tỷ lệ],
(Table_BangLuong_TyLeTangCa[Ngày] = "Thường") *
(Table_BangLuong_TyLeTangCa[Giờ min]&lt;=$AA24) *
(Table_BangLuong_TyLeTangCa[Giờ max]&gt;$AA24)
))),
IF(
AND(
$AA24-$Z$4&gt;=MAX(AK$4,VLOOKUP(AK$6, Table_ChiPhiNV_Ca[], COUNTA(Table_ChiPhiNV_Ca[[#Headers],[Ca]:[Bắt đầu]]),0)),
$AA24&lt;MIN(AK$5,VLOOKUP(AK$6, Table_ChiPhiNV_Ca[], COUNTA(Table_ChiPhiNV_Ca[[#Headers],[Ca]:[Kết thúc]]),0))),
SUM(_xlfn._xlws.FILTER(Table_BangLuong_TyLeTangCa[Tỷ lệ],
(Table_BangLuong_TyLeTangCa[Ngày] = "Thường") *
(Table_BangLuong_TyLeTangCa[Giờ min]&lt;=$AA24) *
(Table_BangLuong_TyLeTangCa[Giờ max]&gt;$AA24)
)),0)
)),
IF(AK$4 &lt; AK$5,
IF($AA24-$Z$4&lt;AK$4,0,
IF($AA24&gt;AK$5,0,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AK$5,$AA24 &lt; AK$4),0,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L24" s="18" cm="1">
        <f t="array" ref="AL24" xml:space="preserve">
IFERROR(
IF(AL$1="",0,
IF(AND(
$AA24&gt;=VLOOKUP(AL$6, Table_ChiPhiNV_Ca[], COUNTA(Table_ChiPhiNV_Ca[[#Headers],[Ca]:[Bắt đầu nghỉ]]),0),
$AA24&lt;VLOOKUP(AL$6, Table_ChiPhiNV_Ca[], COUNTA(Table_ChiPhiNV_Ca[[#Headers],[Ca]:[Kết thúc nghỉ]]),0)
),0,
IF(NOT(ISBLANK(AL$3)),
IF(ISBLANK(AL$7),0,
IF(AL$4 &lt; AL$5,
IF($AA24-$Z$4&lt;AL$4,0,
IF($AA24&gt;AL$5,0,
SUM(_xlfn._xlws.FILTER(Table_BangLuong_TyLeTangCa[Tỷ lệ],
(Table_BangLuong_TyLeTangCa[Ngày] = AL$3) *
(Table_BangLuong_TyLeTangCa[Giờ min]&lt;=$AA24) *
(Table_BangLuong_TyLeTangCa[Giờ max]&gt;$AA24)
)))),
IF(AND($AA24-$Z$4 &gt;= AL$5,$AA24 &lt; AL$4),0,
SUM(_xlfn._xlws.FILTER(Table_BangLuong_TyLeTangCa[Tỷ lệ],
(Table_BangLuong_TyLeTangCa[Ngày] = AL$3) *
(Table_BangLuong_TyLeTangCa[Giờ min]&lt;=$AA24) *
(Table_BangLuong_TyLeTangCa[Giờ max]&gt;$AA24)
))))
),
IF(ISBLANK(AL$7),
IF(VLOOKUP(AL$6, Table_ChiPhiNV_Ca[], COUNTA(Table_ChiPhiNV_Ca[[#Headers],[Ca]:[Kết thúc]]),0)&gt; VLOOKUP(AL$6, Table_ChiPhiNV_Ca[], COUNTA(Table_ChiPhiNV_Ca[[#Headers],[Ca]:[Bắt đầu]]),0),
IF($AA24-$Z$4&lt;MAX(AL$4,VLOOKUP(AL$6, Table_ChiPhiNV_Ca[], COUNTA(Table_ChiPhiNV_Ca[[#Headers],[Ca]:[Bắt đầu]]),0)),0,
IF($AA24&gt;MIN(AL$5,VLOOKUP(AL$6, Table_ChiPhiNV_Ca[], COUNTA(Table_ChiPhiNV_Ca[[#Headers],[Ca]:[Kết thúc]]),0)),0,
SUM(_xlfn._xlws.FILTER(Table_BangLuong_TyLeTangCa[Tỷ lệ],
(Table_BangLuong_TyLeTangCa[Ngày] = "Thường") *
(Table_BangLuong_TyLeTangCa[Giờ min]&lt;=$AA24) *
(Table_BangLuong_TyLeTangCa[Giờ max]&gt;$AA24)
)))),
IF(AL$4 &gt; AL$5,
IF(
AND(
$AA24-$Z$4&lt;MAX(AL$4,VLOOKUP(AL$6, Table_ChiPhiNV_Ca[], COUNTA(Table_ChiPhiNV_Ca[[#Headers],[Ca]:[Bắt đầu]]),0)),
$AA24&gt;MIN(AL$5,VLOOKUP(AL$6, Table_ChiPhiNV_Ca[], COUNTA(Table_ChiPhiNV_Ca[[#Headers],[Ca]:[Kết thúc]]),0))),0,
SUM(_xlfn._xlws.FILTER(Table_BangLuong_TyLeTangCa[Tỷ lệ],
(Table_BangLuong_TyLeTangCa[Ngày] = "Thường") *
(Table_BangLuong_TyLeTangCa[Giờ min]&lt;=$AA24) *
(Table_BangLuong_TyLeTangCa[Giờ max]&gt;$AA24)
))),
IF(
AND(
$AA24-$Z$4&gt;=MAX(AL$4,VLOOKUP(AL$6, Table_ChiPhiNV_Ca[], COUNTA(Table_ChiPhiNV_Ca[[#Headers],[Ca]:[Bắt đầu]]),0)),
$AA24&lt;MIN(AL$5,VLOOKUP(AL$6, Table_ChiPhiNV_Ca[], COUNTA(Table_ChiPhiNV_Ca[[#Headers],[Ca]:[Kết thúc]]),0))),
SUM(_xlfn._xlws.FILTER(Table_BangLuong_TyLeTangCa[Tỷ lệ],
(Table_BangLuong_TyLeTangCa[Ngày] = "Thường") *
(Table_BangLuong_TyLeTangCa[Giờ min]&lt;=$AA24) *
(Table_BangLuong_TyLeTangCa[Giờ max]&gt;$AA24)
)),0)
)),
IF(AL$4 &lt; AL$5,
IF($AA24-$Z$4&lt;AL$4,0,
IF($AA24&gt;AL$5,0,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AL$5,$AA24 &lt; AL$4),0,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M24" s="18" cm="1">
        <f t="array" ref="AM24" xml:space="preserve">
IFERROR(
IF(AM$1="",0,
IF(AND(
$AA24&gt;=VLOOKUP(AM$6, Table_ChiPhiNV_Ca[], COUNTA(Table_ChiPhiNV_Ca[[#Headers],[Ca]:[Bắt đầu nghỉ]]),0),
$AA24&lt;VLOOKUP(AM$6, Table_ChiPhiNV_Ca[], COUNTA(Table_ChiPhiNV_Ca[[#Headers],[Ca]:[Kết thúc nghỉ]]),0)
),0,
IF(NOT(ISBLANK(AM$3)),
IF(ISBLANK(AM$7),0,
IF(AM$4 &lt; AM$5,
IF($AA24-$Z$4&lt;AM$4,0,
IF($AA24&gt;AM$5,0,
SUM(_xlfn._xlws.FILTER(Table_BangLuong_TyLeTangCa[Tỷ lệ],
(Table_BangLuong_TyLeTangCa[Ngày] = AM$3) *
(Table_BangLuong_TyLeTangCa[Giờ min]&lt;=$AA24) *
(Table_BangLuong_TyLeTangCa[Giờ max]&gt;$AA24)
)))),
IF(AND($AA24-$Z$4 &gt;= AM$5,$AA24 &lt; AM$4),0,
SUM(_xlfn._xlws.FILTER(Table_BangLuong_TyLeTangCa[Tỷ lệ],
(Table_BangLuong_TyLeTangCa[Ngày] = AM$3) *
(Table_BangLuong_TyLeTangCa[Giờ min]&lt;=$AA24) *
(Table_BangLuong_TyLeTangCa[Giờ max]&gt;$AA24)
))))
),
IF(ISBLANK(AM$7),
IF(VLOOKUP(AM$6, Table_ChiPhiNV_Ca[], COUNTA(Table_ChiPhiNV_Ca[[#Headers],[Ca]:[Kết thúc]]),0)&gt; VLOOKUP(AM$6, Table_ChiPhiNV_Ca[], COUNTA(Table_ChiPhiNV_Ca[[#Headers],[Ca]:[Bắt đầu]]),0),
IF($AA24-$Z$4&lt;MAX(AM$4,VLOOKUP(AM$6, Table_ChiPhiNV_Ca[], COUNTA(Table_ChiPhiNV_Ca[[#Headers],[Ca]:[Bắt đầu]]),0)),0,
IF($AA24&gt;MIN(AM$5,VLOOKUP(AM$6, Table_ChiPhiNV_Ca[], COUNTA(Table_ChiPhiNV_Ca[[#Headers],[Ca]:[Kết thúc]]),0)),0,
SUM(_xlfn._xlws.FILTER(Table_BangLuong_TyLeTangCa[Tỷ lệ],
(Table_BangLuong_TyLeTangCa[Ngày] = "Thường") *
(Table_BangLuong_TyLeTangCa[Giờ min]&lt;=$AA24) *
(Table_BangLuong_TyLeTangCa[Giờ max]&gt;$AA24)
)))),
IF(AM$4 &gt; AM$5,
IF(
AND(
$AA24-$Z$4&lt;MAX(AM$4,VLOOKUP(AM$6, Table_ChiPhiNV_Ca[], COUNTA(Table_ChiPhiNV_Ca[[#Headers],[Ca]:[Bắt đầu]]),0)),
$AA24&gt;MIN(AM$5,VLOOKUP(AM$6, Table_ChiPhiNV_Ca[], COUNTA(Table_ChiPhiNV_Ca[[#Headers],[Ca]:[Kết thúc]]),0))),0,
SUM(_xlfn._xlws.FILTER(Table_BangLuong_TyLeTangCa[Tỷ lệ],
(Table_BangLuong_TyLeTangCa[Ngày] = "Thường") *
(Table_BangLuong_TyLeTangCa[Giờ min]&lt;=$AA24) *
(Table_BangLuong_TyLeTangCa[Giờ max]&gt;$AA24)
))),
IF(
AND(
$AA24-$Z$4&gt;=MAX(AM$4,VLOOKUP(AM$6, Table_ChiPhiNV_Ca[], COUNTA(Table_ChiPhiNV_Ca[[#Headers],[Ca]:[Bắt đầu]]),0)),
$AA24&lt;MIN(AM$5,VLOOKUP(AM$6, Table_ChiPhiNV_Ca[], COUNTA(Table_ChiPhiNV_Ca[[#Headers],[Ca]:[Kết thúc]]),0))),
SUM(_xlfn._xlws.FILTER(Table_BangLuong_TyLeTangCa[Tỷ lệ],
(Table_BangLuong_TyLeTangCa[Ngày] = "Thường") *
(Table_BangLuong_TyLeTangCa[Giờ min]&lt;=$AA24) *
(Table_BangLuong_TyLeTangCa[Giờ max]&gt;$AA24)
)),0)
)),
IF(AM$4 &lt; AM$5,
IF($AA24-$Z$4&lt;AM$4,0,
IF($AA24&gt;AM$5,0,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AM$5,$AA24 &lt; AM$4),0,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N24" s="18" cm="1">
        <f t="array" ref="AN24" xml:space="preserve">
IFERROR(
IF(AN$1="",0,
IF(AND(
$AA24&gt;=VLOOKUP(AN$6, Table_ChiPhiNV_Ca[], COUNTA(Table_ChiPhiNV_Ca[[#Headers],[Ca]:[Bắt đầu nghỉ]]),0),
$AA24&lt;VLOOKUP(AN$6, Table_ChiPhiNV_Ca[], COUNTA(Table_ChiPhiNV_Ca[[#Headers],[Ca]:[Kết thúc nghỉ]]),0)
),0,
IF(NOT(ISBLANK(AN$3)),
IF(ISBLANK(AN$7),0,
IF(AN$4 &lt; AN$5,
IF($AA24-$Z$4&lt;AN$4,0,
IF($AA24&gt;AN$5,0,
SUM(_xlfn._xlws.FILTER(Table_BangLuong_TyLeTangCa[Tỷ lệ],
(Table_BangLuong_TyLeTangCa[Ngày] = AN$3) *
(Table_BangLuong_TyLeTangCa[Giờ min]&lt;=$AA24) *
(Table_BangLuong_TyLeTangCa[Giờ max]&gt;$AA24)
)))),
IF(AND($AA24-$Z$4 &gt;= AN$5,$AA24 &lt; AN$4),0,
SUM(_xlfn._xlws.FILTER(Table_BangLuong_TyLeTangCa[Tỷ lệ],
(Table_BangLuong_TyLeTangCa[Ngày] = AN$3) *
(Table_BangLuong_TyLeTangCa[Giờ min]&lt;=$AA24) *
(Table_BangLuong_TyLeTangCa[Giờ max]&gt;$AA24)
))))
),
IF(ISBLANK(AN$7),
IF(VLOOKUP(AN$6, Table_ChiPhiNV_Ca[], COUNTA(Table_ChiPhiNV_Ca[[#Headers],[Ca]:[Kết thúc]]),0)&gt; VLOOKUP(AN$6, Table_ChiPhiNV_Ca[], COUNTA(Table_ChiPhiNV_Ca[[#Headers],[Ca]:[Bắt đầu]]),0),
IF($AA24-$Z$4&lt;MAX(AN$4,VLOOKUP(AN$6, Table_ChiPhiNV_Ca[], COUNTA(Table_ChiPhiNV_Ca[[#Headers],[Ca]:[Bắt đầu]]),0)),0,
IF($AA24&gt;MIN(AN$5,VLOOKUP(AN$6, Table_ChiPhiNV_Ca[], COUNTA(Table_ChiPhiNV_Ca[[#Headers],[Ca]:[Kết thúc]]),0)),0,
SUM(_xlfn._xlws.FILTER(Table_BangLuong_TyLeTangCa[Tỷ lệ],
(Table_BangLuong_TyLeTangCa[Ngày] = "Thường") *
(Table_BangLuong_TyLeTangCa[Giờ min]&lt;=$AA24) *
(Table_BangLuong_TyLeTangCa[Giờ max]&gt;$AA24)
)))),
IF(AN$4 &gt; AN$5,
IF(
AND(
$AA24-$Z$4&lt;MAX(AN$4,VLOOKUP(AN$6, Table_ChiPhiNV_Ca[], COUNTA(Table_ChiPhiNV_Ca[[#Headers],[Ca]:[Bắt đầu]]),0)),
$AA24&gt;MIN(AN$5,VLOOKUP(AN$6, Table_ChiPhiNV_Ca[], COUNTA(Table_ChiPhiNV_Ca[[#Headers],[Ca]:[Kết thúc]]),0))),0,
SUM(_xlfn._xlws.FILTER(Table_BangLuong_TyLeTangCa[Tỷ lệ],
(Table_BangLuong_TyLeTangCa[Ngày] = "Thường") *
(Table_BangLuong_TyLeTangCa[Giờ min]&lt;=$AA24) *
(Table_BangLuong_TyLeTangCa[Giờ max]&gt;$AA24)
))),
IF(
AND(
$AA24-$Z$4&gt;=MAX(AN$4,VLOOKUP(AN$6, Table_ChiPhiNV_Ca[], COUNTA(Table_ChiPhiNV_Ca[[#Headers],[Ca]:[Bắt đầu]]),0)),
$AA24&lt;MIN(AN$5,VLOOKUP(AN$6, Table_ChiPhiNV_Ca[], COUNTA(Table_ChiPhiNV_Ca[[#Headers],[Ca]:[Kết thúc]]),0))),
SUM(_xlfn._xlws.FILTER(Table_BangLuong_TyLeTangCa[Tỷ lệ],
(Table_BangLuong_TyLeTangCa[Ngày] = "Thường") *
(Table_BangLuong_TyLeTangCa[Giờ min]&lt;=$AA24) *
(Table_BangLuong_TyLeTangCa[Giờ max]&gt;$AA24)
)),0)
)),
IF(AN$4 &lt; AN$5,
IF($AA24-$Z$4&lt;AN$4,0,
IF($AA24&gt;AN$5,0,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AN$5,$AA24 &lt; AN$4),0,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O24" s="18" cm="1">
        <f t="array" ref="AO24" xml:space="preserve">
IFERROR(
IF(AO$1="",0,
IF(AND(
$AA24&gt;=VLOOKUP(AO$6, Table_ChiPhiNV_Ca[], COUNTA(Table_ChiPhiNV_Ca[[#Headers],[Ca]:[Bắt đầu nghỉ]]),0),
$AA24&lt;VLOOKUP(AO$6, Table_ChiPhiNV_Ca[], COUNTA(Table_ChiPhiNV_Ca[[#Headers],[Ca]:[Kết thúc nghỉ]]),0)
),0,
IF(NOT(ISBLANK(AO$3)),
IF(ISBLANK(AO$7),0,
IF(AO$4 &lt; AO$5,
IF($AA24-$Z$4&lt;AO$4,0,
IF($AA24&gt;AO$5,0,
SUM(_xlfn._xlws.FILTER(Table_BangLuong_TyLeTangCa[Tỷ lệ],
(Table_BangLuong_TyLeTangCa[Ngày] = AO$3) *
(Table_BangLuong_TyLeTangCa[Giờ min]&lt;=$AA24) *
(Table_BangLuong_TyLeTangCa[Giờ max]&gt;$AA24)
)))),
IF(AND($AA24-$Z$4 &gt;= AO$5,$AA24 &lt; AO$4),0,
SUM(_xlfn._xlws.FILTER(Table_BangLuong_TyLeTangCa[Tỷ lệ],
(Table_BangLuong_TyLeTangCa[Ngày] = AO$3) *
(Table_BangLuong_TyLeTangCa[Giờ min]&lt;=$AA24) *
(Table_BangLuong_TyLeTangCa[Giờ max]&gt;$AA24)
))))
),
IF(ISBLANK(AO$7),
IF(VLOOKUP(AO$6, Table_ChiPhiNV_Ca[], COUNTA(Table_ChiPhiNV_Ca[[#Headers],[Ca]:[Kết thúc]]),0)&gt; VLOOKUP(AO$6, Table_ChiPhiNV_Ca[], COUNTA(Table_ChiPhiNV_Ca[[#Headers],[Ca]:[Bắt đầu]]),0),
IF($AA24-$Z$4&lt;MAX(AO$4,VLOOKUP(AO$6, Table_ChiPhiNV_Ca[], COUNTA(Table_ChiPhiNV_Ca[[#Headers],[Ca]:[Bắt đầu]]),0)),0,
IF($AA24&gt;MIN(AO$5,VLOOKUP(AO$6, Table_ChiPhiNV_Ca[], COUNTA(Table_ChiPhiNV_Ca[[#Headers],[Ca]:[Kết thúc]]),0)),0,
SUM(_xlfn._xlws.FILTER(Table_BangLuong_TyLeTangCa[Tỷ lệ],
(Table_BangLuong_TyLeTangCa[Ngày] = "Thường") *
(Table_BangLuong_TyLeTangCa[Giờ min]&lt;=$AA24) *
(Table_BangLuong_TyLeTangCa[Giờ max]&gt;$AA24)
)))),
IF(AO$4 &gt; AO$5,
IF(
AND(
$AA24-$Z$4&lt;MAX(AO$4,VLOOKUP(AO$6, Table_ChiPhiNV_Ca[], COUNTA(Table_ChiPhiNV_Ca[[#Headers],[Ca]:[Bắt đầu]]),0)),
$AA24&gt;MIN(AO$5,VLOOKUP(AO$6, Table_ChiPhiNV_Ca[], COUNTA(Table_ChiPhiNV_Ca[[#Headers],[Ca]:[Kết thúc]]),0))),0,
SUM(_xlfn._xlws.FILTER(Table_BangLuong_TyLeTangCa[Tỷ lệ],
(Table_BangLuong_TyLeTangCa[Ngày] = "Thường") *
(Table_BangLuong_TyLeTangCa[Giờ min]&lt;=$AA24) *
(Table_BangLuong_TyLeTangCa[Giờ max]&gt;$AA24)
))),
IF(
AND(
$AA24-$Z$4&gt;=MAX(AO$4,VLOOKUP(AO$6, Table_ChiPhiNV_Ca[], COUNTA(Table_ChiPhiNV_Ca[[#Headers],[Ca]:[Bắt đầu]]),0)),
$AA24&lt;MIN(AO$5,VLOOKUP(AO$6, Table_ChiPhiNV_Ca[], COUNTA(Table_ChiPhiNV_Ca[[#Headers],[Ca]:[Kết thúc]]),0))),
SUM(_xlfn._xlws.FILTER(Table_BangLuong_TyLeTangCa[Tỷ lệ],
(Table_BangLuong_TyLeTangCa[Ngày] = "Thường") *
(Table_BangLuong_TyLeTangCa[Giờ min]&lt;=$AA24) *
(Table_BangLuong_TyLeTangCa[Giờ max]&gt;$AA24)
)),0)
)),
IF(AO$4 &lt; AO$5,
IF($AA24-$Z$4&lt;AO$4,0,
IF($AA24&gt;AO$5,0,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AO$5,$AA24 &lt; AO$4),0,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P24" s="18" cm="1">
        <f t="array" ref="AP24" xml:space="preserve">
IFERROR(
IF(AP$1="",0,
IF(AND(
$AA24&gt;=VLOOKUP(AP$6, Table_ChiPhiNV_Ca[], COUNTA(Table_ChiPhiNV_Ca[[#Headers],[Ca]:[Bắt đầu nghỉ]]),0),
$AA24&lt;VLOOKUP(AP$6, Table_ChiPhiNV_Ca[], COUNTA(Table_ChiPhiNV_Ca[[#Headers],[Ca]:[Kết thúc nghỉ]]),0)
),0,
IF(NOT(ISBLANK(AP$3)),
IF(ISBLANK(AP$7),0,
IF(AP$4 &lt; AP$5,
IF($AA24-$Z$4&lt;AP$4,0,
IF($AA24&gt;AP$5,0,
SUM(_xlfn._xlws.FILTER(Table_BangLuong_TyLeTangCa[Tỷ lệ],
(Table_BangLuong_TyLeTangCa[Ngày] = AP$3) *
(Table_BangLuong_TyLeTangCa[Giờ min]&lt;=$AA24) *
(Table_BangLuong_TyLeTangCa[Giờ max]&gt;$AA24)
)))),
IF(AND($AA24-$Z$4 &gt;= AP$5,$AA24 &lt; AP$4),0,
SUM(_xlfn._xlws.FILTER(Table_BangLuong_TyLeTangCa[Tỷ lệ],
(Table_BangLuong_TyLeTangCa[Ngày] = AP$3) *
(Table_BangLuong_TyLeTangCa[Giờ min]&lt;=$AA24) *
(Table_BangLuong_TyLeTangCa[Giờ max]&gt;$AA24)
))))
),
IF(ISBLANK(AP$7),
IF(VLOOKUP(AP$6, Table_ChiPhiNV_Ca[], COUNTA(Table_ChiPhiNV_Ca[[#Headers],[Ca]:[Kết thúc]]),0)&gt; VLOOKUP(AP$6, Table_ChiPhiNV_Ca[], COUNTA(Table_ChiPhiNV_Ca[[#Headers],[Ca]:[Bắt đầu]]),0),
IF($AA24-$Z$4&lt;MAX(AP$4,VLOOKUP(AP$6, Table_ChiPhiNV_Ca[], COUNTA(Table_ChiPhiNV_Ca[[#Headers],[Ca]:[Bắt đầu]]),0)),0,
IF($AA24&gt;MIN(AP$5,VLOOKUP(AP$6, Table_ChiPhiNV_Ca[], COUNTA(Table_ChiPhiNV_Ca[[#Headers],[Ca]:[Kết thúc]]),0)),0,
SUM(_xlfn._xlws.FILTER(Table_BangLuong_TyLeTangCa[Tỷ lệ],
(Table_BangLuong_TyLeTangCa[Ngày] = "Thường") *
(Table_BangLuong_TyLeTangCa[Giờ min]&lt;=$AA24) *
(Table_BangLuong_TyLeTangCa[Giờ max]&gt;$AA24)
)))),
IF(AP$4 &gt; AP$5,
IF(
AND(
$AA24-$Z$4&lt;MAX(AP$4,VLOOKUP(AP$6, Table_ChiPhiNV_Ca[], COUNTA(Table_ChiPhiNV_Ca[[#Headers],[Ca]:[Bắt đầu]]),0)),
$AA24&gt;MIN(AP$5,VLOOKUP(AP$6, Table_ChiPhiNV_Ca[], COUNTA(Table_ChiPhiNV_Ca[[#Headers],[Ca]:[Kết thúc]]),0))),0,
SUM(_xlfn._xlws.FILTER(Table_BangLuong_TyLeTangCa[Tỷ lệ],
(Table_BangLuong_TyLeTangCa[Ngày] = "Thường") *
(Table_BangLuong_TyLeTangCa[Giờ min]&lt;=$AA24) *
(Table_BangLuong_TyLeTangCa[Giờ max]&gt;$AA24)
))),
IF(
AND(
$AA24-$Z$4&gt;=MAX(AP$4,VLOOKUP(AP$6, Table_ChiPhiNV_Ca[], COUNTA(Table_ChiPhiNV_Ca[[#Headers],[Ca]:[Bắt đầu]]),0)),
$AA24&lt;MIN(AP$5,VLOOKUP(AP$6, Table_ChiPhiNV_Ca[], COUNTA(Table_ChiPhiNV_Ca[[#Headers],[Ca]:[Kết thúc]]),0))),
SUM(_xlfn._xlws.FILTER(Table_BangLuong_TyLeTangCa[Tỷ lệ],
(Table_BangLuong_TyLeTangCa[Ngày] = "Thường") *
(Table_BangLuong_TyLeTangCa[Giờ min]&lt;=$AA24) *
(Table_BangLuong_TyLeTangCa[Giờ max]&gt;$AA24)
)),0)
)),
IF(AP$4 &lt; AP$5,
IF($AA24-$Z$4&lt;AP$4,0,
IF($AA24&gt;AP$5,0,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AP$5,$AA24 &lt; AP$4),0,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Q24" s="18" cm="1">
        <f t="array" ref="AQ24" xml:space="preserve">
IFERROR(
IF(AQ$1="",0,
IF(AND(
$AA24&gt;=VLOOKUP(AQ$6, Table_ChiPhiNV_Ca[], COUNTA(Table_ChiPhiNV_Ca[[#Headers],[Ca]:[Bắt đầu nghỉ]]),0),
$AA24&lt;VLOOKUP(AQ$6, Table_ChiPhiNV_Ca[], COUNTA(Table_ChiPhiNV_Ca[[#Headers],[Ca]:[Kết thúc nghỉ]]),0)
),0,
IF(NOT(ISBLANK(AQ$3)),
IF(ISBLANK(AQ$7),0,
IF(AQ$4 &lt; AQ$5,
IF($AA24-$Z$4&lt;AQ$4,0,
IF($AA24&gt;AQ$5,0,
SUM(_xlfn._xlws.FILTER(Table_BangLuong_TyLeTangCa[Tỷ lệ],
(Table_BangLuong_TyLeTangCa[Ngày] = AQ$3) *
(Table_BangLuong_TyLeTangCa[Giờ min]&lt;=$AA24) *
(Table_BangLuong_TyLeTangCa[Giờ max]&gt;$AA24)
)))),
IF(AND($AA24-$Z$4 &gt;= AQ$5,$AA24 &lt; AQ$4),0,
SUM(_xlfn._xlws.FILTER(Table_BangLuong_TyLeTangCa[Tỷ lệ],
(Table_BangLuong_TyLeTangCa[Ngày] = AQ$3) *
(Table_BangLuong_TyLeTangCa[Giờ min]&lt;=$AA24) *
(Table_BangLuong_TyLeTangCa[Giờ max]&gt;$AA24)
))))
),
IF(ISBLANK(AQ$7),
IF(VLOOKUP(AQ$6, Table_ChiPhiNV_Ca[], COUNTA(Table_ChiPhiNV_Ca[[#Headers],[Ca]:[Kết thúc]]),0)&gt; VLOOKUP(AQ$6, Table_ChiPhiNV_Ca[], COUNTA(Table_ChiPhiNV_Ca[[#Headers],[Ca]:[Bắt đầu]]),0),
IF($AA24-$Z$4&lt;MAX(AQ$4,VLOOKUP(AQ$6, Table_ChiPhiNV_Ca[], COUNTA(Table_ChiPhiNV_Ca[[#Headers],[Ca]:[Bắt đầu]]),0)),0,
IF($AA24&gt;MIN(AQ$5,VLOOKUP(AQ$6, Table_ChiPhiNV_Ca[], COUNTA(Table_ChiPhiNV_Ca[[#Headers],[Ca]:[Kết thúc]]),0)),0,
SUM(_xlfn._xlws.FILTER(Table_BangLuong_TyLeTangCa[Tỷ lệ],
(Table_BangLuong_TyLeTangCa[Ngày] = "Thường") *
(Table_BangLuong_TyLeTangCa[Giờ min]&lt;=$AA24) *
(Table_BangLuong_TyLeTangCa[Giờ max]&gt;$AA24)
)))),
IF(AQ$4 &gt; AQ$5,
IF(
AND(
$AA24-$Z$4&lt;MAX(AQ$4,VLOOKUP(AQ$6, Table_ChiPhiNV_Ca[], COUNTA(Table_ChiPhiNV_Ca[[#Headers],[Ca]:[Bắt đầu]]),0)),
$AA24&gt;MIN(AQ$5,VLOOKUP(AQ$6, Table_ChiPhiNV_Ca[], COUNTA(Table_ChiPhiNV_Ca[[#Headers],[Ca]:[Kết thúc]]),0))),0,
SUM(_xlfn._xlws.FILTER(Table_BangLuong_TyLeTangCa[Tỷ lệ],
(Table_BangLuong_TyLeTangCa[Ngày] = "Thường") *
(Table_BangLuong_TyLeTangCa[Giờ min]&lt;=$AA24) *
(Table_BangLuong_TyLeTangCa[Giờ max]&gt;$AA24)
))),
IF(
AND(
$AA24-$Z$4&gt;=MAX(AQ$4,VLOOKUP(AQ$6, Table_ChiPhiNV_Ca[], COUNTA(Table_ChiPhiNV_Ca[[#Headers],[Ca]:[Bắt đầu]]),0)),
$AA24&lt;MIN(AQ$5,VLOOKUP(AQ$6, Table_ChiPhiNV_Ca[], COUNTA(Table_ChiPhiNV_Ca[[#Headers],[Ca]:[Kết thúc]]),0))),
SUM(_xlfn._xlws.FILTER(Table_BangLuong_TyLeTangCa[Tỷ lệ],
(Table_BangLuong_TyLeTangCa[Ngày] = "Thường") *
(Table_BangLuong_TyLeTangCa[Giờ min]&lt;=$AA24) *
(Table_BangLuong_TyLeTangCa[Giờ max]&gt;$AA24)
)),0)
)),
IF(AQ$4 &lt; AQ$5,
IF($AA24-$Z$4&lt;AQ$4,0,
IF($AA24&gt;AQ$5,0,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AQ$5,$AA24 &lt; AQ$4),0,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R24" s="18" cm="1">
        <f t="array" ref="AR24" xml:space="preserve">
IFERROR(
IF(AR$1="",0,
IF(AND(
$AA24&gt;=VLOOKUP(AR$6, Table_ChiPhiNV_Ca[], COUNTA(Table_ChiPhiNV_Ca[[#Headers],[Ca]:[Bắt đầu nghỉ]]),0),
$AA24&lt;VLOOKUP(AR$6, Table_ChiPhiNV_Ca[], COUNTA(Table_ChiPhiNV_Ca[[#Headers],[Ca]:[Kết thúc nghỉ]]),0)
),0,
IF(NOT(ISBLANK(AR$3)),
IF(ISBLANK(AR$7),0,
IF(AR$4 &lt; AR$5,
IF($AA24-$Z$4&lt;AR$4,0,
IF($AA24&gt;AR$5,0,
SUM(_xlfn._xlws.FILTER(Table_BangLuong_TyLeTangCa[Tỷ lệ],
(Table_BangLuong_TyLeTangCa[Ngày] = AR$3) *
(Table_BangLuong_TyLeTangCa[Giờ min]&lt;=$AA24) *
(Table_BangLuong_TyLeTangCa[Giờ max]&gt;$AA24)
)))),
IF(AND($AA24-$Z$4 &gt;= AR$5,$AA24 &lt; AR$4),0,
SUM(_xlfn._xlws.FILTER(Table_BangLuong_TyLeTangCa[Tỷ lệ],
(Table_BangLuong_TyLeTangCa[Ngày] = AR$3) *
(Table_BangLuong_TyLeTangCa[Giờ min]&lt;=$AA24) *
(Table_BangLuong_TyLeTangCa[Giờ max]&gt;$AA24)
))))
),
IF(ISBLANK(AR$7),
IF(VLOOKUP(AR$6, Table_ChiPhiNV_Ca[], COUNTA(Table_ChiPhiNV_Ca[[#Headers],[Ca]:[Kết thúc]]),0)&gt; VLOOKUP(AR$6, Table_ChiPhiNV_Ca[], COUNTA(Table_ChiPhiNV_Ca[[#Headers],[Ca]:[Bắt đầu]]),0),
IF($AA24-$Z$4&lt;MAX(AR$4,VLOOKUP(AR$6, Table_ChiPhiNV_Ca[], COUNTA(Table_ChiPhiNV_Ca[[#Headers],[Ca]:[Bắt đầu]]),0)),0,
IF($AA24&gt;MIN(AR$5,VLOOKUP(AR$6, Table_ChiPhiNV_Ca[], COUNTA(Table_ChiPhiNV_Ca[[#Headers],[Ca]:[Kết thúc]]),0)),0,
SUM(_xlfn._xlws.FILTER(Table_BangLuong_TyLeTangCa[Tỷ lệ],
(Table_BangLuong_TyLeTangCa[Ngày] = "Thường") *
(Table_BangLuong_TyLeTangCa[Giờ min]&lt;=$AA24) *
(Table_BangLuong_TyLeTangCa[Giờ max]&gt;$AA24)
)))),
IF(AR$4 &gt; AR$5,
IF(
AND(
$AA24-$Z$4&lt;MAX(AR$4,VLOOKUP(AR$6, Table_ChiPhiNV_Ca[], COUNTA(Table_ChiPhiNV_Ca[[#Headers],[Ca]:[Bắt đầu]]),0)),
$AA24&gt;MIN(AR$5,VLOOKUP(AR$6, Table_ChiPhiNV_Ca[], COUNTA(Table_ChiPhiNV_Ca[[#Headers],[Ca]:[Kết thúc]]),0))),0,
SUM(_xlfn._xlws.FILTER(Table_BangLuong_TyLeTangCa[Tỷ lệ],
(Table_BangLuong_TyLeTangCa[Ngày] = "Thường") *
(Table_BangLuong_TyLeTangCa[Giờ min]&lt;=$AA24) *
(Table_BangLuong_TyLeTangCa[Giờ max]&gt;$AA24)
))),
IF(
AND(
$AA24-$Z$4&gt;=MAX(AR$4,VLOOKUP(AR$6, Table_ChiPhiNV_Ca[], COUNTA(Table_ChiPhiNV_Ca[[#Headers],[Ca]:[Bắt đầu]]),0)),
$AA24&lt;MIN(AR$5,VLOOKUP(AR$6, Table_ChiPhiNV_Ca[], COUNTA(Table_ChiPhiNV_Ca[[#Headers],[Ca]:[Kết thúc]]),0))),
SUM(_xlfn._xlws.FILTER(Table_BangLuong_TyLeTangCa[Tỷ lệ],
(Table_BangLuong_TyLeTangCa[Ngày] = "Thường") *
(Table_BangLuong_TyLeTangCa[Giờ min]&lt;=$AA24) *
(Table_BangLuong_TyLeTangCa[Giờ max]&gt;$AA24)
)),0)
)),
IF(AR$4 &lt; AR$5,
IF($AA24-$Z$4&lt;AR$4,0,
IF($AA24&gt;AR$5,0,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AR$5,$AA24 &lt; AR$4),0,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S24" s="18" cm="1">
        <f t="array" ref="AS24" xml:space="preserve">
IFERROR(
IF(AS$1="",0,
IF(AND(
$AA24&gt;=VLOOKUP(AS$6, Table_ChiPhiNV_Ca[], COUNTA(Table_ChiPhiNV_Ca[[#Headers],[Ca]:[Bắt đầu nghỉ]]),0),
$AA24&lt;VLOOKUP(AS$6, Table_ChiPhiNV_Ca[], COUNTA(Table_ChiPhiNV_Ca[[#Headers],[Ca]:[Kết thúc nghỉ]]),0)
),0,
IF(NOT(ISBLANK(AS$3)),
IF(ISBLANK(AS$7),0,
IF(AS$4 &lt; AS$5,
IF($AA24-$Z$4&lt;AS$4,0,
IF($AA24&gt;AS$5,0,
SUM(_xlfn._xlws.FILTER(Table_BangLuong_TyLeTangCa[Tỷ lệ],
(Table_BangLuong_TyLeTangCa[Ngày] = AS$3) *
(Table_BangLuong_TyLeTangCa[Giờ min]&lt;=$AA24) *
(Table_BangLuong_TyLeTangCa[Giờ max]&gt;$AA24)
)))),
IF(AND($AA24-$Z$4 &gt;= AS$5,$AA24 &lt; AS$4),0,
SUM(_xlfn._xlws.FILTER(Table_BangLuong_TyLeTangCa[Tỷ lệ],
(Table_BangLuong_TyLeTangCa[Ngày] = AS$3) *
(Table_BangLuong_TyLeTangCa[Giờ min]&lt;=$AA24) *
(Table_BangLuong_TyLeTangCa[Giờ max]&gt;$AA24)
))))
),
IF(ISBLANK(AS$7),
IF(VLOOKUP(AS$6, Table_ChiPhiNV_Ca[], COUNTA(Table_ChiPhiNV_Ca[[#Headers],[Ca]:[Kết thúc]]),0)&gt; VLOOKUP(AS$6, Table_ChiPhiNV_Ca[], COUNTA(Table_ChiPhiNV_Ca[[#Headers],[Ca]:[Bắt đầu]]),0),
IF($AA24-$Z$4&lt;MAX(AS$4,VLOOKUP(AS$6, Table_ChiPhiNV_Ca[], COUNTA(Table_ChiPhiNV_Ca[[#Headers],[Ca]:[Bắt đầu]]),0)),0,
IF($AA24&gt;MIN(AS$5,VLOOKUP(AS$6, Table_ChiPhiNV_Ca[], COUNTA(Table_ChiPhiNV_Ca[[#Headers],[Ca]:[Kết thúc]]),0)),0,
SUM(_xlfn._xlws.FILTER(Table_BangLuong_TyLeTangCa[Tỷ lệ],
(Table_BangLuong_TyLeTangCa[Ngày] = "Thường") *
(Table_BangLuong_TyLeTangCa[Giờ min]&lt;=$AA24) *
(Table_BangLuong_TyLeTangCa[Giờ max]&gt;$AA24)
)))),
IF(AS$4 &gt; AS$5,
IF(
AND(
$AA24-$Z$4&lt;MAX(AS$4,VLOOKUP(AS$6, Table_ChiPhiNV_Ca[], COUNTA(Table_ChiPhiNV_Ca[[#Headers],[Ca]:[Bắt đầu]]),0)),
$AA24&gt;MIN(AS$5,VLOOKUP(AS$6, Table_ChiPhiNV_Ca[], COUNTA(Table_ChiPhiNV_Ca[[#Headers],[Ca]:[Kết thúc]]),0))),0,
SUM(_xlfn._xlws.FILTER(Table_BangLuong_TyLeTangCa[Tỷ lệ],
(Table_BangLuong_TyLeTangCa[Ngày] = "Thường") *
(Table_BangLuong_TyLeTangCa[Giờ min]&lt;=$AA24) *
(Table_BangLuong_TyLeTangCa[Giờ max]&gt;$AA24)
))),
IF(
AND(
$AA24-$Z$4&gt;=MAX(AS$4,VLOOKUP(AS$6, Table_ChiPhiNV_Ca[], COUNTA(Table_ChiPhiNV_Ca[[#Headers],[Ca]:[Bắt đầu]]),0)),
$AA24&lt;MIN(AS$5,VLOOKUP(AS$6, Table_ChiPhiNV_Ca[], COUNTA(Table_ChiPhiNV_Ca[[#Headers],[Ca]:[Kết thúc]]),0))),
SUM(_xlfn._xlws.FILTER(Table_BangLuong_TyLeTangCa[Tỷ lệ],
(Table_BangLuong_TyLeTangCa[Ngày] = "Thường") *
(Table_BangLuong_TyLeTangCa[Giờ min]&lt;=$AA24) *
(Table_BangLuong_TyLeTangCa[Giờ max]&gt;$AA24)
)),0)
)),
IF(AS$4 &lt; AS$5,
IF($AA24-$Z$4&lt;AS$4,0,
IF($AA24&gt;AS$5,0,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AS$5,$AA24 &lt; AS$4),0,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T24" s="18" cm="1">
        <f t="array" ref="AT24" xml:space="preserve">
IFERROR(
IF(AT$1="",0,
IF(AND(
$AA24&gt;=VLOOKUP(AT$6, Table_ChiPhiNV_Ca[], COUNTA(Table_ChiPhiNV_Ca[[#Headers],[Ca]:[Bắt đầu nghỉ]]),0),
$AA24&lt;VLOOKUP(AT$6, Table_ChiPhiNV_Ca[], COUNTA(Table_ChiPhiNV_Ca[[#Headers],[Ca]:[Kết thúc nghỉ]]),0)
),0,
IF(NOT(ISBLANK(AT$3)),
IF(ISBLANK(AT$7),0,
IF(AT$4 &lt; AT$5,
IF($AA24-$Z$4&lt;AT$4,0,
IF($AA24&gt;AT$5,0,
SUM(_xlfn._xlws.FILTER(Table_BangLuong_TyLeTangCa[Tỷ lệ],
(Table_BangLuong_TyLeTangCa[Ngày] = AT$3) *
(Table_BangLuong_TyLeTangCa[Giờ min]&lt;=$AA24) *
(Table_BangLuong_TyLeTangCa[Giờ max]&gt;$AA24)
)))),
IF(AND($AA24-$Z$4 &gt;= AT$5,$AA24 &lt; AT$4),0,
SUM(_xlfn._xlws.FILTER(Table_BangLuong_TyLeTangCa[Tỷ lệ],
(Table_BangLuong_TyLeTangCa[Ngày] = AT$3) *
(Table_BangLuong_TyLeTangCa[Giờ min]&lt;=$AA24) *
(Table_BangLuong_TyLeTangCa[Giờ max]&gt;$AA24)
))))
),
IF(ISBLANK(AT$7),
IF(VLOOKUP(AT$6, Table_ChiPhiNV_Ca[], COUNTA(Table_ChiPhiNV_Ca[[#Headers],[Ca]:[Kết thúc]]),0)&gt; VLOOKUP(AT$6, Table_ChiPhiNV_Ca[], COUNTA(Table_ChiPhiNV_Ca[[#Headers],[Ca]:[Bắt đầu]]),0),
IF($AA24-$Z$4&lt;MAX(AT$4,VLOOKUP(AT$6, Table_ChiPhiNV_Ca[], COUNTA(Table_ChiPhiNV_Ca[[#Headers],[Ca]:[Bắt đầu]]),0)),0,
IF($AA24&gt;MIN(AT$5,VLOOKUP(AT$6, Table_ChiPhiNV_Ca[], COUNTA(Table_ChiPhiNV_Ca[[#Headers],[Ca]:[Kết thúc]]),0)),0,
SUM(_xlfn._xlws.FILTER(Table_BangLuong_TyLeTangCa[Tỷ lệ],
(Table_BangLuong_TyLeTangCa[Ngày] = "Thường") *
(Table_BangLuong_TyLeTangCa[Giờ min]&lt;=$AA24) *
(Table_BangLuong_TyLeTangCa[Giờ max]&gt;$AA24)
)))),
IF(AT$4 &gt; AT$5,
IF(
AND(
$AA24-$Z$4&lt;MAX(AT$4,VLOOKUP(AT$6, Table_ChiPhiNV_Ca[], COUNTA(Table_ChiPhiNV_Ca[[#Headers],[Ca]:[Bắt đầu]]),0)),
$AA24&gt;MIN(AT$5,VLOOKUP(AT$6, Table_ChiPhiNV_Ca[], COUNTA(Table_ChiPhiNV_Ca[[#Headers],[Ca]:[Kết thúc]]),0))),0,
SUM(_xlfn._xlws.FILTER(Table_BangLuong_TyLeTangCa[Tỷ lệ],
(Table_BangLuong_TyLeTangCa[Ngày] = "Thường") *
(Table_BangLuong_TyLeTangCa[Giờ min]&lt;=$AA24) *
(Table_BangLuong_TyLeTangCa[Giờ max]&gt;$AA24)
))),
IF(
AND(
$AA24-$Z$4&gt;=MAX(AT$4,VLOOKUP(AT$6, Table_ChiPhiNV_Ca[], COUNTA(Table_ChiPhiNV_Ca[[#Headers],[Ca]:[Bắt đầu]]),0)),
$AA24&lt;MIN(AT$5,VLOOKUP(AT$6, Table_ChiPhiNV_Ca[], COUNTA(Table_ChiPhiNV_Ca[[#Headers],[Ca]:[Kết thúc]]),0))),
SUM(_xlfn._xlws.FILTER(Table_BangLuong_TyLeTangCa[Tỷ lệ],
(Table_BangLuong_TyLeTangCa[Ngày] = "Thường") *
(Table_BangLuong_TyLeTangCa[Giờ min]&lt;=$AA24) *
(Table_BangLuong_TyLeTangCa[Giờ max]&gt;$AA24)
)),0)
)),
IF(AT$4 &lt; AT$5,
IF($AA24-$Z$4&lt;AT$4,0,
IF($AA24&gt;AT$5,0,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AT$5,$AA24 &lt; AT$4),0,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U24" s="18" cm="1">
        <f t="array" ref="AU24" xml:space="preserve">
IFERROR(
IF(AU$1="",0,
IF(AND(
$AA24&gt;=VLOOKUP(AU$6, Table_ChiPhiNV_Ca[], COUNTA(Table_ChiPhiNV_Ca[[#Headers],[Ca]:[Bắt đầu nghỉ]]),0),
$AA24&lt;VLOOKUP(AU$6, Table_ChiPhiNV_Ca[], COUNTA(Table_ChiPhiNV_Ca[[#Headers],[Ca]:[Kết thúc nghỉ]]),0)
),0,
IF(NOT(ISBLANK(AU$3)),
IF(ISBLANK(AU$7),0,
IF(AU$4 &lt; AU$5,
IF($AA24-$Z$4&lt;AU$4,0,
IF($AA24&gt;AU$5,0,
SUM(_xlfn._xlws.FILTER(Table_BangLuong_TyLeTangCa[Tỷ lệ],
(Table_BangLuong_TyLeTangCa[Ngày] = AU$3) *
(Table_BangLuong_TyLeTangCa[Giờ min]&lt;=$AA24) *
(Table_BangLuong_TyLeTangCa[Giờ max]&gt;$AA24)
)))),
IF(AND($AA24-$Z$4 &gt;= AU$5,$AA24 &lt; AU$4),0,
SUM(_xlfn._xlws.FILTER(Table_BangLuong_TyLeTangCa[Tỷ lệ],
(Table_BangLuong_TyLeTangCa[Ngày] = AU$3) *
(Table_BangLuong_TyLeTangCa[Giờ min]&lt;=$AA24) *
(Table_BangLuong_TyLeTangCa[Giờ max]&gt;$AA24)
))))
),
IF(ISBLANK(AU$7),
IF(VLOOKUP(AU$6, Table_ChiPhiNV_Ca[], COUNTA(Table_ChiPhiNV_Ca[[#Headers],[Ca]:[Kết thúc]]),0)&gt; VLOOKUP(AU$6, Table_ChiPhiNV_Ca[], COUNTA(Table_ChiPhiNV_Ca[[#Headers],[Ca]:[Bắt đầu]]),0),
IF($AA24-$Z$4&lt;MAX(AU$4,VLOOKUP(AU$6, Table_ChiPhiNV_Ca[], COUNTA(Table_ChiPhiNV_Ca[[#Headers],[Ca]:[Bắt đầu]]),0)),0,
IF($AA24&gt;MIN(AU$5,VLOOKUP(AU$6, Table_ChiPhiNV_Ca[], COUNTA(Table_ChiPhiNV_Ca[[#Headers],[Ca]:[Kết thúc]]),0)),0,
SUM(_xlfn._xlws.FILTER(Table_BangLuong_TyLeTangCa[Tỷ lệ],
(Table_BangLuong_TyLeTangCa[Ngày] = "Thường") *
(Table_BangLuong_TyLeTangCa[Giờ min]&lt;=$AA24) *
(Table_BangLuong_TyLeTangCa[Giờ max]&gt;$AA24)
)))),
IF(AU$4 &gt; AU$5,
IF(
AND(
$AA24-$Z$4&lt;MAX(AU$4,VLOOKUP(AU$6, Table_ChiPhiNV_Ca[], COUNTA(Table_ChiPhiNV_Ca[[#Headers],[Ca]:[Bắt đầu]]),0)),
$AA24&gt;MIN(AU$5,VLOOKUP(AU$6, Table_ChiPhiNV_Ca[], COUNTA(Table_ChiPhiNV_Ca[[#Headers],[Ca]:[Kết thúc]]),0))),0,
SUM(_xlfn._xlws.FILTER(Table_BangLuong_TyLeTangCa[Tỷ lệ],
(Table_BangLuong_TyLeTangCa[Ngày] = "Thường") *
(Table_BangLuong_TyLeTangCa[Giờ min]&lt;=$AA24) *
(Table_BangLuong_TyLeTangCa[Giờ max]&gt;$AA24)
))),
IF(
AND(
$AA24-$Z$4&gt;=MAX(AU$4,VLOOKUP(AU$6, Table_ChiPhiNV_Ca[], COUNTA(Table_ChiPhiNV_Ca[[#Headers],[Ca]:[Bắt đầu]]),0)),
$AA24&lt;MIN(AU$5,VLOOKUP(AU$6, Table_ChiPhiNV_Ca[], COUNTA(Table_ChiPhiNV_Ca[[#Headers],[Ca]:[Kết thúc]]),0))),
SUM(_xlfn._xlws.FILTER(Table_BangLuong_TyLeTangCa[Tỷ lệ],
(Table_BangLuong_TyLeTangCa[Ngày] = "Thường") *
(Table_BangLuong_TyLeTangCa[Giờ min]&lt;=$AA24) *
(Table_BangLuong_TyLeTangCa[Giờ max]&gt;$AA24)
)),0)
)),
IF(AU$4 &lt; AU$5,
IF($AA24-$Z$4&lt;AU$4,0,
IF($AA24&gt;AU$5,0,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AU$5,$AA24 &lt; AU$4),0,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V24" s="18" cm="1">
        <f t="array" ref="AV24" xml:space="preserve">
IFERROR(
IF(AV$1="",0,
IF(AND(
$AA24&gt;=VLOOKUP(AV$6, Table_ChiPhiNV_Ca[], COUNTA(Table_ChiPhiNV_Ca[[#Headers],[Ca]:[Bắt đầu nghỉ]]),0),
$AA24&lt;VLOOKUP(AV$6, Table_ChiPhiNV_Ca[], COUNTA(Table_ChiPhiNV_Ca[[#Headers],[Ca]:[Kết thúc nghỉ]]),0)
),0,
IF(NOT(ISBLANK(AV$3)),
IF(ISBLANK(AV$7),0,
IF(AV$4 &lt; AV$5,
IF($AA24-$Z$4&lt;AV$4,0,
IF($AA24&gt;AV$5,0,
SUM(_xlfn._xlws.FILTER(Table_BangLuong_TyLeTangCa[Tỷ lệ],
(Table_BangLuong_TyLeTangCa[Ngày] = AV$3) *
(Table_BangLuong_TyLeTangCa[Giờ min]&lt;=$AA24) *
(Table_BangLuong_TyLeTangCa[Giờ max]&gt;$AA24)
)))),
IF(AND($AA24-$Z$4 &gt;= AV$5,$AA24 &lt; AV$4),0,
SUM(_xlfn._xlws.FILTER(Table_BangLuong_TyLeTangCa[Tỷ lệ],
(Table_BangLuong_TyLeTangCa[Ngày] = AV$3) *
(Table_BangLuong_TyLeTangCa[Giờ min]&lt;=$AA24) *
(Table_BangLuong_TyLeTangCa[Giờ max]&gt;$AA24)
))))
),
IF(ISBLANK(AV$7),
IF(VLOOKUP(AV$6, Table_ChiPhiNV_Ca[], COUNTA(Table_ChiPhiNV_Ca[[#Headers],[Ca]:[Kết thúc]]),0)&gt; VLOOKUP(AV$6, Table_ChiPhiNV_Ca[], COUNTA(Table_ChiPhiNV_Ca[[#Headers],[Ca]:[Bắt đầu]]),0),
IF($AA24-$Z$4&lt;MAX(AV$4,VLOOKUP(AV$6, Table_ChiPhiNV_Ca[], COUNTA(Table_ChiPhiNV_Ca[[#Headers],[Ca]:[Bắt đầu]]),0)),0,
IF($AA24&gt;MIN(AV$5,VLOOKUP(AV$6, Table_ChiPhiNV_Ca[], COUNTA(Table_ChiPhiNV_Ca[[#Headers],[Ca]:[Kết thúc]]),0)),0,
SUM(_xlfn._xlws.FILTER(Table_BangLuong_TyLeTangCa[Tỷ lệ],
(Table_BangLuong_TyLeTangCa[Ngày] = "Thường") *
(Table_BangLuong_TyLeTangCa[Giờ min]&lt;=$AA24) *
(Table_BangLuong_TyLeTangCa[Giờ max]&gt;$AA24)
)))),
IF(AV$4 &gt; AV$5,
IF(
AND(
$AA24-$Z$4&lt;MAX(AV$4,VLOOKUP(AV$6, Table_ChiPhiNV_Ca[], COUNTA(Table_ChiPhiNV_Ca[[#Headers],[Ca]:[Bắt đầu]]),0)),
$AA24&gt;MIN(AV$5,VLOOKUP(AV$6, Table_ChiPhiNV_Ca[], COUNTA(Table_ChiPhiNV_Ca[[#Headers],[Ca]:[Kết thúc]]),0))),0,
SUM(_xlfn._xlws.FILTER(Table_BangLuong_TyLeTangCa[Tỷ lệ],
(Table_BangLuong_TyLeTangCa[Ngày] = "Thường") *
(Table_BangLuong_TyLeTangCa[Giờ min]&lt;=$AA24) *
(Table_BangLuong_TyLeTangCa[Giờ max]&gt;$AA24)
))),
IF(
AND(
$AA24-$Z$4&gt;=MAX(AV$4,VLOOKUP(AV$6, Table_ChiPhiNV_Ca[], COUNTA(Table_ChiPhiNV_Ca[[#Headers],[Ca]:[Bắt đầu]]),0)),
$AA24&lt;MIN(AV$5,VLOOKUP(AV$6, Table_ChiPhiNV_Ca[], COUNTA(Table_ChiPhiNV_Ca[[#Headers],[Ca]:[Kết thúc]]),0))),
SUM(_xlfn._xlws.FILTER(Table_BangLuong_TyLeTangCa[Tỷ lệ],
(Table_BangLuong_TyLeTangCa[Ngày] = "Thường") *
(Table_BangLuong_TyLeTangCa[Giờ min]&lt;=$AA24) *
(Table_BangLuong_TyLeTangCa[Giờ max]&gt;$AA24)
)),0)
)),
IF(AV$4 &lt; AV$5,
IF($AA24-$Z$4&lt;AV$4,0,
IF($AA24&gt;AV$5,0,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AV$5,$AA24 &lt; AV$4),0,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W24" s="18" cm="1">
        <f t="array" ref="AW24" xml:space="preserve">
IFERROR(
IF(AW$1="",0,
IF(AND(
$AA24&gt;=VLOOKUP(AW$6, Table_ChiPhiNV_Ca[], COUNTA(Table_ChiPhiNV_Ca[[#Headers],[Ca]:[Bắt đầu nghỉ]]),0),
$AA24&lt;VLOOKUP(AW$6, Table_ChiPhiNV_Ca[], COUNTA(Table_ChiPhiNV_Ca[[#Headers],[Ca]:[Kết thúc nghỉ]]),0)
),0,
IF(NOT(ISBLANK(AW$3)),
IF(ISBLANK(AW$7),0,
IF(AW$4 &lt; AW$5,
IF($AA24-$Z$4&lt;AW$4,0,
IF($AA24&gt;AW$5,0,
SUM(_xlfn._xlws.FILTER(Table_BangLuong_TyLeTangCa[Tỷ lệ],
(Table_BangLuong_TyLeTangCa[Ngày] = AW$3) *
(Table_BangLuong_TyLeTangCa[Giờ min]&lt;=$AA24) *
(Table_BangLuong_TyLeTangCa[Giờ max]&gt;$AA24)
)))),
IF(AND($AA24-$Z$4 &gt;= AW$5,$AA24 &lt; AW$4),0,
SUM(_xlfn._xlws.FILTER(Table_BangLuong_TyLeTangCa[Tỷ lệ],
(Table_BangLuong_TyLeTangCa[Ngày] = AW$3) *
(Table_BangLuong_TyLeTangCa[Giờ min]&lt;=$AA24) *
(Table_BangLuong_TyLeTangCa[Giờ max]&gt;$AA24)
))))
),
IF(ISBLANK(AW$7),
IF(VLOOKUP(AW$6, Table_ChiPhiNV_Ca[], COUNTA(Table_ChiPhiNV_Ca[[#Headers],[Ca]:[Kết thúc]]),0)&gt; VLOOKUP(AW$6, Table_ChiPhiNV_Ca[], COUNTA(Table_ChiPhiNV_Ca[[#Headers],[Ca]:[Bắt đầu]]),0),
IF($AA24-$Z$4&lt;MAX(AW$4,VLOOKUP(AW$6, Table_ChiPhiNV_Ca[], COUNTA(Table_ChiPhiNV_Ca[[#Headers],[Ca]:[Bắt đầu]]),0)),0,
IF($AA24&gt;MIN(AW$5,VLOOKUP(AW$6, Table_ChiPhiNV_Ca[], COUNTA(Table_ChiPhiNV_Ca[[#Headers],[Ca]:[Kết thúc]]),0)),0,
SUM(_xlfn._xlws.FILTER(Table_BangLuong_TyLeTangCa[Tỷ lệ],
(Table_BangLuong_TyLeTangCa[Ngày] = "Thường") *
(Table_BangLuong_TyLeTangCa[Giờ min]&lt;=$AA24) *
(Table_BangLuong_TyLeTangCa[Giờ max]&gt;$AA24)
)))),
IF(AW$4 &gt; AW$5,
IF(
AND(
$AA24-$Z$4&lt;MAX(AW$4,VLOOKUP(AW$6, Table_ChiPhiNV_Ca[], COUNTA(Table_ChiPhiNV_Ca[[#Headers],[Ca]:[Bắt đầu]]),0)),
$AA24&gt;MIN(AW$5,VLOOKUP(AW$6, Table_ChiPhiNV_Ca[], COUNTA(Table_ChiPhiNV_Ca[[#Headers],[Ca]:[Kết thúc]]),0))),0,
SUM(_xlfn._xlws.FILTER(Table_BangLuong_TyLeTangCa[Tỷ lệ],
(Table_BangLuong_TyLeTangCa[Ngày] = "Thường") *
(Table_BangLuong_TyLeTangCa[Giờ min]&lt;=$AA24) *
(Table_BangLuong_TyLeTangCa[Giờ max]&gt;$AA24)
))),
IF(
AND(
$AA24-$Z$4&gt;=MAX(AW$4,VLOOKUP(AW$6, Table_ChiPhiNV_Ca[], COUNTA(Table_ChiPhiNV_Ca[[#Headers],[Ca]:[Bắt đầu]]),0)),
$AA24&lt;MIN(AW$5,VLOOKUP(AW$6, Table_ChiPhiNV_Ca[], COUNTA(Table_ChiPhiNV_Ca[[#Headers],[Ca]:[Kết thúc]]),0))),
SUM(_xlfn._xlws.FILTER(Table_BangLuong_TyLeTangCa[Tỷ lệ],
(Table_BangLuong_TyLeTangCa[Ngày] = "Thường") *
(Table_BangLuong_TyLeTangCa[Giờ min]&lt;=$AA24) *
(Table_BangLuong_TyLeTangCa[Giờ max]&gt;$AA24)
)),0)
)),
IF(AW$4 &lt; AW$5,
IF($AA24-$Z$4&lt;AW$4,0,
IF($AA24&gt;AW$5,0,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AW$5,$AA24 &lt; AW$4),0,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X24" s="18" cm="1">
        <f t="array" ref="AX24" xml:space="preserve">
IFERROR(
IF(AX$1="",0,
IF(AND(
$AA24&gt;=VLOOKUP(AX$6, Table_ChiPhiNV_Ca[], COUNTA(Table_ChiPhiNV_Ca[[#Headers],[Ca]:[Bắt đầu nghỉ]]),0),
$AA24&lt;VLOOKUP(AX$6, Table_ChiPhiNV_Ca[], COUNTA(Table_ChiPhiNV_Ca[[#Headers],[Ca]:[Kết thúc nghỉ]]),0)
),0,
IF(NOT(ISBLANK(AX$3)),
IF(ISBLANK(AX$7),0,
IF(AX$4 &lt; AX$5,
IF($AA24-$Z$4&lt;AX$4,0,
IF($AA24&gt;AX$5,0,
SUM(_xlfn._xlws.FILTER(Table_BangLuong_TyLeTangCa[Tỷ lệ],
(Table_BangLuong_TyLeTangCa[Ngày] = AX$3) *
(Table_BangLuong_TyLeTangCa[Giờ min]&lt;=$AA24) *
(Table_BangLuong_TyLeTangCa[Giờ max]&gt;$AA24)
)))),
IF(AND($AA24-$Z$4 &gt;= AX$5,$AA24 &lt; AX$4),0,
SUM(_xlfn._xlws.FILTER(Table_BangLuong_TyLeTangCa[Tỷ lệ],
(Table_BangLuong_TyLeTangCa[Ngày] = AX$3) *
(Table_BangLuong_TyLeTangCa[Giờ min]&lt;=$AA24) *
(Table_BangLuong_TyLeTangCa[Giờ max]&gt;$AA24)
))))
),
IF(ISBLANK(AX$7),
IF(VLOOKUP(AX$6, Table_ChiPhiNV_Ca[], COUNTA(Table_ChiPhiNV_Ca[[#Headers],[Ca]:[Kết thúc]]),0)&gt; VLOOKUP(AX$6, Table_ChiPhiNV_Ca[], COUNTA(Table_ChiPhiNV_Ca[[#Headers],[Ca]:[Bắt đầu]]),0),
IF($AA24-$Z$4&lt;MAX(AX$4,VLOOKUP(AX$6, Table_ChiPhiNV_Ca[], COUNTA(Table_ChiPhiNV_Ca[[#Headers],[Ca]:[Bắt đầu]]),0)),0,
IF($AA24&gt;MIN(AX$5,VLOOKUP(AX$6, Table_ChiPhiNV_Ca[], COUNTA(Table_ChiPhiNV_Ca[[#Headers],[Ca]:[Kết thúc]]),0)),0,
SUM(_xlfn._xlws.FILTER(Table_BangLuong_TyLeTangCa[Tỷ lệ],
(Table_BangLuong_TyLeTangCa[Ngày] = "Thường") *
(Table_BangLuong_TyLeTangCa[Giờ min]&lt;=$AA24) *
(Table_BangLuong_TyLeTangCa[Giờ max]&gt;$AA24)
)))),
IF(AX$4 &gt; AX$5,
IF(
AND(
$AA24-$Z$4&lt;MAX(AX$4,VLOOKUP(AX$6, Table_ChiPhiNV_Ca[], COUNTA(Table_ChiPhiNV_Ca[[#Headers],[Ca]:[Bắt đầu]]),0)),
$AA24&gt;MIN(AX$5,VLOOKUP(AX$6, Table_ChiPhiNV_Ca[], COUNTA(Table_ChiPhiNV_Ca[[#Headers],[Ca]:[Kết thúc]]),0))),0,
SUM(_xlfn._xlws.FILTER(Table_BangLuong_TyLeTangCa[Tỷ lệ],
(Table_BangLuong_TyLeTangCa[Ngày] = "Thường") *
(Table_BangLuong_TyLeTangCa[Giờ min]&lt;=$AA24) *
(Table_BangLuong_TyLeTangCa[Giờ max]&gt;$AA24)
))),
IF(
AND(
$AA24-$Z$4&gt;=MAX(AX$4,VLOOKUP(AX$6, Table_ChiPhiNV_Ca[], COUNTA(Table_ChiPhiNV_Ca[[#Headers],[Ca]:[Bắt đầu]]),0)),
$AA24&lt;MIN(AX$5,VLOOKUP(AX$6, Table_ChiPhiNV_Ca[], COUNTA(Table_ChiPhiNV_Ca[[#Headers],[Ca]:[Kết thúc]]),0))),
SUM(_xlfn._xlws.FILTER(Table_BangLuong_TyLeTangCa[Tỷ lệ],
(Table_BangLuong_TyLeTangCa[Ngày] = "Thường") *
(Table_BangLuong_TyLeTangCa[Giờ min]&lt;=$AA24) *
(Table_BangLuong_TyLeTangCa[Giờ max]&gt;$AA24)
)),0)
)),
IF(AX$4 &lt; AX$5,
IF($AA24-$Z$4&lt;AX$4,0,
IF($AA24&gt;AX$5,0,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AX$5,$AA24 &lt; AX$4),0,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Y24" s="18" cm="1">
        <f t="array" ref="AY24" xml:space="preserve">
IFERROR(
IF(AY$1="",0,
IF(AND(
$AA24&gt;=VLOOKUP(AY$6, Table_ChiPhiNV_Ca[], COUNTA(Table_ChiPhiNV_Ca[[#Headers],[Ca]:[Bắt đầu nghỉ]]),0),
$AA24&lt;VLOOKUP(AY$6, Table_ChiPhiNV_Ca[], COUNTA(Table_ChiPhiNV_Ca[[#Headers],[Ca]:[Kết thúc nghỉ]]),0)
),0,
IF(NOT(ISBLANK(AY$3)),
IF(ISBLANK(AY$7),0,
IF(AY$4 &lt; AY$5,
IF($AA24-$Z$4&lt;AY$4,0,
IF($AA24&gt;AY$5,0,
SUM(_xlfn._xlws.FILTER(Table_BangLuong_TyLeTangCa[Tỷ lệ],
(Table_BangLuong_TyLeTangCa[Ngày] = AY$3) *
(Table_BangLuong_TyLeTangCa[Giờ min]&lt;=$AA24) *
(Table_BangLuong_TyLeTangCa[Giờ max]&gt;$AA24)
)))),
IF(AND($AA24-$Z$4 &gt;= AY$5,$AA24 &lt; AY$4),0,
SUM(_xlfn._xlws.FILTER(Table_BangLuong_TyLeTangCa[Tỷ lệ],
(Table_BangLuong_TyLeTangCa[Ngày] = AY$3) *
(Table_BangLuong_TyLeTangCa[Giờ min]&lt;=$AA24) *
(Table_BangLuong_TyLeTangCa[Giờ max]&gt;$AA24)
))))
),
IF(ISBLANK(AY$7),
IF(VLOOKUP(AY$6, Table_ChiPhiNV_Ca[], COUNTA(Table_ChiPhiNV_Ca[[#Headers],[Ca]:[Kết thúc]]),0)&gt; VLOOKUP(AY$6, Table_ChiPhiNV_Ca[], COUNTA(Table_ChiPhiNV_Ca[[#Headers],[Ca]:[Bắt đầu]]),0),
IF($AA24-$Z$4&lt;MAX(AY$4,VLOOKUP(AY$6, Table_ChiPhiNV_Ca[], COUNTA(Table_ChiPhiNV_Ca[[#Headers],[Ca]:[Bắt đầu]]),0)),0,
IF($AA24&gt;MIN(AY$5,VLOOKUP(AY$6, Table_ChiPhiNV_Ca[], COUNTA(Table_ChiPhiNV_Ca[[#Headers],[Ca]:[Kết thúc]]),0)),0,
SUM(_xlfn._xlws.FILTER(Table_BangLuong_TyLeTangCa[Tỷ lệ],
(Table_BangLuong_TyLeTangCa[Ngày] = "Thường") *
(Table_BangLuong_TyLeTangCa[Giờ min]&lt;=$AA24) *
(Table_BangLuong_TyLeTangCa[Giờ max]&gt;$AA24)
)))),
IF(AY$4 &gt; AY$5,
IF(
AND(
$AA24-$Z$4&lt;MAX(AY$4,VLOOKUP(AY$6, Table_ChiPhiNV_Ca[], COUNTA(Table_ChiPhiNV_Ca[[#Headers],[Ca]:[Bắt đầu]]),0)),
$AA24&gt;MIN(AY$5,VLOOKUP(AY$6, Table_ChiPhiNV_Ca[], COUNTA(Table_ChiPhiNV_Ca[[#Headers],[Ca]:[Kết thúc]]),0))),0,
SUM(_xlfn._xlws.FILTER(Table_BangLuong_TyLeTangCa[Tỷ lệ],
(Table_BangLuong_TyLeTangCa[Ngày] = "Thường") *
(Table_BangLuong_TyLeTangCa[Giờ min]&lt;=$AA24) *
(Table_BangLuong_TyLeTangCa[Giờ max]&gt;$AA24)
))),
IF(
AND(
$AA24-$Z$4&gt;=MAX(AY$4,VLOOKUP(AY$6, Table_ChiPhiNV_Ca[], COUNTA(Table_ChiPhiNV_Ca[[#Headers],[Ca]:[Bắt đầu]]),0)),
$AA24&lt;MIN(AY$5,VLOOKUP(AY$6, Table_ChiPhiNV_Ca[], COUNTA(Table_ChiPhiNV_Ca[[#Headers],[Ca]:[Kết thúc]]),0))),
SUM(_xlfn._xlws.FILTER(Table_BangLuong_TyLeTangCa[Tỷ lệ],
(Table_BangLuong_TyLeTangCa[Ngày] = "Thường") *
(Table_BangLuong_TyLeTangCa[Giờ min]&lt;=$AA24) *
(Table_BangLuong_TyLeTangCa[Giờ max]&gt;$AA24)
)),0)
)),
IF(AY$4 &lt; AY$5,
IF($AA24-$Z$4&lt;AY$4,0,
IF($AA24&gt;AY$5,0,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AY$5,$AA24 &lt; AY$4),0,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Z24" s="18" cm="1">
        <f t="array" ref="AZ24" xml:space="preserve">
IFERROR(
IF(AZ$1="",0,
IF(AND(
$AA24&gt;=VLOOKUP(AZ$6, Table_ChiPhiNV_Ca[], COUNTA(Table_ChiPhiNV_Ca[[#Headers],[Ca]:[Bắt đầu nghỉ]]),0),
$AA24&lt;VLOOKUP(AZ$6, Table_ChiPhiNV_Ca[], COUNTA(Table_ChiPhiNV_Ca[[#Headers],[Ca]:[Kết thúc nghỉ]]),0)
),0,
IF(NOT(ISBLANK(AZ$3)),
IF(ISBLANK(AZ$7),0,
IF(AZ$4 &lt; AZ$5,
IF($AA24-$Z$4&lt;AZ$4,0,
IF($AA24&gt;AZ$5,0,
SUM(_xlfn._xlws.FILTER(Table_BangLuong_TyLeTangCa[Tỷ lệ],
(Table_BangLuong_TyLeTangCa[Ngày] = AZ$3) *
(Table_BangLuong_TyLeTangCa[Giờ min]&lt;=$AA24) *
(Table_BangLuong_TyLeTangCa[Giờ max]&gt;$AA24)
)))),
IF(AND($AA24-$Z$4 &gt;= AZ$5,$AA24 &lt; AZ$4),0,
SUM(_xlfn._xlws.FILTER(Table_BangLuong_TyLeTangCa[Tỷ lệ],
(Table_BangLuong_TyLeTangCa[Ngày] = AZ$3) *
(Table_BangLuong_TyLeTangCa[Giờ min]&lt;=$AA24) *
(Table_BangLuong_TyLeTangCa[Giờ max]&gt;$AA24)
))))
),
IF(ISBLANK(AZ$7),
IF(VLOOKUP(AZ$6, Table_ChiPhiNV_Ca[], COUNTA(Table_ChiPhiNV_Ca[[#Headers],[Ca]:[Kết thúc]]),0)&gt; VLOOKUP(AZ$6, Table_ChiPhiNV_Ca[], COUNTA(Table_ChiPhiNV_Ca[[#Headers],[Ca]:[Bắt đầu]]),0),
IF($AA24-$Z$4&lt;MAX(AZ$4,VLOOKUP(AZ$6, Table_ChiPhiNV_Ca[], COUNTA(Table_ChiPhiNV_Ca[[#Headers],[Ca]:[Bắt đầu]]),0)),0,
IF($AA24&gt;MIN(AZ$5,VLOOKUP(AZ$6, Table_ChiPhiNV_Ca[], COUNTA(Table_ChiPhiNV_Ca[[#Headers],[Ca]:[Kết thúc]]),0)),0,
SUM(_xlfn._xlws.FILTER(Table_BangLuong_TyLeTangCa[Tỷ lệ],
(Table_BangLuong_TyLeTangCa[Ngày] = "Thường") *
(Table_BangLuong_TyLeTangCa[Giờ min]&lt;=$AA24) *
(Table_BangLuong_TyLeTangCa[Giờ max]&gt;$AA24)
)))),
IF(AZ$4 &gt; AZ$5,
IF(
AND(
$AA24-$Z$4&lt;MAX(AZ$4,VLOOKUP(AZ$6, Table_ChiPhiNV_Ca[], COUNTA(Table_ChiPhiNV_Ca[[#Headers],[Ca]:[Bắt đầu]]),0)),
$AA24&gt;MIN(AZ$5,VLOOKUP(AZ$6, Table_ChiPhiNV_Ca[], COUNTA(Table_ChiPhiNV_Ca[[#Headers],[Ca]:[Kết thúc]]),0))),0,
SUM(_xlfn._xlws.FILTER(Table_BangLuong_TyLeTangCa[Tỷ lệ],
(Table_BangLuong_TyLeTangCa[Ngày] = "Thường") *
(Table_BangLuong_TyLeTangCa[Giờ min]&lt;=$AA24) *
(Table_BangLuong_TyLeTangCa[Giờ max]&gt;$AA24)
))),
IF(
AND(
$AA24-$Z$4&gt;=MAX(AZ$4,VLOOKUP(AZ$6, Table_ChiPhiNV_Ca[], COUNTA(Table_ChiPhiNV_Ca[[#Headers],[Ca]:[Bắt đầu]]),0)),
$AA24&lt;MIN(AZ$5,VLOOKUP(AZ$6, Table_ChiPhiNV_Ca[], COUNTA(Table_ChiPhiNV_Ca[[#Headers],[Ca]:[Kết thúc]]),0))),
SUM(_xlfn._xlws.FILTER(Table_BangLuong_TyLeTangCa[Tỷ lệ],
(Table_BangLuong_TyLeTangCa[Ngày] = "Thường") *
(Table_BangLuong_TyLeTangCa[Giờ min]&lt;=$AA24) *
(Table_BangLuong_TyLeTangCa[Giờ max]&gt;$AA24)
)),0)
)),
IF(AZ$4 &lt; AZ$5,
IF($AA24-$Z$4&lt;AZ$4,0,
IF($AA24&gt;AZ$5,0,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AZ$5,$AA24 &lt; AZ$4),0,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A24" s="18" cm="1">
        <f t="array" ref="BA24" xml:space="preserve">
IFERROR(
IF(BA$1="",0,
IF(AND(
$AA24&gt;=VLOOKUP(BA$6, Table_ChiPhiNV_Ca[], COUNTA(Table_ChiPhiNV_Ca[[#Headers],[Ca]:[Bắt đầu nghỉ]]),0),
$AA24&lt;VLOOKUP(BA$6, Table_ChiPhiNV_Ca[], COUNTA(Table_ChiPhiNV_Ca[[#Headers],[Ca]:[Kết thúc nghỉ]]),0)
),0,
IF(NOT(ISBLANK(BA$3)),
IF(ISBLANK(BA$7),0,
IF(BA$4 &lt; BA$5,
IF($AA24-$Z$4&lt;BA$4,0,
IF($AA24&gt;BA$5,0,
SUM(_xlfn._xlws.FILTER(Table_BangLuong_TyLeTangCa[Tỷ lệ],
(Table_BangLuong_TyLeTangCa[Ngày] = BA$3) *
(Table_BangLuong_TyLeTangCa[Giờ min]&lt;=$AA24) *
(Table_BangLuong_TyLeTangCa[Giờ max]&gt;$AA24)
)))),
IF(AND($AA24-$Z$4 &gt;= BA$5,$AA24 &lt; BA$4),0,
SUM(_xlfn._xlws.FILTER(Table_BangLuong_TyLeTangCa[Tỷ lệ],
(Table_BangLuong_TyLeTangCa[Ngày] = BA$3) *
(Table_BangLuong_TyLeTangCa[Giờ min]&lt;=$AA24) *
(Table_BangLuong_TyLeTangCa[Giờ max]&gt;$AA24)
))))
),
IF(ISBLANK(BA$7),
IF(VLOOKUP(BA$6, Table_ChiPhiNV_Ca[], COUNTA(Table_ChiPhiNV_Ca[[#Headers],[Ca]:[Kết thúc]]),0)&gt; VLOOKUP(BA$6, Table_ChiPhiNV_Ca[], COUNTA(Table_ChiPhiNV_Ca[[#Headers],[Ca]:[Bắt đầu]]),0),
IF($AA24-$Z$4&lt;MAX(BA$4,VLOOKUP(BA$6, Table_ChiPhiNV_Ca[], COUNTA(Table_ChiPhiNV_Ca[[#Headers],[Ca]:[Bắt đầu]]),0)),0,
IF($AA24&gt;MIN(BA$5,VLOOKUP(BA$6, Table_ChiPhiNV_Ca[], COUNTA(Table_ChiPhiNV_Ca[[#Headers],[Ca]:[Kết thúc]]),0)),0,
SUM(_xlfn._xlws.FILTER(Table_BangLuong_TyLeTangCa[Tỷ lệ],
(Table_BangLuong_TyLeTangCa[Ngày] = "Thường") *
(Table_BangLuong_TyLeTangCa[Giờ min]&lt;=$AA24) *
(Table_BangLuong_TyLeTangCa[Giờ max]&gt;$AA24)
)))),
IF(BA$4 &gt; BA$5,
IF(
AND(
$AA24-$Z$4&lt;MAX(BA$4,VLOOKUP(BA$6, Table_ChiPhiNV_Ca[], COUNTA(Table_ChiPhiNV_Ca[[#Headers],[Ca]:[Bắt đầu]]),0)),
$AA24&gt;MIN(BA$5,VLOOKUP(BA$6, Table_ChiPhiNV_Ca[], COUNTA(Table_ChiPhiNV_Ca[[#Headers],[Ca]:[Kết thúc]]),0))),0,
SUM(_xlfn._xlws.FILTER(Table_BangLuong_TyLeTangCa[Tỷ lệ],
(Table_BangLuong_TyLeTangCa[Ngày] = "Thường") *
(Table_BangLuong_TyLeTangCa[Giờ min]&lt;=$AA24) *
(Table_BangLuong_TyLeTangCa[Giờ max]&gt;$AA24)
))),
IF(
AND(
$AA24-$Z$4&gt;=MAX(BA$4,VLOOKUP(BA$6, Table_ChiPhiNV_Ca[], COUNTA(Table_ChiPhiNV_Ca[[#Headers],[Ca]:[Bắt đầu]]),0)),
$AA24&lt;MIN(BA$5,VLOOKUP(BA$6, Table_ChiPhiNV_Ca[], COUNTA(Table_ChiPhiNV_Ca[[#Headers],[Ca]:[Kết thúc]]),0))),
SUM(_xlfn._xlws.FILTER(Table_BangLuong_TyLeTangCa[Tỷ lệ],
(Table_BangLuong_TyLeTangCa[Ngày] = "Thường") *
(Table_BangLuong_TyLeTangCa[Giờ min]&lt;=$AA24) *
(Table_BangLuong_TyLeTangCa[Giờ max]&gt;$AA24)
)),0)
)),
IF(BA$4 &lt; BA$5,
IF($AA24-$Z$4&lt;BA$4,0,
IF($AA24&gt;BA$5,0,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BA$5,$AA24 &lt; BA$4),0,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B24" s="18" cm="1">
        <f t="array" ref="BB24" xml:space="preserve">
IFERROR(
IF(BB$1="",0,
IF(AND(
$AA24&gt;=VLOOKUP(BB$6, Table_ChiPhiNV_Ca[], COUNTA(Table_ChiPhiNV_Ca[[#Headers],[Ca]:[Bắt đầu nghỉ]]),0),
$AA24&lt;VLOOKUP(BB$6, Table_ChiPhiNV_Ca[], COUNTA(Table_ChiPhiNV_Ca[[#Headers],[Ca]:[Kết thúc nghỉ]]),0)
),0,
IF(NOT(ISBLANK(BB$3)),
IF(ISBLANK(BB$7),0,
IF(BB$4 &lt; BB$5,
IF($AA24-$Z$4&lt;BB$4,0,
IF($AA24&gt;BB$5,0,
SUM(_xlfn._xlws.FILTER(Table_BangLuong_TyLeTangCa[Tỷ lệ],
(Table_BangLuong_TyLeTangCa[Ngày] = BB$3) *
(Table_BangLuong_TyLeTangCa[Giờ min]&lt;=$AA24) *
(Table_BangLuong_TyLeTangCa[Giờ max]&gt;$AA24)
)))),
IF(AND($AA24-$Z$4 &gt;= BB$5,$AA24 &lt; BB$4),0,
SUM(_xlfn._xlws.FILTER(Table_BangLuong_TyLeTangCa[Tỷ lệ],
(Table_BangLuong_TyLeTangCa[Ngày] = BB$3) *
(Table_BangLuong_TyLeTangCa[Giờ min]&lt;=$AA24) *
(Table_BangLuong_TyLeTangCa[Giờ max]&gt;$AA24)
))))
),
IF(ISBLANK(BB$7),
IF(VLOOKUP(BB$6, Table_ChiPhiNV_Ca[], COUNTA(Table_ChiPhiNV_Ca[[#Headers],[Ca]:[Kết thúc]]),0)&gt; VLOOKUP(BB$6, Table_ChiPhiNV_Ca[], COUNTA(Table_ChiPhiNV_Ca[[#Headers],[Ca]:[Bắt đầu]]),0),
IF($AA24-$Z$4&lt;MAX(BB$4,VLOOKUP(BB$6, Table_ChiPhiNV_Ca[], COUNTA(Table_ChiPhiNV_Ca[[#Headers],[Ca]:[Bắt đầu]]),0)),0,
IF($AA24&gt;MIN(BB$5,VLOOKUP(BB$6, Table_ChiPhiNV_Ca[], COUNTA(Table_ChiPhiNV_Ca[[#Headers],[Ca]:[Kết thúc]]),0)),0,
SUM(_xlfn._xlws.FILTER(Table_BangLuong_TyLeTangCa[Tỷ lệ],
(Table_BangLuong_TyLeTangCa[Ngày] = "Thường") *
(Table_BangLuong_TyLeTangCa[Giờ min]&lt;=$AA24) *
(Table_BangLuong_TyLeTangCa[Giờ max]&gt;$AA24)
)))),
IF(BB$4 &gt; BB$5,
IF(
AND(
$AA24-$Z$4&lt;MAX(BB$4,VLOOKUP(BB$6, Table_ChiPhiNV_Ca[], COUNTA(Table_ChiPhiNV_Ca[[#Headers],[Ca]:[Bắt đầu]]),0)),
$AA24&gt;MIN(BB$5,VLOOKUP(BB$6, Table_ChiPhiNV_Ca[], COUNTA(Table_ChiPhiNV_Ca[[#Headers],[Ca]:[Kết thúc]]),0))),0,
SUM(_xlfn._xlws.FILTER(Table_BangLuong_TyLeTangCa[Tỷ lệ],
(Table_BangLuong_TyLeTangCa[Ngày] = "Thường") *
(Table_BangLuong_TyLeTangCa[Giờ min]&lt;=$AA24) *
(Table_BangLuong_TyLeTangCa[Giờ max]&gt;$AA24)
))),
IF(
AND(
$AA24-$Z$4&gt;=MAX(BB$4,VLOOKUP(BB$6, Table_ChiPhiNV_Ca[], COUNTA(Table_ChiPhiNV_Ca[[#Headers],[Ca]:[Bắt đầu]]),0)),
$AA24&lt;MIN(BB$5,VLOOKUP(BB$6, Table_ChiPhiNV_Ca[], COUNTA(Table_ChiPhiNV_Ca[[#Headers],[Ca]:[Kết thúc]]),0))),
SUM(_xlfn._xlws.FILTER(Table_BangLuong_TyLeTangCa[Tỷ lệ],
(Table_BangLuong_TyLeTangCa[Ngày] = "Thường") *
(Table_BangLuong_TyLeTangCa[Giờ min]&lt;=$AA24) *
(Table_BangLuong_TyLeTangCa[Giờ max]&gt;$AA24)
)),0)
)),
IF(BB$4 &lt; BB$5,
IF($AA24-$Z$4&lt;BB$4,0,
IF($AA24&gt;BB$5,0,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BB$5,$AA24 &lt; BB$4),0,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C24" s="18" cm="1">
        <f t="array" ref="BC24" xml:space="preserve">
IFERROR(
IF(BC$1="",0,
IF(AND(
$AA24&gt;=VLOOKUP(BC$6, Table_ChiPhiNV_Ca[], COUNTA(Table_ChiPhiNV_Ca[[#Headers],[Ca]:[Bắt đầu nghỉ]]),0),
$AA24&lt;VLOOKUP(BC$6, Table_ChiPhiNV_Ca[], COUNTA(Table_ChiPhiNV_Ca[[#Headers],[Ca]:[Kết thúc nghỉ]]),0)
),0,
IF(NOT(ISBLANK(BC$3)),
IF(ISBLANK(BC$7),0,
IF(BC$4 &lt; BC$5,
IF($AA24-$Z$4&lt;BC$4,0,
IF($AA24&gt;BC$5,0,
SUM(_xlfn._xlws.FILTER(Table_BangLuong_TyLeTangCa[Tỷ lệ],
(Table_BangLuong_TyLeTangCa[Ngày] = BC$3) *
(Table_BangLuong_TyLeTangCa[Giờ min]&lt;=$AA24) *
(Table_BangLuong_TyLeTangCa[Giờ max]&gt;$AA24)
)))),
IF(AND($AA24-$Z$4 &gt;= BC$5,$AA24 &lt; BC$4),0,
SUM(_xlfn._xlws.FILTER(Table_BangLuong_TyLeTangCa[Tỷ lệ],
(Table_BangLuong_TyLeTangCa[Ngày] = BC$3) *
(Table_BangLuong_TyLeTangCa[Giờ min]&lt;=$AA24) *
(Table_BangLuong_TyLeTangCa[Giờ max]&gt;$AA24)
))))
),
IF(ISBLANK(BC$7),
IF(VLOOKUP(BC$6, Table_ChiPhiNV_Ca[], COUNTA(Table_ChiPhiNV_Ca[[#Headers],[Ca]:[Kết thúc]]),0)&gt; VLOOKUP(BC$6, Table_ChiPhiNV_Ca[], COUNTA(Table_ChiPhiNV_Ca[[#Headers],[Ca]:[Bắt đầu]]),0),
IF($AA24-$Z$4&lt;MAX(BC$4,VLOOKUP(BC$6, Table_ChiPhiNV_Ca[], COUNTA(Table_ChiPhiNV_Ca[[#Headers],[Ca]:[Bắt đầu]]),0)),0,
IF($AA24&gt;MIN(BC$5,VLOOKUP(BC$6, Table_ChiPhiNV_Ca[], COUNTA(Table_ChiPhiNV_Ca[[#Headers],[Ca]:[Kết thúc]]),0)),0,
SUM(_xlfn._xlws.FILTER(Table_BangLuong_TyLeTangCa[Tỷ lệ],
(Table_BangLuong_TyLeTangCa[Ngày] = "Thường") *
(Table_BangLuong_TyLeTangCa[Giờ min]&lt;=$AA24) *
(Table_BangLuong_TyLeTangCa[Giờ max]&gt;$AA24)
)))),
IF(BC$4 &gt; BC$5,
IF(
AND(
$AA24-$Z$4&lt;MAX(BC$4,VLOOKUP(BC$6, Table_ChiPhiNV_Ca[], COUNTA(Table_ChiPhiNV_Ca[[#Headers],[Ca]:[Bắt đầu]]),0)),
$AA24&gt;MIN(BC$5,VLOOKUP(BC$6, Table_ChiPhiNV_Ca[], COUNTA(Table_ChiPhiNV_Ca[[#Headers],[Ca]:[Kết thúc]]),0))),0,
SUM(_xlfn._xlws.FILTER(Table_BangLuong_TyLeTangCa[Tỷ lệ],
(Table_BangLuong_TyLeTangCa[Ngày] = "Thường") *
(Table_BangLuong_TyLeTangCa[Giờ min]&lt;=$AA24) *
(Table_BangLuong_TyLeTangCa[Giờ max]&gt;$AA24)
))),
IF(
AND(
$AA24-$Z$4&gt;=MAX(BC$4,VLOOKUP(BC$6, Table_ChiPhiNV_Ca[], COUNTA(Table_ChiPhiNV_Ca[[#Headers],[Ca]:[Bắt đầu]]),0)),
$AA24&lt;MIN(BC$5,VLOOKUP(BC$6, Table_ChiPhiNV_Ca[], COUNTA(Table_ChiPhiNV_Ca[[#Headers],[Ca]:[Kết thúc]]),0))),
SUM(_xlfn._xlws.FILTER(Table_BangLuong_TyLeTangCa[Tỷ lệ],
(Table_BangLuong_TyLeTangCa[Ngày] = "Thường") *
(Table_BangLuong_TyLeTangCa[Giờ min]&lt;=$AA24) *
(Table_BangLuong_TyLeTangCa[Giờ max]&gt;$AA24)
)),0)
)),
IF(BC$4 &lt; BC$5,
IF($AA24-$Z$4&lt;BC$4,0,
IF($AA24&gt;BC$5,0,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BC$5,$AA24 &lt; BC$4),0,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D24" s="18" cm="1">
        <f t="array" ref="BD24" xml:space="preserve">
IFERROR(
IF(BD$1="",0,
IF(AND(
$AA24&gt;=VLOOKUP(BD$6, Table_ChiPhiNV_Ca[], COUNTA(Table_ChiPhiNV_Ca[[#Headers],[Ca]:[Bắt đầu nghỉ]]),0),
$AA24&lt;VLOOKUP(BD$6, Table_ChiPhiNV_Ca[], COUNTA(Table_ChiPhiNV_Ca[[#Headers],[Ca]:[Kết thúc nghỉ]]),0)
),0,
IF(NOT(ISBLANK(BD$3)),
IF(ISBLANK(BD$7),0,
IF(BD$4 &lt; BD$5,
IF($AA24-$Z$4&lt;BD$4,0,
IF($AA24&gt;BD$5,0,
SUM(_xlfn._xlws.FILTER(Table_BangLuong_TyLeTangCa[Tỷ lệ],
(Table_BangLuong_TyLeTangCa[Ngày] = BD$3) *
(Table_BangLuong_TyLeTangCa[Giờ min]&lt;=$AA24) *
(Table_BangLuong_TyLeTangCa[Giờ max]&gt;$AA24)
)))),
IF(AND($AA24-$Z$4 &gt;= BD$5,$AA24 &lt; BD$4),0,
SUM(_xlfn._xlws.FILTER(Table_BangLuong_TyLeTangCa[Tỷ lệ],
(Table_BangLuong_TyLeTangCa[Ngày] = BD$3) *
(Table_BangLuong_TyLeTangCa[Giờ min]&lt;=$AA24) *
(Table_BangLuong_TyLeTangCa[Giờ max]&gt;$AA24)
))))
),
IF(ISBLANK(BD$7),
IF(VLOOKUP(BD$6, Table_ChiPhiNV_Ca[], COUNTA(Table_ChiPhiNV_Ca[[#Headers],[Ca]:[Kết thúc]]),0)&gt; VLOOKUP(BD$6, Table_ChiPhiNV_Ca[], COUNTA(Table_ChiPhiNV_Ca[[#Headers],[Ca]:[Bắt đầu]]),0),
IF($AA24-$Z$4&lt;MAX(BD$4,VLOOKUP(BD$6, Table_ChiPhiNV_Ca[], COUNTA(Table_ChiPhiNV_Ca[[#Headers],[Ca]:[Bắt đầu]]),0)),0,
IF($AA24&gt;MIN(BD$5,VLOOKUP(BD$6, Table_ChiPhiNV_Ca[], COUNTA(Table_ChiPhiNV_Ca[[#Headers],[Ca]:[Kết thúc]]),0)),0,
SUM(_xlfn._xlws.FILTER(Table_BangLuong_TyLeTangCa[Tỷ lệ],
(Table_BangLuong_TyLeTangCa[Ngày] = "Thường") *
(Table_BangLuong_TyLeTangCa[Giờ min]&lt;=$AA24) *
(Table_BangLuong_TyLeTangCa[Giờ max]&gt;$AA24)
)))),
IF(BD$4 &gt; BD$5,
IF(
AND(
$AA24-$Z$4&lt;MAX(BD$4,VLOOKUP(BD$6, Table_ChiPhiNV_Ca[], COUNTA(Table_ChiPhiNV_Ca[[#Headers],[Ca]:[Bắt đầu]]),0)),
$AA24&gt;MIN(BD$5,VLOOKUP(BD$6, Table_ChiPhiNV_Ca[], COUNTA(Table_ChiPhiNV_Ca[[#Headers],[Ca]:[Kết thúc]]),0))),0,
SUM(_xlfn._xlws.FILTER(Table_BangLuong_TyLeTangCa[Tỷ lệ],
(Table_BangLuong_TyLeTangCa[Ngày] = "Thường") *
(Table_BangLuong_TyLeTangCa[Giờ min]&lt;=$AA24) *
(Table_BangLuong_TyLeTangCa[Giờ max]&gt;$AA24)
))),
IF(
AND(
$AA24-$Z$4&gt;=MAX(BD$4,VLOOKUP(BD$6, Table_ChiPhiNV_Ca[], COUNTA(Table_ChiPhiNV_Ca[[#Headers],[Ca]:[Bắt đầu]]),0)),
$AA24&lt;MIN(BD$5,VLOOKUP(BD$6, Table_ChiPhiNV_Ca[], COUNTA(Table_ChiPhiNV_Ca[[#Headers],[Ca]:[Kết thúc]]),0))),
SUM(_xlfn._xlws.FILTER(Table_BangLuong_TyLeTangCa[Tỷ lệ],
(Table_BangLuong_TyLeTangCa[Ngày] = "Thường") *
(Table_BangLuong_TyLeTangCa[Giờ min]&lt;=$AA24) *
(Table_BangLuong_TyLeTangCa[Giờ max]&gt;$AA24)
)),0)
)),
IF(BD$4 &lt; BD$5,
IF($AA24-$Z$4&lt;BD$4,0,
IF($AA24&gt;BD$5,0,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BD$5,$AA24 &lt; BD$4),0,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E24" s="18" cm="1">
        <f t="array" ref="BE24" xml:space="preserve">
IFERROR(
IF(BE$1="",0,
IF(AND(
$AA24&gt;=VLOOKUP(BE$6, Table_ChiPhiNV_Ca[], COUNTA(Table_ChiPhiNV_Ca[[#Headers],[Ca]:[Bắt đầu nghỉ]]),0),
$AA24&lt;VLOOKUP(BE$6, Table_ChiPhiNV_Ca[], COUNTA(Table_ChiPhiNV_Ca[[#Headers],[Ca]:[Kết thúc nghỉ]]),0)
),0,
IF(NOT(ISBLANK(BE$3)),
IF(ISBLANK(BE$7),0,
IF(BE$4 &lt; BE$5,
IF($AA24-$Z$4&lt;BE$4,0,
IF($AA24&gt;BE$5,0,
SUM(_xlfn._xlws.FILTER(Table_BangLuong_TyLeTangCa[Tỷ lệ],
(Table_BangLuong_TyLeTangCa[Ngày] = BE$3) *
(Table_BangLuong_TyLeTangCa[Giờ min]&lt;=$AA24) *
(Table_BangLuong_TyLeTangCa[Giờ max]&gt;$AA24)
)))),
IF(AND($AA24-$Z$4 &gt;= BE$5,$AA24 &lt; BE$4),0,
SUM(_xlfn._xlws.FILTER(Table_BangLuong_TyLeTangCa[Tỷ lệ],
(Table_BangLuong_TyLeTangCa[Ngày] = BE$3) *
(Table_BangLuong_TyLeTangCa[Giờ min]&lt;=$AA24) *
(Table_BangLuong_TyLeTangCa[Giờ max]&gt;$AA24)
))))
),
IF(ISBLANK(BE$7),
IF(VLOOKUP(BE$6, Table_ChiPhiNV_Ca[], COUNTA(Table_ChiPhiNV_Ca[[#Headers],[Ca]:[Kết thúc]]),0)&gt; VLOOKUP(BE$6, Table_ChiPhiNV_Ca[], COUNTA(Table_ChiPhiNV_Ca[[#Headers],[Ca]:[Bắt đầu]]),0),
IF($AA24-$Z$4&lt;MAX(BE$4,VLOOKUP(BE$6, Table_ChiPhiNV_Ca[], COUNTA(Table_ChiPhiNV_Ca[[#Headers],[Ca]:[Bắt đầu]]),0)),0,
IF($AA24&gt;MIN(BE$5,VLOOKUP(BE$6, Table_ChiPhiNV_Ca[], COUNTA(Table_ChiPhiNV_Ca[[#Headers],[Ca]:[Kết thúc]]),0)),0,
SUM(_xlfn._xlws.FILTER(Table_BangLuong_TyLeTangCa[Tỷ lệ],
(Table_BangLuong_TyLeTangCa[Ngày] = "Thường") *
(Table_BangLuong_TyLeTangCa[Giờ min]&lt;=$AA24) *
(Table_BangLuong_TyLeTangCa[Giờ max]&gt;$AA24)
)))),
IF(BE$4 &gt; BE$5,
IF(
AND(
$AA24-$Z$4&lt;MAX(BE$4,VLOOKUP(BE$6, Table_ChiPhiNV_Ca[], COUNTA(Table_ChiPhiNV_Ca[[#Headers],[Ca]:[Bắt đầu]]),0)),
$AA24&gt;MIN(BE$5,VLOOKUP(BE$6, Table_ChiPhiNV_Ca[], COUNTA(Table_ChiPhiNV_Ca[[#Headers],[Ca]:[Kết thúc]]),0))),0,
SUM(_xlfn._xlws.FILTER(Table_BangLuong_TyLeTangCa[Tỷ lệ],
(Table_BangLuong_TyLeTangCa[Ngày] = "Thường") *
(Table_BangLuong_TyLeTangCa[Giờ min]&lt;=$AA24) *
(Table_BangLuong_TyLeTangCa[Giờ max]&gt;$AA24)
))),
IF(
AND(
$AA24-$Z$4&gt;=MAX(BE$4,VLOOKUP(BE$6, Table_ChiPhiNV_Ca[], COUNTA(Table_ChiPhiNV_Ca[[#Headers],[Ca]:[Bắt đầu]]),0)),
$AA24&lt;MIN(BE$5,VLOOKUP(BE$6, Table_ChiPhiNV_Ca[], COUNTA(Table_ChiPhiNV_Ca[[#Headers],[Ca]:[Kết thúc]]),0))),
SUM(_xlfn._xlws.FILTER(Table_BangLuong_TyLeTangCa[Tỷ lệ],
(Table_BangLuong_TyLeTangCa[Ngày] = "Thường") *
(Table_BangLuong_TyLeTangCa[Giờ min]&lt;=$AA24) *
(Table_BangLuong_TyLeTangCa[Giờ max]&gt;$AA24)
)),0)
)),
IF(BE$4 &lt; BE$5,
IF($AA24-$Z$4&lt;BE$4,0,
IF($AA24&gt;BE$5,0,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BE$5,$AA24 &lt; BE$4),0,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F24" s="18" cm="1">
        <f t="array" ref="BF24" xml:space="preserve">
IFERROR(
IF(BF$1="",0,
IF(AND(
$AA24&gt;=VLOOKUP(BF$6, Table_ChiPhiNV_Ca[], COUNTA(Table_ChiPhiNV_Ca[[#Headers],[Ca]:[Bắt đầu nghỉ]]),0),
$AA24&lt;VLOOKUP(BF$6, Table_ChiPhiNV_Ca[], COUNTA(Table_ChiPhiNV_Ca[[#Headers],[Ca]:[Kết thúc nghỉ]]),0)
),0,
IF(NOT(ISBLANK(BF$3)),
IF(ISBLANK(BF$7),0,
IF(BF$4 &lt; BF$5,
IF($AA24-$Z$4&lt;BF$4,0,
IF($AA24&gt;BF$5,0,
SUM(_xlfn._xlws.FILTER(Table_BangLuong_TyLeTangCa[Tỷ lệ],
(Table_BangLuong_TyLeTangCa[Ngày] = BF$3) *
(Table_BangLuong_TyLeTangCa[Giờ min]&lt;=$AA24) *
(Table_BangLuong_TyLeTangCa[Giờ max]&gt;$AA24)
)))),
IF(AND($AA24-$Z$4 &gt;= BF$5,$AA24 &lt; BF$4),0,
SUM(_xlfn._xlws.FILTER(Table_BangLuong_TyLeTangCa[Tỷ lệ],
(Table_BangLuong_TyLeTangCa[Ngày] = BF$3) *
(Table_BangLuong_TyLeTangCa[Giờ min]&lt;=$AA24) *
(Table_BangLuong_TyLeTangCa[Giờ max]&gt;$AA24)
))))
),
IF(ISBLANK(BF$7),
IF(VLOOKUP(BF$6, Table_ChiPhiNV_Ca[], COUNTA(Table_ChiPhiNV_Ca[[#Headers],[Ca]:[Kết thúc]]),0)&gt; VLOOKUP(BF$6, Table_ChiPhiNV_Ca[], COUNTA(Table_ChiPhiNV_Ca[[#Headers],[Ca]:[Bắt đầu]]),0),
IF($AA24-$Z$4&lt;MAX(BF$4,VLOOKUP(BF$6, Table_ChiPhiNV_Ca[], COUNTA(Table_ChiPhiNV_Ca[[#Headers],[Ca]:[Bắt đầu]]),0)),0,
IF($AA24&gt;MIN(BF$5,VLOOKUP(BF$6, Table_ChiPhiNV_Ca[], COUNTA(Table_ChiPhiNV_Ca[[#Headers],[Ca]:[Kết thúc]]),0)),0,
SUM(_xlfn._xlws.FILTER(Table_BangLuong_TyLeTangCa[Tỷ lệ],
(Table_BangLuong_TyLeTangCa[Ngày] = "Thường") *
(Table_BangLuong_TyLeTangCa[Giờ min]&lt;=$AA24) *
(Table_BangLuong_TyLeTangCa[Giờ max]&gt;$AA24)
)))),
IF(BF$4 &gt; BF$5,
IF(
AND(
$AA24-$Z$4&lt;MAX(BF$4,VLOOKUP(BF$6, Table_ChiPhiNV_Ca[], COUNTA(Table_ChiPhiNV_Ca[[#Headers],[Ca]:[Bắt đầu]]),0)),
$AA24&gt;MIN(BF$5,VLOOKUP(BF$6, Table_ChiPhiNV_Ca[], COUNTA(Table_ChiPhiNV_Ca[[#Headers],[Ca]:[Kết thúc]]),0))),0,
SUM(_xlfn._xlws.FILTER(Table_BangLuong_TyLeTangCa[Tỷ lệ],
(Table_BangLuong_TyLeTangCa[Ngày] = "Thường") *
(Table_BangLuong_TyLeTangCa[Giờ min]&lt;=$AA24) *
(Table_BangLuong_TyLeTangCa[Giờ max]&gt;$AA24)
))),
IF(
AND(
$AA24-$Z$4&gt;=MAX(BF$4,VLOOKUP(BF$6, Table_ChiPhiNV_Ca[], COUNTA(Table_ChiPhiNV_Ca[[#Headers],[Ca]:[Bắt đầu]]),0)),
$AA24&lt;MIN(BF$5,VLOOKUP(BF$6, Table_ChiPhiNV_Ca[], COUNTA(Table_ChiPhiNV_Ca[[#Headers],[Ca]:[Kết thúc]]),0))),
SUM(_xlfn._xlws.FILTER(Table_BangLuong_TyLeTangCa[Tỷ lệ],
(Table_BangLuong_TyLeTangCa[Ngày] = "Thường") *
(Table_BangLuong_TyLeTangCa[Giờ min]&lt;=$AA24) *
(Table_BangLuong_TyLeTangCa[Giờ max]&gt;$AA24)
)),0)
)),
IF(BF$4 &lt; BF$5,
IF($AA24-$Z$4&lt;BF$4,0,
IF($AA24&gt;BF$5,0,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BF$5,$AA24 &lt; BF$4),0,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row>
    <row r="25" spans="2:58" ht="18" customHeight="1" outlineLevel="1" x14ac:dyDescent="0.3">
      <c r="B25" s="3"/>
      <c r="C25" s="3"/>
      <c r="D25" s="3"/>
      <c r="E25" s="3"/>
      <c r="F25" s="3"/>
      <c r="G25" s="3"/>
      <c r="H25" s="3"/>
      <c r="I25" s="3"/>
      <c r="J25" s="11"/>
      <c r="K25" s="11"/>
      <c r="L25" s="11"/>
      <c r="M25" s="11"/>
      <c r="N25" s="3"/>
      <c r="AA25" s="50">
        <v>0.33333333333333298</v>
      </c>
      <c r="AB25" s="18" cm="1">
        <f t="array" ref="AB25" xml:space="preserve">
IFERROR(
IF(AB$1="",0,
IF(AND(
$AA25&gt;=VLOOKUP(AB$6, Table_ChiPhiNV_Ca[], COUNTA(Table_ChiPhiNV_Ca[[#Headers],[Ca]:[Bắt đầu nghỉ]]),0),
$AA25&lt;VLOOKUP(AB$6, Table_ChiPhiNV_Ca[], COUNTA(Table_ChiPhiNV_Ca[[#Headers],[Ca]:[Kết thúc nghỉ]]),0)
),0,
IF(NOT(ISBLANK(AB$3)),
IF(ISBLANK(AB$7),0,
IF(AB$4 &lt; AB$5,
IF($AA25-$Z$4&lt;AB$4,0,
IF($AA25&gt;AB$5,0,
SUM(_xlfn._xlws.FILTER(Table_BangLuong_TyLeTangCa[Tỷ lệ],
(Table_BangLuong_TyLeTangCa[Ngày] = AB$3) *
(Table_BangLuong_TyLeTangCa[Giờ min]&lt;=$AA25) *
(Table_BangLuong_TyLeTangCa[Giờ max]&gt;$AA25)
)))),
IF(AND($AA25-$Z$4 &gt;= AB$5,$AA25 &lt; AB$4),0,
SUM(_xlfn._xlws.FILTER(Table_BangLuong_TyLeTangCa[Tỷ lệ],
(Table_BangLuong_TyLeTangCa[Ngày] = AB$3) *
(Table_BangLuong_TyLeTangCa[Giờ min]&lt;=$AA25) *
(Table_BangLuong_TyLeTangCa[Giờ max]&gt;$AA25)
))))
),
IF(ISBLANK(AB$7),
IF(VLOOKUP(AB$6, Table_ChiPhiNV_Ca[], COUNTA(Table_ChiPhiNV_Ca[[#Headers],[Ca]:[Kết thúc]]),0)&gt; VLOOKUP(AB$6, Table_ChiPhiNV_Ca[], COUNTA(Table_ChiPhiNV_Ca[[#Headers],[Ca]:[Bắt đầu]]),0),
IF($AA25-$Z$4&lt;MAX(AB$4,VLOOKUP(AB$6, Table_ChiPhiNV_Ca[], COUNTA(Table_ChiPhiNV_Ca[[#Headers],[Ca]:[Bắt đầu]]),0)),0,
IF($AA25&gt;MIN(AB$5,VLOOKUP(AB$6, Table_ChiPhiNV_Ca[], COUNTA(Table_ChiPhiNV_Ca[[#Headers],[Ca]:[Kết thúc]]),0)),0,
SUM(_xlfn._xlws.FILTER(Table_BangLuong_TyLeTangCa[Tỷ lệ],
(Table_BangLuong_TyLeTangCa[Ngày] = "Thường") *
(Table_BangLuong_TyLeTangCa[Giờ min]&lt;=$AA25) *
(Table_BangLuong_TyLeTangCa[Giờ max]&gt;$AA25)
)))),
IF(AB$4 &gt; AB$5,
IF(
AND(
$AA25-$Z$4&lt;MAX(AB$4,VLOOKUP(AB$6, Table_ChiPhiNV_Ca[], COUNTA(Table_ChiPhiNV_Ca[[#Headers],[Ca]:[Bắt đầu]]),0)),
$AA25&gt;MIN(AB$5,VLOOKUP(AB$6, Table_ChiPhiNV_Ca[], COUNTA(Table_ChiPhiNV_Ca[[#Headers],[Ca]:[Kết thúc]]),0))),0,
SUM(_xlfn._xlws.FILTER(Table_BangLuong_TyLeTangCa[Tỷ lệ],
(Table_BangLuong_TyLeTangCa[Ngày] = "Thường") *
(Table_BangLuong_TyLeTangCa[Giờ min]&lt;=$AA25) *
(Table_BangLuong_TyLeTangCa[Giờ max]&gt;$AA25)
))),
IF(
AND(
$AA25-$Z$4&gt;=MAX(AB$4,VLOOKUP(AB$6, Table_ChiPhiNV_Ca[], COUNTA(Table_ChiPhiNV_Ca[[#Headers],[Ca]:[Bắt đầu]]),0)),
$AA25&lt;MIN(AB$5,VLOOKUP(AB$6, Table_ChiPhiNV_Ca[], COUNTA(Table_ChiPhiNV_Ca[[#Headers],[Ca]:[Kết thúc]]),0))),
SUM(_xlfn._xlws.FILTER(Table_BangLuong_TyLeTangCa[Tỷ lệ],
(Table_BangLuong_TyLeTangCa[Ngày] = "Thường") *
(Table_BangLuong_TyLeTangCa[Giờ min]&lt;=$AA25) *
(Table_BangLuong_TyLeTangCa[Giờ max]&gt;$AA25)
)),0)
)),
IF(AB$4 &lt; AB$5,
IF($AA25-$Z$4&lt;AB$4,0,
IF($AA25&gt;AB$5,0,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AB$5,$AA25 &lt; AB$4),0,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C25" s="18" cm="1">
        <f t="array" ref="AC25" xml:space="preserve">
IFERROR(
IF(AC$1="",0,
IF(AND(
$AA25&gt;=VLOOKUP(AC$6, Table_ChiPhiNV_Ca[], COUNTA(Table_ChiPhiNV_Ca[[#Headers],[Ca]:[Bắt đầu nghỉ]]),0),
$AA25&lt;VLOOKUP(AC$6, Table_ChiPhiNV_Ca[], COUNTA(Table_ChiPhiNV_Ca[[#Headers],[Ca]:[Kết thúc nghỉ]]),0)
),0,
IF(NOT(ISBLANK(AC$3)),
IF(ISBLANK(AC$7),0,
IF(AC$4 &lt; AC$5,
IF($AA25-$Z$4&lt;AC$4,0,
IF($AA25&gt;AC$5,0,
SUM(_xlfn._xlws.FILTER(Table_BangLuong_TyLeTangCa[Tỷ lệ],
(Table_BangLuong_TyLeTangCa[Ngày] = AC$3) *
(Table_BangLuong_TyLeTangCa[Giờ min]&lt;=$AA25) *
(Table_BangLuong_TyLeTangCa[Giờ max]&gt;$AA25)
)))),
IF(AND($AA25-$Z$4 &gt;= AC$5,$AA25 &lt; AC$4),0,
SUM(_xlfn._xlws.FILTER(Table_BangLuong_TyLeTangCa[Tỷ lệ],
(Table_BangLuong_TyLeTangCa[Ngày] = AC$3) *
(Table_BangLuong_TyLeTangCa[Giờ min]&lt;=$AA25) *
(Table_BangLuong_TyLeTangCa[Giờ max]&gt;$AA25)
))))
),
IF(ISBLANK(AC$7),
IF(VLOOKUP(AC$6, Table_ChiPhiNV_Ca[], COUNTA(Table_ChiPhiNV_Ca[[#Headers],[Ca]:[Kết thúc]]),0)&gt; VLOOKUP(AC$6, Table_ChiPhiNV_Ca[], COUNTA(Table_ChiPhiNV_Ca[[#Headers],[Ca]:[Bắt đầu]]),0),
IF($AA25-$Z$4&lt;MAX(AC$4,VLOOKUP(AC$6, Table_ChiPhiNV_Ca[], COUNTA(Table_ChiPhiNV_Ca[[#Headers],[Ca]:[Bắt đầu]]),0)),0,
IF($AA25&gt;MIN(AC$5,VLOOKUP(AC$6, Table_ChiPhiNV_Ca[], COUNTA(Table_ChiPhiNV_Ca[[#Headers],[Ca]:[Kết thúc]]),0)),0,
SUM(_xlfn._xlws.FILTER(Table_BangLuong_TyLeTangCa[Tỷ lệ],
(Table_BangLuong_TyLeTangCa[Ngày] = "Thường") *
(Table_BangLuong_TyLeTangCa[Giờ min]&lt;=$AA25) *
(Table_BangLuong_TyLeTangCa[Giờ max]&gt;$AA25)
)))),
IF(AC$4 &gt; AC$5,
IF(
AND(
$AA25-$Z$4&lt;MAX(AC$4,VLOOKUP(AC$6, Table_ChiPhiNV_Ca[], COUNTA(Table_ChiPhiNV_Ca[[#Headers],[Ca]:[Bắt đầu]]),0)),
$AA25&gt;MIN(AC$5,VLOOKUP(AC$6, Table_ChiPhiNV_Ca[], COUNTA(Table_ChiPhiNV_Ca[[#Headers],[Ca]:[Kết thúc]]),0))),0,
SUM(_xlfn._xlws.FILTER(Table_BangLuong_TyLeTangCa[Tỷ lệ],
(Table_BangLuong_TyLeTangCa[Ngày] = "Thường") *
(Table_BangLuong_TyLeTangCa[Giờ min]&lt;=$AA25) *
(Table_BangLuong_TyLeTangCa[Giờ max]&gt;$AA25)
))),
IF(
AND(
$AA25-$Z$4&gt;=MAX(AC$4,VLOOKUP(AC$6, Table_ChiPhiNV_Ca[], COUNTA(Table_ChiPhiNV_Ca[[#Headers],[Ca]:[Bắt đầu]]),0)),
$AA25&lt;MIN(AC$5,VLOOKUP(AC$6, Table_ChiPhiNV_Ca[], COUNTA(Table_ChiPhiNV_Ca[[#Headers],[Ca]:[Kết thúc]]),0))),
SUM(_xlfn._xlws.FILTER(Table_BangLuong_TyLeTangCa[Tỷ lệ],
(Table_BangLuong_TyLeTangCa[Ngày] = "Thường") *
(Table_BangLuong_TyLeTangCa[Giờ min]&lt;=$AA25) *
(Table_BangLuong_TyLeTangCa[Giờ max]&gt;$AA25)
)),0)
)),
IF(AC$4 &lt; AC$5,
IF($AA25-$Z$4&lt;AC$4,0,
IF($AA25&gt;AC$5,0,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AC$5,$AA25 &lt; AC$4),0,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D25" s="18" cm="1">
        <f t="array" ref="AD25" xml:space="preserve">
IFERROR(
IF(AD$1="",0,
IF(AND(
$AA25&gt;=VLOOKUP(AD$6, Table_ChiPhiNV_Ca[], COUNTA(Table_ChiPhiNV_Ca[[#Headers],[Ca]:[Bắt đầu nghỉ]]),0),
$AA25&lt;VLOOKUP(AD$6, Table_ChiPhiNV_Ca[], COUNTA(Table_ChiPhiNV_Ca[[#Headers],[Ca]:[Kết thúc nghỉ]]),0)
),0,
IF(NOT(ISBLANK(AD$3)),
IF(ISBLANK(AD$7),0,
IF(AD$4 &lt; AD$5,
IF($AA25-$Z$4&lt;AD$4,0,
IF($AA25&gt;AD$5,0,
SUM(_xlfn._xlws.FILTER(Table_BangLuong_TyLeTangCa[Tỷ lệ],
(Table_BangLuong_TyLeTangCa[Ngày] = AD$3) *
(Table_BangLuong_TyLeTangCa[Giờ min]&lt;=$AA25) *
(Table_BangLuong_TyLeTangCa[Giờ max]&gt;$AA25)
)))),
IF(AND($AA25-$Z$4 &gt;= AD$5,$AA25 &lt; AD$4),0,
SUM(_xlfn._xlws.FILTER(Table_BangLuong_TyLeTangCa[Tỷ lệ],
(Table_BangLuong_TyLeTangCa[Ngày] = AD$3) *
(Table_BangLuong_TyLeTangCa[Giờ min]&lt;=$AA25) *
(Table_BangLuong_TyLeTangCa[Giờ max]&gt;$AA25)
))))
),
IF(ISBLANK(AD$7),
IF(VLOOKUP(AD$6, Table_ChiPhiNV_Ca[], COUNTA(Table_ChiPhiNV_Ca[[#Headers],[Ca]:[Kết thúc]]),0)&gt; VLOOKUP(AD$6, Table_ChiPhiNV_Ca[], COUNTA(Table_ChiPhiNV_Ca[[#Headers],[Ca]:[Bắt đầu]]),0),
IF($AA25-$Z$4&lt;MAX(AD$4,VLOOKUP(AD$6, Table_ChiPhiNV_Ca[], COUNTA(Table_ChiPhiNV_Ca[[#Headers],[Ca]:[Bắt đầu]]),0)),0,
IF($AA25&gt;MIN(AD$5,VLOOKUP(AD$6, Table_ChiPhiNV_Ca[], COUNTA(Table_ChiPhiNV_Ca[[#Headers],[Ca]:[Kết thúc]]),0)),0,
SUM(_xlfn._xlws.FILTER(Table_BangLuong_TyLeTangCa[Tỷ lệ],
(Table_BangLuong_TyLeTangCa[Ngày] = "Thường") *
(Table_BangLuong_TyLeTangCa[Giờ min]&lt;=$AA25) *
(Table_BangLuong_TyLeTangCa[Giờ max]&gt;$AA25)
)))),
IF(AD$4 &gt; AD$5,
IF(
AND(
$AA25-$Z$4&lt;MAX(AD$4,VLOOKUP(AD$6, Table_ChiPhiNV_Ca[], COUNTA(Table_ChiPhiNV_Ca[[#Headers],[Ca]:[Bắt đầu]]),0)),
$AA25&gt;MIN(AD$5,VLOOKUP(AD$6, Table_ChiPhiNV_Ca[], COUNTA(Table_ChiPhiNV_Ca[[#Headers],[Ca]:[Kết thúc]]),0))),0,
SUM(_xlfn._xlws.FILTER(Table_BangLuong_TyLeTangCa[Tỷ lệ],
(Table_BangLuong_TyLeTangCa[Ngày] = "Thường") *
(Table_BangLuong_TyLeTangCa[Giờ min]&lt;=$AA25) *
(Table_BangLuong_TyLeTangCa[Giờ max]&gt;$AA25)
))),
IF(
AND(
$AA25-$Z$4&gt;=MAX(AD$4,VLOOKUP(AD$6, Table_ChiPhiNV_Ca[], COUNTA(Table_ChiPhiNV_Ca[[#Headers],[Ca]:[Bắt đầu]]),0)),
$AA25&lt;MIN(AD$5,VLOOKUP(AD$6, Table_ChiPhiNV_Ca[], COUNTA(Table_ChiPhiNV_Ca[[#Headers],[Ca]:[Kết thúc]]),0))),
SUM(_xlfn._xlws.FILTER(Table_BangLuong_TyLeTangCa[Tỷ lệ],
(Table_BangLuong_TyLeTangCa[Ngày] = "Thường") *
(Table_BangLuong_TyLeTangCa[Giờ min]&lt;=$AA25) *
(Table_BangLuong_TyLeTangCa[Giờ max]&gt;$AA25)
)),0)
)),
IF(AD$4 &lt; AD$5,
IF($AA25-$Z$4&lt;AD$4,0,
IF($AA25&gt;AD$5,0,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AD$5,$AA25 &lt; AD$4),0,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E25" s="18" cm="1">
        <f t="array" ref="AE25" xml:space="preserve">
IFERROR(
IF(AE$1="",0,
IF(AND(
$AA25&gt;=VLOOKUP(AE$6, Table_ChiPhiNV_Ca[], COUNTA(Table_ChiPhiNV_Ca[[#Headers],[Ca]:[Bắt đầu nghỉ]]),0),
$AA25&lt;VLOOKUP(AE$6, Table_ChiPhiNV_Ca[], COUNTA(Table_ChiPhiNV_Ca[[#Headers],[Ca]:[Kết thúc nghỉ]]),0)
),0,
IF(NOT(ISBLANK(AE$3)),
IF(ISBLANK(AE$7),0,
IF(AE$4 &lt; AE$5,
IF($AA25-$Z$4&lt;AE$4,0,
IF($AA25&gt;AE$5,0,
SUM(_xlfn._xlws.FILTER(Table_BangLuong_TyLeTangCa[Tỷ lệ],
(Table_BangLuong_TyLeTangCa[Ngày] = AE$3) *
(Table_BangLuong_TyLeTangCa[Giờ min]&lt;=$AA25) *
(Table_BangLuong_TyLeTangCa[Giờ max]&gt;$AA25)
)))),
IF(AND($AA25-$Z$4 &gt;= AE$5,$AA25 &lt; AE$4),0,
SUM(_xlfn._xlws.FILTER(Table_BangLuong_TyLeTangCa[Tỷ lệ],
(Table_BangLuong_TyLeTangCa[Ngày] = AE$3) *
(Table_BangLuong_TyLeTangCa[Giờ min]&lt;=$AA25) *
(Table_BangLuong_TyLeTangCa[Giờ max]&gt;$AA25)
))))
),
IF(ISBLANK(AE$7),
IF(VLOOKUP(AE$6, Table_ChiPhiNV_Ca[], COUNTA(Table_ChiPhiNV_Ca[[#Headers],[Ca]:[Kết thúc]]),0)&gt; VLOOKUP(AE$6, Table_ChiPhiNV_Ca[], COUNTA(Table_ChiPhiNV_Ca[[#Headers],[Ca]:[Bắt đầu]]),0),
IF($AA25-$Z$4&lt;MAX(AE$4,VLOOKUP(AE$6, Table_ChiPhiNV_Ca[], COUNTA(Table_ChiPhiNV_Ca[[#Headers],[Ca]:[Bắt đầu]]),0)),0,
IF($AA25&gt;MIN(AE$5,VLOOKUP(AE$6, Table_ChiPhiNV_Ca[], COUNTA(Table_ChiPhiNV_Ca[[#Headers],[Ca]:[Kết thúc]]),0)),0,
SUM(_xlfn._xlws.FILTER(Table_BangLuong_TyLeTangCa[Tỷ lệ],
(Table_BangLuong_TyLeTangCa[Ngày] = "Thường") *
(Table_BangLuong_TyLeTangCa[Giờ min]&lt;=$AA25) *
(Table_BangLuong_TyLeTangCa[Giờ max]&gt;$AA25)
)))),
IF(AE$4 &gt; AE$5,
IF(
AND(
$AA25-$Z$4&lt;MAX(AE$4,VLOOKUP(AE$6, Table_ChiPhiNV_Ca[], COUNTA(Table_ChiPhiNV_Ca[[#Headers],[Ca]:[Bắt đầu]]),0)),
$AA25&gt;MIN(AE$5,VLOOKUP(AE$6, Table_ChiPhiNV_Ca[], COUNTA(Table_ChiPhiNV_Ca[[#Headers],[Ca]:[Kết thúc]]),0))),0,
SUM(_xlfn._xlws.FILTER(Table_BangLuong_TyLeTangCa[Tỷ lệ],
(Table_BangLuong_TyLeTangCa[Ngày] = "Thường") *
(Table_BangLuong_TyLeTangCa[Giờ min]&lt;=$AA25) *
(Table_BangLuong_TyLeTangCa[Giờ max]&gt;$AA25)
))),
IF(
AND(
$AA25-$Z$4&gt;=MAX(AE$4,VLOOKUP(AE$6, Table_ChiPhiNV_Ca[], COUNTA(Table_ChiPhiNV_Ca[[#Headers],[Ca]:[Bắt đầu]]),0)),
$AA25&lt;MIN(AE$5,VLOOKUP(AE$6, Table_ChiPhiNV_Ca[], COUNTA(Table_ChiPhiNV_Ca[[#Headers],[Ca]:[Kết thúc]]),0))),
SUM(_xlfn._xlws.FILTER(Table_BangLuong_TyLeTangCa[Tỷ lệ],
(Table_BangLuong_TyLeTangCa[Ngày] = "Thường") *
(Table_BangLuong_TyLeTangCa[Giờ min]&lt;=$AA25) *
(Table_BangLuong_TyLeTangCa[Giờ max]&gt;$AA25)
)),0)
)),
IF(AE$4 &lt; AE$5,
IF($AA25-$Z$4&lt;AE$4,0,
IF($AA25&gt;AE$5,0,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AE$5,$AA25 &lt; AE$4),0,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F25" s="18" cm="1">
        <f t="array" ref="AF25" xml:space="preserve">
IFERROR(
IF(AF$1="",0,
IF(AND(
$AA25&gt;=VLOOKUP(AF$6, Table_ChiPhiNV_Ca[], COUNTA(Table_ChiPhiNV_Ca[[#Headers],[Ca]:[Bắt đầu nghỉ]]),0),
$AA25&lt;VLOOKUP(AF$6, Table_ChiPhiNV_Ca[], COUNTA(Table_ChiPhiNV_Ca[[#Headers],[Ca]:[Kết thúc nghỉ]]),0)
),0,
IF(NOT(ISBLANK(AF$3)),
IF(ISBLANK(AF$7),0,
IF(AF$4 &lt; AF$5,
IF($AA25-$Z$4&lt;AF$4,0,
IF($AA25&gt;AF$5,0,
SUM(_xlfn._xlws.FILTER(Table_BangLuong_TyLeTangCa[Tỷ lệ],
(Table_BangLuong_TyLeTangCa[Ngày] = AF$3) *
(Table_BangLuong_TyLeTangCa[Giờ min]&lt;=$AA25) *
(Table_BangLuong_TyLeTangCa[Giờ max]&gt;$AA25)
)))),
IF(AND($AA25-$Z$4 &gt;= AF$5,$AA25 &lt; AF$4),0,
SUM(_xlfn._xlws.FILTER(Table_BangLuong_TyLeTangCa[Tỷ lệ],
(Table_BangLuong_TyLeTangCa[Ngày] = AF$3) *
(Table_BangLuong_TyLeTangCa[Giờ min]&lt;=$AA25) *
(Table_BangLuong_TyLeTangCa[Giờ max]&gt;$AA25)
))))
),
IF(ISBLANK(AF$7),
IF(VLOOKUP(AF$6, Table_ChiPhiNV_Ca[], COUNTA(Table_ChiPhiNV_Ca[[#Headers],[Ca]:[Kết thúc]]),0)&gt; VLOOKUP(AF$6, Table_ChiPhiNV_Ca[], COUNTA(Table_ChiPhiNV_Ca[[#Headers],[Ca]:[Bắt đầu]]),0),
IF($AA25-$Z$4&lt;MAX(AF$4,VLOOKUP(AF$6, Table_ChiPhiNV_Ca[], COUNTA(Table_ChiPhiNV_Ca[[#Headers],[Ca]:[Bắt đầu]]),0)),0,
IF($AA25&gt;MIN(AF$5,VLOOKUP(AF$6, Table_ChiPhiNV_Ca[], COUNTA(Table_ChiPhiNV_Ca[[#Headers],[Ca]:[Kết thúc]]),0)),0,
SUM(_xlfn._xlws.FILTER(Table_BangLuong_TyLeTangCa[Tỷ lệ],
(Table_BangLuong_TyLeTangCa[Ngày] = "Thường") *
(Table_BangLuong_TyLeTangCa[Giờ min]&lt;=$AA25) *
(Table_BangLuong_TyLeTangCa[Giờ max]&gt;$AA25)
)))),
IF(AF$4 &gt; AF$5,
IF(
AND(
$AA25-$Z$4&lt;MAX(AF$4,VLOOKUP(AF$6, Table_ChiPhiNV_Ca[], COUNTA(Table_ChiPhiNV_Ca[[#Headers],[Ca]:[Bắt đầu]]),0)),
$AA25&gt;MIN(AF$5,VLOOKUP(AF$6, Table_ChiPhiNV_Ca[], COUNTA(Table_ChiPhiNV_Ca[[#Headers],[Ca]:[Kết thúc]]),0))),0,
SUM(_xlfn._xlws.FILTER(Table_BangLuong_TyLeTangCa[Tỷ lệ],
(Table_BangLuong_TyLeTangCa[Ngày] = "Thường") *
(Table_BangLuong_TyLeTangCa[Giờ min]&lt;=$AA25) *
(Table_BangLuong_TyLeTangCa[Giờ max]&gt;$AA25)
))),
IF(
AND(
$AA25-$Z$4&gt;=MAX(AF$4,VLOOKUP(AF$6, Table_ChiPhiNV_Ca[], COUNTA(Table_ChiPhiNV_Ca[[#Headers],[Ca]:[Bắt đầu]]),0)),
$AA25&lt;MIN(AF$5,VLOOKUP(AF$6, Table_ChiPhiNV_Ca[], COUNTA(Table_ChiPhiNV_Ca[[#Headers],[Ca]:[Kết thúc]]),0))),
SUM(_xlfn._xlws.FILTER(Table_BangLuong_TyLeTangCa[Tỷ lệ],
(Table_BangLuong_TyLeTangCa[Ngày] = "Thường") *
(Table_BangLuong_TyLeTangCa[Giờ min]&lt;=$AA25) *
(Table_BangLuong_TyLeTangCa[Giờ max]&gt;$AA25)
)),0)
)),
IF(AF$4 &lt; AF$5,
IF($AA25-$Z$4&lt;AF$4,0,
IF($AA25&gt;AF$5,0,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AF$5,$AA25 &lt; AF$4),0,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G25" s="18" cm="1">
        <f t="array" ref="AG25" xml:space="preserve">
IFERROR(
IF(AG$1="",0,
IF(AND(
$AA25&gt;=VLOOKUP(AG$6, Table_ChiPhiNV_Ca[], COUNTA(Table_ChiPhiNV_Ca[[#Headers],[Ca]:[Bắt đầu nghỉ]]),0),
$AA25&lt;VLOOKUP(AG$6, Table_ChiPhiNV_Ca[], COUNTA(Table_ChiPhiNV_Ca[[#Headers],[Ca]:[Kết thúc nghỉ]]),0)
),0,
IF(NOT(ISBLANK(AG$3)),
IF(ISBLANK(AG$7),0,
IF(AG$4 &lt; AG$5,
IF($AA25-$Z$4&lt;AG$4,0,
IF($AA25&gt;AG$5,0,
SUM(_xlfn._xlws.FILTER(Table_BangLuong_TyLeTangCa[Tỷ lệ],
(Table_BangLuong_TyLeTangCa[Ngày] = AG$3) *
(Table_BangLuong_TyLeTangCa[Giờ min]&lt;=$AA25) *
(Table_BangLuong_TyLeTangCa[Giờ max]&gt;$AA25)
)))),
IF(AND($AA25-$Z$4 &gt;= AG$5,$AA25 &lt; AG$4),0,
SUM(_xlfn._xlws.FILTER(Table_BangLuong_TyLeTangCa[Tỷ lệ],
(Table_BangLuong_TyLeTangCa[Ngày] = AG$3) *
(Table_BangLuong_TyLeTangCa[Giờ min]&lt;=$AA25) *
(Table_BangLuong_TyLeTangCa[Giờ max]&gt;$AA25)
))))
),
IF(ISBLANK(AG$7),
IF(VLOOKUP(AG$6, Table_ChiPhiNV_Ca[], COUNTA(Table_ChiPhiNV_Ca[[#Headers],[Ca]:[Kết thúc]]),0)&gt; VLOOKUP(AG$6, Table_ChiPhiNV_Ca[], COUNTA(Table_ChiPhiNV_Ca[[#Headers],[Ca]:[Bắt đầu]]),0),
IF($AA25-$Z$4&lt;MAX(AG$4,VLOOKUP(AG$6, Table_ChiPhiNV_Ca[], COUNTA(Table_ChiPhiNV_Ca[[#Headers],[Ca]:[Bắt đầu]]),0)),0,
IF($AA25&gt;MIN(AG$5,VLOOKUP(AG$6, Table_ChiPhiNV_Ca[], COUNTA(Table_ChiPhiNV_Ca[[#Headers],[Ca]:[Kết thúc]]),0)),0,
SUM(_xlfn._xlws.FILTER(Table_BangLuong_TyLeTangCa[Tỷ lệ],
(Table_BangLuong_TyLeTangCa[Ngày] = "Thường") *
(Table_BangLuong_TyLeTangCa[Giờ min]&lt;=$AA25) *
(Table_BangLuong_TyLeTangCa[Giờ max]&gt;$AA25)
)))),
IF(AG$4 &gt; AG$5,
IF(
AND(
$AA25-$Z$4&lt;MAX(AG$4,VLOOKUP(AG$6, Table_ChiPhiNV_Ca[], COUNTA(Table_ChiPhiNV_Ca[[#Headers],[Ca]:[Bắt đầu]]),0)),
$AA25&gt;MIN(AG$5,VLOOKUP(AG$6, Table_ChiPhiNV_Ca[], COUNTA(Table_ChiPhiNV_Ca[[#Headers],[Ca]:[Kết thúc]]),0))),0,
SUM(_xlfn._xlws.FILTER(Table_BangLuong_TyLeTangCa[Tỷ lệ],
(Table_BangLuong_TyLeTangCa[Ngày] = "Thường") *
(Table_BangLuong_TyLeTangCa[Giờ min]&lt;=$AA25) *
(Table_BangLuong_TyLeTangCa[Giờ max]&gt;$AA25)
))),
IF(
AND(
$AA25-$Z$4&gt;=MAX(AG$4,VLOOKUP(AG$6, Table_ChiPhiNV_Ca[], COUNTA(Table_ChiPhiNV_Ca[[#Headers],[Ca]:[Bắt đầu]]),0)),
$AA25&lt;MIN(AG$5,VLOOKUP(AG$6, Table_ChiPhiNV_Ca[], COUNTA(Table_ChiPhiNV_Ca[[#Headers],[Ca]:[Kết thúc]]),0))),
SUM(_xlfn._xlws.FILTER(Table_BangLuong_TyLeTangCa[Tỷ lệ],
(Table_BangLuong_TyLeTangCa[Ngày] = "Thường") *
(Table_BangLuong_TyLeTangCa[Giờ min]&lt;=$AA25) *
(Table_BangLuong_TyLeTangCa[Giờ max]&gt;$AA25)
)),0)
)),
IF(AG$4 &lt; AG$5,
IF($AA25-$Z$4&lt;AG$4,0,
IF($AA25&gt;AG$5,0,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AG$5,$AA25 &lt; AG$4),0,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H25" s="18" cm="1">
        <f t="array" ref="AH25" xml:space="preserve">
IFERROR(
IF(AH$1="",0,
IF(AND(
$AA25&gt;=VLOOKUP(AH$6, Table_ChiPhiNV_Ca[], COUNTA(Table_ChiPhiNV_Ca[[#Headers],[Ca]:[Bắt đầu nghỉ]]),0),
$AA25&lt;VLOOKUP(AH$6, Table_ChiPhiNV_Ca[], COUNTA(Table_ChiPhiNV_Ca[[#Headers],[Ca]:[Kết thúc nghỉ]]),0)
),0,
IF(NOT(ISBLANK(AH$3)),
IF(ISBLANK(AH$7),0,
IF(AH$4 &lt; AH$5,
IF($AA25-$Z$4&lt;AH$4,0,
IF($AA25&gt;AH$5,0,
SUM(_xlfn._xlws.FILTER(Table_BangLuong_TyLeTangCa[Tỷ lệ],
(Table_BangLuong_TyLeTangCa[Ngày] = AH$3) *
(Table_BangLuong_TyLeTangCa[Giờ min]&lt;=$AA25) *
(Table_BangLuong_TyLeTangCa[Giờ max]&gt;$AA25)
)))),
IF(AND($AA25-$Z$4 &gt;= AH$5,$AA25 &lt; AH$4),0,
SUM(_xlfn._xlws.FILTER(Table_BangLuong_TyLeTangCa[Tỷ lệ],
(Table_BangLuong_TyLeTangCa[Ngày] = AH$3) *
(Table_BangLuong_TyLeTangCa[Giờ min]&lt;=$AA25) *
(Table_BangLuong_TyLeTangCa[Giờ max]&gt;$AA25)
))))
),
IF(ISBLANK(AH$7),
IF(VLOOKUP(AH$6, Table_ChiPhiNV_Ca[], COUNTA(Table_ChiPhiNV_Ca[[#Headers],[Ca]:[Kết thúc]]),0)&gt; VLOOKUP(AH$6, Table_ChiPhiNV_Ca[], COUNTA(Table_ChiPhiNV_Ca[[#Headers],[Ca]:[Bắt đầu]]),0),
IF($AA25-$Z$4&lt;MAX(AH$4,VLOOKUP(AH$6, Table_ChiPhiNV_Ca[], COUNTA(Table_ChiPhiNV_Ca[[#Headers],[Ca]:[Bắt đầu]]),0)),0,
IF($AA25&gt;MIN(AH$5,VLOOKUP(AH$6, Table_ChiPhiNV_Ca[], COUNTA(Table_ChiPhiNV_Ca[[#Headers],[Ca]:[Kết thúc]]),0)),0,
SUM(_xlfn._xlws.FILTER(Table_BangLuong_TyLeTangCa[Tỷ lệ],
(Table_BangLuong_TyLeTangCa[Ngày] = "Thường") *
(Table_BangLuong_TyLeTangCa[Giờ min]&lt;=$AA25) *
(Table_BangLuong_TyLeTangCa[Giờ max]&gt;$AA25)
)))),
IF(AH$4 &gt; AH$5,
IF(
AND(
$AA25-$Z$4&lt;MAX(AH$4,VLOOKUP(AH$6, Table_ChiPhiNV_Ca[], COUNTA(Table_ChiPhiNV_Ca[[#Headers],[Ca]:[Bắt đầu]]),0)),
$AA25&gt;MIN(AH$5,VLOOKUP(AH$6, Table_ChiPhiNV_Ca[], COUNTA(Table_ChiPhiNV_Ca[[#Headers],[Ca]:[Kết thúc]]),0))),0,
SUM(_xlfn._xlws.FILTER(Table_BangLuong_TyLeTangCa[Tỷ lệ],
(Table_BangLuong_TyLeTangCa[Ngày] = "Thường") *
(Table_BangLuong_TyLeTangCa[Giờ min]&lt;=$AA25) *
(Table_BangLuong_TyLeTangCa[Giờ max]&gt;$AA25)
))),
IF(
AND(
$AA25-$Z$4&gt;=MAX(AH$4,VLOOKUP(AH$6, Table_ChiPhiNV_Ca[], COUNTA(Table_ChiPhiNV_Ca[[#Headers],[Ca]:[Bắt đầu]]),0)),
$AA25&lt;MIN(AH$5,VLOOKUP(AH$6, Table_ChiPhiNV_Ca[], COUNTA(Table_ChiPhiNV_Ca[[#Headers],[Ca]:[Kết thúc]]),0))),
SUM(_xlfn._xlws.FILTER(Table_BangLuong_TyLeTangCa[Tỷ lệ],
(Table_BangLuong_TyLeTangCa[Ngày] = "Thường") *
(Table_BangLuong_TyLeTangCa[Giờ min]&lt;=$AA25) *
(Table_BangLuong_TyLeTangCa[Giờ max]&gt;$AA25)
)),0)
)),
IF(AH$4 &lt; AH$5,
IF($AA25-$Z$4&lt;AH$4,0,
IF($AA25&gt;AH$5,0,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AH$5,$AA25 &lt; AH$4),0,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I25" s="18" cm="1">
        <f t="array" ref="AI25" xml:space="preserve">
IFERROR(
IF(AI$1="",0,
IF(AND(
$AA25&gt;=VLOOKUP(AI$6, Table_ChiPhiNV_Ca[], COUNTA(Table_ChiPhiNV_Ca[[#Headers],[Ca]:[Bắt đầu nghỉ]]),0),
$AA25&lt;VLOOKUP(AI$6, Table_ChiPhiNV_Ca[], COUNTA(Table_ChiPhiNV_Ca[[#Headers],[Ca]:[Kết thúc nghỉ]]),0)
),0,
IF(NOT(ISBLANK(AI$3)),
IF(ISBLANK(AI$7),0,
IF(AI$4 &lt; AI$5,
IF($AA25-$Z$4&lt;AI$4,0,
IF($AA25&gt;AI$5,0,
SUM(_xlfn._xlws.FILTER(Table_BangLuong_TyLeTangCa[Tỷ lệ],
(Table_BangLuong_TyLeTangCa[Ngày] = AI$3) *
(Table_BangLuong_TyLeTangCa[Giờ min]&lt;=$AA25) *
(Table_BangLuong_TyLeTangCa[Giờ max]&gt;$AA25)
)))),
IF(AND($AA25-$Z$4 &gt;= AI$5,$AA25 &lt; AI$4),0,
SUM(_xlfn._xlws.FILTER(Table_BangLuong_TyLeTangCa[Tỷ lệ],
(Table_BangLuong_TyLeTangCa[Ngày] = AI$3) *
(Table_BangLuong_TyLeTangCa[Giờ min]&lt;=$AA25) *
(Table_BangLuong_TyLeTangCa[Giờ max]&gt;$AA25)
))))
),
IF(ISBLANK(AI$7),
IF(VLOOKUP(AI$6, Table_ChiPhiNV_Ca[], COUNTA(Table_ChiPhiNV_Ca[[#Headers],[Ca]:[Kết thúc]]),0)&gt; VLOOKUP(AI$6, Table_ChiPhiNV_Ca[], COUNTA(Table_ChiPhiNV_Ca[[#Headers],[Ca]:[Bắt đầu]]),0),
IF($AA25-$Z$4&lt;MAX(AI$4,VLOOKUP(AI$6, Table_ChiPhiNV_Ca[], COUNTA(Table_ChiPhiNV_Ca[[#Headers],[Ca]:[Bắt đầu]]),0)),0,
IF($AA25&gt;MIN(AI$5,VLOOKUP(AI$6, Table_ChiPhiNV_Ca[], COUNTA(Table_ChiPhiNV_Ca[[#Headers],[Ca]:[Kết thúc]]),0)),0,
SUM(_xlfn._xlws.FILTER(Table_BangLuong_TyLeTangCa[Tỷ lệ],
(Table_BangLuong_TyLeTangCa[Ngày] = "Thường") *
(Table_BangLuong_TyLeTangCa[Giờ min]&lt;=$AA25) *
(Table_BangLuong_TyLeTangCa[Giờ max]&gt;$AA25)
)))),
IF(AI$4 &gt; AI$5,
IF(
AND(
$AA25-$Z$4&lt;MAX(AI$4,VLOOKUP(AI$6, Table_ChiPhiNV_Ca[], COUNTA(Table_ChiPhiNV_Ca[[#Headers],[Ca]:[Bắt đầu]]),0)),
$AA25&gt;MIN(AI$5,VLOOKUP(AI$6, Table_ChiPhiNV_Ca[], COUNTA(Table_ChiPhiNV_Ca[[#Headers],[Ca]:[Kết thúc]]),0))),0,
SUM(_xlfn._xlws.FILTER(Table_BangLuong_TyLeTangCa[Tỷ lệ],
(Table_BangLuong_TyLeTangCa[Ngày] = "Thường") *
(Table_BangLuong_TyLeTangCa[Giờ min]&lt;=$AA25) *
(Table_BangLuong_TyLeTangCa[Giờ max]&gt;$AA25)
))),
IF(
AND(
$AA25-$Z$4&gt;=MAX(AI$4,VLOOKUP(AI$6, Table_ChiPhiNV_Ca[], COUNTA(Table_ChiPhiNV_Ca[[#Headers],[Ca]:[Bắt đầu]]),0)),
$AA25&lt;MIN(AI$5,VLOOKUP(AI$6, Table_ChiPhiNV_Ca[], COUNTA(Table_ChiPhiNV_Ca[[#Headers],[Ca]:[Kết thúc]]),0))),
SUM(_xlfn._xlws.FILTER(Table_BangLuong_TyLeTangCa[Tỷ lệ],
(Table_BangLuong_TyLeTangCa[Ngày] = "Thường") *
(Table_BangLuong_TyLeTangCa[Giờ min]&lt;=$AA25) *
(Table_BangLuong_TyLeTangCa[Giờ max]&gt;$AA25)
)),0)
)),
IF(AI$4 &lt; AI$5,
IF($AA25-$Z$4&lt;AI$4,0,
IF($AA25&gt;AI$5,0,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AI$5,$AA25 &lt; AI$4),0,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J25" s="18" cm="1">
        <f t="array" ref="AJ25" xml:space="preserve">
IFERROR(
IF(AJ$1="",0,
IF(AND(
$AA25&gt;=VLOOKUP(AJ$6, Table_ChiPhiNV_Ca[], COUNTA(Table_ChiPhiNV_Ca[[#Headers],[Ca]:[Bắt đầu nghỉ]]),0),
$AA25&lt;VLOOKUP(AJ$6, Table_ChiPhiNV_Ca[], COUNTA(Table_ChiPhiNV_Ca[[#Headers],[Ca]:[Kết thúc nghỉ]]),0)
),0,
IF(NOT(ISBLANK(AJ$3)),
IF(ISBLANK(AJ$7),0,
IF(AJ$4 &lt; AJ$5,
IF($AA25-$Z$4&lt;AJ$4,0,
IF($AA25&gt;AJ$5,0,
SUM(_xlfn._xlws.FILTER(Table_BangLuong_TyLeTangCa[Tỷ lệ],
(Table_BangLuong_TyLeTangCa[Ngày] = AJ$3) *
(Table_BangLuong_TyLeTangCa[Giờ min]&lt;=$AA25) *
(Table_BangLuong_TyLeTangCa[Giờ max]&gt;$AA25)
)))),
IF(AND($AA25-$Z$4 &gt;= AJ$5,$AA25 &lt; AJ$4),0,
SUM(_xlfn._xlws.FILTER(Table_BangLuong_TyLeTangCa[Tỷ lệ],
(Table_BangLuong_TyLeTangCa[Ngày] = AJ$3) *
(Table_BangLuong_TyLeTangCa[Giờ min]&lt;=$AA25) *
(Table_BangLuong_TyLeTangCa[Giờ max]&gt;$AA25)
))))
),
IF(ISBLANK(AJ$7),
IF(VLOOKUP(AJ$6, Table_ChiPhiNV_Ca[], COUNTA(Table_ChiPhiNV_Ca[[#Headers],[Ca]:[Kết thúc]]),0)&gt; VLOOKUP(AJ$6, Table_ChiPhiNV_Ca[], COUNTA(Table_ChiPhiNV_Ca[[#Headers],[Ca]:[Bắt đầu]]),0),
IF($AA25-$Z$4&lt;MAX(AJ$4,VLOOKUP(AJ$6, Table_ChiPhiNV_Ca[], COUNTA(Table_ChiPhiNV_Ca[[#Headers],[Ca]:[Bắt đầu]]),0)),0,
IF($AA25&gt;MIN(AJ$5,VLOOKUP(AJ$6, Table_ChiPhiNV_Ca[], COUNTA(Table_ChiPhiNV_Ca[[#Headers],[Ca]:[Kết thúc]]),0)),0,
SUM(_xlfn._xlws.FILTER(Table_BangLuong_TyLeTangCa[Tỷ lệ],
(Table_BangLuong_TyLeTangCa[Ngày] = "Thường") *
(Table_BangLuong_TyLeTangCa[Giờ min]&lt;=$AA25) *
(Table_BangLuong_TyLeTangCa[Giờ max]&gt;$AA25)
)))),
IF(AJ$4 &gt; AJ$5,
IF(
AND(
$AA25-$Z$4&lt;MAX(AJ$4,VLOOKUP(AJ$6, Table_ChiPhiNV_Ca[], COUNTA(Table_ChiPhiNV_Ca[[#Headers],[Ca]:[Bắt đầu]]),0)),
$AA25&gt;MIN(AJ$5,VLOOKUP(AJ$6, Table_ChiPhiNV_Ca[], COUNTA(Table_ChiPhiNV_Ca[[#Headers],[Ca]:[Kết thúc]]),0))),0,
SUM(_xlfn._xlws.FILTER(Table_BangLuong_TyLeTangCa[Tỷ lệ],
(Table_BangLuong_TyLeTangCa[Ngày] = "Thường") *
(Table_BangLuong_TyLeTangCa[Giờ min]&lt;=$AA25) *
(Table_BangLuong_TyLeTangCa[Giờ max]&gt;$AA25)
))),
IF(
AND(
$AA25-$Z$4&gt;=MAX(AJ$4,VLOOKUP(AJ$6, Table_ChiPhiNV_Ca[], COUNTA(Table_ChiPhiNV_Ca[[#Headers],[Ca]:[Bắt đầu]]),0)),
$AA25&lt;MIN(AJ$5,VLOOKUP(AJ$6, Table_ChiPhiNV_Ca[], COUNTA(Table_ChiPhiNV_Ca[[#Headers],[Ca]:[Kết thúc]]),0))),
SUM(_xlfn._xlws.FILTER(Table_BangLuong_TyLeTangCa[Tỷ lệ],
(Table_BangLuong_TyLeTangCa[Ngày] = "Thường") *
(Table_BangLuong_TyLeTangCa[Giờ min]&lt;=$AA25) *
(Table_BangLuong_TyLeTangCa[Giờ max]&gt;$AA25)
)),0)
)),
IF(AJ$4 &lt; AJ$5,
IF($AA25-$Z$4&lt;AJ$4,0,
IF($AA25&gt;AJ$5,0,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AJ$5,$AA25 &lt; AJ$4),0,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K25" s="18" cm="1">
        <f t="array" ref="AK25" xml:space="preserve">
IFERROR(
IF(AK$1="",0,
IF(AND(
$AA25&gt;=VLOOKUP(AK$6, Table_ChiPhiNV_Ca[], COUNTA(Table_ChiPhiNV_Ca[[#Headers],[Ca]:[Bắt đầu nghỉ]]),0),
$AA25&lt;VLOOKUP(AK$6, Table_ChiPhiNV_Ca[], COUNTA(Table_ChiPhiNV_Ca[[#Headers],[Ca]:[Kết thúc nghỉ]]),0)
),0,
IF(NOT(ISBLANK(AK$3)),
IF(ISBLANK(AK$7),0,
IF(AK$4 &lt; AK$5,
IF($AA25-$Z$4&lt;AK$4,0,
IF($AA25&gt;AK$5,0,
SUM(_xlfn._xlws.FILTER(Table_BangLuong_TyLeTangCa[Tỷ lệ],
(Table_BangLuong_TyLeTangCa[Ngày] = AK$3) *
(Table_BangLuong_TyLeTangCa[Giờ min]&lt;=$AA25) *
(Table_BangLuong_TyLeTangCa[Giờ max]&gt;$AA25)
)))),
IF(AND($AA25-$Z$4 &gt;= AK$5,$AA25 &lt; AK$4),0,
SUM(_xlfn._xlws.FILTER(Table_BangLuong_TyLeTangCa[Tỷ lệ],
(Table_BangLuong_TyLeTangCa[Ngày] = AK$3) *
(Table_BangLuong_TyLeTangCa[Giờ min]&lt;=$AA25) *
(Table_BangLuong_TyLeTangCa[Giờ max]&gt;$AA25)
))))
),
IF(ISBLANK(AK$7),
IF(VLOOKUP(AK$6, Table_ChiPhiNV_Ca[], COUNTA(Table_ChiPhiNV_Ca[[#Headers],[Ca]:[Kết thúc]]),0)&gt; VLOOKUP(AK$6, Table_ChiPhiNV_Ca[], COUNTA(Table_ChiPhiNV_Ca[[#Headers],[Ca]:[Bắt đầu]]),0),
IF($AA25-$Z$4&lt;MAX(AK$4,VLOOKUP(AK$6, Table_ChiPhiNV_Ca[], COUNTA(Table_ChiPhiNV_Ca[[#Headers],[Ca]:[Bắt đầu]]),0)),0,
IF($AA25&gt;MIN(AK$5,VLOOKUP(AK$6, Table_ChiPhiNV_Ca[], COUNTA(Table_ChiPhiNV_Ca[[#Headers],[Ca]:[Kết thúc]]),0)),0,
SUM(_xlfn._xlws.FILTER(Table_BangLuong_TyLeTangCa[Tỷ lệ],
(Table_BangLuong_TyLeTangCa[Ngày] = "Thường") *
(Table_BangLuong_TyLeTangCa[Giờ min]&lt;=$AA25) *
(Table_BangLuong_TyLeTangCa[Giờ max]&gt;$AA25)
)))),
IF(AK$4 &gt; AK$5,
IF(
AND(
$AA25-$Z$4&lt;MAX(AK$4,VLOOKUP(AK$6, Table_ChiPhiNV_Ca[], COUNTA(Table_ChiPhiNV_Ca[[#Headers],[Ca]:[Bắt đầu]]),0)),
$AA25&gt;MIN(AK$5,VLOOKUP(AK$6, Table_ChiPhiNV_Ca[], COUNTA(Table_ChiPhiNV_Ca[[#Headers],[Ca]:[Kết thúc]]),0))),0,
SUM(_xlfn._xlws.FILTER(Table_BangLuong_TyLeTangCa[Tỷ lệ],
(Table_BangLuong_TyLeTangCa[Ngày] = "Thường") *
(Table_BangLuong_TyLeTangCa[Giờ min]&lt;=$AA25) *
(Table_BangLuong_TyLeTangCa[Giờ max]&gt;$AA25)
))),
IF(
AND(
$AA25-$Z$4&gt;=MAX(AK$4,VLOOKUP(AK$6, Table_ChiPhiNV_Ca[], COUNTA(Table_ChiPhiNV_Ca[[#Headers],[Ca]:[Bắt đầu]]),0)),
$AA25&lt;MIN(AK$5,VLOOKUP(AK$6, Table_ChiPhiNV_Ca[], COUNTA(Table_ChiPhiNV_Ca[[#Headers],[Ca]:[Kết thúc]]),0))),
SUM(_xlfn._xlws.FILTER(Table_BangLuong_TyLeTangCa[Tỷ lệ],
(Table_BangLuong_TyLeTangCa[Ngày] = "Thường") *
(Table_BangLuong_TyLeTangCa[Giờ min]&lt;=$AA25) *
(Table_BangLuong_TyLeTangCa[Giờ max]&gt;$AA25)
)),0)
)),
IF(AK$4 &lt; AK$5,
IF($AA25-$Z$4&lt;AK$4,0,
IF($AA25&gt;AK$5,0,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AK$5,$AA25 &lt; AK$4),0,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L25" s="18" cm="1">
        <f t="array" ref="AL25" xml:space="preserve">
IFERROR(
IF(AL$1="",0,
IF(AND(
$AA25&gt;=VLOOKUP(AL$6, Table_ChiPhiNV_Ca[], COUNTA(Table_ChiPhiNV_Ca[[#Headers],[Ca]:[Bắt đầu nghỉ]]),0),
$AA25&lt;VLOOKUP(AL$6, Table_ChiPhiNV_Ca[], COUNTA(Table_ChiPhiNV_Ca[[#Headers],[Ca]:[Kết thúc nghỉ]]),0)
),0,
IF(NOT(ISBLANK(AL$3)),
IF(ISBLANK(AL$7),0,
IF(AL$4 &lt; AL$5,
IF($AA25-$Z$4&lt;AL$4,0,
IF($AA25&gt;AL$5,0,
SUM(_xlfn._xlws.FILTER(Table_BangLuong_TyLeTangCa[Tỷ lệ],
(Table_BangLuong_TyLeTangCa[Ngày] = AL$3) *
(Table_BangLuong_TyLeTangCa[Giờ min]&lt;=$AA25) *
(Table_BangLuong_TyLeTangCa[Giờ max]&gt;$AA25)
)))),
IF(AND($AA25-$Z$4 &gt;= AL$5,$AA25 &lt; AL$4),0,
SUM(_xlfn._xlws.FILTER(Table_BangLuong_TyLeTangCa[Tỷ lệ],
(Table_BangLuong_TyLeTangCa[Ngày] = AL$3) *
(Table_BangLuong_TyLeTangCa[Giờ min]&lt;=$AA25) *
(Table_BangLuong_TyLeTangCa[Giờ max]&gt;$AA25)
))))
),
IF(ISBLANK(AL$7),
IF(VLOOKUP(AL$6, Table_ChiPhiNV_Ca[], COUNTA(Table_ChiPhiNV_Ca[[#Headers],[Ca]:[Kết thúc]]),0)&gt; VLOOKUP(AL$6, Table_ChiPhiNV_Ca[], COUNTA(Table_ChiPhiNV_Ca[[#Headers],[Ca]:[Bắt đầu]]),0),
IF($AA25-$Z$4&lt;MAX(AL$4,VLOOKUP(AL$6, Table_ChiPhiNV_Ca[], COUNTA(Table_ChiPhiNV_Ca[[#Headers],[Ca]:[Bắt đầu]]),0)),0,
IF($AA25&gt;MIN(AL$5,VLOOKUP(AL$6, Table_ChiPhiNV_Ca[], COUNTA(Table_ChiPhiNV_Ca[[#Headers],[Ca]:[Kết thúc]]),0)),0,
SUM(_xlfn._xlws.FILTER(Table_BangLuong_TyLeTangCa[Tỷ lệ],
(Table_BangLuong_TyLeTangCa[Ngày] = "Thường") *
(Table_BangLuong_TyLeTangCa[Giờ min]&lt;=$AA25) *
(Table_BangLuong_TyLeTangCa[Giờ max]&gt;$AA25)
)))),
IF(AL$4 &gt; AL$5,
IF(
AND(
$AA25-$Z$4&lt;MAX(AL$4,VLOOKUP(AL$6, Table_ChiPhiNV_Ca[], COUNTA(Table_ChiPhiNV_Ca[[#Headers],[Ca]:[Bắt đầu]]),0)),
$AA25&gt;MIN(AL$5,VLOOKUP(AL$6, Table_ChiPhiNV_Ca[], COUNTA(Table_ChiPhiNV_Ca[[#Headers],[Ca]:[Kết thúc]]),0))),0,
SUM(_xlfn._xlws.FILTER(Table_BangLuong_TyLeTangCa[Tỷ lệ],
(Table_BangLuong_TyLeTangCa[Ngày] = "Thường") *
(Table_BangLuong_TyLeTangCa[Giờ min]&lt;=$AA25) *
(Table_BangLuong_TyLeTangCa[Giờ max]&gt;$AA25)
))),
IF(
AND(
$AA25-$Z$4&gt;=MAX(AL$4,VLOOKUP(AL$6, Table_ChiPhiNV_Ca[], COUNTA(Table_ChiPhiNV_Ca[[#Headers],[Ca]:[Bắt đầu]]),0)),
$AA25&lt;MIN(AL$5,VLOOKUP(AL$6, Table_ChiPhiNV_Ca[], COUNTA(Table_ChiPhiNV_Ca[[#Headers],[Ca]:[Kết thúc]]),0))),
SUM(_xlfn._xlws.FILTER(Table_BangLuong_TyLeTangCa[Tỷ lệ],
(Table_BangLuong_TyLeTangCa[Ngày] = "Thường") *
(Table_BangLuong_TyLeTangCa[Giờ min]&lt;=$AA25) *
(Table_BangLuong_TyLeTangCa[Giờ max]&gt;$AA25)
)),0)
)),
IF(AL$4 &lt; AL$5,
IF($AA25-$Z$4&lt;AL$4,0,
IF($AA25&gt;AL$5,0,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AL$5,$AA25 &lt; AL$4),0,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M25" s="18" cm="1">
        <f t="array" ref="AM25" xml:space="preserve">
IFERROR(
IF(AM$1="",0,
IF(AND(
$AA25&gt;=VLOOKUP(AM$6, Table_ChiPhiNV_Ca[], COUNTA(Table_ChiPhiNV_Ca[[#Headers],[Ca]:[Bắt đầu nghỉ]]),0),
$AA25&lt;VLOOKUP(AM$6, Table_ChiPhiNV_Ca[], COUNTA(Table_ChiPhiNV_Ca[[#Headers],[Ca]:[Kết thúc nghỉ]]),0)
),0,
IF(NOT(ISBLANK(AM$3)),
IF(ISBLANK(AM$7),0,
IF(AM$4 &lt; AM$5,
IF($AA25-$Z$4&lt;AM$4,0,
IF($AA25&gt;AM$5,0,
SUM(_xlfn._xlws.FILTER(Table_BangLuong_TyLeTangCa[Tỷ lệ],
(Table_BangLuong_TyLeTangCa[Ngày] = AM$3) *
(Table_BangLuong_TyLeTangCa[Giờ min]&lt;=$AA25) *
(Table_BangLuong_TyLeTangCa[Giờ max]&gt;$AA25)
)))),
IF(AND($AA25-$Z$4 &gt;= AM$5,$AA25 &lt; AM$4),0,
SUM(_xlfn._xlws.FILTER(Table_BangLuong_TyLeTangCa[Tỷ lệ],
(Table_BangLuong_TyLeTangCa[Ngày] = AM$3) *
(Table_BangLuong_TyLeTangCa[Giờ min]&lt;=$AA25) *
(Table_BangLuong_TyLeTangCa[Giờ max]&gt;$AA25)
))))
),
IF(ISBLANK(AM$7),
IF(VLOOKUP(AM$6, Table_ChiPhiNV_Ca[], COUNTA(Table_ChiPhiNV_Ca[[#Headers],[Ca]:[Kết thúc]]),0)&gt; VLOOKUP(AM$6, Table_ChiPhiNV_Ca[], COUNTA(Table_ChiPhiNV_Ca[[#Headers],[Ca]:[Bắt đầu]]),0),
IF($AA25-$Z$4&lt;MAX(AM$4,VLOOKUP(AM$6, Table_ChiPhiNV_Ca[], COUNTA(Table_ChiPhiNV_Ca[[#Headers],[Ca]:[Bắt đầu]]),0)),0,
IF($AA25&gt;MIN(AM$5,VLOOKUP(AM$6, Table_ChiPhiNV_Ca[], COUNTA(Table_ChiPhiNV_Ca[[#Headers],[Ca]:[Kết thúc]]),0)),0,
SUM(_xlfn._xlws.FILTER(Table_BangLuong_TyLeTangCa[Tỷ lệ],
(Table_BangLuong_TyLeTangCa[Ngày] = "Thường") *
(Table_BangLuong_TyLeTangCa[Giờ min]&lt;=$AA25) *
(Table_BangLuong_TyLeTangCa[Giờ max]&gt;$AA25)
)))),
IF(AM$4 &gt; AM$5,
IF(
AND(
$AA25-$Z$4&lt;MAX(AM$4,VLOOKUP(AM$6, Table_ChiPhiNV_Ca[], COUNTA(Table_ChiPhiNV_Ca[[#Headers],[Ca]:[Bắt đầu]]),0)),
$AA25&gt;MIN(AM$5,VLOOKUP(AM$6, Table_ChiPhiNV_Ca[], COUNTA(Table_ChiPhiNV_Ca[[#Headers],[Ca]:[Kết thúc]]),0))),0,
SUM(_xlfn._xlws.FILTER(Table_BangLuong_TyLeTangCa[Tỷ lệ],
(Table_BangLuong_TyLeTangCa[Ngày] = "Thường") *
(Table_BangLuong_TyLeTangCa[Giờ min]&lt;=$AA25) *
(Table_BangLuong_TyLeTangCa[Giờ max]&gt;$AA25)
))),
IF(
AND(
$AA25-$Z$4&gt;=MAX(AM$4,VLOOKUP(AM$6, Table_ChiPhiNV_Ca[], COUNTA(Table_ChiPhiNV_Ca[[#Headers],[Ca]:[Bắt đầu]]),0)),
$AA25&lt;MIN(AM$5,VLOOKUP(AM$6, Table_ChiPhiNV_Ca[], COUNTA(Table_ChiPhiNV_Ca[[#Headers],[Ca]:[Kết thúc]]),0))),
SUM(_xlfn._xlws.FILTER(Table_BangLuong_TyLeTangCa[Tỷ lệ],
(Table_BangLuong_TyLeTangCa[Ngày] = "Thường") *
(Table_BangLuong_TyLeTangCa[Giờ min]&lt;=$AA25) *
(Table_BangLuong_TyLeTangCa[Giờ max]&gt;$AA25)
)),0)
)),
IF(AM$4 &lt; AM$5,
IF($AA25-$Z$4&lt;AM$4,0,
IF($AA25&gt;AM$5,0,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AM$5,$AA25 &lt; AM$4),0,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N25" s="18" cm="1">
        <f t="array" ref="AN25" xml:space="preserve">
IFERROR(
IF(AN$1="",0,
IF(AND(
$AA25&gt;=VLOOKUP(AN$6, Table_ChiPhiNV_Ca[], COUNTA(Table_ChiPhiNV_Ca[[#Headers],[Ca]:[Bắt đầu nghỉ]]),0),
$AA25&lt;VLOOKUP(AN$6, Table_ChiPhiNV_Ca[], COUNTA(Table_ChiPhiNV_Ca[[#Headers],[Ca]:[Kết thúc nghỉ]]),0)
),0,
IF(NOT(ISBLANK(AN$3)),
IF(ISBLANK(AN$7),0,
IF(AN$4 &lt; AN$5,
IF($AA25-$Z$4&lt;AN$4,0,
IF($AA25&gt;AN$5,0,
SUM(_xlfn._xlws.FILTER(Table_BangLuong_TyLeTangCa[Tỷ lệ],
(Table_BangLuong_TyLeTangCa[Ngày] = AN$3) *
(Table_BangLuong_TyLeTangCa[Giờ min]&lt;=$AA25) *
(Table_BangLuong_TyLeTangCa[Giờ max]&gt;$AA25)
)))),
IF(AND($AA25-$Z$4 &gt;= AN$5,$AA25 &lt; AN$4),0,
SUM(_xlfn._xlws.FILTER(Table_BangLuong_TyLeTangCa[Tỷ lệ],
(Table_BangLuong_TyLeTangCa[Ngày] = AN$3) *
(Table_BangLuong_TyLeTangCa[Giờ min]&lt;=$AA25) *
(Table_BangLuong_TyLeTangCa[Giờ max]&gt;$AA25)
))))
),
IF(ISBLANK(AN$7),
IF(VLOOKUP(AN$6, Table_ChiPhiNV_Ca[], COUNTA(Table_ChiPhiNV_Ca[[#Headers],[Ca]:[Kết thúc]]),0)&gt; VLOOKUP(AN$6, Table_ChiPhiNV_Ca[], COUNTA(Table_ChiPhiNV_Ca[[#Headers],[Ca]:[Bắt đầu]]),0),
IF($AA25-$Z$4&lt;MAX(AN$4,VLOOKUP(AN$6, Table_ChiPhiNV_Ca[], COUNTA(Table_ChiPhiNV_Ca[[#Headers],[Ca]:[Bắt đầu]]),0)),0,
IF($AA25&gt;MIN(AN$5,VLOOKUP(AN$6, Table_ChiPhiNV_Ca[], COUNTA(Table_ChiPhiNV_Ca[[#Headers],[Ca]:[Kết thúc]]),0)),0,
SUM(_xlfn._xlws.FILTER(Table_BangLuong_TyLeTangCa[Tỷ lệ],
(Table_BangLuong_TyLeTangCa[Ngày] = "Thường") *
(Table_BangLuong_TyLeTangCa[Giờ min]&lt;=$AA25) *
(Table_BangLuong_TyLeTangCa[Giờ max]&gt;$AA25)
)))),
IF(AN$4 &gt; AN$5,
IF(
AND(
$AA25-$Z$4&lt;MAX(AN$4,VLOOKUP(AN$6, Table_ChiPhiNV_Ca[], COUNTA(Table_ChiPhiNV_Ca[[#Headers],[Ca]:[Bắt đầu]]),0)),
$AA25&gt;MIN(AN$5,VLOOKUP(AN$6, Table_ChiPhiNV_Ca[], COUNTA(Table_ChiPhiNV_Ca[[#Headers],[Ca]:[Kết thúc]]),0))),0,
SUM(_xlfn._xlws.FILTER(Table_BangLuong_TyLeTangCa[Tỷ lệ],
(Table_BangLuong_TyLeTangCa[Ngày] = "Thường") *
(Table_BangLuong_TyLeTangCa[Giờ min]&lt;=$AA25) *
(Table_BangLuong_TyLeTangCa[Giờ max]&gt;$AA25)
))),
IF(
AND(
$AA25-$Z$4&gt;=MAX(AN$4,VLOOKUP(AN$6, Table_ChiPhiNV_Ca[], COUNTA(Table_ChiPhiNV_Ca[[#Headers],[Ca]:[Bắt đầu]]),0)),
$AA25&lt;MIN(AN$5,VLOOKUP(AN$6, Table_ChiPhiNV_Ca[], COUNTA(Table_ChiPhiNV_Ca[[#Headers],[Ca]:[Kết thúc]]),0))),
SUM(_xlfn._xlws.FILTER(Table_BangLuong_TyLeTangCa[Tỷ lệ],
(Table_BangLuong_TyLeTangCa[Ngày] = "Thường") *
(Table_BangLuong_TyLeTangCa[Giờ min]&lt;=$AA25) *
(Table_BangLuong_TyLeTangCa[Giờ max]&gt;$AA25)
)),0)
)),
IF(AN$4 &lt; AN$5,
IF($AA25-$Z$4&lt;AN$4,0,
IF($AA25&gt;AN$5,0,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AN$5,$AA25 &lt; AN$4),0,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O25" s="18" cm="1">
        <f t="array" ref="AO25" xml:space="preserve">
IFERROR(
IF(AO$1="",0,
IF(AND(
$AA25&gt;=VLOOKUP(AO$6, Table_ChiPhiNV_Ca[], COUNTA(Table_ChiPhiNV_Ca[[#Headers],[Ca]:[Bắt đầu nghỉ]]),0),
$AA25&lt;VLOOKUP(AO$6, Table_ChiPhiNV_Ca[], COUNTA(Table_ChiPhiNV_Ca[[#Headers],[Ca]:[Kết thúc nghỉ]]),0)
),0,
IF(NOT(ISBLANK(AO$3)),
IF(ISBLANK(AO$7),0,
IF(AO$4 &lt; AO$5,
IF($AA25-$Z$4&lt;AO$4,0,
IF($AA25&gt;AO$5,0,
SUM(_xlfn._xlws.FILTER(Table_BangLuong_TyLeTangCa[Tỷ lệ],
(Table_BangLuong_TyLeTangCa[Ngày] = AO$3) *
(Table_BangLuong_TyLeTangCa[Giờ min]&lt;=$AA25) *
(Table_BangLuong_TyLeTangCa[Giờ max]&gt;$AA25)
)))),
IF(AND($AA25-$Z$4 &gt;= AO$5,$AA25 &lt; AO$4),0,
SUM(_xlfn._xlws.FILTER(Table_BangLuong_TyLeTangCa[Tỷ lệ],
(Table_BangLuong_TyLeTangCa[Ngày] = AO$3) *
(Table_BangLuong_TyLeTangCa[Giờ min]&lt;=$AA25) *
(Table_BangLuong_TyLeTangCa[Giờ max]&gt;$AA25)
))))
),
IF(ISBLANK(AO$7),
IF(VLOOKUP(AO$6, Table_ChiPhiNV_Ca[], COUNTA(Table_ChiPhiNV_Ca[[#Headers],[Ca]:[Kết thúc]]),0)&gt; VLOOKUP(AO$6, Table_ChiPhiNV_Ca[], COUNTA(Table_ChiPhiNV_Ca[[#Headers],[Ca]:[Bắt đầu]]),0),
IF($AA25-$Z$4&lt;MAX(AO$4,VLOOKUP(AO$6, Table_ChiPhiNV_Ca[], COUNTA(Table_ChiPhiNV_Ca[[#Headers],[Ca]:[Bắt đầu]]),0)),0,
IF($AA25&gt;MIN(AO$5,VLOOKUP(AO$6, Table_ChiPhiNV_Ca[], COUNTA(Table_ChiPhiNV_Ca[[#Headers],[Ca]:[Kết thúc]]),0)),0,
SUM(_xlfn._xlws.FILTER(Table_BangLuong_TyLeTangCa[Tỷ lệ],
(Table_BangLuong_TyLeTangCa[Ngày] = "Thường") *
(Table_BangLuong_TyLeTangCa[Giờ min]&lt;=$AA25) *
(Table_BangLuong_TyLeTangCa[Giờ max]&gt;$AA25)
)))),
IF(AO$4 &gt; AO$5,
IF(
AND(
$AA25-$Z$4&lt;MAX(AO$4,VLOOKUP(AO$6, Table_ChiPhiNV_Ca[], COUNTA(Table_ChiPhiNV_Ca[[#Headers],[Ca]:[Bắt đầu]]),0)),
$AA25&gt;MIN(AO$5,VLOOKUP(AO$6, Table_ChiPhiNV_Ca[], COUNTA(Table_ChiPhiNV_Ca[[#Headers],[Ca]:[Kết thúc]]),0))),0,
SUM(_xlfn._xlws.FILTER(Table_BangLuong_TyLeTangCa[Tỷ lệ],
(Table_BangLuong_TyLeTangCa[Ngày] = "Thường") *
(Table_BangLuong_TyLeTangCa[Giờ min]&lt;=$AA25) *
(Table_BangLuong_TyLeTangCa[Giờ max]&gt;$AA25)
))),
IF(
AND(
$AA25-$Z$4&gt;=MAX(AO$4,VLOOKUP(AO$6, Table_ChiPhiNV_Ca[], COUNTA(Table_ChiPhiNV_Ca[[#Headers],[Ca]:[Bắt đầu]]),0)),
$AA25&lt;MIN(AO$5,VLOOKUP(AO$6, Table_ChiPhiNV_Ca[], COUNTA(Table_ChiPhiNV_Ca[[#Headers],[Ca]:[Kết thúc]]),0))),
SUM(_xlfn._xlws.FILTER(Table_BangLuong_TyLeTangCa[Tỷ lệ],
(Table_BangLuong_TyLeTangCa[Ngày] = "Thường") *
(Table_BangLuong_TyLeTangCa[Giờ min]&lt;=$AA25) *
(Table_BangLuong_TyLeTangCa[Giờ max]&gt;$AA25)
)),0)
)),
IF(AO$4 &lt; AO$5,
IF($AA25-$Z$4&lt;AO$4,0,
IF($AA25&gt;AO$5,0,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AO$5,$AA25 &lt; AO$4),0,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P25" s="18" cm="1">
        <f t="array" ref="AP25" xml:space="preserve">
IFERROR(
IF(AP$1="",0,
IF(AND(
$AA25&gt;=VLOOKUP(AP$6, Table_ChiPhiNV_Ca[], COUNTA(Table_ChiPhiNV_Ca[[#Headers],[Ca]:[Bắt đầu nghỉ]]),0),
$AA25&lt;VLOOKUP(AP$6, Table_ChiPhiNV_Ca[], COUNTA(Table_ChiPhiNV_Ca[[#Headers],[Ca]:[Kết thúc nghỉ]]),0)
),0,
IF(NOT(ISBLANK(AP$3)),
IF(ISBLANK(AP$7),0,
IF(AP$4 &lt; AP$5,
IF($AA25-$Z$4&lt;AP$4,0,
IF($AA25&gt;AP$5,0,
SUM(_xlfn._xlws.FILTER(Table_BangLuong_TyLeTangCa[Tỷ lệ],
(Table_BangLuong_TyLeTangCa[Ngày] = AP$3) *
(Table_BangLuong_TyLeTangCa[Giờ min]&lt;=$AA25) *
(Table_BangLuong_TyLeTangCa[Giờ max]&gt;$AA25)
)))),
IF(AND($AA25-$Z$4 &gt;= AP$5,$AA25 &lt; AP$4),0,
SUM(_xlfn._xlws.FILTER(Table_BangLuong_TyLeTangCa[Tỷ lệ],
(Table_BangLuong_TyLeTangCa[Ngày] = AP$3) *
(Table_BangLuong_TyLeTangCa[Giờ min]&lt;=$AA25) *
(Table_BangLuong_TyLeTangCa[Giờ max]&gt;$AA25)
))))
),
IF(ISBLANK(AP$7),
IF(VLOOKUP(AP$6, Table_ChiPhiNV_Ca[], COUNTA(Table_ChiPhiNV_Ca[[#Headers],[Ca]:[Kết thúc]]),0)&gt; VLOOKUP(AP$6, Table_ChiPhiNV_Ca[], COUNTA(Table_ChiPhiNV_Ca[[#Headers],[Ca]:[Bắt đầu]]),0),
IF($AA25-$Z$4&lt;MAX(AP$4,VLOOKUP(AP$6, Table_ChiPhiNV_Ca[], COUNTA(Table_ChiPhiNV_Ca[[#Headers],[Ca]:[Bắt đầu]]),0)),0,
IF($AA25&gt;MIN(AP$5,VLOOKUP(AP$6, Table_ChiPhiNV_Ca[], COUNTA(Table_ChiPhiNV_Ca[[#Headers],[Ca]:[Kết thúc]]),0)),0,
SUM(_xlfn._xlws.FILTER(Table_BangLuong_TyLeTangCa[Tỷ lệ],
(Table_BangLuong_TyLeTangCa[Ngày] = "Thường") *
(Table_BangLuong_TyLeTangCa[Giờ min]&lt;=$AA25) *
(Table_BangLuong_TyLeTangCa[Giờ max]&gt;$AA25)
)))),
IF(AP$4 &gt; AP$5,
IF(
AND(
$AA25-$Z$4&lt;MAX(AP$4,VLOOKUP(AP$6, Table_ChiPhiNV_Ca[], COUNTA(Table_ChiPhiNV_Ca[[#Headers],[Ca]:[Bắt đầu]]),0)),
$AA25&gt;MIN(AP$5,VLOOKUP(AP$6, Table_ChiPhiNV_Ca[], COUNTA(Table_ChiPhiNV_Ca[[#Headers],[Ca]:[Kết thúc]]),0))),0,
SUM(_xlfn._xlws.FILTER(Table_BangLuong_TyLeTangCa[Tỷ lệ],
(Table_BangLuong_TyLeTangCa[Ngày] = "Thường") *
(Table_BangLuong_TyLeTangCa[Giờ min]&lt;=$AA25) *
(Table_BangLuong_TyLeTangCa[Giờ max]&gt;$AA25)
))),
IF(
AND(
$AA25-$Z$4&gt;=MAX(AP$4,VLOOKUP(AP$6, Table_ChiPhiNV_Ca[], COUNTA(Table_ChiPhiNV_Ca[[#Headers],[Ca]:[Bắt đầu]]),0)),
$AA25&lt;MIN(AP$5,VLOOKUP(AP$6, Table_ChiPhiNV_Ca[], COUNTA(Table_ChiPhiNV_Ca[[#Headers],[Ca]:[Kết thúc]]),0))),
SUM(_xlfn._xlws.FILTER(Table_BangLuong_TyLeTangCa[Tỷ lệ],
(Table_BangLuong_TyLeTangCa[Ngày] = "Thường") *
(Table_BangLuong_TyLeTangCa[Giờ min]&lt;=$AA25) *
(Table_BangLuong_TyLeTangCa[Giờ max]&gt;$AA25)
)),0)
)),
IF(AP$4 &lt; AP$5,
IF($AA25-$Z$4&lt;AP$4,0,
IF($AA25&gt;AP$5,0,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AP$5,$AA25 &lt; AP$4),0,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Q25" s="18" cm="1">
        <f t="array" ref="AQ25" xml:space="preserve">
IFERROR(
IF(AQ$1="",0,
IF(AND(
$AA25&gt;=VLOOKUP(AQ$6, Table_ChiPhiNV_Ca[], COUNTA(Table_ChiPhiNV_Ca[[#Headers],[Ca]:[Bắt đầu nghỉ]]),0),
$AA25&lt;VLOOKUP(AQ$6, Table_ChiPhiNV_Ca[], COUNTA(Table_ChiPhiNV_Ca[[#Headers],[Ca]:[Kết thúc nghỉ]]),0)
),0,
IF(NOT(ISBLANK(AQ$3)),
IF(ISBLANK(AQ$7),0,
IF(AQ$4 &lt; AQ$5,
IF($AA25-$Z$4&lt;AQ$4,0,
IF($AA25&gt;AQ$5,0,
SUM(_xlfn._xlws.FILTER(Table_BangLuong_TyLeTangCa[Tỷ lệ],
(Table_BangLuong_TyLeTangCa[Ngày] = AQ$3) *
(Table_BangLuong_TyLeTangCa[Giờ min]&lt;=$AA25) *
(Table_BangLuong_TyLeTangCa[Giờ max]&gt;$AA25)
)))),
IF(AND($AA25-$Z$4 &gt;= AQ$5,$AA25 &lt; AQ$4),0,
SUM(_xlfn._xlws.FILTER(Table_BangLuong_TyLeTangCa[Tỷ lệ],
(Table_BangLuong_TyLeTangCa[Ngày] = AQ$3) *
(Table_BangLuong_TyLeTangCa[Giờ min]&lt;=$AA25) *
(Table_BangLuong_TyLeTangCa[Giờ max]&gt;$AA25)
))))
),
IF(ISBLANK(AQ$7),
IF(VLOOKUP(AQ$6, Table_ChiPhiNV_Ca[], COUNTA(Table_ChiPhiNV_Ca[[#Headers],[Ca]:[Kết thúc]]),0)&gt; VLOOKUP(AQ$6, Table_ChiPhiNV_Ca[], COUNTA(Table_ChiPhiNV_Ca[[#Headers],[Ca]:[Bắt đầu]]),0),
IF($AA25-$Z$4&lt;MAX(AQ$4,VLOOKUP(AQ$6, Table_ChiPhiNV_Ca[], COUNTA(Table_ChiPhiNV_Ca[[#Headers],[Ca]:[Bắt đầu]]),0)),0,
IF($AA25&gt;MIN(AQ$5,VLOOKUP(AQ$6, Table_ChiPhiNV_Ca[], COUNTA(Table_ChiPhiNV_Ca[[#Headers],[Ca]:[Kết thúc]]),0)),0,
SUM(_xlfn._xlws.FILTER(Table_BangLuong_TyLeTangCa[Tỷ lệ],
(Table_BangLuong_TyLeTangCa[Ngày] = "Thường") *
(Table_BangLuong_TyLeTangCa[Giờ min]&lt;=$AA25) *
(Table_BangLuong_TyLeTangCa[Giờ max]&gt;$AA25)
)))),
IF(AQ$4 &gt; AQ$5,
IF(
AND(
$AA25-$Z$4&lt;MAX(AQ$4,VLOOKUP(AQ$6, Table_ChiPhiNV_Ca[], COUNTA(Table_ChiPhiNV_Ca[[#Headers],[Ca]:[Bắt đầu]]),0)),
$AA25&gt;MIN(AQ$5,VLOOKUP(AQ$6, Table_ChiPhiNV_Ca[], COUNTA(Table_ChiPhiNV_Ca[[#Headers],[Ca]:[Kết thúc]]),0))),0,
SUM(_xlfn._xlws.FILTER(Table_BangLuong_TyLeTangCa[Tỷ lệ],
(Table_BangLuong_TyLeTangCa[Ngày] = "Thường") *
(Table_BangLuong_TyLeTangCa[Giờ min]&lt;=$AA25) *
(Table_BangLuong_TyLeTangCa[Giờ max]&gt;$AA25)
))),
IF(
AND(
$AA25-$Z$4&gt;=MAX(AQ$4,VLOOKUP(AQ$6, Table_ChiPhiNV_Ca[], COUNTA(Table_ChiPhiNV_Ca[[#Headers],[Ca]:[Bắt đầu]]),0)),
$AA25&lt;MIN(AQ$5,VLOOKUP(AQ$6, Table_ChiPhiNV_Ca[], COUNTA(Table_ChiPhiNV_Ca[[#Headers],[Ca]:[Kết thúc]]),0))),
SUM(_xlfn._xlws.FILTER(Table_BangLuong_TyLeTangCa[Tỷ lệ],
(Table_BangLuong_TyLeTangCa[Ngày] = "Thường") *
(Table_BangLuong_TyLeTangCa[Giờ min]&lt;=$AA25) *
(Table_BangLuong_TyLeTangCa[Giờ max]&gt;$AA25)
)),0)
)),
IF(AQ$4 &lt; AQ$5,
IF($AA25-$Z$4&lt;AQ$4,0,
IF($AA25&gt;AQ$5,0,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AQ$5,$AA25 &lt; AQ$4),0,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R25" s="18" cm="1">
        <f t="array" ref="AR25" xml:space="preserve">
IFERROR(
IF(AR$1="",0,
IF(AND(
$AA25&gt;=VLOOKUP(AR$6, Table_ChiPhiNV_Ca[], COUNTA(Table_ChiPhiNV_Ca[[#Headers],[Ca]:[Bắt đầu nghỉ]]),0),
$AA25&lt;VLOOKUP(AR$6, Table_ChiPhiNV_Ca[], COUNTA(Table_ChiPhiNV_Ca[[#Headers],[Ca]:[Kết thúc nghỉ]]),0)
),0,
IF(NOT(ISBLANK(AR$3)),
IF(ISBLANK(AR$7),0,
IF(AR$4 &lt; AR$5,
IF($AA25-$Z$4&lt;AR$4,0,
IF($AA25&gt;AR$5,0,
SUM(_xlfn._xlws.FILTER(Table_BangLuong_TyLeTangCa[Tỷ lệ],
(Table_BangLuong_TyLeTangCa[Ngày] = AR$3) *
(Table_BangLuong_TyLeTangCa[Giờ min]&lt;=$AA25) *
(Table_BangLuong_TyLeTangCa[Giờ max]&gt;$AA25)
)))),
IF(AND($AA25-$Z$4 &gt;= AR$5,$AA25 &lt; AR$4),0,
SUM(_xlfn._xlws.FILTER(Table_BangLuong_TyLeTangCa[Tỷ lệ],
(Table_BangLuong_TyLeTangCa[Ngày] = AR$3) *
(Table_BangLuong_TyLeTangCa[Giờ min]&lt;=$AA25) *
(Table_BangLuong_TyLeTangCa[Giờ max]&gt;$AA25)
))))
),
IF(ISBLANK(AR$7),
IF(VLOOKUP(AR$6, Table_ChiPhiNV_Ca[], COUNTA(Table_ChiPhiNV_Ca[[#Headers],[Ca]:[Kết thúc]]),0)&gt; VLOOKUP(AR$6, Table_ChiPhiNV_Ca[], COUNTA(Table_ChiPhiNV_Ca[[#Headers],[Ca]:[Bắt đầu]]),0),
IF($AA25-$Z$4&lt;MAX(AR$4,VLOOKUP(AR$6, Table_ChiPhiNV_Ca[], COUNTA(Table_ChiPhiNV_Ca[[#Headers],[Ca]:[Bắt đầu]]),0)),0,
IF($AA25&gt;MIN(AR$5,VLOOKUP(AR$6, Table_ChiPhiNV_Ca[], COUNTA(Table_ChiPhiNV_Ca[[#Headers],[Ca]:[Kết thúc]]),0)),0,
SUM(_xlfn._xlws.FILTER(Table_BangLuong_TyLeTangCa[Tỷ lệ],
(Table_BangLuong_TyLeTangCa[Ngày] = "Thường") *
(Table_BangLuong_TyLeTangCa[Giờ min]&lt;=$AA25) *
(Table_BangLuong_TyLeTangCa[Giờ max]&gt;$AA25)
)))),
IF(AR$4 &gt; AR$5,
IF(
AND(
$AA25-$Z$4&lt;MAX(AR$4,VLOOKUP(AR$6, Table_ChiPhiNV_Ca[], COUNTA(Table_ChiPhiNV_Ca[[#Headers],[Ca]:[Bắt đầu]]),0)),
$AA25&gt;MIN(AR$5,VLOOKUP(AR$6, Table_ChiPhiNV_Ca[], COUNTA(Table_ChiPhiNV_Ca[[#Headers],[Ca]:[Kết thúc]]),0))),0,
SUM(_xlfn._xlws.FILTER(Table_BangLuong_TyLeTangCa[Tỷ lệ],
(Table_BangLuong_TyLeTangCa[Ngày] = "Thường") *
(Table_BangLuong_TyLeTangCa[Giờ min]&lt;=$AA25) *
(Table_BangLuong_TyLeTangCa[Giờ max]&gt;$AA25)
))),
IF(
AND(
$AA25-$Z$4&gt;=MAX(AR$4,VLOOKUP(AR$6, Table_ChiPhiNV_Ca[], COUNTA(Table_ChiPhiNV_Ca[[#Headers],[Ca]:[Bắt đầu]]),0)),
$AA25&lt;MIN(AR$5,VLOOKUP(AR$6, Table_ChiPhiNV_Ca[], COUNTA(Table_ChiPhiNV_Ca[[#Headers],[Ca]:[Kết thúc]]),0))),
SUM(_xlfn._xlws.FILTER(Table_BangLuong_TyLeTangCa[Tỷ lệ],
(Table_BangLuong_TyLeTangCa[Ngày] = "Thường") *
(Table_BangLuong_TyLeTangCa[Giờ min]&lt;=$AA25) *
(Table_BangLuong_TyLeTangCa[Giờ max]&gt;$AA25)
)),0)
)),
IF(AR$4 &lt; AR$5,
IF($AA25-$Z$4&lt;AR$4,0,
IF($AA25&gt;AR$5,0,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AR$5,$AA25 &lt; AR$4),0,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S25" s="18" cm="1">
        <f t="array" ref="AS25" xml:space="preserve">
IFERROR(
IF(AS$1="",0,
IF(AND(
$AA25&gt;=VLOOKUP(AS$6, Table_ChiPhiNV_Ca[], COUNTA(Table_ChiPhiNV_Ca[[#Headers],[Ca]:[Bắt đầu nghỉ]]),0),
$AA25&lt;VLOOKUP(AS$6, Table_ChiPhiNV_Ca[], COUNTA(Table_ChiPhiNV_Ca[[#Headers],[Ca]:[Kết thúc nghỉ]]),0)
),0,
IF(NOT(ISBLANK(AS$3)),
IF(ISBLANK(AS$7),0,
IF(AS$4 &lt; AS$5,
IF($AA25-$Z$4&lt;AS$4,0,
IF($AA25&gt;AS$5,0,
SUM(_xlfn._xlws.FILTER(Table_BangLuong_TyLeTangCa[Tỷ lệ],
(Table_BangLuong_TyLeTangCa[Ngày] = AS$3) *
(Table_BangLuong_TyLeTangCa[Giờ min]&lt;=$AA25) *
(Table_BangLuong_TyLeTangCa[Giờ max]&gt;$AA25)
)))),
IF(AND($AA25-$Z$4 &gt;= AS$5,$AA25 &lt; AS$4),0,
SUM(_xlfn._xlws.FILTER(Table_BangLuong_TyLeTangCa[Tỷ lệ],
(Table_BangLuong_TyLeTangCa[Ngày] = AS$3) *
(Table_BangLuong_TyLeTangCa[Giờ min]&lt;=$AA25) *
(Table_BangLuong_TyLeTangCa[Giờ max]&gt;$AA25)
))))
),
IF(ISBLANK(AS$7),
IF(VLOOKUP(AS$6, Table_ChiPhiNV_Ca[], COUNTA(Table_ChiPhiNV_Ca[[#Headers],[Ca]:[Kết thúc]]),0)&gt; VLOOKUP(AS$6, Table_ChiPhiNV_Ca[], COUNTA(Table_ChiPhiNV_Ca[[#Headers],[Ca]:[Bắt đầu]]),0),
IF($AA25-$Z$4&lt;MAX(AS$4,VLOOKUP(AS$6, Table_ChiPhiNV_Ca[], COUNTA(Table_ChiPhiNV_Ca[[#Headers],[Ca]:[Bắt đầu]]),0)),0,
IF($AA25&gt;MIN(AS$5,VLOOKUP(AS$6, Table_ChiPhiNV_Ca[], COUNTA(Table_ChiPhiNV_Ca[[#Headers],[Ca]:[Kết thúc]]),0)),0,
SUM(_xlfn._xlws.FILTER(Table_BangLuong_TyLeTangCa[Tỷ lệ],
(Table_BangLuong_TyLeTangCa[Ngày] = "Thường") *
(Table_BangLuong_TyLeTangCa[Giờ min]&lt;=$AA25) *
(Table_BangLuong_TyLeTangCa[Giờ max]&gt;$AA25)
)))),
IF(AS$4 &gt; AS$5,
IF(
AND(
$AA25-$Z$4&lt;MAX(AS$4,VLOOKUP(AS$6, Table_ChiPhiNV_Ca[], COUNTA(Table_ChiPhiNV_Ca[[#Headers],[Ca]:[Bắt đầu]]),0)),
$AA25&gt;MIN(AS$5,VLOOKUP(AS$6, Table_ChiPhiNV_Ca[], COUNTA(Table_ChiPhiNV_Ca[[#Headers],[Ca]:[Kết thúc]]),0))),0,
SUM(_xlfn._xlws.FILTER(Table_BangLuong_TyLeTangCa[Tỷ lệ],
(Table_BangLuong_TyLeTangCa[Ngày] = "Thường") *
(Table_BangLuong_TyLeTangCa[Giờ min]&lt;=$AA25) *
(Table_BangLuong_TyLeTangCa[Giờ max]&gt;$AA25)
))),
IF(
AND(
$AA25-$Z$4&gt;=MAX(AS$4,VLOOKUP(AS$6, Table_ChiPhiNV_Ca[], COUNTA(Table_ChiPhiNV_Ca[[#Headers],[Ca]:[Bắt đầu]]),0)),
$AA25&lt;MIN(AS$5,VLOOKUP(AS$6, Table_ChiPhiNV_Ca[], COUNTA(Table_ChiPhiNV_Ca[[#Headers],[Ca]:[Kết thúc]]),0))),
SUM(_xlfn._xlws.FILTER(Table_BangLuong_TyLeTangCa[Tỷ lệ],
(Table_BangLuong_TyLeTangCa[Ngày] = "Thường") *
(Table_BangLuong_TyLeTangCa[Giờ min]&lt;=$AA25) *
(Table_BangLuong_TyLeTangCa[Giờ max]&gt;$AA25)
)),0)
)),
IF(AS$4 &lt; AS$5,
IF($AA25-$Z$4&lt;AS$4,0,
IF($AA25&gt;AS$5,0,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AS$5,$AA25 &lt; AS$4),0,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T25" s="18" cm="1">
        <f t="array" ref="AT25" xml:space="preserve">
IFERROR(
IF(AT$1="",0,
IF(AND(
$AA25&gt;=VLOOKUP(AT$6, Table_ChiPhiNV_Ca[], COUNTA(Table_ChiPhiNV_Ca[[#Headers],[Ca]:[Bắt đầu nghỉ]]),0),
$AA25&lt;VLOOKUP(AT$6, Table_ChiPhiNV_Ca[], COUNTA(Table_ChiPhiNV_Ca[[#Headers],[Ca]:[Kết thúc nghỉ]]),0)
),0,
IF(NOT(ISBLANK(AT$3)),
IF(ISBLANK(AT$7),0,
IF(AT$4 &lt; AT$5,
IF($AA25-$Z$4&lt;AT$4,0,
IF($AA25&gt;AT$5,0,
SUM(_xlfn._xlws.FILTER(Table_BangLuong_TyLeTangCa[Tỷ lệ],
(Table_BangLuong_TyLeTangCa[Ngày] = AT$3) *
(Table_BangLuong_TyLeTangCa[Giờ min]&lt;=$AA25) *
(Table_BangLuong_TyLeTangCa[Giờ max]&gt;$AA25)
)))),
IF(AND($AA25-$Z$4 &gt;= AT$5,$AA25 &lt; AT$4),0,
SUM(_xlfn._xlws.FILTER(Table_BangLuong_TyLeTangCa[Tỷ lệ],
(Table_BangLuong_TyLeTangCa[Ngày] = AT$3) *
(Table_BangLuong_TyLeTangCa[Giờ min]&lt;=$AA25) *
(Table_BangLuong_TyLeTangCa[Giờ max]&gt;$AA25)
))))
),
IF(ISBLANK(AT$7),
IF(VLOOKUP(AT$6, Table_ChiPhiNV_Ca[], COUNTA(Table_ChiPhiNV_Ca[[#Headers],[Ca]:[Kết thúc]]),0)&gt; VLOOKUP(AT$6, Table_ChiPhiNV_Ca[], COUNTA(Table_ChiPhiNV_Ca[[#Headers],[Ca]:[Bắt đầu]]),0),
IF($AA25-$Z$4&lt;MAX(AT$4,VLOOKUP(AT$6, Table_ChiPhiNV_Ca[], COUNTA(Table_ChiPhiNV_Ca[[#Headers],[Ca]:[Bắt đầu]]),0)),0,
IF($AA25&gt;MIN(AT$5,VLOOKUP(AT$6, Table_ChiPhiNV_Ca[], COUNTA(Table_ChiPhiNV_Ca[[#Headers],[Ca]:[Kết thúc]]),0)),0,
SUM(_xlfn._xlws.FILTER(Table_BangLuong_TyLeTangCa[Tỷ lệ],
(Table_BangLuong_TyLeTangCa[Ngày] = "Thường") *
(Table_BangLuong_TyLeTangCa[Giờ min]&lt;=$AA25) *
(Table_BangLuong_TyLeTangCa[Giờ max]&gt;$AA25)
)))),
IF(AT$4 &gt; AT$5,
IF(
AND(
$AA25-$Z$4&lt;MAX(AT$4,VLOOKUP(AT$6, Table_ChiPhiNV_Ca[], COUNTA(Table_ChiPhiNV_Ca[[#Headers],[Ca]:[Bắt đầu]]),0)),
$AA25&gt;MIN(AT$5,VLOOKUP(AT$6, Table_ChiPhiNV_Ca[], COUNTA(Table_ChiPhiNV_Ca[[#Headers],[Ca]:[Kết thúc]]),0))),0,
SUM(_xlfn._xlws.FILTER(Table_BangLuong_TyLeTangCa[Tỷ lệ],
(Table_BangLuong_TyLeTangCa[Ngày] = "Thường") *
(Table_BangLuong_TyLeTangCa[Giờ min]&lt;=$AA25) *
(Table_BangLuong_TyLeTangCa[Giờ max]&gt;$AA25)
))),
IF(
AND(
$AA25-$Z$4&gt;=MAX(AT$4,VLOOKUP(AT$6, Table_ChiPhiNV_Ca[], COUNTA(Table_ChiPhiNV_Ca[[#Headers],[Ca]:[Bắt đầu]]),0)),
$AA25&lt;MIN(AT$5,VLOOKUP(AT$6, Table_ChiPhiNV_Ca[], COUNTA(Table_ChiPhiNV_Ca[[#Headers],[Ca]:[Kết thúc]]),0))),
SUM(_xlfn._xlws.FILTER(Table_BangLuong_TyLeTangCa[Tỷ lệ],
(Table_BangLuong_TyLeTangCa[Ngày] = "Thường") *
(Table_BangLuong_TyLeTangCa[Giờ min]&lt;=$AA25) *
(Table_BangLuong_TyLeTangCa[Giờ max]&gt;$AA25)
)),0)
)),
IF(AT$4 &lt; AT$5,
IF($AA25-$Z$4&lt;AT$4,0,
IF($AA25&gt;AT$5,0,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AT$5,$AA25 &lt; AT$4),0,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U25" s="18" cm="1">
        <f t="array" ref="AU25" xml:space="preserve">
IFERROR(
IF(AU$1="",0,
IF(AND(
$AA25&gt;=VLOOKUP(AU$6, Table_ChiPhiNV_Ca[], COUNTA(Table_ChiPhiNV_Ca[[#Headers],[Ca]:[Bắt đầu nghỉ]]),0),
$AA25&lt;VLOOKUP(AU$6, Table_ChiPhiNV_Ca[], COUNTA(Table_ChiPhiNV_Ca[[#Headers],[Ca]:[Kết thúc nghỉ]]),0)
),0,
IF(NOT(ISBLANK(AU$3)),
IF(ISBLANK(AU$7),0,
IF(AU$4 &lt; AU$5,
IF($AA25-$Z$4&lt;AU$4,0,
IF($AA25&gt;AU$5,0,
SUM(_xlfn._xlws.FILTER(Table_BangLuong_TyLeTangCa[Tỷ lệ],
(Table_BangLuong_TyLeTangCa[Ngày] = AU$3) *
(Table_BangLuong_TyLeTangCa[Giờ min]&lt;=$AA25) *
(Table_BangLuong_TyLeTangCa[Giờ max]&gt;$AA25)
)))),
IF(AND($AA25-$Z$4 &gt;= AU$5,$AA25 &lt; AU$4),0,
SUM(_xlfn._xlws.FILTER(Table_BangLuong_TyLeTangCa[Tỷ lệ],
(Table_BangLuong_TyLeTangCa[Ngày] = AU$3) *
(Table_BangLuong_TyLeTangCa[Giờ min]&lt;=$AA25) *
(Table_BangLuong_TyLeTangCa[Giờ max]&gt;$AA25)
))))
),
IF(ISBLANK(AU$7),
IF(VLOOKUP(AU$6, Table_ChiPhiNV_Ca[], COUNTA(Table_ChiPhiNV_Ca[[#Headers],[Ca]:[Kết thúc]]),0)&gt; VLOOKUP(AU$6, Table_ChiPhiNV_Ca[], COUNTA(Table_ChiPhiNV_Ca[[#Headers],[Ca]:[Bắt đầu]]),0),
IF($AA25-$Z$4&lt;MAX(AU$4,VLOOKUP(AU$6, Table_ChiPhiNV_Ca[], COUNTA(Table_ChiPhiNV_Ca[[#Headers],[Ca]:[Bắt đầu]]),0)),0,
IF($AA25&gt;MIN(AU$5,VLOOKUP(AU$6, Table_ChiPhiNV_Ca[], COUNTA(Table_ChiPhiNV_Ca[[#Headers],[Ca]:[Kết thúc]]),0)),0,
SUM(_xlfn._xlws.FILTER(Table_BangLuong_TyLeTangCa[Tỷ lệ],
(Table_BangLuong_TyLeTangCa[Ngày] = "Thường") *
(Table_BangLuong_TyLeTangCa[Giờ min]&lt;=$AA25) *
(Table_BangLuong_TyLeTangCa[Giờ max]&gt;$AA25)
)))),
IF(AU$4 &gt; AU$5,
IF(
AND(
$AA25-$Z$4&lt;MAX(AU$4,VLOOKUP(AU$6, Table_ChiPhiNV_Ca[], COUNTA(Table_ChiPhiNV_Ca[[#Headers],[Ca]:[Bắt đầu]]),0)),
$AA25&gt;MIN(AU$5,VLOOKUP(AU$6, Table_ChiPhiNV_Ca[], COUNTA(Table_ChiPhiNV_Ca[[#Headers],[Ca]:[Kết thúc]]),0))),0,
SUM(_xlfn._xlws.FILTER(Table_BangLuong_TyLeTangCa[Tỷ lệ],
(Table_BangLuong_TyLeTangCa[Ngày] = "Thường") *
(Table_BangLuong_TyLeTangCa[Giờ min]&lt;=$AA25) *
(Table_BangLuong_TyLeTangCa[Giờ max]&gt;$AA25)
))),
IF(
AND(
$AA25-$Z$4&gt;=MAX(AU$4,VLOOKUP(AU$6, Table_ChiPhiNV_Ca[], COUNTA(Table_ChiPhiNV_Ca[[#Headers],[Ca]:[Bắt đầu]]),0)),
$AA25&lt;MIN(AU$5,VLOOKUP(AU$6, Table_ChiPhiNV_Ca[], COUNTA(Table_ChiPhiNV_Ca[[#Headers],[Ca]:[Kết thúc]]),0))),
SUM(_xlfn._xlws.FILTER(Table_BangLuong_TyLeTangCa[Tỷ lệ],
(Table_BangLuong_TyLeTangCa[Ngày] = "Thường") *
(Table_BangLuong_TyLeTangCa[Giờ min]&lt;=$AA25) *
(Table_BangLuong_TyLeTangCa[Giờ max]&gt;$AA25)
)),0)
)),
IF(AU$4 &lt; AU$5,
IF($AA25-$Z$4&lt;AU$4,0,
IF($AA25&gt;AU$5,0,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AU$5,$AA25 &lt; AU$4),0,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V25" s="18" cm="1">
        <f t="array" ref="AV25" xml:space="preserve">
IFERROR(
IF(AV$1="",0,
IF(AND(
$AA25&gt;=VLOOKUP(AV$6, Table_ChiPhiNV_Ca[], COUNTA(Table_ChiPhiNV_Ca[[#Headers],[Ca]:[Bắt đầu nghỉ]]),0),
$AA25&lt;VLOOKUP(AV$6, Table_ChiPhiNV_Ca[], COUNTA(Table_ChiPhiNV_Ca[[#Headers],[Ca]:[Kết thúc nghỉ]]),0)
),0,
IF(NOT(ISBLANK(AV$3)),
IF(ISBLANK(AV$7),0,
IF(AV$4 &lt; AV$5,
IF($AA25-$Z$4&lt;AV$4,0,
IF($AA25&gt;AV$5,0,
SUM(_xlfn._xlws.FILTER(Table_BangLuong_TyLeTangCa[Tỷ lệ],
(Table_BangLuong_TyLeTangCa[Ngày] = AV$3) *
(Table_BangLuong_TyLeTangCa[Giờ min]&lt;=$AA25) *
(Table_BangLuong_TyLeTangCa[Giờ max]&gt;$AA25)
)))),
IF(AND($AA25-$Z$4 &gt;= AV$5,$AA25 &lt; AV$4),0,
SUM(_xlfn._xlws.FILTER(Table_BangLuong_TyLeTangCa[Tỷ lệ],
(Table_BangLuong_TyLeTangCa[Ngày] = AV$3) *
(Table_BangLuong_TyLeTangCa[Giờ min]&lt;=$AA25) *
(Table_BangLuong_TyLeTangCa[Giờ max]&gt;$AA25)
))))
),
IF(ISBLANK(AV$7),
IF(VLOOKUP(AV$6, Table_ChiPhiNV_Ca[], COUNTA(Table_ChiPhiNV_Ca[[#Headers],[Ca]:[Kết thúc]]),0)&gt; VLOOKUP(AV$6, Table_ChiPhiNV_Ca[], COUNTA(Table_ChiPhiNV_Ca[[#Headers],[Ca]:[Bắt đầu]]),0),
IF($AA25-$Z$4&lt;MAX(AV$4,VLOOKUP(AV$6, Table_ChiPhiNV_Ca[], COUNTA(Table_ChiPhiNV_Ca[[#Headers],[Ca]:[Bắt đầu]]),0)),0,
IF($AA25&gt;MIN(AV$5,VLOOKUP(AV$6, Table_ChiPhiNV_Ca[], COUNTA(Table_ChiPhiNV_Ca[[#Headers],[Ca]:[Kết thúc]]),0)),0,
SUM(_xlfn._xlws.FILTER(Table_BangLuong_TyLeTangCa[Tỷ lệ],
(Table_BangLuong_TyLeTangCa[Ngày] = "Thường") *
(Table_BangLuong_TyLeTangCa[Giờ min]&lt;=$AA25) *
(Table_BangLuong_TyLeTangCa[Giờ max]&gt;$AA25)
)))),
IF(AV$4 &gt; AV$5,
IF(
AND(
$AA25-$Z$4&lt;MAX(AV$4,VLOOKUP(AV$6, Table_ChiPhiNV_Ca[], COUNTA(Table_ChiPhiNV_Ca[[#Headers],[Ca]:[Bắt đầu]]),0)),
$AA25&gt;MIN(AV$5,VLOOKUP(AV$6, Table_ChiPhiNV_Ca[], COUNTA(Table_ChiPhiNV_Ca[[#Headers],[Ca]:[Kết thúc]]),0))),0,
SUM(_xlfn._xlws.FILTER(Table_BangLuong_TyLeTangCa[Tỷ lệ],
(Table_BangLuong_TyLeTangCa[Ngày] = "Thường") *
(Table_BangLuong_TyLeTangCa[Giờ min]&lt;=$AA25) *
(Table_BangLuong_TyLeTangCa[Giờ max]&gt;$AA25)
))),
IF(
AND(
$AA25-$Z$4&gt;=MAX(AV$4,VLOOKUP(AV$6, Table_ChiPhiNV_Ca[], COUNTA(Table_ChiPhiNV_Ca[[#Headers],[Ca]:[Bắt đầu]]),0)),
$AA25&lt;MIN(AV$5,VLOOKUP(AV$6, Table_ChiPhiNV_Ca[], COUNTA(Table_ChiPhiNV_Ca[[#Headers],[Ca]:[Kết thúc]]),0))),
SUM(_xlfn._xlws.FILTER(Table_BangLuong_TyLeTangCa[Tỷ lệ],
(Table_BangLuong_TyLeTangCa[Ngày] = "Thường") *
(Table_BangLuong_TyLeTangCa[Giờ min]&lt;=$AA25) *
(Table_BangLuong_TyLeTangCa[Giờ max]&gt;$AA25)
)),0)
)),
IF(AV$4 &lt; AV$5,
IF($AA25-$Z$4&lt;AV$4,0,
IF($AA25&gt;AV$5,0,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AV$5,$AA25 &lt; AV$4),0,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W25" s="18" cm="1">
        <f t="array" ref="AW25" xml:space="preserve">
IFERROR(
IF(AW$1="",0,
IF(AND(
$AA25&gt;=VLOOKUP(AW$6, Table_ChiPhiNV_Ca[], COUNTA(Table_ChiPhiNV_Ca[[#Headers],[Ca]:[Bắt đầu nghỉ]]),0),
$AA25&lt;VLOOKUP(AW$6, Table_ChiPhiNV_Ca[], COUNTA(Table_ChiPhiNV_Ca[[#Headers],[Ca]:[Kết thúc nghỉ]]),0)
),0,
IF(NOT(ISBLANK(AW$3)),
IF(ISBLANK(AW$7),0,
IF(AW$4 &lt; AW$5,
IF($AA25-$Z$4&lt;AW$4,0,
IF($AA25&gt;AW$5,0,
SUM(_xlfn._xlws.FILTER(Table_BangLuong_TyLeTangCa[Tỷ lệ],
(Table_BangLuong_TyLeTangCa[Ngày] = AW$3) *
(Table_BangLuong_TyLeTangCa[Giờ min]&lt;=$AA25) *
(Table_BangLuong_TyLeTangCa[Giờ max]&gt;$AA25)
)))),
IF(AND($AA25-$Z$4 &gt;= AW$5,$AA25 &lt; AW$4),0,
SUM(_xlfn._xlws.FILTER(Table_BangLuong_TyLeTangCa[Tỷ lệ],
(Table_BangLuong_TyLeTangCa[Ngày] = AW$3) *
(Table_BangLuong_TyLeTangCa[Giờ min]&lt;=$AA25) *
(Table_BangLuong_TyLeTangCa[Giờ max]&gt;$AA25)
))))
),
IF(ISBLANK(AW$7),
IF(VLOOKUP(AW$6, Table_ChiPhiNV_Ca[], COUNTA(Table_ChiPhiNV_Ca[[#Headers],[Ca]:[Kết thúc]]),0)&gt; VLOOKUP(AW$6, Table_ChiPhiNV_Ca[], COUNTA(Table_ChiPhiNV_Ca[[#Headers],[Ca]:[Bắt đầu]]),0),
IF($AA25-$Z$4&lt;MAX(AW$4,VLOOKUP(AW$6, Table_ChiPhiNV_Ca[], COUNTA(Table_ChiPhiNV_Ca[[#Headers],[Ca]:[Bắt đầu]]),0)),0,
IF($AA25&gt;MIN(AW$5,VLOOKUP(AW$6, Table_ChiPhiNV_Ca[], COUNTA(Table_ChiPhiNV_Ca[[#Headers],[Ca]:[Kết thúc]]),0)),0,
SUM(_xlfn._xlws.FILTER(Table_BangLuong_TyLeTangCa[Tỷ lệ],
(Table_BangLuong_TyLeTangCa[Ngày] = "Thường") *
(Table_BangLuong_TyLeTangCa[Giờ min]&lt;=$AA25) *
(Table_BangLuong_TyLeTangCa[Giờ max]&gt;$AA25)
)))),
IF(AW$4 &gt; AW$5,
IF(
AND(
$AA25-$Z$4&lt;MAX(AW$4,VLOOKUP(AW$6, Table_ChiPhiNV_Ca[], COUNTA(Table_ChiPhiNV_Ca[[#Headers],[Ca]:[Bắt đầu]]),0)),
$AA25&gt;MIN(AW$5,VLOOKUP(AW$6, Table_ChiPhiNV_Ca[], COUNTA(Table_ChiPhiNV_Ca[[#Headers],[Ca]:[Kết thúc]]),0))),0,
SUM(_xlfn._xlws.FILTER(Table_BangLuong_TyLeTangCa[Tỷ lệ],
(Table_BangLuong_TyLeTangCa[Ngày] = "Thường") *
(Table_BangLuong_TyLeTangCa[Giờ min]&lt;=$AA25) *
(Table_BangLuong_TyLeTangCa[Giờ max]&gt;$AA25)
))),
IF(
AND(
$AA25-$Z$4&gt;=MAX(AW$4,VLOOKUP(AW$6, Table_ChiPhiNV_Ca[], COUNTA(Table_ChiPhiNV_Ca[[#Headers],[Ca]:[Bắt đầu]]),0)),
$AA25&lt;MIN(AW$5,VLOOKUP(AW$6, Table_ChiPhiNV_Ca[], COUNTA(Table_ChiPhiNV_Ca[[#Headers],[Ca]:[Kết thúc]]),0))),
SUM(_xlfn._xlws.FILTER(Table_BangLuong_TyLeTangCa[Tỷ lệ],
(Table_BangLuong_TyLeTangCa[Ngày] = "Thường") *
(Table_BangLuong_TyLeTangCa[Giờ min]&lt;=$AA25) *
(Table_BangLuong_TyLeTangCa[Giờ max]&gt;$AA25)
)),0)
)),
IF(AW$4 &lt; AW$5,
IF($AA25-$Z$4&lt;AW$4,0,
IF($AA25&gt;AW$5,0,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AW$5,$AA25 &lt; AW$4),0,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X25" s="18" cm="1">
        <f t="array" ref="AX25" xml:space="preserve">
IFERROR(
IF(AX$1="",0,
IF(AND(
$AA25&gt;=VLOOKUP(AX$6, Table_ChiPhiNV_Ca[], COUNTA(Table_ChiPhiNV_Ca[[#Headers],[Ca]:[Bắt đầu nghỉ]]),0),
$AA25&lt;VLOOKUP(AX$6, Table_ChiPhiNV_Ca[], COUNTA(Table_ChiPhiNV_Ca[[#Headers],[Ca]:[Kết thúc nghỉ]]),0)
),0,
IF(NOT(ISBLANK(AX$3)),
IF(ISBLANK(AX$7),0,
IF(AX$4 &lt; AX$5,
IF($AA25-$Z$4&lt;AX$4,0,
IF($AA25&gt;AX$5,0,
SUM(_xlfn._xlws.FILTER(Table_BangLuong_TyLeTangCa[Tỷ lệ],
(Table_BangLuong_TyLeTangCa[Ngày] = AX$3) *
(Table_BangLuong_TyLeTangCa[Giờ min]&lt;=$AA25) *
(Table_BangLuong_TyLeTangCa[Giờ max]&gt;$AA25)
)))),
IF(AND($AA25-$Z$4 &gt;= AX$5,$AA25 &lt; AX$4),0,
SUM(_xlfn._xlws.FILTER(Table_BangLuong_TyLeTangCa[Tỷ lệ],
(Table_BangLuong_TyLeTangCa[Ngày] = AX$3) *
(Table_BangLuong_TyLeTangCa[Giờ min]&lt;=$AA25) *
(Table_BangLuong_TyLeTangCa[Giờ max]&gt;$AA25)
))))
),
IF(ISBLANK(AX$7),
IF(VLOOKUP(AX$6, Table_ChiPhiNV_Ca[], COUNTA(Table_ChiPhiNV_Ca[[#Headers],[Ca]:[Kết thúc]]),0)&gt; VLOOKUP(AX$6, Table_ChiPhiNV_Ca[], COUNTA(Table_ChiPhiNV_Ca[[#Headers],[Ca]:[Bắt đầu]]),0),
IF($AA25-$Z$4&lt;MAX(AX$4,VLOOKUP(AX$6, Table_ChiPhiNV_Ca[], COUNTA(Table_ChiPhiNV_Ca[[#Headers],[Ca]:[Bắt đầu]]),0)),0,
IF($AA25&gt;MIN(AX$5,VLOOKUP(AX$6, Table_ChiPhiNV_Ca[], COUNTA(Table_ChiPhiNV_Ca[[#Headers],[Ca]:[Kết thúc]]),0)),0,
SUM(_xlfn._xlws.FILTER(Table_BangLuong_TyLeTangCa[Tỷ lệ],
(Table_BangLuong_TyLeTangCa[Ngày] = "Thường") *
(Table_BangLuong_TyLeTangCa[Giờ min]&lt;=$AA25) *
(Table_BangLuong_TyLeTangCa[Giờ max]&gt;$AA25)
)))),
IF(AX$4 &gt; AX$5,
IF(
AND(
$AA25-$Z$4&lt;MAX(AX$4,VLOOKUP(AX$6, Table_ChiPhiNV_Ca[], COUNTA(Table_ChiPhiNV_Ca[[#Headers],[Ca]:[Bắt đầu]]),0)),
$AA25&gt;MIN(AX$5,VLOOKUP(AX$6, Table_ChiPhiNV_Ca[], COUNTA(Table_ChiPhiNV_Ca[[#Headers],[Ca]:[Kết thúc]]),0))),0,
SUM(_xlfn._xlws.FILTER(Table_BangLuong_TyLeTangCa[Tỷ lệ],
(Table_BangLuong_TyLeTangCa[Ngày] = "Thường") *
(Table_BangLuong_TyLeTangCa[Giờ min]&lt;=$AA25) *
(Table_BangLuong_TyLeTangCa[Giờ max]&gt;$AA25)
))),
IF(
AND(
$AA25-$Z$4&gt;=MAX(AX$4,VLOOKUP(AX$6, Table_ChiPhiNV_Ca[], COUNTA(Table_ChiPhiNV_Ca[[#Headers],[Ca]:[Bắt đầu]]),0)),
$AA25&lt;MIN(AX$5,VLOOKUP(AX$6, Table_ChiPhiNV_Ca[], COUNTA(Table_ChiPhiNV_Ca[[#Headers],[Ca]:[Kết thúc]]),0))),
SUM(_xlfn._xlws.FILTER(Table_BangLuong_TyLeTangCa[Tỷ lệ],
(Table_BangLuong_TyLeTangCa[Ngày] = "Thường") *
(Table_BangLuong_TyLeTangCa[Giờ min]&lt;=$AA25) *
(Table_BangLuong_TyLeTangCa[Giờ max]&gt;$AA25)
)),0)
)),
IF(AX$4 &lt; AX$5,
IF($AA25-$Z$4&lt;AX$4,0,
IF($AA25&gt;AX$5,0,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AX$5,$AA25 &lt; AX$4),0,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Y25" s="18" cm="1">
        <f t="array" ref="AY25" xml:space="preserve">
IFERROR(
IF(AY$1="",0,
IF(AND(
$AA25&gt;=VLOOKUP(AY$6, Table_ChiPhiNV_Ca[], COUNTA(Table_ChiPhiNV_Ca[[#Headers],[Ca]:[Bắt đầu nghỉ]]),0),
$AA25&lt;VLOOKUP(AY$6, Table_ChiPhiNV_Ca[], COUNTA(Table_ChiPhiNV_Ca[[#Headers],[Ca]:[Kết thúc nghỉ]]),0)
),0,
IF(NOT(ISBLANK(AY$3)),
IF(ISBLANK(AY$7),0,
IF(AY$4 &lt; AY$5,
IF($AA25-$Z$4&lt;AY$4,0,
IF($AA25&gt;AY$5,0,
SUM(_xlfn._xlws.FILTER(Table_BangLuong_TyLeTangCa[Tỷ lệ],
(Table_BangLuong_TyLeTangCa[Ngày] = AY$3) *
(Table_BangLuong_TyLeTangCa[Giờ min]&lt;=$AA25) *
(Table_BangLuong_TyLeTangCa[Giờ max]&gt;$AA25)
)))),
IF(AND($AA25-$Z$4 &gt;= AY$5,$AA25 &lt; AY$4),0,
SUM(_xlfn._xlws.FILTER(Table_BangLuong_TyLeTangCa[Tỷ lệ],
(Table_BangLuong_TyLeTangCa[Ngày] = AY$3) *
(Table_BangLuong_TyLeTangCa[Giờ min]&lt;=$AA25) *
(Table_BangLuong_TyLeTangCa[Giờ max]&gt;$AA25)
))))
),
IF(ISBLANK(AY$7),
IF(VLOOKUP(AY$6, Table_ChiPhiNV_Ca[], COUNTA(Table_ChiPhiNV_Ca[[#Headers],[Ca]:[Kết thúc]]),0)&gt; VLOOKUP(AY$6, Table_ChiPhiNV_Ca[], COUNTA(Table_ChiPhiNV_Ca[[#Headers],[Ca]:[Bắt đầu]]),0),
IF($AA25-$Z$4&lt;MAX(AY$4,VLOOKUP(AY$6, Table_ChiPhiNV_Ca[], COUNTA(Table_ChiPhiNV_Ca[[#Headers],[Ca]:[Bắt đầu]]),0)),0,
IF($AA25&gt;MIN(AY$5,VLOOKUP(AY$6, Table_ChiPhiNV_Ca[], COUNTA(Table_ChiPhiNV_Ca[[#Headers],[Ca]:[Kết thúc]]),0)),0,
SUM(_xlfn._xlws.FILTER(Table_BangLuong_TyLeTangCa[Tỷ lệ],
(Table_BangLuong_TyLeTangCa[Ngày] = "Thường") *
(Table_BangLuong_TyLeTangCa[Giờ min]&lt;=$AA25) *
(Table_BangLuong_TyLeTangCa[Giờ max]&gt;$AA25)
)))),
IF(AY$4 &gt; AY$5,
IF(
AND(
$AA25-$Z$4&lt;MAX(AY$4,VLOOKUP(AY$6, Table_ChiPhiNV_Ca[], COUNTA(Table_ChiPhiNV_Ca[[#Headers],[Ca]:[Bắt đầu]]),0)),
$AA25&gt;MIN(AY$5,VLOOKUP(AY$6, Table_ChiPhiNV_Ca[], COUNTA(Table_ChiPhiNV_Ca[[#Headers],[Ca]:[Kết thúc]]),0))),0,
SUM(_xlfn._xlws.FILTER(Table_BangLuong_TyLeTangCa[Tỷ lệ],
(Table_BangLuong_TyLeTangCa[Ngày] = "Thường") *
(Table_BangLuong_TyLeTangCa[Giờ min]&lt;=$AA25) *
(Table_BangLuong_TyLeTangCa[Giờ max]&gt;$AA25)
))),
IF(
AND(
$AA25-$Z$4&gt;=MAX(AY$4,VLOOKUP(AY$6, Table_ChiPhiNV_Ca[], COUNTA(Table_ChiPhiNV_Ca[[#Headers],[Ca]:[Bắt đầu]]),0)),
$AA25&lt;MIN(AY$5,VLOOKUP(AY$6, Table_ChiPhiNV_Ca[], COUNTA(Table_ChiPhiNV_Ca[[#Headers],[Ca]:[Kết thúc]]),0))),
SUM(_xlfn._xlws.FILTER(Table_BangLuong_TyLeTangCa[Tỷ lệ],
(Table_BangLuong_TyLeTangCa[Ngày] = "Thường") *
(Table_BangLuong_TyLeTangCa[Giờ min]&lt;=$AA25) *
(Table_BangLuong_TyLeTangCa[Giờ max]&gt;$AA25)
)),0)
)),
IF(AY$4 &lt; AY$5,
IF($AA25-$Z$4&lt;AY$4,0,
IF($AA25&gt;AY$5,0,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AY$5,$AA25 &lt; AY$4),0,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Z25" s="18" cm="1">
        <f t="array" ref="AZ25" xml:space="preserve">
IFERROR(
IF(AZ$1="",0,
IF(AND(
$AA25&gt;=VLOOKUP(AZ$6, Table_ChiPhiNV_Ca[], COUNTA(Table_ChiPhiNV_Ca[[#Headers],[Ca]:[Bắt đầu nghỉ]]),0),
$AA25&lt;VLOOKUP(AZ$6, Table_ChiPhiNV_Ca[], COUNTA(Table_ChiPhiNV_Ca[[#Headers],[Ca]:[Kết thúc nghỉ]]),0)
),0,
IF(NOT(ISBLANK(AZ$3)),
IF(ISBLANK(AZ$7),0,
IF(AZ$4 &lt; AZ$5,
IF($AA25-$Z$4&lt;AZ$4,0,
IF($AA25&gt;AZ$5,0,
SUM(_xlfn._xlws.FILTER(Table_BangLuong_TyLeTangCa[Tỷ lệ],
(Table_BangLuong_TyLeTangCa[Ngày] = AZ$3) *
(Table_BangLuong_TyLeTangCa[Giờ min]&lt;=$AA25) *
(Table_BangLuong_TyLeTangCa[Giờ max]&gt;$AA25)
)))),
IF(AND($AA25-$Z$4 &gt;= AZ$5,$AA25 &lt; AZ$4),0,
SUM(_xlfn._xlws.FILTER(Table_BangLuong_TyLeTangCa[Tỷ lệ],
(Table_BangLuong_TyLeTangCa[Ngày] = AZ$3) *
(Table_BangLuong_TyLeTangCa[Giờ min]&lt;=$AA25) *
(Table_BangLuong_TyLeTangCa[Giờ max]&gt;$AA25)
))))
),
IF(ISBLANK(AZ$7),
IF(VLOOKUP(AZ$6, Table_ChiPhiNV_Ca[], COUNTA(Table_ChiPhiNV_Ca[[#Headers],[Ca]:[Kết thúc]]),0)&gt; VLOOKUP(AZ$6, Table_ChiPhiNV_Ca[], COUNTA(Table_ChiPhiNV_Ca[[#Headers],[Ca]:[Bắt đầu]]),0),
IF($AA25-$Z$4&lt;MAX(AZ$4,VLOOKUP(AZ$6, Table_ChiPhiNV_Ca[], COUNTA(Table_ChiPhiNV_Ca[[#Headers],[Ca]:[Bắt đầu]]),0)),0,
IF($AA25&gt;MIN(AZ$5,VLOOKUP(AZ$6, Table_ChiPhiNV_Ca[], COUNTA(Table_ChiPhiNV_Ca[[#Headers],[Ca]:[Kết thúc]]),0)),0,
SUM(_xlfn._xlws.FILTER(Table_BangLuong_TyLeTangCa[Tỷ lệ],
(Table_BangLuong_TyLeTangCa[Ngày] = "Thường") *
(Table_BangLuong_TyLeTangCa[Giờ min]&lt;=$AA25) *
(Table_BangLuong_TyLeTangCa[Giờ max]&gt;$AA25)
)))),
IF(AZ$4 &gt; AZ$5,
IF(
AND(
$AA25-$Z$4&lt;MAX(AZ$4,VLOOKUP(AZ$6, Table_ChiPhiNV_Ca[], COUNTA(Table_ChiPhiNV_Ca[[#Headers],[Ca]:[Bắt đầu]]),0)),
$AA25&gt;MIN(AZ$5,VLOOKUP(AZ$6, Table_ChiPhiNV_Ca[], COUNTA(Table_ChiPhiNV_Ca[[#Headers],[Ca]:[Kết thúc]]),0))),0,
SUM(_xlfn._xlws.FILTER(Table_BangLuong_TyLeTangCa[Tỷ lệ],
(Table_BangLuong_TyLeTangCa[Ngày] = "Thường") *
(Table_BangLuong_TyLeTangCa[Giờ min]&lt;=$AA25) *
(Table_BangLuong_TyLeTangCa[Giờ max]&gt;$AA25)
))),
IF(
AND(
$AA25-$Z$4&gt;=MAX(AZ$4,VLOOKUP(AZ$6, Table_ChiPhiNV_Ca[], COUNTA(Table_ChiPhiNV_Ca[[#Headers],[Ca]:[Bắt đầu]]),0)),
$AA25&lt;MIN(AZ$5,VLOOKUP(AZ$6, Table_ChiPhiNV_Ca[], COUNTA(Table_ChiPhiNV_Ca[[#Headers],[Ca]:[Kết thúc]]),0))),
SUM(_xlfn._xlws.FILTER(Table_BangLuong_TyLeTangCa[Tỷ lệ],
(Table_BangLuong_TyLeTangCa[Ngày] = "Thường") *
(Table_BangLuong_TyLeTangCa[Giờ min]&lt;=$AA25) *
(Table_BangLuong_TyLeTangCa[Giờ max]&gt;$AA25)
)),0)
)),
IF(AZ$4 &lt; AZ$5,
IF($AA25-$Z$4&lt;AZ$4,0,
IF($AA25&gt;AZ$5,0,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AZ$5,$AA25 &lt; AZ$4),0,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A25" s="18" cm="1">
        <f t="array" ref="BA25" xml:space="preserve">
IFERROR(
IF(BA$1="",0,
IF(AND(
$AA25&gt;=VLOOKUP(BA$6, Table_ChiPhiNV_Ca[], COUNTA(Table_ChiPhiNV_Ca[[#Headers],[Ca]:[Bắt đầu nghỉ]]),0),
$AA25&lt;VLOOKUP(BA$6, Table_ChiPhiNV_Ca[], COUNTA(Table_ChiPhiNV_Ca[[#Headers],[Ca]:[Kết thúc nghỉ]]),0)
),0,
IF(NOT(ISBLANK(BA$3)),
IF(ISBLANK(BA$7),0,
IF(BA$4 &lt; BA$5,
IF($AA25-$Z$4&lt;BA$4,0,
IF($AA25&gt;BA$5,0,
SUM(_xlfn._xlws.FILTER(Table_BangLuong_TyLeTangCa[Tỷ lệ],
(Table_BangLuong_TyLeTangCa[Ngày] = BA$3) *
(Table_BangLuong_TyLeTangCa[Giờ min]&lt;=$AA25) *
(Table_BangLuong_TyLeTangCa[Giờ max]&gt;$AA25)
)))),
IF(AND($AA25-$Z$4 &gt;= BA$5,$AA25 &lt; BA$4),0,
SUM(_xlfn._xlws.FILTER(Table_BangLuong_TyLeTangCa[Tỷ lệ],
(Table_BangLuong_TyLeTangCa[Ngày] = BA$3) *
(Table_BangLuong_TyLeTangCa[Giờ min]&lt;=$AA25) *
(Table_BangLuong_TyLeTangCa[Giờ max]&gt;$AA25)
))))
),
IF(ISBLANK(BA$7),
IF(VLOOKUP(BA$6, Table_ChiPhiNV_Ca[], COUNTA(Table_ChiPhiNV_Ca[[#Headers],[Ca]:[Kết thúc]]),0)&gt; VLOOKUP(BA$6, Table_ChiPhiNV_Ca[], COUNTA(Table_ChiPhiNV_Ca[[#Headers],[Ca]:[Bắt đầu]]),0),
IF($AA25-$Z$4&lt;MAX(BA$4,VLOOKUP(BA$6, Table_ChiPhiNV_Ca[], COUNTA(Table_ChiPhiNV_Ca[[#Headers],[Ca]:[Bắt đầu]]),0)),0,
IF($AA25&gt;MIN(BA$5,VLOOKUP(BA$6, Table_ChiPhiNV_Ca[], COUNTA(Table_ChiPhiNV_Ca[[#Headers],[Ca]:[Kết thúc]]),0)),0,
SUM(_xlfn._xlws.FILTER(Table_BangLuong_TyLeTangCa[Tỷ lệ],
(Table_BangLuong_TyLeTangCa[Ngày] = "Thường") *
(Table_BangLuong_TyLeTangCa[Giờ min]&lt;=$AA25) *
(Table_BangLuong_TyLeTangCa[Giờ max]&gt;$AA25)
)))),
IF(BA$4 &gt; BA$5,
IF(
AND(
$AA25-$Z$4&lt;MAX(BA$4,VLOOKUP(BA$6, Table_ChiPhiNV_Ca[], COUNTA(Table_ChiPhiNV_Ca[[#Headers],[Ca]:[Bắt đầu]]),0)),
$AA25&gt;MIN(BA$5,VLOOKUP(BA$6, Table_ChiPhiNV_Ca[], COUNTA(Table_ChiPhiNV_Ca[[#Headers],[Ca]:[Kết thúc]]),0))),0,
SUM(_xlfn._xlws.FILTER(Table_BangLuong_TyLeTangCa[Tỷ lệ],
(Table_BangLuong_TyLeTangCa[Ngày] = "Thường") *
(Table_BangLuong_TyLeTangCa[Giờ min]&lt;=$AA25) *
(Table_BangLuong_TyLeTangCa[Giờ max]&gt;$AA25)
))),
IF(
AND(
$AA25-$Z$4&gt;=MAX(BA$4,VLOOKUP(BA$6, Table_ChiPhiNV_Ca[], COUNTA(Table_ChiPhiNV_Ca[[#Headers],[Ca]:[Bắt đầu]]),0)),
$AA25&lt;MIN(BA$5,VLOOKUP(BA$6, Table_ChiPhiNV_Ca[], COUNTA(Table_ChiPhiNV_Ca[[#Headers],[Ca]:[Kết thúc]]),0))),
SUM(_xlfn._xlws.FILTER(Table_BangLuong_TyLeTangCa[Tỷ lệ],
(Table_BangLuong_TyLeTangCa[Ngày] = "Thường") *
(Table_BangLuong_TyLeTangCa[Giờ min]&lt;=$AA25) *
(Table_BangLuong_TyLeTangCa[Giờ max]&gt;$AA25)
)),0)
)),
IF(BA$4 &lt; BA$5,
IF($AA25-$Z$4&lt;BA$4,0,
IF($AA25&gt;BA$5,0,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BA$5,$AA25 &lt; BA$4),0,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B25" s="18" cm="1">
        <f t="array" ref="BB25" xml:space="preserve">
IFERROR(
IF(BB$1="",0,
IF(AND(
$AA25&gt;=VLOOKUP(BB$6, Table_ChiPhiNV_Ca[], COUNTA(Table_ChiPhiNV_Ca[[#Headers],[Ca]:[Bắt đầu nghỉ]]),0),
$AA25&lt;VLOOKUP(BB$6, Table_ChiPhiNV_Ca[], COUNTA(Table_ChiPhiNV_Ca[[#Headers],[Ca]:[Kết thúc nghỉ]]),0)
),0,
IF(NOT(ISBLANK(BB$3)),
IF(ISBLANK(BB$7),0,
IF(BB$4 &lt; BB$5,
IF($AA25-$Z$4&lt;BB$4,0,
IF($AA25&gt;BB$5,0,
SUM(_xlfn._xlws.FILTER(Table_BangLuong_TyLeTangCa[Tỷ lệ],
(Table_BangLuong_TyLeTangCa[Ngày] = BB$3) *
(Table_BangLuong_TyLeTangCa[Giờ min]&lt;=$AA25) *
(Table_BangLuong_TyLeTangCa[Giờ max]&gt;$AA25)
)))),
IF(AND($AA25-$Z$4 &gt;= BB$5,$AA25 &lt; BB$4),0,
SUM(_xlfn._xlws.FILTER(Table_BangLuong_TyLeTangCa[Tỷ lệ],
(Table_BangLuong_TyLeTangCa[Ngày] = BB$3) *
(Table_BangLuong_TyLeTangCa[Giờ min]&lt;=$AA25) *
(Table_BangLuong_TyLeTangCa[Giờ max]&gt;$AA25)
))))
),
IF(ISBLANK(BB$7),
IF(VLOOKUP(BB$6, Table_ChiPhiNV_Ca[], COUNTA(Table_ChiPhiNV_Ca[[#Headers],[Ca]:[Kết thúc]]),0)&gt; VLOOKUP(BB$6, Table_ChiPhiNV_Ca[], COUNTA(Table_ChiPhiNV_Ca[[#Headers],[Ca]:[Bắt đầu]]),0),
IF($AA25-$Z$4&lt;MAX(BB$4,VLOOKUP(BB$6, Table_ChiPhiNV_Ca[], COUNTA(Table_ChiPhiNV_Ca[[#Headers],[Ca]:[Bắt đầu]]),0)),0,
IF($AA25&gt;MIN(BB$5,VLOOKUP(BB$6, Table_ChiPhiNV_Ca[], COUNTA(Table_ChiPhiNV_Ca[[#Headers],[Ca]:[Kết thúc]]),0)),0,
SUM(_xlfn._xlws.FILTER(Table_BangLuong_TyLeTangCa[Tỷ lệ],
(Table_BangLuong_TyLeTangCa[Ngày] = "Thường") *
(Table_BangLuong_TyLeTangCa[Giờ min]&lt;=$AA25) *
(Table_BangLuong_TyLeTangCa[Giờ max]&gt;$AA25)
)))),
IF(BB$4 &gt; BB$5,
IF(
AND(
$AA25-$Z$4&lt;MAX(BB$4,VLOOKUP(BB$6, Table_ChiPhiNV_Ca[], COUNTA(Table_ChiPhiNV_Ca[[#Headers],[Ca]:[Bắt đầu]]),0)),
$AA25&gt;MIN(BB$5,VLOOKUP(BB$6, Table_ChiPhiNV_Ca[], COUNTA(Table_ChiPhiNV_Ca[[#Headers],[Ca]:[Kết thúc]]),0))),0,
SUM(_xlfn._xlws.FILTER(Table_BangLuong_TyLeTangCa[Tỷ lệ],
(Table_BangLuong_TyLeTangCa[Ngày] = "Thường") *
(Table_BangLuong_TyLeTangCa[Giờ min]&lt;=$AA25) *
(Table_BangLuong_TyLeTangCa[Giờ max]&gt;$AA25)
))),
IF(
AND(
$AA25-$Z$4&gt;=MAX(BB$4,VLOOKUP(BB$6, Table_ChiPhiNV_Ca[], COUNTA(Table_ChiPhiNV_Ca[[#Headers],[Ca]:[Bắt đầu]]),0)),
$AA25&lt;MIN(BB$5,VLOOKUP(BB$6, Table_ChiPhiNV_Ca[], COUNTA(Table_ChiPhiNV_Ca[[#Headers],[Ca]:[Kết thúc]]),0))),
SUM(_xlfn._xlws.FILTER(Table_BangLuong_TyLeTangCa[Tỷ lệ],
(Table_BangLuong_TyLeTangCa[Ngày] = "Thường") *
(Table_BangLuong_TyLeTangCa[Giờ min]&lt;=$AA25) *
(Table_BangLuong_TyLeTangCa[Giờ max]&gt;$AA25)
)),0)
)),
IF(BB$4 &lt; BB$5,
IF($AA25-$Z$4&lt;BB$4,0,
IF($AA25&gt;BB$5,0,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BB$5,$AA25 &lt; BB$4),0,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C25" s="18" cm="1">
        <f t="array" ref="BC25" xml:space="preserve">
IFERROR(
IF(BC$1="",0,
IF(AND(
$AA25&gt;=VLOOKUP(BC$6, Table_ChiPhiNV_Ca[], COUNTA(Table_ChiPhiNV_Ca[[#Headers],[Ca]:[Bắt đầu nghỉ]]),0),
$AA25&lt;VLOOKUP(BC$6, Table_ChiPhiNV_Ca[], COUNTA(Table_ChiPhiNV_Ca[[#Headers],[Ca]:[Kết thúc nghỉ]]),0)
),0,
IF(NOT(ISBLANK(BC$3)),
IF(ISBLANK(BC$7),0,
IF(BC$4 &lt; BC$5,
IF($AA25-$Z$4&lt;BC$4,0,
IF($AA25&gt;BC$5,0,
SUM(_xlfn._xlws.FILTER(Table_BangLuong_TyLeTangCa[Tỷ lệ],
(Table_BangLuong_TyLeTangCa[Ngày] = BC$3) *
(Table_BangLuong_TyLeTangCa[Giờ min]&lt;=$AA25) *
(Table_BangLuong_TyLeTangCa[Giờ max]&gt;$AA25)
)))),
IF(AND($AA25-$Z$4 &gt;= BC$5,$AA25 &lt; BC$4),0,
SUM(_xlfn._xlws.FILTER(Table_BangLuong_TyLeTangCa[Tỷ lệ],
(Table_BangLuong_TyLeTangCa[Ngày] = BC$3) *
(Table_BangLuong_TyLeTangCa[Giờ min]&lt;=$AA25) *
(Table_BangLuong_TyLeTangCa[Giờ max]&gt;$AA25)
))))
),
IF(ISBLANK(BC$7),
IF(VLOOKUP(BC$6, Table_ChiPhiNV_Ca[], COUNTA(Table_ChiPhiNV_Ca[[#Headers],[Ca]:[Kết thúc]]),0)&gt; VLOOKUP(BC$6, Table_ChiPhiNV_Ca[], COUNTA(Table_ChiPhiNV_Ca[[#Headers],[Ca]:[Bắt đầu]]),0),
IF($AA25-$Z$4&lt;MAX(BC$4,VLOOKUP(BC$6, Table_ChiPhiNV_Ca[], COUNTA(Table_ChiPhiNV_Ca[[#Headers],[Ca]:[Bắt đầu]]),0)),0,
IF($AA25&gt;MIN(BC$5,VLOOKUP(BC$6, Table_ChiPhiNV_Ca[], COUNTA(Table_ChiPhiNV_Ca[[#Headers],[Ca]:[Kết thúc]]),0)),0,
SUM(_xlfn._xlws.FILTER(Table_BangLuong_TyLeTangCa[Tỷ lệ],
(Table_BangLuong_TyLeTangCa[Ngày] = "Thường") *
(Table_BangLuong_TyLeTangCa[Giờ min]&lt;=$AA25) *
(Table_BangLuong_TyLeTangCa[Giờ max]&gt;$AA25)
)))),
IF(BC$4 &gt; BC$5,
IF(
AND(
$AA25-$Z$4&lt;MAX(BC$4,VLOOKUP(BC$6, Table_ChiPhiNV_Ca[], COUNTA(Table_ChiPhiNV_Ca[[#Headers],[Ca]:[Bắt đầu]]),0)),
$AA25&gt;MIN(BC$5,VLOOKUP(BC$6, Table_ChiPhiNV_Ca[], COUNTA(Table_ChiPhiNV_Ca[[#Headers],[Ca]:[Kết thúc]]),0))),0,
SUM(_xlfn._xlws.FILTER(Table_BangLuong_TyLeTangCa[Tỷ lệ],
(Table_BangLuong_TyLeTangCa[Ngày] = "Thường") *
(Table_BangLuong_TyLeTangCa[Giờ min]&lt;=$AA25) *
(Table_BangLuong_TyLeTangCa[Giờ max]&gt;$AA25)
))),
IF(
AND(
$AA25-$Z$4&gt;=MAX(BC$4,VLOOKUP(BC$6, Table_ChiPhiNV_Ca[], COUNTA(Table_ChiPhiNV_Ca[[#Headers],[Ca]:[Bắt đầu]]),0)),
$AA25&lt;MIN(BC$5,VLOOKUP(BC$6, Table_ChiPhiNV_Ca[], COUNTA(Table_ChiPhiNV_Ca[[#Headers],[Ca]:[Kết thúc]]),0))),
SUM(_xlfn._xlws.FILTER(Table_BangLuong_TyLeTangCa[Tỷ lệ],
(Table_BangLuong_TyLeTangCa[Ngày] = "Thường") *
(Table_BangLuong_TyLeTangCa[Giờ min]&lt;=$AA25) *
(Table_BangLuong_TyLeTangCa[Giờ max]&gt;$AA25)
)),0)
)),
IF(BC$4 &lt; BC$5,
IF($AA25-$Z$4&lt;BC$4,0,
IF($AA25&gt;BC$5,0,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BC$5,$AA25 &lt; BC$4),0,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D25" s="18" cm="1">
        <f t="array" ref="BD25" xml:space="preserve">
IFERROR(
IF(BD$1="",0,
IF(AND(
$AA25&gt;=VLOOKUP(BD$6, Table_ChiPhiNV_Ca[], COUNTA(Table_ChiPhiNV_Ca[[#Headers],[Ca]:[Bắt đầu nghỉ]]),0),
$AA25&lt;VLOOKUP(BD$6, Table_ChiPhiNV_Ca[], COUNTA(Table_ChiPhiNV_Ca[[#Headers],[Ca]:[Kết thúc nghỉ]]),0)
),0,
IF(NOT(ISBLANK(BD$3)),
IF(ISBLANK(BD$7),0,
IF(BD$4 &lt; BD$5,
IF($AA25-$Z$4&lt;BD$4,0,
IF($AA25&gt;BD$5,0,
SUM(_xlfn._xlws.FILTER(Table_BangLuong_TyLeTangCa[Tỷ lệ],
(Table_BangLuong_TyLeTangCa[Ngày] = BD$3) *
(Table_BangLuong_TyLeTangCa[Giờ min]&lt;=$AA25) *
(Table_BangLuong_TyLeTangCa[Giờ max]&gt;$AA25)
)))),
IF(AND($AA25-$Z$4 &gt;= BD$5,$AA25 &lt; BD$4),0,
SUM(_xlfn._xlws.FILTER(Table_BangLuong_TyLeTangCa[Tỷ lệ],
(Table_BangLuong_TyLeTangCa[Ngày] = BD$3) *
(Table_BangLuong_TyLeTangCa[Giờ min]&lt;=$AA25) *
(Table_BangLuong_TyLeTangCa[Giờ max]&gt;$AA25)
))))
),
IF(ISBLANK(BD$7),
IF(VLOOKUP(BD$6, Table_ChiPhiNV_Ca[], COUNTA(Table_ChiPhiNV_Ca[[#Headers],[Ca]:[Kết thúc]]),0)&gt; VLOOKUP(BD$6, Table_ChiPhiNV_Ca[], COUNTA(Table_ChiPhiNV_Ca[[#Headers],[Ca]:[Bắt đầu]]),0),
IF($AA25-$Z$4&lt;MAX(BD$4,VLOOKUP(BD$6, Table_ChiPhiNV_Ca[], COUNTA(Table_ChiPhiNV_Ca[[#Headers],[Ca]:[Bắt đầu]]),0)),0,
IF($AA25&gt;MIN(BD$5,VLOOKUP(BD$6, Table_ChiPhiNV_Ca[], COUNTA(Table_ChiPhiNV_Ca[[#Headers],[Ca]:[Kết thúc]]),0)),0,
SUM(_xlfn._xlws.FILTER(Table_BangLuong_TyLeTangCa[Tỷ lệ],
(Table_BangLuong_TyLeTangCa[Ngày] = "Thường") *
(Table_BangLuong_TyLeTangCa[Giờ min]&lt;=$AA25) *
(Table_BangLuong_TyLeTangCa[Giờ max]&gt;$AA25)
)))),
IF(BD$4 &gt; BD$5,
IF(
AND(
$AA25-$Z$4&lt;MAX(BD$4,VLOOKUP(BD$6, Table_ChiPhiNV_Ca[], COUNTA(Table_ChiPhiNV_Ca[[#Headers],[Ca]:[Bắt đầu]]),0)),
$AA25&gt;MIN(BD$5,VLOOKUP(BD$6, Table_ChiPhiNV_Ca[], COUNTA(Table_ChiPhiNV_Ca[[#Headers],[Ca]:[Kết thúc]]),0))),0,
SUM(_xlfn._xlws.FILTER(Table_BangLuong_TyLeTangCa[Tỷ lệ],
(Table_BangLuong_TyLeTangCa[Ngày] = "Thường") *
(Table_BangLuong_TyLeTangCa[Giờ min]&lt;=$AA25) *
(Table_BangLuong_TyLeTangCa[Giờ max]&gt;$AA25)
))),
IF(
AND(
$AA25-$Z$4&gt;=MAX(BD$4,VLOOKUP(BD$6, Table_ChiPhiNV_Ca[], COUNTA(Table_ChiPhiNV_Ca[[#Headers],[Ca]:[Bắt đầu]]),0)),
$AA25&lt;MIN(BD$5,VLOOKUP(BD$6, Table_ChiPhiNV_Ca[], COUNTA(Table_ChiPhiNV_Ca[[#Headers],[Ca]:[Kết thúc]]),0))),
SUM(_xlfn._xlws.FILTER(Table_BangLuong_TyLeTangCa[Tỷ lệ],
(Table_BangLuong_TyLeTangCa[Ngày] = "Thường") *
(Table_BangLuong_TyLeTangCa[Giờ min]&lt;=$AA25) *
(Table_BangLuong_TyLeTangCa[Giờ max]&gt;$AA25)
)),0)
)),
IF(BD$4 &lt; BD$5,
IF($AA25-$Z$4&lt;BD$4,0,
IF($AA25&gt;BD$5,0,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BD$5,$AA25 &lt; BD$4),0,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E25" s="18" cm="1">
        <f t="array" ref="BE25" xml:space="preserve">
IFERROR(
IF(BE$1="",0,
IF(AND(
$AA25&gt;=VLOOKUP(BE$6, Table_ChiPhiNV_Ca[], COUNTA(Table_ChiPhiNV_Ca[[#Headers],[Ca]:[Bắt đầu nghỉ]]),0),
$AA25&lt;VLOOKUP(BE$6, Table_ChiPhiNV_Ca[], COUNTA(Table_ChiPhiNV_Ca[[#Headers],[Ca]:[Kết thúc nghỉ]]),0)
),0,
IF(NOT(ISBLANK(BE$3)),
IF(ISBLANK(BE$7),0,
IF(BE$4 &lt; BE$5,
IF($AA25-$Z$4&lt;BE$4,0,
IF($AA25&gt;BE$5,0,
SUM(_xlfn._xlws.FILTER(Table_BangLuong_TyLeTangCa[Tỷ lệ],
(Table_BangLuong_TyLeTangCa[Ngày] = BE$3) *
(Table_BangLuong_TyLeTangCa[Giờ min]&lt;=$AA25) *
(Table_BangLuong_TyLeTangCa[Giờ max]&gt;$AA25)
)))),
IF(AND($AA25-$Z$4 &gt;= BE$5,$AA25 &lt; BE$4),0,
SUM(_xlfn._xlws.FILTER(Table_BangLuong_TyLeTangCa[Tỷ lệ],
(Table_BangLuong_TyLeTangCa[Ngày] = BE$3) *
(Table_BangLuong_TyLeTangCa[Giờ min]&lt;=$AA25) *
(Table_BangLuong_TyLeTangCa[Giờ max]&gt;$AA25)
))))
),
IF(ISBLANK(BE$7),
IF(VLOOKUP(BE$6, Table_ChiPhiNV_Ca[], COUNTA(Table_ChiPhiNV_Ca[[#Headers],[Ca]:[Kết thúc]]),0)&gt; VLOOKUP(BE$6, Table_ChiPhiNV_Ca[], COUNTA(Table_ChiPhiNV_Ca[[#Headers],[Ca]:[Bắt đầu]]),0),
IF($AA25-$Z$4&lt;MAX(BE$4,VLOOKUP(BE$6, Table_ChiPhiNV_Ca[], COUNTA(Table_ChiPhiNV_Ca[[#Headers],[Ca]:[Bắt đầu]]),0)),0,
IF($AA25&gt;MIN(BE$5,VLOOKUP(BE$6, Table_ChiPhiNV_Ca[], COUNTA(Table_ChiPhiNV_Ca[[#Headers],[Ca]:[Kết thúc]]),0)),0,
SUM(_xlfn._xlws.FILTER(Table_BangLuong_TyLeTangCa[Tỷ lệ],
(Table_BangLuong_TyLeTangCa[Ngày] = "Thường") *
(Table_BangLuong_TyLeTangCa[Giờ min]&lt;=$AA25) *
(Table_BangLuong_TyLeTangCa[Giờ max]&gt;$AA25)
)))),
IF(BE$4 &gt; BE$5,
IF(
AND(
$AA25-$Z$4&lt;MAX(BE$4,VLOOKUP(BE$6, Table_ChiPhiNV_Ca[], COUNTA(Table_ChiPhiNV_Ca[[#Headers],[Ca]:[Bắt đầu]]),0)),
$AA25&gt;MIN(BE$5,VLOOKUP(BE$6, Table_ChiPhiNV_Ca[], COUNTA(Table_ChiPhiNV_Ca[[#Headers],[Ca]:[Kết thúc]]),0))),0,
SUM(_xlfn._xlws.FILTER(Table_BangLuong_TyLeTangCa[Tỷ lệ],
(Table_BangLuong_TyLeTangCa[Ngày] = "Thường") *
(Table_BangLuong_TyLeTangCa[Giờ min]&lt;=$AA25) *
(Table_BangLuong_TyLeTangCa[Giờ max]&gt;$AA25)
))),
IF(
AND(
$AA25-$Z$4&gt;=MAX(BE$4,VLOOKUP(BE$6, Table_ChiPhiNV_Ca[], COUNTA(Table_ChiPhiNV_Ca[[#Headers],[Ca]:[Bắt đầu]]),0)),
$AA25&lt;MIN(BE$5,VLOOKUP(BE$6, Table_ChiPhiNV_Ca[], COUNTA(Table_ChiPhiNV_Ca[[#Headers],[Ca]:[Kết thúc]]),0))),
SUM(_xlfn._xlws.FILTER(Table_BangLuong_TyLeTangCa[Tỷ lệ],
(Table_BangLuong_TyLeTangCa[Ngày] = "Thường") *
(Table_BangLuong_TyLeTangCa[Giờ min]&lt;=$AA25) *
(Table_BangLuong_TyLeTangCa[Giờ max]&gt;$AA25)
)),0)
)),
IF(BE$4 &lt; BE$5,
IF($AA25-$Z$4&lt;BE$4,0,
IF($AA25&gt;BE$5,0,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BE$5,$AA25 &lt; BE$4),0,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F25" s="18" cm="1">
        <f t="array" ref="BF25" xml:space="preserve">
IFERROR(
IF(BF$1="",0,
IF(AND(
$AA25&gt;=VLOOKUP(BF$6, Table_ChiPhiNV_Ca[], COUNTA(Table_ChiPhiNV_Ca[[#Headers],[Ca]:[Bắt đầu nghỉ]]),0),
$AA25&lt;VLOOKUP(BF$6, Table_ChiPhiNV_Ca[], COUNTA(Table_ChiPhiNV_Ca[[#Headers],[Ca]:[Kết thúc nghỉ]]),0)
),0,
IF(NOT(ISBLANK(BF$3)),
IF(ISBLANK(BF$7),0,
IF(BF$4 &lt; BF$5,
IF($AA25-$Z$4&lt;BF$4,0,
IF($AA25&gt;BF$5,0,
SUM(_xlfn._xlws.FILTER(Table_BangLuong_TyLeTangCa[Tỷ lệ],
(Table_BangLuong_TyLeTangCa[Ngày] = BF$3) *
(Table_BangLuong_TyLeTangCa[Giờ min]&lt;=$AA25) *
(Table_BangLuong_TyLeTangCa[Giờ max]&gt;$AA25)
)))),
IF(AND($AA25-$Z$4 &gt;= BF$5,$AA25 &lt; BF$4),0,
SUM(_xlfn._xlws.FILTER(Table_BangLuong_TyLeTangCa[Tỷ lệ],
(Table_BangLuong_TyLeTangCa[Ngày] = BF$3) *
(Table_BangLuong_TyLeTangCa[Giờ min]&lt;=$AA25) *
(Table_BangLuong_TyLeTangCa[Giờ max]&gt;$AA25)
))))
),
IF(ISBLANK(BF$7),
IF(VLOOKUP(BF$6, Table_ChiPhiNV_Ca[], COUNTA(Table_ChiPhiNV_Ca[[#Headers],[Ca]:[Kết thúc]]),0)&gt; VLOOKUP(BF$6, Table_ChiPhiNV_Ca[], COUNTA(Table_ChiPhiNV_Ca[[#Headers],[Ca]:[Bắt đầu]]),0),
IF($AA25-$Z$4&lt;MAX(BF$4,VLOOKUP(BF$6, Table_ChiPhiNV_Ca[], COUNTA(Table_ChiPhiNV_Ca[[#Headers],[Ca]:[Bắt đầu]]),0)),0,
IF($AA25&gt;MIN(BF$5,VLOOKUP(BF$6, Table_ChiPhiNV_Ca[], COUNTA(Table_ChiPhiNV_Ca[[#Headers],[Ca]:[Kết thúc]]),0)),0,
SUM(_xlfn._xlws.FILTER(Table_BangLuong_TyLeTangCa[Tỷ lệ],
(Table_BangLuong_TyLeTangCa[Ngày] = "Thường") *
(Table_BangLuong_TyLeTangCa[Giờ min]&lt;=$AA25) *
(Table_BangLuong_TyLeTangCa[Giờ max]&gt;$AA25)
)))),
IF(BF$4 &gt; BF$5,
IF(
AND(
$AA25-$Z$4&lt;MAX(BF$4,VLOOKUP(BF$6, Table_ChiPhiNV_Ca[], COUNTA(Table_ChiPhiNV_Ca[[#Headers],[Ca]:[Bắt đầu]]),0)),
$AA25&gt;MIN(BF$5,VLOOKUP(BF$6, Table_ChiPhiNV_Ca[], COUNTA(Table_ChiPhiNV_Ca[[#Headers],[Ca]:[Kết thúc]]),0))),0,
SUM(_xlfn._xlws.FILTER(Table_BangLuong_TyLeTangCa[Tỷ lệ],
(Table_BangLuong_TyLeTangCa[Ngày] = "Thường") *
(Table_BangLuong_TyLeTangCa[Giờ min]&lt;=$AA25) *
(Table_BangLuong_TyLeTangCa[Giờ max]&gt;$AA25)
))),
IF(
AND(
$AA25-$Z$4&gt;=MAX(BF$4,VLOOKUP(BF$6, Table_ChiPhiNV_Ca[], COUNTA(Table_ChiPhiNV_Ca[[#Headers],[Ca]:[Bắt đầu]]),0)),
$AA25&lt;MIN(BF$5,VLOOKUP(BF$6, Table_ChiPhiNV_Ca[], COUNTA(Table_ChiPhiNV_Ca[[#Headers],[Ca]:[Kết thúc]]),0))),
SUM(_xlfn._xlws.FILTER(Table_BangLuong_TyLeTangCa[Tỷ lệ],
(Table_BangLuong_TyLeTangCa[Ngày] = "Thường") *
(Table_BangLuong_TyLeTangCa[Giờ min]&lt;=$AA25) *
(Table_BangLuong_TyLeTangCa[Giờ max]&gt;$AA25)
)),0)
)),
IF(BF$4 &lt; BF$5,
IF($AA25-$Z$4&lt;BF$4,0,
IF($AA25&gt;BF$5,0,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BF$5,$AA25 &lt; BF$4),0,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row>
    <row r="26" spans="2:58" ht="18" customHeight="1" outlineLevel="1" x14ac:dyDescent="0.3">
      <c r="B26" s="11"/>
      <c r="C26" s="11"/>
      <c r="D26" s="11"/>
      <c r="E26" s="11"/>
      <c r="F26" s="11"/>
      <c r="G26" s="11"/>
      <c r="H26" s="11"/>
      <c r="I26" s="11"/>
      <c r="J26" s="11"/>
      <c r="K26" s="11"/>
      <c r="L26" s="11"/>
      <c r="M26" s="11"/>
      <c r="N26" s="11"/>
      <c r="AA26" s="50">
        <v>0.35416666666666702</v>
      </c>
      <c r="AB26" s="18" cm="1">
        <f t="array" ref="AB26" xml:space="preserve">
IFERROR(
IF(AB$1="",0,
IF(AND(
$AA26&gt;=VLOOKUP(AB$6, Table_ChiPhiNV_Ca[], COUNTA(Table_ChiPhiNV_Ca[[#Headers],[Ca]:[Bắt đầu nghỉ]]),0),
$AA26&lt;VLOOKUP(AB$6, Table_ChiPhiNV_Ca[], COUNTA(Table_ChiPhiNV_Ca[[#Headers],[Ca]:[Kết thúc nghỉ]]),0)
),0,
IF(NOT(ISBLANK(AB$3)),
IF(ISBLANK(AB$7),0,
IF(AB$4 &lt; AB$5,
IF($AA26-$Z$4&lt;AB$4,0,
IF($AA26&gt;AB$5,0,
SUM(_xlfn._xlws.FILTER(Table_BangLuong_TyLeTangCa[Tỷ lệ],
(Table_BangLuong_TyLeTangCa[Ngày] = AB$3) *
(Table_BangLuong_TyLeTangCa[Giờ min]&lt;=$AA26) *
(Table_BangLuong_TyLeTangCa[Giờ max]&gt;$AA26)
)))),
IF(AND($AA26-$Z$4 &gt;= AB$5,$AA26 &lt; AB$4),0,
SUM(_xlfn._xlws.FILTER(Table_BangLuong_TyLeTangCa[Tỷ lệ],
(Table_BangLuong_TyLeTangCa[Ngày] = AB$3) *
(Table_BangLuong_TyLeTangCa[Giờ min]&lt;=$AA26) *
(Table_BangLuong_TyLeTangCa[Giờ max]&gt;$AA26)
))))
),
IF(ISBLANK(AB$7),
IF(VLOOKUP(AB$6, Table_ChiPhiNV_Ca[], COUNTA(Table_ChiPhiNV_Ca[[#Headers],[Ca]:[Kết thúc]]),0)&gt; VLOOKUP(AB$6, Table_ChiPhiNV_Ca[], COUNTA(Table_ChiPhiNV_Ca[[#Headers],[Ca]:[Bắt đầu]]),0),
IF($AA26-$Z$4&lt;MAX(AB$4,VLOOKUP(AB$6, Table_ChiPhiNV_Ca[], COUNTA(Table_ChiPhiNV_Ca[[#Headers],[Ca]:[Bắt đầu]]),0)),0,
IF($AA26&gt;MIN(AB$5,VLOOKUP(AB$6, Table_ChiPhiNV_Ca[], COUNTA(Table_ChiPhiNV_Ca[[#Headers],[Ca]:[Kết thúc]]),0)),0,
SUM(_xlfn._xlws.FILTER(Table_BangLuong_TyLeTangCa[Tỷ lệ],
(Table_BangLuong_TyLeTangCa[Ngày] = "Thường") *
(Table_BangLuong_TyLeTangCa[Giờ min]&lt;=$AA26) *
(Table_BangLuong_TyLeTangCa[Giờ max]&gt;$AA26)
)))),
IF(AB$4 &gt; AB$5,
IF(
AND(
$AA26-$Z$4&lt;MAX(AB$4,VLOOKUP(AB$6, Table_ChiPhiNV_Ca[], COUNTA(Table_ChiPhiNV_Ca[[#Headers],[Ca]:[Bắt đầu]]),0)),
$AA26&gt;MIN(AB$5,VLOOKUP(AB$6, Table_ChiPhiNV_Ca[], COUNTA(Table_ChiPhiNV_Ca[[#Headers],[Ca]:[Kết thúc]]),0))),0,
SUM(_xlfn._xlws.FILTER(Table_BangLuong_TyLeTangCa[Tỷ lệ],
(Table_BangLuong_TyLeTangCa[Ngày] = "Thường") *
(Table_BangLuong_TyLeTangCa[Giờ min]&lt;=$AA26) *
(Table_BangLuong_TyLeTangCa[Giờ max]&gt;$AA26)
))),
IF(
AND(
$AA26-$Z$4&gt;=MAX(AB$4,VLOOKUP(AB$6, Table_ChiPhiNV_Ca[], COUNTA(Table_ChiPhiNV_Ca[[#Headers],[Ca]:[Bắt đầu]]),0)),
$AA26&lt;MIN(AB$5,VLOOKUP(AB$6, Table_ChiPhiNV_Ca[], COUNTA(Table_ChiPhiNV_Ca[[#Headers],[Ca]:[Kết thúc]]),0))),
SUM(_xlfn._xlws.FILTER(Table_BangLuong_TyLeTangCa[Tỷ lệ],
(Table_BangLuong_TyLeTangCa[Ngày] = "Thường") *
(Table_BangLuong_TyLeTangCa[Giờ min]&lt;=$AA26) *
(Table_BangLuong_TyLeTangCa[Giờ max]&gt;$AA26)
)),0)
)),
IF(AB$4 &lt; AB$5,
IF($AA26-$Z$4&lt;AB$4,0,
IF($AA26&gt;AB$5,0,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AB$5,$AA26 &lt; AB$4),0,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1</v>
      </c>
      <c r="AC26" s="18" cm="1">
        <f t="array" ref="AC26" xml:space="preserve">
IFERROR(
IF(AC$1="",0,
IF(AND(
$AA26&gt;=VLOOKUP(AC$6, Table_ChiPhiNV_Ca[], COUNTA(Table_ChiPhiNV_Ca[[#Headers],[Ca]:[Bắt đầu nghỉ]]),0),
$AA26&lt;VLOOKUP(AC$6, Table_ChiPhiNV_Ca[], COUNTA(Table_ChiPhiNV_Ca[[#Headers],[Ca]:[Kết thúc nghỉ]]),0)
),0,
IF(NOT(ISBLANK(AC$3)),
IF(ISBLANK(AC$7),0,
IF(AC$4 &lt; AC$5,
IF($AA26-$Z$4&lt;AC$4,0,
IF($AA26&gt;AC$5,0,
SUM(_xlfn._xlws.FILTER(Table_BangLuong_TyLeTangCa[Tỷ lệ],
(Table_BangLuong_TyLeTangCa[Ngày] = AC$3) *
(Table_BangLuong_TyLeTangCa[Giờ min]&lt;=$AA26) *
(Table_BangLuong_TyLeTangCa[Giờ max]&gt;$AA26)
)))),
IF(AND($AA26-$Z$4 &gt;= AC$5,$AA26 &lt; AC$4),0,
SUM(_xlfn._xlws.FILTER(Table_BangLuong_TyLeTangCa[Tỷ lệ],
(Table_BangLuong_TyLeTangCa[Ngày] = AC$3) *
(Table_BangLuong_TyLeTangCa[Giờ min]&lt;=$AA26) *
(Table_BangLuong_TyLeTangCa[Giờ max]&gt;$AA26)
))))
),
IF(ISBLANK(AC$7),
IF(VLOOKUP(AC$6, Table_ChiPhiNV_Ca[], COUNTA(Table_ChiPhiNV_Ca[[#Headers],[Ca]:[Kết thúc]]),0)&gt; VLOOKUP(AC$6, Table_ChiPhiNV_Ca[], COUNTA(Table_ChiPhiNV_Ca[[#Headers],[Ca]:[Bắt đầu]]),0),
IF($AA26-$Z$4&lt;MAX(AC$4,VLOOKUP(AC$6, Table_ChiPhiNV_Ca[], COUNTA(Table_ChiPhiNV_Ca[[#Headers],[Ca]:[Bắt đầu]]),0)),0,
IF($AA26&gt;MIN(AC$5,VLOOKUP(AC$6, Table_ChiPhiNV_Ca[], COUNTA(Table_ChiPhiNV_Ca[[#Headers],[Ca]:[Kết thúc]]),0)),0,
SUM(_xlfn._xlws.FILTER(Table_BangLuong_TyLeTangCa[Tỷ lệ],
(Table_BangLuong_TyLeTangCa[Ngày] = "Thường") *
(Table_BangLuong_TyLeTangCa[Giờ min]&lt;=$AA26) *
(Table_BangLuong_TyLeTangCa[Giờ max]&gt;$AA26)
)))),
IF(AC$4 &gt; AC$5,
IF(
AND(
$AA26-$Z$4&lt;MAX(AC$4,VLOOKUP(AC$6, Table_ChiPhiNV_Ca[], COUNTA(Table_ChiPhiNV_Ca[[#Headers],[Ca]:[Bắt đầu]]),0)),
$AA26&gt;MIN(AC$5,VLOOKUP(AC$6, Table_ChiPhiNV_Ca[], COUNTA(Table_ChiPhiNV_Ca[[#Headers],[Ca]:[Kết thúc]]),0))),0,
SUM(_xlfn._xlws.FILTER(Table_BangLuong_TyLeTangCa[Tỷ lệ],
(Table_BangLuong_TyLeTangCa[Ngày] = "Thường") *
(Table_BangLuong_TyLeTangCa[Giờ min]&lt;=$AA26) *
(Table_BangLuong_TyLeTangCa[Giờ max]&gt;$AA26)
))),
IF(
AND(
$AA26-$Z$4&gt;=MAX(AC$4,VLOOKUP(AC$6, Table_ChiPhiNV_Ca[], COUNTA(Table_ChiPhiNV_Ca[[#Headers],[Ca]:[Bắt đầu]]),0)),
$AA26&lt;MIN(AC$5,VLOOKUP(AC$6, Table_ChiPhiNV_Ca[], COUNTA(Table_ChiPhiNV_Ca[[#Headers],[Ca]:[Kết thúc]]),0))),
SUM(_xlfn._xlws.FILTER(Table_BangLuong_TyLeTangCa[Tỷ lệ],
(Table_BangLuong_TyLeTangCa[Ngày] = "Thường") *
(Table_BangLuong_TyLeTangCa[Giờ min]&lt;=$AA26) *
(Table_BangLuong_TyLeTangCa[Giờ max]&gt;$AA26)
)),0)
)),
IF(AC$4 &lt; AC$5,
IF($AA26-$Z$4&lt;AC$4,0,
IF($AA26&gt;AC$5,0,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AC$5,$AA26 &lt; AC$4),0,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D26" s="18" cm="1">
        <f t="array" ref="AD26" xml:space="preserve">
IFERROR(
IF(AD$1="",0,
IF(AND(
$AA26&gt;=VLOOKUP(AD$6, Table_ChiPhiNV_Ca[], COUNTA(Table_ChiPhiNV_Ca[[#Headers],[Ca]:[Bắt đầu nghỉ]]),0),
$AA26&lt;VLOOKUP(AD$6, Table_ChiPhiNV_Ca[], COUNTA(Table_ChiPhiNV_Ca[[#Headers],[Ca]:[Kết thúc nghỉ]]),0)
),0,
IF(NOT(ISBLANK(AD$3)),
IF(ISBLANK(AD$7),0,
IF(AD$4 &lt; AD$5,
IF($AA26-$Z$4&lt;AD$4,0,
IF($AA26&gt;AD$5,0,
SUM(_xlfn._xlws.FILTER(Table_BangLuong_TyLeTangCa[Tỷ lệ],
(Table_BangLuong_TyLeTangCa[Ngày] = AD$3) *
(Table_BangLuong_TyLeTangCa[Giờ min]&lt;=$AA26) *
(Table_BangLuong_TyLeTangCa[Giờ max]&gt;$AA26)
)))),
IF(AND($AA26-$Z$4 &gt;= AD$5,$AA26 &lt; AD$4),0,
SUM(_xlfn._xlws.FILTER(Table_BangLuong_TyLeTangCa[Tỷ lệ],
(Table_BangLuong_TyLeTangCa[Ngày] = AD$3) *
(Table_BangLuong_TyLeTangCa[Giờ min]&lt;=$AA26) *
(Table_BangLuong_TyLeTangCa[Giờ max]&gt;$AA26)
))))
),
IF(ISBLANK(AD$7),
IF(VLOOKUP(AD$6, Table_ChiPhiNV_Ca[], COUNTA(Table_ChiPhiNV_Ca[[#Headers],[Ca]:[Kết thúc]]),0)&gt; VLOOKUP(AD$6, Table_ChiPhiNV_Ca[], COUNTA(Table_ChiPhiNV_Ca[[#Headers],[Ca]:[Bắt đầu]]),0),
IF($AA26-$Z$4&lt;MAX(AD$4,VLOOKUP(AD$6, Table_ChiPhiNV_Ca[], COUNTA(Table_ChiPhiNV_Ca[[#Headers],[Ca]:[Bắt đầu]]),0)),0,
IF($AA26&gt;MIN(AD$5,VLOOKUP(AD$6, Table_ChiPhiNV_Ca[], COUNTA(Table_ChiPhiNV_Ca[[#Headers],[Ca]:[Kết thúc]]),0)),0,
SUM(_xlfn._xlws.FILTER(Table_BangLuong_TyLeTangCa[Tỷ lệ],
(Table_BangLuong_TyLeTangCa[Ngày] = "Thường") *
(Table_BangLuong_TyLeTangCa[Giờ min]&lt;=$AA26) *
(Table_BangLuong_TyLeTangCa[Giờ max]&gt;$AA26)
)))),
IF(AD$4 &gt; AD$5,
IF(
AND(
$AA26-$Z$4&lt;MAX(AD$4,VLOOKUP(AD$6, Table_ChiPhiNV_Ca[], COUNTA(Table_ChiPhiNV_Ca[[#Headers],[Ca]:[Bắt đầu]]),0)),
$AA26&gt;MIN(AD$5,VLOOKUP(AD$6, Table_ChiPhiNV_Ca[], COUNTA(Table_ChiPhiNV_Ca[[#Headers],[Ca]:[Kết thúc]]),0))),0,
SUM(_xlfn._xlws.FILTER(Table_BangLuong_TyLeTangCa[Tỷ lệ],
(Table_BangLuong_TyLeTangCa[Ngày] = "Thường") *
(Table_BangLuong_TyLeTangCa[Giờ min]&lt;=$AA26) *
(Table_BangLuong_TyLeTangCa[Giờ max]&gt;$AA26)
))),
IF(
AND(
$AA26-$Z$4&gt;=MAX(AD$4,VLOOKUP(AD$6, Table_ChiPhiNV_Ca[], COUNTA(Table_ChiPhiNV_Ca[[#Headers],[Ca]:[Bắt đầu]]),0)),
$AA26&lt;MIN(AD$5,VLOOKUP(AD$6, Table_ChiPhiNV_Ca[], COUNTA(Table_ChiPhiNV_Ca[[#Headers],[Ca]:[Kết thúc]]),0))),
SUM(_xlfn._xlws.FILTER(Table_BangLuong_TyLeTangCa[Tỷ lệ],
(Table_BangLuong_TyLeTangCa[Ngày] = "Thường") *
(Table_BangLuong_TyLeTangCa[Giờ min]&lt;=$AA26) *
(Table_BangLuong_TyLeTangCa[Giờ max]&gt;$AA26)
)),0)
)),
IF(AD$4 &lt; AD$5,
IF($AA26-$Z$4&lt;AD$4,0,
IF($AA26&gt;AD$5,0,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AD$5,$AA26 &lt; AD$4),0,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E26" s="18" cm="1">
        <f t="array" ref="AE26" xml:space="preserve">
IFERROR(
IF(AE$1="",0,
IF(AND(
$AA26&gt;=VLOOKUP(AE$6, Table_ChiPhiNV_Ca[], COUNTA(Table_ChiPhiNV_Ca[[#Headers],[Ca]:[Bắt đầu nghỉ]]),0),
$AA26&lt;VLOOKUP(AE$6, Table_ChiPhiNV_Ca[], COUNTA(Table_ChiPhiNV_Ca[[#Headers],[Ca]:[Kết thúc nghỉ]]),0)
),0,
IF(NOT(ISBLANK(AE$3)),
IF(ISBLANK(AE$7),0,
IF(AE$4 &lt; AE$5,
IF($AA26-$Z$4&lt;AE$4,0,
IF($AA26&gt;AE$5,0,
SUM(_xlfn._xlws.FILTER(Table_BangLuong_TyLeTangCa[Tỷ lệ],
(Table_BangLuong_TyLeTangCa[Ngày] = AE$3) *
(Table_BangLuong_TyLeTangCa[Giờ min]&lt;=$AA26) *
(Table_BangLuong_TyLeTangCa[Giờ max]&gt;$AA26)
)))),
IF(AND($AA26-$Z$4 &gt;= AE$5,$AA26 &lt; AE$4),0,
SUM(_xlfn._xlws.FILTER(Table_BangLuong_TyLeTangCa[Tỷ lệ],
(Table_BangLuong_TyLeTangCa[Ngày] = AE$3) *
(Table_BangLuong_TyLeTangCa[Giờ min]&lt;=$AA26) *
(Table_BangLuong_TyLeTangCa[Giờ max]&gt;$AA26)
))))
),
IF(ISBLANK(AE$7),
IF(VLOOKUP(AE$6, Table_ChiPhiNV_Ca[], COUNTA(Table_ChiPhiNV_Ca[[#Headers],[Ca]:[Kết thúc]]),0)&gt; VLOOKUP(AE$6, Table_ChiPhiNV_Ca[], COUNTA(Table_ChiPhiNV_Ca[[#Headers],[Ca]:[Bắt đầu]]),0),
IF($AA26-$Z$4&lt;MAX(AE$4,VLOOKUP(AE$6, Table_ChiPhiNV_Ca[], COUNTA(Table_ChiPhiNV_Ca[[#Headers],[Ca]:[Bắt đầu]]),0)),0,
IF($AA26&gt;MIN(AE$5,VLOOKUP(AE$6, Table_ChiPhiNV_Ca[], COUNTA(Table_ChiPhiNV_Ca[[#Headers],[Ca]:[Kết thúc]]),0)),0,
SUM(_xlfn._xlws.FILTER(Table_BangLuong_TyLeTangCa[Tỷ lệ],
(Table_BangLuong_TyLeTangCa[Ngày] = "Thường") *
(Table_BangLuong_TyLeTangCa[Giờ min]&lt;=$AA26) *
(Table_BangLuong_TyLeTangCa[Giờ max]&gt;$AA26)
)))),
IF(AE$4 &gt; AE$5,
IF(
AND(
$AA26-$Z$4&lt;MAX(AE$4,VLOOKUP(AE$6, Table_ChiPhiNV_Ca[], COUNTA(Table_ChiPhiNV_Ca[[#Headers],[Ca]:[Bắt đầu]]),0)),
$AA26&gt;MIN(AE$5,VLOOKUP(AE$6, Table_ChiPhiNV_Ca[], COUNTA(Table_ChiPhiNV_Ca[[#Headers],[Ca]:[Kết thúc]]),0))),0,
SUM(_xlfn._xlws.FILTER(Table_BangLuong_TyLeTangCa[Tỷ lệ],
(Table_BangLuong_TyLeTangCa[Ngày] = "Thường") *
(Table_BangLuong_TyLeTangCa[Giờ min]&lt;=$AA26) *
(Table_BangLuong_TyLeTangCa[Giờ max]&gt;$AA26)
))),
IF(
AND(
$AA26-$Z$4&gt;=MAX(AE$4,VLOOKUP(AE$6, Table_ChiPhiNV_Ca[], COUNTA(Table_ChiPhiNV_Ca[[#Headers],[Ca]:[Bắt đầu]]),0)),
$AA26&lt;MIN(AE$5,VLOOKUP(AE$6, Table_ChiPhiNV_Ca[], COUNTA(Table_ChiPhiNV_Ca[[#Headers],[Ca]:[Kết thúc]]),0))),
SUM(_xlfn._xlws.FILTER(Table_BangLuong_TyLeTangCa[Tỷ lệ],
(Table_BangLuong_TyLeTangCa[Ngày] = "Thường") *
(Table_BangLuong_TyLeTangCa[Giờ min]&lt;=$AA26) *
(Table_BangLuong_TyLeTangCa[Giờ max]&gt;$AA26)
)),0)
)),
IF(AE$4 &lt; AE$5,
IF($AA26-$Z$4&lt;AE$4,0,
IF($AA26&gt;AE$5,0,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AE$5,$AA26 &lt; AE$4),0,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F26" s="18" cm="1">
        <f t="array" ref="AF26" xml:space="preserve">
IFERROR(
IF(AF$1="",0,
IF(AND(
$AA26&gt;=VLOOKUP(AF$6, Table_ChiPhiNV_Ca[], COUNTA(Table_ChiPhiNV_Ca[[#Headers],[Ca]:[Bắt đầu nghỉ]]),0),
$AA26&lt;VLOOKUP(AF$6, Table_ChiPhiNV_Ca[], COUNTA(Table_ChiPhiNV_Ca[[#Headers],[Ca]:[Kết thúc nghỉ]]),0)
),0,
IF(NOT(ISBLANK(AF$3)),
IF(ISBLANK(AF$7),0,
IF(AF$4 &lt; AF$5,
IF($AA26-$Z$4&lt;AF$4,0,
IF($AA26&gt;AF$5,0,
SUM(_xlfn._xlws.FILTER(Table_BangLuong_TyLeTangCa[Tỷ lệ],
(Table_BangLuong_TyLeTangCa[Ngày] = AF$3) *
(Table_BangLuong_TyLeTangCa[Giờ min]&lt;=$AA26) *
(Table_BangLuong_TyLeTangCa[Giờ max]&gt;$AA26)
)))),
IF(AND($AA26-$Z$4 &gt;= AF$5,$AA26 &lt; AF$4),0,
SUM(_xlfn._xlws.FILTER(Table_BangLuong_TyLeTangCa[Tỷ lệ],
(Table_BangLuong_TyLeTangCa[Ngày] = AF$3) *
(Table_BangLuong_TyLeTangCa[Giờ min]&lt;=$AA26) *
(Table_BangLuong_TyLeTangCa[Giờ max]&gt;$AA26)
))))
),
IF(ISBLANK(AF$7),
IF(VLOOKUP(AF$6, Table_ChiPhiNV_Ca[], COUNTA(Table_ChiPhiNV_Ca[[#Headers],[Ca]:[Kết thúc]]),0)&gt; VLOOKUP(AF$6, Table_ChiPhiNV_Ca[], COUNTA(Table_ChiPhiNV_Ca[[#Headers],[Ca]:[Bắt đầu]]),0),
IF($AA26-$Z$4&lt;MAX(AF$4,VLOOKUP(AF$6, Table_ChiPhiNV_Ca[], COUNTA(Table_ChiPhiNV_Ca[[#Headers],[Ca]:[Bắt đầu]]),0)),0,
IF($AA26&gt;MIN(AF$5,VLOOKUP(AF$6, Table_ChiPhiNV_Ca[], COUNTA(Table_ChiPhiNV_Ca[[#Headers],[Ca]:[Kết thúc]]),0)),0,
SUM(_xlfn._xlws.FILTER(Table_BangLuong_TyLeTangCa[Tỷ lệ],
(Table_BangLuong_TyLeTangCa[Ngày] = "Thường") *
(Table_BangLuong_TyLeTangCa[Giờ min]&lt;=$AA26) *
(Table_BangLuong_TyLeTangCa[Giờ max]&gt;$AA26)
)))),
IF(AF$4 &gt; AF$5,
IF(
AND(
$AA26-$Z$4&lt;MAX(AF$4,VLOOKUP(AF$6, Table_ChiPhiNV_Ca[], COUNTA(Table_ChiPhiNV_Ca[[#Headers],[Ca]:[Bắt đầu]]),0)),
$AA26&gt;MIN(AF$5,VLOOKUP(AF$6, Table_ChiPhiNV_Ca[], COUNTA(Table_ChiPhiNV_Ca[[#Headers],[Ca]:[Kết thúc]]),0))),0,
SUM(_xlfn._xlws.FILTER(Table_BangLuong_TyLeTangCa[Tỷ lệ],
(Table_BangLuong_TyLeTangCa[Ngày] = "Thường") *
(Table_BangLuong_TyLeTangCa[Giờ min]&lt;=$AA26) *
(Table_BangLuong_TyLeTangCa[Giờ max]&gt;$AA26)
))),
IF(
AND(
$AA26-$Z$4&gt;=MAX(AF$4,VLOOKUP(AF$6, Table_ChiPhiNV_Ca[], COUNTA(Table_ChiPhiNV_Ca[[#Headers],[Ca]:[Bắt đầu]]),0)),
$AA26&lt;MIN(AF$5,VLOOKUP(AF$6, Table_ChiPhiNV_Ca[], COUNTA(Table_ChiPhiNV_Ca[[#Headers],[Ca]:[Kết thúc]]),0))),
SUM(_xlfn._xlws.FILTER(Table_BangLuong_TyLeTangCa[Tỷ lệ],
(Table_BangLuong_TyLeTangCa[Ngày] = "Thường") *
(Table_BangLuong_TyLeTangCa[Giờ min]&lt;=$AA26) *
(Table_BangLuong_TyLeTangCa[Giờ max]&gt;$AA26)
)),0)
)),
IF(AF$4 &lt; AF$5,
IF($AA26-$Z$4&lt;AF$4,0,
IF($AA26&gt;AF$5,0,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AF$5,$AA26 &lt; AF$4),0,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G26" s="18" cm="1">
        <f t="array" ref="AG26" xml:space="preserve">
IFERROR(
IF(AG$1="",0,
IF(AND(
$AA26&gt;=VLOOKUP(AG$6, Table_ChiPhiNV_Ca[], COUNTA(Table_ChiPhiNV_Ca[[#Headers],[Ca]:[Bắt đầu nghỉ]]),0),
$AA26&lt;VLOOKUP(AG$6, Table_ChiPhiNV_Ca[], COUNTA(Table_ChiPhiNV_Ca[[#Headers],[Ca]:[Kết thúc nghỉ]]),0)
),0,
IF(NOT(ISBLANK(AG$3)),
IF(ISBLANK(AG$7),0,
IF(AG$4 &lt; AG$5,
IF($AA26-$Z$4&lt;AG$4,0,
IF($AA26&gt;AG$5,0,
SUM(_xlfn._xlws.FILTER(Table_BangLuong_TyLeTangCa[Tỷ lệ],
(Table_BangLuong_TyLeTangCa[Ngày] = AG$3) *
(Table_BangLuong_TyLeTangCa[Giờ min]&lt;=$AA26) *
(Table_BangLuong_TyLeTangCa[Giờ max]&gt;$AA26)
)))),
IF(AND($AA26-$Z$4 &gt;= AG$5,$AA26 &lt; AG$4),0,
SUM(_xlfn._xlws.FILTER(Table_BangLuong_TyLeTangCa[Tỷ lệ],
(Table_BangLuong_TyLeTangCa[Ngày] = AG$3) *
(Table_BangLuong_TyLeTangCa[Giờ min]&lt;=$AA26) *
(Table_BangLuong_TyLeTangCa[Giờ max]&gt;$AA26)
))))
),
IF(ISBLANK(AG$7),
IF(VLOOKUP(AG$6, Table_ChiPhiNV_Ca[], COUNTA(Table_ChiPhiNV_Ca[[#Headers],[Ca]:[Kết thúc]]),0)&gt; VLOOKUP(AG$6, Table_ChiPhiNV_Ca[], COUNTA(Table_ChiPhiNV_Ca[[#Headers],[Ca]:[Bắt đầu]]),0),
IF($AA26-$Z$4&lt;MAX(AG$4,VLOOKUP(AG$6, Table_ChiPhiNV_Ca[], COUNTA(Table_ChiPhiNV_Ca[[#Headers],[Ca]:[Bắt đầu]]),0)),0,
IF($AA26&gt;MIN(AG$5,VLOOKUP(AG$6, Table_ChiPhiNV_Ca[], COUNTA(Table_ChiPhiNV_Ca[[#Headers],[Ca]:[Kết thúc]]),0)),0,
SUM(_xlfn._xlws.FILTER(Table_BangLuong_TyLeTangCa[Tỷ lệ],
(Table_BangLuong_TyLeTangCa[Ngày] = "Thường") *
(Table_BangLuong_TyLeTangCa[Giờ min]&lt;=$AA26) *
(Table_BangLuong_TyLeTangCa[Giờ max]&gt;$AA26)
)))),
IF(AG$4 &gt; AG$5,
IF(
AND(
$AA26-$Z$4&lt;MAX(AG$4,VLOOKUP(AG$6, Table_ChiPhiNV_Ca[], COUNTA(Table_ChiPhiNV_Ca[[#Headers],[Ca]:[Bắt đầu]]),0)),
$AA26&gt;MIN(AG$5,VLOOKUP(AG$6, Table_ChiPhiNV_Ca[], COUNTA(Table_ChiPhiNV_Ca[[#Headers],[Ca]:[Kết thúc]]),0))),0,
SUM(_xlfn._xlws.FILTER(Table_BangLuong_TyLeTangCa[Tỷ lệ],
(Table_BangLuong_TyLeTangCa[Ngày] = "Thường") *
(Table_BangLuong_TyLeTangCa[Giờ min]&lt;=$AA26) *
(Table_BangLuong_TyLeTangCa[Giờ max]&gt;$AA26)
))),
IF(
AND(
$AA26-$Z$4&gt;=MAX(AG$4,VLOOKUP(AG$6, Table_ChiPhiNV_Ca[], COUNTA(Table_ChiPhiNV_Ca[[#Headers],[Ca]:[Bắt đầu]]),0)),
$AA26&lt;MIN(AG$5,VLOOKUP(AG$6, Table_ChiPhiNV_Ca[], COUNTA(Table_ChiPhiNV_Ca[[#Headers],[Ca]:[Kết thúc]]),0))),
SUM(_xlfn._xlws.FILTER(Table_BangLuong_TyLeTangCa[Tỷ lệ],
(Table_BangLuong_TyLeTangCa[Ngày] = "Thường") *
(Table_BangLuong_TyLeTangCa[Giờ min]&lt;=$AA26) *
(Table_BangLuong_TyLeTangCa[Giờ max]&gt;$AA26)
)),0)
)),
IF(AG$4 &lt; AG$5,
IF($AA26-$Z$4&lt;AG$4,0,
IF($AA26&gt;AG$5,0,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AG$5,$AA26 &lt; AG$4),0,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H26" s="18" cm="1">
        <f t="array" ref="AH26" xml:space="preserve">
IFERROR(
IF(AH$1="",0,
IF(AND(
$AA26&gt;=VLOOKUP(AH$6, Table_ChiPhiNV_Ca[], COUNTA(Table_ChiPhiNV_Ca[[#Headers],[Ca]:[Bắt đầu nghỉ]]),0),
$AA26&lt;VLOOKUP(AH$6, Table_ChiPhiNV_Ca[], COUNTA(Table_ChiPhiNV_Ca[[#Headers],[Ca]:[Kết thúc nghỉ]]),0)
),0,
IF(NOT(ISBLANK(AH$3)),
IF(ISBLANK(AH$7),0,
IF(AH$4 &lt; AH$5,
IF($AA26-$Z$4&lt;AH$4,0,
IF($AA26&gt;AH$5,0,
SUM(_xlfn._xlws.FILTER(Table_BangLuong_TyLeTangCa[Tỷ lệ],
(Table_BangLuong_TyLeTangCa[Ngày] = AH$3) *
(Table_BangLuong_TyLeTangCa[Giờ min]&lt;=$AA26) *
(Table_BangLuong_TyLeTangCa[Giờ max]&gt;$AA26)
)))),
IF(AND($AA26-$Z$4 &gt;= AH$5,$AA26 &lt; AH$4),0,
SUM(_xlfn._xlws.FILTER(Table_BangLuong_TyLeTangCa[Tỷ lệ],
(Table_BangLuong_TyLeTangCa[Ngày] = AH$3) *
(Table_BangLuong_TyLeTangCa[Giờ min]&lt;=$AA26) *
(Table_BangLuong_TyLeTangCa[Giờ max]&gt;$AA26)
))))
),
IF(ISBLANK(AH$7),
IF(VLOOKUP(AH$6, Table_ChiPhiNV_Ca[], COUNTA(Table_ChiPhiNV_Ca[[#Headers],[Ca]:[Kết thúc]]),0)&gt; VLOOKUP(AH$6, Table_ChiPhiNV_Ca[], COUNTA(Table_ChiPhiNV_Ca[[#Headers],[Ca]:[Bắt đầu]]),0),
IF($AA26-$Z$4&lt;MAX(AH$4,VLOOKUP(AH$6, Table_ChiPhiNV_Ca[], COUNTA(Table_ChiPhiNV_Ca[[#Headers],[Ca]:[Bắt đầu]]),0)),0,
IF($AA26&gt;MIN(AH$5,VLOOKUP(AH$6, Table_ChiPhiNV_Ca[], COUNTA(Table_ChiPhiNV_Ca[[#Headers],[Ca]:[Kết thúc]]),0)),0,
SUM(_xlfn._xlws.FILTER(Table_BangLuong_TyLeTangCa[Tỷ lệ],
(Table_BangLuong_TyLeTangCa[Ngày] = "Thường") *
(Table_BangLuong_TyLeTangCa[Giờ min]&lt;=$AA26) *
(Table_BangLuong_TyLeTangCa[Giờ max]&gt;$AA26)
)))),
IF(AH$4 &gt; AH$5,
IF(
AND(
$AA26-$Z$4&lt;MAX(AH$4,VLOOKUP(AH$6, Table_ChiPhiNV_Ca[], COUNTA(Table_ChiPhiNV_Ca[[#Headers],[Ca]:[Bắt đầu]]),0)),
$AA26&gt;MIN(AH$5,VLOOKUP(AH$6, Table_ChiPhiNV_Ca[], COUNTA(Table_ChiPhiNV_Ca[[#Headers],[Ca]:[Kết thúc]]),0))),0,
SUM(_xlfn._xlws.FILTER(Table_BangLuong_TyLeTangCa[Tỷ lệ],
(Table_BangLuong_TyLeTangCa[Ngày] = "Thường") *
(Table_BangLuong_TyLeTangCa[Giờ min]&lt;=$AA26) *
(Table_BangLuong_TyLeTangCa[Giờ max]&gt;$AA26)
))),
IF(
AND(
$AA26-$Z$4&gt;=MAX(AH$4,VLOOKUP(AH$6, Table_ChiPhiNV_Ca[], COUNTA(Table_ChiPhiNV_Ca[[#Headers],[Ca]:[Bắt đầu]]),0)),
$AA26&lt;MIN(AH$5,VLOOKUP(AH$6, Table_ChiPhiNV_Ca[], COUNTA(Table_ChiPhiNV_Ca[[#Headers],[Ca]:[Kết thúc]]),0))),
SUM(_xlfn._xlws.FILTER(Table_BangLuong_TyLeTangCa[Tỷ lệ],
(Table_BangLuong_TyLeTangCa[Ngày] = "Thường") *
(Table_BangLuong_TyLeTangCa[Giờ min]&lt;=$AA26) *
(Table_BangLuong_TyLeTangCa[Giờ max]&gt;$AA26)
)),0)
)),
IF(AH$4 &lt; AH$5,
IF($AA26-$Z$4&lt;AH$4,0,
IF($AA26&gt;AH$5,0,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AH$5,$AA26 &lt; AH$4),0,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I26" s="18" cm="1">
        <f t="array" ref="AI26" xml:space="preserve">
IFERROR(
IF(AI$1="",0,
IF(AND(
$AA26&gt;=VLOOKUP(AI$6, Table_ChiPhiNV_Ca[], COUNTA(Table_ChiPhiNV_Ca[[#Headers],[Ca]:[Bắt đầu nghỉ]]),0),
$AA26&lt;VLOOKUP(AI$6, Table_ChiPhiNV_Ca[], COUNTA(Table_ChiPhiNV_Ca[[#Headers],[Ca]:[Kết thúc nghỉ]]),0)
),0,
IF(NOT(ISBLANK(AI$3)),
IF(ISBLANK(AI$7),0,
IF(AI$4 &lt; AI$5,
IF($AA26-$Z$4&lt;AI$4,0,
IF($AA26&gt;AI$5,0,
SUM(_xlfn._xlws.FILTER(Table_BangLuong_TyLeTangCa[Tỷ lệ],
(Table_BangLuong_TyLeTangCa[Ngày] = AI$3) *
(Table_BangLuong_TyLeTangCa[Giờ min]&lt;=$AA26) *
(Table_BangLuong_TyLeTangCa[Giờ max]&gt;$AA26)
)))),
IF(AND($AA26-$Z$4 &gt;= AI$5,$AA26 &lt; AI$4),0,
SUM(_xlfn._xlws.FILTER(Table_BangLuong_TyLeTangCa[Tỷ lệ],
(Table_BangLuong_TyLeTangCa[Ngày] = AI$3) *
(Table_BangLuong_TyLeTangCa[Giờ min]&lt;=$AA26) *
(Table_BangLuong_TyLeTangCa[Giờ max]&gt;$AA26)
))))
),
IF(ISBLANK(AI$7),
IF(VLOOKUP(AI$6, Table_ChiPhiNV_Ca[], COUNTA(Table_ChiPhiNV_Ca[[#Headers],[Ca]:[Kết thúc]]),0)&gt; VLOOKUP(AI$6, Table_ChiPhiNV_Ca[], COUNTA(Table_ChiPhiNV_Ca[[#Headers],[Ca]:[Bắt đầu]]),0),
IF($AA26-$Z$4&lt;MAX(AI$4,VLOOKUP(AI$6, Table_ChiPhiNV_Ca[], COUNTA(Table_ChiPhiNV_Ca[[#Headers],[Ca]:[Bắt đầu]]),0)),0,
IF($AA26&gt;MIN(AI$5,VLOOKUP(AI$6, Table_ChiPhiNV_Ca[], COUNTA(Table_ChiPhiNV_Ca[[#Headers],[Ca]:[Kết thúc]]),0)),0,
SUM(_xlfn._xlws.FILTER(Table_BangLuong_TyLeTangCa[Tỷ lệ],
(Table_BangLuong_TyLeTangCa[Ngày] = "Thường") *
(Table_BangLuong_TyLeTangCa[Giờ min]&lt;=$AA26) *
(Table_BangLuong_TyLeTangCa[Giờ max]&gt;$AA26)
)))),
IF(AI$4 &gt; AI$5,
IF(
AND(
$AA26-$Z$4&lt;MAX(AI$4,VLOOKUP(AI$6, Table_ChiPhiNV_Ca[], COUNTA(Table_ChiPhiNV_Ca[[#Headers],[Ca]:[Bắt đầu]]),0)),
$AA26&gt;MIN(AI$5,VLOOKUP(AI$6, Table_ChiPhiNV_Ca[], COUNTA(Table_ChiPhiNV_Ca[[#Headers],[Ca]:[Kết thúc]]),0))),0,
SUM(_xlfn._xlws.FILTER(Table_BangLuong_TyLeTangCa[Tỷ lệ],
(Table_BangLuong_TyLeTangCa[Ngày] = "Thường") *
(Table_BangLuong_TyLeTangCa[Giờ min]&lt;=$AA26) *
(Table_BangLuong_TyLeTangCa[Giờ max]&gt;$AA26)
))),
IF(
AND(
$AA26-$Z$4&gt;=MAX(AI$4,VLOOKUP(AI$6, Table_ChiPhiNV_Ca[], COUNTA(Table_ChiPhiNV_Ca[[#Headers],[Ca]:[Bắt đầu]]),0)),
$AA26&lt;MIN(AI$5,VLOOKUP(AI$6, Table_ChiPhiNV_Ca[], COUNTA(Table_ChiPhiNV_Ca[[#Headers],[Ca]:[Kết thúc]]),0))),
SUM(_xlfn._xlws.FILTER(Table_BangLuong_TyLeTangCa[Tỷ lệ],
(Table_BangLuong_TyLeTangCa[Ngày] = "Thường") *
(Table_BangLuong_TyLeTangCa[Giờ min]&lt;=$AA26) *
(Table_BangLuong_TyLeTangCa[Giờ max]&gt;$AA26)
)),0)
)),
IF(AI$4 &lt; AI$5,
IF($AA26-$Z$4&lt;AI$4,0,
IF($AA26&gt;AI$5,0,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AI$5,$AA26 &lt; AI$4),0,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J26" s="18" cm="1">
        <f t="array" ref="AJ26" xml:space="preserve">
IFERROR(
IF(AJ$1="",0,
IF(AND(
$AA26&gt;=VLOOKUP(AJ$6, Table_ChiPhiNV_Ca[], COUNTA(Table_ChiPhiNV_Ca[[#Headers],[Ca]:[Bắt đầu nghỉ]]),0),
$AA26&lt;VLOOKUP(AJ$6, Table_ChiPhiNV_Ca[], COUNTA(Table_ChiPhiNV_Ca[[#Headers],[Ca]:[Kết thúc nghỉ]]),0)
),0,
IF(NOT(ISBLANK(AJ$3)),
IF(ISBLANK(AJ$7),0,
IF(AJ$4 &lt; AJ$5,
IF($AA26-$Z$4&lt;AJ$4,0,
IF($AA26&gt;AJ$5,0,
SUM(_xlfn._xlws.FILTER(Table_BangLuong_TyLeTangCa[Tỷ lệ],
(Table_BangLuong_TyLeTangCa[Ngày] = AJ$3) *
(Table_BangLuong_TyLeTangCa[Giờ min]&lt;=$AA26) *
(Table_BangLuong_TyLeTangCa[Giờ max]&gt;$AA26)
)))),
IF(AND($AA26-$Z$4 &gt;= AJ$5,$AA26 &lt; AJ$4),0,
SUM(_xlfn._xlws.FILTER(Table_BangLuong_TyLeTangCa[Tỷ lệ],
(Table_BangLuong_TyLeTangCa[Ngày] = AJ$3) *
(Table_BangLuong_TyLeTangCa[Giờ min]&lt;=$AA26) *
(Table_BangLuong_TyLeTangCa[Giờ max]&gt;$AA26)
))))
),
IF(ISBLANK(AJ$7),
IF(VLOOKUP(AJ$6, Table_ChiPhiNV_Ca[], COUNTA(Table_ChiPhiNV_Ca[[#Headers],[Ca]:[Kết thúc]]),0)&gt; VLOOKUP(AJ$6, Table_ChiPhiNV_Ca[], COUNTA(Table_ChiPhiNV_Ca[[#Headers],[Ca]:[Bắt đầu]]),0),
IF($AA26-$Z$4&lt;MAX(AJ$4,VLOOKUP(AJ$6, Table_ChiPhiNV_Ca[], COUNTA(Table_ChiPhiNV_Ca[[#Headers],[Ca]:[Bắt đầu]]),0)),0,
IF($AA26&gt;MIN(AJ$5,VLOOKUP(AJ$6, Table_ChiPhiNV_Ca[], COUNTA(Table_ChiPhiNV_Ca[[#Headers],[Ca]:[Kết thúc]]),0)),0,
SUM(_xlfn._xlws.FILTER(Table_BangLuong_TyLeTangCa[Tỷ lệ],
(Table_BangLuong_TyLeTangCa[Ngày] = "Thường") *
(Table_BangLuong_TyLeTangCa[Giờ min]&lt;=$AA26) *
(Table_BangLuong_TyLeTangCa[Giờ max]&gt;$AA26)
)))),
IF(AJ$4 &gt; AJ$5,
IF(
AND(
$AA26-$Z$4&lt;MAX(AJ$4,VLOOKUP(AJ$6, Table_ChiPhiNV_Ca[], COUNTA(Table_ChiPhiNV_Ca[[#Headers],[Ca]:[Bắt đầu]]),0)),
$AA26&gt;MIN(AJ$5,VLOOKUP(AJ$6, Table_ChiPhiNV_Ca[], COUNTA(Table_ChiPhiNV_Ca[[#Headers],[Ca]:[Kết thúc]]),0))),0,
SUM(_xlfn._xlws.FILTER(Table_BangLuong_TyLeTangCa[Tỷ lệ],
(Table_BangLuong_TyLeTangCa[Ngày] = "Thường") *
(Table_BangLuong_TyLeTangCa[Giờ min]&lt;=$AA26) *
(Table_BangLuong_TyLeTangCa[Giờ max]&gt;$AA26)
))),
IF(
AND(
$AA26-$Z$4&gt;=MAX(AJ$4,VLOOKUP(AJ$6, Table_ChiPhiNV_Ca[], COUNTA(Table_ChiPhiNV_Ca[[#Headers],[Ca]:[Bắt đầu]]),0)),
$AA26&lt;MIN(AJ$5,VLOOKUP(AJ$6, Table_ChiPhiNV_Ca[], COUNTA(Table_ChiPhiNV_Ca[[#Headers],[Ca]:[Kết thúc]]),0))),
SUM(_xlfn._xlws.FILTER(Table_BangLuong_TyLeTangCa[Tỷ lệ],
(Table_BangLuong_TyLeTangCa[Ngày] = "Thường") *
(Table_BangLuong_TyLeTangCa[Giờ min]&lt;=$AA26) *
(Table_BangLuong_TyLeTangCa[Giờ max]&gt;$AA26)
)),0)
)),
IF(AJ$4 &lt; AJ$5,
IF($AA26-$Z$4&lt;AJ$4,0,
IF($AA26&gt;AJ$5,0,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AJ$5,$AA26 &lt; AJ$4),0,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K26" s="18" cm="1">
        <f t="array" ref="AK26" xml:space="preserve">
IFERROR(
IF(AK$1="",0,
IF(AND(
$AA26&gt;=VLOOKUP(AK$6, Table_ChiPhiNV_Ca[], COUNTA(Table_ChiPhiNV_Ca[[#Headers],[Ca]:[Bắt đầu nghỉ]]),0),
$AA26&lt;VLOOKUP(AK$6, Table_ChiPhiNV_Ca[], COUNTA(Table_ChiPhiNV_Ca[[#Headers],[Ca]:[Kết thúc nghỉ]]),0)
),0,
IF(NOT(ISBLANK(AK$3)),
IF(ISBLANK(AK$7),0,
IF(AK$4 &lt; AK$5,
IF($AA26-$Z$4&lt;AK$4,0,
IF($AA26&gt;AK$5,0,
SUM(_xlfn._xlws.FILTER(Table_BangLuong_TyLeTangCa[Tỷ lệ],
(Table_BangLuong_TyLeTangCa[Ngày] = AK$3) *
(Table_BangLuong_TyLeTangCa[Giờ min]&lt;=$AA26) *
(Table_BangLuong_TyLeTangCa[Giờ max]&gt;$AA26)
)))),
IF(AND($AA26-$Z$4 &gt;= AK$5,$AA26 &lt; AK$4),0,
SUM(_xlfn._xlws.FILTER(Table_BangLuong_TyLeTangCa[Tỷ lệ],
(Table_BangLuong_TyLeTangCa[Ngày] = AK$3) *
(Table_BangLuong_TyLeTangCa[Giờ min]&lt;=$AA26) *
(Table_BangLuong_TyLeTangCa[Giờ max]&gt;$AA26)
))))
),
IF(ISBLANK(AK$7),
IF(VLOOKUP(AK$6, Table_ChiPhiNV_Ca[], COUNTA(Table_ChiPhiNV_Ca[[#Headers],[Ca]:[Kết thúc]]),0)&gt; VLOOKUP(AK$6, Table_ChiPhiNV_Ca[], COUNTA(Table_ChiPhiNV_Ca[[#Headers],[Ca]:[Bắt đầu]]),0),
IF($AA26-$Z$4&lt;MAX(AK$4,VLOOKUP(AK$6, Table_ChiPhiNV_Ca[], COUNTA(Table_ChiPhiNV_Ca[[#Headers],[Ca]:[Bắt đầu]]),0)),0,
IF($AA26&gt;MIN(AK$5,VLOOKUP(AK$6, Table_ChiPhiNV_Ca[], COUNTA(Table_ChiPhiNV_Ca[[#Headers],[Ca]:[Kết thúc]]),0)),0,
SUM(_xlfn._xlws.FILTER(Table_BangLuong_TyLeTangCa[Tỷ lệ],
(Table_BangLuong_TyLeTangCa[Ngày] = "Thường") *
(Table_BangLuong_TyLeTangCa[Giờ min]&lt;=$AA26) *
(Table_BangLuong_TyLeTangCa[Giờ max]&gt;$AA26)
)))),
IF(AK$4 &gt; AK$5,
IF(
AND(
$AA26-$Z$4&lt;MAX(AK$4,VLOOKUP(AK$6, Table_ChiPhiNV_Ca[], COUNTA(Table_ChiPhiNV_Ca[[#Headers],[Ca]:[Bắt đầu]]),0)),
$AA26&gt;MIN(AK$5,VLOOKUP(AK$6, Table_ChiPhiNV_Ca[], COUNTA(Table_ChiPhiNV_Ca[[#Headers],[Ca]:[Kết thúc]]),0))),0,
SUM(_xlfn._xlws.FILTER(Table_BangLuong_TyLeTangCa[Tỷ lệ],
(Table_BangLuong_TyLeTangCa[Ngày] = "Thường") *
(Table_BangLuong_TyLeTangCa[Giờ min]&lt;=$AA26) *
(Table_BangLuong_TyLeTangCa[Giờ max]&gt;$AA26)
))),
IF(
AND(
$AA26-$Z$4&gt;=MAX(AK$4,VLOOKUP(AK$6, Table_ChiPhiNV_Ca[], COUNTA(Table_ChiPhiNV_Ca[[#Headers],[Ca]:[Bắt đầu]]),0)),
$AA26&lt;MIN(AK$5,VLOOKUP(AK$6, Table_ChiPhiNV_Ca[], COUNTA(Table_ChiPhiNV_Ca[[#Headers],[Ca]:[Kết thúc]]),0))),
SUM(_xlfn._xlws.FILTER(Table_BangLuong_TyLeTangCa[Tỷ lệ],
(Table_BangLuong_TyLeTangCa[Ngày] = "Thường") *
(Table_BangLuong_TyLeTangCa[Giờ min]&lt;=$AA26) *
(Table_BangLuong_TyLeTangCa[Giờ max]&gt;$AA26)
)),0)
)),
IF(AK$4 &lt; AK$5,
IF($AA26-$Z$4&lt;AK$4,0,
IF($AA26&gt;AK$5,0,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AK$5,$AA26 &lt; AK$4),0,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L26" s="18" cm="1">
        <f t="array" ref="AL26" xml:space="preserve">
IFERROR(
IF(AL$1="",0,
IF(AND(
$AA26&gt;=VLOOKUP(AL$6, Table_ChiPhiNV_Ca[], COUNTA(Table_ChiPhiNV_Ca[[#Headers],[Ca]:[Bắt đầu nghỉ]]),0),
$AA26&lt;VLOOKUP(AL$6, Table_ChiPhiNV_Ca[], COUNTA(Table_ChiPhiNV_Ca[[#Headers],[Ca]:[Kết thúc nghỉ]]),0)
),0,
IF(NOT(ISBLANK(AL$3)),
IF(ISBLANK(AL$7),0,
IF(AL$4 &lt; AL$5,
IF($AA26-$Z$4&lt;AL$4,0,
IF($AA26&gt;AL$5,0,
SUM(_xlfn._xlws.FILTER(Table_BangLuong_TyLeTangCa[Tỷ lệ],
(Table_BangLuong_TyLeTangCa[Ngày] = AL$3) *
(Table_BangLuong_TyLeTangCa[Giờ min]&lt;=$AA26) *
(Table_BangLuong_TyLeTangCa[Giờ max]&gt;$AA26)
)))),
IF(AND($AA26-$Z$4 &gt;= AL$5,$AA26 &lt; AL$4),0,
SUM(_xlfn._xlws.FILTER(Table_BangLuong_TyLeTangCa[Tỷ lệ],
(Table_BangLuong_TyLeTangCa[Ngày] = AL$3) *
(Table_BangLuong_TyLeTangCa[Giờ min]&lt;=$AA26) *
(Table_BangLuong_TyLeTangCa[Giờ max]&gt;$AA26)
))))
),
IF(ISBLANK(AL$7),
IF(VLOOKUP(AL$6, Table_ChiPhiNV_Ca[], COUNTA(Table_ChiPhiNV_Ca[[#Headers],[Ca]:[Kết thúc]]),0)&gt; VLOOKUP(AL$6, Table_ChiPhiNV_Ca[], COUNTA(Table_ChiPhiNV_Ca[[#Headers],[Ca]:[Bắt đầu]]),0),
IF($AA26-$Z$4&lt;MAX(AL$4,VLOOKUP(AL$6, Table_ChiPhiNV_Ca[], COUNTA(Table_ChiPhiNV_Ca[[#Headers],[Ca]:[Bắt đầu]]),0)),0,
IF($AA26&gt;MIN(AL$5,VLOOKUP(AL$6, Table_ChiPhiNV_Ca[], COUNTA(Table_ChiPhiNV_Ca[[#Headers],[Ca]:[Kết thúc]]),0)),0,
SUM(_xlfn._xlws.FILTER(Table_BangLuong_TyLeTangCa[Tỷ lệ],
(Table_BangLuong_TyLeTangCa[Ngày] = "Thường") *
(Table_BangLuong_TyLeTangCa[Giờ min]&lt;=$AA26) *
(Table_BangLuong_TyLeTangCa[Giờ max]&gt;$AA26)
)))),
IF(AL$4 &gt; AL$5,
IF(
AND(
$AA26-$Z$4&lt;MAX(AL$4,VLOOKUP(AL$6, Table_ChiPhiNV_Ca[], COUNTA(Table_ChiPhiNV_Ca[[#Headers],[Ca]:[Bắt đầu]]),0)),
$AA26&gt;MIN(AL$5,VLOOKUP(AL$6, Table_ChiPhiNV_Ca[], COUNTA(Table_ChiPhiNV_Ca[[#Headers],[Ca]:[Kết thúc]]),0))),0,
SUM(_xlfn._xlws.FILTER(Table_BangLuong_TyLeTangCa[Tỷ lệ],
(Table_BangLuong_TyLeTangCa[Ngày] = "Thường") *
(Table_BangLuong_TyLeTangCa[Giờ min]&lt;=$AA26) *
(Table_BangLuong_TyLeTangCa[Giờ max]&gt;$AA26)
))),
IF(
AND(
$AA26-$Z$4&gt;=MAX(AL$4,VLOOKUP(AL$6, Table_ChiPhiNV_Ca[], COUNTA(Table_ChiPhiNV_Ca[[#Headers],[Ca]:[Bắt đầu]]),0)),
$AA26&lt;MIN(AL$5,VLOOKUP(AL$6, Table_ChiPhiNV_Ca[], COUNTA(Table_ChiPhiNV_Ca[[#Headers],[Ca]:[Kết thúc]]),0))),
SUM(_xlfn._xlws.FILTER(Table_BangLuong_TyLeTangCa[Tỷ lệ],
(Table_BangLuong_TyLeTangCa[Ngày] = "Thường") *
(Table_BangLuong_TyLeTangCa[Giờ min]&lt;=$AA26) *
(Table_BangLuong_TyLeTangCa[Giờ max]&gt;$AA26)
)),0)
)),
IF(AL$4 &lt; AL$5,
IF($AA26-$Z$4&lt;AL$4,0,
IF($AA26&gt;AL$5,0,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AL$5,$AA26 &lt; AL$4),0,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M26" s="18" cm="1">
        <f t="array" ref="AM26" xml:space="preserve">
IFERROR(
IF(AM$1="",0,
IF(AND(
$AA26&gt;=VLOOKUP(AM$6, Table_ChiPhiNV_Ca[], COUNTA(Table_ChiPhiNV_Ca[[#Headers],[Ca]:[Bắt đầu nghỉ]]),0),
$AA26&lt;VLOOKUP(AM$6, Table_ChiPhiNV_Ca[], COUNTA(Table_ChiPhiNV_Ca[[#Headers],[Ca]:[Kết thúc nghỉ]]),0)
),0,
IF(NOT(ISBLANK(AM$3)),
IF(ISBLANK(AM$7),0,
IF(AM$4 &lt; AM$5,
IF($AA26-$Z$4&lt;AM$4,0,
IF($AA26&gt;AM$5,0,
SUM(_xlfn._xlws.FILTER(Table_BangLuong_TyLeTangCa[Tỷ lệ],
(Table_BangLuong_TyLeTangCa[Ngày] = AM$3) *
(Table_BangLuong_TyLeTangCa[Giờ min]&lt;=$AA26) *
(Table_BangLuong_TyLeTangCa[Giờ max]&gt;$AA26)
)))),
IF(AND($AA26-$Z$4 &gt;= AM$5,$AA26 &lt; AM$4),0,
SUM(_xlfn._xlws.FILTER(Table_BangLuong_TyLeTangCa[Tỷ lệ],
(Table_BangLuong_TyLeTangCa[Ngày] = AM$3) *
(Table_BangLuong_TyLeTangCa[Giờ min]&lt;=$AA26) *
(Table_BangLuong_TyLeTangCa[Giờ max]&gt;$AA26)
))))
),
IF(ISBLANK(AM$7),
IF(VLOOKUP(AM$6, Table_ChiPhiNV_Ca[], COUNTA(Table_ChiPhiNV_Ca[[#Headers],[Ca]:[Kết thúc]]),0)&gt; VLOOKUP(AM$6, Table_ChiPhiNV_Ca[], COUNTA(Table_ChiPhiNV_Ca[[#Headers],[Ca]:[Bắt đầu]]),0),
IF($AA26-$Z$4&lt;MAX(AM$4,VLOOKUP(AM$6, Table_ChiPhiNV_Ca[], COUNTA(Table_ChiPhiNV_Ca[[#Headers],[Ca]:[Bắt đầu]]),0)),0,
IF($AA26&gt;MIN(AM$5,VLOOKUP(AM$6, Table_ChiPhiNV_Ca[], COUNTA(Table_ChiPhiNV_Ca[[#Headers],[Ca]:[Kết thúc]]),0)),0,
SUM(_xlfn._xlws.FILTER(Table_BangLuong_TyLeTangCa[Tỷ lệ],
(Table_BangLuong_TyLeTangCa[Ngày] = "Thường") *
(Table_BangLuong_TyLeTangCa[Giờ min]&lt;=$AA26) *
(Table_BangLuong_TyLeTangCa[Giờ max]&gt;$AA26)
)))),
IF(AM$4 &gt; AM$5,
IF(
AND(
$AA26-$Z$4&lt;MAX(AM$4,VLOOKUP(AM$6, Table_ChiPhiNV_Ca[], COUNTA(Table_ChiPhiNV_Ca[[#Headers],[Ca]:[Bắt đầu]]),0)),
$AA26&gt;MIN(AM$5,VLOOKUP(AM$6, Table_ChiPhiNV_Ca[], COUNTA(Table_ChiPhiNV_Ca[[#Headers],[Ca]:[Kết thúc]]),0))),0,
SUM(_xlfn._xlws.FILTER(Table_BangLuong_TyLeTangCa[Tỷ lệ],
(Table_BangLuong_TyLeTangCa[Ngày] = "Thường") *
(Table_BangLuong_TyLeTangCa[Giờ min]&lt;=$AA26) *
(Table_BangLuong_TyLeTangCa[Giờ max]&gt;$AA26)
))),
IF(
AND(
$AA26-$Z$4&gt;=MAX(AM$4,VLOOKUP(AM$6, Table_ChiPhiNV_Ca[], COUNTA(Table_ChiPhiNV_Ca[[#Headers],[Ca]:[Bắt đầu]]),0)),
$AA26&lt;MIN(AM$5,VLOOKUP(AM$6, Table_ChiPhiNV_Ca[], COUNTA(Table_ChiPhiNV_Ca[[#Headers],[Ca]:[Kết thúc]]),0))),
SUM(_xlfn._xlws.FILTER(Table_BangLuong_TyLeTangCa[Tỷ lệ],
(Table_BangLuong_TyLeTangCa[Ngày] = "Thường") *
(Table_BangLuong_TyLeTangCa[Giờ min]&lt;=$AA26) *
(Table_BangLuong_TyLeTangCa[Giờ max]&gt;$AA26)
)),0)
)),
IF(AM$4 &lt; AM$5,
IF($AA26-$Z$4&lt;AM$4,0,
IF($AA26&gt;AM$5,0,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AM$5,$AA26 &lt; AM$4),0,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N26" s="18" cm="1">
        <f t="array" ref="AN26" xml:space="preserve">
IFERROR(
IF(AN$1="",0,
IF(AND(
$AA26&gt;=VLOOKUP(AN$6, Table_ChiPhiNV_Ca[], COUNTA(Table_ChiPhiNV_Ca[[#Headers],[Ca]:[Bắt đầu nghỉ]]),0),
$AA26&lt;VLOOKUP(AN$6, Table_ChiPhiNV_Ca[], COUNTA(Table_ChiPhiNV_Ca[[#Headers],[Ca]:[Kết thúc nghỉ]]),0)
),0,
IF(NOT(ISBLANK(AN$3)),
IF(ISBLANK(AN$7),0,
IF(AN$4 &lt; AN$5,
IF($AA26-$Z$4&lt;AN$4,0,
IF($AA26&gt;AN$5,0,
SUM(_xlfn._xlws.FILTER(Table_BangLuong_TyLeTangCa[Tỷ lệ],
(Table_BangLuong_TyLeTangCa[Ngày] = AN$3) *
(Table_BangLuong_TyLeTangCa[Giờ min]&lt;=$AA26) *
(Table_BangLuong_TyLeTangCa[Giờ max]&gt;$AA26)
)))),
IF(AND($AA26-$Z$4 &gt;= AN$5,$AA26 &lt; AN$4),0,
SUM(_xlfn._xlws.FILTER(Table_BangLuong_TyLeTangCa[Tỷ lệ],
(Table_BangLuong_TyLeTangCa[Ngày] = AN$3) *
(Table_BangLuong_TyLeTangCa[Giờ min]&lt;=$AA26) *
(Table_BangLuong_TyLeTangCa[Giờ max]&gt;$AA26)
))))
),
IF(ISBLANK(AN$7),
IF(VLOOKUP(AN$6, Table_ChiPhiNV_Ca[], COUNTA(Table_ChiPhiNV_Ca[[#Headers],[Ca]:[Kết thúc]]),0)&gt; VLOOKUP(AN$6, Table_ChiPhiNV_Ca[], COUNTA(Table_ChiPhiNV_Ca[[#Headers],[Ca]:[Bắt đầu]]),0),
IF($AA26-$Z$4&lt;MAX(AN$4,VLOOKUP(AN$6, Table_ChiPhiNV_Ca[], COUNTA(Table_ChiPhiNV_Ca[[#Headers],[Ca]:[Bắt đầu]]),0)),0,
IF($AA26&gt;MIN(AN$5,VLOOKUP(AN$6, Table_ChiPhiNV_Ca[], COUNTA(Table_ChiPhiNV_Ca[[#Headers],[Ca]:[Kết thúc]]),0)),0,
SUM(_xlfn._xlws.FILTER(Table_BangLuong_TyLeTangCa[Tỷ lệ],
(Table_BangLuong_TyLeTangCa[Ngày] = "Thường") *
(Table_BangLuong_TyLeTangCa[Giờ min]&lt;=$AA26) *
(Table_BangLuong_TyLeTangCa[Giờ max]&gt;$AA26)
)))),
IF(AN$4 &gt; AN$5,
IF(
AND(
$AA26-$Z$4&lt;MAX(AN$4,VLOOKUP(AN$6, Table_ChiPhiNV_Ca[], COUNTA(Table_ChiPhiNV_Ca[[#Headers],[Ca]:[Bắt đầu]]),0)),
$AA26&gt;MIN(AN$5,VLOOKUP(AN$6, Table_ChiPhiNV_Ca[], COUNTA(Table_ChiPhiNV_Ca[[#Headers],[Ca]:[Kết thúc]]),0))),0,
SUM(_xlfn._xlws.FILTER(Table_BangLuong_TyLeTangCa[Tỷ lệ],
(Table_BangLuong_TyLeTangCa[Ngày] = "Thường") *
(Table_BangLuong_TyLeTangCa[Giờ min]&lt;=$AA26) *
(Table_BangLuong_TyLeTangCa[Giờ max]&gt;$AA26)
))),
IF(
AND(
$AA26-$Z$4&gt;=MAX(AN$4,VLOOKUP(AN$6, Table_ChiPhiNV_Ca[], COUNTA(Table_ChiPhiNV_Ca[[#Headers],[Ca]:[Bắt đầu]]),0)),
$AA26&lt;MIN(AN$5,VLOOKUP(AN$6, Table_ChiPhiNV_Ca[], COUNTA(Table_ChiPhiNV_Ca[[#Headers],[Ca]:[Kết thúc]]),0))),
SUM(_xlfn._xlws.FILTER(Table_BangLuong_TyLeTangCa[Tỷ lệ],
(Table_BangLuong_TyLeTangCa[Ngày] = "Thường") *
(Table_BangLuong_TyLeTangCa[Giờ min]&lt;=$AA26) *
(Table_BangLuong_TyLeTangCa[Giờ max]&gt;$AA26)
)),0)
)),
IF(AN$4 &lt; AN$5,
IF($AA26-$Z$4&lt;AN$4,0,
IF($AA26&gt;AN$5,0,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AN$5,$AA26 &lt; AN$4),0,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O26" s="18" cm="1">
        <f t="array" ref="AO26" xml:space="preserve">
IFERROR(
IF(AO$1="",0,
IF(AND(
$AA26&gt;=VLOOKUP(AO$6, Table_ChiPhiNV_Ca[], COUNTA(Table_ChiPhiNV_Ca[[#Headers],[Ca]:[Bắt đầu nghỉ]]),0),
$AA26&lt;VLOOKUP(AO$6, Table_ChiPhiNV_Ca[], COUNTA(Table_ChiPhiNV_Ca[[#Headers],[Ca]:[Kết thúc nghỉ]]),0)
),0,
IF(NOT(ISBLANK(AO$3)),
IF(ISBLANK(AO$7),0,
IF(AO$4 &lt; AO$5,
IF($AA26-$Z$4&lt;AO$4,0,
IF($AA26&gt;AO$5,0,
SUM(_xlfn._xlws.FILTER(Table_BangLuong_TyLeTangCa[Tỷ lệ],
(Table_BangLuong_TyLeTangCa[Ngày] = AO$3) *
(Table_BangLuong_TyLeTangCa[Giờ min]&lt;=$AA26) *
(Table_BangLuong_TyLeTangCa[Giờ max]&gt;$AA26)
)))),
IF(AND($AA26-$Z$4 &gt;= AO$5,$AA26 &lt; AO$4),0,
SUM(_xlfn._xlws.FILTER(Table_BangLuong_TyLeTangCa[Tỷ lệ],
(Table_BangLuong_TyLeTangCa[Ngày] = AO$3) *
(Table_BangLuong_TyLeTangCa[Giờ min]&lt;=$AA26) *
(Table_BangLuong_TyLeTangCa[Giờ max]&gt;$AA26)
))))
),
IF(ISBLANK(AO$7),
IF(VLOOKUP(AO$6, Table_ChiPhiNV_Ca[], COUNTA(Table_ChiPhiNV_Ca[[#Headers],[Ca]:[Kết thúc]]),0)&gt; VLOOKUP(AO$6, Table_ChiPhiNV_Ca[], COUNTA(Table_ChiPhiNV_Ca[[#Headers],[Ca]:[Bắt đầu]]),0),
IF($AA26-$Z$4&lt;MAX(AO$4,VLOOKUP(AO$6, Table_ChiPhiNV_Ca[], COUNTA(Table_ChiPhiNV_Ca[[#Headers],[Ca]:[Bắt đầu]]),0)),0,
IF($AA26&gt;MIN(AO$5,VLOOKUP(AO$6, Table_ChiPhiNV_Ca[], COUNTA(Table_ChiPhiNV_Ca[[#Headers],[Ca]:[Kết thúc]]),0)),0,
SUM(_xlfn._xlws.FILTER(Table_BangLuong_TyLeTangCa[Tỷ lệ],
(Table_BangLuong_TyLeTangCa[Ngày] = "Thường") *
(Table_BangLuong_TyLeTangCa[Giờ min]&lt;=$AA26) *
(Table_BangLuong_TyLeTangCa[Giờ max]&gt;$AA26)
)))),
IF(AO$4 &gt; AO$5,
IF(
AND(
$AA26-$Z$4&lt;MAX(AO$4,VLOOKUP(AO$6, Table_ChiPhiNV_Ca[], COUNTA(Table_ChiPhiNV_Ca[[#Headers],[Ca]:[Bắt đầu]]),0)),
$AA26&gt;MIN(AO$5,VLOOKUP(AO$6, Table_ChiPhiNV_Ca[], COUNTA(Table_ChiPhiNV_Ca[[#Headers],[Ca]:[Kết thúc]]),0))),0,
SUM(_xlfn._xlws.FILTER(Table_BangLuong_TyLeTangCa[Tỷ lệ],
(Table_BangLuong_TyLeTangCa[Ngày] = "Thường") *
(Table_BangLuong_TyLeTangCa[Giờ min]&lt;=$AA26) *
(Table_BangLuong_TyLeTangCa[Giờ max]&gt;$AA26)
))),
IF(
AND(
$AA26-$Z$4&gt;=MAX(AO$4,VLOOKUP(AO$6, Table_ChiPhiNV_Ca[], COUNTA(Table_ChiPhiNV_Ca[[#Headers],[Ca]:[Bắt đầu]]),0)),
$AA26&lt;MIN(AO$5,VLOOKUP(AO$6, Table_ChiPhiNV_Ca[], COUNTA(Table_ChiPhiNV_Ca[[#Headers],[Ca]:[Kết thúc]]),0))),
SUM(_xlfn._xlws.FILTER(Table_BangLuong_TyLeTangCa[Tỷ lệ],
(Table_BangLuong_TyLeTangCa[Ngày] = "Thường") *
(Table_BangLuong_TyLeTangCa[Giờ min]&lt;=$AA26) *
(Table_BangLuong_TyLeTangCa[Giờ max]&gt;$AA26)
)),0)
)),
IF(AO$4 &lt; AO$5,
IF($AA26-$Z$4&lt;AO$4,0,
IF($AA26&gt;AO$5,0,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AO$5,$AA26 &lt; AO$4),0,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P26" s="18" cm="1">
        <f t="array" ref="AP26" xml:space="preserve">
IFERROR(
IF(AP$1="",0,
IF(AND(
$AA26&gt;=VLOOKUP(AP$6, Table_ChiPhiNV_Ca[], COUNTA(Table_ChiPhiNV_Ca[[#Headers],[Ca]:[Bắt đầu nghỉ]]),0),
$AA26&lt;VLOOKUP(AP$6, Table_ChiPhiNV_Ca[], COUNTA(Table_ChiPhiNV_Ca[[#Headers],[Ca]:[Kết thúc nghỉ]]),0)
),0,
IF(NOT(ISBLANK(AP$3)),
IF(ISBLANK(AP$7),0,
IF(AP$4 &lt; AP$5,
IF($AA26-$Z$4&lt;AP$4,0,
IF($AA26&gt;AP$5,0,
SUM(_xlfn._xlws.FILTER(Table_BangLuong_TyLeTangCa[Tỷ lệ],
(Table_BangLuong_TyLeTangCa[Ngày] = AP$3) *
(Table_BangLuong_TyLeTangCa[Giờ min]&lt;=$AA26) *
(Table_BangLuong_TyLeTangCa[Giờ max]&gt;$AA26)
)))),
IF(AND($AA26-$Z$4 &gt;= AP$5,$AA26 &lt; AP$4),0,
SUM(_xlfn._xlws.FILTER(Table_BangLuong_TyLeTangCa[Tỷ lệ],
(Table_BangLuong_TyLeTangCa[Ngày] = AP$3) *
(Table_BangLuong_TyLeTangCa[Giờ min]&lt;=$AA26) *
(Table_BangLuong_TyLeTangCa[Giờ max]&gt;$AA26)
))))
),
IF(ISBLANK(AP$7),
IF(VLOOKUP(AP$6, Table_ChiPhiNV_Ca[], COUNTA(Table_ChiPhiNV_Ca[[#Headers],[Ca]:[Kết thúc]]),0)&gt; VLOOKUP(AP$6, Table_ChiPhiNV_Ca[], COUNTA(Table_ChiPhiNV_Ca[[#Headers],[Ca]:[Bắt đầu]]),0),
IF($AA26-$Z$4&lt;MAX(AP$4,VLOOKUP(AP$6, Table_ChiPhiNV_Ca[], COUNTA(Table_ChiPhiNV_Ca[[#Headers],[Ca]:[Bắt đầu]]),0)),0,
IF($AA26&gt;MIN(AP$5,VLOOKUP(AP$6, Table_ChiPhiNV_Ca[], COUNTA(Table_ChiPhiNV_Ca[[#Headers],[Ca]:[Kết thúc]]),0)),0,
SUM(_xlfn._xlws.FILTER(Table_BangLuong_TyLeTangCa[Tỷ lệ],
(Table_BangLuong_TyLeTangCa[Ngày] = "Thường") *
(Table_BangLuong_TyLeTangCa[Giờ min]&lt;=$AA26) *
(Table_BangLuong_TyLeTangCa[Giờ max]&gt;$AA26)
)))),
IF(AP$4 &gt; AP$5,
IF(
AND(
$AA26-$Z$4&lt;MAX(AP$4,VLOOKUP(AP$6, Table_ChiPhiNV_Ca[], COUNTA(Table_ChiPhiNV_Ca[[#Headers],[Ca]:[Bắt đầu]]),0)),
$AA26&gt;MIN(AP$5,VLOOKUP(AP$6, Table_ChiPhiNV_Ca[], COUNTA(Table_ChiPhiNV_Ca[[#Headers],[Ca]:[Kết thúc]]),0))),0,
SUM(_xlfn._xlws.FILTER(Table_BangLuong_TyLeTangCa[Tỷ lệ],
(Table_BangLuong_TyLeTangCa[Ngày] = "Thường") *
(Table_BangLuong_TyLeTangCa[Giờ min]&lt;=$AA26) *
(Table_BangLuong_TyLeTangCa[Giờ max]&gt;$AA26)
))),
IF(
AND(
$AA26-$Z$4&gt;=MAX(AP$4,VLOOKUP(AP$6, Table_ChiPhiNV_Ca[], COUNTA(Table_ChiPhiNV_Ca[[#Headers],[Ca]:[Bắt đầu]]),0)),
$AA26&lt;MIN(AP$5,VLOOKUP(AP$6, Table_ChiPhiNV_Ca[], COUNTA(Table_ChiPhiNV_Ca[[#Headers],[Ca]:[Kết thúc]]),0))),
SUM(_xlfn._xlws.FILTER(Table_BangLuong_TyLeTangCa[Tỷ lệ],
(Table_BangLuong_TyLeTangCa[Ngày] = "Thường") *
(Table_BangLuong_TyLeTangCa[Giờ min]&lt;=$AA26) *
(Table_BangLuong_TyLeTangCa[Giờ max]&gt;$AA26)
)),0)
)),
IF(AP$4 &lt; AP$5,
IF($AA26-$Z$4&lt;AP$4,0,
IF($AA26&gt;AP$5,0,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AP$5,$AA26 &lt; AP$4),0,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Q26" s="18" cm="1">
        <f t="array" ref="AQ26" xml:space="preserve">
IFERROR(
IF(AQ$1="",0,
IF(AND(
$AA26&gt;=VLOOKUP(AQ$6, Table_ChiPhiNV_Ca[], COUNTA(Table_ChiPhiNV_Ca[[#Headers],[Ca]:[Bắt đầu nghỉ]]),0),
$AA26&lt;VLOOKUP(AQ$6, Table_ChiPhiNV_Ca[], COUNTA(Table_ChiPhiNV_Ca[[#Headers],[Ca]:[Kết thúc nghỉ]]),0)
),0,
IF(NOT(ISBLANK(AQ$3)),
IF(ISBLANK(AQ$7),0,
IF(AQ$4 &lt; AQ$5,
IF($AA26-$Z$4&lt;AQ$4,0,
IF($AA26&gt;AQ$5,0,
SUM(_xlfn._xlws.FILTER(Table_BangLuong_TyLeTangCa[Tỷ lệ],
(Table_BangLuong_TyLeTangCa[Ngày] = AQ$3) *
(Table_BangLuong_TyLeTangCa[Giờ min]&lt;=$AA26) *
(Table_BangLuong_TyLeTangCa[Giờ max]&gt;$AA26)
)))),
IF(AND($AA26-$Z$4 &gt;= AQ$5,$AA26 &lt; AQ$4),0,
SUM(_xlfn._xlws.FILTER(Table_BangLuong_TyLeTangCa[Tỷ lệ],
(Table_BangLuong_TyLeTangCa[Ngày] = AQ$3) *
(Table_BangLuong_TyLeTangCa[Giờ min]&lt;=$AA26) *
(Table_BangLuong_TyLeTangCa[Giờ max]&gt;$AA26)
))))
),
IF(ISBLANK(AQ$7),
IF(VLOOKUP(AQ$6, Table_ChiPhiNV_Ca[], COUNTA(Table_ChiPhiNV_Ca[[#Headers],[Ca]:[Kết thúc]]),0)&gt; VLOOKUP(AQ$6, Table_ChiPhiNV_Ca[], COUNTA(Table_ChiPhiNV_Ca[[#Headers],[Ca]:[Bắt đầu]]),0),
IF($AA26-$Z$4&lt;MAX(AQ$4,VLOOKUP(AQ$6, Table_ChiPhiNV_Ca[], COUNTA(Table_ChiPhiNV_Ca[[#Headers],[Ca]:[Bắt đầu]]),0)),0,
IF($AA26&gt;MIN(AQ$5,VLOOKUP(AQ$6, Table_ChiPhiNV_Ca[], COUNTA(Table_ChiPhiNV_Ca[[#Headers],[Ca]:[Kết thúc]]),0)),0,
SUM(_xlfn._xlws.FILTER(Table_BangLuong_TyLeTangCa[Tỷ lệ],
(Table_BangLuong_TyLeTangCa[Ngày] = "Thường") *
(Table_BangLuong_TyLeTangCa[Giờ min]&lt;=$AA26) *
(Table_BangLuong_TyLeTangCa[Giờ max]&gt;$AA26)
)))),
IF(AQ$4 &gt; AQ$5,
IF(
AND(
$AA26-$Z$4&lt;MAX(AQ$4,VLOOKUP(AQ$6, Table_ChiPhiNV_Ca[], COUNTA(Table_ChiPhiNV_Ca[[#Headers],[Ca]:[Bắt đầu]]),0)),
$AA26&gt;MIN(AQ$5,VLOOKUP(AQ$6, Table_ChiPhiNV_Ca[], COUNTA(Table_ChiPhiNV_Ca[[#Headers],[Ca]:[Kết thúc]]),0))),0,
SUM(_xlfn._xlws.FILTER(Table_BangLuong_TyLeTangCa[Tỷ lệ],
(Table_BangLuong_TyLeTangCa[Ngày] = "Thường") *
(Table_BangLuong_TyLeTangCa[Giờ min]&lt;=$AA26) *
(Table_BangLuong_TyLeTangCa[Giờ max]&gt;$AA26)
))),
IF(
AND(
$AA26-$Z$4&gt;=MAX(AQ$4,VLOOKUP(AQ$6, Table_ChiPhiNV_Ca[], COUNTA(Table_ChiPhiNV_Ca[[#Headers],[Ca]:[Bắt đầu]]),0)),
$AA26&lt;MIN(AQ$5,VLOOKUP(AQ$6, Table_ChiPhiNV_Ca[], COUNTA(Table_ChiPhiNV_Ca[[#Headers],[Ca]:[Kết thúc]]),0))),
SUM(_xlfn._xlws.FILTER(Table_BangLuong_TyLeTangCa[Tỷ lệ],
(Table_BangLuong_TyLeTangCa[Ngày] = "Thường") *
(Table_BangLuong_TyLeTangCa[Giờ min]&lt;=$AA26) *
(Table_BangLuong_TyLeTangCa[Giờ max]&gt;$AA26)
)),0)
)),
IF(AQ$4 &lt; AQ$5,
IF($AA26-$Z$4&lt;AQ$4,0,
IF($AA26&gt;AQ$5,0,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AQ$5,$AA26 &lt; AQ$4),0,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R26" s="18" cm="1">
        <f t="array" ref="AR26" xml:space="preserve">
IFERROR(
IF(AR$1="",0,
IF(AND(
$AA26&gt;=VLOOKUP(AR$6, Table_ChiPhiNV_Ca[], COUNTA(Table_ChiPhiNV_Ca[[#Headers],[Ca]:[Bắt đầu nghỉ]]),0),
$AA26&lt;VLOOKUP(AR$6, Table_ChiPhiNV_Ca[], COUNTA(Table_ChiPhiNV_Ca[[#Headers],[Ca]:[Kết thúc nghỉ]]),0)
),0,
IF(NOT(ISBLANK(AR$3)),
IF(ISBLANK(AR$7),0,
IF(AR$4 &lt; AR$5,
IF($AA26-$Z$4&lt;AR$4,0,
IF($AA26&gt;AR$5,0,
SUM(_xlfn._xlws.FILTER(Table_BangLuong_TyLeTangCa[Tỷ lệ],
(Table_BangLuong_TyLeTangCa[Ngày] = AR$3) *
(Table_BangLuong_TyLeTangCa[Giờ min]&lt;=$AA26) *
(Table_BangLuong_TyLeTangCa[Giờ max]&gt;$AA26)
)))),
IF(AND($AA26-$Z$4 &gt;= AR$5,$AA26 &lt; AR$4),0,
SUM(_xlfn._xlws.FILTER(Table_BangLuong_TyLeTangCa[Tỷ lệ],
(Table_BangLuong_TyLeTangCa[Ngày] = AR$3) *
(Table_BangLuong_TyLeTangCa[Giờ min]&lt;=$AA26) *
(Table_BangLuong_TyLeTangCa[Giờ max]&gt;$AA26)
))))
),
IF(ISBLANK(AR$7),
IF(VLOOKUP(AR$6, Table_ChiPhiNV_Ca[], COUNTA(Table_ChiPhiNV_Ca[[#Headers],[Ca]:[Kết thúc]]),0)&gt; VLOOKUP(AR$6, Table_ChiPhiNV_Ca[], COUNTA(Table_ChiPhiNV_Ca[[#Headers],[Ca]:[Bắt đầu]]),0),
IF($AA26-$Z$4&lt;MAX(AR$4,VLOOKUP(AR$6, Table_ChiPhiNV_Ca[], COUNTA(Table_ChiPhiNV_Ca[[#Headers],[Ca]:[Bắt đầu]]),0)),0,
IF($AA26&gt;MIN(AR$5,VLOOKUP(AR$6, Table_ChiPhiNV_Ca[], COUNTA(Table_ChiPhiNV_Ca[[#Headers],[Ca]:[Kết thúc]]),0)),0,
SUM(_xlfn._xlws.FILTER(Table_BangLuong_TyLeTangCa[Tỷ lệ],
(Table_BangLuong_TyLeTangCa[Ngày] = "Thường") *
(Table_BangLuong_TyLeTangCa[Giờ min]&lt;=$AA26) *
(Table_BangLuong_TyLeTangCa[Giờ max]&gt;$AA26)
)))),
IF(AR$4 &gt; AR$5,
IF(
AND(
$AA26-$Z$4&lt;MAX(AR$4,VLOOKUP(AR$6, Table_ChiPhiNV_Ca[], COUNTA(Table_ChiPhiNV_Ca[[#Headers],[Ca]:[Bắt đầu]]),0)),
$AA26&gt;MIN(AR$5,VLOOKUP(AR$6, Table_ChiPhiNV_Ca[], COUNTA(Table_ChiPhiNV_Ca[[#Headers],[Ca]:[Kết thúc]]),0))),0,
SUM(_xlfn._xlws.FILTER(Table_BangLuong_TyLeTangCa[Tỷ lệ],
(Table_BangLuong_TyLeTangCa[Ngày] = "Thường") *
(Table_BangLuong_TyLeTangCa[Giờ min]&lt;=$AA26) *
(Table_BangLuong_TyLeTangCa[Giờ max]&gt;$AA26)
))),
IF(
AND(
$AA26-$Z$4&gt;=MAX(AR$4,VLOOKUP(AR$6, Table_ChiPhiNV_Ca[], COUNTA(Table_ChiPhiNV_Ca[[#Headers],[Ca]:[Bắt đầu]]),0)),
$AA26&lt;MIN(AR$5,VLOOKUP(AR$6, Table_ChiPhiNV_Ca[], COUNTA(Table_ChiPhiNV_Ca[[#Headers],[Ca]:[Kết thúc]]),0))),
SUM(_xlfn._xlws.FILTER(Table_BangLuong_TyLeTangCa[Tỷ lệ],
(Table_BangLuong_TyLeTangCa[Ngày] = "Thường") *
(Table_BangLuong_TyLeTangCa[Giờ min]&lt;=$AA26) *
(Table_BangLuong_TyLeTangCa[Giờ max]&gt;$AA26)
)),0)
)),
IF(AR$4 &lt; AR$5,
IF($AA26-$Z$4&lt;AR$4,0,
IF($AA26&gt;AR$5,0,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AR$5,$AA26 &lt; AR$4),0,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S26" s="18" cm="1">
        <f t="array" ref="AS26" xml:space="preserve">
IFERROR(
IF(AS$1="",0,
IF(AND(
$AA26&gt;=VLOOKUP(AS$6, Table_ChiPhiNV_Ca[], COUNTA(Table_ChiPhiNV_Ca[[#Headers],[Ca]:[Bắt đầu nghỉ]]),0),
$AA26&lt;VLOOKUP(AS$6, Table_ChiPhiNV_Ca[], COUNTA(Table_ChiPhiNV_Ca[[#Headers],[Ca]:[Kết thúc nghỉ]]),0)
),0,
IF(NOT(ISBLANK(AS$3)),
IF(ISBLANK(AS$7),0,
IF(AS$4 &lt; AS$5,
IF($AA26-$Z$4&lt;AS$4,0,
IF($AA26&gt;AS$5,0,
SUM(_xlfn._xlws.FILTER(Table_BangLuong_TyLeTangCa[Tỷ lệ],
(Table_BangLuong_TyLeTangCa[Ngày] = AS$3) *
(Table_BangLuong_TyLeTangCa[Giờ min]&lt;=$AA26) *
(Table_BangLuong_TyLeTangCa[Giờ max]&gt;$AA26)
)))),
IF(AND($AA26-$Z$4 &gt;= AS$5,$AA26 &lt; AS$4),0,
SUM(_xlfn._xlws.FILTER(Table_BangLuong_TyLeTangCa[Tỷ lệ],
(Table_BangLuong_TyLeTangCa[Ngày] = AS$3) *
(Table_BangLuong_TyLeTangCa[Giờ min]&lt;=$AA26) *
(Table_BangLuong_TyLeTangCa[Giờ max]&gt;$AA26)
))))
),
IF(ISBLANK(AS$7),
IF(VLOOKUP(AS$6, Table_ChiPhiNV_Ca[], COUNTA(Table_ChiPhiNV_Ca[[#Headers],[Ca]:[Kết thúc]]),0)&gt; VLOOKUP(AS$6, Table_ChiPhiNV_Ca[], COUNTA(Table_ChiPhiNV_Ca[[#Headers],[Ca]:[Bắt đầu]]),0),
IF($AA26-$Z$4&lt;MAX(AS$4,VLOOKUP(AS$6, Table_ChiPhiNV_Ca[], COUNTA(Table_ChiPhiNV_Ca[[#Headers],[Ca]:[Bắt đầu]]),0)),0,
IF($AA26&gt;MIN(AS$5,VLOOKUP(AS$6, Table_ChiPhiNV_Ca[], COUNTA(Table_ChiPhiNV_Ca[[#Headers],[Ca]:[Kết thúc]]),0)),0,
SUM(_xlfn._xlws.FILTER(Table_BangLuong_TyLeTangCa[Tỷ lệ],
(Table_BangLuong_TyLeTangCa[Ngày] = "Thường") *
(Table_BangLuong_TyLeTangCa[Giờ min]&lt;=$AA26) *
(Table_BangLuong_TyLeTangCa[Giờ max]&gt;$AA26)
)))),
IF(AS$4 &gt; AS$5,
IF(
AND(
$AA26-$Z$4&lt;MAX(AS$4,VLOOKUP(AS$6, Table_ChiPhiNV_Ca[], COUNTA(Table_ChiPhiNV_Ca[[#Headers],[Ca]:[Bắt đầu]]),0)),
$AA26&gt;MIN(AS$5,VLOOKUP(AS$6, Table_ChiPhiNV_Ca[], COUNTA(Table_ChiPhiNV_Ca[[#Headers],[Ca]:[Kết thúc]]),0))),0,
SUM(_xlfn._xlws.FILTER(Table_BangLuong_TyLeTangCa[Tỷ lệ],
(Table_BangLuong_TyLeTangCa[Ngày] = "Thường") *
(Table_BangLuong_TyLeTangCa[Giờ min]&lt;=$AA26) *
(Table_BangLuong_TyLeTangCa[Giờ max]&gt;$AA26)
))),
IF(
AND(
$AA26-$Z$4&gt;=MAX(AS$4,VLOOKUP(AS$6, Table_ChiPhiNV_Ca[], COUNTA(Table_ChiPhiNV_Ca[[#Headers],[Ca]:[Bắt đầu]]),0)),
$AA26&lt;MIN(AS$5,VLOOKUP(AS$6, Table_ChiPhiNV_Ca[], COUNTA(Table_ChiPhiNV_Ca[[#Headers],[Ca]:[Kết thúc]]),0))),
SUM(_xlfn._xlws.FILTER(Table_BangLuong_TyLeTangCa[Tỷ lệ],
(Table_BangLuong_TyLeTangCa[Ngày] = "Thường") *
(Table_BangLuong_TyLeTangCa[Giờ min]&lt;=$AA26) *
(Table_BangLuong_TyLeTangCa[Giờ max]&gt;$AA26)
)),0)
)),
IF(AS$4 &lt; AS$5,
IF($AA26-$Z$4&lt;AS$4,0,
IF($AA26&gt;AS$5,0,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AS$5,$AA26 &lt; AS$4),0,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T26" s="18" cm="1">
        <f t="array" ref="AT26" xml:space="preserve">
IFERROR(
IF(AT$1="",0,
IF(AND(
$AA26&gt;=VLOOKUP(AT$6, Table_ChiPhiNV_Ca[], COUNTA(Table_ChiPhiNV_Ca[[#Headers],[Ca]:[Bắt đầu nghỉ]]),0),
$AA26&lt;VLOOKUP(AT$6, Table_ChiPhiNV_Ca[], COUNTA(Table_ChiPhiNV_Ca[[#Headers],[Ca]:[Kết thúc nghỉ]]),0)
),0,
IF(NOT(ISBLANK(AT$3)),
IF(ISBLANK(AT$7),0,
IF(AT$4 &lt; AT$5,
IF($AA26-$Z$4&lt;AT$4,0,
IF($AA26&gt;AT$5,0,
SUM(_xlfn._xlws.FILTER(Table_BangLuong_TyLeTangCa[Tỷ lệ],
(Table_BangLuong_TyLeTangCa[Ngày] = AT$3) *
(Table_BangLuong_TyLeTangCa[Giờ min]&lt;=$AA26) *
(Table_BangLuong_TyLeTangCa[Giờ max]&gt;$AA26)
)))),
IF(AND($AA26-$Z$4 &gt;= AT$5,$AA26 &lt; AT$4),0,
SUM(_xlfn._xlws.FILTER(Table_BangLuong_TyLeTangCa[Tỷ lệ],
(Table_BangLuong_TyLeTangCa[Ngày] = AT$3) *
(Table_BangLuong_TyLeTangCa[Giờ min]&lt;=$AA26) *
(Table_BangLuong_TyLeTangCa[Giờ max]&gt;$AA26)
))))
),
IF(ISBLANK(AT$7),
IF(VLOOKUP(AT$6, Table_ChiPhiNV_Ca[], COUNTA(Table_ChiPhiNV_Ca[[#Headers],[Ca]:[Kết thúc]]),0)&gt; VLOOKUP(AT$6, Table_ChiPhiNV_Ca[], COUNTA(Table_ChiPhiNV_Ca[[#Headers],[Ca]:[Bắt đầu]]),0),
IF($AA26-$Z$4&lt;MAX(AT$4,VLOOKUP(AT$6, Table_ChiPhiNV_Ca[], COUNTA(Table_ChiPhiNV_Ca[[#Headers],[Ca]:[Bắt đầu]]),0)),0,
IF($AA26&gt;MIN(AT$5,VLOOKUP(AT$6, Table_ChiPhiNV_Ca[], COUNTA(Table_ChiPhiNV_Ca[[#Headers],[Ca]:[Kết thúc]]),0)),0,
SUM(_xlfn._xlws.FILTER(Table_BangLuong_TyLeTangCa[Tỷ lệ],
(Table_BangLuong_TyLeTangCa[Ngày] = "Thường") *
(Table_BangLuong_TyLeTangCa[Giờ min]&lt;=$AA26) *
(Table_BangLuong_TyLeTangCa[Giờ max]&gt;$AA26)
)))),
IF(AT$4 &gt; AT$5,
IF(
AND(
$AA26-$Z$4&lt;MAX(AT$4,VLOOKUP(AT$6, Table_ChiPhiNV_Ca[], COUNTA(Table_ChiPhiNV_Ca[[#Headers],[Ca]:[Bắt đầu]]),0)),
$AA26&gt;MIN(AT$5,VLOOKUP(AT$6, Table_ChiPhiNV_Ca[], COUNTA(Table_ChiPhiNV_Ca[[#Headers],[Ca]:[Kết thúc]]),0))),0,
SUM(_xlfn._xlws.FILTER(Table_BangLuong_TyLeTangCa[Tỷ lệ],
(Table_BangLuong_TyLeTangCa[Ngày] = "Thường") *
(Table_BangLuong_TyLeTangCa[Giờ min]&lt;=$AA26) *
(Table_BangLuong_TyLeTangCa[Giờ max]&gt;$AA26)
))),
IF(
AND(
$AA26-$Z$4&gt;=MAX(AT$4,VLOOKUP(AT$6, Table_ChiPhiNV_Ca[], COUNTA(Table_ChiPhiNV_Ca[[#Headers],[Ca]:[Bắt đầu]]),0)),
$AA26&lt;MIN(AT$5,VLOOKUP(AT$6, Table_ChiPhiNV_Ca[], COUNTA(Table_ChiPhiNV_Ca[[#Headers],[Ca]:[Kết thúc]]),0))),
SUM(_xlfn._xlws.FILTER(Table_BangLuong_TyLeTangCa[Tỷ lệ],
(Table_BangLuong_TyLeTangCa[Ngày] = "Thường") *
(Table_BangLuong_TyLeTangCa[Giờ min]&lt;=$AA26) *
(Table_BangLuong_TyLeTangCa[Giờ max]&gt;$AA26)
)),0)
)),
IF(AT$4 &lt; AT$5,
IF($AA26-$Z$4&lt;AT$4,0,
IF($AA26&gt;AT$5,0,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AT$5,$AA26 &lt; AT$4),0,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U26" s="18" cm="1">
        <f t="array" ref="AU26" xml:space="preserve">
IFERROR(
IF(AU$1="",0,
IF(AND(
$AA26&gt;=VLOOKUP(AU$6, Table_ChiPhiNV_Ca[], COUNTA(Table_ChiPhiNV_Ca[[#Headers],[Ca]:[Bắt đầu nghỉ]]),0),
$AA26&lt;VLOOKUP(AU$6, Table_ChiPhiNV_Ca[], COUNTA(Table_ChiPhiNV_Ca[[#Headers],[Ca]:[Kết thúc nghỉ]]),0)
),0,
IF(NOT(ISBLANK(AU$3)),
IF(ISBLANK(AU$7),0,
IF(AU$4 &lt; AU$5,
IF($AA26-$Z$4&lt;AU$4,0,
IF($AA26&gt;AU$5,0,
SUM(_xlfn._xlws.FILTER(Table_BangLuong_TyLeTangCa[Tỷ lệ],
(Table_BangLuong_TyLeTangCa[Ngày] = AU$3) *
(Table_BangLuong_TyLeTangCa[Giờ min]&lt;=$AA26) *
(Table_BangLuong_TyLeTangCa[Giờ max]&gt;$AA26)
)))),
IF(AND($AA26-$Z$4 &gt;= AU$5,$AA26 &lt; AU$4),0,
SUM(_xlfn._xlws.FILTER(Table_BangLuong_TyLeTangCa[Tỷ lệ],
(Table_BangLuong_TyLeTangCa[Ngày] = AU$3) *
(Table_BangLuong_TyLeTangCa[Giờ min]&lt;=$AA26) *
(Table_BangLuong_TyLeTangCa[Giờ max]&gt;$AA26)
))))
),
IF(ISBLANK(AU$7),
IF(VLOOKUP(AU$6, Table_ChiPhiNV_Ca[], COUNTA(Table_ChiPhiNV_Ca[[#Headers],[Ca]:[Kết thúc]]),0)&gt; VLOOKUP(AU$6, Table_ChiPhiNV_Ca[], COUNTA(Table_ChiPhiNV_Ca[[#Headers],[Ca]:[Bắt đầu]]),0),
IF($AA26-$Z$4&lt;MAX(AU$4,VLOOKUP(AU$6, Table_ChiPhiNV_Ca[], COUNTA(Table_ChiPhiNV_Ca[[#Headers],[Ca]:[Bắt đầu]]),0)),0,
IF($AA26&gt;MIN(AU$5,VLOOKUP(AU$6, Table_ChiPhiNV_Ca[], COUNTA(Table_ChiPhiNV_Ca[[#Headers],[Ca]:[Kết thúc]]),0)),0,
SUM(_xlfn._xlws.FILTER(Table_BangLuong_TyLeTangCa[Tỷ lệ],
(Table_BangLuong_TyLeTangCa[Ngày] = "Thường") *
(Table_BangLuong_TyLeTangCa[Giờ min]&lt;=$AA26) *
(Table_BangLuong_TyLeTangCa[Giờ max]&gt;$AA26)
)))),
IF(AU$4 &gt; AU$5,
IF(
AND(
$AA26-$Z$4&lt;MAX(AU$4,VLOOKUP(AU$6, Table_ChiPhiNV_Ca[], COUNTA(Table_ChiPhiNV_Ca[[#Headers],[Ca]:[Bắt đầu]]),0)),
$AA26&gt;MIN(AU$5,VLOOKUP(AU$6, Table_ChiPhiNV_Ca[], COUNTA(Table_ChiPhiNV_Ca[[#Headers],[Ca]:[Kết thúc]]),0))),0,
SUM(_xlfn._xlws.FILTER(Table_BangLuong_TyLeTangCa[Tỷ lệ],
(Table_BangLuong_TyLeTangCa[Ngày] = "Thường") *
(Table_BangLuong_TyLeTangCa[Giờ min]&lt;=$AA26) *
(Table_BangLuong_TyLeTangCa[Giờ max]&gt;$AA26)
))),
IF(
AND(
$AA26-$Z$4&gt;=MAX(AU$4,VLOOKUP(AU$6, Table_ChiPhiNV_Ca[], COUNTA(Table_ChiPhiNV_Ca[[#Headers],[Ca]:[Bắt đầu]]),0)),
$AA26&lt;MIN(AU$5,VLOOKUP(AU$6, Table_ChiPhiNV_Ca[], COUNTA(Table_ChiPhiNV_Ca[[#Headers],[Ca]:[Kết thúc]]),0))),
SUM(_xlfn._xlws.FILTER(Table_BangLuong_TyLeTangCa[Tỷ lệ],
(Table_BangLuong_TyLeTangCa[Ngày] = "Thường") *
(Table_BangLuong_TyLeTangCa[Giờ min]&lt;=$AA26) *
(Table_BangLuong_TyLeTangCa[Giờ max]&gt;$AA26)
)),0)
)),
IF(AU$4 &lt; AU$5,
IF($AA26-$Z$4&lt;AU$4,0,
IF($AA26&gt;AU$5,0,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AU$5,$AA26 &lt; AU$4),0,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V26" s="18" cm="1">
        <f t="array" ref="AV26" xml:space="preserve">
IFERROR(
IF(AV$1="",0,
IF(AND(
$AA26&gt;=VLOOKUP(AV$6, Table_ChiPhiNV_Ca[], COUNTA(Table_ChiPhiNV_Ca[[#Headers],[Ca]:[Bắt đầu nghỉ]]),0),
$AA26&lt;VLOOKUP(AV$6, Table_ChiPhiNV_Ca[], COUNTA(Table_ChiPhiNV_Ca[[#Headers],[Ca]:[Kết thúc nghỉ]]),0)
),0,
IF(NOT(ISBLANK(AV$3)),
IF(ISBLANK(AV$7),0,
IF(AV$4 &lt; AV$5,
IF($AA26-$Z$4&lt;AV$4,0,
IF($AA26&gt;AV$5,0,
SUM(_xlfn._xlws.FILTER(Table_BangLuong_TyLeTangCa[Tỷ lệ],
(Table_BangLuong_TyLeTangCa[Ngày] = AV$3) *
(Table_BangLuong_TyLeTangCa[Giờ min]&lt;=$AA26) *
(Table_BangLuong_TyLeTangCa[Giờ max]&gt;$AA26)
)))),
IF(AND($AA26-$Z$4 &gt;= AV$5,$AA26 &lt; AV$4),0,
SUM(_xlfn._xlws.FILTER(Table_BangLuong_TyLeTangCa[Tỷ lệ],
(Table_BangLuong_TyLeTangCa[Ngày] = AV$3) *
(Table_BangLuong_TyLeTangCa[Giờ min]&lt;=$AA26) *
(Table_BangLuong_TyLeTangCa[Giờ max]&gt;$AA26)
))))
),
IF(ISBLANK(AV$7),
IF(VLOOKUP(AV$6, Table_ChiPhiNV_Ca[], COUNTA(Table_ChiPhiNV_Ca[[#Headers],[Ca]:[Kết thúc]]),0)&gt; VLOOKUP(AV$6, Table_ChiPhiNV_Ca[], COUNTA(Table_ChiPhiNV_Ca[[#Headers],[Ca]:[Bắt đầu]]),0),
IF($AA26-$Z$4&lt;MAX(AV$4,VLOOKUP(AV$6, Table_ChiPhiNV_Ca[], COUNTA(Table_ChiPhiNV_Ca[[#Headers],[Ca]:[Bắt đầu]]),0)),0,
IF($AA26&gt;MIN(AV$5,VLOOKUP(AV$6, Table_ChiPhiNV_Ca[], COUNTA(Table_ChiPhiNV_Ca[[#Headers],[Ca]:[Kết thúc]]),0)),0,
SUM(_xlfn._xlws.FILTER(Table_BangLuong_TyLeTangCa[Tỷ lệ],
(Table_BangLuong_TyLeTangCa[Ngày] = "Thường") *
(Table_BangLuong_TyLeTangCa[Giờ min]&lt;=$AA26) *
(Table_BangLuong_TyLeTangCa[Giờ max]&gt;$AA26)
)))),
IF(AV$4 &gt; AV$5,
IF(
AND(
$AA26-$Z$4&lt;MAX(AV$4,VLOOKUP(AV$6, Table_ChiPhiNV_Ca[], COUNTA(Table_ChiPhiNV_Ca[[#Headers],[Ca]:[Bắt đầu]]),0)),
$AA26&gt;MIN(AV$5,VLOOKUP(AV$6, Table_ChiPhiNV_Ca[], COUNTA(Table_ChiPhiNV_Ca[[#Headers],[Ca]:[Kết thúc]]),0))),0,
SUM(_xlfn._xlws.FILTER(Table_BangLuong_TyLeTangCa[Tỷ lệ],
(Table_BangLuong_TyLeTangCa[Ngày] = "Thường") *
(Table_BangLuong_TyLeTangCa[Giờ min]&lt;=$AA26) *
(Table_BangLuong_TyLeTangCa[Giờ max]&gt;$AA26)
))),
IF(
AND(
$AA26-$Z$4&gt;=MAX(AV$4,VLOOKUP(AV$6, Table_ChiPhiNV_Ca[], COUNTA(Table_ChiPhiNV_Ca[[#Headers],[Ca]:[Bắt đầu]]),0)),
$AA26&lt;MIN(AV$5,VLOOKUP(AV$6, Table_ChiPhiNV_Ca[], COUNTA(Table_ChiPhiNV_Ca[[#Headers],[Ca]:[Kết thúc]]),0))),
SUM(_xlfn._xlws.FILTER(Table_BangLuong_TyLeTangCa[Tỷ lệ],
(Table_BangLuong_TyLeTangCa[Ngày] = "Thường") *
(Table_BangLuong_TyLeTangCa[Giờ min]&lt;=$AA26) *
(Table_BangLuong_TyLeTangCa[Giờ max]&gt;$AA26)
)),0)
)),
IF(AV$4 &lt; AV$5,
IF($AA26-$Z$4&lt;AV$4,0,
IF($AA26&gt;AV$5,0,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AV$5,$AA26 &lt; AV$4),0,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W26" s="18" cm="1">
        <f t="array" ref="AW26" xml:space="preserve">
IFERROR(
IF(AW$1="",0,
IF(AND(
$AA26&gt;=VLOOKUP(AW$6, Table_ChiPhiNV_Ca[], COUNTA(Table_ChiPhiNV_Ca[[#Headers],[Ca]:[Bắt đầu nghỉ]]),0),
$AA26&lt;VLOOKUP(AW$6, Table_ChiPhiNV_Ca[], COUNTA(Table_ChiPhiNV_Ca[[#Headers],[Ca]:[Kết thúc nghỉ]]),0)
),0,
IF(NOT(ISBLANK(AW$3)),
IF(ISBLANK(AW$7),0,
IF(AW$4 &lt; AW$5,
IF($AA26-$Z$4&lt;AW$4,0,
IF($AA26&gt;AW$5,0,
SUM(_xlfn._xlws.FILTER(Table_BangLuong_TyLeTangCa[Tỷ lệ],
(Table_BangLuong_TyLeTangCa[Ngày] = AW$3) *
(Table_BangLuong_TyLeTangCa[Giờ min]&lt;=$AA26) *
(Table_BangLuong_TyLeTangCa[Giờ max]&gt;$AA26)
)))),
IF(AND($AA26-$Z$4 &gt;= AW$5,$AA26 &lt; AW$4),0,
SUM(_xlfn._xlws.FILTER(Table_BangLuong_TyLeTangCa[Tỷ lệ],
(Table_BangLuong_TyLeTangCa[Ngày] = AW$3) *
(Table_BangLuong_TyLeTangCa[Giờ min]&lt;=$AA26) *
(Table_BangLuong_TyLeTangCa[Giờ max]&gt;$AA26)
))))
),
IF(ISBLANK(AW$7),
IF(VLOOKUP(AW$6, Table_ChiPhiNV_Ca[], COUNTA(Table_ChiPhiNV_Ca[[#Headers],[Ca]:[Kết thúc]]),0)&gt; VLOOKUP(AW$6, Table_ChiPhiNV_Ca[], COUNTA(Table_ChiPhiNV_Ca[[#Headers],[Ca]:[Bắt đầu]]),0),
IF($AA26-$Z$4&lt;MAX(AW$4,VLOOKUP(AW$6, Table_ChiPhiNV_Ca[], COUNTA(Table_ChiPhiNV_Ca[[#Headers],[Ca]:[Bắt đầu]]),0)),0,
IF($AA26&gt;MIN(AW$5,VLOOKUP(AW$6, Table_ChiPhiNV_Ca[], COUNTA(Table_ChiPhiNV_Ca[[#Headers],[Ca]:[Kết thúc]]),0)),0,
SUM(_xlfn._xlws.FILTER(Table_BangLuong_TyLeTangCa[Tỷ lệ],
(Table_BangLuong_TyLeTangCa[Ngày] = "Thường") *
(Table_BangLuong_TyLeTangCa[Giờ min]&lt;=$AA26) *
(Table_BangLuong_TyLeTangCa[Giờ max]&gt;$AA26)
)))),
IF(AW$4 &gt; AW$5,
IF(
AND(
$AA26-$Z$4&lt;MAX(AW$4,VLOOKUP(AW$6, Table_ChiPhiNV_Ca[], COUNTA(Table_ChiPhiNV_Ca[[#Headers],[Ca]:[Bắt đầu]]),0)),
$AA26&gt;MIN(AW$5,VLOOKUP(AW$6, Table_ChiPhiNV_Ca[], COUNTA(Table_ChiPhiNV_Ca[[#Headers],[Ca]:[Kết thúc]]),0))),0,
SUM(_xlfn._xlws.FILTER(Table_BangLuong_TyLeTangCa[Tỷ lệ],
(Table_BangLuong_TyLeTangCa[Ngày] = "Thường") *
(Table_BangLuong_TyLeTangCa[Giờ min]&lt;=$AA26) *
(Table_BangLuong_TyLeTangCa[Giờ max]&gt;$AA26)
))),
IF(
AND(
$AA26-$Z$4&gt;=MAX(AW$4,VLOOKUP(AW$6, Table_ChiPhiNV_Ca[], COUNTA(Table_ChiPhiNV_Ca[[#Headers],[Ca]:[Bắt đầu]]),0)),
$AA26&lt;MIN(AW$5,VLOOKUP(AW$6, Table_ChiPhiNV_Ca[], COUNTA(Table_ChiPhiNV_Ca[[#Headers],[Ca]:[Kết thúc]]),0))),
SUM(_xlfn._xlws.FILTER(Table_BangLuong_TyLeTangCa[Tỷ lệ],
(Table_BangLuong_TyLeTangCa[Ngày] = "Thường") *
(Table_BangLuong_TyLeTangCa[Giờ min]&lt;=$AA26) *
(Table_BangLuong_TyLeTangCa[Giờ max]&gt;$AA26)
)),0)
)),
IF(AW$4 &lt; AW$5,
IF($AA26-$Z$4&lt;AW$4,0,
IF($AA26&gt;AW$5,0,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AW$5,$AA26 &lt; AW$4),0,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X26" s="18" cm="1">
        <f t="array" ref="AX26" xml:space="preserve">
IFERROR(
IF(AX$1="",0,
IF(AND(
$AA26&gt;=VLOOKUP(AX$6, Table_ChiPhiNV_Ca[], COUNTA(Table_ChiPhiNV_Ca[[#Headers],[Ca]:[Bắt đầu nghỉ]]),0),
$AA26&lt;VLOOKUP(AX$6, Table_ChiPhiNV_Ca[], COUNTA(Table_ChiPhiNV_Ca[[#Headers],[Ca]:[Kết thúc nghỉ]]),0)
),0,
IF(NOT(ISBLANK(AX$3)),
IF(ISBLANK(AX$7),0,
IF(AX$4 &lt; AX$5,
IF($AA26-$Z$4&lt;AX$4,0,
IF($AA26&gt;AX$5,0,
SUM(_xlfn._xlws.FILTER(Table_BangLuong_TyLeTangCa[Tỷ lệ],
(Table_BangLuong_TyLeTangCa[Ngày] = AX$3) *
(Table_BangLuong_TyLeTangCa[Giờ min]&lt;=$AA26) *
(Table_BangLuong_TyLeTangCa[Giờ max]&gt;$AA26)
)))),
IF(AND($AA26-$Z$4 &gt;= AX$5,$AA26 &lt; AX$4),0,
SUM(_xlfn._xlws.FILTER(Table_BangLuong_TyLeTangCa[Tỷ lệ],
(Table_BangLuong_TyLeTangCa[Ngày] = AX$3) *
(Table_BangLuong_TyLeTangCa[Giờ min]&lt;=$AA26) *
(Table_BangLuong_TyLeTangCa[Giờ max]&gt;$AA26)
))))
),
IF(ISBLANK(AX$7),
IF(VLOOKUP(AX$6, Table_ChiPhiNV_Ca[], COUNTA(Table_ChiPhiNV_Ca[[#Headers],[Ca]:[Kết thúc]]),0)&gt; VLOOKUP(AX$6, Table_ChiPhiNV_Ca[], COUNTA(Table_ChiPhiNV_Ca[[#Headers],[Ca]:[Bắt đầu]]),0),
IF($AA26-$Z$4&lt;MAX(AX$4,VLOOKUP(AX$6, Table_ChiPhiNV_Ca[], COUNTA(Table_ChiPhiNV_Ca[[#Headers],[Ca]:[Bắt đầu]]),0)),0,
IF($AA26&gt;MIN(AX$5,VLOOKUP(AX$6, Table_ChiPhiNV_Ca[], COUNTA(Table_ChiPhiNV_Ca[[#Headers],[Ca]:[Kết thúc]]),0)),0,
SUM(_xlfn._xlws.FILTER(Table_BangLuong_TyLeTangCa[Tỷ lệ],
(Table_BangLuong_TyLeTangCa[Ngày] = "Thường") *
(Table_BangLuong_TyLeTangCa[Giờ min]&lt;=$AA26) *
(Table_BangLuong_TyLeTangCa[Giờ max]&gt;$AA26)
)))),
IF(AX$4 &gt; AX$5,
IF(
AND(
$AA26-$Z$4&lt;MAX(AX$4,VLOOKUP(AX$6, Table_ChiPhiNV_Ca[], COUNTA(Table_ChiPhiNV_Ca[[#Headers],[Ca]:[Bắt đầu]]),0)),
$AA26&gt;MIN(AX$5,VLOOKUP(AX$6, Table_ChiPhiNV_Ca[], COUNTA(Table_ChiPhiNV_Ca[[#Headers],[Ca]:[Kết thúc]]),0))),0,
SUM(_xlfn._xlws.FILTER(Table_BangLuong_TyLeTangCa[Tỷ lệ],
(Table_BangLuong_TyLeTangCa[Ngày] = "Thường") *
(Table_BangLuong_TyLeTangCa[Giờ min]&lt;=$AA26) *
(Table_BangLuong_TyLeTangCa[Giờ max]&gt;$AA26)
))),
IF(
AND(
$AA26-$Z$4&gt;=MAX(AX$4,VLOOKUP(AX$6, Table_ChiPhiNV_Ca[], COUNTA(Table_ChiPhiNV_Ca[[#Headers],[Ca]:[Bắt đầu]]),0)),
$AA26&lt;MIN(AX$5,VLOOKUP(AX$6, Table_ChiPhiNV_Ca[], COUNTA(Table_ChiPhiNV_Ca[[#Headers],[Ca]:[Kết thúc]]),0))),
SUM(_xlfn._xlws.FILTER(Table_BangLuong_TyLeTangCa[Tỷ lệ],
(Table_BangLuong_TyLeTangCa[Ngày] = "Thường") *
(Table_BangLuong_TyLeTangCa[Giờ min]&lt;=$AA26) *
(Table_BangLuong_TyLeTangCa[Giờ max]&gt;$AA26)
)),0)
)),
IF(AX$4 &lt; AX$5,
IF($AA26-$Z$4&lt;AX$4,0,
IF($AA26&gt;AX$5,0,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AX$5,$AA26 &lt; AX$4),0,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Y26" s="18" cm="1">
        <f t="array" ref="AY26" xml:space="preserve">
IFERROR(
IF(AY$1="",0,
IF(AND(
$AA26&gt;=VLOOKUP(AY$6, Table_ChiPhiNV_Ca[], COUNTA(Table_ChiPhiNV_Ca[[#Headers],[Ca]:[Bắt đầu nghỉ]]),0),
$AA26&lt;VLOOKUP(AY$6, Table_ChiPhiNV_Ca[], COUNTA(Table_ChiPhiNV_Ca[[#Headers],[Ca]:[Kết thúc nghỉ]]),0)
),0,
IF(NOT(ISBLANK(AY$3)),
IF(ISBLANK(AY$7),0,
IF(AY$4 &lt; AY$5,
IF($AA26-$Z$4&lt;AY$4,0,
IF($AA26&gt;AY$5,0,
SUM(_xlfn._xlws.FILTER(Table_BangLuong_TyLeTangCa[Tỷ lệ],
(Table_BangLuong_TyLeTangCa[Ngày] = AY$3) *
(Table_BangLuong_TyLeTangCa[Giờ min]&lt;=$AA26) *
(Table_BangLuong_TyLeTangCa[Giờ max]&gt;$AA26)
)))),
IF(AND($AA26-$Z$4 &gt;= AY$5,$AA26 &lt; AY$4),0,
SUM(_xlfn._xlws.FILTER(Table_BangLuong_TyLeTangCa[Tỷ lệ],
(Table_BangLuong_TyLeTangCa[Ngày] = AY$3) *
(Table_BangLuong_TyLeTangCa[Giờ min]&lt;=$AA26) *
(Table_BangLuong_TyLeTangCa[Giờ max]&gt;$AA26)
))))
),
IF(ISBLANK(AY$7),
IF(VLOOKUP(AY$6, Table_ChiPhiNV_Ca[], COUNTA(Table_ChiPhiNV_Ca[[#Headers],[Ca]:[Kết thúc]]),0)&gt; VLOOKUP(AY$6, Table_ChiPhiNV_Ca[], COUNTA(Table_ChiPhiNV_Ca[[#Headers],[Ca]:[Bắt đầu]]),0),
IF($AA26-$Z$4&lt;MAX(AY$4,VLOOKUP(AY$6, Table_ChiPhiNV_Ca[], COUNTA(Table_ChiPhiNV_Ca[[#Headers],[Ca]:[Bắt đầu]]),0)),0,
IF($AA26&gt;MIN(AY$5,VLOOKUP(AY$6, Table_ChiPhiNV_Ca[], COUNTA(Table_ChiPhiNV_Ca[[#Headers],[Ca]:[Kết thúc]]),0)),0,
SUM(_xlfn._xlws.FILTER(Table_BangLuong_TyLeTangCa[Tỷ lệ],
(Table_BangLuong_TyLeTangCa[Ngày] = "Thường") *
(Table_BangLuong_TyLeTangCa[Giờ min]&lt;=$AA26) *
(Table_BangLuong_TyLeTangCa[Giờ max]&gt;$AA26)
)))),
IF(AY$4 &gt; AY$5,
IF(
AND(
$AA26-$Z$4&lt;MAX(AY$4,VLOOKUP(AY$6, Table_ChiPhiNV_Ca[], COUNTA(Table_ChiPhiNV_Ca[[#Headers],[Ca]:[Bắt đầu]]),0)),
$AA26&gt;MIN(AY$5,VLOOKUP(AY$6, Table_ChiPhiNV_Ca[], COUNTA(Table_ChiPhiNV_Ca[[#Headers],[Ca]:[Kết thúc]]),0))),0,
SUM(_xlfn._xlws.FILTER(Table_BangLuong_TyLeTangCa[Tỷ lệ],
(Table_BangLuong_TyLeTangCa[Ngày] = "Thường") *
(Table_BangLuong_TyLeTangCa[Giờ min]&lt;=$AA26) *
(Table_BangLuong_TyLeTangCa[Giờ max]&gt;$AA26)
))),
IF(
AND(
$AA26-$Z$4&gt;=MAX(AY$4,VLOOKUP(AY$6, Table_ChiPhiNV_Ca[], COUNTA(Table_ChiPhiNV_Ca[[#Headers],[Ca]:[Bắt đầu]]),0)),
$AA26&lt;MIN(AY$5,VLOOKUP(AY$6, Table_ChiPhiNV_Ca[], COUNTA(Table_ChiPhiNV_Ca[[#Headers],[Ca]:[Kết thúc]]),0))),
SUM(_xlfn._xlws.FILTER(Table_BangLuong_TyLeTangCa[Tỷ lệ],
(Table_BangLuong_TyLeTangCa[Ngày] = "Thường") *
(Table_BangLuong_TyLeTangCa[Giờ min]&lt;=$AA26) *
(Table_BangLuong_TyLeTangCa[Giờ max]&gt;$AA26)
)),0)
)),
IF(AY$4 &lt; AY$5,
IF($AA26-$Z$4&lt;AY$4,0,
IF($AA26&gt;AY$5,0,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AY$5,$AA26 &lt; AY$4),0,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Z26" s="18" cm="1">
        <f t="array" ref="AZ26" xml:space="preserve">
IFERROR(
IF(AZ$1="",0,
IF(AND(
$AA26&gt;=VLOOKUP(AZ$6, Table_ChiPhiNV_Ca[], COUNTA(Table_ChiPhiNV_Ca[[#Headers],[Ca]:[Bắt đầu nghỉ]]),0),
$AA26&lt;VLOOKUP(AZ$6, Table_ChiPhiNV_Ca[], COUNTA(Table_ChiPhiNV_Ca[[#Headers],[Ca]:[Kết thúc nghỉ]]),0)
),0,
IF(NOT(ISBLANK(AZ$3)),
IF(ISBLANK(AZ$7),0,
IF(AZ$4 &lt; AZ$5,
IF($AA26-$Z$4&lt;AZ$4,0,
IF($AA26&gt;AZ$5,0,
SUM(_xlfn._xlws.FILTER(Table_BangLuong_TyLeTangCa[Tỷ lệ],
(Table_BangLuong_TyLeTangCa[Ngày] = AZ$3) *
(Table_BangLuong_TyLeTangCa[Giờ min]&lt;=$AA26) *
(Table_BangLuong_TyLeTangCa[Giờ max]&gt;$AA26)
)))),
IF(AND($AA26-$Z$4 &gt;= AZ$5,$AA26 &lt; AZ$4),0,
SUM(_xlfn._xlws.FILTER(Table_BangLuong_TyLeTangCa[Tỷ lệ],
(Table_BangLuong_TyLeTangCa[Ngày] = AZ$3) *
(Table_BangLuong_TyLeTangCa[Giờ min]&lt;=$AA26) *
(Table_BangLuong_TyLeTangCa[Giờ max]&gt;$AA26)
))))
),
IF(ISBLANK(AZ$7),
IF(VLOOKUP(AZ$6, Table_ChiPhiNV_Ca[], COUNTA(Table_ChiPhiNV_Ca[[#Headers],[Ca]:[Kết thúc]]),0)&gt; VLOOKUP(AZ$6, Table_ChiPhiNV_Ca[], COUNTA(Table_ChiPhiNV_Ca[[#Headers],[Ca]:[Bắt đầu]]),0),
IF($AA26-$Z$4&lt;MAX(AZ$4,VLOOKUP(AZ$6, Table_ChiPhiNV_Ca[], COUNTA(Table_ChiPhiNV_Ca[[#Headers],[Ca]:[Bắt đầu]]),0)),0,
IF($AA26&gt;MIN(AZ$5,VLOOKUP(AZ$6, Table_ChiPhiNV_Ca[], COUNTA(Table_ChiPhiNV_Ca[[#Headers],[Ca]:[Kết thúc]]),0)),0,
SUM(_xlfn._xlws.FILTER(Table_BangLuong_TyLeTangCa[Tỷ lệ],
(Table_BangLuong_TyLeTangCa[Ngày] = "Thường") *
(Table_BangLuong_TyLeTangCa[Giờ min]&lt;=$AA26) *
(Table_BangLuong_TyLeTangCa[Giờ max]&gt;$AA26)
)))),
IF(AZ$4 &gt; AZ$5,
IF(
AND(
$AA26-$Z$4&lt;MAX(AZ$4,VLOOKUP(AZ$6, Table_ChiPhiNV_Ca[], COUNTA(Table_ChiPhiNV_Ca[[#Headers],[Ca]:[Bắt đầu]]),0)),
$AA26&gt;MIN(AZ$5,VLOOKUP(AZ$6, Table_ChiPhiNV_Ca[], COUNTA(Table_ChiPhiNV_Ca[[#Headers],[Ca]:[Kết thúc]]),0))),0,
SUM(_xlfn._xlws.FILTER(Table_BangLuong_TyLeTangCa[Tỷ lệ],
(Table_BangLuong_TyLeTangCa[Ngày] = "Thường") *
(Table_BangLuong_TyLeTangCa[Giờ min]&lt;=$AA26) *
(Table_BangLuong_TyLeTangCa[Giờ max]&gt;$AA26)
))),
IF(
AND(
$AA26-$Z$4&gt;=MAX(AZ$4,VLOOKUP(AZ$6, Table_ChiPhiNV_Ca[], COUNTA(Table_ChiPhiNV_Ca[[#Headers],[Ca]:[Bắt đầu]]),0)),
$AA26&lt;MIN(AZ$5,VLOOKUP(AZ$6, Table_ChiPhiNV_Ca[], COUNTA(Table_ChiPhiNV_Ca[[#Headers],[Ca]:[Kết thúc]]),0))),
SUM(_xlfn._xlws.FILTER(Table_BangLuong_TyLeTangCa[Tỷ lệ],
(Table_BangLuong_TyLeTangCa[Ngày] = "Thường") *
(Table_BangLuong_TyLeTangCa[Giờ min]&lt;=$AA26) *
(Table_BangLuong_TyLeTangCa[Giờ max]&gt;$AA26)
)),0)
)),
IF(AZ$4 &lt; AZ$5,
IF($AA26-$Z$4&lt;AZ$4,0,
IF($AA26&gt;AZ$5,0,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AZ$5,$AA26 &lt; AZ$4),0,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A26" s="18" cm="1">
        <f t="array" ref="BA26" xml:space="preserve">
IFERROR(
IF(BA$1="",0,
IF(AND(
$AA26&gt;=VLOOKUP(BA$6, Table_ChiPhiNV_Ca[], COUNTA(Table_ChiPhiNV_Ca[[#Headers],[Ca]:[Bắt đầu nghỉ]]),0),
$AA26&lt;VLOOKUP(BA$6, Table_ChiPhiNV_Ca[], COUNTA(Table_ChiPhiNV_Ca[[#Headers],[Ca]:[Kết thúc nghỉ]]),0)
),0,
IF(NOT(ISBLANK(BA$3)),
IF(ISBLANK(BA$7),0,
IF(BA$4 &lt; BA$5,
IF($AA26-$Z$4&lt;BA$4,0,
IF($AA26&gt;BA$5,0,
SUM(_xlfn._xlws.FILTER(Table_BangLuong_TyLeTangCa[Tỷ lệ],
(Table_BangLuong_TyLeTangCa[Ngày] = BA$3) *
(Table_BangLuong_TyLeTangCa[Giờ min]&lt;=$AA26) *
(Table_BangLuong_TyLeTangCa[Giờ max]&gt;$AA26)
)))),
IF(AND($AA26-$Z$4 &gt;= BA$5,$AA26 &lt; BA$4),0,
SUM(_xlfn._xlws.FILTER(Table_BangLuong_TyLeTangCa[Tỷ lệ],
(Table_BangLuong_TyLeTangCa[Ngày] = BA$3) *
(Table_BangLuong_TyLeTangCa[Giờ min]&lt;=$AA26) *
(Table_BangLuong_TyLeTangCa[Giờ max]&gt;$AA26)
))))
),
IF(ISBLANK(BA$7),
IF(VLOOKUP(BA$6, Table_ChiPhiNV_Ca[], COUNTA(Table_ChiPhiNV_Ca[[#Headers],[Ca]:[Kết thúc]]),0)&gt; VLOOKUP(BA$6, Table_ChiPhiNV_Ca[], COUNTA(Table_ChiPhiNV_Ca[[#Headers],[Ca]:[Bắt đầu]]),0),
IF($AA26-$Z$4&lt;MAX(BA$4,VLOOKUP(BA$6, Table_ChiPhiNV_Ca[], COUNTA(Table_ChiPhiNV_Ca[[#Headers],[Ca]:[Bắt đầu]]),0)),0,
IF($AA26&gt;MIN(BA$5,VLOOKUP(BA$6, Table_ChiPhiNV_Ca[], COUNTA(Table_ChiPhiNV_Ca[[#Headers],[Ca]:[Kết thúc]]),0)),0,
SUM(_xlfn._xlws.FILTER(Table_BangLuong_TyLeTangCa[Tỷ lệ],
(Table_BangLuong_TyLeTangCa[Ngày] = "Thường") *
(Table_BangLuong_TyLeTangCa[Giờ min]&lt;=$AA26) *
(Table_BangLuong_TyLeTangCa[Giờ max]&gt;$AA26)
)))),
IF(BA$4 &gt; BA$5,
IF(
AND(
$AA26-$Z$4&lt;MAX(BA$4,VLOOKUP(BA$6, Table_ChiPhiNV_Ca[], COUNTA(Table_ChiPhiNV_Ca[[#Headers],[Ca]:[Bắt đầu]]),0)),
$AA26&gt;MIN(BA$5,VLOOKUP(BA$6, Table_ChiPhiNV_Ca[], COUNTA(Table_ChiPhiNV_Ca[[#Headers],[Ca]:[Kết thúc]]),0))),0,
SUM(_xlfn._xlws.FILTER(Table_BangLuong_TyLeTangCa[Tỷ lệ],
(Table_BangLuong_TyLeTangCa[Ngày] = "Thường") *
(Table_BangLuong_TyLeTangCa[Giờ min]&lt;=$AA26) *
(Table_BangLuong_TyLeTangCa[Giờ max]&gt;$AA26)
))),
IF(
AND(
$AA26-$Z$4&gt;=MAX(BA$4,VLOOKUP(BA$6, Table_ChiPhiNV_Ca[], COUNTA(Table_ChiPhiNV_Ca[[#Headers],[Ca]:[Bắt đầu]]),0)),
$AA26&lt;MIN(BA$5,VLOOKUP(BA$6, Table_ChiPhiNV_Ca[], COUNTA(Table_ChiPhiNV_Ca[[#Headers],[Ca]:[Kết thúc]]),0))),
SUM(_xlfn._xlws.FILTER(Table_BangLuong_TyLeTangCa[Tỷ lệ],
(Table_BangLuong_TyLeTangCa[Ngày] = "Thường") *
(Table_BangLuong_TyLeTangCa[Giờ min]&lt;=$AA26) *
(Table_BangLuong_TyLeTangCa[Giờ max]&gt;$AA26)
)),0)
)),
IF(BA$4 &lt; BA$5,
IF($AA26-$Z$4&lt;BA$4,0,
IF($AA26&gt;BA$5,0,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BA$5,$AA26 &lt; BA$4),0,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B26" s="18" cm="1">
        <f t="array" ref="BB26" xml:space="preserve">
IFERROR(
IF(BB$1="",0,
IF(AND(
$AA26&gt;=VLOOKUP(BB$6, Table_ChiPhiNV_Ca[], COUNTA(Table_ChiPhiNV_Ca[[#Headers],[Ca]:[Bắt đầu nghỉ]]),0),
$AA26&lt;VLOOKUP(BB$6, Table_ChiPhiNV_Ca[], COUNTA(Table_ChiPhiNV_Ca[[#Headers],[Ca]:[Kết thúc nghỉ]]),0)
),0,
IF(NOT(ISBLANK(BB$3)),
IF(ISBLANK(BB$7),0,
IF(BB$4 &lt; BB$5,
IF($AA26-$Z$4&lt;BB$4,0,
IF($AA26&gt;BB$5,0,
SUM(_xlfn._xlws.FILTER(Table_BangLuong_TyLeTangCa[Tỷ lệ],
(Table_BangLuong_TyLeTangCa[Ngày] = BB$3) *
(Table_BangLuong_TyLeTangCa[Giờ min]&lt;=$AA26) *
(Table_BangLuong_TyLeTangCa[Giờ max]&gt;$AA26)
)))),
IF(AND($AA26-$Z$4 &gt;= BB$5,$AA26 &lt; BB$4),0,
SUM(_xlfn._xlws.FILTER(Table_BangLuong_TyLeTangCa[Tỷ lệ],
(Table_BangLuong_TyLeTangCa[Ngày] = BB$3) *
(Table_BangLuong_TyLeTangCa[Giờ min]&lt;=$AA26) *
(Table_BangLuong_TyLeTangCa[Giờ max]&gt;$AA26)
))))
),
IF(ISBLANK(BB$7),
IF(VLOOKUP(BB$6, Table_ChiPhiNV_Ca[], COUNTA(Table_ChiPhiNV_Ca[[#Headers],[Ca]:[Kết thúc]]),0)&gt; VLOOKUP(BB$6, Table_ChiPhiNV_Ca[], COUNTA(Table_ChiPhiNV_Ca[[#Headers],[Ca]:[Bắt đầu]]),0),
IF($AA26-$Z$4&lt;MAX(BB$4,VLOOKUP(BB$6, Table_ChiPhiNV_Ca[], COUNTA(Table_ChiPhiNV_Ca[[#Headers],[Ca]:[Bắt đầu]]),0)),0,
IF($AA26&gt;MIN(BB$5,VLOOKUP(BB$6, Table_ChiPhiNV_Ca[], COUNTA(Table_ChiPhiNV_Ca[[#Headers],[Ca]:[Kết thúc]]),0)),0,
SUM(_xlfn._xlws.FILTER(Table_BangLuong_TyLeTangCa[Tỷ lệ],
(Table_BangLuong_TyLeTangCa[Ngày] = "Thường") *
(Table_BangLuong_TyLeTangCa[Giờ min]&lt;=$AA26) *
(Table_BangLuong_TyLeTangCa[Giờ max]&gt;$AA26)
)))),
IF(BB$4 &gt; BB$5,
IF(
AND(
$AA26-$Z$4&lt;MAX(BB$4,VLOOKUP(BB$6, Table_ChiPhiNV_Ca[], COUNTA(Table_ChiPhiNV_Ca[[#Headers],[Ca]:[Bắt đầu]]),0)),
$AA26&gt;MIN(BB$5,VLOOKUP(BB$6, Table_ChiPhiNV_Ca[], COUNTA(Table_ChiPhiNV_Ca[[#Headers],[Ca]:[Kết thúc]]),0))),0,
SUM(_xlfn._xlws.FILTER(Table_BangLuong_TyLeTangCa[Tỷ lệ],
(Table_BangLuong_TyLeTangCa[Ngày] = "Thường") *
(Table_BangLuong_TyLeTangCa[Giờ min]&lt;=$AA26) *
(Table_BangLuong_TyLeTangCa[Giờ max]&gt;$AA26)
))),
IF(
AND(
$AA26-$Z$4&gt;=MAX(BB$4,VLOOKUP(BB$6, Table_ChiPhiNV_Ca[], COUNTA(Table_ChiPhiNV_Ca[[#Headers],[Ca]:[Bắt đầu]]),0)),
$AA26&lt;MIN(BB$5,VLOOKUP(BB$6, Table_ChiPhiNV_Ca[], COUNTA(Table_ChiPhiNV_Ca[[#Headers],[Ca]:[Kết thúc]]),0))),
SUM(_xlfn._xlws.FILTER(Table_BangLuong_TyLeTangCa[Tỷ lệ],
(Table_BangLuong_TyLeTangCa[Ngày] = "Thường") *
(Table_BangLuong_TyLeTangCa[Giờ min]&lt;=$AA26) *
(Table_BangLuong_TyLeTangCa[Giờ max]&gt;$AA26)
)),0)
)),
IF(BB$4 &lt; BB$5,
IF($AA26-$Z$4&lt;BB$4,0,
IF($AA26&gt;BB$5,0,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BB$5,$AA26 &lt; BB$4),0,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C26" s="18" cm="1">
        <f t="array" ref="BC26" xml:space="preserve">
IFERROR(
IF(BC$1="",0,
IF(AND(
$AA26&gt;=VLOOKUP(BC$6, Table_ChiPhiNV_Ca[], COUNTA(Table_ChiPhiNV_Ca[[#Headers],[Ca]:[Bắt đầu nghỉ]]),0),
$AA26&lt;VLOOKUP(BC$6, Table_ChiPhiNV_Ca[], COUNTA(Table_ChiPhiNV_Ca[[#Headers],[Ca]:[Kết thúc nghỉ]]),0)
),0,
IF(NOT(ISBLANK(BC$3)),
IF(ISBLANK(BC$7),0,
IF(BC$4 &lt; BC$5,
IF($AA26-$Z$4&lt;BC$4,0,
IF($AA26&gt;BC$5,0,
SUM(_xlfn._xlws.FILTER(Table_BangLuong_TyLeTangCa[Tỷ lệ],
(Table_BangLuong_TyLeTangCa[Ngày] = BC$3) *
(Table_BangLuong_TyLeTangCa[Giờ min]&lt;=$AA26) *
(Table_BangLuong_TyLeTangCa[Giờ max]&gt;$AA26)
)))),
IF(AND($AA26-$Z$4 &gt;= BC$5,$AA26 &lt; BC$4),0,
SUM(_xlfn._xlws.FILTER(Table_BangLuong_TyLeTangCa[Tỷ lệ],
(Table_BangLuong_TyLeTangCa[Ngày] = BC$3) *
(Table_BangLuong_TyLeTangCa[Giờ min]&lt;=$AA26) *
(Table_BangLuong_TyLeTangCa[Giờ max]&gt;$AA26)
))))
),
IF(ISBLANK(BC$7),
IF(VLOOKUP(BC$6, Table_ChiPhiNV_Ca[], COUNTA(Table_ChiPhiNV_Ca[[#Headers],[Ca]:[Kết thúc]]),0)&gt; VLOOKUP(BC$6, Table_ChiPhiNV_Ca[], COUNTA(Table_ChiPhiNV_Ca[[#Headers],[Ca]:[Bắt đầu]]),0),
IF($AA26-$Z$4&lt;MAX(BC$4,VLOOKUP(BC$6, Table_ChiPhiNV_Ca[], COUNTA(Table_ChiPhiNV_Ca[[#Headers],[Ca]:[Bắt đầu]]),0)),0,
IF($AA26&gt;MIN(BC$5,VLOOKUP(BC$6, Table_ChiPhiNV_Ca[], COUNTA(Table_ChiPhiNV_Ca[[#Headers],[Ca]:[Kết thúc]]),0)),0,
SUM(_xlfn._xlws.FILTER(Table_BangLuong_TyLeTangCa[Tỷ lệ],
(Table_BangLuong_TyLeTangCa[Ngày] = "Thường") *
(Table_BangLuong_TyLeTangCa[Giờ min]&lt;=$AA26) *
(Table_BangLuong_TyLeTangCa[Giờ max]&gt;$AA26)
)))),
IF(BC$4 &gt; BC$5,
IF(
AND(
$AA26-$Z$4&lt;MAX(BC$4,VLOOKUP(BC$6, Table_ChiPhiNV_Ca[], COUNTA(Table_ChiPhiNV_Ca[[#Headers],[Ca]:[Bắt đầu]]),0)),
$AA26&gt;MIN(BC$5,VLOOKUP(BC$6, Table_ChiPhiNV_Ca[], COUNTA(Table_ChiPhiNV_Ca[[#Headers],[Ca]:[Kết thúc]]),0))),0,
SUM(_xlfn._xlws.FILTER(Table_BangLuong_TyLeTangCa[Tỷ lệ],
(Table_BangLuong_TyLeTangCa[Ngày] = "Thường") *
(Table_BangLuong_TyLeTangCa[Giờ min]&lt;=$AA26) *
(Table_BangLuong_TyLeTangCa[Giờ max]&gt;$AA26)
))),
IF(
AND(
$AA26-$Z$4&gt;=MAX(BC$4,VLOOKUP(BC$6, Table_ChiPhiNV_Ca[], COUNTA(Table_ChiPhiNV_Ca[[#Headers],[Ca]:[Bắt đầu]]),0)),
$AA26&lt;MIN(BC$5,VLOOKUP(BC$6, Table_ChiPhiNV_Ca[], COUNTA(Table_ChiPhiNV_Ca[[#Headers],[Ca]:[Kết thúc]]),0))),
SUM(_xlfn._xlws.FILTER(Table_BangLuong_TyLeTangCa[Tỷ lệ],
(Table_BangLuong_TyLeTangCa[Ngày] = "Thường") *
(Table_BangLuong_TyLeTangCa[Giờ min]&lt;=$AA26) *
(Table_BangLuong_TyLeTangCa[Giờ max]&gt;$AA26)
)),0)
)),
IF(BC$4 &lt; BC$5,
IF($AA26-$Z$4&lt;BC$4,0,
IF($AA26&gt;BC$5,0,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BC$5,$AA26 &lt; BC$4),0,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D26" s="18" cm="1">
        <f t="array" ref="BD26" xml:space="preserve">
IFERROR(
IF(BD$1="",0,
IF(AND(
$AA26&gt;=VLOOKUP(BD$6, Table_ChiPhiNV_Ca[], COUNTA(Table_ChiPhiNV_Ca[[#Headers],[Ca]:[Bắt đầu nghỉ]]),0),
$AA26&lt;VLOOKUP(BD$6, Table_ChiPhiNV_Ca[], COUNTA(Table_ChiPhiNV_Ca[[#Headers],[Ca]:[Kết thúc nghỉ]]),0)
),0,
IF(NOT(ISBLANK(BD$3)),
IF(ISBLANK(BD$7),0,
IF(BD$4 &lt; BD$5,
IF($AA26-$Z$4&lt;BD$4,0,
IF($AA26&gt;BD$5,0,
SUM(_xlfn._xlws.FILTER(Table_BangLuong_TyLeTangCa[Tỷ lệ],
(Table_BangLuong_TyLeTangCa[Ngày] = BD$3) *
(Table_BangLuong_TyLeTangCa[Giờ min]&lt;=$AA26) *
(Table_BangLuong_TyLeTangCa[Giờ max]&gt;$AA26)
)))),
IF(AND($AA26-$Z$4 &gt;= BD$5,$AA26 &lt; BD$4),0,
SUM(_xlfn._xlws.FILTER(Table_BangLuong_TyLeTangCa[Tỷ lệ],
(Table_BangLuong_TyLeTangCa[Ngày] = BD$3) *
(Table_BangLuong_TyLeTangCa[Giờ min]&lt;=$AA26) *
(Table_BangLuong_TyLeTangCa[Giờ max]&gt;$AA26)
))))
),
IF(ISBLANK(BD$7),
IF(VLOOKUP(BD$6, Table_ChiPhiNV_Ca[], COUNTA(Table_ChiPhiNV_Ca[[#Headers],[Ca]:[Kết thúc]]),0)&gt; VLOOKUP(BD$6, Table_ChiPhiNV_Ca[], COUNTA(Table_ChiPhiNV_Ca[[#Headers],[Ca]:[Bắt đầu]]),0),
IF($AA26-$Z$4&lt;MAX(BD$4,VLOOKUP(BD$6, Table_ChiPhiNV_Ca[], COUNTA(Table_ChiPhiNV_Ca[[#Headers],[Ca]:[Bắt đầu]]),0)),0,
IF($AA26&gt;MIN(BD$5,VLOOKUP(BD$6, Table_ChiPhiNV_Ca[], COUNTA(Table_ChiPhiNV_Ca[[#Headers],[Ca]:[Kết thúc]]),0)),0,
SUM(_xlfn._xlws.FILTER(Table_BangLuong_TyLeTangCa[Tỷ lệ],
(Table_BangLuong_TyLeTangCa[Ngày] = "Thường") *
(Table_BangLuong_TyLeTangCa[Giờ min]&lt;=$AA26) *
(Table_BangLuong_TyLeTangCa[Giờ max]&gt;$AA26)
)))),
IF(BD$4 &gt; BD$5,
IF(
AND(
$AA26-$Z$4&lt;MAX(BD$4,VLOOKUP(BD$6, Table_ChiPhiNV_Ca[], COUNTA(Table_ChiPhiNV_Ca[[#Headers],[Ca]:[Bắt đầu]]),0)),
$AA26&gt;MIN(BD$5,VLOOKUP(BD$6, Table_ChiPhiNV_Ca[], COUNTA(Table_ChiPhiNV_Ca[[#Headers],[Ca]:[Kết thúc]]),0))),0,
SUM(_xlfn._xlws.FILTER(Table_BangLuong_TyLeTangCa[Tỷ lệ],
(Table_BangLuong_TyLeTangCa[Ngày] = "Thường") *
(Table_BangLuong_TyLeTangCa[Giờ min]&lt;=$AA26) *
(Table_BangLuong_TyLeTangCa[Giờ max]&gt;$AA26)
))),
IF(
AND(
$AA26-$Z$4&gt;=MAX(BD$4,VLOOKUP(BD$6, Table_ChiPhiNV_Ca[], COUNTA(Table_ChiPhiNV_Ca[[#Headers],[Ca]:[Bắt đầu]]),0)),
$AA26&lt;MIN(BD$5,VLOOKUP(BD$6, Table_ChiPhiNV_Ca[], COUNTA(Table_ChiPhiNV_Ca[[#Headers],[Ca]:[Kết thúc]]),0))),
SUM(_xlfn._xlws.FILTER(Table_BangLuong_TyLeTangCa[Tỷ lệ],
(Table_BangLuong_TyLeTangCa[Ngày] = "Thường") *
(Table_BangLuong_TyLeTangCa[Giờ min]&lt;=$AA26) *
(Table_BangLuong_TyLeTangCa[Giờ max]&gt;$AA26)
)),0)
)),
IF(BD$4 &lt; BD$5,
IF($AA26-$Z$4&lt;BD$4,0,
IF($AA26&gt;BD$5,0,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BD$5,$AA26 &lt; BD$4),0,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E26" s="18" cm="1">
        <f t="array" ref="BE26" xml:space="preserve">
IFERROR(
IF(BE$1="",0,
IF(AND(
$AA26&gt;=VLOOKUP(BE$6, Table_ChiPhiNV_Ca[], COUNTA(Table_ChiPhiNV_Ca[[#Headers],[Ca]:[Bắt đầu nghỉ]]),0),
$AA26&lt;VLOOKUP(BE$6, Table_ChiPhiNV_Ca[], COUNTA(Table_ChiPhiNV_Ca[[#Headers],[Ca]:[Kết thúc nghỉ]]),0)
),0,
IF(NOT(ISBLANK(BE$3)),
IF(ISBLANK(BE$7),0,
IF(BE$4 &lt; BE$5,
IF($AA26-$Z$4&lt;BE$4,0,
IF($AA26&gt;BE$5,0,
SUM(_xlfn._xlws.FILTER(Table_BangLuong_TyLeTangCa[Tỷ lệ],
(Table_BangLuong_TyLeTangCa[Ngày] = BE$3) *
(Table_BangLuong_TyLeTangCa[Giờ min]&lt;=$AA26) *
(Table_BangLuong_TyLeTangCa[Giờ max]&gt;$AA26)
)))),
IF(AND($AA26-$Z$4 &gt;= BE$5,$AA26 &lt; BE$4),0,
SUM(_xlfn._xlws.FILTER(Table_BangLuong_TyLeTangCa[Tỷ lệ],
(Table_BangLuong_TyLeTangCa[Ngày] = BE$3) *
(Table_BangLuong_TyLeTangCa[Giờ min]&lt;=$AA26) *
(Table_BangLuong_TyLeTangCa[Giờ max]&gt;$AA26)
))))
),
IF(ISBLANK(BE$7),
IF(VLOOKUP(BE$6, Table_ChiPhiNV_Ca[], COUNTA(Table_ChiPhiNV_Ca[[#Headers],[Ca]:[Kết thúc]]),0)&gt; VLOOKUP(BE$6, Table_ChiPhiNV_Ca[], COUNTA(Table_ChiPhiNV_Ca[[#Headers],[Ca]:[Bắt đầu]]),0),
IF($AA26-$Z$4&lt;MAX(BE$4,VLOOKUP(BE$6, Table_ChiPhiNV_Ca[], COUNTA(Table_ChiPhiNV_Ca[[#Headers],[Ca]:[Bắt đầu]]),0)),0,
IF($AA26&gt;MIN(BE$5,VLOOKUP(BE$6, Table_ChiPhiNV_Ca[], COUNTA(Table_ChiPhiNV_Ca[[#Headers],[Ca]:[Kết thúc]]),0)),0,
SUM(_xlfn._xlws.FILTER(Table_BangLuong_TyLeTangCa[Tỷ lệ],
(Table_BangLuong_TyLeTangCa[Ngày] = "Thường") *
(Table_BangLuong_TyLeTangCa[Giờ min]&lt;=$AA26) *
(Table_BangLuong_TyLeTangCa[Giờ max]&gt;$AA26)
)))),
IF(BE$4 &gt; BE$5,
IF(
AND(
$AA26-$Z$4&lt;MAX(BE$4,VLOOKUP(BE$6, Table_ChiPhiNV_Ca[], COUNTA(Table_ChiPhiNV_Ca[[#Headers],[Ca]:[Bắt đầu]]),0)),
$AA26&gt;MIN(BE$5,VLOOKUP(BE$6, Table_ChiPhiNV_Ca[], COUNTA(Table_ChiPhiNV_Ca[[#Headers],[Ca]:[Kết thúc]]),0))),0,
SUM(_xlfn._xlws.FILTER(Table_BangLuong_TyLeTangCa[Tỷ lệ],
(Table_BangLuong_TyLeTangCa[Ngày] = "Thường") *
(Table_BangLuong_TyLeTangCa[Giờ min]&lt;=$AA26) *
(Table_BangLuong_TyLeTangCa[Giờ max]&gt;$AA26)
))),
IF(
AND(
$AA26-$Z$4&gt;=MAX(BE$4,VLOOKUP(BE$6, Table_ChiPhiNV_Ca[], COUNTA(Table_ChiPhiNV_Ca[[#Headers],[Ca]:[Bắt đầu]]),0)),
$AA26&lt;MIN(BE$5,VLOOKUP(BE$6, Table_ChiPhiNV_Ca[], COUNTA(Table_ChiPhiNV_Ca[[#Headers],[Ca]:[Kết thúc]]),0))),
SUM(_xlfn._xlws.FILTER(Table_BangLuong_TyLeTangCa[Tỷ lệ],
(Table_BangLuong_TyLeTangCa[Ngày] = "Thường") *
(Table_BangLuong_TyLeTangCa[Giờ min]&lt;=$AA26) *
(Table_BangLuong_TyLeTangCa[Giờ max]&gt;$AA26)
)),0)
)),
IF(BE$4 &lt; BE$5,
IF($AA26-$Z$4&lt;BE$4,0,
IF($AA26&gt;BE$5,0,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BE$5,$AA26 &lt; BE$4),0,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F26" s="18" cm="1">
        <f t="array" ref="BF26" xml:space="preserve">
IFERROR(
IF(BF$1="",0,
IF(AND(
$AA26&gt;=VLOOKUP(BF$6, Table_ChiPhiNV_Ca[], COUNTA(Table_ChiPhiNV_Ca[[#Headers],[Ca]:[Bắt đầu nghỉ]]),0),
$AA26&lt;VLOOKUP(BF$6, Table_ChiPhiNV_Ca[], COUNTA(Table_ChiPhiNV_Ca[[#Headers],[Ca]:[Kết thúc nghỉ]]),0)
),0,
IF(NOT(ISBLANK(BF$3)),
IF(ISBLANK(BF$7),0,
IF(BF$4 &lt; BF$5,
IF($AA26-$Z$4&lt;BF$4,0,
IF($AA26&gt;BF$5,0,
SUM(_xlfn._xlws.FILTER(Table_BangLuong_TyLeTangCa[Tỷ lệ],
(Table_BangLuong_TyLeTangCa[Ngày] = BF$3) *
(Table_BangLuong_TyLeTangCa[Giờ min]&lt;=$AA26) *
(Table_BangLuong_TyLeTangCa[Giờ max]&gt;$AA26)
)))),
IF(AND($AA26-$Z$4 &gt;= BF$5,$AA26 &lt; BF$4),0,
SUM(_xlfn._xlws.FILTER(Table_BangLuong_TyLeTangCa[Tỷ lệ],
(Table_BangLuong_TyLeTangCa[Ngày] = BF$3) *
(Table_BangLuong_TyLeTangCa[Giờ min]&lt;=$AA26) *
(Table_BangLuong_TyLeTangCa[Giờ max]&gt;$AA26)
))))
),
IF(ISBLANK(BF$7),
IF(VLOOKUP(BF$6, Table_ChiPhiNV_Ca[], COUNTA(Table_ChiPhiNV_Ca[[#Headers],[Ca]:[Kết thúc]]),0)&gt; VLOOKUP(BF$6, Table_ChiPhiNV_Ca[], COUNTA(Table_ChiPhiNV_Ca[[#Headers],[Ca]:[Bắt đầu]]),0),
IF($AA26-$Z$4&lt;MAX(BF$4,VLOOKUP(BF$6, Table_ChiPhiNV_Ca[], COUNTA(Table_ChiPhiNV_Ca[[#Headers],[Ca]:[Bắt đầu]]),0)),0,
IF($AA26&gt;MIN(BF$5,VLOOKUP(BF$6, Table_ChiPhiNV_Ca[], COUNTA(Table_ChiPhiNV_Ca[[#Headers],[Ca]:[Kết thúc]]),0)),0,
SUM(_xlfn._xlws.FILTER(Table_BangLuong_TyLeTangCa[Tỷ lệ],
(Table_BangLuong_TyLeTangCa[Ngày] = "Thường") *
(Table_BangLuong_TyLeTangCa[Giờ min]&lt;=$AA26) *
(Table_BangLuong_TyLeTangCa[Giờ max]&gt;$AA26)
)))),
IF(BF$4 &gt; BF$5,
IF(
AND(
$AA26-$Z$4&lt;MAX(BF$4,VLOOKUP(BF$6, Table_ChiPhiNV_Ca[], COUNTA(Table_ChiPhiNV_Ca[[#Headers],[Ca]:[Bắt đầu]]),0)),
$AA26&gt;MIN(BF$5,VLOOKUP(BF$6, Table_ChiPhiNV_Ca[], COUNTA(Table_ChiPhiNV_Ca[[#Headers],[Ca]:[Kết thúc]]),0))),0,
SUM(_xlfn._xlws.FILTER(Table_BangLuong_TyLeTangCa[Tỷ lệ],
(Table_BangLuong_TyLeTangCa[Ngày] = "Thường") *
(Table_BangLuong_TyLeTangCa[Giờ min]&lt;=$AA26) *
(Table_BangLuong_TyLeTangCa[Giờ max]&gt;$AA26)
))),
IF(
AND(
$AA26-$Z$4&gt;=MAX(BF$4,VLOOKUP(BF$6, Table_ChiPhiNV_Ca[], COUNTA(Table_ChiPhiNV_Ca[[#Headers],[Ca]:[Bắt đầu]]),0)),
$AA26&lt;MIN(BF$5,VLOOKUP(BF$6, Table_ChiPhiNV_Ca[], COUNTA(Table_ChiPhiNV_Ca[[#Headers],[Ca]:[Kết thúc]]),0))),
SUM(_xlfn._xlws.FILTER(Table_BangLuong_TyLeTangCa[Tỷ lệ],
(Table_BangLuong_TyLeTangCa[Ngày] = "Thường") *
(Table_BangLuong_TyLeTangCa[Giờ min]&lt;=$AA26) *
(Table_BangLuong_TyLeTangCa[Giờ max]&gt;$AA26)
)),0)
)),
IF(BF$4 &lt; BF$5,
IF($AA26-$Z$4&lt;BF$4,0,
IF($AA26&gt;BF$5,0,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BF$5,$AA26 &lt; BF$4),0,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row>
    <row r="27" spans="2:58" ht="18" customHeight="1" outlineLevel="1" x14ac:dyDescent="0.3">
      <c r="B27" s="11"/>
      <c r="C27" s="11"/>
      <c r="D27" s="11"/>
      <c r="E27" s="11"/>
      <c r="F27" s="11"/>
      <c r="G27" s="11"/>
      <c r="H27" s="11"/>
      <c r="I27" s="11"/>
      <c r="J27" s="11"/>
      <c r="K27" s="11"/>
      <c r="L27" s="11"/>
      <c r="M27" s="11"/>
      <c r="N27" s="11"/>
      <c r="O27" s="11"/>
      <c r="P27" s="11"/>
      <c r="Q27" s="11"/>
      <c r="R27" s="11"/>
      <c r="S27" s="11"/>
      <c r="AA27" s="50">
        <v>0.375</v>
      </c>
      <c r="AB27" s="18" cm="1">
        <f t="array" ref="AB27" xml:space="preserve">
IFERROR(
IF(AB$1="",0,
IF(AND(
$AA27&gt;=VLOOKUP(AB$6, Table_ChiPhiNV_Ca[], COUNTA(Table_ChiPhiNV_Ca[[#Headers],[Ca]:[Bắt đầu nghỉ]]),0),
$AA27&lt;VLOOKUP(AB$6, Table_ChiPhiNV_Ca[], COUNTA(Table_ChiPhiNV_Ca[[#Headers],[Ca]:[Kết thúc nghỉ]]),0)
),0,
IF(NOT(ISBLANK(AB$3)),
IF(ISBLANK(AB$7),0,
IF(AB$4 &lt; AB$5,
IF($AA27-$Z$4&lt;AB$4,0,
IF($AA27&gt;AB$5,0,
SUM(_xlfn._xlws.FILTER(Table_BangLuong_TyLeTangCa[Tỷ lệ],
(Table_BangLuong_TyLeTangCa[Ngày] = AB$3) *
(Table_BangLuong_TyLeTangCa[Giờ min]&lt;=$AA27) *
(Table_BangLuong_TyLeTangCa[Giờ max]&gt;$AA27)
)))),
IF(AND($AA27-$Z$4 &gt;= AB$5,$AA27 &lt; AB$4),0,
SUM(_xlfn._xlws.FILTER(Table_BangLuong_TyLeTangCa[Tỷ lệ],
(Table_BangLuong_TyLeTangCa[Ngày] = AB$3) *
(Table_BangLuong_TyLeTangCa[Giờ min]&lt;=$AA27) *
(Table_BangLuong_TyLeTangCa[Giờ max]&gt;$AA27)
))))
),
IF(ISBLANK(AB$7),
IF(VLOOKUP(AB$6, Table_ChiPhiNV_Ca[], COUNTA(Table_ChiPhiNV_Ca[[#Headers],[Ca]:[Kết thúc]]),0)&gt; VLOOKUP(AB$6, Table_ChiPhiNV_Ca[], COUNTA(Table_ChiPhiNV_Ca[[#Headers],[Ca]:[Bắt đầu]]),0),
IF($AA27-$Z$4&lt;MAX(AB$4,VLOOKUP(AB$6, Table_ChiPhiNV_Ca[], COUNTA(Table_ChiPhiNV_Ca[[#Headers],[Ca]:[Bắt đầu]]),0)),0,
IF($AA27&gt;MIN(AB$5,VLOOKUP(AB$6, Table_ChiPhiNV_Ca[], COUNTA(Table_ChiPhiNV_Ca[[#Headers],[Ca]:[Kết thúc]]),0)),0,
SUM(_xlfn._xlws.FILTER(Table_BangLuong_TyLeTangCa[Tỷ lệ],
(Table_BangLuong_TyLeTangCa[Ngày] = "Thường") *
(Table_BangLuong_TyLeTangCa[Giờ min]&lt;=$AA27) *
(Table_BangLuong_TyLeTangCa[Giờ max]&gt;$AA27)
)))),
IF(AB$4 &gt; AB$5,
IF(
AND(
$AA27-$Z$4&lt;MAX(AB$4,VLOOKUP(AB$6, Table_ChiPhiNV_Ca[], COUNTA(Table_ChiPhiNV_Ca[[#Headers],[Ca]:[Bắt đầu]]),0)),
$AA27&gt;MIN(AB$5,VLOOKUP(AB$6, Table_ChiPhiNV_Ca[], COUNTA(Table_ChiPhiNV_Ca[[#Headers],[Ca]:[Kết thúc]]),0))),0,
SUM(_xlfn._xlws.FILTER(Table_BangLuong_TyLeTangCa[Tỷ lệ],
(Table_BangLuong_TyLeTangCa[Ngày] = "Thường") *
(Table_BangLuong_TyLeTangCa[Giờ min]&lt;=$AA27) *
(Table_BangLuong_TyLeTangCa[Giờ max]&gt;$AA27)
))),
IF(
AND(
$AA27-$Z$4&gt;=MAX(AB$4,VLOOKUP(AB$6, Table_ChiPhiNV_Ca[], COUNTA(Table_ChiPhiNV_Ca[[#Headers],[Ca]:[Bắt đầu]]),0)),
$AA27&lt;MIN(AB$5,VLOOKUP(AB$6, Table_ChiPhiNV_Ca[], COUNTA(Table_ChiPhiNV_Ca[[#Headers],[Ca]:[Kết thúc]]),0))),
SUM(_xlfn._xlws.FILTER(Table_BangLuong_TyLeTangCa[Tỷ lệ],
(Table_BangLuong_TyLeTangCa[Ngày] = "Thường") *
(Table_BangLuong_TyLeTangCa[Giờ min]&lt;=$AA27) *
(Table_BangLuong_TyLeTangCa[Giờ max]&gt;$AA27)
)),0)
)),
IF(AB$4 &lt; AB$5,
IF($AA27-$Z$4&lt;AB$4,0,
IF($AA27&gt;AB$5,0,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AB$5,$AA27 &lt; AB$4),0,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C27" s="18" cm="1">
        <f t="array" ref="AC27" xml:space="preserve">
IFERROR(
IF(AC$1="",0,
IF(AND(
$AA27&gt;=VLOOKUP(AC$6, Table_ChiPhiNV_Ca[], COUNTA(Table_ChiPhiNV_Ca[[#Headers],[Ca]:[Bắt đầu nghỉ]]),0),
$AA27&lt;VLOOKUP(AC$6, Table_ChiPhiNV_Ca[], COUNTA(Table_ChiPhiNV_Ca[[#Headers],[Ca]:[Kết thúc nghỉ]]),0)
),0,
IF(NOT(ISBLANK(AC$3)),
IF(ISBLANK(AC$7),0,
IF(AC$4 &lt; AC$5,
IF($AA27-$Z$4&lt;AC$4,0,
IF($AA27&gt;AC$5,0,
SUM(_xlfn._xlws.FILTER(Table_BangLuong_TyLeTangCa[Tỷ lệ],
(Table_BangLuong_TyLeTangCa[Ngày] = AC$3) *
(Table_BangLuong_TyLeTangCa[Giờ min]&lt;=$AA27) *
(Table_BangLuong_TyLeTangCa[Giờ max]&gt;$AA27)
)))),
IF(AND($AA27-$Z$4 &gt;= AC$5,$AA27 &lt; AC$4),0,
SUM(_xlfn._xlws.FILTER(Table_BangLuong_TyLeTangCa[Tỷ lệ],
(Table_BangLuong_TyLeTangCa[Ngày] = AC$3) *
(Table_BangLuong_TyLeTangCa[Giờ min]&lt;=$AA27) *
(Table_BangLuong_TyLeTangCa[Giờ max]&gt;$AA27)
))))
),
IF(ISBLANK(AC$7),
IF(VLOOKUP(AC$6, Table_ChiPhiNV_Ca[], COUNTA(Table_ChiPhiNV_Ca[[#Headers],[Ca]:[Kết thúc]]),0)&gt; VLOOKUP(AC$6, Table_ChiPhiNV_Ca[], COUNTA(Table_ChiPhiNV_Ca[[#Headers],[Ca]:[Bắt đầu]]),0),
IF($AA27-$Z$4&lt;MAX(AC$4,VLOOKUP(AC$6, Table_ChiPhiNV_Ca[], COUNTA(Table_ChiPhiNV_Ca[[#Headers],[Ca]:[Bắt đầu]]),0)),0,
IF($AA27&gt;MIN(AC$5,VLOOKUP(AC$6, Table_ChiPhiNV_Ca[], COUNTA(Table_ChiPhiNV_Ca[[#Headers],[Ca]:[Kết thúc]]),0)),0,
SUM(_xlfn._xlws.FILTER(Table_BangLuong_TyLeTangCa[Tỷ lệ],
(Table_BangLuong_TyLeTangCa[Ngày] = "Thường") *
(Table_BangLuong_TyLeTangCa[Giờ min]&lt;=$AA27) *
(Table_BangLuong_TyLeTangCa[Giờ max]&gt;$AA27)
)))),
IF(AC$4 &gt; AC$5,
IF(
AND(
$AA27-$Z$4&lt;MAX(AC$4,VLOOKUP(AC$6, Table_ChiPhiNV_Ca[], COUNTA(Table_ChiPhiNV_Ca[[#Headers],[Ca]:[Bắt đầu]]),0)),
$AA27&gt;MIN(AC$5,VLOOKUP(AC$6, Table_ChiPhiNV_Ca[], COUNTA(Table_ChiPhiNV_Ca[[#Headers],[Ca]:[Kết thúc]]),0))),0,
SUM(_xlfn._xlws.FILTER(Table_BangLuong_TyLeTangCa[Tỷ lệ],
(Table_BangLuong_TyLeTangCa[Ngày] = "Thường") *
(Table_BangLuong_TyLeTangCa[Giờ min]&lt;=$AA27) *
(Table_BangLuong_TyLeTangCa[Giờ max]&gt;$AA27)
))),
IF(
AND(
$AA27-$Z$4&gt;=MAX(AC$4,VLOOKUP(AC$6, Table_ChiPhiNV_Ca[], COUNTA(Table_ChiPhiNV_Ca[[#Headers],[Ca]:[Bắt đầu]]),0)),
$AA27&lt;MIN(AC$5,VLOOKUP(AC$6, Table_ChiPhiNV_Ca[], COUNTA(Table_ChiPhiNV_Ca[[#Headers],[Ca]:[Kết thúc]]),0))),
SUM(_xlfn._xlws.FILTER(Table_BangLuong_TyLeTangCa[Tỷ lệ],
(Table_BangLuong_TyLeTangCa[Ngày] = "Thường") *
(Table_BangLuong_TyLeTangCa[Giờ min]&lt;=$AA27) *
(Table_BangLuong_TyLeTangCa[Giờ max]&gt;$AA27)
)),0)
)),
IF(AC$4 &lt; AC$5,
IF($AA27-$Z$4&lt;AC$4,0,
IF($AA27&gt;AC$5,0,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AC$5,$AA27 &lt; AC$4),0,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D27" s="18" cm="1">
        <f t="array" ref="AD27" xml:space="preserve">
IFERROR(
IF(AD$1="",0,
IF(AND(
$AA27&gt;=VLOOKUP(AD$6, Table_ChiPhiNV_Ca[], COUNTA(Table_ChiPhiNV_Ca[[#Headers],[Ca]:[Bắt đầu nghỉ]]),0),
$AA27&lt;VLOOKUP(AD$6, Table_ChiPhiNV_Ca[], COUNTA(Table_ChiPhiNV_Ca[[#Headers],[Ca]:[Kết thúc nghỉ]]),0)
),0,
IF(NOT(ISBLANK(AD$3)),
IF(ISBLANK(AD$7),0,
IF(AD$4 &lt; AD$5,
IF($AA27-$Z$4&lt;AD$4,0,
IF($AA27&gt;AD$5,0,
SUM(_xlfn._xlws.FILTER(Table_BangLuong_TyLeTangCa[Tỷ lệ],
(Table_BangLuong_TyLeTangCa[Ngày] = AD$3) *
(Table_BangLuong_TyLeTangCa[Giờ min]&lt;=$AA27) *
(Table_BangLuong_TyLeTangCa[Giờ max]&gt;$AA27)
)))),
IF(AND($AA27-$Z$4 &gt;= AD$5,$AA27 &lt; AD$4),0,
SUM(_xlfn._xlws.FILTER(Table_BangLuong_TyLeTangCa[Tỷ lệ],
(Table_BangLuong_TyLeTangCa[Ngày] = AD$3) *
(Table_BangLuong_TyLeTangCa[Giờ min]&lt;=$AA27) *
(Table_BangLuong_TyLeTangCa[Giờ max]&gt;$AA27)
))))
),
IF(ISBLANK(AD$7),
IF(VLOOKUP(AD$6, Table_ChiPhiNV_Ca[], COUNTA(Table_ChiPhiNV_Ca[[#Headers],[Ca]:[Kết thúc]]),0)&gt; VLOOKUP(AD$6, Table_ChiPhiNV_Ca[], COUNTA(Table_ChiPhiNV_Ca[[#Headers],[Ca]:[Bắt đầu]]),0),
IF($AA27-$Z$4&lt;MAX(AD$4,VLOOKUP(AD$6, Table_ChiPhiNV_Ca[], COUNTA(Table_ChiPhiNV_Ca[[#Headers],[Ca]:[Bắt đầu]]),0)),0,
IF($AA27&gt;MIN(AD$5,VLOOKUP(AD$6, Table_ChiPhiNV_Ca[], COUNTA(Table_ChiPhiNV_Ca[[#Headers],[Ca]:[Kết thúc]]),0)),0,
SUM(_xlfn._xlws.FILTER(Table_BangLuong_TyLeTangCa[Tỷ lệ],
(Table_BangLuong_TyLeTangCa[Ngày] = "Thường") *
(Table_BangLuong_TyLeTangCa[Giờ min]&lt;=$AA27) *
(Table_BangLuong_TyLeTangCa[Giờ max]&gt;$AA27)
)))),
IF(AD$4 &gt; AD$5,
IF(
AND(
$AA27-$Z$4&lt;MAX(AD$4,VLOOKUP(AD$6, Table_ChiPhiNV_Ca[], COUNTA(Table_ChiPhiNV_Ca[[#Headers],[Ca]:[Bắt đầu]]),0)),
$AA27&gt;MIN(AD$5,VLOOKUP(AD$6, Table_ChiPhiNV_Ca[], COUNTA(Table_ChiPhiNV_Ca[[#Headers],[Ca]:[Kết thúc]]),0))),0,
SUM(_xlfn._xlws.FILTER(Table_BangLuong_TyLeTangCa[Tỷ lệ],
(Table_BangLuong_TyLeTangCa[Ngày] = "Thường") *
(Table_BangLuong_TyLeTangCa[Giờ min]&lt;=$AA27) *
(Table_BangLuong_TyLeTangCa[Giờ max]&gt;$AA27)
))),
IF(
AND(
$AA27-$Z$4&gt;=MAX(AD$4,VLOOKUP(AD$6, Table_ChiPhiNV_Ca[], COUNTA(Table_ChiPhiNV_Ca[[#Headers],[Ca]:[Bắt đầu]]),0)),
$AA27&lt;MIN(AD$5,VLOOKUP(AD$6, Table_ChiPhiNV_Ca[], COUNTA(Table_ChiPhiNV_Ca[[#Headers],[Ca]:[Kết thúc]]),0))),
SUM(_xlfn._xlws.FILTER(Table_BangLuong_TyLeTangCa[Tỷ lệ],
(Table_BangLuong_TyLeTangCa[Ngày] = "Thường") *
(Table_BangLuong_TyLeTangCa[Giờ min]&lt;=$AA27) *
(Table_BangLuong_TyLeTangCa[Giờ max]&gt;$AA27)
)),0)
)),
IF(AD$4 &lt; AD$5,
IF($AA27-$Z$4&lt;AD$4,0,
IF($AA27&gt;AD$5,0,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AD$5,$AA27 &lt; AD$4),0,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E27" s="18" cm="1">
        <f t="array" ref="AE27" xml:space="preserve">
IFERROR(
IF(AE$1="",0,
IF(AND(
$AA27&gt;=VLOOKUP(AE$6, Table_ChiPhiNV_Ca[], COUNTA(Table_ChiPhiNV_Ca[[#Headers],[Ca]:[Bắt đầu nghỉ]]),0),
$AA27&lt;VLOOKUP(AE$6, Table_ChiPhiNV_Ca[], COUNTA(Table_ChiPhiNV_Ca[[#Headers],[Ca]:[Kết thúc nghỉ]]),0)
),0,
IF(NOT(ISBLANK(AE$3)),
IF(ISBLANK(AE$7),0,
IF(AE$4 &lt; AE$5,
IF($AA27-$Z$4&lt;AE$4,0,
IF($AA27&gt;AE$5,0,
SUM(_xlfn._xlws.FILTER(Table_BangLuong_TyLeTangCa[Tỷ lệ],
(Table_BangLuong_TyLeTangCa[Ngày] = AE$3) *
(Table_BangLuong_TyLeTangCa[Giờ min]&lt;=$AA27) *
(Table_BangLuong_TyLeTangCa[Giờ max]&gt;$AA27)
)))),
IF(AND($AA27-$Z$4 &gt;= AE$5,$AA27 &lt; AE$4),0,
SUM(_xlfn._xlws.FILTER(Table_BangLuong_TyLeTangCa[Tỷ lệ],
(Table_BangLuong_TyLeTangCa[Ngày] = AE$3) *
(Table_BangLuong_TyLeTangCa[Giờ min]&lt;=$AA27) *
(Table_BangLuong_TyLeTangCa[Giờ max]&gt;$AA27)
))))
),
IF(ISBLANK(AE$7),
IF(VLOOKUP(AE$6, Table_ChiPhiNV_Ca[], COUNTA(Table_ChiPhiNV_Ca[[#Headers],[Ca]:[Kết thúc]]),0)&gt; VLOOKUP(AE$6, Table_ChiPhiNV_Ca[], COUNTA(Table_ChiPhiNV_Ca[[#Headers],[Ca]:[Bắt đầu]]),0),
IF($AA27-$Z$4&lt;MAX(AE$4,VLOOKUP(AE$6, Table_ChiPhiNV_Ca[], COUNTA(Table_ChiPhiNV_Ca[[#Headers],[Ca]:[Bắt đầu]]),0)),0,
IF($AA27&gt;MIN(AE$5,VLOOKUP(AE$6, Table_ChiPhiNV_Ca[], COUNTA(Table_ChiPhiNV_Ca[[#Headers],[Ca]:[Kết thúc]]),0)),0,
SUM(_xlfn._xlws.FILTER(Table_BangLuong_TyLeTangCa[Tỷ lệ],
(Table_BangLuong_TyLeTangCa[Ngày] = "Thường") *
(Table_BangLuong_TyLeTangCa[Giờ min]&lt;=$AA27) *
(Table_BangLuong_TyLeTangCa[Giờ max]&gt;$AA27)
)))),
IF(AE$4 &gt; AE$5,
IF(
AND(
$AA27-$Z$4&lt;MAX(AE$4,VLOOKUP(AE$6, Table_ChiPhiNV_Ca[], COUNTA(Table_ChiPhiNV_Ca[[#Headers],[Ca]:[Bắt đầu]]),0)),
$AA27&gt;MIN(AE$5,VLOOKUP(AE$6, Table_ChiPhiNV_Ca[], COUNTA(Table_ChiPhiNV_Ca[[#Headers],[Ca]:[Kết thúc]]),0))),0,
SUM(_xlfn._xlws.FILTER(Table_BangLuong_TyLeTangCa[Tỷ lệ],
(Table_BangLuong_TyLeTangCa[Ngày] = "Thường") *
(Table_BangLuong_TyLeTangCa[Giờ min]&lt;=$AA27) *
(Table_BangLuong_TyLeTangCa[Giờ max]&gt;$AA27)
))),
IF(
AND(
$AA27-$Z$4&gt;=MAX(AE$4,VLOOKUP(AE$6, Table_ChiPhiNV_Ca[], COUNTA(Table_ChiPhiNV_Ca[[#Headers],[Ca]:[Bắt đầu]]),0)),
$AA27&lt;MIN(AE$5,VLOOKUP(AE$6, Table_ChiPhiNV_Ca[], COUNTA(Table_ChiPhiNV_Ca[[#Headers],[Ca]:[Kết thúc]]),0))),
SUM(_xlfn._xlws.FILTER(Table_BangLuong_TyLeTangCa[Tỷ lệ],
(Table_BangLuong_TyLeTangCa[Ngày] = "Thường") *
(Table_BangLuong_TyLeTangCa[Giờ min]&lt;=$AA27) *
(Table_BangLuong_TyLeTangCa[Giờ max]&gt;$AA27)
)),0)
)),
IF(AE$4 &lt; AE$5,
IF($AA27-$Z$4&lt;AE$4,0,
IF($AA27&gt;AE$5,0,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AE$5,$AA27 &lt; AE$4),0,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F27" s="18" cm="1">
        <f t="array" ref="AF27" xml:space="preserve">
IFERROR(
IF(AF$1="",0,
IF(AND(
$AA27&gt;=VLOOKUP(AF$6, Table_ChiPhiNV_Ca[], COUNTA(Table_ChiPhiNV_Ca[[#Headers],[Ca]:[Bắt đầu nghỉ]]),0),
$AA27&lt;VLOOKUP(AF$6, Table_ChiPhiNV_Ca[], COUNTA(Table_ChiPhiNV_Ca[[#Headers],[Ca]:[Kết thúc nghỉ]]),0)
),0,
IF(NOT(ISBLANK(AF$3)),
IF(ISBLANK(AF$7),0,
IF(AF$4 &lt; AF$5,
IF($AA27-$Z$4&lt;AF$4,0,
IF($AA27&gt;AF$5,0,
SUM(_xlfn._xlws.FILTER(Table_BangLuong_TyLeTangCa[Tỷ lệ],
(Table_BangLuong_TyLeTangCa[Ngày] = AF$3) *
(Table_BangLuong_TyLeTangCa[Giờ min]&lt;=$AA27) *
(Table_BangLuong_TyLeTangCa[Giờ max]&gt;$AA27)
)))),
IF(AND($AA27-$Z$4 &gt;= AF$5,$AA27 &lt; AF$4),0,
SUM(_xlfn._xlws.FILTER(Table_BangLuong_TyLeTangCa[Tỷ lệ],
(Table_BangLuong_TyLeTangCa[Ngày] = AF$3) *
(Table_BangLuong_TyLeTangCa[Giờ min]&lt;=$AA27) *
(Table_BangLuong_TyLeTangCa[Giờ max]&gt;$AA27)
))))
),
IF(ISBLANK(AF$7),
IF(VLOOKUP(AF$6, Table_ChiPhiNV_Ca[], COUNTA(Table_ChiPhiNV_Ca[[#Headers],[Ca]:[Kết thúc]]),0)&gt; VLOOKUP(AF$6, Table_ChiPhiNV_Ca[], COUNTA(Table_ChiPhiNV_Ca[[#Headers],[Ca]:[Bắt đầu]]),0),
IF($AA27-$Z$4&lt;MAX(AF$4,VLOOKUP(AF$6, Table_ChiPhiNV_Ca[], COUNTA(Table_ChiPhiNV_Ca[[#Headers],[Ca]:[Bắt đầu]]),0)),0,
IF($AA27&gt;MIN(AF$5,VLOOKUP(AF$6, Table_ChiPhiNV_Ca[], COUNTA(Table_ChiPhiNV_Ca[[#Headers],[Ca]:[Kết thúc]]),0)),0,
SUM(_xlfn._xlws.FILTER(Table_BangLuong_TyLeTangCa[Tỷ lệ],
(Table_BangLuong_TyLeTangCa[Ngày] = "Thường") *
(Table_BangLuong_TyLeTangCa[Giờ min]&lt;=$AA27) *
(Table_BangLuong_TyLeTangCa[Giờ max]&gt;$AA27)
)))),
IF(AF$4 &gt; AF$5,
IF(
AND(
$AA27-$Z$4&lt;MAX(AF$4,VLOOKUP(AF$6, Table_ChiPhiNV_Ca[], COUNTA(Table_ChiPhiNV_Ca[[#Headers],[Ca]:[Bắt đầu]]),0)),
$AA27&gt;MIN(AF$5,VLOOKUP(AF$6, Table_ChiPhiNV_Ca[], COUNTA(Table_ChiPhiNV_Ca[[#Headers],[Ca]:[Kết thúc]]),0))),0,
SUM(_xlfn._xlws.FILTER(Table_BangLuong_TyLeTangCa[Tỷ lệ],
(Table_BangLuong_TyLeTangCa[Ngày] = "Thường") *
(Table_BangLuong_TyLeTangCa[Giờ min]&lt;=$AA27) *
(Table_BangLuong_TyLeTangCa[Giờ max]&gt;$AA27)
))),
IF(
AND(
$AA27-$Z$4&gt;=MAX(AF$4,VLOOKUP(AF$6, Table_ChiPhiNV_Ca[], COUNTA(Table_ChiPhiNV_Ca[[#Headers],[Ca]:[Bắt đầu]]),0)),
$AA27&lt;MIN(AF$5,VLOOKUP(AF$6, Table_ChiPhiNV_Ca[], COUNTA(Table_ChiPhiNV_Ca[[#Headers],[Ca]:[Kết thúc]]),0))),
SUM(_xlfn._xlws.FILTER(Table_BangLuong_TyLeTangCa[Tỷ lệ],
(Table_BangLuong_TyLeTangCa[Ngày] = "Thường") *
(Table_BangLuong_TyLeTangCa[Giờ min]&lt;=$AA27) *
(Table_BangLuong_TyLeTangCa[Giờ max]&gt;$AA27)
)),0)
)),
IF(AF$4 &lt; AF$5,
IF($AA27-$Z$4&lt;AF$4,0,
IF($AA27&gt;AF$5,0,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AF$5,$AA27 &lt; AF$4),0,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G27" s="18" cm="1">
        <f t="array" ref="AG27" xml:space="preserve">
IFERROR(
IF(AG$1="",0,
IF(AND(
$AA27&gt;=VLOOKUP(AG$6, Table_ChiPhiNV_Ca[], COUNTA(Table_ChiPhiNV_Ca[[#Headers],[Ca]:[Bắt đầu nghỉ]]),0),
$AA27&lt;VLOOKUP(AG$6, Table_ChiPhiNV_Ca[], COUNTA(Table_ChiPhiNV_Ca[[#Headers],[Ca]:[Kết thúc nghỉ]]),0)
),0,
IF(NOT(ISBLANK(AG$3)),
IF(ISBLANK(AG$7),0,
IF(AG$4 &lt; AG$5,
IF($AA27-$Z$4&lt;AG$4,0,
IF($AA27&gt;AG$5,0,
SUM(_xlfn._xlws.FILTER(Table_BangLuong_TyLeTangCa[Tỷ lệ],
(Table_BangLuong_TyLeTangCa[Ngày] = AG$3) *
(Table_BangLuong_TyLeTangCa[Giờ min]&lt;=$AA27) *
(Table_BangLuong_TyLeTangCa[Giờ max]&gt;$AA27)
)))),
IF(AND($AA27-$Z$4 &gt;= AG$5,$AA27 &lt; AG$4),0,
SUM(_xlfn._xlws.FILTER(Table_BangLuong_TyLeTangCa[Tỷ lệ],
(Table_BangLuong_TyLeTangCa[Ngày] = AG$3) *
(Table_BangLuong_TyLeTangCa[Giờ min]&lt;=$AA27) *
(Table_BangLuong_TyLeTangCa[Giờ max]&gt;$AA27)
))))
),
IF(ISBLANK(AG$7),
IF(VLOOKUP(AG$6, Table_ChiPhiNV_Ca[], COUNTA(Table_ChiPhiNV_Ca[[#Headers],[Ca]:[Kết thúc]]),0)&gt; VLOOKUP(AG$6, Table_ChiPhiNV_Ca[], COUNTA(Table_ChiPhiNV_Ca[[#Headers],[Ca]:[Bắt đầu]]),0),
IF($AA27-$Z$4&lt;MAX(AG$4,VLOOKUP(AG$6, Table_ChiPhiNV_Ca[], COUNTA(Table_ChiPhiNV_Ca[[#Headers],[Ca]:[Bắt đầu]]),0)),0,
IF($AA27&gt;MIN(AG$5,VLOOKUP(AG$6, Table_ChiPhiNV_Ca[], COUNTA(Table_ChiPhiNV_Ca[[#Headers],[Ca]:[Kết thúc]]),0)),0,
SUM(_xlfn._xlws.FILTER(Table_BangLuong_TyLeTangCa[Tỷ lệ],
(Table_BangLuong_TyLeTangCa[Ngày] = "Thường") *
(Table_BangLuong_TyLeTangCa[Giờ min]&lt;=$AA27) *
(Table_BangLuong_TyLeTangCa[Giờ max]&gt;$AA27)
)))),
IF(AG$4 &gt; AG$5,
IF(
AND(
$AA27-$Z$4&lt;MAX(AG$4,VLOOKUP(AG$6, Table_ChiPhiNV_Ca[], COUNTA(Table_ChiPhiNV_Ca[[#Headers],[Ca]:[Bắt đầu]]),0)),
$AA27&gt;MIN(AG$5,VLOOKUP(AG$6, Table_ChiPhiNV_Ca[], COUNTA(Table_ChiPhiNV_Ca[[#Headers],[Ca]:[Kết thúc]]),0))),0,
SUM(_xlfn._xlws.FILTER(Table_BangLuong_TyLeTangCa[Tỷ lệ],
(Table_BangLuong_TyLeTangCa[Ngày] = "Thường") *
(Table_BangLuong_TyLeTangCa[Giờ min]&lt;=$AA27) *
(Table_BangLuong_TyLeTangCa[Giờ max]&gt;$AA27)
))),
IF(
AND(
$AA27-$Z$4&gt;=MAX(AG$4,VLOOKUP(AG$6, Table_ChiPhiNV_Ca[], COUNTA(Table_ChiPhiNV_Ca[[#Headers],[Ca]:[Bắt đầu]]),0)),
$AA27&lt;MIN(AG$5,VLOOKUP(AG$6, Table_ChiPhiNV_Ca[], COUNTA(Table_ChiPhiNV_Ca[[#Headers],[Ca]:[Kết thúc]]),0))),
SUM(_xlfn._xlws.FILTER(Table_BangLuong_TyLeTangCa[Tỷ lệ],
(Table_BangLuong_TyLeTangCa[Ngày] = "Thường") *
(Table_BangLuong_TyLeTangCa[Giờ min]&lt;=$AA27) *
(Table_BangLuong_TyLeTangCa[Giờ max]&gt;$AA27)
)),0)
)),
IF(AG$4 &lt; AG$5,
IF($AA27-$Z$4&lt;AG$4,0,
IF($AA27&gt;AG$5,0,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AG$5,$AA27 &lt; AG$4),0,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H27" s="18" cm="1">
        <f t="array" ref="AH27" xml:space="preserve">
IFERROR(
IF(AH$1="",0,
IF(AND(
$AA27&gt;=VLOOKUP(AH$6, Table_ChiPhiNV_Ca[], COUNTA(Table_ChiPhiNV_Ca[[#Headers],[Ca]:[Bắt đầu nghỉ]]),0),
$AA27&lt;VLOOKUP(AH$6, Table_ChiPhiNV_Ca[], COUNTA(Table_ChiPhiNV_Ca[[#Headers],[Ca]:[Kết thúc nghỉ]]),0)
),0,
IF(NOT(ISBLANK(AH$3)),
IF(ISBLANK(AH$7),0,
IF(AH$4 &lt; AH$5,
IF($AA27-$Z$4&lt;AH$4,0,
IF($AA27&gt;AH$5,0,
SUM(_xlfn._xlws.FILTER(Table_BangLuong_TyLeTangCa[Tỷ lệ],
(Table_BangLuong_TyLeTangCa[Ngày] = AH$3) *
(Table_BangLuong_TyLeTangCa[Giờ min]&lt;=$AA27) *
(Table_BangLuong_TyLeTangCa[Giờ max]&gt;$AA27)
)))),
IF(AND($AA27-$Z$4 &gt;= AH$5,$AA27 &lt; AH$4),0,
SUM(_xlfn._xlws.FILTER(Table_BangLuong_TyLeTangCa[Tỷ lệ],
(Table_BangLuong_TyLeTangCa[Ngày] = AH$3) *
(Table_BangLuong_TyLeTangCa[Giờ min]&lt;=$AA27) *
(Table_BangLuong_TyLeTangCa[Giờ max]&gt;$AA27)
))))
),
IF(ISBLANK(AH$7),
IF(VLOOKUP(AH$6, Table_ChiPhiNV_Ca[], COUNTA(Table_ChiPhiNV_Ca[[#Headers],[Ca]:[Kết thúc]]),0)&gt; VLOOKUP(AH$6, Table_ChiPhiNV_Ca[], COUNTA(Table_ChiPhiNV_Ca[[#Headers],[Ca]:[Bắt đầu]]),0),
IF($AA27-$Z$4&lt;MAX(AH$4,VLOOKUP(AH$6, Table_ChiPhiNV_Ca[], COUNTA(Table_ChiPhiNV_Ca[[#Headers],[Ca]:[Bắt đầu]]),0)),0,
IF($AA27&gt;MIN(AH$5,VLOOKUP(AH$6, Table_ChiPhiNV_Ca[], COUNTA(Table_ChiPhiNV_Ca[[#Headers],[Ca]:[Kết thúc]]),0)),0,
SUM(_xlfn._xlws.FILTER(Table_BangLuong_TyLeTangCa[Tỷ lệ],
(Table_BangLuong_TyLeTangCa[Ngày] = "Thường") *
(Table_BangLuong_TyLeTangCa[Giờ min]&lt;=$AA27) *
(Table_BangLuong_TyLeTangCa[Giờ max]&gt;$AA27)
)))),
IF(AH$4 &gt; AH$5,
IF(
AND(
$AA27-$Z$4&lt;MAX(AH$4,VLOOKUP(AH$6, Table_ChiPhiNV_Ca[], COUNTA(Table_ChiPhiNV_Ca[[#Headers],[Ca]:[Bắt đầu]]),0)),
$AA27&gt;MIN(AH$5,VLOOKUP(AH$6, Table_ChiPhiNV_Ca[], COUNTA(Table_ChiPhiNV_Ca[[#Headers],[Ca]:[Kết thúc]]),0))),0,
SUM(_xlfn._xlws.FILTER(Table_BangLuong_TyLeTangCa[Tỷ lệ],
(Table_BangLuong_TyLeTangCa[Ngày] = "Thường") *
(Table_BangLuong_TyLeTangCa[Giờ min]&lt;=$AA27) *
(Table_BangLuong_TyLeTangCa[Giờ max]&gt;$AA27)
))),
IF(
AND(
$AA27-$Z$4&gt;=MAX(AH$4,VLOOKUP(AH$6, Table_ChiPhiNV_Ca[], COUNTA(Table_ChiPhiNV_Ca[[#Headers],[Ca]:[Bắt đầu]]),0)),
$AA27&lt;MIN(AH$5,VLOOKUP(AH$6, Table_ChiPhiNV_Ca[], COUNTA(Table_ChiPhiNV_Ca[[#Headers],[Ca]:[Kết thúc]]),0))),
SUM(_xlfn._xlws.FILTER(Table_BangLuong_TyLeTangCa[Tỷ lệ],
(Table_BangLuong_TyLeTangCa[Ngày] = "Thường") *
(Table_BangLuong_TyLeTangCa[Giờ min]&lt;=$AA27) *
(Table_BangLuong_TyLeTangCa[Giờ max]&gt;$AA27)
)),0)
)),
IF(AH$4 &lt; AH$5,
IF($AA27-$Z$4&lt;AH$4,0,
IF($AA27&gt;AH$5,0,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AH$5,$AA27 &lt; AH$4),0,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I27" s="18" cm="1">
        <f t="array" ref="AI27" xml:space="preserve">
IFERROR(
IF(AI$1="",0,
IF(AND(
$AA27&gt;=VLOOKUP(AI$6, Table_ChiPhiNV_Ca[], COUNTA(Table_ChiPhiNV_Ca[[#Headers],[Ca]:[Bắt đầu nghỉ]]),0),
$AA27&lt;VLOOKUP(AI$6, Table_ChiPhiNV_Ca[], COUNTA(Table_ChiPhiNV_Ca[[#Headers],[Ca]:[Kết thúc nghỉ]]),0)
),0,
IF(NOT(ISBLANK(AI$3)),
IF(ISBLANK(AI$7),0,
IF(AI$4 &lt; AI$5,
IF($AA27-$Z$4&lt;AI$4,0,
IF($AA27&gt;AI$5,0,
SUM(_xlfn._xlws.FILTER(Table_BangLuong_TyLeTangCa[Tỷ lệ],
(Table_BangLuong_TyLeTangCa[Ngày] = AI$3) *
(Table_BangLuong_TyLeTangCa[Giờ min]&lt;=$AA27) *
(Table_BangLuong_TyLeTangCa[Giờ max]&gt;$AA27)
)))),
IF(AND($AA27-$Z$4 &gt;= AI$5,$AA27 &lt; AI$4),0,
SUM(_xlfn._xlws.FILTER(Table_BangLuong_TyLeTangCa[Tỷ lệ],
(Table_BangLuong_TyLeTangCa[Ngày] = AI$3) *
(Table_BangLuong_TyLeTangCa[Giờ min]&lt;=$AA27) *
(Table_BangLuong_TyLeTangCa[Giờ max]&gt;$AA27)
))))
),
IF(ISBLANK(AI$7),
IF(VLOOKUP(AI$6, Table_ChiPhiNV_Ca[], COUNTA(Table_ChiPhiNV_Ca[[#Headers],[Ca]:[Kết thúc]]),0)&gt; VLOOKUP(AI$6, Table_ChiPhiNV_Ca[], COUNTA(Table_ChiPhiNV_Ca[[#Headers],[Ca]:[Bắt đầu]]),0),
IF($AA27-$Z$4&lt;MAX(AI$4,VLOOKUP(AI$6, Table_ChiPhiNV_Ca[], COUNTA(Table_ChiPhiNV_Ca[[#Headers],[Ca]:[Bắt đầu]]),0)),0,
IF($AA27&gt;MIN(AI$5,VLOOKUP(AI$6, Table_ChiPhiNV_Ca[], COUNTA(Table_ChiPhiNV_Ca[[#Headers],[Ca]:[Kết thúc]]),0)),0,
SUM(_xlfn._xlws.FILTER(Table_BangLuong_TyLeTangCa[Tỷ lệ],
(Table_BangLuong_TyLeTangCa[Ngày] = "Thường") *
(Table_BangLuong_TyLeTangCa[Giờ min]&lt;=$AA27) *
(Table_BangLuong_TyLeTangCa[Giờ max]&gt;$AA27)
)))),
IF(AI$4 &gt; AI$5,
IF(
AND(
$AA27-$Z$4&lt;MAX(AI$4,VLOOKUP(AI$6, Table_ChiPhiNV_Ca[], COUNTA(Table_ChiPhiNV_Ca[[#Headers],[Ca]:[Bắt đầu]]),0)),
$AA27&gt;MIN(AI$5,VLOOKUP(AI$6, Table_ChiPhiNV_Ca[], COUNTA(Table_ChiPhiNV_Ca[[#Headers],[Ca]:[Kết thúc]]),0))),0,
SUM(_xlfn._xlws.FILTER(Table_BangLuong_TyLeTangCa[Tỷ lệ],
(Table_BangLuong_TyLeTangCa[Ngày] = "Thường") *
(Table_BangLuong_TyLeTangCa[Giờ min]&lt;=$AA27) *
(Table_BangLuong_TyLeTangCa[Giờ max]&gt;$AA27)
))),
IF(
AND(
$AA27-$Z$4&gt;=MAX(AI$4,VLOOKUP(AI$6, Table_ChiPhiNV_Ca[], COUNTA(Table_ChiPhiNV_Ca[[#Headers],[Ca]:[Bắt đầu]]),0)),
$AA27&lt;MIN(AI$5,VLOOKUP(AI$6, Table_ChiPhiNV_Ca[], COUNTA(Table_ChiPhiNV_Ca[[#Headers],[Ca]:[Kết thúc]]),0))),
SUM(_xlfn._xlws.FILTER(Table_BangLuong_TyLeTangCa[Tỷ lệ],
(Table_BangLuong_TyLeTangCa[Ngày] = "Thường") *
(Table_BangLuong_TyLeTangCa[Giờ min]&lt;=$AA27) *
(Table_BangLuong_TyLeTangCa[Giờ max]&gt;$AA27)
)),0)
)),
IF(AI$4 &lt; AI$5,
IF($AA27-$Z$4&lt;AI$4,0,
IF($AA27&gt;AI$5,0,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AI$5,$AA27 &lt; AI$4),0,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J27" s="18" cm="1">
        <f t="array" ref="AJ27" xml:space="preserve">
IFERROR(
IF(AJ$1="",0,
IF(AND(
$AA27&gt;=VLOOKUP(AJ$6, Table_ChiPhiNV_Ca[], COUNTA(Table_ChiPhiNV_Ca[[#Headers],[Ca]:[Bắt đầu nghỉ]]),0),
$AA27&lt;VLOOKUP(AJ$6, Table_ChiPhiNV_Ca[], COUNTA(Table_ChiPhiNV_Ca[[#Headers],[Ca]:[Kết thúc nghỉ]]),0)
),0,
IF(NOT(ISBLANK(AJ$3)),
IF(ISBLANK(AJ$7),0,
IF(AJ$4 &lt; AJ$5,
IF($AA27-$Z$4&lt;AJ$4,0,
IF($AA27&gt;AJ$5,0,
SUM(_xlfn._xlws.FILTER(Table_BangLuong_TyLeTangCa[Tỷ lệ],
(Table_BangLuong_TyLeTangCa[Ngày] = AJ$3) *
(Table_BangLuong_TyLeTangCa[Giờ min]&lt;=$AA27) *
(Table_BangLuong_TyLeTangCa[Giờ max]&gt;$AA27)
)))),
IF(AND($AA27-$Z$4 &gt;= AJ$5,$AA27 &lt; AJ$4),0,
SUM(_xlfn._xlws.FILTER(Table_BangLuong_TyLeTangCa[Tỷ lệ],
(Table_BangLuong_TyLeTangCa[Ngày] = AJ$3) *
(Table_BangLuong_TyLeTangCa[Giờ min]&lt;=$AA27) *
(Table_BangLuong_TyLeTangCa[Giờ max]&gt;$AA27)
))))
),
IF(ISBLANK(AJ$7),
IF(VLOOKUP(AJ$6, Table_ChiPhiNV_Ca[], COUNTA(Table_ChiPhiNV_Ca[[#Headers],[Ca]:[Kết thúc]]),0)&gt; VLOOKUP(AJ$6, Table_ChiPhiNV_Ca[], COUNTA(Table_ChiPhiNV_Ca[[#Headers],[Ca]:[Bắt đầu]]),0),
IF($AA27-$Z$4&lt;MAX(AJ$4,VLOOKUP(AJ$6, Table_ChiPhiNV_Ca[], COUNTA(Table_ChiPhiNV_Ca[[#Headers],[Ca]:[Bắt đầu]]),0)),0,
IF($AA27&gt;MIN(AJ$5,VLOOKUP(AJ$6, Table_ChiPhiNV_Ca[], COUNTA(Table_ChiPhiNV_Ca[[#Headers],[Ca]:[Kết thúc]]),0)),0,
SUM(_xlfn._xlws.FILTER(Table_BangLuong_TyLeTangCa[Tỷ lệ],
(Table_BangLuong_TyLeTangCa[Ngày] = "Thường") *
(Table_BangLuong_TyLeTangCa[Giờ min]&lt;=$AA27) *
(Table_BangLuong_TyLeTangCa[Giờ max]&gt;$AA27)
)))),
IF(AJ$4 &gt; AJ$5,
IF(
AND(
$AA27-$Z$4&lt;MAX(AJ$4,VLOOKUP(AJ$6, Table_ChiPhiNV_Ca[], COUNTA(Table_ChiPhiNV_Ca[[#Headers],[Ca]:[Bắt đầu]]),0)),
$AA27&gt;MIN(AJ$5,VLOOKUP(AJ$6, Table_ChiPhiNV_Ca[], COUNTA(Table_ChiPhiNV_Ca[[#Headers],[Ca]:[Kết thúc]]),0))),0,
SUM(_xlfn._xlws.FILTER(Table_BangLuong_TyLeTangCa[Tỷ lệ],
(Table_BangLuong_TyLeTangCa[Ngày] = "Thường") *
(Table_BangLuong_TyLeTangCa[Giờ min]&lt;=$AA27) *
(Table_BangLuong_TyLeTangCa[Giờ max]&gt;$AA27)
))),
IF(
AND(
$AA27-$Z$4&gt;=MAX(AJ$4,VLOOKUP(AJ$6, Table_ChiPhiNV_Ca[], COUNTA(Table_ChiPhiNV_Ca[[#Headers],[Ca]:[Bắt đầu]]),0)),
$AA27&lt;MIN(AJ$5,VLOOKUP(AJ$6, Table_ChiPhiNV_Ca[], COUNTA(Table_ChiPhiNV_Ca[[#Headers],[Ca]:[Kết thúc]]),0))),
SUM(_xlfn._xlws.FILTER(Table_BangLuong_TyLeTangCa[Tỷ lệ],
(Table_BangLuong_TyLeTangCa[Ngày] = "Thường") *
(Table_BangLuong_TyLeTangCa[Giờ min]&lt;=$AA27) *
(Table_BangLuong_TyLeTangCa[Giờ max]&gt;$AA27)
)),0)
)),
IF(AJ$4 &lt; AJ$5,
IF($AA27-$Z$4&lt;AJ$4,0,
IF($AA27&gt;AJ$5,0,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AJ$5,$AA27 &lt; AJ$4),0,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K27" s="18" cm="1">
        <f t="array" ref="AK27" xml:space="preserve">
IFERROR(
IF(AK$1="",0,
IF(AND(
$AA27&gt;=VLOOKUP(AK$6, Table_ChiPhiNV_Ca[], COUNTA(Table_ChiPhiNV_Ca[[#Headers],[Ca]:[Bắt đầu nghỉ]]),0),
$AA27&lt;VLOOKUP(AK$6, Table_ChiPhiNV_Ca[], COUNTA(Table_ChiPhiNV_Ca[[#Headers],[Ca]:[Kết thúc nghỉ]]),0)
),0,
IF(NOT(ISBLANK(AK$3)),
IF(ISBLANK(AK$7),0,
IF(AK$4 &lt; AK$5,
IF($AA27-$Z$4&lt;AK$4,0,
IF($AA27&gt;AK$5,0,
SUM(_xlfn._xlws.FILTER(Table_BangLuong_TyLeTangCa[Tỷ lệ],
(Table_BangLuong_TyLeTangCa[Ngày] = AK$3) *
(Table_BangLuong_TyLeTangCa[Giờ min]&lt;=$AA27) *
(Table_BangLuong_TyLeTangCa[Giờ max]&gt;$AA27)
)))),
IF(AND($AA27-$Z$4 &gt;= AK$5,$AA27 &lt; AK$4),0,
SUM(_xlfn._xlws.FILTER(Table_BangLuong_TyLeTangCa[Tỷ lệ],
(Table_BangLuong_TyLeTangCa[Ngày] = AK$3) *
(Table_BangLuong_TyLeTangCa[Giờ min]&lt;=$AA27) *
(Table_BangLuong_TyLeTangCa[Giờ max]&gt;$AA27)
))))
),
IF(ISBLANK(AK$7),
IF(VLOOKUP(AK$6, Table_ChiPhiNV_Ca[], COUNTA(Table_ChiPhiNV_Ca[[#Headers],[Ca]:[Kết thúc]]),0)&gt; VLOOKUP(AK$6, Table_ChiPhiNV_Ca[], COUNTA(Table_ChiPhiNV_Ca[[#Headers],[Ca]:[Bắt đầu]]),0),
IF($AA27-$Z$4&lt;MAX(AK$4,VLOOKUP(AK$6, Table_ChiPhiNV_Ca[], COUNTA(Table_ChiPhiNV_Ca[[#Headers],[Ca]:[Bắt đầu]]),0)),0,
IF($AA27&gt;MIN(AK$5,VLOOKUP(AK$6, Table_ChiPhiNV_Ca[], COUNTA(Table_ChiPhiNV_Ca[[#Headers],[Ca]:[Kết thúc]]),0)),0,
SUM(_xlfn._xlws.FILTER(Table_BangLuong_TyLeTangCa[Tỷ lệ],
(Table_BangLuong_TyLeTangCa[Ngày] = "Thường") *
(Table_BangLuong_TyLeTangCa[Giờ min]&lt;=$AA27) *
(Table_BangLuong_TyLeTangCa[Giờ max]&gt;$AA27)
)))),
IF(AK$4 &gt; AK$5,
IF(
AND(
$AA27-$Z$4&lt;MAX(AK$4,VLOOKUP(AK$6, Table_ChiPhiNV_Ca[], COUNTA(Table_ChiPhiNV_Ca[[#Headers],[Ca]:[Bắt đầu]]),0)),
$AA27&gt;MIN(AK$5,VLOOKUP(AK$6, Table_ChiPhiNV_Ca[], COUNTA(Table_ChiPhiNV_Ca[[#Headers],[Ca]:[Kết thúc]]),0))),0,
SUM(_xlfn._xlws.FILTER(Table_BangLuong_TyLeTangCa[Tỷ lệ],
(Table_BangLuong_TyLeTangCa[Ngày] = "Thường") *
(Table_BangLuong_TyLeTangCa[Giờ min]&lt;=$AA27) *
(Table_BangLuong_TyLeTangCa[Giờ max]&gt;$AA27)
))),
IF(
AND(
$AA27-$Z$4&gt;=MAX(AK$4,VLOOKUP(AK$6, Table_ChiPhiNV_Ca[], COUNTA(Table_ChiPhiNV_Ca[[#Headers],[Ca]:[Bắt đầu]]),0)),
$AA27&lt;MIN(AK$5,VLOOKUP(AK$6, Table_ChiPhiNV_Ca[], COUNTA(Table_ChiPhiNV_Ca[[#Headers],[Ca]:[Kết thúc]]),0))),
SUM(_xlfn._xlws.FILTER(Table_BangLuong_TyLeTangCa[Tỷ lệ],
(Table_BangLuong_TyLeTangCa[Ngày] = "Thường") *
(Table_BangLuong_TyLeTangCa[Giờ min]&lt;=$AA27) *
(Table_BangLuong_TyLeTangCa[Giờ max]&gt;$AA27)
)),0)
)),
IF(AK$4 &lt; AK$5,
IF($AA27-$Z$4&lt;AK$4,0,
IF($AA27&gt;AK$5,0,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AK$5,$AA27 &lt; AK$4),0,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L27" s="18" cm="1">
        <f t="array" ref="AL27" xml:space="preserve">
IFERROR(
IF(AL$1="",0,
IF(AND(
$AA27&gt;=VLOOKUP(AL$6, Table_ChiPhiNV_Ca[], COUNTA(Table_ChiPhiNV_Ca[[#Headers],[Ca]:[Bắt đầu nghỉ]]),0),
$AA27&lt;VLOOKUP(AL$6, Table_ChiPhiNV_Ca[], COUNTA(Table_ChiPhiNV_Ca[[#Headers],[Ca]:[Kết thúc nghỉ]]),0)
),0,
IF(NOT(ISBLANK(AL$3)),
IF(ISBLANK(AL$7),0,
IF(AL$4 &lt; AL$5,
IF($AA27-$Z$4&lt;AL$4,0,
IF($AA27&gt;AL$5,0,
SUM(_xlfn._xlws.FILTER(Table_BangLuong_TyLeTangCa[Tỷ lệ],
(Table_BangLuong_TyLeTangCa[Ngày] = AL$3) *
(Table_BangLuong_TyLeTangCa[Giờ min]&lt;=$AA27) *
(Table_BangLuong_TyLeTangCa[Giờ max]&gt;$AA27)
)))),
IF(AND($AA27-$Z$4 &gt;= AL$5,$AA27 &lt; AL$4),0,
SUM(_xlfn._xlws.FILTER(Table_BangLuong_TyLeTangCa[Tỷ lệ],
(Table_BangLuong_TyLeTangCa[Ngày] = AL$3) *
(Table_BangLuong_TyLeTangCa[Giờ min]&lt;=$AA27) *
(Table_BangLuong_TyLeTangCa[Giờ max]&gt;$AA27)
))))
),
IF(ISBLANK(AL$7),
IF(VLOOKUP(AL$6, Table_ChiPhiNV_Ca[], COUNTA(Table_ChiPhiNV_Ca[[#Headers],[Ca]:[Kết thúc]]),0)&gt; VLOOKUP(AL$6, Table_ChiPhiNV_Ca[], COUNTA(Table_ChiPhiNV_Ca[[#Headers],[Ca]:[Bắt đầu]]),0),
IF($AA27-$Z$4&lt;MAX(AL$4,VLOOKUP(AL$6, Table_ChiPhiNV_Ca[], COUNTA(Table_ChiPhiNV_Ca[[#Headers],[Ca]:[Bắt đầu]]),0)),0,
IF($AA27&gt;MIN(AL$5,VLOOKUP(AL$6, Table_ChiPhiNV_Ca[], COUNTA(Table_ChiPhiNV_Ca[[#Headers],[Ca]:[Kết thúc]]),0)),0,
SUM(_xlfn._xlws.FILTER(Table_BangLuong_TyLeTangCa[Tỷ lệ],
(Table_BangLuong_TyLeTangCa[Ngày] = "Thường") *
(Table_BangLuong_TyLeTangCa[Giờ min]&lt;=$AA27) *
(Table_BangLuong_TyLeTangCa[Giờ max]&gt;$AA27)
)))),
IF(AL$4 &gt; AL$5,
IF(
AND(
$AA27-$Z$4&lt;MAX(AL$4,VLOOKUP(AL$6, Table_ChiPhiNV_Ca[], COUNTA(Table_ChiPhiNV_Ca[[#Headers],[Ca]:[Bắt đầu]]),0)),
$AA27&gt;MIN(AL$5,VLOOKUP(AL$6, Table_ChiPhiNV_Ca[], COUNTA(Table_ChiPhiNV_Ca[[#Headers],[Ca]:[Kết thúc]]),0))),0,
SUM(_xlfn._xlws.FILTER(Table_BangLuong_TyLeTangCa[Tỷ lệ],
(Table_BangLuong_TyLeTangCa[Ngày] = "Thường") *
(Table_BangLuong_TyLeTangCa[Giờ min]&lt;=$AA27) *
(Table_BangLuong_TyLeTangCa[Giờ max]&gt;$AA27)
))),
IF(
AND(
$AA27-$Z$4&gt;=MAX(AL$4,VLOOKUP(AL$6, Table_ChiPhiNV_Ca[], COUNTA(Table_ChiPhiNV_Ca[[#Headers],[Ca]:[Bắt đầu]]),0)),
$AA27&lt;MIN(AL$5,VLOOKUP(AL$6, Table_ChiPhiNV_Ca[], COUNTA(Table_ChiPhiNV_Ca[[#Headers],[Ca]:[Kết thúc]]),0))),
SUM(_xlfn._xlws.FILTER(Table_BangLuong_TyLeTangCa[Tỷ lệ],
(Table_BangLuong_TyLeTangCa[Ngày] = "Thường") *
(Table_BangLuong_TyLeTangCa[Giờ min]&lt;=$AA27) *
(Table_BangLuong_TyLeTangCa[Giờ max]&gt;$AA27)
)),0)
)),
IF(AL$4 &lt; AL$5,
IF($AA27-$Z$4&lt;AL$4,0,
IF($AA27&gt;AL$5,0,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AL$5,$AA27 &lt; AL$4),0,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M27" s="18" cm="1">
        <f t="array" ref="AM27" xml:space="preserve">
IFERROR(
IF(AM$1="",0,
IF(AND(
$AA27&gt;=VLOOKUP(AM$6, Table_ChiPhiNV_Ca[], COUNTA(Table_ChiPhiNV_Ca[[#Headers],[Ca]:[Bắt đầu nghỉ]]),0),
$AA27&lt;VLOOKUP(AM$6, Table_ChiPhiNV_Ca[], COUNTA(Table_ChiPhiNV_Ca[[#Headers],[Ca]:[Kết thúc nghỉ]]),0)
),0,
IF(NOT(ISBLANK(AM$3)),
IF(ISBLANK(AM$7),0,
IF(AM$4 &lt; AM$5,
IF($AA27-$Z$4&lt;AM$4,0,
IF($AA27&gt;AM$5,0,
SUM(_xlfn._xlws.FILTER(Table_BangLuong_TyLeTangCa[Tỷ lệ],
(Table_BangLuong_TyLeTangCa[Ngày] = AM$3) *
(Table_BangLuong_TyLeTangCa[Giờ min]&lt;=$AA27) *
(Table_BangLuong_TyLeTangCa[Giờ max]&gt;$AA27)
)))),
IF(AND($AA27-$Z$4 &gt;= AM$5,$AA27 &lt; AM$4),0,
SUM(_xlfn._xlws.FILTER(Table_BangLuong_TyLeTangCa[Tỷ lệ],
(Table_BangLuong_TyLeTangCa[Ngày] = AM$3) *
(Table_BangLuong_TyLeTangCa[Giờ min]&lt;=$AA27) *
(Table_BangLuong_TyLeTangCa[Giờ max]&gt;$AA27)
))))
),
IF(ISBLANK(AM$7),
IF(VLOOKUP(AM$6, Table_ChiPhiNV_Ca[], COUNTA(Table_ChiPhiNV_Ca[[#Headers],[Ca]:[Kết thúc]]),0)&gt; VLOOKUP(AM$6, Table_ChiPhiNV_Ca[], COUNTA(Table_ChiPhiNV_Ca[[#Headers],[Ca]:[Bắt đầu]]),0),
IF($AA27-$Z$4&lt;MAX(AM$4,VLOOKUP(AM$6, Table_ChiPhiNV_Ca[], COUNTA(Table_ChiPhiNV_Ca[[#Headers],[Ca]:[Bắt đầu]]),0)),0,
IF($AA27&gt;MIN(AM$5,VLOOKUP(AM$6, Table_ChiPhiNV_Ca[], COUNTA(Table_ChiPhiNV_Ca[[#Headers],[Ca]:[Kết thúc]]),0)),0,
SUM(_xlfn._xlws.FILTER(Table_BangLuong_TyLeTangCa[Tỷ lệ],
(Table_BangLuong_TyLeTangCa[Ngày] = "Thường") *
(Table_BangLuong_TyLeTangCa[Giờ min]&lt;=$AA27) *
(Table_BangLuong_TyLeTangCa[Giờ max]&gt;$AA27)
)))),
IF(AM$4 &gt; AM$5,
IF(
AND(
$AA27-$Z$4&lt;MAX(AM$4,VLOOKUP(AM$6, Table_ChiPhiNV_Ca[], COUNTA(Table_ChiPhiNV_Ca[[#Headers],[Ca]:[Bắt đầu]]),0)),
$AA27&gt;MIN(AM$5,VLOOKUP(AM$6, Table_ChiPhiNV_Ca[], COUNTA(Table_ChiPhiNV_Ca[[#Headers],[Ca]:[Kết thúc]]),0))),0,
SUM(_xlfn._xlws.FILTER(Table_BangLuong_TyLeTangCa[Tỷ lệ],
(Table_BangLuong_TyLeTangCa[Ngày] = "Thường") *
(Table_BangLuong_TyLeTangCa[Giờ min]&lt;=$AA27) *
(Table_BangLuong_TyLeTangCa[Giờ max]&gt;$AA27)
))),
IF(
AND(
$AA27-$Z$4&gt;=MAX(AM$4,VLOOKUP(AM$6, Table_ChiPhiNV_Ca[], COUNTA(Table_ChiPhiNV_Ca[[#Headers],[Ca]:[Bắt đầu]]),0)),
$AA27&lt;MIN(AM$5,VLOOKUP(AM$6, Table_ChiPhiNV_Ca[], COUNTA(Table_ChiPhiNV_Ca[[#Headers],[Ca]:[Kết thúc]]),0))),
SUM(_xlfn._xlws.FILTER(Table_BangLuong_TyLeTangCa[Tỷ lệ],
(Table_BangLuong_TyLeTangCa[Ngày] = "Thường") *
(Table_BangLuong_TyLeTangCa[Giờ min]&lt;=$AA27) *
(Table_BangLuong_TyLeTangCa[Giờ max]&gt;$AA27)
)),0)
)),
IF(AM$4 &lt; AM$5,
IF($AA27-$Z$4&lt;AM$4,0,
IF($AA27&gt;AM$5,0,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AM$5,$AA27 &lt; AM$4),0,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N27" s="18" cm="1">
        <f t="array" ref="AN27" xml:space="preserve">
IFERROR(
IF(AN$1="",0,
IF(AND(
$AA27&gt;=VLOOKUP(AN$6, Table_ChiPhiNV_Ca[], COUNTA(Table_ChiPhiNV_Ca[[#Headers],[Ca]:[Bắt đầu nghỉ]]),0),
$AA27&lt;VLOOKUP(AN$6, Table_ChiPhiNV_Ca[], COUNTA(Table_ChiPhiNV_Ca[[#Headers],[Ca]:[Kết thúc nghỉ]]),0)
),0,
IF(NOT(ISBLANK(AN$3)),
IF(ISBLANK(AN$7),0,
IF(AN$4 &lt; AN$5,
IF($AA27-$Z$4&lt;AN$4,0,
IF($AA27&gt;AN$5,0,
SUM(_xlfn._xlws.FILTER(Table_BangLuong_TyLeTangCa[Tỷ lệ],
(Table_BangLuong_TyLeTangCa[Ngày] = AN$3) *
(Table_BangLuong_TyLeTangCa[Giờ min]&lt;=$AA27) *
(Table_BangLuong_TyLeTangCa[Giờ max]&gt;$AA27)
)))),
IF(AND($AA27-$Z$4 &gt;= AN$5,$AA27 &lt; AN$4),0,
SUM(_xlfn._xlws.FILTER(Table_BangLuong_TyLeTangCa[Tỷ lệ],
(Table_BangLuong_TyLeTangCa[Ngày] = AN$3) *
(Table_BangLuong_TyLeTangCa[Giờ min]&lt;=$AA27) *
(Table_BangLuong_TyLeTangCa[Giờ max]&gt;$AA27)
))))
),
IF(ISBLANK(AN$7),
IF(VLOOKUP(AN$6, Table_ChiPhiNV_Ca[], COUNTA(Table_ChiPhiNV_Ca[[#Headers],[Ca]:[Kết thúc]]),0)&gt; VLOOKUP(AN$6, Table_ChiPhiNV_Ca[], COUNTA(Table_ChiPhiNV_Ca[[#Headers],[Ca]:[Bắt đầu]]),0),
IF($AA27-$Z$4&lt;MAX(AN$4,VLOOKUP(AN$6, Table_ChiPhiNV_Ca[], COUNTA(Table_ChiPhiNV_Ca[[#Headers],[Ca]:[Bắt đầu]]),0)),0,
IF($AA27&gt;MIN(AN$5,VLOOKUP(AN$6, Table_ChiPhiNV_Ca[], COUNTA(Table_ChiPhiNV_Ca[[#Headers],[Ca]:[Kết thúc]]),0)),0,
SUM(_xlfn._xlws.FILTER(Table_BangLuong_TyLeTangCa[Tỷ lệ],
(Table_BangLuong_TyLeTangCa[Ngày] = "Thường") *
(Table_BangLuong_TyLeTangCa[Giờ min]&lt;=$AA27) *
(Table_BangLuong_TyLeTangCa[Giờ max]&gt;$AA27)
)))),
IF(AN$4 &gt; AN$5,
IF(
AND(
$AA27-$Z$4&lt;MAX(AN$4,VLOOKUP(AN$6, Table_ChiPhiNV_Ca[], COUNTA(Table_ChiPhiNV_Ca[[#Headers],[Ca]:[Bắt đầu]]),0)),
$AA27&gt;MIN(AN$5,VLOOKUP(AN$6, Table_ChiPhiNV_Ca[], COUNTA(Table_ChiPhiNV_Ca[[#Headers],[Ca]:[Kết thúc]]),0))),0,
SUM(_xlfn._xlws.FILTER(Table_BangLuong_TyLeTangCa[Tỷ lệ],
(Table_BangLuong_TyLeTangCa[Ngày] = "Thường") *
(Table_BangLuong_TyLeTangCa[Giờ min]&lt;=$AA27) *
(Table_BangLuong_TyLeTangCa[Giờ max]&gt;$AA27)
))),
IF(
AND(
$AA27-$Z$4&gt;=MAX(AN$4,VLOOKUP(AN$6, Table_ChiPhiNV_Ca[], COUNTA(Table_ChiPhiNV_Ca[[#Headers],[Ca]:[Bắt đầu]]),0)),
$AA27&lt;MIN(AN$5,VLOOKUP(AN$6, Table_ChiPhiNV_Ca[], COUNTA(Table_ChiPhiNV_Ca[[#Headers],[Ca]:[Kết thúc]]),0))),
SUM(_xlfn._xlws.FILTER(Table_BangLuong_TyLeTangCa[Tỷ lệ],
(Table_BangLuong_TyLeTangCa[Ngày] = "Thường") *
(Table_BangLuong_TyLeTangCa[Giờ min]&lt;=$AA27) *
(Table_BangLuong_TyLeTangCa[Giờ max]&gt;$AA27)
)),0)
)),
IF(AN$4 &lt; AN$5,
IF($AA27-$Z$4&lt;AN$4,0,
IF($AA27&gt;AN$5,0,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AN$5,$AA27 &lt; AN$4),0,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O27" s="18" cm="1">
        <f t="array" ref="AO27" xml:space="preserve">
IFERROR(
IF(AO$1="",0,
IF(AND(
$AA27&gt;=VLOOKUP(AO$6, Table_ChiPhiNV_Ca[], COUNTA(Table_ChiPhiNV_Ca[[#Headers],[Ca]:[Bắt đầu nghỉ]]),0),
$AA27&lt;VLOOKUP(AO$6, Table_ChiPhiNV_Ca[], COUNTA(Table_ChiPhiNV_Ca[[#Headers],[Ca]:[Kết thúc nghỉ]]),0)
),0,
IF(NOT(ISBLANK(AO$3)),
IF(ISBLANK(AO$7),0,
IF(AO$4 &lt; AO$5,
IF($AA27-$Z$4&lt;AO$4,0,
IF($AA27&gt;AO$5,0,
SUM(_xlfn._xlws.FILTER(Table_BangLuong_TyLeTangCa[Tỷ lệ],
(Table_BangLuong_TyLeTangCa[Ngày] = AO$3) *
(Table_BangLuong_TyLeTangCa[Giờ min]&lt;=$AA27) *
(Table_BangLuong_TyLeTangCa[Giờ max]&gt;$AA27)
)))),
IF(AND($AA27-$Z$4 &gt;= AO$5,$AA27 &lt; AO$4),0,
SUM(_xlfn._xlws.FILTER(Table_BangLuong_TyLeTangCa[Tỷ lệ],
(Table_BangLuong_TyLeTangCa[Ngày] = AO$3) *
(Table_BangLuong_TyLeTangCa[Giờ min]&lt;=$AA27) *
(Table_BangLuong_TyLeTangCa[Giờ max]&gt;$AA27)
))))
),
IF(ISBLANK(AO$7),
IF(VLOOKUP(AO$6, Table_ChiPhiNV_Ca[], COUNTA(Table_ChiPhiNV_Ca[[#Headers],[Ca]:[Kết thúc]]),0)&gt; VLOOKUP(AO$6, Table_ChiPhiNV_Ca[], COUNTA(Table_ChiPhiNV_Ca[[#Headers],[Ca]:[Bắt đầu]]),0),
IF($AA27-$Z$4&lt;MAX(AO$4,VLOOKUP(AO$6, Table_ChiPhiNV_Ca[], COUNTA(Table_ChiPhiNV_Ca[[#Headers],[Ca]:[Bắt đầu]]),0)),0,
IF($AA27&gt;MIN(AO$5,VLOOKUP(AO$6, Table_ChiPhiNV_Ca[], COUNTA(Table_ChiPhiNV_Ca[[#Headers],[Ca]:[Kết thúc]]),0)),0,
SUM(_xlfn._xlws.FILTER(Table_BangLuong_TyLeTangCa[Tỷ lệ],
(Table_BangLuong_TyLeTangCa[Ngày] = "Thường") *
(Table_BangLuong_TyLeTangCa[Giờ min]&lt;=$AA27) *
(Table_BangLuong_TyLeTangCa[Giờ max]&gt;$AA27)
)))),
IF(AO$4 &gt; AO$5,
IF(
AND(
$AA27-$Z$4&lt;MAX(AO$4,VLOOKUP(AO$6, Table_ChiPhiNV_Ca[], COUNTA(Table_ChiPhiNV_Ca[[#Headers],[Ca]:[Bắt đầu]]),0)),
$AA27&gt;MIN(AO$5,VLOOKUP(AO$6, Table_ChiPhiNV_Ca[], COUNTA(Table_ChiPhiNV_Ca[[#Headers],[Ca]:[Kết thúc]]),0))),0,
SUM(_xlfn._xlws.FILTER(Table_BangLuong_TyLeTangCa[Tỷ lệ],
(Table_BangLuong_TyLeTangCa[Ngày] = "Thường") *
(Table_BangLuong_TyLeTangCa[Giờ min]&lt;=$AA27) *
(Table_BangLuong_TyLeTangCa[Giờ max]&gt;$AA27)
))),
IF(
AND(
$AA27-$Z$4&gt;=MAX(AO$4,VLOOKUP(AO$6, Table_ChiPhiNV_Ca[], COUNTA(Table_ChiPhiNV_Ca[[#Headers],[Ca]:[Bắt đầu]]),0)),
$AA27&lt;MIN(AO$5,VLOOKUP(AO$6, Table_ChiPhiNV_Ca[], COUNTA(Table_ChiPhiNV_Ca[[#Headers],[Ca]:[Kết thúc]]),0))),
SUM(_xlfn._xlws.FILTER(Table_BangLuong_TyLeTangCa[Tỷ lệ],
(Table_BangLuong_TyLeTangCa[Ngày] = "Thường") *
(Table_BangLuong_TyLeTangCa[Giờ min]&lt;=$AA27) *
(Table_BangLuong_TyLeTangCa[Giờ max]&gt;$AA27)
)),0)
)),
IF(AO$4 &lt; AO$5,
IF($AA27-$Z$4&lt;AO$4,0,
IF($AA27&gt;AO$5,0,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AO$5,$AA27 &lt; AO$4),0,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P27" s="18" cm="1">
        <f t="array" ref="AP27" xml:space="preserve">
IFERROR(
IF(AP$1="",0,
IF(AND(
$AA27&gt;=VLOOKUP(AP$6, Table_ChiPhiNV_Ca[], COUNTA(Table_ChiPhiNV_Ca[[#Headers],[Ca]:[Bắt đầu nghỉ]]),0),
$AA27&lt;VLOOKUP(AP$6, Table_ChiPhiNV_Ca[], COUNTA(Table_ChiPhiNV_Ca[[#Headers],[Ca]:[Kết thúc nghỉ]]),0)
),0,
IF(NOT(ISBLANK(AP$3)),
IF(ISBLANK(AP$7),0,
IF(AP$4 &lt; AP$5,
IF($AA27-$Z$4&lt;AP$4,0,
IF($AA27&gt;AP$5,0,
SUM(_xlfn._xlws.FILTER(Table_BangLuong_TyLeTangCa[Tỷ lệ],
(Table_BangLuong_TyLeTangCa[Ngày] = AP$3) *
(Table_BangLuong_TyLeTangCa[Giờ min]&lt;=$AA27) *
(Table_BangLuong_TyLeTangCa[Giờ max]&gt;$AA27)
)))),
IF(AND($AA27-$Z$4 &gt;= AP$5,$AA27 &lt; AP$4),0,
SUM(_xlfn._xlws.FILTER(Table_BangLuong_TyLeTangCa[Tỷ lệ],
(Table_BangLuong_TyLeTangCa[Ngày] = AP$3) *
(Table_BangLuong_TyLeTangCa[Giờ min]&lt;=$AA27) *
(Table_BangLuong_TyLeTangCa[Giờ max]&gt;$AA27)
))))
),
IF(ISBLANK(AP$7),
IF(VLOOKUP(AP$6, Table_ChiPhiNV_Ca[], COUNTA(Table_ChiPhiNV_Ca[[#Headers],[Ca]:[Kết thúc]]),0)&gt; VLOOKUP(AP$6, Table_ChiPhiNV_Ca[], COUNTA(Table_ChiPhiNV_Ca[[#Headers],[Ca]:[Bắt đầu]]),0),
IF($AA27-$Z$4&lt;MAX(AP$4,VLOOKUP(AP$6, Table_ChiPhiNV_Ca[], COUNTA(Table_ChiPhiNV_Ca[[#Headers],[Ca]:[Bắt đầu]]),0)),0,
IF($AA27&gt;MIN(AP$5,VLOOKUP(AP$6, Table_ChiPhiNV_Ca[], COUNTA(Table_ChiPhiNV_Ca[[#Headers],[Ca]:[Kết thúc]]),0)),0,
SUM(_xlfn._xlws.FILTER(Table_BangLuong_TyLeTangCa[Tỷ lệ],
(Table_BangLuong_TyLeTangCa[Ngày] = "Thường") *
(Table_BangLuong_TyLeTangCa[Giờ min]&lt;=$AA27) *
(Table_BangLuong_TyLeTangCa[Giờ max]&gt;$AA27)
)))),
IF(AP$4 &gt; AP$5,
IF(
AND(
$AA27-$Z$4&lt;MAX(AP$4,VLOOKUP(AP$6, Table_ChiPhiNV_Ca[], COUNTA(Table_ChiPhiNV_Ca[[#Headers],[Ca]:[Bắt đầu]]),0)),
$AA27&gt;MIN(AP$5,VLOOKUP(AP$6, Table_ChiPhiNV_Ca[], COUNTA(Table_ChiPhiNV_Ca[[#Headers],[Ca]:[Kết thúc]]),0))),0,
SUM(_xlfn._xlws.FILTER(Table_BangLuong_TyLeTangCa[Tỷ lệ],
(Table_BangLuong_TyLeTangCa[Ngày] = "Thường") *
(Table_BangLuong_TyLeTangCa[Giờ min]&lt;=$AA27) *
(Table_BangLuong_TyLeTangCa[Giờ max]&gt;$AA27)
))),
IF(
AND(
$AA27-$Z$4&gt;=MAX(AP$4,VLOOKUP(AP$6, Table_ChiPhiNV_Ca[], COUNTA(Table_ChiPhiNV_Ca[[#Headers],[Ca]:[Bắt đầu]]),0)),
$AA27&lt;MIN(AP$5,VLOOKUP(AP$6, Table_ChiPhiNV_Ca[], COUNTA(Table_ChiPhiNV_Ca[[#Headers],[Ca]:[Kết thúc]]),0))),
SUM(_xlfn._xlws.FILTER(Table_BangLuong_TyLeTangCa[Tỷ lệ],
(Table_BangLuong_TyLeTangCa[Ngày] = "Thường") *
(Table_BangLuong_TyLeTangCa[Giờ min]&lt;=$AA27) *
(Table_BangLuong_TyLeTangCa[Giờ max]&gt;$AA27)
)),0)
)),
IF(AP$4 &lt; AP$5,
IF($AA27-$Z$4&lt;AP$4,0,
IF($AA27&gt;AP$5,0,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AP$5,$AA27 &lt; AP$4),0,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Q27" s="18" cm="1">
        <f t="array" ref="AQ27" xml:space="preserve">
IFERROR(
IF(AQ$1="",0,
IF(AND(
$AA27&gt;=VLOOKUP(AQ$6, Table_ChiPhiNV_Ca[], COUNTA(Table_ChiPhiNV_Ca[[#Headers],[Ca]:[Bắt đầu nghỉ]]),0),
$AA27&lt;VLOOKUP(AQ$6, Table_ChiPhiNV_Ca[], COUNTA(Table_ChiPhiNV_Ca[[#Headers],[Ca]:[Kết thúc nghỉ]]),0)
),0,
IF(NOT(ISBLANK(AQ$3)),
IF(ISBLANK(AQ$7),0,
IF(AQ$4 &lt; AQ$5,
IF($AA27-$Z$4&lt;AQ$4,0,
IF($AA27&gt;AQ$5,0,
SUM(_xlfn._xlws.FILTER(Table_BangLuong_TyLeTangCa[Tỷ lệ],
(Table_BangLuong_TyLeTangCa[Ngày] = AQ$3) *
(Table_BangLuong_TyLeTangCa[Giờ min]&lt;=$AA27) *
(Table_BangLuong_TyLeTangCa[Giờ max]&gt;$AA27)
)))),
IF(AND($AA27-$Z$4 &gt;= AQ$5,$AA27 &lt; AQ$4),0,
SUM(_xlfn._xlws.FILTER(Table_BangLuong_TyLeTangCa[Tỷ lệ],
(Table_BangLuong_TyLeTangCa[Ngày] = AQ$3) *
(Table_BangLuong_TyLeTangCa[Giờ min]&lt;=$AA27) *
(Table_BangLuong_TyLeTangCa[Giờ max]&gt;$AA27)
))))
),
IF(ISBLANK(AQ$7),
IF(VLOOKUP(AQ$6, Table_ChiPhiNV_Ca[], COUNTA(Table_ChiPhiNV_Ca[[#Headers],[Ca]:[Kết thúc]]),0)&gt; VLOOKUP(AQ$6, Table_ChiPhiNV_Ca[], COUNTA(Table_ChiPhiNV_Ca[[#Headers],[Ca]:[Bắt đầu]]),0),
IF($AA27-$Z$4&lt;MAX(AQ$4,VLOOKUP(AQ$6, Table_ChiPhiNV_Ca[], COUNTA(Table_ChiPhiNV_Ca[[#Headers],[Ca]:[Bắt đầu]]),0)),0,
IF($AA27&gt;MIN(AQ$5,VLOOKUP(AQ$6, Table_ChiPhiNV_Ca[], COUNTA(Table_ChiPhiNV_Ca[[#Headers],[Ca]:[Kết thúc]]),0)),0,
SUM(_xlfn._xlws.FILTER(Table_BangLuong_TyLeTangCa[Tỷ lệ],
(Table_BangLuong_TyLeTangCa[Ngày] = "Thường") *
(Table_BangLuong_TyLeTangCa[Giờ min]&lt;=$AA27) *
(Table_BangLuong_TyLeTangCa[Giờ max]&gt;$AA27)
)))),
IF(AQ$4 &gt; AQ$5,
IF(
AND(
$AA27-$Z$4&lt;MAX(AQ$4,VLOOKUP(AQ$6, Table_ChiPhiNV_Ca[], COUNTA(Table_ChiPhiNV_Ca[[#Headers],[Ca]:[Bắt đầu]]),0)),
$AA27&gt;MIN(AQ$5,VLOOKUP(AQ$6, Table_ChiPhiNV_Ca[], COUNTA(Table_ChiPhiNV_Ca[[#Headers],[Ca]:[Kết thúc]]),0))),0,
SUM(_xlfn._xlws.FILTER(Table_BangLuong_TyLeTangCa[Tỷ lệ],
(Table_BangLuong_TyLeTangCa[Ngày] = "Thường") *
(Table_BangLuong_TyLeTangCa[Giờ min]&lt;=$AA27) *
(Table_BangLuong_TyLeTangCa[Giờ max]&gt;$AA27)
))),
IF(
AND(
$AA27-$Z$4&gt;=MAX(AQ$4,VLOOKUP(AQ$6, Table_ChiPhiNV_Ca[], COUNTA(Table_ChiPhiNV_Ca[[#Headers],[Ca]:[Bắt đầu]]),0)),
$AA27&lt;MIN(AQ$5,VLOOKUP(AQ$6, Table_ChiPhiNV_Ca[], COUNTA(Table_ChiPhiNV_Ca[[#Headers],[Ca]:[Kết thúc]]),0))),
SUM(_xlfn._xlws.FILTER(Table_BangLuong_TyLeTangCa[Tỷ lệ],
(Table_BangLuong_TyLeTangCa[Ngày] = "Thường") *
(Table_BangLuong_TyLeTangCa[Giờ min]&lt;=$AA27) *
(Table_BangLuong_TyLeTangCa[Giờ max]&gt;$AA27)
)),0)
)),
IF(AQ$4 &lt; AQ$5,
IF($AA27-$Z$4&lt;AQ$4,0,
IF($AA27&gt;AQ$5,0,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AQ$5,$AA27 &lt; AQ$4),0,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R27" s="18" cm="1">
        <f t="array" ref="AR27" xml:space="preserve">
IFERROR(
IF(AR$1="",0,
IF(AND(
$AA27&gt;=VLOOKUP(AR$6, Table_ChiPhiNV_Ca[], COUNTA(Table_ChiPhiNV_Ca[[#Headers],[Ca]:[Bắt đầu nghỉ]]),0),
$AA27&lt;VLOOKUP(AR$6, Table_ChiPhiNV_Ca[], COUNTA(Table_ChiPhiNV_Ca[[#Headers],[Ca]:[Kết thúc nghỉ]]),0)
),0,
IF(NOT(ISBLANK(AR$3)),
IF(ISBLANK(AR$7),0,
IF(AR$4 &lt; AR$5,
IF($AA27-$Z$4&lt;AR$4,0,
IF($AA27&gt;AR$5,0,
SUM(_xlfn._xlws.FILTER(Table_BangLuong_TyLeTangCa[Tỷ lệ],
(Table_BangLuong_TyLeTangCa[Ngày] = AR$3) *
(Table_BangLuong_TyLeTangCa[Giờ min]&lt;=$AA27) *
(Table_BangLuong_TyLeTangCa[Giờ max]&gt;$AA27)
)))),
IF(AND($AA27-$Z$4 &gt;= AR$5,$AA27 &lt; AR$4),0,
SUM(_xlfn._xlws.FILTER(Table_BangLuong_TyLeTangCa[Tỷ lệ],
(Table_BangLuong_TyLeTangCa[Ngày] = AR$3) *
(Table_BangLuong_TyLeTangCa[Giờ min]&lt;=$AA27) *
(Table_BangLuong_TyLeTangCa[Giờ max]&gt;$AA27)
))))
),
IF(ISBLANK(AR$7),
IF(VLOOKUP(AR$6, Table_ChiPhiNV_Ca[], COUNTA(Table_ChiPhiNV_Ca[[#Headers],[Ca]:[Kết thúc]]),0)&gt; VLOOKUP(AR$6, Table_ChiPhiNV_Ca[], COUNTA(Table_ChiPhiNV_Ca[[#Headers],[Ca]:[Bắt đầu]]),0),
IF($AA27-$Z$4&lt;MAX(AR$4,VLOOKUP(AR$6, Table_ChiPhiNV_Ca[], COUNTA(Table_ChiPhiNV_Ca[[#Headers],[Ca]:[Bắt đầu]]),0)),0,
IF($AA27&gt;MIN(AR$5,VLOOKUP(AR$6, Table_ChiPhiNV_Ca[], COUNTA(Table_ChiPhiNV_Ca[[#Headers],[Ca]:[Kết thúc]]),0)),0,
SUM(_xlfn._xlws.FILTER(Table_BangLuong_TyLeTangCa[Tỷ lệ],
(Table_BangLuong_TyLeTangCa[Ngày] = "Thường") *
(Table_BangLuong_TyLeTangCa[Giờ min]&lt;=$AA27) *
(Table_BangLuong_TyLeTangCa[Giờ max]&gt;$AA27)
)))),
IF(AR$4 &gt; AR$5,
IF(
AND(
$AA27-$Z$4&lt;MAX(AR$4,VLOOKUP(AR$6, Table_ChiPhiNV_Ca[], COUNTA(Table_ChiPhiNV_Ca[[#Headers],[Ca]:[Bắt đầu]]),0)),
$AA27&gt;MIN(AR$5,VLOOKUP(AR$6, Table_ChiPhiNV_Ca[], COUNTA(Table_ChiPhiNV_Ca[[#Headers],[Ca]:[Kết thúc]]),0))),0,
SUM(_xlfn._xlws.FILTER(Table_BangLuong_TyLeTangCa[Tỷ lệ],
(Table_BangLuong_TyLeTangCa[Ngày] = "Thường") *
(Table_BangLuong_TyLeTangCa[Giờ min]&lt;=$AA27) *
(Table_BangLuong_TyLeTangCa[Giờ max]&gt;$AA27)
))),
IF(
AND(
$AA27-$Z$4&gt;=MAX(AR$4,VLOOKUP(AR$6, Table_ChiPhiNV_Ca[], COUNTA(Table_ChiPhiNV_Ca[[#Headers],[Ca]:[Bắt đầu]]),0)),
$AA27&lt;MIN(AR$5,VLOOKUP(AR$6, Table_ChiPhiNV_Ca[], COUNTA(Table_ChiPhiNV_Ca[[#Headers],[Ca]:[Kết thúc]]),0))),
SUM(_xlfn._xlws.FILTER(Table_BangLuong_TyLeTangCa[Tỷ lệ],
(Table_BangLuong_TyLeTangCa[Ngày] = "Thường") *
(Table_BangLuong_TyLeTangCa[Giờ min]&lt;=$AA27) *
(Table_BangLuong_TyLeTangCa[Giờ max]&gt;$AA27)
)),0)
)),
IF(AR$4 &lt; AR$5,
IF($AA27-$Z$4&lt;AR$4,0,
IF($AA27&gt;AR$5,0,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AR$5,$AA27 &lt; AR$4),0,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S27" s="18" cm="1">
        <f t="array" ref="AS27" xml:space="preserve">
IFERROR(
IF(AS$1="",0,
IF(AND(
$AA27&gt;=VLOOKUP(AS$6, Table_ChiPhiNV_Ca[], COUNTA(Table_ChiPhiNV_Ca[[#Headers],[Ca]:[Bắt đầu nghỉ]]),0),
$AA27&lt;VLOOKUP(AS$6, Table_ChiPhiNV_Ca[], COUNTA(Table_ChiPhiNV_Ca[[#Headers],[Ca]:[Kết thúc nghỉ]]),0)
),0,
IF(NOT(ISBLANK(AS$3)),
IF(ISBLANK(AS$7),0,
IF(AS$4 &lt; AS$5,
IF($AA27-$Z$4&lt;AS$4,0,
IF($AA27&gt;AS$5,0,
SUM(_xlfn._xlws.FILTER(Table_BangLuong_TyLeTangCa[Tỷ lệ],
(Table_BangLuong_TyLeTangCa[Ngày] = AS$3) *
(Table_BangLuong_TyLeTangCa[Giờ min]&lt;=$AA27) *
(Table_BangLuong_TyLeTangCa[Giờ max]&gt;$AA27)
)))),
IF(AND($AA27-$Z$4 &gt;= AS$5,$AA27 &lt; AS$4),0,
SUM(_xlfn._xlws.FILTER(Table_BangLuong_TyLeTangCa[Tỷ lệ],
(Table_BangLuong_TyLeTangCa[Ngày] = AS$3) *
(Table_BangLuong_TyLeTangCa[Giờ min]&lt;=$AA27) *
(Table_BangLuong_TyLeTangCa[Giờ max]&gt;$AA27)
))))
),
IF(ISBLANK(AS$7),
IF(VLOOKUP(AS$6, Table_ChiPhiNV_Ca[], COUNTA(Table_ChiPhiNV_Ca[[#Headers],[Ca]:[Kết thúc]]),0)&gt; VLOOKUP(AS$6, Table_ChiPhiNV_Ca[], COUNTA(Table_ChiPhiNV_Ca[[#Headers],[Ca]:[Bắt đầu]]),0),
IF($AA27-$Z$4&lt;MAX(AS$4,VLOOKUP(AS$6, Table_ChiPhiNV_Ca[], COUNTA(Table_ChiPhiNV_Ca[[#Headers],[Ca]:[Bắt đầu]]),0)),0,
IF($AA27&gt;MIN(AS$5,VLOOKUP(AS$6, Table_ChiPhiNV_Ca[], COUNTA(Table_ChiPhiNV_Ca[[#Headers],[Ca]:[Kết thúc]]),0)),0,
SUM(_xlfn._xlws.FILTER(Table_BangLuong_TyLeTangCa[Tỷ lệ],
(Table_BangLuong_TyLeTangCa[Ngày] = "Thường") *
(Table_BangLuong_TyLeTangCa[Giờ min]&lt;=$AA27) *
(Table_BangLuong_TyLeTangCa[Giờ max]&gt;$AA27)
)))),
IF(AS$4 &gt; AS$5,
IF(
AND(
$AA27-$Z$4&lt;MAX(AS$4,VLOOKUP(AS$6, Table_ChiPhiNV_Ca[], COUNTA(Table_ChiPhiNV_Ca[[#Headers],[Ca]:[Bắt đầu]]),0)),
$AA27&gt;MIN(AS$5,VLOOKUP(AS$6, Table_ChiPhiNV_Ca[], COUNTA(Table_ChiPhiNV_Ca[[#Headers],[Ca]:[Kết thúc]]),0))),0,
SUM(_xlfn._xlws.FILTER(Table_BangLuong_TyLeTangCa[Tỷ lệ],
(Table_BangLuong_TyLeTangCa[Ngày] = "Thường") *
(Table_BangLuong_TyLeTangCa[Giờ min]&lt;=$AA27) *
(Table_BangLuong_TyLeTangCa[Giờ max]&gt;$AA27)
))),
IF(
AND(
$AA27-$Z$4&gt;=MAX(AS$4,VLOOKUP(AS$6, Table_ChiPhiNV_Ca[], COUNTA(Table_ChiPhiNV_Ca[[#Headers],[Ca]:[Bắt đầu]]),0)),
$AA27&lt;MIN(AS$5,VLOOKUP(AS$6, Table_ChiPhiNV_Ca[], COUNTA(Table_ChiPhiNV_Ca[[#Headers],[Ca]:[Kết thúc]]),0))),
SUM(_xlfn._xlws.FILTER(Table_BangLuong_TyLeTangCa[Tỷ lệ],
(Table_BangLuong_TyLeTangCa[Ngày] = "Thường") *
(Table_BangLuong_TyLeTangCa[Giờ min]&lt;=$AA27) *
(Table_BangLuong_TyLeTangCa[Giờ max]&gt;$AA27)
)),0)
)),
IF(AS$4 &lt; AS$5,
IF($AA27-$Z$4&lt;AS$4,0,
IF($AA27&gt;AS$5,0,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AS$5,$AA27 &lt; AS$4),0,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T27" s="18" cm="1">
        <f t="array" ref="AT27" xml:space="preserve">
IFERROR(
IF(AT$1="",0,
IF(AND(
$AA27&gt;=VLOOKUP(AT$6, Table_ChiPhiNV_Ca[], COUNTA(Table_ChiPhiNV_Ca[[#Headers],[Ca]:[Bắt đầu nghỉ]]),0),
$AA27&lt;VLOOKUP(AT$6, Table_ChiPhiNV_Ca[], COUNTA(Table_ChiPhiNV_Ca[[#Headers],[Ca]:[Kết thúc nghỉ]]),0)
),0,
IF(NOT(ISBLANK(AT$3)),
IF(ISBLANK(AT$7),0,
IF(AT$4 &lt; AT$5,
IF($AA27-$Z$4&lt;AT$4,0,
IF($AA27&gt;AT$5,0,
SUM(_xlfn._xlws.FILTER(Table_BangLuong_TyLeTangCa[Tỷ lệ],
(Table_BangLuong_TyLeTangCa[Ngày] = AT$3) *
(Table_BangLuong_TyLeTangCa[Giờ min]&lt;=$AA27) *
(Table_BangLuong_TyLeTangCa[Giờ max]&gt;$AA27)
)))),
IF(AND($AA27-$Z$4 &gt;= AT$5,$AA27 &lt; AT$4),0,
SUM(_xlfn._xlws.FILTER(Table_BangLuong_TyLeTangCa[Tỷ lệ],
(Table_BangLuong_TyLeTangCa[Ngày] = AT$3) *
(Table_BangLuong_TyLeTangCa[Giờ min]&lt;=$AA27) *
(Table_BangLuong_TyLeTangCa[Giờ max]&gt;$AA27)
))))
),
IF(ISBLANK(AT$7),
IF(VLOOKUP(AT$6, Table_ChiPhiNV_Ca[], COUNTA(Table_ChiPhiNV_Ca[[#Headers],[Ca]:[Kết thúc]]),0)&gt; VLOOKUP(AT$6, Table_ChiPhiNV_Ca[], COUNTA(Table_ChiPhiNV_Ca[[#Headers],[Ca]:[Bắt đầu]]),0),
IF($AA27-$Z$4&lt;MAX(AT$4,VLOOKUP(AT$6, Table_ChiPhiNV_Ca[], COUNTA(Table_ChiPhiNV_Ca[[#Headers],[Ca]:[Bắt đầu]]),0)),0,
IF($AA27&gt;MIN(AT$5,VLOOKUP(AT$6, Table_ChiPhiNV_Ca[], COUNTA(Table_ChiPhiNV_Ca[[#Headers],[Ca]:[Kết thúc]]),0)),0,
SUM(_xlfn._xlws.FILTER(Table_BangLuong_TyLeTangCa[Tỷ lệ],
(Table_BangLuong_TyLeTangCa[Ngày] = "Thường") *
(Table_BangLuong_TyLeTangCa[Giờ min]&lt;=$AA27) *
(Table_BangLuong_TyLeTangCa[Giờ max]&gt;$AA27)
)))),
IF(AT$4 &gt; AT$5,
IF(
AND(
$AA27-$Z$4&lt;MAX(AT$4,VLOOKUP(AT$6, Table_ChiPhiNV_Ca[], COUNTA(Table_ChiPhiNV_Ca[[#Headers],[Ca]:[Bắt đầu]]),0)),
$AA27&gt;MIN(AT$5,VLOOKUP(AT$6, Table_ChiPhiNV_Ca[], COUNTA(Table_ChiPhiNV_Ca[[#Headers],[Ca]:[Kết thúc]]),0))),0,
SUM(_xlfn._xlws.FILTER(Table_BangLuong_TyLeTangCa[Tỷ lệ],
(Table_BangLuong_TyLeTangCa[Ngày] = "Thường") *
(Table_BangLuong_TyLeTangCa[Giờ min]&lt;=$AA27) *
(Table_BangLuong_TyLeTangCa[Giờ max]&gt;$AA27)
))),
IF(
AND(
$AA27-$Z$4&gt;=MAX(AT$4,VLOOKUP(AT$6, Table_ChiPhiNV_Ca[], COUNTA(Table_ChiPhiNV_Ca[[#Headers],[Ca]:[Bắt đầu]]),0)),
$AA27&lt;MIN(AT$5,VLOOKUP(AT$6, Table_ChiPhiNV_Ca[], COUNTA(Table_ChiPhiNV_Ca[[#Headers],[Ca]:[Kết thúc]]),0))),
SUM(_xlfn._xlws.FILTER(Table_BangLuong_TyLeTangCa[Tỷ lệ],
(Table_BangLuong_TyLeTangCa[Ngày] = "Thường") *
(Table_BangLuong_TyLeTangCa[Giờ min]&lt;=$AA27) *
(Table_BangLuong_TyLeTangCa[Giờ max]&gt;$AA27)
)),0)
)),
IF(AT$4 &lt; AT$5,
IF($AA27-$Z$4&lt;AT$4,0,
IF($AA27&gt;AT$5,0,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AT$5,$AA27 &lt; AT$4),0,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U27" s="18" cm="1">
        <f t="array" ref="AU27" xml:space="preserve">
IFERROR(
IF(AU$1="",0,
IF(AND(
$AA27&gt;=VLOOKUP(AU$6, Table_ChiPhiNV_Ca[], COUNTA(Table_ChiPhiNV_Ca[[#Headers],[Ca]:[Bắt đầu nghỉ]]),0),
$AA27&lt;VLOOKUP(AU$6, Table_ChiPhiNV_Ca[], COUNTA(Table_ChiPhiNV_Ca[[#Headers],[Ca]:[Kết thúc nghỉ]]),0)
),0,
IF(NOT(ISBLANK(AU$3)),
IF(ISBLANK(AU$7),0,
IF(AU$4 &lt; AU$5,
IF($AA27-$Z$4&lt;AU$4,0,
IF($AA27&gt;AU$5,0,
SUM(_xlfn._xlws.FILTER(Table_BangLuong_TyLeTangCa[Tỷ lệ],
(Table_BangLuong_TyLeTangCa[Ngày] = AU$3) *
(Table_BangLuong_TyLeTangCa[Giờ min]&lt;=$AA27) *
(Table_BangLuong_TyLeTangCa[Giờ max]&gt;$AA27)
)))),
IF(AND($AA27-$Z$4 &gt;= AU$5,$AA27 &lt; AU$4),0,
SUM(_xlfn._xlws.FILTER(Table_BangLuong_TyLeTangCa[Tỷ lệ],
(Table_BangLuong_TyLeTangCa[Ngày] = AU$3) *
(Table_BangLuong_TyLeTangCa[Giờ min]&lt;=$AA27) *
(Table_BangLuong_TyLeTangCa[Giờ max]&gt;$AA27)
))))
),
IF(ISBLANK(AU$7),
IF(VLOOKUP(AU$6, Table_ChiPhiNV_Ca[], COUNTA(Table_ChiPhiNV_Ca[[#Headers],[Ca]:[Kết thúc]]),0)&gt; VLOOKUP(AU$6, Table_ChiPhiNV_Ca[], COUNTA(Table_ChiPhiNV_Ca[[#Headers],[Ca]:[Bắt đầu]]),0),
IF($AA27-$Z$4&lt;MAX(AU$4,VLOOKUP(AU$6, Table_ChiPhiNV_Ca[], COUNTA(Table_ChiPhiNV_Ca[[#Headers],[Ca]:[Bắt đầu]]),0)),0,
IF($AA27&gt;MIN(AU$5,VLOOKUP(AU$6, Table_ChiPhiNV_Ca[], COUNTA(Table_ChiPhiNV_Ca[[#Headers],[Ca]:[Kết thúc]]),0)),0,
SUM(_xlfn._xlws.FILTER(Table_BangLuong_TyLeTangCa[Tỷ lệ],
(Table_BangLuong_TyLeTangCa[Ngày] = "Thường") *
(Table_BangLuong_TyLeTangCa[Giờ min]&lt;=$AA27) *
(Table_BangLuong_TyLeTangCa[Giờ max]&gt;$AA27)
)))),
IF(AU$4 &gt; AU$5,
IF(
AND(
$AA27-$Z$4&lt;MAX(AU$4,VLOOKUP(AU$6, Table_ChiPhiNV_Ca[], COUNTA(Table_ChiPhiNV_Ca[[#Headers],[Ca]:[Bắt đầu]]),0)),
$AA27&gt;MIN(AU$5,VLOOKUP(AU$6, Table_ChiPhiNV_Ca[], COUNTA(Table_ChiPhiNV_Ca[[#Headers],[Ca]:[Kết thúc]]),0))),0,
SUM(_xlfn._xlws.FILTER(Table_BangLuong_TyLeTangCa[Tỷ lệ],
(Table_BangLuong_TyLeTangCa[Ngày] = "Thường") *
(Table_BangLuong_TyLeTangCa[Giờ min]&lt;=$AA27) *
(Table_BangLuong_TyLeTangCa[Giờ max]&gt;$AA27)
))),
IF(
AND(
$AA27-$Z$4&gt;=MAX(AU$4,VLOOKUP(AU$6, Table_ChiPhiNV_Ca[], COUNTA(Table_ChiPhiNV_Ca[[#Headers],[Ca]:[Bắt đầu]]),0)),
$AA27&lt;MIN(AU$5,VLOOKUP(AU$6, Table_ChiPhiNV_Ca[], COUNTA(Table_ChiPhiNV_Ca[[#Headers],[Ca]:[Kết thúc]]),0))),
SUM(_xlfn._xlws.FILTER(Table_BangLuong_TyLeTangCa[Tỷ lệ],
(Table_BangLuong_TyLeTangCa[Ngày] = "Thường") *
(Table_BangLuong_TyLeTangCa[Giờ min]&lt;=$AA27) *
(Table_BangLuong_TyLeTangCa[Giờ max]&gt;$AA27)
)),0)
)),
IF(AU$4 &lt; AU$5,
IF($AA27-$Z$4&lt;AU$4,0,
IF($AA27&gt;AU$5,0,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AU$5,$AA27 &lt; AU$4),0,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V27" s="18" cm="1">
        <f t="array" ref="AV27" xml:space="preserve">
IFERROR(
IF(AV$1="",0,
IF(AND(
$AA27&gt;=VLOOKUP(AV$6, Table_ChiPhiNV_Ca[], COUNTA(Table_ChiPhiNV_Ca[[#Headers],[Ca]:[Bắt đầu nghỉ]]),0),
$AA27&lt;VLOOKUP(AV$6, Table_ChiPhiNV_Ca[], COUNTA(Table_ChiPhiNV_Ca[[#Headers],[Ca]:[Kết thúc nghỉ]]),0)
),0,
IF(NOT(ISBLANK(AV$3)),
IF(ISBLANK(AV$7),0,
IF(AV$4 &lt; AV$5,
IF($AA27-$Z$4&lt;AV$4,0,
IF($AA27&gt;AV$5,0,
SUM(_xlfn._xlws.FILTER(Table_BangLuong_TyLeTangCa[Tỷ lệ],
(Table_BangLuong_TyLeTangCa[Ngày] = AV$3) *
(Table_BangLuong_TyLeTangCa[Giờ min]&lt;=$AA27) *
(Table_BangLuong_TyLeTangCa[Giờ max]&gt;$AA27)
)))),
IF(AND($AA27-$Z$4 &gt;= AV$5,$AA27 &lt; AV$4),0,
SUM(_xlfn._xlws.FILTER(Table_BangLuong_TyLeTangCa[Tỷ lệ],
(Table_BangLuong_TyLeTangCa[Ngày] = AV$3) *
(Table_BangLuong_TyLeTangCa[Giờ min]&lt;=$AA27) *
(Table_BangLuong_TyLeTangCa[Giờ max]&gt;$AA27)
))))
),
IF(ISBLANK(AV$7),
IF(VLOOKUP(AV$6, Table_ChiPhiNV_Ca[], COUNTA(Table_ChiPhiNV_Ca[[#Headers],[Ca]:[Kết thúc]]),0)&gt; VLOOKUP(AV$6, Table_ChiPhiNV_Ca[], COUNTA(Table_ChiPhiNV_Ca[[#Headers],[Ca]:[Bắt đầu]]),0),
IF($AA27-$Z$4&lt;MAX(AV$4,VLOOKUP(AV$6, Table_ChiPhiNV_Ca[], COUNTA(Table_ChiPhiNV_Ca[[#Headers],[Ca]:[Bắt đầu]]),0)),0,
IF($AA27&gt;MIN(AV$5,VLOOKUP(AV$6, Table_ChiPhiNV_Ca[], COUNTA(Table_ChiPhiNV_Ca[[#Headers],[Ca]:[Kết thúc]]),0)),0,
SUM(_xlfn._xlws.FILTER(Table_BangLuong_TyLeTangCa[Tỷ lệ],
(Table_BangLuong_TyLeTangCa[Ngày] = "Thường") *
(Table_BangLuong_TyLeTangCa[Giờ min]&lt;=$AA27) *
(Table_BangLuong_TyLeTangCa[Giờ max]&gt;$AA27)
)))),
IF(AV$4 &gt; AV$5,
IF(
AND(
$AA27-$Z$4&lt;MAX(AV$4,VLOOKUP(AV$6, Table_ChiPhiNV_Ca[], COUNTA(Table_ChiPhiNV_Ca[[#Headers],[Ca]:[Bắt đầu]]),0)),
$AA27&gt;MIN(AV$5,VLOOKUP(AV$6, Table_ChiPhiNV_Ca[], COUNTA(Table_ChiPhiNV_Ca[[#Headers],[Ca]:[Kết thúc]]),0))),0,
SUM(_xlfn._xlws.FILTER(Table_BangLuong_TyLeTangCa[Tỷ lệ],
(Table_BangLuong_TyLeTangCa[Ngày] = "Thường") *
(Table_BangLuong_TyLeTangCa[Giờ min]&lt;=$AA27) *
(Table_BangLuong_TyLeTangCa[Giờ max]&gt;$AA27)
))),
IF(
AND(
$AA27-$Z$4&gt;=MAX(AV$4,VLOOKUP(AV$6, Table_ChiPhiNV_Ca[], COUNTA(Table_ChiPhiNV_Ca[[#Headers],[Ca]:[Bắt đầu]]),0)),
$AA27&lt;MIN(AV$5,VLOOKUP(AV$6, Table_ChiPhiNV_Ca[], COUNTA(Table_ChiPhiNV_Ca[[#Headers],[Ca]:[Kết thúc]]),0))),
SUM(_xlfn._xlws.FILTER(Table_BangLuong_TyLeTangCa[Tỷ lệ],
(Table_BangLuong_TyLeTangCa[Ngày] = "Thường") *
(Table_BangLuong_TyLeTangCa[Giờ min]&lt;=$AA27) *
(Table_BangLuong_TyLeTangCa[Giờ max]&gt;$AA27)
)),0)
)),
IF(AV$4 &lt; AV$5,
IF($AA27-$Z$4&lt;AV$4,0,
IF($AA27&gt;AV$5,0,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AV$5,$AA27 &lt; AV$4),0,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W27" s="18" cm="1">
        <f t="array" ref="AW27" xml:space="preserve">
IFERROR(
IF(AW$1="",0,
IF(AND(
$AA27&gt;=VLOOKUP(AW$6, Table_ChiPhiNV_Ca[], COUNTA(Table_ChiPhiNV_Ca[[#Headers],[Ca]:[Bắt đầu nghỉ]]),0),
$AA27&lt;VLOOKUP(AW$6, Table_ChiPhiNV_Ca[], COUNTA(Table_ChiPhiNV_Ca[[#Headers],[Ca]:[Kết thúc nghỉ]]),0)
),0,
IF(NOT(ISBLANK(AW$3)),
IF(ISBLANK(AW$7),0,
IF(AW$4 &lt; AW$5,
IF($AA27-$Z$4&lt;AW$4,0,
IF($AA27&gt;AW$5,0,
SUM(_xlfn._xlws.FILTER(Table_BangLuong_TyLeTangCa[Tỷ lệ],
(Table_BangLuong_TyLeTangCa[Ngày] = AW$3) *
(Table_BangLuong_TyLeTangCa[Giờ min]&lt;=$AA27) *
(Table_BangLuong_TyLeTangCa[Giờ max]&gt;$AA27)
)))),
IF(AND($AA27-$Z$4 &gt;= AW$5,$AA27 &lt; AW$4),0,
SUM(_xlfn._xlws.FILTER(Table_BangLuong_TyLeTangCa[Tỷ lệ],
(Table_BangLuong_TyLeTangCa[Ngày] = AW$3) *
(Table_BangLuong_TyLeTangCa[Giờ min]&lt;=$AA27) *
(Table_BangLuong_TyLeTangCa[Giờ max]&gt;$AA27)
))))
),
IF(ISBLANK(AW$7),
IF(VLOOKUP(AW$6, Table_ChiPhiNV_Ca[], COUNTA(Table_ChiPhiNV_Ca[[#Headers],[Ca]:[Kết thúc]]),0)&gt; VLOOKUP(AW$6, Table_ChiPhiNV_Ca[], COUNTA(Table_ChiPhiNV_Ca[[#Headers],[Ca]:[Bắt đầu]]),0),
IF($AA27-$Z$4&lt;MAX(AW$4,VLOOKUP(AW$6, Table_ChiPhiNV_Ca[], COUNTA(Table_ChiPhiNV_Ca[[#Headers],[Ca]:[Bắt đầu]]),0)),0,
IF($AA27&gt;MIN(AW$5,VLOOKUP(AW$6, Table_ChiPhiNV_Ca[], COUNTA(Table_ChiPhiNV_Ca[[#Headers],[Ca]:[Kết thúc]]),0)),0,
SUM(_xlfn._xlws.FILTER(Table_BangLuong_TyLeTangCa[Tỷ lệ],
(Table_BangLuong_TyLeTangCa[Ngày] = "Thường") *
(Table_BangLuong_TyLeTangCa[Giờ min]&lt;=$AA27) *
(Table_BangLuong_TyLeTangCa[Giờ max]&gt;$AA27)
)))),
IF(AW$4 &gt; AW$5,
IF(
AND(
$AA27-$Z$4&lt;MAX(AW$4,VLOOKUP(AW$6, Table_ChiPhiNV_Ca[], COUNTA(Table_ChiPhiNV_Ca[[#Headers],[Ca]:[Bắt đầu]]),0)),
$AA27&gt;MIN(AW$5,VLOOKUP(AW$6, Table_ChiPhiNV_Ca[], COUNTA(Table_ChiPhiNV_Ca[[#Headers],[Ca]:[Kết thúc]]),0))),0,
SUM(_xlfn._xlws.FILTER(Table_BangLuong_TyLeTangCa[Tỷ lệ],
(Table_BangLuong_TyLeTangCa[Ngày] = "Thường") *
(Table_BangLuong_TyLeTangCa[Giờ min]&lt;=$AA27) *
(Table_BangLuong_TyLeTangCa[Giờ max]&gt;$AA27)
))),
IF(
AND(
$AA27-$Z$4&gt;=MAX(AW$4,VLOOKUP(AW$6, Table_ChiPhiNV_Ca[], COUNTA(Table_ChiPhiNV_Ca[[#Headers],[Ca]:[Bắt đầu]]),0)),
$AA27&lt;MIN(AW$5,VLOOKUP(AW$6, Table_ChiPhiNV_Ca[], COUNTA(Table_ChiPhiNV_Ca[[#Headers],[Ca]:[Kết thúc]]),0))),
SUM(_xlfn._xlws.FILTER(Table_BangLuong_TyLeTangCa[Tỷ lệ],
(Table_BangLuong_TyLeTangCa[Ngày] = "Thường") *
(Table_BangLuong_TyLeTangCa[Giờ min]&lt;=$AA27) *
(Table_BangLuong_TyLeTangCa[Giờ max]&gt;$AA27)
)),0)
)),
IF(AW$4 &lt; AW$5,
IF($AA27-$Z$4&lt;AW$4,0,
IF($AA27&gt;AW$5,0,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AW$5,$AA27 &lt; AW$4),0,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X27" s="18" cm="1">
        <f t="array" ref="AX27" xml:space="preserve">
IFERROR(
IF(AX$1="",0,
IF(AND(
$AA27&gt;=VLOOKUP(AX$6, Table_ChiPhiNV_Ca[], COUNTA(Table_ChiPhiNV_Ca[[#Headers],[Ca]:[Bắt đầu nghỉ]]),0),
$AA27&lt;VLOOKUP(AX$6, Table_ChiPhiNV_Ca[], COUNTA(Table_ChiPhiNV_Ca[[#Headers],[Ca]:[Kết thúc nghỉ]]),0)
),0,
IF(NOT(ISBLANK(AX$3)),
IF(ISBLANK(AX$7),0,
IF(AX$4 &lt; AX$5,
IF($AA27-$Z$4&lt;AX$4,0,
IF($AA27&gt;AX$5,0,
SUM(_xlfn._xlws.FILTER(Table_BangLuong_TyLeTangCa[Tỷ lệ],
(Table_BangLuong_TyLeTangCa[Ngày] = AX$3) *
(Table_BangLuong_TyLeTangCa[Giờ min]&lt;=$AA27) *
(Table_BangLuong_TyLeTangCa[Giờ max]&gt;$AA27)
)))),
IF(AND($AA27-$Z$4 &gt;= AX$5,$AA27 &lt; AX$4),0,
SUM(_xlfn._xlws.FILTER(Table_BangLuong_TyLeTangCa[Tỷ lệ],
(Table_BangLuong_TyLeTangCa[Ngày] = AX$3) *
(Table_BangLuong_TyLeTangCa[Giờ min]&lt;=$AA27) *
(Table_BangLuong_TyLeTangCa[Giờ max]&gt;$AA27)
))))
),
IF(ISBLANK(AX$7),
IF(VLOOKUP(AX$6, Table_ChiPhiNV_Ca[], COUNTA(Table_ChiPhiNV_Ca[[#Headers],[Ca]:[Kết thúc]]),0)&gt; VLOOKUP(AX$6, Table_ChiPhiNV_Ca[], COUNTA(Table_ChiPhiNV_Ca[[#Headers],[Ca]:[Bắt đầu]]),0),
IF($AA27-$Z$4&lt;MAX(AX$4,VLOOKUP(AX$6, Table_ChiPhiNV_Ca[], COUNTA(Table_ChiPhiNV_Ca[[#Headers],[Ca]:[Bắt đầu]]),0)),0,
IF($AA27&gt;MIN(AX$5,VLOOKUP(AX$6, Table_ChiPhiNV_Ca[], COUNTA(Table_ChiPhiNV_Ca[[#Headers],[Ca]:[Kết thúc]]),0)),0,
SUM(_xlfn._xlws.FILTER(Table_BangLuong_TyLeTangCa[Tỷ lệ],
(Table_BangLuong_TyLeTangCa[Ngày] = "Thường") *
(Table_BangLuong_TyLeTangCa[Giờ min]&lt;=$AA27) *
(Table_BangLuong_TyLeTangCa[Giờ max]&gt;$AA27)
)))),
IF(AX$4 &gt; AX$5,
IF(
AND(
$AA27-$Z$4&lt;MAX(AX$4,VLOOKUP(AX$6, Table_ChiPhiNV_Ca[], COUNTA(Table_ChiPhiNV_Ca[[#Headers],[Ca]:[Bắt đầu]]),0)),
$AA27&gt;MIN(AX$5,VLOOKUP(AX$6, Table_ChiPhiNV_Ca[], COUNTA(Table_ChiPhiNV_Ca[[#Headers],[Ca]:[Kết thúc]]),0))),0,
SUM(_xlfn._xlws.FILTER(Table_BangLuong_TyLeTangCa[Tỷ lệ],
(Table_BangLuong_TyLeTangCa[Ngày] = "Thường") *
(Table_BangLuong_TyLeTangCa[Giờ min]&lt;=$AA27) *
(Table_BangLuong_TyLeTangCa[Giờ max]&gt;$AA27)
))),
IF(
AND(
$AA27-$Z$4&gt;=MAX(AX$4,VLOOKUP(AX$6, Table_ChiPhiNV_Ca[], COUNTA(Table_ChiPhiNV_Ca[[#Headers],[Ca]:[Bắt đầu]]),0)),
$AA27&lt;MIN(AX$5,VLOOKUP(AX$6, Table_ChiPhiNV_Ca[], COUNTA(Table_ChiPhiNV_Ca[[#Headers],[Ca]:[Kết thúc]]),0))),
SUM(_xlfn._xlws.FILTER(Table_BangLuong_TyLeTangCa[Tỷ lệ],
(Table_BangLuong_TyLeTangCa[Ngày] = "Thường") *
(Table_BangLuong_TyLeTangCa[Giờ min]&lt;=$AA27) *
(Table_BangLuong_TyLeTangCa[Giờ max]&gt;$AA27)
)),0)
)),
IF(AX$4 &lt; AX$5,
IF($AA27-$Z$4&lt;AX$4,0,
IF($AA27&gt;AX$5,0,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AX$5,$AA27 &lt; AX$4),0,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Y27" s="18" cm="1">
        <f t="array" ref="AY27" xml:space="preserve">
IFERROR(
IF(AY$1="",0,
IF(AND(
$AA27&gt;=VLOOKUP(AY$6, Table_ChiPhiNV_Ca[], COUNTA(Table_ChiPhiNV_Ca[[#Headers],[Ca]:[Bắt đầu nghỉ]]),0),
$AA27&lt;VLOOKUP(AY$6, Table_ChiPhiNV_Ca[], COUNTA(Table_ChiPhiNV_Ca[[#Headers],[Ca]:[Kết thúc nghỉ]]),0)
),0,
IF(NOT(ISBLANK(AY$3)),
IF(ISBLANK(AY$7),0,
IF(AY$4 &lt; AY$5,
IF($AA27-$Z$4&lt;AY$4,0,
IF($AA27&gt;AY$5,0,
SUM(_xlfn._xlws.FILTER(Table_BangLuong_TyLeTangCa[Tỷ lệ],
(Table_BangLuong_TyLeTangCa[Ngày] = AY$3) *
(Table_BangLuong_TyLeTangCa[Giờ min]&lt;=$AA27) *
(Table_BangLuong_TyLeTangCa[Giờ max]&gt;$AA27)
)))),
IF(AND($AA27-$Z$4 &gt;= AY$5,$AA27 &lt; AY$4),0,
SUM(_xlfn._xlws.FILTER(Table_BangLuong_TyLeTangCa[Tỷ lệ],
(Table_BangLuong_TyLeTangCa[Ngày] = AY$3) *
(Table_BangLuong_TyLeTangCa[Giờ min]&lt;=$AA27) *
(Table_BangLuong_TyLeTangCa[Giờ max]&gt;$AA27)
))))
),
IF(ISBLANK(AY$7),
IF(VLOOKUP(AY$6, Table_ChiPhiNV_Ca[], COUNTA(Table_ChiPhiNV_Ca[[#Headers],[Ca]:[Kết thúc]]),0)&gt; VLOOKUP(AY$6, Table_ChiPhiNV_Ca[], COUNTA(Table_ChiPhiNV_Ca[[#Headers],[Ca]:[Bắt đầu]]),0),
IF($AA27-$Z$4&lt;MAX(AY$4,VLOOKUP(AY$6, Table_ChiPhiNV_Ca[], COUNTA(Table_ChiPhiNV_Ca[[#Headers],[Ca]:[Bắt đầu]]),0)),0,
IF($AA27&gt;MIN(AY$5,VLOOKUP(AY$6, Table_ChiPhiNV_Ca[], COUNTA(Table_ChiPhiNV_Ca[[#Headers],[Ca]:[Kết thúc]]),0)),0,
SUM(_xlfn._xlws.FILTER(Table_BangLuong_TyLeTangCa[Tỷ lệ],
(Table_BangLuong_TyLeTangCa[Ngày] = "Thường") *
(Table_BangLuong_TyLeTangCa[Giờ min]&lt;=$AA27) *
(Table_BangLuong_TyLeTangCa[Giờ max]&gt;$AA27)
)))),
IF(AY$4 &gt; AY$5,
IF(
AND(
$AA27-$Z$4&lt;MAX(AY$4,VLOOKUP(AY$6, Table_ChiPhiNV_Ca[], COUNTA(Table_ChiPhiNV_Ca[[#Headers],[Ca]:[Bắt đầu]]),0)),
$AA27&gt;MIN(AY$5,VLOOKUP(AY$6, Table_ChiPhiNV_Ca[], COUNTA(Table_ChiPhiNV_Ca[[#Headers],[Ca]:[Kết thúc]]),0))),0,
SUM(_xlfn._xlws.FILTER(Table_BangLuong_TyLeTangCa[Tỷ lệ],
(Table_BangLuong_TyLeTangCa[Ngày] = "Thường") *
(Table_BangLuong_TyLeTangCa[Giờ min]&lt;=$AA27) *
(Table_BangLuong_TyLeTangCa[Giờ max]&gt;$AA27)
))),
IF(
AND(
$AA27-$Z$4&gt;=MAX(AY$4,VLOOKUP(AY$6, Table_ChiPhiNV_Ca[], COUNTA(Table_ChiPhiNV_Ca[[#Headers],[Ca]:[Bắt đầu]]),0)),
$AA27&lt;MIN(AY$5,VLOOKUP(AY$6, Table_ChiPhiNV_Ca[], COUNTA(Table_ChiPhiNV_Ca[[#Headers],[Ca]:[Kết thúc]]),0))),
SUM(_xlfn._xlws.FILTER(Table_BangLuong_TyLeTangCa[Tỷ lệ],
(Table_BangLuong_TyLeTangCa[Ngày] = "Thường") *
(Table_BangLuong_TyLeTangCa[Giờ min]&lt;=$AA27) *
(Table_BangLuong_TyLeTangCa[Giờ max]&gt;$AA27)
)),0)
)),
IF(AY$4 &lt; AY$5,
IF($AA27-$Z$4&lt;AY$4,0,
IF($AA27&gt;AY$5,0,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AY$5,$AA27 &lt; AY$4),0,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Z27" s="18" cm="1">
        <f t="array" ref="AZ27" xml:space="preserve">
IFERROR(
IF(AZ$1="",0,
IF(AND(
$AA27&gt;=VLOOKUP(AZ$6, Table_ChiPhiNV_Ca[], COUNTA(Table_ChiPhiNV_Ca[[#Headers],[Ca]:[Bắt đầu nghỉ]]),0),
$AA27&lt;VLOOKUP(AZ$6, Table_ChiPhiNV_Ca[], COUNTA(Table_ChiPhiNV_Ca[[#Headers],[Ca]:[Kết thúc nghỉ]]),0)
),0,
IF(NOT(ISBLANK(AZ$3)),
IF(ISBLANK(AZ$7),0,
IF(AZ$4 &lt; AZ$5,
IF($AA27-$Z$4&lt;AZ$4,0,
IF($AA27&gt;AZ$5,0,
SUM(_xlfn._xlws.FILTER(Table_BangLuong_TyLeTangCa[Tỷ lệ],
(Table_BangLuong_TyLeTangCa[Ngày] = AZ$3) *
(Table_BangLuong_TyLeTangCa[Giờ min]&lt;=$AA27) *
(Table_BangLuong_TyLeTangCa[Giờ max]&gt;$AA27)
)))),
IF(AND($AA27-$Z$4 &gt;= AZ$5,$AA27 &lt; AZ$4),0,
SUM(_xlfn._xlws.FILTER(Table_BangLuong_TyLeTangCa[Tỷ lệ],
(Table_BangLuong_TyLeTangCa[Ngày] = AZ$3) *
(Table_BangLuong_TyLeTangCa[Giờ min]&lt;=$AA27) *
(Table_BangLuong_TyLeTangCa[Giờ max]&gt;$AA27)
))))
),
IF(ISBLANK(AZ$7),
IF(VLOOKUP(AZ$6, Table_ChiPhiNV_Ca[], COUNTA(Table_ChiPhiNV_Ca[[#Headers],[Ca]:[Kết thúc]]),0)&gt; VLOOKUP(AZ$6, Table_ChiPhiNV_Ca[], COUNTA(Table_ChiPhiNV_Ca[[#Headers],[Ca]:[Bắt đầu]]),0),
IF($AA27-$Z$4&lt;MAX(AZ$4,VLOOKUP(AZ$6, Table_ChiPhiNV_Ca[], COUNTA(Table_ChiPhiNV_Ca[[#Headers],[Ca]:[Bắt đầu]]),0)),0,
IF($AA27&gt;MIN(AZ$5,VLOOKUP(AZ$6, Table_ChiPhiNV_Ca[], COUNTA(Table_ChiPhiNV_Ca[[#Headers],[Ca]:[Kết thúc]]),0)),0,
SUM(_xlfn._xlws.FILTER(Table_BangLuong_TyLeTangCa[Tỷ lệ],
(Table_BangLuong_TyLeTangCa[Ngày] = "Thường") *
(Table_BangLuong_TyLeTangCa[Giờ min]&lt;=$AA27) *
(Table_BangLuong_TyLeTangCa[Giờ max]&gt;$AA27)
)))),
IF(AZ$4 &gt; AZ$5,
IF(
AND(
$AA27-$Z$4&lt;MAX(AZ$4,VLOOKUP(AZ$6, Table_ChiPhiNV_Ca[], COUNTA(Table_ChiPhiNV_Ca[[#Headers],[Ca]:[Bắt đầu]]),0)),
$AA27&gt;MIN(AZ$5,VLOOKUP(AZ$6, Table_ChiPhiNV_Ca[], COUNTA(Table_ChiPhiNV_Ca[[#Headers],[Ca]:[Kết thúc]]),0))),0,
SUM(_xlfn._xlws.FILTER(Table_BangLuong_TyLeTangCa[Tỷ lệ],
(Table_BangLuong_TyLeTangCa[Ngày] = "Thường") *
(Table_BangLuong_TyLeTangCa[Giờ min]&lt;=$AA27) *
(Table_BangLuong_TyLeTangCa[Giờ max]&gt;$AA27)
))),
IF(
AND(
$AA27-$Z$4&gt;=MAX(AZ$4,VLOOKUP(AZ$6, Table_ChiPhiNV_Ca[], COUNTA(Table_ChiPhiNV_Ca[[#Headers],[Ca]:[Bắt đầu]]),0)),
$AA27&lt;MIN(AZ$5,VLOOKUP(AZ$6, Table_ChiPhiNV_Ca[], COUNTA(Table_ChiPhiNV_Ca[[#Headers],[Ca]:[Kết thúc]]),0))),
SUM(_xlfn._xlws.FILTER(Table_BangLuong_TyLeTangCa[Tỷ lệ],
(Table_BangLuong_TyLeTangCa[Ngày] = "Thường") *
(Table_BangLuong_TyLeTangCa[Giờ min]&lt;=$AA27) *
(Table_BangLuong_TyLeTangCa[Giờ max]&gt;$AA27)
)),0)
)),
IF(AZ$4 &lt; AZ$5,
IF($AA27-$Z$4&lt;AZ$4,0,
IF($AA27&gt;AZ$5,0,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AZ$5,$AA27 &lt; AZ$4),0,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A27" s="18" cm="1">
        <f t="array" ref="BA27" xml:space="preserve">
IFERROR(
IF(BA$1="",0,
IF(AND(
$AA27&gt;=VLOOKUP(BA$6, Table_ChiPhiNV_Ca[], COUNTA(Table_ChiPhiNV_Ca[[#Headers],[Ca]:[Bắt đầu nghỉ]]),0),
$AA27&lt;VLOOKUP(BA$6, Table_ChiPhiNV_Ca[], COUNTA(Table_ChiPhiNV_Ca[[#Headers],[Ca]:[Kết thúc nghỉ]]),0)
),0,
IF(NOT(ISBLANK(BA$3)),
IF(ISBLANK(BA$7),0,
IF(BA$4 &lt; BA$5,
IF($AA27-$Z$4&lt;BA$4,0,
IF($AA27&gt;BA$5,0,
SUM(_xlfn._xlws.FILTER(Table_BangLuong_TyLeTangCa[Tỷ lệ],
(Table_BangLuong_TyLeTangCa[Ngày] = BA$3) *
(Table_BangLuong_TyLeTangCa[Giờ min]&lt;=$AA27) *
(Table_BangLuong_TyLeTangCa[Giờ max]&gt;$AA27)
)))),
IF(AND($AA27-$Z$4 &gt;= BA$5,$AA27 &lt; BA$4),0,
SUM(_xlfn._xlws.FILTER(Table_BangLuong_TyLeTangCa[Tỷ lệ],
(Table_BangLuong_TyLeTangCa[Ngày] = BA$3) *
(Table_BangLuong_TyLeTangCa[Giờ min]&lt;=$AA27) *
(Table_BangLuong_TyLeTangCa[Giờ max]&gt;$AA27)
))))
),
IF(ISBLANK(BA$7),
IF(VLOOKUP(BA$6, Table_ChiPhiNV_Ca[], COUNTA(Table_ChiPhiNV_Ca[[#Headers],[Ca]:[Kết thúc]]),0)&gt; VLOOKUP(BA$6, Table_ChiPhiNV_Ca[], COUNTA(Table_ChiPhiNV_Ca[[#Headers],[Ca]:[Bắt đầu]]),0),
IF($AA27-$Z$4&lt;MAX(BA$4,VLOOKUP(BA$6, Table_ChiPhiNV_Ca[], COUNTA(Table_ChiPhiNV_Ca[[#Headers],[Ca]:[Bắt đầu]]),0)),0,
IF($AA27&gt;MIN(BA$5,VLOOKUP(BA$6, Table_ChiPhiNV_Ca[], COUNTA(Table_ChiPhiNV_Ca[[#Headers],[Ca]:[Kết thúc]]),0)),0,
SUM(_xlfn._xlws.FILTER(Table_BangLuong_TyLeTangCa[Tỷ lệ],
(Table_BangLuong_TyLeTangCa[Ngày] = "Thường") *
(Table_BangLuong_TyLeTangCa[Giờ min]&lt;=$AA27) *
(Table_BangLuong_TyLeTangCa[Giờ max]&gt;$AA27)
)))),
IF(BA$4 &gt; BA$5,
IF(
AND(
$AA27-$Z$4&lt;MAX(BA$4,VLOOKUP(BA$6, Table_ChiPhiNV_Ca[], COUNTA(Table_ChiPhiNV_Ca[[#Headers],[Ca]:[Bắt đầu]]),0)),
$AA27&gt;MIN(BA$5,VLOOKUP(BA$6, Table_ChiPhiNV_Ca[], COUNTA(Table_ChiPhiNV_Ca[[#Headers],[Ca]:[Kết thúc]]),0))),0,
SUM(_xlfn._xlws.FILTER(Table_BangLuong_TyLeTangCa[Tỷ lệ],
(Table_BangLuong_TyLeTangCa[Ngày] = "Thường") *
(Table_BangLuong_TyLeTangCa[Giờ min]&lt;=$AA27) *
(Table_BangLuong_TyLeTangCa[Giờ max]&gt;$AA27)
))),
IF(
AND(
$AA27-$Z$4&gt;=MAX(BA$4,VLOOKUP(BA$6, Table_ChiPhiNV_Ca[], COUNTA(Table_ChiPhiNV_Ca[[#Headers],[Ca]:[Bắt đầu]]),0)),
$AA27&lt;MIN(BA$5,VLOOKUP(BA$6, Table_ChiPhiNV_Ca[], COUNTA(Table_ChiPhiNV_Ca[[#Headers],[Ca]:[Kết thúc]]),0))),
SUM(_xlfn._xlws.FILTER(Table_BangLuong_TyLeTangCa[Tỷ lệ],
(Table_BangLuong_TyLeTangCa[Ngày] = "Thường") *
(Table_BangLuong_TyLeTangCa[Giờ min]&lt;=$AA27) *
(Table_BangLuong_TyLeTangCa[Giờ max]&gt;$AA27)
)),0)
)),
IF(BA$4 &lt; BA$5,
IF($AA27-$Z$4&lt;BA$4,0,
IF($AA27&gt;BA$5,0,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BA$5,$AA27 &lt; BA$4),0,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B27" s="18" cm="1">
        <f t="array" ref="BB27" xml:space="preserve">
IFERROR(
IF(BB$1="",0,
IF(AND(
$AA27&gt;=VLOOKUP(BB$6, Table_ChiPhiNV_Ca[], COUNTA(Table_ChiPhiNV_Ca[[#Headers],[Ca]:[Bắt đầu nghỉ]]),0),
$AA27&lt;VLOOKUP(BB$6, Table_ChiPhiNV_Ca[], COUNTA(Table_ChiPhiNV_Ca[[#Headers],[Ca]:[Kết thúc nghỉ]]),0)
),0,
IF(NOT(ISBLANK(BB$3)),
IF(ISBLANK(BB$7),0,
IF(BB$4 &lt; BB$5,
IF($AA27-$Z$4&lt;BB$4,0,
IF($AA27&gt;BB$5,0,
SUM(_xlfn._xlws.FILTER(Table_BangLuong_TyLeTangCa[Tỷ lệ],
(Table_BangLuong_TyLeTangCa[Ngày] = BB$3) *
(Table_BangLuong_TyLeTangCa[Giờ min]&lt;=$AA27) *
(Table_BangLuong_TyLeTangCa[Giờ max]&gt;$AA27)
)))),
IF(AND($AA27-$Z$4 &gt;= BB$5,$AA27 &lt; BB$4),0,
SUM(_xlfn._xlws.FILTER(Table_BangLuong_TyLeTangCa[Tỷ lệ],
(Table_BangLuong_TyLeTangCa[Ngày] = BB$3) *
(Table_BangLuong_TyLeTangCa[Giờ min]&lt;=$AA27) *
(Table_BangLuong_TyLeTangCa[Giờ max]&gt;$AA27)
))))
),
IF(ISBLANK(BB$7),
IF(VLOOKUP(BB$6, Table_ChiPhiNV_Ca[], COUNTA(Table_ChiPhiNV_Ca[[#Headers],[Ca]:[Kết thúc]]),0)&gt; VLOOKUP(BB$6, Table_ChiPhiNV_Ca[], COUNTA(Table_ChiPhiNV_Ca[[#Headers],[Ca]:[Bắt đầu]]),0),
IF($AA27-$Z$4&lt;MAX(BB$4,VLOOKUP(BB$6, Table_ChiPhiNV_Ca[], COUNTA(Table_ChiPhiNV_Ca[[#Headers],[Ca]:[Bắt đầu]]),0)),0,
IF($AA27&gt;MIN(BB$5,VLOOKUP(BB$6, Table_ChiPhiNV_Ca[], COUNTA(Table_ChiPhiNV_Ca[[#Headers],[Ca]:[Kết thúc]]),0)),0,
SUM(_xlfn._xlws.FILTER(Table_BangLuong_TyLeTangCa[Tỷ lệ],
(Table_BangLuong_TyLeTangCa[Ngày] = "Thường") *
(Table_BangLuong_TyLeTangCa[Giờ min]&lt;=$AA27) *
(Table_BangLuong_TyLeTangCa[Giờ max]&gt;$AA27)
)))),
IF(BB$4 &gt; BB$5,
IF(
AND(
$AA27-$Z$4&lt;MAX(BB$4,VLOOKUP(BB$6, Table_ChiPhiNV_Ca[], COUNTA(Table_ChiPhiNV_Ca[[#Headers],[Ca]:[Bắt đầu]]),0)),
$AA27&gt;MIN(BB$5,VLOOKUP(BB$6, Table_ChiPhiNV_Ca[], COUNTA(Table_ChiPhiNV_Ca[[#Headers],[Ca]:[Kết thúc]]),0))),0,
SUM(_xlfn._xlws.FILTER(Table_BangLuong_TyLeTangCa[Tỷ lệ],
(Table_BangLuong_TyLeTangCa[Ngày] = "Thường") *
(Table_BangLuong_TyLeTangCa[Giờ min]&lt;=$AA27) *
(Table_BangLuong_TyLeTangCa[Giờ max]&gt;$AA27)
))),
IF(
AND(
$AA27-$Z$4&gt;=MAX(BB$4,VLOOKUP(BB$6, Table_ChiPhiNV_Ca[], COUNTA(Table_ChiPhiNV_Ca[[#Headers],[Ca]:[Bắt đầu]]),0)),
$AA27&lt;MIN(BB$5,VLOOKUP(BB$6, Table_ChiPhiNV_Ca[], COUNTA(Table_ChiPhiNV_Ca[[#Headers],[Ca]:[Kết thúc]]),0))),
SUM(_xlfn._xlws.FILTER(Table_BangLuong_TyLeTangCa[Tỷ lệ],
(Table_BangLuong_TyLeTangCa[Ngày] = "Thường") *
(Table_BangLuong_TyLeTangCa[Giờ min]&lt;=$AA27) *
(Table_BangLuong_TyLeTangCa[Giờ max]&gt;$AA27)
)),0)
)),
IF(BB$4 &lt; BB$5,
IF($AA27-$Z$4&lt;BB$4,0,
IF($AA27&gt;BB$5,0,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BB$5,$AA27 &lt; BB$4),0,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C27" s="18" cm="1">
        <f t="array" ref="BC27" xml:space="preserve">
IFERROR(
IF(BC$1="",0,
IF(AND(
$AA27&gt;=VLOOKUP(BC$6, Table_ChiPhiNV_Ca[], COUNTA(Table_ChiPhiNV_Ca[[#Headers],[Ca]:[Bắt đầu nghỉ]]),0),
$AA27&lt;VLOOKUP(BC$6, Table_ChiPhiNV_Ca[], COUNTA(Table_ChiPhiNV_Ca[[#Headers],[Ca]:[Kết thúc nghỉ]]),0)
),0,
IF(NOT(ISBLANK(BC$3)),
IF(ISBLANK(BC$7),0,
IF(BC$4 &lt; BC$5,
IF($AA27-$Z$4&lt;BC$4,0,
IF($AA27&gt;BC$5,0,
SUM(_xlfn._xlws.FILTER(Table_BangLuong_TyLeTangCa[Tỷ lệ],
(Table_BangLuong_TyLeTangCa[Ngày] = BC$3) *
(Table_BangLuong_TyLeTangCa[Giờ min]&lt;=$AA27) *
(Table_BangLuong_TyLeTangCa[Giờ max]&gt;$AA27)
)))),
IF(AND($AA27-$Z$4 &gt;= BC$5,$AA27 &lt; BC$4),0,
SUM(_xlfn._xlws.FILTER(Table_BangLuong_TyLeTangCa[Tỷ lệ],
(Table_BangLuong_TyLeTangCa[Ngày] = BC$3) *
(Table_BangLuong_TyLeTangCa[Giờ min]&lt;=$AA27) *
(Table_BangLuong_TyLeTangCa[Giờ max]&gt;$AA27)
))))
),
IF(ISBLANK(BC$7),
IF(VLOOKUP(BC$6, Table_ChiPhiNV_Ca[], COUNTA(Table_ChiPhiNV_Ca[[#Headers],[Ca]:[Kết thúc]]),0)&gt; VLOOKUP(BC$6, Table_ChiPhiNV_Ca[], COUNTA(Table_ChiPhiNV_Ca[[#Headers],[Ca]:[Bắt đầu]]),0),
IF($AA27-$Z$4&lt;MAX(BC$4,VLOOKUP(BC$6, Table_ChiPhiNV_Ca[], COUNTA(Table_ChiPhiNV_Ca[[#Headers],[Ca]:[Bắt đầu]]),0)),0,
IF($AA27&gt;MIN(BC$5,VLOOKUP(BC$6, Table_ChiPhiNV_Ca[], COUNTA(Table_ChiPhiNV_Ca[[#Headers],[Ca]:[Kết thúc]]),0)),0,
SUM(_xlfn._xlws.FILTER(Table_BangLuong_TyLeTangCa[Tỷ lệ],
(Table_BangLuong_TyLeTangCa[Ngày] = "Thường") *
(Table_BangLuong_TyLeTangCa[Giờ min]&lt;=$AA27) *
(Table_BangLuong_TyLeTangCa[Giờ max]&gt;$AA27)
)))),
IF(BC$4 &gt; BC$5,
IF(
AND(
$AA27-$Z$4&lt;MAX(BC$4,VLOOKUP(BC$6, Table_ChiPhiNV_Ca[], COUNTA(Table_ChiPhiNV_Ca[[#Headers],[Ca]:[Bắt đầu]]),0)),
$AA27&gt;MIN(BC$5,VLOOKUP(BC$6, Table_ChiPhiNV_Ca[], COUNTA(Table_ChiPhiNV_Ca[[#Headers],[Ca]:[Kết thúc]]),0))),0,
SUM(_xlfn._xlws.FILTER(Table_BangLuong_TyLeTangCa[Tỷ lệ],
(Table_BangLuong_TyLeTangCa[Ngày] = "Thường") *
(Table_BangLuong_TyLeTangCa[Giờ min]&lt;=$AA27) *
(Table_BangLuong_TyLeTangCa[Giờ max]&gt;$AA27)
))),
IF(
AND(
$AA27-$Z$4&gt;=MAX(BC$4,VLOOKUP(BC$6, Table_ChiPhiNV_Ca[], COUNTA(Table_ChiPhiNV_Ca[[#Headers],[Ca]:[Bắt đầu]]),0)),
$AA27&lt;MIN(BC$5,VLOOKUP(BC$6, Table_ChiPhiNV_Ca[], COUNTA(Table_ChiPhiNV_Ca[[#Headers],[Ca]:[Kết thúc]]),0))),
SUM(_xlfn._xlws.FILTER(Table_BangLuong_TyLeTangCa[Tỷ lệ],
(Table_BangLuong_TyLeTangCa[Ngày] = "Thường") *
(Table_BangLuong_TyLeTangCa[Giờ min]&lt;=$AA27) *
(Table_BangLuong_TyLeTangCa[Giờ max]&gt;$AA27)
)),0)
)),
IF(BC$4 &lt; BC$5,
IF($AA27-$Z$4&lt;BC$4,0,
IF($AA27&gt;BC$5,0,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BC$5,$AA27 &lt; BC$4),0,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D27" s="18" cm="1">
        <f t="array" ref="BD27" xml:space="preserve">
IFERROR(
IF(BD$1="",0,
IF(AND(
$AA27&gt;=VLOOKUP(BD$6, Table_ChiPhiNV_Ca[], COUNTA(Table_ChiPhiNV_Ca[[#Headers],[Ca]:[Bắt đầu nghỉ]]),0),
$AA27&lt;VLOOKUP(BD$6, Table_ChiPhiNV_Ca[], COUNTA(Table_ChiPhiNV_Ca[[#Headers],[Ca]:[Kết thúc nghỉ]]),0)
),0,
IF(NOT(ISBLANK(BD$3)),
IF(ISBLANK(BD$7),0,
IF(BD$4 &lt; BD$5,
IF($AA27-$Z$4&lt;BD$4,0,
IF($AA27&gt;BD$5,0,
SUM(_xlfn._xlws.FILTER(Table_BangLuong_TyLeTangCa[Tỷ lệ],
(Table_BangLuong_TyLeTangCa[Ngày] = BD$3) *
(Table_BangLuong_TyLeTangCa[Giờ min]&lt;=$AA27) *
(Table_BangLuong_TyLeTangCa[Giờ max]&gt;$AA27)
)))),
IF(AND($AA27-$Z$4 &gt;= BD$5,$AA27 &lt; BD$4),0,
SUM(_xlfn._xlws.FILTER(Table_BangLuong_TyLeTangCa[Tỷ lệ],
(Table_BangLuong_TyLeTangCa[Ngày] = BD$3) *
(Table_BangLuong_TyLeTangCa[Giờ min]&lt;=$AA27) *
(Table_BangLuong_TyLeTangCa[Giờ max]&gt;$AA27)
))))
),
IF(ISBLANK(BD$7),
IF(VLOOKUP(BD$6, Table_ChiPhiNV_Ca[], COUNTA(Table_ChiPhiNV_Ca[[#Headers],[Ca]:[Kết thúc]]),0)&gt; VLOOKUP(BD$6, Table_ChiPhiNV_Ca[], COUNTA(Table_ChiPhiNV_Ca[[#Headers],[Ca]:[Bắt đầu]]),0),
IF($AA27-$Z$4&lt;MAX(BD$4,VLOOKUP(BD$6, Table_ChiPhiNV_Ca[], COUNTA(Table_ChiPhiNV_Ca[[#Headers],[Ca]:[Bắt đầu]]),0)),0,
IF($AA27&gt;MIN(BD$5,VLOOKUP(BD$6, Table_ChiPhiNV_Ca[], COUNTA(Table_ChiPhiNV_Ca[[#Headers],[Ca]:[Kết thúc]]),0)),0,
SUM(_xlfn._xlws.FILTER(Table_BangLuong_TyLeTangCa[Tỷ lệ],
(Table_BangLuong_TyLeTangCa[Ngày] = "Thường") *
(Table_BangLuong_TyLeTangCa[Giờ min]&lt;=$AA27) *
(Table_BangLuong_TyLeTangCa[Giờ max]&gt;$AA27)
)))),
IF(BD$4 &gt; BD$5,
IF(
AND(
$AA27-$Z$4&lt;MAX(BD$4,VLOOKUP(BD$6, Table_ChiPhiNV_Ca[], COUNTA(Table_ChiPhiNV_Ca[[#Headers],[Ca]:[Bắt đầu]]),0)),
$AA27&gt;MIN(BD$5,VLOOKUP(BD$6, Table_ChiPhiNV_Ca[], COUNTA(Table_ChiPhiNV_Ca[[#Headers],[Ca]:[Kết thúc]]),0))),0,
SUM(_xlfn._xlws.FILTER(Table_BangLuong_TyLeTangCa[Tỷ lệ],
(Table_BangLuong_TyLeTangCa[Ngày] = "Thường") *
(Table_BangLuong_TyLeTangCa[Giờ min]&lt;=$AA27) *
(Table_BangLuong_TyLeTangCa[Giờ max]&gt;$AA27)
))),
IF(
AND(
$AA27-$Z$4&gt;=MAX(BD$4,VLOOKUP(BD$6, Table_ChiPhiNV_Ca[], COUNTA(Table_ChiPhiNV_Ca[[#Headers],[Ca]:[Bắt đầu]]),0)),
$AA27&lt;MIN(BD$5,VLOOKUP(BD$6, Table_ChiPhiNV_Ca[], COUNTA(Table_ChiPhiNV_Ca[[#Headers],[Ca]:[Kết thúc]]),0))),
SUM(_xlfn._xlws.FILTER(Table_BangLuong_TyLeTangCa[Tỷ lệ],
(Table_BangLuong_TyLeTangCa[Ngày] = "Thường") *
(Table_BangLuong_TyLeTangCa[Giờ min]&lt;=$AA27) *
(Table_BangLuong_TyLeTangCa[Giờ max]&gt;$AA27)
)),0)
)),
IF(BD$4 &lt; BD$5,
IF($AA27-$Z$4&lt;BD$4,0,
IF($AA27&gt;BD$5,0,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BD$5,$AA27 &lt; BD$4),0,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E27" s="18" cm="1">
        <f t="array" ref="BE27" xml:space="preserve">
IFERROR(
IF(BE$1="",0,
IF(AND(
$AA27&gt;=VLOOKUP(BE$6, Table_ChiPhiNV_Ca[], COUNTA(Table_ChiPhiNV_Ca[[#Headers],[Ca]:[Bắt đầu nghỉ]]),0),
$AA27&lt;VLOOKUP(BE$6, Table_ChiPhiNV_Ca[], COUNTA(Table_ChiPhiNV_Ca[[#Headers],[Ca]:[Kết thúc nghỉ]]),0)
),0,
IF(NOT(ISBLANK(BE$3)),
IF(ISBLANK(BE$7),0,
IF(BE$4 &lt; BE$5,
IF($AA27-$Z$4&lt;BE$4,0,
IF($AA27&gt;BE$5,0,
SUM(_xlfn._xlws.FILTER(Table_BangLuong_TyLeTangCa[Tỷ lệ],
(Table_BangLuong_TyLeTangCa[Ngày] = BE$3) *
(Table_BangLuong_TyLeTangCa[Giờ min]&lt;=$AA27) *
(Table_BangLuong_TyLeTangCa[Giờ max]&gt;$AA27)
)))),
IF(AND($AA27-$Z$4 &gt;= BE$5,$AA27 &lt; BE$4),0,
SUM(_xlfn._xlws.FILTER(Table_BangLuong_TyLeTangCa[Tỷ lệ],
(Table_BangLuong_TyLeTangCa[Ngày] = BE$3) *
(Table_BangLuong_TyLeTangCa[Giờ min]&lt;=$AA27) *
(Table_BangLuong_TyLeTangCa[Giờ max]&gt;$AA27)
))))
),
IF(ISBLANK(BE$7),
IF(VLOOKUP(BE$6, Table_ChiPhiNV_Ca[], COUNTA(Table_ChiPhiNV_Ca[[#Headers],[Ca]:[Kết thúc]]),0)&gt; VLOOKUP(BE$6, Table_ChiPhiNV_Ca[], COUNTA(Table_ChiPhiNV_Ca[[#Headers],[Ca]:[Bắt đầu]]),0),
IF($AA27-$Z$4&lt;MAX(BE$4,VLOOKUP(BE$6, Table_ChiPhiNV_Ca[], COUNTA(Table_ChiPhiNV_Ca[[#Headers],[Ca]:[Bắt đầu]]),0)),0,
IF($AA27&gt;MIN(BE$5,VLOOKUP(BE$6, Table_ChiPhiNV_Ca[], COUNTA(Table_ChiPhiNV_Ca[[#Headers],[Ca]:[Kết thúc]]),0)),0,
SUM(_xlfn._xlws.FILTER(Table_BangLuong_TyLeTangCa[Tỷ lệ],
(Table_BangLuong_TyLeTangCa[Ngày] = "Thường") *
(Table_BangLuong_TyLeTangCa[Giờ min]&lt;=$AA27) *
(Table_BangLuong_TyLeTangCa[Giờ max]&gt;$AA27)
)))),
IF(BE$4 &gt; BE$5,
IF(
AND(
$AA27-$Z$4&lt;MAX(BE$4,VLOOKUP(BE$6, Table_ChiPhiNV_Ca[], COUNTA(Table_ChiPhiNV_Ca[[#Headers],[Ca]:[Bắt đầu]]),0)),
$AA27&gt;MIN(BE$5,VLOOKUP(BE$6, Table_ChiPhiNV_Ca[], COUNTA(Table_ChiPhiNV_Ca[[#Headers],[Ca]:[Kết thúc]]),0))),0,
SUM(_xlfn._xlws.FILTER(Table_BangLuong_TyLeTangCa[Tỷ lệ],
(Table_BangLuong_TyLeTangCa[Ngày] = "Thường") *
(Table_BangLuong_TyLeTangCa[Giờ min]&lt;=$AA27) *
(Table_BangLuong_TyLeTangCa[Giờ max]&gt;$AA27)
))),
IF(
AND(
$AA27-$Z$4&gt;=MAX(BE$4,VLOOKUP(BE$6, Table_ChiPhiNV_Ca[], COUNTA(Table_ChiPhiNV_Ca[[#Headers],[Ca]:[Bắt đầu]]),0)),
$AA27&lt;MIN(BE$5,VLOOKUP(BE$6, Table_ChiPhiNV_Ca[], COUNTA(Table_ChiPhiNV_Ca[[#Headers],[Ca]:[Kết thúc]]),0))),
SUM(_xlfn._xlws.FILTER(Table_BangLuong_TyLeTangCa[Tỷ lệ],
(Table_BangLuong_TyLeTangCa[Ngày] = "Thường") *
(Table_BangLuong_TyLeTangCa[Giờ min]&lt;=$AA27) *
(Table_BangLuong_TyLeTangCa[Giờ max]&gt;$AA27)
)),0)
)),
IF(BE$4 &lt; BE$5,
IF($AA27-$Z$4&lt;BE$4,0,
IF($AA27&gt;BE$5,0,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BE$5,$AA27 &lt; BE$4),0,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F27" s="18" cm="1">
        <f t="array" ref="BF27" xml:space="preserve">
IFERROR(
IF(BF$1="",0,
IF(AND(
$AA27&gt;=VLOOKUP(BF$6, Table_ChiPhiNV_Ca[], COUNTA(Table_ChiPhiNV_Ca[[#Headers],[Ca]:[Bắt đầu nghỉ]]),0),
$AA27&lt;VLOOKUP(BF$6, Table_ChiPhiNV_Ca[], COUNTA(Table_ChiPhiNV_Ca[[#Headers],[Ca]:[Kết thúc nghỉ]]),0)
),0,
IF(NOT(ISBLANK(BF$3)),
IF(ISBLANK(BF$7),0,
IF(BF$4 &lt; BF$5,
IF($AA27-$Z$4&lt;BF$4,0,
IF($AA27&gt;BF$5,0,
SUM(_xlfn._xlws.FILTER(Table_BangLuong_TyLeTangCa[Tỷ lệ],
(Table_BangLuong_TyLeTangCa[Ngày] = BF$3) *
(Table_BangLuong_TyLeTangCa[Giờ min]&lt;=$AA27) *
(Table_BangLuong_TyLeTangCa[Giờ max]&gt;$AA27)
)))),
IF(AND($AA27-$Z$4 &gt;= BF$5,$AA27 &lt; BF$4),0,
SUM(_xlfn._xlws.FILTER(Table_BangLuong_TyLeTangCa[Tỷ lệ],
(Table_BangLuong_TyLeTangCa[Ngày] = BF$3) *
(Table_BangLuong_TyLeTangCa[Giờ min]&lt;=$AA27) *
(Table_BangLuong_TyLeTangCa[Giờ max]&gt;$AA27)
))))
),
IF(ISBLANK(BF$7),
IF(VLOOKUP(BF$6, Table_ChiPhiNV_Ca[], COUNTA(Table_ChiPhiNV_Ca[[#Headers],[Ca]:[Kết thúc]]),0)&gt; VLOOKUP(BF$6, Table_ChiPhiNV_Ca[], COUNTA(Table_ChiPhiNV_Ca[[#Headers],[Ca]:[Bắt đầu]]),0),
IF($AA27-$Z$4&lt;MAX(BF$4,VLOOKUP(BF$6, Table_ChiPhiNV_Ca[], COUNTA(Table_ChiPhiNV_Ca[[#Headers],[Ca]:[Bắt đầu]]),0)),0,
IF($AA27&gt;MIN(BF$5,VLOOKUP(BF$6, Table_ChiPhiNV_Ca[], COUNTA(Table_ChiPhiNV_Ca[[#Headers],[Ca]:[Kết thúc]]),0)),0,
SUM(_xlfn._xlws.FILTER(Table_BangLuong_TyLeTangCa[Tỷ lệ],
(Table_BangLuong_TyLeTangCa[Ngày] = "Thường") *
(Table_BangLuong_TyLeTangCa[Giờ min]&lt;=$AA27) *
(Table_BangLuong_TyLeTangCa[Giờ max]&gt;$AA27)
)))),
IF(BF$4 &gt; BF$5,
IF(
AND(
$AA27-$Z$4&lt;MAX(BF$4,VLOOKUP(BF$6, Table_ChiPhiNV_Ca[], COUNTA(Table_ChiPhiNV_Ca[[#Headers],[Ca]:[Bắt đầu]]),0)),
$AA27&gt;MIN(BF$5,VLOOKUP(BF$6, Table_ChiPhiNV_Ca[], COUNTA(Table_ChiPhiNV_Ca[[#Headers],[Ca]:[Kết thúc]]),0))),0,
SUM(_xlfn._xlws.FILTER(Table_BangLuong_TyLeTangCa[Tỷ lệ],
(Table_BangLuong_TyLeTangCa[Ngày] = "Thường") *
(Table_BangLuong_TyLeTangCa[Giờ min]&lt;=$AA27) *
(Table_BangLuong_TyLeTangCa[Giờ max]&gt;$AA27)
))),
IF(
AND(
$AA27-$Z$4&gt;=MAX(BF$4,VLOOKUP(BF$6, Table_ChiPhiNV_Ca[], COUNTA(Table_ChiPhiNV_Ca[[#Headers],[Ca]:[Bắt đầu]]),0)),
$AA27&lt;MIN(BF$5,VLOOKUP(BF$6, Table_ChiPhiNV_Ca[], COUNTA(Table_ChiPhiNV_Ca[[#Headers],[Ca]:[Kết thúc]]),0))),
SUM(_xlfn._xlws.FILTER(Table_BangLuong_TyLeTangCa[Tỷ lệ],
(Table_BangLuong_TyLeTangCa[Ngày] = "Thường") *
(Table_BangLuong_TyLeTangCa[Giờ min]&lt;=$AA27) *
(Table_BangLuong_TyLeTangCa[Giờ max]&gt;$AA27)
)),0)
)),
IF(BF$4 &lt; BF$5,
IF($AA27-$Z$4&lt;BF$4,0,
IF($AA27&gt;BF$5,0,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BF$5,$AA27 &lt; BF$4),0,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row>
    <row r="28" spans="2:58" ht="18" customHeight="1" outlineLevel="1" x14ac:dyDescent="0.3">
      <c r="B28" s="11"/>
      <c r="C28" s="11"/>
      <c r="D28" s="11"/>
      <c r="E28" s="11"/>
      <c r="F28" s="11"/>
      <c r="G28" s="11"/>
      <c r="H28" s="11"/>
      <c r="I28" s="11"/>
      <c r="J28" s="11"/>
      <c r="K28" s="11"/>
      <c r="L28" s="11"/>
      <c r="M28" s="11"/>
      <c r="N28" s="11"/>
      <c r="O28" s="11"/>
      <c r="P28" s="11"/>
      <c r="Q28" s="11"/>
      <c r="R28" s="11"/>
      <c r="S28" s="11"/>
      <c r="AA28" s="50">
        <v>0.39583333333333298</v>
      </c>
      <c r="AB28" s="18" cm="1">
        <f t="array" ref="AB28" xml:space="preserve">
IFERROR(
IF(AB$1="",0,
IF(AND(
$AA28&gt;=VLOOKUP(AB$6, Table_ChiPhiNV_Ca[], COUNTA(Table_ChiPhiNV_Ca[[#Headers],[Ca]:[Bắt đầu nghỉ]]),0),
$AA28&lt;VLOOKUP(AB$6, Table_ChiPhiNV_Ca[], COUNTA(Table_ChiPhiNV_Ca[[#Headers],[Ca]:[Kết thúc nghỉ]]),0)
),0,
IF(NOT(ISBLANK(AB$3)),
IF(ISBLANK(AB$7),0,
IF(AB$4 &lt; AB$5,
IF($AA28-$Z$4&lt;AB$4,0,
IF($AA28&gt;AB$5,0,
SUM(_xlfn._xlws.FILTER(Table_BangLuong_TyLeTangCa[Tỷ lệ],
(Table_BangLuong_TyLeTangCa[Ngày] = AB$3) *
(Table_BangLuong_TyLeTangCa[Giờ min]&lt;=$AA28) *
(Table_BangLuong_TyLeTangCa[Giờ max]&gt;$AA28)
)))),
IF(AND($AA28-$Z$4 &gt;= AB$5,$AA28 &lt; AB$4),0,
SUM(_xlfn._xlws.FILTER(Table_BangLuong_TyLeTangCa[Tỷ lệ],
(Table_BangLuong_TyLeTangCa[Ngày] = AB$3) *
(Table_BangLuong_TyLeTangCa[Giờ min]&lt;=$AA28) *
(Table_BangLuong_TyLeTangCa[Giờ max]&gt;$AA28)
))))
),
IF(ISBLANK(AB$7),
IF(VLOOKUP(AB$6, Table_ChiPhiNV_Ca[], COUNTA(Table_ChiPhiNV_Ca[[#Headers],[Ca]:[Kết thúc]]),0)&gt; VLOOKUP(AB$6, Table_ChiPhiNV_Ca[], COUNTA(Table_ChiPhiNV_Ca[[#Headers],[Ca]:[Bắt đầu]]),0),
IF($AA28-$Z$4&lt;MAX(AB$4,VLOOKUP(AB$6, Table_ChiPhiNV_Ca[], COUNTA(Table_ChiPhiNV_Ca[[#Headers],[Ca]:[Bắt đầu]]),0)),0,
IF($AA28&gt;MIN(AB$5,VLOOKUP(AB$6, Table_ChiPhiNV_Ca[], COUNTA(Table_ChiPhiNV_Ca[[#Headers],[Ca]:[Kết thúc]]),0)),0,
SUM(_xlfn._xlws.FILTER(Table_BangLuong_TyLeTangCa[Tỷ lệ],
(Table_BangLuong_TyLeTangCa[Ngày] = "Thường") *
(Table_BangLuong_TyLeTangCa[Giờ min]&lt;=$AA28) *
(Table_BangLuong_TyLeTangCa[Giờ max]&gt;$AA28)
)))),
IF(AB$4 &gt; AB$5,
IF(
AND(
$AA28-$Z$4&lt;MAX(AB$4,VLOOKUP(AB$6, Table_ChiPhiNV_Ca[], COUNTA(Table_ChiPhiNV_Ca[[#Headers],[Ca]:[Bắt đầu]]),0)),
$AA28&gt;MIN(AB$5,VLOOKUP(AB$6, Table_ChiPhiNV_Ca[], COUNTA(Table_ChiPhiNV_Ca[[#Headers],[Ca]:[Kết thúc]]),0))),0,
SUM(_xlfn._xlws.FILTER(Table_BangLuong_TyLeTangCa[Tỷ lệ],
(Table_BangLuong_TyLeTangCa[Ngày] = "Thường") *
(Table_BangLuong_TyLeTangCa[Giờ min]&lt;=$AA28) *
(Table_BangLuong_TyLeTangCa[Giờ max]&gt;$AA28)
))),
IF(
AND(
$AA28-$Z$4&gt;=MAX(AB$4,VLOOKUP(AB$6, Table_ChiPhiNV_Ca[], COUNTA(Table_ChiPhiNV_Ca[[#Headers],[Ca]:[Bắt đầu]]),0)),
$AA28&lt;MIN(AB$5,VLOOKUP(AB$6, Table_ChiPhiNV_Ca[], COUNTA(Table_ChiPhiNV_Ca[[#Headers],[Ca]:[Kết thúc]]),0))),
SUM(_xlfn._xlws.FILTER(Table_BangLuong_TyLeTangCa[Tỷ lệ],
(Table_BangLuong_TyLeTangCa[Ngày] = "Thường") *
(Table_BangLuong_TyLeTangCa[Giờ min]&lt;=$AA28) *
(Table_BangLuong_TyLeTangCa[Giờ max]&gt;$AA28)
)),0)
)),
IF(AB$4 &lt; AB$5,
IF($AA28-$Z$4&lt;AB$4,0,
IF($AA28&gt;AB$5,0,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AB$5,$AA28 &lt; AB$4),0,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C28" s="18" cm="1">
        <f t="array" ref="AC28" xml:space="preserve">
IFERROR(
IF(AC$1="",0,
IF(AND(
$AA28&gt;=VLOOKUP(AC$6, Table_ChiPhiNV_Ca[], COUNTA(Table_ChiPhiNV_Ca[[#Headers],[Ca]:[Bắt đầu nghỉ]]),0),
$AA28&lt;VLOOKUP(AC$6, Table_ChiPhiNV_Ca[], COUNTA(Table_ChiPhiNV_Ca[[#Headers],[Ca]:[Kết thúc nghỉ]]),0)
),0,
IF(NOT(ISBLANK(AC$3)),
IF(ISBLANK(AC$7),0,
IF(AC$4 &lt; AC$5,
IF($AA28-$Z$4&lt;AC$4,0,
IF($AA28&gt;AC$5,0,
SUM(_xlfn._xlws.FILTER(Table_BangLuong_TyLeTangCa[Tỷ lệ],
(Table_BangLuong_TyLeTangCa[Ngày] = AC$3) *
(Table_BangLuong_TyLeTangCa[Giờ min]&lt;=$AA28) *
(Table_BangLuong_TyLeTangCa[Giờ max]&gt;$AA28)
)))),
IF(AND($AA28-$Z$4 &gt;= AC$5,$AA28 &lt; AC$4),0,
SUM(_xlfn._xlws.FILTER(Table_BangLuong_TyLeTangCa[Tỷ lệ],
(Table_BangLuong_TyLeTangCa[Ngày] = AC$3) *
(Table_BangLuong_TyLeTangCa[Giờ min]&lt;=$AA28) *
(Table_BangLuong_TyLeTangCa[Giờ max]&gt;$AA28)
))))
),
IF(ISBLANK(AC$7),
IF(VLOOKUP(AC$6, Table_ChiPhiNV_Ca[], COUNTA(Table_ChiPhiNV_Ca[[#Headers],[Ca]:[Kết thúc]]),0)&gt; VLOOKUP(AC$6, Table_ChiPhiNV_Ca[], COUNTA(Table_ChiPhiNV_Ca[[#Headers],[Ca]:[Bắt đầu]]),0),
IF($AA28-$Z$4&lt;MAX(AC$4,VLOOKUP(AC$6, Table_ChiPhiNV_Ca[], COUNTA(Table_ChiPhiNV_Ca[[#Headers],[Ca]:[Bắt đầu]]),0)),0,
IF($AA28&gt;MIN(AC$5,VLOOKUP(AC$6, Table_ChiPhiNV_Ca[], COUNTA(Table_ChiPhiNV_Ca[[#Headers],[Ca]:[Kết thúc]]),0)),0,
SUM(_xlfn._xlws.FILTER(Table_BangLuong_TyLeTangCa[Tỷ lệ],
(Table_BangLuong_TyLeTangCa[Ngày] = "Thường") *
(Table_BangLuong_TyLeTangCa[Giờ min]&lt;=$AA28) *
(Table_BangLuong_TyLeTangCa[Giờ max]&gt;$AA28)
)))),
IF(AC$4 &gt; AC$5,
IF(
AND(
$AA28-$Z$4&lt;MAX(AC$4,VLOOKUP(AC$6, Table_ChiPhiNV_Ca[], COUNTA(Table_ChiPhiNV_Ca[[#Headers],[Ca]:[Bắt đầu]]),0)),
$AA28&gt;MIN(AC$5,VLOOKUP(AC$6, Table_ChiPhiNV_Ca[], COUNTA(Table_ChiPhiNV_Ca[[#Headers],[Ca]:[Kết thúc]]),0))),0,
SUM(_xlfn._xlws.FILTER(Table_BangLuong_TyLeTangCa[Tỷ lệ],
(Table_BangLuong_TyLeTangCa[Ngày] = "Thường") *
(Table_BangLuong_TyLeTangCa[Giờ min]&lt;=$AA28) *
(Table_BangLuong_TyLeTangCa[Giờ max]&gt;$AA28)
))),
IF(
AND(
$AA28-$Z$4&gt;=MAX(AC$4,VLOOKUP(AC$6, Table_ChiPhiNV_Ca[], COUNTA(Table_ChiPhiNV_Ca[[#Headers],[Ca]:[Bắt đầu]]),0)),
$AA28&lt;MIN(AC$5,VLOOKUP(AC$6, Table_ChiPhiNV_Ca[], COUNTA(Table_ChiPhiNV_Ca[[#Headers],[Ca]:[Kết thúc]]),0))),
SUM(_xlfn._xlws.FILTER(Table_BangLuong_TyLeTangCa[Tỷ lệ],
(Table_BangLuong_TyLeTangCa[Ngày] = "Thường") *
(Table_BangLuong_TyLeTangCa[Giờ min]&lt;=$AA28) *
(Table_BangLuong_TyLeTangCa[Giờ max]&gt;$AA28)
)),0)
)),
IF(AC$4 &lt; AC$5,
IF($AA28-$Z$4&lt;AC$4,0,
IF($AA28&gt;AC$5,0,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AC$5,$AA28 &lt; AC$4),0,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D28" s="18" cm="1">
        <f t="array" ref="AD28" xml:space="preserve">
IFERROR(
IF(AD$1="",0,
IF(AND(
$AA28&gt;=VLOOKUP(AD$6, Table_ChiPhiNV_Ca[], COUNTA(Table_ChiPhiNV_Ca[[#Headers],[Ca]:[Bắt đầu nghỉ]]),0),
$AA28&lt;VLOOKUP(AD$6, Table_ChiPhiNV_Ca[], COUNTA(Table_ChiPhiNV_Ca[[#Headers],[Ca]:[Kết thúc nghỉ]]),0)
),0,
IF(NOT(ISBLANK(AD$3)),
IF(ISBLANK(AD$7),0,
IF(AD$4 &lt; AD$5,
IF($AA28-$Z$4&lt;AD$4,0,
IF($AA28&gt;AD$5,0,
SUM(_xlfn._xlws.FILTER(Table_BangLuong_TyLeTangCa[Tỷ lệ],
(Table_BangLuong_TyLeTangCa[Ngày] = AD$3) *
(Table_BangLuong_TyLeTangCa[Giờ min]&lt;=$AA28) *
(Table_BangLuong_TyLeTangCa[Giờ max]&gt;$AA28)
)))),
IF(AND($AA28-$Z$4 &gt;= AD$5,$AA28 &lt; AD$4),0,
SUM(_xlfn._xlws.FILTER(Table_BangLuong_TyLeTangCa[Tỷ lệ],
(Table_BangLuong_TyLeTangCa[Ngày] = AD$3) *
(Table_BangLuong_TyLeTangCa[Giờ min]&lt;=$AA28) *
(Table_BangLuong_TyLeTangCa[Giờ max]&gt;$AA28)
))))
),
IF(ISBLANK(AD$7),
IF(VLOOKUP(AD$6, Table_ChiPhiNV_Ca[], COUNTA(Table_ChiPhiNV_Ca[[#Headers],[Ca]:[Kết thúc]]),0)&gt; VLOOKUP(AD$6, Table_ChiPhiNV_Ca[], COUNTA(Table_ChiPhiNV_Ca[[#Headers],[Ca]:[Bắt đầu]]),0),
IF($AA28-$Z$4&lt;MAX(AD$4,VLOOKUP(AD$6, Table_ChiPhiNV_Ca[], COUNTA(Table_ChiPhiNV_Ca[[#Headers],[Ca]:[Bắt đầu]]),0)),0,
IF($AA28&gt;MIN(AD$5,VLOOKUP(AD$6, Table_ChiPhiNV_Ca[], COUNTA(Table_ChiPhiNV_Ca[[#Headers],[Ca]:[Kết thúc]]),0)),0,
SUM(_xlfn._xlws.FILTER(Table_BangLuong_TyLeTangCa[Tỷ lệ],
(Table_BangLuong_TyLeTangCa[Ngày] = "Thường") *
(Table_BangLuong_TyLeTangCa[Giờ min]&lt;=$AA28) *
(Table_BangLuong_TyLeTangCa[Giờ max]&gt;$AA28)
)))),
IF(AD$4 &gt; AD$5,
IF(
AND(
$AA28-$Z$4&lt;MAX(AD$4,VLOOKUP(AD$6, Table_ChiPhiNV_Ca[], COUNTA(Table_ChiPhiNV_Ca[[#Headers],[Ca]:[Bắt đầu]]),0)),
$AA28&gt;MIN(AD$5,VLOOKUP(AD$6, Table_ChiPhiNV_Ca[], COUNTA(Table_ChiPhiNV_Ca[[#Headers],[Ca]:[Kết thúc]]),0))),0,
SUM(_xlfn._xlws.FILTER(Table_BangLuong_TyLeTangCa[Tỷ lệ],
(Table_BangLuong_TyLeTangCa[Ngày] = "Thường") *
(Table_BangLuong_TyLeTangCa[Giờ min]&lt;=$AA28) *
(Table_BangLuong_TyLeTangCa[Giờ max]&gt;$AA28)
))),
IF(
AND(
$AA28-$Z$4&gt;=MAX(AD$4,VLOOKUP(AD$6, Table_ChiPhiNV_Ca[], COUNTA(Table_ChiPhiNV_Ca[[#Headers],[Ca]:[Bắt đầu]]),0)),
$AA28&lt;MIN(AD$5,VLOOKUP(AD$6, Table_ChiPhiNV_Ca[], COUNTA(Table_ChiPhiNV_Ca[[#Headers],[Ca]:[Kết thúc]]),0))),
SUM(_xlfn._xlws.FILTER(Table_BangLuong_TyLeTangCa[Tỷ lệ],
(Table_BangLuong_TyLeTangCa[Ngày] = "Thường") *
(Table_BangLuong_TyLeTangCa[Giờ min]&lt;=$AA28) *
(Table_BangLuong_TyLeTangCa[Giờ max]&gt;$AA28)
)),0)
)),
IF(AD$4 &lt; AD$5,
IF($AA28-$Z$4&lt;AD$4,0,
IF($AA28&gt;AD$5,0,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AD$5,$AA28 &lt; AD$4),0,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E28" s="18" cm="1">
        <f t="array" ref="AE28" xml:space="preserve">
IFERROR(
IF(AE$1="",0,
IF(AND(
$AA28&gt;=VLOOKUP(AE$6, Table_ChiPhiNV_Ca[], COUNTA(Table_ChiPhiNV_Ca[[#Headers],[Ca]:[Bắt đầu nghỉ]]),0),
$AA28&lt;VLOOKUP(AE$6, Table_ChiPhiNV_Ca[], COUNTA(Table_ChiPhiNV_Ca[[#Headers],[Ca]:[Kết thúc nghỉ]]),0)
),0,
IF(NOT(ISBLANK(AE$3)),
IF(ISBLANK(AE$7),0,
IF(AE$4 &lt; AE$5,
IF($AA28-$Z$4&lt;AE$4,0,
IF($AA28&gt;AE$5,0,
SUM(_xlfn._xlws.FILTER(Table_BangLuong_TyLeTangCa[Tỷ lệ],
(Table_BangLuong_TyLeTangCa[Ngày] = AE$3) *
(Table_BangLuong_TyLeTangCa[Giờ min]&lt;=$AA28) *
(Table_BangLuong_TyLeTangCa[Giờ max]&gt;$AA28)
)))),
IF(AND($AA28-$Z$4 &gt;= AE$5,$AA28 &lt; AE$4),0,
SUM(_xlfn._xlws.FILTER(Table_BangLuong_TyLeTangCa[Tỷ lệ],
(Table_BangLuong_TyLeTangCa[Ngày] = AE$3) *
(Table_BangLuong_TyLeTangCa[Giờ min]&lt;=$AA28) *
(Table_BangLuong_TyLeTangCa[Giờ max]&gt;$AA28)
))))
),
IF(ISBLANK(AE$7),
IF(VLOOKUP(AE$6, Table_ChiPhiNV_Ca[], COUNTA(Table_ChiPhiNV_Ca[[#Headers],[Ca]:[Kết thúc]]),0)&gt; VLOOKUP(AE$6, Table_ChiPhiNV_Ca[], COUNTA(Table_ChiPhiNV_Ca[[#Headers],[Ca]:[Bắt đầu]]),0),
IF($AA28-$Z$4&lt;MAX(AE$4,VLOOKUP(AE$6, Table_ChiPhiNV_Ca[], COUNTA(Table_ChiPhiNV_Ca[[#Headers],[Ca]:[Bắt đầu]]),0)),0,
IF($AA28&gt;MIN(AE$5,VLOOKUP(AE$6, Table_ChiPhiNV_Ca[], COUNTA(Table_ChiPhiNV_Ca[[#Headers],[Ca]:[Kết thúc]]),0)),0,
SUM(_xlfn._xlws.FILTER(Table_BangLuong_TyLeTangCa[Tỷ lệ],
(Table_BangLuong_TyLeTangCa[Ngày] = "Thường") *
(Table_BangLuong_TyLeTangCa[Giờ min]&lt;=$AA28) *
(Table_BangLuong_TyLeTangCa[Giờ max]&gt;$AA28)
)))),
IF(AE$4 &gt; AE$5,
IF(
AND(
$AA28-$Z$4&lt;MAX(AE$4,VLOOKUP(AE$6, Table_ChiPhiNV_Ca[], COUNTA(Table_ChiPhiNV_Ca[[#Headers],[Ca]:[Bắt đầu]]),0)),
$AA28&gt;MIN(AE$5,VLOOKUP(AE$6, Table_ChiPhiNV_Ca[], COUNTA(Table_ChiPhiNV_Ca[[#Headers],[Ca]:[Kết thúc]]),0))),0,
SUM(_xlfn._xlws.FILTER(Table_BangLuong_TyLeTangCa[Tỷ lệ],
(Table_BangLuong_TyLeTangCa[Ngày] = "Thường") *
(Table_BangLuong_TyLeTangCa[Giờ min]&lt;=$AA28) *
(Table_BangLuong_TyLeTangCa[Giờ max]&gt;$AA28)
))),
IF(
AND(
$AA28-$Z$4&gt;=MAX(AE$4,VLOOKUP(AE$6, Table_ChiPhiNV_Ca[], COUNTA(Table_ChiPhiNV_Ca[[#Headers],[Ca]:[Bắt đầu]]),0)),
$AA28&lt;MIN(AE$5,VLOOKUP(AE$6, Table_ChiPhiNV_Ca[], COUNTA(Table_ChiPhiNV_Ca[[#Headers],[Ca]:[Kết thúc]]),0))),
SUM(_xlfn._xlws.FILTER(Table_BangLuong_TyLeTangCa[Tỷ lệ],
(Table_BangLuong_TyLeTangCa[Ngày] = "Thường") *
(Table_BangLuong_TyLeTangCa[Giờ min]&lt;=$AA28) *
(Table_BangLuong_TyLeTangCa[Giờ max]&gt;$AA28)
)),0)
)),
IF(AE$4 &lt; AE$5,
IF($AA28-$Z$4&lt;AE$4,0,
IF($AA28&gt;AE$5,0,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AE$5,$AA28 &lt; AE$4),0,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F28" s="18" cm="1">
        <f t="array" ref="AF28" xml:space="preserve">
IFERROR(
IF(AF$1="",0,
IF(AND(
$AA28&gt;=VLOOKUP(AF$6, Table_ChiPhiNV_Ca[], COUNTA(Table_ChiPhiNV_Ca[[#Headers],[Ca]:[Bắt đầu nghỉ]]),0),
$AA28&lt;VLOOKUP(AF$6, Table_ChiPhiNV_Ca[], COUNTA(Table_ChiPhiNV_Ca[[#Headers],[Ca]:[Kết thúc nghỉ]]),0)
),0,
IF(NOT(ISBLANK(AF$3)),
IF(ISBLANK(AF$7),0,
IF(AF$4 &lt; AF$5,
IF($AA28-$Z$4&lt;AF$4,0,
IF($AA28&gt;AF$5,0,
SUM(_xlfn._xlws.FILTER(Table_BangLuong_TyLeTangCa[Tỷ lệ],
(Table_BangLuong_TyLeTangCa[Ngày] = AF$3) *
(Table_BangLuong_TyLeTangCa[Giờ min]&lt;=$AA28) *
(Table_BangLuong_TyLeTangCa[Giờ max]&gt;$AA28)
)))),
IF(AND($AA28-$Z$4 &gt;= AF$5,$AA28 &lt; AF$4),0,
SUM(_xlfn._xlws.FILTER(Table_BangLuong_TyLeTangCa[Tỷ lệ],
(Table_BangLuong_TyLeTangCa[Ngày] = AF$3) *
(Table_BangLuong_TyLeTangCa[Giờ min]&lt;=$AA28) *
(Table_BangLuong_TyLeTangCa[Giờ max]&gt;$AA28)
))))
),
IF(ISBLANK(AF$7),
IF(VLOOKUP(AF$6, Table_ChiPhiNV_Ca[], COUNTA(Table_ChiPhiNV_Ca[[#Headers],[Ca]:[Kết thúc]]),0)&gt; VLOOKUP(AF$6, Table_ChiPhiNV_Ca[], COUNTA(Table_ChiPhiNV_Ca[[#Headers],[Ca]:[Bắt đầu]]),0),
IF($AA28-$Z$4&lt;MAX(AF$4,VLOOKUP(AF$6, Table_ChiPhiNV_Ca[], COUNTA(Table_ChiPhiNV_Ca[[#Headers],[Ca]:[Bắt đầu]]),0)),0,
IF($AA28&gt;MIN(AF$5,VLOOKUP(AF$6, Table_ChiPhiNV_Ca[], COUNTA(Table_ChiPhiNV_Ca[[#Headers],[Ca]:[Kết thúc]]),0)),0,
SUM(_xlfn._xlws.FILTER(Table_BangLuong_TyLeTangCa[Tỷ lệ],
(Table_BangLuong_TyLeTangCa[Ngày] = "Thường") *
(Table_BangLuong_TyLeTangCa[Giờ min]&lt;=$AA28) *
(Table_BangLuong_TyLeTangCa[Giờ max]&gt;$AA28)
)))),
IF(AF$4 &gt; AF$5,
IF(
AND(
$AA28-$Z$4&lt;MAX(AF$4,VLOOKUP(AF$6, Table_ChiPhiNV_Ca[], COUNTA(Table_ChiPhiNV_Ca[[#Headers],[Ca]:[Bắt đầu]]),0)),
$AA28&gt;MIN(AF$5,VLOOKUP(AF$6, Table_ChiPhiNV_Ca[], COUNTA(Table_ChiPhiNV_Ca[[#Headers],[Ca]:[Kết thúc]]),0))),0,
SUM(_xlfn._xlws.FILTER(Table_BangLuong_TyLeTangCa[Tỷ lệ],
(Table_BangLuong_TyLeTangCa[Ngày] = "Thường") *
(Table_BangLuong_TyLeTangCa[Giờ min]&lt;=$AA28) *
(Table_BangLuong_TyLeTangCa[Giờ max]&gt;$AA28)
))),
IF(
AND(
$AA28-$Z$4&gt;=MAX(AF$4,VLOOKUP(AF$6, Table_ChiPhiNV_Ca[], COUNTA(Table_ChiPhiNV_Ca[[#Headers],[Ca]:[Bắt đầu]]),0)),
$AA28&lt;MIN(AF$5,VLOOKUP(AF$6, Table_ChiPhiNV_Ca[], COUNTA(Table_ChiPhiNV_Ca[[#Headers],[Ca]:[Kết thúc]]),0))),
SUM(_xlfn._xlws.FILTER(Table_BangLuong_TyLeTangCa[Tỷ lệ],
(Table_BangLuong_TyLeTangCa[Ngày] = "Thường") *
(Table_BangLuong_TyLeTangCa[Giờ min]&lt;=$AA28) *
(Table_BangLuong_TyLeTangCa[Giờ max]&gt;$AA28)
)),0)
)),
IF(AF$4 &lt; AF$5,
IF($AA28-$Z$4&lt;AF$4,0,
IF($AA28&gt;AF$5,0,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AF$5,$AA28 &lt; AF$4),0,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G28" s="18" cm="1">
        <f t="array" ref="AG28" xml:space="preserve">
IFERROR(
IF(AG$1="",0,
IF(AND(
$AA28&gt;=VLOOKUP(AG$6, Table_ChiPhiNV_Ca[], COUNTA(Table_ChiPhiNV_Ca[[#Headers],[Ca]:[Bắt đầu nghỉ]]),0),
$AA28&lt;VLOOKUP(AG$6, Table_ChiPhiNV_Ca[], COUNTA(Table_ChiPhiNV_Ca[[#Headers],[Ca]:[Kết thúc nghỉ]]),0)
),0,
IF(NOT(ISBLANK(AG$3)),
IF(ISBLANK(AG$7),0,
IF(AG$4 &lt; AG$5,
IF($AA28-$Z$4&lt;AG$4,0,
IF($AA28&gt;AG$5,0,
SUM(_xlfn._xlws.FILTER(Table_BangLuong_TyLeTangCa[Tỷ lệ],
(Table_BangLuong_TyLeTangCa[Ngày] = AG$3) *
(Table_BangLuong_TyLeTangCa[Giờ min]&lt;=$AA28) *
(Table_BangLuong_TyLeTangCa[Giờ max]&gt;$AA28)
)))),
IF(AND($AA28-$Z$4 &gt;= AG$5,$AA28 &lt; AG$4),0,
SUM(_xlfn._xlws.FILTER(Table_BangLuong_TyLeTangCa[Tỷ lệ],
(Table_BangLuong_TyLeTangCa[Ngày] = AG$3) *
(Table_BangLuong_TyLeTangCa[Giờ min]&lt;=$AA28) *
(Table_BangLuong_TyLeTangCa[Giờ max]&gt;$AA28)
))))
),
IF(ISBLANK(AG$7),
IF(VLOOKUP(AG$6, Table_ChiPhiNV_Ca[], COUNTA(Table_ChiPhiNV_Ca[[#Headers],[Ca]:[Kết thúc]]),0)&gt; VLOOKUP(AG$6, Table_ChiPhiNV_Ca[], COUNTA(Table_ChiPhiNV_Ca[[#Headers],[Ca]:[Bắt đầu]]),0),
IF($AA28-$Z$4&lt;MAX(AG$4,VLOOKUP(AG$6, Table_ChiPhiNV_Ca[], COUNTA(Table_ChiPhiNV_Ca[[#Headers],[Ca]:[Bắt đầu]]),0)),0,
IF($AA28&gt;MIN(AG$5,VLOOKUP(AG$6, Table_ChiPhiNV_Ca[], COUNTA(Table_ChiPhiNV_Ca[[#Headers],[Ca]:[Kết thúc]]),0)),0,
SUM(_xlfn._xlws.FILTER(Table_BangLuong_TyLeTangCa[Tỷ lệ],
(Table_BangLuong_TyLeTangCa[Ngày] = "Thường") *
(Table_BangLuong_TyLeTangCa[Giờ min]&lt;=$AA28) *
(Table_BangLuong_TyLeTangCa[Giờ max]&gt;$AA28)
)))),
IF(AG$4 &gt; AG$5,
IF(
AND(
$AA28-$Z$4&lt;MAX(AG$4,VLOOKUP(AG$6, Table_ChiPhiNV_Ca[], COUNTA(Table_ChiPhiNV_Ca[[#Headers],[Ca]:[Bắt đầu]]),0)),
$AA28&gt;MIN(AG$5,VLOOKUP(AG$6, Table_ChiPhiNV_Ca[], COUNTA(Table_ChiPhiNV_Ca[[#Headers],[Ca]:[Kết thúc]]),0))),0,
SUM(_xlfn._xlws.FILTER(Table_BangLuong_TyLeTangCa[Tỷ lệ],
(Table_BangLuong_TyLeTangCa[Ngày] = "Thường") *
(Table_BangLuong_TyLeTangCa[Giờ min]&lt;=$AA28) *
(Table_BangLuong_TyLeTangCa[Giờ max]&gt;$AA28)
))),
IF(
AND(
$AA28-$Z$4&gt;=MAX(AG$4,VLOOKUP(AG$6, Table_ChiPhiNV_Ca[], COUNTA(Table_ChiPhiNV_Ca[[#Headers],[Ca]:[Bắt đầu]]),0)),
$AA28&lt;MIN(AG$5,VLOOKUP(AG$6, Table_ChiPhiNV_Ca[], COUNTA(Table_ChiPhiNV_Ca[[#Headers],[Ca]:[Kết thúc]]),0))),
SUM(_xlfn._xlws.FILTER(Table_BangLuong_TyLeTangCa[Tỷ lệ],
(Table_BangLuong_TyLeTangCa[Ngày] = "Thường") *
(Table_BangLuong_TyLeTangCa[Giờ min]&lt;=$AA28) *
(Table_BangLuong_TyLeTangCa[Giờ max]&gt;$AA28)
)),0)
)),
IF(AG$4 &lt; AG$5,
IF($AA28-$Z$4&lt;AG$4,0,
IF($AA28&gt;AG$5,0,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AG$5,$AA28 &lt; AG$4),0,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H28" s="18" cm="1">
        <f t="array" ref="AH28" xml:space="preserve">
IFERROR(
IF(AH$1="",0,
IF(AND(
$AA28&gt;=VLOOKUP(AH$6, Table_ChiPhiNV_Ca[], COUNTA(Table_ChiPhiNV_Ca[[#Headers],[Ca]:[Bắt đầu nghỉ]]),0),
$AA28&lt;VLOOKUP(AH$6, Table_ChiPhiNV_Ca[], COUNTA(Table_ChiPhiNV_Ca[[#Headers],[Ca]:[Kết thúc nghỉ]]),0)
),0,
IF(NOT(ISBLANK(AH$3)),
IF(ISBLANK(AH$7),0,
IF(AH$4 &lt; AH$5,
IF($AA28-$Z$4&lt;AH$4,0,
IF($AA28&gt;AH$5,0,
SUM(_xlfn._xlws.FILTER(Table_BangLuong_TyLeTangCa[Tỷ lệ],
(Table_BangLuong_TyLeTangCa[Ngày] = AH$3) *
(Table_BangLuong_TyLeTangCa[Giờ min]&lt;=$AA28) *
(Table_BangLuong_TyLeTangCa[Giờ max]&gt;$AA28)
)))),
IF(AND($AA28-$Z$4 &gt;= AH$5,$AA28 &lt; AH$4),0,
SUM(_xlfn._xlws.FILTER(Table_BangLuong_TyLeTangCa[Tỷ lệ],
(Table_BangLuong_TyLeTangCa[Ngày] = AH$3) *
(Table_BangLuong_TyLeTangCa[Giờ min]&lt;=$AA28) *
(Table_BangLuong_TyLeTangCa[Giờ max]&gt;$AA28)
))))
),
IF(ISBLANK(AH$7),
IF(VLOOKUP(AH$6, Table_ChiPhiNV_Ca[], COUNTA(Table_ChiPhiNV_Ca[[#Headers],[Ca]:[Kết thúc]]),0)&gt; VLOOKUP(AH$6, Table_ChiPhiNV_Ca[], COUNTA(Table_ChiPhiNV_Ca[[#Headers],[Ca]:[Bắt đầu]]),0),
IF($AA28-$Z$4&lt;MAX(AH$4,VLOOKUP(AH$6, Table_ChiPhiNV_Ca[], COUNTA(Table_ChiPhiNV_Ca[[#Headers],[Ca]:[Bắt đầu]]),0)),0,
IF($AA28&gt;MIN(AH$5,VLOOKUP(AH$6, Table_ChiPhiNV_Ca[], COUNTA(Table_ChiPhiNV_Ca[[#Headers],[Ca]:[Kết thúc]]),0)),0,
SUM(_xlfn._xlws.FILTER(Table_BangLuong_TyLeTangCa[Tỷ lệ],
(Table_BangLuong_TyLeTangCa[Ngày] = "Thường") *
(Table_BangLuong_TyLeTangCa[Giờ min]&lt;=$AA28) *
(Table_BangLuong_TyLeTangCa[Giờ max]&gt;$AA28)
)))),
IF(AH$4 &gt; AH$5,
IF(
AND(
$AA28-$Z$4&lt;MAX(AH$4,VLOOKUP(AH$6, Table_ChiPhiNV_Ca[], COUNTA(Table_ChiPhiNV_Ca[[#Headers],[Ca]:[Bắt đầu]]),0)),
$AA28&gt;MIN(AH$5,VLOOKUP(AH$6, Table_ChiPhiNV_Ca[], COUNTA(Table_ChiPhiNV_Ca[[#Headers],[Ca]:[Kết thúc]]),0))),0,
SUM(_xlfn._xlws.FILTER(Table_BangLuong_TyLeTangCa[Tỷ lệ],
(Table_BangLuong_TyLeTangCa[Ngày] = "Thường") *
(Table_BangLuong_TyLeTangCa[Giờ min]&lt;=$AA28) *
(Table_BangLuong_TyLeTangCa[Giờ max]&gt;$AA28)
))),
IF(
AND(
$AA28-$Z$4&gt;=MAX(AH$4,VLOOKUP(AH$6, Table_ChiPhiNV_Ca[], COUNTA(Table_ChiPhiNV_Ca[[#Headers],[Ca]:[Bắt đầu]]),0)),
$AA28&lt;MIN(AH$5,VLOOKUP(AH$6, Table_ChiPhiNV_Ca[], COUNTA(Table_ChiPhiNV_Ca[[#Headers],[Ca]:[Kết thúc]]),0))),
SUM(_xlfn._xlws.FILTER(Table_BangLuong_TyLeTangCa[Tỷ lệ],
(Table_BangLuong_TyLeTangCa[Ngày] = "Thường") *
(Table_BangLuong_TyLeTangCa[Giờ min]&lt;=$AA28) *
(Table_BangLuong_TyLeTangCa[Giờ max]&gt;$AA28)
)),0)
)),
IF(AH$4 &lt; AH$5,
IF($AA28-$Z$4&lt;AH$4,0,
IF($AA28&gt;AH$5,0,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AH$5,$AA28 &lt; AH$4),0,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I28" s="18" cm="1">
        <f t="array" ref="AI28" xml:space="preserve">
IFERROR(
IF(AI$1="",0,
IF(AND(
$AA28&gt;=VLOOKUP(AI$6, Table_ChiPhiNV_Ca[], COUNTA(Table_ChiPhiNV_Ca[[#Headers],[Ca]:[Bắt đầu nghỉ]]),0),
$AA28&lt;VLOOKUP(AI$6, Table_ChiPhiNV_Ca[], COUNTA(Table_ChiPhiNV_Ca[[#Headers],[Ca]:[Kết thúc nghỉ]]),0)
),0,
IF(NOT(ISBLANK(AI$3)),
IF(ISBLANK(AI$7),0,
IF(AI$4 &lt; AI$5,
IF($AA28-$Z$4&lt;AI$4,0,
IF($AA28&gt;AI$5,0,
SUM(_xlfn._xlws.FILTER(Table_BangLuong_TyLeTangCa[Tỷ lệ],
(Table_BangLuong_TyLeTangCa[Ngày] = AI$3) *
(Table_BangLuong_TyLeTangCa[Giờ min]&lt;=$AA28) *
(Table_BangLuong_TyLeTangCa[Giờ max]&gt;$AA28)
)))),
IF(AND($AA28-$Z$4 &gt;= AI$5,$AA28 &lt; AI$4),0,
SUM(_xlfn._xlws.FILTER(Table_BangLuong_TyLeTangCa[Tỷ lệ],
(Table_BangLuong_TyLeTangCa[Ngày] = AI$3) *
(Table_BangLuong_TyLeTangCa[Giờ min]&lt;=$AA28) *
(Table_BangLuong_TyLeTangCa[Giờ max]&gt;$AA28)
))))
),
IF(ISBLANK(AI$7),
IF(VLOOKUP(AI$6, Table_ChiPhiNV_Ca[], COUNTA(Table_ChiPhiNV_Ca[[#Headers],[Ca]:[Kết thúc]]),0)&gt; VLOOKUP(AI$6, Table_ChiPhiNV_Ca[], COUNTA(Table_ChiPhiNV_Ca[[#Headers],[Ca]:[Bắt đầu]]),0),
IF($AA28-$Z$4&lt;MAX(AI$4,VLOOKUP(AI$6, Table_ChiPhiNV_Ca[], COUNTA(Table_ChiPhiNV_Ca[[#Headers],[Ca]:[Bắt đầu]]),0)),0,
IF($AA28&gt;MIN(AI$5,VLOOKUP(AI$6, Table_ChiPhiNV_Ca[], COUNTA(Table_ChiPhiNV_Ca[[#Headers],[Ca]:[Kết thúc]]),0)),0,
SUM(_xlfn._xlws.FILTER(Table_BangLuong_TyLeTangCa[Tỷ lệ],
(Table_BangLuong_TyLeTangCa[Ngày] = "Thường") *
(Table_BangLuong_TyLeTangCa[Giờ min]&lt;=$AA28) *
(Table_BangLuong_TyLeTangCa[Giờ max]&gt;$AA28)
)))),
IF(AI$4 &gt; AI$5,
IF(
AND(
$AA28-$Z$4&lt;MAX(AI$4,VLOOKUP(AI$6, Table_ChiPhiNV_Ca[], COUNTA(Table_ChiPhiNV_Ca[[#Headers],[Ca]:[Bắt đầu]]),0)),
$AA28&gt;MIN(AI$5,VLOOKUP(AI$6, Table_ChiPhiNV_Ca[], COUNTA(Table_ChiPhiNV_Ca[[#Headers],[Ca]:[Kết thúc]]),0))),0,
SUM(_xlfn._xlws.FILTER(Table_BangLuong_TyLeTangCa[Tỷ lệ],
(Table_BangLuong_TyLeTangCa[Ngày] = "Thường") *
(Table_BangLuong_TyLeTangCa[Giờ min]&lt;=$AA28) *
(Table_BangLuong_TyLeTangCa[Giờ max]&gt;$AA28)
))),
IF(
AND(
$AA28-$Z$4&gt;=MAX(AI$4,VLOOKUP(AI$6, Table_ChiPhiNV_Ca[], COUNTA(Table_ChiPhiNV_Ca[[#Headers],[Ca]:[Bắt đầu]]),0)),
$AA28&lt;MIN(AI$5,VLOOKUP(AI$6, Table_ChiPhiNV_Ca[], COUNTA(Table_ChiPhiNV_Ca[[#Headers],[Ca]:[Kết thúc]]),0))),
SUM(_xlfn._xlws.FILTER(Table_BangLuong_TyLeTangCa[Tỷ lệ],
(Table_BangLuong_TyLeTangCa[Ngày] = "Thường") *
(Table_BangLuong_TyLeTangCa[Giờ min]&lt;=$AA28) *
(Table_BangLuong_TyLeTangCa[Giờ max]&gt;$AA28)
)),0)
)),
IF(AI$4 &lt; AI$5,
IF($AA28-$Z$4&lt;AI$4,0,
IF($AA28&gt;AI$5,0,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AI$5,$AA28 &lt; AI$4),0,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J28" s="18" cm="1">
        <f t="array" ref="AJ28" xml:space="preserve">
IFERROR(
IF(AJ$1="",0,
IF(AND(
$AA28&gt;=VLOOKUP(AJ$6, Table_ChiPhiNV_Ca[], COUNTA(Table_ChiPhiNV_Ca[[#Headers],[Ca]:[Bắt đầu nghỉ]]),0),
$AA28&lt;VLOOKUP(AJ$6, Table_ChiPhiNV_Ca[], COUNTA(Table_ChiPhiNV_Ca[[#Headers],[Ca]:[Kết thúc nghỉ]]),0)
),0,
IF(NOT(ISBLANK(AJ$3)),
IF(ISBLANK(AJ$7),0,
IF(AJ$4 &lt; AJ$5,
IF($AA28-$Z$4&lt;AJ$4,0,
IF($AA28&gt;AJ$5,0,
SUM(_xlfn._xlws.FILTER(Table_BangLuong_TyLeTangCa[Tỷ lệ],
(Table_BangLuong_TyLeTangCa[Ngày] = AJ$3) *
(Table_BangLuong_TyLeTangCa[Giờ min]&lt;=$AA28) *
(Table_BangLuong_TyLeTangCa[Giờ max]&gt;$AA28)
)))),
IF(AND($AA28-$Z$4 &gt;= AJ$5,$AA28 &lt; AJ$4),0,
SUM(_xlfn._xlws.FILTER(Table_BangLuong_TyLeTangCa[Tỷ lệ],
(Table_BangLuong_TyLeTangCa[Ngày] = AJ$3) *
(Table_BangLuong_TyLeTangCa[Giờ min]&lt;=$AA28) *
(Table_BangLuong_TyLeTangCa[Giờ max]&gt;$AA28)
))))
),
IF(ISBLANK(AJ$7),
IF(VLOOKUP(AJ$6, Table_ChiPhiNV_Ca[], COUNTA(Table_ChiPhiNV_Ca[[#Headers],[Ca]:[Kết thúc]]),0)&gt; VLOOKUP(AJ$6, Table_ChiPhiNV_Ca[], COUNTA(Table_ChiPhiNV_Ca[[#Headers],[Ca]:[Bắt đầu]]),0),
IF($AA28-$Z$4&lt;MAX(AJ$4,VLOOKUP(AJ$6, Table_ChiPhiNV_Ca[], COUNTA(Table_ChiPhiNV_Ca[[#Headers],[Ca]:[Bắt đầu]]),0)),0,
IF($AA28&gt;MIN(AJ$5,VLOOKUP(AJ$6, Table_ChiPhiNV_Ca[], COUNTA(Table_ChiPhiNV_Ca[[#Headers],[Ca]:[Kết thúc]]),0)),0,
SUM(_xlfn._xlws.FILTER(Table_BangLuong_TyLeTangCa[Tỷ lệ],
(Table_BangLuong_TyLeTangCa[Ngày] = "Thường") *
(Table_BangLuong_TyLeTangCa[Giờ min]&lt;=$AA28) *
(Table_BangLuong_TyLeTangCa[Giờ max]&gt;$AA28)
)))),
IF(AJ$4 &gt; AJ$5,
IF(
AND(
$AA28-$Z$4&lt;MAX(AJ$4,VLOOKUP(AJ$6, Table_ChiPhiNV_Ca[], COUNTA(Table_ChiPhiNV_Ca[[#Headers],[Ca]:[Bắt đầu]]),0)),
$AA28&gt;MIN(AJ$5,VLOOKUP(AJ$6, Table_ChiPhiNV_Ca[], COUNTA(Table_ChiPhiNV_Ca[[#Headers],[Ca]:[Kết thúc]]),0))),0,
SUM(_xlfn._xlws.FILTER(Table_BangLuong_TyLeTangCa[Tỷ lệ],
(Table_BangLuong_TyLeTangCa[Ngày] = "Thường") *
(Table_BangLuong_TyLeTangCa[Giờ min]&lt;=$AA28) *
(Table_BangLuong_TyLeTangCa[Giờ max]&gt;$AA28)
))),
IF(
AND(
$AA28-$Z$4&gt;=MAX(AJ$4,VLOOKUP(AJ$6, Table_ChiPhiNV_Ca[], COUNTA(Table_ChiPhiNV_Ca[[#Headers],[Ca]:[Bắt đầu]]),0)),
$AA28&lt;MIN(AJ$5,VLOOKUP(AJ$6, Table_ChiPhiNV_Ca[], COUNTA(Table_ChiPhiNV_Ca[[#Headers],[Ca]:[Kết thúc]]),0))),
SUM(_xlfn._xlws.FILTER(Table_BangLuong_TyLeTangCa[Tỷ lệ],
(Table_BangLuong_TyLeTangCa[Ngày] = "Thường") *
(Table_BangLuong_TyLeTangCa[Giờ min]&lt;=$AA28) *
(Table_BangLuong_TyLeTangCa[Giờ max]&gt;$AA28)
)),0)
)),
IF(AJ$4 &lt; AJ$5,
IF($AA28-$Z$4&lt;AJ$4,0,
IF($AA28&gt;AJ$5,0,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AJ$5,$AA28 &lt; AJ$4),0,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K28" s="18" cm="1">
        <f t="array" ref="AK28" xml:space="preserve">
IFERROR(
IF(AK$1="",0,
IF(AND(
$AA28&gt;=VLOOKUP(AK$6, Table_ChiPhiNV_Ca[], COUNTA(Table_ChiPhiNV_Ca[[#Headers],[Ca]:[Bắt đầu nghỉ]]),0),
$AA28&lt;VLOOKUP(AK$6, Table_ChiPhiNV_Ca[], COUNTA(Table_ChiPhiNV_Ca[[#Headers],[Ca]:[Kết thúc nghỉ]]),0)
),0,
IF(NOT(ISBLANK(AK$3)),
IF(ISBLANK(AK$7),0,
IF(AK$4 &lt; AK$5,
IF($AA28-$Z$4&lt;AK$4,0,
IF($AA28&gt;AK$5,0,
SUM(_xlfn._xlws.FILTER(Table_BangLuong_TyLeTangCa[Tỷ lệ],
(Table_BangLuong_TyLeTangCa[Ngày] = AK$3) *
(Table_BangLuong_TyLeTangCa[Giờ min]&lt;=$AA28) *
(Table_BangLuong_TyLeTangCa[Giờ max]&gt;$AA28)
)))),
IF(AND($AA28-$Z$4 &gt;= AK$5,$AA28 &lt; AK$4),0,
SUM(_xlfn._xlws.FILTER(Table_BangLuong_TyLeTangCa[Tỷ lệ],
(Table_BangLuong_TyLeTangCa[Ngày] = AK$3) *
(Table_BangLuong_TyLeTangCa[Giờ min]&lt;=$AA28) *
(Table_BangLuong_TyLeTangCa[Giờ max]&gt;$AA28)
))))
),
IF(ISBLANK(AK$7),
IF(VLOOKUP(AK$6, Table_ChiPhiNV_Ca[], COUNTA(Table_ChiPhiNV_Ca[[#Headers],[Ca]:[Kết thúc]]),0)&gt; VLOOKUP(AK$6, Table_ChiPhiNV_Ca[], COUNTA(Table_ChiPhiNV_Ca[[#Headers],[Ca]:[Bắt đầu]]),0),
IF($AA28-$Z$4&lt;MAX(AK$4,VLOOKUP(AK$6, Table_ChiPhiNV_Ca[], COUNTA(Table_ChiPhiNV_Ca[[#Headers],[Ca]:[Bắt đầu]]),0)),0,
IF($AA28&gt;MIN(AK$5,VLOOKUP(AK$6, Table_ChiPhiNV_Ca[], COUNTA(Table_ChiPhiNV_Ca[[#Headers],[Ca]:[Kết thúc]]),0)),0,
SUM(_xlfn._xlws.FILTER(Table_BangLuong_TyLeTangCa[Tỷ lệ],
(Table_BangLuong_TyLeTangCa[Ngày] = "Thường") *
(Table_BangLuong_TyLeTangCa[Giờ min]&lt;=$AA28) *
(Table_BangLuong_TyLeTangCa[Giờ max]&gt;$AA28)
)))),
IF(AK$4 &gt; AK$5,
IF(
AND(
$AA28-$Z$4&lt;MAX(AK$4,VLOOKUP(AK$6, Table_ChiPhiNV_Ca[], COUNTA(Table_ChiPhiNV_Ca[[#Headers],[Ca]:[Bắt đầu]]),0)),
$AA28&gt;MIN(AK$5,VLOOKUP(AK$6, Table_ChiPhiNV_Ca[], COUNTA(Table_ChiPhiNV_Ca[[#Headers],[Ca]:[Kết thúc]]),0))),0,
SUM(_xlfn._xlws.FILTER(Table_BangLuong_TyLeTangCa[Tỷ lệ],
(Table_BangLuong_TyLeTangCa[Ngày] = "Thường") *
(Table_BangLuong_TyLeTangCa[Giờ min]&lt;=$AA28) *
(Table_BangLuong_TyLeTangCa[Giờ max]&gt;$AA28)
))),
IF(
AND(
$AA28-$Z$4&gt;=MAX(AK$4,VLOOKUP(AK$6, Table_ChiPhiNV_Ca[], COUNTA(Table_ChiPhiNV_Ca[[#Headers],[Ca]:[Bắt đầu]]),0)),
$AA28&lt;MIN(AK$5,VLOOKUP(AK$6, Table_ChiPhiNV_Ca[], COUNTA(Table_ChiPhiNV_Ca[[#Headers],[Ca]:[Kết thúc]]),0))),
SUM(_xlfn._xlws.FILTER(Table_BangLuong_TyLeTangCa[Tỷ lệ],
(Table_BangLuong_TyLeTangCa[Ngày] = "Thường") *
(Table_BangLuong_TyLeTangCa[Giờ min]&lt;=$AA28) *
(Table_BangLuong_TyLeTangCa[Giờ max]&gt;$AA28)
)),0)
)),
IF(AK$4 &lt; AK$5,
IF($AA28-$Z$4&lt;AK$4,0,
IF($AA28&gt;AK$5,0,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AK$5,$AA28 &lt; AK$4),0,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L28" s="18" cm="1">
        <f t="array" ref="AL28" xml:space="preserve">
IFERROR(
IF(AL$1="",0,
IF(AND(
$AA28&gt;=VLOOKUP(AL$6, Table_ChiPhiNV_Ca[], COUNTA(Table_ChiPhiNV_Ca[[#Headers],[Ca]:[Bắt đầu nghỉ]]),0),
$AA28&lt;VLOOKUP(AL$6, Table_ChiPhiNV_Ca[], COUNTA(Table_ChiPhiNV_Ca[[#Headers],[Ca]:[Kết thúc nghỉ]]),0)
),0,
IF(NOT(ISBLANK(AL$3)),
IF(ISBLANK(AL$7),0,
IF(AL$4 &lt; AL$5,
IF($AA28-$Z$4&lt;AL$4,0,
IF($AA28&gt;AL$5,0,
SUM(_xlfn._xlws.FILTER(Table_BangLuong_TyLeTangCa[Tỷ lệ],
(Table_BangLuong_TyLeTangCa[Ngày] = AL$3) *
(Table_BangLuong_TyLeTangCa[Giờ min]&lt;=$AA28) *
(Table_BangLuong_TyLeTangCa[Giờ max]&gt;$AA28)
)))),
IF(AND($AA28-$Z$4 &gt;= AL$5,$AA28 &lt; AL$4),0,
SUM(_xlfn._xlws.FILTER(Table_BangLuong_TyLeTangCa[Tỷ lệ],
(Table_BangLuong_TyLeTangCa[Ngày] = AL$3) *
(Table_BangLuong_TyLeTangCa[Giờ min]&lt;=$AA28) *
(Table_BangLuong_TyLeTangCa[Giờ max]&gt;$AA28)
))))
),
IF(ISBLANK(AL$7),
IF(VLOOKUP(AL$6, Table_ChiPhiNV_Ca[], COUNTA(Table_ChiPhiNV_Ca[[#Headers],[Ca]:[Kết thúc]]),0)&gt; VLOOKUP(AL$6, Table_ChiPhiNV_Ca[], COUNTA(Table_ChiPhiNV_Ca[[#Headers],[Ca]:[Bắt đầu]]),0),
IF($AA28-$Z$4&lt;MAX(AL$4,VLOOKUP(AL$6, Table_ChiPhiNV_Ca[], COUNTA(Table_ChiPhiNV_Ca[[#Headers],[Ca]:[Bắt đầu]]),0)),0,
IF($AA28&gt;MIN(AL$5,VLOOKUP(AL$6, Table_ChiPhiNV_Ca[], COUNTA(Table_ChiPhiNV_Ca[[#Headers],[Ca]:[Kết thúc]]),0)),0,
SUM(_xlfn._xlws.FILTER(Table_BangLuong_TyLeTangCa[Tỷ lệ],
(Table_BangLuong_TyLeTangCa[Ngày] = "Thường") *
(Table_BangLuong_TyLeTangCa[Giờ min]&lt;=$AA28) *
(Table_BangLuong_TyLeTangCa[Giờ max]&gt;$AA28)
)))),
IF(AL$4 &gt; AL$5,
IF(
AND(
$AA28-$Z$4&lt;MAX(AL$4,VLOOKUP(AL$6, Table_ChiPhiNV_Ca[], COUNTA(Table_ChiPhiNV_Ca[[#Headers],[Ca]:[Bắt đầu]]),0)),
$AA28&gt;MIN(AL$5,VLOOKUP(AL$6, Table_ChiPhiNV_Ca[], COUNTA(Table_ChiPhiNV_Ca[[#Headers],[Ca]:[Kết thúc]]),0))),0,
SUM(_xlfn._xlws.FILTER(Table_BangLuong_TyLeTangCa[Tỷ lệ],
(Table_BangLuong_TyLeTangCa[Ngày] = "Thường") *
(Table_BangLuong_TyLeTangCa[Giờ min]&lt;=$AA28) *
(Table_BangLuong_TyLeTangCa[Giờ max]&gt;$AA28)
))),
IF(
AND(
$AA28-$Z$4&gt;=MAX(AL$4,VLOOKUP(AL$6, Table_ChiPhiNV_Ca[], COUNTA(Table_ChiPhiNV_Ca[[#Headers],[Ca]:[Bắt đầu]]),0)),
$AA28&lt;MIN(AL$5,VLOOKUP(AL$6, Table_ChiPhiNV_Ca[], COUNTA(Table_ChiPhiNV_Ca[[#Headers],[Ca]:[Kết thúc]]),0))),
SUM(_xlfn._xlws.FILTER(Table_BangLuong_TyLeTangCa[Tỷ lệ],
(Table_BangLuong_TyLeTangCa[Ngày] = "Thường") *
(Table_BangLuong_TyLeTangCa[Giờ min]&lt;=$AA28) *
(Table_BangLuong_TyLeTangCa[Giờ max]&gt;$AA28)
)),0)
)),
IF(AL$4 &lt; AL$5,
IF($AA28-$Z$4&lt;AL$4,0,
IF($AA28&gt;AL$5,0,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AL$5,$AA28 &lt; AL$4),0,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M28" s="18" cm="1">
        <f t="array" ref="AM28" xml:space="preserve">
IFERROR(
IF(AM$1="",0,
IF(AND(
$AA28&gt;=VLOOKUP(AM$6, Table_ChiPhiNV_Ca[], COUNTA(Table_ChiPhiNV_Ca[[#Headers],[Ca]:[Bắt đầu nghỉ]]),0),
$AA28&lt;VLOOKUP(AM$6, Table_ChiPhiNV_Ca[], COUNTA(Table_ChiPhiNV_Ca[[#Headers],[Ca]:[Kết thúc nghỉ]]),0)
),0,
IF(NOT(ISBLANK(AM$3)),
IF(ISBLANK(AM$7),0,
IF(AM$4 &lt; AM$5,
IF($AA28-$Z$4&lt;AM$4,0,
IF($AA28&gt;AM$5,0,
SUM(_xlfn._xlws.FILTER(Table_BangLuong_TyLeTangCa[Tỷ lệ],
(Table_BangLuong_TyLeTangCa[Ngày] = AM$3) *
(Table_BangLuong_TyLeTangCa[Giờ min]&lt;=$AA28) *
(Table_BangLuong_TyLeTangCa[Giờ max]&gt;$AA28)
)))),
IF(AND($AA28-$Z$4 &gt;= AM$5,$AA28 &lt; AM$4),0,
SUM(_xlfn._xlws.FILTER(Table_BangLuong_TyLeTangCa[Tỷ lệ],
(Table_BangLuong_TyLeTangCa[Ngày] = AM$3) *
(Table_BangLuong_TyLeTangCa[Giờ min]&lt;=$AA28) *
(Table_BangLuong_TyLeTangCa[Giờ max]&gt;$AA28)
))))
),
IF(ISBLANK(AM$7),
IF(VLOOKUP(AM$6, Table_ChiPhiNV_Ca[], COUNTA(Table_ChiPhiNV_Ca[[#Headers],[Ca]:[Kết thúc]]),0)&gt; VLOOKUP(AM$6, Table_ChiPhiNV_Ca[], COUNTA(Table_ChiPhiNV_Ca[[#Headers],[Ca]:[Bắt đầu]]),0),
IF($AA28-$Z$4&lt;MAX(AM$4,VLOOKUP(AM$6, Table_ChiPhiNV_Ca[], COUNTA(Table_ChiPhiNV_Ca[[#Headers],[Ca]:[Bắt đầu]]),0)),0,
IF($AA28&gt;MIN(AM$5,VLOOKUP(AM$6, Table_ChiPhiNV_Ca[], COUNTA(Table_ChiPhiNV_Ca[[#Headers],[Ca]:[Kết thúc]]),0)),0,
SUM(_xlfn._xlws.FILTER(Table_BangLuong_TyLeTangCa[Tỷ lệ],
(Table_BangLuong_TyLeTangCa[Ngày] = "Thường") *
(Table_BangLuong_TyLeTangCa[Giờ min]&lt;=$AA28) *
(Table_BangLuong_TyLeTangCa[Giờ max]&gt;$AA28)
)))),
IF(AM$4 &gt; AM$5,
IF(
AND(
$AA28-$Z$4&lt;MAX(AM$4,VLOOKUP(AM$6, Table_ChiPhiNV_Ca[], COUNTA(Table_ChiPhiNV_Ca[[#Headers],[Ca]:[Bắt đầu]]),0)),
$AA28&gt;MIN(AM$5,VLOOKUP(AM$6, Table_ChiPhiNV_Ca[], COUNTA(Table_ChiPhiNV_Ca[[#Headers],[Ca]:[Kết thúc]]),0))),0,
SUM(_xlfn._xlws.FILTER(Table_BangLuong_TyLeTangCa[Tỷ lệ],
(Table_BangLuong_TyLeTangCa[Ngày] = "Thường") *
(Table_BangLuong_TyLeTangCa[Giờ min]&lt;=$AA28) *
(Table_BangLuong_TyLeTangCa[Giờ max]&gt;$AA28)
))),
IF(
AND(
$AA28-$Z$4&gt;=MAX(AM$4,VLOOKUP(AM$6, Table_ChiPhiNV_Ca[], COUNTA(Table_ChiPhiNV_Ca[[#Headers],[Ca]:[Bắt đầu]]),0)),
$AA28&lt;MIN(AM$5,VLOOKUP(AM$6, Table_ChiPhiNV_Ca[], COUNTA(Table_ChiPhiNV_Ca[[#Headers],[Ca]:[Kết thúc]]),0))),
SUM(_xlfn._xlws.FILTER(Table_BangLuong_TyLeTangCa[Tỷ lệ],
(Table_BangLuong_TyLeTangCa[Ngày] = "Thường") *
(Table_BangLuong_TyLeTangCa[Giờ min]&lt;=$AA28) *
(Table_BangLuong_TyLeTangCa[Giờ max]&gt;$AA28)
)),0)
)),
IF(AM$4 &lt; AM$5,
IF($AA28-$Z$4&lt;AM$4,0,
IF($AA28&gt;AM$5,0,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AM$5,$AA28 &lt; AM$4),0,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N28" s="18" cm="1">
        <f t="array" ref="AN28" xml:space="preserve">
IFERROR(
IF(AN$1="",0,
IF(AND(
$AA28&gt;=VLOOKUP(AN$6, Table_ChiPhiNV_Ca[], COUNTA(Table_ChiPhiNV_Ca[[#Headers],[Ca]:[Bắt đầu nghỉ]]),0),
$AA28&lt;VLOOKUP(AN$6, Table_ChiPhiNV_Ca[], COUNTA(Table_ChiPhiNV_Ca[[#Headers],[Ca]:[Kết thúc nghỉ]]),0)
),0,
IF(NOT(ISBLANK(AN$3)),
IF(ISBLANK(AN$7),0,
IF(AN$4 &lt; AN$5,
IF($AA28-$Z$4&lt;AN$4,0,
IF($AA28&gt;AN$5,0,
SUM(_xlfn._xlws.FILTER(Table_BangLuong_TyLeTangCa[Tỷ lệ],
(Table_BangLuong_TyLeTangCa[Ngày] = AN$3) *
(Table_BangLuong_TyLeTangCa[Giờ min]&lt;=$AA28) *
(Table_BangLuong_TyLeTangCa[Giờ max]&gt;$AA28)
)))),
IF(AND($AA28-$Z$4 &gt;= AN$5,$AA28 &lt; AN$4),0,
SUM(_xlfn._xlws.FILTER(Table_BangLuong_TyLeTangCa[Tỷ lệ],
(Table_BangLuong_TyLeTangCa[Ngày] = AN$3) *
(Table_BangLuong_TyLeTangCa[Giờ min]&lt;=$AA28) *
(Table_BangLuong_TyLeTangCa[Giờ max]&gt;$AA28)
))))
),
IF(ISBLANK(AN$7),
IF(VLOOKUP(AN$6, Table_ChiPhiNV_Ca[], COUNTA(Table_ChiPhiNV_Ca[[#Headers],[Ca]:[Kết thúc]]),0)&gt; VLOOKUP(AN$6, Table_ChiPhiNV_Ca[], COUNTA(Table_ChiPhiNV_Ca[[#Headers],[Ca]:[Bắt đầu]]),0),
IF($AA28-$Z$4&lt;MAX(AN$4,VLOOKUP(AN$6, Table_ChiPhiNV_Ca[], COUNTA(Table_ChiPhiNV_Ca[[#Headers],[Ca]:[Bắt đầu]]),0)),0,
IF($AA28&gt;MIN(AN$5,VLOOKUP(AN$6, Table_ChiPhiNV_Ca[], COUNTA(Table_ChiPhiNV_Ca[[#Headers],[Ca]:[Kết thúc]]),0)),0,
SUM(_xlfn._xlws.FILTER(Table_BangLuong_TyLeTangCa[Tỷ lệ],
(Table_BangLuong_TyLeTangCa[Ngày] = "Thường") *
(Table_BangLuong_TyLeTangCa[Giờ min]&lt;=$AA28) *
(Table_BangLuong_TyLeTangCa[Giờ max]&gt;$AA28)
)))),
IF(AN$4 &gt; AN$5,
IF(
AND(
$AA28-$Z$4&lt;MAX(AN$4,VLOOKUP(AN$6, Table_ChiPhiNV_Ca[], COUNTA(Table_ChiPhiNV_Ca[[#Headers],[Ca]:[Bắt đầu]]),0)),
$AA28&gt;MIN(AN$5,VLOOKUP(AN$6, Table_ChiPhiNV_Ca[], COUNTA(Table_ChiPhiNV_Ca[[#Headers],[Ca]:[Kết thúc]]),0))),0,
SUM(_xlfn._xlws.FILTER(Table_BangLuong_TyLeTangCa[Tỷ lệ],
(Table_BangLuong_TyLeTangCa[Ngày] = "Thường") *
(Table_BangLuong_TyLeTangCa[Giờ min]&lt;=$AA28) *
(Table_BangLuong_TyLeTangCa[Giờ max]&gt;$AA28)
))),
IF(
AND(
$AA28-$Z$4&gt;=MAX(AN$4,VLOOKUP(AN$6, Table_ChiPhiNV_Ca[], COUNTA(Table_ChiPhiNV_Ca[[#Headers],[Ca]:[Bắt đầu]]),0)),
$AA28&lt;MIN(AN$5,VLOOKUP(AN$6, Table_ChiPhiNV_Ca[], COUNTA(Table_ChiPhiNV_Ca[[#Headers],[Ca]:[Kết thúc]]),0))),
SUM(_xlfn._xlws.FILTER(Table_BangLuong_TyLeTangCa[Tỷ lệ],
(Table_BangLuong_TyLeTangCa[Ngày] = "Thường") *
(Table_BangLuong_TyLeTangCa[Giờ min]&lt;=$AA28) *
(Table_BangLuong_TyLeTangCa[Giờ max]&gt;$AA28)
)),0)
)),
IF(AN$4 &lt; AN$5,
IF($AA28-$Z$4&lt;AN$4,0,
IF($AA28&gt;AN$5,0,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AN$5,$AA28 &lt; AN$4),0,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O28" s="18" cm="1">
        <f t="array" ref="AO28" xml:space="preserve">
IFERROR(
IF(AO$1="",0,
IF(AND(
$AA28&gt;=VLOOKUP(AO$6, Table_ChiPhiNV_Ca[], COUNTA(Table_ChiPhiNV_Ca[[#Headers],[Ca]:[Bắt đầu nghỉ]]),0),
$AA28&lt;VLOOKUP(AO$6, Table_ChiPhiNV_Ca[], COUNTA(Table_ChiPhiNV_Ca[[#Headers],[Ca]:[Kết thúc nghỉ]]),0)
),0,
IF(NOT(ISBLANK(AO$3)),
IF(ISBLANK(AO$7),0,
IF(AO$4 &lt; AO$5,
IF($AA28-$Z$4&lt;AO$4,0,
IF($AA28&gt;AO$5,0,
SUM(_xlfn._xlws.FILTER(Table_BangLuong_TyLeTangCa[Tỷ lệ],
(Table_BangLuong_TyLeTangCa[Ngày] = AO$3) *
(Table_BangLuong_TyLeTangCa[Giờ min]&lt;=$AA28) *
(Table_BangLuong_TyLeTangCa[Giờ max]&gt;$AA28)
)))),
IF(AND($AA28-$Z$4 &gt;= AO$5,$AA28 &lt; AO$4),0,
SUM(_xlfn._xlws.FILTER(Table_BangLuong_TyLeTangCa[Tỷ lệ],
(Table_BangLuong_TyLeTangCa[Ngày] = AO$3) *
(Table_BangLuong_TyLeTangCa[Giờ min]&lt;=$AA28) *
(Table_BangLuong_TyLeTangCa[Giờ max]&gt;$AA28)
))))
),
IF(ISBLANK(AO$7),
IF(VLOOKUP(AO$6, Table_ChiPhiNV_Ca[], COUNTA(Table_ChiPhiNV_Ca[[#Headers],[Ca]:[Kết thúc]]),0)&gt; VLOOKUP(AO$6, Table_ChiPhiNV_Ca[], COUNTA(Table_ChiPhiNV_Ca[[#Headers],[Ca]:[Bắt đầu]]),0),
IF($AA28-$Z$4&lt;MAX(AO$4,VLOOKUP(AO$6, Table_ChiPhiNV_Ca[], COUNTA(Table_ChiPhiNV_Ca[[#Headers],[Ca]:[Bắt đầu]]),0)),0,
IF($AA28&gt;MIN(AO$5,VLOOKUP(AO$6, Table_ChiPhiNV_Ca[], COUNTA(Table_ChiPhiNV_Ca[[#Headers],[Ca]:[Kết thúc]]),0)),0,
SUM(_xlfn._xlws.FILTER(Table_BangLuong_TyLeTangCa[Tỷ lệ],
(Table_BangLuong_TyLeTangCa[Ngày] = "Thường") *
(Table_BangLuong_TyLeTangCa[Giờ min]&lt;=$AA28) *
(Table_BangLuong_TyLeTangCa[Giờ max]&gt;$AA28)
)))),
IF(AO$4 &gt; AO$5,
IF(
AND(
$AA28-$Z$4&lt;MAX(AO$4,VLOOKUP(AO$6, Table_ChiPhiNV_Ca[], COUNTA(Table_ChiPhiNV_Ca[[#Headers],[Ca]:[Bắt đầu]]),0)),
$AA28&gt;MIN(AO$5,VLOOKUP(AO$6, Table_ChiPhiNV_Ca[], COUNTA(Table_ChiPhiNV_Ca[[#Headers],[Ca]:[Kết thúc]]),0))),0,
SUM(_xlfn._xlws.FILTER(Table_BangLuong_TyLeTangCa[Tỷ lệ],
(Table_BangLuong_TyLeTangCa[Ngày] = "Thường") *
(Table_BangLuong_TyLeTangCa[Giờ min]&lt;=$AA28) *
(Table_BangLuong_TyLeTangCa[Giờ max]&gt;$AA28)
))),
IF(
AND(
$AA28-$Z$4&gt;=MAX(AO$4,VLOOKUP(AO$6, Table_ChiPhiNV_Ca[], COUNTA(Table_ChiPhiNV_Ca[[#Headers],[Ca]:[Bắt đầu]]),0)),
$AA28&lt;MIN(AO$5,VLOOKUP(AO$6, Table_ChiPhiNV_Ca[], COUNTA(Table_ChiPhiNV_Ca[[#Headers],[Ca]:[Kết thúc]]),0))),
SUM(_xlfn._xlws.FILTER(Table_BangLuong_TyLeTangCa[Tỷ lệ],
(Table_BangLuong_TyLeTangCa[Ngày] = "Thường") *
(Table_BangLuong_TyLeTangCa[Giờ min]&lt;=$AA28) *
(Table_BangLuong_TyLeTangCa[Giờ max]&gt;$AA28)
)),0)
)),
IF(AO$4 &lt; AO$5,
IF($AA28-$Z$4&lt;AO$4,0,
IF($AA28&gt;AO$5,0,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AO$5,$AA28 &lt; AO$4),0,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P28" s="18" cm="1">
        <f t="array" ref="AP28" xml:space="preserve">
IFERROR(
IF(AP$1="",0,
IF(AND(
$AA28&gt;=VLOOKUP(AP$6, Table_ChiPhiNV_Ca[], COUNTA(Table_ChiPhiNV_Ca[[#Headers],[Ca]:[Bắt đầu nghỉ]]),0),
$AA28&lt;VLOOKUP(AP$6, Table_ChiPhiNV_Ca[], COUNTA(Table_ChiPhiNV_Ca[[#Headers],[Ca]:[Kết thúc nghỉ]]),0)
),0,
IF(NOT(ISBLANK(AP$3)),
IF(ISBLANK(AP$7),0,
IF(AP$4 &lt; AP$5,
IF($AA28-$Z$4&lt;AP$4,0,
IF($AA28&gt;AP$5,0,
SUM(_xlfn._xlws.FILTER(Table_BangLuong_TyLeTangCa[Tỷ lệ],
(Table_BangLuong_TyLeTangCa[Ngày] = AP$3) *
(Table_BangLuong_TyLeTangCa[Giờ min]&lt;=$AA28) *
(Table_BangLuong_TyLeTangCa[Giờ max]&gt;$AA28)
)))),
IF(AND($AA28-$Z$4 &gt;= AP$5,$AA28 &lt; AP$4),0,
SUM(_xlfn._xlws.FILTER(Table_BangLuong_TyLeTangCa[Tỷ lệ],
(Table_BangLuong_TyLeTangCa[Ngày] = AP$3) *
(Table_BangLuong_TyLeTangCa[Giờ min]&lt;=$AA28) *
(Table_BangLuong_TyLeTangCa[Giờ max]&gt;$AA28)
))))
),
IF(ISBLANK(AP$7),
IF(VLOOKUP(AP$6, Table_ChiPhiNV_Ca[], COUNTA(Table_ChiPhiNV_Ca[[#Headers],[Ca]:[Kết thúc]]),0)&gt; VLOOKUP(AP$6, Table_ChiPhiNV_Ca[], COUNTA(Table_ChiPhiNV_Ca[[#Headers],[Ca]:[Bắt đầu]]),0),
IF($AA28-$Z$4&lt;MAX(AP$4,VLOOKUP(AP$6, Table_ChiPhiNV_Ca[], COUNTA(Table_ChiPhiNV_Ca[[#Headers],[Ca]:[Bắt đầu]]),0)),0,
IF($AA28&gt;MIN(AP$5,VLOOKUP(AP$6, Table_ChiPhiNV_Ca[], COUNTA(Table_ChiPhiNV_Ca[[#Headers],[Ca]:[Kết thúc]]),0)),0,
SUM(_xlfn._xlws.FILTER(Table_BangLuong_TyLeTangCa[Tỷ lệ],
(Table_BangLuong_TyLeTangCa[Ngày] = "Thường") *
(Table_BangLuong_TyLeTangCa[Giờ min]&lt;=$AA28) *
(Table_BangLuong_TyLeTangCa[Giờ max]&gt;$AA28)
)))),
IF(AP$4 &gt; AP$5,
IF(
AND(
$AA28-$Z$4&lt;MAX(AP$4,VLOOKUP(AP$6, Table_ChiPhiNV_Ca[], COUNTA(Table_ChiPhiNV_Ca[[#Headers],[Ca]:[Bắt đầu]]),0)),
$AA28&gt;MIN(AP$5,VLOOKUP(AP$6, Table_ChiPhiNV_Ca[], COUNTA(Table_ChiPhiNV_Ca[[#Headers],[Ca]:[Kết thúc]]),0))),0,
SUM(_xlfn._xlws.FILTER(Table_BangLuong_TyLeTangCa[Tỷ lệ],
(Table_BangLuong_TyLeTangCa[Ngày] = "Thường") *
(Table_BangLuong_TyLeTangCa[Giờ min]&lt;=$AA28) *
(Table_BangLuong_TyLeTangCa[Giờ max]&gt;$AA28)
))),
IF(
AND(
$AA28-$Z$4&gt;=MAX(AP$4,VLOOKUP(AP$6, Table_ChiPhiNV_Ca[], COUNTA(Table_ChiPhiNV_Ca[[#Headers],[Ca]:[Bắt đầu]]),0)),
$AA28&lt;MIN(AP$5,VLOOKUP(AP$6, Table_ChiPhiNV_Ca[], COUNTA(Table_ChiPhiNV_Ca[[#Headers],[Ca]:[Kết thúc]]),0))),
SUM(_xlfn._xlws.FILTER(Table_BangLuong_TyLeTangCa[Tỷ lệ],
(Table_BangLuong_TyLeTangCa[Ngày] = "Thường") *
(Table_BangLuong_TyLeTangCa[Giờ min]&lt;=$AA28) *
(Table_BangLuong_TyLeTangCa[Giờ max]&gt;$AA28)
)),0)
)),
IF(AP$4 &lt; AP$5,
IF($AA28-$Z$4&lt;AP$4,0,
IF($AA28&gt;AP$5,0,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AP$5,$AA28 &lt; AP$4),0,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Q28" s="18" cm="1">
        <f t="array" ref="AQ28" xml:space="preserve">
IFERROR(
IF(AQ$1="",0,
IF(AND(
$AA28&gt;=VLOOKUP(AQ$6, Table_ChiPhiNV_Ca[], COUNTA(Table_ChiPhiNV_Ca[[#Headers],[Ca]:[Bắt đầu nghỉ]]),0),
$AA28&lt;VLOOKUP(AQ$6, Table_ChiPhiNV_Ca[], COUNTA(Table_ChiPhiNV_Ca[[#Headers],[Ca]:[Kết thúc nghỉ]]),0)
),0,
IF(NOT(ISBLANK(AQ$3)),
IF(ISBLANK(AQ$7),0,
IF(AQ$4 &lt; AQ$5,
IF($AA28-$Z$4&lt;AQ$4,0,
IF($AA28&gt;AQ$5,0,
SUM(_xlfn._xlws.FILTER(Table_BangLuong_TyLeTangCa[Tỷ lệ],
(Table_BangLuong_TyLeTangCa[Ngày] = AQ$3) *
(Table_BangLuong_TyLeTangCa[Giờ min]&lt;=$AA28) *
(Table_BangLuong_TyLeTangCa[Giờ max]&gt;$AA28)
)))),
IF(AND($AA28-$Z$4 &gt;= AQ$5,$AA28 &lt; AQ$4),0,
SUM(_xlfn._xlws.FILTER(Table_BangLuong_TyLeTangCa[Tỷ lệ],
(Table_BangLuong_TyLeTangCa[Ngày] = AQ$3) *
(Table_BangLuong_TyLeTangCa[Giờ min]&lt;=$AA28) *
(Table_BangLuong_TyLeTangCa[Giờ max]&gt;$AA28)
))))
),
IF(ISBLANK(AQ$7),
IF(VLOOKUP(AQ$6, Table_ChiPhiNV_Ca[], COUNTA(Table_ChiPhiNV_Ca[[#Headers],[Ca]:[Kết thúc]]),0)&gt; VLOOKUP(AQ$6, Table_ChiPhiNV_Ca[], COUNTA(Table_ChiPhiNV_Ca[[#Headers],[Ca]:[Bắt đầu]]),0),
IF($AA28-$Z$4&lt;MAX(AQ$4,VLOOKUP(AQ$6, Table_ChiPhiNV_Ca[], COUNTA(Table_ChiPhiNV_Ca[[#Headers],[Ca]:[Bắt đầu]]),0)),0,
IF($AA28&gt;MIN(AQ$5,VLOOKUP(AQ$6, Table_ChiPhiNV_Ca[], COUNTA(Table_ChiPhiNV_Ca[[#Headers],[Ca]:[Kết thúc]]),0)),0,
SUM(_xlfn._xlws.FILTER(Table_BangLuong_TyLeTangCa[Tỷ lệ],
(Table_BangLuong_TyLeTangCa[Ngày] = "Thường") *
(Table_BangLuong_TyLeTangCa[Giờ min]&lt;=$AA28) *
(Table_BangLuong_TyLeTangCa[Giờ max]&gt;$AA28)
)))),
IF(AQ$4 &gt; AQ$5,
IF(
AND(
$AA28-$Z$4&lt;MAX(AQ$4,VLOOKUP(AQ$6, Table_ChiPhiNV_Ca[], COUNTA(Table_ChiPhiNV_Ca[[#Headers],[Ca]:[Bắt đầu]]),0)),
$AA28&gt;MIN(AQ$5,VLOOKUP(AQ$6, Table_ChiPhiNV_Ca[], COUNTA(Table_ChiPhiNV_Ca[[#Headers],[Ca]:[Kết thúc]]),0))),0,
SUM(_xlfn._xlws.FILTER(Table_BangLuong_TyLeTangCa[Tỷ lệ],
(Table_BangLuong_TyLeTangCa[Ngày] = "Thường") *
(Table_BangLuong_TyLeTangCa[Giờ min]&lt;=$AA28) *
(Table_BangLuong_TyLeTangCa[Giờ max]&gt;$AA28)
))),
IF(
AND(
$AA28-$Z$4&gt;=MAX(AQ$4,VLOOKUP(AQ$6, Table_ChiPhiNV_Ca[], COUNTA(Table_ChiPhiNV_Ca[[#Headers],[Ca]:[Bắt đầu]]),0)),
$AA28&lt;MIN(AQ$5,VLOOKUP(AQ$6, Table_ChiPhiNV_Ca[], COUNTA(Table_ChiPhiNV_Ca[[#Headers],[Ca]:[Kết thúc]]),0))),
SUM(_xlfn._xlws.FILTER(Table_BangLuong_TyLeTangCa[Tỷ lệ],
(Table_BangLuong_TyLeTangCa[Ngày] = "Thường") *
(Table_BangLuong_TyLeTangCa[Giờ min]&lt;=$AA28) *
(Table_BangLuong_TyLeTangCa[Giờ max]&gt;$AA28)
)),0)
)),
IF(AQ$4 &lt; AQ$5,
IF($AA28-$Z$4&lt;AQ$4,0,
IF($AA28&gt;AQ$5,0,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AQ$5,$AA28 &lt; AQ$4),0,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R28" s="18" cm="1">
        <f t="array" ref="AR28" xml:space="preserve">
IFERROR(
IF(AR$1="",0,
IF(AND(
$AA28&gt;=VLOOKUP(AR$6, Table_ChiPhiNV_Ca[], COUNTA(Table_ChiPhiNV_Ca[[#Headers],[Ca]:[Bắt đầu nghỉ]]),0),
$AA28&lt;VLOOKUP(AR$6, Table_ChiPhiNV_Ca[], COUNTA(Table_ChiPhiNV_Ca[[#Headers],[Ca]:[Kết thúc nghỉ]]),0)
),0,
IF(NOT(ISBLANK(AR$3)),
IF(ISBLANK(AR$7),0,
IF(AR$4 &lt; AR$5,
IF($AA28-$Z$4&lt;AR$4,0,
IF($AA28&gt;AR$5,0,
SUM(_xlfn._xlws.FILTER(Table_BangLuong_TyLeTangCa[Tỷ lệ],
(Table_BangLuong_TyLeTangCa[Ngày] = AR$3) *
(Table_BangLuong_TyLeTangCa[Giờ min]&lt;=$AA28) *
(Table_BangLuong_TyLeTangCa[Giờ max]&gt;$AA28)
)))),
IF(AND($AA28-$Z$4 &gt;= AR$5,$AA28 &lt; AR$4),0,
SUM(_xlfn._xlws.FILTER(Table_BangLuong_TyLeTangCa[Tỷ lệ],
(Table_BangLuong_TyLeTangCa[Ngày] = AR$3) *
(Table_BangLuong_TyLeTangCa[Giờ min]&lt;=$AA28) *
(Table_BangLuong_TyLeTangCa[Giờ max]&gt;$AA28)
))))
),
IF(ISBLANK(AR$7),
IF(VLOOKUP(AR$6, Table_ChiPhiNV_Ca[], COUNTA(Table_ChiPhiNV_Ca[[#Headers],[Ca]:[Kết thúc]]),0)&gt; VLOOKUP(AR$6, Table_ChiPhiNV_Ca[], COUNTA(Table_ChiPhiNV_Ca[[#Headers],[Ca]:[Bắt đầu]]),0),
IF($AA28-$Z$4&lt;MAX(AR$4,VLOOKUP(AR$6, Table_ChiPhiNV_Ca[], COUNTA(Table_ChiPhiNV_Ca[[#Headers],[Ca]:[Bắt đầu]]),0)),0,
IF($AA28&gt;MIN(AR$5,VLOOKUP(AR$6, Table_ChiPhiNV_Ca[], COUNTA(Table_ChiPhiNV_Ca[[#Headers],[Ca]:[Kết thúc]]),0)),0,
SUM(_xlfn._xlws.FILTER(Table_BangLuong_TyLeTangCa[Tỷ lệ],
(Table_BangLuong_TyLeTangCa[Ngày] = "Thường") *
(Table_BangLuong_TyLeTangCa[Giờ min]&lt;=$AA28) *
(Table_BangLuong_TyLeTangCa[Giờ max]&gt;$AA28)
)))),
IF(AR$4 &gt; AR$5,
IF(
AND(
$AA28-$Z$4&lt;MAX(AR$4,VLOOKUP(AR$6, Table_ChiPhiNV_Ca[], COUNTA(Table_ChiPhiNV_Ca[[#Headers],[Ca]:[Bắt đầu]]),0)),
$AA28&gt;MIN(AR$5,VLOOKUP(AR$6, Table_ChiPhiNV_Ca[], COUNTA(Table_ChiPhiNV_Ca[[#Headers],[Ca]:[Kết thúc]]),0))),0,
SUM(_xlfn._xlws.FILTER(Table_BangLuong_TyLeTangCa[Tỷ lệ],
(Table_BangLuong_TyLeTangCa[Ngày] = "Thường") *
(Table_BangLuong_TyLeTangCa[Giờ min]&lt;=$AA28) *
(Table_BangLuong_TyLeTangCa[Giờ max]&gt;$AA28)
))),
IF(
AND(
$AA28-$Z$4&gt;=MAX(AR$4,VLOOKUP(AR$6, Table_ChiPhiNV_Ca[], COUNTA(Table_ChiPhiNV_Ca[[#Headers],[Ca]:[Bắt đầu]]),0)),
$AA28&lt;MIN(AR$5,VLOOKUP(AR$6, Table_ChiPhiNV_Ca[], COUNTA(Table_ChiPhiNV_Ca[[#Headers],[Ca]:[Kết thúc]]),0))),
SUM(_xlfn._xlws.FILTER(Table_BangLuong_TyLeTangCa[Tỷ lệ],
(Table_BangLuong_TyLeTangCa[Ngày] = "Thường") *
(Table_BangLuong_TyLeTangCa[Giờ min]&lt;=$AA28) *
(Table_BangLuong_TyLeTangCa[Giờ max]&gt;$AA28)
)),0)
)),
IF(AR$4 &lt; AR$5,
IF($AA28-$Z$4&lt;AR$4,0,
IF($AA28&gt;AR$5,0,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AR$5,$AA28 &lt; AR$4),0,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S28" s="18" cm="1">
        <f t="array" ref="AS28" xml:space="preserve">
IFERROR(
IF(AS$1="",0,
IF(AND(
$AA28&gt;=VLOOKUP(AS$6, Table_ChiPhiNV_Ca[], COUNTA(Table_ChiPhiNV_Ca[[#Headers],[Ca]:[Bắt đầu nghỉ]]),0),
$AA28&lt;VLOOKUP(AS$6, Table_ChiPhiNV_Ca[], COUNTA(Table_ChiPhiNV_Ca[[#Headers],[Ca]:[Kết thúc nghỉ]]),0)
),0,
IF(NOT(ISBLANK(AS$3)),
IF(ISBLANK(AS$7),0,
IF(AS$4 &lt; AS$5,
IF($AA28-$Z$4&lt;AS$4,0,
IF($AA28&gt;AS$5,0,
SUM(_xlfn._xlws.FILTER(Table_BangLuong_TyLeTangCa[Tỷ lệ],
(Table_BangLuong_TyLeTangCa[Ngày] = AS$3) *
(Table_BangLuong_TyLeTangCa[Giờ min]&lt;=$AA28) *
(Table_BangLuong_TyLeTangCa[Giờ max]&gt;$AA28)
)))),
IF(AND($AA28-$Z$4 &gt;= AS$5,$AA28 &lt; AS$4),0,
SUM(_xlfn._xlws.FILTER(Table_BangLuong_TyLeTangCa[Tỷ lệ],
(Table_BangLuong_TyLeTangCa[Ngày] = AS$3) *
(Table_BangLuong_TyLeTangCa[Giờ min]&lt;=$AA28) *
(Table_BangLuong_TyLeTangCa[Giờ max]&gt;$AA28)
))))
),
IF(ISBLANK(AS$7),
IF(VLOOKUP(AS$6, Table_ChiPhiNV_Ca[], COUNTA(Table_ChiPhiNV_Ca[[#Headers],[Ca]:[Kết thúc]]),0)&gt; VLOOKUP(AS$6, Table_ChiPhiNV_Ca[], COUNTA(Table_ChiPhiNV_Ca[[#Headers],[Ca]:[Bắt đầu]]),0),
IF($AA28-$Z$4&lt;MAX(AS$4,VLOOKUP(AS$6, Table_ChiPhiNV_Ca[], COUNTA(Table_ChiPhiNV_Ca[[#Headers],[Ca]:[Bắt đầu]]),0)),0,
IF($AA28&gt;MIN(AS$5,VLOOKUP(AS$6, Table_ChiPhiNV_Ca[], COUNTA(Table_ChiPhiNV_Ca[[#Headers],[Ca]:[Kết thúc]]),0)),0,
SUM(_xlfn._xlws.FILTER(Table_BangLuong_TyLeTangCa[Tỷ lệ],
(Table_BangLuong_TyLeTangCa[Ngày] = "Thường") *
(Table_BangLuong_TyLeTangCa[Giờ min]&lt;=$AA28) *
(Table_BangLuong_TyLeTangCa[Giờ max]&gt;$AA28)
)))),
IF(AS$4 &gt; AS$5,
IF(
AND(
$AA28-$Z$4&lt;MAX(AS$4,VLOOKUP(AS$6, Table_ChiPhiNV_Ca[], COUNTA(Table_ChiPhiNV_Ca[[#Headers],[Ca]:[Bắt đầu]]),0)),
$AA28&gt;MIN(AS$5,VLOOKUP(AS$6, Table_ChiPhiNV_Ca[], COUNTA(Table_ChiPhiNV_Ca[[#Headers],[Ca]:[Kết thúc]]),0))),0,
SUM(_xlfn._xlws.FILTER(Table_BangLuong_TyLeTangCa[Tỷ lệ],
(Table_BangLuong_TyLeTangCa[Ngày] = "Thường") *
(Table_BangLuong_TyLeTangCa[Giờ min]&lt;=$AA28) *
(Table_BangLuong_TyLeTangCa[Giờ max]&gt;$AA28)
))),
IF(
AND(
$AA28-$Z$4&gt;=MAX(AS$4,VLOOKUP(AS$6, Table_ChiPhiNV_Ca[], COUNTA(Table_ChiPhiNV_Ca[[#Headers],[Ca]:[Bắt đầu]]),0)),
$AA28&lt;MIN(AS$5,VLOOKUP(AS$6, Table_ChiPhiNV_Ca[], COUNTA(Table_ChiPhiNV_Ca[[#Headers],[Ca]:[Kết thúc]]),0))),
SUM(_xlfn._xlws.FILTER(Table_BangLuong_TyLeTangCa[Tỷ lệ],
(Table_BangLuong_TyLeTangCa[Ngày] = "Thường") *
(Table_BangLuong_TyLeTangCa[Giờ min]&lt;=$AA28) *
(Table_BangLuong_TyLeTangCa[Giờ max]&gt;$AA28)
)),0)
)),
IF(AS$4 &lt; AS$5,
IF($AA28-$Z$4&lt;AS$4,0,
IF($AA28&gt;AS$5,0,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AS$5,$AA28 &lt; AS$4),0,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T28" s="18" cm="1">
        <f t="array" ref="AT28" xml:space="preserve">
IFERROR(
IF(AT$1="",0,
IF(AND(
$AA28&gt;=VLOOKUP(AT$6, Table_ChiPhiNV_Ca[], COUNTA(Table_ChiPhiNV_Ca[[#Headers],[Ca]:[Bắt đầu nghỉ]]),0),
$AA28&lt;VLOOKUP(AT$6, Table_ChiPhiNV_Ca[], COUNTA(Table_ChiPhiNV_Ca[[#Headers],[Ca]:[Kết thúc nghỉ]]),0)
),0,
IF(NOT(ISBLANK(AT$3)),
IF(ISBLANK(AT$7),0,
IF(AT$4 &lt; AT$5,
IF($AA28-$Z$4&lt;AT$4,0,
IF($AA28&gt;AT$5,0,
SUM(_xlfn._xlws.FILTER(Table_BangLuong_TyLeTangCa[Tỷ lệ],
(Table_BangLuong_TyLeTangCa[Ngày] = AT$3) *
(Table_BangLuong_TyLeTangCa[Giờ min]&lt;=$AA28) *
(Table_BangLuong_TyLeTangCa[Giờ max]&gt;$AA28)
)))),
IF(AND($AA28-$Z$4 &gt;= AT$5,$AA28 &lt; AT$4),0,
SUM(_xlfn._xlws.FILTER(Table_BangLuong_TyLeTangCa[Tỷ lệ],
(Table_BangLuong_TyLeTangCa[Ngày] = AT$3) *
(Table_BangLuong_TyLeTangCa[Giờ min]&lt;=$AA28) *
(Table_BangLuong_TyLeTangCa[Giờ max]&gt;$AA28)
))))
),
IF(ISBLANK(AT$7),
IF(VLOOKUP(AT$6, Table_ChiPhiNV_Ca[], COUNTA(Table_ChiPhiNV_Ca[[#Headers],[Ca]:[Kết thúc]]),0)&gt; VLOOKUP(AT$6, Table_ChiPhiNV_Ca[], COUNTA(Table_ChiPhiNV_Ca[[#Headers],[Ca]:[Bắt đầu]]),0),
IF($AA28-$Z$4&lt;MAX(AT$4,VLOOKUP(AT$6, Table_ChiPhiNV_Ca[], COUNTA(Table_ChiPhiNV_Ca[[#Headers],[Ca]:[Bắt đầu]]),0)),0,
IF($AA28&gt;MIN(AT$5,VLOOKUP(AT$6, Table_ChiPhiNV_Ca[], COUNTA(Table_ChiPhiNV_Ca[[#Headers],[Ca]:[Kết thúc]]),0)),0,
SUM(_xlfn._xlws.FILTER(Table_BangLuong_TyLeTangCa[Tỷ lệ],
(Table_BangLuong_TyLeTangCa[Ngày] = "Thường") *
(Table_BangLuong_TyLeTangCa[Giờ min]&lt;=$AA28) *
(Table_BangLuong_TyLeTangCa[Giờ max]&gt;$AA28)
)))),
IF(AT$4 &gt; AT$5,
IF(
AND(
$AA28-$Z$4&lt;MAX(AT$4,VLOOKUP(AT$6, Table_ChiPhiNV_Ca[], COUNTA(Table_ChiPhiNV_Ca[[#Headers],[Ca]:[Bắt đầu]]),0)),
$AA28&gt;MIN(AT$5,VLOOKUP(AT$6, Table_ChiPhiNV_Ca[], COUNTA(Table_ChiPhiNV_Ca[[#Headers],[Ca]:[Kết thúc]]),0))),0,
SUM(_xlfn._xlws.FILTER(Table_BangLuong_TyLeTangCa[Tỷ lệ],
(Table_BangLuong_TyLeTangCa[Ngày] = "Thường") *
(Table_BangLuong_TyLeTangCa[Giờ min]&lt;=$AA28) *
(Table_BangLuong_TyLeTangCa[Giờ max]&gt;$AA28)
))),
IF(
AND(
$AA28-$Z$4&gt;=MAX(AT$4,VLOOKUP(AT$6, Table_ChiPhiNV_Ca[], COUNTA(Table_ChiPhiNV_Ca[[#Headers],[Ca]:[Bắt đầu]]),0)),
$AA28&lt;MIN(AT$5,VLOOKUP(AT$6, Table_ChiPhiNV_Ca[], COUNTA(Table_ChiPhiNV_Ca[[#Headers],[Ca]:[Kết thúc]]),0))),
SUM(_xlfn._xlws.FILTER(Table_BangLuong_TyLeTangCa[Tỷ lệ],
(Table_BangLuong_TyLeTangCa[Ngày] = "Thường") *
(Table_BangLuong_TyLeTangCa[Giờ min]&lt;=$AA28) *
(Table_BangLuong_TyLeTangCa[Giờ max]&gt;$AA28)
)),0)
)),
IF(AT$4 &lt; AT$5,
IF($AA28-$Z$4&lt;AT$4,0,
IF($AA28&gt;AT$5,0,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AT$5,$AA28 &lt; AT$4),0,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U28" s="18" cm="1">
        <f t="array" ref="AU28" xml:space="preserve">
IFERROR(
IF(AU$1="",0,
IF(AND(
$AA28&gt;=VLOOKUP(AU$6, Table_ChiPhiNV_Ca[], COUNTA(Table_ChiPhiNV_Ca[[#Headers],[Ca]:[Bắt đầu nghỉ]]),0),
$AA28&lt;VLOOKUP(AU$6, Table_ChiPhiNV_Ca[], COUNTA(Table_ChiPhiNV_Ca[[#Headers],[Ca]:[Kết thúc nghỉ]]),0)
),0,
IF(NOT(ISBLANK(AU$3)),
IF(ISBLANK(AU$7),0,
IF(AU$4 &lt; AU$5,
IF($AA28-$Z$4&lt;AU$4,0,
IF($AA28&gt;AU$5,0,
SUM(_xlfn._xlws.FILTER(Table_BangLuong_TyLeTangCa[Tỷ lệ],
(Table_BangLuong_TyLeTangCa[Ngày] = AU$3) *
(Table_BangLuong_TyLeTangCa[Giờ min]&lt;=$AA28) *
(Table_BangLuong_TyLeTangCa[Giờ max]&gt;$AA28)
)))),
IF(AND($AA28-$Z$4 &gt;= AU$5,$AA28 &lt; AU$4),0,
SUM(_xlfn._xlws.FILTER(Table_BangLuong_TyLeTangCa[Tỷ lệ],
(Table_BangLuong_TyLeTangCa[Ngày] = AU$3) *
(Table_BangLuong_TyLeTangCa[Giờ min]&lt;=$AA28) *
(Table_BangLuong_TyLeTangCa[Giờ max]&gt;$AA28)
))))
),
IF(ISBLANK(AU$7),
IF(VLOOKUP(AU$6, Table_ChiPhiNV_Ca[], COUNTA(Table_ChiPhiNV_Ca[[#Headers],[Ca]:[Kết thúc]]),0)&gt; VLOOKUP(AU$6, Table_ChiPhiNV_Ca[], COUNTA(Table_ChiPhiNV_Ca[[#Headers],[Ca]:[Bắt đầu]]),0),
IF($AA28-$Z$4&lt;MAX(AU$4,VLOOKUP(AU$6, Table_ChiPhiNV_Ca[], COUNTA(Table_ChiPhiNV_Ca[[#Headers],[Ca]:[Bắt đầu]]),0)),0,
IF($AA28&gt;MIN(AU$5,VLOOKUP(AU$6, Table_ChiPhiNV_Ca[], COUNTA(Table_ChiPhiNV_Ca[[#Headers],[Ca]:[Kết thúc]]),0)),0,
SUM(_xlfn._xlws.FILTER(Table_BangLuong_TyLeTangCa[Tỷ lệ],
(Table_BangLuong_TyLeTangCa[Ngày] = "Thường") *
(Table_BangLuong_TyLeTangCa[Giờ min]&lt;=$AA28) *
(Table_BangLuong_TyLeTangCa[Giờ max]&gt;$AA28)
)))),
IF(AU$4 &gt; AU$5,
IF(
AND(
$AA28-$Z$4&lt;MAX(AU$4,VLOOKUP(AU$6, Table_ChiPhiNV_Ca[], COUNTA(Table_ChiPhiNV_Ca[[#Headers],[Ca]:[Bắt đầu]]),0)),
$AA28&gt;MIN(AU$5,VLOOKUP(AU$6, Table_ChiPhiNV_Ca[], COUNTA(Table_ChiPhiNV_Ca[[#Headers],[Ca]:[Kết thúc]]),0))),0,
SUM(_xlfn._xlws.FILTER(Table_BangLuong_TyLeTangCa[Tỷ lệ],
(Table_BangLuong_TyLeTangCa[Ngày] = "Thường") *
(Table_BangLuong_TyLeTangCa[Giờ min]&lt;=$AA28) *
(Table_BangLuong_TyLeTangCa[Giờ max]&gt;$AA28)
))),
IF(
AND(
$AA28-$Z$4&gt;=MAX(AU$4,VLOOKUP(AU$6, Table_ChiPhiNV_Ca[], COUNTA(Table_ChiPhiNV_Ca[[#Headers],[Ca]:[Bắt đầu]]),0)),
$AA28&lt;MIN(AU$5,VLOOKUP(AU$6, Table_ChiPhiNV_Ca[], COUNTA(Table_ChiPhiNV_Ca[[#Headers],[Ca]:[Kết thúc]]),0))),
SUM(_xlfn._xlws.FILTER(Table_BangLuong_TyLeTangCa[Tỷ lệ],
(Table_BangLuong_TyLeTangCa[Ngày] = "Thường") *
(Table_BangLuong_TyLeTangCa[Giờ min]&lt;=$AA28) *
(Table_BangLuong_TyLeTangCa[Giờ max]&gt;$AA28)
)),0)
)),
IF(AU$4 &lt; AU$5,
IF($AA28-$Z$4&lt;AU$4,0,
IF($AA28&gt;AU$5,0,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AU$5,$AA28 &lt; AU$4),0,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V28" s="18" cm="1">
        <f t="array" ref="AV28" xml:space="preserve">
IFERROR(
IF(AV$1="",0,
IF(AND(
$AA28&gt;=VLOOKUP(AV$6, Table_ChiPhiNV_Ca[], COUNTA(Table_ChiPhiNV_Ca[[#Headers],[Ca]:[Bắt đầu nghỉ]]),0),
$AA28&lt;VLOOKUP(AV$6, Table_ChiPhiNV_Ca[], COUNTA(Table_ChiPhiNV_Ca[[#Headers],[Ca]:[Kết thúc nghỉ]]),0)
),0,
IF(NOT(ISBLANK(AV$3)),
IF(ISBLANK(AV$7),0,
IF(AV$4 &lt; AV$5,
IF($AA28-$Z$4&lt;AV$4,0,
IF($AA28&gt;AV$5,0,
SUM(_xlfn._xlws.FILTER(Table_BangLuong_TyLeTangCa[Tỷ lệ],
(Table_BangLuong_TyLeTangCa[Ngày] = AV$3) *
(Table_BangLuong_TyLeTangCa[Giờ min]&lt;=$AA28) *
(Table_BangLuong_TyLeTangCa[Giờ max]&gt;$AA28)
)))),
IF(AND($AA28-$Z$4 &gt;= AV$5,$AA28 &lt; AV$4),0,
SUM(_xlfn._xlws.FILTER(Table_BangLuong_TyLeTangCa[Tỷ lệ],
(Table_BangLuong_TyLeTangCa[Ngày] = AV$3) *
(Table_BangLuong_TyLeTangCa[Giờ min]&lt;=$AA28) *
(Table_BangLuong_TyLeTangCa[Giờ max]&gt;$AA28)
))))
),
IF(ISBLANK(AV$7),
IF(VLOOKUP(AV$6, Table_ChiPhiNV_Ca[], COUNTA(Table_ChiPhiNV_Ca[[#Headers],[Ca]:[Kết thúc]]),0)&gt; VLOOKUP(AV$6, Table_ChiPhiNV_Ca[], COUNTA(Table_ChiPhiNV_Ca[[#Headers],[Ca]:[Bắt đầu]]),0),
IF($AA28-$Z$4&lt;MAX(AV$4,VLOOKUP(AV$6, Table_ChiPhiNV_Ca[], COUNTA(Table_ChiPhiNV_Ca[[#Headers],[Ca]:[Bắt đầu]]),0)),0,
IF($AA28&gt;MIN(AV$5,VLOOKUP(AV$6, Table_ChiPhiNV_Ca[], COUNTA(Table_ChiPhiNV_Ca[[#Headers],[Ca]:[Kết thúc]]),0)),0,
SUM(_xlfn._xlws.FILTER(Table_BangLuong_TyLeTangCa[Tỷ lệ],
(Table_BangLuong_TyLeTangCa[Ngày] = "Thường") *
(Table_BangLuong_TyLeTangCa[Giờ min]&lt;=$AA28) *
(Table_BangLuong_TyLeTangCa[Giờ max]&gt;$AA28)
)))),
IF(AV$4 &gt; AV$5,
IF(
AND(
$AA28-$Z$4&lt;MAX(AV$4,VLOOKUP(AV$6, Table_ChiPhiNV_Ca[], COUNTA(Table_ChiPhiNV_Ca[[#Headers],[Ca]:[Bắt đầu]]),0)),
$AA28&gt;MIN(AV$5,VLOOKUP(AV$6, Table_ChiPhiNV_Ca[], COUNTA(Table_ChiPhiNV_Ca[[#Headers],[Ca]:[Kết thúc]]),0))),0,
SUM(_xlfn._xlws.FILTER(Table_BangLuong_TyLeTangCa[Tỷ lệ],
(Table_BangLuong_TyLeTangCa[Ngày] = "Thường") *
(Table_BangLuong_TyLeTangCa[Giờ min]&lt;=$AA28) *
(Table_BangLuong_TyLeTangCa[Giờ max]&gt;$AA28)
))),
IF(
AND(
$AA28-$Z$4&gt;=MAX(AV$4,VLOOKUP(AV$6, Table_ChiPhiNV_Ca[], COUNTA(Table_ChiPhiNV_Ca[[#Headers],[Ca]:[Bắt đầu]]),0)),
$AA28&lt;MIN(AV$5,VLOOKUP(AV$6, Table_ChiPhiNV_Ca[], COUNTA(Table_ChiPhiNV_Ca[[#Headers],[Ca]:[Kết thúc]]),0))),
SUM(_xlfn._xlws.FILTER(Table_BangLuong_TyLeTangCa[Tỷ lệ],
(Table_BangLuong_TyLeTangCa[Ngày] = "Thường") *
(Table_BangLuong_TyLeTangCa[Giờ min]&lt;=$AA28) *
(Table_BangLuong_TyLeTangCa[Giờ max]&gt;$AA28)
)),0)
)),
IF(AV$4 &lt; AV$5,
IF($AA28-$Z$4&lt;AV$4,0,
IF($AA28&gt;AV$5,0,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AV$5,$AA28 &lt; AV$4),0,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W28" s="18" cm="1">
        <f t="array" ref="AW28" xml:space="preserve">
IFERROR(
IF(AW$1="",0,
IF(AND(
$AA28&gt;=VLOOKUP(AW$6, Table_ChiPhiNV_Ca[], COUNTA(Table_ChiPhiNV_Ca[[#Headers],[Ca]:[Bắt đầu nghỉ]]),0),
$AA28&lt;VLOOKUP(AW$6, Table_ChiPhiNV_Ca[], COUNTA(Table_ChiPhiNV_Ca[[#Headers],[Ca]:[Kết thúc nghỉ]]),0)
),0,
IF(NOT(ISBLANK(AW$3)),
IF(ISBLANK(AW$7),0,
IF(AW$4 &lt; AW$5,
IF($AA28-$Z$4&lt;AW$4,0,
IF($AA28&gt;AW$5,0,
SUM(_xlfn._xlws.FILTER(Table_BangLuong_TyLeTangCa[Tỷ lệ],
(Table_BangLuong_TyLeTangCa[Ngày] = AW$3) *
(Table_BangLuong_TyLeTangCa[Giờ min]&lt;=$AA28) *
(Table_BangLuong_TyLeTangCa[Giờ max]&gt;$AA28)
)))),
IF(AND($AA28-$Z$4 &gt;= AW$5,$AA28 &lt; AW$4),0,
SUM(_xlfn._xlws.FILTER(Table_BangLuong_TyLeTangCa[Tỷ lệ],
(Table_BangLuong_TyLeTangCa[Ngày] = AW$3) *
(Table_BangLuong_TyLeTangCa[Giờ min]&lt;=$AA28) *
(Table_BangLuong_TyLeTangCa[Giờ max]&gt;$AA28)
))))
),
IF(ISBLANK(AW$7),
IF(VLOOKUP(AW$6, Table_ChiPhiNV_Ca[], COUNTA(Table_ChiPhiNV_Ca[[#Headers],[Ca]:[Kết thúc]]),0)&gt; VLOOKUP(AW$6, Table_ChiPhiNV_Ca[], COUNTA(Table_ChiPhiNV_Ca[[#Headers],[Ca]:[Bắt đầu]]),0),
IF($AA28-$Z$4&lt;MAX(AW$4,VLOOKUP(AW$6, Table_ChiPhiNV_Ca[], COUNTA(Table_ChiPhiNV_Ca[[#Headers],[Ca]:[Bắt đầu]]),0)),0,
IF($AA28&gt;MIN(AW$5,VLOOKUP(AW$6, Table_ChiPhiNV_Ca[], COUNTA(Table_ChiPhiNV_Ca[[#Headers],[Ca]:[Kết thúc]]),0)),0,
SUM(_xlfn._xlws.FILTER(Table_BangLuong_TyLeTangCa[Tỷ lệ],
(Table_BangLuong_TyLeTangCa[Ngày] = "Thường") *
(Table_BangLuong_TyLeTangCa[Giờ min]&lt;=$AA28) *
(Table_BangLuong_TyLeTangCa[Giờ max]&gt;$AA28)
)))),
IF(AW$4 &gt; AW$5,
IF(
AND(
$AA28-$Z$4&lt;MAX(AW$4,VLOOKUP(AW$6, Table_ChiPhiNV_Ca[], COUNTA(Table_ChiPhiNV_Ca[[#Headers],[Ca]:[Bắt đầu]]),0)),
$AA28&gt;MIN(AW$5,VLOOKUP(AW$6, Table_ChiPhiNV_Ca[], COUNTA(Table_ChiPhiNV_Ca[[#Headers],[Ca]:[Kết thúc]]),0))),0,
SUM(_xlfn._xlws.FILTER(Table_BangLuong_TyLeTangCa[Tỷ lệ],
(Table_BangLuong_TyLeTangCa[Ngày] = "Thường") *
(Table_BangLuong_TyLeTangCa[Giờ min]&lt;=$AA28) *
(Table_BangLuong_TyLeTangCa[Giờ max]&gt;$AA28)
))),
IF(
AND(
$AA28-$Z$4&gt;=MAX(AW$4,VLOOKUP(AW$6, Table_ChiPhiNV_Ca[], COUNTA(Table_ChiPhiNV_Ca[[#Headers],[Ca]:[Bắt đầu]]),0)),
$AA28&lt;MIN(AW$5,VLOOKUP(AW$6, Table_ChiPhiNV_Ca[], COUNTA(Table_ChiPhiNV_Ca[[#Headers],[Ca]:[Kết thúc]]),0))),
SUM(_xlfn._xlws.FILTER(Table_BangLuong_TyLeTangCa[Tỷ lệ],
(Table_BangLuong_TyLeTangCa[Ngày] = "Thường") *
(Table_BangLuong_TyLeTangCa[Giờ min]&lt;=$AA28) *
(Table_BangLuong_TyLeTangCa[Giờ max]&gt;$AA28)
)),0)
)),
IF(AW$4 &lt; AW$5,
IF($AA28-$Z$4&lt;AW$4,0,
IF($AA28&gt;AW$5,0,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AW$5,$AA28 &lt; AW$4),0,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X28" s="18" cm="1">
        <f t="array" ref="AX28" xml:space="preserve">
IFERROR(
IF(AX$1="",0,
IF(AND(
$AA28&gt;=VLOOKUP(AX$6, Table_ChiPhiNV_Ca[], COUNTA(Table_ChiPhiNV_Ca[[#Headers],[Ca]:[Bắt đầu nghỉ]]),0),
$AA28&lt;VLOOKUP(AX$6, Table_ChiPhiNV_Ca[], COUNTA(Table_ChiPhiNV_Ca[[#Headers],[Ca]:[Kết thúc nghỉ]]),0)
),0,
IF(NOT(ISBLANK(AX$3)),
IF(ISBLANK(AX$7),0,
IF(AX$4 &lt; AX$5,
IF($AA28-$Z$4&lt;AX$4,0,
IF($AA28&gt;AX$5,0,
SUM(_xlfn._xlws.FILTER(Table_BangLuong_TyLeTangCa[Tỷ lệ],
(Table_BangLuong_TyLeTangCa[Ngày] = AX$3) *
(Table_BangLuong_TyLeTangCa[Giờ min]&lt;=$AA28) *
(Table_BangLuong_TyLeTangCa[Giờ max]&gt;$AA28)
)))),
IF(AND($AA28-$Z$4 &gt;= AX$5,$AA28 &lt; AX$4),0,
SUM(_xlfn._xlws.FILTER(Table_BangLuong_TyLeTangCa[Tỷ lệ],
(Table_BangLuong_TyLeTangCa[Ngày] = AX$3) *
(Table_BangLuong_TyLeTangCa[Giờ min]&lt;=$AA28) *
(Table_BangLuong_TyLeTangCa[Giờ max]&gt;$AA28)
))))
),
IF(ISBLANK(AX$7),
IF(VLOOKUP(AX$6, Table_ChiPhiNV_Ca[], COUNTA(Table_ChiPhiNV_Ca[[#Headers],[Ca]:[Kết thúc]]),0)&gt; VLOOKUP(AX$6, Table_ChiPhiNV_Ca[], COUNTA(Table_ChiPhiNV_Ca[[#Headers],[Ca]:[Bắt đầu]]),0),
IF($AA28-$Z$4&lt;MAX(AX$4,VLOOKUP(AX$6, Table_ChiPhiNV_Ca[], COUNTA(Table_ChiPhiNV_Ca[[#Headers],[Ca]:[Bắt đầu]]),0)),0,
IF($AA28&gt;MIN(AX$5,VLOOKUP(AX$6, Table_ChiPhiNV_Ca[], COUNTA(Table_ChiPhiNV_Ca[[#Headers],[Ca]:[Kết thúc]]),0)),0,
SUM(_xlfn._xlws.FILTER(Table_BangLuong_TyLeTangCa[Tỷ lệ],
(Table_BangLuong_TyLeTangCa[Ngày] = "Thường") *
(Table_BangLuong_TyLeTangCa[Giờ min]&lt;=$AA28) *
(Table_BangLuong_TyLeTangCa[Giờ max]&gt;$AA28)
)))),
IF(AX$4 &gt; AX$5,
IF(
AND(
$AA28-$Z$4&lt;MAX(AX$4,VLOOKUP(AX$6, Table_ChiPhiNV_Ca[], COUNTA(Table_ChiPhiNV_Ca[[#Headers],[Ca]:[Bắt đầu]]),0)),
$AA28&gt;MIN(AX$5,VLOOKUP(AX$6, Table_ChiPhiNV_Ca[], COUNTA(Table_ChiPhiNV_Ca[[#Headers],[Ca]:[Kết thúc]]),0))),0,
SUM(_xlfn._xlws.FILTER(Table_BangLuong_TyLeTangCa[Tỷ lệ],
(Table_BangLuong_TyLeTangCa[Ngày] = "Thường") *
(Table_BangLuong_TyLeTangCa[Giờ min]&lt;=$AA28) *
(Table_BangLuong_TyLeTangCa[Giờ max]&gt;$AA28)
))),
IF(
AND(
$AA28-$Z$4&gt;=MAX(AX$4,VLOOKUP(AX$6, Table_ChiPhiNV_Ca[], COUNTA(Table_ChiPhiNV_Ca[[#Headers],[Ca]:[Bắt đầu]]),0)),
$AA28&lt;MIN(AX$5,VLOOKUP(AX$6, Table_ChiPhiNV_Ca[], COUNTA(Table_ChiPhiNV_Ca[[#Headers],[Ca]:[Kết thúc]]),0))),
SUM(_xlfn._xlws.FILTER(Table_BangLuong_TyLeTangCa[Tỷ lệ],
(Table_BangLuong_TyLeTangCa[Ngày] = "Thường") *
(Table_BangLuong_TyLeTangCa[Giờ min]&lt;=$AA28) *
(Table_BangLuong_TyLeTangCa[Giờ max]&gt;$AA28)
)),0)
)),
IF(AX$4 &lt; AX$5,
IF($AA28-$Z$4&lt;AX$4,0,
IF($AA28&gt;AX$5,0,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AX$5,$AA28 &lt; AX$4),0,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Y28" s="18" cm="1">
        <f t="array" ref="AY28" xml:space="preserve">
IFERROR(
IF(AY$1="",0,
IF(AND(
$AA28&gt;=VLOOKUP(AY$6, Table_ChiPhiNV_Ca[], COUNTA(Table_ChiPhiNV_Ca[[#Headers],[Ca]:[Bắt đầu nghỉ]]),0),
$AA28&lt;VLOOKUP(AY$6, Table_ChiPhiNV_Ca[], COUNTA(Table_ChiPhiNV_Ca[[#Headers],[Ca]:[Kết thúc nghỉ]]),0)
),0,
IF(NOT(ISBLANK(AY$3)),
IF(ISBLANK(AY$7),0,
IF(AY$4 &lt; AY$5,
IF($AA28-$Z$4&lt;AY$4,0,
IF($AA28&gt;AY$5,0,
SUM(_xlfn._xlws.FILTER(Table_BangLuong_TyLeTangCa[Tỷ lệ],
(Table_BangLuong_TyLeTangCa[Ngày] = AY$3) *
(Table_BangLuong_TyLeTangCa[Giờ min]&lt;=$AA28) *
(Table_BangLuong_TyLeTangCa[Giờ max]&gt;$AA28)
)))),
IF(AND($AA28-$Z$4 &gt;= AY$5,$AA28 &lt; AY$4),0,
SUM(_xlfn._xlws.FILTER(Table_BangLuong_TyLeTangCa[Tỷ lệ],
(Table_BangLuong_TyLeTangCa[Ngày] = AY$3) *
(Table_BangLuong_TyLeTangCa[Giờ min]&lt;=$AA28) *
(Table_BangLuong_TyLeTangCa[Giờ max]&gt;$AA28)
))))
),
IF(ISBLANK(AY$7),
IF(VLOOKUP(AY$6, Table_ChiPhiNV_Ca[], COUNTA(Table_ChiPhiNV_Ca[[#Headers],[Ca]:[Kết thúc]]),0)&gt; VLOOKUP(AY$6, Table_ChiPhiNV_Ca[], COUNTA(Table_ChiPhiNV_Ca[[#Headers],[Ca]:[Bắt đầu]]),0),
IF($AA28-$Z$4&lt;MAX(AY$4,VLOOKUP(AY$6, Table_ChiPhiNV_Ca[], COUNTA(Table_ChiPhiNV_Ca[[#Headers],[Ca]:[Bắt đầu]]),0)),0,
IF($AA28&gt;MIN(AY$5,VLOOKUP(AY$6, Table_ChiPhiNV_Ca[], COUNTA(Table_ChiPhiNV_Ca[[#Headers],[Ca]:[Kết thúc]]),0)),0,
SUM(_xlfn._xlws.FILTER(Table_BangLuong_TyLeTangCa[Tỷ lệ],
(Table_BangLuong_TyLeTangCa[Ngày] = "Thường") *
(Table_BangLuong_TyLeTangCa[Giờ min]&lt;=$AA28) *
(Table_BangLuong_TyLeTangCa[Giờ max]&gt;$AA28)
)))),
IF(AY$4 &gt; AY$5,
IF(
AND(
$AA28-$Z$4&lt;MAX(AY$4,VLOOKUP(AY$6, Table_ChiPhiNV_Ca[], COUNTA(Table_ChiPhiNV_Ca[[#Headers],[Ca]:[Bắt đầu]]),0)),
$AA28&gt;MIN(AY$5,VLOOKUP(AY$6, Table_ChiPhiNV_Ca[], COUNTA(Table_ChiPhiNV_Ca[[#Headers],[Ca]:[Kết thúc]]),0))),0,
SUM(_xlfn._xlws.FILTER(Table_BangLuong_TyLeTangCa[Tỷ lệ],
(Table_BangLuong_TyLeTangCa[Ngày] = "Thường") *
(Table_BangLuong_TyLeTangCa[Giờ min]&lt;=$AA28) *
(Table_BangLuong_TyLeTangCa[Giờ max]&gt;$AA28)
))),
IF(
AND(
$AA28-$Z$4&gt;=MAX(AY$4,VLOOKUP(AY$6, Table_ChiPhiNV_Ca[], COUNTA(Table_ChiPhiNV_Ca[[#Headers],[Ca]:[Bắt đầu]]),0)),
$AA28&lt;MIN(AY$5,VLOOKUP(AY$6, Table_ChiPhiNV_Ca[], COUNTA(Table_ChiPhiNV_Ca[[#Headers],[Ca]:[Kết thúc]]),0))),
SUM(_xlfn._xlws.FILTER(Table_BangLuong_TyLeTangCa[Tỷ lệ],
(Table_BangLuong_TyLeTangCa[Ngày] = "Thường") *
(Table_BangLuong_TyLeTangCa[Giờ min]&lt;=$AA28) *
(Table_BangLuong_TyLeTangCa[Giờ max]&gt;$AA28)
)),0)
)),
IF(AY$4 &lt; AY$5,
IF($AA28-$Z$4&lt;AY$4,0,
IF($AA28&gt;AY$5,0,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AY$5,$AA28 &lt; AY$4),0,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Z28" s="18" cm="1">
        <f t="array" ref="AZ28" xml:space="preserve">
IFERROR(
IF(AZ$1="",0,
IF(AND(
$AA28&gt;=VLOOKUP(AZ$6, Table_ChiPhiNV_Ca[], COUNTA(Table_ChiPhiNV_Ca[[#Headers],[Ca]:[Bắt đầu nghỉ]]),0),
$AA28&lt;VLOOKUP(AZ$6, Table_ChiPhiNV_Ca[], COUNTA(Table_ChiPhiNV_Ca[[#Headers],[Ca]:[Kết thúc nghỉ]]),0)
),0,
IF(NOT(ISBLANK(AZ$3)),
IF(ISBLANK(AZ$7),0,
IF(AZ$4 &lt; AZ$5,
IF($AA28-$Z$4&lt;AZ$4,0,
IF($AA28&gt;AZ$5,0,
SUM(_xlfn._xlws.FILTER(Table_BangLuong_TyLeTangCa[Tỷ lệ],
(Table_BangLuong_TyLeTangCa[Ngày] = AZ$3) *
(Table_BangLuong_TyLeTangCa[Giờ min]&lt;=$AA28) *
(Table_BangLuong_TyLeTangCa[Giờ max]&gt;$AA28)
)))),
IF(AND($AA28-$Z$4 &gt;= AZ$5,$AA28 &lt; AZ$4),0,
SUM(_xlfn._xlws.FILTER(Table_BangLuong_TyLeTangCa[Tỷ lệ],
(Table_BangLuong_TyLeTangCa[Ngày] = AZ$3) *
(Table_BangLuong_TyLeTangCa[Giờ min]&lt;=$AA28) *
(Table_BangLuong_TyLeTangCa[Giờ max]&gt;$AA28)
))))
),
IF(ISBLANK(AZ$7),
IF(VLOOKUP(AZ$6, Table_ChiPhiNV_Ca[], COUNTA(Table_ChiPhiNV_Ca[[#Headers],[Ca]:[Kết thúc]]),0)&gt; VLOOKUP(AZ$6, Table_ChiPhiNV_Ca[], COUNTA(Table_ChiPhiNV_Ca[[#Headers],[Ca]:[Bắt đầu]]),0),
IF($AA28-$Z$4&lt;MAX(AZ$4,VLOOKUP(AZ$6, Table_ChiPhiNV_Ca[], COUNTA(Table_ChiPhiNV_Ca[[#Headers],[Ca]:[Bắt đầu]]),0)),0,
IF($AA28&gt;MIN(AZ$5,VLOOKUP(AZ$6, Table_ChiPhiNV_Ca[], COUNTA(Table_ChiPhiNV_Ca[[#Headers],[Ca]:[Kết thúc]]),0)),0,
SUM(_xlfn._xlws.FILTER(Table_BangLuong_TyLeTangCa[Tỷ lệ],
(Table_BangLuong_TyLeTangCa[Ngày] = "Thường") *
(Table_BangLuong_TyLeTangCa[Giờ min]&lt;=$AA28) *
(Table_BangLuong_TyLeTangCa[Giờ max]&gt;$AA28)
)))),
IF(AZ$4 &gt; AZ$5,
IF(
AND(
$AA28-$Z$4&lt;MAX(AZ$4,VLOOKUP(AZ$6, Table_ChiPhiNV_Ca[], COUNTA(Table_ChiPhiNV_Ca[[#Headers],[Ca]:[Bắt đầu]]),0)),
$AA28&gt;MIN(AZ$5,VLOOKUP(AZ$6, Table_ChiPhiNV_Ca[], COUNTA(Table_ChiPhiNV_Ca[[#Headers],[Ca]:[Kết thúc]]),0))),0,
SUM(_xlfn._xlws.FILTER(Table_BangLuong_TyLeTangCa[Tỷ lệ],
(Table_BangLuong_TyLeTangCa[Ngày] = "Thường") *
(Table_BangLuong_TyLeTangCa[Giờ min]&lt;=$AA28) *
(Table_BangLuong_TyLeTangCa[Giờ max]&gt;$AA28)
))),
IF(
AND(
$AA28-$Z$4&gt;=MAX(AZ$4,VLOOKUP(AZ$6, Table_ChiPhiNV_Ca[], COUNTA(Table_ChiPhiNV_Ca[[#Headers],[Ca]:[Bắt đầu]]),0)),
$AA28&lt;MIN(AZ$5,VLOOKUP(AZ$6, Table_ChiPhiNV_Ca[], COUNTA(Table_ChiPhiNV_Ca[[#Headers],[Ca]:[Kết thúc]]),0))),
SUM(_xlfn._xlws.FILTER(Table_BangLuong_TyLeTangCa[Tỷ lệ],
(Table_BangLuong_TyLeTangCa[Ngày] = "Thường") *
(Table_BangLuong_TyLeTangCa[Giờ min]&lt;=$AA28) *
(Table_BangLuong_TyLeTangCa[Giờ max]&gt;$AA28)
)),0)
)),
IF(AZ$4 &lt; AZ$5,
IF($AA28-$Z$4&lt;AZ$4,0,
IF($AA28&gt;AZ$5,0,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AZ$5,$AA28 &lt; AZ$4),0,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A28" s="18" cm="1">
        <f t="array" ref="BA28" xml:space="preserve">
IFERROR(
IF(BA$1="",0,
IF(AND(
$AA28&gt;=VLOOKUP(BA$6, Table_ChiPhiNV_Ca[], COUNTA(Table_ChiPhiNV_Ca[[#Headers],[Ca]:[Bắt đầu nghỉ]]),0),
$AA28&lt;VLOOKUP(BA$6, Table_ChiPhiNV_Ca[], COUNTA(Table_ChiPhiNV_Ca[[#Headers],[Ca]:[Kết thúc nghỉ]]),0)
),0,
IF(NOT(ISBLANK(BA$3)),
IF(ISBLANK(BA$7),0,
IF(BA$4 &lt; BA$5,
IF($AA28-$Z$4&lt;BA$4,0,
IF($AA28&gt;BA$5,0,
SUM(_xlfn._xlws.FILTER(Table_BangLuong_TyLeTangCa[Tỷ lệ],
(Table_BangLuong_TyLeTangCa[Ngày] = BA$3) *
(Table_BangLuong_TyLeTangCa[Giờ min]&lt;=$AA28) *
(Table_BangLuong_TyLeTangCa[Giờ max]&gt;$AA28)
)))),
IF(AND($AA28-$Z$4 &gt;= BA$5,$AA28 &lt; BA$4),0,
SUM(_xlfn._xlws.FILTER(Table_BangLuong_TyLeTangCa[Tỷ lệ],
(Table_BangLuong_TyLeTangCa[Ngày] = BA$3) *
(Table_BangLuong_TyLeTangCa[Giờ min]&lt;=$AA28) *
(Table_BangLuong_TyLeTangCa[Giờ max]&gt;$AA28)
))))
),
IF(ISBLANK(BA$7),
IF(VLOOKUP(BA$6, Table_ChiPhiNV_Ca[], COUNTA(Table_ChiPhiNV_Ca[[#Headers],[Ca]:[Kết thúc]]),0)&gt; VLOOKUP(BA$6, Table_ChiPhiNV_Ca[], COUNTA(Table_ChiPhiNV_Ca[[#Headers],[Ca]:[Bắt đầu]]),0),
IF($AA28-$Z$4&lt;MAX(BA$4,VLOOKUP(BA$6, Table_ChiPhiNV_Ca[], COUNTA(Table_ChiPhiNV_Ca[[#Headers],[Ca]:[Bắt đầu]]),0)),0,
IF($AA28&gt;MIN(BA$5,VLOOKUP(BA$6, Table_ChiPhiNV_Ca[], COUNTA(Table_ChiPhiNV_Ca[[#Headers],[Ca]:[Kết thúc]]),0)),0,
SUM(_xlfn._xlws.FILTER(Table_BangLuong_TyLeTangCa[Tỷ lệ],
(Table_BangLuong_TyLeTangCa[Ngày] = "Thường") *
(Table_BangLuong_TyLeTangCa[Giờ min]&lt;=$AA28) *
(Table_BangLuong_TyLeTangCa[Giờ max]&gt;$AA28)
)))),
IF(BA$4 &gt; BA$5,
IF(
AND(
$AA28-$Z$4&lt;MAX(BA$4,VLOOKUP(BA$6, Table_ChiPhiNV_Ca[], COUNTA(Table_ChiPhiNV_Ca[[#Headers],[Ca]:[Bắt đầu]]),0)),
$AA28&gt;MIN(BA$5,VLOOKUP(BA$6, Table_ChiPhiNV_Ca[], COUNTA(Table_ChiPhiNV_Ca[[#Headers],[Ca]:[Kết thúc]]),0))),0,
SUM(_xlfn._xlws.FILTER(Table_BangLuong_TyLeTangCa[Tỷ lệ],
(Table_BangLuong_TyLeTangCa[Ngày] = "Thường") *
(Table_BangLuong_TyLeTangCa[Giờ min]&lt;=$AA28) *
(Table_BangLuong_TyLeTangCa[Giờ max]&gt;$AA28)
))),
IF(
AND(
$AA28-$Z$4&gt;=MAX(BA$4,VLOOKUP(BA$6, Table_ChiPhiNV_Ca[], COUNTA(Table_ChiPhiNV_Ca[[#Headers],[Ca]:[Bắt đầu]]),0)),
$AA28&lt;MIN(BA$5,VLOOKUP(BA$6, Table_ChiPhiNV_Ca[], COUNTA(Table_ChiPhiNV_Ca[[#Headers],[Ca]:[Kết thúc]]),0))),
SUM(_xlfn._xlws.FILTER(Table_BangLuong_TyLeTangCa[Tỷ lệ],
(Table_BangLuong_TyLeTangCa[Ngày] = "Thường") *
(Table_BangLuong_TyLeTangCa[Giờ min]&lt;=$AA28) *
(Table_BangLuong_TyLeTangCa[Giờ max]&gt;$AA28)
)),0)
)),
IF(BA$4 &lt; BA$5,
IF($AA28-$Z$4&lt;BA$4,0,
IF($AA28&gt;BA$5,0,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BA$5,$AA28 &lt; BA$4),0,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B28" s="18" cm="1">
        <f t="array" ref="BB28" xml:space="preserve">
IFERROR(
IF(BB$1="",0,
IF(AND(
$AA28&gt;=VLOOKUP(BB$6, Table_ChiPhiNV_Ca[], COUNTA(Table_ChiPhiNV_Ca[[#Headers],[Ca]:[Bắt đầu nghỉ]]),0),
$AA28&lt;VLOOKUP(BB$6, Table_ChiPhiNV_Ca[], COUNTA(Table_ChiPhiNV_Ca[[#Headers],[Ca]:[Kết thúc nghỉ]]),0)
),0,
IF(NOT(ISBLANK(BB$3)),
IF(ISBLANK(BB$7),0,
IF(BB$4 &lt; BB$5,
IF($AA28-$Z$4&lt;BB$4,0,
IF($AA28&gt;BB$5,0,
SUM(_xlfn._xlws.FILTER(Table_BangLuong_TyLeTangCa[Tỷ lệ],
(Table_BangLuong_TyLeTangCa[Ngày] = BB$3) *
(Table_BangLuong_TyLeTangCa[Giờ min]&lt;=$AA28) *
(Table_BangLuong_TyLeTangCa[Giờ max]&gt;$AA28)
)))),
IF(AND($AA28-$Z$4 &gt;= BB$5,$AA28 &lt; BB$4),0,
SUM(_xlfn._xlws.FILTER(Table_BangLuong_TyLeTangCa[Tỷ lệ],
(Table_BangLuong_TyLeTangCa[Ngày] = BB$3) *
(Table_BangLuong_TyLeTangCa[Giờ min]&lt;=$AA28) *
(Table_BangLuong_TyLeTangCa[Giờ max]&gt;$AA28)
))))
),
IF(ISBLANK(BB$7),
IF(VLOOKUP(BB$6, Table_ChiPhiNV_Ca[], COUNTA(Table_ChiPhiNV_Ca[[#Headers],[Ca]:[Kết thúc]]),0)&gt; VLOOKUP(BB$6, Table_ChiPhiNV_Ca[], COUNTA(Table_ChiPhiNV_Ca[[#Headers],[Ca]:[Bắt đầu]]),0),
IF($AA28-$Z$4&lt;MAX(BB$4,VLOOKUP(BB$6, Table_ChiPhiNV_Ca[], COUNTA(Table_ChiPhiNV_Ca[[#Headers],[Ca]:[Bắt đầu]]),0)),0,
IF($AA28&gt;MIN(BB$5,VLOOKUP(BB$6, Table_ChiPhiNV_Ca[], COUNTA(Table_ChiPhiNV_Ca[[#Headers],[Ca]:[Kết thúc]]),0)),0,
SUM(_xlfn._xlws.FILTER(Table_BangLuong_TyLeTangCa[Tỷ lệ],
(Table_BangLuong_TyLeTangCa[Ngày] = "Thường") *
(Table_BangLuong_TyLeTangCa[Giờ min]&lt;=$AA28) *
(Table_BangLuong_TyLeTangCa[Giờ max]&gt;$AA28)
)))),
IF(BB$4 &gt; BB$5,
IF(
AND(
$AA28-$Z$4&lt;MAX(BB$4,VLOOKUP(BB$6, Table_ChiPhiNV_Ca[], COUNTA(Table_ChiPhiNV_Ca[[#Headers],[Ca]:[Bắt đầu]]),0)),
$AA28&gt;MIN(BB$5,VLOOKUP(BB$6, Table_ChiPhiNV_Ca[], COUNTA(Table_ChiPhiNV_Ca[[#Headers],[Ca]:[Kết thúc]]),0))),0,
SUM(_xlfn._xlws.FILTER(Table_BangLuong_TyLeTangCa[Tỷ lệ],
(Table_BangLuong_TyLeTangCa[Ngày] = "Thường") *
(Table_BangLuong_TyLeTangCa[Giờ min]&lt;=$AA28) *
(Table_BangLuong_TyLeTangCa[Giờ max]&gt;$AA28)
))),
IF(
AND(
$AA28-$Z$4&gt;=MAX(BB$4,VLOOKUP(BB$6, Table_ChiPhiNV_Ca[], COUNTA(Table_ChiPhiNV_Ca[[#Headers],[Ca]:[Bắt đầu]]),0)),
$AA28&lt;MIN(BB$5,VLOOKUP(BB$6, Table_ChiPhiNV_Ca[], COUNTA(Table_ChiPhiNV_Ca[[#Headers],[Ca]:[Kết thúc]]),0))),
SUM(_xlfn._xlws.FILTER(Table_BangLuong_TyLeTangCa[Tỷ lệ],
(Table_BangLuong_TyLeTangCa[Ngày] = "Thường") *
(Table_BangLuong_TyLeTangCa[Giờ min]&lt;=$AA28) *
(Table_BangLuong_TyLeTangCa[Giờ max]&gt;$AA28)
)),0)
)),
IF(BB$4 &lt; BB$5,
IF($AA28-$Z$4&lt;BB$4,0,
IF($AA28&gt;BB$5,0,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BB$5,$AA28 &lt; BB$4),0,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C28" s="18" cm="1">
        <f t="array" ref="BC28" xml:space="preserve">
IFERROR(
IF(BC$1="",0,
IF(AND(
$AA28&gt;=VLOOKUP(BC$6, Table_ChiPhiNV_Ca[], COUNTA(Table_ChiPhiNV_Ca[[#Headers],[Ca]:[Bắt đầu nghỉ]]),0),
$AA28&lt;VLOOKUP(BC$6, Table_ChiPhiNV_Ca[], COUNTA(Table_ChiPhiNV_Ca[[#Headers],[Ca]:[Kết thúc nghỉ]]),0)
),0,
IF(NOT(ISBLANK(BC$3)),
IF(ISBLANK(BC$7),0,
IF(BC$4 &lt; BC$5,
IF($AA28-$Z$4&lt;BC$4,0,
IF($AA28&gt;BC$5,0,
SUM(_xlfn._xlws.FILTER(Table_BangLuong_TyLeTangCa[Tỷ lệ],
(Table_BangLuong_TyLeTangCa[Ngày] = BC$3) *
(Table_BangLuong_TyLeTangCa[Giờ min]&lt;=$AA28) *
(Table_BangLuong_TyLeTangCa[Giờ max]&gt;$AA28)
)))),
IF(AND($AA28-$Z$4 &gt;= BC$5,$AA28 &lt; BC$4),0,
SUM(_xlfn._xlws.FILTER(Table_BangLuong_TyLeTangCa[Tỷ lệ],
(Table_BangLuong_TyLeTangCa[Ngày] = BC$3) *
(Table_BangLuong_TyLeTangCa[Giờ min]&lt;=$AA28) *
(Table_BangLuong_TyLeTangCa[Giờ max]&gt;$AA28)
))))
),
IF(ISBLANK(BC$7),
IF(VLOOKUP(BC$6, Table_ChiPhiNV_Ca[], COUNTA(Table_ChiPhiNV_Ca[[#Headers],[Ca]:[Kết thúc]]),0)&gt; VLOOKUP(BC$6, Table_ChiPhiNV_Ca[], COUNTA(Table_ChiPhiNV_Ca[[#Headers],[Ca]:[Bắt đầu]]),0),
IF($AA28-$Z$4&lt;MAX(BC$4,VLOOKUP(BC$6, Table_ChiPhiNV_Ca[], COUNTA(Table_ChiPhiNV_Ca[[#Headers],[Ca]:[Bắt đầu]]),0)),0,
IF($AA28&gt;MIN(BC$5,VLOOKUP(BC$6, Table_ChiPhiNV_Ca[], COUNTA(Table_ChiPhiNV_Ca[[#Headers],[Ca]:[Kết thúc]]),0)),0,
SUM(_xlfn._xlws.FILTER(Table_BangLuong_TyLeTangCa[Tỷ lệ],
(Table_BangLuong_TyLeTangCa[Ngày] = "Thường") *
(Table_BangLuong_TyLeTangCa[Giờ min]&lt;=$AA28) *
(Table_BangLuong_TyLeTangCa[Giờ max]&gt;$AA28)
)))),
IF(BC$4 &gt; BC$5,
IF(
AND(
$AA28-$Z$4&lt;MAX(BC$4,VLOOKUP(BC$6, Table_ChiPhiNV_Ca[], COUNTA(Table_ChiPhiNV_Ca[[#Headers],[Ca]:[Bắt đầu]]),0)),
$AA28&gt;MIN(BC$5,VLOOKUP(BC$6, Table_ChiPhiNV_Ca[], COUNTA(Table_ChiPhiNV_Ca[[#Headers],[Ca]:[Kết thúc]]),0))),0,
SUM(_xlfn._xlws.FILTER(Table_BangLuong_TyLeTangCa[Tỷ lệ],
(Table_BangLuong_TyLeTangCa[Ngày] = "Thường") *
(Table_BangLuong_TyLeTangCa[Giờ min]&lt;=$AA28) *
(Table_BangLuong_TyLeTangCa[Giờ max]&gt;$AA28)
))),
IF(
AND(
$AA28-$Z$4&gt;=MAX(BC$4,VLOOKUP(BC$6, Table_ChiPhiNV_Ca[], COUNTA(Table_ChiPhiNV_Ca[[#Headers],[Ca]:[Bắt đầu]]),0)),
$AA28&lt;MIN(BC$5,VLOOKUP(BC$6, Table_ChiPhiNV_Ca[], COUNTA(Table_ChiPhiNV_Ca[[#Headers],[Ca]:[Kết thúc]]),0))),
SUM(_xlfn._xlws.FILTER(Table_BangLuong_TyLeTangCa[Tỷ lệ],
(Table_BangLuong_TyLeTangCa[Ngày] = "Thường") *
(Table_BangLuong_TyLeTangCa[Giờ min]&lt;=$AA28) *
(Table_BangLuong_TyLeTangCa[Giờ max]&gt;$AA28)
)),0)
)),
IF(BC$4 &lt; BC$5,
IF($AA28-$Z$4&lt;BC$4,0,
IF($AA28&gt;BC$5,0,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BC$5,$AA28 &lt; BC$4),0,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D28" s="18" cm="1">
        <f t="array" ref="BD28" xml:space="preserve">
IFERROR(
IF(BD$1="",0,
IF(AND(
$AA28&gt;=VLOOKUP(BD$6, Table_ChiPhiNV_Ca[], COUNTA(Table_ChiPhiNV_Ca[[#Headers],[Ca]:[Bắt đầu nghỉ]]),0),
$AA28&lt;VLOOKUP(BD$6, Table_ChiPhiNV_Ca[], COUNTA(Table_ChiPhiNV_Ca[[#Headers],[Ca]:[Kết thúc nghỉ]]),0)
),0,
IF(NOT(ISBLANK(BD$3)),
IF(ISBLANK(BD$7),0,
IF(BD$4 &lt; BD$5,
IF($AA28-$Z$4&lt;BD$4,0,
IF($AA28&gt;BD$5,0,
SUM(_xlfn._xlws.FILTER(Table_BangLuong_TyLeTangCa[Tỷ lệ],
(Table_BangLuong_TyLeTangCa[Ngày] = BD$3) *
(Table_BangLuong_TyLeTangCa[Giờ min]&lt;=$AA28) *
(Table_BangLuong_TyLeTangCa[Giờ max]&gt;$AA28)
)))),
IF(AND($AA28-$Z$4 &gt;= BD$5,$AA28 &lt; BD$4),0,
SUM(_xlfn._xlws.FILTER(Table_BangLuong_TyLeTangCa[Tỷ lệ],
(Table_BangLuong_TyLeTangCa[Ngày] = BD$3) *
(Table_BangLuong_TyLeTangCa[Giờ min]&lt;=$AA28) *
(Table_BangLuong_TyLeTangCa[Giờ max]&gt;$AA28)
))))
),
IF(ISBLANK(BD$7),
IF(VLOOKUP(BD$6, Table_ChiPhiNV_Ca[], COUNTA(Table_ChiPhiNV_Ca[[#Headers],[Ca]:[Kết thúc]]),0)&gt; VLOOKUP(BD$6, Table_ChiPhiNV_Ca[], COUNTA(Table_ChiPhiNV_Ca[[#Headers],[Ca]:[Bắt đầu]]),0),
IF($AA28-$Z$4&lt;MAX(BD$4,VLOOKUP(BD$6, Table_ChiPhiNV_Ca[], COUNTA(Table_ChiPhiNV_Ca[[#Headers],[Ca]:[Bắt đầu]]),0)),0,
IF($AA28&gt;MIN(BD$5,VLOOKUP(BD$6, Table_ChiPhiNV_Ca[], COUNTA(Table_ChiPhiNV_Ca[[#Headers],[Ca]:[Kết thúc]]),0)),0,
SUM(_xlfn._xlws.FILTER(Table_BangLuong_TyLeTangCa[Tỷ lệ],
(Table_BangLuong_TyLeTangCa[Ngày] = "Thường") *
(Table_BangLuong_TyLeTangCa[Giờ min]&lt;=$AA28) *
(Table_BangLuong_TyLeTangCa[Giờ max]&gt;$AA28)
)))),
IF(BD$4 &gt; BD$5,
IF(
AND(
$AA28-$Z$4&lt;MAX(BD$4,VLOOKUP(BD$6, Table_ChiPhiNV_Ca[], COUNTA(Table_ChiPhiNV_Ca[[#Headers],[Ca]:[Bắt đầu]]),0)),
$AA28&gt;MIN(BD$5,VLOOKUP(BD$6, Table_ChiPhiNV_Ca[], COUNTA(Table_ChiPhiNV_Ca[[#Headers],[Ca]:[Kết thúc]]),0))),0,
SUM(_xlfn._xlws.FILTER(Table_BangLuong_TyLeTangCa[Tỷ lệ],
(Table_BangLuong_TyLeTangCa[Ngày] = "Thường") *
(Table_BangLuong_TyLeTangCa[Giờ min]&lt;=$AA28) *
(Table_BangLuong_TyLeTangCa[Giờ max]&gt;$AA28)
))),
IF(
AND(
$AA28-$Z$4&gt;=MAX(BD$4,VLOOKUP(BD$6, Table_ChiPhiNV_Ca[], COUNTA(Table_ChiPhiNV_Ca[[#Headers],[Ca]:[Bắt đầu]]),0)),
$AA28&lt;MIN(BD$5,VLOOKUP(BD$6, Table_ChiPhiNV_Ca[], COUNTA(Table_ChiPhiNV_Ca[[#Headers],[Ca]:[Kết thúc]]),0))),
SUM(_xlfn._xlws.FILTER(Table_BangLuong_TyLeTangCa[Tỷ lệ],
(Table_BangLuong_TyLeTangCa[Ngày] = "Thường") *
(Table_BangLuong_TyLeTangCa[Giờ min]&lt;=$AA28) *
(Table_BangLuong_TyLeTangCa[Giờ max]&gt;$AA28)
)),0)
)),
IF(BD$4 &lt; BD$5,
IF($AA28-$Z$4&lt;BD$4,0,
IF($AA28&gt;BD$5,0,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BD$5,$AA28 &lt; BD$4),0,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E28" s="18" cm="1">
        <f t="array" ref="BE28" xml:space="preserve">
IFERROR(
IF(BE$1="",0,
IF(AND(
$AA28&gt;=VLOOKUP(BE$6, Table_ChiPhiNV_Ca[], COUNTA(Table_ChiPhiNV_Ca[[#Headers],[Ca]:[Bắt đầu nghỉ]]),0),
$AA28&lt;VLOOKUP(BE$6, Table_ChiPhiNV_Ca[], COUNTA(Table_ChiPhiNV_Ca[[#Headers],[Ca]:[Kết thúc nghỉ]]),0)
),0,
IF(NOT(ISBLANK(BE$3)),
IF(ISBLANK(BE$7),0,
IF(BE$4 &lt; BE$5,
IF($AA28-$Z$4&lt;BE$4,0,
IF($AA28&gt;BE$5,0,
SUM(_xlfn._xlws.FILTER(Table_BangLuong_TyLeTangCa[Tỷ lệ],
(Table_BangLuong_TyLeTangCa[Ngày] = BE$3) *
(Table_BangLuong_TyLeTangCa[Giờ min]&lt;=$AA28) *
(Table_BangLuong_TyLeTangCa[Giờ max]&gt;$AA28)
)))),
IF(AND($AA28-$Z$4 &gt;= BE$5,$AA28 &lt; BE$4),0,
SUM(_xlfn._xlws.FILTER(Table_BangLuong_TyLeTangCa[Tỷ lệ],
(Table_BangLuong_TyLeTangCa[Ngày] = BE$3) *
(Table_BangLuong_TyLeTangCa[Giờ min]&lt;=$AA28) *
(Table_BangLuong_TyLeTangCa[Giờ max]&gt;$AA28)
))))
),
IF(ISBLANK(BE$7),
IF(VLOOKUP(BE$6, Table_ChiPhiNV_Ca[], COUNTA(Table_ChiPhiNV_Ca[[#Headers],[Ca]:[Kết thúc]]),0)&gt; VLOOKUP(BE$6, Table_ChiPhiNV_Ca[], COUNTA(Table_ChiPhiNV_Ca[[#Headers],[Ca]:[Bắt đầu]]),0),
IF($AA28-$Z$4&lt;MAX(BE$4,VLOOKUP(BE$6, Table_ChiPhiNV_Ca[], COUNTA(Table_ChiPhiNV_Ca[[#Headers],[Ca]:[Bắt đầu]]),0)),0,
IF($AA28&gt;MIN(BE$5,VLOOKUP(BE$6, Table_ChiPhiNV_Ca[], COUNTA(Table_ChiPhiNV_Ca[[#Headers],[Ca]:[Kết thúc]]),0)),0,
SUM(_xlfn._xlws.FILTER(Table_BangLuong_TyLeTangCa[Tỷ lệ],
(Table_BangLuong_TyLeTangCa[Ngày] = "Thường") *
(Table_BangLuong_TyLeTangCa[Giờ min]&lt;=$AA28) *
(Table_BangLuong_TyLeTangCa[Giờ max]&gt;$AA28)
)))),
IF(BE$4 &gt; BE$5,
IF(
AND(
$AA28-$Z$4&lt;MAX(BE$4,VLOOKUP(BE$6, Table_ChiPhiNV_Ca[], COUNTA(Table_ChiPhiNV_Ca[[#Headers],[Ca]:[Bắt đầu]]),0)),
$AA28&gt;MIN(BE$5,VLOOKUP(BE$6, Table_ChiPhiNV_Ca[], COUNTA(Table_ChiPhiNV_Ca[[#Headers],[Ca]:[Kết thúc]]),0))),0,
SUM(_xlfn._xlws.FILTER(Table_BangLuong_TyLeTangCa[Tỷ lệ],
(Table_BangLuong_TyLeTangCa[Ngày] = "Thường") *
(Table_BangLuong_TyLeTangCa[Giờ min]&lt;=$AA28) *
(Table_BangLuong_TyLeTangCa[Giờ max]&gt;$AA28)
))),
IF(
AND(
$AA28-$Z$4&gt;=MAX(BE$4,VLOOKUP(BE$6, Table_ChiPhiNV_Ca[], COUNTA(Table_ChiPhiNV_Ca[[#Headers],[Ca]:[Bắt đầu]]),0)),
$AA28&lt;MIN(BE$5,VLOOKUP(BE$6, Table_ChiPhiNV_Ca[], COUNTA(Table_ChiPhiNV_Ca[[#Headers],[Ca]:[Kết thúc]]),0))),
SUM(_xlfn._xlws.FILTER(Table_BangLuong_TyLeTangCa[Tỷ lệ],
(Table_BangLuong_TyLeTangCa[Ngày] = "Thường") *
(Table_BangLuong_TyLeTangCa[Giờ min]&lt;=$AA28) *
(Table_BangLuong_TyLeTangCa[Giờ max]&gt;$AA28)
)),0)
)),
IF(BE$4 &lt; BE$5,
IF($AA28-$Z$4&lt;BE$4,0,
IF($AA28&gt;BE$5,0,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BE$5,$AA28 &lt; BE$4),0,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F28" s="18" cm="1">
        <f t="array" ref="BF28" xml:space="preserve">
IFERROR(
IF(BF$1="",0,
IF(AND(
$AA28&gt;=VLOOKUP(BF$6, Table_ChiPhiNV_Ca[], COUNTA(Table_ChiPhiNV_Ca[[#Headers],[Ca]:[Bắt đầu nghỉ]]),0),
$AA28&lt;VLOOKUP(BF$6, Table_ChiPhiNV_Ca[], COUNTA(Table_ChiPhiNV_Ca[[#Headers],[Ca]:[Kết thúc nghỉ]]),0)
),0,
IF(NOT(ISBLANK(BF$3)),
IF(ISBLANK(BF$7),0,
IF(BF$4 &lt; BF$5,
IF($AA28-$Z$4&lt;BF$4,0,
IF($AA28&gt;BF$5,0,
SUM(_xlfn._xlws.FILTER(Table_BangLuong_TyLeTangCa[Tỷ lệ],
(Table_BangLuong_TyLeTangCa[Ngày] = BF$3) *
(Table_BangLuong_TyLeTangCa[Giờ min]&lt;=$AA28) *
(Table_BangLuong_TyLeTangCa[Giờ max]&gt;$AA28)
)))),
IF(AND($AA28-$Z$4 &gt;= BF$5,$AA28 &lt; BF$4),0,
SUM(_xlfn._xlws.FILTER(Table_BangLuong_TyLeTangCa[Tỷ lệ],
(Table_BangLuong_TyLeTangCa[Ngày] = BF$3) *
(Table_BangLuong_TyLeTangCa[Giờ min]&lt;=$AA28) *
(Table_BangLuong_TyLeTangCa[Giờ max]&gt;$AA28)
))))
),
IF(ISBLANK(BF$7),
IF(VLOOKUP(BF$6, Table_ChiPhiNV_Ca[], COUNTA(Table_ChiPhiNV_Ca[[#Headers],[Ca]:[Kết thúc]]),0)&gt; VLOOKUP(BF$6, Table_ChiPhiNV_Ca[], COUNTA(Table_ChiPhiNV_Ca[[#Headers],[Ca]:[Bắt đầu]]),0),
IF($AA28-$Z$4&lt;MAX(BF$4,VLOOKUP(BF$6, Table_ChiPhiNV_Ca[], COUNTA(Table_ChiPhiNV_Ca[[#Headers],[Ca]:[Bắt đầu]]),0)),0,
IF($AA28&gt;MIN(BF$5,VLOOKUP(BF$6, Table_ChiPhiNV_Ca[], COUNTA(Table_ChiPhiNV_Ca[[#Headers],[Ca]:[Kết thúc]]),0)),0,
SUM(_xlfn._xlws.FILTER(Table_BangLuong_TyLeTangCa[Tỷ lệ],
(Table_BangLuong_TyLeTangCa[Ngày] = "Thường") *
(Table_BangLuong_TyLeTangCa[Giờ min]&lt;=$AA28) *
(Table_BangLuong_TyLeTangCa[Giờ max]&gt;$AA28)
)))),
IF(BF$4 &gt; BF$5,
IF(
AND(
$AA28-$Z$4&lt;MAX(BF$4,VLOOKUP(BF$6, Table_ChiPhiNV_Ca[], COUNTA(Table_ChiPhiNV_Ca[[#Headers],[Ca]:[Bắt đầu]]),0)),
$AA28&gt;MIN(BF$5,VLOOKUP(BF$6, Table_ChiPhiNV_Ca[], COUNTA(Table_ChiPhiNV_Ca[[#Headers],[Ca]:[Kết thúc]]),0))),0,
SUM(_xlfn._xlws.FILTER(Table_BangLuong_TyLeTangCa[Tỷ lệ],
(Table_BangLuong_TyLeTangCa[Ngày] = "Thường") *
(Table_BangLuong_TyLeTangCa[Giờ min]&lt;=$AA28) *
(Table_BangLuong_TyLeTangCa[Giờ max]&gt;$AA28)
))),
IF(
AND(
$AA28-$Z$4&gt;=MAX(BF$4,VLOOKUP(BF$6, Table_ChiPhiNV_Ca[], COUNTA(Table_ChiPhiNV_Ca[[#Headers],[Ca]:[Bắt đầu]]),0)),
$AA28&lt;MIN(BF$5,VLOOKUP(BF$6, Table_ChiPhiNV_Ca[], COUNTA(Table_ChiPhiNV_Ca[[#Headers],[Ca]:[Kết thúc]]),0))),
SUM(_xlfn._xlws.FILTER(Table_BangLuong_TyLeTangCa[Tỷ lệ],
(Table_BangLuong_TyLeTangCa[Ngày] = "Thường") *
(Table_BangLuong_TyLeTangCa[Giờ min]&lt;=$AA28) *
(Table_BangLuong_TyLeTangCa[Giờ max]&gt;$AA28)
)),0)
)),
IF(BF$4 &lt; BF$5,
IF($AA28-$Z$4&lt;BF$4,0,
IF($AA28&gt;BF$5,0,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BF$5,$AA28 &lt; BF$4),0,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row>
    <row r="29" spans="2:58" ht="18" customHeight="1" outlineLevel="1" x14ac:dyDescent="0.3">
      <c r="B29" s="11"/>
      <c r="C29" s="11"/>
      <c r="D29" s="11"/>
      <c r="E29" s="11"/>
      <c r="F29" s="11"/>
      <c r="G29" s="11"/>
      <c r="H29" s="11"/>
      <c r="I29" s="11"/>
      <c r="J29" s="11"/>
      <c r="K29" s="11"/>
      <c r="L29" s="11"/>
      <c r="M29" s="11"/>
      <c r="N29" s="11"/>
      <c r="O29" s="11"/>
      <c r="P29" s="11"/>
      <c r="Q29" s="11"/>
      <c r="R29" s="11"/>
      <c r="S29" s="11"/>
      <c r="AA29" s="50">
        <v>0.41666666666666702</v>
      </c>
      <c r="AB29" s="18" cm="1">
        <f t="array" ref="AB29" xml:space="preserve">
IFERROR(
IF(AB$1="",0,
IF(AND(
$AA29&gt;=VLOOKUP(AB$6, Table_ChiPhiNV_Ca[], COUNTA(Table_ChiPhiNV_Ca[[#Headers],[Ca]:[Bắt đầu nghỉ]]),0),
$AA29&lt;VLOOKUP(AB$6, Table_ChiPhiNV_Ca[], COUNTA(Table_ChiPhiNV_Ca[[#Headers],[Ca]:[Kết thúc nghỉ]]),0)
),0,
IF(NOT(ISBLANK(AB$3)),
IF(ISBLANK(AB$7),0,
IF(AB$4 &lt; AB$5,
IF($AA29-$Z$4&lt;AB$4,0,
IF($AA29&gt;AB$5,0,
SUM(_xlfn._xlws.FILTER(Table_BangLuong_TyLeTangCa[Tỷ lệ],
(Table_BangLuong_TyLeTangCa[Ngày] = AB$3) *
(Table_BangLuong_TyLeTangCa[Giờ min]&lt;=$AA29) *
(Table_BangLuong_TyLeTangCa[Giờ max]&gt;$AA29)
)))),
IF(AND($AA29-$Z$4 &gt;= AB$5,$AA29 &lt; AB$4),0,
SUM(_xlfn._xlws.FILTER(Table_BangLuong_TyLeTangCa[Tỷ lệ],
(Table_BangLuong_TyLeTangCa[Ngày] = AB$3) *
(Table_BangLuong_TyLeTangCa[Giờ min]&lt;=$AA29) *
(Table_BangLuong_TyLeTangCa[Giờ max]&gt;$AA29)
))))
),
IF(ISBLANK(AB$7),
IF(VLOOKUP(AB$6, Table_ChiPhiNV_Ca[], COUNTA(Table_ChiPhiNV_Ca[[#Headers],[Ca]:[Kết thúc]]),0)&gt; VLOOKUP(AB$6, Table_ChiPhiNV_Ca[], COUNTA(Table_ChiPhiNV_Ca[[#Headers],[Ca]:[Bắt đầu]]),0),
IF($AA29-$Z$4&lt;MAX(AB$4,VLOOKUP(AB$6, Table_ChiPhiNV_Ca[], COUNTA(Table_ChiPhiNV_Ca[[#Headers],[Ca]:[Bắt đầu]]),0)),0,
IF($AA29&gt;MIN(AB$5,VLOOKUP(AB$6, Table_ChiPhiNV_Ca[], COUNTA(Table_ChiPhiNV_Ca[[#Headers],[Ca]:[Kết thúc]]),0)),0,
SUM(_xlfn._xlws.FILTER(Table_BangLuong_TyLeTangCa[Tỷ lệ],
(Table_BangLuong_TyLeTangCa[Ngày] = "Thường") *
(Table_BangLuong_TyLeTangCa[Giờ min]&lt;=$AA29) *
(Table_BangLuong_TyLeTangCa[Giờ max]&gt;$AA29)
)))),
IF(AB$4 &gt; AB$5,
IF(
AND(
$AA29-$Z$4&lt;MAX(AB$4,VLOOKUP(AB$6, Table_ChiPhiNV_Ca[], COUNTA(Table_ChiPhiNV_Ca[[#Headers],[Ca]:[Bắt đầu]]),0)),
$AA29&gt;MIN(AB$5,VLOOKUP(AB$6, Table_ChiPhiNV_Ca[], COUNTA(Table_ChiPhiNV_Ca[[#Headers],[Ca]:[Kết thúc]]),0))),0,
SUM(_xlfn._xlws.FILTER(Table_BangLuong_TyLeTangCa[Tỷ lệ],
(Table_BangLuong_TyLeTangCa[Ngày] = "Thường") *
(Table_BangLuong_TyLeTangCa[Giờ min]&lt;=$AA29) *
(Table_BangLuong_TyLeTangCa[Giờ max]&gt;$AA29)
))),
IF(
AND(
$AA29-$Z$4&gt;=MAX(AB$4,VLOOKUP(AB$6, Table_ChiPhiNV_Ca[], COUNTA(Table_ChiPhiNV_Ca[[#Headers],[Ca]:[Bắt đầu]]),0)),
$AA29&lt;MIN(AB$5,VLOOKUP(AB$6, Table_ChiPhiNV_Ca[], COUNTA(Table_ChiPhiNV_Ca[[#Headers],[Ca]:[Kết thúc]]),0))),
SUM(_xlfn._xlws.FILTER(Table_BangLuong_TyLeTangCa[Tỷ lệ],
(Table_BangLuong_TyLeTangCa[Ngày] = "Thường") *
(Table_BangLuong_TyLeTangCa[Giờ min]&lt;=$AA29) *
(Table_BangLuong_TyLeTangCa[Giờ max]&gt;$AA29)
)),0)
)),
IF(AB$4 &lt; AB$5,
IF($AA29-$Z$4&lt;AB$4,0,
IF($AA29&gt;AB$5,0,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AB$5,$AA29 &lt; AB$4),0,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C29" s="18" cm="1">
        <f t="array" ref="AC29" xml:space="preserve">
IFERROR(
IF(AC$1="",0,
IF(AND(
$AA29&gt;=VLOOKUP(AC$6, Table_ChiPhiNV_Ca[], COUNTA(Table_ChiPhiNV_Ca[[#Headers],[Ca]:[Bắt đầu nghỉ]]),0),
$AA29&lt;VLOOKUP(AC$6, Table_ChiPhiNV_Ca[], COUNTA(Table_ChiPhiNV_Ca[[#Headers],[Ca]:[Kết thúc nghỉ]]),0)
),0,
IF(NOT(ISBLANK(AC$3)),
IF(ISBLANK(AC$7),0,
IF(AC$4 &lt; AC$5,
IF($AA29-$Z$4&lt;AC$4,0,
IF($AA29&gt;AC$5,0,
SUM(_xlfn._xlws.FILTER(Table_BangLuong_TyLeTangCa[Tỷ lệ],
(Table_BangLuong_TyLeTangCa[Ngày] = AC$3) *
(Table_BangLuong_TyLeTangCa[Giờ min]&lt;=$AA29) *
(Table_BangLuong_TyLeTangCa[Giờ max]&gt;$AA29)
)))),
IF(AND($AA29-$Z$4 &gt;= AC$5,$AA29 &lt; AC$4),0,
SUM(_xlfn._xlws.FILTER(Table_BangLuong_TyLeTangCa[Tỷ lệ],
(Table_BangLuong_TyLeTangCa[Ngày] = AC$3) *
(Table_BangLuong_TyLeTangCa[Giờ min]&lt;=$AA29) *
(Table_BangLuong_TyLeTangCa[Giờ max]&gt;$AA29)
))))
),
IF(ISBLANK(AC$7),
IF(VLOOKUP(AC$6, Table_ChiPhiNV_Ca[], COUNTA(Table_ChiPhiNV_Ca[[#Headers],[Ca]:[Kết thúc]]),0)&gt; VLOOKUP(AC$6, Table_ChiPhiNV_Ca[], COUNTA(Table_ChiPhiNV_Ca[[#Headers],[Ca]:[Bắt đầu]]),0),
IF($AA29-$Z$4&lt;MAX(AC$4,VLOOKUP(AC$6, Table_ChiPhiNV_Ca[], COUNTA(Table_ChiPhiNV_Ca[[#Headers],[Ca]:[Bắt đầu]]),0)),0,
IF($AA29&gt;MIN(AC$5,VLOOKUP(AC$6, Table_ChiPhiNV_Ca[], COUNTA(Table_ChiPhiNV_Ca[[#Headers],[Ca]:[Kết thúc]]),0)),0,
SUM(_xlfn._xlws.FILTER(Table_BangLuong_TyLeTangCa[Tỷ lệ],
(Table_BangLuong_TyLeTangCa[Ngày] = "Thường") *
(Table_BangLuong_TyLeTangCa[Giờ min]&lt;=$AA29) *
(Table_BangLuong_TyLeTangCa[Giờ max]&gt;$AA29)
)))),
IF(AC$4 &gt; AC$5,
IF(
AND(
$AA29-$Z$4&lt;MAX(AC$4,VLOOKUP(AC$6, Table_ChiPhiNV_Ca[], COUNTA(Table_ChiPhiNV_Ca[[#Headers],[Ca]:[Bắt đầu]]),0)),
$AA29&gt;MIN(AC$5,VLOOKUP(AC$6, Table_ChiPhiNV_Ca[], COUNTA(Table_ChiPhiNV_Ca[[#Headers],[Ca]:[Kết thúc]]),0))),0,
SUM(_xlfn._xlws.FILTER(Table_BangLuong_TyLeTangCa[Tỷ lệ],
(Table_BangLuong_TyLeTangCa[Ngày] = "Thường") *
(Table_BangLuong_TyLeTangCa[Giờ min]&lt;=$AA29) *
(Table_BangLuong_TyLeTangCa[Giờ max]&gt;$AA29)
))),
IF(
AND(
$AA29-$Z$4&gt;=MAX(AC$4,VLOOKUP(AC$6, Table_ChiPhiNV_Ca[], COUNTA(Table_ChiPhiNV_Ca[[#Headers],[Ca]:[Bắt đầu]]),0)),
$AA29&lt;MIN(AC$5,VLOOKUP(AC$6, Table_ChiPhiNV_Ca[], COUNTA(Table_ChiPhiNV_Ca[[#Headers],[Ca]:[Kết thúc]]),0))),
SUM(_xlfn._xlws.FILTER(Table_BangLuong_TyLeTangCa[Tỷ lệ],
(Table_BangLuong_TyLeTangCa[Ngày] = "Thường") *
(Table_BangLuong_TyLeTangCa[Giờ min]&lt;=$AA29) *
(Table_BangLuong_TyLeTangCa[Giờ max]&gt;$AA29)
)),0)
)),
IF(AC$4 &lt; AC$5,
IF($AA29-$Z$4&lt;AC$4,0,
IF($AA29&gt;AC$5,0,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AC$5,$AA29 &lt; AC$4),0,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D29" s="18" cm="1">
        <f t="array" ref="AD29" xml:space="preserve">
IFERROR(
IF(AD$1="",0,
IF(AND(
$AA29&gt;=VLOOKUP(AD$6, Table_ChiPhiNV_Ca[], COUNTA(Table_ChiPhiNV_Ca[[#Headers],[Ca]:[Bắt đầu nghỉ]]),0),
$AA29&lt;VLOOKUP(AD$6, Table_ChiPhiNV_Ca[], COUNTA(Table_ChiPhiNV_Ca[[#Headers],[Ca]:[Kết thúc nghỉ]]),0)
),0,
IF(NOT(ISBLANK(AD$3)),
IF(ISBLANK(AD$7),0,
IF(AD$4 &lt; AD$5,
IF($AA29-$Z$4&lt;AD$4,0,
IF($AA29&gt;AD$5,0,
SUM(_xlfn._xlws.FILTER(Table_BangLuong_TyLeTangCa[Tỷ lệ],
(Table_BangLuong_TyLeTangCa[Ngày] = AD$3) *
(Table_BangLuong_TyLeTangCa[Giờ min]&lt;=$AA29) *
(Table_BangLuong_TyLeTangCa[Giờ max]&gt;$AA29)
)))),
IF(AND($AA29-$Z$4 &gt;= AD$5,$AA29 &lt; AD$4),0,
SUM(_xlfn._xlws.FILTER(Table_BangLuong_TyLeTangCa[Tỷ lệ],
(Table_BangLuong_TyLeTangCa[Ngày] = AD$3) *
(Table_BangLuong_TyLeTangCa[Giờ min]&lt;=$AA29) *
(Table_BangLuong_TyLeTangCa[Giờ max]&gt;$AA29)
))))
),
IF(ISBLANK(AD$7),
IF(VLOOKUP(AD$6, Table_ChiPhiNV_Ca[], COUNTA(Table_ChiPhiNV_Ca[[#Headers],[Ca]:[Kết thúc]]),0)&gt; VLOOKUP(AD$6, Table_ChiPhiNV_Ca[], COUNTA(Table_ChiPhiNV_Ca[[#Headers],[Ca]:[Bắt đầu]]),0),
IF($AA29-$Z$4&lt;MAX(AD$4,VLOOKUP(AD$6, Table_ChiPhiNV_Ca[], COUNTA(Table_ChiPhiNV_Ca[[#Headers],[Ca]:[Bắt đầu]]),0)),0,
IF($AA29&gt;MIN(AD$5,VLOOKUP(AD$6, Table_ChiPhiNV_Ca[], COUNTA(Table_ChiPhiNV_Ca[[#Headers],[Ca]:[Kết thúc]]),0)),0,
SUM(_xlfn._xlws.FILTER(Table_BangLuong_TyLeTangCa[Tỷ lệ],
(Table_BangLuong_TyLeTangCa[Ngày] = "Thường") *
(Table_BangLuong_TyLeTangCa[Giờ min]&lt;=$AA29) *
(Table_BangLuong_TyLeTangCa[Giờ max]&gt;$AA29)
)))),
IF(AD$4 &gt; AD$5,
IF(
AND(
$AA29-$Z$4&lt;MAX(AD$4,VLOOKUP(AD$6, Table_ChiPhiNV_Ca[], COUNTA(Table_ChiPhiNV_Ca[[#Headers],[Ca]:[Bắt đầu]]),0)),
$AA29&gt;MIN(AD$5,VLOOKUP(AD$6, Table_ChiPhiNV_Ca[], COUNTA(Table_ChiPhiNV_Ca[[#Headers],[Ca]:[Kết thúc]]),0))),0,
SUM(_xlfn._xlws.FILTER(Table_BangLuong_TyLeTangCa[Tỷ lệ],
(Table_BangLuong_TyLeTangCa[Ngày] = "Thường") *
(Table_BangLuong_TyLeTangCa[Giờ min]&lt;=$AA29) *
(Table_BangLuong_TyLeTangCa[Giờ max]&gt;$AA29)
))),
IF(
AND(
$AA29-$Z$4&gt;=MAX(AD$4,VLOOKUP(AD$6, Table_ChiPhiNV_Ca[], COUNTA(Table_ChiPhiNV_Ca[[#Headers],[Ca]:[Bắt đầu]]),0)),
$AA29&lt;MIN(AD$5,VLOOKUP(AD$6, Table_ChiPhiNV_Ca[], COUNTA(Table_ChiPhiNV_Ca[[#Headers],[Ca]:[Kết thúc]]),0))),
SUM(_xlfn._xlws.FILTER(Table_BangLuong_TyLeTangCa[Tỷ lệ],
(Table_BangLuong_TyLeTangCa[Ngày] = "Thường") *
(Table_BangLuong_TyLeTangCa[Giờ min]&lt;=$AA29) *
(Table_BangLuong_TyLeTangCa[Giờ max]&gt;$AA29)
)),0)
)),
IF(AD$4 &lt; AD$5,
IF($AA29-$Z$4&lt;AD$4,0,
IF($AA29&gt;AD$5,0,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AD$5,$AA29 &lt; AD$4),0,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E29" s="18" cm="1">
        <f t="array" ref="AE29" xml:space="preserve">
IFERROR(
IF(AE$1="",0,
IF(AND(
$AA29&gt;=VLOOKUP(AE$6, Table_ChiPhiNV_Ca[], COUNTA(Table_ChiPhiNV_Ca[[#Headers],[Ca]:[Bắt đầu nghỉ]]),0),
$AA29&lt;VLOOKUP(AE$6, Table_ChiPhiNV_Ca[], COUNTA(Table_ChiPhiNV_Ca[[#Headers],[Ca]:[Kết thúc nghỉ]]),0)
),0,
IF(NOT(ISBLANK(AE$3)),
IF(ISBLANK(AE$7),0,
IF(AE$4 &lt; AE$5,
IF($AA29-$Z$4&lt;AE$4,0,
IF($AA29&gt;AE$5,0,
SUM(_xlfn._xlws.FILTER(Table_BangLuong_TyLeTangCa[Tỷ lệ],
(Table_BangLuong_TyLeTangCa[Ngày] = AE$3) *
(Table_BangLuong_TyLeTangCa[Giờ min]&lt;=$AA29) *
(Table_BangLuong_TyLeTangCa[Giờ max]&gt;$AA29)
)))),
IF(AND($AA29-$Z$4 &gt;= AE$5,$AA29 &lt; AE$4),0,
SUM(_xlfn._xlws.FILTER(Table_BangLuong_TyLeTangCa[Tỷ lệ],
(Table_BangLuong_TyLeTangCa[Ngày] = AE$3) *
(Table_BangLuong_TyLeTangCa[Giờ min]&lt;=$AA29) *
(Table_BangLuong_TyLeTangCa[Giờ max]&gt;$AA29)
))))
),
IF(ISBLANK(AE$7),
IF(VLOOKUP(AE$6, Table_ChiPhiNV_Ca[], COUNTA(Table_ChiPhiNV_Ca[[#Headers],[Ca]:[Kết thúc]]),0)&gt; VLOOKUP(AE$6, Table_ChiPhiNV_Ca[], COUNTA(Table_ChiPhiNV_Ca[[#Headers],[Ca]:[Bắt đầu]]),0),
IF($AA29-$Z$4&lt;MAX(AE$4,VLOOKUP(AE$6, Table_ChiPhiNV_Ca[], COUNTA(Table_ChiPhiNV_Ca[[#Headers],[Ca]:[Bắt đầu]]),0)),0,
IF($AA29&gt;MIN(AE$5,VLOOKUP(AE$6, Table_ChiPhiNV_Ca[], COUNTA(Table_ChiPhiNV_Ca[[#Headers],[Ca]:[Kết thúc]]),0)),0,
SUM(_xlfn._xlws.FILTER(Table_BangLuong_TyLeTangCa[Tỷ lệ],
(Table_BangLuong_TyLeTangCa[Ngày] = "Thường") *
(Table_BangLuong_TyLeTangCa[Giờ min]&lt;=$AA29) *
(Table_BangLuong_TyLeTangCa[Giờ max]&gt;$AA29)
)))),
IF(AE$4 &gt; AE$5,
IF(
AND(
$AA29-$Z$4&lt;MAX(AE$4,VLOOKUP(AE$6, Table_ChiPhiNV_Ca[], COUNTA(Table_ChiPhiNV_Ca[[#Headers],[Ca]:[Bắt đầu]]),0)),
$AA29&gt;MIN(AE$5,VLOOKUP(AE$6, Table_ChiPhiNV_Ca[], COUNTA(Table_ChiPhiNV_Ca[[#Headers],[Ca]:[Kết thúc]]),0))),0,
SUM(_xlfn._xlws.FILTER(Table_BangLuong_TyLeTangCa[Tỷ lệ],
(Table_BangLuong_TyLeTangCa[Ngày] = "Thường") *
(Table_BangLuong_TyLeTangCa[Giờ min]&lt;=$AA29) *
(Table_BangLuong_TyLeTangCa[Giờ max]&gt;$AA29)
))),
IF(
AND(
$AA29-$Z$4&gt;=MAX(AE$4,VLOOKUP(AE$6, Table_ChiPhiNV_Ca[], COUNTA(Table_ChiPhiNV_Ca[[#Headers],[Ca]:[Bắt đầu]]),0)),
$AA29&lt;MIN(AE$5,VLOOKUP(AE$6, Table_ChiPhiNV_Ca[], COUNTA(Table_ChiPhiNV_Ca[[#Headers],[Ca]:[Kết thúc]]),0))),
SUM(_xlfn._xlws.FILTER(Table_BangLuong_TyLeTangCa[Tỷ lệ],
(Table_BangLuong_TyLeTangCa[Ngày] = "Thường") *
(Table_BangLuong_TyLeTangCa[Giờ min]&lt;=$AA29) *
(Table_BangLuong_TyLeTangCa[Giờ max]&gt;$AA29)
)),0)
)),
IF(AE$4 &lt; AE$5,
IF($AA29-$Z$4&lt;AE$4,0,
IF($AA29&gt;AE$5,0,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AE$5,$AA29 &lt; AE$4),0,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F29" s="18" cm="1">
        <f t="array" ref="AF29" xml:space="preserve">
IFERROR(
IF(AF$1="",0,
IF(AND(
$AA29&gt;=VLOOKUP(AF$6, Table_ChiPhiNV_Ca[], COUNTA(Table_ChiPhiNV_Ca[[#Headers],[Ca]:[Bắt đầu nghỉ]]),0),
$AA29&lt;VLOOKUP(AF$6, Table_ChiPhiNV_Ca[], COUNTA(Table_ChiPhiNV_Ca[[#Headers],[Ca]:[Kết thúc nghỉ]]),0)
),0,
IF(NOT(ISBLANK(AF$3)),
IF(ISBLANK(AF$7),0,
IF(AF$4 &lt; AF$5,
IF($AA29-$Z$4&lt;AF$4,0,
IF($AA29&gt;AF$5,0,
SUM(_xlfn._xlws.FILTER(Table_BangLuong_TyLeTangCa[Tỷ lệ],
(Table_BangLuong_TyLeTangCa[Ngày] = AF$3) *
(Table_BangLuong_TyLeTangCa[Giờ min]&lt;=$AA29) *
(Table_BangLuong_TyLeTangCa[Giờ max]&gt;$AA29)
)))),
IF(AND($AA29-$Z$4 &gt;= AF$5,$AA29 &lt; AF$4),0,
SUM(_xlfn._xlws.FILTER(Table_BangLuong_TyLeTangCa[Tỷ lệ],
(Table_BangLuong_TyLeTangCa[Ngày] = AF$3) *
(Table_BangLuong_TyLeTangCa[Giờ min]&lt;=$AA29) *
(Table_BangLuong_TyLeTangCa[Giờ max]&gt;$AA29)
))))
),
IF(ISBLANK(AF$7),
IF(VLOOKUP(AF$6, Table_ChiPhiNV_Ca[], COUNTA(Table_ChiPhiNV_Ca[[#Headers],[Ca]:[Kết thúc]]),0)&gt; VLOOKUP(AF$6, Table_ChiPhiNV_Ca[], COUNTA(Table_ChiPhiNV_Ca[[#Headers],[Ca]:[Bắt đầu]]),0),
IF($AA29-$Z$4&lt;MAX(AF$4,VLOOKUP(AF$6, Table_ChiPhiNV_Ca[], COUNTA(Table_ChiPhiNV_Ca[[#Headers],[Ca]:[Bắt đầu]]),0)),0,
IF($AA29&gt;MIN(AF$5,VLOOKUP(AF$6, Table_ChiPhiNV_Ca[], COUNTA(Table_ChiPhiNV_Ca[[#Headers],[Ca]:[Kết thúc]]),0)),0,
SUM(_xlfn._xlws.FILTER(Table_BangLuong_TyLeTangCa[Tỷ lệ],
(Table_BangLuong_TyLeTangCa[Ngày] = "Thường") *
(Table_BangLuong_TyLeTangCa[Giờ min]&lt;=$AA29) *
(Table_BangLuong_TyLeTangCa[Giờ max]&gt;$AA29)
)))),
IF(AF$4 &gt; AF$5,
IF(
AND(
$AA29-$Z$4&lt;MAX(AF$4,VLOOKUP(AF$6, Table_ChiPhiNV_Ca[], COUNTA(Table_ChiPhiNV_Ca[[#Headers],[Ca]:[Bắt đầu]]),0)),
$AA29&gt;MIN(AF$5,VLOOKUP(AF$6, Table_ChiPhiNV_Ca[], COUNTA(Table_ChiPhiNV_Ca[[#Headers],[Ca]:[Kết thúc]]),0))),0,
SUM(_xlfn._xlws.FILTER(Table_BangLuong_TyLeTangCa[Tỷ lệ],
(Table_BangLuong_TyLeTangCa[Ngày] = "Thường") *
(Table_BangLuong_TyLeTangCa[Giờ min]&lt;=$AA29) *
(Table_BangLuong_TyLeTangCa[Giờ max]&gt;$AA29)
))),
IF(
AND(
$AA29-$Z$4&gt;=MAX(AF$4,VLOOKUP(AF$6, Table_ChiPhiNV_Ca[], COUNTA(Table_ChiPhiNV_Ca[[#Headers],[Ca]:[Bắt đầu]]),0)),
$AA29&lt;MIN(AF$5,VLOOKUP(AF$6, Table_ChiPhiNV_Ca[], COUNTA(Table_ChiPhiNV_Ca[[#Headers],[Ca]:[Kết thúc]]),0))),
SUM(_xlfn._xlws.FILTER(Table_BangLuong_TyLeTangCa[Tỷ lệ],
(Table_BangLuong_TyLeTangCa[Ngày] = "Thường") *
(Table_BangLuong_TyLeTangCa[Giờ min]&lt;=$AA29) *
(Table_BangLuong_TyLeTangCa[Giờ max]&gt;$AA29)
)),0)
)),
IF(AF$4 &lt; AF$5,
IF($AA29-$Z$4&lt;AF$4,0,
IF($AA29&gt;AF$5,0,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AF$5,$AA29 &lt; AF$4),0,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G29" s="18" cm="1">
        <f t="array" ref="AG29" xml:space="preserve">
IFERROR(
IF(AG$1="",0,
IF(AND(
$AA29&gt;=VLOOKUP(AG$6, Table_ChiPhiNV_Ca[], COUNTA(Table_ChiPhiNV_Ca[[#Headers],[Ca]:[Bắt đầu nghỉ]]),0),
$AA29&lt;VLOOKUP(AG$6, Table_ChiPhiNV_Ca[], COUNTA(Table_ChiPhiNV_Ca[[#Headers],[Ca]:[Kết thúc nghỉ]]),0)
),0,
IF(NOT(ISBLANK(AG$3)),
IF(ISBLANK(AG$7),0,
IF(AG$4 &lt; AG$5,
IF($AA29-$Z$4&lt;AG$4,0,
IF($AA29&gt;AG$5,0,
SUM(_xlfn._xlws.FILTER(Table_BangLuong_TyLeTangCa[Tỷ lệ],
(Table_BangLuong_TyLeTangCa[Ngày] = AG$3) *
(Table_BangLuong_TyLeTangCa[Giờ min]&lt;=$AA29) *
(Table_BangLuong_TyLeTangCa[Giờ max]&gt;$AA29)
)))),
IF(AND($AA29-$Z$4 &gt;= AG$5,$AA29 &lt; AG$4),0,
SUM(_xlfn._xlws.FILTER(Table_BangLuong_TyLeTangCa[Tỷ lệ],
(Table_BangLuong_TyLeTangCa[Ngày] = AG$3) *
(Table_BangLuong_TyLeTangCa[Giờ min]&lt;=$AA29) *
(Table_BangLuong_TyLeTangCa[Giờ max]&gt;$AA29)
))))
),
IF(ISBLANK(AG$7),
IF(VLOOKUP(AG$6, Table_ChiPhiNV_Ca[], COUNTA(Table_ChiPhiNV_Ca[[#Headers],[Ca]:[Kết thúc]]),0)&gt; VLOOKUP(AG$6, Table_ChiPhiNV_Ca[], COUNTA(Table_ChiPhiNV_Ca[[#Headers],[Ca]:[Bắt đầu]]),0),
IF($AA29-$Z$4&lt;MAX(AG$4,VLOOKUP(AG$6, Table_ChiPhiNV_Ca[], COUNTA(Table_ChiPhiNV_Ca[[#Headers],[Ca]:[Bắt đầu]]),0)),0,
IF($AA29&gt;MIN(AG$5,VLOOKUP(AG$6, Table_ChiPhiNV_Ca[], COUNTA(Table_ChiPhiNV_Ca[[#Headers],[Ca]:[Kết thúc]]),0)),0,
SUM(_xlfn._xlws.FILTER(Table_BangLuong_TyLeTangCa[Tỷ lệ],
(Table_BangLuong_TyLeTangCa[Ngày] = "Thường") *
(Table_BangLuong_TyLeTangCa[Giờ min]&lt;=$AA29) *
(Table_BangLuong_TyLeTangCa[Giờ max]&gt;$AA29)
)))),
IF(AG$4 &gt; AG$5,
IF(
AND(
$AA29-$Z$4&lt;MAX(AG$4,VLOOKUP(AG$6, Table_ChiPhiNV_Ca[], COUNTA(Table_ChiPhiNV_Ca[[#Headers],[Ca]:[Bắt đầu]]),0)),
$AA29&gt;MIN(AG$5,VLOOKUP(AG$6, Table_ChiPhiNV_Ca[], COUNTA(Table_ChiPhiNV_Ca[[#Headers],[Ca]:[Kết thúc]]),0))),0,
SUM(_xlfn._xlws.FILTER(Table_BangLuong_TyLeTangCa[Tỷ lệ],
(Table_BangLuong_TyLeTangCa[Ngày] = "Thường") *
(Table_BangLuong_TyLeTangCa[Giờ min]&lt;=$AA29) *
(Table_BangLuong_TyLeTangCa[Giờ max]&gt;$AA29)
))),
IF(
AND(
$AA29-$Z$4&gt;=MAX(AG$4,VLOOKUP(AG$6, Table_ChiPhiNV_Ca[], COUNTA(Table_ChiPhiNV_Ca[[#Headers],[Ca]:[Bắt đầu]]),0)),
$AA29&lt;MIN(AG$5,VLOOKUP(AG$6, Table_ChiPhiNV_Ca[], COUNTA(Table_ChiPhiNV_Ca[[#Headers],[Ca]:[Kết thúc]]),0))),
SUM(_xlfn._xlws.FILTER(Table_BangLuong_TyLeTangCa[Tỷ lệ],
(Table_BangLuong_TyLeTangCa[Ngày] = "Thường") *
(Table_BangLuong_TyLeTangCa[Giờ min]&lt;=$AA29) *
(Table_BangLuong_TyLeTangCa[Giờ max]&gt;$AA29)
)),0)
)),
IF(AG$4 &lt; AG$5,
IF($AA29-$Z$4&lt;AG$4,0,
IF($AA29&gt;AG$5,0,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AG$5,$AA29 &lt; AG$4),0,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H29" s="18" cm="1">
        <f t="array" ref="AH29" xml:space="preserve">
IFERROR(
IF(AH$1="",0,
IF(AND(
$AA29&gt;=VLOOKUP(AH$6, Table_ChiPhiNV_Ca[], COUNTA(Table_ChiPhiNV_Ca[[#Headers],[Ca]:[Bắt đầu nghỉ]]),0),
$AA29&lt;VLOOKUP(AH$6, Table_ChiPhiNV_Ca[], COUNTA(Table_ChiPhiNV_Ca[[#Headers],[Ca]:[Kết thúc nghỉ]]),0)
),0,
IF(NOT(ISBLANK(AH$3)),
IF(ISBLANK(AH$7),0,
IF(AH$4 &lt; AH$5,
IF($AA29-$Z$4&lt;AH$4,0,
IF($AA29&gt;AH$5,0,
SUM(_xlfn._xlws.FILTER(Table_BangLuong_TyLeTangCa[Tỷ lệ],
(Table_BangLuong_TyLeTangCa[Ngày] = AH$3) *
(Table_BangLuong_TyLeTangCa[Giờ min]&lt;=$AA29) *
(Table_BangLuong_TyLeTangCa[Giờ max]&gt;$AA29)
)))),
IF(AND($AA29-$Z$4 &gt;= AH$5,$AA29 &lt; AH$4),0,
SUM(_xlfn._xlws.FILTER(Table_BangLuong_TyLeTangCa[Tỷ lệ],
(Table_BangLuong_TyLeTangCa[Ngày] = AH$3) *
(Table_BangLuong_TyLeTangCa[Giờ min]&lt;=$AA29) *
(Table_BangLuong_TyLeTangCa[Giờ max]&gt;$AA29)
))))
),
IF(ISBLANK(AH$7),
IF(VLOOKUP(AH$6, Table_ChiPhiNV_Ca[], COUNTA(Table_ChiPhiNV_Ca[[#Headers],[Ca]:[Kết thúc]]),0)&gt; VLOOKUP(AH$6, Table_ChiPhiNV_Ca[], COUNTA(Table_ChiPhiNV_Ca[[#Headers],[Ca]:[Bắt đầu]]),0),
IF($AA29-$Z$4&lt;MAX(AH$4,VLOOKUP(AH$6, Table_ChiPhiNV_Ca[], COUNTA(Table_ChiPhiNV_Ca[[#Headers],[Ca]:[Bắt đầu]]),0)),0,
IF($AA29&gt;MIN(AH$5,VLOOKUP(AH$6, Table_ChiPhiNV_Ca[], COUNTA(Table_ChiPhiNV_Ca[[#Headers],[Ca]:[Kết thúc]]),0)),0,
SUM(_xlfn._xlws.FILTER(Table_BangLuong_TyLeTangCa[Tỷ lệ],
(Table_BangLuong_TyLeTangCa[Ngày] = "Thường") *
(Table_BangLuong_TyLeTangCa[Giờ min]&lt;=$AA29) *
(Table_BangLuong_TyLeTangCa[Giờ max]&gt;$AA29)
)))),
IF(AH$4 &gt; AH$5,
IF(
AND(
$AA29-$Z$4&lt;MAX(AH$4,VLOOKUP(AH$6, Table_ChiPhiNV_Ca[], COUNTA(Table_ChiPhiNV_Ca[[#Headers],[Ca]:[Bắt đầu]]),0)),
$AA29&gt;MIN(AH$5,VLOOKUP(AH$6, Table_ChiPhiNV_Ca[], COUNTA(Table_ChiPhiNV_Ca[[#Headers],[Ca]:[Kết thúc]]),0))),0,
SUM(_xlfn._xlws.FILTER(Table_BangLuong_TyLeTangCa[Tỷ lệ],
(Table_BangLuong_TyLeTangCa[Ngày] = "Thường") *
(Table_BangLuong_TyLeTangCa[Giờ min]&lt;=$AA29) *
(Table_BangLuong_TyLeTangCa[Giờ max]&gt;$AA29)
))),
IF(
AND(
$AA29-$Z$4&gt;=MAX(AH$4,VLOOKUP(AH$6, Table_ChiPhiNV_Ca[], COUNTA(Table_ChiPhiNV_Ca[[#Headers],[Ca]:[Bắt đầu]]),0)),
$AA29&lt;MIN(AH$5,VLOOKUP(AH$6, Table_ChiPhiNV_Ca[], COUNTA(Table_ChiPhiNV_Ca[[#Headers],[Ca]:[Kết thúc]]),0))),
SUM(_xlfn._xlws.FILTER(Table_BangLuong_TyLeTangCa[Tỷ lệ],
(Table_BangLuong_TyLeTangCa[Ngày] = "Thường") *
(Table_BangLuong_TyLeTangCa[Giờ min]&lt;=$AA29) *
(Table_BangLuong_TyLeTangCa[Giờ max]&gt;$AA29)
)),0)
)),
IF(AH$4 &lt; AH$5,
IF($AA29-$Z$4&lt;AH$4,0,
IF($AA29&gt;AH$5,0,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AH$5,$AA29 &lt; AH$4),0,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I29" s="18" cm="1">
        <f t="array" ref="AI29" xml:space="preserve">
IFERROR(
IF(AI$1="",0,
IF(AND(
$AA29&gt;=VLOOKUP(AI$6, Table_ChiPhiNV_Ca[], COUNTA(Table_ChiPhiNV_Ca[[#Headers],[Ca]:[Bắt đầu nghỉ]]),0),
$AA29&lt;VLOOKUP(AI$6, Table_ChiPhiNV_Ca[], COUNTA(Table_ChiPhiNV_Ca[[#Headers],[Ca]:[Kết thúc nghỉ]]),0)
),0,
IF(NOT(ISBLANK(AI$3)),
IF(ISBLANK(AI$7),0,
IF(AI$4 &lt; AI$5,
IF($AA29-$Z$4&lt;AI$4,0,
IF($AA29&gt;AI$5,0,
SUM(_xlfn._xlws.FILTER(Table_BangLuong_TyLeTangCa[Tỷ lệ],
(Table_BangLuong_TyLeTangCa[Ngày] = AI$3) *
(Table_BangLuong_TyLeTangCa[Giờ min]&lt;=$AA29) *
(Table_BangLuong_TyLeTangCa[Giờ max]&gt;$AA29)
)))),
IF(AND($AA29-$Z$4 &gt;= AI$5,$AA29 &lt; AI$4),0,
SUM(_xlfn._xlws.FILTER(Table_BangLuong_TyLeTangCa[Tỷ lệ],
(Table_BangLuong_TyLeTangCa[Ngày] = AI$3) *
(Table_BangLuong_TyLeTangCa[Giờ min]&lt;=$AA29) *
(Table_BangLuong_TyLeTangCa[Giờ max]&gt;$AA29)
))))
),
IF(ISBLANK(AI$7),
IF(VLOOKUP(AI$6, Table_ChiPhiNV_Ca[], COUNTA(Table_ChiPhiNV_Ca[[#Headers],[Ca]:[Kết thúc]]),0)&gt; VLOOKUP(AI$6, Table_ChiPhiNV_Ca[], COUNTA(Table_ChiPhiNV_Ca[[#Headers],[Ca]:[Bắt đầu]]),0),
IF($AA29-$Z$4&lt;MAX(AI$4,VLOOKUP(AI$6, Table_ChiPhiNV_Ca[], COUNTA(Table_ChiPhiNV_Ca[[#Headers],[Ca]:[Bắt đầu]]),0)),0,
IF($AA29&gt;MIN(AI$5,VLOOKUP(AI$6, Table_ChiPhiNV_Ca[], COUNTA(Table_ChiPhiNV_Ca[[#Headers],[Ca]:[Kết thúc]]),0)),0,
SUM(_xlfn._xlws.FILTER(Table_BangLuong_TyLeTangCa[Tỷ lệ],
(Table_BangLuong_TyLeTangCa[Ngày] = "Thường") *
(Table_BangLuong_TyLeTangCa[Giờ min]&lt;=$AA29) *
(Table_BangLuong_TyLeTangCa[Giờ max]&gt;$AA29)
)))),
IF(AI$4 &gt; AI$5,
IF(
AND(
$AA29-$Z$4&lt;MAX(AI$4,VLOOKUP(AI$6, Table_ChiPhiNV_Ca[], COUNTA(Table_ChiPhiNV_Ca[[#Headers],[Ca]:[Bắt đầu]]),0)),
$AA29&gt;MIN(AI$5,VLOOKUP(AI$6, Table_ChiPhiNV_Ca[], COUNTA(Table_ChiPhiNV_Ca[[#Headers],[Ca]:[Kết thúc]]),0))),0,
SUM(_xlfn._xlws.FILTER(Table_BangLuong_TyLeTangCa[Tỷ lệ],
(Table_BangLuong_TyLeTangCa[Ngày] = "Thường") *
(Table_BangLuong_TyLeTangCa[Giờ min]&lt;=$AA29) *
(Table_BangLuong_TyLeTangCa[Giờ max]&gt;$AA29)
))),
IF(
AND(
$AA29-$Z$4&gt;=MAX(AI$4,VLOOKUP(AI$6, Table_ChiPhiNV_Ca[], COUNTA(Table_ChiPhiNV_Ca[[#Headers],[Ca]:[Bắt đầu]]),0)),
$AA29&lt;MIN(AI$5,VLOOKUP(AI$6, Table_ChiPhiNV_Ca[], COUNTA(Table_ChiPhiNV_Ca[[#Headers],[Ca]:[Kết thúc]]),0))),
SUM(_xlfn._xlws.FILTER(Table_BangLuong_TyLeTangCa[Tỷ lệ],
(Table_BangLuong_TyLeTangCa[Ngày] = "Thường") *
(Table_BangLuong_TyLeTangCa[Giờ min]&lt;=$AA29) *
(Table_BangLuong_TyLeTangCa[Giờ max]&gt;$AA29)
)),0)
)),
IF(AI$4 &lt; AI$5,
IF($AA29-$Z$4&lt;AI$4,0,
IF($AA29&gt;AI$5,0,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AI$5,$AA29 &lt; AI$4),0,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J29" s="18" cm="1">
        <f t="array" ref="AJ29" xml:space="preserve">
IFERROR(
IF(AJ$1="",0,
IF(AND(
$AA29&gt;=VLOOKUP(AJ$6, Table_ChiPhiNV_Ca[], COUNTA(Table_ChiPhiNV_Ca[[#Headers],[Ca]:[Bắt đầu nghỉ]]),0),
$AA29&lt;VLOOKUP(AJ$6, Table_ChiPhiNV_Ca[], COUNTA(Table_ChiPhiNV_Ca[[#Headers],[Ca]:[Kết thúc nghỉ]]),0)
),0,
IF(NOT(ISBLANK(AJ$3)),
IF(ISBLANK(AJ$7),0,
IF(AJ$4 &lt; AJ$5,
IF($AA29-$Z$4&lt;AJ$4,0,
IF($AA29&gt;AJ$5,0,
SUM(_xlfn._xlws.FILTER(Table_BangLuong_TyLeTangCa[Tỷ lệ],
(Table_BangLuong_TyLeTangCa[Ngày] = AJ$3) *
(Table_BangLuong_TyLeTangCa[Giờ min]&lt;=$AA29) *
(Table_BangLuong_TyLeTangCa[Giờ max]&gt;$AA29)
)))),
IF(AND($AA29-$Z$4 &gt;= AJ$5,$AA29 &lt; AJ$4),0,
SUM(_xlfn._xlws.FILTER(Table_BangLuong_TyLeTangCa[Tỷ lệ],
(Table_BangLuong_TyLeTangCa[Ngày] = AJ$3) *
(Table_BangLuong_TyLeTangCa[Giờ min]&lt;=$AA29) *
(Table_BangLuong_TyLeTangCa[Giờ max]&gt;$AA29)
))))
),
IF(ISBLANK(AJ$7),
IF(VLOOKUP(AJ$6, Table_ChiPhiNV_Ca[], COUNTA(Table_ChiPhiNV_Ca[[#Headers],[Ca]:[Kết thúc]]),0)&gt; VLOOKUP(AJ$6, Table_ChiPhiNV_Ca[], COUNTA(Table_ChiPhiNV_Ca[[#Headers],[Ca]:[Bắt đầu]]),0),
IF($AA29-$Z$4&lt;MAX(AJ$4,VLOOKUP(AJ$6, Table_ChiPhiNV_Ca[], COUNTA(Table_ChiPhiNV_Ca[[#Headers],[Ca]:[Bắt đầu]]),0)),0,
IF($AA29&gt;MIN(AJ$5,VLOOKUP(AJ$6, Table_ChiPhiNV_Ca[], COUNTA(Table_ChiPhiNV_Ca[[#Headers],[Ca]:[Kết thúc]]),0)),0,
SUM(_xlfn._xlws.FILTER(Table_BangLuong_TyLeTangCa[Tỷ lệ],
(Table_BangLuong_TyLeTangCa[Ngày] = "Thường") *
(Table_BangLuong_TyLeTangCa[Giờ min]&lt;=$AA29) *
(Table_BangLuong_TyLeTangCa[Giờ max]&gt;$AA29)
)))),
IF(AJ$4 &gt; AJ$5,
IF(
AND(
$AA29-$Z$4&lt;MAX(AJ$4,VLOOKUP(AJ$6, Table_ChiPhiNV_Ca[], COUNTA(Table_ChiPhiNV_Ca[[#Headers],[Ca]:[Bắt đầu]]),0)),
$AA29&gt;MIN(AJ$5,VLOOKUP(AJ$6, Table_ChiPhiNV_Ca[], COUNTA(Table_ChiPhiNV_Ca[[#Headers],[Ca]:[Kết thúc]]),0))),0,
SUM(_xlfn._xlws.FILTER(Table_BangLuong_TyLeTangCa[Tỷ lệ],
(Table_BangLuong_TyLeTangCa[Ngày] = "Thường") *
(Table_BangLuong_TyLeTangCa[Giờ min]&lt;=$AA29) *
(Table_BangLuong_TyLeTangCa[Giờ max]&gt;$AA29)
))),
IF(
AND(
$AA29-$Z$4&gt;=MAX(AJ$4,VLOOKUP(AJ$6, Table_ChiPhiNV_Ca[], COUNTA(Table_ChiPhiNV_Ca[[#Headers],[Ca]:[Bắt đầu]]),0)),
$AA29&lt;MIN(AJ$5,VLOOKUP(AJ$6, Table_ChiPhiNV_Ca[], COUNTA(Table_ChiPhiNV_Ca[[#Headers],[Ca]:[Kết thúc]]),0))),
SUM(_xlfn._xlws.FILTER(Table_BangLuong_TyLeTangCa[Tỷ lệ],
(Table_BangLuong_TyLeTangCa[Ngày] = "Thường") *
(Table_BangLuong_TyLeTangCa[Giờ min]&lt;=$AA29) *
(Table_BangLuong_TyLeTangCa[Giờ max]&gt;$AA29)
)),0)
)),
IF(AJ$4 &lt; AJ$5,
IF($AA29-$Z$4&lt;AJ$4,0,
IF($AA29&gt;AJ$5,0,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AJ$5,$AA29 &lt; AJ$4),0,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K29" s="18" cm="1">
        <f t="array" ref="AK29" xml:space="preserve">
IFERROR(
IF(AK$1="",0,
IF(AND(
$AA29&gt;=VLOOKUP(AK$6, Table_ChiPhiNV_Ca[], COUNTA(Table_ChiPhiNV_Ca[[#Headers],[Ca]:[Bắt đầu nghỉ]]),0),
$AA29&lt;VLOOKUP(AK$6, Table_ChiPhiNV_Ca[], COUNTA(Table_ChiPhiNV_Ca[[#Headers],[Ca]:[Kết thúc nghỉ]]),0)
),0,
IF(NOT(ISBLANK(AK$3)),
IF(ISBLANK(AK$7),0,
IF(AK$4 &lt; AK$5,
IF($AA29-$Z$4&lt;AK$4,0,
IF($AA29&gt;AK$5,0,
SUM(_xlfn._xlws.FILTER(Table_BangLuong_TyLeTangCa[Tỷ lệ],
(Table_BangLuong_TyLeTangCa[Ngày] = AK$3) *
(Table_BangLuong_TyLeTangCa[Giờ min]&lt;=$AA29) *
(Table_BangLuong_TyLeTangCa[Giờ max]&gt;$AA29)
)))),
IF(AND($AA29-$Z$4 &gt;= AK$5,$AA29 &lt; AK$4),0,
SUM(_xlfn._xlws.FILTER(Table_BangLuong_TyLeTangCa[Tỷ lệ],
(Table_BangLuong_TyLeTangCa[Ngày] = AK$3) *
(Table_BangLuong_TyLeTangCa[Giờ min]&lt;=$AA29) *
(Table_BangLuong_TyLeTangCa[Giờ max]&gt;$AA29)
))))
),
IF(ISBLANK(AK$7),
IF(VLOOKUP(AK$6, Table_ChiPhiNV_Ca[], COUNTA(Table_ChiPhiNV_Ca[[#Headers],[Ca]:[Kết thúc]]),0)&gt; VLOOKUP(AK$6, Table_ChiPhiNV_Ca[], COUNTA(Table_ChiPhiNV_Ca[[#Headers],[Ca]:[Bắt đầu]]),0),
IF($AA29-$Z$4&lt;MAX(AK$4,VLOOKUP(AK$6, Table_ChiPhiNV_Ca[], COUNTA(Table_ChiPhiNV_Ca[[#Headers],[Ca]:[Bắt đầu]]),0)),0,
IF($AA29&gt;MIN(AK$5,VLOOKUP(AK$6, Table_ChiPhiNV_Ca[], COUNTA(Table_ChiPhiNV_Ca[[#Headers],[Ca]:[Kết thúc]]),0)),0,
SUM(_xlfn._xlws.FILTER(Table_BangLuong_TyLeTangCa[Tỷ lệ],
(Table_BangLuong_TyLeTangCa[Ngày] = "Thường") *
(Table_BangLuong_TyLeTangCa[Giờ min]&lt;=$AA29) *
(Table_BangLuong_TyLeTangCa[Giờ max]&gt;$AA29)
)))),
IF(AK$4 &gt; AK$5,
IF(
AND(
$AA29-$Z$4&lt;MAX(AK$4,VLOOKUP(AK$6, Table_ChiPhiNV_Ca[], COUNTA(Table_ChiPhiNV_Ca[[#Headers],[Ca]:[Bắt đầu]]),0)),
$AA29&gt;MIN(AK$5,VLOOKUP(AK$6, Table_ChiPhiNV_Ca[], COUNTA(Table_ChiPhiNV_Ca[[#Headers],[Ca]:[Kết thúc]]),0))),0,
SUM(_xlfn._xlws.FILTER(Table_BangLuong_TyLeTangCa[Tỷ lệ],
(Table_BangLuong_TyLeTangCa[Ngày] = "Thường") *
(Table_BangLuong_TyLeTangCa[Giờ min]&lt;=$AA29) *
(Table_BangLuong_TyLeTangCa[Giờ max]&gt;$AA29)
))),
IF(
AND(
$AA29-$Z$4&gt;=MAX(AK$4,VLOOKUP(AK$6, Table_ChiPhiNV_Ca[], COUNTA(Table_ChiPhiNV_Ca[[#Headers],[Ca]:[Bắt đầu]]),0)),
$AA29&lt;MIN(AK$5,VLOOKUP(AK$6, Table_ChiPhiNV_Ca[], COUNTA(Table_ChiPhiNV_Ca[[#Headers],[Ca]:[Kết thúc]]),0))),
SUM(_xlfn._xlws.FILTER(Table_BangLuong_TyLeTangCa[Tỷ lệ],
(Table_BangLuong_TyLeTangCa[Ngày] = "Thường") *
(Table_BangLuong_TyLeTangCa[Giờ min]&lt;=$AA29) *
(Table_BangLuong_TyLeTangCa[Giờ max]&gt;$AA29)
)),0)
)),
IF(AK$4 &lt; AK$5,
IF($AA29-$Z$4&lt;AK$4,0,
IF($AA29&gt;AK$5,0,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AK$5,$AA29 &lt; AK$4),0,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L29" s="18" cm="1">
        <f t="array" ref="AL29" xml:space="preserve">
IFERROR(
IF(AL$1="",0,
IF(AND(
$AA29&gt;=VLOOKUP(AL$6, Table_ChiPhiNV_Ca[], COUNTA(Table_ChiPhiNV_Ca[[#Headers],[Ca]:[Bắt đầu nghỉ]]),0),
$AA29&lt;VLOOKUP(AL$6, Table_ChiPhiNV_Ca[], COUNTA(Table_ChiPhiNV_Ca[[#Headers],[Ca]:[Kết thúc nghỉ]]),0)
),0,
IF(NOT(ISBLANK(AL$3)),
IF(ISBLANK(AL$7),0,
IF(AL$4 &lt; AL$5,
IF($AA29-$Z$4&lt;AL$4,0,
IF($AA29&gt;AL$5,0,
SUM(_xlfn._xlws.FILTER(Table_BangLuong_TyLeTangCa[Tỷ lệ],
(Table_BangLuong_TyLeTangCa[Ngày] = AL$3) *
(Table_BangLuong_TyLeTangCa[Giờ min]&lt;=$AA29) *
(Table_BangLuong_TyLeTangCa[Giờ max]&gt;$AA29)
)))),
IF(AND($AA29-$Z$4 &gt;= AL$5,$AA29 &lt; AL$4),0,
SUM(_xlfn._xlws.FILTER(Table_BangLuong_TyLeTangCa[Tỷ lệ],
(Table_BangLuong_TyLeTangCa[Ngày] = AL$3) *
(Table_BangLuong_TyLeTangCa[Giờ min]&lt;=$AA29) *
(Table_BangLuong_TyLeTangCa[Giờ max]&gt;$AA29)
))))
),
IF(ISBLANK(AL$7),
IF(VLOOKUP(AL$6, Table_ChiPhiNV_Ca[], COUNTA(Table_ChiPhiNV_Ca[[#Headers],[Ca]:[Kết thúc]]),0)&gt; VLOOKUP(AL$6, Table_ChiPhiNV_Ca[], COUNTA(Table_ChiPhiNV_Ca[[#Headers],[Ca]:[Bắt đầu]]),0),
IF($AA29-$Z$4&lt;MAX(AL$4,VLOOKUP(AL$6, Table_ChiPhiNV_Ca[], COUNTA(Table_ChiPhiNV_Ca[[#Headers],[Ca]:[Bắt đầu]]),0)),0,
IF($AA29&gt;MIN(AL$5,VLOOKUP(AL$6, Table_ChiPhiNV_Ca[], COUNTA(Table_ChiPhiNV_Ca[[#Headers],[Ca]:[Kết thúc]]),0)),0,
SUM(_xlfn._xlws.FILTER(Table_BangLuong_TyLeTangCa[Tỷ lệ],
(Table_BangLuong_TyLeTangCa[Ngày] = "Thường") *
(Table_BangLuong_TyLeTangCa[Giờ min]&lt;=$AA29) *
(Table_BangLuong_TyLeTangCa[Giờ max]&gt;$AA29)
)))),
IF(AL$4 &gt; AL$5,
IF(
AND(
$AA29-$Z$4&lt;MAX(AL$4,VLOOKUP(AL$6, Table_ChiPhiNV_Ca[], COUNTA(Table_ChiPhiNV_Ca[[#Headers],[Ca]:[Bắt đầu]]),0)),
$AA29&gt;MIN(AL$5,VLOOKUP(AL$6, Table_ChiPhiNV_Ca[], COUNTA(Table_ChiPhiNV_Ca[[#Headers],[Ca]:[Kết thúc]]),0))),0,
SUM(_xlfn._xlws.FILTER(Table_BangLuong_TyLeTangCa[Tỷ lệ],
(Table_BangLuong_TyLeTangCa[Ngày] = "Thường") *
(Table_BangLuong_TyLeTangCa[Giờ min]&lt;=$AA29) *
(Table_BangLuong_TyLeTangCa[Giờ max]&gt;$AA29)
))),
IF(
AND(
$AA29-$Z$4&gt;=MAX(AL$4,VLOOKUP(AL$6, Table_ChiPhiNV_Ca[], COUNTA(Table_ChiPhiNV_Ca[[#Headers],[Ca]:[Bắt đầu]]),0)),
$AA29&lt;MIN(AL$5,VLOOKUP(AL$6, Table_ChiPhiNV_Ca[], COUNTA(Table_ChiPhiNV_Ca[[#Headers],[Ca]:[Kết thúc]]),0))),
SUM(_xlfn._xlws.FILTER(Table_BangLuong_TyLeTangCa[Tỷ lệ],
(Table_BangLuong_TyLeTangCa[Ngày] = "Thường") *
(Table_BangLuong_TyLeTangCa[Giờ min]&lt;=$AA29) *
(Table_BangLuong_TyLeTangCa[Giờ max]&gt;$AA29)
)),0)
)),
IF(AL$4 &lt; AL$5,
IF($AA29-$Z$4&lt;AL$4,0,
IF($AA29&gt;AL$5,0,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AL$5,$AA29 &lt; AL$4),0,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M29" s="18" cm="1">
        <f t="array" ref="AM29" xml:space="preserve">
IFERROR(
IF(AM$1="",0,
IF(AND(
$AA29&gt;=VLOOKUP(AM$6, Table_ChiPhiNV_Ca[], COUNTA(Table_ChiPhiNV_Ca[[#Headers],[Ca]:[Bắt đầu nghỉ]]),0),
$AA29&lt;VLOOKUP(AM$6, Table_ChiPhiNV_Ca[], COUNTA(Table_ChiPhiNV_Ca[[#Headers],[Ca]:[Kết thúc nghỉ]]),0)
),0,
IF(NOT(ISBLANK(AM$3)),
IF(ISBLANK(AM$7),0,
IF(AM$4 &lt; AM$5,
IF($AA29-$Z$4&lt;AM$4,0,
IF($AA29&gt;AM$5,0,
SUM(_xlfn._xlws.FILTER(Table_BangLuong_TyLeTangCa[Tỷ lệ],
(Table_BangLuong_TyLeTangCa[Ngày] = AM$3) *
(Table_BangLuong_TyLeTangCa[Giờ min]&lt;=$AA29) *
(Table_BangLuong_TyLeTangCa[Giờ max]&gt;$AA29)
)))),
IF(AND($AA29-$Z$4 &gt;= AM$5,$AA29 &lt; AM$4),0,
SUM(_xlfn._xlws.FILTER(Table_BangLuong_TyLeTangCa[Tỷ lệ],
(Table_BangLuong_TyLeTangCa[Ngày] = AM$3) *
(Table_BangLuong_TyLeTangCa[Giờ min]&lt;=$AA29) *
(Table_BangLuong_TyLeTangCa[Giờ max]&gt;$AA29)
))))
),
IF(ISBLANK(AM$7),
IF(VLOOKUP(AM$6, Table_ChiPhiNV_Ca[], COUNTA(Table_ChiPhiNV_Ca[[#Headers],[Ca]:[Kết thúc]]),0)&gt; VLOOKUP(AM$6, Table_ChiPhiNV_Ca[], COUNTA(Table_ChiPhiNV_Ca[[#Headers],[Ca]:[Bắt đầu]]),0),
IF($AA29-$Z$4&lt;MAX(AM$4,VLOOKUP(AM$6, Table_ChiPhiNV_Ca[], COUNTA(Table_ChiPhiNV_Ca[[#Headers],[Ca]:[Bắt đầu]]),0)),0,
IF($AA29&gt;MIN(AM$5,VLOOKUP(AM$6, Table_ChiPhiNV_Ca[], COUNTA(Table_ChiPhiNV_Ca[[#Headers],[Ca]:[Kết thúc]]),0)),0,
SUM(_xlfn._xlws.FILTER(Table_BangLuong_TyLeTangCa[Tỷ lệ],
(Table_BangLuong_TyLeTangCa[Ngày] = "Thường") *
(Table_BangLuong_TyLeTangCa[Giờ min]&lt;=$AA29) *
(Table_BangLuong_TyLeTangCa[Giờ max]&gt;$AA29)
)))),
IF(AM$4 &gt; AM$5,
IF(
AND(
$AA29-$Z$4&lt;MAX(AM$4,VLOOKUP(AM$6, Table_ChiPhiNV_Ca[], COUNTA(Table_ChiPhiNV_Ca[[#Headers],[Ca]:[Bắt đầu]]),0)),
$AA29&gt;MIN(AM$5,VLOOKUP(AM$6, Table_ChiPhiNV_Ca[], COUNTA(Table_ChiPhiNV_Ca[[#Headers],[Ca]:[Kết thúc]]),0))),0,
SUM(_xlfn._xlws.FILTER(Table_BangLuong_TyLeTangCa[Tỷ lệ],
(Table_BangLuong_TyLeTangCa[Ngày] = "Thường") *
(Table_BangLuong_TyLeTangCa[Giờ min]&lt;=$AA29) *
(Table_BangLuong_TyLeTangCa[Giờ max]&gt;$AA29)
))),
IF(
AND(
$AA29-$Z$4&gt;=MAX(AM$4,VLOOKUP(AM$6, Table_ChiPhiNV_Ca[], COUNTA(Table_ChiPhiNV_Ca[[#Headers],[Ca]:[Bắt đầu]]),0)),
$AA29&lt;MIN(AM$5,VLOOKUP(AM$6, Table_ChiPhiNV_Ca[], COUNTA(Table_ChiPhiNV_Ca[[#Headers],[Ca]:[Kết thúc]]),0))),
SUM(_xlfn._xlws.FILTER(Table_BangLuong_TyLeTangCa[Tỷ lệ],
(Table_BangLuong_TyLeTangCa[Ngày] = "Thường") *
(Table_BangLuong_TyLeTangCa[Giờ min]&lt;=$AA29) *
(Table_BangLuong_TyLeTangCa[Giờ max]&gt;$AA29)
)),0)
)),
IF(AM$4 &lt; AM$5,
IF($AA29-$Z$4&lt;AM$4,0,
IF($AA29&gt;AM$5,0,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AM$5,$AA29 &lt; AM$4),0,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N29" s="18" cm="1">
        <f t="array" ref="AN29" xml:space="preserve">
IFERROR(
IF(AN$1="",0,
IF(AND(
$AA29&gt;=VLOOKUP(AN$6, Table_ChiPhiNV_Ca[], COUNTA(Table_ChiPhiNV_Ca[[#Headers],[Ca]:[Bắt đầu nghỉ]]),0),
$AA29&lt;VLOOKUP(AN$6, Table_ChiPhiNV_Ca[], COUNTA(Table_ChiPhiNV_Ca[[#Headers],[Ca]:[Kết thúc nghỉ]]),0)
),0,
IF(NOT(ISBLANK(AN$3)),
IF(ISBLANK(AN$7),0,
IF(AN$4 &lt; AN$5,
IF($AA29-$Z$4&lt;AN$4,0,
IF($AA29&gt;AN$5,0,
SUM(_xlfn._xlws.FILTER(Table_BangLuong_TyLeTangCa[Tỷ lệ],
(Table_BangLuong_TyLeTangCa[Ngày] = AN$3) *
(Table_BangLuong_TyLeTangCa[Giờ min]&lt;=$AA29) *
(Table_BangLuong_TyLeTangCa[Giờ max]&gt;$AA29)
)))),
IF(AND($AA29-$Z$4 &gt;= AN$5,$AA29 &lt; AN$4),0,
SUM(_xlfn._xlws.FILTER(Table_BangLuong_TyLeTangCa[Tỷ lệ],
(Table_BangLuong_TyLeTangCa[Ngày] = AN$3) *
(Table_BangLuong_TyLeTangCa[Giờ min]&lt;=$AA29) *
(Table_BangLuong_TyLeTangCa[Giờ max]&gt;$AA29)
))))
),
IF(ISBLANK(AN$7),
IF(VLOOKUP(AN$6, Table_ChiPhiNV_Ca[], COUNTA(Table_ChiPhiNV_Ca[[#Headers],[Ca]:[Kết thúc]]),0)&gt; VLOOKUP(AN$6, Table_ChiPhiNV_Ca[], COUNTA(Table_ChiPhiNV_Ca[[#Headers],[Ca]:[Bắt đầu]]),0),
IF($AA29-$Z$4&lt;MAX(AN$4,VLOOKUP(AN$6, Table_ChiPhiNV_Ca[], COUNTA(Table_ChiPhiNV_Ca[[#Headers],[Ca]:[Bắt đầu]]),0)),0,
IF($AA29&gt;MIN(AN$5,VLOOKUP(AN$6, Table_ChiPhiNV_Ca[], COUNTA(Table_ChiPhiNV_Ca[[#Headers],[Ca]:[Kết thúc]]),0)),0,
SUM(_xlfn._xlws.FILTER(Table_BangLuong_TyLeTangCa[Tỷ lệ],
(Table_BangLuong_TyLeTangCa[Ngày] = "Thường") *
(Table_BangLuong_TyLeTangCa[Giờ min]&lt;=$AA29) *
(Table_BangLuong_TyLeTangCa[Giờ max]&gt;$AA29)
)))),
IF(AN$4 &gt; AN$5,
IF(
AND(
$AA29-$Z$4&lt;MAX(AN$4,VLOOKUP(AN$6, Table_ChiPhiNV_Ca[], COUNTA(Table_ChiPhiNV_Ca[[#Headers],[Ca]:[Bắt đầu]]),0)),
$AA29&gt;MIN(AN$5,VLOOKUP(AN$6, Table_ChiPhiNV_Ca[], COUNTA(Table_ChiPhiNV_Ca[[#Headers],[Ca]:[Kết thúc]]),0))),0,
SUM(_xlfn._xlws.FILTER(Table_BangLuong_TyLeTangCa[Tỷ lệ],
(Table_BangLuong_TyLeTangCa[Ngày] = "Thường") *
(Table_BangLuong_TyLeTangCa[Giờ min]&lt;=$AA29) *
(Table_BangLuong_TyLeTangCa[Giờ max]&gt;$AA29)
))),
IF(
AND(
$AA29-$Z$4&gt;=MAX(AN$4,VLOOKUP(AN$6, Table_ChiPhiNV_Ca[], COUNTA(Table_ChiPhiNV_Ca[[#Headers],[Ca]:[Bắt đầu]]),0)),
$AA29&lt;MIN(AN$5,VLOOKUP(AN$6, Table_ChiPhiNV_Ca[], COUNTA(Table_ChiPhiNV_Ca[[#Headers],[Ca]:[Kết thúc]]),0))),
SUM(_xlfn._xlws.FILTER(Table_BangLuong_TyLeTangCa[Tỷ lệ],
(Table_BangLuong_TyLeTangCa[Ngày] = "Thường") *
(Table_BangLuong_TyLeTangCa[Giờ min]&lt;=$AA29) *
(Table_BangLuong_TyLeTangCa[Giờ max]&gt;$AA29)
)),0)
)),
IF(AN$4 &lt; AN$5,
IF($AA29-$Z$4&lt;AN$4,0,
IF($AA29&gt;AN$5,0,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AN$5,$AA29 &lt; AN$4),0,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O29" s="18" cm="1">
        <f t="array" ref="AO29" xml:space="preserve">
IFERROR(
IF(AO$1="",0,
IF(AND(
$AA29&gt;=VLOOKUP(AO$6, Table_ChiPhiNV_Ca[], COUNTA(Table_ChiPhiNV_Ca[[#Headers],[Ca]:[Bắt đầu nghỉ]]),0),
$AA29&lt;VLOOKUP(AO$6, Table_ChiPhiNV_Ca[], COUNTA(Table_ChiPhiNV_Ca[[#Headers],[Ca]:[Kết thúc nghỉ]]),0)
),0,
IF(NOT(ISBLANK(AO$3)),
IF(ISBLANK(AO$7),0,
IF(AO$4 &lt; AO$5,
IF($AA29-$Z$4&lt;AO$4,0,
IF($AA29&gt;AO$5,0,
SUM(_xlfn._xlws.FILTER(Table_BangLuong_TyLeTangCa[Tỷ lệ],
(Table_BangLuong_TyLeTangCa[Ngày] = AO$3) *
(Table_BangLuong_TyLeTangCa[Giờ min]&lt;=$AA29) *
(Table_BangLuong_TyLeTangCa[Giờ max]&gt;$AA29)
)))),
IF(AND($AA29-$Z$4 &gt;= AO$5,$AA29 &lt; AO$4),0,
SUM(_xlfn._xlws.FILTER(Table_BangLuong_TyLeTangCa[Tỷ lệ],
(Table_BangLuong_TyLeTangCa[Ngày] = AO$3) *
(Table_BangLuong_TyLeTangCa[Giờ min]&lt;=$AA29) *
(Table_BangLuong_TyLeTangCa[Giờ max]&gt;$AA29)
))))
),
IF(ISBLANK(AO$7),
IF(VLOOKUP(AO$6, Table_ChiPhiNV_Ca[], COUNTA(Table_ChiPhiNV_Ca[[#Headers],[Ca]:[Kết thúc]]),0)&gt; VLOOKUP(AO$6, Table_ChiPhiNV_Ca[], COUNTA(Table_ChiPhiNV_Ca[[#Headers],[Ca]:[Bắt đầu]]),0),
IF($AA29-$Z$4&lt;MAX(AO$4,VLOOKUP(AO$6, Table_ChiPhiNV_Ca[], COUNTA(Table_ChiPhiNV_Ca[[#Headers],[Ca]:[Bắt đầu]]),0)),0,
IF($AA29&gt;MIN(AO$5,VLOOKUP(AO$6, Table_ChiPhiNV_Ca[], COUNTA(Table_ChiPhiNV_Ca[[#Headers],[Ca]:[Kết thúc]]),0)),0,
SUM(_xlfn._xlws.FILTER(Table_BangLuong_TyLeTangCa[Tỷ lệ],
(Table_BangLuong_TyLeTangCa[Ngày] = "Thường") *
(Table_BangLuong_TyLeTangCa[Giờ min]&lt;=$AA29) *
(Table_BangLuong_TyLeTangCa[Giờ max]&gt;$AA29)
)))),
IF(AO$4 &gt; AO$5,
IF(
AND(
$AA29-$Z$4&lt;MAX(AO$4,VLOOKUP(AO$6, Table_ChiPhiNV_Ca[], COUNTA(Table_ChiPhiNV_Ca[[#Headers],[Ca]:[Bắt đầu]]),0)),
$AA29&gt;MIN(AO$5,VLOOKUP(AO$6, Table_ChiPhiNV_Ca[], COUNTA(Table_ChiPhiNV_Ca[[#Headers],[Ca]:[Kết thúc]]),0))),0,
SUM(_xlfn._xlws.FILTER(Table_BangLuong_TyLeTangCa[Tỷ lệ],
(Table_BangLuong_TyLeTangCa[Ngày] = "Thường") *
(Table_BangLuong_TyLeTangCa[Giờ min]&lt;=$AA29) *
(Table_BangLuong_TyLeTangCa[Giờ max]&gt;$AA29)
))),
IF(
AND(
$AA29-$Z$4&gt;=MAX(AO$4,VLOOKUP(AO$6, Table_ChiPhiNV_Ca[], COUNTA(Table_ChiPhiNV_Ca[[#Headers],[Ca]:[Bắt đầu]]),0)),
$AA29&lt;MIN(AO$5,VLOOKUP(AO$6, Table_ChiPhiNV_Ca[], COUNTA(Table_ChiPhiNV_Ca[[#Headers],[Ca]:[Kết thúc]]),0))),
SUM(_xlfn._xlws.FILTER(Table_BangLuong_TyLeTangCa[Tỷ lệ],
(Table_BangLuong_TyLeTangCa[Ngày] = "Thường") *
(Table_BangLuong_TyLeTangCa[Giờ min]&lt;=$AA29) *
(Table_BangLuong_TyLeTangCa[Giờ max]&gt;$AA29)
)),0)
)),
IF(AO$4 &lt; AO$5,
IF($AA29-$Z$4&lt;AO$4,0,
IF($AA29&gt;AO$5,0,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AO$5,$AA29 &lt; AO$4),0,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P29" s="18" cm="1">
        <f t="array" ref="AP29" xml:space="preserve">
IFERROR(
IF(AP$1="",0,
IF(AND(
$AA29&gt;=VLOOKUP(AP$6, Table_ChiPhiNV_Ca[], COUNTA(Table_ChiPhiNV_Ca[[#Headers],[Ca]:[Bắt đầu nghỉ]]),0),
$AA29&lt;VLOOKUP(AP$6, Table_ChiPhiNV_Ca[], COUNTA(Table_ChiPhiNV_Ca[[#Headers],[Ca]:[Kết thúc nghỉ]]),0)
),0,
IF(NOT(ISBLANK(AP$3)),
IF(ISBLANK(AP$7),0,
IF(AP$4 &lt; AP$5,
IF($AA29-$Z$4&lt;AP$4,0,
IF($AA29&gt;AP$5,0,
SUM(_xlfn._xlws.FILTER(Table_BangLuong_TyLeTangCa[Tỷ lệ],
(Table_BangLuong_TyLeTangCa[Ngày] = AP$3) *
(Table_BangLuong_TyLeTangCa[Giờ min]&lt;=$AA29) *
(Table_BangLuong_TyLeTangCa[Giờ max]&gt;$AA29)
)))),
IF(AND($AA29-$Z$4 &gt;= AP$5,$AA29 &lt; AP$4),0,
SUM(_xlfn._xlws.FILTER(Table_BangLuong_TyLeTangCa[Tỷ lệ],
(Table_BangLuong_TyLeTangCa[Ngày] = AP$3) *
(Table_BangLuong_TyLeTangCa[Giờ min]&lt;=$AA29) *
(Table_BangLuong_TyLeTangCa[Giờ max]&gt;$AA29)
))))
),
IF(ISBLANK(AP$7),
IF(VLOOKUP(AP$6, Table_ChiPhiNV_Ca[], COUNTA(Table_ChiPhiNV_Ca[[#Headers],[Ca]:[Kết thúc]]),0)&gt; VLOOKUP(AP$6, Table_ChiPhiNV_Ca[], COUNTA(Table_ChiPhiNV_Ca[[#Headers],[Ca]:[Bắt đầu]]),0),
IF($AA29-$Z$4&lt;MAX(AP$4,VLOOKUP(AP$6, Table_ChiPhiNV_Ca[], COUNTA(Table_ChiPhiNV_Ca[[#Headers],[Ca]:[Bắt đầu]]),0)),0,
IF($AA29&gt;MIN(AP$5,VLOOKUP(AP$6, Table_ChiPhiNV_Ca[], COUNTA(Table_ChiPhiNV_Ca[[#Headers],[Ca]:[Kết thúc]]),0)),0,
SUM(_xlfn._xlws.FILTER(Table_BangLuong_TyLeTangCa[Tỷ lệ],
(Table_BangLuong_TyLeTangCa[Ngày] = "Thường") *
(Table_BangLuong_TyLeTangCa[Giờ min]&lt;=$AA29) *
(Table_BangLuong_TyLeTangCa[Giờ max]&gt;$AA29)
)))),
IF(AP$4 &gt; AP$5,
IF(
AND(
$AA29-$Z$4&lt;MAX(AP$4,VLOOKUP(AP$6, Table_ChiPhiNV_Ca[], COUNTA(Table_ChiPhiNV_Ca[[#Headers],[Ca]:[Bắt đầu]]),0)),
$AA29&gt;MIN(AP$5,VLOOKUP(AP$6, Table_ChiPhiNV_Ca[], COUNTA(Table_ChiPhiNV_Ca[[#Headers],[Ca]:[Kết thúc]]),0))),0,
SUM(_xlfn._xlws.FILTER(Table_BangLuong_TyLeTangCa[Tỷ lệ],
(Table_BangLuong_TyLeTangCa[Ngày] = "Thường") *
(Table_BangLuong_TyLeTangCa[Giờ min]&lt;=$AA29) *
(Table_BangLuong_TyLeTangCa[Giờ max]&gt;$AA29)
))),
IF(
AND(
$AA29-$Z$4&gt;=MAX(AP$4,VLOOKUP(AP$6, Table_ChiPhiNV_Ca[], COUNTA(Table_ChiPhiNV_Ca[[#Headers],[Ca]:[Bắt đầu]]),0)),
$AA29&lt;MIN(AP$5,VLOOKUP(AP$6, Table_ChiPhiNV_Ca[], COUNTA(Table_ChiPhiNV_Ca[[#Headers],[Ca]:[Kết thúc]]),0))),
SUM(_xlfn._xlws.FILTER(Table_BangLuong_TyLeTangCa[Tỷ lệ],
(Table_BangLuong_TyLeTangCa[Ngày] = "Thường") *
(Table_BangLuong_TyLeTangCa[Giờ min]&lt;=$AA29) *
(Table_BangLuong_TyLeTangCa[Giờ max]&gt;$AA29)
)),0)
)),
IF(AP$4 &lt; AP$5,
IF($AA29-$Z$4&lt;AP$4,0,
IF($AA29&gt;AP$5,0,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AP$5,$AA29 &lt; AP$4),0,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Q29" s="18" cm="1">
        <f t="array" ref="AQ29" xml:space="preserve">
IFERROR(
IF(AQ$1="",0,
IF(AND(
$AA29&gt;=VLOOKUP(AQ$6, Table_ChiPhiNV_Ca[], COUNTA(Table_ChiPhiNV_Ca[[#Headers],[Ca]:[Bắt đầu nghỉ]]),0),
$AA29&lt;VLOOKUP(AQ$6, Table_ChiPhiNV_Ca[], COUNTA(Table_ChiPhiNV_Ca[[#Headers],[Ca]:[Kết thúc nghỉ]]),0)
),0,
IF(NOT(ISBLANK(AQ$3)),
IF(ISBLANK(AQ$7),0,
IF(AQ$4 &lt; AQ$5,
IF($AA29-$Z$4&lt;AQ$4,0,
IF($AA29&gt;AQ$5,0,
SUM(_xlfn._xlws.FILTER(Table_BangLuong_TyLeTangCa[Tỷ lệ],
(Table_BangLuong_TyLeTangCa[Ngày] = AQ$3) *
(Table_BangLuong_TyLeTangCa[Giờ min]&lt;=$AA29) *
(Table_BangLuong_TyLeTangCa[Giờ max]&gt;$AA29)
)))),
IF(AND($AA29-$Z$4 &gt;= AQ$5,$AA29 &lt; AQ$4),0,
SUM(_xlfn._xlws.FILTER(Table_BangLuong_TyLeTangCa[Tỷ lệ],
(Table_BangLuong_TyLeTangCa[Ngày] = AQ$3) *
(Table_BangLuong_TyLeTangCa[Giờ min]&lt;=$AA29) *
(Table_BangLuong_TyLeTangCa[Giờ max]&gt;$AA29)
))))
),
IF(ISBLANK(AQ$7),
IF(VLOOKUP(AQ$6, Table_ChiPhiNV_Ca[], COUNTA(Table_ChiPhiNV_Ca[[#Headers],[Ca]:[Kết thúc]]),0)&gt; VLOOKUP(AQ$6, Table_ChiPhiNV_Ca[], COUNTA(Table_ChiPhiNV_Ca[[#Headers],[Ca]:[Bắt đầu]]),0),
IF($AA29-$Z$4&lt;MAX(AQ$4,VLOOKUP(AQ$6, Table_ChiPhiNV_Ca[], COUNTA(Table_ChiPhiNV_Ca[[#Headers],[Ca]:[Bắt đầu]]),0)),0,
IF($AA29&gt;MIN(AQ$5,VLOOKUP(AQ$6, Table_ChiPhiNV_Ca[], COUNTA(Table_ChiPhiNV_Ca[[#Headers],[Ca]:[Kết thúc]]),0)),0,
SUM(_xlfn._xlws.FILTER(Table_BangLuong_TyLeTangCa[Tỷ lệ],
(Table_BangLuong_TyLeTangCa[Ngày] = "Thường") *
(Table_BangLuong_TyLeTangCa[Giờ min]&lt;=$AA29) *
(Table_BangLuong_TyLeTangCa[Giờ max]&gt;$AA29)
)))),
IF(AQ$4 &gt; AQ$5,
IF(
AND(
$AA29-$Z$4&lt;MAX(AQ$4,VLOOKUP(AQ$6, Table_ChiPhiNV_Ca[], COUNTA(Table_ChiPhiNV_Ca[[#Headers],[Ca]:[Bắt đầu]]),0)),
$AA29&gt;MIN(AQ$5,VLOOKUP(AQ$6, Table_ChiPhiNV_Ca[], COUNTA(Table_ChiPhiNV_Ca[[#Headers],[Ca]:[Kết thúc]]),0))),0,
SUM(_xlfn._xlws.FILTER(Table_BangLuong_TyLeTangCa[Tỷ lệ],
(Table_BangLuong_TyLeTangCa[Ngày] = "Thường") *
(Table_BangLuong_TyLeTangCa[Giờ min]&lt;=$AA29) *
(Table_BangLuong_TyLeTangCa[Giờ max]&gt;$AA29)
))),
IF(
AND(
$AA29-$Z$4&gt;=MAX(AQ$4,VLOOKUP(AQ$6, Table_ChiPhiNV_Ca[], COUNTA(Table_ChiPhiNV_Ca[[#Headers],[Ca]:[Bắt đầu]]),0)),
$AA29&lt;MIN(AQ$5,VLOOKUP(AQ$6, Table_ChiPhiNV_Ca[], COUNTA(Table_ChiPhiNV_Ca[[#Headers],[Ca]:[Kết thúc]]),0))),
SUM(_xlfn._xlws.FILTER(Table_BangLuong_TyLeTangCa[Tỷ lệ],
(Table_BangLuong_TyLeTangCa[Ngày] = "Thường") *
(Table_BangLuong_TyLeTangCa[Giờ min]&lt;=$AA29) *
(Table_BangLuong_TyLeTangCa[Giờ max]&gt;$AA29)
)),0)
)),
IF(AQ$4 &lt; AQ$5,
IF($AA29-$Z$4&lt;AQ$4,0,
IF($AA29&gt;AQ$5,0,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AQ$5,$AA29 &lt; AQ$4),0,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R29" s="18" cm="1">
        <f t="array" ref="AR29" xml:space="preserve">
IFERROR(
IF(AR$1="",0,
IF(AND(
$AA29&gt;=VLOOKUP(AR$6, Table_ChiPhiNV_Ca[], COUNTA(Table_ChiPhiNV_Ca[[#Headers],[Ca]:[Bắt đầu nghỉ]]),0),
$AA29&lt;VLOOKUP(AR$6, Table_ChiPhiNV_Ca[], COUNTA(Table_ChiPhiNV_Ca[[#Headers],[Ca]:[Kết thúc nghỉ]]),0)
),0,
IF(NOT(ISBLANK(AR$3)),
IF(ISBLANK(AR$7),0,
IF(AR$4 &lt; AR$5,
IF($AA29-$Z$4&lt;AR$4,0,
IF($AA29&gt;AR$5,0,
SUM(_xlfn._xlws.FILTER(Table_BangLuong_TyLeTangCa[Tỷ lệ],
(Table_BangLuong_TyLeTangCa[Ngày] = AR$3) *
(Table_BangLuong_TyLeTangCa[Giờ min]&lt;=$AA29) *
(Table_BangLuong_TyLeTangCa[Giờ max]&gt;$AA29)
)))),
IF(AND($AA29-$Z$4 &gt;= AR$5,$AA29 &lt; AR$4),0,
SUM(_xlfn._xlws.FILTER(Table_BangLuong_TyLeTangCa[Tỷ lệ],
(Table_BangLuong_TyLeTangCa[Ngày] = AR$3) *
(Table_BangLuong_TyLeTangCa[Giờ min]&lt;=$AA29) *
(Table_BangLuong_TyLeTangCa[Giờ max]&gt;$AA29)
))))
),
IF(ISBLANK(AR$7),
IF(VLOOKUP(AR$6, Table_ChiPhiNV_Ca[], COUNTA(Table_ChiPhiNV_Ca[[#Headers],[Ca]:[Kết thúc]]),0)&gt; VLOOKUP(AR$6, Table_ChiPhiNV_Ca[], COUNTA(Table_ChiPhiNV_Ca[[#Headers],[Ca]:[Bắt đầu]]),0),
IF($AA29-$Z$4&lt;MAX(AR$4,VLOOKUP(AR$6, Table_ChiPhiNV_Ca[], COUNTA(Table_ChiPhiNV_Ca[[#Headers],[Ca]:[Bắt đầu]]),0)),0,
IF($AA29&gt;MIN(AR$5,VLOOKUP(AR$6, Table_ChiPhiNV_Ca[], COUNTA(Table_ChiPhiNV_Ca[[#Headers],[Ca]:[Kết thúc]]),0)),0,
SUM(_xlfn._xlws.FILTER(Table_BangLuong_TyLeTangCa[Tỷ lệ],
(Table_BangLuong_TyLeTangCa[Ngày] = "Thường") *
(Table_BangLuong_TyLeTangCa[Giờ min]&lt;=$AA29) *
(Table_BangLuong_TyLeTangCa[Giờ max]&gt;$AA29)
)))),
IF(AR$4 &gt; AR$5,
IF(
AND(
$AA29-$Z$4&lt;MAX(AR$4,VLOOKUP(AR$6, Table_ChiPhiNV_Ca[], COUNTA(Table_ChiPhiNV_Ca[[#Headers],[Ca]:[Bắt đầu]]),0)),
$AA29&gt;MIN(AR$5,VLOOKUP(AR$6, Table_ChiPhiNV_Ca[], COUNTA(Table_ChiPhiNV_Ca[[#Headers],[Ca]:[Kết thúc]]),0))),0,
SUM(_xlfn._xlws.FILTER(Table_BangLuong_TyLeTangCa[Tỷ lệ],
(Table_BangLuong_TyLeTangCa[Ngày] = "Thường") *
(Table_BangLuong_TyLeTangCa[Giờ min]&lt;=$AA29) *
(Table_BangLuong_TyLeTangCa[Giờ max]&gt;$AA29)
))),
IF(
AND(
$AA29-$Z$4&gt;=MAX(AR$4,VLOOKUP(AR$6, Table_ChiPhiNV_Ca[], COUNTA(Table_ChiPhiNV_Ca[[#Headers],[Ca]:[Bắt đầu]]),0)),
$AA29&lt;MIN(AR$5,VLOOKUP(AR$6, Table_ChiPhiNV_Ca[], COUNTA(Table_ChiPhiNV_Ca[[#Headers],[Ca]:[Kết thúc]]),0))),
SUM(_xlfn._xlws.FILTER(Table_BangLuong_TyLeTangCa[Tỷ lệ],
(Table_BangLuong_TyLeTangCa[Ngày] = "Thường") *
(Table_BangLuong_TyLeTangCa[Giờ min]&lt;=$AA29) *
(Table_BangLuong_TyLeTangCa[Giờ max]&gt;$AA29)
)),0)
)),
IF(AR$4 &lt; AR$5,
IF($AA29-$Z$4&lt;AR$4,0,
IF($AA29&gt;AR$5,0,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AR$5,$AA29 &lt; AR$4),0,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S29" s="18" cm="1">
        <f t="array" ref="AS29" xml:space="preserve">
IFERROR(
IF(AS$1="",0,
IF(AND(
$AA29&gt;=VLOOKUP(AS$6, Table_ChiPhiNV_Ca[], COUNTA(Table_ChiPhiNV_Ca[[#Headers],[Ca]:[Bắt đầu nghỉ]]),0),
$AA29&lt;VLOOKUP(AS$6, Table_ChiPhiNV_Ca[], COUNTA(Table_ChiPhiNV_Ca[[#Headers],[Ca]:[Kết thúc nghỉ]]),0)
),0,
IF(NOT(ISBLANK(AS$3)),
IF(ISBLANK(AS$7),0,
IF(AS$4 &lt; AS$5,
IF($AA29-$Z$4&lt;AS$4,0,
IF($AA29&gt;AS$5,0,
SUM(_xlfn._xlws.FILTER(Table_BangLuong_TyLeTangCa[Tỷ lệ],
(Table_BangLuong_TyLeTangCa[Ngày] = AS$3) *
(Table_BangLuong_TyLeTangCa[Giờ min]&lt;=$AA29) *
(Table_BangLuong_TyLeTangCa[Giờ max]&gt;$AA29)
)))),
IF(AND($AA29-$Z$4 &gt;= AS$5,$AA29 &lt; AS$4),0,
SUM(_xlfn._xlws.FILTER(Table_BangLuong_TyLeTangCa[Tỷ lệ],
(Table_BangLuong_TyLeTangCa[Ngày] = AS$3) *
(Table_BangLuong_TyLeTangCa[Giờ min]&lt;=$AA29) *
(Table_BangLuong_TyLeTangCa[Giờ max]&gt;$AA29)
))))
),
IF(ISBLANK(AS$7),
IF(VLOOKUP(AS$6, Table_ChiPhiNV_Ca[], COUNTA(Table_ChiPhiNV_Ca[[#Headers],[Ca]:[Kết thúc]]),0)&gt; VLOOKUP(AS$6, Table_ChiPhiNV_Ca[], COUNTA(Table_ChiPhiNV_Ca[[#Headers],[Ca]:[Bắt đầu]]),0),
IF($AA29-$Z$4&lt;MAX(AS$4,VLOOKUP(AS$6, Table_ChiPhiNV_Ca[], COUNTA(Table_ChiPhiNV_Ca[[#Headers],[Ca]:[Bắt đầu]]),0)),0,
IF($AA29&gt;MIN(AS$5,VLOOKUP(AS$6, Table_ChiPhiNV_Ca[], COUNTA(Table_ChiPhiNV_Ca[[#Headers],[Ca]:[Kết thúc]]),0)),0,
SUM(_xlfn._xlws.FILTER(Table_BangLuong_TyLeTangCa[Tỷ lệ],
(Table_BangLuong_TyLeTangCa[Ngày] = "Thường") *
(Table_BangLuong_TyLeTangCa[Giờ min]&lt;=$AA29) *
(Table_BangLuong_TyLeTangCa[Giờ max]&gt;$AA29)
)))),
IF(AS$4 &gt; AS$5,
IF(
AND(
$AA29-$Z$4&lt;MAX(AS$4,VLOOKUP(AS$6, Table_ChiPhiNV_Ca[], COUNTA(Table_ChiPhiNV_Ca[[#Headers],[Ca]:[Bắt đầu]]),0)),
$AA29&gt;MIN(AS$5,VLOOKUP(AS$6, Table_ChiPhiNV_Ca[], COUNTA(Table_ChiPhiNV_Ca[[#Headers],[Ca]:[Kết thúc]]),0))),0,
SUM(_xlfn._xlws.FILTER(Table_BangLuong_TyLeTangCa[Tỷ lệ],
(Table_BangLuong_TyLeTangCa[Ngày] = "Thường") *
(Table_BangLuong_TyLeTangCa[Giờ min]&lt;=$AA29) *
(Table_BangLuong_TyLeTangCa[Giờ max]&gt;$AA29)
))),
IF(
AND(
$AA29-$Z$4&gt;=MAX(AS$4,VLOOKUP(AS$6, Table_ChiPhiNV_Ca[], COUNTA(Table_ChiPhiNV_Ca[[#Headers],[Ca]:[Bắt đầu]]),0)),
$AA29&lt;MIN(AS$5,VLOOKUP(AS$6, Table_ChiPhiNV_Ca[], COUNTA(Table_ChiPhiNV_Ca[[#Headers],[Ca]:[Kết thúc]]),0))),
SUM(_xlfn._xlws.FILTER(Table_BangLuong_TyLeTangCa[Tỷ lệ],
(Table_BangLuong_TyLeTangCa[Ngày] = "Thường") *
(Table_BangLuong_TyLeTangCa[Giờ min]&lt;=$AA29) *
(Table_BangLuong_TyLeTangCa[Giờ max]&gt;$AA29)
)),0)
)),
IF(AS$4 &lt; AS$5,
IF($AA29-$Z$4&lt;AS$4,0,
IF($AA29&gt;AS$5,0,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AS$5,$AA29 &lt; AS$4),0,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T29" s="18" cm="1">
        <f t="array" ref="AT29" xml:space="preserve">
IFERROR(
IF(AT$1="",0,
IF(AND(
$AA29&gt;=VLOOKUP(AT$6, Table_ChiPhiNV_Ca[], COUNTA(Table_ChiPhiNV_Ca[[#Headers],[Ca]:[Bắt đầu nghỉ]]),0),
$AA29&lt;VLOOKUP(AT$6, Table_ChiPhiNV_Ca[], COUNTA(Table_ChiPhiNV_Ca[[#Headers],[Ca]:[Kết thúc nghỉ]]),0)
),0,
IF(NOT(ISBLANK(AT$3)),
IF(ISBLANK(AT$7),0,
IF(AT$4 &lt; AT$5,
IF($AA29-$Z$4&lt;AT$4,0,
IF($AA29&gt;AT$5,0,
SUM(_xlfn._xlws.FILTER(Table_BangLuong_TyLeTangCa[Tỷ lệ],
(Table_BangLuong_TyLeTangCa[Ngày] = AT$3) *
(Table_BangLuong_TyLeTangCa[Giờ min]&lt;=$AA29) *
(Table_BangLuong_TyLeTangCa[Giờ max]&gt;$AA29)
)))),
IF(AND($AA29-$Z$4 &gt;= AT$5,$AA29 &lt; AT$4),0,
SUM(_xlfn._xlws.FILTER(Table_BangLuong_TyLeTangCa[Tỷ lệ],
(Table_BangLuong_TyLeTangCa[Ngày] = AT$3) *
(Table_BangLuong_TyLeTangCa[Giờ min]&lt;=$AA29) *
(Table_BangLuong_TyLeTangCa[Giờ max]&gt;$AA29)
))))
),
IF(ISBLANK(AT$7),
IF(VLOOKUP(AT$6, Table_ChiPhiNV_Ca[], COUNTA(Table_ChiPhiNV_Ca[[#Headers],[Ca]:[Kết thúc]]),0)&gt; VLOOKUP(AT$6, Table_ChiPhiNV_Ca[], COUNTA(Table_ChiPhiNV_Ca[[#Headers],[Ca]:[Bắt đầu]]),0),
IF($AA29-$Z$4&lt;MAX(AT$4,VLOOKUP(AT$6, Table_ChiPhiNV_Ca[], COUNTA(Table_ChiPhiNV_Ca[[#Headers],[Ca]:[Bắt đầu]]),0)),0,
IF($AA29&gt;MIN(AT$5,VLOOKUP(AT$6, Table_ChiPhiNV_Ca[], COUNTA(Table_ChiPhiNV_Ca[[#Headers],[Ca]:[Kết thúc]]),0)),0,
SUM(_xlfn._xlws.FILTER(Table_BangLuong_TyLeTangCa[Tỷ lệ],
(Table_BangLuong_TyLeTangCa[Ngày] = "Thường") *
(Table_BangLuong_TyLeTangCa[Giờ min]&lt;=$AA29) *
(Table_BangLuong_TyLeTangCa[Giờ max]&gt;$AA29)
)))),
IF(AT$4 &gt; AT$5,
IF(
AND(
$AA29-$Z$4&lt;MAX(AT$4,VLOOKUP(AT$6, Table_ChiPhiNV_Ca[], COUNTA(Table_ChiPhiNV_Ca[[#Headers],[Ca]:[Bắt đầu]]),0)),
$AA29&gt;MIN(AT$5,VLOOKUP(AT$6, Table_ChiPhiNV_Ca[], COUNTA(Table_ChiPhiNV_Ca[[#Headers],[Ca]:[Kết thúc]]),0))),0,
SUM(_xlfn._xlws.FILTER(Table_BangLuong_TyLeTangCa[Tỷ lệ],
(Table_BangLuong_TyLeTangCa[Ngày] = "Thường") *
(Table_BangLuong_TyLeTangCa[Giờ min]&lt;=$AA29) *
(Table_BangLuong_TyLeTangCa[Giờ max]&gt;$AA29)
))),
IF(
AND(
$AA29-$Z$4&gt;=MAX(AT$4,VLOOKUP(AT$6, Table_ChiPhiNV_Ca[], COUNTA(Table_ChiPhiNV_Ca[[#Headers],[Ca]:[Bắt đầu]]),0)),
$AA29&lt;MIN(AT$5,VLOOKUP(AT$6, Table_ChiPhiNV_Ca[], COUNTA(Table_ChiPhiNV_Ca[[#Headers],[Ca]:[Kết thúc]]),0))),
SUM(_xlfn._xlws.FILTER(Table_BangLuong_TyLeTangCa[Tỷ lệ],
(Table_BangLuong_TyLeTangCa[Ngày] = "Thường") *
(Table_BangLuong_TyLeTangCa[Giờ min]&lt;=$AA29) *
(Table_BangLuong_TyLeTangCa[Giờ max]&gt;$AA29)
)),0)
)),
IF(AT$4 &lt; AT$5,
IF($AA29-$Z$4&lt;AT$4,0,
IF($AA29&gt;AT$5,0,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AT$5,$AA29 &lt; AT$4),0,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U29" s="18" cm="1">
        <f t="array" ref="AU29" xml:space="preserve">
IFERROR(
IF(AU$1="",0,
IF(AND(
$AA29&gt;=VLOOKUP(AU$6, Table_ChiPhiNV_Ca[], COUNTA(Table_ChiPhiNV_Ca[[#Headers],[Ca]:[Bắt đầu nghỉ]]),0),
$AA29&lt;VLOOKUP(AU$6, Table_ChiPhiNV_Ca[], COUNTA(Table_ChiPhiNV_Ca[[#Headers],[Ca]:[Kết thúc nghỉ]]),0)
),0,
IF(NOT(ISBLANK(AU$3)),
IF(ISBLANK(AU$7),0,
IF(AU$4 &lt; AU$5,
IF($AA29-$Z$4&lt;AU$4,0,
IF($AA29&gt;AU$5,0,
SUM(_xlfn._xlws.FILTER(Table_BangLuong_TyLeTangCa[Tỷ lệ],
(Table_BangLuong_TyLeTangCa[Ngày] = AU$3) *
(Table_BangLuong_TyLeTangCa[Giờ min]&lt;=$AA29) *
(Table_BangLuong_TyLeTangCa[Giờ max]&gt;$AA29)
)))),
IF(AND($AA29-$Z$4 &gt;= AU$5,$AA29 &lt; AU$4),0,
SUM(_xlfn._xlws.FILTER(Table_BangLuong_TyLeTangCa[Tỷ lệ],
(Table_BangLuong_TyLeTangCa[Ngày] = AU$3) *
(Table_BangLuong_TyLeTangCa[Giờ min]&lt;=$AA29) *
(Table_BangLuong_TyLeTangCa[Giờ max]&gt;$AA29)
))))
),
IF(ISBLANK(AU$7),
IF(VLOOKUP(AU$6, Table_ChiPhiNV_Ca[], COUNTA(Table_ChiPhiNV_Ca[[#Headers],[Ca]:[Kết thúc]]),0)&gt; VLOOKUP(AU$6, Table_ChiPhiNV_Ca[], COUNTA(Table_ChiPhiNV_Ca[[#Headers],[Ca]:[Bắt đầu]]),0),
IF($AA29-$Z$4&lt;MAX(AU$4,VLOOKUP(AU$6, Table_ChiPhiNV_Ca[], COUNTA(Table_ChiPhiNV_Ca[[#Headers],[Ca]:[Bắt đầu]]),0)),0,
IF($AA29&gt;MIN(AU$5,VLOOKUP(AU$6, Table_ChiPhiNV_Ca[], COUNTA(Table_ChiPhiNV_Ca[[#Headers],[Ca]:[Kết thúc]]),0)),0,
SUM(_xlfn._xlws.FILTER(Table_BangLuong_TyLeTangCa[Tỷ lệ],
(Table_BangLuong_TyLeTangCa[Ngày] = "Thường") *
(Table_BangLuong_TyLeTangCa[Giờ min]&lt;=$AA29) *
(Table_BangLuong_TyLeTangCa[Giờ max]&gt;$AA29)
)))),
IF(AU$4 &gt; AU$5,
IF(
AND(
$AA29-$Z$4&lt;MAX(AU$4,VLOOKUP(AU$6, Table_ChiPhiNV_Ca[], COUNTA(Table_ChiPhiNV_Ca[[#Headers],[Ca]:[Bắt đầu]]),0)),
$AA29&gt;MIN(AU$5,VLOOKUP(AU$6, Table_ChiPhiNV_Ca[], COUNTA(Table_ChiPhiNV_Ca[[#Headers],[Ca]:[Kết thúc]]),0))),0,
SUM(_xlfn._xlws.FILTER(Table_BangLuong_TyLeTangCa[Tỷ lệ],
(Table_BangLuong_TyLeTangCa[Ngày] = "Thường") *
(Table_BangLuong_TyLeTangCa[Giờ min]&lt;=$AA29) *
(Table_BangLuong_TyLeTangCa[Giờ max]&gt;$AA29)
))),
IF(
AND(
$AA29-$Z$4&gt;=MAX(AU$4,VLOOKUP(AU$6, Table_ChiPhiNV_Ca[], COUNTA(Table_ChiPhiNV_Ca[[#Headers],[Ca]:[Bắt đầu]]),0)),
$AA29&lt;MIN(AU$5,VLOOKUP(AU$6, Table_ChiPhiNV_Ca[], COUNTA(Table_ChiPhiNV_Ca[[#Headers],[Ca]:[Kết thúc]]),0))),
SUM(_xlfn._xlws.FILTER(Table_BangLuong_TyLeTangCa[Tỷ lệ],
(Table_BangLuong_TyLeTangCa[Ngày] = "Thường") *
(Table_BangLuong_TyLeTangCa[Giờ min]&lt;=$AA29) *
(Table_BangLuong_TyLeTangCa[Giờ max]&gt;$AA29)
)),0)
)),
IF(AU$4 &lt; AU$5,
IF($AA29-$Z$4&lt;AU$4,0,
IF($AA29&gt;AU$5,0,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AU$5,$AA29 &lt; AU$4),0,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V29" s="18" cm="1">
        <f t="array" ref="AV29" xml:space="preserve">
IFERROR(
IF(AV$1="",0,
IF(AND(
$AA29&gt;=VLOOKUP(AV$6, Table_ChiPhiNV_Ca[], COUNTA(Table_ChiPhiNV_Ca[[#Headers],[Ca]:[Bắt đầu nghỉ]]),0),
$AA29&lt;VLOOKUP(AV$6, Table_ChiPhiNV_Ca[], COUNTA(Table_ChiPhiNV_Ca[[#Headers],[Ca]:[Kết thúc nghỉ]]),0)
),0,
IF(NOT(ISBLANK(AV$3)),
IF(ISBLANK(AV$7),0,
IF(AV$4 &lt; AV$5,
IF($AA29-$Z$4&lt;AV$4,0,
IF($AA29&gt;AV$5,0,
SUM(_xlfn._xlws.FILTER(Table_BangLuong_TyLeTangCa[Tỷ lệ],
(Table_BangLuong_TyLeTangCa[Ngày] = AV$3) *
(Table_BangLuong_TyLeTangCa[Giờ min]&lt;=$AA29) *
(Table_BangLuong_TyLeTangCa[Giờ max]&gt;$AA29)
)))),
IF(AND($AA29-$Z$4 &gt;= AV$5,$AA29 &lt; AV$4),0,
SUM(_xlfn._xlws.FILTER(Table_BangLuong_TyLeTangCa[Tỷ lệ],
(Table_BangLuong_TyLeTangCa[Ngày] = AV$3) *
(Table_BangLuong_TyLeTangCa[Giờ min]&lt;=$AA29) *
(Table_BangLuong_TyLeTangCa[Giờ max]&gt;$AA29)
))))
),
IF(ISBLANK(AV$7),
IF(VLOOKUP(AV$6, Table_ChiPhiNV_Ca[], COUNTA(Table_ChiPhiNV_Ca[[#Headers],[Ca]:[Kết thúc]]),0)&gt; VLOOKUP(AV$6, Table_ChiPhiNV_Ca[], COUNTA(Table_ChiPhiNV_Ca[[#Headers],[Ca]:[Bắt đầu]]),0),
IF($AA29-$Z$4&lt;MAX(AV$4,VLOOKUP(AV$6, Table_ChiPhiNV_Ca[], COUNTA(Table_ChiPhiNV_Ca[[#Headers],[Ca]:[Bắt đầu]]),0)),0,
IF($AA29&gt;MIN(AV$5,VLOOKUP(AV$6, Table_ChiPhiNV_Ca[], COUNTA(Table_ChiPhiNV_Ca[[#Headers],[Ca]:[Kết thúc]]),0)),0,
SUM(_xlfn._xlws.FILTER(Table_BangLuong_TyLeTangCa[Tỷ lệ],
(Table_BangLuong_TyLeTangCa[Ngày] = "Thường") *
(Table_BangLuong_TyLeTangCa[Giờ min]&lt;=$AA29) *
(Table_BangLuong_TyLeTangCa[Giờ max]&gt;$AA29)
)))),
IF(AV$4 &gt; AV$5,
IF(
AND(
$AA29-$Z$4&lt;MAX(AV$4,VLOOKUP(AV$6, Table_ChiPhiNV_Ca[], COUNTA(Table_ChiPhiNV_Ca[[#Headers],[Ca]:[Bắt đầu]]),0)),
$AA29&gt;MIN(AV$5,VLOOKUP(AV$6, Table_ChiPhiNV_Ca[], COUNTA(Table_ChiPhiNV_Ca[[#Headers],[Ca]:[Kết thúc]]),0))),0,
SUM(_xlfn._xlws.FILTER(Table_BangLuong_TyLeTangCa[Tỷ lệ],
(Table_BangLuong_TyLeTangCa[Ngày] = "Thường") *
(Table_BangLuong_TyLeTangCa[Giờ min]&lt;=$AA29) *
(Table_BangLuong_TyLeTangCa[Giờ max]&gt;$AA29)
))),
IF(
AND(
$AA29-$Z$4&gt;=MAX(AV$4,VLOOKUP(AV$6, Table_ChiPhiNV_Ca[], COUNTA(Table_ChiPhiNV_Ca[[#Headers],[Ca]:[Bắt đầu]]),0)),
$AA29&lt;MIN(AV$5,VLOOKUP(AV$6, Table_ChiPhiNV_Ca[], COUNTA(Table_ChiPhiNV_Ca[[#Headers],[Ca]:[Kết thúc]]),0))),
SUM(_xlfn._xlws.FILTER(Table_BangLuong_TyLeTangCa[Tỷ lệ],
(Table_BangLuong_TyLeTangCa[Ngày] = "Thường") *
(Table_BangLuong_TyLeTangCa[Giờ min]&lt;=$AA29) *
(Table_BangLuong_TyLeTangCa[Giờ max]&gt;$AA29)
)),0)
)),
IF(AV$4 &lt; AV$5,
IF($AA29-$Z$4&lt;AV$4,0,
IF($AA29&gt;AV$5,0,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AV$5,$AA29 &lt; AV$4),0,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W29" s="18" cm="1">
        <f t="array" ref="AW29" xml:space="preserve">
IFERROR(
IF(AW$1="",0,
IF(AND(
$AA29&gt;=VLOOKUP(AW$6, Table_ChiPhiNV_Ca[], COUNTA(Table_ChiPhiNV_Ca[[#Headers],[Ca]:[Bắt đầu nghỉ]]),0),
$AA29&lt;VLOOKUP(AW$6, Table_ChiPhiNV_Ca[], COUNTA(Table_ChiPhiNV_Ca[[#Headers],[Ca]:[Kết thúc nghỉ]]),0)
),0,
IF(NOT(ISBLANK(AW$3)),
IF(ISBLANK(AW$7),0,
IF(AW$4 &lt; AW$5,
IF($AA29-$Z$4&lt;AW$4,0,
IF($AA29&gt;AW$5,0,
SUM(_xlfn._xlws.FILTER(Table_BangLuong_TyLeTangCa[Tỷ lệ],
(Table_BangLuong_TyLeTangCa[Ngày] = AW$3) *
(Table_BangLuong_TyLeTangCa[Giờ min]&lt;=$AA29) *
(Table_BangLuong_TyLeTangCa[Giờ max]&gt;$AA29)
)))),
IF(AND($AA29-$Z$4 &gt;= AW$5,$AA29 &lt; AW$4),0,
SUM(_xlfn._xlws.FILTER(Table_BangLuong_TyLeTangCa[Tỷ lệ],
(Table_BangLuong_TyLeTangCa[Ngày] = AW$3) *
(Table_BangLuong_TyLeTangCa[Giờ min]&lt;=$AA29) *
(Table_BangLuong_TyLeTangCa[Giờ max]&gt;$AA29)
))))
),
IF(ISBLANK(AW$7),
IF(VLOOKUP(AW$6, Table_ChiPhiNV_Ca[], COUNTA(Table_ChiPhiNV_Ca[[#Headers],[Ca]:[Kết thúc]]),0)&gt; VLOOKUP(AW$6, Table_ChiPhiNV_Ca[], COUNTA(Table_ChiPhiNV_Ca[[#Headers],[Ca]:[Bắt đầu]]),0),
IF($AA29-$Z$4&lt;MAX(AW$4,VLOOKUP(AW$6, Table_ChiPhiNV_Ca[], COUNTA(Table_ChiPhiNV_Ca[[#Headers],[Ca]:[Bắt đầu]]),0)),0,
IF($AA29&gt;MIN(AW$5,VLOOKUP(AW$6, Table_ChiPhiNV_Ca[], COUNTA(Table_ChiPhiNV_Ca[[#Headers],[Ca]:[Kết thúc]]),0)),0,
SUM(_xlfn._xlws.FILTER(Table_BangLuong_TyLeTangCa[Tỷ lệ],
(Table_BangLuong_TyLeTangCa[Ngày] = "Thường") *
(Table_BangLuong_TyLeTangCa[Giờ min]&lt;=$AA29) *
(Table_BangLuong_TyLeTangCa[Giờ max]&gt;$AA29)
)))),
IF(AW$4 &gt; AW$5,
IF(
AND(
$AA29-$Z$4&lt;MAX(AW$4,VLOOKUP(AW$6, Table_ChiPhiNV_Ca[], COUNTA(Table_ChiPhiNV_Ca[[#Headers],[Ca]:[Bắt đầu]]),0)),
$AA29&gt;MIN(AW$5,VLOOKUP(AW$6, Table_ChiPhiNV_Ca[], COUNTA(Table_ChiPhiNV_Ca[[#Headers],[Ca]:[Kết thúc]]),0))),0,
SUM(_xlfn._xlws.FILTER(Table_BangLuong_TyLeTangCa[Tỷ lệ],
(Table_BangLuong_TyLeTangCa[Ngày] = "Thường") *
(Table_BangLuong_TyLeTangCa[Giờ min]&lt;=$AA29) *
(Table_BangLuong_TyLeTangCa[Giờ max]&gt;$AA29)
))),
IF(
AND(
$AA29-$Z$4&gt;=MAX(AW$4,VLOOKUP(AW$6, Table_ChiPhiNV_Ca[], COUNTA(Table_ChiPhiNV_Ca[[#Headers],[Ca]:[Bắt đầu]]),0)),
$AA29&lt;MIN(AW$5,VLOOKUP(AW$6, Table_ChiPhiNV_Ca[], COUNTA(Table_ChiPhiNV_Ca[[#Headers],[Ca]:[Kết thúc]]),0))),
SUM(_xlfn._xlws.FILTER(Table_BangLuong_TyLeTangCa[Tỷ lệ],
(Table_BangLuong_TyLeTangCa[Ngày] = "Thường") *
(Table_BangLuong_TyLeTangCa[Giờ min]&lt;=$AA29) *
(Table_BangLuong_TyLeTangCa[Giờ max]&gt;$AA29)
)),0)
)),
IF(AW$4 &lt; AW$5,
IF($AA29-$Z$4&lt;AW$4,0,
IF($AA29&gt;AW$5,0,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AW$5,$AA29 &lt; AW$4),0,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X29" s="18" cm="1">
        <f t="array" ref="AX29" xml:space="preserve">
IFERROR(
IF(AX$1="",0,
IF(AND(
$AA29&gt;=VLOOKUP(AX$6, Table_ChiPhiNV_Ca[], COUNTA(Table_ChiPhiNV_Ca[[#Headers],[Ca]:[Bắt đầu nghỉ]]),0),
$AA29&lt;VLOOKUP(AX$6, Table_ChiPhiNV_Ca[], COUNTA(Table_ChiPhiNV_Ca[[#Headers],[Ca]:[Kết thúc nghỉ]]),0)
),0,
IF(NOT(ISBLANK(AX$3)),
IF(ISBLANK(AX$7),0,
IF(AX$4 &lt; AX$5,
IF($AA29-$Z$4&lt;AX$4,0,
IF($AA29&gt;AX$5,0,
SUM(_xlfn._xlws.FILTER(Table_BangLuong_TyLeTangCa[Tỷ lệ],
(Table_BangLuong_TyLeTangCa[Ngày] = AX$3) *
(Table_BangLuong_TyLeTangCa[Giờ min]&lt;=$AA29) *
(Table_BangLuong_TyLeTangCa[Giờ max]&gt;$AA29)
)))),
IF(AND($AA29-$Z$4 &gt;= AX$5,$AA29 &lt; AX$4),0,
SUM(_xlfn._xlws.FILTER(Table_BangLuong_TyLeTangCa[Tỷ lệ],
(Table_BangLuong_TyLeTangCa[Ngày] = AX$3) *
(Table_BangLuong_TyLeTangCa[Giờ min]&lt;=$AA29) *
(Table_BangLuong_TyLeTangCa[Giờ max]&gt;$AA29)
))))
),
IF(ISBLANK(AX$7),
IF(VLOOKUP(AX$6, Table_ChiPhiNV_Ca[], COUNTA(Table_ChiPhiNV_Ca[[#Headers],[Ca]:[Kết thúc]]),0)&gt; VLOOKUP(AX$6, Table_ChiPhiNV_Ca[], COUNTA(Table_ChiPhiNV_Ca[[#Headers],[Ca]:[Bắt đầu]]),0),
IF($AA29-$Z$4&lt;MAX(AX$4,VLOOKUP(AX$6, Table_ChiPhiNV_Ca[], COUNTA(Table_ChiPhiNV_Ca[[#Headers],[Ca]:[Bắt đầu]]),0)),0,
IF($AA29&gt;MIN(AX$5,VLOOKUP(AX$6, Table_ChiPhiNV_Ca[], COUNTA(Table_ChiPhiNV_Ca[[#Headers],[Ca]:[Kết thúc]]),0)),0,
SUM(_xlfn._xlws.FILTER(Table_BangLuong_TyLeTangCa[Tỷ lệ],
(Table_BangLuong_TyLeTangCa[Ngày] = "Thường") *
(Table_BangLuong_TyLeTangCa[Giờ min]&lt;=$AA29) *
(Table_BangLuong_TyLeTangCa[Giờ max]&gt;$AA29)
)))),
IF(AX$4 &gt; AX$5,
IF(
AND(
$AA29-$Z$4&lt;MAX(AX$4,VLOOKUP(AX$6, Table_ChiPhiNV_Ca[], COUNTA(Table_ChiPhiNV_Ca[[#Headers],[Ca]:[Bắt đầu]]),0)),
$AA29&gt;MIN(AX$5,VLOOKUP(AX$6, Table_ChiPhiNV_Ca[], COUNTA(Table_ChiPhiNV_Ca[[#Headers],[Ca]:[Kết thúc]]),0))),0,
SUM(_xlfn._xlws.FILTER(Table_BangLuong_TyLeTangCa[Tỷ lệ],
(Table_BangLuong_TyLeTangCa[Ngày] = "Thường") *
(Table_BangLuong_TyLeTangCa[Giờ min]&lt;=$AA29) *
(Table_BangLuong_TyLeTangCa[Giờ max]&gt;$AA29)
))),
IF(
AND(
$AA29-$Z$4&gt;=MAX(AX$4,VLOOKUP(AX$6, Table_ChiPhiNV_Ca[], COUNTA(Table_ChiPhiNV_Ca[[#Headers],[Ca]:[Bắt đầu]]),0)),
$AA29&lt;MIN(AX$5,VLOOKUP(AX$6, Table_ChiPhiNV_Ca[], COUNTA(Table_ChiPhiNV_Ca[[#Headers],[Ca]:[Kết thúc]]),0))),
SUM(_xlfn._xlws.FILTER(Table_BangLuong_TyLeTangCa[Tỷ lệ],
(Table_BangLuong_TyLeTangCa[Ngày] = "Thường") *
(Table_BangLuong_TyLeTangCa[Giờ min]&lt;=$AA29) *
(Table_BangLuong_TyLeTangCa[Giờ max]&gt;$AA29)
)),0)
)),
IF(AX$4 &lt; AX$5,
IF($AA29-$Z$4&lt;AX$4,0,
IF($AA29&gt;AX$5,0,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AX$5,$AA29 &lt; AX$4),0,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Y29" s="18" cm="1">
        <f t="array" ref="AY29" xml:space="preserve">
IFERROR(
IF(AY$1="",0,
IF(AND(
$AA29&gt;=VLOOKUP(AY$6, Table_ChiPhiNV_Ca[], COUNTA(Table_ChiPhiNV_Ca[[#Headers],[Ca]:[Bắt đầu nghỉ]]),0),
$AA29&lt;VLOOKUP(AY$6, Table_ChiPhiNV_Ca[], COUNTA(Table_ChiPhiNV_Ca[[#Headers],[Ca]:[Kết thúc nghỉ]]),0)
),0,
IF(NOT(ISBLANK(AY$3)),
IF(ISBLANK(AY$7),0,
IF(AY$4 &lt; AY$5,
IF($AA29-$Z$4&lt;AY$4,0,
IF($AA29&gt;AY$5,0,
SUM(_xlfn._xlws.FILTER(Table_BangLuong_TyLeTangCa[Tỷ lệ],
(Table_BangLuong_TyLeTangCa[Ngày] = AY$3) *
(Table_BangLuong_TyLeTangCa[Giờ min]&lt;=$AA29) *
(Table_BangLuong_TyLeTangCa[Giờ max]&gt;$AA29)
)))),
IF(AND($AA29-$Z$4 &gt;= AY$5,$AA29 &lt; AY$4),0,
SUM(_xlfn._xlws.FILTER(Table_BangLuong_TyLeTangCa[Tỷ lệ],
(Table_BangLuong_TyLeTangCa[Ngày] = AY$3) *
(Table_BangLuong_TyLeTangCa[Giờ min]&lt;=$AA29) *
(Table_BangLuong_TyLeTangCa[Giờ max]&gt;$AA29)
))))
),
IF(ISBLANK(AY$7),
IF(VLOOKUP(AY$6, Table_ChiPhiNV_Ca[], COUNTA(Table_ChiPhiNV_Ca[[#Headers],[Ca]:[Kết thúc]]),0)&gt; VLOOKUP(AY$6, Table_ChiPhiNV_Ca[], COUNTA(Table_ChiPhiNV_Ca[[#Headers],[Ca]:[Bắt đầu]]),0),
IF($AA29-$Z$4&lt;MAX(AY$4,VLOOKUP(AY$6, Table_ChiPhiNV_Ca[], COUNTA(Table_ChiPhiNV_Ca[[#Headers],[Ca]:[Bắt đầu]]),0)),0,
IF($AA29&gt;MIN(AY$5,VLOOKUP(AY$6, Table_ChiPhiNV_Ca[], COUNTA(Table_ChiPhiNV_Ca[[#Headers],[Ca]:[Kết thúc]]),0)),0,
SUM(_xlfn._xlws.FILTER(Table_BangLuong_TyLeTangCa[Tỷ lệ],
(Table_BangLuong_TyLeTangCa[Ngày] = "Thường") *
(Table_BangLuong_TyLeTangCa[Giờ min]&lt;=$AA29) *
(Table_BangLuong_TyLeTangCa[Giờ max]&gt;$AA29)
)))),
IF(AY$4 &gt; AY$5,
IF(
AND(
$AA29-$Z$4&lt;MAX(AY$4,VLOOKUP(AY$6, Table_ChiPhiNV_Ca[], COUNTA(Table_ChiPhiNV_Ca[[#Headers],[Ca]:[Bắt đầu]]),0)),
$AA29&gt;MIN(AY$5,VLOOKUP(AY$6, Table_ChiPhiNV_Ca[], COUNTA(Table_ChiPhiNV_Ca[[#Headers],[Ca]:[Kết thúc]]),0))),0,
SUM(_xlfn._xlws.FILTER(Table_BangLuong_TyLeTangCa[Tỷ lệ],
(Table_BangLuong_TyLeTangCa[Ngày] = "Thường") *
(Table_BangLuong_TyLeTangCa[Giờ min]&lt;=$AA29) *
(Table_BangLuong_TyLeTangCa[Giờ max]&gt;$AA29)
))),
IF(
AND(
$AA29-$Z$4&gt;=MAX(AY$4,VLOOKUP(AY$6, Table_ChiPhiNV_Ca[], COUNTA(Table_ChiPhiNV_Ca[[#Headers],[Ca]:[Bắt đầu]]),0)),
$AA29&lt;MIN(AY$5,VLOOKUP(AY$6, Table_ChiPhiNV_Ca[], COUNTA(Table_ChiPhiNV_Ca[[#Headers],[Ca]:[Kết thúc]]),0))),
SUM(_xlfn._xlws.FILTER(Table_BangLuong_TyLeTangCa[Tỷ lệ],
(Table_BangLuong_TyLeTangCa[Ngày] = "Thường") *
(Table_BangLuong_TyLeTangCa[Giờ min]&lt;=$AA29) *
(Table_BangLuong_TyLeTangCa[Giờ max]&gt;$AA29)
)),0)
)),
IF(AY$4 &lt; AY$5,
IF($AA29-$Z$4&lt;AY$4,0,
IF($AA29&gt;AY$5,0,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AY$5,$AA29 &lt; AY$4),0,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Z29" s="18" cm="1">
        <f t="array" ref="AZ29" xml:space="preserve">
IFERROR(
IF(AZ$1="",0,
IF(AND(
$AA29&gt;=VLOOKUP(AZ$6, Table_ChiPhiNV_Ca[], COUNTA(Table_ChiPhiNV_Ca[[#Headers],[Ca]:[Bắt đầu nghỉ]]),0),
$AA29&lt;VLOOKUP(AZ$6, Table_ChiPhiNV_Ca[], COUNTA(Table_ChiPhiNV_Ca[[#Headers],[Ca]:[Kết thúc nghỉ]]),0)
),0,
IF(NOT(ISBLANK(AZ$3)),
IF(ISBLANK(AZ$7),0,
IF(AZ$4 &lt; AZ$5,
IF($AA29-$Z$4&lt;AZ$4,0,
IF($AA29&gt;AZ$5,0,
SUM(_xlfn._xlws.FILTER(Table_BangLuong_TyLeTangCa[Tỷ lệ],
(Table_BangLuong_TyLeTangCa[Ngày] = AZ$3) *
(Table_BangLuong_TyLeTangCa[Giờ min]&lt;=$AA29) *
(Table_BangLuong_TyLeTangCa[Giờ max]&gt;$AA29)
)))),
IF(AND($AA29-$Z$4 &gt;= AZ$5,$AA29 &lt; AZ$4),0,
SUM(_xlfn._xlws.FILTER(Table_BangLuong_TyLeTangCa[Tỷ lệ],
(Table_BangLuong_TyLeTangCa[Ngày] = AZ$3) *
(Table_BangLuong_TyLeTangCa[Giờ min]&lt;=$AA29) *
(Table_BangLuong_TyLeTangCa[Giờ max]&gt;$AA29)
))))
),
IF(ISBLANK(AZ$7),
IF(VLOOKUP(AZ$6, Table_ChiPhiNV_Ca[], COUNTA(Table_ChiPhiNV_Ca[[#Headers],[Ca]:[Kết thúc]]),0)&gt; VLOOKUP(AZ$6, Table_ChiPhiNV_Ca[], COUNTA(Table_ChiPhiNV_Ca[[#Headers],[Ca]:[Bắt đầu]]),0),
IF($AA29-$Z$4&lt;MAX(AZ$4,VLOOKUP(AZ$6, Table_ChiPhiNV_Ca[], COUNTA(Table_ChiPhiNV_Ca[[#Headers],[Ca]:[Bắt đầu]]),0)),0,
IF($AA29&gt;MIN(AZ$5,VLOOKUP(AZ$6, Table_ChiPhiNV_Ca[], COUNTA(Table_ChiPhiNV_Ca[[#Headers],[Ca]:[Kết thúc]]),0)),0,
SUM(_xlfn._xlws.FILTER(Table_BangLuong_TyLeTangCa[Tỷ lệ],
(Table_BangLuong_TyLeTangCa[Ngày] = "Thường") *
(Table_BangLuong_TyLeTangCa[Giờ min]&lt;=$AA29) *
(Table_BangLuong_TyLeTangCa[Giờ max]&gt;$AA29)
)))),
IF(AZ$4 &gt; AZ$5,
IF(
AND(
$AA29-$Z$4&lt;MAX(AZ$4,VLOOKUP(AZ$6, Table_ChiPhiNV_Ca[], COUNTA(Table_ChiPhiNV_Ca[[#Headers],[Ca]:[Bắt đầu]]),0)),
$AA29&gt;MIN(AZ$5,VLOOKUP(AZ$6, Table_ChiPhiNV_Ca[], COUNTA(Table_ChiPhiNV_Ca[[#Headers],[Ca]:[Kết thúc]]),0))),0,
SUM(_xlfn._xlws.FILTER(Table_BangLuong_TyLeTangCa[Tỷ lệ],
(Table_BangLuong_TyLeTangCa[Ngày] = "Thường") *
(Table_BangLuong_TyLeTangCa[Giờ min]&lt;=$AA29) *
(Table_BangLuong_TyLeTangCa[Giờ max]&gt;$AA29)
))),
IF(
AND(
$AA29-$Z$4&gt;=MAX(AZ$4,VLOOKUP(AZ$6, Table_ChiPhiNV_Ca[], COUNTA(Table_ChiPhiNV_Ca[[#Headers],[Ca]:[Bắt đầu]]),0)),
$AA29&lt;MIN(AZ$5,VLOOKUP(AZ$6, Table_ChiPhiNV_Ca[], COUNTA(Table_ChiPhiNV_Ca[[#Headers],[Ca]:[Kết thúc]]),0))),
SUM(_xlfn._xlws.FILTER(Table_BangLuong_TyLeTangCa[Tỷ lệ],
(Table_BangLuong_TyLeTangCa[Ngày] = "Thường") *
(Table_BangLuong_TyLeTangCa[Giờ min]&lt;=$AA29) *
(Table_BangLuong_TyLeTangCa[Giờ max]&gt;$AA29)
)),0)
)),
IF(AZ$4 &lt; AZ$5,
IF($AA29-$Z$4&lt;AZ$4,0,
IF($AA29&gt;AZ$5,0,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AZ$5,$AA29 &lt; AZ$4),0,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A29" s="18" cm="1">
        <f t="array" ref="BA29" xml:space="preserve">
IFERROR(
IF(BA$1="",0,
IF(AND(
$AA29&gt;=VLOOKUP(BA$6, Table_ChiPhiNV_Ca[], COUNTA(Table_ChiPhiNV_Ca[[#Headers],[Ca]:[Bắt đầu nghỉ]]),0),
$AA29&lt;VLOOKUP(BA$6, Table_ChiPhiNV_Ca[], COUNTA(Table_ChiPhiNV_Ca[[#Headers],[Ca]:[Kết thúc nghỉ]]),0)
),0,
IF(NOT(ISBLANK(BA$3)),
IF(ISBLANK(BA$7),0,
IF(BA$4 &lt; BA$5,
IF($AA29-$Z$4&lt;BA$4,0,
IF($AA29&gt;BA$5,0,
SUM(_xlfn._xlws.FILTER(Table_BangLuong_TyLeTangCa[Tỷ lệ],
(Table_BangLuong_TyLeTangCa[Ngày] = BA$3) *
(Table_BangLuong_TyLeTangCa[Giờ min]&lt;=$AA29) *
(Table_BangLuong_TyLeTangCa[Giờ max]&gt;$AA29)
)))),
IF(AND($AA29-$Z$4 &gt;= BA$5,$AA29 &lt; BA$4),0,
SUM(_xlfn._xlws.FILTER(Table_BangLuong_TyLeTangCa[Tỷ lệ],
(Table_BangLuong_TyLeTangCa[Ngày] = BA$3) *
(Table_BangLuong_TyLeTangCa[Giờ min]&lt;=$AA29) *
(Table_BangLuong_TyLeTangCa[Giờ max]&gt;$AA29)
))))
),
IF(ISBLANK(BA$7),
IF(VLOOKUP(BA$6, Table_ChiPhiNV_Ca[], COUNTA(Table_ChiPhiNV_Ca[[#Headers],[Ca]:[Kết thúc]]),0)&gt; VLOOKUP(BA$6, Table_ChiPhiNV_Ca[], COUNTA(Table_ChiPhiNV_Ca[[#Headers],[Ca]:[Bắt đầu]]),0),
IF($AA29-$Z$4&lt;MAX(BA$4,VLOOKUP(BA$6, Table_ChiPhiNV_Ca[], COUNTA(Table_ChiPhiNV_Ca[[#Headers],[Ca]:[Bắt đầu]]),0)),0,
IF($AA29&gt;MIN(BA$5,VLOOKUP(BA$6, Table_ChiPhiNV_Ca[], COUNTA(Table_ChiPhiNV_Ca[[#Headers],[Ca]:[Kết thúc]]),0)),0,
SUM(_xlfn._xlws.FILTER(Table_BangLuong_TyLeTangCa[Tỷ lệ],
(Table_BangLuong_TyLeTangCa[Ngày] = "Thường") *
(Table_BangLuong_TyLeTangCa[Giờ min]&lt;=$AA29) *
(Table_BangLuong_TyLeTangCa[Giờ max]&gt;$AA29)
)))),
IF(BA$4 &gt; BA$5,
IF(
AND(
$AA29-$Z$4&lt;MAX(BA$4,VLOOKUP(BA$6, Table_ChiPhiNV_Ca[], COUNTA(Table_ChiPhiNV_Ca[[#Headers],[Ca]:[Bắt đầu]]),0)),
$AA29&gt;MIN(BA$5,VLOOKUP(BA$6, Table_ChiPhiNV_Ca[], COUNTA(Table_ChiPhiNV_Ca[[#Headers],[Ca]:[Kết thúc]]),0))),0,
SUM(_xlfn._xlws.FILTER(Table_BangLuong_TyLeTangCa[Tỷ lệ],
(Table_BangLuong_TyLeTangCa[Ngày] = "Thường") *
(Table_BangLuong_TyLeTangCa[Giờ min]&lt;=$AA29) *
(Table_BangLuong_TyLeTangCa[Giờ max]&gt;$AA29)
))),
IF(
AND(
$AA29-$Z$4&gt;=MAX(BA$4,VLOOKUP(BA$6, Table_ChiPhiNV_Ca[], COUNTA(Table_ChiPhiNV_Ca[[#Headers],[Ca]:[Bắt đầu]]),0)),
$AA29&lt;MIN(BA$5,VLOOKUP(BA$6, Table_ChiPhiNV_Ca[], COUNTA(Table_ChiPhiNV_Ca[[#Headers],[Ca]:[Kết thúc]]),0))),
SUM(_xlfn._xlws.FILTER(Table_BangLuong_TyLeTangCa[Tỷ lệ],
(Table_BangLuong_TyLeTangCa[Ngày] = "Thường") *
(Table_BangLuong_TyLeTangCa[Giờ min]&lt;=$AA29) *
(Table_BangLuong_TyLeTangCa[Giờ max]&gt;$AA29)
)),0)
)),
IF(BA$4 &lt; BA$5,
IF($AA29-$Z$4&lt;BA$4,0,
IF($AA29&gt;BA$5,0,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BA$5,$AA29 &lt; BA$4),0,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B29" s="18" cm="1">
        <f t="array" ref="BB29" xml:space="preserve">
IFERROR(
IF(BB$1="",0,
IF(AND(
$AA29&gt;=VLOOKUP(BB$6, Table_ChiPhiNV_Ca[], COUNTA(Table_ChiPhiNV_Ca[[#Headers],[Ca]:[Bắt đầu nghỉ]]),0),
$AA29&lt;VLOOKUP(BB$6, Table_ChiPhiNV_Ca[], COUNTA(Table_ChiPhiNV_Ca[[#Headers],[Ca]:[Kết thúc nghỉ]]),0)
),0,
IF(NOT(ISBLANK(BB$3)),
IF(ISBLANK(BB$7),0,
IF(BB$4 &lt; BB$5,
IF($AA29-$Z$4&lt;BB$4,0,
IF($AA29&gt;BB$5,0,
SUM(_xlfn._xlws.FILTER(Table_BangLuong_TyLeTangCa[Tỷ lệ],
(Table_BangLuong_TyLeTangCa[Ngày] = BB$3) *
(Table_BangLuong_TyLeTangCa[Giờ min]&lt;=$AA29) *
(Table_BangLuong_TyLeTangCa[Giờ max]&gt;$AA29)
)))),
IF(AND($AA29-$Z$4 &gt;= BB$5,$AA29 &lt; BB$4),0,
SUM(_xlfn._xlws.FILTER(Table_BangLuong_TyLeTangCa[Tỷ lệ],
(Table_BangLuong_TyLeTangCa[Ngày] = BB$3) *
(Table_BangLuong_TyLeTangCa[Giờ min]&lt;=$AA29) *
(Table_BangLuong_TyLeTangCa[Giờ max]&gt;$AA29)
))))
),
IF(ISBLANK(BB$7),
IF(VLOOKUP(BB$6, Table_ChiPhiNV_Ca[], COUNTA(Table_ChiPhiNV_Ca[[#Headers],[Ca]:[Kết thúc]]),0)&gt; VLOOKUP(BB$6, Table_ChiPhiNV_Ca[], COUNTA(Table_ChiPhiNV_Ca[[#Headers],[Ca]:[Bắt đầu]]),0),
IF($AA29-$Z$4&lt;MAX(BB$4,VLOOKUP(BB$6, Table_ChiPhiNV_Ca[], COUNTA(Table_ChiPhiNV_Ca[[#Headers],[Ca]:[Bắt đầu]]),0)),0,
IF($AA29&gt;MIN(BB$5,VLOOKUP(BB$6, Table_ChiPhiNV_Ca[], COUNTA(Table_ChiPhiNV_Ca[[#Headers],[Ca]:[Kết thúc]]),0)),0,
SUM(_xlfn._xlws.FILTER(Table_BangLuong_TyLeTangCa[Tỷ lệ],
(Table_BangLuong_TyLeTangCa[Ngày] = "Thường") *
(Table_BangLuong_TyLeTangCa[Giờ min]&lt;=$AA29) *
(Table_BangLuong_TyLeTangCa[Giờ max]&gt;$AA29)
)))),
IF(BB$4 &gt; BB$5,
IF(
AND(
$AA29-$Z$4&lt;MAX(BB$4,VLOOKUP(BB$6, Table_ChiPhiNV_Ca[], COUNTA(Table_ChiPhiNV_Ca[[#Headers],[Ca]:[Bắt đầu]]),0)),
$AA29&gt;MIN(BB$5,VLOOKUP(BB$6, Table_ChiPhiNV_Ca[], COUNTA(Table_ChiPhiNV_Ca[[#Headers],[Ca]:[Kết thúc]]),0))),0,
SUM(_xlfn._xlws.FILTER(Table_BangLuong_TyLeTangCa[Tỷ lệ],
(Table_BangLuong_TyLeTangCa[Ngày] = "Thường") *
(Table_BangLuong_TyLeTangCa[Giờ min]&lt;=$AA29) *
(Table_BangLuong_TyLeTangCa[Giờ max]&gt;$AA29)
))),
IF(
AND(
$AA29-$Z$4&gt;=MAX(BB$4,VLOOKUP(BB$6, Table_ChiPhiNV_Ca[], COUNTA(Table_ChiPhiNV_Ca[[#Headers],[Ca]:[Bắt đầu]]),0)),
$AA29&lt;MIN(BB$5,VLOOKUP(BB$6, Table_ChiPhiNV_Ca[], COUNTA(Table_ChiPhiNV_Ca[[#Headers],[Ca]:[Kết thúc]]),0))),
SUM(_xlfn._xlws.FILTER(Table_BangLuong_TyLeTangCa[Tỷ lệ],
(Table_BangLuong_TyLeTangCa[Ngày] = "Thường") *
(Table_BangLuong_TyLeTangCa[Giờ min]&lt;=$AA29) *
(Table_BangLuong_TyLeTangCa[Giờ max]&gt;$AA29)
)),0)
)),
IF(BB$4 &lt; BB$5,
IF($AA29-$Z$4&lt;BB$4,0,
IF($AA29&gt;BB$5,0,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BB$5,$AA29 &lt; BB$4),0,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C29" s="18" cm="1">
        <f t="array" ref="BC29" xml:space="preserve">
IFERROR(
IF(BC$1="",0,
IF(AND(
$AA29&gt;=VLOOKUP(BC$6, Table_ChiPhiNV_Ca[], COUNTA(Table_ChiPhiNV_Ca[[#Headers],[Ca]:[Bắt đầu nghỉ]]),0),
$AA29&lt;VLOOKUP(BC$6, Table_ChiPhiNV_Ca[], COUNTA(Table_ChiPhiNV_Ca[[#Headers],[Ca]:[Kết thúc nghỉ]]),0)
),0,
IF(NOT(ISBLANK(BC$3)),
IF(ISBLANK(BC$7),0,
IF(BC$4 &lt; BC$5,
IF($AA29-$Z$4&lt;BC$4,0,
IF($AA29&gt;BC$5,0,
SUM(_xlfn._xlws.FILTER(Table_BangLuong_TyLeTangCa[Tỷ lệ],
(Table_BangLuong_TyLeTangCa[Ngày] = BC$3) *
(Table_BangLuong_TyLeTangCa[Giờ min]&lt;=$AA29) *
(Table_BangLuong_TyLeTangCa[Giờ max]&gt;$AA29)
)))),
IF(AND($AA29-$Z$4 &gt;= BC$5,$AA29 &lt; BC$4),0,
SUM(_xlfn._xlws.FILTER(Table_BangLuong_TyLeTangCa[Tỷ lệ],
(Table_BangLuong_TyLeTangCa[Ngày] = BC$3) *
(Table_BangLuong_TyLeTangCa[Giờ min]&lt;=$AA29) *
(Table_BangLuong_TyLeTangCa[Giờ max]&gt;$AA29)
))))
),
IF(ISBLANK(BC$7),
IF(VLOOKUP(BC$6, Table_ChiPhiNV_Ca[], COUNTA(Table_ChiPhiNV_Ca[[#Headers],[Ca]:[Kết thúc]]),0)&gt; VLOOKUP(BC$6, Table_ChiPhiNV_Ca[], COUNTA(Table_ChiPhiNV_Ca[[#Headers],[Ca]:[Bắt đầu]]),0),
IF($AA29-$Z$4&lt;MAX(BC$4,VLOOKUP(BC$6, Table_ChiPhiNV_Ca[], COUNTA(Table_ChiPhiNV_Ca[[#Headers],[Ca]:[Bắt đầu]]),0)),0,
IF($AA29&gt;MIN(BC$5,VLOOKUP(BC$6, Table_ChiPhiNV_Ca[], COUNTA(Table_ChiPhiNV_Ca[[#Headers],[Ca]:[Kết thúc]]),0)),0,
SUM(_xlfn._xlws.FILTER(Table_BangLuong_TyLeTangCa[Tỷ lệ],
(Table_BangLuong_TyLeTangCa[Ngày] = "Thường") *
(Table_BangLuong_TyLeTangCa[Giờ min]&lt;=$AA29) *
(Table_BangLuong_TyLeTangCa[Giờ max]&gt;$AA29)
)))),
IF(BC$4 &gt; BC$5,
IF(
AND(
$AA29-$Z$4&lt;MAX(BC$4,VLOOKUP(BC$6, Table_ChiPhiNV_Ca[], COUNTA(Table_ChiPhiNV_Ca[[#Headers],[Ca]:[Bắt đầu]]),0)),
$AA29&gt;MIN(BC$5,VLOOKUP(BC$6, Table_ChiPhiNV_Ca[], COUNTA(Table_ChiPhiNV_Ca[[#Headers],[Ca]:[Kết thúc]]),0))),0,
SUM(_xlfn._xlws.FILTER(Table_BangLuong_TyLeTangCa[Tỷ lệ],
(Table_BangLuong_TyLeTangCa[Ngày] = "Thường") *
(Table_BangLuong_TyLeTangCa[Giờ min]&lt;=$AA29) *
(Table_BangLuong_TyLeTangCa[Giờ max]&gt;$AA29)
))),
IF(
AND(
$AA29-$Z$4&gt;=MAX(BC$4,VLOOKUP(BC$6, Table_ChiPhiNV_Ca[], COUNTA(Table_ChiPhiNV_Ca[[#Headers],[Ca]:[Bắt đầu]]),0)),
$AA29&lt;MIN(BC$5,VLOOKUP(BC$6, Table_ChiPhiNV_Ca[], COUNTA(Table_ChiPhiNV_Ca[[#Headers],[Ca]:[Kết thúc]]),0))),
SUM(_xlfn._xlws.FILTER(Table_BangLuong_TyLeTangCa[Tỷ lệ],
(Table_BangLuong_TyLeTangCa[Ngày] = "Thường") *
(Table_BangLuong_TyLeTangCa[Giờ min]&lt;=$AA29) *
(Table_BangLuong_TyLeTangCa[Giờ max]&gt;$AA29)
)),0)
)),
IF(BC$4 &lt; BC$5,
IF($AA29-$Z$4&lt;BC$4,0,
IF($AA29&gt;BC$5,0,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BC$5,$AA29 &lt; BC$4),0,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D29" s="18" cm="1">
        <f t="array" ref="BD29" xml:space="preserve">
IFERROR(
IF(BD$1="",0,
IF(AND(
$AA29&gt;=VLOOKUP(BD$6, Table_ChiPhiNV_Ca[], COUNTA(Table_ChiPhiNV_Ca[[#Headers],[Ca]:[Bắt đầu nghỉ]]),0),
$AA29&lt;VLOOKUP(BD$6, Table_ChiPhiNV_Ca[], COUNTA(Table_ChiPhiNV_Ca[[#Headers],[Ca]:[Kết thúc nghỉ]]),0)
),0,
IF(NOT(ISBLANK(BD$3)),
IF(ISBLANK(BD$7),0,
IF(BD$4 &lt; BD$5,
IF($AA29-$Z$4&lt;BD$4,0,
IF($AA29&gt;BD$5,0,
SUM(_xlfn._xlws.FILTER(Table_BangLuong_TyLeTangCa[Tỷ lệ],
(Table_BangLuong_TyLeTangCa[Ngày] = BD$3) *
(Table_BangLuong_TyLeTangCa[Giờ min]&lt;=$AA29) *
(Table_BangLuong_TyLeTangCa[Giờ max]&gt;$AA29)
)))),
IF(AND($AA29-$Z$4 &gt;= BD$5,$AA29 &lt; BD$4),0,
SUM(_xlfn._xlws.FILTER(Table_BangLuong_TyLeTangCa[Tỷ lệ],
(Table_BangLuong_TyLeTangCa[Ngày] = BD$3) *
(Table_BangLuong_TyLeTangCa[Giờ min]&lt;=$AA29) *
(Table_BangLuong_TyLeTangCa[Giờ max]&gt;$AA29)
))))
),
IF(ISBLANK(BD$7),
IF(VLOOKUP(BD$6, Table_ChiPhiNV_Ca[], COUNTA(Table_ChiPhiNV_Ca[[#Headers],[Ca]:[Kết thúc]]),0)&gt; VLOOKUP(BD$6, Table_ChiPhiNV_Ca[], COUNTA(Table_ChiPhiNV_Ca[[#Headers],[Ca]:[Bắt đầu]]),0),
IF($AA29-$Z$4&lt;MAX(BD$4,VLOOKUP(BD$6, Table_ChiPhiNV_Ca[], COUNTA(Table_ChiPhiNV_Ca[[#Headers],[Ca]:[Bắt đầu]]),0)),0,
IF($AA29&gt;MIN(BD$5,VLOOKUP(BD$6, Table_ChiPhiNV_Ca[], COUNTA(Table_ChiPhiNV_Ca[[#Headers],[Ca]:[Kết thúc]]),0)),0,
SUM(_xlfn._xlws.FILTER(Table_BangLuong_TyLeTangCa[Tỷ lệ],
(Table_BangLuong_TyLeTangCa[Ngày] = "Thường") *
(Table_BangLuong_TyLeTangCa[Giờ min]&lt;=$AA29) *
(Table_BangLuong_TyLeTangCa[Giờ max]&gt;$AA29)
)))),
IF(BD$4 &gt; BD$5,
IF(
AND(
$AA29-$Z$4&lt;MAX(BD$4,VLOOKUP(BD$6, Table_ChiPhiNV_Ca[], COUNTA(Table_ChiPhiNV_Ca[[#Headers],[Ca]:[Bắt đầu]]),0)),
$AA29&gt;MIN(BD$5,VLOOKUP(BD$6, Table_ChiPhiNV_Ca[], COUNTA(Table_ChiPhiNV_Ca[[#Headers],[Ca]:[Kết thúc]]),0))),0,
SUM(_xlfn._xlws.FILTER(Table_BangLuong_TyLeTangCa[Tỷ lệ],
(Table_BangLuong_TyLeTangCa[Ngày] = "Thường") *
(Table_BangLuong_TyLeTangCa[Giờ min]&lt;=$AA29) *
(Table_BangLuong_TyLeTangCa[Giờ max]&gt;$AA29)
))),
IF(
AND(
$AA29-$Z$4&gt;=MAX(BD$4,VLOOKUP(BD$6, Table_ChiPhiNV_Ca[], COUNTA(Table_ChiPhiNV_Ca[[#Headers],[Ca]:[Bắt đầu]]),0)),
$AA29&lt;MIN(BD$5,VLOOKUP(BD$6, Table_ChiPhiNV_Ca[], COUNTA(Table_ChiPhiNV_Ca[[#Headers],[Ca]:[Kết thúc]]),0))),
SUM(_xlfn._xlws.FILTER(Table_BangLuong_TyLeTangCa[Tỷ lệ],
(Table_BangLuong_TyLeTangCa[Ngày] = "Thường") *
(Table_BangLuong_TyLeTangCa[Giờ min]&lt;=$AA29) *
(Table_BangLuong_TyLeTangCa[Giờ max]&gt;$AA29)
)),0)
)),
IF(BD$4 &lt; BD$5,
IF($AA29-$Z$4&lt;BD$4,0,
IF($AA29&gt;BD$5,0,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BD$5,$AA29 &lt; BD$4),0,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E29" s="18" cm="1">
        <f t="array" ref="BE29" xml:space="preserve">
IFERROR(
IF(BE$1="",0,
IF(AND(
$AA29&gt;=VLOOKUP(BE$6, Table_ChiPhiNV_Ca[], COUNTA(Table_ChiPhiNV_Ca[[#Headers],[Ca]:[Bắt đầu nghỉ]]),0),
$AA29&lt;VLOOKUP(BE$6, Table_ChiPhiNV_Ca[], COUNTA(Table_ChiPhiNV_Ca[[#Headers],[Ca]:[Kết thúc nghỉ]]),0)
),0,
IF(NOT(ISBLANK(BE$3)),
IF(ISBLANK(BE$7),0,
IF(BE$4 &lt; BE$5,
IF($AA29-$Z$4&lt;BE$4,0,
IF($AA29&gt;BE$5,0,
SUM(_xlfn._xlws.FILTER(Table_BangLuong_TyLeTangCa[Tỷ lệ],
(Table_BangLuong_TyLeTangCa[Ngày] = BE$3) *
(Table_BangLuong_TyLeTangCa[Giờ min]&lt;=$AA29) *
(Table_BangLuong_TyLeTangCa[Giờ max]&gt;$AA29)
)))),
IF(AND($AA29-$Z$4 &gt;= BE$5,$AA29 &lt; BE$4),0,
SUM(_xlfn._xlws.FILTER(Table_BangLuong_TyLeTangCa[Tỷ lệ],
(Table_BangLuong_TyLeTangCa[Ngày] = BE$3) *
(Table_BangLuong_TyLeTangCa[Giờ min]&lt;=$AA29) *
(Table_BangLuong_TyLeTangCa[Giờ max]&gt;$AA29)
))))
),
IF(ISBLANK(BE$7),
IF(VLOOKUP(BE$6, Table_ChiPhiNV_Ca[], COUNTA(Table_ChiPhiNV_Ca[[#Headers],[Ca]:[Kết thúc]]),0)&gt; VLOOKUP(BE$6, Table_ChiPhiNV_Ca[], COUNTA(Table_ChiPhiNV_Ca[[#Headers],[Ca]:[Bắt đầu]]),0),
IF($AA29-$Z$4&lt;MAX(BE$4,VLOOKUP(BE$6, Table_ChiPhiNV_Ca[], COUNTA(Table_ChiPhiNV_Ca[[#Headers],[Ca]:[Bắt đầu]]),0)),0,
IF($AA29&gt;MIN(BE$5,VLOOKUP(BE$6, Table_ChiPhiNV_Ca[], COUNTA(Table_ChiPhiNV_Ca[[#Headers],[Ca]:[Kết thúc]]),0)),0,
SUM(_xlfn._xlws.FILTER(Table_BangLuong_TyLeTangCa[Tỷ lệ],
(Table_BangLuong_TyLeTangCa[Ngày] = "Thường") *
(Table_BangLuong_TyLeTangCa[Giờ min]&lt;=$AA29) *
(Table_BangLuong_TyLeTangCa[Giờ max]&gt;$AA29)
)))),
IF(BE$4 &gt; BE$5,
IF(
AND(
$AA29-$Z$4&lt;MAX(BE$4,VLOOKUP(BE$6, Table_ChiPhiNV_Ca[], COUNTA(Table_ChiPhiNV_Ca[[#Headers],[Ca]:[Bắt đầu]]),0)),
$AA29&gt;MIN(BE$5,VLOOKUP(BE$6, Table_ChiPhiNV_Ca[], COUNTA(Table_ChiPhiNV_Ca[[#Headers],[Ca]:[Kết thúc]]),0))),0,
SUM(_xlfn._xlws.FILTER(Table_BangLuong_TyLeTangCa[Tỷ lệ],
(Table_BangLuong_TyLeTangCa[Ngày] = "Thường") *
(Table_BangLuong_TyLeTangCa[Giờ min]&lt;=$AA29) *
(Table_BangLuong_TyLeTangCa[Giờ max]&gt;$AA29)
))),
IF(
AND(
$AA29-$Z$4&gt;=MAX(BE$4,VLOOKUP(BE$6, Table_ChiPhiNV_Ca[], COUNTA(Table_ChiPhiNV_Ca[[#Headers],[Ca]:[Bắt đầu]]),0)),
$AA29&lt;MIN(BE$5,VLOOKUP(BE$6, Table_ChiPhiNV_Ca[], COUNTA(Table_ChiPhiNV_Ca[[#Headers],[Ca]:[Kết thúc]]),0))),
SUM(_xlfn._xlws.FILTER(Table_BangLuong_TyLeTangCa[Tỷ lệ],
(Table_BangLuong_TyLeTangCa[Ngày] = "Thường") *
(Table_BangLuong_TyLeTangCa[Giờ min]&lt;=$AA29) *
(Table_BangLuong_TyLeTangCa[Giờ max]&gt;$AA29)
)),0)
)),
IF(BE$4 &lt; BE$5,
IF($AA29-$Z$4&lt;BE$4,0,
IF($AA29&gt;BE$5,0,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BE$5,$AA29 &lt; BE$4),0,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F29" s="18" cm="1">
        <f t="array" ref="BF29" xml:space="preserve">
IFERROR(
IF(BF$1="",0,
IF(AND(
$AA29&gt;=VLOOKUP(BF$6, Table_ChiPhiNV_Ca[], COUNTA(Table_ChiPhiNV_Ca[[#Headers],[Ca]:[Bắt đầu nghỉ]]),0),
$AA29&lt;VLOOKUP(BF$6, Table_ChiPhiNV_Ca[], COUNTA(Table_ChiPhiNV_Ca[[#Headers],[Ca]:[Kết thúc nghỉ]]),0)
),0,
IF(NOT(ISBLANK(BF$3)),
IF(ISBLANK(BF$7),0,
IF(BF$4 &lt; BF$5,
IF($AA29-$Z$4&lt;BF$4,0,
IF($AA29&gt;BF$5,0,
SUM(_xlfn._xlws.FILTER(Table_BangLuong_TyLeTangCa[Tỷ lệ],
(Table_BangLuong_TyLeTangCa[Ngày] = BF$3) *
(Table_BangLuong_TyLeTangCa[Giờ min]&lt;=$AA29) *
(Table_BangLuong_TyLeTangCa[Giờ max]&gt;$AA29)
)))),
IF(AND($AA29-$Z$4 &gt;= BF$5,$AA29 &lt; BF$4),0,
SUM(_xlfn._xlws.FILTER(Table_BangLuong_TyLeTangCa[Tỷ lệ],
(Table_BangLuong_TyLeTangCa[Ngày] = BF$3) *
(Table_BangLuong_TyLeTangCa[Giờ min]&lt;=$AA29) *
(Table_BangLuong_TyLeTangCa[Giờ max]&gt;$AA29)
))))
),
IF(ISBLANK(BF$7),
IF(VLOOKUP(BF$6, Table_ChiPhiNV_Ca[], COUNTA(Table_ChiPhiNV_Ca[[#Headers],[Ca]:[Kết thúc]]),0)&gt; VLOOKUP(BF$6, Table_ChiPhiNV_Ca[], COUNTA(Table_ChiPhiNV_Ca[[#Headers],[Ca]:[Bắt đầu]]),0),
IF($AA29-$Z$4&lt;MAX(BF$4,VLOOKUP(BF$6, Table_ChiPhiNV_Ca[], COUNTA(Table_ChiPhiNV_Ca[[#Headers],[Ca]:[Bắt đầu]]),0)),0,
IF($AA29&gt;MIN(BF$5,VLOOKUP(BF$6, Table_ChiPhiNV_Ca[], COUNTA(Table_ChiPhiNV_Ca[[#Headers],[Ca]:[Kết thúc]]),0)),0,
SUM(_xlfn._xlws.FILTER(Table_BangLuong_TyLeTangCa[Tỷ lệ],
(Table_BangLuong_TyLeTangCa[Ngày] = "Thường") *
(Table_BangLuong_TyLeTangCa[Giờ min]&lt;=$AA29) *
(Table_BangLuong_TyLeTangCa[Giờ max]&gt;$AA29)
)))),
IF(BF$4 &gt; BF$5,
IF(
AND(
$AA29-$Z$4&lt;MAX(BF$4,VLOOKUP(BF$6, Table_ChiPhiNV_Ca[], COUNTA(Table_ChiPhiNV_Ca[[#Headers],[Ca]:[Bắt đầu]]),0)),
$AA29&gt;MIN(BF$5,VLOOKUP(BF$6, Table_ChiPhiNV_Ca[], COUNTA(Table_ChiPhiNV_Ca[[#Headers],[Ca]:[Kết thúc]]),0))),0,
SUM(_xlfn._xlws.FILTER(Table_BangLuong_TyLeTangCa[Tỷ lệ],
(Table_BangLuong_TyLeTangCa[Ngày] = "Thường") *
(Table_BangLuong_TyLeTangCa[Giờ min]&lt;=$AA29) *
(Table_BangLuong_TyLeTangCa[Giờ max]&gt;$AA29)
))),
IF(
AND(
$AA29-$Z$4&gt;=MAX(BF$4,VLOOKUP(BF$6, Table_ChiPhiNV_Ca[], COUNTA(Table_ChiPhiNV_Ca[[#Headers],[Ca]:[Bắt đầu]]),0)),
$AA29&lt;MIN(BF$5,VLOOKUP(BF$6, Table_ChiPhiNV_Ca[], COUNTA(Table_ChiPhiNV_Ca[[#Headers],[Ca]:[Kết thúc]]),0))),
SUM(_xlfn._xlws.FILTER(Table_BangLuong_TyLeTangCa[Tỷ lệ],
(Table_BangLuong_TyLeTangCa[Ngày] = "Thường") *
(Table_BangLuong_TyLeTangCa[Giờ min]&lt;=$AA29) *
(Table_BangLuong_TyLeTangCa[Giờ max]&gt;$AA29)
)),0)
)),
IF(BF$4 &lt; BF$5,
IF($AA29-$Z$4&lt;BF$4,0,
IF($AA29&gt;BF$5,0,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BF$5,$AA29 &lt; BF$4),0,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row>
    <row r="30" spans="2:58" ht="18" customHeight="1" outlineLevel="1" x14ac:dyDescent="0.3">
      <c r="B30" s="11"/>
      <c r="C30" s="11"/>
      <c r="D30" s="11"/>
      <c r="E30" s="11"/>
      <c r="F30" s="11"/>
      <c r="G30" s="11"/>
      <c r="H30" s="11"/>
      <c r="I30" s="11"/>
      <c r="J30" s="11"/>
      <c r="K30" s="11"/>
      <c r="L30" s="11"/>
      <c r="M30" s="11"/>
      <c r="N30" s="11"/>
      <c r="O30" s="11"/>
      <c r="P30" s="11"/>
      <c r="Q30" s="11"/>
      <c r="R30" s="11"/>
      <c r="S30" s="11"/>
      <c r="AA30" s="50">
        <v>0.4375</v>
      </c>
      <c r="AB30" s="18" cm="1">
        <f t="array" ref="AB30" xml:space="preserve">
IFERROR(
IF(AB$1="",0,
IF(AND(
$AA30&gt;=VLOOKUP(AB$6, Table_ChiPhiNV_Ca[], COUNTA(Table_ChiPhiNV_Ca[[#Headers],[Ca]:[Bắt đầu nghỉ]]),0),
$AA30&lt;VLOOKUP(AB$6, Table_ChiPhiNV_Ca[], COUNTA(Table_ChiPhiNV_Ca[[#Headers],[Ca]:[Kết thúc nghỉ]]),0)
),0,
IF(NOT(ISBLANK(AB$3)),
IF(ISBLANK(AB$7),0,
IF(AB$4 &lt; AB$5,
IF($AA30-$Z$4&lt;AB$4,0,
IF($AA30&gt;AB$5,0,
SUM(_xlfn._xlws.FILTER(Table_BangLuong_TyLeTangCa[Tỷ lệ],
(Table_BangLuong_TyLeTangCa[Ngày] = AB$3) *
(Table_BangLuong_TyLeTangCa[Giờ min]&lt;=$AA30) *
(Table_BangLuong_TyLeTangCa[Giờ max]&gt;$AA30)
)))),
IF(AND($AA30-$Z$4 &gt;= AB$5,$AA30 &lt; AB$4),0,
SUM(_xlfn._xlws.FILTER(Table_BangLuong_TyLeTangCa[Tỷ lệ],
(Table_BangLuong_TyLeTangCa[Ngày] = AB$3) *
(Table_BangLuong_TyLeTangCa[Giờ min]&lt;=$AA30) *
(Table_BangLuong_TyLeTangCa[Giờ max]&gt;$AA30)
))))
),
IF(ISBLANK(AB$7),
IF(VLOOKUP(AB$6, Table_ChiPhiNV_Ca[], COUNTA(Table_ChiPhiNV_Ca[[#Headers],[Ca]:[Kết thúc]]),0)&gt; VLOOKUP(AB$6, Table_ChiPhiNV_Ca[], COUNTA(Table_ChiPhiNV_Ca[[#Headers],[Ca]:[Bắt đầu]]),0),
IF($AA30-$Z$4&lt;MAX(AB$4,VLOOKUP(AB$6, Table_ChiPhiNV_Ca[], COUNTA(Table_ChiPhiNV_Ca[[#Headers],[Ca]:[Bắt đầu]]),0)),0,
IF($AA30&gt;MIN(AB$5,VLOOKUP(AB$6, Table_ChiPhiNV_Ca[], COUNTA(Table_ChiPhiNV_Ca[[#Headers],[Ca]:[Kết thúc]]),0)),0,
SUM(_xlfn._xlws.FILTER(Table_BangLuong_TyLeTangCa[Tỷ lệ],
(Table_BangLuong_TyLeTangCa[Ngày] = "Thường") *
(Table_BangLuong_TyLeTangCa[Giờ min]&lt;=$AA30) *
(Table_BangLuong_TyLeTangCa[Giờ max]&gt;$AA30)
)))),
IF(AB$4 &gt; AB$5,
IF(
AND(
$AA30-$Z$4&lt;MAX(AB$4,VLOOKUP(AB$6, Table_ChiPhiNV_Ca[], COUNTA(Table_ChiPhiNV_Ca[[#Headers],[Ca]:[Bắt đầu]]),0)),
$AA30&gt;MIN(AB$5,VLOOKUP(AB$6, Table_ChiPhiNV_Ca[], COUNTA(Table_ChiPhiNV_Ca[[#Headers],[Ca]:[Kết thúc]]),0))),0,
SUM(_xlfn._xlws.FILTER(Table_BangLuong_TyLeTangCa[Tỷ lệ],
(Table_BangLuong_TyLeTangCa[Ngày] = "Thường") *
(Table_BangLuong_TyLeTangCa[Giờ min]&lt;=$AA30) *
(Table_BangLuong_TyLeTangCa[Giờ max]&gt;$AA30)
))),
IF(
AND(
$AA30-$Z$4&gt;=MAX(AB$4,VLOOKUP(AB$6, Table_ChiPhiNV_Ca[], COUNTA(Table_ChiPhiNV_Ca[[#Headers],[Ca]:[Bắt đầu]]),0)),
$AA30&lt;MIN(AB$5,VLOOKUP(AB$6, Table_ChiPhiNV_Ca[], COUNTA(Table_ChiPhiNV_Ca[[#Headers],[Ca]:[Kết thúc]]),0))),
SUM(_xlfn._xlws.FILTER(Table_BangLuong_TyLeTangCa[Tỷ lệ],
(Table_BangLuong_TyLeTangCa[Ngày] = "Thường") *
(Table_BangLuong_TyLeTangCa[Giờ min]&lt;=$AA30) *
(Table_BangLuong_TyLeTangCa[Giờ max]&gt;$AA30)
)),0)
)),
IF(AB$4 &lt; AB$5,
IF($AA30-$Z$4&lt;AB$4,0,
IF($AA30&gt;AB$5,0,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AB$5,$AA30 &lt; AB$4),0,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C30" s="18" cm="1">
        <f t="array" ref="AC30" xml:space="preserve">
IFERROR(
IF(AC$1="",0,
IF(AND(
$AA30&gt;=VLOOKUP(AC$6, Table_ChiPhiNV_Ca[], COUNTA(Table_ChiPhiNV_Ca[[#Headers],[Ca]:[Bắt đầu nghỉ]]),0),
$AA30&lt;VLOOKUP(AC$6, Table_ChiPhiNV_Ca[], COUNTA(Table_ChiPhiNV_Ca[[#Headers],[Ca]:[Kết thúc nghỉ]]),0)
),0,
IF(NOT(ISBLANK(AC$3)),
IF(ISBLANK(AC$7),0,
IF(AC$4 &lt; AC$5,
IF($AA30-$Z$4&lt;AC$4,0,
IF($AA30&gt;AC$5,0,
SUM(_xlfn._xlws.FILTER(Table_BangLuong_TyLeTangCa[Tỷ lệ],
(Table_BangLuong_TyLeTangCa[Ngày] = AC$3) *
(Table_BangLuong_TyLeTangCa[Giờ min]&lt;=$AA30) *
(Table_BangLuong_TyLeTangCa[Giờ max]&gt;$AA30)
)))),
IF(AND($AA30-$Z$4 &gt;= AC$5,$AA30 &lt; AC$4),0,
SUM(_xlfn._xlws.FILTER(Table_BangLuong_TyLeTangCa[Tỷ lệ],
(Table_BangLuong_TyLeTangCa[Ngày] = AC$3) *
(Table_BangLuong_TyLeTangCa[Giờ min]&lt;=$AA30) *
(Table_BangLuong_TyLeTangCa[Giờ max]&gt;$AA30)
))))
),
IF(ISBLANK(AC$7),
IF(VLOOKUP(AC$6, Table_ChiPhiNV_Ca[], COUNTA(Table_ChiPhiNV_Ca[[#Headers],[Ca]:[Kết thúc]]),0)&gt; VLOOKUP(AC$6, Table_ChiPhiNV_Ca[], COUNTA(Table_ChiPhiNV_Ca[[#Headers],[Ca]:[Bắt đầu]]),0),
IF($AA30-$Z$4&lt;MAX(AC$4,VLOOKUP(AC$6, Table_ChiPhiNV_Ca[], COUNTA(Table_ChiPhiNV_Ca[[#Headers],[Ca]:[Bắt đầu]]),0)),0,
IF($AA30&gt;MIN(AC$5,VLOOKUP(AC$6, Table_ChiPhiNV_Ca[], COUNTA(Table_ChiPhiNV_Ca[[#Headers],[Ca]:[Kết thúc]]),0)),0,
SUM(_xlfn._xlws.FILTER(Table_BangLuong_TyLeTangCa[Tỷ lệ],
(Table_BangLuong_TyLeTangCa[Ngày] = "Thường") *
(Table_BangLuong_TyLeTangCa[Giờ min]&lt;=$AA30) *
(Table_BangLuong_TyLeTangCa[Giờ max]&gt;$AA30)
)))),
IF(AC$4 &gt; AC$5,
IF(
AND(
$AA30-$Z$4&lt;MAX(AC$4,VLOOKUP(AC$6, Table_ChiPhiNV_Ca[], COUNTA(Table_ChiPhiNV_Ca[[#Headers],[Ca]:[Bắt đầu]]),0)),
$AA30&gt;MIN(AC$5,VLOOKUP(AC$6, Table_ChiPhiNV_Ca[], COUNTA(Table_ChiPhiNV_Ca[[#Headers],[Ca]:[Kết thúc]]),0))),0,
SUM(_xlfn._xlws.FILTER(Table_BangLuong_TyLeTangCa[Tỷ lệ],
(Table_BangLuong_TyLeTangCa[Ngày] = "Thường") *
(Table_BangLuong_TyLeTangCa[Giờ min]&lt;=$AA30) *
(Table_BangLuong_TyLeTangCa[Giờ max]&gt;$AA30)
))),
IF(
AND(
$AA30-$Z$4&gt;=MAX(AC$4,VLOOKUP(AC$6, Table_ChiPhiNV_Ca[], COUNTA(Table_ChiPhiNV_Ca[[#Headers],[Ca]:[Bắt đầu]]),0)),
$AA30&lt;MIN(AC$5,VLOOKUP(AC$6, Table_ChiPhiNV_Ca[], COUNTA(Table_ChiPhiNV_Ca[[#Headers],[Ca]:[Kết thúc]]),0))),
SUM(_xlfn._xlws.FILTER(Table_BangLuong_TyLeTangCa[Tỷ lệ],
(Table_BangLuong_TyLeTangCa[Ngày] = "Thường") *
(Table_BangLuong_TyLeTangCa[Giờ min]&lt;=$AA30) *
(Table_BangLuong_TyLeTangCa[Giờ max]&gt;$AA30)
)),0)
)),
IF(AC$4 &lt; AC$5,
IF($AA30-$Z$4&lt;AC$4,0,
IF($AA30&gt;AC$5,0,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AC$5,$AA30 &lt; AC$4),0,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D30" s="18" cm="1">
        <f t="array" ref="AD30" xml:space="preserve">
IFERROR(
IF(AD$1="",0,
IF(AND(
$AA30&gt;=VLOOKUP(AD$6, Table_ChiPhiNV_Ca[], COUNTA(Table_ChiPhiNV_Ca[[#Headers],[Ca]:[Bắt đầu nghỉ]]),0),
$AA30&lt;VLOOKUP(AD$6, Table_ChiPhiNV_Ca[], COUNTA(Table_ChiPhiNV_Ca[[#Headers],[Ca]:[Kết thúc nghỉ]]),0)
),0,
IF(NOT(ISBLANK(AD$3)),
IF(ISBLANK(AD$7),0,
IF(AD$4 &lt; AD$5,
IF($AA30-$Z$4&lt;AD$4,0,
IF($AA30&gt;AD$5,0,
SUM(_xlfn._xlws.FILTER(Table_BangLuong_TyLeTangCa[Tỷ lệ],
(Table_BangLuong_TyLeTangCa[Ngày] = AD$3) *
(Table_BangLuong_TyLeTangCa[Giờ min]&lt;=$AA30) *
(Table_BangLuong_TyLeTangCa[Giờ max]&gt;$AA30)
)))),
IF(AND($AA30-$Z$4 &gt;= AD$5,$AA30 &lt; AD$4),0,
SUM(_xlfn._xlws.FILTER(Table_BangLuong_TyLeTangCa[Tỷ lệ],
(Table_BangLuong_TyLeTangCa[Ngày] = AD$3) *
(Table_BangLuong_TyLeTangCa[Giờ min]&lt;=$AA30) *
(Table_BangLuong_TyLeTangCa[Giờ max]&gt;$AA30)
))))
),
IF(ISBLANK(AD$7),
IF(VLOOKUP(AD$6, Table_ChiPhiNV_Ca[], COUNTA(Table_ChiPhiNV_Ca[[#Headers],[Ca]:[Kết thúc]]),0)&gt; VLOOKUP(AD$6, Table_ChiPhiNV_Ca[], COUNTA(Table_ChiPhiNV_Ca[[#Headers],[Ca]:[Bắt đầu]]),0),
IF($AA30-$Z$4&lt;MAX(AD$4,VLOOKUP(AD$6, Table_ChiPhiNV_Ca[], COUNTA(Table_ChiPhiNV_Ca[[#Headers],[Ca]:[Bắt đầu]]),0)),0,
IF($AA30&gt;MIN(AD$5,VLOOKUP(AD$6, Table_ChiPhiNV_Ca[], COUNTA(Table_ChiPhiNV_Ca[[#Headers],[Ca]:[Kết thúc]]),0)),0,
SUM(_xlfn._xlws.FILTER(Table_BangLuong_TyLeTangCa[Tỷ lệ],
(Table_BangLuong_TyLeTangCa[Ngày] = "Thường") *
(Table_BangLuong_TyLeTangCa[Giờ min]&lt;=$AA30) *
(Table_BangLuong_TyLeTangCa[Giờ max]&gt;$AA30)
)))),
IF(AD$4 &gt; AD$5,
IF(
AND(
$AA30-$Z$4&lt;MAX(AD$4,VLOOKUP(AD$6, Table_ChiPhiNV_Ca[], COUNTA(Table_ChiPhiNV_Ca[[#Headers],[Ca]:[Bắt đầu]]),0)),
$AA30&gt;MIN(AD$5,VLOOKUP(AD$6, Table_ChiPhiNV_Ca[], COUNTA(Table_ChiPhiNV_Ca[[#Headers],[Ca]:[Kết thúc]]),0))),0,
SUM(_xlfn._xlws.FILTER(Table_BangLuong_TyLeTangCa[Tỷ lệ],
(Table_BangLuong_TyLeTangCa[Ngày] = "Thường") *
(Table_BangLuong_TyLeTangCa[Giờ min]&lt;=$AA30) *
(Table_BangLuong_TyLeTangCa[Giờ max]&gt;$AA30)
))),
IF(
AND(
$AA30-$Z$4&gt;=MAX(AD$4,VLOOKUP(AD$6, Table_ChiPhiNV_Ca[], COUNTA(Table_ChiPhiNV_Ca[[#Headers],[Ca]:[Bắt đầu]]),0)),
$AA30&lt;MIN(AD$5,VLOOKUP(AD$6, Table_ChiPhiNV_Ca[], COUNTA(Table_ChiPhiNV_Ca[[#Headers],[Ca]:[Kết thúc]]),0))),
SUM(_xlfn._xlws.FILTER(Table_BangLuong_TyLeTangCa[Tỷ lệ],
(Table_BangLuong_TyLeTangCa[Ngày] = "Thường") *
(Table_BangLuong_TyLeTangCa[Giờ min]&lt;=$AA30) *
(Table_BangLuong_TyLeTangCa[Giờ max]&gt;$AA30)
)),0)
)),
IF(AD$4 &lt; AD$5,
IF($AA30-$Z$4&lt;AD$4,0,
IF($AA30&gt;AD$5,0,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AD$5,$AA30 &lt; AD$4),0,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E30" s="18" cm="1">
        <f t="array" ref="AE30" xml:space="preserve">
IFERROR(
IF(AE$1="",0,
IF(AND(
$AA30&gt;=VLOOKUP(AE$6, Table_ChiPhiNV_Ca[], COUNTA(Table_ChiPhiNV_Ca[[#Headers],[Ca]:[Bắt đầu nghỉ]]),0),
$AA30&lt;VLOOKUP(AE$6, Table_ChiPhiNV_Ca[], COUNTA(Table_ChiPhiNV_Ca[[#Headers],[Ca]:[Kết thúc nghỉ]]),0)
),0,
IF(NOT(ISBLANK(AE$3)),
IF(ISBLANK(AE$7),0,
IF(AE$4 &lt; AE$5,
IF($AA30-$Z$4&lt;AE$4,0,
IF($AA30&gt;AE$5,0,
SUM(_xlfn._xlws.FILTER(Table_BangLuong_TyLeTangCa[Tỷ lệ],
(Table_BangLuong_TyLeTangCa[Ngày] = AE$3) *
(Table_BangLuong_TyLeTangCa[Giờ min]&lt;=$AA30) *
(Table_BangLuong_TyLeTangCa[Giờ max]&gt;$AA30)
)))),
IF(AND($AA30-$Z$4 &gt;= AE$5,$AA30 &lt; AE$4),0,
SUM(_xlfn._xlws.FILTER(Table_BangLuong_TyLeTangCa[Tỷ lệ],
(Table_BangLuong_TyLeTangCa[Ngày] = AE$3) *
(Table_BangLuong_TyLeTangCa[Giờ min]&lt;=$AA30) *
(Table_BangLuong_TyLeTangCa[Giờ max]&gt;$AA30)
))))
),
IF(ISBLANK(AE$7),
IF(VLOOKUP(AE$6, Table_ChiPhiNV_Ca[], COUNTA(Table_ChiPhiNV_Ca[[#Headers],[Ca]:[Kết thúc]]),0)&gt; VLOOKUP(AE$6, Table_ChiPhiNV_Ca[], COUNTA(Table_ChiPhiNV_Ca[[#Headers],[Ca]:[Bắt đầu]]),0),
IF($AA30-$Z$4&lt;MAX(AE$4,VLOOKUP(AE$6, Table_ChiPhiNV_Ca[], COUNTA(Table_ChiPhiNV_Ca[[#Headers],[Ca]:[Bắt đầu]]),0)),0,
IF($AA30&gt;MIN(AE$5,VLOOKUP(AE$6, Table_ChiPhiNV_Ca[], COUNTA(Table_ChiPhiNV_Ca[[#Headers],[Ca]:[Kết thúc]]),0)),0,
SUM(_xlfn._xlws.FILTER(Table_BangLuong_TyLeTangCa[Tỷ lệ],
(Table_BangLuong_TyLeTangCa[Ngày] = "Thường") *
(Table_BangLuong_TyLeTangCa[Giờ min]&lt;=$AA30) *
(Table_BangLuong_TyLeTangCa[Giờ max]&gt;$AA30)
)))),
IF(AE$4 &gt; AE$5,
IF(
AND(
$AA30-$Z$4&lt;MAX(AE$4,VLOOKUP(AE$6, Table_ChiPhiNV_Ca[], COUNTA(Table_ChiPhiNV_Ca[[#Headers],[Ca]:[Bắt đầu]]),0)),
$AA30&gt;MIN(AE$5,VLOOKUP(AE$6, Table_ChiPhiNV_Ca[], COUNTA(Table_ChiPhiNV_Ca[[#Headers],[Ca]:[Kết thúc]]),0))),0,
SUM(_xlfn._xlws.FILTER(Table_BangLuong_TyLeTangCa[Tỷ lệ],
(Table_BangLuong_TyLeTangCa[Ngày] = "Thường") *
(Table_BangLuong_TyLeTangCa[Giờ min]&lt;=$AA30) *
(Table_BangLuong_TyLeTangCa[Giờ max]&gt;$AA30)
))),
IF(
AND(
$AA30-$Z$4&gt;=MAX(AE$4,VLOOKUP(AE$6, Table_ChiPhiNV_Ca[], COUNTA(Table_ChiPhiNV_Ca[[#Headers],[Ca]:[Bắt đầu]]),0)),
$AA30&lt;MIN(AE$5,VLOOKUP(AE$6, Table_ChiPhiNV_Ca[], COUNTA(Table_ChiPhiNV_Ca[[#Headers],[Ca]:[Kết thúc]]),0))),
SUM(_xlfn._xlws.FILTER(Table_BangLuong_TyLeTangCa[Tỷ lệ],
(Table_BangLuong_TyLeTangCa[Ngày] = "Thường") *
(Table_BangLuong_TyLeTangCa[Giờ min]&lt;=$AA30) *
(Table_BangLuong_TyLeTangCa[Giờ max]&gt;$AA30)
)),0)
)),
IF(AE$4 &lt; AE$5,
IF($AA30-$Z$4&lt;AE$4,0,
IF($AA30&gt;AE$5,0,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AE$5,$AA30 &lt; AE$4),0,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F30" s="18" cm="1">
        <f t="array" ref="AF30" xml:space="preserve">
IFERROR(
IF(AF$1="",0,
IF(AND(
$AA30&gt;=VLOOKUP(AF$6, Table_ChiPhiNV_Ca[], COUNTA(Table_ChiPhiNV_Ca[[#Headers],[Ca]:[Bắt đầu nghỉ]]),0),
$AA30&lt;VLOOKUP(AF$6, Table_ChiPhiNV_Ca[], COUNTA(Table_ChiPhiNV_Ca[[#Headers],[Ca]:[Kết thúc nghỉ]]),0)
),0,
IF(NOT(ISBLANK(AF$3)),
IF(ISBLANK(AF$7),0,
IF(AF$4 &lt; AF$5,
IF($AA30-$Z$4&lt;AF$4,0,
IF($AA30&gt;AF$5,0,
SUM(_xlfn._xlws.FILTER(Table_BangLuong_TyLeTangCa[Tỷ lệ],
(Table_BangLuong_TyLeTangCa[Ngày] = AF$3) *
(Table_BangLuong_TyLeTangCa[Giờ min]&lt;=$AA30) *
(Table_BangLuong_TyLeTangCa[Giờ max]&gt;$AA30)
)))),
IF(AND($AA30-$Z$4 &gt;= AF$5,$AA30 &lt; AF$4),0,
SUM(_xlfn._xlws.FILTER(Table_BangLuong_TyLeTangCa[Tỷ lệ],
(Table_BangLuong_TyLeTangCa[Ngày] = AF$3) *
(Table_BangLuong_TyLeTangCa[Giờ min]&lt;=$AA30) *
(Table_BangLuong_TyLeTangCa[Giờ max]&gt;$AA30)
))))
),
IF(ISBLANK(AF$7),
IF(VLOOKUP(AF$6, Table_ChiPhiNV_Ca[], COUNTA(Table_ChiPhiNV_Ca[[#Headers],[Ca]:[Kết thúc]]),0)&gt; VLOOKUP(AF$6, Table_ChiPhiNV_Ca[], COUNTA(Table_ChiPhiNV_Ca[[#Headers],[Ca]:[Bắt đầu]]),0),
IF($AA30-$Z$4&lt;MAX(AF$4,VLOOKUP(AF$6, Table_ChiPhiNV_Ca[], COUNTA(Table_ChiPhiNV_Ca[[#Headers],[Ca]:[Bắt đầu]]),0)),0,
IF($AA30&gt;MIN(AF$5,VLOOKUP(AF$6, Table_ChiPhiNV_Ca[], COUNTA(Table_ChiPhiNV_Ca[[#Headers],[Ca]:[Kết thúc]]),0)),0,
SUM(_xlfn._xlws.FILTER(Table_BangLuong_TyLeTangCa[Tỷ lệ],
(Table_BangLuong_TyLeTangCa[Ngày] = "Thường") *
(Table_BangLuong_TyLeTangCa[Giờ min]&lt;=$AA30) *
(Table_BangLuong_TyLeTangCa[Giờ max]&gt;$AA30)
)))),
IF(AF$4 &gt; AF$5,
IF(
AND(
$AA30-$Z$4&lt;MAX(AF$4,VLOOKUP(AF$6, Table_ChiPhiNV_Ca[], COUNTA(Table_ChiPhiNV_Ca[[#Headers],[Ca]:[Bắt đầu]]),0)),
$AA30&gt;MIN(AF$5,VLOOKUP(AF$6, Table_ChiPhiNV_Ca[], COUNTA(Table_ChiPhiNV_Ca[[#Headers],[Ca]:[Kết thúc]]),0))),0,
SUM(_xlfn._xlws.FILTER(Table_BangLuong_TyLeTangCa[Tỷ lệ],
(Table_BangLuong_TyLeTangCa[Ngày] = "Thường") *
(Table_BangLuong_TyLeTangCa[Giờ min]&lt;=$AA30) *
(Table_BangLuong_TyLeTangCa[Giờ max]&gt;$AA30)
))),
IF(
AND(
$AA30-$Z$4&gt;=MAX(AF$4,VLOOKUP(AF$6, Table_ChiPhiNV_Ca[], COUNTA(Table_ChiPhiNV_Ca[[#Headers],[Ca]:[Bắt đầu]]),0)),
$AA30&lt;MIN(AF$5,VLOOKUP(AF$6, Table_ChiPhiNV_Ca[], COUNTA(Table_ChiPhiNV_Ca[[#Headers],[Ca]:[Kết thúc]]),0))),
SUM(_xlfn._xlws.FILTER(Table_BangLuong_TyLeTangCa[Tỷ lệ],
(Table_BangLuong_TyLeTangCa[Ngày] = "Thường") *
(Table_BangLuong_TyLeTangCa[Giờ min]&lt;=$AA30) *
(Table_BangLuong_TyLeTangCa[Giờ max]&gt;$AA30)
)),0)
)),
IF(AF$4 &lt; AF$5,
IF($AA30-$Z$4&lt;AF$4,0,
IF($AA30&gt;AF$5,0,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AF$5,$AA30 &lt; AF$4),0,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G30" s="18" cm="1">
        <f t="array" ref="AG30" xml:space="preserve">
IFERROR(
IF(AG$1="",0,
IF(AND(
$AA30&gt;=VLOOKUP(AG$6, Table_ChiPhiNV_Ca[], COUNTA(Table_ChiPhiNV_Ca[[#Headers],[Ca]:[Bắt đầu nghỉ]]),0),
$AA30&lt;VLOOKUP(AG$6, Table_ChiPhiNV_Ca[], COUNTA(Table_ChiPhiNV_Ca[[#Headers],[Ca]:[Kết thúc nghỉ]]),0)
),0,
IF(NOT(ISBLANK(AG$3)),
IF(ISBLANK(AG$7),0,
IF(AG$4 &lt; AG$5,
IF($AA30-$Z$4&lt;AG$4,0,
IF($AA30&gt;AG$5,0,
SUM(_xlfn._xlws.FILTER(Table_BangLuong_TyLeTangCa[Tỷ lệ],
(Table_BangLuong_TyLeTangCa[Ngày] = AG$3) *
(Table_BangLuong_TyLeTangCa[Giờ min]&lt;=$AA30) *
(Table_BangLuong_TyLeTangCa[Giờ max]&gt;$AA30)
)))),
IF(AND($AA30-$Z$4 &gt;= AG$5,$AA30 &lt; AG$4),0,
SUM(_xlfn._xlws.FILTER(Table_BangLuong_TyLeTangCa[Tỷ lệ],
(Table_BangLuong_TyLeTangCa[Ngày] = AG$3) *
(Table_BangLuong_TyLeTangCa[Giờ min]&lt;=$AA30) *
(Table_BangLuong_TyLeTangCa[Giờ max]&gt;$AA30)
))))
),
IF(ISBLANK(AG$7),
IF(VLOOKUP(AG$6, Table_ChiPhiNV_Ca[], COUNTA(Table_ChiPhiNV_Ca[[#Headers],[Ca]:[Kết thúc]]),0)&gt; VLOOKUP(AG$6, Table_ChiPhiNV_Ca[], COUNTA(Table_ChiPhiNV_Ca[[#Headers],[Ca]:[Bắt đầu]]),0),
IF($AA30-$Z$4&lt;MAX(AG$4,VLOOKUP(AG$6, Table_ChiPhiNV_Ca[], COUNTA(Table_ChiPhiNV_Ca[[#Headers],[Ca]:[Bắt đầu]]),0)),0,
IF($AA30&gt;MIN(AG$5,VLOOKUP(AG$6, Table_ChiPhiNV_Ca[], COUNTA(Table_ChiPhiNV_Ca[[#Headers],[Ca]:[Kết thúc]]),0)),0,
SUM(_xlfn._xlws.FILTER(Table_BangLuong_TyLeTangCa[Tỷ lệ],
(Table_BangLuong_TyLeTangCa[Ngày] = "Thường") *
(Table_BangLuong_TyLeTangCa[Giờ min]&lt;=$AA30) *
(Table_BangLuong_TyLeTangCa[Giờ max]&gt;$AA30)
)))),
IF(AG$4 &gt; AG$5,
IF(
AND(
$AA30-$Z$4&lt;MAX(AG$4,VLOOKUP(AG$6, Table_ChiPhiNV_Ca[], COUNTA(Table_ChiPhiNV_Ca[[#Headers],[Ca]:[Bắt đầu]]),0)),
$AA30&gt;MIN(AG$5,VLOOKUP(AG$6, Table_ChiPhiNV_Ca[], COUNTA(Table_ChiPhiNV_Ca[[#Headers],[Ca]:[Kết thúc]]),0))),0,
SUM(_xlfn._xlws.FILTER(Table_BangLuong_TyLeTangCa[Tỷ lệ],
(Table_BangLuong_TyLeTangCa[Ngày] = "Thường") *
(Table_BangLuong_TyLeTangCa[Giờ min]&lt;=$AA30) *
(Table_BangLuong_TyLeTangCa[Giờ max]&gt;$AA30)
))),
IF(
AND(
$AA30-$Z$4&gt;=MAX(AG$4,VLOOKUP(AG$6, Table_ChiPhiNV_Ca[], COUNTA(Table_ChiPhiNV_Ca[[#Headers],[Ca]:[Bắt đầu]]),0)),
$AA30&lt;MIN(AG$5,VLOOKUP(AG$6, Table_ChiPhiNV_Ca[], COUNTA(Table_ChiPhiNV_Ca[[#Headers],[Ca]:[Kết thúc]]),0))),
SUM(_xlfn._xlws.FILTER(Table_BangLuong_TyLeTangCa[Tỷ lệ],
(Table_BangLuong_TyLeTangCa[Ngày] = "Thường") *
(Table_BangLuong_TyLeTangCa[Giờ min]&lt;=$AA30) *
(Table_BangLuong_TyLeTangCa[Giờ max]&gt;$AA30)
)),0)
)),
IF(AG$4 &lt; AG$5,
IF($AA30-$Z$4&lt;AG$4,0,
IF($AA30&gt;AG$5,0,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AG$5,$AA30 &lt; AG$4),0,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H30" s="18" cm="1">
        <f t="array" ref="AH30" xml:space="preserve">
IFERROR(
IF(AH$1="",0,
IF(AND(
$AA30&gt;=VLOOKUP(AH$6, Table_ChiPhiNV_Ca[], COUNTA(Table_ChiPhiNV_Ca[[#Headers],[Ca]:[Bắt đầu nghỉ]]),0),
$AA30&lt;VLOOKUP(AH$6, Table_ChiPhiNV_Ca[], COUNTA(Table_ChiPhiNV_Ca[[#Headers],[Ca]:[Kết thúc nghỉ]]),0)
),0,
IF(NOT(ISBLANK(AH$3)),
IF(ISBLANK(AH$7),0,
IF(AH$4 &lt; AH$5,
IF($AA30-$Z$4&lt;AH$4,0,
IF($AA30&gt;AH$5,0,
SUM(_xlfn._xlws.FILTER(Table_BangLuong_TyLeTangCa[Tỷ lệ],
(Table_BangLuong_TyLeTangCa[Ngày] = AH$3) *
(Table_BangLuong_TyLeTangCa[Giờ min]&lt;=$AA30) *
(Table_BangLuong_TyLeTangCa[Giờ max]&gt;$AA30)
)))),
IF(AND($AA30-$Z$4 &gt;= AH$5,$AA30 &lt; AH$4),0,
SUM(_xlfn._xlws.FILTER(Table_BangLuong_TyLeTangCa[Tỷ lệ],
(Table_BangLuong_TyLeTangCa[Ngày] = AH$3) *
(Table_BangLuong_TyLeTangCa[Giờ min]&lt;=$AA30) *
(Table_BangLuong_TyLeTangCa[Giờ max]&gt;$AA30)
))))
),
IF(ISBLANK(AH$7),
IF(VLOOKUP(AH$6, Table_ChiPhiNV_Ca[], COUNTA(Table_ChiPhiNV_Ca[[#Headers],[Ca]:[Kết thúc]]),0)&gt; VLOOKUP(AH$6, Table_ChiPhiNV_Ca[], COUNTA(Table_ChiPhiNV_Ca[[#Headers],[Ca]:[Bắt đầu]]),0),
IF($AA30-$Z$4&lt;MAX(AH$4,VLOOKUP(AH$6, Table_ChiPhiNV_Ca[], COUNTA(Table_ChiPhiNV_Ca[[#Headers],[Ca]:[Bắt đầu]]),0)),0,
IF($AA30&gt;MIN(AH$5,VLOOKUP(AH$6, Table_ChiPhiNV_Ca[], COUNTA(Table_ChiPhiNV_Ca[[#Headers],[Ca]:[Kết thúc]]),0)),0,
SUM(_xlfn._xlws.FILTER(Table_BangLuong_TyLeTangCa[Tỷ lệ],
(Table_BangLuong_TyLeTangCa[Ngày] = "Thường") *
(Table_BangLuong_TyLeTangCa[Giờ min]&lt;=$AA30) *
(Table_BangLuong_TyLeTangCa[Giờ max]&gt;$AA30)
)))),
IF(AH$4 &gt; AH$5,
IF(
AND(
$AA30-$Z$4&lt;MAX(AH$4,VLOOKUP(AH$6, Table_ChiPhiNV_Ca[], COUNTA(Table_ChiPhiNV_Ca[[#Headers],[Ca]:[Bắt đầu]]),0)),
$AA30&gt;MIN(AH$5,VLOOKUP(AH$6, Table_ChiPhiNV_Ca[], COUNTA(Table_ChiPhiNV_Ca[[#Headers],[Ca]:[Kết thúc]]),0))),0,
SUM(_xlfn._xlws.FILTER(Table_BangLuong_TyLeTangCa[Tỷ lệ],
(Table_BangLuong_TyLeTangCa[Ngày] = "Thường") *
(Table_BangLuong_TyLeTangCa[Giờ min]&lt;=$AA30) *
(Table_BangLuong_TyLeTangCa[Giờ max]&gt;$AA30)
))),
IF(
AND(
$AA30-$Z$4&gt;=MAX(AH$4,VLOOKUP(AH$6, Table_ChiPhiNV_Ca[], COUNTA(Table_ChiPhiNV_Ca[[#Headers],[Ca]:[Bắt đầu]]),0)),
$AA30&lt;MIN(AH$5,VLOOKUP(AH$6, Table_ChiPhiNV_Ca[], COUNTA(Table_ChiPhiNV_Ca[[#Headers],[Ca]:[Kết thúc]]),0))),
SUM(_xlfn._xlws.FILTER(Table_BangLuong_TyLeTangCa[Tỷ lệ],
(Table_BangLuong_TyLeTangCa[Ngày] = "Thường") *
(Table_BangLuong_TyLeTangCa[Giờ min]&lt;=$AA30) *
(Table_BangLuong_TyLeTangCa[Giờ max]&gt;$AA30)
)),0)
)),
IF(AH$4 &lt; AH$5,
IF($AA30-$Z$4&lt;AH$4,0,
IF($AA30&gt;AH$5,0,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AH$5,$AA30 &lt; AH$4),0,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I30" s="18" cm="1">
        <f t="array" ref="AI30" xml:space="preserve">
IFERROR(
IF(AI$1="",0,
IF(AND(
$AA30&gt;=VLOOKUP(AI$6, Table_ChiPhiNV_Ca[], COUNTA(Table_ChiPhiNV_Ca[[#Headers],[Ca]:[Bắt đầu nghỉ]]),0),
$AA30&lt;VLOOKUP(AI$6, Table_ChiPhiNV_Ca[], COUNTA(Table_ChiPhiNV_Ca[[#Headers],[Ca]:[Kết thúc nghỉ]]),0)
),0,
IF(NOT(ISBLANK(AI$3)),
IF(ISBLANK(AI$7),0,
IF(AI$4 &lt; AI$5,
IF($AA30-$Z$4&lt;AI$4,0,
IF($AA30&gt;AI$5,0,
SUM(_xlfn._xlws.FILTER(Table_BangLuong_TyLeTangCa[Tỷ lệ],
(Table_BangLuong_TyLeTangCa[Ngày] = AI$3) *
(Table_BangLuong_TyLeTangCa[Giờ min]&lt;=$AA30) *
(Table_BangLuong_TyLeTangCa[Giờ max]&gt;$AA30)
)))),
IF(AND($AA30-$Z$4 &gt;= AI$5,$AA30 &lt; AI$4),0,
SUM(_xlfn._xlws.FILTER(Table_BangLuong_TyLeTangCa[Tỷ lệ],
(Table_BangLuong_TyLeTangCa[Ngày] = AI$3) *
(Table_BangLuong_TyLeTangCa[Giờ min]&lt;=$AA30) *
(Table_BangLuong_TyLeTangCa[Giờ max]&gt;$AA30)
))))
),
IF(ISBLANK(AI$7),
IF(VLOOKUP(AI$6, Table_ChiPhiNV_Ca[], COUNTA(Table_ChiPhiNV_Ca[[#Headers],[Ca]:[Kết thúc]]),0)&gt; VLOOKUP(AI$6, Table_ChiPhiNV_Ca[], COUNTA(Table_ChiPhiNV_Ca[[#Headers],[Ca]:[Bắt đầu]]),0),
IF($AA30-$Z$4&lt;MAX(AI$4,VLOOKUP(AI$6, Table_ChiPhiNV_Ca[], COUNTA(Table_ChiPhiNV_Ca[[#Headers],[Ca]:[Bắt đầu]]),0)),0,
IF($AA30&gt;MIN(AI$5,VLOOKUP(AI$6, Table_ChiPhiNV_Ca[], COUNTA(Table_ChiPhiNV_Ca[[#Headers],[Ca]:[Kết thúc]]),0)),0,
SUM(_xlfn._xlws.FILTER(Table_BangLuong_TyLeTangCa[Tỷ lệ],
(Table_BangLuong_TyLeTangCa[Ngày] = "Thường") *
(Table_BangLuong_TyLeTangCa[Giờ min]&lt;=$AA30) *
(Table_BangLuong_TyLeTangCa[Giờ max]&gt;$AA30)
)))),
IF(AI$4 &gt; AI$5,
IF(
AND(
$AA30-$Z$4&lt;MAX(AI$4,VLOOKUP(AI$6, Table_ChiPhiNV_Ca[], COUNTA(Table_ChiPhiNV_Ca[[#Headers],[Ca]:[Bắt đầu]]),0)),
$AA30&gt;MIN(AI$5,VLOOKUP(AI$6, Table_ChiPhiNV_Ca[], COUNTA(Table_ChiPhiNV_Ca[[#Headers],[Ca]:[Kết thúc]]),0))),0,
SUM(_xlfn._xlws.FILTER(Table_BangLuong_TyLeTangCa[Tỷ lệ],
(Table_BangLuong_TyLeTangCa[Ngày] = "Thường") *
(Table_BangLuong_TyLeTangCa[Giờ min]&lt;=$AA30) *
(Table_BangLuong_TyLeTangCa[Giờ max]&gt;$AA30)
))),
IF(
AND(
$AA30-$Z$4&gt;=MAX(AI$4,VLOOKUP(AI$6, Table_ChiPhiNV_Ca[], COUNTA(Table_ChiPhiNV_Ca[[#Headers],[Ca]:[Bắt đầu]]),0)),
$AA30&lt;MIN(AI$5,VLOOKUP(AI$6, Table_ChiPhiNV_Ca[], COUNTA(Table_ChiPhiNV_Ca[[#Headers],[Ca]:[Kết thúc]]),0))),
SUM(_xlfn._xlws.FILTER(Table_BangLuong_TyLeTangCa[Tỷ lệ],
(Table_BangLuong_TyLeTangCa[Ngày] = "Thường") *
(Table_BangLuong_TyLeTangCa[Giờ min]&lt;=$AA30) *
(Table_BangLuong_TyLeTangCa[Giờ max]&gt;$AA30)
)),0)
)),
IF(AI$4 &lt; AI$5,
IF($AA30-$Z$4&lt;AI$4,0,
IF($AA30&gt;AI$5,0,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AI$5,$AA30 &lt; AI$4),0,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J30" s="18" cm="1">
        <f t="array" ref="AJ30" xml:space="preserve">
IFERROR(
IF(AJ$1="",0,
IF(AND(
$AA30&gt;=VLOOKUP(AJ$6, Table_ChiPhiNV_Ca[], COUNTA(Table_ChiPhiNV_Ca[[#Headers],[Ca]:[Bắt đầu nghỉ]]),0),
$AA30&lt;VLOOKUP(AJ$6, Table_ChiPhiNV_Ca[], COUNTA(Table_ChiPhiNV_Ca[[#Headers],[Ca]:[Kết thúc nghỉ]]),0)
),0,
IF(NOT(ISBLANK(AJ$3)),
IF(ISBLANK(AJ$7),0,
IF(AJ$4 &lt; AJ$5,
IF($AA30-$Z$4&lt;AJ$4,0,
IF($AA30&gt;AJ$5,0,
SUM(_xlfn._xlws.FILTER(Table_BangLuong_TyLeTangCa[Tỷ lệ],
(Table_BangLuong_TyLeTangCa[Ngày] = AJ$3) *
(Table_BangLuong_TyLeTangCa[Giờ min]&lt;=$AA30) *
(Table_BangLuong_TyLeTangCa[Giờ max]&gt;$AA30)
)))),
IF(AND($AA30-$Z$4 &gt;= AJ$5,$AA30 &lt; AJ$4),0,
SUM(_xlfn._xlws.FILTER(Table_BangLuong_TyLeTangCa[Tỷ lệ],
(Table_BangLuong_TyLeTangCa[Ngày] = AJ$3) *
(Table_BangLuong_TyLeTangCa[Giờ min]&lt;=$AA30) *
(Table_BangLuong_TyLeTangCa[Giờ max]&gt;$AA30)
))))
),
IF(ISBLANK(AJ$7),
IF(VLOOKUP(AJ$6, Table_ChiPhiNV_Ca[], COUNTA(Table_ChiPhiNV_Ca[[#Headers],[Ca]:[Kết thúc]]),0)&gt; VLOOKUP(AJ$6, Table_ChiPhiNV_Ca[], COUNTA(Table_ChiPhiNV_Ca[[#Headers],[Ca]:[Bắt đầu]]),0),
IF($AA30-$Z$4&lt;MAX(AJ$4,VLOOKUP(AJ$6, Table_ChiPhiNV_Ca[], COUNTA(Table_ChiPhiNV_Ca[[#Headers],[Ca]:[Bắt đầu]]),0)),0,
IF($AA30&gt;MIN(AJ$5,VLOOKUP(AJ$6, Table_ChiPhiNV_Ca[], COUNTA(Table_ChiPhiNV_Ca[[#Headers],[Ca]:[Kết thúc]]),0)),0,
SUM(_xlfn._xlws.FILTER(Table_BangLuong_TyLeTangCa[Tỷ lệ],
(Table_BangLuong_TyLeTangCa[Ngày] = "Thường") *
(Table_BangLuong_TyLeTangCa[Giờ min]&lt;=$AA30) *
(Table_BangLuong_TyLeTangCa[Giờ max]&gt;$AA30)
)))),
IF(AJ$4 &gt; AJ$5,
IF(
AND(
$AA30-$Z$4&lt;MAX(AJ$4,VLOOKUP(AJ$6, Table_ChiPhiNV_Ca[], COUNTA(Table_ChiPhiNV_Ca[[#Headers],[Ca]:[Bắt đầu]]),0)),
$AA30&gt;MIN(AJ$5,VLOOKUP(AJ$6, Table_ChiPhiNV_Ca[], COUNTA(Table_ChiPhiNV_Ca[[#Headers],[Ca]:[Kết thúc]]),0))),0,
SUM(_xlfn._xlws.FILTER(Table_BangLuong_TyLeTangCa[Tỷ lệ],
(Table_BangLuong_TyLeTangCa[Ngày] = "Thường") *
(Table_BangLuong_TyLeTangCa[Giờ min]&lt;=$AA30) *
(Table_BangLuong_TyLeTangCa[Giờ max]&gt;$AA30)
))),
IF(
AND(
$AA30-$Z$4&gt;=MAX(AJ$4,VLOOKUP(AJ$6, Table_ChiPhiNV_Ca[], COUNTA(Table_ChiPhiNV_Ca[[#Headers],[Ca]:[Bắt đầu]]),0)),
$AA30&lt;MIN(AJ$5,VLOOKUP(AJ$6, Table_ChiPhiNV_Ca[], COUNTA(Table_ChiPhiNV_Ca[[#Headers],[Ca]:[Kết thúc]]),0))),
SUM(_xlfn._xlws.FILTER(Table_BangLuong_TyLeTangCa[Tỷ lệ],
(Table_BangLuong_TyLeTangCa[Ngày] = "Thường") *
(Table_BangLuong_TyLeTangCa[Giờ min]&lt;=$AA30) *
(Table_BangLuong_TyLeTangCa[Giờ max]&gt;$AA30)
)),0)
)),
IF(AJ$4 &lt; AJ$5,
IF($AA30-$Z$4&lt;AJ$4,0,
IF($AA30&gt;AJ$5,0,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AJ$5,$AA30 &lt; AJ$4),0,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K30" s="18" cm="1">
        <f t="array" ref="AK30" xml:space="preserve">
IFERROR(
IF(AK$1="",0,
IF(AND(
$AA30&gt;=VLOOKUP(AK$6, Table_ChiPhiNV_Ca[], COUNTA(Table_ChiPhiNV_Ca[[#Headers],[Ca]:[Bắt đầu nghỉ]]),0),
$AA30&lt;VLOOKUP(AK$6, Table_ChiPhiNV_Ca[], COUNTA(Table_ChiPhiNV_Ca[[#Headers],[Ca]:[Kết thúc nghỉ]]),0)
),0,
IF(NOT(ISBLANK(AK$3)),
IF(ISBLANK(AK$7),0,
IF(AK$4 &lt; AK$5,
IF($AA30-$Z$4&lt;AK$4,0,
IF($AA30&gt;AK$5,0,
SUM(_xlfn._xlws.FILTER(Table_BangLuong_TyLeTangCa[Tỷ lệ],
(Table_BangLuong_TyLeTangCa[Ngày] = AK$3) *
(Table_BangLuong_TyLeTangCa[Giờ min]&lt;=$AA30) *
(Table_BangLuong_TyLeTangCa[Giờ max]&gt;$AA30)
)))),
IF(AND($AA30-$Z$4 &gt;= AK$5,$AA30 &lt; AK$4),0,
SUM(_xlfn._xlws.FILTER(Table_BangLuong_TyLeTangCa[Tỷ lệ],
(Table_BangLuong_TyLeTangCa[Ngày] = AK$3) *
(Table_BangLuong_TyLeTangCa[Giờ min]&lt;=$AA30) *
(Table_BangLuong_TyLeTangCa[Giờ max]&gt;$AA30)
))))
),
IF(ISBLANK(AK$7),
IF(VLOOKUP(AK$6, Table_ChiPhiNV_Ca[], COUNTA(Table_ChiPhiNV_Ca[[#Headers],[Ca]:[Kết thúc]]),0)&gt; VLOOKUP(AK$6, Table_ChiPhiNV_Ca[], COUNTA(Table_ChiPhiNV_Ca[[#Headers],[Ca]:[Bắt đầu]]),0),
IF($AA30-$Z$4&lt;MAX(AK$4,VLOOKUP(AK$6, Table_ChiPhiNV_Ca[], COUNTA(Table_ChiPhiNV_Ca[[#Headers],[Ca]:[Bắt đầu]]),0)),0,
IF($AA30&gt;MIN(AK$5,VLOOKUP(AK$6, Table_ChiPhiNV_Ca[], COUNTA(Table_ChiPhiNV_Ca[[#Headers],[Ca]:[Kết thúc]]),0)),0,
SUM(_xlfn._xlws.FILTER(Table_BangLuong_TyLeTangCa[Tỷ lệ],
(Table_BangLuong_TyLeTangCa[Ngày] = "Thường") *
(Table_BangLuong_TyLeTangCa[Giờ min]&lt;=$AA30) *
(Table_BangLuong_TyLeTangCa[Giờ max]&gt;$AA30)
)))),
IF(AK$4 &gt; AK$5,
IF(
AND(
$AA30-$Z$4&lt;MAX(AK$4,VLOOKUP(AK$6, Table_ChiPhiNV_Ca[], COUNTA(Table_ChiPhiNV_Ca[[#Headers],[Ca]:[Bắt đầu]]),0)),
$AA30&gt;MIN(AK$5,VLOOKUP(AK$6, Table_ChiPhiNV_Ca[], COUNTA(Table_ChiPhiNV_Ca[[#Headers],[Ca]:[Kết thúc]]),0))),0,
SUM(_xlfn._xlws.FILTER(Table_BangLuong_TyLeTangCa[Tỷ lệ],
(Table_BangLuong_TyLeTangCa[Ngày] = "Thường") *
(Table_BangLuong_TyLeTangCa[Giờ min]&lt;=$AA30) *
(Table_BangLuong_TyLeTangCa[Giờ max]&gt;$AA30)
))),
IF(
AND(
$AA30-$Z$4&gt;=MAX(AK$4,VLOOKUP(AK$6, Table_ChiPhiNV_Ca[], COUNTA(Table_ChiPhiNV_Ca[[#Headers],[Ca]:[Bắt đầu]]),0)),
$AA30&lt;MIN(AK$5,VLOOKUP(AK$6, Table_ChiPhiNV_Ca[], COUNTA(Table_ChiPhiNV_Ca[[#Headers],[Ca]:[Kết thúc]]),0))),
SUM(_xlfn._xlws.FILTER(Table_BangLuong_TyLeTangCa[Tỷ lệ],
(Table_BangLuong_TyLeTangCa[Ngày] = "Thường") *
(Table_BangLuong_TyLeTangCa[Giờ min]&lt;=$AA30) *
(Table_BangLuong_TyLeTangCa[Giờ max]&gt;$AA30)
)),0)
)),
IF(AK$4 &lt; AK$5,
IF($AA30-$Z$4&lt;AK$4,0,
IF($AA30&gt;AK$5,0,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AK$5,$AA30 &lt; AK$4),0,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L30" s="18" cm="1">
        <f t="array" ref="AL30" xml:space="preserve">
IFERROR(
IF(AL$1="",0,
IF(AND(
$AA30&gt;=VLOOKUP(AL$6, Table_ChiPhiNV_Ca[], COUNTA(Table_ChiPhiNV_Ca[[#Headers],[Ca]:[Bắt đầu nghỉ]]),0),
$AA30&lt;VLOOKUP(AL$6, Table_ChiPhiNV_Ca[], COUNTA(Table_ChiPhiNV_Ca[[#Headers],[Ca]:[Kết thúc nghỉ]]),0)
),0,
IF(NOT(ISBLANK(AL$3)),
IF(ISBLANK(AL$7),0,
IF(AL$4 &lt; AL$5,
IF($AA30-$Z$4&lt;AL$4,0,
IF($AA30&gt;AL$5,0,
SUM(_xlfn._xlws.FILTER(Table_BangLuong_TyLeTangCa[Tỷ lệ],
(Table_BangLuong_TyLeTangCa[Ngày] = AL$3) *
(Table_BangLuong_TyLeTangCa[Giờ min]&lt;=$AA30) *
(Table_BangLuong_TyLeTangCa[Giờ max]&gt;$AA30)
)))),
IF(AND($AA30-$Z$4 &gt;= AL$5,$AA30 &lt; AL$4),0,
SUM(_xlfn._xlws.FILTER(Table_BangLuong_TyLeTangCa[Tỷ lệ],
(Table_BangLuong_TyLeTangCa[Ngày] = AL$3) *
(Table_BangLuong_TyLeTangCa[Giờ min]&lt;=$AA30) *
(Table_BangLuong_TyLeTangCa[Giờ max]&gt;$AA30)
))))
),
IF(ISBLANK(AL$7),
IF(VLOOKUP(AL$6, Table_ChiPhiNV_Ca[], COUNTA(Table_ChiPhiNV_Ca[[#Headers],[Ca]:[Kết thúc]]),0)&gt; VLOOKUP(AL$6, Table_ChiPhiNV_Ca[], COUNTA(Table_ChiPhiNV_Ca[[#Headers],[Ca]:[Bắt đầu]]),0),
IF($AA30-$Z$4&lt;MAX(AL$4,VLOOKUP(AL$6, Table_ChiPhiNV_Ca[], COUNTA(Table_ChiPhiNV_Ca[[#Headers],[Ca]:[Bắt đầu]]),0)),0,
IF($AA30&gt;MIN(AL$5,VLOOKUP(AL$6, Table_ChiPhiNV_Ca[], COUNTA(Table_ChiPhiNV_Ca[[#Headers],[Ca]:[Kết thúc]]),0)),0,
SUM(_xlfn._xlws.FILTER(Table_BangLuong_TyLeTangCa[Tỷ lệ],
(Table_BangLuong_TyLeTangCa[Ngày] = "Thường") *
(Table_BangLuong_TyLeTangCa[Giờ min]&lt;=$AA30) *
(Table_BangLuong_TyLeTangCa[Giờ max]&gt;$AA30)
)))),
IF(AL$4 &gt; AL$5,
IF(
AND(
$AA30-$Z$4&lt;MAX(AL$4,VLOOKUP(AL$6, Table_ChiPhiNV_Ca[], COUNTA(Table_ChiPhiNV_Ca[[#Headers],[Ca]:[Bắt đầu]]),0)),
$AA30&gt;MIN(AL$5,VLOOKUP(AL$6, Table_ChiPhiNV_Ca[], COUNTA(Table_ChiPhiNV_Ca[[#Headers],[Ca]:[Kết thúc]]),0))),0,
SUM(_xlfn._xlws.FILTER(Table_BangLuong_TyLeTangCa[Tỷ lệ],
(Table_BangLuong_TyLeTangCa[Ngày] = "Thường") *
(Table_BangLuong_TyLeTangCa[Giờ min]&lt;=$AA30) *
(Table_BangLuong_TyLeTangCa[Giờ max]&gt;$AA30)
))),
IF(
AND(
$AA30-$Z$4&gt;=MAX(AL$4,VLOOKUP(AL$6, Table_ChiPhiNV_Ca[], COUNTA(Table_ChiPhiNV_Ca[[#Headers],[Ca]:[Bắt đầu]]),0)),
$AA30&lt;MIN(AL$5,VLOOKUP(AL$6, Table_ChiPhiNV_Ca[], COUNTA(Table_ChiPhiNV_Ca[[#Headers],[Ca]:[Kết thúc]]),0))),
SUM(_xlfn._xlws.FILTER(Table_BangLuong_TyLeTangCa[Tỷ lệ],
(Table_BangLuong_TyLeTangCa[Ngày] = "Thường") *
(Table_BangLuong_TyLeTangCa[Giờ min]&lt;=$AA30) *
(Table_BangLuong_TyLeTangCa[Giờ max]&gt;$AA30)
)),0)
)),
IF(AL$4 &lt; AL$5,
IF($AA30-$Z$4&lt;AL$4,0,
IF($AA30&gt;AL$5,0,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AL$5,$AA30 &lt; AL$4),0,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M30" s="18" cm="1">
        <f t="array" ref="AM30" xml:space="preserve">
IFERROR(
IF(AM$1="",0,
IF(AND(
$AA30&gt;=VLOOKUP(AM$6, Table_ChiPhiNV_Ca[], COUNTA(Table_ChiPhiNV_Ca[[#Headers],[Ca]:[Bắt đầu nghỉ]]),0),
$AA30&lt;VLOOKUP(AM$6, Table_ChiPhiNV_Ca[], COUNTA(Table_ChiPhiNV_Ca[[#Headers],[Ca]:[Kết thúc nghỉ]]),0)
),0,
IF(NOT(ISBLANK(AM$3)),
IF(ISBLANK(AM$7),0,
IF(AM$4 &lt; AM$5,
IF($AA30-$Z$4&lt;AM$4,0,
IF($AA30&gt;AM$5,0,
SUM(_xlfn._xlws.FILTER(Table_BangLuong_TyLeTangCa[Tỷ lệ],
(Table_BangLuong_TyLeTangCa[Ngày] = AM$3) *
(Table_BangLuong_TyLeTangCa[Giờ min]&lt;=$AA30) *
(Table_BangLuong_TyLeTangCa[Giờ max]&gt;$AA30)
)))),
IF(AND($AA30-$Z$4 &gt;= AM$5,$AA30 &lt; AM$4),0,
SUM(_xlfn._xlws.FILTER(Table_BangLuong_TyLeTangCa[Tỷ lệ],
(Table_BangLuong_TyLeTangCa[Ngày] = AM$3) *
(Table_BangLuong_TyLeTangCa[Giờ min]&lt;=$AA30) *
(Table_BangLuong_TyLeTangCa[Giờ max]&gt;$AA30)
))))
),
IF(ISBLANK(AM$7),
IF(VLOOKUP(AM$6, Table_ChiPhiNV_Ca[], COUNTA(Table_ChiPhiNV_Ca[[#Headers],[Ca]:[Kết thúc]]),0)&gt; VLOOKUP(AM$6, Table_ChiPhiNV_Ca[], COUNTA(Table_ChiPhiNV_Ca[[#Headers],[Ca]:[Bắt đầu]]),0),
IF($AA30-$Z$4&lt;MAX(AM$4,VLOOKUP(AM$6, Table_ChiPhiNV_Ca[], COUNTA(Table_ChiPhiNV_Ca[[#Headers],[Ca]:[Bắt đầu]]),0)),0,
IF($AA30&gt;MIN(AM$5,VLOOKUP(AM$6, Table_ChiPhiNV_Ca[], COUNTA(Table_ChiPhiNV_Ca[[#Headers],[Ca]:[Kết thúc]]),0)),0,
SUM(_xlfn._xlws.FILTER(Table_BangLuong_TyLeTangCa[Tỷ lệ],
(Table_BangLuong_TyLeTangCa[Ngày] = "Thường") *
(Table_BangLuong_TyLeTangCa[Giờ min]&lt;=$AA30) *
(Table_BangLuong_TyLeTangCa[Giờ max]&gt;$AA30)
)))),
IF(AM$4 &gt; AM$5,
IF(
AND(
$AA30-$Z$4&lt;MAX(AM$4,VLOOKUP(AM$6, Table_ChiPhiNV_Ca[], COUNTA(Table_ChiPhiNV_Ca[[#Headers],[Ca]:[Bắt đầu]]),0)),
$AA30&gt;MIN(AM$5,VLOOKUP(AM$6, Table_ChiPhiNV_Ca[], COUNTA(Table_ChiPhiNV_Ca[[#Headers],[Ca]:[Kết thúc]]),0))),0,
SUM(_xlfn._xlws.FILTER(Table_BangLuong_TyLeTangCa[Tỷ lệ],
(Table_BangLuong_TyLeTangCa[Ngày] = "Thường") *
(Table_BangLuong_TyLeTangCa[Giờ min]&lt;=$AA30) *
(Table_BangLuong_TyLeTangCa[Giờ max]&gt;$AA30)
))),
IF(
AND(
$AA30-$Z$4&gt;=MAX(AM$4,VLOOKUP(AM$6, Table_ChiPhiNV_Ca[], COUNTA(Table_ChiPhiNV_Ca[[#Headers],[Ca]:[Bắt đầu]]),0)),
$AA30&lt;MIN(AM$5,VLOOKUP(AM$6, Table_ChiPhiNV_Ca[], COUNTA(Table_ChiPhiNV_Ca[[#Headers],[Ca]:[Kết thúc]]),0))),
SUM(_xlfn._xlws.FILTER(Table_BangLuong_TyLeTangCa[Tỷ lệ],
(Table_BangLuong_TyLeTangCa[Ngày] = "Thường") *
(Table_BangLuong_TyLeTangCa[Giờ min]&lt;=$AA30) *
(Table_BangLuong_TyLeTangCa[Giờ max]&gt;$AA30)
)),0)
)),
IF(AM$4 &lt; AM$5,
IF($AA30-$Z$4&lt;AM$4,0,
IF($AA30&gt;AM$5,0,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AM$5,$AA30 &lt; AM$4),0,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N30" s="18" cm="1">
        <f t="array" ref="AN30" xml:space="preserve">
IFERROR(
IF(AN$1="",0,
IF(AND(
$AA30&gt;=VLOOKUP(AN$6, Table_ChiPhiNV_Ca[], COUNTA(Table_ChiPhiNV_Ca[[#Headers],[Ca]:[Bắt đầu nghỉ]]),0),
$AA30&lt;VLOOKUP(AN$6, Table_ChiPhiNV_Ca[], COUNTA(Table_ChiPhiNV_Ca[[#Headers],[Ca]:[Kết thúc nghỉ]]),0)
),0,
IF(NOT(ISBLANK(AN$3)),
IF(ISBLANK(AN$7),0,
IF(AN$4 &lt; AN$5,
IF($AA30-$Z$4&lt;AN$4,0,
IF($AA30&gt;AN$5,0,
SUM(_xlfn._xlws.FILTER(Table_BangLuong_TyLeTangCa[Tỷ lệ],
(Table_BangLuong_TyLeTangCa[Ngày] = AN$3) *
(Table_BangLuong_TyLeTangCa[Giờ min]&lt;=$AA30) *
(Table_BangLuong_TyLeTangCa[Giờ max]&gt;$AA30)
)))),
IF(AND($AA30-$Z$4 &gt;= AN$5,$AA30 &lt; AN$4),0,
SUM(_xlfn._xlws.FILTER(Table_BangLuong_TyLeTangCa[Tỷ lệ],
(Table_BangLuong_TyLeTangCa[Ngày] = AN$3) *
(Table_BangLuong_TyLeTangCa[Giờ min]&lt;=$AA30) *
(Table_BangLuong_TyLeTangCa[Giờ max]&gt;$AA30)
))))
),
IF(ISBLANK(AN$7),
IF(VLOOKUP(AN$6, Table_ChiPhiNV_Ca[], COUNTA(Table_ChiPhiNV_Ca[[#Headers],[Ca]:[Kết thúc]]),0)&gt; VLOOKUP(AN$6, Table_ChiPhiNV_Ca[], COUNTA(Table_ChiPhiNV_Ca[[#Headers],[Ca]:[Bắt đầu]]),0),
IF($AA30-$Z$4&lt;MAX(AN$4,VLOOKUP(AN$6, Table_ChiPhiNV_Ca[], COUNTA(Table_ChiPhiNV_Ca[[#Headers],[Ca]:[Bắt đầu]]),0)),0,
IF($AA30&gt;MIN(AN$5,VLOOKUP(AN$6, Table_ChiPhiNV_Ca[], COUNTA(Table_ChiPhiNV_Ca[[#Headers],[Ca]:[Kết thúc]]),0)),0,
SUM(_xlfn._xlws.FILTER(Table_BangLuong_TyLeTangCa[Tỷ lệ],
(Table_BangLuong_TyLeTangCa[Ngày] = "Thường") *
(Table_BangLuong_TyLeTangCa[Giờ min]&lt;=$AA30) *
(Table_BangLuong_TyLeTangCa[Giờ max]&gt;$AA30)
)))),
IF(AN$4 &gt; AN$5,
IF(
AND(
$AA30-$Z$4&lt;MAX(AN$4,VLOOKUP(AN$6, Table_ChiPhiNV_Ca[], COUNTA(Table_ChiPhiNV_Ca[[#Headers],[Ca]:[Bắt đầu]]),0)),
$AA30&gt;MIN(AN$5,VLOOKUP(AN$6, Table_ChiPhiNV_Ca[], COUNTA(Table_ChiPhiNV_Ca[[#Headers],[Ca]:[Kết thúc]]),0))),0,
SUM(_xlfn._xlws.FILTER(Table_BangLuong_TyLeTangCa[Tỷ lệ],
(Table_BangLuong_TyLeTangCa[Ngày] = "Thường") *
(Table_BangLuong_TyLeTangCa[Giờ min]&lt;=$AA30) *
(Table_BangLuong_TyLeTangCa[Giờ max]&gt;$AA30)
))),
IF(
AND(
$AA30-$Z$4&gt;=MAX(AN$4,VLOOKUP(AN$6, Table_ChiPhiNV_Ca[], COUNTA(Table_ChiPhiNV_Ca[[#Headers],[Ca]:[Bắt đầu]]),0)),
$AA30&lt;MIN(AN$5,VLOOKUP(AN$6, Table_ChiPhiNV_Ca[], COUNTA(Table_ChiPhiNV_Ca[[#Headers],[Ca]:[Kết thúc]]),0))),
SUM(_xlfn._xlws.FILTER(Table_BangLuong_TyLeTangCa[Tỷ lệ],
(Table_BangLuong_TyLeTangCa[Ngày] = "Thường") *
(Table_BangLuong_TyLeTangCa[Giờ min]&lt;=$AA30) *
(Table_BangLuong_TyLeTangCa[Giờ max]&gt;$AA30)
)),0)
)),
IF(AN$4 &lt; AN$5,
IF($AA30-$Z$4&lt;AN$4,0,
IF($AA30&gt;AN$5,0,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AN$5,$AA30 &lt; AN$4),0,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O30" s="18" cm="1">
        <f t="array" ref="AO30" xml:space="preserve">
IFERROR(
IF(AO$1="",0,
IF(AND(
$AA30&gt;=VLOOKUP(AO$6, Table_ChiPhiNV_Ca[], COUNTA(Table_ChiPhiNV_Ca[[#Headers],[Ca]:[Bắt đầu nghỉ]]),0),
$AA30&lt;VLOOKUP(AO$6, Table_ChiPhiNV_Ca[], COUNTA(Table_ChiPhiNV_Ca[[#Headers],[Ca]:[Kết thúc nghỉ]]),0)
),0,
IF(NOT(ISBLANK(AO$3)),
IF(ISBLANK(AO$7),0,
IF(AO$4 &lt; AO$5,
IF($AA30-$Z$4&lt;AO$4,0,
IF($AA30&gt;AO$5,0,
SUM(_xlfn._xlws.FILTER(Table_BangLuong_TyLeTangCa[Tỷ lệ],
(Table_BangLuong_TyLeTangCa[Ngày] = AO$3) *
(Table_BangLuong_TyLeTangCa[Giờ min]&lt;=$AA30) *
(Table_BangLuong_TyLeTangCa[Giờ max]&gt;$AA30)
)))),
IF(AND($AA30-$Z$4 &gt;= AO$5,$AA30 &lt; AO$4),0,
SUM(_xlfn._xlws.FILTER(Table_BangLuong_TyLeTangCa[Tỷ lệ],
(Table_BangLuong_TyLeTangCa[Ngày] = AO$3) *
(Table_BangLuong_TyLeTangCa[Giờ min]&lt;=$AA30) *
(Table_BangLuong_TyLeTangCa[Giờ max]&gt;$AA30)
))))
),
IF(ISBLANK(AO$7),
IF(VLOOKUP(AO$6, Table_ChiPhiNV_Ca[], COUNTA(Table_ChiPhiNV_Ca[[#Headers],[Ca]:[Kết thúc]]),0)&gt; VLOOKUP(AO$6, Table_ChiPhiNV_Ca[], COUNTA(Table_ChiPhiNV_Ca[[#Headers],[Ca]:[Bắt đầu]]),0),
IF($AA30-$Z$4&lt;MAX(AO$4,VLOOKUP(AO$6, Table_ChiPhiNV_Ca[], COUNTA(Table_ChiPhiNV_Ca[[#Headers],[Ca]:[Bắt đầu]]),0)),0,
IF($AA30&gt;MIN(AO$5,VLOOKUP(AO$6, Table_ChiPhiNV_Ca[], COUNTA(Table_ChiPhiNV_Ca[[#Headers],[Ca]:[Kết thúc]]),0)),0,
SUM(_xlfn._xlws.FILTER(Table_BangLuong_TyLeTangCa[Tỷ lệ],
(Table_BangLuong_TyLeTangCa[Ngày] = "Thường") *
(Table_BangLuong_TyLeTangCa[Giờ min]&lt;=$AA30) *
(Table_BangLuong_TyLeTangCa[Giờ max]&gt;$AA30)
)))),
IF(AO$4 &gt; AO$5,
IF(
AND(
$AA30-$Z$4&lt;MAX(AO$4,VLOOKUP(AO$6, Table_ChiPhiNV_Ca[], COUNTA(Table_ChiPhiNV_Ca[[#Headers],[Ca]:[Bắt đầu]]),0)),
$AA30&gt;MIN(AO$5,VLOOKUP(AO$6, Table_ChiPhiNV_Ca[], COUNTA(Table_ChiPhiNV_Ca[[#Headers],[Ca]:[Kết thúc]]),0))),0,
SUM(_xlfn._xlws.FILTER(Table_BangLuong_TyLeTangCa[Tỷ lệ],
(Table_BangLuong_TyLeTangCa[Ngày] = "Thường") *
(Table_BangLuong_TyLeTangCa[Giờ min]&lt;=$AA30) *
(Table_BangLuong_TyLeTangCa[Giờ max]&gt;$AA30)
))),
IF(
AND(
$AA30-$Z$4&gt;=MAX(AO$4,VLOOKUP(AO$6, Table_ChiPhiNV_Ca[], COUNTA(Table_ChiPhiNV_Ca[[#Headers],[Ca]:[Bắt đầu]]),0)),
$AA30&lt;MIN(AO$5,VLOOKUP(AO$6, Table_ChiPhiNV_Ca[], COUNTA(Table_ChiPhiNV_Ca[[#Headers],[Ca]:[Kết thúc]]),0))),
SUM(_xlfn._xlws.FILTER(Table_BangLuong_TyLeTangCa[Tỷ lệ],
(Table_BangLuong_TyLeTangCa[Ngày] = "Thường") *
(Table_BangLuong_TyLeTangCa[Giờ min]&lt;=$AA30) *
(Table_BangLuong_TyLeTangCa[Giờ max]&gt;$AA30)
)),0)
)),
IF(AO$4 &lt; AO$5,
IF($AA30-$Z$4&lt;AO$4,0,
IF($AA30&gt;AO$5,0,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AO$5,$AA30 &lt; AO$4),0,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P30" s="18" cm="1">
        <f t="array" ref="AP30" xml:space="preserve">
IFERROR(
IF(AP$1="",0,
IF(AND(
$AA30&gt;=VLOOKUP(AP$6, Table_ChiPhiNV_Ca[], COUNTA(Table_ChiPhiNV_Ca[[#Headers],[Ca]:[Bắt đầu nghỉ]]),0),
$AA30&lt;VLOOKUP(AP$6, Table_ChiPhiNV_Ca[], COUNTA(Table_ChiPhiNV_Ca[[#Headers],[Ca]:[Kết thúc nghỉ]]),0)
),0,
IF(NOT(ISBLANK(AP$3)),
IF(ISBLANK(AP$7),0,
IF(AP$4 &lt; AP$5,
IF($AA30-$Z$4&lt;AP$4,0,
IF($AA30&gt;AP$5,0,
SUM(_xlfn._xlws.FILTER(Table_BangLuong_TyLeTangCa[Tỷ lệ],
(Table_BangLuong_TyLeTangCa[Ngày] = AP$3) *
(Table_BangLuong_TyLeTangCa[Giờ min]&lt;=$AA30) *
(Table_BangLuong_TyLeTangCa[Giờ max]&gt;$AA30)
)))),
IF(AND($AA30-$Z$4 &gt;= AP$5,$AA30 &lt; AP$4),0,
SUM(_xlfn._xlws.FILTER(Table_BangLuong_TyLeTangCa[Tỷ lệ],
(Table_BangLuong_TyLeTangCa[Ngày] = AP$3) *
(Table_BangLuong_TyLeTangCa[Giờ min]&lt;=$AA30) *
(Table_BangLuong_TyLeTangCa[Giờ max]&gt;$AA30)
))))
),
IF(ISBLANK(AP$7),
IF(VLOOKUP(AP$6, Table_ChiPhiNV_Ca[], COUNTA(Table_ChiPhiNV_Ca[[#Headers],[Ca]:[Kết thúc]]),0)&gt; VLOOKUP(AP$6, Table_ChiPhiNV_Ca[], COUNTA(Table_ChiPhiNV_Ca[[#Headers],[Ca]:[Bắt đầu]]),0),
IF($AA30-$Z$4&lt;MAX(AP$4,VLOOKUP(AP$6, Table_ChiPhiNV_Ca[], COUNTA(Table_ChiPhiNV_Ca[[#Headers],[Ca]:[Bắt đầu]]),0)),0,
IF($AA30&gt;MIN(AP$5,VLOOKUP(AP$6, Table_ChiPhiNV_Ca[], COUNTA(Table_ChiPhiNV_Ca[[#Headers],[Ca]:[Kết thúc]]),0)),0,
SUM(_xlfn._xlws.FILTER(Table_BangLuong_TyLeTangCa[Tỷ lệ],
(Table_BangLuong_TyLeTangCa[Ngày] = "Thường") *
(Table_BangLuong_TyLeTangCa[Giờ min]&lt;=$AA30) *
(Table_BangLuong_TyLeTangCa[Giờ max]&gt;$AA30)
)))),
IF(AP$4 &gt; AP$5,
IF(
AND(
$AA30-$Z$4&lt;MAX(AP$4,VLOOKUP(AP$6, Table_ChiPhiNV_Ca[], COUNTA(Table_ChiPhiNV_Ca[[#Headers],[Ca]:[Bắt đầu]]),0)),
$AA30&gt;MIN(AP$5,VLOOKUP(AP$6, Table_ChiPhiNV_Ca[], COUNTA(Table_ChiPhiNV_Ca[[#Headers],[Ca]:[Kết thúc]]),0))),0,
SUM(_xlfn._xlws.FILTER(Table_BangLuong_TyLeTangCa[Tỷ lệ],
(Table_BangLuong_TyLeTangCa[Ngày] = "Thường") *
(Table_BangLuong_TyLeTangCa[Giờ min]&lt;=$AA30) *
(Table_BangLuong_TyLeTangCa[Giờ max]&gt;$AA30)
))),
IF(
AND(
$AA30-$Z$4&gt;=MAX(AP$4,VLOOKUP(AP$6, Table_ChiPhiNV_Ca[], COUNTA(Table_ChiPhiNV_Ca[[#Headers],[Ca]:[Bắt đầu]]),0)),
$AA30&lt;MIN(AP$5,VLOOKUP(AP$6, Table_ChiPhiNV_Ca[], COUNTA(Table_ChiPhiNV_Ca[[#Headers],[Ca]:[Kết thúc]]),0))),
SUM(_xlfn._xlws.FILTER(Table_BangLuong_TyLeTangCa[Tỷ lệ],
(Table_BangLuong_TyLeTangCa[Ngày] = "Thường") *
(Table_BangLuong_TyLeTangCa[Giờ min]&lt;=$AA30) *
(Table_BangLuong_TyLeTangCa[Giờ max]&gt;$AA30)
)),0)
)),
IF(AP$4 &lt; AP$5,
IF($AA30-$Z$4&lt;AP$4,0,
IF($AA30&gt;AP$5,0,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AP$5,$AA30 &lt; AP$4),0,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Q30" s="18" cm="1">
        <f t="array" ref="AQ30" xml:space="preserve">
IFERROR(
IF(AQ$1="",0,
IF(AND(
$AA30&gt;=VLOOKUP(AQ$6, Table_ChiPhiNV_Ca[], COUNTA(Table_ChiPhiNV_Ca[[#Headers],[Ca]:[Bắt đầu nghỉ]]),0),
$AA30&lt;VLOOKUP(AQ$6, Table_ChiPhiNV_Ca[], COUNTA(Table_ChiPhiNV_Ca[[#Headers],[Ca]:[Kết thúc nghỉ]]),0)
),0,
IF(NOT(ISBLANK(AQ$3)),
IF(ISBLANK(AQ$7),0,
IF(AQ$4 &lt; AQ$5,
IF($AA30-$Z$4&lt;AQ$4,0,
IF($AA30&gt;AQ$5,0,
SUM(_xlfn._xlws.FILTER(Table_BangLuong_TyLeTangCa[Tỷ lệ],
(Table_BangLuong_TyLeTangCa[Ngày] = AQ$3) *
(Table_BangLuong_TyLeTangCa[Giờ min]&lt;=$AA30) *
(Table_BangLuong_TyLeTangCa[Giờ max]&gt;$AA30)
)))),
IF(AND($AA30-$Z$4 &gt;= AQ$5,$AA30 &lt; AQ$4),0,
SUM(_xlfn._xlws.FILTER(Table_BangLuong_TyLeTangCa[Tỷ lệ],
(Table_BangLuong_TyLeTangCa[Ngày] = AQ$3) *
(Table_BangLuong_TyLeTangCa[Giờ min]&lt;=$AA30) *
(Table_BangLuong_TyLeTangCa[Giờ max]&gt;$AA30)
))))
),
IF(ISBLANK(AQ$7),
IF(VLOOKUP(AQ$6, Table_ChiPhiNV_Ca[], COUNTA(Table_ChiPhiNV_Ca[[#Headers],[Ca]:[Kết thúc]]),0)&gt; VLOOKUP(AQ$6, Table_ChiPhiNV_Ca[], COUNTA(Table_ChiPhiNV_Ca[[#Headers],[Ca]:[Bắt đầu]]),0),
IF($AA30-$Z$4&lt;MAX(AQ$4,VLOOKUP(AQ$6, Table_ChiPhiNV_Ca[], COUNTA(Table_ChiPhiNV_Ca[[#Headers],[Ca]:[Bắt đầu]]),0)),0,
IF($AA30&gt;MIN(AQ$5,VLOOKUP(AQ$6, Table_ChiPhiNV_Ca[], COUNTA(Table_ChiPhiNV_Ca[[#Headers],[Ca]:[Kết thúc]]),0)),0,
SUM(_xlfn._xlws.FILTER(Table_BangLuong_TyLeTangCa[Tỷ lệ],
(Table_BangLuong_TyLeTangCa[Ngày] = "Thường") *
(Table_BangLuong_TyLeTangCa[Giờ min]&lt;=$AA30) *
(Table_BangLuong_TyLeTangCa[Giờ max]&gt;$AA30)
)))),
IF(AQ$4 &gt; AQ$5,
IF(
AND(
$AA30-$Z$4&lt;MAX(AQ$4,VLOOKUP(AQ$6, Table_ChiPhiNV_Ca[], COUNTA(Table_ChiPhiNV_Ca[[#Headers],[Ca]:[Bắt đầu]]),0)),
$AA30&gt;MIN(AQ$5,VLOOKUP(AQ$6, Table_ChiPhiNV_Ca[], COUNTA(Table_ChiPhiNV_Ca[[#Headers],[Ca]:[Kết thúc]]),0))),0,
SUM(_xlfn._xlws.FILTER(Table_BangLuong_TyLeTangCa[Tỷ lệ],
(Table_BangLuong_TyLeTangCa[Ngày] = "Thường") *
(Table_BangLuong_TyLeTangCa[Giờ min]&lt;=$AA30) *
(Table_BangLuong_TyLeTangCa[Giờ max]&gt;$AA30)
))),
IF(
AND(
$AA30-$Z$4&gt;=MAX(AQ$4,VLOOKUP(AQ$6, Table_ChiPhiNV_Ca[], COUNTA(Table_ChiPhiNV_Ca[[#Headers],[Ca]:[Bắt đầu]]),0)),
$AA30&lt;MIN(AQ$5,VLOOKUP(AQ$6, Table_ChiPhiNV_Ca[], COUNTA(Table_ChiPhiNV_Ca[[#Headers],[Ca]:[Kết thúc]]),0))),
SUM(_xlfn._xlws.FILTER(Table_BangLuong_TyLeTangCa[Tỷ lệ],
(Table_BangLuong_TyLeTangCa[Ngày] = "Thường") *
(Table_BangLuong_TyLeTangCa[Giờ min]&lt;=$AA30) *
(Table_BangLuong_TyLeTangCa[Giờ max]&gt;$AA30)
)),0)
)),
IF(AQ$4 &lt; AQ$5,
IF($AA30-$Z$4&lt;AQ$4,0,
IF($AA30&gt;AQ$5,0,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AQ$5,$AA30 &lt; AQ$4),0,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R30" s="18" cm="1">
        <f t="array" ref="AR30" xml:space="preserve">
IFERROR(
IF(AR$1="",0,
IF(AND(
$AA30&gt;=VLOOKUP(AR$6, Table_ChiPhiNV_Ca[], COUNTA(Table_ChiPhiNV_Ca[[#Headers],[Ca]:[Bắt đầu nghỉ]]),0),
$AA30&lt;VLOOKUP(AR$6, Table_ChiPhiNV_Ca[], COUNTA(Table_ChiPhiNV_Ca[[#Headers],[Ca]:[Kết thúc nghỉ]]),0)
),0,
IF(NOT(ISBLANK(AR$3)),
IF(ISBLANK(AR$7),0,
IF(AR$4 &lt; AR$5,
IF($AA30-$Z$4&lt;AR$4,0,
IF($AA30&gt;AR$5,0,
SUM(_xlfn._xlws.FILTER(Table_BangLuong_TyLeTangCa[Tỷ lệ],
(Table_BangLuong_TyLeTangCa[Ngày] = AR$3) *
(Table_BangLuong_TyLeTangCa[Giờ min]&lt;=$AA30) *
(Table_BangLuong_TyLeTangCa[Giờ max]&gt;$AA30)
)))),
IF(AND($AA30-$Z$4 &gt;= AR$5,$AA30 &lt; AR$4),0,
SUM(_xlfn._xlws.FILTER(Table_BangLuong_TyLeTangCa[Tỷ lệ],
(Table_BangLuong_TyLeTangCa[Ngày] = AR$3) *
(Table_BangLuong_TyLeTangCa[Giờ min]&lt;=$AA30) *
(Table_BangLuong_TyLeTangCa[Giờ max]&gt;$AA30)
))))
),
IF(ISBLANK(AR$7),
IF(VLOOKUP(AR$6, Table_ChiPhiNV_Ca[], COUNTA(Table_ChiPhiNV_Ca[[#Headers],[Ca]:[Kết thúc]]),0)&gt; VLOOKUP(AR$6, Table_ChiPhiNV_Ca[], COUNTA(Table_ChiPhiNV_Ca[[#Headers],[Ca]:[Bắt đầu]]),0),
IF($AA30-$Z$4&lt;MAX(AR$4,VLOOKUP(AR$6, Table_ChiPhiNV_Ca[], COUNTA(Table_ChiPhiNV_Ca[[#Headers],[Ca]:[Bắt đầu]]),0)),0,
IF($AA30&gt;MIN(AR$5,VLOOKUP(AR$6, Table_ChiPhiNV_Ca[], COUNTA(Table_ChiPhiNV_Ca[[#Headers],[Ca]:[Kết thúc]]),0)),0,
SUM(_xlfn._xlws.FILTER(Table_BangLuong_TyLeTangCa[Tỷ lệ],
(Table_BangLuong_TyLeTangCa[Ngày] = "Thường") *
(Table_BangLuong_TyLeTangCa[Giờ min]&lt;=$AA30) *
(Table_BangLuong_TyLeTangCa[Giờ max]&gt;$AA30)
)))),
IF(AR$4 &gt; AR$5,
IF(
AND(
$AA30-$Z$4&lt;MAX(AR$4,VLOOKUP(AR$6, Table_ChiPhiNV_Ca[], COUNTA(Table_ChiPhiNV_Ca[[#Headers],[Ca]:[Bắt đầu]]),0)),
$AA30&gt;MIN(AR$5,VLOOKUP(AR$6, Table_ChiPhiNV_Ca[], COUNTA(Table_ChiPhiNV_Ca[[#Headers],[Ca]:[Kết thúc]]),0))),0,
SUM(_xlfn._xlws.FILTER(Table_BangLuong_TyLeTangCa[Tỷ lệ],
(Table_BangLuong_TyLeTangCa[Ngày] = "Thường") *
(Table_BangLuong_TyLeTangCa[Giờ min]&lt;=$AA30) *
(Table_BangLuong_TyLeTangCa[Giờ max]&gt;$AA30)
))),
IF(
AND(
$AA30-$Z$4&gt;=MAX(AR$4,VLOOKUP(AR$6, Table_ChiPhiNV_Ca[], COUNTA(Table_ChiPhiNV_Ca[[#Headers],[Ca]:[Bắt đầu]]),0)),
$AA30&lt;MIN(AR$5,VLOOKUP(AR$6, Table_ChiPhiNV_Ca[], COUNTA(Table_ChiPhiNV_Ca[[#Headers],[Ca]:[Kết thúc]]),0))),
SUM(_xlfn._xlws.FILTER(Table_BangLuong_TyLeTangCa[Tỷ lệ],
(Table_BangLuong_TyLeTangCa[Ngày] = "Thường") *
(Table_BangLuong_TyLeTangCa[Giờ min]&lt;=$AA30) *
(Table_BangLuong_TyLeTangCa[Giờ max]&gt;$AA30)
)),0)
)),
IF(AR$4 &lt; AR$5,
IF($AA30-$Z$4&lt;AR$4,0,
IF($AA30&gt;AR$5,0,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AR$5,$AA30 &lt; AR$4),0,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S30" s="18" cm="1">
        <f t="array" ref="AS30" xml:space="preserve">
IFERROR(
IF(AS$1="",0,
IF(AND(
$AA30&gt;=VLOOKUP(AS$6, Table_ChiPhiNV_Ca[], COUNTA(Table_ChiPhiNV_Ca[[#Headers],[Ca]:[Bắt đầu nghỉ]]),0),
$AA30&lt;VLOOKUP(AS$6, Table_ChiPhiNV_Ca[], COUNTA(Table_ChiPhiNV_Ca[[#Headers],[Ca]:[Kết thúc nghỉ]]),0)
),0,
IF(NOT(ISBLANK(AS$3)),
IF(ISBLANK(AS$7),0,
IF(AS$4 &lt; AS$5,
IF($AA30-$Z$4&lt;AS$4,0,
IF($AA30&gt;AS$5,0,
SUM(_xlfn._xlws.FILTER(Table_BangLuong_TyLeTangCa[Tỷ lệ],
(Table_BangLuong_TyLeTangCa[Ngày] = AS$3) *
(Table_BangLuong_TyLeTangCa[Giờ min]&lt;=$AA30) *
(Table_BangLuong_TyLeTangCa[Giờ max]&gt;$AA30)
)))),
IF(AND($AA30-$Z$4 &gt;= AS$5,$AA30 &lt; AS$4),0,
SUM(_xlfn._xlws.FILTER(Table_BangLuong_TyLeTangCa[Tỷ lệ],
(Table_BangLuong_TyLeTangCa[Ngày] = AS$3) *
(Table_BangLuong_TyLeTangCa[Giờ min]&lt;=$AA30) *
(Table_BangLuong_TyLeTangCa[Giờ max]&gt;$AA30)
))))
),
IF(ISBLANK(AS$7),
IF(VLOOKUP(AS$6, Table_ChiPhiNV_Ca[], COUNTA(Table_ChiPhiNV_Ca[[#Headers],[Ca]:[Kết thúc]]),0)&gt; VLOOKUP(AS$6, Table_ChiPhiNV_Ca[], COUNTA(Table_ChiPhiNV_Ca[[#Headers],[Ca]:[Bắt đầu]]),0),
IF($AA30-$Z$4&lt;MAX(AS$4,VLOOKUP(AS$6, Table_ChiPhiNV_Ca[], COUNTA(Table_ChiPhiNV_Ca[[#Headers],[Ca]:[Bắt đầu]]),0)),0,
IF($AA30&gt;MIN(AS$5,VLOOKUP(AS$6, Table_ChiPhiNV_Ca[], COUNTA(Table_ChiPhiNV_Ca[[#Headers],[Ca]:[Kết thúc]]),0)),0,
SUM(_xlfn._xlws.FILTER(Table_BangLuong_TyLeTangCa[Tỷ lệ],
(Table_BangLuong_TyLeTangCa[Ngày] = "Thường") *
(Table_BangLuong_TyLeTangCa[Giờ min]&lt;=$AA30) *
(Table_BangLuong_TyLeTangCa[Giờ max]&gt;$AA30)
)))),
IF(AS$4 &gt; AS$5,
IF(
AND(
$AA30-$Z$4&lt;MAX(AS$4,VLOOKUP(AS$6, Table_ChiPhiNV_Ca[], COUNTA(Table_ChiPhiNV_Ca[[#Headers],[Ca]:[Bắt đầu]]),0)),
$AA30&gt;MIN(AS$5,VLOOKUP(AS$6, Table_ChiPhiNV_Ca[], COUNTA(Table_ChiPhiNV_Ca[[#Headers],[Ca]:[Kết thúc]]),0))),0,
SUM(_xlfn._xlws.FILTER(Table_BangLuong_TyLeTangCa[Tỷ lệ],
(Table_BangLuong_TyLeTangCa[Ngày] = "Thường") *
(Table_BangLuong_TyLeTangCa[Giờ min]&lt;=$AA30) *
(Table_BangLuong_TyLeTangCa[Giờ max]&gt;$AA30)
))),
IF(
AND(
$AA30-$Z$4&gt;=MAX(AS$4,VLOOKUP(AS$6, Table_ChiPhiNV_Ca[], COUNTA(Table_ChiPhiNV_Ca[[#Headers],[Ca]:[Bắt đầu]]),0)),
$AA30&lt;MIN(AS$5,VLOOKUP(AS$6, Table_ChiPhiNV_Ca[], COUNTA(Table_ChiPhiNV_Ca[[#Headers],[Ca]:[Kết thúc]]),0))),
SUM(_xlfn._xlws.FILTER(Table_BangLuong_TyLeTangCa[Tỷ lệ],
(Table_BangLuong_TyLeTangCa[Ngày] = "Thường") *
(Table_BangLuong_TyLeTangCa[Giờ min]&lt;=$AA30) *
(Table_BangLuong_TyLeTangCa[Giờ max]&gt;$AA30)
)),0)
)),
IF(AS$4 &lt; AS$5,
IF($AA30-$Z$4&lt;AS$4,0,
IF($AA30&gt;AS$5,0,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AS$5,$AA30 &lt; AS$4),0,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T30" s="18" cm="1">
        <f t="array" ref="AT30" xml:space="preserve">
IFERROR(
IF(AT$1="",0,
IF(AND(
$AA30&gt;=VLOOKUP(AT$6, Table_ChiPhiNV_Ca[], COUNTA(Table_ChiPhiNV_Ca[[#Headers],[Ca]:[Bắt đầu nghỉ]]),0),
$AA30&lt;VLOOKUP(AT$6, Table_ChiPhiNV_Ca[], COUNTA(Table_ChiPhiNV_Ca[[#Headers],[Ca]:[Kết thúc nghỉ]]),0)
),0,
IF(NOT(ISBLANK(AT$3)),
IF(ISBLANK(AT$7),0,
IF(AT$4 &lt; AT$5,
IF($AA30-$Z$4&lt;AT$4,0,
IF($AA30&gt;AT$5,0,
SUM(_xlfn._xlws.FILTER(Table_BangLuong_TyLeTangCa[Tỷ lệ],
(Table_BangLuong_TyLeTangCa[Ngày] = AT$3) *
(Table_BangLuong_TyLeTangCa[Giờ min]&lt;=$AA30) *
(Table_BangLuong_TyLeTangCa[Giờ max]&gt;$AA30)
)))),
IF(AND($AA30-$Z$4 &gt;= AT$5,$AA30 &lt; AT$4),0,
SUM(_xlfn._xlws.FILTER(Table_BangLuong_TyLeTangCa[Tỷ lệ],
(Table_BangLuong_TyLeTangCa[Ngày] = AT$3) *
(Table_BangLuong_TyLeTangCa[Giờ min]&lt;=$AA30) *
(Table_BangLuong_TyLeTangCa[Giờ max]&gt;$AA30)
))))
),
IF(ISBLANK(AT$7),
IF(VLOOKUP(AT$6, Table_ChiPhiNV_Ca[], COUNTA(Table_ChiPhiNV_Ca[[#Headers],[Ca]:[Kết thúc]]),0)&gt; VLOOKUP(AT$6, Table_ChiPhiNV_Ca[], COUNTA(Table_ChiPhiNV_Ca[[#Headers],[Ca]:[Bắt đầu]]),0),
IF($AA30-$Z$4&lt;MAX(AT$4,VLOOKUP(AT$6, Table_ChiPhiNV_Ca[], COUNTA(Table_ChiPhiNV_Ca[[#Headers],[Ca]:[Bắt đầu]]),0)),0,
IF($AA30&gt;MIN(AT$5,VLOOKUP(AT$6, Table_ChiPhiNV_Ca[], COUNTA(Table_ChiPhiNV_Ca[[#Headers],[Ca]:[Kết thúc]]),0)),0,
SUM(_xlfn._xlws.FILTER(Table_BangLuong_TyLeTangCa[Tỷ lệ],
(Table_BangLuong_TyLeTangCa[Ngày] = "Thường") *
(Table_BangLuong_TyLeTangCa[Giờ min]&lt;=$AA30) *
(Table_BangLuong_TyLeTangCa[Giờ max]&gt;$AA30)
)))),
IF(AT$4 &gt; AT$5,
IF(
AND(
$AA30-$Z$4&lt;MAX(AT$4,VLOOKUP(AT$6, Table_ChiPhiNV_Ca[], COUNTA(Table_ChiPhiNV_Ca[[#Headers],[Ca]:[Bắt đầu]]),0)),
$AA30&gt;MIN(AT$5,VLOOKUP(AT$6, Table_ChiPhiNV_Ca[], COUNTA(Table_ChiPhiNV_Ca[[#Headers],[Ca]:[Kết thúc]]),0))),0,
SUM(_xlfn._xlws.FILTER(Table_BangLuong_TyLeTangCa[Tỷ lệ],
(Table_BangLuong_TyLeTangCa[Ngày] = "Thường") *
(Table_BangLuong_TyLeTangCa[Giờ min]&lt;=$AA30) *
(Table_BangLuong_TyLeTangCa[Giờ max]&gt;$AA30)
))),
IF(
AND(
$AA30-$Z$4&gt;=MAX(AT$4,VLOOKUP(AT$6, Table_ChiPhiNV_Ca[], COUNTA(Table_ChiPhiNV_Ca[[#Headers],[Ca]:[Bắt đầu]]),0)),
$AA30&lt;MIN(AT$5,VLOOKUP(AT$6, Table_ChiPhiNV_Ca[], COUNTA(Table_ChiPhiNV_Ca[[#Headers],[Ca]:[Kết thúc]]),0))),
SUM(_xlfn._xlws.FILTER(Table_BangLuong_TyLeTangCa[Tỷ lệ],
(Table_BangLuong_TyLeTangCa[Ngày] = "Thường") *
(Table_BangLuong_TyLeTangCa[Giờ min]&lt;=$AA30) *
(Table_BangLuong_TyLeTangCa[Giờ max]&gt;$AA30)
)),0)
)),
IF(AT$4 &lt; AT$5,
IF($AA30-$Z$4&lt;AT$4,0,
IF($AA30&gt;AT$5,0,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AT$5,$AA30 &lt; AT$4),0,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U30" s="18" cm="1">
        <f t="array" ref="AU30" xml:space="preserve">
IFERROR(
IF(AU$1="",0,
IF(AND(
$AA30&gt;=VLOOKUP(AU$6, Table_ChiPhiNV_Ca[], COUNTA(Table_ChiPhiNV_Ca[[#Headers],[Ca]:[Bắt đầu nghỉ]]),0),
$AA30&lt;VLOOKUP(AU$6, Table_ChiPhiNV_Ca[], COUNTA(Table_ChiPhiNV_Ca[[#Headers],[Ca]:[Kết thúc nghỉ]]),0)
),0,
IF(NOT(ISBLANK(AU$3)),
IF(ISBLANK(AU$7),0,
IF(AU$4 &lt; AU$5,
IF($AA30-$Z$4&lt;AU$4,0,
IF($AA30&gt;AU$5,0,
SUM(_xlfn._xlws.FILTER(Table_BangLuong_TyLeTangCa[Tỷ lệ],
(Table_BangLuong_TyLeTangCa[Ngày] = AU$3) *
(Table_BangLuong_TyLeTangCa[Giờ min]&lt;=$AA30) *
(Table_BangLuong_TyLeTangCa[Giờ max]&gt;$AA30)
)))),
IF(AND($AA30-$Z$4 &gt;= AU$5,$AA30 &lt; AU$4),0,
SUM(_xlfn._xlws.FILTER(Table_BangLuong_TyLeTangCa[Tỷ lệ],
(Table_BangLuong_TyLeTangCa[Ngày] = AU$3) *
(Table_BangLuong_TyLeTangCa[Giờ min]&lt;=$AA30) *
(Table_BangLuong_TyLeTangCa[Giờ max]&gt;$AA30)
))))
),
IF(ISBLANK(AU$7),
IF(VLOOKUP(AU$6, Table_ChiPhiNV_Ca[], COUNTA(Table_ChiPhiNV_Ca[[#Headers],[Ca]:[Kết thúc]]),0)&gt; VLOOKUP(AU$6, Table_ChiPhiNV_Ca[], COUNTA(Table_ChiPhiNV_Ca[[#Headers],[Ca]:[Bắt đầu]]),0),
IF($AA30-$Z$4&lt;MAX(AU$4,VLOOKUP(AU$6, Table_ChiPhiNV_Ca[], COUNTA(Table_ChiPhiNV_Ca[[#Headers],[Ca]:[Bắt đầu]]),0)),0,
IF($AA30&gt;MIN(AU$5,VLOOKUP(AU$6, Table_ChiPhiNV_Ca[], COUNTA(Table_ChiPhiNV_Ca[[#Headers],[Ca]:[Kết thúc]]),0)),0,
SUM(_xlfn._xlws.FILTER(Table_BangLuong_TyLeTangCa[Tỷ lệ],
(Table_BangLuong_TyLeTangCa[Ngày] = "Thường") *
(Table_BangLuong_TyLeTangCa[Giờ min]&lt;=$AA30) *
(Table_BangLuong_TyLeTangCa[Giờ max]&gt;$AA30)
)))),
IF(AU$4 &gt; AU$5,
IF(
AND(
$AA30-$Z$4&lt;MAX(AU$4,VLOOKUP(AU$6, Table_ChiPhiNV_Ca[], COUNTA(Table_ChiPhiNV_Ca[[#Headers],[Ca]:[Bắt đầu]]),0)),
$AA30&gt;MIN(AU$5,VLOOKUP(AU$6, Table_ChiPhiNV_Ca[], COUNTA(Table_ChiPhiNV_Ca[[#Headers],[Ca]:[Kết thúc]]),0))),0,
SUM(_xlfn._xlws.FILTER(Table_BangLuong_TyLeTangCa[Tỷ lệ],
(Table_BangLuong_TyLeTangCa[Ngày] = "Thường") *
(Table_BangLuong_TyLeTangCa[Giờ min]&lt;=$AA30) *
(Table_BangLuong_TyLeTangCa[Giờ max]&gt;$AA30)
))),
IF(
AND(
$AA30-$Z$4&gt;=MAX(AU$4,VLOOKUP(AU$6, Table_ChiPhiNV_Ca[], COUNTA(Table_ChiPhiNV_Ca[[#Headers],[Ca]:[Bắt đầu]]),0)),
$AA30&lt;MIN(AU$5,VLOOKUP(AU$6, Table_ChiPhiNV_Ca[], COUNTA(Table_ChiPhiNV_Ca[[#Headers],[Ca]:[Kết thúc]]),0))),
SUM(_xlfn._xlws.FILTER(Table_BangLuong_TyLeTangCa[Tỷ lệ],
(Table_BangLuong_TyLeTangCa[Ngày] = "Thường") *
(Table_BangLuong_TyLeTangCa[Giờ min]&lt;=$AA30) *
(Table_BangLuong_TyLeTangCa[Giờ max]&gt;$AA30)
)),0)
)),
IF(AU$4 &lt; AU$5,
IF($AA30-$Z$4&lt;AU$4,0,
IF($AA30&gt;AU$5,0,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AU$5,$AA30 &lt; AU$4),0,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V30" s="18" cm="1">
        <f t="array" ref="AV30" xml:space="preserve">
IFERROR(
IF(AV$1="",0,
IF(AND(
$AA30&gt;=VLOOKUP(AV$6, Table_ChiPhiNV_Ca[], COUNTA(Table_ChiPhiNV_Ca[[#Headers],[Ca]:[Bắt đầu nghỉ]]),0),
$AA30&lt;VLOOKUP(AV$6, Table_ChiPhiNV_Ca[], COUNTA(Table_ChiPhiNV_Ca[[#Headers],[Ca]:[Kết thúc nghỉ]]),0)
),0,
IF(NOT(ISBLANK(AV$3)),
IF(ISBLANK(AV$7),0,
IF(AV$4 &lt; AV$5,
IF($AA30-$Z$4&lt;AV$4,0,
IF($AA30&gt;AV$5,0,
SUM(_xlfn._xlws.FILTER(Table_BangLuong_TyLeTangCa[Tỷ lệ],
(Table_BangLuong_TyLeTangCa[Ngày] = AV$3) *
(Table_BangLuong_TyLeTangCa[Giờ min]&lt;=$AA30) *
(Table_BangLuong_TyLeTangCa[Giờ max]&gt;$AA30)
)))),
IF(AND($AA30-$Z$4 &gt;= AV$5,$AA30 &lt; AV$4),0,
SUM(_xlfn._xlws.FILTER(Table_BangLuong_TyLeTangCa[Tỷ lệ],
(Table_BangLuong_TyLeTangCa[Ngày] = AV$3) *
(Table_BangLuong_TyLeTangCa[Giờ min]&lt;=$AA30) *
(Table_BangLuong_TyLeTangCa[Giờ max]&gt;$AA30)
))))
),
IF(ISBLANK(AV$7),
IF(VLOOKUP(AV$6, Table_ChiPhiNV_Ca[], COUNTA(Table_ChiPhiNV_Ca[[#Headers],[Ca]:[Kết thúc]]),0)&gt; VLOOKUP(AV$6, Table_ChiPhiNV_Ca[], COUNTA(Table_ChiPhiNV_Ca[[#Headers],[Ca]:[Bắt đầu]]),0),
IF($AA30-$Z$4&lt;MAX(AV$4,VLOOKUP(AV$6, Table_ChiPhiNV_Ca[], COUNTA(Table_ChiPhiNV_Ca[[#Headers],[Ca]:[Bắt đầu]]),0)),0,
IF($AA30&gt;MIN(AV$5,VLOOKUP(AV$6, Table_ChiPhiNV_Ca[], COUNTA(Table_ChiPhiNV_Ca[[#Headers],[Ca]:[Kết thúc]]),0)),0,
SUM(_xlfn._xlws.FILTER(Table_BangLuong_TyLeTangCa[Tỷ lệ],
(Table_BangLuong_TyLeTangCa[Ngày] = "Thường") *
(Table_BangLuong_TyLeTangCa[Giờ min]&lt;=$AA30) *
(Table_BangLuong_TyLeTangCa[Giờ max]&gt;$AA30)
)))),
IF(AV$4 &gt; AV$5,
IF(
AND(
$AA30-$Z$4&lt;MAX(AV$4,VLOOKUP(AV$6, Table_ChiPhiNV_Ca[], COUNTA(Table_ChiPhiNV_Ca[[#Headers],[Ca]:[Bắt đầu]]),0)),
$AA30&gt;MIN(AV$5,VLOOKUP(AV$6, Table_ChiPhiNV_Ca[], COUNTA(Table_ChiPhiNV_Ca[[#Headers],[Ca]:[Kết thúc]]),0))),0,
SUM(_xlfn._xlws.FILTER(Table_BangLuong_TyLeTangCa[Tỷ lệ],
(Table_BangLuong_TyLeTangCa[Ngày] = "Thường") *
(Table_BangLuong_TyLeTangCa[Giờ min]&lt;=$AA30) *
(Table_BangLuong_TyLeTangCa[Giờ max]&gt;$AA30)
))),
IF(
AND(
$AA30-$Z$4&gt;=MAX(AV$4,VLOOKUP(AV$6, Table_ChiPhiNV_Ca[], COUNTA(Table_ChiPhiNV_Ca[[#Headers],[Ca]:[Bắt đầu]]),0)),
$AA30&lt;MIN(AV$5,VLOOKUP(AV$6, Table_ChiPhiNV_Ca[], COUNTA(Table_ChiPhiNV_Ca[[#Headers],[Ca]:[Kết thúc]]),0))),
SUM(_xlfn._xlws.FILTER(Table_BangLuong_TyLeTangCa[Tỷ lệ],
(Table_BangLuong_TyLeTangCa[Ngày] = "Thường") *
(Table_BangLuong_TyLeTangCa[Giờ min]&lt;=$AA30) *
(Table_BangLuong_TyLeTangCa[Giờ max]&gt;$AA30)
)),0)
)),
IF(AV$4 &lt; AV$5,
IF($AA30-$Z$4&lt;AV$4,0,
IF($AA30&gt;AV$5,0,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AV$5,$AA30 &lt; AV$4),0,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W30" s="18" cm="1">
        <f t="array" ref="AW30" xml:space="preserve">
IFERROR(
IF(AW$1="",0,
IF(AND(
$AA30&gt;=VLOOKUP(AW$6, Table_ChiPhiNV_Ca[], COUNTA(Table_ChiPhiNV_Ca[[#Headers],[Ca]:[Bắt đầu nghỉ]]),0),
$AA30&lt;VLOOKUP(AW$6, Table_ChiPhiNV_Ca[], COUNTA(Table_ChiPhiNV_Ca[[#Headers],[Ca]:[Kết thúc nghỉ]]),0)
),0,
IF(NOT(ISBLANK(AW$3)),
IF(ISBLANK(AW$7),0,
IF(AW$4 &lt; AW$5,
IF($AA30-$Z$4&lt;AW$4,0,
IF($AA30&gt;AW$5,0,
SUM(_xlfn._xlws.FILTER(Table_BangLuong_TyLeTangCa[Tỷ lệ],
(Table_BangLuong_TyLeTangCa[Ngày] = AW$3) *
(Table_BangLuong_TyLeTangCa[Giờ min]&lt;=$AA30) *
(Table_BangLuong_TyLeTangCa[Giờ max]&gt;$AA30)
)))),
IF(AND($AA30-$Z$4 &gt;= AW$5,$AA30 &lt; AW$4),0,
SUM(_xlfn._xlws.FILTER(Table_BangLuong_TyLeTangCa[Tỷ lệ],
(Table_BangLuong_TyLeTangCa[Ngày] = AW$3) *
(Table_BangLuong_TyLeTangCa[Giờ min]&lt;=$AA30) *
(Table_BangLuong_TyLeTangCa[Giờ max]&gt;$AA30)
))))
),
IF(ISBLANK(AW$7),
IF(VLOOKUP(AW$6, Table_ChiPhiNV_Ca[], COUNTA(Table_ChiPhiNV_Ca[[#Headers],[Ca]:[Kết thúc]]),0)&gt; VLOOKUP(AW$6, Table_ChiPhiNV_Ca[], COUNTA(Table_ChiPhiNV_Ca[[#Headers],[Ca]:[Bắt đầu]]),0),
IF($AA30-$Z$4&lt;MAX(AW$4,VLOOKUP(AW$6, Table_ChiPhiNV_Ca[], COUNTA(Table_ChiPhiNV_Ca[[#Headers],[Ca]:[Bắt đầu]]),0)),0,
IF($AA30&gt;MIN(AW$5,VLOOKUP(AW$6, Table_ChiPhiNV_Ca[], COUNTA(Table_ChiPhiNV_Ca[[#Headers],[Ca]:[Kết thúc]]),0)),0,
SUM(_xlfn._xlws.FILTER(Table_BangLuong_TyLeTangCa[Tỷ lệ],
(Table_BangLuong_TyLeTangCa[Ngày] = "Thường") *
(Table_BangLuong_TyLeTangCa[Giờ min]&lt;=$AA30) *
(Table_BangLuong_TyLeTangCa[Giờ max]&gt;$AA30)
)))),
IF(AW$4 &gt; AW$5,
IF(
AND(
$AA30-$Z$4&lt;MAX(AW$4,VLOOKUP(AW$6, Table_ChiPhiNV_Ca[], COUNTA(Table_ChiPhiNV_Ca[[#Headers],[Ca]:[Bắt đầu]]),0)),
$AA30&gt;MIN(AW$5,VLOOKUP(AW$6, Table_ChiPhiNV_Ca[], COUNTA(Table_ChiPhiNV_Ca[[#Headers],[Ca]:[Kết thúc]]),0))),0,
SUM(_xlfn._xlws.FILTER(Table_BangLuong_TyLeTangCa[Tỷ lệ],
(Table_BangLuong_TyLeTangCa[Ngày] = "Thường") *
(Table_BangLuong_TyLeTangCa[Giờ min]&lt;=$AA30) *
(Table_BangLuong_TyLeTangCa[Giờ max]&gt;$AA30)
))),
IF(
AND(
$AA30-$Z$4&gt;=MAX(AW$4,VLOOKUP(AW$6, Table_ChiPhiNV_Ca[], COUNTA(Table_ChiPhiNV_Ca[[#Headers],[Ca]:[Bắt đầu]]),0)),
$AA30&lt;MIN(AW$5,VLOOKUP(AW$6, Table_ChiPhiNV_Ca[], COUNTA(Table_ChiPhiNV_Ca[[#Headers],[Ca]:[Kết thúc]]),0))),
SUM(_xlfn._xlws.FILTER(Table_BangLuong_TyLeTangCa[Tỷ lệ],
(Table_BangLuong_TyLeTangCa[Ngày] = "Thường") *
(Table_BangLuong_TyLeTangCa[Giờ min]&lt;=$AA30) *
(Table_BangLuong_TyLeTangCa[Giờ max]&gt;$AA30)
)),0)
)),
IF(AW$4 &lt; AW$5,
IF($AA30-$Z$4&lt;AW$4,0,
IF($AA30&gt;AW$5,0,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AW$5,$AA30 &lt; AW$4),0,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X30" s="18" cm="1">
        <f t="array" ref="AX30" xml:space="preserve">
IFERROR(
IF(AX$1="",0,
IF(AND(
$AA30&gt;=VLOOKUP(AX$6, Table_ChiPhiNV_Ca[], COUNTA(Table_ChiPhiNV_Ca[[#Headers],[Ca]:[Bắt đầu nghỉ]]),0),
$AA30&lt;VLOOKUP(AX$6, Table_ChiPhiNV_Ca[], COUNTA(Table_ChiPhiNV_Ca[[#Headers],[Ca]:[Kết thúc nghỉ]]),0)
),0,
IF(NOT(ISBLANK(AX$3)),
IF(ISBLANK(AX$7),0,
IF(AX$4 &lt; AX$5,
IF($AA30-$Z$4&lt;AX$4,0,
IF($AA30&gt;AX$5,0,
SUM(_xlfn._xlws.FILTER(Table_BangLuong_TyLeTangCa[Tỷ lệ],
(Table_BangLuong_TyLeTangCa[Ngày] = AX$3) *
(Table_BangLuong_TyLeTangCa[Giờ min]&lt;=$AA30) *
(Table_BangLuong_TyLeTangCa[Giờ max]&gt;$AA30)
)))),
IF(AND($AA30-$Z$4 &gt;= AX$5,$AA30 &lt; AX$4),0,
SUM(_xlfn._xlws.FILTER(Table_BangLuong_TyLeTangCa[Tỷ lệ],
(Table_BangLuong_TyLeTangCa[Ngày] = AX$3) *
(Table_BangLuong_TyLeTangCa[Giờ min]&lt;=$AA30) *
(Table_BangLuong_TyLeTangCa[Giờ max]&gt;$AA30)
))))
),
IF(ISBLANK(AX$7),
IF(VLOOKUP(AX$6, Table_ChiPhiNV_Ca[], COUNTA(Table_ChiPhiNV_Ca[[#Headers],[Ca]:[Kết thúc]]),0)&gt; VLOOKUP(AX$6, Table_ChiPhiNV_Ca[], COUNTA(Table_ChiPhiNV_Ca[[#Headers],[Ca]:[Bắt đầu]]),0),
IF($AA30-$Z$4&lt;MAX(AX$4,VLOOKUP(AX$6, Table_ChiPhiNV_Ca[], COUNTA(Table_ChiPhiNV_Ca[[#Headers],[Ca]:[Bắt đầu]]),0)),0,
IF($AA30&gt;MIN(AX$5,VLOOKUP(AX$6, Table_ChiPhiNV_Ca[], COUNTA(Table_ChiPhiNV_Ca[[#Headers],[Ca]:[Kết thúc]]),0)),0,
SUM(_xlfn._xlws.FILTER(Table_BangLuong_TyLeTangCa[Tỷ lệ],
(Table_BangLuong_TyLeTangCa[Ngày] = "Thường") *
(Table_BangLuong_TyLeTangCa[Giờ min]&lt;=$AA30) *
(Table_BangLuong_TyLeTangCa[Giờ max]&gt;$AA30)
)))),
IF(AX$4 &gt; AX$5,
IF(
AND(
$AA30-$Z$4&lt;MAX(AX$4,VLOOKUP(AX$6, Table_ChiPhiNV_Ca[], COUNTA(Table_ChiPhiNV_Ca[[#Headers],[Ca]:[Bắt đầu]]),0)),
$AA30&gt;MIN(AX$5,VLOOKUP(AX$6, Table_ChiPhiNV_Ca[], COUNTA(Table_ChiPhiNV_Ca[[#Headers],[Ca]:[Kết thúc]]),0))),0,
SUM(_xlfn._xlws.FILTER(Table_BangLuong_TyLeTangCa[Tỷ lệ],
(Table_BangLuong_TyLeTangCa[Ngày] = "Thường") *
(Table_BangLuong_TyLeTangCa[Giờ min]&lt;=$AA30) *
(Table_BangLuong_TyLeTangCa[Giờ max]&gt;$AA30)
))),
IF(
AND(
$AA30-$Z$4&gt;=MAX(AX$4,VLOOKUP(AX$6, Table_ChiPhiNV_Ca[], COUNTA(Table_ChiPhiNV_Ca[[#Headers],[Ca]:[Bắt đầu]]),0)),
$AA30&lt;MIN(AX$5,VLOOKUP(AX$6, Table_ChiPhiNV_Ca[], COUNTA(Table_ChiPhiNV_Ca[[#Headers],[Ca]:[Kết thúc]]),0))),
SUM(_xlfn._xlws.FILTER(Table_BangLuong_TyLeTangCa[Tỷ lệ],
(Table_BangLuong_TyLeTangCa[Ngày] = "Thường") *
(Table_BangLuong_TyLeTangCa[Giờ min]&lt;=$AA30) *
(Table_BangLuong_TyLeTangCa[Giờ max]&gt;$AA30)
)),0)
)),
IF(AX$4 &lt; AX$5,
IF($AA30-$Z$4&lt;AX$4,0,
IF($AA30&gt;AX$5,0,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AX$5,$AA30 &lt; AX$4),0,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Y30" s="18" cm="1">
        <f t="array" ref="AY30" xml:space="preserve">
IFERROR(
IF(AY$1="",0,
IF(AND(
$AA30&gt;=VLOOKUP(AY$6, Table_ChiPhiNV_Ca[], COUNTA(Table_ChiPhiNV_Ca[[#Headers],[Ca]:[Bắt đầu nghỉ]]),0),
$AA30&lt;VLOOKUP(AY$6, Table_ChiPhiNV_Ca[], COUNTA(Table_ChiPhiNV_Ca[[#Headers],[Ca]:[Kết thúc nghỉ]]),0)
),0,
IF(NOT(ISBLANK(AY$3)),
IF(ISBLANK(AY$7),0,
IF(AY$4 &lt; AY$5,
IF($AA30-$Z$4&lt;AY$4,0,
IF($AA30&gt;AY$5,0,
SUM(_xlfn._xlws.FILTER(Table_BangLuong_TyLeTangCa[Tỷ lệ],
(Table_BangLuong_TyLeTangCa[Ngày] = AY$3) *
(Table_BangLuong_TyLeTangCa[Giờ min]&lt;=$AA30) *
(Table_BangLuong_TyLeTangCa[Giờ max]&gt;$AA30)
)))),
IF(AND($AA30-$Z$4 &gt;= AY$5,$AA30 &lt; AY$4),0,
SUM(_xlfn._xlws.FILTER(Table_BangLuong_TyLeTangCa[Tỷ lệ],
(Table_BangLuong_TyLeTangCa[Ngày] = AY$3) *
(Table_BangLuong_TyLeTangCa[Giờ min]&lt;=$AA30) *
(Table_BangLuong_TyLeTangCa[Giờ max]&gt;$AA30)
))))
),
IF(ISBLANK(AY$7),
IF(VLOOKUP(AY$6, Table_ChiPhiNV_Ca[], COUNTA(Table_ChiPhiNV_Ca[[#Headers],[Ca]:[Kết thúc]]),0)&gt; VLOOKUP(AY$6, Table_ChiPhiNV_Ca[], COUNTA(Table_ChiPhiNV_Ca[[#Headers],[Ca]:[Bắt đầu]]),0),
IF($AA30-$Z$4&lt;MAX(AY$4,VLOOKUP(AY$6, Table_ChiPhiNV_Ca[], COUNTA(Table_ChiPhiNV_Ca[[#Headers],[Ca]:[Bắt đầu]]),0)),0,
IF($AA30&gt;MIN(AY$5,VLOOKUP(AY$6, Table_ChiPhiNV_Ca[], COUNTA(Table_ChiPhiNV_Ca[[#Headers],[Ca]:[Kết thúc]]),0)),0,
SUM(_xlfn._xlws.FILTER(Table_BangLuong_TyLeTangCa[Tỷ lệ],
(Table_BangLuong_TyLeTangCa[Ngày] = "Thường") *
(Table_BangLuong_TyLeTangCa[Giờ min]&lt;=$AA30) *
(Table_BangLuong_TyLeTangCa[Giờ max]&gt;$AA30)
)))),
IF(AY$4 &gt; AY$5,
IF(
AND(
$AA30-$Z$4&lt;MAX(AY$4,VLOOKUP(AY$6, Table_ChiPhiNV_Ca[], COUNTA(Table_ChiPhiNV_Ca[[#Headers],[Ca]:[Bắt đầu]]),0)),
$AA30&gt;MIN(AY$5,VLOOKUP(AY$6, Table_ChiPhiNV_Ca[], COUNTA(Table_ChiPhiNV_Ca[[#Headers],[Ca]:[Kết thúc]]),0))),0,
SUM(_xlfn._xlws.FILTER(Table_BangLuong_TyLeTangCa[Tỷ lệ],
(Table_BangLuong_TyLeTangCa[Ngày] = "Thường") *
(Table_BangLuong_TyLeTangCa[Giờ min]&lt;=$AA30) *
(Table_BangLuong_TyLeTangCa[Giờ max]&gt;$AA30)
))),
IF(
AND(
$AA30-$Z$4&gt;=MAX(AY$4,VLOOKUP(AY$6, Table_ChiPhiNV_Ca[], COUNTA(Table_ChiPhiNV_Ca[[#Headers],[Ca]:[Bắt đầu]]),0)),
$AA30&lt;MIN(AY$5,VLOOKUP(AY$6, Table_ChiPhiNV_Ca[], COUNTA(Table_ChiPhiNV_Ca[[#Headers],[Ca]:[Kết thúc]]),0))),
SUM(_xlfn._xlws.FILTER(Table_BangLuong_TyLeTangCa[Tỷ lệ],
(Table_BangLuong_TyLeTangCa[Ngày] = "Thường") *
(Table_BangLuong_TyLeTangCa[Giờ min]&lt;=$AA30) *
(Table_BangLuong_TyLeTangCa[Giờ max]&gt;$AA30)
)),0)
)),
IF(AY$4 &lt; AY$5,
IF($AA30-$Z$4&lt;AY$4,0,
IF($AA30&gt;AY$5,0,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AY$5,$AA30 &lt; AY$4),0,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Z30" s="18" cm="1">
        <f t="array" ref="AZ30" xml:space="preserve">
IFERROR(
IF(AZ$1="",0,
IF(AND(
$AA30&gt;=VLOOKUP(AZ$6, Table_ChiPhiNV_Ca[], COUNTA(Table_ChiPhiNV_Ca[[#Headers],[Ca]:[Bắt đầu nghỉ]]),0),
$AA30&lt;VLOOKUP(AZ$6, Table_ChiPhiNV_Ca[], COUNTA(Table_ChiPhiNV_Ca[[#Headers],[Ca]:[Kết thúc nghỉ]]),0)
),0,
IF(NOT(ISBLANK(AZ$3)),
IF(ISBLANK(AZ$7),0,
IF(AZ$4 &lt; AZ$5,
IF($AA30-$Z$4&lt;AZ$4,0,
IF($AA30&gt;AZ$5,0,
SUM(_xlfn._xlws.FILTER(Table_BangLuong_TyLeTangCa[Tỷ lệ],
(Table_BangLuong_TyLeTangCa[Ngày] = AZ$3) *
(Table_BangLuong_TyLeTangCa[Giờ min]&lt;=$AA30) *
(Table_BangLuong_TyLeTangCa[Giờ max]&gt;$AA30)
)))),
IF(AND($AA30-$Z$4 &gt;= AZ$5,$AA30 &lt; AZ$4),0,
SUM(_xlfn._xlws.FILTER(Table_BangLuong_TyLeTangCa[Tỷ lệ],
(Table_BangLuong_TyLeTangCa[Ngày] = AZ$3) *
(Table_BangLuong_TyLeTangCa[Giờ min]&lt;=$AA30) *
(Table_BangLuong_TyLeTangCa[Giờ max]&gt;$AA30)
))))
),
IF(ISBLANK(AZ$7),
IF(VLOOKUP(AZ$6, Table_ChiPhiNV_Ca[], COUNTA(Table_ChiPhiNV_Ca[[#Headers],[Ca]:[Kết thúc]]),0)&gt; VLOOKUP(AZ$6, Table_ChiPhiNV_Ca[], COUNTA(Table_ChiPhiNV_Ca[[#Headers],[Ca]:[Bắt đầu]]),0),
IF($AA30-$Z$4&lt;MAX(AZ$4,VLOOKUP(AZ$6, Table_ChiPhiNV_Ca[], COUNTA(Table_ChiPhiNV_Ca[[#Headers],[Ca]:[Bắt đầu]]),0)),0,
IF($AA30&gt;MIN(AZ$5,VLOOKUP(AZ$6, Table_ChiPhiNV_Ca[], COUNTA(Table_ChiPhiNV_Ca[[#Headers],[Ca]:[Kết thúc]]),0)),0,
SUM(_xlfn._xlws.FILTER(Table_BangLuong_TyLeTangCa[Tỷ lệ],
(Table_BangLuong_TyLeTangCa[Ngày] = "Thường") *
(Table_BangLuong_TyLeTangCa[Giờ min]&lt;=$AA30) *
(Table_BangLuong_TyLeTangCa[Giờ max]&gt;$AA30)
)))),
IF(AZ$4 &gt; AZ$5,
IF(
AND(
$AA30-$Z$4&lt;MAX(AZ$4,VLOOKUP(AZ$6, Table_ChiPhiNV_Ca[], COUNTA(Table_ChiPhiNV_Ca[[#Headers],[Ca]:[Bắt đầu]]),0)),
$AA30&gt;MIN(AZ$5,VLOOKUP(AZ$6, Table_ChiPhiNV_Ca[], COUNTA(Table_ChiPhiNV_Ca[[#Headers],[Ca]:[Kết thúc]]),0))),0,
SUM(_xlfn._xlws.FILTER(Table_BangLuong_TyLeTangCa[Tỷ lệ],
(Table_BangLuong_TyLeTangCa[Ngày] = "Thường") *
(Table_BangLuong_TyLeTangCa[Giờ min]&lt;=$AA30) *
(Table_BangLuong_TyLeTangCa[Giờ max]&gt;$AA30)
))),
IF(
AND(
$AA30-$Z$4&gt;=MAX(AZ$4,VLOOKUP(AZ$6, Table_ChiPhiNV_Ca[], COUNTA(Table_ChiPhiNV_Ca[[#Headers],[Ca]:[Bắt đầu]]),0)),
$AA30&lt;MIN(AZ$5,VLOOKUP(AZ$6, Table_ChiPhiNV_Ca[], COUNTA(Table_ChiPhiNV_Ca[[#Headers],[Ca]:[Kết thúc]]),0))),
SUM(_xlfn._xlws.FILTER(Table_BangLuong_TyLeTangCa[Tỷ lệ],
(Table_BangLuong_TyLeTangCa[Ngày] = "Thường") *
(Table_BangLuong_TyLeTangCa[Giờ min]&lt;=$AA30) *
(Table_BangLuong_TyLeTangCa[Giờ max]&gt;$AA30)
)),0)
)),
IF(AZ$4 &lt; AZ$5,
IF($AA30-$Z$4&lt;AZ$4,0,
IF($AA30&gt;AZ$5,0,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AZ$5,$AA30 &lt; AZ$4),0,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A30" s="18" cm="1">
        <f t="array" ref="BA30" xml:space="preserve">
IFERROR(
IF(BA$1="",0,
IF(AND(
$AA30&gt;=VLOOKUP(BA$6, Table_ChiPhiNV_Ca[], COUNTA(Table_ChiPhiNV_Ca[[#Headers],[Ca]:[Bắt đầu nghỉ]]),0),
$AA30&lt;VLOOKUP(BA$6, Table_ChiPhiNV_Ca[], COUNTA(Table_ChiPhiNV_Ca[[#Headers],[Ca]:[Kết thúc nghỉ]]),0)
),0,
IF(NOT(ISBLANK(BA$3)),
IF(ISBLANK(BA$7),0,
IF(BA$4 &lt; BA$5,
IF($AA30-$Z$4&lt;BA$4,0,
IF($AA30&gt;BA$5,0,
SUM(_xlfn._xlws.FILTER(Table_BangLuong_TyLeTangCa[Tỷ lệ],
(Table_BangLuong_TyLeTangCa[Ngày] = BA$3) *
(Table_BangLuong_TyLeTangCa[Giờ min]&lt;=$AA30) *
(Table_BangLuong_TyLeTangCa[Giờ max]&gt;$AA30)
)))),
IF(AND($AA30-$Z$4 &gt;= BA$5,$AA30 &lt; BA$4),0,
SUM(_xlfn._xlws.FILTER(Table_BangLuong_TyLeTangCa[Tỷ lệ],
(Table_BangLuong_TyLeTangCa[Ngày] = BA$3) *
(Table_BangLuong_TyLeTangCa[Giờ min]&lt;=$AA30) *
(Table_BangLuong_TyLeTangCa[Giờ max]&gt;$AA30)
))))
),
IF(ISBLANK(BA$7),
IF(VLOOKUP(BA$6, Table_ChiPhiNV_Ca[], COUNTA(Table_ChiPhiNV_Ca[[#Headers],[Ca]:[Kết thúc]]),0)&gt; VLOOKUP(BA$6, Table_ChiPhiNV_Ca[], COUNTA(Table_ChiPhiNV_Ca[[#Headers],[Ca]:[Bắt đầu]]),0),
IF($AA30-$Z$4&lt;MAX(BA$4,VLOOKUP(BA$6, Table_ChiPhiNV_Ca[], COUNTA(Table_ChiPhiNV_Ca[[#Headers],[Ca]:[Bắt đầu]]),0)),0,
IF($AA30&gt;MIN(BA$5,VLOOKUP(BA$6, Table_ChiPhiNV_Ca[], COUNTA(Table_ChiPhiNV_Ca[[#Headers],[Ca]:[Kết thúc]]),0)),0,
SUM(_xlfn._xlws.FILTER(Table_BangLuong_TyLeTangCa[Tỷ lệ],
(Table_BangLuong_TyLeTangCa[Ngày] = "Thường") *
(Table_BangLuong_TyLeTangCa[Giờ min]&lt;=$AA30) *
(Table_BangLuong_TyLeTangCa[Giờ max]&gt;$AA30)
)))),
IF(BA$4 &gt; BA$5,
IF(
AND(
$AA30-$Z$4&lt;MAX(BA$4,VLOOKUP(BA$6, Table_ChiPhiNV_Ca[], COUNTA(Table_ChiPhiNV_Ca[[#Headers],[Ca]:[Bắt đầu]]),0)),
$AA30&gt;MIN(BA$5,VLOOKUP(BA$6, Table_ChiPhiNV_Ca[], COUNTA(Table_ChiPhiNV_Ca[[#Headers],[Ca]:[Kết thúc]]),0))),0,
SUM(_xlfn._xlws.FILTER(Table_BangLuong_TyLeTangCa[Tỷ lệ],
(Table_BangLuong_TyLeTangCa[Ngày] = "Thường") *
(Table_BangLuong_TyLeTangCa[Giờ min]&lt;=$AA30) *
(Table_BangLuong_TyLeTangCa[Giờ max]&gt;$AA30)
))),
IF(
AND(
$AA30-$Z$4&gt;=MAX(BA$4,VLOOKUP(BA$6, Table_ChiPhiNV_Ca[], COUNTA(Table_ChiPhiNV_Ca[[#Headers],[Ca]:[Bắt đầu]]),0)),
$AA30&lt;MIN(BA$5,VLOOKUP(BA$6, Table_ChiPhiNV_Ca[], COUNTA(Table_ChiPhiNV_Ca[[#Headers],[Ca]:[Kết thúc]]),0))),
SUM(_xlfn._xlws.FILTER(Table_BangLuong_TyLeTangCa[Tỷ lệ],
(Table_BangLuong_TyLeTangCa[Ngày] = "Thường") *
(Table_BangLuong_TyLeTangCa[Giờ min]&lt;=$AA30) *
(Table_BangLuong_TyLeTangCa[Giờ max]&gt;$AA30)
)),0)
)),
IF(BA$4 &lt; BA$5,
IF($AA30-$Z$4&lt;BA$4,0,
IF($AA30&gt;BA$5,0,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BA$5,$AA30 &lt; BA$4),0,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B30" s="18" cm="1">
        <f t="array" ref="BB30" xml:space="preserve">
IFERROR(
IF(BB$1="",0,
IF(AND(
$AA30&gt;=VLOOKUP(BB$6, Table_ChiPhiNV_Ca[], COUNTA(Table_ChiPhiNV_Ca[[#Headers],[Ca]:[Bắt đầu nghỉ]]),0),
$AA30&lt;VLOOKUP(BB$6, Table_ChiPhiNV_Ca[], COUNTA(Table_ChiPhiNV_Ca[[#Headers],[Ca]:[Kết thúc nghỉ]]),0)
),0,
IF(NOT(ISBLANK(BB$3)),
IF(ISBLANK(BB$7),0,
IF(BB$4 &lt; BB$5,
IF($AA30-$Z$4&lt;BB$4,0,
IF($AA30&gt;BB$5,0,
SUM(_xlfn._xlws.FILTER(Table_BangLuong_TyLeTangCa[Tỷ lệ],
(Table_BangLuong_TyLeTangCa[Ngày] = BB$3) *
(Table_BangLuong_TyLeTangCa[Giờ min]&lt;=$AA30) *
(Table_BangLuong_TyLeTangCa[Giờ max]&gt;$AA30)
)))),
IF(AND($AA30-$Z$4 &gt;= BB$5,$AA30 &lt; BB$4),0,
SUM(_xlfn._xlws.FILTER(Table_BangLuong_TyLeTangCa[Tỷ lệ],
(Table_BangLuong_TyLeTangCa[Ngày] = BB$3) *
(Table_BangLuong_TyLeTangCa[Giờ min]&lt;=$AA30) *
(Table_BangLuong_TyLeTangCa[Giờ max]&gt;$AA30)
))))
),
IF(ISBLANK(BB$7),
IF(VLOOKUP(BB$6, Table_ChiPhiNV_Ca[], COUNTA(Table_ChiPhiNV_Ca[[#Headers],[Ca]:[Kết thúc]]),0)&gt; VLOOKUP(BB$6, Table_ChiPhiNV_Ca[], COUNTA(Table_ChiPhiNV_Ca[[#Headers],[Ca]:[Bắt đầu]]),0),
IF($AA30-$Z$4&lt;MAX(BB$4,VLOOKUP(BB$6, Table_ChiPhiNV_Ca[], COUNTA(Table_ChiPhiNV_Ca[[#Headers],[Ca]:[Bắt đầu]]),0)),0,
IF($AA30&gt;MIN(BB$5,VLOOKUP(BB$6, Table_ChiPhiNV_Ca[], COUNTA(Table_ChiPhiNV_Ca[[#Headers],[Ca]:[Kết thúc]]),0)),0,
SUM(_xlfn._xlws.FILTER(Table_BangLuong_TyLeTangCa[Tỷ lệ],
(Table_BangLuong_TyLeTangCa[Ngày] = "Thường") *
(Table_BangLuong_TyLeTangCa[Giờ min]&lt;=$AA30) *
(Table_BangLuong_TyLeTangCa[Giờ max]&gt;$AA30)
)))),
IF(BB$4 &gt; BB$5,
IF(
AND(
$AA30-$Z$4&lt;MAX(BB$4,VLOOKUP(BB$6, Table_ChiPhiNV_Ca[], COUNTA(Table_ChiPhiNV_Ca[[#Headers],[Ca]:[Bắt đầu]]),0)),
$AA30&gt;MIN(BB$5,VLOOKUP(BB$6, Table_ChiPhiNV_Ca[], COUNTA(Table_ChiPhiNV_Ca[[#Headers],[Ca]:[Kết thúc]]),0))),0,
SUM(_xlfn._xlws.FILTER(Table_BangLuong_TyLeTangCa[Tỷ lệ],
(Table_BangLuong_TyLeTangCa[Ngày] = "Thường") *
(Table_BangLuong_TyLeTangCa[Giờ min]&lt;=$AA30) *
(Table_BangLuong_TyLeTangCa[Giờ max]&gt;$AA30)
))),
IF(
AND(
$AA30-$Z$4&gt;=MAX(BB$4,VLOOKUP(BB$6, Table_ChiPhiNV_Ca[], COUNTA(Table_ChiPhiNV_Ca[[#Headers],[Ca]:[Bắt đầu]]),0)),
$AA30&lt;MIN(BB$5,VLOOKUP(BB$6, Table_ChiPhiNV_Ca[], COUNTA(Table_ChiPhiNV_Ca[[#Headers],[Ca]:[Kết thúc]]),0))),
SUM(_xlfn._xlws.FILTER(Table_BangLuong_TyLeTangCa[Tỷ lệ],
(Table_BangLuong_TyLeTangCa[Ngày] = "Thường") *
(Table_BangLuong_TyLeTangCa[Giờ min]&lt;=$AA30) *
(Table_BangLuong_TyLeTangCa[Giờ max]&gt;$AA30)
)),0)
)),
IF(BB$4 &lt; BB$5,
IF($AA30-$Z$4&lt;BB$4,0,
IF($AA30&gt;BB$5,0,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BB$5,$AA30 &lt; BB$4),0,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C30" s="18" cm="1">
        <f t="array" ref="BC30" xml:space="preserve">
IFERROR(
IF(BC$1="",0,
IF(AND(
$AA30&gt;=VLOOKUP(BC$6, Table_ChiPhiNV_Ca[], COUNTA(Table_ChiPhiNV_Ca[[#Headers],[Ca]:[Bắt đầu nghỉ]]),0),
$AA30&lt;VLOOKUP(BC$6, Table_ChiPhiNV_Ca[], COUNTA(Table_ChiPhiNV_Ca[[#Headers],[Ca]:[Kết thúc nghỉ]]),0)
),0,
IF(NOT(ISBLANK(BC$3)),
IF(ISBLANK(BC$7),0,
IF(BC$4 &lt; BC$5,
IF($AA30-$Z$4&lt;BC$4,0,
IF($AA30&gt;BC$5,0,
SUM(_xlfn._xlws.FILTER(Table_BangLuong_TyLeTangCa[Tỷ lệ],
(Table_BangLuong_TyLeTangCa[Ngày] = BC$3) *
(Table_BangLuong_TyLeTangCa[Giờ min]&lt;=$AA30) *
(Table_BangLuong_TyLeTangCa[Giờ max]&gt;$AA30)
)))),
IF(AND($AA30-$Z$4 &gt;= BC$5,$AA30 &lt; BC$4),0,
SUM(_xlfn._xlws.FILTER(Table_BangLuong_TyLeTangCa[Tỷ lệ],
(Table_BangLuong_TyLeTangCa[Ngày] = BC$3) *
(Table_BangLuong_TyLeTangCa[Giờ min]&lt;=$AA30) *
(Table_BangLuong_TyLeTangCa[Giờ max]&gt;$AA30)
))))
),
IF(ISBLANK(BC$7),
IF(VLOOKUP(BC$6, Table_ChiPhiNV_Ca[], COUNTA(Table_ChiPhiNV_Ca[[#Headers],[Ca]:[Kết thúc]]),0)&gt; VLOOKUP(BC$6, Table_ChiPhiNV_Ca[], COUNTA(Table_ChiPhiNV_Ca[[#Headers],[Ca]:[Bắt đầu]]),0),
IF($AA30-$Z$4&lt;MAX(BC$4,VLOOKUP(BC$6, Table_ChiPhiNV_Ca[], COUNTA(Table_ChiPhiNV_Ca[[#Headers],[Ca]:[Bắt đầu]]),0)),0,
IF($AA30&gt;MIN(BC$5,VLOOKUP(BC$6, Table_ChiPhiNV_Ca[], COUNTA(Table_ChiPhiNV_Ca[[#Headers],[Ca]:[Kết thúc]]),0)),0,
SUM(_xlfn._xlws.FILTER(Table_BangLuong_TyLeTangCa[Tỷ lệ],
(Table_BangLuong_TyLeTangCa[Ngày] = "Thường") *
(Table_BangLuong_TyLeTangCa[Giờ min]&lt;=$AA30) *
(Table_BangLuong_TyLeTangCa[Giờ max]&gt;$AA30)
)))),
IF(BC$4 &gt; BC$5,
IF(
AND(
$AA30-$Z$4&lt;MAX(BC$4,VLOOKUP(BC$6, Table_ChiPhiNV_Ca[], COUNTA(Table_ChiPhiNV_Ca[[#Headers],[Ca]:[Bắt đầu]]),0)),
$AA30&gt;MIN(BC$5,VLOOKUP(BC$6, Table_ChiPhiNV_Ca[], COUNTA(Table_ChiPhiNV_Ca[[#Headers],[Ca]:[Kết thúc]]),0))),0,
SUM(_xlfn._xlws.FILTER(Table_BangLuong_TyLeTangCa[Tỷ lệ],
(Table_BangLuong_TyLeTangCa[Ngày] = "Thường") *
(Table_BangLuong_TyLeTangCa[Giờ min]&lt;=$AA30) *
(Table_BangLuong_TyLeTangCa[Giờ max]&gt;$AA30)
))),
IF(
AND(
$AA30-$Z$4&gt;=MAX(BC$4,VLOOKUP(BC$6, Table_ChiPhiNV_Ca[], COUNTA(Table_ChiPhiNV_Ca[[#Headers],[Ca]:[Bắt đầu]]),0)),
$AA30&lt;MIN(BC$5,VLOOKUP(BC$6, Table_ChiPhiNV_Ca[], COUNTA(Table_ChiPhiNV_Ca[[#Headers],[Ca]:[Kết thúc]]),0))),
SUM(_xlfn._xlws.FILTER(Table_BangLuong_TyLeTangCa[Tỷ lệ],
(Table_BangLuong_TyLeTangCa[Ngày] = "Thường") *
(Table_BangLuong_TyLeTangCa[Giờ min]&lt;=$AA30) *
(Table_BangLuong_TyLeTangCa[Giờ max]&gt;$AA30)
)),0)
)),
IF(BC$4 &lt; BC$5,
IF($AA30-$Z$4&lt;BC$4,0,
IF($AA30&gt;BC$5,0,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BC$5,$AA30 &lt; BC$4),0,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D30" s="18" cm="1">
        <f t="array" ref="BD30" xml:space="preserve">
IFERROR(
IF(BD$1="",0,
IF(AND(
$AA30&gt;=VLOOKUP(BD$6, Table_ChiPhiNV_Ca[], COUNTA(Table_ChiPhiNV_Ca[[#Headers],[Ca]:[Bắt đầu nghỉ]]),0),
$AA30&lt;VLOOKUP(BD$6, Table_ChiPhiNV_Ca[], COUNTA(Table_ChiPhiNV_Ca[[#Headers],[Ca]:[Kết thúc nghỉ]]),0)
),0,
IF(NOT(ISBLANK(BD$3)),
IF(ISBLANK(BD$7),0,
IF(BD$4 &lt; BD$5,
IF($AA30-$Z$4&lt;BD$4,0,
IF($AA30&gt;BD$5,0,
SUM(_xlfn._xlws.FILTER(Table_BangLuong_TyLeTangCa[Tỷ lệ],
(Table_BangLuong_TyLeTangCa[Ngày] = BD$3) *
(Table_BangLuong_TyLeTangCa[Giờ min]&lt;=$AA30) *
(Table_BangLuong_TyLeTangCa[Giờ max]&gt;$AA30)
)))),
IF(AND($AA30-$Z$4 &gt;= BD$5,$AA30 &lt; BD$4),0,
SUM(_xlfn._xlws.FILTER(Table_BangLuong_TyLeTangCa[Tỷ lệ],
(Table_BangLuong_TyLeTangCa[Ngày] = BD$3) *
(Table_BangLuong_TyLeTangCa[Giờ min]&lt;=$AA30) *
(Table_BangLuong_TyLeTangCa[Giờ max]&gt;$AA30)
))))
),
IF(ISBLANK(BD$7),
IF(VLOOKUP(BD$6, Table_ChiPhiNV_Ca[], COUNTA(Table_ChiPhiNV_Ca[[#Headers],[Ca]:[Kết thúc]]),0)&gt; VLOOKUP(BD$6, Table_ChiPhiNV_Ca[], COUNTA(Table_ChiPhiNV_Ca[[#Headers],[Ca]:[Bắt đầu]]),0),
IF($AA30-$Z$4&lt;MAX(BD$4,VLOOKUP(BD$6, Table_ChiPhiNV_Ca[], COUNTA(Table_ChiPhiNV_Ca[[#Headers],[Ca]:[Bắt đầu]]),0)),0,
IF($AA30&gt;MIN(BD$5,VLOOKUP(BD$6, Table_ChiPhiNV_Ca[], COUNTA(Table_ChiPhiNV_Ca[[#Headers],[Ca]:[Kết thúc]]),0)),0,
SUM(_xlfn._xlws.FILTER(Table_BangLuong_TyLeTangCa[Tỷ lệ],
(Table_BangLuong_TyLeTangCa[Ngày] = "Thường") *
(Table_BangLuong_TyLeTangCa[Giờ min]&lt;=$AA30) *
(Table_BangLuong_TyLeTangCa[Giờ max]&gt;$AA30)
)))),
IF(BD$4 &gt; BD$5,
IF(
AND(
$AA30-$Z$4&lt;MAX(BD$4,VLOOKUP(BD$6, Table_ChiPhiNV_Ca[], COUNTA(Table_ChiPhiNV_Ca[[#Headers],[Ca]:[Bắt đầu]]),0)),
$AA30&gt;MIN(BD$5,VLOOKUP(BD$6, Table_ChiPhiNV_Ca[], COUNTA(Table_ChiPhiNV_Ca[[#Headers],[Ca]:[Kết thúc]]),0))),0,
SUM(_xlfn._xlws.FILTER(Table_BangLuong_TyLeTangCa[Tỷ lệ],
(Table_BangLuong_TyLeTangCa[Ngày] = "Thường") *
(Table_BangLuong_TyLeTangCa[Giờ min]&lt;=$AA30) *
(Table_BangLuong_TyLeTangCa[Giờ max]&gt;$AA30)
))),
IF(
AND(
$AA30-$Z$4&gt;=MAX(BD$4,VLOOKUP(BD$6, Table_ChiPhiNV_Ca[], COUNTA(Table_ChiPhiNV_Ca[[#Headers],[Ca]:[Bắt đầu]]),0)),
$AA30&lt;MIN(BD$5,VLOOKUP(BD$6, Table_ChiPhiNV_Ca[], COUNTA(Table_ChiPhiNV_Ca[[#Headers],[Ca]:[Kết thúc]]),0))),
SUM(_xlfn._xlws.FILTER(Table_BangLuong_TyLeTangCa[Tỷ lệ],
(Table_BangLuong_TyLeTangCa[Ngày] = "Thường") *
(Table_BangLuong_TyLeTangCa[Giờ min]&lt;=$AA30) *
(Table_BangLuong_TyLeTangCa[Giờ max]&gt;$AA30)
)),0)
)),
IF(BD$4 &lt; BD$5,
IF($AA30-$Z$4&lt;BD$4,0,
IF($AA30&gt;BD$5,0,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BD$5,$AA30 &lt; BD$4),0,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E30" s="18" cm="1">
        <f t="array" ref="BE30" xml:space="preserve">
IFERROR(
IF(BE$1="",0,
IF(AND(
$AA30&gt;=VLOOKUP(BE$6, Table_ChiPhiNV_Ca[], COUNTA(Table_ChiPhiNV_Ca[[#Headers],[Ca]:[Bắt đầu nghỉ]]),0),
$AA30&lt;VLOOKUP(BE$6, Table_ChiPhiNV_Ca[], COUNTA(Table_ChiPhiNV_Ca[[#Headers],[Ca]:[Kết thúc nghỉ]]),0)
),0,
IF(NOT(ISBLANK(BE$3)),
IF(ISBLANK(BE$7),0,
IF(BE$4 &lt; BE$5,
IF($AA30-$Z$4&lt;BE$4,0,
IF($AA30&gt;BE$5,0,
SUM(_xlfn._xlws.FILTER(Table_BangLuong_TyLeTangCa[Tỷ lệ],
(Table_BangLuong_TyLeTangCa[Ngày] = BE$3) *
(Table_BangLuong_TyLeTangCa[Giờ min]&lt;=$AA30) *
(Table_BangLuong_TyLeTangCa[Giờ max]&gt;$AA30)
)))),
IF(AND($AA30-$Z$4 &gt;= BE$5,$AA30 &lt; BE$4),0,
SUM(_xlfn._xlws.FILTER(Table_BangLuong_TyLeTangCa[Tỷ lệ],
(Table_BangLuong_TyLeTangCa[Ngày] = BE$3) *
(Table_BangLuong_TyLeTangCa[Giờ min]&lt;=$AA30) *
(Table_BangLuong_TyLeTangCa[Giờ max]&gt;$AA30)
))))
),
IF(ISBLANK(BE$7),
IF(VLOOKUP(BE$6, Table_ChiPhiNV_Ca[], COUNTA(Table_ChiPhiNV_Ca[[#Headers],[Ca]:[Kết thúc]]),0)&gt; VLOOKUP(BE$6, Table_ChiPhiNV_Ca[], COUNTA(Table_ChiPhiNV_Ca[[#Headers],[Ca]:[Bắt đầu]]),0),
IF($AA30-$Z$4&lt;MAX(BE$4,VLOOKUP(BE$6, Table_ChiPhiNV_Ca[], COUNTA(Table_ChiPhiNV_Ca[[#Headers],[Ca]:[Bắt đầu]]),0)),0,
IF($AA30&gt;MIN(BE$5,VLOOKUP(BE$6, Table_ChiPhiNV_Ca[], COUNTA(Table_ChiPhiNV_Ca[[#Headers],[Ca]:[Kết thúc]]),0)),0,
SUM(_xlfn._xlws.FILTER(Table_BangLuong_TyLeTangCa[Tỷ lệ],
(Table_BangLuong_TyLeTangCa[Ngày] = "Thường") *
(Table_BangLuong_TyLeTangCa[Giờ min]&lt;=$AA30) *
(Table_BangLuong_TyLeTangCa[Giờ max]&gt;$AA30)
)))),
IF(BE$4 &gt; BE$5,
IF(
AND(
$AA30-$Z$4&lt;MAX(BE$4,VLOOKUP(BE$6, Table_ChiPhiNV_Ca[], COUNTA(Table_ChiPhiNV_Ca[[#Headers],[Ca]:[Bắt đầu]]),0)),
$AA30&gt;MIN(BE$5,VLOOKUP(BE$6, Table_ChiPhiNV_Ca[], COUNTA(Table_ChiPhiNV_Ca[[#Headers],[Ca]:[Kết thúc]]),0))),0,
SUM(_xlfn._xlws.FILTER(Table_BangLuong_TyLeTangCa[Tỷ lệ],
(Table_BangLuong_TyLeTangCa[Ngày] = "Thường") *
(Table_BangLuong_TyLeTangCa[Giờ min]&lt;=$AA30) *
(Table_BangLuong_TyLeTangCa[Giờ max]&gt;$AA30)
))),
IF(
AND(
$AA30-$Z$4&gt;=MAX(BE$4,VLOOKUP(BE$6, Table_ChiPhiNV_Ca[], COUNTA(Table_ChiPhiNV_Ca[[#Headers],[Ca]:[Bắt đầu]]),0)),
$AA30&lt;MIN(BE$5,VLOOKUP(BE$6, Table_ChiPhiNV_Ca[], COUNTA(Table_ChiPhiNV_Ca[[#Headers],[Ca]:[Kết thúc]]),0))),
SUM(_xlfn._xlws.FILTER(Table_BangLuong_TyLeTangCa[Tỷ lệ],
(Table_BangLuong_TyLeTangCa[Ngày] = "Thường") *
(Table_BangLuong_TyLeTangCa[Giờ min]&lt;=$AA30) *
(Table_BangLuong_TyLeTangCa[Giờ max]&gt;$AA30)
)),0)
)),
IF(BE$4 &lt; BE$5,
IF($AA30-$Z$4&lt;BE$4,0,
IF($AA30&gt;BE$5,0,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BE$5,$AA30 &lt; BE$4),0,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F30" s="18" cm="1">
        <f t="array" ref="BF30" xml:space="preserve">
IFERROR(
IF(BF$1="",0,
IF(AND(
$AA30&gt;=VLOOKUP(BF$6, Table_ChiPhiNV_Ca[], COUNTA(Table_ChiPhiNV_Ca[[#Headers],[Ca]:[Bắt đầu nghỉ]]),0),
$AA30&lt;VLOOKUP(BF$6, Table_ChiPhiNV_Ca[], COUNTA(Table_ChiPhiNV_Ca[[#Headers],[Ca]:[Kết thúc nghỉ]]),0)
),0,
IF(NOT(ISBLANK(BF$3)),
IF(ISBLANK(BF$7),0,
IF(BF$4 &lt; BF$5,
IF($AA30-$Z$4&lt;BF$4,0,
IF($AA30&gt;BF$5,0,
SUM(_xlfn._xlws.FILTER(Table_BangLuong_TyLeTangCa[Tỷ lệ],
(Table_BangLuong_TyLeTangCa[Ngày] = BF$3) *
(Table_BangLuong_TyLeTangCa[Giờ min]&lt;=$AA30) *
(Table_BangLuong_TyLeTangCa[Giờ max]&gt;$AA30)
)))),
IF(AND($AA30-$Z$4 &gt;= BF$5,$AA30 &lt; BF$4),0,
SUM(_xlfn._xlws.FILTER(Table_BangLuong_TyLeTangCa[Tỷ lệ],
(Table_BangLuong_TyLeTangCa[Ngày] = BF$3) *
(Table_BangLuong_TyLeTangCa[Giờ min]&lt;=$AA30) *
(Table_BangLuong_TyLeTangCa[Giờ max]&gt;$AA30)
))))
),
IF(ISBLANK(BF$7),
IF(VLOOKUP(BF$6, Table_ChiPhiNV_Ca[], COUNTA(Table_ChiPhiNV_Ca[[#Headers],[Ca]:[Kết thúc]]),0)&gt; VLOOKUP(BF$6, Table_ChiPhiNV_Ca[], COUNTA(Table_ChiPhiNV_Ca[[#Headers],[Ca]:[Bắt đầu]]),0),
IF($AA30-$Z$4&lt;MAX(BF$4,VLOOKUP(BF$6, Table_ChiPhiNV_Ca[], COUNTA(Table_ChiPhiNV_Ca[[#Headers],[Ca]:[Bắt đầu]]),0)),0,
IF($AA30&gt;MIN(BF$5,VLOOKUP(BF$6, Table_ChiPhiNV_Ca[], COUNTA(Table_ChiPhiNV_Ca[[#Headers],[Ca]:[Kết thúc]]),0)),0,
SUM(_xlfn._xlws.FILTER(Table_BangLuong_TyLeTangCa[Tỷ lệ],
(Table_BangLuong_TyLeTangCa[Ngày] = "Thường") *
(Table_BangLuong_TyLeTangCa[Giờ min]&lt;=$AA30) *
(Table_BangLuong_TyLeTangCa[Giờ max]&gt;$AA30)
)))),
IF(BF$4 &gt; BF$5,
IF(
AND(
$AA30-$Z$4&lt;MAX(BF$4,VLOOKUP(BF$6, Table_ChiPhiNV_Ca[], COUNTA(Table_ChiPhiNV_Ca[[#Headers],[Ca]:[Bắt đầu]]),0)),
$AA30&gt;MIN(BF$5,VLOOKUP(BF$6, Table_ChiPhiNV_Ca[], COUNTA(Table_ChiPhiNV_Ca[[#Headers],[Ca]:[Kết thúc]]),0))),0,
SUM(_xlfn._xlws.FILTER(Table_BangLuong_TyLeTangCa[Tỷ lệ],
(Table_BangLuong_TyLeTangCa[Ngày] = "Thường") *
(Table_BangLuong_TyLeTangCa[Giờ min]&lt;=$AA30) *
(Table_BangLuong_TyLeTangCa[Giờ max]&gt;$AA30)
))),
IF(
AND(
$AA30-$Z$4&gt;=MAX(BF$4,VLOOKUP(BF$6, Table_ChiPhiNV_Ca[], COUNTA(Table_ChiPhiNV_Ca[[#Headers],[Ca]:[Bắt đầu]]),0)),
$AA30&lt;MIN(BF$5,VLOOKUP(BF$6, Table_ChiPhiNV_Ca[], COUNTA(Table_ChiPhiNV_Ca[[#Headers],[Ca]:[Kết thúc]]),0))),
SUM(_xlfn._xlws.FILTER(Table_BangLuong_TyLeTangCa[Tỷ lệ],
(Table_BangLuong_TyLeTangCa[Ngày] = "Thường") *
(Table_BangLuong_TyLeTangCa[Giờ min]&lt;=$AA30) *
(Table_BangLuong_TyLeTangCa[Giờ max]&gt;$AA30)
)),0)
)),
IF(BF$4 &lt; BF$5,
IF($AA30-$Z$4&lt;BF$4,0,
IF($AA30&gt;BF$5,0,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BF$5,$AA30 &lt; BF$4),0,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row>
    <row r="31" spans="2:58" ht="18" customHeight="1" outlineLevel="1" x14ac:dyDescent="0.3">
      <c r="B31" s="11"/>
      <c r="C31" s="11"/>
      <c r="D31" s="11"/>
      <c r="E31" s="11"/>
      <c r="F31" s="11"/>
      <c r="G31" s="11"/>
      <c r="H31" s="11"/>
      <c r="I31" s="11"/>
      <c r="N31" s="11"/>
      <c r="O31" s="11"/>
      <c r="P31" s="11"/>
      <c r="Q31" s="11"/>
      <c r="R31" s="11"/>
      <c r="S31" s="11"/>
      <c r="AA31" s="50">
        <v>0.45833333333333298</v>
      </c>
      <c r="AB31" s="18" cm="1">
        <f t="array" ref="AB31" xml:space="preserve">
IFERROR(
IF(AB$1="",0,
IF(AND(
$AA31&gt;=VLOOKUP(AB$6, Table_ChiPhiNV_Ca[], COUNTA(Table_ChiPhiNV_Ca[[#Headers],[Ca]:[Bắt đầu nghỉ]]),0),
$AA31&lt;VLOOKUP(AB$6, Table_ChiPhiNV_Ca[], COUNTA(Table_ChiPhiNV_Ca[[#Headers],[Ca]:[Kết thúc nghỉ]]),0)
),0,
IF(NOT(ISBLANK(AB$3)),
IF(ISBLANK(AB$7),0,
IF(AB$4 &lt; AB$5,
IF($AA31-$Z$4&lt;AB$4,0,
IF($AA31&gt;AB$5,0,
SUM(_xlfn._xlws.FILTER(Table_BangLuong_TyLeTangCa[Tỷ lệ],
(Table_BangLuong_TyLeTangCa[Ngày] = AB$3) *
(Table_BangLuong_TyLeTangCa[Giờ min]&lt;=$AA31) *
(Table_BangLuong_TyLeTangCa[Giờ max]&gt;$AA31)
)))),
IF(AND($AA31-$Z$4 &gt;= AB$5,$AA31 &lt; AB$4),0,
SUM(_xlfn._xlws.FILTER(Table_BangLuong_TyLeTangCa[Tỷ lệ],
(Table_BangLuong_TyLeTangCa[Ngày] = AB$3) *
(Table_BangLuong_TyLeTangCa[Giờ min]&lt;=$AA31) *
(Table_BangLuong_TyLeTangCa[Giờ max]&gt;$AA31)
))))
),
IF(ISBLANK(AB$7),
IF(VLOOKUP(AB$6, Table_ChiPhiNV_Ca[], COUNTA(Table_ChiPhiNV_Ca[[#Headers],[Ca]:[Kết thúc]]),0)&gt; VLOOKUP(AB$6, Table_ChiPhiNV_Ca[], COUNTA(Table_ChiPhiNV_Ca[[#Headers],[Ca]:[Bắt đầu]]),0),
IF($AA31-$Z$4&lt;MAX(AB$4,VLOOKUP(AB$6, Table_ChiPhiNV_Ca[], COUNTA(Table_ChiPhiNV_Ca[[#Headers],[Ca]:[Bắt đầu]]),0)),0,
IF($AA31&gt;MIN(AB$5,VLOOKUP(AB$6, Table_ChiPhiNV_Ca[], COUNTA(Table_ChiPhiNV_Ca[[#Headers],[Ca]:[Kết thúc]]),0)),0,
SUM(_xlfn._xlws.FILTER(Table_BangLuong_TyLeTangCa[Tỷ lệ],
(Table_BangLuong_TyLeTangCa[Ngày] = "Thường") *
(Table_BangLuong_TyLeTangCa[Giờ min]&lt;=$AA31) *
(Table_BangLuong_TyLeTangCa[Giờ max]&gt;$AA31)
)))),
IF(AB$4 &gt; AB$5,
IF(
AND(
$AA31-$Z$4&lt;MAX(AB$4,VLOOKUP(AB$6, Table_ChiPhiNV_Ca[], COUNTA(Table_ChiPhiNV_Ca[[#Headers],[Ca]:[Bắt đầu]]),0)),
$AA31&gt;MIN(AB$5,VLOOKUP(AB$6, Table_ChiPhiNV_Ca[], COUNTA(Table_ChiPhiNV_Ca[[#Headers],[Ca]:[Kết thúc]]),0))),0,
SUM(_xlfn._xlws.FILTER(Table_BangLuong_TyLeTangCa[Tỷ lệ],
(Table_BangLuong_TyLeTangCa[Ngày] = "Thường") *
(Table_BangLuong_TyLeTangCa[Giờ min]&lt;=$AA31) *
(Table_BangLuong_TyLeTangCa[Giờ max]&gt;$AA31)
))),
IF(
AND(
$AA31-$Z$4&gt;=MAX(AB$4,VLOOKUP(AB$6, Table_ChiPhiNV_Ca[], COUNTA(Table_ChiPhiNV_Ca[[#Headers],[Ca]:[Bắt đầu]]),0)),
$AA31&lt;MIN(AB$5,VLOOKUP(AB$6, Table_ChiPhiNV_Ca[], COUNTA(Table_ChiPhiNV_Ca[[#Headers],[Ca]:[Kết thúc]]),0))),
SUM(_xlfn._xlws.FILTER(Table_BangLuong_TyLeTangCa[Tỷ lệ],
(Table_BangLuong_TyLeTangCa[Ngày] = "Thường") *
(Table_BangLuong_TyLeTangCa[Giờ min]&lt;=$AA31) *
(Table_BangLuong_TyLeTangCa[Giờ max]&gt;$AA31)
)),0)
)),
IF(AB$4 &lt; AB$5,
IF($AA31-$Z$4&lt;AB$4,0,
IF($AA31&gt;AB$5,0,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AB$5,$AA31 &lt; AB$4),0,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C31" s="18" cm="1">
        <f t="array" ref="AC31" xml:space="preserve">
IFERROR(
IF(AC$1="",0,
IF(AND(
$AA31&gt;=VLOOKUP(AC$6, Table_ChiPhiNV_Ca[], COUNTA(Table_ChiPhiNV_Ca[[#Headers],[Ca]:[Bắt đầu nghỉ]]),0),
$AA31&lt;VLOOKUP(AC$6, Table_ChiPhiNV_Ca[], COUNTA(Table_ChiPhiNV_Ca[[#Headers],[Ca]:[Kết thúc nghỉ]]),0)
),0,
IF(NOT(ISBLANK(AC$3)),
IF(ISBLANK(AC$7),0,
IF(AC$4 &lt; AC$5,
IF($AA31-$Z$4&lt;AC$4,0,
IF($AA31&gt;AC$5,0,
SUM(_xlfn._xlws.FILTER(Table_BangLuong_TyLeTangCa[Tỷ lệ],
(Table_BangLuong_TyLeTangCa[Ngày] = AC$3) *
(Table_BangLuong_TyLeTangCa[Giờ min]&lt;=$AA31) *
(Table_BangLuong_TyLeTangCa[Giờ max]&gt;$AA31)
)))),
IF(AND($AA31-$Z$4 &gt;= AC$5,$AA31 &lt; AC$4),0,
SUM(_xlfn._xlws.FILTER(Table_BangLuong_TyLeTangCa[Tỷ lệ],
(Table_BangLuong_TyLeTangCa[Ngày] = AC$3) *
(Table_BangLuong_TyLeTangCa[Giờ min]&lt;=$AA31) *
(Table_BangLuong_TyLeTangCa[Giờ max]&gt;$AA31)
))))
),
IF(ISBLANK(AC$7),
IF(VLOOKUP(AC$6, Table_ChiPhiNV_Ca[], COUNTA(Table_ChiPhiNV_Ca[[#Headers],[Ca]:[Kết thúc]]),0)&gt; VLOOKUP(AC$6, Table_ChiPhiNV_Ca[], COUNTA(Table_ChiPhiNV_Ca[[#Headers],[Ca]:[Bắt đầu]]),0),
IF($AA31-$Z$4&lt;MAX(AC$4,VLOOKUP(AC$6, Table_ChiPhiNV_Ca[], COUNTA(Table_ChiPhiNV_Ca[[#Headers],[Ca]:[Bắt đầu]]),0)),0,
IF($AA31&gt;MIN(AC$5,VLOOKUP(AC$6, Table_ChiPhiNV_Ca[], COUNTA(Table_ChiPhiNV_Ca[[#Headers],[Ca]:[Kết thúc]]),0)),0,
SUM(_xlfn._xlws.FILTER(Table_BangLuong_TyLeTangCa[Tỷ lệ],
(Table_BangLuong_TyLeTangCa[Ngày] = "Thường") *
(Table_BangLuong_TyLeTangCa[Giờ min]&lt;=$AA31) *
(Table_BangLuong_TyLeTangCa[Giờ max]&gt;$AA31)
)))),
IF(AC$4 &gt; AC$5,
IF(
AND(
$AA31-$Z$4&lt;MAX(AC$4,VLOOKUP(AC$6, Table_ChiPhiNV_Ca[], COUNTA(Table_ChiPhiNV_Ca[[#Headers],[Ca]:[Bắt đầu]]),0)),
$AA31&gt;MIN(AC$5,VLOOKUP(AC$6, Table_ChiPhiNV_Ca[], COUNTA(Table_ChiPhiNV_Ca[[#Headers],[Ca]:[Kết thúc]]),0))),0,
SUM(_xlfn._xlws.FILTER(Table_BangLuong_TyLeTangCa[Tỷ lệ],
(Table_BangLuong_TyLeTangCa[Ngày] = "Thường") *
(Table_BangLuong_TyLeTangCa[Giờ min]&lt;=$AA31) *
(Table_BangLuong_TyLeTangCa[Giờ max]&gt;$AA31)
))),
IF(
AND(
$AA31-$Z$4&gt;=MAX(AC$4,VLOOKUP(AC$6, Table_ChiPhiNV_Ca[], COUNTA(Table_ChiPhiNV_Ca[[#Headers],[Ca]:[Bắt đầu]]),0)),
$AA31&lt;MIN(AC$5,VLOOKUP(AC$6, Table_ChiPhiNV_Ca[], COUNTA(Table_ChiPhiNV_Ca[[#Headers],[Ca]:[Kết thúc]]),0))),
SUM(_xlfn._xlws.FILTER(Table_BangLuong_TyLeTangCa[Tỷ lệ],
(Table_BangLuong_TyLeTangCa[Ngày] = "Thường") *
(Table_BangLuong_TyLeTangCa[Giờ min]&lt;=$AA31) *
(Table_BangLuong_TyLeTangCa[Giờ max]&gt;$AA31)
)),0)
)),
IF(AC$4 &lt; AC$5,
IF($AA31-$Z$4&lt;AC$4,0,
IF($AA31&gt;AC$5,0,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AC$5,$AA31 &lt; AC$4),0,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D31" s="18" cm="1">
        <f t="array" ref="AD31" xml:space="preserve">
IFERROR(
IF(AD$1="",0,
IF(AND(
$AA31&gt;=VLOOKUP(AD$6, Table_ChiPhiNV_Ca[], COUNTA(Table_ChiPhiNV_Ca[[#Headers],[Ca]:[Bắt đầu nghỉ]]),0),
$AA31&lt;VLOOKUP(AD$6, Table_ChiPhiNV_Ca[], COUNTA(Table_ChiPhiNV_Ca[[#Headers],[Ca]:[Kết thúc nghỉ]]),0)
),0,
IF(NOT(ISBLANK(AD$3)),
IF(ISBLANK(AD$7),0,
IF(AD$4 &lt; AD$5,
IF($AA31-$Z$4&lt;AD$4,0,
IF($AA31&gt;AD$5,0,
SUM(_xlfn._xlws.FILTER(Table_BangLuong_TyLeTangCa[Tỷ lệ],
(Table_BangLuong_TyLeTangCa[Ngày] = AD$3) *
(Table_BangLuong_TyLeTangCa[Giờ min]&lt;=$AA31) *
(Table_BangLuong_TyLeTangCa[Giờ max]&gt;$AA31)
)))),
IF(AND($AA31-$Z$4 &gt;= AD$5,$AA31 &lt; AD$4),0,
SUM(_xlfn._xlws.FILTER(Table_BangLuong_TyLeTangCa[Tỷ lệ],
(Table_BangLuong_TyLeTangCa[Ngày] = AD$3) *
(Table_BangLuong_TyLeTangCa[Giờ min]&lt;=$AA31) *
(Table_BangLuong_TyLeTangCa[Giờ max]&gt;$AA31)
))))
),
IF(ISBLANK(AD$7),
IF(VLOOKUP(AD$6, Table_ChiPhiNV_Ca[], COUNTA(Table_ChiPhiNV_Ca[[#Headers],[Ca]:[Kết thúc]]),0)&gt; VLOOKUP(AD$6, Table_ChiPhiNV_Ca[], COUNTA(Table_ChiPhiNV_Ca[[#Headers],[Ca]:[Bắt đầu]]),0),
IF($AA31-$Z$4&lt;MAX(AD$4,VLOOKUP(AD$6, Table_ChiPhiNV_Ca[], COUNTA(Table_ChiPhiNV_Ca[[#Headers],[Ca]:[Bắt đầu]]),0)),0,
IF($AA31&gt;MIN(AD$5,VLOOKUP(AD$6, Table_ChiPhiNV_Ca[], COUNTA(Table_ChiPhiNV_Ca[[#Headers],[Ca]:[Kết thúc]]),0)),0,
SUM(_xlfn._xlws.FILTER(Table_BangLuong_TyLeTangCa[Tỷ lệ],
(Table_BangLuong_TyLeTangCa[Ngày] = "Thường") *
(Table_BangLuong_TyLeTangCa[Giờ min]&lt;=$AA31) *
(Table_BangLuong_TyLeTangCa[Giờ max]&gt;$AA31)
)))),
IF(AD$4 &gt; AD$5,
IF(
AND(
$AA31-$Z$4&lt;MAX(AD$4,VLOOKUP(AD$6, Table_ChiPhiNV_Ca[], COUNTA(Table_ChiPhiNV_Ca[[#Headers],[Ca]:[Bắt đầu]]),0)),
$AA31&gt;MIN(AD$5,VLOOKUP(AD$6, Table_ChiPhiNV_Ca[], COUNTA(Table_ChiPhiNV_Ca[[#Headers],[Ca]:[Kết thúc]]),0))),0,
SUM(_xlfn._xlws.FILTER(Table_BangLuong_TyLeTangCa[Tỷ lệ],
(Table_BangLuong_TyLeTangCa[Ngày] = "Thường") *
(Table_BangLuong_TyLeTangCa[Giờ min]&lt;=$AA31) *
(Table_BangLuong_TyLeTangCa[Giờ max]&gt;$AA31)
))),
IF(
AND(
$AA31-$Z$4&gt;=MAX(AD$4,VLOOKUP(AD$6, Table_ChiPhiNV_Ca[], COUNTA(Table_ChiPhiNV_Ca[[#Headers],[Ca]:[Bắt đầu]]),0)),
$AA31&lt;MIN(AD$5,VLOOKUP(AD$6, Table_ChiPhiNV_Ca[], COUNTA(Table_ChiPhiNV_Ca[[#Headers],[Ca]:[Kết thúc]]),0))),
SUM(_xlfn._xlws.FILTER(Table_BangLuong_TyLeTangCa[Tỷ lệ],
(Table_BangLuong_TyLeTangCa[Ngày] = "Thường") *
(Table_BangLuong_TyLeTangCa[Giờ min]&lt;=$AA31) *
(Table_BangLuong_TyLeTangCa[Giờ max]&gt;$AA31)
)),0)
)),
IF(AD$4 &lt; AD$5,
IF($AA31-$Z$4&lt;AD$4,0,
IF($AA31&gt;AD$5,0,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AD$5,$AA31 &lt; AD$4),0,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E31" s="18" cm="1">
        <f t="array" ref="AE31" xml:space="preserve">
IFERROR(
IF(AE$1="",0,
IF(AND(
$AA31&gt;=VLOOKUP(AE$6, Table_ChiPhiNV_Ca[], COUNTA(Table_ChiPhiNV_Ca[[#Headers],[Ca]:[Bắt đầu nghỉ]]),0),
$AA31&lt;VLOOKUP(AE$6, Table_ChiPhiNV_Ca[], COUNTA(Table_ChiPhiNV_Ca[[#Headers],[Ca]:[Kết thúc nghỉ]]),0)
),0,
IF(NOT(ISBLANK(AE$3)),
IF(ISBLANK(AE$7),0,
IF(AE$4 &lt; AE$5,
IF($AA31-$Z$4&lt;AE$4,0,
IF($AA31&gt;AE$5,0,
SUM(_xlfn._xlws.FILTER(Table_BangLuong_TyLeTangCa[Tỷ lệ],
(Table_BangLuong_TyLeTangCa[Ngày] = AE$3) *
(Table_BangLuong_TyLeTangCa[Giờ min]&lt;=$AA31) *
(Table_BangLuong_TyLeTangCa[Giờ max]&gt;$AA31)
)))),
IF(AND($AA31-$Z$4 &gt;= AE$5,$AA31 &lt; AE$4),0,
SUM(_xlfn._xlws.FILTER(Table_BangLuong_TyLeTangCa[Tỷ lệ],
(Table_BangLuong_TyLeTangCa[Ngày] = AE$3) *
(Table_BangLuong_TyLeTangCa[Giờ min]&lt;=$AA31) *
(Table_BangLuong_TyLeTangCa[Giờ max]&gt;$AA31)
))))
),
IF(ISBLANK(AE$7),
IF(VLOOKUP(AE$6, Table_ChiPhiNV_Ca[], COUNTA(Table_ChiPhiNV_Ca[[#Headers],[Ca]:[Kết thúc]]),0)&gt; VLOOKUP(AE$6, Table_ChiPhiNV_Ca[], COUNTA(Table_ChiPhiNV_Ca[[#Headers],[Ca]:[Bắt đầu]]),0),
IF($AA31-$Z$4&lt;MAX(AE$4,VLOOKUP(AE$6, Table_ChiPhiNV_Ca[], COUNTA(Table_ChiPhiNV_Ca[[#Headers],[Ca]:[Bắt đầu]]),0)),0,
IF($AA31&gt;MIN(AE$5,VLOOKUP(AE$6, Table_ChiPhiNV_Ca[], COUNTA(Table_ChiPhiNV_Ca[[#Headers],[Ca]:[Kết thúc]]),0)),0,
SUM(_xlfn._xlws.FILTER(Table_BangLuong_TyLeTangCa[Tỷ lệ],
(Table_BangLuong_TyLeTangCa[Ngày] = "Thường") *
(Table_BangLuong_TyLeTangCa[Giờ min]&lt;=$AA31) *
(Table_BangLuong_TyLeTangCa[Giờ max]&gt;$AA31)
)))),
IF(AE$4 &gt; AE$5,
IF(
AND(
$AA31-$Z$4&lt;MAX(AE$4,VLOOKUP(AE$6, Table_ChiPhiNV_Ca[], COUNTA(Table_ChiPhiNV_Ca[[#Headers],[Ca]:[Bắt đầu]]),0)),
$AA31&gt;MIN(AE$5,VLOOKUP(AE$6, Table_ChiPhiNV_Ca[], COUNTA(Table_ChiPhiNV_Ca[[#Headers],[Ca]:[Kết thúc]]),0))),0,
SUM(_xlfn._xlws.FILTER(Table_BangLuong_TyLeTangCa[Tỷ lệ],
(Table_BangLuong_TyLeTangCa[Ngày] = "Thường") *
(Table_BangLuong_TyLeTangCa[Giờ min]&lt;=$AA31) *
(Table_BangLuong_TyLeTangCa[Giờ max]&gt;$AA31)
))),
IF(
AND(
$AA31-$Z$4&gt;=MAX(AE$4,VLOOKUP(AE$6, Table_ChiPhiNV_Ca[], COUNTA(Table_ChiPhiNV_Ca[[#Headers],[Ca]:[Bắt đầu]]),0)),
$AA31&lt;MIN(AE$5,VLOOKUP(AE$6, Table_ChiPhiNV_Ca[], COUNTA(Table_ChiPhiNV_Ca[[#Headers],[Ca]:[Kết thúc]]),0))),
SUM(_xlfn._xlws.FILTER(Table_BangLuong_TyLeTangCa[Tỷ lệ],
(Table_BangLuong_TyLeTangCa[Ngày] = "Thường") *
(Table_BangLuong_TyLeTangCa[Giờ min]&lt;=$AA31) *
(Table_BangLuong_TyLeTangCa[Giờ max]&gt;$AA31)
)),0)
)),
IF(AE$4 &lt; AE$5,
IF($AA31-$Z$4&lt;AE$4,0,
IF($AA31&gt;AE$5,0,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AE$5,$AA31 &lt; AE$4),0,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F31" s="18" cm="1">
        <f t="array" ref="AF31" xml:space="preserve">
IFERROR(
IF(AF$1="",0,
IF(AND(
$AA31&gt;=VLOOKUP(AF$6, Table_ChiPhiNV_Ca[], COUNTA(Table_ChiPhiNV_Ca[[#Headers],[Ca]:[Bắt đầu nghỉ]]),0),
$AA31&lt;VLOOKUP(AF$6, Table_ChiPhiNV_Ca[], COUNTA(Table_ChiPhiNV_Ca[[#Headers],[Ca]:[Kết thúc nghỉ]]),0)
),0,
IF(NOT(ISBLANK(AF$3)),
IF(ISBLANK(AF$7),0,
IF(AF$4 &lt; AF$5,
IF($AA31-$Z$4&lt;AF$4,0,
IF($AA31&gt;AF$5,0,
SUM(_xlfn._xlws.FILTER(Table_BangLuong_TyLeTangCa[Tỷ lệ],
(Table_BangLuong_TyLeTangCa[Ngày] = AF$3) *
(Table_BangLuong_TyLeTangCa[Giờ min]&lt;=$AA31) *
(Table_BangLuong_TyLeTangCa[Giờ max]&gt;$AA31)
)))),
IF(AND($AA31-$Z$4 &gt;= AF$5,$AA31 &lt; AF$4),0,
SUM(_xlfn._xlws.FILTER(Table_BangLuong_TyLeTangCa[Tỷ lệ],
(Table_BangLuong_TyLeTangCa[Ngày] = AF$3) *
(Table_BangLuong_TyLeTangCa[Giờ min]&lt;=$AA31) *
(Table_BangLuong_TyLeTangCa[Giờ max]&gt;$AA31)
))))
),
IF(ISBLANK(AF$7),
IF(VLOOKUP(AF$6, Table_ChiPhiNV_Ca[], COUNTA(Table_ChiPhiNV_Ca[[#Headers],[Ca]:[Kết thúc]]),0)&gt; VLOOKUP(AF$6, Table_ChiPhiNV_Ca[], COUNTA(Table_ChiPhiNV_Ca[[#Headers],[Ca]:[Bắt đầu]]),0),
IF($AA31-$Z$4&lt;MAX(AF$4,VLOOKUP(AF$6, Table_ChiPhiNV_Ca[], COUNTA(Table_ChiPhiNV_Ca[[#Headers],[Ca]:[Bắt đầu]]),0)),0,
IF($AA31&gt;MIN(AF$5,VLOOKUP(AF$6, Table_ChiPhiNV_Ca[], COUNTA(Table_ChiPhiNV_Ca[[#Headers],[Ca]:[Kết thúc]]),0)),0,
SUM(_xlfn._xlws.FILTER(Table_BangLuong_TyLeTangCa[Tỷ lệ],
(Table_BangLuong_TyLeTangCa[Ngày] = "Thường") *
(Table_BangLuong_TyLeTangCa[Giờ min]&lt;=$AA31) *
(Table_BangLuong_TyLeTangCa[Giờ max]&gt;$AA31)
)))),
IF(AF$4 &gt; AF$5,
IF(
AND(
$AA31-$Z$4&lt;MAX(AF$4,VLOOKUP(AF$6, Table_ChiPhiNV_Ca[], COUNTA(Table_ChiPhiNV_Ca[[#Headers],[Ca]:[Bắt đầu]]),0)),
$AA31&gt;MIN(AF$5,VLOOKUP(AF$6, Table_ChiPhiNV_Ca[], COUNTA(Table_ChiPhiNV_Ca[[#Headers],[Ca]:[Kết thúc]]),0))),0,
SUM(_xlfn._xlws.FILTER(Table_BangLuong_TyLeTangCa[Tỷ lệ],
(Table_BangLuong_TyLeTangCa[Ngày] = "Thường") *
(Table_BangLuong_TyLeTangCa[Giờ min]&lt;=$AA31) *
(Table_BangLuong_TyLeTangCa[Giờ max]&gt;$AA31)
))),
IF(
AND(
$AA31-$Z$4&gt;=MAX(AF$4,VLOOKUP(AF$6, Table_ChiPhiNV_Ca[], COUNTA(Table_ChiPhiNV_Ca[[#Headers],[Ca]:[Bắt đầu]]),0)),
$AA31&lt;MIN(AF$5,VLOOKUP(AF$6, Table_ChiPhiNV_Ca[], COUNTA(Table_ChiPhiNV_Ca[[#Headers],[Ca]:[Kết thúc]]),0))),
SUM(_xlfn._xlws.FILTER(Table_BangLuong_TyLeTangCa[Tỷ lệ],
(Table_BangLuong_TyLeTangCa[Ngày] = "Thường") *
(Table_BangLuong_TyLeTangCa[Giờ min]&lt;=$AA31) *
(Table_BangLuong_TyLeTangCa[Giờ max]&gt;$AA31)
)),0)
)),
IF(AF$4 &lt; AF$5,
IF($AA31-$Z$4&lt;AF$4,0,
IF($AA31&gt;AF$5,0,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AF$5,$AA31 &lt; AF$4),0,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G31" s="18" cm="1">
        <f t="array" ref="AG31" xml:space="preserve">
IFERROR(
IF(AG$1="",0,
IF(AND(
$AA31&gt;=VLOOKUP(AG$6, Table_ChiPhiNV_Ca[], COUNTA(Table_ChiPhiNV_Ca[[#Headers],[Ca]:[Bắt đầu nghỉ]]),0),
$AA31&lt;VLOOKUP(AG$6, Table_ChiPhiNV_Ca[], COUNTA(Table_ChiPhiNV_Ca[[#Headers],[Ca]:[Kết thúc nghỉ]]),0)
),0,
IF(NOT(ISBLANK(AG$3)),
IF(ISBLANK(AG$7),0,
IF(AG$4 &lt; AG$5,
IF($AA31-$Z$4&lt;AG$4,0,
IF($AA31&gt;AG$5,0,
SUM(_xlfn._xlws.FILTER(Table_BangLuong_TyLeTangCa[Tỷ lệ],
(Table_BangLuong_TyLeTangCa[Ngày] = AG$3) *
(Table_BangLuong_TyLeTangCa[Giờ min]&lt;=$AA31) *
(Table_BangLuong_TyLeTangCa[Giờ max]&gt;$AA31)
)))),
IF(AND($AA31-$Z$4 &gt;= AG$5,$AA31 &lt; AG$4),0,
SUM(_xlfn._xlws.FILTER(Table_BangLuong_TyLeTangCa[Tỷ lệ],
(Table_BangLuong_TyLeTangCa[Ngày] = AG$3) *
(Table_BangLuong_TyLeTangCa[Giờ min]&lt;=$AA31) *
(Table_BangLuong_TyLeTangCa[Giờ max]&gt;$AA31)
))))
),
IF(ISBLANK(AG$7),
IF(VLOOKUP(AG$6, Table_ChiPhiNV_Ca[], COUNTA(Table_ChiPhiNV_Ca[[#Headers],[Ca]:[Kết thúc]]),0)&gt; VLOOKUP(AG$6, Table_ChiPhiNV_Ca[], COUNTA(Table_ChiPhiNV_Ca[[#Headers],[Ca]:[Bắt đầu]]),0),
IF($AA31-$Z$4&lt;MAX(AG$4,VLOOKUP(AG$6, Table_ChiPhiNV_Ca[], COUNTA(Table_ChiPhiNV_Ca[[#Headers],[Ca]:[Bắt đầu]]),0)),0,
IF($AA31&gt;MIN(AG$5,VLOOKUP(AG$6, Table_ChiPhiNV_Ca[], COUNTA(Table_ChiPhiNV_Ca[[#Headers],[Ca]:[Kết thúc]]),0)),0,
SUM(_xlfn._xlws.FILTER(Table_BangLuong_TyLeTangCa[Tỷ lệ],
(Table_BangLuong_TyLeTangCa[Ngày] = "Thường") *
(Table_BangLuong_TyLeTangCa[Giờ min]&lt;=$AA31) *
(Table_BangLuong_TyLeTangCa[Giờ max]&gt;$AA31)
)))),
IF(AG$4 &gt; AG$5,
IF(
AND(
$AA31-$Z$4&lt;MAX(AG$4,VLOOKUP(AG$6, Table_ChiPhiNV_Ca[], COUNTA(Table_ChiPhiNV_Ca[[#Headers],[Ca]:[Bắt đầu]]),0)),
$AA31&gt;MIN(AG$5,VLOOKUP(AG$6, Table_ChiPhiNV_Ca[], COUNTA(Table_ChiPhiNV_Ca[[#Headers],[Ca]:[Kết thúc]]),0))),0,
SUM(_xlfn._xlws.FILTER(Table_BangLuong_TyLeTangCa[Tỷ lệ],
(Table_BangLuong_TyLeTangCa[Ngày] = "Thường") *
(Table_BangLuong_TyLeTangCa[Giờ min]&lt;=$AA31) *
(Table_BangLuong_TyLeTangCa[Giờ max]&gt;$AA31)
))),
IF(
AND(
$AA31-$Z$4&gt;=MAX(AG$4,VLOOKUP(AG$6, Table_ChiPhiNV_Ca[], COUNTA(Table_ChiPhiNV_Ca[[#Headers],[Ca]:[Bắt đầu]]),0)),
$AA31&lt;MIN(AG$5,VLOOKUP(AG$6, Table_ChiPhiNV_Ca[], COUNTA(Table_ChiPhiNV_Ca[[#Headers],[Ca]:[Kết thúc]]),0))),
SUM(_xlfn._xlws.FILTER(Table_BangLuong_TyLeTangCa[Tỷ lệ],
(Table_BangLuong_TyLeTangCa[Ngày] = "Thường") *
(Table_BangLuong_TyLeTangCa[Giờ min]&lt;=$AA31) *
(Table_BangLuong_TyLeTangCa[Giờ max]&gt;$AA31)
)),0)
)),
IF(AG$4 &lt; AG$5,
IF($AA31-$Z$4&lt;AG$4,0,
IF($AA31&gt;AG$5,0,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AG$5,$AA31 &lt; AG$4),0,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H31" s="18" cm="1">
        <f t="array" ref="AH31" xml:space="preserve">
IFERROR(
IF(AH$1="",0,
IF(AND(
$AA31&gt;=VLOOKUP(AH$6, Table_ChiPhiNV_Ca[], COUNTA(Table_ChiPhiNV_Ca[[#Headers],[Ca]:[Bắt đầu nghỉ]]),0),
$AA31&lt;VLOOKUP(AH$6, Table_ChiPhiNV_Ca[], COUNTA(Table_ChiPhiNV_Ca[[#Headers],[Ca]:[Kết thúc nghỉ]]),0)
),0,
IF(NOT(ISBLANK(AH$3)),
IF(ISBLANK(AH$7),0,
IF(AH$4 &lt; AH$5,
IF($AA31-$Z$4&lt;AH$4,0,
IF($AA31&gt;AH$5,0,
SUM(_xlfn._xlws.FILTER(Table_BangLuong_TyLeTangCa[Tỷ lệ],
(Table_BangLuong_TyLeTangCa[Ngày] = AH$3) *
(Table_BangLuong_TyLeTangCa[Giờ min]&lt;=$AA31) *
(Table_BangLuong_TyLeTangCa[Giờ max]&gt;$AA31)
)))),
IF(AND($AA31-$Z$4 &gt;= AH$5,$AA31 &lt; AH$4),0,
SUM(_xlfn._xlws.FILTER(Table_BangLuong_TyLeTangCa[Tỷ lệ],
(Table_BangLuong_TyLeTangCa[Ngày] = AH$3) *
(Table_BangLuong_TyLeTangCa[Giờ min]&lt;=$AA31) *
(Table_BangLuong_TyLeTangCa[Giờ max]&gt;$AA31)
))))
),
IF(ISBLANK(AH$7),
IF(VLOOKUP(AH$6, Table_ChiPhiNV_Ca[], COUNTA(Table_ChiPhiNV_Ca[[#Headers],[Ca]:[Kết thúc]]),0)&gt; VLOOKUP(AH$6, Table_ChiPhiNV_Ca[], COUNTA(Table_ChiPhiNV_Ca[[#Headers],[Ca]:[Bắt đầu]]),0),
IF($AA31-$Z$4&lt;MAX(AH$4,VLOOKUP(AH$6, Table_ChiPhiNV_Ca[], COUNTA(Table_ChiPhiNV_Ca[[#Headers],[Ca]:[Bắt đầu]]),0)),0,
IF($AA31&gt;MIN(AH$5,VLOOKUP(AH$6, Table_ChiPhiNV_Ca[], COUNTA(Table_ChiPhiNV_Ca[[#Headers],[Ca]:[Kết thúc]]),0)),0,
SUM(_xlfn._xlws.FILTER(Table_BangLuong_TyLeTangCa[Tỷ lệ],
(Table_BangLuong_TyLeTangCa[Ngày] = "Thường") *
(Table_BangLuong_TyLeTangCa[Giờ min]&lt;=$AA31) *
(Table_BangLuong_TyLeTangCa[Giờ max]&gt;$AA31)
)))),
IF(AH$4 &gt; AH$5,
IF(
AND(
$AA31-$Z$4&lt;MAX(AH$4,VLOOKUP(AH$6, Table_ChiPhiNV_Ca[], COUNTA(Table_ChiPhiNV_Ca[[#Headers],[Ca]:[Bắt đầu]]),0)),
$AA31&gt;MIN(AH$5,VLOOKUP(AH$6, Table_ChiPhiNV_Ca[], COUNTA(Table_ChiPhiNV_Ca[[#Headers],[Ca]:[Kết thúc]]),0))),0,
SUM(_xlfn._xlws.FILTER(Table_BangLuong_TyLeTangCa[Tỷ lệ],
(Table_BangLuong_TyLeTangCa[Ngày] = "Thường") *
(Table_BangLuong_TyLeTangCa[Giờ min]&lt;=$AA31) *
(Table_BangLuong_TyLeTangCa[Giờ max]&gt;$AA31)
))),
IF(
AND(
$AA31-$Z$4&gt;=MAX(AH$4,VLOOKUP(AH$6, Table_ChiPhiNV_Ca[], COUNTA(Table_ChiPhiNV_Ca[[#Headers],[Ca]:[Bắt đầu]]),0)),
$AA31&lt;MIN(AH$5,VLOOKUP(AH$6, Table_ChiPhiNV_Ca[], COUNTA(Table_ChiPhiNV_Ca[[#Headers],[Ca]:[Kết thúc]]),0))),
SUM(_xlfn._xlws.FILTER(Table_BangLuong_TyLeTangCa[Tỷ lệ],
(Table_BangLuong_TyLeTangCa[Ngày] = "Thường") *
(Table_BangLuong_TyLeTangCa[Giờ min]&lt;=$AA31) *
(Table_BangLuong_TyLeTangCa[Giờ max]&gt;$AA31)
)),0)
)),
IF(AH$4 &lt; AH$5,
IF($AA31-$Z$4&lt;AH$4,0,
IF($AA31&gt;AH$5,0,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AH$5,$AA31 &lt; AH$4),0,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I31" s="18" cm="1">
        <f t="array" ref="AI31" xml:space="preserve">
IFERROR(
IF(AI$1="",0,
IF(AND(
$AA31&gt;=VLOOKUP(AI$6, Table_ChiPhiNV_Ca[], COUNTA(Table_ChiPhiNV_Ca[[#Headers],[Ca]:[Bắt đầu nghỉ]]),0),
$AA31&lt;VLOOKUP(AI$6, Table_ChiPhiNV_Ca[], COUNTA(Table_ChiPhiNV_Ca[[#Headers],[Ca]:[Kết thúc nghỉ]]),0)
),0,
IF(NOT(ISBLANK(AI$3)),
IF(ISBLANK(AI$7),0,
IF(AI$4 &lt; AI$5,
IF($AA31-$Z$4&lt;AI$4,0,
IF($AA31&gt;AI$5,0,
SUM(_xlfn._xlws.FILTER(Table_BangLuong_TyLeTangCa[Tỷ lệ],
(Table_BangLuong_TyLeTangCa[Ngày] = AI$3) *
(Table_BangLuong_TyLeTangCa[Giờ min]&lt;=$AA31) *
(Table_BangLuong_TyLeTangCa[Giờ max]&gt;$AA31)
)))),
IF(AND($AA31-$Z$4 &gt;= AI$5,$AA31 &lt; AI$4),0,
SUM(_xlfn._xlws.FILTER(Table_BangLuong_TyLeTangCa[Tỷ lệ],
(Table_BangLuong_TyLeTangCa[Ngày] = AI$3) *
(Table_BangLuong_TyLeTangCa[Giờ min]&lt;=$AA31) *
(Table_BangLuong_TyLeTangCa[Giờ max]&gt;$AA31)
))))
),
IF(ISBLANK(AI$7),
IF(VLOOKUP(AI$6, Table_ChiPhiNV_Ca[], COUNTA(Table_ChiPhiNV_Ca[[#Headers],[Ca]:[Kết thúc]]),0)&gt; VLOOKUP(AI$6, Table_ChiPhiNV_Ca[], COUNTA(Table_ChiPhiNV_Ca[[#Headers],[Ca]:[Bắt đầu]]),0),
IF($AA31-$Z$4&lt;MAX(AI$4,VLOOKUP(AI$6, Table_ChiPhiNV_Ca[], COUNTA(Table_ChiPhiNV_Ca[[#Headers],[Ca]:[Bắt đầu]]),0)),0,
IF($AA31&gt;MIN(AI$5,VLOOKUP(AI$6, Table_ChiPhiNV_Ca[], COUNTA(Table_ChiPhiNV_Ca[[#Headers],[Ca]:[Kết thúc]]),0)),0,
SUM(_xlfn._xlws.FILTER(Table_BangLuong_TyLeTangCa[Tỷ lệ],
(Table_BangLuong_TyLeTangCa[Ngày] = "Thường") *
(Table_BangLuong_TyLeTangCa[Giờ min]&lt;=$AA31) *
(Table_BangLuong_TyLeTangCa[Giờ max]&gt;$AA31)
)))),
IF(AI$4 &gt; AI$5,
IF(
AND(
$AA31-$Z$4&lt;MAX(AI$4,VLOOKUP(AI$6, Table_ChiPhiNV_Ca[], COUNTA(Table_ChiPhiNV_Ca[[#Headers],[Ca]:[Bắt đầu]]),0)),
$AA31&gt;MIN(AI$5,VLOOKUP(AI$6, Table_ChiPhiNV_Ca[], COUNTA(Table_ChiPhiNV_Ca[[#Headers],[Ca]:[Kết thúc]]),0))),0,
SUM(_xlfn._xlws.FILTER(Table_BangLuong_TyLeTangCa[Tỷ lệ],
(Table_BangLuong_TyLeTangCa[Ngày] = "Thường") *
(Table_BangLuong_TyLeTangCa[Giờ min]&lt;=$AA31) *
(Table_BangLuong_TyLeTangCa[Giờ max]&gt;$AA31)
))),
IF(
AND(
$AA31-$Z$4&gt;=MAX(AI$4,VLOOKUP(AI$6, Table_ChiPhiNV_Ca[], COUNTA(Table_ChiPhiNV_Ca[[#Headers],[Ca]:[Bắt đầu]]),0)),
$AA31&lt;MIN(AI$5,VLOOKUP(AI$6, Table_ChiPhiNV_Ca[], COUNTA(Table_ChiPhiNV_Ca[[#Headers],[Ca]:[Kết thúc]]),0))),
SUM(_xlfn._xlws.FILTER(Table_BangLuong_TyLeTangCa[Tỷ lệ],
(Table_BangLuong_TyLeTangCa[Ngày] = "Thường") *
(Table_BangLuong_TyLeTangCa[Giờ min]&lt;=$AA31) *
(Table_BangLuong_TyLeTangCa[Giờ max]&gt;$AA31)
)),0)
)),
IF(AI$4 &lt; AI$5,
IF($AA31-$Z$4&lt;AI$4,0,
IF($AA31&gt;AI$5,0,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AI$5,$AA31 &lt; AI$4),0,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J31" s="18" cm="1">
        <f t="array" ref="AJ31" xml:space="preserve">
IFERROR(
IF(AJ$1="",0,
IF(AND(
$AA31&gt;=VLOOKUP(AJ$6, Table_ChiPhiNV_Ca[], COUNTA(Table_ChiPhiNV_Ca[[#Headers],[Ca]:[Bắt đầu nghỉ]]),0),
$AA31&lt;VLOOKUP(AJ$6, Table_ChiPhiNV_Ca[], COUNTA(Table_ChiPhiNV_Ca[[#Headers],[Ca]:[Kết thúc nghỉ]]),0)
),0,
IF(NOT(ISBLANK(AJ$3)),
IF(ISBLANK(AJ$7),0,
IF(AJ$4 &lt; AJ$5,
IF($AA31-$Z$4&lt;AJ$4,0,
IF($AA31&gt;AJ$5,0,
SUM(_xlfn._xlws.FILTER(Table_BangLuong_TyLeTangCa[Tỷ lệ],
(Table_BangLuong_TyLeTangCa[Ngày] = AJ$3) *
(Table_BangLuong_TyLeTangCa[Giờ min]&lt;=$AA31) *
(Table_BangLuong_TyLeTangCa[Giờ max]&gt;$AA31)
)))),
IF(AND($AA31-$Z$4 &gt;= AJ$5,$AA31 &lt; AJ$4),0,
SUM(_xlfn._xlws.FILTER(Table_BangLuong_TyLeTangCa[Tỷ lệ],
(Table_BangLuong_TyLeTangCa[Ngày] = AJ$3) *
(Table_BangLuong_TyLeTangCa[Giờ min]&lt;=$AA31) *
(Table_BangLuong_TyLeTangCa[Giờ max]&gt;$AA31)
))))
),
IF(ISBLANK(AJ$7),
IF(VLOOKUP(AJ$6, Table_ChiPhiNV_Ca[], COUNTA(Table_ChiPhiNV_Ca[[#Headers],[Ca]:[Kết thúc]]),0)&gt; VLOOKUP(AJ$6, Table_ChiPhiNV_Ca[], COUNTA(Table_ChiPhiNV_Ca[[#Headers],[Ca]:[Bắt đầu]]),0),
IF($AA31-$Z$4&lt;MAX(AJ$4,VLOOKUP(AJ$6, Table_ChiPhiNV_Ca[], COUNTA(Table_ChiPhiNV_Ca[[#Headers],[Ca]:[Bắt đầu]]),0)),0,
IF($AA31&gt;MIN(AJ$5,VLOOKUP(AJ$6, Table_ChiPhiNV_Ca[], COUNTA(Table_ChiPhiNV_Ca[[#Headers],[Ca]:[Kết thúc]]),0)),0,
SUM(_xlfn._xlws.FILTER(Table_BangLuong_TyLeTangCa[Tỷ lệ],
(Table_BangLuong_TyLeTangCa[Ngày] = "Thường") *
(Table_BangLuong_TyLeTangCa[Giờ min]&lt;=$AA31) *
(Table_BangLuong_TyLeTangCa[Giờ max]&gt;$AA31)
)))),
IF(AJ$4 &gt; AJ$5,
IF(
AND(
$AA31-$Z$4&lt;MAX(AJ$4,VLOOKUP(AJ$6, Table_ChiPhiNV_Ca[], COUNTA(Table_ChiPhiNV_Ca[[#Headers],[Ca]:[Bắt đầu]]),0)),
$AA31&gt;MIN(AJ$5,VLOOKUP(AJ$6, Table_ChiPhiNV_Ca[], COUNTA(Table_ChiPhiNV_Ca[[#Headers],[Ca]:[Kết thúc]]),0))),0,
SUM(_xlfn._xlws.FILTER(Table_BangLuong_TyLeTangCa[Tỷ lệ],
(Table_BangLuong_TyLeTangCa[Ngày] = "Thường") *
(Table_BangLuong_TyLeTangCa[Giờ min]&lt;=$AA31) *
(Table_BangLuong_TyLeTangCa[Giờ max]&gt;$AA31)
))),
IF(
AND(
$AA31-$Z$4&gt;=MAX(AJ$4,VLOOKUP(AJ$6, Table_ChiPhiNV_Ca[], COUNTA(Table_ChiPhiNV_Ca[[#Headers],[Ca]:[Bắt đầu]]),0)),
$AA31&lt;MIN(AJ$5,VLOOKUP(AJ$6, Table_ChiPhiNV_Ca[], COUNTA(Table_ChiPhiNV_Ca[[#Headers],[Ca]:[Kết thúc]]),0))),
SUM(_xlfn._xlws.FILTER(Table_BangLuong_TyLeTangCa[Tỷ lệ],
(Table_BangLuong_TyLeTangCa[Ngày] = "Thường") *
(Table_BangLuong_TyLeTangCa[Giờ min]&lt;=$AA31) *
(Table_BangLuong_TyLeTangCa[Giờ max]&gt;$AA31)
)),0)
)),
IF(AJ$4 &lt; AJ$5,
IF($AA31-$Z$4&lt;AJ$4,0,
IF($AA31&gt;AJ$5,0,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AJ$5,$AA31 &lt; AJ$4),0,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K31" s="18" cm="1">
        <f t="array" ref="AK31" xml:space="preserve">
IFERROR(
IF(AK$1="",0,
IF(AND(
$AA31&gt;=VLOOKUP(AK$6, Table_ChiPhiNV_Ca[], COUNTA(Table_ChiPhiNV_Ca[[#Headers],[Ca]:[Bắt đầu nghỉ]]),0),
$AA31&lt;VLOOKUP(AK$6, Table_ChiPhiNV_Ca[], COUNTA(Table_ChiPhiNV_Ca[[#Headers],[Ca]:[Kết thúc nghỉ]]),0)
),0,
IF(NOT(ISBLANK(AK$3)),
IF(ISBLANK(AK$7),0,
IF(AK$4 &lt; AK$5,
IF($AA31-$Z$4&lt;AK$4,0,
IF($AA31&gt;AK$5,0,
SUM(_xlfn._xlws.FILTER(Table_BangLuong_TyLeTangCa[Tỷ lệ],
(Table_BangLuong_TyLeTangCa[Ngày] = AK$3) *
(Table_BangLuong_TyLeTangCa[Giờ min]&lt;=$AA31) *
(Table_BangLuong_TyLeTangCa[Giờ max]&gt;$AA31)
)))),
IF(AND($AA31-$Z$4 &gt;= AK$5,$AA31 &lt; AK$4),0,
SUM(_xlfn._xlws.FILTER(Table_BangLuong_TyLeTangCa[Tỷ lệ],
(Table_BangLuong_TyLeTangCa[Ngày] = AK$3) *
(Table_BangLuong_TyLeTangCa[Giờ min]&lt;=$AA31) *
(Table_BangLuong_TyLeTangCa[Giờ max]&gt;$AA31)
))))
),
IF(ISBLANK(AK$7),
IF(VLOOKUP(AK$6, Table_ChiPhiNV_Ca[], COUNTA(Table_ChiPhiNV_Ca[[#Headers],[Ca]:[Kết thúc]]),0)&gt; VLOOKUP(AK$6, Table_ChiPhiNV_Ca[], COUNTA(Table_ChiPhiNV_Ca[[#Headers],[Ca]:[Bắt đầu]]),0),
IF($AA31-$Z$4&lt;MAX(AK$4,VLOOKUP(AK$6, Table_ChiPhiNV_Ca[], COUNTA(Table_ChiPhiNV_Ca[[#Headers],[Ca]:[Bắt đầu]]),0)),0,
IF($AA31&gt;MIN(AK$5,VLOOKUP(AK$6, Table_ChiPhiNV_Ca[], COUNTA(Table_ChiPhiNV_Ca[[#Headers],[Ca]:[Kết thúc]]),0)),0,
SUM(_xlfn._xlws.FILTER(Table_BangLuong_TyLeTangCa[Tỷ lệ],
(Table_BangLuong_TyLeTangCa[Ngày] = "Thường") *
(Table_BangLuong_TyLeTangCa[Giờ min]&lt;=$AA31) *
(Table_BangLuong_TyLeTangCa[Giờ max]&gt;$AA31)
)))),
IF(AK$4 &gt; AK$5,
IF(
AND(
$AA31-$Z$4&lt;MAX(AK$4,VLOOKUP(AK$6, Table_ChiPhiNV_Ca[], COUNTA(Table_ChiPhiNV_Ca[[#Headers],[Ca]:[Bắt đầu]]),0)),
$AA31&gt;MIN(AK$5,VLOOKUP(AK$6, Table_ChiPhiNV_Ca[], COUNTA(Table_ChiPhiNV_Ca[[#Headers],[Ca]:[Kết thúc]]),0))),0,
SUM(_xlfn._xlws.FILTER(Table_BangLuong_TyLeTangCa[Tỷ lệ],
(Table_BangLuong_TyLeTangCa[Ngày] = "Thường") *
(Table_BangLuong_TyLeTangCa[Giờ min]&lt;=$AA31) *
(Table_BangLuong_TyLeTangCa[Giờ max]&gt;$AA31)
))),
IF(
AND(
$AA31-$Z$4&gt;=MAX(AK$4,VLOOKUP(AK$6, Table_ChiPhiNV_Ca[], COUNTA(Table_ChiPhiNV_Ca[[#Headers],[Ca]:[Bắt đầu]]),0)),
$AA31&lt;MIN(AK$5,VLOOKUP(AK$6, Table_ChiPhiNV_Ca[], COUNTA(Table_ChiPhiNV_Ca[[#Headers],[Ca]:[Kết thúc]]),0))),
SUM(_xlfn._xlws.FILTER(Table_BangLuong_TyLeTangCa[Tỷ lệ],
(Table_BangLuong_TyLeTangCa[Ngày] = "Thường") *
(Table_BangLuong_TyLeTangCa[Giờ min]&lt;=$AA31) *
(Table_BangLuong_TyLeTangCa[Giờ max]&gt;$AA31)
)),0)
)),
IF(AK$4 &lt; AK$5,
IF($AA31-$Z$4&lt;AK$4,0,
IF($AA31&gt;AK$5,0,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AK$5,$AA31 &lt; AK$4),0,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L31" s="18" cm="1">
        <f t="array" ref="AL31" xml:space="preserve">
IFERROR(
IF(AL$1="",0,
IF(AND(
$AA31&gt;=VLOOKUP(AL$6, Table_ChiPhiNV_Ca[], COUNTA(Table_ChiPhiNV_Ca[[#Headers],[Ca]:[Bắt đầu nghỉ]]),0),
$AA31&lt;VLOOKUP(AL$6, Table_ChiPhiNV_Ca[], COUNTA(Table_ChiPhiNV_Ca[[#Headers],[Ca]:[Kết thúc nghỉ]]),0)
),0,
IF(NOT(ISBLANK(AL$3)),
IF(ISBLANK(AL$7),0,
IF(AL$4 &lt; AL$5,
IF($AA31-$Z$4&lt;AL$4,0,
IF($AA31&gt;AL$5,0,
SUM(_xlfn._xlws.FILTER(Table_BangLuong_TyLeTangCa[Tỷ lệ],
(Table_BangLuong_TyLeTangCa[Ngày] = AL$3) *
(Table_BangLuong_TyLeTangCa[Giờ min]&lt;=$AA31) *
(Table_BangLuong_TyLeTangCa[Giờ max]&gt;$AA31)
)))),
IF(AND($AA31-$Z$4 &gt;= AL$5,$AA31 &lt; AL$4),0,
SUM(_xlfn._xlws.FILTER(Table_BangLuong_TyLeTangCa[Tỷ lệ],
(Table_BangLuong_TyLeTangCa[Ngày] = AL$3) *
(Table_BangLuong_TyLeTangCa[Giờ min]&lt;=$AA31) *
(Table_BangLuong_TyLeTangCa[Giờ max]&gt;$AA31)
))))
),
IF(ISBLANK(AL$7),
IF(VLOOKUP(AL$6, Table_ChiPhiNV_Ca[], COUNTA(Table_ChiPhiNV_Ca[[#Headers],[Ca]:[Kết thúc]]),0)&gt; VLOOKUP(AL$6, Table_ChiPhiNV_Ca[], COUNTA(Table_ChiPhiNV_Ca[[#Headers],[Ca]:[Bắt đầu]]),0),
IF($AA31-$Z$4&lt;MAX(AL$4,VLOOKUP(AL$6, Table_ChiPhiNV_Ca[], COUNTA(Table_ChiPhiNV_Ca[[#Headers],[Ca]:[Bắt đầu]]),0)),0,
IF($AA31&gt;MIN(AL$5,VLOOKUP(AL$6, Table_ChiPhiNV_Ca[], COUNTA(Table_ChiPhiNV_Ca[[#Headers],[Ca]:[Kết thúc]]),0)),0,
SUM(_xlfn._xlws.FILTER(Table_BangLuong_TyLeTangCa[Tỷ lệ],
(Table_BangLuong_TyLeTangCa[Ngày] = "Thường") *
(Table_BangLuong_TyLeTangCa[Giờ min]&lt;=$AA31) *
(Table_BangLuong_TyLeTangCa[Giờ max]&gt;$AA31)
)))),
IF(AL$4 &gt; AL$5,
IF(
AND(
$AA31-$Z$4&lt;MAX(AL$4,VLOOKUP(AL$6, Table_ChiPhiNV_Ca[], COUNTA(Table_ChiPhiNV_Ca[[#Headers],[Ca]:[Bắt đầu]]),0)),
$AA31&gt;MIN(AL$5,VLOOKUP(AL$6, Table_ChiPhiNV_Ca[], COUNTA(Table_ChiPhiNV_Ca[[#Headers],[Ca]:[Kết thúc]]),0))),0,
SUM(_xlfn._xlws.FILTER(Table_BangLuong_TyLeTangCa[Tỷ lệ],
(Table_BangLuong_TyLeTangCa[Ngày] = "Thường") *
(Table_BangLuong_TyLeTangCa[Giờ min]&lt;=$AA31) *
(Table_BangLuong_TyLeTangCa[Giờ max]&gt;$AA31)
))),
IF(
AND(
$AA31-$Z$4&gt;=MAX(AL$4,VLOOKUP(AL$6, Table_ChiPhiNV_Ca[], COUNTA(Table_ChiPhiNV_Ca[[#Headers],[Ca]:[Bắt đầu]]),0)),
$AA31&lt;MIN(AL$5,VLOOKUP(AL$6, Table_ChiPhiNV_Ca[], COUNTA(Table_ChiPhiNV_Ca[[#Headers],[Ca]:[Kết thúc]]),0))),
SUM(_xlfn._xlws.FILTER(Table_BangLuong_TyLeTangCa[Tỷ lệ],
(Table_BangLuong_TyLeTangCa[Ngày] = "Thường") *
(Table_BangLuong_TyLeTangCa[Giờ min]&lt;=$AA31) *
(Table_BangLuong_TyLeTangCa[Giờ max]&gt;$AA31)
)),0)
)),
IF(AL$4 &lt; AL$5,
IF($AA31-$Z$4&lt;AL$4,0,
IF($AA31&gt;AL$5,0,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AL$5,$AA31 &lt; AL$4),0,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M31" s="18" cm="1">
        <f t="array" ref="AM31" xml:space="preserve">
IFERROR(
IF(AM$1="",0,
IF(AND(
$AA31&gt;=VLOOKUP(AM$6, Table_ChiPhiNV_Ca[], COUNTA(Table_ChiPhiNV_Ca[[#Headers],[Ca]:[Bắt đầu nghỉ]]),0),
$AA31&lt;VLOOKUP(AM$6, Table_ChiPhiNV_Ca[], COUNTA(Table_ChiPhiNV_Ca[[#Headers],[Ca]:[Kết thúc nghỉ]]),0)
),0,
IF(NOT(ISBLANK(AM$3)),
IF(ISBLANK(AM$7),0,
IF(AM$4 &lt; AM$5,
IF($AA31-$Z$4&lt;AM$4,0,
IF($AA31&gt;AM$5,0,
SUM(_xlfn._xlws.FILTER(Table_BangLuong_TyLeTangCa[Tỷ lệ],
(Table_BangLuong_TyLeTangCa[Ngày] = AM$3) *
(Table_BangLuong_TyLeTangCa[Giờ min]&lt;=$AA31) *
(Table_BangLuong_TyLeTangCa[Giờ max]&gt;$AA31)
)))),
IF(AND($AA31-$Z$4 &gt;= AM$5,$AA31 &lt; AM$4),0,
SUM(_xlfn._xlws.FILTER(Table_BangLuong_TyLeTangCa[Tỷ lệ],
(Table_BangLuong_TyLeTangCa[Ngày] = AM$3) *
(Table_BangLuong_TyLeTangCa[Giờ min]&lt;=$AA31) *
(Table_BangLuong_TyLeTangCa[Giờ max]&gt;$AA31)
))))
),
IF(ISBLANK(AM$7),
IF(VLOOKUP(AM$6, Table_ChiPhiNV_Ca[], COUNTA(Table_ChiPhiNV_Ca[[#Headers],[Ca]:[Kết thúc]]),0)&gt; VLOOKUP(AM$6, Table_ChiPhiNV_Ca[], COUNTA(Table_ChiPhiNV_Ca[[#Headers],[Ca]:[Bắt đầu]]),0),
IF($AA31-$Z$4&lt;MAX(AM$4,VLOOKUP(AM$6, Table_ChiPhiNV_Ca[], COUNTA(Table_ChiPhiNV_Ca[[#Headers],[Ca]:[Bắt đầu]]),0)),0,
IF($AA31&gt;MIN(AM$5,VLOOKUP(AM$6, Table_ChiPhiNV_Ca[], COUNTA(Table_ChiPhiNV_Ca[[#Headers],[Ca]:[Kết thúc]]),0)),0,
SUM(_xlfn._xlws.FILTER(Table_BangLuong_TyLeTangCa[Tỷ lệ],
(Table_BangLuong_TyLeTangCa[Ngày] = "Thường") *
(Table_BangLuong_TyLeTangCa[Giờ min]&lt;=$AA31) *
(Table_BangLuong_TyLeTangCa[Giờ max]&gt;$AA31)
)))),
IF(AM$4 &gt; AM$5,
IF(
AND(
$AA31-$Z$4&lt;MAX(AM$4,VLOOKUP(AM$6, Table_ChiPhiNV_Ca[], COUNTA(Table_ChiPhiNV_Ca[[#Headers],[Ca]:[Bắt đầu]]),0)),
$AA31&gt;MIN(AM$5,VLOOKUP(AM$6, Table_ChiPhiNV_Ca[], COUNTA(Table_ChiPhiNV_Ca[[#Headers],[Ca]:[Kết thúc]]),0))),0,
SUM(_xlfn._xlws.FILTER(Table_BangLuong_TyLeTangCa[Tỷ lệ],
(Table_BangLuong_TyLeTangCa[Ngày] = "Thường") *
(Table_BangLuong_TyLeTangCa[Giờ min]&lt;=$AA31) *
(Table_BangLuong_TyLeTangCa[Giờ max]&gt;$AA31)
))),
IF(
AND(
$AA31-$Z$4&gt;=MAX(AM$4,VLOOKUP(AM$6, Table_ChiPhiNV_Ca[], COUNTA(Table_ChiPhiNV_Ca[[#Headers],[Ca]:[Bắt đầu]]),0)),
$AA31&lt;MIN(AM$5,VLOOKUP(AM$6, Table_ChiPhiNV_Ca[], COUNTA(Table_ChiPhiNV_Ca[[#Headers],[Ca]:[Kết thúc]]),0))),
SUM(_xlfn._xlws.FILTER(Table_BangLuong_TyLeTangCa[Tỷ lệ],
(Table_BangLuong_TyLeTangCa[Ngày] = "Thường") *
(Table_BangLuong_TyLeTangCa[Giờ min]&lt;=$AA31) *
(Table_BangLuong_TyLeTangCa[Giờ max]&gt;$AA31)
)),0)
)),
IF(AM$4 &lt; AM$5,
IF($AA31-$Z$4&lt;AM$4,0,
IF($AA31&gt;AM$5,0,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AM$5,$AA31 &lt; AM$4),0,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N31" s="18" cm="1">
        <f t="array" ref="AN31" xml:space="preserve">
IFERROR(
IF(AN$1="",0,
IF(AND(
$AA31&gt;=VLOOKUP(AN$6, Table_ChiPhiNV_Ca[], COUNTA(Table_ChiPhiNV_Ca[[#Headers],[Ca]:[Bắt đầu nghỉ]]),0),
$AA31&lt;VLOOKUP(AN$6, Table_ChiPhiNV_Ca[], COUNTA(Table_ChiPhiNV_Ca[[#Headers],[Ca]:[Kết thúc nghỉ]]),0)
),0,
IF(NOT(ISBLANK(AN$3)),
IF(ISBLANK(AN$7),0,
IF(AN$4 &lt; AN$5,
IF($AA31-$Z$4&lt;AN$4,0,
IF($AA31&gt;AN$5,0,
SUM(_xlfn._xlws.FILTER(Table_BangLuong_TyLeTangCa[Tỷ lệ],
(Table_BangLuong_TyLeTangCa[Ngày] = AN$3) *
(Table_BangLuong_TyLeTangCa[Giờ min]&lt;=$AA31) *
(Table_BangLuong_TyLeTangCa[Giờ max]&gt;$AA31)
)))),
IF(AND($AA31-$Z$4 &gt;= AN$5,$AA31 &lt; AN$4),0,
SUM(_xlfn._xlws.FILTER(Table_BangLuong_TyLeTangCa[Tỷ lệ],
(Table_BangLuong_TyLeTangCa[Ngày] = AN$3) *
(Table_BangLuong_TyLeTangCa[Giờ min]&lt;=$AA31) *
(Table_BangLuong_TyLeTangCa[Giờ max]&gt;$AA31)
))))
),
IF(ISBLANK(AN$7),
IF(VLOOKUP(AN$6, Table_ChiPhiNV_Ca[], COUNTA(Table_ChiPhiNV_Ca[[#Headers],[Ca]:[Kết thúc]]),0)&gt; VLOOKUP(AN$6, Table_ChiPhiNV_Ca[], COUNTA(Table_ChiPhiNV_Ca[[#Headers],[Ca]:[Bắt đầu]]),0),
IF($AA31-$Z$4&lt;MAX(AN$4,VLOOKUP(AN$6, Table_ChiPhiNV_Ca[], COUNTA(Table_ChiPhiNV_Ca[[#Headers],[Ca]:[Bắt đầu]]),0)),0,
IF($AA31&gt;MIN(AN$5,VLOOKUP(AN$6, Table_ChiPhiNV_Ca[], COUNTA(Table_ChiPhiNV_Ca[[#Headers],[Ca]:[Kết thúc]]),0)),0,
SUM(_xlfn._xlws.FILTER(Table_BangLuong_TyLeTangCa[Tỷ lệ],
(Table_BangLuong_TyLeTangCa[Ngày] = "Thường") *
(Table_BangLuong_TyLeTangCa[Giờ min]&lt;=$AA31) *
(Table_BangLuong_TyLeTangCa[Giờ max]&gt;$AA31)
)))),
IF(AN$4 &gt; AN$5,
IF(
AND(
$AA31-$Z$4&lt;MAX(AN$4,VLOOKUP(AN$6, Table_ChiPhiNV_Ca[], COUNTA(Table_ChiPhiNV_Ca[[#Headers],[Ca]:[Bắt đầu]]),0)),
$AA31&gt;MIN(AN$5,VLOOKUP(AN$6, Table_ChiPhiNV_Ca[], COUNTA(Table_ChiPhiNV_Ca[[#Headers],[Ca]:[Kết thúc]]),0))),0,
SUM(_xlfn._xlws.FILTER(Table_BangLuong_TyLeTangCa[Tỷ lệ],
(Table_BangLuong_TyLeTangCa[Ngày] = "Thường") *
(Table_BangLuong_TyLeTangCa[Giờ min]&lt;=$AA31) *
(Table_BangLuong_TyLeTangCa[Giờ max]&gt;$AA31)
))),
IF(
AND(
$AA31-$Z$4&gt;=MAX(AN$4,VLOOKUP(AN$6, Table_ChiPhiNV_Ca[], COUNTA(Table_ChiPhiNV_Ca[[#Headers],[Ca]:[Bắt đầu]]),0)),
$AA31&lt;MIN(AN$5,VLOOKUP(AN$6, Table_ChiPhiNV_Ca[], COUNTA(Table_ChiPhiNV_Ca[[#Headers],[Ca]:[Kết thúc]]),0))),
SUM(_xlfn._xlws.FILTER(Table_BangLuong_TyLeTangCa[Tỷ lệ],
(Table_BangLuong_TyLeTangCa[Ngày] = "Thường") *
(Table_BangLuong_TyLeTangCa[Giờ min]&lt;=$AA31) *
(Table_BangLuong_TyLeTangCa[Giờ max]&gt;$AA31)
)),0)
)),
IF(AN$4 &lt; AN$5,
IF($AA31-$Z$4&lt;AN$4,0,
IF($AA31&gt;AN$5,0,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AN$5,$AA31 &lt; AN$4),0,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O31" s="18" cm="1">
        <f t="array" ref="AO31" xml:space="preserve">
IFERROR(
IF(AO$1="",0,
IF(AND(
$AA31&gt;=VLOOKUP(AO$6, Table_ChiPhiNV_Ca[], COUNTA(Table_ChiPhiNV_Ca[[#Headers],[Ca]:[Bắt đầu nghỉ]]),0),
$AA31&lt;VLOOKUP(AO$6, Table_ChiPhiNV_Ca[], COUNTA(Table_ChiPhiNV_Ca[[#Headers],[Ca]:[Kết thúc nghỉ]]),0)
),0,
IF(NOT(ISBLANK(AO$3)),
IF(ISBLANK(AO$7),0,
IF(AO$4 &lt; AO$5,
IF($AA31-$Z$4&lt;AO$4,0,
IF($AA31&gt;AO$5,0,
SUM(_xlfn._xlws.FILTER(Table_BangLuong_TyLeTangCa[Tỷ lệ],
(Table_BangLuong_TyLeTangCa[Ngày] = AO$3) *
(Table_BangLuong_TyLeTangCa[Giờ min]&lt;=$AA31) *
(Table_BangLuong_TyLeTangCa[Giờ max]&gt;$AA31)
)))),
IF(AND($AA31-$Z$4 &gt;= AO$5,$AA31 &lt; AO$4),0,
SUM(_xlfn._xlws.FILTER(Table_BangLuong_TyLeTangCa[Tỷ lệ],
(Table_BangLuong_TyLeTangCa[Ngày] = AO$3) *
(Table_BangLuong_TyLeTangCa[Giờ min]&lt;=$AA31) *
(Table_BangLuong_TyLeTangCa[Giờ max]&gt;$AA31)
))))
),
IF(ISBLANK(AO$7),
IF(VLOOKUP(AO$6, Table_ChiPhiNV_Ca[], COUNTA(Table_ChiPhiNV_Ca[[#Headers],[Ca]:[Kết thúc]]),0)&gt; VLOOKUP(AO$6, Table_ChiPhiNV_Ca[], COUNTA(Table_ChiPhiNV_Ca[[#Headers],[Ca]:[Bắt đầu]]),0),
IF($AA31-$Z$4&lt;MAX(AO$4,VLOOKUP(AO$6, Table_ChiPhiNV_Ca[], COUNTA(Table_ChiPhiNV_Ca[[#Headers],[Ca]:[Bắt đầu]]),0)),0,
IF($AA31&gt;MIN(AO$5,VLOOKUP(AO$6, Table_ChiPhiNV_Ca[], COUNTA(Table_ChiPhiNV_Ca[[#Headers],[Ca]:[Kết thúc]]),0)),0,
SUM(_xlfn._xlws.FILTER(Table_BangLuong_TyLeTangCa[Tỷ lệ],
(Table_BangLuong_TyLeTangCa[Ngày] = "Thường") *
(Table_BangLuong_TyLeTangCa[Giờ min]&lt;=$AA31) *
(Table_BangLuong_TyLeTangCa[Giờ max]&gt;$AA31)
)))),
IF(AO$4 &gt; AO$5,
IF(
AND(
$AA31-$Z$4&lt;MAX(AO$4,VLOOKUP(AO$6, Table_ChiPhiNV_Ca[], COUNTA(Table_ChiPhiNV_Ca[[#Headers],[Ca]:[Bắt đầu]]),0)),
$AA31&gt;MIN(AO$5,VLOOKUP(AO$6, Table_ChiPhiNV_Ca[], COUNTA(Table_ChiPhiNV_Ca[[#Headers],[Ca]:[Kết thúc]]),0))),0,
SUM(_xlfn._xlws.FILTER(Table_BangLuong_TyLeTangCa[Tỷ lệ],
(Table_BangLuong_TyLeTangCa[Ngày] = "Thường") *
(Table_BangLuong_TyLeTangCa[Giờ min]&lt;=$AA31) *
(Table_BangLuong_TyLeTangCa[Giờ max]&gt;$AA31)
))),
IF(
AND(
$AA31-$Z$4&gt;=MAX(AO$4,VLOOKUP(AO$6, Table_ChiPhiNV_Ca[], COUNTA(Table_ChiPhiNV_Ca[[#Headers],[Ca]:[Bắt đầu]]),0)),
$AA31&lt;MIN(AO$5,VLOOKUP(AO$6, Table_ChiPhiNV_Ca[], COUNTA(Table_ChiPhiNV_Ca[[#Headers],[Ca]:[Kết thúc]]),0))),
SUM(_xlfn._xlws.FILTER(Table_BangLuong_TyLeTangCa[Tỷ lệ],
(Table_BangLuong_TyLeTangCa[Ngày] = "Thường") *
(Table_BangLuong_TyLeTangCa[Giờ min]&lt;=$AA31) *
(Table_BangLuong_TyLeTangCa[Giờ max]&gt;$AA31)
)),0)
)),
IF(AO$4 &lt; AO$5,
IF($AA31-$Z$4&lt;AO$4,0,
IF($AA31&gt;AO$5,0,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AO$5,$AA31 &lt; AO$4),0,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P31" s="18" cm="1">
        <f t="array" ref="AP31" xml:space="preserve">
IFERROR(
IF(AP$1="",0,
IF(AND(
$AA31&gt;=VLOOKUP(AP$6, Table_ChiPhiNV_Ca[], COUNTA(Table_ChiPhiNV_Ca[[#Headers],[Ca]:[Bắt đầu nghỉ]]),0),
$AA31&lt;VLOOKUP(AP$6, Table_ChiPhiNV_Ca[], COUNTA(Table_ChiPhiNV_Ca[[#Headers],[Ca]:[Kết thúc nghỉ]]),0)
),0,
IF(NOT(ISBLANK(AP$3)),
IF(ISBLANK(AP$7),0,
IF(AP$4 &lt; AP$5,
IF($AA31-$Z$4&lt;AP$4,0,
IF($AA31&gt;AP$5,0,
SUM(_xlfn._xlws.FILTER(Table_BangLuong_TyLeTangCa[Tỷ lệ],
(Table_BangLuong_TyLeTangCa[Ngày] = AP$3) *
(Table_BangLuong_TyLeTangCa[Giờ min]&lt;=$AA31) *
(Table_BangLuong_TyLeTangCa[Giờ max]&gt;$AA31)
)))),
IF(AND($AA31-$Z$4 &gt;= AP$5,$AA31 &lt; AP$4),0,
SUM(_xlfn._xlws.FILTER(Table_BangLuong_TyLeTangCa[Tỷ lệ],
(Table_BangLuong_TyLeTangCa[Ngày] = AP$3) *
(Table_BangLuong_TyLeTangCa[Giờ min]&lt;=$AA31) *
(Table_BangLuong_TyLeTangCa[Giờ max]&gt;$AA31)
))))
),
IF(ISBLANK(AP$7),
IF(VLOOKUP(AP$6, Table_ChiPhiNV_Ca[], COUNTA(Table_ChiPhiNV_Ca[[#Headers],[Ca]:[Kết thúc]]),0)&gt; VLOOKUP(AP$6, Table_ChiPhiNV_Ca[], COUNTA(Table_ChiPhiNV_Ca[[#Headers],[Ca]:[Bắt đầu]]),0),
IF($AA31-$Z$4&lt;MAX(AP$4,VLOOKUP(AP$6, Table_ChiPhiNV_Ca[], COUNTA(Table_ChiPhiNV_Ca[[#Headers],[Ca]:[Bắt đầu]]),0)),0,
IF($AA31&gt;MIN(AP$5,VLOOKUP(AP$6, Table_ChiPhiNV_Ca[], COUNTA(Table_ChiPhiNV_Ca[[#Headers],[Ca]:[Kết thúc]]),0)),0,
SUM(_xlfn._xlws.FILTER(Table_BangLuong_TyLeTangCa[Tỷ lệ],
(Table_BangLuong_TyLeTangCa[Ngày] = "Thường") *
(Table_BangLuong_TyLeTangCa[Giờ min]&lt;=$AA31) *
(Table_BangLuong_TyLeTangCa[Giờ max]&gt;$AA31)
)))),
IF(AP$4 &gt; AP$5,
IF(
AND(
$AA31-$Z$4&lt;MAX(AP$4,VLOOKUP(AP$6, Table_ChiPhiNV_Ca[], COUNTA(Table_ChiPhiNV_Ca[[#Headers],[Ca]:[Bắt đầu]]),0)),
$AA31&gt;MIN(AP$5,VLOOKUP(AP$6, Table_ChiPhiNV_Ca[], COUNTA(Table_ChiPhiNV_Ca[[#Headers],[Ca]:[Kết thúc]]),0))),0,
SUM(_xlfn._xlws.FILTER(Table_BangLuong_TyLeTangCa[Tỷ lệ],
(Table_BangLuong_TyLeTangCa[Ngày] = "Thường") *
(Table_BangLuong_TyLeTangCa[Giờ min]&lt;=$AA31) *
(Table_BangLuong_TyLeTangCa[Giờ max]&gt;$AA31)
))),
IF(
AND(
$AA31-$Z$4&gt;=MAX(AP$4,VLOOKUP(AP$6, Table_ChiPhiNV_Ca[], COUNTA(Table_ChiPhiNV_Ca[[#Headers],[Ca]:[Bắt đầu]]),0)),
$AA31&lt;MIN(AP$5,VLOOKUP(AP$6, Table_ChiPhiNV_Ca[], COUNTA(Table_ChiPhiNV_Ca[[#Headers],[Ca]:[Kết thúc]]),0))),
SUM(_xlfn._xlws.FILTER(Table_BangLuong_TyLeTangCa[Tỷ lệ],
(Table_BangLuong_TyLeTangCa[Ngày] = "Thường") *
(Table_BangLuong_TyLeTangCa[Giờ min]&lt;=$AA31) *
(Table_BangLuong_TyLeTangCa[Giờ max]&gt;$AA31)
)),0)
)),
IF(AP$4 &lt; AP$5,
IF($AA31-$Z$4&lt;AP$4,0,
IF($AA31&gt;AP$5,0,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AP$5,$AA31 &lt; AP$4),0,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Q31" s="18" cm="1">
        <f t="array" ref="AQ31" xml:space="preserve">
IFERROR(
IF(AQ$1="",0,
IF(AND(
$AA31&gt;=VLOOKUP(AQ$6, Table_ChiPhiNV_Ca[], COUNTA(Table_ChiPhiNV_Ca[[#Headers],[Ca]:[Bắt đầu nghỉ]]),0),
$AA31&lt;VLOOKUP(AQ$6, Table_ChiPhiNV_Ca[], COUNTA(Table_ChiPhiNV_Ca[[#Headers],[Ca]:[Kết thúc nghỉ]]),0)
),0,
IF(NOT(ISBLANK(AQ$3)),
IF(ISBLANK(AQ$7),0,
IF(AQ$4 &lt; AQ$5,
IF($AA31-$Z$4&lt;AQ$4,0,
IF($AA31&gt;AQ$5,0,
SUM(_xlfn._xlws.FILTER(Table_BangLuong_TyLeTangCa[Tỷ lệ],
(Table_BangLuong_TyLeTangCa[Ngày] = AQ$3) *
(Table_BangLuong_TyLeTangCa[Giờ min]&lt;=$AA31) *
(Table_BangLuong_TyLeTangCa[Giờ max]&gt;$AA31)
)))),
IF(AND($AA31-$Z$4 &gt;= AQ$5,$AA31 &lt; AQ$4),0,
SUM(_xlfn._xlws.FILTER(Table_BangLuong_TyLeTangCa[Tỷ lệ],
(Table_BangLuong_TyLeTangCa[Ngày] = AQ$3) *
(Table_BangLuong_TyLeTangCa[Giờ min]&lt;=$AA31) *
(Table_BangLuong_TyLeTangCa[Giờ max]&gt;$AA31)
))))
),
IF(ISBLANK(AQ$7),
IF(VLOOKUP(AQ$6, Table_ChiPhiNV_Ca[], COUNTA(Table_ChiPhiNV_Ca[[#Headers],[Ca]:[Kết thúc]]),0)&gt; VLOOKUP(AQ$6, Table_ChiPhiNV_Ca[], COUNTA(Table_ChiPhiNV_Ca[[#Headers],[Ca]:[Bắt đầu]]),0),
IF($AA31-$Z$4&lt;MAX(AQ$4,VLOOKUP(AQ$6, Table_ChiPhiNV_Ca[], COUNTA(Table_ChiPhiNV_Ca[[#Headers],[Ca]:[Bắt đầu]]),0)),0,
IF($AA31&gt;MIN(AQ$5,VLOOKUP(AQ$6, Table_ChiPhiNV_Ca[], COUNTA(Table_ChiPhiNV_Ca[[#Headers],[Ca]:[Kết thúc]]),0)),0,
SUM(_xlfn._xlws.FILTER(Table_BangLuong_TyLeTangCa[Tỷ lệ],
(Table_BangLuong_TyLeTangCa[Ngày] = "Thường") *
(Table_BangLuong_TyLeTangCa[Giờ min]&lt;=$AA31) *
(Table_BangLuong_TyLeTangCa[Giờ max]&gt;$AA31)
)))),
IF(AQ$4 &gt; AQ$5,
IF(
AND(
$AA31-$Z$4&lt;MAX(AQ$4,VLOOKUP(AQ$6, Table_ChiPhiNV_Ca[], COUNTA(Table_ChiPhiNV_Ca[[#Headers],[Ca]:[Bắt đầu]]),0)),
$AA31&gt;MIN(AQ$5,VLOOKUP(AQ$6, Table_ChiPhiNV_Ca[], COUNTA(Table_ChiPhiNV_Ca[[#Headers],[Ca]:[Kết thúc]]),0))),0,
SUM(_xlfn._xlws.FILTER(Table_BangLuong_TyLeTangCa[Tỷ lệ],
(Table_BangLuong_TyLeTangCa[Ngày] = "Thường") *
(Table_BangLuong_TyLeTangCa[Giờ min]&lt;=$AA31) *
(Table_BangLuong_TyLeTangCa[Giờ max]&gt;$AA31)
))),
IF(
AND(
$AA31-$Z$4&gt;=MAX(AQ$4,VLOOKUP(AQ$6, Table_ChiPhiNV_Ca[], COUNTA(Table_ChiPhiNV_Ca[[#Headers],[Ca]:[Bắt đầu]]),0)),
$AA31&lt;MIN(AQ$5,VLOOKUP(AQ$6, Table_ChiPhiNV_Ca[], COUNTA(Table_ChiPhiNV_Ca[[#Headers],[Ca]:[Kết thúc]]),0))),
SUM(_xlfn._xlws.FILTER(Table_BangLuong_TyLeTangCa[Tỷ lệ],
(Table_BangLuong_TyLeTangCa[Ngày] = "Thường") *
(Table_BangLuong_TyLeTangCa[Giờ min]&lt;=$AA31) *
(Table_BangLuong_TyLeTangCa[Giờ max]&gt;$AA31)
)),0)
)),
IF(AQ$4 &lt; AQ$5,
IF($AA31-$Z$4&lt;AQ$4,0,
IF($AA31&gt;AQ$5,0,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AQ$5,$AA31 &lt; AQ$4),0,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R31" s="18" cm="1">
        <f t="array" ref="AR31" xml:space="preserve">
IFERROR(
IF(AR$1="",0,
IF(AND(
$AA31&gt;=VLOOKUP(AR$6, Table_ChiPhiNV_Ca[], COUNTA(Table_ChiPhiNV_Ca[[#Headers],[Ca]:[Bắt đầu nghỉ]]),0),
$AA31&lt;VLOOKUP(AR$6, Table_ChiPhiNV_Ca[], COUNTA(Table_ChiPhiNV_Ca[[#Headers],[Ca]:[Kết thúc nghỉ]]),0)
),0,
IF(NOT(ISBLANK(AR$3)),
IF(ISBLANK(AR$7),0,
IF(AR$4 &lt; AR$5,
IF($AA31-$Z$4&lt;AR$4,0,
IF($AA31&gt;AR$5,0,
SUM(_xlfn._xlws.FILTER(Table_BangLuong_TyLeTangCa[Tỷ lệ],
(Table_BangLuong_TyLeTangCa[Ngày] = AR$3) *
(Table_BangLuong_TyLeTangCa[Giờ min]&lt;=$AA31) *
(Table_BangLuong_TyLeTangCa[Giờ max]&gt;$AA31)
)))),
IF(AND($AA31-$Z$4 &gt;= AR$5,$AA31 &lt; AR$4),0,
SUM(_xlfn._xlws.FILTER(Table_BangLuong_TyLeTangCa[Tỷ lệ],
(Table_BangLuong_TyLeTangCa[Ngày] = AR$3) *
(Table_BangLuong_TyLeTangCa[Giờ min]&lt;=$AA31) *
(Table_BangLuong_TyLeTangCa[Giờ max]&gt;$AA31)
))))
),
IF(ISBLANK(AR$7),
IF(VLOOKUP(AR$6, Table_ChiPhiNV_Ca[], COUNTA(Table_ChiPhiNV_Ca[[#Headers],[Ca]:[Kết thúc]]),0)&gt; VLOOKUP(AR$6, Table_ChiPhiNV_Ca[], COUNTA(Table_ChiPhiNV_Ca[[#Headers],[Ca]:[Bắt đầu]]),0),
IF($AA31-$Z$4&lt;MAX(AR$4,VLOOKUP(AR$6, Table_ChiPhiNV_Ca[], COUNTA(Table_ChiPhiNV_Ca[[#Headers],[Ca]:[Bắt đầu]]),0)),0,
IF($AA31&gt;MIN(AR$5,VLOOKUP(AR$6, Table_ChiPhiNV_Ca[], COUNTA(Table_ChiPhiNV_Ca[[#Headers],[Ca]:[Kết thúc]]),0)),0,
SUM(_xlfn._xlws.FILTER(Table_BangLuong_TyLeTangCa[Tỷ lệ],
(Table_BangLuong_TyLeTangCa[Ngày] = "Thường") *
(Table_BangLuong_TyLeTangCa[Giờ min]&lt;=$AA31) *
(Table_BangLuong_TyLeTangCa[Giờ max]&gt;$AA31)
)))),
IF(AR$4 &gt; AR$5,
IF(
AND(
$AA31-$Z$4&lt;MAX(AR$4,VLOOKUP(AR$6, Table_ChiPhiNV_Ca[], COUNTA(Table_ChiPhiNV_Ca[[#Headers],[Ca]:[Bắt đầu]]),0)),
$AA31&gt;MIN(AR$5,VLOOKUP(AR$6, Table_ChiPhiNV_Ca[], COUNTA(Table_ChiPhiNV_Ca[[#Headers],[Ca]:[Kết thúc]]),0))),0,
SUM(_xlfn._xlws.FILTER(Table_BangLuong_TyLeTangCa[Tỷ lệ],
(Table_BangLuong_TyLeTangCa[Ngày] = "Thường") *
(Table_BangLuong_TyLeTangCa[Giờ min]&lt;=$AA31) *
(Table_BangLuong_TyLeTangCa[Giờ max]&gt;$AA31)
))),
IF(
AND(
$AA31-$Z$4&gt;=MAX(AR$4,VLOOKUP(AR$6, Table_ChiPhiNV_Ca[], COUNTA(Table_ChiPhiNV_Ca[[#Headers],[Ca]:[Bắt đầu]]),0)),
$AA31&lt;MIN(AR$5,VLOOKUP(AR$6, Table_ChiPhiNV_Ca[], COUNTA(Table_ChiPhiNV_Ca[[#Headers],[Ca]:[Kết thúc]]),0))),
SUM(_xlfn._xlws.FILTER(Table_BangLuong_TyLeTangCa[Tỷ lệ],
(Table_BangLuong_TyLeTangCa[Ngày] = "Thường") *
(Table_BangLuong_TyLeTangCa[Giờ min]&lt;=$AA31) *
(Table_BangLuong_TyLeTangCa[Giờ max]&gt;$AA31)
)),0)
)),
IF(AR$4 &lt; AR$5,
IF($AA31-$Z$4&lt;AR$4,0,
IF($AA31&gt;AR$5,0,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AR$5,$AA31 &lt; AR$4),0,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S31" s="18" cm="1">
        <f t="array" ref="AS31" xml:space="preserve">
IFERROR(
IF(AS$1="",0,
IF(AND(
$AA31&gt;=VLOOKUP(AS$6, Table_ChiPhiNV_Ca[], COUNTA(Table_ChiPhiNV_Ca[[#Headers],[Ca]:[Bắt đầu nghỉ]]),0),
$AA31&lt;VLOOKUP(AS$6, Table_ChiPhiNV_Ca[], COUNTA(Table_ChiPhiNV_Ca[[#Headers],[Ca]:[Kết thúc nghỉ]]),0)
),0,
IF(NOT(ISBLANK(AS$3)),
IF(ISBLANK(AS$7),0,
IF(AS$4 &lt; AS$5,
IF($AA31-$Z$4&lt;AS$4,0,
IF($AA31&gt;AS$5,0,
SUM(_xlfn._xlws.FILTER(Table_BangLuong_TyLeTangCa[Tỷ lệ],
(Table_BangLuong_TyLeTangCa[Ngày] = AS$3) *
(Table_BangLuong_TyLeTangCa[Giờ min]&lt;=$AA31) *
(Table_BangLuong_TyLeTangCa[Giờ max]&gt;$AA31)
)))),
IF(AND($AA31-$Z$4 &gt;= AS$5,$AA31 &lt; AS$4),0,
SUM(_xlfn._xlws.FILTER(Table_BangLuong_TyLeTangCa[Tỷ lệ],
(Table_BangLuong_TyLeTangCa[Ngày] = AS$3) *
(Table_BangLuong_TyLeTangCa[Giờ min]&lt;=$AA31) *
(Table_BangLuong_TyLeTangCa[Giờ max]&gt;$AA31)
))))
),
IF(ISBLANK(AS$7),
IF(VLOOKUP(AS$6, Table_ChiPhiNV_Ca[], COUNTA(Table_ChiPhiNV_Ca[[#Headers],[Ca]:[Kết thúc]]),0)&gt; VLOOKUP(AS$6, Table_ChiPhiNV_Ca[], COUNTA(Table_ChiPhiNV_Ca[[#Headers],[Ca]:[Bắt đầu]]),0),
IF($AA31-$Z$4&lt;MAX(AS$4,VLOOKUP(AS$6, Table_ChiPhiNV_Ca[], COUNTA(Table_ChiPhiNV_Ca[[#Headers],[Ca]:[Bắt đầu]]),0)),0,
IF($AA31&gt;MIN(AS$5,VLOOKUP(AS$6, Table_ChiPhiNV_Ca[], COUNTA(Table_ChiPhiNV_Ca[[#Headers],[Ca]:[Kết thúc]]),0)),0,
SUM(_xlfn._xlws.FILTER(Table_BangLuong_TyLeTangCa[Tỷ lệ],
(Table_BangLuong_TyLeTangCa[Ngày] = "Thường") *
(Table_BangLuong_TyLeTangCa[Giờ min]&lt;=$AA31) *
(Table_BangLuong_TyLeTangCa[Giờ max]&gt;$AA31)
)))),
IF(AS$4 &gt; AS$5,
IF(
AND(
$AA31-$Z$4&lt;MAX(AS$4,VLOOKUP(AS$6, Table_ChiPhiNV_Ca[], COUNTA(Table_ChiPhiNV_Ca[[#Headers],[Ca]:[Bắt đầu]]),0)),
$AA31&gt;MIN(AS$5,VLOOKUP(AS$6, Table_ChiPhiNV_Ca[], COUNTA(Table_ChiPhiNV_Ca[[#Headers],[Ca]:[Kết thúc]]),0))),0,
SUM(_xlfn._xlws.FILTER(Table_BangLuong_TyLeTangCa[Tỷ lệ],
(Table_BangLuong_TyLeTangCa[Ngày] = "Thường") *
(Table_BangLuong_TyLeTangCa[Giờ min]&lt;=$AA31) *
(Table_BangLuong_TyLeTangCa[Giờ max]&gt;$AA31)
))),
IF(
AND(
$AA31-$Z$4&gt;=MAX(AS$4,VLOOKUP(AS$6, Table_ChiPhiNV_Ca[], COUNTA(Table_ChiPhiNV_Ca[[#Headers],[Ca]:[Bắt đầu]]),0)),
$AA31&lt;MIN(AS$5,VLOOKUP(AS$6, Table_ChiPhiNV_Ca[], COUNTA(Table_ChiPhiNV_Ca[[#Headers],[Ca]:[Kết thúc]]),0))),
SUM(_xlfn._xlws.FILTER(Table_BangLuong_TyLeTangCa[Tỷ lệ],
(Table_BangLuong_TyLeTangCa[Ngày] = "Thường") *
(Table_BangLuong_TyLeTangCa[Giờ min]&lt;=$AA31) *
(Table_BangLuong_TyLeTangCa[Giờ max]&gt;$AA31)
)),0)
)),
IF(AS$4 &lt; AS$5,
IF($AA31-$Z$4&lt;AS$4,0,
IF($AA31&gt;AS$5,0,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AS$5,$AA31 &lt; AS$4),0,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T31" s="18" cm="1">
        <f t="array" ref="AT31" xml:space="preserve">
IFERROR(
IF(AT$1="",0,
IF(AND(
$AA31&gt;=VLOOKUP(AT$6, Table_ChiPhiNV_Ca[], COUNTA(Table_ChiPhiNV_Ca[[#Headers],[Ca]:[Bắt đầu nghỉ]]),0),
$AA31&lt;VLOOKUP(AT$6, Table_ChiPhiNV_Ca[], COUNTA(Table_ChiPhiNV_Ca[[#Headers],[Ca]:[Kết thúc nghỉ]]),0)
),0,
IF(NOT(ISBLANK(AT$3)),
IF(ISBLANK(AT$7),0,
IF(AT$4 &lt; AT$5,
IF($AA31-$Z$4&lt;AT$4,0,
IF($AA31&gt;AT$5,0,
SUM(_xlfn._xlws.FILTER(Table_BangLuong_TyLeTangCa[Tỷ lệ],
(Table_BangLuong_TyLeTangCa[Ngày] = AT$3) *
(Table_BangLuong_TyLeTangCa[Giờ min]&lt;=$AA31) *
(Table_BangLuong_TyLeTangCa[Giờ max]&gt;$AA31)
)))),
IF(AND($AA31-$Z$4 &gt;= AT$5,$AA31 &lt; AT$4),0,
SUM(_xlfn._xlws.FILTER(Table_BangLuong_TyLeTangCa[Tỷ lệ],
(Table_BangLuong_TyLeTangCa[Ngày] = AT$3) *
(Table_BangLuong_TyLeTangCa[Giờ min]&lt;=$AA31) *
(Table_BangLuong_TyLeTangCa[Giờ max]&gt;$AA31)
))))
),
IF(ISBLANK(AT$7),
IF(VLOOKUP(AT$6, Table_ChiPhiNV_Ca[], COUNTA(Table_ChiPhiNV_Ca[[#Headers],[Ca]:[Kết thúc]]),0)&gt; VLOOKUP(AT$6, Table_ChiPhiNV_Ca[], COUNTA(Table_ChiPhiNV_Ca[[#Headers],[Ca]:[Bắt đầu]]),0),
IF($AA31-$Z$4&lt;MAX(AT$4,VLOOKUP(AT$6, Table_ChiPhiNV_Ca[], COUNTA(Table_ChiPhiNV_Ca[[#Headers],[Ca]:[Bắt đầu]]),0)),0,
IF($AA31&gt;MIN(AT$5,VLOOKUP(AT$6, Table_ChiPhiNV_Ca[], COUNTA(Table_ChiPhiNV_Ca[[#Headers],[Ca]:[Kết thúc]]),0)),0,
SUM(_xlfn._xlws.FILTER(Table_BangLuong_TyLeTangCa[Tỷ lệ],
(Table_BangLuong_TyLeTangCa[Ngày] = "Thường") *
(Table_BangLuong_TyLeTangCa[Giờ min]&lt;=$AA31) *
(Table_BangLuong_TyLeTangCa[Giờ max]&gt;$AA31)
)))),
IF(AT$4 &gt; AT$5,
IF(
AND(
$AA31-$Z$4&lt;MAX(AT$4,VLOOKUP(AT$6, Table_ChiPhiNV_Ca[], COUNTA(Table_ChiPhiNV_Ca[[#Headers],[Ca]:[Bắt đầu]]),0)),
$AA31&gt;MIN(AT$5,VLOOKUP(AT$6, Table_ChiPhiNV_Ca[], COUNTA(Table_ChiPhiNV_Ca[[#Headers],[Ca]:[Kết thúc]]),0))),0,
SUM(_xlfn._xlws.FILTER(Table_BangLuong_TyLeTangCa[Tỷ lệ],
(Table_BangLuong_TyLeTangCa[Ngày] = "Thường") *
(Table_BangLuong_TyLeTangCa[Giờ min]&lt;=$AA31) *
(Table_BangLuong_TyLeTangCa[Giờ max]&gt;$AA31)
))),
IF(
AND(
$AA31-$Z$4&gt;=MAX(AT$4,VLOOKUP(AT$6, Table_ChiPhiNV_Ca[], COUNTA(Table_ChiPhiNV_Ca[[#Headers],[Ca]:[Bắt đầu]]),0)),
$AA31&lt;MIN(AT$5,VLOOKUP(AT$6, Table_ChiPhiNV_Ca[], COUNTA(Table_ChiPhiNV_Ca[[#Headers],[Ca]:[Kết thúc]]),0))),
SUM(_xlfn._xlws.FILTER(Table_BangLuong_TyLeTangCa[Tỷ lệ],
(Table_BangLuong_TyLeTangCa[Ngày] = "Thường") *
(Table_BangLuong_TyLeTangCa[Giờ min]&lt;=$AA31) *
(Table_BangLuong_TyLeTangCa[Giờ max]&gt;$AA31)
)),0)
)),
IF(AT$4 &lt; AT$5,
IF($AA31-$Z$4&lt;AT$4,0,
IF($AA31&gt;AT$5,0,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AT$5,$AA31 &lt; AT$4),0,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U31" s="18" cm="1">
        <f t="array" ref="AU31" xml:space="preserve">
IFERROR(
IF(AU$1="",0,
IF(AND(
$AA31&gt;=VLOOKUP(AU$6, Table_ChiPhiNV_Ca[], COUNTA(Table_ChiPhiNV_Ca[[#Headers],[Ca]:[Bắt đầu nghỉ]]),0),
$AA31&lt;VLOOKUP(AU$6, Table_ChiPhiNV_Ca[], COUNTA(Table_ChiPhiNV_Ca[[#Headers],[Ca]:[Kết thúc nghỉ]]),0)
),0,
IF(NOT(ISBLANK(AU$3)),
IF(ISBLANK(AU$7),0,
IF(AU$4 &lt; AU$5,
IF($AA31-$Z$4&lt;AU$4,0,
IF($AA31&gt;AU$5,0,
SUM(_xlfn._xlws.FILTER(Table_BangLuong_TyLeTangCa[Tỷ lệ],
(Table_BangLuong_TyLeTangCa[Ngày] = AU$3) *
(Table_BangLuong_TyLeTangCa[Giờ min]&lt;=$AA31) *
(Table_BangLuong_TyLeTangCa[Giờ max]&gt;$AA31)
)))),
IF(AND($AA31-$Z$4 &gt;= AU$5,$AA31 &lt; AU$4),0,
SUM(_xlfn._xlws.FILTER(Table_BangLuong_TyLeTangCa[Tỷ lệ],
(Table_BangLuong_TyLeTangCa[Ngày] = AU$3) *
(Table_BangLuong_TyLeTangCa[Giờ min]&lt;=$AA31) *
(Table_BangLuong_TyLeTangCa[Giờ max]&gt;$AA31)
))))
),
IF(ISBLANK(AU$7),
IF(VLOOKUP(AU$6, Table_ChiPhiNV_Ca[], COUNTA(Table_ChiPhiNV_Ca[[#Headers],[Ca]:[Kết thúc]]),0)&gt; VLOOKUP(AU$6, Table_ChiPhiNV_Ca[], COUNTA(Table_ChiPhiNV_Ca[[#Headers],[Ca]:[Bắt đầu]]),0),
IF($AA31-$Z$4&lt;MAX(AU$4,VLOOKUP(AU$6, Table_ChiPhiNV_Ca[], COUNTA(Table_ChiPhiNV_Ca[[#Headers],[Ca]:[Bắt đầu]]),0)),0,
IF($AA31&gt;MIN(AU$5,VLOOKUP(AU$6, Table_ChiPhiNV_Ca[], COUNTA(Table_ChiPhiNV_Ca[[#Headers],[Ca]:[Kết thúc]]),0)),0,
SUM(_xlfn._xlws.FILTER(Table_BangLuong_TyLeTangCa[Tỷ lệ],
(Table_BangLuong_TyLeTangCa[Ngày] = "Thường") *
(Table_BangLuong_TyLeTangCa[Giờ min]&lt;=$AA31) *
(Table_BangLuong_TyLeTangCa[Giờ max]&gt;$AA31)
)))),
IF(AU$4 &gt; AU$5,
IF(
AND(
$AA31-$Z$4&lt;MAX(AU$4,VLOOKUP(AU$6, Table_ChiPhiNV_Ca[], COUNTA(Table_ChiPhiNV_Ca[[#Headers],[Ca]:[Bắt đầu]]),0)),
$AA31&gt;MIN(AU$5,VLOOKUP(AU$6, Table_ChiPhiNV_Ca[], COUNTA(Table_ChiPhiNV_Ca[[#Headers],[Ca]:[Kết thúc]]),0))),0,
SUM(_xlfn._xlws.FILTER(Table_BangLuong_TyLeTangCa[Tỷ lệ],
(Table_BangLuong_TyLeTangCa[Ngày] = "Thường") *
(Table_BangLuong_TyLeTangCa[Giờ min]&lt;=$AA31) *
(Table_BangLuong_TyLeTangCa[Giờ max]&gt;$AA31)
))),
IF(
AND(
$AA31-$Z$4&gt;=MAX(AU$4,VLOOKUP(AU$6, Table_ChiPhiNV_Ca[], COUNTA(Table_ChiPhiNV_Ca[[#Headers],[Ca]:[Bắt đầu]]),0)),
$AA31&lt;MIN(AU$5,VLOOKUP(AU$6, Table_ChiPhiNV_Ca[], COUNTA(Table_ChiPhiNV_Ca[[#Headers],[Ca]:[Kết thúc]]),0))),
SUM(_xlfn._xlws.FILTER(Table_BangLuong_TyLeTangCa[Tỷ lệ],
(Table_BangLuong_TyLeTangCa[Ngày] = "Thường") *
(Table_BangLuong_TyLeTangCa[Giờ min]&lt;=$AA31) *
(Table_BangLuong_TyLeTangCa[Giờ max]&gt;$AA31)
)),0)
)),
IF(AU$4 &lt; AU$5,
IF($AA31-$Z$4&lt;AU$4,0,
IF($AA31&gt;AU$5,0,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AU$5,$AA31 &lt; AU$4),0,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V31" s="18" cm="1">
        <f t="array" ref="AV31" xml:space="preserve">
IFERROR(
IF(AV$1="",0,
IF(AND(
$AA31&gt;=VLOOKUP(AV$6, Table_ChiPhiNV_Ca[], COUNTA(Table_ChiPhiNV_Ca[[#Headers],[Ca]:[Bắt đầu nghỉ]]),0),
$AA31&lt;VLOOKUP(AV$6, Table_ChiPhiNV_Ca[], COUNTA(Table_ChiPhiNV_Ca[[#Headers],[Ca]:[Kết thúc nghỉ]]),0)
),0,
IF(NOT(ISBLANK(AV$3)),
IF(ISBLANK(AV$7),0,
IF(AV$4 &lt; AV$5,
IF($AA31-$Z$4&lt;AV$4,0,
IF($AA31&gt;AV$5,0,
SUM(_xlfn._xlws.FILTER(Table_BangLuong_TyLeTangCa[Tỷ lệ],
(Table_BangLuong_TyLeTangCa[Ngày] = AV$3) *
(Table_BangLuong_TyLeTangCa[Giờ min]&lt;=$AA31) *
(Table_BangLuong_TyLeTangCa[Giờ max]&gt;$AA31)
)))),
IF(AND($AA31-$Z$4 &gt;= AV$5,$AA31 &lt; AV$4),0,
SUM(_xlfn._xlws.FILTER(Table_BangLuong_TyLeTangCa[Tỷ lệ],
(Table_BangLuong_TyLeTangCa[Ngày] = AV$3) *
(Table_BangLuong_TyLeTangCa[Giờ min]&lt;=$AA31) *
(Table_BangLuong_TyLeTangCa[Giờ max]&gt;$AA31)
))))
),
IF(ISBLANK(AV$7),
IF(VLOOKUP(AV$6, Table_ChiPhiNV_Ca[], COUNTA(Table_ChiPhiNV_Ca[[#Headers],[Ca]:[Kết thúc]]),0)&gt; VLOOKUP(AV$6, Table_ChiPhiNV_Ca[], COUNTA(Table_ChiPhiNV_Ca[[#Headers],[Ca]:[Bắt đầu]]),0),
IF($AA31-$Z$4&lt;MAX(AV$4,VLOOKUP(AV$6, Table_ChiPhiNV_Ca[], COUNTA(Table_ChiPhiNV_Ca[[#Headers],[Ca]:[Bắt đầu]]),0)),0,
IF($AA31&gt;MIN(AV$5,VLOOKUP(AV$6, Table_ChiPhiNV_Ca[], COUNTA(Table_ChiPhiNV_Ca[[#Headers],[Ca]:[Kết thúc]]),0)),0,
SUM(_xlfn._xlws.FILTER(Table_BangLuong_TyLeTangCa[Tỷ lệ],
(Table_BangLuong_TyLeTangCa[Ngày] = "Thường") *
(Table_BangLuong_TyLeTangCa[Giờ min]&lt;=$AA31) *
(Table_BangLuong_TyLeTangCa[Giờ max]&gt;$AA31)
)))),
IF(AV$4 &gt; AV$5,
IF(
AND(
$AA31-$Z$4&lt;MAX(AV$4,VLOOKUP(AV$6, Table_ChiPhiNV_Ca[], COUNTA(Table_ChiPhiNV_Ca[[#Headers],[Ca]:[Bắt đầu]]),0)),
$AA31&gt;MIN(AV$5,VLOOKUP(AV$6, Table_ChiPhiNV_Ca[], COUNTA(Table_ChiPhiNV_Ca[[#Headers],[Ca]:[Kết thúc]]),0))),0,
SUM(_xlfn._xlws.FILTER(Table_BangLuong_TyLeTangCa[Tỷ lệ],
(Table_BangLuong_TyLeTangCa[Ngày] = "Thường") *
(Table_BangLuong_TyLeTangCa[Giờ min]&lt;=$AA31) *
(Table_BangLuong_TyLeTangCa[Giờ max]&gt;$AA31)
))),
IF(
AND(
$AA31-$Z$4&gt;=MAX(AV$4,VLOOKUP(AV$6, Table_ChiPhiNV_Ca[], COUNTA(Table_ChiPhiNV_Ca[[#Headers],[Ca]:[Bắt đầu]]),0)),
$AA31&lt;MIN(AV$5,VLOOKUP(AV$6, Table_ChiPhiNV_Ca[], COUNTA(Table_ChiPhiNV_Ca[[#Headers],[Ca]:[Kết thúc]]),0))),
SUM(_xlfn._xlws.FILTER(Table_BangLuong_TyLeTangCa[Tỷ lệ],
(Table_BangLuong_TyLeTangCa[Ngày] = "Thường") *
(Table_BangLuong_TyLeTangCa[Giờ min]&lt;=$AA31) *
(Table_BangLuong_TyLeTangCa[Giờ max]&gt;$AA31)
)),0)
)),
IF(AV$4 &lt; AV$5,
IF($AA31-$Z$4&lt;AV$4,0,
IF($AA31&gt;AV$5,0,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AV$5,$AA31 &lt; AV$4),0,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W31" s="18" cm="1">
        <f t="array" ref="AW31" xml:space="preserve">
IFERROR(
IF(AW$1="",0,
IF(AND(
$AA31&gt;=VLOOKUP(AW$6, Table_ChiPhiNV_Ca[], COUNTA(Table_ChiPhiNV_Ca[[#Headers],[Ca]:[Bắt đầu nghỉ]]),0),
$AA31&lt;VLOOKUP(AW$6, Table_ChiPhiNV_Ca[], COUNTA(Table_ChiPhiNV_Ca[[#Headers],[Ca]:[Kết thúc nghỉ]]),0)
),0,
IF(NOT(ISBLANK(AW$3)),
IF(ISBLANK(AW$7),0,
IF(AW$4 &lt; AW$5,
IF($AA31-$Z$4&lt;AW$4,0,
IF($AA31&gt;AW$5,0,
SUM(_xlfn._xlws.FILTER(Table_BangLuong_TyLeTangCa[Tỷ lệ],
(Table_BangLuong_TyLeTangCa[Ngày] = AW$3) *
(Table_BangLuong_TyLeTangCa[Giờ min]&lt;=$AA31) *
(Table_BangLuong_TyLeTangCa[Giờ max]&gt;$AA31)
)))),
IF(AND($AA31-$Z$4 &gt;= AW$5,$AA31 &lt; AW$4),0,
SUM(_xlfn._xlws.FILTER(Table_BangLuong_TyLeTangCa[Tỷ lệ],
(Table_BangLuong_TyLeTangCa[Ngày] = AW$3) *
(Table_BangLuong_TyLeTangCa[Giờ min]&lt;=$AA31) *
(Table_BangLuong_TyLeTangCa[Giờ max]&gt;$AA31)
))))
),
IF(ISBLANK(AW$7),
IF(VLOOKUP(AW$6, Table_ChiPhiNV_Ca[], COUNTA(Table_ChiPhiNV_Ca[[#Headers],[Ca]:[Kết thúc]]),0)&gt; VLOOKUP(AW$6, Table_ChiPhiNV_Ca[], COUNTA(Table_ChiPhiNV_Ca[[#Headers],[Ca]:[Bắt đầu]]),0),
IF($AA31-$Z$4&lt;MAX(AW$4,VLOOKUP(AW$6, Table_ChiPhiNV_Ca[], COUNTA(Table_ChiPhiNV_Ca[[#Headers],[Ca]:[Bắt đầu]]),0)),0,
IF($AA31&gt;MIN(AW$5,VLOOKUP(AW$6, Table_ChiPhiNV_Ca[], COUNTA(Table_ChiPhiNV_Ca[[#Headers],[Ca]:[Kết thúc]]),0)),0,
SUM(_xlfn._xlws.FILTER(Table_BangLuong_TyLeTangCa[Tỷ lệ],
(Table_BangLuong_TyLeTangCa[Ngày] = "Thường") *
(Table_BangLuong_TyLeTangCa[Giờ min]&lt;=$AA31) *
(Table_BangLuong_TyLeTangCa[Giờ max]&gt;$AA31)
)))),
IF(AW$4 &gt; AW$5,
IF(
AND(
$AA31-$Z$4&lt;MAX(AW$4,VLOOKUP(AW$6, Table_ChiPhiNV_Ca[], COUNTA(Table_ChiPhiNV_Ca[[#Headers],[Ca]:[Bắt đầu]]),0)),
$AA31&gt;MIN(AW$5,VLOOKUP(AW$6, Table_ChiPhiNV_Ca[], COUNTA(Table_ChiPhiNV_Ca[[#Headers],[Ca]:[Kết thúc]]),0))),0,
SUM(_xlfn._xlws.FILTER(Table_BangLuong_TyLeTangCa[Tỷ lệ],
(Table_BangLuong_TyLeTangCa[Ngày] = "Thường") *
(Table_BangLuong_TyLeTangCa[Giờ min]&lt;=$AA31) *
(Table_BangLuong_TyLeTangCa[Giờ max]&gt;$AA31)
))),
IF(
AND(
$AA31-$Z$4&gt;=MAX(AW$4,VLOOKUP(AW$6, Table_ChiPhiNV_Ca[], COUNTA(Table_ChiPhiNV_Ca[[#Headers],[Ca]:[Bắt đầu]]),0)),
$AA31&lt;MIN(AW$5,VLOOKUP(AW$6, Table_ChiPhiNV_Ca[], COUNTA(Table_ChiPhiNV_Ca[[#Headers],[Ca]:[Kết thúc]]),0))),
SUM(_xlfn._xlws.FILTER(Table_BangLuong_TyLeTangCa[Tỷ lệ],
(Table_BangLuong_TyLeTangCa[Ngày] = "Thường") *
(Table_BangLuong_TyLeTangCa[Giờ min]&lt;=$AA31) *
(Table_BangLuong_TyLeTangCa[Giờ max]&gt;$AA31)
)),0)
)),
IF(AW$4 &lt; AW$5,
IF($AA31-$Z$4&lt;AW$4,0,
IF($AA31&gt;AW$5,0,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AW$5,$AA31 &lt; AW$4),0,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X31" s="18" cm="1">
        <f t="array" ref="AX31" xml:space="preserve">
IFERROR(
IF(AX$1="",0,
IF(AND(
$AA31&gt;=VLOOKUP(AX$6, Table_ChiPhiNV_Ca[], COUNTA(Table_ChiPhiNV_Ca[[#Headers],[Ca]:[Bắt đầu nghỉ]]),0),
$AA31&lt;VLOOKUP(AX$6, Table_ChiPhiNV_Ca[], COUNTA(Table_ChiPhiNV_Ca[[#Headers],[Ca]:[Kết thúc nghỉ]]),0)
),0,
IF(NOT(ISBLANK(AX$3)),
IF(ISBLANK(AX$7),0,
IF(AX$4 &lt; AX$5,
IF($AA31-$Z$4&lt;AX$4,0,
IF($AA31&gt;AX$5,0,
SUM(_xlfn._xlws.FILTER(Table_BangLuong_TyLeTangCa[Tỷ lệ],
(Table_BangLuong_TyLeTangCa[Ngày] = AX$3) *
(Table_BangLuong_TyLeTangCa[Giờ min]&lt;=$AA31) *
(Table_BangLuong_TyLeTangCa[Giờ max]&gt;$AA31)
)))),
IF(AND($AA31-$Z$4 &gt;= AX$5,$AA31 &lt; AX$4),0,
SUM(_xlfn._xlws.FILTER(Table_BangLuong_TyLeTangCa[Tỷ lệ],
(Table_BangLuong_TyLeTangCa[Ngày] = AX$3) *
(Table_BangLuong_TyLeTangCa[Giờ min]&lt;=$AA31) *
(Table_BangLuong_TyLeTangCa[Giờ max]&gt;$AA31)
))))
),
IF(ISBLANK(AX$7),
IF(VLOOKUP(AX$6, Table_ChiPhiNV_Ca[], COUNTA(Table_ChiPhiNV_Ca[[#Headers],[Ca]:[Kết thúc]]),0)&gt; VLOOKUP(AX$6, Table_ChiPhiNV_Ca[], COUNTA(Table_ChiPhiNV_Ca[[#Headers],[Ca]:[Bắt đầu]]),0),
IF($AA31-$Z$4&lt;MAX(AX$4,VLOOKUP(AX$6, Table_ChiPhiNV_Ca[], COUNTA(Table_ChiPhiNV_Ca[[#Headers],[Ca]:[Bắt đầu]]),0)),0,
IF($AA31&gt;MIN(AX$5,VLOOKUP(AX$6, Table_ChiPhiNV_Ca[], COUNTA(Table_ChiPhiNV_Ca[[#Headers],[Ca]:[Kết thúc]]),0)),0,
SUM(_xlfn._xlws.FILTER(Table_BangLuong_TyLeTangCa[Tỷ lệ],
(Table_BangLuong_TyLeTangCa[Ngày] = "Thường") *
(Table_BangLuong_TyLeTangCa[Giờ min]&lt;=$AA31) *
(Table_BangLuong_TyLeTangCa[Giờ max]&gt;$AA31)
)))),
IF(AX$4 &gt; AX$5,
IF(
AND(
$AA31-$Z$4&lt;MAX(AX$4,VLOOKUP(AX$6, Table_ChiPhiNV_Ca[], COUNTA(Table_ChiPhiNV_Ca[[#Headers],[Ca]:[Bắt đầu]]),0)),
$AA31&gt;MIN(AX$5,VLOOKUP(AX$6, Table_ChiPhiNV_Ca[], COUNTA(Table_ChiPhiNV_Ca[[#Headers],[Ca]:[Kết thúc]]),0))),0,
SUM(_xlfn._xlws.FILTER(Table_BangLuong_TyLeTangCa[Tỷ lệ],
(Table_BangLuong_TyLeTangCa[Ngày] = "Thường") *
(Table_BangLuong_TyLeTangCa[Giờ min]&lt;=$AA31) *
(Table_BangLuong_TyLeTangCa[Giờ max]&gt;$AA31)
))),
IF(
AND(
$AA31-$Z$4&gt;=MAX(AX$4,VLOOKUP(AX$6, Table_ChiPhiNV_Ca[], COUNTA(Table_ChiPhiNV_Ca[[#Headers],[Ca]:[Bắt đầu]]),0)),
$AA31&lt;MIN(AX$5,VLOOKUP(AX$6, Table_ChiPhiNV_Ca[], COUNTA(Table_ChiPhiNV_Ca[[#Headers],[Ca]:[Kết thúc]]),0))),
SUM(_xlfn._xlws.FILTER(Table_BangLuong_TyLeTangCa[Tỷ lệ],
(Table_BangLuong_TyLeTangCa[Ngày] = "Thường") *
(Table_BangLuong_TyLeTangCa[Giờ min]&lt;=$AA31) *
(Table_BangLuong_TyLeTangCa[Giờ max]&gt;$AA31)
)),0)
)),
IF(AX$4 &lt; AX$5,
IF($AA31-$Z$4&lt;AX$4,0,
IF($AA31&gt;AX$5,0,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AX$5,$AA31 &lt; AX$4),0,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Y31" s="18" cm="1">
        <f t="array" ref="AY31" xml:space="preserve">
IFERROR(
IF(AY$1="",0,
IF(AND(
$AA31&gt;=VLOOKUP(AY$6, Table_ChiPhiNV_Ca[], COUNTA(Table_ChiPhiNV_Ca[[#Headers],[Ca]:[Bắt đầu nghỉ]]),0),
$AA31&lt;VLOOKUP(AY$6, Table_ChiPhiNV_Ca[], COUNTA(Table_ChiPhiNV_Ca[[#Headers],[Ca]:[Kết thúc nghỉ]]),0)
),0,
IF(NOT(ISBLANK(AY$3)),
IF(ISBLANK(AY$7),0,
IF(AY$4 &lt; AY$5,
IF($AA31-$Z$4&lt;AY$4,0,
IF($AA31&gt;AY$5,0,
SUM(_xlfn._xlws.FILTER(Table_BangLuong_TyLeTangCa[Tỷ lệ],
(Table_BangLuong_TyLeTangCa[Ngày] = AY$3) *
(Table_BangLuong_TyLeTangCa[Giờ min]&lt;=$AA31) *
(Table_BangLuong_TyLeTangCa[Giờ max]&gt;$AA31)
)))),
IF(AND($AA31-$Z$4 &gt;= AY$5,$AA31 &lt; AY$4),0,
SUM(_xlfn._xlws.FILTER(Table_BangLuong_TyLeTangCa[Tỷ lệ],
(Table_BangLuong_TyLeTangCa[Ngày] = AY$3) *
(Table_BangLuong_TyLeTangCa[Giờ min]&lt;=$AA31) *
(Table_BangLuong_TyLeTangCa[Giờ max]&gt;$AA31)
))))
),
IF(ISBLANK(AY$7),
IF(VLOOKUP(AY$6, Table_ChiPhiNV_Ca[], COUNTA(Table_ChiPhiNV_Ca[[#Headers],[Ca]:[Kết thúc]]),0)&gt; VLOOKUP(AY$6, Table_ChiPhiNV_Ca[], COUNTA(Table_ChiPhiNV_Ca[[#Headers],[Ca]:[Bắt đầu]]),0),
IF($AA31-$Z$4&lt;MAX(AY$4,VLOOKUP(AY$6, Table_ChiPhiNV_Ca[], COUNTA(Table_ChiPhiNV_Ca[[#Headers],[Ca]:[Bắt đầu]]),0)),0,
IF($AA31&gt;MIN(AY$5,VLOOKUP(AY$6, Table_ChiPhiNV_Ca[], COUNTA(Table_ChiPhiNV_Ca[[#Headers],[Ca]:[Kết thúc]]),0)),0,
SUM(_xlfn._xlws.FILTER(Table_BangLuong_TyLeTangCa[Tỷ lệ],
(Table_BangLuong_TyLeTangCa[Ngày] = "Thường") *
(Table_BangLuong_TyLeTangCa[Giờ min]&lt;=$AA31) *
(Table_BangLuong_TyLeTangCa[Giờ max]&gt;$AA31)
)))),
IF(AY$4 &gt; AY$5,
IF(
AND(
$AA31-$Z$4&lt;MAX(AY$4,VLOOKUP(AY$6, Table_ChiPhiNV_Ca[], COUNTA(Table_ChiPhiNV_Ca[[#Headers],[Ca]:[Bắt đầu]]),0)),
$AA31&gt;MIN(AY$5,VLOOKUP(AY$6, Table_ChiPhiNV_Ca[], COUNTA(Table_ChiPhiNV_Ca[[#Headers],[Ca]:[Kết thúc]]),0))),0,
SUM(_xlfn._xlws.FILTER(Table_BangLuong_TyLeTangCa[Tỷ lệ],
(Table_BangLuong_TyLeTangCa[Ngày] = "Thường") *
(Table_BangLuong_TyLeTangCa[Giờ min]&lt;=$AA31) *
(Table_BangLuong_TyLeTangCa[Giờ max]&gt;$AA31)
))),
IF(
AND(
$AA31-$Z$4&gt;=MAX(AY$4,VLOOKUP(AY$6, Table_ChiPhiNV_Ca[], COUNTA(Table_ChiPhiNV_Ca[[#Headers],[Ca]:[Bắt đầu]]),0)),
$AA31&lt;MIN(AY$5,VLOOKUP(AY$6, Table_ChiPhiNV_Ca[], COUNTA(Table_ChiPhiNV_Ca[[#Headers],[Ca]:[Kết thúc]]),0))),
SUM(_xlfn._xlws.FILTER(Table_BangLuong_TyLeTangCa[Tỷ lệ],
(Table_BangLuong_TyLeTangCa[Ngày] = "Thường") *
(Table_BangLuong_TyLeTangCa[Giờ min]&lt;=$AA31) *
(Table_BangLuong_TyLeTangCa[Giờ max]&gt;$AA31)
)),0)
)),
IF(AY$4 &lt; AY$5,
IF($AA31-$Z$4&lt;AY$4,0,
IF($AA31&gt;AY$5,0,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AY$5,$AA31 &lt; AY$4),0,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Z31" s="18" cm="1">
        <f t="array" ref="AZ31" xml:space="preserve">
IFERROR(
IF(AZ$1="",0,
IF(AND(
$AA31&gt;=VLOOKUP(AZ$6, Table_ChiPhiNV_Ca[], COUNTA(Table_ChiPhiNV_Ca[[#Headers],[Ca]:[Bắt đầu nghỉ]]),0),
$AA31&lt;VLOOKUP(AZ$6, Table_ChiPhiNV_Ca[], COUNTA(Table_ChiPhiNV_Ca[[#Headers],[Ca]:[Kết thúc nghỉ]]),0)
),0,
IF(NOT(ISBLANK(AZ$3)),
IF(ISBLANK(AZ$7),0,
IF(AZ$4 &lt; AZ$5,
IF($AA31-$Z$4&lt;AZ$4,0,
IF($AA31&gt;AZ$5,0,
SUM(_xlfn._xlws.FILTER(Table_BangLuong_TyLeTangCa[Tỷ lệ],
(Table_BangLuong_TyLeTangCa[Ngày] = AZ$3) *
(Table_BangLuong_TyLeTangCa[Giờ min]&lt;=$AA31) *
(Table_BangLuong_TyLeTangCa[Giờ max]&gt;$AA31)
)))),
IF(AND($AA31-$Z$4 &gt;= AZ$5,$AA31 &lt; AZ$4),0,
SUM(_xlfn._xlws.FILTER(Table_BangLuong_TyLeTangCa[Tỷ lệ],
(Table_BangLuong_TyLeTangCa[Ngày] = AZ$3) *
(Table_BangLuong_TyLeTangCa[Giờ min]&lt;=$AA31) *
(Table_BangLuong_TyLeTangCa[Giờ max]&gt;$AA31)
))))
),
IF(ISBLANK(AZ$7),
IF(VLOOKUP(AZ$6, Table_ChiPhiNV_Ca[], COUNTA(Table_ChiPhiNV_Ca[[#Headers],[Ca]:[Kết thúc]]),0)&gt; VLOOKUP(AZ$6, Table_ChiPhiNV_Ca[], COUNTA(Table_ChiPhiNV_Ca[[#Headers],[Ca]:[Bắt đầu]]),0),
IF($AA31-$Z$4&lt;MAX(AZ$4,VLOOKUP(AZ$6, Table_ChiPhiNV_Ca[], COUNTA(Table_ChiPhiNV_Ca[[#Headers],[Ca]:[Bắt đầu]]),0)),0,
IF($AA31&gt;MIN(AZ$5,VLOOKUP(AZ$6, Table_ChiPhiNV_Ca[], COUNTA(Table_ChiPhiNV_Ca[[#Headers],[Ca]:[Kết thúc]]),0)),0,
SUM(_xlfn._xlws.FILTER(Table_BangLuong_TyLeTangCa[Tỷ lệ],
(Table_BangLuong_TyLeTangCa[Ngày] = "Thường") *
(Table_BangLuong_TyLeTangCa[Giờ min]&lt;=$AA31) *
(Table_BangLuong_TyLeTangCa[Giờ max]&gt;$AA31)
)))),
IF(AZ$4 &gt; AZ$5,
IF(
AND(
$AA31-$Z$4&lt;MAX(AZ$4,VLOOKUP(AZ$6, Table_ChiPhiNV_Ca[], COUNTA(Table_ChiPhiNV_Ca[[#Headers],[Ca]:[Bắt đầu]]),0)),
$AA31&gt;MIN(AZ$5,VLOOKUP(AZ$6, Table_ChiPhiNV_Ca[], COUNTA(Table_ChiPhiNV_Ca[[#Headers],[Ca]:[Kết thúc]]),0))),0,
SUM(_xlfn._xlws.FILTER(Table_BangLuong_TyLeTangCa[Tỷ lệ],
(Table_BangLuong_TyLeTangCa[Ngày] = "Thường") *
(Table_BangLuong_TyLeTangCa[Giờ min]&lt;=$AA31) *
(Table_BangLuong_TyLeTangCa[Giờ max]&gt;$AA31)
))),
IF(
AND(
$AA31-$Z$4&gt;=MAX(AZ$4,VLOOKUP(AZ$6, Table_ChiPhiNV_Ca[], COUNTA(Table_ChiPhiNV_Ca[[#Headers],[Ca]:[Bắt đầu]]),0)),
$AA31&lt;MIN(AZ$5,VLOOKUP(AZ$6, Table_ChiPhiNV_Ca[], COUNTA(Table_ChiPhiNV_Ca[[#Headers],[Ca]:[Kết thúc]]),0))),
SUM(_xlfn._xlws.FILTER(Table_BangLuong_TyLeTangCa[Tỷ lệ],
(Table_BangLuong_TyLeTangCa[Ngày] = "Thường") *
(Table_BangLuong_TyLeTangCa[Giờ min]&lt;=$AA31) *
(Table_BangLuong_TyLeTangCa[Giờ max]&gt;$AA31)
)),0)
)),
IF(AZ$4 &lt; AZ$5,
IF($AA31-$Z$4&lt;AZ$4,0,
IF($AA31&gt;AZ$5,0,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AZ$5,$AA31 &lt; AZ$4),0,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A31" s="18" cm="1">
        <f t="array" ref="BA31" xml:space="preserve">
IFERROR(
IF(BA$1="",0,
IF(AND(
$AA31&gt;=VLOOKUP(BA$6, Table_ChiPhiNV_Ca[], COUNTA(Table_ChiPhiNV_Ca[[#Headers],[Ca]:[Bắt đầu nghỉ]]),0),
$AA31&lt;VLOOKUP(BA$6, Table_ChiPhiNV_Ca[], COUNTA(Table_ChiPhiNV_Ca[[#Headers],[Ca]:[Kết thúc nghỉ]]),0)
),0,
IF(NOT(ISBLANK(BA$3)),
IF(ISBLANK(BA$7),0,
IF(BA$4 &lt; BA$5,
IF($AA31-$Z$4&lt;BA$4,0,
IF($AA31&gt;BA$5,0,
SUM(_xlfn._xlws.FILTER(Table_BangLuong_TyLeTangCa[Tỷ lệ],
(Table_BangLuong_TyLeTangCa[Ngày] = BA$3) *
(Table_BangLuong_TyLeTangCa[Giờ min]&lt;=$AA31) *
(Table_BangLuong_TyLeTangCa[Giờ max]&gt;$AA31)
)))),
IF(AND($AA31-$Z$4 &gt;= BA$5,$AA31 &lt; BA$4),0,
SUM(_xlfn._xlws.FILTER(Table_BangLuong_TyLeTangCa[Tỷ lệ],
(Table_BangLuong_TyLeTangCa[Ngày] = BA$3) *
(Table_BangLuong_TyLeTangCa[Giờ min]&lt;=$AA31) *
(Table_BangLuong_TyLeTangCa[Giờ max]&gt;$AA31)
))))
),
IF(ISBLANK(BA$7),
IF(VLOOKUP(BA$6, Table_ChiPhiNV_Ca[], COUNTA(Table_ChiPhiNV_Ca[[#Headers],[Ca]:[Kết thúc]]),0)&gt; VLOOKUP(BA$6, Table_ChiPhiNV_Ca[], COUNTA(Table_ChiPhiNV_Ca[[#Headers],[Ca]:[Bắt đầu]]),0),
IF($AA31-$Z$4&lt;MAX(BA$4,VLOOKUP(BA$6, Table_ChiPhiNV_Ca[], COUNTA(Table_ChiPhiNV_Ca[[#Headers],[Ca]:[Bắt đầu]]),0)),0,
IF($AA31&gt;MIN(BA$5,VLOOKUP(BA$6, Table_ChiPhiNV_Ca[], COUNTA(Table_ChiPhiNV_Ca[[#Headers],[Ca]:[Kết thúc]]),0)),0,
SUM(_xlfn._xlws.FILTER(Table_BangLuong_TyLeTangCa[Tỷ lệ],
(Table_BangLuong_TyLeTangCa[Ngày] = "Thường") *
(Table_BangLuong_TyLeTangCa[Giờ min]&lt;=$AA31) *
(Table_BangLuong_TyLeTangCa[Giờ max]&gt;$AA31)
)))),
IF(BA$4 &gt; BA$5,
IF(
AND(
$AA31-$Z$4&lt;MAX(BA$4,VLOOKUP(BA$6, Table_ChiPhiNV_Ca[], COUNTA(Table_ChiPhiNV_Ca[[#Headers],[Ca]:[Bắt đầu]]),0)),
$AA31&gt;MIN(BA$5,VLOOKUP(BA$6, Table_ChiPhiNV_Ca[], COUNTA(Table_ChiPhiNV_Ca[[#Headers],[Ca]:[Kết thúc]]),0))),0,
SUM(_xlfn._xlws.FILTER(Table_BangLuong_TyLeTangCa[Tỷ lệ],
(Table_BangLuong_TyLeTangCa[Ngày] = "Thường") *
(Table_BangLuong_TyLeTangCa[Giờ min]&lt;=$AA31) *
(Table_BangLuong_TyLeTangCa[Giờ max]&gt;$AA31)
))),
IF(
AND(
$AA31-$Z$4&gt;=MAX(BA$4,VLOOKUP(BA$6, Table_ChiPhiNV_Ca[], COUNTA(Table_ChiPhiNV_Ca[[#Headers],[Ca]:[Bắt đầu]]),0)),
$AA31&lt;MIN(BA$5,VLOOKUP(BA$6, Table_ChiPhiNV_Ca[], COUNTA(Table_ChiPhiNV_Ca[[#Headers],[Ca]:[Kết thúc]]),0))),
SUM(_xlfn._xlws.FILTER(Table_BangLuong_TyLeTangCa[Tỷ lệ],
(Table_BangLuong_TyLeTangCa[Ngày] = "Thường") *
(Table_BangLuong_TyLeTangCa[Giờ min]&lt;=$AA31) *
(Table_BangLuong_TyLeTangCa[Giờ max]&gt;$AA31)
)),0)
)),
IF(BA$4 &lt; BA$5,
IF($AA31-$Z$4&lt;BA$4,0,
IF($AA31&gt;BA$5,0,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BA$5,$AA31 &lt; BA$4),0,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B31" s="18" cm="1">
        <f t="array" ref="BB31" xml:space="preserve">
IFERROR(
IF(BB$1="",0,
IF(AND(
$AA31&gt;=VLOOKUP(BB$6, Table_ChiPhiNV_Ca[], COUNTA(Table_ChiPhiNV_Ca[[#Headers],[Ca]:[Bắt đầu nghỉ]]),0),
$AA31&lt;VLOOKUP(BB$6, Table_ChiPhiNV_Ca[], COUNTA(Table_ChiPhiNV_Ca[[#Headers],[Ca]:[Kết thúc nghỉ]]),0)
),0,
IF(NOT(ISBLANK(BB$3)),
IF(ISBLANK(BB$7),0,
IF(BB$4 &lt; BB$5,
IF($AA31-$Z$4&lt;BB$4,0,
IF($AA31&gt;BB$5,0,
SUM(_xlfn._xlws.FILTER(Table_BangLuong_TyLeTangCa[Tỷ lệ],
(Table_BangLuong_TyLeTangCa[Ngày] = BB$3) *
(Table_BangLuong_TyLeTangCa[Giờ min]&lt;=$AA31) *
(Table_BangLuong_TyLeTangCa[Giờ max]&gt;$AA31)
)))),
IF(AND($AA31-$Z$4 &gt;= BB$5,$AA31 &lt; BB$4),0,
SUM(_xlfn._xlws.FILTER(Table_BangLuong_TyLeTangCa[Tỷ lệ],
(Table_BangLuong_TyLeTangCa[Ngày] = BB$3) *
(Table_BangLuong_TyLeTangCa[Giờ min]&lt;=$AA31) *
(Table_BangLuong_TyLeTangCa[Giờ max]&gt;$AA31)
))))
),
IF(ISBLANK(BB$7),
IF(VLOOKUP(BB$6, Table_ChiPhiNV_Ca[], COUNTA(Table_ChiPhiNV_Ca[[#Headers],[Ca]:[Kết thúc]]),0)&gt; VLOOKUP(BB$6, Table_ChiPhiNV_Ca[], COUNTA(Table_ChiPhiNV_Ca[[#Headers],[Ca]:[Bắt đầu]]),0),
IF($AA31-$Z$4&lt;MAX(BB$4,VLOOKUP(BB$6, Table_ChiPhiNV_Ca[], COUNTA(Table_ChiPhiNV_Ca[[#Headers],[Ca]:[Bắt đầu]]),0)),0,
IF($AA31&gt;MIN(BB$5,VLOOKUP(BB$6, Table_ChiPhiNV_Ca[], COUNTA(Table_ChiPhiNV_Ca[[#Headers],[Ca]:[Kết thúc]]),0)),0,
SUM(_xlfn._xlws.FILTER(Table_BangLuong_TyLeTangCa[Tỷ lệ],
(Table_BangLuong_TyLeTangCa[Ngày] = "Thường") *
(Table_BangLuong_TyLeTangCa[Giờ min]&lt;=$AA31) *
(Table_BangLuong_TyLeTangCa[Giờ max]&gt;$AA31)
)))),
IF(BB$4 &gt; BB$5,
IF(
AND(
$AA31-$Z$4&lt;MAX(BB$4,VLOOKUP(BB$6, Table_ChiPhiNV_Ca[], COUNTA(Table_ChiPhiNV_Ca[[#Headers],[Ca]:[Bắt đầu]]),0)),
$AA31&gt;MIN(BB$5,VLOOKUP(BB$6, Table_ChiPhiNV_Ca[], COUNTA(Table_ChiPhiNV_Ca[[#Headers],[Ca]:[Kết thúc]]),0))),0,
SUM(_xlfn._xlws.FILTER(Table_BangLuong_TyLeTangCa[Tỷ lệ],
(Table_BangLuong_TyLeTangCa[Ngày] = "Thường") *
(Table_BangLuong_TyLeTangCa[Giờ min]&lt;=$AA31) *
(Table_BangLuong_TyLeTangCa[Giờ max]&gt;$AA31)
))),
IF(
AND(
$AA31-$Z$4&gt;=MAX(BB$4,VLOOKUP(BB$6, Table_ChiPhiNV_Ca[], COUNTA(Table_ChiPhiNV_Ca[[#Headers],[Ca]:[Bắt đầu]]),0)),
$AA31&lt;MIN(BB$5,VLOOKUP(BB$6, Table_ChiPhiNV_Ca[], COUNTA(Table_ChiPhiNV_Ca[[#Headers],[Ca]:[Kết thúc]]),0))),
SUM(_xlfn._xlws.FILTER(Table_BangLuong_TyLeTangCa[Tỷ lệ],
(Table_BangLuong_TyLeTangCa[Ngày] = "Thường") *
(Table_BangLuong_TyLeTangCa[Giờ min]&lt;=$AA31) *
(Table_BangLuong_TyLeTangCa[Giờ max]&gt;$AA31)
)),0)
)),
IF(BB$4 &lt; BB$5,
IF($AA31-$Z$4&lt;BB$4,0,
IF($AA31&gt;BB$5,0,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BB$5,$AA31 &lt; BB$4),0,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C31" s="18" cm="1">
        <f t="array" ref="BC31" xml:space="preserve">
IFERROR(
IF(BC$1="",0,
IF(AND(
$AA31&gt;=VLOOKUP(BC$6, Table_ChiPhiNV_Ca[], COUNTA(Table_ChiPhiNV_Ca[[#Headers],[Ca]:[Bắt đầu nghỉ]]),0),
$AA31&lt;VLOOKUP(BC$6, Table_ChiPhiNV_Ca[], COUNTA(Table_ChiPhiNV_Ca[[#Headers],[Ca]:[Kết thúc nghỉ]]),0)
),0,
IF(NOT(ISBLANK(BC$3)),
IF(ISBLANK(BC$7),0,
IF(BC$4 &lt; BC$5,
IF($AA31-$Z$4&lt;BC$4,0,
IF($AA31&gt;BC$5,0,
SUM(_xlfn._xlws.FILTER(Table_BangLuong_TyLeTangCa[Tỷ lệ],
(Table_BangLuong_TyLeTangCa[Ngày] = BC$3) *
(Table_BangLuong_TyLeTangCa[Giờ min]&lt;=$AA31) *
(Table_BangLuong_TyLeTangCa[Giờ max]&gt;$AA31)
)))),
IF(AND($AA31-$Z$4 &gt;= BC$5,$AA31 &lt; BC$4),0,
SUM(_xlfn._xlws.FILTER(Table_BangLuong_TyLeTangCa[Tỷ lệ],
(Table_BangLuong_TyLeTangCa[Ngày] = BC$3) *
(Table_BangLuong_TyLeTangCa[Giờ min]&lt;=$AA31) *
(Table_BangLuong_TyLeTangCa[Giờ max]&gt;$AA31)
))))
),
IF(ISBLANK(BC$7),
IF(VLOOKUP(BC$6, Table_ChiPhiNV_Ca[], COUNTA(Table_ChiPhiNV_Ca[[#Headers],[Ca]:[Kết thúc]]),0)&gt; VLOOKUP(BC$6, Table_ChiPhiNV_Ca[], COUNTA(Table_ChiPhiNV_Ca[[#Headers],[Ca]:[Bắt đầu]]),0),
IF($AA31-$Z$4&lt;MAX(BC$4,VLOOKUP(BC$6, Table_ChiPhiNV_Ca[], COUNTA(Table_ChiPhiNV_Ca[[#Headers],[Ca]:[Bắt đầu]]),0)),0,
IF($AA31&gt;MIN(BC$5,VLOOKUP(BC$6, Table_ChiPhiNV_Ca[], COUNTA(Table_ChiPhiNV_Ca[[#Headers],[Ca]:[Kết thúc]]),0)),0,
SUM(_xlfn._xlws.FILTER(Table_BangLuong_TyLeTangCa[Tỷ lệ],
(Table_BangLuong_TyLeTangCa[Ngày] = "Thường") *
(Table_BangLuong_TyLeTangCa[Giờ min]&lt;=$AA31) *
(Table_BangLuong_TyLeTangCa[Giờ max]&gt;$AA31)
)))),
IF(BC$4 &gt; BC$5,
IF(
AND(
$AA31-$Z$4&lt;MAX(BC$4,VLOOKUP(BC$6, Table_ChiPhiNV_Ca[], COUNTA(Table_ChiPhiNV_Ca[[#Headers],[Ca]:[Bắt đầu]]),0)),
$AA31&gt;MIN(BC$5,VLOOKUP(BC$6, Table_ChiPhiNV_Ca[], COUNTA(Table_ChiPhiNV_Ca[[#Headers],[Ca]:[Kết thúc]]),0))),0,
SUM(_xlfn._xlws.FILTER(Table_BangLuong_TyLeTangCa[Tỷ lệ],
(Table_BangLuong_TyLeTangCa[Ngày] = "Thường") *
(Table_BangLuong_TyLeTangCa[Giờ min]&lt;=$AA31) *
(Table_BangLuong_TyLeTangCa[Giờ max]&gt;$AA31)
))),
IF(
AND(
$AA31-$Z$4&gt;=MAX(BC$4,VLOOKUP(BC$6, Table_ChiPhiNV_Ca[], COUNTA(Table_ChiPhiNV_Ca[[#Headers],[Ca]:[Bắt đầu]]),0)),
$AA31&lt;MIN(BC$5,VLOOKUP(BC$6, Table_ChiPhiNV_Ca[], COUNTA(Table_ChiPhiNV_Ca[[#Headers],[Ca]:[Kết thúc]]),0))),
SUM(_xlfn._xlws.FILTER(Table_BangLuong_TyLeTangCa[Tỷ lệ],
(Table_BangLuong_TyLeTangCa[Ngày] = "Thường") *
(Table_BangLuong_TyLeTangCa[Giờ min]&lt;=$AA31) *
(Table_BangLuong_TyLeTangCa[Giờ max]&gt;$AA31)
)),0)
)),
IF(BC$4 &lt; BC$5,
IF($AA31-$Z$4&lt;BC$4,0,
IF($AA31&gt;BC$5,0,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BC$5,$AA31 &lt; BC$4),0,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D31" s="18" cm="1">
        <f t="array" ref="BD31" xml:space="preserve">
IFERROR(
IF(BD$1="",0,
IF(AND(
$AA31&gt;=VLOOKUP(BD$6, Table_ChiPhiNV_Ca[], COUNTA(Table_ChiPhiNV_Ca[[#Headers],[Ca]:[Bắt đầu nghỉ]]),0),
$AA31&lt;VLOOKUP(BD$6, Table_ChiPhiNV_Ca[], COUNTA(Table_ChiPhiNV_Ca[[#Headers],[Ca]:[Kết thúc nghỉ]]),0)
),0,
IF(NOT(ISBLANK(BD$3)),
IF(ISBLANK(BD$7),0,
IF(BD$4 &lt; BD$5,
IF($AA31-$Z$4&lt;BD$4,0,
IF($AA31&gt;BD$5,0,
SUM(_xlfn._xlws.FILTER(Table_BangLuong_TyLeTangCa[Tỷ lệ],
(Table_BangLuong_TyLeTangCa[Ngày] = BD$3) *
(Table_BangLuong_TyLeTangCa[Giờ min]&lt;=$AA31) *
(Table_BangLuong_TyLeTangCa[Giờ max]&gt;$AA31)
)))),
IF(AND($AA31-$Z$4 &gt;= BD$5,$AA31 &lt; BD$4),0,
SUM(_xlfn._xlws.FILTER(Table_BangLuong_TyLeTangCa[Tỷ lệ],
(Table_BangLuong_TyLeTangCa[Ngày] = BD$3) *
(Table_BangLuong_TyLeTangCa[Giờ min]&lt;=$AA31) *
(Table_BangLuong_TyLeTangCa[Giờ max]&gt;$AA31)
))))
),
IF(ISBLANK(BD$7),
IF(VLOOKUP(BD$6, Table_ChiPhiNV_Ca[], COUNTA(Table_ChiPhiNV_Ca[[#Headers],[Ca]:[Kết thúc]]),0)&gt; VLOOKUP(BD$6, Table_ChiPhiNV_Ca[], COUNTA(Table_ChiPhiNV_Ca[[#Headers],[Ca]:[Bắt đầu]]),0),
IF($AA31-$Z$4&lt;MAX(BD$4,VLOOKUP(BD$6, Table_ChiPhiNV_Ca[], COUNTA(Table_ChiPhiNV_Ca[[#Headers],[Ca]:[Bắt đầu]]),0)),0,
IF($AA31&gt;MIN(BD$5,VLOOKUP(BD$6, Table_ChiPhiNV_Ca[], COUNTA(Table_ChiPhiNV_Ca[[#Headers],[Ca]:[Kết thúc]]),0)),0,
SUM(_xlfn._xlws.FILTER(Table_BangLuong_TyLeTangCa[Tỷ lệ],
(Table_BangLuong_TyLeTangCa[Ngày] = "Thường") *
(Table_BangLuong_TyLeTangCa[Giờ min]&lt;=$AA31) *
(Table_BangLuong_TyLeTangCa[Giờ max]&gt;$AA31)
)))),
IF(BD$4 &gt; BD$5,
IF(
AND(
$AA31-$Z$4&lt;MAX(BD$4,VLOOKUP(BD$6, Table_ChiPhiNV_Ca[], COUNTA(Table_ChiPhiNV_Ca[[#Headers],[Ca]:[Bắt đầu]]),0)),
$AA31&gt;MIN(BD$5,VLOOKUP(BD$6, Table_ChiPhiNV_Ca[], COUNTA(Table_ChiPhiNV_Ca[[#Headers],[Ca]:[Kết thúc]]),0))),0,
SUM(_xlfn._xlws.FILTER(Table_BangLuong_TyLeTangCa[Tỷ lệ],
(Table_BangLuong_TyLeTangCa[Ngày] = "Thường") *
(Table_BangLuong_TyLeTangCa[Giờ min]&lt;=$AA31) *
(Table_BangLuong_TyLeTangCa[Giờ max]&gt;$AA31)
))),
IF(
AND(
$AA31-$Z$4&gt;=MAX(BD$4,VLOOKUP(BD$6, Table_ChiPhiNV_Ca[], COUNTA(Table_ChiPhiNV_Ca[[#Headers],[Ca]:[Bắt đầu]]),0)),
$AA31&lt;MIN(BD$5,VLOOKUP(BD$6, Table_ChiPhiNV_Ca[], COUNTA(Table_ChiPhiNV_Ca[[#Headers],[Ca]:[Kết thúc]]),0))),
SUM(_xlfn._xlws.FILTER(Table_BangLuong_TyLeTangCa[Tỷ lệ],
(Table_BangLuong_TyLeTangCa[Ngày] = "Thường") *
(Table_BangLuong_TyLeTangCa[Giờ min]&lt;=$AA31) *
(Table_BangLuong_TyLeTangCa[Giờ max]&gt;$AA31)
)),0)
)),
IF(BD$4 &lt; BD$5,
IF($AA31-$Z$4&lt;BD$4,0,
IF($AA31&gt;BD$5,0,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BD$5,$AA31 &lt; BD$4),0,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E31" s="18" cm="1">
        <f t="array" ref="BE31" xml:space="preserve">
IFERROR(
IF(BE$1="",0,
IF(AND(
$AA31&gt;=VLOOKUP(BE$6, Table_ChiPhiNV_Ca[], COUNTA(Table_ChiPhiNV_Ca[[#Headers],[Ca]:[Bắt đầu nghỉ]]),0),
$AA31&lt;VLOOKUP(BE$6, Table_ChiPhiNV_Ca[], COUNTA(Table_ChiPhiNV_Ca[[#Headers],[Ca]:[Kết thúc nghỉ]]),0)
),0,
IF(NOT(ISBLANK(BE$3)),
IF(ISBLANK(BE$7),0,
IF(BE$4 &lt; BE$5,
IF($AA31-$Z$4&lt;BE$4,0,
IF($AA31&gt;BE$5,0,
SUM(_xlfn._xlws.FILTER(Table_BangLuong_TyLeTangCa[Tỷ lệ],
(Table_BangLuong_TyLeTangCa[Ngày] = BE$3) *
(Table_BangLuong_TyLeTangCa[Giờ min]&lt;=$AA31) *
(Table_BangLuong_TyLeTangCa[Giờ max]&gt;$AA31)
)))),
IF(AND($AA31-$Z$4 &gt;= BE$5,$AA31 &lt; BE$4),0,
SUM(_xlfn._xlws.FILTER(Table_BangLuong_TyLeTangCa[Tỷ lệ],
(Table_BangLuong_TyLeTangCa[Ngày] = BE$3) *
(Table_BangLuong_TyLeTangCa[Giờ min]&lt;=$AA31) *
(Table_BangLuong_TyLeTangCa[Giờ max]&gt;$AA31)
))))
),
IF(ISBLANK(BE$7),
IF(VLOOKUP(BE$6, Table_ChiPhiNV_Ca[], COUNTA(Table_ChiPhiNV_Ca[[#Headers],[Ca]:[Kết thúc]]),0)&gt; VLOOKUP(BE$6, Table_ChiPhiNV_Ca[], COUNTA(Table_ChiPhiNV_Ca[[#Headers],[Ca]:[Bắt đầu]]),0),
IF($AA31-$Z$4&lt;MAX(BE$4,VLOOKUP(BE$6, Table_ChiPhiNV_Ca[], COUNTA(Table_ChiPhiNV_Ca[[#Headers],[Ca]:[Bắt đầu]]),0)),0,
IF($AA31&gt;MIN(BE$5,VLOOKUP(BE$6, Table_ChiPhiNV_Ca[], COUNTA(Table_ChiPhiNV_Ca[[#Headers],[Ca]:[Kết thúc]]),0)),0,
SUM(_xlfn._xlws.FILTER(Table_BangLuong_TyLeTangCa[Tỷ lệ],
(Table_BangLuong_TyLeTangCa[Ngày] = "Thường") *
(Table_BangLuong_TyLeTangCa[Giờ min]&lt;=$AA31) *
(Table_BangLuong_TyLeTangCa[Giờ max]&gt;$AA31)
)))),
IF(BE$4 &gt; BE$5,
IF(
AND(
$AA31-$Z$4&lt;MAX(BE$4,VLOOKUP(BE$6, Table_ChiPhiNV_Ca[], COUNTA(Table_ChiPhiNV_Ca[[#Headers],[Ca]:[Bắt đầu]]),0)),
$AA31&gt;MIN(BE$5,VLOOKUP(BE$6, Table_ChiPhiNV_Ca[], COUNTA(Table_ChiPhiNV_Ca[[#Headers],[Ca]:[Kết thúc]]),0))),0,
SUM(_xlfn._xlws.FILTER(Table_BangLuong_TyLeTangCa[Tỷ lệ],
(Table_BangLuong_TyLeTangCa[Ngày] = "Thường") *
(Table_BangLuong_TyLeTangCa[Giờ min]&lt;=$AA31) *
(Table_BangLuong_TyLeTangCa[Giờ max]&gt;$AA31)
))),
IF(
AND(
$AA31-$Z$4&gt;=MAX(BE$4,VLOOKUP(BE$6, Table_ChiPhiNV_Ca[], COUNTA(Table_ChiPhiNV_Ca[[#Headers],[Ca]:[Bắt đầu]]),0)),
$AA31&lt;MIN(BE$5,VLOOKUP(BE$6, Table_ChiPhiNV_Ca[], COUNTA(Table_ChiPhiNV_Ca[[#Headers],[Ca]:[Kết thúc]]),0))),
SUM(_xlfn._xlws.FILTER(Table_BangLuong_TyLeTangCa[Tỷ lệ],
(Table_BangLuong_TyLeTangCa[Ngày] = "Thường") *
(Table_BangLuong_TyLeTangCa[Giờ min]&lt;=$AA31) *
(Table_BangLuong_TyLeTangCa[Giờ max]&gt;$AA31)
)),0)
)),
IF(BE$4 &lt; BE$5,
IF($AA31-$Z$4&lt;BE$4,0,
IF($AA31&gt;BE$5,0,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BE$5,$AA31 &lt; BE$4),0,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F31" s="18" cm="1">
        <f t="array" ref="BF31" xml:space="preserve">
IFERROR(
IF(BF$1="",0,
IF(AND(
$AA31&gt;=VLOOKUP(BF$6, Table_ChiPhiNV_Ca[], COUNTA(Table_ChiPhiNV_Ca[[#Headers],[Ca]:[Bắt đầu nghỉ]]),0),
$AA31&lt;VLOOKUP(BF$6, Table_ChiPhiNV_Ca[], COUNTA(Table_ChiPhiNV_Ca[[#Headers],[Ca]:[Kết thúc nghỉ]]),0)
),0,
IF(NOT(ISBLANK(BF$3)),
IF(ISBLANK(BF$7),0,
IF(BF$4 &lt; BF$5,
IF($AA31-$Z$4&lt;BF$4,0,
IF($AA31&gt;BF$5,0,
SUM(_xlfn._xlws.FILTER(Table_BangLuong_TyLeTangCa[Tỷ lệ],
(Table_BangLuong_TyLeTangCa[Ngày] = BF$3) *
(Table_BangLuong_TyLeTangCa[Giờ min]&lt;=$AA31) *
(Table_BangLuong_TyLeTangCa[Giờ max]&gt;$AA31)
)))),
IF(AND($AA31-$Z$4 &gt;= BF$5,$AA31 &lt; BF$4),0,
SUM(_xlfn._xlws.FILTER(Table_BangLuong_TyLeTangCa[Tỷ lệ],
(Table_BangLuong_TyLeTangCa[Ngày] = BF$3) *
(Table_BangLuong_TyLeTangCa[Giờ min]&lt;=$AA31) *
(Table_BangLuong_TyLeTangCa[Giờ max]&gt;$AA31)
))))
),
IF(ISBLANK(BF$7),
IF(VLOOKUP(BF$6, Table_ChiPhiNV_Ca[], COUNTA(Table_ChiPhiNV_Ca[[#Headers],[Ca]:[Kết thúc]]),0)&gt; VLOOKUP(BF$6, Table_ChiPhiNV_Ca[], COUNTA(Table_ChiPhiNV_Ca[[#Headers],[Ca]:[Bắt đầu]]),0),
IF($AA31-$Z$4&lt;MAX(BF$4,VLOOKUP(BF$6, Table_ChiPhiNV_Ca[], COUNTA(Table_ChiPhiNV_Ca[[#Headers],[Ca]:[Bắt đầu]]),0)),0,
IF($AA31&gt;MIN(BF$5,VLOOKUP(BF$6, Table_ChiPhiNV_Ca[], COUNTA(Table_ChiPhiNV_Ca[[#Headers],[Ca]:[Kết thúc]]),0)),0,
SUM(_xlfn._xlws.FILTER(Table_BangLuong_TyLeTangCa[Tỷ lệ],
(Table_BangLuong_TyLeTangCa[Ngày] = "Thường") *
(Table_BangLuong_TyLeTangCa[Giờ min]&lt;=$AA31) *
(Table_BangLuong_TyLeTangCa[Giờ max]&gt;$AA31)
)))),
IF(BF$4 &gt; BF$5,
IF(
AND(
$AA31-$Z$4&lt;MAX(BF$4,VLOOKUP(BF$6, Table_ChiPhiNV_Ca[], COUNTA(Table_ChiPhiNV_Ca[[#Headers],[Ca]:[Bắt đầu]]),0)),
$AA31&gt;MIN(BF$5,VLOOKUP(BF$6, Table_ChiPhiNV_Ca[], COUNTA(Table_ChiPhiNV_Ca[[#Headers],[Ca]:[Kết thúc]]),0))),0,
SUM(_xlfn._xlws.FILTER(Table_BangLuong_TyLeTangCa[Tỷ lệ],
(Table_BangLuong_TyLeTangCa[Ngày] = "Thường") *
(Table_BangLuong_TyLeTangCa[Giờ min]&lt;=$AA31) *
(Table_BangLuong_TyLeTangCa[Giờ max]&gt;$AA31)
))),
IF(
AND(
$AA31-$Z$4&gt;=MAX(BF$4,VLOOKUP(BF$6, Table_ChiPhiNV_Ca[], COUNTA(Table_ChiPhiNV_Ca[[#Headers],[Ca]:[Bắt đầu]]),0)),
$AA31&lt;MIN(BF$5,VLOOKUP(BF$6, Table_ChiPhiNV_Ca[], COUNTA(Table_ChiPhiNV_Ca[[#Headers],[Ca]:[Kết thúc]]),0))),
SUM(_xlfn._xlws.FILTER(Table_BangLuong_TyLeTangCa[Tỷ lệ],
(Table_BangLuong_TyLeTangCa[Ngày] = "Thường") *
(Table_BangLuong_TyLeTangCa[Giờ min]&lt;=$AA31) *
(Table_BangLuong_TyLeTangCa[Giờ max]&gt;$AA31)
)),0)
)),
IF(BF$4 &lt; BF$5,
IF($AA31-$Z$4&lt;BF$4,0,
IF($AA31&gt;BF$5,0,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BF$5,$AA31 &lt; BF$4),0,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row>
    <row r="32" spans="2:58" ht="18" customHeight="1" outlineLevel="1" x14ac:dyDescent="0.3">
      <c r="B32" s="11"/>
      <c r="C32" s="11"/>
      <c r="D32" s="11"/>
      <c r="E32" s="11"/>
      <c r="F32" s="11"/>
      <c r="G32" s="11"/>
      <c r="H32" s="11"/>
      <c r="I32" s="11"/>
      <c r="N32" s="11"/>
      <c r="AA32" s="50">
        <v>0.47916666666666702</v>
      </c>
      <c r="AB32" s="18" cm="1">
        <f t="array" ref="AB32" xml:space="preserve">
IFERROR(
IF(AB$1="",0,
IF(AND(
$AA32&gt;=VLOOKUP(AB$6, Table_ChiPhiNV_Ca[], COUNTA(Table_ChiPhiNV_Ca[[#Headers],[Ca]:[Bắt đầu nghỉ]]),0),
$AA32&lt;VLOOKUP(AB$6, Table_ChiPhiNV_Ca[], COUNTA(Table_ChiPhiNV_Ca[[#Headers],[Ca]:[Kết thúc nghỉ]]),0)
),0,
IF(NOT(ISBLANK(AB$3)),
IF(ISBLANK(AB$7),0,
IF(AB$4 &lt; AB$5,
IF($AA32-$Z$4&lt;AB$4,0,
IF($AA32&gt;AB$5,0,
SUM(_xlfn._xlws.FILTER(Table_BangLuong_TyLeTangCa[Tỷ lệ],
(Table_BangLuong_TyLeTangCa[Ngày] = AB$3) *
(Table_BangLuong_TyLeTangCa[Giờ min]&lt;=$AA32) *
(Table_BangLuong_TyLeTangCa[Giờ max]&gt;$AA32)
)))),
IF(AND($AA32-$Z$4 &gt;= AB$5,$AA32 &lt; AB$4),0,
SUM(_xlfn._xlws.FILTER(Table_BangLuong_TyLeTangCa[Tỷ lệ],
(Table_BangLuong_TyLeTangCa[Ngày] = AB$3) *
(Table_BangLuong_TyLeTangCa[Giờ min]&lt;=$AA32) *
(Table_BangLuong_TyLeTangCa[Giờ max]&gt;$AA32)
))))
),
IF(ISBLANK(AB$7),
IF(VLOOKUP(AB$6, Table_ChiPhiNV_Ca[], COUNTA(Table_ChiPhiNV_Ca[[#Headers],[Ca]:[Kết thúc]]),0)&gt; VLOOKUP(AB$6, Table_ChiPhiNV_Ca[], COUNTA(Table_ChiPhiNV_Ca[[#Headers],[Ca]:[Bắt đầu]]),0),
IF($AA32-$Z$4&lt;MAX(AB$4,VLOOKUP(AB$6, Table_ChiPhiNV_Ca[], COUNTA(Table_ChiPhiNV_Ca[[#Headers],[Ca]:[Bắt đầu]]),0)),0,
IF($AA32&gt;MIN(AB$5,VLOOKUP(AB$6, Table_ChiPhiNV_Ca[], COUNTA(Table_ChiPhiNV_Ca[[#Headers],[Ca]:[Kết thúc]]),0)),0,
SUM(_xlfn._xlws.FILTER(Table_BangLuong_TyLeTangCa[Tỷ lệ],
(Table_BangLuong_TyLeTangCa[Ngày] = "Thường") *
(Table_BangLuong_TyLeTangCa[Giờ min]&lt;=$AA32) *
(Table_BangLuong_TyLeTangCa[Giờ max]&gt;$AA32)
)))),
IF(AB$4 &gt; AB$5,
IF(
AND(
$AA32-$Z$4&lt;MAX(AB$4,VLOOKUP(AB$6, Table_ChiPhiNV_Ca[], COUNTA(Table_ChiPhiNV_Ca[[#Headers],[Ca]:[Bắt đầu]]),0)),
$AA32&gt;MIN(AB$5,VLOOKUP(AB$6, Table_ChiPhiNV_Ca[], COUNTA(Table_ChiPhiNV_Ca[[#Headers],[Ca]:[Kết thúc]]),0))),0,
SUM(_xlfn._xlws.FILTER(Table_BangLuong_TyLeTangCa[Tỷ lệ],
(Table_BangLuong_TyLeTangCa[Ngày] = "Thường") *
(Table_BangLuong_TyLeTangCa[Giờ min]&lt;=$AA32) *
(Table_BangLuong_TyLeTangCa[Giờ max]&gt;$AA32)
))),
IF(
AND(
$AA32-$Z$4&gt;=MAX(AB$4,VLOOKUP(AB$6, Table_ChiPhiNV_Ca[], COUNTA(Table_ChiPhiNV_Ca[[#Headers],[Ca]:[Bắt đầu]]),0)),
$AA32&lt;MIN(AB$5,VLOOKUP(AB$6, Table_ChiPhiNV_Ca[], COUNTA(Table_ChiPhiNV_Ca[[#Headers],[Ca]:[Kết thúc]]),0))),
SUM(_xlfn._xlws.FILTER(Table_BangLuong_TyLeTangCa[Tỷ lệ],
(Table_BangLuong_TyLeTangCa[Ngày] = "Thường") *
(Table_BangLuong_TyLeTangCa[Giờ min]&lt;=$AA32) *
(Table_BangLuong_TyLeTangCa[Giờ max]&gt;$AA32)
)),0)
)),
IF(AB$4 &lt; AB$5,
IF($AA32-$Z$4&lt;AB$4,0,
IF($AA32&gt;AB$5,0,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AB$5,$AA32 &lt; AB$4),0,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C32" s="18" cm="1">
        <f t="array" ref="AC32" xml:space="preserve">
IFERROR(
IF(AC$1="",0,
IF(AND(
$AA32&gt;=VLOOKUP(AC$6, Table_ChiPhiNV_Ca[], COUNTA(Table_ChiPhiNV_Ca[[#Headers],[Ca]:[Bắt đầu nghỉ]]),0),
$AA32&lt;VLOOKUP(AC$6, Table_ChiPhiNV_Ca[], COUNTA(Table_ChiPhiNV_Ca[[#Headers],[Ca]:[Kết thúc nghỉ]]),0)
),0,
IF(NOT(ISBLANK(AC$3)),
IF(ISBLANK(AC$7),0,
IF(AC$4 &lt; AC$5,
IF($AA32-$Z$4&lt;AC$4,0,
IF($AA32&gt;AC$5,0,
SUM(_xlfn._xlws.FILTER(Table_BangLuong_TyLeTangCa[Tỷ lệ],
(Table_BangLuong_TyLeTangCa[Ngày] = AC$3) *
(Table_BangLuong_TyLeTangCa[Giờ min]&lt;=$AA32) *
(Table_BangLuong_TyLeTangCa[Giờ max]&gt;$AA32)
)))),
IF(AND($AA32-$Z$4 &gt;= AC$5,$AA32 &lt; AC$4),0,
SUM(_xlfn._xlws.FILTER(Table_BangLuong_TyLeTangCa[Tỷ lệ],
(Table_BangLuong_TyLeTangCa[Ngày] = AC$3) *
(Table_BangLuong_TyLeTangCa[Giờ min]&lt;=$AA32) *
(Table_BangLuong_TyLeTangCa[Giờ max]&gt;$AA32)
))))
),
IF(ISBLANK(AC$7),
IF(VLOOKUP(AC$6, Table_ChiPhiNV_Ca[], COUNTA(Table_ChiPhiNV_Ca[[#Headers],[Ca]:[Kết thúc]]),0)&gt; VLOOKUP(AC$6, Table_ChiPhiNV_Ca[], COUNTA(Table_ChiPhiNV_Ca[[#Headers],[Ca]:[Bắt đầu]]),0),
IF($AA32-$Z$4&lt;MAX(AC$4,VLOOKUP(AC$6, Table_ChiPhiNV_Ca[], COUNTA(Table_ChiPhiNV_Ca[[#Headers],[Ca]:[Bắt đầu]]),0)),0,
IF($AA32&gt;MIN(AC$5,VLOOKUP(AC$6, Table_ChiPhiNV_Ca[], COUNTA(Table_ChiPhiNV_Ca[[#Headers],[Ca]:[Kết thúc]]),0)),0,
SUM(_xlfn._xlws.FILTER(Table_BangLuong_TyLeTangCa[Tỷ lệ],
(Table_BangLuong_TyLeTangCa[Ngày] = "Thường") *
(Table_BangLuong_TyLeTangCa[Giờ min]&lt;=$AA32) *
(Table_BangLuong_TyLeTangCa[Giờ max]&gt;$AA32)
)))),
IF(AC$4 &gt; AC$5,
IF(
AND(
$AA32-$Z$4&lt;MAX(AC$4,VLOOKUP(AC$6, Table_ChiPhiNV_Ca[], COUNTA(Table_ChiPhiNV_Ca[[#Headers],[Ca]:[Bắt đầu]]),0)),
$AA32&gt;MIN(AC$5,VLOOKUP(AC$6, Table_ChiPhiNV_Ca[], COUNTA(Table_ChiPhiNV_Ca[[#Headers],[Ca]:[Kết thúc]]),0))),0,
SUM(_xlfn._xlws.FILTER(Table_BangLuong_TyLeTangCa[Tỷ lệ],
(Table_BangLuong_TyLeTangCa[Ngày] = "Thường") *
(Table_BangLuong_TyLeTangCa[Giờ min]&lt;=$AA32) *
(Table_BangLuong_TyLeTangCa[Giờ max]&gt;$AA32)
))),
IF(
AND(
$AA32-$Z$4&gt;=MAX(AC$4,VLOOKUP(AC$6, Table_ChiPhiNV_Ca[], COUNTA(Table_ChiPhiNV_Ca[[#Headers],[Ca]:[Bắt đầu]]),0)),
$AA32&lt;MIN(AC$5,VLOOKUP(AC$6, Table_ChiPhiNV_Ca[], COUNTA(Table_ChiPhiNV_Ca[[#Headers],[Ca]:[Kết thúc]]),0))),
SUM(_xlfn._xlws.FILTER(Table_BangLuong_TyLeTangCa[Tỷ lệ],
(Table_BangLuong_TyLeTangCa[Ngày] = "Thường") *
(Table_BangLuong_TyLeTangCa[Giờ min]&lt;=$AA32) *
(Table_BangLuong_TyLeTangCa[Giờ max]&gt;$AA32)
)),0)
)),
IF(AC$4 &lt; AC$5,
IF($AA32-$Z$4&lt;AC$4,0,
IF($AA32&gt;AC$5,0,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AC$5,$AA32 &lt; AC$4),0,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D32" s="18" cm="1">
        <f t="array" ref="AD32" xml:space="preserve">
IFERROR(
IF(AD$1="",0,
IF(AND(
$AA32&gt;=VLOOKUP(AD$6, Table_ChiPhiNV_Ca[], COUNTA(Table_ChiPhiNV_Ca[[#Headers],[Ca]:[Bắt đầu nghỉ]]),0),
$AA32&lt;VLOOKUP(AD$6, Table_ChiPhiNV_Ca[], COUNTA(Table_ChiPhiNV_Ca[[#Headers],[Ca]:[Kết thúc nghỉ]]),0)
),0,
IF(NOT(ISBLANK(AD$3)),
IF(ISBLANK(AD$7),0,
IF(AD$4 &lt; AD$5,
IF($AA32-$Z$4&lt;AD$4,0,
IF($AA32&gt;AD$5,0,
SUM(_xlfn._xlws.FILTER(Table_BangLuong_TyLeTangCa[Tỷ lệ],
(Table_BangLuong_TyLeTangCa[Ngày] = AD$3) *
(Table_BangLuong_TyLeTangCa[Giờ min]&lt;=$AA32) *
(Table_BangLuong_TyLeTangCa[Giờ max]&gt;$AA32)
)))),
IF(AND($AA32-$Z$4 &gt;= AD$5,$AA32 &lt; AD$4),0,
SUM(_xlfn._xlws.FILTER(Table_BangLuong_TyLeTangCa[Tỷ lệ],
(Table_BangLuong_TyLeTangCa[Ngày] = AD$3) *
(Table_BangLuong_TyLeTangCa[Giờ min]&lt;=$AA32) *
(Table_BangLuong_TyLeTangCa[Giờ max]&gt;$AA32)
))))
),
IF(ISBLANK(AD$7),
IF(VLOOKUP(AD$6, Table_ChiPhiNV_Ca[], COUNTA(Table_ChiPhiNV_Ca[[#Headers],[Ca]:[Kết thúc]]),0)&gt; VLOOKUP(AD$6, Table_ChiPhiNV_Ca[], COUNTA(Table_ChiPhiNV_Ca[[#Headers],[Ca]:[Bắt đầu]]),0),
IF($AA32-$Z$4&lt;MAX(AD$4,VLOOKUP(AD$6, Table_ChiPhiNV_Ca[], COUNTA(Table_ChiPhiNV_Ca[[#Headers],[Ca]:[Bắt đầu]]),0)),0,
IF($AA32&gt;MIN(AD$5,VLOOKUP(AD$6, Table_ChiPhiNV_Ca[], COUNTA(Table_ChiPhiNV_Ca[[#Headers],[Ca]:[Kết thúc]]),0)),0,
SUM(_xlfn._xlws.FILTER(Table_BangLuong_TyLeTangCa[Tỷ lệ],
(Table_BangLuong_TyLeTangCa[Ngày] = "Thường") *
(Table_BangLuong_TyLeTangCa[Giờ min]&lt;=$AA32) *
(Table_BangLuong_TyLeTangCa[Giờ max]&gt;$AA32)
)))),
IF(AD$4 &gt; AD$5,
IF(
AND(
$AA32-$Z$4&lt;MAX(AD$4,VLOOKUP(AD$6, Table_ChiPhiNV_Ca[], COUNTA(Table_ChiPhiNV_Ca[[#Headers],[Ca]:[Bắt đầu]]),0)),
$AA32&gt;MIN(AD$5,VLOOKUP(AD$6, Table_ChiPhiNV_Ca[], COUNTA(Table_ChiPhiNV_Ca[[#Headers],[Ca]:[Kết thúc]]),0))),0,
SUM(_xlfn._xlws.FILTER(Table_BangLuong_TyLeTangCa[Tỷ lệ],
(Table_BangLuong_TyLeTangCa[Ngày] = "Thường") *
(Table_BangLuong_TyLeTangCa[Giờ min]&lt;=$AA32) *
(Table_BangLuong_TyLeTangCa[Giờ max]&gt;$AA32)
))),
IF(
AND(
$AA32-$Z$4&gt;=MAX(AD$4,VLOOKUP(AD$6, Table_ChiPhiNV_Ca[], COUNTA(Table_ChiPhiNV_Ca[[#Headers],[Ca]:[Bắt đầu]]),0)),
$AA32&lt;MIN(AD$5,VLOOKUP(AD$6, Table_ChiPhiNV_Ca[], COUNTA(Table_ChiPhiNV_Ca[[#Headers],[Ca]:[Kết thúc]]),0))),
SUM(_xlfn._xlws.FILTER(Table_BangLuong_TyLeTangCa[Tỷ lệ],
(Table_BangLuong_TyLeTangCa[Ngày] = "Thường") *
(Table_BangLuong_TyLeTangCa[Giờ min]&lt;=$AA32) *
(Table_BangLuong_TyLeTangCa[Giờ max]&gt;$AA32)
)),0)
)),
IF(AD$4 &lt; AD$5,
IF($AA32-$Z$4&lt;AD$4,0,
IF($AA32&gt;AD$5,0,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AD$5,$AA32 &lt; AD$4),0,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E32" s="18" cm="1">
        <f t="array" ref="AE32" xml:space="preserve">
IFERROR(
IF(AE$1="",0,
IF(AND(
$AA32&gt;=VLOOKUP(AE$6, Table_ChiPhiNV_Ca[], COUNTA(Table_ChiPhiNV_Ca[[#Headers],[Ca]:[Bắt đầu nghỉ]]),0),
$AA32&lt;VLOOKUP(AE$6, Table_ChiPhiNV_Ca[], COUNTA(Table_ChiPhiNV_Ca[[#Headers],[Ca]:[Kết thúc nghỉ]]),0)
),0,
IF(NOT(ISBLANK(AE$3)),
IF(ISBLANK(AE$7),0,
IF(AE$4 &lt; AE$5,
IF($AA32-$Z$4&lt;AE$4,0,
IF($AA32&gt;AE$5,0,
SUM(_xlfn._xlws.FILTER(Table_BangLuong_TyLeTangCa[Tỷ lệ],
(Table_BangLuong_TyLeTangCa[Ngày] = AE$3) *
(Table_BangLuong_TyLeTangCa[Giờ min]&lt;=$AA32) *
(Table_BangLuong_TyLeTangCa[Giờ max]&gt;$AA32)
)))),
IF(AND($AA32-$Z$4 &gt;= AE$5,$AA32 &lt; AE$4),0,
SUM(_xlfn._xlws.FILTER(Table_BangLuong_TyLeTangCa[Tỷ lệ],
(Table_BangLuong_TyLeTangCa[Ngày] = AE$3) *
(Table_BangLuong_TyLeTangCa[Giờ min]&lt;=$AA32) *
(Table_BangLuong_TyLeTangCa[Giờ max]&gt;$AA32)
))))
),
IF(ISBLANK(AE$7),
IF(VLOOKUP(AE$6, Table_ChiPhiNV_Ca[], COUNTA(Table_ChiPhiNV_Ca[[#Headers],[Ca]:[Kết thúc]]),0)&gt; VLOOKUP(AE$6, Table_ChiPhiNV_Ca[], COUNTA(Table_ChiPhiNV_Ca[[#Headers],[Ca]:[Bắt đầu]]),0),
IF($AA32-$Z$4&lt;MAX(AE$4,VLOOKUP(AE$6, Table_ChiPhiNV_Ca[], COUNTA(Table_ChiPhiNV_Ca[[#Headers],[Ca]:[Bắt đầu]]),0)),0,
IF($AA32&gt;MIN(AE$5,VLOOKUP(AE$6, Table_ChiPhiNV_Ca[], COUNTA(Table_ChiPhiNV_Ca[[#Headers],[Ca]:[Kết thúc]]),0)),0,
SUM(_xlfn._xlws.FILTER(Table_BangLuong_TyLeTangCa[Tỷ lệ],
(Table_BangLuong_TyLeTangCa[Ngày] = "Thường") *
(Table_BangLuong_TyLeTangCa[Giờ min]&lt;=$AA32) *
(Table_BangLuong_TyLeTangCa[Giờ max]&gt;$AA32)
)))),
IF(AE$4 &gt; AE$5,
IF(
AND(
$AA32-$Z$4&lt;MAX(AE$4,VLOOKUP(AE$6, Table_ChiPhiNV_Ca[], COUNTA(Table_ChiPhiNV_Ca[[#Headers],[Ca]:[Bắt đầu]]),0)),
$AA32&gt;MIN(AE$5,VLOOKUP(AE$6, Table_ChiPhiNV_Ca[], COUNTA(Table_ChiPhiNV_Ca[[#Headers],[Ca]:[Kết thúc]]),0))),0,
SUM(_xlfn._xlws.FILTER(Table_BangLuong_TyLeTangCa[Tỷ lệ],
(Table_BangLuong_TyLeTangCa[Ngày] = "Thường") *
(Table_BangLuong_TyLeTangCa[Giờ min]&lt;=$AA32) *
(Table_BangLuong_TyLeTangCa[Giờ max]&gt;$AA32)
))),
IF(
AND(
$AA32-$Z$4&gt;=MAX(AE$4,VLOOKUP(AE$6, Table_ChiPhiNV_Ca[], COUNTA(Table_ChiPhiNV_Ca[[#Headers],[Ca]:[Bắt đầu]]),0)),
$AA32&lt;MIN(AE$5,VLOOKUP(AE$6, Table_ChiPhiNV_Ca[], COUNTA(Table_ChiPhiNV_Ca[[#Headers],[Ca]:[Kết thúc]]),0))),
SUM(_xlfn._xlws.FILTER(Table_BangLuong_TyLeTangCa[Tỷ lệ],
(Table_BangLuong_TyLeTangCa[Ngày] = "Thường") *
(Table_BangLuong_TyLeTangCa[Giờ min]&lt;=$AA32) *
(Table_BangLuong_TyLeTangCa[Giờ max]&gt;$AA32)
)),0)
)),
IF(AE$4 &lt; AE$5,
IF($AA32-$Z$4&lt;AE$4,0,
IF($AA32&gt;AE$5,0,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AE$5,$AA32 &lt; AE$4),0,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F32" s="18" cm="1">
        <f t="array" ref="AF32" xml:space="preserve">
IFERROR(
IF(AF$1="",0,
IF(AND(
$AA32&gt;=VLOOKUP(AF$6, Table_ChiPhiNV_Ca[], COUNTA(Table_ChiPhiNV_Ca[[#Headers],[Ca]:[Bắt đầu nghỉ]]),0),
$AA32&lt;VLOOKUP(AF$6, Table_ChiPhiNV_Ca[], COUNTA(Table_ChiPhiNV_Ca[[#Headers],[Ca]:[Kết thúc nghỉ]]),0)
),0,
IF(NOT(ISBLANK(AF$3)),
IF(ISBLANK(AF$7),0,
IF(AF$4 &lt; AF$5,
IF($AA32-$Z$4&lt;AF$4,0,
IF($AA32&gt;AF$5,0,
SUM(_xlfn._xlws.FILTER(Table_BangLuong_TyLeTangCa[Tỷ lệ],
(Table_BangLuong_TyLeTangCa[Ngày] = AF$3) *
(Table_BangLuong_TyLeTangCa[Giờ min]&lt;=$AA32) *
(Table_BangLuong_TyLeTangCa[Giờ max]&gt;$AA32)
)))),
IF(AND($AA32-$Z$4 &gt;= AF$5,$AA32 &lt; AF$4),0,
SUM(_xlfn._xlws.FILTER(Table_BangLuong_TyLeTangCa[Tỷ lệ],
(Table_BangLuong_TyLeTangCa[Ngày] = AF$3) *
(Table_BangLuong_TyLeTangCa[Giờ min]&lt;=$AA32) *
(Table_BangLuong_TyLeTangCa[Giờ max]&gt;$AA32)
))))
),
IF(ISBLANK(AF$7),
IF(VLOOKUP(AF$6, Table_ChiPhiNV_Ca[], COUNTA(Table_ChiPhiNV_Ca[[#Headers],[Ca]:[Kết thúc]]),0)&gt; VLOOKUP(AF$6, Table_ChiPhiNV_Ca[], COUNTA(Table_ChiPhiNV_Ca[[#Headers],[Ca]:[Bắt đầu]]),0),
IF($AA32-$Z$4&lt;MAX(AF$4,VLOOKUP(AF$6, Table_ChiPhiNV_Ca[], COUNTA(Table_ChiPhiNV_Ca[[#Headers],[Ca]:[Bắt đầu]]),0)),0,
IF($AA32&gt;MIN(AF$5,VLOOKUP(AF$6, Table_ChiPhiNV_Ca[], COUNTA(Table_ChiPhiNV_Ca[[#Headers],[Ca]:[Kết thúc]]),0)),0,
SUM(_xlfn._xlws.FILTER(Table_BangLuong_TyLeTangCa[Tỷ lệ],
(Table_BangLuong_TyLeTangCa[Ngày] = "Thường") *
(Table_BangLuong_TyLeTangCa[Giờ min]&lt;=$AA32) *
(Table_BangLuong_TyLeTangCa[Giờ max]&gt;$AA32)
)))),
IF(AF$4 &gt; AF$5,
IF(
AND(
$AA32-$Z$4&lt;MAX(AF$4,VLOOKUP(AF$6, Table_ChiPhiNV_Ca[], COUNTA(Table_ChiPhiNV_Ca[[#Headers],[Ca]:[Bắt đầu]]),0)),
$AA32&gt;MIN(AF$5,VLOOKUP(AF$6, Table_ChiPhiNV_Ca[], COUNTA(Table_ChiPhiNV_Ca[[#Headers],[Ca]:[Kết thúc]]),0))),0,
SUM(_xlfn._xlws.FILTER(Table_BangLuong_TyLeTangCa[Tỷ lệ],
(Table_BangLuong_TyLeTangCa[Ngày] = "Thường") *
(Table_BangLuong_TyLeTangCa[Giờ min]&lt;=$AA32) *
(Table_BangLuong_TyLeTangCa[Giờ max]&gt;$AA32)
))),
IF(
AND(
$AA32-$Z$4&gt;=MAX(AF$4,VLOOKUP(AF$6, Table_ChiPhiNV_Ca[], COUNTA(Table_ChiPhiNV_Ca[[#Headers],[Ca]:[Bắt đầu]]),0)),
$AA32&lt;MIN(AF$5,VLOOKUP(AF$6, Table_ChiPhiNV_Ca[], COUNTA(Table_ChiPhiNV_Ca[[#Headers],[Ca]:[Kết thúc]]),0))),
SUM(_xlfn._xlws.FILTER(Table_BangLuong_TyLeTangCa[Tỷ lệ],
(Table_BangLuong_TyLeTangCa[Ngày] = "Thường") *
(Table_BangLuong_TyLeTangCa[Giờ min]&lt;=$AA32) *
(Table_BangLuong_TyLeTangCa[Giờ max]&gt;$AA32)
)),0)
)),
IF(AF$4 &lt; AF$5,
IF($AA32-$Z$4&lt;AF$4,0,
IF($AA32&gt;AF$5,0,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AF$5,$AA32 &lt; AF$4),0,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G32" s="18" cm="1">
        <f t="array" ref="AG32" xml:space="preserve">
IFERROR(
IF(AG$1="",0,
IF(AND(
$AA32&gt;=VLOOKUP(AG$6, Table_ChiPhiNV_Ca[], COUNTA(Table_ChiPhiNV_Ca[[#Headers],[Ca]:[Bắt đầu nghỉ]]),0),
$AA32&lt;VLOOKUP(AG$6, Table_ChiPhiNV_Ca[], COUNTA(Table_ChiPhiNV_Ca[[#Headers],[Ca]:[Kết thúc nghỉ]]),0)
),0,
IF(NOT(ISBLANK(AG$3)),
IF(ISBLANK(AG$7),0,
IF(AG$4 &lt; AG$5,
IF($AA32-$Z$4&lt;AG$4,0,
IF($AA32&gt;AG$5,0,
SUM(_xlfn._xlws.FILTER(Table_BangLuong_TyLeTangCa[Tỷ lệ],
(Table_BangLuong_TyLeTangCa[Ngày] = AG$3) *
(Table_BangLuong_TyLeTangCa[Giờ min]&lt;=$AA32) *
(Table_BangLuong_TyLeTangCa[Giờ max]&gt;$AA32)
)))),
IF(AND($AA32-$Z$4 &gt;= AG$5,$AA32 &lt; AG$4),0,
SUM(_xlfn._xlws.FILTER(Table_BangLuong_TyLeTangCa[Tỷ lệ],
(Table_BangLuong_TyLeTangCa[Ngày] = AG$3) *
(Table_BangLuong_TyLeTangCa[Giờ min]&lt;=$AA32) *
(Table_BangLuong_TyLeTangCa[Giờ max]&gt;$AA32)
))))
),
IF(ISBLANK(AG$7),
IF(VLOOKUP(AG$6, Table_ChiPhiNV_Ca[], COUNTA(Table_ChiPhiNV_Ca[[#Headers],[Ca]:[Kết thúc]]),0)&gt; VLOOKUP(AG$6, Table_ChiPhiNV_Ca[], COUNTA(Table_ChiPhiNV_Ca[[#Headers],[Ca]:[Bắt đầu]]),0),
IF($AA32-$Z$4&lt;MAX(AG$4,VLOOKUP(AG$6, Table_ChiPhiNV_Ca[], COUNTA(Table_ChiPhiNV_Ca[[#Headers],[Ca]:[Bắt đầu]]),0)),0,
IF($AA32&gt;MIN(AG$5,VLOOKUP(AG$6, Table_ChiPhiNV_Ca[], COUNTA(Table_ChiPhiNV_Ca[[#Headers],[Ca]:[Kết thúc]]),0)),0,
SUM(_xlfn._xlws.FILTER(Table_BangLuong_TyLeTangCa[Tỷ lệ],
(Table_BangLuong_TyLeTangCa[Ngày] = "Thường") *
(Table_BangLuong_TyLeTangCa[Giờ min]&lt;=$AA32) *
(Table_BangLuong_TyLeTangCa[Giờ max]&gt;$AA32)
)))),
IF(AG$4 &gt; AG$5,
IF(
AND(
$AA32-$Z$4&lt;MAX(AG$4,VLOOKUP(AG$6, Table_ChiPhiNV_Ca[], COUNTA(Table_ChiPhiNV_Ca[[#Headers],[Ca]:[Bắt đầu]]),0)),
$AA32&gt;MIN(AG$5,VLOOKUP(AG$6, Table_ChiPhiNV_Ca[], COUNTA(Table_ChiPhiNV_Ca[[#Headers],[Ca]:[Kết thúc]]),0))),0,
SUM(_xlfn._xlws.FILTER(Table_BangLuong_TyLeTangCa[Tỷ lệ],
(Table_BangLuong_TyLeTangCa[Ngày] = "Thường") *
(Table_BangLuong_TyLeTangCa[Giờ min]&lt;=$AA32) *
(Table_BangLuong_TyLeTangCa[Giờ max]&gt;$AA32)
))),
IF(
AND(
$AA32-$Z$4&gt;=MAX(AG$4,VLOOKUP(AG$6, Table_ChiPhiNV_Ca[], COUNTA(Table_ChiPhiNV_Ca[[#Headers],[Ca]:[Bắt đầu]]),0)),
$AA32&lt;MIN(AG$5,VLOOKUP(AG$6, Table_ChiPhiNV_Ca[], COUNTA(Table_ChiPhiNV_Ca[[#Headers],[Ca]:[Kết thúc]]),0))),
SUM(_xlfn._xlws.FILTER(Table_BangLuong_TyLeTangCa[Tỷ lệ],
(Table_BangLuong_TyLeTangCa[Ngày] = "Thường") *
(Table_BangLuong_TyLeTangCa[Giờ min]&lt;=$AA32) *
(Table_BangLuong_TyLeTangCa[Giờ max]&gt;$AA32)
)),0)
)),
IF(AG$4 &lt; AG$5,
IF($AA32-$Z$4&lt;AG$4,0,
IF($AA32&gt;AG$5,0,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AG$5,$AA32 &lt; AG$4),0,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H32" s="18" cm="1">
        <f t="array" ref="AH32" xml:space="preserve">
IFERROR(
IF(AH$1="",0,
IF(AND(
$AA32&gt;=VLOOKUP(AH$6, Table_ChiPhiNV_Ca[], COUNTA(Table_ChiPhiNV_Ca[[#Headers],[Ca]:[Bắt đầu nghỉ]]),0),
$AA32&lt;VLOOKUP(AH$6, Table_ChiPhiNV_Ca[], COUNTA(Table_ChiPhiNV_Ca[[#Headers],[Ca]:[Kết thúc nghỉ]]),0)
),0,
IF(NOT(ISBLANK(AH$3)),
IF(ISBLANK(AH$7),0,
IF(AH$4 &lt; AH$5,
IF($AA32-$Z$4&lt;AH$4,0,
IF($AA32&gt;AH$5,0,
SUM(_xlfn._xlws.FILTER(Table_BangLuong_TyLeTangCa[Tỷ lệ],
(Table_BangLuong_TyLeTangCa[Ngày] = AH$3) *
(Table_BangLuong_TyLeTangCa[Giờ min]&lt;=$AA32) *
(Table_BangLuong_TyLeTangCa[Giờ max]&gt;$AA32)
)))),
IF(AND($AA32-$Z$4 &gt;= AH$5,$AA32 &lt; AH$4),0,
SUM(_xlfn._xlws.FILTER(Table_BangLuong_TyLeTangCa[Tỷ lệ],
(Table_BangLuong_TyLeTangCa[Ngày] = AH$3) *
(Table_BangLuong_TyLeTangCa[Giờ min]&lt;=$AA32) *
(Table_BangLuong_TyLeTangCa[Giờ max]&gt;$AA32)
))))
),
IF(ISBLANK(AH$7),
IF(VLOOKUP(AH$6, Table_ChiPhiNV_Ca[], COUNTA(Table_ChiPhiNV_Ca[[#Headers],[Ca]:[Kết thúc]]),0)&gt; VLOOKUP(AH$6, Table_ChiPhiNV_Ca[], COUNTA(Table_ChiPhiNV_Ca[[#Headers],[Ca]:[Bắt đầu]]),0),
IF($AA32-$Z$4&lt;MAX(AH$4,VLOOKUP(AH$6, Table_ChiPhiNV_Ca[], COUNTA(Table_ChiPhiNV_Ca[[#Headers],[Ca]:[Bắt đầu]]),0)),0,
IF($AA32&gt;MIN(AH$5,VLOOKUP(AH$6, Table_ChiPhiNV_Ca[], COUNTA(Table_ChiPhiNV_Ca[[#Headers],[Ca]:[Kết thúc]]),0)),0,
SUM(_xlfn._xlws.FILTER(Table_BangLuong_TyLeTangCa[Tỷ lệ],
(Table_BangLuong_TyLeTangCa[Ngày] = "Thường") *
(Table_BangLuong_TyLeTangCa[Giờ min]&lt;=$AA32) *
(Table_BangLuong_TyLeTangCa[Giờ max]&gt;$AA32)
)))),
IF(AH$4 &gt; AH$5,
IF(
AND(
$AA32-$Z$4&lt;MAX(AH$4,VLOOKUP(AH$6, Table_ChiPhiNV_Ca[], COUNTA(Table_ChiPhiNV_Ca[[#Headers],[Ca]:[Bắt đầu]]),0)),
$AA32&gt;MIN(AH$5,VLOOKUP(AH$6, Table_ChiPhiNV_Ca[], COUNTA(Table_ChiPhiNV_Ca[[#Headers],[Ca]:[Kết thúc]]),0))),0,
SUM(_xlfn._xlws.FILTER(Table_BangLuong_TyLeTangCa[Tỷ lệ],
(Table_BangLuong_TyLeTangCa[Ngày] = "Thường") *
(Table_BangLuong_TyLeTangCa[Giờ min]&lt;=$AA32) *
(Table_BangLuong_TyLeTangCa[Giờ max]&gt;$AA32)
))),
IF(
AND(
$AA32-$Z$4&gt;=MAX(AH$4,VLOOKUP(AH$6, Table_ChiPhiNV_Ca[], COUNTA(Table_ChiPhiNV_Ca[[#Headers],[Ca]:[Bắt đầu]]),0)),
$AA32&lt;MIN(AH$5,VLOOKUP(AH$6, Table_ChiPhiNV_Ca[], COUNTA(Table_ChiPhiNV_Ca[[#Headers],[Ca]:[Kết thúc]]),0))),
SUM(_xlfn._xlws.FILTER(Table_BangLuong_TyLeTangCa[Tỷ lệ],
(Table_BangLuong_TyLeTangCa[Ngày] = "Thường") *
(Table_BangLuong_TyLeTangCa[Giờ min]&lt;=$AA32) *
(Table_BangLuong_TyLeTangCa[Giờ max]&gt;$AA32)
)),0)
)),
IF(AH$4 &lt; AH$5,
IF($AA32-$Z$4&lt;AH$4,0,
IF($AA32&gt;AH$5,0,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AH$5,$AA32 &lt; AH$4),0,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I32" s="18" cm="1">
        <f t="array" ref="AI32" xml:space="preserve">
IFERROR(
IF(AI$1="",0,
IF(AND(
$AA32&gt;=VLOOKUP(AI$6, Table_ChiPhiNV_Ca[], COUNTA(Table_ChiPhiNV_Ca[[#Headers],[Ca]:[Bắt đầu nghỉ]]),0),
$AA32&lt;VLOOKUP(AI$6, Table_ChiPhiNV_Ca[], COUNTA(Table_ChiPhiNV_Ca[[#Headers],[Ca]:[Kết thúc nghỉ]]),0)
),0,
IF(NOT(ISBLANK(AI$3)),
IF(ISBLANK(AI$7),0,
IF(AI$4 &lt; AI$5,
IF($AA32-$Z$4&lt;AI$4,0,
IF($AA32&gt;AI$5,0,
SUM(_xlfn._xlws.FILTER(Table_BangLuong_TyLeTangCa[Tỷ lệ],
(Table_BangLuong_TyLeTangCa[Ngày] = AI$3) *
(Table_BangLuong_TyLeTangCa[Giờ min]&lt;=$AA32) *
(Table_BangLuong_TyLeTangCa[Giờ max]&gt;$AA32)
)))),
IF(AND($AA32-$Z$4 &gt;= AI$5,$AA32 &lt; AI$4),0,
SUM(_xlfn._xlws.FILTER(Table_BangLuong_TyLeTangCa[Tỷ lệ],
(Table_BangLuong_TyLeTangCa[Ngày] = AI$3) *
(Table_BangLuong_TyLeTangCa[Giờ min]&lt;=$AA32) *
(Table_BangLuong_TyLeTangCa[Giờ max]&gt;$AA32)
))))
),
IF(ISBLANK(AI$7),
IF(VLOOKUP(AI$6, Table_ChiPhiNV_Ca[], COUNTA(Table_ChiPhiNV_Ca[[#Headers],[Ca]:[Kết thúc]]),0)&gt; VLOOKUP(AI$6, Table_ChiPhiNV_Ca[], COUNTA(Table_ChiPhiNV_Ca[[#Headers],[Ca]:[Bắt đầu]]),0),
IF($AA32-$Z$4&lt;MAX(AI$4,VLOOKUP(AI$6, Table_ChiPhiNV_Ca[], COUNTA(Table_ChiPhiNV_Ca[[#Headers],[Ca]:[Bắt đầu]]),0)),0,
IF($AA32&gt;MIN(AI$5,VLOOKUP(AI$6, Table_ChiPhiNV_Ca[], COUNTA(Table_ChiPhiNV_Ca[[#Headers],[Ca]:[Kết thúc]]),0)),0,
SUM(_xlfn._xlws.FILTER(Table_BangLuong_TyLeTangCa[Tỷ lệ],
(Table_BangLuong_TyLeTangCa[Ngày] = "Thường") *
(Table_BangLuong_TyLeTangCa[Giờ min]&lt;=$AA32) *
(Table_BangLuong_TyLeTangCa[Giờ max]&gt;$AA32)
)))),
IF(AI$4 &gt; AI$5,
IF(
AND(
$AA32-$Z$4&lt;MAX(AI$4,VLOOKUP(AI$6, Table_ChiPhiNV_Ca[], COUNTA(Table_ChiPhiNV_Ca[[#Headers],[Ca]:[Bắt đầu]]),0)),
$AA32&gt;MIN(AI$5,VLOOKUP(AI$6, Table_ChiPhiNV_Ca[], COUNTA(Table_ChiPhiNV_Ca[[#Headers],[Ca]:[Kết thúc]]),0))),0,
SUM(_xlfn._xlws.FILTER(Table_BangLuong_TyLeTangCa[Tỷ lệ],
(Table_BangLuong_TyLeTangCa[Ngày] = "Thường") *
(Table_BangLuong_TyLeTangCa[Giờ min]&lt;=$AA32) *
(Table_BangLuong_TyLeTangCa[Giờ max]&gt;$AA32)
))),
IF(
AND(
$AA32-$Z$4&gt;=MAX(AI$4,VLOOKUP(AI$6, Table_ChiPhiNV_Ca[], COUNTA(Table_ChiPhiNV_Ca[[#Headers],[Ca]:[Bắt đầu]]),0)),
$AA32&lt;MIN(AI$5,VLOOKUP(AI$6, Table_ChiPhiNV_Ca[], COUNTA(Table_ChiPhiNV_Ca[[#Headers],[Ca]:[Kết thúc]]),0))),
SUM(_xlfn._xlws.FILTER(Table_BangLuong_TyLeTangCa[Tỷ lệ],
(Table_BangLuong_TyLeTangCa[Ngày] = "Thường") *
(Table_BangLuong_TyLeTangCa[Giờ min]&lt;=$AA32) *
(Table_BangLuong_TyLeTangCa[Giờ max]&gt;$AA32)
)),0)
)),
IF(AI$4 &lt; AI$5,
IF($AA32-$Z$4&lt;AI$4,0,
IF($AA32&gt;AI$5,0,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AI$5,$AA32 &lt; AI$4),0,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J32" s="18" cm="1">
        <f t="array" ref="AJ32" xml:space="preserve">
IFERROR(
IF(AJ$1="",0,
IF(AND(
$AA32&gt;=VLOOKUP(AJ$6, Table_ChiPhiNV_Ca[], COUNTA(Table_ChiPhiNV_Ca[[#Headers],[Ca]:[Bắt đầu nghỉ]]),0),
$AA32&lt;VLOOKUP(AJ$6, Table_ChiPhiNV_Ca[], COUNTA(Table_ChiPhiNV_Ca[[#Headers],[Ca]:[Kết thúc nghỉ]]),0)
),0,
IF(NOT(ISBLANK(AJ$3)),
IF(ISBLANK(AJ$7),0,
IF(AJ$4 &lt; AJ$5,
IF($AA32-$Z$4&lt;AJ$4,0,
IF($AA32&gt;AJ$5,0,
SUM(_xlfn._xlws.FILTER(Table_BangLuong_TyLeTangCa[Tỷ lệ],
(Table_BangLuong_TyLeTangCa[Ngày] = AJ$3) *
(Table_BangLuong_TyLeTangCa[Giờ min]&lt;=$AA32) *
(Table_BangLuong_TyLeTangCa[Giờ max]&gt;$AA32)
)))),
IF(AND($AA32-$Z$4 &gt;= AJ$5,$AA32 &lt; AJ$4),0,
SUM(_xlfn._xlws.FILTER(Table_BangLuong_TyLeTangCa[Tỷ lệ],
(Table_BangLuong_TyLeTangCa[Ngày] = AJ$3) *
(Table_BangLuong_TyLeTangCa[Giờ min]&lt;=$AA32) *
(Table_BangLuong_TyLeTangCa[Giờ max]&gt;$AA32)
))))
),
IF(ISBLANK(AJ$7),
IF(VLOOKUP(AJ$6, Table_ChiPhiNV_Ca[], COUNTA(Table_ChiPhiNV_Ca[[#Headers],[Ca]:[Kết thúc]]),0)&gt; VLOOKUP(AJ$6, Table_ChiPhiNV_Ca[], COUNTA(Table_ChiPhiNV_Ca[[#Headers],[Ca]:[Bắt đầu]]),0),
IF($AA32-$Z$4&lt;MAX(AJ$4,VLOOKUP(AJ$6, Table_ChiPhiNV_Ca[], COUNTA(Table_ChiPhiNV_Ca[[#Headers],[Ca]:[Bắt đầu]]),0)),0,
IF($AA32&gt;MIN(AJ$5,VLOOKUP(AJ$6, Table_ChiPhiNV_Ca[], COUNTA(Table_ChiPhiNV_Ca[[#Headers],[Ca]:[Kết thúc]]),0)),0,
SUM(_xlfn._xlws.FILTER(Table_BangLuong_TyLeTangCa[Tỷ lệ],
(Table_BangLuong_TyLeTangCa[Ngày] = "Thường") *
(Table_BangLuong_TyLeTangCa[Giờ min]&lt;=$AA32) *
(Table_BangLuong_TyLeTangCa[Giờ max]&gt;$AA32)
)))),
IF(AJ$4 &gt; AJ$5,
IF(
AND(
$AA32-$Z$4&lt;MAX(AJ$4,VLOOKUP(AJ$6, Table_ChiPhiNV_Ca[], COUNTA(Table_ChiPhiNV_Ca[[#Headers],[Ca]:[Bắt đầu]]),0)),
$AA32&gt;MIN(AJ$5,VLOOKUP(AJ$6, Table_ChiPhiNV_Ca[], COUNTA(Table_ChiPhiNV_Ca[[#Headers],[Ca]:[Kết thúc]]),0))),0,
SUM(_xlfn._xlws.FILTER(Table_BangLuong_TyLeTangCa[Tỷ lệ],
(Table_BangLuong_TyLeTangCa[Ngày] = "Thường") *
(Table_BangLuong_TyLeTangCa[Giờ min]&lt;=$AA32) *
(Table_BangLuong_TyLeTangCa[Giờ max]&gt;$AA32)
))),
IF(
AND(
$AA32-$Z$4&gt;=MAX(AJ$4,VLOOKUP(AJ$6, Table_ChiPhiNV_Ca[], COUNTA(Table_ChiPhiNV_Ca[[#Headers],[Ca]:[Bắt đầu]]),0)),
$AA32&lt;MIN(AJ$5,VLOOKUP(AJ$6, Table_ChiPhiNV_Ca[], COUNTA(Table_ChiPhiNV_Ca[[#Headers],[Ca]:[Kết thúc]]),0))),
SUM(_xlfn._xlws.FILTER(Table_BangLuong_TyLeTangCa[Tỷ lệ],
(Table_BangLuong_TyLeTangCa[Ngày] = "Thường") *
(Table_BangLuong_TyLeTangCa[Giờ min]&lt;=$AA32) *
(Table_BangLuong_TyLeTangCa[Giờ max]&gt;$AA32)
)),0)
)),
IF(AJ$4 &lt; AJ$5,
IF($AA32-$Z$4&lt;AJ$4,0,
IF($AA32&gt;AJ$5,0,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AJ$5,$AA32 &lt; AJ$4),0,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K32" s="18" cm="1">
        <f t="array" ref="AK32" xml:space="preserve">
IFERROR(
IF(AK$1="",0,
IF(AND(
$AA32&gt;=VLOOKUP(AK$6, Table_ChiPhiNV_Ca[], COUNTA(Table_ChiPhiNV_Ca[[#Headers],[Ca]:[Bắt đầu nghỉ]]),0),
$AA32&lt;VLOOKUP(AK$6, Table_ChiPhiNV_Ca[], COUNTA(Table_ChiPhiNV_Ca[[#Headers],[Ca]:[Kết thúc nghỉ]]),0)
),0,
IF(NOT(ISBLANK(AK$3)),
IF(ISBLANK(AK$7),0,
IF(AK$4 &lt; AK$5,
IF($AA32-$Z$4&lt;AK$4,0,
IF($AA32&gt;AK$5,0,
SUM(_xlfn._xlws.FILTER(Table_BangLuong_TyLeTangCa[Tỷ lệ],
(Table_BangLuong_TyLeTangCa[Ngày] = AK$3) *
(Table_BangLuong_TyLeTangCa[Giờ min]&lt;=$AA32) *
(Table_BangLuong_TyLeTangCa[Giờ max]&gt;$AA32)
)))),
IF(AND($AA32-$Z$4 &gt;= AK$5,$AA32 &lt; AK$4),0,
SUM(_xlfn._xlws.FILTER(Table_BangLuong_TyLeTangCa[Tỷ lệ],
(Table_BangLuong_TyLeTangCa[Ngày] = AK$3) *
(Table_BangLuong_TyLeTangCa[Giờ min]&lt;=$AA32) *
(Table_BangLuong_TyLeTangCa[Giờ max]&gt;$AA32)
))))
),
IF(ISBLANK(AK$7),
IF(VLOOKUP(AK$6, Table_ChiPhiNV_Ca[], COUNTA(Table_ChiPhiNV_Ca[[#Headers],[Ca]:[Kết thúc]]),0)&gt; VLOOKUP(AK$6, Table_ChiPhiNV_Ca[], COUNTA(Table_ChiPhiNV_Ca[[#Headers],[Ca]:[Bắt đầu]]),0),
IF($AA32-$Z$4&lt;MAX(AK$4,VLOOKUP(AK$6, Table_ChiPhiNV_Ca[], COUNTA(Table_ChiPhiNV_Ca[[#Headers],[Ca]:[Bắt đầu]]),0)),0,
IF($AA32&gt;MIN(AK$5,VLOOKUP(AK$6, Table_ChiPhiNV_Ca[], COUNTA(Table_ChiPhiNV_Ca[[#Headers],[Ca]:[Kết thúc]]),0)),0,
SUM(_xlfn._xlws.FILTER(Table_BangLuong_TyLeTangCa[Tỷ lệ],
(Table_BangLuong_TyLeTangCa[Ngày] = "Thường") *
(Table_BangLuong_TyLeTangCa[Giờ min]&lt;=$AA32) *
(Table_BangLuong_TyLeTangCa[Giờ max]&gt;$AA32)
)))),
IF(AK$4 &gt; AK$5,
IF(
AND(
$AA32-$Z$4&lt;MAX(AK$4,VLOOKUP(AK$6, Table_ChiPhiNV_Ca[], COUNTA(Table_ChiPhiNV_Ca[[#Headers],[Ca]:[Bắt đầu]]),0)),
$AA32&gt;MIN(AK$5,VLOOKUP(AK$6, Table_ChiPhiNV_Ca[], COUNTA(Table_ChiPhiNV_Ca[[#Headers],[Ca]:[Kết thúc]]),0))),0,
SUM(_xlfn._xlws.FILTER(Table_BangLuong_TyLeTangCa[Tỷ lệ],
(Table_BangLuong_TyLeTangCa[Ngày] = "Thường") *
(Table_BangLuong_TyLeTangCa[Giờ min]&lt;=$AA32) *
(Table_BangLuong_TyLeTangCa[Giờ max]&gt;$AA32)
))),
IF(
AND(
$AA32-$Z$4&gt;=MAX(AK$4,VLOOKUP(AK$6, Table_ChiPhiNV_Ca[], COUNTA(Table_ChiPhiNV_Ca[[#Headers],[Ca]:[Bắt đầu]]),0)),
$AA32&lt;MIN(AK$5,VLOOKUP(AK$6, Table_ChiPhiNV_Ca[], COUNTA(Table_ChiPhiNV_Ca[[#Headers],[Ca]:[Kết thúc]]),0))),
SUM(_xlfn._xlws.FILTER(Table_BangLuong_TyLeTangCa[Tỷ lệ],
(Table_BangLuong_TyLeTangCa[Ngày] = "Thường") *
(Table_BangLuong_TyLeTangCa[Giờ min]&lt;=$AA32) *
(Table_BangLuong_TyLeTangCa[Giờ max]&gt;$AA32)
)),0)
)),
IF(AK$4 &lt; AK$5,
IF($AA32-$Z$4&lt;AK$4,0,
IF($AA32&gt;AK$5,0,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AK$5,$AA32 &lt; AK$4),0,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L32" s="18" cm="1">
        <f t="array" ref="AL32" xml:space="preserve">
IFERROR(
IF(AL$1="",0,
IF(AND(
$AA32&gt;=VLOOKUP(AL$6, Table_ChiPhiNV_Ca[], COUNTA(Table_ChiPhiNV_Ca[[#Headers],[Ca]:[Bắt đầu nghỉ]]),0),
$AA32&lt;VLOOKUP(AL$6, Table_ChiPhiNV_Ca[], COUNTA(Table_ChiPhiNV_Ca[[#Headers],[Ca]:[Kết thúc nghỉ]]),0)
),0,
IF(NOT(ISBLANK(AL$3)),
IF(ISBLANK(AL$7),0,
IF(AL$4 &lt; AL$5,
IF($AA32-$Z$4&lt;AL$4,0,
IF($AA32&gt;AL$5,0,
SUM(_xlfn._xlws.FILTER(Table_BangLuong_TyLeTangCa[Tỷ lệ],
(Table_BangLuong_TyLeTangCa[Ngày] = AL$3) *
(Table_BangLuong_TyLeTangCa[Giờ min]&lt;=$AA32) *
(Table_BangLuong_TyLeTangCa[Giờ max]&gt;$AA32)
)))),
IF(AND($AA32-$Z$4 &gt;= AL$5,$AA32 &lt; AL$4),0,
SUM(_xlfn._xlws.FILTER(Table_BangLuong_TyLeTangCa[Tỷ lệ],
(Table_BangLuong_TyLeTangCa[Ngày] = AL$3) *
(Table_BangLuong_TyLeTangCa[Giờ min]&lt;=$AA32) *
(Table_BangLuong_TyLeTangCa[Giờ max]&gt;$AA32)
))))
),
IF(ISBLANK(AL$7),
IF(VLOOKUP(AL$6, Table_ChiPhiNV_Ca[], COUNTA(Table_ChiPhiNV_Ca[[#Headers],[Ca]:[Kết thúc]]),0)&gt; VLOOKUP(AL$6, Table_ChiPhiNV_Ca[], COUNTA(Table_ChiPhiNV_Ca[[#Headers],[Ca]:[Bắt đầu]]),0),
IF($AA32-$Z$4&lt;MAX(AL$4,VLOOKUP(AL$6, Table_ChiPhiNV_Ca[], COUNTA(Table_ChiPhiNV_Ca[[#Headers],[Ca]:[Bắt đầu]]),0)),0,
IF($AA32&gt;MIN(AL$5,VLOOKUP(AL$6, Table_ChiPhiNV_Ca[], COUNTA(Table_ChiPhiNV_Ca[[#Headers],[Ca]:[Kết thúc]]),0)),0,
SUM(_xlfn._xlws.FILTER(Table_BangLuong_TyLeTangCa[Tỷ lệ],
(Table_BangLuong_TyLeTangCa[Ngày] = "Thường") *
(Table_BangLuong_TyLeTangCa[Giờ min]&lt;=$AA32) *
(Table_BangLuong_TyLeTangCa[Giờ max]&gt;$AA32)
)))),
IF(AL$4 &gt; AL$5,
IF(
AND(
$AA32-$Z$4&lt;MAX(AL$4,VLOOKUP(AL$6, Table_ChiPhiNV_Ca[], COUNTA(Table_ChiPhiNV_Ca[[#Headers],[Ca]:[Bắt đầu]]),0)),
$AA32&gt;MIN(AL$5,VLOOKUP(AL$6, Table_ChiPhiNV_Ca[], COUNTA(Table_ChiPhiNV_Ca[[#Headers],[Ca]:[Kết thúc]]),0))),0,
SUM(_xlfn._xlws.FILTER(Table_BangLuong_TyLeTangCa[Tỷ lệ],
(Table_BangLuong_TyLeTangCa[Ngày] = "Thường") *
(Table_BangLuong_TyLeTangCa[Giờ min]&lt;=$AA32) *
(Table_BangLuong_TyLeTangCa[Giờ max]&gt;$AA32)
))),
IF(
AND(
$AA32-$Z$4&gt;=MAX(AL$4,VLOOKUP(AL$6, Table_ChiPhiNV_Ca[], COUNTA(Table_ChiPhiNV_Ca[[#Headers],[Ca]:[Bắt đầu]]),0)),
$AA32&lt;MIN(AL$5,VLOOKUP(AL$6, Table_ChiPhiNV_Ca[], COUNTA(Table_ChiPhiNV_Ca[[#Headers],[Ca]:[Kết thúc]]),0))),
SUM(_xlfn._xlws.FILTER(Table_BangLuong_TyLeTangCa[Tỷ lệ],
(Table_BangLuong_TyLeTangCa[Ngày] = "Thường") *
(Table_BangLuong_TyLeTangCa[Giờ min]&lt;=$AA32) *
(Table_BangLuong_TyLeTangCa[Giờ max]&gt;$AA32)
)),0)
)),
IF(AL$4 &lt; AL$5,
IF($AA32-$Z$4&lt;AL$4,0,
IF($AA32&gt;AL$5,0,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AL$5,$AA32 &lt; AL$4),0,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M32" s="18" cm="1">
        <f t="array" ref="AM32" xml:space="preserve">
IFERROR(
IF(AM$1="",0,
IF(AND(
$AA32&gt;=VLOOKUP(AM$6, Table_ChiPhiNV_Ca[], COUNTA(Table_ChiPhiNV_Ca[[#Headers],[Ca]:[Bắt đầu nghỉ]]),0),
$AA32&lt;VLOOKUP(AM$6, Table_ChiPhiNV_Ca[], COUNTA(Table_ChiPhiNV_Ca[[#Headers],[Ca]:[Kết thúc nghỉ]]),0)
),0,
IF(NOT(ISBLANK(AM$3)),
IF(ISBLANK(AM$7),0,
IF(AM$4 &lt; AM$5,
IF($AA32-$Z$4&lt;AM$4,0,
IF($AA32&gt;AM$5,0,
SUM(_xlfn._xlws.FILTER(Table_BangLuong_TyLeTangCa[Tỷ lệ],
(Table_BangLuong_TyLeTangCa[Ngày] = AM$3) *
(Table_BangLuong_TyLeTangCa[Giờ min]&lt;=$AA32) *
(Table_BangLuong_TyLeTangCa[Giờ max]&gt;$AA32)
)))),
IF(AND($AA32-$Z$4 &gt;= AM$5,$AA32 &lt; AM$4),0,
SUM(_xlfn._xlws.FILTER(Table_BangLuong_TyLeTangCa[Tỷ lệ],
(Table_BangLuong_TyLeTangCa[Ngày] = AM$3) *
(Table_BangLuong_TyLeTangCa[Giờ min]&lt;=$AA32) *
(Table_BangLuong_TyLeTangCa[Giờ max]&gt;$AA32)
))))
),
IF(ISBLANK(AM$7),
IF(VLOOKUP(AM$6, Table_ChiPhiNV_Ca[], COUNTA(Table_ChiPhiNV_Ca[[#Headers],[Ca]:[Kết thúc]]),0)&gt; VLOOKUP(AM$6, Table_ChiPhiNV_Ca[], COUNTA(Table_ChiPhiNV_Ca[[#Headers],[Ca]:[Bắt đầu]]),0),
IF($AA32-$Z$4&lt;MAX(AM$4,VLOOKUP(AM$6, Table_ChiPhiNV_Ca[], COUNTA(Table_ChiPhiNV_Ca[[#Headers],[Ca]:[Bắt đầu]]),0)),0,
IF($AA32&gt;MIN(AM$5,VLOOKUP(AM$6, Table_ChiPhiNV_Ca[], COUNTA(Table_ChiPhiNV_Ca[[#Headers],[Ca]:[Kết thúc]]),0)),0,
SUM(_xlfn._xlws.FILTER(Table_BangLuong_TyLeTangCa[Tỷ lệ],
(Table_BangLuong_TyLeTangCa[Ngày] = "Thường") *
(Table_BangLuong_TyLeTangCa[Giờ min]&lt;=$AA32) *
(Table_BangLuong_TyLeTangCa[Giờ max]&gt;$AA32)
)))),
IF(AM$4 &gt; AM$5,
IF(
AND(
$AA32-$Z$4&lt;MAX(AM$4,VLOOKUP(AM$6, Table_ChiPhiNV_Ca[], COUNTA(Table_ChiPhiNV_Ca[[#Headers],[Ca]:[Bắt đầu]]),0)),
$AA32&gt;MIN(AM$5,VLOOKUP(AM$6, Table_ChiPhiNV_Ca[], COUNTA(Table_ChiPhiNV_Ca[[#Headers],[Ca]:[Kết thúc]]),0))),0,
SUM(_xlfn._xlws.FILTER(Table_BangLuong_TyLeTangCa[Tỷ lệ],
(Table_BangLuong_TyLeTangCa[Ngày] = "Thường") *
(Table_BangLuong_TyLeTangCa[Giờ min]&lt;=$AA32) *
(Table_BangLuong_TyLeTangCa[Giờ max]&gt;$AA32)
))),
IF(
AND(
$AA32-$Z$4&gt;=MAX(AM$4,VLOOKUP(AM$6, Table_ChiPhiNV_Ca[], COUNTA(Table_ChiPhiNV_Ca[[#Headers],[Ca]:[Bắt đầu]]),0)),
$AA32&lt;MIN(AM$5,VLOOKUP(AM$6, Table_ChiPhiNV_Ca[], COUNTA(Table_ChiPhiNV_Ca[[#Headers],[Ca]:[Kết thúc]]),0))),
SUM(_xlfn._xlws.FILTER(Table_BangLuong_TyLeTangCa[Tỷ lệ],
(Table_BangLuong_TyLeTangCa[Ngày] = "Thường") *
(Table_BangLuong_TyLeTangCa[Giờ min]&lt;=$AA32) *
(Table_BangLuong_TyLeTangCa[Giờ max]&gt;$AA32)
)),0)
)),
IF(AM$4 &lt; AM$5,
IF($AA32-$Z$4&lt;AM$4,0,
IF($AA32&gt;AM$5,0,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AM$5,$AA32 &lt; AM$4),0,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N32" s="18" cm="1">
        <f t="array" ref="AN32" xml:space="preserve">
IFERROR(
IF(AN$1="",0,
IF(AND(
$AA32&gt;=VLOOKUP(AN$6, Table_ChiPhiNV_Ca[], COUNTA(Table_ChiPhiNV_Ca[[#Headers],[Ca]:[Bắt đầu nghỉ]]),0),
$AA32&lt;VLOOKUP(AN$6, Table_ChiPhiNV_Ca[], COUNTA(Table_ChiPhiNV_Ca[[#Headers],[Ca]:[Kết thúc nghỉ]]),0)
),0,
IF(NOT(ISBLANK(AN$3)),
IF(ISBLANK(AN$7),0,
IF(AN$4 &lt; AN$5,
IF($AA32-$Z$4&lt;AN$4,0,
IF($AA32&gt;AN$5,0,
SUM(_xlfn._xlws.FILTER(Table_BangLuong_TyLeTangCa[Tỷ lệ],
(Table_BangLuong_TyLeTangCa[Ngày] = AN$3) *
(Table_BangLuong_TyLeTangCa[Giờ min]&lt;=$AA32) *
(Table_BangLuong_TyLeTangCa[Giờ max]&gt;$AA32)
)))),
IF(AND($AA32-$Z$4 &gt;= AN$5,$AA32 &lt; AN$4),0,
SUM(_xlfn._xlws.FILTER(Table_BangLuong_TyLeTangCa[Tỷ lệ],
(Table_BangLuong_TyLeTangCa[Ngày] = AN$3) *
(Table_BangLuong_TyLeTangCa[Giờ min]&lt;=$AA32) *
(Table_BangLuong_TyLeTangCa[Giờ max]&gt;$AA32)
))))
),
IF(ISBLANK(AN$7),
IF(VLOOKUP(AN$6, Table_ChiPhiNV_Ca[], COUNTA(Table_ChiPhiNV_Ca[[#Headers],[Ca]:[Kết thúc]]),0)&gt; VLOOKUP(AN$6, Table_ChiPhiNV_Ca[], COUNTA(Table_ChiPhiNV_Ca[[#Headers],[Ca]:[Bắt đầu]]),0),
IF($AA32-$Z$4&lt;MAX(AN$4,VLOOKUP(AN$6, Table_ChiPhiNV_Ca[], COUNTA(Table_ChiPhiNV_Ca[[#Headers],[Ca]:[Bắt đầu]]),0)),0,
IF($AA32&gt;MIN(AN$5,VLOOKUP(AN$6, Table_ChiPhiNV_Ca[], COUNTA(Table_ChiPhiNV_Ca[[#Headers],[Ca]:[Kết thúc]]),0)),0,
SUM(_xlfn._xlws.FILTER(Table_BangLuong_TyLeTangCa[Tỷ lệ],
(Table_BangLuong_TyLeTangCa[Ngày] = "Thường") *
(Table_BangLuong_TyLeTangCa[Giờ min]&lt;=$AA32) *
(Table_BangLuong_TyLeTangCa[Giờ max]&gt;$AA32)
)))),
IF(AN$4 &gt; AN$5,
IF(
AND(
$AA32-$Z$4&lt;MAX(AN$4,VLOOKUP(AN$6, Table_ChiPhiNV_Ca[], COUNTA(Table_ChiPhiNV_Ca[[#Headers],[Ca]:[Bắt đầu]]),0)),
$AA32&gt;MIN(AN$5,VLOOKUP(AN$6, Table_ChiPhiNV_Ca[], COUNTA(Table_ChiPhiNV_Ca[[#Headers],[Ca]:[Kết thúc]]),0))),0,
SUM(_xlfn._xlws.FILTER(Table_BangLuong_TyLeTangCa[Tỷ lệ],
(Table_BangLuong_TyLeTangCa[Ngày] = "Thường") *
(Table_BangLuong_TyLeTangCa[Giờ min]&lt;=$AA32) *
(Table_BangLuong_TyLeTangCa[Giờ max]&gt;$AA32)
))),
IF(
AND(
$AA32-$Z$4&gt;=MAX(AN$4,VLOOKUP(AN$6, Table_ChiPhiNV_Ca[], COUNTA(Table_ChiPhiNV_Ca[[#Headers],[Ca]:[Bắt đầu]]),0)),
$AA32&lt;MIN(AN$5,VLOOKUP(AN$6, Table_ChiPhiNV_Ca[], COUNTA(Table_ChiPhiNV_Ca[[#Headers],[Ca]:[Kết thúc]]),0))),
SUM(_xlfn._xlws.FILTER(Table_BangLuong_TyLeTangCa[Tỷ lệ],
(Table_BangLuong_TyLeTangCa[Ngày] = "Thường") *
(Table_BangLuong_TyLeTangCa[Giờ min]&lt;=$AA32) *
(Table_BangLuong_TyLeTangCa[Giờ max]&gt;$AA32)
)),0)
)),
IF(AN$4 &lt; AN$5,
IF($AA32-$Z$4&lt;AN$4,0,
IF($AA32&gt;AN$5,0,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AN$5,$AA32 &lt; AN$4),0,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O32" s="18" cm="1">
        <f t="array" ref="AO32" xml:space="preserve">
IFERROR(
IF(AO$1="",0,
IF(AND(
$AA32&gt;=VLOOKUP(AO$6, Table_ChiPhiNV_Ca[], COUNTA(Table_ChiPhiNV_Ca[[#Headers],[Ca]:[Bắt đầu nghỉ]]),0),
$AA32&lt;VLOOKUP(AO$6, Table_ChiPhiNV_Ca[], COUNTA(Table_ChiPhiNV_Ca[[#Headers],[Ca]:[Kết thúc nghỉ]]),0)
),0,
IF(NOT(ISBLANK(AO$3)),
IF(ISBLANK(AO$7),0,
IF(AO$4 &lt; AO$5,
IF($AA32-$Z$4&lt;AO$4,0,
IF($AA32&gt;AO$5,0,
SUM(_xlfn._xlws.FILTER(Table_BangLuong_TyLeTangCa[Tỷ lệ],
(Table_BangLuong_TyLeTangCa[Ngày] = AO$3) *
(Table_BangLuong_TyLeTangCa[Giờ min]&lt;=$AA32) *
(Table_BangLuong_TyLeTangCa[Giờ max]&gt;$AA32)
)))),
IF(AND($AA32-$Z$4 &gt;= AO$5,$AA32 &lt; AO$4),0,
SUM(_xlfn._xlws.FILTER(Table_BangLuong_TyLeTangCa[Tỷ lệ],
(Table_BangLuong_TyLeTangCa[Ngày] = AO$3) *
(Table_BangLuong_TyLeTangCa[Giờ min]&lt;=$AA32) *
(Table_BangLuong_TyLeTangCa[Giờ max]&gt;$AA32)
))))
),
IF(ISBLANK(AO$7),
IF(VLOOKUP(AO$6, Table_ChiPhiNV_Ca[], COUNTA(Table_ChiPhiNV_Ca[[#Headers],[Ca]:[Kết thúc]]),0)&gt; VLOOKUP(AO$6, Table_ChiPhiNV_Ca[], COUNTA(Table_ChiPhiNV_Ca[[#Headers],[Ca]:[Bắt đầu]]),0),
IF($AA32-$Z$4&lt;MAX(AO$4,VLOOKUP(AO$6, Table_ChiPhiNV_Ca[], COUNTA(Table_ChiPhiNV_Ca[[#Headers],[Ca]:[Bắt đầu]]),0)),0,
IF($AA32&gt;MIN(AO$5,VLOOKUP(AO$6, Table_ChiPhiNV_Ca[], COUNTA(Table_ChiPhiNV_Ca[[#Headers],[Ca]:[Kết thúc]]),0)),0,
SUM(_xlfn._xlws.FILTER(Table_BangLuong_TyLeTangCa[Tỷ lệ],
(Table_BangLuong_TyLeTangCa[Ngày] = "Thường") *
(Table_BangLuong_TyLeTangCa[Giờ min]&lt;=$AA32) *
(Table_BangLuong_TyLeTangCa[Giờ max]&gt;$AA32)
)))),
IF(AO$4 &gt; AO$5,
IF(
AND(
$AA32-$Z$4&lt;MAX(AO$4,VLOOKUP(AO$6, Table_ChiPhiNV_Ca[], COUNTA(Table_ChiPhiNV_Ca[[#Headers],[Ca]:[Bắt đầu]]),0)),
$AA32&gt;MIN(AO$5,VLOOKUP(AO$6, Table_ChiPhiNV_Ca[], COUNTA(Table_ChiPhiNV_Ca[[#Headers],[Ca]:[Kết thúc]]),0))),0,
SUM(_xlfn._xlws.FILTER(Table_BangLuong_TyLeTangCa[Tỷ lệ],
(Table_BangLuong_TyLeTangCa[Ngày] = "Thường") *
(Table_BangLuong_TyLeTangCa[Giờ min]&lt;=$AA32) *
(Table_BangLuong_TyLeTangCa[Giờ max]&gt;$AA32)
))),
IF(
AND(
$AA32-$Z$4&gt;=MAX(AO$4,VLOOKUP(AO$6, Table_ChiPhiNV_Ca[], COUNTA(Table_ChiPhiNV_Ca[[#Headers],[Ca]:[Bắt đầu]]),0)),
$AA32&lt;MIN(AO$5,VLOOKUP(AO$6, Table_ChiPhiNV_Ca[], COUNTA(Table_ChiPhiNV_Ca[[#Headers],[Ca]:[Kết thúc]]),0))),
SUM(_xlfn._xlws.FILTER(Table_BangLuong_TyLeTangCa[Tỷ lệ],
(Table_BangLuong_TyLeTangCa[Ngày] = "Thường") *
(Table_BangLuong_TyLeTangCa[Giờ min]&lt;=$AA32) *
(Table_BangLuong_TyLeTangCa[Giờ max]&gt;$AA32)
)),0)
)),
IF(AO$4 &lt; AO$5,
IF($AA32-$Z$4&lt;AO$4,0,
IF($AA32&gt;AO$5,0,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AO$5,$AA32 &lt; AO$4),0,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P32" s="18" cm="1">
        <f t="array" ref="AP32" xml:space="preserve">
IFERROR(
IF(AP$1="",0,
IF(AND(
$AA32&gt;=VLOOKUP(AP$6, Table_ChiPhiNV_Ca[], COUNTA(Table_ChiPhiNV_Ca[[#Headers],[Ca]:[Bắt đầu nghỉ]]),0),
$AA32&lt;VLOOKUP(AP$6, Table_ChiPhiNV_Ca[], COUNTA(Table_ChiPhiNV_Ca[[#Headers],[Ca]:[Kết thúc nghỉ]]),0)
),0,
IF(NOT(ISBLANK(AP$3)),
IF(ISBLANK(AP$7),0,
IF(AP$4 &lt; AP$5,
IF($AA32-$Z$4&lt;AP$4,0,
IF($AA32&gt;AP$5,0,
SUM(_xlfn._xlws.FILTER(Table_BangLuong_TyLeTangCa[Tỷ lệ],
(Table_BangLuong_TyLeTangCa[Ngày] = AP$3) *
(Table_BangLuong_TyLeTangCa[Giờ min]&lt;=$AA32) *
(Table_BangLuong_TyLeTangCa[Giờ max]&gt;$AA32)
)))),
IF(AND($AA32-$Z$4 &gt;= AP$5,$AA32 &lt; AP$4),0,
SUM(_xlfn._xlws.FILTER(Table_BangLuong_TyLeTangCa[Tỷ lệ],
(Table_BangLuong_TyLeTangCa[Ngày] = AP$3) *
(Table_BangLuong_TyLeTangCa[Giờ min]&lt;=$AA32) *
(Table_BangLuong_TyLeTangCa[Giờ max]&gt;$AA32)
))))
),
IF(ISBLANK(AP$7),
IF(VLOOKUP(AP$6, Table_ChiPhiNV_Ca[], COUNTA(Table_ChiPhiNV_Ca[[#Headers],[Ca]:[Kết thúc]]),0)&gt; VLOOKUP(AP$6, Table_ChiPhiNV_Ca[], COUNTA(Table_ChiPhiNV_Ca[[#Headers],[Ca]:[Bắt đầu]]),0),
IF($AA32-$Z$4&lt;MAX(AP$4,VLOOKUP(AP$6, Table_ChiPhiNV_Ca[], COUNTA(Table_ChiPhiNV_Ca[[#Headers],[Ca]:[Bắt đầu]]),0)),0,
IF($AA32&gt;MIN(AP$5,VLOOKUP(AP$6, Table_ChiPhiNV_Ca[], COUNTA(Table_ChiPhiNV_Ca[[#Headers],[Ca]:[Kết thúc]]),0)),0,
SUM(_xlfn._xlws.FILTER(Table_BangLuong_TyLeTangCa[Tỷ lệ],
(Table_BangLuong_TyLeTangCa[Ngày] = "Thường") *
(Table_BangLuong_TyLeTangCa[Giờ min]&lt;=$AA32) *
(Table_BangLuong_TyLeTangCa[Giờ max]&gt;$AA32)
)))),
IF(AP$4 &gt; AP$5,
IF(
AND(
$AA32-$Z$4&lt;MAX(AP$4,VLOOKUP(AP$6, Table_ChiPhiNV_Ca[], COUNTA(Table_ChiPhiNV_Ca[[#Headers],[Ca]:[Bắt đầu]]),0)),
$AA32&gt;MIN(AP$5,VLOOKUP(AP$6, Table_ChiPhiNV_Ca[], COUNTA(Table_ChiPhiNV_Ca[[#Headers],[Ca]:[Kết thúc]]),0))),0,
SUM(_xlfn._xlws.FILTER(Table_BangLuong_TyLeTangCa[Tỷ lệ],
(Table_BangLuong_TyLeTangCa[Ngày] = "Thường") *
(Table_BangLuong_TyLeTangCa[Giờ min]&lt;=$AA32) *
(Table_BangLuong_TyLeTangCa[Giờ max]&gt;$AA32)
))),
IF(
AND(
$AA32-$Z$4&gt;=MAX(AP$4,VLOOKUP(AP$6, Table_ChiPhiNV_Ca[], COUNTA(Table_ChiPhiNV_Ca[[#Headers],[Ca]:[Bắt đầu]]),0)),
$AA32&lt;MIN(AP$5,VLOOKUP(AP$6, Table_ChiPhiNV_Ca[], COUNTA(Table_ChiPhiNV_Ca[[#Headers],[Ca]:[Kết thúc]]),0))),
SUM(_xlfn._xlws.FILTER(Table_BangLuong_TyLeTangCa[Tỷ lệ],
(Table_BangLuong_TyLeTangCa[Ngày] = "Thường") *
(Table_BangLuong_TyLeTangCa[Giờ min]&lt;=$AA32) *
(Table_BangLuong_TyLeTangCa[Giờ max]&gt;$AA32)
)),0)
)),
IF(AP$4 &lt; AP$5,
IF($AA32-$Z$4&lt;AP$4,0,
IF($AA32&gt;AP$5,0,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AP$5,$AA32 &lt; AP$4),0,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Q32" s="18" cm="1">
        <f t="array" ref="AQ32" xml:space="preserve">
IFERROR(
IF(AQ$1="",0,
IF(AND(
$AA32&gt;=VLOOKUP(AQ$6, Table_ChiPhiNV_Ca[], COUNTA(Table_ChiPhiNV_Ca[[#Headers],[Ca]:[Bắt đầu nghỉ]]),0),
$AA32&lt;VLOOKUP(AQ$6, Table_ChiPhiNV_Ca[], COUNTA(Table_ChiPhiNV_Ca[[#Headers],[Ca]:[Kết thúc nghỉ]]),0)
),0,
IF(NOT(ISBLANK(AQ$3)),
IF(ISBLANK(AQ$7),0,
IF(AQ$4 &lt; AQ$5,
IF($AA32-$Z$4&lt;AQ$4,0,
IF($AA32&gt;AQ$5,0,
SUM(_xlfn._xlws.FILTER(Table_BangLuong_TyLeTangCa[Tỷ lệ],
(Table_BangLuong_TyLeTangCa[Ngày] = AQ$3) *
(Table_BangLuong_TyLeTangCa[Giờ min]&lt;=$AA32) *
(Table_BangLuong_TyLeTangCa[Giờ max]&gt;$AA32)
)))),
IF(AND($AA32-$Z$4 &gt;= AQ$5,$AA32 &lt; AQ$4),0,
SUM(_xlfn._xlws.FILTER(Table_BangLuong_TyLeTangCa[Tỷ lệ],
(Table_BangLuong_TyLeTangCa[Ngày] = AQ$3) *
(Table_BangLuong_TyLeTangCa[Giờ min]&lt;=$AA32) *
(Table_BangLuong_TyLeTangCa[Giờ max]&gt;$AA32)
))))
),
IF(ISBLANK(AQ$7),
IF(VLOOKUP(AQ$6, Table_ChiPhiNV_Ca[], COUNTA(Table_ChiPhiNV_Ca[[#Headers],[Ca]:[Kết thúc]]),0)&gt; VLOOKUP(AQ$6, Table_ChiPhiNV_Ca[], COUNTA(Table_ChiPhiNV_Ca[[#Headers],[Ca]:[Bắt đầu]]),0),
IF($AA32-$Z$4&lt;MAX(AQ$4,VLOOKUP(AQ$6, Table_ChiPhiNV_Ca[], COUNTA(Table_ChiPhiNV_Ca[[#Headers],[Ca]:[Bắt đầu]]),0)),0,
IF($AA32&gt;MIN(AQ$5,VLOOKUP(AQ$6, Table_ChiPhiNV_Ca[], COUNTA(Table_ChiPhiNV_Ca[[#Headers],[Ca]:[Kết thúc]]),0)),0,
SUM(_xlfn._xlws.FILTER(Table_BangLuong_TyLeTangCa[Tỷ lệ],
(Table_BangLuong_TyLeTangCa[Ngày] = "Thường") *
(Table_BangLuong_TyLeTangCa[Giờ min]&lt;=$AA32) *
(Table_BangLuong_TyLeTangCa[Giờ max]&gt;$AA32)
)))),
IF(AQ$4 &gt; AQ$5,
IF(
AND(
$AA32-$Z$4&lt;MAX(AQ$4,VLOOKUP(AQ$6, Table_ChiPhiNV_Ca[], COUNTA(Table_ChiPhiNV_Ca[[#Headers],[Ca]:[Bắt đầu]]),0)),
$AA32&gt;MIN(AQ$5,VLOOKUP(AQ$6, Table_ChiPhiNV_Ca[], COUNTA(Table_ChiPhiNV_Ca[[#Headers],[Ca]:[Kết thúc]]),0))),0,
SUM(_xlfn._xlws.FILTER(Table_BangLuong_TyLeTangCa[Tỷ lệ],
(Table_BangLuong_TyLeTangCa[Ngày] = "Thường") *
(Table_BangLuong_TyLeTangCa[Giờ min]&lt;=$AA32) *
(Table_BangLuong_TyLeTangCa[Giờ max]&gt;$AA32)
))),
IF(
AND(
$AA32-$Z$4&gt;=MAX(AQ$4,VLOOKUP(AQ$6, Table_ChiPhiNV_Ca[], COUNTA(Table_ChiPhiNV_Ca[[#Headers],[Ca]:[Bắt đầu]]),0)),
$AA32&lt;MIN(AQ$5,VLOOKUP(AQ$6, Table_ChiPhiNV_Ca[], COUNTA(Table_ChiPhiNV_Ca[[#Headers],[Ca]:[Kết thúc]]),0))),
SUM(_xlfn._xlws.FILTER(Table_BangLuong_TyLeTangCa[Tỷ lệ],
(Table_BangLuong_TyLeTangCa[Ngày] = "Thường") *
(Table_BangLuong_TyLeTangCa[Giờ min]&lt;=$AA32) *
(Table_BangLuong_TyLeTangCa[Giờ max]&gt;$AA32)
)),0)
)),
IF(AQ$4 &lt; AQ$5,
IF($AA32-$Z$4&lt;AQ$4,0,
IF($AA32&gt;AQ$5,0,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AQ$5,$AA32 &lt; AQ$4),0,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R32" s="18" cm="1">
        <f t="array" ref="AR32" xml:space="preserve">
IFERROR(
IF(AR$1="",0,
IF(AND(
$AA32&gt;=VLOOKUP(AR$6, Table_ChiPhiNV_Ca[], COUNTA(Table_ChiPhiNV_Ca[[#Headers],[Ca]:[Bắt đầu nghỉ]]),0),
$AA32&lt;VLOOKUP(AR$6, Table_ChiPhiNV_Ca[], COUNTA(Table_ChiPhiNV_Ca[[#Headers],[Ca]:[Kết thúc nghỉ]]),0)
),0,
IF(NOT(ISBLANK(AR$3)),
IF(ISBLANK(AR$7),0,
IF(AR$4 &lt; AR$5,
IF($AA32-$Z$4&lt;AR$4,0,
IF($AA32&gt;AR$5,0,
SUM(_xlfn._xlws.FILTER(Table_BangLuong_TyLeTangCa[Tỷ lệ],
(Table_BangLuong_TyLeTangCa[Ngày] = AR$3) *
(Table_BangLuong_TyLeTangCa[Giờ min]&lt;=$AA32) *
(Table_BangLuong_TyLeTangCa[Giờ max]&gt;$AA32)
)))),
IF(AND($AA32-$Z$4 &gt;= AR$5,$AA32 &lt; AR$4),0,
SUM(_xlfn._xlws.FILTER(Table_BangLuong_TyLeTangCa[Tỷ lệ],
(Table_BangLuong_TyLeTangCa[Ngày] = AR$3) *
(Table_BangLuong_TyLeTangCa[Giờ min]&lt;=$AA32) *
(Table_BangLuong_TyLeTangCa[Giờ max]&gt;$AA32)
))))
),
IF(ISBLANK(AR$7),
IF(VLOOKUP(AR$6, Table_ChiPhiNV_Ca[], COUNTA(Table_ChiPhiNV_Ca[[#Headers],[Ca]:[Kết thúc]]),0)&gt; VLOOKUP(AR$6, Table_ChiPhiNV_Ca[], COUNTA(Table_ChiPhiNV_Ca[[#Headers],[Ca]:[Bắt đầu]]),0),
IF($AA32-$Z$4&lt;MAX(AR$4,VLOOKUP(AR$6, Table_ChiPhiNV_Ca[], COUNTA(Table_ChiPhiNV_Ca[[#Headers],[Ca]:[Bắt đầu]]),0)),0,
IF($AA32&gt;MIN(AR$5,VLOOKUP(AR$6, Table_ChiPhiNV_Ca[], COUNTA(Table_ChiPhiNV_Ca[[#Headers],[Ca]:[Kết thúc]]),0)),0,
SUM(_xlfn._xlws.FILTER(Table_BangLuong_TyLeTangCa[Tỷ lệ],
(Table_BangLuong_TyLeTangCa[Ngày] = "Thường") *
(Table_BangLuong_TyLeTangCa[Giờ min]&lt;=$AA32) *
(Table_BangLuong_TyLeTangCa[Giờ max]&gt;$AA32)
)))),
IF(AR$4 &gt; AR$5,
IF(
AND(
$AA32-$Z$4&lt;MAX(AR$4,VLOOKUP(AR$6, Table_ChiPhiNV_Ca[], COUNTA(Table_ChiPhiNV_Ca[[#Headers],[Ca]:[Bắt đầu]]),0)),
$AA32&gt;MIN(AR$5,VLOOKUP(AR$6, Table_ChiPhiNV_Ca[], COUNTA(Table_ChiPhiNV_Ca[[#Headers],[Ca]:[Kết thúc]]),0))),0,
SUM(_xlfn._xlws.FILTER(Table_BangLuong_TyLeTangCa[Tỷ lệ],
(Table_BangLuong_TyLeTangCa[Ngày] = "Thường") *
(Table_BangLuong_TyLeTangCa[Giờ min]&lt;=$AA32) *
(Table_BangLuong_TyLeTangCa[Giờ max]&gt;$AA32)
))),
IF(
AND(
$AA32-$Z$4&gt;=MAX(AR$4,VLOOKUP(AR$6, Table_ChiPhiNV_Ca[], COUNTA(Table_ChiPhiNV_Ca[[#Headers],[Ca]:[Bắt đầu]]),0)),
$AA32&lt;MIN(AR$5,VLOOKUP(AR$6, Table_ChiPhiNV_Ca[], COUNTA(Table_ChiPhiNV_Ca[[#Headers],[Ca]:[Kết thúc]]),0))),
SUM(_xlfn._xlws.FILTER(Table_BangLuong_TyLeTangCa[Tỷ lệ],
(Table_BangLuong_TyLeTangCa[Ngày] = "Thường") *
(Table_BangLuong_TyLeTangCa[Giờ min]&lt;=$AA32) *
(Table_BangLuong_TyLeTangCa[Giờ max]&gt;$AA32)
)),0)
)),
IF(AR$4 &lt; AR$5,
IF($AA32-$Z$4&lt;AR$4,0,
IF($AA32&gt;AR$5,0,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AR$5,$AA32 &lt; AR$4),0,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S32" s="18" cm="1">
        <f t="array" ref="AS32" xml:space="preserve">
IFERROR(
IF(AS$1="",0,
IF(AND(
$AA32&gt;=VLOOKUP(AS$6, Table_ChiPhiNV_Ca[], COUNTA(Table_ChiPhiNV_Ca[[#Headers],[Ca]:[Bắt đầu nghỉ]]),0),
$AA32&lt;VLOOKUP(AS$6, Table_ChiPhiNV_Ca[], COUNTA(Table_ChiPhiNV_Ca[[#Headers],[Ca]:[Kết thúc nghỉ]]),0)
),0,
IF(NOT(ISBLANK(AS$3)),
IF(ISBLANK(AS$7),0,
IF(AS$4 &lt; AS$5,
IF($AA32-$Z$4&lt;AS$4,0,
IF($AA32&gt;AS$5,0,
SUM(_xlfn._xlws.FILTER(Table_BangLuong_TyLeTangCa[Tỷ lệ],
(Table_BangLuong_TyLeTangCa[Ngày] = AS$3) *
(Table_BangLuong_TyLeTangCa[Giờ min]&lt;=$AA32) *
(Table_BangLuong_TyLeTangCa[Giờ max]&gt;$AA32)
)))),
IF(AND($AA32-$Z$4 &gt;= AS$5,$AA32 &lt; AS$4),0,
SUM(_xlfn._xlws.FILTER(Table_BangLuong_TyLeTangCa[Tỷ lệ],
(Table_BangLuong_TyLeTangCa[Ngày] = AS$3) *
(Table_BangLuong_TyLeTangCa[Giờ min]&lt;=$AA32) *
(Table_BangLuong_TyLeTangCa[Giờ max]&gt;$AA32)
))))
),
IF(ISBLANK(AS$7),
IF(VLOOKUP(AS$6, Table_ChiPhiNV_Ca[], COUNTA(Table_ChiPhiNV_Ca[[#Headers],[Ca]:[Kết thúc]]),0)&gt; VLOOKUP(AS$6, Table_ChiPhiNV_Ca[], COUNTA(Table_ChiPhiNV_Ca[[#Headers],[Ca]:[Bắt đầu]]),0),
IF($AA32-$Z$4&lt;MAX(AS$4,VLOOKUP(AS$6, Table_ChiPhiNV_Ca[], COUNTA(Table_ChiPhiNV_Ca[[#Headers],[Ca]:[Bắt đầu]]),0)),0,
IF($AA32&gt;MIN(AS$5,VLOOKUP(AS$6, Table_ChiPhiNV_Ca[], COUNTA(Table_ChiPhiNV_Ca[[#Headers],[Ca]:[Kết thúc]]),0)),0,
SUM(_xlfn._xlws.FILTER(Table_BangLuong_TyLeTangCa[Tỷ lệ],
(Table_BangLuong_TyLeTangCa[Ngày] = "Thường") *
(Table_BangLuong_TyLeTangCa[Giờ min]&lt;=$AA32) *
(Table_BangLuong_TyLeTangCa[Giờ max]&gt;$AA32)
)))),
IF(AS$4 &gt; AS$5,
IF(
AND(
$AA32-$Z$4&lt;MAX(AS$4,VLOOKUP(AS$6, Table_ChiPhiNV_Ca[], COUNTA(Table_ChiPhiNV_Ca[[#Headers],[Ca]:[Bắt đầu]]),0)),
$AA32&gt;MIN(AS$5,VLOOKUP(AS$6, Table_ChiPhiNV_Ca[], COUNTA(Table_ChiPhiNV_Ca[[#Headers],[Ca]:[Kết thúc]]),0))),0,
SUM(_xlfn._xlws.FILTER(Table_BangLuong_TyLeTangCa[Tỷ lệ],
(Table_BangLuong_TyLeTangCa[Ngày] = "Thường") *
(Table_BangLuong_TyLeTangCa[Giờ min]&lt;=$AA32) *
(Table_BangLuong_TyLeTangCa[Giờ max]&gt;$AA32)
))),
IF(
AND(
$AA32-$Z$4&gt;=MAX(AS$4,VLOOKUP(AS$6, Table_ChiPhiNV_Ca[], COUNTA(Table_ChiPhiNV_Ca[[#Headers],[Ca]:[Bắt đầu]]),0)),
$AA32&lt;MIN(AS$5,VLOOKUP(AS$6, Table_ChiPhiNV_Ca[], COUNTA(Table_ChiPhiNV_Ca[[#Headers],[Ca]:[Kết thúc]]),0))),
SUM(_xlfn._xlws.FILTER(Table_BangLuong_TyLeTangCa[Tỷ lệ],
(Table_BangLuong_TyLeTangCa[Ngày] = "Thường") *
(Table_BangLuong_TyLeTangCa[Giờ min]&lt;=$AA32) *
(Table_BangLuong_TyLeTangCa[Giờ max]&gt;$AA32)
)),0)
)),
IF(AS$4 &lt; AS$5,
IF($AA32-$Z$4&lt;AS$4,0,
IF($AA32&gt;AS$5,0,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AS$5,$AA32 &lt; AS$4),0,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T32" s="18" cm="1">
        <f t="array" ref="AT32" xml:space="preserve">
IFERROR(
IF(AT$1="",0,
IF(AND(
$AA32&gt;=VLOOKUP(AT$6, Table_ChiPhiNV_Ca[], COUNTA(Table_ChiPhiNV_Ca[[#Headers],[Ca]:[Bắt đầu nghỉ]]),0),
$AA32&lt;VLOOKUP(AT$6, Table_ChiPhiNV_Ca[], COUNTA(Table_ChiPhiNV_Ca[[#Headers],[Ca]:[Kết thúc nghỉ]]),0)
),0,
IF(NOT(ISBLANK(AT$3)),
IF(ISBLANK(AT$7),0,
IF(AT$4 &lt; AT$5,
IF($AA32-$Z$4&lt;AT$4,0,
IF($AA32&gt;AT$5,0,
SUM(_xlfn._xlws.FILTER(Table_BangLuong_TyLeTangCa[Tỷ lệ],
(Table_BangLuong_TyLeTangCa[Ngày] = AT$3) *
(Table_BangLuong_TyLeTangCa[Giờ min]&lt;=$AA32) *
(Table_BangLuong_TyLeTangCa[Giờ max]&gt;$AA32)
)))),
IF(AND($AA32-$Z$4 &gt;= AT$5,$AA32 &lt; AT$4),0,
SUM(_xlfn._xlws.FILTER(Table_BangLuong_TyLeTangCa[Tỷ lệ],
(Table_BangLuong_TyLeTangCa[Ngày] = AT$3) *
(Table_BangLuong_TyLeTangCa[Giờ min]&lt;=$AA32) *
(Table_BangLuong_TyLeTangCa[Giờ max]&gt;$AA32)
))))
),
IF(ISBLANK(AT$7),
IF(VLOOKUP(AT$6, Table_ChiPhiNV_Ca[], COUNTA(Table_ChiPhiNV_Ca[[#Headers],[Ca]:[Kết thúc]]),0)&gt; VLOOKUP(AT$6, Table_ChiPhiNV_Ca[], COUNTA(Table_ChiPhiNV_Ca[[#Headers],[Ca]:[Bắt đầu]]),0),
IF($AA32-$Z$4&lt;MAX(AT$4,VLOOKUP(AT$6, Table_ChiPhiNV_Ca[], COUNTA(Table_ChiPhiNV_Ca[[#Headers],[Ca]:[Bắt đầu]]),0)),0,
IF($AA32&gt;MIN(AT$5,VLOOKUP(AT$6, Table_ChiPhiNV_Ca[], COUNTA(Table_ChiPhiNV_Ca[[#Headers],[Ca]:[Kết thúc]]),0)),0,
SUM(_xlfn._xlws.FILTER(Table_BangLuong_TyLeTangCa[Tỷ lệ],
(Table_BangLuong_TyLeTangCa[Ngày] = "Thường") *
(Table_BangLuong_TyLeTangCa[Giờ min]&lt;=$AA32) *
(Table_BangLuong_TyLeTangCa[Giờ max]&gt;$AA32)
)))),
IF(AT$4 &gt; AT$5,
IF(
AND(
$AA32-$Z$4&lt;MAX(AT$4,VLOOKUP(AT$6, Table_ChiPhiNV_Ca[], COUNTA(Table_ChiPhiNV_Ca[[#Headers],[Ca]:[Bắt đầu]]),0)),
$AA32&gt;MIN(AT$5,VLOOKUP(AT$6, Table_ChiPhiNV_Ca[], COUNTA(Table_ChiPhiNV_Ca[[#Headers],[Ca]:[Kết thúc]]),0))),0,
SUM(_xlfn._xlws.FILTER(Table_BangLuong_TyLeTangCa[Tỷ lệ],
(Table_BangLuong_TyLeTangCa[Ngày] = "Thường") *
(Table_BangLuong_TyLeTangCa[Giờ min]&lt;=$AA32) *
(Table_BangLuong_TyLeTangCa[Giờ max]&gt;$AA32)
))),
IF(
AND(
$AA32-$Z$4&gt;=MAX(AT$4,VLOOKUP(AT$6, Table_ChiPhiNV_Ca[], COUNTA(Table_ChiPhiNV_Ca[[#Headers],[Ca]:[Bắt đầu]]),0)),
$AA32&lt;MIN(AT$5,VLOOKUP(AT$6, Table_ChiPhiNV_Ca[], COUNTA(Table_ChiPhiNV_Ca[[#Headers],[Ca]:[Kết thúc]]),0))),
SUM(_xlfn._xlws.FILTER(Table_BangLuong_TyLeTangCa[Tỷ lệ],
(Table_BangLuong_TyLeTangCa[Ngày] = "Thường") *
(Table_BangLuong_TyLeTangCa[Giờ min]&lt;=$AA32) *
(Table_BangLuong_TyLeTangCa[Giờ max]&gt;$AA32)
)),0)
)),
IF(AT$4 &lt; AT$5,
IF($AA32-$Z$4&lt;AT$4,0,
IF($AA32&gt;AT$5,0,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AT$5,$AA32 &lt; AT$4),0,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U32" s="18" cm="1">
        <f t="array" ref="AU32" xml:space="preserve">
IFERROR(
IF(AU$1="",0,
IF(AND(
$AA32&gt;=VLOOKUP(AU$6, Table_ChiPhiNV_Ca[], COUNTA(Table_ChiPhiNV_Ca[[#Headers],[Ca]:[Bắt đầu nghỉ]]),0),
$AA32&lt;VLOOKUP(AU$6, Table_ChiPhiNV_Ca[], COUNTA(Table_ChiPhiNV_Ca[[#Headers],[Ca]:[Kết thúc nghỉ]]),0)
),0,
IF(NOT(ISBLANK(AU$3)),
IF(ISBLANK(AU$7),0,
IF(AU$4 &lt; AU$5,
IF($AA32-$Z$4&lt;AU$4,0,
IF($AA32&gt;AU$5,0,
SUM(_xlfn._xlws.FILTER(Table_BangLuong_TyLeTangCa[Tỷ lệ],
(Table_BangLuong_TyLeTangCa[Ngày] = AU$3) *
(Table_BangLuong_TyLeTangCa[Giờ min]&lt;=$AA32) *
(Table_BangLuong_TyLeTangCa[Giờ max]&gt;$AA32)
)))),
IF(AND($AA32-$Z$4 &gt;= AU$5,$AA32 &lt; AU$4),0,
SUM(_xlfn._xlws.FILTER(Table_BangLuong_TyLeTangCa[Tỷ lệ],
(Table_BangLuong_TyLeTangCa[Ngày] = AU$3) *
(Table_BangLuong_TyLeTangCa[Giờ min]&lt;=$AA32) *
(Table_BangLuong_TyLeTangCa[Giờ max]&gt;$AA32)
))))
),
IF(ISBLANK(AU$7),
IF(VLOOKUP(AU$6, Table_ChiPhiNV_Ca[], COUNTA(Table_ChiPhiNV_Ca[[#Headers],[Ca]:[Kết thúc]]),0)&gt; VLOOKUP(AU$6, Table_ChiPhiNV_Ca[], COUNTA(Table_ChiPhiNV_Ca[[#Headers],[Ca]:[Bắt đầu]]),0),
IF($AA32-$Z$4&lt;MAX(AU$4,VLOOKUP(AU$6, Table_ChiPhiNV_Ca[], COUNTA(Table_ChiPhiNV_Ca[[#Headers],[Ca]:[Bắt đầu]]),0)),0,
IF($AA32&gt;MIN(AU$5,VLOOKUP(AU$6, Table_ChiPhiNV_Ca[], COUNTA(Table_ChiPhiNV_Ca[[#Headers],[Ca]:[Kết thúc]]),0)),0,
SUM(_xlfn._xlws.FILTER(Table_BangLuong_TyLeTangCa[Tỷ lệ],
(Table_BangLuong_TyLeTangCa[Ngày] = "Thường") *
(Table_BangLuong_TyLeTangCa[Giờ min]&lt;=$AA32) *
(Table_BangLuong_TyLeTangCa[Giờ max]&gt;$AA32)
)))),
IF(AU$4 &gt; AU$5,
IF(
AND(
$AA32-$Z$4&lt;MAX(AU$4,VLOOKUP(AU$6, Table_ChiPhiNV_Ca[], COUNTA(Table_ChiPhiNV_Ca[[#Headers],[Ca]:[Bắt đầu]]),0)),
$AA32&gt;MIN(AU$5,VLOOKUP(AU$6, Table_ChiPhiNV_Ca[], COUNTA(Table_ChiPhiNV_Ca[[#Headers],[Ca]:[Kết thúc]]),0))),0,
SUM(_xlfn._xlws.FILTER(Table_BangLuong_TyLeTangCa[Tỷ lệ],
(Table_BangLuong_TyLeTangCa[Ngày] = "Thường") *
(Table_BangLuong_TyLeTangCa[Giờ min]&lt;=$AA32) *
(Table_BangLuong_TyLeTangCa[Giờ max]&gt;$AA32)
))),
IF(
AND(
$AA32-$Z$4&gt;=MAX(AU$4,VLOOKUP(AU$6, Table_ChiPhiNV_Ca[], COUNTA(Table_ChiPhiNV_Ca[[#Headers],[Ca]:[Bắt đầu]]),0)),
$AA32&lt;MIN(AU$5,VLOOKUP(AU$6, Table_ChiPhiNV_Ca[], COUNTA(Table_ChiPhiNV_Ca[[#Headers],[Ca]:[Kết thúc]]),0))),
SUM(_xlfn._xlws.FILTER(Table_BangLuong_TyLeTangCa[Tỷ lệ],
(Table_BangLuong_TyLeTangCa[Ngày] = "Thường") *
(Table_BangLuong_TyLeTangCa[Giờ min]&lt;=$AA32) *
(Table_BangLuong_TyLeTangCa[Giờ max]&gt;$AA32)
)),0)
)),
IF(AU$4 &lt; AU$5,
IF($AA32-$Z$4&lt;AU$4,0,
IF($AA32&gt;AU$5,0,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AU$5,$AA32 &lt; AU$4),0,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V32" s="18" cm="1">
        <f t="array" ref="AV32" xml:space="preserve">
IFERROR(
IF(AV$1="",0,
IF(AND(
$AA32&gt;=VLOOKUP(AV$6, Table_ChiPhiNV_Ca[], COUNTA(Table_ChiPhiNV_Ca[[#Headers],[Ca]:[Bắt đầu nghỉ]]),0),
$AA32&lt;VLOOKUP(AV$6, Table_ChiPhiNV_Ca[], COUNTA(Table_ChiPhiNV_Ca[[#Headers],[Ca]:[Kết thúc nghỉ]]),0)
),0,
IF(NOT(ISBLANK(AV$3)),
IF(ISBLANK(AV$7),0,
IF(AV$4 &lt; AV$5,
IF($AA32-$Z$4&lt;AV$4,0,
IF($AA32&gt;AV$5,0,
SUM(_xlfn._xlws.FILTER(Table_BangLuong_TyLeTangCa[Tỷ lệ],
(Table_BangLuong_TyLeTangCa[Ngày] = AV$3) *
(Table_BangLuong_TyLeTangCa[Giờ min]&lt;=$AA32) *
(Table_BangLuong_TyLeTangCa[Giờ max]&gt;$AA32)
)))),
IF(AND($AA32-$Z$4 &gt;= AV$5,$AA32 &lt; AV$4),0,
SUM(_xlfn._xlws.FILTER(Table_BangLuong_TyLeTangCa[Tỷ lệ],
(Table_BangLuong_TyLeTangCa[Ngày] = AV$3) *
(Table_BangLuong_TyLeTangCa[Giờ min]&lt;=$AA32) *
(Table_BangLuong_TyLeTangCa[Giờ max]&gt;$AA32)
))))
),
IF(ISBLANK(AV$7),
IF(VLOOKUP(AV$6, Table_ChiPhiNV_Ca[], COUNTA(Table_ChiPhiNV_Ca[[#Headers],[Ca]:[Kết thúc]]),0)&gt; VLOOKUP(AV$6, Table_ChiPhiNV_Ca[], COUNTA(Table_ChiPhiNV_Ca[[#Headers],[Ca]:[Bắt đầu]]),0),
IF($AA32-$Z$4&lt;MAX(AV$4,VLOOKUP(AV$6, Table_ChiPhiNV_Ca[], COUNTA(Table_ChiPhiNV_Ca[[#Headers],[Ca]:[Bắt đầu]]),0)),0,
IF($AA32&gt;MIN(AV$5,VLOOKUP(AV$6, Table_ChiPhiNV_Ca[], COUNTA(Table_ChiPhiNV_Ca[[#Headers],[Ca]:[Kết thúc]]),0)),0,
SUM(_xlfn._xlws.FILTER(Table_BangLuong_TyLeTangCa[Tỷ lệ],
(Table_BangLuong_TyLeTangCa[Ngày] = "Thường") *
(Table_BangLuong_TyLeTangCa[Giờ min]&lt;=$AA32) *
(Table_BangLuong_TyLeTangCa[Giờ max]&gt;$AA32)
)))),
IF(AV$4 &gt; AV$5,
IF(
AND(
$AA32-$Z$4&lt;MAX(AV$4,VLOOKUP(AV$6, Table_ChiPhiNV_Ca[], COUNTA(Table_ChiPhiNV_Ca[[#Headers],[Ca]:[Bắt đầu]]),0)),
$AA32&gt;MIN(AV$5,VLOOKUP(AV$6, Table_ChiPhiNV_Ca[], COUNTA(Table_ChiPhiNV_Ca[[#Headers],[Ca]:[Kết thúc]]),0))),0,
SUM(_xlfn._xlws.FILTER(Table_BangLuong_TyLeTangCa[Tỷ lệ],
(Table_BangLuong_TyLeTangCa[Ngày] = "Thường") *
(Table_BangLuong_TyLeTangCa[Giờ min]&lt;=$AA32) *
(Table_BangLuong_TyLeTangCa[Giờ max]&gt;$AA32)
))),
IF(
AND(
$AA32-$Z$4&gt;=MAX(AV$4,VLOOKUP(AV$6, Table_ChiPhiNV_Ca[], COUNTA(Table_ChiPhiNV_Ca[[#Headers],[Ca]:[Bắt đầu]]),0)),
$AA32&lt;MIN(AV$5,VLOOKUP(AV$6, Table_ChiPhiNV_Ca[], COUNTA(Table_ChiPhiNV_Ca[[#Headers],[Ca]:[Kết thúc]]),0))),
SUM(_xlfn._xlws.FILTER(Table_BangLuong_TyLeTangCa[Tỷ lệ],
(Table_BangLuong_TyLeTangCa[Ngày] = "Thường") *
(Table_BangLuong_TyLeTangCa[Giờ min]&lt;=$AA32) *
(Table_BangLuong_TyLeTangCa[Giờ max]&gt;$AA32)
)),0)
)),
IF(AV$4 &lt; AV$5,
IF($AA32-$Z$4&lt;AV$4,0,
IF($AA32&gt;AV$5,0,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AV$5,$AA32 &lt; AV$4),0,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W32" s="18" cm="1">
        <f t="array" ref="AW32" xml:space="preserve">
IFERROR(
IF(AW$1="",0,
IF(AND(
$AA32&gt;=VLOOKUP(AW$6, Table_ChiPhiNV_Ca[], COUNTA(Table_ChiPhiNV_Ca[[#Headers],[Ca]:[Bắt đầu nghỉ]]),0),
$AA32&lt;VLOOKUP(AW$6, Table_ChiPhiNV_Ca[], COUNTA(Table_ChiPhiNV_Ca[[#Headers],[Ca]:[Kết thúc nghỉ]]),0)
),0,
IF(NOT(ISBLANK(AW$3)),
IF(ISBLANK(AW$7),0,
IF(AW$4 &lt; AW$5,
IF($AA32-$Z$4&lt;AW$4,0,
IF($AA32&gt;AW$5,0,
SUM(_xlfn._xlws.FILTER(Table_BangLuong_TyLeTangCa[Tỷ lệ],
(Table_BangLuong_TyLeTangCa[Ngày] = AW$3) *
(Table_BangLuong_TyLeTangCa[Giờ min]&lt;=$AA32) *
(Table_BangLuong_TyLeTangCa[Giờ max]&gt;$AA32)
)))),
IF(AND($AA32-$Z$4 &gt;= AW$5,$AA32 &lt; AW$4),0,
SUM(_xlfn._xlws.FILTER(Table_BangLuong_TyLeTangCa[Tỷ lệ],
(Table_BangLuong_TyLeTangCa[Ngày] = AW$3) *
(Table_BangLuong_TyLeTangCa[Giờ min]&lt;=$AA32) *
(Table_BangLuong_TyLeTangCa[Giờ max]&gt;$AA32)
))))
),
IF(ISBLANK(AW$7),
IF(VLOOKUP(AW$6, Table_ChiPhiNV_Ca[], COUNTA(Table_ChiPhiNV_Ca[[#Headers],[Ca]:[Kết thúc]]),0)&gt; VLOOKUP(AW$6, Table_ChiPhiNV_Ca[], COUNTA(Table_ChiPhiNV_Ca[[#Headers],[Ca]:[Bắt đầu]]),0),
IF($AA32-$Z$4&lt;MAX(AW$4,VLOOKUP(AW$6, Table_ChiPhiNV_Ca[], COUNTA(Table_ChiPhiNV_Ca[[#Headers],[Ca]:[Bắt đầu]]),0)),0,
IF($AA32&gt;MIN(AW$5,VLOOKUP(AW$6, Table_ChiPhiNV_Ca[], COUNTA(Table_ChiPhiNV_Ca[[#Headers],[Ca]:[Kết thúc]]),0)),0,
SUM(_xlfn._xlws.FILTER(Table_BangLuong_TyLeTangCa[Tỷ lệ],
(Table_BangLuong_TyLeTangCa[Ngày] = "Thường") *
(Table_BangLuong_TyLeTangCa[Giờ min]&lt;=$AA32) *
(Table_BangLuong_TyLeTangCa[Giờ max]&gt;$AA32)
)))),
IF(AW$4 &gt; AW$5,
IF(
AND(
$AA32-$Z$4&lt;MAX(AW$4,VLOOKUP(AW$6, Table_ChiPhiNV_Ca[], COUNTA(Table_ChiPhiNV_Ca[[#Headers],[Ca]:[Bắt đầu]]),0)),
$AA32&gt;MIN(AW$5,VLOOKUP(AW$6, Table_ChiPhiNV_Ca[], COUNTA(Table_ChiPhiNV_Ca[[#Headers],[Ca]:[Kết thúc]]),0))),0,
SUM(_xlfn._xlws.FILTER(Table_BangLuong_TyLeTangCa[Tỷ lệ],
(Table_BangLuong_TyLeTangCa[Ngày] = "Thường") *
(Table_BangLuong_TyLeTangCa[Giờ min]&lt;=$AA32) *
(Table_BangLuong_TyLeTangCa[Giờ max]&gt;$AA32)
))),
IF(
AND(
$AA32-$Z$4&gt;=MAX(AW$4,VLOOKUP(AW$6, Table_ChiPhiNV_Ca[], COUNTA(Table_ChiPhiNV_Ca[[#Headers],[Ca]:[Bắt đầu]]),0)),
$AA32&lt;MIN(AW$5,VLOOKUP(AW$6, Table_ChiPhiNV_Ca[], COUNTA(Table_ChiPhiNV_Ca[[#Headers],[Ca]:[Kết thúc]]),0))),
SUM(_xlfn._xlws.FILTER(Table_BangLuong_TyLeTangCa[Tỷ lệ],
(Table_BangLuong_TyLeTangCa[Ngày] = "Thường") *
(Table_BangLuong_TyLeTangCa[Giờ min]&lt;=$AA32) *
(Table_BangLuong_TyLeTangCa[Giờ max]&gt;$AA32)
)),0)
)),
IF(AW$4 &lt; AW$5,
IF($AA32-$Z$4&lt;AW$4,0,
IF($AA32&gt;AW$5,0,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AW$5,$AA32 &lt; AW$4),0,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X32" s="18" cm="1">
        <f t="array" ref="AX32" xml:space="preserve">
IFERROR(
IF(AX$1="",0,
IF(AND(
$AA32&gt;=VLOOKUP(AX$6, Table_ChiPhiNV_Ca[], COUNTA(Table_ChiPhiNV_Ca[[#Headers],[Ca]:[Bắt đầu nghỉ]]),0),
$AA32&lt;VLOOKUP(AX$6, Table_ChiPhiNV_Ca[], COUNTA(Table_ChiPhiNV_Ca[[#Headers],[Ca]:[Kết thúc nghỉ]]),0)
),0,
IF(NOT(ISBLANK(AX$3)),
IF(ISBLANK(AX$7),0,
IF(AX$4 &lt; AX$5,
IF($AA32-$Z$4&lt;AX$4,0,
IF($AA32&gt;AX$5,0,
SUM(_xlfn._xlws.FILTER(Table_BangLuong_TyLeTangCa[Tỷ lệ],
(Table_BangLuong_TyLeTangCa[Ngày] = AX$3) *
(Table_BangLuong_TyLeTangCa[Giờ min]&lt;=$AA32) *
(Table_BangLuong_TyLeTangCa[Giờ max]&gt;$AA32)
)))),
IF(AND($AA32-$Z$4 &gt;= AX$5,$AA32 &lt; AX$4),0,
SUM(_xlfn._xlws.FILTER(Table_BangLuong_TyLeTangCa[Tỷ lệ],
(Table_BangLuong_TyLeTangCa[Ngày] = AX$3) *
(Table_BangLuong_TyLeTangCa[Giờ min]&lt;=$AA32) *
(Table_BangLuong_TyLeTangCa[Giờ max]&gt;$AA32)
))))
),
IF(ISBLANK(AX$7),
IF(VLOOKUP(AX$6, Table_ChiPhiNV_Ca[], COUNTA(Table_ChiPhiNV_Ca[[#Headers],[Ca]:[Kết thúc]]),0)&gt; VLOOKUP(AX$6, Table_ChiPhiNV_Ca[], COUNTA(Table_ChiPhiNV_Ca[[#Headers],[Ca]:[Bắt đầu]]),0),
IF($AA32-$Z$4&lt;MAX(AX$4,VLOOKUP(AX$6, Table_ChiPhiNV_Ca[], COUNTA(Table_ChiPhiNV_Ca[[#Headers],[Ca]:[Bắt đầu]]),0)),0,
IF($AA32&gt;MIN(AX$5,VLOOKUP(AX$6, Table_ChiPhiNV_Ca[], COUNTA(Table_ChiPhiNV_Ca[[#Headers],[Ca]:[Kết thúc]]),0)),0,
SUM(_xlfn._xlws.FILTER(Table_BangLuong_TyLeTangCa[Tỷ lệ],
(Table_BangLuong_TyLeTangCa[Ngày] = "Thường") *
(Table_BangLuong_TyLeTangCa[Giờ min]&lt;=$AA32) *
(Table_BangLuong_TyLeTangCa[Giờ max]&gt;$AA32)
)))),
IF(AX$4 &gt; AX$5,
IF(
AND(
$AA32-$Z$4&lt;MAX(AX$4,VLOOKUP(AX$6, Table_ChiPhiNV_Ca[], COUNTA(Table_ChiPhiNV_Ca[[#Headers],[Ca]:[Bắt đầu]]),0)),
$AA32&gt;MIN(AX$5,VLOOKUP(AX$6, Table_ChiPhiNV_Ca[], COUNTA(Table_ChiPhiNV_Ca[[#Headers],[Ca]:[Kết thúc]]),0))),0,
SUM(_xlfn._xlws.FILTER(Table_BangLuong_TyLeTangCa[Tỷ lệ],
(Table_BangLuong_TyLeTangCa[Ngày] = "Thường") *
(Table_BangLuong_TyLeTangCa[Giờ min]&lt;=$AA32) *
(Table_BangLuong_TyLeTangCa[Giờ max]&gt;$AA32)
))),
IF(
AND(
$AA32-$Z$4&gt;=MAX(AX$4,VLOOKUP(AX$6, Table_ChiPhiNV_Ca[], COUNTA(Table_ChiPhiNV_Ca[[#Headers],[Ca]:[Bắt đầu]]),0)),
$AA32&lt;MIN(AX$5,VLOOKUP(AX$6, Table_ChiPhiNV_Ca[], COUNTA(Table_ChiPhiNV_Ca[[#Headers],[Ca]:[Kết thúc]]),0))),
SUM(_xlfn._xlws.FILTER(Table_BangLuong_TyLeTangCa[Tỷ lệ],
(Table_BangLuong_TyLeTangCa[Ngày] = "Thường") *
(Table_BangLuong_TyLeTangCa[Giờ min]&lt;=$AA32) *
(Table_BangLuong_TyLeTangCa[Giờ max]&gt;$AA32)
)),0)
)),
IF(AX$4 &lt; AX$5,
IF($AA32-$Z$4&lt;AX$4,0,
IF($AA32&gt;AX$5,0,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AX$5,$AA32 &lt; AX$4),0,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Y32" s="18" cm="1">
        <f t="array" ref="AY32" xml:space="preserve">
IFERROR(
IF(AY$1="",0,
IF(AND(
$AA32&gt;=VLOOKUP(AY$6, Table_ChiPhiNV_Ca[], COUNTA(Table_ChiPhiNV_Ca[[#Headers],[Ca]:[Bắt đầu nghỉ]]),0),
$AA32&lt;VLOOKUP(AY$6, Table_ChiPhiNV_Ca[], COUNTA(Table_ChiPhiNV_Ca[[#Headers],[Ca]:[Kết thúc nghỉ]]),0)
),0,
IF(NOT(ISBLANK(AY$3)),
IF(ISBLANK(AY$7),0,
IF(AY$4 &lt; AY$5,
IF($AA32-$Z$4&lt;AY$4,0,
IF($AA32&gt;AY$5,0,
SUM(_xlfn._xlws.FILTER(Table_BangLuong_TyLeTangCa[Tỷ lệ],
(Table_BangLuong_TyLeTangCa[Ngày] = AY$3) *
(Table_BangLuong_TyLeTangCa[Giờ min]&lt;=$AA32) *
(Table_BangLuong_TyLeTangCa[Giờ max]&gt;$AA32)
)))),
IF(AND($AA32-$Z$4 &gt;= AY$5,$AA32 &lt; AY$4),0,
SUM(_xlfn._xlws.FILTER(Table_BangLuong_TyLeTangCa[Tỷ lệ],
(Table_BangLuong_TyLeTangCa[Ngày] = AY$3) *
(Table_BangLuong_TyLeTangCa[Giờ min]&lt;=$AA32) *
(Table_BangLuong_TyLeTangCa[Giờ max]&gt;$AA32)
))))
),
IF(ISBLANK(AY$7),
IF(VLOOKUP(AY$6, Table_ChiPhiNV_Ca[], COUNTA(Table_ChiPhiNV_Ca[[#Headers],[Ca]:[Kết thúc]]),0)&gt; VLOOKUP(AY$6, Table_ChiPhiNV_Ca[], COUNTA(Table_ChiPhiNV_Ca[[#Headers],[Ca]:[Bắt đầu]]),0),
IF($AA32-$Z$4&lt;MAX(AY$4,VLOOKUP(AY$6, Table_ChiPhiNV_Ca[], COUNTA(Table_ChiPhiNV_Ca[[#Headers],[Ca]:[Bắt đầu]]),0)),0,
IF($AA32&gt;MIN(AY$5,VLOOKUP(AY$6, Table_ChiPhiNV_Ca[], COUNTA(Table_ChiPhiNV_Ca[[#Headers],[Ca]:[Kết thúc]]),0)),0,
SUM(_xlfn._xlws.FILTER(Table_BangLuong_TyLeTangCa[Tỷ lệ],
(Table_BangLuong_TyLeTangCa[Ngày] = "Thường") *
(Table_BangLuong_TyLeTangCa[Giờ min]&lt;=$AA32) *
(Table_BangLuong_TyLeTangCa[Giờ max]&gt;$AA32)
)))),
IF(AY$4 &gt; AY$5,
IF(
AND(
$AA32-$Z$4&lt;MAX(AY$4,VLOOKUP(AY$6, Table_ChiPhiNV_Ca[], COUNTA(Table_ChiPhiNV_Ca[[#Headers],[Ca]:[Bắt đầu]]),0)),
$AA32&gt;MIN(AY$5,VLOOKUP(AY$6, Table_ChiPhiNV_Ca[], COUNTA(Table_ChiPhiNV_Ca[[#Headers],[Ca]:[Kết thúc]]),0))),0,
SUM(_xlfn._xlws.FILTER(Table_BangLuong_TyLeTangCa[Tỷ lệ],
(Table_BangLuong_TyLeTangCa[Ngày] = "Thường") *
(Table_BangLuong_TyLeTangCa[Giờ min]&lt;=$AA32) *
(Table_BangLuong_TyLeTangCa[Giờ max]&gt;$AA32)
))),
IF(
AND(
$AA32-$Z$4&gt;=MAX(AY$4,VLOOKUP(AY$6, Table_ChiPhiNV_Ca[], COUNTA(Table_ChiPhiNV_Ca[[#Headers],[Ca]:[Bắt đầu]]),0)),
$AA32&lt;MIN(AY$5,VLOOKUP(AY$6, Table_ChiPhiNV_Ca[], COUNTA(Table_ChiPhiNV_Ca[[#Headers],[Ca]:[Kết thúc]]),0))),
SUM(_xlfn._xlws.FILTER(Table_BangLuong_TyLeTangCa[Tỷ lệ],
(Table_BangLuong_TyLeTangCa[Ngày] = "Thường") *
(Table_BangLuong_TyLeTangCa[Giờ min]&lt;=$AA32) *
(Table_BangLuong_TyLeTangCa[Giờ max]&gt;$AA32)
)),0)
)),
IF(AY$4 &lt; AY$5,
IF($AA32-$Z$4&lt;AY$4,0,
IF($AA32&gt;AY$5,0,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AY$5,$AA32 &lt; AY$4),0,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Z32" s="18" cm="1">
        <f t="array" ref="AZ32" xml:space="preserve">
IFERROR(
IF(AZ$1="",0,
IF(AND(
$AA32&gt;=VLOOKUP(AZ$6, Table_ChiPhiNV_Ca[], COUNTA(Table_ChiPhiNV_Ca[[#Headers],[Ca]:[Bắt đầu nghỉ]]),0),
$AA32&lt;VLOOKUP(AZ$6, Table_ChiPhiNV_Ca[], COUNTA(Table_ChiPhiNV_Ca[[#Headers],[Ca]:[Kết thúc nghỉ]]),0)
),0,
IF(NOT(ISBLANK(AZ$3)),
IF(ISBLANK(AZ$7),0,
IF(AZ$4 &lt; AZ$5,
IF($AA32-$Z$4&lt;AZ$4,0,
IF($AA32&gt;AZ$5,0,
SUM(_xlfn._xlws.FILTER(Table_BangLuong_TyLeTangCa[Tỷ lệ],
(Table_BangLuong_TyLeTangCa[Ngày] = AZ$3) *
(Table_BangLuong_TyLeTangCa[Giờ min]&lt;=$AA32) *
(Table_BangLuong_TyLeTangCa[Giờ max]&gt;$AA32)
)))),
IF(AND($AA32-$Z$4 &gt;= AZ$5,$AA32 &lt; AZ$4),0,
SUM(_xlfn._xlws.FILTER(Table_BangLuong_TyLeTangCa[Tỷ lệ],
(Table_BangLuong_TyLeTangCa[Ngày] = AZ$3) *
(Table_BangLuong_TyLeTangCa[Giờ min]&lt;=$AA32) *
(Table_BangLuong_TyLeTangCa[Giờ max]&gt;$AA32)
))))
),
IF(ISBLANK(AZ$7),
IF(VLOOKUP(AZ$6, Table_ChiPhiNV_Ca[], COUNTA(Table_ChiPhiNV_Ca[[#Headers],[Ca]:[Kết thúc]]),0)&gt; VLOOKUP(AZ$6, Table_ChiPhiNV_Ca[], COUNTA(Table_ChiPhiNV_Ca[[#Headers],[Ca]:[Bắt đầu]]),0),
IF($AA32-$Z$4&lt;MAX(AZ$4,VLOOKUP(AZ$6, Table_ChiPhiNV_Ca[], COUNTA(Table_ChiPhiNV_Ca[[#Headers],[Ca]:[Bắt đầu]]),0)),0,
IF($AA32&gt;MIN(AZ$5,VLOOKUP(AZ$6, Table_ChiPhiNV_Ca[], COUNTA(Table_ChiPhiNV_Ca[[#Headers],[Ca]:[Kết thúc]]),0)),0,
SUM(_xlfn._xlws.FILTER(Table_BangLuong_TyLeTangCa[Tỷ lệ],
(Table_BangLuong_TyLeTangCa[Ngày] = "Thường") *
(Table_BangLuong_TyLeTangCa[Giờ min]&lt;=$AA32) *
(Table_BangLuong_TyLeTangCa[Giờ max]&gt;$AA32)
)))),
IF(AZ$4 &gt; AZ$5,
IF(
AND(
$AA32-$Z$4&lt;MAX(AZ$4,VLOOKUP(AZ$6, Table_ChiPhiNV_Ca[], COUNTA(Table_ChiPhiNV_Ca[[#Headers],[Ca]:[Bắt đầu]]),0)),
$AA32&gt;MIN(AZ$5,VLOOKUP(AZ$6, Table_ChiPhiNV_Ca[], COUNTA(Table_ChiPhiNV_Ca[[#Headers],[Ca]:[Kết thúc]]),0))),0,
SUM(_xlfn._xlws.FILTER(Table_BangLuong_TyLeTangCa[Tỷ lệ],
(Table_BangLuong_TyLeTangCa[Ngày] = "Thường") *
(Table_BangLuong_TyLeTangCa[Giờ min]&lt;=$AA32) *
(Table_BangLuong_TyLeTangCa[Giờ max]&gt;$AA32)
))),
IF(
AND(
$AA32-$Z$4&gt;=MAX(AZ$4,VLOOKUP(AZ$6, Table_ChiPhiNV_Ca[], COUNTA(Table_ChiPhiNV_Ca[[#Headers],[Ca]:[Bắt đầu]]),0)),
$AA32&lt;MIN(AZ$5,VLOOKUP(AZ$6, Table_ChiPhiNV_Ca[], COUNTA(Table_ChiPhiNV_Ca[[#Headers],[Ca]:[Kết thúc]]),0))),
SUM(_xlfn._xlws.FILTER(Table_BangLuong_TyLeTangCa[Tỷ lệ],
(Table_BangLuong_TyLeTangCa[Ngày] = "Thường") *
(Table_BangLuong_TyLeTangCa[Giờ min]&lt;=$AA32) *
(Table_BangLuong_TyLeTangCa[Giờ max]&gt;$AA32)
)),0)
)),
IF(AZ$4 &lt; AZ$5,
IF($AA32-$Z$4&lt;AZ$4,0,
IF($AA32&gt;AZ$5,0,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AZ$5,$AA32 &lt; AZ$4),0,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A32" s="18" cm="1">
        <f t="array" ref="BA32" xml:space="preserve">
IFERROR(
IF(BA$1="",0,
IF(AND(
$AA32&gt;=VLOOKUP(BA$6, Table_ChiPhiNV_Ca[], COUNTA(Table_ChiPhiNV_Ca[[#Headers],[Ca]:[Bắt đầu nghỉ]]),0),
$AA32&lt;VLOOKUP(BA$6, Table_ChiPhiNV_Ca[], COUNTA(Table_ChiPhiNV_Ca[[#Headers],[Ca]:[Kết thúc nghỉ]]),0)
),0,
IF(NOT(ISBLANK(BA$3)),
IF(ISBLANK(BA$7),0,
IF(BA$4 &lt; BA$5,
IF($AA32-$Z$4&lt;BA$4,0,
IF($AA32&gt;BA$5,0,
SUM(_xlfn._xlws.FILTER(Table_BangLuong_TyLeTangCa[Tỷ lệ],
(Table_BangLuong_TyLeTangCa[Ngày] = BA$3) *
(Table_BangLuong_TyLeTangCa[Giờ min]&lt;=$AA32) *
(Table_BangLuong_TyLeTangCa[Giờ max]&gt;$AA32)
)))),
IF(AND($AA32-$Z$4 &gt;= BA$5,$AA32 &lt; BA$4),0,
SUM(_xlfn._xlws.FILTER(Table_BangLuong_TyLeTangCa[Tỷ lệ],
(Table_BangLuong_TyLeTangCa[Ngày] = BA$3) *
(Table_BangLuong_TyLeTangCa[Giờ min]&lt;=$AA32) *
(Table_BangLuong_TyLeTangCa[Giờ max]&gt;$AA32)
))))
),
IF(ISBLANK(BA$7),
IF(VLOOKUP(BA$6, Table_ChiPhiNV_Ca[], COUNTA(Table_ChiPhiNV_Ca[[#Headers],[Ca]:[Kết thúc]]),0)&gt; VLOOKUP(BA$6, Table_ChiPhiNV_Ca[], COUNTA(Table_ChiPhiNV_Ca[[#Headers],[Ca]:[Bắt đầu]]),0),
IF($AA32-$Z$4&lt;MAX(BA$4,VLOOKUP(BA$6, Table_ChiPhiNV_Ca[], COUNTA(Table_ChiPhiNV_Ca[[#Headers],[Ca]:[Bắt đầu]]),0)),0,
IF($AA32&gt;MIN(BA$5,VLOOKUP(BA$6, Table_ChiPhiNV_Ca[], COUNTA(Table_ChiPhiNV_Ca[[#Headers],[Ca]:[Kết thúc]]),0)),0,
SUM(_xlfn._xlws.FILTER(Table_BangLuong_TyLeTangCa[Tỷ lệ],
(Table_BangLuong_TyLeTangCa[Ngày] = "Thường") *
(Table_BangLuong_TyLeTangCa[Giờ min]&lt;=$AA32) *
(Table_BangLuong_TyLeTangCa[Giờ max]&gt;$AA32)
)))),
IF(BA$4 &gt; BA$5,
IF(
AND(
$AA32-$Z$4&lt;MAX(BA$4,VLOOKUP(BA$6, Table_ChiPhiNV_Ca[], COUNTA(Table_ChiPhiNV_Ca[[#Headers],[Ca]:[Bắt đầu]]),0)),
$AA32&gt;MIN(BA$5,VLOOKUP(BA$6, Table_ChiPhiNV_Ca[], COUNTA(Table_ChiPhiNV_Ca[[#Headers],[Ca]:[Kết thúc]]),0))),0,
SUM(_xlfn._xlws.FILTER(Table_BangLuong_TyLeTangCa[Tỷ lệ],
(Table_BangLuong_TyLeTangCa[Ngày] = "Thường") *
(Table_BangLuong_TyLeTangCa[Giờ min]&lt;=$AA32) *
(Table_BangLuong_TyLeTangCa[Giờ max]&gt;$AA32)
))),
IF(
AND(
$AA32-$Z$4&gt;=MAX(BA$4,VLOOKUP(BA$6, Table_ChiPhiNV_Ca[], COUNTA(Table_ChiPhiNV_Ca[[#Headers],[Ca]:[Bắt đầu]]),0)),
$AA32&lt;MIN(BA$5,VLOOKUP(BA$6, Table_ChiPhiNV_Ca[], COUNTA(Table_ChiPhiNV_Ca[[#Headers],[Ca]:[Kết thúc]]),0))),
SUM(_xlfn._xlws.FILTER(Table_BangLuong_TyLeTangCa[Tỷ lệ],
(Table_BangLuong_TyLeTangCa[Ngày] = "Thường") *
(Table_BangLuong_TyLeTangCa[Giờ min]&lt;=$AA32) *
(Table_BangLuong_TyLeTangCa[Giờ max]&gt;$AA32)
)),0)
)),
IF(BA$4 &lt; BA$5,
IF($AA32-$Z$4&lt;BA$4,0,
IF($AA32&gt;BA$5,0,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BA$5,$AA32 &lt; BA$4),0,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B32" s="18" cm="1">
        <f t="array" ref="BB32" xml:space="preserve">
IFERROR(
IF(BB$1="",0,
IF(AND(
$AA32&gt;=VLOOKUP(BB$6, Table_ChiPhiNV_Ca[], COUNTA(Table_ChiPhiNV_Ca[[#Headers],[Ca]:[Bắt đầu nghỉ]]),0),
$AA32&lt;VLOOKUP(BB$6, Table_ChiPhiNV_Ca[], COUNTA(Table_ChiPhiNV_Ca[[#Headers],[Ca]:[Kết thúc nghỉ]]),0)
),0,
IF(NOT(ISBLANK(BB$3)),
IF(ISBLANK(BB$7),0,
IF(BB$4 &lt; BB$5,
IF($AA32-$Z$4&lt;BB$4,0,
IF($AA32&gt;BB$5,0,
SUM(_xlfn._xlws.FILTER(Table_BangLuong_TyLeTangCa[Tỷ lệ],
(Table_BangLuong_TyLeTangCa[Ngày] = BB$3) *
(Table_BangLuong_TyLeTangCa[Giờ min]&lt;=$AA32) *
(Table_BangLuong_TyLeTangCa[Giờ max]&gt;$AA32)
)))),
IF(AND($AA32-$Z$4 &gt;= BB$5,$AA32 &lt; BB$4),0,
SUM(_xlfn._xlws.FILTER(Table_BangLuong_TyLeTangCa[Tỷ lệ],
(Table_BangLuong_TyLeTangCa[Ngày] = BB$3) *
(Table_BangLuong_TyLeTangCa[Giờ min]&lt;=$AA32) *
(Table_BangLuong_TyLeTangCa[Giờ max]&gt;$AA32)
))))
),
IF(ISBLANK(BB$7),
IF(VLOOKUP(BB$6, Table_ChiPhiNV_Ca[], COUNTA(Table_ChiPhiNV_Ca[[#Headers],[Ca]:[Kết thúc]]),0)&gt; VLOOKUP(BB$6, Table_ChiPhiNV_Ca[], COUNTA(Table_ChiPhiNV_Ca[[#Headers],[Ca]:[Bắt đầu]]),0),
IF($AA32-$Z$4&lt;MAX(BB$4,VLOOKUP(BB$6, Table_ChiPhiNV_Ca[], COUNTA(Table_ChiPhiNV_Ca[[#Headers],[Ca]:[Bắt đầu]]),0)),0,
IF($AA32&gt;MIN(BB$5,VLOOKUP(BB$6, Table_ChiPhiNV_Ca[], COUNTA(Table_ChiPhiNV_Ca[[#Headers],[Ca]:[Kết thúc]]),0)),0,
SUM(_xlfn._xlws.FILTER(Table_BangLuong_TyLeTangCa[Tỷ lệ],
(Table_BangLuong_TyLeTangCa[Ngày] = "Thường") *
(Table_BangLuong_TyLeTangCa[Giờ min]&lt;=$AA32) *
(Table_BangLuong_TyLeTangCa[Giờ max]&gt;$AA32)
)))),
IF(BB$4 &gt; BB$5,
IF(
AND(
$AA32-$Z$4&lt;MAX(BB$4,VLOOKUP(BB$6, Table_ChiPhiNV_Ca[], COUNTA(Table_ChiPhiNV_Ca[[#Headers],[Ca]:[Bắt đầu]]),0)),
$AA32&gt;MIN(BB$5,VLOOKUP(BB$6, Table_ChiPhiNV_Ca[], COUNTA(Table_ChiPhiNV_Ca[[#Headers],[Ca]:[Kết thúc]]),0))),0,
SUM(_xlfn._xlws.FILTER(Table_BangLuong_TyLeTangCa[Tỷ lệ],
(Table_BangLuong_TyLeTangCa[Ngày] = "Thường") *
(Table_BangLuong_TyLeTangCa[Giờ min]&lt;=$AA32) *
(Table_BangLuong_TyLeTangCa[Giờ max]&gt;$AA32)
))),
IF(
AND(
$AA32-$Z$4&gt;=MAX(BB$4,VLOOKUP(BB$6, Table_ChiPhiNV_Ca[], COUNTA(Table_ChiPhiNV_Ca[[#Headers],[Ca]:[Bắt đầu]]),0)),
$AA32&lt;MIN(BB$5,VLOOKUP(BB$6, Table_ChiPhiNV_Ca[], COUNTA(Table_ChiPhiNV_Ca[[#Headers],[Ca]:[Kết thúc]]),0))),
SUM(_xlfn._xlws.FILTER(Table_BangLuong_TyLeTangCa[Tỷ lệ],
(Table_BangLuong_TyLeTangCa[Ngày] = "Thường") *
(Table_BangLuong_TyLeTangCa[Giờ min]&lt;=$AA32) *
(Table_BangLuong_TyLeTangCa[Giờ max]&gt;$AA32)
)),0)
)),
IF(BB$4 &lt; BB$5,
IF($AA32-$Z$4&lt;BB$4,0,
IF($AA32&gt;BB$5,0,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BB$5,$AA32 &lt; BB$4),0,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C32" s="18" cm="1">
        <f t="array" ref="BC32" xml:space="preserve">
IFERROR(
IF(BC$1="",0,
IF(AND(
$AA32&gt;=VLOOKUP(BC$6, Table_ChiPhiNV_Ca[], COUNTA(Table_ChiPhiNV_Ca[[#Headers],[Ca]:[Bắt đầu nghỉ]]),0),
$AA32&lt;VLOOKUP(BC$6, Table_ChiPhiNV_Ca[], COUNTA(Table_ChiPhiNV_Ca[[#Headers],[Ca]:[Kết thúc nghỉ]]),0)
),0,
IF(NOT(ISBLANK(BC$3)),
IF(ISBLANK(BC$7),0,
IF(BC$4 &lt; BC$5,
IF($AA32-$Z$4&lt;BC$4,0,
IF($AA32&gt;BC$5,0,
SUM(_xlfn._xlws.FILTER(Table_BangLuong_TyLeTangCa[Tỷ lệ],
(Table_BangLuong_TyLeTangCa[Ngày] = BC$3) *
(Table_BangLuong_TyLeTangCa[Giờ min]&lt;=$AA32) *
(Table_BangLuong_TyLeTangCa[Giờ max]&gt;$AA32)
)))),
IF(AND($AA32-$Z$4 &gt;= BC$5,$AA32 &lt; BC$4),0,
SUM(_xlfn._xlws.FILTER(Table_BangLuong_TyLeTangCa[Tỷ lệ],
(Table_BangLuong_TyLeTangCa[Ngày] = BC$3) *
(Table_BangLuong_TyLeTangCa[Giờ min]&lt;=$AA32) *
(Table_BangLuong_TyLeTangCa[Giờ max]&gt;$AA32)
))))
),
IF(ISBLANK(BC$7),
IF(VLOOKUP(BC$6, Table_ChiPhiNV_Ca[], COUNTA(Table_ChiPhiNV_Ca[[#Headers],[Ca]:[Kết thúc]]),0)&gt; VLOOKUP(BC$6, Table_ChiPhiNV_Ca[], COUNTA(Table_ChiPhiNV_Ca[[#Headers],[Ca]:[Bắt đầu]]),0),
IF($AA32-$Z$4&lt;MAX(BC$4,VLOOKUP(BC$6, Table_ChiPhiNV_Ca[], COUNTA(Table_ChiPhiNV_Ca[[#Headers],[Ca]:[Bắt đầu]]),0)),0,
IF($AA32&gt;MIN(BC$5,VLOOKUP(BC$6, Table_ChiPhiNV_Ca[], COUNTA(Table_ChiPhiNV_Ca[[#Headers],[Ca]:[Kết thúc]]),0)),0,
SUM(_xlfn._xlws.FILTER(Table_BangLuong_TyLeTangCa[Tỷ lệ],
(Table_BangLuong_TyLeTangCa[Ngày] = "Thường") *
(Table_BangLuong_TyLeTangCa[Giờ min]&lt;=$AA32) *
(Table_BangLuong_TyLeTangCa[Giờ max]&gt;$AA32)
)))),
IF(BC$4 &gt; BC$5,
IF(
AND(
$AA32-$Z$4&lt;MAX(BC$4,VLOOKUP(BC$6, Table_ChiPhiNV_Ca[], COUNTA(Table_ChiPhiNV_Ca[[#Headers],[Ca]:[Bắt đầu]]),0)),
$AA32&gt;MIN(BC$5,VLOOKUP(BC$6, Table_ChiPhiNV_Ca[], COUNTA(Table_ChiPhiNV_Ca[[#Headers],[Ca]:[Kết thúc]]),0))),0,
SUM(_xlfn._xlws.FILTER(Table_BangLuong_TyLeTangCa[Tỷ lệ],
(Table_BangLuong_TyLeTangCa[Ngày] = "Thường") *
(Table_BangLuong_TyLeTangCa[Giờ min]&lt;=$AA32) *
(Table_BangLuong_TyLeTangCa[Giờ max]&gt;$AA32)
))),
IF(
AND(
$AA32-$Z$4&gt;=MAX(BC$4,VLOOKUP(BC$6, Table_ChiPhiNV_Ca[], COUNTA(Table_ChiPhiNV_Ca[[#Headers],[Ca]:[Bắt đầu]]),0)),
$AA32&lt;MIN(BC$5,VLOOKUP(BC$6, Table_ChiPhiNV_Ca[], COUNTA(Table_ChiPhiNV_Ca[[#Headers],[Ca]:[Kết thúc]]),0))),
SUM(_xlfn._xlws.FILTER(Table_BangLuong_TyLeTangCa[Tỷ lệ],
(Table_BangLuong_TyLeTangCa[Ngày] = "Thường") *
(Table_BangLuong_TyLeTangCa[Giờ min]&lt;=$AA32) *
(Table_BangLuong_TyLeTangCa[Giờ max]&gt;$AA32)
)),0)
)),
IF(BC$4 &lt; BC$5,
IF($AA32-$Z$4&lt;BC$4,0,
IF($AA32&gt;BC$5,0,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BC$5,$AA32 &lt; BC$4),0,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D32" s="18" cm="1">
        <f t="array" ref="BD32" xml:space="preserve">
IFERROR(
IF(BD$1="",0,
IF(AND(
$AA32&gt;=VLOOKUP(BD$6, Table_ChiPhiNV_Ca[], COUNTA(Table_ChiPhiNV_Ca[[#Headers],[Ca]:[Bắt đầu nghỉ]]),0),
$AA32&lt;VLOOKUP(BD$6, Table_ChiPhiNV_Ca[], COUNTA(Table_ChiPhiNV_Ca[[#Headers],[Ca]:[Kết thúc nghỉ]]),0)
),0,
IF(NOT(ISBLANK(BD$3)),
IF(ISBLANK(BD$7),0,
IF(BD$4 &lt; BD$5,
IF($AA32-$Z$4&lt;BD$4,0,
IF($AA32&gt;BD$5,0,
SUM(_xlfn._xlws.FILTER(Table_BangLuong_TyLeTangCa[Tỷ lệ],
(Table_BangLuong_TyLeTangCa[Ngày] = BD$3) *
(Table_BangLuong_TyLeTangCa[Giờ min]&lt;=$AA32) *
(Table_BangLuong_TyLeTangCa[Giờ max]&gt;$AA32)
)))),
IF(AND($AA32-$Z$4 &gt;= BD$5,$AA32 &lt; BD$4),0,
SUM(_xlfn._xlws.FILTER(Table_BangLuong_TyLeTangCa[Tỷ lệ],
(Table_BangLuong_TyLeTangCa[Ngày] = BD$3) *
(Table_BangLuong_TyLeTangCa[Giờ min]&lt;=$AA32) *
(Table_BangLuong_TyLeTangCa[Giờ max]&gt;$AA32)
))))
),
IF(ISBLANK(BD$7),
IF(VLOOKUP(BD$6, Table_ChiPhiNV_Ca[], COUNTA(Table_ChiPhiNV_Ca[[#Headers],[Ca]:[Kết thúc]]),0)&gt; VLOOKUP(BD$6, Table_ChiPhiNV_Ca[], COUNTA(Table_ChiPhiNV_Ca[[#Headers],[Ca]:[Bắt đầu]]),0),
IF($AA32-$Z$4&lt;MAX(BD$4,VLOOKUP(BD$6, Table_ChiPhiNV_Ca[], COUNTA(Table_ChiPhiNV_Ca[[#Headers],[Ca]:[Bắt đầu]]),0)),0,
IF($AA32&gt;MIN(BD$5,VLOOKUP(BD$6, Table_ChiPhiNV_Ca[], COUNTA(Table_ChiPhiNV_Ca[[#Headers],[Ca]:[Kết thúc]]),0)),0,
SUM(_xlfn._xlws.FILTER(Table_BangLuong_TyLeTangCa[Tỷ lệ],
(Table_BangLuong_TyLeTangCa[Ngày] = "Thường") *
(Table_BangLuong_TyLeTangCa[Giờ min]&lt;=$AA32) *
(Table_BangLuong_TyLeTangCa[Giờ max]&gt;$AA32)
)))),
IF(BD$4 &gt; BD$5,
IF(
AND(
$AA32-$Z$4&lt;MAX(BD$4,VLOOKUP(BD$6, Table_ChiPhiNV_Ca[], COUNTA(Table_ChiPhiNV_Ca[[#Headers],[Ca]:[Bắt đầu]]),0)),
$AA32&gt;MIN(BD$5,VLOOKUP(BD$6, Table_ChiPhiNV_Ca[], COUNTA(Table_ChiPhiNV_Ca[[#Headers],[Ca]:[Kết thúc]]),0))),0,
SUM(_xlfn._xlws.FILTER(Table_BangLuong_TyLeTangCa[Tỷ lệ],
(Table_BangLuong_TyLeTangCa[Ngày] = "Thường") *
(Table_BangLuong_TyLeTangCa[Giờ min]&lt;=$AA32) *
(Table_BangLuong_TyLeTangCa[Giờ max]&gt;$AA32)
))),
IF(
AND(
$AA32-$Z$4&gt;=MAX(BD$4,VLOOKUP(BD$6, Table_ChiPhiNV_Ca[], COUNTA(Table_ChiPhiNV_Ca[[#Headers],[Ca]:[Bắt đầu]]),0)),
$AA32&lt;MIN(BD$5,VLOOKUP(BD$6, Table_ChiPhiNV_Ca[], COUNTA(Table_ChiPhiNV_Ca[[#Headers],[Ca]:[Kết thúc]]),0))),
SUM(_xlfn._xlws.FILTER(Table_BangLuong_TyLeTangCa[Tỷ lệ],
(Table_BangLuong_TyLeTangCa[Ngày] = "Thường") *
(Table_BangLuong_TyLeTangCa[Giờ min]&lt;=$AA32) *
(Table_BangLuong_TyLeTangCa[Giờ max]&gt;$AA32)
)),0)
)),
IF(BD$4 &lt; BD$5,
IF($AA32-$Z$4&lt;BD$4,0,
IF($AA32&gt;BD$5,0,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BD$5,$AA32 &lt; BD$4),0,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E32" s="18" cm="1">
        <f t="array" ref="BE32" xml:space="preserve">
IFERROR(
IF(BE$1="",0,
IF(AND(
$AA32&gt;=VLOOKUP(BE$6, Table_ChiPhiNV_Ca[], COUNTA(Table_ChiPhiNV_Ca[[#Headers],[Ca]:[Bắt đầu nghỉ]]),0),
$AA32&lt;VLOOKUP(BE$6, Table_ChiPhiNV_Ca[], COUNTA(Table_ChiPhiNV_Ca[[#Headers],[Ca]:[Kết thúc nghỉ]]),0)
),0,
IF(NOT(ISBLANK(BE$3)),
IF(ISBLANK(BE$7),0,
IF(BE$4 &lt; BE$5,
IF($AA32-$Z$4&lt;BE$4,0,
IF($AA32&gt;BE$5,0,
SUM(_xlfn._xlws.FILTER(Table_BangLuong_TyLeTangCa[Tỷ lệ],
(Table_BangLuong_TyLeTangCa[Ngày] = BE$3) *
(Table_BangLuong_TyLeTangCa[Giờ min]&lt;=$AA32) *
(Table_BangLuong_TyLeTangCa[Giờ max]&gt;$AA32)
)))),
IF(AND($AA32-$Z$4 &gt;= BE$5,$AA32 &lt; BE$4),0,
SUM(_xlfn._xlws.FILTER(Table_BangLuong_TyLeTangCa[Tỷ lệ],
(Table_BangLuong_TyLeTangCa[Ngày] = BE$3) *
(Table_BangLuong_TyLeTangCa[Giờ min]&lt;=$AA32) *
(Table_BangLuong_TyLeTangCa[Giờ max]&gt;$AA32)
))))
),
IF(ISBLANK(BE$7),
IF(VLOOKUP(BE$6, Table_ChiPhiNV_Ca[], COUNTA(Table_ChiPhiNV_Ca[[#Headers],[Ca]:[Kết thúc]]),0)&gt; VLOOKUP(BE$6, Table_ChiPhiNV_Ca[], COUNTA(Table_ChiPhiNV_Ca[[#Headers],[Ca]:[Bắt đầu]]),0),
IF($AA32-$Z$4&lt;MAX(BE$4,VLOOKUP(BE$6, Table_ChiPhiNV_Ca[], COUNTA(Table_ChiPhiNV_Ca[[#Headers],[Ca]:[Bắt đầu]]),0)),0,
IF($AA32&gt;MIN(BE$5,VLOOKUP(BE$6, Table_ChiPhiNV_Ca[], COUNTA(Table_ChiPhiNV_Ca[[#Headers],[Ca]:[Kết thúc]]),0)),0,
SUM(_xlfn._xlws.FILTER(Table_BangLuong_TyLeTangCa[Tỷ lệ],
(Table_BangLuong_TyLeTangCa[Ngày] = "Thường") *
(Table_BangLuong_TyLeTangCa[Giờ min]&lt;=$AA32) *
(Table_BangLuong_TyLeTangCa[Giờ max]&gt;$AA32)
)))),
IF(BE$4 &gt; BE$5,
IF(
AND(
$AA32-$Z$4&lt;MAX(BE$4,VLOOKUP(BE$6, Table_ChiPhiNV_Ca[], COUNTA(Table_ChiPhiNV_Ca[[#Headers],[Ca]:[Bắt đầu]]),0)),
$AA32&gt;MIN(BE$5,VLOOKUP(BE$6, Table_ChiPhiNV_Ca[], COUNTA(Table_ChiPhiNV_Ca[[#Headers],[Ca]:[Kết thúc]]),0))),0,
SUM(_xlfn._xlws.FILTER(Table_BangLuong_TyLeTangCa[Tỷ lệ],
(Table_BangLuong_TyLeTangCa[Ngày] = "Thường") *
(Table_BangLuong_TyLeTangCa[Giờ min]&lt;=$AA32) *
(Table_BangLuong_TyLeTangCa[Giờ max]&gt;$AA32)
))),
IF(
AND(
$AA32-$Z$4&gt;=MAX(BE$4,VLOOKUP(BE$6, Table_ChiPhiNV_Ca[], COUNTA(Table_ChiPhiNV_Ca[[#Headers],[Ca]:[Bắt đầu]]),0)),
$AA32&lt;MIN(BE$5,VLOOKUP(BE$6, Table_ChiPhiNV_Ca[], COUNTA(Table_ChiPhiNV_Ca[[#Headers],[Ca]:[Kết thúc]]),0))),
SUM(_xlfn._xlws.FILTER(Table_BangLuong_TyLeTangCa[Tỷ lệ],
(Table_BangLuong_TyLeTangCa[Ngày] = "Thường") *
(Table_BangLuong_TyLeTangCa[Giờ min]&lt;=$AA32) *
(Table_BangLuong_TyLeTangCa[Giờ max]&gt;$AA32)
)),0)
)),
IF(BE$4 &lt; BE$5,
IF($AA32-$Z$4&lt;BE$4,0,
IF($AA32&gt;BE$5,0,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BE$5,$AA32 &lt; BE$4),0,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F32" s="18" cm="1">
        <f t="array" ref="BF32" xml:space="preserve">
IFERROR(
IF(BF$1="",0,
IF(AND(
$AA32&gt;=VLOOKUP(BF$6, Table_ChiPhiNV_Ca[], COUNTA(Table_ChiPhiNV_Ca[[#Headers],[Ca]:[Bắt đầu nghỉ]]),0),
$AA32&lt;VLOOKUP(BF$6, Table_ChiPhiNV_Ca[], COUNTA(Table_ChiPhiNV_Ca[[#Headers],[Ca]:[Kết thúc nghỉ]]),0)
),0,
IF(NOT(ISBLANK(BF$3)),
IF(ISBLANK(BF$7),0,
IF(BF$4 &lt; BF$5,
IF($AA32-$Z$4&lt;BF$4,0,
IF($AA32&gt;BF$5,0,
SUM(_xlfn._xlws.FILTER(Table_BangLuong_TyLeTangCa[Tỷ lệ],
(Table_BangLuong_TyLeTangCa[Ngày] = BF$3) *
(Table_BangLuong_TyLeTangCa[Giờ min]&lt;=$AA32) *
(Table_BangLuong_TyLeTangCa[Giờ max]&gt;$AA32)
)))),
IF(AND($AA32-$Z$4 &gt;= BF$5,$AA32 &lt; BF$4),0,
SUM(_xlfn._xlws.FILTER(Table_BangLuong_TyLeTangCa[Tỷ lệ],
(Table_BangLuong_TyLeTangCa[Ngày] = BF$3) *
(Table_BangLuong_TyLeTangCa[Giờ min]&lt;=$AA32) *
(Table_BangLuong_TyLeTangCa[Giờ max]&gt;$AA32)
))))
),
IF(ISBLANK(BF$7),
IF(VLOOKUP(BF$6, Table_ChiPhiNV_Ca[], COUNTA(Table_ChiPhiNV_Ca[[#Headers],[Ca]:[Kết thúc]]),0)&gt; VLOOKUP(BF$6, Table_ChiPhiNV_Ca[], COUNTA(Table_ChiPhiNV_Ca[[#Headers],[Ca]:[Bắt đầu]]),0),
IF($AA32-$Z$4&lt;MAX(BF$4,VLOOKUP(BF$6, Table_ChiPhiNV_Ca[], COUNTA(Table_ChiPhiNV_Ca[[#Headers],[Ca]:[Bắt đầu]]),0)),0,
IF($AA32&gt;MIN(BF$5,VLOOKUP(BF$6, Table_ChiPhiNV_Ca[], COUNTA(Table_ChiPhiNV_Ca[[#Headers],[Ca]:[Kết thúc]]),0)),0,
SUM(_xlfn._xlws.FILTER(Table_BangLuong_TyLeTangCa[Tỷ lệ],
(Table_BangLuong_TyLeTangCa[Ngày] = "Thường") *
(Table_BangLuong_TyLeTangCa[Giờ min]&lt;=$AA32) *
(Table_BangLuong_TyLeTangCa[Giờ max]&gt;$AA32)
)))),
IF(BF$4 &gt; BF$5,
IF(
AND(
$AA32-$Z$4&lt;MAX(BF$4,VLOOKUP(BF$6, Table_ChiPhiNV_Ca[], COUNTA(Table_ChiPhiNV_Ca[[#Headers],[Ca]:[Bắt đầu]]),0)),
$AA32&gt;MIN(BF$5,VLOOKUP(BF$6, Table_ChiPhiNV_Ca[], COUNTA(Table_ChiPhiNV_Ca[[#Headers],[Ca]:[Kết thúc]]),0))),0,
SUM(_xlfn._xlws.FILTER(Table_BangLuong_TyLeTangCa[Tỷ lệ],
(Table_BangLuong_TyLeTangCa[Ngày] = "Thường") *
(Table_BangLuong_TyLeTangCa[Giờ min]&lt;=$AA32) *
(Table_BangLuong_TyLeTangCa[Giờ max]&gt;$AA32)
))),
IF(
AND(
$AA32-$Z$4&gt;=MAX(BF$4,VLOOKUP(BF$6, Table_ChiPhiNV_Ca[], COUNTA(Table_ChiPhiNV_Ca[[#Headers],[Ca]:[Bắt đầu]]),0)),
$AA32&lt;MIN(BF$5,VLOOKUP(BF$6, Table_ChiPhiNV_Ca[], COUNTA(Table_ChiPhiNV_Ca[[#Headers],[Ca]:[Kết thúc]]),0))),
SUM(_xlfn._xlws.FILTER(Table_BangLuong_TyLeTangCa[Tỷ lệ],
(Table_BangLuong_TyLeTangCa[Ngày] = "Thường") *
(Table_BangLuong_TyLeTangCa[Giờ min]&lt;=$AA32) *
(Table_BangLuong_TyLeTangCa[Giờ max]&gt;$AA32)
)),0)
)),
IF(BF$4 &lt; BF$5,
IF($AA32-$Z$4&lt;BF$4,0,
IF($AA32&gt;BF$5,0,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BF$5,$AA32 &lt; BF$4),0,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row>
    <row r="33" spans="2:58" ht="18" customHeight="1" outlineLevel="1" x14ac:dyDescent="0.3">
      <c r="B33" s="11"/>
      <c r="C33" s="11"/>
      <c r="D33" s="11"/>
      <c r="E33" s="11"/>
      <c r="F33" s="11"/>
      <c r="G33" s="11"/>
      <c r="H33" s="11"/>
      <c r="I33" s="11"/>
      <c r="N33" s="11"/>
      <c r="AA33" s="50">
        <v>0.5</v>
      </c>
      <c r="AB33" s="18" cm="1">
        <f t="array" ref="AB33" xml:space="preserve">
IFERROR(
IF(AB$1="",0,
IF(AND(
$AA33&gt;=VLOOKUP(AB$6, Table_ChiPhiNV_Ca[], COUNTA(Table_ChiPhiNV_Ca[[#Headers],[Ca]:[Bắt đầu nghỉ]]),0),
$AA33&lt;VLOOKUP(AB$6, Table_ChiPhiNV_Ca[], COUNTA(Table_ChiPhiNV_Ca[[#Headers],[Ca]:[Kết thúc nghỉ]]),0)
),0,
IF(NOT(ISBLANK(AB$3)),
IF(ISBLANK(AB$7),0,
IF(AB$4 &lt; AB$5,
IF($AA33-$Z$4&lt;AB$4,0,
IF($AA33&gt;AB$5,0,
SUM(_xlfn._xlws.FILTER(Table_BangLuong_TyLeTangCa[Tỷ lệ],
(Table_BangLuong_TyLeTangCa[Ngày] = AB$3) *
(Table_BangLuong_TyLeTangCa[Giờ min]&lt;=$AA33) *
(Table_BangLuong_TyLeTangCa[Giờ max]&gt;$AA33)
)))),
IF(AND($AA33-$Z$4 &gt;= AB$5,$AA33 &lt; AB$4),0,
SUM(_xlfn._xlws.FILTER(Table_BangLuong_TyLeTangCa[Tỷ lệ],
(Table_BangLuong_TyLeTangCa[Ngày] = AB$3) *
(Table_BangLuong_TyLeTangCa[Giờ min]&lt;=$AA33) *
(Table_BangLuong_TyLeTangCa[Giờ max]&gt;$AA33)
))))
),
IF(ISBLANK(AB$7),
IF(VLOOKUP(AB$6, Table_ChiPhiNV_Ca[], COUNTA(Table_ChiPhiNV_Ca[[#Headers],[Ca]:[Kết thúc]]),0)&gt; VLOOKUP(AB$6, Table_ChiPhiNV_Ca[], COUNTA(Table_ChiPhiNV_Ca[[#Headers],[Ca]:[Bắt đầu]]),0),
IF($AA33-$Z$4&lt;MAX(AB$4,VLOOKUP(AB$6, Table_ChiPhiNV_Ca[], COUNTA(Table_ChiPhiNV_Ca[[#Headers],[Ca]:[Bắt đầu]]),0)),0,
IF($AA33&gt;MIN(AB$5,VLOOKUP(AB$6, Table_ChiPhiNV_Ca[], COUNTA(Table_ChiPhiNV_Ca[[#Headers],[Ca]:[Kết thúc]]),0)),0,
SUM(_xlfn._xlws.FILTER(Table_BangLuong_TyLeTangCa[Tỷ lệ],
(Table_BangLuong_TyLeTangCa[Ngày] = "Thường") *
(Table_BangLuong_TyLeTangCa[Giờ min]&lt;=$AA33) *
(Table_BangLuong_TyLeTangCa[Giờ max]&gt;$AA33)
)))),
IF(AB$4 &gt; AB$5,
IF(
AND(
$AA33-$Z$4&lt;MAX(AB$4,VLOOKUP(AB$6, Table_ChiPhiNV_Ca[], COUNTA(Table_ChiPhiNV_Ca[[#Headers],[Ca]:[Bắt đầu]]),0)),
$AA33&gt;MIN(AB$5,VLOOKUP(AB$6, Table_ChiPhiNV_Ca[], COUNTA(Table_ChiPhiNV_Ca[[#Headers],[Ca]:[Kết thúc]]),0))),0,
SUM(_xlfn._xlws.FILTER(Table_BangLuong_TyLeTangCa[Tỷ lệ],
(Table_BangLuong_TyLeTangCa[Ngày] = "Thường") *
(Table_BangLuong_TyLeTangCa[Giờ min]&lt;=$AA33) *
(Table_BangLuong_TyLeTangCa[Giờ max]&gt;$AA33)
))),
IF(
AND(
$AA33-$Z$4&gt;=MAX(AB$4,VLOOKUP(AB$6, Table_ChiPhiNV_Ca[], COUNTA(Table_ChiPhiNV_Ca[[#Headers],[Ca]:[Bắt đầu]]),0)),
$AA33&lt;MIN(AB$5,VLOOKUP(AB$6, Table_ChiPhiNV_Ca[], COUNTA(Table_ChiPhiNV_Ca[[#Headers],[Ca]:[Kết thúc]]),0))),
SUM(_xlfn._xlws.FILTER(Table_BangLuong_TyLeTangCa[Tỷ lệ],
(Table_BangLuong_TyLeTangCa[Ngày] = "Thường") *
(Table_BangLuong_TyLeTangCa[Giờ min]&lt;=$AA33) *
(Table_BangLuong_TyLeTangCa[Giờ max]&gt;$AA33)
)),0)
)),
IF(AB$4 &lt; AB$5,
IF($AA33-$Z$4&lt;AB$4,0,
IF($AA33&gt;AB$5,0,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AB$5,$AA33 &lt; AB$4),0,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C33" s="18" cm="1">
        <f t="array" ref="AC33" xml:space="preserve">
IFERROR(
IF(AC$1="",0,
IF(AND(
$AA33&gt;=VLOOKUP(AC$6, Table_ChiPhiNV_Ca[], COUNTA(Table_ChiPhiNV_Ca[[#Headers],[Ca]:[Bắt đầu nghỉ]]),0),
$AA33&lt;VLOOKUP(AC$6, Table_ChiPhiNV_Ca[], COUNTA(Table_ChiPhiNV_Ca[[#Headers],[Ca]:[Kết thúc nghỉ]]),0)
),0,
IF(NOT(ISBLANK(AC$3)),
IF(ISBLANK(AC$7),0,
IF(AC$4 &lt; AC$5,
IF($AA33-$Z$4&lt;AC$4,0,
IF($AA33&gt;AC$5,0,
SUM(_xlfn._xlws.FILTER(Table_BangLuong_TyLeTangCa[Tỷ lệ],
(Table_BangLuong_TyLeTangCa[Ngày] = AC$3) *
(Table_BangLuong_TyLeTangCa[Giờ min]&lt;=$AA33) *
(Table_BangLuong_TyLeTangCa[Giờ max]&gt;$AA33)
)))),
IF(AND($AA33-$Z$4 &gt;= AC$5,$AA33 &lt; AC$4),0,
SUM(_xlfn._xlws.FILTER(Table_BangLuong_TyLeTangCa[Tỷ lệ],
(Table_BangLuong_TyLeTangCa[Ngày] = AC$3) *
(Table_BangLuong_TyLeTangCa[Giờ min]&lt;=$AA33) *
(Table_BangLuong_TyLeTangCa[Giờ max]&gt;$AA33)
))))
),
IF(ISBLANK(AC$7),
IF(VLOOKUP(AC$6, Table_ChiPhiNV_Ca[], COUNTA(Table_ChiPhiNV_Ca[[#Headers],[Ca]:[Kết thúc]]),0)&gt; VLOOKUP(AC$6, Table_ChiPhiNV_Ca[], COUNTA(Table_ChiPhiNV_Ca[[#Headers],[Ca]:[Bắt đầu]]),0),
IF($AA33-$Z$4&lt;MAX(AC$4,VLOOKUP(AC$6, Table_ChiPhiNV_Ca[], COUNTA(Table_ChiPhiNV_Ca[[#Headers],[Ca]:[Bắt đầu]]),0)),0,
IF($AA33&gt;MIN(AC$5,VLOOKUP(AC$6, Table_ChiPhiNV_Ca[], COUNTA(Table_ChiPhiNV_Ca[[#Headers],[Ca]:[Kết thúc]]),0)),0,
SUM(_xlfn._xlws.FILTER(Table_BangLuong_TyLeTangCa[Tỷ lệ],
(Table_BangLuong_TyLeTangCa[Ngày] = "Thường") *
(Table_BangLuong_TyLeTangCa[Giờ min]&lt;=$AA33) *
(Table_BangLuong_TyLeTangCa[Giờ max]&gt;$AA33)
)))),
IF(AC$4 &gt; AC$5,
IF(
AND(
$AA33-$Z$4&lt;MAX(AC$4,VLOOKUP(AC$6, Table_ChiPhiNV_Ca[], COUNTA(Table_ChiPhiNV_Ca[[#Headers],[Ca]:[Bắt đầu]]),0)),
$AA33&gt;MIN(AC$5,VLOOKUP(AC$6, Table_ChiPhiNV_Ca[], COUNTA(Table_ChiPhiNV_Ca[[#Headers],[Ca]:[Kết thúc]]),0))),0,
SUM(_xlfn._xlws.FILTER(Table_BangLuong_TyLeTangCa[Tỷ lệ],
(Table_BangLuong_TyLeTangCa[Ngày] = "Thường") *
(Table_BangLuong_TyLeTangCa[Giờ min]&lt;=$AA33) *
(Table_BangLuong_TyLeTangCa[Giờ max]&gt;$AA33)
))),
IF(
AND(
$AA33-$Z$4&gt;=MAX(AC$4,VLOOKUP(AC$6, Table_ChiPhiNV_Ca[], COUNTA(Table_ChiPhiNV_Ca[[#Headers],[Ca]:[Bắt đầu]]),0)),
$AA33&lt;MIN(AC$5,VLOOKUP(AC$6, Table_ChiPhiNV_Ca[], COUNTA(Table_ChiPhiNV_Ca[[#Headers],[Ca]:[Kết thúc]]),0))),
SUM(_xlfn._xlws.FILTER(Table_BangLuong_TyLeTangCa[Tỷ lệ],
(Table_BangLuong_TyLeTangCa[Ngày] = "Thường") *
(Table_BangLuong_TyLeTangCa[Giờ min]&lt;=$AA33) *
(Table_BangLuong_TyLeTangCa[Giờ max]&gt;$AA33)
)),0)
)),
IF(AC$4 &lt; AC$5,
IF($AA33-$Z$4&lt;AC$4,0,
IF($AA33&gt;AC$5,0,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AC$5,$AA33 &lt; AC$4),0,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D33" s="18" cm="1">
        <f t="array" ref="AD33" xml:space="preserve">
IFERROR(
IF(AD$1="",0,
IF(AND(
$AA33&gt;=VLOOKUP(AD$6, Table_ChiPhiNV_Ca[], COUNTA(Table_ChiPhiNV_Ca[[#Headers],[Ca]:[Bắt đầu nghỉ]]),0),
$AA33&lt;VLOOKUP(AD$6, Table_ChiPhiNV_Ca[], COUNTA(Table_ChiPhiNV_Ca[[#Headers],[Ca]:[Kết thúc nghỉ]]),0)
),0,
IF(NOT(ISBLANK(AD$3)),
IF(ISBLANK(AD$7),0,
IF(AD$4 &lt; AD$5,
IF($AA33-$Z$4&lt;AD$4,0,
IF($AA33&gt;AD$5,0,
SUM(_xlfn._xlws.FILTER(Table_BangLuong_TyLeTangCa[Tỷ lệ],
(Table_BangLuong_TyLeTangCa[Ngày] = AD$3) *
(Table_BangLuong_TyLeTangCa[Giờ min]&lt;=$AA33) *
(Table_BangLuong_TyLeTangCa[Giờ max]&gt;$AA33)
)))),
IF(AND($AA33-$Z$4 &gt;= AD$5,$AA33 &lt; AD$4),0,
SUM(_xlfn._xlws.FILTER(Table_BangLuong_TyLeTangCa[Tỷ lệ],
(Table_BangLuong_TyLeTangCa[Ngày] = AD$3) *
(Table_BangLuong_TyLeTangCa[Giờ min]&lt;=$AA33) *
(Table_BangLuong_TyLeTangCa[Giờ max]&gt;$AA33)
))))
),
IF(ISBLANK(AD$7),
IF(VLOOKUP(AD$6, Table_ChiPhiNV_Ca[], COUNTA(Table_ChiPhiNV_Ca[[#Headers],[Ca]:[Kết thúc]]),0)&gt; VLOOKUP(AD$6, Table_ChiPhiNV_Ca[], COUNTA(Table_ChiPhiNV_Ca[[#Headers],[Ca]:[Bắt đầu]]),0),
IF($AA33-$Z$4&lt;MAX(AD$4,VLOOKUP(AD$6, Table_ChiPhiNV_Ca[], COUNTA(Table_ChiPhiNV_Ca[[#Headers],[Ca]:[Bắt đầu]]),0)),0,
IF($AA33&gt;MIN(AD$5,VLOOKUP(AD$6, Table_ChiPhiNV_Ca[], COUNTA(Table_ChiPhiNV_Ca[[#Headers],[Ca]:[Kết thúc]]),0)),0,
SUM(_xlfn._xlws.FILTER(Table_BangLuong_TyLeTangCa[Tỷ lệ],
(Table_BangLuong_TyLeTangCa[Ngày] = "Thường") *
(Table_BangLuong_TyLeTangCa[Giờ min]&lt;=$AA33) *
(Table_BangLuong_TyLeTangCa[Giờ max]&gt;$AA33)
)))),
IF(AD$4 &gt; AD$5,
IF(
AND(
$AA33-$Z$4&lt;MAX(AD$4,VLOOKUP(AD$6, Table_ChiPhiNV_Ca[], COUNTA(Table_ChiPhiNV_Ca[[#Headers],[Ca]:[Bắt đầu]]),0)),
$AA33&gt;MIN(AD$5,VLOOKUP(AD$6, Table_ChiPhiNV_Ca[], COUNTA(Table_ChiPhiNV_Ca[[#Headers],[Ca]:[Kết thúc]]),0))),0,
SUM(_xlfn._xlws.FILTER(Table_BangLuong_TyLeTangCa[Tỷ lệ],
(Table_BangLuong_TyLeTangCa[Ngày] = "Thường") *
(Table_BangLuong_TyLeTangCa[Giờ min]&lt;=$AA33) *
(Table_BangLuong_TyLeTangCa[Giờ max]&gt;$AA33)
))),
IF(
AND(
$AA33-$Z$4&gt;=MAX(AD$4,VLOOKUP(AD$6, Table_ChiPhiNV_Ca[], COUNTA(Table_ChiPhiNV_Ca[[#Headers],[Ca]:[Bắt đầu]]),0)),
$AA33&lt;MIN(AD$5,VLOOKUP(AD$6, Table_ChiPhiNV_Ca[], COUNTA(Table_ChiPhiNV_Ca[[#Headers],[Ca]:[Kết thúc]]),0))),
SUM(_xlfn._xlws.FILTER(Table_BangLuong_TyLeTangCa[Tỷ lệ],
(Table_BangLuong_TyLeTangCa[Ngày] = "Thường") *
(Table_BangLuong_TyLeTangCa[Giờ min]&lt;=$AA33) *
(Table_BangLuong_TyLeTangCa[Giờ max]&gt;$AA33)
)),0)
)),
IF(AD$4 &lt; AD$5,
IF($AA33-$Z$4&lt;AD$4,0,
IF($AA33&gt;AD$5,0,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AD$5,$AA33 &lt; AD$4),0,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E33" s="18" cm="1">
        <f t="array" ref="AE33" xml:space="preserve">
IFERROR(
IF(AE$1="",0,
IF(AND(
$AA33&gt;=VLOOKUP(AE$6, Table_ChiPhiNV_Ca[], COUNTA(Table_ChiPhiNV_Ca[[#Headers],[Ca]:[Bắt đầu nghỉ]]),0),
$AA33&lt;VLOOKUP(AE$6, Table_ChiPhiNV_Ca[], COUNTA(Table_ChiPhiNV_Ca[[#Headers],[Ca]:[Kết thúc nghỉ]]),0)
),0,
IF(NOT(ISBLANK(AE$3)),
IF(ISBLANK(AE$7),0,
IF(AE$4 &lt; AE$5,
IF($AA33-$Z$4&lt;AE$4,0,
IF($AA33&gt;AE$5,0,
SUM(_xlfn._xlws.FILTER(Table_BangLuong_TyLeTangCa[Tỷ lệ],
(Table_BangLuong_TyLeTangCa[Ngày] = AE$3) *
(Table_BangLuong_TyLeTangCa[Giờ min]&lt;=$AA33) *
(Table_BangLuong_TyLeTangCa[Giờ max]&gt;$AA33)
)))),
IF(AND($AA33-$Z$4 &gt;= AE$5,$AA33 &lt; AE$4),0,
SUM(_xlfn._xlws.FILTER(Table_BangLuong_TyLeTangCa[Tỷ lệ],
(Table_BangLuong_TyLeTangCa[Ngày] = AE$3) *
(Table_BangLuong_TyLeTangCa[Giờ min]&lt;=$AA33) *
(Table_BangLuong_TyLeTangCa[Giờ max]&gt;$AA33)
))))
),
IF(ISBLANK(AE$7),
IF(VLOOKUP(AE$6, Table_ChiPhiNV_Ca[], COUNTA(Table_ChiPhiNV_Ca[[#Headers],[Ca]:[Kết thúc]]),0)&gt; VLOOKUP(AE$6, Table_ChiPhiNV_Ca[], COUNTA(Table_ChiPhiNV_Ca[[#Headers],[Ca]:[Bắt đầu]]),0),
IF($AA33-$Z$4&lt;MAX(AE$4,VLOOKUP(AE$6, Table_ChiPhiNV_Ca[], COUNTA(Table_ChiPhiNV_Ca[[#Headers],[Ca]:[Bắt đầu]]),0)),0,
IF($AA33&gt;MIN(AE$5,VLOOKUP(AE$6, Table_ChiPhiNV_Ca[], COUNTA(Table_ChiPhiNV_Ca[[#Headers],[Ca]:[Kết thúc]]),0)),0,
SUM(_xlfn._xlws.FILTER(Table_BangLuong_TyLeTangCa[Tỷ lệ],
(Table_BangLuong_TyLeTangCa[Ngày] = "Thường") *
(Table_BangLuong_TyLeTangCa[Giờ min]&lt;=$AA33) *
(Table_BangLuong_TyLeTangCa[Giờ max]&gt;$AA33)
)))),
IF(AE$4 &gt; AE$5,
IF(
AND(
$AA33-$Z$4&lt;MAX(AE$4,VLOOKUP(AE$6, Table_ChiPhiNV_Ca[], COUNTA(Table_ChiPhiNV_Ca[[#Headers],[Ca]:[Bắt đầu]]),0)),
$AA33&gt;MIN(AE$5,VLOOKUP(AE$6, Table_ChiPhiNV_Ca[], COUNTA(Table_ChiPhiNV_Ca[[#Headers],[Ca]:[Kết thúc]]),0))),0,
SUM(_xlfn._xlws.FILTER(Table_BangLuong_TyLeTangCa[Tỷ lệ],
(Table_BangLuong_TyLeTangCa[Ngày] = "Thường") *
(Table_BangLuong_TyLeTangCa[Giờ min]&lt;=$AA33) *
(Table_BangLuong_TyLeTangCa[Giờ max]&gt;$AA33)
))),
IF(
AND(
$AA33-$Z$4&gt;=MAX(AE$4,VLOOKUP(AE$6, Table_ChiPhiNV_Ca[], COUNTA(Table_ChiPhiNV_Ca[[#Headers],[Ca]:[Bắt đầu]]),0)),
$AA33&lt;MIN(AE$5,VLOOKUP(AE$6, Table_ChiPhiNV_Ca[], COUNTA(Table_ChiPhiNV_Ca[[#Headers],[Ca]:[Kết thúc]]),0))),
SUM(_xlfn._xlws.FILTER(Table_BangLuong_TyLeTangCa[Tỷ lệ],
(Table_BangLuong_TyLeTangCa[Ngày] = "Thường") *
(Table_BangLuong_TyLeTangCa[Giờ min]&lt;=$AA33) *
(Table_BangLuong_TyLeTangCa[Giờ max]&gt;$AA33)
)),0)
)),
IF(AE$4 &lt; AE$5,
IF($AA33-$Z$4&lt;AE$4,0,
IF($AA33&gt;AE$5,0,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AE$5,$AA33 &lt; AE$4),0,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F33" s="18" cm="1">
        <f t="array" ref="AF33" xml:space="preserve">
IFERROR(
IF(AF$1="",0,
IF(AND(
$AA33&gt;=VLOOKUP(AF$6, Table_ChiPhiNV_Ca[], COUNTA(Table_ChiPhiNV_Ca[[#Headers],[Ca]:[Bắt đầu nghỉ]]),0),
$AA33&lt;VLOOKUP(AF$6, Table_ChiPhiNV_Ca[], COUNTA(Table_ChiPhiNV_Ca[[#Headers],[Ca]:[Kết thúc nghỉ]]),0)
),0,
IF(NOT(ISBLANK(AF$3)),
IF(ISBLANK(AF$7),0,
IF(AF$4 &lt; AF$5,
IF($AA33-$Z$4&lt;AF$4,0,
IF($AA33&gt;AF$5,0,
SUM(_xlfn._xlws.FILTER(Table_BangLuong_TyLeTangCa[Tỷ lệ],
(Table_BangLuong_TyLeTangCa[Ngày] = AF$3) *
(Table_BangLuong_TyLeTangCa[Giờ min]&lt;=$AA33) *
(Table_BangLuong_TyLeTangCa[Giờ max]&gt;$AA33)
)))),
IF(AND($AA33-$Z$4 &gt;= AF$5,$AA33 &lt; AF$4),0,
SUM(_xlfn._xlws.FILTER(Table_BangLuong_TyLeTangCa[Tỷ lệ],
(Table_BangLuong_TyLeTangCa[Ngày] = AF$3) *
(Table_BangLuong_TyLeTangCa[Giờ min]&lt;=$AA33) *
(Table_BangLuong_TyLeTangCa[Giờ max]&gt;$AA33)
))))
),
IF(ISBLANK(AF$7),
IF(VLOOKUP(AF$6, Table_ChiPhiNV_Ca[], COUNTA(Table_ChiPhiNV_Ca[[#Headers],[Ca]:[Kết thúc]]),0)&gt; VLOOKUP(AF$6, Table_ChiPhiNV_Ca[], COUNTA(Table_ChiPhiNV_Ca[[#Headers],[Ca]:[Bắt đầu]]),0),
IF($AA33-$Z$4&lt;MAX(AF$4,VLOOKUP(AF$6, Table_ChiPhiNV_Ca[], COUNTA(Table_ChiPhiNV_Ca[[#Headers],[Ca]:[Bắt đầu]]),0)),0,
IF($AA33&gt;MIN(AF$5,VLOOKUP(AF$6, Table_ChiPhiNV_Ca[], COUNTA(Table_ChiPhiNV_Ca[[#Headers],[Ca]:[Kết thúc]]),0)),0,
SUM(_xlfn._xlws.FILTER(Table_BangLuong_TyLeTangCa[Tỷ lệ],
(Table_BangLuong_TyLeTangCa[Ngày] = "Thường") *
(Table_BangLuong_TyLeTangCa[Giờ min]&lt;=$AA33) *
(Table_BangLuong_TyLeTangCa[Giờ max]&gt;$AA33)
)))),
IF(AF$4 &gt; AF$5,
IF(
AND(
$AA33-$Z$4&lt;MAX(AF$4,VLOOKUP(AF$6, Table_ChiPhiNV_Ca[], COUNTA(Table_ChiPhiNV_Ca[[#Headers],[Ca]:[Bắt đầu]]),0)),
$AA33&gt;MIN(AF$5,VLOOKUP(AF$6, Table_ChiPhiNV_Ca[], COUNTA(Table_ChiPhiNV_Ca[[#Headers],[Ca]:[Kết thúc]]),0))),0,
SUM(_xlfn._xlws.FILTER(Table_BangLuong_TyLeTangCa[Tỷ lệ],
(Table_BangLuong_TyLeTangCa[Ngày] = "Thường") *
(Table_BangLuong_TyLeTangCa[Giờ min]&lt;=$AA33) *
(Table_BangLuong_TyLeTangCa[Giờ max]&gt;$AA33)
))),
IF(
AND(
$AA33-$Z$4&gt;=MAX(AF$4,VLOOKUP(AF$6, Table_ChiPhiNV_Ca[], COUNTA(Table_ChiPhiNV_Ca[[#Headers],[Ca]:[Bắt đầu]]),0)),
$AA33&lt;MIN(AF$5,VLOOKUP(AF$6, Table_ChiPhiNV_Ca[], COUNTA(Table_ChiPhiNV_Ca[[#Headers],[Ca]:[Kết thúc]]),0))),
SUM(_xlfn._xlws.FILTER(Table_BangLuong_TyLeTangCa[Tỷ lệ],
(Table_BangLuong_TyLeTangCa[Ngày] = "Thường") *
(Table_BangLuong_TyLeTangCa[Giờ min]&lt;=$AA33) *
(Table_BangLuong_TyLeTangCa[Giờ max]&gt;$AA33)
)),0)
)),
IF(AF$4 &lt; AF$5,
IF($AA33-$Z$4&lt;AF$4,0,
IF($AA33&gt;AF$5,0,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AF$5,$AA33 &lt; AF$4),0,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G33" s="18" cm="1">
        <f t="array" ref="AG33" xml:space="preserve">
IFERROR(
IF(AG$1="",0,
IF(AND(
$AA33&gt;=VLOOKUP(AG$6, Table_ChiPhiNV_Ca[], COUNTA(Table_ChiPhiNV_Ca[[#Headers],[Ca]:[Bắt đầu nghỉ]]),0),
$AA33&lt;VLOOKUP(AG$6, Table_ChiPhiNV_Ca[], COUNTA(Table_ChiPhiNV_Ca[[#Headers],[Ca]:[Kết thúc nghỉ]]),0)
),0,
IF(NOT(ISBLANK(AG$3)),
IF(ISBLANK(AG$7),0,
IF(AG$4 &lt; AG$5,
IF($AA33-$Z$4&lt;AG$4,0,
IF($AA33&gt;AG$5,0,
SUM(_xlfn._xlws.FILTER(Table_BangLuong_TyLeTangCa[Tỷ lệ],
(Table_BangLuong_TyLeTangCa[Ngày] = AG$3) *
(Table_BangLuong_TyLeTangCa[Giờ min]&lt;=$AA33) *
(Table_BangLuong_TyLeTangCa[Giờ max]&gt;$AA33)
)))),
IF(AND($AA33-$Z$4 &gt;= AG$5,$AA33 &lt; AG$4),0,
SUM(_xlfn._xlws.FILTER(Table_BangLuong_TyLeTangCa[Tỷ lệ],
(Table_BangLuong_TyLeTangCa[Ngày] = AG$3) *
(Table_BangLuong_TyLeTangCa[Giờ min]&lt;=$AA33) *
(Table_BangLuong_TyLeTangCa[Giờ max]&gt;$AA33)
))))
),
IF(ISBLANK(AG$7),
IF(VLOOKUP(AG$6, Table_ChiPhiNV_Ca[], COUNTA(Table_ChiPhiNV_Ca[[#Headers],[Ca]:[Kết thúc]]),0)&gt; VLOOKUP(AG$6, Table_ChiPhiNV_Ca[], COUNTA(Table_ChiPhiNV_Ca[[#Headers],[Ca]:[Bắt đầu]]),0),
IF($AA33-$Z$4&lt;MAX(AG$4,VLOOKUP(AG$6, Table_ChiPhiNV_Ca[], COUNTA(Table_ChiPhiNV_Ca[[#Headers],[Ca]:[Bắt đầu]]),0)),0,
IF($AA33&gt;MIN(AG$5,VLOOKUP(AG$6, Table_ChiPhiNV_Ca[], COUNTA(Table_ChiPhiNV_Ca[[#Headers],[Ca]:[Kết thúc]]),0)),0,
SUM(_xlfn._xlws.FILTER(Table_BangLuong_TyLeTangCa[Tỷ lệ],
(Table_BangLuong_TyLeTangCa[Ngày] = "Thường") *
(Table_BangLuong_TyLeTangCa[Giờ min]&lt;=$AA33) *
(Table_BangLuong_TyLeTangCa[Giờ max]&gt;$AA33)
)))),
IF(AG$4 &gt; AG$5,
IF(
AND(
$AA33-$Z$4&lt;MAX(AG$4,VLOOKUP(AG$6, Table_ChiPhiNV_Ca[], COUNTA(Table_ChiPhiNV_Ca[[#Headers],[Ca]:[Bắt đầu]]),0)),
$AA33&gt;MIN(AG$5,VLOOKUP(AG$6, Table_ChiPhiNV_Ca[], COUNTA(Table_ChiPhiNV_Ca[[#Headers],[Ca]:[Kết thúc]]),0))),0,
SUM(_xlfn._xlws.FILTER(Table_BangLuong_TyLeTangCa[Tỷ lệ],
(Table_BangLuong_TyLeTangCa[Ngày] = "Thường") *
(Table_BangLuong_TyLeTangCa[Giờ min]&lt;=$AA33) *
(Table_BangLuong_TyLeTangCa[Giờ max]&gt;$AA33)
))),
IF(
AND(
$AA33-$Z$4&gt;=MAX(AG$4,VLOOKUP(AG$6, Table_ChiPhiNV_Ca[], COUNTA(Table_ChiPhiNV_Ca[[#Headers],[Ca]:[Bắt đầu]]),0)),
$AA33&lt;MIN(AG$5,VLOOKUP(AG$6, Table_ChiPhiNV_Ca[], COUNTA(Table_ChiPhiNV_Ca[[#Headers],[Ca]:[Kết thúc]]),0))),
SUM(_xlfn._xlws.FILTER(Table_BangLuong_TyLeTangCa[Tỷ lệ],
(Table_BangLuong_TyLeTangCa[Ngày] = "Thường") *
(Table_BangLuong_TyLeTangCa[Giờ min]&lt;=$AA33) *
(Table_BangLuong_TyLeTangCa[Giờ max]&gt;$AA33)
)),0)
)),
IF(AG$4 &lt; AG$5,
IF($AA33-$Z$4&lt;AG$4,0,
IF($AA33&gt;AG$5,0,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AG$5,$AA33 &lt; AG$4),0,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H33" s="18" cm="1">
        <f t="array" ref="AH33" xml:space="preserve">
IFERROR(
IF(AH$1="",0,
IF(AND(
$AA33&gt;=VLOOKUP(AH$6, Table_ChiPhiNV_Ca[], COUNTA(Table_ChiPhiNV_Ca[[#Headers],[Ca]:[Bắt đầu nghỉ]]),0),
$AA33&lt;VLOOKUP(AH$6, Table_ChiPhiNV_Ca[], COUNTA(Table_ChiPhiNV_Ca[[#Headers],[Ca]:[Kết thúc nghỉ]]),0)
),0,
IF(NOT(ISBLANK(AH$3)),
IF(ISBLANK(AH$7),0,
IF(AH$4 &lt; AH$5,
IF($AA33-$Z$4&lt;AH$4,0,
IF($AA33&gt;AH$5,0,
SUM(_xlfn._xlws.FILTER(Table_BangLuong_TyLeTangCa[Tỷ lệ],
(Table_BangLuong_TyLeTangCa[Ngày] = AH$3) *
(Table_BangLuong_TyLeTangCa[Giờ min]&lt;=$AA33) *
(Table_BangLuong_TyLeTangCa[Giờ max]&gt;$AA33)
)))),
IF(AND($AA33-$Z$4 &gt;= AH$5,$AA33 &lt; AH$4),0,
SUM(_xlfn._xlws.FILTER(Table_BangLuong_TyLeTangCa[Tỷ lệ],
(Table_BangLuong_TyLeTangCa[Ngày] = AH$3) *
(Table_BangLuong_TyLeTangCa[Giờ min]&lt;=$AA33) *
(Table_BangLuong_TyLeTangCa[Giờ max]&gt;$AA33)
))))
),
IF(ISBLANK(AH$7),
IF(VLOOKUP(AH$6, Table_ChiPhiNV_Ca[], COUNTA(Table_ChiPhiNV_Ca[[#Headers],[Ca]:[Kết thúc]]),0)&gt; VLOOKUP(AH$6, Table_ChiPhiNV_Ca[], COUNTA(Table_ChiPhiNV_Ca[[#Headers],[Ca]:[Bắt đầu]]),0),
IF($AA33-$Z$4&lt;MAX(AH$4,VLOOKUP(AH$6, Table_ChiPhiNV_Ca[], COUNTA(Table_ChiPhiNV_Ca[[#Headers],[Ca]:[Bắt đầu]]),0)),0,
IF($AA33&gt;MIN(AH$5,VLOOKUP(AH$6, Table_ChiPhiNV_Ca[], COUNTA(Table_ChiPhiNV_Ca[[#Headers],[Ca]:[Kết thúc]]),0)),0,
SUM(_xlfn._xlws.FILTER(Table_BangLuong_TyLeTangCa[Tỷ lệ],
(Table_BangLuong_TyLeTangCa[Ngày] = "Thường") *
(Table_BangLuong_TyLeTangCa[Giờ min]&lt;=$AA33) *
(Table_BangLuong_TyLeTangCa[Giờ max]&gt;$AA33)
)))),
IF(AH$4 &gt; AH$5,
IF(
AND(
$AA33-$Z$4&lt;MAX(AH$4,VLOOKUP(AH$6, Table_ChiPhiNV_Ca[], COUNTA(Table_ChiPhiNV_Ca[[#Headers],[Ca]:[Bắt đầu]]),0)),
$AA33&gt;MIN(AH$5,VLOOKUP(AH$6, Table_ChiPhiNV_Ca[], COUNTA(Table_ChiPhiNV_Ca[[#Headers],[Ca]:[Kết thúc]]),0))),0,
SUM(_xlfn._xlws.FILTER(Table_BangLuong_TyLeTangCa[Tỷ lệ],
(Table_BangLuong_TyLeTangCa[Ngày] = "Thường") *
(Table_BangLuong_TyLeTangCa[Giờ min]&lt;=$AA33) *
(Table_BangLuong_TyLeTangCa[Giờ max]&gt;$AA33)
))),
IF(
AND(
$AA33-$Z$4&gt;=MAX(AH$4,VLOOKUP(AH$6, Table_ChiPhiNV_Ca[], COUNTA(Table_ChiPhiNV_Ca[[#Headers],[Ca]:[Bắt đầu]]),0)),
$AA33&lt;MIN(AH$5,VLOOKUP(AH$6, Table_ChiPhiNV_Ca[], COUNTA(Table_ChiPhiNV_Ca[[#Headers],[Ca]:[Kết thúc]]),0))),
SUM(_xlfn._xlws.FILTER(Table_BangLuong_TyLeTangCa[Tỷ lệ],
(Table_BangLuong_TyLeTangCa[Ngày] = "Thường") *
(Table_BangLuong_TyLeTangCa[Giờ min]&lt;=$AA33) *
(Table_BangLuong_TyLeTangCa[Giờ max]&gt;$AA33)
)),0)
)),
IF(AH$4 &lt; AH$5,
IF($AA33-$Z$4&lt;AH$4,0,
IF($AA33&gt;AH$5,0,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AH$5,$AA33 &lt; AH$4),0,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I33" s="18" cm="1">
        <f t="array" ref="AI33" xml:space="preserve">
IFERROR(
IF(AI$1="",0,
IF(AND(
$AA33&gt;=VLOOKUP(AI$6, Table_ChiPhiNV_Ca[], COUNTA(Table_ChiPhiNV_Ca[[#Headers],[Ca]:[Bắt đầu nghỉ]]),0),
$AA33&lt;VLOOKUP(AI$6, Table_ChiPhiNV_Ca[], COUNTA(Table_ChiPhiNV_Ca[[#Headers],[Ca]:[Kết thúc nghỉ]]),0)
),0,
IF(NOT(ISBLANK(AI$3)),
IF(ISBLANK(AI$7),0,
IF(AI$4 &lt; AI$5,
IF($AA33-$Z$4&lt;AI$4,0,
IF($AA33&gt;AI$5,0,
SUM(_xlfn._xlws.FILTER(Table_BangLuong_TyLeTangCa[Tỷ lệ],
(Table_BangLuong_TyLeTangCa[Ngày] = AI$3) *
(Table_BangLuong_TyLeTangCa[Giờ min]&lt;=$AA33) *
(Table_BangLuong_TyLeTangCa[Giờ max]&gt;$AA33)
)))),
IF(AND($AA33-$Z$4 &gt;= AI$5,$AA33 &lt; AI$4),0,
SUM(_xlfn._xlws.FILTER(Table_BangLuong_TyLeTangCa[Tỷ lệ],
(Table_BangLuong_TyLeTangCa[Ngày] = AI$3) *
(Table_BangLuong_TyLeTangCa[Giờ min]&lt;=$AA33) *
(Table_BangLuong_TyLeTangCa[Giờ max]&gt;$AA33)
))))
),
IF(ISBLANK(AI$7),
IF(VLOOKUP(AI$6, Table_ChiPhiNV_Ca[], COUNTA(Table_ChiPhiNV_Ca[[#Headers],[Ca]:[Kết thúc]]),0)&gt; VLOOKUP(AI$6, Table_ChiPhiNV_Ca[], COUNTA(Table_ChiPhiNV_Ca[[#Headers],[Ca]:[Bắt đầu]]),0),
IF($AA33-$Z$4&lt;MAX(AI$4,VLOOKUP(AI$6, Table_ChiPhiNV_Ca[], COUNTA(Table_ChiPhiNV_Ca[[#Headers],[Ca]:[Bắt đầu]]),0)),0,
IF($AA33&gt;MIN(AI$5,VLOOKUP(AI$6, Table_ChiPhiNV_Ca[], COUNTA(Table_ChiPhiNV_Ca[[#Headers],[Ca]:[Kết thúc]]),0)),0,
SUM(_xlfn._xlws.FILTER(Table_BangLuong_TyLeTangCa[Tỷ lệ],
(Table_BangLuong_TyLeTangCa[Ngày] = "Thường") *
(Table_BangLuong_TyLeTangCa[Giờ min]&lt;=$AA33) *
(Table_BangLuong_TyLeTangCa[Giờ max]&gt;$AA33)
)))),
IF(AI$4 &gt; AI$5,
IF(
AND(
$AA33-$Z$4&lt;MAX(AI$4,VLOOKUP(AI$6, Table_ChiPhiNV_Ca[], COUNTA(Table_ChiPhiNV_Ca[[#Headers],[Ca]:[Bắt đầu]]),0)),
$AA33&gt;MIN(AI$5,VLOOKUP(AI$6, Table_ChiPhiNV_Ca[], COUNTA(Table_ChiPhiNV_Ca[[#Headers],[Ca]:[Kết thúc]]),0))),0,
SUM(_xlfn._xlws.FILTER(Table_BangLuong_TyLeTangCa[Tỷ lệ],
(Table_BangLuong_TyLeTangCa[Ngày] = "Thường") *
(Table_BangLuong_TyLeTangCa[Giờ min]&lt;=$AA33) *
(Table_BangLuong_TyLeTangCa[Giờ max]&gt;$AA33)
))),
IF(
AND(
$AA33-$Z$4&gt;=MAX(AI$4,VLOOKUP(AI$6, Table_ChiPhiNV_Ca[], COUNTA(Table_ChiPhiNV_Ca[[#Headers],[Ca]:[Bắt đầu]]),0)),
$AA33&lt;MIN(AI$5,VLOOKUP(AI$6, Table_ChiPhiNV_Ca[], COUNTA(Table_ChiPhiNV_Ca[[#Headers],[Ca]:[Kết thúc]]),0))),
SUM(_xlfn._xlws.FILTER(Table_BangLuong_TyLeTangCa[Tỷ lệ],
(Table_BangLuong_TyLeTangCa[Ngày] = "Thường") *
(Table_BangLuong_TyLeTangCa[Giờ min]&lt;=$AA33) *
(Table_BangLuong_TyLeTangCa[Giờ max]&gt;$AA33)
)),0)
)),
IF(AI$4 &lt; AI$5,
IF($AA33-$Z$4&lt;AI$4,0,
IF($AA33&gt;AI$5,0,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AI$5,$AA33 &lt; AI$4),0,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J33" s="18" cm="1">
        <f t="array" ref="AJ33" xml:space="preserve">
IFERROR(
IF(AJ$1="",0,
IF(AND(
$AA33&gt;=VLOOKUP(AJ$6, Table_ChiPhiNV_Ca[], COUNTA(Table_ChiPhiNV_Ca[[#Headers],[Ca]:[Bắt đầu nghỉ]]),0),
$AA33&lt;VLOOKUP(AJ$6, Table_ChiPhiNV_Ca[], COUNTA(Table_ChiPhiNV_Ca[[#Headers],[Ca]:[Kết thúc nghỉ]]),0)
),0,
IF(NOT(ISBLANK(AJ$3)),
IF(ISBLANK(AJ$7),0,
IF(AJ$4 &lt; AJ$5,
IF($AA33-$Z$4&lt;AJ$4,0,
IF($AA33&gt;AJ$5,0,
SUM(_xlfn._xlws.FILTER(Table_BangLuong_TyLeTangCa[Tỷ lệ],
(Table_BangLuong_TyLeTangCa[Ngày] = AJ$3) *
(Table_BangLuong_TyLeTangCa[Giờ min]&lt;=$AA33) *
(Table_BangLuong_TyLeTangCa[Giờ max]&gt;$AA33)
)))),
IF(AND($AA33-$Z$4 &gt;= AJ$5,$AA33 &lt; AJ$4),0,
SUM(_xlfn._xlws.FILTER(Table_BangLuong_TyLeTangCa[Tỷ lệ],
(Table_BangLuong_TyLeTangCa[Ngày] = AJ$3) *
(Table_BangLuong_TyLeTangCa[Giờ min]&lt;=$AA33) *
(Table_BangLuong_TyLeTangCa[Giờ max]&gt;$AA33)
))))
),
IF(ISBLANK(AJ$7),
IF(VLOOKUP(AJ$6, Table_ChiPhiNV_Ca[], COUNTA(Table_ChiPhiNV_Ca[[#Headers],[Ca]:[Kết thúc]]),0)&gt; VLOOKUP(AJ$6, Table_ChiPhiNV_Ca[], COUNTA(Table_ChiPhiNV_Ca[[#Headers],[Ca]:[Bắt đầu]]),0),
IF($AA33-$Z$4&lt;MAX(AJ$4,VLOOKUP(AJ$6, Table_ChiPhiNV_Ca[], COUNTA(Table_ChiPhiNV_Ca[[#Headers],[Ca]:[Bắt đầu]]),0)),0,
IF($AA33&gt;MIN(AJ$5,VLOOKUP(AJ$6, Table_ChiPhiNV_Ca[], COUNTA(Table_ChiPhiNV_Ca[[#Headers],[Ca]:[Kết thúc]]),0)),0,
SUM(_xlfn._xlws.FILTER(Table_BangLuong_TyLeTangCa[Tỷ lệ],
(Table_BangLuong_TyLeTangCa[Ngày] = "Thường") *
(Table_BangLuong_TyLeTangCa[Giờ min]&lt;=$AA33) *
(Table_BangLuong_TyLeTangCa[Giờ max]&gt;$AA33)
)))),
IF(AJ$4 &gt; AJ$5,
IF(
AND(
$AA33-$Z$4&lt;MAX(AJ$4,VLOOKUP(AJ$6, Table_ChiPhiNV_Ca[], COUNTA(Table_ChiPhiNV_Ca[[#Headers],[Ca]:[Bắt đầu]]),0)),
$AA33&gt;MIN(AJ$5,VLOOKUP(AJ$6, Table_ChiPhiNV_Ca[], COUNTA(Table_ChiPhiNV_Ca[[#Headers],[Ca]:[Kết thúc]]),0))),0,
SUM(_xlfn._xlws.FILTER(Table_BangLuong_TyLeTangCa[Tỷ lệ],
(Table_BangLuong_TyLeTangCa[Ngày] = "Thường") *
(Table_BangLuong_TyLeTangCa[Giờ min]&lt;=$AA33) *
(Table_BangLuong_TyLeTangCa[Giờ max]&gt;$AA33)
))),
IF(
AND(
$AA33-$Z$4&gt;=MAX(AJ$4,VLOOKUP(AJ$6, Table_ChiPhiNV_Ca[], COUNTA(Table_ChiPhiNV_Ca[[#Headers],[Ca]:[Bắt đầu]]),0)),
$AA33&lt;MIN(AJ$5,VLOOKUP(AJ$6, Table_ChiPhiNV_Ca[], COUNTA(Table_ChiPhiNV_Ca[[#Headers],[Ca]:[Kết thúc]]),0))),
SUM(_xlfn._xlws.FILTER(Table_BangLuong_TyLeTangCa[Tỷ lệ],
(Table_BangLuong_TyLeTangCa[Ngày] = "Thường") *
(Table_BangLuong_TyLeTangCa[Giờ min]&lt;=$AA33) *
(Table_BangLuong_TyLeTangCa[Giờ max]&gt;$AA33)
)),0)
)),
IF(AJ$4 &lt; AJ$5,
IF($AA33-$Z$4&lt;AJ$4,0,
IF($AA33&gt;AJ$5,0,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AJ$5,$AA33 &lt; AJ$4),0,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K33" s="18" cm="1">
        <f t="array" ref="AK33" xml:space="preserve">
IFERROR(
IF(AK$1="",0,
IF(AND(
$AA33&gt;=VLOOKUP(AK$6, Table_ChiPhiNV_Ca[], COUNTA(Table_ChiPhiNV_Ca[[#Headers],[Ca]:[Bắt đầu nghỉ]]),0),
$AA33&lt;VLOOKUP(AK$6, Table_ChiPhiNV_Ca[], COUNTA(Table_ChiPhiNV_Ca[[#Headers],[Ca]:[Kết thúc nghỉ]]),0)
),0,
IF(NOT(ISBLANK(AK$3)),
IF(ISBLANK(AK$7),0,
IF(AK$4 &lt; AK$5,
IF($AA33-$Z$4&lt;AK$4,0,
IF($AA33&gt;AK$5,0,
SUM(_xlfn._xlws.FILTER(Table_BangLuong_TyLeTangCa[Tỷ lệ],
(Table_BangLuong_TyLeTangCa[Ngày] = AK$3) *
(Table_BangLuong_TyLeTangCa[Giờ min]&lt;=$AA33) *
(Table_BangLuong_TyLeTangCa[Giờ max]&gt;$AA33)
)))),
IF(AND($AA33-$Z$4 &gt;= AK$5,$AA33 &lt; AK$4),0,
SUM(_xlfn._xlws.FILTER(Table_BangLuong_TyLeTangCa[Tỷ lệ],
(Table_BangLuong_TyLeTangCa[Ngày] = AK$3) *
(Table_BangLuong_TyLeTangCa[Giờ min]&lt;=$AA33) *
(Table_BangLuong_TyLeTangCa[Giờ max]&gt;$AA33)
))))
),
IF(ISBLANK(AK$7),
IF(VLOOKUP(AK$6, Table_ChiPhiNV_Ca[], COUNTA(Table_ChiPhiNV_Ca[[#Headers],[Ca]:[Kết thúc]]),0)&gt; VLOOKUP(AK$6, Table_ChiPhiNV_Ca[], COUNTA(Table_ChiPhiNV_Ca[[#Headers],[Ca]:[Bắt đầu]]),0),
IF($AA33-$Z$4&lt;MAX(AK$4,VLOOKUP(AK$6, Table_ChiPhiNV_Ca[], COUNTA(Table_ChiPhiNV_Ca[[#Headers],[Ca]:[Bắt đầu]]),0)),0,
IF($AA33&gt;MIN(AK$5,VLOOKUP(AK$6, Table_ChiPhiNV_Ca[], COUNTA(Table_ChiPhiNV_Ca[[#Headers],[Ca]:[Kết thúc]]),0)),0,
SUM(_xlfn._xlws.FILTER(Table_BangLuong_TyLeTangCa[Tỷ lệ],
(Table_BangLuong_TyLeTangCa[Ngày] = "Thường") *
(Table_BangLuong_TyLeTangCa[Giờ min]&lt;=$AA33) *
(Table_BangLuong_TyLeTangCa[Giờ max]&gt;$AA33)
)))),
IF(AK$4 &gt; AK$5,
IF(
AND(
$AA33-$Z$4&lt;MAX(AK$4,VLOOKUP(AK$6, Table_ChiPhiNV_Ca[], COUNTA(Table_ChiPhiNV_Ca[[#Headers],[Ca]:[Bắt đầu]]),0)),
$AA33&gt;MIN(AK$5,VLOOKUP(AK$6, Table_ChiPhiNV_Ca[], COUNTA(Table_ChiPhiNV_Ca[[#Headers],[Ca]:[Kết thúc]]),0))),0,
SUM(_xlfn._xlws.FILTER(Table_BangLuong_TyLeTangCa[Tỷ lệ],
(Table_BangLuong_TyLeTangCa[Ngày] = "Thường") *
(Table_BangLuong_TyLeTangCa[Giờ min]&lt;=$AA33) *
(Table_BangLuong_TyLeTangCa[Giờ max]&gt;$AA33)
))),
IF(
AND(
$AA33-$Z$4&gt;=MAX(AK$4,VLOOKUP(AK$6, Table_ChiPhiNV_Ca[], COUNTA(Table_ChiPhiNV_Ca[[#Headers],[Ca]:[Bắt đầu]]),0)),
$AA33&lt;MIN(AK$5,VLOOKUP(AK$6, Table_ChiPhiNV_Ca[], COUNTA(Table_ChiPhiNV_Ca[[#Headers],[Ca]:[Kết thúc]]),0))),
SUM(_xlfn._xlws.FILTER(Table_BangLuong_TyLeTangCa[Tỷ lệ],
(Table_BangLuong_TyLeTangCa[Ngày] = "Thường") *
(Table_BangLuong_TyLeTangCa[Giờ min]&lt;=$AA33) *
(Table_BangLuong_TyLeTangCa[Giờ max]&gt;$AA33)
)),0)
)),
IF(AK$4 &lt; AK$5,
IF($AA33-$Z$4&lt;AK$4,0,
IF($AA33&gt;AK$5,0,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AK$5,$AA33 &lt; AK$4),0,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L33" s="18" cm="1">
        <f t="array" ref="AL33" xml:space="preserve">
IFERROR(
IF(AL$1="",0,
IF(AND(
$AA33&gt;=VLOOKUP(AL$6, Table_ChiPhiNV_Ca[], COUNTA(Table_ChiPhiNV_Ca[[#Headers],[Ca]:[Bắt đầu nghỉ]]),0),
$AA33&lt;VLOOKUP(AL$6, Table_ChiPhiNV_Ca[], COUNTA(Table_ChiPhiNV_Ca[[#Headers],[Ca]:[Kết thúc nghỉ]]),0)
),0,
IF(NOT(ISBLANK(AL$3)),
IF(ISBLANK(AL$7),0,
IF(AL$4 &lt; AL$5,
IF($AA33-$Z$4&lt;AL$4,0,
IF($AA33&gt;AL$5,0,
SUM(_xlfn._xlws.FILTER(Table_BangLuong_TyLeTangCa[Tỷ lệ],
(Table_BangLuong_TyLeTangCa[Ngày] = AL$3) *
(Table_BangLuong_TyLeTangCa[Giờ min]&lt;=$AA33) *
(Table_BangLuong_TyLeTangCa[Giờ max]&gt;$AA33)
)))),
IF(AND($AA33-$Z$4 &gt;= AL$5,$AA33 &lt; AL$4),0,
SUM(_xlfn._xlws.FILTER(Table_BangLuong_TyLeTangCa[Tỷ lệ],
(Table_BangLuong_TyLeTangCa[Ngày] = AL$3) *
(Table_BangLuong_TyLeTangCa[Giờ min]&lt;=$AA33) *
(Table_BangLuong_TyLeTangCa[Giờ max]&gt;$AA33)
))))
),
IF(ISBLANK(AL$7),
IF(VLOOKUP(AL$6, Table_ChiPhiNV_Ca[], COUNTA(Table_ChiPhiNV_Ca[[#Headers],[Ca]:[Kết thúc]]),0)&gt; VLOOKUP(AL$6, Table_ChiPhiNV_Ca[], COUNTA(Table_ChiPhiNV_Ca[[#Headers],[Ca]:[Bắt đầu]]),0),
IF($AA33-$Z$4&lt;MAX(AL$4,VLOOKUP(AL$6, Table_ChiPhiNV_Ca[], COUNTA(Table_ChiPhiNV_Ca[[#Headers],[Ca]:[Bắt đầu]]),0)),0,
IF($AA33&gt;MIN(AL$5,VLOOKUP(AL$6, Table_ChiPhiNV_Ca[], COUNTA(Table_ChiPhiNV_Ca[[#Headers],[Ca]:[Kết thúc]]),0)),0,
SUM(_xlfn._xlws.FILTER(Table_BangLuong_TyLeTangCa[Tỷ lệ],
(Table_BangLuong_TyLeTangCa[Ngày] = "Thường") *
(Table_BangLuong_TyLeTangCa[Giờ min]&lt;=$AA33) *
(Table_BangLuong_TyLeTangCa[Giờ max]&gt;$AA33)
)))),
IF(AL$4 &gt; AL$5,
IF(
AND(
$AA33-$Z$4&lt;MAX(AL$4,VLOOKUP(AL$6, Table_ChiPhiNV_Ca[], COUNTA(Table_ChiPhiNV_Ca[[#Headers],[Ca]:[Bắt đầu]]),0)),
$AA33&gt;MIN(AL$5,VLOOKUP(AL$6, Table_ChiPhiNV_Ca[], COUNTA(Table_ChiPhiNV_Ca[[#Headers],[Ca]:[Kết thúc]]),0))),0,
SUM(_xlfn._xlws.FILTER(Table_BangLuong_TyLeTangCa[Tỷ lệ],
(Table_BangLuong_TyLeTangCa[Ngày] = "Thường") *
(Table_BangLuong_TyLeTangCa[Giờ min]&lt;=$AA33) *
(Table_BangLuong_TyLeTangCa[Giờ max]&gt;$AA33)
))),
IF(
AND(
$AA33-$Z$4&gt;=MAX(AL$4,VLOOKUP(AL$6, Table_ChiPhiNV_Ca[], COUNTA(Table_ChiPhiNV_Ca[[#Headers],[Ca]:[Bắt đầu]]),0)),
$AA33&lt;MIN(AL$5,VLOOKUP(AL$6, Table_ChiPhiNV_Ca[], COUNTA(Table_ChiPhiNV_Ca[[#Headers],[Ca]:[Kết thúc]]),0))),
SUM(_xlfn._xlws.FILTER(Table_BangLuong_TyLeTangCa[Tỷ lệ],
(Table_BangLuong_TyLeTangCa[Ngày] = "Thường") *
(Table_BangLuong_TyLeTangCa[Giờ min]&lt;=$AA33) *
(Table_BangLuong_TyLeTangCa[Giờ max]&gt;$AA33)
)),0)
)),
IF(AL$4 &lt; AL$5,
IF($AA33-$Z$4&lt;AL$4,0,
IF($AA33&gt;AL$5,0,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AL$5,$AA33 &lt; AL$4),0,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M33" s="18" cm="1">
        <f t="array" ref="AM33" xml:space="preserve">
IFERROR(
IF(AM$1="",0,
IF(AND(
$AA33&gt;=VLOOKUP(AM$6, Table_ChiPhiNV_Ca[], COUNTA(Table_ChiPhiNV_Ca[[#Headers],[Ca]:[Bắt đầu nghỉ]]),0),
$AA33&lt;VLOOKUP(AM$6, Table_ChiPhiNV_Ca[], COUNTA(Table_ChiPhiNV_Ca[[#Headers],[Ca]:[Kết thúc nghỉ]]),0)
),0,
IF(NOT(ISBLANK(AM$3)),
IF(ISBLANK(AM$7),0,
IF(AM$4 &lt; AM$5,
IF($AA33-$Z$4&lt;AM$4,0,
IF($AA33&gt;AM$5,0,
SUM(_xlfn._xlws.FILTER(Table_BangLuong_TyLeTangCa[Tỷ lệ],
(Table_BangLuong_TyLeTangCa[Ngày] = AM$3) *
(Table_BangLuong_TyLeTangCa[Giờ min]&lt;=$AA33) *
(Table_BangLuong_TyLeTangCa[Giờ max]&gt;$AA33)
)))),
IF(AND($AA33-$Z$4 &gt;= AM$5,$AA33 &lt; AM$4),0,
SUM(_xlfn._xlws.FILTER(Table_BangLuong_TyLeTangCa[Tỷ lệ],
(Table_BangLuong_TyLeTangCa[Ngày] = AM$3) *
(Table_BangLuong_TyLeTangCa[Giờ min]&lt;=$AA33) *
(Table_BangLuong_TyLeTangCa[Giờ max]&gt;$AA33)
))))
),
IF(ISBLANK(AM$7),
IF(VLOOKUP(AM$6, Table_ChiPhiNV_Ca[], COUNTA(Table_ChiPhiNV_Ca[[#Headers],[Ca]:[Kết thúc]]),0)&gt; VLOOKUP(AM$6, Table_ChiPhiNV_Ca[], COUNTA(Table_ChiPhiNV_Ca[[#Headers],[Ca]:[Bắt đầu]]),0),
IF($AA33-$Z$4&lt;MAX(AM$4,VLOOKUP(AM$6, Table_ChiPhiNV_Ca[], COUNTA(Table_ChiPhiNV_Ca[[#Headers],[Ca]:[Bắt đầu]]),0)),0,
IF($AA33&gt;MIN(AM$5,VLOOKUP(AM$6, Table_ChiPhiNV_Ca[], COUNTA(Table_ChiPhiNV_Ca[[#Headers],[Ca]:[Kết thúc]]),0)),0,
SUM(_xlfn._xlws.FILTER(Table_BangLuong_TyLeTangCa[Tỷ lệ],
(Table_BangLuong_TyLeTangCa[Ngày] = "Thường") *
(Table_BangLuong_TyLeTangCa[Giờ min]&lt;=$AA33) *
(Table_BangLuong_TyLeTangCa[Giờ max]&gt;$AA33)
)))),
IF(AM$4 &gt; AM$5,
IF(
AND(
$AA33-$Z$4&lt;MAX(AM$4,VLOOKUP(AM$6, Table_ChiPhiNV_Ca[], COUNTA(Table_ChiPhiNV_Ca[[#Headers],[Ca]:[Bắt đầu]]),0)),
$AA33&gt;MIN(AM$5,VLOOKUP(AM$6, Table_ChiPhiNV_Ca[], COUNTA(Table_ChiPhiNV_Ca[[#Headers],[Ca]:[Kết thúc]]),0))),0,
SUM(_xlfn._xlws.FILTER(Table_BangLuong_TyLeTangCa[Tỷ lệ],
(Table_BangLuong_TyLeTangCa[Ngày] = "Thường") *
(Table_BangLuong_TyLeTangCa[Giờ min]&lt;=$AA33) *
(Table_BangLuong_TyLeTangCa[Giờ max]&gt;$AA33)
))),
IF(
AND(
$AA33-$Z$4&gt;=MAX(AM$4,VLOOKUP(AM$6, Table_ChiPhiNV_Ca[], COUNTA(Table_ChiPhiNV_Ca[[#Headers],[Ca]:[Bắt đầu]]),0)),
$AA33&lt;MIN(AM$5,VLOOKUP(AM$6, Table_ChiPhiNV_Ca[], COUNTA(Table_ChiPhiNV_Ca[[#Headers],[Ca]:[Kết thúc]]),0))),
SUM(_xlfn._xlws.FILTER(Table_BangLuong_TyLeTangCa[Tỷ lệ],
(Table_BangLuong_TyLeTangCa[Ngày] = "Thường") *
(Table_BangLuong_TyLeTangCa[Giờ min]&lt;=$AA33) *
(Table_BangLuong_TyLeTangCa[Giờ max]&gt;$AA33)
)),0)
)),
IF(AM$4 &lt; AM$5,
IF($AA33-$Z$4&lt;AM$4,0,
IF($AA33&gt;AM$5,0,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AM$5,$AA33 &lt; AM$4),0,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N33" s="18" cm="1">
        <f t="array" ref="AN33" xml:space="preserve">
IFERROR(
IF(AN$1="",0,
IF(AND(
$AA33&gt;=VLOOKUP(AN$6, Table_ChiPhiNV_Ca[], COUNTA(Table_ChiPhiNV_Ca[[#Headers],[Ca]:[Bắt đầu nghỉ]]),0),
$AA33&lt;VLOOKUP(AN$6, Table_ChiPhiNV_Ca[], COUNTA(Table_ChiPhiNV_Ca[[#Headers],[Ca]:[Kết thúc nghỉ]]),0)
),0,
IF(NOT(ISBLANK(AN$3)),
IF(ISBLANK(AN$7),0,
IF(AN$4 &lt; AN$5,
IF($AA33-$Z$4&lt;AN$4,0,
IF($AA33&gt;AN$5,0,
SUM(_xlfn._xlws.FILTER(Table_BangLuong_TyLeTangCa[Tỷ lệ],
(Table_BangLuong_TyLeTangCa[Ngày] = AN$3) *
(Table_BangLuong_TyLeTangCa[Giờ min]&lt;=$AA33) *
(Table_BangLuong_TyLeTangCa[Giờ max]&gt;$AA33)
)))),
IF(AND($AA33-$Z$4 &gt;= AN$5,$AA33 &lt; AN$4),0,
SUM(_xlfn._xlws.FILTER(Table_BangLuong_TyLeTangCa[Tỷ lệ],
(Table_BangLuong_TyLeTangCa[Ngày] = AN$3) *
(Table_BangLuong_TyLeTangCa[Giờ min]&lt;=$AA33) *
(Table_BangLuong_TyLeTangCa[Giờ max]&gt;$AA33)
))))
),
IF(ISBLANK(AN$7),
IF(VLOOKUP(AN$6, Table_ChiPhiNV_Ca[], COUNTA(Table_ChiPhiNV_Ca[[#Headers],[Ca]:[Kết thúc]]),0)&gt; VLOOKUP(AN$6, Table_ChiPhiNV_Ca[], COUNTA(Table_ChiPhiNV_Ca[[#Headers],[Ca]:[Bắt đầu]]),0),
IF($AA33-$Z$4&lt;MAX(AN$4,VLOOKUP(AN$6, Table_ChiPhiNV_Ca[], COUNTA(Table_ChiPhiNV_Ca[[#Headers],[Ca]:[Bắt đầu]]),0)),0,
IF($AA33&gt;MIN(AN$5,VLOOKUP(AN$6, Table_ChiPhiNV_Ca[], COUNTA(Table_ChiPhiNV_Ca[[#Headers],[Ca]:[Kết thúc]]),0)),0,
SUM(_xlfn._xlws.FILTER(Table_BangLuong_TyLeTangCa[Tỷ lệ],
(Table_BangLuong_TyLeTangCa[Ngày] = "Thường") *
(Table_BangLuong_TyLeTangCa[Giờ min]&lt;=$AA33) *
(Table_BangLuong_TyLeTangCa[Giờ max]&gt;$AA33)
)))),
IF(AN$4 &gt; AN$5,
IF(
AND(
$AA33-$Z$4&lt;MAX(AN$4,VLOOKUP(AN$6, Table_ChiPhiNV_Ca[], COUNTA(Table_ChiPhiNV_Ca[[#Headers],[Ca]:[Bắt đầu]]),0)),
$AA33&gt;MIN(AN$5,VLOOKUP(AN$6, Table_ChiPhiNV_Ca[], COUNTA(Table_ChiPhiNV_Ca[[#Headers],[Ca]:[Kết thúc]]),0))),0,
SUM(_xlfn._xlws.FILTER(Table_BangLuong_TyLeTangCa[Tỷ lệ],
(Table_BangLuong_TyLeTangCa[Ngày] = "Thường") *
(Table_BangLuong_TyLeTangCa[Giờ min]&lt;=$AA33) *
(Table_BangLuong_TyLeTangCa[Giờ max]&gt;$AA33)
))),
IF(
AND(
$AA33-$Z$4&gt;=MAX(AN$4,VLOOKUP(AN$6, Table_ChiPhiNV_Ca[], COUNTA(Table_ChiPhiNV_Ca[[#Headers],[Ca]:[Bắt đầu]]),0)),
$AA33&lt;MIN(AN$5,VLOOKUP(AN$6, Table_ChiPhiNV_Ca[], COUNTA(Table_ChiPhiNV_Ca[[#Headers],[Ca]:[Kết thúc]]),0))),
SUM(_xlfn._xlws.FILTER(Table_BangLuong_TyLeTangCa[Tỷ lệ],
(Table_BangLuong_TyLeTangCa[Ngày] = "Thường") *
(Table_BangLuong_TyLeTangCa[Giờ min]&lt;=$AA33) *
(Table_BangLuong_TyLeTangCa[Giờ max]&gt;$AA33)
)),0)
)),
IF(AN$4 &lt; AN$5,
IF($AA33-$Z$4&lt;AN$4,0,
IF($AA33&gt;AN$5,0,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AN$5,$AA33 &lt; AN$4),0,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O33" s="18" cm="1">
        <f t="array" ref="AO33" xml:space="preserve">
IFERROR(
IF(AO$1="",0,
IF(AND(
$AA33&gt;=VLOOKUP(AO$6, Table_ChiPhiNV_Ca[], COUNTA(Table_ChiPhiNV_Ca[[#Headers],[Ca]:[Bắt đầu nghỉ]]),0),
$AA33&lt;VLOOKUP(AO$6, Table_ChiPhiNV_Ca[], COUNTA(Table_ChiPhiNV_Ca[[#Headers],[Ca]:[Kết thúc nghỉ]]),0)
),0,
IF(NOT(ISBLANK(AO$3)),
IF(ISBLANK(AO$7),0,
IF(AO$4 &lt; AO$5,
IF($AA33-$Z$4&lt;AO$4,0,
IF($AA33&gt;AO$5,0,
SUM(_xlfn._xlws.FILTER(Table_BangLuong_TyLeTangCa[Tỷ lệ],
(Table_BangLuong_TyLeTangCa[Ngày] = AO$3) *
(Table_BangLuong_TyLeTangCa[Giờ min]&lt;=$AA33) *
(Table_BangLuong_TyLeTangCa[Giờ max]&gt;$AA33)
)))),
IF(AND($AA33-$Z$4 &gt;= AO$5,$AA33 &lt; AO$4),0,
SUM(_xlfn._xlws.FILTER(Table_BangLuong_TyLeTangCa[Tỷ lệ],
(Table_BangLuong_TyLeTangCa[Ngày] = AO$3) *
(Table_BangLuong_TyLeTangCa[Giờ min]&lt;=$AA33) *
(Table_BangLuong_TyLeTangCa[Giờ max]&gt;$AA33)
))))
),
IF(ISBLANK(AO$7),
IF(VLOOKUP(AO$6, Table_ChiPhiNV_Ca[], COUNTA(Table_ChiPhiNV_Ca[[#Headers],[Ca]:[Kết thúc]]),0)&gt; VLOOKUP(AO$6, Table_ChiPhiNV_Ca[], COUNTA(Table_ChiPhiNV_Ca[[#Headers],[Ca]:[Bắt đầu]]),0),
IF($AA33-$Z$4&lt;MAX(AO$4,VLOOKUP(AO$6, Table_ChiPhiNV_Ca[], COUNTA(Table_ChiPhiNV_Ca[[#Headers],[Ca]:[Bắt đầu]]),0)),0,
IF($AA33&gt;MIN(AO$5,VLOOKUP(AO$6, Table_ChiPhiNV_Ca[], COUNTA(Table_ChiPhiNV_Ca[[#Headers],[Ca]:[Kết thúc]]),0)),0,
SUM(_xlfn._xlws.FILTER(Table_BangLuong_TyLeTangCa[Tỷ lệ],
(Table_BangLuong_TyLeTangCa[Ngày] = "Thường") *
(Table_BangLuong_TyLeTangCa[Giờ min]&lt;=$AA33) *
(Table_BangLuong_TyLeTangCa[Giờ max]&gt;$AA33)
)))),
IF(AO$4 &gt; AO$5,
IF(
AND(
$AA33-$Z$4&lt;MAX(AO$4,VLOOKUP(AO$6, Table_ChiPhiNV_Ca[], COUNTA(Table_ChiPhiNV_Ca[[#Headers],[Ca]:[Bắt đầu]]),0)),
$AA33&gt;MIN(AO$5,VLOOKUP(AO$6, Table_ChiPhiNV_Ca[], COUNTA(Table_ChiPhiNV_Ca[[#Headers],[Ca]:[Kết thúc]]),0))),0,
SUM(_xlfn._xlws.FILTER(Table_BangLuong_TyLeTangCa[Tỷ lệ],
(Table_BangLuong_TyLeTangCa[Ngày] = "Thường") *
(Table_BangLuong_TyLeTangCa[Giờ min]&lt;=$AA33) *
(Table_BangLuong_TyLeTangCa[Giờ max]&gt;$AA33)
))),
IF(
AND(
$AA33-$Z$4&gt;=MAX(AO$4,VLOOKUP(AO$6, Table_ChiPhiNV_Ca[], COUNTA(Table_ChiPhiNV_Ca[[#Headers],[Ca]:[Bắt đầu]]),0)),
$AA33&lt;MIN(AO$5,VLOOKUP(AO$6, Table_ChiPhiNV_Ca[], COUNTA(Table_ChiPhiNV_Ca[[#Headers],[Ca]:[Kết thúc]]),0))),
SUM(_xlfn._xlws.FILTER(Table_BangLuong_TyLeTangCa[Tỷ lệ],
(Table_BangLuong_TyLeTangCa[Ngày] = "Thường") *
(Table_BangLuong_TyLeTangCa[Giờ min]&lt;=$AA33) *
(Table_BangLuong_TyLeTangCa[Giờ max]&gt;$AA33)
)),0)
)),
IF(AO$4 &lt; AO$5,
IF($AA33-$Z$4&lt;AO$4,0,
IF($AA33&gt;AO$5,0,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AO$5,$AA33 &lt; AO$4),0,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P33" s="18" cm="1">
        <f t="array" ref="AP33" xml:space="preserve">
IFERROR(
IF(AP$1="",0,
IF(AND(
$AA33&gt;=VLOOKUP(AP$6, Table_ChiPhiNV_Ca[], COUNTA(Table_ChiPhiNV_Ca[[#Headers],[Ca]:[Bắt đầu nghỉ]]),0),
$AA33&lt;VLOOKUP(AP$6, Table_ChiPhiNV_Ca[], COUNTA(Table_ChiPhiNV_Ca[[#Headers],[Ca]:[Kết thúc nghỉ]]),0)
),0,
IF(NOT(ISBLANK(AP$3)),
IF(ISBLANK(AP$7),0,
IF(AP$4 &lt; AP$5,
IF($AA33-$Z$4&lt;AP$4,0,
IF($AA33&gt;AP$5,0,
SUM(_xlfn._xlws.FILTER(Table_BangLuong_TyLeTangCa[Tỷ lệ],
(Table_BangLuong_TyLeTangCa[Ngày] = AP$3) *
(Table_BangLuong_TyLeTangCa[Giờ min]&lt;=$AA33) *
(Table_BangLuong_TyLeTangCa[Giờ max]&gt;$AA33)
)))),
IF(AND($AA33-$Z$4 &gt;= AP$5,$AA33 &lt; AP$4),0,
SUM(_xlfn._xlws.FILTER(Table_BangLuong_TyLeTangCa[Tỷ lệ],
(Table_BangLuong_TyLeTangCa[Ngày] = AP$3) *
(Table_BangLuong_TyLeTangCa[Giờ min]&lt;=$AA33) *
(Table_BangLuong_TyLeTangCa[Giờ max]&gt;$AA33)
))))
),
IF(ISBLANK(AP$7),
IF(VLOOKUP(AP$6, Table_ChiPhiNV_Ca[], COUNTA(Table_ChiPhiNV_Ca[[#Headers],[Ca]:[Kết thúc]]),0)&gt; VLOOKUP(AP$6, Table_ChiPhiNV_Ca[], COUNTA(Table_ChiPhiNV_Ca[[#Headers],[Ca]:[Bắt đầu]]),0),
IF($AA33-$Z$4&lt;MAX(AP$4,VLOOKUP(AP$6, Table_ChiPhiNV_Ca[], COUNTA(Table_ChiPhiNV_Ca[[#Headers],[Ca]:[Bắt đầu]]),0)),0,
IF($AA33&gt;MIN(AP$5,VLOOKUP(AP$6, Table_ChiPhiNV_Ca[], COUNTA(Table_ChiPhiNV_Ca[[#Headers],[Ca]:[Kết thúc]]),0)),0,
SUM(_xlfn._xlws.FILTER(Table_BangLuong_TyLeTangCa[Tỷ lệ],
(Table_BangLuong_TyLeTangCa[Ngày] = "Thường") *
(Table_BangLuong_TyLeTangCa[Giờ min]&lt;=$AA33) *
(Table_BangLuong_TyLeTangCa[Giờ max]&gt;$AA33)
)))),
IF(AP$4 &gt; AP$5,
IF(
AND(
$AA33-$Z$4&lt;MAX(AP$4,VLOOKUP(AP$6, Table_ChiPhiNV_Ca[], COUNTA(Table_ChiPhiNV_Ca[[#Headers],[Ca]:[Bắt đầu]]),0)),
$AA33&gt;MIN(AP$5,VLOOKUP(AP$6, Table_ChiPhiNV_Ca[], COUNTA(Table_ChiPhiNV_Ca[[#Headers],[Ca]:[Kết thúc]]),0))),0,
SUM(_xlfn._xlws.FILTER(Table_BangLuong_TyLeTangCa[Tỷ lệ],
(Table_BangLuong_TyLeTangCa[Ngày] = "Thường") *
(Table_BangLuong_TyLeTangCa[Giờ min]&lt;=$AA33) *
(Table_BangLuong_TyLeTangCa[Giờ max]&gt;$AA33)
))),
IF(
AND(
$AA33-$Z$4&gt;=MAX(AP$4,VLOOKUP(AP$6, Table_ChiPhiNV_Ca[], COUNTA(Table_ChiPhiNV_Ca[[#Headers],[Ca]:[Bắt đầu]]),0)),
$AA33&lt;MIN(AP$5,VLOOKUP(AP$6, Table_ChiPhiNV_Ca[], COUNTA(Table_ChiPhiNV_Ca[[#Headers],[Ca]:[Kết thúc]]),0))),
SUM(_xlfn._xlws.FILTER(Table_BangLuong_TyLeTangCa[Tỷ lệ],
(Table_BangLuong_TyLeTangCa[Ngày] = "Thường") *
(Table_BangLuong_TyLeTangCa[Giờ min]&lt;=$AA33) *
(Table_BangLuong_TyLeTangCa[Giờ max]&gt;$AA33)
)),0)
)),
IF(AP$4 &lt; AP$5,
IF($AA33-$Z$4&lt;AP$4,0,
IF($AA33&gt;AP$5,0,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AP$5,$AA33 &lt; AP$4),0,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Q33" s="18" cm="1">
        <f t="array" ref="AQ33" xml:space="preserve">
IFERROR(
IF(AQ$1="",0,
IF(AND(
$AA33&gt;=VLOOKUP(AQ$6, Table_ChiPhiNV_Ca[], COUNTA(Table_ChiPhiNV_Ca[[#Headers],[Ca]:[Bắt đầu nghỉ]]),0),
$AA33&lt;VLOOKUP(AQ$6, Table_ChiPhiNV_Ca[], COUNTA(Table_ChiPhiNV_Ca[[#Headers],[Ca]:[Kết thúc nghỉ]]),0)
),0,
IF(NOT(ISBLANK(AQ$3)),
IF(ISBLANK(AQ$7),0,
IF(AQ$4 &lt; AQ$5,
IF($AA33-$Z$4&lt;AQ$4,0,
IF($AA33&gt;AQ$5,0,
SUM(_xlfn._xlws.FILTER(Table_BangLuong_TyLeTangCa[Tỷ lệ],
(Table_BangLuong_TyLeTangCa[Ngày] = AQ$3) *
(Table_BangLuong_TyLeTangCa[Giờ min]&lt;=$AA33) *
(Table_BangLuong_TyLeTangCa[Giờ max]&gt;$AA33)
)))),
IF(AND($AA33-$Z$4 &gt;= AQ$5,$AA33 &lt; AQ$4),0,
SUM(_xlfn._xlws.FILTER(Table_BangLuong_TyLeTangCa[Tỷ lệ],
(Table_BangLuong_TyLeTangCa[Ngày] = AQ$3) *
(Table_BangLuong_TyLeTangCa[Giờ min]&lt;=$AA33) *
(Table_BangLuong_TyLeTangCa[Giờ max]&gt;$AA33)
))))
),
IF(ISBLANK(AQ$7),
IF(VLOOKUP(AQ$6, Table_ChiPhiNV_Ca[], COUNTA(Table_ChiPhiNV_Ca[[#Headers],[Ca]:[Kết thúc]]),0)&gt; VLOOKUP(AQ$6, Table_ChiPhiNV_Ca[], COUNTA(Table_ChiPhiNV_Ca[[#Headers],[Ca]:[Bắt đầu]]),0),
IF($AA33-$Z$4&lt;MAX(AQ$4,VLOOKUP(AQ$6, Table_ChiPhiNV_Ca[], COUNTA(Table_ChiPhiNV_Ca[[#Headers],[Ca]:[Bắt đầu]]),0)),0,
IF($AA33&gt;MIN(AQ$5,VLOOKUP(AQ$6, Table_ChiPhiNV_Ca[], COUNTA(Table_ChiPhiNV_Ca[[#Headers],[Ca]:[Kết thúc]]),0)),0,
SUM(_xlfn._xlws.FILTER(Table_BangLuong_TyLeTangCa[Tỷ lệ],
(Table_BangLuong_TyLeTangCa[Ngày] = "Thường") *
(Table_BangLuong_TyLeTangCa[Giờ min]&lt;=$AA33) *
(Table_BangLuong_TyLeTangCa[Giờ max]&gt;$AA33)
)))),
IF(AQ$4 &gt; AQ$5,
IF(
AND(
$AA33-$Z$4&lt;MAX(AQ$4,VLOOKUP(AQ$6, Table_ChiPhiNV_Ca[], COUNTA(Table_ChiPhiNV_Ca[[#Headers],[Ca]:[Bắt đầu]]),0)),
$AA33&gt;MIN(AQ$5,VLOOKUP(AQ$6, Table_ChiPhiNV_Ca[], COUNTA(Table_ChiPhiNV_Ca[[#Headers],[Ca]:[Kết thúc]]),0))),0,
SUM(_xlfn._xlws.FILTER(Table_BangLuong_TyLeTangCa[Tỷ lệ],
(Table_BangLuong_TyLeTangCa[Ngày] = "Thường") *
(Table_BangLuong_TyLeTangCa[Giờ min]&lt;=$AA33) *
(Table_BangLuong_TyLeTangCa[Giờ max]&gt;$AA33)
))),
IF(
AND(
$AA33-$Z$4&gt;=MAX(AQ$4,VLOOKUP(AQ$6, Table_ChiPhiNV_Ca[], COUNTA(Table_ChiPhiNV_Ca[[#Headers],[Ca]:[Bắt đầu]]),0)),
$AA33&lt;MIN(AQ$5,VLOOKUP(AQ$6, Table_ChiPhiNV_Ca[], COUNTA(Table_ChiPhiNV_Ca[[#Headers],[Ca]:[Kết thúc]]),0))),
SUM(_xlfn._xlws.FILTER(Table_BangLuong_TyLeTangCa[Tỷ lệ],
(Table_BangLuong_TyLeTangCa[Ngày] = "Thường") *
(Table_BangLuong_TyLeTangCa[Giờ min]&lt;=$AA33) *
(Table_BangLuong_TyLeTangCa[Giờ max]&gt;$AA33)
)),0)
)),
IF(AQ$4 &lt; AQ$5,
IF($AA33-$Z$4&lt;AQ$4,0,
IF($AA33&gt;AQ$5,0,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AQ$5,$AA33 &lt; AQ$4),0,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R33" s="18" cm="1">
        <f t="array" ref="AR33" xml:space="preserve">
IFERROR(
IF(AR$1="",0,
IF(AND(
$AA33&gt;=VLOOKUP(AR$6, Table_ChiPhiNV_Ca[], COUNTA(Table_ChiPhiNV_Ca[[#Headers],[Ca]:[Bắt đầu nghỉ]]),0),
$AA33&lt;VLOOKUP(AR$6, Table_ChiPhiNV_Ca[], COUNTA(Table_ChiPhiNV_Ca[[#Headers],[Ca]:[Kết thúc nghỉ]]),0)
),0,
IF(NOT(ISBLANK(AR$3)),
IF(ISBLANK(AR$7),0,
IF(AR$4 &lt; AR$5,
IF($AA33-$Z$4&lt;AR$4,0,
IF($AA33&gt;AR$5,0,
SUM(_xlfn._xlws.FILTER(Table_BangLuong_TyLeTangCa[Tỷ lệ],
(Table_BangLuong_TyLeTangCa[Ngày] = AR$3) *
(Table_BangLuong_TyLeTangCa[Giờ min]&lt;=$AA33) *
(Table_BangLuong_TyLeTangCa[Giờ max]&gt;$AA33)
)))),
IF(AND($AA33-$Z$4 &gt;= AR$5,$AA33 &lt; AR$4),0,
SUM(_xlfn._xlws.FILTER(Table_BangLuong_TyLeTangCa[Tỷ lệ],
(Table_BangLuong_TyLeTangCa[Ngày] = AR$3) *
(Table_BangLuong_TyLeTangCa[Giờ min]&lt;=$AA33) *
(Table_BangLuong_TyLeTangCa[Giờ max]&gt;$AA33)
))))
),
IF(ISBLANK(AR$7),
IF(VLOOKUP(AR$6, Table_ChiPhiNV_Ca[], COUNTA(Table_ChiPhiNV_Ca[[#Headers],[Ca]:[Kết thúc]]),0)&gt; VLOOKUP(AR$6, Table_ChiPhiNV_Ca[], COUNTA(Table_ChiPhiNV_Ca[[#Headers],[Ca]:[Bắt đầu]]),0),
IF($AA33-$Z$4&lt;MAX(AR$4,VLOOKUP(AR$6, Table_ChiPhiNV_Ca[], COUNTA(Table_ChiPhiNV_Ca[[#Headers],[Ca]:[Bắt đầu]]),0)),0,
IF($AA33&gt;MIN(AR$5,VLOOKUP(AR$6, Table_ChiPhiNV_Ca[], COUNTA(Table_ChiPhiNV_Ca[[#Headers],[Ca]:[Kết thúc]]),0)),0,
SUM(_xlfn._xlws.FILTER(Table_BangLuong_TyLeTangCa[Tỷ lệ],
(Table_BangLuong_TyLeTangCa[Ngày] = "Thường") *
(Table_BangLuong_TyLeTangCa[Giờ min]&lt;=$AA33) *
(Table_BangLuong_TyLeTangCa[Giờ max]&gt;$AA33)
)))),
IF(AR$4 &gt; AR$5,
IF(
AND(
$AA33-$Z$4&lt;MAX(AR$4,VLOOKUP(AR$6, Table_ChiPhiNV_Ca[], COUNTA(Table_ChiPhiNV_Ca[[#Headers],[Ca]:[Bắt đầu]]),0)),
$AA33&gt;MIN(AR$5,VLOOKUP(AR$6, Table_ChiPhiNV_Ca[], COUNTA(Table_ChiPhiNV_Ca[[#Headers],[Ca]:[Kết thúc]]),0))),0,
SUM(_xlfn._xlws.FILTER(Table_BangLuong_TyLeTangCa[Tỷ lệ],
(Table_BangLuong_TyLeTangCa[Ngày] = "Thường") *
(Table_BangLuong_TyLeTangCa[Giờ min]&lt;=$AA33) *
(Table_BangLuong_TyLeTangCa[Giờ max]&gt;$AA33)
))),
IF(
AND(
$AA33-$Z$4&gt;=MAX(AR$4,VLOOKUP(AR$6, Table_ChiPhiNV_Ca[], COUNTA(Table_ChiPhiNV_Ca[[#Headers],[Ca]:[Bắt đầu]]),0)),
$AA33&lt;MIN(AR$5,VLOOKUP(AR$6, Table_ChiPhiNV_Ca[], COUNTA(Table_ChiPhiNV_Ca[[#Headers],[Ca]:[Kết thúc]]),0))),
SUM(_xlfn._xlws.FILTER(Table_BangLuong_TyLeTangCa[Tỷ lệ],
(Table_BangLuong_TyLeTangCa[Ngày] = "Thường") *
(Table_BangLuong_TyLeTangCa[Giờ min]&lt;=$AA33) *
(Table_BangLuong_TyLeTangCa[Giờ max]&gt;$AA33)
)),0)
)),
IF(AR$4 &lt; AR$5,
IF($AA33-$Z$4&lt;AR$4,0,
IF($AA33&gt;AR$5,0,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AR$5,$AA33 &lt; AR$4),0,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S33" s="18" cm="1">
        <f t="array" ref="AS33" xml:space="preserve">
IFERROR(
IF(AS$1="",0,
IF(AND(
$AA33&gt;=VLOOKUP(AS$6, Table_ChiPhiNV_Ca[], COUNTA(Table_ChiPhiNV_Ca[[#Headers],[Ca]:[Bắt đầu nghỉ]]),0),
$AA33&lt;VLOOKUP(AS$6, Table_ChiPhiNV_Ca[], COUNTA(Table_ChiPhiNV_Ca[[#Headers],[Ca]:[Kết thúc nghỉ]]),0)
),0,
IF(NOT(ISBLANK(AS$3)),
IF(ISBLANK(AS$7),0,
IF(AS$4 &lt; AS$5,
IF($AA33-$Z$4&lt;AS$4,0,
IF($AA33&gt;AS$5,0,
SUM(_xlfn._xlws.FILTER(Table_BangLuong_TyLeTangCa[Tỷ lệ],
(Table_BangLuong_TyLeTangCa[Ngày] = AS$3) *
(Table_BangLuong_TyLeTangCa[Giờ min]&lt;=$AA33) *
(Table_BangLuong_TyLeTangCa[Giờ max]&gt;$AA33)
)))),
IF(AND($AA33-$Z$4 &gt;= AS$5,$AA33 &lt; AS$4),0,
SUM(_xlfn._xlws.FILTER(Table_BangLuong_TyLeTangCa[Tỷ lệ],
(Table_BangLuong_TyLeTangCa[Ngày] = AS$3) *
(Table_BangLuong_TyLeTangCa[Giờ min]&lt;=$AA33) *
(Table_BangLuong_TyLeTangCa[Giờ max]&gt;$AA33)
))))
),
IF(ISBLANK(AS$7),
IF(VLOOKUP(AS$6, Table_ChiPhiNV_Ca[], COUNTA(Table_ChiPhiNV_Ca[[#Headers],[Ca]:[Kết thúc]]),0)&gt; VLOOKUP(AS$6, Table_ChiPhiNV_Ca[], COUNTA(Table_ChiPhiNV_Ca[[#Headers],[Ca]:[Bắt đầu]]),0),
IF($AA33-$Z$4&lt;MAX(AS$4,VLOOKUP(AS$6, Table_ChiPhiNV_Ca[], COUNTA(Table_ChiPhiNV_Ca[[#Headers],[Ca]:[Bắt đầu]]),0)),0,
IF($AA33&gt;MIN(AS$5,VLOOKUP(AS$6, Table_ChiPhiNV_Ca[], COUNTA(Table_ChiPhiNV_Ca[[#Headers],[Ca]:[Kết thúc]]),0)),0,
SUM(_xlfn._xlws.FILTER(Table_BangLuong_TyLeTangCa[Tỷ lệ],
(Table_BangLuong_TyLeTangCa[Ngày] = "Thường") *
(Table_BangLuong_TyLeTangCa[Giờ min]&lt;=$AA33) *
(Table_BangLuong_TyLeTangCa[Giờ max]&gt;$AA33)
)))),
IF(AS$4 &gt; AS$5,
IF(
AND(
$AA33-$Z$4&lt;MAX(AS$4,VLOOKUP(AS$6, Table_ChiPhiNV_Ca[], COUNTA(Table_ChiPhiNV_Ca[[#Headers],[Ca]:[Bắt đầu]]),0)),
$AA33&gt;MIN(AS$5,VLOOKUP(AS$6, Table_ChiPhiNV_Ca[], COUNTA(Table_ChiPhiNV_Ca[[#Headers],[Ca]:[Kết thúc]]),0))),0,
SUM(_xlfn._xlws.FILTER(Table_BangLuong_TyLeTangCa[Tỷ lệ],
(Table_BangLuong_TyLeTangCa[Ngày] = "Thường") *
(Table_BangLuong_TyLeTangCa[Giờ min]&lt;=$AA33) *
(Table_BangLuong_TyLeTangCa[Giờ max]&gt;$AA33)
))),
IF(
AND(
$AA33-$Z$4&gt;=MAX(AS$4,VLOOKUP(AS$6, Table_ChiPhiNV_Ca[], COUNTA(Table_ChiPhiNV_Ca[[#Headers],[Ca]:[Bắt đầu]]),0)),
$AA33&lt;MIN(AS$5,VLOOKUP(AS$6, Table_ChiPhiNV_Ca[], COUNTA(Table_ChiPhiNV_Ca[[#Headers],[Ca]:[Kết thúc]]),0))),
SUM(_xlfn._xlws.FILTER(Table_BangLuong_TyLeTangCa[Tỷ lệ],
(Table_BangLuong_TyLeTangCa[Ngày] = "Thường") *
(Table_BangLuong_TyLeTangCa[Giờ min]&lt;=$AA33) *
(Table_BangLuong_TyLeTangCa[Giờ max]&gt;$AA33)
)),0)
)),
IF(AS$4 &lt; AS$5,
IF($AA33-$Z$4&lt;AS$4,0,
IF($AA33&gt;AS$5,0,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AS$5,$AA33 &lt; AS$4),0,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T33" s="18" cm="1">
        <f t="array" ref="AT33" xml:space="preserve">
IFERROR(
IF(AT$1="",0,
IF(AND(
$AA33&gt;=VLOOKUP(AT$6, Table_ChiPhiNV_Ca[], COUNTA(Table_ChiPhiNV_Ca[[#Headers],[Ca]:[Bắt đầu nghỉ]]),0),
$AA33&lt;VLOOKUP(AT$6, Table_ChiPhiNV_Ca[], COUNTA(Table_ChiPhiNV_Ca[[#Headers],[Ca]:[Kết thúc nghỉ]]),0)
),0,
IF(NOT(ISBLANK(AT$3)),
IF(ISBLANK(AT$7),0,
IF(AT$4 &lt; AT$5,
IF($AA33-$Z$4&lt;AT$4,0,
IF($AA33&gt;AT$5,0,
SUM(_xlfn._xlws.FILTER(Table_BangLuong_TyLeTangCa[Tỷ lệ],
(Table_BangLuong_TyLeTangCa[Ngày] = AT$3) *
(Table_BangLuong_TyLeTangCa[Giờ min]&lt;=$AA33) *
(Table_BangLuong_TyLeTangCa[Giờ max]&gt;$AA33)
)))),
IF(AND($AA33-$Z$4 &gt;= AT$5,$AA33 &lt; AT$4),0,
SUM(_xlfn._xlws.FILTER(Table_BangLuong_TyLeTangCa[Tỷ lệ],
(Table_BangLuong_TyLeTangCa[Ngày] = AT$3) *
(Table_BangLuong_TyLeTangCa[Giờ min]&lt;=$AA33) *
(Table_BangLuong_TyLeTangCa[Giờ max]&gt;$AA33)
))))
),
IF(ISBLANK(AT$7),
IF(VLOOKUP(AT$6, Table_ChiPhiNV_Ca[], COUNTA(Table_ChiPhiNV_Ca[[#Headers],[Ca]:[Kết thúc]]),0)&gt; VLOOKUP(AT$6, Table_ChiPhiNV_Ca[], COUNTA(Table_ChiPhiNV_Ca[[#Headers],[Ca]:[Bắt đầu]]),0),
IF($AA33-$Z$4&lt;MAX(AT$4,VLOOKUP(AT$6, Table_ChiPhiNV_Ca[], COUNTA(Table_ChiPhiNV_Ca[[#Headers],[Ca]:[Bắt đầu]]),0)),0,
IF($AA33&gt;MIN(AT$5,VLOOKUP(AT$6, Table_ChiPhiNV_Ca[], COUNTA(Table_ChiPhiNV_Ca[[#Headers],[Ca]:[Kết thúc]]),0)),0,
SUM(_xlfn._xlws.FILTER(Table_BangLuong_TyLeTangCa[Tỷ lệ],
(Table_BangLuong_TyLeTangCa[Ngày] = "Thường") *
(Table_BangLuong_TyLeTangCa[Giờ min]&lt;=$AA33) *
(Table_BangLuong_TyLeTangCa[Giờ max]&gt;$AA33)
)))),
IF(AT$4 &gt; AT$5,
IF(
AND(
$AA33-$Z$4&lt;MAX(AT$4,VLOOKUP(AT$6, Table_ChiPhiNV_Ca[], COUNTA(Table_ChiPhiNV_Ca[[#Headers],[Ca]:[Bắt đầu]]),0)),
$AA33&gt;MIN(AT$5,VLOOKUP(AT$6, Table_ChiPhiNV_Ca[], COUNTA(Table_ChiPhiNV_Ca[[#Headers],[Ca]:[Kết thúc]]),0))),0,
SUM(_xlfn._xlws.FILTER(Table_BangLuong_TyLeTangCa[Tỷ lệ],
(Table_BangLuong_TyLeTangCa[Ngày] = "Thường") *
(Table_BangLuong_TyLeTangCa[Giờ min]&lt;=$AA33) *
(Table_BangLuong_TyLeTangCa[Giờ max]&gt;$AA33)
))),
IF(
AND(
$AA33-$Z$4&gt;=MAX(AT$4,VLOOKUP(AT$6, Table_ChiPhiNV_Ca[], COUNTA(Table_ChiPhiNV_Ca[[#Headers],[Ca]:[Bắt đầu]]),0)),
$AA33&lt;MIN(AT$5,VLOOKUP(AT$6, Table_ChiPhiNV_Ca[], COUNTA(Table_ChiPhiNV_Ca[[#Headers],[Ca]:[Kết thúc]]),0))),
SUM(_xlfn._xlws.FILTER(Table_BangLuong_TyLeTangCa[Tỷ lệ],
(Table_BangLuong_TyLeTangCa[Ngày] = "Thường") *
(Table_BangLuong_TyLeTangCa[Giờ min]&lt;=$AA33) *
(Table_BangLuong_TyLeTangCa[Giờ max]&gt;$AA33)
)),0)
)),
IF(AT$4 &lt; AT$5,
IF($AA33-$Z$4&lt;AT$4,0,
IF($AA33&gt;AT$5,0,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AT$5,$AA33 &lt; AT$4),0,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U33" s="18" cm="1">
        <f t="array" ref="AU33" xml:space="preserve">
IFERROR(
IF(AU$1="",0,
IF(AND(
$AA33&gt;=VLOOKUP(AU$6, Table_ChiPhiNV_Ca[], COUNTA(Table_ChiPhiNV_Ca[[#Headers],[Ca]:[Bắt đầu nghỉ]]),0),
$AA33&lt;VLOOKUP(AU$6, Table_ChiPhiNV_Ca[], COUNTA(Table_ChiPhiNV_Ca[[#Headers],[Ca]:[Kết thúc nghỉ]]),0)
),0,
IF(NOT(ISBLANK(AU$3)),
IF(ISBLANK(AU$7),0,
IF(AU$4 &lt; AU$5,
IF($AA33-$Z$4&lt;AU$4,0,
IF($AA33&gt;AU$5,0,
SUM(_xlfn._xlws.FILTER(Table_BangLuong_TyLeTangCa[Tỷ lệ],
(Table_BangLuong_TyLeTangCa[Ngày] = AU$3) *
(Table_BangLuong_TyLeTangCa[Giờ min]&lt;=$AA33) *
(Table_BangLuong_TyLeTangCa[Giờ max]&gt;$AA33)
)))),
IF(AND($AA33-$Z$4 &gt;= AU$5,$AA33 &lt; AU$4),0,
SUM(_xlfn._xlws.FILTER(Table_BangLuong_TyLeTangCa[Tỷ lệ],
(Table_BangLuong_TyLeTangCa[Ngày] = AU$3) *
(Table_BangLuong_TyLeTangCa[Giờ min]&lt;=$AA33) *
(Table_BangLuong_TyLeTangCa[Giờ max]&gt;$AA33)
))))
),
IF(ISBLANK(AU$7),
IF(VLOOKUP(AU$6, Table_ChiPhiNV_Ca[], COUNTA(Table_ChiPhiNV_Ca[[#Headers],[Ca]:[Kết thúc]]),0)&gt; VLOOKUP(AU$6, Table_ChiPhiNV_Ca[], COUNTA(Table_ChiPhiNV_Ca[[#Headers],[Ca]:[Bắt đầu]]),0),
IF($AA33-$Z$4&lt;MAX(AU$4,VLOOKUP(AU$6, Table_ChiPhiNV_Ca[], COUNTA(Table_ChiPhiNV_Ca[[#Headers],[Ca]:[Bắt đầu]]),0)),0,
IF($AA33&gt;MIN(AU$5,VLOOKUP(AU$6, Table_ChiPhiNV_Ca[], COUNTA(Table_ChiPhiNV_Ca[[#Headers],[Ca]:[Kết thúc]]),0)),0,
SUM(_xlfn._xlws.FILTER(Table_BangLuong_TyLeTangCa[Tỷ lệ],
(Table_BangLuong_TyLeTangCa[Ngày] = "Thường") *
(Table_BangLuong_TyLeTangCa[Giờ min]&lt;=$AA33) *
(Table_BangLuong_TyLeTangCa[Giờ max]&gt;$AA33)
)))),
IF(AU$4 &gt; AU$5,
IF(
AND(
$AA33-$Z$4&lt;MAX(AU$4,VLOOKUP(AU$6, Table_ChiPhiNV_Ca[], COUNTA(Table_ChiPhiNV_Ca[[#Headers],[Ca]:[Bắt đầu]]),0)),
$AA33&gt;MIN(AU$5,VLOOKUP(AU$6, Table_ChiPhiNV_Ca[], COUNTA(Table_ChiPhiNV_Ca[[#Headers],[Ca]:[Kết thúc]]),0))),0,
SUM(_xlfn._xlws.FILTER(Table_BangLuong_TyLeTangCa[Tỷ lệ],
(Table_BangLuong_TyLeTangCa[Ngày] = "Thường") *
(Table_BangLuong_TyLeTangCa[Giờ min]&lt;=$AA33) *
(Table_BangLuong_TyLeTangCa[Giờ max]&gt;$AA33)
))),
IF(
AND(
$AA33-$Z$4&gt;=MAX(AU$4,VLOOKUP(AU$6, Table_ChiPhiNV_Ca[], COUNTA(Table_ChiPhiNV_Ca[[#Headers],[Ca]:[Bắt đầu]]),0)),
$AA33&lt;MIN(AU$5,VLOOKUP(AU$6, Table_ChiPhiNV_Ca[], COUNTA(Table_ChiPhiNV_Ca[[#Headers],[Ca]:[Kết thúc]]),0))),
SUM(_xlfn._xlws.FILTER(Table_BangLuong_TyLeTangCa[Tỷ lệ],
(Table_BangLuong_TyLeTangCa[Ngày] = "Thường") *
(Table_BangLuong_TyLeTangCa[Giờ min]&lt;=$AA33) *
(Table_BangLuong_TyLeTangCa[Giờ max]&gt;$AA33)
)),0)
)),
IF(AU$4 &lt; AU$5,
IF($AA33-$Z$4&lt;AU$4,0,
IF($AA33&gt;AU$5,0,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AU$5,$AA33 &lt; AU$4),0,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V33" s="18" cm="1">
        <f t="array" ref="AV33" xml:space="preserve">
IFERROR(
IF(AV$1="",0,
IF(AND(
$AA33&gt;=VLOOKUP(AV$6, Table_ChiPhiNV_Ca[], COUNTA(Table_ChiPhiNV_Ca[[#Headers],[Ca]:[Bắt đầu nghỉ]]),0),
$AA33&lt;VLOOKUP(AV$6, Table_ChiPhiNV_Ca[], COUNTA(Table_ChiPhiNV_Ca[[#Headers],[Ca]:[Kết thúc nghỉ]]),0)
),0,
IF(NOT(ISBLANK(AV$3)),
IF(ISBLANK(AV$7),0,
IF(AV$4 &lt; AV$5,
IF($AA33-$Z$4&lt;AV$4,0,
IF($AA33&gt;AV$5,0,
SUM(_xlfn._xlws.FILTER(Table_BangLuong_TyLeTangCa[Tỷ lệ],
(Table_BangLuong_TyLeTangCa[Ngày] = AV$3) *
(Table_BangLuong_TyLeTangCa[Giờ min]&lt;=$AA33) *
(Table_BangLuong_TyLeTangCa[Giờ max]&gt;$AA33)
)))),
IF(AND($AA33-$Z$4 &gt;= AV$5,$AA33 &lt; AV$4),0,
SUM(_xlfn._xlws.FILTER(Table_BangLuong_TyLeTangCa[Tỷ lệ],
(Table_BangLuong_TyLeTangCa[Ngày] = AV$3) *
(Table_BangLuong_TyLeTangCa[Giờ min]&lt;=$AA33) *
(Table_BangLuong_TyLeTangCa[Giờ max]&gt;$AA33)
))))
),
IF(ISBLANK(AV$7),
IF(VLOOKUP(AV$6, Table_ChiPhiNV_Ca[], COUNTA(Table_ChiPhiNV_Ca[[#Headers],[Ca]:[Kết thúc]]),0)&gt; VLOOKUP(AV$6, Table_ChiPhiNV_Ca[], COUNTA(Table_ChiPhiNV_Ca[[#Headers],[Ca]:[Bắt đầu]]),0),
IF($AA33-$Z$4&lt;MAX(AV$4,VLOOKUP(AV$6, Table_ChiPhiNV_Ca[], COUNTA(Table_ChiPhiNV_Ca[[#Headers],[Ca]:[Bắt đầu]]),0)),0,
IF($AA33&gt;MIN(AV$5,VLOOKUP(AV$6, Table_ChiPhiNV_Ca[], COUNTA(Table_ChiPhiNV_Ca[[#Headers],[Ca]:[Kết thúc]]),0)),0,
SUM(_xlfn._xlws.FILTER(Table_BangLuong_TyLeTangCa[Tỷ lệ],
(Table_BangLuong_TyLeTangCa[Ngày] = "Thường") *
(Table_BangLuong_TyLeTangCa[Giờ min]&lt;=$AA33) *
(Table_BangLuong_TyLeTangCa[Giờ max]&gt;$AA33)
)))),
IF(AV$4 &gt; AV$5,
IF(
AND(
$AA33-$Z$4&lt;MAX(AV$4,VLOOKUP(AV$6, Table_ChiPhiNV_Ca[], COUNTA(Table_ChiPhiNV_Ca[[#Headers],[Ca]:[Bắt đầu]]),0)),
$AA33&gt;MIN(AV$5,VLOOKUP(AV$6, Table_ChiPhiNV_Ca[], COUNTA(Table_ChiPhiNV_Ca[[#Headers],[Ca]:[Kết thúc]]),0))),0,
SUM(_xlfn._xlws.FILTER(Table_BangLuong_TyLeTangCa[Tỷ lệ],
(Table_BangLuong_TyLeTangCa[Ngày] = "Thường") *
(Table_BangLuong_TyLeTangCa[Giờ min]&lt;=$AA33) *
(Table_BangLuong_TyLeTangCa[Giờ max]&gt;$AA33)
))),
IF(
AND(
$AA33-$Z$4&gt;=MAX(AV$4,VLOOKUP(AV$6, Table_ChiPhiNV_Ca[], COUNTA(Table_ChiPhiNV_Ca[[#Headers],[Ca]:[Bắt đầu]]),0)),
$AA33&lt;MIN(AV$5,VLOOKUP(AV$6, Table_ChiPhiNV_Ca[], COUNTA(Table_ChiPhiNV_Ca[[#Headers],[Ca]:[Kết thúc]]),0))),
SUM(_xlfn._xlws.FILTER(Table_BangLuong_TyLeTangCa[Tỷ lệ],
(Table_BangLuong_TyLeTangCa[Ngày] = "Thường") *
(Table_BangLuong_TyLeTangCa[Giờ min]&lt;=$AA33) *
(Table_BangLuong_TyLeTangCa[Giờ max]&gt;$AA33)
)),0)
)),
IF(AV$4 &lt; AV$5,
IF($AA33-$Z$4&lt;AV$4,0,
IF($AA33&gt;AV$5,0,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AV$5,$AA33 &lt; AV$4),0,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W33" s="18" cm="1">
        <f t="array" ref="AW33" xml:space="preserve">
IFERROR(
IF(AW$1="",0,
IF(AND(
$AA33&gt;=VLOOKUP(AW$6, Table_ChiPhiNV_Ca[], COUNTA(Table_ChiPhiNV_Ca[[#Headers],[Ca]:[Bắt đầu nghỉ]]),0),
$AA33&lt;VLOOKUP(AW$6, Table_ChiPhiNV_Ca[], COUNTA(Table_ChiPhiNV_Ca[[#Headers],[Ca]:[Kết thúc nghỉ]]),0)
),0,
IF(NOT(ISBLANK(AW$3)),
IF(ISBLANK(AW$7),0,
IF(AW$4 &lt; AW$5,
IF($AA33-$Z$4&lt;AW$4,0,
IF($AA33&gt;AW$5,0,
SUM(_xlfn._xlws.FILTER(Table_BangLuong_TyLeTangCa[Tỷ lệ],
(Table_BangLuong_TyLeTangCa[Ngày] = AW$3) *
(Table_BangLuong_TyLeTangCa[Giờ min]&lt;=$AA33) *
(Table_BangLuong_TyLeTangCa[Giờ max]&gt;$AA33)
)))),
IF(AND($AA33-$Z$4 &gt;= AW$5,$AA33 &lt; AW$4),0,
SUM(_xlfn._xlws.FILTER(Table_BangLuong_TyLeTangCa[Tỷ lệ],
(Table_BangLuong_TyLeTangCa[Ngày] = AW$3) *
(Table_BangLuong_TyLeTangCa[Giờ min]&lt;=$AA33) *
(Table_BangLuong_TyLeTangCa[Giờ max]&gt;$AA33)
))))
),
IF(ISBLANK(AW$7),
IF(VLOOKUP(AW$6, Table_ChiPhiNV_Ca[], COUNTA(Table_ChiPhiNV_Ca[[#Headers],[Ca]:[Kết thúc]]),0)&gt; VLOOKUP(AW$6, Table_ChiPhiNV_Ca[], COUNTA(Table_ChiPhiNV_Ca[[#Headers],[Ca]:[Bắt đầu]]),0),
IF($AA33-$Z$4&lt;MAX(AW$4,VLOOKUP(AW$6, Table_ChiPhiNV_Ca[], COUNTA(Table_ChiPhiNV_Ca[[#Headers],[Ca]:[Bắt đầu]]),0)),0,
IF($AA33&gt;MIN(AW$5,VLOOKUP(AW$6, Table_ChiPhiNV_Ca[], COUNTA(Table_ChiPhiNV_Ca[[#Headers],[Ca]:[Kết thúc]]),0)),0,
SUM(_xlfn._xlws.FILTER(Table_BangLuong_TyLeTangCa[Tỷ lệ],
(Table_BangLuong_TyLeTangCa[Ngày] = "Thường") *
(Table_BangLuong_TyLeTangCa[Giờ min]&lt;=$AA33) *
(Table_BangLuong_TyLeTangCa[Giờ max]&gt;$AA33)
)))),
IF(AW$4 &gt; AW$5,
IF(
AND(
$AA33-$Z$4&lt;MAX(AW$4,VLOOKUP(AW$6, Table_ChiPhiNV_Ca[], COUNTA(Table_ChiPhiNV_Ca[[#Headers],[Ca]:[Bắt đầu]]),0)),
$AA33&gt;MIN(AW$5,VLOOKUP(AW$6, Table_ChiPhiNV_Ca[], COUNTA(Table_ChiPhiNV_Ca[[#Headers],[Ca]:[Kết thúc]]),0))),0,
SUM(_xlfn._xlws.FILTER(Table_BangLuong_TyLeTangCa[Tỷ lệ],
(Table_BangLuong_TyLeTangCa[Ngày] = "Thường") *
(Table_BangLuong_TyLeTangCa[Giờ min]&lt;=$AA33) *
(Table_BangLuong_TyLeTangCa[Giờ max]&gt;$AA33)
))),
IF(
AND(
$AA33-$Z$4&gt;=MAX(AW$4,VLOOKUP(AW$6, Table_ChiPhiNV_Ca[], COUNTA(Table_ChiPhiNV_Ca[[#Headers],[Ca]:[Bắt đầu]]),0)),
$AA33&lt;MIN(AW$5,VLOOKUP(AW$6, Table_ChiPhiNV_Ca[], COUNTA(Table_ChiPhiNV_Ca[[#Headers],[Ca]:[Kết thúc]]),0))),
SUM(_xlfn._xlws.FILTER(Table_BangLuong_TyLeTangCa[Tỷ lệ],
(Table_BangLuong_TyLeTangCa[Ngày] = "Thường") *
(Table_BangLuong_TyLeTangCa[Giờ min]&lt;=$AA33) *
(Table_BangLuong_TyLeTangCa[Giờ max]&gt;$AA33)
)),0)
)),
IF(AW$4 &lt; AW$5,
IF($AA33-$Z$4&lt;AW$4,0,
IF($AA33&gt;AW$5,0,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AW$5,$AA33 &lt; AW$4),0,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X33" s="18" cm="1">
        <f t="array" ref="AX33" xml:space="preserve">
IFERROR(
IF(AX$1="",0,
IF(AND(
$AA33&gt;=VLOOKUP(AX$6, Table_ChiPhiNV_Ca[], COUNTA(Table_ChiPhiNV_Ca[[#Headers],[Ca]:[Bắt đầu nghỉ]]),0),
$AA33&lt;VLOOKUP(AX$6, Table_ChiPhiNV_Ca[], COUNTA(Table_ChiPhiNV_Ca[[#Headers],[Ca]:[Kết thúc nghỉ]]),0)
),0,
IF(NOT(ISBLANK(AX$3)),
IF(ISBLANK(AX$7),0,
IF(AX$4 &lt; AX$5,
IF($AA33-$Z$4&lt;AX$4,0,
IF($AA33&gt;AX$5,0,
SUM(_xlfn._xlws.FILTER(Table_BangLuong_TyLeTangCa[Tỷ lệ],
(Table_BangLuong_TyLeTangCa[Ngày] = AX$3) *
(Table_BangLuong_TyLeTangCa[Giờ min]&lt;=$AA33) *
(Table_BangLuong_TyLeTangCa[Giờ max]&gt;$AA33)
)))),
IF(AND($AA33-$Z$4 &gt;= AX$5,$AA33 &lt; AX$4),0,
SUM(_xlfn._xlws.FILTER(Table_BangLuong_TyLeTangCa[Tỷ lệ],
(Table_BangLuong_TyLeTangCa[Ngày] = AX$3) *
(Table_BangLuong_TyLeTangCa[Giờ min]&lt;=$AA33) *
(Table_BangLuong_TyLeTangCa[Giờ max]&gt;$AA33)
))))
),
IF(ISBLANK(AX$7),
IF(VLOOKUP(AX$6, Table_ChiPhiNV_Ca[], COUNTA(Table_ChiPhiNV_Ca[[#Headers],[Ca]:[Kết thúc]]),0)&gt; VLOOKUP(AX$6, Table_ChiPhiNV_Ca[], COUNTA(Table_ChiPhiNV_Ca[[#Headers],[Ca]:[Bắt đầu]]),0),
IF($AA33-$Z$4&lt;MAX(AX$4,VLOOKUP(AX$6, Table_ChiPhiNV_Ca[], COUNTA(Table_ChiPhiNV_Ca[[#Headers],[Ca]:[Bắt đầu]]),0)),0,
IF($AA33&gt;MIN(AX$5,VLOOKUP(AX$6, Table_ChiPhiNV_Ca[], COUNTA(Table_ChiPhiNV_Ca[[#Headers],[Ca]:[Kết thúc]]),0)),0,
SUM(_xlfn._xlws.FILTER(Table_BangLuong_TyLeTangCa[Tỷ lệ],
(Table_BangLuong_TyLeTangCa[Ngày] = "Thường") *
(Table_BangLuong_TyLeTangCa[Giờ min]&lt;=$AA33) *
(Table_BangLuong_TyLeTangCa[Giờ max]&gt;$AA33)
)))),
IF(AX$4 &gt; AX$5,
IF(
AND(
$AA33-$Z$4&lt;MAX(AX$4,VLOOKUP(AX$6, Table_ChiPhiNV_Ca[], COUNTA(Table_ChiPhiNV_Ca[[#Headers],[Ca]:[Bắt đầu]]),0)),
$AA33&gt;MIN(AX$5,VLOOKUP(AX$6, Table_ChiPhiNV_Ca[], COUNTA(Table_ChiPhiNV_Ca[[#Headers],[Ca]:[Kết thúc]]),0))),0,
SUM(_xlfn._xlws.FILTER(Table_BangLuong_TyLeTangCa[Tỷ lệ],
(Table_BangLuong_TyLeTangCa[Ngày] = "Thường") *
(Table_BangLuong_TyLeTangCa[Giờ min]&lt;=$AA33) *
(Table_BangLuong_TyLeTangCa[Giờ max]&gt;$AA33)
))),
IF(
AND(
$AA33-$Z$4&gt;=MAX(AX$4,VLOOKUP(AX$6, Table_ChiPhiNV_Ca[], COUNTA(Table_ChiPhiNV_Ca[[#Headers],[Ca]:[Bắt đầu]]),0)),
$AA33&lt;MIN(AX$5,VLOOKUP(AX$6, Table_ChiPhiNV_Ca[], COUNTA(Table_ChiPhiNV_Ca[[#Headers],[Ca]:[Kết thúc]]),0))),
SUM(_xlfn._xlws.FILTER(Table_BangLuong_TyLeTangCa[Tỷ lệ],
(Table_BangLuong_TyLeTangCa[Ngày] = "Thường") *
(Table_BangLuong_TyLeTangCa[Giờ min]&lt;=$AA33) *
(Table_BangLuong_TyLeTangCa[Giờ max]&gt;$AA33)
)),0)
)),
IF(AX$4 &lt; AX$5,
IF($AA33-$Z$4&lt;AX$4,0,
IF($AA33&gt;AX$5,0,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AX$5,$AA33 &lt; AX$4),0,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Y33" s="18" cm="1">
        <f t="array" ref="AY33" xml:space="preserve">
IFERROR(
IF(AY$1="",0,
IF(AND(
$AA33&gt;=VLOOKUP(AY$6, Table_ChiPhiNV_Ca[], COUNTA(Table_ChiPhiNV_Ca[[#Headers],[Ca]:[Bắt đầu nghỉ]]),0),
$AA33&lt;VLOOKUP(AY$6, Table_ChiPhiNV_Ca[], COUNTA(Table_ChiPhiNV_Ca[[#Headers],[Ca]:[Kết thúc nghỉ]]),0)
),0,
IF(NOT(ISBLANK(AY$3)),
IF(ISBLANK(AY$7),0,
IF(AY$4 &lt; AY$5,
IF($AA33-$Z$4&lt;AY$4,0,
IF($AA33&gt;AY$5,0,
SUM(_xlfn._xlws.FILTER(Table_BangLuong_TyLeTangCa[Tỷ lệ],
(Table_BangLuong_TyLeTangCa[Ngày] = AY$3) *
(Table_BangLuong_TyLeTangCa[Giờ min]&lt;=$AA33) *
(Table_BangLuong_TyLeTangCa[Giờ max]&gt;$AA33)
)))),
IF(AND($AA33-$Z$4 &gt;= AY$5,$AA33 &lt; AY$4),0,
SUM(_xlfn._xlws.FILTER(Table_BangLuong_TyLeTangCa[Tỷ lệ],
(Table_BangLuong_TyLeTangCa[Ngày] = AY$3) *
(Table_BangLuong_TyLeTangCa[Giờ min]&lt;=$AA33) *
(Table_BangLuong_TyLeTangCa[Giờ max]&gt;$AA33)
))))
),
IF(ISBLANK(AY$7),
IF(VLOOKUP(AY$6, Table_ChiPhiNV_Ca[], COUNTA(Table_ChiPhiNV_Ca[[#Headers],[Ca]:[Kết thúc]]),0)&gt; VLOOKUP(AY$6, Table_ChiPhiNV_Ca[], COUNTA(Table_ChiPhiNV_Ca[[#Headers],[Ca]:[Bắt đầu]]),0),
IF($AA33-$Z$4&lt;MAX(AY$4,VLOOKUP(AY$6, Table_ChiPhiNV_Ca[], COUNTA(Table_ChiPhiNV_Ca[[#Headers],[Ca]:[Bắt đầu]]),0)),0,
IF($AA33&gt;MIN(AY$5,VLOOKUP(AY$6, Table_ChiPhiNV_Ca[], COUNTA(Table_ChiPhiNV_Ca[[#Headers],[Ca]:[Kết thúc]]),0)),0,
SUM(_xlfn._xlws.FILTER(Table_BangLuong_TyLeTangCa[Tỷ lệ],
(Table_BangLuong_TyLeTangCa[Ngày] = "Thường") *
(Table_BangLuong_TyLeTangCa[Giờ min]&lt;=$AA33) *
(Table_BangLuong_TyLeTangCa[Giờ max]&gt;$AA33)
)))),
IF(AY$4 &gt; AY$5,
IF(
AND(
$AA33-$Z$4&lt;MAX(AY$4,VLOOKUP(AY$6, Table_ChiPhiNV_Ca[], COUNTA(Table_ChiPhiNV_Ca[[#Headers],[Ca]:[Bắt đầu]]),0)),
$AA33&gt;MIN(AY$5,VLOOKUP(AY$6, Table_ChiPhiNV_Ca[], COUNTA(Table_ChiPhiNV_Ca[[#Headers],[Ca]:[Kết thúc]]),0))),0,
SUM(_xlfn._xlws.FILTER(Table_BangLuong_TyLeTangCa[Tỷ lệ],
(Table_BangLuong_TyLeTangCa[Ngày] = "Thường") *
(Table_BangLuong_TyLeTangCa[Giờ min]&lt;=$AA33) *
(Table_BangLuong_TyLeTangCa[Giờ max]&gt;$AA33)
))),
IF(
AND(
$AA33-$Z$4&gt;=MAX(AY$4,VLOOKUP(AY$6, Table_ChiPhiNV_Ca[], COUNTA(Table_ChiPhiNV_Ca[[#Headers],[Ca]:[Bắt đầu]]),0)),
$AA33&lt;MIN(AY$5,VLOOKUP(AY$6, Table_ChiPhiNV_Ca[], COUNTA(Table_ChiPhiNV_Ca[[#Headers],[Ca]:[Kết thúc]]),0))),
SUM(_xlfn._xlws.FILTER(Table_BangLuong_TyLeTangCa[Tỷ lệ],
(Table_BangLuong_TyLeTangCa[Ngày] = "Thường") *
(Table_BangLuong_TyLeTangCa[Giờ min]&lt;=$AA33) *
(Table_BangLuong_TyLeTangCa[Giờ max]&gt;$AA33)
)),0)
)),
IF(AY$4 &lt; AY$5,
IF($AA33-$Z$4&lt;AY$4,0,
IF($AA33&gt;AY$5,0,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AY$5,$AA33 &lt; AY$4),0,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Z33" s="18" cm="1">
        <f t="array" ref="AZ33" xml:space="preserve">
IFERROR(
IF(AZ$1="",0,
IF(AND(
$AA33&gt;=VLOOKUP(AZ$6, Table_ChiPhiNV_Ca[], COUNTA(Table_ChiPhiNV_Ca[[#Headers],[Ca]:[Bắt đầu nghỉ]]),0),
$AA33&lt;VLOOKUP(AZ$6, Table_ChiPhiNV_Ca[], COUNTA(Table_ChiPhiNV_Ca[[#Headers],[Ca]:[Kết thúc nghỉ]]),0)
),0,
IF(NOT(ISBLANK(AZ$3)),
IF(ISBLANK(AZ$7),0,
IF(AZ$4 &lt; AZ$5,
IF($AA33-$Z$4&lt;AZ$4,0,
IF($AA33&gt;AZ$5,0,
SUM(_xlfn._xlws.FILTER(Table_BangLuong_TyLeTangCa[Tỷ lệ],
(Table_BangLuong_TyLeTangCa[Ngày] = AZ$3) *
(Table_BangLuong_TyLeTangCa[Giờ min]&lt;=$AA33) *
(Table_BangLuong_TyLeTangCa[Giờ max]&gt;$AA33)
)))),
IF(AND($AA33-$Z$4 &gt;= AZ$5,$AA33 &lt; AZ$4),0,
SUM(_xlfn._xlws.FILTER(Table_BangLuong_TyLeTangCa[Tỷ lệ],
(Table_BangLuong_TyLeTangCa[Ngày] = AZ$3) *
(Table_BangLuong_TyLeTangCa[Giờ min]&lt;=$AA33) *
(Table_BangLuong_TyLeTangCa[Giờ max]&gt;$AA33)
))))
),
IF(ISBLANK(AZ$7),
IF(VLOOKUP(AZ$6, Table_ChiPhiNV_Ca[], COUNTA(Table_ChiPhiNV_Ca[[#Headers],[Ca]:[Kết thúc]]),0)&gt; VLOOKUP(AZ$6, Table_ChiPhiNV_Ca[], COUNTA(Table_ChiPhiNV_Ca[[#Headers],[Ca]:[Bắt đầu]]),0),
IF($AA33-$Z$4&lt;MAX(AZ$4,VLOOKUP(AZ$6, Table_ChiPhiNV_Ca[], COUNTA(Table_ChiPhiNV_Ca[[#Headers],[Ca]:[Bắt đầu]]),0)),0,
IF($AA33&gt;MIN(AZ$5,VLOOKUP(AZ$6, Table_ChiPhiNV_Ca[], COUNTA(Table_ChiPhiNV_Ca[[#Headers],[Ca]:[Kết thúc]]),0)),0,
SUM(_xlfn._xlws.FILTER(Table_BangLuong_TyLeTangCa[Tỷ lệ],
(Table_BangLuong_TyLeTangCa[Ngày] = "Thường") *
(Table_BangLuong_TyLeTangCa[Giờ min]&lt;=$AA33) *
(Table_BangLuong_TyLeTangCa[Giờ max]&gt;$AA33)
)))),
IF(AZ$4 &gt; AZ$5,
IF(
AND(
$AA33-$Z$4&lt;MAX(AZ$4,VLOOKUP(AZ$6, Table_ChiPhiNV_Ca[], COUNTA(Table_ChiPhiNV_Ca[[#Headers],[Ca]:[Bắt đầu]]),0)),
$AA33&gt;MIN(AZ$5,VLOOKUP(AZ$6, Table_ChiPhiNV_Ca[], COUNTA(Table_ChiPhiNV_Ca[[#Headers],[Ca]:[Kết thúc]]),0))),0,
SUM(_xlfn._xlws.FILTER(Table_BangLuong_TyLeTangCa[Tỷ lệ],
(Table_BangLuong_TyLeTangCa[Ngày] = "Thường") *
(Table_BangLuong_TyLeTangCa[Giờ min]&lt;=$AA33) *
(Table_BangLuong_TyLeTangCa[Giờ max]&gt;$AA33)
))),
IF(
AND(
$AA33-$Z$4&gt;=MAX(AZ$4,VLOOKUP(AZ$6, Table_ChiPhiNV_Ca[], COUNTA(Table_ChiPhiNV_Ca[[#Headers],[Ca]:[Bắt đầu]]),0)),
$AA33&lt;MIN(AZ$5,VLOOKUP(AZ$6, Table_ChiPhiNV_Ca[], COUNTA(Table_ChiPhiNV_Ca[[#Headers],[Ca]:[Kết thúc]]),0))),
SUM(_xlfn._xlws.FILTER(Table_BangLuong_TyLeTangCa[Tỷ lệ],
(Table_BangLuong_TyLeTangCa[Ngày] = "Thường") *
(Table_BangLuong_TyLeTangCa[Giờ min]&lt;=$AA33) *
(Table_BangLuong_TyLeTangCa[Giờ max]&gt;$AA33)
)),0)
)),
IF(AZ$4 &lt; AZ$5,
IF($AA33-$Z$4&lt;AZ$4,0,
IF($AA33&gt;AZ$5,0,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AZ$5,$AA33 &lt; AZ$4),0,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A33" s="18" cm="1">
        <f t="array" ref="BA33" xml:space="preserve">
IFERROR(
IF(BA$1="",0,
IF(AND(
$AA33&gt;=VLOOKUP(BA$6, Table_ChiPhiNV_Ca[], COUNTA(Table_ChiPhiNV_Ca[[#Headers],[Ca]:[Bắt đầu nghỉ]]),0),
$AA33&lt;VLOOKUP(BA$6, Table_ChiPhiNV_Ca[], COUNTA(Table_ChiPhiNV_Ca[[#Headers],[Ca]:[Kết thúc nghỉ]]),0)
),0,
IF(NOT(ISBLANK(BA$3)),
IF(ISBLANK(BA$7),0,
IF(BA$4 &lt; BA$5,
IF($AA33-$Z$4&lt;BA$4,0,
IF($AA33&gt;BA$5,0,
SUM(_xlfn._xlws.FILTER(Table_BangLuong_TyLeTangCa[Tỷ lệ],
(Table_BangLuong_TyLeTangCa[Ngày] = BA$3) *
(Table_BangLuong_TyLeTangCa[Giờ min]&lt;=$AA33) *
(Table_BangLuong_TyLeTangCa[Giờ max]&gt;$AA33)
)))),
IF(AND($AA33-$Z$4 &gt;= BA$5,$AA33 &lt; BA$4),0,
SUM(_xlfn._xlws.FILTER(Table_BangLuong_TyLeTangCa[Tỷ lệ],
(Table_BangLuong_TyLeTangCa[Ngày] = BA$3) *
(Table_BangLuong_TyLeTangCa[Giờ min]&lt;=$AA33) *
(Table_BangLuong_TyLeTangCa[Giờ max]&gt;$AA33)
))))
),
IF(ISBLANK(BA$7),
IF(VLOOKUP(BA$6, Table_ChiPhiNV_Ca[], COUNTA(Table_ChiPhiNV_Ca[[#Headers],[Ca]:[Kết thúc]]),0)&gt; VLOOKUP(BA$6, Table_ChiPhiNV_Ca[], COUNTA(Table_ChiPhiNV_Ca[[#Headers],[Ca]:[Bắt đầu]]),0),
IF($AA33-$Z$4&lt;MAX(BA$4,VLOOKUP(BA$6, Table_ChiPhiNV_Ca[], COUNTA(Table_ChiPhiNV_Ca[[#Headers],[Ca]:[Bắt đầu]]),0)),0,
IF($AA33&gt;MIN(BA$5,VLOOKUP(BA$6, Table_ChiPhiNV_Ca[], COUNTA(Table_ChiPhiNV_Ca[[#Headers],[Ca]:[Kết thúc]]),0)),0,
SUM(_xlfn._xlws.FILTER(Table_BangLuong_TyLeTangCa[Tỷ lệ],
(Table_BangLuong_TyLeTangCa[Ngày] = "Thường") *
(Table_BangLuong_TyLeTangCa[Giờ min]&lt;=$AA33) *
(Table_BangLuong_TyLeTangCa[Giờ max]&gt;$AA33)
)))),
IF(BA$4 &gt; BA$5,
IF(
AND(
$AA33-$Z$4&lt;MAX(BA$4,VLOOKUP(BA$6, Table_ChiPhiNV_Ca[], COUNTA(Table_ChiPhiNV_Ca[[#Headers],[Ca]:[Bắt đầu]]),0)),
$AA33&gt;MIN(BA$5,VLOOKUP(BA$6, Table_ChiPhiNV_Ca[], COUNTA(Table_ChiPhiNV_Ca[[#Headers],[Ca]:[Kết thúc]]),0))),0,
SUM(_xlfn._xlws.FILTER(Table_BangLuong_TyLeTangCa[Tỷ lệ],
(Table_BangLuong_TyLeTangCa[Ngày] = "Thường") *
(Table_BangLuong_TyLeTangCa[Giờ min]&lt;=$AA33) *
(Table_BangLuong_TyLeTangCa[Giờ max]&gt;$AA33)
))),
IF(
AND(
$AA33-$Z$4&gt;=MAX(BA$4,VLOOKUP(BA$6, Table_ChiPhiNV_Ca[], COUNTA(Table_ChiPhiNV_Ca[[#Headers],[Ca]:[Bắt đầu]]),0)),
$AA33&lt;MIN(BA$5,VLOOKUP(BA$6, Table_ChiPhiNV_Ca[], COUNTA(Table_ChiPhiNV_Ca[[#Headers],[Ca]:[Kết thúc]]),0))),
SUM(_xlfn._xlws.FILTER(Table_BangLuong_TyLeTangCa[Tỷ lệ],
(Table_BangLuong_TyLeTangCa[Ngày] = "Thường") *
(Table_BangLuong_TyLeTangCa[Giờ min]&lt;=$AA33) *
(Table_BangLuong_TyLeTangCa[Giờ max]&gt;$AA33)
)),0)
)),
IF(BA$4 &lt; BA$5,
IF($AA33-$Z$4&lt;BA$4,0,
IF($AA33&gt;BA$5,0,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BA$5,$AA33 &lt; BA$4),0,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B33" s="18" cm="1">
        <f t="array" ref="BB33" xml:space="preserve">
IFERROR(
IF(BB$1="",0,
IF(AND(
$AA33&gt;=VLOOKUP(BB$6, Table_ChiPhiNV_Ca[], COUNTA(Table_ChiPhiNV_Ca[[#Headers],[Ca]:[Bắt đầu nghỉ]]),0),
$AA33&lt;VLOOKUP(BB$6, Table_ChiPhiNV_Ca[], COUNTA(Table_ChiPhiNV_Ca[[#Headers],[Ca]:[Kết thúc nghỉ]]),0)
),0,
IF(NOT(ISBLANK(BB$3)),
IF(ISBLANK(BB$7),0,
IF(BB$4 &lt; BB$5,
IF($AA33-$Z$4&lt;BB$4,0,
IF($AA33&gt;BB$5,0,
SUM(_xlfn._xlws.FILTER(Table_BangLuong_TyLeTangCa[Tỷ lệ],
(Table_BangLuong_TyLeTangCa[Ngày] = BB$3) *
(Table_BangLuong_TyLeTangCa[Giờ min]&lt;=$AA33) *
(Table_BangLuong_TyLeTangCa[Giờ max]&gt;$AA33)
)))),
IF(AND($AA33-$Z$4 &gt;= BB$5,$AA33 &lt; BB$4),0,
SUM(_xlfn._xlws.FILTER(Table_BangLuong_TyLeTangCa[Tỷ lệ],
(Table_BangLuong_TyLeTangCa[Ngày] = BB$3) *
(Table_BangLuong_TyLeTangCa[Giờ min]&lt;=$AA33) *
(Table_BangLuong_TyLeTangCa[Giờ max]&gt;$AA33)
))))
),
IF(ISBLANK(BB$7),
IF(VLOOKUP(BB$6, Table_ChiPhiNV_Ca[], COUNTA(Table_ChiPhiNV_Ca[[#Headers],[Ca]:[Kết thúc]]),0)&gt; VLOOKUP(BB$6, Table_ChiPhiNV_Ca[], COUNTA(Table_ChiPhiNV_Ca[[#Headers],[Ca]:[Bắt đầu]]),0),
IF($AA33-$Z$4&lt;MAX(BB$4,VLOOKUP(BB$6, Table_ChiPhiNV_Ca[], COUNTA(Table_ChiPhiNV_Ca[[#Headers],[Ca]:[Bắt đầu]]),0)),0,
IF($AA33&gt;MIN(BB$5,VLOOKUP(BB$6, Table_ChiPhiNV_Ca[], COUNTA(Table_ChiPhiNV_Ca[[#Headers],[Ca]:[Kết thúc]]),0)),0,
SUM(_xlfn._xlws.FILTER(Table_BangLuong_TyLeTangCa[Tỷ lệ],
(Table_BangLuong_TyLeTangCa[Ngày] = "Thường") *
(Table_BangLuong_TyLeTangCa[Giờ min]&lt;=$AA33) *
(Table_BangLuong_TyLeTangCa[Giờ max]&gt;$AA33)
)))),
IF(BB$4 &gt; BB$5,
IF(
AND(
$AA33-$Z$4&lt;MAX(BB$4,VLOOKUP(BB$6, Table_ChiPhiNV_Ca[], COUNTA(Table_ChiPhiNV_Ca[[#Headers],[Ca]:[Bắt đầu]]),0)),
$AA33&gt;MIN(BB$5,VLOOKUP(BB$6, Table_ChiPhiNV_Ca[], COUNTA(Table_ChiPhiNV_Ca[[#Headers],[Ca]:[Kết thúc]]),0))),0,
SUM(_xlfn._xlws.FILTER(Table_BangLuong_TyLeTangCa[Tỷ lệ],
(Table_BangLuong_TyLeTangCa[Ngày] = "Thường") *
(Table_BangLuong_TyLeTangCa[Giờ min]&lt;=$AA33) *
(Table_BangLuong_TyLeTangCa[Giờ max]&gt;$AA33)
))),
IF(
AND(
$AA33-$Z$4&gt;=MAX(BB$4,VLOOKUP(BB$6, Table_ChiPhiNV_Ca[], COUNTA(Table_ChiPhiNV_Ca[[#Headers],[Ca]:[Bắt đầu]]),0)),
$AA33&lt;MIN(BB$5,VLOOKUP(BB$6, Table_ChiPhiNV_Ca[], COUNTA(Table_ChiPhiNV_Ca[[#Headers],[Ca]:[Kết thúc]]),0))),
SUM(_xlfn._xlws.FILTER(Table_BangLuong_TyLeTangCa[Tỷ lệ],
(Table_BangLuong_TyLeTangCa[Ngày] = "Thường") *
(Table_BangLuong_TyLeTangCa[Giờ min]&lt;=$AA33) *
(Table_BangLuong_TyLeTangCa[Giờ max]&gt;$AA33)
)),0)
)),
IF(BB$4 &lt; BB$5,
IF($AA33-$Z$4&lt;BB$4,0,
IF($AA33&gt;BB$5,0,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BB$5,$AA33 &lt; BB$4),0,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C33" s="18" cm="1">
        <f t="array" ref="BC33" xml:space="preserve">
IFERROR(
IF(BC$1="",0,
IF(AND(
$AA33&gt;=VLOOKUP(BC$6, Table_ChiPhiNV_Ca[], COUNTA(Table_ChiPhiNV_Ca[[#Headers],[Ca]:[Bắt đầu nghỉ]]),0),
$AA33&lt;VLOOKUP(BC$6, Table_ChiPhiNV_Ca[], COUNTA(Table_ChiPhiNV_Ca[[#Headers],[Ca]:[Kết thúc nghỉ]]),0)
),0,
IF(NOT(ISBLANK(BC$3)),
IF(ISBLANK(BC$7),0,
IF(BC$4 &lt; BC$5,
IF($AA33-$Z$4&lt;BC$4,0,
IF($AA33&gt;BC$5,0,
SUM(_xlfn._xlws.FILTER(Table_BangLuong_TyLeTangCa[Tỷ lệ],
(Table_BangLuong_TyLeTangCa[Ngày] = BC$3) *
(Table_BangLuong_TyLeTangCa[Giờ min]&lt;=$AA33) *
(Table_BangLuong_TyLeTangCa[Giờ max]&gt;$AA33)
)))),
IF(AND($AA33-$Z$4 &gt;= BC$5,$AA33 &lt; BC$4),0,
SUM(_xlfn._xlws.FILTER(Table_BangLuong_TyLeTangCa[Tỷ lệ],
(Table_BangLuong_TyLeTangCa[Ngày] = BC$3) *
(Table_BangLuong_TyLeTangCa[Giờ min]&lt;=$AA33) *
(Table_BangLuong_TyLeTangCa[Giờ max]&gt;$AA33)
))))
),
IF(ISBLANK(BC$7),
IF(VLOOKUP(BC$6, Table_ChiPhiNV_Ca[], COUNTA(Table_ChiPhiNV_Ca[[#Headers],[Ca]:[Kết thúc]]),0)&gt; VLOOKUP(BC$6, Table_ChiPhiNV_Ca[], COUNTA(Table_ChiPhiNV_Ca[[#Headers],[Ca]:[Bắt đầu]]),0),
IF($AA33-$Z$4&lt;MAX(BC$4,VLOOKUP(BC$6, Table_ChiPhiNV_Ca[], COUNTA(Table_ChiPhiNV_Ca[[#Headers],[Ca]:[Bắt đầu]]),0)),0,
IF($AA33&gt;MIN(BC$5,VLOOKUP(BC$6, Table_ChiPhiNV_Ca[], COUNTA(Table_ChiPhiNV_Ca[[#Headers],[Ca]:[Kết thúc]]),0)),0,
SUM(_xlfn._xlws.FILTER(Table_BangLuong_TyLeTangCa[Tỷ lệ],
(Table_BangLuong_TyLeTangCa[Ngày] = "Thường") *
(Table_BangLuong_TyLeTangCa[Giờ min]&lt;=$AA33) *
(Table_BangLuong_TyLeTangCa[Giờ max]&gt;$AA33)
)))),
IF(BC$4 &gt; BC$5,
IF(
AND(
$AA33-$Z$4&lt;MAX(BC$4,VLOOKUP(BC$6, Table_ChiPhiNV_Ca[], COUNTA(Table_ChiPhiNV_Ca[[#Headers],[Ca]:[Bắt đầu]]),0)),
$AA33&gt;MIN(BC$5,VLOOKUP(BC$6, Table_ChiPhiNV_Ca[], COUNTA(Table_ChiPhiNV_Ca[[#Headers],[Ca]:[Kết thúc]]),0))),0,
SUM(_xlfn._xlws.FILTER(Table_BangLuong_TyLeTangCa[Tỷ lệ],
(Table_BangLuong_TyLeTangCa[Ngày] = "Thường") *
(Table_BangLuong_TyLeTangCa[Giờ min]&lt;=$AA33) *
(Table_BangLuong_TyLeTangCa[Giờ max]&gt;$AA33)
))),
IF(
AND(
$AA33-$Z$4&gt;=MAX(BC$4,VLOOKUP(BC$6, Table_ChiPhiNV_Ca[], COUNTA(Table_ChiPhiNV_Ca[[#Headers],[Ca]:[Bắt đầu]]),0)),
$AA33&lt;MIN(BC$5,VLOOKUP(BC$6, Table_ChiPhiNV_Ca[], COUNTA(Table_ChiPhiNV_Ca[[#Headers],[Ca]:[Kết thúc]]),0))),
SUM(_xlfn._xlws.FILTER(Table_BangLuong_TyLeTangCa[Tỷ lệ],
(Table_BangLuong_TyLeTangCa[Ngày] = "Thường") *
(Table_BangLuong_TyLeTangCa[Giờ min]&lt;=$AA33) *
(Table_BangLuong_TyLeTangCa[Giờ max]&gt;$AA33)
)),0)
)),
IF(BC$4 &lt; BC$5,
IF($AA33-$Z$4&lt;BC$4,0,
IF($AA33&gt;BC$5,0,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BC$5,$AA33 &lt; BC$4),0,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D33" s="18" cm="1">
        <f t="array" ref="BD33" xml:space="preserve">
IFERROR(
IF(BD$1="",0,
IF(AND(
$AA33&gt;=VLOOKUP(BD$6, Table_ChiPhiNV_Ca[], COUNTA(Table_ChiPhiNV_Ca[[#Headers],[Ca]:[Bắt đầu nghỉ]]),0),
$AA33&lt;VLOOKUP(BD$6, Table_ChiPhiNV_Ca[], COUNTA(Table_ChiPhiNV_Ca[[#Headers],[Ca]:[Kết thúc nghỉ]]),0)
),0,
IF(NOT(ISBLANK(BD$3)),
IF(ISBLANK(BD$7),0,
IF(BD$4 &lt; BD$5,
IF($AA33-$Z$4&lt;BD$4,0,
IF($AA33&gt;BD$5,0,
SUM(_xlfn._xlws.FILTER(Table_BangLuong_TyLeTangCa[Tỷ lệ],
(Table_BangLuong_TyLeTangCa[Ngày] = BD$3) *
(Table_BangLuong_TyLeTangCa[Giờ min]&lt;=$AA33) *
(Table_BangLuong_TyLeTangCa[Giờ max]&gt;$AA33)
)))),
IF(AND($AA33-$Z$4 &gt;= BD$5,$AA33 &lt; BD$4),0,
SUM(_xlfn._xlws.FILTER(Table_BangLuong_TyLeTangCa[Tỷ lệ],
(Table_BangLuong_TyLeTangCa[Ngày] = BD$3) *
(Table_BangLuong_TyLeTangCa[Giờ min]&lt;=$AA33) *
(Table_BangLuong_TyLeTangCa[Giờ max]&gt;$AA33)
))))
),
IF(ISBLANK(BD$7),
IF(VLOOKUP(BD$6, Table_ChiPhiNV_Ca[], COUNTA(Table_ChiPhiNV_Ca[[#Headers],[Ca]:[Kết thúc]]),0)&gt; VLOOKUP(BD$6, Table_ChiPhiNV_Ca[], COUNTA(Table_ChiPhiNV_Ca[[#Headers],[Ca]:[Bắt đầu]]),0),
IF($AA33-$Z$4&lt;MAX(BD$4,VLOOKUP(BD$6, Table_ChiPhiNV_Ca[], COUNTA(Table_ChiPhiNV_Ca[[#Headers],[Ca]:[Bắt đầu]]),0)),0,
IF($AA33&gt;MIN(BD$5,VLOOKUP(BD$6, Table_ChiPhiNV_Ca[], COUNTA(Table_ChiPhiNV_Ca[[#Headers],[Ca]:[Kết thúc]]),0)),0,
SUM(_xlfn._xlws.FILTER(Table_BangLuong_TyLeTangCa[Tỷ lệ],
(Table_BangLuong_TyLeTangCa[Ngày] = "Thường") *
(Table_BangLuong_TyLeTangCa[Giờ min]&lt;=$AA33) *
(Table_BangLuong_TyLeTangCa[Giờ max]&gt;$AA33)
)))),
IF(BD$4 &gt; BD$5,
IF(
AND(
$AA33-$Z$4&lt;MAX(BD$4,VLOOKUP(BD$6, Table_ChiPhiNV_Ca[], COUNTA(Table_ChiPhiNV_Ca[[#Headers],[Ca]:[Bắt đầu]]),0)),
$AA33&gt;MIN(BD$5,VLOOKUP(BD$6, Table_ChiPhiNV_Ca[], COUNTA(Table_ChiPhiNV_Ca[[#Headers],[Ca]:[Kết thúc]]),0))),0,
SUM(_xlfn._xlws.FILTER(Table_BangLuong_TyLeTangCa[Tỷ lệ],
(Table_BangLuong_TyLeTangCa[Ngày] = "Thường") *
(Table_BangLuong_TyLeTangCa[Giờ min]&lt;=$AA33) *
(Table_BangLuong_TyLeTangCa[Giờ max]&gt;$AA33)
))),
IF(
AND(
$AA33-$Z$4&gt;=MAX(BD$4,VLOOKUP(BD$6, Table_ChiPhiNV_Ca[], COUNTA(Table_ChiPhiNV_Ca[[#Headers],[Ca]:[Bắt đầu]]),0)),
$AA33&lt;MIN(BD$5,VLOOKUP(BD$6, Table_ChiPhiNV_Ca[], COUNTA(Table_ChiPhiNV_Ca[[#Headers],[Ca]:[Kết thúc]]),0))),
SUM(_xlfn._xlws.FILTER(Table_BangLuong_TyLeTangCa[Tỷ lệ],
(Table_BangLuong_TyLeTangCa[Ngày] = "Thường") *
(Table_BangLuong_TyLeTangCa[Giờ min]&lt;=$AA33) *
(Table_BangLuong_TyLeTangCa[Giờ max]&gt;$AA33)
)),0)
)),
IF(BD$4 &lt; BD$5,
IF($AA33-$Z$4&lt;BD$4,0,
IF($AA33&gt;BD$5,0,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BD$5,$AA33 &lt; BD$4),0,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E33" s="18" cm="1">
        <f t="array" ref="BE33" xml:space="preserve">
IFERROR(
IF(BE$1="",0,
IF(AND(
$AA33&gt;=VLOOKUP(BE$6, Table_ChiPhiNV_Ca[], COUNTA(Table_ChiPhiNV_Ca[[#Headers],[Ca]:[Bắt đầu nghỉ]]),0),
$AA33&lt;VLOOKUP(BE$6, Table_ChiPhiNV_Ca[], COUNTA(Table_ChiPhiNV_Ca[[#Headers],[Ca]:[Kết thúc nghỉ]]),0)
),0,
IF(NOT(ISBLANK(BE$3)),
IF(ISBLANK(BE$7),0,
IF(BE$4 &lt; BE$5,
IF($AA33-$Z$4&lt;BE$4,0,
IF($AA33&gt;BE$5,0,
SUM(_xlfn._xlws.FILTER(Table_BangLuong_TyLeTangCa[Tỷ lệ],
(Table_BangLuong_TyLeTangCa[Ngày] = BE$3) *
(Table_BangLuong_TyLeTangCa[Giờ min]&lt;=$AA33) *
(Table_BangLuong_TyLeTangCa[Giờ max]&gt;$AA33)
)))),
IF(AND($AA33-$Z$4 &gt;= BE$5,$AA33 &lt; BE$4),0,
SUM(_xlfn._xlws.FILTER(Table_BangLuong_TyLeTangCa[Tỷ lệ],
(Table_BangLuong_TyLeTangCa[Ngày] = BE$3) *
(Table_BangLuong_TyLeTangCa[Giờ min]&lt;=$AA33) *
(Table_BangLuong_TyLeTangCa[Giờ max]&gt;$AA33)
))))
),
IF(ISBLANK(BE$7),
IF(VLOOKUP(BE$6, Table_ChiPhiNV_Ca[], COUNTA(Table_ChiPhiNV_Ca[[#Headers],[Ca]:[Kết thúc]]),0)&gt; VLOOKUP(BE$6, Table_ChiPhiNV_Ca[], COUNTA(Table_ChiPhiNV_Ca[[#Headers],[Ca]:[Bắt đầu]]),0),
IF($AA33-$Z$4&lt;MAX(BE$4,VLOOKUP(BE$6, Table_ChiPhiNV_Ca[], COUNTA(Table_ChiPhiNV_Ca[[#Headers],[Ca]:[Bắt đầu]]),0)),0,
IF($AA33&gt;MIN(BE$5,VLOOKUP(BE$6, Table_ChiPhiNV_Ca[], COUNTA(Table_ChiPhiNV_Ca[[#Headers],[Ca]:[Kết thúc]]),0)),0,
SUM(_xlfn._xlws.FILTER(Table_BangLuong_TyLeTangCa[Tỷ lệ],
(Table_BangLuong_TyLeTangCa[Ngày] = "Thường") *
(Table_BangLuong_TyLeTangCa[Giờ min]&lt;=$AA33) *
(Table_BangLuong_TyLeTangCa[Giờ max]&gt;$AA33)
)))),
IF(BE$4 &gt; BE$5,
IF(
AND(
$AA33-$Z$4&lt;MAX(BE$4,VLOOKUP(BE$6, Table_ChiPhiNV_Ca[], COUNTA(Table_ChiPhiNV_Ca[[#Headers],[Ca]:[Bắt đầu]]),0)),
$AA33&gt;MIN(BE$5,VLOOKUP(BE$6, Table_ChiPhiNV_Ca[], COUNTA(Table_ChiPhiNV_Ca[[#Headers],[Ca]:[Kết thúc]]),0))),0,
SUM(_xlfn._xlws.FILTER(Table_BangLuong_TyLeTangCa[Tỷ lệ],
(Table_BangLuong_TyLeTangCa[Ngày] = "Thường") *
(Table_BangLuong_TyLeTangCa[Giờ min]&lt;=$AA33) *
(Table_BangLuong_TyLeTangCa[Giờ max]&gt;$AA33)
))),
IF(
AND(
$AA33-$Z$4&gt;=MAX(BE$4,VLOOKUP(BE$6, Table_ChiPhiNV_Ca[], COUNTA(Table_ChiPhiNV_Ca[[#Headers],[Ca]:[Bắt đầu]]),0)),
$AA33&lt;MIN(BE$5,VLOOKUP(BE$6, Table_ChiPhiNV_Ca[], COUNTA(Table_ChiPhiNV_Ca[[#Headers],[Ca]:[Kết thúc]]),0))),
SUM(_xlfn._xlws.FILTER(Table_BangLuong_TyLeTangCa[Tỷ lệ],
(Table_BangLuong_TyLeTangCa[Ngày] = "Thường") *
(Table_BangLuong_TyLeTangCa[Giờ min]&lt;=$AA33) *
(Table_BangLuong_TyLeTangCa[Giờ max]&gt;$AA33)
)),0)
)),
IF(BE$4 &lt; BE$5,
IF($AA33-$Z$4&lt;BE$4,0,
IF($AA33&gt;BE$5,0,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BE$5,$AA33 &lt; BE$4),0,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F33" s="18" cm="1">
        <f t="array" ref="BF33" xml:space="preserve">
IFERROR(
IF(BF$1="",0,
IF(AND(
$AA33&gt;=VLOOKUP(BF$6, Table_ChiPhiNV_Ca[], COUNTA(Table_ChiPhiNV_Ca[[#Headers],[Ca]:[Bắt đầu nghỉ]]),0),
$AA33&lt;VLOOKUP(BF$6, Table_ChiPhiNV_Ca[], COUNTA(Table_ChiPhiNV_Ca[[#Headers],[Ca]:[Kết thúc nghỉ]]),0)
),0,
IF(NOT(ISBLANK(BF$3)),
IF(ISBLANK(BF$7),0,
IF(BF$4 &lt; BF$5,
IF($AA33-$Z$4&lt;BF$4,0,
IF($AA33&gt;BF$5,0,
SUM(_xlfn._xlws.FILTER(Table_BangLuong_TyLeTangCa[Tỷ lệ],
(Table_BangLuong_TyLeTangCa[Ngày] = BF$3) *
(Table_BangLuong_TyLeTangCa[Giờ min]&lt;=$AA33) *
(Table_BangLuong_TyLeTangCa[Giờ max]&gt;$AA33)
)))),
IF(AND($AA33-$Z$4 &gt;= BF$5,$AA33 &lt; BF$4),0,
SUM(_xlfn._xlws.FILTER(Table_BangLuong_TyLeTangCa[Tỷ lệ],
(Table_BangLuong_TyLeTangCa[Ngày] = BF$3) *
(Table_BangLuong_TyLeTangCa[Giờ min]&lt;=$AA33) *
(Table_BangLuong_TyLeTangCa[Giờ max]&gt;$AA33)
))))
),
IF(ISBLANK(BF$7),
IF(VLOOKUP(BF$6, Table_ChiPhiNV_Ca[], COUNTA(Table_ChiPhiNV_Ca[[#Headers],[Ca]:[Kết thúc]]),0)&gt; VLOOKUP(BF$6, Table_ChiPhiNV_Ca[], COUNTA(Table_ChiPhiNV_Ca[[#Headers],[Ca]:[Bắt đầu]]),0),
IF($AA33-$Z$4&lt;MAX(BF$4,VLOOKUP(BF$6, Table_ChiPhiNV_Ca[], COUNTA(Table_ChiPhiNV_Ca[[#Headers],[Ca]:[Bắt đầu]]),0)),0,
IF($AA33&gt;MIN(BF$5,VLOOKUP(BF$6, Table_ChiPhiNV_Ca[], COUNTA(Table_ChiPhiNV_Ca[[#Headers],[Ca]:[Kết thúc]]),0)),0,
SUM(_xlfn._xlws.FILTER(Table_BangLuong_TyLeTangCa[Tỷ lệ],
(Table_BangLuong_TyLeTangCa[Ngày] = "Thường") *
(Table_BangLuong_TyLeTangCa[Giờ min]&lt;=$AA33) *
(Table_BangLuong_TyLeTangCa[Giờ max]&gt;$AA33)
)))),
IF(BF$4 &gt; BF$5,
IF(
AND(
$AA33-$Z$4&lt;MAX(BF$4,VLOOKUP(BF$6, Table_ChiPhiNV_Ca[], COUNTA(Table_ChiPhiNV_Ca[[#Headers],[Ca]:[Bắt đầu]]),0)),
$AA33&gt;MIN(BF$5,VLOOKUP(BF$6, Table_ChiPhiNV_Ca[], COUNTA(Table_ChiPhiNV_Ca[[#Headers],[Ca]:[Kết thúc]]),0))),0,
SUM(_xlfn._xlws.FILTER(Table_BangLuong_TyLeTangCa[Tỷ lệ],
(Table_BangLuong_TyLeTangCa[Ngày] = "Thường") *
(Table_BangLuong_TyLeTangCa[Giờ min]&lt;=$AA33) *
(Table_BangLuong_TyLeTangCa[Giờ max]&gt;$AA33)
))),
IF(
AND(
$AA33-$Z$4&gt;=MAX(BF$4,VLOOKUP(BF$6, Table_ChiPhiNV_Ca[], COUNTA(Table_ChiPhiNV_Ca[[#Headers],[Ca]:[Bắt đầu]]),0)),
$AA33&lt;MIN(BF$5,VLOOKUP(BF$6, Table_ChiPhiNV_Ca[], COUNTA(Table_ChiPhiNV_Ca[[#Headers],[Ca]:[Kết thúc]]),0))),
SUM(_xlfn._xlws.FILTER(Table_BangLuong_TyLeTangCa[Tỷ lệ],
(Table_BangLuong_TyLeTangCa[Ngày] = "Thường") *
(Table_BangLuong_TyLeTangCa[Giờ min]&lt;=$AA33) *
(Table_BangLuong_TyLeTangCa[Giờ max]&gt;$AA33)
)),0)
)),
IF(BF$4 &lt; BF$5,
IF($AA33-$Z$4&lt;BF$4,0,
IF($AA33&gt;BF$5,0,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BF$5,$AA33 &lt; BF$4),0,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row>
    <row r="34" spans="2:58" ht="18" customHeight="1" outlineLevel="1" x14ac:dyDescent="0.3">
      <c r="AA34" s="50">
        <v>0.52083333333333304</v>
      </c>
      <c r="AB34" s="18" cm="1">
        <f t="array" ref="AB34" xml:space="preserve">
IFERROR(
IF(AB$1="",0,
IF(AND(
$AA34&gt;=VLOOKUP(AB$6, Table_ChiPhiNV_Ca[], COUNTA(Table_ChiPhiNV_Ca[[#Headers],[Ca]:[Bắt đầu nghỉ]]),0),
$AA34&lt;VLOOKUP(AB$6, Table_ChiPhiNV_Ca[], COUNTA(Table_ChiPhiNV_Ca[[#Headers],[Ca]:[Kết thúc nghỉ]]),0)
),0,
IF(NOT(ISBLANK(AB$3)),
IF(ISBLANK(AB$7),0,
IF(AB$4 &lt; AB$5,
IF($AA34-$Z$4&lt;AB$4,0,
IF($AA34&gt;AB$5,0,
SUM(_xlfn._xlws.FILTER(Table_BangLuong_TyLeTangCa[Tỷ lệ],
(Table_BangLuong_TyLeTangCa[Ngày] = AB$3) *
(Table_BangLuong_TyLeTangCa[Giờ min]&lt;=$AA34) *
(Table_BangLuong_TyLeTangCa[Giờ max]&gt;$AA34)
)))),
IF(AND($AA34-$Z$4 &gt;= AB$5,$AA34 &lt; AB$4),0,
SUM(_xlfn._xlws.FILTER(Table_BangLuong_TyLeTangCa[Tỷ lệ],
(Table_BangLuong_TyLeTangCa[Ngày] = AB$3) *
(Table_BangLuong_TyLeTangCa[Giờ min]&lt;=$AA34) *
(Table_BangLuong_TyLeTangCa[Giờ max]&gt;$AA34)
))))
),
IF(ISBLANK(AB$7),
IF(VLOOKUP(AB$6, Table_ChiPhiNV_Ca[], COUNTA(Table_ChiPhiNV_Ca[[#Headers],[Ca]:[Kết thúc]]),0)&gt; VLOOKUP(AB$6, Table_ChiPhiNV_Ca[], COUNTA(Table_ChiPhiNV_Ca[[#Headers],[Ca]:[Bắt đầu]]),0),
IF($AA34-$Z$4&lt;MAX(AB$4,VLOOKUP(AB$6, Table_ChiPhiNV_Ca[], COUNTA(Table_ChiPhiNV_Ca[[#Headers],[Ca]:[Bắt đầu]]),0)),0,
IF($AA34&gt;MIN(AB$5,VLOOKUP(AB$6, Table_ChiPhiNV_Ca[], COUNTA(Table_ChiPhiNV_Ca[[#Headers],[Ca]:[Kết thúc]]),0)),0,
SUM(_xlfn._xlws.FILTER(Table_BangLuong_TyLeTangCa[Tỷ lệ],
(Table_BangLuong_TyLeTangCa[Ngày] = "Thường") *
(Table_BangLuong_TyLeTangCa[Giờ min]&lt;=$AA34) *
(Table_BangLuong_TyLeTangCa[Giờ max]&gt;$AA34)
)))),
IF(AB$4 &gt; AB$5,
IF(
AND(
$AA34-$Z$4&lt;MAX(AB$4,VLOOKUP(AB$6, Table_ChiPhiNV_Ca[], COUNTA(Table_ChiPhiNV_Ca[[#Headers],[Ca]:[Bắt đầu]]),0)),
$AA34&gt;MIN(AB$5,VLOOKUP(AB$6, Table_ChiPhiNV_Ca[], COUNTA(Table_ChiPhiNV_Ca[[#Headers],[Ca]:[Kết thúc]]),0))),0,
SUM(_xlfn._xlws.FILTER(Table_BangLuong_TyLeTangCa[Tỷ lệ],
(Table_BangLuong_TyLeTangCa[Ngày] = "Thường") *
(Table_BangLuong_TyLeTangCa[Giờ min]&lt;=$AA34) *
(Table_BangLuong_TyLeTangCa[Giờ max]&gt;$AA34)
))),
IF(
AND(
$AA34-$Z$4&gt;=MAX(AB$4,VLOOKUP(AB$6, Table_ChiPhiNV_Ca[], COUNTA(Table_ChiPhiNV_Ca[[#Headers],[Ca]:[Bắt đầu]]),0)),
$AA34&lt;MIN(AB$5,VLOOKUP(AB$6, Table_ChiPhiNV_Ca[], COUNTA(Table_ChiPhiNV_Ca[[#Headers],[Ca]:[Kết thúc]]),0))),
SUM(_xlfn._xlws.FILTER(Table_BangLuong_TyLeTangCa[Tỷ lệ],
(Table_BangLuong_TyLeTangCa[Ngày] = "Thường") *
(Table_BangLuong_TyLeTangCa[Giờ min]&lt;=$AA34) *
(Table_BangLuong_TyLeTangCa[Giờ max]&gt;$AA34)
)),0)
)),
IF(AB$4 &lt; AB$5,
IF($AA34-$Z$4&lt;AB$4,0,
IF($AA34&gt;AB$5,0,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AB$5,$AA34 &lt; AB$4),0,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C34" s="18" cm="1">
        <f t="array" ref="AC34" xml:space="preserve">
IFERROR(
IF(AC$1="",0,
IF(AND(
$AA34&gt;=VLOOKUP(AC$6, Table_ChiPhiNV_Ca[], COUNTA(Table_ChiPhiNV_Ca[[#Headers],[Ca]:[Bắt đầu nghỉ]]),0),
$AA34&lt;VLOOKUP(AC$6, Table_ChiPhiNV_Ca[], COUNTA(Table_ChiPhiNV_Ca[[#Headers],[Ca]:[Kết thúc nghỉ]]),0)
),0,
IF(NOT(ISBLANK(AC$3)),
IF(ISBLANK(AC$7),0,
IF(AC$4 &lt; AC$5,
IF($AA34-$Z$4&lt;AC$4,0,
IF($AA34&gt;AC$5,0,
SUM(_xlfn._xlws.FILTER(Table_BangLuong_TyLeTangCa[Tỷ lệ],
(Table_BangLuong_TyLeTangCa[Ngày] = AC$3) *
(Table_BangLuong_TyLeTangCa[Giờ min]&lt;=$AA34) *
(Table_BangLuong_TyLeTangCa[Giờ max]&gt;$AA34)
)))),
IF(AND($AA34-$Z$4 &gt;= AC$5,$AA34 &lt; AC$4),0,
SUM(_xlfn._xlws.FILTER(Table_BangLuong_TyLeTangCa[Tỷ lệ],
(Table_BangLuong_TyLeTangCa[Ngày] = AC$3) *
(Table_BangLuong_TyLeTangCa[Giờ min]&lt;=$AA34) *
(Table_BangLuong_TyLeTangCa[Giờ max]&gt;$AA34)
))))
),
IF(ISBLANK(AC$7),
IF(VLOOKUP(AC$6, Table_ChiPhiNV_Ca[], COUNTA(Table_ChiPhiNV_Ca[[#Headers],[Ca]:[Kết thúc]]),0)&gt; VLOOKUP(AC$6, Table_ChiPhiNV_Ca[], COUNTA(Table_ChiPhiNV_Ca[[#Headers],[Ca]:[Bắt đầu]]),0),
IF($AA34-$Z$4&lt;MAX(AC$4,VLOOKUP(AC$6, Table_ChiPhiNV_Ca[], COUNTA(Table_ChiPhiNV_Ca[[#Headers],[Ca]:[Bắt đầu]]),0)),0,
IF($AA34&gt;MIN(AC$5,VLOOKUP(AC$6, Table_ChiPhiNV_Ca[], COUNTA(Table_ChiPhiNV_Ca[[#Headers],[Ca]:[Kết thúc]]),0)),0,
SUM(_xlfn._xlws.FILTER(Table_BangLuong_TyLeTangCa[Tỷ lệ],
(Table_BangLuong_TyLeTangCa[Ngày] = "Thường") *
(Table_BangLuong_TyLeTangCa[Giờ min]&lt;=$AA34) *
(Table_BangLuong_TyLeTangCa[Giờ max]&gt;$AA34)
)))),
IF(AC$4 &gt; AC$5,
IF(
AND(
$AA34-$Z$4&lt;MAX(AC$4,VLOOKUP(AC$6, Table_ChiPhiNV_Ca[], COUNTA(Table_ChiPhiNV_Ca[[#Headers],[Ca]:[Bắt đầu]]),0)),
$AA34&gt;MIN(AC$5,VLOOKUP(AC$6, Table_ChiPhiNV_Ca[], COUNTA(Table_ChiPhiNV_Ca[[#Headers],[Ca]:[Kết thúc]]),0))),0,
SUM(_xlfn._xlws.FILTER(Table_BangLuong_TyLeTangCa[Tỷ lệ],
(Table_BangLuong_TyLeTangCa[Ngày] = "Thường") *
(Table_BangLuong_TyLeTangCa[Giờ min]&lt;=$AA34) *
(Table_BangLuong_TyLeTangCa[Giờ max]&gt;$AA34)
))),
IF(
AND(
$AA34-$Z$4&gt;=MAX(AC$4,VLOOKUP(AC$6, Table_ChiPhiNV_Ca[], COUNTA(Table_ChiPhiNV_Ca[[#Headers],[Ca]:[Bắt đầu]]),0)),
$AA34&lt;MIN(AC$5,VLOOKUP(AC$6, Table_ChiPhiNV_Ca[], COUNTA(Table_ChiPhiNV_Ca[[#Headers],[Ca]:[Kết thúc]]),0))),
SUM(_xlfn._xlws.FILTER(Table_BangLuong_TyLeTangCa[Tỷ lệ],
(Table_BangLuong_TyLeTangCa[Ngày] = "Thường") *
(Table_BangLuong_TyLeTangCa[Giờ min]&lt;=$AA34) *
(Table_BangLuong_TyLeTangCa[Giờ max]&gt;$AA34)
)),0)
)),
IF(AC$4 &lt; AC$5,
IF($AA34-$Z$4&lt;AC$4,0,
IF($AA34&gt;AC$5,0,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AC$5,$AA34 &lt; AC$4),0,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D34" s="18" cm="1">
        <f t="array" ref="AD34" xml:space="preserve">
IFERROR(
IF(AD$1="",0,
IF(AND(
$AA34&gt;=VLOOKUP(AD$6, Table_ChiPhiNV_Ca[], COUNTA(Table_ChiPhiNV_Ca[[#Headers],[Ca]:[Bắt đầu nghỉ]]),0),
$AA34&lt;VLOOKUP(AD$6, Table_ChiPhiNV_Ca[], COUNTA(Table_ChiPhiNV_Ca[[#Headers],[Ca]:[Kết thúc nghỉ]]),0)
),0,
IF(NOT(ISBLANK(AD$3)),
IF(ISBLANK(AD$7),0,
IF(AD$4 &lt; AD$5,
IF($AA34-$Z$4&lt;AD$4,0,
IF($AA34&gt;AD$5,0,
SUM(_xlfn._xlws.FILTER(Table_BangLuong_TyLeTangCa[Tỷ lệ],
(Table_BangLuong_TyLeTangCa[Ngày] = AD$3) *
(Table_BangLuong_TyLeTangCa[Giờ min]&lt;=$AA34) *
(Table_BangLuong_TyLeTangCa[Giờ max]&gt;$AA34)
)))),
IF(AND($AA34-$Z$4 &gt;= AD$5,$AA34 &lt; AD$4),0,
SUM(_xlfn._xlws.FILTER(Table_BangLuong_TyLeTangCa[Tỷ lệ],
(Table_BangLuong_TyLeTangCa[Ngày] = AD$3) *
(Table_BangLuong_TyLeTangCa[Giờ min]&lt;=$AA34) *
(Table_BangLuong_TyLeTangCa[Giờ max]&gt;$AA34)
))))
),
IF(ISBLANK(AD$7),
IF(VLOOKUP(AD$6, Table_ChiPhiNV_Ca[], COUNTA(Table_ChiPhiNV_Ca[[#Headers],[Ca]:[Kết thúc]]),0)&gt; VLOOKUP(AD$6, Table_ChiPhiNV_Ca[], COUNTA(Table_ChiPhiNV_Ca[[#Headers],[Ca]:[Bắt đầu]]),0),
IF($AA34-$Z$4&lt;MAX(AD$4,VLOOKUP(AD$6, Table_ChiPhiNV_Ca[], COUNTA(Table_ChiPhiNV_Ca[[#Headers],[Ca]:[Bắt đầu]]),0)),0,
IF($AA34&gt;MIN(AD$5,VLOOKUP(AD$6, Table_ChiPhiNV_Ca[], COUNTA(Table_ChiPhiNV_Ca[[#Headers],[Ca]:[Kết thúc]]),0)),0,
SUM(_xlfn._xlws.FILTER(Table_BangLuong_TyLeTangCa[Tỷ lệ],
(Table_BangLuong_TyLeTangCa[Ngày] = "Thường") *
(Table_BangLuong_TyLeTangCa[Giờ min]&lt;=$AA34) *
(Table_BangLuong_TyLeTangCa[Giờ max]&gt;$AA34)
)))),
IF(AD$4 &gt; AD$5,
IF(
AND(
$AA34-$Z$4&lt;MAX(AD$4,VLOOKUP(AD$6, Table_ChiPhiNV_Ca[], COUNTA(Table_ChiPhiNV_Ca[[#Headers],[Ca]:[Bắt đầu]]),0)),
$AA34&gt;MIN(AD$5,VLOOKUP(AD$6, Table_ChiPhiNV_Ca[], COUNTA(Table_ChiPhiNV_Ca[[#Headers],[Ca]:[Kết thúc]]),0))),0,
SUM(_xlfn._xlws.FILTER(Table_BangLuong_TyLeTangCa[Tỷ lệ],
(Table_BangLuong_TyLeTangCa[Ngày] = "Thường") *
(Table_BangLuong_TyLeTangCa[Giờ min]&lt;=$AA34) *
(Table_BangLuong_TyLeTangCa[Giờ max]&gt;$AA34)
))),
IF(
AND(
$AA34-$Z$4&gt;=MAX(AD$4,VLOOKUP(AD$6, Table_ChiPhiNV_Ca[], COUNTA(Table_ChiPhiNV_Ca[[#Headers],[Ca]:[Bắt đầu]]),0)),
$AA34&lt;MIN(AD$5,VLOOKUP(AD$6, Table_ChiPhiNV_Ca[], COUNTA(Table_ChiPhiNV_Ca[[#Headers],[Ca]:[Kết thúc]]),0))),
SUM(_xlfn._xlws.FILTER(Table_BangLuong_TyLeTangCa[Tỷ lệ],
(Table_BangLuong_TyLeTangCa[Ngày] = "Thường") *
(Table_BangLuong_TyLeTangCa[Giờ min]&lt;=$AA34) *
(Table_BangLuong_TyLeTangCa[Giờ max]&gt;$AA34)
)),0)
)),
IF(AD$4 &lt; AD$5,
IF($AA34-$Z$4&lt;AD$4,0,
IF($AA34&gt;AD$5,0,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AD$5,$AA34 &lt; AD$4),0,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E34" s="18" cm="1">
        <f t="array" ref="AE34" xml:space="preserve">
IFERROR(
IF(AE$1="",0,
IF(AND(
$AA34&gt;=VLOOKUP(AE$6, Table_ChiPhiNV_Ca[], COUNTA(Table_ChiPhiNV_Ca[[#Headers],[Ca]:[Bắt đầu nghỉ]]),0),
$AA34&lt;VLOOKUP(AE$6, Table_ChiPhiNV_Ca[], COUNTA(Table_ChiPhiNV_Ca[[#Headers],[Ca]:[Kết thúc nghỉ]]),0)
),0,
IF(NOT(ISBLANK(AE$3)),
IF(ISBLANK(AE$7),0,
IF(AE$4 &lt; AE$5,
IF($AA34-$Z$4&lt;AE$4,0,
IF($AA34&gt;AE$5,0,
SUM(_xlfn._xlws.FILTER(Table_BangLuong_TyLeTangCa[Tỷ lệ],
(Table_BangLuong_TyLeTangCa[Ngày] = AE$3) *
(Table_BangLuong_TyLeTangCa[Giờ min]&lt;=$AA34) *
(Table_BangLuong_TyLeTangCa[Giờ max]&gt;$AA34)
)))),
IF(AND($AA34-$Z$4 &gt;= AE$5,$AA34 &lt; AE$4),0,
SUM(_xlfn._xlws.FILTER(Table_BangLuong_TyLeTangCa[Tỷ lệ],
(Table_BangLuong_TyLeTangCa[Ngày] = AE$3) *
(Table_BangLuong_TyLeTangCa[Giờ min]&lt;=$AA34) *
(Table_BangLuong_TyLeTangCa[Giờ max]&gt;$AA34)
))))
),
IF(ISBLANK(AE$7),
IF(VLOOKUP(AE$6, Table_ChiPhiNV_Ca[], COUNTA(Table_ChiPhiNV_Ca[[#Headers],[Ca]:[Kết thúc]]),0)&gt; VLOOKUP(AE$6, Table_ChiPhiNV_Ca[], COUNTA(Table_ChiPhiNV_Ca[[#Headers],[Ca]:[Bắt đầu]]),0),
IF($AA34-$Z$4&lt;MAX(AE$4,VLOOKUP(AE$6, Table_ChiPhiNV_Ca[], COUNTA(Table_ChiPhiNV_Ca[[#Headers],[Ca]:[Bắt đầu]]),0)),0,
IF($AA34&gt;MIN(AE$5,VLOOKUP(AE$6, Table_ChiPhiNV_Ca[], COUNTA(Table_ChiPhiNV_Ca[[#Headers],[Ca]:[Kết thúc]]),0)),0,
SUM(_xlfn._xlws.FILTER(Table_BangLuong_TyLeTangCa[Tỷ lệ],
(Table_BangLuong_TyLeTangCa[Ngày] = "Thường") *
(Table_BangLuong_TyLeTangCa[Giờ min]&lt;=$AA34) *
(Table_BangLuong_TyLeTangCa[Giờ max]&gt;$AA34)
)))),
IF(AE$4 &gt; AE$5,
IF(
AND(
$AA34-$Z$4&lt;MAX(AE$4,VLOOKUP(AE$6, Table_ChiPhiNV_Ca[], COUNTA(Table_ChiPhiNV_Ca[[#Headers],[Ca]:[Bắt đầu]]),0)),
$AA34&gt;MIN(AE$5,VLOOKUP(AE$6, Table_ChiPhiNV_Ca[], COUNTA(Table_ChiPhiNV_Ca[[#Headers],[Ca]:[Kết thúc]]),0))),0,
SUM(_xlfn._xlws.FILTER(Table_BangLuong_TyLeTangCa[Tỷ lệ],
(Table_BangLuong_TyLeTangCa[Ngày] = "Thường") *
(Table_BangLuong_TyLeTangCa[Giờ min]&lt;=$AA34) *
(Table_BangLuong_TyLeTangCa[Giờ max]&gt;$AA34)
))),
IF(
AND(
$AA34-$Z$4&gt;=MAX(AE$4,VLOOKUP(AE$6, Table_ChiPhiNV_Ca[], COUNTA(Table_ChiPhiNV_Ca[[#Headers],[Ca]:[Bắt đầu]]),0)),
$AA34&lt;MIN(AE$5,VLOOKUP(AE$6, Table_ChiPhiNV_Ca[], COUNTA(Table_ChiPhiNV_Ca[[#Headers],[Ca]:[Kết thúc]]),0))),
SUM(_xlfn._xlws.FILTER(Table_BangLuong_TyLeTangCa[Tỷ lệ],
(Table_BangLuong_TyLeTangCa[Ngày] = "Thường") *
(Table_BangLuong_TyLeTangCa[Giờ min]&lt;=$AA34) *
(Table_BangLuong_TyLeTangCa[Giờ max]&gt;$AA34)
)),0)
)),
IF(AE$4 &lt; AE$5,
IF($AA34-$Z$4&lt;AE$4,0,
IF($AA34&gt;AE$5,0,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AE$5,$AA34 &lt; AE$4),0,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F34" s="18" cm="1">
        <f t="array" ref="AF34" xml:space="preserve">
IFERROR(
IF(AF$1="",0,
IF(AND(
$AA34&gt;=VLOOKUP(AF$6, Table_ChiPhiNV_Ca[], COUNTA(Table_ChiPhiNV_Ca[[#Headers],[Ca]:[Bắt đầu nghỉ]]),0),
$AA34&lt;VLOOKUP(AF$6, Table_ChiPhiNV_Ca[], COUNTA(Table_ChiPhiNV_Ca[[#Headers],[Ca]:[Kết thúc nghỉ]]),0)
),0,
IF(NOT(ISBLANK(AF$3)),
IF(ISBLANK(AF$7),0,
IF(AF$4 &lt; AF$5,
IF($AA34-$Z$4&lt;AF$4,0,
IF($AA34&gt;AF$5,0,
SUM(_xlfn._xlws.FILTER(Table_BangLuong_TyLeTangCa[Tỷ lệ],
(Table_BangLuong_TyLeTangCa[Ngày] = AF$3) *
(Table_BangLuong_TyLeTangCa[Giờ min]&lt;=$AA34) *
(Table_BangLuong_TyLeTangCa[Giờ max]&gt;$AA34)
)))),
IF(AND($AA34-$Z$4 &gt;= AF$5,$AA34 &lt; AF$4),0,
SUM(_xlfn._xlws.FILTER(Table_BangLuong_TyLeTangCa[Tỷ lệ],
(Table_BangLuong_TyLeTangCa[Ngày] = AF$3) *
(Table_BangLuong_TyLeTangCa[Giờ min]&lt;=$AA34) *
(Table_BangLuong_TyLeTangCa[Giờ max]&gt;$AA34)
))))
),
IF(ISBLANK(AF$7),
IF(VLOOKUP(AF$6, Table_ChiPhiNV_Ca[], COUNTA(Table_ChiPhiNV_Ca[[#Headers],[Ca]:[Kết thúc]]),0)&gt; VLOOKUP(AF$6, Table_ChiPhiNV_Ca[], COUNTA(Table_ChiPhiNV_Ca[[#Headers],[Ca]:[Bắt đầu]]),0),
IF($AA34-$Z$4&lt;MAX(AF$4,VLOOKUP(AF$6, Table_ChiPhiNV_Ca[], COUNTA(Table_ChiPhiNV_Ca[[#Headers],[Ca]:[Bắt đầu]]),0)),0,
IF($AA34&gt;MIN(AF$5,VLOOKUP(AF$6, Table_ChiPhiNV_Ca[], COUNTA(Table_ChiPhiNV_Ca[[#Headers],[Ca]:[Kết thúc]]),0)),0,
SUM(_xlfn._xlws.FILTER(Table_BangLuong_TyLeTangCa[Tỷ lệ],
(Table_BangLuong_TyLeTangCa[Ngày] = "Thường") *
(Table_BangLuong_TyLeTangCa[Giờ min]&lt;=$AA34) *
(Table_BangLuong_TyLeTangCa[Giờ max]&gt;$AA34)
)))),
IF(AF$4 &gt; AF$5,
IF(
AND(
$AA34-$Z$4&lt;MAX(AF$4,VLOOKUP(AF$6, Table_ChiPhiNV_Ca[], COUNTA(Table_ChiPhiNV_Ca[[#Headers],[Ca]:[Bắt đầu]]),0)),
$AA34&gt;MIN(AF$5,VLOOKUP(AF$6, Table_ChiPhiNV_Ca[], COUNTA(Table_ChiPhiNV_Ca[[#Headers],[Ca]:[Kết thúc]]),0))),0,
SUM(_xlfn._xlws.FILTER(Table_BangLuong_TyLeTangCa[Tỷ lệ],
(Table_BangLuong_TyLeTangCa[Ngày] = "Thường") *
(Table_BangLuong_TyLeTangCa[Giờ min]&lt;=$AA34) *
(Table_BangLuong_TyLeTangCa[Giờ max]&gt;$AA34)
))),
IF(
AND(
$AA34-$Z$4&gt;=MAX(AF$4,VLOOKUP(AF$6, Table_ChiPhiNV_Ca[], COUNTA(Table_ChiPhiNV_Ca[[#Headers],[Ca]:[Bắt đầu]]),0)),
$AA34&lt;MIN(AF$5,VLOOKUP(AF$6, Table_ChiPhiNV_Ca[], COUNTA(Table_ChiPhiNV_Ca[[#Headers],[Ca]:[Kết thúc]]),0))),
SUM(_xlfn._xlws.FILTER(Table_BangLuong_TyLeTangCa[Tỷ lệ],
(Table_BangLuong_TyLeTangCa[Ngày] = "Thường") *
(Table_BangLuong_TyLeTangCa[Giờ min]&lt;=$AA34) *
(Table_BangLuong_TyLeTangCa[Giờ max]&gt;$AA34)
)),0)
)),
IF(AF$4 &lt; AF$5,
IF($AA34-$Z$4&lt;AF$4,0,
IF($AA34&gt;AF$5,0,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AF$5,$AA34 &lt; AF$4),0,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G34" s="18" cm="1">
        <f t="array" ref="AG34" xml:space="preserve">
IFERROR(
IF(AG$1="",0,
IF(AND(
$AA34&gt;=VLOOKUP(AG$6, Table_ChiPhiNV_Ca[], COUNTA(Table_ChiPhiNV_Ca[[#Headers],[Ca]:[Bắt đầu nghỉ]]),0),
$AA34&lt;VLOOKUP(AG$6, Table_ChiPhiNV_Ca[], COUNTA(Table_ChiPhiNV_Ca[[#Headers],[Ca]:[Kết thúc nghỉ]]),0)
),0,
IF(NOT(ISBLANK(AG$3)),
IF(ISBLANK(AG$7),0,
IF(AG$4 &lt; AG$5,
IF($AA34-$Z$4&lt;AG$4,0,
IF($AA34&gt;AG$5,0,
SUM(_xlfn._xlws.FILTER(Table_BangLuong_TyLeTangCa[Tỷ lệ],
(Table_BangLuong_TyLeTangCa[Ngày] = AG$3) *
(Table_BangLuong_TyLeTangCa[Giờ min]&lt;=$AA34) *
(Table_BangLuong_TyLeTangCa[Giờ max]&gt;$AA34)
)))),
IF(AND($AA34-$Z$4 &gt;= AG$5,$AA34 &lt; AG$4),0,
SUM(_xlfn._xlws.FILTER(Table_BangLuong_TyLeTangCa[Tỷ lệ],
(Table_BangLuong_TyLeTangCa[Ngày] = AG$3) *
(Table_BangLuong_TyLeTangCa[Giờ min]&lt;=$AA34) *
(Table_BangLuong_TyLeTangCa[Giờ max]&gt;$AA34)
))))
),
IF(ISBLANK(AG$7),
IF(VLOOKUP(AG$6, Table_ChiPhiNV_Ca[], COUNTA(Table_ChiPhiNV_Ca[[#Headers],[Ca]:[Kết thúc]]),0)&gt; VLOOKUP(AG$6, Table_ChiPhiNV_Ca[], COUNTA(Table_ChiPhiNV_Ca[[#Headers],[Ca]:[Bắt đầu]]),0),
IF($AA34-$Z$4&lt;MAX(AG$4,VLOOKUP(AG$6, Table_ChiPhiNV_Ca[], COUNTA(Table_ChiPhiNV_Ca[[#Headers],[Ca]:[Bắt đầu]]),0)),0,
IF($AA34&gt;MIN(AG$5,VLOOKUP(AG$6, Table_ChiPhiNV_Ca[], COUNTA(Table_ChiPhiNV_Ca[[#Headers],[Ca]:[Kết thúc]]),0)),0,
SUM(_xlfn._xlws.FILTER(Table_BangLuong_TyLeTangCa[Tỷ lệ],
(Table_BangLuong_TyLeTangCa[Ngày] = "Thường") *
(Table_BangLuong_TyLeTangCa[Giờ min]&lt;=$AA34) *
(Table_BangLuong_TyLeTangCa[Giờ max]&gt;$AA34)
)))),
IF(AG$4 &gt; AG$5,
IF(
AND(
$AA34-$Z$4&lt;MAX(AG$4,VLOOKUP(AG$6, Table_ChiPhiNV_Ca[], COUNTA(Table_ChiPhiNV_Ca[[#Headers],[Ca]:[Bắt đầu]]),0)),
$AA34&gt;MIN(AG$5,VLOOKUP(AG$6, Table_ChiPhiNV_Ca[], COUNTA(Table_ChiPhiNV_Ca[[#Headers],[Ca]:[Kết thúc]]),0))),0,
SUM(_xlfn._xlws.FILTER(Table_BangLuong_TyLeTangCa[Tỷ lệ],
(Table_BangLuong_TyLeTangCa[Ngày] = "Thường") *
(Table_BangLuong_TyLeTangCa[Giờ min]&lt;=$AA34) *
(Table_BangLuong_TyLeTangCa[Giờ max]&gt;$AA34)
))),
IF(
AND(
$AA34-$Z$4&gt;=MAX(AG$4,VLOOKUP(AG$6, Table_ChiPhiNV_Ca[], COUNTA(Table_ChiPhiNV_Ca[[#Headers],[Ca]:[Bắt đầu]]),0)),
$AA34&lt;MIN(AG$5,VLOOKUP(AG$6, Table_ChiPhiNV_Ca[], COUNTA(Table_ChiPhiNV_Ca[[#Headers],[Ca]:[Kết thúc]]),0))),
SUM(_xlfn._xlws.FILTER(Table_BangLuong_TyLeTangCa[Tỷ lệ],
(Table_BangLuong_TyLeTangCa[Ngày] = "Thường") *
(Table_BangLuong_TyLeTangCa[Giờ min]&lt;=$AA34) *
(Table_BangLuong_TyLeTangCa[Giờ max]&gt;$AA34)
)),0)
)),
IF(AG$4 &lt; AG$5,
IF($AA34-$Z$4&lt;AG$4,0,
IF($AA34&gt;AG$5,0,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AG$5,$AA34 &lt; AG$4),0,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H34" s="18" cm="1">
        <f t="array" ref="AH34" xml:space="preserve">
IFERROR(
IF(AH$1="",0,
IF(AND(
$AA34&gt;=VLOOKUP(AH$6, Table_ChiPhiNV_Ca[], COUNTA(Table_ChiPhiNV_Ca[[#Headers],[Ca]:[Bắt đầu nghỉ]]),0),
$AA34&lt;VLOOKUP(AH$6, Table_ChiPhiNV_Ca[], COUNTA(Table_ChiPhiNV_Ca[[#Headers],[Ca]:[Kết thúc nghỉ]]),0)
),0,
IF(NOT(ISBLANK(AH$3)),
IF(ISBLANK(AH$7),0,
IF(AH$4 &lt; AH$5,
IF($AA34-$Z$4&lt;AH$4,0,
IF($AA34&gt;AH$5,0,
SUM(_xlfn._xlws.FILTER(Table_BangLuong_TyLeTangCa[Tỷ lệ],
(Table_BangLuong_TyLeTangCa[Ngày] = AH$3) *
(Table_BangLuong_TyLeTangCa[Giờ min]&lt;=$AA34) *
(Table_BangLuong_TyLeTangCa[Giờ max]&gt;$AA34)
)))),
IF(AND($AA34-$Z$4 &gt;= AH$5,$AA34 &lt; AH$4),0,
SUM(_xlfn._xlws.FILTER(Table_BangLuong_TyLeTangCa[Tỷ lệ],
(Table_BangLuong_TyLeTangCa[Ngày] = AH$3) *
(Table_BangLuong_TyLeTangCa[Giờ min]&lt;=$AA34) *
(Table_BangLuong_TyLeTangCa[Giờ max]&gt;$AA34)
))))
),
IF(ISBLANK(AH$7),
IF(VLOOKUP(AH$6, Table_ChiPhiNV_Ca[], COUNTA(Table_ChiPhiNV_Ca[[#Headers],[Ca]:[Kết thúc]]),0)&gt; VLOOKUP(AH$6, Table_ChiPhiNV_Ca[], COUNTA(Table_ChiPhiNV_Ca[[#Headers],[Ca]:[Bắt đầu]]),0),
IF($AA34-$Z$4&lt;MAX(AH$4,VLOOKUP(AH$6, Table_ChiPhiNV_Ca[], COUNTA(Table_ChiPhiNV_Ca[[#Headers],[Ca]:[Bắt đầu]]),0)),0,
IF($AA34&gt;MIN(AH$5,VLOOKUP(AH$6, Table_ChiPhiNV_Ca[], COUNTA(Table_ChiPhiNV_Ca[[#Headers],[Ca]:[Kết thúc]]),0)),0,
SUM(_xlfn._xlws.FILTER(Table_BangLuong_TyLeTangCa[Tỷ lệ],
(Table_BangLuong_TyLeTangCa[Ngày] = "Thường") *
(Table_BangLuong_TyLeTangCa[Giờ min]&lt;=$AA34) *
(Table_BangLuong_TyLeTangCa[Giờ max]&gt;$AA34)
)))),
IF(AH$4 &gt; AH$5,
IF(
AND(
$AA34-$Z$4&lt;MAX(AH$4,VLOOKUP(AH$6, Table_ChiPhiNV_Ca[], COUNTA(Table_ChiPhiNV_Ca[[#Headers],[Ca]:[Bắt đầu]]),0)),
$AA34&gt;MIN(AH$5,VLOOKUP(AH$6, Table_ChiPhiNV_Ca[], COUNTA(Table_ChiPhiNV_Ca[[#Headers],[Ca]:[Kết thúc]]),0))),0,
SUM(_xlfn._xlws.FILTER(Table_BangLuong_TyLeTangCa[Tỷ lệ],
(Table_BangLuong_TyLeTangCa[Ngày] = "Thường") *
(Table_BangLuong_TyLeTangCa[Giờ min]&lt;=$AA34) *
(Table_BangLuong_TyLeTangCa[Giờ max]&gt;$AA34)
))),
IF(
AND(
$AA34-$Z$4&gt;=MAX(AH$4,VLOOKUP(AH$6, Table_ChiPhiNV_Ca[], COUNTA(Table_ChiPhiNV_Ca[[#Headers],[Ca]:[Bắt đầu]]),0)),
$AA34&lt;MIN(AH$5,VLOOKUP(AH$6, Table_ChiPhiNV_Ca[], COUNTA(Table_ChiPhiNV_Ca[[#Headers],[Ca]:[Kết thúc]]),0))),
SUM(_xlfn._xlws.FILTER(Table_BangLuong_TyLeTangCa[Tỷ lệ],
(Table_BangLuong_TyLeTangCa[Ngày] = "Thường") *
(Table_BangLuong_TyLeTangCa[Giờ min]&lt;=$AA34) *
(Table_BangLuong_TyLeTangCa[Giờ max]&gt;$AA34)
)),0)
)),
IF(AH$4 &lt; AH$5,
IF($AA34-$Z$4&lt;AH$4,0,
IF($AA34&gt;AH$5,0,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AH$5,$AA34 &lt; AH$4),0,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I34" s="18" cm="1">
        <f t="array" ref="AI34" xml:space="preserve">
IFERROR(
IF(AI$1="",0,
IF(AND(
$AA34&gt;=VLOOKUP(AI$6, Table_ChiPhiNV_Ca[], COUNTA(Table_ChiPhiNV_Ca[[#Headers],[Ca]:[Bắt đầu nghỉ]]),0),
$AA34&lt;VLOOKUP(AI$6, Table_ChiPhiNV_Ca[], COUNTA(Table_ChiPhiNV_Ca[[#Headers],[Ca]:[Kết thúc nghỉ]]),0)
),0,
IF(NOT(ISBLANK(AI$3)),
IF(ISBLANK(AI$7),0,
IF(AI$4 &lt; AI$5,
IF($AA34-$Z$4&lt;AI$4,0,
IF($AA34&gt;AI$5,0,
SUM(_xlfn._xlws.FILTER(Table_BangLuong_TyLeTangCa[Tỷ lệ],
(Table_BangLuong_TyLeTangCa[Ngày] = AI$3) *
(Table_BangLuong_TyLeTangCa[Giờ min]&lt;=$AA34) *
(Table_BangLuong_TyLeTangCa[Giờ max]&gt;$AA34)
)))),
IF(AND($AA34-$Z$4 &gt;= AI$5,$AA34 &lt; AI$4),0,
SUM(_xlfn._xlws.FILTER(Table_BangLuong_TyLeTangCa[Tỷ lệ],
(Table_BangLuong_TyLeTangCa[Ngày] = AI$3) *
(Table_BangLuong_TyLeTangCa[Giờ min]&lt;=$AA34) *
(Table_BangLuong_TyLeTangCa[Giờ max]&gt;$AA34)
))))
),
IF(ISBLANK(AI$7),
IF(VLOOKUP(AI$6, Table_ChiPhiNV_Ca[], COUNTA(Table_ChiPhiNV_Ca[[#Headers],[Ca]:[Kết thúc]]),0)&gt; VLOOKUP(AI$6, Table_ChiPhiNV_Ca[], COUNTA(Table_ChiPhiNV_Ca[[#Headers],[Ca]:[Bắt đầu]]),0),
IF($AA34-$Z$4&lt;MAX(AI$4,VLOOKUP(AI$6, Table_ChiPhiNV_Ca[], COUNTA(Table_ChiPhiNV_Ca[[#Headers],[Ca]:[Bắt đầu]]),0)),0,
IF($AA34&gt;MIN(AI$5,VLOOKUP(AI$6, Table_ChiPhiNV_Ca[], COUNTA(Table_ChiPhiNV_Ca[[#Headers],[Ca]:[Kết thúc]]),0)),0,
SUM(_xlfn._xlws.FILTER(Table_BangLuong_TyLeTangCa[Tỷ lệ],
(Table_BangLuong_TyLeTangCa[Ngày] = "Thường") *
(Table_BangLuong_TyLeTangCa[Giờ min]&lt;=$AA34) *
(Table_BangLuong_TyLeTangCa[Giờ max]&gt;$AA34)
)))),
IF(AI$4 &gt; AI$5,
IF(
AND(
$AA34-$Z$4&lt;MAX(AI$4,VLOOKUP(AI$6, Table_ChiPhiNV_Ca[], COUNTA(Table_ChiPhiNV_Ca[[#Headers],[Ca]:[Bắt đầu]]),0)),
$AA34&gt;MIN(AI$5,VLOOKUP(AI$6, Table_ChiPhiNV_Ca[], COUNTA(Table_ChiPhiNV_Ca[[#Headers],[Ca]:[Kết thúc]]),0))),0,
SUM(_xlfn._xlws.FILTER(Table_BangLuong_TyLeTangCa[Tỷ lệ],
(Table_BangLuong_TyLeTangCa[Ngày] = "Thường") *
(Table_BangLuong_TyLeTangCa[Giờ min]&lt;=$AA34) *
(Table_BangLuong_TyLeTangCa[Giờ max]&gt;$AA34)
))),
IF(
AND(
$AA34-$Z$4&gt;=MAX(AI$4,VLOOKUP(AI$6, Table_ChiPhiNV_Ca[], COUNTA(Table_ChiPhiNV_Ca[[#Headers],[Ca]:[Bắt đầu]]),0)),
$AA34&lt;MIN(AI$5,VLOOKUP(AI$6, Table_ChiPhiNV_Ca[], COUNTA(Table_ChiPhiNV_Ca[[#Headers],[Ca]:[Kết thúc]]),0))),
SUM(_xlfn._xlws.FILTER(Table_BangLuong_TyLeTangCa[Tỷ lệ],
(Table_BangLuong_TyLeTangCa[Ngày] = "Thường") *
(Table_BangLuong_TyLeTangCa[Giờ min]&lt;=$AA34) *
(Table_BangLuong_TyLeTangCa[Giờ max]&gt;$AA34)
)),0)
)),
IF(AI$4 &lt; AI$5,
IF($AA34-$Z$4&lt;AI$4,0,
IF($AA34&gt;AI$5,0,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AI$5,$AA34 &lt; AI$4),0,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J34" s="18" cm="1">
        <f t="array" ref="AJ34" xml:space="preserve">
IFERROR(
IF(AJ$1="",0,
IF(AND(
$AA34&gt;=VLOOKUP(AJ$6, Table_ChiPhiNV_Ca[], COUNTA(Table_ChiPhiNV_Ca[[#Headers],[Ca]:[Bắt đầu nghỉ]]),0),
$AA34&lt;VLOOKUP(AJ$6, Table_ChiPhiNV_Ca[], COUNTA(Table_ChiPhiNV_Ca[[#Headers],[Ca]:[Kết thúc nghỉ]]),0)
),0,
IF(NOT(ISBLANK(AJ$3)),
IF(ISBLANK(AJ$7),0,
IF(AJ$4 &lt; AJ$5,
IF($AA34-$Z$4&lt;AJ$4,0,
IF($AA34&gt;AJ$5,0,
SUM(_xlfn._xlws.FILTER(Table_BangLuong_TyLeTangCa[Tỷ lệ],
(Table_BangLuong_TyLeTangCa[Ngày] = AJ$3) *
(Table_BangLuong_TyLeTangCa[Giờ min]&lt;=$AA34) *
(Table_BangLuong_TyLeTangCa[Giờ max]&gt;$AA34)
)))),
IF(AND($AA34-$Z$4 &gt;= AJ$5,$AA34 &lt; AJ$4),0,
SUM(_xlfn._xlws.FILTER(Table_BangLuong_TyLeTangCa[Tỷ lệ],
(Table_BangLuong_TyLeTangCa[Ngày] = AJ$3) *
(Table_BangLuong_TyLeTangCa[Giờ min]&lt;=$AA34) *
(Table_BangLuong_TyLeTangCa[Giờ max]&gt;$AA34)
))))
),
IF(ISBLANK(AJ$7),
IF(VLOOKUP(AJ$6, Table_ChiPhiNV_Ca[], COUNTA(Table_ChiPhiNV_Ca[[#Headers],[Ca]:[Kết thúc]]),0)&gt; VLOOKUP(AJ$6, Table_ChiPhiNV_Ca[], COUNTA(Table_ChiPhiNV_Ca[[#Headers],[Ca]:[Bắt đầu]]),0),
IF($AA34-$Z$4&lt;MAX(AJ$4,VLOOKUP(AJ$6, Table_ChiPhiNV_Ca[], COUNTA(Table_ChiPhiNV_Ca[[#Headers],[Ca]:[Bắt đầu]]),0)),0,
IF($AA34&gt;MIN(AJ$5,VLOOKUP(AJ$6, Table_ChiPhiNV_Ca[], COUNTA(Table_ChiPhiNV_Ca[[#Headers],[Ca]:[Kết thúc]]),0)),0,
SUM(_xlfn._xlws.FILTER(Table_BangLuong_TyLeTangCa[Tỷ lệ],
(Table_BangLuong_TyLeTangCa[Ngày] = "Thường") *
(Table_BangLuong_TyLeTangCa[Giờ min]&lt;=$AA34) *
(Table_BangLuong_TyLeTangCa[Giờ max]&gt;$AA34)
)))),
IF(AJ$4 &gt; AJ$5,
IF(
AND(
$AA34-$Z$4&lt;MAX(AJ$4,VLOOKUP(AJ$6, Table_ChiPhiNV_Ca[], COUNTA(Table_ChiPhiNV_Ca[[#Headers],[Ca]:[Bắt đầu]]),0)),
$AA34&gt;MIN(AJ$5,VLOOKUP(AJ$6, Table_ChiPhiNV_Ca[], COUNTA(Table_ChiPhiNV_Ca[[#Headers],[Ca]:[Kết thúc]]),0))),0,
SUM(_xlfn._xlws.FILTER(Table_BangLuong_TyLeTangCa[Tỷ lệ],
(Table_BangLuong_TyLeTangCa[Ngày] = "Thường") *
(Table_BangLuong_TyLeTangCa[Giờ min]&lt;=$AA34) *
(Table_BangLuong_TyLeTangCa[Giờ max]&gt;$AA34)
))),
IF(
AND(
$AA34-$Z$4&gt;=MAX(AJ$4,VLOOKUP(AJ$6, Table_ChiPhiNV_Ca[], COUNTA(Table_ChiPhiNV_Ca[[#Headers],[Ca]:[Bắt đầu]]),0)),
$AA34&lt;MIN(AJ$5,VLOOKUP(AJ$6, Table_ChiPhiNV_Ca[], COUNTA(Table_ChiPhiNV_Ca[[#Headers],[Ca]:[Kết thúc]]),0))),
SUM(_xlfn._xlws.FILTER(Table_BangLuong_TyLeTangCa[Tỷ lệ],
(Table_BangLuong_TyLeTangCa[Ngày] = "Thường") *
(Table_BangLuong_TyLeTangCa[Giờ min]&lt;=$AA34) *
(Table_BangLuong_TyLeTangCa[Giờ max]&gt;$AA34)
)),0)
)),
IF(AJ$4 &lt; AJ$5,
IF($AA34-$Z$4&lt;AJ$4,0,
IF($AA34&gt;AJ$5,0,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AJ$5,$AA34 &lt; AJ$4),0,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K34" s="18" cm="1">
        <f t="array" ref="AK34" xml:space="preserve">
IFERROR(
IF(AK$1="",0,
IF(AND(
$AA34&gt;=VLOOKUP(AK$6, Table_ChiPhiNV_Ca[], COUNTA(Table_ChiPhiNV_Ca[[#Headers],[Ca]:[Bắt đầu nghỉ]]),0),
$AA34&lt;VLOOKUP(AK$6, Table_ChiPhiNV_Ca[], COUNTA(Table_ChiPhiNV_Ca[[#Headers],[Ca]:[Kết thúc nghỉ]]),0)
),0,
IF(NOT(ISBLANK(AK$3)),
IF(ISBLANK(AK$7),0,
IF(AK$4 &lt; AK$5,
IF($AA34-$Z$4&lt;AK$4,0,
IF($AA34&gt;AK$5,0,
SUM(_xlfn._xlws.FILTER(Table_BangLuong_TyLeTangCa[Tỷ lệ],
(Table_BangLuong_TyLeTangCa[Ngày] = AK$3) *
(Table_BangLuong_TyLeTangCa[Giờ min]&lt;=$AA34) *
(Table_BangLuong_TyLeTangCa[Giờ max]&gt;$AA34)
)))),
IF(AND($AA34-$Z$4 &gt;= AK$5,$AA34 &lt; AK$4),0,
SUM(_xlfn._xlws.FILTER(Table_BangLuong_TyLeTangCa[Tỷ lệ],
(Table_BangLuong_TyLeTangCa[Ngày] = AK$3) *
(Table_BangLuong_TyLeTangCa[Giờ min]&lt;=$AA34) *
(Table_BangLuong_TyLeTangCa[Giờ max]&gt;$AA34)
))))
),
IF(ISBLANK(AK$7),
IF(VLOOKUP(AK$6, Table_ChiPhiNV_Ca[], COUNTA(Table_ChiPhiNV_Ca[[#Headers],[Ca]:[Kết thúc]]),0)&gt; VLOOKUP(AK$6, Table_ChiPhiNV_Ca[], COUNTA(Table_ChiPhiNV_Ca[[#Headers],[Ca]:[Bắt đầu]]),0),
IF($AA34-$Z$4&lt;MAX(AK$4,VLOOKUP(AK$6, Table_ChiPhiNV_Ca[], COUNTA(Table_ChiPhiNV_Ca[[#Headers],[Ca]:[Bắt đầu]]),0)),0,
IF($AA34&gt;MIN(AK$5,VLOOKUP(AK$6, Table_ChiPhiNV_Ca[], COUNTA(Table_ChiPhiNV_Ca[[#Headers],[Ca]:[Kết thúc]]),0)),0,
SUM(_xlfn._xlws.FILTER(Table_BangLuong_TyLeTangCa[Tỷ lệ],
(Table_BangLuong_TyLeTangCa[Ngày] = "Thường") *
(Table_BangLuong_TyLeTangCa[Giờ min]&lt;=$AA34) *
(Table_BangLuong_TyLeTangCa[Giờ max]&gt;$AA34)
)))),
IF(AK$4 &gt; AK$5,
IF(
AND(
$AA34-$Z$4&lt;MAX(AK$4,VLOOKUP(AK$6, Table_ChiPhiNV_Ca[], COUNTA(Table_ChiPhiNV_Ca[[#Headers],[Ca]:[Bắt đầu]]),0)),
$AA34&gt;MIN(AK$5,VLOOKUP(AK$6, Table_ChiPhiNV_Ca[], COUNTA(Table_ChiPhiNV_Ca[[#Headers],[Ca]:[Kết thúc]]),0))),0,
SUM(_xlfn._xlws.FILTER(Table_BangLuong_TyLeTangCa[Tỷ lệ],
(Table_BangLuong_TyLeTangCa[Ngày] = "Thường") *
(Table_BangLuong_TyLeTangCa[Giờ min]&lt;=$AA34) *
(Table_BangLuong_TyLeTangCa[Giờ max]&gt;$AA34)
))),
IF(
AND(
$AA34-$Z$4&gt;=MAX(AK$4,VLOOKUP(AK$6, Table_ChiPhiNV_Ca[], COUNTA(Table_ChiPhiNV_Ca[[#Headers],[Ca]:[Bắt đầu]]),0)),
$AA34&lt;MIN(AK$5,VLOOKUP(AK$6, Table_ChiPhiNV_Ca[], COUNTA(Table_ChiPhiNV_Ca[[#Headers],[Ca]:[Kết thúc]]),0))),
SUM(_xlfn._xlws.FILTER(Table_BangLuong_TyLeTangCa[Tỷ lệ],
(Table_BangLuong_TyLeTangCa[Ngày] = "Thường") *
(Table_BangLuong_TyLeTangCa[Giờ min]&lt;=$AA34) *
(Table_BangLuong_TyLeTangCa[Giờ max]&gt;$AA34)
)),0)
)),
IF(AK$4 &lt; AK$5,
IF($AA34-$Z$4&lt;AK$4,0,
IF($AA34&gt;AK$5,0,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AK$5,$AA34 &lt; AK$4),0,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L34" s="18" cm="1">
        <f t="array" ref="AL34" xml:space="preserve">
IFERROR(
IF(AL$1="",0,
IF(AND(
$AA34&gt;=VLOOKUP(AL$6, Table_ChiPhiNV_Ca[], COUNTA(Table_ChiPhiNV_Ca[[#Headers],[Ca]:[Bắt đầu nghỉ]]),0),
$AA34&lt;VLOOKUP(AL$6, Table_ChiPhiNV_Ca[], COUNTA(Table_ChiPhiNV_Ca[[#Headers],[Ca]:[Kết thúc nghỉ]]),0)
),0,
IF(NOT(ISBLANK(AL$3)),
IF(ISBLANK(AL$7),0,
IF(AL$4 &lt; AL$5,
IF($AA34-$Z$4&lt;AL$4,0,
IF($AA34&gt;AL$5,0,
SUM(_xlfn._xlws.FILTER(Table_BangLuong_TyLeTangCa[Tỷ lệ],
(Table_BangLuong_TyLeTangCa[Ngày] = AL$3) *
(Table_BangLuong_TyLeTangCa[Giờ min]&lt;=$AA34) *
(Table_BangLuong_TyLeTangCa[Giờ max]&gt;$AA34)
)))),
IF(AND($AA34-$Z$4 &gt;= AL$5,$AA34 &lt; AL$4),0,
SUM(_xlfn._xlws.FILTER(Table_BangLuong_TyLeTangCa[Tỷ lệ],
(Table_BangLuong_TyLeTangCa[Ngày] = AL$3) *
(Table_BangLuong_TyLeTangCa[Giờ min]&lt;=$AA34) *
(Table_BangLuong_TyLeTangCa[Giờ max]&gt;$AA34)
))))
),
IF(ISBLANK(AL$7),
IF(VLOOKUP(AL$6, Table_ChiPhiNV_Ca[], COUNTA(Table_ChiPhiNV_Ca[[#Headers],[Ca]:[Kết thúc]]),0)&gt; VLOOKUP(AL$6, Table_ChiPhiNV_Ca[], COUNTA(Table_ChiPhiNV_Ca[[#Headers],[Ca]:[Bắt đầu]]),0),
IF($AA34-$Z$4&lt;MAX(AL$4,VLOOKUP(AL$6, Table_ChiPhiNV_Ca[], COUNTA(Table_ChiPhiNV_Ca[[#Headers],[Ca]:[Bắt đầu]]),0)),0,
IF($AA34&gt;MIN(AL$5,VLOOKUP(AL$6, Table_ChiPhiNV_Ca[], COUNTA(Table_ChiPhiNV_Ca[[#Headers],[Ca]:[Kết thúc]]),0)),0,
SUM(_xlfn._xlws.FILTER(Table_BangLuong_TyLeTangCa[Tỷ lệ],
(Table_BangLuong_TyLeTangCa[Ngày] = "Thường") *
(Table_BangLuong_TyLeTangCa[Giờ min]&lt;=$AA34) *
(Table_BangLuong_TyLeTangCa[Giờ max]&gt;$AA34)
)))),
IF(AL$4 &gt; AL$5,
IF(
AND(
$AA34-$Z$4&lt;MAX(AL$4,VLOOKUP(AL$6, Table_ChiPhiNV_Ca[], COUNTA(Table_ChiPhiNV_Ca[[#Headers],[Ca]:[Bắt đầu]]),0)),
$AA34&gt;MIN(AL$5,VLOOKUP(AL$6, Table_ChiPhiNV_Ca[], COUNTA(Table_ChiPhiNV_Ca[[#Headers],[Ca]:[Kết thúc]]),0))),0,
SUM(_xlfn._xlws.FILTER(Table_BangLuong_TyLeTangCa[Tỷ lệ],
(Table_BangLuong_TyLeTangCa[Ngày] = "Thường") *
(Table_BangLuong_TyLeTangCa[Giờ min]&lt;=$AA34) *
(Table_BangLuong_TyLeTangCa[Giờ max]&gt;$AA34)
))),
IF(
AND(
$AA34-$Z$4&gt;=MAX(AL$4,VLOOKUP(AL$6, Table_ChiPhiNV_Ca[], COUNTA(Table_ChiPhiNV_Ca[[#Headers],[Ca]:[Bắt đầu]]),0)),
$AA34&lt;MIN(AL$5,VLOOKUP(AL$6, Table_ChiPhiNV_Ca[], COUNTA(Table_ChiPhiNV_Ca[[#Headers],[Ca]:[Kết thúc]]),0))),
SUM(_xlfn._xlws.FILTER(Table_BangLuong_TyLeTangCa[Tỷ lệ],
(Table_BangLuong_TyLeTangCa[Ngày] = "Thường") *
(Table_BangLuong_TyLeTangCa[Giờ min]&lt;=$AA34) *
(Table_BangLuong_TyLeTangCa[Giờ max]&gt;$AA34)
)),0)
)),
IF(AL$4 &lt; AL$5,
IF($AA34-$Z$4&lt;AL$4,0,
IF($AA34&gt;AL$5,0,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AL$5,$AA34 &lt; AL$4),0,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M34" s="18" cm="1">
        <f t="array" ref="AM34" xml:space="preserve">
IFERROR(
IF(AM$1="",0,
IF(AND(
$AA34&gt;=VLOOKUP(AM$6, Table_ChiPhiNV_Ca[], COUNTA(Table_ChiPhiNV_Ca[[#Headers],[Ca]:[Bắt đầu nghỉ]]),0),
$AA34&lt;VLOOKUP(AM$6, Table_ChiPhiNV_Ca[], COUNTA(Table_ChiPhiNV_Ca[[#Headers],[Ca]:[Kết thúc nghỉ]]),0)
),0,
IF(NOT(ISBLANK(AM$3)),
IF(ISBLANK(AM$7),0,
IF(AM$4 &lt; AM$5,
IF($AA34-$Z$4&lt;AM$4,0,
IF($AA34&gt;AM$5,0,
SUM(_xlfn._xlws.FILTER(Table_BangLuong_TyLeTangCa[Tỷ lệ],
(Table_BangLuong_TyLeTangCa[Ngày] = AM$3) *
(Table_BangLuong_TyLeTangCa[Giờ min]&lt;=$AA34) *
(Table_BangLuong_TyLeTangCa[Giờ max]&gt;$AA34)
)))),
IF(AND($AA34-$Z$4 &gt;= AM$5,$AA34 &lt; AM$4),0,
SUM(_xlfn._xlws.FILTER(Table_BangLuong_TyLeTangCa[Tỷ lệ],
(Table_BangLuong_TyLeTangCa[Ngày] = AM$3) *
(Table_BangLuong_TyLeTangCa[Giờ min]&lt;=$AA34) *
(Table_BangLuong_TyLeTangCa[Giờ max]&gt;$AA34)
))))
),
IF(ISBLANK(AM$7),
IF(VLOOKUP(AM$6, Table_ChiPhiNV_Ca[], COUNTA(Table_ChiPhiNV_Ca[[#Headers],[Ca]:[Kết thúc]]),0)&gt; VLOOKUP(AM$6, Table_ChiPhiNV_Ca[], COUNTA(Table_ChiPhiNV_Ca[[#Headers],[Ca]:[Bắt đầu]]),0),
IF($AA34-$Z$4&lt;MAX(AM$4,VLOOKUP(AM$6, Table_ChiPhiNV_Ca[], COUNTA(Table_ChiPhiNV_Ca[[#Headers],[Ca]:[Bắt đầu]]),0)),0,
IF($AA34&gt;MIN(AM$5,VLOOKUP(AM$6, Table_ChiPhiNV_Ca[], COUNTA(Table_ChiPhiNV_Ca[[#Headers],[Ca]:[Kết thúc]]),0)),0,
SUM(_xlfn._xlws.FILTER(Table_BangLuong_TyLeTangCa[Tỷ lệ],
(Table_BangLuong_TyLeTangCa[Ngày] = "Thường") *
(Table_BangLuong_TyLeTangCa[Giờ min]&lt;=$AA34) *
(Table_BangLuong_TyLeTangCa[Giờ max]&gt;$AA34)
)))),
IF(AM$4 &gt; AM$5,
IF(
AND(
$AA34-$Z$4&lt;MAX(AM$4,VLOOKUP(AM$6, Table_ChiPhiNV_Ca[], COUNTA(Table_ChiPhiNV_Ca[[#Headers],[Ca]:[Bắt đầu]]),0)),
$AA34&gt;MIN(AM$5,VLOOKUP(AM$6, Table_ChiPhiNV_Ca[], COUNTA(Table_ChiPhiNV_Ca[[#Headers],[Ca]:[Kết thúc]]),0))),0,
SUM(_xlfn._xlws.FILTER(Table_BangLuong_TyLeTangCa[Tỷ lệ],
(Table_BangLuong_TyLeTangCa[Ngày] = "Thường") *
(Table_BangLuong_TyLeTangCa[Giờ min]&lt;=$AA34) *
(Table_BangLuong_TyLeTangCa[Giờ max]&gt;$AA34)
))),
IF(
AND(
$AA34-$Z$4&gt;=MAX(AM$4,VLOOKUP(AM$6, Table_ChiPhiNV_Ca[], COUNTA(Table_ChiPhiNV_Ca[[#Headers],[Ca]:[Bắt đầu]]),0)),
$AA34&lt;MIN(AM$5,VLOOKUP(AM$6, Table_ChiPhiNV_Ca[], COUNTA(Table_ChiPhiNV_Ca[[#Headers],[Ca]:[Kết thúc]]),0))),
SUM(_xlfn._xlws.FILTER(Table_BangLuong_TyLeTangCa[Tỷ lệ],
(Table_BangLuong_TyLeTangCa[Ngày] = "Thường") *
(Table_BangLuong_TyLeTangCa[Giờ min]&lt;=$AA34) *
(Table_BangLuong_TyLeTangCa[Giờ max]&gt;$AA34)
)),0)
)),
IF(AM$4 &lt; AM$5,
IF($AA34-$Z$4&lt;AM$4,0,
IF($AA34&gt;AM$5,0,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AM$5,$AA34 &lt; AM$4),0,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N34" s="18" cm="1">
        <f t="array" ref="AN34" xml:space="preserve">
IFERROR(
IF(AN$1="",0,
IF(AND(
$AA34&gt;=VLOOKUP(AN$6, Table_ChiPhiNV_Ca[], COUNTA(Table_ChiPhiNV_Ca[[#Headers],[Ca]:[Bắt đầu nghỉ]]),0),
$AA34&lt;VLOOKUP(AN$6, Table_ChiPhiNV_Ca[], COUNTA(Table_ChiPhiNV_Ca[[#Headers],[Ca]:[Kết thúc nghỉ]]),0)
),0,
IF(NOT(ISBLANK(AN$3)),
IF(ISBLANK(AN$7),0,
IF(AN$4 &lt; AN$5,
IF($AA34-$Z$4&lt;AN$4,0,
IF($AA34&gt;AN$5,0,
SUM(_xlfn._xlws.FILTER(Table_BangLuong_TyLeTangCa[Tỷ lệ],
(Table_BangLuong_TyLeTangCa[Ngày] = AN$3) *
(Table_BangLuong_TyLeTangCa[Giờ min]&lt;=$AA34) *
(Table_BangLuong_TyLeTangCa[Giờ max]&gt;$AA34)
)))),
IF(AND($AA34-$Z$4 &gt;= AN$5,$AA34 &lt; AN$4),0,
SUM(_xlfn._xlws.FILTER(Table_BangLuong_TyLeTangCa[Tỷ lệ],
(Table_BangLuong_TyLeTangCa[Ngày] = AN$3) *
(Table_BangLuong_TyLeTangCa[Giờ min]&lt;=$AA34) *
(Table_BangLuong_TyLeTangCa[Giờ max]&gt;$AA34)
))))
),
IF(ISBLANK(AN$7),
IF(VLOOKUP(AN$6, Table_ChiPhiNV_Ca[], COUNTA(Table_ChiPhiNV_Ca[[#Headers],[Ca]:[Kết thúc]]),0)&gt; VLOOKUP(AN$6, Table_ChiPhiNV_Ca[], COUNTA(Table_ChiPhiNV_Ca[[#Headers],[Ca]:[Bắt đầu]]),0),
IF($AA34-$Z$4&lt;MAX(AN$4,VLOOKUP(AN$6, Table_ChiPhiNV_Ca[], COUNTA(Table_ChiPhiNV_Ca[[#Headers],[Ca]:[Bắt đầu]]),0)),0,
IF($AA34&gt;MIN(AN$5,VLOOKUP(AN$6, Table_ChiPhiNV_Ca[], COUNTA(Table_ChiPhiNV_Ca[[#Headers],[Ca]:[Kết thúc]]),0)),0,
SUM(_xlfn._xlws.FILTER(Table_BangLuong_TyLeTangCa[Tỷ lệ],
(Table_BangLuong_TyLeTangCa[Ngày] = "Thường") *
(Table_BangLuong_TyLeTangCa[Giờ min]&lt;=$AA34) *
(Table_BangLuong_TyLeTangCa[Giờ max]&gt;$AA34)
)))),
IF(AN$4 &gt; AN$5,
IF(
AND(
$AA34-$Z$4&lt;MAX(AN$4,VLOOKUP(AN$6, Table_ChiPhiNV_Ca[], COUNTA(Table_ChiPhiNV_Ca[[#Headers],[Ca]:[Bắt đầu]]),0)),
$AA34&gt;MIN(AN$5,VLOOKUP(AN$6, Table_ChiPhiNV_Ca[], COUNTA(Table_ChiPhiNV_Ca[[#Headers],[Ca]:[Kết thúc]]),0))),0,
SUM(_xlfn._xlws.FILTER(Table_BangLuong_TyLeTangCa[Tỷ lệ],
(Table_BangLuong_TyLeTangCa[Ngày] = "Thường") *
(Table_BangLuong_TyLeTangCa[Giờ min]&lt;=$AA34) *
(Table_BangLuong_TyLeTangCa[Giờ max]&gt;$AA34)
))),
IF(
AND(
$AA34-$Z$4&gt;=MAX(AN$4,VLOOKUP(AN$6, Table_ChiPhiNV_Ca[], COUNTA(Table_ChiPhiNV_Ca[[#Headers],[Ca]:[Bắt đầu]]),0)),
$AA34&lt;MIN(AN$5,VLOOKUP(AN$6, Table_ChiPhiNV_Ca[], COUNTA(Table_ChiPhiNV_Ca[[#Headers],[Ca]:[Kết thúc]]),0))),
SUM(_xlfn._xlws.FILTER(Table_BangLuong_TyLeTangCa[Tỷ lệ],
(Table_BangLuong_TyLeTangCa[Ngày] = "Thường") *
(Table_BangLuong_TyLeTangCa[Giờ min]&lt;=$AA34) *
(Table_BangLuong_TyLeTangCa[Giờ max]&gt;$AA34)
)),0)
)),
IF(AN$4 &lt; AN$5,
IF($AA34-$Z$4&lt;AN$4,0,
IF($AA34&gt;AN$5,0,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AN$5,$AA34 &lt; AN$4),0,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O34" s="18" cm="1">
        <f t="array" ref="AO34" xml:space="preserve">
IFERROR(
IF(AO$1="",0,
IF(AND(
$AA34&gt;=VLOOKUP(AO$6, Table_ChiPhiNV_Ca[], COUNTA(Table_ChiPhiNV_Ca[[#Headers],[Ca]:[Bắt đầu nghỉ]]),0),
$AA34&lt;VLOOKUP(AO$6, Table_ChiPhiNV_Ca[], COUNTA(Table_ChiPhiNV_Ca[[#Headers],[Ca]:[Kết thúc nghỉ]]),0)
),0,
IF(NOT(ISBLANK(AO$3)),
IF(ISBLANK(AO$7),0,
IF(AO$4 &lt; AO$5,
IF($AA34-$Z$4&lt;AO$4,0,
IF($AA34&gt;AO$5,0,
SUM(_xlfn._xlws.FILTER(Table_BangLuong_TyLeTangCa[Tỷ lệ],
(Table_BangLuong_TyLeTangCa[Ngày] = AO$3) *
(Table_BangLuong_TyLeTangCa[Giờ min]&lt;=$AA34) *
(Table_BangLuong_TyLeTangCa[Giờ max]&gt;$AA34)
)))),
IF(AND($AA34-$Z$4 &gt;= AO$5,$AA34 &lt; AO$4),0,
SUM(_xlfn._xlws.FILTER(Table_BangLuong_TyLeTangCa[Tỷ lệ],
(Table_BangLuong_TyLeTangCa[Ngày] = AO$3) *
(Table_BangLuong_TyLeTangCa[Giờ min]&lt;=$AA34) *
(Table_BangLuong_TyLeTangCa[Giờ max]&gt;$AA34)
))))
),
IF(ISBLANK(AO$7),
IF(VLOOKUP(AO$6, Table_ChiPhiNV_Ca[], COUNTA(Table_ChiPhiNV_Ca[[#Headers],[Ca]:[Kết thúc]]),0)&gt; VLOOKUP(AO$6, Table_ChiPhiNV_Ca[], COUNTA(Table_ChiPhiNV_Ca[[#Headers],[Ca]:[Bắt đầu]]),0),
IF($AA34-$Z$4&lt;MAX(AO$4,VLOOKUP(AO$6, Table_ChiPhiNV_Ca[], COUNTA(Table_ChiPhiNV_Ca[[#Headers],[Ca]:[Bắt đầu]]),0)),0,
IF($AA34&gt;MIN(AO$5,VLOOKUP(AO$6, Table_ChiPhiNV_Ca[], COUNTA(Table_ChiPhiNV_Ca[[#Headers],[Ca]:[Kết thúc]]),0)),0,
SUM(_xlfn._xlws.FILTER(Table_BangLuong_TyLeTangCa[Tỷ lệ],
(Table_BangLuong_TyLeTangCa[Ngày] = "Thường") *
(Table_BangLuong_TyLeTangCa[Giờ min]&lt;=$AA34) *
(Table_BangLuong_TyLeTangCa[Giờ max]&gt;$AA34)
)))),
IF(AO$4 &gt; AO$5,
IF(
AND(
$AA34-$Z$4&lt;MAX(AO$4,VLOOKUP(AO$6, Table_ChiPhiNV_Ca[], COUNTA(Table_ChiPhiNV_Ca[[#Headers],[Ca]:[Bắt đầu]]),0)),
$AA34&gt;MIN(AO$5,VLOOKUP(AO$6, Table_ChiPhiNV_Ca[], COUNTA(Table_ChiPhiNV_Ca[[#Headers],[Ca]:[Kết thúc]]),0))),0,
SUM(_xlfn._xlws.FILTER(Table_BangLuong_TyLeTangCa[Tỷ lệ],
(Table_BangLuong_TyLeTangCa[Ngày] = "Thường") *
(Table_BangLuong_TyLeTangCa[Giờ min]&lt;=$AA34) *
(Table_BangLuong_TyLeTangCa[Giờ max]&gt;$AA34)
))),
IF(
AND(
$AA34-$Z$4&gt;=MAX(AO$4,VLOOKUP(AO$6, Table_ChiPhiNV_Ca[], COUNTA(Table_ChiPhiNV_Ca[[#Headers],[Ca]:[Bắt đầu]]),0)),
$AA34&lt;MIN(AO$5,VLOOKUP(AO$6, Table_ChiPhiNV_Ca[], COUNTA(Table_ChiPhiNV_Ca[[#Headers],[Ca]:[Kết thúc]]),0))),
SUM(_xlfn._xlws.FILTER(Table_BangLuong_TyLeTangCa[Tỷ lệ],
(Table_BangLuong_TyLeTangCa[Ngày] = "Thường") *
(Table_BangLuong_TyLeTangCa[Giờ min]&lt;=$AA34) *
(Table_BangLuong_TyLeTangCa[Giờ max]&gt;$AA34)
)),0)
)),
IF(AO$4 &lt; AO$5,
IF($AA34-$Z$4&lt;AO$4,0,
IF($AA34&gt;AO$5,0,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AO$5,$AA34 &lt; AO$4),0,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P34" s="18" cm="1">
        <f t="array" ref="AP34" xml:space="preserve">
IFERROR(
IF(AP$1="",0,
IF(AND(
$AA34&gt;=VLOOKUP(AP$6, Table_ChiPhiNV_Ca[], COUNTA(Table_ChiPhiNV_Ca[[#Headers],[Ca]:[Bắt đầu nghỉ]]),0),
$AA34&lt;VLOOKUP(AP$6, Table_ChiPhiNV_Ca[], COUNTA(Table_ChiPhiNV_Ca[[#Headers],[Ca]:[Kết thúc nghỉ]]),0)
),0,
IF(NOT(ISBLANK(AP$3)),
IF(ISBLANK(AP$7),0,
IF(AP$4 &lt; AP$5,
IF($AA34-$Z$4&lt;AP$4,0,
IF($AA34&gt;AP$5,0,
SUM(_xlfn._xlws.FILTER(Table_BangLuong_TyLeTangCa[Tỷ lệ],
(Table_BangLuong_TyLeTangCa[Ngày] = AP$3) *
(Table_BangLuong_TyLeTangCa[Giờ min]&lt;=$AA34) *
(Table_BangLuong_TyLeTangCa[Giờ max]&gt;$AA34)
)))),
IF(AND($AA34-$Z$4 &gt;= AP$5,$AA34 &lt; AP$4),0,
SUM(_xlfn._xlws.FILTER(Table_BangLuong_TyLeTangCa[Tỷ lệ],
(Table_BangLuong_TyLeTangCa[Ngày] = AP$3) *
(Table_BangLuong_TyLeTangCa[Giờ min]&lt;=$AA34) *
(Table_BangLuong_TyLeTangCa[Giờ max]&gt;$AA34)
))))
),
IF(ISBLANK(AP$7),
IF(VLOOKUP(AP$6, Table_ChiPhiNV_Ca[], COUNTA(Table_ChiPhiNV_Ca[[#Headers],[Ca]:[Kết thúc]]),0)&gt; VLOOKUP(AP$6, Table_ChiPhiNV_Ca[], COUNTA(Table_ChiPhiNV_Ca[[#Headers],[Ca]:[Bắt đầu]]),0),
IF($AA34-$Z$4&lt;MAX(AP$4,VLOOKUP(AP$6, Table_ChiPhiNV_Ca[], COUNTA(Table_ChiPhiNV_Ca[[#Headers],[Ca]:[Bắt đầu]]),0)),0,
IF($AA34&gt;MIN(AP$5,VLOOKUP(AP$6, Table_ChiPhiNV_Ca[], COUNTA(Table_ChiPhiNV_Ca[[#Headers],[Ca]:[Kết thúc]]),0)),0,
SUM(_xlfn._xlws.FILTER(Table_BangLuong_TyLeTangCa[Tỷ lệ],
(Table_BangLuong_TyLeTangCa[Ngày] = "Thường") *
(Table_BangLuong_TyLeTangCa[Giờ min]&lt;=$AA34) *
(Table_BangLuong_TyLeTangCa[Giờ max]&gt;$AA34)
)))),
IF(AP$4 &gt; AP$5,
IF(
AND(
$AA34-$Z$4&lt;MAX(AP$4,VLOOKUP(AP$6, Table_ChiPhiNV_Ca[], COUNTA(Table_ChiPhiNV_Ca[[#Headers],[Ca]:[Bắt đầu]]),0)),
$AA34&gt;MIN(AP$5,VLOOKUP(AP$6, Table_ChiPhiNV_Ca[], COUNTA(Table_ChiPhiNV_Ca[[#Headers],[Ca]:[Kết thúc]]),0))),0,
SUM(_xlfn._xlws.FILTER(Table_BangLuong_TyLeTangCa[Tỷ lệ],
(Table_BangLuong_TyLeTangCa[Ngày] = "Thường") *
(Table_BangLuong_TyLeTangCa[Giờ min]&lt;=$AA34) *
(Table_BangLuong_TyLeTangCa[Giờ max]&gt;$AA34)
))),
IF(
AND(
$AA34-$Z$4&gt;=MAX(AP$4,VLOOKUP(AP$6, Table_ChiPhiNV_Ca[], COUNTA(Table_ChiPhiNV_Ca[[#Headers],[Ca]:[Bắt đầu]]),0)),
$AA34&lt;MIN(AP$5,VLOOKUP(AP$6, Table_ChiPhiNV_Ca[], COUNTA(Table_ChiPhiNV_Ca[[#Headers],[Ca]:[Kết thúc]]),0))),
SUM(_xlfn._xlws.FILTER(Table_BangLuong_TyLeTangCa[Tỷ lệ],
(Table_BangLuong_TyLeTangCa[Ngày] = "Thường") *
(Table_BangLuong_TyLeTangCa[Giờ min]&lt;=$AA34) *
(Table_BangLuong_TyLeTangCa[Giờ max]&gt;$AA34)
)),0)
)),
IF(AP$4 &lt; AP$5,
IF($AA34-$Z$4&lt;AP$4,0,
IF($AA34&gt;AP$5,0,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AP$5,$AA34 &lt; AP$4),0,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Q34" s="18" cm="1">
        <f t="array" ref="AQ34" xml:space="preserve">
IFERROR(
IF(AQ$1="",0,
IF(AND(
$AA34&gt;=VLOOKUP(AQ$6, Table_ChiPhiNV_Ca[], COUNTA(Table_ChiPhiNV_Ca[[#Headers],[Ca]:[Bắt đầu nghỉ]]),0),
$AA34&lt;VLOOKUP(AQ$6, Table_ChiPhiNV_Ca[], COUNTA(Table_ChiPhiNV_Ca[[#Headers],[Ca]:[Kết thúc nghỉ]]),0)
),0,
IF(NOT(ISBLANK(AQ$3)),
IF(ISBLANK(AQ$7),0,
IF(AQ$4 &lt; AQ$5,
IF($AA34-$Z$4&lt;AQ$4,0,
IF($AA34&gt;AQ$5,0,
SUM(_xlfn._xlws.FILTER(Table_BangLuong_TyLeTangCa[Tỷ lệ],
(Table_BangLuong_TyLeTangCa[Ngày] = AQ$3) *
(Table_BangLuong_TyLeTangCa[Giờ min]&lt;=$AA34) *
(Table_BangLuong_TyLeTangCa[Giờ max]&gt;$AA34)
)))),
IF(AND($AA34-$Z$4 &gt;= AQ$5,$AA34 &lt; AQ$4),0,
SUM(_xlfn._xlws.FILTER(Table_BangLuong_TyLeTangCa[Tỷ lệ],
(Table_BangLuong_TyLeTangCa[Ngày] = AQ$3) *
(Table_BangLuong_TyLeTangCa[Giờ min]&lt;=$AA34) *
(Table_BangLuong_TyLeTangCa[Giờ max]&gt;$AA34)
))))
),
IF(ISBLANK(AQ$7),
IF(VLOOKUP(AQ$6, Table_ChiPhiNV_Ca[], COUNTA(Table_ChiPhiNV_Ca[[#Headers],[Ca]:[Kết thúc]]),0)&gt; VLOOKUP(AQ$6, Table_ChiPhiNV_Ca[], COUNTA(Table_ChiPhiNV_Ca[[#Headers],[Ca]:[Bắt đầu]]),0),
IF($AA34-$Z$4&lt;MAX(AQ$4,VLOOKUP(AQ$6, Table_ChiPhiNV_Ca[], COUNTA(Table_ChiPhiNV_Ca[[#Headers],[Ca]:[Bắt đầu]]),0)),0,
IF($AA34&gt;MIN(AQ$5,VLOOKUP(AQ$6, Table_ChiPhiNV_Ca[], COUNTA(Table_ChiPhiNV_Ca[[#Headers],[Ca]:[Kết thúc]]),0)),0,
SUM(_xlfn._xlws.FILTER(Table_BangLuong_TyLeTangCa[Tỷ lệ],
(Table_BangLuong_TyLeTangCa[Ngày] = "Thường") *
(Table_BangLuong_TyLeTangCa[Giờ min]&lt;=$AA34) *
(Table_BangLuong_TyLeTangCa[Giờ max]&gt;$AA34)
)))),
IF(AQ$4 &gt; AQ$5,
IF(
AND(
$AA34-$Z$4&lt;MAX(AQ$4,VLOOKUP(AQ$6, Table_ChiPhiNV_Ca[], COUNTA(Table_ChiPhiNV_Ca[[#Headers],[Ca]:[Bắt đầu]]),0)),
$AA34&gt;MIN(AQ$5,VLOOKUP(AQ$6, Table_ChiPhiNV_Ca[], COUNTA(Table_ChiPhiNV_Ca[[#Headers],[Ca]:[Kết thúc]]),0))),0,
SUM(_xlfn._xlws.FILTER(Table_BangLuong_TyLeTangCa[Tỷ lệ],
(Table_BangLuong_TyLeTangCa[Ngày] = "Thường") *
(Table_BangLuong_TyLeTangCa[Giờ min]&lt;=$AA34) *
(Table_BangLuong_TyLeTangCa[Giờ max]&gt;$AA34)
))),
IF(
AND(
$AA34-$Z$4&gt;=MAX(AQ$4,VLOOKUP(AQ$6, Table_ChiPhiNV_Ca[], COUNTA(Table_ChiPhiNV_Ca[[#Headers],[Ca]:[Bắt đầu]]),0)),
$AA34&lt;MIN(AQ$5,VLOOKUP(AQ$6, Table_ChiPhiNV_Ca[], COUNTA(Table_ChiPhiNV_Ca[[#Headers],[Ca]:[Kết thúc]]),0))),
SUM(_xlfn._xlws.FILTER(Table_BangLuong_TyLeTangCa[Tỷ lệ],
(Table_BangLuong_TyLeTangCa[Ngày] = "Thường") *
(Table_BangLuong_TyLeTangCa[Giờ min]&lt;=$AA34) *
(Table_BangLuong_TyLeTangCa[Giờ max]&gt;$AA34)
)),0)
)),
IF(AQ$4 &lt; AQ$5,
IF($AA34-$Z$4&lt;AQ$4,0,
IF($AA34&gt;AQ$5,0,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AQ$5,$AA34 &lt; AQ$4),0,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R34" s="18" cm="1">
        <f t="array" ref="AR34" xml:space="preserve">
IFERROR(
IF(AR$1="",0,
IF(AND(
$AA34&gt;=VLOOKUP(AR$6, Table_ChiPhiNV_Ca[], COUNTA(Table_ChiPhiNV_Ca[[#Headers],[Ca]:[Bắt đầu nghỉ]]),0),
$AA34&lt;VLOOKUP(AR$6, Table_ChiPhiNV_Ca[], COUNTA(Table_ChiPhiNV_Ca[[#Headers],[Ca]:[Kết thúc nghỉ]]),0)
),0,
IF(NOT(ISBLANK(AR$3)),
IF(ISBLANK(AR$7),0,
IF(AR$4 &lt; AR$5,
IF($AA34-$Z$4&lt;AR$4,0,
IF($AA34&gt;AR$5,0,
SUM(_xlfn._xlws.FILTER(Table_BangLuong_TyLeTangCa[Tỷ lệ],
(Table_BangLuong_TyLeTangCa[Ngày] = AR$3) *
(Table_BangLuong_TyLeTangCa[Giờ min]&lt;=$AA34) *
(Table_BangLuong_TyLeTangCa[Giờ max]&gt;$AA34)
)))),
IF(AND($AA34-$Z$4 &gt;= AR$5,$AA34 &lt; AR$4),0,
SUM(_xlfn._xlws.FILTER(Table_BangLuong_TyLeTangCa[Tỷ lệ],
(Table_BangLuong_TyLeTangCa[Ngày] = AR$3) *
(Table_BangLuong_TyLeTangCa[Giờ min]&lt;=$AA34) *
(Table_BangLuong_TyLeTangCa[Giờ max]&gt;$AA34)
))))
),
IF(ISBLANK(AR$7),
IF(VLOOKUP(AR$6, Table_ChiPhiNV_Ca[], COUNTA(Table_ChiPhiNV_Ca[[#Headers],[Ca]:[Kết thúc]]),0)&gt; VLOOKUP(AR$6, Table_ChiPhiNV_Ca[], COUNTA(Table_ChiPhiNV_Ca[[#Headers],[Ca]:[Bắt đầu]]),0),
IF($AA34-$Z$4&lt;MAX(AR$4,VLOOKUP(AR$6, Table_ChiPhiNV_Ca[], COUNTA(Table_ChiPhiNV_Ca[[#Headers],[Ca]:[Bắt đầu]]),0)),0,
IF($AA34&gt;MIN(AR$5,VLOOKUP(AR$6, Table_ChiPhiNV_Ca[], COUNTA(Table_ChiPhiNV_Ca[[#Headers],[Ca]:[Kết thúc]]),0)),0,
SUM(_xlfn._xlws.FILTER(Table_BangLuong_TyLeTangCa[Tỷ lệ],
(Table_BangLuong_TyLeTangCa[Ngày] = "Thường") *
(Table_BangLuong_TyLeTangCa[Giờ min]&lt;=$AA34) *
(Table_BangLuong_TyLeTangCa[Giờ max]&gt;$AA34)
)))),
IF(AR$4 &gt; AR$5,
IF(
AND(
$AA34-$Z$4&lt;MAX(AR$4,VLOOKUP(AR$6, Table_ChiPhiNV_Ca[], COUNTA(Table_ChiPhiNV_Ca[[#Headers],[Ca]:[Bắt đầu]]),0)),
$AA34&gt;MIN(AR$5,VLOOKUP(AR$6, Table_ChiPhiNV_Ca[], COUNTA(Table_ChiPhiNV_Ca[[#Headers],[Ca]:[Kết thúc]]),0))),0,
SUM(_xlfn._xlws.FILTER(Table_BangLuong_TyLeTangCa[Tỷ lệ],
(Table_BangLuong_TyLeTangCa[Ngày] = "Thường") *
(Table_BangLuong_TyLeTangCa[Giờ min]&lt;=$AA34) *
(Table_BangLuong_TyLeTangCa[Giờ max]&gt;$AA34)
))),
IF(
AND(
$AA34-$Z$4&gt;=MAX(AR$4,VLOOKUP(AR$6, Table_ChiPhiNV_Ca[], COUNTA(Table_ChiPhiNV_Ca[[#Headers],[Ca]:[Bắt đầu]]),0)),
$AA34&lt;MIN(AR$5,VLOOKUP(AR$6, Table_ChiPhiNV_Ca[], COUNTA(Table_ChiPhiNV_Ca[[#Headers],[Ca]:[Kết thúc]]),0))),
SUM(_xlfn._xlws.FILTER(Table_BangLuong_TyLeTangCa[Tỷ lệ],
(Table_BangLuong_TyLeTangCa[Ngày] = "Thường") *
(Table_BangLuong_TyLeTangCa[Giờ min]&lt;=$AA34) *
(Table_BangLuong_TyLeTangCa[Giờ max]&gt;$AA34)
)),0)
)),
IF(AR$4 &lt; AR$5,
IF($AA34-$Z$4&lt;AR$4,0,
IF($AA34&gt;AR$5,0,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AR$5,$AA34 &lt; AR$4),0,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S34" s="18" cm="1">
        <f t="array" ref="AS34" xml:space="preserve">
IFERROR(
IF(AS$1="",0,
IF(AND(
$AA34&gt;=VLOOKUP(AS$6, Table_ChiPhiNV_Ca[], COUNTA(Table_ChiPhiNV_Ca[[#Headers],[Ca]:[Bắt đầu nghỉ]]),0),
$AA34&lt;VLOOKUP(AS$6, Table_ChiPhiNV_Ca[], COUNTA(Table_ChiPhiNV_Ca[[#Headers],[Ca]:[Kết thúc nghỉ]]),0)
),0,
IF(NOT(ISBLANK(AS$3)),
IF(ISBLANK(AS$7),0,
IF(AS$4 &lt; AS$5,
IF($AA34-$Z$4&lt;AS$4,0,
IF($AA34&gt;AS$5,0,
SUM(_xlfn._xlws.FILTER(Table_BangLuong_TyLeTangCa[Tỷ lệ],
(Table_BangLuong_TyLeTangCa[Ngày] = AS$3) *
(Table_BangLuong_TyLeTangCa[Giờ min]&lt;=$AA34) *
(Table_BangLuong_TyLeTangCa[Giờ max]&gt;$AA34)
)))),
IF(AND($AA34-$Z$4 &gt;= AS$5,$AA34 &lt; AS$4),0,
SUM(_xlfn._xlws.FILTER(Table_BangLuong_TyLeTangCa[Tỷ lệ],
(Table_BangLuong_TyLeTangCa[Ngày] = AS$3) *
(Table_BangLuong_TyLeTangCa[Giờ min]&lt;=$AA34) *
(Table_BangLuong_TyLeTangCa[Giờ max]&gt;$AA34)
))))
),
IF(ISBLANK(AS$7),
IF(VLOOKUP(AS$6, Table_ChiPhiNV_Ca[], COUNTA(Table_ChiPhiNV_Ca[[#Headers],[Ca]:[Kết thúc]]),0)&gt; VLOOKUP(AS$6, Table_ChiPhiNV_Ca[], COUNTA(Table_ChiPhiNV_Ca[[#Headers],[Ca]:[Bắt đầu]]),0),
IF($AA34-$Z$4&lt;MAX(AS$4,VLOOKUP(AS$6, Table_ChiPhiNV_Ca[], COUNTA(Table_ChiPhiNV_Ca[[#Headers],[Ca]:[Bắt đầu]]),0)),0,
IF($AA34&gt;MIN(AS$5,VLOOKUP(AS$6, Table_ChiPhiNV_Ca[], COUNTA(Table_ChiPhiNV_Ca[[#Headers],[Ca]:[Kết thúc]]),0)),0,
SUM(_xlfn._xlws.FILTER(Table_BangLuong_TyLeTangCa[Tỷ lệ],
(Table_BangLuong_TyLeTangCa[Ngày] = "Thường") *
(Table_BangLuong_TyLeTangCa[Giờ min]&lt;=$AA34) *
(Table_BangLuong_TyLeTangCa[Giờ max]&gt;$AA34)
)))),
IF(AS$4 &gt; AS$5,
IF(
AND(
$AA34-$Z$4&lt;MAX(AS$4,VLOOKUP(AS$6, Table_ChiPhiNV_Ca[], COUNTA(Table_ChiPhiNV_Ca[[#Headers],[Ca]:[Bắt đầu]]),0)),
$AA34&gt;MIN(AS$5,VLOOKUP(AS$6, Table_ChiPhiNV_Ca[], COUNTA(Table_ChiPhiNV_Ca[[#Headers],[Ca]:[Kết thúc]]),0))),0,
SUM(_xlfn._xlws.FILTER(Table_BangLuong_TyLeTangCa[Tỷ lệ],
(Table_BangLuong_TyLeTangCa[Ngày] = "Thường") *
(Table_BangLuong_TyLeTangCa[Giờ min]&lt;=$AA34) *
(Table_BangLuong_TyLeTangCa[Giờ max]&gt;$AA34)
))),
IF(
AND(
$AA34-$Z$4&gt;=MAX(AS$4,VLOOKUP(AS$6, Table_ChiPhiNV_Ca[], COUNTA(Table_ChiPhiNV_Ca[[#Headers],[Ca]:[Bắt đầu]]),0)),
$AA34&lt;MIN(AS$5,VLOOKUP(AS$6, Table_ChiPhiNV_Ca[], COUNTA(Table_ChiPhiNV_Ca[[#Headers],[Ca]:[Kết thúc]]),0))),
SUM(_xlfn._xlws.FILTER(Table_BangLuong_TyLeTangCa[Tỷ lệ],
(Table_BangLuong_TyLeTangCa[Ngày] = "Thường") *
(Table_BangLuong_TyLeTangCa[Giờ min]&lt;=$AA34) *
(Table_BangLuong_TyLeTangCa[Giờ max]&gt;$AA34)
)),0)
)),
IF(AS$4 &lt; AS$5,
IF($AA34-$Z$4&lt;AS$4,0,
IF($AA34&gt;AS$5,0,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AS$5,$AA34 &lt; AS$4),0,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T34" s="18" cm="1">
        <f t="array" ref="AT34" xml:space="preserve">
IFERROR(
IF(AT$1="",0,
IF(AND(
$AA34&gt;=VLOOKUP(AT$6, Table_ChiPhiNV_Ca[], COUNTA(Table_ChiPhiNV_Ca[[#Headers],[Ca]:[Bắt đầu nghỉ]]),0),
$AA34&lt;VLOOKUP(AT$6, Table_ChiPhiNV_Ca[], COUNTA(Table_ChiPhiNV_Ca[[#Headers],[Ca]:[Kết thúc nghỉ]]),0)
),0,
IF(NOT(ISBLANK(AT$3)),
IF(ISBLANK(AT$7),0,
IF(AT$4 &lt; AT$5,
IF($AA34-$Z$4&lt;AT$4,0,
IF($AA34&gt;AT$5,0,
SUM(_xlfn._xlws.FILTER(Table_BangLuong_TyLeTangCa[Tỷ lệ],
(Table_BangLuong_TyLeTangCa[Ngày] = AT$3) *
(Table_BangLuong_TyLeTangCa[Giờ min]&lt;=$AA34) *
(Table_BangLuong_TyLeTangCa[Giờ max]&gt;$AA34)
)))),
IF(AND($AA34-$Z$4 &gt;= AT$5,$AA34 &lt; AT$4),0,
SUM(_xlfn._xlws.FILTER(Table_BangLuong_TyLeTangCa[Tỷ lệ],
(Table_BangLuong_TyLeTangCa[Ngày] = AT$3) *
(Table_BangLuong_TyLeTangCa[Giờ min]&lt;=$AA34) *
(Table_BangLuong_TyLeTangCa[Giờ max]&gt;$AA34)
))))
),
IF(ISBLANK(AT$7),
IF(VLOOKUP(AT$6, Table_ChiPhiNV_Ca[], COUNTA(Table_ChiPhiNV_Ca[[#Headers],[Ca]:[Kết thúc]]),0)&gt; VLOOKUP(AT$6, Table_ChiPhiNV_Ca[], COUNTA(Table_ChiPhiNV_Ca[[#Headers],[Ca]:[Bắt đầu]]),0),
IF($AA34-$Z$4&lt;MAX(AT$4,VLOOKUP(AT$6, Table_ChiPhiNV_Ca[], COUNTA(Table_ChiPhiNV_Ca[[#Headers],[Ca]:[Bắt đầu]]),0)),0,
IF($AA34&gt;MIN(AT$5,VLOOKUP(AT$6, Table_ChiPhiNV_Ca[], COUNTA(Table_ChiPhiNV_Ca[[#Headers],[Ca]:[Kết thúc]]),0)),0,
SUM(_xlfn._xlws.FILTER(Table_BangLuong_TyLeTangCa[Tỷ lệ],
(Table_BangLuong_TyLeTangCa[Ngày] = "Thường") *
(Table_BangLuong_TyLeTangCa[Giờ min]&lt;=$AA34) *
(Table_BangLuong_TyLeTangCa[Giờ max]&gt;$AA34)
)))),
IF(AT$4 &gt; AT$5,
IF(
AND(
$AA34-$Z$4&lt;MAX(AT$4,VLOOKUP(AT$6, Table_ChiPhiNV_Ca[], COUNTA(Table_ChiPhiNV_Ca[[#Headers],[Ca]:[Bắt đầu]]),0)),
$AA34&gt;MIN(AT$5,VLOOKUP(AT$6, Table_ChiPhiNV_Ca[], COUNTA(Table_ChiPhiNV_Ca[[#Headers],[Ca]:[Kết thúc]]),0))),0,
SUM(_xlfn._xlws.FILTER(Table_BangLuong_TyLeTangCa[Tỷ lệ],
(Table_BangLuong_TyLeTangCa[Ngày] = "Thường") *
(Table_BangLuong_TyLeTangCa[Giờ min]&lt;=$AA34) *
(Table_BangLuong_TyLeTangCa[Giờ max]&gt;$AA34)
))),
IF(
AND(
$AA34-$Z$4&gt;=MAX(AT$4,VLOOKUP(AT$6, Table_ChiPhiNV_Ca[], COUNTA(Table_ChiPhiNV_Ca[[#Headers],[Ca]:[Bắt đầu]]),0)),
$AA34&lt;MIN(AT$5,VLOOKUP(AT$6, Table_ChiPhiNV_Ca[], COUNTA(Table_ChiPhiNV_Ca[[#Headers],[Ca]:[Kết thúc]]),0))),
SUM(_xlfn._xlws.FILTER(Table_BangLuong_TyLeTangCa[Tỷ lệ],
(Table_BangLuong_TyLeTangCa[Ngày] = "Thường") *
(Table_BangLuong_TyLeTangCa[Giờ min]&lt;=$AA34) *
(Table_BangLuong_TyLeTangCa[Giờ max]&gt;$AA34)
)),0)
)),
IF(AT$4 &lt; AT$5,
IF($AA34-$Z$4&lt;AT$4,0,
IF($AA34&gt;AT$5,0,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AT$5,$AA34 &lt; AT$4),0,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U34" s="18" cm="1">
        <f t="array" ref="AU34" xml:space="preserve">
IFERROR(
IF(AU$1="",0,
IF(AND(
$AA34&gt;=VLOOKUP(AU$6, Table_ChiPhiNV_Ca[], COUNTA(Table_ChiPhiNV_Ca[[#Headers],[Ca]:[Bắt đầu nghỉ]]),0),
$AA34&lt;VLOOKUP(AU$6, Table_ChiPhiNV_Ca[], COUNTA(Table_ChiPhiNV_Ca[[#Headers],[Ca]:[Kết thúc nghỉ]]),0)
),0,
IF(NOT(ISBLANK(AU$3)),
IF(ISBLANK(AU$7),0,
IF(AU$4 &lt; AU$5,
IF($AA34-$Z$4&lt;AU$4,0,
IF($AA34&gt;AU$5,0,
SUM(_xlfn._xlws.FILTER(Table_BangLuong_TyLeTangCa[Tỷ lệ],
(Table_BangLuong_TyLeTangCa[Ngày] = AU$3) *
(Table_BangLuong_TyLeTangCa[Giờ min]&lt;=$AA34) *
(Table_BangLuong_TyLeTangCa[Giờ max]&gt;$AA34)
)))),
IF(AND($AA34-$Z$4 &gt;= AU$5,$AA34 &lt; AU$4),0,
SUM(_xlfn._xlws.FILTER(Table_BangLuong_TyLeTangCa[Tỷ lệ],
(Table_BangLuong_TyLeTangCa[Ngày] = AU$3) *
(Table_BangLuong_TyLeTangCa[Giờ min]&lt;=$AA34) *
(Table_BangLuong_TyLeTangCa[Giờ max]&gt;$AA34)
))))
),
IF(ISBLANK(AU$7),
IF(VLOOKUP(AU$6, Table_ChiPhiNV_Ca[], COUNTA(Table_ChiPhiNV_Ca[[#Headers],[Ca]:[Kết thúc]]),0)&gt; VLOOKUP(AU$6, Table_ChiPhiNV_Ca[], COUNTA(Table_ChiPhiNV_Ca[[#Headers],[Ca]:[Bắt đầu]]),0),
IF($AA34-$Z$4&lt;MAX(AU$4,VLOOKUP(AU$6, Table_ChiPhiNV_Ca[], COUNTA(Table_ChiPhiNV_Ca[[#Headers],[Ca]:[Bắt đầu]]),0)),0,
IF($AA34&gt;MIN(AU$5,VLOOKUP(AU$6, Table_ChiPhiNV_Ca[], COUNTA(Table_ChiPhiNV_Ca[[#Headers],[Ca]:[Kết thúc]]),0)),0,
SUM(_xlfn._xlws.FILTER(Table_BangLuong_TyLeTangCa[Tỷ lệ],
(Table_BangLuong_TyLeTangCa[Ngày] = "Thường") *
(Table_BangLuong_TyLeTangCa[Giờ min]&lt;=$AA34) *
(Table_BangLuong_TyLeTangCa[Giờ max]&gt;$AA34)
)))),
IF(AU$4 &gt; AU$5,
IF(
AND(
$AA34-$Z$4&lt;MAX(AU$4,VLOOKUP(AU$6, Table_ChiPhiNV_Ca[], COUNTA(Table_ChiPhiNV_Ca[[#Headers],[Ca]:[Bắt đầu]]),0)),
$AA34&gt;MIN(AU$5,VLOOKUP(AU$6, Table_ChiPhiNV_Ca[], COUNTA(Table_ChiPhiNV_Ca[[#Headers],[Ca]:[Kết thúc]]),0))),0,
SUM(_xlfn._xlws.FILTER(Table_BangLuong_TyLeTangCa[Tỷ lệ],
(Table_BangLuong_TyLeTangCa[Ngày] = "Thường") *
(Table_BangLuong_TyLeTangCa[Giờ min]&lt;=$AA34) *
(Table_BangLuong_TyLeTangCa[Giờ max]&gt;$AA34)
))),
IF(
AND(
$AA34-$Z$4&gt;=MAX(AU$4,VLOOKUP(AU$6, Table_ChiPhiNV_Ca[], COUNTA(Table_ChiPhiNV_Ca[[#Headers],[Ca]:[Bắt đầu]]),0)),
$AA34&lt;MIN(AU$5,VLOOKUP(AU$6, Table_ChiPhiNV_Ca[], COUNTA(Table_ChiPhiNV_Ca[[#Headers],[Ca]:[Kết thúc]]),0))),
SUM(_xlfn._xlws.FILTER(Table_BangLuong_TyLeTangCa[Tỷ lệ],
(Table_BangLuong_TyLeTangCa[Ngày] = "Thường") *
(Table_BangLuong_TyLeTangCa[Giờ min]&lt;=$AA34) *
(Table_BangLuong_TyLeTangCa[Giờ max]&gt;$AA34)
)),0)
)),
IF(AU$4 &lt; AU$5,
IF($AA34-$Z$4&lt;AU$4,0,
IF($AA34&gt;AU$5,0,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AU$5,$AA34 &lt; AU$4),0,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V34" s="18" cm="1">
        <f t="array" ref="AV34" xml:space="preserve">
IFERROR(
IF(AV$1="",0,
IF(AND(
$AA34&gt;=VLOOKUP(AV$6, Table_ChiPhiNV_Ca[], COUNTA(Table_ChiPhiNV_Ca[[#Headers],[Ca]:[Bắt đầu nghỉ]]),0),
$AA34&lt;VLOOKUP(AV$6, Table_ChiPhiNV_Ca[], COUNTA(Table_ChiPhiNV_Ca[[#Headers],[Ca]:[Kết thúc nghỉ]]),0)
),0,
IF(NOT(ISBLANK(AV$3)),
IF(ISBLANK(AV$7),0,
IF(AV$4 &lt; AV$5,
IF($AA34-$Z$4&lt;AV$4,0,
IF($AA34&gt;AV$5,0,
SUM(_xlfn._xlws.FILTER(Table_BangLuong_TyLeTangCa[Tỷ lệ],
(Table_BangLuong_TyLeTangCa[Ngày] = AV$3) *
(Table_BangLuong_TyLeTangCa[Giờ min]&lt;=$AA34) *
(Table_BangLuong_TyLeTangCa[Giờ max]&gt;$AA34)
)))),
IF(AND($AA34-$Z$4 &gt;= AV$5,$AA34 &lt; AV$4),0,
SUM(_xlfn._xlws.FILTER(Table_BangLuong_TyLeTangCa[Tỷ lệ],
(Table_BangLuong_TyLeTangCa[Ngày] = AV$3) *
(Table_BangLuong_TyLeTangCa[Giờ min]&lt;=$AA34) *
(Table_BangLuong_TyLeTangCa[Giờ max]&gt;$AA34)
))))
),
IF(ISBLANK(AV$7),
IF(VLOOKUP(AV$6, Table_ChiPhiNV_Ca[], COUNTA(Table_ChiPhiNV_Ca[[#Headers],[Ca]:[Kết thúc]]),0)&gt; VLOOKUP(AV$6, Table_ChiPhiNV_Ca[], COUNTA(Table_ChiPhiNV_Ca[[#Headers],[Ca]:[Bắt đầu]]),0),
IF($AA34-$Z$4&lt;MAX(AV$4,VLOOKUP(AV$6, Table_ChiPhiNV_Ca[], COUNTA(Table_ChiPhiNV_Ca[[#Headers],[Ca]:[Bắt đầu]]),0)),0,
IF($AA34&gt;MIN(AV$5,VLOOKUP(AV$6, Table_ChiPhiNV_Ca[], COUNTA(Table_ChiPhiNV_Ca[[#Headers],[Ca]:[Kết thúc]]),0)),0,
SUM(_xlfn._xlws.FILTER(Table_BangLuong_TyLeTangCa[Tỷ lệ],
(Table_BangLuong_TyLeTangCa[Ngày] = "Thường") *
(Table_BangLuong_TyLeTangCa[Giờ min]&lt;=$AA34) *
(Table_BangLuong_TyLeTangCa[Giờ max]&gt;$AA34)
)))),
IF(AV$4 &gt; AV$5,
IF(
AND(
$AA34-$Z$4&lt;MAX(AV$4,VLOOKUP(AV$6, Table_ChiPhiNV_Ca[], COUNTA(Table_ChiPhiNV_Ca[[#Headers],[Ca]:[Bắt đầu]]),0)),
$AA34&gt;MIN(AV$5,VLOOKUP(AV$6, Table_ChiPhiNV_Ca[], COUNTA(Table_ChiPhiNV_Ca[[#Headers],[Ca]:[Kết thúc]]),0))),0,
SUM(_xlfn._xlws.FILTER(Table_BangLuong_TyLeTangCa[Tỷ lệ],
(Table_BangLuong_TyLeTangCa[Ngày] = "Thường") *
(Table_BangLuong_TyLeTangCa[Giờ min]&lt;=$AA34) *
(Table_BangLuong_TyLeTangCa[Giờ max]&gt;$AA34)
))),
IF(
AND(
$AA34-$Z$4&gt;=MAX(AV$4,VLOOKUP(AV$6, Table_ChiPhiNV_Ca[], COUNTA(Table_ChiPhiNV_Ca[[#Headers],[Ca]:[Bắt đầu]]),0)),
$AA34&lt;MIN(AV$5,VLOOKUP(AV$6, Table_ChiPhiNV_Ca[], COUNTA(Table_ChiPhiNV_Ca[[#Headers],[Ca]:[Kết thúc]]),0))),
SUM(_xlfn._xlws.FILTER(Table_BangLuong_TyLeTangCa[Tỷ lệ],
(Table_BangLuong_TyLeTangCa[Ngày] = "Thường") *
(Table_BangLuong_TyLeTangCa[Giờ min]&lt;=$AA34) *
(Table_BangLuong_TyLeTangCa[Giờ max]&gt;$AA34)
)),0)
)),
IF(AV$4 &lt; AV$5,
IF($AA34-$Z$4&lt;AV$4,0,
IF($AA34&gt;AV$5,0,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AV$5,$AA34 &lt; AV$4),0,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W34" s="18" cm="1">
        <f t="array" ref="AW34" xml:space="preserve">
IFERROR(
IF(AW$1="",0,
IF(AND(
$AA34&gt;=VLOOKUP(AW$6, Table_ChiPhiNV_Ca[], COUNTA(Table_ChiPhiNV_Ca[[#Headers],[Ca]:[Bắt đầu nghỉ]]),0),
$AA34&lt;VLOOKUP(AW$6, Table_ChiPhiNV_Ca[], COUNTA(Table_ChiPhiNV_Ca[[#Headers],[Ca]:[Kết thúc nghỉ]]),0)
),0,
IF(NOT(ISBLANK(AW$3)),
IF(ISBLANK(AW$7),0,
IF(AW$4 &lt; AW$5,
IF($AA34-$Z$4&lt;AW$4,0,
IF($AA34&gt;AW$5,0,
SUM(_xlfn._xlws.FILTER(Table_BangLuong_TyLeTangCa[Tỷ lệ],
(Table_BangLuong_TyLeTangCa[Ngày] = AW$3) *
(Table_BangLuong_TyLeTangCa[Giờ min]&lt;=$AA34) *
(Table_BangLuong_TyLeTangCa[Giờ max]&gt;$AA34)
)))),
IF(AND($AA34-$Z$4 &gt;= AW$5,$AA34 &lt; AW$4),0,
SUM(_xlfn._xlws.FILTER(Table_BangLuong_TyLeTangCa[Tỷ lệ],
(Table_BangLuong_TyLeTangCa[Ngày] = AW$3) *
(Table_BangLuong_TyLeTangCa[Giờ min]&lt;=$AA34) *
(Table_BangLuong_TyLeTangCa[Giờ max]&gt;$AA34)
))))
),
IF(ISBLANK(AW$7),
IF(VLOOKUP(AW$6, Table_ChiPhiNV_Ca[], COUNTA(Table_ChiPhiNV_Ca[[#Headers],[Ca]:[Kết thúc]]),0)&gt; VLOOKUP(AW$6, Table_ChiPhiNV_Ca[], COUNTA(Table_ChiPhiNV_Ca[[#Headers],[Ca]:[Bắt đầu]]),0),
IF($AA34-$Z$4&lt;MAX(AW$4,VLOOKUP(AW$6, Table_ChiPhiNV_Ca[], COUNTA(Table_ChiPhiNV_Ca[[#Headers],[Ca]:[Bắt đầu]]),0)),0,
IF($AA34&gt;MIN(AW$5,VLOOKUP(AW$6, Table_ChiPhiNV_Ca[], COUNTA(Table_ChiPhiNV_Ca[[#Headers],[Ca]:[Kết thúc]]),0)),0,
SUM(_xlfn._xlws.FILTER(Table_BangLuong_TyLeTangCa[Tỷ lệ],
(Table_BangLuong_TyLeTangCa[Ngày] = "Thường") *
(Table_BangLuong_TyLeTangCa[Giờ min]&lt;=$AA34) *
(Table_BangLuong_TyLeTangCa[Giờ max]&gt;$AA34)
)))),
IF(AW$4 &gt; AW$5,
IF(
AND(
$AA34-$Z$4&lt;MAX(AW$4,VLOOKUP(AW$6, Table_ChiPhiNV_Ca[], COUNTA(Table_ChiPhiNV_Ca[[#Headers],[Ca]:[Bắt đầu]]),0)),
$AA34&gt;MIN(AW$5,VLOOKUP(AW$6, Table_ChiPhiNV_Ca[], COUNTA(Table_ChiPhiNV_Ca[[#Headers],[Ca]:[Kết thúc]]),0))),0,
SUM(_xlfn._xlws.FILTER(Table_BangLuong_TyLeTangCa[Tỷ lệ],
(Table_BangLuong_TyLeTangCa[Ngày] = "Thường") *
(Table_BangLuong_TyLeTangCa[Giờ min]&lt;=$AA34) *
(Table_BangLuong_TyLeTangCa[Giờ max]&gt;$AA34)
))),
IF(
AND(
$AA34-$Z$4&gt;=MAX(AW$4,VLOOKUP(AW$6, Table_ChiPhiNV_Ca[], COUNTA(Table_ChiPhiNV_Ca[[#Headers],[Ca]:[Bắt đầu]]),0)),
$AA34&lt;MIN(AW$5,VLOOKUP(AW$6, Table_ChiPhiNV_Ca[], COUNTA(Table_ChiPhiNV_Ca[[#Headers],[Ca]:[Kết thúc]]),0))),
SUM(_xlfn._xlws.FILTER(Table_BangLuong_TyLeTangCa[Tỷ lệ],
(Table_BangLuong_TyLeTangCa[Ngày] = "Thường") *
(Table_BangLuong_TyLeTangCa[Giờ min]&lt;=$AA34) *
(Table_BangLuong_TyLeTangCa[Giờ max]&gt;$AA34)
)),0)
)),
IF(AW$4 &lt; AW$5,
IF($AA34-$Z$4&lt;AW$4,0,
IF($AA34&gt;AW$5,0,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AW$5,$AA34 &lt; AW$4),0,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X34" s="18" cm="1">
        <f t="array" ref="AX34" xml:space="preserve">
IFERROR(
IF(AX$1="",0,
IF(AND(
$AA34&gt;=VLOOKUP(AX$6, Table_ChiPhiNV_Ca[], COUNTA(Table_ChiPhiNV_Ca[[#Headers],[Ca]:[Bắt đầu nghỉ]]),0),
$AA34&lt;VLOOKUP(AX$6, Table_ChiPhiNV_Ca[], COUNTA(Table_ChiPhiNV_Ca[[#Headers],[Ca]:[Kết thúc nghỉ]]),0)
),0,
IF(NOT(ISBLANK(AX$3)),
IF(ISBLANK(AX$7),0,
IF(AX$4 &lt; AX$5,
IF($AA34-$Z$4&lt;AX$4,0,
IF($AA34&gt;AX$5,0,
SUM(_xlfn._xlws.FILTER(Table_BangLuong_TyLeTangCa[Tỷ lệ],
(Table_BangLuong_TyLeTangCa[Ngày] = AX$3) *
(Table_BangLuong_TyLeTangCa[Giờ min]&lt;=$AA34) *
(Table_BangLuong_TyLeTangCa[Giờ max]&gt;$AA34)
)))),
IF(AND($AA34-$Z$4 &gt;= AX$5,$AA34 &lt; AX$4),0,
SUM(_xlfn._xlws.FILTER(Table_BangLuong_TyLeTangCa[Tỷ lệ],
(Table_BangLuong_TyLeTangCa[Ngày] = AX$3) *
(Table_BangLuong_TyLeTangCa[Giờ min]&lt;=$AA34) *
(Table_BangLuong_TyLeTangCa[Giờ max]&gt;$AA34)
))))
),
IF(ISBLANK(AX$7),
IF(VLOOKUP(AX$6, Table_ChiPhiNV_Ca[], COUNTA(Table_ChiPhiNV_Ca[[#Headers],[Ca]:[Kết thúc]]),0)&gt; VLOOKUP(AX$6, Table_ChiPhiNV_Ca[], COUNTA(Table_ChiPhiNV_Ca[[#Headers],[Ca]:[Bắt đầu]]),0),
IF($AA34-$Z$4&lt;MAX(AX$4,VLOOKUP(AX$6, Table_ChiPhiNV_Ca[], COUNTA(Table_ChiPhiNV_Ca[[#Headers],[Ca]:[Bắt đầu]]),0)),0,
IF($AA34&gt;MIN(AX$5,VLOOKUP(AX$6, Table_ChiPhiNV_Ca[], COUNTA(Table_ChiPhiNV_Ca[[#Headers],[Ca]:[Kết thúc]]),0)),0,
SUM(_xlfn._xlws.FILTER(Table_BangLuong_TyLeTangCa[Tỷ lệ],
(Table_BangLuong_TyLeTangCa[Ngày] = "Thường") *
(Table_BangLuong_TyLeTangCa[Giờ min]&lt;=$AA34) *
(Table_BangLuong_TyLeTangCa[Giờ max]&gt;$AA34)
)))),
IF(AX$4 &gt; AX$5,
IF(
AND(
$AA34-$Z$4&lt;MAX(AX$4,VLOOKUP(AX$6, Table_ChiPhiNV_Ca[], COUNTA(Table_ChiPhiNV_Ca[[#Headers],[Ca]:[Bắt đầu]]),0)),
$AA34&gt;MIN(AX$5,VLOOKUP(AX$6, Table_ChiPhiNV_Ca[], COUNTA(Table_ChiPhiNV_Ca[[#Headers],[Ca]:[Kết thúc]]),0))),0,
SUM(_xlfn._xlws.FILTER(Table_BangLuong_TyLeTangCa[Tỷ lệ],
(Table_BangLuong_TyLeTangCa[Ngày] = "Thường") *
(Table_BangLuong_TyLeTangCa[Giờ min]&lt;=$AA34) *
(Table_BangLuong_TyLeTangCa[Giờ max]&gt;$AA34)
))),
IF(
AND(
$AA34-$Z$4&gt;=MAX(AX$4,VLOOKUP(AX$6, Table_ChiPhiNV_Ca[], COUNTA(Table_ChiPhiNV_Ca[[#Headers],[Ca]:[Bắt đầu]]),0)),
$AA34&lt;MIN(AX$5,VLOOKUP(AX$6, Table_ChiPhiNV_Ca[], COUNTA(Table_ChiPhiNV_Ca[[#Headers],[Ca]:[Kết thúc]]),0))),
SUM(_xlfn._xlws.FILTER(Table_BangLuong_TyLeTangCa[Tỷ lệ],
(Table_BangLuong_TyLeTangCa[Ngày] = "Thường") *
(Table_BangLuong_TyLeTangCa[Giờ min]&lt;=$AA34) *
(Table_BangLuong_TyLeTangCa[Giờ max]&gt;$AA34)
)),0)
)),
IF(AX$4 &lt; AX$5,
IF($AA34-$Z$4&lt;AX$4,0,
IF($AA34&gt;AX$5,0,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AX$5,$AA34 &lt; AX$4),0,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Y34" s="18" cm="1">
        <f t="array" ref="AY34" xml:space="preserve">
IFERROR(
IF(AY$1="",0,
IF(AND(
$AA34&gt;=VLOOKUP(AY$6, Table_ChiPhiNV_Ca[], COUNTA(Table_ChiPhiNV_Ca[[#Headers],[Ca]:[Bắt đầu nghỉ]]),0),
$AA34&lt;VLOOKUP(AY$6, Table_ChiPhiNV_Ca[], COUNTA(Table_ChiPhiNV_Ca[[#Headers],[Ca]:[Kết thúc nghỉ]]),0)
),0,
IF(NOT(ISBLANK(AY$3)),
IF(ISBLANK(AY$7),0,
IF(AY$4 &lt; AY$5,
IF($AA34-$Z$4&lt;AY$4,0,
IF($AA34&gt;AY$5,0,
SUM(_xlfn._xlws.FILTER(Table_BangLuong_TyLeTangCa[Tỷ lệ],
(Table_BangLuong_TyLeTangCa[Ngày] = AY$3) *
(Table_BangLuong_TyLeTangCa[Giờ min]&lt;=$AA34) *
(Table_BangLuong_TyLeTangCa[Giờ max]&gt;$AA34)
)))),
IF(AND($AA34-$Z$4 &gt;= AY$5,$AA34 &lt; AY$4),0,
SUM(_xlfn._xlws.FILTER(Table_BangLuong_TyLeTangCa[Tỷ lệ],
(Table_BangLuong_TyLeTangCa[Ngày] = AY$3) *
(Table_BangLuong_TyLeTangCa[Giờ min]&lt;=$AA34) *
(Table_BangLuong_TyLeTangCa[Giờ max]&gt;$AA34)
))))
),
IF(ISBLANK(AY$7),
IF(VLOOKUP(AY$6, Table_ChiPhiNV_Ca[], COUNTA(Table_ChiPhiNV_Ca[[#Headers],[Ca]:[Kết thúc]]),0)&gt; VLOOKUP(AY$6, Table_ChiPhiNV_Ca[], COUNTA(Table_ChiPhiNV_Ca[[#Headers],[Ca]:[Bắt đầu]]),0),
IF($AA34-$Z$4&lt;MAX(AY$4,VLOOKUP(AY$6, Table_ChiPhiNV_Ca[], COUNTA(Table_ChiPhiNV_Ca[[#Headers],[Ca]:[Bắt đầu]]),0)),0,
IF($AA34&gt;MIN(AY$5,VLOOKUP(AY$6, Table_ChiPhiNV_Ca[], COUNTA(Table_ChiPhiNV_Ca[[#Headers],[Ca]:[Kết thúc]]),0)),0,
SUM(_xlfn._xlws.FILTER(Table_BangLuong_TyLeTangCa[Tỷ lệ],
(Table_BangLuong_TyLeTangCa[Ngày] = "Thường") *
(Table_BangLuong_TyLeTangCa[Giờ min]&lt;=$AA34) *
(Table_BangLuong_TyLeTangCa[Giờ max]&gt;$AA34)
)))),
IF(AY$4 &gt; AY$5,
IF(
AND(
$AA34-$Z$4&lt;MAX(AY$4,VLOOKUP(AY$6, Table_ChiPhiNV_Ca[], COUNTA(Table_ChiPhiNV_Ca[[#Headers],[Ca]:[Bắt đầu]]),0)),
$AA34&gt;MIN(AY$5,VLOOKUP(AY$6, Table_ChiPhiNV_Ca[], COUNTA(Table_ChiPhiNV_Ca[[#Headers],[Ca]:[Kết thúc]]),0))),0,
SUM(_xlfn._xlws.FILTER(Table_BangLuong_TyLeTangCa[Tỷ lệ],
(Table_BangLuong_TyLeTangCa[Ngày] = "Thường") *
(Table_BangLuong_TyLeTangCa[Giờ min]&lt;=$AA34) *
(Table_BangLuong_TyLeTangCa[Giờ max]&gt;$AA34)
))),
IF(
AND(
$AA34-$Z$4&gt;=MAX(AY$4,VLOOKUP(AY$6, Table_ChiPhiNV_Ca[], COUNTA(Table_ChiPhiNV_Ca[[#Headers],[Ca]:[Bắt đầu]]),0)),
$AA34&lt;MIN(AY$5,VLOOKUP(AY$6, Table_ChiPhiNV_Ca[], COUNTA(Table_ChiPhiNV_Ca[[#Headers],[Ca]:[Kết thúc]]),0))),
SUM(_xlfn._xlws.FILTER(Table_BangLuong_TyLeTangCa[Tỷ lệ],
(Table_BangLuong_TyLeTangCa[Ngày] = "Thường") *
(Table_BangLuong_TyLeTangCa[Giờ min]&lt;=$AA34) *
(Table_BangLuong_TyLeTangCa[Giờ max]&gt;$AA34)
)),0)
)),
IF(AY$4 &lt; AY$5,
IF($AA34-$Z$4&lt;AY$4,0,
IF($AA34&gt;AY$5,0,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AY$5,$AA34 &lt; AY$4),0,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Z34" s="18" cm="1">
        <f t="array" ref="AZ34" xml:space="preserve">
IFERROR(
IF(AZ$1="",0,
IF(AND(
$AA34&gt;=VLOOKUP(AZ$6, Table_ChiPhiNV_Ca[], COUNTA(Table_ChiPhiNV_Ca[[#Headers],[Ca]:[Bắt đầu nghỉ]]),0),
$AA34&lt;VLOOKUP(AZ$6, Table_ChiPhiNV_Ca[], COUNTA(Table_ChiPhiNV_Ca[[#Headers],[Ca]:[Kết thúc nghỉ]]),0)
),0,
IF(NOT(ISBLANK(AZ$3)),
IF(ISBLANK(AZ$7),0,
IF(AZ$4 &lt; AZ$5,
IF($AA34-$Z$4&lt;AZ$4,0,
IF($AA34&gt;AZ$5,0,
SUM(_xlfn._xlws.FILTER(Table_BangLuong_TyLeTangCa[Tỷ lệ],
(Table_BangLuong_TyLeTangCa[Ngày] = AZ$3) *
(Table_BangLuong_TyLeTangCa[Giờ min]&lt;=$AA34) *
(Table_BangLuong_TyLeTangCa[Giờ max]&gt;$AA34)
)))),
IF(AND($AA34-$Z$4 &gt;= AZ$5,$AA34 &lt; AZ$4),0,
SUM(_xlfn._xlws.FILTER(Table_BangLuong_TyLeTangCa[Tỷ lệ],
(Table_BangLuong_TyLeTangCa[Ngày] = AZ$3) *
(Table_BangLuong_TyLeTangCa[Giờ min]&lt;=$AA34) *
(Table_BangLuong_TyLeTangCa[Giờ max]&gt;$AA34)
))))
),
IF(ISBLANK(AZ$7),
IF(VLOOKUP(AZ$6, Table_ChiPhiNV_Ca[], COUNTA(Table_ChiPhiNV_Ca[[#Headers],[Ca]:[Kết thúc]]),0)&gt; VLOOKUP(AZ$6, Table_ChiPhiNV_Ca[], COUNTA(Table_ChiPhiNV_Ca[[#Headers],[Ca]:[Bắt đầu]]),0),
IF($AA34-$Z$4&lt;MAX(AZ$4,VLOOKUP(AZ$6, Table_ChiPhiNV_Ca[], COUNTA(Table_ChiPhiNV_Ca[[#Headers],[Ca]:[Bắt đầu]]),0)),0,
IF($AA34&gt;MIN(AZ$5,VLOOKUP(AZ$6, Table_ChiPhiNV_Ca[], COUNTA(Table_ChiPhiNV_Ca[[#Headers],[Ca]:[Kết thúc]]),0)),0,
SUM(_xlfn._xlws.FILTER(Table_BangLuong_TyLeTangCa[Tỷ lệ],
(Table_BangLuong_TyLeTangCa[Ngày] = "Thường") *
(Table_BangLuong_TyLeTangCa[Giờ min]&lt;=$AA34) *
(Table_BangLuong_TyLeTangCa[Giờ max]&gt;$AA34)
)))),
IF(AZ$4 &gt; AZ$5,
IF(
AND(
$AA34-$Z$4&lt;MAX(AZ$4,VLOOKUP(AZ$6, Table_ChiPhiNV_Ca[], COUNTA(Table_ChiPhiNV_Ca[[#Headers],[Ca]:[Bắt đầu]]),0)),
$AA34&gt;MIN(AZ$5,VLOOKUP(AZ$6, Table_ChiPhiNV_Ca[], COUNTA(Table_ChiPhiNV_Ca[[#Headers],[Ca]:[Kết thúc]]),0))),0,
SUM(_xlfn._xlws.FILTER(Table_BangLuong_TyLeTangCa[Tỷ lệ],
(Table_BangLuong_TyLeTangCa[Ngày] = "Thường") *
(Table_BangLuong_TyLeTangCa[Giờ min]&lt;=$AA34) *
(Table_BangLuong_TyLeTangCa[Giờ max]&gt;$AA34)
))),
IF(
AND(
$AA34-$Z$4&gt;=MAX(AZ$4,VLOOKUP(AZ$6, Table_ChiPhiNV_Ca[], COUNTA(Table_ChiPhiNV_Ca[[#Headers],[Ca]:[Bắt đầu]]),0)),
$AA34&lt;MIN(AZ$5,VLOOKUP(AZ$6, Table_ChiPhiNV_Ca[], COUNTA(Table_ChiPhiNV_Ca[[#Headers],[Ca]:[Kết thúc]]),0))),
SUM(_xlfn._xlws.FILTER(Table_BangLuong_TyLeTangCa[Tỷ lệ],
(Table_BangLuong_TyLeTangCa[Ngày] = "Thường") *
(Table_BangLuong_TyLeTangCa[Giờ min]&lt;=$AA34) *
(Table_BangLuong_TyLeTangCa[Giờ max]&gt;$AA34)
)),0)
)),
IF(AZ$4 &lt; AZ$5,
IF($AA34-$Z$4&lt;AZ$4,0,
IF($AA34&gt;AZ$5,0,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AZ$5,$AA34 &lt; AZ$4),0,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A34" s="18" cm="1">
        <f t="array" ref="BA34" xml:space="preserve">
IFERROR(
IF(BA$1="",0,
IF(AND(
$AA34&gt;=VLOOKUP(BA$6, Table_ChiPhiNV_Ca[], COUNTA(Table_ChiPhiNV_Ca[[#Headers],[Ca]:[Bắt đầu nghỉ]]),0),
$AA34&lt;VLOOKUP(BA$6, Table_ChiPhiNV_Ca[], COUNTA(Table_ChiPhiNV_Ca[[#Headers],[Ca]:[Kết thúc nghỉ]]),0)
),0,
IF(NOT(ISBLANK(BA$3)),
IF(ISBLANK(BA$7),0,
IF(BA$4 &lt; BA$5,
IF($AA34-$Z$4&lt;BA$4,0,
IF($AA34&gt;BA$5,0,
SUM(_xlfn._xlws.FILTER(Table_BangLuong_TyLeTangCa[Tỷ lệ],
(Table_BangLuong_TyLeTangCa[Ngày] = BA$3) *
(Table_BangLuong_TyLeTangCa[Giờ min]&lt;=$AA34) *
(Table_BangLuong_TyLeTangCa[Giờ max]&gt;$AA34)
)))),
IF(AND($AA34-$Z$4 &gt;= BA$5,$AA34 &lt; BA$4),0,
SUM(_xlfn._xlws.FILTER(Table_BangLuong_TyLeTangCa[Tỷ lệ],
(Table_BangLuong_TyLeTangCa[Ngày] = BA$3) *
(Table_BangLuong_TyLeTangCa[Giờ min]&lt;=$AA34) *
(Table_BangLuong_TyLeTangCa[Giờ max]&gt;$AA34)
))))
),
IF(ISBLANK(BA$7),
IF(VLOOKUP(BA$6, Table_ChiPhiNV_Ca[], COUNTA(Table_ChiPhiNV_Ca[[#Headers],[Ca]:[Kết thúc]]),0)&gt; VLOOKUP(BA$6, Table_ChiPhiNV_Ca[], COUNTA(Table_ChiPhiNV_Ca[[#Headers],[Ca]:[Bắt đầu]]),0),
IF($AA34-$Z$4&lt;MAX(BA$4,VLOOKUP(BA$6, Table_ChiPhiNV_Ca[], COUNTA(Table_ChiPhiNV_Ca[[#Headers],[Ca]:[Bắt đầu]]),0)),0,
IF($AA34&gt;MIN(BA$5,VLOOKUP(BA$6, Table_ChiPhiNV_Ca[], COUNTA(Table_ChiPhiNV_Ca[[#Headers],[Ca]:[Kết thúc]]),0)),0,
SUM(_xlfn._xlws.FILTER(Table_BangLuong_TyLeTangCa[Tỷ lệ],
(Table_BangLuong_TyLeTangCa[Ngày] = "Thường") *
(Table_BangLuong_TyLeTangCa[Giờ min]&lt;=$AA34) *
(Table_BangLuong_TyLeTangCa[Giờ max]&gt;$AA34)
)))),
IF(BA$4 &gt; BA$5,
IF(
AND(
$AA34-$Z$4&lt;MAX(BA$4,VLOOKUP(BA$6, Table_ChiPhiNV_Ca[], COUNTA(Table_ChiPhiNV_Ca[[#Headers],[Ca]:[Bắt đầu]]),0)),
$AA34&gt;MIN(BA$5,VLOOKUP(BA$6, Table_ChiPhiNV_Ca[], COUNTA(Table_ChiPhiNV_Ca[[#Headers],[Ca]:[Kết thúc]]),0))),0,
SUM(_xlfn._xlws.FILTER(Table_BangLuong_TyLeTangCa[Tỷ lệ],
(Table_BangLuong_TyLeTangCa[Ngày] = "Thường") *
(Table_BangLuong_TyLeTangCa[Giờ min]&lt;=$AA34) *
(Table_BangLuong_TyLeTangCa[Giờ max]&gt;$AA34)
))),
IF(
AND(
$AA34-$Z$4&gt;=MAX(BA$4,VLOOKUP(BA$6, Table_ChiPhiNV_Ca[], COUNTA(Table_ChiPhiNV_Ca[[#Headers],[Ca]:[Bắt đầu]]),0)),
$AA34&lt;MIN(BA$5,VLOOKUP(BA$6, Table_ChiPhiNV_Ca[], COUNTA(Table_ChiPhiNV_Ca[[#Headers],[Ca]:[Kết thúc]]),0))),
SUM(_xlfn._xlws.FILTER(Table_BangLuong_TyLeTangCa[Tỷ lệ],
(Table_BangLuong_TyLeTangCa[Ngày] = "Thường") *
(Table_BangLuong_TyLeTangCa[Giờ min]&lt;=$AA34) *
(Table_BangLuong_TyLeTangCa[Giờ max]&gt;$AA34)
)),0)
)),
IF(BA$4 &lt; BA$5,
IF($AA34-$Z$4&lt;BA$4,0,
IF($AA34&gt;BA$5,0,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BA$5,$AA34 &lt; BA$4),0,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B34" s="18" cm="1">
        <f t="array" ref="BB34" xml:space="preserve">
IFERROR(
IF(BB$1="",0,
IF(AND(
$AA34&gt;=VLOOKUP(BB$6, Table_ChiPhiNV_Ca[], COUNTA(Table_ChiPhiNV_Ca[[#Headers],[Ca]:[Bắt đầu nghỉ]]),0),
$AA34&lt;VLOOKUP(BB$6, Table_ChiPhiNV_Ca[], COUNTA(Table_ChiPhiNV_Ca[[#Headers],[Ca]:[Kết thúc nghỉ]]),0)
),0,
IF(NOT(ISBLANK(BB$3)),
IF(ISBLANK(BB$7),0,
IF(BB$4 &lt; BB$5,
IF($AA34-$Z$4&lt;BB$4,0,
IF($AA34&gt;BB$5,0,
SUM(_xlfn._xlws.FILTER(Table_BangLuong_TyLeTangCa[Tỷ lệ],
(Table_BangLuong_TyLeTangCa[Ngày] = BB$3) *
(Table_BangLuong_TyLeTangCa[Giờ min]&lt;=$AA34) *
(Table_BangLuong_TyLeTangCa[Giờ max]&gt;$AA34)
)))),
IF(AND($AA34-$Z$4 &gt;= BB$5,$AA34 &lt; BB$4),0,
SUM(_xlfn._xlws.FILTER(Table_BangLuong_TyLeTangCa[Tỷ lệ],
(Table_BangLuong_TyLeTangCa[Ngày] = BB$3) *
(Table_BangLuong_TyLeTangCa[Giờ min]&lt;=$AA34) *
(Table_BangLuong_TyLeTangCa[Giờ max]&gt;$AA34)
))))
),
IF(ISBLANK(BB$7),
IF(VLOOKUP(BB$6, Table_ChiPhiNV_Ca[], COUNTA(Table_ChiPhiNV_Ca[[#Headers],[Ca]:[Kết thúc]]),0)&gt; VLOOKUP(BB$6, Table_ChiPhiNV_Ca[], COUNTA(Table_ChiPhiNV_Ca[[#Headers],[Ca]:[Bắt đầu]]),0),
IF($AA34-$Z$4&lt;MAX(BB$4,VLOOKUP(BB$6, Table_ChiPhiNV_Ca[], COUNTA(Table_ChiPhiNV_Ca[[#Headers],[Ca]:[Bắt đầu]]),0)),0,
IF($AA34&gt;MIN(BB$5,VLOOKUP(BB$6, Table_ChiPhiNV_Ca[], COUNTA(Table_ChiPhiNV_Ca[[#Headers],[Ca]:[Kết thúc]]),0)),0,
SUM(_xlfn._xlws.FILTER(Table_BangLuong_TyLeTangCa[Tỷ lệ],
(Table_BangLuong_TyLeTangCa[Ngày] = "Thường") *
(Table_BangLuong_TyLeTangCa[Giờ min]&lt;=$AA34) *
(Table_BangLuong_TyLeTangCa[Giờ max]&gt;$AA34)
)))),
IF(BB$4 &gt; BB$5,
IF(
AND(
$AA34-$Z$4&lt;MAX(BB$4,VLOOKUP(BB$6, Table_ChiPhiNV_Ca[], COUNTA(Table_ChiPhiNV_Ca[[#Headers],[Ca]:[Bắt đầu]]),0)),
$AA34&gt;MIN(BB$5,VLOOKUP(BB$6, Table_ChiPhiNV_Ca[], COUNTA(Table_ChiPhiNV_Ca[[#Headers],[Ca]:[Kết thúc]]),0))),0,
SUM(_xlfn._xlws.FILTER(Table_BangLuong_TyLeTangCa[Tỷ lệ],
(Table_BangLuong_TyLeTangCa[Ngày] = "Thường") *
(Table_BangLuong_TyLeTangCa[Giờ min]&lt;=$AA34) *
(Table_BangLuong_TyLeTangCa[Giờ max]&gt;$AA34)
))),
IF(
AND(
$AA34-$Z$4&gt;=MAX(BB$4,VLOOKUP(BB$6, Table_ChiPhiNV_Ca[], COUNTA(Table_ChiPhiNV_Ca[[#Headers],[Ca]:[Bắt đầu]]),0)),
$AA34&lt;MIN(BB$5,VLOOKUP(BB$6, Table_ChiPhiNV_Ca[], COUNTA(Table_ChiPhiNV_Ca[[#Headers],[Ca]:[Kết thúc]]),0))),
SUM(_xlfn._xlws.FILTER(Table_BangLuong_TyLeTangCa[Tỷ lệ],
(Table_BangLuong_TyLeTangCa[Ngày] = "Thường") *
(Table_BangLuong_TyLeTangCa[Giờ min]&lt;=$AA34) *
(Table_BangLuong_TyLeTangCa[Giờ max]&gt;$AA34)
)),0)
)),
IF(BB$4 &lt; BB$5,
IF($AA34-$Z$4&lt;BB$4,0,
IF($AA34&gt;BB$5,0,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BB$5,$AA34 &lt; BB$4),0,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C34" s="18" cm="1">
        <f t="array" ref="BC34" xml:space="preserve">
IFERROR(
IF(BC$1="",0,
IF(AND(
$AA34&gt;=VLOOKUP(BC$6, Table_ChiPhiNV_Ca[], COUNTA(Table_ChiPhiNV_Ca[[#Headers],[Ca]:[Bắt đầu nghỉ]]),0),
$AA34&lt;VLOOKUP(BC$6, Table_ChiPhiNV_Ca[], COUNTA(Table_ChiPhiNV_Ca[[#Headers],[Ca]:[Kết thúc nghỉ]]),0)
),0,
IF(NOT(ISBLANK(BC$3)),
IF(ISBLANK(BC$7),0,
IF(BC$4 &lt; BC$5,
IF($AA34-$Z$4&lt;BC$4,0,
IF($AA34&gt;BC$5,0,
SUM(_xlfn._xlws.FILTER(Table_BangLuong_TyLeTangCa[Tỷ lệ],
(Table_BangLuong_TyLeTangCa[Ngày] = BC$3) *
(Table_BangLuong_TyLeTangCa[Giờ min]&lt;=$AA34) *
(Table_BangLuong_TyLeTangCa[Giờ max]&gt;$AA34)
)))),
IF(AND($AA34-$Z$4 &gt;= BC$5,$AA34 &lt; BC$4),0,
SUM(_xlfn._xlws.FILTER(Table_BangLuong_TyLeTangCa[Tỷ lệ],
(Table_BangLuong_TyLeTangCa[Ngày] = BC$3) *
(Table_BangLuong_TyLeTangCa[Giờ min]&lt;=$AA34) *
(Table_BangLuong_TyLeTangCa[Giờ max]&gt;$AA34)
))))
),
IF(ISBLANK(BC$7),
IF(VLOOKUP(BC$6, Table_ChiPhiNV_Ca[], COUNTA(Table_ChiPhiNV_Ca[[#Headers],[Ca]:[Kết thúc]]),0)&gt; VLOOKUP(BC$6, Table_ChiPhiNV_Ca[], COUNTA(Table_ChiPhiNV_Ca[[#Headers],[Ca]:[Bắt đầu]]),0),
IF($AA34-$Z$4&lt;MAX(BC$4,VLOOKUP(BC$6, Table_ChiPhiNV_Ca[], COUNTA(Table_ChiPhiNV_Ca[[#Headers],[Ca]:[Bắt đầu]]),0)),0,
IF($AA34&gt;MIN(BC$5,VLOOKUP(BC$6, Table_ChiPhiNV_Ca[], COUNTA(Table_ChiPhiNV_Ca[[#Headers],[Ca]:[Kết thúc]]),0)),0,
SUM(_xlfn._xlws.FILTER(Table_BangLuong_TyLeTangCa[Tỷ lệ],
(Table_BangLuong_TyLeTangCa[Ngày] = "Thường") *
(Table_BangLuong_TyLeTangCa[Giờ min]&lt;=$AA34) *
(Table_BangLuong_TyLeTangCa[Giờ max]&gt;$AA34)
)))),
IF(BC$4 &gt; BC$5,
IF(
AND(
$AA34-$Z$4&lt;MAX(BC$4,VLOOKUP(BC$6, Table_ChiPhiNV_Ca[], COUNTA(Table_ChiPhiNV_Ca[[#Headers],[Ca]:[Bắt đầu]]),0)),
$AA34&gt;MIN(BC$5,VLOOKUP(BC$6, Table_ChiPhiNV_Ca[], COUNTA(Table_ChiPhiNV_Ca[[#Headers],[Ca]:[Kết thúc]]),0))),0,
SUM(_xlfn._xlws.FILTER(Table_BangLuong_TyLeTangCa[Tỷ lệ],
(Table_BangLuong_TyLeTangCa[Ngày] = "Thường") *
(Table_BangLuong_TyLeTangCa[Giờ min]&lt;=$AA34) *
(Table_BangLuong_TyLeTangCa[Giờ max]&gt;$AA34)
))),
IF(
AND(
$AA34-$Z$4&gt;=MAX(BC$4,VLOOKUP(BC$6, Table_ChiPhiNV_Ca[], COUNTA(Table_ChiPhiNV_Ca[[#Headers],[Ca]:[Bắt đầu]]),0)),
$AA34&lt;MIN(BC$5,VLOOKUP(BC$6, Table_ChiPhiNV_Ca[], COUNTA(Table_ChiPhiNV_Ca[[#Headers],[Ca]:[Kết thúc]]),0))),
SUM(_xlfn._xlws.FILTER(Table_BangLuong_TyLeTangCa[Tỷ lệ],
(Table_BangLuong_TyLeTangCa[Ngày] = "Thường") *
(Table_BangLuong_TyLeTangCa[Giờ min]&lt;=$AA34) *
(Table_BangLuong_TyLeTangCa[Giờ max]&gt;$AA34)
)),0)
)),
IF(BC$4 &lt; BC$5,
IF($AA34-$Z$4&lt;BC$4,0,
IF($AA34&gt;BC$5,0,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BC$5,$AA34 &lt; BC$4),0,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D34" s="18" cm="1">
        <f t="array" ref="BD34" xml:space="preserve">
IFERROR(
IF(BD$1="",0,
IF(AND(
$AA34&gt;=VLOOKUP(BD$6, Table_ChiPhiNV_Ca[], COUNTA(Table_ChiPhiNV_Ca[[#Headers],[Ca]:[Bắt đầu nghỉ]]),0),
$AA34&lt;VLOOKUP(BD$6, Table_ChiPhiNV_Ca[], COUNTA(Table_ChiPhiNV_Ca[[#Headers],[Ca]:[Kết thúc nghỉ]]),0)
),0,
IF(NOT(ISBLANK(BD$3)),
IF(ISBLANK(BD$7),0,
IF(BD$4 &lt; BD$5,
IF($AA34-$Z$4&lt;BD$4,0,
IF($AA34&gt;BD$5,0,
SUM(_xlfn._xlws.FILTER(Table_BangLuong_TyLeTangCa[Tỷ lệ],
(Table_BangLuong_TyLeTangCa[Ngày] = BD$3) *
(Table_BangLuong_TyLeTangCa[Giờ min]&lt;=$AA34) *
(Table_BangLuong_TyLeTangCa[Giờ max]&gt;$AA34)
)))),
IF(AND($AA34-$Z$4 &gt;= BD$5,$AA34 &lt; BD$4),0,
SUM(_xlfn._xlws.FILTER(Table_BangLuong_TyLeTangCa[Tỷ lệ],
(Table_BangLuong_TyLeTangCa[Ngày] = BD$3) *
(Table_BangLuong_TyLeTangCa[Giờ min]&lt;=$AA34) *
(Table_BangLuong_TyLeTangCa[Giờ max]&gt;$AA34)
))))
),
IF(ISBLANK(BD$7),
IF(VLOOKUP(BD$6, Table_ChiPhiNV_Ca[], COUNTA(Table_ChiPhiNV_Ca[[#Headers],[Ca]:[Kết thúc]]),0)&gt; VLOOKUP(BD$6, Table_ChiPhiNV_Ca[], COUNTA(Table_ChiPhiNV_Ca[[#Headers],[Ca]:[Bắt đầu]]),0),
IF($AA34-$Z$4&lt;MAX(BD$4,VLOOKUP(BD$6, Table_ChiPhiNV_Ca[], COUNTA(Table_ChiPhiNV_Ca[[#Headers],[Ca]:[Bắt đầu]]),0)),0,
IF($AA34&gt;MIN(BD$5,VLOOKUP(BD$6, Table_ChiPhiNV_Ca[], COUNTA(Table_ChiPhiNV_Ca[[#Headers],[Ca]:[Kết thúc]]),0)),0,
SUM(_xlfn._xlws.FILTER(Table_BangLuong_TyLeTangCa[Tỷ lệ],
(Table_BangLuong_TyLeTangCa[Ngày] = "Thường") *
(Table_BangLuong_TyLeTangCa[Giờ min]&lt;=$AA34) *
(Table_BangLuong_TyLeTangCa[Giờ max]&gt;$AA34)
)))),
IF(BD$4 &gt; BD$5,
IF(
AND(
$AA34-$Z$4&lt;MAX(BD$4,VLOOKUP(BD$6, Table_ChiPhiNV_Ca[], COUNTA(Table_ChiPhiNV_Ca[[#Headers],[Ca]:[Bắt đầu]]),0)),
$AA34&gt;MIN(BD$5,VLOOKUP(BD$6, Table_ChiPhiNV_Ca[], COUNTA(Table_ChiPhiNV_Ca[[#Headers],[Ca]:[Kết thúc]]),0))),0,
SUM(_xlfn._xlws.FILTER(Table_BangLuong_TyLeTangCa[Tỷ lệ],
(Table_BangLuong_TyLeTangCa[Ngày] = "Thường") *
(Table_BangLuong_TyLeTangCa[Giờ min]&lt;=$AA34) *
(Table_BangLuong_TyLeTangCa[Giờ max]&gt;$AA34)
))),
IF(
AND(
$AA34-$Z$4&gt;=MAX(BD$4,VLOOKUP(BD$6, Table_ChiPhiNV_Ca[], COUNTA(Table_ChiPhiNV_Ca[[#Headers],[Ca]:[Bắt đầu]]),0)),
$AA34&lt;MIN(BD$5,VLOOKUP(BD$6, Table_ChiPhiNV_Ca[], COUNTA(Table_ChiPhiNV_Ca[[#Headers],[Ca]:[Kết thúc]]),0))),
SUM(_xlfn._xlws.FILTER(Table_BangLuong_TyLeTangCa[Tỷ lệ],
(Table_BangLuong_TyLeTangCa[Ngày] = "Thường") *
(Table_BangLuong_TyLeTangCa[Giờ min]&lt;=$AA34) *
(Table_BangLuong_TyLeTangCa[Giờ max]&gt;$AA34)
)),0)
)),
IF(BD$4 &lt; BD$5,
IF($AA34-$Z$4&lt;BD$4,0,
IF($AA34&gt;BD$5,0,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BD$5,$AA34 &lt; BD$4),0,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E34" s="18" cm="1">
        <f t="array" ref="BE34" xml:space="preserve">
IFERROR(
IF(BE$1="",0,
IF(AND(
$AA34&gt;=VLOOKUP(BE$6, Table_ChiPhiNV_Ca[], COUNTA(Table_ChiPhiNV_Ca[[#Headers],[Ca]:[Bắt đầu nghỉ]]),0),
$AA34&lt;VLOOKUP(BE$6, Table_ChiPhiNV_Ca[], COUNTA(Table_ChiPhiNV_Ca[[#Headers],[Ca]:[Kết thúc nghỉ]]),0)
),0,
IF(NOT(ISBLANK(BE$3)),
IF(ISBLANK(BE$7),0,
IF(BE$4 &lt; BE$5,
IF($AA34-$Z$4&lt;BE$4,0,
IF($AA34&gt;BE$5,0,
SUM(_xlfn._xlws.FILTER(Table_BangLuong_TyLeTangCa[Tỷ lệ],
(Table_BangLuong_TyLeTangCa[Ngày] = BE$3) *
(Table_BangLuong_TyLeTangCa[Giờ min]&lt;=$AA34) *
(Table_BangLuong_TyLeTangCa[Giờ max]&gt;$AA34)
)))),
IF(AND($AA34-$Z$4 &gt;= BE$5,$AA34 &lt; BE$4),0,
SUM(_xlfn._xlws.FILTER(Table_BangLuong_TyLeTangCa[Tỷ lệ],
(Table_BangLuong_TyLeTangCa[Ngày] = BE$3) *
(Table_BangLuong_TyLeTangCa[Giờ min]&lt;=$AA34) *
(Table_BangLuong_TyLeTangCa[Giờ max]&gt;$AA34)
))))
),
IF(ISBLANK(BE$7),
IF(VLOOKUP(BE$6, Table_ChiPhiNV_Ca[], COUNTA(Table_ChiPhiNV_Ca[[#Headers],[Ca]:[Kết thúc]]),0)&gt; VLOOKUP(BE$6, Table_ChiPhiNV_Ca[], COUNTA(Table_ChiPhiNV_Ca[[#Headers],[Ca]:[Bắt đầu]]),0),
IF($AA34-$Z$4&lt;MAX(BE$4,VLOOKUP(BE$6, Table_ChiPhiNV_Ca[], COUNTA(Table_ChiPhiNV_Ca[[#Headers],[Ca]:[Bắt đầu]]),0)),0,
IF($AA34&gt;MIN(BE$5,VLOOKUP(BE$6, Table_ChiPhiNV_Ca[], COUNTA(Table_ChiPhiNV_Ca[[#Headers],[Ca]:[Kết thúc]]),0)),0,
SUM(_xlfn._xlws.FILTER(Table_BangLuong_TyLeTangCa[Tỷ lệ],
(Table_BangLuong_TyLeTangCa[Ngày] = "Thường") *
(Table_BangLuong_TyLeTangCa[Giờ min]&lt;=$AA34) *
(Table_BangLuong_TyLeTangCa[Giờ max]&gt;$AA34)
)))),
IF(BE$4 &gt; BE$5,
IF(
AND(
$AA34-$Z$4&lt;MAX(BE$4,VLOOKUP(BE$6, Table_ChiPhiNV_Ca[], COUNTA(Table_ChiPhiNV_Ca[[#Headers],[Ca]:[Bắt đầu]]),0)),
$AA34&gt;MIN(BE$5,VLOOKUP(BE$6, Table_ChiPhiNV_Ca[], COUNTA(Table_ChiPhiNV_Ca[[#Headers],[Ca]:[Kết thúc]]),0))),0,
SUM(_xlfn._xlws.FILTER(Table_BangLuong_TyLeTangCa[Tỷ lệ],
(Table_BangLuong_TyLeTangCa[Ngày] = "Thường") *
(Table_BangLuong_TyLeTangCa[Giờ min]&lt;=$AA34) *
(Table_BangLuong_TyLeTangCa[Giờ max]&gt;$AA34)
))),
IF(
AND(
$AA34-$Z$4&gt;=MAX(BE$4,VLOOKUP(BE$6, Table_ChiPhiNV_Ca[], COUNTA(Table_ChiPhiNV_Ca[[#Headers],[Ca]:[Bắt đầu]]),0)),
$AA34&lt;MIN(BE$5,VLOOKUP(BE$6, Table_ChiPhiNV_Ca[], COUNTA(Table_ChiPhiNV_Ca[[#Headers],[Ca]:[Kết thúc]]),0))),
SUM(_xlfn._xlws.FILTER(Table_BangLuong_TyLeTangCa[Tỷ lệ],
(Table_BangLuong_TyLeTangCa[Ngày] = "Thường") *
(Table_BangLuong_TyLeTangCa[Giờ min]&lt;=$AA34) *
(Table_BangLuong_TyLeTangCa[Giờ max]&gt;$AA34)
)),0)
)),
IF(BE$4 &lt; BE$5,
IF($AA34-$Z$4&lt;BE$4,0,
IF($AA34&gt;BE$5,0,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BE$5,$AA34 &lt; BE$4),0,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F34" s="18" cm="1">
        <f t="array" ref="BF34" xml:space="preserve">
IFERROR(
IF(BF$1="",0,
IF(AND(
$AA34&gt;=VLOOKUP(BF$6, Table_ChiPhiNV_Ca[], COUNTA(Table_ChiPhiNV_Ca[[#Headers],[Ca]:[Bắt đầu nghỉ]]),0),
$AA34&lt;VLOOKUP(BF$6, Table_ChiPhiNV_Ca[], COUNTA(Table_ChiPhiNV_Ca[[#Headers],[Ca]:[Kết thúc nghỉ]]),0)
),0,
IF(NOT(ISBLANK(BF$3)),
IF(ISBLANK(BF$7),0,
IF(BF$4 &lt; BF$5,
IF($AA34-$Z$4&lt;BF$4,0,
IF($AA34&gt;BF$5,0,
SUM(_xlfn._xlws.FILTER(Table_BangLuong_TyLeTangCa[Tỷ lệ],
(Table_BangLuong_TyLeTangCa[Ngày] = BF$3) *
(Table_BangLuong_TyLeTangCa[Giờ min]&lt;=$AA34) *
(Table_BangLuong_TyLeTangCa[Giờ max]&gt;$AA34)
)))),
IF(AND($AA34-$Z$4 &gt;= BF$5,$AA34 &lt; BF$4),0,
SUM(_xlfn._xlws.FILTER(Table_BangLuong_TyLeTangCa[Tỷ lệ],
(Table_BangLuong_TyLeTangCa[Ngày] = BF$3) *
(Table_BangLuong_TyLeTangCa[Giờ min]&lt;=$AA34) *
(Table_BangLuong_TyLeTangCa[Giờ max]&gt;$AA34)
))))
),
IF(ISBLANK(BF$7),
IF(VLOOKUP(BF$6, Table_ChiPhiNV_Ca[], COUNTA(Table_ChiPhiNV_Ca[[#Headers],[Ca]:[Kết thúc]]),0)&gt; VLOOKUP(BF$6, Table_ChiPhiNV_Ca[], COUNTA(Table_ChiPhiNV_Ca[[#Headers],[Ca]:[Bắt đầu]]),0),
IF($AA34-$Z$4&lt;MAX(BF$4,VLOOKUP(BF$6, Table_ChiPhiNV_Ca[], COUNTA(Table_ChiPhiNV_Ca[[#Headers],[Ca]:[Bắt đầu]]),0)),0,
IF($AA34&gt;MIN(BF$5,VLOOKUP(BF$6, Table_ChiPhiNV_Ca[], COUNTA(Table_ChiPhiNV_Ca[[#Headers],[Ca]:[Kết thúc]]),0)),0,
SUM(_xlfn._xlws.FILTER(Table_BangLuong_TyLeTangCa[Tỷ lệ],
(Table_BangLuong_TyLeTangCa[Ngày] = "Thường") *
(Table_BangLuong_TyLeTangCa[Giờ min]&lt;=$AA34) *
(Table_BangLuong_TyLeTangCa[Giờ max]&gt;$AA34)
)))),
IF(BF$4 &gt; BF$5,
IF(
AND(
$AA34-$Z$4&lt;MAX(BF$4,VLOOKUP(BF$6, Table_ChiPhiNV_Ca[], COUNTA(Table_ChiPhiNV_Ca[[#Headers],[Ca]:[Bắt đầu]]),0)),
$AA34&gt;MIN(BF$5,VLOOKUP(BF$6, Table_ChiPhiNV_Ca[], COUNTA(Table_ChiPhiNV_Ca[[#Headers],[Ca]:[Kết thúc]]),0))),0,
SUM(_xlfn._xlws.FILTER(Table_BangLuong_TyLeTangCa[Tỷ lệ],
(Table_BangLuong_TyLeTangCa[Ngày] = "Thường") *
(Table_BangLuong_TyLeTangCa[Giờ min]&lt;=$AA34) *
(Table_BangLuong_TyLeTangCa[Giờ max]&gt;$AA34)
))),
IF(
AND(
$AA34-$Z$4&gt;=MAX(BF$4,VLOOKUP(BF$6, Table_ChiPhiNV_Ca[], COUNTA(Table_ChiPhiNV_Ca[[#Headers],[Ca]:[Bắt đầu]]),0)),
$AA34&lt;MIN(BF$5,VLOOKUP(BF$6, Table_ChiPhiNV_Ca[], COUNTA(Table_ChiPhiNV_Ca[[#Headers],[Ca]:[Kết thúc]]),0))),
SUM(_xlfn._xlws.FILTER(Table_BangLuong_TyLeTangCa[Tỷ lệ],
(Table_BangLuong_TyLeTangCa[Ngày] = "Thường") *
(Table_BangLuong_TyLeTangCa[Giờ min]&lt;=$AA34) *
(Table_BangLuong_TyLeTangCa[Giờ max]&gt;$AA34)
)),0)
)),
IF(BF$4 &lt; BF$5,
IF($AA34-$Z$4&lt;BF$4,0,
IF($AA34&gt;BF$5,0,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BF$5,$AA34 &lt; BF$4),0,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row>
    <row r="35" spans="2:58" ht="18" customHeight="1" outlineLevel="1" x14ac:dyDescent="0.3">
      <c r="AA35" s="50">
        <v>0.54166666666666696</v>
      </c>
      <c r="AB35" s="18" cm="1">
        <f t="array" ref="AB35" xml:space="preserve">
IFERROR(
IF(AB$1="",0,
IF(AND(
$AA35&gt;=VLOOKUP(AB$6, Table_ChiPhiNV_Ca[], COUNTA(Table_ChiPhiNV_Ca[[#Headers],[Ca]:[Bắt đầu nghỉ]]),0),
$AA35&lt;VLOOKUP(AB$6, Table_ChiPhiNV_Ca[], COUNTA(Table_ChiPhiNV_Ca[[#Headers],[Ca]:[Kết thúc nghỉ]]),0)
),0,
IF(NOT(ISBLANK(AB$3)),
IF(ISBLANK(AB$7),0,
IF(AB$4 &lt; AB$5,
IF($AA35-$Z$4&lt;AB$4,0,
IF($AA35&gt;AB$5,0,
SUM(_xlfn._xlws.FILTER(Table_BangLuong_TyLeTangCa[Tỷ lệ],
(Table_BangLuong_TyLeTangCa[Ngày] = AB$3) *
(Table_BangLuong_TyLeTangCa[Giờ min]&lt;=$AA35) *
(Table_BangLuong_TyLeTangCa[Giờ max]&gt;$AA35)
)))),
IF(AND($AA35-$Z$4 &gt;= AB$5,$AA35 &lt; AB$4),0,
SUM(_xlfn._xlws.FILTER(Table_BangLuong_TyLeTangCa[Tỷ lệ],
(Table_BangLuong_TyLeTangCa[Ngày] = AB$3) *
(Table_BangLuong_TyLeTangCa[Giờ min]&lt;=$AA35) *
(Table_BangLuong_TyLeTangCa[Giờ max]&gt;$AA35)
))))
),
IF(ISBLANK(AB$7),
IF(VLOOKUP(AB$6, Table_ChiPhiNV_Ca[], COUNTA(Table_ChiPhiNV_Ca[[#Headers],[Ca]:[Kết thúc]]),0)&gt; VLOOKUP(AB$6, Table_ChiPhiNV_Ca[], COUNTA(Table_ChiPhiNV_Ca[[#Headers],[Ca]:[Bắt đầu]]),0),
IF($AA35-$Z$4&lt;MAX(AB$4,VLOOKUP(AB$6, Table_ChiPhiNV_Ca[], COUNTA(Table_ChiPhiNV_Ca[[#Headers],[Ca]:[Bắt đầu]]),0)),0,
IF($AA35&gt;MIN(AB$5,VLOOKUP(AB$6, Table_ChiPhiNV_Ca[], COUNTA(Table_ChiPhiNV_Ca[[#Headers],[Ca]:[Kết thúc]]),0)),0,
SUM(_xlfn._xlws.FILTER(Table_BangLuong_TyLeTangCa[Tỷ lệ],
(Table_BangLuong_TyLeTangCa[Ngày] = "Thường") *
(Table_BangLuong_TyLeTangCa[Giờ min]&lt;=$AA35) *
(Table_BangLuong_TyLeTangCa[Giờ max]&gt;$AA35)
)))),
IF(AB$4 &gt; AB$5,
IF(
AND(
$AA35-$Z$4&lt;MAX(AB$4,VLOOKUP(AB$6, Table_ChiPhiNV_Ca[], COUNTA(Table_ChiPhiNV_Ca[[#Headers],[Ca]:[Bắt đầu]]),0)),
$AA35&gt;MIN(AB$5,VLOOKUP(AB$6, Table_ChiPhiNV_Ca[], COUNTA(Table_ChiPhiNV_Ca[[#Headers],[Ca]:[Kết thúc]]),0))),0,
SUM(_xlfn._xlws.FILTER(Table_BangLuong_TyLeTangCa[Tỷ lệ],
(Table_BangLuong_TyLeTangCa[Ngày] = "Thường") *
(Table_BangLuong_TyLeTangCa[Giờ min]&lt;=$AA35) *
(Table_BangLuong_TyLeTangCa[Giờ max]&gt;$AA35)
))),
IF(
AND(
$AA35-$Z$4&gt;=MAX(AB$4,VLOOKUP(AB$6, Table_ChiPhiNV_Ca[], COUNTA(Table_ChiPhiNV_Ca[[#Headers],[Ca]:[Bắt đầu]]),0)),
$AA35&lt;MIN(AB$5,VLOOKUP(AB$6, Table_ChiPhiNV_Ca[], COUNTA(Table_ChiPhiNV_Ca[[#Headers],[Ca]:[Kết thúc]]),0))),
SUM(_xlfn._xlws.FILTER(Table_BangLuong_TyLeTangCa[Tỷ lệ],
(Table_BangLuong_TyLeTangCa[Ngày] = "Thường") *
(Table_BangLuong_TyLeTangCa[Giờ min]&lt;=$AA35) *
(Table_BangLuong_TyLeTangCa[Giờ max]&gt;$AA35)
)),0)
)),
IF(AB$4 &lt; AB$5,
IF($AA35-$Z$4&lt;AB$4,0,
IF($AA35&gt;AB$5,0,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AB$5,$AA35 &lt; AB$4),0,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C35" s="18" cm="1">
        <f t="array" ref="AC35" xml:space="preserve">
IFERROR(
IF(AC$1="",0,
IF(AND(
$AA35&gt;=VLOOKUP(AC$6, Table_ChiPhiNV_Ca[], COUNTA(Table_ChiPhiNV_Ca[[#Headers],[Ca]:[Bắt đầu nghỉ]]),0),
$AA35&lt;VLOOKUP(AC$6, Table_ChiPhiNV_Ca[], COUNTA(Table_ChiPhiNV_Ca[[#Headers],[Ca]:[Kết thúc nghỉ]]),0)
),0,
IF(NOT(ISBLANK(AC$3)),
IF(ISBLANK(AC$7),0,
IF(AC$4 &lt; AC$5,
IF($AA35-$Z$4&lt;AC$4,0,
IF($AA35&gt;AC$5,0,
SUM(_xlfn._xlws.FILTER(Table_BangLuong_TyLeTangCa[Tỷ lệ],
(Table_BangLuong_TyLeTangCa[Ngày] = AC$3) *
(Table_BangLuong_TyLeTangCa[Giờ min]&lt;=$AA35) *
(Table_BangLuong_TyLeTangCa[Giờ max]&gt;$AA35)
)))),
IF(AND($AA35-$Z$4 &gt;= AC$5,$AA35 &lt; AC$4),0,
SUM(_xlfn._xlws.FILTER(Table_BangLuong_TyLeTangCa[Tỷ lệ],
(Table_BangLuong_TyLeTangCa[Ngày] = AC$3) *
(Table_BangLuong_TyLeTangCa[Giờ min]&lt;=$AA35) *
(Table_BangLuong_TyLeTangCa[Giờ max]&gt;$AA35)
))))
),
IF(ISBLANK(AC$7),
IF(VLOOKUP(AC$6, Table_ChiPhiNV_Ca[], COUNTA(Table_ChiPhiNV_Ca[[#Headers],[Ca]:[Kết thúc]]),0)&gt; VLOOKUP(AC$6, Table_ChiPhiNV_Ca[], COUNTA(Table_ChiPhiNV_Ca[[#Headers],[Ca]:[Bắt đầu]]),0),
IF($AA35-$Z$4&lt;MAX(AC$4,VLOOKUP(AC$6, Table_ChiPhiNV_Ca[], COUNTA(Table_ChiPhiNV_Ca[[#Headers],[Ca]:[Bắt đầu]]),0)),0,
IF($AA35&gt;MIN(AC$5,VLOOKUP(AC$6, Table_ChiPhiNV_Ca[], COUNTA(Table_ChiPhiNV_Ca[[#Headers],[Ca]:[Kết thúc]]),0)),0,
SUM(_xlfn._xlws.FILTER(Table_BangLuong_TyLeTangCa[Tỷ lệ],
(Table_BangLuong_TyLeTangCa[Ngày] = "Thường") *
(Table_BangLuong_TyLeTangCa[Giờ min]&lt;=$AA35) *
(Table_BangLuong_TyLeTangCa[Giờ max]&gt;$AA35)
)))),
IF(AC$4 &gt; AC$5,
IF(
AND(
$AA35-$Z$4&lt;MAX(AC$4,VLOOKUP(AC$6, Table_ChiPhiNV_Ca[], COUNTA(Table_ChiPhiNV_Ca[[#Headers],[Ca]:[Bắt đầu]]),0)),
$AA35&gt;MIN(AC$5,VLOOKUP(AC$6, Table_ChiPhiNV_Ca[], COUNTA(Table_ChiPhiNV_Ca[[#Headers],[Ca]:[Kết thúc]]),0))),0,
SUM(_xlfn._xlws.FILTER(Table_BangLuong_TyLeTangCa[Tỷ lệ],
(Table_BangLuong_TyLeTangCa[Ngày] = "Thường") *
(Table_BangLuong_TyLeTangCa[Giờ min]&lt;=$AA35) *
(Table_BangLuong_TyLeTangCa[Giờ max]&gt;$AA35)
))),
IF(
AND(
$AA35-$Z$4&gt;=MAX(AC$4,VLOOKUP(AC$6, Table_ChiPhiNV_Ca[], COUNTA(Table_ChiPhiNV_Ca[[#Headers],[Ca]:[Bắt đầu]]),0)),
$AA35&lt;MIN(AC$5,VLOOKUP(AC$6, Table_ChiPhiNV_Ca[], COUNTA(Table_ChiPhiNV_Ca[[#Headers],[Ca]:[Kết thúc]]),0))),
SUM(_xlfn._xlws.FILTER(Table_BangLuong_TyLeTangCa[Tỷ lệ],
(Table_BangLuong_TyLeTangCa[Ngày] = "Thường") *
(Table_BangLuong_TyLeTangCa[Giờ min]&lt;=$AA35) *
(Table_BangLuong_TyLeTangCa[Giờ max]&gt;$AA35)
)),0)
)),
IF(AC$4 &lt; AC$5,
IF($AA35-$Z$4&lt;AC$4,0,
IF($AA35&gt;AC$5,0,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AC$5,$AA35 &lt; AC$4),0,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D35" s="18" cm="1">
        <f t="array" ref="AD35" xml:space="preserve">
IFERROR(
IF(AD$1="",0,
IF(AND(
$AA35&gt;=VLOOKUP(AD$6, Table_ChiPhiNV_Ca[], COUNTA(Table_ChiPhiNV_Ca[[#Headers],[Ca]:[Bắt đầu nghỉ]]),0),
$AA35&lt;VLOOKUP(AD$6, Table_ChiPhiNV_Ca[], COUNTA(Table_ChiPhiNV_Ca[[#Headers],[Ca]:[Kết thúc nghỉ]]),0)
),0,
IF(NOT(ISBLANK(AD$3)),
IF(ISBLANK(AD$7),0,
IF(AD$4 &lt; AD$5,
IF($AA35-$Z$4&lt;AD$4,0,
IF($AA35&gt;AD$5,0,
SUM(_xlfn._xlws.FILTER(Table_BangLuong_TyLeTangCa[Tỷ lệ],
(Table_BangLuong_TyLeTangCa[Ngày] = AD$3) *
(Table_BangLuong_TyLeTangCa[Giờ min]&lt;=$AA35) *
(Table_BangLuong_TyLeTangCa[Giờ max]&gt;$AA35)
)))),
IF(AND($AA35-$Z$4 &gt;= AD$5,$AA35 &lt; AD$4),0,
SUM(_xlfn._xlws.FILTER(Table_BangLuong_TyLeTangCa[Tỷ lệ],
(Table_BangLuong_TyLeTangCa[Ngày] = AD$3) *
(Table_BangLuong_TyLeTangCa[Giờ min]&lt;=$AA35) *
(Table_BangLuong_TyLeTangCa[Giờ max]&gt;$AA35)
))))
),
IF(ISBLANK(AD$7),
IF(VLOOKUP(AD$6, Table_ChiPhiNV_Ca[], COUNTA(Table_ChiPhiNV_Ca[[#Headers],[Ca]:[Kết thúc]]),0)&gt; VLOOKUP(AD$6, Table_ChiPhiNV_Ca[], COUNTA(Table_ChiPhiNV_Ca[[#Headers],[Ca]:[Bắt đầu]]),0),
IF($AA35-$Z$4&lt;MAX(AD$4,VLOOKUP(AD$6, Table_ChiPhiNV_Ca[], COUNTA(Table_ChiPhiNV_Ca[[#Headers],[Ca]:[Bắt đầu]]),0)),0,
IF($AA35&gt;MIN(AD$5,VLOOKUP(AD$6, Table_ChiPhiNV_Ca[], COUNTA(Table_ChiPhiNV_Ca[[#Headers],[Ca]:[Kết thúc]]),0)),0,
SUM(_xlfn._xlws.FILTER(Table_BangLuong_TyLeTangCa[Tỷ lệ],
(Table_BangLuong_TyLeTangCa[Ngày] = "Thường") *
(Table_BangLuong_TyLeTangCa[Giờ min]&lt;=$AA35) *
(Table_BangLuong_TyLeTangCa[Giờ max]&gt;$AA35)
)))),
IF(AD$4 &gt; AD$5,
IF(
AND(
$AA35-$Z$4&lt;MAX(AD$4,VLOOKUP(AD$6, Table_ChiPhiNV_Ca[], COUNTA(Table_ChiPhiNV_Ca[[#Headers],[Ca]:[Bắt đầu]]),0)),
$AA35&gt;MIN(AD$5,VLOOKUP(AD$6, Table_ChiPhiNV_Ca[], COUNTA(Table_ChiPhiNV_Ca[[#Headers],[Ca]:[Kết thúc]]),0))),0,
SUM(_xlfn._xlws.FILTER(Table_BangLuong_TyLeTangCa[Tỷ lệ],
(Table_BangLuong_TyLeTangCa[Ngày] = "Thường") *
(Table_BangLuong_TyLeTangCa[Giờ min]&lt;=$AA35) *
(Table_BangLuong_TyLeTangCa[Giờ max]&gt;$AA35)
))),
IF(
AND(
$AA35-$Z$4&gt;=MAX(AD$4,VLOOKUP(AD$6, Table_ChiPhiNV_Ca[], COUNTA(Table_ChiPhiNV_Ca[[#Headers],[Ca]:[Bắt đầu]]),0)),
$AA35&lt;MIN(AD$5,VLOOKUP(AD$6, Table_ChiPhiNV_Ca[], COUNTA(Table_ChiPhiNV_Ca[[#Headers],[Ca]:[Kết thúc]]),0))),
SUM(_xlfn._xlws.FILTER(Table_BangLuong_TyLeTangCa[Tỷ lệ],
(Table_BangLuong_TyLeTangCa[Ngày] = "Thường") *
(Table_BangLuong_TyLeTangCa[Giờ min]&lt;=$AA35) *
(Table_BangLuong_TyLeTangCa[Giờ max]&gt;$AA35)
)),0)
)),
IF(AD$4 &lt; AD$5,
IF($AA35-$Z$4&lt;AD$4,0,
IF($AA35&gt;AD$5,0,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AD$5,$AA35 &lt; AD$4),0,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E35" s="18" cm="1">
        <f t="array" ref="AE35" xml:space="preserve">
IFERROR(
IF(AE$1="",0,
IF(AND(
$AA35&gt;=VLOOKUP(AE$6, Table_ChiPhiNV_Ca[], COUNTA(Table_ChiPhiNV_Ca[[#Headers],[Ca]:[Bắt đầu nghỉ]]),0),
$AA35&lt;VLOOKUP(AE$6, Table_ChiPhiNV_Ca[], COUNTA(Table_ChiPhiNV_Ca[[#Headers],[Ca]:[Kết thúc nghỉ]]),0)
),0,
IF(NOT(ISBLANK(AE$3)),
IF(ISBLANK(AE$7),0,
IF(AE$4 &lt; AE$5,
IF($AA35-$Z$4&lt;AE$4,0,
IF($AA35&gt;AE$5,0,
SUM(_xlfn._xlws.FILTER(Table_BangLuong_TyLeTangCa[Tỷ lệ],
(Table_BangLuong_TyLeTangCa[Ngày] = AE$3) *
(Table_BangLuong_TyLeTangCa[Giờ min]&lt;=$AA35) *
(Table_BangLuong_TyLeTangCa[Giờ max]&gt;$AA35)
)))),
IF(AND($AA35-$Z$4 &gt;= AE$5,$AA35 &lt; AE$4),0,
SUM(_xlfn._xlws.FILTER(Table_BangLuong_TyLeTangCa[Tỷ lệ],
(Table_BangLuong_TyLeTangCa[Ngày] = AE$3) *
(Table_BangLuong_TyLeTangCa[Giờ min]&lt;=$AA35) *
(Table_BangLuong_TyLeTangCa[Giờ max]&gt;$AA35)
))))
),
IF(ISBLANK(AE$7),
IF(VLOOKUP(AE$6, Table_ChiPhiNV_Ca[], COUNTA(Table_ChiPhiNV_Ca[[#Headers],[Ca]:[Kết thúc]]),0)&gt; VLOOKUP(AE$6, Table_ChiPhiNV_Ca[], COUNTA(Table_ChiPhiNV_Ca[[#Headers],[Ca]:[Bắt đầu]]),0),
IF($AA35-$Z$4&lt;MAX(AE$4,VLOOKUP(AE$6, Table_ChiPhiNV_Ca[], COUNTA(Table_ChiPhiNV_Ca[[#Headers],[Ca]:[Bắt đầu]]),0)),0,
IF($AA35&gt;MIN(AE$5,VLOOKUP(AE$6, Table_ChiPhiNV_Ca[], COUNTA(Table_ChiPhiNV_Ca[[#Headers],[Ca]:[Kết thúc]]),0)),0,
SUM(_xlfn._xlws.FILTER(Table_BangLuong_TyLeTangCa[Tỷ lệ],
(Table_BangLuong_TyLeTangCa[Ngày] = "Thường") *
(Table_BangLuong_TyLeTangCa[Giờ min]&lt;=$AA35) *
(Table_BangLuong_TyLeTangCa[Giờ max]&gt;$AA35)
)))),
IF(AE$4 &gt; AE$5,
IF(
AND(
$AA35-$Z$4&lt;MAX(AE$4,VLOOKUP(AE$6, Table_ChiPhiNV_Ca[], COUNTA(Table_ChiPhiNV_Ca[[#Headers],[Ca]:[Bắt đầu]]),0)),
$AA35&gt;MIN(AE$5,VLOOKUP(AE$6, Table_ChiPhiNV_Ca[], COUNTA(Table_ChiPhiNV_Ca[[#Headers],[Ca]:[Kết thúc]]),0))),0,
SUM(_xlfn._xlws.FILTER(Table_BangLuong_TyLeTangCa[Tỷ lệ],
(Table_BangLuong_TyLeTangCa[Ngày] = "Thường") *
(Table_BangLuong_TyLeTangCa[Giờ min]&lt;=$AA35) *
(Table_BangLuong_TyLeTangCa[Giờ max]&gt;$AA35)
))),
IF(
AND(
$AA35-$Z$4&gt;=MAX(AE$4,VLOOKUP(AE$6, Table_ChiPhiNV_Ca[], COUNTA(Table_ChiPhiNV_Ca[[#Headers],[Ca]:[Bắt đầu]]),0)),
$AA35&lt;MIN(AE$5,VLOOKUP(AE$6, Table_ChiPhiNV_Ca[], COUNTA(Table_ChiPhiNV_Ca[[#Headers],[Ca]:[Kết thúc]]),0))),
SUM(_xlfn._xlws.FILTER(Table_BangLuong_TyLeTangCa[Tỷ lệ],
(Table_BangLuong_TyLeTangCa[Ngày] = "Thường") *
(Table_BangLuong_TyLeTangCa[Giờ min]&lt;=$AA35) *
(Table_BangLuong_TyLeTangCa[Giờ max]&gt;$AA35)
)),0)
)),
IF(AE$4 &lt; AE$5,
IF($AA35-$Z$4&lt;AE$4,0,
IF($AA35&gt;AE$5,0,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AE$5,$AA35 &lt; AE$4),0,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F35" s="18" cm="1">
        <f t="array" ref="AF35" xml:space="preserve">
IFERROR(
IF(AF$1="",0,
IF(AND(
$AA35&gt;=VLOOKUP(AF$6, Table_ChiPhiNV_Ca[], COUNTA(Table_ChiPhiNV_Ca[[#Headers],[Ca]:[Bắt đầu nghỉ]]),0),
$AA35&lt;VLOOKUP(AF$6, Table_ChiPhiNV_Ca[], COUNTA(Table_ChiPhiNV_Ca[[#Headers],[Ca]:[Kết thúc nghỉ]]),0)
),0,
IF(NOT(ISBLANK(AF$3)),
IF(ISBLANK(AF$7),0,
IF(AF$4 &lt; AF$5,
IF($AA35-$Z$4&lt;AF$4,0,
IF($AA35&gt;AF$5,0,
SUM(_xlfn._xlws.FILTER(Table_BangLuong_TyLeTangCa[Tỷ lệ],
(Table_BangLuong_TyLeTangCa[Ngày] = AF$3) *
(Table_BangLuong_TyLeTangCa[Giờ min]&lt;=$AA35) *
(Table_BangLuong_TyLeTangCa[Giờ max]&gt;$AA35)
)))),
IF(AND($AA35-$Z$4 &gt;= AF$5,$AA35 &lt; AF$4),0,
SUM(_xlfn._xlws.FILTER(Table_BangLuong_TyLeTangCa[Tỷ lệ],
(Table_BangLuong_TyLeTangCa[Ngày] = AF$3) *
(Table_BangLuong_TyLeTangCa[Giờ min]&lt;=$AA35) *
(Table_BangLuong_TyLeTangCa[Giờ max]&gt;$AA35)
))))
),
IF(ISBLANK(AF$7),
IF(VLOOKUP(AF$6, Table_ChiPhiNV_Ca[], COUNTA(Table_ChiPhiNV_Ca[[#Headers],[Ca]:[Kết thúc]]),0)&gt; VLOOKUP(AF$6, Table_ChiPhiNV_Ca[], COUNTA(Table_ChiPhiNV_Ca[[#Headers],[Ca]:[Bắt đầu]]),0),
IF($AA35-$Z$4&lt;MAX(AF$4,VLOOKUP(AF$6, Table_ChiPhiNV_Ca[], COUNTA(Table_ChiPhiNV_Ca[[#Headers],[Ca]:[Bắt đầu]]),0)),0,
IF($AA35&gt;MIN(AF$5,VLOOKUP(AF$6, Table_ChiPhiNV_Ca[], COUNTA(Table_ChiPhiNV_Ca[[#Headers],[Ca]:[Kết thúc]]),0)),0,
SUM(_xlfn._xlws.FILTER(Table_BangLuong_TyLeTangCa[Tỷ lệ],
(Table_BangLuong_TyLeTangCa[Ngày] = "Thường") *
(Table_BangLuong_TyLeTangCa[Giờ min]&lt;=$AA35) *
(Table_BangLuong_TyLeTangCa[Giờ max]&gt;$AA35)
)))),
IF(AF$4 &gt; AF$5,
IF(
AND(
$AA35-$Z$4&lt;MAX(AF$4,VLOOKUP(AF$6, Table_ChiPhiNV_Ca[], COUNTA(Table_ChiPhiNV_Ca[[#Headers],[Ca]:[Bắt đầu]]),0)),
$AA35&gt;MIN(AF$5,VLOOKUP(AF$6, Table_ChiPhiNV_Ca[], COUNTA(Table_ChiPhiNV_Ca[[#Headers],[Ca]:[Kết thúc]]),0))),0,
SUM(_xlfn._xlws.FILTER(Table_BangLuong_TyLeTangCa[Tỷ lệ],
(Table_BangLuong_TyLeTangCa[Ngày] = "Thường") *
(Table_BangLuong_TyLeTangCa[Giờ min]&lt;=$AA35) *
(Table_BangLuong_TyLeTangCa[Giờ max]&gt;$AA35)
))),
IF(
AND(
$AA35-$Z$4&gt;=MAX(AF$4,VLOOKUP(AF$6, Table_ChiPhiNV_Ca[], COUNTA(Table_ChiPhiNV_Ca[[#Headers],[Ca]:[Bắt đầu]]),0)),
$AA35&lt;MIN(AF$5,VLOOKUP(AF$6, Table_ChiPhiNV_Ca[], COUNTA(Table_ChiPhiNV_Ca[[#Headers],[Ca]:[Kết thúc]]),0))),
SUM(_xlfn._xlws.FILTER(Table_BangLuong_TyLeTangCa[Tỷ lệ],
(Table_BangLuong_TyLeTangCa[Ngày] = "Thường") *
(Table_BangLuong_TyLeTangCa[Giờ min]&lt;=$AA35) *
(Table_BangLuong_TyLeTangCa[Giờ max]&gt;$AA35)
)),0)
)),
IF(AF$4 &lt; AF$5,
IF($AA35-$Z$4&lt;AF$4,0,
IF($AA35&gt;AF$5,0,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AF$5,$AA35 &lt; AF$4),0,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G35" s="18" cm="1">
        <f t="array" ref="AG35" xml:space="preserve">
IFERROR(
IF(AG$1="",0,
IF(AND(
$AA35&gt;=VLOOKUP(AG$6, Table_ChiPhiNV_Ca[], COUNTA(Table_ChiPhiNV_Ca[[#Headers],[Ca]:[Bắt đầu nghỉ]]),0),
$AA35&lt;VLOOKUP(AG$6, Table_ChiPhiNV_Ca[], COUNTA(Table_ChiPhiNV_Ca[[#Headers],[Ca]:[Kết thúc nghỉ]]),0)
),0,
IF(NOT(ISBLANK(AG$3)),
IF(ISBLANK(AG$7),0,
IF(AG$4 &lt; AG$5,
IF($AA35-$Z$4&lt;AG$4,0,
IF($AA35&gt;AG$5,0,
SUM(_xlfn._xlws.FILTER(Table_BangLuong_TyLeTangCa[Tỷ lệ],
(Table_BangLuong_TyLeTangCa[Ngày] = AG$3) *
(Table_BangLuong_TyLeTangCa[Giờ min]&lt;=$AA35) *
(Table_BangLuong_TyLeTangCa[Giờ max]&gt;$AA35)
)))),
IF(AND($AA35-$Z$4 &gt;= AG$5,$AA35 &lt; AG$4),0,
SUM(_xlfn._xlws.FILTER(Table_BangLuong_TyLeTangCa[Tỷ lệ],
(Table_BangLuong_TyLeTangCa[Ngày] = AG$3) *
(Table_BangLuong_TyLeTangCa[Giờ min]&lt;=$AA35) *
(Table_BangLuong_TyLeTangCa[Giờ max]&gt;$AA35)
))))
),
IF(ISBLANK(AG$7),
IF(VLOOKUP(AG$6, Table_ChiPhiNV_Ca[], COUNTA(Table_ChiPhiNV_Ca[[#Headers],[Ca]:[Kết thúc]]),0)&gt; VLOOKUP(AG$6, Table_ChiPhiNV_Ca[], COUNTA(Table_ChiPhiNV_Ca[[#Headers],[Ca]:[Bắt đầu]]),0),
IF($AA35-$Z$4&lt;MAX(AG$4,VLOOKUP(AG$6, Table_ChiPhiNV_Ca[], COUNTA(Table_ChiPhiNV_Ca[[#Headers],[Ca]:[Bắt đầu]]),0)),0,
IF($AA35&gt;MIN(AG$5,VLOOKUP(AG$6, Table_ChiPhiNV_Ca[], COUNTA(Table_ChiPhiNV_Ca[[#Headers],[Ca]:[Kết thúc]]),0)),0,
SUM(_xlfn._xlws.FILTER(Table_BangLuong_TyLeTangCa[Tỷ lệ],
(Table_BangLuong_TyLeTangCa[Ngày] = "Thường") *
(Table_BangLuong_TyLeTangCa[Giờ min]&lt;=$AA35) *
(Table_BangLuong_TyLeTangCa[Giờ max]&gt;$AA35)
)))),
IF(AG$4 &gt; AG$5,
IF(
AND(
$AA35-$Z$4&lt;MAX(AG$4,VLOOKUP(AG$6, Table_ChiPhiNV_Ca[], COUNTA(Table_ChiPhiNV_Ca[[#Headers],[Ca]:[Bắt đầu]]),0)),
$AA35&gt;MIN(AG$5,VLOOKUP(AG$6, Table_ChiPhiNV_Ca[], COUNTA(Table_ChiPhiNV_Ca[[#Headers],[Ca]:[Kết thúc]]),0))),0,
SUM(_xlfn._xlws.FILTER(Table_BangLuong_TyLeTangCa[Tỷ lệ],
(Table_BangLuong_TyLeTangCa[Ngày] = "Thường") *
(Table_BangLuong_TyLeTangCa[Giờ min]&lt;=$AA35) *
(Table_BangLuong_TyLeTangCa[Giờ max]&gt;$AA35)
))),
IF(
AND(
$AA35-$Z$4&gt;=MAX(AG$4,VLOOKUP(AG$6, Table_ChiPhiNV_Ca[], COUNTA(Table_ChiPhiNV_Ca[[#Headers],[Ca]:[Bắt đầu]]),0)),
$AA35&lt;MIN(AG$5,VLOOKUP(AG$6, Table_ChiPhiNV_Ca[], COUNTA(Table_ChiPhiNV_Ca[[#Headers],[Ca]:[Kết thúc]]),0))),
SUM(_xlfn._xlws.FILTER(Table_BangLuong_TyLeTangCa[Tỷ lệ],
(Table_BangLuong_TyLeTangCa[Ngày] = "Thường") *
(Table_BangLuong_TyLeTangCa[Giờ min]&lt;=$AA35) *
(Table_BangLuong_TyLeTangCa[Giờ max]&gt;$AA35)
)),0)
)),
IF(AG$4 &lt; AG$5,
IF($AA35-$Z$4&lt;AG$4,0,
IF($AA35&gt;AG$5,0,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AG$5,$AA35 &lt; AG$4),0,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H35" s="18" cm="1">
        <f t="array" ref="AH35" xml:space="preserve">
IFERROR(
IF(AH$1="",0,
IF(AND(
$AA35&gt;=VLOOKUP(AH$6, Table_ChiPhiNV_Ca[], COUNTA(Table_ChiPhiNV_Ca[[#Headers],[Ca]:[Bắt đầu nghỉ]]),0),
$AA35&lt;VLOOKUP(AH$6, Table_ChiPhiNV_Ca[], COUNTA(Table_ChiPhiNV_Ca[[#Headers],[Ca]:[Kết thúc nghỉ]]),0)
),0,
IF(NOT(ISBLANK(AH$3)),
IF(ISBLANK(AH$7),0,
IF(AH$4 &lt; AH$5,
IF($AA35-$Z$4&lt;AH$4,0,
IF($AA35&gt;AH$5,0,
SUM(_xlfn._xlws.FILTER(Table_BangLuong_TyLeTangCa[Tỷ lệ],
(Table_BangLuong_TyLeTangCa[Ngày] = AH$3) *
(Table_BangLuong_TyLeTangCa[Giờ min]&lt;=$AA35) *
(Table_BangLuong_TyLeTangCa[Giờ max]&gt;$AA35)
)))),
IF(AND($AA35-$Z$4 &gt;= AH$5,$AA35 &lt; AH$4),0,
SUM(_xlfn._xlws.FILTER(Table_BangLuong_TyLeTangCa[Tỷ lệ],
(Table_BangLuong_TyLeTangCa[Ngày] = AH$3) *
(Table_BangLuong_TyLeTangCa[Giờ min]&lt;=$AA35) *
(Table_BangLuong_TyLeTangCa[Giờ max]&gt;$AA35)
))))
),
IF(ISBLANK(AH$7),
IF(VLOOKUP(AH$6, Table_ChiPhiNV_Ca[], COUNTA(Table_ChiPhiNV_Ca[[#Headers],[Ca]:[Kết thúc]]),0)&gt; VLOOKUP(AH$6, Table_ChiPhiNV_Ca[], COUNTA(Table_ChiPhiNV_Ca[[#Headers],[Ca]:[Bắt đầu]]),0),
IF($AA35-$Z$4&lt;MAX(AH$4,VLOOKUP(AH$6, Table_ChiPhiNV_Ca[], COUNTA(Table_ChiPhiNV_Ca[[#Headers],[Ca]:[Bắt đầu]]),0)),0,
IF($AA35&gt;MIN(AH$5,VLOOKUP(AH$6, Table_ChiPhiNV_Ca[], COUNTA(Table_ChiPhiNV_Ca[[#Headers],[Ca]:[Kết thúc]]),0)),0,
SUM(_xlfn._xlws.FILTER(Table_BangLuong_TyLeTangCa[Tỷ lệ],
(Table_BangLuong_TyLeTangCa[Ngày] = "Thường") *
(Table_BangLuong_TyLeTangCa[Giờ min]&lt;=$AA35) *
(Table_BangLuong_TyLeTangCa[Giờ max]&gt;$AA35)
)))),
IF(AH$4 &gt; AH$5,
IF(
AND(
$AA35-$Z$4&lt;MAX(AH$4,VLOOKUP(AH$6, Table_ChiPhiNV_Ca[], COUNTA(Table_ChiPhiNV_Ca[[#Headers],[Ca]:[Bắt đầu]]),0)),
$AA35&gt;MIN(AH$5,VLOOKUP(AH$6, Table_ChiPhiNV_Ca[], COUNTA(Table_ChiPhiNV_Ca[[#Headers],[Ca]:[Kết thúc]]),0))),0,
SUM(_xlfn._xlws.FILTER(Table_BangLuong_TyLeTangCa[Tỷ lệ],
(Table_BangLuong_TyLeTangCa[Ngày] = "Thường") *
(Table_BangLuong_TyLeTangCa[Giờ min]&lt;=$AA35) *
(Table_BangLuong_TyLeTangCa[Giờ max]&gt;$AA35)
))),
IF(
AND(
$AA35-$Z$4&gt;=MAX(AH$4,VLOOKUP(AH$6, Table_ChiPhiNV_Ca[], COUNTA(Table_ChiPhiNV_Ca[[#Headers],[Ca]:[Bắt đầu]]),0)),
$AA35&lt;MIN(AH$5,VLOOKUP(AH$6, Table_ChiPhiNV_Ca[], COUNTA(Table_ChiPhiNV_Ca[[#Headers],[Ca]:[Kết thúc]]),0))),
SUM(_xlfn._xlws.FILTER(Table_BangLuong_TyLeTangCa[Tỷ lệ],
(Table_BangLuong_TyLeTangCa[Ngày] = "Thường") *
(Table_BangLuong_TyLeTangCa[Giờ min]&lt;=$AA35) *
(Table_BangLuong_TyLeTangCa[Giờ max]&gt;$AA35)
)),0)
)),
IF(AH$4 &lt; AH$5,
IF($AA35-$Z$4&lt;AH$4,0,
IF($AA35&gt;AH$5,0,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AH$5,$AA35 &lt; AH$4),0,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I35" s="18" cm="1">
        <f t="array" ref="AI35" xml:space="preserve">
IFERROR(
IF(AI$1="",0,
IF(AND(
$AA35&gt;=VLOOKUP(AI$6, Table_ChiPhiNV_Ca[], COUNTA(Table_ChiPhiNV_Ca[[#Headers],[Ca]:[Bắt đầu nghỉ]]),0),
$AA35&lt;VLOOKUP(AI$6, Table_ChiPhiNV_Ca[], COUNTA(Table_ChiPhiNV_Ca[[#Headers],[Ca]:[Kết thúc nghỉ]]),0)
),0,
IF(NOT(ISBLANK(AI$3)),
IF(ISBLANK(AI$7),0,
IF(AI$4 &lt; AI$5,
IF($AA35-$Z$4&lt;AI$4,0,
IF($AA35&gt;AI$5,0,
SUM(_xlfn._xlws.FILTER(Table_BangLuong_TyLeTangCa[Tỷ lệ],
(Table_BangLuong_TyLeTangCa[Ngày] = AI$3) *
(Table_BangLuong_TyLeTangCa[Giờ min]&lt;=$AA35) *
(Table_BangLuong_TyLeTangCa[Giờ max]&gt;$AA35)
)))),
IF(AND($AA35-$Z$4 &gt;= AI$5,$AA35 &lt; AI$4),0,
SUM(_xlfn._xlws.FILTER(Table_BangLuong_TyLeTangCa[Tỷ lệ],
(Table_BangLuong_TyLeTangCa[Ngày] = AI$3) *
(Table_BangLuong_TyLeTangCa[Giờ min]&lt;=$AA35) *
(Table_BangLuong_TyLeTangCa[Giờ max]&gt;$AA35)
))))
),
IF(ISBLANK(AI$7),
IF(VLOOKUP(AI$6, Table_ChiPhiNV_Ca[], COUNTA(Table_ChiPhiNV_Ca[[#Headers],[Ca]:[Kết thúc]]),0)&gt; VLOOKUP(AI$6, Table_ChiPhiNV_Ca[], COUNTA(Table_ChiPhiNV_Ca[[#Headers],[Ca]:[Bắt đầu]]),0),
IF($AA35-$Z$4&lt;MAX(AI$4,VLOOKUP(AI$6, Table_ChiPhiNV_Ca[], COUNTA(Table_ChiPhiNV_Ca[[#Headers],[Ca]:[Bắt đầu]]),0)),0,
IF($AA35&gt;MIN(AI$5,VLOOKUP(AI$6, Table_ChiPhiNV_Ca[], COUNTA(Table_ChiPhiNV_Ca[[#Headers],[Ca]:[Kết thúc]]),0)),0,
SUM(_xlfn._xlws.FILTER(Table_BangLuong_TyLeTangCa[Tỷ lệ],
(Table_BangLuong_TyLeTangCa[Ngày] = "Thường") *
(Table_BangLuong_TyLeTangCa[Giờ min]&lt;=$AA35) *
(Table_BangLuong_TyLeTangCa[Giờ max]&gt;$AA35)
)))),
IF(AI$4 &gt; AI$5,
IF(
AND(
$AA35-$Z$4&lt;MAX(AI$4,VLOOKUP(AI$6, Table_ChiPhiNV_Ca[], COUNTA(Table_ChiPhiNV_Ca[[#Headers],[Ca]:[Bắt đầu]]),0)),
$AA35&gt;MIN(AI$5,VLOOKUP(AI$6, Table_ChiPhiNV_Ca[], COUNTA(Table_ChiPhiNV_Ca[[#Headers],[Ca]:[Kết thúc]]),0))),0,
SUM(_xlfn._xlws.FILTER(Table_BangLuong_TyLeTangCa[Tỷ lệ],
(Table_BangLuong_TyLeTangCa[Ngày] = "Thường") *
(Table_BangLuong_TyLeTangCa[Giờ min]&lt;=$AA35) *
(Table_BangLuong_TyLeTangCa[Giờ max]&gt;$AA35)
))),
IF(
AND(
$AA35-$Z$4&gt;=MAX(AI$4,VLOOKUP(AI$6, Table_ChiPhiNV_Ca[], COUNTA(Table_ChiPhiNV_Ca[[#Headers],[Ca]:[Bắt đầu]]),0)),
$AA35&lt;MIN(AI$5,VLOOKUP(AI$6, Table_ChiPhiNV_Ca[], COUNTA(Table_ChiPhiNV_Ca[[#Headers],[Ca]:[Kết thúc]]),0))),
SUM(_xlfn._xlws.FILTER(Table_BangLuong_TyLeTangCa[Tỷ lệ],
(Table_BangLuong_TyLeTangCa[Ngày] = "Thường") *
(Table_BangLuong_TyLeTangCa[Giờ min]&lt;=$AA35) *
(Table_BangLuong_TyLeTangCa[Giờ max]&gt;$AA35)
)),0)
)),
IF(AI$4 &lt; AI$5,
IF($AA35-$Z$4&lt;AI$4,0,
IF($AA35&gt;AI$5,0,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AI$5,$AA35 &lt; AI$4),0,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J35" s="18" cm="1">
        <f t="array" ref="AJ35" xml:space="preserve">
IFERROR(
IF(AJ$1="",0,
IF(AND(
$AA35&gt;=VLOOKUP(AJ$6, Table_ChiPhiNV_Ca[], COUNTA(Table_ChiPhiNV_Ca[[#Headers],[Ca]:[Bắt đầu nghỉ]]),0),
$AA35&lt;VLOOKUP(AJ$6, Table_ChiPhiNV_Ca[], COUNTA(Table_ChiPhiNV_Ca[[#Headers],[Ca]:[Kết thúc nghỉ]]),0)
),0,
IF(NOT(ISBLANK(AJ$3)),
IF(ISBLANK(AJ$7),0,
IF(AJ$4 &lt; AJ$5,
IF($AA35-$Z$4&lt;AJ$4,0,
IF($AA35&gt;AJ$5,0,
SUM(_xlfn._xlws.FILTER(Table_BangLuong_TyLeTangCa[Tỷ lệ],
(Table_BangLuong_TyLeTangCa[Ngày] = AJ$3) *
(Table_BangLuong_TyLeTangCa[Giờ min]&lt;=$AA35) *
(Table_BangLuong_TyLeTangCa[Giờ max]&gt;$AA35)
)))),
IF(AND($AA35-$Z$4 &gt;= AJ$5,$AA35 &lt; AJ$4),0,
SUM(_xlfn._xlws.FILTER(Table_BangLuong_TyLeTangCa[Tỷ lệ],
(Table_BangLuong_TyLeTangCa[Ngày] = AJ$3) *
(Table_BangLuong_TyLeTangCa[Giờ min]&lt;=$AA35) *
(Table_BangLuong_TyLeTangCa[Giờ max]&gt;$AA35)
))))
),
IF(ISBLANK(AJ$7),
IF(VLOOKUP(AJ$6, Table_ChiPhiNV_Ca[], COUNTA(Table_ChiPhiNV_Ca[[#Headers],[Ca]:[Kết thúc]]),0)&gt; VLOOKUP(AJ$6, Table_ChiPhiNV_Ca[], COUNTA(Table_ChiPhiNV_Ca[[#Headers],[Ca]:[Bắt đầu]]),0),
IF($AA35-$Z$4&lt;MAX(AJ$4,VLOOKUP(AJ$6, Table_ChiPhiNV_Ca[], COUNTA(Table_ChiPhiNV_Ca[[#Headers],[Ca]:[Bắt đầu]]),0)),0,
IF($AA35&gt;MIN(AJ$5,VLOOKUP(AJ$6, Table_ChiPhiNV_Ca[], COUNTA(Table_ChiPhiNV_Ca[[#Headers],[Ca]:[Kết thúc]]),0)),0,
SUM(_xlfn._xlws.FILTER(Table_BangLuong_TyLeTangCa[Tỷ lệ],
(Table_BangLuong_TyLeTangCa[Ngày] = "Thường") *
(Table_BangLuong_TyLeTangCa[Giờ min]&lt;=$AA35) *
(Table_BangLuong_TyLeTangCa[Giờ max]&gt;$AA35)
)))),
IF(AJ$4 &gt; AJ$5,
IF(
AND(
$AA35-$Z$4&lt;MAX(AJ$4,VLOOKUP(AJ$6, Table_ChiPhiNV_Ca[], COUNTA(Table_ChiPhiNV_Ca[[#Headers],[Ca]:[Bắt đầu]]),0)),
$AA35&gt;MIN(AJ$5,VLOOKUP(AJ$6, Table_ChiPhiNV_Ca[], COUNTA(Table_ChiPhiNV_Ca[[#Headers],[Ca]:[Kết thúc]]),0))),0,
SUM(_xlfn._xlws.FILTER(Table_BangLuong_TyLeTangCa[Tỷ lệ],
(Table_BangLuong_TyLeTangCa[Ngày] = "Thường") *
(Table_BangLuong_TyLeTangCa[Giờ min]&lt;=$AA35) *
(Table_BangLuong_TyLeTangCa[Giờ max]&gt;$AA35)
))),
IF(
AND(
$AA35-$Z$4&gt;=MAX(AJ$4,VLOOKUP(AJ$6, Table_ChiPhiNV_Ca[], COUNTA(Table_ChiPhiNV_Ca[[#Headers],[Ca]:[Bắt đầu]]),0)),
$AA35&lt;MIN(AJ$5,VLOOKUP(AJ$6, Table_ChiPhiNV_Ca[], COUNTA(Table_ChiPhiNV_Ca[[#Headers],[Ca]:[Kết thúc]]),0))),
SUM(_xlfn._xlws.FILTER(Table_BangLuong_TyLeTangCa[Tỷ lệ],
(Table_BangLuong_TyLeTangCa[Ngày] = "Thường") *
(Table_BangLuong_TyLeTangCa[Giờ min]&lt;=$AA35) *
(Table_BangLuong_TyLeTangCa[Giờ max]&gt;$AA35)
)),0)
)),
IF(AJ$4 &lt; AJ$5,
IF($AA35-$Z$4&lt;AJ$4,0,
IF($AA35&gt;AJ$5,0,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AJ$5,$AA35 &lt; AJ$4),0,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K35" s="18" cm="1">
        <f t="array" ref="AK35" xml:space="preserve">
IFERROR(
IF(AK$1="",0,
IF(AND(
$AA35&gt;=VLOOKUP(AK$6, Table_ChiPhiNV_Ca[], COUNTA(Table_ChiPhiNV_Ca[[#Headers],[Ca]:[Bắt đầu nghỉ]]),0),
$AA35&lt;VLOOKUP(AK$6, Table_ChiPhiNV_Ca[], COUNTA(Table_ChiPhiNV_Ca[[#Headers],[Ca]:[Kết thúc nghỉ]]),0)
),0,
IF(NOT(ISBLANK(AK$3)),
IF(ISBLANK(AK$7),0,
IF(AK$4 &lt; AK$5,
IF($AA35-$Z$4&lt;AK$4,0,
IF($AA35&gt;AK$5,0,
SUM(_xlfn._xlws.FILTER(Table_BangLuong_TyLeTangCa[Tỷ lệ],
(Table_BangLuong_TyLeTangCa[Ngày] = AK$3) *
(Table_BangLuong_TyLeTangCa[Giờ min]&lt;=$AA35) *
(Table_BangLuong_TyLeTangCa[Giờ max]&gt;$AA35)
)))),
IF(AND($AA35-$Z$4 &gt;= AK$5,$AA35 &lt; AK$4),0,
SUM(_xlfn._xlws.FILTER(Table_BangLuong_TyLeTangCa[Tỷ lệ],
(Table_BangLuong_TyLeTangCa[Ngày] = AK$3) *
(Table_BangLuong_TyLeTangCa[Giờ min]&lt;=$AA35) *
(Table_BangLuong_TyLeTangCa[Giờ max]&gt;$AA35)
))))
),
IF(ISBLANK(AK$7),
IF(VLOOKUP(AK$6, Table_ChiPhiNV_Ca[], COUNTA(Table_ChiPhiNV_Ca[[#Headers],[Ca]:[Kết thúc]]),0)&gt; VLOOKUP(AK$6, Table_ChiPhiNV_Ca[], COUNTA(Table_ChiPhiNV_Ca[[#Headers],[Ca]:[Bắt đầu]]),0),
IF($AA35-$Z$4&lt;MAX(AK$4,VLOOKUP(AK$6, Table_ChiPhiNV_Ca[], COUNTA(Table_ChiPhiNV_Ca[[#Headers],[Ca]:[Bắt đầu]]),0)),0,
IF($AA35&gt;MIN(AK$5,VLOOKUP(AK$6, Table_ChiPhiNV_Ca[], COUNTA(Table_ChiPhiNV_Ca[[#Headers],[Ca]:[Kết thúc]]),0)),0,
SUM(_xlfn._xlws.FILTER(Table_BangLuong_TyLeTangCa[Tỷ lệ],
(Table_BangLuong_TyLeTangCa[Ngày] = "Thường") *
(Table_BangLuong_TyLeTangCa[Giờ min]&lt;=$AA35) *
(Table_BangLuong_TyLeTangCa[Giờ max]&gt;$AA35)
)))),
IF(AK$4 &gt; AK$5,
IF(
AND(
$AA35-$Z$4&lt;MAX(AK$4,VLOOKUP(AK$6, Table_ChiPhiNV_Ca[], COUNTA(Table_ChiPhiNV_Ca[[#Headers],[Ca]:[Bắt đầu]]),0)),
$AA35&gt;MIN(AK$5,VLOOKUP(AK$6, Table_ChiPhiNV_Ca[], COUNTA(Table_ChiPhiNV_Ca[[#Headers],[Ca]:[Kết thúc]]),0))),0,
SUM(_xlfn._xlws.FILTER(Table_BangLuong_TyLeTangCa[Tỷ lệ],
(Table_BangLuong_TyLeTangCa[Ngày] = "Thường") *
(Table_BangLuong_TyLeTangCa[Giờ min]&lt;=$AA35) *
(Table_BangLuong_TyLeTangCa[Giờ max]&gt;$AA35)
))),
IF(
AND(
$AA35-$Z$4&gt;=MAX(AK$4,VLOOKUP(AK$6, Table_ChiPhiNV_Ca[], COUNTA(Table_ChiPhiNV_Ca[[#Headers],[Ca]:[Bắt đầu]]),0)),
$AA35&lt;MIN(AK$5,VLOOKUP(AK$6, Table_ChiPhiNV_Ca[], COUNTA(Table_ChiPhiNV_Ca[[#Headers],[Ca]:[Kết thúc]]),0))),
SUM(_xlfn._xlws.FILTER(Table_BangLuong_TyLeTangCa[Tỷ lệ],
(Table_BangLuong_TyLeTangCa[Ngày] = "Thường") *
(Table_BangLuong_TyLeTangCa[Giờ min]&lt;=$AA35) *
(Table_BangLuong_TyLeTangCa[Giờ max]&gt;$AA35)
)),0)
)),
IF(AK$4 &lt; AK$5,
IF($AA35-$Z$4&lt;AK$4,0,
IF($AA35&gt;AK$5,0,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AK$5,$AA35 &lt; AK$4),0,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L35" s="18" cm="1">
        <f t="array" ref="AL35" xml:space="preserve">
IFERROR(
IF(AL$1="",0,
IF(AND(
$AA35&gt;=VLOOKUP(AL$6, Table_ChiPhiNV_Ca[], COUNTA(Table_ChiPhiNV_Ca[[#Headers],[Ca]:[Bắt đầu nghỉ]]),0),
$AA35&lt;VLOOKUP(AL$6, Table_ChiPhiNV_Ca[], COUNTA(Table_ChiPhiNV_Ca[[#Headers],[Ca]:[Kết thúc nghỉ]]),0)
),0,
IF(NOT(ISBLANK(AL$3)),
IF(ISBLANK(AL$7),0,
IF(AL$4 &lt; AL$5,
IF($AA35-$Z$4&lt;AL$4,0,
IF($AA35&gt;AL$5,0,
SUM(_xlfn._xlws.FILTER(Table_BangLuong_TyLeTangCa[Tỷ lệ],
(Table_BangLuong_TyLeTangCa[Ngày] = AL$3) *
(Table_BangLuong_TyLeTangCa[Giờ min]&lt;=$AA35) *
(Table_BangLuong_TyLeTangCa[Giờ max]&gt;$AA35)
)))),
IF(AND($AA35-$Z$4 &gt;= AL$5,$AA35 &lt; AL$4),0,
SUM(_xlfn._xlws.FILTER(Table_BangLuong_TyLeTangCa[Tỷ lệ],
(Table_BangLuong_TyLeTangCa[Ngày] = AL$3) *
(Table_BangLuong_TyLeTangCa[Giờ min]&lt;=$AA35) *
(Table_BangLuong_TyLeTangCa[Giờ max]&gt;$AA35)
))))
),
IF(ISBLANK(AL$7),
IF(VLOOKUP(AL$6, Table_ChiPhiNV_Ca[], COUNTA(Table_ChiPhiNV_Ca[[#Headers],[Ca]:[Kết thúc]]),0)&gt; VLOOKUP(AL$6, Table_ChiPhiNV_Ca[], COUNTA(Table_ChiPhiNV_Ca[[#Headers],[Ca]:[Bắt đầu]]),0),
IF($AA35-$Z$4&lt;MAX(AL$4,VLOOKUP(AL$6, Table_ChiPhiNV_Ca[], COUNTA(Table_ChiPhiNV_Ca[[#Headers],[Ca]:[Bắt đầu]]),0)),0,
IF($AA35&gt;MIN(AL$5,VLOOKUP(AL$6, Table_ChiPhiNV_Ca[], COUNTA(Table_ChiPhiNV_Ca[[#Headers],[Ca]:[Kết thúc]]),0)),0,
SUM(_xlfn._xlws.FILTER(Table_BangLuong_TyLeTangCa[Tỷ lệ],
(Table_BangLuong_TyLeTangCa[Ngày] = "Thường") *
(Table_BangLuong_TyLeTangCa[Giờ min]&lt;=$AA35) *
(Table_BangLuong_TyLeTangCa[Giờ max]&gt;$AA35)
)))),
IF(AL$4 &gt; AL$5,
IF(
AND(
$AA35-$Z$4&lt;MAX(AL$4,VLOOKUP(AL$6, Table_ChiPhiNV_Ca[], COUNTA(Table_ChiPhiNV_Ca[[#Headers],[Ca]:[Bắt đầu]]),0)),
$AA35&gt;MIN(AL$5,VLOOKUP(AL$6, Table_ChiPhiNV_Ca[], COUNTA(Table_ChiPhiNV_Ca[[#Headers],[Ca]:[Kết thúc]]),0))),0,
SUM(_xlfn._xlws.FILTER(Table_BangLuong_TyLeTangCa[Tỷ lệ],
(Table_BangLuong_TyLeTangCa[Ngày] = "Thường") *
(Table_BangLuong_TyLeTangCa[Giờ min]&lt;=$AA35) *
(Table_BangLuong_TyLeTangCa[Giờ max]&gt;$AA35)
))),
IF(
AND(
$AA35-$Z$4&gt;=MAX(AL$4,VLOOKUP(AL$6, Table_ChiPhiNV_Ca[], COUNTA(Table_ChiPhiNV_Ca[[#Headers],[Ca]:[Bắt đầu]]),0)),
$AA35&lt;MIN(AL$5,VLOOKUP(AL$6, Table_ChiPhiNV_Ca[], COUNTA(Table_ChiPhiNV_Ca[[#Headers],[Ca]:[Kết thúc]]),0))),
SUM(_xlfn._xlws.FILTER(Table_BangLuong_TyLeTangCa[Tỷ lệ],
(Table_BangLuong_TyLeTangCa[Ngày] = "Thường") *
(Table_BangLuong_TyLeTangCa[Giờ min]&lt;=$AA35) *
(Table_BangLuong_TyLeTangCa[Giờ max]&gt;$AA35)
)),0)
)),
IF(AL$4 &lt; AL$5,
IF($AA35-$Z$4&lt;AL$4,0,
IF($AA35&gt;AL$5,0,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AL$5,$AA35 &lt; AL$4),0,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M35" s="18" cm="1">
        <f t="array" ref="AM35" xml:space="preserve">
IFERROR(
IF(AM$1="",0,
IF(AND(
$AA35&gt;=VLOOKUP(AM$6, Table_ChiPhiNV_Ca[], COUNTA(Table_ChiPhiNV_Ca[[#Headers],[Ca]:[Bắt đầu nghỉ]]),0),
$AA35&lt;VLOOKUP(AM$6, Table_ChiPhiNV_Ca[], COUNTA(Table_ChiPhiNV_Ca[[#Headers],[Ca]:[Kết thúc nghỉ]]),0)
),0,
IF(NOT(ISBLANK(AM$3)),
IF(ISBLANK(AM$7),0,
IF(AM$4 &lt; AM$5,
IF($AA35-$Z$4&lt;AM$4,0,
IF($AA35&gt;AM$5,0,
SUM(_xlfn._xlws.FILTER(Table_BangLuong_TyLeTangCa[Tỷ lệ],
(Table_BangLuong_TyLeTangCa[Ngày] = AM$3) *
(Table_BangLuong_TyLeTangCa[Giờ min]&lt;=$AA35) *
(Table_BangLuong_TyLeTangCa[Giờ max]&gt;$AA35)
)))),
IF(AND($AA35-$Z$4 &gt;= AM$5,$AA35 &lt; AM$4),0,
SUM(_xlfn._xlws.FILTER(Table_BangLuong_TyLeTangCa[Tỷ lệ],
(Table_BangLuong_TyLeTangCa[Ngày] = AM$3) *
(Table_BangLuong_TyLeTangCa[Giờ min]&lt;=$AA35) *
(Table_BangLuong_TyLeTangCa[Giờ max]&gt;$AA35)
))))
),
IF(ISBLANK(AM$7),
IF(VLOOKUP(AM$6, Table_ChiPhiNV_Ca[], COUNTA(Table_ChiPhiNV_Ca[[#Headers],[Ca]:[Kết thúc]]),0)&gt; VLOOKUP(AM$6, Table_ChiPhiNV_Ca[], COUNTA(Table_ChiPhiNV_Ca[[#Headers],[Ca]:[Bắt đầu]]),0),
IF($AA35-$Z$4&lt;MAX(AM$4,VLOOKUP(AM$6, Table_ChiPhiNV_Ca[], COUNTA(Table_ChiPhiNV_Ca[[#Headers],[Ca]:[Bắt đầu]]),0)),0,
IF($AA35&gt;MIN(AM$5,VLOOKUP(AM$6, Table_ChiPhiNV_Ca[], COUNTA(Table_ChiPhiNV_Ca[[#Headers],[Ca]:[Kết thúc]]),0)),0,
SUM(_xlfn._xlws.FILTER(Table_BangLuong_TyLeTangCa[Tỷ lệ],
(Table_BangLuong_TyLeTangCa[Ngày] = "Thường") *
(Table_BangLuong_TyLeTangCa[Giờ min]&lt;=$AA35) *
(Table_BangLuong_TyLeTangCa[Giờ max]&gt;$AA35)
)))),
IF(AM$4 &gt; AM$5,
IF(
AND(
$AA35-$Z$4&lt;MAX(AM$4,VLOOKUP(AM$6, Table_ChiPhiNV_Ca[], COUNTA(Table_ChiPhiNV_Ca[[#Headers],[Ca]:[Bắt đầu]]),0)),
$AA35&gt;MIN(AM$5,VLOOKUP(AM$6, Table_ChiPhiNV_Ca[], COUNTA(Table_ChiPhiNV_Ca[[#Headers],[Ca]:[Kết thúc]]),0))),0,
SUM(_xlfn._xlws.FILTER(Table_BangLuong_TyLeTangCa[Tỷ lệ],
(Table_BangLuong_TyLeTangCa[Ngày] = "Thường") *
(Table_BangLuong_TyLeTangCa[Giờ min]&lt;=$AA35) *
(Table_BangLuong_TyLeTangCa[Giờ max]&gt;$AA35)
))),
IF(
AND(
$AA35-$Z$4&gt;=MAX(AM$4,VLOOKUP(AM$6, Table_ChiPhiNV_Ca[], COUNTA(Table_ChiPhiNV_Ca[[#Headers],[Ca]:[Bắt đầu]]),0)),
$AA35&lt;MIN(AM$5,VLOOKUP(AM$6, Table_ChiPhiNV_Ca[], COUNTA(Table_ChiPhiNV_Ca[[#Headers],[Ca]:[Kết thúc]]),0))),
SUM(_xlfn._xlws.FILTER(Table_BangLuong_TyLeTangCa[Tỷ lệ],
(Table_BangLuong_TyLeTangCa[Ngày] = "Thường") *
(Table_BangLuong_TyLeTangCa[Giờ min]&lt;=$AA35) *
(Table_BangLuong_TyLeTangCa[Giờ max]&gt;$AA35)
)),0)
)),
IF(AM$4 &lt; AM$5,
IF($AA35-$Z$4&lt;AM$4,0,
IF($AA35&gt;AM$5,0,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AM$5,$AA35 &lt; AM$4),0,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N35" s="18" cm="1">
        <f t="array" ref="AN35" xml:space="preserve">
IFERROR(
IF(AN$1="",0,
IF(AND(
$AA35&gt;=VLOOKUP(AN$6, Table_ChiPhiNV_Ca[], COUNTA(Table_ChiPhiNV_Ca[[#Headers],[Ca]:[Bắt đầu nghỉ]]),0),
$AA35&lt;VLOOKUP(AN$6, Table_ChiPhiNV_Ca[], COUNTA(Table_ChiPhiNV_Ca[[#Headers],[Ca]:[Kết thúc nghỉ]]),0)
),0,
IF(NOT(ISBLANK(AN$3)),
IF(ISBLANK(AN$7),0,
IF(AN$4 &lt; AN$5,
IF($AA35-$Z$4&lt;AN$4,0,
IF($AA35&gt;AN$5,0,
SUM(_xlfn._xlws.FILTER(Table_BangLuong_TyLeTangCa[Tỷ lệ],
(Table_BangLuong_TyLeTangCa[Ngày] = AN$3) *
(Table_BangLuong_TyLeTangCa[Giờ min]&lt;=$AA35) *
(Table_BangLuong_TyLeTangCa[Giờ max]&gt;$AA35)
)))),
IF(AND($AA35-$Z$4 &gt;= AN$5,$AA35 &lt; AN$4),0,
SUM(_xlfn._xlws.FILTER(Table_BangLuong_TyLeTangCa[Tỷ lệ],
(Table_BangLuong_TyLeTangCa[Ngày] = AN$3) *
(Table_BangLuong_TyLeTangCa[Giờ min]&lt;=$AA35) *
(Table_BangLuong_TyLeTangCa[Giờ max]&gt;$AA35)
))))
),
IF(ISBLANK(AN$7),
IF(VLOOKUP(AN$6, Table_ChiPhiNV_Ca[], COUNTA(Table_ChiPhiNV_Ca[[#Headers],[Ca]:[Kết thúc]]),0)&gt; VLOOKUP(AN$6, Table_ChiPhiNV_Ca[], COUNTA(Table_ChiPhiNV_Ca[[#Headers],[Ca]:[Bắt đầu]]),0),
IF($AA35-$Z$4&lt;MAX(AN$4,VLOOKUP(AN$6, Table_ChiPhiNV_Ca[], COUNTA(Table_ChiPhiNV_Ca[[#Headers],[Ca]:[Bắt đầu]]),0)),0,
IF($AA35&gt;MIN(AN$5,VLOOKUP(AN$6, Table_ChiPhiNV_Ca[], COUNTA(Table_ChiPhiNV_Ca[[#Headers],[Ca]:[Kết thúc]]),0)),0,
SUM(_xlfn._xlws.FILTER(Table_BangLuong_TyLeTangCa[Tỷ lệ],
(Table_BangLuong_TyLeTangCa[Ngày] = "Thường") *
(Table_BangLuong_TyLeTangCa[Giờ min]&lt;=$AA35) *
(Table_BangLuong_TyLeTangCa[Giờ max]&gt;$AA35)
)))),
IF(AN$4 &gt; AN$5,
IF(
AND(
$AA35-$Z$4&lt;MAX(AN$4,VLOOKUP(AN$6, Table_ChiPhiNV_Ca[], COUNTA(Table_ChiPhiNV_Ca[[#Headers],[Ca]:[Bắt đầu]]),0)),
$AA35&gt;MIN(AN$5,VLOOKUP(AN$6, Table_ChiPhiNV_Ca[], COUNTA(Table_ChiPhiNV_Ca[[#Headers],[Ca]:[Kết thúc]]),0))),0,
SUM(_xlfn._xlws.FILTER(Table_BangLuong_TyLeTangCa[Tỷ lệ],
(Table_BangLuong_TyLeTangCa[Ngày] = "Thường") *
(Table_BangLuong_TyLeTangCa[Giờ min]&lt;=$AA35) *
(Table_BangLuong_TyLeTangCa[Giờ max]&gt;$AA35)
))),
IF(
AND(
$AA35-$Z$4&gt;=MAX(AN$4,VLOOKUP(AN$6, Table_ChiPhiNV_Ca[], COUNTA(Table_ChiPhiNV_Ca[[#Headers],[Ca]:[Bắt đầu]]),0)),
$AA35&lt;MIN(AN$5,VLOOKUP(AN$6, Table_ChiPhiNV_Ca[], COUNTA(Table_ChiPhiNV_Ca[[#Headers],[Ca]:[Kết thúc]]),0))),
SUM(_xlfn._xlws.FILTER(Table_BangLuong_TyLeTangCa[Tỷ lệ],
(Table_BangLuong_TyLeTangCa[Ngày] = "Thường") *
(Table_BangLuong_TyLeTangCa[Giờ min]&lt;=$AA35) *
(Table_BangLuong_TyLeTangCa[Giờ max]&gt;$AA35)
)),0)
)),
IF(AN$4 &lt; AN$5,
IF($AA35-$Z$4&lt;AN$4,0,
IF($AA35&gt;AN$5,0,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AN$5,$AA35 &lt; AN$4),0,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O35" s="18" cm="1">
        <f t="array" ref="AO35" xml:space="preserve">
IFERROR(
IF(AO$1="",0,
IF(AND(
$AA35&gt;=VLOOKUP(AO$6, Table_ChiPhiNV_Ca[], COUNTA(Table_ChiPhiNV_Ca[[#Headers],[Ca]:[Bắt đầu nghỉ]]),0),
$AA35&lt;VLOOKUP(AO$6, Table_ChiPhiNV_Ca[], COUNTA(Table_ChiPhiNV_Ca[[#Headers],[Ca]:[Kết thúc nghỉ]]),0)
),0,
IF(NOT(ISBLANK(AO$3)),
IF(ISBLANK(AO$7),0,
IF(AO$4 &lt; AO$5,
IF($AA35-$Z$4&lt;AO$4,0,
IF($AA35&gt;AO$5,0,
SUM(_xlfn._xlws.FILTER(Table_BangLuong_TyLeTangCa[Tỷ lệ],
(Table_BangLuong_TyLeTangCa[Ngày] = AO$3) *
(Table_BangLuong_TyLeTangCa[Giờ min]&lt;=$AA35) *
(Table_BangLuong_TyLeTangCa[Giờ max]&gt;$AA35)
)))),
IF(AND($AA35-$Z$4 &gt;= AO$5,$AA35 &lt; AO$4),0,
SUM(_xlfn._xlws.FILTER(Table_BangLuong_TyLeTangCa[Tỷ lệ],
(Table_BangLuong_TyLeTangCa[Ngày] = AO$3) *
(Table_BangLuong_TyLeTangCa[Giờ min]&lt;=$AA35) *
(Table_BangLuong_TyLeTangCa[Giờ max]&gt;$AA35)
))))
),
IF(ISBLANK(AO$7),
IF(VLOOKUP(AO$6, Table_ChiPhiNV_Ca[], COUNTA(Table_ChiPhiNV_Ca[[#Headers],[Ca]:[Kết thúc]]),0)&gt; VLOOKUP(AO$6, Table_ChiPhiNV_Ca[], COUNTA(Table_ChiPhiNV_Ca[[#Headers],[Ca]:[Bắt đầu]]),0),
IF($AA35-$Z$4&lt;MAX(AO$4,VLOOKUP(AO$6, Table_ChiPhiNV_Ca[], COUNTA(Table_ChiPhiNV_Ca[[#Headers],[Ca]:[Bắt đầu]]),0)),0,
IF($AA35&gt;MIN(AO$5,VLOOKUP(AO$6, Table_ChiPhiNV_Ca[], COUNTA(Table_ChiPhiNV_Ca[[#Headers],[Ca]:[Kết thúc]]),0)),0,
SUM(_xlfn._xlws.FILTER(Table_BangLuong_TyLeTangCa[Tỷ lệ],
(Table_BangLuong_TyLeTangCa[Ngày] = "Thường") *
(Table_BangLuong_TyLeTangCa[Giờ min]&lt;=$AA35) *
(Table_BangLuong_TyLeTangCa[Giờ max]&gt;$AA35)
)))),
IF(AO$4 &gt; AO$5,
IF(
AND(
$AA35-$Z$4&lt;MAX(AO$4,VLOOKUP(AO$6, Table_ChiPhiNV_Ca[], COUNTA(Table_ChiPhiNV_Ca[[#Headers],[Ca]:[Bắt đầu]]),0)),
$AA35&gt;MIN(AO$5,VLOOKUP(AO$6, Table_ChiPhiNV_Ca[], COUNTA(Table_ChiPhiNV_Ca[[#Headers],[Ca]:[Kết thúc]]),0))),0,
SUM(_xlfn._xlws.FILTER(Table_BangLuong_TyLeTangCa[Tỷ lệ],
(Table_BangLuong_TyLeTangCa[Ngày] = "Thường") *
(Table_BangLuong_TyLeTangCa[Giờ min]&lt;=$AA35) *
(Table_BangLuong_TyLeTangCa[Giờ max]&gt;$AA35)
))),
IF(
AND(
$AA35-$Z$4&gt;=MAX(AO$4,VLOOKUP(AO$6, Table_ChiPhiNV_Ca[], COUNTA(Table_ChiPhiNV_Ca[[#Headers],[Ca]:[Bắt đầu]]),0)),
$AA35&lt;MIN(AO$5,VLOOKUP(AO$6, Table_ChiPhiNV_Ca[], COUNTA(Table_ChiPhiNV_Ca[[#Headers],[Ca]:[Kết thúc]]),0))),
SUM(_xlfn._xlws.FILTER(Table_BangLuong_TyLeTangCa[Tỷ lệ],
(Table_BangLuong_TyLeTangCa[Ngày] = "Thường") *
(Table_BangLuong_TyLeTangCa[Giờ min]&lt;=$AA35) *
(Table_BangLuong_TyLeTangCa[Giờ max]&gt;$AA35)
)),0)
)),
IF(AO$4 &lt; AO$5,
IF($AA35-$Z$4&lt;AO$4,0,
IF($AA35&gt;AO$5,0,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AO$5,$AA35 &lt; AO$4),0,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P35" s="18" cm="1">
        <f t="array" ref="AP35" xml:space="preserve">
IFERROR(
IF(AP$1="",0,
IF(AND(
$AA35&gt;=VLOOKUP(AP$6, Table_ChiPhiNV_Ca[], COUNTA(Table_ChiPhiNV_Ca[[#Headers],[Ca]:[Bắt đầu nghỉ]]),0),
$AA35&lt;VLOOKUP(AP$6, Table_ChiPhiNV_Ca[], COUNTA(Table_ChiPhiNV_Ca[[#Headers],[Ca]:[Kết thúc nghỉ]]),0)
),0,
IF(NOT(ISBLANK(AP$3)),
IF(ISBLANK(AP$7),0,
IF(AP$4 &lt; AP$5,
IF($AA35-$Z$4&lt;AP$4,0,
IF($AA35&gt;AP$5,0,
SUM(_xlfn._xlws.FILTER(Table_BangLuong_TyLeTangCa[Tỷ lệ],
(Table_BangLuong_TyLeTangCa[Ngày] = AP$3) *
(Table_BangLuong_TyLeTangCa[Giờ min]&lt;=$AA35) *
(Table_BangLuong_TyLeTangCa[Giờ max]&gt;$AA35)
)))),
IF(AND($AA35-$Z$4 &gt;= AP$5,$AA35 &lt; AP$4),0,
SUM(_xlfn._xlws.FILTER(Table_BangLuong_TyLeTangCa[Tỷ lệ],
(Table_BangLuong_TyLeTangCa[Ngày] = AP$3) *
(Table_BangLuong_TyLeTangCa[Giờ min]&lt;=$AA35) *
(Table_BangLuong_TyLeTangCa[Giờ max]&gt;$AA35)
))))
),
IF(ISBLANK(AP$7),
IF(VLOOKUP(AP$6, Table_ChiPhiNV_Ca[], COUNTA(Table_ChiPhiNV_Ca[[#Headers],[Ca]:[Kết thúc]]),0)&gt; VLOOKUP(AP$6, Table_ChiPhiNV_Ca[], COUNTA(Table_ChiPhiNV_Ca[[#Headers],[Ca]:[Bắt đầu]]),0),
IF($AA35-$Z$4&lt;MAX(AP$4,VLOOKUP(AP$6, Table_ChiPhiNV_Ca[], COUNTA(Table_ChiPhiNV_Ca[[#Headers],[Ca]:[Bắt đầu]]),0)),0,
IF($AA35&gt;MIN(AP$5,VLOOKUP(AP$6, Table_ChiPhiNV_Ca[], COUNTA(Table_ChiPhiNV_Ca[[#Headers],[Ca]:[Kết thúc]]),0)),0,
SUM(_xlfn._xlws.FILTER(Table_BangLuong_TyLeTangCa[Tỷ lệ],
(Table_BangLuong_TyLeTangCa[Ngày] = "Thường") *
(Table_BangLuong_TyLeTangCa[Giờ min]&lt;=$AA35) *
(Table_BangLuong_TyLeTangCa[Giờ max]&gt;$AA35)
)))),
IF(AP$4 &gt; AP$5,
IF(
AND(
$AA35-$Z$4&lt;MAX(AP$4,VLOOKUP(AP$6, Table_ChiPhiNV_Ca[], COUNTA(Table_ChiPhiNV_Ca[[#Headers],[Ca]:[Bắt đầu]]),0)),
$AA35&gt;MIN(AP$5,VLOOKUP(AP$6, Table_ChiPhiNV_Ca[], COUNTA(Table_ChiPhiNV_Ca[[#Headers],[Ca]:[Kết thúc]]),0))),0,
SUM(_xlfn._xlws.FILTER(Table_BangLuong_TyLeTangCa[Tỷ lệ],
(Table_BangLuong_TyLeTangCa[Ngày] = "Thường") *
(Table_BangLuong_TyLeTangCa[Giờ min]&lt;=$AA35) *
(Table_BangLuong_TyLeTangCa[Giờ max]&gt;$AA35)
))),
IF(
AND(
$AA35-$Z$4&gt;=MAX(AP$4,VLOOKUP(AP$6, Table_ChiPhiNV_Ca[], COUNTA(Table_ChiPhiNV_Ca[[#Headers],[Ca]:[Bắt đầu]]),0)),
$AA35&lt;MIN(AP$5,VLOOKUP(AP$6, Table_ChiPhiNV_Ca[], COUNTA(Table_ChiPhiNV_Ca[[#Headers],[Ca]:[Kết thúc]]),0))),
SUM(_xlfn._xlws.FILTER(Table_BangLuong_TyLeTangCa[Tỷ lệ],
(Table_BangLuong_TyLeTangCa[Ngày] = "Thường") *
(Table_BangLuong_TyLeTangCa[Giờ min]&lt;=$AA35) *
(Table_BangLuong_TyLeTangCa[Giờ max]&gt;$AA35)
)),0)
)),
IF(AP$4 &lt; AP$5,
IF($AA35-$Z$4&lt;AP$4,0,
IF($AA35&gt;AP$5,0,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AP$5,$AA35 &lt; AP$4),0,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Q35" s="18" cm="1">
        <f t="array" ref="AQ35" xml:space="preserve">
IFERROR(
IF(AQ$1="",0,
IF(AND(
$AA35&gt;=VLOOKUP(AQ$6, Table_ChiPhiNV_Ca[], COUNTA(Table_ChiPhiNV_Ca[[#Headers],[Ca]:[Bắt đầu nghỉ]]),0),
$AA35&lt;VLOOKUP(AQ$6, Table_ChiPhiNV_Ca[], COUNTA(Table_ChiPhiNV_Ca[[#Headers],[Ca]:[Kết thúc nghỉ]]),0)
),0,
IF(NOT(ISBLANK(AQ$3)),
IF(ISBLANK(AQ$7),0,
IF(AQ$4 &lt; AQ$5,
IF($AA35-$Z$4&lt;AQ$4,0,
IF($AA35&gt;AQ$5,0,
SUM(_xlfn._xlws.FILTER(Table_BangLuong_TyLeTangCa[Tỷ lệ],
(Table_BangLuong_TyLeTangCa[Ngày] = AQ$3) *
(Table_BangLuong_TyLeTangCa[Giờ min]&lt;=$AA35) *
(Table_BangLuong_TyLeTangCa[Giờ max]&gt;$AA35)
)))),
IF(AND($AA35-$Z$4 &gt;= AQ$5,$AA35 &lt; AQ$4),0,
SUM(_xlfn._xlws.FILTER(Table_BangLuong_TyLeTangCa[Tỷ lệ],
(Table_BangLuong_TyLeTangCa[Ngày] = AQ$3) *
(Table_BangLuong_TyLeTangCa[Giờ min]&lt;=$AA35) *
(Table_BangLuong_TyLeTangCa[Giờ max]&gt;$AA35)
))))
),
IF(ISBLANK(AQ$7),
IF(VLOOKUP(AQ$6, Table_ChiPhiNV_Ca[], COUNTA(Table_ChiPhiNV_Ca[[#Headers],[Ca]:[Kết thúc]]),0)&gt; VLOOKUP(AQ$6, Table_ChiPhiNV_Ca[], COUNTA(Table_ChiPhiNV_Ca[[#Headers],[Ca]:[Bắt đầu]]),0),
IF($AA35-$Z$4&lt;MAX(AQ$4,VLOOKUP(AQ$6, Table_ChiPhiNV_Ca[], COUNTA(Table_ChiPhiNV_Ca[[#Headers],[Ca]:[Bắt đầu]]),0)),0,
IF($AA35&gt;MIN(AQ$5,VLOOKUP(AQ$6, Table_ChiPhiNV_Ca[], COUNTA(Table_ChiPhiNV_Ca[[#Headers],[Ca]:[Kết thúc]]),0)),0,
SUM(_xlfn._xlws.FILTER(Table_BangLuong_TyLeTangCa[Tỷ lệ],
(Table_BangLuong_TyLeTangCa[Ngày] = "Thường") *
(Table_BangLuong_TyLeTangCa[Giờ min]&lt;=$AA35) *
(Table_BangLuong_TyLeTangCa[Giờ max]&gt;$AA35)
)))),
IF(AQ$4 &gt; AQ$5,
IF(
AND(
$AA35-$Z$4&lt;MAX(AQ$4,VLOOKUP(AQ$6, Table_ChiPhiNV_Ca[], COUNTA(Table_ChiPhiNV_Ca[[#Headers],[Ca]:[Bắt đầu]]),0)),
$AA35&gt;MIN(AQ$5,VLOOKUP(AQ$6, Table_ChiPhiNV_Ca[], COUNTA(Table_ChiPhiNV_Ca[[#Headers],[Ca]:[Kết thúc]]),0))),0,
SUM(_xlfn._xlws.FILTER(Table_BangLuong_TyLeTangCa[Tỷ lệ],
(Table_BangLuong_TyLeTangCa[Ngày] = "Thường") *
(Table_BangLuong_TyLeTangCa[Giờ min]&lt;=$AA35) *
(Table_BangLuong_TyLeTangCa[Giờ max]&gt;$AA35)
))),
IF(
AND(
$AA35-$Z$4&gt;=MAX(AQ$4,VLOOKUP(AQ$6, Table_ChiPhiNV_Ca[], COUNTA(Table_ChiPhiNV_Ca[[#Headers],[Ca]:[Bắt đầu]]),0)),
$AA35&lt;MIN(AQ$5,VLOOKUP(AQ$6, Table_ChiPhiNV_Ca[], COUNTA(Table_ChiPhiNV_Ca[[#Headers],[Ca]:[Kết thúc]]),0))),
SUM(_xlfn._xlws.FILTER(Table_BangLuong_TyLeTangCa[Tỷ lệ],
(Table_BangLuong_TyLeTangCa[Ngày] = "Thường") *
(Table_BangLuong_TyLeTangCa[Giờ min]&lt;=$AA35) *
(Table_BangLuong_TyLeTangCa[Giờ max]&gt;$AA35)
)),0)
)),
IF(AQ$4 &lt; AQ$5,
IF($AA35-$Z$4&lt;AQ$4,0,
IF($AA35&gt;AQ$5,0,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AQ$5,$AA35 &lt; AQ$4),0,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R35" s="18" cm="1">
        <f t="array" ref="AR35" xml:space="preserve">
IFERROR(
IF(AR$1="",0,
IF(AND(
$AA35&gt;=VLOOKUP(AR$6, Table_ChiPhiNV_Ca[], COUNTA(Table_ChiPhiNV_Ca[[#Headers],[Ca]:[Bắt đầu nghỉ]]),0),
$AA35&lt;VLOOKUP(AR$6, Table_ChiPhiNV_Ca[], COUNTA(Table_ChiPhiNV_Ca[[#Headers],[Ca]:[Kết thúc nghỉ]]),0)
),0,
IF(NOT(ISBLANK(AR$3)),
IF(ISBLANK(AR$7),0,
IF(AR$4 &lt; AR$5,
IF($AA35-$Z$4&lt;AR$4,0,
IF($AA35&gt;AR$5,0,
SUM(_xlfn._xlws.FILTER(Table_BangLuong_TyLeTangCa[Tỷ lệ],
(Table_BangLuong_TyLeTangCa[Ngày] = AR$3) *
(Table_BangLuong_TyLeTangCa[Giờ min]&lt;=$AA35) *
(Table_BangLuong_TyLeTangCa[Giờ max]&gt;$AA35)
)))),
IF(AND($AA35-$Z$4 &gt;= AR$5,$AA35 &lt; AR$4),0,
SUM(_xlfn._xlws.FILTER(Table_BangLuong_TyLeTangCa[Tỷ lệ],
(Table_BangLuong_TyLeTangCa[Ngày] = AR$3) *
(Table_BangLuong_TyLeTangCa[Giờ min]&lt;=$AA35) *
(Table_BangLuong_TyLeTangCa[Giờ max]&gt;$AA35)
))))
),
IF(ISBLANK(AR$7),
IF(VLOOKUP(AR$6, Table_ChiPhiNV_Ca[], COUNTA(Table_ChiPhiNV_Ca[[#Headers],[Ca]:[Kết thúc]]),0)&gt; VLOOKUP(AR$6, Table_ChiPhiNV_Ca[], COUNTA(Table_ChiPhiNV_Ca[[#Headers],[Ca]:[Bắt đầu]]),0),
IF($AA35-$Z$4&lt;MAX(AR$4,VLOOKUP(AR$6, Table_ChiPhiNV_Ca[], COUNTA(Table_ChiPhiNV_Ca[[#Headers],[Ca]:[Bắt đầu]]),0)),0,
IF($AA35&gt;MIN(AR$5,VLOOKUP(AR$6, Table_ChiPhiNV_Ca[], COUNTA(Table_ChiPhiNV_Ca[[#Headers],[Ca]:[Kết thúc]]),0)),0,
SUM(_xlfn._xlws.FILTER(Table_BangLuong_TyLeTangCa[Tỷ lệ],
(Table_BangLuong_TyLeTangCa[Ngày] = "Thường") *
(Table_BangLuong_TyLeTangCa[Giờ min]&lt;=$AA35) *
(Table_BangLuong_TyLeTangCa[Giờ max]&gt;$AA35)
)))),
IF(AR$4 &gt; AR$5,
IF(
AND(
$AA35-$Z$4&lt;MAX(AR$4,VLOOKUP(AR$6, Table_ChiPhiNV_Ca[], COUNTA(Table_ChiPhiNV_Ca[[#Headers],[Ca]:[Bắt đầu]]),0)),
$AA35&gt;MIN(AR$5,VLOOKUP(AR$6, Table_ChiPhiNV_Ca[], COUNTA(Table_ChiPhiNV_Ca[[#Headers],[Ca]:[Kết thúc]]),0))),0,
SUM(_xlfn._xlws.FILTER(Table_BangLuong_TyLeTangCa[Tỷ lệ],
(Table_BangLuong_TyLeTangCa[Ngày] = "Thường") *
(Table_BangLuong_TyLeTangCa[Giờ min]&lt;=$AA35) *
(Table_BangLuong_TyLeTangCa[Giờ max]&gt;$AA35)
))),
IF(
AND(
$AA35-$Z$4&gt;=MAX(AR$4,VLOOKUP(AR$6, Table_ChiPhiNV_Ca[], COUNTA(Table_ChiPhiNV_Ca[[#Headers],[Ca]:[Bắt đầu]]),0)),
$AA35&lt;MIN(AR$5,VLOOKUP(AR$6, Table_ChiPhiNV_Ca[], COUNTA(Table_ChiPhiNV_Ca[[#Headers],[Ca]:[Kết thúc]]),0))),
SUM(_xlfn._xlws.FILTER(Table_BangLuong_TyLeTangCa[Tỷ lệ],
(Table_BangLuong_TyLeTangCa[Ngày] = "Thường") *
(Table_BangLuong_TyLeTangCa[Giờ min]&lt;=$AA35) *
(Table_BangLuong_TyLeTangCa[Giờ max]&gt;$AA35)
)),0)
)),
IF(AR$4 &lt; AR$5,
IF($AA35-$Z$4&lt;AR$4,0,
IF($AA35&gt;AR$5,0,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AR$5,$AA35 &lt; AR$4),0,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S35" s="18" cm="1">
        <f t="array" ref="AS35" xml:space="preserve">
IFERROR(
IF(AS$1="",0,
IF(AND(
$AA35&gt;=VLOOKUP(AS$6, Table_ChiPhiNV_Ca[], COUNTA(Table_ChiPhiNV_Ca[[#Headers],[Ca]:[Bắt đầu nghỉ]]),0),
$AA35&lt;VLOOKUP(AS$6, Table_ChiPhiNV_Ca[], COUNTA(Table_ChiPhiNV_Ca[[#Headers],[Ca]:[Kết thúc nghỉ]]),0)
),0,
IF(NOT(ISBLANK(AS$3)),
IF(ISBLANK(AS$7),0,
IF(AS$4 &lt; AS$5,
IF($AA35-$Z$4&lt;AS$4,0,
IF($AA35&gt;AS$5,0,
SUM(_xlfn._xlws.FILTER(Table_BangLuong_TyLeTangCa[Tỷ lệ],
(Table_BangLuong_TyLeTangCa[Ngày] = AS$3) *
(Table_BangLuong_TyLeTangCa[Giờ min]&lt;=$AA35) *
(Table_BangLuong_TyLeTangCa[Giờ max]&gt;$AA35)
)))),
IF(AND($AA35-$Z$4 &gt;= AS$5,$AA35 &lt; AS$4),0,
SUM(_xlfn._xlws.FILTER(Table_BangLuong_TyLeTangCa[Tỷ lệ],
(Table_BangLuong_TyLeTangCa[Ngày] = AS$3) *
(Table_BangLuong_TyLeTangCa[Giờ min]&lt;=$AA35) *
(Table_BangLuong_TyLeTangCa[Giờ max]&gt;$AA35)
))))
),
IF(ISBLANK(AS$7),
IF(VLOOKUP(AS$6, Table_ChiPhiNV_Ca[], COUNTA(Table_ChiPhiNV_Ca[[#Headers],[Ca]:[Kết thúc]]),0)&gt; VLOOKUP(AS$6, Table_ChiPhiNV_Ca[], COUNTA(Table_ChiPhiNV_Ca[[#Headers],[Ca]:[Bắt đầu]]),0),
IF($AA35-$Z$4&lt;MAX(AS$4,VLOOKUP(AS$6, Table_ChiPhiNV_Ca[], COUNTA(Table_ChiPhiNV_Ca[[#Headers],[Ca]:[Bắt đầu]]),0)),0,
IF($AA35&gt;MIN(AS$5,VLOOKUP(AS$6, Table_ChiPhiNV_Ca[], COUNTA(Table_ChiPhiNV_Ca[[#Headers],[Ca]:[Kết thúc]]),0)),0,
SUM(_xlfn._xlws.FILTER(Table_BangLuong_TyLeTangCa[Tỷ lệ],
(Table_BangLuong_TyLeTangCa[Ngày] = "Thường") *
(Table_BangLuong_TyLeTangCa[Giờ min]&lt;=$AA35) *
(Table_BangLuong_TyLeTangCa[Giờ max]&gt;$AA35)
)))),
IF(AS$4 &gt; AS$5,
IF(
AND(
$AA35-$Z$4&lt;MAX(AS$4,VLOOKUP(AS$6, Table_ChiPhiNV_Ca[], COUNTA(Table_ChiPhiNV_Ca[[#Headers],[Ca]:[Bắt đầu]]),0)),
$AA35&gt;MIN(AS$5,VLOOKUP(AS$6, Table_ChiPhiNV_Ca[], COUNTA(Table_ChiPhiNV_Ca[[#Headers],[Ca]:[Kết thúc]]),0))),0,
SUM(_xlfn._xlws.FILTER(Table_BangLuong_TyLeTangCa[Tỷ lệ],
(Table_BangLuong_TyLeTangCa[Ngày] = "Thường") *
(Table_BangLuong_TyLeTangCa[Giờ min]&lt;=$AA35) *
(Table_BangLuong_TyLeTangCa[Giờ max]&gt;$AA35)
))),
IF(
AND(
$AA35-$Z$4&gt;=MAX(AS$4,VLOOKUP(AS$6, Table_ChiPhiNV_Ca[], COUNTA(Table_ChiPhiNV_Ca[[#Headers],[Ca]:[Bắt đầu]]),0)),
$AA35&lt;MIN(AS$5,VLOOKUP(AS$6, Table_ChiPhiNV_Ca[], COUNTA(Table_ChiPhiNV_Ca[[#Headers],[Ca]:[Kết thúc]]),0))),
SUM(_xlfn._xlws.FILTER(Table_BangLuong_TyLeTangCa[Tỷ lệ],
(Table_BangLuong_TyLeTangCa[Ngày] = "Thường") *
(Table_BangLuong_TyLeTangCa[Giờ min]&lt;=$AA35) *
(Table_BangLuong_TyLeTangCa[Giờ max]&gt;$AA35)
)),0)
)),
IF(AS$4 &lt; AS$5,
IF($AA35-$Z$4&lt;AS$4,0,
IF($AA35&gt;AS$5,0,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AS$5,$AA35 &lt; AS$4),0,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T35" s="18" cm="1">
        <f t="array" ref="AT35" xml:space="preserve">
IFERROR(
IF(AT$1="",0,
IF(AND(
$AA35&gt;=VLOOKUP(AT$6, Table_ChiPhiNV_Ca[], COUNTA(Table_ChiPhiNV_Ca[[#Headers],[Ca]:[Bắt đầu nghỉ]]),0),
$AA35&lt;VLOOKUP(AT$6, Table_ChiPhiNV_Ca[], COUNTA(Table_ChiPhiNV_Ca[[#Headers],[Ca]:[Kết thúc nghỉ]]),0)
),0,
IF(NOT(ISBLANK(AT$3)),
IF(ISBLANK(AT$7),0,
IF(AT$4 &lt; AT$5,
IF($AA35-$Z$4&lt;AT$4,0,
IF($AA35&gt;AT$5,0,
SUM(_xlfn._xlws.FILTER(Table_BangLuong_TyLeTangCa[Tỷ lệ],
(Table_BangLuong_TyLeTangCa[Ngày] = AT$3) *
(Table_BangLuong_TyLeTangCa[Giờ min]&lt;=$AA35) *
(Table_BangLuong_TyLeTangCa[Giờ max]&gt;$AA35)
)))),
IF(AND($AA35-$Z$4 &gt;= AT$5,$AA35 &lt; AT$4),0,
SUM(_xlfn._xlws.FILTER(Table_BangLuong_TyLeTangCa[Tỷ lệ],
(Table_BangLuong_TyLeTangCa[Ngày] = AT$3) *
(Table_BangLuong_TyLeTangCa[Giờ min]&lt;=$AA35) *
(Table_BangLuong_TyLeTangCa[Giờ max]&gt;$AA35)
))))
),
IF(ISBLANK(AT$7),
IF(VLOOKUP(AT$6, Table_ChiPhiNV_Ca[], COUNTA(Table_ChiPhiNV_Ca[[#Headers],[Ca]:[Kết thúc]]),0)&gt; VLOOKUP(AT$6, Table_ChiPhiNV_Ca[], COUNTA(Table_ChiPhiNV_Ca[[#Headers],[Ca]:[Bắt đầu]]),0),
IF($AA35-$Z$4&lt;MAX(AT$4,VLOOKUP(AT$6, Table_ChiPhiNV_Ca[], COUNTA(Table_ChiPhiNV_Ca[[#Headers],[Ca]:[Bắt đầu]]),0)),0,
IF($AA35&gt;MIN(AT$5,VLOOKUP(AT$6, Table_ChiPhiNV_Ca[], COUNTA(Table_ChiPhiNV_Ca[[#Headers],[Ca]:[Kết thúc]]),0)),0,
SUM(_xlfn._xlws.FILTER(Table_BangLuong_TyLeTangCa[Tỷ lệ],
(Table_BangLuong_TyLeTangCa[Ngày] = "Thường") *
(Table_BangLuong_TyLeTangCa[Giờ min]&lt;=$AA35) *
(Table_BangLuong_TyLeTangCa[Giờ max]&gt;$AA35)
)))),
IF(AT$4 &gt; AT$5,
IF(
AND(
$AA35-$Z$4&lt;MAX(AT$4,VLOOKUP(AT$6, Table_ChiPhiNV_Ca[], COUNTA(Table_ChiPhiNV_Ca[[#Headers],[Ca]:[Bắt đầu]]),0)),
$AA35&gt;MIN(AT$5,VLOOKUP(AT$6, Table_ChiPhiNV_Ca[], COUNTA(Table_ChiPhiNV_Ca[[#Headers],[Ca]:[Kết thúc]]),0))),0,
SUM(_xlfn._xlws.FILTER(Table_BangLuong_TyLeTangCa[Tỷ lệ],
(Table_BangLuong_TyLeTangCa[Ngày] = "Thường") *
(Table_BangLuong_TyLeTangCa[Giờ min]&lt;=$AA35) *
(Table_BangLuong_TyLeTangCa[Giờ max]&gt;$AA35)
))),
IF(
AND(
$AA35-$Z$4&gt;=MAX(AT$4,VLOOKUP(AT$6, Table_ChiPhiNV_Ca[], COUNTA(Table_ChiPhiNV_Ca[[#Headers],[Ca]:[Bắt đầu]]),0)),
$AA35&lt;MIN(AT$5,VLOOKUP(AT$6, Table_ChiPhiNV_Ca[], COUNTA(Table_ChiPhiNV_Ca[[#Headers],[Ca]:[Kết thúc]]),0))),
SUM(_xlfn._xlws.FILTER(Table_BangLuong_TyLeTangCa[Tỷ lệ],
(Table_BangLuong_TyLeTangCa[Ngày] = "Thường") *
(Table_BangLuong_TyLeTangCa[Giờ min]&lt;=$AA35) *
(Table_BangLuong_TyLeTangCa[Giờ max]&gt;$AA35)
)),0)
)),
IF(AT$4 &lt; AT$5,
IF($AA35-$Z$4&lt;AT$4,0,
IF($AA35&gt;AT$5,0,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AT$5,$AA35 &lt; AT$4),0,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U35" s="18" cm="1">
        <f t="array" ref="AU35" xml:space="preserve">
IFERROR(
IF(AU$1="",0,
IF(AND(
$AA35&gt;=VLOOKUP(AU$6, Table_ChiPhiNV_Ca[], COUNTA(Table_ChiPhiNV_Ca[[#Headers],[Ca]:[Bắt đầu nghỉ]]),0),
$AA35&lt;VLOOKUP(AU$6, Table_ChiPhiNV_Ca[], COUNTA(Table_ChiPhiNV_Ca[[#Headers],[Ca]:[Kết thúc nghỉ]]),0)
),0,
IF(NOT(ISBLANK(AU$3)),
IF(ISBLANK(AU$7),0,
IF(AU$4 &lt; AU$5,
IF($AA35-$Z$4&lt;AU$4,0,
IF($AA35&gt;AU$5,0,
SUM(_xlfn._xlws.FILTER(Table_BangLuong_TyLeTangCa[Tỷ lệ],
(Table_BangLuong_TyLeTangCa[Ngày] = AU$3) *
(Table_BangLuong_TyLeTangCa[Giờ min]&lt;=$AA35) *
(Table_BangLuong_TyLeTangCa[Giờ max]&gt;$AA35)
)))),
IF(AND($AA35-$Z$4 &gt;= AU$5,$AA35 &lt; AU$4),0,
SUM(_xlfn._xlws.FILTER(Table_BangLuong_TyLeTangCa[Tỷ lệ],
(Table_BangLuong_TyLeTangCa[Ngày] = AU$3) *
(Table_BangLuong_TyLeTangCa[Giờ min]&lt;=$AA35) *
(Table_BangLuong_TyLeTangCa[Giờ max]&gt;$AA35)
))))
),
IF(ISBLANK(AU$7),
IF(VLOOKUP(AU$6, Table_ChiPhiNV_Ca[], COUNTA(Table_ChiPhiNV_Ca[[#Headers],[Ca]:[Kết thúc]]),0)&gt; VLOOKUP(AU$6, Table_ChiPhiNV_Ca[], COUNTA(Table_ChiPhiNV_Ca[[#Headers],[Ca]:[Bắt đầu]]),0),
IF($AA35-$Z$4&lt;MAX(AU$4,VLOOKUP(AU$6, Table_ChiPhiNV_Ca[], COUNTA(Table_ChiPhiNV_Ca[[#Headers],[Ca]:[Bắt đầu]]),0)),0,
IF($AA35&gt;MIN(AU$5,VLOOKUP(AU$6, Table_ChiPhiNV_Ca[], COUNTA(Table_ChiPhiNV_Ca[[#Headers],[Ca]:[Kết thúc]]),0)),0,
SUM(_xlfn._xlws.FILTER(Table_BangLuong_TyLeTangCa[Tỷ lệ],
(Table_BangLuong_TyLeTangCa[Ngày] = "Thường") *
(Table_BangLuong_TyLeTangCa[Giờ min]&lt;=$AA35) *
(Table_BangLuong_TyLeTangCa[Giờ max]&gt;$AA35)
)))),
IF(AU$4 &gt; AU$5,
IF(
AND(
$AA35-$Z$4&lt;MAX(AU$4,VLOOKUP(AU$6, Table_ChiPhiNV_Ca[], COUNTA(Table_ChiPhiNV_Ca[[#Headers],[Ca]:[Bắt đầu]]),0)),
$AA35&gt;MIN(AU$5,VLOOKUP(AU$6, Table_ChiPhiNV_Ca[], COUNTA(Table_ChiPhiNV_Ca[[#Headers],[Ca]:[Kết thúc]]),0))),0,
SUM(_xlfn._xlws.FILTER(Table_BangLuong_TyLeTangCa[Tỷ lệ],
(Table_BangLuong_TyLeTangCa[Ngày] = "Thường") *
(Table_BangLuong_TyLeTangCa[Giờ min]&lt;=$AA35) *
(Table_BangLuong_TyLeTangCa[Giờ max]&gt;$AA35)
))),
IF(
AND(
$AA35-$Z$4&gt;=MAX(AU$4,VLOOKUP(AU$6, Table_ChiPhiNV_Ca[], COUNTA(Table_ChiPhiNV_Ca[[#Headers],[Ca]:[Bắt đầu]]),0)),
$AA35&lt;MIN(AU$5,VLOOKUP(AU$6, Table_ChiPhiNV_Ca[], COUNTA(Table_ChiPhiNV_Ca[[#Headers],[Ca]:[Kết thúc]]),0))),
SUM(_xlfn._xlws.FILTER(Table_BangLuong_TyLeTangCa[Tỷ lệ],
(Table_BangLuong_TyLeTangCa[Ngày] = "Thường") *
(Table_BangLuong_TyLeTangCa[Giờ min]&lt;=$AA35) *
(Table_BangLuong_TyLeTangCa[Giờ max]&gt;$AA35)
)),0)
)),
IF(AU$4 &lt; AU$5,
IF($AA35-$Z$4&lt;AU$4,0,
IF($AA35&gt;AU$5,0,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AU$5,$AA35 &lt; AU$4),0,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V35" s="18" cm="1">
        <f t="array" ref="AV35" xml:space="preserve">
IFERROR(
IF(AV$1="",0,
IF(AND(
$AA35&gt;=VLOOKUP(AV$6, Table_ChiPhiNV_Ca[], COUNTA(Table_ChiPhiNV_Ca[[#Headers],[Ca]:[Bắt đầu nghỉ]]),0),
$AA35&lt;VLOOKUP(AV$6, Table_ChiPhiNV_Ca[], COUNTA(Table_ChiPhiNV_Ca[[#Headers],[Ca]:[Kết thúc nghỉ]]),0)
),0,
IF(NOT(ISBLANK(AV$3)),
IF(ISBLANK(AV$7),0,
IF(AV$4 &lt; AV$5,
IF($AA35-$Z$4&lt;AV$4,0,
IF($AA35&gt;AV$5,0,
SUM(_xlfn._xlws.FILTER(Table_BangLuong_TyLeTangCa[Tỷ lệ],
(Table_BangLuong_TyLeTangCa[Ngày] = AV$3) *
(Table_BangLuong_TyLeTangCa[Giờ min]&lt;=$AA35) *
(Table_BangLuong_TyLeTangCa[Giờ max]&gt;$AA35)
)))),
IF(AND($AA35-$Z$4 &gt;= AV$5,$AA35 &lt; AV$4),0,
SUM(_xlfn._xlws.FILTER(Table_BangLuong_TyLeTangCa[Tỷ lệ],
(Table_BangLuong_TyLeTangCa[Ngày] = AV$3) *
(Table_BangLuong_TyLeTangCa[Giờ min]&lt;=$AA35) *
(Table_BangLuong_TyLeTangCa[Giờ max]&gt;$AA35)
))))
),
IF(ISBLANK(AV$7),
IF(VLOOKUP(AV$6, Table_ChiPhiNV_Ca[], COUNTA(Table_ChiPhiNV_Ca[[#Headers],[Ca]:[Kết thúc]]),0)&gt; VLOOKUP(AV$6, Table_ChiPhiNV_Ca[], COUNTA(Table_ChiPhiNV_Ca[[#Headers],[Ca]:[Bắt đầu]]),0),
IF($AA35-$Z$4&lt;MAX(AV$4,VLOOKUP(AV$6, Table_ChiPhiNV_Ca[], COUNTA(Table_ChiPhiNV_Ca[[#Headers],[Ca]:[Bắt đầu]]),0)),0,
IF($AA35&gt;MIN(AV$5,VLOOKUP(AV$6, Table_ChiPhiNV_Ca[], COUNTA(Table_ChiPhiNV_Ca[[#Headers],[Ca]:[Kết thúc]]),0)),0,
SUM(_xlfn._xlws.FILTER(Table_BangLuong_TyLeTangCa[Tỷ lệ],
(Table_BangLuong_TyLeTangCa[Ngày] = "Thường") *
(Table_BangLuong_TyLeTangCa[Giờ min]&lt;=$AA35) *
(Table_BangLuong_TyLeTangCa[Giờ max]&gt;$AA35)
)))),
IF(AV$4 &gt; AV$5,
IF(
AND(
$AA35-$Z$4&lt;MAX(AV$4,VLOOKUP(AV$6, Table_ChiPhiNV_Ca[], COUNTA(Table_ChiPhiNV_Ca[[#Headers],[Ca]:[Bắt đầu]]),0)),
$AA35&gt;MIN(AV$5,VLOOKUP(AV$6, Table_ChiPhiNV_Ca[], COUNTA(Table_ChiPhiNV_Ca[[#Headers],[Ca]:[Kết thúc]]),0))),0,
SUM(_xlfn._xlws.FILTER(Table_BangLuong_TyLeTangCa[Tỷ lệ],
(Table_BangLuong_TyLeTangCa[Ngày] = "Thường") *
(Table_BangLuong_TyLeTangCa[Giờ min]&lt;=$AA35) *
(Table_BangLuong_TyLeTangCa[Giờ max]&gt;$AA35)
))),
IF(
AND(
$AA35-$Z$4&gt;=MAX(AV$4,VLOOKUP(AV$6, Table_ChiPhiNV_Ca[], COUNTA(Table_ChiPhiNV_Ca[[#Headers],[Ca]:[Bắt đầu]]),0)),
$AA35&lt;MIN(AV$5,VLOOKUP(AV$6, Table_ChiPhiNV_Ca[], COUNTA(Table_ChiPhiNV_Ca[[#Headers],[Ca]:[Kết thúc]]),0))),
SUM(_xlfn._xlws.FILTER(Table_BangLuong_TyLeTangCa[Tỷ lệ],
(Table_BangLuong_TyLeTangCa[Ngày] = "Thường") *
(Table_BangLuong_TyLeTangCa[Giờ min]&lt;=$AA35) *
(Table_BangLuong_TyLeTangCa[Giờ max]&gt;$AA35)
)),0)
)),
IF(AV$4 &lt; AV$5,
IF($AA35-$Z$4&lt;AV$4,0,
IF($AA35&gt;AV$5,0,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AV$5,$AA35 &lt; AV$4),0,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W35" s="18" cm="1">
        <f t="array" ref="AW35" xml:space="preserve">
IFERROR(
IF(AW$1="",0,
IF(AND(
$AA35&gt;=VLOOKUP(AW$6, Table_ChiPhiNV_Ca[], COUNTA(Table_ChiPhiNV_Ca[[#Headers],[Ca]:[Bắt đầu nghỉ]]),0),
$AA35&lt;VLOOKUP(AW$6, Table_ChiPhiNV_Ca[], COUNTA(Table_ChiPhiNV_Ca[[#Headers],[Ca]:[Kết thúc nghỉ]]),0)
),0,
IF(NOT(ISBLANK(AW$3)),
IF(ISBLANK(AW$7),0,
IF(AW$4 &lt; AW$5,
IF($AA35-$Z$4&lt;AW$4,0,
IF($AA35&gt;AW$5,0,
SUM(_xlfn._xlws.FILTER(Table_BangLuong_TyLeTangCa[Tỷ lệ],
(Table_BangLuong_TyLeTangCa[Ngày] = AW$3) *
(Table_BangLuong_TyLeTangCa[Giờ min]&lt;=$AA35) *
(Table_BangLuong_TyLeTangCa[Giờ max]&gt;$AA35)
)))),
IF(AND($AA35-$Z$4 &gt;= AW$5,$AA35 &lt; AW$4),0,
SUM(_xlfn._xlws.FILTER(Table_BangLuong_TyLeTangCa[Tỷ lệ],
(Table_BangLuong_TyLeTangCa[Ngày] = AW$3) *
(Table_BangLuong_TyLeTangCa[Giờ min]&lt;=$AA35) *
(Table_BangLuong_TyLeTangCa[Giờ max]&gt;$AA35)
))))
),
IF(ISBLANK(AW$7),
IF(VLOOKUP(AW$6, Table_ChiPhiNV_Ca[], COUNTA(Table_ChiPhiNV_Ca[[#Headers],[Ca]:[Kết thúc]]),0)&gt; VLOOKUP(AW$6, Table_ChiPhiNV_Ca[], COUNTA(Table_ChiPhiNV_Ca[[#Headers],[Ca]:[Bắt đầu]]),0),
IF($AA35-$Z$4&lt;MAX(AW$4,VLOOKUP(AW$6, Table_ChiPhiNV_Ca[], COUNTA(Table_ChiPhiNV_Ca[[#Headers],[Ca]:[Bắt đầu]]),0)),0,
IF($AA35&gt;MIN(AW$5,VLOOKUP(AW$6, Table_ChiPhiNV_Ca[], COUNTA(Table_ChiPhiNV_Ca[[#Headers],[Ca]:[Kết thúc]]),0)),0,
SUM(_xlfn._xlws.FILTER(Table_BangLuong_TyLeTangCa[Tỷ lệ],
(Table_BangLuong_TyLeTangCa[Ngày] = "Thường") *
(Table_BangLuong_TyLeTangCa[Giờ min]&lt;=$AA35) *
(Table_BangLuong_TyLeTangCa[Giờ max]&gt;$AA35)
)))),
IF(AW$4 &gt; AW$5,
IF(
AND(
$AA35-$Z$4&lt;MAX(AW$4,VLOOKUP(AW$6, Table_ChiPhiNV_Ca[], COUNTA(Table_ChiPhiNV_Ca[[#Headers],[Ca]:[Bắt đầu]]),0)),
$AA35&gt;MIN(AW$5,VLOOKUP(AW$6, Table_ChiPhiNV_Ca[], COUNTA(Table_ChiPhiNV_Ca[[#Headers],[Ca]:[Kết thúc]]),0))),0,
SUM(_xlfn._xlws.FILTER(Table_BangLuong_TyLeTangCa[Tỷ lệ],
(Table_BangLuong_TyLeTangCa[Ngày] = "Thường") *
(Table_BangLuong_TyLeTangCa[Giờ min]&lt;=$AA35) *
(Table_BangLuong_TyLeTangCa[Giờ max]&gt;$AA35)
))),
IF(
AND(
$AA35-$Z$4&gt;=MAX(AW$4,VLOOKUP(AW$6, Table_ChiPhiNV_Ca[], COUNTA(Table_ChiPhiNV_Ca[[#Headers],[Ca]:[Bắt đầu]]),0)),
$AA35&lt;MIN(AW$5,VLOOKUP(AW$6, Table_ChiPhiNV_Ca[], COUNTA(Table_ChiPhiNV_Ca[[#Headers],[Ca]:[Kết thúc]]),0))),
SUM(_xlfn._xlws.FILTER(Table_BangLuong_TyLeTangCa[Tỷ lệ],
(Table_BangLuong_TyLeTangCa[Ngày] = "Thường") *
(Table_BangLuong_TyLeTangCa[Giờ min]&lt;=$AA35) *
(Table_BangLuong_TyLeTangCa[Giờ max]&gt;$AA35)
)),0)
)),
IF(AW$4 &lt; AW$5,
IF($AA35-$Z$4&lt;AW$4,0,
IF($AA35&gt;AW$5,0,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AW$5,$AA35 &lt; AW$4),0,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X35" s="18" cm="1">
        <f t="array" ref="AX35" xml:space="preserve">
IFERROR(
IF(AX$1="",0,
IF(AND(
$AA35&gt;=VLOOKUP(AX$6, Table_ChiPhiNV_Ca[], COUNTA(Table_ChiPhiNV_Ca[[#Headers],[Ca]:[Bắt đầu nghỉ]]),0),
$AA35&lt;VLOOKUP(AX$6, Table_ChiPhiNV_Ca[], COUNTA(Table_ChiPhiNV_Ca[[#Headers],[Ca]:[Kết thúc nghỉ]]),0)
),0,
IF(NOT(ISBLANK(AX$3)),
IF(ISBLANK(AX$7),0,
IF(AX$4 &lt; AX$5,
IF($AA35-$Z$4&lt;AX$4,0,
IF($AA35&gt;AX$5,0,
SUM(_xlfn._xlws.FILTER(Table_BangLuong_TyLeTangCa[Tỷ lệ],
(Table_BangLuong_TyLeTangCa[Ngày] = AX$3) *
(Table_BangLuong_TyLeTangCa[Giờ min]&lt;=$AA35) *
(Table_BangLuong_TyLeTangCa[Giờ max]&gt;$AA35)
)))),
IF(AND($AA35-$Z$4 &gt;= AX$5,$AA35 &lt; AX$4),0,
SUM(_xlfn._xlws.FILTER(Table_BangLuong_TyLeTangCa[Tỷ lệ],
(Table_BangLuong_TyLeTangCa[Ngày] = AX$3) *
(Table_BangLuong_TyLeTangCa[Giờ min]&lt;=$AA35) *
(Table_BangLuong_TyLeTangCa[Giờ max]&gt;$AA35)
))))
),
IF(ISBLANK(AX$7),
IF(VLOOKUP(AX$6, Table_ChiPhiNV_Ca[], COUNTA(Table_ChiPhiNV_Ca[[#Headers],[Ca]:[Kết thúc]]),0)&gt; VLOOKUP(AX$6, Table_ChiPhiNV_Ca[], COUNTA(Table_ChiPhiNV_Ca[[#Headers],[Ca]:[Bắt đầu]]),0),
IF($AA35-$Z$4&lt;MAX(AX$4,VLOOKUP(AX$6, Table_ChiPhiNV_Ca[], COUNTA(Table_ChiPhiNV_Ca[[#Headers],[Ca]:[Bắt đầu]]),0)),0,
IF($AA35&gt;MIN(AX$5,VLOOKUP(AX$6, Table_ChiPhiNV_Ca[], COUNTA(Table_ChiPhiNV_Ca[[#Headers],[Ca]:[Kết thúc]]),0)),0,
SUM(_xlfn._xlws.FILTER(Table_BangLuong_TyLeTangCa[Tỷ lệ],
(Table_BangLuong_TyLeTangCa[Ngày] = "Thường") *
(Table_BangLuong_TyLeTangCa[Giờ min]&lt;=$AA35) *
(Table_BangLuong_TyLeTangCa[Giờ max]&gt;$AA35)
)))),
IF(AX$4 &gt; AX$5,
IF(
AND(
$AA35-$Z$4&lt;MAX(AX$4,VLOOKUP(AX$6, Table_ChiPhiNV_Ca[], COUNTA(Table_ChiPhiNV_Ca[[#Headers],[Ca]:[Bắt đầu]]),0)),
$AA35&gt;MIN(AX$5,VLOOKUP(AX$6, Table_ChiPhiNV_Ca[], COUNTA(Table_ChiPhiNV_Ca[[#Headers],[Ca]:[Kết thúc]]),0))),0,
SUM(_xlfn._xlws.FILTER(Table_BangLuong_TyLeTangCa[Tỷ lệ],
(Table_BangLuong_TyLeTangCa[Ngày] = "Thường") *
(Table_BangLuong_TyLeTangCa[Giờ min]&lt;=$AA35) *
(Table_BangLuong_TyLeTangCa[Giờ max]&gt;$AA35)
))),
IF(
AND(
$AA35-$Z$4&gt;=MAX(AX$4,VLOOKUP(AX$6, Table_ChiPhiNV_Ca[], COUNTA(Table_ChiPhiNV_Ca[[#Headers],[Ca]:[Bắt đầu]]),0)),
$AA35&lt;MIN(AX$5,VLOOKUP(AX$6, Table_ChiPhiNV_Ca[], COUNTA(Table_ChiPhiNV_Ca[[#Headers],[Ca]:[Kết thúc]]),0))),
SUM(_xlfn._xlws.FILTER(Table_BangLuong_TyLeTangCa[Tỷ lệ],
(Table_BangLuong_TyLeTangCa[Ngày] = "Thường") *
(Table_BangLuong_TyLeTangCa[Giờ min]&lt;=$AA35) *
(Table_BangLuong_TyLeTangCa[Giờ max]&gt;$AA35)
)),0)
)),
IF(AX$4 &lt; AX$5,
IF($AA35-$Z$4&lt;AX$4,0,
IF($AA35&gt;AX$5,0,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AX$5,$AA35 &lt; AX$4),0,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Y35" s="18" cm="1">
        <f t="array" ref="AY35" xml:space="preserve">
IFERROR(
IF(AY$1="",0,
IF(AND(
$AA35&gt;=VLOOKUP(AY$6, Table_ChiPhiNV_Ca[], COUNTA(Table_ChiPhiNV_Ca[[#Headers],[Ca]:[Bắt đầu nghỉ]]),0),
$AA35&lt;VLOOKUP(AY$6, Table_ChiPhiNV_Ca[], COUNTA(Table_ChiPhiNV_Ca[[#Headers],[Ca]:[Kết thúc nghỉ]]),0)
),0,
IF(NOT(ISBLANK(AY$3)),
IF(ISBLANK(AY$7),0,
IF(AY$4 &lt; AY$5,
IF($AA35-$Z$4&lt;AY$4,0,
IF($AA35&gt;AY$5,0,
SUM(_xlfn._xlws.FILTER(Table_BangLuong_TyLeTangCa[Tỷ lệ],
(Table_BangLuong_TyLeTangCa[Ngày] = AY$3) *
(Table_BangLuong_TyLeTangCa[Giờ min]&lt;=$AA35) *
(Table_BangLuong_TyLeTangCa[Giờ max]&gt;$AA35)
)))),
IF(AND($AA35-$Z$4 &gt;= AY$5,$AA35 &lt; AY$4),0,
SUM(_xlfn._xlws.FILTER(Table_BangLuong_TyLeTangCa[Tỷ lệ],
(Table_BangLuong_TyLeTangCa[Ngày] = AY$3) *
(Table_BangLuong_TyLeTangCa[Giờ min]&lt;=$AA35) *
(Table_BangLuong_TyLeTangCa[Giờ max]&gt;$AA35)
))))
),
IF(ISBLANK(AY$7),
IF(VLOOKUP(AY$6, Table_ChiPhiNV_Ca[], COUNTA(Table_ChiPhiNV_Ca[[#Headers],[Ca]:[Kết thúc]]),0)&gt; VLOOKUP(AY$6, Table_ChiPhiNV_Ca[], COUNTA(Table_ChiPhiNV_Ca[[#Headers],[Ca]:[Bắt đầu]]),0),
IF($AA35-$Z$4&lt;MAX(AY$4,VLOOKUP(AY$6, Table_ChiPhiNV_Ca[], COUNTA(Table_ChiPhiNV_Ca[[#Headers],[Ca]:[Bắt đầu]]),0)),0,
IF($AA35&gt;MIN(AY$5,VLOOKUP(AY$6, Table_ChiPhiNV_Ca[], COUNTA(Table_ChiPhiNV_Ca[[#Headers],[Ca]:[Kết thúc]]),0)),0,
SUM(_xlfn._xlws.FILTER(Table_BangLuong_TyLeTangCa[Tỷ lệ],
(Table_BangLuong_TyLeTangCa[Ngày] = "Thường") *
(Table_BangLuong_TyLeTangCa[Giờ min]&lt;=$AA35) *
(Table_BangLuong_TyLeTangCa[Giờ max]&gt;$AA35)
)))),
IF(AY$4 &gt; AY$5,
IF(
AND(
$AA35-$Z$4&lt;MAX(AY$4,VLOOKUP(AY$6, Table_ChiPhiNV_Ca[], COUNTA(Table_ChiPhiNV_Ca[[#Headers],[Ca]:[Bắt đầu]]),0)),
$AA35&gt;MIN(AY$5,VLOOKUP(AY$6, Table_ChiPhiNV_Ca[], COUNTA(Table_ChiPhiNV_Ca[[#Headers],[Ca]:[Kết thúc]]),0))),0,
SUM(_xlfn._xlws.FILTER(Table_BangLuong_TyLeTangCa[Tỷ lệ],
(Table_BangLuong_TyLeTangCa[Ngày] = "Thường") *
(Table_BangLuong_TyLeTangCa[Giờ min]&lt;=$AA35) *
(Table_BangLuong_TyLeTangCa[Giờ max]&gt;$AA35)
))),
IF(
AND(
$AA35-$Z$4&gt;=MAX(AY$4,VLOOKUP(AY$6, Table_ChiPhiNV_Ca[], COUNTA(Table_ChiPhiNV_Ca[[#Headers],[Ca]:[Bắt đầu]]),0)),
$AA35&lt;MIN(AY$5,VLOOKUP(AY$6, Table_ChiPhiNV_Ca[], COUNTA(Table_ChiPhiNV_Ca[[#Headers],[Ca]:[Kết thúc]]),0))),
SUM(_xlfn._xlws.FILTER(Table_BangLuong_TyLeTangCa[Tỷ lệ],
(Table_BangLuong_TyLeTangCa[Ngày] = "Thường") *
(Table_BangLuong_TyLeTangCa[Giờ min]&lt;=$AA35) *
(Table_BangLuong_TyLeTangCa[Giờ max]&gt;$AA35)
)),0)
)),
IF(AY$4 &lt; AY$5,
IF($AA35-$Z$4&lt;AY$4,0,
IF($AA35&gt;AY$5,0,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AY$5,$AA35 &lt; AY$4),0,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Z35" s="18" cm="1">
        <f t="array" ref="AZ35" xml:space="preserve">
IFERROR(
IF(AZ$1="",0,
IF(AND(
$AA35&gt;=VLOOKUP(AZ$6, Table_ChiPhiNV_Ca[], COUNTA(Table_ChiPhiNV_Ca[[#Headers],[Ca]:[Bắt đầu nghỉ]]),0),
$AA35&lt;VLOOKUP(AZ$6, Table_ChiPhiNV_Ca[], COUNTA(Table_ChiPhiNV_Ca[[#Headers],[Ca]:[Kết thúc nghỉ]]),0)
),0,
IF(NOT(ISBLANK(AZ$3)),
IF(ISBLANK(AZ$7),0,
IF(AZ$4 &lt; AZ$5,
IF($AA35-$Z$4&lt;AZ$4,0,
IF($AA35&gt;AZ$5,0,
SUM(_xlfn._xlws.FILTER(Table_BangLuong_TyLeTangCa[Tỷ lệ],
(Table_BangLuong_TyLeTangCa[Ngày] = AZ$3) *
(Table_BangLuong_TyLeTangCa[Giờ min]&lt;=$AA35) *
(Table_BangLuong_TyLeTangCa[Giờ max]&gt;$AA35)
)))),
IF(AND($AA35-$Z$4 &gt;= AZ$5,$AA35 &lt; AZ$4),0,
SUM(_xlfn._xlws.FILTER(Table_BangLuong_TyLeTangCa[Tỷ lệ],
(Table_BangLuong_TyLeTangCa[Ngày] = AZ$3) *
(Table_BangLuong_TyLeTangCa[Giờ min]&lt;=$AA35) *
(Table_BangLuong_TyLeTangCa[Giờ max]&gt;$AA35)
))))
),
IF(ISBLANK(AZ$7),
IF(VLOOKUP(AZ$6, Table_ChiPhiNV_Ca[], COUNTA(Table_ChiPhiNV_Ca[[#Headers],[Ca]:[Kết thúc]]),0)&gt; VLOOKUP(AZ$6, Table_ChiPhiNV_Ca[], COUNTA(Table_ChiPhiNV_Ca[[#Headers],[Ca]:[Bắt đầu]]),0),
IF($AA35-$Z$4&lt;MAX(AZ$4,VLOOKUP(AZ$6, Table_ChiPhiNV_Ca[], COUNTA(Table_ChiPhiNV_Ca[[#Headers],[Ca]:[Bắt đầu]]),0)),0,
IF($AA35&gt;MIN(AZ$5,VLOOKUP(AZ$6, Table_ChiPhiNV_Ca[], COUNTA(Table_ChiPhiNV_Ca[[#Headers],[Ca]:[Kết thúc]]),0)),0,
SUM(_xlfn._xlws.FILTER(Table_BangLuong_TyLeTangCa[Tỷ lệ],
(Table_BangLuong_TyLeTangCa[Ngày] = "Thường") *
(Table_BangLuong_TyLeTangCa[Giờ min]&lt;=$AA35) *
(Table_BangLuong_TyLeTangCa[Giờ max]&gt;$AA35)
)))),
IF(AZ$4 &gt; AZ$5,
IF(
AND(
$AA35-$Z$4&lt;MAX(AZ$4,VLOOKUP(AZ$6, Table_ChiPhiNV_Ca[], COUNTA(Table_ChiPhiNV_Ca[[#Headers],[Ca]:[Bắt đầu]]),0)),
$AA35&gt;MIN(AZ$5,VLOOKUP(AZ$6, Table_ChiPhiNV_Ca[], COUNTA(Table_ChiPhiNV_Ca[[#Headers],[Ca]:[Kết thúc]]),0))),0,
SUM(_xlfn._xlws.FILTER(Table_BangLuong_TyLeTangCa[Tỷ lệ],
(Table_BangLuong_TyLeTangCa[Ngày] = "Thường") *
(Table_BangLuong_TyLeTangCa[Giờ min]&lt;=$AA35) *
(Table_BangLuong_TyLeTangCa[Giờ max]&gt;$AA35)
))),
IF(
AND(
$AA35-$Z$4&gt;=MAX(AZ$4,VLOOKUP(AZ$6, Table_ChiPhiNV_Ca[], COUNTA(Table_ChiPhiNV_Ca[[#Headers],[Ca]:[Bắt đầu]]),0)),
$AA35&lt;MIN(AZ$5,VLOOKUP(AZ$6, Table_ChiPhiNV_Ca[], COUNTA(Table_ChiPhiNV_Ca[[#Headers],[Ca]:[Kết thúc]]),0))),
SUM(_xlfn._xlws.FILTER(Table_BangLuong_TyLeTangCa[Tỷ lệ],
(Table_BangLuong_TyLeTangCa[Ngày] = "Thường") *
(Table_BangLuong_TyLeTangCa[Giờ min]&lt;=$AA35) *
(Table_BangLuong_TyLeTangCa[Giờ max]&gt;$AA35)
)),0)
)),
IF(AZ$4 &lt; AZ$5,
IF($AA35-$Z$4&lt;AZ$4,0,
IF($AA35&gt;AZ$5,0,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AZ$5,$AA35 &lt; AZ$4),0,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A35" s="18" cm="1">
        <f t="array" ref="BA35" xml:space="preserve">
IFERROR(
IF(BA$1="",0,
IF(AND(
$AA35&gt;=VLOOKUP(BA$6, Table_ChiPhiNV_Ca[], COUNTA(Table_ChiPhiNV_Ca[[#Headers],[Ca]:[Bắt đầu nghỉ]]),0),
$AA35&lt;VLOOKUP(BA$6, Table_ChiPhiNV_Ca[], COUNTA(Table_ChiPhiNV_Ca[[#Headers],[Ca]:[Kết thúc nghỉ]]),0)
),0,
IF(NOT(ISBLANK(BA$3)),
IF(ISBLANK(BA$7),0,
IF(BA$4 &lt; BA$5,
IF($AA35-$Z$4&lt;BA$4,0,
IF($AA35&gt;BA$5,0,
SUM(_xlfn._xlws.FILTER(Table_BangLuong_TyLeTangCa[Tỷ lệ],
(Table_BangLuong_TyLeTangCa[Ngày] = BA$3) *
(Table_BangLuong_TyLeTangCa[Giờ min]&lt;=$AA35) *
(Table_BangLuong_TyLeTangCa[Giờ max]&gt;$AA35)
)))),
IF(AND($AA35-$Z$4 &gt;= BA$5,$AA35 &lt; BA$4),0,
SUM(_xlfn._xlws.FILTER(Table_BangLuong_TyLeTangCa[Tỷ lệ],
(Table_BangLuong_TyLeTangCa[Ngày] = BA$3) *
(Table_BangLuong_TyLeTangCa[Giờ min]&lt;=$AA35) *
(Table_BangLuong_TyLeTangCa[Giờ max]&gt;$AA35)
))))
),
IF(ISBLANK(BA$7),
IF(VLOOKUP(BA$6, Table_ChiPhiNV_Ca[], COUNTA(Table_ChiPhiNV_Ca[[#Headers],[Ca]:[Kết thúc]]),0)&gt; VLOOKUP(BA$6, Table_ChiPhiNV_Ca[], COUNTA(Table_ChiPhiNV_Ca[[#Headers],[Ca]:[Bắt đầu]]),0),
IF($AA35-$Z$4&lt;MAX(BA$4,VLOOKUP(BA$6, Table_ChiPhiNV_Ca[], COUNTA(Table_ChiPhiNV_Ca[[#Headers],[Ca]:[Bắt đầu]]),0)),0,
IF($AA35&gt;MIN(BA$5,VLOOKUP(BA$6, Table_ChiPhiNV_Ca[], COUNTA(Table_ChiPhiNV_Ca[[#Headers],[Ca]:[Kết thúc]]),0)),0,
SUM(_xlfn._xlws.FILTER(Table_BangLuong_TyLeTangCa[Tỷ lệ],
(Table_BangLuong_TyLeTangCa[Ngày] = "Thường") *
(Table_BangLuong_TyLeTangCa[Giờ min]&lt;=$AA35) *
(Table_BangLuong_TyLeTangCa[Giờ max]&gt;$AA35)
)))),
IF(BA$4 &gt; BA$5,
IF(
AND(
$AA35-$Z$4&lt;MAX(BA$4,VLOOKUP(BA$6, Table_ChiPhiNV_Ca[], COUNTA(Table_ChiPhiNV_Ca[[#Headers],[Ca]:[Bắt đầu]]),0)),
$AA35&gt;MIN(BA$5,VLOOKUP(BA$6, Table_ChiPhiNV_Ca[], COUNTA(Table_ChiPhiNV_Ca[[#Headers],[Ca]:[Kết thúc]]),0))),0,
SUM(_xlfn._xlws.FILTER(Table_BangLuong_TyLeTangCa[Tỷ lệ],
(Table_BangLuong_TyLeTangCa[Ngày] = "Thường") *
(Table_BangLuong_TyLeTangCa[Giờ min]&lt;=$AA35) *
(Table_BangLuong_TyLeTangCa[Giờ max]&gt;$AA35)
))),
IF(
AND(
$AA35-$Z$4&gt;=MAX(BA$4,VLOOKUP(BA$6, Table_ChiPhiNV_Ca[], COUNTA(Table_ChiPhiNV_Ca[[#Headers],[Ca]:[Bắt đầu]]),0)),
$AA35&lt;MIN(BA$5,VLOOKUP(BA$6, Table_ChiPhiNV_Ca[], COUNTA(Table_ChiPhiNV_Ca[[#Headers],[Ca]:[Kết thúc]]),0))),
SUM(_xlfn._xlws.FILTER(Table_BangLuong_TyLeTangCa[Tỷ lệ],
(Table_BangLuong_TyLeTangCa[Ngày] = "Thường") *
(Table_BangLuong_TyLeTangCa[Giờ min]&lt;=$AA35) *
(Table_BangLuong_TyLeTangCa[Giờ max]&gt;$AA35)
)),0)
)),
IF(BA$4 &lt; BA$5,
IF($AA35-$Z$4&lt;BA$4,0,
IF($AA35&gt;BA$5,0,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BA$5,$AA35 &lt; BA$4),0,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B35" s="18" cm="1">
        <f t="array" ref="BB35" xml:space="preserve">
IFERROR(
IF(BB$1="",0,
IF(AND(
$AA35&gt;=VLOOKUP(BB$6, Table_ChiPhiNV_Ca[], COUNTA(Table_ChiPhiNV_Ca[[#Headers],[Ca]:[Bắt đầu nghỉ]]),0),
$AA35&lt;VLOOKUP(BB$6, Table_ChiPhiNV_Ca[], COUNTA(Table_ChiPhiNV_Ca[[#Headers],[Ca]:[Kết thúc nghỉ]]),0)
),0,
IF(NOT(ISBLANK(BB$3)),
IF(ISBLANK(BB$7),0,
IF(BB$4 &lt; BB$5,
IF($AA35-$Z$4&lt;BB$4,0,
IF($AA35&gt;BB$5,0,
SUM(_xlfn._xlws.FILTER(Table_BangLuong_TyLeTangCa[Tỷ lệ],
(Table_BangLuong_TyLeTangCa[Ngày] = BB$3) *
(Table_BangLuong_TyLeTangCa[Giờ min]&lt;=$AA35) *
(Table_BangLuong_TyLeTangCa[Giờ max]&gt;$AA35)
)))),
IF(AND($AA35-$Z$4 &gt;= BB$5,$AA35 &lt; BB$4),0,
SUM(_xlfn._xlws.FILTER(Table_BangLuong_TyLeTangCa[Tỷ lệ],
(Table_BangLuong_TyLeTangCa[Ngày] = BB$3) *
(Table_BangLuong_TyLeTangCa[Giờ min]&lt;=$AA35) *
(Table_BangLuong_TyLeTangCa[Giờ max]&gt;$AA35)
))))
),
IF(ISBLANK(BB$7),
IF(VLOOKUP(BB$6, Table_ChiPhiNV_Ca[], COUNTA(Table_ChiPhiNV_Ca[[#Headers],[Ca]:[Kết thúc]]),0)&gt; VLOOKUP(BB$6, Table_ChiPhiNV_Ca[], COUNTA(Table_ChiPhiNV_Ca[[#Headers],[Ca]:[Bắt đầu]]),0),
IF($AA35-$Z$4&lt;MAX(BB$4,VLOOKUP(BB$6, Table_ChiPhiNV_Ca[], COUNTA(Table_ChiPhiNV_Ca[[#Headers],[Ca]:[Bắt đầu]]),0)),0,
IF($AA35&gt;MIN(BB$5,VLOOKUP(BB$6, Table_ChiPhiNV_Ca[], COUNTA(Table_ChiPhiNV_Ca[[#Headers],[Ca]:[Kết thúc]]),0)),0,
SUM(_xlfn._xlws.FILTER(Table_BangLuong_TyLeTangCa[Tỷ lệ],
(Table_BangLuong_TyLeTangCa[Ngày] = "Thường") *
(Table_BangLuong_TyLeTangCa[Giờ min]&lt;=$AA35) *
(Table_BangLuong_TyLeTangCa[Giờ max]&gt;$AA35)
)))),
IF(BB$4 &gt; BB$5,
IF(
AND(
$AA35-$Z$4&lt;MAX(BB$4,VLOOKUP(BB$6, Table_ChiPhiNV_Ca[], COUNTA(Table_ChiPhiNV_Ca[[#Headers],[Ca]:[Bắt đầu]]),0)),
$AA35&gt;MIN(BB$5,VLOOKUP(BB$6, Table_ChiPhiNV_Ca[], COUNTA(Table_ChiPhiNV_Ca[[#Headers],[Ca]:[Kết thúc]]),0))),0,
SUM(_xlfn._xlws.FILTER(Table_BangLuong_TyLeTangCa[Tỷ lệ],
(Table_BangLuong_TyLeTangCa[Ngày] = "Thường") *
(Table_BangLuong_TyLeTangCa[Giờ min]&lt;=$AA35) *
(Table_BangLuong_TyLeTangCa[Giờ max]&gt;$AA35)
))),
IF(
AND(
$AA35-$Z$4&gt;=MAX(BB$4,VLOOKUP(BB$6, Table_ChiPhiNV_Ca[], COUNTA(Table_ChiPhiNV_Ca[[#Headers],[Ca]:[Bắt đầu]]),0)),
$AA35&lt;MIN(BB$5,VLOOKUP(BB$6, Table_ChiPhiNV_Ca[], COUNTA(Table_ChiPhiNV_Ca[[#Headers],[Ca]:[Kết thúc]]),0))),
SUM(_xlfn._xlws.FILTER(Table_BangLuong_TyLeTangCa[Tỷ lệ],
(Table_BangLuong_TyLeTangCa[Ngày] = "Thường") *
(Table_BangLuong_TyLeTangCa[Giờ min]&lt;=$AA35) *
(Table_BangLuong_TyLeTangCa[Giờ max]&gt;$AA35)
)),0)
)),
IF(BB$4 &lt; BB$5,
IF($AA35-$Z$4&lt;BB$4,0,
IF($AA35&gt;BB$5,0,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BB$5,$AA35 &lt; BB$4),0,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C35" s="18" cm="1">
        <f t="array" ref="BC35" xml:space="preserve">
IFERROR(
IF(BC$1="",0,
IF(AND(
$AA35&gt;=VLOOKUP(BC$6, Table_ChiPhiNV_Ca[], COUNTA(Table_ChiPhiNV_Ca[[#Headers],[Ca]:[Bắt đầu nghỉ]]),0),
$AA35&lt;VLOOKUP(BC$6, Table_ChiPhiNV_Ca[], COUNTA(Table_ChiPhiNV_Ca[[#Headers],[Ca]:[Kết thúc nghỉ]]),0)
),0,
IF(NOT(ISBLANK(BC$3)),
IF(ISBLANK(BC$7),0,
IF(BC$4 &lt; BC$5,
IF($AA35-$Z$4&lt;BC$4,0,
IF($AA35&gt;BC$5,0,
SUM(_xlfn._xlws.FILTER(Table_BangLuong_TyLeTangCa[Tỷ lệ],
(Table_BangLuong_TyLeTangCa[Ngày] = BC$3) *
(Table_BangLuong_TyLeTangCa[Giờ min]&lt;=$AA35) *
(Table_BangLuong_TyLeTangCa[Giờ max]&gt;$AA35)
)))),
IF(AND($AA35-$Z$4 &gt;= BC$5,$AA35 &lt; BC$4),0,
SUM(_xlfn._xlws.FILTER(Table_BangLuong_TyLeTangCa[Tỷ lệ],
(Table_BangLuong_TyLeTangCa[Ngày] = BC$3) *
(Table_BangLuong_TyLeTangCa[Giờ min]&lt;=$AA35) *
(Table_BangLuong_TyLeTangCa[Giờ max]&gt;$AA35)
))))
),
IF(ISBLANK(BC$7),
IF(VLOOKUP(BC$6, Table_ChiPhiNV_Ca[], COUNTA(Table_ChiPhiNV_Ca[[#Headers],[Ca]:[Kết thúc]]),0)&gt; VLOOKUP(BC$6, Table_ChiPhiNV_Ca[], COUNTA(Table_ChiPhiNV_Ca[[#Headers],[Ca]:[Bắt đầu]]),0),
IF($AA35-$Z$4&lt;MAX(BC$4,VLOOKUP(BC$6, Table_ChiPhiNV_Ca[], COUNTA(Table_ChiPhiNV_Ca[[#Headers],[Ca]:[Bắt đầu]]),0)),0,
IF($AA35&gt;MIN(BC$5,VLOOKUP(BC$6, Table_ChiPhiNV_Ca[], COUNTA(Table_ChiPhiNV_Ca[[#Headers],[Ca]:[Kết thúc]]),0)),0,
SUM(_xlfn._xlws.FILTER(Table_BangLuong_TyLeTangCa[Tỷ lệ],
(Table_BangLuong_TyLeTangCa[Ngày] = "Thường") *
(Table_BangLuong_TyLeTangCa[Giờ min]&lt;=$AA35) *
(Table_BangLuong_TyLeTangCa[Giờ max]&gt;$AA35)
)))),
IF(BC$4 &gt; BC$5,
IF(
AND(
$AA35-$Z$4&lt;MAX(BC$4,VLOOKUP(BC$6, Table_ChiPhiNV_Ca[], COUNTA(Table_ChiPhiNV_Ca[[#Headers],[Ca]:[Bắt đầu]]),0)),
$AA35&gt;MIN(BC$5,VLOOKUP(BC$6, Table_ChiPhiNV_Ca[], COUNTA(Table_ChiPhiNV_Ca[[#Headers],[Ca]:[Kết thúc]]),0))),0,
SUM(_xlfn._xlws.FILTER(Table_BangLuong_TyLeTangCa[Tỷ lệ],
(Table_BangLuong_TyLeTangCa[Ngày] = "Thường") *
(Table_BangLuong_TyLeTangCa[Giờ min]&lt;=$AA35) *
(Table_BangLuong_TyLeTangCa[Giờ max]&gt;$AA35)
))),
IF(
AND(
$AA35-$Z$4&gt;=MAX(BC$4,VLOOKUP(BC$6, Table_ChiPhiNV_Ca[], COUNTA(Table_ChiPhiNV_Ca[[#Headers],[Ca]:[Bắt đầu]]),0)),
$AA35&lt;MIN(BC$5,VLOOKUP(BC$6, Table_ChiPhiNV_Ca[], COUNTA(Table_ChiPhiNV_Ca[[#Headers],[Ca]:[Kết thúc]]),0))),
SUM(_xlfn._xlws.FILTER(Table_BangLuong_TyLeTangCa[Tỷ lệ],
(Table_BangLuong_TyLeTangCa[Ngày] = "Thường") *
(Table_BangLuong_TyLeTangCa[Giờ min]&lt;=$AA35) *
(Table_BangLuong_TyLeTangCa[Giờ max]&gt;$AA35)
)),0)
)),
IF(BC$4 &lt; BC$5,
IF($AA35-$Z$4&lt;BC$4,0,
IF($AA35&gt;BC$5,0,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BC$5,$AA35 &lt; BC$4),0,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D35" s="18" cm="1">
        <f t="array" ref="BD35" xml:space="preserve">
IFERROR(
IF(BD$1="",0,
IF(AND(
$AA35&gt;=VLOOKUP(BD$6, Table_ChiPhiNV_Ca[], COUNTA(Table_ChiPhiNV_Ca[[#Headers],[Ca]:[Bắt đầu nghỉ]]),0),
$AA35&lt;VLOOKUP(BD$6, Table_ChiPhiNV_Ca[], COUNTA(Table_ChiPhiNV_Ca[[#Headers],[Ca]:[Kết thúc nghỉ]]),0)
),0,
IF(NOT(ISBLANK(BD$3)),
IF(ISBLANK(BD$7),0,
IF(BD$4 &lt; BD$5,
IF($AA35-$Z$4&lt;BD$4,0,
IF($AA35&gt;BD$5,0,
SUM(_xlfn._xlws.FILTER(Table_BangLuong_TyLeTangCa[Tỷ lệ],
(Table_BangLuong_TyLeTangCa[Ngày] = BD$3) *
(Table_BangLuong_TyLeTangCa[Giờ min]&lt;=$AA35) *
(Table_BangLuong_TyLeTangCa[Giờ max]&gt;$AA35)
)))),
IF(AND($AA35-$Z$4 &gt;= BD$5,$AA35 &lt; BD$4),0,
SUM(_xlfn._xlws.FILTER(Table_BangLuong_TyLeTangCa[Tỷ lệ],
(Table_BangLuong_TyLeTangCa[Ngày] = BD$3) *
(Table_BangLuong_TyLeTangCa[Giờ min]&lt;=$AA35) *
(Table_BangLuong_TyLeTangCa[Giờ max]&gt;$AA35)
))))
),
IF(ISBLANK(BD$7),
IF(VLOOKUP(BD$6, Table_ChiPhiNV_Ca[], COUNTA(Table_ChiPhiNV_Ca[[#Headers],[Ca]:[Kết thúc]]),0)&gt; VLOOKUP(BD$6, Table_ChiPhiNV_Ca[], COUNTA(Table_ChiPhiNV_Ca[[#Headers],[Ca]:[Bắt đầu]]),0),
IF($AA35-$Z$4&lt;MAX(BD$4,VLOOKUP(BD$6, Table_ChiPhiNV_Ca[], COUNTA(Table_ChiPhiNV_Ca[[#Headers],[Ca]:[Bắt đầu]]),0)),0,
IF($AA35&gt;MIN(BD$5,VLOOKUP(BD$6, Table_ChiPhiNV_Ca[], COUNTA(Table_ChiPhiNV_Ca[[#Headers],[Ca]:[Kết thúc]]),0)),0,
SUM(_xlfn._xlws.FILTER(Table_BangLuong_TyLeTangCa[Tỷ lệ],
(Table_BangLuong_TyLeTangCa[Ngày] = "Thường") *
(Table_BangLuong_TyLeTangCa[Giờ min]&lt;=$AA35) *
(Table_BangLuong_TyLeTangCa[Giờ max]&gt;$AA35)
)))),
IF(BD$4 &gt; BD$5,
IF(
AND(
$AA35-$Z$4&lt;MAX(BD$4,VLOOKUP(BD$6, Table_ChiPhiNV_Ca[], COUNTA(Table_ChiPhiNV_Ca[[#Headers],[Ca]:[Bắt đầu]]),0)),
$AA35&gt;MIN(BD$5,VLOOKUP(BD$6, Table_ChiPhiNV_Ca[], COUNTA(Table_ChiPhiNV_Ca[[#Headers],[Ca]:[Kết thúc]]),0))),0,
SUM(_xlfn._xlws.FILTER(Table_BangLuong_TyLeTangCa[Tỷ lệ],
(Table_BangLuong_TyLeTangCa[Ngày] = "Thường") *
(Table_BangLuong_TyLeTangCa[Giờ min]&lt;=$AA35) *
(Table_BangLuong_TyLeTangCa[Giờ max]&gt;$AA35)
))),
IF(
AND(
$AA35-$Z$4&gt;=MAX(BD$4,VLOOKUP(BD$6, Table_ChiPhiNV_Ca[], COUNTA(Table_ChiPhiNV_Ca[[#Headers],[Ca]:[Bắt đầu]]),0)),
$AA35&lt;MIN(BD$5,VLOOKUP(BD$6, Table_ChiPhiNV_Ca[], COUNTA(Table_ChiPhiNV_Ca[[#Headers],[Ca]:[Kết thúc]]),0))),
SUM(_xlfn._xlws.FILTER(Table_BangLuong_TyLeTangCa[Tỷ lệ],
(Table_BangLuong_TyLeTangCa[Ngày] = "Thường") *
(Table_BangLuong_TyLeTangCa[Giờ min]&lt;=$AA35) *
(Table_BangLuong_TyLeTangCa[Giờ max]&gt;$AA35)
)),0)
)),
IF(BD$4 &lt; BD$5,
IF($AA35-$Z$4&lt;BD$4,0,
IF($AA35&gt;BD$5,0,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BD$5,$AA35 &lt; BD$4),0,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E35" s="18" cm="1">
        <f t="array" ref="BE35" xml:space="preserve">
IFERROR(
IF(BE$1="",0,
IF(AND(
$AA35&gt;=VLOOKUP(BE$6, Table_ChiPhiNV_Ca[], COUNTA(Table_ChiPhiNV_Ca[[#Headers],[Ca]:[Bắt đầu nghỉ]]),0),
$AA35&lt;VLOOKUP(BE$6, Table_ChiPhiNV_Ca[], COUNTA(Table_ChiPhiNV_Ca[[#Headers],[Ca]:[Kết thúc nghỉ]]),0)
),0,
IF(NOT(ISBLANK(BE$3)),
IF(ISBLANK(BE$7),0,
IF(BE$4 &lt; BE$5,
IF($AA35-$Z$4&lt;BE$4,0,
IF($AA35&gt;BE$5,0,
SUM(_xlfn._xlws.FILTER(Table_BangLuong_TyLeTangCa[Tỷ lệ],
(Table_BangLuong_TyLeTangCa[Ngày] = BE$3) *
(Table_BangLuong_TyLeTangCa[Giờ min]&lt;=$AA35) *
(Table_BangLuong_TyLeTangCa[Giờ max]&gt;$AA35)
)))),
IF(AND($AA35-$Z$4 &gt;= BE$5,$AA35 &lt; BE$4),0,
SUM(_xlfn._xlws.FILTER(Table_BangLuong_TyLeTangCa[Tỷ lệ],
(Table_BangLuong_TyLeTangCa[Ngày] = BE$3) *
(Table_BangLuong_TyLeTangCa[Giờ min]&lt;=$AA35) *
(Table_BangLuong_TyLeTangCa[Giờ max]&gt;$AA35)
))))
),
IF(ISBLANK(BE$7),
IF(VLOOKUP(BE$6, Table_ChiPhiNV_Ca[], COUNTA(Table_ChiPhiNV_Ca[[#Headers],[Ca]:[Kết thúc]]),0)&gt; VLOOKUP(BE$6, Table_ChiPhiNV_Ca[], COUNTA(Table_ChiPhiNV_Ca[[#Headers],[Ca]:[Bắt đầu]]),0),
IF($AA35-$Z$4&lt;MAX(BE$4,VLOOKUP(BE$6, Table_ChiPhiNV_Ca[], COUNTA(Table_ChiPhiNV_Ca[[#Headers],[Ca]:[Bắt đầu]]),0)),0,
IF($AA35&gt;MIN(BE$5,VLOOKUP(BE$6, Table_ChiPhiNV_Ca[], COUNTA(Table_ChiPhiNV_Ca[[#Headers],[Ca]:[Kết thúc]]),0)),0,
SUM(_xlfn._xlws.FILTER(Table_BangLuong_TyLeTangCa[Tỷ lệ],
(Table_BangLuong_TyLeTangCa[Ngày] = "Thường") *
(Table_BangLuong_TyLeTangCa[Giờ min]&lt;=$AA35) *
(Table_BangLuong_TyLeTangCa[Giờ max]&gt;$AA35)
)))),
IF(BE$4 &gt; BE$5,
IF(
AND(
$AA35-$Z$4&lt;MAX(BE$4,VLOOKUP(BE$6, Table_ChiPhiNV_Ca[], COUNTA(Table_ChiPhiNV_Ca[[#Headers],[Ca]:[Bắt đầu]]),0)),
$AA35&gt;MIN(BE$5,VLOOKUP(BE$6, Table_ChiPhiNV_Ca[], COUNTA(Table_ChiPhiNV_Ca[[#Headers],[Ca]:[Kết thúc]]),0))),0,
SUM(_xlfn._xlws.FILTER(Table_BangLuong_TyLeTangCa[Tỷ lệ],
(Table_BangLuong_TyLeTangCa[Ngày] = "Thường") *
(Table_BangLuong_TyLeTangCa[Giờ min]&lt;=$AA35) *
(Table_BangLuong_TyLeTangCa[Giờ max]&gt;$AA35)
))),
IF(
AND(
$AA35-$Z$4&gt;=MAX(BE$4,VLOOKUP(BE$6, Table_ChiPhiNV_Ca[], COUNTA(Table_ChiPhiNV_Ca[[#Headers],[Ca]:[Bắt đầu]]),0)),
$AA35&lt;MIN(BE$5,VLOOKUP(BE$6, Table_ChiPhiNV_Ca[], COUNTA(Table_ChiPhiNV_Ca[[#Headers],[Ca]:[Kết thúc]]),0))),
SUM(_xlfn._xlws.FILTER(Table_BangLuong_TyLeTangCa[Tỷ lệ],
(Table_BangLuong_TyLeTangCa[Ngày] = "Thường") *
(Table_BangLuong_TyLeTangCa[Giờ min]&lt;=$AA35) *
(Table_BangLuong_TyLeTangCa[Giờ max]&gt;$AA35)
)),0)
)),
IF(BE$4 &lt; BE$5,
IF($AA35-$Z$4&lt;BE$4,0,
IF($AA35&gt;BE$5,0,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BE$5,$AA35 &lt; BE$4),0,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F35" s="18" cm="1">
        <f t="array" ref="BF35" xml:space="preserve">
IFERROR(
IF(BF$1="",0,
IF(AND(
$AA35&gt;=VLOOKUP(BF$6, Table_ChiPhiNV_Ca[], COUNTA(Table_ChiPhiNV_Ca[[#Headers],[Ca]:[Bắt đầu nghỉ]]),0),
$AA35&lt;VLOOKUP(BF$6, Table_ChiPhiNV_Ca[], COUNTA(Table_ChiPhiNV_Ca[[#Headers],[Ca]:[Kết thúc nghỉ]]),0)
),0,
IF(NOT(ISBLANK(BF$3)),
IF(ISBLANK(BF$7),0,
IF(BF$4 &lt; BF$5,
IF($AA35-$Z$4&lt;BF$4,0,
IF($AA35&gt;BF$5,0,
SUM(_xlfn._xlws.FILTER(Table_BangLuong_TyLeTangCa[Tỷ lệ],
(Table_BangLuong_TyLeTangCa[Ngày] = BF$3) *
(Table_BangLuong_TyLeTangCa[Giờ min]&lt;=$AA35) *
(Table_BangLuong_TyLeTangCa[Giờ max]&gt;$AA35)
)))),
IF(AND($AA35-$Z$4 &gt;= BF$5,$AA35 &lt; BF$4),0,
SUM(_xlfn._xlws.FILTER(Table_BangLuong_TyLeTangCa[Tỷ lệ],
(Table_BangLuong_TyLeTangCa[Ngày] = BF$3) *
(Table_BangLuong_TyLeTangCa[Giờ min]&lt;=$AA35) *
(Table_BangLuong_TyLeTangCa[Giờ max]&gt;$AA35)
))))
),
IF(ISBLANK(BF$7),
IF(VLOOKUP(BF$6, Table_ChiPhiNV_Ca[], COUNTA(Table_ChiPhiNV_Ca[[#Headers],[Ca]:[Kết thúc]]),0)&gt; VLOOKUP(BF$6, Table_ChiPhiNV_Ca[], COUNTA(Table_ChiPhiNV_Ca[[#Headers],[Ca]:[Bắt đầu]]),0),
IF($AA35-$Z$4&lt;MAX(BF$4,VLOOKUP(BF$6, Table_ChiPhiNV_Ca[], COUNTA(Table_ChiPhiNV_Ca[[#Headers],[Ca]:[Bắt đầu]]),0)),0,
IF($AA35&gt;MIN(BF$5,VLOOKUP(BF$6, Table_ChiPhiNV_Ca[], COUNTA(Table_ChiPhiNV_Ca[[#Headers],[Ca]:[Kết thúc]]),0)),0,
SUM(_xlfn._xlws.FILTER(Table_BangLuong_TyLeTangCa[Tỷ lệ],
(Table_BangLuong_TyLeTangCa[Ngày] = "Thường") *
(Table_BangLuong_TyLeTangCa[Giờ min]&lt;=$AA35) *
(Table_BangLuong_TyLeTangCa[Giờ max]&gt;$AA35)
)))),
IF(BF$4 &gt; BF$5,
IF(
AND(
$AA35-$Z$4&lt;MAX(BF$4,VLOOKUP(BF$6, Table_ChiPhiNV_Ca[], COUNTA(Table_ChiPhiNV_Ca[[#Headers],[Ca]:[Bắt đầu]]),0)),
$AA35&gt;MIN(BF$5,VLOOKUP(BF$6, Table_ChiPhiNV_Ca[], COUNTA(Table_ChiPhiNV_Ca[[#Headers],[Ca]:[Kết thúc]]),0))),0,
SUM(_xlfn._xlws.FILTER(Table_BangLuong_TyLeTangCa[Tỷ lệ],
(Table_BangLuong_TyLeTangCa[Ngày] = "Thường") *
(Table_BangLuong_TyLeTangCa[Giờ min]&lt;=$AA35) *
(Table_BangLuong_TyLeTangCa[Giờ max]&gt;$AA35)
))),
IF(
AND(
$AA35-$Z$4&gt;=MAX(BF$4,VLOOKUP(BF$6, Table_ChiPhiNV_Ca[], COUNTA(Table_ChiPhiNV_Ca[[#Headers],[Ca]:[Bắt đầu]]),0)),
$AA35&lt;MIN(BF$5,VLOOKUP(BF$6, Table_ChiPhiNV_Ca[], COUNTA(Table_ChiPhiNV_Ca[[#Headers],[Ca]:[Kết thúc]]),0))),
SUM(_xlfn._xlws.FILTER(Table_BangLuong_TyLeTangCa[Tỷ lệ],
(Table_BangLuong_TyLeTangCa[Ngày] = "Thường") *
(Table_BangLuong_TyLeTangCa[Giờ min]&lt;=$AA35) *
(Table_BangLuong_TyLeTangCa[Giờ max]&gt;$AA35)
)),0)
)),
IF(BF$4 &lt; BF$5,
IF($AA35-$Z$4&lt;BF$4,0,
IF($AA35&gt;BF$5,0,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BF$5,$AA35 &lt; BF$4),0,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row>
    <row r="36" spans="2:58" ht="18" customHeight="1" outlineLevel="1" x14ac:dyDescent="0.3">
      <c r="AA36" s="50">
        <v>0.5625</v>
      </c>
      <c r="AB36" s="18" cm="1">
        <f t="array" ref="AB36" xml:space="preserve">
IFERROR(
IF(AB$1="",0,
IF(AND(
$AA36&gt;=VLOOKUP(AB$6, Table_ChiPhiNV_Ca[], COUNTA(Table_ChiPhiNV_Ca[[#Headers],[Ca]:[Bắt đầu nghỉ]]),0),
$AA36&lt;VLOOKUP(AB$6, Table_ChiPhiNV_Ca[], COUNTA(Table_ChiPhiNV_Ca[[#Headers],[Ca]:[Kết thúc nghỉ]]),0)
),0,
IF(NOT(ISBLANK(AB$3)),
IF(ISBLANK(AB$7),0,
IF(AB$4 &lt; AB$5,
IF($AA36-$Z$4&lt;AB$4,0,
IF($AA36&gt;AB$5,0,
SUM(_xlfn._xlws.FILTER(Table_BangLuong_TyLeTangCa[Tỷ lệ],
(Table_BangLuong_TyLeTangCa[Ngày] = AB$3) *
(Table_BangLuong_TyLeTangCa[Giờ min]&lt;=$AA36) *
(Table_BangLuong_TyLeTangCa[Giờ max]&gt;$AA36)
)))),
IF(AND($AA36-$Z$4 &gt;= AB$5,$AA36 &lt; AB$4),0,
SUM(_xlfn._xlws.FILTER(Table_BangLuong_TyLeTangCa[Tỷ lệ],
(Table_BangLuong_TyLeTangCa[Ngày] = AB$3) *
(Table_BangLuong_TyLeTangCa[Giờ min]&lt;=$AA36) *
(Table_BangLuong_TyLeTangCa[Giờ max]&gt;$AA36)
))))
),
IF(ISBLANK(AB$7),
IF(VLOOKUP(AB$6, Table_ChiPhiNV_Ca[], COUNTA(Table_ChiPhiNV_Ca[[#Headers],[Ca]:[Kết thúc]]),0)&gt; VLOOKUP(AB$6, Table_ChiPhiNV_Ca[], COUNTA(Table_ChiPhiNV_Ca[[#Headers],[Ca]:[Bắt đầu]]),0),
IF($AA36-$Z$4&lt;MAX(AB$4,VLOOKUP(AB$6, Table_ChiPhiNV_Ca[], COUNTA(Table_ChiPhiNV_Ca[[#Headers],[Ca]:[Bắt đầu]]),0)),0,
IF($AA36&gt;MIN(AB$5,VLOOKUP(AB$6, Table_ChiPhiNV_Ca[], COUNTA(Table_ChiPhiNV_Ca[[#Headers],[Ca]:[Kết thúc]]),0)),0,
SUM(_xlfn._xlws.FILTER(Table_BangLuong_TyLeTangCa[Tỷ lệ],
(Table_BangLuong_TyLeTangCa[Ngày] = "Thường") *
(Table_BangLuong_TyLeTangCa[Giờ min]&lt;=$AA36) *
(Table_BangLuong_TyLeTangCa[Giờ max]&gt;$AA36)
)))),
IF(AB$4 &gt; AB$5,
IF(
AND(
$AA36-$Z$4&lt;MAX(AB$4,VLOOKUP(AB$6, Table_ChiPhiNV_Ca[], COUNTA(Table_ChiPhiNV_Ca[[#Headers],[Ca]:[Bắt đầu]]),0)),
$AA36&gt;MIN(AB$5,VLOOKUP(AB$6, Table_ChiPhiNV_Ca[], COUNTA(Table_ChiPhiNV_Ca[[#Headers],[Ca]:[Kết thúc]]),0))),0,
SUM(_xlfn._xlws.FILTER(Table_BangLuong_TyLeTangCa[Tỷ lệ],
(Table_BangLuong_TyLeTangCa[Ngày] = "Thường") *
(Table_BangLuong_TyLeTangCa[Giờ min]&lt;=$AA36) *
(Table_BangLuong_TyLeTangCa[Giờ max]&gt;$AA36)
))),
IF(
AND(
$AA36-$Z$4&gt;=MAX(AB$4,VLOOKUP(AB$6, Table_ChiPhiNV_Ca[], COUNTA(Table_ChiPhiNV_Ca[[#Headers],[Ca]:[Bắt đầu]]),0)),
$AA36&lt;MIN(AB$5,VLOOKUP(AB$6, Table_ChiPhiNV_Ca[], COUNTA(Table_ChiPhiNV_Ca[[#Headers],[Ca]:[Kết thúc]]),0))),
SUM(_xlfn._xlws.FILTER(Table_BangLuong_TyLeTangCa[Tỷ lệ],
(Table_BangLuong_TyLeTangCa[Ngày] = "Thường") *
(Table_BangLuong_TyLeTangCa[Giờ min]&lt;=$AA36) *
(Table_BangLuong_TyLeTangCa[Giờ max]&gt;$AA36)
)),0)
)),
IF(AB$4 &lt; AB$5,
IF($AA36-$Z$4&lt;AB$4,0,
IF($AA36&gt;AB$5,0,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AB$5,$AA36 &lt; AB$4),0,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C36" s="18" cm="1">
        <f t="array" ref="AC36" xml:space="preserve">
IFERROR(
IF(AC$1="",0,
IF(AND(
$AA36&gt;=VLOOKUP(AC$6, Table_ChiPhiNV_Ca[], COUNTA(Table_ChiPhiNV_Ca[[#Headers],[Ca]:[Bắt đầu nghỉ]]),0),
$AA36&lt;VLOOKUP(AC$6, Table_ChiPhiNV_Ca[], COUNTA(Table_ChiPhiNV_Ca[[#Headers],[Ca]:[Kết thúc nghỉ]]),0)
),0,
IF(NOT(ISBLANK(AC$3)),
IF(ISBLANK(AC$7),0,
IF(AC$4 &lt; AC$5,
IF($AA36-$Z$4&lt;AC$4,0,
IF($AA36&gt;AC$5,0,
SUM(_xlfn._xlws.FILTER(Table_BangLuong_TyLeTangCa[Tỷ lệ],
(Table_BangLuong_TyLeTangCa[Ngày] = AC$3) *
(Table_BangLuong_TyLeTangCa[Giờ min]&lt;=$AA36) *
(Table_BangLuong_TyLeTangCa[Giờ max]&gt;$AA36)
)))),
IF(AND($AA36-$Z$4 &gt;= AC$5,$AA36 &lt; AC$4),0,
SUM(_xlfn._xlws.FILTER(Table_BangLuong_TyLeTangCa[Tỷ lệ],
(Table_BangLuong_TyLeTangCa[Ngày] = AC$3) *
(Table_BangLuong_TyLeTangCa[Giờ min]&lt;=$AA36) *
(Table_BangLuong_TyLeTangCa[Giờ max]&gt;$AA36)
))))
),
IF(ISBLANK(AC$7),
IF(VLOOKUP(AC$6, Table_ChiPhiNV_Ca[], COUNTA(Table_ChiPhiNV_Ca[[#Headers],[Ca]:[Kết thúc]]),0)&gt; VLOOKUP(AC$6, Table_ChiPhiNV_Ca[], COUNTA(Table_ChiPhiNV_Ca[[#Headers],[Ca]:[Bắt đầu]]),0),
IF($AA36-$Z$4&lt;MAX(AC$4,VLOOKUP(AC$6, Table_ChiPhiNV_Ca[], COUNTA(Table_ChiPhiNV_Ca[[#Headers],[Ca]:[Bắt đầu]]),0)),0,
IF($AA36&gt;MIN(AC$5,VLOOKUP(AC$6, Table_ChiPhiNV_Ca[], COUNTA(Table_ChiPhiNV_Ca[[#Headers],[Ca]:[Kết thúc]]),0)),0,
SUM(_xlfn._xlws.FILTER(Table_BangLuong_TyLeTangCa[Tỷ lệ],
(Table_BangLuong_TyLeTangCa[Ngày] = "Thường") *
(Table_BangLuong_TyLeTangCa[Giờ min]&lt;=$AA36) *
(Table_BangLuong_TyLeTangCa[Giờ max]&gt;$AA36)
)))),
IF(AC$4 &gt; AC$5,
IF(
AND(
$AA36-$Z$4&lt;MAX(AC$4,VLOOKUP(AC$6, Table_ChiPhiNV_Ca[], COUNTA(Table_ChiPhiNV_Ca[[#Headers],[Ca]:[Bắt đầu]]),0)),
$AA36&gt;MIN(AC$5,VLOOKUP(AC$6, Table_ChiPhiNV_Ca[], COUNTA(Table_ChiPhiNV_Ca[[#Headers],[Ca]:[Kết thúc]]),0))),0,
SUM(_xlfn._xlws.FILTER(Table_BangLuong_TyLeTangCa[Tỷ lệ],
(Table_BangLuong_TyLeTangCa[Ngày] = "Thường") *
(Table_BangLuong_TyLeTangCa[Giờ min]&lt;=$AA36) *
(Table_BangLuong_TyLeTangCa[Giờ max]&gt;$AA36)
))),
IF(
AND(
$AA36-$Z$4&gt;=MAX(AC$4,VLOOKUP(AC$6, Table_ChiPhiNV_Ca[], COUNTA(Table_ChiPhiNV_Ca[[#Headers],[Ca]:[Bắt đầu]]),0)),
$AA36&lt;MIN(AC$5,VLOOKUP(AC$6, Table_ChiPhiNV_Ca[], COUNTA(Table_ChiPhiNV_Ca[[#Headers],[Ca]:[Kết thúc]]),0))),
SUM(_xlfn._xlws.FILTER(Table_BangLuong_TyLeTangCa[Tỷ lệ],
(Table_BangLuong_TyLeTangCa[Ngày] = "Thường") *
(Table_BangLuong_TyLeTangCa[Giờ min]&lt;=$AA36) *
(Table_BangLuong_TyLeTangCa[Giờ max]&gt;$AA36)
)),0)
)),
IF(AC$4 &lt; AC$5,
IF($AA36-$Z$4&lt;AC$4,0,
IF($AA36&gt;AC$5,0,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AC$5,$AA36 &lt; AC$4),0,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D36" s="18" cm="1">
        <f t="array" ref="AD36" xml:space="preserve">
IFERROR(
IF(AD$1="",0,
IF(AND(
$AA36&gt;=VLOOKUP(AD$6, Table_ChiPhiNV_Ca[], COUNTA(Table_ChiPhiNV_Ca[[#Headers],[Ca]:[Bắt đầu nghỉ]]),0),
$AA36&lt;VLOOKUP(AD$6, Table_ChiPhiNV_Ca[], COUNTA(Table_ChiPhiNV_Ca[[#Headers],[Ca]:[Kết thúc nghỉ]]),0)
),0,
IF(NOT(ISBLANK(AD$3)),
IF(ISBLANK(AD$7),0,
IF(AD$4 &lt; AD$5,
IF($AA36-$Z$4&lt;AD$4,0,
IF($AA36&gt;AD$5,0,
SUM(_xlfn._xlws.FILTER(Table_BangLuong_TyLeTangCa[Tỷ lệ],
(Table_BangLuong_TyLeTangCa[Ngày] = AD$3) *
(Table_BangLuong_TyLeTangCa[Giờ min]&lt;=$AA36) *
(Table_BangLuong_TyLeTangCa[Giờ max]&gt;$AA36)
)))),
IF(AND($AA36-$Z$4 &gt;= AD$5,$AA36 &lt; AD$4),0,
SUM(_xlfn._xlws.FILTER(Table_BangLuong_TyLeTangCa[Tỷ lệ],
(Table_BangLuong_TyLeTangCa[Ngày] = AD$3) *
(Table_BangLuong_TyLeTangCa[Giờ min]&lt;=$AA36) *
(Table_BangLuong_TyLeTangCa[Giờ max]&gt;$AA36)
))))
),
IF(ISBLANK(AD$7),
IF(VLOOKUP(AD$6, Table_ChiPhiNV_Ca[], COUNTA(Table_ChiPhiNV_Ca[[#Headers],[Ca]:[Kết thúc]]),0)&gt; VLOOKUP(AD$6, Table_ChiPhiNV_Ca[], COUNTA(Table_ChiPhiNV_Ca[[#Headers],[Ca]:[Bắt đầu]]),0),
IF($AA36-$Z$4&lt;MAX(AD$4,VLOOKUP(AD$6, Table_ChiPhiNV_Ca[], COUNTA(Table_ChiPhiNV_Ca[[#Headers],[Ca]:[Bắt đầu]]),0)),0,
IF($AA36&gt;MIN(AD$5,VLOOKUP(AD$6, Table_ChiPhiNV_Ca[], COUNTA(Table_ChiPhiNV_Ca[[#Headers],[Ca]:[Kết thúc]]),0)),0,
SUM(_xlfn._xlws.FILTER(Table_BangLuong_TyLeTangCa[Tỷ lệ],
(Table_BangLuong_TyLeTangCa[Ngày] = "Thường") *
(Table_BangLuong_TyLeTangCa[Giờ min]&lt;=$AA36) *
(Table_BangLuong_TyLeTangCa[Giờ max]&gt;$AA36)
)))),
IF(AD$4 &gt; AD$5,
IF(
AND(
$AA36-$Z$4&lt;MAX(AD$4,VLOOKUP(AD$6, Table_ChiPhiNV_Ca[], COUNTA(Table_ChiPhiNV_Ca[[#Headers],[Ca]:[Bắt đầu]]),0)),
$AA36&gt;MIN(AD$5,VLOOKUP(AD$6, Table_ChiPhiNV_Ca[], COUNTA(Table_ChiPhiNV_Ca[[#Headers],[Ca]:[Kết thúc]]),0))),0,
SUM(_xlfn._xlws.FILTER(Table_BangLuong_TyLeTangCa[Tỷ lệ],
(Table_BangLuong_TyLeTangCa[Ngày] = "Thường") *
(Table_BangLuong_TyLeTangCa[Giờ min]&lt;=$AA36) *
(Table_BangLuong_TyLeTangCa[Giờ max]&gt;$AA36)
))),
IF(
AND(
$AA36-$Z$4&gt;=MAX(AD$4,VLOOKUP(AD$6, Table_ChiPhiNV_Ca[], COUNTA(Table_ChiPhiNV_Ca[[#Headers],[Ca]:[Bắt đầu]]),0)),
$AA36&lt;MIN(AD$5,VLOOKUP(AD$6, Table_ChiPhiNV_Ca[], COUNTA(Table_ChiPhiNV_Ca[[#Headers],[Ca]:[Kết thúc]]),0))),
SUM(_xlfn._xlws.FILTER(Table_BangLuong_TyLeTangCa[Tỷ lệ],
(Table_BangLuong_TyLeTangCa[Ngày] = "Thường") *
(Table_BangLuong_TyLeTangCa[Giờ min]&lt;=$AA36) *
(Table_BangLuong_TyLeTangCa[Giờ max]&gt;$AA36)
)),0)
)),
IF(AD$4 &lt; AD$5,
IF($AA36-$Z$4&lt;AD$4,0,
IF($AA36&gt;AD$5,0,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AD$5,$AA36 &lt; AD$4),0,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E36" s="18" cm="1">
        <f t="array" ref="AE36" xml:space="preserve">
IFERROR(
IF(AE$1="",0,
IF(AND(
$AA36&gt;=VLOOKUP(AE$6, Table_ChiPhiNV_Ca[], COUNTA(Table_ChiPhiNV_Ca[[#Headers],[Ca]:[Bắt đầu nghỉ]]),0),
$AA36&lt;VLOOKUP(AE$6, Table_ChiPhiNV_Ca[], COUNTA(Table_ChiPhiNV_Ca[[#Headers],[Ca]:[Kết thúc nghỉ]]),0)
),0,
IF(NOT(ISBLANK(AE$3)),
IF(ISBLANK(AE$7),0,
IF(AE$4 &lt; AE$5,
IF($AA36-$Z$4&lt;AE$4,0,
IF($AA36&gt;AE$5,0,
SUM(_xlfn._xlws.FILTER(Table_BangLuong_TyLeTangCa[Tỷ lệ],
(Table_BangLuong_TyLeTangCa[Ngày] = AE$3) *
(Table_BangLuong_TyLeTangCa[Giờ min]&lt;=$AA36) *
(Table_BangLuong_TyLeTangCa[Giờ max]&gt;$AA36)
)))),
IF(AND($AA36-$Z$4 &gt;= AE$5,$AA36 &lt; AE$4),0,
SUM(_xlfn._xlws.FILTER(Table_BangLuong_TyLeTangCa[Tỷ lệ],
(Table_BangLuong_TyLeTangCa[Ngày] = AE$3) *
(Table_BangLuong_TyLeTangCa[Giờ min]&lt;=$AA36) *
(Table_BangLuong_TyLeTangCa[Giờ max]&gt;$AA36)
))))
),
IF(ISBLANK(AE$7),
IF(VLOOKUP(AE$6, Table_ChiPhiNV_Ca[], COUNTA(Table_ChiPhiNV_Ca[[#Headers],[Ca]:[Kết thúc]]),0)&gt; VLOOKUP(AE$6, Table_ChiPhiNV_Ca[], COUNTA(Table_ChiPhiNV_Ca[[#Headers],[Ca]:[Bắt đầu]]),0),
IF($AA36-$Z$4&lt;MAX(AE$4,VLOOKUP(AE$6, Table_ChiPhiNV_Ca[], COUNTA(Table_ChiPhiNV_Ca[[#Headers],[Ca]:[Bắt đầu]]),0)),0,
IF($AA36&gt;MIN(AE$5,VLOOKUP(AE$6, Table_ChiPhiNV_Ca[], COUNTA(Table_ChiPhiNV_Ca[[#Headers],[Ca]:[Kết thúc]]),0)),0,
SUM(_xlfn._xlws.FILTER(Table_BangLuong_TyLeTangCa[Tỷ lệ],
(Table_BangLuong_TyLeTangCa[Ngày] = "Thường") *
(Table_BangLuong_TyLeTangCa[Giờ min]&lt;=$AA36) *
(Table_BangLuong_TyLeTangCa[Giờ max]&gt;$AA36)
)))),
IF(AE$4 &gt; AE$5,
IF(
AND(
$AA36-$Z$4&lt;MAX(AE$4,VLOOKUP(AE$6, Table_ChiPhiNV_Ca[], COUNTA(Table_ChiPhiNV_Ca[[#Headers],[Ca]:[Bắt đầu]]),0)),
$AA36&gt;MIN(AE$5,VLOOKUP(AE$6, Table_ChiPhiNV_Ca[], COUNTA(Table_ChiPhiNV_Ca[[#Headers],[Ca]:[Kết thúc]]),0))),0,
SUM(_xlfn._xlws.FILTER(Table_BangLuong_TyLeTangCa[Tỷ lệ],
(Table_BangLuong_TyLeTangCa[Ngày] = "Thường") *
(Table_BangLuong_TyLeTangCa[Giờ min]&lt;=$AA36) *
(Table_BangLuong_TyLeTangCa[Giờ max]&gt;$AA36)
))),
IF(
AND(
$AA36-$Z$4&gt;=MAX(AE$4,VLOOKUP(AE$6, Table_ChiPhiNV_Ca[], COUNTA(Table_ChiPhiNV_Ca[[#Headers],[Ca]:[Bắt đầu]]),0)),
$AA36&lt;MIN(AE$5,VLOOKUP(AE$6, Table_ChiPhiNV_Ca[], COUNTA(Table_ChiPhiNV_Ca[[#Headers],[Ca]:[Kết thúc]]),0))),
SUM(_xlfn._xlws.FILTER(Table_BangLuong_TyLeTangCa[Tỷ lệ],
(Table_BangLuong_TyLeTangCa[Ngày] = "Thường") *
(Table_BangLuong_TyLeTangCa[Giờ min]&lt;=$AA36) *
(Table_BangLuong_TyLeTangCa[Giờ max]&gt;$AA36)
)),0)
)),
IF(AE$4 &lt; AE$5,
IF($AA36-$Z$4&lt;AE$4,0,
IF($AA36&gt;AE$5,0,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AE$5,$AA36 &lt; AE$4),0,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F36" s="18" cm="1">
        <f t="array" ref="AF36" xml:space="preserve">
IFERROR(
IF(AF$1="",0,
IF(AND(
$AA36&gt;=VLOOKUP(AF$6, Table_ChiPhiNV_Ca[], COUNTA(Table_ChiPhiNV_Ca[[#Headers],[Ca]:[Bắt đầu nghỉ]]),0),
$AA36&lt;VLOOKUP(AF$6, Table_ChiPhiNV_Ca[], COUNTA(Table_ChiPhiNV_Ca[[#Headers],[Ca]:[Kết thúc nghỉ]]),0)
),0,
IF(NOT(ISBLANK(AF$3)),
IF(ISBLANK(AF$7),0,
IF(AF$4 &lt; AF$5,
IF($AA36-$Z$4&lt;AF$4,0,
IF($AA36&gt;AF$5,0,
SUM(_xlfn._xlws.FILTER(Table_BangLuong_TyLeTangCa[Tỷ lệ],
(Table_BangLuong_TyLeTangCa[Ngày] = AF$3) *
(Table_BangLuong_TyLeTangCa[Giờ min]&lt;=$AA36) *
(Table_BangLuong_TyLeTangCa[Giờ max]&gt;$AA36)
)))),
IF(AND($AA36-$Z$4 &gt;= AF$5,$AA36 &lt; AF$4),0,
SUM(_xlfn._xlws.FILTER(Table_BangLuong_TyLeTangCa[Tỷ lệ],
(Table_BangLuong_TyLeTangCa[Ngày] = AF$3) *
(Table_BangLuong_TyLeTangCa[Giờ min]&lt;=$AA36) *
(Table_BangLuong_TyLeTangCa[Giờ max]&gt;$AA36)
))))
),
IF(ISBLANK(AF$7),
IF(VLOOKUP(AF$6, Table_ChiPhiNV_Ca[], COUNTA(Table_ChiPhiNV_Ca[[#Headers],[Ca]:[Kết thúc]]),0)&gt; VLOOKUP(AF$6, Table_ChiPhiNV_Ca[], COUNTA(Table_ChiPhiNV_Ca[[#Headers],[Ca]:[Bắt đầu]]),0),
IF($AA36-$Z$4&lt;MAX(AF$4,VLOOKUP(AF$6, Table_ChiPhiNV_Ca[], COUNTA(Table_ChiPhiNV_Ca[[#Headers],[Ca]:[Bắt đầu]]),0)),0,
IF($AA36&gt;MIN(AF$5,VLOOKUP(AF$6, Table_ChiPhiNV_Ca[], COUNTA(Table_ChiPhiNV_Ca[[#Headers],[Ca]:[Kết thúc]]),0)),0,
SUM(_xlfn._xlws.FILTER(Table_BangLuong_TyLeTangCa[Tỷ lệ],
(Table_BangLuong_TyLeTangCa[Ngày] = "Thường") *
(Table_BangLuong_TyLeTangCa[Giờ min]&lt;=$AA36) *
(Table_BangLuong_TyLeTangCa[Giờ max]&gt;$AA36)
)))),
IF(AF$4 &gt; AF$5,
IF(
AND(
$AA36-$Z$4&lt;MAX(AF$4,VLOOKUP(AF$6, Table_ChiPhiNV_Ca[], COUNTA(Table_ChiPhiNV_Ca[[#Headers],[Ca]:[Bắt đầu]]),0)),
$AA36&gt;MIN(AF$5,VLOOKUP(AF$6, Table_ChiPhiNV_Ca[], COUNTA(Table_ChiPhiNV_Ca[[#Headers],[Ca]:[Kết thúc]]),0))),0,
SUM(_xlfn._xlws.FILTER(Table_BangLuong_TyLeTangCa[Tỷ lệ],
(Table_BangLuong_TyLeTangCa[Ngày] = "Thường") *
(Table_BangLuong_TyLeTangCa[Giờ min]&lt;=$AA36) *
(Table_BangLuong_TyLeTangCa[Giờ max]&gt;$AA36)
))),
IF(
AND(
$AA36-$Z$4&gt;=MAX(AF$4,VLOOKUP(AF$6, Table_ChiPhiNV_Ca[], COUNTA(Table_ChiPhiNV_Ca[[#Headers],[Ca]:[Bắt đầu]]),0)),
$AA36&lt;MIN(AF$5,VLOOKUP(AF$6, Table_ChiPhiNV_Ca[], COUNTA(Table_ChiPhiNV_Ca[[#Headers],[Ca]:[Kết thúc]]),0))),
SUM(_xlfn._xlws.FILTER(Table_BangLuong_TyLeTangCa[Tỷ lệ],
(Table_BangLuong_TyLeTangCa[Ngày] = "Thường") *
(Table_BangLuong_TyLeTangCa[Giờ min]&lt;=$AA36) *
(Table_BangLuong_TyLeTangCa[Giờ max]&gt;$AA36)
)),0)
)),
IF(AF$4 &lt; AF$5,
IF($AA36-$Z$4&lt;AF$4,0,
IF($AA36&gt;AF$5,0,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AF$5,$AA36 &lt; AF$4),0,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G36" s="18" cm="1">
        <f t="array" ref="AG36" xml:space="preserve">
IFERROR(
IF(AG$1="",0,
IF(AND(
$AA36&gt;=VLOOKUP(AG$6, Table_ChiPhiNV_Ca[], COUNTA(Table_ChiPhiNV_Ca[[#Headers],[Ca]:[Bắt đầu nghỉ]]),0),
$AA36&lt;VLOOKUP(AG$6, Table_ChiPhiNV_Ca[], COUNTA(Table_ChiPhiNV_Ca[[#Headers],[Ca]:[Kết thúc nghỉ]]),0)
),0,
IF(NOT(ISBLANK(AG$3)),
IF(ISBLANK(AG$7),0,
IF(AG$4 &lt; AG$5,
IF($AA36-$Z$4&lt;AG$4,0,
IF($AA36&gt;AG$5,0,
SUM(_xlfn._xlws.FILTER(Table_BangLuong_TyLeTangCa[Tỷ lệ],
(Table_BangLuong_TyLeTangCa[Ngày] = AG$3) *
(Table_BangLuong_TyLeTangCa[Giờ min]&lt;=$AA36) *
(Table_BangLuong_TyLeTangCa[Giờ max]&gt;$AA36)
)))),
IF(AND($AA36-$Z$4 &gt;= AG$5,$AA36 &lt; AG$4),0,
SUM(_xlfn._xlws.FILTER(Table_BangLuong_TyLeTangCa[Tỷ lệ],
(Table_BangLuong_TyLeTangCa[Ngày] = AG$3) *
(Table_BangLuong_TyLeTangCa[Giờ min]&lt;=$AA36) *
(Table_BangLuong_TyLeTangCa[Giờ max]&gt;$AA36)
))))
),
IF(ISBLANK(AG$7),
IF(VLOOKUP(AG$6, Table_ChiPhiNV_Ca[], COUNTA(Table_ChiPhiNV_Ca[[#Headers],[Ca]:[Kết thúc]]),0)&gt; VLOOKUP(AG$6, Table_ChiPhiNV_Ca[], COUNTA(Table_ChiPhiNV_Ca[[#Headers],[Ca]:[Bắt đầu]]),0),
IF($AA36-$Z$4&lt;MAX(AG$4,VLOOKUP(AG$6, Table_ChiPhiNV_Ca[], COUNTA(Table_ChiPhiNV_Ca[[#Headers],[Ca]:[Bắt đầu]]),0)),0,
IF($AA36&gt;MIN(AG$5,VLOOKUP(AG$6, Table_ChiPhiNV_Ca[], COUNTA(Table_ChiPhiNV_Ca[[#Headers],[Ca]:[Kết thúc]]),0)),0,
SUM(_xlfn._xlws.FILTER(Table_BangLuong_TyLeTangCa[Tỷ lệ],
(Table_BangLuong_TyLeTangCa[Ngày] = "Thường") *
(Table_BangLuong_TyLeTangCa[Giờ min]&lt;=$AA36) *
(Table_BangLuong_TyLeTangCa[Giờ max]&gt;$AA36)
)))),
IF(AG$4 &gt; AG$5,
IF(
AND(
$AA36-$Z$4&lt;MAX(AG$4,VLOOKUP(AG$6, Table_ChiPhiNV_Ca[], COUNTA(Table_ChiPhiNV_Ca[[#Headers],[Ca]:[Bắt đầu]]),0)),
$AA36&gt;MIN(AG$5,VLOOKUP(AG$6, Table_ChiPhiNV_Ca[], COUNTA(Table_ChiPhiNV_Ca[[#Headers],[Ca]:[Kết thúc]]),0))),0,
SUM(_xlfn._xlws.FILTER(Table_BangLuong_TyLeTangCa[Tỷ lệ],
(Table_BangLuong_TyLeTangCa[Ngày] = "Thường") *
(Table_BangLuong_TyLeTangCa[Giờ min]&lt;=$AA36) *
(Table_BangLuong_TyLeTangCa[Giờ max]&gt;$AA36)
))),
IF(
AND(
$AA36-$Z$4&gt;=MAX(AG$4,VLOOKUP(AG$6, Table_ChiPhiNV_Ca[], COUNTA(Table_ChiPhiNV_Ca[[#Headers],[Ca]:[Bắt đầu]]),0)),
$AA36&lt;MIN(AG$5,VLOOKUP(AG$6, Table_ChiPhiNV_Ca[], COUNTA(Table_ChiPhiNV_Ca[[#Headers],[Ca]:[Kết thúc]]),0))),
SUM(_xlfn._xlws.FILTER(Table_BangLuong_TyLeTangCa[Tỷ lệ],
(Table_BangLuong_TyLeTangCa[Ngày] = "Thường") *
(Table_BangLuong_TyLeTangCa[Giờ min]&lt;=$AA36) *
(Table_BangLuong_TyLeTangCa[Giờ max]&gt;$AA36)
)),0)
)),
IF(AG$4 &lt; AG$5,
IF($AA36-$Z$4&lt;AG$4,0,
IF($AA36&gt;AG$5,0,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AG$5,$AA36 &lt; AG$4),0,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H36" s="18" cm="1">
        <f t="array" ref="AH36" xml:space="preserve">
IFERROR(
IF(AH$1="",0,
IF(AND(
$AA36&gt;=VLOOKUP(AH$6, Table_ChiPhiNV_Ca[], COUNTA(Table_ChiPhiNV_Ca[[#Headers],[Ca]:[Bắt đầu nghỉ]]),0),
$AA36&lt;VLOOKUP(AH$6, Table_ChiPhiNV_Ca[], COUNTA(Table_ChiPhiNV_Ca[[#Headers],[Ca]:[Kết thúc nghỉ]]),0)
),0,
IF(NOT(ISBLANK(AH$3)),
IF(ISBLANK(AH$7),0,
IF(AH$4 &lt; AH$5,
IF($AA36-$Z$4&lt;AH$4,0,
IF($AA36&gt;AH$5,0,
SUM(_xlfn._xlws.FILTER(Table_BangLuong_TyLeTangCa[Tỷ lệ],
(Table_BangLuong_TyLeTangCa[Ngày] = AH$3) *
(Table_BangLuong_TyLeTangCa[Giờ min]&lt;=$AA36) *
(Table_BangLuong_TyLeTangCa[Giờ max]&gt;$AA36)
)))),
IF(AND($AA36-$Z$4 &gt;= AH$5,$AA36 &lt; AH$4),0,
SUM(_xlfn._xlws.FILTER(Table_BangLuong_TyLeTangCa[Tỷ lệ],
(Table_BangLuong_TyLeTangCa[Ngày] = AH$3) *
(Table_BangLuong_TyLeTangCa[Giờ min]&lt;=$AA36) *
(Table_BangLuong_TyLeTangCa[Giờ max]&gt;$AA36)
))))
),
IF(ISBLANK(AH$7),
IF(VLOOKUP(AH$6, Table_ChiPhiNV_Ca[], COUNTA(Table_ChiPhiNV_Ca[[#Headers],[Ca]:[Kết thúc]]),0)&gt; VLOOKUP(AH$6, Table_ChiPhiNV_Ca[], COUNTA(Table_ChiPhiNV_Ca[[#Headers],[Ca]:[Bắt đầu]]),0),
IF($AA36-$Z$4&lt;MAX(AH$4,VLOOKUP(AH$6, Table_ChiPhiNV_Ca[], COUNTA(Table_ChiPhiNV_Ca[[#Headers],[Ca]:[Bắt đầu]]),0)),0,
IF($AA36&gt;MIN(AH$5,VLOOKUP(AH$6, Table_ChiPhiNV_Ca[], COUNTA(Table_ChiPhiNV_Ca[[#Headers],[Ca]:[Kết thúc]]),0)),0,
SUM(_xlfn._xlws.FILTER(Table_BangLuong_TyLeTangCa[Tỷ lệ],
(Table_BangLuong_TyLeTangCa[Ngày] = "Thường") *
(Table_BangLuong_TyLeTangCa[Giờ min]&lt;=$AA36) *
(Table_BangLuong_TyLeTangCa[Giờ max]&gt;$AA36)
)))),
IF(AH$4 &gt; AH$5,
IF(
AND(
$AA36-$Z$4&lt;MAX(AH$4,VLOOKUP(AH$6, Table_ChiPhiNV_Ca[], COUNTA(Table_ChiPhiNV_Ca[[#Headers],[Ca]:[Bắt đầu]]),0)),
$AA36&gt;MIN(AH$5,VLOOKUP(AH$6, Table_ChiPhiNV_Ca[], COUNTA(Table_ChiPhiNV_Ca[[#Headers],[Ca]:[Kết thúc]]),0))),0,
SUM(_xlfn._xlws.FILTER(Table_BangLuong_TyLeTangCa[Tỷ lệ],
(Table_BangLuong_TyLeTangCa[Ngày] = "Thường") *
(Table_BangLuong_TyLeTangCa[Giờ min]&lt;=$AA36) *
(Table_BangLuong_TyLeTangCa[Giờ max]&gt;$AA36)
))),
IF(
AND(
$AA36-$Z$4&gt;=MAX(AH$4,VLOOKUP(AH$6, Table_ChiPhiNV_Ca[], COUNTA(Table_ChiPhiNV_Ca[[#Headers],[Ca]:[Bắt đầu]]),0)),
$AA36&lt;MIN(AH$5,VLOOKUP(AH$6, Table_ChiPhiNV_Ca[], COUNTA(Table_ChiPhiNV_Ca[[#Headers],[Ca]:[Kết thúc]]),0))),
SUM(_xlfn._xlws.FILTER(Table_BangLuong_TyLeTangCa[Tỷ lệ],
(Table_BangLuong_TyLeTangCa[Ngày] = "Thường") *
(Table_BangLuong_TyLeTangCa[Giờ min]&lt;=$AA36) *
(Table_BangLuong_TyLeTangCa[Giờ max]&gt;$AA36)
)),0)
)),
IF(AH$4 &lt; AH$5,
IF($AA36-$Z$4&lt;AH$4,0,
IF($AA36&gt;AH$5,0,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AH$5,$AA36 &lt; AH$4),0,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I36" s="18" cm="1">
        <f t="array" ref="AI36" xml:space="preserve">
IFERROR(
IF(AI$1="",0,
IF(AND(
$AA36&gt;=VLOOKUP(AI$6, Table_ChiPhiNV_Ca[], COUNTA(Table_ChiPhiNV_Ca[[#Headers],[Ca]:[Bắt đầu nghỉ]]),0),
$AA36&lt;VLOOKUP(AI$6, Table_ChiPhiNV_Ca[], COUNTA(Table_ChiPhiNV_Ca[[#Headers],[Ca]:[Kết thúc nghỉ]]),0)
),0,
IF(NOT(ISBLANK(AI$3)),
IF(ISBLANK(AI$7),0,
IF(AI$4 &lt; AI$5,
IF($AA36-$Z$4&lt;AI$4,0,
IF($AA36&gt;AI$5,0,
SUM(_xlfn._xlws.FILTER(Table_BangLuong_TyLeTangCa[Tỷ lệ],
(Table_BangLuong_TyLeTangCa[Ngày] = AI$3) *
(Table_BangLuong_TyLeTangCa[Giờ min]&lt;=$AA36) *
(Table_BangLuong_TyLeTangCa[Giờ max]&gt;$AA36)
)))),
IF(AND($AA36-$Z$4 &gt;= AI$5,$AA36 &lt; AI$4),0,
SUM(_xlfn._xlws.FILTER(Table_BangLuong_TyLeTangCa[Tỷ lệ],
(Table_BangLuong_TyLeTangCa[Ngày] = AI$3) *
(Table_BangLuong_TyLeTangCa[Giờ min]&lt;=$AA36) *
(Table_BangLuong_TyLeTangCa[Giờ max]&gt;$AA36)
))))
),
IF(ISBLANK(AI$7),
IF(VLOOKUP(AI$6, Table_ChiPhiNV_Ca[], COUNTA(Table_ChiPhiNV_Ca[[#Headers],[Ca]:[Kết thúc]]),0)&gt; VLOOKUP(AI$6, Table_ChiPhiNV_Ca[], COUNTA(Table_ChiPhiNV_Ca[[#Headers],[Ca]:[Bắt đầu]]),0),
IF($AA36-$Z$4&lt;MAX(AI$4,VLOOKUP(AI$6, Table_ChiPhiNV_Ca[], COUNTA(Table_ChiPhiNV_Ca[[#Headers],[Ca]:[Bắt đầu]]),0)),0,
IF($AA36&gt;MIN(AI$5,VLOOKUP(AI$6, Table_ChiPhiNV_Ca[], COUNTA(Table_ChiPhiNV_Ca[[#Headers],[Ca]:[Kết thúc]]),0)),0,
SUM(_xlfn._xlws.FILTER(Table_BangLuong_TyLeTangCa[Tỷ lệ],
(Table_BangLuong_TyLeTangCa[Ngày] = "Thường") *
(Table_BangLuong_TyLeTangCa[Giờ min]&lt;=$AA36) *
(Table_BangLuong_TyLeTangCa[Giờ max]&gt;$AA36)
)))),
IF(AI$4 &gt; AI$5,
IF(
AND(
$AA36-$Z$4&lt;MAX(AI$4,VLOOKUP(AI$6, Table_ChiPhiNV_Ca[], COUNTA(Table_ChiPhiNV_Ca[[#Headers],[Ca]:[Bắt đầu]]),0)),
$AA36&gt;MIN(AI$5,VLOOKUP(AI$6, Table_ChiPhiNV_Ca[], COUNTA(Table_ChiPhiNV_Ca[[#Headers],[Ca]:[Kết thúc]]),0))),0,
SUM(_xlfn._xlws.FILTER(Table_BangLuong_TyLeTangCa[Tỷ lệ],
(Table_BangLuong_TyLeTangCa[Ngày] = "Thường") *
(Table_BangLuong_TyLeTangCa[Giờ min]&lt;=$AA36) *
(Table_BangLuong_TyLeTangCa[Giờ max]&gt;$AA36)
))),
IF(
AND(
$AA36-$Z$4&gt;=MAX(AI$4,VLOOKUP(AI$6, Table_ChiPhiNV_Ca[], COUNTA(Table_ChiPhiNV_Ca[[#Headers],[Ca]:[Bắt đầu]]),0)),
$AA36&lt;MIN(AI$5,VLOOKUP(AI$6, Table_ChiPhiNV_Ca[], COUNTA(Table_ChiPhiNV_Ca[[#Headers],[Ca]:[Kết thúc]]),0))),
SUM(_xlfn._xlws.FILTER(Table_BangLuong_TyLeTangCa[Tỷ lệ],
(Table_BangLuong_TyLeTangCa[Ngày] = "Thường") *
(Table_BangLuong_TyLeTangCa[Giờ min]&lt;=$AA36) *
(Table_BangLuong_TyLeTangCa[Giờ max]&gt;$AA36)
)),0)
)),
IF(AI$4 &lt; AI$5,
IF($AA36-$Z$4&lt;AI$4,0,
IF($AA36&gt;AI$5,0,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AI$5,$AA36 &lt; AI$4),0,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J36" s="18" cm="1">
        <f t="array" ref="AJ36" xml:space="preserve">
IFERROR(
IF(AJ$1="",0,
IF(AND(
$AA36&gt;=VLOOKUP(AJ$6, Table_ChiPhiNV_Ca[], COUNTA(Table_ChiPhiNV_Ca[[#Headers],[Ca]:[Bắt đầu nghỉ]]),0),
$AA36&lt;VLOOKUP(AJ$6, Table_ChiPhiNV_Ca[], COUNTA(Table_ChiPhiNV_Ca[[#Headers],[Ca]:[Kết thúc nghỉ]]),0)
),0,
IF(NOT(ISBLANK(AJ$3)),
IF(ISBLANK(AJ$7),0,
IF(AJ$4 &lt; AJ$5,
IF($AA36-$Z$4&lt;AJ$4,0,
IF($AA36&gt;AJ$5,0,
SUM(_xlfn._xlws.FILTER(Table_BangLuong_TyLeTangCa[Tỷ lệ],
(Table_BangLuong_TyLeTangCa[Ngày] = AJ$3) *
(Table_BangLuong_TyLeTangCa[Giờ min]&lt;=$AA36) *
(Table_BangLuong_TyLeTangCa[Giờ max]&gt;$AA36)
)))),
IF(AND($AA36-$Z$4 &gt;= AJ$5,$AA36 &lt; AJ$4),0,
SUM(_xlfn._xlws.FILTER(Table_BangLuong_TyLeTangCa[Tỷ lệ],
(Table_BangLuong_TyLeTangCa[Ngày] = AJ$3) *
(Table_BangLuong_TyLeTangCa[Giờ min]&lt;=$AA36) *
(Table_BangLuong_TyLeTangCa[Giờ max]&gt;$AA36)
))))
),
IF(ISBLANK(AJ$7),
IF(VLOOKUP(AJ$6, Table_ChiPhiNV_Ca[], COUNTA(Table_ChiPhiNV_Ca[[#Headers],[Ca]:[Kết thúc]]),0)&gt; VLOOKUP(AJ$6, Table_ChiPhiNV_Ca[], COUNTA(Table_ChiPhiNV_Ca[[#Headers],[Ca]:[Bắt đầu]]),0),
IF($AA36-$Z$4&lt;MAX(AJ$4,VLOOKUP(AJ$6, Table_ChiPhiNV_Ca[], COUNTA(Table_ChiPhiNV_Ca[[#Headers],[Ca]:[Bắt đầu]]),0)),0,
IF($AA36&gt;MIN(AJ$5,VLOOKUP(AJ$6, Table_ChiPhiNV_Ca[], COUNTA(Table_ChiPhiNV_Ca[[#Headers],[Ca]:[Kết thúc]]),0)),0,
SUM(_xlfn._xlws.FILTER(Table_BangLuong_TyLeTangCa[Tỷ lệ],
(Table_BangLuong_TyLeTangCa[Ngày] = "Thường") *
(Table_BangLuong_TyLeTangCa[Giờ min]&lt;=$AA36) *
(Table_BangLuong_TyLeTangCa[Giờ max]&gt;$AA36)
)))),
IF(AJ$4 &gt; AJ$5,
IF(
AND(
$AA36-$Z$4&lt;MAX(AJ$4,VLOOKUP(AJ$6, Table_ChiPhiNV_Ca[], COUNTA(Table_ChiPhiNV_Ca[[#Headers],[Ca]:[Bắt đầu]]),0)),
$AA36&gt;MIN(AJ$5,VLOOKUP(AJ$6, Table_ChiPhiNV_Ca[], COUNTA(Table_ChiPhiNV_Ca[[#Headers],[Ca]:[Kết thúc]]),0))),0,
SUM(_xlfn._xlws.FILTER(Table_BangLuong_TyLeTangCa[Tỷ lệ],
(Table_BangLuong_TyLeTangCa[Ngày] = "Thường") *
(Table_BangLuong_TyLeTangCa[Giờ min]&lt;=$AA36) *
(Table_BangLuong_TyLeTangCa[Giờ max]&gt;$AA36)
))),
IF(
AND(
$AA36-$Z$4&gt;=MAX(AJ$4,VLOOKUP(AJ$6, Table_ChiPhiNV_Ca[], COUNTA(Table_ChiPhiNV_Ca[[#Headers],[Ca]:[Bắt đầu]]),0)),
$AA36&lt;MIN(AJ$5,VLOOKUP(AJ$6, Table_ChiPhiNV_Ca[], COUNTA(Table_ChiPhiNV_Ca[[#Headers],[Ca]:[Kết thúc]]),0))),
SUM(_xlfn._xlws.FILTER(Table_BangLuong_TyLeTangCa[Tỷ lệ],
(Table_BangLuong_TyLeTangCa[Ngày] = "Thường") *
(Table_BangLuong_TyLeTangCa[Giờ min]&lt;=$AA36) *
(Table_BangLuong_TyLeTangCa[Giờ max]&gt;$AA36)
)),0)
)),
IF(AJ$4 &lt; AJ$5,
IF($AA36-$Z$4&lt;AJ$4,0,
IF($AA36&gt;AJ$5,0,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AJ$5,$AA36 &lt; AJ$4),0,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K36" s="18" cm="1">
        <f t="array" ref="AK36" xml:space="preserve">
IFERROR(
IF(AK$1="",0,
IF(AND(
$AA36&gt;=VLOOKUP(AK$6, Table_ChiPhiNV_Ca[], COUNTA(Table_ChiPhiNV_Ca[[#Headers],[Ca]:[Bắt đầu nghỉ]]),0),
$AA36&lt;VLOOKUP(AK$6, Table_ChiPhiNV_Ca[], COUNTA(Table_ChiPhiNV_Ca[[#Headers],[Ca]:[Kết thúc nghỉ]]),0)
),0,
IF(NOT(ISBLANK(AK$3)),
IF(ISBLANK(AK$7),0,
IF(AK$4 &lt; AK$5,
IF($AA36-$Z$4&lt;AK$4,0,
IF($AA36&gt;AK$5,0,
SUM(_xlfn._xlws.FILTER(Table_BangLuong_TyLeTangCa[Tỷ lệ],
(Table_BangLuong_TyLeTangCa[Ngày] = AK$3) *
(Table_BangLuong_TyLeTangCa[Giờ min]&lt;=$AA36) *
(Table_BangLuong_TyLeTangCa[Giờ max]&gt;$AA36)
)))),
IF(AND($AA36-$Z$4 &gt;= AK$5,$AA36 &lt; AK$4),0,
SUM(_xlfn._xlws.FILTER(Table_BangLuong_TyLeTangCa[Tỷ lệ],
(Table_BangLuong_TyLeTangCa[Ngày] = AK$3) *
(Table_BangLuong_TyLeTangCa[Giờ min]&lt;=$AA36) *
(Table_BangLuong_TyLeTangCa[Giờ max]&gt;$AA36)
))))
),
IF(ISBLANK(AK$7),
IF(VLOOKUP(AK$6, Table_ChiPhiNV_Ca[], COUNTA(Table_ChiPhiNV_Ca[[#Headers],[Ca]:[Kết thúc]]),0)&gt; VLOOKUP(AK$6, Table_ChiPhiNV_Ca[], COUNTA(Table_ChiPhiNV_Ca[[#Headers],[Ca]:[Bắt đầu]]),0),
IF($AA36-$Z$4&lt;MAX(AK$4,VLOOKUP(AK$6, Table_ChiPhiNV_Ca[], COUNTA(Table_ChiPhiNV_Ca[[#Headers],[Ca]:[Bắt đầu]]),0)),0,
IF($AA36&gt;MIN(AK$5,VLOOKUP(AK$6, Table_ChiPhiNV_Ca[], COUNTA(Table_ChiPhiNV_Ca[[#Headers],[Ca]:[Kết thúc]]),0)),0,
SUM(_xlfn._xlws.FILTER(Table_BangLuong_TyLeTangCa[Tỷ lệ],
(Table_BangLuong_TyLeTangCa[Ngày] = "Thường") *
(Table_BangLuong_TyLeTangCa[Giờ min]&lt;=$AA36) *
(Table_BangLuong_TyLeTangCa[Giờ max]&gt;$AA36)
)))),
IF(AK$4 &gt; AK$5,
IF(
AND(
$AA36-$Z$4&lt;MAX(AK$4,VLOOKUP(AK$6, Table_ChiPhiNV_Ca[], COUNTA(Table_ChiPhiNV_Ca[[#Headers],[Ca]:[Bắt đầu]]),0)),
$AA36&gt;MIN(AK$5,VLOOKUP(AK$6, Table_ChiPhiNV_Ca[], COUNTA(Table_ChiPhiNV_Ca[[#Headers],[Ca]:[Kết thúc]]),0))),0,
SUM(_xlfn._xlws.FILTER(Table_BangLuong_TyLeTangCa[Tỷ lệ],
(Table_BangLuong_TyLeTangCa[Ngày] = "Thường") *
(Table_BangLuong_TyLeTangCa[Giờ min]&lt;=$AA36) *
(Table_BangLuong_TyLeTangCa[Giờ max]&gt;$AA36)
))),
IF(
AND(
$AA36-$Z$4&gt;=MAX(AK$4,VLOOKUP(AK$6, Table_ChiPhiNV_Ca[], COUNTA(Table_ChiPhiNV_Ca[[#Headers],[Ca]:[Bắt đầu]]),0)),
$AA36&lt;MIN(AK$5,VLOOKUP(AK$6, Table_ChiPhiNV_Ca[], COUNTA(Table_ChiPhiNV_Ca[[#Headers],[Ca]:[Kết thúc]]),0))),
SUM(_xlfn._xlws.FILTER(Table_BangLuong_TyLeTangCa[Tỷ lệ],
(Table_BangLuong_TyLeTangCa[Ngày] = "Thường") *
(Table_BangLuong_TyLeTangCa[Giờ min]&lt;=$AA36) *
(Table_BangLuong_TyLeTangCa[Giờ max]&gt;$AA36)
)),0)
)),
IF(AK$4 &lt; AK$5,
IF($AA36-$Z$4&lt;AK$4,0,
IF($AA36&gt;AK$5,0,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AK$5,$AA36 &lt; AK$4),0,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L36" s="18" cm="1">
        <f t="array" ref="AL36" xml:space="preserve">
IFERROR(
IF(AL$1="",0,
IF(AND(
$AA36&gt;=VLOOKUP(AL$6, Table_ChiPhiNV_Ca[], COUNTA(Table_ChiPhiNV_Ca[[#Headers],[Ca]:[Bắt đầu nghỉ]]),0),
$AA36&lt;VLOOKUP(AL$6, Table_ChiPhiNV_Ca[], COUNTA(Table_ChiPhiNV_Ca[[#Headers],[Ca]:[Kết thúc nghỉ]]),0)
),0,
IF(NOT(ISBLANK(AL$3)),
IF(ISBLANK(AL$7),0,
IF(AL$4 &lt; AL$5,
IF($AA36-$Z$4&lt;AL$4,0,
IF($AA36&gt;AL$5,0,
SUM(_xlfn._xlws.FILTER(Table_BangLuong_TyLeTangCa[Tỷ lệ],
(Table_BangLuong_TyLeTangCa[Ngày] = AL$3) *
(Table_BangLuong_TyLeTangCa[Giờ min]&lt;=$AA36) *
(Table_BangLuong_TyLeTangCa[Giờ max]&gt;$AA36)
)))),
IF(AND($AA36-$Z$4 &gt;= AL$5,$AA36 &lt; AL$4),0,
SUM(_xlfn._xlws.FILTER(Table_BangLuong_TyLeTangCa[Tỷ lệ],
(Table_BangLuong_TyLeTangCa[Ngày] = AL$3) *
(Table_BangLuong_TyLeTangCa[Giờ min]&lt;=$AA36) *
(Table_BangLuong_TyLeTangCa[Giờ max]&gt;$AA36)
))))
),
IF(ISBLANK(AL$7),
IF(VLOOKUP(AL$6, Table_ChiPhiNV_Ca[], COUNTA(Table_ChiPhiNV_Ca[[#Headers],[Ca]:[Kết thúc]]),0)&gt; VLOOKUP(AL$6, Table_ChiPhiNV_Ca[], COUNTA(Table_ChiPhiNV_Ca[[#Headers],[Ca]:[Bắt đầu]]),0),
IF($AA36-$Z$4&lt;MAX(AL$4,VLOOKUP(AL$6, Table_ChiPhiNV_Ca[], COUNTA(Table_ChiPhiNV_Ca[[#Headers],[Ca]:[Bắt đầu]]),0)),0,
IF($AA36&gt;MIN(AL$5,VLOOKUP(AL$6, Table_ChiPhiNV_Ca[], COUNTA(Table_ChiPhiNV_Ca[[#Headers],[Ca]:[Kết thúc]]),0)),0,
SUM(_xlfn._xlws.FILTER(Table_BangLuong_TyLeTangCa[Tỷ lệ],
(Table_BangLuong_TyLeTangCa[Ngày] = "Thường") *
(Table_BangLuong_TyLeTangCa[Giờ min]&lt;=$AA36) *
(Table_BangLuong_TyLeTangCa[Giờ max]&gt;$AA36)
)))),
IF(AL$4 &gt; AL$5,
IF(
AND(
$AA36-$Z$4&lt;MAX(AL$4,VLOOKUP(AL$6, Table_ChiPhiNV_Ca[], COUNTA(Table_ChiPhiNV_Ca[[#Headers],[Ca]:[Bắt đầu]]),0)),
$AA36&gt;MIN(AL$5,VLOOKUP(AL$6, Table_ChiPhiNV_Ca[], COUNTA(Table_ChiPhiNV_Ca[[#Headers],[Ca]:[Kết thúc]]),0))),0,
SUM(_xlfn._xlws.FILTER(Table_BangLuong_TyLeTangCa[Tỷ lệ],
(Table_BangLuong_TyLeTangCa[Ngày] = "Thường") *
(Table_BangLuong_TyLeTangCa[Giờ min]&lt;=$AA36) *
(Table_BangLuong_TyLeTangCa[Giờ max]&gt;$AA36)
))),
IF(
AND(
$AA36-$Z$4&gt;=MAX(AL$4,VLOOKUP(AL$6, Table_ChiPhiNV_Ca[], COUNTA(Table_ChiPhiNV_Ca[[#Headers],[Ca]:[Bắt đầu]]),0)),
$AA36&lt;MIN(AL$5,VLOOKUP(AL$6, Table_ChiPhiNV_Ca[], COUNTA(Table_ChiPhiNV_Ca[[#Headers],[Ca]:[Kết thúc]]),0))),
SUM(_xlfn._xlws.FILTER(Table_BangLuong_TyLeTangCa[Tỷ lệ],
(Table_BangLuong_TyLeTangCa[Ngày] = "Thường") *
(Table_BangLuong_TyLeTangCa[Giờ min]&lt;=$AA36) *
(Table_BangLuong_TyLeTangCa[Giờ max]&gt;$AA36)
)),0)
)),
IF(AL$4 &lt; AL$5,
IF($AA36-$Z$4&lt;AL$4,0,
IF($AA36&gt;AL$5,0,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AL$5,$AA36 &lt; AL$4),0,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M36" s="18" cm="1">
        <f t="array" ref="AM36" xml:space="preserve">
IFERROR(
IF(AM$1="",0,
IF(AND(
$AA36&gt;=VLOOKUP(AM$6, Table_ChiPhiNV_Ca[], COUNTA(Table_ChiPhiNV_Ca[[#Headers],[Ca]:[Bắt đầu nghỉ]]),0),
$AA36&lt;VLOOKUP(AM$6, Table_ChiPhiNV_Ca[], COUNTA(Table_ChiPhiNV_Ca[[#Headers],[Ca]:[Kết thúc nghỉ]]),0)
),0,
IF(NOT(ISBLANK(AM$3)),
IF(ISBLANK(AM$7),0,
IF(AM$4 &lt; AM$5,
IF($AA36-$Z$4&lt;AM$4,0,
IF($AA36&gt;AM$5,0,
SUM(_xlfn._xlws.FILTER(Table_BangLuong_TyLeTangCa[Tỷ lệ],
(Table_BangLuong_TyLeTangCa[Ngày] = AM$3) *
(Table_BangLuong_TyLeTangCa[Giờ min]&lt;=$AA36) *
(Table_BangLuong_TyLeTangCa[Giờ max]&gt;$AA36)
)))),
IF(AND($AA36-$Z$4 &gt;= AM$5,$AA36 &lt; AM$4),0,
SUM(_xlfn._xlws.FILTER(Table_BangLuong_TyLeTangCa[Tỷ lệ],
(Table_BangLuong_TyLeTangCa[Ngày] = AM$3) *
(Table_BangLuong_TyLeTangCa[Giờ min]&lt;=$AA36) *
(Table_BangLuong_TyLeTangCa[Giờ max]&gt;$AA36)
))))
),
IF(ISBLANK(AM$7),
IF(VLOOKUP(AM$6, Table_ChiPhiNV_Ca[], COUNTA(Table_ChiPhiNV_Ca[[#Headers],[Ca]:[Kết thúc]]),0)&gt; VLOOKUP(AM$6, Table_ChiPhiNV_Ca[], COUNTA(Table_ChiPhiNV_Ca[[#Headers],[Ca]:[Bắt đầu]]),0),
IF($AA36-$Z$4&lt;MAX(AM$4,VLOOKUP(AM$6, Table_ChiPhiNV_Ca[], COUNTA(Table_ChiPhiNV_Ca[[#Headers],[Ca]:[Bắt đầu]]),0)),0,
IF($AA36&gt;MIN(AM$5,VLOOKUP(AM$6, Table_ChiPhiNV_Ca[], COUNTA(Table_ChiPhiNV_Ca[[#Headers],[Ca]:[Kết thúc]]),0)),0,
SUM(_xlfn._xlws.FILTER(Table_BangLuong_TyLeTangCa[Tỷ lệ],
(Table_BangLuong_TyLeTangCa[Ngày] = "Thường") *
(Table_BangLuong_TyLeTangCa[Giờ min]&lt;=$AA36) *
(Table_BangLuong_TyLeTangCa[Giờ max]&gt;$AA36)
)))),
IF(AM$4 &gt; AM$5,
IF(
AND(
$AA36-$Z$4&lt;MAX(AM$4,VLOOKUP(AM$6, Table_ChiPhiNV_Ca[], COUNTA(Table_ChiPhiNV_Ca[[#Headers],[Ca]:[Bắt đầu]]),0)),
$AA36&gt;MIN(AM$5,VLOOKUP(AM$6, Table_ChiPhiNV_Ca[], COUNTA(Table_ChiPhiNV_Ca[[#Headers],[Ca]:[Kết thúc]]),0))),0,
SUM(_xlfn._xlws.FILTER(Table_BangLuong_TyLeTangCa[Tỷ lệ],
(Table_BangLuong_TyLeTangCa[Ngày] = "Thường") *
(Table_BangLuong_TyLeTangCa[Giờ min]&lt;=$AA36) *
(Table_BangLuong_TyLeTangCa[Giờ max]&gt;$AA36)
))),
IF(
AND(
$AA36-$Z$4&gt;=MAX(AM$4,VLOOKUP(AM$6, Table_ChiPhiNV_Ca[], COUNTA(Table_ChiPhiNV_Ca[[#Headers],[Ca]:[Bắt đầu]]),0)),
$AA36&lt;MIN(AM$5,VLOOKUP(AM$6, Table_ChiPhiNV_Ca[], COUNTA(Table_ChiPhiNV_Ca[[#Headers],[Ca]:[Kết thúc]]),0))),
SUM(_xlfn._xlws.FILTER(Table_BangLuong_TyLeTangCa[Tỷ lệ],
(Table_BangLuong_TyLeTangCa[Ngày] = "Thường") *
(Table_BangLuong_TyLeTangCa[Giờ min]&lt;=$AA36) *
(Table_BangLuong_TyLeTangCa[Giờ max]&gt;$AA36)
)),0)
)),
IF(AM$4 &lt; AM$5,
IF($AA36-$Z$4&lt;AM$4,0,
IF($AA36&gt;AM$5,0,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AM$5,$AA36 &lt; AM$4),0,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N36" s="18" cm="1">
        <f t="array" ref="AN36" xml:space="preserve">
IFERROR(
IF(AN$1="",0,
IF(AND(
$AA36&gt;=VLOOKUP(AN$6, Table_ChiPhiNV_Ca[], COUNTA(Table_ChiPhiNV_Ca[[#Headers],[Ca]:[Bắt đầu nghỉ]]),0),
$AA36&lt;VLOOKUP(AN$6, Table_ChiPhiNV_Ca[], COUNTA(Table_ChiPhiNV_Ca[[#Headers],[Ca]:[Kết thúc nghỉ]]),0)
),0,
IF(NOT(ISBLANK(AN$3)),
IF(ISBLANK(AN$7),0,
IF(AN$4 &lt; AN$5,
IF($AA36-$Z$4&lt;AN$4,0,
IF($AA36&gt;AN$5,0,
SUM(_xlfn._xlws.FILTER(Table_BangLuong_TyLeTangCa[Tỷ lệ],
(Table_BangLuong_TyLeTangCa[Ngày] = AN$3) *
(Table_BangLuong_TyLeTangCa[Giờ min]&lt;=$AA36) *
(Table_BangLuong_TyLeTangCa[Giờ max]&gt;$AA36)
)))),
IF(AND($AA36-$Z$4 &gt;= AN$5,$AA36 &lt; AN$4),0,
SUM(_xlfn._xlws.FILTER(Table_BangLuong_TyLeTangCa[Tỷ lệ],
(Table_BangLuong_TyLeTangCa[Ngày] = AN$3) *
(Table_BangLuong_TyLeTangCa[Giờ min]&lt;=$AA36) *
(Table_BangLuong_TyLeTangCa[Giờ max]&gt;$AA36)
))))
),
IF(ISBLANK(AN$7),
IF(VLOOKUP(AN$6, Table_ChiPhiNV_Ca[], COUNTA(Table_ChiPhiNV_Ca[[#Headers],[Ca]:[Kết thúc]]),0)&gt; VLOOKUP(AN$6, Table_ChiPhiNV_Ca[], COUNTA(Table_ChiPhiNV_Ca[[#Headers],[Ca]:[Bắt đầu]]),0),
IF($AA36-$Z$4&lt;MAX(AN$4,VLOOKUP(AN$6, Table_ChiPhiNV_Ca[], COUNTA(Table_ChiPhiNV_Ca[[#Headers],[Ca]:[Bắt đầu]]),0)),0,
IF($AA36&gt;MIN(AN$5,VLOOKUP(AN$6, Table_ChiPhiNV_Ca[], COUNTA(Table_ChiPhiNV_Ca[[#Headers],[Ca]:[Kết thúc]]),0)),0,
SUM(_xlfn._xlws.FILTER(Table_BangLuong_TyLeTangCa[Tỷ lệ],
(Table_BangLuong_TyLeTangCa[Ngày] = "Thường") *
(Table_BangLuong_TyLeTangCa[Giờ min]&lt;=$AA36) *
(Table_BangLuong_TyLeTangCa[Giờ max]&gt;$AA36)
)))),
IF(AN$4 &gt; AN$5,
IF(
AND(
$AA36-$Z$4&lt;MAX(AN$4,VLOOKUP(AN$6, Table_ChiPhiNV_Ca[], COUNTA(Table_ChiPhiNV_Ca[[#Headers],[Ca]:[Bắt đầu]]),0)),
$AA36&gt;MIN(AN$5,VLOOKUP(AN$6, Table_ChiPhiNV_Ca[], COUNTA(Table_ChiPhiNV_Ca[[#Headers],[Ca]:[Kết thúc]]),0))),0,
SUM(_xlfn._xlws.FILTER(Table_BangLuong_TyLeTangCa[Tỷ lệ],
(Table_BangLuong_TyLeTangCa[Ngày] = "Thường") *
(Table_BangLuong_TyLeTangCa[Giờ min]&lt;=$AA36) *
(Table_BangLuong_TyLeTangCa[Giờ max]&gt;$AA36)
))),
IF(
AND(
$AA36-$Z$4&gt;=MAX(AN$4,VLOOKUP(AN$6, Table_ChiPhiNV_Ca[], COUNTA(Table_ChiPhiNV_Ca[[#Headers],[Ca]:[Bắt đầu]]),0)),
$AA36&lt;MIN(AN$5,VLOOKUP(AN$6, Table_ChiPhiNV_Ca[], COUNTA(Table_ChiPhiNV_Ca[[#Headers],[Ca]:[Kết thúc]]),0))),
SUM(_xlfn._xlws.FILTER(Table_BangLuong_TyLeTangCa[Tỷ lệ],
(Table_BangLuong_TyLeTangCa[Ngày] = "Thường") *
(Table_BangLuong_TyLeTangCa[Giờ min]&lt;=$AA36) *
(Table_BangLuong_TyLeTangCa[Giờ max]&gt;$AA36)
)),0)
)),
IF(AN$4 &lt; AN$5,
IF($AA36-$Z$4&lt;AN$4,0,
IF($AA36&gt;AN$5,0,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AN$5,$AA36 &lt; AN$4),0,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O36" s="18" cm="1">
        <f t="array" ref="AO36" xml:space="preserve">
IFERROR(
IF(AO$1="",0,
IF(AND(
$AA36&gt;=VLOOKUP(AO$6, Table_ChiPhiNV_Ca[], COUNTA(Table_ChiPhiNV_Ca[[#Headers],[Ca]:[Bắt đầu nghỉ]]),0),
$AA36&lt;VLOOKUP(AO$6, Table_ChiPhiNV_Ca[], COUNTA(Table_ChiPhiNV_Ca[[#Headers],[Ca]:[Kết thúc nghỉ]]),0)
),0,
IF(NOT(ISBLANK(AO$3)),
IF(ISBLANK(AO$7),0,
IF(AO$4 &lt; AO$5,
IF($AA36-$Z$4&lt;AO$4,0,
IF($AA36&gt;AO$5,0,
SUM(_xlfn._xlws.FILTER(Table_BangLuong_TyLeTangCa[Tỷ lệ],
(Table_BangLuong_TyLeTangCa[Ngày] = AO$3) *
(Table_BangLuong_TyLeTangCa[Giờ min]&lt;=$AA36) *
(Table_BangLuong_TyLeTangCa[Giờ max]&gt;$AA36)
)))),
IF(AND($AA36-$Z$4 &gt;= AO$5,$AA36 &lt; AO$4),0,
SUM(_xlfn._xlws.FILTER(Table_BangLuong_TyLeTangCa[Tỷ lệ],
(Table_BangLuong_TyLeTangCa[Ngày] = AO$3) *
(Table_BangLuong_TyLeTangCa[Giờ min]&lt;=$AA36) *
(Table_BangLuong_TyLeTangCa[Giờ max]&gt;$AA36)
))))
),
IF(ISBLANK(AO$7),
IF(VLOOKUP(AO$6, Table_ChiPhiNV_Ca[], COUNTA(Table_ChiPhiNV_Ca[[#Headers],[Ca]:[Kết thúc]]),0)&gt; VLOOKUP(AO$6, Table_ChiPhiNV_Ca[], COUNTA(Table_ChiPhiNV_Ca[[#Headers],[Ca]:[Bắt đầu]]),0),
IF($AA36-$Z$4&lt;MAX(AO$4,VLOOKUP(AO$6, Table_ChiPhiNV_Ca[], COUNTA(Table_ChiPhiNV_Ca[[#Headers],[Ca]:[Bắt đầu]]),0)),0,
IF($AA36&gt;MIN(AO$5,VLOOKUP(AO$6, Table_ChiPhiNV_Ca[], COUNTA(Table_ChiPhiNV_Ca[[#Headers],[Ca]:[Kết thúc]]),0)),0,
SUM(_xlfn._xlws.FILTER(Table_BangLuong_TyLeTangCa[Tỷ lệ],
(Table_BangLuong_TyLeTangCa[Ngày] = "Thường") *
(Table_BangLuong_TyLeTangCa[Giờ min]&lt;=$AA36) *
(Table_BangLuong_TyLeTangCa[Giờ max]&gt;$AA36)
)))),
IF(AO$4 &gt; AO$5,
IF(
AND(
$AA36-$Z$4&lt;MAX(AO$4,VLOOKUP(AO$6, Table_ChiPhiNV_Ca[], COUNTA(Table_ChiPhiNV_Ca[[#Headers],[Ca]:[Bắt đầu]]),0)),
$AA36&gt;MIN(AO$5,VLOOKUP(AO$6, Table_ChiPhiNV_Ca[], COUNTA(Table_ChiPhiNV_Ca[[#Headers],[Ca]:[Kết thúc]]),0))),0,
SUM(_xlfn._xlws.FILTER(Table_BangLuong_TyLeTangCa[Tỷ lệ],
(Table_BangLuong_TyLeTangCa[Ngày] = "Thường") *
(Table_BangLuong_TyLeTangCa[Giờ min]&lt;=$AA36) *
(Table_BangLuong_TyLeTangCa[Giờ max]&gt;$AA36)
))),
IF(
AND(
$AA36-$Z$4&gt;=MAX(AO$4,VLOOKUP(AO$6, Table_ChiPhiNV_Ca[], COUNTA(Table_ChiPhiNV_Ca[[#Headers],[Ca]:[Bắt đầu]]),0)),
$AA36&lt;MIN(AO$5,VLOOKUP(AO$6, Table_ChiPhiNV_Ca[], COUNTA(Table_ChiPhiNV_Ca[[#Headers],[Ca]:[Kết thúc]]),0))),
SUM(_xlfn._xlws.FILTER(Table_BangLuong_TyLeTangCa[Tỷ lệ],
(Table_BangLuong_TyLeTangCa[Ngày] = "Thường") *
(Table_BangLuong_TyLeTangCa[Giờ min]&lt;=$AA36) *
(Table_BangLuong_TyLeTangCa[Giờ max]&gt;$AA36)
)),0)
)),
IF(AO$4 &lt; AO$5,
IF($AA36-$Z$4&lt;AO$4,0,
IF($AA36&gt;AO$5,0,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AO$5,$AA36 &lt; AO$4),0,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P36" s="18" cm="1">
        <f t="array" ref="AP36" xml:space="preserve">
IFERROR(
IF(AP$1="",0,
IF(AND(
$AA36&gt;=VLOOKUP(AP$6, Table_ChiPhiNV_Ca[], COUNTA(Table_ChiPhiNV_Ca[[#Headers],[Ca]:[Bắt đầu nghỉ]]),0),
$AA36&lt;VLOOKUP(AP$6, Table_ChiPhiNV_Ca[], COUNTA(Table_ChiPhiNV_Ca[[#Headers],[Ca]:[Kết thúc nghỉ]]),0)
),0,
IF(NOT(ISBLANK(AP$3)),
IF(ISBLANK(AP$7),0,
IF(AP$4 &lt; AP$5,
IF($AA36-$Z$4&lt;AP$4,0,
IF($AA36&gt;AP$5,0,
SUM(_xlfn._xlws.FILTER(Table_BangLuong_TyLeTangCa[Tỷ lệ],
(Table_BangLuong_TyLeTangCa[Ngày] = AP$3) *
(Table_BangLuong_TyLeTangCa[Giờ min]&lt;=$AA36) *
(Table_BangLuong_TyLeTangCa[Giờ max]&gt;$AA36)
)))),
IF(AND($AA36-$Z$4 &gt;= AP$5,$AA36 &lt; AP$4),0,
SUM(_xlfn._xlws.FILTER(Table_BangLuong_TyLeTangCa[Tỷ lệ],
(Table_BangLuong_TyLeTangCa[Ngày] = AP$3) *
(Table_BangLuong_TyLeTangCa[Giờ min]&lt;=$AA36) *
(Table_BangLuong_TyLeTangCa[Giờ max]&gt;$AA36)
))))
),
IF(ISBLANK(AP$7),
IF(VLOOKUP(AP$6, Table_ChiPhiNV_Ca[], COUNTA(Table_ChiPhiNV_Ca[[#Headers],[Ca]:[Kết thúc]]),0)&gt; VLOOKUP(AP$6, Table_ChiPhiNV_Ca[], COUNTA(Table_ChiPhiNV_Ca[[#Headers],[Ca]:[Bắt đầu]]),0),
IF($AA36-$Z$4&lt;MAX(AP$4,VLOOKUP(AP$6, Table_ChiPhiNV_Ca[], COUNTA(Table_ChiPhiNV_Ca[[#Headers],[Ca]:[Bắt đầu]]),0)),0,
IF($AA36&gt;MIN(AP$5,VLOOKUP(AP$6, Table_ChiPhiNV_Ca[], COUNTA(Table_ChiPhiNV_Ca[[#Headers],[Ca]:[Kết thúc]]),0)),0,
SUM(_xlfn._xlws.FILTER(Table_BangLuong_TyLeTangCa[Tỷ lệ],
(Table_BangLuong_TyLeTangCa[Ngày] = "Thường") *
(Table_BangLuong_TyLeTangCa[Giờ min]&lt;=$AA36) *
(Table_BangLuong_TyLeTangCa[Giờ max]&gt;$AA36)
)))),
IF(AP$4 &gt; AP$5,
IF(
AND(
$AA36-$Z$4&lt;MAX(AP$4,VLOOKUP(AP$6, Table_ChiPhiNV_Ca[], COUNTA(Table_ChiPhiNV_Ca[[#Headers],[Ca]:[Bắt đầu]]),0)),
$AA36&gt;MIN(AP$5,VLOOKUP(AP$6, Table_ChiPhiNV_Ca[], COUNTA(Table_ChiPhiNV_Ca[[#Headers],[Ca]:[Kết thúc]]),0))),0,
SUM(_xlfn._xlws.FILTER(Table_BangLuong_TyLeTangCa[Tỷ lệ],
(Table_BangLuong_TyLeTangCa[Ngày] = "Thường") *
(Table_BangLuong_TyLeTangCa[Giờ min]&lt;=$AA36) *
(Table_BangLuong_TyLeTangCa[Giờ max]&gt;$AA36)
))),
IF(
AND(
$AA36-$Z$4&gt;=MAX(AP$4,VLOOKUP(AP$6, Table_ChiPhiNV_Ca[], COUNTA(Table_ChiPhiNV_Ca[[#Headers],[Ca]:[Bắt đầu]]),0)),
$AA36&lt;MIN(AP$5,VLOOKUP(AP$6, Table_ChiPhiNV_Ca[], COUNTA(Table_ChiPhiNV_Ca[[#Headers],[Ca]:[Kết thúc]]),0))),
SUM(_xlfn._xlws.FILTER(Table_BangLuong_TyLeTangCa[Tỷ lệ],
(Table_BangLuong_TyLeTangCa[Ngày] = "Thường") *
(Table_BangLuong_TyLeTangCa[Giờ min]&lt;=$AA36) *
(Table_BangLuong_TyLeTangCa[Giờ max]&gt;$AA36)
)),0)
)),
IF(AP$4 &lt; AP$5,
IF($AA36-$Z$4&lt;AP$4,0,
IF($AA36&gt;AP$5,0,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AP$5,$AA36 &lt; AP$4),0,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Q36" s="18" cm="1">
        <f t="array" ref="AQ36" xml:space="preserve">
IFERROR(
IF(AQ$1="",0,
IF(AND(
$AA36&gt;=VLOOKUP(AQ$6, Table_ChiPhiNV_Ca[], COUNTA(Table_ChiPhiNV_Ca[[#Headers],[Ca]:[Bắt đầu nghỉ]]),0),
$AA36&lt;VLOOKUP(AQ$6, Table_ChiPhiNV_Ca[], COUNTA(Table_ChiPhiNV_Ca[[#Headers],[Ca]:[Kết thúc nghỉ]]),0)
),0,
IF(NOT(ISBLANK(AQ$3)),
IF(ISBLANK(AQ$7),0,
IF(AQ$4 &lt; AQ$5,
IF($AA36-$Z$4&lt;AQ$4,0,
IF($AA36&gt;AQ$5,0,
SUM(_xlfn._xlws.FILTER(Table_BangLuong_TyLeTangCa[Tỷ lệ],
(Table_BangLuong_TyLeTangCa[Ngày] = AQ$3) *
(Table_BangLuong_TyLeTangCa[Giờ min]&lt;=$AA36) *
(Table_BangLuong_TyLeTangCa[Giờ max]&gt;$AA36)
)))),
IF(AND($AA36-$Z$4 &gt;= AQ$5,$AA36 &lt; AQ$4),0,
SUM(_xlfn._xlws.FILTER(Table_BangLuong_TyLeTangCa[Tỷ lệ],
(Table_BangLuong_TyLeTangCa[Ngày] = AQ$3) *
(Table_BangLuong_TyLeTangCa[Giờ min]&lt;=$AA36) *
(Table_BangLuong_TyLeTangCa[Giờ max]&gt;$AA36)
))))
),
IF(ISBLANK(AQ$7),
IF(VLOOKUP(AQ$6, Table_ChiPhiNV_Ca[], COUNTA(Table_ChiPhiNV_Ca[[#Headers],[Ca]:[Kết thúc]]),0)&gt; VLOOKUP(AQ$6, Table_ChiPhiNV_Ca[], COUNTA(Table_ChiPhiNV_Ca[[#Headers],[Ca]:[Bắt đầu]]),0),
IF($AA36-$Z$4&lt;MAX(AQ$4,VLOOKUP(AQ$6, Table_ChiPhiNV_Ca[], COUNTA(Table_ChiPhiNV_Ca[[#Headers],[Ca]:[Bắt đầu]]),0)),0,
IF($AA36&gt;MIN(AQ$5,VLOOKUP(AQ$6, Table_ChiPhiNV_Ca[], COUNTA(Table_ChiPhiNV_Ca[[#Headers],[Ca]:[Kết thúc]]),0)),0,
SUM(_xlfn._xlws.FILTER(Table_BangLuong_TyLeTangCa[Tỷ lệ],
(Table_BangLuong_TyLeTangCa[Ngày] = "Thường") *
(Table_BangLuong_TyLeTangCa[Giờ min]&lt;=$AA36) *
(Table_BangLuong_TyLeTangCa[Giờ max]&gt;$AA36)
)))),
IF(AQ$4 &gt; AQ$5,
IF(
AND(
$AA36-$Z$4&lt;MAX(AQ$4,VLOOKUP(AQ$6, Table_ChiPhiNV_Ca[], COUNTA(Table_ChiPhiNV_Ca[[#Headers],[Ca]:[Bắt đầu]]),0)),
$AA36&gt;MIN(AQ$5,VLOOKUP(AQ$6, Table_ChiPhiNV_Ca[], COUNTA(Table_ChiPhiNV_Ca[[#Headers],[Ca]:[Kết thúc]]),0))),0,
SUM(_xlfn._xlws.FILTER(Table_BangLuong_TyLeTangCa[Tỷ lệ],
(Table_BangLuong_TyLeTangCa[Ngày] = "Thường") *
(Table_BangLuong_TyLeTangCa[Giờ min]&lt;=$AA36) *
(Table_BangLuong_TyLeTangCa[Giờ max]&gt;$AA36)
))),
IF(
AND(
$AA36-$Z$4&gt;=MAX(AQ$4,VLOOKUP(AQ$6, Table_ChiPhiNV_Ca[], COUNTA(Table_ChiPhiNV_Ca[[#Headers],[Ca]:[Bắt đầu]]),0)),
$AA36&lt;MIN(AQ$5,VLOOKUP(AQ$6, Table_ChiPhiNV_Ca[], COUNTA(Table_ChiPhiNV_Ca[[#Headers],[Ca]:[Kết thúc]]),0))),
SUM(_xlfn._xlws.FILTER(Table_BangLuong_TyLeTangCa[Tỷ lệ],
(Table_BangLuong_TyLeTangCa[Ngày] = "Thường") *
(Table_BangLuong_TyLeTangCa[Giờ min]&lt;=$AA36) *
(Table_BangLuong_TyLeTangCa[Giờ max]&gt;$AA36)
)),0)
)),
IF(AQ$4 &lt; AQ$5,
IF($AA36-$Z$4&lt;AQ$4,0,
IF($AA36&gt;AQ$5,0,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AQ$5,$AA36 &lt; AQ$4),0,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R36" s="18" cm="1">
        <f t="array" ref="AR36" xml:space="preserve">
IFERROR(
IF(AR$1="",0,
IF(AND(
$AA36&gt;=VLOOKUP(AR$6, Table_ChiPhiNV_Ca[], COUNTA(Table_ChiPhiNV_Ca[[#Headers],[Ca]:[Bắt đầu nghỉ]]),0),
$AA36&lt;VLOOKUP(AR$6, Table_ChiPhiNV_Ca[], COUNTA(Table_ChiPhiNV_Ca[[#Headers],[Ca]:[Kết thúc nghỉ]]),0)
),0,
IF(NOT(ISBLANK(AR$3)),
IF(ISBLANK(AR$7),0,
IF(AR$4 &lt; AR$5,
IF($AA36-$Z$4&lt;AR$4,0,
IF($AA36&gt;AR$5,0,
SUM(_xlfn._xlws.FILTER(Table_BangLuong_TyLeTangCa[Tỷ lệ],
(Table_BangLuong_TyLeTangCa[Ngày] = AR$3) *
(Table_BangLuong_TyLeTangCa[Giờ min]&lt;=$AA36) *
(Table_BangLuong_TyLeTangCa[Giờ max]&gt;$AA36)
)))),
IF(AND($AA36-$Z$4 &gt;= AR$5,$AA36 &lt; AR$4),0,
SUM(_xlfn._xlws.FILTER(Table_BangLuong_TyLeTangCa[Tỷ lệ],
(Table_BangLuong_TyLeTangCa[Ngày] = AR$3) *
(Table_BangLuong_TyLeTangCa[Giờ min]&lt;=$AA36) *
(Table_BangLuong_TyLeTangCa[Giờ max]&gt;$AA36)
))))
),
IF(ISBLANK(AR$7),
IF(VLOOKUP(AR$6, Table_ChiPhiNV_Ca[], COUNTA(Table_ChiPhiNV_Ca[[#Headers],[Ca]:[Kết thúc]]),0)&gt; VLOOKUP(AR$6, Table_ChiPhiNV_Ca[], COUNTA(Table_ChiPhiNV_Ca[[#Headers],[Ca]:[Bắt đầu]]),0),
IF($AA36-$Z$4&lt;MAX(AR$4,VLOOKUP(AR$6, Table_ChiPhiNV_Ca[], COUNTA(Table_ChiPhiNV_Ca[[#Headers],[Ca]:[Bắt đầu]]),0)),0,
IF($AA36&gt;MIN(AR$5,VLOOKUP(AR$6, Table_ChiPhiNV_Ca[], COUNTA(Table_ChiPhiNV_Ca[[#Headers],[Ca]:[Kết thúc]]),0)),0,
SUM(_xlfn._xlws.FILTER(Table_BangLuong_TyLeTangCa[Tỷ lệ],
(Table_BangLuong_TyLeTangCa[Ngày] = "Thường") *
(Table_BangLuong_TyLeTangCa[Giờ min]&lt;=$AA36) *
(Table_BangLuong_TyLeTangCa[Giờ max]&gt;$AA36)
)))),
IF(AR$4 &gt; AR$5,
IF(
AND(
$AA36-$Z$4&lt;MAX(AR$4,VLOOKUP(AR$6, Table_ChiPhiNV_Ca[], COUNTA(Table_ChiPhiNV_Ca[[#Headers],[Ca]:[Bắt đầu]]),0)),
$AA36&gt;MIN(AR$5,VLOOKUP(AR$6, Table_ChiPhiNV_Ca[], COUNTA(Table_ChiPhiNV_Ca[[#Headers],[Ca]:[Kết thúc]]),0))),0,
SUM(_xlfn._xlws.FILTER(Table_BangLuong_TyLeTangCa[Tỷ lệ],
(Table_BangLuong_TyLeTangCa[Ngày] = "Thường") *
(Table_BangLuong_TyLeTangCa[Giờ min]&lt;=$AA36) *
(Table_BangLuong_TyLeTangCa[Giờ max]&gt;$AA36)
))),
IF(
AND(
$AA36-$Z$4&gt;=MAX(AR$4,VLOOKUP(AR$6, Table_ChiPhiNV_Ca[], COUNTA(Table_ChiPhiNV_Ca[[#Headers],[Ca]:[Bắt đầu]]),0)),
$AA36&lt;MIN(AR$5,VLOOKUP(AR$6, Table_ChiPhiNV_Ca[], COUNTA(Table_ChiPhiNV_Ca[[#Headers],[Ca]:[Kết thúc]]),0))),
SUM(_xlfn._xlws.FILTER(Table_BangLuong_TyLeTangCa[Tỷ lệ],
(Table_BangLuong_TyLeTangCa[Ngày] = "Thường") *
(Table_BangLuong_TyLeTangCa[Giờ min]&lt;=$AA36) *
(Table_BangLuong_TyLeTangCa[Giờ max]&gt;$AA36)
)),0)
)),
IF(AR$4 &lt; AR$5,
IF($AA36-$Z$4&lt;AR$4,0,
IF($AA36&gt;AR$5,0,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AR$5,$AA36 &lt; AR$4),0,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S36" s="18" cm="1">
        <f t="array" ref="AS36" xml:space="preserve">
IFERROR(
IF(AS$1="",0,
IF(AND(
$AA36&gt;=VLOOKUP(AS$6, Table_ChiPhiNV_Ca[], COUNTA(Table_ChiPhiNV_Ca[[#Headers],[Ca]:[Bắt đầu nghỉ]]),0),
$AA36&lt;VLOOKUP(AS$6, Table_ChiPhiNV_Ca[], COUNTA(Table_ChiPhiNV_Ca[[#Headers],[Ca]:[Kết thúc nghỉ]]),0)
),0,
IF(NOT(ISBLANK(AS$3)),
IF(ISBLANK(AS$7),0,
IF(AS$4 &lt; AS$5,
IF($AA36-$Z$4&lt;AS$4,0,
IF($AA36&gt;AS$5,0,
SUM(_xlfn._xlws.FILTER(Table_BangLuong_TyLeTangCa[Tỷ lệ],
(Table_BangLuong_TyLeTangCa[Ngày] = AS$3) *
(Table_BangLuong_TyLeTangCa[Giờ min]&lt;=$AA36) *
(Table_BangLuong_TyLeTangCa[Giờ max]&gt;$AA36)
)))),
IF(AND($AA36-$Z$4 &gt;= AS$5,$AA36 &lt; AS$4),0,
SUM(_xlfn._xlws.FILTER(Table_BangLuong_TyLeTangCa[Tỷ lệ],
(Table_BangLuong_TyLeTangCa[Ngày] = AS$3) *
(Table_BangLuong_TyLeTangCa[Giờ min]&lt;=$AA36) *
(Table_BangLuong_TyLeTangCa[Giờ max]&gt;$AA36)
))))
),
IF(ISBLANK(AS$7),
IF(VLOOKUP(AS$6, Table_ChiPhiNV_Ca[], COUNTA(Table_ChiPhiNV_Ca[[#Headers],[Ca]:[Kết thúc]]),0)&gt; VLOOKUP(AS$6, Table_ChiPhiNV_Ca[], COUNTA(Table_ChiPhiNV_Ca[[#Headers],[Ca]:[Bắt đầu]]),0),
IF($AA36-$Z$4&lt;MAX(AS$4,VLOOKUP(AS$6, Table_ChiPhiNV_Ca[], COUNTA(Table_ChiPhiNV_Ca[[#Headers],[Ca]:[Bắt đầu]]),0)),0,
IF($AA36&gt;MIN(AS$5,VLOOKUP(AS$6, Table_ChiPhiNV_Ca[], COUNTA(Table_ChiPhiNV_Ca[[#Headers],[Ca]:[Kết thúc]]),0)),0,
SUM(_xlfn._xlws.FILTER(Table_BangLuong_TyLeTangCa[Tỷ lệ],
(Table_BangLuong_TyLeTangCa[Ngày] = "Thường") *
(Table_BangLuong_TyLeTangCa[Giờ min]&lt;=$AA36) *
(Table_BangLuong_TyLeTangCa[Giờ max]&gt;$AA36)
)))),
IF(AS$4 &gt; AS$5,
IF(
AND(
$AA36-$Z$4&lt;MAX(AS$4,VLOOKUP(AS$6, Table_ChiPhiNV_Ca[], COUNTA(Table_ChiPhiNV_Ca[[#Headers],[Ca]:[Bắt đầu]]),0)),
$AA36&gt;MIN(AS$5,VLOOKUP(AS$6, Table_ChiPhiNV_Ca[], COUNTA(Table_ChiPhiNV_Ca[[#Headers],[Ca]:[Kết thúc]]),0))),0,
SUM(_xlfn._xlws.FILTER(Table_BangLuong_TyLeTangCa[Tỷ lệ],
(Table_BangLuong_TyLeTangCa[Ngày] = "Thường") *
(Table_BangLuong_TyLeTangCa[Giờ min]&lt;=$AA36) *
(Table_BangLuong_TyLeTangCa[Giờ max]&gt;$AA36)
))),
IF(
AND(
$AA36-$Z$4&gt;=MAX(AS$4,VLOOKUP(AS$6, Table_ChiPhiNV_Ca[], COUNTA(Table_ChiPhiNV_Ca[[#Headers],[Ca]:[Bắt đầu]]),0)),
$AA36&lt;MIN(AS$5,VLOOKUP(AS$6, Table_ChiPhiNV_Ca[], COUNTA(Table_ChiPhiNV_Ca[[#Headers],[Ca]:[Kết thúc]]),0))),
SUM(_xlfn._xlws.FILTER(Table_BangLuong_TyLeTangCa[Tỷ lệ],
(Table_BangLuong_TyLeTangCa[Ngày] = "Thường") *
(Table_BangLuong_TyLeTangCa[Giờ min]&lt;=$AA36) *
(Table_BangLuong_TyLeTangCa[Giờ max]&gt;$AA36)
)),0)
)),
IF(AS$4 &lt; AS$5,
IF($AA36-$Z$4&lt;AS$4,0,
IF($AA36&gt;AS$5,0,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AS$5,$AA36 &lt; AS$4),0,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T36" s="18" cm="1">
        <f t="array" ref="AT36" xml:space="preserve">
IFERROR(
IF(AT$1="",0,
IF(AND(
$AA36&gt;=VLOOKUP(AT$6, Table_ChiPhiNV_Ca[], COUNTA(Table_ChiPhiNV_Ca[[#Headers],[Ca]:[Bắt đầu nghỉ]]),0),
$AA36&lt;VLOOKUP(AT$6, Table_ChiPhiNV_Ca[], COUNTA(Table_ChiPhiNV_Ca[[#Headers],[Ca]:[Kết thúc nghỉ]]),0)
),0,
IF(NOT(ISBLANK(AT$3)),
IF(ISBLANK(AT$7),0,
IF(AT$4 &lt; AT$5,
IF($AA36-$Z$4&lt;AT$4,0,
IF($AA36&gt;AT$5,0,
SUM(_xlfn._xlws.FILTER(Table_BangLuong_TyLeTangCa[Tỷ lệ],
(Table_BangLuong_TyLeTangCa[Ngày] = AT$3) *
(Table_BangLuong_TyLeTangCa[Giờ min]&lt;=$AA36) *
(Table_BangLuong_TyLeTangCa[Giờ max]&gt;$AA36)
)))),
IF(AND($AA36-$Z$4 &gt;= AT$5,$AA36 &lt; AT$4),0,
SUM(_xlfn._xlws.FILTER(Table_BangLuong_TyLeTangCa[Tỷ lệ],
(Table_BangLuong_TyLeTangCa[Ngày] = AT$3) *
(Table_BangLuong_TyLeTangCa[Giờ min]&lt;=$AA36) *
(Table_BangLuong_TyLeTangCa[Giờ max]&gt;$AA36)
))))
),
IF(ISBLANK(AT$7),
IF(VLOOKUP(AT$6, Table_ChiPhiNV_Ca[], COUNTA(Table_ChiPhiNV_Ca[[#Headers],[Ca]:[Kết thúc]]),0)&gt; VLOOKUP(AT$6, Table_ChiPhiNV_Ca[], COUNTA(Table_ChiPhiNV_Ca[[#Headers],[Ca]:[Bắt đầu]]),0),
IF($AA36-$Z$4&lt;MAX(AT$4,VLOOKUP(AT$6, Table_ChiPhiNV_Ca[], COUNTA(Table_ChiPhiNV_Ca[[#Headers],[Ca]:[Bắt đầu]]),0)),0,
IF($AA36&gt;MIN(AT$5,VLOOKUP(AT$6, Table_ChiPhiNV_Ca[], COUNTA(Table_ChiPhiNV_Ca[[#Headers],[Ca]:[Kết thúc]]),0)),0,
SUM(_xlfn._xlws.FILTER(Table_BangLuong_TyLeTangCa[Tỷ lệ],
(Table_BangLuong_TyLeTangCa[Ngày] = "Thường") *
(Table_BangLuong_TyLeTangCa[Giờ min]&lt;=$AA36) *
(Table_BangLuong_TyLeTangCa[Giờ max]&gt;$AA36)
)))),
IF(AT$4 &gt; AT$5,
IF(
AND(
$AA36-$Z$4&lt;MAX(AT$4,VLOOKUP(AT$6, Table_ChiPhiNV_Ca[], COUNTA(Table_ChiPhiNV_Ca[[#Headers],[Ca]:[Bắt đầu]]),0)),
$AA36&gt;MIN(AT$5,VLOOKUP(AT$6, Table_ChiPhiNV_Ca[], COUNTA(Table_ChiPhiNV_Ca[[#Headers],[Ca]:[Kết thúc]]),0))),0,
SUM(_xlfn._xlws.FILTER(Table_BangLuong_TyLeTangCa[Tỷ lệ],
(Table_BangLuong_TyLeTangCa[Ngày] = "Thường") *
(Table_BangLuong_TyLeTangCa[Giờ min]&lt;=$AA36) *
(Table_BangLuong_TyLeTangCa[Giờ max]&gt;$AA36)
))),
IF(
AND(
$AA36-$Z$4&gt;=MAX(AT$4,VLOOKUP(AT$6, Table_ChiPhiNV_Ca[], COUNTA(Table_ChiPhiNV_Ca[[#Headers],[Ca]:[Bắt đầu]]),0)),
$AA36&lt;MIN(AT$5,VLOOKUP(AT$6, Table_ChiPhiNV_Ca[], COUNTA(Table_ChiPhiNV_Ca[[#Headers],[Ca]:[Kết thúc]]),0))),
SUM(_xlfn._xlws.FILTER(Table_BangLuong_TyLeTangCa[Tỷ lệ],
(Table_BangLuong_TyLeTangCa[Ngày] = "Thường") *
(Table_BangLuong_TyLeTangCa[Giờ min]&lt;=$AA36) *
(Table_BangLuong_TyLeTangCa[Giờ max]&gt;$AA36)
)),0)
)),
IF(AT$4 &lt; AT$5,
IF($AA36-$Z$4&lt;AT$4,0,
IF($AA36&gt;AT$5,0,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AT$5,$AA36 &lt; AT$4),0,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U36" s="18" cm="1">
        <f t="array" ref="AU36" xml:space="preserve">
IFERROR(
IF(AU$1="",0,
IF(AND(
$AA36&gt;=VLOOKUP(AU$6, Table_ChiPhiNV_Ca[], COUNTA(Table_ChiPhiNV_Ca[[#Headers],[Ca]:[Bắt đầu nghỉ]]),0),
$AA36&lt;VLOOKUP(AU$6, Table_ChiPhiNV_Ca[], COUNTA(Table_ChiPhiNV_Ca[[#Headers],[Ca]:[Kết thúc nghỉ]]),0)
),0,
IF(NOT(ISBLANK(AU$3)),
IF(ISBLANK(AU$7),0,
IF(AU$4 &lt; AU$5,
IF($AA36-$Z$4&lt;AU$4,0,
IF($AA36&gt;AU$5,0,
SUM(_xlfn._xlws.FILTER(Table_BangLuong_TyLeTangCa[Tỷ lệ],
(Table_BangLuong_TyLeTangCa[Ngày] = AU$3) *
(Table_BangLuong_TyLeTangCa[Giờ min]&lt;=$AA36) *
(Table_BangLuong_TyLeTangCa[Giờ max]&gt;$AA36)
)))),
IF(AND($AA36-$Z$4 &gt;= AU$5,$AA36 &lt; AU$4),0,
SUM(_xlfn._xlws.FILTER(Table_BangLuong_TyLeTangCa[Tỷ lệ],
(Table_BangLuong_TyLeTangCa[Ngày] = AU$3) *
(Table_BangLuong_TyLeTangCa[Giờ min]&lt;=$AA36) *
(Table_BangLuong_TyLeTangCa[Giờ max]&gt;$AA36)
))))
),
IF(ISBLANK(AU$7),
IF(VLOOKUP(AU$6, Table_ChiPhiNV_Ca[], COUNTA(Table_ChiPhiNV_Ca[[#Headers],[Ca]:[Kết thúc]]),0)&gt; VLOOKUP(AU$6, Table_ChiPhiNV_Ca[], COUNTA(Table_ChiPhiNV_Ca[[#Headers],[Ca]:[Bắt đầu]]),0),
IF($AA36-$Z$4&lt;MAX(AU$4,VLOOKUP(AU$6, Table_ChiPhiNV_Ca[], COUNTA(Table_ChiPhiNV_Ca[[#Headers],[Ca]:[Bắt đầu]]),0)),0,
IF($AA36&gt;MIN(AU$5,VLOOKUP(AU$6, Table_ChiPhiNV_Ca[], COUNTA(Table_ChiPhiNV_Ca[[#Headers],[Ca]:[Kết thúc]]),0)),0,
SUM(_xlfn._xlws.FILTER(Table_BangLuong_TyLeTangCa[Tỷ lệ],
(Table_BangLuong_TyLeTangCa[Ngày] = "Thường") *
(Table_BangLuong_TyLeTangCa[Giờ min]&lt;=$AA36) *
(Table_BangLuong_TyLeTangCa[Giờ max]&gt;$AA36)
)))),
IF(AU$4 &gt; AU$5,
IF(
AND(
$AA36-$Z$4&lt;MAX(AU$4,VLOOKUP(AU$6, Table_ChiPhiNV_Ca[], COUNTA(Table_ChiPhiNV_Ca[[#Headers],[Ca]:[Bắt đầu]]),0)),
$AA36&gt;MIN(AU$5,VLOOKUP(AU$6, Table_ChiPhiNV_Ca[], COUNTA(Table_ChiPhiNV_Ca[[#Headers],[Ca]:[Kết thúc]]),0))),0,
SUM(_xlfn._xlws.FILTER(Table_BangLuong_TyLeTangCa[Tỷ lệ],
(Table_BangLuong_TyLeTangCa[Ngày] = "Thường") *
(Table_BangLuong_TyLeTangCa[Giờ min]&lt;=$AA36) *
(Table_BangLuong_TyLeTangCa[Giờ max]&gt;$AA36)
))),
IF(
AND(
$AA36-$Z$4&gt;=MAX(AU$4,VLOOKUP(AU$6, Table_ChiPhiNV_Ca[], COUNTA(Table_ChiPhiNV_Ca[[#Headers],[Ca]:[Bắt đầu]]),0)),
$AA36&lt;MIN(AU$5,VLOOKUP(AU$6, Table_ChiPhiNV_Ca[], COUNTA(Table_ChiPhiNV_Ca[[#Headers],[Ca]:[Kết thúc]]),0))),
SUM(_xlfn._xlws.FILTER(Table_BangLuong_TyLeTangCa[Tỷ lệ],
(Table_BangLuong_TyLeTangCa[Ngày] = "Thường") *
(Table_BangLuong_TyLeTangCa[Giờ min]&lt;=$AA36) *
(Table_BangLuong_TyLeTangCa[Giờ max]&gt;$AA36)
)),0)
)),
IF(AU$4 &lt; AU$5,
IF($AA36-$Z$4&lt;AU$4,0,
IF($AA36&gt;AU$5,0,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AU$5,$AA36 &lt; AU$4),0,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V36" s="18" cm="1">
        <f t="array" ref="AV36" xml:space="preserve">
IFERROR(
IF(AV$1="",0,
IF(AND(
$AA36&gt;=VLOOKUP(AV$6, Table_ChiPhiNV_Ca[], COUNTA(Table_ChiPhiNV_Ca[[#Headers],[Ca]:[Bắt đầu nghỉ]]),0),
$AA36&lt;VLOOKUP(AV$6, Table_ChiPhiNV_Ca[], COUNTA(Table_ChiPhiNV_Ca[[#Headers],[Ca]:[Kết thúc nghỉ]]),0)
),0,
IF(NOT(ISBLANK(AV$3)),
IF(ISBLANK(AV$7),0,
IF(AV$4 &lt; AV$5,
IF($AA36-$Z$4&lt;AV$4,0,
IF($AA36&gt;AV$5,0,
SUM(_xlfn._xlws.FILTER(Table_BangLuong_TyLeTangCa[Tỷ lệ],
(Table_BangLuong_TyLeTangCa[Ngày] = AV$3) *
(Table_BangLuong_TyLeTangCa[Giờ min]&lt;=$AA36) *
(Table_BangLuong_TyLeTangCa[Giờ max]&gt;$AA36)
)))),
IF(AND($AA36-$Z$4 &gt;= AV$5,$AA36 &lt; AV$4),0,
SUM(_xlfn._xlws.FILTER(Table_BangLuong_TyLeTangCa[Tỷ lệ],
(Table_BangLuong_TyLeTangCa[Ngày] = AV$3) *
(Table_BangLuong_TyLeTangCa[Giờ min]&lt;=$AA36) *
(Table_BangLuong_TyLeTangCa[Giờ max]&gt;$AA36)
))))
),
IF(ISBLANK(AV$7),
IF(VLOOKUP(AV$6, Table_ChiPhiNV_Ca[], COUNTA(Table_ChiPhiNV_Ca[[#Headers],[Ca]:[Kết thúc]]),0)&gt; VLOOKUP(AV$6, Table_ChiPhiNV_Ca[], COUNTA(Table_ChiPhiNV_Ca[[#Headers],[Ca]:[Bắt đầu]]),0),
IF($AA36-$Z$4&lt;MAX(AV$4,VLOOKUP(AV$6, Table_ChiPhiNV_Ca[], COUNTA(Table_ChiPhiNV_Ca[[#Headers],[Ca]:[Bắt đầu]]),0)),0,
IF($AA36&gt;MIN(AV$5,VLOOKUP(AV$6, Table_ChiPhiNV_Ca[], COUNTA(Table_ChiPhiNV_Ca[[#Headers],[Ca]:[Kết thúc]]),0)),0,
SUM(_xlfn._xlws.FILTER(Table_BangLuong_TyLeTangCa[Tỷ lệ],
(Table_BangLuong_TyLeTangCa[Ngày] = "Thường") *
(Table_BangLuong_TyLeTangCa[Giờ min]&lt;=$AA36) *
(Table_BangLuong_TyLeTangCa[Giờ max]&gt;$AA36)
)))),
IF(AV$4 &gt; AV$5,
IF(
AND(
$AA36-$Z$4&lt;MAX(AV$4,VLOOKUP(AV$6, Table_ChiPhiNV_Ca[], COUNTA(Table_ChiPhiNV_Ca[[#Headers],[Ca]:[Bắt đầu]]),0)),
$AA36&gt;MIN(AV$5,VLOOKUP(AV$6, Table_ChiPhiNV_Ca[], COUNTA(Table_ChiPhiNV_Ca[[#Headers],[Ca]:[Kết thúc]]),0))),0,
SUM(_xlfn._xlws.FILTER(Table_BangLuong_TyLeTangCa[Tỷ lệ],
(Table_BangLuong_TyLeTangCa[Ngày] = "Thường") *
(Table_BangLuong_TyLeTangCa[Giờ min]&lt;=$AA36) *
(Table_BangLuong_TyLeTangCa[Giờ max]&gt;$AA36)
))),
IF(
AND(
$AA36-$Z$4&gt;=MAX(AV$4,VLOOKUP(AV$6, Table_ChiPhiNV_Ca[], COUNTA(Table_ChiPhiNV_Ca[[#Headers],[Ca]:[Bắt đầu]]),0)),
$AA36&lt;MIN(AV$5,VLOOKUP(AV$6, Table_ChiPhiNV_Ca[], COUNTA(Table_ChiPhiNV_Ca[[#Headers],[Ca]:[Kết thúc]]),0))),
SUM(_xlfn._xlws.FILTER(Table_BangLuong_TyLeTangCa[Tỷ lệ],
(Table_BangLuong_TyLeTangCa[Ngày] = "Thường") *
(Table_BangLuong_TyLeTangCa[Giờ min]&lt;=$AA36) *
(Table_BangLuong_TyLeTangCa[Giờ max]&gt;$AA36)
)),0)
)),
IF(AV$4 &lt; AV$5,
IF($AA36-$Z$4&lt;AV$4,0,
IF($AA36&gt;AV$5,0,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AV$5,$AA36 &lt; AV$4),0,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W36" s="18" cm="1">
        <f t="array" ref="AW36" xml:space="preserve">
IFERROR(
IF(AW$1="",0,
IF(AND(
$AA36&gt;=VLOOKUP(AW$6, Table_ChiPhiNV_Ca[], COUNTA(Table_ChiPhiNV_Ca[[#Headers],[Ca]:[Bắt đầu nghỉ]]),0),
$AA36&lt;VLOOKUP(AW$6, Table_ChiPhiNV_Ca[], COUNTA(Table_ChiPhiNV_Ca[[#Headers],[Ca]:[Kết thúc nghỉ]]),0)
),0,
IF(NOT(ISBLANK(AW$3)),
IF(ISBLANK(AW$7),0,
IF(AW$4 &lt; AW$5,
IF($AA36-$Z$4&lt;AW$4,0,
IF($AA36&gt;AW$5,0,
SUM(_xlfn._xlws.FILTER(Table_BangLuong_TyLeTangCa[Tỷ lệ],
(Table_BangLuong_TyLeTangCa[Ngày] = AW$3) *
(Table_BangLuong_TyLeTangCa[Giờ min]&lt;=$AA36) *
(Table_BangLuong_TyLeTangCa[Giờ max]&gt;$AA36)
)))),
IF(AND($AA36-$Z$4 &gt;= AW$5,$AA36 &lt; AW$4),0,
SUM(_xlfn._xlws.FILTER(Table_BangLuong_TyLeTangCa[Tỷ lệ],
(Table_BangLuong_TyLeTangCa[Ngày] = AW$3) *
(Table_BangLuong_TyLeTangCa[Giờ min]&lt;=$AA36) *
(Table_BangLuong_TyLeTangCa[Giờ max]&gt;$AA36)
))))
),
IF(ISBLANK(AW$7),
IF(VLOOKUP(AW$6, Table_ChiPhiNV_Ca[], COUNTA(Table_ChiPhiNV_Ca[[#Headers],[Ca]:[Kết thúc]]),0)&gt; VLOOKUP(AW$6, Table_ChiPhiNV_Ca[], COUNTA(Table_ChiPhiNV_Ca[[#Headers],[Ca]:[Bắt đầu]]),0),
IF($AA36-$Z$4&lt;MAX(AW$4,VLOOKUP(AW$6, Table_ChiPhiNV_Ca[], COUNTA(Table_ChiPhiNV_Ca[[#Headers],[Ca]:[Bắt đầu]]),0)),0,
IF($AA36&gt;MIN(AW$5,VLOOKUP(AW$6, Table_ChiPhiNV_Ca[], COUNTA(Table_ChiPhiNV_Ca[[#Headers],[Ca]:[Kết thúc]]),0)),0,
SUM(_xlfn._xlws.FILTER(Table_BangLuong_TyLeTangCa[Tỷ lệ],
(Table_BangLuong_TyLeTangCa[Ngày] = "Thường") *
(Table_BangLuong_TyLeTangCa[Giờ min]&lt;=$AA36) *
(Table_BangLuong_TyLeTangCa[Giờ max]&gt;$AA36)
)))),
IF(AW$4 &gt; AW$5,
IF(
AND(
$AA36-$Z$4&lt;MAX(AW$4,VLOOKUP(AW$6, Table_ChiPhiNV_Ca[], COUNTA(Table_ChiPhiNV_Ca[[#Headers],[Ca]:[Bắt đầu]]),0)),
$AA36&gt;MIN(AW$5,VLOOKUP(AW$6, Table_ChiPhiNV_Ca[], COUNTA(Table_ChiPhiNV_Ca[[#Headers],[Ca]:[Kết thúc]]),0))),0,
SUM(_xlfn._xlws.FILTER(Table_BangLuong_TyLeTangCa[Tỷ lệ],
(Table_BangLuong_TyLeTangCa[Ngày] = "Thường") *
(Table_BangLuong_TyLeTangCa[Giờ min]&lt;=$AA36) *
(Table_BangLuong_TyLeTangCa[Giờ max]&gt;$AA36)
))),
IF(
AND(
$AA36-$Z$4&gt;=MAX(AW$4,VLOOKUP(AW$6, Table_ChiPhiNV_Ca[], COUNTA(Table_ChiPhiNV_Ca[[#Headers],[Ca]:[Bắt đầu]]),0)),
$AA36&lt;MIN(AW$5,VLOOKUP(AW$6, Table_ChiPhiNV_Ca[], COUNTA(Table_ChiPhiNV_Ca[[#Headers],[Ca]:[Kết thúc]]),0))),
SUM(_xlfn._xlws.FILTER(Table_BangLuong_TyLeTangCa[Tỷ lệ],
(Table_BangLuong_TyLeTangCa[Ngày] = "Thường") *
(Table_BangLuong_TyLeTangCa[Giờ min]&lt;=$AA36) *
(Table_BangLuong_TyLeTangCa[Giờ max]&gt;$AA36)
)),0)
)),
IF(AW$4 &lt; AW$5,
IF($AA36-$Z$4&lt;AW$4,0,
IF($AA36&gt;AW$5,0,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AW$5,$AA36 &lt; AW$4),0,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X36" s="18" cm="1">
        <f t="array" ref="AX36" xml:space="preserve">
IFERROR(
IF(AX$1="",0,
IF(AND(
$AA36&gt;=VLOOKUP(AX$6, Table_ChiPhiNV_Ca[], COUNTA(Table_ChiPhiNV_Ca[[#Headers],[Ca]:[Bắt đầu nghỉ]]),0),
$AA36&lt;VLOOKUP(AX$6, Table_ChiPhiNV_Ca[], COUNTA(Table_ChiPhiNV_Ca[[#Headers],[Ca]:[Kết thúc nghỉ]]),0)
),0,
IF(NOT(ISBLANK(AX$3)),
IF(ISBLANK(AX$7),0,
IF(AX$4 &lt; AX$5,
IF($AA36-$Z$4&lt;AX$4,0,
IF($AA36&gt;AX$5,0,
SUM(_xlfn._xlws.FILTER(Table_BangLuong_TyLeTangCa[Tỷ lệ],
(Table_BangLuong_TyLeTangCa[Ngày] = AX$3) *
(Table_BangLuong_TyLeTangCa[Giờ min]&lt;=$AA36) *
(Table_BangLuong_TyLeTangCa[Giờ max]&gt;$AA36)
)))),
IF(AND($AA36-$Z$4 &gt;= AX$5,$AA36 &lt; AX$4),0,
SUM(_xlfn._xlws.FILTER(Table_BangLuong_TyLeTangCa[Tỷ lệ],
(Table_BangLuong_TyLeTangCa[Ngày] = AX$3) *
(Table_BangLuong_TyLeTangCa[Giờ min]&lt;=$AA36) *
(Table_BangLuong_TyLeTangCa[Giờ max]&gt;$AA36)
))))
),
IF(ISBLANK(AX$7),
IF(VLOOKUP(AX$6, Table_ChiPhiNV_Ca[], COUNTA(Table_ChiPhiNV_Ca[[#Headers],[Ca]:[Kết thúc]]),0)&gt; VLOOKUP(AX$6, Table_ChiPhiNV_Ca[], COUNTA(Table_ChiPhiNV_Ca[[#Headers],[Ca]:[Bắt đầu]]),0),
IF($AA36-$Z$4&lt;MAX(AX$4,VLOOKUP(AX$6, Table_ChiPhiNV_Ca[], COUNTA(Table_ChiPhiNV_Ca[[#Headers],[Ca]:[Bắt đầu]]),0)),0,
IF($AA36&gt;MIN(AX$5,VLOOKUP(AX$6, Table_ChiPhiNV_Ca[], COUNTA(Table_ChiPhiNV_Ca[[#Headers],[Ca]:[Kết thúc]]),0)),0,
SUM(_xlfn._xlws.FILTER(Table_BangLuong_TyLeTangCa[Tỷ lệ],
(Table_BangLuong_TyLeTangCa[Ngày] = "Thường") *
(Table_BangLuong_TyLeTangCa[Giờ min]&lt;=$AA36) *
(Table_BangLuong_TyLeTangCa[Giờ max]&gt;$AA36)
)))),
IF(AX$4 &gt; AX$5,
IF(
AND(
$AA36-$Z$4&lt;MAX(AX$4,VLOOKUP(AX$6, Table_ChiPhiNV_Ca[], COUNTA(Table_ChiPhiNV_Ca[[#Headers],[Ca]:[Bắt đầu]]),0)),
$AA36&gt;MIN(AX$5,VLOOKUP(AX$6, Table_ChiPhiNV_Ca[], COUNTA(Table_ChiPhiNV_Ca[[#Headers],[Ca]:[Kết thúc]]),0))),0,
SUM(_xlfn._xlws.FILTER(Table_BangLuong_TyLeTangCa[Tỷ lệ],
(Table_BangLuong_TyLeTangCa[Ngày] = "Thường") *
(Table_BangLuong_TyLeTangCa[Giờ min]&lt;=$AA36) *
(Table_BangLuong_TyLeTangCa[Giờ max]&gt;$AA36)
))),
IF(
AND(
$AA36-$Z$4&gt;=MAX(AX$4,VLOOKUP(AX$6, Table_ChiPhiNV_Ca[], COUNTA(Table_ChiPhiNV_Ca[[#Headers],[Ca]:[Bắt đầu]]),0)),
$AA36&lt;MIN(AX$5,VLOOKUP(AX$6, Table_ChiPhiNV_Ca[], COUNTA(Table_ChiPhiNV_Ca[[#Headers],[Ca]:[Kết thúc]]),0))),
SUM(_xlfn._xlws.FILTER(Table_BangLuong_TyLeTangCa[Tỷ lệ],
(Table_BangLuong_TyLeTangCa[Ngày] = "Thường") *
(Table_BangLuong_TyLeTangCa[Giờ min]&lt;=$AA36) *
(Table_BangLuong_TyLeTangCa[Giờ max]&gt;$AA36)
)),0)
)),
IF(AX$4 &lt; AX$5,
IF($AA36-$Z$4&lt;AX$4,0,
IF($AA36&gt;AX$5,0,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AX$5,$AA36 &lt; AX$4),0,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Y36" s="18" cm="1">
        <f t="array" ref="AY36" xml:space="preserve">
IFERROR(
IF(AY$1="",0,
IF(AND(
$AA36&gt;=VLOOKUP(AY$6, Table_ChiPhiNV_Ca[], COUNTA(Table_ChiPhiNV_Ca[[#Headers],[Ca]:[Bắt đầu nghỉ]]),0),
$AA36&lt;VLOOKUP(AY$6, Table_ChiPhiNV_Ca[], COUNTA(Table_ChiPhiNV_Ca[[#Headers],[Ca]:[Kết thúc nghỉ]]),0)
),0,
IF(NOT(ISBLANK(AY$3)),
IF(ISBLANK(AY$7),0,
IF(AY$4 &lt; AY$5,
IF($AA36-$Z$4&lt;AY$4,0,
IF($AA36&gt;AY$5,0,
SUM(_xlfn._xlws.FILTER(Table_BangLuong_TyLeTangCa[Tỷ lệ],
(Table_BangLuong_TyLeTangCa[Ngày] = AY$3) *
(Table_BangLuong_TyLeTangCa[Giờ min]&lt;=$AA36) *
(Table_BangLuong_TyLeTangCa[Giờ max]&gt;$AA36)
)))),
IF(AND($AA36-$Z$4 &gt;= AY$5,$AA36 &lt; AY$4),0,
SUM(_xlfn._xlws.FILTER(Table_BangLuong_TyLeTangCa[Tỷ lệ],
(Table_BangLuong_TyLeTangCa[Ngày] = AY$3) *
(Table_BangLuong_TyLeTangCa[Giờ min]&lt;=$AA36) *
(Table_BangLuong_TyLeTangCa[Giờ max]&gt;$AA36)
))))
),
IF(ISBLANK(AY$7),
IF(VLOOKUP(AY$6, Table_ChiPhiNV_Ca[], COUNTA(Table_ChiPhiNV_Ca[[#Headers],[Ca]:[Kết thúc]]),0)&gt; VLOOKUP(AY$6, Table_ChiPhiNV_Ca[], COUNTA(Table_ChiPhiNV_Ca[[#Headers],[Ca]:[Bắt đầu]]),0),
IF($AA36-$Z$4&lt;MAX(AY$4,VLOOKUP(AY$6, Table_ChiPhiNV_Ca[], COUNTA(Table_ChiPhiNV_Ca[[#Headers],[Ca]:[Bắt đầu]]),0)),0,
IF($AA36&gt;MIN(AY$5,VLOOKUP(AY$6, Table_ChiPhiNV_Ca[], COUNTA(Table_ChiPhiNV_Ca[[#Headers],[Ca]:[Kết thúc]]),0)),0,
SUM(_xlfn._xlws.FILTER(Table_BangLuong_TyLeTangCa[Tỷ lệ],
(Table_BangLuong_TyLeTangCa[Ngày] = "Thường") *
(Table_BangLuong_TyLeTangCa[Giờ min]&lt;=$AA36) *
(Table_BangLuong_TyLeTangCa[Giờ max]&gt;$AA36)
)))),
IF(AY$4 &gt; AY$5,
IF(
AND(
$AA36-$Z$4&lt;MAX(AY$4,VLOOKUP(AY$6, Table_ChiPhiNV_Ca[], COUNTA(Table_ChiPhiNV_Ca[[#Headers],[Ca]:[Bắt đầu]]),0)),
$AA36&gt;MIN(AY$5,VLOOKUP(AY$6, Table_ChiPhiNV_Ca[], COUNTA(Table_ChiPhiNV_Ca[[#Headers],[Ca]:[Kết thúc]]),0))),0,
SUM(_xlfn._xlws.FILTER(Table_BangLuong_TyLeTangCa[Tỷ lệ],
(Table_BangLuong_TyLeTangCa[Ngày] = "Thường") *
(Table_BangLuong_TyLeTangCa[Giờ min]&lt;=$AA36) *
(Table_BangLuong_TyLeTangCa[Giờ max]&gt;$AA36)
))),
IF(
AND(
$AA36-$Z$4&gt;=MAX(AY$4,VLOOKUP(AY$6, Table_ChiPhiNV_Ca[], COUNTA(Table_ChiPhiNV_Ca[[#Headers],[Ca]:[Bắt đầu]]),0)),
$AA36&lt;MIN(AY$5,VLOOKUP(AY$6, Table_ChiPhiNV_Ca[], COUNTA(Table_ChiPhiNV_Ca[[#Headers],[Ca]:[Kết thúc]]),0))),
SUM(_xlfn._xlws.FILTER(Table_BangLuong_TyLeTangCa[Tỷ lệ],
(Table_BangLuong_TyLeTangCa[Ngày] = "Thường") *
(Table_BangLuong_TyLeTangCa[Giờ min]&lt;=$AA36) *
(Table_BangLuong_TyLeTangCa[Giờ max]&gt;$AA36)
)),0)
)),
IF(AY$4 &lt; AY$5,
IF($AA36-$Z$4&lt;AY$4,0,
IF($AA36&gt;AY$5,0,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AY$5,$AA36 &lt; AY$4),0,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Z36" s="18" cm="1">
        <f t="array" ref="AZ36" xml:space="preserve">
IFERROR(
IF(AZ$1="",0,
IF(AND(
$AA36&gt;=VLOOKUP(AZ$6, Table_ChiPhiNV_Ca[], COUNTA(Table_ChiPhiNV_Ca[[#Headers],[Ca]:[Bắt đầu nghỉ]]),0),
$AA36&lt;VLOOKUP(AZ$6, Table_ChiPhiNV_Ca[], COUNTA(Table_ChiPhiNV_Ca[[#Headers],[Ca]:[Kết thúc nghỉ]]),0)
),0,
IF(NOT(ISBLANK(AZ$3)),
IF(ISBLANK(AZ$7),0,
IF(AZ$4 &lt; AZ$5,
IF($AA36-$Z$4&lt;AZ$4,0,
IF($AA36&gt;AZ$5,0,
SUM(_xlfn._xlws.FILTER(Table_BangLuong_TyLeTangCa[Tỷ lệ],
(Table_BangLuong_TyLeTangCa[Ngày] = AZ$3) *
(Table_BangLuong_TyLeTangCa[Giờ min]&lt;=$AA36) *
(Table_BangLuong_TyLeTangCa[Giờ max]&gt;$AA36)
)))),
IF(AND($AA36-$Z$4 &gt;= AZ$5,$AA36 &lt; AZ$4),0,
SUM(_xlfn._xlws.FILTER(Table_BangLuong_TyLeTangCa[Tỷ lệ],
(Table_BangLuong_TyLeTangCa[Ngày] = AZ$3) *
(Table_BangLuong_TyLeTangCa[Giờ min]&lt;=$AA36) *
(Table_BangLuong_TyLeTangCa[Giờ max]&gt;$AA36)
))))
),
IF(ISBLANK(AZ$7),
IF(VLOOKUP(AZ$6, Table_ChiPhiNV_Ca[], COUNTA(Table_ChiPhiNV_Ca[[#Headers],[Ca]:[Kết thúc]]),0)&gt; VLOOKUP(AZ$6, Table_ChiPhiNV_Ca[], COUNTA(Table_ChiPhiNV_Ca[[#Headers],[Ca]:[Bắt đầu]]),0),
IF($AA36-$Z$4&lt;MAX(AZ$4,VLOOKUP(AZ$6, Table_ChiPhiNV_Ca[], COUNTA(Table_ChiPhiNV_Ca[[#Headers],[Ca]:[Bắt đầu]]),0)),0,
IF($AA36&gt;MIN(AZ$5,VLOOKUP(AZ$6, Table_ChiPhiNV_Ca[], COUNTA(Table_ChiPhiNV_Ca[[#Headers],[Ca]:[Kết thúc]]),0)),0,
SUM(_xlfn._xlws.FILTER(Table_BangLuong_TyLeTangCa[Tỷ lệ],
(Table_BangLuong_TyLeTangCa[Ngày] = "Thường") *
(Table_BangLuong_TyLeTangCa[Giờ min]&lt;=$AA36) *
(Table_BangLuong_TyLeTangCa[Giờ max]&gt;$AA36)
)))),
IF(AZ$4 &gt; AZ$5,
IF(
AND(
$AA36-$Z$4&lt;MAX(AZ$4,VLOOKUP(AZ$6, Table_ChiPhiNV_Ca[], COUNTA(Table_ChiPhiNV_Ca[[#Headers],[Ca]:[Bắt đầu]]),0)),
$AA36&gt;MIN(AZ$5,VLOOKUP(AZ$6, Table_ChiPhiNV_Ca[], COUNTA(Table_ChiPhiNV_Ca[[#Headers],[Ca]:[Kết thúc]]),0))),0,
SUM(_xlfn._xlws.FILTER(Table_BangLuong_TyLeTangCa[Tỷ lệ],
(Table_BangLuong_TyLeTangCa[Ngày] = "Thường") *
(Table_BangLuong_TyLeTangCa[Giờ min]&lt;=$AA36) *
(Table_BangLuong_TyLeTangCa[Giờ max]&gt;$AA36)
))),
IF(
AND(
$AA36-$Z$4&gt;=MAX(AZ$4,VLOOKUP(AZ$6, Table_ChiPhiNV_Ca[], COUNTA(Table_ChiPhiNV_Ca[[#Headers],[Ca]:[Bắt đầu]]),0)),
$AA36&lt;MIN(AZ$5,VLOOKUP(AZ$6, Table_ChiPhiNV_Ca[], COUNTA(Table_ChiPhiNV_Ca[[#Headers],[Ca]:[Kết thúc]]),0))),
SUM(_xlfn._xlws.FILTER(Table_BangLuong_TyLeTangCa[Tỷ lệ],
(Table_BangLuong_TyLeTangCa[Ngày] = "Thường") *
(Table_BangLuong_TyLeTangCa[Giờ min]&lt;=$AA36) *
(Table_BangLuong_TyLeTangCa[Giờ max]&gt;$AA36)
)),0)
)),
IF(AZ$4 &lt; AZ$5,
IF($AA36-$Z$4&lt;AZ$4,0,
IF($AA36&gt;AZ$5,0,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AZ$5,$AA36 &lt; AZ$4),0,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A36" s="18" cm="1">
        <f t="array" ref="BA36" xml:space="preserve">
IFERROR(
IF(BA$1="",0,
IF(AND(
$AA36&gt;=VLOOKUP(BA$6, Table_ChiPhiNV_Ca[], COUNTA(Table_ChiPhiNV_Ca[[#Headers],[Ca]:[Bắt đầu nghỉ]]),0),
$AA36&lt;VLOOKUP(BA$6, Table_ChiPhiNV_Ca[], COUNTA(Table_ChiPhiNV_Ca[[#Headers],[Ca]:[Kết thúc nghỉ]]),0)
),0,
IF(NOT(ISBLANK(BA$3)),
IF(ISBLANK(BA$7),0,
IF(BA$4 &lt; BA$5,
IF($AA36-$Z$4&lt;BA$4,0,
IF($AA36&gt;BA$5,0,
SUM(_xlfn._xlws.FILTER(Table_BangLuong_TyLeTangCa[Tỷ lệ],
(Table_BangLuong_TyLeTangCa[Ngày] = BA$3) *
(Table_BangLuong_TyLeTangCa[Giờ min]&lt;=$AA36) *
(Table_BangLuong_TyLeTangCa[Giờ max]&gt;$AA36)
)))),
IF(AND($AA36-$Z$4 &gt;= BA$5,$AA36 &lt; BA$4),0,
SUM(_xlfn._xlws.FILTER(Table_BangLuong_TyLeTangCa[Tỷ lệ],
(Table_BangLuong_TyLeTangCa[Ngày] = BA$3) *
(Table_BangLuong_TyLeTangCa[Giờ min]&lt;=$AA36) *
(Table_BangLuong_TyLeTangCa[Giờ max]&gt;$AA36)
))))
),
IF(ISBLANK(BA$7),
IF(VLOOKUP(BA$6, Table_ChiPhiNV_Ca[], COUNTA(Table_ChiPhiNV_Ca[[#Headers],[Ca]:[Kết thúc]]),0)&gt; VLOOKUP(BA$6, Table_ChiPhiNV_Ca[], COUNTA(Table_ChiPhiNV_Ca[[#Headers],[Ca]:[Bắt đầu]]),0),
IF($AA36-$Z$4&lt;MAX(BA$4,VLOOKUP(BA$6, Table_ChiPhiNV_Ca[], COUNTA(Table_ChiPhiNV_Ca[[#Headers],[Ca]:[Bắt đầu]]),0)),0,
IF($AA36&gt;MIN(BA$5,VLOOKUP(BA$6, Table_ChiPhiNV_Ca[], COUNTA(Table_ChiPhiNV_Ca[[#Headers],[Ca]:[Kết thúc]]),0)),0,
SUM(_xlfn._xlws.FILTER(Table_BangLuong_TyLeTangCa[Tỷ lệ],
(Table_BangLuong_TyLeTangCa[Ngày] = "Thường") *
(Table_BangLuong_TyLeTangCa[Giờ min]&lt;=$AA36) *
(Table_BangLuong_TyLeTangCa[Giờ max]&gt;$AA36)
)))),
IF(BA$4 &gt; BA$5,
IF(
AND(
$AA36-$Z$4&lt;MAX(BA$4,VLOOKUP(BA$6, Table_ChiPhiNV_Ca[], COUNTA(Table_ChiPhiNV_Ca[[#Headers],[Ca]:[Bắt đầu]]),0)),
$AA36&gt;MIN(BA$5,VLOOKUP(BA$6, Table_ChiPhiNV_Ca[], COUNTA(Table_ChiPhiNV_Ca[[#Headers],[Ca]:[Kết thúc]]),0))),0,
SUM(_xlfn._xlws.FILTER(Table_BangLuong_TyLeTangCa[Tỷ lệ],
(Table_BangLuong_TyLeTangCa[Ngày] = "Thường") *
(Table_BangLuong_TyLeTangCa[Giờ min]&lt;=$AA36) *
(Table_BangLuong_TyLeTangCa[Giờ max]&gt;$AA36)
))),
IF(
AND(
$AA36-$Z$4&gt;=MAX(BA$4,VLOOKUP(BA$6, Table_ChiPhiNV_Ca[], COUNTA(Table_ChiPhiNV_Ca[[#Headers],[Ca]:[Bắt đầu]]),0)),
$AA36&lt;MIN(BA$5,VLOOKUP(BA$6, Table_ChiPhiNV_Ca[], COUNTA(Table_ChiPhiNV_Ca[[#Headers],[Ca]:[Kết thúc]]),0))),
SUM(_xlfn._xlws.FILTER(Table_BangLuong_TyLeTangCa[Tỷ lệ],
(Table_BangLuong_TyLeTangCa[Ngày] = "Thường") *
(Table_BangLuong_TyLeTangCa[Giờ min]&lt;=$AA36) *
(Table_BangLuong_TyLeTangCa[Giờ max]&gt;$AA36)
)),0)
)),
IF(BA$4 &lt; BA$5,
IF($AA36-$Z$4&lt;BA$4,0,
IF($AA36&gt;BA$5,0,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BA$5,$AA36 &lt; BA$4),0,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B36" s="18" cm="1">
        <f t="array" ref="BB36" xml:space="preserve">
IFERROR(
IF(BB$1="",0,
IF(AND(
$AA36&gt;=VLOOKUP(BB$6, Table_ChiPhiNV_Ca[], COUNTA(Table_ChiPhiNV_Ca[[#Headers],[Ca]:[Bắt đầu nghỉ]]),0),
$AA36&lt;VLOOKUP(BB$6, Table_ChiPhiNV_Ca[], COUNTA(Table_ChiPhiNV_Ca[[#Headers],[Ca]:[Kết thúc nghỉ]]),0)
),0,
IF(NOT(ISBLANK(BB$3)),
IF(ISBLANK(BB$7),0,
IF(BB$4 &lt; BB$5,
IF($AA36-$Z$4&lt;BB$4,0,
IF($AA36&gt;BB$5,0,
SUM(_xlfn._xlws.FILTER(Table_BangLuong_TyLeTangCa[Tỷ lệ],
(Table_BangLuong_TyLeTangCa[Ngày] = BB$3) *
(Table_BangLuong_TyLeTangCa[Giờ min]&lt;=$AA36) *
(Table_BangLuong_TyLeTangCa[Giờ max]&gt;$AA36)
)))),
IF(AND($AA36-$Z$4 &gt;= BB$5,$AA36 &lt; BB$4),0,
SUM(_xlfn._xlws.FILTER(Table_BangLuong_TyLeTangCa[Tỷ lệ],
(Table_BangLuong_TyLeTangCa[Ngày] = BB$3) *
(Table_BangLuong_TyLeTangCa[Giờ min]&lt;=$AA36) *
(Table_BangLuong_TyLeTangCa[Giờ max]&gt;$AA36)
))))
),
IF(ISBLANK(BB$7),
IF(VLOOKUP(BB$6, Table_ChiPhiNV_Ca[], COUNTA(Table_ChiPhiNV_Ca[[#Headers],[Ca]:[Kết thúc]]),0)&gt; VLOOKUP(BB$6, Table_ChiPhiNV_Ca[], COUNTA(Table_ChiPhiNV_Ca[[#Headers],[Ca]:[Bắt đầu]]),0),
IF($AA36-$Z$4&lt;MAX(BB$4,VLOOKUP(BB$6, Table_ChiPhiNV_Ca[], COUNTA(Table_ChiPhiNV_Ca[[#Headers],[Ca]:[Bắt đầu]]),0)),0,
IF($AA36&gt;MIN(BB$5,VLOOKUP(BB$6, Table_ChiPhiNV_Ca[], COUNTA(Table_ChiPhiNV_Ca[[#Headers],[Ca]:[Kết thúc]]),0)),0,
SUM(_xlfn._xlws.FILTER(Table_BangLuong_TyLeTangCa[Tỷ lệ],
(Table_BangLuong_TyLeTangCa[Ngày] = "Thường") *
(Table_BangLuong_TyLeTangCa[Giờ min]&lt;=$AA36) *
(Table_BangLuong_TyLeTangCa[Giờ max]&gt;$AA36)
)))),
IF(BB$4 &gt; BB$5,
IF(
AND(
$AA36-$Z$4&lt;MAX(BB$4,VLOOKUP(BB$6, Table_ChiPhiNV_Ca[], COUNTA(Table_ChiPhiNV_Ca[[#Headers],[Ca]:[Bắt đầu]]),0)),
$AA36&gt;MIN(BB$5,VLOOKUP(BB$6, Table_ChiPhiNV_Ca[], COUNTA(Table_ChiPhiNV_Ca[[#Headers],[Ca]:[Kết thúc]]),0))),0,
SUM(_xlfn._xlws.FILTER(Table_BangLuong_TyLeTangCa[Tỷ lệ],
(Table_BangLuong_TyLeTangCa[Ngày] = "Thường") *
(Table_BangLuong_TyLeTangCa[Giờ min]&lt;=$AA36) *
(Table_BangLuong_TyLeTangCa[Giờ max]&gt;$AA36)
))),
IF(
AND(
$AA36-$Z$4&gt;=MAX(BB$4,VLOOKUP(BB$6, Table_ChiPhiNV_Ca[], COUNTA(Table_ChiPhiNV_Ca[[#Headers],[Ca]:[Bắt đầu]]),0)),
$AA36&lt;MIN(BB$5,VLOOKUP(BB$6, Table_ChiPhiNV_Ca[], COUNTA(Table_ChiPhiNV_Ca[[#Headers],[Ca]:[Kết thúc]]),0))),
SUM(_xlfn._xlws.FILTER(Table_BangLuong_TyLeTangCa[Tỷ lệ],
(Table_BangLuong_TyLeTangCa[Ngày] = "Thường") *
(Table_BangLuong_TyLeTangCa[Giờ min]&lt;=$AA36) *
(Table_BangLuong_TyLeTangCa[Giờ max]&gt;$AA36)
)),0)
)),
IF(BB$4 &lt; BB$5,
IF($AA36-$Z$4&lt;BB$4,0,
IF($AA36&gt;BB$5,0,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BB$5,$AA36 &lt; BB$4),0,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C36" s="18" cm="1">
        <f t="array" ref="BC36" xml:space="preserve">
IFERROR(
IF(BC$1="",0,
IF(AND(
$AA36&gt;=VLOOKUP(BC$6, Table_ChiPhiNV_Ca[], COUNTA(Table_ChiPhiNV_Ca[[#Headers],[Ca]:[Bắt đầu nghỉ]]),0),
$AA36&lt;VLOOKUP(BC$6, Table_ChiPhiNV_Ca[], COUNTA(Table_ChiPhiNV_Ca[[#Headers],[Ca]:[Kết thúc nghỉ]]),0)
),0,
IF(NOT(ISBLANK(BC$3)),
IF(ISBLANK(BC$7),0,
IF(BC$4 &lt; BC$5,
IF($AA36-$Z$4&lt;BC$4,0,
IF($AA36&gt;BC$5,0,
SUM(_xlfn._xlws.FILTER(Table_BangLuong_TyLeTangCa[Tỷ lệ],
(Table_BangLuong_TyLeTangCa[Ngày] = BC$3) *
(Table_BangLuong_TyLeTangCa[Giờ min]&lt;=$AA36) *
(Table_BangLuong_TyLeTangCa[Giờ max]&gt;$AA36)
)))),
IF(AND($AA36-$Z$4 &gt;= BC$5,$AA36 &lt; BC$4),0,
SUM(_xlfn._xlws.FILTER(Table_BangLuong_TyLeTangCa[Tỷ lệ],
(Table_BangLuong_TyLeTangCa[Ngày] = BC$3) *
(Table_BangLuong_TyLeTangCa[Giờ min]&lt;=$AA36) *
(Table_BangLuong_TyLeTangCa[Giờ max]&gt;$AA36)
))))
),
IF(ISBLANK(BC$7),
IF(VLOOKUP(BC$6, Table_ChiPhiNV_Ca[], COUNTA(Table_ChiPhiNV_Ca[[#Headers],[Ca]:[Kết thúc]]),0)&gt; VLOOKUP(BC$6, Table_ChiPhiNV_Ca[], COUNTA(Table_ChiPhiNV_Ca[[#Headers],[Ca]:[Bắt đầu]]),0),
IF($AA36-$Z$4&lt;MAX(BC$4,VLOOKUP(BC$6, Table_ChiPhiNV_Ca[], COUNTA(Table_ChiPhiNV_Ca[[#Headers],[Ca]:[Bắt đầu]]),0)),0,
IF($AA36&gt;MIN(BC$5,VLOOKUP(BC$6, Table_ChiPhiNV_Ca[], COUNTA(Table_ChiPhiNV_Ca[[#Headers],[Ca]:[Kết thúc]]),0)),0,
SUM(_xlfn._xlws.FILTER(Table_BangLuong_TyLeTangCa[Tỷ lệ],
(Table_BangLuong_TyLeTangCa[Ngày] = "Thường") *
(Table_BangLuong_TyLeTangCa[Giờ min]&lt;=$AA36) *
(Table_BangLuong_TyLeTangCa[Giờ max]&gt;$AA36)
)))),
IF(BC$4 &gt; BC$5,
IF(
AND(
$AA36-$Z$4&lt;MAX(BC$4,VLOOKUP(BC$6, Table_ChiPhiNV_Ca[], COUNTA(Table_ChiPhiNV_Ca[[#Headers],[Ca]:[Bắt đầu]]),0)),
$AA36&gt;MIN(BC$5,VLOOKUP(BC$6, Table_ChiPhiNV_Ca[], COUNTA(Table_ChiPhiNV_Ca[[#Headers],[Ca]:[Kết thúc]]),0))),0,
SUM(_xlfn._xlws.FILTER(Table_BangLuong_TyLeTangCa[Tỷ lệ],
(Table_BangLuong_TyLeTangCa[Ngày] = "Thường") *
(Table_BangLuong_TyLeTangCa[Giờ min]&lt;=$AA36) *
(Table_BangLuong_TyLeTangCa[Giờ max]&gt;$AA36)
))),
IF(
AND(
$AA36-$Z$4&gt;=MAX(BC$4,VLOOKUP(BC$6, Table_ChiPhiNV_Ca[], COUNTA(Table_ChiPhiNV_Ca[[#Headers],[Ca]:[Bắt đầu]]),0)),
$AA36&lt;MIN(BC$5,VLOOKUP(BC$6, Table_ChiPhiNV_Ca[], COUNTA(Table_ChiPhiNV_Ca[[#Headers],[Ca]:[Kết thúc]]),0))),
SUM(_xlfn._xlws.FILTER(Table_BangLuong_TyLeTangCa[Tỷ lệ],
(Table_BangLuong_TyLeTangCa[Ngày] = "Thường") *
(Table_BangLuong_TyLeTangCa[Giờ min]&lt;=$AA36) *
(Table_BangLuong_TyLeTangCa[Giờ max]&gt;$AA36)
)),0)
)),
IF(BC$4 &lt; BC$5,
IF($AA36-$Z$4&lt;BC$4,0,
IF($AA36&gt;BC$5,0,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BC$5,$AA36 &lt; BC$4),0,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D36" s="18" cm="1">
        <f t="array" ref="BD36" xml:space="preserve">
IFERROR(
IF(BD$1="",0,
IF(AND(
$AA36&gt;=VLOOKUP(BD$6, Table_ChiPhiNV_Ca[], COUNTA(Table_ChiPhiNV_Ca[[#Headers],[Ca]:[Bắt đầu nghỉ]]),0),
$AA36&lt;VLOOKUP(BD$6, Table_ChiPhiNV_Ca[], COUNTA(Table_ChiPhiNV_Ca[[#Headers],[Ca]:[Kết thúc nghỉ]]),0)
),0,
IF(NOT(ISBLANK(BD$3)),
IF(ISBLANK(BD$7),0,
IF(BD$4 &lt; BD$5,
IF($AA36-$Z$4&lt;BD$4,0,
IF($AA36&gt;BD$5,0,
SUM(_xlfn._xlws.FILTER(Table_BangLuong_TyLeTangCa[Tỷ lệ],
(Table_BangLuong_TyLeTangCa[Ngày] = BD$3) *
(Table_BangLuong_TyLeTangCa[Giờ min]&lt;=$AA36) *
(Table_BangLuong_TyLeTangCa[Giờ max]&gt;$AA36)
)))),
IF(AND($AA36-$Z$4 &gt;= BD$5,$AA36 &lt; BD$4),0,
SUM(_xlfn._xlws.FILTER(Table_BangLuong_TyLeTangCa[Tỷ lệ],
(Table_BangLuong_TyLeTangCa[Ngày] = BD$3) *
(Table_BangLuong_TyLeTangCa[Giờ min]&lt;=$AA36) *
(Table_BangLuong_TyLeTangCa[Giờ max]&gt;$AA36)
))))
),
IF(ISBLANK(BD$7),
IF(VLOOKUP(BD$6, Table_ChiPhiNV_Ca[], COUNTA(Table_ChiPhiNV_Ca[[#Headers],[Ca]:[Kết thúc]]),0)&gt; VLOOKUP(BD$6, Table_ChiPhiNV_Ca[], COUNTA(Table_ChiPhiNV_Ca[[#Headers],[Ca]:[Bắt đầu]]),0),
IF($AA36-$Z$4&lt;MAX(BD$4,VLOOKUP(BD$6, Table_ChiPhiNV_Ca[], COUNTA(Table_ChiPhiNV_Ca[[#Headers],[Ca]:[Bắt đầu]]),0)),0,
IF($AA36&gt;MIN(BD$5,VLOOKUP(BD$6, Table_ChiPhiNV_Ca[], COUNTA(Table_ChiPhiNV_Ca[[#Headers],[Ca]:[Kết thúc]]),0)),0,
SUM(_xlfn._xlws.FILTER(Table_BangLuong_TyLeTangCa[Tỷ lệ],
(Table_BangLuong_TyLeTangCa[Ngày] = "Thường") *
(Table_BangLuong_TyLeTangCa[Giờ min]&lt;=$AA36) *
(Table_BangLuong_TyLeTangCa[Giờ max]&gt;$AA36)
)))),
IF(BD$4 &gt; BD$5,
IF(
AND(
$AA36-$Z$4&lt;MAX(BD$4,VLOOKUP(BD$6, Table_ChiPhiNV_Ca[], COUNTA(Table_ChiPhiNV_Ca[[#Headers],[Ca]:[Bắt đầu]]),0)),
$AA36&gt;MIN(BD$5,VLOOKUP(BD$6, Table_ChiPhiNV_Ca[], COUNTA(Table_ChiPhiNV_Ca[[#Headers],[Ca]:[Kết thúc]]),0))),0,
SUM(_xlfn._xlws.FILTER(Table_BangLuong_TyLeTangCa[Tỷ lệ],
(Table_BangLuong_TyLeTangCa[Ngày] = "Thường") *
(Table_BangLuong_TyLeTangCa[Giờ min]&lt;=$AA36) *
(Table_BangLuong_TyLeTangCa[Giờ max]&gt;$AA36)
))),
IF(
AND(
$AA36-$Z$4&gt;=MAX(BD$4,VLOOKUP(BD$6, Table_ChiPhiNV_Ca[], COUNTA(Table_ChiPhiNV_Ca[[#Headers],[Ca]:[Bắt đầu]]),0)),
$AA36&lt;MIN(BD$5,VLOOKUP(BD$6, Table_ChiPhiNV_Ca[], COUNTA(Table_ChiPhiNV_Ca[[#Headers],[Ca]:[Kết thúc]]),0))),
SUM(_xlfn._xlws.FILTER(Table_BangLuong_TyLeTangCa[Tỷ lệ],
(Table_BangLuong_TyLeTangCa[Ngày] = "Thường") *
(Table_BangLuong_TyLeTangCa[Giờ min]&lt;=$AA36) *
(Table_BangLuong_TyLeTangCa[Giờ max]&gt;$AA36)
)),0)
)),
IF(BD$4 &lt; BD$5,
IF($AA36-$Z$4&lt;BD$4,0,
IF($AA36&gt;BD$5,0,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BD$5,$AA36 &lt; BD$4),0,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E36" s="18" cm="1">
        <f t="array" ref="BE36" xml:space="preserve">
IFERROR(
IF(BE$1="",0,
IF(AND(
$AA36&gt;=VLOOKUP(BE$6, Table_ChiPhiNV_Ca[], COUNTA(Table_ChiPhiNV_Ca[[#Headers],[Ca]:[Bắt đầu nghỉ]]),0),
$AA36&lt;VLOOKUP(BE$6, Table_ChiPhiNV_Ca[], COUNTA(Table_ChiPhiNV_Ca[[#Headers],[Ca]:[Kết thúc nghỉ]]),0)
),0,
IF(NOT(ISBLANK(BE$3)),
IF(ISBLANK(BE$7),0,
IF(BE$4 &lt; BE$5,
IF($AA36-$Z$4&lt;BE$4,0,
IF($AA36&gt;BE$5,0,
SUM(_xlfn._xlws.FILTER(Table_BangLuong_TyLeTangCa[Tỷ lệ],
(Table_BangLuong_TyLeTangCa[Ngày] = BE$3) *
(Table_BangLuong_TyLeTangCa[Giờ min]&lt;=$AA36) *
(Table_BangLuong_TyLeTangCa[Giờ max]&gt;$AA36)
)))),
IF(AND($AA36-$Z$4 &gt;= BE$5,$AA36 &lt; BE$4),0,
SUM(_xlfn._xlws.FILTER(Table_BangLuong_TyLeTangCa[Tỷ lệ],
(Table_BangLuong_TyLeTangCa[Ngày] = BE$3) *
(Table_BangLuong_TyLeTangCa[Giờ min]&lt;=$AA36) *
(Table_BangLuong_TyLeTangCa[Giờ max]&gt;$AA36)
))))
),
IF(ISBLANK(BE$7),
IF(VLOOKUP(BE$6, Table_ChiPhiNV_Ca[], COUNTA(Table_ChiPhiNV_Ca[[#Headers],[Ca]:[Kết thúc]]),0)&gt; VLOOKUP(BE$6, Table_ChiPhiNV_Ca[], COUNTA(Table_ChiPhiNV_Ca[[#Headers],[Ca]:[Bắt đầu]]),0),
IF($AA36-$Z$4&lt;MAX(BE$4,VLOOKUP(BE$6, Table_ChiPhiNV_Ca[], COUNTA(Table_ChiPhiNV_Ca[[#Headers],[Ca]:[Bắt đầu]]),0)),0,
IF($AA36&gt;MIN(BE$5,VLOOKUP(BE$6, Table_ChiPhiNV_Ca[], COUNTA(Table_ChiPhiNV_Ca[[#Headers],[Ca]:[Kết thúc]]),0)),0,
SUM(_xlfn._xlws.FILTER(Table_BangLuong_TyLeTangCa[Tỷ lệ],
(Table_BangLuong_TyLeTangCa[Ngày] = "Thường") *
(Table_BangLuong_TyLeTangCa[Giờ min]&lt;=$AA36) *
(Table_BangLuong_TyLeTangCa[Giờ max]&gt;$AA36)
)))),
IF(BE$4 &gt; BE$5,
IF(
AND(
$AA36-$Z$4&lt;MAX(BE$4,VLOOKUP(BE$6, Table_ChiPhiNV_Ca[], COUNTA(Table_ChiPhiNV_Ca[[#Headers],[Ca]:[Bắt đầu]]),0)),
$AA36&gt;MIN(BE$5,VLOOKUP(BE$6, Table_ChiPhiNV_Ca[], COUNTA(Table_ChiPhiNV_Ca[[#Headers],[Ca]:[Kết thúc]]),0))),0,
SUM(_xlfn._xlws.FILTER(Table_BangLuong_TyLeTangCa[Tỷ lệ],
(Table_BangLuong_TyLeTangCa[Ngày] = "Thường") *
(Table_BangLuong_TyLeTangCa[Giờ min]&lt;=$AA36) *
(Table_BangLuong_TyLeTangCa[Giờ max]&gt;$AA36)
))),
IF(
AND(
$AA36-$Z$4&gt;=MAX(BE$4,VLOOKUP(BE$6, Table_ChiPhiNV_Ca[], COUNTA(Table_ChiPhiNV_Ca[[#Headers],[Ca]:[Bắt đầu]]),0)),
$AA36&lt;MIN(BE$5,VLOOKUP(BE$6, Table_ChiPhiNV_Ca[], COUNTA(Table_ChiPhiNV_Ca[[#Headers],[Ca]:[Kết thúc]]),0))),
SUM(_xlfn._xlws.FILTER(Table_BangLuong_TyLeTangCa[Tỷ lệ],
(Table_BangLuong_TyLeTangCa[Ngày] = "Thường") *
(Table_BangLuong_TyLeTangCa[Giờ min]&lt;=$AA36) *
(Table_BangLuong_TyLeTangCa[Giờ max]&gt;$AA36)
)),0)
)),
IF(BE$4 &lt; BE$5,
IF($AA36-$Z$4&lt;BE$4,0,
IF($AA36&gt;BE$5,0,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BE$5,$AA36 &lt; BE$4),0,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F36" s="18" cm="1">
        <f t="array" ref="BF36" xml:space="preserve">
IFERROR(
IF(BF$1="",0,
IF(AND(
$AA36&gt;=VLOOKUP(BF$6, Table_ChiPhiNV_Ca[], COUNTA(Table_ChiPhiNV_Ca[[#Headers],[Ca]:[Bắt đầu nghỉ]]),0),
$AA36&lt;VLOOKUP(BF$6, Table_ChiPhiNV_Ca[], COUNTA(Table_ChiPhiNV_Ca[[#Headers],[Ca]:[Kết thúc nghỉ]]),0)
),0,
IF(NOT(ISBLANK(BF$3)),
IF(ISBLANK(BF$7),0,
IF(BF$4 &lt; BF$5,
IF($AA36-$Z$4&lt;BF$4,0,
IF($AA36&gt;BF$5,0,
SUM(_xlfn._xlws.FILTER(Table_BangLuong_TyLeTangCa[Tỷ lệ],
(Table_BangLuong_TyLeTangCa[Ngày] = BF$3) *
(Table_BangLuong_TyLeTangCa[Giờ min]&lt;=$AA36) *
(Table_BangLuong_TyLeTangCa[Giờ max]&gt;$AA36)
)))),
IF(AND($AA36-$Z$4 &gt;= BF$5,$AA36 &lt; BF$4),0,
SUM(_xlfn._xlws.FILTER(Table_BangLuong_TyLeTangCa[Tỷ lệ],
(Table_BangLuong_TyLeTangCa[Ngày] = BF$3) *
(Table_BangLuong_TyLeTangCa[Giờ min]&lt;=$AA36) *
(Table_BangLuong_TyLeTangCa[Giờ max]&gt;$AA36)
))))
),
IF(ISBLANK(BF$7),
IF(VLOOKUP(BF$6, Table_ChiPhiNV_Ca[], COUNTA(Table_ChiPhiNV_Ca[[#Headers],[Ca]:[Kết thúc]]),0)&gt; VLOOKUP(BF$6, Table_ChiPhiNV_Ca[], COUNTA(Table_ChiPhiNV_Ca[[#Headers],[Ca]:[Bắt đầu]]),0),
IF($AA36-$Z$4&lt;MAX(BF$4,VLOOKUP(BF$6, Table_ChiPhiNV_Ca[], COUNTA(Table_ChiPhiNV_Ca[[#Headers],[Ca]:[Bắt đầu]]),0)),0,
IF($AA36&gt;MIN(BF$5,VLOOKUP(BF$6, Table_ChiPhiNV_Ca[], COUNTA(Table_ChiPhiNV_Ca[[#Headers],[Ca]:[Kết thúc]]),0)),0,
SUM(_xlfn._xlws.FILTER(Table_BangLuong_TyLeTangCa[Tỷ lệ],
(Table_BangLuong_TyLeTangCa[Ngày] = "Thường") *
(Table_BangLuong_TyLeTangCa[Giờ min]&lt;=$AA36) *
(Table_BangLuong_TyLeTangCa[Giờ max]&gt;$AA36)
)))),
IF(BF$4 &gt; BF$5,
IF(
AND(
$AA36-$Z$4&lt;MAX(BF$4,VLOOKUP(BF$6, Table_ChiPhiNV_Ca[], COUNTA(Table_ChiPhiNV_Ca[[#Headers],[Ca]:[Bắt đầu]]),0)),
$AA36&gt;MIN(BF$5,VLOOKUP(BF$6, Table_ChiPhiNV_Ca[], COUNTA(Table_ChiPhiNV_Ca[[#Headers],[Ca]:[Kết thúc]]),0))),0,
SUM(_xlfn._xlws.FILTER(Table_BangLuong_TyLeTangCa[Tỷ lệ],
(Table_BangLuong_TyLeTangCa[Ngày] = "Thường") *
(Table_BangLuong_TyLeTangCa[Giờ min]&lt;=$AA36) *
(Table_BangLuong_TyLeTangCa[Giờ max]&gt;$AA36)
))),
IF(
AND(
$AA36-$Z$4&gt;=MAX(BF$4,VLOOKUP(BF$6, Table_ChiPhiNV_Ca[], COUNTA(Table_ChiPhiNV_Ca[[#Headers],[Ca]:[Bắt đầu]]),0)),
$AA36&lt;MIN(BF$5,VLOOKUP(BF$6, Table_ChiPhiNV_Ca[], COUNTA(Table_ChiPhiNV_Ca[[#Headers],[Ca]:[Kết thúc]]),0))),
SUM(_xlfn._xlws.FILTER(Table_BangLuong_TyLeTangCa[Tỷ lệ],
(Table_BangLuong_TyLeTangCa[Ngày] = "Thường") *
(Table_BangLuong_TyLeTangCa[Giờ min]&lt;=$AA36) *
(Table_BangLuong_TyLeTangCa[Giờ max]&gt;$AA36)
)),0)
)),
IF(BF$4 &lt; BF$5,
IF($AA36-$Z$4&lt;BF$4,0,
IF($AA36&gt;BF$5,0,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BF$5,$AA36 &lt; BF$4),0,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row>
    <row r="37" spans="2:58" ht="18" customHeight="1" outlineLevel="1" x14ac:dyDescent="0.3">
      <c r="AA37" s="50">
        <v>0.58333333333333304</v>
      </c>
      <c r="AB37" s="18" cm="1">
        <f t="array" ref="AB37" xml:space="preserve">
IFERROR(
IF(AB$1="",0,
IF(AND(
$AA37&gt;=VLOOKUP(AB$6, Table_ChiPhiNV_Ca[], COUNTA(Table_ChiPhiNV_Ca[[#Headers],[Ca]:[Bắt đầu nghỉ]]),0),
$AA37&lt;VLOOKUP(AB$6, Table_ChiPhiNV_Ca[], COUNTA(Table_ChiPhiNV_Ca[[#Headers],[Ca]:[Kết thúc nghỉ]]),0)
),0,
IF(NOT(ISBLANK(AB$3)),
IF(ISBLANK(AB$7),0,
IF(AB$4 &lt; AB$5,
IF($AA37-$Z$4&lt;AB$4,0,
IF($AA37&gt;AB$5,0,
SUM(_xlfn._xlws.FILTER(Table_BangLuong_TyLeTangCa[Tỷ lệ],
(Table_BangLuong_TyLeTangCa[Ngày] = AB$3) *
(Table_BangLuong_TyLeTangCa[Giờ min]&lt;=$AA37) *
(Table_BangLuong_TyLeTangCa[Giờ max]&gt;$AA37)
)))),
IF(AND($AA37-$Z$4 &gt;= AB$5,$AA37 &lt; AB$4),0,
SUM(_xlfn._xlws.FILTER(Table_BangLuong_TyLeTangCa[Tỷ lệ],
(Table_BangLuong_TyLeTangCa[Ngày] = AB$3) *
(Table_BangLuong_TyLeTangCa[Giờ min]&lt;=$AA37) *
(Table_BangLuong_TyLeTangCa[Giờ max]&gt;$AA37)
))))
),
IF(ISBLANK(AB$7),
IF(VLOOKUP(AB$6, Table_ChiPhiNV_Ca[], COUNTA(Table_ChiPhiNV_Ca[[#Headers],[Ca]:[Kết thúc]]),0)&gt; VLOOKUP(AB$6, Table_ChiPhiNV_Ca[], COUNTA(Table_ChiPhiNV_Ca[[#Headers],[Ca]:[Bắt đầu]]),0),
IF($AA37-$Z$4&lt;MAX(AB$4,VLOOKUP(AB$6, Table_ChiPhiNV_Ca[], COUNTA(Table_ChiPhiNV_Ca[[#Headers],[Ca]:[Bắt đầu]]),0)),0,
IF($AA37&gt;MIN(AB$5,VLOOKUP(AB$6, Table_ChiPhiNV_Ca[], COUNTA(Table_ChiPhiNV_Ca[[#Headers],[Ca]:[Kết thúc]]),0)),0,
SUM(_xlfn._xlws.FILTER(Table_BangLuong_TyLeTangCa[Tỷ lệ],
(Table_BangLuong_TyLeTangCa[Ngày] = "Thường") *
(Table_BangLuong_TyLeTangCa[Giờ min]&lt;=$AA37) *
(Table_BangLuong_TyLeTangCa[Giờ max]&gt;$AA37)
)))),
IF(AB$4 &gt; AB$5,
IF(
AND(
$AA37-$Z$4&lt;MAX(AB$4,VLOOKUP(AB$6, Table_ChiPhiNV_Ca[], COUNTA(Table_ChiPhiNV_Ca[[#Headers],[Ca]:[Bắt đầu]]),0)),
$AA37&gt;MIN(AB$5,VLOOKUP(AB$6, Table_ChiPhiNV_Ca[], COUNTA(Table_ChiPhiNV_Ca[[#Headers],[Ca]:[Kết thúc]]),0))),0,
SUM(_xlfn._xlws.FILTER(Table_BangLuong_TyLeTangCa[Tỷ lệ],
(Table_BangLuong_TyLeTangCa[Ngày] = "Thường") *
(Table_BangLuong_TyLeTangCa[Giờ min]&lt;=$AA37) *
(Table_BangLuong_TyLeTangCa[Giờ max]&gt;$AA37)
))),
IF(
AND(
$AA37-$Z$4&gt;=MAX(AB$4,VLOOKUP(AB$6, Table_ChiPhiNV_Ca[], COUNTA(Table_ChiPhiNV_Ca[[#Headers],[Ca]:[Bắt đầu]]),0)),
$AA37&lt;MIN(AB$5,VLOOKUP(AB$6, Table_ChiPhiNV_Ca[], COUNTA(Table_ChiPhiNV_Ca[[#Headers],[Ca]:[Kết thúc]]),0))),
SUM(_xlfn._xlws.FILTER(Table_BangLuong_TyLeTangCa[Tỷ lệ],
(Table_BangLuong_TyLeTangCa[Ngày] = "Thường") *
(Table_BangLuong_TyLeTangCa[Giờ min]&lt;=$AA37) *
(Table_BangLuong_TyLeTangCa[Giờ max]&gt;$AA37)
)),0)
)),
IF(AB$4 &lt; AB$5,
IF($AA37-$Z$4&lt;AB$4,0,
IF($AA37&gt;AB$5,0,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AB$5,$AA37 &lt; AB$4),0,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C37" s="18" cm="1">
        <f t="array" ref="AC37" xml:space="preserve">
IFERROR(
IF(AC$1="",0,
IF(AND(
$AA37&gt;=VLOOKUP(AC$6, Table_ChiPhiNV_Ca[], COUNTA(Table_ChiPhiNV_Ca[[#Headers],[Ca]:[Bắt đầu nghỉ]]),0),
$AA37&lt;VLOOKUP(AC$6, Table_ChiPhiNV_Ca[], COUNTA(Table_ChiPhiNV_Ca[[#Headers],[Ca]:[Kết thúc nghỉ]]),0)
),0,
IF(NOT(ISBLANK(AC$3)),
IF(ISBLANK(AC$7),0,
IF(AC$4 &lt; AC$5,
IF($AA37-$Z$4&lt;AC$4,0,
IF($AA37&gt;AC$5,0,
SUM(_xlfn._xlws.FILTER(Table_BangLuong_TyLeTangCa[Tỷ lệ],
(Table_BangLuong_TyLeTangCa[Ngày] = AC$3) *
(Table_BangLuong_TyLeTangCa[Giờ min]&lt;=$AA37) *
(Table_BangLuong_TyLeTangCa[Giờ max]&gt;$AA37)
)))),
IF(AND($AA37-$Z$4 &gt;= AC$5,$AA37 &lt; AC$4),0,
SUM(_xlfn._xlws.FILTER(Table_BangLuong_TyLeTangCa[Tỷ lệ],
(Table_BangLuong_TyLeTangCa[Ngày] = AC$3) *
(Table_BangLuong_TyLeTangCa[Giờ min]&lt;=$AA37) *
(Table_BangLuong_TyLeTangCa[Giờ max]&gt;$AA37)
))))
),
IF(ISBLANK(AC$7),
IF(VLOOKUP(AC$6, Table_ChiPhiNV_Ca[], COUNTA(Table_ChiPhiNV_Ca[[#Headers],[Ca]:[Kết thúc]]),0)&gt; VLOOKUP(AC$6, Table_ChiPhiNV_Ca[], COUNTA(Table_ChiPhiNV_Ca[[#Headers],[Ca]:[Bắt đầu]]),0),
IF($AA37-$Z$4&lt;MAX(AC$4,VLOOKUP(AC$6, Table_ChiPhiNV_Ca[], COUNTA(Table_ChiPhiNV_Ca[[#Headers],[Ca]:[Bắt đầu]]),0)),0,
IF($AA37&gt;MIN(AC$5,VLOOKUP(AC$6, Table_ChiPhiNV_Ca[], COUNTA(Table_ChiPhiNV_Ca[[#Headers],[Ca]:[Kết thúc]]),0)),0,
SUM(_xlfn._xlws.FILTER(Table_BangLuong_TyLeTangCa[Tỷ lệ],
(Table_BangLuong_TyLeTangCa[Ngày] = "Thường") *
(Table_BangLuong_TyLeTangCa[Giờ min]&lt;=$AA37) *
(Table_BangLuong_TyLeTangCa[Giờ max]&gt;$AA37)
)))),
IF(AC$4 &gt; AC$5,
IF(
AND(
$AA37-$Z$4&lt;MAX(AC$4,VLOOKUP(AC$6, Table_ChiPhiNV_Ca[], COUNTA(Table_ChiPhiNV_Ca[[#Headers],[Ca]:[Bắt đầu]]),0)),
$AA37&gt;MIN(AC$5,VLOOKUP(AC$6, Table_ChiPhiNV_Ca[], COUNTA(Table_ChiPhiNV_Ca[[#Headers],[Ca]:[Kết thúc]]),0))),0,
SUM(_xlfn._xlws.FILTER(Table_BangLuong_TyLeTangCa[Tỷ lệ],
(Table_BangLuong_TyLeTangCa[Ngày] = "Thường") *
(Table_BangLuong_TyLeTangCa[Giờ min]&lt;=$AA37) *
(Table_BangLuong_TyLeTangCa[Giờ max]&gt;$AA37)
))),
IF(
AND(
$AA37-$Z$4&gt;=MAX(AC$4,VLOOKUP(AC$6, Table_ChiPhiNV_Ca[], COUNTA(Table_ChiPhiNV_Ca[[#Headers],[Ca]:[Bắt đầu]]),0)),
$AA37&lt;MIN(AC$5,VLOOKUP(AC$6, Table_ChiPhiNV_Ca[], COUNTA(Table_ChiPhiNV_Ca[[#Headers],[Ca]:[Kết thúc]]),0))),
SUM(_xlfn._xlws.FILTER(Table_BangLuong_TyLeTangCa[Tỷ lệ],
(Table_BangLuong_TyLeTangCa[Ngày] = "Thường") *
(Table_BangLuong_TyLeTangCa[Giờ min]&lt;=$AA37) *
(Table_BangLuong_TyLeTangCa[Giờ max]&gt;$AA37)
)),0)
)),
IF(AC$4 &lt; AC$5,
IF($AA37-$Z$4&lt;AC$4,0,
IF($AA37&gt;AC$5,0,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AC$5,$AA37 &lt; AC$4),0,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D37" s="18" cm="1">
        <f t="array" ref="AD37" xml:space="preserve">
IFERROR(
IF(AD$1="",0,
IF(AND(
$AA37&gt;=VLOOKUP(AD$6, Table_ChiPhiNV_Ca[], COUNTA(Table_ChiPhiNV_Ca[[#Headers],[Ca]:[Bắt đầu nghỉ]]),0),
$AA37&lt;VLOOKUP(AD$6, Table_ChiPhiNV_Ca[], COUNTA(Table_ChiPhiNV_Ca[[#Headers],[Ca]:[Kết thúc nghỉ]]),0)
),0,
IF(NOT(ISBLANK(AD$3)),
IF(ISBLANK(AD$7),0,
IF(AD$4 &lt; AD$5,
IF($AA37-$Z$4&lt;AD$4,0,
IF($AA37&gt;AD$5,0,
SUM(_xlfn._xlws.FILTER(Table_BangLuong_TyLeTangCa[Tỷ lệ],
(Table_BangLuong_TyLeTangCa[Ngày] = AD$3) *
(Table_BangLuong_TyLeTangCa[Giờ min]&lt;=$AA37) *
(Table_BangLuong_TyLeTangCa[Giờ max]&gt;$AA37)
)))),
IF(AND($AA37-$Z$4 &gt;= AD$5,$AA37 &lt; AD$4),0,
SUM(_xlfn._xlws.FILTER(Table_BangLuong_TyLeTangCa[Tỷ lệ],
(Table_BangLuong_TyLeTangCa[Ngày] = AD$3) *
(Table_BangLuong_TyLeTangCa[Giờ min]&lt;=$AA37) *
(Table_BangLuong_TyLeTangCa[Giờ max]&gt;$AA37)
))))
),
IF(ISBLANK(AD$7),
IF(VLOOKUP(AD$6, Table_ChiPhiNV_Ca[], COUNTA(Table_ChiPhiNV_Ca[[#Headers],[Ca]:[Kết thúc]]),0)&gt; VLOOKUP(AD$6, Table_ChiPhiNV_Ca[], COUNTA(Table_ChiPhiNV_Ca[[#Headers],[Ca]:[Bắt đầu]]),0),
IF($AA37-$Z$4&lt;MAX(AD$4,VLOOKUP(AD$6, Table_ChiPhiNV_Ca[], COUNTA(Table_ChiPhiNV_Ca[[#Headers],[Ca]:[Bắt đầu]]),0)),0,
IF($AA37&gt;MIN(AD$5,VLOOKUP(AD$6, Table_ChiPhiNV_Ca[], COUNTA(Table_ChiPhiNV_Ca[[#Headers],[Ca]:[Kết thúc]]),0)),0,
SUM(_xlfn._xlws.FILTER(Table_BangLuong_TyLeTangCa[Tỷ lệ],
(Table_BangLuong_TyLeTangCa[Ngày] = "Thường") *
(Table_BangLuong_TyLeTangCa[Giờ min]&lt;=$AA37) *
(Table_BangLuong_TyLeTangCa[Giờ max]&gt;$AA37)
)))),
IF(AD$4 &gt; AD$5,
IF(
AND(
$AA37-$Z$4&lt;MAX(AD$4,VLOOKUP(AD$6, Table_ChiPhiNV_Ca[], COUNTA(Table_ChiPhiNV_Ca[[#Headers],[Ca]:[Bắt đầu]]),0)),
$AA37&gt;MIN(AD$5,VLOOKUP(AD$6, Table_ChiPhiNV_Ca[], COUNTA(Table_ChiPhiNV_Ca[[#Headers],[Ca]:[Kết thúc]]),0))),0,
SUM(_xlfn._xlws.FILTER(Table_BangLuong_TyLeTangCa[Tỷ lệ],
(Table_BangLuong_TyLeTangCa[Ngày] = "Thường") *
(Table_BangLuong_TyLeTangCa[Giờ min]&lt;=$AA37) *
(Table_BangLuong_TyLeTangCa[Giờ max]&gt;$AA37)
))),
IF(
AND(
$AA37-$Z$4&gt;=MAX(AD$4,VLOOKUP(AD$6, Table_ChiPhiNV_Ca[], COUNTA(Table_ChiPhiNV_Ca[[#Headers],[Ca]:[Bắt đầu]]),0)),
$AA37&lt;MIN(AD$5,VLOOKUP(AD$6, Table_ChiPhiNV_Ca[], COUNTA(Table_ChiPhiNV_Ca[[#Headers],[Ca]:[Kết thúc]]),0))),
SUM(_xlfn._xlws.FILTER(Table_BangLuong_TyLeTangCa[Tỷ lệ],
(Table_BangLuong_TyLeTangCa[Ngày] = "Thường") *
(Table_BangLuong_TyLeTangCa[Giờ min]&lt;=$AA37) *
(Table_BangLuong_TyLeTangCa[Giờ max]&gt;$AA37)
)),0)
)),
IF(AD$4 &lt; AD$5,
IF($AA37-$Z$4&lt;AD$4,0,
IF($AA37&gt;AD$5,0,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AD$5,$AA37 &lt; AD$4),0,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E37" s="18" cm="1">
        <f t="array" ref="AE37" xml:space="preserve">
IFERROR(
IF(AE$1="",0,
IF(AND(
$AA37&gt;=VLOOKUP(AE$6, Table_ChiPhiNV_Ca[], COUNTA(Table_ChiPhiNV_Ca[[#Headers],[Ca]:[Bắt đầu nghỉ]]),0),
$AA37&lt;VLOOKUP(AE$6, Table_ChiPhiNV_Ca[], COUNTA(Table_ChiPhiNV_Ca[[#Headers],[Ca]:[Kết thúc nghỉ]]),0)
),0,
IF(NOT(ISBLANK(AE$3)),
IF(ISBLANK(AE$7),0,
IF(AE$4 &lt; AE$5,
IF($AA37-$Z$4&lt;AE$4,0,
IF($AA37&gt;AE$5,0,
SUM(_xlfn._xlws.FILTER(Table_BangLuong_TyLeTangCa[Tỷ lệ],
(Table_BangLuong_TyLeTangCa[Ngày] = AE$3) *
(Table_BangLuong_TyLeTangCa[Giờ min]&lt;=$AA37) *
(Table_BangLuong_TyLeTangCa[Giờ max]&gt;$AA37)
)))),
IF(AND($AA37-$Z$4 &gt;= AE$5,$AA37 &lt; AE$4),0,
SUM(_xlfn._xlws.FILTER(Table_BangLuong_TyLeTangCa[Tỷ lệ],
(Table_BangLuong_TyLeTangCa[Ngày] = AE$3) *
(Table_BangLuong_TyLeTangCa[Giờ min]&lt;=$AA37) *
(Table_BangLuong_TyLeTangCa[Giờ max]&gt;$AA37)
))))
),
IF(ISBLANK(AE$7),
IF(VLOOKUP(AE$6, Table_ChiPhiNV_Ca[], COUNTA(Table_ChiPhiNV_Ca[[#Headers],[Ca]:[Kết thúc]]),0)&gt; VLOOKUP(AE$6, Table_ChiPhiNV_Ca[], COUNTA(Table_ChiPhiNV_Ca[[#Headers],[Ca]:[Bắt đầu]]),0),
IF($AA37-$Z$4&lt;MAX(AE$4,VLOOKUP(AE$6, Table_ChiPhiNV_Ca[], COUNTA(Table_ChiPhiNV_Ca[[#Headers],[Ca]:[Bắt đầu]]),0)),0,
IF($AA37&gt;MIN(AE$5,VLOOKUP(AE$6, Table_ChiPhiNV_Ca[], COUNTA(Table_ChiPhiNV_Ca[[#Headers],[Ca]:[Kết thúc]]),0)),0,
SUM(_xlfn._xlws.FILTER(Table_BangLuong_TyLeTangCa[Tỷ lệ],
(Table_BangLuong_TyLeTangCa[Ngày] = "Thường") *
(Table_BangLuong_TyLeTangCa[Giờ min]&lt;=$AA37) *
(Table_BangLuong_TyLeTangCa[Giờ max]&gt;$AA37)
)))),
IF(AE$4 &gt; AE$5,
IF(
AND(
$AA37-$Z$4&lt;MAX(AE$4,VLOOKUP(AE$6, Table_ChiPhiNV_Ca[], COUNTA(Table_ChiPhiNV_Ca[[#Headers],[Ca]:[Bắt đầu]]),0)),
$AA37&gt;MIN(AE$5,VLOOKUP(AE$6, Table_ChiPhiNV_Ca[], COUNTA(Table_ChiPhiNV_Ca[[#Headers],[Ca]:[Kết thúc]]),0))),0,
SUM(_xlfn._xlws.FILTER(Table_BangLuong_TyLeTangCa[Tỷ lệ],
(Table_BangLuong_TyLeTangCa[Ngày] = "Thường") *
(Table_BangLuong_TyLeTangCa[Giờ min]&lt;=$AA37) *
(Table_BangLuong_TyLeTangCa[Giờ max]&gt;$AA37)
))),
IF(
AND(
$AA37-$Z$4&gt;=MAX(AE$4,VLOOKUP(AE$6, Table_ChiPhiNV_Ca[], COUNTA(Table_ChiPhiNV_Ca[[#Headers],[Ca]:[Bắt đầu]]),0)),
$AA37&lt;MIN(AE$5,VLOOKUP(AE$6, Table_ChiPhiNV_Ca[], COUNTA(Table_ChiPhiNV_Ca[[#Headers],[Ca]:[Kết thúc]]),0))),
SUM(_xlfn._xlws.FILTER(Table_BangLuong_TyLeTangCa[Tỷ lệ],
(Table_BangLuong_TyLeTangCa[Ngày] = "Thường") *
(Table_BangLuong_TyLeTangCa[Giờ min]&lt;=$AA37) *
(Table_BangLuong_TyLeTangCa[Giờ max]&gt;$AA37)
)),0)
)),
IF(AE$4 &lt; AE$5,
IF($AA37-$Z$4&lt;AE$4,0,
IF($AA37&gt;AE$5,0,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AE$5,$AA37 &lt; AE$4),0,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F37" s="18" cm="1">
        <f t="array" ref="AF37" xml:space="preserve">
IFERROR(
IF(AF$1="",0,
IF(AND(
$AA37&gt;=VLOOKUP(AF$6, Table_ChiPhiNV_Ca[], COUNTA(Table_ChiPhiNV_Ca[[#Headers],[Ca]:[Bắt đầu nghỉ]]),0),
$AA37&lt;VLOOKUP(AF$6, Table_ChiPhiNV_Ca[], COUNTA(Table_ChiPhiNV_Ca[[#Headers],[Ca]:[Kết thúc nghỉ]]),0)
),0,
IF(NOT(ISBLANK(AF$3)),
IF(ISBLANK(AF$7),0,
IF(AF$4 &lt; AF$5,
IF($AA37-$Z$4&lt;AF$4,0,
IF($AA37&gt;AF$5,0,
SUM(_xlfn._xlws.FILTER(Table_BangLuong_TyLeTangCa[Tỷ lệ],
(Table_BangLuong_TyLeTangCa[Ngày] = AF$3) *
(Table_BangLuong_TyLeTangCa[Giờ min]&lt;=$AA37) *
(Table_BangLuong_TyLeTangCa[Giờ max]&gt;$AA37)
)))),
IF(AND($AA37-$Z$4 &gt;= AF$5,$AA37 &lt; AF$4),0,
SUM(_xlfn._xlws.FILTER(Table_BangLuong_TyLeTangCa[Tỷ lệ],
(Table_BangLuong_TyLeTangCa[Ngày] = AF$3) *
(Table_BangLuong_TyLeTangCa[Giờ min]&lt;=$AA37) *
(Table_BangLuong_TyLeTangCa[Giờ max]&gt;$AA37)
))))
),
IF(ISBLANK(AF$7),
IF(VLOOKUP(AF$6, Table_ChiPhiNV_Ca[], COUNTA(Table_ChiPhiNV_Ca[[#Headers],[Ca]:[Kết thúc]]),0)&gt; VLOOKUP(AF$6, Table_ChiPhiNV_Ca[], COUNTA(Table_ChiPhiNV_Ca[[#Headers],[Ca]:[Bắt đầu]]),0),
IF($AA37-$Z$4&lt;MAX(AF$4,VLOOKUP(AF$6, Table_ChiPhiNV_Ca[], COUNTA(Table_ChiPhiNV_Ca[[#Headers],[Ca]:[Bắt đầu]]),0)),0,
IF($AA37&gt;MIN(AF$5,VLOOKUP(AF$6, Table_ChiPhiNV_Ca[], COUNTA(Table_ChiPhiNV_Ca[[#Headers],[Ca]:[Kết thúc]]),0)),0,
SUM(_xlfn._xlws.FILTER(Table_BangLuong_TyLeTangCa[Tỷ lệ],
(Table_BangLuong_TyLeTangCa[Ngày] = "Thường") *
(Table_BangLuong_TyLeTangCa[Giờ min]&lt;=$AA37) *
(Table_BangLuong_TyLeTangCa[Giờ max]&gt;$AA37)
)))),
IF(AF$4 &gt; AF$5,
IF(
AND(
$AA37-$Z$4&lt;MAX(AF$4,VLOOKUP(AF$6, Table_ChiPhiNV_Ca[], COUNTA(Table_ChiPhiNV_Ca[[#Headers],[Ca]:[Bắt đầu]]),0)),
$AA37&gt;MIN(AF$5,VLOOKUP(AF$6, Table_ChiPhiNV_Ca[], COUNTA(Table_ChiPhiNV_Ca[[#Headers],[Ca]:[Kết thúc]]),0))),0,
SUM(_xlfn._xlws.FILTER(Table_BangLuong_TyLeTangCa[Tỷ lệ],
(Table_BangLuong_TyLeTangCa[Ngày] = "Thường") *
(Table_BangLuong_TyLeTangCa[Giờ min]&lt;=$AA37) *
(Table_BangLuong_TyLeTangCa[Giờ max]&gt;$AA37)
))),
IF(
AND(
$AA37-$Z$4&gt;=MAX(AF$4,VLOOKUP(AF$6, Table_ChiPhiNV_Ca[], COUNTA(Table_ChiPhiNV_Ca[[#Headers],[Ca]:[Bắt đầu]]),0)),
$AA37&lt;MIN(AF$5,VLOOKUP(AF$6, Table_ChiPhiNV_Ca[], COUNTA(Table_ChiPhiNV_Ca[[#Headers],[Ca]:[Kết thúc]]),0))),
SUM(_xlfn._xlws.FILTER(Table_BangLuong_TyLeTangCa[Tỷ lệ],
(Table_BangLuong_TyLeTangCa[Ngày] = "Thường") *
(Table_BangLuong_TyLeTangCa[Giờ min]&lt;=$AA37) *
(Table_BangLuong_TyLeTangCa[Giờ max]&gt;$AA37)
)),0)
)),
IF(AF$4 &lt; AF$5,
IF($AA37-$Z$4&lt;AF$4,0,
IF($AA37&gt;AF$5,0,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AF$5,$AA37 &lt; AF$4),0,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G37" s="18" cm="1">
        <f t="array" ref="AG37" xml:space="preserve">
IFERROR(
IF(AG$1="",0,
IF(AND(
$AA37&gt;=VLOOKUP(AG$6, Table_ChiPhiNV_Ca[], COUNTA(Table_ChiPhiNV_Ca[[#Headers],[Ca]:[Bắt đầu nghỉ]]),0),
$AA37&lt;VLOOKUP(AG$6, Table_ChiPhiNV_Ca[], COUNTA(Table_ChiPhiNV_Ca[[#Headers],[Ca]:[Kết thúc nghỉ]]),0)
),0,
IF(NOT(ISBLANK(AG$3)),
IF(ISBLANK(AG$7),0,
IF(AG$4 &lt; AG$5,
IF($AA37-$Z$4&lt;AG$4,0,
IF($AA37&gt;AG$5,0,
SUM(_xlfn._xlws.FILTER(Table_BangLuong_TyLeTangCa[Tỷ lệ],
(Table_BangLuong_TyLeTangCa[Ngày] = AG$3) *
(Table_BangLuong_TyLeTangCa[Giờ min]&lt;=$AA37) *
(Table_BangLuong_TyLeTangCa[Giờ max]&gt;$AA37)
)))),
IF(AND($AA37-$Z$4 &gt;= AG$5,$AA37 &lt; AG$4),0,
SUM(_xlfn._xlws.FILTER(Table_BangLuong_TyLeTangCa[Tỷ lệ],
(Table_BangLuong_TyLeTangCa[Ngày] = AG$3) *
(Table_BangLuong_TyLeTangCa[Giờ min]&lt;=$AA37) *
(Table_BangLuong_TyLeTangCa[Giờ max]&gt;$AA37)
))))
),
IF(ISBLANK(AG$7),
IF(VLOOKUP(AG$6, Table_ChiPhiNV_Ca[], COUNTA(Table_ChiPhiNV_Ca[[#Headers],[Ca]:[Kết thúc]]),0)&gt; VLOOKUP(AG$6, Table_ChiPhiNV_Ca[], COUNTA(Table_ChiPhiNV_Ca[[#Headers],[Ca]:[Bắt đầu]]),0),
IF($AA37-$Z$4&lt;MAX(AG$4,VLOOKUP(AG$6, Table_ChiPhiNV_Ca[], COUNTA(Table_ChiPhiNV_Ca[[#Headers],[Ca]:[Bắt đầu]]),0)),0,
IF($AA37&gt;MIN(AG$5,VLOOKUP(AG$6, Table_ChiPhiNV_Ca[], COUNTA(Table_ChiPhiNV_Ca[[#Headers],[Ca]:[Kết thúc]]),0)),0,
SUM(_xlfn._xlws.FILTER(Table_BangLuong_TyLeTangCa[Tỷ lệ],
(Table_BangLuong_TyLeTangCa[Ngày] = "Thường") *
(Table_BangLuong_TyLeTangCa[Giờ min]&lt;=$AA37) *
(Table_BangLuong_TyLeTangCa[Giờ max]&gt;$AA37)
)))),
IF(AG$4 &gt; AG$5,
IF(
AND(
$AA37-$Z$4&lt;MAX(AG$4,VLOOKUP(AG$6, Table_ChiPhiNV_Ca[], COUNTA(Table_ChiPhiNV_Ca[[#Headers],[Ca]:[Bắt đầu]]),0)),
$AA37&gt;MIN(AG$5,VLOOKUP(AG$6, Table_ChiPhiNV_Ca[], COUNTA(Table_ChiPhiNV_Ca[[#Headers],[Ca]:[Kết thúc]]),0))),0,
SUM(_xlfn._xlws.FILTER(Table_BangLuong_TyLeTangCa[Tỷ lệ],
(Table_BangLuong_TyLeTangCa[Ngày] = "Thường") *
(Table_BangLuong_TyLeTangCa[Giờ min]&lt;=$AA37) *
(Table_BangLuong_TyLeTangCa[Giờ max]&gt;$AA37)
))),
IF(
AND(
$AA37-$Z$4&gt;=MAX(AG$4,VLOOKUP(AG$6, Table_ChiPhiNV_Ca[], COUNTA(Table_ChiPhiNV_Ca[[#Headers],[Ca]:[Bắt đầu]]),0)),
$AA37&lt;MIN(AG$5,VLOOKUP(AG$6, Table_ChiPhiNV_Ca[], COUNTA(Table_ChiPhiNV_Ca[[#Headers],[Ca]:[Kết thúc]]),0))),
SUM(_xlfn._xlws.FILTER(Table_BangLuong_TyLeTangCa[Tỷ lệ],
(Table_BangLuong_TyLeTangCa[Ngày] = "Thường") *
(Table_BangLuong_TyLeTangCa[Giờ min]&lt;=$AA37) *
(Table_BangLuong_TyLeTangCa[Giờ max]&gt;$AA37)
)),0)
)),
IF(AG$4 &lt; AG$5,
IF($AA37-$Z$4&lt;AG$4,0,
IF($AA37&gt;AG$5,0,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AG$5,$AA37 &lt; AG$4),0,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H37" s="18" cm="1">
        <f t="array" ref="AH37" xml:space="preserve">
IFERROR(
IF(AH$1="",0,
IF(AND(
$AA37&gt;=VLOOKUP(AH$6, Table_ChiPhiNV_Ca[], COUNTA(Table_ChiPhiNV_Ca[[#Headers],[Ca]:[Bắt đầu nghỉ]]),0),
$AA37&lt;VLOOKUP(AH$6, Table_ChiPhiNV_Ca[], COUNTA(Table_ChiPhiNV_Ca[[#Headers],[Ca]:[Kết thúc nghỉ]]),0)
),0,
IF(NOT(ISBLANK(AH$3)),
IF(ISBLANK(AH$7),0,
IF(AH$4 &lt; AH$5,
IF($AA37-$Z$4&lt;AH$4,0,
IF($AA37&gt;AH$5,0,
SUM(_xlfn._xlws.FILTER(Table_BangLuong_TyLeTangCa[Tỷ lệ],
(Table_BangLuong_TyLeTangCa[Ngày] = AH$3) *
(Table_BangLuong_TyLeTangCa[Giờ min]&lt;=$AA37) *
(Table_BangLuong_TyLeTangCa[Giờ max]&gt;$AA37)
)))),
IF(AND($AA37-$Z$4 &gt;= AH$5,$AA37 &lt; AH$4),0,
SUM(_xlfn._xlws.FILTER(Table_BangLuong_TyLeTangCa[Tỷ lệ],
(Table_BangLuong_TyLeTangCa[Ngày] = AH$3) *
(Table_BangLuong_TyLeTangCa[Giờ min]&lt;=$AA37) *
(Table_BangLuong_TyLeTangCa[Giờ max]&gt;$AA37)
))))
),
IF(ISBLANK(AH$7),
IF(VLOOKUP(AH$6, Table_ChiPhiNV_Ca[], COUNTA(Table_ChiPhiNV_Ca[[#Headers],[Ca]:[Kết thúc]]),0)&gt; VLOOKUP(AH$6, Table_ChiPhiNV_Ca[], COUNTA(Table_ChiPhiNV_Ca[[#Headers],[Ca]:[Bắt đầu]]),0),
IF($AA37-$Z$4&lt;MAX(AH$4,VLOOKUP(AH$6, Table_ChiPhiNV_Ca[], COUNTA(Table_ChiPhiNV_Ca[[#Headers],[Ca]:[Bắt đầu]]),0)),0,
IF($AA37&gt;MIN(AH$5,VLOOKUP(AH$6, Table_ChiPhiNV_Ca[], COUNTA(Table_ChiPhiNV_Ca[[#Headers],[Ca]:[Kết thúc]]),0)),0,
SUM(_xlfn._xlws.FILTER(Table_BangLuong_TyLeTangCa[Tỷ lệ],
(Table_BangLuong_TyLeTangCa[Ngày] = "Thường") *
(Table_BangLuong_TyLeTangCa[Giờ min]&lt;=$AA37) *
(Table_BangLuong_TyLeTangCa[Giờ max]&gt;$AA37)
)))),
IF(AH$4 &gt; AH$5,
IF(
AND(
$AA37-$Z$4&lt;MAX(AH$4,VLOOKUP(AH$6, Table_ChiPhiNV_Ca[], COUNTA(Table_ChiPhiNV_Ca[[#Headers],[Ca]:[Bắt đầu]]),0)),
$AA37&gt;MIN(AH$5,VLOOKUP(AH$6, Table_ChiPhiNV_Ca[], COUNTA(Table_ChiPhiNV_Ca[[#Headers],[Ca]:[Kết thúc]]),0))),0,
SUM(_xlfn._xlws.FILTER(Table_BangLuong_TyLeTangCa[Tỷ lệ],
(Table_BangLuong_TyLeTangCa[Ngày] = "Thường") *
(Table_BangLuong_TyLeTangCa[Giờ min]&lt;=$AA37) *
(Table_BangLuong_TyLeTangCa[Giờ max]&gt;$AA37)
))),
IF(
AND(
$AA37-$Z$4&gt;=MAX(AH$4,VLOOKUP(AH$6, Table_ChiPhiNV_Ca[], COUNTA(Table_ChiPhiNV_Ca[[#Headers],[Ca]:[Bắt đầu]]),0)),
$AA37&lt;MIN(AH$5,VLOOKUP(AH$6, Table_ChiPhiNV_Ca[], COUNTA(Table_ChiPhiNV_Ca[[#Headers],[Ca]:[Kết thúc]]),0))),
SUM(_xlfn._xlws.FILTER(Table_BangLuong_TyLeTangCa[Tỷ lệ],
(Table_BangLuong_TyLeTangCa[Ngày] = "Thường") *
(Table_BangLuong_TyLeTangCa[Giờ min]&lt;=$AA37) *
(Table_BangLuong_TyLeTangCa[Giờ max]&gt;$AA37)
)),0)
)),
IF(AH$4 &lt; AH$5,
IF($AA37-$Z$4&lt;AH$4,0,
IF($AA37&gt;AH$5,0,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AH$5,$AA37 &lt; AH$4),0,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I37" s="18" cm="1">
        <f t="array" ref="AI37" xml:space="preserve">
IFERROR(
IF(AI$1="",0,
IF(AND(
$AA37&gt;=VLOOKUP(AI$6, Table_ChiPhiNV_Ca[], COUNTA(Table_ChiPhiNV_Ca[[#Headers],[Ca]:[Bắt đầu nghỉ]]),0),
$AA37&lt;VLOOKUP(AI$6, Table_ChiPhiNV_Ca[], COUNTA(Table_ChiPhiNV_Ca[[#Headers],[Ca]:[Kết thúc nghỉ]]),0)
),0,
IF(NOT(ISBLANK(AI$3)),
IF(ISBLANK(AI$7),0,
IF(AI$4 &lt; AI$5,
IF($AA37-$Z$4&lt;AI$4,0,
IF($AA37&gt;AI$5,0,
SUM(_xlfn._xlws.FILTER(Table_BangLuong_TyLeTangCa[Tỷ lệ],
(Table_BangLuong_TyLeTangCa[Ngày] = AI$3) *
(Table_BangLuong_TyLeTangCa[Giờ min]&lt;=$AA37) *
(Table_BangLuong_TyLeTangCa[Giờ max]&gt;$AA37)
)))),
IF(AND($AA37-$Z$4 &gt;= AI$5,$AA37 &lt; AI$4),0,
SUM(_xlfn._xlws.FILTER(Table_BangLuong_TyLeTangCa[Tỷ lệ],
(Table_BangLuong_TyLeTangCa[Ngày] = AI$3) *
(Table_BangLuong_TyLeTangCa[Giờ min]&lt;=$AA37) *
(Table_BangLuong_TyLeTangCa[Giờ max]&gt;$AA37)
))))
),
IF(ISBLANK(AI$7),
IF(VLOOKUP(AI$6, Table_ChiPhiNV_Ca[], COUNTA(Table_ChiPhiNV_Ca[[#Headers],[Ca]:[Kết thúc]]),0)&gt; VLOOKUP(AI$6, Table_ChiPhiNV_Ca[], COUNTA(Table_ChiPhiNV_Ca[[#Headers],[Ca]:[Bắt đầu]]),0),
IF($AA37-$Z$4&lt;MAX(AI$4,VLOOKUP(AI$6, Table_ChiPhiNV_Ca[], COUNTA(Table_ChiPhiNV_Ca[[#Headers],[Ca]:[Bắt đầu]]),0)),0,
IF($AA37&gt;MIN(AI$5,VLOOKUP(AI$6, Table_ChiPhiNV_Ca[], COUNTA(Table_ChiPhiNV_Ca[[#Headers],[Ca]:[Kết thúc]]),0)),0,
SUM(_xlfn._xlws.FILTER(Table_BangLuong_TyLeTangCa[Tỷ lệ],
(Table_BangLuong_TyLeTangCa[Ngày] = "Thường") *
(Table_BangLuong_TyLeTangCa[Giờ min]&lt;=$AA37) *
(Table_BangLuong_TyLeTangCa[Giờ max]&gt;$AA37)
)))),
IF(AI$4 &gt; AI$5,
IF(
AND(
$AA37-$Z$4&lt;MAX(AI$4,VLOOKUP(AI$6, Table_ChiPhiNV_Ca[], COUNTA(Table_ChiPhiNV_Ca[[#Headers],[Ca]:[Bắt đầu]]),0)),
$AA37&gt;MIN(AI$5,VLOOKUP(AI$6, Table_ChiPhiNV_Ca[], COUNTA(Table_ChiPhiNV_Ca[[#Headers],[Ca]:[Kết thúc]]),0))),0,
SUM(_xlfn._xlws.FILTER(Table_BangLuong_TyLeTangCa[Tỷ lệ],
(Table_BangLuong_TyLeTangCa[Ngày] = "Thường") *
(Table_BangLuong_TyLeTangCa[Giờ min]&lt;=$AA37) *
(Table_BangLuong_TyLeTangCa[Giờ max]&gt;$AA37)
))),
IF(
AND(
$AA37-$Z$4&gt;=MAX(AI$4,VLOOKUP(AI$6, Table_ChiPhiNV_Ca[], COUNTA(Table_ChiPhiNV_Ca[[#Headers],[Ca]:[Bắt đầu]]),0)),
$AA37&lt;MIN(AI$5,VLOOKUP(AI$6, Table_ChiPhiNV_Ca[], COUNTA(Table_ChiPhiNV_Ca[[#Headers],[Ca]:[Kết thúc]]),0))),
SUM(_xlfn._xlws.FILTER(Table_BangLuong_TyLeTangCa[Tỷ lệ],
(Table_BangLuong_TyLeTangCa[Ngày] = "Thường") *
(Table_BangLuong_TyLeTangCa[Giờ min]&lt;=$AA37) *
(Table_BangLuong_TyLeTangCa[Giờ max]&gt;$AA37)
)),0)
)),
IF(AI$4 &lt; AI$5,
IF($AA37-$Z$4&lt;AI$4,0,
IF($AA37&gt;AI$5,0,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AI$5,$AA37 &lt; AI$4),0,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J37" s="18" cm="1">
        <f t="array" ref="AJ37" xml:space="preserve">
IFERROR(
IF(AJ$1="",0,
IF(AND(
$AA37&gt;=VLOOKUP(AJ$6, Table_ChiPhiNV_Ca[], COUNTA(Table_ChiPhiNV_Ca[[#Headers],[Ca]:[Bắt đầu nghỉ]]),0),
$AA37&lt;VLOOKUP(AJ$6, Table_ChiPhiNV_Ca[], COUNTA(Table_ChiPhiNV_Ca[[#Headers],[Ca]:[Kết thúc nghỉ]]),0)
),0,
IF(NOT(ISBLANK(AJ$3)),
IF(ISBLANK(AJ$7),0,
IF(AJ$4 &lt; AJ$5,
IF($AA37-$Z$4&lt;AJ$4,0,
IF($AA37&gt;AJ$5,0,
SUM(_xlfn._xlws.FILTER(Table_BangLuong_TyLeTangCa[Tỷ lệ],
(Table_BangLuong_TyLeTangCa[Ngày] = AJ$3) *
(Table_BangLuong_TyLeTangCa[Giờ min]&lt;=$AA37) *
(Table_BangLuong_TyLeTangCa[Giờ max]&gt;$AA37)
)))),
IF(AND($AA37-$Z$4 &gt;= AJ$5,$AA37 &lt; AJ$4),0,
SUM(_xlfn._xlws.FILTER(Table_BangLuong_TyLeTangCa[Tỷ lệ],
(Table_BangLuong_TyLeTangCa[Ngày] = AJ$3) *
(Table_BangLuong_TyLeTangCa[Giờ min]&lt;=$AA37) *
(Table_BangLuong_TyLeTangCa[Giờ max]&gt;$AA37)
))))
),
IF(ISBLANK(AJ$7),
IF(VLOOKUP(AJ$6, Table_ChiPhiNV_Ca[], COUNTA(Table_ChiPhiNV_Ca[[#Headers],[Ca]:[Kết thúc]]),0)&gt; VLOOKUP(AJ$6, Table_ChiPhiNV_Ca[], COUNTA(Table_ChiPhiNV_Ca[[#Headers],[Ca]:[Bắt đầu]]),0),
IF($AA37-$Z$4&lt;MAX(AJ$4,VLOOKUP(AJ$6, Table_ChiPhiNV_Ca[], COUNTA(Table_ChiPhiNV_Ca[[#Headers],[Ca]:[Bắt đầu]]),0)),0,
IF($AA37&gt;MIN(AJ$5,VLOOKUP(AJ$6, Table_ChiPhiNV_Ca[], COUNTA(Table_ChiPhiNV_Ca[[#Headers],[Ca]:[Kết thúc]]),0)),0,
SUM(_xlfn._xlws.FILTER(Table_BangLuong_TyLeTangCa[Tỷ lệ],
(Table_BangLuong_TyLeTangCa[Ngày] = "Thường") *
(Table_BangLuong_TyLeTangCa[Giờ min]&lt;=$AA37) *
(Table_BangLuong_TyLeTangCa[Giờ max]&gt;$AA37)
)))),
IF(AJ$4 &gt; AJ$5,
IF(
AND(
$AA37-$Z$4&lt;MAX(AJ$4,VLOOKUP(AJ$6, Table_ChiPhiNV_Ca[], COUNTA(Table_ChiPhiNV_Ca[[#Headers],[Ca]:[Bắt đầu]]),0)),
$AA37&gt;MIN(AJ$5,VLOOKUP(AJ$6, Table_ChiPhiNV_Ca[], COUNTA(Table_ChiPhiNV_Ca[[#Headers],[Ca]:[Kết thúc]]),0))),0,
SUM(_xlfn._xlws.FILTER(Table_BangLuong_TyLeTangCa[Tỷ lệ],
(Table_BangLuong_TyLeTangCa[Ngày] = "Thường") *
(Table_BangLuong_TyLeTangCa[Giờ min]&lt;=$AA37) *
(Table_BangLuong_TyLeTangCa[Giờ max]&gt;$AA37)
))),
IF(
AND(
$AA37-$Z$4&gt;=MAX(AJ$4,VLOOKUP(AJ$6, Table_ChiPhiNV_Ca[], COUNTA(Table_ChiPhiNV_Ca[[#Headers],[Ca]:[Bắt đầu]]),0)),
$AA37&lt;MIN(AJ$5,VLOOKUP(AJ$6, Table_ChiPhiNV_Ca[], COUNTA(Table_ChiPhiNV_Ca[[#Headers],[Ca]:[Kết thúc]]),0))),
SUM(_xlfn._xlws.FILTER(Table_BangLuong_TyLeTangCa[Tỷ lệ],
(Table_BangLuong_TyLeTangCa[Ngày] = "Thường") *
(Table_BangLuong_TyLeTangCa[Giờ min]&lt;=$AA37) *
(Table_BangLuong_TyLeTangCa[Giờ max]&gt;$AA37)
)),0)
)),
IF(AJ$4 &lt; AJ$5,
IF($AA37-$Z$4&lt;AJ$4,0,
IF($AA37&gt;AJ$5,0,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AJ$5,$AA37 &lt; AJ$4),0,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K37" s="18" cm="1">
        <f t="array" ref="AK37" xml:space="preserve">
IFERROR(
IF(AK$1="",0,
IF(AND(
$AA37&gt;=VLOOKUP(AK$6, Table_ChiPhiNV_Ca[], COUNTA(Table_ChiPhiNV_Ca[[#Headers],[Ca]:[Bắt đầu nghỉ]]),0),
$AA37&lt;VLOOKUP(AK$6, Table_ChiPhiNV_Ca[], COUNTA(Table_ChiPhiNV_Ca[[#Headers],[Ca]:[Kết thúc nghỉ]]),0)
),0,
IF(NOT(ISBLANK(AK$3)),
IF(ISBLANK(AK$7),0,
IF(AK$4 &lt; AK$5,
IF($AA37-$Z$4&lt;AK$4,0,
IF($AA37&gt;AK$5,0,
SUM(_xlfn._xlws.FILTER(Table_BangLuong_TyLeTangCa[Tỷ lệ],
(Table_BangLuong_TyLeTangCa[Ngày] = AK$3) *
(Table_BangLuong_TyLeTangCa[Giờ min]&lt;=$AA37) *
(Table_BangLuong_TyLeTangCa[Giờ max]&gt;$AA37)
)))),
IF(AND($AA37-$Z$4 &gt;= AK$5,$AA37 &lt; AK$4),0,
SUM(_xlfn._xlws.FILTER(Table_BangLuong_TyLeTangCa[Tỷ lệ],
(Table_BangLuong_TyLeTangCa[Ngày] = AK$3) *
(Table_BangLuong_TyLeTangCa[Giờ min]&lt;=$AA37) *
(Table_BangLuong_TyLeTangCa[Giờ max]&gt;$AA37)
))))
),
IF(ISBLANK(AK$7),
IF(VLOOKUP(AK$6, Table_ChiPhiNV_Ca[], COUNTA(Table_ChiPhiNV_Ca[[#Headers],[Ca]:[Kết thúc]]),0)&gt; VLOOKUP(AK$6, Table_ChiPhiNV_Ca[], COUNTA(Table_ChiPhiNV_Ca[[#Headers],[Ca]:[Bắt đầu]]),0),
IF($AA37-$Z$4&lt;MAX(AK$4,VLOOKUP(AK$6, Table_ChiPhiNV_Ca[], COUNTA(Table_ChiPhiNV_Ca[[#Headers],[Ca]:[Bắt đầu]]),0)),0,
IF($AA37&gt;MIN(AK$5,VLOOKUP(AK$6, Table_ChiPhiNV_Ca[], COUNTA(Table_ChiPhiNV_Ca[[#Headers],[Ca]:[Kết thúc]]),0)),0,
SUM(_xlfn._xlws.FILTER(Table_BangLuong_TyLeTangCa[Tỷ lệ],
(Table_BangLuong_TyLeTangCa[Ngày] = "Thường") *
(Table_BangLuong_TyLeTangCa[Giờ min]&lt;=$AA37) *
(Table_BangLuong_TyLeTangCa[Giờ max]&gt;$AA37)
)))),
IF(AK$4 &gt; AK$5,
IF(
AND(
$AA37-$Z$4&lt;MAX(AK$4,VLOOKUP(AK$6, Table_ChiPhiNV_Ca[], COUNTA(Table_ChiPhiNV_Ca[[#Headers],[Ca]:[Bắt đầu]]),0)),
$AA37&gt;MIN(AK$5,VLOOKUP(AK$6, Table_ChiPhiNV_Ca[], COUNTA(Table_ChiPhiNV_Ca[[#Headers],[Ca]:[Kết thúc]]),0))),0,
SUM(_xlfn._xlws.FILTER(Table_BangLuong_TyLeTangCa[Tỷ lệ],
(Table_BangLuong_TyLeTangCa[Ngày] = "Thường") *
(Table_BangLuong_TyLeTangCa[Giờ min]&lt;=$AA37) *
(Table_BangLuong_TyLeTangCa[Giờ max]&gt;$AA37)
))),
IF(
AND(
$AA37-$Z$4&gt;=MAX(AK$4,VLOOKUP(AK$6, Table_ChiPhiNV_Ca[], COUNTA(Table_ChiPhiNV_Ca[[#Headers],[Ca]:[Bắt đầu]]),0)),
$AA37&lt;MIN(AK$5,VLOOKUP(AK$6, Table_ChiPhiNV_Ca[], COUNTA(Table_ChiPhiNV_Ca[[#Headers],[Ca]:[Kết thúc]]),0))),
SUM(_xlfn._xlws.FILTER(Table_BangLuong_TyLeTangCa[Tỷ lệ],
(Table_BangLuong_TyLeTangCa[Ngày] = "Thường") *
(Table_BangLuong_TyLeTangCa[Giờ min]&lt;=$AA37) *
(Table_BangLuong_TyLeTangCa[Giờ max]&gt;$AA37)
)),0)
)),
IF(AK$4 &lt; AK$5,
IF($AA37-$Z$4&lt;AK$4,0,
IF($AA37&gt;AK$5,0,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AK$5,$AA37 &lt; AK$4),0,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L37" s="18" cm="1">
        <f t="array" ref="AL37" xml:space="preserve">
IFERROR(
IF(AL$1="",0,
IF(AND(
$AA37&gt;=VLOOKUP(AL$6, Table_ChiPhiNV_Ca[], COUNTA(Table_ChiPhiNV_Ca[[#Headers],[Ca]:[Bắt đầu nghỉ]]),0),
$AA37&lt;VLOOKUP(AL$6, Table_ChiPhiNV_Ca[], COUNTA(Table_ChiPhiNV_Ca[[#Headers],[Ca]:[Kết thúc nghỉ]]),0)
),0,
IF(NOT(ISBLANK(AL$3)),
IF(ISBLANK(AL$7),0,
IF(AL$4 &lt; AL$5,
IF($AA37-$Z$4&lt;AL$4,0,
IF($AA37&gt;AL$5,0,
SUM(_xlfn._xlws.FILTER(Table_BangLuong_TyLeTangCa[Tỷ lệ],
(Table_BangLuong_TyLeTangCa[Ngày] = AL$3) *
(Table_BangLuong_TyLeTangCa[Giờ min]&lt;=$AA37) *
(Table_BangLuong_TyLeTangCa[Giờ max]&gt;$AA37)
)))),
IF(AND($AA37-$Z$4 &gt;= AL$5,$AA37 &lt; AL$4),0,
SUM(_xlfn._xlws.FILTER(Table_BangLuong_TyLeTangCa[Tỷ lệ],
(Table_BangLuong_TyLeTangCa[Ngày] = AL$3) *
(Table_BangLuong_TyLeTangCa[Giờ min]&lt;=$AA37) *
(Table_BangLuong_TyLeTangCa[Giờ max]&gt;$AA37)
))))
),
IF(ISBLANK(AL$7),
IF(VLOOKUP(AL$6, Table_ChiPhiNV_Ca[], COUNTA(Table_ChiPhiNV_Ca[[#Headers],[Ca]:[Kết thúc]]),0)&gt; VLOOKUP(AL$6, Table_ChiPhiNV_Ca[], COUNTA(Table_ChiPhiNV_Ca[[#Headers],[Ca]:[Bắt đầu]]),0),
IF($AA37-$Z$4&lt;MAX(AL$4,VLOOKUP(AL$6, Table_ChiPhiNV_Ca[], COUNTA(Table_ChiPhiNV_Ca[[#Headers],[Ca]:[Bắt đầu]]),0)),0,
IF($AA37&gt;MIN(AL$5,VLOOKUP(AL$6, Table_ChiPhiNV_Ca[], COUNTA(Table_ChiPhiNV_Ca[[#Headers],[Ca]:[Kết thúc]]),0)),0,
SUM(_xlfn._xlws.FILTER(Table_BangLuong_TyLeTangCa[Tỷ lệ],
(Table_BangLuong_TyLeTangCa[Ngày] = "Thường") *
(Table_BangLuong_TyLeTangCa[Giờ min]&lt;=$AA37) *
(Table_BangLuong_TyLeTangCa[Giờ max]&gt;$AA37)
)))),
IF(AL$4 &gt; AL$5,
IF(
AND(
$AA37-$Z$4&lt;MAX(AL$4,VLOOKUP(AL$6, Table_ChiPhiNV_Ca[], COUNTA(Table_ChiPhiNV_Ca[[#Headers],[Ca]:[Bắt đầu]]),0)),
$AA37&gt;MIN(AL$5,VLOOKUP(AL$6, Table_ChiPhiNV_Ca[], COUNTA(Table_ChiPhiNV_Ca[[#Headers],[Ca]:[Kết thúc]]),0))),0,
SUM(_xlfn._xlws.FILTER(Table_BangLuong_TyLeTangCa[Tỷ lệ],
(Table_BangLuong_TyLeTangCa[Ngày] = "Thường") *
(Table_BangLuong_TyLeTangCa[Giờ min]&lt;=$AA37) *
(Table_BangLuong_TyLeTangCa[Giờ max]&gt;$AA37)
))),
IF(
AND(
$AA37-$Z$4&gt;=MAX(AL$4,VLOOKUP(AL$6, Table_ChiPhiNV_Ca[], COUNTA(Table_ChiPhiNV_Ca[[#Headers],[Ca]:[Bắt đầu]]),0)),
$AA37&lt;MIN(AL$5,VLOOKUP(AL$6, Table_ChiPhiNV_Ca[], COUNTA(Table_ChiPhiNV_Ca[[#Headers],[Ca]:[Kết thúc]]),0))),
SUM(_xlfn._xlws.FILTER(Table_BangLuong_TyLeTangCa[Tỷ lệ],
(Table_BangLuong_TyLeTangCa[Ngày] = "Thường") *
(Table_BangLuong_TyLeTangCa[Giờ min]&lt;=$AA37) *
(Table_BangLuong_TyLeTangCa[Giờ max]&gt;$AA37)
)),0)
)),
IF(AL$4 &lt; AL$5,
IF($AA37-$Z$4&lt;AL$4,0,
IF($AA37&gt;AL$5,0,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AL$5,$AA37 &lt; AL$4),0,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M37" s="18" cm="1">
        <f t="array" ref="AM37" xml:space="preserve">
IFERROR(
IF(AM$1="",0,
IF(AND(
$AA37&gt;=VLOOKUP(AM$6, Table_ChiPhiNV_Ca[], COUNTA(Table_ChiPhiNV_Ca[[#Headers],[Ca]:[Bắt đầu nghỉ]]),0),
$AA37&lt;VLOOKUP(AM$6, Table_ChiPhiNV_Ca[], COUNTA(Table_ChiPhiNV_Ca[[#Headers],[Ca]:[Kết thúc nghỉ]]),0)
),0,
IF(NOT(ISBLANK(AM$3)),
IF(ISBLANK(AM$7),0,
IF(AM$4 &lt; AM$5,
IF($AA37-$Z$4&lt;AM$4,0,
IF($AA37&gt;AM$5,0,
SUM(_xlfn._xlws.FILTER(Table_BangLuong_TyLeTangCa[Tỷ lệ],
(Table_BangLuong_TyLeTangCa[Ngày] = AM$3) *
(Table_BangLuong_TyLeTangCa[Giờ min]&lt;=$AA37) *
(Table_BangLuong_TyLeTangCa[Giờ max]&gt;$AA37)
)))),
IF(AND($AA37-$Z$4 &gt;= AM$5,$AA37 &lt; AM$4),0,
SUM(_xlfn._xlws.FILTER(Table_BangLuong_TyLeTangCa[Tỷ lệ],
(Table_BangLuong_TyLeTangCa[Ngày] = AM$3) *
(Table_BangLuong_TyLeTangCa[Giờ min]&lt;=$AA37) *
(Table_BangLuong_TyLeTangCa[Giờ max]&gt;$AA37)
))))
),
IF(ISBLANK(AM$7),
IF(VLOOKUP(AM$6, Table_ChiPhiNV_Ca[], COUNTA(Table_ChiPhiNV_Ca[[#Headers],[Ca]:[Kết thúc]]),0)&gt; VLOOKUP(AM$6, Table_ChiPhiNV_Ca[], COUNTA(Table_ChiPhiNV_Ca[[#Headers],[Ca]:[Bắt đầu]]),0),
IF($AA37-$Z$4&lt;MAX(AM$4,VLOOKUP(AM$6, Table_ChiPhiNV_Ca[], COUNTA(Table_ChiPhiNV_Ca[[#Headers],[Ca]:[Bắt đầu]]),0)),0,
IF($AA37&gt;MIN(AM$5,VLOOKUP(AM$6, Table_ChiPhiNV_Ca[], COUNTA(Table_ChiPhiNV_Ca[[#Headers],[Ca]:[Kết thúc]]),0)),0,
SUM(_xlfn._xlws.FILTER(Table_BangLuong_TyLeTangCa[Tỷ lệ],
(Table_BangLuong_TyLeTangCa[Ngày] = "Thường") *
(Table_BangLuong_TyLeTangCa[Giờ min]&lt;=$AA37) *
(Table_BangLuong_TyLeTangCa[Giờ max]&gt;$AA37)
)))),
IF(AM$4 &gt; AM$5,
IF(
AND(
$AA37-$Z$4&lt;MAX(AM$4,VLOOKUP(AM$6, Table_ChiPhiNV_Ca[], COUNTA(Table_ChiPhiNV_Ca[[#Headers],[Ca]:[Bắt đầu]]),0)),
$AA37&gt;MIN(AM$5,VLOOKUP(AM$6, Table_ChiPhiNV_Ca[], COUNTA(Table_ChiPhiNV_Ca[[#Headers],[Ca]:[Kết thúc]]),0))),0,
SUM(_xlfn._xlws.FILTER(Table_BangLuong_TyLeTangCa[Tỷ lệ],
(Table_BangLuong_TyLeTangCa[Ngày] = "Thường") *
(Table_BangLuong_TyLeTangCa[Giờ min]&lt;=$AA37) *
(Table_BangLuong_TyLeTangCa[Giờ max]&gt;$AA37)
))),
IF(
AND(
$AA37-$Z$4&gt;=MAX(AM$4,VLOOKUP(AM$6, Table_ChiPhiNV_Ca[], COUNTA(Table_ChiPhiNV_Ca[[#Headers],[Ca]:[Bắt đầu]]),0)),
$AA37&lt;MIN(AM$5,VLOOKUP(AM$6, Table_ChiPhiNV_Ca[], COUNTA(Table_ChiPhiNV_Ca[[#Headers],[Ca]:[Kết thúc]]),0))),
SUM(_xlfn._xlws.FILTER(Table_BangLuong_TyLeTangCa[Tỷ lệ],
(Table_BangLuong_TyLeTangCa[Ngày] = "Thường") *
(Table_BangLuong_TyLeTangCa[Giờ min]&lt;=$AA37) *
(Table_BangLuong_TyLeTangCa[Giờ max]&gt;$AA37)
)),0)
)),
IF(AM$4 &lt; AM$5,
IF($AA37-$Z$4&lt;AM$4,0,
IF($AA37&gt;AM$5,0,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AM$5,$AA37 &lt; AM$4),0,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N37" s="18" cm="1">
        <f t="array" ref="AN37" xml:space="preserve">
IFERROR(
IF(AN$1="",0,
IF(AND(
$AA37&gt;=VLOOKUP(AN$6, Table_ChiPhiNV_Ca[], COUNTA(Table_ChiPhiNV_Ca[[#Headers],[Ca]:[Bắt đầu nghỉ]]),0),
$AA37&lt;VLOOKUP(AN$6, Table_ChiPhiNV_Ca[], COUNTA(Table_ChiPhiNV_Ca[[#Headers],[Ca]:[Kết thúc nghỉ]]),0)
),0,
IF(NOT(ISBLANK(AN$3)),
IF(ISBLANK(AN$7),0,
IF(AN$4 &lt; AN$5,
IF($AA37-$Z$4&lt;AN$4,0,
IF($AA37&gt;AN$5,0,
SUM(_xlfn._xlws.FILTER(Table_BangLuong_TyLeTangCa[Tỷ lệ],
(Table_BangLuong_TyLeTangCa[Ngày] = AN$3) *
(Table_BangLuong_TyLeTangCa[Giờ min]&lt;=$AA37) *
(Table_BangLuong_TyLeTangCa[Giờ max]&gt;$AA37)
)))),
IF(AND($AA37-$Z$4 &gt;= AN$5,$AA37 &lt; AN$4),0,
SUM(_xlfn._xlws.FILTER(Table_BangLuong_TyLeTangCa[Tỷ lệ],
(Table_BangLuong_TyLeTangCa[Ngày] = AN$3) *
(Table_BangLuong_TyLeTangCa[Giờ min]&lt;=$AA37) *
(Table_BangLuong_TyLeTangCa[Giờ max]&gt;$AA37)
))))
),
IF(ISBLANK(AN$7),
IF(VLOOKUP(AN$6, Table_ChiPhiNV_Ca[], COUNTA(Table_ChiPhiNV_Ca[[#Headers],[Ca]:[Kết thúc]]),0)&gt; VLOOKUP(AN$6, Table_ChiPhiNV_Ca[], COUNTA(Table_ChiPhiNV_Ca[[#Headers],[Ca]:[Bắt đầu]]),0),
IF($AA37-$Z$4&lt;MAX(AN$4,VLOOKUP(AN$6, Table_ChiPhiNV_Ca[], COUNTA(Table_ChiPhiNV_Ca[[#Headers],[Ca]:[Bắt đầu]]),0)),0,
IF($AA37&gt;MIN(AN$5,VLOOKUP(AN$6, Table_ChiPhiNV_Ca[], COUNTA(Table_ChiPhiNV_Ca[[#Headers],[Ca]:[Kết thúc]]),0)),0,
SUM(_xlfn._xlws.FILTER(Table_BangLuong_TyLeTangCa[Tỷ lệ],
(Table_BangLuong_TyLeTangCa[Ngày] = "Thường") *
(Table_BangLuong_TyLeTangCa[Giờ min]&lt;=$AA37) *
(Table_BangLuong_TyLeTangCa[Giờ max]&gt;$AA37)
)))),
IF(AN$4 &gt; AN$5,
IF(
AND(
$AA37-$Z$4&lt;MAX(AN$4,VLOOKUP(AN$6, Table_ChiPhiNV_Ca[], COUNTA(Table_ChiPhiNV_Ca[[#Headers],[Ca]:[Bắt đầu]]),0)),
$AA37&gt;MIN(AN$5,VLOOKUP(AN$6, Table_ChiPhiNV_Ca[], COUNTA(Table_ChiPhiNV_Ca[[#Headers],[Ca]:[Kết thúc]]),0))),0,
SUM(_xlfn._xlws.FILTER(Table_BangLuong_TyLeTangCa[Tỷ lệ],
(Table_BangLuong_TyLeTangCa[Ngày] = "Thường") *
(Table_BangLuong_TyLeTangCa[Giờ min]&lt;=$AA37) *
(Table_BangLuong_TyLeTangCa[Giờ max]&gt;$AA37)
))),
IF(
AND(
$AA37-$Z$4&gt;=MAX(AN$4,VLOOKUP(AN$6, Table_ChiPhiNV_Ca[], COUNTA(Table_ChiPhiNV_Ca[[#Headers],[Ca]:[Bắt đầu]]),0)),
$AA37&lt;MIN(AN$5,VLOOKUP(AN$6, Table_ChiPhiNV_Ca[], COUNTA(Table_ChiPhiNV_Ca[[#Headers],[Ca]:[Kết thúc]]),0))),
SUM(_xlfn._xlws.FILTER(Table_BangLuong_TyLeTangCa[Tỷ lệ],
(Table_BangLuong_TyLeTangCa[Ngày] = "Thường") *
(Table_BangLuong_TyLeTangCa[Giờ min]&lt;=$AA37) *
(Table_BangLuong_TyLeTangCa[Giờ max]&gt;$AA37)
)),0)
)),
IF(AN$4 &lt; AN$5,
IF($AA37-$Z$4&lt;AN$4,0,
IF($AA37&gt;AN$5,0,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AN$5,$AA37 &lt; AN$4),0,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O37" s="18" cm="1">
        <f t="array" ref="AO37" xml:space="preserve">
IFERROR(
IF(AO$1="",0,
IF(AND(
$AA37&gt;=VLOOKUP(AO$6, Table_ChiPhiNV_Ca[], COUNTA(Table_ChiPhiNV_Ca[[#Headers],[Ca]:[Bắt đầu nghỉ]]),0),
$AA37&lt;VLOOKUP(AO$6, Table_ChiPhiNV_Ca[], COUNTA(Table_ChiPhiNV_Ca[[#Headers],[Ca]:[Kết thúc nghỉ]]),0)
),0,
IF(NOT(ISBLANK(AO$3)),
IF(ISBLANK(AO$7),0,
IF(AO$4 &lt; AO$5,
IF($AA37-$Z$4&lt;AO$4,0,
IF($AA37&gt;AO$5,0,
SUM(_xlfn._xlws.FILTER(Table_BangLuong_TyLeTangCa[Tỷ lệ],
(Table_BangLuong_TyLeTangCa[Ngày] = AO$3) *
(Table_BangLuong_TyLeTangCa[Giờ min]&lt;=$AA37) *
(Table_BangLuong_TyLeTangCa[Giờ max]&gt;$AA37)
)))),
IF(AND($AA37-$Z$4 &gt;= AO$5,$AA37 &lt; AO$4),0,
SUM(_xlfn._xlws.FILTER(Table_BangLuong_TyLeTangCa[Tỷ lệ],
(Table_BangLuong_TyLeTangCa[Ngày] = AO$3) *
(Table_BangLuong_TyLeTangCa[Giờ min]&lt;=$AA37) *
(Table_BangLuong_TyLeTangCa[Giờ max]&gt;$AA37)
))))
),
IF(ISBLANK(AO$7),
IF(VLOOKUP(AO$6, Table_ChiPhiNV_Ca[], COUNTA(Table_ChiPhiNV_Ca[[#Headers],[Ca]:[Kết thúc]]),0)&gt; VLOOKUP(AO$6, Table_ChiPhiNV_Ca[], COUNTA(Table_ChiPhiNV_Ca[[#Headers],[Ca]:[Bắt đầu]]),0),
IF($AA37-$Z$4&lt;MAX(AO$4,VLOOKUP(AO$6, Table_ChiPhiNV_Ca[], COUNTA(Table_ChiPhiNV_Ca[[#Headers],[Ca]:[Bắt đầu]]),0)),0,
IF($AA37&gt;MIN(AO$5,VLOOKUP(AO$6, Table_ChiPhiNV_Ca[], COUNTA(Table_ChiPhiNV_Ca[[#Headers],[Ca]:[Kết thúc]]),0)),0,
SUM(_xlfn._xlws.FILTER(Table_BangLuong_TyLeTangCa[Tỷ lệ],
(Table_BangLuong_TyLeTangCa[Ngày] = "Thường") *
(Table_BangLuong_TyLeTangCa[Giờ min]&lt;=$AA37) *
(Table_BangLuong_TyLeTangCa[Giờ max]&gt;$AA37)
)))),
IF(AO$4 &gt; AO$5,
IF(
AND(
$AA37-$Z$4&lt;MAX(AO$4,VLOOKUP(AO$6, Table_ChiPhiNV_Ca[], COUNTA(Table_ChiPhiNV_Ca[[#Headers],[Ca]:[Bắt đầu]]),0)),
$AA37&gt;MIN(AO$5,VLOOKUP(AO$6, Table_ChiPhiNV_Ca[], COUNTA(Table_ChiPhiNV_Ca[[#Headers],[Ca]:[Kết thúc]]),0))),0,
SUM(_xlfn._xlws.FILTER(Table_BangLuong_TyLeTangCa[Tỷ lệ],
(Table_BangLuong_TyLeTangCa[Ngày] = "Thường") *
(Table_BangLuong_TyLeTangCa[Giờ min]&lt;=$AA37) *
(Table_BangLuong_TyLeTangCa[Giờ max]&gt;$AA37)
))),
IF(
AND(
$AA37-$Z$4&gt;=MAX(AO$4,VLOOKUP(AO$6, Table_ChiPhiNV_Ca[], COUNTA(Table_ChiPhiNV_Ca[[#Headers],[Ca]:[Bắt đầu]]),0)),
$AA37&lt;MIN(AO$5,VLOOKUP(AO$6, Table_ChiPhiNV_Ca[], COUNTA(Table_ChiPhiNV_Ca[[#Headers],[Ca]:[Kết thúc]]),0))),
SUM(_xlfn._xlws.FILTER(Table_BangLuong_TyLeTangCa[Tỷ lệ],
(Table_BangLuong_TyLeTangCa[Ngày] = "Thường") *
(Table_BangLuong_TyLeTangCa[Giờ min]&lt;=$AA37) *
(Table_BangLuong_TyLeTangCa[Giờ max]&gt;$AA37)
)),0)
)),
IF(AO$4 &lt; AO$5,
IF($AA37-$Z$4&lt;AO$4,0,
IF($AA37&gt;AO$5,0,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AO$5,$AA37 &lt; AO$4),0,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P37" s="18" cm="1">
        <f t="array" ref="AP37" xml:space="preserve">
IFERROR(
IF(AP$1="",0,
IF(AND(
$AA37&gt;=VLOOKUP(AP$6, Table_ChiPhiNV_Ca[], COUNTA(Table_ChiPhiNV_Ca[[#Headers],[Ca]:[Bắt đầu nghỉ]]),0),
$AA37&lt;VLOOKUP(AP$6, Table_ChiPhiNV_Ca[], COUNTA(Table_ChiPhiNV_Ca[[#Headers],[Ca]:[Kết thúc nghỉ]]),0)
),0,
IF(NOT(ISBLANK(AP$3)),
IF(ISBLANK(AP$7),0,
IF(AP$4 &lt; AP$5,
IF($AA37-$Z$4&lt;AP$4,0,
IF($AA37&gt;AP$5,0,
SUM(_xlfn._xlws.FILTER(Table_BangLuong_TyLeTangCa[Tỷ lệ],
(Table_BangLuong_TyLeTangCa[Ngày] = AP$3) *
(Table_BangLuong_TyLeTangCa[Giờ min]&lt;=$AA37) *
(Table_BangLuong_TyLeTangCa[Giờ max]&gt;$AA37)
)))),
IF(AND($AA37-$Z$4 &gt;= AP$5,$AA37 &lt; AP$4),0,
SUM(_xlfn._xlws.FILTER(Table_BangLuong_TyLeTangCa[Tỷ lệ],
(Table_BangLuong_TyLeTangCa[Ngày] = AP$3) *
(Table_BangLuong_TyLeTangCa[Giờ min]&lt;=$AA37) *
(Table_BangLuong_TyLeTangCa[Giờ max]&gt;$AA37)
))))
),
IF(ISBLANK(AP$7),
IF(VLOOKUP(AP$6, Table_ChiPhiNV_Ca[], COUNTA(Table_ChiPhiNV_Ca[[#Headers],[Ca]:[Kết thúc]]),0)&gt; VLOOKUP(AP$6, Table_ChiPhiNV_Ca[], COUNTA(Table_ChiPhiNV_Ca[[#Headers],[Ca]:[Bắt đầu]]),0),
IF($AA37-$Z$4&lt;MAX(AP$4,VLOOKUP(AP$6, Table_ChiPhiNV_Ca[], COUNTA(Table_ChiPhiNV_Ca[[#Headers],[Ca]:[Bắt đầu]]),0)),0,
IF($AA37&gt;MIN(AP$5,VLOOKUP(AP$6, Table_ChiPhiNV_Ca[], COUNTA(Table_ChiPhiNV_Ca[[#Headers],[Ca]:[Kết thúc]]),0)),0,
SUM(_xlfn._xlws.FILTER(Table_BangLuong_TyLeTangCa[Tỷ lệ],
(Table_BangLuong_TyLeTangCa[Ngày] = "Thường") *
(Table_BangLuong_TyLeTangCa[Giờ min]&lt;=$AA37) *
(Table_BangLuong_TyLeTangCa[Giờ max]&gt;$AA37)
)))),
IF(AP$4 &gt; AP$5,
IF(
AND(
$AA37-$Z$4&lt;MAX(AP$4,VLOOKUP(AP$6, Table_ChiPhiNV_Ca[], COUNTA(Table_ChiPhiNV_Ca[[#Headers],[Ca]:[Bắt đầu]]),0)),
$AA37&gt;MIN(AP$5,VLOOKUP(AP$6, Table_ChiPhiNV_Ca[], COUNTA(Table_ChiPhiNV_Ca[[#Headers],[Ca]:[Kết thúc]]),0))),0,
SUM(_xlfn._xlws.FILTER(Table_BangLuong_TyLeTangCa[Tỷ lệ],
(Table_BangLuong_TyLeTangCa[Ngày] = "Thường") *
(Table_BangLuong_TyLeTangCa[Giờ min]&lt;=$AA37) *
(Table_BangLuong_TyLeTangCa[Giờ max]&gt;$AA37)
))),
IF(
AND(
$AA37-$Z$4&gt;=MAX(AP$4,VLOOKUP(AP$6, Table_ChiPhiNV_Ca[], COUNTA(Table_ChiPhiNV_Ca[[#Headers],[Ca]:[Bắt đầu]]),0)),
$AA37&lt;MIN(AP$5,VLOOKUP(AP$6, Table_ChiPhiNV_Ca[], COUNTA(Table_ChiPhiNV_Ca[[#Headers],[Ca]:[Kết thúc]]),0))),
SUM(_xlfn._xlws.FILTER(Table_BangLuong_TyLeTangCa[Tỷ lệ],
(Table_BangLuong_TyLeTangCa[Ngày] = "Thường") *
(Table_BangLuong_TyLeTangCa[Giờ min]&lt;=$AA37) *
(Table_BangLuong_TyLeTangCa[Giờ max]&gt;$AA37)
)),0)
)),
IF(AP$4 &lt; AP$5,
IF($AA37-$Z$4&lt;AP$4,0,
IF($AA37&gt;AP$5,0,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AP$5,$AA37 &lt; AP$4),0,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Q37" s="18" cm="1">
        <f t="array" ref="AQ37" xml:space="preserve">
IFERROR(
IF(AQ$1="",0,
IF(AND(
$AA37&gt;=VLOOKUP(AQ$6, Table_ChiPhiNV_Ca[], COUNTA(Table_ChiPhiNV_Ca[[#Headers],[Ca]:[Bắt đầu nghỉ]]),0),
$AA37&lt;VLOOKUP(AQ$6, Table_ChiPhiNV_Ca[], COUNTA(Table_ChiPhiNV_Ca[[#Headers],[Ca]:[Kết thúc nghỉ]]),0)
),0,
IF(NOT(ISBLANK(AQ$3)),
IF(ISBLANK(AQ$7),0,
IF(AQ$4 &lt; AQ$5,
IF($AA37-$Z$4&lt;AQ$4,0,
IF($AA37&gt;AQ$5,0,
SUM(_xlfn._xlws.FILTER(Table_BangLuong_TyLeTangCa[Tỷ lệ],
(Table_BangLuong_TyLeTangCa[Ngày] = AQ$3) *
(Table_BangLuong_TyLeTangCa[Giờ min]&lt;=$AA37) *
(Table_BangLuong_TyLeTangCa[Giờ max]&gt;$AA37)
)))),
IF(AND($AA37-$Z$4 &gt;= AQ$5,$AA37 &lt; AQ$4),0,
SUM(_xlfn._xlws.FILTER(Table_BangLuong_TyLeTangCa[Tỷ lệ],
(Table_BangLuong_TyLeTangCa[Ngày] = AQ$3) *
(Table_BangLuong_TyLeTangCa[Giờ min]&lt;=$AA37) *
(Table_BangLuong_TyLeTangCa[Giờ max]&gt;$AA37)
))))
),
IF(ISBLANK(AQ$7),
IF(VLOOKUP(AQ$6, Table_ChiPhiNV_Ca[], COUNTA(Table_ChiPhiNV_Ca[[#Headers],[Ca]:[Kết thúc]]),0)&gt; VLOOKUP(AQ$6, Table_ChiPhiNV_Ca[], COUNTA(Table_ChiPhiNV_Ca[[#Headers],[Ca]:[Bắt đầu]]),0),
IF($AA37-$Z$4&lt;MAX(AQ$4,VLOOKUP(AQ$6, Table_ChiPhiNV_Ca[], COUNTA(Table_ChiPhiNV_Ca[[#Headers],[Ca]:[Bắt đầu]]),0)),0,
IF($AA37&gt;MIN(AQ$5,VLOOKUP(AQ$6, Table_ChiPhiNV_Ca[], COUNTA(Table_ChiPhiNV_Ca[[#Headers],[Ca]:[Kết thúc]]),0)),0,
SUM(_xlfn._xlws.FILTER(Table_BangLuong_TyLeTangCa[Tỷ lệ],
(Table_BangLuong_TyLeTangCa[Ngày] = "Thường") *
(Table_BangLuong_TyLeTangCa[Giờ min]&lt;=$AA37) *
(Table_BangLuong_TyLeTangCa[Giờ max]&gt;$AA37)
)))),
IF(AQ$4 &gt; AQ$5,
IF(
AND(
$AA37-$Z$4&lt;MAX(AQ$4,VLOOKUP(AQ$6, Table_ChiPhiNV_Ca[], COUNTA(Table_ChiPhiNV_Ca[[#Headers],[Ca]:[Bắt đầu]]),0)),
$AA37&gt;MIN(AQ$5,VLOOKUP(AQ$6, Table_ChiPhiNV_Ca[], COUNTA(Table_ChiPhiNV_Ca[[#Headers],[Ca]:[Kết thúc]]),0))),0,
SUM(_xlfn._xlws.FILTER(Table_BangLuong_TyLeTangCa[Tỷ lệ],
(Table_BangLuong_TyLeTangCa[Ngày] = "Thường") *
(Table_BangLuong_TyLeTangCa[Giờ min]&lt;=$AA37) *
(Table_BangLuong_TyLeTangCa[Giờ max]&gt;$AA37)
))),
IF(
AND(
$AA37-$Z$4&gt;=MAX(AQ$4,VLOOKUP(AQ$6, Table_ChiPhiNV_Ca[], COUNTA(Table_ChiPhiNV_Ca[[#Headers],[Ca]:[Bắt đầu]]),0)),
$AA37&lt;MIN(AQ$5,VLOOKUP(AQ$6, Table_ChiPhiNV_Ca[], COUNTA(Table_ChiPhiNV_Ca[[#Headers],[Ca]:[Kết thúc]]),0))),
SUM(_xlfn._xlws.FILTER(Table_BangLuong_TyLeTangCa[Tỷ lệ],
(Table_BangLuong_TyLeTangCa[Ngày] = "Thường") *
(Table_BangLuong_TyLeTangCa[Giờ min]&lt;=$AA37) *
(Table_BangLuong_TyLeTangCa[Giờ max]&gt;$AA37)
)),0)
)),
IF(AQ$4 &lt; AQ$5,
IF($AA37-$Z$4&lt;AQ$4,0,
IF($AA37&gt;AQ$5,0,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AQ$5,$AA37 &lt; AQ$4),0,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R37" s="18" cm="1">
        <f t="array" ref="AR37" xml:space="preserve">
IFERROR(
IF(AR$1="",0,
IF(AND(
$AA37&gt;=VLOOKUP(AR$6, Table_ChiPhiNV_Ca[], COUNTA(Table_ChiPhiNV_Ca[[#Headers],[Ca]:[Bắt đầu nghỉ]]),0),
$AA37&lt;VLOOKUP(AR$6, Table_ChiPhiNV_Ca[], COUNTA(Table_ChiPhiNV_Ca[[#Headers],[Ca]:[Kết thúc nghỉ]]),0)
),0,
IF(NOT(ISBLANK(AR$3)),
IF(ISBLANK(AR$7),0,
IF(AR$4 &lt; AR$5,
IF($AA37-$Z$4&lt;AR$4,0,
IF($AA37&gt;AR$5,0,
SUM(_xlfn._xlws.FILTER(Table_BangLuong_TyLeTangCa[Tỷ lệ],
(Table_BangLuong_TyLeTangCa[Ngày] = AR$3) *
(Table_BangLuong_TyLeTangCa[Giờ min]&lt;=$AA37) *
(Table_BangLuong_TyLeTangCa[Giờ max]&gt;$AA37)
)))),
IF(AND($AA37-$Z$4 &gt;= AR$5,$AA37 &lt; AR$4),0,
SUM(_xlfn._xlws.FILTER(Table_BangLuong_TyLeTangCa[Tỷ lệ],
(Table_BangLuong_TyLeTangCa[Ngày] = AR$3) *
(Table_BangLuong_TyLeTangCa[Giờ min]&lt;=$AA37) *
(Table_BangLuong_TyLeTangCa[Giờ max]&gt;$AA37)
))))
),
IF(ISBLANK(AR$7),
IF(VLOOKUP(AR$6, Table_ChiPhiNV_Ca[], COUNTA(Table_ChiPhiNV_Ca[[#Headers],[Ca]:[Kết thúc]]),0)&gt; VLOOKUP(AR$6, Table_ChiPhiNV_Ca[], COUNTA(Table_ChiPhiNV_Ca[[#Headers],[Ca]:[Bắt đầu]]),0),
IF($AA37-$Z$4&lt;MAX(AR$4,VLOOKUP(AR$6, Table_ChiPhiNV_Ca[], COUNTA(Table_ChiPhiNV_Ca[[#Headers],[Ca]:[Bắt đầu]]),0)),0,
IF($AA37&gt;MIN(AR$5,VLOOKUP(AR$6, Table_ChiPhiNV_Ca[], COUNTA(Table_ChiPhiNV_Ca[[#Headers],[Ca]:[Kết thúc]]),0)),0,
SUM(_xlfn._xlws.FILTER(Table_BangLuong_TyLeTangCa[Tỷ lệ],
(Table_BangLuong_TyLeTangCa[Ngày] = "Thường") *
(Table_BangLuong_TyLeTangCa[Giờ min]&lt;=$AA37) *
(Table_BangLuong_TyLeTangCa[Giờ max]&gt;$AA37)
)))),
IF(AR$4 &gt; AR$5,
IF(
AND(
$AA37-$Z$4&lt;MAX(AR$4,VLOOKUP(AR$6, Table_ChiPhiNV_Ca[], COUNTA(Table_ChiPhiNV_Ca[[#Headers],[Ca]:[Bắt đầu]]),0)),
$AA37&gt;MIN(AR$5,VLOOKUP(AR$6, Table_ChiPhiNV_Ca[], COUNTA(Table_ChiPhiNV_Ca[[#Headers],[Ca]:[Kết thúc]]),0))),0,
SUM(_xlfn._xlws.FILTER(Table_BangLuong_TyLeTangCa[Tỷ lệ],
(Table_BangLuong_TyLeTangCa[Ngày] = "Thường") *
(Table_BangLuong_TyLeTangCa[Giờ min]&lt;=$AA37) *
(Table_BangLuong_TyLeTangCa[Giờ max]&gt;$AA37)
))),
IF(
AND(
$AA37-$Z$4&gt;=MAX(AR$4,VLOOKUP(AR$6, Table_ChiPhiNV_Ca[], COUNTA(Table_ChiPhiNV_Ca[[#Headers],[Ca]:[Bắt đầu]]),0)),
$AA37&lt;MIN(AR$5,VLOOKUP(AR$6, Table_ChiPhiNV_Ca[], COUNTA(Table_ChiPhiNV_Ca[[#Headers],[Ca]:[Kết thúc]]),0))),
SUM(_xlfn._xlws.FILTER(Table_BangLuong_TyLeTangCa[Tỷ lệ],
(Table_BangLuong_TyLeTangCa[Ngày] = "Thường") *
(Table_BangLuong_TyLeTangCa[Giờ min]&lt;=$AA37) *
(Table_BangLuong_TyLeTangCa[Giờ max]&gt;$AA37)
)),0)
)),
IF(AR$4 &lt; AR$5,
IF($AA37-$Z$4&lt;AR$4,0,
IF($AA37&gt;AR$5,0,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AR$5,$AA37 &lt; AR$4),0,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S37" s="18" cm="1">
        <f t="array" ref="AS37" xml:space="preserve">
IFERROR(
IF(AS$1="",0,
IF(AND(
$AA37&gt;=VLOOKUP(AS$6, Table_ChiPhiNV_Ca[], COUNTA(Table_ChiPhiNV_Ca[[#Headers],[Ca]:[Bắt đầu nghỉ]]),0),
$AA37&lt;VLOOKUP(AS$6, Table_ChiPhiNV_Ca[], COUNTA(Table_ChiPhiNV_Ca[[#Headers],[Ca]:[Kết thúc nghỉ]]),0)
),0,
IF(NOT(ISBLANK(AS$3)),
IF(ISBLANK(AS$7),0,
IF(AS$4 &lt; AS$5,
IF($AA37-$Z$4&lt;AS$4,0,
IF($AA37&gt;AS$5,0,
SUM(_xlfn._xlws.FILTER(Table_BangLuong_TyLeTangCa[Tỷ lệ],
(Table_BangLuong_TyLeTangCa[Ngày] = AS$3) *
(Table_BangLuong_TyLeTangCa[Giờ min]&lt;=$AA37) *
(Table_BangLuong_TyLeTangCa[Giờ max]&gt;$AA37)
)))),
IF(AND($AA37-$Z$4 &gt;= AS$5,$AA37 &lt; AS$4),0,
SUM(_xlfn._xlws.FILTER(Table_BangLuong_TyLeTangCa[Tỷ lệ],
(Table_BangLuong_TyLeTangCa[Ngày] = AS$3) *
(Table_BangLuong_TyLeTangCa[Giờ min]&lt;=$AA37) *
(Table_BangLuong_TyLeTangCa[Giờ max]&gt;$AA37)
))))
),
IF(ISBLANK(AS$7),
IF(VLOOKUP(AS$6, Table_ChiPhiNV_Ca[], COUNTA(Table_ChiPhiNV_Ca[[#Headers],[Ca]:[Kết thúc]]),0)&gt; VLOOKUP(AS$6, Table_ChiPhiNV_Ca[], COUNTA(Table_ChiPhiNV_Ca[[#Headers],[Ca]:[Bắt đầu]]),0),
IF($AA37-$Z$4&lt;MAX(AS$4,VLOOKUP(AS$6, Table_ChiPhiNV_Ca[], COUNTA(Table_ChiPhiNV_Ca[[#Headers],[Ca]:[Bắt đầu]]),0)),0,
IF($AA37&gt;MIN(AS$5,VLOOKUP(AS$6, Table_ChiPhiNV_Ca[], COUNTA(Table_ChiPhiNV_Ca[[#Headers],[Ca]:[Kết thúc]]),0)),0,
SUM(_xlfn._xlws.FILTER(Table_BangLuong_TyLeTangCa[Tỷ lệ],
(Table_BangLuong_TyLeTangCa[Ngày] = "Thường") *
(Table_BangLuong_TyLeTangCa[Giờ min]&lt;=$AA37) *
(Table_BangLuong_TyLeTangCa[Giờ max]&gt;$AA37)
)))),
IF(AS$4 &gt; AS$5,
IF(
AND(
$AA37-$Z$4&lt;MAX(AS$4,VLOOKUP(AS$6, Table_ChiPhiNV_Ca[], COUNTA(Table_ChiPhiNV_Ca[[#Headers],[Ca]:[Bắt đầu]]),0)),
$AA37&gt;MIN(AS$5,VLOOKUP(AS$6, Table_ChiPhiNV_Ca[], COUNTA(Table_ChiPhiNV_Ca[[#Headers],[Ca]:[Kết thúc]]),0))),0,
SUM(_xlfn._xlws.FILTER(Table_BangLuong_TyLeTangCa[Tỷ lệ],
(Table_BangLuong_TyLeTangCa[Ngày] = "Thường") *
(Table_BangLuong_TyLeTangCa[Giờ min]&lt;=$AA37) *
(Table_BangLuong_TyLeTangCa[Giờ max]&gt;$AA37)
))),
IF(
AND(
$AA37-$Z$4&gt;=MAX(AS$4,VLOOKUP(AS$6, Table_ChiPhiNV_Ca[], COUNTA(Table_ChiPhiNV_Ca[[#Headers],[Ca]:[Bắt đầu]]),0)),
$AA37&lt;MIN(AS$5,VLOOKUP(AS$6, Table_ChiPhiNV_Ca[], COUNTA(Table_ChiPhiNV_Ca[[#Headers],[Ca]:[Kết thúc]]),0))),
SUM(_xlfn._xlws.FILTER(Table_BangLuong_TyLeTangCa[Tỷ lệ],
(Table_BangLuong_TyLeTangCa[Ngày] = "Thường") *
(Table_BangLuong_TyLeTangCa[Giờ min]&lt;=$AA37) *
(Table_BangLuong_TyLeTangCa[Giờ max]&gt;$AA37)
)),0)
)),
IF(AS$4 &lt; AS$5,
IF($AA37-$Z$4&lt;AS$4,0,
IF($AA37&gt;AS$5,0,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AS$5,$AA37 &lt; AS$4),0,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T37" s="18" cm="1">
        <f t="array" ref="AT37" xml:space="preserve">
IFERROR(
IF(AT$1="",0,
IF(AND(
$AA37&gt;=VLOOKUP(AT$6, Table_ChiPhiNV_Ca[], COUNTA(Table_ChiPhiNV_Ca[[#Headers],[Ca]:[Bắt đầu nghỉ]]),0),
$AA37&lt;VLOOKUP(AT$6, Table_ChiPhiNV_Ca[], COUNTA(Table_ChiPhiNV_Ca[[#Headers],[Ca]:[Kết thúc nghỉ]]),0)
),0,
IF(NOT(ISBLANK(AT$3)),
IF(ISBLANK(AT$7),0,
IF(AT$4 &lt; AT$5,
IF($AA37-$Z$4&lt;AT$4,0,
IF($AA37&gt;AT$5,0,
SUM(_xlfn._xlws.FILTER(Table_BangLuong_TyLeTangCa[Tỷ lệ],
(Table_BangLuong_TyLeTangCa[Ngày] = AT$3) *
(Table_BangLuong_TyLeTangCa[Giờ min]&lt;=$AA37) *
(Table_BangLuong_TyLeTangCa[Giờ max]&gt;$AA37)
)))),
IF(AND($AA37-$Z$4 &gt;= AT$5,$AA37 &lt; AT$4),0,
SUM(_xlfn._xlws.FILTER(Table_BangLuong_TyLeTangCa[Tỷ lệ],
(Table_BangLuong_TyLeTangCa[Ngày] = AT$3) *
(Table_BangLuong_TyLeTangCa[Giờ min]&lt;=$AA37) *
(Table_BangLuong_TyLeTangCa[Giờ max]&gt;$AA37)
))))
),
IF(ISBLANK(AT$7),
IF(VLOOKUP(AT$6, Table_ChiPhiNV_Ca[], COUNTA(Table_ChiPhiNV_Ca[[#Headers],[Ca]:[Kết thúc]]),0)&gt; VLOOKUP(AT$6, Table_ChiPhiNV_Ca[], COUNTA(Table_ChiPhiNV_Ca[[#Headers],[Ca]:[Bắt đầu]]),0),
IF($AA37-$Z$4&lt;MAX(AT$4,VLOOKUP(AT$6, Table_ChiPhiNV_Ca[], COUNTA(Table_ChiPhiNV_Ca[[#Headers],[Ca]:[Bắt đầu]]),0)),0,
IF($AA37&gt;MIN(AT$5,VLOOKUP(AT$6, Table_ChiPhiNV_Ca[], COUNTA(Table_ChiPhiNV_Ca[[#Headers],[Ca]:[Kết thúc]]),0)),0,
SUM(_xlfn._xlws.FILTER(Table_BangLuong_TyLeTangCa[Tỷ lệ],
(Table_BangLuong_TyLeTangCa[Ngày] = "Thường") *
(Table_BangLuong_TyLeTangCa[Giờ min]&lt;=$AA37) *
(Table_BangLuong_TyLeTangCa[Giờ max]&gt;$AA37)
)))),
IF(AT$4 &gt; AT$5,
IF(
AND(
$AA37-$Z$4&lt;MAX(AT$4,VLOOKUP(AT$6, Table_ChiPhiNV_Ca[], COUNTA(Table_ChiPhiNV_Ca[[#Headers],[Ca]:[Bắt đầu]]),0)),
$AA37&gt;MIN(AT$5,VLOOKUP(AT$6, Table_ChiPhiNV_Ca[], COUNTA(Table_ChiPhiNV_Ca[[#Headers],[Ca]:[Kết thúc]]),0))),0,
SUM(_xlfn._xlws.FILTER(Table_BangLuong_TyLeTangCa[Tỷ lệ],
(Table_BangLuong_TyLeTangCa[Ngày] = "Thường") *
(Table_BangLuong_TyLeTangCa[Giờ min]&lt;=$AA37) *
(Table_BangLuong_TyLeTangCa[Giờ max]&gt;$AA37)
))),
IF(
AND(
$AA37-$Z$4&gt;=MAX(AT$4,VLOOKUP(AT$6, Table_ChiPhiNV_Ca[], COUNTA(Table_ChiPhiNV_Ca[[#Headers],[Ca]:[Bắt đầu]]),0)),
$AA37&lt;MIN(AT$5,VLOOKUP(AT$6, Table_ChiPhiNV_Ca[], COUNTA(Table_ChiPhiNV_Ca[[#Headers],[Ca]:[Kết thúc]]),0))),
SUM(_xlfn._xlws.FILTER(Table_BangLuong_TyLeTangCa[Tỷ lệ],
(Table_BangLuong_TyLeTangCa[Ngày] = "Thường") *
(Table_BangLuong_TyLeTangCa[Giờ min]&lt;=$AA37) *
(Table_BangLuong_TyLeTangCa[Giờ max]&gt;$AA37)
)),0)
)),
IF(AT$4 &lt; AT$5,
IF($AA37-$Z$4&lt;AT$4,0,
IF($AA37&gt;AT$5,0,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AT$5,$AA37 &lt; AT$4),0,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U37" s="18" cm="1">
        <f t="array" ref="AU37" xml:space="preserve">
IFERROR(
IF(AU$1="",0,
IF(AND(
$AA37&gt;=VLOOKUP(AU$6, Table_ChiPhiNV_Ca[], COUNTA(Table_ChiPhiNV_Ca[[#Headers],[Ca]:[Bắt đầu nghỉ]]),0),
$AA37&lt;VLOOKUP(AU$6, Table_ChiPhiNV_Ca[], COUNTA(Table_ChiPhiNV_Ca[[#Headers],[Ca]:[Kết thúc nghỉ]]),0)
),0,
IF(NOT(ISBLANK(AU$3)),
IF(ISBLANK(AU$7),0,
IF(AU$4 &lt; AU$5,
IF($AA37-$Z$4&lt;AU$4,0,
IF($AA37&gt;AU$5,0,
SUM(_xlfn._xlws.FILTER(Table_BangLuong_TyLeTangCa[Tỷ lệ],
(Table_BangLuong_TyLeTangCa[Ngày] = AU$3) *
(Table_BangLuong_TyLeTangCa[Giờ min]&lt;=$AA37) *
(Table_BangLuong_TyLeTangCa[Giờ max]&gt;$AA37)
)))),
IF(AND($AA37-$Z$4 &gt;= AU$5,$AA37 &lt; AU$4),0,
SUM(_xlfn._xlws.FILTER(Table_BangLuong_TyLeTangCa[Tỷ lệ],
(Table_BangLuong_TyLeTangCa[Ngày] = AU$3) *
(Table_BangLuong_TyLeTangCa[Giờ min]&lt;=$AA37) *
(Table_BangLuong_TyLeTangCa[Giờ max]&gt;$AA37)
))))
),
IF(ISBLANK(AU$7),
IF(VLOOKUP(AU$6, Table_ChiPhiNV_Ca[], COUNTA(Table_ChiPhiNV_Ca[[#Headers],[Ca]:[Kết thúc]]),0)&gt; VLOOKUP(AU$6, Table_ChiPhiNV_Ca[], COUNTA(Table_ChiPhiNV_Ca[[#Headers],[Ca]:[Bắt đầu]]),0),
IF($AA37-$Z$4&lt;MAX(AU$4,VLOOKUP(AU$6, Table_ChiPhiNV_Ca[], COUNTA(Table_ChiPhiNV_Ca[[#Headers],[Ca]:[Bắt đầu]]),0)),0,
IF($AA37&gt;MIN(AU$5,VLOOKUP(AU$6, Table_ChiPhiNV_Ca[], COUNTA(Table_ChiPhiNV_Ca[[#Headers],[Ca]:[Kết thúc]]),0)),0,
SUM(_xlfn._xlws.FILTER(Table_BangLuong_TyLeTangCa[Tỷ lệ],
(Table_BangLuong_TyLeTangCa[Ngày] = "Thường") *
(Table_BangLuong_TyLeTangCa[Giờ min]&lt;=$AA37) *
(Table_BangLuong_TyLeTangCa[Giờ max]&gt;$AA37)
)))),
IF(AU$4 &gt; AU$5,
IF(
AND(
$AA37-$Z$4&lt;MAX(AU$4,VLOOKUP(AU$6, Table_ChiPhiNV_Ca[], COUNTA(Table_ChiPhiNV_Ca[[#Headers],[Ca]:[Bắt đầu]]),0)),
$AA37&gt;MIN(AU$5,VLOOKUP(AU$6, Table_ChiPhiNV_Ca[], COUNTA(Table_ChiPhiNV_Ca[[#Headers],[Ca]:[Kết thúc]]),0))),0,
SUM(_xlfn._xlws.FILTER(Table_BangLuong_TyLeTangCa[Tỷ lệ],
(Table_BangLuong_TyLeTangCa[Ngày] = "Thường") *
(Table_BangLuong_TyLeTangCa[Giờ min]&lt;=$AA37) *
(Table_BangLuong_TyLeTangCa[Giờ max]&gt;$AA37)
))),
IF(
AND(
$AA37-$Z$4&gt;=MAX(AU$4,VLOOKUP(AU$6, Table_ChiPhiNV_Ca[], COUNTA(Table_ChiPhiNV_Ca[[#Headers],[Ca]:[Bắt đầu]]),0)),
$AA37&lt;MIN(AU$5,VLOOKUP(AU$6, Table_ChiPhiNV_Ca[], COUNTA(Table_ChiPhiNV_Ca[[#Headers],[Ca]:[Kết thúc]]),0))),
SUM(_xlfn._xlws.FILTER(Table_BangLuong_TyLeTangCa[Tỷ lệ],
(Table_BangLuong_TyLeTangCa[Ngày] = "Thường") *
(Table_BangLuong_TyLeTangCa[Giờ min]&lt;=$AA37) *
(Table_BangLuong_TyLeTangCa[Giờ max]&gt;$AA37)
)),0)
)),
IF(AU$4 &lt; AU$5,
IF($AA37-$Z$4&lt;AU$4,0,
IF($AA37&gt;AU$5,0,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AU$5,$AA37 &lt; AU$4),0,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V37" s="18" cm="1">
        <f t="array" ref="AV37" xml:space="preserve">
IFERROR(
IF(AV$1="",0,
IF(AND(
$AA37&gt;=VLOOKUP(AV$6, Table_ChiPhiNV_Ca[], COUNTA(Table_ChiPhiNV_Ca[[#Headers],[Ca]:[Bắt đầu nghỉ]]),0),
$AA37&lt;VLOOKUP(AV$6, Table_ChiPhiNV_Ca[], COUNTA(Table_ChiPhiNV_Ca[[#Headers],[Ca]:[Kết thúc nghỉ]]),0)
),0,
IF(NOT(ISBLANK(AV$3)),
IF(ISBLANK(AV$7),0,
IF(AV$4 &lt; AV$5,
IF($AA37-$Z$4&lt;AV$4,0,
IF($AA37&gt;AV$5,0,
SUM(_xlfn._xlws.FILTER(Table_BangLuong_TyLeTangCa[Tỷ lệ],
(Table_BangLuong_TyLeTangCa[Ngày] = AV$3) *
(Table_BangLuong_TyLeTangCa[Giờ min]&lt;=$AA37) *
(Table_BangLuong_TyLeTangCa[Giờ max]&gt;$AA37)
)))),
IF(AND($AA37-$Z$4 &gt;= AV$5,$AA37 &lt; AV$4),0,
SUM(_xlfn._xlws.FILTER(Table_BangLuong_TyLeTangCa[Tỷ lệ],
(Table_BangLuong_TyLeTangCa[Ngày] = AV$3) *
(Table_BangLuong_TyLeTangCa[Giờ min]&lt;=$AA37) *
(Table_BangLuong_TyLeTangCa[Giờ max]&gt;$AA37)
))))
),
IF(ISBLANK(AV$7),
IF(VLOOKUP(AV$6, Table_ChiPhiNV_Ca[], COUNTA(Table_ChiPhiNV_Ca[[#Headers],[Ca]:[Kết thúc]]),0)&gt; VLOOKUP(AV$6, Table_ChiPhiNV_Ca[], COUNTA(Table_ChiPhiNV_Ca[[#Headers],[Ca]:[Bắt đầu]]),0),
IF($AA37-$Z$4&lt;MAX(AV$4,VLOOKUP(AV$6, Table_ChiPhiNV_Ca[], COUNTA(Table_ChiPhiNV_Ca[[#Headers],[Ca]:[Bắt đầu]]),0)),0,
IF($AA37&gt;MIN(AV$5,VLOOKUP(AV$6, Table_ChiPhiNV_Ca[], COUNTA(Table_ChiPhiNV_Ca[[#Headers],[Ca]:[Kết thúc]]),0)),0,
SUM(_xlfn._xlws.FILTER(Table_BangLuong_TyLeTangCa[Tỷ lệ],
(Table_BangLuong_TyLeTangCa[Ngày] = "Thường") *
(Table_BangLuong_TyLeTangCa[Giờ min]&lt;=$AA37) *
(Table_BangLuong_TyLeTangCa[Giờ max]&gt;$AA37)
)))),
IF(AV$4 &gt; AV$5,
IF(
AND(
$AA37-$Z$4&lt;MAX(AV$4,VLOOKUP(AV$6, Table_ChiPhiNV_Ca[], COUNTA(Table_ChiPhiNV_Ca[[#Headers],[Ca]:[Bắt đầu]]),0)),
$AA37&gt;MIN(AV$5,VLOOKUP(AV$6, Table_ChiPhiNV_Ca[], COUNTA(Table_ChiPhiNV_Ca[[#Headers],[Ca]:[Kết thúc]]),0))),0,
SUM(_xlfn._xlws.FILTER(Table_BangLuong_TyLeTangCa[Tỷ lệ],
(Table_BangLuong_TyLeTangCa[Ngày] = "Thường") *
(Table_BangLuong_TyLeTangCa[Giờ min]&lt;=$AA37) *
(Table_BangLuong_TyLeTangCa[Giờ max]&gt;$AA37)
))),
IF(
AND(
$AA37-$Z$4&gt;=MAX(AV$4,VLOOKUP(AV$6, Table_ChiPhiNV_Ca[], COUNTA(Table_ChiPhiNV_Ca[[#Headers],[Ca]:[Bắt đầu]]),0)),
$AA37&lt;MIN(AV$5,VLOOKUP(AV$6, Table_ChiPhiNV_Ca[], COUNTA(Table_ChiPhiNV_Ca[[#Headers],[Ca]:[Kết thúc]]),0))),
SUM(_xlfn._xlws.FILTER(Table_BangLuong_TyLeTangCa[Tỷ lệ],
(Table_BangLuong_TyLeTangCa[Ngày] = "Thường") *
(Table_BangLuong_TyLeTangCa[Giờ min]&lt;=$AA37) *
(Table_BangLuong_TyLeTangCa[Giờ max]&gt;$AA37)
)),0)
)),
IF(AV$4 &lt; AV$5,
IF($AA37-$Z$4&lt;AV$4,0,
IF($AA37&gt;AV$5,0,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AV$5,$AA37 &lt; AV$4),0,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W37" s="18" cm="1">
        <f t="array" ref="AW37" xml:space="preserve">
IFERROR(
IF(AW$1="",0,
IF(AND(
$AA37&gt;=VLOOKUP(AW$6, Table_ChiPhiNV_Ca[], COUNTA(Table_ChiPhiNV_Ca[[#Headers],[Ca]:[Bắt đầu nghỉ]]),0),
$AA37&lt;VLOOKUP(AW$6, Table_ChiPhiNV_Ca[], COUNTA(Table_ChiPhiNV_Ca[[#Headers],[Ca]:[Kết thúc nghỉ]]),0)
),0,
IF(NOT(ISBLANK(AW$3)),
IF(ISBLANK(AW$7),0,
IF(AW$4 &lt; AW$5,
IF($AA37-$Z$4&lt;AW$4,0,
IF($AA37&gt;AW$5,0,
SUM(_xlfn._xlws.FILTER(Table_BangLuong_TyLeTangCa[Tỷ lệ],
(Table_BangLuong_TyLeTangCa[Ngày] = AW$3) *
(Table_BangLuong_TyLeTangCa[Giờ min]&lt;=$AA37) *
(Table_BangLuong_TyLeTangCa[Giờ max]&gt;$AA37)
)))),
IF(AND($AA37-$Z$4 &gt;= AW$5,$AA37 &lt; AW$4),0,
SUM(_xlfn._xlws.FILTER(Table_BangLuong_TyLeTangCa[Tỷ lệ],
(Table_BangLuong_TyLeTangCa[Ngày] = AW$3) *
(Table_BangLuong_TyLeTangCa[Giờ min]&lt;=$AA37) *
(Table_BangLuong_TyLeTangCa[Giờ max]&gt;$AA37)
))))
),
IF(ISBLANK(AW$7),
IF(VLOOKUP(AW$6, Table_ChiPhiNV_Ca[], COUNTA(Table_ChiPhiNV_Ca[[#Headers],[Ca]:[Kết thúc]]),0)&gt; VLOOKUP(AW$6, Table_ChiPhiNV_Ca[], COUNTA(Table_ChiPhiNV_Ca[[#Headers],[Ca]:[Bắt đầu]]),0),
IF($AA37-$Z$4&lt;MAX(AW$4,VLOOKUP(AW$6, Table_ChiPhiNV_Ca[], COUNTA(Table_ChiPhiNV_Ca[[#Headers],[Ca]:[Bắt đầu]]),0)),0,
IF($AA37&gt;MIN(AW$5,VLOOKUP(AW$6, Table_ChiPhiNV_Ca[], COUNTA(Table_ChiPhiNV_Ca[[#Headers],[Ca]:[Kết thúc]]),0)),0,
SUM(_xlfn._xlws.FILTER(Table_BangLuong_TyLeTangCa[Tỷ lệ],
(Table_BangLuong_TyLeTangCa[Ngày] = "Thường") *
(Table_BangLuong_TyLeTangCa[Giờ min]&lt;=$AA37) *
(Table_BangLuong_TyLeTangCa[Giờ max]&gt;$AA37)
)))),
IF(AW$4 &gt; AW$5,
IF(
AND(
$AA37-$Z$4&lt;MAX(AW$4,VLOOKUP(AW$6, Table_ChiPhiNV_Ca[], COUNTA(Table_ChiPhiNV_Ca[[#Headers],[Ca]:[Bắt đầu]]),0)),
$AA37&gt;MIN(AW$5,VLOOKUP(AW$6, Table_ChiPhiNV_Ca[], COUNTA(Table_ChiPhiNV_Ca[[#Headers],[Ca]:[Kết thúc]]),0))),0,
SUM(_xlfn._xlws.FILTER(Table_BangLuong_TyLeTangCa[Tỷ lệ],
(Table_BangLuong_TyLeTangCa[Ngày] = "Thường") *
(Table_BangLuong_TyLeTangCa[Giờ min]&lt;=$AA37) *
(Table_BangLuong_TyLeTangCa[Giờ max]&gt;$AA37)
))),
IF(
AND(
$AA37-$Z$4&gt;=MAX(AW$4,VLOOKUP(AW$6, Table_ChiPhiNV_Ca[], COUNTA(Table_ChiPhiNV_Ca[[#Headers],[Ca]:[Bắt đầu]]),0)),
$AA37&lt;MIN(AW$5,VLOOKUP(AW$6, Table_ChiPhiNV_Ca[], COUNTA(Table_ChiPhiNV_Ca[[#Headers],[Ca]:[Kết thúc]]),0))),
SUM(_xlfn._xlws.FILTER(Table_BangLuong_TyLeTangCa[Tỷ lệ],
(Table_BangLuong_TyLeTangCa[Ngày] = "Thường") *
(Table_BangLuong_TyLeTangCa[Giờ min]&lt;=$AA37) *
(Table_BangLuong_TyLeTangCa[Giờ max]&gt;$AA37)
)),0)
)),
IF(AW$4 &lt; AW$5,
IF($AA37-$Z$4&lt;AW$4,0,
IF($AA37&gt;AW$5,0,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AW$5,$AA37 &lt; AW$4),0,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X37" s="18" cm="1">
        <f t="array" ref="AX37" xml:space="preserve">
IFERROR(
IF(AX$1="",0,
IF(AND(
$AA37&gt;=VLOOKUP(AX$6, Table_ChiPhiNV_Ca[], COUNTA(Table_ChiPhiNV_Ca[[#Headers],[Ca]:[Bắt đầu nghỉ]]),0),
$AA37&lt;VLOOKUP(AX$6, Table_ChiPhiNV_Ca[], COUNTA(Table_ChiPhiNV_Ca[[#Headers],[Ca]:[Kết thúc nghỉ]]),0)
),0,
IF(NOT(ISBLANK(AX$3)),
IF(ISBLANK(AX$7),0,
IF(AX$4 &lt; AX$5,
IF($AA37-$Z$4&lt;AX$4,0,
IF($AA37&gt;AX$5,0,
SUM(_xlfn._xlws.FILTER(Table_BangLuong_TyLeTangCa[Tỷ lệ],
(Table_BangLuong_TyLeTangCa[Ngày] = AX$3) *
(Table_BangLuong_TyLeTangCa[Giờ min]&lt;=$AA37) *
(Table_BangLuong_TyLeTangCa[Giờ max]&gt;$AA37)
)))),
IF(AND($AA37-$Z$4 &gt;= AX$5,$AA37 &lt; AX$4),0,
SUM(_xlfn._xlws.FILTER(Table_BangLuong_TyLeTangCa[Tỷ lệ],
(Table_BangLuong_TyLeTangCa[Ngày] = AX$3) *
(Table_BangLuong_TyLeTangCa[Giờ min]&lt;=$AA37) *
(Table_BangLuong_TyLeTangCa[Giờ max]&gt;$AA37)
))))
),
IF(ISBLANK(AX$7),
IF(VLOOKUP(AX$6, Table_ChiPhiNV_Ca[], COUNTA(Table_ChiPhiNV_Ca[[#Headers],[Ca]:[Kết thúc]]),0)&gt; VLOOKUP(AX$6, Table_ChiPhiNV_Ca[], COUNTA(Table_ChiPhiNV_Ca[[#Headers],[Ca]:[Bắt đầu]]),0),
IF($AA37-$Z$4&lt;MAX(AX$4,VLOOKUP(AX$6, Table_ChiPhiNV_Ca[], COUNTA(Table_ChiPhiNV_Ca[[#Headers],[Ca]:[Bắt đầu]]),0)),0,
IF($AA37&gt;MIN(AX$5,VLOOKUP(AX$6, Table_ChiPhiNV_Ca[], COUNTA(Table_ChiPhiNV_Ca[[#Headers],[Ca]:[Kết thúc]]),0)),0,
SUM(_xlfn._xlws.FILTER(Table_BangLuong_TyLeTangCa[Tỷ lệ],
(Table_BangLuong_TyLeTangCa[Ngày] = "Thường") *
(Table_BangLuong_TyLeTangCa[Giờ min]&lt;=$AA37) *
(Table_BangLuong_TyLeTangCa[Giờ max]&gt;$AA37)
)))),
IF(AX$4 &gt; AX$5,
IF(
AND(
$AA37-$Z$4&lt;MAX(AX$4,VLOOKUP(AX$6, Table_ChiPhiNV_Ca[], COUNTA(Table_ChiPhiNV_Ca[[#Headers],[Ca]:[Bắt đầu]]),0)),
$AA37&gt;MIN(AX$5,VLOOKUP(AX$6, Table_ChiPhiNV_Ca[], COUNTA(Table_ChiPhiNV_Ca[[#Headers],[Ca]:[Kết thúc]]),0))),0,
SUM(_xlfn._xlws.FILTER(Table_BangLuong_TyLeTangCa[Tỷ lệ],
(Table_BangLuong_TyLeTangCa[Ngày] = "Thường") *
(Table_BangLuong_TyLeTangCa[Giờ min]&lt;=$AA37) *
(Table_BangLuong_TyLeTangCa[Giờ max]&gt;$AA37)
))),
IF(
AND(
$AA37-$Z$4&gt;=MAX(AX$4,VLOOKUP(AX$6, Table_ChiPhiNV_Ca[], COUNTA(Table_ChiPhiNV_Ca[[#Headers],[Ca]:[Bắt đầu]]),0)),
$AA37&lt;MIN(AX$5,VLOOKUP(AX$6, Table_ChiPhiNV_Ca[], COUNTA(Table_ChiPhiNV_Ca[[#Headers],[Ca]:[Kết thúc]]),0))),
SUM(_xlfn._xlws.FILTER(Table_BangLuong_TyLeTangCa[Tỷ lệ],
(Table_BangLuong_TyLeTangCa[Ngày] = "Thường") *
(Table_BangLuong_TyLeTangCa[Giờ min]&lt;=$AA37) *
(Table_BangLuong_TyLeTangCa[Giờ max]&gt;$AA37)
)),0)
)),
IF(AX$4 &lt; AX$5,
IF($AA37-$Z$4&lt;AX$4,0,
IF($AA37&gt;AX$5,0,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AX$5,$AA37 &lt; AX$4),0,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Y37" s="18" cm="1">
        <f t="array" ref="AY37" xml:space="preserve">
IFERROR(
IF(AY$1="",0,
IF(AND(
$AA37&gt;=VLOOKUP(AY$6, Table_ChiPhiNV_Ca[], COUNTA(Table_ChiPhiNV_Ca[[#Headers],[Ca]:[Bắt đầu nghỉ]]),0),
$AA37&lt;VLOOKUP(AY$6, Table_ChiPhiNV_Ca[], COUNTA(Table_ChiPhiNV_Ca[[#Headers],[Ca]:[Kết thúc nghỉ]]),0)
),0,
IF(NOT(ISBLANK(AY$3)),
IF(ISBLANK(AY$7),0,
IF(AY$4 &lt; AY$5,
IF($AA37-$Z$4&lt;AY$4,0,
IF($AA37&gt;AY$5,0,
SUM(_xlfn._xlws.FILTER(Table_BangLuong_TyLeTangCa[Tỷ lệ],
(Table_BangLuong_TyLeTangCa[Ngày] = AY$3) *
(Table_BangLuong_TyLeTangCa[Giờ min]&lt;=$AA37) *
(Table_BangLuong_TyLeTangCa[Giờ max]&gt;$AA37)
)))),
IF(AND($AA37-$Z$4 &gt;= AY$5,$AA37 &lt; AY$4),0,
SUM(_xlfn._xlws.FILTER(Table_BangLuong_TyLeTangCa[Tỷ lệ],
(Table_BangLuong_TyLeTangCa[Ngày] = AY$3) *
(Table_BangLuong_TyLeTangCa[Giờ min]&lt;=$AA37) *
(Table_BangLuong_TyLeTangCa[Giờ max]&gt;$AA37)
))))
),
IF(ISBLANK(AY$7),
IF(VLOOKUP(AY$6, Table_ChiPhiNV_Ca[], COUNTA(Table_ChiPhiNV_Ca[[#Headers],[Ca]:[Kết thúc]]),0)&gt; VLOOKUP(AY$6, Table_ChiPhiNV_Ca[], COUNTA(Table_ChiPhiNV_Ca[[#Headers],[Ca]:[Bắt đầu]]),0),
IF($AA37-$Z$4&lt;MAX(AY$4,VLOOKUP(AY$6, Table_ChiPhiNV_Ca[], COUNTA(Table_ChiPhiNV_Ca[[#Headers],[Ca]:[Bắt đầu]]),0)),0,
IF($AA37&gt;MIN(AY$5,VLOOKUP(AY$6, Table_ChiPhiNV_Ca[], COUNTA(Table_ChiPhiNV_Ca[[#Headers],[Ca]:[Kết thúc]]),0)),0,
SUM(_xlfn._xlws.FILTER(Table_BangLuong_TyLeTangCa[Tỷ lệ],
(Table_BangLuong_TyLeTangCa[Ngày] = "Thường") *
(Table_BangLuong_TyLeTangCa[Giờ min]&lt;=$AA37) *
(Table_BangLuong_TyLeTangCa[Giờ max]&gt;$AA37)
)))),
IF(AY$4 &gt; AY$5,
IF(
AND(
$AA37-$Z$4&lt;MAX(AY$4,VLOOKUP(AY$6, Table_ChiPhiNV_Ca[], COUNTA(Table_ChiPhiNV_Ca[[#Headers],[Ca]:[Bắt đầu]]),0)),
$AA37&gt;MIN(AY$5,VLOOKUP(AY$6, Table_ChiPhiNV_Ca[], COUNTA(Table_ChiPhiNV_Ca[[#Headers],[Ca]:[Kết thúc]]),0))),0,
SUM(_xlfn._xlws.FILTER(Table_BangLuong_TyLeTangCa[Tỷ lệ],
(Table_BangLuong_TyLeTangCa[Ngày] = "Thường") *
(Table_BangLuong_TyLeTangCa[Giờ min]&lt;=$AA37) *
(Table_BangLuong_TyLeTangCa[Giờ max]&gt;$AA37)
))),
IF(
AND(
$AA37-$Z$4&gt;=MAX(AY$4,VLOOKUP(AY$6, Table_ChiPhiNV_Ca[], COUNTA(Table_ChiPhiNV_Ca[[#Headers],[Ca]:[Bắt đầu]]),0)),
$AA37&lt;MIN(AY$5,VLOOKUP(AY$6, Table_ChiPhiNV_Ca[], COUNTA(Table_ChiPhiNV_Ca[[#Headers],[Ca]:[Kết thúc]]),0))),
SUM(_xlfn._xlws.FILTER(Table_BangLuong_TyLeTangCa[Tỷ lệ],
(Table_BangLuong_TyLeTangCa[Ngày] = "Thường") *
(Table_BangLuong_TyLeTangCa[Giờ min]&lt;=$AA37) *
(Table_BangLuong_TyLeTangCa[Giờ max]&gt;$AA37)
)),0)
)),
IF(AY$4 &lt; AY$5,
IF($AA37-$Z$4&lt;AY$4,0,
IF($AA37&gt;AY$5,0,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AY$5,$AA37 &lt; AY$4),0,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Z37" s="18" cm="1">
        <f t="array" ref="AZ37" xml:space="preserve">
IFERROR(
IF(AZ$1="",0,
IF(AND(
$AA37&gt;=VLOOKUP(AZ$6, Table_ChiPhiNV_Ca[], COUNTA(Table_ChiPhiNV_Ca[[#Headers],[Ca]:[Bắt đầu nghỉ]]),0),
$AA37&lt;VLOOKUP(AZ$6, Table_ChiPhiNV_Ca[], COUNTA(Table_ChiPhiNV_Ca[[#Headers],[Ca]:[Kết thúc nghỉ]]),0)
),0,
IF(NOT(ISBLANK(AZ$3)),
IF(ISBLANK(AZ$7),0,
IF(AZ$4 &lt; AZ$5,
IF($AA37-$Z$4&lt;AZ$4,0,
IF($AA37&gt;AZ$5,0,
SUM(_xlfn._xlws.FILTER(Table_BangLuong_TyLeTangCa[Tỷ lệ],
(Table_BangLuong_TyLeTangCa[Ngày] = AZ$3) *
(Table_BangLuong_TyLeTangCa[Giờ min]&lt;=$AA37) *
(Table_BangLuong_TyLeTangCa[Giờ max]&gt;$AA37)
)))),
IF(AND($AA37-$Z$4 &gt;= AZ$5,$AA37 &lt; AZ$4),0,
SUM(_xlfn._xlws.FILTER(Table_BangLuong_TyLeTangCa[Tỷ lệ],
(Table_BangLuong_TyLeTangCa[Ngày] = AZ$3) *
(Table_BangLuong_TyLeTangCa[Giờ min]&lt;=$AA37) *
(Table_BangLuong_TyLeTangCa[Giờ max]&gt;$AA37)
))))
),
IF(ISBLANK(AZ$7),
IF(VLOOKUP(AZ$6, Table_ChiPhiNV_Ca[], COUNTA(Table_ChiPhiNV_Ca[[#Headers],[Ca]:[Kết thúc]]),0)&gt; VLOOKUP(AZ$6, Table_ChiPhiNV_Ca[], COUNTA(Table_ChiPhiNV_Ca[[#Headers],[Ca]:[Bắt đầu]]),0),
IF($AA37-$Z$4&lt;MAX(AZ$4,VLOOKUP(AZ$6, Table_ChiPhiNV_Ca[], COUNTA(Table_ChiPhiNV_Ca[[#Headers],[Ca]:[Bắt đầu]]),0)),0,
IF($AA37&gt;MIN(AZ$5,VLOOKUP(AZ$6, Table_ChiPhiNV_Ca[], COUNTA(Table_ChiPhiNV_Ca[[#Headers],[Ca]:[Kết thúc]]),0)),0,
SUM(_xlfn._xlws.FILTER(Table_BangLuong_TyLeTangCa[Tỷ lệ],
(Table_BangLuong_TyLeTangCa[Ngày] = "Thường") *
(Table_BangLuong_TyLeTangCa[Giờ min]&lt;=$AA37) *
(Table_BangLuong_TyLeTangCa[Giờ max]&gt;$AA37)
)))),
IF(AZ$4 &gt; AZ$5,
IF(
AND(
$AA37-$Z$4&lt;MAX(AZ$4,VLOOKUP(AZ$6, Table_ChiPhiNV_Ca[], COUNTA(Table_ChiPhiNV_Ca[[#Headers],[Ca]:[Bắt đầu]]),0)),
$AA37&gt;MIN(AZ$5,VLOOKUP(AZ$6, Table_ChiPhiNV_Ca[], COUNTA(Table_ChiPhiNV_Ca[[#Headers],[Ca]:[Kết thúc]]),0))),0,
SUM(_xlfn._xlws.FILTER(Table_BangLuong_TyLeTangCa[Tỷ lệ],
(Table_BangLuong_TyLeTangCa[Ngày] = "Thường") *
(Table_BangLuong_TyLeTangCa[Giờ min]&lt;=$AA37) *
(Table_BangLuong_TyLeTangCa[Giờ max]&gt;$AA37)
))),
IF(
AND(
$AA37-$Z$4&gt;=MAX(AZ$4,VLOOKUP(AZ$6, Table_ChiPhiNV_Ca[], COUNTA(Table_ChiPhiNV_Ca[[#Headers],[Ca]:[Bắt đầu]]),0)),
$AA37&lt;MIN(AZ$5,VLOOKUP(AZ$6, Table_ChiPhiNV_Ca[], COUNTA(Table_ChiPhiNV_Ca[[#Headers],[Ca]:[Kết thúc]]),0))),
SUM(_xlfn._xlws.FILTER(Table_BangLuong_TyLeTangCa[Tỷ lệ],
(Table_BangLuong_TyLeTangCa[Ngày] = "Thường") *
(Table_BangLuong_TyLeTangCa[Giờ min]&lt;=$AA37) *
(Table_BangLuong_TyLeTangCa[Giờ max]&gt;$AA37)
)),0)
)),
IF(AZ$4 &lt; AZ$5,
IF($AA37-$Z$4&lt;AZ$4,0,
IF($AA37&gt;AZ$5,0,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AZ$5,$AA37 &lt; AZ$4),0,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A37" s="18" cm="1">
        <f t="array" ref="BA37" xml:space="preserve">
IFERROR(
IF(BA$1="",0,
IF(AND(
$AA37&gt;=VLOOKUP(BA$6, Table_ChiPhiNV_Ca[], COUNTA(Table_ChiPhiNV_Ca[[#Headers],[Ca]:[Bắt đầu nghỉ]]),0),
$AA37&lt;VLOOKUP(BA$6, Table_ChiPhiNV_Ca[], COUNTA(Table_ChiPhiNV_Ca[[#Headers],[Ca]:[Kết thúc nghỉ]]),0)
),0,
IF(NOT(ISBLANK(BA$3)),
IF(ISBLANK(BA$7),0,
IF(BA$4 &lt; BA$5,
IF($AA37-$Z$4&lt;BA$4,0,
IF($AA37&gt;BA$5,0,
SUM(_xlfn._xlws.FILTER(Table_BangLuong_TyLeTangCa[Tỷ lệ],
(Table_BangLuong_TyLeTangCa[Ngày] = BA$3) *
(Table_BangLuong_TyLeTangCa[Giờ min]&lt;=$AA37) *
(Table_BangLuong_TyLeTangCa[Giờ max]&gt;$AA37)
)))),
IF(AND($AA37-$Z$4 &gt;= BA$5,$AA37 &lt; BA$4),0,
SUM(_xlfn._xlws.FILTER(Table_BangLuong_TyLeTangCa[Tỷ lệ],
(Table_BangLuong_TyLeTangCa[Ngày] = BA$3) *
(Table_BangLuong_TyLeTangCa[Giờ min]&lt;=$AA37) *
(Table_BangLuong_TyLeTangCa[Giờ max]&gt;$AA37)
))))
),
IF(ISBLANK(BA$7),
IF(VLOOKUP(BA$6, Table_ChiPhiNV_Ca[], COUNTA(Table_ChiPhiNV_Ca[[#Headers],[Ca]:[Kết thúc]]),0)&gt; VLOOKUP(BA$6, Table_ChiPhiNV_Ca[], COUNTA(Table_ChiPhiNV_Ca[[#Headers],[Ca]:[Bắt đầu]]),0),
IF($AA37-$Z$4&lt;MAX(BA$4,VLOOKUP(BA$6, Table_ChiPhiNV_Ca[], COUNTA(Table_ChiPhiNV_Ca[[#Headers],[Ca]:[Bắt đầu]]),0)),0,
IF($AA37&gt;MIN(BA$5,VLOOKUP(BA$6, Table_ChiPhiNV_Ca[], COUNTA(Table_ChiPhiNV_Ca[[#Headers],[Ca]:[Kết thúc]]),0)),0,
SUM(_xlfn._xlws.FILTER(Table_BangLuong_TyLeTangCa[Tỷ lệ],
(Table_BangLuong_TyLeTangCa[Ngày] = "Thường") *
(Table_BangLuong_TyLeTangCa[Giờ min]&lt;=$AA37) *
(Table_BangLuong_TyLeTangCa[Giờ max]&gt;$AA37)
)))),
IF(BA$4 &gt; BA$5,
IF(
AND(
$AA37-$Z$4&lt;MAX(BA$4,VLOOKUP(BA$6, Table_ChiPhiNV_Ca[], COUNTA(Table_ChiPhiNV_Ca[[#Headers],[Ca]:[Bắt đầu]]),0)),
$AA37&gt;MIN(BA$5,VLOOKUP(BA$6, Table_ChiPhiNV_Ca[], COUNTA(Table_ChiPhiNV_Ca[[#Headers],[Ca]:[Kết thúc]]),0))),0,
SUM(_xlfn._xlws.FILTER(Table_BangLuong_TyLeTangCa[Tỷ lệ],
(Table_BangLuong_TyLeTangCa[Ngày] = "Thường") *
(Table_BangLuong_TyLeTangCa[Giờ min]&lt;=$AA37) *
(Table_BangLuong_TyLeTangCa[Giờ max]&gt;$AA37)
))),
IF(
AND(
$AA37-$Z$4&gt;=MAX(BA$4,VLOOKUP(BA$6, Table_ChiPhiNV_Ca[], COUNTA(Table_ChiPhiNV_Ca[[#Headers],[Ca]:[Bắt đầu]]),0)),
$AA37&lt;MIN(BA$5,VLOOKUP(BA$6, Table_ChiPhiNV_Ca[], COUNTA(Table_ChiPhiNV_Ca[[#Headers],[Ca]:[Kết thúc]]),0))),
SUM(_xlfn._xlws.FILTER(Table_BangLuong_TyLeTangCa[Tỷ lệ],
(Table_BangLuong_TyLeTangCa[Ngày] = "Thường") *
(Table_BangLuong_TyLeTangCa[Giờ min]&lt;=$AA37) *
(Table_BangLuong_TyLeTangCa[Giờ max]&gt;$AA37)
)),0)
)),
IF(BA$4 &lt; BA$5,
IF($AA37-$Z$4&lt;BA$4,0,
IF($AA37&gt;BA$5,0,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BA$5,$AA37 &lt; BA$4),0,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B37" s="18" cm="1">
        <f t="array" ref="BB37" xml:space="preserve">
IFERROR(
IF(BB$1="",0,
IF(AND(
$AA37&gt;=VLOOKUP(BB$6, Table_ChiPhiNV_Ca[], COUNTA(Table_ChiPhiNV_Ca[[#Headers],[Ca]:[Bắt đầu nghỉ]]),0),
$AA37&lt;VLOOKUP(BB$6, Table_ChiPhiNV_Ca[], COUNTA(Table_ChiPhiNV_Ca[[#Headers],[Ca]:[Kết thúc nghỉ]]),0)
),0,
IF(NOT(ISBLANK(BB$3)),
IF(ISBLANK(BB$7),0,
IF(BB$4 &lt; BB$5,
IF($AA37-$Z$4&lt;BB$4,0,
IF($AA37&gt;BB$5,0,
SUM(_xlfn._xlws.FILTER(Table_BangLuong_TyLeTangCa[Tỷ lệ],
(Table_BangLuong_TyLeTangCa[Ngày] = BB$3) *
(Table_BangLuong_TyLeTangCa[Giờ min]&lt;=$AA37) *
(Table_BangLuong_TyLeTangCa[Giờ max]&gt;$AA37)
)))),
IF(AND($AA37-$Z$4 &gt;= BB$5,$AA37 &lt; BB$4),0,
SUM(_xlfn._xlws.FILTER(Table_BangLuong_TyLeTangCa[Tỷ lệ],
(Table_BangLuong_TyLeTangCa[Ngày] = BB$3) *
(Table_BangLuong_TyLeTangCa[Giờ min]&lt;=$AA37) *
(Table_BangLuong_TyLeTangCa[Giờ max]&gt;$AA37)
))))
),
IF(ISBLANK(BB$7),
IF(VLOOKUP(BB$6, Table_ChiPhiNV_Ca[], COUNTA(Table_ChiPhiNV_Ca[[#Headers],[Ca]:[Kết thúc]]),0)&gt; VLOOKUP(BB$6, Table_ChiPhiNV_Ca[], COUNTA(Table_ChiPhiNV_Ca[[#Headers],[Ca]:[Bắt đầu]]),0),
IF($AA37-$Z$4&lt;MAX(BB$4,VLOOKUP(BB$6, Table_ChiPhiNV_Ca[], COUNTA(Table_ChiPhiNV_Ca[[#Headers],[Ca]:[Bắt đầu]]),0)),0,
IF($AA37&gt;MIN(BB$5,VLOOKUP(BB$6, Table_ChiPhiNV_Ca[], COUNTA(Table_ChiPhiNV_Ca[[#Headers],[Ca]:[Kết thúc]]),0)),0,
SUM(_xlfn._xlws.FILTER(Table_BangLuong_TyLeTangCa[Tỷ lệ],
(Table_BangLuong_TyLeTangCa[Ngày] = "Thường") *
(Table_BangLuong_TyLeTangCa[Giờ min]&lt;=$AA37) *
(Table_BangLuong_TyLeTangCa[Giờ max]&gt;$AA37)
)))),
IF(BB$4 &gt; BB$5,
IF(
AND(
$AA37-$Z$4&lt;MAX(BB$4,VLOOKUP(BB$6, Table_ChiPhiNV_Ca[], COUNTA(Table_ChiPhiNV_Ca[[#Headers],[Ca]:[Bắt đầu]]),0)),
$AA37&gt;MIN(BB$5,VLOOKUP(BB$6, Table_ChiPhiNV_Ca[], COUNTA(Table_ChiPhiNV_Ca[[#Headers],[Ca]:[Kết thúc]]),0))),0,
SUM(_xlfn._xlws.FILTER(Table_BangLuong_TyLeTangCa[Tỷ lệ],
(Table_BangLuong_TyLeTangCa[Ngày] = "Thường") *
(Table_BangLuong_TyLeTangCa[Giờ min]&lt;=$AA37) *
(Table_BangLuong_TyLeTangCa[Giờ max]&gt;$AA37)
))),
IF(
AND(
$AA37-$Z$4&gt;=MAX(BB$4,VLOOKUP(BB$6, Table_ChiPhiNV_Ca[], COUNTA(Table_ChiPhiNV_Ca[[#Headers],[Ca]:[Bắt đầu]]),0)),
$AA37&lt;MIN(BB$5,VLOOKUP(BB$6, Table_ChiPhiNV_Ca[], COUNTA(Table_ChiPhiNV_Ca[[#Headers],[Ca]:[Kết thúc]]),0))),
SUM(_xlfn._xlws.FILTER(Table_BangLuong_TyLeTangCa[Tỷ lệ],
(Table_BangLuong_TyLeTangCa[Ngày] = "Thường") *
(Table_BangLuong_TyLeTangCa[Giờ min]&lt;=$AA37) *
(Table_BangLuong_TyLeTangCa[Giờ max]&gt;$AA37)
)),0)
)),
IF(BB$4 &lt; BB$5,
IF($AA37-$Z$4&lt;BB$4,0,
IF($AA37&gt;BB$5,0,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BB$5,$AA37 &lt; BB$4),0,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C37" s="18" cm="1">
        <f t="array" ref="BC37" xml:space="preserve">
IFERROR(
IF(BC$1="",0,
IF(AND(
$AA37&gt;=VLOOKUP(BC$6, Table_ChiPhiNV_Ca[], COUNTA(Table_ChiPhiNV_Ca[[#Headers],[Ca]:[Bắt đầu nghỉ]]),0),
$AA37&lt;VLOOKUP(BC$6, Table_ChiPhiNV_Ca[], COUNTA(Table_ChiPhiNV_Ca[[#Headers],[Ca]:[Kết thúc nghỉ]]),0)
),0,
IF(NOT(ISBLANK(BC$3)),
IF(ISBLANK(BC$7),0,
IF(BC$4 &lt; BC$5,
IF($AA37-$Z$4&lt;BC$4,0,
IF($AA37&gt;BC$5,0,
SUM(_xlfn._xlws.FILTER(Table_BangLuong_TyLeTangCa[Tỷ lệ],
(Table_BangLuong_TyLeTangCa[Ngày] = BC$3) *
(Table_BangLuong_TyLeTangCa[Giờ min]&lt;=$AA37) *
(Table_BangLuong_TyLeTangCa[Giờ max]&gt;$AA37)
)))),
IF(AND($AA37-$Z$4 &gt;= BC$5,$AA37 &lt; BC$4),0,
SUM(_xlfn._xlws.FILTER(Table_BangLuong_TyLeTangCa[Tỷ lệ],
(Table_BangLuong_TyLeTangCa[Ngày] = BC$3) *
(Table_BangLuong_TyLeTangCa[Giờ min]&lt;=$AA37) *
(Table_BangLuong_TyLeTangCa[Giờ max]&gt;$AA37)
))))
),
IF(ISBLANK(BC$7),
IF(VLOOKUP(BC$6, Table_ChiPhiNV_Ca[], COUNTA(Table_ChiPhiNV_Ca[[#Headers],[Ca]:[Kết thúc]]),0)&gt; VLOOKUP(BC$6, Table_ChiPhiNV_Ca[], COUNTA(Table_ChiPhiNV_Ca[[#Headers],[Ca]:[Bắt đầu]]),0),
IF($AA37-$Z$4&lt;MAX(BC$4,VLOOKUP(BC$6, Table_ChiPhiNV_Ca[], COUNTA(Table_ChiPhiNV_Ca[[#Headers],[Ca]:[Bắt đầu]]),0)),0,
IF($AA37&gt;MIN(BC$5,VLOOKUP(BC$6, Table_ChiPhiNV_Ca[], COUNTA(Table_ChiPhiNV_Ca[[#Headers],[Ca]:[Kết thúc]]),0)),0,
SUM(_xlfn._xlws.FILTER(Table_BangLuong_TyLeTangCa[Tỷ lệ],
(Table_BangLuong_TyLeTangCa[Ngày] = "Thường") *
(Table_BangLuong_TyLeTangCa[Giờ min]&lt;=$AA37) *
(Table_BangLuong_TyLeTangCa[Giờ max]&gt;$AA37)
)))),
IF(BC$4 &gt; BC$5,
IF(
AND(
$AA37-$Z$4&lt;MAX(BC$4,VLOOKUP(BC$6, Table_ChiPhiNV_Ca[], COUNTA(Table_ChiPhiNV_Ca[[#Headers],[Ca]:[Bắt đầu]]),0)),
$AA37&gt;MIN(BC$5,VLOOKUP(BC$6, Table_ChiPhiNV_Ca[], COUNTA(Table_ChiPhiNV_Ca[[#Headers],[Ca]:[Kết thúc]]),0))),0,
SUM(_xlfn._xlws.FILTER(Table_BangLuong_TyLeTangCa[Tỷ lệ],
(Table_BangLuong_TyLeTangCa[Ngày] = "Thường") *
(Table_BangLuong_TyLeTangCa[Giờ min]&lt;=$AA37) *
(Table_BangLuong_TyLeTangCa[Giờ max]&gt;$AA37)
))),
IF(
AND(
$AA37-$Z$4&gt;=MAX(BC$4,VLOOKUP(BC$6, Table_ChiPhiNV_Ca[], COUNTA(Table_ChiPhiNV_Ca[[#Headers],[Ca]:[Bắt đầu]]),0)),
$AA37&lt;MIN(BC$5,VLOOKUP(BC$6, Table_ChiPhiNV_Ca[], COUNTA(Table_ChiPhiNV_Ca[[#Headers],[Ca]:[Kết thúc]]),0))),
SUM(_xlfn._xlws.FILTER(Table_BangLuong_TyLeTangCa[Tỷ lệ],
(Table_BangLuong_TyLeTangCa[Ngày] = "Thường") *
(Table_BangLuong_TyLeTangCa[Giờ min]&lt;=$AA37) *
(Table_BangLuong_TyLeTangCa[Giờ max]&gt;$AA37)
)),0)
)),
IF(BC$4 &lt; BC$5,
IF($AA37-$Z$4&lt;BC$4,0,
IF($AA37&gt;BC$5,0,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BC$5,$AA37 &lt; BC$4),0,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D37" s="18" cm="1">
        <f t="array" ref="BD37" xml:space="preserve">
IFERROR(
IF(BD$1="",0,
IF(AND(
$AA37&gt;=VLOOKUP(BD$6, Table_ChiPhiNV_Ca[], COUNTA(Table_ChiPhiNV_Ca[[#Headers],[Ca]:[Bắt đầu nghỉ]]),0),
$AA37&lt;VLOOKUP(BD$6, Table_ChiPhiNV_Ca[], COUNTA(Table_ChiPhiNV_Ca[[#Headers],[Ca]:[Kết thúc nghỉ]]),0)
),0,
IF(NOT(ISBLANK(BD$3)),
IF(ISBLANK(BD$7),0,
IF(BD$4 &lt; BD$5,
IF($AA37-$Z$4&lt;BD$4,0,
IF($AA37&gt;BD$5,0,
SUM(_xlfn._xlws.FILTER(Table_BangLuong_TyLeTangCa[Tỷ lệ],
(Table_BangLuong_TyLeTangCa[Ngày] = BD$3) *
(Table_BangLuong_TyLeTangCa[Giờ min]&lt;=$AA37) *
(Table_BangLuong_TyLeTangCa[Giờ max]&gt;$AA37)
)))),
IF(AND($AA37-$Z$4 &gt;= BD$5,$AA37 &lt; BD$4),0,
SUM(_xlfn._xlws.FILTER(Table_BangLuong_TyLeTangCa[Tỷ lệ],
(Table_BangLuong_TyLeTangCa[Ngày] = BD$3) *
(Table_BangLuong_TyLeTangCa[Giờ min]&lt;=$AA37) *
(Table_BangLuong_TyLeTangCa[Giờ max]&gt;$AA37)
))))
),
IF(ISBLANK(BD$7),
IF(VLOOKUP(BD$6, Table_ChiPhiNV_Ca[], COUNTA(Table_ChiPhiNV_Ca[[#Headers],[Ca]:[Kết thúc]]),0)&gt; VLOOKUP(BD$6, Table_ChiPhiNV_Ca[], COUNTA(Table_ChiPhiNV_Ca[[#Headers],[Ca]:[Bắt đầu]]),0),
IF($AA37-$Z$4&lt;MAX(BD$4,VLOOKUP(BD$6, Table_ChiPhiNV_Ca[], COUNTA(Table_ChiPhiNV_Ca[[#Headers],[Ca]:[Bắt đầu]]),0)),0,
IF($AA37&gt;MIN(BD$5,VLOOKUP(BD$6, Table_ChiPhiNV_Ca[], COUNTA(Table_ChiPhiNV_Ca[[#Headers],[Ca]:[Kết thúc]]),0)),0,
SUM(_xlfn._xlws.FILTER(Table_BangLuong_TyLeTangCa[Tỷ lệ],
(Table_BangLuong_TyLeTangCa[Ngày] = "Thường") *
(Table_BangLuong_TyLeTangCa[Giờ min]&lt;=$AA37) *
(Table_BangLuong_TyLeTangCa[Giờ max]&gt;$AA37)
)))),
IF(BD$4 &gt; BD$5,
IF(
AND(
$AA37-$Z$4&lt;MAX(BD$4,VLOOKUP(BD$6, Table_ChiPhiNV_Ca[], COUNTA(Table_ChiPhiNV_Ca[[#Headers],[Ca]:[Bắt đầu]]),0)),
$AA37&gt;MIN(BD$5,VLOOKUP(BD$6, Table_ChiPhiNV_Ca[], COUNTA(Table_ChiPhiNV_Ca[[#Headers],[Ca]:[Kết thúc]]),0))),0,
SUM(_xlfn._xlws.FILTER(Table_BangLuong_TyLeTangCa[Tỷ lệ],
(Table_BangLuong_TyLeTangCa[Ngày] = "Thường") *
(Table_BangLuong_TyLeTangCa[Giờ min]&lt;=$AA37) *
(Table_BangLuong_TyLeTangCa[Giờ max]&gt;$AA37)
))),
IF(
AND(
$AA37-$Z$4&gt;=MAX(BD$4,VLOOKUP(BD$6, Table_ChiPhiNV_Ca[], COUNTA(Table_ChiPhiNV_Ca[[#Headers],[Ca]:[Bắt đầu]]),0)),
$AA37&lt;MIN(BD$5,VLOOKUP(BD$6, Table_ChiPhiNV_Ca[], COUNTA(Table_ChiPhiNV_Ca[[#Headers],[Ca]:[Kết thúc]]),0))),
SUM(_xlfn._xlws.FILTER(Table_BangLuong_TyLeTangCa[Tỷ lệ],
(Table_BangLuong_TyLeTangCa[Ngày] = "Thường") *
(Table_BangLuong_TyLeTangCa[Giờ min]&lt;=$AA37) *
(Table_BangLuong_TyLeTangCa[Giờ max]&gt;$AA37)
)),0)
)),
IF(BD$4 &lt; BD$5,
IF($AA37-$Z$4&lt;BD$4,0,
IF($AA37&gt;BD$5,0,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BD$5,$AA37 &lt; BD$4),0,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E37" s="18" cm="1">
        <f t="array" ref="BE37" xml:space="preserve">
IFERROR(
IF(BE$1="",0,
IF(AND(
$AA37&gt;=VLOOKUP(BE$6, Table_ChiPhiNV_Ca[], COUNTA(Table_ChiPhiNV_Ca[[#Headers],[Ca]:[Bắt đầu nghỉ]]),0),
$AA37&lt;VLOOKUP(BE$6, Table_ChiPhiNV_Ca[], COUNTA(Table_ChiPhiNV_Ca[[#Headers],[Ca]:[Kết thúc nghỉ]]),0)
),0,
IF(NOT(ISBLANK(BE$3)),
IF(ISBLANK(BE$7),0,
IF(BE$4 &lt; BE$5,
IF($AA37-$Z$4&lt;BE$4,0,
IF($AA37&gt;BE$5,0,
SUM(_xlfn._xlws.FILTER(Table_BangLuong_TyLeTangCa[Tỷ lệ],
(Table_BangLuong_TyLeTangCa[Ngày] = BE$3) *
(Table_BangLuong_TyLeTangCa[Giờ min]&lt;=$AA37) *
(Table_BangLuong_TyLeTangCa[Giờ max]&gt;$AA37)
)))),
IF(AND($AA37-$Z$4 &gt;= BE$5,$AA37 &lt; BE$4),0,
SUM(_xlfn._xlws.FILTER(Table_BangLuong_TyLeTangCa[Tỷ lệ],
(Table_BangLuong_TyLeTangCa[Ngày] = BE$3) *
(Table_BangLuong_TyLeTangCa[Giờ min]&lt;=$AA37) *
(Table_BangLuong_TyLeTangCa[Giờ max]&gt;$AA37)
))))
),
IF(ISBLANK(BE$7),
IF(VLOOKUP(BE$6, Table_ChiPhiNV_Ca[], COUNTA(Table_ChiPhiNV_Ca[[#Headers],[Ca]:[Kết thúc]]),0)&gt; VLOOKUP(BE$6, Table_ChiPhiNV_Ca[], COUNTA(Table_ChiPhiNV_Ca[[#Headers],[Ca]:[Bắt đầu]]),0),
IF($AA37-$Z$4&lt;MAX(BE$4,VLOOKUP(BE$6, Table_ChiPhiNV_Ca[], COUNTA(Table_ChiPhiNV_Ca[[#Headers],[Ca]:[Bắt đầu]]),0)),0,
IF($AA37&gt;MIN(BE$5,VLOOKUP(BE$6, Table_ChiPhiNV_Ca[], COUNTA(Table_ChiPhiNV_Ca[[#Headers],[Ca]:[Kết thúc]]),0)),0,
SUM(_xlfn._xlws.FILTER(Table_BangLuong_TyLeTangCa[Tỷ lệ],
(Table_BangLuong_TyLeTangCa[Ngày] = "Thường") *
(Table_BangLuong_TyLeTangCa[Giờ min]&lt;=$AA37) *
(Table_BangLuong_TyLeTangCa[Giờ max]&gt;$AA37)
)))),
IF(BE$4 &gt; BE$5,
IF(
AND(
$AA37-$Z$4&lt;MAX(BE$4,VLOOKUP(BE$6, Table_ChiPhiNV_Ca[], COUNTA(Table_ChiPhiNV_Ca[[#Headers],[Ca]:[Bắt đầu]]),0)),
$AA37&gt;MIN(BE$5,VLOOKUP(BE$6, Table_ChiPhiNV_Ca[], COUNTA(Table_ChiPhiNV_Ca[[#Headers],[Ca]:[Kết thúc]]),0))),0,
SUM(_xlfn._xlws.FILTER(Table_BangLuong_TyLeTangCa[Tỷ lệ],
(Table_BangLuong_TyLeTangCa[Ngày] = "Thường") *
(Table_BangLuong_TyLeTangCa[Giờ min]&lt;=$AA37) *
(Table_BangLuong_TyLeTangCa[Giờ max]&gt;$AA37)
))),
IF(
AND(
$AA37-$Z$4&gt;=MAX(BE$4,VLOOKUP(BE$6, Table_ChiPhiNV_Ca[], COUNTA(Table_ChiPhiNV_Ca[[#Headers],[Ca]:[Bắt đầu]]),0)),
$AA37&lt;MIN(BE$5,VLOOKUP(BE$6, Table_ChiPhiNV_Ca[], COUNTA(Table_ChiPhiNV_Ca[[#Headers],[Ca]:[Kết thúc]]),0))),
SUM(_xlfn._xlws.FILTER(Table_BangLuong_TyLeTangCa[Tỷ lệ],
(Table_BangLuong_TyLeTangCa[Ngày] = "Thường") *
(Table_BangLuong_TyLeTangCa[Giờ min]&lt;=$AA37) *
(Table_BangLuong_TyLeTangCa[Giờ max]&gt;$AA37)
)),0)
)),
IF(BE$4 &lt; BE$5,
IF($AA37-$Z$4&lt;BE$4,0,
IF($AA37&gt;BE$5,0,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BE$5,$AA37 &lt; BE$4),0,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F37" s="18" cm="1">
        <f t="array" ref="BF37" xml:space="preserve">
IFERROR(
IF(BF$1="",0,
IF(AND(
$AA37&gt;=VLOOKUP(BF$6, Table_ChiPhiNV_Ca[], COUNTA(Table_ChiPhiNV_Ca[[#Headers],[Ca]:[Bắt đầu nghỉ]]),0),
$AA37&lt;VLOOKUP(BF$6, Table_ChiPhiNV_Ca[], COUNTA(Table_ChiPhiNV_Ca[[#Headers],[Ca]:[Kết thúc nghỉ]]),0)
),0,
IF(NOT(ISBLANK(BF$3)),
IF(ISBLANK(BF$7),0,
IF(BF$4 &lt; BF$5,
IF($AA37-$Z$4&lt;BF$4,0,
IF($AA37&gt;BF$5,0,
SUM(_xlfn._xlws.FILTER(Table_BangLuong_TyLeTangCa[Tỷ lệ],
(Table_BangLuong_TyLeTangCa[Ngày] = BF$3) *
(Table_BangLuong_TyLeTangCa[Giờ min]&lt;=$AA37) *
(Table_BangLuong_TyLeTangCa[Giờ max]&gt;$AA37)
)))),
IF(AND($AA37-$Z$4 &gt;= BF$5,$AA37 &lt; BF$4),0,
SUM(_xlfn._xlws.FILTER(Table_BangLuong_TyLeTangCa[Tỷ lệ],
(Table_BangLuong_TyLeTangCa[Ngày] = BF$3) *
(Table_BangLuong_TyLeTangCa[Giờ min]&lt;=$AA37) *
(Table_BangLuong_TyLeTangCa[Giờ max]&gt;$AA37)
))))
),
IF(ISBLANK(BF$7),
IF(VLOOKUP(BF$6, Table_ChiPhiNV_Ca[], COUNTA(Table_ChiPhiNV_Ca[[#Headers],[Ca]:[Kết thúc]]),0)&gt; VLOOKUP(BF$6, Table_ChiPhiNV_Ca[], COUNTA(Table_ChiPhiNV_Ca[[#Headers],[Ca]:[Bắt đầu]]),0),
IF($AA37-$Z$4&lt;MAX(BF$4,VLOOKUP(BF$6, Table_ChiPhiNV_Ca[], COUNTA(Table_ChiPhiNV_Ca[[#Headers],[Ca]:[Bắt đầu]]),0)),0,
IF($AA37&gt;MIN(BF$5,VLOOKUP(BF$6, Table_ChiPhiNV_Ca[], COUNTA(Table_ChiPhiNV_Ca[[#Headers],[Ca]:[Kết thúc]]),0)),0,
SUM(_xlfn._xlws.FILTER(Table_BangLuong_TyLeTangCa[Tỷ lệ],
(Table_BangLuong_TyLeTangCa[Ngày] = "Thường") *
(Table_BangLuong_TyLeTangCa[Giờ min]&lt;=$AA37) *
(Table_BangLuong_TyLeTangCa[Giờ max]&gt;$AA37)
)))),
IF(BF$4 &gt; BF$5,
IF(
AND(
$AA37-$Z$4&lt;MAX(BF$4,VLOOKUP(BF$6, Table_ChiPhiNV_Ca[], COUNTA(Table_ChiPhiNV_Ca[[#Headers],[Ca]:[Bắt đầu]]),0)),
$AA37&gt;MIN(BF$5,VLOOKUP(BF$6, Table_ChiPhiNV_Ca[], COUNTA(Table_ChiPhiNV_Ca[[#Headers],[Ca]:[Kết thúc]]),0))),0,
SUM(_xlfn._xlws.FILTER(Table_BangLuong_TyLeTangCa[Tỷ lệ],
(Table_BangLuong_TyLeTangCa[Ngày] = "Thường") *
(Table_BangLuong_TyLeTangCa[Giờ min]&lt;=$AA37) *
(Table_BangLuong_TyLeTangCa[Giờ max]&gt;$AA37)
))),
IF(
AND(
$AA37-$Z$4&gt;=MAX(BF$4,VLOOKUP(BF$6, Table_ChiPhiNV_Ca[], COUNTA(Table_ChiPhiNV_Ca[[#Headers],[Ca]:[Bắt đầu]]),0)),
$AA37&lt;MIN(BF$5,VLOOKUP(BF$6, Table_ChiPhiNV_Ca[], COUNTA(Table_ChiPhiNV_Ca[[#Headers],[Ca]:[Kết thúc]]),0))),
SUM(_xlfn._xlws.FILTER(Table_BangLuong_TyLeTangCa[Tỷ lệ],
(Table_BangLuong_TyLeTangCa[Ngày] = "Thường") *
(Table_BangLuong_TyLeTangCa[Giờ min]&lt;=$AA37) *
(Table_BangLuong_TyLeTangCa[Giờ max]&gt;$AA37)
)),0)
)),
IF(BF$4 &lt; BF$5,
IF($AA37-$Z$4&lt;BF$4,0,
IF($AA37&gt;BF$5,0,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BF$5,$AA37 &lt; BF$4),0,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row>
    <row r="38" spans="2:58" ht="18" customHeight="1" outlineLevel="1" x14ac:dyDescent="0.3">
      <c r="AA38" s="50">
        <v>0.60416666666666696</v>
      </c>
      <c r="AB38" s="18" cm="1">
        <f t="array" ref="AB38" xml:space="preserve">
IFERROR(
IF(AB$1="",0,
IF(AND(
$AA38&gt;=VLOOKUP(AB$6, Table_ChiPhiNV_Ca[], COUNTA(Table_ChiPhiNV_Ca[[#Headers],[Ca]:[Bắt đầu nghỉ]]),0),
$AA38&lt;VLOOKUP(AB$6, Table_ChiPhiNV_Ca[], COUNTA(Table_ChiPhiNV_Ca[[#Headers],[Ca]:[Kết thúc nghỉ]]),0)
),0,
IF(NOT(ISBLANK(AB$3)),
IF(ISBLANK(AB$7),0,
IF(AB$4 &lt; AB$5,
IF($AA38-$Z$4&lt;AB$4,0,
IF($AA38&gt;AB$5,0,
SUM(_xlfn._xlws.FILTER(Table_BangLuong_TyLeTangCa[Tỷ lệ],
(Table_BangLuong_TyLeTangCa[Ngày] = AB$3) *
(Table_BangLuong_TyLeTangCa[Giờ min]&lt;=$AA38) *
(Table_BangLuong_TyLeTangCa[Giờ max]&gt;$AA38)
)))),
IF(AND($AA38-$Z$4 &gt;= AB$5,$AA38 &lt; AB$4),0,
SUM(_xlfn._xlws.FILTER(Table_BangLuong_TyLeTangCa[Tỷ lệ],
(Table_BangLuong_TyLeTangCa[Ngày] = AB$3) *
(Table_BangLuong_TyLeTangCa[Giờ min]&lt;=$AA38) *
(Table_BangLuong_TyLeTangCa[Giờ max]&gt;$AA38)
))))
),
IF(ISBLANK(AB$7),
IF(VLOOKUP(AB$6, Table_ChiPhiNV_Ca[], COUNTA(Table_ChiPhiNV_Ca[[#Headers],[Ca]:[Kết thúc]]),0)&gt; VLOOKUP(AB$6, Table_ChiPhiNV_Ca[], COUNTA(Table_ChiPhiNV_Ca[[#Headers],[Ca]:[Bắt đầu]]),0),
IF($AA38-$Z$4&lt;MAX(AB$4,VLOOKUP(AB$6, Table_ChiPhiNV_Ca[], COUNTA(Table_ChiPhiNV_Ca[[#Headers],[Ca]:[Bắt đầu]]),0)),0,
IF($AA38&gt;MIN(AB$5,VLOOKUP(AB$6, Table_ChiPhiNV_Ca[], COUNTA(Table_ChiPhiNV_Ca[[#Headers],[Ca]:[Kết thúc]]),0)),0,
SUM(_xlfn._xlws.FILTER(Table_BangLuong_TyLeTangCa[Tỷ lệ],
(Table_BangLuong_TyLeTangCa[Ngày] = "Thường") *
(Table_BangLuong_TyLeTangCa[Giờ min]&lt;=$AA38) *
(Table_BangLuong_TyLeTangCa[Giờ max]&gt;$AA38)
)))),
IF(AB$4 &gt; AB$5,
IF(
AND(
$AA38-$Z$4&lt;MAX(AB$4,VLOOKUP(AB$6, Table_ChiPhiNV_Ca[], COUNTA(Table_ChiPhiNV_Ca[[#Headers],[Ca]:[Bắt đầu]]),0)),
$AA38&gt;MIN(AB$5,VLOOKUP(AB$6, Table_ChiPhiNV_Ca[], COUNTA(Table_ChiPhiNV_Ca[[#Headers],[Ca]:[Kết thúc]]),0))),0,
SUM(_xlfn._xlws.FILTER(Table_BangLuong_TyLeTangCa[Tỷ lệ],
(Table_BangLuong_TyLeTangCa[Ngày] = "Thường") *
(Table_BangLuong_TyLeTangCa[Giờ min]&lt;=$AA38) *
(Table_BangLuong_TyLeTangCa[Giờ max]&gt;$AA38)
))),
IF(
AND(
$AA38-$Z$4&gt;=MAX(AB$4,VLOOKUP(AB$6, Table_ChiPhiNV_Ca[], COUNTA(Table_ChiPhiNV_Ca[[#Headers],[Ca]:[Bắt đầu]]),0)),
$AA38&lt;MIN(AB$5,VLOOKUP(AB$6, Table_ChiPhiNV_Ca[], COUNTA(Table_ChiPhiNV_Ca[[#Headers],[Ca]:[Kết thúc]]),0))),
SUM(_xlfn._xlws.FILTER(Table_BangLuong_TyLeTangCa[Tỷ lệ],
(Table_BangLuong_TyLeTangCa[Ngày] = "Thường") *
(Table_BangLuong_TyLeTangCa[Giờ min]&lt;=$AA38) *
(Table_BangLuong_TyLeTangCa[Giờ max]&gt;$AA38)
)),0)
)),
IF(AB$4 &lt; AB$5,
IF($AA38-$Z$4&lt;AB$4,0,
IF($AA38&gt;AB$5,0,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AB$5,$AA38 &lt; AB$4),0,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C38" s="18" cm="1">
        <f t="array" ref="AC38" xml:space="preserve">
IFERROR(
IF(AC$1="",0,
IF(AND(
$AA38&gt;=VLOOKUP(AC$6, Table_ChiPhiNV_Ca[], COUNTA(Table_ChiPhiNV_Ca[[#Headers],[Ca]:[Bắt đầu nghỉ]]),0),
$AA38&lt;VLOOKUP(AC$6, Table_ChiPhiNV_Ca[], COUNTA(Table_ChiPhiNV_Ca[[#Headers],[Ca]:[Kết thúc nghỉ]]),0)
),0,
IF(NOT(ISBLANK(AC$3)),
IF(ISBLANK(AC$7),0,
IF(AC$4 &lt; AC$5,
IF($AA38-$Z$4&lt;AC$4,0,
IF($AA38&gt;AC$5,0,
SUM(_xlfn._xlws.FILTER(Table_BangLuong_TyLeTangCa[Tỷ lệ],
(Table_BangLuong_TyLeTangCa[Ngày] = AC$3) *
(Table_BangLuong_TyLeTangCa[Giờ min]&lt;=$AA38) *
(Table_BangLuong_TyLeTangCa[Giờ max]&gt;$AA38)
)))),
IF(AND($AA38-$Z$4 &gt;= AC$5,$AA38 &lt; AC$4),0,
SUM(_xlfn._xlws.FILTER(Table_BangLuong_TyLeTangCa[Tỷ lệ],
(Table_BangLuong_TyLeTangCa[Ngày] = AC$3) *
(Table_BangLuong_TyLeTangCa[Giờ min]&lt;=$AA38) *
(Table_BangLuong_TyLeTangCa[Giờ max]&gt;$AA38)
))))
),
IF(ISBLANK(AC$7),
IF(VLOOKUP(AC$6, Table_ChiPhiNV_Ca[], COUNTA(Table_ChiPhiNV_Ca[[#Headers],[Ca]:[Kết thúc]]),0)&gt; VLOOKUP(AC$6, Table_ChiPhiNV_Ca[], COUNTA(Table_ChiPhiNV_Ca[[#Headers],[Ca]:[Bắt đầu]]),0),
IF($AA38-$Z$4&lt;MAX(AC$4,VLOOKUP(AC$6, Table_ChiPhiNV_Ca[], COUNTA(Table_ChiPhiNV_Ca[[#Headers],[Ca]:[Bắt đầu]]),0)),0,
IF($AA38&gt;MIN(AC$5,VLOOKUP(AC$6, Table_ChiPhiNV_Ca[], COUNTA(Table_ChiPhiNV_Ca[[#Headers],[Ca]:[Kết thúc]]),0)),0,
SUM(_xlfn._xlws.FILTER(Table_BangLuong_TyLeTangCa[Tỷ lệ],
(Table_BangLuong_TyLeTangCa[Ngày] = "Thường") *
(Table_BangLuong_TyLeTangCa[Giờ min]&lt;=$AA38) *
(Table_BangLuong_TyLeTangCa[Giờ max]&gt;$AA38)
)))),
IF(AC$4 &gt; AC$5,
IF(
AND(
$AA38-$Z$4&lt;MAX(AC$4,VLOOKUP(AC$6, Table_ChiPhiNV_Ca[], COUNTA(Table_ChiPhiNV_Ca[[#Headers],[Ca]:[Bắt đầu]]),0)),
$AA38&gt;MIN(AC$5,VLOOKUP(AC$6, Table_ChiPhiNV_Ca[], COUNTA(Table_ChiPhiNV_Ca[[#Headers],[Ca]:[Kết thúc]]),0))),0,
SUM(_xlfn._xlws.FILTER(Table_BangLuong_TyLeTangCa[Tỷ lệ],
(Table_BangLuong_TyLeTangCa[Ngày] = "Thường") *
(Table_BangLuong_TyLeTangCa[Giờ min]&lt;=$AA38) *
(Table_BangLuong_TyLeTangCa[Giờ max]&gt;$AA38)
))),
IF(
AND(
$AA38-$Z$4&gt;=MAX(AC$4,VLOOKUP(AC$6, Table_ChiPhiNV_Ca[], COUNTA(Table_ChiPhiNV_Ca[[#Headers],[Ca]:[Bắt đầu]]),0)),
$AA38&lt;MIN(AC$5,VLOOKUP(AC$6, Table_ChiPhiNV_Ca[], COUNTA(Table_ChiPhiNV_Ca[[#Headers],[Ca]:[Kết thúc]]),0))),
SUM(_xlfn._xlws.FILTER(Table_BangLuong_TyLeTangCa[Tỷ lệ],
(Table_BangLuong_TyLeTangCa[Ngày] = "Thường") *
(Table_BangLuong_TyLeTangCa[Giờ min]&lt;=$AA38) *
(Table_BangLuong_TyLeTangCa[Giờ max]&gt;$AA38)
)),0)
)),
IF(AC$4 &lt; AC$5,
IF($AA38-$Z$4&lt;AC$4,0,
IF($AA38&gt;AC$5,0,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AC$5,$AA38 &lt; AC$4),0,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D38" s="18" cm="1">
        <f t="array" ref="AD38" xml:space="preserve">
IFERROR(
IF(AD$1="",0,
IF(AND(
$AA38&gt;=VLOOKUP(AD$6, Table_ChiPhiNV_Ca[], COUNTA(Table_ChiPhiNV_Ca[[#Headers],[Ca]:[Bắt đầu nghỉ]]),0),
$AA38&lt;VLOOKUP(AD$6, Table_ChiPhiNV_Ca[], COUNTA(Table_ChiPhiNV_Ca[[#Headers],[Ca]:[Kết thúc nghỉ]]),0)
),0,
IF(NOT(ISBLANK(AD$3)),
IF(ISBLANK(AD$7),0,
IF(AD$4 &lt; AD$5,
IF($AA38-$Z$4&lt;AD$4,0,
IF($AA38&gt;AD$5,0,
SUM(_xlfn._xlws.FILTER(Table_BangLuong_TyLeTangCa[Tỷ lệ],
(Table_BangLuong_TyLeTangCa[Ngày] = AD$3) *
(Table_BangLuong_TyLeTangCa[Giờ min]&lt;=$AA38) *
(Table_BangLuong_TyLeTangCa[Giờ max]&gt;$AA38)
)))),
IF(AND($AA38-$Z$4 &gt;= AD$5,$AA38 &lt; AD$4),0,
SUM(_xlfn._xlws.FILTER(Table_BangLuong_TyLeTangCa[Tỷ lệ],
(Table_BangLuong_TyLeTangCa[Ngày] = AD$3) *
(Table_BangLuong_TyLeTangCa[Giờ min]&lt;=$AA38) *
(Table_BangLuong_TyLeTangCa[Giờ max]&gt;$AA38)
))))
),
IF(ISBLANK(AD$7),
IF(VLOOKUP(AD$6, Table_ChiPhiNV_Ca[], COUNTA(Table_ChiPhiNV_Ca[[#Headers],[Ca]:[Kết thúc]]),0)&gt; VLOOKUP(AD$6, Table_ChiPhiNV_Ca[], COUNTA(Table_ChiPhiNV_Ca[[#Headers],[Ca]:[Bắt đầu]]),0),
IF($AA38-$Z$4&lt;MAX(AD$4,VLOOKUP(AD$6, Table_ChiPhiNV_Ca[], COUNTA(Table_ChiPhiNV_Ca[[#Headers],[Ca]:[Bắt đầu]]),0)),0,
IF($AA38&gt;MIN(AD$5,VLOOKUP(AD$6, Table_ChiPhiNV_Ca[], COUNTA(Table_ChiPhiNV_Ca[[#Headers],[Ca]:[Kết thúc]]),0)),0,
SUM(_xlfn._xlws.FILTER(Table_BangLuong_TyLeTangCa[Tỷ lệ],
(Table_BangLuong_TyLeTangCa[Ngày] = "Thường") *
(Table_BangLuong_TyLeTangCa[Giờ min]&lt;=$AA38) *
(Table_BangLuong_TyLeTangCa[Giờ max]&gt;$AA38)
)))),
IF(AD$4 &gt; AD$5,
IF(
AND(
$AA38-$Z$4&lt;MAX(AD$4,VLOOKUP(AD$6, Table_ChiPhiNV_Ca[], COUNTA(Table_ChiPhiNV_Ca[[#Headers],[Ca]:[Bắt đầu]]),0)),
$AA38&gt;MIN(AD$5,VLOOKUP(AD$6, Table_ChiPhiNV_Ca[], COUNTA(Table_ChiPhiNV_Ca[[#Headers],[Ca]:[Kết thúc]]),0))),0,
SUM(_xlfn._xlws.FILTER(Table_BangLuong_TyLeTangCa[Tỷ lệ],
(Table_BangLuong_TyLeTangCa[Ngày] = "Thường") *
(Table_BangLuong_TyLeTangCa[Giờ min]&lt;=$AA38) *
(Table_BangLuong_TyLeTangCa[Giờ max]&gt;$AA38)
))),
IF(
AND(
$AA38-$Z$4&gt;=MAX(AD$4,VLOOKUP(AD$6, Table_ChiPhiNV_Ca[], COUNTA(Table_ChiPhiNV_Ca[[#Headers],[Ca]:[Bắt đầu]]),0)),
$AA38&lt;MIN(AD$5,VLOOKUP(AD$6, Table_ChiPhiNV_Ca[], COUNTA(Table_ChiPhiNV_Ca[[#Headers],[Ca]:[Kết thúc]]),0))),
SUM(_xlfn._xlws.FILTER(Table_BangLuong_TyLeTangCa[Tỷ lệ],
(Table_BangLuong_TyLeTangCa[Ngày] = "Thường") *
(Table_BangLuong_TyLeTangCa[Giờ min]&lt;=$AA38) *
(Table_BangLuong_TyLeTangCa[Giờ max]&gt;$AA38)
)),0)
)),
IF(AD$4 &lt; AD$5,
IF($AA38-$Z$4&lt;AD$4,0,
IF($AA38&gt;AD$5,0,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AD$5,$AA38 &lt; AD$4),0,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E38" s="18" cm="1">
        <f t="array" ref="AE38" xml:space="preserve">
IFERROR(
IF(AE$1="",0,
IF(AND(
$AA38&gt;=VLOOKUP(AE$6, Table_ChiPhiNV_Ca[], COUNTA(Table_ChiPhiNV_Ca[[#Headers],[Ca]:[Bắt đầu nghỉ]]),0),
$AA38&lt;VLOOKUP(AE$6, Table_ChiPhiNV_Ca[], COUNTA(Table_ChiPhiNV_Ca[[#Headers],[Ca]:[Kết thúc nghỉ]]),0)
),0,
IF(NOT(ISBLANK(AE$3)),
IF(ISBLANK(AE$7),0,
IF(AE$4 &lt; AE$5,
IF($AA38-$Z$4&lt;AE$4,0,
IF($AA38&gt;AE$5,0,
SUM(_xlfn._xlws.FILTER(Table_BangLuong_TyLeTangCa[Tỷ lệ],
(Table_BangLuong_TyLeTangCa[Ngày] = AE$3) *
(Table_BangLuong_TyLeTangCa[Giờ min]&lt;=$AA38) *
(Table_BangLuong_TyLeTangCa[Giờ max]&gt;$AA38)
)))),
IF(AND($AA38-$Z$4 &gt;= AE$5,$AA38 &lt; AE$4),0,
SUM(_xlfn._xlws.FILTER(Table_BangLuong_TyLeTangCa[Tỷ lệ],
(Table_BangLuong_TyLeTangCa[Ngày] = AE$3) *
(Table_BangLuong_TyLeTangCa[Giờ min]&lt;=$AA38) *
(Table_BangLuong_TyLeTangCa[Giờ max]&gt;$AA38)
))))
),
IF(ISBLANK(AE$7),
IF(VLOOKUP(AE$6, Table_ChiPhiNV_Ca[], COUNTA(Table_ChiPhiNV_Ca[[#Headers],[Ca]:[Kết thúc]]),0)&gt; VLOOKUP(AE$6, Table_ChiPhiNV_Ca[], COUNTA(Table_ChiPhiNV_Ca[[#Headers],[Ca]:[Bắt đầu]]),0),
IF($AA38-$Z$4&lt;MAX(AE$4,VLOOKUP(AE$6, Table_ChiPhiNV_Ca[], COUNTA(Table_ChiPhiNV_Ca[[#Headers],[Ca]:[Bắt đầu]]),0)),0,
IF($AA38&gt;MIN(AE$5,VLOOKUP(AE$6, Table_ChiPhiNV_Ca[], COUNTA(Table_ChiPhiNV_Ca[[#Headers],[Ca]:[Kết thúc]]),0)),0,
SUM(_xlfn._xlws.FILTER(Table_BangLuong_TyLeTangCa[Tỷ lệ],
(Table_BangLuong_TyLeTangCa[Ngày] = "Thường") *
(Table_BangLuong_TyLeTangCa[Giờ min]&lt;=$AA38) *
(Table_BangLuong_TyLeTangCa[Giờ max]&gt;$AA38)
)))),
IF(AE$4 &gt; AE$5,
IF(
AND(
$AA38-$Z$4&lt;MAX(AE$4,VLOOKUP(AE$6, Table_ChiPhiNV_Ca[], COUNTA(Table_ChiPhiNV_Ca[[#Headers],[Ca]:[Bắt đầu]]),0)),
$AA38&gt;MIN(AE$5,VLOOKUP(AE$6, Table_ChiPhiNV_Ca[], COUNTA(Table_ChiPhiNV_Ca[[#Headers],[Ca]:[Kết thúc]]),0))),0,
SUM(_xlfn._xlws.FILTER(Table_BangLuong_TyLeTangCa[Tỷ lệ],
(Table_BangLuong_TyLeTangCa[Ngày] = "Thường") *
(Table_BangLuong_TyLeTangCa[Giờ min]&lt;=$AA38) *
(Table_BangLuong_TyLeTangCa[Giờ max]&gt;$AA38)
))),
IF(
AND(
$AA38-$Z$4&gt;=MAX(AE$4,VLOOKUP(AE$6, Table_ChiPhiNV_Ca[], COUNTA(Table_ChiPhiNV_Ca[[#Headers],[Ca]:[Bắt đầu]]),0)),
$AA38&lt;MIN(AE$5,VLOOKUP(AE$6, Table_ChiPhiNV_Ca[], COUNTA(Table_ChiPhiNV_Ca[[#Headers],[Ca]:[Kết thúc]]),0))),
SUM(_xlfn._xlws.FILTER(Table_BangLuong_TyLeTangCa[Tỷ lệ],
(Table_BangLuong_TyLeTangCa[Ngày] = "Thường") *
(Table_BangLuong_TyLeTangCa[Giờ min]&lt;=$AA38) *
(Table_BangLuong_TyLeTangCa[Giờ max]&gt;$AA38)
)),0)
)),
IF(AE$4 &lt; AE$5,
IF($AA38-$Z$4&lt;AE$4,0,
IF($AA38&gt;AE$5,0,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AE$5,$AA38 &lt; AE$4),0,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F38" s="18" cm="1">
        <f t="array" ref="AF38" xml:space="preserve">
IFERROR(
IF(AF$1="",0,
IF(AND(
$AA38&gt;=VLOOKUP(AF$6, Table_ChiPhiNV_Ca[], COUNTA(Table_ChiPhiNV_Ca[[#Headers],[Ca]:[Bắt đầu nghỉ]]),0),
$AA38&lt;VLOOKUP(AF$6, Table_ChiPhiNV_Ca[], COUNTA(Table_ChiPhiNV_Ca[[#Headers],[Ca]:[Kết thúc nghỉ]]),0)
),0,
IF(NOT(ISBLANK(AF$3)),
IF(ISBLANK(AF$7),0,
IF(AF$4 &lt; AF$5,
IF($AA38-$Z$4&lt;AF$4,0,
IF($AA38&gt;AF$5,0,
SUM(_xlfn._xlws.FILTER(Table_BangLuong_TyLeTangCa[Tỷ lệ],
(Table_BangLuong_TyLeTangCa[Ngày] = AF$3) *
(Table_BangLuong_TyLeTangCa[Giờ min]&lt;=$AA38) *
(Table_BangLuong_TyLeTangCa[Giờ max]&gt;$AA38)
)))),
IF(AND($AA38-$Z$4 &gt;= AF$5,$AA38 &lt; AF$4),0,
SUM(_xlfn._xlws.FILTER(Table_BangLuong_TyLeTangCa[Tỷ lệ],
(Table_BangLuong_TyLeTangCa[Ngày] = AF$3) *
(Table_BangLuong_TyLeTangCa[Giờ min]&lt;=$AA38) *
(Table_BangLuong_TyLeTangCa[Giờ max]&gt;$AA38)
))))
),
IF(ISBLANK(AF$7),
IF(VLOOKUP(AF$6, Table_ChiPhiNV_Ca[], COUNTA(Table_ChiPhiNV_Ca[[#Headers],[Ca]:[Kết thúc]]),0)&gt; VLOOKUP(AF$6, Table_ChiPhiNV_Ca[], COUNTA(Table_ChiPhiNV_Ca[[#Headers],[Ca]:[Bắt đầu]]),0),
IF($AA38-$Z$4&lt;MAX(AF$4,VLOOKUP(AF$6, Table_ChiPhiNV_Ca[], COUNTA(Table_ChiPhiNV_Ca[[#Headers],[Ca]:[Bắt đầu]]),0)),0,
IF($AA38&gt;MIN(AF$5,VLOOKUP(AF$6, Table_ChiPhiNV_Ca[], COUNTA(Table_ChiPhiNV_Ca[[#Headers],[Ca]:[Kết thúc]]),0)),0,
SUM(_xlfn._xlws.FILTER(Table_BangLuong_TyLeTangCa[Tỷ lệ],
(Table_BangLuong_TyLeTangCa[Ngày] = "Thường") *
(Table_BangLuong_TyLeTangCa[Giờ min]&lt;=$AA38) *
(Table_BangLuong_TyLeTangCa[Giờ max]&gt;$AA38)
)))),
IF(AF$4 &gt; AF$5,
IF(
AND(
$AA38-$Z$4&lt;MAX(AF$4,VLOOKUP(AF$6, Table_ChiPhiNV_Ca[], COUNTA(Table_ChiPhiNV_Ca[[#Headers],[Ca]:[Bắt đầu]]),0)),
$AA38&gt;MIN(AF$5,VLOOKUP(AF$6, Table_ChiPhiNV_Ca[], COUNTA(Table_ChiPhiNV_Ca[[#Headers],[Ca]:[Kết thúc]]),0))),0,
SUM(_xlfn._xlws.FILTER(Table_BangLuong_TyLeTangCa[Tỷ lệ],
(Table_BangLuong_TyLeTangCa[Ngày] = "Thường") *
(Table_BangLuong_TyLeTangCa[Giờ min]&lt;=$AA38) *
(Table_BangLuong_TyLeTangCa[Giờ max]&gt;$AA38)
))),
IF(
AND(
$AA38-$Z$4&gt;=MAX(AF$4,VLOOKUP(AF$6, Table_ChiPhiNV_Ca[], COUNTA(Table_ChiPhiNV_Ca[[#Headers],[Ca]:[Bắt đầu]]),0)),
$AA38&lt;MIN(AF$5,VLOOKUP(AF$6, Table_ChiPhiNV_Ca[], COUNTA(Table_ChiPhiNV_Ca[[#Headers],[Ca]:[Kết thúc]]),0))),
SUM(_xlfn._xlws.FILTER(Table_BangLuong_TyLeTangCa[Tỷ lệ],
(Table_BangLuong_TyLeTangCa[Ngày] = "Thường") *
(Table_BangLuong_TyLeTangCa[Giờ min]&lt;=$AA38) *
(Table_BangLuong_TyLeTangCa[Giờ max]&gt;$AA38)
)),0)
)),
IF(AF$4 &lt; AF$5,
IF($AA38-$Z$4&lt;AF$4,0,
IF($AA38&gt;AF$5,0,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AF$5,$AA38 &lt; AF$4),0,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G38" s="18" cm="1">
        <f t="array" ref="AG38" xml:space="preserve">
IFERROR(
IF(AG$1="",0,
IF(AND(
$AA38&gt;=VLOOKUP(AG$6, Table_ChiPhiNV_Ca[], COUNTA(Table_ChiPhiNV_Ca[[#Headers],[Ca]:[Bắt đầu nghỉ]]),0),
$AA38&lt;VLOOKUP(AG$6, Table_ChiPhiNV_Ca[], COUNTA(Table_ChiPhiNV_Ca[[#Headers],[Ca]:[Kết thúc nghỉ]]),0)
),0,
IF(NOT(ISBLANK(AG$3)),
IF(ISBLANK(AG$7),0,
IF(AG$4 &lt; AG$5,
IF($AA38-$Z$4&lt;AG$4,0,
IF($AA38&gt;AG$5,0,
SUM(_xlfn._xlws.FILTER(Table_BangLuong_TyLeTangCa[Tỷ lệ],
(Table_BangLuong_TyLeTangCa[Ngày] = AG$3) *
(Table_BangLuong_TyLeTangCa[Giờ min]&lt;=$AA38) *
(Table_BangLuong_TyLeTangCa[Giờ max]&gt;$AA38)
)))),
IF(AND($AA38-$Z$4 &gt;= AG$5,$AA38 &lt; AG$4),0,
SUM(_xlfn._xlws.FILTER(Table_BangLuong_TyLeTangCa[Tỷ lệ],
(Table_BangLuong_TyLeTangCa[Ngày] = AG$3) *
(Table_BangLuong_TyLeTangCa[Giờ min]&lt;=$AA38) *
(Table_BangLuong_TyLeTangCa[Giờ max]&gt;$AA38)
))))
),
IF(ISBLANK(AG$7),
IF(VLOOKUP(AG$6, Table_ChiPhiNV_Ca[], COUNTA(Table_ChiPhiNV_Ca[[#Headers],[Ca]:[Kết thúc]]),0)&gt; VLOOKUP(AG$6, Table_ChiPhiNV_Ca[], COUNTA(Table_ChiPhiNV_Ca[[#Headers],[Ca]:[Bắt đầu]]),0),
IF($AA38-$Z$4&lt;MAX(AG$4,VLOOKUP(AG$6, Table_ChiPhiNV_Ca[], COUNTA(Table_ChiPhiNV_Ca[[#Headers],[Ca]:[Bắt đầu]]),0)),0,
IF($AA38&gt;MIN(AG$5,VLOOKUP(AG$6, Table_ChiPhiNV_Ca[], COUNTA(Table_ChiPhiNV_Ca[[#Headers],[Ca]:[Kết thúc]]),0)),0,
SUM(_xlfn._xlws.FILTER(Table_BangLuong_TyLeTangCa[Tỷ lệ],
(Table_BangLuong_TyLeTangCa[Ngày] = "Thường") *
(Table_BangLuong_TyLeTangCa[Giờ min]&lt;=$AA38) *
(Table_BangLuong_TyLeTangCa[Giờ max]&gt;$AA38)
)))),
IF(AG$4 &gt; AG$5,
IF(
AND(
$AA38-$Z$4&lt;MAX(AG$4,VLOOKUP(AG$6, Table_ChiPhiNV_Ca[], COUNTA(Table_ChiPhiNV_Ca[[#Headers],[Ca]:[Bắt đầu]]),0)),
$AA38&gt;MIN(AG$5,VLOOKUP(AG$6, Table_ChiPhiNV_Ca[], COUNTA(Table_ChiPhiNV_Ca[[#Headers],[Ca]:[Kết thúc]]),0))),0,
SUM(_xlfn._xlws.FILTER(Table_BangLuong_TyLeTangCa[Tỷ lệ],
(Table_BangLuong_TyLeTangCa[Ngày] = "Thường") *
(Table_BangLuong_TyLeTangCa[Giờ min]&lt;=$AA38) *
(Table_BangLuong_TyLeTangCa[Giờ max]&gt;$AA38)
))),
IF(
AND(
$AA38-$Z$4&gt;=MAX(AG$4,VLOOKUP(AG$6, Table_ChiPhiNV_Ca[], COUNTA(Table_ChiPhiNV_Ca[[#Headers],[Ca]:[Bắt đầu]]),0)),
$AA38&lt;MIN(AG$5,VLOOKUP(AG$6, Table_ChiPhiNV_Ca[], COUNTA(Table_ChiPhiNV_Ca[[#Headers],[Ca]:[Kết thúc]]),0))),
SUM(_xlfn._xlws.FILTER(Table_BangLuong_TyLeTangCa[Tỷ lệ],
(Table_BangLuong_TyLeTangCa[Ngày] = "Thường") *
(Table_BangLuong_TyLeTangCa[Giờ min]&lt;=$AA38) *
(Table_BangLuong_TyLeTangCa[Giờ max]&gt;$AA38)
)),0)
)),
IF(AG$4 &lt; AG$5,
IF($AA38-$Z$4&lt;AG$4,0,
IF($AA38&gt;AG$5,0,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AG$5,$AA38 &lt; AG$4),0,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H38" s="18" cm="1">
        <f t="array" ref="AH38" xml:space="preserve">
IFERROR(
IF(AH$1="",0,
IF(AND(
$AA38&gt;=VLOOKUP(AH$6, Table_ChiPhiNV_Ca[], COUNTA(Table_ChiPhiNV_Ca[[#Headers],[Ca]:[Bắt đầu nghỉ]]),0),
$AA38&lt;VLOOKUP(AH$6, Table_ChiPhiNV_Ca[], COUNTA(Table_ChiPhiNV_Ca[[#Headers],[Ca]:[Kết thúc nghỉ]]),0)
),0,
IF(NOT(ISBLANK(AH$3)),
IF(ISBLANK(AH$7),0,
IF(AH$4 &lt; AH$5,
IF($AA38-$Z$4&lt;AH$4,0,
IF($AA38&gt;AH$5,0,
SUM(_xlfn._xlws.FILTER(Table_BangLuong_TyLeTangCa[Tỷ lệ],
(Table_BangLuong_TyLeTangCa[Ngày] = AH$3) *
(Table_BangLuong_TyLeTangCa[Giờ min]&lt;=$AA38) *
(Table_BangLuong_TyLeTangCa[Giờ max]&gt;$AA38)
)))),
IF(AND($AA38-$Z$4 &gt;= AH$5,$AA38 &lt; AH$4),0,
SUM(_xlfn._xlws.FILTER(Table_BangLuong_TyLeTangCa[Tỷ lệ],
(Table_BangLuong_TyLeTangCa[Ngày] = AH$3) *
(Table_BangLuong_TyLeTangCa[Giờ min]&lt;=$AA38) *
(Table_BangLuong_TyLeTangCa[Giờ max]&gt;$AA38)
))))
),
IF(ISBLANK(AH$7),
IF(VLOOKUP(AH$6, Table_ChiPhiNV_Ca[], COUNTA(Table_ChiPhiNV_Ca[[#Headers],[Ca]:[Kết thúc]]),0)&gt; VLOOKUP(AH$6, Table_ChiPhiNV_Ca[], COUNTA(Table_ChiPhiNV_Ca[[#Headers],[Ca]:[Bắt đầu]]),0),
IF($AA38-$Z$4&lt;MAX(AH$4,VLOOKUP(AH$6, Table_ChiPhiNV_Ca[], COUNTA(Table_ChiPhiNV_Ca[[#Headers],[Ca]:[Bắt đầu]]),0)),0,
IF($AA38&gt;MIN(AH$5,VLOOKUP(AH$6, Table_ChiPhiNV_Ca[], COUNTA(Table_ChiPhiNV_Ca[[#Headers],[Ca]:[Kết thúc]]),0)),0,
SUM(_xlfn._xlws.FILTER(Table_BangLuong_TyLeTangCa[Tỷ lệ],
(Table_BangLuong_TyLeTangCa[Ngày] = "Thường") *
(Table_BangLuong_TyLeTangCa[Giờ min]&lt;=$AA38) *
(Table_BangLuong_TyLeTangCa[Giờ max]&gt;$AA38)
)))),
IF(AH$4 &gt; AH$5,
IF(
AND(
$AA38-$Z$4&lt;MAX(AH$4,VLOOKUP(AH$6, Table_ChiPhiNV_Ca[], COUNTA(Table_ChiPhiNV_Ca[[#Headers],[Ca]:[Bắt đầu]]),0)),
$AA38&gt;MIN(AH$5,VLOOKUP(AH$6, Table_ChiPhiNV_Ca[], COUNTA(Table_ChiPhiNV_Ca[[#Headers],[Ca]:[Kết thúc]]),0))),0,
SUM(_xlfn._xlws.FILTER(Table_BangLuong_TyLeTangCa[Tỷ lệ],
(Table_BangLuong_TyLeTangCa[Ngày] = "Thường") *
(Table_BangLuong_TyLeTangCa[Giờ min]&lt;=$AA38) *
(Table_BangLuong_TyLeTangCa[Giờ max]&gt;$AA38)
))),
IF(
AND(
$AA38-$Z$4&gt;=MAX(AH$4,VLOOKUP(AH$6, Table_ChiPhiNV_Ca[], COUNTA(Table_ChiPhiNV_Ca[[#Headers],[Ca]:[Bắt đầu]]),0)),
$AA38&lt;MIN(AH$5,VLOOKUP(AH$6, Table_ChiPhiNV_Ca[], COUNTA(Table_ChiPhiNV_Ca[[#Headers],[Ca]:[Kết thúc]]),0))),
SUM(_xlfn._xlws.FILTER(Table_BangLuong_TyLeTangCa[Tỷ lệ],
(Table_BangLuong_TyLeTangCa[Ngày] = "Thường") *
(Table_BangLuong_TyLeTangCa[Giờ min]&lt;=$AA38) *
(Table_BangLuong_TyLeTangCa[Giờ max]&gt;$AA38)
)),0)
)),
IF(AH$4 &lt; AH$5,
IF($AA38-$Z$4&lt;AH$4,0,
IF($AA38&gt;AH$5,0,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AH$5,$AA38 &lt; AH$4),0,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I38" s="18" cm="1">
        <f t="array" ref="AI38" xml:space="preserve">
IFERROR(
IF(AI$1="",0,
IF(AND(
$AA38&gt;=VLOOKUP(AI$6, Table_ChiPhiNV_Ca[], COUNTA(Table_ChiPhiNV_Ca[[#Headers],[Ca]:[Bắt đầu nghỉ]]),0),
$AA38&lt;VLOOKUP(AI$6, Table_ChiPhiNV_Ca[], COUNTA(Table_ChiPhiNV_Ca[[#Headers],[Ca]:[Kết thúc nghỉ]]),0)
),0,
IF(NOT(ISBLANK(AI$3)),
IF(ISBLANK(AI$7),0,
IF(AI$4 &lt; AI$5,
IF($AA38-$Z$4&lt;AI$4,0,
IF($AA38&gt;AI$5,0,
SUM(_xlfn._xlws.FILTER(Table_BangLuong_TyLeTangCa[Tỷ lệ],
(Table_BangLuong_TyLeTangCa[Ngày] = AI$3) *
(Table_BangLuong_TyLeTangCa[Giờ min]&lt;=$AA38) *
(Table_BangLuong_TyLeTangCa[Giờ max]&gt;$AA38)
)))),
IF(AND($AA38-$Z$4 &gt;= AI$5,$AA38 &lt; AI$4),0,
SUM(_xlfn._xlws.FILTER(Table_BangLuong_TyLeTangCa[Tỷ lệ],
(Table_BangLuong_TyLeTangCa[Ngày] = AI$3) *
(Table_BangLuong_TyLeTangCa[Giờ min]&lt;=$AA38) *
(Table_BangLuong_TyLeTangCa[Giờ max]&gt;$AA38)
))))
),
IF(ISBLANK(AI$7),
IF(VLOOKUP(AI$6, Table_ChiPhiNV_Ca[], COUNTA(Table_ChiPhiNV_Ca[[#Headers],[Ca]:[Kết thúc]]),0)&gt; VLOOKUP(AI$6, Table_ChiPhiNV_Ca[], COUNTA(Table_ChiPhiNV_Ca[[#Headers],[Ca]:[Bắt đầu]]),0),
IF($AA38-$Z$4&lt;MAX(AI$4,VLOOKUP(AI$6, Table_ChiPhiNV_Ca[], COUNTA(Table_ChiPhiNV_Ca[[#Headers],[Ca]:[Bắt đầu]]),0)),0,
IF($AA38&gt;MIN(AI$5,VLOOKUP(AI$6, Table_ChiPhiNV_Ca[], COUNTA(Table_ChiPhiNV_Ca[[#Headers],[Ca]:[Kết thúc]]),0)),0,
SUM(_xlfn._xlws.FILTER(Table_BangLuong_TyLeTangCa[Tỷ lệ],
(Table_BangLuong_TyLeTangCa[Ngày] = "Thường") *
(Table_BangLuong_TyLeTangCa[Giờ min]&lt;=$AA38) *
(Table_BangLuong_TyLeTangCa[Giờ max]&gt;$AA38)
)))),
IF(AI$4 &gt; AI$5,
IF(
AND(
$AA38-$Z$4&lt;MAX(AI$4,VLOOKUP(AI$6, Table_ChiPhiNV_Ca[], COUNTA(Table_ChiPhiNV_Ca[[#Headers],[Ca]:[Bắt đầu]]),0)),
$AA38&gt;MIN(AI$5,VLOOKUP(AI$6, Table_ChiPhiNV_Ca[], COUNTA(Table_ChiPhiNV_Ca[[#Headers],[Ca]:[Kết thúc]]),0))),0,
SUM(_xlfn._xlws.FILTER(Table_BangLuong_TyLeTangCa[Tỷ lệ],
(Table_BangLuong_TyLeTangCa[Ngày] = "Thường") *
(Table_BangLuong_TyLeTangCa[Giờ min]&lt;=$AA38) *
(Table_BangLuong_TyLeTangCa[Giờ max]&gt;$AA38)
))),
IF(
AND(
$AA38-$Z$4&gt;=MAX(AI$4,VLOOKUP(AI$6, Table_ChiPhiNV_Ca[], COUNTA(Table_ChiPhiNV_Ca[[#Headers],[Ca]:[Bắt đầu]]),0)),
$AA38&lt;MIN(AI$5,VLOOKUP(AI$6, Table_ChiPhiNV_Ca[], COUNTA(Table_ChiPhiNV_Ca[[#Headers],[Ca]:[Kết thúc]]),0))),
SUM(_xlfn._xlws.FILTER(Table_BangLuong_TyLeTangCa[Tỷ lệ],
(Table_BangLuong_TyLeTangCa[Ngày] = "Thường") *
(Table_BangLuong_TyLeTangCa[Giờ min]&lt;=$AA38) *
(Table_BangLuong_TyLeTangCa[Giờ max]&gt;$AA38)
)),0)
)),
IF(AI$4 &lt; AI$5,
IF($AA38-$Z$4&lt;AI$4,0,
IF($AA38&gt;AI$5,0,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AI$5,$AA38 &lt; AI$4),0,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J38" s="18" cm="1">
        <f t="array" ref="AJ38" xml:space="preserve">
IFERROR(
IF(AJ$1="",0,
IF(AND(
$AA38&gt;=VLOOKUP(AJ$6, Table_ChiPhiNV_Ca[], COUNTA(Table_ChiPhiNV_Ca[[#Headers],[Ca]:[Bắt đầu nghỉ]]),0),
$AA38&lt;VLOOKUP(AJ$6, Table_ChiPhiNV_Ca[], COUNTA(Table_ChiPhiNV_Ca[[#Headers],[Ca]:[Kết thúc nghỉ]]),0)
),0,
IF(NOT(ISBLANK(AJ$3)),
IF(ISBLANK(AJ$7),0,
IF(AJ$4 &lt; AJ$5,
IF($AA38-$Z$4&lt;AJ$4,0,
IF($AA38&gt;AJ$5,0,
SUM(_xlfn._xlws.FILTER(Table_BangLuong_TyLeTangCa[Tỷ lệ],
(Table_BangLuong_TyLeTangCa[Ngày] = AJ$3) *
(Table_BangLuong_TyLeTangCa[Giờ min]&lt;=$AA38) *
(Table_BangLuong_TyLeTangCa[Giờ max]&gt;$AA38)
)))),
IF(AND($AA38-$Z$4 &gt;= AJ$5,$AA38 &lt; AJ$4),0,
SUM(_xlfn._xlws.FILTER(Table_BangLuong_TyLeTangCa[Tỷ lệ],
(Table_BangLuong_TyLeTangCa[Ngày] = AJ$3) *
(Table_BangLuong_TyLeTangCa[Giờ min]&lt;=$AA38) *
(Table_BangLuong_TyLeTangCa[Giờ max]&gt;$AA38)
))))
),
IF(ISBLANK(AJ$7),
IF(VLOOKUP(AJ$6, Table_ChiPhiNV_Ca[], COUNTA(Table_ChiPhiNV_Ca[[#Headers],[Ca]:[Kết thúc]]),0)&gt; VLOOKUP(AJ$6, Table_ChiPhiNV_Ca[], COUNTA(Table_ChiPhiNV_Ca[[#Headers],[Ca]:[Bắt đầu]]),0),
IF($AA38-$Z$4&lt;MAX(AJ$4,VLOOKUP(AJ$6, Table_ChiPhiNV_Ca[], COUNTA(Table_ChiPhiNV_Ca[[#Headers],[Ca]:[Bắt đầu]]),0)),0,
IF($AA38&gt;MIN(AJ$5,VLOOKUP(AJ$6, Table_ChiPhiNV_Ca[], COUNTA(Table_ChiPhiNV_Ca[[#Headers],[Ca]:[Kết thúc]]),0)),0,
SUM(_xlfn._xlws.FILTER(Table_BangLuong_TyLeTangCa[Tỷ lệ],
(Table_BangLuong_TyLeTangCa[Ngày] = "Thường") *
(Table_BangLuong_TyLeTangCa[Giờ min]&lt;=$AA38) *
(Table_BangLuong_TyLeTangCa[Giờ max]&gt;$AA38)
)))),
IF(AJ$4 &gt; AJ$5,
IF(
AND(
$AA38-$Z$4&lt;MAX(AJ$4,VLOOKUP(AJ$6, Table_ChiPhiNV_Ca[], COUNTA(Table_ChiPhiNV_Ca[[#Headers],[Ca]:[Bắt đầu]]),0)),
$AA38&gt;MIN(AJ$5,VLOOKUP(AJ$6, Table_ChiPhiNV_Ca[], COUNTA(Table_ChiPhiNV_Ca[[#Headers],[Ca]:[Kết thúc]]),0))),0,
SUM(_xlfn._xlws.FILTER(Table_BangLuong_TyLeTangCa[Tỷ lệ],
(Table_BangLuong_TyLeTangCa[Ngày] = "Thường") *
(Table_BangLuong_TyLeTangCa[Giờ min]&lt;=$AA38) *
(Table_BangLuong_TyLeTangCa[Giờ max]&gt;$AA38)
))),
IF(
AND(
$AA38-$Z$4&gt;=MAX(AJ$4,VLOOKUP(AJ$6, Table_ChiPhiNV_Ca[], COUNTA(Table_ChiPhiNV_Ca[[#Headers],[Ca]:[Bắt đầu]]),0)),
$AA38&lt;MIN(AJ$5,VLOOKUP(AJ$6, Table_ChiPhiNV_Ca[], COUNTA(Table_ChiPhiNV_Ca[[#Headers],[Ca]:[Kết thúc]]),0))),
SUM(_xlfn._xlws.FILTER(Table_BangLuong_TyLeTangCa[Tỷ lệ],
(Table_BangLuong_TyLeTangCa[Ngày] = "Thường") *
(Table_BangLuong_TyLeTangCa[Giờ min]&lt;=$AA38) *
(Table_BangLuong_TyLeTangCa[Giờ max]&gt;$AA38)
)),0)
)),
IF(AJ$4 &lt; AJ$5,
IF($AA38-$Z$4&lt;AJ$4,0,
IF($AA38&gt;AJ$5,0,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AJ$5,$AA38 &lt; AJ$4),0,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K38" s="18" cm="1">
        <f t="array" ref="AK38" xml:space="preserve">
IFERROR(
IF(AK$1="",0,
IF(AND(
$AA38&gt;=VLOOKUP(AK$6, Table_ChiPhiNV_Ca[], COUNTA(Table_ChiPhiNV_Ca[[#Headers],[Ca]:[Bắt đầu nghỉ]]),0),
$AA38&lt;VLOOKUP(AK$6, Table_ChiPhiNV_Ca[], COUNTA(Table_ChiPhiNV_Ca[[#Headers],[Ca]:[Kết thúc nghỉ]]),0)
),0,
IF(NOT(ISBLANK(AK$3)),
IF(ISBLANK(AK$7),0,
IF(AK$4 &lt; AK$5,
IF($AA38-$Z$4&lt;AK$4,0,
IF($AA38&gt;AK$5,0,
SUM(_xlfn._xlws.FILTER(Table_BangLuong_TyLeTangCa[Tỷ lệ],
(Table_BangLuong_TyLeTangCa[Ngày] = AK$3) *
(Table_BangLuong_TyLeTangCa[Giờ min]&lt;=$AA38) *
(Table_BangLuong_TyLeTangCa[Giờ max]&gt;$AA38)
)))),
IF(AND($AA38-$Z$4 &gt;= AK$5,$AA38 &lt; AK$4),0,
SUM(_xlfn._xlws.FILTER(Table_BangLuong_TyLeTangCa[Tỷ lệ],
(Table_BangLuong_TyLeTangCa[Ngày] = AK$3) *
(Table_BangLuong_TyLeTangCa[Giờ min]&lt;=$AA38) *
(Table_BangLuong_TyLeTangCa[Giờ max]&gt;$AA38)
))))
),
IF(ISBLANK(AK$7),
IF(VLOOKUP(AK$6, Table_ChiPhiNV_Ca[], COUNTA(Table_ChiPhiNV_Ca[[#Headers],[Ca]:[Kết thúc]]),0)&gt; VLOOKUP(AK$6, Table_ChiPhiNV_Ca[], COUNTA(Table_ChiPhiNV_Ca[[#Headers],[Ca]:[Bắt đầu]]),0),
IF($AA38-$Z$4&lt;MAX(AK$4,VLOOKUP(AK$6, Table_ChiPhiNV_Ca[], COUNTA(Table_ChiPhiNV_Ca[[#Headers],[Ca]:[Bắt đầu]]),0)),0,
IF($AA38&gt;MIN(AK$5,VLOOKUP(AK$6, Table_ChiPhiNV_Ca[], COUNTA(Table_ChiPhiNV_Ca[[#Headers],[Ca]:[Kết thúc]]),0)),0,
SUM(_xlfn._xlws.FILTER(Table_BangLuong_TyLeTangCa[Tỷ lệ],
(Table_BangLuong_TyLeTangCa[Ngày] = "Thường") *
(Table_BangLuong_TyLeTangCa[Giờ min]&lt;=$AA38) *
(Table_BangLuong_TyLeTangCa[Giờ max]&gt;$AA38)
)))),
IF(AK$4 &gt; AK$5,
IF(
AND(
$AA38-$Z$4&lt;MAX(AK$4,VLOOKUP(AK$6, Table_ChiPhiNV_Ca[], COUNTA(Table_ChiPhiNV_Ca[[#Headers],[Ca]:[Bắt đầu]]),0)),
$AA38&gt;MIN(AK$5,VLOOKUP(AK$6, Table_ChiPhiNV_Ca[], COUNTA(Table_ChiPhiNV_Ca[[#Headers],[Ca]:[Kết thúc]]),0))),0,
SUM(_xlfn._xlws.FILTER(Table_BangLuong_TyLeTangCa[Tỷ lệ],
(Table_BangLuong_TyLeTangCa[Ngày] = "Thường") *
(Table_BangLuong_TyLeTangCa[Giờ min]&lt;=$AA38) *
(Table_BangLuong_TyLeTangCa[Giờ max]&gt;$AA38)
))),
IF(
AND(
$AA38-$Z$4&gt;=MAX(AK$4,VLOOKUP(AK$6, Table_ChiPhiNV_Ca[], COUNTA(Table_ChiPhiNV_Ca[[#Headers],[Ca]:[Bắt đầu]]),0)),
$AA38&lt;MIN(AK$5,VLOOKUP(AK$6, Table_ChiPhiNV_Ca[], COUNTA(Table_ChiPhiNV_Ca[[#Headers],[Ca]:[Kết thúc]]),0))),
SUM(_xlfn._xlws.FILTER(Table_BangLuong_TyLeTangCa[Tỷ lệ],
(Table_BangLuong_TyLeTangCa[Ngày] = "Thường") *
(Table_BangLuong_TyLeTangCa[Giờ min]&lt;=$AA38) *
(Table_BangLuong_TyLeTangCa[Giờ max]&gt;$AA38)
)),0)
)),
IF(AK$4 &lt; AK$5,
IF($AA38-$Z$4&lt;AK$4,0,
IF($AA38&gt;AK$5,0,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AK$5,$AA38 &lt; AK$4),0,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L38" s="18" cm="1">
        <f t="array" ref="AL38" xml:space="preserve">
IFERROR(
IF(AL$1="",0,
IF(AND(
$AA38&gt;=VLOOKUP(AL$6, Table_ChiPhiNV_Ca[], COUNTA(Table_ChiPhiNV_Ca[[#Headers],[Ca]:[Bắt đầu nghỉ]]),0),
$AA38&lt;VLOOKUP(AL$6, Table_ChiPhiNV_Ca[], COUNTA(Table_ChiPhiNV_Ca[[#Headers],[Ca]:[Kết thúc nghỉ]]),0)
),0,
IF(NOT(ISBLANK(AL$3)),
IF(ISBLANK(AL$7),0,
IF(AL$4 &lt; AL$5,
IF($AA38-$Z$4&lt;AL$4,0,
IF($AA38&gt;AL$5,0,
SUM(_xlfn._xlws.FILTER(Table_BangLuong_TyLeTangCa[Tỷ lệ],
(Table_BangLuong_TyLeTangCa[Ngày] = AL$3) *
(Table_BangLuong_TyLeTangCa[Giờ min]&lt;=$AA38) *
(Table_BangLuong_TyLeTangCa[Giờ max]&gt;$AA38)
)))),
IF(AND($AA38-$Z$4 &gt;= AL$5,$AA38 &lt; AL$4),0,
SUM(_xlfn._xlws.FILTER(Table_BangLuong_TyLeTangCa[Tỷ lệ],
(Table_BangLuong_TyLeTangCa[Ngày] = AL$3) *
(Table_BangLuong_TyLeTangCa[Giờ min]&lt;=$AA38) *
(Table_BangLuong_TyLeTangCa[Giờ max]&gt;$AA38)
))))
),
IF(ISBLANK(AL$7),
IF(VLOOKUP(AL$6, Table_ChiPhiNV_Ca[], COUNTA(Table_ChiPhiNV_Ca[[#Headers],[Ca]:[Kết thúc]]),0)&gt; VLOOKUP(AL$6, Table_ChiPhiNV_Ca[], COUNTA(Table_ChiPhiNV_Ca[[#Headers],[Ca]:[Bắt đầu]]),0),
IF($AA38-$Z$4&lt;MAX(AL$4,VLOOKUP(AL$6, Table_ChiPhiNV_Ca[], COUNTA(Table_ChiPhiNV_Ca[[#Headers],[Ca]:[Bắt đầu]]),0)),0,
IF($AA38&gt;MIN(AL$5,VLOOKUP(AL$6, Table_ChiPhiNV_Ca[], COUNTA(Table_ChiPhiNV_Ca[[#Headers],[Ca]:[Kết thúc]]),0)),0,
SUM(_xlfn._xlws.FILTER(Table_BangLuong_TyLeTangCa[Tỷ lệ],
(Table_BangLuong_TyLeTangCa[Ngày] = "Thường") *
(Table_BangLuong_TyLeTangCa[Giờ min]&lt;=$AA38) *
(Table_BangLuong_TyLeTangCa[Giờ max]&gt;$AA38)
)))),
IF(AL$4 &gt; AL$5,
IF(
AND(
$AA38-$Z$4&lt;MAX(AL$4,VLOOKUP(AL$6, Table_ChiPhiNV_Ca[], COUNTA(Table_ChiPhiNV_Ca[[#Headers],[Ca]:[Bắt đầu]]),0)),
$AA38&gt;MIN(AL$5,VLOOKUP(AL$6, Table_ChiPhiNV_Ca[], COUNTA(Table_ChiPhiNV_Ca[[#Headers],[Ca]:[Kết thúc]]),0))),0,
SUM(_xlfn._xlws.FILTER(Table_BangLuong_TyLeTangCa[Tỷ lệ],
(Table_BangLuong_TyLeTangCa[Ngày] = "Thường") *
(Table_BangLuong_TyLeTangCa[Giờ min]&lt;=$AA38) *
(Table_BangLuong_TyLeTangCa[Giờ max]&gt;$AA38)
))),
IF(
AND(
$AA38-$Z$4&gt;=MAX(AL$4,VLOOKUP(AL$6, Table_ChiPhiNV_Ca[], COUNTA(Table_ChiPhiNV_Ca[[#Headers],[Ca]:[Bắt đầu]]),0)),
$AA38&lt;MIN(AL$5,VLOOKUP(AL$6, Table_ChiPhiNV_Ca[], COUNTA(Table_ChiPhiNV_Ca[[#Headers],[Ca]:[Kết thúc]]),0))),
SUM(_xlfn._xlws.FILTER(Table_BangLuong_TyLeTangCa[Tỷ lệ],
(Table_BangLuong_TyLeTangCa[Ngày] = "Thường") *
(Table_BangLuong_TyLeTangCa[Giờ min]&lt;=$AA38) *
(Table_BangLuong_TyLeTangCa[Giờ max]&gt;$AA38)
)),0)
)),
IF(AL$4 &lt; AL$5,
IF($AA38-$Z$4&lt;AL$4,0,
IF($AA38&gt;AL$5,0,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AL$5,$AA38 &lt; AL$4),0,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M38" s="18" cm="1">
        <f t="array" ref="AM38" xml:space="preserve">
IFERROR(
IF(AM$1="",0,
IF(AND(
$AA38&gt;=VLOOKUP(AM$6, Table_ChiPhiNV_Ca[], COUNTA(Table_ChiPhiNV_Ca[[#Headers],[Ca]:[Bắt đầu nghỉ]]),0),
$AA38&lt;VLOOKUP(AM$6, Table_ChiPhiNV_Ca[], COUNTA(Table_ChiPhiNV_Ca[[#Headers],[Ca]:[Kết thúc nghỉ]]),0)
),0,
IF(NOT(ISBLANK(AM$3)),
IF(ISBLANK(AM$7),0,
IF(AM$4 &lt; AM$5,
IF($AA38-$Z$4&lt;AM$4,0,
IF($AA38&gt;AM$5,0,
SUM(_xlfn._xlws.FILTER(Table_BangLuong_TyLeTangCa[Tỷ lệ],
(Table_BangLuong_TyLeTangCa[Ngày] = AM$3) *
(Table_BangLuong_TyLeTangCa[Giờ min]&lt;=$AA38) *
(Table_BangLuong_TyLeTangCa[Giờ max]&gt;$AA38)
)))),
IF(AND($AA38-$Z$4 &gt;= AM$5,$AA38 &lt; AM$4),0,
SUM(_xlfn._xlws.FILTER(Table_BangLuong_TyLeTangCa[Tỷ lệ],
(Table_BangLuong_TyLeTangCa[Ngày] = AM$3) *
(Table_BangLuong_TyLeTangCa[Giờ min]&lt;=$AA38) *
(Table_BangLuong_TyLeTangCa[Giờ max]&gt;$AA38)
))))
),
IF(ISBLANK(AM$7),
IF(VLOOKUP(AM$6, Table_ChiPhiNV_Ca[], COUNTA(Table_ChiPhiNV_Ca[[#Headers],[Ca]:[Kết thúc]]),0)&gt; VLOOKUP(AM$6, Table_ChiPhiNV_Ca[], COUNTA(Table_ChiPhiNV_Ca[[#Headers],[Ca]:[Bắt đầu]]),0),
IF($AA38-$Z$4&lt;MAX(AM$4,VLOOKUP(AM$6, Table_ChiPhiNV_Ca[], COUNTA(Table_ChiPhiNV_Ca[[#Headers],[Ca]:[Bắt đầu]]),0)),0,
IF($AA38&gt;MIN(AM$5,VLOOKUP(AM$6, Table_ChiPhiNV_Ca[], COUNTA(Table_ChiPhiNV_Ca[[#Headers],[Ca]:[Kết thúc]]),0)),0,
SUM(_xlfn._xlws.FILTER(Table_BangLuong_TyLeTangCa[Tỷ lệ],
(Table_BangLuong_TyLeTangCa[Ngày] = "Thường") *
(Table_BangLuong_TyLeTangCa[Giờ min]&lt;=$AA38) *
(Table_BangLuong_TyLeTangCa[Giờ max]&gt;$AA38)
)))),
IF(AM$4 &gt; AM$5,
IF(
AND(
$AA38-$Z$4&lt;MAX(AM$4,VLOOKUP(AM$6, Table_ChiPhiNV_Ca[], COUNTA(Table_ChiPhiNV_Ca[[#Headers],[Ca]:[Bắt đầu]]),0)),
$AA38&gt;MIN(AM$5,VLOOKUP(AM$6, Table_ChiPhiNV_Ca[], COUNTA(Table_ChiPhiNV_Ca[[#Headers],[Ca]:[Kết thúc]]),0))),0,
SUM(_xlfn._xlws.FILTER(Table_BangLuong_TyLeTangCa[Tỷ lệ],
(Table_BangLuong_TyLeTangCa[Ngày] = "Thường") *
(Table_BangLuong_TyLeTangCa[Giờ min]&lt;=$AA38) *
(Table_BangLuong_TyLeTangCa[Giờ max]&gt;$AA38)
))),
IF(
AND(
$AA38-$Z$4&gt;=MAX(AM$4,VLOOKUP(AM$6, Table_ChiPhiNV_Ca[], COUNTA(Table_ChiPhiNV_Ca[[#Headers],[Ca]:[Bắt đầu]]),0)),
$AA38&lt;MIN(AM$5,VLOOKUP(AM$6, Table_ChiPhiNV_Ca[], COUNTA(Table_ChiPhiNV_Ca[[#Headers],[Ca]:[Kết thúc]]),0))),
SUM(_xlfn._xlws.FILTER(Table_BangLuong_TyLeTangCa[Tỷ lệ],
(Table_BangLuong_TyLeTangCa[Ngày] = "Thường") *
(Table_BangLuong_TyLeTangCa[Giờ min]&lt;=$AA38) *
(Table_BangLuong_TyLeTangCa[Giờ max]&gt;$AA38)
)),0)
)),
IF(AM$4 &lt; AM$5,
IF($AA38-$Z$4&lt;AM$4,0,
IF($AA38&gt;AM$5,0,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AM$5,$AA38 &lt; AM$4),0,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N38" s="18" cm="1">
        <f t="array" ref="AN38" xml:space="preserve">
IFERROR(
IF(AN$1="",0,
IF(AND(
$AA38&gt;=VLOOKUP(AN$6, Table_ChiPhiNV_Ca[], COUNTA(Table_ChiPhiNV_Ca[[#Headers],[Ca]:[Bắt đầu nghỉ]]),0),
$AA38&lt;VLOOKUP(AN$6, Table_ChiPhiNV_Ca[], COUNTA(Table_ChiPhiNV_Ca[[#Headers],[Ca]:[Kết thúc nghỉ]]),0)
),0,
IF(NOT(ISBLANK(AN$3)),
IF(ISBLANK(AN$7),0,
IF(AN$4 &lt; AN$5,
IF($AA38-$Z$4&lt;AN$4,0,
IF($AA38&gt;AN$5,0,
SUM(_xlfn._xlws.FILTER(Table_BangLuong_TyLeTangCa[Tỷ lệ],
(Table_BangLuong_TyLeTangCa[Ngày] = AN$3) *
(Table_BangLuong_TyLeTangCa[Giờ min]&lt;=$AA38) *
(Table_BangLuong_TyLeTangCa[Giờ max]&gt;$AA38)
)))),
IF(AND($AA38-$Z$4 &gt;= AN$5,$AA38 &lt; AN$4),0,
SUM(_xlfn._xlws.FILTER(Table_BangLuong_TyLeTangCa[Tỷ lệ],
(Table_BangLuong_TyLeTangCa[Ngày] = AN$3) *
(Table_BangLuong_TyLeTangCa[Giờ min]&lt;=$AA38) *
(Table_BangLuong_TyLeTangCa[Giờ max]&gt;$AA38)
))))
),
IF(ISBLANK(AN$7),
IF(VLOOKUP(AN$6, Table_ChiPhiNV_Ca[], COUNTA(Table_ChiPhiNV_Ca[[#Headers],[Ca]:[Kết thúc]]),0)&gt; VLOOKUP(AN$6, Table_ChiPhiNV_Ca[], COUNTA(Table_ChiPhiNV_Ca[[#Headers],[Ca]:[Bắt đầu]]),0),
IF($AA38-$Z$4&lt;MAX(AN$4,VLOOKUP(AN$6, Table_ChiPhiNV_Ca[], COUNTA(Table_ChiPhiNV_Ca[[#Headers],[Ca]:[Bắt đầu]]),0)),0,
IF($AA38&gt;MIN(AN$5,VLOOKUP(AN$6, Table_ChiPhiNV_Ca[], COUNTA(Table_ChiPhiNV_Ca[[#Headers],[Ca]:[Kết thúc]]),0)),0,
SUM(_xlfn._xlws.FILTER(Table_BangLuong_TyLeTangCa[Tỷ lệ],
(Table_BangLuong_TyLeTangCa[Ngày] = "Thường") *
(Table_BangLuong_TyLeTangCa[Giờ min]&lt;=$AA38) *
(Table_BangLuong_TyLeTangCa[Giờ max]&gt;$AA38)
)))),
IF(AN$4 &gt; AN$5,
IF(
AND(
$AA38-$Z$4&lt;MAX(AN$4,VLOOKUP(AN$6, Table_ChiPhiNV_Ca[], COUNTA(Table_ChiPhiNV_Ca[[#Headers],[Ca]:[Bắt đầu]]),0)),
$AA38&gt;MIN(AN$5,VLOOKUP(AN$6, Table_ChiPhiNV_Ca[], COUNTA(Table_ChiPhiNV_Ca[[#Headers],[Ca]:[Kết thúc]]),0))),0,
SUM(_xlfn._xlws.FILTER(Table_BangLuong_TyLeTangCa[Tỷ lệ],
(Table_BangLuong_TyLeTangCa[Ngày] = "Thường") *
(Table_BangLuong_TyLeTangCa[Giờ min]&lt;=$AA38) *
(Table_BangLuong_TyLeTangCa[Giờ max]&gt;$AA38)
))),
IF(
AND(
$AA38-$Z$4&gt;=MAX(AN$4,VLOOKUP(AN$6, Table_ChiPhiNV_Ca[], COUNTA(Table_ChiPhiNV_Ca[[#Headers],[Ca]:[Bắt đầu]]),0)),
$AA38&lt;MIN(AN$5,VLOOKUP(AN$6, Table_ChiPhiNV_Ca[], COUNTA(Table_ChiPhiNV_Ca[[#Headers],[Ca]:[Kết thúc]]),0))),
SUM(_xlfn._xlws.FILTER(Table_BangLuong_TyLeTangCa[Tỷ lệ],
(Table_BangLuong_TyLeTangCa[Ngày] = "Thường") *
(Table_BangLuong_TyLeTangCa[Giờ min]&lt;=$AA38) *
(Table_BangLuong_TyLeTangCa[Giờ max]&gt;$AA38)
)),0)
)),
IF(AN$4 &lt; AN$5,
IF($AA38-$Z$4&lt;AN$4,0,
IF($AA38&gt;AN$5,0,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AN$5,$AA38 &lt; AN$4),0,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O38" s="18" cm="1">
        <f t="array" ref="AO38" xml:space="preserve">
IFERROR(
IF(AO$1="",0,
IF(AND(
$AA38&gt;=VLOOKUP(AO$6, Table_ChiPhiNV_Ca[], COUNTA(Table_ChiPhiNV_Ca[[#Headers],[Ca]:[Bắt đầu nghỉ]]),0),
$AA38&lt;VLOOKUP(AO$6, Table_ChiPhiNV_Ca[], COUNTA(Table_ChiPhiNV_Ca[[#Headers],[Ca]:[Kết thúc nghỉ]]),0)
),0,
IF(NOT(ISBLANK(AO$3)),
IF(ISBLANK(AO$7),0,
IF(AO$4 &lt; AO$5,
IF($AA38-$Z$4&lt;AO$4,0,
IF($AA38&gt;AO$5,0,
SUM(_xlfn._xlws.FILTER(Table_BangLuong_TyLeTangCa[Tỷ lệ],
(Table_BangLuong_TyLeTangCa[Ngày] = AO$3) *
(Table_BangLuong_TyLeTangCa[Giờ min]&lt;=$AA38) *
(Table_BangLuong_TyLeTangCa[Giờ max]&gt;$AA38)
)))),
IF(AND($AA38-$Z$4 &gt;= AO$5,$AA38 &lt; AO$4),0,
SUM(_xlfn._xlws.FILTER(Table_BangLuong_TyLeTangCa[Tỷ lệ],
(Table_BangLuong_TyLeTangCa[Ngày] = AO$3) *
(Table_BangLuong_TyLeTangCa[Giờ min]&lt;=$AA38) *
(Table_BangLuong_TyLeTangCa[Giờ max]&gt;$AA38)
))))
),
IF(ISBLANK(AO$7),
IF(VLOOKUP(AO$6, Table_ChiPhiNV_Ca[], COUNTA(Table_ChiPhiNV_Ca[[#Headers],[Ca]:[Kết thúc]]),0)&gt; VLOOKUP(AO$6, Table_ChiPhiNV_Ca[], COUNTA(Table_ChiPhiNV_Ca[[#Headers],[Ca]:[Bắt đầu]]),0),
IF($AA38-$Z$4&lt;MAX(AO$4,VLOOKUP(AO$6, Table_ChiPhiNV_Ca[], COUNTA(Table_ChiPhiNV_Ca[[#Headers],[Ca]:[Bắt đầu]]),0)),0,
IF($AA38&gt;MIN(AO$5,VLOOKUP(AO$6, Table_ChiPhiNV_Ca[], COUNTA(Table_ChiPhiNV_Ca[[#Headers],[Ca]:[Kết thúc]]),0)),0,
SUM(_xlfn._xlws.FILTER(Table_BangLuong_TyLeTangCa[Tỷ lệ],
(Table_BangLuong_TyLeTangCa[Ngày] = "Thường") *
(Table_BangLuong_TyLeTangCa[Giờ min]&lt;=$AA38) *
(Table_BangLuong_TyLeTangCa[Giờ max]&gt;$AA38)
)))),
IF(AO$4 &gt; AO$5,
IF(
AND(
$AA38-$Z$4&lt;MAX(AO$4,VLOOKUP(AO$6, Table_ChiPhiNV_Ca[], COUNTA(Table_ChiPhiNV_Ca[[#Headers],[Ca]:[Bắt đầu]]),0)),
$AA38&gt;MIN(AO$5,VLOOKUP(AO$6, Table_ChiPhiNV_Ca[], COUNTA(Table_ChiPhiNV_Ca[[#Headers],[Ca]:[Kết thúc]]),0))),0,
SUM(_xlfn._xlws.FILTER(Table_BangLuong_TyLeTangCa[Tỷ lệ],
(Table_BangLuong_TyLeTangCa[Ngày] = "Thường") *
(Table_BangLuong_TyLeTangCa[Giờ min]&lt;=$AA38) *
(Table_BangLuong_TyLeTangCa[Giờ max]&gt;$AA38)
))),
IF(
AND(
$AA38-$Z$4&gt;=MAX(AO$4,VLOOKUP(AO$6, Table_ChiPhiNV_Ca[], COUNTA(Table_ChiPhiNV_Ca[[#Headers],[Ca]:[Bắt đầu]]),0)),
$AA38&lt;MIN(AO$5,VLOOKUP(AO$6, Table_ChiPhiNV_Ca[], COUNTA(Table_ChiPhiNV_Ca[[#Headers],[Ca]:[Kết thúc]]),0))),
SUM(_xlfn._xlws.FILTER(Table_BangLuong_TyLeTangCa[Tỷ lệ],
(Table_BangLuong_TyLeTangCa[Ngày] = "Thường") *
(Table_BangLuong_TyLeTangCa[Giờ min]&lt;=$AA38) *
(Table_BangLuong_TyLeTangCa[Giờ max]&gt;$AA38)
)),0)
)),
IF(AO$4 &lt; AO$5,
IF($AA38-$Z$4&lt;AO$4,0,
IF($AA38&gt;AO$5,0,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AO$5,$AA38 &lt; AO$4),0,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P38" s="18" cm="1">
        <f t="array" ref="AP38" xml:space="preserve">
IFERROR(
IF(AP$1="",0,
IF(AND(
$AA38&gt;=VLOOKUP(AP$6, Table_ChiPhiNV_Ca[], COUNTA(Table_ChiPhiNV_Ca[[#Headers],[Ca]:[Bắt đầu nghỉ]]),0),
$AA38&lt;VLOOKUP(AP$6, Table_ChiPhiNV_Ca[], COUNTA(Table_ChiPhiNV_Ca[[#Headers],[Ca]:[Kết thúc nghỉ]]),0)
),0,
IF(NOT(ISBLANK(AP$3)),
IF(ISBLANK(AP$7),0,
IF(AP$4 &lt; AP$5,
IF($AA38-$Z$4&lt;AP$4,0,
IF($AA38&gt;AP$5,0,
SUM(_xlfn._xlws.FILTER(Table_BangLuong_TyLeTangCa[Tỷ lệ],
(Table_BangLuong_TyLeTangCa[Ngày] = AP$3) *
(Table_BangLuong_TyLeTangCa[Giờ min]&lt;=$AA38) *
(Table_BangLuong_TyLeTangCa[Giờ max]&gt;$AA38)
)))),
IF(AND($AA38-$Z$4 &gt;= AP$5,$AA38 &lt; AP$4),0,
SUM(_xlfn._xlws.FILTER(Table_BangLuong_TyLeTangCa[Tỷ lệ],
(Table_BangLuong_TyLeTangCa[Ngày] = AP$3) *
(Table_BangLuong_TyLeTangCa[Giờ min]&lt;=$AA38) *
(Table_BangLuong_TyLeTangCa[Giờ max]&gt;$AA38)
))))
),
IF(ISBLANK(AP$7),
IF(VLOOKUP(AP$6, Table_ChiPhiNV_Ca[], COUNTA(Table_ChiPhiNV_Ca[[#Headers],[Ca]:[Kết thúc]]),0)&gt; VLOOKUP(AP$6, Table_ChiPhiNV_Ca[], COUNTA(Table_ChiPhiNV_Ca[[#Headers],[Ca]:[Bắt đầu]]),0),
IF($AA38-$Z$4&lt;MAX(AP$4,VLOOKUP(AP$6, Table_ChiPhiNV_Ca[], COUNTA(Table_ChiPhiNV_Ca[[#Headers],[Ca]:[Bắt đầu]]),0)),0,
IF($AA38&gt;MIN(AP$5,VLOOKUP(AP$6, Table_ChiPhiNV_Ca[], COUNTA(Table_ChiPhiNV_Ca[[#Headers],[Ca]:[Kết thúc]]),0)),0,
SUM(_xlfn._xlws.FILTER(Table_BangLuong_TyLeTangCa[Tỷ lệ],
(Table_BangLuong_TyLeTangCa[Ngày] = "Thường") *
(Table_BangLuong_TyLeTangCa[Giờ min]&lt;=$AA38) *
(Table_BangLuong_TyLeTangCa[Giờ max]&gt;$AA38)
)))),
IF(AP$4 &gt; AP$5,
IF(
AND(
$AA38-$Z$4&lt;MAX(AP$4,VLOOKUP(AP$6, Table_ChiPhiNV_Ca[], COUNTA(Table_ChiPhiNV_Ca[[#Headers],[Ca]:[Bắt đầu]]),0)),
$AA38&gt;MIN(AP$5,VLOOKUP(AP$6, Table_ChiPhiNV_Ca[], COUNTA(Table_ChiPhiNV_Ca[[#Headers],[Ca]:[Kết thúc]]),0))),0,
SUM(_xlfn._xlws.FILTER(Table_BangLuong_TyLeTangCa[Tỷ lệ],
(Table_BangLuong_TyLeTangCa[Ngày] = "Thường") *
(Table_BangLuong_TyLeTangCa[Giờ min]&lt;=$AA38) *
(Table_BangLuong_TyLeTangCa[Giờ max]&gt;$AA38)
))),
IF(
AND(
$AA38-$Z$4&gt;=MAX(AP$4,VLOOKUP(AP$6, Table_ChiPhiNV_Ca[], COUNTA(Table_ChiPhiNV_Ca[[#Headers],[Ca]:[Bắt đầu]]),0)),
$AA38&lt;MIN(AP$5,VLOOKUP(AP$6, Table_ChiPhiNV_Ca[], COUNTA(Table_ChiPhiNV_Ca[[#Headers],[Ca]:[Kết thúc]]),0))),
SUM(_xlfn._xlws.FILTER(Table_BangLuong_TyLeTangCa[Tỷ lệ],
(Table_BangLuong_TyLeTangCa[Ngày] = "Thường") *
(Table_BangLuong_TyLeTangCa[Giờ min]&lt;=$AA38) *
(Table_BangLuong_TyLeTangCa[Giờ max]&gt;$AA38)
)),0)
)),
IF(AP$4 &lt; AP$5,
IF($AA38-$Z$4&lt;AP$4,0,
IF($AA38&gt;AP$5,0,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AP$5,$AA38 &lt; AP$4),0,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Q38" s="18" cm="1">
        <f t="array" ref="AQ38" xml:space="preserve">
IFERROR(
IF(AQ$1="",0,
IF(AND(
$AA38&gt;=VLOOKUP(AQ$6, Table_ChiPhiNV_Ca[], COUNTA(Table_ChiPhiNV_Ca[[#Headers],[Ca]:[Bắt đầu nghỉ]]),0),
$AA38&lt;VLOOKUP(AQ$6, Table_ChiPhiNV_Ca[], COUNTA(Table_ChiPhiNV_Ca[[#Headers],[Ca]:[Kết thúc nghỉ]]),0)
),0,
IF(NOT(ISBLANK(AQ$3)),
IF(ISBLANK(AQ$7),0,
IF(AQ$4 &lt; AQ$5,
IF($AA38-$Z$4&lt;AQ$4,0,
IF($AA38&gt;AQ$5,0,
SUM(_xlfn._xlws.FILTER(Table_BangLuong_TyLeTangCa[Tỷ lệ],
(Table_BangLuong_TyLeTangCa[Ngày] = AQ$3) *
(Table_BangLuong_TyLeTangCa[Giờ min]&lt;=$AA38) *
(Table_BangLuong_TyLeTangCa[Giờ max]&gt;$AA38)
)))),
IF(AND($AA38-$Z$4 &gt;= AQ$5,$AA38 &lt; AQ$4),0,
SUM(_xlfn._xlws.FILTER(Table_BangLuong_TyLeTangCa[Tỷ lệ],
(Table_BangLuong_TyLeTangCa[Ngày] = AQ$3) *
(Table_BangLuong_TyLeTangCa[Giờ min]&lt;=$AA38) *
(Table_BangLuong_TyLeTangCa[Giờ max]&gt;$AA38)
))))
),
IF(ISBLANK(AQ$7),
IF(VLOOKUP(AQ$6, Table_ChiPhiNV_Ca[], COUNTA(Table_ChiPhiNV_Ca[[#Headers],[Ca]:[Kết thúc]]),0)&gt; VLOOKUP(AQ$6, Table_ChiPhiNV_Ca[], COUNTA(Table_ChiPhiNV_Ca[[#Headers],[Ca]:[Bắt đầu]]),0),
IF($AA38-$Z$4&lt;MAX(AQ$4,VLOOKUP(AQ$6, Table_ChiPhiNV_Ca[], COUNTA(Table_ChiPhiNV_Ca[[#Headers],[Ca]:[Bắt đầu]]),0)),0,
IF($AA38&gt;MIN(AQ$5,VLOOKUP(AQ$6, Table_ChiPhiNV_Ca[], COUNTA(Table_ChiPhiNV_Ca[[#Headers],[Ca]:[Kết thúc]]),0)),0,
SUM(_xlfn._xlws.FILTER(Table_BangLuong_TyLeTangCa[Tỷ lệ],
(Table_BangLuong_TyLeTangCa[Ngày] = "Thường") *
(Table_BangLuong_TyLeTangCa[Giờ min]&lt;=$AA38) *
(Table_BangLuong_TyLeTangCa[Giờ max]&gt;$AA38)
)))),
IF(AQ$4 &gt; AQ$5,
IF(
AND(
$AA38-$Z$4&lt;MAX(AQ$4,VLOOKUP(AQ$6, Table_ChiPhiNV_Ca[], COUNTA(Table_ChiPhiNV_Ca[[#Headers],[Ca]:[Bắt đầu]]),0)),
$AA38&gt;MIN(AQ$5,VLOOKUP(AQ$6, Table_ChiPhiNV_Ca[], COUNTA(Table_ChiPhiNV_Ca[[#Headers],[Ca]:[Kết thúc]]),0))),0,
SUM(_xlfn._xlws.FILTER(Table_BangLuong_TyLeTangCa[Tỷ lệ],
(Table_BangLuong_TyLeTangCa[Ngày] = "Thường") *
(Table_BangLuong_TyLeTangCa[Giờ min]&lt;=$AA38) *
(Table_BangLuong_TyLeTangCa[Giờ max]&gt;$AA38)
))),
IF(
AND(
$AA38-$Z$4&gt;=MAX(AQ$4,VLOOKUP(AQ$6, Table_ChiPhiNV_Ca[], COUNTA(Table_ChiPhiNV_Ca[[#Headers],[Ca]:[Bắt đầu]]),0)),
$AA38&lt;MIN(AQ$5,VLOOKUP(AQ$6, Table_ChiPhiNV_Ca[], COUNTA(Table_ChiPhiNV_Ca[[#Headers],[Ca]:[Kết thúc]]),0))),
SUM(_xlfn._xlws.FILTER(Table_BangLuong_TyLeTangCa[Tỷ lệ],
(Table_BangLuong_TyLeTangCa[Ngày] = "Thường") *
(Table_BangLuong_TyLeTangCa[Giờ min]&lt;=$AA38) *
(Table_BangLuong_TyLeTangCa[Giờ max]&gt;$AA38)
)),0)
)),
IF(AQ$4 &lt; AQ$5,
IF($AA38-$Z$4&lt;AQ$4,0,
IF($AA38&gt;AQ$5,0,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AQ$5,$AA38 &lt; AQ$4),0,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R38" s="18" cm="1">
        <f t="array" ref="AR38" xml:space="preserve">
IFERROR(
IF(AR$1="",0,
IF(AND(
$AA38&gt;=VLOOKUP(AR$6, Table_ChiPhiNV_Ca[], COUNTA(Table_ChiPhiNV_Ca[[#Headers],[Ca]:[Bắt đầu nghỉ]]),0),
$AA38&lt;VLOOKUP(AR$6, Table_ChiPhiNV_Ca[], COUNTA(Table_ChiPhiNV_Ca[[#Headers],[Ca]:[Kết thúc nghỉ]]),0)
),0,
IF(NOT(ISBLANK(AR$3)),
IF(ISBLANK(AR$7),0,
IF(AR$4 &lt; AR$5,
IF($AA38-$Z$4&lt;AR$4,0,
IF($AA38&gt;AR$5,0,
SUM(_xlfn._xlws.FILTER(Table_BangLuong_TyLeTangCa[Tỷ lệ],
(Table_BangLuong_TyLeTangCa[Ngày] = AR$3) *
(Table_BangLuong_TyLeTangCa[Giờ min]&lt;=$AA38) *
(Table_BangLuong_TyLeTangCa[Giờ max]&gt;$AA38)
)))),
IF(AND($AA38-$Z$4 &gt;= AR$5,$AA38 &lt; AR$4),0,
SUM(_xlfn._xlws.FILTER(Table_BangLuong_TyLeTangCa[Tỷ lệ],
(Table_BangLuong_TyLeTangCa[Ngày] = AR$3) *
(Table_BangLuong_TyLeTangCa[Giờ min]&lt;=$AA38) *
(Table_BangLuong_TyLeTangCa[Giờ max]&gt;$AA38)
))))
),
IF(ISBLANK(AR$7),
IF(VLOOKUP(AR$6, Table_ChiPhiNV_Ca[], COUNTA(Table_ChiPhiNV_Ca[[#Headers],[Ca]:[Kết thúc]]),0)&gt; VLOOKUP(AR$6, Table_ChiPhiNV_Ca[], COUNTA(Table_ChiPhiNV_Ca[[#Headers],[Ca]:[Bắt đầu]]),0),
IF($AA38-$Z$4&lt;MAX(AR$4,VLOOKUP(AR$6, Table_ChiPhiNV_Ca[], COUNTA(Table_ChiPhiNV_Ca[[#Headers],[Ca]:[Bắt đầu]]),0)),0,
IF($AA38&gt;MIN(AR$5,VLOOKUP(AR$6, Table_ChiPhiNV_Ca[], COUNTA(Table_ChiPhiNV_Ca[[#Headers],[Ca]:[Kết thúc]]),0)),0,
SUM(_xlfn._xlws.FILTER(Table_BangLuong_TyLeTangCa[Tỷ lệ],
(Table_BangLuong_TyLeTangCa[Ngày] = "Thường") *
(Table_BangLuong_TyLeTangCa[Giờ min]&lt;=$AA38) *
(Table_BangLuong_TyLeTangCa[Giờ max]&gt;$AA38)
)))),
IF(AR$4 &gt; AR$5,
IF(
AND(
$AA38-$Z$4&lt;MAX(AR$4,VLOOKUP(AR$6, Table_ChiPhiNV_Ca[], COUNTA(Table_ChiPhiNV_Ca[[#Headers],[Ca]:[Bắt đầu]]),0)),
$AA38&gt;MIN(AR$5,VLOOKUP(AR$6, Table_ChiPhiNV_Ca[], COUNTA(Table_ChiPhiNV_Ca[[#Headers],[Ca]:[Kết thúc]]),0))),0,
SUM(_xlfn._xlws.FILTER(Table_BangLuong_TyLeTangCa[Tỷ lệ],
(Table_BangLuong_TyLeTangCa[Ngày] = "Thường") *
(Table_BangLuong_TyLeTangCa[Giờ min]&lt;=$AA38) *
(Table_BangLuong_TyLeTangCa[Giờ max]&gt;$AA38)
))),
IF(
AND(
$AA38-$Z$4&gt;=MAX(AR$4,VLOOKUP(AR$6, Table_ChiPhiNV_Ca[], COUNTA(Table_ChiPhiNV_Ca[[#Headers],[Ca]:[Bắt đầu]]),0)),
$AA38&lt;MIN(AR$5,VLOOKUP(AR$6, Table_ChiPhiNV_Ca[], COUNTA(Table_ChiPhiNV_Ca[[#Headers],[Ca]:[Kết thúc]]),0))),
SUM(_xlfn._xlws.FILTER(Table_BangLuong_TyLeTangCa[Tỷ lệ],
(Table_BangLuong_TyLeTangCa[Ngày] = "Thường") *
(Table_BangLuong_TyLeTangCa[Giờ min]&lt;=$AA38) *
(Table_BangLuong_TyLeTangCa[Giờ max]&gt;$AA38)
)),0)
)),
IF(AR$4 &lt; AR$5,
IF($AA38-$Z$4&lt;AR$4,0,
IF($AA38&gt;AR$5,0,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AR$5,$AA38 &lt; AR$4),0,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S38" s="18" cm="1">
        <f t="array" ref="AS38" xml:space="preserve">
IFERROR(
IF(AS$1="",0,
IF(AND(
$AA38&gt;=VLOOKUP(AS$6, Table_ChiPhiNV_Ca[], COUNTA(Table_ChiPhiNV_Ca[[#Headers],[Ca]:[Bắt đầu nghỉ]]),0),
$AA38&lt;VLOOKUP(AS$6, Table_ChiPhiNV_Ca[], COUNTA(Table_ChiPhiNV_Ca[[#Headers],[Ca]:[Kết thúc nghỉ]]),0)
),0,
IF(NOT(ISBLANK(AS$3)),
IF(ISBLANK(AS$7),0,
IF(AS$4 &lt; AS$5,
IF($AA38-$Z$4&lt;AS$4,0,
IF($AA38&gt;AS$5,0,
SUM(_xlfn._xlws.FILTER(Table_BangLuong_TyLeTangCa[Tỷ lệ],
(Table_BangLuong_TyLeTangCa[Ngày] = AS$3) *
(Table_BangLuong_TyLeTangCa[Giờ min]&lt;=$AA38) *
(Table_BangLuong_TyLeTangCa[Giờ max]&gt;$AA38)
)))),
IF(AND($AA38-$Z$4 &gt;= AS$5,$AA38 &lt; AS$4),0,
SUM(_xlfn._xlws.FILTER(Table_BangLuong_TyLeTangCa[Tỷ lệ],
(Table_BangLuong_TyLeTangCa[Ngày] = AS$3) *
(Table_BangLuong_TyLeTangCa[Giờ min]&lt;=$AA38) *
(Table_BangLuong_TyLeTangCa[Giờ max]&gt;$AA38)
))))
),
IF(ISBLANK(AS$7),
IF(VLOOKUP(AS$6, Table_ChiPhiNV_Ca[], COUNTA(Table_ChiPhiNV_Ca[[#Headers],[Ca]:[Kết thúc]]),0)&gt; VLOOKUP(AS$6, Table_ChiPhiNV_Ca[], COUNTA(Table_ChiPhiNV_Ca[[#Headers],[Ca]:[Bắt đầu]]),0),
IF($AA38-$Z$4&lt;MAX(AS$4,VLOOKUP(AS$6, Table_ChiPhiNV_Ca[], COUNTA(Table_ChiPhiNV_Ca[[#Headers],[Ca]:[Bắt đầu]]),0)),0,
IF($AA38&gt;MIN(AS$5,VLOOKUP(AS$6, Table_ChiPhiNV_Ca[], COUNTA(Table_ChiPhiNV_Ca[[#Headers],[Ca]:[Kết thúc]]),0)),0,
SUM(_xlfn._xlws.FILTER(Table_BangLuong_TyLeTangCa[Tỷ lệ],
(Table_BangLuong_TyLeTangCa[Ngày] = "Thường") *
(Table_BangLuong_TyLeTangCa[Giờ min]&lt;=$AA38) *
(Table_BangLuong_TyLeTangCa[Giờ max]&gt;$AA38)
)))),
IF(AS$4 &gt; AS$5,
IF(
AND(
$AA38-$Z$4&lt;MAX(AS$4,VLOOKUP(AS$6, Table_ChiPhiNV_Ca[], COUNTA(Table_ChiPhiNV_Ca[[#Headers],[Ca]:[Bắt đầu]]),0)),
$AA38&gt;MIN(AS$5,VLOOKUP(AS$6, Table_ChiPhiNV_Ca[], COUNTA(Table_ChiPhiNV_Ca[[#Headers],[Ca]:[Kết thúc]]),0))),0,
SUM(_xlfn._xlws.FILTER(Table_BangLuong_TyLeTangCa[Tỷ lệ],
(Table_BangLuong_TyLeTangCa[Ngày] = "Thường") *
(Table_BangLuong_TyLeTangCa[Giờ min]&lt;=$AA38) *
(Table_BangLuong_TyLeTangCa[Giờ max]&gt;$AA38)
))),
IF(
AND(
$AA38-$Z$4&gt;=MAX(AS$4,VLOOKUP(AS$6, Table_ChiPhiNV_Ca[], COUNTA(Table_ChiPhiNV_Ca[[#Headers],[Ca]:[Bắt đầu]]),0)),
$AA38&lt;MIN(AS$5,VLOOKUP(AS$6, Table_ChiPhiNV_Ca[], COUNTA(Table_ChiPhiNV_Ca[[#Headers],[Ca]:[Kết thúc]]),0))),
SUM(_xlfn._xlws.FILTER(Table_BangLuong_TyLeTangCa[Tỷ lệ],
(Table_BangLuong_TyLeTangCa[Ngày] = "Thường") *
(Table_BangLuong_TyLeTangCa[Giờ min]&lt;=$AA38) *
(Table_BangLuong_TyLeTangCa[Giờ max]&gt;$AA38)
)),0)
)),
IF(AS$4 &lt; AS$5,
IF($AA38-$Z$4&lt;AS$4,0,
IF($AA38&gt;AS$5,0,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AS$5,$AA38 &lt; AS$4),0,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T38" s="18" cm="1">
        <f t="array" ref="AT38" xml:space="preserve">
IFERROR(
IF(AT$1="",0,
IF(AND(
$AA38&gt;=VLOOKUP(AT$6, Table_ChiPhiNV_Ca[], COUNTA(Table_ChiPhiNV_Ca[[#Headers],[Ca]:[Bắt đầu nghỉ]]),0),
$AA38&lt;VLOOKUP(AT$6, Table_ChiPhiNV_Ca[], COUNTA(Table_ChiPhiNV_Ca[[#Headers],[Ca]:[Kết thúc nghỉ]]),0)
),0,
IF(NOT(ISBLANK(AT$3)),
IF(ISBLANK(AT$7),0,
IF(AT$4 &lt; AT$5,
IF($AA38-$Z$4&lt;AT$4,0,
IF($AA38&gt;AT$5,0,
SUM(_xlfn._xlws.FILTER(Table_BangLuong_TyLeTangCa[Tỷ lệ],
(Table_BangLuong_TyLeTangCa[Ngày] = AT$3) *
(Table_BangLuong_TyLeTangCa[Giờ min]&lt;=$AA38) *
(Table_BangLuong_TyLeTangCa[Giờ max]&gt;$AA38)
)))),
IF(AND($AA38-$Z$4 &gt;= AT$5,$AA38 &lt; AT$4),0,
SUM(_xlfn._xlws.FILTER(Table_BangLuong_TyLeTangCa[Tỷ lệ],
(Table_BangLuong_TyLeTangCa[Ngày] = AT$3) *
(Table_BangLuong_TyLeTangCa[Giờ min]&lt;=$AA38) *
(Table_BangLuong_TyLeTangCa[Giờ max]&gt;$AA38)
))))
),
IF(ISBLANK(AT$7),
IF(VLOOKUP(AT$6, Table_ChiPhiNV_Ca[], COUNTA(Table_ChiPhiNV_Ca[[#Headers],[Ca]:[Kết thúc]]),0)&gt; VLOOKUP(AT$6, Table_ChiPhiNV_Ca[], COUNTA(Table_ChiPhiNV_Ca[[#Headers],[Ca]:[Bắt đầu]]),0),
IF($AA38-$Z$4&lt;MAX(AT$4,VLOOKUP(AT$6, Table_ChiPhiNV_Ca[], COUNTA(Table_ChiPhiNV_Ca[[#Headers],[Ca]:[Bắt đầu]]),0)),0,
IF($AA38&gt;MIN(AT$5,VLOOKUP(AT$6, Table_ChiPhiNV_Ca[], COUNTA(Table_ChiPhiNV_Ca[[#Headers],[Ca]:[Kết thúc]]),0)),0,
SUM(_xlfn._xlws.FILTER(Table_BangLuong_TyLeTangCa[Tỷ lệ],
(Table_BangLuong_TyLeTangCa[Ngày] = "Thường") *
(Table_BangLuong_TyLeTangCa[Giờ min]&lt;=$AA38) *
(Table_BangLuong_TyLeTangCa[Giờ max]&gt;$AA38)
)))),
IF(AT$4 &gt; AT$5,
IF(
AND(
$AA38-$Z$4&lt;MAX(AT$4,VLOOKUP(AT$6, Table_ChiPhiNV_Ca[], COUNTA(Table_ChiPhiNV_Ca[[#Headers],[Ca]:[Bắt đầu]]),0)),
$AA38&gt;MIN(AT$5,VLOOKUP(AT$6, Table_ChiPhiNV_Ca[], COUNTA(Table_ChiPhiNV_Ca[[#Headers],[Ca]:[Kết thúc]]),0))),0,
SUM(_xlfn._xlws.FILTER(Table_BangLuong_TyLeTangCa[Tỷ lệ],
(Table_BangLuong_TyLeTangCa[Ngày] = "Thường") *
(Table_BangLuong_TyLeTangCa[Giờ min]&lt;=$AA38) *
(Table_BangLuong_TyLeTangCa[Giờ max]&gt;$AA38)
))),
IF(
AND(
$AA38-$Z$4&gt;=MAX(AT$4,VLOOKUP(AT$6, Table_ChiPhiNV_Ca[], COUNTA(Table_ChiPhiNV_Ca[[#Headers],[Ca]:[Bắt đầu]]),0)),
$AA38&lt;MIN(AT$5,VLOOKUP(AT$6, Table_ChiPhiNV_Ca[], COUNTA(Table_ChiPhiNV_Ca[[#Headers],[Ca]:[Kết thúc]]),0))),
SUM(_xlfn._xlws.FILTER(Table_BangLuong_TyLeTangCa[Tỷ lệ],
(Table_BangLuong_TyLeTangCa[Ngày] = "Thường") *
(Table_BangLuong_TyLeTangCa[Giờ min]&lt;=$AA38) *
(Table_BangLuong_TyLeTangCa[Giờ max]&gt;$AA38)
)),0)
)),
IF(AT$4 &lt; AT$5,
IF($AA38-$Z$4&lt;AT$4,0,
IF($AA38&gt;AT$5,0,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AT$5,$AA38 &lt; AT$4),0,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U38" s="18" cm="1">
        <f t="array" ref="AU38" xml:space="preserve">
IFERROR(
IF(AU$1="",0,
IF(AND(
$AA38&gt;=VLOOKUP(AU$6, Table_ChiPhiNV_Ca[], COUNTA(Table_ChiPhiNV_Ca[[#Headers],[Ca]:[Bắt đầu nghỉ]]),0),
$AA38&lt;VLOOKUP(AU$6, Table_ChiPhiNV_Ca[], COUNTA(Table_ChiPhiNV_Ca[[#Headers],[Ca]:[Kết thúc nghỉ]]),0)
),0,
IF(NOT(ISBLANK(AU$3)),
IF(ISBLANK(AU$7),0,
IF(AU$4 &lt; AU$5,
IF($AA38-$Z$4&lt;AU$4,0,
IF($AA38&gt;AU$5,0,
SUM(_xlfn._xlws.FILTER(Table_BangLuong_TyLeTangCa[Tỷ lệ],
(Table_BangLuong_TyLeTangCa[Ngày] = AU$3) *
(Table_BangLuong_TyLeTangCa[Giờ min]&lt;=$AA38) *
(Table_BangLuong_TyLeTangCa[Giờ max]&gt;$AA38)
)))),
IF(AND($AA38-$Z$4 &gt;= AU$5,$AA38 &lt; AU$4),0,
SUM(_xlfn._xlws.FILTER(Table_BangLuong_TyLeTangCa[Tỷ lệ],
(Table_BangLuong_TyLeTangCa[Ngày] = AU$3) *
(Table_BangLuong_TyLeTangCa[Giờ min]&lt;=$AA38) *
(Table_BangLuong_TyLeTangCa[Giờ max]&gt;$AA38)
))))
),
IF(ISBLANK(AU$7),
IF(VLOOKUP(AU$6, Table_ChiPhiNV_Ca[], COUNTA(Table_ChiPhiNV_Ca[[#Headers],[Ca]:[Kết thúc]]),0)&gt; VLOOKUP(AU$6, Table_ChiPhiNV_Ca[], COUNTA(Table_ChiPhiNV_Ca[[#Headers],[Ca]:[Bắt đầu]]),0),
IF($AA38-$Z$4&lt;MAX(AU$4,VLOOKUP(AU$6, Table_ChiPhiNV_Ca[], COUNTA(Table_ChiPhiNV_Ca[[#Headers],[Ca]:[Bắt đầu]]),0)),0,
IF($AA38&gt;MIN(AU$5,VLOOKUP(AU$6, Table_ChiPhiNV_Ca[], COUNTA(Table_ChiPhiNV_Ca[[#Headers],[Ca]:[Kết thúc]]),0)),0,
SUM(_xlfn._xlws.FILTER(Table_BangLuong_TyLeTangCa[Tỷ lệ],
(Table_BangLuong_TyLeTangCa[Ngày] = "Thường") *
(Table_BangLuong_TyLeTangCa[Giờ min]&lt;=$AA38) *
(Table_BangLuong_TyLeTangCa[Giờ max]&gt;$AA38)
)))),
IF(AU$4 &gt; AU$5,
IF(
AND(
$AA38-$Z$4&lt;MAX(AU$4,VLOOKUP(AU$6, Table_ChiPhiNV_Ca[], COUNTA(Table_ChiPhiNV_Ca[[#Headers],[Ca]:[Bắt đầu]]),0)),
$AA38&gt;MIN(AU$5,VLOOKUP(AU$6, Table_ChiPhiNV_Ca[], COUNTA(Table_ChiPhiNV_Ca[[#Headers],[Ca]:[Kết thúc]]),0))),0,
SUM(_xlfn._xlws.FILTER(Table_BangLuong_TyLeTangCa[Tỷ lệ],
(Table_BangLuong_TyLeTangCa[Ngày] = "Thường") *
(Table_BangLuong_TyLeTangCa[Giờ min]&lt;=$AA38) *
(Table_BangLuong_TyLeTangCa[Giờ max]&gt;$AA38)
))),
IF(
AND(
$AA38-$Z$4&gt;=MAX(AU$4,VLOOKUP(AU$6, Table_ChiPhiNV_Ca[], COUNTA(Table_ChiPhiNV_Ca[[#Headers],[Ca]:[Bắt đầu]]),0)),
$AA38&lt;MIN(AU$5,VLOOKUP(AU$6, Table_ChiPhiNV_Ca[], COUNTA(Table_ChiPhiNV_Ca[[#Headers],[Ca]:[Kết thúc]]),0))),
SUM(_xlfn._xlws.FILTER(Table_BangLuong_TyLeTangCa[Tỷ lệ],
(Table_BangLuong_TyLeTangCa[Ngày] = "Thường") *
(Table_BangLuong_TyLeTangCa[Giờ min]&lt;=$AA38) *
(Table_BangLuong_TyLeTangCa[Giờ max]&gt;$AA38)
)),0)
)),
IF(AU$4 &lt; AU$5,
IF($AA38-$Z$4&lt;AU$4,0,
IF($AA38&gt;AU$5,0,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AU$5,$AA38 &lt; AU$4),0,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V38" s="18" cm="1">
        <f t="array" ref="AV38" xml:space="preserve">
IFERROR(
IF(AV$1="",0,
IF(AND(
$AA38&gt;=VLOOKUP(AV$6, Table_ChiPhiNV_Ca[], COUNTA(Table_ChiPhiNV_Ca[[#Headers],[Ca]:[Bắt đầu nghỉ]]),0),
$AA38&lt;VLOOKUP(AV$6, Table_ChiPhiNV_Ca[], COUNTA(Table_ChiPhiNV_Ca[[#Headers],[Ca]:[Kết thúc nghỉ]]),0)
),0,
IF(NOT(ISBLANK(AV$3)),
IF(ISBLANK(AV$7),0,
IF(AV$4 &lt; AV$5,
IF($AA38-$Z$4&lt;AV$4,0,
IF($AA38&gt;AV$5,0,
SUM(_xlfn._xlws.FILTER(Table_BangLuong_TyLeTangCa[Tỷ lệ],
(Table_BangLuong_TyLeTangCa[Ngày] = AV$3) *
(Table_BangLuong_TyLeTangCa[Giờ min]&lt;=$AA38) *
(Table_BangLuong_TyLeTangCa[Giờ max]&gt;$AA38)
)))),
IF(AND($AA38-$Z$4 &gt;= AV$5,$AA38 &lt; AV$4),0,
SUM(_xlfn._xlws.FILTER(Table_BangLuong_TyLeTangCa[Tỷ lệ],
(Table_BangLuong_TyLeTangCa[Ngày] = AV$3) *
(Table_BangLuong_TyLeTangCa[Giờ min]&lt;=$AA38) *
(Table_BangLuong_TyLeTangCa[Giờ max]&gt;$AA38)
))))
),
IF(ISBLANK(AV$7),
IF(VLOOKUP(AV$6, Table_ChiPhiNV_Ca[], COUNTA(Table_ChiPhiNV_Ca[[#Headers],[Ca]:[Kết thúc]]),0)&gt; VLOOKUP(AV$6, Table_ChiPhiNV_Ca[], COUNTA(Table_ChiPhiNV_Ca[[#Headers],[Ca]:[Bắt đầu]]),0),
IF($AA38-$Z$4&lt;MAX(AV$4,VLOOKUP(AV$6, Table_ChiPhiNV_Ca[], COUNTA(Table_ChiPhiNV_Ca[[#Headers],[Ca]:[Bắt đầu]]),0)),0,
IF($AA38&gt;MIN(AV$5,VLOOKUP(AV$6, Table_ChiPhiNV_Ca[], COUNTA(Table_ChiPhiNV_Ca[[#Headers],[Ca]:[Kết thúc]]),0)),0,
SUM(_xlfn._xlws.FILTER(Table_BangLuong_TyLeTangCa[Tỷ lệ],
(Table_BangLuong_TyLeTangCa[Ngày] = "Thường") *
(Table_BangLuong_TyLeTangCa[Giờ min]&lt;=$AA38) *
(Table_BangLuong_TyLeTangCa[Giờ max]&gt;$AA38)
)))),
IF(AV$4 &gt; AV$5,
IF(
AND(
$AA38-$Z$4&lt;MAX(AV$4,VLOOKUP(AV$6, Table_ChiPhiNV_Ca[], COUNTA(Table_ChiPhiNV_Ca[[#Headers],[Ca]:[Bắt đầu]]),0)),
$AA38&gt;MIN(AV$5,VLOOKUP(AV$6, Table_ChiPhiNV_Ca[], COUNTA(Table_ChiPhiNV_Ca[[#Headers],[Ca]:[Kết thúc]]),0))),0,
SUM(_xlfn._xlws.FILTER(Table_BangLuong_TyLeTangCa[Tỷ lệ],
(Table_BangLuong_TyLeTangCa[Ngày] = "Thường") *
(Table_BangLuong_TyLeTangCa[Giờ min]&lt;=$AA38) *
(Table_BangLuong_TyLeTangCa[Giờ max]&gt;$AA38)
))),
IF(
AND(
$AA38-$Z$4&gt;=MAX(AV$4,VLOOKUP(AV$6, Table_ChiPhiNV_Ca[], COUNTA(Table_ChiPhiNV_Ca[[#Headers],[Ca]:[Bắt đầu]]),0)),
$AA38&lt;MIN(AV$5,VLOOKUP(AV$6, Table_ChiPhiNV_Ca[], COUNTA(Table_ChiPhiNV_Ca[[#Headers],[Ca]:[Kết thúc]]),0))),
SUM(_xlfn._xlws.FILTER(Table_BangLuong_TyLeTangCa[Tỷ lệ],
(Table_BangLuong_TyLeTangCa[Ngày] = "Thường") *
(Table_BangLuong_TyLeTangCa[Giờ min]&lt;=$AA38) *
(Table_BangLuong_TyLeTangCa[Giờ max]&gt;$AA38)
)),0)
)),
IF(AV$4 &lt; AV$5,
IF($AA38-$Z$4&lt;AV$4,0,
IF($AA38&gt;AV$5,0,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AV$5,$AA38 &lt; AV$4),0,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W38" s="18" cm="1">
        <f t="array" ref="AW38" xml:space="preserve">
IFERROR(
IF(AW$1="",0,
IF(AND(
$AA38&gt;=VLOOKUP(AW$6, Table_ChiPhiNV_Ca[], COUNTA(Table_ChiPhiNV_Ca[[#Headers],[Ca]:[Bắt đầu nghỉ]]),0),
$AA38&lt;VLOOKUP(AW$6, Table_ChiPhiNV_Ca[], COUNTA(Table_ChiPhiNV_Ca[[#Headers],[Ca]:[Kết thúc nghỉ]]),0)
),0,
IF(NOT(ISBLANK(AW$3)),
IF(ISBLANK(AW$7),0,
IF(AW$4 &lt; AW$5,
IF($AA38-$Z$4&lt;AW$4,0,
IF($AA38&gt;AW$5,0,
SUM(_xlfn._xlws.FILTER(Table_BangLuong_TyLeTangCa[Tỷ lệ],
(Table_BangLuong_TyLeTangCa[Ngày] = AW$3) *
(Table_BangLuong_TyLeTangCa[Giờ min]&lt;=$AA38) *
(Table_BangLuong_TyLeTangCa[Giờ max]&gt;$AA38)
)))),
IF(AND($AA38-$Z$4 &gt;= AW$5,$AA38 &lt; AW$4),0,
SUM(_xlfn._xlws.FILTER(Table_BangLuong_TyLeTangCa[Tỷ lệ],
(Table_BangLuong_TyLeTangCa[Ngày] = AW$3) *
(Table_BangLuong_TyLeTangCa[Giờ min]&lt;=$AA38) *
(Table_BangLuong_TyLeTangCa[Giờ max]&gt;$AA38)
))))
),
IF(ISBLANK(AW$7),
IF(VLOOKUP(AW$6, Table_ChiPhiNV_Ca[], COUNTA(Table_ChiPhiNV_Ca[[#Headers],[Ca]:[Kết thúc]]),0)&gt; VLOOKUP(AW$6, Table_ChiPhiNV_Ca[], COUNTA(Table_ChiPhiNV_Ca[[#Headers],[Ca]:[Bắt đầu]]),0),
IF($AA38-$Z$4&lt;MAX(AW$4,VLOOKUP(AW$6, Table_ChiPhiNV_Ca[], COUNTA(Table_ChiPhiNV_Ca[[#Headers],[Ca]:[Bắt đầu]]),0)),0,
IF($AA38&gt;MIN(AW$5,VLOOKUP(AW$6, Table_ChiPhiNV_Ca[], COUNTA(Table_ChiPhiNV_Ca[[#Headers],[Ca]:[Kết thúc]]),0)),0,
SUM(_xlfn._xlws.FILTER(Table_BangLuong_TyLeTangCa[Tỷ lệ],
(Table_BangLuong_TyLeTangCa[Ngày] = "Thường") *
(Table_BangLuong_TyLeTangCa[Giờ min]&lt;=$AA38) *
(Table_BangLuong_TyLeTangCa[Giờ max]&gt;$AA38)
)))),
IF(AW$4 &gt; AW$5,
IF(
AND(
$AA38-$Z$4&lt;MAX(AW$4,VLOOKUP(AW$6, Table_ChiPhiNV_Ca[], COUNTA(Table_ChiPhiNV_Ca[[#Headers],[Ca]:[Bắt đầu]]),0)),
$AA38&gt;MIN(AW$5,VLOOKUP(AW$6, Table_ChiPhiNV_Ca[], COUNTA(Table_ChiPhiNV_Ca[[#Headers],[Ca]:[Kết thúc]]),0))),0,
SUM(_xlfn._xlws.FILTER(Table_BangLuong_TyLeTangCa[Tỷ lệ],
(Table_BangLuong_TyLeTangCa[Ngày] = "Thường") *
(Table_BangLuong_TyLeTangCa[Giờ min]&lt;=$AA38) *
(Table_BangLuong_TyLeTangCa[Giờ max]&gt;$AA38)
))),
IF(
AND(
$AA38-$Z$4&gt;=MAX(AW$4,VLOOKUP(AW$6, Table_ChiPhiNV_Ca[], COUNTA(Table_ChiPhiNV_Ca[[#Headers],[Ca]:[Bắt đầu]]),0)),
$AA38&lt;MIN(AW$5,VLOOKUP(AW$6, Table_ChiPhiNV_Ca[], COUNTA(Table_ChiPhiNV_Ca[[#Headers],[Ca]:[Kết thúc]]),0))),
SUM(_xlfn._xlws.FILTER(Table_BangLuong_TyLeTangCa[Tỷ lệ],
(Table_BangLuong_TyLeTangCa[Ngày] = "Thường") *
(Table_BangLuong_TyLeTangCa[Giờ min]&lt;=$AA38) *
(Table_BangLuong_TyLeTangCa[Giờ max]&gt;$AA38)
)),0)
)),
IF(AW$4 &lt; AW$5,
IF($AA38-$Z$4&lt;AW$4,0,
IF($AA38&gt;AW$5,0,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AW$5,$AA38 &lt; AW$4),0,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X38" s="18" cm="1">
        <f t="array" ref="AX38" xml:space="preserve">
IFERROR(
IF(AX$1="",0,
IF(AND(
$AA38&gt;=VLOOKUP(AX$6, Table_ChiPhiNV_Ca[], COUNTA(Table_ChiPhiNV_Ca[[#Headers],[Ca]:[Bắt đầu nghỉ]]),0),
$AA38&lt;VLOOKUP(AX$6, Table_ChiPhiNV_Ca[], COUNTA(Table_ChiPhiNV_Ca[[#Headers],[Ca]:[Kết thúc nghỉ]]),0)
),0,
IF(NOT(ISBLANK(AX$3)),
IF(ISBLANK(AX$7),0,
IF(AX$4 &lt; AX$5,
IF($AA38-$Z$4&lt;AX$4,0,
IF($AA38&gt;AX$5,0,
SUM(_xlfn._xlws.FILTER(Table_BangLuong_TyLeTangCa[Tỷ lệ],
(Table_BangLuong_TyLeTangCa[Ngày] = AX$3) *
(Table_BangLuong_TyLeTangCa[Giờ min]&lt;=$AA38) *
(Table_BangLuong_TyLeTangCa[Giờ max]&gt;$AA38)
)))),
IF(AND($AA38-$Z$4 &gt;= AX$5,$AA38 &lt; AX$4),0,
SUM(_xlfn._xlws.FILTER(Table_BangLuong_TyLeTangCa[Tỷ lệ],
(Table_BangLuong_TyLeTangCa[Ngày] = AX$3) *
(Table_BangLuong_TyLeTangCa[Giờ min]&lt;=$AA38) *
(Table_BangLuong_TyLeTangCa[Giờ max]&gt;$AA38)
))))
),
IF(ISBLANK(AX$7),
IF(VLOOKUP(AX$6, Table_ChiPhiNV_Ca[], COUNTA(Table_ChiPhiNV_Ca[[#Headers],[Ca]:[Kết thúc]]),0)&gt; VLOOKUP(AX$6, Table_ChiPhiNV_Ca[], COUNTA(Table_ChiPhiNV_Ca[[#Headers],[Ca]:[Bắt đầu]]),0),
IF($AA38-$Z$4&lt;MAX(AX$4,VLOOKUP(AX$6, Table_ChiPhiNV_Ca[], COUNTA(Table_ChiPhiNV_Ca[[#Headers],[Ca]:[Bắt đầu]]),0)),0,
IF($AA38&gt;MIN(AX$5,VLOOKUP(AX$6, Table_ChiPhiNV_Ca[], COUNTA(Table_ChiPhiNV_Ca[[#Headers],[Ca]:[Kết thúc]]),0)),0,
SUM(_xlfn._xlws.FILTER(Table_BangLuong_TyLeTangCa[Tỷ lệ],
(Table_BangLuong_TyLeTangCa[Ngày] = "Thường") *
(Table_BangLuong_TyLeTangCa[Giờ min]&lt;=$AA38) *
(Table_BangLuong_TyLeTangCa[Giờ max]&gt;$AA38)
)))),
IF(AX$4 &gt; AX$5,
IF(
AND(
$AA38-$Z$4&lt;MAX(AX$4,VLOOKUP(AX$6, Table_ChiPhiNV_Ca[], COUNTA(Table_ChiPhiNV_Ca[[#Headers],[Ca]:[Bắt đầu]]),0)),
$AA38&gt;MIN(AX$5,VLOOKUP(AX$6, Table_ChiPhiNV_Ca[], COUNTA(Table_ChiPhiNV_Ca[[#Headers],[Ca]:[Kết thúc]]),0))),0,
SUM(_xlfn._xlws.FILTER(Table_BangLuong_TyLeTangCa[Tỷ lệ],
(Table_BangLuong_TyLeTangCa[Ngày] = "Thường") *
(Table_BangLuong_TyLeTangCa[Giờ min]&lt;=$AA38) *
(Table_BangLuong_TyLeTangCa[Giờ max]&gt;$AA38)
))),
IF(
AND(
$AA38-$Z$4&gt;=MAX(AX$4,VLOOKUP(AX$6, Table_ChiPhiNV_Ca[], COUNTA(Table_ChiPhiNV_Ca[[#Headers],[Ca]:[Bắt đầu]]),0)),
$AA38&lt;MIN(AX$5,VLOOKUP(AX$6, Table_ChiPhiNV_Ca[], COUNTA(Table_ChiPhiNV_Ca[[#Headers],[Ca]:[Kết thúc]]),0))),
SUM(_xlfn._xlws.FILTER(Table_BangLuong_TyLeTangCa[Tỷ lệ],
(Table_BangLuong_TyLeTangCa[Ngày] = "Thường") *
(Table_BangLuong_TyLeTangCa[Giờ min]&lt;=$AA38) *
(Table_BangLuong_TyLeTangCa[Giờ max]&gt;$AA38)
)),0)
)),
IF(AX$4 &lt; AX$5,
IF($AA38-$Z$4&lt;AX$4,0,
IF($AA38&gt;AX$5,0,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AX$5,$AA38 &lt; AX$4),0,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Y38" s="18" cm="1">
        <f t="array" ref="AY38" xml:space="preserve">
IFERROR(
IF(AY$1="",0,
IF(AND(
$AA38&gt;=VLOOKUP(AY$6, Table_ChiPhiNV_Ca[], COUNTA(Table_ChiPhiNV_Ca[[#Headers],[Ca]:[Bắt đầu nghỉ]]),0),
$AA38&lt;VLOOKUP(AY$6, Table_ChiPhiNV_Ca[], COUNTA(Table_ChiPhiNV_Ca[[#Headers],[Ca]:[Kết thúc nghỉ]]),0)
),0,
IF(NOT(ISBLANK(AY$3)),
IF(ISBLANK(AY$7),0,
IF(AY$4 &lt; AY$5,
IF($AA38-$Z$4&lt;AY$4,0,
IF($AA38&gt;AY$5,0,
SUM(_xlfn._xlws.FILTER(Table_BangLuong_TyLeTangCa[Tỷ lệ],
(Table_BangLuong_TyLeTangCa[Ngày] = AY$3) *
(Table_BangLuong_TyLeTangCa[Giờ min]&lt;=$AA38) *
(Table_BangLuong_TyLeTangCa[Giờ max]&gt;$AA38)
)))),
IF(AND($AA38-$Z$4 &gt;= AY$5,$AA38 &lt; AY$4),0,
SUM(_xlfn._xlws.FILTER(Table_BangLuong_TyLeTangCa[Tỷ lệ],
(Table_BangLuong_TyLeTangCa[Ngày] = AY$3) *
(Table_BangLuong_TyLeTangCa[Giờ min]&lt;=$AA38) *
(Table_BangLuong_TyLeTangCa[Giờ max]&gt;$AA38)
))))
),
IF(ISBLANK(AY$7),
IF(VLOOKUP(AY$6, Table_ChiPhiNV_Ca[], COUNTA(Table_ChiPhiNV_Ca[[#Headers],[Ca]:[Kết thúc]]),0)&gt; VLOOKUP(AY$6, Table_ChiPhiNV_Ca[], COUNTA(Table_ChiPhiNV_Ca[[#Headers],[Ca]:[Bắt đầu]]),0),
IF($AA38-$Z$4&lt;MAX(AY$4,VLOOKUP(AY$6, Table_ChiPhiNV_Ca[], COUNTA(Table_ChiPhiNV_Ca[[#Headers],[Ca]:[Bắt đầu]]),0)),0,
IF($AA38&gt;MIN(AY$5,VLOOKUP(AY$6, Table_ChiPhiNV_Ca[], COUNTA(Table_ChiPhiNV_Ca[[#Headers],[Ca]:[Kết thúc]]),0)),0,
SUM(_xlfn._xlws.FILTER(Table_BangLuong_TyLeTangCa[Tỷ lệ],
(Table_BangLuong_TyLeTangCa[Ngày] = "Thường") *
(Table_BangLuong_TyLeTangCa[Giờ min]&lt;=$AA38) *
(Table_BangLuong_TyLeTangCa[Giờ max]&gt;$AA38)
)))),
IF(AY$4 &gt; AY$5,
IF(
AND(
$AA38-$Z$4&lt;MAX(AY$4,VLOOKUP(AY$6, Table_ChiPhiNV_Ca[], COUNTA(Table_ChiPhiNV_Ca[[#Headers],[Ca]:[Bắt đầu]]),0)),
$AA38&gt;MIN(AY$5,VLOOKUP(AY$6, Table_ChiPhiNV_Ca[], COUNTA(Table_ChiPhiNV_Ca[[#Headers],[Ca]:[Kết thúc]]),0))),0,
SUM(_xlfn._xlws.FILTER(Table_BangLuong_TyLeTangCa[Tỷ lệ],
(Table_BangLuong_TyLeTangCa[Ngày] = "Thường") *
(Table_BangLuong_TyLeTangCa[Giờ min]&lt;=$AA38) *
(Table_BangLuong_TyLeTangCa[Giờ max]&gt;$AA38)
))),
IF(
AND(
$AA38-$Z$4&gt;=MAX(AY$4,VLOOKUP(AY$6, Table_ChiPhiNV_Ca[], COUNTA(Table_ChiPhiNV_Ca[[#Headers],[Ca]:[Bắt đầu]]),0)),
$AA38&lt;MIN(AY$5,VLOOKUP(AY$6, Table_ChiPhiNV_Ca[], COUNTA(Table_ChiPhiNV_Ca[[#Headers],[Ca]:[Kết thúc]]),0))),
SUM(_xlfn._xlws.FILTER(Table_BangLuong_TyLeTangCa[Tỷ lệ],
(Table_BangLuong_TyLeTangCa[Ngày] = "Thường") *
(Table_BangLuong_TyLeTangCa[Giờ min]&lt;=$AA38) *
(Table_BangLuong_TyLeTangCa[Giờ max]&gt;$AA38)
)),0)
)),
IF(AY$4 &lt; AY$5,
IF($AA38-$Z$4&lt;AY$4,0,
IF($AA38&gt;AY$5,0,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AY$5,$AA38 &lt; AY$4),0,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Z38" s="18" cm="1">
        <f t="array" ref="AZ38" xml:space="preserve">
IFERROR(
IF(AZ$1="",0,
IF(AND(
$AA38&gt;=VLOOKUP(AZ$6, Table_ChiPhiNV_Ca[], COUNTA(Table_ChiPhiNV_Ca[[#Headers],[Ca]:[Bắt đầu nghỉ]]),0),
$AA38&lt;VLOOKUP(AZ$6, Table_ChiPhiNV_Ca[], COUNTA(Table_ChiPhiNV_Ca[[#Headers],[Ca]:[Kết thúc nghỉ]]),0)
),0,
IF(NOT(ISBLANK(AZ$3)),
IF(ISBLANK(AZ$7),0,
IF(AZ$4 &lt; AZ$5,
IF($AA38-$Z$4&lt;AZ$4,0,
IF($AA38&gt;AZ$5,0,
SUM(_xlfn._xlws.FILTER(Table_BangLuong_TyLeTangCa[Tỷ lệ],
(Table_BangLuong_TyLeTangCa[Ngày] = AZ$3) *
(Table_BangLuong_TyLeTangCa[Giờ min]&lt;=$AA38) *
(Table_BangLuong_TyLeTangCa[Giờ max]&gt;$AA38)
)))),
IF(AND($AA38-$Z$4 &gt;= AZ$5,$AA38 &lt; AZ$4),0,
SUM(_xlfn._xlws.FILTER(Table_BangLuong_TyLeTangCa[Tỷ lệ],
(Table_BangLuong_TyLeTangCa[Ngày] = AZ$3) *
(Table_BangLuong_TyLeTangCa[Giờ min]&lt;=$AA38) *
(Table_BangLuong_TyLeTangCa[Giờ max]&gt;$AA38)
))))
),
IF(ISBLANK(AZ$7),
IF(VLOOKUP(AZ$6, Table_ChiPhiNV_Ca[], COUNTA(Table_ChiPhiNV_Ca[[#Headers],[Ca]:[Kết thúc]]),0)&gt; VLOOKUP(AZ$6, Table_ChiPhiNV_Ca[], COUNTA(Table_ChiPhiNV_Ca[[#Headers],[Ca]:[Bắt đầu]]),0),
IF($AA38-$Z$4&lt;MAX(AZ$4,VLOOKUP(AZ$6, Table_ChiPhiNV_Ca[], COUNTA(Table_ChiPhiNV_Ca[[#Headers],[Ca]:[Bắt đầu]]),0)),0,
IF($AA38&gt;MIN(AZ$5,VLOOKUP(AZ$6, Table_ChiPhiNV_Ca[], COUNTA(Table_ChiPhiNV_Ca[[#Headers],[Ca]:[Kết thúc]]),0)),0,
SUM(_xlfn._xlws.FILTER(Table_BangLuong_TyLeTangCa[Tỷ lệ],
(Table_BangLuong_TyLeTangCa[Ngày] = "Thường") *
(Table_BangLuong_TyLeTangCa[Giờ min]&lt;=$AA38) *
(Table_BangLuong_TyLeTangCa[Giờ max]&gt;$AA38)
)))),
IF(AZ$4 &gt; AZ$5,
IF(
AND(
$AA38-$Z$4&lt;MAX(AZ$4,VLOOKUP(AZ$6, Table_ChiPhiNV_Ca[], COUNTA(Table_ChiPhiNV_Ca[[#Headers],[Ca]:[Bắt đầu]]),0)),
$AA38&gt;MIN(AZ$5,VLOOKUP(AZ$6, Table_ChiPhiNV_Ca[], COUNTA(Table_ChiPhiNV_Ca[[#Headers],[Ca]:[Kết thúc]]),0))),0,
SUM(_xlfn._xlws.FILTER(Table_BangLuong_TyLeTangCa[Tỷ lệ],
(Table_BangLuong_TyLeTangCa[Ngày] = "Thường") *
(Table_BangLuong_TyLeTangCa[Giờ min]&lt;=$AA38) *
(Table_BangLuong_TyLeTangCa[Giờ max]&gt;$AA38)
))),
IF(
AND(
$AA38-$Z$4&gt;=MAX(AZ$4,VLOOKUP(AZ$6, Table_ChiPhiNV_Ca[], COUNTA(Table_ChiPhiNV_Ca[[#Headers],[Ca]:[Bắt đầu]]),0)),
$AA38&lt;MIN(AZ$5,VLOOKUP(AZ$6, Table_ChiPhiNV_Ca[], COUNTA(Table_ChiPhiNV_Ca[[#Headers],[Ca]:[Kết thúc]]),0))),
SUM(_xlfn._xlws.FILTER(Table_BangLuong_TyLeTangCa[Tỷ lệ],
(Table_BangLuong_TyLeTangCa[Ngày] = "Thường") *
(Table_BangLuong_TyLeTangCa[Giờ min]&lt;=$AA38) *
(Table_BangLuong_TyLeTangCa[Giờ max]&gt;$AA38)
)),0)
)),
IF(AZ$4 &lt; AZ$5,
IF($AA38-$Z$4&lt;AZ$4,0,
IF($AA38&gt;AZ$5,0,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AZ$5,$AA38 &lt; AZ$4),0,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A38" s="18" cm="1">
        <f t="array" ref="BA38" xml:space="preserve">
IFERROR(
IF(BA$1="",0,
IF(AND(
$AA38&gt;=VLOOKUP(BA$6, Table_ChiPhiNV_Ca[], COUNTA(Table_ChiPhiNV_Ca[[#Headers],[Ca]:[Bắt đầu nghỉ]]),0),
$AA38&lt;VLOOKUP(BA$6, Table_ChiPhiNV_Ca[], COUNTA(Table_ChiPhiNV_Ca[[#Headers],[Ca]:[Kết thúc nghỉ]]),0)
),0,
IF(NOT(ISBLANK(BA$3)),
IF(ISBLANK(BA$7),0,
IF(BA$4 &lt; BA$5,
IF($AA38-$Z$4&lt;BA$4,0,
IF($AA38&gt;BA$5,0,
SUM(_xlfn._xlws.FILTER(Table_BangLuong_TyLeTangCa[Tỷ lệ],
(Table_BangLuong_TyLeTangCa[Ngày] = BA$3) *
(Table_BangLuong_TyLeTangCa[Giờ min]&lt;=$AA38) *
(Table_BangLuong_TyLeTangCa[Giờ max]&gt;$AA38)
)))),
IF(AND($AA38-$Z$4 &gt;= BA$5,$AA38 &lt; BA$4),0,
SUM(_xlfn._xlws.FILTER(Table_BangLuong_TyLeTangCa[Tỷ lệ],
(Table_BangLuong_TyLeTangCa[Ngày] = BA$3) *
(Table_BangLuong_TyLeTangCa[Giờ min]&lt;=$AA38) *
(Table_BangLuong_TyLeTangCa[Giờ max]&gt;$AA38)
))))
),
IF(ISBLANK(BA$7),
IF(VLOOKUP(BA$6, Table_ChiPhiNV_Ca[], COUNTA(Table_ChiPhiNV_Ca[[#Headers],[Ca]:[Kết thúc]]),0)&gt; VLOOKUP(BA$6, Table_ChiPhiNV_Ca[], COUNTA(Table_ChiPhiNV_Ca[[#Headers],[Ca]:[Bắt đầu]]),0),
IF($AA38-$Z$4&lt;MAX(BA$4,VLOOKUP(BA$6, Table_ChiPhiNV_Ca[], COUNTA(Table_ChiPhiNV_Ca[[#Headers],[Ca]:[Bắt đầu]]),0)),0,
IF($AA38&gt;MIN(BA$5,VLOOKUP(BA$6, Table_ChiPhiNV_Ca[], COUNTA(Table_ChiPhiNV_Ca[[#Headers],[Ca]:[Kết thúc]]),0)),0,
SUM(_xlfn._xlws.FILTER(Table_BangLuong_TyLeTangCa[Tỷ lệ],
(Table_BangLuong_TyLeTangCa[Ngày] = "Thường") *
(Table_BangLuong_TyLeTangCa[Giờ min]&lt;=$AA38) *
(Table_BangLuong_TyLeTangCa[Giờ max]&gt;$AA38)
)))),
IF(BA$4 &gt; BA$5,
IF(
AND(
$AA38-$Z$4&lt;MAX(BA$4,VLOOKUP(BA$6, Table_ChiPhiNV_Ca[], COUNTA(Table_ChiPhiNV_Ca[[#Headers],[Ca]:[Bắt đầu]]),0)),
$AA38&gt;MIN(BA$5,VLOOKUP(BA$6, Table_ChiPhiNV_Ca[], COUNTA(Table_ChiPhiNV_Ca[[#Headers],[Ca]:[Kết thúc]]),0))),0,
SUM(_xlfn._xlws.FILTER(Table_BangLuong_TyLeTangCa[Tỷ lệ],
(Table_BangLuong_TyLeTangCa[Ngày] = "Thường") *
(Table_BangLuong_TyLeTangCa[Giờ min]&lt;=$AA38) *
(Table_BangLuong_TyLeTangCa[Giờ max]&gt;$AA38)
))),
IF(
AND(
$AA38-$Z$4&gt;=MAX(BA$4,VLOOKUP(BA$6, Table_ChiPhiNV_Ca[], COUNTA(Table_ChiPhiNV_Ca[[#Headers],[Ca]:[Bắt đầu]]),0)),
$AA38&lt;MIN(BA$5,VLOOKUP(BA$6, Table_ChiPhiNV_Ca[], COUNTA(Table_ChiPhiNV_Ca[[#Headers],[Ca]:[Kết thúc]]),0))),
SUM(_xlfn._xlws.FILTER(Table_BangLuong_TyLeTangCa[Tỷ lệ],
(Table_BangLuong_TyLeTangCa[Ngày] = "Thường") *
(Table_BangLuong_TyLeTangCa[Giờ min]&lt;=$AA38) *
(Table_BangLuong_TyLeTangCa[Giờ max]&gt;$AA38)
)),0)
)),
IF(BA$4 &lt; BA$5,
IF($AA38-$Z$4&lt;BA$4,0,
IF($AA38&gt;BA$5,0,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BA$5,$AA38 &lt; BA$4),0,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B38" s="18" cm="1">
        <f t="array" ref="BB38" xml:space="preserve">
IFERROR(
IF(BB$1="",0,
IF(AND(
$AA38&gt;=VLOOKUP(BB$6, Table_ChiPhiNV_Ca[], COUNTA(Table_ChiPhiNV_Ca[[#Headers],[Ca]:[Bắt đầu nghỉ]]),0),
$AA38&lt;VLOOKUP(BB$6, Table_ChiPhiNV_Ca[], COUNTA(Table_ChiPhiNV_Ca[[#Headers],[Ca]:[Kết thúc nghỉ]]),0)
),0,
IF(NOT(ISBLANK(BB$3)),
IF(ISBLANK(BB$7),0,
IF(BB$4 &lt; BB$5,
IF($AA38-$Z$4&lt;BB$4,0,
IF($AA38&gt;BB$5,0,
SUM(_xlfn._xlws.FILTER(Table_BangLuong_TyLeTangCa[Tỷ lệ],
(Table_BangLuong_TyLeTangCa[Ngày] = BB$3) *
(Table_BangLuong_TyLeTangCa[Giờ min]&lt;=$AA38) *
(Table_BangLuong_TyLeTangCa[Giờ max]&gt;$AA38)
)))),
IF(AND($AA38-$Z$4 &gt;= BB$5,$AA38 &lt; BB$4),0,
SUM(_xlfn._xlws.FILTER(Table_BangLuong_TyLeTangCa[Tỷ lệ],
(Table_BangLuong_TyLeTangCa[Ngày] = BB$3) *
(Table_BangLuong_TyLeTangCa[Giờ min]&lt;=$AA38) *
(Table_BangLuong_TyLeTangCa[Giờ max]&gt;$AA38)
))))
),
IF(ISBLANK(BB$7),
IF(VLOOKUP(BB$6, Table_ChiPhiNV_Ca[], COUNTA(Table_ChiPhiNV_Ca[[#Headers],[Ca]:[Kết thúc]]),0)&gt; VLOOKUP(BB$6, Table_ChiPhiNV_Ca[], COUNTA(Table_ChiPhiNV_Ca[[#Headers],[Ca]:[Bắt đầu]]),0),
IF($AA38-$Z$4&lt;MAX(BB$4,VLOOKUP(BB$6, Table_ChiPhiNV_Ca[], COUNTA(Table_ChiPhiNV_Ca[[#Headers],[Ca]:[Bắt đầu]]),0)),0,
IF($AA38&gt;MIN(BB$5,VLOOKUP(BB$6, Table_ChiPhiNV_Ca[], COUNTA(Table_ChiPhiNV_Ca[[#Headers],[Ca]:[Kết thúc]]),0)),0,
SUM(_xlfn._xlws.FILTER(Table_BangLuong_TyLeTangCa[Tỷ lệ],
(Table_BangLuong_TyLeTangCa[Ngày] = "Thường") *
(Table_BangLuong_TyLeTangCa[Giờ min]&lt;=$AA38) *
(Table_BangLuong_TyLeTangCa[Giờ max]&gt;$AA38)
)))),
IF(BB$4 &gt; BB$5,
IF(
AND(
$AA38-$Z$4&lt;MAX(BB$4,VLOOKUP(BB$6, Table_ChiPhiNV_Ca[], COUNTA(Table_ChiPhiNV_Ca[[#Headers],[Ca]:[Bắt đầu]]),0)),
$AA38&gt;MIN(BB$5,VLOOKUP(BB$6, Table_ChiPhiNV_Ca[], COUNTA(Table_ChiPhiNV_Ca[[#Headers],[Ca]:[Kết thúc]]),0))),0,
SUM(_xlfn._xlws.FILTER(Table_BangLuong_TyLeTangCa[Tỷ lệ],
(Table_BangLuong_TyLeTangCa[Ngày] = "Thường") *
(Table_BangLuong_TyLeTangCa[Giờ min]&lt;=$AA38) *
(Table_BangLuong_TyLeTangCa[Giờ max]&gt;$AA38)
))),
IF(
AND(
$AA38-$Z$4&gt;=MAX(BB$4,VLOOKUP(BB$6, Table_ChiPhiNV_Ca[], COUNTA(Table_ChiPhiNV_Ca[[#Headers],[Ca]:[Bắt đầu]]),0)),
$AA38&lt;MIN(BB$5,VLOOKUP(BB$6, Table_ChiPhiNV_Ca[], COUNTA(Table_ChiPhiNV_Ca[[#Headers],[Ca]:[Kết thúc]]),0))),
SUM(_xlfn._xlws.FILTER(Table_BangLuong_TyLeTangCa[Tỷ lệ],
(Table_BangLuong_TyLeTangCa[Ngày] = "Thường") *
(Table_BangLuong_TyLeTangCa[Giờ min]&lt;=$AA38) *
(Table_BangLuong_TyLeTangCa[Giờ max]&gt;$AA38)
)),0)
)),
IF(BB$4 &lt; BB$5,
IF($AA38-$Z$4&lt;BB$4,0,
IF($AA38&gt;BB$5,0,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BB$5,$AA38 &lt; BB$4),0,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C38" s="18" cm="1">
        <f t="array" ref="BC38" xml:space="preserve">
IFERROR(
IF(BC$1="",0,
IF(AND(
$AA38&gt;=VLOOKUP(BC$6, Table_ChiPhiNV_Ca[], COUNTA(Table_ChiPhiNV_Ca[[#Headers],[Ca]:[Bắt đầu nghỉ]]),0),
$AA38&lt;VLOOKUP(BC$6, Table_ChiPhiNV_Ca[], COUNTA(Table_ChiPhiNV_Ca[[#Headers],[Ca]:[Kết thúc nghỉ]]),0)
),0,
IF(NOT(ISBLANK(BC$3)),
IF(ISBLANK(BC$7),0,
IF(BC$4 &lt; BC$5,
IF($AA38-$Z$4&lt;BC$4,0,
IF($AA38&gt;BC$5,0,
SUM(_xlfn._xlws.FILTER(Table_BangLuong_TyLeTangCa[Tỷ lệ],
(Table_BangLuong_TyLeTangCa[Ngày] = BC$3) *
(Table_BangLuong_TyLeTangCa[Giờ min]&lt;=$AA38) *
(Table_BangLuong_TyLeTangCa[Giờ max]&gt;$AA38)
)))),
IF(AND($AA38-$Z$4 &gt;= BC$5,$AA38 &lt; BC$4),0,
SUM(_xlfn._xlws.FILTER(Table_BangLuong_TyLeTangCa[Tỷ lệ],
(Table_BangLuong_TyLeTangCa[Ngày] = BC$3) *
(Table_BangLuong_TyLeTangCa[Giờ min]&lt;=$AA38) *
(Table_BangLuong_TyLeTangCa[Giờ max]&gt;$AA38)
))))
),
IF(ISBLANK(BC$7),
IF(VLOOKUP(BC$6, Table_ChiPhiNV_Ca[], COUNTA(Table_ChiPhiNV_Ca[[#Headers],[Ca]:[Kết thúc]]),0)&gt; VLOOKUP(BC$6, Table_ChiPhiNV_Ca[], COUNTA(Table_ChiPhiNV_Ca[[#Headers],[Ca]:[Bắt đầu]]),0),
IF($AA38-$Z$4&lt;MAX(BC$4,VLOOKUP(BC$6, Table_ChiPhiNV_Ca[], COUNTA(Table_ChiPhiNV_Ca[[#Headers],[Ca]:[Bắt đầu]]),0)),0,
IF($AA38&gt;MIN(BC$5,VLOOKUP(BC$6, Table_ChiPhiNV_Ca[], COUNTA(Table_ChiPhiNV_Ca[[#Headers],[Ca]:[Kết thúc]]),0)),0,
SUM(_xlfn._xlws.FILTER(Table_BangLuong_TyLeTangCa[Tỷ lệ],
(Table_BangLuong_TyLeTangCa[Ngày] = "Thường") *
(Table_BangLuong_TyLeTangCa[Giờ min]&lt;=$AA38) *
(Table_BangLuong_TyLeTangCa[Giờ max]&gt;$AA38)
)))),
IF(BC$4 &gt; BC$5,
IF(
AND(
$AA38-$Z$4&lt;MAX(BC$4,VLOOKUP(BC$6, Table_ChiPhiNV_Ca[], COUNTA(Table_ChiPhiNV_Ca[[#Headers],[Ca]:[Bắt đầu]]),0)),
$AA38&gt;MIN(BC$5,VLOOKUP(BC$6, Table_ChiPhiNV_Ca[], COUNTA(Table_ChiPhiNV_Ca[[#Headers],[Ca]:[Kết thúc]]),0))),0,
SUM(_xlfn._xlws.FILTER(Table_BangLuong_TyLeTangCa[Tỷ lệ],
(Table_BangLuong_TyLeTangCa[Ngày] = "Thường") *
(Table_BangLuong_TyLeTangCa[Giờ min]&lt;=$AA38) *
(Table_BangLuong_TyLeTangCa[Giờ max]&gt;$AA38)
))),
IF(
AND(
$AA38-$Z$4&gt;=MAX(BC$4,VLOOKUP(BC$6, Table_ChiPhiNV_Ca[], COUNTA(Table_ChiPhiNV_Ca[[#Headers],[Ca]:[Bắt đầu]]),0)),
$AA38&lt;MIN(BC$5,VLOOKUP(BC$6, Table_ChiPhiNV_Ca[], COUNTA(Table_ChiPhiNV_Ca[[#Headers],[Ca]:[Kết thúc]]),0))),
SUM(_xlfn._xlws.FILTER(Table_BangLuong_TyLeTangCa[Tỷ lệ],
(Table_BangLuong_TyLeTangCa[Ngày] = "Thường") *
(Table_BangLuong_TyLeTangCa[Giờ min]&lt;=$AA38) *
(Table_BangLuong_TyLeTangCa[Giờ max]&gt;$AA38)
)),0)
)),
IF(BC$4 &lt; BC$5,
IF($AA38-$Z$4&lt;BC$4,0,
IF($AA38&gt;BC$5,0,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BC$5,$AA38 &lt; BC$4),0,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D38" s="18" cm="1">
        <f t="array" ref="BD38" xml:space="preserve">
IFERROR(
IF(BD$1="",0,
IF(AND(
$AA38&gt;=VLOOKUP(BD$6, Table_ChiPhiNV_Ca[], COUNTA(Table_ChiPhiNV_Ca[[#Headers],[Ca]:[Bắt đầu nghỉ]]),0),
$AA38&lt;VLOOKUP(BD$6, Table_ChiPhiNV_Ca[], COUNTA(Table_ChiPhiNV_Ca[[#Headers],[Ca]:[Kết thúc nghỉ]]),0)
),0,
IF(NOT(ISBLANK(BD$3)),
IF(ISBLANK(BD$7),0,
IF(BD$4 &lt; BD$5,
IF($AA38-$Z$4&lt;BD$4,0,
IF($AA38&gt;BD$5,0,
SUM(_xlfn._xlws.FILTER(Table_BangLuong_TyLeTangCa[Tỷ lệ],
(Table_BangLuong_TyLeTangCa[Ngày] = BD$3) *
(Table_BangLuong_TyLeTangCa[Giờ min]&lt;=$AA38) *
(Table_BangLuong_TyLeTangCa[Giờ max]&gt;$AA38)
)))),
IF(AND($AA38-$Z$4 &gt;= BD$5,$AA38 &lt; BD$4),0,
SUM(_xlfn._xlws.FILTER(Table_BangLuong_TyLeTangCa[Tỷ lệ],
(Table_BangLuong_TyLeTangCa[Ngày] = BD$3) *
(Table_BangLuong_TyLeTangCa[Giờ min]&lt;=$AA38) *
(Table_BangLuong_TyLeTangCa[Giờ max]&gt;$AA38)
))))
),
IF(ISBLANK(BD$7),
IF(VLOOKUP(BD$6, Table_ChiPhiNV_Ca[], COUNTA(Table_ChiPhiNV_Ca[[#Headers],[Ca]:[Kết thúc]]),0)&gt; VLOOKUP(BD$6, Table_ChiPhiNV_Ca[], COUNTA(Table_ChiPhiNV_Ca[[#Headers],[Ca]:[Bắt đầu]]),0),
IF($AA38-$Z$4&lt;MAX(BD$4,VLOOKUP(BD$6, Table_ChiPhiNV_Ca[], COUNTA(Table_ChiPhiNV_Ca[[#Headers],[Ca]:[Bắt đầu]]),0)),0,
IF($AA38&gt;MIN(BD$5,VLOOKUP(BD$6, Table_ChiPhiNV_Ca[], COUNTA(Table_ChiPhiNV_Ca[[#Headers],[Ca]:[Kết thúc]]),0)),0,
SUM(_xlfn._xlws.FILTER(Table_BangLuong_TyLeTangCa[Tỷ lệ],
(Table_BangLuong_TyLeTangCa[Ngày] = "Thường") *
(Table_BangLuong_TyLeTangCa[Giờ min]&lt;=$AA38) *
(Table_BangLuong_TyLeTangCa[Giờ max]&gt;$AA38)
)))),
IF(BD$4 &gt; BD$5,
IF(
AND(
$AA38-$Z$4&lt;MAX(BD$4,VLOOKUP(BD$6, Table_ChiPhiNV_Ca[], COUNTA(Table_ChiPhiNV_Ca[[#Headers],[Ca]:[Bắt đầu]]),0)),
$AA38&gt;MIN(BD$5,VLOOKUP(BD$6, Table_ChiPhiNV_Ca[], COUNTA(Table_ChiPhiNV_Ca[[#Headers],[Ca]:[Kết thúc]]),0))),0,
SUM(_xlfn._xlws.FILTER(Table_BangLuong_TyLeTangCa[Tỷ lệ],
(Table_BangLuong_TyLeTangCa[Ngày] = "Thường") *
(Table_BangLuong_TyLeTangCa[Giờ min]&lt;=$AA38) *
(Table_BangLuong_TyLeTangCa[Giờ max]&gt;$AA38)
))),
IF(
AND(
$AA38-$Z$4&gt;=MAX(BD$4,VLOOKUP(BD$6, Table_ChiPhiNV_Ca[], COUNTA(Table_ChiPhiNV_Ca[[#Headers],[Ca]:[Bắt đầu]]),0)),
$AA38&lt;MIN(BD$5,VLOOKUP(BD$6, Table_ChiPhiNV_Ca[], COUNTA(Table_ChiPhiNV_Ca[[#Headers],[Ca]:[Kết thúc]]),0))),
SUM(_xlfn._xlws.FILTER(Table_BangLuong_TyLeTangCa[Tỷ lệ],
(Table_BangLuong_TyLeTangCa[Ngày] = "Thường") *
(Table_BangLuong_TyLeTangCa[Giờ min]&lt;=$AA38) *
(Table_BangLuong_TyLeTangCa[Giờ max]&gt;$AA38)
)),0)
)),
IF(BD$4 &lt; BD$5,
IF($AA38-$Z$4&lt;BD$4,0,
IF($AA38&gt;BD$5,0,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BD$5,$AA38 &lt; BD$4),0,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E38" s="18" cm="1">
        <f t="array" ref="BE38" xml:space="preserve">
IFERROR(
IF(BE$1="",0,
IF(AND(
$AA38&gt;=VLOOKUP(BE$6, Table_ChiPhiNV_Ca[], COUNTA(Table_ChiPhiNV_Ca[[#Headers],[Ca]:[Bắt đầu nghỉ]]),0),
$AA38&lt;VLOOKUP(BE$6, Table_ChiPhiNV_Ca[], COUNTA(Table_ChiPhiNV_Ca[[#Headers],[Ca]:[Kết thúc nghỉ]]),0)
),0,
IF(NOT(ISBLANK(BE$3)),
IF(ISBLANK(BE$7),0,
IF(BE$4 &lt; BE$5,
IF($AA38-$Z$4&lt;BE$4,0,
IF($AA38&gt;BE$5,0,
SUM(_xlfn._xlws.FILTER(Table_BangLuong_TyLeTangCa[Tỷ lệ],
(Table_BangLuong_TyLeTangCa[Ngày] = BE$3) *
(Table_BangLuong_TyLeTangCa[Giờ min]&lt;=$AA38) *
(Table_BangLuong_TyLeTangCa[Giờ max]&gt;$AA38)
)))),
IF(AND($AA38-$Z$4 &gt;= BE$5,$AA38 &lt; BE$4),0,
SUM(_xlfn._xlws.FILTER(Table_BangLuong_TyLeTangCa[Tỷ lệ],
(Table_BangLuong_TyLeTangCa[Ngày] = BE$3) *
(Table_BangLuong_TyLeTangCa[Giờ min]&lt;=$AA38) *
(Table_BangLuong_TyLeTangCa[Giờ max]&gt;$AA38)
))))
),
IF(ISBLANK(BE$7),
IF(VLOOKUP(BE$6, Table_ChiPhiNV_Ca[], COUNTA(Table_ChiPhiNV_Ca[[#Headers],[Ca]:[Kết thúc]]),0)&gt; VLOOKUP(BE$6, Table_ChiPhiNV_Ca[], COUNTA(Table_ChiPhiNV_Ca[[#Headers],[Ca]:[Bắt đầu]]),0),
IF($AA38-$Z$4&lt;MAX(BE$4,VLOOKUP(BE$6, Table_ChiPhiNV_Ca[], COUNTA(Table_ChiPhiNV_Ca[[#Headers],[Ca]:[Bắt đầu]]),0)),0,
IF($AA38&gt;MIN(BE$5,VLOOKUP(BE$6, Table_ChiPhiNV_Ca[], COUNTA(Table_ChiPhiNV_Ca[[#Headers],[Ca]:[Kết thúc]]),0)),0,
SUM(_xlfn._xlws.FILTER(Table_BangLuong_TyLeTangCa[Tỷ lệ],
(Table_BangLuong_TyLeTangCa[Ngày] = "Thường") *
(Table_BangLuong_TyLeTangCa[Giờ min]&lt;=$AA38) *
(Table_BangLuong_TyLeTangCa[Giờ max]&gt;$AA38)
)))),
IF(BE$4 &gt; BE$5,
IF(
AND(
$AA38-$Z$4&lt;MAX(BE$4,VLOOKUP(BE$6, Table_ChiPhiNV_Ca[], COUNTA(Table_ChiPhiNV_Ca[[#Headers],[Ca]:[Bắt đầu]]),0)),
$AA38&gt;MIN(BE$5,VLOOKUP(BE$6, Table_ChiPhiNV_Ca[], COUNTA(Table_ChiPhiNV_Ca[[#Headers],[Ca]:[Kết thúc]]),0))),0,
SUM(_xlfn._xlws.FILTER(Table_BangLuong_TyLeTangCa[Tỷ lệ],
(Table_BangLuong_TyLeTangCa[Ngày] = "Thường") *
(Table_BangLuong_TyLeTangCa[Giờ min]&lt;=$AA38) *
(Table_BangLuong_TyLeTangCa[Giờ max]&gt;$AA38)
))),
IF(
AND(
$AA38-$Z$4&gt;=MAX(BE$4,VLOOKUP(BE$6, Table_ChiPhiNV_Ca[], COUNTA(Table_ChiPhiNV_Ca[[#Headers],[Ca]:[Bắt đầu]]),0)),
$AA38&lt;MIN(BE$5,VLOOKUP(BE$6, Table_ChiPhiNV_Ca[], COUNTA(Table_ChiPhiNV_Ca[[#Headers],[Ca]:[Kết thúc]]),0))),
SUM(_xlfn._xlws.FILTER(Table_BangLuong_TyLeTangCa[Tỷ lệ],
(Table_BangLuong_TyLeTangCa[Ngày] = "Thường") *
(Table_BangLuong_TyLeTangCa[Giờ min]&lt;=$AA38) *
(Table_BangLuong_TyLeTangCa[Giờ max]&gt;$AA38)
)),0)
)),
IF(BE$4 &lt; BE$5,
IF($AA38-$Z$4&lt;BE$4,0,
IF($AA38&gt;BE$5,0,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BE$5,$AA38 &lt; BE$4),0,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F38" s="18" cm="1">
        <f t="array" ref="BF38" xml:space="preserve">
IFERROR(
IF(BF$1="",0,
IF(AND(
$AA38&gt;=VLOOKUP(BF$6, Table_ChiPhiNV_Ca[], COUNTA(Table_ChiPhiNV_Ca[[#Headers],[Ca]:[Bắt đầu nghỉ]]),0),
$AA38&lt;VLOOKUP(BF$6, Table_ChiPhiNV_Ca[], COUNTA(Table_ChiPhiNV_Ca[[#Headers],[Ca]:[Kết thúc nghỉ]]),0)
),0,
IF(NOT(ISBLANK(BF$3)),
IF(ISBLANK(BF$7),0,
IF(BF$4 &lt; BF$5,
IF($AA38-$Z$4&lt;BF$4,0,
IF($AA38&gt;BF$5,0,
SUM(_xlfn._xlws.FILTER(Table_BangLuong_TyLeTangCa[Tỷ lệ],
(Table_BangLuong_TyLeTangCa[Ngày] = BF$3) *
(Table_BangLuong_TyLeTangCa[Giờ min]&lt;=$AA38) *
(Table_BangLuong_TyLeTangCa[Giờ max]&gt;$AA38)
)))),
IF(AND($AA38-$Z$4 &gt;= BF$5,$AA38 &lt; BF$4),0,
SUM(_xlfn._xlws.FILTER(Table_BangLuong_TyLeTangCa[Tỷ lệ],
(Table_BangLuong_TyLeTangCa[Ngày] = BF$3) *
(Table_BangLuong_TyLeTangCa[Giờ min]&lt;=$AA38) *
(Table_BangLuong_TyLeTangCa[Giờ max]&gt;$AA38)
))))
),
IF(ISBLANK(BF$7),
IF(VLOOKUP(BF$6, Table_ChiPhiNV_Ca[], COUNTA(Table_ChiPhiNV_Ca[[#Headers],[Ca]:[Kết thúc]]),0)&gt; VLOOKUP(BF$6, Table_ChiPhiNV_Ca[], COUNTA(Table_ChiPhiNV_Ca[[#Headers],[Ca]:[Bắt đầu]]),0),
IF($AA38-$Z$4&lt;MAX(BF$4,VLOOKUP(BF$6, Table_ChiPhiNV_Ca[], COUNTA(Table_ChiPhiNV_Ca[[#Headers],[Ca]:[Bắt đầu]]),0)),0,
IF($AA38&gt;MIN(BF$5,VLOOKUP(BF$6, Table_ChiPhiNV_Ca[], COUNTA(Table_ChiPhiNV_Ca[[#Headers],[Ca]:[Kết thúc]]),0)),0,
SUM(_xlfn._xlws.FILTER(Table_BangLuong_TyLeTangCa[Tỷ lệ],
(Table_BangLuong_TyLeTangCa[Ngày] = "Thường") *
(Table_BangLuong_TyLeTangCa[Giờ min]&lt;=$AA38) *
(Table_BangLuong_TyLeTangCa[Giờ max]&gt;$AA38)
)))),
IF(BF$4 &gt; BF$5,
IF(
AND(
$AA38-$Z$4&lt;MAX(BF$4,VLOOKUP(BF$6, Table_ChiPhiNV_Ca[], COUNTA(Table_ChiPhiNV_Ca[[#Headers],[Ca]:[Bắt đầu]]),0)),
$AA38&gt;MIN(BF$5,VLOOKUP(BF$6, Table_ChiPhiNV_Ca[], COUNTA(Table_ChiPhiNV_Ca[[#Headers],[Ca]:[Kết thúc]]),0))),0,
SUM(_xlfn._xlws.FILTER(Table_BangLuong_TyLeTangCa[Tỷ lệ],
(Table_BangLuong_TyLeTangCa[Ngày] = "Thường") *
(Table_BangLuong_TyLeTangCa[Giờ min]&lt;=$AA38) *
(Table_BangLuong_TyLeTangCa[Giờ max]&gt;$AA38)
))),
IF(
AND(
$AA38-$Z$4&gt;=MAX(BF$4,VLOOKUP(BF$6, Table_ChiPhiNV_Ca[], COUNTA(Table_ChiPhiNV_Ca[[#Headers],[Ca]:[Bắt đầu]]),0)),
$AA38&lt;MIN(BF$5,VLOOKUP(BF$6, Table_ChiPhiNV_Ca[], COUNTA(Table_ChiPhiNV_Ca[[#Headers],[Ca]:[Kết thúc]]),0))),
SUM(_xlfn._xlws.FILTER(Table_BangLuong_TyLeTangCa[Tỷ lệ],
(Table_BangLuong_TyLeTangCa[Ngày] = "Thường") *
(Table_BangLuong_TyLeTangCa[Giờ min]&lt;=$AA38) *
(Table_BangLuong_TyLeTangCa[Giờ max]&gt;$AA38)
)),0)
)),
IF(BF$4 &lt; BF$5,
IF($AA38-$Z$4&lt;BF$4,0,
IF($AA38&gt;BF$5,0,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BF$5,$AA38 &lt; BF$4),0,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row>
    <row r="39" spans="2:58" ht="18" customHeight="1" outlineLevel="1" x14ac:dyDescent="0.3">
      <c r="AA39" s="50">
        <v>0.625</v>
      </c>
      <c r="AB39" s="18" cm="1">
        <f t="array" ref="AB39" xml:space="preserve">
IFERROR(
IF(AB$1="",0,
IF(AND(
$AA39&gt;=VLOOKUP(AB$6, Table_ChiPhiNV_Ca[], COUNTA(Table_ChiPhiNV_Ca[[#Headers],[Ca]:[Bắt đầu nghỉ]]),0),
$AA39&lt;VLOOKUP(AB$6, Table_ChiPhiNV_Ca[], COUNTA(Table_ChiPhiNV_Ca[[#Headers],[Ca]:[Kết thúc nghỉ]]),0)
),0,
IF(NOT(ISBLANK(AB$3)),
IF(ISBLANK(AB$7),0,
IF(AB$4 &lt; AB$5,
IF($AA39-$Z$4&lt;AB$4,0,
IF($AA39&gt;AB$5,0,
SUM(_xlfn._xlws.FILTER(Table_BangLuong_TyLeTangCa[Tỷ lệ],
(Table_BangLuong_TyLeTangCa[Ngày] = AB$3) *
(Table_BangLuong_TyLeTangCa[Giờ min]&lt;=$AA39) *
(Table_BangLuong_TyLeTangCa[Giờ max]&gt;$AA39)
)))),
IF(AND($AA39-$Z$4 &gt;= AB$5,$AA39 &lt; AB$4),0,
SUM(_xlfn._xlws.FILTER(Table_BangLuong_TyLeTangCa[Tỷ lệ],
(Table_BangLuong_TyLeTangCa[Ngày] = AB$3) *
(Table_BangLuong_TyLeTangCa[Giờ min]&lt;=$AA39) *
(Table_BangLuong_TyLeTangCa[Giờ max]&gt;$AA39)
))))
),
IF(ISBLANK(AB$7),
IF(VLOOKUP(AB$6, Table_ChiPhiNV_Ca[], COUNTA(Table_ChiPhiNV_Ca[[#Headers],[Ca]:[Kết thúc]]),0)&gt; VLOOKUP(AB$6, Table_ChiPhiNV_Ca[], COUNTA(Table_ChiPhiNV_Ca[[#Headers],[Ca]:[Bắt đầu]]),0),
IF($AA39-$Z$4&lt;MAX(AB$4,VLOOKUP(AB$6, Table_ChiPhiNV_Ca[], COUNTA(Table_ChiPhiNV_Ca[[#Headers],[Ca]:[Bắt đầu]]),0)),0,
IF($AA39&gt;MIN(AB$5,VLOOKUP(AB$6, Table_ChiPhiNV_Ca[], COUNTA(Table_ChiPhiNV_Ca[[#Headers],[Ca]:[Kết thúc]]),0)),0,
SUM(_xlfn._xlws.FILTER(Table_BangLuong_TyLeTangCa[Tỷ lệ],
(Table_BangLuong_TyLeTangCa[Ngày] = "Thường") *
(Table_BangLuong_TyLeTangCa[Giờ min]&lt;=$AA39) *
(Table_BangLuong_TyLeTangCa[Giờ max]&gt;$AA39)
)))),
IF(AB$4 &gt; AB$5,
IF(
AND(
$AA39-$Z$4&lt;MAX(AB$4,VLOOKUP(AB$6, Table_ChiPhiNV_Ca[], COUNTA(Table_ChiPhiNV_Ca[[#Headers],[Ca]:[Bắt đầu]]),0)),
$AA39&gt;MIN(AB$5,VLOOKUP(AB$6, Table_ChiPhiNV_Ca[], COUNTA(Table_ChiPhiNV_Ca[[#Headers],[Ca]:[Kết thúc]]),0))),0,
SUM(_xlfn._xlws.FILTER(Table_BangLuong_TyLeTangCa[Tỷ lệ],
(Table_BangLuong_TyLeTangCa[Ngày] = "Thường") *
(Table_BangLuong_TyLeTangCa[Giờ min]&lt;=$AA39) *
(Table_BangLuong_TyLeTangCa[Giờ max]&gt;$AA39)
))),
IF(
AND(
$AA39-$Z$4&gt;=MAX(AB$4,VLOOKUP(AB$6, Table_ChiPhiNV_Ca[], COUNTA(Table_ChiPhiNV_Ca[[#Headers],[Ca]:[Bắt đầu]]),0)),
$AA39&lt;MIN(AB$5,VLOOKUP(AB$6, Table_ChiPhiNV_Ca[], COUNTA(Table_ChiPhiNV_Ca[[#Headers],[Ca]:[Kết thúc]]),0))),
SUM(_xlfn._xlws.FILTER(Table_BangLuong_TyLeTangCa[Tỷ lệ],
(Table_BangLuong_TyLeTangCa[Ngày] = "Thường") *
(Table_BangLuong_TyLeTangCa[Giờ min]&lt;=$AA39) *
(Table_BangLuong_TyLeTangCa[Giờ max]&gt;$AA39)
)),0)
)),
IF(AB$4 &lt; AB$5,
IF($AA39-$Z$4&lt;AB$4,0,
IF($AA39&gt;AB$5,0,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AB$5,$AA39 &lt; AB$4),0,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C39" s="18" cm="1">
        <f t="array" ref="AC39" xml:space="preserve">
IFERROR(
IF(AC$1="",0,
IF(AND(
$AA39&gt;=VLOOKUP(AC$6, Table_ChiPhiNV_Ca[], COUNTA(Table_ChiPhiNV_Ca[[#Headers],[Ca]:[Bắt đầu nghỉ]]),0),
$AA39&lt;VLOOKUP(AC$6, Table_ChiPhiNV_Ca[], COUNTA(Table_ChiPhiNV_Ca[[#Headers],[Ca]:[Kết thúc nghỉ]]),0)
),0,
IF(NOT(ISBLANK(AC$3)),
IF(ISBLANK(AC$7),0,
IF(AC$4 &lt; AC$5,
IF($AA39-$Z$4&lt;AC$4,0,
IF($AA39&gt;AC$5,0,
SUM(_xlfn._xlws.FILTER(Table_BangLuong_TyLeTangCa[Tỷ lệ],
(Table_BangLuong_TyLeTangCa[Ngày] = AC$3) *
(Table_BangLuong_TyLeTangCa[Giờ min]&lt;=$AA39) *
(Table_BangLuong_TyLeTangCa[Giờ max]&gt;$AA39)
)))),
IF(AND($AA39-$Z$4 &gt;= AC$5,$AA39 &lt; AC$4),0,
SUM(_xlfn._xlws.FILTER(Table_BangLuong_TyLeTangCa[Tỷ lệ],
(Table_BangLuong_TyLeTangCa[Ngày] = AC$3) *
(Table_BangLuong_TyLeTangCa[Giờ min]&lt;=$AA39) *
(Table_BangLuong_TyLeTangCa[Giờ max]&gt;$AA39)
))))
),
IF(ISBLANK(AC$7),
IF(VLOOKUP(AC$6, Table_ChiPhiNV_Ca[], COUNTA(Table_ChiPhiNV_Ca[[#Headers],[Ca]:[Kết thúc]]),0)&gt; VLOOKUP(AC$6, Table_ChiPhiNV_Ca[], COUNTA(Table_ChiPhiNV_Ca[[#Headers],[Ca]:[Bắt đầu]]),0),
IF($AA39-$Z$4&lt;MAX(AC$4,VLOOKUP(AC$6, Table_ChiPhiNV_Ca[], COUNTA(Table_ChiPhiNV_Ca[[#Headers],[Ca]:[Bắt đầu]]),0)),0,
IF($AA39&gt;MIN(AC$5,VLOOKUP(AC$6, Table_ChiPhiNV_Ca[], COUNTA(Table_ChiPhiNV_Ca[[#Headers],[Ca]:[Kết thúc]]),0)),0,
SUM(_xlfn._xlws.FILTER(Table_BangLuong_TyLeTangCa[Tỷ lệ],
(Table_BangLuong_TyLeTangCa[Ngày] = "Thường") *
(Table_BangLuong_TyLeTangCa[Giờ min]&lt;=$AA39) *
(Table_BangLuong_TyLeTangCa[Giờ max]&gt;$AA39)
)))),
IF(AC$4 &gt; AC$5,
IF(
AND(
$AA39-$Z$4&lt;MAX(AC$4,VLOOKUP(AC$6, Table_ChiPhiNV_Ca[], COUNTA(Table_ChiPhiNV_Ca[[#Headers],[Ca]:[Bắt đầu]]),0)),
$AA39&gt;MIN(AC$5,VLOOKUP(AC$6, Table_ChiPhiNV_Ca[], COUNTA(Table_ChiPhiNV_Ca[[#Headers],[Ca]:[Kết thúc]]),0))),0,
SUM(_xlfn._xlws.FILTER(Table_BangLuong_TyLeTangCa[Tỷ lệ],
(Table_BangLuong_TyLeTangCa[Ngày] = "Thường") *
(Table_BangLuong_TyLeTangCa[Giờ min]&lt;=$AA39) *
(Table_BangLuong_TyLeTangCa[Giờ max]&gt;$AA39)
))),
IF(
AND(
$AA39-$Z$4&gt;=MAX(AC$4,VLOOKUP(AC$6, Table_ChiPhiNV_Ca[], COUNTA(Table_ChiPhiNV_Ca[[#Headers],[Ca]:[Bắt đầu]]),0)),
$AA39&lt;MIN(AC$5,VLOOKUP(AC$6, Table_ChiPhiNV_Ca[], COUNTA(Table_ChiPhiNV_Ca[[#Headers],[Ca]:[Kết thúc]]),0))),
SUM(_xlfn._xlws.FILTER(Table_BangLuong_TyLeTangCa[Tỷ lệ],
(Table_BangLuong_TyLeTangCa[Ngày] = "Thường") *
(Table_BangLuong_TyLeTangCa[Giờ min]&lt;=$AA39) *
(Table_BangLuong_TyLeTangCa[Giờ max]&gt;$AA39)
)),0)
)),
IF(AC$4 &lt; AC$5,
IF($AA39-$Z$4&lt;AC$4,0,
IF($AA39&gt;AC$5,0,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AC$5,$AA39 &lt; AC$4),0,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D39" s="18" cm="1">
        <f t="array" ref="AD39" xml:space="preserve">
IFERROR(
IF(AD$1="",0,
IF(AND(
$AA39&gt;=VLOOKUP(AD$6, Table_ChiPhiNV_Ca[], COUNTA(Table_ChiPhiNV_Ca[[#Headers],[Ca]:[Bắt đầu nghỉ]]),0),
$AA39&lt;VLOOKUP(AD$6, Table_ChiPhiNV_Ca[], COUNTA(Table_ChiPhiNV_Ca[[#Headers],[Ca]:[Kết thúc nghỉ]]),0)
),0,
IF(NOT(ISBLANK(AD$3)),
IF(ISBLANK(AD$7),0,
IF(AD$4 &lt; AD$5,
IF($AA39-$Z$4&lt;AD$4,0,
IF($AA39&gt;AD$5,0,
SUM(_xlfn._xlws.FILTER(Table_BangLuong_TyLeTangCa[Tỷ lệ],
(Table_BangLuong_TyLeTangCa[Ngày] = AD$3) *
(Table_BangLuong_TyLeTangCa[Giờ min]&lt;=$AA39) *
(Table_BangLuong_TyLeTangCa[Giờ max]&gt;$AA39)
)))),
IF(AND($AA39-$Z$4 &gt;= AD$5,$AA39 &lt; AD$4),0,
SUM(_xlfn._xlws.FILTER(Table_BangLuong_TyLeTangCa[Tỷ lệ],
(Table_BangLuong_TyLeTangCa[Ngày] = AD$3) *
(Table_BangLuong_TyLeTangCa[Giờ min]&lt;=$AA39) *
(Table_BangLuong_TyLeTangCa[Giờ max]&gt;$AA39)
))))
),
IF(ISBLANK(AD$7),
IF(VLOOKUP(AD$6, Table_ChiPhiNV_Ca[], COUNTA(Table_ChiPhiNV_Ca[[#Headers],[Ca]:[Kết thúc]]),0)&gt; VLOOKUP(AD$6, Table_ChiPhiNV_Ca[], COUNTA(Table_ChiPhiNV_Ca[[#Headers],[Ca]:[Bắt đầu]]),0),
IF($AA39-$Z$4&lt;MAX(AD$4,VLOOKUP(AD$6, Table_ChiPhiNV_Ca[], COUNTA(Table_ChiPhiNV_Ca[[#Headers],[Ca]:[Bắt đầu]]),0)),0,
IF($AA39&gt;MIN(AD$5,VLOOKUP(AD$6, Table_ChiPhiNV_Ca[], COUNTA(Table_ChiPhiNV_Ca[[#Headers],[Ca]:[Kết thúc]]),0)),0,
SUM(_xlfn._xlws.FILTER(Table_BangLuong_TyLeTangCa[Tỷ lệ],
(Table_BangLuong_TyLeTangCa[Ngày] = "Thường") *
(Table_BangLuong_TyLeTangCa[Giờ min]&lt;=$AA39) *
(Table_BangLuong_TyLeTangCa[Giờ max]&gt;$AA39)
)))),
IF(AD$4 &gt; AD$5,
IF(
AND(
$AA39-$Z$4&lt;MAX(AD$4,VLOOKUP(AD$6, Table_ChiPhiNV_Ca[], COUNTA(Table_ChiPhiNV_Ca[[#Headers],[Ca]:[Bắt đầu]]),0)),
$AA39&gt;MIN(AD$5,VLOOKUP(AD$6, Table_ChiPhiNV_Ca[], COUNTA(Table_ChiPhiNV_Ca[[#Headers],[Ca]:[Kết thúc]]),0))),0,
SUM(_xlfn._xlws.FILTER(Table_BangLuong_TyLeTangCa[Tỷ lệ],
(Table_BangLuong_TyLeTangCa[Ngày] = "Thường") *
(Table_BangLuong_TyLeTangCa[Giờ min]&lt;=$AA39) *
(Table_BangLuong_TyLeTangCa[Giờ max]&gt;$AA39)
))),
IF(
AND(
$AA39-$Z$4&gt;=MAX(AD$4,VLOOKUP(AD$6, Table_ChiPhiNV_Ca[], COUNTA(Table_ChiPhiNV_Ca[[#Headers],[Ca]:[Bắt đầu]]),0)),
$AA39&lt;MIN(AD$5,VLOOKUP(AD$6, Table_ChiPhiNV_Ca[], COUNTA(Table_ChiPhiNV_Ca[[#Headers],[Ca]:[Kết thúc]]),0))),
SUM(_xlfn._xlws.FILTER(Table_BangLuong_TyLeTangCa[Tỷ lệ],
(Table_BangLuong_TyLeTangCa[Ngày] = "Thường") *
(Table_BangLuong_TyLeTangCa[Giờ min]&lt;=$AA39) *
(Table_BangLuong_TyLeTangCa[Giờ max]&gt;$AA39)
)),0)
)),
IF(AD$4 &lt; AD$5,
IF($AA39-$Z$4&lt;AD$4,0,
IF($AA39&gt;AD$5,0,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AD$5,$AA39 &lt; AD$4),0,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E39" s="18" cm="1">
        <f t="array" ref="AE39" xml:space="preserve">
IFERROR(
IF(AE$1="",0,
IF(AND(
$AA39&gt;=VLOOKUP(AE$6, Table_ChiPhiNV_Ca[], COUNTA(Table_ChiPhiNV_Ca[[#Headers],[Ca]:[Bắt đầu nghỉ]]),0),
$AA39&lt;VLOOKUP(AE$6, Table_ChiPhiNV_Ca[], COUNTA(Table_ChiPhiNV_Ca[[#Headers],[Ca]:[Kết thúc nghỉ]]),0)
),0,
IF(NOT(ISBLANK(AE$3)),
IF(ISBLANK(AE$7),0,
IF(AE$4 &lt; AE$5,
IF($AA39-$Z$4&lt;AE$4,0,
IF($AA39&gt;AE$5,0,
SUM(_xlfn._xlws.FILTER(Table_BangLuong_TyLeTangCa[Tỷ lệ],
(Table_BangLuong_TyLeTangCa[Ngày] = AE$3) *
(Table_BangLuong_TyLeTangCa[Giờ min]&lt;=$AA39) *
(Table_BangLuong_TyLeTangCa[Giờ max]&gt;$AA39)
)))),
IF(AND($AA39-$Z$4 &gt;= AE$5,$AA39 &lt; AE$4),0,
SUM(_xlfn._xlws.FILTER(Table_BangLuong_TyLeTangCa[Tỷ lệ],
(Table_BangLuong_TyLeTangCa[Ngày] = AE$3) *
(Table_BangLuong_TyLeTangCa[Giờ min]&lt;=$AA39) *
(Table_BangLuong_TyLeTangCa[Giờ max]&gt;$AA39)
))))
),
IF(ISBLANK(AE$7),
IF(VLOOKUP(AE$6, Table_ChiPhiNV_Ca[], COUNTA(Table_ChiPhiNV_Ca[[#Headers],[Ca]:[Kết thúc]]),0)&gt; VLOOKUP(AE$6, Table_ChiPhiNV_Ca[], COUNTA(Table_ChiPhiNV_Ca[[#Headers],[Ca]:[Bắt đầu]]),0),
IF($AA39-$Z$4&lt;MAX(AE$4,VLOOKUP(AE$6, Table_ChiPhiNV_Ca[], COUNTA(Table_ChiPhiNV_Ca[[#Headers],[Ca]:[Bắt đầu]]),0)),0,
IF($AA39&gt;MIN(AE$5,VLOOKUP(AE$6, Table_ChiPhiNV_Ca[], COUNTA(Table_ChiPhiNV_Ca[[#Headers],[Ca]:[Kết thúc]]),0)),0,
SUM(_xlfn._xlws.FILTER(Table_BangLuong_TyLeTangCa[Tỷ lệ],
(Table_BangLuong_TyLeTangCa[Ngày] = "Thường") *
(Table_BangLuong_TyLeTangCa[Giờ min]&lt;=$AA39) *
(Table_BangLuong_TyLeTangCa[Giờ max]&gt;$AA39)
)))),
IF(AE$4 &gt; AE$5,
IF(
AND(
$AA39-$Z$4&lt;MAX(AE$4,VLOOKUP(AE$6, Table_ChiPhiNV_Ca[], COUNTA(Table_ChiPhiNV_Ca[[#Headers],[Ca]:[Bắt đầu]]),0)),
$AA39&gt;MIN(AE$5,VLOOKUP(AE$6, Table_ChiPhiNV_Ca[], COUNTA(Table_ChiPhiNV_Ca[[#Headers],[Ca]:[Kết thúc]]),0))),0,
SUM(_xlfn._xlws.FILTER(Table_BangLuong_TyLeTangCa[Tỷ lệ],
(Table_BangLuong_TyLeTangCa[Ngày] = "Thường") *
(Table_BangLuong_TyLeTangCa[Giờ min]&lt;=$AA39) *
(Table_BangLuong_TyLeTangCa[Giờ max]&gt;$AA39)
))),
IF(
AND(
$AA39-$Z$4&gt;=MAX(AE$4,VLOOKUP(AE$6, Table_ChiPhiNV_Ca[], COUNTA(Table_ChiPhiNV_Ca[[#Headers],[Ca]:[Bắt đầu]]),0)),
$AA39&lt;MIN(AE$5,VLOOKUP(AE$6, Table_ChiPhiNV_Ca[], COUNTA(Table_ChiPhiNV_Ca[[#Headers],[Ca]:[Kết thúc]]),0))),
SUM(_xlfn._xlws.FILTER(Table_BangLuong_TyLeTangCa[Tỷ lệ],
(Table_BangLuong_TyLeTangCa[Ngày] = "Thường") *
(Table_BangLuong_TyLeTangCa[Giờ min]&lt;=$AA39) *
(Table_BangLuong_TyLeTangCa[Giờ max]&gt;$AA39)
)),0)
)),
IF(AE$4 &lt; AE$5,
IF($AA39-$Z$4&lt;AE$4,0,
IF($AA39&gt;AE$5,0,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AE$5,$AA39 &lt; AE$4),0,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F39" s="18" cm="1">
        <f t="array" ref="AF39" xml:space="preserve">
IFERROR(
IF(AF$1="",0,
IF(AND(
$AA39&gt;=VLOOKUP(AF$6, Table_ChiPhiNV_Ca[], COUNTA(Table_ChiPhiNV_Ca[[#Headers],[Ca]:[Bắt đầu nghỉ]]),0),
$AA39&lt;VLOOKUP(AF$6, Table_ChiPhiNV_Ca[], COUNTA(Table_ChiPhiNV_Ca[[#Headers],[Ca]:[Kết thúc nghỉ]]),0)
),0,
IF(NOT(ISBLANK(AF$3)),
IF(ISBLANK(AF$7),0,
IF(AF$4 &lt; AF$5,
IF($AA39-$Z$4&lt;AF$4,0,
IF($AA39&gt;AF$5,0,
SUM(_xlfn._xlws.FILTER(Table_BangLuong_TyLeTangCa[Tỷ lệ],
(Table_BangLuong_TyLeTangCa[Ngày] = AF$3) *
(Table_BangLuong_TyLeTangCa[Giờ min]&lt;=$AA39) *
(Table_BangLuong_TyLeTangCa[Giờ max]&gt;$AA39)
)))),
IF(AND($AA39-$Z$4 &gt;= AF$5,$AA39 &lt; AF$4),0,
SUM(_xlfn._xlws.FILTER(Table_BangLuong_TyLeTangCa[Tỷ lệ],
(Table_BangLuong_TyLeTangCa[Ngày] = AF$3) *
(Table_BangLuong_TyLeTangCa[Giờ min]&lt;=$AA39) *
(Table_BangLuong_TyLeTangCa[Giờ max]&gt;$AA39)
))))
),
IF(ISBLANK(AF$7),
IF(VLOOKUP(AF$6, Table_ChiPhiNV_Ca[], COUNTA(Table_ChiPhiNV_Ca[[#Headers],[Ca]:[Kết thúc]]),0)&gt; VLOOKUP(AF$6, Table_ChiPhiNV_Ca[], COUNTA(Table_ChiPhiNV_Ca[[#Headers],[Ca]:[Bắt đầu]]),0),
IF($AA39-$Z$4&lt;MAX(AF$4,VLOOKUP(AF$6, Table_ChiPhiNV_Ca[], COUNTA(Table_ChiPhiNV_Ca[[#Headers],[Ca]:[Bắt đầu]]),0)),0,
IF($AA39&gt;MIN(AF$5,VLOOKUP(AF$6, Table_ChiPhiNV_Ca[], COUNTA(Table_ChiPhiNV_Ca[[#Headers],[Ca]:[Kết thúc]]),0)),0,
SUM(_xlfn._xlws.FILTER(Table_BangLuong_TyLeTangCa[Tỷ lệ],
(Table_BangLuong_TyLeTangCa[Ngày] = "Thường") *
(Table_BangLuong_TyLeTangCa[Giờ min]&lt;=$AA39) *
(Table_BangLuong_TyLeTangCa[Giờ max]&gt;$AA39)
)))),
IF(AF$4 &gt; AF$5,
IF(
AND(
$AA39-$Z$4&lt;MAX(AF$4,VLOOKUP(AF$6, Table_ChiPhiNV_Ca[], COUNTA(Table_ChiPhiNV_Ca[[#Headers],[Ca]:[Bắt đầu]]),0)),
$AA39&gt;MIN(AF$5,VLOOKUP(AF$6, Table_ChiPhiNV_Ca[], COUNTA(Table_ChiPhiNV_Ca[[#Headers],[Ca]:[Kết thúc]]),0))),0,
SUM(_xlfn._xlws.FILTER(Table_BangLuong_TyLeTangCa[Tỷ lệ],
(Table_BangLuong_TyLeTangCa[Ngày] = "Thường") *
(Table_BangLuong_TyLeTangCa[Giờ min]&lt;=$AA39) *
(Table_BangLuong_TyLeTangCa[Giờ max]&gt;$AA39)
))),
IF(
AND(
$AA39-$Z$4&gt;=MAX(AF$4,VLOOKUP(AF$6, Table_ChiPhiNV_Ca[], COUNTA(Table_ChiPhiNV_Ca[[#Headers],[Ca]:[Bắt đầu]]),0)),
$AA39&lt;MIN(AF$5,VLOOKUP(AF$6, Table_ChiPhiNV_Ca[], COUNTA(Table_ChiPhiNV_Ca[[#Headers],[Ca]:[Kết thúc]]),0))),
SUM(_xlfn._xlws.FILTER(Table_BangLuong_TyLeTangCa[Tỷ lệ],
(Table_BangLuong_TyLeTangCa[Ngày] = "Thường") *
(Table_BangLuong_TyLeTangCa[Giờ min]&lt;=$AA39) *
(Table_BangLuong_TyLeTangCa[Giờ max]&gt;$AA39)
)),0)
)),
IF(AF$4 &lt; AF$5,
IF($AA39-$Z$4&lt;AF$4,0,
IF($AA39&gt;AF$5,0,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AF$5,$AA39 &lt; AF$4),0,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G39" s="18" cm="1">
        <f t="array" ref="AG39" xml:space="preserve">
IFERROR(
IF(AG$1="",0,
IF(AND(
$AA39&gt;=VLOOKUP(AG$6, Table_ChiPhiNV_Ca[], COUNTA(Table_ChiPhiNV_Ca[[#Headers],[Ca]:[Bắt đầu nghỉ]]),0),
$AA39&lt;VLOOKUP(AG$6, Table_ChiPhiNV_Ca[], COUNTA(Table_ChiPhiNV_Ca[[#Headers],[Ca]:[Kết thúc nghỉ]]),0)
),0,
IF(NOT(ISBLANK(AG$3)),
IF(ISBLANK(AG$7),0,
IF(AG$4 &lt; AG$5,
IF($AA39-$Z$4&lt;AG$4,0,
IF($AA39&gt;AG$5,0,
SUM(_xlfn._xlws.FILTER(Table_BangLuong_TyLeTangCa[Tỷ lệ],
(Table_BangLuong_TyLeTangCa[Ngày] = AG$3) *
(Table_BangLuong_TyLeTangCa[Giờ min]&lt;=$AA39) *
(Table_BangLuong_TyLeTangCa[Giờ max]&gt;$AA39)
)))),
IF(AND($AA39-$Z$4 &gt;= AG$5,$AA39 &lt; AG$4),0,
SUM(_xlfn._xlws.FILTER(Table_BangLuong_TyLeTangCa[Tỷ lệ],
(Table_BangLuong_TyLeTangCa[Ngày] = AG$3) *
(Table_BangLuong_TyLeTangCa[Giờ min]&lt;=$AA39) *
(Table_BangLuong_TyLeTangCa[Giờ max]&gt;$AA39)
))))
),
IF(ISBLANK(AG$7),
IF(VLOOKUP(AG$6, Table_ChiPhiNV_Ca[], COUNTA(Table_ChiPhiNV_Ca[[#Headers],[Ca]:[Kết thúc]]),0)&gt; VLOOKUP(AG$6, Table_ChiPhiNV_Ca[], COUNTA(Table_ChiPhiNV_Ca[[#Headers],[Ca]:[Bắt đầu]]),0),
IF($AA39-$Z$4&lt;MAX(AG$4,VLOOKUP(AG$6, Table_ChiPhiNV_Ca[], COUNTA(Table_ChiPhiNV_Ca[[#Headers],[Ca]:[Bắt đầu]]),0)),0,
IF($AA39&gt;MIN(AG$5,VLOOKUP(AG$6, Table_ChiPhiNV_Ca[], COUNTA(Table_ChiPhiNV_Ca[[#Headers],[Ca]:[Kết thúc]]),0)),0,
SUM(_xlfn._xlws.FILTER(Table_BangLuong_TyLeTangCa[Tỷ lệ],
(Table_BangLuong_TyLeTangCa[Ngày] = "Thường") *
(Table_BangLuong_TyLeTangCa[Giờ min]&lt;=$AA39) *
(Table_BangLuong_TyLeTangCa[Giờ max]&gt;$AA39)
)))),
IF(AG$4 &gt; AG$5,
IF(
AND(
$AA39-$Z$4&lt;MAX(AG$4,VLOOKUP(AG$6, Table_ChiPhiNV_Ca[], COUNTA(Table_ChiPhiNV_Ca[[#Headers],[Ca]:[Bắt đầu]]),0)),
$AA39&gt;MIN(AG$5,VLOOKUP(AG$6, Table_ChiPhiNV_Ca[], COUNTA(Table_ChiPhiNV_Ca[[#Headers],[Ca]:[Kết thúc]]),0))),0,
SUM(_xlfn._xlws.FILTER(Table_BangLuong_TyLeTangCa[Tỷ lệ],
(Table_BangLuong_TyLeTangCa[Ngày] = "Thường") *
(Table_BangLuong_TyLeTangCa[Giờ min]&lt;=$AA39) *
(Table_BangLuong_TyLeTangCa[Giờ max]&gt;$AA39)
))),
IF(
AND(
$AA39-$Z$4&gt;=MAX(AG$4,VLOOKUP(AG$6, Table_ChiPhiNV_Ca[], COUNTA(Table_ChiPhiNV_Ca[[#Headers],[Ca]:[Bắt đầu]]),0)),
$AA39&lt;MIN(AG$5,VLOOKUP(AG$6, Table_ChiPhiNV_Ca[], COUNTA(Table_ChiPhiNV_Ca[[#Headers],[Ca]:[Kết thúc]]),0))),
SUM(_xlfn._xlws.FILTER(Table_BangLuong_TyLeTangCa[Tỷ lệ],
(Table_BangLuong_TyLeTangCa[Ngày] = "Thường") *
(Table_BangLuong_TyLeTangCa[Giờ min]&lt;=$AA39) *
(Table_BangLuong_TyLeTangCa[Giờ max]&gt;$AA39)
)),0)
)),
IF(AG$4 &lt; AG$5,
IF($AA39-$Z$4&lt;AG$4,0,
IF($AA39&gt;AG$5,0,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AG$5,$AA39 &lt; AG$4),0,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H39" s="18" cm="1">
        <f t="array" ref="AH39" xml:space="preserve">
IFERROR(
IF(AH$1="",0,
IF(AND(
$AA39&gt;=VLOOKUP(AH$6, Table_ChiPhiNV_Ca[], COUNTA(Table_ChiPhiNV_Ca[[#Headers],[Ca]:[Bắt đầu nghỉ]]),0),
$AA39&lt;VLOOKUP(AH$6, Table_ChiPhiNV_Ca[], COUNTA(Table_ChiPhiNV_Ca[[#Headers],[Ca]:[Kết thúc nghỉ]]),0)
),0,
IF(NOT(ISBLANK(AH$3)),
IF(ISBLANK(AH$7),0,
IF(AH$4 &lt; AH$5,
IF($AA39-$Z$4&lt;AH$4,0,
IF($AA39&gt;AH$5,0,
SUM(_xlfn._xlws.FILTER(Table_BangLuong_TyLeTangCa[Tỷ lệ],
(Table_BangLuong_TyLeTangCa[Ngày] = AH$3) *
(Table_BangLuong_TyLeTangCa[Giờ min]&lt;=$AA39) *
(Table_BangLuong_TyLeTangCa[Giờ max]&gt;$AA39)
)))),
IF(AND($AA39-$Z$4 &gt;= AH$5,$AA39 &lt; AH$4),0,
SUM(_xlfn._xlws.FILTER(Table_BangLuong_TyLeTangCa[Tỷ lệ],
(Table_BangLuong_TyLeTangCa[Ngày] = AH$3) *
(Table_BangLuong_TyLeTangCa[Giờ min]&lt;=$AA39) *
(Table_BangLuong_TyLeTangCa[Giờ max]&gt;$AA39)
))))
),
IF(ISBLANK(AH$7),
IF(VLOOKUP(AH$6, Table_ChiPhiNV_Ca[], COUNTA(Table_ChiPhiNV_Ca[[#Headers],[Ca]:[Kết thúc]]),0)&gt; VLOOKUP(AH$6, Table_ChiPhiNV_Ca[], COUNTA(Table_ChiPhiNV_Ca[[#Headers],[Ca]:[Bắt đầu]]),0),
IF($AA39-$Z$4&lt;MAX(AH$4,VLOOKUP(AH$6, Table_ChiPhiNV_Ca[], COUNTA(Table_ChiPhiNV_Ca[[#Headers],[Ca]:[Bắt đầu]]),0)),0,
IF($AA39&gt;MIN(AH$5,VLOOKUP(AH$6, Table_ChiPhiNV_Ca[], COUNTA(Table_ChiPhiNV_Ca[[#Headers],[Ca]:[Kết thúc]]),0)),0,
SUM(_xlfn._xlws.FILTER(Table_BangLuong_TyLeTangCa[Tỷ lệ],
(Table_BangLuong_TyLeTangCa[Ngày] = "Thường") *
(Table_BangLuong_TyLeTangCa[Giờ min]&lt;=$AA39) *
(Table_BangLuong_TyLeTangCa[Giờ max]&gt;$AA39)
)))),
IF(AH$4 &gt; AH$5,
IF(
AND(
$AA39-$Z$4&lt;MAX(AH$4,VLOOKUP(AH$6, Table_ChiPhiNV_Ca[], COUNTA(Table_ChiPhiNV_Ca[[#Headers],[Ca]:[Bắt đầu]]),0)),
$AA39&gt;MIN(AH$5,VLOOKUP(AH$6, Table_ChiPhiNV_Ca[], COUNTA(Table_ChiPhiNV_Ca[[#Headers],[Ca]:[Kết thúc]]),0))),0,
SUM(_xlfn._xlws.FILTER(Table_BangLuong_TyLeTangCa[Tỷ lệ],
(Table_BangLuong_TyLeTangCa[Ngày] = "Thường") *
(Table_BangLuong_TyLeTangCa[Giờ min]&lt;=$AA39) *
(Table_BangLuong_TyLeTangCa[Giờ max]&gt;$AA39)
))),
IF(
AND(
$AA39-$Z$4&gt;=MAX(AH$4,VLOOKUP(AH$6, Table_ChiPhiNV_Ca[], COUNTA(Table_ChiPhiNV_Ca[[#Headers],[Ca]:[Bắt đầu]]),0)),
$AA39&lt;MIN(AH$5,VLOOKUP(AH$6, Table_ChiPhiNV_Ca[], COUNTA(Table_ChiPhiNV_Ca[[#Headers],[Ca]:[Kết thúc]]),0))),
SUM(_xlfn._xlws.FILTER(Table_BangLuong_TyLeTangCa[Tỷ lệ],
(Table_BangLuong_TyLeTangCa[Ngày] = "Thường") *
(Table_BangLuong_TyLeTangCa[Giờ min]&lt;=$AA39) *
(Table_BangLuong_TyLeTangCa[Giờ max]&gt;$AA39)
)),0)
)),
IF(AH$4 &lt; AH$5,
IF($AA39-$Z$4&lt;AH$4,0,
IF($AA39&gt;AH$5,0,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AH$5,$AA39 &lt; AH$4),0,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I39" s="18" cm="1">
        <f t="array" ref="AI39" xml:space="preserve">
IFERROR(
IF(AI$1="",0,
IF(AND(
$AA39&gt;=VLOOKUP(AI$6, Table_ChiPhiNV_Ca[], COUNTA(Table_ChiPhiNV_Ca[[#Headers],[Ca]:[Bắt đầu nghỉ]]),0),
$AA39&lt;VLOOKUP(AI$6, Table_ChiPhiNV_Ca[], COUNTA(Table_ChiPhiNV_Ca[[#Headers],[Ca]:[Kết thúc nghỉ]]),0)
),0,
IF(NOT(ISBLANK(AI$3)),
IF(ISBLANK(AI$7),0,
IF(AI$4 &lt; AI$5,
IF($AA39-$Z$4&lt;AI$4,0,
IF($AA39&gt;AI$5,0,
SUM(_xlfn._xlws.FILTER(Table_BangLuong_TyLeTangCa[Tỷ lệ],
(Table_BangLuong_TyLeTangCa[Ngày] = AI$3) *
(Table_BangLuong_TyLeTangCa[Giờ min]&lt;=$AA39) *
(Table_BangLuong_TyLeTangCa[Giờ max]&gt;$AA39)
)))),
IF(AND($AA39-$Z$4 &gt;= AI$5,$AA39 &lt; AI$4),0,
SUM(_xlfn._xlws.FILTER(Table_BangLuong_TyLeTangCa[Tỷ lệ],
(Table_BangLuong_TyLeTangCa[Ngày] = AI$3) *
(Table_BangLuong_TyLeTangCa[Giờ min]&lt;=$AA39) *
(Table_BangLuong_TyLeTangCa[Giờ max]&gt;$AA39)
))))
),
IF(ISBLANK(AI$7),
IF(VLOOKUP(AI$6, Table_ChiPhiNV_Ca[], COUNTA(Table_ChiPhiNV_Ca[[#Headers],[Ca]:[Kết thúc]]),0)&gt; VLOOKUP(AI$6, Table_ChiPhiNV_Ca[], COUNTA(Table_ChiPhiNV_Ca[[#Headers],[Ca]:[Bắt đầu]]),0),
IF($AA39-$Z$4&lt;MAX(AI$4,VLOOKUP(AI$6, Table_ChiPhiNV_Ca[], COUNTA(Table_ChiPhiNV_Ca[[#Headers],[Ca]:[Bắt đầu]]),0)),0,
IF($AA39&gt;MIN(AI$5,VLOOKUP(AI$6, Table_ChiPhiNV_Ca[], COUNTA(Table_ChiPhiNV_Ca[[#Headers],[Ca]:[Kết thúc]]),0)),0,
SUM(_xlfn._xlws.FILTER(Table_BangLuong_TyLeTangCa[Tỷ lệ],
(Table_BangLuong_TyLeTangCa[Ngày] = "Thường") *
(Table_BangLuong_TyLeTangCa[Giờ min]&lt;=$AA39) *
(Table_BangLuong_TyLeTangCa[Giờ max]&gt;$AA39)
)))),
IF(AI$4 &gt; AI$5,
IF(
AND(
$AA39-$Z$4&lt;MAX(AI$4,VLOOKUP(AI$6, Table_ChiPhiNV_Ca[], COUNTA(Table_ChiPhiNV_Ca[[#Headers],[Ca]:[Bắt đầu]]),0)),
$AA39&gt;MIN(AI$5,VLOOKUP(AI$6, Table_ChiPhiNV_Ca[], COUNTA(Table_ChiPhiNV_Ca[[#Headers],[Ca]:[Kết thúc]]),0))),0,
SUM(_xlfn._xlws.FILTER(Table_BangLuong_TyLeTangCa[Tỷ lệ],
(Table_BangLuong_TyLeTangCa[Ngày] = "Thường") *
(Table_BangLuong_TyLeTangCa[Giờ min]&lt;=$AA39) *
(Table_BangLuong_TyLeTangCa[Giờ max]&gt;$AA39)
))),
IF(
AND(
$AA39-$Z$4&gt;=MAX(AI$4,VLOOKUP(AI$6, Table_ChiPhiNV_Ca[], COUNTA(Table_ChiPhiNV_Ca[[#Headers],[Ca]:[Bắt đầu]]),0)),
$AA39&lt;MIN(AI$5,VLOOKUP(AI$6, Table_ChiPhiNV_Ca[], COUNTA(Table_ChiPhiNV_Ca[[#Headers],[Ca]:[Kết thúc]]),0))),
SUM(_xlfn._xlws.FILTER(Table_BangLuong_TyLeTangCa[Tỷ lệ],
(Table_BangLuong_TyLeTangCa[Ngày] = "Thường") *
(Table_BangLuong_TyLeTangCa[Giờ min]&lt;=$AA39) *
(Table_BangLuong_TyLeTangCa[Giờ max]&gt;$AA39)
)),0)
)),
IF(AI$4 &lt; AI$5,
IF($AA39-$Z$4&lt;AI$4,0,
IF($AA39&gt;AI$5,0,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AI$5,$AA39 &lt; AI$4),0,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J39" s="18" cm="1">
        <f t="array" ref="AJ39" xml:space="preserve">
IFERROR(
IF(AJ$1="",0,
IF(AND(
$AA39&gt;=VLOOKUP(AJ$6, Table_ChiPhiNV_Ca[], COUNTA(Table_ChiPhiNV_Ca[[#Headers],[Ca]:[Bắt đầu nghỉ]]),0),
$AA39&lt;VLOOKUP(AJ$6, Table_ChiPhiNV_Ca[], COUNTA(Table_ChiPhiNV_Ca[[#Headers],[Ca]:[Kết thúc nghỉ]]),0)
),0,
IF(NOT(ISBLANK(AJ$3)),
IF(ISBLANK(AJ$7),0,
IF(AJ$4 &lt; AJ$5,
IF($AA39-$Z$4&lt;AJ$4,0,
IF($AA39&gt;AJ$5,0,
SUM(_xlfn._xlws.FILTER(Table_BangLuong_TyLeTangCa[Tỷ lệ],
(Table_BangLuong_TyLeTangCa[Ngày] = AJ$3) *
(Table_BangLuong_TyLeTangCa[Giờ min]&lt;=$AA39) *
(Table_BangLuong_TyLeTangCa[Giờ max]&gt;$AA39)
)))),
IF(AND($AA39-$Z$4 &gt;= AJ$5,$AA39 &lt; AJ$4),0,
SUM(_xlfn._xlws.FILTER(Table_BangLuong_TyLeTangCa[Tỷ lệ],
(Table_BangLuong_TyLeTangCa[Ngày] = AJ$3) *
(Table_BangLuong_TyLeTangCa[Giờ min]&lt;=$AA39) *
(Table_BangLuong_TyLeTangCa[Giờ max]&gt;$AA39)
))))
),
IF(ISBLANK(AJ$7),
IF(VLOOKUP(AJ$6, Table_ChiPhiNV_Ca[], COUNTA(Table_ChiPhiNV_Ca[[#Headers],[Ca]:[Kết thúc]]),0)&gt; VLOOKUP(AJ$6, Table_ChiPhiNV_Ca[], COUNTA(Table_ChiPhiNV_Ca[[#Headers],[Ca]:[Bắt đầu]]),0),
IF($AA39-$Z$4&lt;MAX(AJ$4,VLOOKUP(AJ$6, Table_ChiPhiNV_Ca[], COUNTA(Table_ChiPhiNV_Ca[[#Headers],[Ca]:[Bắt đầu]]),0)),0,
IF($AA39&gt;MIN(AJ$5,VLOOKUP(AJ$6, Table_ChiPhiNV_Ca[], COUNTA(Table_ChiPhiNV_Ca[[#Headers],[Ca]:[Kết thúc]]),0)),0,
SUM(_xlfn._xlws.FILTER(Table_BangLuong_TyLeTangCa[Tỷ lệ],
(Table_BangLuong_TyLeTangCa[Ngày] = "Thường") *
(Table_BangLuong_TyLeTangCa[Giờ min]&lt;=$AA39) *
(Table_BangLuong_TyLeTangCa[Giờ max]&gt;$AA39)
)))),
IF(AJ$4 &gt; AJ$5,
IF(
AND(
$AA39-$Z$4&lt;MAX(AJ$4,VLOOKUP(AJ$6, Table_ChiPhiNV_Ca[], COUNTA(Table_ChiPhiNV_Ca[[#Headers],[Ca]:[Bắt đầu]]),0)),
$AA39&gt;MIN(AJ$5,VLOOKUP(AJ$6, Table_ChiPhiNV_Ca[], COUNTA(Table_ChiPhiNV_Ca[[#Headers],[Ca]:[Kết thúc]]),0))),0,
SUM(_xlfn._xlws.FILTER(Table_BangLuong_TyLeTangCa[Tỷ lệ],
(Table_BangLuong_TyLeTangCa[Ngày] = "Thường") *
(Table_BangLuong_TyLeTangCa[Giờ min]&lt;=$AA39) *
(Table_BangLuong_TyLeTangCa[Giờ max]&gt;$AA39)
))),
IF(
AND(
$AA39-$Z$4&gt;=MAX(AJ$4,VLOOKUP(AJ$6, Table_ChiPhiNV_Ca[], COUNTA(Table_ChiPhiNV_Ca[[#Headers],[Ca]:[Bắt đầu]]),0)),
$AA39&lt;MIN(AJ$5,VLOOKUP(AJ$6, Table_ChiPhiNV_Ca[], COUNTA(Table_ChiPhiNV_Ca[[#Headers],[Ca]:[Kết thúc]]),0))),
SUM(_xlfn._xlws.FILTER(Table_BangLuong_TyLeTangCa[Tỷ lệ],
(Table_BangLuong_TyLeTangCa[Ngày] = "Thường") *
(Table_BangLuong_TyLeTangCa[Giờ min]&lt;=$AA39) *
(Table_BangLuong_TyLeTangCa[Giờ max]&gt;$AA39)
)),0)
)),
IF(AJ$4 &lt; AJ$5,
IF($AA39-$Z$4&lt;AJ$4,0,
IF($AA39&gt;AJ$5,0,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AJ$5,$AA39 &lt; AJ$4),0,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K39" s="18" cm="1">
        <f t="array" ref="AK39" xml:space="preserve">
IFERROR(
IF(AK$1="",0,
IF(AND(
$AA39&gt;=VLOOKUP(AK$6, Table_ChiPhiNV_Ca[], COUNTA(Table_ChiPhiNV_Ca[[#Headers],[Ca]:[Bắt đầu nghỉ]]),0),
$AA39&lt;VLOOKUP(AK$6, Table_ChiPhiNV_Ca[], COUNTA(Table_ChiPhiNV_Ca[[#Headers],[Ca]:[Kết thúc nghỉ]]),0)
),0,
IF(NOT(ISBLANK(AK$3)),
IF(ISBLANK(AK$7),0,
IF(AK$4 &lt; AK$5,
IF($AA39-$Z$4&lt;AK$4,0,
IF($AA39&gt;AK$5,0,
SUM(_xlfn._xlws.FILTER(Table_BangLuong_TyLeTangCa[Tỷ lệ],
(Table_BangLuong_TyLeTangCa[Ngày] = AK$3) *
(Table_BangLuong_TyLeTangCa[Giờ min]&lt;=$AA39) *
(Table_BangLuong_TyLeTangCa[Giờ max]&gt;$AA39)
)))),
IF(AND($AA39-$Z$4 &gt;= AK$5,$AA39 &lt; AK$4),0,
SUM(_xlfn._xlws.FILTER(Table_BangLuong_TyLeTangCa[Tỷ lệ],
(Table_BangLuong_TyLeTangCa[Ngày] = AK$3) *
(Table_BangLuong_TyLeTangCa[Giờ min]&lt;=$AA39) *
(Table_BangLuong_TyLeTangCa[Giờ max]&gt;$AA39)
))))
),
IF(ISBLANK(AK$7),
IF(VLOOKUP(AK$6, Table_ChiPhiNV_Ca[], COUNTA(Table_ChiPhiNV_Ca[[#Headers],[Ca]:[Kết thúc]]),0)&gt; VLOOKUP(AK$6, Table_ChiPhiNV_Ca[], COUNTA(Table_ChiPhiNV_Ca[[#Headers],[Ca]:[Bắt đầu]]),0),
IF($AA39-$Z$4&lt;MAX(AK$4,VLOOKUP(AK$6, Table_ChiPhiNV_Ca[], COUNTA(Table_ChiPhiNV_Ca[[#Headers],[Ca]:[Bắt đầu]]),0)),0,
IF($AA39&gt;MIN(AK$5,VLOOKUP(AK$6, Table_ChiPhiNV_Ca[], COUNTA(Table_ChiPhiNV_Ca[[#Headers],[Ca]:[Kết thúc]]),0)),0,
SUM(_xlfn._xlws.FILTER(Table_BangLuong_TyLeTangCa[Tỷ lệ],
(Table_BangLuong_TyLeTangCa[Ngày] = "Thường") *
(Table_BangLuong_TyLeTangCa[Giờ min]&lt;=$AA39) *
(Table_BangLuong_TyLeTangCa[Giờ max]&gt;$AA39)
)))),
IF(AK$4 &gt; AK$5,
IF(
AND(
$AA39-$Z$4&lt;MAX(AK$4,VLOOKUP(AK$6, Table_ChiPhiNV_Ca[], COUNTA(Table_ChiPhiNV_Ca[[#Headers],[Ca]:[Bắt đầu]]),0)),
$AA39&gt;MIN(AK$5,VLOOKUP(AK$6, Table_ChiPhiNV_Ca[], COUNTA(Table_ChiPhiNV_Ca[[#Headers],[Ca]:[Kết thúc]]),0))),0,
SUM(_xlfn._xlws.FILTER(Table_BangLuong_TyLeTangCa[Tỷ lệ],
(Table_BangLuong_TyLeTangCa[Ngày] = "Thường") *
(Table_BangLuong_TyLeTangCa[Giờ min]&lt;=$AA39) *
(Table_BangLuong_TyLeTangCa[Giờ max]&gt;$AA39)
))),
IF(
AND(
$AA39-$Z$4&gt;=MAX(AK$4,VLOOKUP(AK$6, Table_ChiPhiNV_Ca[], COUNTA(Table_ChiPhiNV_Ca[[#Headers],[Ca]:[Bắt đầu]]),0)),
$AA39&lt;MIN(AK$5,VLOOKUP(AK$6, Table_ChiPhiNV_Ca[], COUNTA(Table_ChiPhiNV_Ca[[#Headers],[Ca]:[Kết thúc]]),0))),
SUM(_xlfn._xlws.FILTER(Table_BangLuong_TyLeTangCa[Tỷ lệ],
(Table_BangLuong_TyLeTangCa[Ngày] = "Thường") *
(Table_BangLuong_TyLeTangCa[Giờ min]&lt;=$AA39) *
(Table_BangLuong_TyLeTangCa[Giờ max]&gt;$AA39)
)),0)
)),
IF(AK$4 &lt; AK$5,
IF($AA39-$Z$4&lt;AK$4,0,
IF($AA39&gt;AK$5,0,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AK$5,$AA39 &lt; AK$4),0,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L39" s="18" cm="1">
        <f t="array" ref="AL39" xml:space="preserve">
IFERROR(
IF(AL$1="",0,
IF(AND(
$AA39&gt;=VLOOKUP(AL$6, Table_ChiPhiNV_Ca[], COUNTA(Table_ChiPhiNV_Ca[[#Headers],[Ca]:[Bắt đầu nghỉ]]),0),
$AA39&lt;VLOOKUP(AL$6, Table_ChiPhiNV_Ca[], COUNTA(Table_ChiPhiNV_Ca[[#Headers],[Ca]:[Kết thúc nghỉ]]),0)
),0,
IF(NOT(ISBLANK(AL$3)),
IF(ISBLANK(AL$7),0,
IF(AL$4 &lt; AL$5,
IF($AA39-$Z$4&lt;AL$4,0,
IF($AA39&gt;AL$5,0,
SUM(_xlfn._xlws.FILTER(Table_BangLuong_TyLeTangCa[Tỷ lệ],
(Table_BangLuong_TyLeTangCa[Ngày] = AL$3) *
(Table_BangLuong_TyLeTangCa[Giờ min]&lt;=$AA39) *
(Table_BangLuong_TyLeTangCa[Giờ max]&gt;$AA39)
)))),
IF(AND($AA39-$Z$4 &gt;= AL$5,$AA39 &lt; AL$4),0,
SUM(_xlfn._xlws.FILTER(Table_BangLuong_TyLeTangCa[Tỷ lệ],
(Table_BangLuong_TyLeTangCa[Ngày] = AL$3) *
(Table_BangLuong_TyLeTangCa[Giờ min]&lt;=$AA39) *
(Table_BangLuong_TyLeTangCa[Giờ max]&gt;$AA39)
))))
),
IF(ISBLANK(AL$7),
IF(VLOOKUP(AL$6, Table_ChiPhiNV_Ca[], COUNTA(Table_ChiPhiNV_Ca[[#Headers],[Ca]:[Kết thúc]]),0)&gt; VLOOKUP(AL$6, Table_ChiPhiNV_Ca[], COUNTA(Table_ChiPhiNV_Ca[[#Headers],[Ca]:[Bắt đầu]]),0),
IF($AA39-$Z$4&lt;MAX(AL$4,VLOOKUP(AL$6, Table_ChiPhiNV_Ca[], COUNTA(Table_ChiPhiNV_Ca[[#Headers],[Ca]:[Bắt đầu]]),0)),0,
IF($AA39&gt;MIN(AL$5,VLOOKUP(AL$6, Table_ChiPhiNV_Ca[], COUNTA(Table_ChiPhiNV_Ca[[#Headers],[Ca]:[Kết thúc]]),0)),0,
SUM(_xlfn._xlws.FILTER(Table_BangLuong_TyLeTangCa[Tỷ lệ],
(Table_BangLuong_TyLeTangCa[Ngày] = "Thường") *
(Table_BangLuong_TyLeTangCa[Giờ min]&lt;=$AA39) *
(Table_BangLuong_TyLeTangCa[Giờ max]&gt;$AA39)
)))),
IF(AL$4 &gt; AL$5,
IF(
AND(
$AA39-$Z$4&lt;MAX(AL$4,VLOOKUP(AL$6, Table_ChiPhiNV_Ca[], COUNTA(Table_ChiPhiNV_Ca[[#Headers],[Ca]:[Bắt đầu]]),0)),
$AA39&gt;MIN(AL$5,VLOOKUP(AL$6, Table_ChiPhiNV_Ca[], COUNTA(Table_ChiPhiNV_Ca[[#Headers],[Ca]:[Kết thúc]]),0))),0,
SUM(_xlfn._xlws.FILTER(Table_BangLuong_TyLeTangCa[Tỷ lệ],
(Table_BangLuong_TyLeTangCa[Ngày] = "Thường") *
(Table_BangLuong_TyLeTangCa[Giờ min]&lt;=$AA39) *
(Table_BangLuong_TyLeTangCa[Giờ max]&gt;$AA39)
))),
IF(
AND(
$AA39-$Z$4&gt;=MAX(AL$4,VLOOKUP(AL$6, Table_ChiPhiNV_Ca[], COUNTA(Table_ChiPhiNV_Ca[[#Headers],[Ca]:[Bắt đầu]]),0)),
$AA39&lt;MIN(AL$5,VLOOKUP(AL$6, Table_ChiPhiNV_Ca[], COUNTA(Table_ChiPhiNV_Ca[[#Headers],[Ca]:[Kết thúc]]),0))),
SUM(_xlfn._xlws.FILTER(Table_BangLuong_TyLeTangCa[Tỷ lệ],
(Table_BangLuong_TyLeTangCa[Ngày] = "Thường") *
(Table_BangLuong_TyLeTangCa[Giờ min]&lt;=$AA39) *
(Table_BangLuong_TyLeTangCa[Giờ max]&gt;$AA39)
)),0)
)),
IF(AL$4 &lt; AL$5,
IF($AA39-$Z$4&lt;AL$4,0,
IF($AA39&gt;AL$5,0,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AL$5,$AA39 &lt; AL$4),0,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M39" s="18" cm="1">
        <f t="array" ref="AM39" xml:space="preserve">
IFERROR(
IF(AM$1="",0,
IF(AND(
$AA39&gt;=VLOOKUP(AM$6, Table_ChiPhiNV_Ca[], COUNTA(Table_ChiPhiNV_Ca[[#Headers],[Ca]:[Bắt đầu nghỉ]]),0),
$AA39&lt;VLOOKUP(AM$6, Table_ChiPhiNV_Ca[], COUNTA(Table_ChiPhiNV_Ca[[#Headers],[Ca]:[Kết thúc nghỉ]]),0)
),0,
IF(NOT(ISBLANK(AM$3)),
IF(ISBLANK(AM$7),0,
IF(AM$4 &lt; AM$5,
IF($AA39-$Z$4&lt;AM$4,0,
IF($AA39&gt;AM$5,0,
SUM(_xlfn._xlws.FILTER(Table_BangLuong_TyLeTangCa[Tỷ lệ],
(Table_BangLuong_TyLeTangCa[Ngày] = AM$3) *
(Table_BangLuong_TyLeTangCa[Giờ min]&lt;=$AA39) *
(Table_BangLuong_TyLeTangCa[Giờ max]&gt;$AA39)
)))),
IF(AND($AA39-$Z$4 &gt;= AM$5,$AA39 &lt; AM$4),0,
SUM(_xlfn._xlws.FILTER(Table_BangLuong_TyLeTangCa[Tỷ lệ],
(Table_BangLuong_TyLeTangCa[Ngày] = AM$3) *
(Table_BangLuong_TyLeTangCa[Giờ min]&lt;=$AA39) *
(Table_BangLuong_TyLeTangCa[Giờ max]&gt;$AA39)
))))
),
IF(ISBLANK(AM$7),
IF(VLOOKUP(AM$6, Table_ChiPhiNV_Ca[], COUNTA(Table_ChiPhiNV_Ca[[#Headers],[Ca]:[Kết thúc]]),0)&gt; VLOOKUP(AM$6, Table_ChiPhiNV_Ca[], COUNTA(Table_ChiPhiNV_Ca[[#Headers],[Ca]:[Bắt đầu]]),0),
IF($AA39-$Z$4&lt;MAX(AM$4,VLOOKUP(AM$6, Table_ChiPhiNV_Ca[], COUNTA(Table_ChiPhiNV_Ca[[#Headers],[Ca]:[Bắt đầu]]),0)),0,
IF($AA39&gt;MIN(AM$5,VLOOKUP(AM$6, Table_ChiPhiNV_Ca[], COUNTA(Table_ChiPhiNV_Ca[[#Headers],[Ca]:[Kết thúc]]),0)),0,
SUM(_xlfn._xlws.FILTER(Table_BangLuong_TyLeTangCa[Tỷ lệ],
(Table_BangLuong_TyLeTangCa[Ngày] = "Thường") *
(Table_BangLuong_TyLeTangCa[Giờ min]&lt;=$AA39) *
(Table_BangLuong_TyLeTangCa[Giờ max]&gt;$AA39)
)))),
IF(AM$4 &gt; AM$5,
IF(
AND(
$AA39-$Z$4&lt;MAX(AM$4,VLOOKUP(AM$6, Table_ChiPhiNV_Ca[], COUNTA(Table_ChiPhiNV_Ca[[#Headers],[Ca]:[Bắt đầu]]),0)),
$AA39&gt;MIN(AM$5,VLOOKUP(AM$6, Table_ChiPhiNV_Ca[], COUNTA(Table_ChiPhiNV_Ca[[#Headers],[Ca]:[Kết thúc]]),0))),0,
SUM(_xlfn._xlws.FILTER(Table_BangLuong_TyLeTangCa[Tỷ lệ],
(Table_BangLuong_TyLeTangCa[Ngày] = "Thường") *
(Table_BangLuong_TyLeTangCa[Giờ min]&lt;=$AA39) *
(Table_BangLuong_TyLeTangCa[Giờ max]&gt;$AA39)
))),
IF(
AND(
$AA39-$Z$4&gt;=MAX(AM$4,VLOOKUP(AM$6, Table_ChiPhiNV_Ca[], COUNTA(Table_ChiPhiNV_Ca[[#Headers],[Ca]:[Bắt đầu]]),0)),
$AA39&lt;MIN(AM$5,VLOOKUP(AM$6, Table_ChiPhiNV_Ca[], COUNTA(Table_ChiPhiNV_Ca[[#Headers],[Ca]:[Kết thúc]]),0))),
SUM(_xlfn._xlws.FILTER(Table_BangLuong_TyLeTangCa[Tỷ lệ],
(Table_BangLuong_TyLeTangCa[Ngày] = "Thường") *
(Table_BangLuong_TyLeTangCa[Giờ min]&lt;=$AA39) *
(Table_BangLuong_TyLeTangCa[Giờ max]&gt;$AA39)
)),0)
)),
IF(AM$4 &lt; AM$5,
IF($AA39-$Z$4&lt;AM$4,0,
IF($AA39&gt;AM$5,0,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AM$5,$AA39 &lt; AM$4),0,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N39" s="18" cm="1">
        <f t="array" ref="AN39" xml:space="preserve">
IFERROR(
IF(AN$1="",0,
IF(AND(
$AA39&gt;=VLOOKUP(AN$6, Table_ChiPhiNV_Ca[], COUNTA(Table_ChiPhiNV_Ca[[#Headers],[Ca]:[Bắt đầu nghỉ]]),0),
$AA39&lt;VLOOKUP(AN$6, Table_ChiPhiNV_Ca[], COUNTA(Table_ChiPhiNV_Ca[[#Headers],[Ca]:[Kết thúc nghỉ]]),0)
),0,
IF(NOT(ISBLANK(AN$3)),
IF(ISBLANK(AN$7),0,
IF(AN$4 &lt; AN$5,
IF($AA39-$Z$4&lt;AN$4,0,
IF($AA39&gt;AN$5,0,
SUM(_xlfn._xlws.FILTER(Table_BangLuong_TyLeTangCa[Tỷ lệ],
(Table_BangLuong_TyLeTangCa[Ngày] = AN$3) *
(Table_BangLuong_TyLeTangCa[Giờ min]&lt;=$AA39) *
(Table_BangLuong_TyLeTangCa[Giờ max]&gt;$AA39)
)))),
IF(AND($AA39-$Z$4 &gt;= AN$5,$AA39 &lt; AN$4),0,
SUM(_xlfn._xlws.FILTER(Table_BangLuong_TyLeTangCa[Tỷ lệ],
(Table_BangLuong_TyLeTangCa[Ngày] = AN$3) *
(Table_BangLuong_TyLeTangCa[Giờ min]&lt;=$AA39) *
(Table_BangLuong_TyLeTangCa[Giờ max]&gt;$AA39)
))))
),
IF(ISBLANK(AN$7),
IF(VLOOKUP(AN$6, Table_ChiPhiNV_Ca[], COUNTA(Table_ChiPhiNV_Ca[[#Headers],[Ca]:[Kết thúc]]),0)&gt; VLOOKUP(AN$6, Table_ChiPhiNV_Ca[], COUNTA(Table_ChiPhiNV_Ca[[#Headers],[Ca]:[Bắt đầu]]),0),
IF($AA39-$Z$4&lt;MAX(AN$4,VLOOKUP(AN$6, Table_ChiPhiNV_Ca[], COUNTA(Table_ChiPhiNV_Ca[[#Headers],[Ca]:[Bắt đầu]]),0)),0,
IF($AA39&gt;MIN(AN$5,VLOOKUP(AN$6, Table_ChiPhiNV_Ca[], COUNTA(Table_ChiPhiNV_Ca[[#Headers],[Ca]:[Kết thúc]]),0)),0,
SUM(_xlfn._xlws.FILTER(Table_BangLuong_TyLeTangCa[Tỷ lệ],
(Table_BangLuong_TyLeTangCa[Ngày] = "Thường") *
(Table_BangLuong_TyLeTangCa[Giờ min]&lt;=$AA39) *
(Table_BangLuong_TyLeTangCa[Giờ max]&gt;$AA39)
)))),
IF(AN$4 &gt; AN$5,
IF(
AND(
$AA39-$Z$4&lt;MAX(AN$4,VLOOKUP(AN$6, Table_ChiPhiNV_Ca[], COUNTA(Table_ChiPhiNV_Ca[[#Headers],[Ca]:[Bắt đầu]]),0)),
$AA39&gt;MIN(AN$5,VLOOKUP(AN$6, Table_ChiPhiNV_Ca[], COUNTA(Table_ChiPhiNV_Ca[[#Headers],[Ca]:[Kết thúc]]),0))),0,
SUM(_xlfn._xlws.FILTER(Table_BangLuong_TyLeTangCa[Tỷ lệ],
(Table_BangLuong_TyLeTangCa[Ngày] = "Thường") *
(Table_BangLuong_TyLeTangCa[Giờ min]&lt;=$AA39) *
(Table_BangLuong_TyLeTangCa[Giờ max]&gt;$AA39)
))),
IF(
AND(
$AA39-$Z$4&gt;=MAX(AN$4,VLOOKUP(AN$6, Table_ChiPhiNV_Ca[], COUNTA(Table_ChiPhiNV_Ca[[#Headers],[Ca]:[Bắt đầu]]),0)),
$AA39&lt;MIN(AN$5,VLOOKUP(AN$6, Table_ChiPhiNV_Ca[], COUNTA(Table_ChiPhiNV_Ca[[#Headers],[Ca]:[Kết thúc]]),0))),
SUM(_xlfn._xlws.FILTER(Table_BangLuong_TyLeTangCa[Tỷ lệ],
(Table_BangLuong_TyLeTangCa[Ngày] = "Thường") *
(Table_BangLuong_TyLeTangCa[Giờ min]&lt;=$AA39) *
(Table_BangLuong_TyLeTangCa[Giờ max]&gt;$AA39)
)),0)
)),
IF(AN$4 &lt; AN$5,
IF($AA39-$Z$4&lt;AN$4,0,
IF($AA39&gt;AN$5,0,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AN$5,$AA39 &lt; AN$4),0,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O39" s="18" cm="1">
        <f t="array" ref="AO39" xml:space="preserve">
IFERROR(
IF(AO$1="",0,
IF(AND(
$AA39&gt;=VLOOKUP(AO$6, Table_ChiPhiNV_Ca[], COUNTA(Table_ChiPhiNV_Ca[[#Headers],[Ca]:[Bắt đầu nghỉ]]),0),
$AA39&lt;VLOOKUP(AO$6, Table_ChiPhiNV_Ca[], COUNTA(Table_ChiPhiNV_Ca[[#Headers],[Ca]:[Kết thúc nghỉ]]),0)
),0,
IF(NOT(ISBLANK(AO$3)),
IF(ISBLANK(AO$7),0,
IF(AO$4 &lt; AO$5,
IF($AA39-$Z$4&lt;AO$4,0,
IF($AA39&gt;AO$5,0,
SUM(_xlfn._xlws.FILTER(Table_BangLuong_TyLeTangCa[Tỷ lệ],
(Table_BangLuong_TyLeTangCa[Ngày] = AO$3) *
(Table_BangLuong_TyLeTangCa[Giờ min]&lt;=$AA39) *
(Table_BangLuong_TyLeTangCa[Giờ max]&gt;$AA39)
)))),
IF(AND($AA39-$Z$4 &gt;= AO$5,$AA39 &lt; AO$4),0,
SUM(_xlfn._xlws.FILTER(Table_BangLuong_TyLeTangCa[Tỷ lệ],
(Table_BangLuong_TyLeTangCa[Ngày] = AO$3) *
(Table_BangLuong_TyLeTangCa[Giờ min]&lt;=$AA39) *
(Table_BangLuong_TyLeTangCa[Giờ max]&gt;$AA39)
))))
),
IF(ISBLANK(AO$7),
IF(VLOOKUP(AO$6, Table_ChiPhiNV_Ca[], COUNTA(Table_ChiPhiNV_Ca[[#Headers],[Ca]:[Kết thúc]]),0)&gt; VLOOKUP(AO$6, Table_ChiPhiNV_Ca[], COUNTA(Table_ChiPhiNV_Ca[[#Headers],[Ca]:[Bắt đầu]]),0),
IF($AA39-$Z$4&lt;MAX(AO$4,VLOOKUP(AO$6, Table_ChiPhiNV_Ca[], COUNTA(Table_ChiPhiNV_Ca[[#Headers],[Ca]:[Bắt đầu]]),0)),0,
IF($AA39&gt;MIN(AO$5,VLOOKUP(AO$6, Table_ChiPhiNV_Ca[], COUNTA(Table_ChiPhiNV_Ca[[#Headers],[Ca]:[Kết thúc]]),0)),0,
SUM(_xlfn._xlws.FILTER(Table_BangLuong_TyLeTangCa[Tỷ lệ],
(Table_BangLuong_TyLeTangCa[Ngày] = "Thường") *
(Table_BangLuong_TyLeTangCa[Giờ min]&lt;=$AA39) *
(Table_BangLuong_TyLeTangCa[Giờ max]&gt;$AA39)
)))),
IF(AO$4 &gt; AO$5,
IF(
AND(
$AA39-$Z$4&lt;MAX(AO$4,VLOOKUP(AO$6, Table_ChiPhiNV_Ca[], COUNTA(Table_ChiPhiNV_Ca[[#Headers],[Ca]:[Bắt đầu]]),0)),
$AA39&gt;MIN(AO$5,VLOOKUP(AO$6, Table_ChiPhiNV_Ca[], COUNTA(Table_ChiPhiNV_Ca[[#Headers],[Ca]:[Kết thúc]]),0))),0,
SUM(_xlfn._xlws.FILTER(Table_BangLuong_TyLeTangCa[Tỷ lệ],
(Table_BangLuong_TyLeTangCa[Ngày] = "Thường") *
(Table_BangLuong_TyLeTangCa[Giờ min]&lt;=$AA39) *
(Table_BangLuong_TyLeTangCa[Giờ max]&gt;$AA39)
))),
IF(
AND(
$AA39-$Z$4&gt;=MAX(AO$4,VLOOKUP(AO$6, Table_ChiPhiNV_Ca[], COUNTA(Table_ChiPhiNV_Ca[[#Headers],[Ca]:[Bắt đầu]]),0)),
$AA39&lt;MIN(AO$5,VLOOKUP(AO$6, Table_ChiPhiNV_Ca[], COUNTA(Table_ChiPhiNV_Ca[[#Headers],[Ca]:[Kết thúc]]),0))),
SUM(_xlfn._xlws.FILTER(Table_BangLuong_TyLeTangCa[Tỷ lệ],
(Table_BangLuong_TyLeTangCa[Ngày] = "Thường") *
(Table_BangLuong_TyLeTangCa[Giờ min]&lt;=$AA39) *
(Table_BangLuong_TyLeTangCa[Giờ max]&gt;$AA39)
)),0)
)),
IF(AO$4 &lt; AO$5,
IF($AA39-$Z$4&lt;AO$4,0,
IF($AA39&gt;AO$5,0,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AO$5,$AA39 &lt; AO$4),0,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P39" s="18" cm="1">
        <f t="array" ref="AP39" xml:space="preserve">
IFERROR(
IF(AP$1="",0,
IF(AND(
$AA39&gt;=VLOOKUP(AP$6, Table_ChiPhiNV_Ca[], COUNTA(Table_ChiPhiNV_Ca[[#Headers],[Ca]:[Bắt đầu nghỉ]]),0),
$AA39&lt;VLOOKUP(AP$6, Table_ChiPhiNV_Ca[], COUNTA(Table_ChiPhiNV_Ca[[#Headers],[Ca]:[Kết thúc nghỉ]]),0)
),0,
IF(NOT(ISBLANK(AP$3)),
IF(ISBLANK(AP$7),0,
IF(AP$4 &lt; AP$5,
IF($AA39-$Z$4&lt;AP$4,0,
IF($AA39&gt;AP$5,0,
SUM(_xlfn._xlws.FILTER(Table_BangLuong_TyLeTangCa[Tỷ lệ],
(Table_BangLuong_TyLeTangCa[Ngày] = AP$3) *
(Table_BangLuong_TyLeTangCa[Giờ min]&lt;=$AA39) *
(Table_BangLuong_TyLeTangCa[Giờ max]&gt;$AA39)
)))),
IF(AND($AA39-$Z$4 &gt;= AP$5,$AA39 &lt; AP$4),0,
SUM(_xlfn._xlws.FILTER(Table_BangLuong_TyLeTangCa[Tỷ lệ],
(Table_BangLuong_TyLeTangCa[Ngày] = AP$3) *
(Table_BangLuong_TyLeTangCa[Giờ min]&lt;=$AA39) *
(Table_BangLuong_TyLeTangCa[Giờ max]&gt;$AA39)
))))
),
IF(ISBLANK(AP$7),
IF(VLOOKUP(AP$6, Table_ChiPhiNV_Ca[], COUNTA(Table_ChiPhiNV_Ca[[#Headers],[Ca]:[Kết thúc]]),0)&gt; VLOOKUP(AP$6, Table_ChiPhiNV_Ca[], COUNTA(Table_ChiPhiNV_Ca[[#Headers],[Ca]:[Bắt đầu]]),0),
IF($AA39-$Z$4&lt;MAX(AP$4,VLOOKUP(AP$6, Table_ChiPhiNV_Ca[], COUNTA(Table_ChiPhiNV_Ca[[#Headers],[Ca]:[Bắt đầu]]),0)),0,
IF($AA39&gt;MIN(AP$5,VLOOKUP(AP$6, Table_ChiPhiNV_Ca[], COUNTA(Table_ChiPhiNV_Ca[[#Headers],[Ca]:[Kết thúc]]),0)),0,
SUM(_xlfn._xlws.FILTER(Table_BangLuong_TyLeTangCa[Tỷ lệ],
(Table_BangLuong_TyLeTangCa[Ngày] = "Thường") *
(Table_BangLuong_TyLeTangCa[Giờ min]&lt;=$AA39) *
(Table_BangLuong_TyLeTangCa[Giờ max]&gt;$AA39)
)))),
IF(AP$4 &gt; AP$5,
IF(
AND(
$AA39-$Z$4&lt;MAX(AP$4,VLOOKUP(AP$6, Table_ChiPhiNV_Ca[], COUNTA(Table_ChiPhiNV_Ca[[#Headers],[Ca]:[Bắt đầu]]),0)),
$AA39&gt;MIN(AP$5,VLOOKUP(AP$6, Table_ChiPhiNV_Ca[], COUNTA(Table_ChiPhiNV_Ca[[#Headers],[Ca]:[Kết thúc]]),0))),0,
SUM(_xlfn._xlws.FILTER(Table_BangLuong_TyLeTangCa[Tỷ lệ],
(Table_BangLuong_TyLeTangCa[Ngày] = "Thường") *
(Table_BangLuong_TyLeTangCa[Giờ min]&lt;=$AA39) *
(Table_BangLuong_TyLeTangCa[Giờ max]&gt;$AA39)
))),
IF(
AND(
$AA39-$Z$4&gt;=MAX(AP$4,VLOOKUP(AP$6, Table_ChiPhiNV_Ca[], COUNTA(Table_ChiPhiNV_Ca[[#Headers],[Ca]:[Bắt đầu]]),0)),
$AA39&lt;MIN(AP$5,VLOOKUP(AP$6, Table_ChiPhiNV_Ca[], COUNTA(Table_ChiPhiNV_Ca[[#Headers],[Ca]:[Kết thúc]]),0))),
SUM(_xlfn._xlws.FILTER(Table_BangLuong_TyLeTangCa[Tỷ lệ],
(Table_BangLuong_TyLeTangCa[Ngày] = "Thường") *
(Table_BangLuong_TyLeTangCa[Giờ min]&lt;=$AA39) *
(Table_BangLuong_TyLeTangCa[Giờ max]&gt;$AA39)
)),0)
)),
IF(AP$4 &lt; AP$5,
IF($AA39-$Z$4&lt;AP$4,0,
IF($AA39&gt;AP$5,0,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AP$5,$AA39 &lt; AP$4),0,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Q39" s="18" cm="1">
        <f t="array" ref="AQ39" xml:space="preserve">
IFERROR(
IF(AQ$1="",0,
IF(AND(
$AA39&gt;=VLOOKUP(AQ$6, Table_ChiPhiNV_Ca[], COUNTA(Table_ChiPhiNV_Ca[[#Headers],[Ca]:[Bắt đầu nghỉ]]),0),
$AA39&lt;VLOOKUP(AQ$6, Table_ChiPhiNV_Ca[], COUNTA(Table_ChiPhiNV_Ca[[#Headers],[Ca]:[Kết thúc nghỉ]]),0)
),0,
IF(NOT(ISBLANK(AQ$3)),
IF(ISBLANK(AQ$7),0,
IF(AQ$4 &lt; AQ$5,
IF($AA39-$Z$4&lt;AQ$4,0,
IF($AA39&gt;AQ$5,0,
SUM(_xlfn._xlws.FILTER(Table_BangLuong_TyLeTangCa[Tỷ lệ],
(Table_BangLuong_TyLeTangCa[Ngày] = AQ$3) *
(Table_BangLuong_TyLeTangCa[Giờ min]&lt;=$AA39) *
(Table_BangLuong_TyLeTangCa[Giờ max]&gt;$AA39)
)))),
IF(AND($AA39-$Z$4 &gt;= AQ$5,$AA39 &lt; AQ$4),0,
SUM(_xlfn._xlws.FILTER(Table_BangLuong_TyLeTangCa[Tỷ lệ],
(Table_BangLuong_TyLeTangCa[Ngày] = AQ$3) *
(Table_BangLuong_TyLeTangCa[Giờ min]&lt;=$AA39) *
(Table_BangLuong_TyLeTangCa[Giờ max]&gt;$AA39)
))))
),
IF(ISBLANK(AQ$7),
IF(VLOOKUP(AQ$6, Table_ChiPhiNV_Ca[], COUNTA(Table_ChiPhiNV_Ca[[#Headers],[Ca]:[Kết thúc]]),0)&gt; VLOOKUP(AQ$6, Table_ChiPhiNV_Ca[], COUNTA(Table_ChiPhiNV_Ca[[#Headers],[Ca]:[Bắt đầu]]),0),
IF($AA39-$Z$4&lt;MAX(AQ$4,VLOOKUP(AQ$6, Table_ChiPhiNV_Ca[], COUNTA(Table_ChiPhiNV_Ca[[#Headers],[Ca]:[Bắt đầu]]),0)),0,
IF($AA39&gt;MIN(AQ$5,VLOOKUP(AQ$6, Table_ChiPhiNV_Ca[], COUNTA(Table_ChiPhiNV_Ca[[#Headers],[Ca]:[Kết thúc]]),0)),0,
SUM(_xlfn._xlws.FILTER(Table_BangLuong_TyLeTangCa[Tỷ lệ],
(Table_BangLuong_TyLeTangCa[Ngày] = "Thường") *
(Table_BangLuong_TyLeTangCa[Giờ min]&lt;=$AA39) *
(Table_BangLuong_TyLeTangCa[Giờ max]&gt;$AA39)
)))),
IF(AQ$4 &gt; AQ$5,
IF(
AND(
$AA39-$Z$4&lt;MAX(AQ$4,VLOOKUP(AQ$6, Table_ChiPhiNV_Ca[], COUNTA(Table_ChiPhiNV_Ca[[#Headers],[Ca]:[Bắt đầu]]),0)),
$AA39&gt;MIN(AQ$5,VLOOKUP(AQ$6, Table_ChiPhiNV_Ca[], COUNTA(Table_ChiPhiNV_Ca[[#Headers],[Ca]:[Kết thúc]]),0))),0,
SUM(_xlfn._xlws.FILTER(Table_BangLuong_TyLeTangCa[Tỷ lệ],
(Table_BangLuong_TyLeTangCa[Ngày] = "Thường") *
(Table_BangLuong_TyLeTangCa[Giờ min]&lt;=$AA39) *
(Table_BangLuong_TyLeTangCa[Giờ max]&gt;$AA39)
))),
IF(
AND(
$AA39-$Z$4&gt;=MAX(AQ$4,VLOOKUP(AQ$6, Table_ChiPhiNV_Ca[], COUNTA(Table_ChiPhiNV_Ca[[#Headers],[Ca]:[Bắt đầu]]),0)),
$AA39&lt;MIN(AQ$5,VLOOKUP(AQ$6, Table_ChiPhiNV_Ca[], COUNTA(Table_ChiPhiNV_Ca[[#Headers],[Ca]:[Kết thúc]]),0))),
SUM(_xlfn._xlws.FILTER(Table_BangLuong_TyLeTangCa[Tỷ lệ],
(Table_BangLuong_TyLeTangCa[Ngày] = "Thường") *
(Table_BangLuong_TyLeTangCa[Giờ min]&lt;=$AA39) *
(Table_BangLuong_TyLeTangCa[Giờ max]&gt;$AA39)
)),0)
)),
IF(AQ$4 &lt; AQ$5,
IF($AA39-$Z$4&lt;AQ$4,0,
IF($AA39&gt;AQ$5,0,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AQ$5,$AA39 &lt; AQ$4),0,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R39" s="18" cm="1">
        <f t="array" ref="AR39" xml:space="preserve">
IFERROR(
IF(AR$1="",0,
IF(AND(
$AA39&gt;=VLOOKUP(AR$6, Table_ChiPhiNV_Ca[], COUNTA(Table_ChiPhiNV_Ca[[#Headers],[Ca]:[Bắt đầu nghỉ]]),0),
$AA39&lt;VLOOKUP(AR$6, Table_ChiPhiNV_Ca[], COUNTA(Table_ChiPhiNV_Ca[[#Headers],[Ca]:[Kết thúc nghỉ]]),0)
),0,
IF(NOT(ISBLANK(AR$3)),
IF(ISBLANK(AR$7),0,
IF(AR$4 &lt; AR$5,
IF($AA39-$Z$4&lt;AR$4,0,
IF($AA39&gt;AR$5,0,
SUM(_xlfn._xlws.FILTER(Table_BangLuong_TyLeTangCa[Tỷ lệ],
(Table_BangLuong_TyLeTangCa[Ngày] = AR$3) *
(Table_BangLuong_TyLeTangCa[Giờ min]&lt;=$AA39) *
(Table_BangLuong_TyLeTangCa[Giờ max]&gt;$AA39)
)))),
IF(AND($AA39-$Z$4 &gt;= AR$5,$AA39 &lt; AR$4),0,
SUM(_xlfn._xlws.FILTER(Table_BangLuong_TyLeTangCa[Tỷ lệ],
(Table_BangLuong_TyLeTangCa[Ngày] = AR$3) *
(Table_BangLuong_TyLeTangCa[Giờ min]&lt;=$AA39) *
(Table_BangLuong_TyLeTangCa[Giờ max]&gt;$AA39)
))))
),
IF(ISBLANK(AR$7),
IF(VLOOKUP(AR$6, Table_ChiPhiNV_Ca[], COUNTA(Table_ChiPhiNV_Ca[[#Headers],[Ca]:[Kết thúc]]),0)&gt; VLOOKUP(AR$6, Table_ChiPhiNV_Ca[], COUNTA(Table_ChiPhiNV_Ca[[#Headers],[Ca]:[Bắt đầu]]),0),
IF($AA39-$Z$4&lt;MAX(AR$4,VLOOKUP(AR$6, Table_ChiPhiNV_Ca[], COUNTA(Table_ChiPhiNV_Ca[[#Headers],[Ca]:[Bắt đầu]]),0)),0,
IF($AA39&gt;MIN(AR$5,VLOOKUP(AR$6, Table_ChiPhiNV_Ca[], COUNTA(Table_ChiPhiNV_Ca[[#Headers],[Ca]:[Kết thúc]]),0)),0,
SUM(_xlfn._xlws.FILTER(Table_BangLuong_TyLeTangCa[Tỷ lệ],
(Table_BangLuong_TyLeTangCa[Ngày] = "Thường") *
(Table_BangLuong_TyLeTangCa[Giờ min]&lt;=$AA39) *
(Table_BangLuong_TyLeTangCa[Giờ max]&gt;$AA39)
)))),
IF(AR$4 &gt; AR$5,
IF(
AND(
$AA39-$Z$4&lt;MAX(AR$4,VLOOKUP(AR$6, Table_ChiPhiNV_Ca[], COUNTA(Table_ChiPhiNV_Ca[[#Headers],[Ca]:[Bắt đầu]]),0)),
$AA39&gt;MIN(AR$5,VLOOKUP(AR$6, Table_ChiPhiNV_Ca[], COUNTA(Table_ChiPhiNV_Ca[[#Headers],[Ca]:[Kết thúc]]),0))),0,
SUM(_xlfn._xlws.FILTER(Table_BangLuong_TyLeTangCa[Tỷ lệ],
(Table_BangLuong_TyLeTangCa[Ngày] = "Thường") *
(Table_BangLuong_TyLeTangCa[Giờ min]&lt;=$AA39) *
(Table_BangLuong_TyLeTangCa[Giờ max]&gt;$AA39)
))),
IF(
AND(
$AA39-$Z$4&gt;=MAX(AR$4,VLOOKUP(AR$6, Table_ChiPhiNV_Ca[], COUNTA(Table_ChiPhiNV_Ca[[#Headers],[Ca]:[Bắt đầu]]),0)),
$AA39&lt;MIN(AR$5,VLOOKUP(AR$6, Table_ChiPhiNV_Ca[], COUNTA(Table_ChiPhiNV_Ca[[#Headers],[Ca]:[Kết thúc]]),0))),
SUM(_xlfn._xlws.FILTER(Table_BangLuong_TyLeTangCa[Tỷ lệ],
(Table_BangLuong_TyLeTangCa[Ngày] = "Thường") *
(Table_BangLuong_TyLeTangCa[Giờ min]&lt;=$AA39) *
(Table_BangLuong_TyLeTangCa[Giờ max]&gt;$AA39)
)),0)
)),
IF(AR$4 &lt; AR$5,
IF($AA39-$Z$4&lt;AR$4,0,
IF($AA39&gt;AR$5,0,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AR$5,$AA39 &lt; AR$4),0,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S39" s="18" cm="1">
        <f t="array" ref="AS39" xml:space="preserve">
IFERROR(
IF(AS$1="",0,
IF(AND(
$AA39&gt;=VLOOKUP(AS$6, Table_ChiPhiNV_Ca[], COUNTA(Table_ChiPhiNV_Ca[[#Headers],[Ca]:[Bắt đầu nghỉ]]),0),
$AA39&lt;VLOOKUP(AS$6, Table_ChiPhiNV_Ca[], COUNTA(Table_ChiPhiNV_Ca[[#Headers],[Ca]:[Kết thúc nghỉ]]),0)
),0,
IF(NOT(ISBLANK(AS$3)),
IF(ISBLANK(AS$7),0,
IF(AS$4 &lt; AS$5,
IF($AA39-$Z$4&lt;AS$4,0,
IF($AA39&gt;AS$5,0,
SUM(_xlfn._xlws.FILTER(Table_BangLuong_TyLeTangCa[Tỷ lệ],
(Table_BangLuong_TyLeTangCa[Ngày] = AS$3) *
(Table_BangLuong_TyLeTangCa[Giờ min]&lt;=$AA39) *
(Table_BangLuong_TyLeTangCa[Giờ max]&gt;$AA39)
)))),
IF(AND($AA39-$Z$4 &gt;= AS$5,$AA39 &lt; AS$4),0,
SUM(_xlfn._xlws.FILTER(Table_BangLuong_TyLeTangCa[Tỷ lệ],
(Table_BangLuong_TyLeTangCa[Ngày] = AS$3) *
(Table_BangLuong_TyLeTangCa[Giờ min]&lt;=$AA39) *
(Table_BangLuong_TyLeTangCa[Giờ max]&gt;$AA39)
))))
),
IF(ISBLANK(AS$7),
IF(VLOOKUP(AS$6, Table_ChiPhiNV_Ca[], COUNTA(Table_ChiPhiNV_Ca[[#Headers],[Ca]:[Kết thúc]]),0)&gt; VLOOKUP(AS$6, Table_ChiPhiNV_Ca[], COUNTA(Table_ChiPhiNV_Ca[[#Headers],[Ca]:[Bắt đầu]]),0),
IF($AA39-$Z$4&lt;MAX(AS$4,VLOOKUP(AS$6, Table_ChiPhiNV_Ca[], COUNTA(Table_ChiPhiNV_Ca[[#Headers],[Ca]:[Bắt đầu]]),0)),0,
IF($AA39&gt;MIN(AS$5,VLOOKUP(AS$6, Table_ChiPhiNV_Ca[], COUNTA(Table_ChiPhiNV_Ca[[#Headers],[Ca]:[Kết thúc]]),0)),0,
SUM(_xlfn._xlws.FILTER(Table_BangLuong_TyLeTangCa[Tỷ lệ],
(Table_BangLuong_TyLeTangCa[Ngày] = "Thường") *
(Table_BangLuong_TyLeTangCa[Giờ min]&lt;=$AA39) *
(Table_BangLuong_TyLeTangCa[Giờ max]&gt;$AA39)
)))),
IF(AS$4 &gt; AS$5,
IF(
AND(
$AA39-$Z$4&lt;MAX(AS$4,VLOOKUP(AS$6, Table_ChiPhiNV_Ca[], COUNTA(Table_ChiPhiNV_Ca[[#Headers],[Ca]:[Bắt đầu]]),0)),
$AA39&gt;MIN(AS$5,VLOOKUP(AS$6, Table_ChiPhiNV_Ca[], COUNTA(Table_ChiPhiNV_Ca[[#Headers],[Ca]:[Kết thúc]]),0))),0,
SUM(_xlfn._xlws.FILTER(Table_BangLuong_TyLeTangCa[Tỷ lệ],
(Table_BangLuong_TyLeTangCa[Ngày] = "Thường") *
(Table_BangLuong_TyLeTangCa[Giờ min]&lt;=$AA39) *
(Table_BangLuong_TyLeTangCa[Giờ max]&gt;$AA39)
))),
IF(
AND(
$AA39-$Z$4&gt;=MAX(AS$4,VLOOKUP(AS$6, Table_ChiPhiNV_Ca[], COUNTA(Table_ChiPhiNV_Ca[[#Headers],[Ca]:[Bắt đầu]]),0)),
$AA39&lt;MIN(AS$5,VLOOKUP(AS$6, Table_ChiPhiNV_Ca[], COUNTA(Table_ChiPhiNV_Ca[[#Headers],[Ca]:[Kết thúc]]),0))),
SUM(_xlfn._xlws.FILTER(Table_BangLuong_TyLeTangCa[Tỷ lệ],
(Table_BangLuong_TyLeTangCa[Ngày] = "Thường") *
(Table_BangLuong_TyLeTangCa[Giờ min]&lt;=$AA39) *
(Table_BangLuong_TyLeTangCa[Giờ max]&gt;$AA39)
)),0)
)),
IF(AS$4 &lt; AS$5,
IF($AA39-$Z$4&lt;AS$4,0,
IF($AA39&gt;AS$5,0,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AS$5,$AA39 &lt; AS$4),0,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T39" s="18" cm="1">
        <f t="array" ref="AT39" xml:space="preserve">
IFERROR(
IF(AT$1="",0,
IF(AND(
$AA39&gt;=VLOOKUP(AT$6, Table_ChiPhiNV_Ca[], COUNTA(Table_ChiPhiNV_Ca[[#Headers],[Ca]:[Bắt đầu nghỉ]]),0),
$AA39&lt;VLOOKUP(AT$6, Table_ChiPhiNV_Ca[], COUNTA(Table_ChiPhiNV_Ca[[#Headers],[Ca]:[Kết thúc nghỉ]]),0)
),0,
IF(NOT(ISBLANK(AT$3)),
IF(ISBLANK(AT$7),0,
IF(AT$4 &lt; AT$5,
IF($AA39-$Z$4&lt;AT$4,0,
IF($AA39&gt;AT$5,0,
SUM(_xlfn._xlws.FILTER(Table_BangLuong_TyLeTangCa[Tỷ lệ],
(Table_BangLuong_TyLeTangCa[Ngày] = AT$3) *
(Table_BangLuong_TyLeTangCa[Giờ min]&lt;=$AA39) *
(Table_BangLuong_TyLeTangCa[Giờ max]&gt;$AA39)
)))),
IF(AND($AA39-$Z$4 &gt;= AT$5,$AA39 &lt; AT$4),0,
SUM(_xlfn._xlws.FILTER(Table_BangLuong_TyLeTangCa[Tỷ lệ],
(Table_BangLuong_TyLeTangCa[Ngày] = AT$3) *
(Table_BangLuong_TyLeTangCa[Giờ min]&lt;=$AA39) *
(Table_BangLuong_TyLeTangCa[Giờ max]&gt;$AA39)
))))
),
IF(ISBLANK(AT$7),
IF(VLOOKUP(AT$6, Table_ChiPhiNV_Ca[], COUNTA(Table_ChiPhiNV_Ca[[#Headers],[Ca]:[Kết thúc]]),0)&gt; VLOOKUP(AT$6, Table_ChiPhiNV_Ca[], COUNTA(Table_ChiPhiNV_Ca[[#Headers],[Ca]:[Bắt đầu]]),0),
IF($AA39-$Z$4&lt;MAX(AT$4,VLOOKUP(AT$6, Table_ChiPhiNV_Ca[], COUNTA(Table_ChiPhiNV_Ca[[#Headers],[Ca]:[Bắt đầu]]),0)),0,
IF($AA39&gt;MIN(AT$5,VLOOKUP(AT$6, Table_ChiPhiNV_Ca[], COUNTA(Table_ChiPhiNV_Ca[[#Headers],[Ca]:[Kết thúc]]),0)),0,
SUM(_xlfn._xlws.FILTER(Table_BangLuong_TyLeTangCa[Tỷ lệ],
(Table_BangLuong_TyLeTangCa[Ngày] = "Thường") *
(Table_BangLuong_TyLeTangCa[Giờ min]&lt;=$AA39) *
(Table_BangLuong_TyLeTangCa[Giờ max]&gt;$AA39)
)))),
IF(AT$4 &gt; AT$5,
IF(
AND(
$AA39-$Z$4&lt;MAX(AT$4,VLOOKUP(AT$6, Table_ChiPhiNV_Ca[], COUNTA(Table_ChiPhiNV_Ca[[#Headers],[Ca]:[Bắt đầu]]),0)),
$AA39&gt;MIN(AT$5,VLOOKUP(AT$6, Table_ChiPhiNV_Ca[], COUNTA(Table_ChiPhiNV_Ca[[#Headers],[Ca]:[Kết thúc]]),0))),0,
SUM(_xlfn._xlws.FILTER(Table_BangLuong_TyLeTangCa[Tỷ lệ],
(Table_BangLuong_TyLeTangCa[Ngày] = "Thường") *
(Table_BangLuong_TyLeTangCa[Giờ min]&lt;=$AA39) *
(Table_BangLuong_TyLeTangCa[Giờ max]&gt;$AA39)
))),
IF(
AND(
$AA39-$Z$4&gt;=MAX(AT$4,VLOOKUP(AT$6, Table_ChiPhiNV_Ca[], COUNTA(Table_ChiPhiNV_Ca[[#Headers],[Ca]:[Bắt đầu]]),0)),
$AA39&lt;MIN(AT$5,VLOOKUP(AT$6, Table_ChiPhiNV_Ca[], COUNTA(Table_ChiPhiNV_Ca[[#Headers],[Ca]:[Kết thúc]]),0))),
SUM(_xlfn._xlws.FILTER(Table_BangLuong_TyLeTangCa[Tỷ lệ],
(Table_BangLuong_TyLeTangCa[Ngày] = "Thường") *
(Table_BangLuong_TyLeTangCa[Giờ min]&lt;=$AA39) *
(Table_BangLuong_TyLeTangCa[Giờ max]&gt;$AA39)
)),0)
)),
IF(AT$4 &lt; AT$5,
IF($AA39-$Z$4&lt;AT$4,0,
IF($AA39&gt;AT$5,0,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AT$5,$AA39 &lt; AT$4),0,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U39" s="18" cm="1">
        <f t="array" ref="AU39" xml:space="preserve">
IFERROR(
IF(AU$1="",0,
IF(AND(
$AA39&gt;=VLOOKUP(AU$6, Table_ChiPhiNV_Ca[], COUNTA(Table_ChiPhiNV_Ca[[#Headers],[Ca]:[Bắt đầu nghỉ]]),0),
$AA39&lt;VLOOKUP(AU$6, Table_ChiPhiNV_Ca[], COUNTA(Table_ChiPhiNV_Ca[[#Headers],[Ca]:[Kết thúc nghỉ]]),0)
),0,
IF(NOT(ISBLANK(AU$3)),
IF(ISBLANK(AU$7),0,
IF(AU$4 &lt; AU$5,
IF($AA39-$Z$4&lt;AU$4,0,
IF($AA39&gt;AU$5,0,
SUM(_xlfn._xlws.FILTER(Table_BangLuong_TyLeTangCa[Tỷ lệ],
(Table_BangLuong_TyLeTangCa[Ngày] = AU$3) *
(Table_BangLuong_TyLeTangCa[Giờ min]&lt;=$AA39) *
(Table_BangLuong_TyLeTangCa[Giờ max]&gt;$AA39)
)))),
IF(AND($AA39-$Z$4 &gt;= AU$5,$AA39 &lt; AU$4),0,
SUM(_xlfn._xlws.FILTER(Table_BangLuong_TyLeTangCa[Tỷ lệ],
(Table_BangLuong_TyLeTangCa[Ngày] = AU$3) *
(Table_BangLuong_TyLeTangCa[Giờ min]&lt;=$AA39) *
(Table_BangLuong_TyLeTangCa[Giờ max]&gt;$AA39)
))))
),
IF(ISBLANK(AU$7),
IF(VLOOKUP(AU$6, Table_ChiPhiNV_Ca[], COUNTA(Table_ChiPhiNV_Ca[[#Headers],[Ca]:[Kết thúc]]),0)&gt; VLOOKUP(AU$6, Table_ChiPhiNV_Ca[], COUNTA(Table_ChiPhiNV_Ca[[#Headers],[Ca]:[Bắt đầu]]),0),
IF($AA39-$Z$4&lt;MAX(AU$4,VLOOKUP(AU$6, Table_ChiPhiNV_Ca[], COUNTA(Table_ChiPhiNV_Ca[[#Headers],[Ca]:[Bắt đầu]]),0)),0,
IF($AA39&gt;MIN(AU$5,VLOOKUP(AU$6, Table_ChiPhiNV_Ca[], COUNTA(Table_ChiPhiNV_Ca[[#Headers],[Ca]:[Kết thúc]]),0)),0,
SUM(_xlfn._xlws.FILTER(Table_BangLuong_TyLeTangCa[Tỷ lệ],
(Table_BangLuong_TyLeTangCa[Ngày] = "Thường") *
(Table_BangLuong_TyLeTangCa[Giờ min]&lt;=$AA39) *
(Table_BangLuong_TyLeTangCa[Giờ max]&gt;$AA39)
)))),
IF(AU$4 &gt; AU$5,
IF(
AND(
$AA39-$Z$4&lt;MAX(AU$4,VLOOKUP(AU$6, Table_ChiPhiNV_Ca[], COUNTA(Table_ChiPhiNV_Ca[[#Headers],[Ca]:[Bắt đầu]]),0)),
$AA39&gt;MIN(AU$5,VLOOKUP(AU$6, Table_ChiPhiNV_Ca[], COUNTA(Table_ChiPhiNV_Ca[[#Headers],[Ca]:[Kết thúc]]),0))),0,
SUM(_xlfn._xlws.FILTER(Table_BangLuong_TyLeTangCa[Tỷ lệ],
(Table_BangLuong_TyLeTangCa[Ngày] = "Thường") *
(Table_BangLuong_TyLeTangCa[Giờ min]&lt;=$AA39) *
(Table_BangLuong_TyLeTangCa[Giờ max]&gt;$AA39)
))),
IF(
AND(
$AA39-$Z$4&gt;=MAX(AU$4,VLOOKUP(AU$6, Table_ChiPhiNV_Ca[], COUNTA(Table_ChiPhiNV_Ca[[#Headers],[Ca]:[Bắt đầu]]),0)),
$AA39&lt;MIN(AU$5,VLOOKUP(AU$6, Table_ChiPhiNV_Ca[], COUNTA(Table_ChiPhiNV_Ca[[#Headers],[Ca]:[Kết thúc]]),0))),
SUM(_xlfn._xlws.FILTER(Table_BangLuong_TyLeTangCa[Tỷ lệ],
(Table_BangLuong_TyLeTangCa[Ngày] = "Thường") *
(Table_BangLuong_TyLeTangCa[Giờ min]&lt;=$AA39) *
(Table_BangLuong_TyLeTangCa[Giờ max]&gt;$AA39)
)),0)
)),
IF(AU$4 &lt; AU$5,
IF($AA39-$Z$4&lt;AU$4,0,
IF($AA39&gt;AU$5,0,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AU$5,$AA39 &lt; AU$4),0,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V39" s="18" cm="1">
        <f t="array" ref="AV39" xml:space="preserve">
IFERROR(
IF(AV$1="",0,
IF(AND(
$AA39&gt;=VLOOKUP(AV$6, Table_ChiPhiNV_Ca[], COUNTA(Table_ChiPhiNV_Ca[[#Headers],[Ca]:[Bắt đầu nghỉ]]),0),
$AA39&lt;VLOOKUP(AV$6, Table_ChiPhiNV_Ca[], COUNTA(Table_ChiPhiNV_Ca[[#Headers],[Ca]:[Kết thúc nghỉ]]),0)
),0,
IF(NOT(ISBLANK(AV$3)),
IF(ISBLANK(AV$7),0,
IF(AV$4 &lt; AV$5,
IF($AA39-$Z$4&lt;AV$4,0,
IF($AA39&gt;AV$5,0,
SUM(_xlfn._xlws.FILTER(Table_BangLuong_TyLeTangCa[Tỷ lệ],
(Table_BangLuong_TyLeTangCa[Ngày] = AV$3) *
(Table_BangLuong_TyLeTangCa[Giờ min]&lt;=$AA39) *
(Table_BangLuong_TyLeTangCa[Giờ max]&gt;$AA39)
)))),
IF(AND($AA39-$Z$4 &gt;= AV$5,$AA39 &lt; AV$4),0,
SUM(_xlfn._xlws.FILTER(Table_BangLuong_TyLeTangCa[Tỷ lệ],
(Table_BangLuong_TyLeTangCa[Ngày] = AV$3) *
(Table_BangLuong_TyLeTangCa[Giờ min]&lt;=$AA39) *
(Table_BangLuong_TyLeTangCa[Giờ max]&gt;$AA39)
))))
),
IF(ISBLANK(AV$7),
IF(VLOOKUP(AV$6, Table_ChiPhiNV_Ca[], COUNTA(Table_ChiPhiNV_Ca[[#Headers],[Ca]:[Kết thúc]]),0)&gt; VLOOKUP(AV$6, Table_ChiPhiNV_Ca[], COUNTA(Table_ChiPhiNV_Ca[[#Headers],[Ca]:[Bắt đầu]]),0),
IF($AA39-$Z$4&lt;MAX(AV$4,VLOOKUP(AV$6, Table_ChiPhiNV_Ca[], COUNTA(Table_ChiPhiNV_Ca[[#Headers],[Ca]:[Bắt đầu]]),0)),0,
IF($AA39&gt;MIN(AV$5,VLOOKUP(AV$6, Table_ChiPhiNV_Ca[], COUNTA(Table_ChiPhiNV_Ca[[#Headers],[Ca]:[Kết thúc]]),0)),0,
SUM(_xlfn._xlws.FILTER(Table_BangLuong_TyLeTangCa[Tỷ lệ],
(Table_BangLuong_TyLeTangCa[Ngày] = "Thường") *
(Table_BangLuong_TyLeTangCa[Giờ min]&lt;=$AA39) *
(Table_BangLuong_TyLeTangCa[Giờ max]&gt;$AA39)
)))),
IF(AV$4 &gt; AV$5,
IF(
AND(
$AA39-$Z$4&lt;MAX(AV$4,VLOOKUP(AV$6, Table_ChiPhiNV_Ca[], COUNTA(Table_ChiPhiNV_Ca[[#Headers],[Ca]:[Bắt đầu]]),0)),
$AA39&gt;MIN(AV$5,VLOOKUP(AV$6, Table_ChiPhiNV_Ca[], COUNTA(Table_ChiPhiNV_Ca[[#Headers],[Ca]:[Kết thúc]]),0))),0,
SUM(_xlfn._xlws.FILTER(Table_BangLuong_TyLeTangCa[Tỷ lệ],
(Table_BangLuong_TyLeTangCa[Ngày] = "Thường") *
(Table_BangLuong_TyLeTangCa[Giờ min]&lt;=$AA39) *
(Table_BangLuong_TyLeTangCa[Giờ max]&gt;$AA39)
))),
IF(
AND(
$AA39-$Z$4&gt;=MAX(AV$4,VLOOKUP(AV$6, Table_ChiPhiNV_Ca[], COUNTA(Table_ChiPhiNV_Ca[[#Headers],[Ca]:[Bắt đầu]]),0)),
$AA39&lt;MIN(AV$5,VLOOKUP(AV$6, Table_ChiPhiNV_Ca[], COUNTA(Table_ChiPhiNV_Ca[[#Headers],[Ca]:[Kết thúc]]),0))),
SUM(_xlfn._xlws.FILTER(Table_BangLuong_TyLeTangCa[Tỷ lệ],
(Table_BangLuong_TyLeTangCa[Ngày] = "Thường") *
(Table_BangLuong_TyLeTangCa[Giờ min]&lt;=$AA39) *
(Table_BangLuong_TyLeTangCa[Giờ max]&gt;$AA39)
)),0)
)),
IF(AV$4 &lt; AV$5,
IF($AA39-$Z$4&lt;AV$4,0,
IF($AA39&gt;AV$5,0,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AV$5,$AA39 &lt; AV$4),0,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W39" s="18" cm="1">
        <f t="array" ref="AW39" xml:space="preserve">
IFERROR(
IF(AW$1="",0,
IF(AND(
$AA39&gt;=VLOOKUP(AW$6, Table_ChiPhiNV_Ca[], COUNTA(Table_ChiPhiNV_Ca[[#Headers],[Ca]:[Bắt đầu nghỉ]]),0),
$AA39&lt;VLOOKUP(AW$6, Table_ChiPhiNV_Ca[], COUNTA(Table_ChiPhiNV_Ca[[#Headers],[Ca]:[Kết thúc nghỉ]]),0)
),0,
IF(NOT(ISBLANK(AW$3)),
IF(ISBLANK(AW$7),0,
IF(AW$4 &lt; AW$5,
IF($AA39-$Z$4&lt;AW$4,0,
IF($AA39&gt;AW$5,0,
SUM(_xlfn._xlws.FILTER(Table_BangLuong_TyLeTangCa[Tỷ lệ],
(Table_BangLuong_TyLeTangCa[Ngày] = AW$3) *
(Table_BangLuong_TyLeTangCa[Giờ min]&lt;=$AA39) *
(Table_BangLuong_TyLeTangCa[Giờ max]&gt;$AA39)
)))),
IF(AND($AA39-$Z$4 &gt;= AW$5,$AA39 &lt; AW$4),0,
SUM(_xlfn._xlws.FILTER(Table_BangLuong_TyLeTangCa[Tỷ lệ],
(Table_BangLuong_TyLeTangCa[Ngày] = AW$3) *
(Table_BangLuong_TyLeTangCa[Giờ min]&lt;=$AA39) *
(Table_BangLuong_TyLeTangCa[Giờ max]&gt;$AA39)
))))
),
IF(ISBLANK(AW$7),
IF(VLOOKUP(AW$6, Table_ChiPhiNV_Ca[], COUNTA(Table_ChiPhiNV_Ca[[#Headers],[Ca]:[Kết thúc]]),0)&gt; VLOOKUP(AW$6, Table_ChiPhiNV_Ca[], COUNTA(Table_ChiPhiNV_Ca[[#Headers],[Ca]:[Bắt đầu]]),0),
IF($AA39-$Z$4&lt;MAX(AW$4,VLOOKUP(AW$6, Table_ChiPhiNV_Ca[], COUNTA(Table_ChiPhiNV_Ca[[#Headers],[Ca]:[Bắt đầu]]),0)),0,
IF($AA39&gt;MIN(AW$5,VLOOKUP(AW$6, Table_ChiPhiNV_Ca[], COUNTA(Table_ChiPhiNV_Ca[[#Headers],[Ca]:[Kết thúc]]),0)),0,
SUM(_xlfn._xlws.FILTER(Table_BangLuong_TyLeTangCa[Tỷ lệ],
(Table_BangLuong_TyLeTangCa[Ngày] = "Thường") *
(Table_BangLuong_TyLeTangCa[Giờ min]&lt;=$AA39) *
(Table_BangLuong_TyLeTangCa[Giờ max]&gt;$AA39)
)))),
IF(AW$4 &gt; AW$5,
IF(
AND(
$AA39-$Z$4&lt;MAX(AW$4,VLOOKUP(AW$6, Table_ChiPhiNV_Ca[], COUNTA(Table_ChiPhiNV_Ca[[#Headers],[Ca]:[Bắt đầu]]),0)),
$AA39&gt;MIN(AW$5,VLOOKUP(AW$6, Table_ChiPhiNV_Ca[], COUNTA(Table_ChiPhiNV_Ca[[#Headers],[Ca]:[Kết thúc]]),0))),0,
SUM(_xlfn._xlws.FILTER(Table_BangLuong_TyLeTangCa[Tỷ lệ],
(Table_BangLuong_TyLeTangCa[Ngày] = "Thường") *
(Table_BangLuong_TyLeTangCa[Giờ min]&lt;=$AA39) *
(Table_BangLuong_TyLeTangCa[Giờ max]&gt;$AA39)
))),
IF(
AND(
$AA39-$Z$4&gt;=MAX(AW$4,VLOOKUP(AW$6, Table_ChiPhiNV_Ca[], COUNTA(Table_ChiPhiNV_Ca[[#Headers],[Ca]:[Bắt đầu]]),0)),
$AA39&lt;MIN(AW$5,VLOOKUP(AW$6, Table_ChiPhiNV_Ca[], COUNTA(Table_ChiPhiNV_Ca[[#Headers],[Ca]:[Kết thúc]]),0))),
SUM(_xlfn._xlws.FILTER(Table_BangLuong_TyLeTangCa[Tỷ lệ],
(Table_BangLuong_TyLeTangCa[Ngày] = "Thường") *
(Table_BangLuong_TyLeTangCa[Giờ min]&lt;=$AA39) *
(Table_BangLuong_TyLeTangCa[Giờ max]&gt;$AA39)
)),0)
)),
IF(AW$4 &lt; AW$5,
IF($AA39-$Z$4&lt;AW$4,0,
IF($AA39&gt;AW$5,0,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AW$5,$AA39 &lt; AW$4),0,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X39" s="18" cm="1">
        <f t="array" ref="AX39" xml:space="preserve">
IFERROR(
IF(AX$1="",0,
IF(AND(
$AA39&gt;=VLOOKUP(AX$6, Table_ChiPhiNV_Ca[], COUNTA(Table_ChiPhiNV_Ca[[#Headers],[Ca]:[Bắt đầu nghỉ]]),0),
$AA39&lt;VLOOKUP(AX$6, Table_ChiPhiNV_Ca[], COUNTA(Table_ChiPhiNV_Ca[[#Headers],[Ca]:[Kết thúc nghỉ]]),0)
),0,
IF(NOT(ISBLANK(AX$3)),
IF(ISBLANK(AX$7),0,
IF(AX$4 &lt; AX$5,
IF($AA39-$Z$4&lt;AX$4,0,
IF($AA39&gt;AX$5,0,
SUM(_xlfn._xlws.FILTER(Table_BangLuong_TyLeTangCa[Tỷ lệ],
(Table_BangLuong_TyLeTangCa[Ngày] = AX$3) *
(Table_BangLuong_TyLeTangCa[Giờ min]&lt;=$AA39) *
(Table_BangLuong_TyLeTangCa[Giờ max]&gt;$AA39)
)))),
IF(AND($AA39-$Z$4 &gt;= AX$5,$AA39 &lt; AX$4),0,
SUM(_xlfn._xlws.FILTER(Table_BangLuong_TyLeTangCa[Tỷ lệ],
(Table_BangLuong_TyLeTangCa[Ngày] = AX$3) *
(Table_BangLuong_TyLeTangCa[Giờ min]&lt;=$AA39) *
(Table_BangLuong_TyLeTangCa[Giờ max]&gt;$AA39)
))))
),
IF(ISBLANK(AX$7),
IF(VLOOKUP(AX$6, Table_ChiPhiNV_Ca[], COUNTA(Table_ChiPhiNV_Ca[[#Headers],[Ca]:[Kết thúc]]),0)&gt; VLOOKUP(AX$6, Table_ChiPhiNV_Ca[], COUNTA(Table_ChiPhiNV_Ca[[#Headers],[Ca]:[Bắt đầu]]),0),
IF($AA39-$Z$4&lt;MAX(AX$4,VLOOKUP(AX$6, Table_ChiPhiNV_Ca[], COUNTA(Table_ChiPhiNV_Ca[[#Headers],[Ca]:[Bắt đầu]]),0)),0,
IF($AA39&gt;MIN(AX$5,VLOOKUP(AX$6, Table_ChiPhiNV_Ca[], COUNTA(Table_ChiPhiNV_Ca[[#Headers],[Ca]:[Kết thúc]]),0)),0,
SUM(_xlfn._xlws.FILTER(Table_BangLuong_TyLeTangCa[Tỷ lệ],
(Table_BangLuong_TyLeTangCa[Ngày] = "Thường") *
(Table_BangLuong_TyLeTangCa[Giờ min]&lt;=$AA39) *
(Table_BangLuong_TyLeTangCa[Giờ max]&gt;$AA39)
)))),
IF(AX$4 &gt; AX$5,
IF(
AND(
$AA39-$Z$4&lt;MAX(AX$4,VLOOKUP(AX$6, Table_ChiPhiNV_Ca[], COUNTA(Table_ChiPhiNV_Ca[[#Headers],[Ca]:[Bắt đầu]]),0)),
$AA39&gt;MIN(AX$5,VLOOKUP(AX$6, Table_ChiPhiNV_Ca[], COUNTA(Table_ChiPhiNV_Ca[[#Headers],[Ca]:[Kết thúc]]),0))),0,
SUM(_xlfn._xlws.FILTER(Table_BangLuong_TyLeTangCa[Tỷ lệ],
(Table_BangLuong_TyLeTangCa[Ngày] = "Thường") *
(Table_BangLuong_TyLeTangCa[Giờ min]&lt;=$AA39) *
(Table_BangLuong_TyLeTangCa[Giờ max]&gt;$AA39)
))),
IF(
AND(
$AA39-$Z$4&gt;=MAX(AX$4,VLOOKUP(AX$6, Table_ChiPhiNV_Ca[], COUNTA(Table_ChiPhiNV_Ca[[#Headers],[Ca]:[Bắt đầu]]),0)),
$AA39&lt;MIN(AX$5,VLOOKUP(AX$6, Table_ChiPhiNV_Ca[], COUNTA(Table_ChiPhiNV_Ca[[#Headers],[Ca]:[Kết thúc]]),0))),
SUM(_xlfn._xlws.FILTER(Table_BangLuong_TyLeTangCa[Tỷ lệ],
(Table_BangLuong_TyLeTangCa[Ngày] = "Thường") *
(Table_BangLuong_TyLeTangCa[Giờ min]&lt;=$AA39) *
(Table_BangLuong_TyLeTangCa[Giờ max]&gt;$AA39)
)),0)
)),
IF(AX$4 &lt; AX$5,
IF($AA39-$Z$4&lt;AX$4,0,
IF($AA39&gt;AX$5,0,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AX$5,$AA39 &lt; AX$4),0,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Y39" s="18" cm="1">
        <f t="array" ref="AY39" xml:space="preserve">
IFERROR(
IF(AY$1="",0,
IF(AND(
$AA39&gt;=VLOOKUP(AY$6, Table_ChiPhiNV_Ca[], COUNTA(Table_ChiPhiNV_Ca[[#Headers],[Ca]:[Bắt đầu nghỉ]]),0),
$AA39&lt;VLOOKUP(AY$6, Table_ChiPhiNV_Ca[], COUNTA(Table_ChiPhiNV_Ca[[#Headers],[Ca]:[Kết thúc nghỉ]]),0)
),0,
IF(NOT(ISBLANK(AY$3)),
IF(ISBLANK(AY$7),0,
IF(AY$4 &lt; AY$5,
IF($AA39-$Z$4&lt;AY$4,0,
IF($AA39&gt;AY$5,0,
SUM(_xlfn._xlws.FILTER(Table_BangLuong_TyLeTangCa[Tỷ lệ],
(Table_BangLuong_TyLeTangCa[Ngày] = AY$3) *
(Table_BangLuong_TyLeTangCa[Giờ min]&lt;=$AA39) *
(Table_BangLuong_TyLeTangCa[Giờ max]&gt;$AA39)
)))),
IF(AND($AA39-$Z$4 &gt;= AY$5,$AA39 &lt; AY$4),0,
SUM(_xlfn._xlws.FILTER(Table_BangLuong_TyLeTangCa[Tỷ lệ],
(Table_BangLuong_TyLeTangCa[Ngày] = AY$3) *
(Table_BangLuong_TyLeTangCa[Giờ min]&lt;=$AA39) *
(Table_BangLuong_TyLeTangCa[Giờ max]&gt;$AA39)
))))
),
IF(ISBLANK(AY$7),
IF(VLOOKUP(AY$6, Table_ChiPhiNV_Ca[], COUNTA(Table_ChiPhiNV_Ca[[#Headers],[Ca]:[Kết thúc]]),0)&gt; VLOOKUP(AY$6, Table_ChiPhiNV_Ca[], COUNTA(Table_ChiPhiNV_Ca[[#Headers],[Ca]:[Bắt đầu]]),0),
IF($AA39-$Z$4&lt;MAX(AY$4,VLOOKUP(AY$6, Table_ChiPhiNV_Ca[], COUNTA(Table_ChiPhiNV_Ca[[#Headers],[Ca]:[Bắt đầu]]),0)),0,
IF($AA39&gt;MIN(AY$5,VLOOKUP(AY$6, Table_ChiPhiNV_Ca[], COUNTA(Table_ChiPhiNV_Ca[[#Headers],[Ca]:[Kết thúc]]),0)),0,
SUM(_xlfn._xlws.FILTER(Table_BangLuong_TyLeTangCa[Tỷ lệ],
(Table_BangLuong_TyLeTangCa[Ngày] = "Thường") *
(Table_BangLuong_TyLeTangCa[Giờ min]&lt;=$AA39) *
(Table_BangLuong_TyLeTangCa[Giờ max]&gt;$AA39)
)))),
IF(AY$4 &gt; AY$5,
IF(
AND(
$AA39-$Z$4&lt;MAX(AY$4,VLOOKUP(AY$6, Table_ChiPhiNV_Ca[], COUNTA(Table_ChiPhiNV_Ca[[#Headers],[Ca]:[Bắt đầu]]),0)),
$AA39&gt;MIN(AY$5,VLOOKUP(AY$6, Table_ChiPhiNV_Ca[], COUNTA(Table_ChiPhiNV_Ca[[#Headers],[Ca]:[Kết thúc]]),0))),0,
SUM(_xlfn._xlws.FILTER(Table_BangLuong_TyLeTangCa[Tỷ lệ],
(Table_BangLuong_TyLeTangCa[Ngày] = "Thường") *
(Table_BangLuong_TyLeTangCa[Giờ min]&lt;=$AA39) *
(Table_BangLuong_TyLeTangCa[Giờ max]&gt;$AA39)
))),
IF(
AND(
$AA39-$Z$4&gt;=MAX(AY$4,VLOOKUP(AY$6, Table_ChiPhiNV_Ca[], COUNTA(Table_ChiPhiNV_Ca[[#Headers],[Ca]:[Bắt đầu]]),0)),
$AA39&lt;MIN(AY$5,VLOOKUP(AY$6, Table_ChiPhiNV_Ca[], COUNTA(Table_ChiPhiNV_Ca[[#Headers],[Ca]:[Kết thúc]]),0))),
SUM(_xlfn._xlws.FILTER(Table_BangLuong_TyLeTangCa[Tỷ lệ],
(Table_BangLuong_TyLeTangCa[Ngày] = "Thường") *
(Table_BangLuong_TyLeTangCa[Giờ min]&lt;=$AA39) *
(Table_BangLuong_TyLeTangCa[Giờ max]&gt;$AA39)
)),0)
)),
IF(AY$4 &lt; AY$5,
IF($AA39-$Z$4&lt;AY$4,0,
IF($AA39&gt;AY$5,0,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AY$5,$AA39 &lt; AY$4),0,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Z39" s="18" cm="1">
        <f t="array" ref="AZ39" xml:space="preserve">
IFERROR(
IF(AZ$1="",0,
IF(AND(
$AA39&gt;=VLOOKUP(AZ$6, Table_ChiPhiNV_Ca[], COUNTA(Table_ChiPhiNV_Ca[[#Headers],[Ca]:[Bắt đầu nghỉ]]),0),
$AA39&lt;VLOOKUP(AZ$6, Table_ChiPhiNV_Ca[], COUNTA(Table_ChiPhiNV_Ca[[#Headers],[Ca]:[Kết thúc nghỉ]]),0)
),0,
IF(NOT(ISBLANK(AZ$3)),
IF(ISBLANK(AZ$7),0,
IF(AZ$4 &lt; AZ$5,
IF($AA39-$Z$4&lt;AZ$4,0,
IF($AA39&gt;AZ$5,0,
SUM(_xlfn._xlws.FILTER(Table_BangLuong_TyLeTangCa[Tỷ lệ],
(Table_BangLuong_TyLeTangCa[Ngày] = AZ$3) *
(Table_BangLuong_TyLeTangCa[Giờ min]&lt;=$AA39) *
(Table_BangLuong_TyLeTangCa[Giờ max]&gt;$AA39)
)))),
IF(AND($AA39-$Z$4 &gt;= AZ$5,$AA39 &lt; AZ$4),0,
SUM(_xlfn._xlws.FILTER(Table_BangLuong_TyLeTangCa[Tỷ lệ],
(Table_BangLuong_TyLeTangCa[Ngày] = AZ$3) *
(Table_BangLuong_TyLeTangCa[Giờ min]&lt;=$AA39) *
(Table_BangLuong_TyLeTangCa[Giờ max]&gt;$AA39)
))))
),
IF(ISBLANK(AZ$7),
IF(VLOOKUP(AZ$6, Table_ChiPhiNV_Ca[], COUNTA(Table_ChiPhiNV_Ca[[#Headers],[Ca]:[Kết thúc]]),0)&gt; VLOOKUP(AZ$6, Table_ChiPhiNV_Ca[], COUNTA(Table_ChiPhiNV_Ca[[#Headers],[Ca]:[Bắt đầu]]),0),
IF($AA39-$Z$4&lt;MAX(AZ$4,VLOOKUP(AZ$6, Table_ChiPhiNV_Ca[], COUNTA(Table_ChiPhiNV_Ca[[#Headers],[Ca]:[Bắt đầu]]),0)),0,
IF($AA39&gt;MIN(AZ$5,VLOOKUP(AZ$6, Table_ChiPhiNV_Ca[], COUNTA(Table_ChiPhiNV_Ca[[#Headers],[Ca]:[Kết thúc]]),0)),0,
SUM(_xlfn._xlws.FILTER(Table_BangLuong_TyLeTangCa[Tỷ lệ],
(Table_BangLuong_TyLeTangCa[Ngày] = "Thường") *
(Table_BangLuong_TyLeTangCa[Giờ min]&lt;=$AA39) *
(Table_BangLuong_TyLeTangCa[Giờ max]&gt;$AA39)
)))),
IF(AZ$4 &gt; AZ$5,
IF(
AND(
$AA39-$Z$4&lt;MAX(AZ$4,VLOOKUP(AZ$6, Table_ChiPhiNV_Ca[], COUNTA(Table_ChiPhiNV_Ca[[#Headers],[Ca]:[Bắt đầu]]),0)),
$AA39&gt;MIN(AZ$5,VLOOKUP(AZ$6, Table_ChiPhiNV_Ca[], COUNTA(Table_ChiPhiNV_Ca[[#Headers],[Ca]:[Kết thúc]]),0))),0,
SUM(_xlfn._xlws.FILTER(Table_BangLuong_TyLeTangCa[Tỷ lệ],
(Table_BangLuong_TyLeTangCa[Ngày] = "Thường") *
(Table_BangLuong_TyLeTangCa[Giờ min]&lt;=$AA39) *
(Table_BangLuong_TyLeTangCa[Giờ max]&gt;$AA39)
))),
IF(
AND(
$AA39-$Z$4&gt;=MAX(AZ$4,VLOOKUP(AZ$6, Table_ChiPhiNV_Ca[], COUNTA(Table_ChiPhiNV_Ca[[#Headers],[Ca]:[Bắt đầu]]),0)),
$AA39&lt;MIN(AZ$5,VLOOKUP(AZ$6, Table_ChiPhiNV_Ca[], COUNTA(Table_ChiPhiNV_Ca[[#Headers],[Ca]:[Kết thúc]]),0))),
SUM(_xlfn._xlws.FILTER(Table_BangLuong_TyLeTangCa[Tỷ lệ],
(Table_BangLuong_TyLeTangCa[Ngày] = "Thường") *
(Table_BangLuong_TyLeTangCa[Giờ min]&lt;=$AA39) *
(Table_BangLuong_TyLeTangCa[Giờ max]&gt;$AA39)
)),0)
)),
IF(AZ$4 &lt; AZ$5,
IF($AA39-$Z$4&lt;AZ$4,0,
IF($AA39&gt;AZ$5,0,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AZ$5,$AA39 &lt; AZ$4),0,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A39" s="18" cm="1">
        <f t="array" ref="BA39" xml:space="preserve">
IFERROR(
IF(BA$1="",0,
IF(AND(
$AA39&gt;=VLOOKUP(BA$6, Table_ChiPhiNV_Ca[], COUNTA(Table_ChiPhiNV_Ca[[#Headers],[Ca]:[Bắt đầu nghỉ]]),0),
$AA39&lt;VLOOKUP(BA$6, Table_ChiPhiNV_Ca[], COUNTA(Table_ChiPhiNV_Ca[[#Headers],[Ca]:[Kết thúc nghỉ]]),0)
),0,
IF(NOT(ISBLANK(BA$3)),
IF(ISBLANK(BA$7),0,
IF(BA$4 &lt; BA$5,
IF($AA39-$Z$4&lt;BA$4,0,
IF($AA39&gt;BA$5,0,
SUM(_xlfn._xlws.FILTER(Table_BangLuong_TyLeTangCa[Tỷ lệ],
(Table_BangLuong_TyLeTangCa[Ngày] = BA$3) *
(Table_BangLuong_TyLeTangCa[Giờ min]&lt;=$AA39) *
(Table_BangLuong_TyLeTangCa[Giờ max]&gt;$AA39)
)))),
IF(AND($AA39-$Z$4 &gt;= BA$5,$AA39 &lt; BA$4),0,
SUM(_xlfn._xlws.FILTER(Table_BangLuong_TyLeTangCa[Tỷ lệ],
(Table_BangLuong_TyLeTangCa[Ngày] = BA$3) *
(Table_BangLuong_TyLeTangCa[Giờ min]&lt;=$AA39) *
(Table_BangLuong_TyLeTangCa[Giờ max]&gt;$AA39)
))))
),
IF(ISBLANK(BA$7),
IF(VLOOKUP(BA$6, Table_ChiPhiNV_Ca[], COUNTA(Table_ChiPhiNV_Ca[[#Headers],[Ca]:[Kết thúc]]),0)&gt; VLOOKUP(BA$6, Table_ChiPhiNV_Ca[], COUNTA(Table_ChiPhiNV_Ca[[#Headers],[Ca]:[Bắt đầu]]),0),
IF($AA39-$Z$4&lt;MAX(BA$4,VLOOKUP(BA$6, Table_ChiPhiNV_Ca[], COUNTA(Table_ChiPhiNV_Ca[[#Headers],[Ca]:[Bắt đầu]]),0)),0,
IF($AA39&gt;MIN(BA$5,VLOOKUP(BA$6, Table_ChiPhiNV_Ca[], COUNTA(Table_ChiPhiNV_Ca[[#Headers],[Ca]:[Kết thúc]]),0)),0,
SUM(_xlfn._xlws.FILTER(Table_BangLuong_TyLeTangCa[Tỷ lệ],
(Table_BangLuong_TyLeTangCa[Ngày] = "Thường") *
(Table_BangLuong_TyLeTangCa[Giờ min]&lt;=$AA39) *
(Table_BangLuong_TyLeTangCa[Giờ max]&gt;$AA39)
)))),
IF(BA$4 &gt; BA$5,
IF(
AND(
$AA39-$Z$4&lt;MAX(BA$4,VLOOKUP(BA$6, Table_ChiPhiNV_Ca[], COUNTA(Table_ChiPhiNV_Ca[[#Headers],[Ca]:[Bắt đầu]]),0)),
$AA39&gt;MIN(BA$5,VLOOKUP(BA$6, Table_ChiPhiNV_Ca[], COUNTA(Table_ChiPhiNV_Ca[[#Headers],[Ca]:[Kết thúc]]),0))),0,
SUM(_xlfn._xlws.FILTER(Table_BangLuong_TyLeTangCa[Tỷ lệ],
(Table_BangLuong_TyLeTangCa[Ngày] = "Thường") *
(Table_BangLuong_TyLeTangCa[Giờ min]&lt;=$AA39) *
(Table_BangLuong_TyLeTangCa[Giờ max]&gt;$AA39)
))),
IF(
AND(
$AA39-$Z$4&gt;=MAX(BA$4,VLOOKUP(BA$6, Table_ChiPhiNV_Ca[], COUNTA(Table_ChiPhiNV_Ca[[#Headers],[Ca]:[Bắt đầu]]),0)),
$AA39&lt;MIN(BA$5,VLOOKUP(BA$6, Table_ChiPhiNV_Ca[], COUNTA(Table_ChiPhiNV_Ca[[#Headers],[Ca]:[Kết thúc]]),0))),
SUM(_xlfn._xlws.FILTER(Table_BangLuong_TyLeTangCa[Tỷ lệ],
(Table_BangLuong_TyLeTangCa[Ngày] = "Thường") *
(Table_BangLuong_TyLeTangCa[Giờ min]&lt;=$AA39) *
(Table_BangLuong_TyLeTangCa[Giờ max]&gt;$AA39)
)),0)
)),
IF(BA$4 &lt; BA$5,
IF($AA39-$Z$4&lt;BA$4,0,
IF($AA39&gt;BA$5,0,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BA$5,$AA39 &lt; BA$4),0,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B39" s="18" cm="1">
        <f t="array" ref="BB39" xml:space="preserve">
IFERROR(
IF(BB$1="",0,
IF(AND(
$AA39&gt;=VLOOKUP(BB$6, Table_ChiPhiNV_Ca[], COUNTA(Table_ChiPhiNV_Ca[[#Headers],[Ca]:[Bắt đầu nghỉ]]),0),
$AA39&lt;VLOOKUP(BB$6, Table_ChiPhiNV_Ca[], COUNTA(Table_ChiPhiNV_Ca[[#Headers],[Ca]:[Kết thúc nghỉ]]),0)
),0,
IF(NOT(ISBLANK(BB$3)),
IF(ISBLANK(BB$7),0,
IF(BB$4 &lt; BB$5,
IF($AA39-$Z$4&lt;BB$4,0,
IF($AA39&gt;BB$5,0,
SUM(_xlfn._xlws.FILTER(Table_BangLuong_TyLeTangCa[Tỷ lệ],
(Table_BangLuong_TyLeTangCa[Ngày] = BB$3) *
(Table_BangLuong_TyLeTangCa[Giờ min]&lt;=$AA39) *
(Table_BangLuong_TyLeTangCa[Giờ max]&gt;$AA39)
)))),
IF(AND($AA39-$Z$4 &gt;= BB$5,$AA39 &lt; BB$4),0,
SUM(_xlfn._xlws.FILTER(Table_BangLuong_TyLeTangCa[Tỷ lệ],
(Table_BangLuong_TyLeTangCa[Ngày] = BB$3) *
(Table_BangLuong_TyLeTangCa[Giờ min]&lt;=$AA39) *
(Table_BangLuong_TyLeTangCa[Giờ max]&gt;$AA39)
))))
),
IF(ISBLANK(BB$7),
IF(VLOOKUP(BB$6, Table_ChiPhiNV_Ca[], COUNTA(Table_ChiPhiNV_Ca[[#Headers],[Ca]:[Kết thúc]]),0)&gt; VLOOKUP(BB$6, Table_ChiPhiNV_Ca[], COUNTA(Table_ChiPhiNV_Ca[[#Headers],[Ca]:[Bắt đầu]]),0),
IF($AA39-$Z$4&lt;MAX(BB$4,VLOOKUP(BB$6, Table_ChiPhiNV_Ca[], COUNTA(Table_ChiPhiNV_Ca[[#Headers],[Ca]:[Bắt đầu]]),0)),0,
IF($AA39&gt;MIN(BB$5,VLOOKUP(BB$6, Table_ChiPhiNV_Ca[], COUNTA(Table_ChiPhiNV_Ca[[#Headers],[Ca]:[Kết thúc]]),0)),0,
SUM(_xlfn._xlws.FILTER(Table_BangLuong_TyLeTangCa[Tỷ lệ],
(Table_BangLuong_TyLeTangCa[Ngày] = "Thường") *
(Table_BangLuong_TyLeTangCa[Giờ min]&lt;=$AA39) *
(Table_BangLuong_TyLeTangCa[Giờ max]&gt;$AA39)
)))),
IF(BB$4 &gt; BB$5,
IF(
AND(
$AA39-$Z$4&lt;MAX(BB$4,VLOOKUP(BB$6, Table_ChiPhiNV_Ca[], COUNTA(Table_ChiPhiNV_Ca[[#Headers],[Ca]:[Bắt đầu]]),0)),
$AA39&gt;MIN(BB$5,VLOOKUP(BB$6, Table_ChiPhiNV_Ca[], COUNTA(Table_ChiPhiNV_Ca[[#Headers],[Ca]:[Kết thúc]]),0))),0,
SUM(_xlfn._xlws.FILTER(Table_BangLuong_TyLeTangCa[Tỷ lệ],
(Table_BangLuong_TyLeTangCa[Ngày] = "Thường") *
(Table_BangLuong_TyLeTangCa[Giờ min]&lt;=$AA39) *
(Table_BangLuong_TyLeTangCa[Giờ max]&gt;$AA39)
))),
IF(
AND(
$AA39-$Z$4&gt;=MAX(BB$4,VLOOKUP(BB$6, Table_ChiPhiNV_Ca[], COUNTA(Table_ChiPhiNV_Ca[[#Headers],[Ca]:[Bắt đầu]]),0)),
$AA39&lt;MIN(BB$5,VLOOKUP(BB$6, Table_ChiPhiNV_Ca[], COUNTA(Table_ChiPhiNV_Ca[[#Headers],[Ca]:[Kết thúc]]),0))),
SUM(_xlfn._xlws.FILTER(Table_BangLuong_TyLeTangCa[Tỷ lệ],
(Table_BangLuong_TyLeTangCa[Ngày] = "Thường") *
(Table_BangLuong_TyLeTangCa[Giờ min]&lt;=$AA39) *
(Table_BangLuong_TyLeTangCa[Giờ max]&gt;$AA39)
)),0)
)),
IF(BB$4 &lt; BB$5,
IF($AA39-$Z$4&lt;BB$4,0,
IF($AA39&gt;BB$5,0,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BB$5,$AA39 &lt; BB$4),0,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C39" s="18" cm="1">
        <f t="array" ref="BC39" xml:space="preserve">
IFERROR(
IF(BC$1="",0,
IF(AND(
$AA39&gt;=VLOOKUP(BC$6, Table_ChiPhiNV_Ca[], COUNTA(Table_ChiPhiNV_Ca[[#Headers],[Ca]:[Bắt đầu nghỉ]]),0),
$AA39&lt;VLOOKUP(BC$6, Table_ChiPhiNV_Ca[], COUNTA(Table_ChiPhiNV_Ca[[#Headers],[Ca]:[Kết thúc nghỉ]]),0)
),0,
IF(NOT(ISBLANK(BC$3)),
IF(ISBLANK(BC$7),0,
IF(BC$4 &lt; BC$5,
IF($AA39-$Z$4&lt;BC$4,0,
IF($AA39&gt;BC$5,0,
SUM(_xlfn._xlws.FILTER(Table_BangLuong_TyLeTangCa[Tỷ lệ],
(Table_BangLuong_TyLeTangCa[Ngày] = BC$3) *
(Table_BangLuong_TyLeTangCa[Giờ min]&lt;=$AA39) *
(Table_BangLuong_TyLeTangCa[Giờ max]&gt;$AA39)
)))),
IF(AND($AA39-$Z$4 &gt;= BC$5,$AA39 &lt; BC$4),0,
SUM(_xlfn._xlws.FILTER(Table_BangLuong_TyLeTangCa[Tỷ lệ],
(Table_BangLuong_TyLeTangCa[Ngày] = BC$3) *
(Table_BangLuong_TyLeTangCa[Giờ min]&lt;=$AA39) *
(Table_BangLuong_TyLeTangCa[Giờ max]&gt;$AA39)
))))
),
IF(ISBLANK(BC$7),
IF(VLOOKUP(BC$6, Table_ChiPhiNV_Ca[], COUNTA(Table_ChiPhiNV_Ca[[#Headers],[Ca]:[Kết thúc]]),0)&gt; VLOOKUP(BC$6, Table_ChiPhiNV_Ca[], COUNTA(Table_ChiPhiNV_Ca[[#Headers],[Ca]:[Bắt đầu]]),0),
IF($AA39-$Z$4&lt;MAX(BC$4,VLOOKUP(BC$6, Table_ChiPhiNV_Ca[], COUNTA(Table_ChiPhiNV_Ca[[#Headers],[Ca]:[Bắt đầu]]),0)),0,
IF($AA39&gt;MIN(BC$5,VLOOKUP(BC$6, Table_ChiPhiNV_Ca[], COUNTA(Table_ChiPhiNV_Ca[[#Headers],[Ca]:[Kết thúc]]),0)),0,
SUM(_xlfn._xlws.FILTER(Table_BangLuong_TyLeTangCa[Tỷ lệ],
(Table_BangLuong_TyLeTangCa[Ngày] = "Thường") *
(Table_BangLuong_TyLeTangCa[Giờ min]&lt;=$AA39) *
(Table_BangLuong_TyLeTangCa[Giờ max]&gt;$AA39)
)))),
IF(BC$4 &gt; BC$5,
IF(
AND(
$AA39-$Z$4&lt;MAX(BC$4,VLOOKUP(BC$6, Table_ChiPhiNV_Ca[], COUNTA(Table_ChiPhiNV_Ca[[#Headers],[Ca]:[Bắt đầu]]),0)),
$AA39&gt;MIN(BC$5,VLOOKUP(BC$6, Table_ChiPhiNV_Ca[], COUNTA(Table_ChiPhiNV_Ca[[#Headers],[Ca]:[Kết thúc]]),0))),0,
SUM(_xlfn._xlws.FILTER(Table_BangLuong_TyLeTangCa[Tỷ lệ],
(Table_BangLuong_TyLeTangCa[Ngày] = "Thường") *
(Table_BangLuong_TyLeTangCa[Giờ min]&lt;=$AA39) *
(Table_BangLuong_TyLeTangCa[Giờ max]&gt;$AA39)
))),
IF(
AND(
$AA39-$Z$4&gt;=MAX(BC$4,VLOOKUP(BC$6, Table_ChiPhiNV_Ca[], COUNTA(Table_ChiPhiNV_Ca[[#Headers],[Ca]:[Bắt đầu]]),0)),
$AA39&lt;MIN(BC$5,VLOOKUP(BC$6, Table_ChiPhiNV_Ca[], COUNTA(Table_ChiPhiNV_Ca[[#Headers],[Ca]:[Kết thúc]]),0))),
SUM(_xlfn._xlws.FILTER(Table_BangLuong_TyLeTangCa[Tỷ lệ],
(Table_BangLuong_TyLeTangCa[Ngày] = "Thường") *
(Table_BangLuong_TyLeTangCa[Giờ min]&lt;=$AA39) *
(Table_BangLuong_TyLeTangCa[Giờ max]&gt;$AA39)
)),0)
)),
IF(BC$4 &lt; BC$5,
IF($AA39-$Z$4&lt;BC$4,0,
IF($AA39&gt;BC$5,0,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BC$5,$AA39 &lt; BC$4),0,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D39" s="18" cm="1">
        <f t="array" ref="BD39" xml:space="preserve">
IFERROR(
IF(BD$1="",0,
IF(AND(
$AA39&gt;=VLOOKUP(BD$6, Table_ChiPhiNV_Ca[], COUNTA(Table_ChiPhiNV_Ca[[#Headers],[Ca]:[Bắt đầu nghỉ]]),0),
$AA39&lt;VLOOKUP(BD$6, Table_ChiPhiNV_Ca[], COUNTA(Table_ChiPhiNV_Ca[[#Headers],[Ca]:[Kết thúc nghỉ]]),0)
),0,
IF(NOT(ISBLANK(BD$3)),
IF(ISBLANK(BD$7),0,
IF(BD$4 &lt; BD$5,
IF($AA39-$Z$4&lt;BD$4,0,
IF($AA39&gt;BD$5,0,
SUM(_xlfn._xlws.FILTER(Table_BangLuong_TyLeTangCa[Tỷ lệ],
(Table_BangLuong_TyLeTangCa[Ngày] = BD$3) *
(Table_BangLuong_TyLeTangCa[Giờ min]&lt;=$AA39) *
(Table_BangLuong_TyLeTangCa[Giờ max]&gt;$AA39)
)))),
IF(AND($AA39-$Z$4 &gt;= BD$5,$AA39 &lt; BD$4),0,
SUM(_xlfn._xlws.FILTER(Table_BangLuong_TyLeTangCa[Tỷ lệ],
(Table_BangLuong_TyLeTangCa[Ngày] = BD$3) *
(Table_BangLuong_TyLeTangCa[Giờ min]&lt;=$AA39) *
(Table_BangLuong_TyLeTangCa[Giờ max]&gt;$AA39)
))))
),
IF(ISBLANK(BD$7),
IF(VLOOKUP(BD$6, Table_ChiPhiNV_Ca[], COUNTA(Table_ChiPhiNV_Ca[[#Headers],[Ca]:[Kết thúc]]),0)&gt; VLOOKUP(BD$6, Table_ChiPhiNV_Ca[], COUNTA(Table_ChiPhiNV_Ca[[#Headers],[Ca]:[Bắt đầu]]),0),
IF($AA39-$Z$4&lt;MAX(BD$4,VLOOKUP(BD$6, Table_ChiPhiNV_Ca[], COUNTA(Table_ChiPhiNV_Ca[[#Headers],[Ca]:[Bắt đầu]]),0)),0,
IF($AA39&gt;MIN(BD$5,VLOOKUP(BD$6, Table_ChiPhiNV_Ca[], COUNTA(Table_ChiPhiNV_Ca[[#Headers],[Ca]:[Kết thúc]]),0)),0,
SUM(_xlfn._xlws.FILTER(Table_BangLuong_TyLeTangCa[Tỷ lệ],
(Table_BangLuong_TyLeTangCa[Ngày] = "Thường") *
(Table_BangLuong_TyLeTangCa[Giờ min]&lt;=$AA39) *
(Table_BangLuong_TyLeTangCa[Giờ max]&gt;$AA39)
)))),
IF(BD$4 &gt; BD$5,
IF(
AND(
$AA39-$Z$4&lt;MAX(BD$4,VLOOKUP(BD$6, Table_ChiPhiNV_Ca[], COUNTA(Table_ChiPhiNV_Ca[[#Headers],[Ca]:[Bắt đầu]]),0)),
$AA39&gt;MIN(BD$5,VLOOKUP(BD$6, Table_ChiPhiNV_Ca[], COUNTA(Table_ChiPhiNV_Ca[[#Headers],[Ca]:[Kết thúc]]),0))),0,
SUM(_xlfn._xlws.FILTER(Table_BangLuong_TyLeTangCa[Tỷ lệ],
(Table_BangLuong_TyLeTangCa[Ngày] = "Thường") *
(Table_BangLuong_TyLeTangCa[Giờ min]&lt;=$AA39) *
(Table_BangLuong_TyLeTangCa[Giờ max]&gt;$AA39)
))),
IF(
AND(
$AA39-$Z$4&gt;=MAX(BD$4,VLOOKUP(BD$6, Table_ChiPhiNV_Ca[], COUNTA(Table_ChiPhiNV_Ca[[#Headers],[Ca]:[Bắt đầu]]),0)),
$AA39&lt;MIN(BD$5,VLOOKUP(BD$6, Table_ChiPhiNV_Ca[], COUNTA(Table_ChiPhiNV_Ca[[#Headers],[Ca]:[Kết thúc]]),0))),
SUM(_xlfn._xlws.FILTER(Table_BangLuong_TyLeTangCa[Tỷ lệ],
(Table_BangLuong_TyLeTangCa[Ngày] = "Thường") *
(Table_BangLuong_TyLeTangCa[Giờ min]&lt;=$AA39) *
(Table_BangLuong_TyLeTangCa[Giờ max]&gt;$AA39)
)),0)
)),
IF(BD$4 &lt; BD$5,
IF($AA39-$Z$4&lt;BD$4,0,
IF($AA39&gt;BD$5,0,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BD$5,$AA39 &lt; BD$4),0,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E39" s="18" cm="1">
        <f t="array" ref="BE39" xml:space="preserve">
IFERROR(
IF(BE$1="",0,
IF(AND(
$AA39&gt;=VLOOKUP(BE$6, Table_ChiPhiNV_Ca[], COUNTA(Table_ChiPhiNV_Ca[[#Headers],[Ca]:[Bắt đầu nghỉ]]),0),
$AA39&lt;VLOOKUP(BE$6, Table_ChiPhiNV_Ca[], COUNTA(Table_ChiPhiNV_Ca[[#Headers],[Ca]:[Kết thúc nghỉ]]),0)
),0,
IF(NOT(ISBLANK(BE$3)),
IF(ISBLANK(BE$7),0,
IF(BE$4 &lt; BE$5,
IF($AA39-$Z$4&lt;BE$4,0,
IF($AA39&gt;BE$5,0,
SUM(_xlfn._xlws.FILTER(Table_BangLuong_TyLeTangCa[Tỷ lệ],
(Table_BangLuong_TyLeTangCa[Ngày] = BE$3) *
(Table_BangLuong_TyLeTangCa[Giờ min]&lt;=$AA39) *
(Table_BangLuong_TyLeTangCa[Giờ max]&gt;$AA39)
)))),
IF(AND($AA39-$Z$4 &gt;= BE$5,$AA39 &lt; BE$4),0,
SUM(_xlfn._xlws.FILTER(Table_BangLuong_TyLeTangCa[Tỷ lệ],
(Table_BangLuong_TyLeTangCa[Ngày] = BE$3) *
(Table_BangLuong_TyLeTangCa[Giờ min]&lt;=$AA39) *
(Table_BangLuong_TyLeTangCa[Giờ max]&gt;$AA39)
))))
),
IF(ISBLANK(BE$7),
IF(VLOOKUP(BE$6, Table_ChiPhiNV_Ca[], COUNTA(Table_ChiPhiNV_Ca[[#Headers],[Ca]:[Kết thúc]]),0)&gt; VLOOKUP(BE$6, Table_ChiPhiNV_Ca[], COUNTA(Table_ChiPhiNV_Ca[[#Headers],[Ca]:[Bắt đầu]]),0),
IF($AA39-$Z$4&lt;MAX(BE$4,VLOOKUP(BE$6, Table_ChiPhiNV_Ca[], COUNTA(Table_ChiPhiNV_Ca[[#Headers],[Ca]:[Bắt đầu]]),0)),0,
IF($AA39&gt;MIN(BE$5,VLOOKUP(BE$6, Table_ChiPhiNV_Ca[], COUNTA(Table_ChiPhiNV_Ca[[#Headers],[Ca]:[Kết thúc]]),0)),0,
SUM(_xlfn._xlws.FILTER(Table_BangLuong_TyLeTangCa[Tỷ lệ],
(Table_BangLuong_TyLeTangCa[Ngày] = "Thường") *
(Table_BangLuong_TyLeTangCa[Giờ min]&lt;=$AA39) *
(Table_BangLuong_TyLeTangCa[Giờ max]&gt;$AA39)
)))),
IF(BE$4 &gt; BE$5,
IF(
AND(
$AA39-$Z$4&lt;MAX(BE$4,VLOOKUP(BE$6, Table_ChiPhiNV_Ca[], COUNTA(Table_ChiPhiNV_Ca[[#Headers],[Ca]:[Bắt đầu]]),0)),
$AA39&gt;MIN(BE$5,VLOOKUP(BE$6, Table_ChiPhiNV_Ca[], COUNTA(Table_ChiPhiNV_Ca[[#Headers],[Ca]:[Kết thúc]]),0))),0,
SUM(_xlfn._xlws.FILTER(Table_BangLuong_TyLeTangCa[Tỷ lệ],
(Table_BangLuong_TyLeTangCa[Ngày] = "Thường") *
(Table_BangLuong_TyLeTangCa[Giờ min]&lt;=$AA39) *
(Table_BangLuong_TyLeTangCa[Giờ max]&gt;$AA39)
))),
IF(
AND(
$AA39-$Z$4&gt;=MAX(BE$4,VLOOKUP(BE$6, Table_ChiPhiNV_Ca[], COUNTA(Table_ChiPhiNV_Ca[[#Headers],[Ca]:[Bắt đầu]]),0)),
$AA39&lt;MIN(BE$5,VLOOKUP(BE$6, Table_ChiPhiNV_Ca[], COUNTA(Table_ChiPhiNV_Ca[[#Headers],[Ca]:[Kết thúc]]),0))),
SUM(_xlfn._xlws.FILTER(Table_BangLuong_TyLeTangCa[Tỷ lệ],
(Table_BangLuong_TyLeTangCa[Ngày] = "Thường") *
(Table_BangLuong_TyLeTangCa[Giờ min]&lt;=$AA39) *
(Table_BangLuong_TyLeTangCa[Giờ max]&gt;$AA39)
)),0)
)),
IF(BE$4 &lt; BE$5,
IF($AA39-$Z$4&lt;BE$4,0,
IF($AA39&gt;BE$5,0,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BE$5,$AA39 &lt; BE$4),0,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F39" s="18" cm="1">
        <f t="array" ref="BF39" xml:space="preserve">
IFERROR(
IF(BF$1="",0,
IF(AND(
$AA39&gt;=VLOOKUP(BF$6, Table_ChiPhiNV_Ca[], COUNTA(Table_ChiPhiNV_Ca[[#Headers],[Ca]:[Bắt đầu nghỉ]]),0),
$AA39&lt;VLOOKUP(BF$6, Table_ChiPhiNV_Ca[], COUNTA(Table_ChiPhiNV_Ca[[#Headers],[Ca]:[Kết thúc nghỉ]]),0)
),0,
IF(NOT(ISBLANK(BF$3)),
IF(ISBLANK(BF$7),0,
IF(BF$4 &lt; BF$5,
IF($AA39-$Z$4&lt;BF$4,0,
IF($AA39&gt;BF$5,0,
SUM(_xlfn._xlws.FILTER(Table_BangLuong_TyLeTangCa[Tỷ lệ],
(Table_BangLuong_TyLeTangCa[Ngày] = BF$3) *
(Table_BangLuong_TyLeTangCa[Giờ min]&lt;=$AA39) *
(Table_BangLuong_TyLeTangCa[Giờ max]&gt;$AA39)
)))),
IF(AND($AA39-$Z$4 &gt;= BF$5,$AA39 &lt; BF$4),0,
SUM(_xlfn._xlws.FILTER(Table_BangLuong_TyLeTangCa[Tỷ lệ],
(Table_BangLuong_TyLeTangCa[Ngày] = BF$3) *
(Table_BangLuong_TyLeTangCa[Giờ min]&lt;=$AA39) *
(Table_BangLuong_TyLeTangCa[Giờ max]&gt;$AA39)
))))
),
IF(ISBLANK(BF$7),
IF(VLOOKUP(BF$6, Table_ChiPhiNV_Ca[], COUNTA(Table_ChiPhiNV_Ca[[#Headers],[Ca]:[Kết thúc]]),0)&gt; VLOOKUP(BF$6, Table_ChiPhiNV_Ca[], COUNTA(Table_ChiPhiNV_Ca[[#Headers],[Ca]:[Bắt đầu]]),0),
IF($AA39-$Z$4&lt;MAX(BF$4,VLOOKUP(BF$6, Table_ChiPhiNV_Ca[], COUNTA(Table_ChiPhiNV_Ca[[#Headers],[Ca]:[Bắt đầu]]),0)),0,
IF($AA39&gt;MIN(BF$5,VLOOKUP(BF$6, Table_ChiPhiNV_Ca[], COUNTA(Table_ChiPhiNV_Ca[[#Headers],[Ca]:[Kết thúc]]),0)),0,
SUM(_xlfn._xlws.FILTER(Table_BangLuong_TyLeTangCa[Tỷ lệ],
(Table_BangLuong_TyLeTangCa[Ngày] = "Thường") *
(Table_BangLuong_TyLeTangCa[Giờ min]&lt;=$AA39) *
(Table_BangLuong_TyLeTangCa[Giờ max]&gt;$AA39)
)))),
IF(BF$4 &gt; BF$5,
IF(
AND(
$AA39-$Z$4&lt;MAX(BF$4,VLOOKUP(BF$6, Table_ChiPhiNV_Ca[], COUNTA(Table_ChiPhiNV_Ca[[#Headers],[Ca]:[Bắt đầu]]),0)),
$AA39&gt;MIN(BF$5,VLOOKUP(BF$6, Table_ChiPhiNV_Ca[], COUNTA(Table_ChiPhiNV_Ca[[#Headers],[Ca]:[Kết thúc]]),0))),0,
SUM(_xlfn._xlws.FILTER(Table_BangLuong_TyLeTangCa[Tỷ lệ],
(Table_BangLuong_TyLeTangCa[Ngày] = "Thường") *
(Table_BangLuong_TyLeTangCa[Giờ min]&lt;=$AA39) *
(Table_BangLuong_TyLeTangCa[Giờ max]&gt;$AA39)
))),
IF(
AND(
$AA39-$Z$4&gt;=MAX(BF$4,VLOOKUP(BF$6, Table_ChiPhiNV_Ca[], COUNTA(Table_ChiPhiNV_Ca[[#Headers],[Ca]:[Bắt đầu]]),0)),
$AA39&lt;MIN(BF$5,VLOOKUP(BF$6, Table_ChiPhiNV_Ca[], COUNTA(Table_ChiPhiNV_Ca[[#Headers],[Ca]:[Kết thúc]]),0))),
SUM(_xlfn._xlws.FILTER(Table_BangLuong_TyLeTangCa[Tỷ lệ],
(Table_BangLuong_TyLeTangCa[Ngày] = "Thường") *
(Table_BangLuong_TyLeTangCa[Giờ min]&lt;=$AA39) *
(Table_BangLuong_TyLeTangCa[Giờ max]&gt;$AA39)
)),0)
)),
IF(BF$4 &lt; BF$5,
IF($AA39-$Z$4&lt;BF$4,0,
IF($AA39&gt;BF$5,0,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BF$5,$AA39 &lt; BF$4),0,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row>
    <row r="40" spans="2:58" ht="18" customHeight="1" outlineLevel="1" x14ac:dyDescent="0.3">
      <c r="AA40" s="50">
        <v>0.64583333333333304</v>
      </c>
      <c r="AB40" s="18" cm="1">
        <f t="array" ref="AB40" xml:space="preserve">
IFERROR(
IF(AB$1="",0,
IF(AND(
$AA40&gt;=VLOOKUP(AB$6, Table_ChiPhiNV_Ca[], COUNTA(Table_ChiPhiNV_Ca[[#Headers],[Ca]:[Bắt đầu nghỉ]]),0),
$AA40&lt;VLOOKUP(AB$6, Table_ChiPhiNV_Ca[], COUNTA(Table_ChiPhiNV_Ca[[#Headers],[Ca]:[Kết thúc nghỉ]]),0)
),0,
IF(NOT(ISBLANK(AB$3)),
IF(ISBLANK(AB$7),0,
IF(AB$4 &lt; AB$5,
IF($AA40-$Z$4&lt;AB$4,0,
IF($AA40&gt;AB$5,0,
SUM(_xlfn._xlws.FILTER(Table_BangLuong_TyLeTangCa[Tỷ lệ],
(Table_BangLuong_TyLeTangCa[Ngày] = AB$3) *
(Table_BangLuong_TyLeTangCa[Giờ min]&lt;=$AA40) *
(Table_BangLuong_TyLeTangCa[Giờ max]&gt;$AA40)
)))),
IF(AND($AA40-$Z$4 &gt;= AB$5,$AA40 &lt; AB$4),0,
SUM(_xlfn._xlws.FILTER(Table_BangLuong_TyLeTangCa[Tỷ lệ],
(Table_BangLuong_TyLeTangCa[Ngày] = AB$3) *
(Table_BangLuong_TyLeTangCa[Giờ min]&lt;=$AA40) *
(Table_BangLuong_TyLeTangCa[Giờ max]&gt;$AA40)
))))
),
IF(ISBLANK(AB$7),
IF(VLOOKUP(AB$6, Table_ChiPhiNV_Ca[], COUNTA(Table_ChiPhiNV_Ca[[#Headers],[Ca]:[Kết thúc]]),0)&gt; VLOOKUP(AB$6, Table_ChiPhiNV_Ca[], COUNTA(Table_ChiPhiNV_Ca[[#Headers],[Ca]:[Bắt đầu]]),0),
IF($AA40-$Z$4&lt;MAX(AB$4,VLOOKUP(AB$6, Table_ChiPhiNV_Ca[], COUNTA(Table_ChiPhiNV_Ca[[#Headers],[Ca]:[Bắt đầu]]),0)),0,
IF($AA40&gt;MIN(AB$5,VLOOKUP(AB$6, Table_ChiPhiNV_Ca[], COUNTA(Table_ChiPhiNV_Ca[[#Headers],[Ca]:[Kết thúc]]),0)),0,
SUM(_xlfn._xlws.FILTER(Table_BangLuong_TyLeTangCa[Tỷ lệ],
(Table_BangLuong_TyLeTangCa[Ngày] = "Thường") *
(Table_BangLuong_TyLeTangCa[Giờ min]&lt;=$AA40) *
(Table_BangLuong_TyLeTangCa[Giờ max]&gt;$AA40)
)))),
IF(AB$4 &gt; AB$5,
IF(
AND(
$AA40-$Z$4&lt;MAX(AB$4,VLOOKUP(AB$6, Table_ChiPhiNV_Ca[], COUNTA(Table_ChiPhiNV_Ca[[#Headers],[Ca]:[Bắt đầu]]),0)),
$AA40&gt;MIN(AB$5,VLOOKUP(AB$6, Table_ChiPhiNV_Ca[], COUNTA(Table_ChiPhiNV_Ca[[#Headers],[Ca]:[Kết thúc]]),0))),0,
SUM(_xlfn._xlws.FILTER(Table_BangLuong_TyLeTangCa[Tỷ lệ],
(Table_BangLuong_TyLeTangCa[Ngày] = "Thường") *
(Table_BangLuong_TyLeTangCa[Giờ min]&lt;=$AA40) *
(Table_BangLuong_TyLeTangCa[Giờ max]&gt;$AA40)
))),
IF(
AND(
$AA40-$Z$4&gt;=MAX(AB$4,VLOOKUP(AB$6, Table_ChiPhiNV_Ca[], COUNTA(Table_ChiPhiNV_Ca[[#Headers],[Ca]:[Bắt đầu]]),0)),
$AA40&lt;MIN(AB$5,VLOOKUP(AB$6, Table_ChiPhiNV_Ca[], COUNTA(Table_ChiPhiNV_Ca[[#Headers],[Ca]:[Kết thúc]]),0))),
SUM(_xlfn._xlws.FILTER(Table_BangLuong_TyLeTangCa[Tỷ lệ],
(Table_BangLuong_TyLeTangCa[Ngày] = "Thường") *
(Table_BangLuong_TyLeTangCa[Giờ min]&lt;=$AA40) *
(Table_BangLuong_TyLeTangCa[Giờ max]&gt;$AA40)
)),0)
)),
IF(AB$4 &lt; AB$5,
IF($AA40-$Z$4&lt;AB$4,0,
IF($AA40&gt;AB$5,0,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AB$5,$AA40 &lt; AB$4),0,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C40" s="18" cm="1">
        <f t="array" ref="AC40" xml:space="preserve">
IFERROR(
IF(AC$1="",0,
IF(AND(
$AA40&gt;=VLOOKUP(AC$6, Table_ChiPhiNV_Ca[], COUNTA(Table_ChiPhiNV_Ca[[#Headers],[Ca]:[Bắt đầu nghỉ]]),0),
$AA40&lt;VLOOKUP(AC$6, Table_ChiPhiNV_Ca[], COUNTA(Table_ChiPhiNV_Ca[[#Headers],[Ca]:[Kết thúc nghỉ]]),0)
),0,
IF(NOT(ISBLANK(AC$3)),
IF(ISBLANK(AC$7),0,
IF(AC$4 &lt; AC$5,
IF($AA40-$Z$4&lt;AC$4,0,
IF($AA40&gt;AC$5,0,
SUM(_xlfn._xlws.FILTER(Table_BangLuong_TyLeTangCa[Tỷ lệ],
(Table_BangLuong_TyLeTangCa[Ngày] = AC$3) *
(Table_BangLuong_TyLeTangCa[Giờ min]&lt;=$AA40) *
(Table_BangLuong_TyLeTangCa[Giờ max]&gt;$AA40)
)))),
IF(AND($AA40-$Z$4 &gt;= AC$5,$AA40 &lt; AC$4),0,
SUM(_xlfn._xlws.FILTER(Table_BangLuong_TyLeTangCa[Tỷ lệ],
(Table_BangLuong_TyLeTangCa[Ngày] = AC$3) *
(Table_BangLuong_TyLeTangCa[Giờ min]&lt;=$AA40) *
(Table_BangLuong_TyLeTangCa[Giờ max]&gt;$AA40)
))))
),
IF(ISBLANK(AC$7),
IF(VLOOKUP(AC$6, Table_ChiPhiNV_Ca[], COUNTA(Table_ChiPhiNV_Ca[[#Headers],[Ca]:[Kết thúc]]),0)&gt; VLOOKUP(AC$6, Table_ChiPhiNV_Ca[], COUNTA(Table_ChiPhiNV_Ca[[#Headers],[Ca]:[Bắt đầu]]),0),
IF($AA40-$Z$4&lt;MAX(AC$4,VLOOKUP(AC$6, Table_ChiPhiNV_Ca[], COUNTA(Table_ChiPhiNV_Ca[[#Headers],[Ca]:[Bắt đầu]]),0)),0,
IF($AA40&gt;MIN(AC$5,VLOOKUP(AC$6, Table_ChiPhiNV_Ca[], COUNTA(Table_ChiPhiNV_Ca[[#Headers],[Ca]:[Kết thúc]]),0)),0,
SUM(_xlfn._xlws.FILTER(Table_BangLuong_TyLeTangCa[Tỷ lệ],
(Table_BangLuong_TyLeTangCa[Ngày] = "Thường") *
(Table_BangLuong_TyLeTangCa[Giờ min]&lt;=$AA40) *
(Table_BangLuong_TyLeTangCa[Giờ max]&gt;$AA40)
)))),
IF(AC$4 &gt; AC$5,
IF(
AND(
$AA40-$Z$4&lt;MAX(AC$4,VLOOKUP(AC$6, Table_ChiPhiNV_Ca[], COUNTA(Table_ChiPhiNV_Ca[[#Headers],[Ca]:[Bắt đầu]]),0)),
$AA40&gt;MIN(AC$5,VLOOKUP(AC$6, Table_ChiPhiNV_Ca[], COUNTA(Table_ChiPhiNV_Ca[[#Headers],[Ca]:[Kết thúc]]),0))),0,
SUM(_xlfn._xlws.FILTER(Table_BangLuong_TyLeTangCa[Tỷ lệ],
(Table_BangLuong_TyLeTangCa[Ngày] = "Thường") *
(Table_BangLuong_TyLeTangCa[Giờ min]&lt;=$AA40) *
(Table_BangLuong_TyLeTangCa[Giờ max]&gt;$AA40)
))),
IF(
AND(
$AA40-$Z$4&gt;=MAX(AC$4,VLOOKUP(AC$6, Table_ChiPhiNV_Ca[], COUNTA(Table_ChiPhiNV_Ca[[#Headers],[Ca]:[Bắt đầu]]),0)),
$AA40&lt;MIN(AC$5,VLOOKUP(AC$6, Table_ChiPhiNV_Ca[], COUNTA(Table_ChiPhiNV_Ca[[#Headers],[Ca]:[Kết thúc]]),0))),
SUM(_xlfn._xlws.FILTER(Table_BangLuong_TyLeTangCa[Tỷ lệ],
(Table_BangLuong_TyLeTangCa[Ngày] = "Thường") *
(Table_BangLuong_TyLeTangCa[Giờ min]&lt;=$AA40) *
(Table_BangLuong_TyLeTangCa[Giờ max]&gt;$AA40)
)),0)
)),
IF(AC$4 &lt; AC$5,
IF($AA40-$Z$4&lt;AC$4,0,
IF($AA40&gt;AC$5,0,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AC$5,$AA40 &lt; AC$4),0,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D40" s="18" cm="1">
        <f t="array" ref="AD40" xml:space="preserve">
IFERROR(
IF(AD$1="",0,
IF(AND(
$AA40&gt;=VLOOKUP(AD$6, Table_ChiPhiNV_Ca[], COUNTA(Table_ChiPhiNV_Ca[[#Headers],[Ca]:[Bắt đầu nghỉ]]),0),
$AA40&lt;VLOOKUP(AD$6, Table_ChiPhiNV_Ca[], COUNTA(Table_ChiPhiNV_Ca[[#Headers],[Ca]:[Kết thúc nghỉ]]),0)
),0,
IF(NOT(ISBLANK(AD$3)),
IF(ISBLANK(AD$7),0,
IF(AD$4 &lt; AD$5,
IF($AA40-$Z$4&lt;AD$4,0,
IF($AA40&gt;AD$5,0,
SUM(_xlfn._xlws.FILTER(Table_BangLuong_TyLeTangCa[Tỷ lệ],
(Table_BangLuong_TyLeTangCa[Ngày] = AD$3) *
(Table_BangLuong_TyLeTangCa[Giờ min]&lt;=$AA40) *
(Table_BangLuong_TyLeTangCa[Giờ max]&gt;$AA40)
)))),
IF(AND($AA40-$Z$4 &gt;= AD$5,$AA40 &lt; AD$4),0,
SUM(_xlfn._xlws.FILTER(Table_BangLuong_TyLeTangCa[Tỷ lệ],
(Table_BangLuong_TyLeTangCa[Ngày] = AD$3) *
(Table_BangLuong_TyLeTangCa[Giờ min]&lt;=$AA40) *
(Table_BangLuong_TyLeTangCa[Giờ max]&gt;$AA40)
))))
),
IF(ISBLANK(AD$7),
IF(VLOOKUP(AD$6, Table_ChiPhiNV_Ca[], COUNTA(Table_ChiPhiNV_Ca[[#Headers],[Ca]:[Kết thúc]]),0)&gt; VLOOKUP(AD$6, Table_ChiPhiNV_Ca[], COUNTA(Table_ChiPhiNV_Ca[[#Headers],[Ca]:[Bắt đầu]]),0),
IF($AA40-$Z$4&lt;MAX(AD$4,VLOOKUP(AD$6, Table_ChiPhiNV_Ca[], COUNTA(Table_ChiPhiNV_Ca[[#Headers],[Ca]:[Bắt đầu]]),0)),0,
IF($AA40&gt;MIN(AD$5,VLOOKUP(AD$6, Table_ChiPhiNV_Ca[], COUNTA(Table_ChiPhiNV_Ca[[#Headers],[Ca]:[Kết thúc]]),0)),0,
SUM(_xlfn._xlws.FILTER(Table_BangLuong_TyLeTangCa[Tỷ lệ],
(Table_BangLuong_TyLeTangCa[Ngày] = "Thường") *
(Table_BangLuong_TyLeTangCa[Giờ min]&lt;=$AA40) *
(Table_BangLuong_TyLeTangCa[Giờ max]&gt;$AA40)
)))),
IF(AD$4 &gt; AD$5,
IF(
AND(
$AA40-$Z$4&lt;MAX(AD$4,VLOOKUP(AD$6, Table_ChiPhiNV_Ca[], COUNTA(Table_ChiPhiNV_Ca[[#Headers],[Ca]:[Bắt đầu]]),0)),
$AA40&gt;MIN(AD$5,VLOOKUP(AD$6, Table_ChiPhiNV_Ca[], COUNTA(Table_ChiPhiNV_Ca[[#Headers],[Ca]:[Kết thúc]]),0))),0,
SUM(_xlfn._xlws.FILTER(Table_BangLuong_TyLeTangCa[Tỷ lệ],
(Table_BangLuong_TyLeTangCa[Ngày] = "Thường") *
(Table_BangLuong_TyLeTangCa[Giờ min]&lt;=$AA40) *
(Table_BangLuong_TyLeTangCa[Giờ max]&gt;$AA40)
))),
IF(
AND(
$AA40-$Z$4&gt;=MAX(AD$4,VLOOKUP(AD$6, Table_ChiPhiNV_Ca[], COUNTA(Table_ChiPhiNV_Ca[[#Headers],[Ca]:[Bắt đầu]]),0)),
$AA40&lt;MIN(AD$5,VLOOKUP(AD$6, Table_ChiPhiNV_Ca[], COUNTA(Table_ChiPhiNV_Ca[[#Headers],[Ca]:[Kết thúc]]),0))),
SUM(_xlfn._xlws.FILTER(Table_BangLuong_TyLeTangCa[Tỷ lệ],
(Table_BangLuong_TyLeTangCa[Ngày] = "Thường") *
(Table_BangLuong_TyLeTangCa[Giờ min]&lt;=$AA40) *
(Table_BangLuong_TyLeTangCa[Giờ max]&gt;$AA40)
)),0)
)),
IF(AD$4 &lt; AD$5,
IF($AA40-$Z$4&lt;AD$4,0,
IF($AA40&gt;AD$5,0,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AD$5,$AA40 &lt; AD$4),0,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E40" s="18" cm="1">
        <f t="array" ref="AE40" xml:space="preserve">
IFERROR(
IF(AE$1="",0,
IF(AND(
$AA40&gt;=VLOOKUP(AE$6, Table_ChiPhiNV_Ca[], COUNTA(Table_ChiPhiNV_Ca[[#Headers],[Ca]:[Bắt đầu nghỉ]]),0),
$AA40&lt;VLOOKUP(AE$6, Table_ChiPhiNV_Ca[], COUNTA(Table_ChiPhiNV_Ca[[#Headers],[Ca]:[Kết thúc nghỉ]]),0)
),0,
IF(NOT(ISBLANK(AE$3)),
IF(ISBLANK(AE$7),0,
IF(AE$4 &lt; AE$5,
IF($AA40-$Z$4&lt;AE$4,0,
IF($AA40&gt;AE$5,0,
SUM(_xlfn._xlws.FILTER(Table_BangLuong_TyLeTangCa[Tỷ lệ],
(Table_BangLuong_TyLeTangCa[Ngày] = AE$3) *
(Table_BangLuong_TyLeTangCa[Giờ min]&lt;=$AA40) *
(Table_BangLuong_TyLeTangCa[Giờ max]&gt;$AA40)
)))),
IF(AND($AA40-$Z$4 &gt;= AE$5,$AA40 &lt; AE$4),0,
SUM(_xlfn._xlws.FILTER(Table_BangLuong_TyLeTangCa[Tỷ lệ],
(Table_BangLuong_TyLeTangCa[Ngày] = AE$3) *
(Table_BangLuong_TyLeTangCa[Giờ min]&lt;=$AA40) *
(Table_BangLuong_TyLeTangCa[Giờ max]&gt;$AA40)
))))
),
IF(ISBLANK(AE$7),
IF(VLOOKUP(AE$6, Table_ChiPhiNV_Ca[], COUNTA(Table_ChiPhiNV_Ca[[#Headers],[Ca]:[Kết thúc]]),0)&gt; VLOOKUP(AE$6, Table_ChiPhiNV_Ca[], COUNTA(Table_ChiPhiNV_Ca[[#Headers],[Ca]:[Bắt đầu]]),0),
IF($AA40-$Z$4&lt;MAX(AE$4,VLOOKUP(AE$6, Table_ChiPhiNV_Ca[], COUNTA(Table_ChiPhiNV_Ca[[#Headers],[Ca]:[Bắt đầu]]),0)),0,
IF($AA40&gt;MIN(AE$5,VLOOKUP(AE$6, Table_ChiPhiNV_Ca[], COUNTA(Table_ChiPhiNV_Ca[[#Headers],[Ca]:[Kết thúc]]),0)),0,
SUM(_xlfn._xlws.FILTER(Table_BangLuong_TyLeTangCa[Tỷ lệ],
(Table_BangLuong_TyLeTangCa[Ngày] = "Thường") *
(Table_BangLuong_TyLeTangCa[Giờ min]&lt;=$AA40) *
(Table_BangLuong_TyLeTangCa[Giờ max]&gt;$AA40)
)))),
IF(AE$4 &gt; AE$5,
IF(
AND(
$AA40-$Z$4&lt;MAX(AE$4,VLOOKUP(AE$6, Table_ChiPhiNV_Ca[], COUNTA(Table_ChiPhiNV_Ca[[#Headers],[Ca]:[Bắt đầu]]),0)),
$AA40&gt;MIN(AE$5,VLOOKUP(AE$6, Table_ChiPhiNV_Ca[], COUNTA(Table_ChiPhiNV_Ca[[#Headers],[Ca]:[Kết thúc]]),0))),0,
SUM(_xlfn._xlws.FILTER(Table_BangLuong_TyLeTangCa[Tỷ lệ],
(Table_BangLuong_TyLeTangCa[Ngày] = "Thường") *
(Table_BangLuong_TyLeTangCa[Giờ min]&lt;=$AA40) *
(Table_BangLuong_TyLeTangCa[Giờ max]&gt;$AA40)
))),
IF(
AND(
$AA40-$Z$4&gt;=MAX(AE$4,VLOOKUP(AE$6, Table_ChiPhiNV_Ca[], COUNTA(Table_ChiPhiNV_Ca[[#Headers],[Ca]:[Bắt đầu]]),0)),
$AA40&lt;MIN(AE$5,VLOOKUP(AE$6, Table_ChiPhiNV_Ca[], COUNTA(Table_ChiPhiNV_Ca[[#Headers],[Ca]:[Kết thúc]]),0))),
SUM(_xlfn._xlws.FILTER(Table_BangLuong_TyLeTangCa[Tỷ lệ],
(Table_BangLuong_TyLeTangCa[Ngày] = "Thường") *
(Table_BangLuong_TyLeTangCa[Giờ min]&lt;=$AA40) *
(Table_BangLuong_TyLeTangCa[Giờ max]&gt;$AA40)
)),0)
)),
IF(AE$4 &lt; AE$5,
IF($AA40-$Z$4&lt;AE$4,0,
IF($AA40&gt;AE$5,0,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AE$5,$AA40 &lt; AE$4),0,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F40" s="18" cm="1">
        <f t="array" ref="AF40" xml:space="preserve">
IFERROR(
IF(AF$1="",0,
IF(AND(
$AA40&gt;=VLOOKUP(AF$6, Table_ChiPhiNV_Ca[], COUNTA(Table_ChiPhiNV_Ca[[#Headers],[Ca]:[Bắt đầu nghỉ]]),0),
$AA40&lt;VLOOKUP(AF$6, Table_ChiPhiNV_Ca[], COUNTA(Table_ChiPhiNV_Ca[[#Headers],[Ca]:[Kết thúc nghỉ]]),0)
),0,
IF(NOT(ISBLANK(AF$3)),
IF(ISBLANK(AF$7),0,
IF(AF$4 &lt; AF$5,
IF($AA40-$Z$4&lt;AF$4,0,
IF($AA40&gt;AF$5,0,
SUM(_xlfn._xlws.FILTER(Table_BangLuong_TyLeTangCa[Tỷ lệ],
(Table_BangLuong_TyLeTangCa[Ngày] = AF$3) *
(Table_BangLuong_TyLeTangCa[Giờ min]&lt;=$AA40) *
(Table_BangLuong_TyLeTangCa[Giờ max]&gt;$AA40)
)))),
IF(AND($AA40-$Z$4 &gt;= AF$5,$AA40 &lt; AF$4),0,
SUM(_xlfn._xlws.FILTER(Table_BangLuong_TyLeTangCa[Tỷ lệ],
(Table_BangLuong_TyLeTangCa[Ngày] = AF$3) *
(Table_BangLuong_TyLeTangCa[Giờ min]&lt;=$AA40) *
(Table_BangLuong_TyLeTangCa[Giờ max]&gt;$AA40)
))))
),
IF(ISBLANK(AF$7),
IF(VLOOKUP(AF$6, Table_ChiPhiNV_Ca[], COUNTA(Table_ChiPhiNV_Ca[[#Headers],[Ca]:[Kết thúc]]),0)&gt; VLOOKUP(AF$6, Table_ChiPhiNV_Ca[], COUNTA(Table_ChiPhiNV_Ca[[#Headers],[Ca]:[Bắt đầu]]),0),
IF($AA40-$Z$4&lt;MAX(AF$4,VLOOKUP(AF$6, Table_ChiPhiNV_Ca[], COUNTA(Table_ChiPhiNV_Ca[[#Headers],[Ca]:[Bắt đầu]]),0)),0,
IF($AA40&gt;MIN(AF$5,VLOOKUP(AF$6, Table_ChiPhiNV_Ca[], COUNTA(Table_ChiPhiNV_Ca[[#Headers],[Ca]:[Kết thúc]]),0)),0,
SUM(_xlfn._xlws.FILTER(Table_BangLuong_TyLeTangCa[Tỷ lệ],
(Table_BangLuong_TyLeTangCa[Ngày] = "Thường") *
(Table_BangLuong_TyLeTangCa[Giờ min]&lt;=$AA40) *
(Table_BangLuong_TyLeTangCa[Giờ max]&gt;$AA40)
)))),
IF(AF$4 &gt; AF$5,
IF(
AND(
$AA40-$Z$4&lt;MAX(AF$4,VLOOKUP(AF$6, Table_ChiPhiNV_Ca[], COUNTA(Table_ChiPhiNV_Ca[[#Headers],[Ca]:[Bắt đầu]]),0)),
$AA40&gt;MIN(AF$5,VLOOKUP(AF$6, Table_ChiPhiNV_Ca[], COUNTA(Table_ChiPhiNV_Ca[[#Headers],[Ca]:[Kết thúc]]),0))),0,
SUM(_xlfn._xlws.FILTER(Table_BangLuong_TyLeTangCa[Tỷ lệ],
(Table_BangLuong_TyLeTangCa[Ngày] = "Thường") *
(Table_BangLuong_TyLeTangCa[Giờ min]&lt;=$AA40) *
(Table_BangLuong_TyLeTangCa[Giờ max]&gt;$AA40)
))),
IF(
AND(
$AA40-$Z$4&gt;=MAX(AF$4,VLOOKUP(AF$6, Table_ChiPhiNV_Ca[], COUNTA(Table_ChiPhiNV_Ca[[#Headers],[Ca]:[Bắt đầu]]),0)),
$AA40&lt;MIN(AF$5,VLOOKUP(AF$6, Table_ChiPhiNV_Ca[], COUNTA(Table_ChiPhiNV_Ca[[#Headers],[Ca]:[Kết thúc]]),0))),
SUM(_xlfn._xlws.FILTER(Table_BangLuong_TyLeTangCa[Tỷ lệ],
(Table_BangLuong_TyLeTangCa[Ngày] = "Thường") *
(Table_BangLuong_TyLeTangCa[Giờ min]&lt;=$AA40) *
(Table_BangLuong_TyLeTangCa[Giờ max]&gt;$AA40)
)),0)
)),
IF(AF$4 &lt; AF$5,
IF($AA40-$Z$4&lt;AF$4,0,
IF($AA40&gt;AF$5,0,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AF$5,$AA40 &lt; AF$4),0,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G40" s="18" cm="1">
        <f t="array" ref="AG40" xml:space="preserve">
IFERROR(
IF(AG$1="",0,
IF(AND(
$AA40&gt;=VLOOKUP(AG$6, Table_ChiPhiNV_Ca[], COUNTA(Table_ChiPhiNV_Ca[[#Headers],[Ca]:[Bắt đầu nghỉ]]),0),
$AA40&lt;VLOOKUP(AG$6, Table_ChiPhiNV_Ca[], COUNTA(Table_ChiPhiNV_Ca[[#Headers],[Ca]:[Kết thúc nghỉ]]),0)
),0,
IF(NOT(ISBLANK(AG$3)),
IF(ISBLANK(AG$7),0,
IF(AG$4 &lt; AG$5,
IF($AA40-$Z$4&lt;AG$4,0,
IF($AA40&gt;AG$5,0,
SUM(_xlfn._xlws.FILTER(Table_BangLuong_TyLeTangCa[Tỷ lệ],
(Table_BangLuong_TyLeTangCa[Ngày] = AG$3) *
(Table_BangLuong_TyLeTangCa[Giờ min]&lt;=$AA40) *
(Table_BangLuong_TyLeTangCa[Giờ max]&gt;$AA40)
)))),
IF(AND($AA40-$Z$4 &gt;= AG$5,$AA40 &lt; AG$4),0,
SUM(_xlfn._xlws.FILTER(Table_BangLuong_TyLeTangCa[Tỷ lệ],
(Table_BangLuong_TyLeTangCa[Ngày] = AG$3) *
(Table_BangLuong_TyLeTangCa[Giờ min]&lt;=$AA40) *
(Table_BangLuong_TyLeTangCa[Giờ max]&gt;$AA40)
))))
),
IF(ISBLANK(AG$7),
IF(VLOOKUP(AG$6, Table_ChiPhiNV_Ca[], COUNTA(Table_ChiPhiNV_Ca[[#Headers],[Ca]:[Kết thúc]]),0)&gt; VLOOKUP(AG$6, Table_ChiPhiNV_Ca[], COUNTA(Table_ChiPhiNV_Ca[[#Headers],[Ca]:[Bắt đầu]]),0),
IF($AA40-$Z$4&lt;MAX(AG$4,VLOOKUP(AG$6, Table_ChiPhiNV_Ca[], COUNTA(Table_ChiPhiNV_Ca[[#Headers],[Ca]:[Bắt đầu]]),0)),0,
IF($AA40&gt;MIN(AG$5,VLOOKUP(AG$6, Table_ChiPhiNV_Ca[], COUNTA(Table_ChiPhiNV_Ca[[#Headers],[Ca]:[Kết thúc]]),0)),0,
SUM(_xlfn._xlws.FILTER(Table_BangLuong_TyLeTangCa[Tỷ lệ],
(Table_BangLuong_TyLeTangCa[Ngày] = "Thường") *
(Table_BangLuong_TyLeTangCa[Giờ min]&lt;=$AA40) *
(Table_BangLuong_TyLeTangCa[Giờ max]&gt;$AA40)
)))),
IF(AG$4 &gt; AG$5,
IF(
AND(
$AA40-$Z$4&lt;MAX(AG$4,VLOOKUP(AG$6, Table_ChiPhiNV_Ca[], COUNTA(Table_ChiPhiNV_Ca[[#Headers],[Ca]:[Bắt đầu]]),0)),
$AA40&gt;MIN(AG$5,VLOOKUP(AG$6, Table_ChiPhiNV_Ca[], COUNTA(Table_ChiPhiNV_Ca[[#Headers],[Ca]:[Kết thúc]]),0))),0,
SUM(_xlfn._xlws.FILTER(Table_BangLuong_TyLeTangCa[Tỷ lệ],
(Table_BangLuong_TyLeTangCa[Ngày] = "Thường") *
(Table_BangLuong_TyLeTangCa[Giờ min]&lt;=$AA40) *
(Table_BangLuong_TyLeTangCa[Giờ max]&gt;$AA40)
))),
IF(
AND(
$AA40-$Z$4&gt;=MAX(AG$4,VLOOKUP(AG$6, Table_ChiPhiNV_Ca[], COUNTA(Table_ChiPhiNV_Ca[[#Headers],[Ca]:[Bắt đầu]]),0)),
$AA40&lt;MIN(AG$5,VLOOKUP(AG$6, Table_ChiPhiNV_Ca[], COUNTA(Table_ChiPhiNV_Ca[[#Headers],[Ca]:[Kết thúc]]),0))),
SUM(_xlfn._xlws.FILTER(Table_BangLuong_TyLeTangCa[Tỷ lệ],
(Table_BangLuong_TyLeTangCa[Ngày] = "Thường") *
(Table_BangLuong_TyLeTangCa[Giờ min]&lt;=$AA40) *
(Table_BangLuong_TyLeTangCa[Giờ max]&gt;$AA40)
)),0)
)),
IF(AG$4 &lt; AG$5,
IF($AA40-$Z$4&lt;AG$4,0,
IF($AA40&gt;AG$5,0,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AG$5,$AA40 &lt; AG$4),0,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H40" s="18" cm="1">
        <f t="array" ref="AH40" xml:space="preserve">
IFERROR(
IF(AH$1="",0,
IF(AND(
$AA40&gt;=VLOOKUP(AH$6, Table_ChiPhiNV_Ca[], COUNTA(Table_ChiPhiNV_Ca[[#Headers],[Ca]:[Bắt đầu nghỉ]]),0),
$AA40&lt;VLOOKUP(AH$6, Table_ChiPhiNV_Ca[], COUNTA(Table_ChiPhiNV_Ca[[#Headers],[Ca]:[Kết thúc nghỉ]]),0)
),0,
IF(NOT(ISBLANK(AH$3)),
IF(ISBLANK(AH$7),0,
IF(AH$4 &lt; AH$5,
IF($AA40-$Z$4&lt;AH$4,0,
IF($AA40&gt;AH$5,0,
SUM(_xlfn._xlws.FILTER(Table_BangLuong_TyLeTangCa[Tỷ lệ],
(Table_BangLuong_TyLeTangCa[Ngày] = AH$3) *
(Table_BangLuong_TyLeTangCa[Giờ min]&lt;=$AA40) *
(Table_BangLuong_TyLeTangCa[Giờ max]&gt;$AA40)
)))),
IF(AND($AA40-$Z$4 &gt;= AH$5,$AA40 &lt; AH$4),0,
SUM(_xlfn._xlws.FILTER(Table_BangLuong_TyLeTangCa[Tỷ lệ],
(Table_BangLuong_TyLeTangCa[Ngày] = AH$3) *
(Table_BangLuong_TyLeTangCa[Giờ min]&lt;=$AA40) *
(Table_BangLuong_TyLeTangCa[Giờ max]&gt;$AA40)
))))
),
IF(ISBLANK(AH$7),
IF(VLOOKUP(AH$6, Table_ChiPhiNV_Ca[], COUNTA(Table_ChiPhiNV_Ca[[#Headers],[Ca]:[Kết thúc]]),0)&gt; VLOOKUP(AH$6, Table_ChiPhiNV_Ca[], COUNTA(Table_ChiPhiNV_Ca[[#Headers],[Ca]:[Bắt đầu]]),0),
IF($AA40-$Z$4&lt;MAX(AH$4,VLOOKUP(AH$6, Table_ChiPhiNV_Ca[], COUNTA(Table_ChiPhiNV_Ca[[#Headers],[Ca]:[Bắt đầu]]),0)),0,
IF($AA40&gt;MIN(AH$5,VLOOKUP(AH$6, Table_ChiPhiNV_Ca[], COUNTA(Table_ChiPhiNV_Ca[[#Headers],[Ca]:[Kết thúc]]),0)),0,
SUM(_xlfn._xlws.FILTER(Table_BangLuong_TyLeTangCa[Tỷ lệ],
(Table_BangLuong_TyLeTangCa[Ngày] = "Thường") *
(Table_BangLuong_TyLeTangCa[Giờ min]&lt;=$AA40) *
(Table_BangLuong_TyLeTangCa[Giờ max]&gt;$AA40)
)))),
IF(AH$4 &gt; AH$5,
IF(
AND(
$AA40-$Z$4&lt;MAX(AH$4,VLOOKUP(AH$6, Table_ChiPhiNV_Ca[], COUNTA(Table_ChiPhiNV_Ca[[#Headers],[Ca]:[Bắt đầu]]),0)),
$AA40&gt;MIN(AH$5,VLOOKUP(AH$6, Table_ChiPhiNV_Ca[], COUNTA(Table_ChiPhiNV_Ca[[#Headers],[Ca]:[Kết thúc]]),0))),0,
SUM(_xlfn._xlws.FILTER(Table_BangLuong_TyLeTangCa[Tỷ lệ],
(Table_BangLuong_TyLeTangCa[Ngày] = "Thường") *
(Table_BangLuong_TyLeTangCa[Giờ min]&lt;=$AA40) *
(Table_BangLuong_TyLeTangCa[Giờ max]&gt;$AA40)
))),
IF(
AND(
$AA40-$Z$4&gt;=MAX(AH$4,VLOOKUP(AH$6, Table_ChiPhiNV_Ca[], COUNTA(Table_ChiPhiNV_Ca[[#Headers],[Ca]:[Bắt đầu]]),0)),
$AA40&lt;MIN(AH$5,VLOOKUP(AH$6, Table_ChiPhiNV_Ca[], COUNTA(Table_ChiPhiNV_Ca[[#Headers],[Ca]:[Kết thúc]]),0))),
SUM(_xlfn._xlws.FILTER(Table_BangLuong_TyLeTangCa[Tỷ lệ],
(Table_BangLuong_TyLeTangCa[Ngày] = "Thường") *
(Table_BangLuong_TyLeTangCa[Giờ min]&lt;=$AA40) *
(Table_BangLuong_TyLeTangCa[Giờ max]&gt;$AA40)
)),0)
)),
IF(AH$4 &lt; AH$5,
IF($AA40-$Z$4&lt;AH$4,0,
IF($AA40&gt;AH$5,0,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AH$5,$AA40 &lt; AH$4),0,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I40" s="18" cm="1">
        <f t="array" ref="AI40" xml:space="preserve">
IFERROR(
IF(AI$1="",0,
IF(AND(
$AA40&gt;=VLOOKUP(AI$6, Table_ChiPhiNV_Ca[], COUNTA(Table_ChiPhiNV_Ca[[#Headers],[Ca]:[Bắt đầu nghỉ]]),0),
$AA40&lt;VLOOKUP(AI$6, Table_ChiPhiNV_Ca[], COUNTA(Table_ChiPhiNV_Ca[[#Headers],[Ca]:[Kết thúc nghỉ]]),0)
),0,
IF(NOT(ISBLANK(AI$3)),
IF(ISBLANK(AI$7),0,
IF(AI$4 &lt; AI$5,
IF($AA40-$Z$4&lt;AI$4,0,
IF($AA40&gt;AI$5,0,
SUM(_xlfn._xlws.FILTER(Table_BangLuong_TyLeTangCa[Tỷ lệ],
(Table_BangLuong_TyLeTangCa[Ngày] = AI$3) *
(Table_BangLuong_TyLeTangCa[Giờ min]&lt;=$AA40) *
(Table_BangLuong_TyLeTangCa[Giờ max]&gt;$AA40)
)))),
IF(AND($AA40-$Z$4 &gt;= AI$5,$AA40 &lt; AI$4),0,
SUM(_xlfn._xlws.FILTER(Table_BangLuong_TyLeTangCa[Tỷ lệ],
(Table_BangLuong_TyLeTangCa[Ngày] = AI$3) *
(Table_BangLuong_TyLeTangCa[Giờ min]&lt;=$AA40) *
(Table_BangLuong_TyLeTangCa[Giờ max]&gt;$AA40)
))))
),
IF(ISBLANK(AI$7),
IF(VLOOKUP(AI$6, Table_ChiPhiNV_Ca[], COUNTA(Table_ChiPhiNV_Ca[[#Headers],[Ca]:[Kết thúc]]),0)&gt; VLOOKUP(AI$6, Table_ChiPhiNV_Ca[], COUNTA(Table_ChiPhiNV_Ca[[#Headers],[Ca]:[Bắt đầu]]),0),
IF($AA40-$Z$4&lt;MAX(AI$4,VLOOKUP(AI$6, Table_ChiPhiNV_Ca[], COUNTA(Table_ChiPhiNV_Ca[[#Headers],[Ca]:[Bắt đầu]]),0)),0,
IF($AA40&gt;MIN(AI$5,VLOOKUP(AI$6, Table_ChiPhiNV_Ca[], COUNTA(Table_ChiPhiNV_Ca[[#Headers],[Ca]:[Kết thúc]]),0)),0,
SUM(_xlfn._xlws.FILTER(Table_BangLuong_TyLeTangCa[Tỷ lệ],
(Table_BangLuong_TyLeTangCa[Ngày] = "Thường") *
(Table_BangLuong_TyLeTangCa[Giờ min]&lt;=$AA40) *
(Table_BangLuong_TyLeTangCa[Giờ max]&gt;$AA40)
)))),
IF(AI$4 &gt; AI$5,
IF(
AND(
$AA40-$Z$4&lt;MAX(AI$4,VLOOKUP(AI$6, Table_ChiPhiNV_Ca[], COUNTA(Table_ChiPhiNV_Ca[[#Headers],[Ca]:[Bắt đầu]]),0)),
$AA40&gt;MIN(AI$5,VLOOKUP(AI$6, Table_ChiPhiNV_Ca[], COUNTA(Table_ChiPhiNV_Ca[[#Headers],[Ca]:[Kết thúc]]),0))),0,
SUM(_xlfn._xlws.FILTER(Table_BangLuong_TyLeTangCa[Tỷ lệ],
(Table_BangLuong_TyLeTangCa[Ngày] = "Thường") *
(Table_BangLuong_TyLeTangCa[Giờ min]&lt;=$AA40) *
(Table_BangLuong_TyLeTangCa[Giờ max]&gt;$AA40)
))),
IF(
AND(
$AA40-$Z$4&gt;=MAX(AI$4,VLOOKUP(AI$6, Table_ChiPhiNV_Ca[], COUNTA(Table_ChiPhiNV_Ca[[#Headers],[Ca]:[Bắt đầu]]),0)),
$AA40&lt;MIN(AI$5,VLOOKUP(AI$6, Table_ChiPhiNV_Ca[], COUNTA(Table_ChiPhiNV_Ca[[#Headers],[Ca]:[Kết thúc]]),0))),
SUM(_xlfn._xlws.FILTER(Table_BangLuong_TyLeTangCa[Tỷ lệ],
(Table_BangLuong_TyLeTangCa[Ngày] = "Thường") *
(Table_BangLuong_TyLeTangCa[Giờ min]&lt;=$AA40) *
(Table_BangLuong_TyLeTangCa[Giờ max]&gt;$AA40)
)),0)
)),
IF(AI$4 &lt; AI$5,
IF($AA40-$Z$4&lt;AI$4,0,
IF($AA40&gt;AI$5,0,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AI$5,$AA40 &lt; AI$4),0,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J40" s="18" cm="1">
        <f t="array" ref="AJ40" xml:space="preserve">
IFERROR(
IF(AJ$1="",0,
IF(AND(
$AA40&gt;=VLOOKUP(AJ$6, Table_ChiPhiNV_Ca[], COUNTA(Table_ChiPhiNV_Ca[[#Headers],[Ca]:[Bắt đầu nghỉ]]),0),
$AA40&lt;VLOOKUP(AJ$6, Table_ChiPhiNV_Ca[], COUNTA(Table_ChiPhiNV_Ca[[#Headers],[Ca]:[Kết thúc nghỉ]]),0)
),0,
IF(NOT(ISBLANK(AJ$3)),
IF(ISBLANK(AJ$7),0,
IF(AJ$4 &lt; AJ$5,
IF($AA40-$Z$4&lt;AJ$4,0,
IF($AA40&gt;AJ$5,0,
SUM(_xlfn._xlws.FILTER(Table_BangLuong_TyLeTangCa[Tỷ lệ],
(Table_BangLuong_TyLeTangCa[Ngày] = AJ$3) *
(Table_BangLuong_TyLeTangCa[Giờ min]&lt;=$AA40) *
(Table_BangLuong_TyLeTangCa[Giờ max]&gt;$AA40)
)))),
IF(AND($AA40-$Z$4 &gt;= AJ$5,$AA40 &lt; AJ$4),0,
SUM(_xlfn._xlws.FILTER(Table_BangLuong_TyLeTangCa[Tỷ lệ],
(Table_BangLuong_TyLeTangCa[Ngày] = AJ$3) *
(Table_BangLuong_TyLeTangCa[Giờ min]&lt;=$AA40) *
(Table_BangLuong_TyLeTangCa[Giờ max]&gt;$AA40)
))))
),
IF(ISBLANK(AJ$7),
IF(VLOOKUP(AJ$6, Table_ChiPhiNV_Ca[], COUNTA(Table_ChiPhiNV_Ca[[#Headers],[Ca]:[Kết thúc]]),0)&gt; VLOOKUP(AJ$6, Table_ChiPhiNV_Ca[], COUNTA(Table_ChiPhiNV_Ca[[#Headers],[Ca]:[Bắt đầu]]),0),
IF($AA40-$Z$4&lt;MAX(AJ$4,VLOOKUP(AJ$6, Table_ChiPhiNV_Ca[], COUNTA(Table_ChiPhiNV_Ca[[#Headers],[Ca]:[Bắt đầu]]),0)),0,
IF($AA40&gt;MIN(AJ$5,VLOOKUP(AJ$6, Table_ChiPhiNV_Ca[], COUNTA(Table_ChiPhiNV_Ca[[#Headers],[Ca]:[Kết thúc]]),0)),0,
SUM(_xlfn._xlws.FILTER(Table_BangLuong_TyLeTangCa[Tỷ lệ],
(Table_BangLuong_TyLeTangCa[Ngày] = "Thường") *
(Table_BangLuong_TyLeTangCa[Giờ min]&lt;=$AA40) *
(Table_BangLuong_TyLeTangCa[Giờ max]&gt;$AA40)
)))),
IF(AJ$4 &gt; AJ$5,
IF(
AND(
$AA40-$Z$4&lt;MAX(AJ$4,VLOOKUP(AJ$6, Table_ChiPhiNV_Ca[], COUNTA(Table_ChiPhiNV_Ca[[#Headers],[Ca]:[Bắt đầu]]),0)),
$AA40&gt;MIN(AJ$5,VLOOKUP(AJ$6, Table_ChiPhiNV_Ca[], COUNTA(Table_ChiPhiNV_Ca[[#Headers],[Ca]:[Kết thúc]]),0))),0,
SUM(_xlfn._xlws.FILTER(Table_BangLuong_TyLeTangCa[Tỷ lệ],
(Table_BangLuong_TyLeTangCa[Ngày] = "Thường") *
(Table_BangLuong_TyLeTangCa[Giờ min]&lt;=$AA40) *
(Table_BangLuong_TyLeTangCa[Giờ max]&gt;$AA40)
))),
IF(
AND(
$AA40-$Z$4&gt;=MAX(AJ$4,VLOOKUP(AJ$6, Table_ChiPhiNV_Ca[], COUNTA(Table_ChiPhiNV_Ca[[#Headers],[Ca]:[Bắt đầu]]),0)),
$AA40&lt;MIN(AJ$5,VLOOKUP(AJ$6, Table_ChiPhiNV_Ca[], COUNTA(Table_ChiPhiNV_Ca[[#Headers],[Ca]:[Kết thúc]]),0))),
SUM(_xlfn._xlws.FILTER(Table_BangLuong_TyLeTangCa[Tỷ lệ],
(Table_BangLuong_TyLeTangCa[Ngày] = "Thường") *
(Table_BangLuong_TyLeTangCa[Giờ min]&lt;=$AA40) *
(Table_BangLuong_TyLeTangCa[Giờ max]&gt;$AA40)
)),0)
)),
IF(AJ$4 &lt; AJ$5,
IF($AA40-$Z$4&lt;AJ$4,0,
IF($AA40&gt;AJ$5,0,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AJ$5,$AA40 &lt; AJ$4),0,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K40" s="18" cm="1">
        <f t="array" ref="AK40" xml:space="preserve">
IFERROR(
IF(AK$1="",0,
IF(AND(
$AA40&gt;=VLOOKUP(AK$6, Table_ChiPhiNV_Ca[], COUNTA(Table_ChiPhiNV_Ca[[#Headers],[Ca]:[Bắt đầu nghỉ]]),0),
$AA40&lt;VLOOKUP(AK$6, Table_ChiPhiNV_Ca[], COUNTA(Table_ChiPhiNV_Ca[[#Headers],[Ca]:[Kết thúc nghỉ]]),0)
),0,
IF(NOT(ISBLANK(AK$3)),
IF(ISBLANK(AK$7),0,
IF(AK$4 &lt; AK$5,
IF($AA40-$Z$4&lt;AK$4,0,
IF($AA40&gt;AK$5,0,
SUM(_xlfn._xlws.FILTER(Table_BangLuong_TyLeTangCa[Tỷ lệ],
(Table_BangLuong_TyLeTangCa[Ngày] = AK$3) *
(Table_BangLuong_TyLeTangCa[Giờ min]&lt;=$AA40) *
(Table_BangLuong_TyLeTangCa[Giờ max]&gt;$AA40)
)))),
IF(AND($AA40-$Z$4 &gt;= AK$5,$AA40 &lt; AK$4),0,
SUM(_xlfn._xlws.FILTER(Table_BangLuong_TyLeTangCa[Tỷ lệ],
(Table_BangLuong_TyLeTangCa[Ngày] = AK$3) *
(Table_BangLuong_TyLeTangCa[Giờ min]&lt;=$AA40) *
(Table_BangLuong_TyLeTangCa[Giờ max]&gt;$AA40)
))))
),
IF(ISBLANK(AK$7),
IF(VLOOKUP(AK$6, Table_ChiPhiNV_Ca[], COUNTA(Table_ChiPhiNV_Ca[[#Headers],[Ca]:[Kết thúc]]),0)&gt; VLOOKUP(AK$6, Table_ChiPhiNV_Ca[], COUNTA(Table_ChiPhiNV_Ca[[#Headers],[Ca]:[Bắt đầu]]),0),
IF($AA40-$Z$4&lt;MAX(AK$4,VLOOKUP(AK$6, Table_ChiPhiNV_Ca[], COUNTA(Table_ChiPhiNV_Ca[[#Headers],[Ca]:[Bắt đầu]]),0)),0,
IF($AA40&gt;MIN(AK$5,VLOOKUP(AK$6, Table_ChiPhiNV_Ca[], COUNTA(Table_ChiPhiNV_Ca[[#Headers],[Ca]:[Kết thúc]]),0)),0,
SUM(_xlfn._xlws.FILTER(Table_BangLuong_TyLeTangCa[Tỷ lệ],
(Table_BangLuong_TyLeTangCa[Ngày] = "Thường") *
(Table_BangLuong_TyLeTangCa[Giờ min]&lt;=$AA40) *
(Table_BangLuong_TyLeTangCa[Giờ max]&gt;$AA40)
)))),
IF(AK$4 &gt; AK$5,
IF(
AND(
$AA40-$Z$4&lt;MAX(AK$4,VLOOKUP(AK$6, Table_ChiPhiNV_Ca[], COUNTA(Table_ChiPhiNV_Ca[[#Headers],[Ca]:[Bắt đầu]]),0)),
$AA40&gt;MIN(AK$5,VLOOKUP(AK$6, Table_ChiPhiNV_Ca[], COUNTA(Table_ChiPhiNV_Ca[[#Headers],[Ca]:[Kết thúc]]),0))),0,
SUM(_xlfn._xlws.FILTER(Table_BangLuong_TyLeTangCa[Tỷ lệ],
(Table_BangLuong_TyLeTangCa[Ngày] = "Thường") *
(Table_BangLuong_TyLeTangCa[Giờ min]&lt;=$AA40) *
(Table_BangLuong_TyLeTangCa[Giờ max]&gt;$AA40)
))),
IF(
AND(
$AA40-$Z$4&gt;=MAX(AK$4,VLOOKUP(AK$6, Table_ChiPhiNV_Ca[], COUNTA(Table_ChiPhiNV_Ca[[#Headers],[Ca]:[Bắt đầu]]),0)),
$AA40&lt;MIN(AK$5,VLOOKUP(AK$6, Table_ChiPhiNV_Ca[], COUNTA(Table_ChiPhiNV_Ca[[#Headers],[Ca]:[Kết thúc]]),0))),
SUM(_xlfn._xlws.FILTER(Table_BangLuong_TyLeTangCa[Tỷ lệ],
(Table_BangLuong_TyLeTangCa[Ngày] = "Thường") *
(Table_BangLuong_TyLeTangCa[Giờ min]&lt;=$AA40) *
(Table_BangLuong_TyLeTangCa[Giờ max]&gt;$AA40)
)),0)
)),
IF(AK$4 &lt; AK$5,
IF($AA40-$Z$4&lt;AK$4,0,
IF($AA40&gt;AK$5,0,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AK$5,$AA40 &lt; AK$4),0,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L40" s="18" cm="1">
        <f t="array" ref="AL40" xml:space="preserve">
IFERROR(
IF(AL$1="",0,
IF(AND(
$AA40&gt;=VLOOKUP(AL$6, Table_ChiPhiNV_Ca[], COUNTA(Table_ChiPhiNV_Ca[[#Headers],[Ca]:[Bắt đầu nghỉ]]),0),
$AA40&lt;VLOOKUP(AL$6, Table_ChiPhiNV_Ca[], COUNTA(Table_ChiPhiNV_Ca[[#Headers],[Ca]:[Kết thúc nghỉ]]),0)
),0,
IF(NOT(ISBLANK(AL$3)),
IF(ISBLANK(AL$7),0,
IF(AL$4 &lt; AL$5,
IF($AA40-$Z$4&lt;AL$4,0,
IF($AA40&gt;AL$5,0,
SUM(_xlfn._xlws.FILTER(Table_BangLuong_TyLeTangCa[Tỷ lệ],
(Table_BangLuong_TyLeTangCa[Ngày] = AL$3) *
(Table_BangLuong_TyLeTangCa[Giờ min]&lt;=$AA40) *
(Table_BangLuong_TyLeTangCa[Giờ max]&gt;$AA40)
)))),
IF(AND($AA40-$Z$4 &gt;= AL$5,$AA40 &lt; AL$4),0,
SUM(_xlfn._xlws.FILTER(Table_BangLuong_TyLeTangCa[Tỷ lệ],
(Table_BangLuong_TyLeTangCa[Ngày] = AL$3) *
(Table_BangLuong_TyLeTangCa[Giờ min]&lt;=$AA40) *
(Table_BangLuong_TyLeTangCa[Giờ max]&gt;$AA40)
))))
),
IF(ISBLANK(AL$7),
IF(VLOOKUP(AL$6, Table_ChiPhiNV_Ca[], COUNTA(Table_ChiPhiNV_Ca[[#Headers],[Ca]:[Kết thúc]]),0)&gt; VLOOKUP(AL$6, Table_ChiPhiNV_Ca[], COUNTA(Table_ChiPhiNV_Ca[[#Headers],[Ca]:[Bắt đầu]]),0),
IF($AA40-$Z$4&lt;MAX(AL$4,VLOOKUP(AL$6, Table_ChiPhiNV_Ca[], COUNTA(Table_ChiPhiNV_Ca[[#Headers],[Ca]:[Bắt đầu]]),0)),0,
IF($AA40&gt;MIN(AL$5,VLOOKUP(AL$6, Table_ChiPhiNV_Ca[], COUNTA(Table_ChiPhiNV_Ca[[#Headers],[Ca]:[Kết thúc]]),0)),0,
SUM(_xlfn._xlws.FILTER(Table_BangLuong_TyLeTangCa[Tỷ lệ],
(Table_BangLuong_TyLeTangCa[Ngày] = "Thường") *
(Table_BangLuong_TyLeTangCa[Giờ min]&lt;=$AA40) *
(Table_BangLuong_TyLeTangCa[Giờ max]&gt;$AA40)
)))),
IF(AL$4 &gt; AL$5,
IF(
AND(
$AA40-$Z$4&lt;MAX(AL$4,VLOOKUP(AL$6, Table_ChiPhiNV_Ca[], COUNTA(Table_ChiPhiNV_Ca[[#Headers],[Ca]:[Bắt đầu]]),0)),
$AA40&gt;MIN(AL$5,VLOOKUP(AL$6, Table_ChiPhiNV_Ca[], COUNTA(Table_ChiPhiNV_Ca[[#Headers],[Ca]:[Kết thúc]]),0))),0,
SUM(_xlfn._xlws.FILTER(Table_BangLuong_TyLeTangCa[Tỷ lệ],
(Table_BangLuong_TyLeTangCa[Ngày] = "Thường") *
(Table_BangLuong_TyLeTangCa[Giờ min]&lt;=$AA40) *
(Table_BangLuong_TyLeTangCa[Giờ max]&gt;$AA40)
))),
IF(
AND(
$AA40-$Z$4&gt;=MAX(AL$4,VLOOKUP(AL$6, Table_ChiPhiNV_Ca[], COUNTA(Table_ChiPhiNV_Ca[[#Headers],[Ca]:[Bắt đầu]]),0)),
$AA40&lt;MIN(AL$5,VLOOKUP(AL$6, Table_ChiPhiNV_Ca[], COUNTA(Table_ChiPhiNV_Ca[[#Headers],[Ca]:[Kết thúc]]),0))),
SUM(_xlfn._xlws.FILTER(Table_BangLuong_TyLeTangCa[Tỷ lệ],
(Table_BangLuong_TyLeTangCa[Ngày] = "Thường") *
(Table_BangLuong_TyLeTangCa[Giờ min]&lt;=$AA40) *
(Table_BangLuong_TyLeTangCa[Giờ max]&gt;$AA40)
)),0)
)),
IF(AL$4 &lt; AL$5,
IF($AA40-$Z$4&lt;AL$4,0,
IF($AA40&gt;AL$5,0,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AL$5,$AA40 &lt; AL$4),0,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M40" s="18" cm="1">
        <f t="array" ref="AM40" xml:space="preserve">
IFERROR(
IF(AM$1="",0,
IF(AND(
$AA40&gt;=VLOOKUP(AM$6, Table_ChiPhiNV_Ca[], COUNTA(Table_ChiPhiNV_Ca[[#Headers],[Ca]:[Bắt đầu nghỉ]]),0),
$AA40&lt;VLOOKUP(AM$6, Table_ChiPhiNV_Ca[], COUNTA(Table_ChiPhiNV_Ca[[#Headers],[Ca]:[Kết thúc nghỉ]]),0)
),0,
IF(NOT(ISBLANK(AM$3)),
IF(ISBLANK(AM$7),0,
IF(AM$4 &lt; AM$5,
IF($AA40-$Z$4&lt;AM$4,0,
IF($AA40&gt;AM$5,0,
SUM(_xlfn._xlws.FILTER(Table_BangLuong_TyLeTangCa[Tỷ lệ],
(Table_BangLuong_TyLeTangCa[Ngày] = AM$3) *
(Table_BangLuong_TyLeTangCa[Giờ min]&lt;=$AA40) *
(Table_BangLuong_TyLeTangCa[Giờ max]&gt;$AA40)
)))),
IF(AND($AA40-$Z$4 &gt;= AM$5,$AA40 &lt; AM$4),0,
SUM(_xlfn._xlws.FILTER(Table_BangLuong_TyLeTangCa[Tỷ lệ],
(Table_BangLuong_TyLeTangCa[Ngày] = AM$3) *
(Table_BangLuong_TyLeTangCa[Giờ min]&lt;=$AA40) *
(Table_BangLuong_TyLeTangCa[Giờ max]&gt;$AA40)
))))
),
IF(ISBLANK(AM$7),
IF(VLOOKUP(AM$6, Table_ChiPhiNV_Ca[], COUNTA(Table_ChiPhiNV_Ca[[#Headers],[Ca]:[Kết thúc]]),0)&gt; VLOOKUP(AM$6, Table_ChiPhiNV_Ca[], COUNTA(Table_ChiPhiNV_Ca[[#Headers],[Ca]:[Bắt đầu]]),0),
IF($AA40-$Z$4&lt;MAX(AM$4,VLOOKUP(AM$6, Table_ChiPhiNV_Ca[], COUNTA(Table_ChiPhiNV_Ca[[#Headers],[Ca]:[Bắt đầu]]),0)),0,
IF($AA40&gt;MIN(AM$5,VLOOKUP(AM$6, Table_ChiPhiNV_Ca[], COUNTA(Table_ChiPhiNV_Ca[[#Headers],[Ca]:[Kết thúc]]),0)),0,
SUM(_xlfn._xlws.FILTER(Table_BangLuong_TyLeTangCa[Tỷ lệ],
(Table_BangLuong_TyLeTangCa[Ngày] = "Thường") *
(Table_BangLuong_TyLeTangCa[Giờ min]&lt;=$AA40) *
(Table_BangLuong_TyLeTangCa[Giờ max]&gt;$AA40)
)))),
IF(AM$4 &gt; AM$5,
IF(
AND(
$AA40-$Z$4&lt;MAX(AM$4,VLOOKUP(AM$6, Table_ChiPhiNV_Ca[], COUNTA(Table_ChiPhiNV_Ca[[#Headers],[Ca]:[Bắt đầu]]),0)),
$AA40&gt;MIN(AM$5,VLOOKUP(AM$6, Table_ChiPhiNV_Ca[], COUNTA(Table_ChiPhiNV_Ca[[#Headers],[Ca]:[Kết thúc]]),0))),0,
SUM(_xlfn._xlws.FILTER(Table_BangLuong_TyLeTangCa[Tỷ lệ],
(Table_BangLuong_TyLeTangCa[Ngày] = "Thường") *
(Table_BangLuong_TyLeTangCa[Giờ min]&lt;=$AA40) *
(Table_BangLuong_TyLeTangCa[Giờ max]&gt;$AA40)
))),
IF(
AND(
$AA40-$Z$4&gt;=MAX(AM$4,VLOOKUP(AM$6, Table_ChiPhiNV_Ca[], COUNTA(Table_ChiPhiNV_Ca[[#Headers],[Ca]:[Bắt đầu]]),0)),
$AA40&lt;MIN(AM$5,VLOOKUP(AM$6, Table_ChiPhiNV_Ca[], COUNTA(Table_ChiPhiNV_Ca[[#Headers],[Ca]:[Kết thúc]]),0))),
SUM(_xlfn._xlws.FILTER(Table_BangLuong_TyLeTangCa[Tỷ lệ],
(Table_BangLuong_TyLeTangCa[Ngày] = "Thường") *
(Table_BangLuong_TyLeTangCa[Giờ min]&lt;=$AA40) *
(Table_BangLuong_TyLeTangCa[Giờ max]&gt;$AA40)
)),0)
)),
IF(AM$4 &lt; AM$5,
IF($AA40-$Z$4&lt;AM$4,0,
IF($AA40&gt;AM$5,0,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AM$5,$AA40 &lt; AM$4),0,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N40" s="18" cm="1">
        <f t="array" ref="AN40" xml:space="preserve">
IFERROR(
IF(AN$1="",0,
IF(AND(
$AA40&gt;=VLOOKUP(AN$6, Table_ChiPhiNV_Ca[], COUNTA(Table_ChiPhiNV_Ca[[#Headers],[Ca]:[Bắt đầu nghỉ]]),0),
$AA40&lt;VLOOKUP(AN$6, Table_ChiPhiNV_Ca[], COUNTA(Table_ChiPhiNV_Ca[[#Headers],[Ca]:[Kết thúc nghỉ]]),0)
),0,
IF(NOT(ISBLANK(AN$3)),
IF(ISBLANK(AN$7),0,
IF(AN$4 &lt; AN$5,
IF($AA40-$Z$4&lt;AN$4,0,
IF($AA40&gt;AN$5,0,
SUM(_xlfn._xlws.FILTER(Table_BangLuong_TyLeTangCa[Tỷ lệ],
(Table_BangLuong_TyLeTangCa[Ngày] = AN$3) *
(Table_BangLuong_TyLeTangCa[Giờ min]&lt;=$AA40) *
(Table_BangLuong_TyLeTangCa[Giờ max]&gt;$AA40)
)))),
IF(AND($AA40-$Z$4 &gt;= AN$5,$AA40 &lt; AN$4),0,
SUM(_xlfn._xlws.FILTER(Table_BangLuong_TyLeTangCa[Tỷ lệ],
(Table_BangLuong_TyLeTangCa[Ngày] = AN$3) *
(Table_BangLuong_TyLeTangCa[Giờ min]&lt;=$AA40) *
(Table_BangLuong_TyLeTangCa[Giờ max]&gt;$AA40)
))))
),
IF(ISBLANK(AN$7),
IF(VLOOKUP(AN$6, Table_ChiPhiNV_Ca[], COUNTA(Table_ChiPhiNV_Ca[[#Headers],[Ca]:[Kết thúc]]),0)&gt; VLOOKUP(AN$6, Table_ChiPhiNV_Ca[], COUNTA(Table_ChiPhiNV_Ca[[#Headers],[Ca]:[Bắt đầu]]),0),
IF($AA40-$Z$4&lt;MAX(AN$4,VLOOKUP(AN$6, Table_ChiPhiNV_Ca[], COUNTA(Table_ChiPhiNV_Ca[[#Headers],[Ca]:[Bắt đầu]]),0)),0,
IF($AA40&gt;MIN(AN$5,VLOOKUP(AN$6, Table_ChiPhiNV_Ca[], COUNTA(Table_ChiPhiNV_Ca[[#Headers],[Ca]:[Kết thúc]]),0)),0,
SUM(_xlfn._xlws.FILTER(Table_BangLuong_TyLeTangCa[Tỷ lệ],
(Table_BangLuong_TyLeTangCa[Ngày] = "Thường") *
(Table_BangLuong_TyLeTangCa[Giờ min]&lt;=$AA40) *
(Table_BangLuong_TyLeTangCa[Giờ max]&gt;$AA40)
)))),
IF(AN$4 &gt; AN$5,
IF(
AND(
$AA40-$Z$4&lt;MAX(AN$4,VLOOKUP(AN$6, Table_ChiPhiNV_Ca[], COUNTA(Table_ChiPhiNV_Ca[[#Headers],[Ca]:[Bắt đầu]]),0)),
$AA40&gt;MIN(AN$5,VLOOKUP(AN$6, Table_ChiPhiNV_Ca[], COUNTA(Table_ChiPhiNV_Ca[[#Headers],[Ca]:[Kết thúc]]),0))),0,
SUM(_xlfn._xlws.FILTER(Table_BangLuong_TyLeTangCa[Tỷ lệ],
(Table_BangLuong_TyLeTangCa[Ngày] = "Thường") *
(Table_BangLuong_TyLeTangCa[Giờ min]&lt;=$AA40) *
(Table_BangLuong_TyLeTangCa[Giờ max]&gt;$AA40)
))),
IF(
AND(
$AA40-$Z$4&gt;=MAX(AN$4,VLOOKUP(AN$6, Table_ChiPhiNV_Ca[], COUNTA(Table_ChiPhiNV_Ca[[#Headers],[Ca]:[Bắt đầu]]),0)),
$AA40&lt;MIN(AN$5,VLOOKUP(AN$6, Table_ChiPhiNV_Ca[], COUNTA(Table_ChiPhiNV_Ca[[#Headers],[Ca]:[Kết thúc]]),0))),
SUM(_xlfn._xlws.FILTER(Table_BangLuong_TyLeTangCa[Tỷ lệ],
(Table_BangLuong_TyLeTangCa[Ngày] = "Thường") *
(Table_BangLuong_TyLeTangCa[Giờ min]&lt;=$AA40) *
(Table_BangLuong_TyLeTangCa[Giờ max]&gt;$AA40)
)),0)
)),
IF(AN$4 &lt; AN$5,
IF($AA40-$Z$4&lt;AN$4,0,
IF($AA40&gt;AN$5,0,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AN$5,$AA40 &lt; AN$4),0,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O40" s="18" cm="1">
        <f t="array" ref="AO40" xml:space="preserve">
IFERROR(
IF(AO$1="",0,
IF(AND(
$AA40&gt;=VLOOKUP(AO$6, Table_ChiPhiNV_Ca[], COUNTA(Table_ChiPhiNV_Ca[[#Headers],[Ca]:[Bắt đầu nghỉ]]),0),
$AA40&lt;VLOOKUP(AO$6, Table_ChiPhiNV_Ca[], COUNTA(Table_ChiPhiNV_Ca[[#Headers],[Ca]:[Kết thúc nghỉ]]),0)
),0,
IF(NOT(ISBLANK(AO$3)),
IF(ISBLANK(AO$7),0,
IF(AO$4 &lt; AO$5,
IF($AA40-$Z$4&lt;AO$4,0,
IF($AA40&gt;AO$5,0,
SUM(_xlfn._xlws.FILTER(Table_BangLuong_TyLeTangCa[Tỷ lệ],
(Table_BangLuong_TyLeTangCa[Ngày] = AO$3) *
(Table_BangLuong_TyLeTangCa[Giờ min]&lt;=$AA40) *
(Table_BangLuong_TyLeTangCa[Giờ max]&gt;$AA40)
)))),
IF(AND($AA40-$Z$4 &gt;= AO$5,$AA40 &lt; AO$4),0,
SUM(_xlfn._xlws.FILTER(Table_BangLuong_TyLeTangCa[Tỷ lệ],
(Table_BangLuong_TyLeTangCa[Ngày] = AO$3) *
(Table_BangLuong_TyLeTangCa[Giờ min]&lt;=$AA40) *
(Table_BangLuong_TyLeTangCa[Giờ max]&gt;$AA40)
))))
),
IF(ISBLANK(AO$7),
IF(VLOOKUP(AO$6, Table_ChiPhiNV_Ca[], COUNTA(Table_ChiPhiNV_Ca[[#Headers],[Ca]:[Kết thúc]]),0)&gt; VLOOKUP(AO$6, Table_ChiPhiNV_Ca[], COUNTA(Table_ChiPhiNV_Ca[[#Headers],[Ca]:[Bắt đầu]]),0),
IF($AA40-$Z$4&lt;MAX(AO$4,VLOOKUP(AO$6, Table_ChiPhiNV_Ca[], COUNTA(Table_ChiPhiNV_Ca[[#Headers],[Ca]:[Bắt đầu]]),0)),0,
IF($AA40&gt;MIN(AO$5,VLOOKUP(AO$6, Table_ChiPhiNV_Ca[], COUNTA(Table_ChiPhiNV_Ca[[#Headers],[Ca]:[Kết thúc]]),0)),0,
SUM(_xlfn._xlws.FILTER(Table_BangLuong_TyLeTangCa[Tỷ lệ],
(Table_BangLuong_TyLeTangCa[Ngày] = "Thường") *
(Table_BangLuong_TyLeTangCa[Giờ min]&lt;=$AA40) *
(Table_BangLuong_TyLeTangCa[Giờ max]&gt;$AA40)
)))),
IF(AO$4 &gt; AO$5,
IF(
AND(
$AA40-$Z$4&lt;MAX(AO$4,VLOOKUP(AO$6, Table_ChiPhiNV_Ca[], COUNTA(Table_ChiPhiNV_Ca[[#Headers],[Ca]:[Bắt đầu]]),0)),
$AA40&gt;MIN(AO$5,VLOOKUP(AO$6, Table_ChiPhiNV_Ca[], COUNTA(Table_ChiPhiNV_Ca[[#Headers],[Ca]:[Kết thúc]]),0))),0,
SUM(_xlfn._xlws.FILTER(Table_BangLuong_TyLeTangCa[Tỷ lệ],
(Table_BangLuong_TyLeTangCa[Ngày] = "Thường") *
(Table_BangLuong_TyLeTangCa[Giờ min]&lt;=$AA40) *
(Table_BangLuong_TyLeTangCa[Giờ max]&gt;$AA40)
))),
IF(
AND(
$AA40-$Z$4&gt;=MAX(AO$4,VLOOKUP(AO$6, Table_ChiPhiNV_Ca[], COUNTA(Table_ChiPhiNV_Ca[[#Headers],[Ca]:[Bắt đầu]]),0)),
$AA40&lt;MIN(AO$5,VLOOKUP(AO$6, Table_ChiPhiNV_Ca[], COUNTA(Table_ChiPhiNV_Ca[[#Headers],[Ca]:[Kết thúc]]),0))),
SUM(_xlfn._xlws.FILTER(Table_BangLuong_TyLeTangCa[Tỷ lệ],
(Table_BangLuong_TyLeTangCa[Ngày] = "Thường") *
(Table_BangLuong_TyLeTangCa[Giờ min]&lt;=$AA40) *
(Table_BangLuong_TyLeTangCa[Giờ max]&gt;$AA40)
)),0)
)),
IF(AO$4 &lt; AO$5,
IF($AA40-$Z$4&lt;AO$4,0,
IF($AA40&gt;AO$5,0,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AO$5,$AA40 &lt; AO$4),0,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P40" s="18" cm="1">
        <f t="array" ref="AP40" xml:space="preserve">
IFERROR(
IF(AP$1="",0,
IF(AND(
$AA40&gt;=VLOOKUP(AP$6, Table_ChiPhiNV_Ca[], COUNTA(Table_ChiPhiNV_Ca[[#Headers],[Ca]:[Bắt đầu nghỉ]]),0),
$AA40&lt;VLOOKUP(AP$6, Table_ChiPhiNV_Ca[], COUNTA(Table_ChiPhiNV_Ca[[#Headers],[Ca]:[Kết thúc nghỉ]]),0)
),0,
IF(NOT(ISBLANK(AP$3)),
IF(ISBLANK(AP$7),0,
IF(AP$4 &lt; AP$5,
IF($AA40-$Z$4&lt;AP$4,0,
IF($AA40&gt;AP$5,0,
SUM(_xlfn._xlws.FILTER(Table_BangLuong_TyLeTangCa[Tỷ lệ],
(Table_BangLuong_TyLeTangCa[Ngày] = AP$3) *
(Table_BangLuong_TyLeTangCa[Giờ min]&lt;=$AA40) *
(Table_BangLuong_TyLeTangCa[Giờ max]&gt;$AA40)
)))),
IF(AND($AA40-$Z$4 &gt;= AP$5,$AA40 &lt; AP$4),0,
SUM(_xlfn._xlws.FILTER(Table_BangLuong_TyLeTangCa[Tỷ lệ],
(Table_BangLuong_TyLeTangCa[Ngày] = AP$3) *
(Table_BangLuong_TyLeTangCa[Giờ min]&lt;=$AA40) *
(Table_BangLuong_TyLeTangCa[Giờ max]&gt;$AA40)
))))
),
IF(ISBLANK(AP$7),
IF(VLOOKUP(AP$6, Table_ChiPhiNV_Ca[], COUNTA(Table_ChiPhiNV_Ca[[#Headers],[Ca]:[Kết thúc]]),0)&gt; VLOOKUP(AP$6, Table_ChiPhiNV_Ca[], COUNTA(Table_ChiPhiNV_Ca[[#Headers],[Ca]:[Bắt đầu]]),0),
IF($AA40-$Z$4&lt;MAX(AP$4,VLOOKUP(AP$6, Table_ChiPhiNV_Ca[], COUNTA(Table_ChiPhiNV_Ca[[#Headers],[Ca]:[Bắt đầu]]),0)),0,
IF($AA40&gt;MIN(AP$5,VLOOKUP(AP$6, Table_ChiPhiNV_Ca[], COUNTA(Table_ChiPhiNV_Ca[[#Headers],[Ca]:[Kết thúc]]),0)),0,
SUM(_xlfn._xlws.FILTER(Table_BangLuong_TyLeTangCa[Tỷ lệ],
(Table_BangLuong_TyLeTangCa[Ngày] = "Thường") *
(Table_BangLuong_TyLeTangCa[Giờ min]&lt;=$AA40) *
(Table_BangLuong_TyLeTangCa[Giờ max]&gt;$AA40)
)))),
IF(AP$4 &gt; AP$5,
IF(
AND(
$AA40-$Z$4&lt;MAX(AP$4,VLOOKUP(AP$6, Table_ChiPhiNV_Ca[], COUNTA(Table_ChiPhiNV_Ca[[#Headers],[Ca]:[Bắt đầu]]),0)),
$AA40&gt;MIN(AP$5,VLOOKUP(AP$6, Table_ChiPhiNV_Ca[], COUNTA(Table_ChiPhiNV_Ca[[#Headers],[Ca]:[Kết thúc]]),0))),0,
SUM(_xlfn._xlws.FILTER(Table_BangLuong_TyLeTangCa[Tỷ lệ],
(Table_BangLuong_TyLeTangCa[Ngày] = "Thường") *
(Table_BangLuong_TyLeTangCa[Giờ min]&lt;=$AA40) *
(Table_BangLuong_TyLeTangCa[Giờ max]&gt;$AA40)
))),
IF(
AND(
$AA40-$Z$4&gt;=MAX(AP$4,VLOOKUP(AP$6, Table_ChiPhiNV_Ca[], COUNTA(Table_ChiPhiNV_Ca[[#Headers],[Ca]:[Bắt đầu]]),0)),
$AA40&lt;MIN(AP$5,VLOOKUP(AP$6, Table_ChiPhiNV_Ca[], COUNTA(Table_ChiPhiNV_Ca[[#Headers],[Ca]:[Kết thúc]]),0))),
SUM(_xlfn._xlws.FILTER(Table_BangLuong_TyLeTangCa[Tỷ lệ],
(Table_BangLuong_TyLeTangCa[Ngày] = "Thường") *
(Table_BangLuong_TyLeTangCa[Giờ min]&lt;=$AA40) *
(Table_BangLuong_TyLeTangCa[Giờ max]&gt;$AA40)
)),0)
)),
IF(AP$4 &lt; AP$5,
IF($AA40-$Z$4&lt;AP$4,0,
IF($AA40&gt;AP$5,0,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AP$5,$AA40 &lt; AP$4),0,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Q40" s="18" cm="1">
        <f t="array" ref="AQ40" xml:space="preserve">
IFERROR(
IF(AQ$1="",0,
IF(AND(
$AA40&gt;=VLOOKUP(AQ$6, Table_ChiPhiNV_Ca[], COUNTA(Table_ChiPhiNV_Ca[[#Headers],[Ca]:[Bắt đầu nghỉ]]),0),
$AA40&lt;VLOOKUP(AQ$6, Table_ChiPhiNV_Ca[], COUNTA(Table_ChiPhiNV_Ca[[#Headers],[Ca]:[Kết thúc nghỉ]]),0)
),0,
IF(NOT(ISBLANK(AQ$3)),
IF(ISBLANK(AQ$7),0,
IF(AQ$4 &lt; AQ$5,
IF($AA40-$Z$4&lt;AQ$4,0,
IF($AA40&gt;AQ$5,0,
SUM(_xlfn._xlws.FILTER(Table_BangLuong_TyLeTangCa[Tỷ lệ],
(Table_BangLuong_TyLeTangCa[Ngày] = AQ$3) *
(Table_BangLuong_TyLeTangCa[Giờ min]&lt;=$AA40) *
(Table_BangLuong_TyLeTangCa[Giờ max]&gt;$AA40)
)))),
IF(AND($AA40-$Z$4 &gt;= AQ$5,$AA40 &lt; AQ$4),0,
SUM(_xlfn._xlws.FILTER(Table_BangLuong_TyLeTangCa[Tỷ lệ],
(Table_BangLuong_TyLeTangCa[Ngày] = AQ$3) *
(Table_BangLuong_TyLeTangCa[Giờ min]&lt;=$AA40) *
(Table_BangLuong_TyLeTangCa[Giờ max]&gt;$AA40)
))))
),
IF(ISBLANK(AQ$7),
IF(VLOOKUP(AQ$6, Table_ChiPhiNV_Ca[], COUNTA(Table_ChiPhiNV_Ca[[#Headers],[Ca]:[Kết thúc]]),0)&gt; VLOOKUP(AQ$6, Table_ChiPhiNV_Ca[], COUNTA(Table_ChiPhiNV_Ca[[#Headers],[Ca]:[Bắt đầu]]),0),
IF($AA40-$Z$4&lt;MAX(AQ$4,VLOOKUP(AQ$6, Table_ChiPhiNV_Ca[], COUNTA(Table_ChiPhiNV_Ca[[#Headers],[Ca]:[Bắt đầu]]),0)),0,
IF($AA40&gt;MIN(AQ$5,VLOOKUP(AQ$6, Table_ChiPhiNV_Ca[], COUNTA(Table_ChiPhiNV_Ca[[#Headers],[Ca]:[Kết thúc]]),0)),0,
SUM(_xlfn._xlws.FILTER(Table_BangLuong_TyLeTangCa[Tỷ lệ],
(Table_BangLuong_TyLeTangCa[Ngày] = "Thường") *
(Table_BangLuong_TyLeTangCa[Giờ min]&lt;=$AA40) *
(Table_BangLuong_TyLeTangCa[Giờ max]&gt;$AA40)
)))),
IF(AQ$4 &gt; AQ$5,
IF(
AND(
$AA40-$Z$4&lt;MAX(AQ$4,VLOOKUP(AQ$6, Table_ChiPhiNV_Ca[], COUNTA(Table_ChiPhiNV_Ca[[#Headers],[Ca]:[Bắt đầu]]),0)),
$AA40&gt;MIN(AQ$5,VLOOKUP(AQ$6, Table_ChiPhiNV_Ca[], COUNTA(Table_ChiPhiNV_Ca[[#Headers],[Ca]:[Kết thúc]]),0))),0,
SUM(_xlfn._xlws.FILTER(Table_BangLuong_TyLeTangCa[Tỷ lệ],
(Table_BangLuong_TyLeTangCa[Ngày] = "Thường") *
(Table_BangLuong_TyLeTangCa[Giờ min]&lt;=$AA40) *
(Table_BangLuong_TyLeTangCa[Giờ max]&gt;$AA40)
))),
IF(
AND(
$AA40-$Z$4&gt;=MAX(AQ$4,VLOOKUP(AQ$6, Table_ChiPhiNV_Ca[], COUNTA(Table_ChiPhiNV_Ca[[#Headers],[Ca]:[Bắt đầu]]),0)),
$AA40&lt;MIN(AQ$5,VLOOKUP(AQ$6, Table_ChiPhiNV_Ca[], COUNTA(Table_ChiPhiNV_Ca[[#Headers],[Ca]:[Kết thúc]]),0))),
SUM(_xlfn._xlws.FILTER(Table_BangLuong_TyLeTangCa[Tỷ lệ],
(Table_BangLuong_TyLeTangCa[Ngày] = "Thường") *
(Table_BangLuong_TyLeTangCa[Giờ min]&lt;=$AA40) *
(Table_BangLuong_TyLeTangCa[Giờ max]&gt;$AA40)
)),0)
)),
IF(AQ$4 &lt; AQ$5,
IF($AA40-$Z$4&lt;AQ$4,0,
IF($AA40&gt;AQ$5,0,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AQ$5,$AA40 &lt; AQ$4),0,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R40" s="18" cm="1">
        <f t="array" ref="AR40" xml:space="preserve">
IFERROR(
IF(AR$1="",0,
IF(AND(
$AA40&gt;=VLOOKUP(AR$6, Table_ChiPhiNV_Ca[], COUNTA(Table_ChiPhiNV_Ca[[#Headers],[Ca]:[Bắt đầu nghỉ]]),0),
$AA40&lt;VLOOKUP(AR$6, Table_ChiPhiNV_Ca[], COUNTA(Table_ChiPhiNV_Ca[[#Headers],[Ca]:[Kết thúc nghỉ]]),0)
),0,
IF(NOT(ISBLANK(AR$3)),
IF(ISBLANK(AR$7),0,
IF(AR$4 &lt; AR$5,
IF($AA40-$Z$4&lt;AR$4,0,
IF($AA40&gt;AR$5,0,
SUM(_xlfn._xlws.FILTER(Table_BangLuong_TyLeTangCa[Tỷ lệ],
(Table_BangLuong_TyLeTangCa[Ngày] = AR$3) *
(Table_BangLuong_TyLeTangCa[Giờ min]&lt;=$AA40) *
(Table_BangLuong_TyLeTangCa[Giờ max]&gt;$AA40)
)))),
IF(AND($AA40-$Z$4 &gt;= AR$5,$AA40 &lt; AR$4),0,
SUM(_xlfn._xlws.FILTER(Table_BangLuong_TyLeTangCa[Tỷ lệ],
(Table_BangLuong_TyLeTangCa[Ngày] = AR$3) *
(Table_BangLuong_TyLeTangCa[Giờ min]&lt;=$AA40) *
(Table_BangLuong_TyLeTangCa[Giờ max]&gt;$AA40)
))))
),
IF(ISBLANK(AR$7),
IF(VLOOKUP(AR$6, Table_ChiPhiNV_Ca[], COUNTA(Table_ChiPhiNV_Ca[[#Headers],[Ca]:[Kết thúc]]),0)&gt; VLOOKUP(AR$6, Table_ChiPhiNV_Ca[], COUNTA(Table_ChiPhiNV_Ca[[#Headers],[Ca]:[Bắt đầu]]),0),
IF($AA40-$Z$4&lt;MAX(AR$4,VLOOKUP(AR$6, Table_ChiPhiNV_Ca[], COUNTA(Table_ChiPhiNV_Ca[[#Headers],[Ca]:[Bắt đầu]]),0)),0,
IF($AA40&gt;MIN(AR$5,VLOOKUP(AR$6, Table_ChiPhiNV_Ca[], COUNTA(Table_ChiPhiNV_Ca[[#Headers],[Ca]:[Kết thúc]]),0)),0,
SUM(_xlfn._xlws.FILTER(Table_BangLuong_TyLeTangCa[Tỷ lệ],
(Table_BangLuong_TyLeTangCa[Ngày] = "Thường") *
(Table_BangLuong_TyLeTangCa[Giờ min]&lt;=$AA40) *
(Table_BangLuong_TyLeTangCa[Giờ max]&gt;$AA40)
)))),
IF(AR$4 &gt; AR$5,
IF(
AND(
$AA40-$Z$4&lt;MAX(AR$4,VLOOKUP(AR$6, Table_ChiPhiNV_Ca[], COUNTA(Table_ChiPhiNV_Ca[[#Headers],[Ca]:[Bắt đầu]]),0)),
$AA40&gt;MIN(AR$5,VLOOKUP(AR$6, Table_ChiPhiNV_Ca[], COUNTA(Table_ChiPhiNV_Ca[[#Headers],[Ca]:[Kết thúc]]),0))),0,
SUM(_xlfn._xlws.FILTER(Table_BangLuong_TyLeTangCa[Tỷ lệ],
(Table_BangLuong_TyLeTangCa[Ngày] = "Thường") *
(Table_BangLuong_TyLeTangCa[Giờ min]&lt;=$AA40) *
(Table_BangLuong_TyLeTangCa[Giờ max]&gt;$AA40)
))),
IF(
AND(
$AA40-$Z$4&gt;=MAX(AR$4,VLOOKUP(AR$6, Table_ChiPhiNV_Ca[], COUNTA(Table_ChiPhiNV_Ca[[#Headers],[Ca]:[Bắt đầu]]),0)),
$AA40&lt;MIN(AR$5,VLOOKUP(AR$6, Table_ChiPhiNV_Ca[], COUNTA(Table_ChiPhiNV_Ca[[#Headers],[Ca]:[Kết thúc]]),0))),
SUM(_xlfn._xlws.FILTER(Table_BangLuong_TyLeTangCa[Tỷ lệ],
(Table_BangLuong_TyLeTangCa[Ngày] = "Thường") *
(Table_BangLuong_TyLeTangCa[Giờ min]&lt;=$AA40) *
(Table_BangLuong_TyLeTangCa[Giờ max]&gt;$AA40)
)),0)
)),
IF(AR$4 &lt; AR$5,
IF($AA40-$Z$4&lt;AR$4,0,
IF($AA40&gt;AR$5,0,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AR$5,$AA40 &lt; AR$4),0,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S40" s="18" cm="1">
        <f t="array" ref="AS40" xml:space="preserve">
IFERROR(
IF(AS$1="",0,
IF(AND(
$AA40&gt;=VLOOKUP(AS$6, Table_ChiPhiNV_Ca[], COUNTA(Table_ChiPhiNV_Ca[[#Headers],[Ca]:[Bắt đầu nghỉ]]),0),
$AA40&lt;VLOOKUP(AS$6, Table_ChiPhiNV_Ca[], COUNTA(Table_ChiPhiNV_Ca[[#Headers],[Ca]:[Kết thúc nghỉ]]),0)
),0,
IF(NOT(ISBLANK(AS$3)),
IF(ISBLANK(AS$7),0,
IF(AS$4 &lt; AS$5,
IF($AA40-$Z$4&lt;AS$4,0,
IF($AA40&gt;AS$5,0,
SUM(_xlfn._xlws.FILTER(Table_BangLuong_TyLeTangCa[Tỷ lệ],
(Table_BangLuong_TyLeTangCa[Ngày] = AS$3) *
(Table_BangLuong_TyLeTangCa[Giờ min]&lt;=$AA40) *
(Table_BangLuong_TyLeTangCa[Giờ max]&gt;$AA40)
)))),
IF(AND($AA40-$Z$4 &gt;= AS$5,$AA40 &lt; AS$4),0,
SUM(_xlfn._xlws.FILTER(Table_BangLuong_TyLeTangCa[Tỷ lệ],
(Table_BangLuong_TyLeTangCa[Ngày] = AS$3) *
(Table_BangLuong_TyLeTangCa[Giờ min]&lt;=$AA40) *
(Table_BangLuong_TyLeTangCa[Giờ max]&gt;$AA40)
))))
),
IF(ISBLANK(AS$7),
IF(VLOOKUP(AS$6, Table_ChiPhiNV_Ca[], COUNTA(Table_ChiPhiNV_Ca[[#Headers],[Ca]:[Kết thúc]]),0)&gt; VLOOKUP(AS$6, Table_ChiPhiNV_Ca[], COUNTA(Table_ChiPhiNV_Ca[[#Headers],[Ca]:[Bắt đầu]]),0),
IF($AA40-$Z$4&lt;MAX(AS$4,VLOOKUP(AS$6, Table_ChiPhiNV_Ca[], COUNTA(Table_ChiPhiNV_Ca[[#Headers],[Ca]:[Bắt đầu]]),0)),0,
IF($AA40&gt;MIN(AS$5,VLOOKUP(AS$6, Table_ChiPhiNV_Ca[], COUNTA(Table_ChiPhiNV_Ca[[#Headers],[Ca]:[Kết thúc]]),0)),0,
SUM(_xlfn._xlws.FILTER(Table_BangLuong_TyLeTangCa[Tỷ lệ],
(Table_BangLuong_TyLeTangCa[Ngày] = "Thường") *
(Table_BangLuong_TyLeTangCa[Giờ min]&lt;=$AA40) *
(Table_BangLuong_TyLeTangCa[Giờ max]&gt;$AA40)
)))),
IF(AS$4 &gt; AS$5,
IF(
AND(
$AA40-$Z$4&lt;MAX(AS$4,VLOOKUP(AS$6, Table_ChiPhiNV_Ca[], COUNTA(Table_ChiPhiNV_Ca[[#Headers],[Ca]:[Bắt đầu]]),0)),
$AA40&gt;MIN(AS$5,VLOOKUP(AS$6, Table_ChiPhiNV_Ca[], COUNTA(Table_ChiPhiNV_Ca[[#Headers],[Ca]:[Kết thúc]]),0))),0,
SUM(_xlfn._xlws.FILTER(Table_BangLuong_TyLeTangCa[Tỷ lệ],
(Table_BangLuong_TyLeTangCa[Ngày] = "Thường") *
(Table_BangLuong_TyLeTangCa[Giờ min]&lt;=$AA40) *
(Table_BangLuong_TyLeTangCa[Giờ max]&gt;$AA40)
))),
IF(
AND(
$AA40-$Z$4&gt;=MAX(AS$4,VLOOKUP(AS$6, Table_ChiPhiNV_Ca[], COUNTA(Table_ChiPhiNV_Ca[[#Headers],[Ca]:[Bắt đầu]]),0)),
$AA40&lt;MIN(AS$5,VLOOKUP(AS$6, Table_ChiPhiNV_Ca[], COUNTA(Table_ChiPhiNV_Ca[[#Headers],[Ca]:[Kết thúc]]),0))),
SUM(_xlfn._xlws.FILTER(Table_BangLuong_TyLeTangCa[Tỷ lệ],
(Table_BangLuong_TyLeTangCa[Ngày] = "Thường") *
(Table_BangLuong_TyLeTangCa[Giờ min]&lt;=$AA40) *
(Table_BangLuong_TyLeTangCa[Giờ max]&gt;$AA40)
)),0)
)),
IF(AS$4 &lt; AS$5,
IF($AA40-$Z$4&lt;AS$4,0,
IF($AA40&gt;AS$5,0,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AS$5,$AA40 &lt; AS$4),0,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T40" s="18" cm="1">
        <f t="array" ref="AT40" xml:space="preserve">
IFERROR(
IF(AT$1="",0,
IF(AND(
$AA40&gt;=VLOOKUP(AT$6, Table_ChiPhiNV_Ca[], COUNTA(Table_ChiPhiNV_Ca[[#Headers],[Ca]:[Bắt đầu nghỉ]]),0),
$AA40&lt;VLOOKUP(AT$6, Table_ChiPhiNV_Ca[], COUNTA(Table_ChiPhiNV_Ca[[#Headers],[Ca]:[Kết thúc nghỉ]]),0)
),0,
IF(NOT(ISBLANK(AT$3)),
IF(ISBLANK(AT$7),0,
IF(AT$4 &lt; AT$5,
IF($AA40-$Z$4&lt;AT$4,0,
IF($AA40&gt;AT$5,0,
SUM(_xlfn._xlws.FILTER(Table_BangLuong_TyLeTangCa[Tỷ lệ],
(Table_BangLuong_TyLeTangCa[Ngày] = AT$3) *
(Table_BangLuong_TyLeTangCa[Giờ min]&lt;=$AA40) *
(Table_BangLuong_TyLeTangCa[Giờ max]&gt;$AA40)
)))),
IF(AND($AA40-$Z$4 &gt;= AT$5,$AA40 &lt; AT$4),0,
SUM(_xlfn._xlws.FILTER(Table_BangLuong_TyLeTangCa[Tỷ lệ],
(Table_BangLuong_TyLeTangCa[Ngày] = AT$3) *
(Table_BangLuong_TyLeTangCa[Giờ min]&lt;=$AA40) *
(Table_BangLuong_TyLeTangCa[Giờ max]&gt;$AA40)
))))
),
IF(ISBLANK(AT$7),
IF(VLOOKUP(AT$6, Table_ChiPhiNV_Ca[], COUNTA(Table_ChiPhiNV_Ca[[#Headers],[Ca]:[Kết thúc]]),0)&gt; VLOOKUP(AT$6, Table_ChiPhiNV_Ca[], COUNTA(Table_ChiPhiNV_Ca[[#Headers],[Ca]:[Bắt đầu]]),0),
IF($AA40-$Z$4&lt;MAX(AT$4,VLOOKUP(AT$6, Table_ChiPhiNV_Ca[], COUNTA(Table_ChiPhiNV_Ca[[#Headers],[Ca]:[Bắt đầu]]),0)),0,
IF($AA40&gt;MIN(AT$5,VLOOKUP(AT$6, Table_ChiPhiNV_Ca[], COUNTA(Table_ChiPhiNV_Ca[[#Headers],[Ca]:[Kết thúc]]),0)),0,
SUM(_xlfn._xlws.FILTER(Table_BangLuong_TyLeTangCa[Tỷ lệ],
(Table_BangLuong_TyLeTangCa[Ngày] = "Thường") *
(Table_BangLuong_TyLeTangCa[Giờ min]&lt;=$AA40) *
(Table_BangLuong_TyLeTangCa[Giờ max]&gt;$AA40)
)))),
IF(AT$4 &gt; AT$5,
IF(
AND(
$AA40-$Z$4&lt;MAX(AT$4,VLOOKUP(AT$6, Table_ChiPhiNV_Ca[], COUNTA(Table_ChiPhiNV_Ca[[#Headers],[Ca]:[Bắt đầu]]),0)),
$AA40&gt;MIN(AT$5,VLOOKUP(AT$6, Table_ChiPhiNV_Ca[], COUNTA(Table_ChiPhiNV_Ca[[#Headers],[Ca]:[Kết thúc]]),0))),0,
SUM(_xlfn._xlws.FILTER(Table_BangLuong_TyLeTangCa[Tỷ lệ],
(Table_BangLuong_TyLeTangCa[Ngày] = "Thường") *
(Table_BangLuong_TyLeTangCa[Giờ min]&lt;=$AA40) *
(Table_BangLuong_TyLeTangCa[Giờ max]&gt;$AA40)
))),
IF(
AND(
$AA40-$Z$4&gt;=MAX(AT$4,VLOOKUP(AT$6, Table_ChiPhiNV_Ca[], COUNTA(Table_ChiPhiNV_Ca[[#Headers],[Ca]:[Bắt đầu]]),0)),
$AA40&lt;MIN(AT$5,VLOOKUP(AT$6, Table_ChiPhiNV_Ca[], COUNTA(Table_ChiPhiNV_Ca[[#Headers],[Ca]:[Kết thúc]]),0))),
SUM(_xlfn._xlws.FILTER(Table_BangLuong_TyLeTangCa[Tỷ lệ],
(Table_BangLuong_TyLeTangCa[Ngày] = "Thường") *
(Table_BangLuong_TyLeTangCa[Giờ min]&lt;=$AA40) *
(Table_BangLuong_TyLeTangCa[Giờ max]&gt;$AA40)
)),0)
)),
IF(AT$4 &lt; AT$5,
IF($AA40-$Z$4&lt;AT$4,0,
IF($AA40&gt;AT$5,0,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AT$5,$AA40 &lt; AT$4),0,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U40" s="18" cm="1">
        <f t="array" ref="AU40" xml:space="preserve">
IFERROR(
IF(AU$1="",0,
IF(AND(
$AA40&gt;=VLOOKUP(AU$6, Table_ChiPhiNV_Ca[], COUNTA(Table_ChiPhiNV_Ca[[#Headers],[Ca]:[Bắt đầu nghỉ]]),0),
$AA40&lt;VLOOKUP(AU$6, Table_ChiPhiNV_Ca[], COUNTA(Table_ChiPhiNV_Ca[[#Headers],[Ca]:[Kết thúc nghỉ]]),0)
),0,
IF(NOT(ISBLANK(AU$3)),
IF(ISBLANK(AU$7),0,
IF(AU$4 &lt; AU$5,
IF($AA40-$Z$4&lt;AU$4,0,
IF($AA40&gt;AU$5,0,
SUM(_xlfn._xlws.FILTER(Table_BangLuong_TyLeTangCa[Tỷ lệ],
(Table_BangLuong_TyLeTangCa[Ngày] = AU$3) *
(Table_BangLuong_TyLeTangCa[Giờ min]&lt;=$AA40) *
(Table_BangLuong_TyLeTangCa[Giờ max]&gt;$AA40)
)))),
IF(AND($AA40-$Z$4 &gt;= AU$5,$AA40 &lt; AU$4),0,
SUM(_xlfn._xlws.FILTER(Table_BangLuong_TyLeTangCa[Tỷ lệ],
(Table_BangLuong_TyLeTangCa[Ngày] = AU$3) *
(Table_BangLuong_TyLeTangCa[Giờ min]&lt;=$AA40) *
(Table_BangLuong_TyLeTangCa[Giờ max]&gt;$AA40)
))))
),
IF(ISBLANK(AU$7),
IF(VLOOKUP(AU$6, Table_ChiPhiNV_Ca[], COUNTA(Table_ChiPhiNV_Ca[[#Headers],[Ca]:[Kết thúc]]),0)&gt; VLOOKUP(AU$6, Table_ChiPhiNV_Ca[], COUNTA(Table_ChiPhiNV_Ca[[#Headers],[Ca]:[Bắt đầu]]),0),
IF($AA40-$Z$4&lt;MAX(AU$4,VLOOKUP(AU$6, Table_ChiPhiNV_Ca[], COUNTA(Table_ChiPhiNV_Ca[[#Headers],[Ca]:[Bắt đầu]]),0)),0,
IF($AA40&gt;MIN(AU$5,VLOOKUP(AU$6, Table_ChiPhiNV_Ca[], COUNTA(Table_ChiPhiNV_Ca[[#Headers],[Ca]:[Kết thúc]]),0)),0,
SUM(_xlfn._xlws.FILTER(Table_BangLuong_TyLeTangCa[Tỷ lệ],
(Table_BangLuong_TyLeTangCa[Ngày] = "Thường") *
(Table_BangLuong_TyLeTangCa[Giờ min]&lt;=$AA40) *
(Table_BangLuong_TyLeTangCa[Giờ max]&gt;$AA40)
)))),
IF(AU$4 &gt; AU$5,
IF(
AND(
$AA40-$Z$4&lt;MAX(AU$4,VLOOKUP(AU$6, Table_ChiPhiNV_Ca[], COUNTA(Table_ChiPhiNV_Ca[[#Headers],[Ca]:[Bắt đầu]]),0)),
$AA40&gt;MIN(AU$5,VLOOKUP(AU$6, Table_ChiPhiNV_Ca[], COUNTA(Table_ChiPhiNV_Ca[[#Headers],[Ca]:[Kết thúc]]),0))),0,
SUM(_xlfn._xlws.FILTER(Table_BangLuong_TyLeTangCa[Tỷ lệ],
(Table_BangLuong_TyLeTangCa[Ngày] = "Thường") *
(Table_BangLuong_TyLeTangCa[Giờ min]&lt;=$AA40) *
(Table_BangLuong_TyLeTangCa[Giờ max]&gt;$AA40)
))),
IF(
AND(
$AA40-$Z$4&gt;=MAX(AU$4,VLOOKUP(AU$6, Table_ChiPhiNV_Ca[], COUNTA(Table_ChiPhiNV_Ca[[#Headers],[Ca]:[Bắt đầu]]),0)),
$AA40&lt;MIN(AU$5,VLOOKUP(AU$6, Table_ChiPhiNV_Ca[], COUNTA(Table_ChiPhiNV_Ca[[#Headers],[Ca]:[Kết thúc]]),0))),
SUM(_xlfn._xlws.FILTER(Table_BangLuong_TyLeTangCa[Tỷ lệ],
(Table_BangLuong_TyLeTangCa[Ngày] = "Thường") *
(Table_BangLuong_TyLeTangCa[Giờ min]&lt;=$AA40) *
(Table_BangLuong_TyLeTangCa[Giờ max]&gt;$AA40)
)),0)
)),
IF(AU$4 &lt; AU$5,
IF($AA40-$Z$4&lt;AU$4,0,
IF($AA40&gt;AU$5,0,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AU$5,$AA40 &lt; AU$4),0,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V40" s="18" cm="1">
        <f t="array" ref="AV40" xml:space="preserve">
IFERROR(
IF(AV$1="",0,
IF(AND(
$AA40&gt;=VLOOKUP(AV$6, Table_ChiPhiNV_Ca[], COUNTA(Table_ChiPhiNV_Ca[[#Headers],[Ca]:[Bắt đầu nghỉ]]),0),
$AA40&lt;VLOOKUP(AV$6, Table_ChiPhiNV_Ca[], COUNTA(Table_ChiPhiNV_Ca[[#Headers],[Ca]:[Kết thúc nghỉ]]),0)
),0,
IF(NOT(ISBLANK(AV$3)),
IF(ISBLANK(AV$7),0,
IF(AV$4 &lt; AV$5,
IF($AA40-$Z$4&lt;AV$4,0,
IF($AA40&gt;AV$5,0,
SUM(_xlfn._xlws.FILTER(Table_BangLuong_TyLeTangCa[Tỷ lệ],
(Table_BangLuong_TyLeTangCa[Ngày] = AV$3) *
(Table_BangLuong_TyLeTangCa[Giờ min]&lt;=$AA40) *
(Table_BangLuong_TyLeTangCa[Giờ max]&gt;$AA40)
)))),
IF(AND($AA40-$Z$4 &gt;= AV$5,$AA40 &lt; AV$4),0,
SUM(_xlfn._xlws.FILTER(Table_BangLuong_TyLeTangCa[Tỷ lệ],
(Table_BangLuong_TyLeTangCa[Ngày] = AV$3) *
(Table_BangLuong_TyLeTangCa[Giờ min]&lt;=$AA40) *
(Table_BangLuong_TyLeTangCa[Giờ max]&gt;$AA40)
))))
),
IF(ISBLANK(AV$7),
IF(VLOOKUP(AV$6, Table_ChiPhiNV_Ca[], COUNTA(Table_ChiPhiNV_Ca[[#Headers],[Ca]:[Kết thúc]]),0)&gt; VLOOKUP(AV$6, Table_ChiPhiNV_Ca[], COUNTA(Table_ChiPhiNV_Ca[[#Headers],[Ca]:[Bắt đầu]]),0),
IF($AA40-$Z$4&lt;MAX(AV$4,VLOOKUP(AV$6, Table_ChiPhiNV_Ca[], COUNTA(Table_ChiPhiNV_Ca[[#Headers],[Ca]:[Bắt đầu]]),0)),0,
IF($AA40&gt;MIN(AV$5,VLOOKUP(AV$6, Table_ChiPhiNV_Ca[], COUNTA(Table_ChiPhiNV_Ca[[#Headers],[Ca]:[Kết thúc]]),0)),0,
SUM(_xlfn._xlws.FILTER(Table_BangLuong_TyLeTangCa[Tỷ lệ],
(Table_BangLuong_TyLeTangCa[Ngày] = "Thường") *
(Table_BangLuong_TyLeTangCa[Giờ min]&lt;=$AA40) *
(Table_BangLuong_TyLeTangCa[Giờ max]&gt;$AA40)
)))),
IF(AV$4 &gt; AV$5,
IF(
AND(
$AA40-$Z$4&lt;MAX(AV$4,VLOOKUP(AV$6, Table_ChiPhiNV_Ca[], COUNTA(Table_ChiPhiNV_Ca[[#Headers],[Ca]:[Bắt đầu]]),0)),
$AA40&gt;MIN(AV$5,VLOOKUP(AV$6, Table_ChiPhiNV_Ca[], COUNTA(Table_ChiPhiNV_Ca[[#Headers],[Ca]:[Kết thúc]]),0))),0,
SUM(_xlfn._xlws.FILTER(Table_BangLuong_TyLeTangCa[Tỷ lệ],
(Table_BangLuong_TyLeTangCa[Ngày] = "Thường") *
(Table_BangLuong_TyLeTangCa[Giờ min]&lt;=$AA40) *
(Table_BangLuong_TyLeTangCa[Giờ max]&gt;$AA40)
))),
IF(
AND(
$AA40-$Z$4&gt;=MAX(AV$4,VLOOKUP(AV$6, Table_ChiPhiNV_Ca[], COUNTA(Table_ChiPhiNV_Ca[[#Headers],[Ca]:[Bắt đầu]]),0)),
$AA40&lt;MIN(AV$5,VLOOKUP(AV$6, Table_ChiPhiNV_Ca[], COUNTA(Table_ChiPhiNV_Ca[[#Headers],[Ca]:[Kết thúc]]),0))),
SUM(_xlfn._xlws.FILTER(Table_BangLuong_TyLeTangCa[Tỷ lệ],
(Table_BangLuong_TyLeTangCa[Ngày] = "Thường") *
(Table_BangLuong_TyLeTangCa[Giờ min]&lt;=$AA40) *
(Table_BangLuong_TyLeTangCa[Giờ max]&gt;$AA40)
)),0)
)),
IF(AV$4 &lt; AV$5,
IF($AA40-$Z$4&lt;AV$4,0,
IF($AA40&gt;AV$5,0,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AV$5,$AA40 &lt; AV$4),0,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W40" s="18" cm="1">
        <f t="array" ref="AW40" xml:space="preserve">
IFERROR(
IF(AW$1="",0,
IF(AND(
$AA40&gt;=VLOOKUP(AW$6, Table_ChiPhiNV_Ca[], COUNTA(Table_ChiPhiNV_Ca[[#Headers],[Ca]:[Bắt đầu nghỉ]]),0),
$AA40&lt;VLOOKUP(AW$6, Table_ChiPhiNV_Ca[], COUNTA(Table_ChiPhiNV_Ca[[#Headers],[Ca]:[Kết thúc nghỉ]]),0)
),0,
IF(NOT(ISBLANK(AW$3)),
IF(ISBLANK(AW$7),0,
IF(AW$4 &lt; AW$5,
IF($AA40-$Z$4&lt;AW$4,0,
IF($AA40&gt;AW$5,0,
SUM(_xlfn._xlws.FILTER(Table_BangLuong_TyLeTangCa[Tỷ lệ],
(Table_BangLuong_TyLeTangCa[Ngày] = AW$3) *
(Table_BangLuong_TyLeTangCa[Giờ min]&lt;=$AA40) *
(Table_BangLuong_TyLeTangCa[Giờ max]&gt;$AA40)
)))),
IF(AND($AA40-$Z$4 &gt;= AW$5,$AA40 &lt; AW$4),0,
SUM(_xlfn._xlws.FILTER(Table_BangLuong_TyLeTangCa[Tỷ lệ],
(Table_BangLuong_TyLeTangCa[Ngày] = AW$3) *
(Table_BangLuong_TyLeTangCa[Giờ min]&lt;=$AA40) *
(Table_BangLuong_TyLeTangCa[Giờ max]&gt;$AA40)
))))
),
IF(ISBLANK(AW$7),
IF(VLOOKUP(AW$6, Table_ChiPhiNV_Ca[], COUNTA(Table_ChiPhiNV_Ca[[#Headers],[Ca]:[Kết thúc]]),0)&gt; VLOOKUP(AW$6, Table_ChiPhiNV_Ca[], COUNTA(Table_ChiPhiNV_Ca[[#Headers],[Ca]:[Bắt đầu]]),0),
IF($AA40-$Z$4&lt;MAX(AW$4,VLOOKUP(AW$6, Table_ChiPhiNV_Ca[], COUNTA(Table_ChiPhiNV_Ca[[#Headers],[Ca]:[Bắt đầu]]),0)),0,
IF($AA40&gt;MIN(AW$5,VLOOKUP(AW$6, Table_ChiPhiNV_Ca[], COUNTA(Table_ChiPhiNV_Ca[[#Headers],[Ca]:[Kết thúc]]),0)),0,
SUM(_xlfn._xlws.FILTER(Table_BangLuong_TyLeTangCa[Tỷ lệ],
(Table_BangLuong_TyLeTangCa[Ngày] = "Thường") *
(Table_BangLuong_TyLeTangCa[Giờ min]&lt;=$AA40) *
(Table_BangLuong_TyLeTangCa[Giờ max]&gt;$AA40)
)))),
IF(AW$4 &gt; AW$5,
IF(
AND(
$AA40-$Z$4&lt;MAX(AW$4,VLOOKUP(AW$6, Table_ChiPhiNV_Ca[], COUNTA(Table_ChiPhiNV_Ca[[#Headers],[Ca]:[Bắt đầu]]),0)),
$AA40&gt;MIN(AW$5,VLOOKUP(AW$6, Table_ChiPhiNV_Ca[], COUNTA(Table_ChiPhiNV_Ca[[#Headers],[Ca]:[Kết thúc]]),0))),0,
SUM(_xlfn._xlws.FILTER(Table_BangLuong_TyLeTangCa[Tỷ lệ],
(Table_BangLuong_TyLeTangCa[Ngày] = "Thường") *
(Table_BangLuong_TyLeTangCa[Giờ min]&lt;=$AA40) *
(Table_BangLuong_TyLeTangCa[Giờ max]&gt;$AA40)
))),
IF(
AND(
$AA40-$Z$4&gt;=MAX(AW$4,VLOOKUP(AW$6, Table_ChiPhiNV_Ca[], COUNTA(Table_ChiPhiNV_Ca[[#Headers],[Ca]:[Bắt đầu]]),0)),
$AA40&lt;MIN(AW$5,VLOOKUP(AW$6, Table_ChiPhiNV_Ca[], COUNTA(Table_ChiPhiNV_Ca[[#Headers],[Ca]:[Kết thúc]]),0))),
SUM(_xlfn._xlws.FILTER(Table_BangLuong_TyLeTangCa[Tỷ lệ],
(Table_BangLuong_TyLeTangCa[Ngày] = "Thường") *
(Table_BangLuong_TyLeTangCa[Giờ min]&lt;=$AA40) *
(Table_BangLuong_TyLeTangCa[Giờ max]&gt;$AA40)
)),0)
)),
IF(AW$4 &lt; AW$5,
IF($AA40-$Z$4&lt;AW$4,0,
IF($AA40&gt;AW$5,0,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AW$5,$AA40 &lt; AW$4),0,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X40" s="18" cm="1">
        <f t="array" ref="AX40" xml:space="preserve">
IFERROR(
IF(AX$1="",0,
IF(AND(
$AA40&gt;=VLOOKUP(AX$6, Table_ChiPhiNV_Ca[], COUNTA(Table_ChiPhiNV_Ca[[#Headers],[Ca]:[Bắt đầu nghỉ]]),0),
$AA40&lt;VLOOKUP(AX$6, Table_ChiPhiNV_Ca[], COUNTA(Table_ChiPhiNV_Ca[[#Headers],[Ca]:[Kết thúc nghỉ]]),0)
),0,
IF(NOT(ISBLANK(AX$3)),
IF(ISBLANK(AX$7),0,
IF(AX$4 &lt; AX$5,
IF($AA40-$Z$4&lt;AX$4,0,
IF($AA40&gt;AX$5,0,
SUM(_xlfn._xlws.FILTER(Table_BangLuong_TyLeTangCa[Tỷ lệ],
(Table_BangLuong_TyLeTangCa[Ngày] = AX$3) *
(Table_BangLuong_TyLeTangCa[Giờ min]&lt;=$AA40) *
(Table_BangLuong_TyLeTangCa[Giờ max]&gt;$AA40)
)))),
IF(AND($AA40-$Z$4 &gt;= AX$5,$AA40 &lt; AX$4),0,
SUM(_xlfn._xlws.FILTER(Table_BangLuong_TyLeTangCa[Tỷ lệ],
(Table_BangLuong_TyLeTangCa[Ngày] = AX$3) *
(Table_BangLuong_TyLeTangCa[Giờ min]&lt;=$AA40) *
(Table_BangLuong_TyLeTangCa[Giờ max]&gt;$AA40)
))))
),
IF(ISBLANK(AX$7),
IF(VLOOKUP(AX$6, Table_ChiPhiNV_Ca[], COUNTA(Table_ChiPhiNV_Ca[[#Headers],[Ca]:[Kết thúc]]),0)&gt; VLOOKUP(AX$6, Table_ChiPhiNV_Ca[], COUNTA(Table_ChiPhiNV_Ca[[#Headers],[Ca]:[Bắt đầu]]),0),
IF($AA40-$Z$4&lt;MAX(AX$4,VLOOKUP(AX$6, Table_ChiPhiNV_Ca[], COUNTA(Table_ChiPhiNV_Ca[[#Headers],[Ca]:[Bắt đầu]]),0)),0,
IF($AA40&gt;MIN(AX$5,VLOOKUP(AX$6, Table_ChiPhiNV_Ca[], COUNTA(Table_ChiPhiNV_Ca[[#Headers],[Ca]:[Kết thúc]]),0)),0,
SUM(_xlfn._xlws.FILTER(Table_BangLuong_TyLeTangCa[Tỷ lệ],
(Table_BangLuong_TyLeTangCa[Ngày] = "Thường") *
(Table_BangLuong_TyLeTangCa[Giờ min]&lt;=$AA40) *
(Table_BangLuong_TyLeTangCa[Giờ max]&gt;$AA40)
)))),
IF(AX$4 &gt; AX$5,
IF(
AND(
$AA40-$Z$4&lt;MAX(AX$4,VLOOKUP(AX$6, Table_ChiPhiNV_Ca[], COUNTA(Table_ChiPhiNV_Ca[[#Headers],[Ca]:[Bắt đầu]]),0)),
$AA40&gt;MIN(AX$5,VLOOKUP(AX$6, Table_ChiPhiNV_Ca[], COUNTA(Table_ChiPhiNV_Ca[[#Headers],[Ca]:[Kết thúc]]),0))),0,
SUM(_xlfn._xlws.FILTER(Table_BangLuong_TyLeTangCa[Tỷ lệ],
(Table_BangLuong_TyLeTangCa[Ngày] = "Thường") *
(Table_BangLuong_TyLeTangCa[Giờ min]&lt;=$AA40) *
(Table_BangLuong_TyLeTangCa[Giờ max]&gt;$AA40)
))),
IF(
AND(
$AA40-$Z$4&gt;=MAX(AX$4,VLOOKUP(AX$6, Table_ChiPhiNV_Ca[], COUNTA(Table_ChiPhiNV_Ca[[#Headers],[Ca]:[Bắt đầu]]),0)),
$AA40&lt;MIN(AX$5,VLOOKUP(AX$6, Table_ChiPhiNV_Ca[], COUNTA(Table_ChiPhiNV_Ca[[#Headers],[Ca]:[Kết thúc]]),0))),
SUM(_xlfn._xlws.FILTER(Table_BangLuong_TyLeTangCa[Tỷ lệ],
(Table_BangLuong_TyLeTangCa[Ngày] = "Thường") *
(Table_BangLuong_TyLeTangCa[Giờ min]&lt;=$AA40) *
(Table_BangLuong_TyLeTangCa[Giờ max]&gt;$AA40)
)),0)
)),
IF(AX$4 &lt; AX$5,
IF($AA40-$Z$4&lt;AX$4,0,
IF($AA40&gt;AX$5,0,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AX$5,$AA40 &lt; AX$4),0,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Y40" s="18" cm="1">
        <f t="array" ref="AY40" xml:space="preserve">
IFERROR(
IF(AY$1="",0,
IF(AND(
$AA40&gt;=VLOOKUP(AY$6, Table_ChiPhiNV_Ca[], COUNTA(Table_ChiPhiNV_Ca[[#Headers],[Ca]:[Bắt đầu nghỉ]]),0),
$AA40&lt;VLOOKUP(AY$6, Table_ChiPhiNV_Ca[], COUNTA(Table_ChiPhiNV_Ca[[#Headers],[Ca]:[Kết thúc nghỉ]]),0)
),0,
IF(NOT(ISBLANK(AY$3)),
IF(ISBLANK(AY$7),0,
IF(AY$4 &lt; AY$5,
IF($AA40-$Z$4&lt;AY$4,0,
IF($AA40&gt;AY$5,0,
SUM(_xlfn._xlws.FILTER(Table_BangLuong_TyLeTangCa[Tỷ lệ],
(Table_BangLuong_TyLeTangCa[Ngày] = AY$3) *
(Table_BangLuong_TyLeTangCa[Giờ min]&lt;=$AA40) *
(Table_BangLuong_TyLeTangCa[Giờ max]&gt;$AA40)
)))),
IF(AND($AA40-$Z$4 &gt;= AY$5,$AA40 &lt; AY$4),0,
SUM(_xlfn._xlws.FILTER(Table_BangLuong_TyLeTangCa[Tỷ lệ],
(Table_BangLuong_TyLeTangCa[Ngày] = AY$3) *
(Table_BangLuong_TyLeTangCa[Giờ min]&lt;=$AA40) *
(Table_BangLuong_TyLeTangCa[Giờ max]&gt;$AA40)
))))
),
IF(ISBLANK(AY$7),
IF(VLOOKUP(AY$6, Table_ChiPhiNV_Ca[], COUNTA(Table_ChiPhiNV_Ca[[#Headers],[Ca]:[Kết thúc]]),0)&gt; VLOOKUP(AY$6, Table_ChiPhiNV_Ca[], COUNTA(Table_ChiPhiNV_Ca[[#Headers],[Ca]:[Bắt đầu]]),0),
IF($AA40-$Z$4&lt;MAX(AY$4,VLOOKUP(AY$6, Table_ChiPhiNV_Ca[], COUNTA(Table_ChiPhiNV_Ca[[#Headers],[Ca]:[Bắt đầu]]),0)),0,
IF($AA40&gt;MIN(AY$5,VLOOKUP(AY$6, Table_ChiPhiNV_Ca[], COUNTA(Table_ChiPhiNV_Ca[[#Headers],[Ca]:[Kết thúc]]),0)),0,
SUM(_xlfn._xlws.FILTER(Table_BangLuong_TyLeTangCa[Tỷ lệ],
(Table_BangLuong_TyLeTangCa[Ngày] = "Thường") *
(Table_BangLuong_TyLeTangCa[Giờ min]&lt;=$AA40) *
(Table_BangLuong_TyLeTangCa[Giờ max]&gt;$AA40)
)))),
IF(AY$4 &gt; AY$5,
IF(
AND(
$AA40-$Z$4&lt;MAX(AY$4,VLOOKUP(AY$6, Table_ChiPhiNV_Ca[], COUNTA(Table_ChiPhiNV_Ca[[#Headers],[Ca]:[Bắt đầu]]),0)),
$AA40&gt;MIN(AY$5,VLOOKUP(AY$6, Table_ChiPhiNV_Ca[], COUNTA(Table_ChiPhiNV_Ca[[#Headers],[Ca]:[Kết thúc]]),0))),0,
SUM(_xlfn._xlws.FILTER(Table_BangLuong_TyLeTangCa[Tỷ lệ],
(Table_BangLuong_TyLeTangCa[Ngày] = "Thường") *
(Table_BangLuong_TyLeTangCa[Giờ min]&lt;=$AA40) *
(Table_BangLuong_TyLeTangCa[Giờ max]&gt;$AA40)
))),
IF(
AND(
$AA40-$Z$4&gt;=MAX(AY$4,VLOOKUP(AY$6, Table_ChiPhiNV_Ca[], COUNTA(Table_ChiPhiNV_Ca[[#Headers],[Ca]:[Bắt đầu]]),0)),
$AA40&lt;MIN(AY$5,VLOOKUP(AY$6, Table_ChiPhiNV_Ca[], COUNTA(Table_ChiPhiNV_Ca[[#Headers],[Ca]:[Kết thúc]]),0))),
SUM(_xlfn._xlws.FILTER(Table_BangLuong_TyLeTangCa[Tỷ lệ],
(Table_BangLuong_TyLeTangCa[Ngày] = "Thường") *
(Table_BangLuong_TyLeTangCa[Giờ min]&lt;=$AA40) *
(Table_BangLuong_TyLeTangCa[Giờ max]&gt;$AA40)
)),0)
)),
IF(AY$4 &lt; AY$5,
IF($AA40-$Z$4&lt;AY$4,0,
IF($AA40&gt;AY$5,0,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AY$5,$AA40 &lt; AY$4),0,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Z40" s="18" cm="1">
        <f t="array" ref="AZ40" xml:space="preserve">
IFERROR(
IF(AZ$1="",0,
IF(AND(
$AA40&gt;=VLOOKUP(AZ$6, Table_ChiPhiNV_Ca[], COUNTA(Table_ChiPhiNV_Ca[[#Headers],[Ca]:[Bắt đầu nghỉ]]),0),
$AA40&lt;VLOOKUP(AZ$6, Table_ChiPhiNV_Ca[], COUNTA(Table_ChiPhiNV_Ca[[#Headers],[Ca]:[Kết thúc nghỉ]]),0)
),0,
IF(NOT(ISBLANK(AZ$3)),
IF(ISBLANK(AZ$7),0,
IF(AZ$4 &lt; AZ$5,
IF($AA40-$Z$4&lt;AZ$4,0,
IF($AA40&gt;AZ$5,0,
SUM(_xlfn._xlws.FILTER(Table_BangLuong_TyLeTangCa[Tỷ lệ],
(Table_BangLuong_TyLeTangCa[Ngày] = AZ$3) *
(Table_BangLuong_TyLeTangCa[Giờ min]&lt;=$AA40) *
(Table_BangLuong_TyLeTangCa[Giờ max]&gt;$AA40)
)))),
IF(AND($AA40-$Z$4 &gt;= AZ$5,$AA40 &lt; AZ$4),0,
SUM(_xlfn._xlws.FILTER(Table_BangLuong_TyLeTangCa[Tỷ lệ],
(Table_BangLuong_TyLeTangCa[Ngày] = AZ$3) *
(Table_BangLuong_TyLeTangCa[Giờ min]&lt;=$AA40) *
(Table_BangLuong_TyLeTangCa[Giờ max]&gt;$AA40)
))))
),
IF(ISBLANK(AZ$7),
IF(VLOOKUP(AZ$6, Table_ChiPhiNV_Ca[], COUNTA(Table_ChiPhiNV_Ca[[#Headers],[Ca]:[Kết thúc]]),0)&gt; VLOOKUP(AZ$6, Table_ChiPhiNV_Ca[], COUNTA(Table_ChiPhiNV_Ca[[#Headers],[Ca]:[Bắt đầu]]),0),
IF($AA40-$Z$4&lt;MAX(AZ$4,VLOOKUP(AZ$6, Table_ChiPhiNV_Ca[], COUNTA(Table_ChiPhiNV_Ca[[#Headers],[Ca]:[Bắt đầu]]),0)),0,
IF($AA40&gt;MIN(AZ$5,VLOOKUP(AZ$6, Table_ChiPhiNV_Ca[], COUNTA(Table_ChiPhiNV_Ca[[#Headers],[Ca]:[Kết thúc]]),0)),0,
SUM(_xlfn._xlws.FILTER(Table_BangLuong_TyLeTangCa[Tỷ lệ],
(Table_BangLuong_TyLeTangCa[Ngày] = "Thường") *
(Table_BangLuong_TyLeTangCa[Giờ min]&lt;=$AA40) *
(Table_BangLuong_TyLeTangCa[Giờ max]&gt;$AA40)
)))),
IF(AZ$4 &gt; AZ$5,
IF(
AND(
$AA40-$Z$4&lt;MAX(AZ$4,VLOOKUP(AZ$6, Table_ChiPhiNV_Ca[], COUNTA(Table_ChiPhiNV_Ca[[#Headers],[Ca]:[Bắt đầu]]),0)),
$AA40&gt;MIN(AZ$5,VLOOKUP(AZ$6, Table_ChiPhiNV_Ca[], COUNTA(Table_ChiPhiNV_Ca[[#Headers],[Ca]:[Kết thúc]]),0))),0,
SUM(_xlfn._xlws.FILTER(Table_BangLuong_TyLeTangCa[Tỷ lệ],
(Table_BangLuong_TyLeTangCa[Ngày] = "Thường") *
(Table_BangLuong_TyLeTangCa[Giờ min]&lt;=$AA40) *
(Table_BangLuong_TyLeTangCa[Giờ max]&gt;$AA40)
))),
IF(
AND(
$AA40-$Z$4&gt;=MAX(AZ$4,VLOOKUP(AZ$6, Table_ChiPhiNV_Ca[], COUNTA(Table_ChiPhiNV_Ca[[#Headers],[Ca]:[Bắt đầu]]),0)),
$AA40&lt;MIN(AZ$5,VLOOKUP(AZ$6, Table_ChiPhiNV_Ca[], COUNTA(Table_ChiPhiNV_Ca[[#Headers],[Ca]:[Kết thúc]]),0))),
SUM(_xlfn._xlws.FILTER(Table_BangLuong_TyLeTangCa[Tỷ lệ],
(Table_BangLuong_TyLeTangCa[Ngày] = "Thường") *
(Table_BangLuong_TyLeTangCa[Giờ min]&lt;=$AA40) *
(Table_BangLuong_TyLeTangCa[Giờ max]&gt;$AA40)
)),0)
)),
IF(AZ$4 &lt; AZ$5,
IF($AA40-$Z$4&lt;AZ$4,0,
IF($AA40&gt;AZ$5,0,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AZ$5,$AA40 &lt; AZ$4),0,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A40" s="18" cm="1">
        <f t="array" ref="BA40" xml:space="preserve">
IFERROR(
IF(BA$1="",0,
IF(AND(
$AA40&gt;=VLOOKUP(BA$6, Table_ChiPhiNV_Ca[], COUNTA(Table_ChiPhiNV_Ca[[#Headers],[Ca]:[Bắt đầu nghỉ]]),0),
$AA40&lt;VLOOKUP(BA$6, Table_ChiPhiNV_Ca[], COUNTA(Table_ChiPhiNV_Ca[[#Headers],[Ca]:[Kết thúc nghỉ]]),0)
),0,
IF(NOT(ISBLANK(BA$3)),
IF(ISBLANK(BA$7),0,
IF(BA$4 &lt; BA$5,
IF($AA40-$Z$4&lt;BA$4,0,
IF($AA40&gt;BA$5,0,
SUM(_xlfn._xlws.FILTER(Table_BangLuong_TyLeTangCa[Tỷ lệ],
(Table_BangLuong_TyLeTangCa[Ngày] = BA$3) *
(Table_BangLuong_TyLeTangCa[Giờ min]&lt;=$AA40) *
(Table_BangLuong_TyLeTangCa[Giờ max]&gt;$AA40)
)))),
IF(AND($AA40-$Z$4 &gt;= BA$5,$AA40 &lt; BA$4),0,
SUM(_xlfn._xlws.FILTER(Table_BangLuong_TyLeTangCa[Tỷ lệ],
(Table_BangLuong_TyLeTangCa[Ngày] = BA$3) *
(Table_BangLuong_TyLeTangCa[Giờ min]&lt;=$AA40) *
(Table_BangLuong_TyLeTangCa[Giờ max]&gt;$AA40)
))))
),
IF(ISBLANK(BA$7),
IF(VLOOKUP(BA$6, Table_ChiPhiNV_Ca[], COUNTA(Table_ChiPhiNV_Ca[[#Headers],[Ca]:[Kết thúc]]),0)&gt; VLOOKUP(BA$6, Table_ChiPhiNV_Ca[], COUNTA(Table_ChiPhiNV_Ca[[#Headers],[Ca]:[Bắt đầu]]),0),
IF($AA40-$Z$4&lt;MAX(BA$4,VLOOKUP(BA$6, Table_ChiPhiNV_Ca[], COUNTA(Table_ChiPhiNV_Ca[[#Headers],[Ca]:[Bắt đầu]]),0)),0,
IF($AA40&gt;MIN(BA$5,VLOOKUP(BA$6, Table_ChiPhiNV_Ca[], COUNTA(Table_ChiPhiNV_Ca[[#Headers],[Ca]:[Kết thúc]]),0)),0,
SUM(_xlfn._xlws.FILTER(Table_BangLuong_TyLeTangCa[Tỷ lệ],
(Table_BangLuong_TyLeTangCa[Ngày] = "Thường") *
(Table_BangLuong_TyLeTangCa[Giờ min]&lt;=$AA40) *
(Table_BangLuong_TyLeTangCa[Giờ max]&gt;$AA40)
)))),
IF(BA$4 &gt; BA$5,
IF(
AND(
$AA40-$Z$4&lt;MAX(BA$4,VLOOKUP(BA$6, Table_ChiPhiNV_Ca[], COUNTA(Table_ChiPhiNV_Ca[[#Headers],[Ca]:[Bắt đầu]]),0)),
$AA40&gt;MIN(BA$5,VLOOKUP(BA$6, Table_ChiPhiNV_Ca[], COUNTA(Table_ChiPhiNV_Ca[[#Headers],[Ca]:[Kết thúc]]),0))),0,
SUM(_xlfn._xlws.FILTER(Table_BangLuong_TyLeTangCa[Tỷ lệ],
(Table_BangLuong_TyLeTangCa[Ngày] = "Thường") *
(Table_BangLuong_TyLeTangCa[Giờ min]&lt;=$AA40) *
(Table_BangLuong_TyLeTangCa[Giờ max]&gt;$AA40)
))),
IF(
AND(
$AA40-$Z$4&gt;=MAX(BA$4,VLOOKUP(BA$6, Table_ChiPhiNV_Ca[], COUNTA(Table_ChiPhiNV_Ca[[#Headers],[Ca]:[Bắt đầu]]),0)),
$AA40&lt;MIN(BA$5,VLOOKUP(BA$6, Table_ChiPhiNV_Ca[], COUNTA(Table_ChiPhiNV_Ca[[#Headers],[Ca]:[Kết thúc]]),0))),
SUM(_xlfn._xlws.FILTER(Table_BangLuong_TyLeTangCa[Tỷ lệ],
(Table_BangLuong_TyLeTangCa[Ngày] = "Thường") *
(Table_BangLuong_TyLeTangCa[Giờ min]&lt;=$AA40) *
(Table_BangLuong_TyLeTangCa[Giờ max]&gt;$AA40)
)),0)
)),
IF(BA$4 &lt; BA$5,
IF($AA40-$Z$4&lt;BA$4,0,
IF($AA40&gt;BA$5,0,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BA$5,$AA40 &lt; BA$4),0,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B40" s="18" cm="1">
        <f t="array" ref="BB40" xml:space="preserve">
IFERROR(
IF(BB$1="",0,
IF(AND(
$AA40&gt;=VLOOKUP(BB$6, Table_ChiPhiNV_Ca[], COUNTA(Table_ChiPhiNV_Ca[[#Headers],[Ca]:[Bắt đầu nghỉ]]),0),
$AA40&lt;VLOOKUP(BB$6, Table_ChiPhiNV_Ca[], COUNTA(Table_ChiPhiNV_Ca[[#Headers],[Ca]:[Kết thúc nghỉ]]),0)
),0,
IF(NOT(ISBLANK(BB$3)),
IF(ISBLANK(BB$7),0,
IF(BB$4 &lt; BB$5,
IF($AA40-$Z$4&lt;BB$4,0,
IF($AA40&gt;BB$5,0,
SUM(_xlfn._xlws.FILTER(Table_BangLuong_TyLeTangCa[Tỷ lệ],
(Table_BangLuong_TyLeTangCa[Ngày] = BB$3) *
(Table_BangLuong_TyLeTangCa[Giờ min]&lt;=$AA40) *
(Table_BangLuong_TyLeTangCa[Giờ max]&gt;$AA40)
)))),
IF(AND($AA40-$Z$4 &gt;= BB$5,$AA40 &lt; BB$4),0,
SUM(_xlfn._xlws.FILTER(Table_BangLuong_TyLeTangCa[Tỷ lệ],
(Table_BangLuong_TyLeTangCa[Ngày] = BB$3) *
(Table_BangLuong_TyLeTangCa[Giờ min]&lt;=$AA40) *
(Table_BangLuong_TyLeTangCa[Giờ max]&gt;$AA40)
))))
),
IF(ISBLANK(BB$7),
IF(VLOOKUP(BB$6, Table_ChiPhiNV_Ca[], COUNTA(Table_ChiPhiNV_Ca[[#Headers],[Ca]:[Kết thúc]]),0)&gt; VLOOKUP(BB$6, Table_ChiPhiNV_Ca[], COUNTA(Table_ChiPhiNV_Ca[[#Headers],[Ca]:[Bắt đầu]]),0),
IF($AA40-$Z$4&lt;MAX(BB$4,VLOOKUP(BB$6, Table_ChiPhiNV_Ca[], COUNTA(Table_ChiPhiNV_Ca[[#Headers],[Ca]:[Bắt đầu]]),0)),0,
IF($AA40&gt;MIN(BB$5,VLOOKUP(BB$6, Table_ChiPhiNV_Ca[], COUNTA(Table_ChiPhiNV_Ca[[#Headers],[Ca]:[Kết thúc]]),0)),0,
SUM(_xlfn._xlws.FILTER(Table_BangLuong_TyLeTangCa[Tỷ lệ],
(Table_BangLuong_TyLeTangCa[Ngày] = "Thường") *
(Table_BangLuong_TyLeTangCa[Giờ min]&lt;=$AA40) *
(Table_BangLuong_TyLeTangCa[Giờ max]&gt;$AA40)
)))),
IF(BB$4 &gt; BB$5,
IF(
AND(
$AA40-$Z$4&lt;MAX(BB$4,VLOOKUP(BB$6, Table_ChiPhiNV_Ca[], COUNTA(Table_ChiPhiNV_Ca[[#Headers],[Ca]:[Bắt đầu]]),0)),
$AA40&gt;MIN(BB$5,VLOOKUP(BB$6, Table_ChiPhiNV_Ca[], COUNTA(Table_ChiPhiNV_Ca[[#Headers],[Ca]:[Kết thúc]]),0))),0,
SUM(_xlfn._xlws.FILTER(Table_BangLuong_TyLeTangCa[Tỷ lệ],
(Table_BangLuong_TyLeTangCa[Ngày] = "Thường") *
(Table_BangLuong_TyLeTangCa[Giờ min]&lt;=$AA40) *
(Table_BangLuong_TyLeTangCa[Giờ max]&gt;$AA40)
))),
IF(
AND(
$AA40-$Z$4&gt;=MAX(BB$4,VLOOKUP(BB$6, Table_ChiPhiNV_Ca[], COUNTA(Table_ChiPhiNV_Ca[[#Headers],[Ca]:[Bắt đầu]]),0)),
$AA40&lt;MIN(BB$5,VLOOKUP(BB$6, Table_ChiPhiNV_Ca[], COUNTA(Table_ChiPhiNV_Ca[[#Headers],[Ca]:[Kết thúc]]),0))),
SUM(_xlfn._xlws.FILTER(Table_BangLuong_TyLeTangCa[Tỷ lệ],
(Table_BangLuong_TyLeTangCa[Ngày] = "Thường") *
(Table_BangLuong_TyLeTangCa[Giờ min]&lt;=$AA40) *
(Table_BangLuong_TyLeTangCa[Giờ max]&gt;$AA40)
)),0)
)),
IF(BB$4 &lt; BB$5,
IF($AA40-$Z$4&lt;BB$4,0,
IF($AA40&gt;BB$5,0,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BB$5,$AA40 &lt; BB$4),0,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C40" s="18" cm="1">
        <f t="array" ref="BC40" xml:space="preserve">
IFERROR(
IF(BC$1="",0,
IF(AND(
$AA40&gt;=VLOOKUP(BC$6, Table_ChiPhiNV_Ca[], COUNTA(Table_ChiPhiNV_Ca[[#Headers],[Ca]:[Bắt đầu nghỉ]]),0),
$AA40&lt;VLOOKUP(BC$6, Table_ChiPhiNV_Ca[], COUNTA(Table_ChiPhiNV_Ca[[#Headers],[Ca]:[Kết thúc nghỉ]]),0)
),0,
IF(NOT(ISBLANK(BC$3)),
IF(ISBLANK(BC$7),0,
IF(BC$4 &lt; BC$5,
IF($AA40-$Z$4&lt;BC$4,0,
IF($AA40&gt;BC$5,0,
SUM(_xlfn._xlws.FILTER(Table_BangLuong_TyLeTangCa[Tỷ lệ],
(Table_BangLuong_TyLeTangCa[Ngày] = BC$3) *
(Table_BangLuong_TyLeTangCa[Giờ min]&lt;=$AA40) *
(Table_BangLuong_TyLeTangCa[Giờ max]&gt;$AA40)
)))),
IF(AND($AA40-$Z$4 &gt;= BC$5,$AA40 &lt; BC$4),0,
SUM(_xlfn._xlws.FILTER(Table_BangLuong_TyLeTangCa[Tỷ lệ],
(Table_BangLuong_TyLeTangCa[Ngày] = BC$3) *
(Table_BangLuong_TyLeTangCa[Giờ min]&lt;=$AA40) *
(Table_BangLuong_TyLeTangCa[Giờ max]&gt;$AA40)
))))
),
IF(ISBLANK(BC$7),
IF(VLOOKUP(BC$6, Table_ChiPhiNV_Ca[], COUNTA(Table_ChiPhiNV_Ca[[#Headers],[Ca]:[Kết thúc]]),0)&gt; VLOOKUP(BC$6, Table_ChiPhiNV_Ca[], COUNTA(Table_ChiPhiNV_Ca[[#Headers],[Ca]:[Bắt đầu]]),0),
IF($AA40-$Z$4&lt;MAX(BC$4,VLOOKUP(BC$6, Table_ChiPhiNV_Ca[], COUNTA(Table_ChiPhiNV_Ca[[#Headers],[Ca]:[Bắt đầu]]),0)),0,
IF($AA40&gt;MIN(BC$5,VLOOKUP(BC$6, Table_ChiPhiNV_Ca[], COUNTA(Table_ChiPhiNV_Ca[[#Headers],[Ca]:[Kết thúc]]),0)),0,
SUM(_xlfn._xlws.FILTER(Table_BangLuong_TyLeTangCa[Tỷ lệ],
(Table_BangLuong_TyLeTangCa[Ngày] = "Thường") *
(Table_BangLuong_TyLeTangCa[Giờ min]&lt;=$AA40) *
(Table_BangLuong_TyLeTangCa[Giờ max]&gt;$AA40)
)))),
IF(BC$4 &gt; BC$5,
IF(
AND(
$AA40-$Z$4&lt;MAX(BC$4,VLOOKUP(BC$6, Table_ChiPhiNV_Ca[], COUNTA(Table_ChiPhiNV_Ca[[#Headers],[Ca]:[Bắt đầu]]),0)),
$AA40&gt;MIN(BC$5,VLOOKUP(BC$6, Table_ChiPhiNV_Ca[], COUNTA(Table_ChiPhiNV_Ca[[#Headers],[Ca]:[Kết thúc]]),0))),0,
SUM(_xlfn._xlws.FILTER(Table_BangLuong_TyLeTangCa[Tỷ lệ],
(Table_BangLuong_TyLeTangCa[Ngày] = "Thường") *
(Table_BangLuong_TyLeTangCa[Giờ min]&lt;=$AA40) *
(Table_BangLuong_TyLeTangCa[Giờ max]&gt;$AA40)
))),
IF(
AND(
$AA40-$Z$4&gt;=MAX(BC$4,VLOOKUP(BC$6, Table_ChiPhiNV_Ca[], COUNTA(Table_ChiPhiNV_Ca[[#Headers],[Ca]:[Bắt đầu]]),0)),
$AA40&lt;MIN(BC$5,VLOOKUP(BC$6, Table_ChiPhiNV_Ca[], COUNTA(Table_ChiPhiNV_Ca[[#Headers],[Ca]:[Kết thúc]]),0))),
SUM(_xlfn._xlws.FILTER(Table_BangLuong_TyLeTangCa[Tỷ lệ],
(Table_BangLuong_TyLeTangCa[Ngày] = "Thường") *
(Table_BangLuong_TyLeTangCa[Giờ min]&lt;=$AA40) *
(Table_BangLuong_TyLeTangCa[Giờ max]&gt;$AA40)
)),0)
)),
IF(BC$4 &lt; BC$5,
IF($AA40-$Z$4&lt;BC$4,0,
IF($AA40&gt;BC$5,0,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BC$5,$AA40 &lt; BC$4),0,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D40" s="18" cm="1">
        <f t="array" ref="BD40" xml:space="preserve">
IFERROR(
IF(BD$1="",0,
IF(AND(
$AA40&gt;=VLOOKUP(BD$6, Table_ChiPhiNV_Ca[], COUNTA(Table_ChiPhiNV_Ca[[#Headers],[Ca]:[Bắt đầu nghỉ]]),0),
$AA40&lt;VLOOKUP(BD$6, Table_ChiPhiNV_Ca[], COUNTA(Table_ChiPhiNV_Ca[[#Headers],[Ca]:[Kết thúc nghỉ]]),0)
),0,
IF(NOT(ISBLANK(BD$3)),
IF(ISBLANK(BD$7),0,
IF(BD$4 &lt; BD$5,
IF($AA40-$Z$4&lt;BD$4,0,
IF($AA40&gt;BD$5,0,
SUM(_xlfn._xlws.FILTER(Table_BangLuong_TyLeTangCa[Tỷ lệ],
(Table_BangLuong_TyLeTangCa[Ngày] = BD$3) *
(Table_BangLuong_TyLeTangCa[Giờ min]&lt;=$AA40) *
(Table_BangLuong_TyLeTangCa[Giờ max]&gt;$AA40)
)))),
IF(AND($AA40-$Z$4 &gt;= BD$5,$AA40 &lt; BD$4),0,
SUM(_xlfn._xlws.FILTER(Table_BangLuong_TyLeTangCa[Tỷ lệ],
(Table_BangLuong_TyLeTangCa[Ngày] = BD$3) *
(Table_BangLuong_TyLeTangCa[Giờ min]&lt;=$AA40) *
(Table_BangLuong_TyLeTangCa[Giờ max]&gt;$AA40)
))))
),
IF(ISBLANK(BD$7),
IF(VLOOKUP(BD$6, Table_ChiPhiNV_Ca[], COUNTA(Table_ChiPhiNV_Ca[[#Headers],[Ca]:[Kết thúc]]),0)&gt; VLOOKUP(BD$6, Table_ChiPhiNV_Ca[], COUNTA(Table_ChiPhiNV_Ca[[#Headers],[Ca]:[Bắt đầu]]),0),
IF($AA40-$Z$4&lt;MAX(BD$4,VLOOKUP(BD$6, Table_ChiPhiNV_Ca[], COUNTA(Table_ChiPhiNV_Ca[[#Headers],[Ca]:[Bắt đầu]]),0)),0,
IF($AA40&gt;MIN(BD$5,VLOOKUP(BD$6, Table_ChiPhiNV_Ca[], COUNTA(Table_ChiPhiNV_Ca[[#Headers],[Ca]:[Kết thúc]]),0)),0,
SUM(_xlfn._xlws.FILTER(Table_BangLuong_TyLeTangCa[Tỷ lệ],
(Table_BangLuong_TyLeTangCa[Ngày] = "Thường") *
(Table_BangLuong_TyLeTangCa[Giờ min]&lt;=$AA40) *
(Table_BangLuong_TyLeTangCa[Giờ max]&gt;$AA40)
)))),
IF(BD$4 &gt; BD$5,
IF(
AND(
$AA40-$Z$4&lt;MAX(BD$4,VLOOKUP(BD$6, Table_ChiPhiNV_Ca[], COUNTA(Table_ChiPhiNV_Ca[[#Headers],[Ca]:[Bắt đầu]]),0)),
$AA40&gt;MIN(BD$5,VLOOKUP(BD$6, Table_ChiPhiNV_Ca[], COUNTA(Table_ChiPhiNV_Ca[[#Headers],[Ca]:[Kết thúc]]),0))),0,
SUM(_xlfn._xlws.FILTER(Table_BangLuong_TyLeTangCa[Tỷ lệ],
(Table_BangLuong_TyLeTangCa[Ngày] = "Thường") *
(Table_BangLuong_TyLeTangCa[Giờ min]&lt;=$AA40) *
(Table_BangLuong_TyLeTangCa[Giờ max]&gt;$AA40)
))),
IF(
AND(
$AA40-$Z$4&gt;=MAX(BD$4,VLOOKUP(BD$6, Table_ChiPhiNV_Ca[], COUNTA(Table_ChiPhiNV_Ca[[#Headers],[Ca]:[Bắt đầu]]),0)),
$AA40&lt;MIN(BD$5,VLOOKUP(BD$6, Table_ChiPhiNV_Ca[], COUNTA(Table_ChiPhiNV_Ca[[#Headers],[Ca]:[Kết thúc]]),0))),
SUM(_xlfn._xlws.FILTER(Table_BangLuong_TyLeTangCa[Tỷ lệ],
(Table_BangLuong_TyLeTangCa[Ngày] = "Thường") *
(Table_BangLuong_TyLeTangCa[Giờ min]&lt;=$AA40) *
(Table_BangLuong_TyLeTangCa[Giờ max]&gt;$AA40)
)),0)
)),
IF(BD$4 &lt; BD$5,
IF($AA40-$Z$4&lt;BD$4,0,
IF($AA40&gt;BD$5,0,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BD$5,$AA40 &lt; BD$4),0,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E40" s="18" cm="1">
        <f t="array" ref="BE40" xml:space="preserve">
IFERROR(
IF(BE$1="",0,
IF(AND(
$AA40&gt;=VLOOKUP(BE$6, Table_ChiPhiNV_Ca[], COUNTA(Table_ChiPhiNV_Ca[[#Headers],[Ca]:[Bắt đầu nghỉ]]),0),
$AA40&lt;VLOOKUP(BE$6, Table_ChiPhiNV_Ca[], COUNTA(Table_ChiPhiNV_Ca[[#Headers],[Ca]:[Kết thúc nghỉ]]),0)
),0,
IF(NOT(ISBLANK(BE$3)),
IF(ISBLANK(BE$7),0,
IF(BE$4 &lt; BE$5,
IF($AA40-$Z$4&lt;BE$4,0,
IF($AA40&gt;BE$5,0,
SUM(_xlfn._xlws.FILTER(Table_BangLuong_TyLeTangCa[Tỷ lệ],
(Table_BangLuong_TyLeTangCa[Ngày] = BE$3) *
(Table_BangLuong_TyLeTangCa[Giờ min]&lt;=$AA40) *
(Table_BangLuong_TyLeTangCa[Giờ max]&gt;$AA40)
)))),
IF(AND($AA40-$Z$4 &gt;= BE$5,$AA40 &lt; BE$4),0,
SUM(_xlfn._xlws.FILTER(Table_BangLuong_TyLeTangCa[Tỷ lệ],
(Table_BangLuong_TyLeTangCa[Ngày] = BE$3) *
(Table_BangLuong_TyLeTangCa[Giờ min]&lt;=$AA40) *
(Table_BangLuong_TyLeTangCa[Giờ max]&gt;$AA40)
))))
),
IF(ISBLANK(BE$7),
IF(VLOOKUP(BE$6, Table_ChiPhiNV_Ca[], COUNTA(Table_ChiPhiNV_Ca[[#Headers],[Ca]:[Kết thúc]]),0)&gt; VLOOKUP(BE$6, Table_ChiPhiNV_Ca[], COUNTA(Table_ChiPhiNV_Ca[[#Headers],[Ca]:[Bắt đầu]]),0),
IF($AA40-$Z$4&lt;MAX(BE$4,VLOOKUP(BE$6, Table_ChiPhiNV_Ca[], COUNTA(Table_ChiPhiNV_Ca[[#Headers],[Ca]:[Bắt đầu]]),0)),0,
IF($AA40&gt;MIN(BE$5,VLOOKUP(BE$6, Table_ChiPhiNV_Ca[], COUNTA(Table_ChiPhiNV_Ca[[#Headers],[Ca]:[Kết thúc]]),0)),0,
SUM(_xlfn._xlws.FILTER(Table_BangLuong_TyLeTangCa[Tỷ lệ],
(Table_BangLuong_TyLeTangCa[Ngày] = "Thường") *
(Table_BangLuong_TyLeTangCa[Giờ min]&lt;=$AA40) *
(Table_BangLuong_TyLeTangCa[Giờ max]&gt;$AA40)
)))),
IF(BE$4 &gt; BE$5,
IF(
AND(
$AA40-$Z$4&lt;MAX(BE$4,VLOOKUP(BE$6, Table_ChiPhiNV_Ca[], COUNTA(Table_ChiPhiNV_Ca[[#Headers],[Ca]:[Bắt đầu]]),0)),
$AA40&gt;MIN(BE$5,VLOOKUP(BE$6, Table_ChiPhiNV_Ca[], COUNTA(Table_ChiPhiNV_Ca[[#Headers],[Ca]:[Kết thúc]]),0))),0,
SUM(_xlfn._xlws.FILTER(Table_BangLuong_TyLeTangCa[Tỷ lệ],
(Table_BangLuong_TyLeTangCa[Ngày] = "Thường") *
(Table_BangLuong_TyLeTangCa[Giờ min]&lt;=$AA40) *
(Table_BangLuong_TyLeTangCa[Giờ max]&gt;$AA40)
))),
IF(
AND(
$AA40-$Z$4&gt;=MAX(BE$4,VLOOKUP(BE$6, Table_ChiPhiNV_Ca[], COUNTA(Table_ChiPhiNV_Ca[[#Headers],[Ca]:[Bắt đầu]]),0)),
$AA40&lt;MIN(BE$5,VLOOKUP(BE$6, Table_ChiPhiNV_Ca[], COUNTA(Table_ChiPhiNV_Ca[[#Headers],[Ca]:[Kết thúc]]),0))),
SUM(_xlfn._xlws.FILTER(Table_BangLuong_TyLeTangCa[Tỷ lệ],
(Table_BangLuong_TyLeTangCa[Ngày] = "Thường") *
(Table_BangLuong_TyLeTangCa[Giờ min]&lt;=$AA40) *
(Table_BangLuong_TyLeTangCa[Giờ max]&gt;$AA40)
)),0)
)),
IF(BE$4 &lt; BE$5,
IF($AA40-$Z$4&lt;BE$4,0,
IF($AA40&gt;BE$5,0,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BE$5,$AA40 &lt; BE$4),0,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F40" s="18" cm="1">
        <f t="array" ref="BF40" xml:space="preserve">
IFERROR(
IF(BF$1="",0,
IF(AND(
$AA40&gt;=VLOOKUP(BF$6, Table_ChiPhiNV_Ca[], COUNTA(Table_ChiPhiNV_Ca[[#Headers],[Ca]:[Bắt đầu nghỉ]]),0),
$AA40&lt;VLOOKUP(BF$6, Table_ChiPhiNV_Ca[], COUNTA(Table_ChiPhiNV_Ca[[#Headers],[Ca]:[Kết thúc nghỉ]]),0)
),0,
IF(NOT(ISBLANK(BF$3)),
IF(ISBLANK(BF$7),0,
IF(BF$4 &lt; BF$5,
IF($AA40-$Z$4&lt;BF$4,0,
IF($AA40&gt;BF$5,0,
SUM(_xlfn._xlws.FILTER(Table_BangLuong_TyLeTangCa[Tỷ lệ],
(Table_BangLuong_TyLeTangCa[Ngày] = BF$3) *
(Table_BangLuong_TyLeTangCa[Giờ min]&lt;=$AA40) *
(Table_BangLuong_TyLeTangCa[Giờ max]&gt;$AA40)
)))),
IF(AND($AA40-$Z$4 &gt;= BF$5,$AA40 &lt; BF$4),0,
SUM(_xlfn._xlws.FILTER(Table_BangLuong_TyLeTangCa[Tỷ lệ],
(Table_BangLuong_TyLeTangCa[Ngày] = BF$3) *
(Table_BangLuong_TyLeTangCa[Giờ min]&lt;=$AA40) *
(Table_BangLuong_TyLeTangCa[Giờ max]&gt;$AA40)
))))
),
IF(ISBLANK(BF$7),
IF(VLOOKUP(BF$6, Table_ChiPhiNV_Ca[], COUNTA(Table_ChiPhiNV_Ca[[#Headers],[Ca]:[Kết thúc]]),0)&gt; VLOOKUP(BF$6, Table_ChiPhiNV_Ca[], COUNTA(Table_ChiPhiNV_Ca[[#Headers],[Ca]:[Bắt đầu]]),0),
IF($AA40-$Z$4&lt;MAX(BF$4,VLOOKUP(BF$6, Table_ChiPhiNV_Ca[], COUNTA(Table_ChiPhiNV_Ca[[#Headers],[Ca]:[Bắt đầu]]),0)),0,
IF($AA40&gt;MIN(BF$5,VLOOKUP(BF$6, Table_ChiPhiNV_Ca[], COUNTA(Table_ChiPhiNV_Ca[[#Headers],[Ca]:[Kết thúc]]),0)),0,
SUM(_xlfn._xlws.FILTER(Table_BangLuong_TyLeTangCa[Tỷ lệ],
(Table_BangLuong_TyLeTangCa[Ngày] = "Thường") *
(Table_BangLuong_TyLeTangCa[Giờ min]&lt;=$AA40) *
(Table_BangLuong_TyLeTangCa[Giờ max]&gt;$AA40)
)))),
IF(BF$4 &gt; BF$5,
IF(
AND(
$AA40-$Z$4&lt;MAX(BF$4,VLOOKUP(BF$6, Table_ChiPhiNV_Ca[], COUNTA(Table_ChiPhiNV_Ca[[#Headers],[Ca]:[Bắt đầu]]),0)),
$AA40&gt;MIN(BF$5,VLOOKUP(BF$6, Table_ChiPhiNV_Ca[], COUNTA(Table_ChiPhiNV_Ca[[#Headers],[Ca]:[Kết thúc]]),0))),0,
SUM(_xlfn._xlws.FILTER(Table_BangLuong_TyLeTangCa[Tỷ lệ],
(Table_BangLuong_TyLeTangCa[Ngày] = "Thường") *
(Table_BangLuong_TyLeTangCa[Giờ min]&lt;=$AA40) *
(Table_BangLuong_TyLeTangCa[Giờ max]&gt;$AA40)
))),
IF(
AND(
$AA40-$Z$4&gt;=MAX(BF$4,VLOOKUP(BF$6, Table_ChiPhiNV_Ca[], COUNTA(Table_ChiPhiNV_Ca[[#Headers],[Ca]:[Bắt đầu]]),0)),
$AA40&lt;MIN(BF$5,VLOOKUP(BF$6, Table_ChiPhiNV_Ca[], COUNTA(Table_ChiPhiNV_Ca[[#Headers],[Ca]:[Kết thúc]]),0))),
SUM(_xlfn._xlws.FILTER(Table_BangLuong_TyLeTangCa[Tỷ lệ],
(Table_BangLuong_TyLeTangCa[Ngày] = "Thường") *
(Table_BangLuong_TyLeTangCa[Giờ min]&lt;=$AA40) *
(Table_BangLuong_TyLeTangCa[Giờ max]&gt;$AA40)
)),0)
)),
IF(BF$4 &lt; BF$5,
IF($AA40-$Z$4&lt;BF$4,0,
IF($AA40&gt;BF$5,0,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BF$5,$AA40 &lt; BF$4),0,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row>
    <row r="41" spans="2:58" ht="18" customHeight="1" outlineLevel="1" x14ac:dyDescent="0.3">
      <c r="AA41" s="50">
        <v>0.66666666666666696</v>
      </c>
      <c r="AB41" s="18" cm="1">
        <f t="array" ref="AB41" xml:space="preserve">
IFERROR(
IF(AB$1="",0,
IF(AND(
$AA41&gt;=VLOOKUP(AB$6, Table_ChiPhiNV_Ca[], COUNTA(Table_ChiPhiNV_Ca[[#Headers],[Ca]:[Bắt đầu nghỉ]]),0),
$AA41&lt;VLOOKUP(AB$6, Table_ChiPhiNV_Ca[], COUNTA(Table_ChiPhiNV_Ca[[#Headers],[Ca]:[Kết thúc nghỉ]]),0)
),0,
IF(NOT(ISBLANK(AB$3)),
IF(ISBLANK(AB$7),0,
IF(AB$4 &lt; AB$5,
IF($AA41-$Z$4&lt;AB$4,0,
IF($AA41&gt;AB$5,0,
SUM(_xlfn._xlws.FILTER(Table_BangLuong_TyLeTangCa[Tỷ lệ],
(Table_BangLuong_TyLeTangCa[Ngày] = AB$3) *
(Table_BangLuong_TyLeTangCa[Giờ min]&lt;=$AA41) *
(Table_BangLuong_TyLeTangCa[Giờ max]&gt;$AA41)
)))),
IF(AND($AA41-$Z$4 &gt;= AB$5,$AA41 &lt; AB$4),0,
SUM(_xlfn._xlws.FILTER(Table_BangLuong_TyLeTangCa[Tỷ lệ],
(Table_BangLuong_TyLeTangCa[Ngày] = AB$3) *
(Table_BangLuong_TyLeTangCa[Giờ min]&lt;=$AA41) *
(Table_BangLuong_TyLeTangCa[Giờ max]&gt;$AA41)
))))
),
IF(ISBLANK(AB$7),
IF(VLOOKUP(AB$6, Table_ChiPhiNV_Ca[], COUNTA(Table_ChiPhiNV_Ca[[#Headers],[Ca]:[Kết thúc]]),0)&gt; VLOOKUP(AB$6, Table_ChiPhiNV_Ca[], COUNTA(Table_ChiPhiNV_Ca[[#Headers],[Ca]:[Bắt đầu]]),0),
IF($AA41-$Z$4&lt;MAX(AB$4,VLOOKUP(AB$6, Table_ChiPhiNV_Ca[], COUNTA(Table_ChiPhiNV_Ca[[#Headers],[Ca]:[Bắt đầu]]),0)),0,
IF($AA41&gt;MIN(AB$5,VLOOKUP(AB$6, Table_ChiPhiNV_Ca[], COUNTA(Table_ChiPhiNV_Ca[[#Headers],[Ca]:[Kết thúc]]),0)),0,
SUM(_xlfn._xlws.FILTER(Table_BangLuong_TyLeTangCa[Tỷ lệ],
(Table_BangLuong_TyLeTangCa[Ngày] = "Thường") *
(Table_BangLuong_TyLeTangCa[Giờ min]&lt;=$AA41) *
(Table_BangLuong_TyLeTangCa[Giờ max]&gt;$AA41)
)))),
IF(AB$4 &gt; AB$5,
IF(
AND(
$AA41-$Z$4&lt;MAX(AB$4,VLOOKUP(AB$6, Table_ChiPhiNV_Ca[], COUNTA(Table_ChiPhiNV_Ca[[#Headers],[Ca]:[Bắt đầu]]),0)),
$AA41&gt;MIN(AB$5,VLOOKUP(AB$6, Table_ChiPhiNV_Ca[], COUNTA(Table_ChiPhiNV_Ca[[#Headers],[Ca]:[Kết thúc]]),0))),0,
SUM(_xlfn._xlws.FILTER(Table_BangLuong_TyLeTangCa[Tỷ lệ],
(Table_BangLuong_TyLeTangCa[Ngày] = "Thường") *
(Table_BangLuong_TyLeTangCa[Giờ min]&lt;=$AA41) *
(Table_BangLuong_TyLeTangCa[Giờ max]&gt;$AA41)
))),
IF(
AND(
$AA41-$Z$4&gt;=MAX(AB$4,VLOOKUP(AB$6, Table_ChiPhiNV_Ca[], COUNTA(Table_ChiPhiNV_Ca[[#Headers],[Ca]:[Bắt đầu]]),0)),
$AA41&lt;MIN(AB$5,VLOOKUP(AB$6, Table_ChiPhiNV_Ca[], COUNTA(Table_ChiPhiNV_Ca[[#Headers],[Ca]:[Kết thúc]]),0))),
SUM(_xlfn._xlws.FILTER(Table_BangLuong_TyLeTangCa[Tỷ lệ],
(Table_BangLuong_TyLeTangCa[Ngày] = "Thường") *
(Table_BangLuong_TyLeTangCa[Giờ min]&lt;=$AA41) *
(Table_BangLuong_TyLeTangCa[Giờ max]&gt;$AA41)
)),0)
)),
IF(AB$4 &lt; AB$5,
IF($AA41-$Z$4&lt;AB$4,0,
IF($AA41&gt;AB$5,0,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AB$5,$AA41 &lt; AB$4),0,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C41" s="18" cm="1">
        <f t="array" ref="AC41" xml:space="preserve">
IFERROR(
IF(AC$1="",0,
IF(AND(
$AA41&gt;=VLOOKUP(AC$6, Table_ChiPhiNV_Ca[], COUNTA(Table_ChiPhiNV_Ca[[#Headers],[Ca]:[Bắt đầu nghỉ]]),0),
$AA41&lt;VLOOKUP(AC$6, Table_ChiPhiNV_Ca[], COUNTA(Table_ChiPhiNV_Ca[[#Headers],[Ca]:[Kết thúc nghỉ]]),0)
),0,
IF(NOT(ISBLANK(AC$3)),
IF(ISBLANK(AC$7),0,
IF(AC$4 &lt; AC$5,
IF($AA41-$Z$4&lt;AC$4,0,
IF($AA41&gt;AC$5,0,
SUM(_xlfn._xlws.FILTER(Table_BangLuong_TyLeTangCa[Tỷ lệ],
(Table_BangLuong_TyLeTangCa[Ngày] = AC$3) *
(Table_BangLuong_TyLeTangCa[Giờ min]&lt;=$AA41) *
(Table_BangLuong_TyLeTangCa[Giờ max]&gt;$AA41)
)))),
IF(AND($AA41-$Z$4 &gt;= AC$5,$AA41 &lt; AC$4),0,
SUM(_xlfn._xlws.FILTER(Table_BangLuong_TyLeTangCa[Tỷ lệ],
(Table_BangLuong_TyLeTangCa[Ngày] = AC$3) *
(Table_BangLuong_TyLeTangCa[Giờ min]&lt;=$AA41) *
(Table_BangLuong_TyLeTangCa[Giờ max]&gt;$AA41)
))))
),
IF(ISBLANK(AC$7),
IF(VLOOKUP(AC$6, Table_ChiPhiNV_Ca[], COUNTA(Table_ChiPhiNV_Ca[[#Headers],[Ca]:[Kết thúc]]),0)&gt; VLOOKUP(AC$6, Table_ChiPhiNV_Ca[], COUNTA(Table_ChiPhiNV_Ca[[#Headers],[Ca]:[Bắt đầu]]),0),
IF($AA41-$Z$4&lt;MAX(AC$4,VLOOKUP(AC$6, Table_ChiPhiNV_Ca[], COUNTA(Table_ChiPhiNV_Ca[[#Headers],[Ca]:[Bắt đầu]]),0)),0,
IF($AA41&gt;MIN(AC$5,VLOOKUP(AC$6, Table_ChiPhiNV_Ca[], COUNTA(Table_ChiPhiNV_Ca[[#Headers],[Ca]:[Kết thúc]]),0)),0,
SUM(_xlfn._xlws.FILTER(Table_BangLuong_TyLeTangCa[Tỷ lệ],
(Table_BangLuong_TyLeTangCa[Ngày] = "Thường") *
(Table_BangLuong_TyLeTangCa[Giờ min]&lt;=$AA41) *
(Table_BangLuong_TyLeTangCa[Giờ max]&gt;$AA41)
)))),
IF(AC$4 &gt; AC$5,
IF(
AND(
$AA41-$Z$4&lt;MAX(AC$4,VLOOKUP(AC$6, Table_ChiPhiNV_Ca[], COUNTA(Table_ChiPhiNV_Ca[[#Headers],[Ca]:[Bắt đầu]]),0)),
$AA41&gt;MIN(AC$5,VLOOKUP(AC$6, Table_ChiPhiNV_Ca[], COUNTA(Table_ChiPhiNV_Ca[[#Headers],[Ca]:[Kết thúc]]),0))),0,
SUM(_xlfn._xlws.FILTER(Table_BangLuong_TyLeTangCa[Tỷ lệ],
(Table_BangLuong_TyLeTangCa[Ngày] = "Thường") *
(Table_BangLuong_TyLeTangCa[Giờ min]&lt;=$AA41) *
(Table_BangLuong_TyLeTangCa[Giờ max]&gt;$AA41)
))),
IF(
AND(
$AA41-$Z$4&gt;=MAX(AC$4,VLOOKUP(AC$6, Table_ChiPhiNV_Ca[], COUNTA(Table_ChiPhiNV_Ca[[#Headers],[Ca]:[Bắt đầu]]),0)),
$AA41&lt;MIN(AC$5,VLOOKUP(AC$6, Table_ChiPhiNV_Ca[], COUNTA(Table_ChiPhiNV_Ca[[#Headers],[Ca]:[Kết thúc]]),0))),
SUM(_xlfn._xlws.FILTER(Table_BangLuong_TyLeTangCa[Tỷ lệ],
(Table_BangLuong_TyLeTangCa[Ngày] = "Thường") *
(Table_BangLuong_TyLeTangCa[Giờ min]&lt;=$AA41) *
(Table_BangLuong_TyLeTangCa[Giờ max]&gt;$AA41)
)),0)
)),
IF(AC$4 &lt; AC$5,
IF($AA41-$Z$4&lt;AC$4,0,
IF($AA41&gt;AC$5,0,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AC$5,$AA41 &lt; AC$4),0,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D41" s="18" cm="1">
        <f t="array" ref="AD41" xml:space="preserve">
IFERROR(
IF(AD$1="",0,
IF(AND(
$AA41&gt;=VLOOKUP(AD$6, Table_ChiPhiNV_Ca[], COUNTA(Table_ChiPhiNV_Ca[[#Headers],[Ca]:[Bắt đầu nghỉ]]),0),
$AA41&lt;VLOOKUP(AD$6, Table_ChiPhiNV_Ca[], COUNTA(Table_ChiPhiNV_Ca[[#Headers],[Ca]:[Kết thúc nghỉ]]),0)
),0,
IF(NOT(ISBLANK(AD$3)),
IF(ISBLANK(AD$7),0,
IF(AD$4 &lt; AD$5,
IF($AA41-$Z$4&lt;AD$4,0,
IF($AA41&gt;AD$5,0,
SUM(_xlfn._xlws.FILTER(Table_BangLuong_TyLeTangCa[Tỷ lệ],
(Table_BangLuong_TyLeTangCa[Ngày] = AD$3) *
(Table_BangLuong_TyLeTangCa[Giờ min]&lt;=$AA41) *
(Table_BangLuong_TyLeTangCa[Giờ max]&gt;$AA41)
)))),
IF(AND($AA41-$Z$4 &gt;= AD$5,$AA41 &lt; AD$4),0,
SUM(_xlfn._xlws.FILTER(Table_BangLuong_TyLeTangCa[Tỷ lệ],
(Table_BangLuong_TyLeTangCa[Ngày] = AD$3) *
(Table_BangLuong_TyLeTangCa[Giờ min]&lt;=$AA41) *
(Table_BangLuong_TyLeTangCa[Giờ max]&gt;$AA41)
))))
),
IF(ISBLANK(AD$7),
IF(VLOOKUP(AD$6, Table_ChiPhiNV_Ca[], COUNTA(Table_ChiPhiNV_Ca[[#Headers],[Ca]:[Kết thúc]]),0)&gt; VLOOKUP(AD$6, Table_ChiPhiNV_Ca[], COUNTA(Table_ChiPhiNV_Ca[[#Headers],[Ca]:[Bắt đầu]]),0),
IF($AA41-$Z$4&lt;MAX(AD$4,VLOOKUP(AD$6, Table_ChiPhiNV_Ca[], COUNTA(Table_ChiPhiNV_Ca[[#Headers],[Ca]:[Bắt đầu]]),0)),0,
IF($AA41&gt;MIN(AD$5,VLOOKUP(AD$6, Table_ChiPhiNV_Ca[], COUNTA(Table_ChiPhiNV_Ca[[#Headers],[Ca]:[Kết thúc]]),0)),0,
SUM(_xlfn._xlws.FILTER(Table_BangLuong_TyLeTangCa[Tỷ lệ],
(Table_BangLuong_TyLeTangCa[Ngày] = "Thường") *
(Table_BangLuong_TyLeTangCa[Giờ min]&lt;=$AA41) *
(Table_BangLuong_TyLeTangCa[Giờ max]&gt;$AA41)
)))),
IF(AD$4 &gt; AD$5,
IF(
AND(
$AA41-$Z$4&lt;MAX(AD$4,VLOOKUP(AD$6, Table_ChiPhiNV_Ca[], COUNTA(Table_ChiPhiNV_Ca[[#Headers],[Ca]:[Bắt đầu]]),0)),
$AA41&gt;MIN(AD$5,VLOOKUP(AD$6, Table_ChiPhiNV_Ca[], COUNTA(Table_ChiPhiNV_Ca[[#Headers],[Ca]:[Kết thúc]]),0))),0,
SUM(_xlfn._xlws.FILTER(Table_BangLuong_TyLeTangCa[Tỷ lệ],
(Table_BangLuong_TyLeTangCa[Ngày] = "Thường") *
(Table_BangLuong_TyLeTangCa[Giờ min]&lt;=$AA41) *
(Table_BangLuong_TyLeTangCa[Giờ max]&gt;$AA41)
))),
IF(
AND(
$AA41-$Z$4&gt;=MAX(AD$4,VLOOKUP(AD$6, Table_ChiPhiNV_Ca[], COUNTA(Table_ChiPhiNV_Ca[[#Headers],[Ca]:[Bắt đầu]]),0)),
$AA41&lt;MIN(AD$5,VLOOKUP(AD$6, Table_ChiPhiNV_Ca[], COUNTA(Table_ChiPhiNV_Ca[[#Headers],[Ca]:[Kết thúc]]),0))),
SUM(_xlfn._xlws.FILTER(Table_BangLuong_TyLeTangCa[Tỷ lệ],
(Table_BangLuong_TyLeTangCa[Ngày] = "Thường") *
(Table_BangLuong_TyLeTangCa[Giờ min]&lt;=$AA41) *
(Table_BangLuong_TyLeTangCa[Giờ max]&gt;$AA41)
)),0)
)),
IF(AD$4 &lt; AD$5,
IF($AA41-$Z$4&lt;AD$4,0,
IF($AA41&gt;AD$5,0,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AD$5,$AA41 &lt; AD$4),0,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E41" s="18" cm="1">
        <f t="array" ref="AE41" xml:space="preserve">
IFERROR(
IF(AE$1="",0,
IF(AND(
$AA41&gt;=VLOOKUP(AE$6, Table_ChiPhiNV_Ca[], COUNTA(Table_ChiPhiNV_Ca[[#Headers],[Ca]:[Bắt đầu nghỉ]]),0),
$AA41&lt;VLOOKUP(AE$6, Table_ChiPhiNV_Ca[], COUNTA(Table_ChiPhiNV_Ca[[#Headers],[Ca]:[Kết thúc nghỉ]]),0)
),0,
IF(NOT(ISBLANK(AE$3)),
IF(ISBLANK(AE$7),0,
IF(AE$4 &lt; AE$5,
IF($AA41-$Z$4&lt;AE$4,0,
IF($AA41&gt;AE$5,0,
SUM(_xlfn._xlws.FILTER(Table_BangLuong_TyLeTangCa[Tỷ lệ],
(Table_BangLuong_TyLeTangCa[Ngày] = AE$3) *
(Table_BangLuong_TyLeTangCa[Giờ min]&lt;=$AA41) *
(Table_BangLuong_TyLeTangCa[Giờ max]&gt;$AA41)
)))),
IF(AND($AA41-$Z$4 &gt;= AE$5,$AA41 &lt; AE$4),0,
SUM(_xlfn._xlws.FILTER(Table_BangLuong_TyLeTangCa[Tỷ lệ],
(Table_BangLuong_TyLeTangCa[Ngày] = AE$3) *
(Table_BangLuong_TyLeTangCa[Giờ min]&lt;=$AA41) *
(Table_BangLuong_TyLeTangCa[Giờ max]&gt;$AA41)
))))
),
IF(ISBLANK(AE$7),
IF(VLOOKUP(AE$6, Table_ChiPhiNV_Ca[], COUNTA(Table_ChiPhiNV_Ca[[#Headers],[Ca]:[Kết thúc]]),0)&gt; VLOOKUP(AE$6, Table_ChiPhiNV_Ca[], COUNTA(Table_ChiPhiNV_Ca[[#Headers],[Ca]:[Bắt đầu]]),0),
IF($AA41-$Z$4&lt;MAX(AE$4,VLOOKUP(AE$6, Table_ChiPhiNV_Ca[], COUNTA(Table_ChiPhiNV_Ca[[#Headers],[Ca]:[Bắt đầu]]),0)),0,
IF($AA41&gt;MIN(AE$5,VLOOKUP(AE$6, Table_ChiPhiNV_Ca[], COUNTA(Table_ChiPhiNV_Ca[[#Headers],[Ca]:[Kết thúc]]),0)),0,
SUM(_xlfn._xlws.FILTER(Table_BangLuong_TyLeTangCa[Tỷ lệ],
(Table_BangLuong_TyLeTangCa[Ngày] = "Thường") *
(Table_BangLuong_TyLeTangCa[Giờ min]&lt;=$AA41) *
(Table_BangLuong_TyLeTangCa[Giờ max]&gt;$AA41)
)))),
IF(AE$4 &gt; AE$5,
IF(
AND(
$AA41-$Z$4&lt;MAX(AE$4,VLOOKUP(AE$6, Table_ChiPhiNV_Ca[], COUNTA(Table_ChiPhiNV_Ca[[#Headers],[Ca]:[Bắt đầu]]),0)),
$AA41&gt;MIN(AE$5,VLOOKUP(AE$6, Table_ChiPhiNV_Ca[], COUNTA(Table_ChiPhiNV_Ca[[#Headers],[Ca]:[Kết thúc]]),0))),0,
SUM(_xlfn._xlws.FILTER(Table_BangLuong_TyLeTangCa[Tỷ lệ],
(Table_BangLuong_TyLeTangCa[Ngày] = "Thường") *
(Table_BangLuong_TyLeTangCa[Giờ min]&lt;=$AA41) *
(Table_BangLuong_TyLeTangCa[Giờ max]&gt;$AA41)
))),
IF(
AND(
$AA41-$Z$4&gt;=MAX(AE$4,VLOOKUP(AE$6, Table_ChiPhiNV_Ca[], COUNTA(Table_ChiPhiNV_Ca[[#Headers],[Ca]:[Bắt đầu]]),0)),
$AA41&lt;MIN(AE$5,VLOOKUP(AE$6, Table_ChiPhiNV_Ca[], COUNTA(Table_ChiPhiNV_Ca[[#Headers],[Ca]:[Kết thúc]]),0))),
SUM(_xlfn._xlws.FILTER(Table_BangLuong_TyLeTangCa[Tỷ lệ],
(Table_BangLuong_TyLeTangCa[Ngày] = "Thường") *
(Table_BangLuong_TyLeTangCa[Giờ min]&lt;=$AA41) *
(Table_BangLuong_TyLeTangCa[Giờ max]&gt;$AA41)
)),0)
)),
IF(AE$4 &lt; AE$5,
IF($AA41-$Z$4&lt;AE$4,0,
IF($AA41&gt;AE$5,0,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AE$5,$AA41 &lt; AE$4),0,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F41" s="18" cm="1">
        <f t="array" ref="AF41" xml:space="preserve">
IFERROR(
IF(AF$1="",0,
IF(AND(
$AA41&gt;=VLOOKUP(AF$6, Table_ChiPhiNV_Ca[], COUNTA(Table_ChiPhiNV_Ca[[#Headers],[Ca]:[Bắt đầu nghỉ]]),0),
$AA41&lt;VLOOKUP(AF$6, Table_ChiPhiNV_Ca[], COUNTA(Table_ChiPhiNV_Ca[[#Headers],[Ca]:[Kết thúc nghỉ]]),0)
),0,
IF(NOT(ISBLANK(AF$3)),
IF(ISBLANK(AF$7),0,
IF(AF$4 &lt; AF$5,
IF($AA41-$Z$4&lt;AF$4,0,
IF($AA41&gt;AF$5,0,
SUM(_xlfn._xlws.FILTER(Table_BangLuong_TyLeTangCa[Tỷ lệ],
(Table_BangLuong_TyLeTangCa[Ngày] = AF$3) *
(Table_BangLuong_TyLeTangCa[Giờ min]&lt;=$AA41) *
(Table_BangLuong_TyLeTangCa[Giờ max]&gt;$AA41)
)))),
IF(AND($AA41-$Z$4 &gt;= AF$5,$AA41 &lt; AF$4),0,
SUM(_xlfn._xlws.FILTER(Table_BangLuong_TyLeTangCa[Tỷ lệ],
(Table_BangLuong_TyLeTangCa[Ngày] = AF$3) *
(Table_BangLuong_TyLeTangCa[Giờ min]&lt;=$AA41) *
(Table_BangLuong_TyLeTangCa[Giờ max]&gt;$AA41)
))))
),
IF(ISBLANK(AF$7),
IF(VLOOKUP(AF$6, Table_ChiPhiNV_Ca[], COUNTA(Table_ChiPhiNV_Ca[[#Headers],[Ca]:[Kết thúc]]),0)&gt; VLOOKUP(AF$6, Table_ChiPhiNV_Ca[], COUNTA(Table_ChiPhiNV_Ca[[#Headers],[Ca]:[Bắt đầu]]),0),
IF($AA41-$Z$4&lt;MAX(AF$4,VLOOKUP(AF$6, Table_ChiPhiNV_Ca[], COUNTA(Table_ChiPhiNV_Ca[[#Headers],[Ca]:[Bắt đầu]]),0)),0,
IF($AA41&gt;MIN(AF$5,VLOOKUP(AF$6, Table_ChiPhiNV_Ca[], COUNTA(Table_ChiPhiNV_Ca[[#Headers],[Ca]:[Kết thúc]]),0)),0,
SUM(_xlfn._xlws.FILTER(Table_BangLuong_TyLeTangCa[Tỷ lệ],
(Table_BangLuong_TyLeTangCa[Ngày] = "Thường") *
(Table_BangLuong_TyLeTangCa[Giờ min]&lt;=$AA41) *
(Table_BangLuong_TyLeTangCa[Giờ max]&gt;$AA41)
)))),
IF(AF$4 &gt; AF$5,
IF(
AND(
$AA41-$Z$4&lt;MAX(AF$4,VLOOKUP(AF$6, Table_ChiPhiNV_Ca[], COUNTA(Table_ChiPhiNV_Ca[[#Headers],[Ca]:[Bắt đầu]]),0)),
$AA41&gt;MIN(AF$5,VLOOKUP(AF$6, Table_ChiPhiNV_Ca[], COUNTA(Table_ChiPhiNV_Ca[[#Headers],[Ca]:[Kết thúc]]),0))),0,
SUM(_xlfn._xlws.FILTER(Table_BangLuong_TyLeTangCa[Tỷ lệ],
(Table_BangLuong_TyLeTangCa[Ngày] = "Thường") *
(Table_BangLuong_TyLeTangCa[Giờ min]&lt;=$AA41) *
(Table_BangLuong_TyLeTangCa[Giờ max]&gt;$AA41)
))),
IF(
AND(
$AA41-$Z$4&gt;=MAX(AF$4,VLOOKUP(AF$6, Table_ChiPhiNV_Ca[], COUNTA(Table_ChiPhiNV_Ca[[#Headers],[Ca]:[Bắt đầu]]),0)),
$AA41&lt;MIN(AF$5,VLOOKUP(AF$6, Table_ChiPhiNV_Ca[], COUNTA(Table_ChiPhiNV_Ca[[#Headers],[Ca]:[Kết thúc]]),0))),
SUM(_xlfn._xlws.FILTER(Table_BangLuong_TyLeTangCa[Tỷ lệ],
(Table_BangLuong_TyLeTangCa[Ngày] = "Thường") *
(Table_BangLuong_TyLeTangCa[Giờ min]&lt;=$AA41) *
(Table_BangLuong_TyLeTangCa[Giờ max]&gt;$AA41)
)),0)
)),
IF(AF$4 &lt; AF$5,
IF($AA41-$Z$4&lt;AF$4,0,
IF($AA41&gt;AF$5,0,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AF$5,$AA41 &lt; AF$4),0,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G41" s="18" cm="1">
        <f t="array" ref="AG41" xml:space="preserve">
IFERROR(
IF(AG$1="",0,
IF(AND(
$AA41&gt;=VLOOKUP(AG$6, Table_ChiPhiNV_Ca[], COUNTA(Table_ChiPhiNV_Ca[[#Headers],[Ca]:[Bắt đầu nghỉ]]),0),
$AA41&lt;VLOOKUP(AG$6, Table_ChiPhiNV_Ca[], COUNTA(Table_ChiPhiNV_Ca[[#Headers],[Ca]:[Kết thúc nghỉ]]),0)
),0,
IF(NOT(ISBLANK(AG$3)),
IF(ISBLANK(AG$7),0,
IF(AG$4 &lt; AG$5,
IF($AA41-$Z$4&lt;AG$4,0,
IF($AA41&gt;AG$5,0,
SUM(_xlfn._xlws.FILTER(Table_BangLuong_TyLeTangCa[Tỷ lệ],
(Table_BangLuong_TyLeTangCa[Ngày] = AG$3) *
(Table_BangLuong_TyLeTangCa[Giờ min]&lt;=$AA41) *
(Table_BangLuong_TyLeTangCa[Giờ max]&gt;$AA41)
)))),
IF(AND($AA41-$Z$4 &gt;= AG$5,$AA41 &lt; AG$4),0,
SUM(_xlfn._xlws.FILTER(Table_BangLuong_TyLeTangCa[Tỷ lệ],
(Table_BangLuong_TyLeTangCa[Ngày] = AG$3) *
(Table_BangLuong_TyLeTangCa[Giờ min]&lt;=$AA41) *
(Table_BangLuong_TyLeTangCa[Giờ max]&gt;$AA41)
))))
),
IF(ISBLANK(AG$7),
IF(VLOOKUP(AG$6, Table_ChiPhiNV_Ca[], COUNTA(Table_ChiPhiNV_Ca[[#Headers],[Ca]:[Kết thúc]]),0)&gt; VLOOKUP(AG$6, Table_ChiPhiNV_Ca[], COUNTA(Table_ChiPhiNV_Ca[[#Headers],[Ca]:[Bắt đầu]]),0),
IF($AA41-$Z$4&lt;MAX(AG$4,VLOOKUP(AG$6, Table_ChiPhiNV_Ca[], COUNTA(Table_ChiPhiNV_Ca[[#Headers],[Ca]:[Bắt đầu]]),0)),0,
IF($AA41&gt;MIN(AG$5,VLOOKUP(AG$6, Table_ChiPhiNV_Ca[], COUNTA(Table_ChiPhiNV_Ca[[#Headers],[Ca]:[Kết thúc]]),0)),0,
SUM(_xlfn._xlws.FILTER(Table_BangLuong_TyLeTangCa[Tỷ lệ],
(Table_BangLuong_TyLeTangCa[Ngày] = "Thường") *
(Table_BangLuong_TyLeTangCa[Giờ min]&lt;=$AA41) *
(Table_BangLuong_TyLeTangCa[Giờ max]&gt;$AA41)
)))),
IF(AG$4 &gt; AG$5,
IF(
AND(
$AA41-$Z$4&lt;MAX(AG$4,VLOOKUP(AG$6, Table_ChiPhiNV_Ca[], COUNTA(Table_ChiPhiNV_Ca[[#Headers],[Ca]:[Bắt đầu]]),0)),
$AA41&gt;MIN(AG$5,VLOOKUP(AG$6, Table_ChiPhiNV_Ca[], COUNTA(Table_ChiPhiNV_Ca[[#Headers],[Ca]:[Kết thúc]]),0))),0,
SUM(_xlfn._xlws.FILTER(Table_BangLuong_TyLeTangCa[Tỷ lệ],
(Table_BangLuong_TyLeTangCa[Ngày] = "Thường") *
(Table_BangLuong_TyLeTangCa[Giờ min]&lt;=$AA41) *
(Table_BangLuong_TyLeTangCa[Giờ max]&gt;$AA41)
))),
IF(
AND(
$AA41-$Z$4&gt;=MAX(AG$4,VLOOKUP(AG$6, Table_ChiPhiNV_Ca[], COUNTA(Table_ChiPhiNV_Ca[[#Headers],[Ca]:[Bắt đầu]]),0)),
$AA41&lt;MIN(AG$5,VLOOKUP(AG$6, Table_ChiPhiNV_Ca[], COUNTA(Table_ChiPhiNV_Ca[[#Headers],[Ca]:[Kết thúc]]),0))),
SUM(_xlfn._xlws.FILTER(Table_BangLuong_TyLeTangCa[Tỷ lệ],
(Table_BangLuong_TyLeTangCa[Ngày] = "Thường") *
(Table_BangLuong_TyLeTangCa[Giờ min]&lt;=$AA41) *
(Table_BangLuong_TyLeTangCa[Giờ max]&gt;$AA41)
)),0)
)),
IF(AG$4 &lt; AG$5,
IF($AA41-$Z$4&lt;AG$4,0,
IF($AA41&gt;AG$5,0,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AG$5,$AA41 &lt; AG$4),0,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H41" s="18" cm="1">
        <f t="array" ref="AH41" xml:space="preserve">
IFERROR(
IF(AH$1="",0,
IF(AND(
$AA41&gt;=VLOOKUP(AH$6, Table_ChiPhiNV_Ca[], COUNTA(Table_ChiPhiNV_Ca[[#Headers],[Ca]:[Bắt đầu nghỉ]]),0),
$AA41&lt;VLOOKUP(AH$6, Table_ChiPhiNV_Ca[], COUNTA(Table_ChiPhiNV_Ca[[#Headers],[Ca]:[Kết thúc nghỉ]]),0)
),0,
IF(NOT(ISBLANK(AH$3)),
IF(ISBLANK(AH$7),0,
IF(AH$4 &lt; AH$5,
IF($AA41-$Z$4&lt;AH$4,0,
IF($AA41&gt;AH$5,0,
SUM(_xlfn._xlws.FILTER(Table_BangLuong_TyLeTangCa[Tỷ lệ],
(Table_BangLuong_TyLeTangCa[Ngày] = AH$3) *
(Table_BangLuong_TyLeTangCa[Giờ min]&lt;=$AA41) *
(Table_BangLuong_TyLeTangCa[Giờ max]&gt;$AA41)
)))),
IF(AND($AA41-$Z$4 &gt;= AH$5,$AA41 &lt; AH$4),0,
SUM(_xlfn._xlws.FILTER(Table_BangLuong_TyLeTangCa[Tỷ lệ],
(Table_BangLuong_TyLeTangCa[Ngày] = AH$3) *
(Table_BangLuong_TyLeTangCa[Giờ min]&lt;=$AA41) *
(Table_BangLuong_TyLeTangCa[Giờ max]&gt;$AA41)
))))
),
IF(ISBLANK(AH$7),
IF(VLOOKUP(AH$6, Table_ChiPhiNV_Ca[], COUNTA(Table_ChiPhiNV_Ca[[#Headers],[Ca]:[Kết thúc]]),0)&gt; VLOOKUP(AH$6, Table_ChiPhiNV_Ca[], COUNTA(Table_ChiPhiNV_Ca[[#Headers],[Ca]:[Bắt đầu]]),0),
IF($AA41-$Z$4&lt;MAX(AH$4,VLOOKUP(AH$6, Table_ChiPhiNV_Ca[], COUNTA(Table_ChiPhiNV_Ca[[#Headers],[Ca]:[Bắt đầu]]),0)),0,
IF($AA41&gt;MIN(AH$5,VLOOKUP(AH$6, Table_ChiPhiNV_Ca[], COUNTA(Table_ChiPhiNV_Ca[[#Headers],[Ca]:[Kết thúc]]),0)),0,
SUM(_xlfn._xlws.FILTER(Table_BangLuong_TyLeTangCa[Tỷ lệ],
(Table_BangLuong_TyLeTangCa[Ngày] = "Thường") *
(Table_BangLuong_TyLeTangCa[Giờ min]&lt;=$AA41) *
(Table_BangLuong_TyLeTangCa[Giờ max]&gt;$AA41)
)))),
IF(AH$4 &gt; AH$5,
IF(
AND(
$AA41-$Z$4&lt;MAX(AH$4,VLOOKUP(AH$6, Table_ChiPhiNV_Ca[], COUNTA(Table_ChiPhiNV_Ca[[#Headers],[Ca]:[Bắt đầu]]),0)),
$AA41&gt;MIN(AH$5,VLOOKUP(AH$6, Table_ChiPhiNV_Ca[], COUNTA(Table_ChiPhiNV_Ca[[#Headers],[Ca]:[Kết thúc]]),0))),0,
SUM(_xlfn._xlws.FILTER(Table_BangLuong_TyLeTangCa[Tỷ lệ],
(Table_BangLuong_TyLeTangCa[Ngày] = "Thường") *
(Table_BangLuong_TyLeTangCa[Giờ min]&lt;=$AA41) *
(Table_BangLuong_TyLeTangCa[Giờ max]&gt;$AA41)
))),
IF(
AND(
$AA41-$Z$4&gt;=MAX(AH$4,VLOOKUP(AH$6, Table_ChiPhiNV_Ca[], COUNTA(Table_ChiPhiNV_Ca[[#Headers],[Ca]:[Bắt đầu]]),0)),
$AA41&lt;MIN(AH$5,VLOOKUP(AH$6, Table_ChiPhiNV_Ca[], COUNTA(Table_ChiPhiNV_Ca[[#Headers],[Ca]:[Kết thúc]]),0))),
SUM(_xlfn._xlws.FILTER(Table_BangLuong_TyLeTangCa[Tỷ lệ],
(Table_BangLuong_TyLeTangCa[Ngày] = "Thường") *
(Table_BangLuong_TyLeTangCa[Giờ min]&lt;=$AA41) *
(Table_BangLuong_TyLeTangCa[Giờ max]&gt;$AA41)
)),0)
)),
IF(AH$4 &lt; AH$5,
IF($AA41-$Z$4&lt;AH$4,0,
IF($AA41&gt;AH$5,0,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AH$5,$AA41 &lt; AH$4),0,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I41" s="18" cm="1">
        <f t="array" ref="AI41" xml:space="preserve">
IFERROR(
IF(AI$1="",0,
IF(AND(
$AA41&gt;=VLOOKUP(AI$6, Table_ChiPhiNV_Ca[], COUNTA(Table_ChiPhiNV_Ca[[#Headers],[Ca]:[Bắt đầu nghỉ]]),0),
$AA41&lt;VLOOKUP(AI$6, Table_ChiPhiNV_Ca[], COUNTA(Table_ChiPhiNV_Ca[[#Headers],[Ca]:[Kết thúc nghỉ]]),0)
),0,
IF(NOT(ISBLANK(AI$3)),
IF(ISBLANK(AI$7),0,
IF(AI$4 &lt; AI$5,
IF($AA41-$Z$4&lt;AI$4,0,
IF($AA41&gt;AI$5,0,
SUM(_xlfn._xlws.FILTER(Table_BangLuong_TyLeTangCa[Tỷ lệ],
(Table_BangLuong_TyLeTangCa[Ngày] = AI$3) *
(Table_BangLuong_TyLeTangCa[Giờ min]&lt;=$AA41) *
(Table_BangLuong_TyLeTangCa[Giờ max]&gt;$AA41)
)))),
IF(AND($AA41-$Z$4 &gt;= AI$5,$AA41 &lt; AI$4),0,
SUM(_xlfn._xlws.FILTER(Table_BangLuong_TyLeTangCa[Tỷ lệ],
(Table_BangLuong_TyLeTangCa[Ngày] = AI$3) *
(Table_BangLuong_TyLeTangCa[Giờ min]&lt;=$AA41) *
(Table_BangLuong_TyLeTangCa[Giờ max]&gt;$AA41)
))))
),
IF(ISBLANK(AI$7),
IF(VLOOKUP(AI$6, Table_ChiPhiNV_Ca[], COUNTA(Table_ChiPhiNV_Ca[[#Headers],[Ca]:[Kết thúc]]),0)&gt; VLOOKUP(AI$6, Table_ChiPhiNV_Ca[], COUNTA(Table_ChiPhiNV_Ca[[#Headers],[Ca]:[Bắt đầu]]),0),
IF($AA41-$Z$4&lt;MAX(AI$4,VLOOKUP(AI$6, Table_ChiPhiNV_Ca[], COUNTA(Table_ChiPhiNV_Ca[[#Headers],[Ca]:[Bắt đầu]]),0)),0,
IF($AA41&gt;MIN(AI$5,VLOOKUP(AI$6, Table_ChiPhiNV_Ca[], COUNTA(Table_ChiPhiNV_Ca[[#Headers],[Ca]:[Kết thúc]]),0)),0,
SUM(_xlfn._xlws.FILTER(Table_BangLuong_TyLeTangCa[Tỷ lệ],
(Table_BangLuong_TyLeTangCa[Ngày] = "Thường") *
(Table_BangLuong_TyLeTangCa[Giờ min]&lt;=$AA41) *
(Table_BangLuong_TyLeTangCa[Giờ max]&gt;$AA41)
)))),
IF(AI$4 &gt; AI$5,
IF(
AND(
$AA41-$Z$4&lt;MAX(AI$4,VLOOKUP(AI$6, Table_ChiPhiNV_Ca[], COUNTA(Table_ChiPhiNV_Ca[[#Headers],[Ca]:[Bắt đầu]]),0)),
$AA41&gt;MIN(AI$5,VLOOKUP(AI$6, Table_ChiPhiNV_Ca[], COUNTA(Table_ChiPhiNV_Ca[[#Headers],[Ca]:[Kết thúc]]),0))),0,
SUM(_xlfn._xlws.FILTER(Table_BangLuong_TyLeTangCa[Tỷ lệ],
(Table_BangLuong_TyLeTangCa[Ngày] = "Thường") *
(Table_BangLuong_TyLeTangCa[Giờ min]&lt;=$AA41) *
(Table_BangLuong_TyLeTangCa[Giờ max]&gt;$AA41)
))),
IF(
AND(
$AA41-$Z$4&gt;=MAX(AI$4,VLOOKUP(AI$6, Table_ChiPhiNV_Ca[], COUNTA(Table_ChiPhiNV_Ca[[#Headers],[Ca]:[Bắt đầu]]),0)),
$AA41&lt;MIN(AI$5,VLOOKUP(AI$6, Table_ChiPhiNV_Ca[], COUNTA(Table_ChiPhiNV_Ca[[#Headers],[Ca]:[Kết thúc]]),0))),
SUM(_xlfn._xlws.FILTER(Table_BangLuong_TyLeTangCa[Tỷ lệ],
(Table_BangLuong_TyLeTangCa[Ngày] = "Thường") *
(Table_BangLuong_TyLeTangCa[Giờ min]&lt;=$AA41) *
(Table_BangLuong_TyLeTangCa[Giờ max]&gt;$AA41)
)),0)
)),
IF(AI$4 &lt; AI$5,
IF($AA41-$Z$4&lt;AI$4,0,
IF($AA41&gt;AI$5,0,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AI$5,$AA41 &lt; AI$4),0,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J41" s="18" cm="1">
        <f t="array" ref="AJ41" xml:space="preserve">
IFERROR(
IF(AJ$1="",0,
IF(AND(
$AA41&gt;=VLOOKUP(AJ$6, Table_ChiPhiNV_Ca[], COUNTA(Table_ChiPhiNV_Ca[[#Headers],[Ca]:[Bắt đầu nghỉ]]),0),
$AA41&lt;VLOOKUP(AJ$6, Table_ChiPhiNV_Ca[], COUNTA(Table_ChiPhiNV_Ca[[#Headers],[Ca]:[Kết thúc nghỉ]]),0)
),0,
IF(NOT(ISBLANK(AJ$3)),
IF(ISBLANK(AJ$7),0,
IF(AJ$4 &lt; AJ$5,
IF($AA41-$Z$4&lt;AJ$4,0,
IF($AA41&gt;AJ$5,0,
SUM(_xlfn._xlws.FILTER(Table_BangLuong_TyLeTangCa[Tỷ lệ],
(Table_BangLuong_TyLeTangCa[Ngày] = AJ$3) *
(Table_BangLuong_TyLeTangCa[Giờ min]&lt;=$AA41) *
(Table_BangLuong_TyLeTangCa[Giờ max]&gt;$AA41)
)))),
IF(AND($AA41-$Z$4 &gt;= AJ$5,$AA41 &lt; AJ$4),0,
SUM(_xlfn._xlws.FILTER(Table_BangLuong_TyLeTangCa[Tỷ lệ],
(Table_BangLuong_TyLeTangCa[Ngày] = AJ$3) *
(Table_BangLuong_TyLeTangCa[Giờ min]&lt;=$AA41) *
(Table_BangLuong_TyLeTangCa[Giờ max]&gt;$AA41)
))))
),
IF(ISBLANK(AJ$7),
IF(VLOOKUP(AJ$6, Table_ChiPhiNV_Ca[], COUNTA(Table_ChiPhiNV_Ca[[#Headers],[Ca]:[Kết thúc]]),0)&gt; VLOOKUP(AJ$6, Table_ChiPhiNV_Ca[], COUNTA(Table_ChiPhiNV_Ca[[#Headers],[Ca]:[Bắt đầu]]),0),
IF($AA41-$Z$4&lt;MAX(AJ$4,VLOOKUP(AJ$6, Table_ChiPhiNV_Ca[], COUNTA(Table_ChiPhiNV_Ca[[#Headers],[Ca]:[Bắt đầu]]),0)),0,
IF($AA41&gt;MIN(AJ$5,VLOOKUP(AJ$6, Table_ChiPhiNV_Ca[], COUNTA(Table_ChiPhiNV_Ca[[#Headers],[Ca]:[Kết thúc]]),0)),0,
SUM(_xlfn._xlws.FILTER(Table_BangLuong_TyLeTangCa[Tỷ lệ],
(Table_BangLuong_TyLeTangCa[Ngày] = "Thường") *
(Table_BangLuong_TyLeTangCa[Giờ min]&lt;=$AA41) *
(Table_BangLuong_TyLeTangCa[Giờ max]&gt;$AA41)
)))),
IF(AJ$4 &gt; AJ$5,
IF(
AND(
$AA41-$Z$4&lt;MAX(AJ$4,VLOOKUP(AJ$6, Table_ChiPhiNV_Ca[], COUNTA(Table_ChiPhiNV_Ca[[#Headers],[Ca]:[Bắt đầu]]),0)),
$AA41&gt;MIN(AJ$5,VLOOKUP(AJ$6, Table_ChiPhiNV_Ca[], COUNTA(Table_ChiPhiNV_Ca[[#Headers],[Ca]:[Kết thúc]]),0))),0,
SUM(_xlfn._xlws.FILTER(Table_BangLuong_TyLeTangCa[Tỷ lệ],
(Table_BangLuong_TyLeTangCa[Ngày] = "Thường") *
(Table_BangLuong_TyLeTangCa[Giờ min]&lt;=$AA41) *
(Table_BangLuong_TyLeTangCa[Giờ max]&gt;$AA41)
))),
IF(
AND(
$AA41-$Z$4&gt;=MAX(AJ$4,VLOOKUP(AJ$6, Table_ChiPhiNV_Ca[], COUNTA(Table_ChiPhiNV_Ca[[#Headers],[Ca]:[Bắt đầu]]),0)),
$AA41&lt;MIN(AJ$5,VLOOKUP(AJ$6, Table_ChiPhiNV_Ca[], COUNTA(Table_ChiPhiNV_Ca[[#Headers],[Ca]:[Kết thúc]]),0))),
SUM(_xlfn._xlws.FILTER(Table_BangLuong_TyLeTangCa[Tỷ lệ],
(Table_BangLuong_TyLeTangCa[Ngày] = "Thường") *
(Table_BangLuong_TyLeTangCa[Giờ min]&lt;=$AA41) *
(Table_BangLuong_TyLeTangCa[Giờ max]&gt;$AA41)
)),0)
)),
IF(AJ$4 &lt; AJ$5,
IF($AA41-$Z$4&lt;AJ$4,0,
IF($AA41&gt;AJ$5,0,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AJ$5,$AA41 &lt; AJ$4),0,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K41" s="18" cm="1">
        <f t="array" ref="AK41" xml:space="preserve">
IFERROR(
IF(AK$1="",0,
IF(AND(
$AA41&gt;=VLOOKUP(AK$6, Table_ChiPhiNV_Ca[], COUNTA(Table_ChiPhiNV_Ca[[#Headers],[Ca]:[Bắt đầu nghỉ]]),0),
$AA41&lt;VLOOKUP(AK$6, Table_ChiPhiNV_Ca[], COUNTA(Table_ChiPhiNV_Ca[[#Headers],[Ca]:[Kết thúc nghỉ]]),0)
),0,
IF(NOT(ISBLANK(AK$3)),
IF(ISBLANK(AK$7),0,
IF(AK$4 &lt; AK$5,
IF($AA41-$Z$4&lt;AK$4,0,
IF($AA41&gt;AK$5,0,
SUM(_xlfn._xlws.FILTER(Table_BangLuong_TyLeTangCa[Tỷ lệ],
(Table_BangLuong_TyLeTangCa[Ngày] = AK$3) *
(Table_BangLuong_TyLeTangCa[Giờ min]&lt;=$AA41) *
(Table_BangLuong_TyLeTangCa[Giờ max]&gt;$AA41)
)))),
IF(AND($AA41-$Z$4 &gt;= AK$5,$AA41 &lt; AK$4),0,
SUM(_xlfn._xlws.FILTER(Table_BangLuong_TyLeTangCa[Tỷ lệ],
(Table_BangLuong_TyLeTangCa[Ngày] = AK$3) *
(Table_BangLuong_TyLeTangCa[Giờ min]&lt;=$AA41) *
(Table_BangLuong_TyLeTangCa[Giờ max]&gt;$AA41)
))))
),
IF(ISBLANK(AK$7),
IF(VLOOKUP(AK$6, Table_ChiPhiNV_Ca[], COUNTA(Table_ChiPhiNV_Ca[[#Headers],[Ca]:[Kết thúc]]),0)&gt; VLOOKUP(AK$6, Table_ChiPhiNV_Ca[], COUNTA(Table_ChiPhiNV_Ca[[#Headers],[Ca]:[Bắt đầu]]),0),
IF($AA41-$Z$4&lt;MAX(AK$4,VLOOKUP(AK$6, Table_ChiPhiNV_Ca[], COUNTA(Table_ChiPhiNV_Ca[[#Headers],[Ca]:[Bắt đầu]]),0)),0,
IF($AA41&gt;MIN(AK$5,VLOOKUP(AK$6, Table_ChiPhiNV_Ca[], COUNTA(Table_ChiPhiNV_Ca[[#Headers],[Ca]:[Kết thúc]]),0)),0,
SUM(_xlfn._xlws.FILTER(Table_BangLuong_TyLeTangCa[Tỷ lệ],
(Table_BangLuong_TyLeTangCa[Ngày] = "Thường") *
(Table_BangLuong_TyLeTangCa[Giờ min]&lt;=$AA41) *
(Table_BangLuong_TyLeTangCa[Giờ max]&gt;$AA41)
)))),
IF(AK$4 &gt; AK$5,
IF(
AND(
$AA41-$Z$4&lt;MAX(AK$4,VLOOKUP(AK$6, Table_ChiPhiNV_Ca[], COUNTA(Table_ChiPhiNV_Ca[[#Headers],[Ca]:[Bắt đầu]]),0)),
$AA41&gt;MIN(AK$5,VLOOKUP(AK$6, Table_ChiPhiNV_Ca[], COUNTA(Table_ChiPhiNV_Ca[[#Headers],[Ca]:[Kết thúc]]),0))),0,
SUM(_xlfn._xlws.FILTER(Table_BangLuong_TyLeTangCa[Tỷ lệ],
(Table_BangLuong_TyLeTangCa[Ngày] = "Thường") *
(Table_BangLuong_TyLeTangCa[Giờ min]&lt;=$AA41) *
(Table_BangLuong_TyLeTangCa[Giờ max]&gt;$AA41)
))),
IF(
AND(
$AA41-$Z$4&gt;=MAX(AK$4,VLOOKUP(AK$6, Table_ChiPhiNV_Ca[], COUNTA(Table_ChiPhiNV_Ca[[#Headers],[Ca]:[Bắt đầu]]),0)),
$AA41&lt;MIN(AK$5,VLOOKUP(AK$6, Table_ChiPhiNV_Ca[], COUNTA(Table_ChiPhiNV_Ca[[#Headers],[Ca]:[Kết thúc]]),0))),
SUM(_xlfn._xlws.FILTER(Table_BangLuong_TyLeTangCa[Tỷ lệ],
(Table_BangLuong_TyLeTangCa[Ngày] = "Thường") *
(Table_BangLuong_TyLeTangCa[Giờ min]&lt;=$AA41) *
(Table_BangLuong_TyLeTangCa[Giờ max]&gt;$AA41)
)),0)
)),
IF(AK$4 &lt; AK$5,
IF($AA41-$Z$4&lt;AK$4,0,
IF($AA41&gt;AK$5,0,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AK$5,$AA41 &lt; AK$4),0,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L41" s="18" cm="1">
        <f t="array" ref="AL41" xml:space="preserve">
IFERROR(
IF(AL$1="",0,
IF(AND(
$AA41&gt;=VLOOKUP(AL$6, Table_ChiPhiNV_Ca[], COUNTA(Table_ChiPhiNV_Ca[[#Headers],[Ca]:[Bắt đầu nghỉ]]),0),
$AA41&lt;VLOOKUP(AL$6, Table_ChiPhiNV_Ca[], COUNTA(Table_ChiPhiNV_Ca[[#Headers],[Ca]:[Kết thúc nghỉ]]),0)
),0,
IF(NOT(ISBLANK(AL$3)),
IF(ISBLANK(AL$7),0,
IF(AL$4 &lt; AL$5,
IF($AA41-$Z$4&lt;AL$4,0,
IF($AA41&gt;AL$5,0,
SUM(_xlfn._xlws.FILTER(Table_BangLuong_TyLeTangCa[Tỷ lệ],
(Table_BangLuong_TyLeTangCa[Ngày] = AL$3) *
(Table_BangLuong_TyLeTangCa[Giờ min]&lt;=$AA41) *
(Table_BangLuong_TyLeTangCa[Giờ max]&gt;$AA41)
)))),
IF(AND($AA41-$Z$4 &gt;= AL$5,$AA41 &lt; AL$4),0,
SUM(_xlfn._xlws.FILTER(Table_BangLuong_TyLeTangCa[Tỷ lệ],
(Table_BangLuong_TyLeTangCa[Ngày] = AL$3) *
(Table_BangLuong_TyLeTangCa[Giờ min]&lt;=$AA41) *
(Table_BangLuong_TyLeTangCa[Giờ max]&gt;$AA41)
))))
),
IF(ISBLANK(AL$7),
IF(VLOOKUP(AL$6, Table_ChiPhiNV_Ca[], COUNTA(Table_ChiPhiNV_Ca[[#Headers],[Ca]:[Kết thúc]]),0)&gt; VLOOKUP(AL$6, Table_ChiPhiNV_Ca[], COUNTA(Table_ChiPhiNV_Ca[[#Headers],[Ca]:[Bắt đầu]]),0),
IF($AA41-$Z$4&lt;MAX(AL$4,VLOOKUP(AL$6, Table_ChiPhiNV_Ca[], COUNTA(Table_ChiPhiNV_Ca[[#Headers],[Ca]:[Bắt đầu]]),0)),0,
IF($AA41&gt;MIN(AL$5,VLOOKUP(AL$6, Table_ChiPhiNV_Ca[], COUNTA(Table_ChiPhiNV_Ca[[#Headers],[Ca]:[Kết thúc]]),0)),0,
SUM(_xlfn._xlws.FILTER(Table_BangLuong_TyLeTangCa[Tỷ lệ],
(Table_BangLuong_TyLeTangCa[Ngày] = "Thường") *
(Table_BangLuong_TyLeTangCa[Giờ min]&lt;=$AA41) *
(Table_BangLuong_TyLeTangCa[Giờ max]&gt;$AA41)
)))),
IF(AL$4 &gt; AL$5,
IF(
AND(
$AA41-$Z$4&lt;MAX(AL$4,VLOOKUP(AL$6, Table_ChiPhiNV_Ca[], COUNTA(Table_ChiPhiNV_Ca[[#Headers],[Ca]:[Bắt đầu]]),0)),
$AA41&gt;MIN(AL$5,VLOOKUP(AL$6, Table_ChiPhiNV_Ca[], COUNTA(Table_ChiPhiNV_Ca[[#Headers],[Ca]:[Kết thúc]]),0))),0,
SUM(_xlfn._xlws.FILTER(Table_BangLuong_TyLeTangCa[Tỷ lệ],
(Table_BangLuong_TyLeTangCa[Ngày] = "Thường") *
(Table_BangLuong_TyLeTangCa[Giờ min]&lt;=$AA41) *
(Table_BangLuong_TyLeTangCa[Giờ max]&gt;$AA41)
))),
IF(
AND(
$AA41-$Z$4&gt;=MAX(AL$4,VLOOKUP(AL$6, Table_ChiPhiNV_Ca[], COUNTA(Table_ChiPhiNV_Ca[[#Headers],[Ca]:[Bắt đầu]]),0)),
$AA41&lt;MIN(AL$5,VLOOKUP(AL$6, Table_ChiPhiNV_Ca[], COUNTA(Table_ChiPhiNV_Ca[[#Headers],[Ca]:[Kết thúc]]),0))),
SUM(_xlfn._xlws.FILTER(Table_BangLuong_TyLeTangCa[Tỷ lệ],
(Table_BangLuong_TyLeTangCa[Ngày] = "Thường") *
(Table_BangLuong_TyLeTangCa[Giờ min]&lt;=$AA41) *
(Table_BangLuong_TyLeTangCa[Giờ max]&gt;$AA41)
)),0)
)),
IF(AL$4 &lt; AL$5,
IF($AA41-$Z$4&lt;AL$4,0,
IF($AA41&gt;AL$5,0,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AL$5,$AA41 &lt; AL$4),0,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M41" s="18" cm="1">
        <f t="array" ref="AM41" xml:space="preserve">
IFERROR(
IF(AM$1="",0,
IF(AND(
$AA41&gt;=VLOOKUP(AM$6, Table_ChiPhiNV_Ca[], COUNTA(Table_ChiPhiNV_Ca[[#Headers],[Ca]:[Bắt đầu nghỉ]]),0),
$AA41&lt;VLOOKUP(AM$6, Table_ChiPhiNV_Ca[], COUNTA(Table_ChiPhiNV_Ca[[#Headers],[Ca]:[Kết thúc nghỉ]]),0)
),0,
IF(NOT(ISBLANK(AM$3)),
IF(ISBLANK(AM$7),0,
IF(AM$4 &lt; AM$5,
IF($AA41-$Z$4&lt;AM$4,0,
IF($AA41&gt;AM$5,0,
SUM(_xlfn._xlws.FILTER(Table_BangLuong_TyLeTangCa[Tỷ lệ],
(Table_BangLuong_TyLeTangCa[Ngày] = AM$3) *
(Table_BangLuong_TyLeTangCa[Giờ min]&lt;=$AA41) *
(Table_BangLuong_TyLeTangCa[Giờ max]&gt;$AA41)
)))),
IF(AND($AA41-$Z$4 &gt;= AM$5,$AA41 &lt; AM$4),0,
SUM(_xlfn._xlws.FILTER(Table_BangLuong_TyLeTangCa[Tỷ lệ],
(Table_BangLuong_TyLeTangCa[Ngày] = AM$3) *
(Table_BangLuong_TyLeTangCa[Giờ min]&lt;=$AA41) *
(Table_BangLuong_TyLeTangCa[Giờ max]&gt;$AA41)
))))
),
IF(ISBLANK(AM$7),
IF(VLOOKUP(AM$6, Table_ChiPhiNV_Ca[], COUNTA(Table_ChiPhiNV_Ca[[#Headers],[Ca]:[Kết thúc]]),0)&gt; VLOOKUP(AM$6, Table_ChiPhiNV_Ca[], COUNTA(Table_ChiPhiNV_Ca[[#Headers],[Ca]:[Bắt đầu]]),0),
IF($AA41-$Z$4&lt;MAX(AM$4,VLOOKUP(AM$6, Table_ChiPhiNV_Ca[], COUNTA(Table_ChiPhiNV_Ca[[#Headers],[Ca]:[Bắt đầu]]),0)),0,
IF($AA41&gt;MIN(AM$5,VLOOKUP(AM$6, Table_ChiPhiNV_Ca[], COUNTA(Table_ChiPhiNV_Ca[[#Headers],[Ca]:[Kết thúc]]),0)),0,
SUM(_xlfn._xlws.FILTER(Table_BangLuong_TyLeTangCa[Tỷ lệ],
(Table_BangLuong_TyLeTangCa[Ngày] = "Thường") *
(Table_BangLuong_TyLeTangCa[Giờ min]&lt;=$AA41) *
(Table_BangLuong_TyLeTangCa[Giờ max]&gt;$AA41)
)))),
IF(AM$4 &gt; AM$5,
IF(
AND(
$AA41-$Z$4&lt;MAX(AM$4,VLOOKUP(AM$6, Table_ChiPhiNV_Ca[], COUNTA(Table_ChiPhiNV_Ca[[#Headers],[Ca]:[Bắt đầu]]),0)),
$AA41&gt;MIN(AM$5,VLOOKUP(AM$6, Table_ChiPhiNV_Ca[], COUNTA(Table_ChiPhiNV_Ca[[#Headers],[Ca]:[Kết thúc]]),0))),0,
SUM(_xlfn._xlws.FILTER(Table_BangLuong_TyLeTangCa[Tỷ lệ],
(Table_BangLuong_TyLeTangCa[Ngày] = "Thường") *
(Table_BangLuong_TyLeTangCa[Giờ min]&lt;=$AA41) *
(Table_BangLuong_TyLeTangCa[Giờ max]&gt;$AA41)
))),
IF(
AND(
$AA41-$Z$4&gt;=MAX(AM$4,VLOOKUP(AM$6, Table_ChiPhiNV_Ca[], COUNTA(Table_ChiPhiNV_Ca[[#Headers],[Ca]:[Bắt đầu]]),0)),
$AA41&lt;MIN(AM$5,VLOOKUP(AM$6, Table_ChiPhiNV_Ca[], COUNTA(Table_ChiPhiNV_Ca[[#Headers],[Ca]:[Kết thúc]]),0))),
SUM(_xlfn._xlws.FILTER(Table_BangLuong_TyLeTangCa[Tỷ lệ],
(Table_BangLuong_TyLeTangCa[Ngày] = "Thường") *
(Table_BangLuong_TyLeTangCa[Giờ min]&lt;=$AA41) *
(Table_BangLuong_TyLeTangCa[Giờ max]&gt;$AA41)
)),0)
)),
IF(AM$4 &lt; AM$5,
IF($AA41-$Z$4&lt;AM$4,0,
IF($AA41&gt;AM$5,0,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AM$5,$AA41 &lt; AM$4),0,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N41" s="18" cm="1">
        <f t="array" ref="AN41" xml:space="preserve">
IFERROR(
IF(AN$1="",0,
IF(AND(
$AA41&gt;=VLOOKUP(AN$6, Table_ChiPhiNV_Ca[], COUNTA(Table_ChiPhiNV_Ca[[#Headers],[Ca]:[Bắt đầu nghỉ]]),0),
$AA41&lt;VLOOKUP(AN$6, Table_ChiPhiNV_Ca[], COUNTA(Table_ChiPhiNV_Ca[[#Headers],[Ca]:[Kết thúc nghỉ]]),0)
),0,
IF(NOT(ISBLANK(AN$3)),
IF(ISBLANK(AN$7),0,
IF(AN$4 &lt; AN$5,
IF($AA41-$Z$4&lt;AN$4,0,
IF($AA41&gt;AN$5,0,
SUM(_xlfn._xlws.FILTER(Table_BangLuong_TyLeTangCa[Tỷ lệ],
(Table_BangLuong_TyLeTangCa[Ngày] = AN$3) *
(Table_BangLuong_TyLeTangCa[Giờ min]&lt;=$AA41) *
(Table_BangLuong_TyLeTangCa[Giờ max]&gt;$AA41)
)))),
IF(AND($AA41-$Z$4 &gt;= AN$5,$AA41 &lt; AN$4),0,
SUM(_xlfn._xlws.FILTER(Table_BangLuong_TyLeTangCa[Tỷ lệ],
(Table_BangLuong_TyLeTangCa[Ngày] = AN$3) *
(Table_BangLuong_TyLeTangCa[Giờ min]&lt;=$AA41) *
(Table_BangLuong_TyLeTangCa[Giờ max]&gt;$AA41)
))))
),
IF(ISBLANK(AN$7),
IF(VLOOKUP(AN$6, Table_ChiPhiNV_Ca[], COUNTA(Table_ChiPhiNV_Ca[[#Headers],[Ca]:[Kết thúc]]),0)&gt; VLOOKUP(AN$6, Table_ChiPhiNV_Ca[], COUNTA(Table_ChiPhiNV_Ca[[#Headers],[Ca]:[Bắt đầu]]),0),
IF($AA41-$Z$4&lt;MAX(AN$4,VLOOKUP(AN$6, Table_ChiPhiNV_Ca[], COUNTA(Table_ChiPhiNV_Ca[[#Headers],[Ca]:[Bắt đầu]]),0)),0,
IF($AA41&gt;MIN(AN$5,VLOOKUP(AN$6, Table_ChiPhiNV_Ca[], COUNTA(Table_ChiPhiNV_Ca[[#Headers],[Ca]:[Kết thúc]]),0)),0,
SUM(_xlfn._xlws.FILTER(Table_BangLuong_TyLeTangCa[Tỷ lệ],
(Table_BangLuong_TyLeTangCa[Ngày] = "Thường") *
(Table_BangLuong_TyLeTangCa[Giờ min]&lt;=$AA41) *
(Table_BangLuong_TyLeTangCa[Giờ max]&gt;$AA41)
)))),
IF(AN$4 &gt; AN$5,
IF(
AND(
$AA41-$Z$4&lt;MAX(AN$4,VLOOKUP(AN$6, Table_ChiPhiNV_Ca[], COUNTA(Table_ChiPhiNV_Ca[[#Headers],[Ca]:[Bắt đầu]]),0)),
$AA41&gt;MIN(AN$5,VLOOKUP(AN$6, Table_ChiPhiNV_Ca[], COUNTA(Table_ChiPhiNV_Ca[[#Headers],[Ca]:[Kết thúc]]),0))),0,
SUM(_xlfn._xlws.FILTER(Table_BangLuong_TyLeTangCa[Tỷ lệ],
(Table_BangLuong_TyLeTangCa[Ngày] = "Thường") *
(Table_BangLuong_TyLeTangCa[Giờ min]&lt;=$AA41) *
(Table_BangLuong_TyLeTangCa[Giờ max]&gt;$AA41)
))),
IF(
AND(
$AA41-$Z$4&gt;=MAX(AN$4,VLOOKUP(AN$6, Table_ChiPhiNV_Ca[], COUNTA(Table_ChiPhiNV_Ca[[#Headers],[Ca]:[Bắt đầu]]),0)),
$AA41&lt;MIN(AN$5,VLOOKUP(AN$6, Table_ChiPhiNV_Ca[], COUNTA(Table_ChiPhiNV_Ca[[#Headers],[Ca]:[Kết thúc]]),0))),
SUM(_xlfn._xlws.FILTER(Table_BangLuong_TyLeTangCa[Tỷ lệ],
(Table_BangLuong_TyLeTangCa[Ngày] = "Thường") *
(Table_BangLuong_TyLeTangCa[Giờ min]&lt;=$AA41) *
(Table_BangLuong_TyLeTangCa[Giờ max]&gt;$AA41)
)),0)
)),
IF(AN$4 &lt; AN$5,
IF($AA41-$Z$4&lt;AN$4,0,
IF($AA41&gt;AN$5,0,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AN$5,$AA41 &lt; AN$4),0,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O41" s="18" cm="1">
        <f t="array" ref="AO41" xml:space="preserve">
IFERROR(
IF(AO$1="",0,
IF(AND(
$AA41&gt;=VLOOKUP(AO$6, Table_ChiPhiNV_Ca[], COUNTA(Table_ChiPhiNV_Ca[[#Headers],[Ca]:[Bắt đầu nghỉ]]),0),
$AA41&lt;VLOOKUP(AO$6, Table_ChiPhiNV_Ca[], COUNTA(Table_ChiPhiNV_Ca[[#Headers],[Ca]:[Kết thúc nghỉ]]),0)
),0,
IF(NOT(ISBLANK(AO$3)),
IF(ISBLANK(AO$7),0,
IF(AO$4 &lt; AO$5,
IF($AA41-$Z$4&lt;AO$4,0,
IF($AA41&gt;AO$5,0,
SUM(_xlfn._xlws.FILTER(Table_BangLuong_TyLeTangCa[Tỷ lệ],
(Table_BangLuong_TyLeTangCa[Ngày] = AO$3) *
(Table_BangLuong_TyLeTangCa[Giờ min]&lt;=$AA41) *
(Table_BangLuong_TyLeTangCa[Giờ max]&gt;$AA41)
)))),
IF(AND($AA41-$Z$4 &gt;= AO$5,$AA41 &lt; AO$4),0,
SUM(_xlfn._xlws.FILTER(Table_BangLuong_TyLeTangCa[Tỷ lệ],
(Table_BangLuong_TyLeTangCa[Ngày] = AO$3) *
(Table_BangLuong_TyLeTangCa[Giờ min]&lt;=$AA41) *
(Table_BangLuong_TyLeTangCa[Giờ max]&gt;$AA41)
))))
),
IF(ISBLANK(AO$7),
IF(VLOOKUP(AO$6, Table_ChiPhiNV_Ca[], COUNTA(Table_ChiPhiNV_Ca[[#Headers],[Ca]:[Kết thúc]]),0)&gt; VLOOKUP(AO$6, Table_ChiPhiNV_Ca[], COUNTA(Table_ChiPhiNV_Ca[[#Headers],[Ca]:[Bắt đầu]]),0),
IF($AA41-$Z$4&lt;MAX(AO$4,VLOOKUP(AO$6, Table_ChiPhiNV_Ca[], COUNTA(Table_ChiPhiNV_Ca[[#Headers],[Ca]:[Bắt đầu]]),0)),0,
IF($AA41&gt;MIN(AO$5,VLOOKUP(AO$6, Table_ChiPhiNV_Ca[], COUNTA(Table_ChiPhiNV_Ca[[#Headers],[Ca]:[Kết thúc]]),0)),0,
SUM(_xlfn._xlws.FILTER(Table_BangLuong_TyLeTangCa[Tỷ lệ],
(Table_BangLuong_TyLeTangCa[Ngày] = "Thường") *
(Table_BangLuong_TyLeTangCa[Giờ min]&lt;=$AA41) *
(Table_BangLuong_TyLeTangCa[Giờ max]&gt;$AA41)
)))),
IF(AO$4 &gt; AO$5,
IF(
AND(
$AA41-$Z$4&lt;MAX(AO$4,VLOOKUP(AO$6, Table_ChiPhiNV_Ca[], COUNTA(Table_ChiPhiNV_Ca[[#Headers],[Ca]:[Bắt đầu]]),0)),
$AA41&gt;MIN(AO$5,VLOOKUP(AO$6, Table_ChiPhiNV_Ca[], COUNTA(Table_ChiPhiNV_Ca[[#Headers],[Ca]:[Kết thúc]]),0))),0,
SUM(_xlfn._xlws.FILTER(Table_BangLuong_TyLeTangCa[Tỷ lệ],
(Table_BangLuong_TyLeTangCa[Ngày] = "Thường") *
(Table_BangLuong_TyLeTangCa[Giờ min]&lt;=$AA41) *
(Table_BangLuong_TyLeTangCa[Giờ max]&gt;$AA41)
))),
IF(
AND(
$AA41-$Z$4&gt;=MAX(AO$4,VLOOKUP(AO$6, Table_ChiPhiNV_Ca[], COUNTA(Table_ChiPhiNV_Ca[[#Headers],[Ca]:[Bắt đầu]]),0)),
$AA41&lt;MIN(AO$5,VLOOKUP(AO$6, Table_ChiPhiNV_Ca[], COUNTA(Table_ChiPhiNV_Ca[[#Headers],[Ca]:[Kết thúc]]),0))),
SUM(_xlfn._xlws.FILTER(Table_BangLuong_TyLeTangCa[Tỷ lệ],
(Table_BangLuong_TyLeTangCa[Ngày] = "Thường") *
(Table_BangLuong_TyLeTangCa[Giờ min]&lt;=$AA41) *
(Table_BangLuong_TyLeTangCa[Giờ max]&gt;$AA41)
)),0)
)),
IF(AO$4 &lt; AO$5,
IF($AA41-$Z$4&lt;AO$4,0,
IF($AA41&gt;AO$5,0,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AO$5,$AA41 &lt; AO$4),0,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P41" s="18" cm="1">
        <f t="array" ref="AP41" xml:space="preserve">
IFERROR(
IF(AP$1="",0,
IF(AND(
$AA41&gt;=VLOOKUP(AP$6, Table_ChiPhiNV_Ca[], COUNTA(Table_ChiPhiNV_Ca[[#Headers],[Ca]:[Bắt đầu nghỉ]]),0),
$AA41&lt;VLOOKUP(AP$6, Table_ChiPhiNV_Ca[], COUNTA(Table_ChiPhiNV_Ca[[#Headers],[Ca]:[Kết thúc nghỉ]]),0)
),0,
IF(NOT(ISBLANK(AP$3)),
IF(ISBLANK(AP$7),0,
IF(AP$4 &lt; AP$5,
IF($AA41-$Z$4&lt;AP$4,0,
IF($AA41&gt;AP$5,0,
SUM(_xlfn._xlws.FILTER(Table_BangLuong_TyLeTangCa[Tỷ lệ],
(Table_BangLuong_TyLeTangCa[Ngày] = AP$3) *
(Table_BangLuong_TyLeTangCa[Giờ min]&lt;=$AA41) *
(Table_BangLuong_TyLeTangCa[Giờ max]&gt;$AA41)
)))),
IF(AND($AA41-$Z$4 &gt;= AP$5,$AA41 &lt; AP$4),0,
SUM(_xlfn._xlws.FILTER(Table_BangLuong_TyLeTangCa[Tỷ lệ],
(Table_BangLuong_TyLeTangCa[Ngày] = AP$3) *
(Table_BangLuong_TyLeTangCa[Giờ min]&lt;=$AA41) *
(Table_BangLuong_TyLeTangCa[Giờ max]&gt;$AA41)
))))
),
IF(ISBLANK(AP$7),
IF(VLOOKUP(AP$6, Table_ChiPhiNV_Ca[], COUNTA(Table_ChiPhiNV_Ca[[#Headers],[Ca]:[Kết thúc]]),0)&gt; VLOOKUP(AP$6, Table_ChiPhiNV_Ca[], COUNTA(Table_ChiPhiNV_Ca[[#Headers],[Ca]:[Bắt đầu]]),0),
IF($AA41-$Z$4&lt;MAX(AP$4,VLOOKUP(AP$6, Table_ChiPhiNV_Ca[], COUNTA(Table_ChiPhiNV_Ca[[#Headers],[Ca]:[Bắt đầu]]),0)),0,
IF($AA41&gt;MIN(AP$5,VLOOKUP(AP$6, Table_ChiPhiNV_Ca[], COUNTA(Table_ChiPhiNV_Ca[[#Headers],[Ca]:[Kết thúc]]),0)),0,
SUM(_xlfn._xlws.FILTER(Table_BangLuong_TyLeTangCa[Tỷ lệ],
(Table_BangLuong_TyLeTangCa[Ngày] = "Thường") *
(Table_BangLuong_TyLeTangCa[Giờ min]&lt;=$AA41) *
(Table_BangLuong_TyLeTangCa[Giờ max]&gt;$AA41)
)))),
IF(AP$4 &gt; AP$5,
IF(
AND(
$AA41-$Z$4&lt;MAX(AP$4,VLOOKUP(AP$6, Table_ChiPhiNV_Ca[], COUNTA(Table_ChiPhiNV_Ca[[#Headers],[Ca]:[Bắt đầu]]),0)),
$AA41&gt;MIN(AP$5,VLOOKUP(AP$6, Table_ChiPhiNV_Ca[], COUNTA(Table_ChiPhiNV_Ca[[#Headers],[Ca]:[Kết thúc]]),0))),0,
SUM(_xlfn._xlws.FILTER(Table_BangLuong_TyLeTangCa[Tỷ lệ],
(Table_BangLuong_TyLeTangCa[Ngày] = "Thường") *
(Table_BangLuong_TyLeTangCa[Giờ min]&lt;=$AA41) *
(Table_BangLuong_TyLeTangCa[Giờ max]&gt;$AA41)
))),
IF(
AND(
$AA41-$Z$4&gt;=MAX(AP$4,VLOOKUP(AP$6, Table_ChiPhiNV_Ca[], COUNTA(Table_ChiPhiNV_Ca[[#Headers],[Ca]:[Bắt đầu]]),0)),
$AA41&lt;MIN(AP$5,VLOOKUP(AP$6, Table_ChiPhiNV_Ca[], COUNTA(Table_ChiPhiNV_Ca[[#Headers],[Ca]:[Kết thúc]]),0))),
SUM(_xlfn._xlws.FILTER(Table_BangLuong_TyLeTangCa[Tỷ lệ],
(Table_BangLuong_TyLeTangCa[Ngày] = "Thường") *
(Table_BangLuong_TyLeTangCa[Giờ min]&lt;=$AA41) *
(Table_BangLuong_TyLeTangCa[Giờ max]&gt;$AA41)
)),0)
)),
IF(AP$4 &lt; AP$5,
IF($AA41-$Z$4&lt;AP$4,0,
IF($AA41&gt;AP$5,0,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AP$5,$AA41 &lt; AP$4),0,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Q41" s="18" cm="1">
        <f t="array" ref="AQ41" xml:space="preserve">
IFERROR(
IF(AQ$1="",0,
IF(AND(
$AA41&gt;=VLOOKUP(AQ$6, Table_ChiPhiNV_Ca[], COUNTA(Table_ChiPhiNV_Ca[[#Headers],[Ca]:[Bắt đầu nghỉ]]),0),
$AA41&lt;VLOOKUP(AQ$6, Table_ChiPhiNV_Ca[], COUNTA(Table_ChiPhiNV_Ca[[#Headers],[Ca]:[Kết thúc nghỉ]]),0)
),0,
IF(NOT(ISBLANK(AQ$3)),
IF(ISBLANK(AQ$7),0,
IF(AQ$4 &lt; AQ$5,
IF($AA41-$Z$4&lt;AQ$4,0,
IF($AA41&gt;AQ$5,0,
SUM(_xlfn._xlws.FILTER(Table_BangLuong_TyLeTangCa[Tỷ lệ],
(Table_BangLuong_TyLeTangCa[Ngày] = AQ$3) *
(Table_BangLuong_TyLeTangCa[Giờ min]&lt;=$AA41) *
(Table_BangLuong_TyLeTangCa[Giờ max]&gt;$AA41)
)))),
IF(AND($AA41-$Z$4 &gt;= AQ$5,$AA41 &lt; AQ$4),0,
SUM(_xlfn._xlws.FILTER(Table_BangLuong_TyLeTangCa[Tỷ lệ],
(Table_BangLuong_TyLeTangCa[Ngày] = AQ$3) *
(Table_BangLuong_TyLeTangCa[Giờ min]&lt;=$AA41) *
(Table_BangLuong_TyLeTangCa[Giờ max]&gt;$AA41)
))))
),
IF(ISBLANK(AQ$7),
IF(VLOOKUP(AQ$6, Table_ChiPhiNV_Ca[], COUNTA(Table_ChiPhiNV_Ca[[#Headers],[Ca]:[Kết thúc]]),0)&gt; VLOOKUP(AQ$6, Table_ChiPhiNV_Ca[], COUNTA(Table_ChiPhiNV_Ca[[#Headers],[Ca]:[Bắt đầu]]),0),
IF($AA41-$Z$4&lt;MAX(AQ$4,VLOOKUP(AQ$6, Table_ChiPhiNV_Ca[], COUNTA(Table_ChiPhiNV_Ca[[#Headers],[Ca]:[Bắt đầu]]),0)),0,
IF($AA41&gt;MIN(AQ$5,VLOOKUP(AQ$6, Table_ChiPhiNV_Ca[], COUNTA(Table_ChiPhiNV_Ca[[#Headers],[Ca]:[Kết thúc]]),0)),0,
SUM(_xlfn._xlws.FILTER(Table_BangLuong_TyLeTangCa[Tỷ lệ],
(Table_BangLuong_TyLeTangCa[Ngày] = "Thường") *
(Table_BangLuong_TyLeTangCa[Giờ min]&lt;=$AA41) *
(Table_BangLuong_TyLeTangCa[Giờ max]&gt;$AA41)
)))),
IF(AQ$4 &gt; AQ$5,
IF(
AND(
$AA41-$Z$4&lt;MAX(AQ$4,VLOOKUP(AQ$6, Table_ChiPhiNV_Ca[], COUNTA(Table_ChiPhiNV_Ca[[#Headers],[Ca]:[Bắt đầu]]),0)),
$AA41&gt;MIN(AQ$5,VLOOKUP(AQ$6, Table_ChiPhiNV_Ca[], COUNTA(Table_ChiPhiNV_Ca[[#Headers],[Ca]:[Kết thúc]]),0))),0,
SUM(_xlfn._xlws.FILTER(Table_BangLuong_TyLeTangCa[Tỷ lệ],
(Table_BangLuong_TyLeTangCa[Ngày] = "Thường") *
(Table_BangLuong_TyLeTangCa[Giờ min]&lt;=$AA41) *
(Table_BangLuong_TyLeTangCa[Giờ max]&gt;$AA41)
))),
IF(
AND(
$AA41-$Z$4&gt;=MAX(AQ$4,VLOOKUP(AQ$6, Table_ChiPhiNV_Ca[], COUNTA(Table_ChiPhiNV_Ca[[#Headers],[Ca]:[Bắt đầu]]),0)),
$AA41&lt;MIN(AQ$5,VLOOKUP(AQ$6, Table_ChiPhiNV_Ca[], COUNTA(Table_ChiPhiNV_Ca[[#Headers],[Ca]:[Kết thúc]]),0))),
SUM(_xlfn._xlws.FILTER(Table_BangLuong_TyLeTangCa[Tỷ lệ],
(Table_BangLuong_TyLeTangCa[Ngày] = "Thường") *
(Table_BangLuong_TyLeTangCa[Giờ min]&lt;=$AA41) *
(Table_BangLuong_TyLeTangCa[Giờ max]&gt;$AA41)
)),0)
)),
IF(AQ$4 &lt; AQ$5,
IF($AA41-$Z$4&lt;AQ$4,0,
IF($AA41&gt;AQ$5,0,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AQ$5,$AA41 &lt; AQ$4),0,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R41" s="18" cm="1">
        <f t="array" ref="AR41" xml:space="preserve">
IFERROR(
IF(AR$1="",0,
IF(AND(
$AA41&gt;=VLOOKUP(AR$6, Table_ChiPhiNV_Ca[], COUNTA(Table_ChiPhiNV_Ca[[#Headers],[Ca]:[Bắt đầu nghỉ]]),0),
$AA41&lt;VLOOKUP(AR$6, Table_ChiPhiNV_Ca[], COUNTA(Table_ChiPhiNV_Ca[[#Headers],[Ca]:[Kết thúc nghỉ]]),0)
),0,
IF(NOT(ISBLANK(AR$3)),
IF(ISBLANK(AR$7),0,
IF(AR$4 &lt; AR$5,
IF($AA41-$Z$4&lt;AR$4,0,
IF($AA41&gt;AR$5,0,
SUM(_xlfn._xlws.FILTER(Table_BangLuong_TyLeTangCa[Tỷ lệ],
(Table_BangLuong_TyLeTangCa[Ngày] = AR$3) *
(Table_BangLuong_TyLeTangCa[Giờ min]&lt;=$AA41) *
(Table_BangLuong_TyLeTangCa[Giờ max]&gt;$AA41)
)))),
IF(AND($AA41-$Z$4 &gt;= AR$5,$AA41 &lt; AR$4),0,
SUM(_xlfn._xlws.FILTER(Table_BangLuong_TyLeTangCa[Tỷ lệ],
(Table_BangLuong_TyLeTangCa[Ngày] = AR$3) *
(Table_BangLuong_TyLeTangCa[Giờ min]&lt;=$AA41) *
(Table_BangLuong_TyLeTangCa[Giờ max]&gt;$AA41)
))))
),
IF(ISBLANK(AR$7),
IF(VLOOKUP(AR$6, Table_ChiPhiNV_Ca[], COUNTA(Table_ChiPhiNV_Ca[[#Headers],[Ca]:[Kết thúc]]),0)&gt; VLOOKUP(AR$6, Table_ChiPhiNV_Ca[], COUNTA(Table_ChiPhiNV_Ca[[#Headers],[Ca]:[Bắt đầu]]),0),
IF($AA41-$Z$4&lt;MAX(AR$4,VLOOKUP(AR$6, Table_ChiPhiNV_Ca[], COUNTA(Table_ChiPhiNV_Ca[[#Headers],[Ca]:[Bắt đầu]]),0)),0,
IF($AA41&gt;MIN(AR$5,VLOOKUP(AR$6, Table_ChiPhiNV_Ca[], COUNTA(Table_ChiPhiNV_Ca[[#Headers],[Ca]:[Kết thúc]]),0)),0,
SUM(_xlfn._xlws.FILTER(Table_BangLuong_TyLeTangCa[Tỷ lệ],
(Table_BangLuong_TyLeTangCa[Ngày] = "Thường") *
(Table_BangLuong_TyLeTangCa[Giờ min]&lt;=$AA41) *
(Table_BangLuong_TyLeTangCa[Giờ max]&gt;$AA41)
)))),
IF(AR$4 &gt; AR$5,
IF(
AND(
$AA41-$Z$4&lt;MAX(AR$4,VLOOKUP(AR$6, Table_ChiPhiNV_Ca[], COUNTA(Table_ChiPhiNV_Ca[[#Headers],[Ca]:[Bắt đầu]]),0)),
$AA41&gt;MIN(AR$5,VLOOKUP(AR$6, Table_ChiPhiNV_Ca[], COUNTA(Table_ChiPhiNV_Ca[[#Headers],[Ca]:[Kết thúc]]),0))),0,
SUM(_xlfn._xlws.FILTER(Table_BangLuong_TyLeTangCa[Tỷ lệ],
(Table_BangLuong_TyLeTangCa[Ngày] = "Thường") *
(Table_BangLuong_TyLeTangCa[Giờ min]&lt;=$AA41) *
(Table_BangLuong_TyLeTangCa[Giờ max]&gt;$AA41)
))),
IF(
AND(
$AA41-$Z$4&gt;=MAX(AR$4,VLOOKUP(AR$6, Table_ChiPhiNV_Ca[], COUNTA(Table_ChiPhiNV_Ca[[#Headers],[Ca]:[Bắt đầu]]),0)),
$AA41&lt;MIN(AR$5,VLOOKUP(AR$6, Table_ChiPhiNV_Ca[], COUNTA(Table_ChiPhiNV_Ca[[#Headers],[Ca]:[Kết thúc]]),0))),
SUM(_xlfn._xlws.FILTER(Table_BangLuong_TyLeTangCa[Tỷ lệ],
(Table_BangLuong_TyLeTangCa[Ngày] = "Thường") *
(Table_BangLuong_TyLeTangCa[Giờ min]&lt;=$AA41) *
(Table_BangLuong_TyLeTangCa[Giờ max]&gt;$AA41)
)),0)
)),
IF(AR$4 &lt; AR$5,
IF($AA41-$Z$4&lt;AR$4,0,
IF($AA41&gt;AR$5,0,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AR$5,$AA41 &lt; AR$4),0,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S41" s="18" cm="1">
        <f t="array" ref="AS41" xml:space="preserve">
IFERROR(
IF(AS$1="",0,
IF(AND(
$AA41&gt;=VLOOKUP(AS$6, Table_ChiPhiNV_Ca[], COUNTA(Table_ChiPhiNV_Ca[[#Headers],[Ca]:[Bắt đầu nghỉ]]),0),
$AA41&lt;VLOOKUP(AS$6, Table_ChiPhiNV_Ca[], COUNTA(Table_ChiPhiNV_Ca[[#Headers],[Ca]:[Kết thúc nghỉ]]),0)
),0,
IF(NOT(ISBLANK(AS$3)),
IF(ISBLANK(AS$7),0,
IF(AS$4 &lt; AS$5,
IF($AA41-$Z$4&lt;AS$4,0,
IF($AA41&gt;AS$5,0,
SUM(_xlfn._xlws.FILTER(Table_BangLuong_TyLeTangCa[Tỷ lệ],
(Table_BangLuong_TyLeTangCa[Ngày] = AS$3) *
(Table_BangLuong_TyLeTangCa[Giờ min]&lt;=$AA41) *
(Table_BangLuong_TyLeTangCa[Giờ max]&gt;$AA41)
)))),
IF(AND($AA41-$Z$4 &gt;= AS$5,$AA41 &lt; AS$4),0,
SUM(_xlfn._xlws.FILTER(Table_BangLuong_TyLeTangCa[Tỷ lệ],
(Table_BangLuong_TyLeTangCa[Ngày] = AS$3) *
(Table_BangLuong_TyLeTangCa[Giờ min]&lt;=$AA41) *
(Table_BangLuong_TyLeTangCa[Giờ max]&gt;$AA41)
))))
),
IF(ISBLANK(AS$7),
IF(VLOOKUP(AS$6, Table_ChiPhiNV_Ca[], COUNTA(Table_ChiPhiNV_Ca[[#Headers],[Ca]:[Kết thúc]]),0)&gt; VLOOKUP(AS$6, Table_ChiPhiNV_Ca[], COUNTA(Table_ChiPhiNV_Ca[[#Headers],[Ca]:[Bắt đầu]]),0),
IF($AA41-$Z$4&lt;MAX(AS$4,VLOOKUP(AS$6, Table_ChiPhiNV_Ca[], COUNTA(Table_ChiPhiNV_Ca[[#Headers],[Ca]:[Bắt đầu]]),0)),0,
IF($AA41&gt;MIN(AS$5,VLOOKUP(AS$6, Table_ChiPhiNV_Ca[], COUNTA(Table_ChiPhiNV_Ca[[#Headers],[Ca]:[Kết thúc]]),0)),0,
SUM(_xlfn._xlws.FILTER(Table_BangLuong_TyLeTangCa[Tỷ lệ],
(Table_BangLuong_TyLeTangCa[Ngày] = "Thường") *
(Table_BangLuong_TyLeTangCa[Giờ min]&lt;=$AA41) *
(Table_BangLuong_TyLeTangCa[Giờ max]&gt;$AA41)
)))),
IF(AS$4 &gt; AS$5,
IF(
AND(
$AA41-$Z$4&lt;MAX(AS$4,VLOOKUP(AS$6, Table_ChiPhiNV_Ca[], COUNTA(Table_ChiPhiNV_Ca[[#Headers],[Ca]:[Bắt đầu]]),0)),
$AA41&gt;MIN(AS$5,VLOOKUP(AS$6, Table_ChiPhiNV_Ca[], COUNTA(Table_ChiPhiNV_Ca[[#Headers],[Ca]:[Kết thúc]]),0))),0,
SUM(_xlfn._xlws.FILTER(Table_BangLuong_TyLeTangCa[Tỷ lệ],
(Table_BangLuong_TyLeTangCa[Ngày] = "Thường") *
(Table_BangLuong_TyLeTangCa[Giờ min]&lt;=$AA41) *
(Table_BangLuong_TyLeTangCa[Giờ max]&gt;$AA41)
))),
IF(
AND(
$AA41-$Z$4&gt;=MAX(AS$4,VLOOKUP(AS$6, Table_ChiPhiNV_Ca[], COUNTA(Table_ChiPhiNV_Ca[[#Headers],[Ca]:[Bắt đầu]]),0)),
$AA41&lt;MIN(AS$5,VLOOKUP(AS$6, Table_ChiPhiNV_Ca[], COUNTA(Table_ChiPhiNV_Ca[[#Headers],[Ca]:[Kết thúc]]),0))),
SUM(_xlfn._xlws.FILTER(Table_BangLuong_TyLeTangCa[Tỷ lệ],
(Table_BangLuong_TyLeTangCa[Ngày] = "Thường") *
(Table_BangLuong_TyLeTangCa[Giờ min]&lt;=$AA41) *
(Table_BangLuong_TyLeTangCa[Giờ max]&gt;$AA41)
)),0)
)),
IF(AS$4 &lt; AS$5,
IF($AA41-$Z$4&lt;AS$4,0,
IF($AA41&gt;AS$5,0,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AS$5,$AA41 &lt; AS$4),0,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T41" s="18" cm="1">
        <f t="array" ref="AT41" xml:space="preserve">
IFERROR(
IF(AT$1="",0,
IF(AND(
$AA41&gt;=VLOOKUP(AT$6, Table_ChiPhiNV_Ca[], COUNTA(Table_ChiPhiNV_Ca[[#Headers],[Ca]:[Bắt đầu nghỉ]]),0),
$AA41&lt;VLOOKUP(AT$6, Table_ChiPhiNV_Ca[], COUNTA(Table_ChiPhiNV_Ca[[#Headers],[Ca]:[Kết thúc nghỉ]]),0)
),0,
IF(NOT(ISBLANK(AT$3)),
IF(ISBLANK(AT$7),0,
IF(AT$4 &lt; AT$5,
IF($AA41-$Z$4&lt;AT$4,0,
IF($AA41&gt;AT$5,0,
SUM(_xlfn._xlws.FILTER(Table_BangLuong_TyLeTangCa[Tỷ lệ],
(Table_BangLuong_TyLeTangCa[Ngày] = AT$3) *
(Table_BangLuong_TyLeTangCa[Giờ min]&lt;=$AA41) *
(Table_BangLuong_TyLeTangCa[Giờ max]&gt;$AA41)
)))),
IF(AND($AA41-$Z$4 &gt;= AT$5,$AA41 &lt; AT$4),0,
SUM(_xlfn._xlws.FILTER(Table_BangLuong_TyLeTangCa[Tỷ lệ],
(Table_BangLuong_TyLeTangCa[Ngày] = AT$3) *
(Table_BangLuong_TyLeTangCa[Giờ min]&lt;=$AA41) *
(Table_BangLuong_TyLeTangCa[Giờ max]&gt;$AA41)
))))
),
IF(ISBLANK(AT$7),
IF(VLOOKUP(AT$6, Table_ChiPhiNV_Ca[], COUNTA(Table_ChiPhiNV_Ca[[#Headers],[Ca]:[Kết thúc]]),0)&gt; VLOOKUP(AT$6, Table_ChiPhiNV_Ca[], COUNTA(Table_ChiPhiNV_Ca[[#Headers],[Ca]:[Bắt đầu]]),0),
IF($AA41-$Z$4&lt;MAX(AT$4,VLOOKUP(AT$6, Table_ChiPhiNV_Ca[], COUNTA(Table_ChiPhiNV_Ca[[#Headers],[Ca]:[Bắt đầu]]),0)),0,
IF($AA41&gt;MIN(AT$5,VLOOKUP(AT$6, Table_ChiPhiNV_Ca[], COUNTA(Table_ChiPhiNV_Ca[[#Headers],[Ca]:[Kết thúc]]),0)),0,
SUM(_xlfn._xlws.FILTER(Table_BangLuong_TyLeTangCa[Tỷ lệ],
(Table_BangLuong_TyLeTangCa[Ngày] = "Thường") *
(Table_BangLuong_TyLeTangCa[Giờ min]&lt;=$AA41) *
(Table_BangLuong_TyLeTangCa[Giờ max]&gt;$AA41)
)))),
IF(AT$4 &gt; AT$5,
IF(
AND(
$AA41-$Z$4&lt;MAX(AT$4,VLOOKUP(AT$6, Table_ChiPhiNV_Ca[], COUNTA(Table_ChiPhiNV_Ca[[#Headers],[Ca]:[Bắt đầu]]),0)),
$AA41&gt;MIN(AT$5,VLOOKUP(AT$6, Table_ChiPhiNV_Ca[], COUNTA(Table_ChiPhiNV_Ca[[#Headers],[Ca]:[Kết thúc]]),0))),0,
SUM(_xlfn._xlws.FILTER(Table_BangLuong_TyLeTangCa[Tỷ lệ],
(Table_BangLuong_TyLeTangCa[Ngày] = "Thường") *
(Table_BangLuong_TyLeTangCa[Giờ min]&lt;=$AA41) *
(Table_BangLuong_TyLeTangCa[Giờ max]&gt;$AA41)
))),
IF(
AND(
$AA41-$Z$4&gt;=MAX(AT$4,VLOOKUP(AT$6, Table_ChiPhiNV_Ca[], COUNTA(Table_ChiPhiNV_Ca[[#Headers],[Ca]:[Bắt đầu]]),0)),
$AA41&lt;MIN(AT$5,VLOOKUP(AT$6, Table_ChiPhiNV_Ca[], COUNTA(Table_ChiPhiNV_Ca[[#Headers],[Ca]:[Kết thúc]]),0))),
SUM(_xlfn._xlws.FILTER(Table_BangLuong_TyLeTangCa[Tỷ lệ],
(Table_BangLuong_TyLeTangCa[Ngày] = "Thường") *
(Table_BangLuong_TyLeTangCa[Giờ min]&lt;=$AA41) *
(Table_BangLuong_TyLeTangCa[Giờ max]&gt;$AA41)
)),0)
)),
IF(AT$4 &lt; AT$5,
IF($AA41-$Z$4&lt;AT$4,0,
IF($AA41&gt;AT$5,0,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AT$5,$AA41 &lt; AT$4),0,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U41" s="18" cm="1">
        <f t="array" ref="AU41" xml:space="preserve">
IFERROR(
IF(AU$1="",0,
IF(AND(
$AA41&gt;=VLOOKUP(AU$6, Table_ChiPhiNV_Ca[], COUNTA(Table_ChiPhiNV_Ca[[#Headers],[Ca]:[Bắt đầu nghỉ]]),0),
$AA41&lt;VLOOKUP(AU$6, Table_ChiPhiNV_Ca[], COUNTA(Table_ChiPhiNV_Ca[[#Headers],[Ca]:[Kết thúc nghỉ]]),0)
),0,
IF(NOT(ISBLANK(AU$3)),
IF(ISBLANK(AU$7),0,
IF(AU$4 &lt; AU$5,
IF($AA41-$Z$4&lt;AU$4,0,
IF($AA41&gt;AU$5,0,
SUM(_xlfn._xlws.FILTER(Table_BangLuong_TyLeTangCa[Tỷ lệ],
(Table_BangLuong_TyLeTangCa[Ngày] = AU$3) *
(Table_BangLuong_TyLeTangCa[Giờ min]&lt;=$AA41) *
(Table_BangLuong_TyLeTangCa[Giờ max]&gt;$AA41)
)))),
IF(AND($AA41-$Z$4 &gt;= AU$5,$AA41 &lt; AU$4),0,
SUM(_xlfn._xlws.FILTER(Table_BangLuong_TyLeTangCa[Tỷ lệ],
(Table_BangLuong_TyLeTangCa[Ngày] = AU$3) *
(Table_BangLuong_TyLeTangCa[Giờ min]&lt;=$AA41) *
(Table_BangLuong_TyLeTangCa[Giờ max]&gt;$AA41)
))))
),
IF(ISBLANK(AU$7),
IF(VLOOKUP(AU$6, Table_ChiPhiNV_Ca[], COUNTA(Table_ChiPhiNV_Ca[[#Headers],[Ca]:[Kết thúc]]),0)&gt; VLOOKUP(AU$6, Table_ChiPhiNV_Ca[], COUNTA(Table_ChiPhiNV_Ca[[#Headers],[Ca]:[Bắt đầu]]),0),
IF($AA41-$Z$4&lt;MAX(AU$4,VLOOKUP(AU$6, Table_ChiPhiNV_Ca[], COUNTA(Table_ChiPhiNV_Ca[[#Headers],[Ca]:[Bắt đầu]]),0)),0,
IF($AA41&gt;MIN(AU$5,VLOOKUP(AU$6, Table_ChiPhiNV_Ca[], COUNTA(Table_ChiPhiNV_Ca[[#Headers],[Ca]:[Kết thúc]]),0)),0,
SUM(_xlfn._xlws.FILTER(Table_BangLuong_TyLeTangCa[Tỷ lệ],
(Table_BangLuong_TyLeTangCa[Ngày] = "Thường") *
(Table_BangLuong_TyLeTangCa[Giờ min]&lt;=$AA41) *
(Table_BangLuong_TyLeTangCa[Giờ max]&gt;$AA41)
)))),
IF(AU$4 &gt; AU$5,
IF(
AND(
$AA41-$Z$4&lt;MAX(AU$4,VLOOKUP(AU$6, Table_ChiPhiNV_Ca[], COUNTA(Table_ChiPhiNV_Ca[[#Headers],[Ca]:[Bắt đầu]]),0)),
$AA41&gt;MIN(AU$5,VLOOKUP(AU$6, Table_ChiPhiNV_Ca[], COUNTA(Table_ChiPhiNV_Ca[[#Headers],[Ca]:[Kết thúc]]),0))),0,
SUM(_xlfn._xlws.FILTER(Table_BangLuong_TyLeTangCa[Tỷ lệ],
(Table_BangLuong_TyLeTangCa[Ngày] = "Thường") *
(Table_BangLuong_TyLeTangCa[Giờ min]&lt;=$AA41) *
(Table_BangLuong_TyLeTangCa[Giờ max]&gt;$AA41)
))),
IF(
AND(
$AA41-$Z$4&gt;=MAX(AU$4,VLOOKUP(AU$6, Table_ChiPhiNV_Ca[], COUNTA(Table_ChiPhiNV_Ca[[#Headers],[Ca]:[Bắt đầu]]),0)),
$AA41&lt;MIN(AU$5,VLOOKUP(AU$6, Table_ChiPhiNV_Ca[], COUNTA(Table_ChiPhiNV_Ca[[#Headers],[Ca]:[Kết thúc]]),0))),
SUM(_xlfn._xlws.FILTER(Table_BangLuong_TyLeTangCa[Tỷ lệ],
(Table_BangLuong_TyLeTangCa[Ngày] = "Thường") *
(Table_BangLuong_TyLeTangCa[Giờ min]&lt;=$AA41) *
(Table_BangLuong_TyLeTangCa[Giờ max]&gt;$AA41)
)),0)
)),
IF(AU$4 &lt; AU$5,
IF($AA41-$Z$4&lt;AU$4,0,
IF($AA41&gt;AU$5,0,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AU$5,$AA41 &lt; AU$4),0,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V41" s="18" cm="1">
        <f t="array" ref="AV41" xml:space="preserve">
IFERROR(
IF(AV$1="",0,
IF(AND(
$AA41&gt;=VLOOKUP(AV$6, Table_ChiPhiNV_Ca[], COUNTA(Table_ChiPhiNV_Ca[[#Headers],[Ca]:[Bắt đầu nghỉ]]),0),
$AA41&lt;VLOOKUP(AV$6, Table_ChiPhiNV_Ca[], COUNTA(Table_ChiPhiNV_Ca[[#Headers],[Ca]:[Kết thúc nghỉ]]),0)
),0,
IF(NOT(ISBLANK(AV$3)),
IF(ISBLANK(AV$7),0,
IF(AV$4 &lt; AV$5,
IF($AA41-$Z$4&lt;AV$4,0,
IF($AA41&gt;AV$5,0,
SUM(_xlfn._xlws.FILTER(Table_BangLuong_TyLeTangCa[Tỷ lệ],
(Table_BangLuong_TyLeTangCa[Ngày] = AV$3) *
(Table_BangLuong_TyLeTangCa[Giờ min]&lt;=$AA41) *
(Table_BangLuong_TyLeTangCa[Giờ max]&gt;$AA41)
)))),
IF(AND($AA41-$Z$4 &gt;= AV$5,$AA41 &lt; AV$4),0,
SUM(_xlfn._xlws.FILTER(Table_BangLuong_TyLeTangCa[Tỷ lệ],
(Table_BangLuong_TyLeTangCa[Ngày] = AV$3) *
(Table_BangLuong_TyLeTangCa[Giờ min]&lt;=$AA41) *
(Table_BangLuong_TyLeTangCa[Giờ max]&gt;$AA41)
))))
),
IF(ISBLANK(AV$7),
IF(VLOOKUP(AV$6, Table_ChiPhiNV_Ca[], COUNTA(Table_ChiPhiNV_Ca[[#Headers],[Ca]:[Kết thúc]]),0)&gt; VLOOKUP(AV$6, Table_ChiPhiNV_Ca[], COUNTA(Table_ChiPhiNV_Ca[[#Headers],[Ca]:[Bắt đầu]]),0),
IF($AA41-$Z$4&lt;MAX(AV$4,VLOOKUP(AV$6, Table_ChiPhiNV_Ca[], COUNTA(Table_ChiPhiNV_Ca[[#Headers],[Ca]:[Bắt đầu]]),0)),0,
IF($AA41&gt;MIN(AV$5,VLOOKUP(AV$6, Table_ChiPhiNV_Ca[], COUNTA(Table_ChiPhiNV_Ca[[#Headers],[Ca]:[Kết thúc]]),0)),0,
SUM(_xlfn._xlws.FILTER(Table_BangLuong_TyLeTangCa[Tỷ lệ],
(Table_BangLuong_TyLeTangCa[Ngày] = "Thường") *
(Table_BangLuong_TyLeTangCa[Giờ min]&lt;=$AA41) *
(Table_BangLuong_TyLeTangCa[Giờ max]&gt;$AA41)
)))),
IF(AV$4 &gt; AV$5,
IF(
AND(
$AA41-$Z$4&lt;MAX(AV$4,VLOOKUP(AV$6, Table_ChiPhiNV_Ca[], COUNTA(Table_ChiPhiNV_Ca[[#Headers],[Ca]:[Bắt đầu]]),0)),
$AA41&gt;MIN(AV$5,VLOOKUP(AV$6, Table_ChiPhiNV_Ca[], COUNTA(Table_ChiPhiNV_Ca[[#Headers],[Ca]:[Kết thúc]]),0))),0,
SUM(_xlfn._xlws.FILTER(Table_BangLuong_TyLeTangCa[Tỷ lệ],
(Table_BangLuong_TyLeTangCa[Ngày] = "Thường") *
(Table_BangLuong_TyLeTangCa[Giờ min]&lt;=$AA41) *
(Table_BangLuong_TyLeTangCa[Giờ max]&gt;$AA41)
))),
IF(
AND(
$AA41-$Z$4&gt;=MAX(AV$4,VLOOKUP(AV$6, Table_ChiPhiNV_Ca[], COUNTA(Table_ChiPhiNV_Ca[[#Headers],[Ca]:[Bắt đầu]]),0)),
$AA41&lt;MIN(AV$5,VLOOKUP(AV$6, Table_ChiPhiNV_Ca[], COUNTA(Table_ChiPhiNV_Ca[[#Headers],[Ca]:[Kết thúc]]),0))),
SUM(_xlfn._xlws.FILTER(Table_BangLuong_TyLeTangCa[Tỷ lệ],
(Table_BangLuong_TyLeTangCa[Ngày] = "Thường") *
(Table_BangLuong_TyLeTangCa[Giờ min]&lt;=$AA41) *
(Table_BangLuong_TyLeTangCa[Giờ max]&gt;$AA41)
)),0)
)),
IF(AV$4 &lt; AV$5,
IF($AA41-$Z$4&lt;AV$4,0,
IF($AA41&gt;AV$5,0,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AV$5,$AA41 &lt; AV$4),0,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W41" s="18" cm="1">
        <f t="array" ref="AW41" xml:space="preserve">
IFERROR(
IF(AW$1="",0,
IF(AND(
$AA41&gt;=VLOOKUP(AW$6, Table_ChiPhiNV_Ca[], COUNTA(Table_ChiPhiNV_Ca[[#Headers],[Ca]:[Bắt đầu nghỉ]]),0),
$AA41&lt;VLOOKUP(AW$6, Table_ChiPhiNV_Ca[], COUNTA(Table_ChiPhiNV_Ca[[#Headers],[Ca]:[Kết thúc nghỉ]]),0)
),0,
IF(NOT(ISBLANK(AW$3)),
IF(ISBLANK(AW$7),0,
IF(AW$4 &lt; AW$5,
IF($AA41-$Z$4&lt;AW$4,0,
IF($AA41&gt;AW$5,0,
SUM(_xlfn._xlws.FILTER(Table_BangLuong_TyLeTangCa[Tỷ lệ],
(Table_BangLuong_TyLeTangCa[Ngày] = AW$3) *
(Table_BangLuong_TyLeTangCa[Giờ min]&lt;=$AA41) *
(Table_BangLuong_TyLeTangCa[Giờ max]&gt;$AA41)
)))),
IF(AND($AA41-$Z$4 &gt;= AW$5,$AA41 &lt; AW$4),0,
SUM(_xlfn._xlws.FILTER(Table_BangLuong_TyLeTangCa[Tỷ lệ],
(Table_BangLuong_TyLeTangCa[Ngày] = AW$3) *
(Table_BangLuong_TyLeTangCa[Giờ min]&lt;=$AA41) *
(Table_BangLuong_TyLeTangCa[Giờ max]&gt;$AA41)
))))
),
IF(ISBLANK(AW$7),
IF(VLOOKUP(AW$6, Table_ChiPhiNV_Ca[], COUNTA(Table_ChiPhiNV_Ca[[#Headers],[Ca]:[Kết thúc]]),0)&gt; VLOOKUP(AW$6, Table_ChiPhiNV_Ca[], COUNTA(Table_ChiPhiNV_Ca[[#Headers],[Ca]:[Bắt đầu]]),0),
IF($AA41-$Z$4&lt;MAX(AW$4,VLOOKUP(AW$6, Table_ChiPhiNV_Ca[], COUNTA(Table_ChiPhiNV_Ca[[#Headers],[Ca]:[Bắt đầu]]),0)),0,
IF($AA41&gt;MIN(AW$5,VLOOKUP(AW$6, Table_ChiPhiNV_Ca[], COUNTA(Table_ChiPhiNV_Ca[[#Headers],[Ca]:[Kết thúc]]),0)),0,
SUM(_xlfn._xlws.FILTER(Table_BangLuong_TyLeTangCa[Tỷ lệ],
(Table_BangLuong_TyLeTangCa[Ngày] = "Thường") *
(Table_BangLuong_TyLeTangCa[Giờ min]&lt;=$AA41) *
(Table_BangLuong_TyLeTangCa[Giờ max]&gt;$AA41)
)))),
IF(AW$4 &gt; AW$5,
IF(
AND(
$AA41-$Z$4&lt;MAX(AW$4,VLOOKUP(AW$6, Table_ChiPhiNV_Ca[], COUNTA(Table_ChiPhiNV_Ca[[#Headers],[Ca]:[Bắt đầu]]),0)),
$AA41&gt;MIN(AW$5,VLOOKUP(AW$6, Table_ChiPhiNV_Ca[], COUNTA(Table_ChiPhiNV_Ca[[#Headers],[Ca]:[Kết thúc]]),0))),0,
SUM(_xlfn._xlws.FILTER(Table_BangLuong_TyLeTangCa[Tỷ lệ],
(Table_BangLuong_TyLeTangCa[Ngày] = "Thường") *
(Table_BangLuong_TyLeTangCa[Giờ min]&lt;=$AA41) *
(Table_BangLuong_TyLeTangCa[Giờ max]&gt;$AA41)
))),
IF(
AND(
$AA41-$Z$4&gt;=MAX(AW$4,VLOOKUP(AW$6, Table_ChiPhiNV_Ca[], COUNTA(Table_ChiPhiNV_Ca[[#Headers],[Ca]:[Bắt đầu]]),0)),
$AA41&lt;MIN(AW$5,VLOOKUP(AW$6, Table_ChiPhiNV_Ca[], COUNTA(Table_ChiPhiNV_Ca[[#Headers],[Ca]:[Kết thúc]]),0))),
SUM(_xlfn._xlws.FILTER(Table_BangLuong_TyLeTangCa[Tỷ lệ],
(Table_BangLuong_TyLeTangCa[Ngày] = "Thường") *
(Table_BangLuong_TyLeTangCa[Giờ min]&lt;=$AA41) *
(Table_BangLuong_TyLeTangCa[Giờ max]&gt;$AA41)
)),0)
)),
IF(AW$4 &lt; AW$5,
IF($AA41-$Z$4&lt;AW$4,0,
IF($AA41&gt;AW$5,0,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AW$5,$AA41 &lt; AW$4),0,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X41" s="18" cm="1">
        <f t="array" ref="AX41" xml:space="preserve">
IFERROR(
IF(AX$1="",0,
IF(AND(
$AA41&gt;=VLOOKUP(AX$6, Table_ChiPhiNV_Ca[], COUNTA(Table_ChiPhiNV_Ca[[#Headers],[Ca]:[Bắt đầu nghỉ]]),0),
$AA41&lt;VLOOKUP(AX$6, Table_ChiPhiNV_Ca[], COUNTA(Table_ChiPhiNV_Ca[[#Headers],[Ca]:[Kết thúc nghỉ]]),0)
),0,
IF(NOT(ISBLANK(AX$3)),
IF(ISBLANK(AX$7),0,
IF(AX$4 &lt; AX$5,
IF($AA41-$Z$4&lt;AX$4,0,
IF($AA41&gt;AX$5,0,
SUM(_xlfn._xlws.FILTER(Table_BangLuong_TyLeTangCa[Tỷ lệ],
(Table_BangLuong_TyLeTangCa[Ngày] = AX$3) *
(Table_BangLuong_TyLeTangCa[Giờ min]&lt;=$AA41) *
(Table_BangLuong_TyLeTangCa[Giờ max]&gt;$AA41)
)))),
IF(AND($AA41-$Z$4 &gt;= AX$5,$AA41 &lt; AX$4),0,
SUM(_xlfn._xlws.FILTER(Table_BangLuong_TyLeTangCa[Tỷ lệ],
(Table_BangLuong_TyLeTangCa[Ngày] = AX$3) *
(Table_BangLuong_TyLeTangCa[Giờ min]&lt;=$AA41) *
(Table_BangLuong_TyLeTangCa[Giờ max]&gt;$AA41)
))))
),
IF(ISBLANK(AX$7),
IF(VLOOKUP(AX$6, Table_ChiPhiNV_Ca[], COUNTA(Table_ChiPhiNV_Ca[[#Headers],[Ca]:[Kết thúc]]),0)&gt; VLOOKUP(AX$6, Table_ChiPhiNV_Ca[], COUNTA(Table_ChiPhiNV_Ca[[#Headers],[Ca]:[Bắt đầu]]),0),
IF($AA41-$Z$4&lt;MAX(AX$4,VLOOKUP(AX$6, Table_ChiPhiNV_Ca[], COUNTA(Table_ChiPhiNV_Ca[[#Headers],[Ca]:[Bắt đầu]]),0)),0,
IF($AA41&gt;MIN(AX$5,VLOOKUP(AX$6, Table_ChiPhiNV_Ca[], COUNTA(Table_ChiPhiNV_Ca[[#Headers],[Ca]:[Kết thúc]]),0)),0,
SUM(_xlfn._xlws.FILTER(Table_BangLuong_TyLeTangCa[Tỷ lệ],
(Table_BangLuong_TyLeTangCa[Ngày] = "Thường") *
(Table_BangLuong_TyLeTangCa[Giờ min]&lt;=$AA41) *
(Table_BangLuong_TyLeTangCa[Giờ max]&gt;$AA41)
)))),
IF(AX$4 &gt; AX$5,
IF(
AND(
$AA41-$Z$4&lt;MAX(AX$4,VLOOKUP(AX$6, Table_ChiPhiNV_Ca[], COUNTA(Table_ChiPhiNV_Ca[[#Headers],[Ca]:[Bắt đầu]]),0)),
$AA41&gt;MIN(AX$5,VLOOKUP(AX$6, Table_ChiPhiNV_Ca[], COUNTA(Table_ChiPhiNV_Ca[[#Headers],[Ca]:[Kết thúc]]),0))),0,
SUM(_xlfn._xlws.FILTER(Table_BangLuong_TyLeTangCa[Tỷ lệ],
(Table_BangLuong_TyLeTangCa[Ngày] = "Thường") *
(Table_BangLuong_TyLeTangCa[Giờ min]&lt;=$AA41) *
(Table_BangLuong_TyLeTangCa[Giờ max]&gt;$AA41)
))),
IF(
AND(
$AA41-$Z$4&gt;=MAX(AX$4,VLOOKUP(AX$6, Table_ChiPhiNV_Ca[], COUNTA(Table_ChiPhiNV_Ca[[#Headers],[Ca]:[Bắt đầu]]),0)),
$AA41&lt;MIN(AX$5,VLOOKUP(AX$6, Table_ChiPhiNV_Ca[], COUNTA(Table_ChiPhiNV_Ca[[#Headers],[Ca]:[Kết thúc]]),0))),
SUM(_xlfn._xlws.FILTER(Table_BangLuong_TyLeTangCa[Tỷ lệ],
(Table_BangLuong_TyLeTangCa[Ngày] = "Thường") *
(Table_BangLuong_TyLeTangCa[Giờ min]&lt;=$AA41) *
(Table_BangLuong_TyLeTangCa[Giờ max]&gt;$AA41)
)),0)
)),
IF(AX$4 &lt; AX$5,
IF($AA41-$Z$4&lt;AX$4,0,
IF($AA41&gt;AX$5,0,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AX$5,$AA41 &lt; AX$4),0,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Y41" s="18" cm="1">
        <f t="array" ref="AY41" xml:space="preserve">
IFERROR(
IF(AY$1="",0,
IF(AND(
$AA41&gt;=VLOOKUP(AY$6, Table_ChiPhiNV_Ca[], COUNTA(Table_ChiPhiNV_Ca[[#Headers],[Ca]:[Bắt đầu nghỉ]]),0),
$AA41&lt;VLOOKUP(AY$6, Table_ChiPhiNV_Ca[], COUNTA(Table_ChiPhiNV_Ca[[#Headers],[Ca]:[Kết thúc nghỉ]]),0)
),0,
IF(NOT(ISBLANK(AY$3)),
IF(ISBLANK(AY$7),0,
IF(AY$4 &lt; AY$5,
IF($AA41-$Z$4&lt;AY$4,0,
IF($AA41&gt;AY$5,0,
SUM(_xlfn._xlws.FILTER(Table_BangLuong_TyLeTangCa[Tỷ lệ],
(Table_BangLuong_TyLeTangCa[Ngày] = AY$3) *
(Table_BangLuong_TyLeTangCa[Giờ min]&lt;=$AA41) *
(Table_BangLuong_TyLeTangCa[Giờ max]&gt;$AA41)
)))),
IF(AND($AA41-$Z$4 &gt;= AY$5,$AA41 &lt; AY$4),0,
SUM(_xlfn._xlws.FILTER(Table_BangLuong_TyLeTangCa[Tỷ lệ],
(Table_BangLuong_TyLeTangCa[Ngày] = AY$3) *
(Table_BangLuong_TyLeTangCa[Giờ min]&lt;=$AA41) *
(Table_BangLuong_TyLeTangCa[Giờ max]&gt;$AA41)
))))
),
IF(ISBLANK(AY$7),
IF(VLOOKUP(AY$6, Table_ChiPhiNV_Ca[], COUNTA(Table_ChiPhiNV_Ca[[#Headers],[Ca]:[Kết thúc]]),0)&gt; VLOOKUP(AY$6, Table_ChiPhiNV_Ca[], COUNTA(Table_ChiPhiNV_Ca[[#Headers],[Ca]:[Bắt đầu]]),0),
IF($AA41-$Z$4&lt;MAX(AY$4,VLOOKUP(AY$6, Table_ChiPhiNV_Ca[], COUNTA(Table_ChiPhiNV_Ca[[#Headers],[Ca]:[Bắt đầu]]),0)),0,
IF($AA41&gt;MIN(AY$5,VLOOKUP(AY$6, Table_ChiPhiNV_Ca[], COUNTA(Table_ChiPhiNV_Ca[[#Headers],[Ca]:[Kết thúc]]),0)),0,
SUM(_xlfn._xlws.FILTER(Table_BangLuong_TyLeTangCa[Tỷ lệ],
(Table_BangLuong_TyLeTangCa[Ngày] = "Thường") *
(Table_BangLuong_TyLeTangCa[Giờ min]&lt;=$AA41) *
(Table_BangLuong_TyLeTangCa[Giờ max]&gt;$AA41)
)))),
IF(AY$4 &gt; AY$5,
IF(
AND(
$AA41-$Z$4&lt;MAX(AY$4,VLOOKUP(AY$6, Table_ChiPhiNV_Ca[], COUNTA(Table_ChiPhiNV_Ca[[#Headers],[Ca]:[Bắt đầu]]),0)),
$AA41&gt;MIN(AY$5,VLOOKUP(AY$6, Table_ChiPhiNV_Ca[], COUNTA(Table_ChiPhiNV_Ca[[#Headers],[Ca]:[Kết thúc]]),0))),0,
SUM(_xlfn._xlws.FILTER(Table_BangLuong_TyLeTangCa[Tỷ lệ],
(Table_BangLuong_TyLeTangCa[Ngày] = "Thường") *
(Table_BangLuong_TyLeTangCa[Giờ min]&lt;=$AA41) *
(Table_BangLuong_TyLeTangCa[Giờ max]&gt;$AA41)
))),
IF(
AND(
$AA41-$Z$4&gt;=MAX(AY$4,VLOOKUP(AY$6, Table_ChiPhiNV_Ca[], COUNTA(Table_ChiPhiNV_Ca[[#Headers],[Ca]:[Bắt đầu]]),0)),
$AA41&lt;MIN(AY$5,VLOOKUP(AY$6, Table_ChiPhiNV_Ca[], COUNTA(Table_ChiPhiNV_Ca[[#Headers],[Ca]:[Kết thúc]]),0))),
SUM(_xlfn._xlws.FILTER(Table_BangLuong_TyLeTangCa[Tỷ lệ],
(Table_BangLuong_TyLeTangCa[Ngày] = "Thường") *
(Table_BangLuong_TyLeTangCa[Giờ min]&lt;=$AA41) *
(Table_BangLuong_TyLeTangCa[Giờ max]&gt;$AA41)
)),0)
)),
IF(AY$4 &lt; AY$5,
IF($AA41-$Z$4&lt;AY$4,0,
IF($AA41&gt;AY$5,0,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AY$5,$AA41 &lt; AY$4),0,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Z41" s="18" cm="1">
        <f t="array" ref="AZ41" xml:space="preserve">
IFERROR(
IF(AZ$1="",0,
IF(AND(
$AA41&gt;=VLOOKUP(AZ$6, Table_ChiPhiNV_Ca[], COUNTA(Table_ChiPhiNV_Ca[[#Headers],[Ca]:[Bắt đầu nghỉ]]),0),
$AA41&lt;VLOOKUP(AZ$6, Table_ChiPhiNV_Ca[], COUNTA(Table_ChiPhiNV_Ca[[#Headers],[Ca]:[Kết thúc nghỉ]]),0)
),0,
IF(NOT(ISBLANK(AZ$3)),
IF(ISBLANK(AZ$7),0,
IF(AZ$4 &lt; AZ$5,
IF($AA41-$Z$4&lt;AZ$4,0,
IF($AA41&gt;AZ$5,0,
SUM(_xlfn._xlws.FILTER(Table_BangLuong_TyLeTangCa[Tỷ lệ],
(Table_BangLuong_TyLeTangCa[Ngày] = AZ$3) *
(Table_BangLuong_TyLeTangCa[Giờ min]&lt;=$AA41) *
(Table_BangLuong_TyLeTangCa[Giờ max]&gt;$AA41)
)))),
IF(AND($AA41-$Z$4 &gt;= AZ$5,$AA41 &lt; AZ$4),0,
SUM(_xlfn._xlws.FILTER(Table_BangLuong_TyLeTangCa[Tỷ lệ],
(Table_BangLuong_TyLeTangCa[Ngày] = AZ$3) *
(Table_BangLuong_TyLeTangCa[Giờ min]&lt;=$AA41) *
(Table_BangLuong_TyLeTangCa[Giờ max]&gt;$AA41)
))))
),
IF(ISBLANK(AZ$7),
IF(VLOOKUP(AZ$6, Table_ChiPhiNV_Ca[], COUNTA(Table_ChiPhiNV_Ca[[#Headers],[Ca]:[Kết thúc]]),0)&gt; VLOOKUP(AZ$6, Table_ChiPhiNV_Ca[], COUNTA(Table_ChiPhiNV_Ca[[#Headers],[Ca]:[Bắt đầu]]),0),
IF($AA41-$Z$4&lt;MAX(AZ$4,VLOOKUP(AZ$6, Table_ChiPhiNV_Ca[], COUNTA(Table_ChiPhiNV_Ca[[#Headers],[Ca]:[Bắt đầu]]),0)),0,
IF($AA41&gt;MIN(AZ$5,VLOOKUP(AZ$6, Table_ChiPhiNV_Ca[], COUNTA(Table_ChiPhiNV_Ca[[#Headers],[Ca]:[Kết thúc]]),0)),0,
SUM(_xlfn._xlws.FILTER(Table_BangLuong_TyLeTangCa[Tỷ lệ],
(Table_BangLuong_TyLeTangCa[Ngày] = "Thường") *
(Table_BangLuong_TyLeTangCa[Giờ min]&lt;=$AA41) *
(Table_BangLuong_TyLeTangCa[Giờ max]&gt;$AA41)
)))),
IF(AZ$4 &gt; AZ$5,
IF(
AND(
$AA41-$Z$4&lt;MAX(AZ$4,VLOOKUP(AZ$6, Table_ChiPhiNV_Ca[], COUNTA(Table_ChiPhiNV_Ca[[#Headers],[Ca]:[Bắt đầu]]),0)),
$AA41&gt;MIN(AZ$5,VLOOKUP(AZ$6, Table_ChiPhiNV_Ca[], COUNTA(Table_ChiPhiNV_Ca[[#Headers],[Ca]:[Kết thúc]]),0))),0,
SUM(_xlfn._xlws.FILTER(Table_BangLuong_TyLeTangCa[Tỷ lệ],
(Table_BangLuong_TyLeTangCa[Ngày] = "Thường") *
(Table_BangLuong_TyLeTangCa[Giờ min]&lt;=$AA41) *
(Table_BangLuong_TyLeTangCa[Giờ max]&gt;$AA41)
))),
IF(
AND(
$AA41-$Z$4&gt;=MAX(AZ$4,VLOOKUP(AZ$6, Table_ChiPhiNV_Ca[], COUNTA(Table_ChiPhiNV_Ca[[#Headers],[Ca]:[Bắt đầu]]),0)),
$AA41&lt;MIN(AZ$5,VLOOKUP(AZ$6, Table_ChiPhiNV_Ca[], COUNTA(Table_ChiPhiNV_Ca[[#Headers],[Ca]:[Kết thúc]]),0))),
SUM(_xlfn._xlws.FILTER(Table_BangLuong_TyLeTangCa[Tỷ lệ],
(Table_BangLuong_TyLeTangCa[Ngày] = "Thường") *
(Table_BangLuong_TyLeTangCa[Giờ min]&lt;=$AA41) *
(Table_BangLuong_TyLeTangCa[Giờ max]&gt;$AA41)
)),0)
)),
IF(AZ$4 &lt; AZ$5,
IF($AA41-$Z$4&lt;AZ$4,0,
IF($AA41&gt;AZ$5,0,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AZ$5,$AA41 &lt; AZ$4),0,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A41" s="18" cm="1">
        <f t="array" ref="BA41" xml:space="preserve">
IFERROR(
IF(BA$1="",0,
IF(AND(
$AA41&gt;=VLOOKUP(BA$6, Table_ChiPhiNV_Ca[], COUNTA(Table_ChiPhiNV_Ca[[#Headers],[Ca]:[Bắt đầu nghỉ]]),0),
$AA41&lt;VLOOKUP(BA$6, Table_ChiPhiNV_Ca[], COUNTA(Table_ChiPhiNV_Ca[[#Headers],[Ca]:[Kết thúc nghỉ]]),0)
),0,
IF(NOT(ISBLANK(BA$3)),
IF(ISBLANK(BA$7),0,
IF(BA$4 &lt; BA$5,
IF($AA41-$Z$4&lt;BA$4,0,
IF($AA41&gt;BA$5,0,
SUM(_xlfn._xlws.FILTER(Table_BangLuong_TyLeTangCa[Tỷ lệ],
(Table_BangLuong_TyLeTangCa[Ngày] = BA$3) *
(Table_BangLuong_TyLeTangCa[Giờ min]&lt;=$AA41) *
(Table_BangLuong_TyLeTangCa[Giờ max]&gt;$AA41)
)))),
IF(AND($AA41-$Z$4 &gt;= BA$5,$AA41 &lt; BA$4),0,
SUM(_xlfn._xlws.FILTER(Table_BangLuong_TyLeTangCa[Tỷ lệ],
(Table_BangLuong_TyLeTangCa[Ngày] = BA$3) *
(Table_BangLuong_TyLeTangCa[Giờ min]&lt;=$AA41) *
(Table_BangLuong_TyLeTangCa[Giờ max]&gt;$AA41)
))))
),
IF(ISBLANK(BA$7),
IF(VLOOKUP(BA$6, Table_ChiPhiNV_Ca[], COUNTA(Table_ChiPhiNV_Ca[[#Headers],[Ca]:[Kết thúc]]),0)&gt; VLOOKUP(BA$6, Table_ChiPhiNV_Ca[], COUNTA(Table_ChiPhiNV_Ca[[#Headers],[Ca]:[Bắt đầu]]),0),
IF($AA41-$Z$4&lt;MAX(BA$4,VLOOKUP(BA$6, Table_ChiPhiNV_Ca[], COUNTA(Table_ChiPhiNV_Ca[[#Headers],[Ca]:[Bắt đầu]]),0)),0,
IF($AA41&gt;MIN(BA$5,VLOOKUP(BA$6, Table_ChiPhiNV_Ca[], COUNTA(Table_ChiPhiNV_Ca[[#Headers],[Ca]:[Kết thúc]]),0)),0,
SUM(_xlfn._xlws.FILTER(Table_BangLuong_TyLeTangCa[Tỷ lệ],
(Table_BangLuong_TyLeTangCa[Ngày] = "Thường") *
(Table_BangLuong_TyLeTangCa[Giờ min]&lt;=$AA41) *
(Table_BangLuong_TyLeTangCa[Giờ max]&gt;$AA41)
)))),
IF(BA$4 &gt; BA$5,
IF(
AND(
$AA41-$Z$4&lt;MAX(BA$4,VLOOKUP(BA$6, Table_ChiPhiNV_Ca[], COUNTA(Table_ChiPhiNV_Ca[[#Headers],[Ca]:[Bắt đầu]]),0)),
$AA41&gt;MIN(BA$5,VLOOKUP(BA$6, Table_ChiPhiNV_Ca[], COUNTA(Table_ChiPhiNV_Ca[[#Headers],[Ca]:[Kết thúc]]),0))),0,
SUM(_xlfn._xlws.FILTER(Table_BangLuong_TyLeTangCa[Tỷ lệ],
(Table_BangLuong_TyLeTangCa[Ngày] = "Thường") *
(Table_BangLuong_TyLeTangCa[Giờ min]&lt;=$AA41) *
(Table_BangLuong_TyLeTangCa[Giờ max]&gt;$AA41)
))),
IF(
AND(
$AA41-$Z$4&gt;=MAX(BA$4,VLOOKUP(BA$6, Table_ChiPhiNV_Ca[], COUNTA(Table_ChiPhiNV_Ca[[#Headers],[Ca]:[Bắt đầu]]),0)),
$AA41&lt;MIN(BA$5,VLOOKUP(BA$6, Table_ChiPhiNV_Ca[], COUNTA(Table_ChiPhiNV_Ca[[#Headers],[Ca]:[Kết thúc]]),0))),
SUM(_xlfn._xlws.FILTER(Table_BangLuong_TyLeTangCa[Tỷ lệ],
(Table_BangLuong_TyLeTangCa[Ngày] = "Thường") *
(Table_BangLuong_TyLeTangCa[Giờ min]&lt;=$AA41) *
(Table_BangLuong_TyLeTangCa[Giờ max]&gt;$AA41)
)),0)
)),
IF(BA$4 &lt; BA$5,
IF($AA41-$Z$4&lt;BA$4,0,
IF($AA41&gt;BA$5,0,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BA$5,$AA41 &lt; BA$4),0,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B41" s="18" cm="1">
        <f t="array" ref="BB41" xml:space="preserve">
IFERROR(
IF(BB$1="",0,
IF(AND(
$AA41&gt;=VLOOKUP(BB$6, Table_ChiPhiNV_Ca[], COUNTA(Table_ChiPhiNV_Ca[[#Headers],[Ca]:[Bắt đầu nghỉ]]),0),
$AA41&lt;VLOOKUP(BB$6, Table_ChiPhiNV_Ca[], COUNTA(Table_ChiPhiNV_Ca[[#Headers],[Ca]:[Kết thúc nghỉ]]),0)
),0,
IF(NOT(ISBLANK(BB$3)),
IF(ISBLANK(BB$7),0,
IF(BB$4 &lt; BB$5,
IF($AA41-$Z$4&lt;BB$4,0,
IF($AA41&gt;BB$5,0,
SUM(_xlfn._xlws.FILTER(Table_BangLuong_TyLeTangCa[Tỷ lệ],
(Table_BangLuong_TyLeTangCa[Ngày] = BB$3) *
(Table_BangLuong_TyLeTangCa[Giờ min]&lt;=$AA41) *
(Table_BangLuong_TyLeTangCa[Giờ max]&gt;$AA41)
)))),
IF(AND($AA41-$Z$4 &gt;= BB$5,$AA41 &lt; BB$4),0,
SUM(_xlfn._xlws.FILTER(Table_BangLuong_TyLeTangCa[Tỷ lệ],
(Table_BangLuong_TyLeTangCa[Ngày] = BB$3) *
(Table_BangLuong_TyLeTangCa[Giờ min]&lt;=$AA41) *
(Table_BangLuong_TyLeTangCa[Giờ max]&gt;$AA41)
))))
),
IF(ISBLANK(BB$7),
IF(VLOOKUP(BB$6, Table_ChiPhiNV_Ca[], COUNTA(Table_ChiPhiNV_Ca[[#Headers],[Ca]:[Kết thúc]]),0)&gt; VLOOKUP(BB$6, Table_ChiPhiNV_Ca[], COUNTA(Table_ChiPhiNV_Ca[[#Headers],[Ca]:[Bắt đầu]]),0),
IF($AA41-$Z$4&lt;MAX(BB$4,VLOOKUP(BB$6, Table_ChiPhiNV_Ca[], COUNTA(Table_ChiPhiNV_Ca[[#Headers],[Ca]:[Bắt đầu]]),0)),0,
IF($AA41&gt;MIN(BB$5,VLOOKUP(BB$6, Table_ChiPhiNV_Ca[], COUNTA(Table_ChiPhiNV_Ca[[#Headers],[Ca]:[Kết thúc]]),0)),0,
SUM(_xlfn._xlws.FILTER(Table_BangLuong_TyLeTangCa[Tỷ lệ],
(Table_BangLuong_TyLeTangCa[Ngày] = "Thường") *
(Table_BangLuong_TyLeTangCa[Giờ min]&lt;=$AA41) *
(Table_BangLuong_TyLeTangCa[Giờ max]&gt;$AA41)
)))),
IF(BB$4 &gt; BB$5,
IF(
AND(
$AA41-$Z$4&lt;MAX(BB$4,VLOOKUP(BB$6, Table_ChiPhiNV_Ca[], COUNTA(Table_ChiPhiNV_Ca[[#Headers],[Ca]:[Bắt đầu]]),0)),
$AA41&gt;MIN(BB$5,VLOOKUP(BB$6, Table_ChiPhiNV_Ca[], COUNTA(Table_ChiPhiNV_Ca[[#Headers],[Ca]:[Kết thúc]]),0))),0,
SUM(_xlfn._xlws.FILTER(Table_BangLuong_TyLeTangCa[Tỷ lệ],
(Table_BangLuong_TyLeTangCa[Ngày] = "Thường") *
(Table_BangLuong_TyLeTangCa[Giờ min]&lt;=$AA41) *
(Table_BangLuong_TyLeTangCa[Giờ max]&gt;$AA41)
))),
IF(
AND(
$AA41-$Z$4&gt;=MAX(BB$4,VLOOKUP(BB$6, Table_ChiPhiNV_Ca[], COUNTA(Table_ChiPhiNV_Ca[[#Headers],[Ca]:[Bắt đầu]]),0)),
$AA41&lt;MIN(BB$5,VLOOKUP(BB$6, Table_ChiPhiNV_Ca[], COUNTA(Table_ChiPhiNV_Ca[[#Headers],[Ca]:[Kết thúc]]),0))),
SUM(_xlfn._xlws.FILTER(Table_BangLuong_TyLeTangCa[Tỷ lệ],
(Table_BangLuong_TyLeTangCa[Ngày] = "Thường") *
(Table_BangLuong_TyLeTangCa[Giờ min]&lt;=$AA41) *
(Table_BangLuong_TyLeTangCa[Giờ max]&gt;$AA41)
)),0)
)),
IF(BB$4 &lt; BB$5,
IF($AA41-$Z$4&lt;BB$4,0,
IF($AA41&gt;BB$5,0,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BB$5,$AA41 &lt; BB$4),0,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C41" s="18" cm="1">
        <f t="array" ref="BC41" xml:space="preserve">
IFERROR(
IF(BC$1="",0,
IF(AND(
$AA41&gt;=VLOOKUP(BC$6, Table_ChiPhiNV_Ca[], COUNTA(Table_ChiPhiNV_Ca[[#Headers],[Ca]:[Bắt đầu nghỉ]]),0),
$AA41&lt;VLOOKUP(BC$6, Table_ChiPhiNV_Ca[], COUNTA(Table_ChiPhiNV_Ca[[#Headers],[Ca]:[Kết thúc nghỉ]]),0)
),0,
IF(NOT(ISBLANK(BC$3)),
IF(ISBLANK(BC$7),0,
IF(BC$4 &lt; BC$5,
IF($AA41-$Z$4&lt;BC$4,0,
IF($AA41&gt;BC$5,0,
SUM(_xlfn._xlws.FILTER(Table_BangLuong_TyLeTangCa[Tỷ lệ],
(Table_BangLuong_TyLeTangCa[Ngày] = BC$3) *
(Table_BangLuong_TyLeTangCa[Giờ min]&lt;=$AA41) *
(Table_BangLuong_TyLeTangCa[Giờ max]&gt;$AA41)
)))),
IF(AND($AA41-$Z$4 &gt;= BC$5,$AA41 &lt; BC$4),0,
SUM(_xlfn._xlws.FILTER(Table_BangLuong_TyLeTangCa[Tỷ lệ],
(Table_BangLuong_TyLeTangCa[Ngày] = BC$3) *
(Table_BangLuong_TyLeTangCa[Giờ min]&lt;=$AA41) *
(Table_BangLuong_TyLeTangCa[Giờ max]&gt;$AA41)
))))
),
IF(ISBLANK(BC$7),
IF(VLOOKUP(BC$6, Table_ChiPhiNV_Ca[], COUNTA(Table_ChiPhiNV_Ca[[#Headers],[Ca]:[Kết thúc]]),0)&gt; VLOOKUP(BC$6, Table_ChiPhiNV_Ca[], COUNTA(Table_ChiPhiNV_Ca[[#Headers],[Ca]:[Bắt đầu]]),0),
IF($AA41-$Z$4&lt;MAX(BC$4,VLOOKUP(BC$6, Table_ChiPhiNV_Ca[], COUNTA(Table_ChiPhiNV_Ca[[#Headers],[Ca]:[Bắt đầu]]),0)),0,
IF($AA41&gt;MIN(BC$5,VLOOKUP(BC$6, Table_ChiPhiNV_Ca[], COUNTA(Table_ChiPhiNV_Ca[[#Headers],[Ca]:[Kết thúc]]),0)),0,
SUM(_xlfn._xlws.FILTER(Table_BangLuong_TyLeTangCa[Tỷ lệ],
(Table_BangLuong_TyLeTangCa[Ngày] = "Thường") *
(Table_BangLuong_TyLeTangCa[Giờ min]&lt;=$AA41) *
(Table_BangLuong_TyLeTangCa[Giờ max]&gt;$AA41)
)))),
IF(BC$4 &gt; BC$5,
IF(
AND(
$AA41-$Z$4&lt;MAX(BC$4,VLOOKUP(BC$6, Table_ChiPhiNV_Ca[], COUNTA(Table_ChiPhiNV_Ca[[#Headers],[Ca]:[Bắt đầu]]),0)),
$AA41&gt;MIN(BC$5,VLOOKUP(BC$6, Table_ChiPhiNV_Ca[], COUNTA(Table_ChiPhiNV_Ca[[#Headers],[Ca]:[Kết thúc]]),0))),0,
SUM(_xlfn._xlws.FILTER(Table_BangLuong_TyLeTangCa[Tỷ lệ],
(Table_BangLuong_TyLeTangCa[Ngày] = "Thường") *
(Table_BangLuong_TyLeTangCa[Giờ min]&lt;=$AA41) *
(Table_BangLuong_TyLeTangCa[Giờ max]&gt;$AA41)
))),
IF(
AND(
$AA41-$Z$4&gt;=MAX(BC$4,VLOOKUP(BC$6, Table_ChiPhiNV_Ca[], COUNTA(Table_ChiPhiNV_Ca[[#Headers],[Ca]:[Bắt đầu]]),0)),
$AA41&lt;MIN(BC$5,VLOOKUP(BC$6, Table_ChiPhiNV_Ca[], COUNTA(Table_ChiPhiNV_Ca[[#Headers],[Ca]:[Kết thúc]]),0))),
SUM(_xlfn._xlws.FILTER(Table_BangLuong_TyLeTangCa[Tỷ lệ],
(Table_BangLuong_TyLeTangCa[Ngày] = "Thường") *
(Table_BangLuong_TyLeTangCa[Giờ min]&lt;=$AA41) *
(Table_BangLuong_TyLeTangCa[Giờ max]&gt;$AA41)
)),0)
)),
IF(BC$4 &lt; BC$5,
IF($AA41-$Z$4&lt;BC$4,0,
IF($AA41&gt;BC$5,0,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BC$5,$AA41 &lt; BC$4),0,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D41" s="18" cm="1">
        <f t="array" ref="BD41" xml:space="preserve">
IFERROR(
IF(BD$1="",0,
IF(AND(
$AA41&gt;=VLOOKUP(BD$6, Table_ChiPhiNV_Ca[], COUNTA(Table_ChiPhiNV_Ca[[#Headers],[Ca]:[Bắt đầu nghỉ]]),0),
$AA41&lt;VLOOKUP(BD$6, Table_ChiPhiNV_Ca[], COUNTA(Table_ChiPhiNV_Ca[[#Headers],[Ca]:[Kết thúc nghỉ]]),0)
),0,
IF(NOT(ISBLANK(BD$3)),
IF(ISBLANK(BD$7),0,
IF(BD$4 &lt; BD$5,
IF($AA41-$Z$4&lt;BD$4,0,
IF($AA41&gt;BD$5,0,
SUM(_xlfn._xlws.FILTER(Table_BangLuong_TyLeTangCa[Tỷ lệ],
(Table_BangLuong_TyLeTangCa[Ngày] = BD$3) *
(Table_BangLuong_TyLeTangCa[Giờ min]&lt;=$AA41) *
(Table_BangLuong_TyLeTangCa[Giờ max]&gt;$AA41)
)))),
IF(AND($AA41-$Z$4 &gt;= BD$5,$AA41 &lt; BD$4),0,
SUM(_xlfn._xlws.FILTER(Table_BangLuong_TyLeTangCa[Tỷ lệ],
(Table_BangLuong_TyLeTangCa[Ngày] = BD$3) *
(Table_BangLuong_TyLeTangCa[Giờ min]&lt;=$AA41) *
(Table_BangLuong_TyLeTangCa[Giờ max]&gt;$AA41)
))))
),
IF(ISBLANK(BD$7),
IF(VLOOKUP(BD$6, Table_ChiPhiNV_Ca[], COUNTA(Table_ChiPhiNV_Ca[[#Headers],[Ca]:[Kết thúc]]),0)&gt; VLOOKUP(BD$6, Table_ChiPhiNV_Ca[], COUNTA(Table_ChiPhiNV_Ca[[#Headers],[Ca]:[Bắt đầu]]),0),
IF($AA41-$Z$4&lt;MAX(BD$4,VLOOKUP(BD$6, Table_ChiPhiNV_Ca[], COUNTA(Table_ChiPhiNV_Ca[[#Headers],[Ca]:[Bắt đầu]]),0)),0,
IF($AA41&gt;MIN(BD$5,VLOOKUP(BD$6, Table_ChiPhiNV_Ca[], COUNTA(Table_ChiPhiNV_Ca[[#Headers],[Ca]:[Kết thúc]]),0)),0,
SUM(_xlfn._xlws.FILTER(Table_BangLuong_TyLeTangCa[Tỷ lệ],
(Table_BangLuong_TyLeTangCa[Ngày] = "Thường") *
(Table_BangLuong_TyLeTangCa[Giờ min]&lt;=$AA41) *
(Table_BangLuong_TyLeTangCa[Giờ max]&gt;$AA41)
)))),
IF(BD$4 &gt; BD$5,
IF(
AND(
$AA41-$Z$4&lt;MAX(BD$4,VLOOKUP(BD$6, Table_ChiPhiNV_Ca[], COUNTA(Table_ChiPhiNV_Ca[[#Headers],[Ca]:[Bắt đầu]]),0)),
$AA41&gt;MIN(BD$5,VLOOKUP(BD$6, Table_ChiPhiNV_Ca[], COUNTA(Table_ChiPhiNV_Ca[[#Headers],[Ca]:[Kết thúc]]),0))),0,
SUM(_xlfn._xlws.FILTER(Table_BangLuong_TyLeTangCa[Tỷ lệ],
(Table_BangLuong_TyLeTangCa[Ngày] = "Thường") *
(Table_BangLuong_TyLeTangCa[Giờ min]&lt;=$AA41) *
(Table_BangLuong_TyLeTangCa[Giờ max]&gt;$AA41)
))),
IF(
AND(
$AA41-$Z$4&gt;=MAX(BD$4,VLOOKUP(BD$6, Table_ChiPhiNV_Ca[], COUNTA(Table_ChiPhiNV_Ca[[#Headers],[Ca]:[Bắt đầu]]),0)),
$AA41&lt;MIN(BD$5,VLOOKUP(BD$6, Table_ChiPhiNV_Ca[], COUNTA(Table_ChiPhiNV_Ca[[#Headers],[Ca]:[Kết thúc]]),0))),
SUM(_xlfn._xlws.FILTER(Table_BangLuong_TyLeTangCa[Tỷ lệ],
(Table_BangLuong_TyLeTangCa[Ngày] = "Thường") *
(Table_BangLuong_TyLeTangCa[Giờ min]&lt;=$AA41) *
(Table_BangLuong_TyLeTangCa[Giờ max]&gt;$AA41)
)),0)
)),
IF(BD$4 &lt; BD$5,
IF($AA41-$Z$4&lt;BD$4,0,
IF($AA41&gt;BD$5,0,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BD$5,$AA41 &lt; BD$4),0,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E41" s="18" cm="1">
        <f t="array" ref="BE41" xml:space="preserve">
IFERROR(
IF(BE$1="",0,
IF(AND(
$AA41&gt;=VLOOKUP(BE$6, Table_ChiPhiNV_Ca[], COUNTA(Table_ChiPhiNV_Ca[[#Headers],[Ca]:[Bắt đầu nghỉ]]),0),
$AA41&lt;VLOOKUP(BE$6, Table_ChiPhiNV_Ca[], COUNTA(Table_ChiPhiNV_Ca[[#Headers],[Ca]:[Kết thúc nghỉ]]),0)
),0,
IF(NOT(ISBLANK(BE$3)),
IF(ISBLANK(BE$7),0,
IF(BE$4 &lt; BE$5,
IF($AA41-$Z$4&lt;BE$4,0,
IF($AA41&gt;BE$5,0,
SUM(_xlfn._xlws.FILTER(Table_BangLuong_TyLeTangCa[Tỷ lệ],
(Table_BangLuong_TyLeTangCa[Ngày] = BE$3) *
(Table_BangLuong_TyLeTangCa[Giờ min]&lt;=$AA41) *
(Table_BangLuong_TyLeTangCa[Giờ max]&gt;$AA41)
)))),
IF(AND($AA41-$Z$4 &gt;= BE$5,$AA41 &lt; BE$4),0,
SUM(_xlfn._xlws.FILTER(Table_BangLuong_TyLeTangCa[Tỷ lệ],
(Table_BangLuong_TyLeTangCa[Ngày] = BE$3) *
(Table_BangLuong_TyLeTangCa[Giờ min]&lt;=$AA41) *
(Table_BangLuong_TyLeTangCa[Giờ max]&gt;$AA41)
))))
),
IF(ISBLANK(BE$7),
IF(VLOOKUP(BE$6, Table_ChiPhiNV_Ca[], COUNTA(Table_ChiPhiNV_Ca[[#Headers],[Ca]:[Kết thúc]]),0)&gt; VLOOKUP(BE$6, Table_ChiPhiNV_Ca[], COUNTA(Table_ChiPhiNV_Ca[[#Headers],[Ca]:[Bắt đầu]]),0),
IF($AA41-$Z$4&lt;MAX(BE$4,VLOOKUP(BE$6, Table_ChiPhiNV_Ca[], COUNTA(Table_ChiPhiNV_Ca[[#Headers],[Ca]:[Bắt đầu]]),0)),0,
IF($AA41&gt;MIN(BE$5,VLOOKUP(BE$6, Table_ChiPhiNV_Ca[], COUNTA(Table_ChiPhiNV_Ca[[#Headers],[Ca]:[Kết thúc]]),0)),0,
SUM(_xlfn._xlws.FILTER(Table_BangLuong_TyLeTangCa[Tỷ lệ],
(Table_BangLuong_TyLeTangCa[Ngày] = "Thường") *
(Table_BangLuong_TyLeTangCa[Giờ min]&lt;=$AA41) *
(Table_BangLuong_TyLeTangCa[Giờ max]&gt;$AA41)
)))),
IF(BE$4 &gt; BE$5,
IF(
AND(
$AA41-$Z$4&lt;MAX(BE$4,VLOOKUP(BE$6, Table_ChiPhiNV_Ca[], COUNTA(Table_ChiPhiNV_Ca[[#Headers],[Ca]:[Bắt đầu]]),0)),
$AA41&gt;MIN(BE$5,VLOOKUP(BE$6, Table_ChiPhiNV_Ca[], COUNTA(Table_ChiPhiNV_Ca[[#Headers],[Ca]:[Kết thúc]]),0))),0,
SUM(_xlfn._xlws.FILTER(Table_BangLuong_TyLeTangCa[Tỷ lệ],
(Table_BangLuong_TyLeTangCa[Ngày] = "Thường") *
(Table_BangLuong_TyLeTangCa[Giờ min]&lt;=$AA41) *
(Table_BangLuong_TyLeTangCa[Giờ max]&gt;$AA41)
))),
IF(
AND(
$AA41-$Z$4&gt;=MAX(BE$4,VLOOKUP(BE$6, Table_ChiPhiNV_Ca[], COUNTA(Table_ChiPhiNV_Ca[[#Headers],[Ca]:[Bắt đầu]]),0)),
$AA41&lt;MIN(BE$5,VLOOKUP(BE$6, Table_ChiPhiNV_Ca[], COUNTA(Table_ChiPhiNV_Ca[[#Headers],[Ca]:[Kết thúc]]),0))),
SUM(_xlfn._xlws.FILTER(Table_BangLuong_TyLeTangCa[Tỷ lệ],
(Table_BangLuong_TyLeTangCa[Ngày] = "Thường") *
(Table_BangLuong_TyLeTangCa[Giờ min]&lt;=$AA41) *
(Table_BangLuong_TyLeTangCa[Giờ max]&gt;$AA41)
)),0)
)),
IF(BE$4 &lt; BE$5,
IF($AA41-$Z$4&lt;BE$4,0,
IF($AA41&gt;BE$5,0,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BE$5,$AA41 &lt; BE$4),0,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F41" s="18" cm="1">
        <f t="array" ref="BF41" xml:space="preserve">
IFERROR(
IF(BF$1="",0,
IF(AND(
$AA41&gt;=VLOOKUP(BF$6, Table_ChiPhiNV_Ca[], COUNTA(Table_ChiPhiNV_Ca[[#Headers],[Ca]:[Bắt đầu nghỉ]]),0),
$AA41&lt;VLOOKUP(BF$6, Table_ChiPhiNV_Ca[], COUNTA(Table_ChiPhiNV_Ca[[#Headers],[Ca]:[Kết thúc nghỉ]]),0)
),0,
IF(NOT(ISBLANK(BF$3)),
IF(ISBLANK(BF$7),0,
IF(BF$4 &lt; BF$5,
IF($AA41-$Z$4&lt;BF$4,0,
IF($AA41&gt;BF$5,0,
SUM(_xlfn._xlws.FILTER(Table_BangLuong_TyLeTangCa[Tỷ lệ],
(Table_BangLuong_TyLeTangCa[Ngày] = BF$3) *
(Table_BangLuong_TyLeTangCa[Giờ min]&lt;=$AA41) *
(Table_BangLuong_TyLeTangCa[Giờ max]&gt;$AA41)
)))),
IF(AND($AA41-$Z$4 &gt;= BF$5,$AA41 &lt; BF$4),0,
SUM(_xlfn._xlws.FILTER(Table_BangLuong_TyLeTangCa[Tỷ lệ],
(Table_BangLuong_TyLeTangCa[Ngày] = BF$3) *
(Table_BangLuong_TyLeTangCa[Giờ min]&lt;=$AA41) *
(Table_BangLuong_TyLeTangCa[Giờ max]&gt;$AA41)
))))
),
IF(ISBLANK(BF$7),
IF(VLOOKUP(BF$6, Table_ChiPhiNV_Ca[], COUNTA(Table_ChiPhiNV_Ca[[#Headers],[Ca]:[Kết thúc]]),0)&gt; VLOOKUP(BF$6, Table_ChiPhiNV_Ca[], COUNTA(Table_ChiPhiNV_Ca[[#Headers],[Ca]:[Bắt đầu]]),0),
IF($AA41-$Z$4&lt;MAX(BF$4,VLOOKUP(BF$6, Table_ChiPhiNV_Ca[], COUNTA(Table_ChiPhiNV_Ca[[#Headers],[Ca]:[Bắt đầu]]),0)),0,
IF($AA41&gt;MIN(BF$5,VLOOKUP(BF$6, Table_ChiPhiNV_Ca[], COUNTA(Table_ChiPhiNV_Ca[[#Headers],[Ca]:[Kết thúc]]),0)),0,
SUM(_xlfn._xlws.FILTER(Table_BangLuong_TyLeTangCa[Tỷ lệ],
(Table_BangLuong_TyLeTangCa[Ngày] = "Thường") *
(Table_BangLuong_TyLeTangCa[Giờ min]&lt;=$AA41) *
(Table_BangLuong_TyLeTangCa[Giờ max]&gt;$AA41)
)))),
IF(BF$4 &gt; BF$5,
IF(
AND(
$AA41-$Z$4&lt;MAX(BF$4,VLOOKUP(BF$6, Table_ChiPhiNV_Ca[], COUNTA(Table_ChiPhiNV_Ca[[#Headers],[Ca]:[Bắt đầu]]),0)),
$AA41&gt;MIN(BF$5,VLOOKUP(BF$6, Table_ChiPhiNV_Ca[], COUNTA(Table_ChiPhiNV_Ca[[#Headers],[Ca]:[Kết thúc]]),0))),0,
SUM(_xlfn._xlws.FILTER(Table_BangLuong_TyLeTangCa[Tỷ lệ],
(Table_BangLuong_TyLeTangCa[Ngày] = "Thường") *
(Table_BangLuong_TyLeTangCa[Giờ min]&lt;=$AA41) *
(Table_BangLuong_TyLeTangCa[Giờ max]&gt;$AA41)
))),
IF(
AND(
$AA41-$Z$4&gt;=MAX(BF$4,VLOOKUP(BF$6, Table_ChiPhiNV_Ca[], COUNTA(Table_ChiPhiNV_Ca[[#Headers],[Ca]:[Bắt đầu]]),0)),
$AA41&lt;MIN(BF$5,VLOOKUP(BF$6, Table_ChiPhiNV_Ca[], COUNTA(Table_ChiPhiNV_Ca[[#Headers],[Ca]:[Kết thúc]]),0))),
SUM(_xlfn._xlws.FILTER(Table_BangLuong_TyLeTangCa[Tỷ lệ],
(Table_BangLuong_TyLeTangCa[Ngày] = "Thường") *
(Table_BangLuong_TyLeTangCa[Giờ min]&lt;=$AA41) *
(Table_BangLuong_TyLeTangCa[Giờ max]&gt;$AA41)
)),0)
)),
IF(BF$4 &lt; BF$5,
IF($AA41-$Z$4&lt;BF$4,0,
IF($AA41&gt;BF$5,0,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BF$5,$AA41 &lt; BF$4),0,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row>
    <row r="42" spans="2:58" ht="18" customHeight="1" outlineLevel="1" x14ac:dyDescent="0.3">
      <c r="AA42" s="50">
        <v>0.6875</v>
      </c>
      <c r="AB42" s="18" cm="1">
        <f t="array" ref="AB42" xml:space="preserve">
IFERROR(
IF(AB$1="",0,
IF(AND(
$AA42&gt;=VLOOKUP(AB$6, Table_ChiPhiNV_Ca[], COUNTA(Table_ChiPhiNV_Ca[[#Headers],[Ca]:[Bắt đầu nghỉ]]),0),
$AA42&lt;VLOOKUP(AB$6, Table_ChiPhiNV_Ca[], COUNTA(Table_ChiPhiNV_Ca[[#Headers],[Ca]:[Kết thúc nghỉ]]),0)
),0,
IF(NOT(ISBLANK(AB$3)),
IF(ISBLANK(AB$7),0,
IF(AB$4 &lt; AB$5,
IF($AA42-$Z$4&lt;AB$4,0,
IF($AA42&gt;AB$5,0,
SUM(_xlfn._xlws.FILTER(Table_BangLuong_TyLeTangCa[Tỷ lệ],
(Table_BangLuong_TyLeTangCa[Ngày] = AB$3) *
(Table_BangLuong_TyLeTangCa[Giờ min]&lt;=$AA42) *
(Table_BangLuong_TyLeTangCa[Giờ max]&gt;$AA42)
)))),
IF(AND($AA42-$Z$4 &gt;= AB$5,$AA42 &lt; AB$4),0,
SUM(_xlfn._xlws.FILTER(Table_BangLuong_TyLeTangCa[Tỷ lệ],
(Table_BangLuong_TyLeTangCa[Ngày] = AB$3) *
(Table_BangLuong_TyLeTangCa[Giờ min]&lt;=$AA42) *
(Table_BangLuong_TyLeTangCa[Giờ max]&gt;$AA42)
))))
),
IF(ISBLANK(AB$7),
IF(VLOOKUP(AB$6, Table_ChiPhiNV_Ca[], COUNTA(Table_ChiPhiNV_Ca[[#Headers],[Ca]:[Kết thúc]]),0)&gt; VLOOKUP(AB$6, Table_ChiPhiNV_Ca[], COUNTA(Table_ChiPhiNV_Ca[[#Headers],[Ca]:[Bắt đầu]]),0),
IF($AA42-$Z$4&lt;MAX(AB$4,VLOOKUP(AB$6, Table_ChiPhiNV_Ca[], COUNTA(Table_ChiPhiNV_Ca[[#Headers],[Ca]:[Bắt đầu]]),0)),0,
IF($AA42&gt;MIN(AB$5,VLOOKUP(AB$6, Table_ChiPhiNV_Ca[], COUNTA(Table_ChiPhiNV_Ca[[#Headers],[Ca]:[Kết thúc]]),0)),0,
SUM(_xlfn._xlws.FILTER(Table_BangLuong_TyLeTangCa[Tỷ lệ],
(Table_BangLuong_TyLeTangCa[Ngày] = "Thường") *
(Table_BangLuong_TyLeTangCa[Giờ min]&lt;=$AA42) *
(Table_BangLuong_TyLeTangCa[Giờ max]&gt;$AA42)
)))),
IF(AB$4 &gt; AB$5,
IF(
AND(
$AA42-$Z$4&lt;MAX(AB$4,VLOOKUP(AB$6, Table_ChiPhiNV_Ca[], COUNTA(Table_ChiPhiNV_Ca[[#Headers],[Ca]:[Bắt đầu]]),0)),
$AA42&gt;MIN(AB$5,VLOOKUP(AB$6, Table_ChiPhiNV_Ca[], COUNTA(Table_ChiPhiNV_Ca[[#Headers],[Ca]:[Kết thúc]]),0))),0,
SUM(_xlfn._xlws.FILTER(Table_BangLuong_TyLeTangCa[Tỷ lệ],
(Table_BangLuong_TyLeTangCa[Ngày] = "Thường") *
(Table_BangLuong_TyLeTangCa[Giờ min]&lt;=$AA42) *
(Table_BangLuong_TyLeTangCa[Giờ max]&gt;$AA42)
))),
IF(
AND(
$AA42-$Z$4&gt;=MAX(AB$4,VLOOKUP(AB$6, Table_ChiPhiNV_Ca[], COUNTA(Table_ChiPhiNV_Ca[[#Headers],[Ca]:[Bắt đầu]]),0)),
$AA42&lt;MIN(AB$5,VLOOKUP(AB$6, Table_ChiPhiNV_Ca[], COUNTA(Table_ChiPhiNV_Ca[[#Headers],[Ca]:[Kết thúc]]),0))),
SUM(_xlfn._xlws.FILTER(Table_BangLuong_TyLeTangCa[Tỷ lệ],
(Table_BangLuong_TyLeTangCa[Ngày] = "Thường") *
(Table_BangLuong_TyLeTangCa[Giờ min]&lt;=$AA42) *
(Table_BangLuong_TyLeTangCa[Giờ max]&gt;$AA42)
)),0)
)),
IF(AB$4 &lt; AB$5,
IF($AA42-$Z$4&lt;AB$4,0,
IF($AA42&gt;AB$5,0,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AB$5,$AA42 &lt; AB$4),0,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C42" s="18" cm="1">
        <f t="array" ref="AC42" xml:space="preserve">
IFERROR(
IF(AC$1="",0,
IF(AND(
$AA42&gt;=VLOOKUP(AC$6, Table_ChiPhiNV_Ca[], COUNTA(Table_ChiPhiNV_Ca[[#Headers],[Ca]:[Bắt đầu nghỉ]]),0),
$AA42&lt;VLOOKUP(AC$6, Table_ChiPhiNV_Ca[], COUNTA(Table_ChiPhiNV_Ca[[#Headers],[Ca]:[Kết thúc nghỉ]]),0)
),0,
IF(NOT(ISBLANK(AC$3)),
IF(ISBLANK(AC$7),0,
IF(AC$4 &lt; AC$5,
IF($AA42-$Z$4&lt;AC$4,0,
IF($AA42&gt;AC$5,0,
SUM(_xlfn._xlws.FILTER(Table_BangLuong_TyLeTangCa[Tỷ lệ],
(Table_BangLuong_TyLeTangCa[Ngày] = AC$3) *
(Table_BangLuong_TyLeTangCa[Giờ min]&lt;=$AA42) *
(Table_BangLuong_TyLeTangCa[Giờ max]&gt;$AA42)
)))),
IF(AND($AA42-$Z$4 &gt;= AC$5,$AA42 &lt; AC$4),0,
SUM(_xlfn._xlws.FILTER(Table_BangLuong_TyLeTangCa[Tỷ lệ],
(Table_BangLuong_TyLeTangCa[Ngày] = AC$3) *
(Table_BangLuong_TyLeTangCa[Giờ min]&lt;=$AA42) *
(Table_BangLuong_TyLeTangCa[Giờ max]&gt;$AA42)
))))
),
IF(ISBLANK(AC$7),
IF(VLOOKUP(AC$6, Table_ChiPhiNV_Ca[], COUNTA(Table_ChiPhiNV_Ca[[#Headers],[Ca]:[Kết thúc]]),0)&gt; VLOOKUP(AC$6, Table_ChiPhiNV_Ca[], COUNTA(Table_ChiPhiNV_Ca[[#Headers],[Ca]:[Bắt đầu]]),0),
IF($AA42-$Z$4&lt;MAX(AC$4,VLOOKUP(AC$6, Table_ChiPhiNV_Ca[], COUNTA(Table_ChiPhiNV_Ca[[#Headers],[Ca]:[Bắt đầu]]),0)),0,
IF($AA42&gt;MIN(AC$5,VLOOKUP(AC$6, Table_ChiPhiNV_Ca[], COUNTA(Table_ChiPhiNV_Ca[[#Headers],[Ca]:[Kết thúc]]),0)),0,
SUM(_xlfn._xlws.FILTER(Table_BangLuong_TyLeTangCa[Tỷ lệ],
(Table_BangLuong_TyLeTangCa[Ngày] = "Thường") *
(Table_BangLuong_TyLeTangCa[Giờ min]&lt;=$AA42) *
(Table_BangLuong_TyLeTangCa[Giờ max]&gt;$AA42)
)))),
IF(AC$4 &gt; AC$5,
IF(
AND(
$AA42-$Z$4&lt;MAX(AC$4,VLOOKUP(AC$6, Table_ChiPhiNV_Ca[], COUNTA(Table_ChiPhiNV_Ca[[#Headers],[Ca]:[Bắt đầu]]),0)),
$AA42&gt;MIN(AC$5,VLOOKUP(AC$6, Table_ChiPhiNV_Ca[], COUNTA(Table_ChiPhiNV_Ca[[#Headers],[Ca]:[Kết thúc]]),0))),0,
SUM(_xlfn._xlws.FILTER(Table_BangLuong_TyLeTangCa[Tỷ lệ],
(Table_BangLuong_TyLeTangCa[Ngày] = "Thường") *
(Table_BangLuong_TyLeTangCa[Giờ min]&lt;=$AA42) *
(Table_BangLuong_TyLeTangCa[Giờ max]&gt;$AA42)
))),
IF(
AND(
$AA42-$Z$4&gt;=MAX(AC$4,VLOOKUP(AC$6, Table_ChiPhiNV_Ca[], COUNTA(Table_ChiPhiNV_Ca[[#Headers],[Ca]:[Bắt đầu]]),0)),
$AA42&lt;MIN(AC$5,VLOOKUP(AC$6, Table_ChiPhiNV_Ca[], COUNTA(Table_ChiPhiNV_Ca[[#Headers],[Ca]:[Kết thúc]]),0))),
SUM(_xlfn._xlws.FILTER(Table_BangLuong_TyLeTangCa[Tỷ lệ],
(Table_BangLuong_TyLeTangCa[Ngày] = "Thường") *
(Table_BangLuong_TyLeTangCa[Giờ min]&lt;=$AA42) *
(Table_BangLuong_TyLeTangCa[Giờ max]&gt;$AA42)
)),0)
)),
IF(AC$4 &lt; AC$5,
IF($AA42-$Z$4&lt;AC$4,0,
IF($AA42&gt;AC$5,0,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AC$5,$AA42 &lt; AC$4),0,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D42" s="18" cm="1">
        <f t="array" ref="AD42" xml:space="preserve">
IFERROR(
IF(AD$1="",0,
IF(AND(
$AA42&gt;=VLOOKUP(AD$6, Table_ChiPhiNV_Ca[], COUNTA(Table_ChiPhiNV_Ca[[#Headers],[Ca]:[Bắt đầu nghỉ]]),0),
$AA42&lt;VLOOKUP(AD$6, Table_ChiPhiNV_Ca[], COUNTA(Table_ChiPhiNV_Ca[[#Headers],[Ca]:[Kết thúc nghỉ]]),0)
),0,
IF(NOT(ISBLANK(AD$3)),
IF(ISBLANK(AD$7),0,
IF(AD$4 &lt; AD$5,
IF($AA42-$Z$4&lt;AD$4,0,
IF($AA42&gt;AD$5,0,
SUM(_xlfn._xlws.FILTER(Table_BangLuong_TyLeTangCa[Tỷ lệ],
(Table_BangLuong_TyLeTangCa[Ngày] = AD$3) *
(Table_BangLuong_TyLeTangCa[Giờ min]&lt;=$AA42) *
(Table_BangLuong_TyLeTangCa[Giờ max]&gt;$AA42)
)))),
IF(AND($AA42-$Z$4 &gt;= AD$5,$AA42 &lt; AD$4),0,
SUM(_xlfn._xlws.FILTER(Table_BangLuong_TyLeTangCa[Tỷ lệ],
(Table_BangLuong_TyLeTangCa[Ngày] = AD$3) *
(Table_BangLuong_TyLeTangCa[Giờ min]&lt;=$AA42) *
(Table_BangLuong_TyLeTangCa[Giờ max]&gt;$AA42)
))))
),
IF(ISBLANK(AD$7),
IF(VLOOKUP(AD$6, Table_ChiPhiNV_Ca[], COUNTA(Table_ChiPhiNV_Ca[[#Headers],[Ca]:[Kết thúc]]),0)&gt; VLOOKUP(AD$6, Table_ChiPhiNV_Ca[], COUNTA(Table_ChiPhiNV_Ca[[#Headers],[Ca]:[Bắt đầu]]),0),
IF($AA42-$Z$4&lt;MAX(AD$4,VLOOKUP(AD$6, Table_ChiPhiNV_Ca[], COUNTA(Table_ChiPhiNV_Ca[[#Headers],[Ca]:[Bắt đầu]]),0)),0,
IF($AA42&gt;MIN(AD$5,VLOOKUP(AD$6, Table_ChiPhiNV_Ca[], COUNTA(Table_ChiPhiNV_Ca[[#Headers],[Ca]:[Kết thúc]]),0)),0,
SUM(_xlfn._xlws.FILTER(Table_BangLuong_TyLeTangCa[Tỷ lệ],
(Table_BangLuong_TyLeTangCa[Ngày] = "Thường") *
(Table_BangLuong_TyLeTangCa[Giờ min]&lt;=$AA42) *
(Table_BangLuong_TyLeTangCa[Giờ max]&gt;$AA42)
)))),
IF(AD$4 &gt; AD$5,
IF(
AND(
$AA42-$Z$4&lt;MAX(AD$4,VLOOKUP(AD$6, Table_ChiPhiNV_Ca[], COUNTA(Table_ChiPhiNV_Ca[[#Headers],[Ca]:[Bắt đầu]]),0)),
$AA42&gt;MIN(AD$5,VLOOKUP(AD$6, Table_ChiPhiNV_Ca[], COUNTA(Table_ChiPhiNV_Ca[[#Headers],[Ca]:[Kết thúc]]),0))),0,
SUM(_xlfn._xlws.FILTER(Table_BangLuong_TyLeTangCa[Tỷ lệ],
(Table_BangLuong_TyLeTangCa[Ngày] = "Thường") *
(Table_BangLuong_TyLeTangCa[Giờ min]&lt;=$AA42) *
(Table_BangLuong_TyLeTangCa[Giờ max]&gt;$AA42)
))),
IF(
AND(
$AA42-$Z$4&gt;=MAX(AD$4,VLOOKUP(AD$6, Table_ChiPhiNV_Ca[], COUNTA(Table_ChiPhiNV_Ca[[#Headers],[Ca]:[Bắt đầu]]),0)),
$AA42&lt;MIN(AD$5,VLOOKUP(AD$6, Table_ChiPhiNV_Ca[], COUNTA(Table_ChiPhiNV_Ca[[#Headers],[Ca]:[Kết thúc]]),0))),
SUM(_xlfn._xlws.FILTER(Table_BangLuong_TyLeTangCa[Tỷ lệ],
(Table_BangLuong_TyLeTangCa[Ngày] = "Thường") *
(Table_BangLuong_TyLeTangCa[Giờ min]&lt;=$AA42) *
(Table_BangLuong_TyLeTangCa[Giờ max]&gt;$AA42)
)),0)
)),
IF(AD$4 &lt; AD$5,
IF($AA42-$Z$4&lt;AD$4,0,
IF($AA42&gt;AD$5,0,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AD$5,$AA42 &lt; AD$4),0,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E42" s="18" cm="1">
        <f t="array" ref="AE42" xml:space="preserve">
IFERROR(
IF(AE$1="",0,
IF(AND(
$AA42&gt;=VLOOKUP(AE$6, Table_ChiPhiNV_Ca[], COUNTA(Table_ChiPhiNV_Ca[[#Headers],[Ca]:[Bắt đầu nghỉ]]),0),
$AA42&lt;VLOOKUP(AE$6, Table_ChiPhiNV_Ca[], COUNTA(Table_ChiPhiNV_Ca[[#Headers],[Ca]:[Kết thúc nghỉ]]),0)
),0,
IF(NOT(ISBLANK(AE$3)),
IF(ISBLANK(AE$7),0,
IF(AE$4 &lt; AE$5,
IF($AA42-$Z$4&lt;AE$4,0,
IF($AA42&gt;AE$5,0,
SUM(_xlfn._xlws.FILTER(Table_BangLuong_TyLeTangCa[Tỷ lệ],
(Table_BangLuong_TyLeTangCa[Ngày] = AE$3) *
(Table_BangLuong_TyLeTangCa[Giờ min]&lt;=$AA42) *
(Table_BangLuong_TyLeTangCa[Giờ max]&gt;$AA42)
)))),
IF(AND($AA42-$Z$4 &gt;= AE$5,$AA42 &lt; AE$4),0,
SUM(_xlfn._xlws.FILTER(Table_BangLuong_TyLeTangCa[Tỷ lệ],
(Table_BangLuong_TyLeTangCa[Ngày] = AE$3) *
(Table_BangLuong_TyLeTangCa[Giờ min]&lt;=$AA42) *
(Table_BangLuong_TyLeTangCa[Giờ max]&gt;$AA42)
))))
),
IF(ISBLANK(AE$7),
IF(VLOOKUP(AE$6, Table_ChiPhiNV_Ca[], COUNTA(Table_ChiPhiNV_Ca[[#Headers],[Ca]:[Kết thúc]]),0)&gt; VLOOKUP(AE$6, Table_ChiPhiNV_Ca[], COUNTA(Table_ChiPhiNV_Ca[[#Headers],[Ca]:[Bắt đầu]]),0),
IF($AA42-$Z$4&lt;MAX(AE$4,VLOOKUP(AE$6, Table_ChiPhiNV_Ca[], COUNTA(Table_ChiPhiNV_Ca[[#Headers],[Ca]:[Bắt đầu]]),0)),0,
IF($AA42&gt;MIN(AE$5,VLOOKUP(AE$6, Table_ChiPhiNV_Ca[], COUNTA(Table_ChiPhiNV_Ca[[#Headers],[Ca]:[Kết thúc]]),0)),0,
SUM(_xlfn._xlws.FILTER(Table_BangLuong_TyLeTangCa[Tỷ lệ],
(Table_BangLuong_TyLeTangCa[Ngày] = "Thường") *
(Table_BangLuong_TyLeTangCa[Giờ min]&lt;=$AA42) *
(Table_BangLuong_TyLeTangCa[Giờ max]&gt;$AA42)
)))),
IF(AE$4 &gt; AE$5,
IF(
AND(
$AA42-$Z$4&lt;MAX(AE$4,VLOOKUP(AE$6, Table_ChiPhiNV_Ca[], COUNTA(Table_ChiPhiNV_Ca[[#Headers],[Ca]:[Bắt đầu]]),0)),
$AA42&gt;MIN(AE$5,VLOOKUP(AE$6, Table_ChiPhiNV_Ca[], COUNTA(Table_ChiPhiNV_Ca[[#Headers],[Ca]:[Kết thúc]]),0))),0,
SUM(_xlfn._xlws.FILTER(Table_BangLuong_TyLeTangCa[Tỷ lệ],
(Table_BangLuong_TyLeTangCa[Ngày] = "Thường") *
(Table_BangLuong_TyLeTangCa[Giờ min]&lt;=$AA42) *
(Table_BangLuong_TyLeTangCa[Giờ max]&gt;$AA42)
))),
IF(
AND(
$AA42-$Z$4&gt;=MAX(AE$4,VLOOKUP(AE$6, Table_ChiPhiNV_Ca[], COUNTA(Table_ChiPhiNV_Ca[[#Headers],[Ca]:[Bắt đầu]]),0)),
$AA42&lt;MIN(AE$5,VLOOKUP(AE$6, Table_ChiPhiNV_Ca[], COUNTA(Table_ChiPhiNV_Ca[[#Headers],[Ca]:[Kết thúc]]),0))),
SUM(_xlfn._xlws.FILTER(Table_BangLuong_TyLeTangCa[Tỷ lệ],
(Table_BangLuong_TyLeTangCa[Ngày] = "Thường") *
(Table_BangLuong_TyLeTangCa[Giờ min]&lt;=$AA42) *
(Table_BangLuong_TyLeTangCa[Giờ max]&gt;$AA42)
)),0)
)),
IF(AE$4 &lt; AE$5,
IF($AA42-$Z$4&lt;AE$4,0,
IF($AA42&gt;AE$5,0,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AE$5,$AA42 &lt; AE$4),0,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F42" s="18" cm="1">
        <f t="array" ref="AF42" xml:space="preserve">
IFERROR(
IF(AF$1="",0,
IF(AND(
$AA42&gt;=VLOOKUP(AF$6, Table_ChiPhiNV_Ca[], COUNTA(Table_ChiPhiNV_Ca[[#Headers],[Ca]:[Bắt đầu nghỉ]]),0),
$AA42&lt;VLOOKUP(AF$6, Table_ChiPhiNV_Ca[], COUNTA(Table_ChiPhiNV_Ca[[#Headers],[Ca]:[Kết thúc nghỉ]]),0)
),0,
IF(NOT(ISBLANK(AF$3)),
IF(ISBLANK(AF$7),0,
IF(AF$4 &lt; AF$5,
IF($AA42-$Z$4&lt;AF$4,0,
IF($AA42&gt;AF$5,0,
SUM(_xlfn._xlws.FILTER(Table_BangLuong_TyLeTangCa[Tỷ lệ],
(Table_BangLuong_TyLeTangCa[Ngày] = AF$3) *
(Table_BangLuong_TyLeTangCa[Giờ min]&lt;=$AA42) *
(Table_BangLuong_TyLeTangCa[Giờ max]&gt;$AA42)
)))),
IF(AND($AA42-$Z$4 &gt;= AF$5,$AA42 &lt; AF$4),0,
SUM(_xlfn._xlws.FILTER(Table_BangLuong_TyLeTangCa[Tỷ lệ],
(Table_BangLuong_TyLeTangCa[Ngày] = AF$3) *
(Table_BangLuong_TyLeTangCa[Giờ min]&lt;=$AA42) *
(Table_BangLuong_TyLeTangCa[Giờ max]&gt;$AA42)
))))
),
IF(ISBLANK(AF$7),
IF(VLOOKUP(AF$6, Table_ChiPhiNV_Ca[], COUNTA(Table_ChiPhiNV_Ca[[#Headers],[Ca]:[Kết thúc]]),0)&gt; VLOOKUP(AF$6, Table_ChiPhiNV_Ca[], COUNTA(Table_ChiPhiNV_Ca[[#Headers],[Ca]:[Bắt đầu]]),0),
IF($AA42-$Z$4&lt;MAX(AF$4,VLOOKUP(AF$6, Table_ChiPhiNV_Ca[], COUNTA(Table_ChiPhiNV_Ca[[#Headers],[Ca]:[Bắt đầu]]),0)),0,
IF($AA42&gt;MIN(AF$5,VLOOKUP(AF$6, Table_ChiPhiNV_Ca[], COUNTA(Table_ChiPhiNV_Ca[[#Headers],[Ca]:[Kết thúc]]),0)),0,
SUM(_xlfn._xlws.FILTER(Table_BangLuong_TyLeTangCa[Tỷ lệ],
(Table_BangLuong_TyLeTangCa[Ngày] = "Thường") *
(Table_BangLuong_TyLeTangCa[Giờ min]&lt;=$AA42) *
(Table_BangLuong_TyLeTangCa[Giờ max]&gt;$AA42)
)))),
IF(AF$4 &gt; AF$5,
IF(
AND(
$AA42-$Z$4&lt;MAX(AF$4,VLOOKUP(AF$6, Table_ChiPhiNV_Ca[], COUNTA(Table_ChiPhiNV_Ca[[#Headers],[Ca]:[Bắt đầu]]),0)),
$AA42&gt;MIN(AF$5,VLOOKUP(AF$6, Table_ChiPhiNV_Ca[], COUNTA(Table_ChiPhiNV_Ca[[#Headers],[Ca]:[Kết thúc]]),0))),0,
SUM(_xlfn._xlws.FILTER(Table_BangLuong_TyLeTangCa[Tỷ lệ],
(Table_BangLuong_TyLeTangCa[Ngày] = "Thường") *
(Table_BangLuong_TyLeTangCa[Giờ min]&lt;=$AA42) *
(Table_BangLuong_TyLeTangCa[Giờ max]&gt;$AA42)
))),
IF(
AND(
$AA42-$Z$4&gt;=MAX(AF$4,VLOOKUP(AF$6, Table_ChiPhiNV_Ca[], COUNTA(Table_ChiPhiNV_Ca[[#Headers],[Ca]:[Bắt đầu]]),0)),
$AA42&lt;MIN(AF$5,VLOOKUP(AF$6, Table_ChiPhiNV_Ca[], COUNTA(Table_ChiPhiNV_Ca[[#Headers],[Ca]:[Kết thúc]]),0))),
SUM(_xlfn._xlws.FILTER(Table_BangLuong_TyLeTangCa[Tỷ lệ],
(Table_BangLuong_TyLeTangCa[Ngày] = "Thường") *
(Table_BangLuong_TyLeTangCa[Giờ min]&lt;=$AA42) *
(Table_BangLuong_TyLeTangCa[Giờ max]&gt;$AA42)
)),0)
)),
IF(AF$4 &lt; AF$5,
IF($AA42-$Z$4&lt;AF$4,0,
IF($AA42&gt;AF$5,0,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AF$5,$AA42 &lt; AF$4),0,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G42" s="18" cm="1">
        <f t="array" ref="AG42" xml:space="preserve">
IFERROR(
IF(AG$1="",0,
IF(AND(
$AA42&gt;=VLOOKUP(AG$6, Table_ChiPhiNV_Ca[], COUNTA(Table_ChiPhiNV_Ca[[#Headers],[Ca]:[Bắt đầu nghỉ]]),0),
$AA42&lt;VLOOKUP(AG$6, Table_ChiPhiNV_Ca[], COUNTA(Table_ChiPhiNV_Ca[[#Headers],[Ca]:[Kết thúc nghỉ]]),0)
),0,
IF(NOT(ISBLANK(AG$3)),
IF(ISBLANK(AG$7),0,
IF(AG$4 &lt; AG$5,
IF($AA42-$Z$4&lt;AG$4,0,
IF($AA42&gt;AG$5,0,
SUM(_xlfn._xlws.FILTER(Table_BangLuong_TyLeTangCa[Tỷ lệ],
(Table_BangLuong_TyLeTangCa[Ngày] = AG$3) *
(Table_BangLuong_TyLeTangCa[Giờ min]&lt;=$AA42) *
(Table_BangLuong_TyLeTangCa[Giờ max]&gt;$AA42)
)))),
IF(AND($AA42-$Z$4 &gt;= AG$5,$AA42 &lt; AG$4),0,
SUM(_xlfn._xlws.FILTER(Table_BangLuong_TyLeTangCa[Tỷ lệ],
(Table_BangLuong_TyLeTangCa[Ngày] = AG$3) *
(Table_BangLuong_TyLeTangCa[Giờ min]&lt;=$AA42) *
(Table_BangLuong_TyLeTangCa[Giờ max]&gt;$AA42)
))))
),
IF(ISBLANK(AG$7),
IF(VLOOKUP(AG$6, Table_ChiPhiNV_Ca[], COUNTA(Table_ChiPhiNV_Ca[[#Headers],[Ca]:[Kết thúc]]),0)&gt; VLOOKUP(AG$6, Table_ChiPhiNV_Ca[], COUNTA(Table_ChiPhiNV_Ca[[#Headers],[Ca]:[Bắt đầu]]),0),
IF($AA42-$Z$4&lt;MAX(AG$4,VLOOKUP(AG$6, Table_ChiPhiNV_Ca[], COUNTA(Table_ChiPhiNV_Ca[[#Headers],[Ca]:[Bắt đầu]]),0)),0,
IF($AA42&gt;MIN(AG$5,VLOOKUP(AG$6, Table_ChiPhiNV_Ca[], COUNTA(Table_ChiPhiNV_Ca[[#Headers],[Ca]:[Kết thúc]]),0)),0,
SUM(_xlfn._xlws.FILTER(Table_BangLuong_TyLeTangCa[Tỷ lệ],
(Table_BangLuong_TyLeTangCa[Ngày] = "Thường") *
(Table_BangLuong_TyLeTangCa[Giờ min]&lt;=$AA42) *
(Table_BangLuong_TyLeTangCa[Giờ max]&gt;$AA42)
)))),
IF(AG$4 &gt; AG$5,
IF(
AND(
$AA42-$Z$4&lt;MAX(AG$4,VLOOKUP(AG$6, Table_ChiPhiNV_Ca[], COUNTA(Table_ChiPhiNV_Ca[[#Headers],[Ca]:[Bắt đầu]]),0)),
$AA42&gt;MIN(AG$5,VLOOKUP(AG$6, Table_ChiPhiNV_Ca[], COUNTA(Table_ChiPhiNV_Ca[[#Headers],[Ca]:[Kết thúc]]),0))),0,
SUM(_xlfn._xlws.FILTER(Table_BangLuong_TyLeTangCa[Tỷ lệ],
(Table_BangLuong_TyLeTangCa[Ngày] = "Thường") *
(Table_BangLuong_TyLeTangCa[Giờ min]&lt;=$AA42) *
(Table_BangLuong_TyLeTangCa[Giờ max]&gt;$AA42)
))),
IF(
AND(
$AA42-$Z$4&gt;=MAX(AG$4,VLOOKUP(AG$6, Table_ChiPhiNV_Ca[], COUNTA(Table_ChiPhiNV_Ca[[#Headers],[Ca]:[Bắt đầu]]),0)),
$AA42&lt;MIN(AG$5,VLOOKUP(AG$6, Table_ChiPhiNV_Ca[], COUNTA(Table_ChiPhiNV_Ca[[#Headers],[Ca]:[Kết thúc]]),0))),
SUM(_xlfn._xlws.FILTER(Table_BangLuong_TyLeTangCa[Tỷ lệ],
(Table_BangLuong_TyLeTangCa[Ngày] = "Thường") *
(Table_BangLuong_TyLeTangCa[Giờ min]&lt;=$AA42) *
(Table_BangLuong_TyLeTangCa[Giờ max]&gt;$AA42)
)),0)
)),
IF(AG$4 &lt; AG$5,
IF($AA42-$Z$4&lt;AG$4,0,
IF($AA42&gt;AG$5,0,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AG$5,$AA42 &lt; AG$4),0,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H42" s="18" cm="1">
        <f t="array" ref="AH42" xml:space="preserve">
IFERROR(
IF(AH$1="",0,
IF(AND(
$AA42&gt;=VLOOKUP(AH$6, Table_ChiPhiNV_Ca[], COUNTA(Table_ChiPhiNV_Ca[[#Headers],[Ca]:[Bắt đầu nghỉ]]),0),
$AA42&lt;VLOOKUP(AH$6, Table_ChiPhiNV_Ca[], COUNTA(Table_ChiPhiNV_Ca[[#Headers],[Ca]:[Kết thúc nghỉ]]),0)
),0,
IF(NOT(ISBLANK(AH$3)),
IF(ISBLANK(AH$7),0,
IF(AH$4 &lt; AH$5,
IF($AA42-$Z$4&lt;AH$4,0,
IF($AA42&gt;AH$5,0,
SUM(_xlfn._xlws.FILTER(Table_BangLuong_TyLeTangCa[Tỷ lệ],
(Table_BangLuong_TyLeTangCa[Ngày] = AH$3) *
(Table_BangLuong_TyLeTangCa[Giờ min]&lt;=$AA42) *
(Table_BangLuong_TyLeTangCa[Giờ max]&gt;$AA42)
)))),
IF(AND($AA42-$Z$4 &gt;= AH$5,$AA42 &lt; AH$4),0,
SUM(_xlfn._xlws.FILTER(Table_BangLuong_TyLeTangCa[Tỷ lệ],
(Table_BangLuong_TyLeTangCa[Ngày] = AH$3) *
(Table_BangLuong_TyLeTangCa[Giờ min]&lt;=$AA42) *
(Table_BangLuong_TyLeTangCa[Giờ max]&gt;$AA42)
))))
),
IF(ISBLANK(AH$7),
IF(VLOOKUP(AH$6, Table_ChiPhiNV_Ca[], COUNTA(Table_ChiPhiNV_Ca[[#Headers],[Ca]:[Kết thúc]]),0)&gt; VLOOKUP(AH$6, Table_ChiPhiNV_Ca[], COUNTA(Table_ChiPhiNV_Ca[[#Headers],[Ca]:[Bắt đầu]]),0),
IF($AA42-$Z$4&lt;MAX(AH$4,VLOOKUP(AH$6, Table_ChiPhiNV_Ca[], COUNTA(Table_ChiPhiNV_Ca[[#Headers],[Ca]:[Bắt đầu]]),0)),0,
IF($AA42&gt;MIN(AH$5,VLOOKUP(AH$6, Table_ChiPhiNV_Ca[], COUNTA(Table_ChiPhiNV_Ca[[#Headers],[Ca]:[Kết thúc]]),0)),0,
SUM(_xlfn._xlws.FILTER(Table_BangLuong_TyLeTangCa[Tỷ lệ],
(Table_BangLuong_TyLeTangCa[Ngày] = "Thường") *
(Table_BangLuong_TyLeTangCa[Giờ min]&lt;=$AA42) *
(Table_BangLuong_TyLeTangCa[Giờ max]&gt;$AA42)
)))),
IF(AH$4 &gt; AH$5,
IF(
AND(
$AA42-$Z$4&lt;MAX(AH$4,VLOOKUP(AH$6, Table_ChiPhiNV_Ca[], COUNTA(Table_ChiPhiNV_Ca[[#Headers],[Ca]:[Bắt đầu]]),0)),
$AA42&gt;MIN(AH$5,VLOOKUP(AH$6, Table_ChiPhiNV_Ca[], COUNTA(Table_ChiPhiNV_Ca[[#Headers],[Ca]:[Kết thúc]]),0))),0,
SUM(_xlfn._xlws.FILTER(Table_BangLuong_TyLeTangCa[Tỷ lệ],
(Table_BangLuong_TyLeTangCa[Ngày] = "Thường") *
(Table_BangLuong_TyLeTangCa[Giờ min]&lt;=$AA42) *
(Table_BangLuong_TyLeTangCa[Giờ max]&gt;$AA42)
))),
IF(
AND(
$AA42-$Z$4&gt;=MAX(AH$4,VLOOKUP(AH$6, Table_ChiPhiNV_Ca[], COUNTA(Table_ChiPhiNV_Ca[[#Headers],[Ca]:[Bắt đầu]]),0)),
$AA42&lt;MIN(AH$5,VLOOKUP(AH$6, Table_ChiPhiNV_Ca[], COUNTA(Table_ChiPhiNV_Ca[[#Headers],[Ca]:[Kết thúc]]),0))),
SUM(_xlfn._xlws.FILTER(Table_BangLuong_TyLeTangCa[Tỷ lệ],
(Table_BangLuong_TyLeTangCa[Ngày] = "Thường") *
(Table_BangLuong_TyLeTangCa[Giờ min]&lt;=$AA42) *
(Table_BangLuong_TyLeTangCa[Giờ max]&gt;$AA42)
)),0)
)),
IF(AH$4 &lt; AH$5,
IF($AA42-$Z$4&lt;AH$4,0,
IF($AA42&gt;AH$5,0,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AH$5,$AA42 &lt; AH$4),0,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I42" s="18" cm="1">
        <f t="array" ref="AI42" xml:space="preserve">
IFERROR(
IF(AI$1="",0,
IF(AND(
$AA42&gt;=VLOOKUP(AI$6, Table_ChiPhiNV_Ca[], COUNTA(Table_ChiPhiNV_Ca[[#Headers],[Ca]:[Bắt đầu nghỉ]]),0),
$AA42&lt;VLOOKUP(AI$6, Table_ChiPhiNV_Ca[], COUNTA(Table_ChiPhiNV_Ca[[#Headers],[Ca]:[Kết thúc nghỉ]]),0)
),0,
IF(NOT(ISBLANK(AI$3)),
IF(ISBLANK(AI$7),0,
IF(AI$4 &lt; AI$5,
IF($AA42-$Z$4&lt;AI$4,0,
IF($AA42&gt;AI$5,0,
SUM(_xlfn._xlws.FILTER(Table_BangLuong_TyLeTangCa[Tỷ lệ],
(Table_BangLuong_TyLeTangCa[Ngày] = AI$3) *
(Table_BangLuong_TyLeTangCa[Giờ min]&lt;=$AA42) *
(Table_BangLuong_TyLeTangCa[Giờ max]&gt;$AA42)
)))),
IF(AND($AA42-$Z$4 &gt;= AI$5,$AA42 &lt; AI$4),0,
SUM(_xlfn._xlws.FILTER(Table_BangLuong_TyLeTangCa[Tỷ lệ],
(Table_BangLuong_TyLeTangCa[Ngày] = AI$3) *
(Table_BangLuong_TyLeTangCa[Giờ min]&lt;=$AA42) *
(Table_BangLuong_TyLeTangCa[Giờ max]&gt;$AA42)
))))
),
IF(ISBLANK(AI$7),
IF(VLOOKUP(AI$6, Table_ChiPhiNV_Ca[], COUNTA(Table_ChiPhiNV_Ca[[#Headers],[Ca]:[Kết thúc]]),0)&gt; VLOOKUP(AI$6, Table_ChiPhiNV_Ca[], COUNTA(Table_ChiPhiNV_Ca[[#Headers],[Ca]:[Bắt đầu]]),0),
IF($AA42-$Z$4&lt;MAX(AI$4,VLOOKUP(AI$6, Table_ChiPhiNV_Ca[], COUNTA(Table_ChiPhiNV_Ca[[#Headers],[Ca]:[Bắt đầu]]),0)),0,
IF($AA42&gt;MIN(AI$5,VLOOKUP(AI$6, Table_ChiPhiNV_Ca[], COUNTA(Table_ChiPhiNV_Ca[[#Headers],[Ca]:[Kết thúc]]),0)),0,
SUM(_xlfn._xlws.FILTER(Table_BangLuong_TyLeTangCa[Tỷ lệ],
(Table_BangLuong_TyLeTangCa[Ngày] = "Thường") *
(Table_BangLuong_TyLeTangCa[Giờ min]&lt;=$AA42) *
(Table_BangLuong_TyLeTangCa[Giờ max]&gt;$AA42)
)))),
IF(AI$4 &gt; AI$5,
IF(
AND(
$AA42-$Z$4&lt;MAX(AI$4,VLOOKUP(AI$6, Table_ChiPhiNV_Ca[], COUNTA(Table_ChiPhiNV_Ca[[#Headers],[Ca]:[Bắt đầu]]),0)),
$AA42&gt;MIN(AI$5,VLOOKUP(AI$6, Table_ChiPhiNV_Ca[], COUNTA(Table_ChiPhiNV_Ca[[#Headers],[Ca]:[Kết thúc]]),0))),0,
SUM(_xlfn._xlws.FILTER(Table_BangLuong_TyLeTangCa[Tỷ lệ],
(Table_BangLuong_TyLeTangCa[Ngày] = "Thường") *
(Table_BangLuong_TyLeTangCa[Giờ min]&lt;=$AA42) *
(Table_BangLuong_TyLeTangCa[Giờ max]&gt;$AA42)
))),
IF(
AND(
$AA42-$Z$4&gt;=MAX(AI$4,VLOOKUP(AI$6, Table_ChiPhiNV_Ca[], COUNTA(Table_ChiPhiNV_Ca[[#Headers],[Ca]:[Bắt đầu]]),0)),
$AA42&lt;MIN(AI$5,VLOOKUP(AI$6, Table_ChiPhiNV_Ca[], COUNTA(Table_ChiPhiNV_Ca[[#Headers],[Ca]:[Kết thúc]]),0))),
SUM(_xlfn._xlws.FILTER(Table_BangLuong_TyLeTangCa[Tỷ lệ],
(Table_BangLuong_TyLeTangCa[Ngày] = "Thường") *
(Table_BangLuong_TyLeTangCa[Giờ min]&lt;=$AA42) *
(Table_BangLuong_TyLeTangCa[Giờ max]&gt;$AA42)
)),0)
)),
IF(AI$4 &lt; AI$5,
IF($AA42-$Z$4&lt;AI$4,0,
IF($AA42&gt;AI$5,0,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AI$5,$AA42 &lt; AI$4),0,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J42" s="18" cm="1">
        <f t="array" ref="AJ42" xml:space="preserve">
IFERROR(
IF(AJ$1="",0,
IF(AND(
$AA42&gt;=VLOOKUP(AJ$6, Table_ChiPhiNV_Ca[], COUNTA(Table_ChiPhiNV_Ca[[#Headers],[Ca]:[Bắt đầu nghỉ]]),0),
$AA42&lt;VLOOKUP(AJ$6, Table_ChiPhiNV_Ca[], COUNTA(Table_ChiPhiNV_Ca[[#Headers],[Ca]:[Kết thúc nghỉ]]),0)
),0,
IF(NOT(ISBLANK(AJ$3)),
IF(ISBLANK(AJ$7),0,
IF(AJ$4 &lt; AJ$5,
IF($AA42-$Z$4&lt;AJ$4,0,
IF($AA42&gt;AJ$5,0,
SUM(_xlfn._xlws.FILTER(Table_BangLuong_TyLeTangCa[Tỷ lệ],
(Table_BangLuong_TyLeTangCa[Ngày] = AJ$3) *
(Table_BangLuong_TyLeTangCa[Giờ min]&lt;=$AA42) *
(Table_BangLuong_TyLeTangCa[Giờ max]&gt;$AA42)
)))),
IF(AND($AA42-$Z$4 &gt;= AJ$5,$AA42 &lt; AJ$4),0,
SUM(_xlfn._xlws.FILTER(Table_BangLuong_TyLeTangCa[Tỷ lệ],
(Table_BangLuong_TyLeTangCa[Ngày] = AJ$3) *
(Table_BangLuong_TyLeTangCa[Giờ min]&lt;=$AA42) *
(Table_BangLuong_TyLeTangCa[Giờ max]&gt;$AA42)
))))
),
IF(ISBLANK(AJ$7),
IF(VLOOKUP(AJ$6, Table_ChiPhiNV_Ca[], COUNTA(Table_ChiPhiNV_Ca[[#Headers],[Ca]:[Kết thúc]]),0)&gt; VLOOKUP(AJ$6, Table_ChiPhiNV_Ca[], COUNTA(Table_ChiPhiNV_Ca[[#Headers],[Ca]:[Bắt đầu]]),0),
IF($AA42-$Z$4&lt;MAX(AJ$4,VLOOKUP(AJ$6, Table_ChiPhiNV_Ca[], COUNTA(Table_ChiPhiNV_Ca[[#Headers],[Ca]:[Bắt đầu]]),0)),0,
IF($AA42&gt;MIN(AJ$5,VLOOKUP(AJ$6, Table_ChiPhiNV_Ca[], COUNTA(Table_ChiPhiNV_Ca[[#Headers],[Ca]:[Kết thúc]]),0)),0,
SUM(_xlfn._xlws.FILTER(Table_BangLuong_TyLeTangCa[Tỷ lệ],
(Table_BangLuong_TyLeTangCa[Ngày] = "Thường") *
(Table_BangLuong_TyLeTangCa[Giờ min]&lt;=$AA42) *
(Table_BangLuong_TyLeTangCa[Giờ max]&gt;$AA42)
)))),
IF(AJ$4 &gt; AJ$5,
IF(
AND(
$AA42-$Z$4&lt;MAX(AJ$4,VLOOKUP(AJ$6, Table_ChiPhiNV_Ca[], COUNTA(Table_ChiPhiNV_Ca[[#Headers],[Ca]:[Bắt đầu]]),0)),
$AA42&gt;MIN(AJ$5,VLOOKUP(AJ$6, Table_ChiPhiNV_Ca[], COUNTA(Table_ChiPhiNV_Ca[[#Headers],[Ca]:[Kết thúc]]),0))),0,
SUM(_xlfn._xlws.FILTER(Table_BangLuong_TyLeTangCa[Tỷ lệ],
(Table_BangLuong_TyLeTangCa[Ngày] = "Thường") *
(Table_BangLuong_TyLeTangCa[Giờ min]&lt;=$AA42) *
(Table_BangLuong_TyLeTangCa[Giờ max]&gt;$AA42)
))),
IF(
AND(
$AA42-$Z$4&gt;=MAX(AJ$4,VLOOKUP(AJ$6, Table_ChiPhiNV_Ca[], COUNTA(Table_ChiPhiNV_Ca[[#Headers],[Ca]:[Bắt đầu]]),0)),
$AA42&lt;MIN(AJ$5,VLOOKUP(AJ$6, Table_ChiPhiNV_Ca[], COUNTA(Table_ChiPhiNV_Ca[[#Headers],[Ca]:[Kết thúc]]),0))),
SUM(_xlfn._xlws.FILTER(Table_BangLuong_TyLeTangCa[Tỷ lệ],
(Table_BangLuong_TyLeTangCa[Ngày] = "Thường") *
(Table_BangLuong_TyLeTangCa[Giờ min]&lt;=$AA42) *
(Table_BangLuong_TyLeTangCa[Giờ max]&gt;$AA42)
)),0)
)),
IF(AJ$4 &lt; AJ$5,
IF($AA42-$Z$4&lt;AJ$4,0,
IF($AA42&gt;AJ$5,0,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AJ$5,$AA42 &lt; AJ$4),0,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K42" s="18" cm="1">
        <f t="array" ref="AK42" xml:space="preserve">
IFERROR(
IF(AK$1="",0,
IF(AND(
$AA42&gt;=VLOOKUP(AK$6, Table_ChiPhiNV_Ca[], COUNTA(Table_ChiPhiNV_Ca[[#Headers],[Ca]:[Bắt đầu nghỉ]]),0),
$AA42&lt;VLOOKUP(AK$6, Table_ChiPhiNV_Ca[], COUNTA(Table_ChiPhiNV_Ca[[#Headers],[Ca]:[Kết thúc nghỉ]]),0)
),0,
IF(NOT(ISBLANK(AK$3)),
IF(ISBLANK(AK$7),0,
IF(AK$4 &lt; AK$5,
IF($AA42-$Z$4&lt;AK$4,0,
IF($AA42&gt;AK$5,0,
SUM(_xlfn._xlws.FILTER(Table_BangLuong_TyLeTangCa[Tỷ lệ],
(Table_BangLuong_TyLeTangCa[Ngày] = AK$3) *
(Table_BangLuong_TyLeTangCa[Giờ min]&lt;=$AA42) *
(Table_BangLuong_TyLeTangCa[Giờ max]&gt;$AA42)
)))),
IF(AND($AA42-$Z$4 &gt;= AK$5,$AA42 &lt; AK$4),0,
SUM(_xlfn._xlws.FILTER(Table_BangLuong_TyLeTangCa[Tỷ lệ],
(Table_BangLuong_TyLeTangCa[Ngày] = AK$3) *
(Table_BangLuong_TyLeTangCa[Giờ min]&lt;=$AA42) *
(Table_BangLuong_TyLeTangCa[Giờ max]&gt;$AA42)
))))
),
IF(ISBLANK(AK$7),
IF(VLOOKUP(AK$6, Table_ChiPhiNV_Ca[], COUNTA(Table_ChiPhiNV_Ca[[#Headers],[Ca]:[Kết thúc]]),0)&gt; VLOOKUP(AK$6, Table_ChiPhiNV_Ca[], COUNTA(Table_ChiPhiNV_Ca[[#Headers],[Ca]:[Bắt đầu]]),0),
IF($AA42-$Z$4&lt;MAX(AK$4,VLOOKUP(AK$6, Table_ChiPhiNV_Ca[], COUNTA(Table_ChiPhiNV_Ca[[#Headers],[Ca]:[Bắt đầu]]),0)),0,
IF($AA42&gt;MIN(AK$5,VLOOKUP(AK$6, Table_ChiPhiNV_Ca[], COUNTA(Table_ChiPhiNV_Ca[[#Headers],[Ca]:[Kết thúc]]),0)),0,
SUM(_xlfn._xlws.FILTER(Table_BangLuong_TyLeTangCa[Tỷ lệ],
(Table_BangLuong_TyLeTangCa[Ngày] = "Thường") *
(Table_BangLuong_TyLeTangCa[Giờ min]&lt;=$AA42) *
(Table_BangLuong_TyLeTangCa[Giờ max]&gt;$AA42)
)))),
IF(AK$4 &gt; AK$5,
IF(
AND(
$AA42-$Z$4&lt;MAX(AK$4,VLOOKUP(AK$6, Table_ChiPhiNV_Ca[], COUNTA(Table_ChiPhiNV_Ca[[#Headers],[Ca]:[Bắt đầu]]),0)),
$AA42&gt;MIN(AK$5,VLOOKUP(AK$6, Table_ChiPhiNV_Ca[], COUNTA(Table_ChiPhiNV_Ca[[#Headers],[Ca]:[Kết thúc]]),0))),0,
SUM(_xlfn._xlws.FILTER(Table_BangLuong_TyLeTangCa[Tỷ lệ],
(Table_BangLuong_TyLeTangCa[Ngày] = "Thường") *
(Table_BangLuong_TyLeTangCa[Giờ min]&lt;=$AA42) *
(Table_BangLuong_TyLeTangCa[Giờ max]&gt;$AA42)
))),
IF(
AND(
$AA42-$Z$4&gt;=MAX(AK$4,VLOOKUP(AK$6, Table_ChiPhiNV_Ca[], COUNTA(Table_ChiPhiNV_Ca[[#Headers],[Ca]:[Bắt đầu]]),0)),
$AA42&lt;MIN(AK$5,VLOOKUP(AK$6, Table_ChiPhiNV_Ca[], COUNTA(Table_ChiPhiNV_Ca[[#Headers],[Ca]:[Kết thúc]]),0))),
SUM(_xlfn._xlws.FILTER(Table_BangLuong_TyLeTangCa[Tỷ lệ],
(Table_BangLuong_TyLeTangCa[Ngày] = "Thường") *
(Table_BangLuong_TyLeTangCa[Giờ min]&lt;=$AA42) *
(Table_BangLuong_TyLeTangCa[Giờ max]&gt;$AA42)
)),0)
)),
IF(AK$4 &lt; AK$5,
IF($AA42-$Z$4&lt;AK$4,0,
IF($AA42&gt;AK$5,0,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AK$5,$AA42 &lt; AK$4),0,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L42" s="18" cm="1">
        <f t="array" ref="AL42" xml:space="preserve">
IFERROR(
IF(AL$1="",0,
IF(AND(
$AA42&gt;=VLOOKUP(AL$6, Table_ChiPhiNV_Ca[], COUNTA(Table_ChiPhiNV_Ca[[#Headers],[Ca]:[Bắt đầu nghỉ]]),0),
$AA42&lt;VLOOKUP(AL$6, Table_ChiPhiNV_Ca[], COUNTA(Table_ChiPhiNV_Ca[[#Headers],[Ca]:[Kết thúc nghỉ]]),0)
),0,
IF(NOT(ISBLANK(AL$3)),
IF(ISBLANK(AL$7),0,
IF(AL$4 &lt; AL$5,
IF($AA42-$Z$4&lt;AL$4,0,
IF($AA42&gt;AL$5,0,
SUM(_xlfn._xlws.FILTER(Table_BangLuong_TyLeTangCa[Tỷ lệ],
(Table_BangLuong_TyLeTangCa[Ngày] = AL$3) *
(Table_BangLuong_TyLeTangCa[Giờ min]&lt;=$AA42) *
(Table_BangLuong_TyLeTangCa[Giờ max]&gt;$AA42)
)))),
IF(AND($AA42-$Z$4 &gt;= AL$5,$AA42 &lt; AL$4),0,
SUM(_xlfn._xlws.FILTER(Table_BangLuong_TyLeTangCa[Tỷ lệ],
(Table_BangLuong_TyLeTangCa[Ngày] = AL$3) *
(Table_BangLuong_TyLeTangCa[Giờ min]&lt;=$AA42) *
(Table_BangLuong_TyLeTangCa[Giờ max]&gt;$AA42)
))))
),
IF(ISBLANK(AL$7),
IF(VLOOKUP(AL$6, Table_ChiPhiNV_Ca[], COUNTA(Table_ChiPhiNV_Ca[[#Headers],[Ca]:[Kết thúc]]),0)&gt; VLOOKUP(AL$6, Table_ChiPhiNV_Ca[], COUNTA(Table_ChiPhiNV_Ca[[#Headers],[Ca]:[Bắt đầu]]),0),
IF($AA42-$Z$4&lt;MAX(AL$4,VLOOKUP(AL$6, Table_ChiPhiNV_Ca[], COUNTA(Table_ChiPhiNV_Ca[[#Headers],[Ca]:[Bắt đầu]]),0)),0,
IF($AA42&gt;MIN(AL$5,VLOOKUP(AL$6, Table_ChiPhiNV_Ca[], COUNTA(Table_ChiPhiNV_Ca[[#Headers],[Ca]:[Kết thúc]]),0)),0,
SUM(_xlfn._xlws.FILTER(Table_BangLuong_TyLeTangCa[Tỷ lệ],
(Table_BangLuong_TyLeTangCa[Ngày] = "Thường") *
(Table_BangLuong_TyLeTangCa[Giờ min]&lt;=$AA42) *
(Table_BangLuong_TyLeTangCa[Giờ max]&gt;$AA42)
)))),
IF(AL$4 &gt; AL$5,
IF(
AND(
$AA42-$Z$4&lt;MAX(AL$4,VLOOKUP(AL$6, Table_ChiPhiNV_Ca[], COUNTA(Table_ChiPhiNV_Ca[[#Headers],[Ca]:[Bắt đầu]]),0)),
$AA42&gt;MIN(AL$5,VLOOKUP(AL$6, Table_ChiPhiNV_Ca[], COUNTA(Table_ChiPhiNV_Ca[[#Headers],[Ca]:[Kết thúc]]),0))),0,
SUM(_xlfn._xlws.FILTER(Table_BangLuong_TyLeTangCa[Tỷ lệ],
(Table_BangLuong_TyLeTangCa[Ngày] = "Thường") *
(Table_BangLuong_TyLeTangCa[Giờ min]&lt;=$AA42) *
(Table_BangLuong_TyLeTangCa[Giờ max]&gt;$AA42)
))),
IF(
AND(
$AA42-$Z$4&gt;=MAX(AL$4,VLOOKUP(AL$6, Table_ChiPhiNV_Ca[], COUNTA(Table_ChiPhiNV_Ca[[#Headers],[Ca]:[Bắt đầu]]),0)),
$AA42&lt;MIN(AL$5,VLOOKUP(AL$6, Table_ChiPhiNV_Ca[], COUNTA(Table_ChiPhiNV_Ca[[#Headers],[Ca]:[Kết thúc]]),0))),
SUM(_xlfn._xlws.FILTER(Table_BangLuong_TyLeTangCa[Tỷ lệ],
(Table_BangLuong_TyLeTangCa[Ngày] = "Thường") *
(Table_BangLuong_TyLeTangCa[Giờ min]&lt;=$AA42) *
(Table_BangLuong_TyLeTangCa[Giờ max]&gt;$AA42)
)),0)
)),
IF(AL$4 &lt; AL$5,
IF($AA42-$Z$4&lt;AL$4,0,
IF($AA42&gt;AL$5,0,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AL$5,$AA42 &lt; AL$4),0,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M42" s="18" cm="1">
        <f t="array" ref="AM42" xml:space="preserve">
IFERROR(
IF(AM$1="",0,
IF(AND(
$AA42&gt;=VLOOKUP(AM$6, Table_ChiPhiNV_Ca[], COUNTA(Table_ChiPhiNV_Ca[[#Headers],[Ca]:[Bắt đầu nghỉ]]),0),
$AA42&lt;VLOOKUP(AM$6, Table_ChiPhiNV_Ca[], COUNTA(Table_ChiPhiNV_Ca[[#Headers],[Ca]:[Kết thúc nghỉ]]),0)
),0,
IF(NOT(ISBLANK(AM$3)),
IF(ISBLANK(AM$7),0,
IF(AM$4 &lt; AM$5,
IF($AA42-$Z$4&lt;AM$4,0,
IF($AA42&gt;AM$5,0,
SUM(_xlfn._xlws.FILTER(Table_BangLuong_TyLeTangCa[Tỷ lệ],
(Table_BangLuong_TyLeTangCa[Ngày] = AM$3) *
(Table_BangLuong_TyLeTangCa[Giờ min]&lt;=$AA42) *
(Table_BangLuong_TyLeTangCa[Giờ max]&gt;$AA42)
)))),
IF(AND($AA42-$Z$4 &gt;= AM$5,$AA42 &lt; AM$4),0,
SUM(_xlfn._xlws.FILTER(Table_BangLuong_TyLeTangCa[Tỷ lệ],
(Table_BangLuong_TyLeTangCa[Ngày] = AM$3) *
(Table_BangLuong_TyLeTangCa[Giờ min]&lt;=$AA42) *
(Table_BangLuong_TyLeTangCa[Giờ max]&gt;$AA42)
))))
),
IF(ISBLANK(AM$7),
IF(VLOOKUP(AM$6, Table_ChiPhiNV_Ca[], COUNTA(Table_ChiPhiNV_Ca[[#Headers],[Ca]:[Kết thúc]]),0)&gt; VLOOKUP(AM$6, Table_ChiPhiNV_Ca[], COUNTA(Table_ChiPhiNV_Ca[[#Headers],[Ca]:[Bắt đầu]]),0),
IF($AA42-$Z$4&lt;MAX(AM$4,VLOOKUP(AM$6, Table_ChiPhiNV_Ca[], COUNTA(Table_ChiPhiNV_Ca[[#Headers],[Ca]:[Bắt đầu]]),0)),0,
IF($AA42&gt;MIN(AM$5,VLOOKUP(AM$6, Table_ChiPhiNV_Ca[], COUNTA(Table_ChiPhiNV_Ca[[#Headers],[Ca]:[Kết thúc]]),0)),0,
SUM(_xlfn._xlws.FILTER(Table_BangLuong_TyLeTangCa[Tỷ lệ],
(Table_BangLuong_TyLeTangCa[Ngày] = "Thường") *
(Table_BangLuong_TyLeTangCa[Giờ min]&lt;=$AA42) *
(Table_BangLuong_TyLeTangCa[Giờ max]&gt;$AA42)
)))),
IF(AM$4 &gt; AM$5,
IF(
AND(
$AA42-$Z$4&lt;MAX(AM$4,VLOOKUP(AM$6, Table_ChiPhiNV_Ca[], COUNTA(Table_ChiPhiNV_Ca[[#Headers],[Ca]:[Bắt đầu]]),0)),
$AA42&gt;MIN(AM$5,VLOOKUP(AM$6, Table_ChiPhiNV_Ca[], COUNTA(Table_ChiPhiNV_Ca[[#Headers],[Ca]:[Kết thúc]]),0))),0,
SUM(_xlfn._xlws.FILTER(Table_BangLuong_TyLeTangCa[Tỷ lệ],
(Table_BangLuong_TyLeTangCa[Ngày] = "Thường") *
(Table_BangLuong_TyLeTangCa[Giờ min]&lt;=$AA42) *
(Table_BangLuong_TyLeTangCa[Giờ max]&gt;$AA42)
))),
IF(
AND(
$AA42-$Z$4&gt;=MAX(AM$4,VLOOKUP(AM$6, Table_ChiPhiNV_Ca[], COUNTA(Table_ChiPhiNV_Ca[[#Headers],[Ca]:[Bắt đầu]]),0)),
$AA42&lt;MIN(AM$5,VLOOKUP(AM$6, Table_ChiPhiNV_Ca[], COUNTA(Table_ChiPhiNV_Ca[[#Headers],[Ca]:[Kết thúc]]),0))),
SUM(_xlfn._xlws.FILTER(Table_BangLuong_TyLeTangCa[Tỷ lệ],
(Table_BangLuong_TyLeTangCa[Ngày] = "Thường") *
(Table_BangLuong_TyLeTangCa[Giờ min]&lt;=$AA42) *
(Table_BangLuong_TyLeTangCa[Giờ max]&gt;$AA42)
)),0)
)),
IF(AM$4 &lt; AM$5,
IF($AA42-$Z$4&lt;AM$4,0,
IF($AA42&gt;AM$5,0,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AM$5,$AA42 &lt; AM$4),0,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N42" s="18" cm="1">
        <f t="array" ref="AN42" xml:space="preserve">
IFERROR(
IF(AN$1="",0,
IF(AND(
$AA42&gt;=VLOOKUP(AN$6, Table_ChiPhiNV_Ca[], COUNTA(Table_ChiPhiNV_Ca[[#Headers],[Ca]:[Bắt đầu nghỉ]]),0),
$AA42&lt;VLOOKUP(AN$6, Table_ChiPhiNV_Ca[], COUNTA(Table_ChiPhiNV_Ca[[#Headers],[Ca]:[Kết thúc nghỉ]]),0)
),0,
IF(NOT(ISBLANK(AN$3)),
IF(ISBLANK(AN$7),0,
IF(AN$4 &lt; AN$5,
IF($AA42-$Z$4&lt;AN$4,0,
IF($AA42&gt;AN$5,0,
SUM(_xlfn._xlws.FILTER(Table_BangLuong_TyLeTangCa[Tỷ lệ],
(Table_BangLuong_TyLeTangCa[Ngày] = AN$3) *
(Table_BangLuong_TyLeTangCa[Giờ min]&lt;=$AA42) *
(Table_BangLuong_TyLeTangCa[Giờ max]&gt;$AA42)
)))),
IF(AND($AA42-$Z$4 &gt;= AN$5,$AA42 &lt; AN$4),0,
SUM(_xlfn._xlws.FILTER(Table_BangLuong_TyLeTangCa[Tỷ lệ],
(Table_BangLuong_TyLeTangCa[Ngày] = AN$3) *
(Table_BangLuong_TyLeTangCa[Giờ min]&lt;=$AA42) *
(Table_BangLuong_TyLeTangCa[Giờ max]&gt;$AA42)
))))
),
IF(ISBLANK(AN$7),
IF(VLOOKUP(AN$6, Table_ChiPhiNV_Ca[], COUNTA(Table_ChiPhiNV_Ca[[#Headers],[Ca]:[Kết thúc]]),0)&gt; VLOOKUP(AN$6, Table_ChiPhiNV_Ca[], COUNTA(Table_ChiPhiNV_Ca[[#Headers],[Ca]:[Bắt đầu]]),0),
IF($AA42-$Z$4&lt;MAX(AN$4,VLOOKUP(AN$6, Table_ChiPhiNV_Ca[], COUNTA(Table_ChiPhiNV_Ca[[#Headers],[Ca]:[Bắt đầu]]),0)),0,
IF($AA42&gt;MIN(AN$5,VLOOKUP(AN$6, Table_ChiPhiNV_Ca[], COUNTA(Table_ChiPhiNV_Ca[[#Headers],[Ca]:[Kết thúc]]),0)),0,
SUM(_xlfn._xlws.FILTER(Table_BangLuong_TyLeTangCa[Tỷ lệ],
(Table_BangLuong_TyLeTangCa[Ngày] = "Thường") *
(Table_BangLuong_TyLeTangCa[Giờ min]&lt;=$AA42) *
(Table_BangLuong_TyLeTangCa[Giờ max]&gt;$AA42)
)))),
IF(AN$4 &gt; AN$5,
IF(
AND(
$AA42-$Z$4&lt;MAX(AN$4,VLOOKUP(AN$6, Table_ChiPhiNV_Ca[], COUNTA(Table_ChiPhiNV_Ca[[#Headers],[Ca]:[Bắt đầu]]),0)),
$AA42&gt;MIN(AN$5,VLOOKUP(AN$6, Table_ChiPhiNV_Ca[], COUNTA(Table_ChiPhiNV_Ca[[#Headers],[Ca]:[Kết thúc]]),0))),0,
SUM(_xlfn._xlws.FILTER(Table_BangLuong_TyLeTangCa[Tỷ lệ],
(Table_BangLuong_TyLeTangCa[Ngày] = "Thường") *
(Table_BangLuong_TyLeTangCa[Giờ min]&lt;=$AA42) *
(Table_BangLuong_TyLeTangCa[Giờ max]&gt;$AA42)
))),
IF(
AND(
$AA42-$Z$4&gt;=MAX(AN$4,VLOOKUP(AN$6, Table_ChiPhiNV_Ca[], COUNTA(Table_ChiPhiNV_Ca[[#Headers],[Ca]:[Bắt đầu]]),0)),
$AA42&lt;MIN(AN$5,VLOOKUP(AN$6, Table_ChiPhiNV_Ca[], COUNTA(Table_ChiPhiNV_Ca[[#Headers],[Ca]:[Kết thúc]]),0))),
SUM(_xlfn._xlws.FILTER(Table_BangLuong_TyLeTangCa[Tỷ lệ],
(Table_BangLuong_TyLeTangCa[Ngày] = "Thường") *
(Table_BangLuong_TyLeTangCa[Giờ min]&lt;=$AA42) *
(Table_BangLuong_TyLeTangCa[Giờ max]&gt;$AA42)
)),0)
)),
IF(AN$4 &lt; AN$5,
IF($AA42-$Z$4&lt;AN$4,0,
IF($AA42&gt;AN$5,0,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AN$5,$AA42 &lt; AN$4),0,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O42" s="18" cm="1">
        <f t="array" ref="AO42" xml:space="preserve">
IFERROR(
IF(AO$1="",0,
IF(AND(
$AA42&gt;=VLOOKUP(AO$6, Table_ChiPhiNV_Ca[], COUNTA(Table_ChiPhiNV_Ca[[#Headers],[Ca]:[Bắt đầu nghỉ]]),0),
$AA42&lt;VLOOKUP(AO$6, Table_ChiPhiNV_Ca[], COUNTA(Table_ChiPhiNV_Ca[[#Headers],[Ca]:[Kết thúc nghỉ]]),0)
),0,
IF(NOT(ISBLANK(AO$3)),
IF(ISBLANK(AO$7),0,
IF(AO$4 &lt; AO$5,
IF($AA42-$Z$4&lt;AO$4,0,
IF($AA42&gt;AO$5,0,
SUM(_xlfn._xlws.FILTER(Table_BangLuong_TyLeTangCa[Tỷ lệ],
(Table_BangLuong_TyLeTangCa[Ngày] = AO$3) *
(Table_BangLuong_TyLeTangCa[Giờ min]&lt;=$AA42) *
(Table_BangLuong_TyLeTangCa[Giờ max]&gt;$AA42)
)))),
IF(AND($AA42-$Z$4 &gt;= AO$5,$AA42 &lt; AO$4),0,
SUM(_xlfn._xlws.FILTER(Table_BangLuong_TyLeTangCa[Tỷ lệ],
(Table_BangLuong_TyLeTangCa[Ngày] = AO$3) *
(Table_BangLuong_TyLeTangCa[Giờ min]&lt;=$AA42) *
(Table_BangLuong_TyLeTangCa[Giờ max]&gt;$AA42)
))))
),
IF(ISBLANK(AO$7),
IF(VLOOKUP(AO$6, Table_ChiPhiNV_Ca[], COUNTA(Table_ChiPhiNV_Ca[[#Headers],[Ca]:[Kết thúc]]),0)&gt; VLOOKUP(AO$6, Table_ChiPhiNV_Ca[], COUNTA(Table_ChiPhiNV_Ca[[#Headers],[Ca]:[Bắt đầu]]),0),
IF($AA42-$Z$4&lt;MAX(AO$4,VLOOKUP(AO$6, Table_ChiPhiNV_Ca[], COUNTA(Table_ChiPhiNV_Ca[[#Headers],[Ca]:[Bắt đầu]]),0)),0,
IF($AA42&gt;MIN(AO$5,VLOOKUP(AO$6, Table_ChiPhiNV_Ca[], COUNTA(Table_ChiPhiNV_Ca[[#Headers],[Ca]:[Kết thúc]]),0)),0,
SUM(_xlfn._xlws.FILTER(Table_BangLuong_TyLeTangCa[Tỷ lệ],
(Table_BangLuong_TyLeTangCa[Ngày] = "Thường") *
(Table_BangLuong_TyLeTangCa[Giờ min]&lt;=$AA42) *
(Table_BangLuong_TyLeTangCa[Giờ max]&gt;$AA42)
)))),
IF(AO$4 &gt; AO$5,
IF(
AND(
$AA42-$Z$4&lt;MAX(AO$4,VLOOKUP(AO$6, Table_ChiPhiNV_Ca[], COUNTA(Table_ChiPhiNV_Ca[[#Headers],[Ca]:[Bắt đầu]]),0)),
$AA42&gt;MIN(AO$5,VLOOKUP(AO$6, Table_ChiPhiNV_Ca[], COUNTA(Table_ChiPhiNV_Ca[[#Headers],[Ca]:[Kết thúc]]),0))),0,
SUM(_xlfn._xlws.FILTER(Table_BangLuong_TyLeTangCa[Tỷ lệ],
(Table_BangLuong_TyLeTangCa[Ngày] = "Thường") *
(Table_BangLuong_TyLeTangCa[Giờ min]&lt;=$AA42) *
(Table_BangLuong_TyLeTangCa[Giờ max]&gt;$AA42)
))),
IF(
AND(
$AA42-$Z$4&gt;=MAX(AO$4,VLOOKUP(AO$6, Table_ChiPhiNV_Ca[], COUNTA(Table_ChiPhiNV_Ca[[#Headers],[Ca]:[Bắt đầu]]),0)),
$AA42&lt;MIN(AO$5,VLOOKUP(AO$6, Table_ChiPhiNV_Ca[], COUNTA(Table_ChiPhiNV_Ca[[#Headers],[Ca]:[Kết thúc]]),0))),
SUM(_xlfn._xlws.FILTER(Table_BangLuong_TyLeTangCa[Tỷ lệ],
(Table_BangLuong_TyLeTangCa[Ngày] = "Thường") *
(Table_BangLuong_TyLeTangCa[Giờ min]&lt;=$AA42) *
(Table_BangLuong_TyLeTangCa[Giờ max]&gt;$AA42)
)),0)
)),
IF(AO$4 &lt; AO$5,
IF($AA42-$Z$4&lt;AO$4,0,
IF($AA42&gt;AO$5,0,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AO$5,$AA42 &lt; AO$4),0,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P42" s="18" cm="1">
        <f t="array" ref="AP42" xml:space="preserve">
IFERROR(
IF(AP$1="",0,
IF(AND(
$AA42&gt;=VLOOKUP(AP$6, Table_ChiPhiNV_Ca[], COUNTA(Table_ChiPhiNV_Ca[[#Headers],[Ca]:[Bắt đầu nghỉ]]),0),
$AA42&lt;VLOOKUP(AP$6, Table_ChiPhiNV_Ca[], COUNTA(Table_ChiPhiNV_Ca[[#Headers],[Ca]:[Kết thúc nghỉ]]),0)
),0,
IF(NOT(ISBLANK(AP$3)),
IF(ISBLANK(AP$7),0,
IF(AP$4 &lt; AP$5,
IF($AA42-$Z$4&lt;AP$4,0,
IF($AA42&gt;AP$5,0,
SUM(_xlfn._xlws.FILTER(Table_BangLuong_TyLeTangCa[Tỷ lệ],
(Table_BangLuong_TyLeTangCa[Ngày] = AP$3) *
(Table_BangLuong_TyLeTangCa[Giờ min]&lt;=$AA42) *
(Table_BangLuong_TyLeTangCa[Giờ max]&gt;$AA42)
)))),
IF(AND($AA42-$Z$4 &gt;= AP$5,$AA42 &lt; AP$4),0,
SUM(_xlfn._xlws.FILTER(Table_BangLuong_TyLeTangCa[Tỷ lệ],
(Table_BangLuong_TyLeTangCa[Ngày] = AP$3) *
(Table_BangLuong_TyLeTangCa[Giờ min]&lt;=$AA42) *
(Table_BangLuong_TyLeTangCa[Giờ max]&gt;$AA42)
))))
),
IF(ISBLANK(AP$7),
IF(VLOOKUP(AP$6, Table_ChiPhiNV_Ca[], COUNTA(Table_ChiPhiNV_Ca[[#Headers],[Ca]:[Kết thúc]]),0)&gt; VLOOKUP(AP$6, Table_ChiPhiNV_Ca[], COUNTA(Table_ChiPhiNV_Ca[[#Headers],[Ca]:[Bắt đầu]]),0),
IF($AA42-$Z$4&lt;MAX(AP$4,VLOOKUP(AP$6, Table_ChiPhiNV_Ca[], COUNTA(Table_ChiPhiNV_Ca[[#Headers],[Ca]:[Bắt đầu]]),0)),0,
IF($AA42&gt;MIN(AP$5,VLOOKUP(AP$6, Table_ChiPhiNV_Ca[], COUNTA(Table_ChiPhiNV_Ca[[#Headers],[Ca]:[Kết thúc]]),0)),0,
SUM(_xlfn._xlws.FILTER(Table_BangLuong_TyLeTangCa[Tỷ lệ],
(Table_BangLuong_TyLeTangCa[Ngày] = "Thường") *
(Table_BangLuong_TyLeTangCa[Giờ min]&lt;=$AA42) *
(Table_BangLuong_TyLeTangCa[Giờ max]&gt;$AA42)
)))),
IF(AP$4 &gt; AP$5,
IF(
AND(
$AA42-$Z$4&lt;MAX(AP$4,VLOOKUP(AP$6, Table_ChiPhiNV_Ca[], COUNTA(Table_ChiPhiNV_Ca[[#Headers],[Ca]:[Bắt đầu]]),0)),
$AA42&gt;MIN(AP$5,VLOOKUP(AP$6, Table_ChiPhiNV_Ca[], COUNTA(Table_ChiPhiNV_Ca[[#Headers],[Ca]:[Kết thúc]]),0))),0,
SUM(_xlfn._xlws.FILTER(Table_BangLuong_TyLeTangCa[Tỷ lệ],
(Table_BangLuong_TyLeTangCa[Ngày] = "Thường") *
(Table_BangLuong_TyLeTangCa[Giờ min]&lt;=$AA42) *
(Table_BangLuong_TyLeTangCa[Giờ max]&gt;$AA42)
))),
IF(
AND(
$AA42-$Z$4&gt;=MAX(AP$4,VLOOKUP(AP$6, Table_ChiPhiNV_Ca[], COUNTA(Table_ChiPhiNV_Ca[[#Headers],[Ca]:[Bắt đầu]]),0)),
$AA42&lt;MIN(AP$5,VLOOKUP(AP$6, Table_ChiPhiNV_Ca[], COUNTA(Table_ChiPhiNV_Ca[[#Headers],[Ca]:[Kết thúc]]),0))),
SUM(_xlfn._xlws.FILTER(Table_BangLuong_TyLeTangCa[Tỷ lệ],
(Table_BangLuong_TyLeTangCa[Ngày] = "Thường") *
(Table_BangLuong_TyLeTangCa[Giờ min]&lt;=$AA42) *
(Table_BangLuong_TyLeTangCa[Giờ max]&gt;$AA42)
)),0)
)),
IF(AP$4 &lt; AP$5,
IF($AA42-$Z$4&lt;AP$4,0,
IF($AA42&gt;AP$5,0,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AP$5,$AA42 &lt; AP$4),0,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Q42" s="18" cm="1">
        <f t="array" ref="AQ42" xml:space="preserve">
IFERROR(
IF(AQ$1="",0,
IF(AND(
$AA42&gt;=VLOOKUP(AQ$6, Table_ChiPhiNV_Ca[], COUNTA(Table_ChiPhiNV_Ca[[#Headers],[Ca]:[Bắt đầu nghỉ]]),0),
$AA42&lt;VLOOKUP(AQ$6, Table_ChiPhiNV_Ca[], COUNTA(Table_ChiPhiNV_Ca[[#Headers],[Ca]:[Kết thúc nghỉ]]),0)
),0,
IF(NOT(ISBLANK(AQ$3)),
IF(ISBLANK(AQ$7),0,
IF(AQ$4 &lt; AQ$5,
IF($AA42-$Z$4&lt;AQ$4,0,
IF($AA42&gt;AQ$5,0,
SUM(_xlfn._xlws.FILTER(Table_BangLuong_TyLeTangCa[Tỷ lệ],
(Table_BangLuong_TyLeTangCa[Ngày] = AQ$3) *
(Table_BangLuong_TyLeTangCa[Giờ min]&lt;=$AA42) *
(Table_BangLuong_TyLeTangCa[Giờ max]&gt;$AA42)
)))),
IF(AND($AA42-$Z$4 &gt;= AQ$5,$AA42 &lt; AQ$4),0,
SUM(_xlfn._xlws.FILTER(Table_BangLuong_TyLeTangCa[Tỷ lệ],
(Table_BangLuong_TyLeTangCa[Ngày] = AQ$3) *
(Table_BangLuong_TyLeTangCa[Giờ min]&lt;=$AA42) *
(Table_BangLuong_TyLeTangCa[Giờ max]&gt;$AA42)
))))
),
IF(ISBLANK(AQ$7),
IF(VLOOKUP(AQ$6, Table_ChiPhiNV_Ca[], COUNTA(Table_ChiPhiNV_Ca[[#Headers],[Ca]:[Kết thúc]]),0)&gt; VLOOKUP(AQ$6, Table_ChiPhiNV_Ca[], COUNTA(Table_ChiPhiNV_Ca[[#Headers],[Ca]:[Bắt đầu]]),0),
IF($AA42-$Z$4&lt;MAX(AQ$4,VLOOKUP(AQ$6, Table_ChiPhiNV_Ca[], COUNTA(Table_ChiPhiNV_Ca[[#Headers],[Ca]:[Bắt đầu]]),0)),0,
IF($AA42&gt;MIN(AQ$5,VLOOKUP(AQ$6, Table_ChiPhiNV_Ca[], COUNTA(Table_ChiPhiNV_Ca[[#Headers],[Ca]:[Kết thúc]]),0)),0,
SUM(_xlfn._xlws.FILTER(Table_BangLuong_TyLeTangCa[Tỷ lệ],
(Table_BangLuong_TyLeTangCa[Ngày] = "Thường") *
(Table_BangLuong_TyLeTangCa[Giờ min]&lt;=$AA42) *
(Table_BangLuong_TyLeTangCa[Giờ max]&gt;$AA42)
)))),
IF(AQ$4 &gt; AQ$5,
IF(
AND(
$AA42-$Z$4&lt;MAX(AQ$4,VLOOKUP(AQ$6, Table_ChiPhiNV_Ca[], COUNTA(Table_ChiPhiNV_Ca[[#Headers],[Ca]:[Bắt đầu]]),0)),
$AA42&gt;MIN(AQ$5,VLOOKUP(AQ$6, Table_ChiPhiNV_Ca[], COUNTA(Table_ChiPhiNV_Ca[[#Headers],[Ca]:[Kết thúc]]),0))),0,
SUM(_xlfn._xlws.FILTER(Table_BangLuong_TyLeTangCa[Tỷ lệ],
(Table_BangLuong_TyLeTangCa[Ngày] = "Thường") *
(Table_BangLuong_TyLeTangCa[Giờ min]&lt;=$AA42) *
(Table_BangLuong_TyLeTangCa[Giờ max]&gt;$AA42)
))),
IF(
AND(
$AA42-$Z$4&gt;=MAX(AQ$4,VLOOKUP(AQ$6, Table_ChiPhiNV_Ca[], COUNTA(Table_ChiPhiNV_Ca[[#Headers],[Ca]:[Bắt đầu]]),0)),
$AA42&lt;MIN(AQ$5,VLOOKUP(AQ$6, Table_ChiPhiNV_Ca[], COUNTA(Table_ChiPhiNV_Ca[[#Headers],[Ca]:[Kết thúc]]),0))),
SUM(_xlfn._xlws.FILTER(Table_BangLuong_TyLeTangCa[Tỷ lệ],
(Table_BangLuong_TyLeTangCa[Ngày] = "Thường") *
(Table_BangLuong_TyLeTangCa[Giờ min]&lt;=$AA42) *
(Table_BangLuong_TyLeTangCa[Giờ max]&gt;$AA42)
)),0)
)),
IF(AQ$4 &lt; AQ$5,
IF($AA42-$Z$4&lt;AQ$4,0,
IF($AA42&gt;AQ$5,0,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AQ$5,$AA42 &lt; AQ$4),0,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R42" s="18" cm="1">
        <f t="array" ref="AR42" xml:space="preserve">
IFERROR(
IF(AR$1="",0,
IF(AND(
$AA42&gt;=VLOOKUP(AR$6, Table_ChiPhiNV_Ca[], COUNTA(Table_ChiPhiNV_Ca[[#Headers],[Ca]:[Bắt đầu nghỉ]]),0),
$AA42&lt;VLOOKUP(AR$6, Table_ChiPhiNV_Ca[], COUNTA(Table_ChiPhiNV_Ca[[#Headers],[Ca]:[Kết thúc nghỉ]]),0)
),0,
IF(NOT(ISBLANK(AR$3)),
IF(ISBLANK(AR$7),0,
IF(AR$4 &lt; AR$5,
IF($AA42-$Z$4&lt;AR$4,0,
IF($AA42&gt;AR$5,0,
SUM(_xlfn._xlws.FILTER(Table_BangLuong_TyLeTangCa[Tỷ lệ],
(Table_BangLuong_TyLeTangCa[Ngày] = AR$3) *
(Table_BangLuong_TyLeTangCa[Giờ min]&lt;=$AA42) *
(Table_BangLuong_TyLeTangCa[Giờ max]&gt;$AA42)
)))),
IF(AND($AA42-$Z$4 &gt;= AR$5,$AA42 &lt; AR$4),0,
SUM(_xlfn._xlws.FILTER(Table_BangLuong_TyLeTangCa[Tỷ lệ],
(Table_BangLuong_TyLeTangCa[Ngày] = AR$3) *
(Table_BangLuong_TyLeTangCa[Giờ min]&lt;=$AA42) *
(Table_BangLuong_TyLeTangCa[Giờ max]&gt;$AA42)
))))
),
IF(ISBLANK(AR$7),
IF(VLOOKUP(AR$6, Table_ChiPhiNV_Ca[], COUNTA(Table_ChiPhiNV_Ca[[#Headers],[Ca]:[Kết thúc]]),0)&gt; VLOOKUP(AR$6, Table_ChiPhiNV_Ca[], COUNTA(Table_ChiPhiNV_Ca[[#Headers],[Ca]:[Bắt đầu]]),0),
IF($AA42-$Z$4&lt;MAX(AR$4,VLOOKUP(AR$6, Table_ChiPhiNV_Ca[], COUNTA(Table_ChiPhiNV_Ca[[#Headers],[Ca]:[Bắt đầu]]),0)),0,
IF($AA42&gt;MIN(AR$5,VLOOKUP(AR$6, Table_ChiPhiNV_Ca[], COUNTA(Table_ChiPhiNV_Ca[[#Headers],[Ca]:[Kết thúc]]),0)),0,
SUM(_xlfn._xlws.FILTER(Table_BangLuong_TyLeTangCa[Tỷ lệ],
(Table_BangLuong_TyLeTangCa[Ngày] = "Thường") *
(Table_BangLuong_TyLeTangCa[Giờ min]&lt;=$AA42) *
(Table_BangLuong_TyLeTangCa[Giờ max]&gt;$AA42)
)))),
IF(AR$4 &gt; AR$5,
IF(
AND(
$AA42-$Z$4&lt;MAX(AR$4,VLOOKUP(AR$6, Table_ChiPhiNV_Ca[], COUNTA(Table_ChiPhiNV_Ca[[#Headers],[Ca]:[Bắt đầu]]),0)),
$AA42&gt;MIN(AR$5,VLOOKUP(AR$6, Table_ChiPhiNV_Ca[], COUNTA(Table_ChiPhiNV_Ca[[#Headers],[Ca]:[Kết thúc]]),0))),0,
SUM(_xlfn._xlws.FILTER(Table_BangLuong_TyLeTangCa[Tỷ lệ],
(Table_BangLuong_TyLeTangCa[Ngày] = "Thường") *
(Table_BangLuong_TyLeTangCa[Giờ min]&lt;=$AA42) *
(Table_BangLuong_TyLeTangCa[Giờ max]&gt;$AA42)
))),
IF(
AND(
$AA42-$Z$4&gt;=MAX(AR$4,VLOOKUP(AR$6, Table_ChiPhiNV_Ca[], COUNTA(Table_ChiPhiNV_Ca[[#Headers],[Ca]:[Bắt đầu]]),0)),
$AA42&lt;MIN(AR$5,VLOOKUP(AR$6, Table_ChiPhiNV_Ca[], COUNTA(Table_ChiPhiNV_Ca[[#Headers],[Ca]:[Kết thúc]]),0))),
SUM(_xlfn._xlws.FILTER(Table_BangLuong_TyLeTangCa[Tỷ lệ],
(Table_BangLuong_TyLeTangCa[Ngày] = "Thường") *
(Table_BangLuong_TyLeTangCa[Giờ min]&lt;=$AA42) *
(Table_BangLuong_TyLeTangCa[Giờ max]&gt;$AA42)
)),0)
)),
IF(AR$4 &lt; AR$5,
IF($AA42-$Z$4&lt;AR$4,0,
IF($AA42&gt;AR$5,0,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AR$5,$AA42 &lt; AR$4),0,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S42" s="18" cm="1">
        <f t="array" ref="AS42" xml:space="preserve">
IFERROR(
IF(AS$1="",0,
IF(AND(
$AA42&gt;=VLOOKUP(AS$6, Table_ChiPhiNV_Ca[], COUNTA(Table_ChiPhiNV_Ca[[#Headers],[Ca]:[Bắt đầu nghỉ]]),0),
$AA42&lt;VLOOKUP(AS$6, Table_ChiPhiNV_Ca[], COUNTA(Table_ChiPhiNV_Ca[[#Headers],[Ca]:[Kết thúc nghỉ]]),0)
),0,
IF(NOT(ISBLANK(AS$3)),
IF(ISBLANK(AS$7),0,
IF(AS$4 &lt; AS$5,
IF($AA42-$Z$4&lt;AS$4,0,
IF($AA42&gt;AS$5,0,
SUM(_xlfn._xlws.FILTER(Table_BangLuong_TyLeTangCa[Tỷ lệ],
(Table_BangLuong_TyLeTangCa[Ngày] = AS$3) *
(Table_BangLuong_TyLeTangCa[Giờ min]&lt;=$AA42) *
(Table_BangLuong_TyLeTangCa[Giờ max]&gt;$AA42)
)))),
IF(AND($AA42-$Z$4 &gt;= AS$5,$AA42 &lt; AS$4),0,
SUM(_xlfn._xlws.FILTER(Table_BangLuong_TyLeTangCa[Tỷ lệ],
(Table_BangLuong_TyLeTangCa[Ngày] = AS$3) *
(Table_BangLuong_TyLeTangCa[Giờ min]&lt;=$AA42) *
(Table_BangLuong_TyLeTangCa[Giờ max]&gt;$AA42)
))))
),
IF(ISBLANK(AS$7),
IF(VLOOKUP(AS$6, Table_ChiPhiNV_Ca[], COUNTA(Table_ChiPhiNV_Ca[[#Headers],[Ca]:[Kết thúc]]),0)&gt; VLOOKUP(AS$6, Table_ChiPhiNV_Ca[], COUNTA(Table_ChiPhiNV_Ca[[#Headers],[Ca]:[Bắt đầu]]),0),
IF($AA42-$Z$4&lt;MAX(AS$4,VLOOKUP(AS$6, Table_ChiPhiNV_Ca[], COUNTA(Table_ChiPhiNV_Ca[[#Headers],[Ca]:[Bắt đầu]]),0)),0,
IF($AA42&gt;MIN(AS$5,VLOOKUP(AS$6, Table_ChiPhiNV_Ca[], COUNTA(Table_ChiPhiNV_Ca[[#Headers],[Ca]:[Kết thúc]]),0)),0,
SUM(_xlfn._xlws.FILTER(Table_BangLuong_TyLeTangCa[Tỷ lệ],
(Table_BangLuong_TyLeTangCa[Ngày] = "Thường") *
(Table_BangLuong_TyLeTangCa[Giờ min]&lt;=$AA42) *
(Table_BangLuong_TyLeTangCa[Giờ max]&gt;$AA42)
)))),
IF(AS$4 &gt; AS$5,
IF(
AND(
$AA42-$Z$4&lt;MAX(AS$4,VLOOKUP(AS$6, Table_ChiPhiNV_Ca[], COUNTA(Table_ChiPhiNV_Ca[[#Headers],[Ca]:[Bắt đầu]]),0)),
$AA42&gt;MIN(AS$5,VLOOKUP(AS$6, Table_ChiPhiNV_Ca[], COUNTA(Table_ChiPhiNV_Ca[[#Headers],[Ca]:[Kết thúc]]),0))),0,
SUM(_xlfn._xlws.FILTER(Table_BangLuong_TyLeTangCa[Tỷ lệ],
(Table_BangLuong_TyLeTangCa[Ngày] = "Thường") *
(Table_BangLuong_TyLeTangCa[Giờ min]&lt;=$AA42) *
(Table_BangLuong_TyLeTangCa[Giờ max]&gt;$AA42)
))),
IF(
AND(
$AA42-$Z$4&gt;=MAX(AS$4,VLOOKUP(AS$6, Table_ChiPhiNV_Ca[], COUNTA(Table_ChiPhiNV_Ca[[#Headers],[Ca]:[Bắt đầu]]),0)),
$AA42&lt;MIN(AS$5,VLOOKUP(AS$6, Table_ChiPhiNV_Ca[], COUNTA(Table_ChiPhiNV_Ca[[#Headers],[Ca]:[Kết thúc]]),0))),
SUM(_xlfn._xlws.FILTER(Table_BangLuong_TyLeTangCa[Tỷ lệ],
(Table_BangLuong_TyLeTangCa[Ngày] = "Thường") *
(Table_BangLuong_TyLeTangCa[Giờ min]&lt;=$AA42) *
(Table_BangLuong_TyLeTangCa[Giờ max]&gt;$AA42)
)),0)
)),
IF(AS$4 &lt; AS$5,
IF($AA42-$Z$4&lt;AS$4,0,
IF($AA42&gt;AS$5,0,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AS$5,$AA42 &lt; AS$4),0,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T42" s="18" cm="1">
        <f t="array" ref="AT42" xml:space="preserve">
IFERROR(
IF(AT$1="",0,
IF(AND(
$AA42&gt;=VLOOKUP(AT$6, Table_ChiPhiNV_Ca[], COUNTA(Table_ChiPhiNV_Ca[[#Headers],[Ca]:[Bắt đầu nghỉ]]),0),
$AA42&lt;VLOOKUP(AT$6, Table_ChiPhiNV_Ca[], COUNTA(Table_ChiPhiNV_Ca[[#Headers],[Ca]:[Kết thúc nghỉ]]),0)
),0,
IF(NOT(ISBLANK(AT$3)),
IF(ISBLANK(AT$7),0,
IF(AT$4 &lt; AT$5,
IF($AA42-$Z$4&lt;AT$4,0,
IF($AA42&gt;AT$5,0,
SUM(_xlfn._xlws.FILTER(Table_BangLuong_TyLeTangCa[Tỷ lệ],
(Table_BangLuong_TyLeTangCa[Ngày] = AT$3) *
(Table_BangLuong_TyLeTangCa[Giờ min]&lt;=$AA42) *
(Table_BangLuong_TyLeTangCa[Giờ max]&gt;$AA42)
)))),
IF(AND($AA42-$Z$4 &gt;= AT$5,$AA42 &lt; AT$4),0,
SUM(_xlfn._xlws.FILTER(Table_BangLuong_TyLeTangCa[Tỷ lệ],
(Table_BangLuong_TyLeTangCa[Ngày] = AT$3) *
(Table_BangLuong_TyLeTangCa[Giờ min]&lt;=$AA42) *
(Table_BangLuong_TyLeTangCa[Giờ max]&gt;$AA42)
))))
),
IF(ISBLANK(AT$7),
IF(VLOOKUP(AT$6, Table_ChiPhiNV_Ca[], COUNTA(Table_ChiPhiNV_Ca[[#Headers],[Ca]:[Kết thúc]]),0)&gt; VLOOKUP(AT$6, Table_ChiPhiNV_Ca[], COUNTA(Table_ChiPhiNV_Ca[[#Headers],[Ca]:[Bắt đầu]]),0),
IF($AA42-$Z$4&lt;MAX(AT$4,VLOOKUP(AT$6, Table_ChiPhiNV_Ca[], COUNTA(Table_ChiPhiNV_Ca[[#Headers],[Ca]:[Bắt đầu]]),0)),0,
IF($AA42&gt;MIN(AT$5,VLOOKUP(AT$6, Table_ChiPhiNV_Ca[], COUNTA(Table_ChiPhiNV_Ca[[#Headers],[Ca]:[Kết thúc]]),0)),0,
SUM(_xlfn._xlws.FILTER(Table_BangLuong_TyLeTangCa[Tỷ lệ],
(Table_BangLuong_TyLeTangCa[Ngày] = "Thường") *
(Table_BangLuong_TyLeTangCa[Giờ min]&lt;=$AA42) *
(Table_BangLuong_TyLeTangCa[Giờ max]&gt;$AA42)
)))),
IF(AT$4 &gt; AT$5,
IF(
AND(
$AA42-$Z$4&lt;MAX(AT$4,VLOOKUP(AT$6, Table_ChiPhiNV_Ca[], COUNTA(Table_ChiPhiNV_Ca[[#Headers],[Ca]:[Bắt đầu]]),0)),
$AA42&gt;MIN(AT$5,VLOOKUP(AT$6, Table_ChiPhiNV_Ca[], COUNTA(Table_ChiPhiNV_Ca[[#Headers],[Ca]:[Kết thúc]]),0))),0,
SUM(_xlfn._xlws.FILTER(Table_BangLuong_TyLeTangCa[Tỷ lệ],
(Table_BangLuong_TyLeTangCa[Ngày] = "Thường") *
(Table_BangLuong_TyLeTangCa[Giờ min]&lt;=$AA42) *
(Table_BangLuong_TyLeTangCa[Giờ max]&gt;$AA42)
))),
IF(
AND(
$AA42-$Z$4&gt;=MAX(AT$4,VLOOKUP(AT$6, Table_ChiPhiNV_Ca[], COUNTA(Table_ChiPhiNV_Ca[[#Headers],[Ca]:[Bắt đầu]]),0)),
$AA42&lt;MIN(AT$5,VLOOKUP(AT$6, Table_ChiPhiNV_Ca[], COUNTA(Table_ChiPhiNV_Ca[[#Headers],[Ca]:[Kết thúc]]),0))),
SUM(_xlfn._xlws.FILTER(Table_BangLuong_TyLeTangCa[Tỷ lệ],
(Table_BangLuong_TyLeTangCa[Ngày] = "Thường") *
(Table_BangLuong_TyLeTangCa[Giờ min]&lt;=$AA42) *
(Table_BangLuong_TyLeTangCa[Giờ max]&gt;$AA42)
)),0)
)),
IF(AT$4 &lt; AT$5,
IF($AA42-$Z$4&lt;AT$4,0,
IF($AA42&gt;AT$5,0,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AT$5,$AA42 &lt; AT$4),0,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U42" s="18" cm="1">
        <f t="array" ref="AU42" xml:space="preserve">
IFERROR(
IF(AU$1="",0,
IF(AND(
$AA42&gt;=VLOOKUP(AU$6, Table_ChiPhiNV_Ca[], COUNTA(Table_ChiPhiNV_Ca[[#Headers],[Ca]:[Bắt đầu nghỉ]]),0),
$AA42&lt;VLOOKUP(AU$6, Table_ChiPhiNV_Ca[], COUNTA(Table_ChiPhiNV_Ca[[#Headers],[Ca]:[Kết thúc nghỉ]]),0)
),0,
IF(NOT(ISBLANK(AU$3)),
IF(ISBLANK(AU$7),0,
IF(AU$4 &lt; AU$5,
IF($AA42-$Z$4&lt;AU$4,0,
IF($AA42&gt;AU$5,0,
SUM(_xlfn._xlws.FILTER(Table_BangLuong_TyLeTangCa[Tỷ lệ],
(Table_BangLuong_TyLeTangCa[Ngày] = AU$3) *
(Table_BangLuong_TyLeTangCa[Giờ min]&lt;=$AA42) *
(Table_BangLuong_TyLeTangCa[Giờ max]&gt;$AA42)
)))),
IF(AND($AA42-$Z$4 &gt;= AU$5,$AA42 &lt; AU$4),0,
SUM(_xlfn._xlws.FILTER(Table_BangLuong_TyLeTangCa[Tỷ lệ],
(Table_BangLuong_TyLeTangCa[Ngày] = AU$3) *
(Table_BangLuong_TyLeTangCa[Giờ min]&lt;=$AA42) *
(Table_BangLuong_TyLeTangCa[Giờ max]&gt;$AA42)
))))
),
IF(ISBLANK(AU$7),
IF(VLOOKUP(AU$6, Table_ChiPhiNV_Ca[], COUNTA(Table_ChiPhiNV_Ca[[#Headers],[Ca]:[Kết thúc]]),0)&gt; VLOOKUP(AU$6, Table_ChiPhiNV_Ca[], COUNTA(Table_ChiPhiNV_Ca[[#Headers],[Ca]:[Bắt đầu]]),0),
IF($AA42-$Z$4&lt;MAX(AU$4,VLOOKUP(AU$6, Table_ChiPhiNV_Ca[], COUNTA(Table_ChiPhiNV_Ca[[#Headers],[Ca]:[Bắt đầu]]),0)),0,
IF($AA42&gt;MIN(AU$5,VLOOKUP(AU$6, Table_ChiPhiNV_Ca[], COUNTA(Table_ChiPhiNV_Ca[[#Headers],[Ca]:[Kết thúc]]),0)),0,
SUM(_xlfn._xlws.FILTER(Table_BangLuong_TyLeTangCa[Tỷ lệ],
(Table_BangLuong_TyLeTangCa[Ngày] = "Thường") *
(Table_BangLuong_TyLeTangCa[Giờ min]&lt;=$AA42) *
(Table_BangLuong_TyLeTangCa[Giờ max]&gt;$AA42)
)))),
IF(AU$4 &gt; AU$5,
IF(
AND(
$AA42-$Z$4&lt;MAX(AU$4,VLOOKUP(AU$6, Table_ChiPhiNV_Ca[], COUNTA(Table_ChiPhiNV_Ca[[#Headers],[Ca]:[Bắt đầu]]),0)),
$AA42&gt;MIN(AU$5,VLOOKUP(AU$6, Table_ChiPhiNV_Ca[], COUNTA(Table_ChiPhiNV_Ca[[#Headers],[Ca]:[Kết thúc]]),0))),0,
SUM(_xlfn._xlws.FILTER(Table_BangLuong_TyLeTangCa[Tỷ lệ],
(Table_BangLuong_TyLeTangCa[Ngày] = "Thường") *
(Table_BangLuong_TyLeTangCa[Giờ min]&lt;=$AA42) *
(Table_BangLuong_TyLeTangCa[Giờ max]&gt;$AA42)
))),
IF(
AND(
$AA42-$Z$4&gt;=MAX(AU$4,VLOOKUP(AU$6, Table_ChiPhiNV_Ca[], COUNTA(Table_ChiPhiNV_Ca[[#Headers],[Ca]:[Bắt đầu]]),0)),
$AA42&lt;MIN(AU$5,VLOOKUP(AU$6, Table_ChiPhiNV_Ca[], COUNTA(Table_ChiPhiNV_Ca[[#Headers],[Ca]:[Kết thúc]]),0))),
SUM(_xlfn._xlws.FILTER(Table_BangLuong_TyLeTangCa[Tỷ lệ],
(Table_BangLuong_TyLeTangCa[Ngày] = "Thường") *
(Table_BangLuong_TyLeTangCa[Giờ min]&lt;=$AA42) *
(Table_BangLuong_TyLeTangCa[Giờ max]&gt;$AA42)
)),0)
)),
IF(AU$4 &lt; AU$5,
IF($AA42-$Z$4&lt;AU$4,0,
IF($AA42&gt;AU$5,0,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AU$5,$AA42 &lt; AU$4),0,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V42" s="18" cm="1">
        <f t="array" ref="AV42" xml:space="preserve">
IFERROR(
IF(AV$1="",0,
IF(AND(
$AA42&gt;=VLOOKUP(AV$6, Table_ChiPhiNV_Ca[], COUNTA(Table_ChiPhiNV_Ca[[#Headers],[Ca]:[Bắt đầu nghỉ]]),0),
$AA42&lt;VLOOKUP(AV$6, Table_ChiPhiNV_Ca[], COUNTA(Table_ChiPhiNV_Ca[[#Headers],[Ca]:[Kết thúc nghỉ]]),0)
),0,
IF(NOT(ISBLANK(AV$3)),
IF(ISBLANK(AV$7),0,
IF(AV$4 &lt; AV$5,
IF($AA42-$Z$4&lt;AV$4,0,
IF($AA42&gt;AV$5,0,
SUM(_xlfn._xlws.FILTER(Table_BangLuong_TyLeTangCa[Tỷ lệ],
(Table_BangLuong_TyLeTangCa[Ngày] = AV$3) *
(Table_BangLuong_TyLeTangCa[Giờ min]&lt;=$AA42) *
(Table_BangLuong_TyLeTangCa[Giờ max]&gt;$AA42)
)))),
IF(AND($AA42-$Z$4 &gt;= AV$5,$AA42 &lt; AV$4),0,
SUM(_xlfn._xlws.FILTER(Table_BangLuong_TyLeTangCa[Tỷ lệ],
(Table_BangLuong_TyLeTangCa[Ngày] = AV$3) *
(Table_BangLuong_TyLeTangCa[Giờ min]&lt;=$AA42) *
(Table_BangLuong_TyLeTangCa[Giờ max]&gt;$AA42)
))))
),
IF(ISBLANK(AV$7),
IF(VLOOKUP(AV$6, Table_ChiPhiNV_Ca[], COUNTA(Table_ChiPhiNV_Ca[[#Headers],[Ca]:[Kết thúc]]),0)&gt; VLOOKUP(AV$6, Table_ChiPhiNV_Ca[], COUNTA(Table_ChiPhiNV_Ca[[#Headers],[Ca]:[Bắt đầu]]),0),
IF($AA42-$Z$4&lt;MAX(AV$4,VLOOKUP(AV$6, Table_ChiPhiNV_Ca[], COUNTA(Table_ChiPhiNV_Ca[[#Headers],[Ca]:[Bắt đầu]]),0)),0,
IF($AA42&gt;MIN(AV$5,VLOOKUP(AV$6, Table_ChiPhiNV_Ca[], COUNTA(Table_ChiPhiNV_Ca[[#Headers],[Ca]:[Kết thúc]]),0)),0,
SUM(_xlfn._xlws.FILTER(Table_BangLuong_TyLeTangCa[Tỷ lệ],
(Table_BangLuong_TyLeTangCa[Ngày] = "Thường") *
(Table_BangLuong_TyLeTangCa[Giờ min]&lt;=$AA42) *
(Table_BangLuong_TyLeTangCa[Giờ max]&gt;$AA42)
)))),
IF(AV$4 &gt; AV$5,
IF(
AND(
$AA42-$Z$4&lt;MAX(AV$4,VLOOKUP(AV$6, Table_ChiPhiNV_Ca[], COUNTA(Table_ChiPhiNV_Ca[[#Headers],[Ca]:[Bắt đầu]]),0)),
$AA42&gt;MIN(AV$5,VLOOKUP(AV$6, Table_ChiPhiNV_Ca[], COUNTA(Table_ChiPhiNV_Ca[[#Headers],[Ca]:[Kết thúc]]),0))),0,
SUM(_xlfn._xlws.FILTER(Table_BangLuong_TyLeTangCa[Tỷ lệ],
(Table_BangLuong_TyLeTangCa[Ngày] = "Thường") *
(Table_BangLuong_TyLeTangCa[Giờ min]&lt;=$AA42) *
(Table_BangLuong_TyLeTangCa[Giờ max]&gt;$AA42)
))),
IF(
AND(
$AA42-$Z$4&gt;=MAX(AV$4,VLOOKUP(AV$6, Table_ChiPhiNV_Ca[], COUNTA(Table_ChiPhiNV_Ca[[#Headers],[Ca]:[Bắt đầu]]),0)),
$AA42&lt;MIN(AV$5,VLOOKUP(AV$6, Table_ChiPhiNV_Ca[], COUNTA(Table_ChiPhiNV_Ca[[#Headers],[Ca]:[Kết thúc]]),0))),
SUM(_xlfn._xlws.FILTER(Table_BangLuong_TyLeTangCa[Tỷ lệ],
(Table_BangLuong_TyLeTangCa[Ngày] = "Thường") *
(Table_BangLuong_TyLeTangCa[Giờ min]&lt;=$AA42) *
(Table_BangLuong_TyLeTangCa[Giờ max]&gt;$AA42)
)),0)
)),
IF(AV$4 &lt; AV$5,
IF($AA42-$Z$4&lt;AV$4,0,
IF($AA42&gt;AV$5,0,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AV$5,$AA42 &lt; AV$4),0,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W42" s="18" cm="1">
        <f t="array" ref="AW42" xml:space="preserve">
IFERROR(
IF(AW$1="",0,
IF(AND(
$AA42&gt;=VLOOKUP(AW$6, Table_ChiPhiNV_Ca[], COUNTA(Table_ChiPhiNV_Ca[[#Headers],[Ca]:[Bắt đầu nghỉ]]),0),
$AA42&lt;VLOOKUP(AW$6, Table_ChiPhiNV_Ca[], COUNTA(Table_ChiPhiNV_Ca[[#Headers],[Ca]:[Kết thúc nghỉ]]),0)
),0,
IF(NOT(ISBLANK(AW$3)),
IF(ISBLANK(AW$7),0,
IF(AW$4 &lt; AW$5,
IF($AA42-$Z$4&lt;AW$4,0,
IF($AA42&gt;AW$5,0,
SUM(_xlfn._xlws.FILTER(Table_BangLuong_TyLeTangCa[Tỷ lệ],
(Table_BangLuong_TyLeTangCa[Ngày] = AW$3) *
(Table_BangLuong_TyLeTangCa[Giờ min]&lt;=$AA42) *
(Table_BangLuong_TyLeTangCa[Giờ max]&gt;$AA42)
)))),
IF(AND($AA42-$Z$4 &gt;= AW$5,$AA42 &lt; AW$4),0,
SUM(_xlfn._xlws.FILTER(Table_BangLuong_TyLeTangCa[Tỷ lệ],
(Table_BangLuong_TyLeTangCa[Ngày] = AW$3) *
(Table_BangLuong_TyLeTangCa[Giờ min]&lt;=$AA42) *
(Table_BangLuong_TyLeTangCa[Giờ max]&gt;$AA42)
))))
),
IF(ISBLANK(AW$7),
IF(VLOOKUP(AW$6, Table_ChiPhiNV_Ca[], COUNTA(Table_ChiPhiNV_Ca[[#Headers],[Ca]:[Kết thúc]]),0)&gt; VLOOKUP(AW$6, Table_ChiPhiNV_Ca[], COUNTA(Table_ChiPhiNV_Ca[[#Headers],[Ca]:[Bắt đầu]]),0),
IF($AA42-$Z$4&lt;MAX(AW$4,VLOOKUP(AW$6, Table_ChiPhiNV_Ca[], COUNTA(Table_ChiPhiNV_Ca[[#Headers],[Ca]:[Bắt đầu]]),0)),0,
IF($AA42&gt;MIN(AW$5,VLOOKUP(AW$6, Table_ChiPhiNV_Ca[], COUNTA(Table_ChiPhiNV_Ca[[#Headers],[Ca]:[Kết thúc]]),0)),0,
SUM(_xlfn._xlws.FILTER(Table_BangLuong_TyLeTangCa[Tỷ lệ],
(Table_BangLuong_TyLeTangCa[Ngày] = "Thường") *
(Table_BangLuong_TyLeTangCa[Giờ min]&lt;=$AA42) *
(Table_BangLuong_TyLeTangCa[Giờ max]&gt;$AA42)
)))),
IF(AW$4 &gt; AW$5,
IF(
AND(
$AA42-$Z$4&lt;MAX(AW$4,VLOOKUP(AW$6, Table_ChiPhiNV_Ca[], COUNTA(Table_ChiPhiNV_Ca[[#Headers],[Ca]:[Bắt đầu]]),0)),
$AA42&gt;MIN(AW$5,VLOOKUP(AW$6, Table_ChiPhiNV_Ca[], COUNTA(Table_ChiPhiNV_Ca[[#Headers],[Ca]:[Kết thúc]]),0))),0,
SUM(_xlfn._xlws.FILTER(Table_BangLuong_TyLeTangCa[Tỷ lệ],
(Table_BangLuong_TyLeTangCa[Ngày] = "Thường") *
(Table_BangLuong_TyLeTangCa[Giờ min]&lt;=$AA42) *
(Table_BangLuong_TyLeTangCa[Giờ max]&gt;$AA42)
))),
IF(
AND(
$AA42-$Z$4&gt;=MAX(AW$4,VLOOKUP(AW$6, Table_ChiPhiNV_Ca[], COUNTA(Table_ChiPhiNV_Ca[[#Headers],[Ca]:[Bắt đầu]]),0)),
$AA42&lt;MIN(AW$5,VLOOKUP(AW$6, Table_ChiPhiNV_Ca[], COUNTA(Table_ChiPhiNV_Ca[[#Headers],[Ca]:[Kết thúc]]),0))),
SUM(_xlfn._xlws.FILTER(Table_BangLuong_TyLeTangCa[Tỷ lệ],
(Table_BangLuong_TyLeTangCa[Ngày] = "Thường") *
(Table_BangLuong_TyLeTangCa[Giờ min]&lt;=$AA42) *
(Table_BangLuong_TyLeTangCa[Giờ max]&gt;$AA42)
)),0)
)),
IF(AW$4 &lt; AW$5,
IF($AA42-$Z$4&lt;AW$4,0,
IF($AA42&gt;AW$5,0,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AW$5,$AA42 &lt; AW$4),0,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X42" s="18" cm="1">
        <f t="array" ref="AX42" xml:space="preserve">
IFERROR(
IF(AX$1="",0,
IF(AND(
$AA42&gt;=VLOOKUP(AX$6, Table_ChiPhiNV_Ca[], COUNTA(Table_ChiPhiNV_Ca[[#Headers],[Ca]:[Bắt đầu nghỉ]]),0),
$AA42&lt;VLOOKUP(AX$6, Table_ChiPhiNV_Ca[], COUNTA(Table_ChiPhiNV_Ca[[#Headers],[Ca]:[Kết thúc nghỉ]]),0)
),0,
IF(NOT(ISBLANK(AX$3)),
IF(ISBLANK(AX$7),0,
IF(AX$4 &lt; AX$5,
IF($AA42-$Z$4&lt;AX$4,0,
IF($AA42&gt;AX$5,0,
SUM(_xlfn._xlws.FILTER(Table_BangLuong_TyLeTangCa[Tỷ lệ],
(Table_BangLuong_TyLeTangCa[Ngày] = AX$3) *
(Table_BangLuong_TyLeTangCa[Giờ min]&lt;=$AA42) *
(Table_BangLuong_TyLeTangCa[Giờ max]&gt;$AA42)
)))),
IF(AND($AA42-$Z$4 &gt;= AX$5,$AA42 &lt; AX$4),0,
SUM(_xlfn._xlws.FILTER(Table_BangLuong_TyLeTangCa[Tỷ lệ],
(Table_BangLuong_TyLeTangCa[Ngày] = AX$3) *
(Table_BangLuong_TyLeTangCa[Giờ min]&lt;=$AA42) *
(Table_BangLuong_TyLeTangCa[Giờ max]&gt;$AA42)
))))
),
IF(ISBLANK(AX$7),
IF(VLOOKUP(AX$6, Table_ChiPhiNV_Ca[], COUNTA(Table_ChiPhiNV_Ca[[#Headers],[Ca]:[Kết thúc]]),0)&gt; VLOOKUP(AX$6, Table_ChiPhiNV_Ca[], COUNTA(Table_ChiPhiNV_Ca[[#Headers],[Ca]:[Bắt đầu]]),0),
IF($AA42-$Z$4&lt;MAX(AX$4,VLOOKUP(AX$6, Table_ChiPhiNV_Ca[], COUNTA(Table_ChiPhiNV_Ca[[#Headers],[Ca]:[Bắt đầu]]),0)),0,
IF($AA42&gt;MIN(AX$5,VLOOKUP(AX$6, Table_ChiPhiNV_Ca[], COUNTA(Table_ChiPhiNV_Ca[[#Headers],[Ca]:[Kết thúc]]),0)),0,
SUM(_xlfn._xlws.FILTER(Table_BangLuong_TyLeTangCa[Tỷ lệ],
(Table_BangLuong_TyLeTangCa[Ngày] = "Thường") *
(Table_BangLuong_TyLeTangCa[Giờ min]&lt;=$AA42) *
(Table_BangLuong_TyLeTangCa[Giờ max]&gt;$AA42)
)))),
IF(AX$4 &gt; AX$5,
IF(
AND(
$AA42-$Z$4&lt;MAX(AX$4,VLOOKUP(AX$6, Table_ChiPhiNV_Ca[], COUNTA(Table_ChiPhiNV_Ca[[#Headers],[Ca]:[Bắt đầu]]),0)),
$AA42&gt;MIN(AX$5,VLOOKUP(AX$6, Table_ChiPhiNV_Ca[], COUNTA(Table_ChiPhiNV_Ca[[#Headers],[Ca]:[Kết thúc]]),0))),0,
SUM(_xlfn._xlws.FILTER(Table_BangLuong_TyLeTangCa[Tỷ lệ],
(Table_BangLuong_TyLeTangCa[Ngày] = "Thường") *
(Table_BangLuong_TyLeTangCa[Giờ min]&lt;=$AA42) *
(Table_BangLuong_TyLeTangCa[Giờ max]&gt;$AA42)
))),
IF(
AND(
$AA42-$Z$4&gt;=MAX(AX$4,VLOOKUP(AX$6, Table_ChiPhiNV_Ca[], COUNTA(Table_ChiPhiNV_Ca[[#Headers],[Ca]:[Bắt đầu]]),0)),
$AA42&lt;MIN(AX$5,VLOOKUP(AX$6, Table_ChiPhiNV_Ca[], COUNTA(Table_ChiPhiNV_Ca[[#Headers],[Ca]:[Kết thúc]]),0))),
SUM(_xlfn._xlws.FILTER(Table_BangLuong_TyLeTangCa[Tỷ lệ],
(Table_BangLuong_TyLeTangCa[Ngày] = "Thường") *
(Table_BangLuong_TyLeTangCa[Giờ min]&lt;=$AA42) *
(Table_BangLuong_TyLeTangCa[Giờ max]&gt;$AA42)
)),0)
)),
IF(AX$4 &lt; AX$5,
IF($AA42-$Z$4&lt;AX$4,0,
IF($AA42&gt;AX$5,0,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AX$5,$AA42 &lt; AX$4),0,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Y42" s="18" cm="1">
        <f t="array" ref="AY42" xml:space="preserve">
IFERROR(
IF(AY$1="",0,
IF(AND(
$AA42&gt;=VLOOKUP(AY$6, Table_ChiPhiNV_Ca[], COUNTA(Table_ChiPhiNV_Ca[[#Headers],[Ca]:[Bắt đầu nghỉ]]),0),
$AA42&lt;VLOOKUP(AY$6, Table_ChiPhiNV_Ca[], COUNTA(Table_ChiPhiNV_Ca[[#Headers],[Ca]:[Kết thúc nghỉ]]),0)
),0,
IF(NOT(ISBLANK(AY$3)),
IF(ISBLANK(AY$7),0,
IF(AY$4 &lt; AY$5,
IF($AA42-$Z$4&lt;AY$4,0,
IF($AA42&gt;AY$5,0,
SUM(_xlfn._xlws.FILTER(Table_BangLuong_TyLeTangCa[Tỷ lệ],
(Table_BangLuong_TyLeTangCa[Ngày] = AY$3) *
(Table_BangLuong_TyLeTangCa[Giờ min]&lt;=$AA42) *
(Table_BangLuong_TyLeTangCa[Giờ max]&gt;$AA42)
)))),
IF(AND($AA42-$Z$4 &gt;= AY$5,$AA42 &lt; AY$4),0,
SUM(_xlfn._xlws.FILTER(Table_BangLuong_TyLeTangCa[Tỷ lệ],
(Table_BangLuong_TyLeTangCa[Ngày] = AY$3) *
(Table_BangLuong_TyLeTangCa[Giờ min]&lt;=$AA42) *
(Table_BangLuong_TyLeTangCa[Giờ max]&gt;$AA42)
))))
),
IF(ISBLANK(AY$7),
IF(VLOOKUP(AY$6, Table_ChiPhiNV_Ca[], COUNTA(Table_ChiPhiNV_Ca[[#Headers],[Ca]:[Kết thúc]]),0)&gt; VLOOKUP(AY$6, Table_ChiPhiNV_Ca[], COUNTA(Table_ChiPhiNV_Ca[[#Headers],[Ca]:[Bắt đầu]]),0),
IF($AA42-$Z$4&lt;MAX(AY$4,VLOOKUP(AY$6, Table_ChiPhiNV_Ca[], COUNTA(Table_ChiPhiNV_Ca[[#Headers],[Ca]:[Bắt đầu]]),0)),0,
IF($AA42&gt;MIN(AY$5,VLOOKUP(AY$6, Table_ChiPhiNV_Ca[], COUNTA(Table_ChiPhiNV_Ca[[#Headers],[Ca]:[Kết thúc]]),0)),0,
SUM(_xlfn._xlws.FILTER(Table_BangLuong_TyLeTangCa[Tỷ lệ],
(Table_BangLuong_TyLeTangCa[Ngày] = "Thường") *
(Table_BangLuong_TyLeTangCa[Giờ min]&lt;=$AA42) *
(Table_BangLuong_TyLeTangCa[Giờ max]&gt;$AA42)
)))),
IF(AY$4 &gt; AY$5,
IF(
AND(
$AA42-$Z$4&lt;MAX(AY$4,VLOOKUP(AY$6, Table_ChiPhiNV_Ca[], COUNTA(Table_ChiPhiNV_Ca[[#Headers],[Ca]:[Bắt đầu]]),0)),
$AA42&gt;MIN(AY$5,VLOOKUP(AY$6, Table_ChiPhiNV_Ca[], COUNTA(Table_ChiPhiNV_Ca[[#Headers],[Ca]:[Kết thúc]]),0))),0,
SUM(_xlfn._xlws.FILTER(Table_BangLuong_TyLeTangCa[Tỷ lệ],
(Table_BangLuong_TyLeTangCa[Ngày] = "Thường") *
(Table_BangLuong_TyLeTangCa[Giờ min]&lt;=$AA42) *
(Table_BangLuong_TyLeTangCa[Giờ max]&gt;$AA42)
))),
IF(
AND(
$AA42-$Z$4&gt;=MAX(AY$4,VLOOKUP(AY$6, Table_ChiPhiNV_Ca[], COUNTA(Table_ChiPhiNV_Ca[[#Headers],[Ca]:[Bắt đầu]]),0)),
$AA42&lt;MIN(AY$5,VLOOKUP(AY$6, Table_ChiPhiNV_Ca[], COUNTA(Table_ChiPhiNV_Ca[[#Headers],[Ca]:[Kết thúc]]),0))),
SUM(_xlfn._xlws.FILTER(Table_BangLuong_TyLeTangCa[Tỷ lệ],
(Table_BangLuong_TyLeTangCa[Ngày] = "Thường") *
(Table_BangLuong_TyLeTangCa[Giờ min]&lt;=$AA42) *
(Table_BangLuong_TyLeTangCa[Giờ max]&gt;$AA42)
)),0)
)),
IF(AY$4 &lt; AY$5,
IF($AA42-$Z$4&lt;AY$4,0,
IF($AA42&gt;AY$5,0,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AY$5,$AA42 &lt; AY$4),0,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Z42" s="18" cm="1">
        <f t="array" ref="AZ42" xml:space="preserve">
IFERROR(
IF(AZ$1="",0,
IF(AND(
$AA42&gt;=VLOOKUP(AZ$6, Table_ChiPhiNV_Ca[], COUNTA(Table_ChiPhiNV_Ca[[#Headers],[Ca]:[Bắt đầu nghỉ]]),0),
$AA42&lt;VLOOKUP(AZ$6, Table_ChiPhiNV_Ca[], COUNTA(Table_ChiPhiNV_Ca[[#Headers],[Ca]:[Kết thúc nghỉ]]),0)
),0,
IF(NOT(ISBLANK(AZ$3)),
IF(ISBLANK(AZ$7),0,
IF(AZ$4 &lt; AZ$5,
IF($AA42-$Z$4&lt;AZ$4,0,
IF($AA42&gt;AZ$5,0,
SUM(_xlfn._xlws.FILTER(Table_BangLuong_TyLeTangCa[Tỷ lệ],
(Table_BangLuong_TyLeTangCa[Ngày] = AZ$3) *
(Table_BangLuong_TyLeTangCa[Giờ min]&lt;=$AA42) *
(Table_BangLuong_TyLeTangCa[Giờ max]&gt;$AA42)
)))),
IF(AND($AA42-$Z$4 &gt;= AZ$5,$AA42 &lt; AZ$4),0,
SUM(_xlfn._xlws.FILTER(Table_BangLuong_TyLeTangCa[Tỷ lệ],
(Table_BangLuong_TyLeTangCa[Ngày] = AZ$3) *
(Table_BangLuong_TyLeTangCa[Giờ min]&lt;=$AA42) *
(Table_BangLuong_TyLeTangCa[Giờ max]&gt;$AA42)
))))
),
IF(ISBLANK(AZ$7),
IF(VLOOKUP(AZ$6, Table_ChiPhiNV_Ca[], COUNTA(Table_ChiPhiNV_Ca[[#Headers],[Ca]:[Kết thúc]]),0)&gt; VLOOKUP(AZ$6, Table_ChiPhiNV_Ca[], COUNTA(Table_ChiPhiNV_Ca[[#Headers],[Ca]:[Bắt đầu]]),0),
IF($AA42-$Z$4&lt;MAX(AZ$4,VLOOKUP(AZ$6, Table_ChiPhiNV_Ca[], COUNTA(Table_ChiPhiNV_Ca[[#Headers],[Ca]:[Bắt đầu]]),0)),0,
IF($AA42&gt;MIN(AZ$5,VLOOKUP(AZ$6, Table_ChiPhiNV_Ca[], COUNTA(Table_ChiPhiNV_Ca[[#Headers],[Ca]:[Kết thúc]]),0)),0,
SUM(_xlfn._xlws.FILTER(Table_BangLuong_TyLeTangCa[Tỷ lệ],
(Table_BangLuong_TyLeTangCa[Ngày] = "Thường") *
(Table_BangLuong_TyLeTangCa[Giờ min]&lt;=$AA42) *
(Table_BangLuong_TyLeTangCa[Giờ max]&gt;$AA42)
)))),
IF(AZ$4 &gt; AZ$5,
IF(
AND(
$AA42-$Z$4&lt;MAX(AZ$4,VLOOKUP(AZ$6, Table_ChiPhiNV_Ca[], COUNTA(Table_ChiPhiNV_Ca[[#Headers],[Ca]:[Bắt đầu]]),0)),
$AA42&gt;MIN(AZ$5,VLOOKUP(AZ$6, Table_ChiPhiNV_Ca[], COUNTA(Table_ChiPhiNV_Ca[[#Headers],[Ca]:[Kết thúc]]),0))),0,
SUM(_xlfn._xlws.FILTER(Table_BangLuong_TyLeTangCa[Tỷ lệ],
(Table_BangLuong_TyLeTangCa[Ngày] = "Thường") *
(Table_BangLuong_TyLeTangCa[Giờ min]&lt;=$AA42) *
(Table_BangLuong_TyLeTangCa[Giờ max]&gt;$AA42)
))),
IF(
AND(
$AA42-$Z$4&gt;=MAX(AZ$4,VLOOKUP(AZ$6, Table_ChiPhiNV_Ca[], COUNTA(Table_ChiPhiNV_Ca[[#Headers],[Ca]:[Bắt đầu]]),0)),
$AA42&lt;MIN(AZ$5,VLOOKUP(AZ$6, Table_ChiPhiNV_Ca[], COUNTA(Table_ChiPhiNV_Ca[[#Headers],[Ca]:[Kết thúc]]),0))),
SUM(_xlfn._xlws.FILTER(Table_BangLuong_TyLeTangCa[Tỷ lệ],
(Table_BangLuong_TyLeTangCa[Ngày] = "Thường") *
(Table_BangLuong_TyLeTangCa[Giờ min]&lt;=$AA42) *
(Table_BangLuong_TyLeTangCa[Giờ max]&gt;$AA42)
)),0)
)),
IF(AZ$4 &lt; AZ$5,
IF($AA42-$Z$4&lt;AZ$4,0,
IF($AA42&gt;AZ$5,0,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AZ$5,$AA42 &lt; AZ$4),0,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A42" s="18" cm="1">
        <f t="array" ref="BA42" xml:space="preserve">
IFERROR(
IF(BA$1="",0,
IF(AND(
$AA42&gt;=VLOOKUP(BA$6, Table_ChiPhiNV_Ca[], COUNTA(Table_ChiPhiNV_Ca[[#Headers],[Ca]:[Bắt đầu nghỉ]]),0),
$AA42&lt;VLOOKUP(BA$6, Table_ChiPhiNV_Ca[], COUNTA(Table_ChiPhiNV_Ca[[#Headers],[Ca]:[Kết thúc nghỉ]]),0)
),0,
IF(NOT(ISBLANK(BA$3)),
IF(ISBLANK(BA$7),0,
IF(BA$4 &lt; BA$5,
IF($AA42-$Z$4&lt;BA$4,0,
IF($AA42&gt;BA$5,0,
SUM(_xlfn._xlws.FILTER(Table_BangLuong_TyLeTangCa[Tỷ lệ],
(Table_BangLuong_TyLeTangCa[Ngày] = BA$3) *
(Table_BangLuong_TyLeTangCa[Giờ min]&lt;=$AA42) *
(Table_BangLuong_TyLeTangCa[Giờ max]&gt;$AA42)
)))),
IF(AND($AA42-$Z$4 &gt;= BA$5,$AA42 &lt; BA$4),0,
SUM(_xlfn._xlws.FILTER(Table_BangLuong_TyLeTangCa[Tỷ lệ],
(Table_BangLuong_TyLeTangCa[Ngày] = BA$3) *
(Table_BangLuong_TyLeTangCa[Giờ min]&lt;=$AA42) *
(Table_BangLuong_TyLeTangCa[Giờ max]&gt;$AA42)
))))
),
IF(ISBLANK(BA$7),
IF(VLOOKUP(BA$6, Table_ChiPhiNV_Ca[], COUNTA(Table_ChiPhiNV_Ca[[#Headers],[Ca]:[Kết thúc]]),0)&gt; VLOOKUP(BA$6, Table_ChiPhiNV_Ca[], COUNTA(Table_ChiPhiNV_Ca[[#Headers],[Ca]:[Bắt đầu]]),0),
IF($AA42-$Z$4&lt;MAX(BA$4,VLOOKUP(BA$6, Table_ChiPhiNV_Ca[], COUNTA(Table_ChiPhiNV_Ca[[#Headers],[Ca]:[Bắt đầu]]),0)),0,
IF($AA42&gt;MIN(BA$5,VLOOKUP(BA$6, Table_ChiPhiNV_Ca[], COUNTA(Table_ChiPhiNV_Ca[[#Headers],[Ca]:[Kết thúc]]),0)),0,
SUM(_xlfn._xlws.FILTER(Table_BangLuong_TyLeTangCa[Tỷ lệ],
(Table_BangLuong_TyLeTangCa[Ngày] = "Thường") *
(Table_BangLuong_TyLeTangCa[Giờ min]&lt;=$AA42) *
(Table_BangLuong_TyLeTangCa[Giờ max]&gt;$AA42)
)))),
IF(BA$4 &gt; BA$5,
IF(
AND(
$AA42-$Z$4&lt;MAX(BA$4,VLOOKUP(BA$6, Table_ChiPhiNV_Ca[], COUNTA(Table_ChiPhiNV_Ca[[#Headers],[Ca]:[Bắt đầu]]),0)),
$AA42&gt;MIN(BA$5,VLOOKUP(BA$6, Table_ChiPhiNV_Ca[], COUNTA(Table_ChiPhiNV_Ca[[#Headers],[Ca]:[Kết thúc]]),0))),0,
SUM(_xlfn._xlws.FILTER(Table_BangLuong_TyLeTangCa[Tỷ lệ],
(Table_BangLuong_TyLeTangCa[Ngày] = "Thường") *
(Table_BangLuong_TyLeTangCa[Giờ min]&lt;=$AA42) *
(Table_BangLuong_TyLeTangCa[Giờ max]&gt;$AA42)
))),
IF(
AND(
$AA42-$Z$4&gt;=MAX(BA$4,VLOOKUP(BA$6, Table_ChiPhiNV_Ca[], COUNTA(Table_ChiPhiNV_Ca[[#Headers],[Ca]:[Bắt đầu]]),0)),
$AA42&lt;MIN(BA$5,VLOOKUP(BA$6, Table_ChiPhiNV_Ca[], COUNTA(Table_ChiPhiNV_Ca[[#Headers],[Ca]:[Kết thúc]]),0))),
SUM(_xlfn._xlws.FILTER(Table_BangLuong_TyLeTangCa[Tỷ lệ],
(Table_BangLuong_TyLeTangCa[Ngày] = "Thường") *
(Table_BangLuong_TyLeTangCa[Giờ min]&lt;=$AA42) *
(Table_BangLuong_TyLeTangCa[Giờ max]&gt;$AA42)
)),0)
)),
IF(BA$4 &lt; BA$5,
IF($AA42-$Z$4&lt;BA$4,0,
IF($AA42&gt;BA$5,0,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BA$5,$AA42 &lt; BA$4),0,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B42" s="18" cm="1">
        <f t="array" ref="BB42" xml:space="preserve">
IFERROR(
IF(BB$1="",0,
IF(AND(
$AA42&gt;=VLOOKUP(BB$6, Table_ChiPhiNV_Ca[], COUNTA(Table_ChiPhiNV_Ca[[#Headers],[Ca]:[Bắt đầu nghỉ]]),0),
$AA42&lt;VLOOKUP(BB$6, Table_ChiPhiNV_Ca[], COUNTA(Table_ChiPhiNV_Ca[[#Headers],[Ca]:[Kết thúc nghỉ]]),0)
),0,
IF(NOT(ISBLANK(BB$3)),
IF(ISBLANK(BB$7),0,
IF(BB$4 &lt; BB$5,
IF($AA42-$Z$4&lt;BB$4,0,
IF($AA42&gt;BB$5,0,
SUM(_xlfn._xlws.FILTER(Table_BangLuong_TyLeTangCa[Tỷ lệ],
(Table_BangLuong_TyLeTangCa[Ngày] = BB$3) *
(Table_BangLuong_TyLeTangCa[Giờ min]&lt;=$AA42) *
(Table_BangLuong_TyLeTangCa[Giờ max]&gt;$AA42)
)))),
IF(AND($AA42-$Z$4 &gt;= BB$5,$AA42 &lt; BB$4),0,
SUM(_xlfn._xlws.FILTER(Table_BangLuong_TyLeTangCa[Tỷ lệ],
(Table_BangLuong_TyLeTangCa[Ngày] = BB$3) *
(Table_BangLuong_TyLeTangCa[Giờ min]&lt;=$AA42) *
(Table_BangLuong_TyLeTangCa[Giờ max]&gt;$AA42)
))))
),
IF(ISBLANK(BB$7),
IF(VLOOKUP(BB$6, Table_ChiPhiNV_Ca[], COUNTA(Table_ChiPhiNV_Ca[[#Headers],[Ca]:[Kết thúc]]),0)&gt; VLOOKUP(BB$6, Table_ChiPhiNV_Ca[], COUNTA(Table_ChiPhiNV_Ca[[#Headers],[Ca]:[Bắt đầu]]),0),
IF($AA42-$Z$4&lt;MAX(BB$4,VLOOKUP(BB$6, Table_ChiPhiNV_Ca[], COUNTA(Table_ChiPhiNV_Ca[[#Headers],[Ca]:[Bắt đầu]]),0)),0,
IF($AA42&gt;MIN(BB$5,VLOOKUP(BB$6, Table_ChiPhiNV_Ca[], COUNTA(Table_ChiPhiNV_Ca[[#Headers],[Ca]:[Kết thúc]]),0)),0,
SUM(_xlfn._xlws.FILTER(Table_BangLuong_TyLeTangCa[Tỷ lệ],
(Table_BangLuong_TyLeTangCa[Ngày] = "Thường") *
(Table_BangLuong_TyLeTangCa[Giờ min]&lt;=$AA42) *
(Table_BangLuong_TyLeTangCa[Giờ max]&gt;$AA42)
)))),
IF(BB$4 &gt; BB$5,
IF(
AND(
$AA42-$Z$4&lt;MAX(BB$4,VLOOKUP(BB$6, Table_ChiPhiNV_Ca[], COUNTA(Table_ChiPhiNV_Ca[[#Headers],[Ca]:[Bắt đầu]]),0)),
$AA42&gt;MIN(BB$5,VLOOKUP(BB$6, Table_ChiPhiNV_Ca[], COUNTA(Table_ChiPhiNV_Ca[[#Headers],[Ca]:[Kết thúc]]),0))),0,
SUM(_xlfn._xlws.FILTER(Table_BangLuong_TyLeTangCa[Tỷ lệ],
(Table_BangLuong_TyLeTangCa[Ngày] = "Thường") *
(Table_BangLuong_TyLeTangCa[Giờ min]&lt;=$AA42) *
(Table_BangLuong_TyLeTangCa[Giờ max]&gt;$AA42)
))),
IF(
AND(
$AA42-$Z$4&gt;=MAX(BB$4,VLOOKUP(BB$6, Table_ChiPhiNV_Ca[], COUNTA(Table_ChiPhiNV_Ca[[#Headers],[Ca]:[Bắt đầu]]),0)),
$AA42&lt;MIN(BB$5,VLOOKUP(BB$6, Table_ChiPhiNV_Ca[], COUNTA(Table_ChiPhiNV_Ca[[#Headers],[Ca]:[Kết thúc]]),0))),
SUM(_xlfn._xlws.FILTER(Table_BangLuong_TyLeTangCa[Tỷ lệ],
(Table_BangLuong_TyLeTangCa[Ngày] = "Thường") *
(Table_BangLuong_TyLeTangCa[Giờ min]&lt;=$AA42) *
(Table_BangLuong_TyLeTangCa[Giờ max]&gt;$AA42)
)),0)
)),
IF(BB$4 &lt; BB$5,
IF($AA42-$Z$4&lt;BB$4,0,
IF($AA42&gt;BB$5,0,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BB$5,$AA42 &lt; BB$4),0,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C42" s="18" cm="1">
        <f t="array" ref="BC42" xml:space="preserve">
IFERROR(
IF(BC$1="",0,
IF(AND(
$AA42&gt;=VLOOKUP(BC$6, Table_ChiPhiNV_Ca[], COUNTA(Table_ChiPhiNV_Ca[[#Headers],[Ca]:[Bắt đầu nghỉ]]),0),
$AA42&lt;VLOOKUP(BC$6, Table_ChiPhiNV_Ca[], COUNTA(Table_ChiPhiNV_Ca[[#Headers],[Ca]:[Kết thúc nghỉ]]),0)
),0,
IF(NOT(ISBLANK(BC$3)),
IF(ISBLANK(BC$7),0,
IF(BC$4 &lt; BC$5,
IF($AA42-$Z$4&lt;BC$4,0,
IF($AA42&gt;BC$5,0,
SUM(_xlfn._xlws.FILTER(Table_BangLuong_TyLeTangCa[Tỷ lệ],
(Table_BangLuong_TyLeTangCa[Ngày] = BC$3) *
(Table_BangLuong_TyLeTangCa[Giờ min]&lt;=$AA42) *
(Table_BangLuong_TyLeTangCa[Giờ max]&gt;$AA42)
)))),
IF(AND($AA42-$Z$4 &gt;= BC$5,$AA42 &lt; BC$4),0,
SUM(_xlfn._xlws.FILTER(Table_BangLuong_TyLeTangCa[Tỷ lệ],
(Table_BangLuong_TyLeTangCa[Ngày] = BC$3) *
(Table_BangLuong_TyLeTangCa[Giờ min]&lt;=$AA42) *
(Table_BangLuong_TyLeTangCa[Giờ max]&gt;$AA42)
))))
),
IF(ISBLANK(BC$7),
IF(VLOOKUP(BC$6, Table_ChiPhiNV_Ca[], COUNTA(Table_ChiPhiNV_Ca[[#Headers],[Ca]:[Kết thúc]]),0)&gt; VLOOKUP(BC$6, Table_ChiPhiNV_Ca[], COUNTA(Table_ChiPhiNV_Ca[[#Headers],[Ca]:[Bắt đầu]]),0),
IF($AA42-$Z$4&lt;MAX(BC$4,VLOOKUP(BC$6, Table_ChiPhiNV_Ca[], COUNTA(Table_ChiPhiNV_Ca[[#Headers],[Ca]:[Bắt đầu]]),0)),0,
IF($AA42&gt;MIN(BC$5,VLOOKUP(BC$6, Table_ChiPhiNV_Ca[], COUNTA(Table_ChiPhiNV_Ca[[#Headers],[Ca]:[Kết thúc]]),0)),0,
SUM(_xlfn._xlws.FILTER(Table_BangLuong_TyLeTangCa[Tỷ lệ],
(Table_BangLuong_TyLeTangCa[Ngày] = "Thường") *
(Table_BangLuong_TyLeTangCa[Giờ min]&lt;=$AA42) *
(Table_BangLuong_TyLeTangCa[Giờ max]&gt;$AA42)
)))),
IF(BC$4 &gt; BC$5,
IF(
AND(
$AA42-$Z$4&lt;MAX(BC$4,VLOOKUP(BC$6, Table_ChiPhiNV_Ca[], COUNTA(Table_ChiPhiNV_Ca[[#Headers],[Ca]:[Bắt đầu]]),0)),
$AA42&gt;MIN(BC$5,VLOOKUP(BC$6, Table_ChiPhiNV_Ca[], COUNTA(Table_ChiPhiNV_Ca[[#Headers],[Ca]:[Kết thúc]]),0))),0,
SUM(_xlfn._xlws.FILTER(Table_BangLuong_TyLeTangCa[Tỷ lệ],
(Table_BangLuong_TyLeTangCa[Ngày] = "Thường") *
(Table_BangLuong_TyLeTangCa[Giờ min]&lt;=$AA42) *
(Table_BangLuong_TyLeTangCa[Giờ max]&gt;$AA42)
))),
IF(
AND(
$AA42-$Z$4&gt;=MAX(BC$4,VLOOKUP(BC$6, Table_ChiPhiNV_Ca[], COUNTA(Table_ChiPhiNV_Ca[[#Headers],[Ca]:[Bắt đầu]]),0)),
$AA42&lt;MIN(BC$5,VLOOKUP(BC$6, Table_ChiPhiNV_Ca[], COUNTA(Table_ChiPhiNV_Ca[[#Headers],[Ca]:[Kết thúc]]),0))),
SUM(_xlfn._xlws.FILTER(Table_BangLuong_TyLeTangCa[Tỷ lệ],
(Table_BangLuong_TyLeTangCa[Ngày] = "Thường") *
(Table_BangLuong_TyLeTangCa[Giờ min]&lt;=$AA42) *
(Table_BangLuong_TyLeTangCa[Giờ max]&gt;$AA42)
)),0)
)),
IF(BC$4 &lt; BC$5,
IF($AA42-$Z$4&lt;BC$4,0,
IF($AA42&gt;BC$5,0,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BC$5,$AA42 &lt; BC$4),0,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D42" s="18" cm="1">
        <f t="array" ref="BD42" xml:space="preserve">
IFERROR(
IF(BD$1="",0,
IF(AND(
$AA42&gt;=VLOOKUP(BD$6, Table_ChiPhiNV_Ca[], COUNTA(Table_ChiPhiNV_Ca[[#Headers],[Ca]:[Bắt đầu nghỉ]]),0),
$AA42&lt;VLOOKUP(BD$6, Table_ChiPhiNV_Ca[], COUNTA(Table_ChiPhiNV_Ca[[#Headers],[Ca]:[Kết thúc nghỉ]]),0)
),0,
IF(NOT(ISBLANK(BD$3)),
IF(ISBLANK(BD$7),0,
IF(BD$4 &lt; BD$5,
IF($AA42-$Z$4&lt;BD$4,0,
IF($AA42&gt;BD$5,0,
SUM(_xlfn._xlws.FILTER(Table_BangLuong_TyLeTangCa[Tỷ lệ],
(Table_BangLuong_TyLeTangCa[Ngày] = BD$3) *
(Table_BangLuong_TyLeTangCa[Giờ min]&lt;=$AA42) *
(Table_BangLuong_TyLeTangCa[Giờ max]&gt;$AA42)
)))),
IF(AND($AA42-$Z$4 &gt;= BD$5,$AA42 &lt; BD$4),0,
SUM(_xlfn._xlws.FILTER(Table_BangLuong_TyLeTangCa[Tỷ lệ],
(Table_BangLuong_TyLeTangCa[Ngày] = BD$3) *
(Table_BangLuong_TyLeTangCa[Giờ min]&lt;=$AA42) *
(Table_BangLuong_TyLeTangCa[Giờ max]&gt;$AA42)
))))
),
IF(ISBLANK(BD$7),
IF(VLOOKUP(BD$6, Table_ChiPhiNV_Ca[], COUNTA(Table_ChiPhiNV_Ca[[#Headers],[Ca]:[Kết thúc]]),0)&gt; VLOOKUP(BD$6, Table_ChiPhiNV_Ca[], COUNTA(Table_ChiPhiNV_Ca[[#Headers],[Ca]:[Bắt đầu]]),0),
IF($AA42-$Z$4&lt;MAX(BD$4,VLOOKUP(BD$6, Table_ChiPhiNV_Ca[], COUNTA(Table_ChiPhiNV_Ca[[#Headers],[Ca]:[Bắt đầu]]),0)),0,
IF($AA42&gt;MIN(BD$5,VLOOKUP(BD$6, Table_ChiPhiNV_Ca[], COUNTA(Table_ChiPhiNV_Ca[[#Headers],[Ca]:[Kết thúc]]),0)),0,
SUM(_xlfn._xlws.FILTER(Table_BangLuong_TyLeTangCa[Tỷ lệ],
(Table_BangLuong_TyLeTangCa[Ngày] = "Thường") *
(Table_BangLuong_TyLeTangCa[Giờ min]&lt;=$AA42) *
(Table_BangLuong_TyLeTangCa[Giờ max]&gt;$AA42)
)))),
IF(BD$4 &gt; BD$5,
IF(
AND(
$AA42-$Z$4&lt;MAX(BD$4,VLOOKUP(BD$6, Table_ChiPhiNV_Ca[], COUNTA(Table_ChiPhiNV_Ca[[#Headers],[Ca]:[Bắt đầu]]),0)),
$AA42&gt;MIN(BD$5,VLOOKUP(BD$6, Table_ChiPhiNV_Ca[], COUNTA(Table_ChiPhiNV_Ca[[#Headers],[Ca]:[Kết thúc]]),0))),0,
SUM(_xlfn._xlws.FILTER(Table_BangLuong_TyLeTangCa[Tỷ lệ],
(Table_BangLuong_TyLeTangCa[Ngày] = "Thường") *
(Table_BangLuong_TyLeTangCa[Giờ min]&lt;=$AA42) *
(Table_BangLuong_TyLeTangCa[Giờ max]&gt;$AA42)
))),
IF(
AND(
$AA42-$Z$4&gt;=MAX(BD$4,VLOOKUP(BD$6, Table_ChiPhiNV_Ca[], COUNTA(Table_ChiPhiNV_Ca[[#Headers],[Ca]:[Bắt đầu]]),0)),
$AA42&lt;MIN(BD$5,VLOOKUP(BD$6, Table_ChiPhiNV_Ca[], COUNTA(Table_ChiPhiNV_Ca[[#Headers],[Ca]:[Kết thúc]]),0))),
SUM(_xlfn._xlws.FILTER(Table_BangLuong_TyLeTangCa[Tỷ lệ],
(Table_BangLuong_TyLeTangCa[Ngày] = "Thường") *
(Table_BangLuong_TyLeTangCa[Giờ min]&lt;=$AA42) *
(Table_BangLuong_TyLeTangCa[Giờ max]&gt;$AA42)
)),0)
)),
IF(BD$4 &lt; BD$5,
IF($AA42-$Z$4&lt;BD$4,0,
IF($AA42&gt;BD$5,0,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BD$5,$AA42 &lt; BD$4),0,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E42" s="18" cm="1">
        <f t="array" ref="BE42" xml:space="preserve">
IFERROR(
IF(BE$1="",0,
IF(AND(
$AA42&gt;=VLOOKUP(BE$6, Table_ChiPhiNV_Ca[], COUNTA(Table_ChiPhiNV_Ca[[#Headers],[Ca]:[Bắt đầu nghỉ]]),0),
$AA42&lt;VLOOKUP(BE$6, Table_ChiPhiNV_Ca[], COUNTA(Table_ChiPhiNV_Ca[[#Headers],[Ca]:[Kết thúc nghỉ]]),0)
),0,
IF(NOT(ISBLANK(BE$3)),
IF(ISBLANK(BE$7),0,
IF(BE$4 &lt; BE$5,
IF($AA42-$Z$4&lt;BE$4,0,
IF($AA42&gt;BE$5,0,
SUM(_xlfn._xlws.FILTER(Table_BangLuong_TyLeTangCa[Tỷ lệ],
(Table_BangLuong_TyLeTangCa[Ngày] = BE$3) *
(Table_BangLuong_TyLeTangCa[Giờ min]&lt;=$AA42) *
(Table_BangLuong_TyLeTangCa[Giờ max]&gt;$AA42)
)))),
IF(AND($AA42-$Z$4 &gt;= BE$5,$AA42 &lt; BE$4),0,
SUM(_xlfn._xlws.FILTER(Table_BangLuong_TyLeTangCa[Tỷ lệ],
(Table_BangLuong_TyLeTangCa[Ngày] = BE$3) *
(Table_BangLuong_TyLeTangCa[Giờ min]&lt;=$AA42) *
(Table_BangLuong_TyLeTangCa[Giờ max]&gt;$AA42)
))))
),
IF(ISBLANK(BE$7),
IF(VLOOKUP(BE$6, Table_ChiPhiNV_Ca[], COUNTA(Table_ChiPhiNV_Ca[[#Headers],[Ca]:[Kết thúc]]),0)&gt; VLOOKUP(BE$6, Table_ChiPhiNV_Ca[], COUNTA(Table_ChiPhiNV_Ca[[#Headers],[Ca]:[Bắt đầu]]),0),
IF($AA42-$Z$4&lt;MAX(BE$4,VLOOKUP(BE$6, Table_ChiPhiNV_Ca[], COUNTA(Table_ChiPhiNV_Ca[[#Headers],[Ca]:[Bắt đầu]]),0)),0,
IF($AA42&gt;MIN(BE$5,VLOOKUP(BE$6, Table_ChiPhiNV_Ca[], COUNTA(Table_ChiPhiNV_Ca[[#Headers],[Ca]:[Kết thúc]]),0)),0,
SUM(_xlfn._xlws.FILTER(Table_BangLuong_TyLeTangCa[Tỷ lệ],
(Table_BangLuong_TyLeTangCa[Ngày] = "Thường") *
(Table_BangLuong_TyLeTangCa[Giờ min]&lt;=$AA42) *
(Table_BangLuong_TyLeTangCa[Giờ max]&gt;$AA42)
)))),
IF(BE$4 &gt; BE$5,
IF(
AND(
$AA42-$Z$4&lt;MAX(BE$4,VLOOKUP(BE$6, Table_ChiPhiNV_Ca[], COUNTA(Table_ChiPhiNV_Ca[[#Headers],[Ca]:[Bắt đầu]]),0)),
$AA42&gt;MIN(BE$5,VLOOKUP(BE$6, Table_ChiPhiNV_Ca[], COUNTA(Table_ChiPhiNV_Ca[[#Headers],[Ca]:[Kết thúc]]),0))),0,
SUM(_xlfn._xlws.FILTER(Table_BangLuong_TyLeTangCa[Tỷ lệ],
(Table_BangLuong_TyLeTangCa[Ngày] = "Thường") *
(Table_BangLuong_TyLeTangCa[Giờ min]&lt;=$AA42) *
(Table_BangLuong_TyLeTangCa[Giờ max]&gt;$AA42)
))),
IF(
AND(
$AA42-$Z$4&gt;=MAX(BE$4,VLOOKUP(BE$6, Table_ChiPhiNV_Ca[], COUNTA(Table_ChiPhiNV_Ca[[#Headers],[Ca]:[Bắt đầu]]),0)),
$AA42&lt;MIN(BE$5,VLOOKUP(BE$6, Table_ChiPhiNV_Ca[], COUNTA(Table_ChiPhiNV_Ca[[#Headers],[Ca]:[Kết thúc]]),0))),
SUM(_xlfn._xlws.FILTER(Table_BangLuong_TyLeTangCa[Tỷ lệ],
(Table_BangLuong_TyLeTangCa[Ngày] = "Thường") *
(Table_BangLuong_TyLeTangCa[Giờ min]&lt;=$AA42) *
(Table_BangLuong_TyLeTangCa[Giờ max]&gt;$AA42)
)),0)
)),
IF(BE$4 &lt; BE$5,
IF($AA42-$Z$4&lt;BE$4,0,
IF($AA42&gt;BE$5,0,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BE$5,$AA42 &lt; BE$4),0,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F42" s="18" cm="1">
        <f t="array" ref="BF42" xml:space="preserve">
IFERROR(
IF(BF$1="",0,
IF(AND(
$AA42&gt;=VLOOKUP(BF$6, Table_ChiPhiNV_Ca[], COUNTA(Table_ChiPhiNV_Ca[[#Headers],[Ca]:[Bắt đầu nghỉ]]),0),
$AA42&lt;VLOOKUP(BF$6, Table_ChiPhiNV_Ca[], COUNTA(Table_ChiPhiNV_Ca[[#Headers],[Ca]:[Kết thúc nghỉ]]),0)
),0,
IF(NOT(ISBLANK(BF$3)),
IF(ISBLANK(BF$7),0,
IF(BF$4 &lt; BF$5,
IF($AA42-$Z$4&lt;BF$4,0,
IF($AA42&gt;BF$5,0,
SUM(_xlfn._xlws.FILTER(Table_BangLuong_TyLeTangCa[Tỷ lệ],
(Table_BangLuong_TyLeTangCa[Ngày] = BF$3) *
(Table_BangLuong_TyLeTangCa[Giờ min]&lt;=$AA42) *
(Table_BangLuong_TyLeTangCa[Giờ max]&gt;$AA42)
)))),
IF(AND($AA42-$Z$4 &gt;= BF$5,$AA42 &lt; BF$4),0,
SUM(_xlfn._xlws.FILTER(Table_BangLuong_TyLeTangCa[Tỷ lệ],
(Table_BangLuong_TyLeTangCa[Ngày] = BF$3) *
(Table_BangLuong_TyLeTangCa[Giờ min]&lt;=$AA42) *
(Table_BangLuong_TyLeTangCa[Giờ max]&gt;$AA42)
))))
),
IF(ISBLANK(BF$7),
IF(VLOOKUP(BF$6, Table_ChiPhiNV_Ca[], COUNTA(Table_ChiPhiNV_Ca[[#Headers],[Ca]:[Kết thúc]]),0)&gt; VLOOKUP(BF$6, Table_ChiPhiNV_Ca[], COUNTA(Table_ChiPhiNV_Ca[[#Headers],[Ca]:[Bắt đầu]]),0),
IF($AA42-$Z$4&lt;MAX(BF$4,VLOOKUP(BF$6, Table_ChiPhiNV_Ca[], COUNTA(Table_ChiPhiNV_Ca[[#Headers],[Ca]:[Bắt đầu]]),0)),0,
IF($AA42&gt;MIN(BF$5,VLOOKUP(BF$6, Table_ChiPhiNV_Ca[], COUNTA(Table_ChiPhiNV_Ca[[#Headers],[Ca]:[Kết thúc]]),0)),0,
SUM(_xlfn._xlws.FILTER(Table_BangLuong_TyLeTangCa[Tỷ lệ],
(Table_BangLuong_TyLeTangCa[Ngày] = "Thường") *
(Table_BangLuong_TyLeTangCa[Giờ min]&lt;=$AA42) *
(Table_BangLuong_TyLeTangCa[Giờ max]&gt;$AA42)
)))),
IF(BF$4 &gt; BF$5,
IF(
AND(
$AA42-$Z$4&lt;MAX(BF$4,VLOOKUP(BF$6, Table_ChiPhiNV_Ca[], COUNTA(Table_ChiPhiNV_Ca[[#Headers],[Ca]:[Bắt đầu]]),0)),
$AA42&gt;MIN(BF$5,VLOOKUP(BF$6, Table_ChiPhiNV_Ca[], COUNTA(Table_ChiPhiNV_Ca[[#Headers],[Ca]:[Kết thúc]]),0))),0,
SUM(_xlfn._xlws.FILTER(Table_BangLuong_TyLeTangCa[Tỷ lệ],
(Table_BangLuong_TyLeTangCa[Ngày] = "Thường") *
(Table_BangLuong_TyLeTangCa[Giờ min]&lt;=$AA42) *
(Table_BangLuong_TyLeTangCa[Giờ max]&gt;$AA42)
))),
IF(
AND(
$AA42-$Z$4&gt;=MAX(BF$4,VLOOKUP(BF$6, Table_ChiPhiNV_Ca[], COUNTA(Table_ChiPhiNV_Ca[[#Headers],[Ca]:[Bắt đầu]]),0)),
$AA42&lt;MIN(BF$5,VLOOKUP(BF$6, Table_ChiPhiNV_Ca[], COUNTA(Table_ChiPhiNV_Ca[[#Headers],[Ca]:[Kết thúc]]),0))),
SUM(_xlfn._xlws.FILTER(Table_BangLuong_TyLeTangCa[Tỷ lệ],
(Table_BangLuong_TyLeTangCa[Ngày] = "Thường") *
(Table_BangLuong_TyLeTangCa[Giờ min]&lt;=$AA42) *
(Table_BangLuong_TyLeTangCa[Giờ max]&gt;$AA42)
)),0)
)),
IF(BF$4 &lt; BF$5,
IF($AA42-$Z$4&lt;BF$4,0,
IF($AA42&gt;BF$5,0,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BF$5,$AA42 &lt; BF$4),0,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row>
    <row r="43" spans="2:58" ht="18" customHeight="1" outlineLevel="1" x14ac:dyDescent="0.3">
      <c r="AA43" s="50">
        <v>0.70833333333333304</v>
      </c>
      <c r="AB43" s="18" cm="1">
        <f t="array" ref="AB43" xml:space="preserve">
IFERROR(
IF(AB$1="",0,
IF(AND(
$AA43&gt;=VLOOKUP(AB$6, Table_ChiPhiNV_Ca[], COUNTA(Table_ChiPhiNV_Ca[[#Headers],[Ca]:[Bắt đầu nghỉ]]),0),
$AA43&lt;VLOOKUP(AB$6, Table_ChiPhiNV_Ca[], COUNTA(Table_ChiPhiNV_Ca[[#Headers],[Ca]:[Kết thúc nghỉ]]),0)
),0,
IF(NOT(ISBLANK(AB$3)),
IF(ISBLANK(AB$7),0,
IF(AB$4 &lt; AB$5,
IF($AA43-$Z$4&lt;AB$4,0,
IF($AA43&gt;AB$5,0,
SUM(_xlfn._xlws.FILTER(Table_BangLuong_TyLeTangCa[Tỷ lệ],
(Table_BangLuong_TyLeTangCa[Ngày] = AB$3) *
(Table_BangLuong_TyLeTangCa[Giờ min]&lt;=$AA43) *
(Table_BangLuong_TyLeTangCa[Giờ max]&gt;$AA43)
)))),
IF(AND($AA43-$Z$4 &gt;= AB$5,$AA43 &lt; AB$4),0,
SUM(_xlfn._xlws.FILTER(Table_BangLuong_TyLeTangCa[Tỷ lệ],
(Table_BangLuong_TyLeTangCa[Ngày] = AB$3) *
(Table_BangLuong_TyLeTangCa[Giờ min]&lt;=$AA43) *
(Table_BangLuong_TyLeTangCa[Giờ max]&gt;$AA43)
))))
),
IF(ISBLANK(AB$7),
IF(VLOOKUP(AB$6, Table_ChiPhiNV_Ca[], COUNTA(Table_ChiPhiNV_Ca[[#Headers],[Ca]:[Kết thúc]]),0)&gt; VLOOKUP(AB$6, Table_ChiPhiNV_Ca[], COUNTA(Table_ChiPhiNV_Ca[[#Headers],[Ca]:[Bắt đầu]]),0),
IF($AA43-$Z$4&lt;MAX(AB$4,VLOOKUP(AB$6, Table_ChiPhiNV_Ca[], COUNTA(Table_ChiPhiNV_Ca[[#Headers],[Ca]:[Bắt đầu]]),0)),0,
IF($AA43&gt;MIN(AB$5,VLOOKUP(AB$6, Table_ChiPhiNV_Ca[], COUNTA(Table_ChiPhiNV_Ca[[#Headers],[Ca]:[Kết thúc]]),0)),0,
SUM(_xlfn._xlws.FILTER(Table_BangLuong_TyLeTangCa[Tỷ lệ],
(Table_BangLuong_TyLeTangCa[Ngày] = "Thường") *
(Table_BangLuong_TyLeTangCa[Giờ min]&lt;=$AA43) *
(Table_BangLuong_TyLeTangCa[Giờ max]&gt;$AA43)
)))),
IF(AB$4 &gt; AB$5,
IF(
AND(
$AA43-$Z$4&lt;MAX(AB$4,VLOOKUP(AB$6, Table_ChiPhiNV_Ca[], COUNTA(Table_ChiPhiNV_Ca[[#Headers],[Ca]:[Bắt đầu]]),0)),
$AA43&gt;MIN(AB$5,VLOOKUP(AB$6, Table_ChiPhiNV_Ca[], COUNTA(Table_ChiPhiNV_Ca[[#Headers],[Ca]:[Kết thúc]]),0))),0,
SUM(_xlfn._xlws.FILTER(Table_BangLuong_TyLeTangCa[Tỷ lệ],
(Table_BangLuong_TyLeTangCa[Ngày] = "Thường") *
(Table_BangLuong_TyLeTangCa[Giờ min]&lt;=$AA43) *
(Table_BangLuong_TyLeTangCa[Giờ max]&gt;$AA43)
))),
IF(
AND(
$AA43-$Z$4&gt;=MAX(AB$4,VLOOKUP(AB$6, Table_ChiPhiNV_Ca[], COUNTA(Table_ChiPhiNV_Ca[[#Headers],[Ca]:[Bắt đầu]]),0)),
$AA43&lt;MIN(AB$5,VLOOKUP(AB$6, Table_ChiPhiNV_Ca[], COUNTA(Table_ChiPhiNV_Ca[[#Headers],[Ca]:[Kết thúc]]),0))),
SUM(_xlfn._xlws.FILTER(Table_BangLuong_TyLeTangCa[Tỷ lệ],
(Table_BangLuong_TyLeTangCa[Ngày] = "Thường") *
(Table_BangLuong_TyLeTangCa[Giờ min]&lt;=$AA43) *
(Table_BangLuong_TyLeTangCa[Giờ max]&gt;$AA43)
)),0)
)),
IF(AB$4 &lt; AB$5,
IF($AA43-$Z$4&lt;AB$4,0,
IF($AA43&gt;AB$5,0,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AB$5,$AA43 &lt; AB$4),0,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C43" s="18" cm="1">
        <f t="array" ref="AC43" xml:space="preserve">
IFERROR(
IF(AC$1="",0,
IF(AND(
$AA43&gt;=VLOOKUP(AC$6, Table_ChiPhiNV_Ca[], COUNTA(Table_ChiPhiNV_Ca[[#Headers],[Ca]:[Bắt đầu nghỉ]]),0),
$AA43&lt;VLOOKUP(AC$6, Table_ChiPhiNV_Ca[], COUNTA(Table_ChiPhiNV_Ca[[#Headers],[Ca]:[Kết thúc nghỉ]]),0)
),0,
IF(NOT(ISBLANK(AC$3)),
IF(ISBLANK(AC$7),0,
IF(AC$4 &lt; AC$5,
IF($AA43-$Z$4&lt;AC$4,0,
IF($AA43&gt;AC$5,0,
SUM(_xlfn._xlws.FILTER(Table_BangLuong_TyLeTangCa[Tỷ lệ],
(Table_BangLuong_TyLeTangCa[Ngày] = AC$3) *
(Table_BangLuong_TyLeTangCa[Giờ min]&lt;=$AA43) *
(Table_BangLuong_TyLeTangCa[Giờ max]&gt;$AA43)
)))),
IF(AND($AA43-$Z$4 &gt;= AC$5,$AA43 &lt; AC$4),0,
SUM(_xlfn._xlws.FILTER(Table_BangLuong_TyLeTangCa[Tỷ lệ],
(Table_BangLuong_TyLeTangCa[Ngày] = AC$3) *
(Table_BangLuong_TyLeTangCa[Giờ min]&lt;=$AA43) *
(Table_BangLuong_TyLeTangCa[Giờ max]&gt;$AA43)
))))
),
IF(ISBLANK(AC$7),
IF(VLOOKUP(AC$6, Table_ChiPhiNV_Ca[], COUNTA(Table_ChiPhiNV_Ca[[#Headers],[Ca]:[Kết thúc]]),0)&gt; VLOOKUP(AC$6, Table_ChiPhiNV_Ca[], COUNTA(Table_ChiPhiNV_Ca[[#Headers],[Ca]:[Bắt đầu]]),0),
IF($AA43-$Z$4&lt;MAX(AC$4,VLOOKUP(AC$6, Table_ChiPhiNV_Ca[], COUNTA(Table_ChiPhiNV_Ca[[#Headers],[Ca]:[Bắt đầu]]),0)),0,
IF($AA43&gt;MIN(AC$5,VLOOKUP(AC$6, Table_ChiPhiNV_Ca[], COUNTA(Table_ChiPhiNV_Ca[[#Headers],[Ca]:[Kết thúc]]),0)),0,
SUM(_xlfn._xlws.FILTER(Table_BangLuong_TyLeTangCa[Tỷ lệ],
(Table_BangLuong_TyLeTangCa[Ngày] = "Thường") *
(Table_BangLuong_TyLeTangCa[Giờ min]&lt;=$AA43) *
(Table_BangLuong_TyLeTangCa[Giờ max]&gt;$AA43)
)))),
IF(AC$4 &gt; AC$5,
IF(
AND(
$AA43-$Z$4&lt;MAX(AC$4,VLOOKUP(AC$6, Table_ChiPhiNV_Ca[], COUNTA(Table_ChiPhiNV_Ca[[#Headers],[Ca]:[Bắt đầu]]),0)),
$AA43&gt;MIN(AC$5,VLOOKUP(AC$6, Table_ChiPhiNV_Ca[], COUNTA(Table_ChiPhiNV_Ca[[#Headers],[Ca]:[Kết thúc]]),0))),0,
SUM(_xlfn._xlws.FILTER(Table_BangLuong_TyLeTangCa[Tỷ lệ],
(Table_BangLuong_TyLeTangCa[Ngày] = "Thường") *
(Table_BangLuong_TyLeTangCa[Giờ min]&lt;=$AA43) *
(Table_BangLuong_TyLeTangCa[Giờ max]&gt;$AA43)
))),
IF(
AND(
$AA43-$Z$4&gt;=MAX(AC$4,VLOOKUP(AC$6, Table_ChiPhiNV_Ca[], COUNTA(Table_ChiPhiNV_Ca[[#Headers],[Ca]:[Bắt đầu]]),0)),
$AA43&lt;MIN(AC$5,VLOOKUP(AC$6, Table_ChiPhiNV_Ca[], COUNTA(Table_ChiPhiNV_Ca[[#Headers],[Ca]:[Kết thúc]]),0))),
SUM(_xlfn._xlws.FILTER(Table_BangLuong_TyLeTangCa[Tỷ lệ],
(Table_BangLuong_TyLeTangCa[Ngày] = "Thường") *
(Table_BangLuong_TyLeTangCa[Giờ min]&lt;=$AA43) *
(Table_BangLuong_TyLeTangCa[Giờ max]&gt;$AA43)
)),0)
)),
IF(AC$4 &lt; AC$5,
IF($AA43-$Z$4&lt;AC$4,0,
IF($AA43&gt;AC$5,0,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AC$5,$AA43 &lt; AC$4),0,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1.5</v>
      </c>
      <c r="AD43" s="18" cm="1">
        <f t="array" ref="AD43" xml:space="preserve">
IFERROR(
IF(AD$1="",0,
IF(AND(
$AA43&gt;=VLOOKUP(AD$6, Table_ChiPhiNV_Ca[], COUNTA(Table_ChiPhiNV_Ca[[#Headers],[Ca]:[Bắt đầu nghỉ]]),0),
$AA43&lt;VLOOKUP(AD$6, Table_ChiPhiNV_Ca[], COUNTA(Table_ChiPhiNV_Ca[[#Headers],[Ca]:[Kết thúc nghỉ]]),0)
),0,
IF(NOT(ISBLANK(AD$3)),
IF(ISBLANK(AD$7),0,
IF(AD$4 &lt; AD$5,
IF($AA43-$Z$4&lt;AD$4,0,
IF($AA43&gt;AD$5,0,
SUM(_xlfn._xlws.FILTER(Table_BangLuong_TyLeTangCa[Tỷ lệ],
(Table_BangLuong_TyLeTangCa[Ngày] = AD$3) *
(Table_BangLuong_TyLeTangCa[Giờ min]&lt;=$AA43) *
(Table_BangLuong_TyLeTangCa[Giờ max]&gt;$AA43)
)))),
IF(AND($AA43-$Z$4 &gt;= AD$5,$AA43 &lt; AD$4),0,
SUM(_xlfn._xlws.FILTER(Table_BangLuong_TyLeTangCa[Tỷ lệ],
(Table_BangLuong_TyLeTangCa[Ngày] = AD$3) *
(Table_BangLuong_TyLeTangCa[Giờ min]&lt;=$AA43) *
(Table_BangLuong_TyLeTangCa[Giờ max]&gt;$AA43)
))))
),
IF(ISBLANK(AD$7),
IF(VLOOKUP(AD$6, Table_ChiPhiNV_Ca[], COUNTA(Table_ChiPhiNV_Ca[[#Headers],[Ca]:[Kết thúc]]),0)&gt; VLOOKUP(AD$6, Table_ChiPhiNV_Ca[], COUNTA(Table_ChiPhiNV_Ca[[#Headers],[Ca]:[Bắt đầu]]),0),
IF($AA43-$Z$4&lt;MAX(AD$4,VLOOKUP(AD$6, Table_ChiPhiNV_Ca[], COUNTA(Table_ChiPhiNV_Ca[[#Headers],[Ca]:[Bắt đầu]]),0)),0,
IF($AA43&gt;MIN(AD$5,VLOOKUP(AD$6, Table_ChiPhiNV_Ca[], COUNTA(Table_ChiPhiNV_Ca[[#Headers],[Ca]:[Kết thúc]]),0)),0,
SUM(_xlfn._xlws.FILTER(Table_BangLuong_TyLeTangCa[Tỷ lệ],
(Table_BangLuong_TyLeTangCa[Ngày] = "Thường") *
(Table_BangLuong_TyLeTangCa[Giờ min]&lt;=$AA43) *
(Table_BangLuong_TyLeTangCa[Giờ max]&gt;$AA43)
)))),
IF(AD$4 &gt; AD$5,
IF(
AND(
$AA43-$Z$4&lt;MAX(AD$4,VLOOKUP(AD$6, Table_ChiPhiNV_Ca[], COUNTA(Table_ChiPhiNV_Ca[[#Headers],[Ca]:[Bắt đầu]]),0)),
$AA43&gt;MIN(AD$5,VLOOKUP(AD$6, Table_ChiPhiNV_Ca[], COUNTA(Table_ChiPhiNV_Ca[[#Headers],[Ca]:[Kết thúc]]),0))),0,
SUM(_xlfn._xlws.FILTER(Table_BangLuong_TyLeTangCa[Tỷ lệ],
(Table_BangLuong_TyLeTangCa[Ngày] = "Thường") *
(Table_BangLuong_TyLeTangCa[Giờ min]&lt;=$AA43) *
(Table_BangLuong_TyLeTangCa[Giờ max]&gt;$AA43)
))),
IF(
AND(
$AA43-$Z$4&gt;=MAX(AD$4,VLOOKUP(AD$6, Table_ChiPhiNV_Ca[], COUNTA(Table_ChiPhiNV_Ca[[#Headers],[Ca]:[Bắt đầu]]),0)),
$AA43&lt;MIN(AD$5,VLOOKUP(AD$6, Table_ChiPhiNV_Ca[], COUNTA(Table_ChiPhiNV_Ca[[#Headers],[Ca]:[Kết thúc]]),0))),
SUM(_xlfn._xlws.FILTER(Table_BangLuong_TyLeTangCa[Tỷ lệ],
(Table_BangLuong_TyLeTangCa[Ngày] = "Thường") *
(Table_BangLuong_TyLeTangCa[Giờ min]&lt;=$AA43) *
(Table_BangLuong_TyLeTangCa[Giờ max]&gt;$AA43)
)),0)
)),
IF(AD$4 &lt; AD$5,
IF($AA43-$Z$4&lt;AD$4,0,
IF($AA43&gt;AD$5,0,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AD$5,$AA43 &lt; AD$4),0,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E43" s="18" cm="1">
        <f t="array" ref="AE43" xml:space="preserve">
IFERROR(
IF(AE$1="",0,
IF(AND(
$AA43&gt;=VLOOKUP(AE$6, Table_ChiPhiNV_Ca[], COUNTA(Table_ChiPhiNV_Ca[[#Headers],[Ca]:[Bắt đầu nghỉ]]),0),
$AA43&lt;VLOOKUP(AE$6, Table_ChiPhiNV_Ca[], COUNTA(Table_ChiPhiNV_Ca[[#Headers],[Ca]:[Kết thúc nghỉ]]),0)
),0,
IF(NOT(ISBLANK(AE$3)),
IF(ISBLANK(AE$7),0,
IF(AE$4 &lt; AE$5,
IF($AA43-$Z$4&lt;AE$4,0,
IF($AA43&gt;AE$5,0,
SUM(_xlfn._xlws.FILTER(Table_BangLuong_TyLeTangCa[Tỷ lệ],
(Table_BangLuong_TyLeTangCa[Ngày] = AE$3) *
(Table_BangLuong_TyLeTangCa[Giờ min]&lt;=$AA43) *
(Table_BangLuong_TyLeTangCa[Giờ max]&gt;$AA43)
)))),
IF(AND($AA43-$Z$4 &gt;= AE$5,$AA43 &lt; AE$4),0,
SUM(_xlfn._xlws.FILTER(Table_BangLuong_TyLeTangCa[Tỷ lệ],
(Table_BangLuong_TyLeTangCa[Ngày] = AE$3) *
(Table_BangLuong_TyLeTangCa[Giờ min]&lt;=$AA43) *
(Table_BangLuong_TyLeTangCa[Giờ max]&gt;$AA43)
))))
),
IF(ISBLANK(AE$7),
IF(VLOOKUP(AE$6, Table_ChiPhiNV_Ca[], COUNTA(Table_ChiPhiNV_Ca[[#Headers],[Ca]:[Kết thúc]]),0)&gt; VLOOKUP(AE$6, Table_ChiPhiNV_Ca[], COUNTA(Table_ChiPhiNV_Ca[[#Headers],[Ca]:[Bắt đầu]]),0),
IF($AA43-$Z$4&lt;MAX(AE$4,VLOOKUP(AE$6, Table_ChiPhiNV_Ca[], COUNTA(Table_ChiPhiNV_Ca[[#Headers],[Ca]:[Bắt đầu]]),0)),0,
IF($AA43&gt;MIN(AE$5,VLOOKUP(AE$6, Table_ChiPhiNV_Ca[], COUNTA(Table_ChiPhiNV_Ca[[#Headers],[Ca]:[Kết thúc]]),0)),0,
SUM(_xlfn._xlws.FILTER(Table_BangLuong_TyLeTangCa[Tỷ lệ],
(Table_BangLuong_TyLeTangCa[Ngày] = "Thường") *
(Table_BangLuong_TyLeTangCa[Giờ min]&lt;=$AA43) *
(Table_BangLuong_TyLeTangCa[Giờ max]&gt;$AA43)
)))),
IF(AE$4 &gt; AE$5,
IF(
AND(
$AA43-$Z$4&lt;MAX(AE$4,VLOOKUP(AE$6, Table_ChiPhiNV_Ca[], COUNTA(Table_ChiPhiNV_Ca[[#Headers],[Ca]:[Bắt đầu]]),0)),
$AA43&gt;MIN(AE$5,VLOOKUP(AE$6, Table_ChiPhiNV_Ca[], COUNTA(Table_ChiPhiNV_Ca[[#Headers],[Ca]:[Kết thúc]]),0))),0,
SUM(_xlfn._xlws.FILTER(Table_BangLuong_TyLeTangCa[Tỷ lệ],
(Table_BangLuong_TyLeTangCa[Ngày] = "Thường") *
(Table_BangLuong_TyLeTangCa[Giờ min]&lt;=$AA43) *
(Table_BangLuong_TyLeTangCa[Giờ max]&gt;$AA43)
))),
IF(
AND(
$AA43-$Z$4&gt;=MAX(AE$4,VLOOKUP(AE$6, Table_ChiPhiNV_Ca[], COUNTA(Table_ChiPhiNV_Ca[[#Headers],[Ca]:[Bắt đầu]]),0)),
$AA43&lt;MIN(AE$5,VLOOKUP(AE$6, Table_ChiPhiNV_Ca[], COUNTA(Table_ChiPhiNV_Ca[[#Headers],[Ca]:[Kết thúc]]),0))),
SUM(_xlfn._xlws.FILTER(Table_BangLuong_TyLeTangCa[Tỷ lệ],
(Table_BangLuong_TyLeTangCa[Ngày] = "Thường") *
(Table_BangLuong_TyLeTangCa[Giờ min]&lt;=$AA43) *
(Table_BangLuong_TyLeTangCa[Giờ max]&gt;$AA43)
)),0)
)),
IF(AE$4 &lt; AE$5,
IF($AA43-$Z$4&lt;AE$4,0,
IF($AA43&gt;AE$5,0,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AE$5,$AA43 &lt; AE$4),0,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F43" s="18" cm="1">
        <f t="array" ref="AF43" xml:space="preserve">
IFERROR(
IF(AF$1="",0,
IF(AND(
$AA43&gt;=VLOOKUP(AF$6, Table_ChiPhiNV_Ca[], COUNTA(Table_ChiPhiNV_Ca[[#Headers],[Ca]:[Bắt đầu nghỉ]]),0),
$AA43&lt;VLOOKUP(AF$6, Table_ChiPhiNV_Ca[], COUNTA(Table_ChiPhiNV_Ca[[#Headers],[Ca]:[Kết thúc nghỉ]]),0)
),0,
IF(NOT(ISBLANK(AF$3)),
IF(ISBLANK(AF$7),0,
IF(AF$4 &lt; AF$5,
IF($AA43-$Z$4&lt;AF$4,0,
IF($AA43&gt;AF$5,0,
SUM(_xlfn._xlws.FILTER(Table_BangLuong_TyLeTangCa[Tỷ lệ],
(Table_BangLuong_TyLeTangCa[Ngày] = AF$3) *
(Table_BangLuong_TyLeTangCa[Giờ min]&lt;=$AA43) *
(Table_BangLuong_TyLeTangCa[Giờ max]&gt;$AA43)
)))),
IF(AND($AA43-$Z$4 &gt;= AF$5,$AA43 &lt; AF$4),0,
SUM(_xlfn._xlws.FILTER(Table_BangLuong_TyLeTangCa[Tỷ lệ],
(Table_BangLuong_TyLeTangCa[Ngày] = AF$3) *
(Table_BangLuong_TyLeTangCa[Giờ min]&lt;=$AA43) *
(Table_BangLuong_TyLeTangCa[Giờ max]&gt;$AA43)
))))
),
IF(ISBLANK(AF$7),
IF(VLOOKUP(AF$6, Table_ChiPhiNV_Ca[], COUNTA(Table_ChiPhiNV_Ca[[#Headers],[Ca]:[Kết thúc]]),0)&gt; VLOOKUP(AF$6, Table_ChiPhiNV_Ca[], COUNTA(Table_ChiPhiNV_Ca[[#Headers],[Ca]:[Bắt đầu]]),0),
IF($AA43-$Z$4&lt;MAX(AF$4,VLOOKUP(AF$6, Table_ChiPhiNV_Ca[], COUNTA(Table_ChiPhiNV_Ca[[#Headers],[Ca]:[Bắt đầu]]),0)),0,
IF($AA43&gt;MIN(AF$5,VLOOKUP(AF$6, Table_ChiPhiNV_Ca[], COUNTA(Table_ChiPhiNV_Ca[[#Headers],[Ca]:[Kết thúc]]),0)),0,
SUM(_xlfn._xlws.FILTER(Table_BangLuong_TyLeTangCa[Tỷ lệ],
(Table_BangLuong_TyLeTangCa[Ngày] = "Thường") *
(Table_BangLuong_TyLeTangCa[Giờ min]&lt;=$AA43) *
(Table_BangLuong_TyLeTangCa[Giờ max]&gt;$AA43)
)))),
IF(AF$4 &gt; AF$5,
IF(
AND(
$AA43-$Z$4&lt;MAX(AF$4,VLOOKUP(AF$6, Table_ChiPhiNV_Ca[], COUNTA(Table_ChiPhiNV_Ca[[#Headers],[Ca]:[Bắt đầu]]),0)),
$AA43&gt;MIN(AF$5,VLOOKUP(AF$6, Table_ChiPhiNV_Ca[], COUNTA(Table_ChiPhiNV_Ca[[#Headers],[Ca]:[Kết thúc]]),0))),0,
SUM(_xlfn._xlws.FILTER(Table_BangLuong_TyLeTangCa[Tỷ lệ],
(Table_BangLuong_TyLeTangCa[Ngày] = "Thường") *
(Table_BangLuong_TyLeTangCa[Giờ min]&lt;=$AA43) *
(Table_BangLuong_TyLeTangCa[Giờ max]&gt;$AA43)
))),
IF(
AND(
$AA43-$Z$4&gt;=MAX(AF$4,VLOOKUP(AF$6, Table_ChiPhiNV_Ca[], COUNTA(Table_ChiPhiNV_Ca[[#Headers],[Ca]:[Bắt đầu]]),0)),
$AA43&lt;MIN(AF$5,VLOOKUP(AF$6, Table_ChiPhiNV_Ca[], COUNTA(Table_ChiPhiNV_Ca[[#Headers],[Ca]:[Kết thúc]]),0))),
SUM(_xlfn._xlws.FILTER(Table_BangLuong_TyLeTangCa[Tỷ lệ],
(Table_BangLuong_TyLeTangCa[Ngày] = "Thường") *
(Table_BangLuong_TyLeTangCa[Giờ min]&lt;=$AA43) *
(Table_BangLuong_TyLeTangCa[Giờ max]&gt;$AA43)
)),0)
)),
IF(AF$4 &lt; AF$5,
IF($AA43-$Z$4&lt;AF$4,0,
IF($AA43&gt;AF$5,0,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AF$5,$AA43 &lt; AF$4),0,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G43" s="18" cm="1">
        <f t="array" ref="AG43" xml:space="preserve">
IFERROR(
IF(AG$1="",0,
IF(AND(
$AA43&gt;=VLOOKUP(AG$6, Table_ChiPhiNV_Ca[], COUNTA(Table_ChiPhiNV_Ca[[#Headers],[Ca]:[Bắt đầu nghỉ]]),0),
$AA43&lt;VLOOKUP(AG$6, Table_ChiPhiNV_Ca[], COUNTA(Table_ChiPhiNV_Ca[[#Headers],[Ca]:[Kết thúc nghỉ]]),0)
),0,
IF(NOT(ISBLANK(AG$3)),
IF(ISBLANK(AG$7),0,
IF(AG$4 &lt; AG$5,
IF($AA43-$Z$4&lt;AG$4,0,
IF($AA43&gt;AG$5,0,
SUM(_xlfn._xlws.FILTER(Table_BangLuong_TyLeTangCa[Tỷ lệ],
(Table_BangLuong_TyLeTangCa[Ngày] = AG$3) *
(Table_BangLuong_TyLeTangCa[Giờ min]&lt;=$AA43) *
(Table_BangLuong_TyLeTangCa[Giờ max]&gt;$AA43)
)))),
IF(AND($AA43-$Z$4 &gt;= AG$5,$AA43 &lt; AG$4),0,
SUM(_xlfn._xlws.FILTER(Table_BangLuong_TyLeTangCa[Tỷ lệ],
(Table_BangLuong_TyLeTangCa[Ngày] = AG$3) *
(Table_BangLuong_TyLeTangCa[Giờ min]&lt;=$AA43) *
(Table_BangLuong_TyLeTangCa[Giờ max]&gt;$AA43)
))))
),
IF(ISBLANK(AG$7),
IF(VLOOKUP(AG$6, Table_ChiPhiNV_Ca[], COUNTA(Table_ChiPhiNV_Ca[[#Headers],[Ca]:[Kết thúc]]),0)&gt; VLOOKUP(AG$6, Table_ChiPhiNV_Ca[], COUNTA(Table_ChiPhiNV_Ca[[#Headers],[Ca]:[Bắt đầu]]),0),
IF($AA43-$Z$4&lt;MAX(AG$4,VLOOKUP(AG$6, Table_ChiPhiNV_Ca[], COUNTA(Table_ChiPhiNV_Ca[[#Headers],[Ca]:[Bắt đầu]]),0)),0,
IF($AA43&gt;MIN(AG$5,VLOOKUP(AG$6, Table_ChiPhiNV_Ca[], COUNTA(Table_ChiPhiNV_Ca[[#Headers],[Ca]:[Kết thúc]]),0)),0,
SUM(_xlfn._xlws.FILTER(Table_BangLuong_TyLeTangCa[Tỷ lệ],
(Table_BangLuong_TyLeTangCa[Ngày] = "Thường") *
(Table_BangLuong_TyLeTangCa[Giờ min]&lt;=$AA43) *
(Table_BangLuong_TyLeTangCa[Giờ max]&gt;$AA43)
)))),
IF(AG$4 &gt; AG$5,
IF(
AND(
$AA43-$Z$4&lt;MAX(AG$4,VLOOKUP(AG$6, Table_ChiPhiNV_Ca[], COUNTA(Table_ChiPhiNV_Ca[[#Headers],[Ca]:[Bắt đầu]]),0)),
$AA43&gt;MIN(AG$5,VLOOKUP(AG$6, Table_ChiPhiNV_Ca[], COUNTA(Table_ChiPhiNV_Ca[[#Headers],[Ca]:[Kết thúc]]),0))),0,
SUM(_xlfn._xlws.FILTER(Table_BangLuong_TyLeTangCa[Tỷ lệ],
(Table_BangLuong_TyLeTangCa[Ngày] = "Thường") *
(Table_BangLuong_TyLeTangCa[Giờ min]&lt;=$AA43) *
(Table_BangLuong_TyLeTangCa[Giờ max]&gt;$AA43)
))),
IF(
AND(
$AA43-$Z$4&gt;=MAX(AG$4,VLOOKUP(AG$6, Table_ChiPhiNV_Ca[], COUNTA(Table_ChiPhiNV_Ca[[#Headers],[Ca]:[Bắt đầu]]),0)),
$AA43&lt;MIN(AG$5,VLOOKUP(AG$6, Table_ChiPhiNV_Ca[], COUNTA(Table_ChiPhiNV_Ca[[#Headers],[Ca]:[Kết thúc]]),0))),
SUM(_xlfn._xlws.FILTER(Table_BangLuong_TyLeTangCa[Tỷ lệ],
(Table_BangLuong_TyLeTangCa[Ngày] = "Thường") *
(Table_BangLuong_TyLeTangCa[Giờ min]&lt;=$AA43) *
(Table_BangLuong_TyLeTangCa[Giờ max]&gt;$AA43)
)),0)
)),
IF(AG$4 &lt; AG$5,
IF($AA43-$Z$4&lt;AG$4,0,
IF($AA43&gt;AG$5,0,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AG$5,$AA43 &lt; AG$4),0,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H43" s="18" cm="1">
        <f t="array" ref="AH43" xml:space="preserve">
IFERROR(
IF(AH$1="",0,
IF(AND(
$AA43&gt;=VLOOKUP(AH$6, Table_ChiPhiNV_Ca[], COUNTA(Table_ChiPhiNV_Ca[[#Headers],[Ca]:[Bắt đầu nghỉ]]),0),
$AA43&lt;VLOOKUP(AH$6, Table_ChiPhiNV_Ca[], COUNTA(Table_ChiPhiNV_Ca[[#Headers],[Ca]:[Kết thúc nghỉ]]),0)
),0,
IF(NOT(ISBLANK(AH$3)),
IF(ISBLANK(AH$7),0,
IF(AH$4 &lt; AH$5,
IF($AA43-$Z$4&lt;AH$4,0,
IF($AA43&gt;AH$5,0,
SUM(_xlfn._xlws.FILTER(Table_BangLuong_TyLeTangCa[Tỷ lệ],
(Table_BangLuong_TyLeTangCa[Ngày] = AH$3) *
(Table_BangLuong_TyLeTangCa[Giờ min]&lt;=$AA43) *
(Table_BangLuong_TyLeTangCa[Giờ max]&gt;$AA43)
)))),
IF(AND($AA43-$Z$4 &gt;= AH$5,$AA43 &lt; AH$4),0,
SUM(_xlfn._xlws.FILTER(Table_BangLuong_TyLeTangCa[Tỷ lệ],
(Table_BangLuong_TyLeTangCa[Ngày] = AH$3) *
(Table_BangLuong_TyLeTangCa[Giờ min]&lt;=$AA43) *
(Table_BangLuong_TyLeTangCa[Giờ max]&gt;$AA43)
))))
),
IF(ISBLANK(AH$7),
IF(VLOOKUP(AH$6, Table_ChiPhiNV_Ca[], COUNTA(Table_ChiPhiNV_Ca[[#Headers],[Ca]:[Kết thúc]]),0)&gt; VLOOKUP(AH$6, Table_ChiPhiNV_Ca[], COUNTA(Table_ChiPhiNV_Ca[[#Headers],[Ca]:[Bắt đầu]]),0),
IF($AA43-$Z$4&lt;MAX(AH$4,VLOOKUP(AH$6, Table_ChiPhiNV_Ca[], COUNTA(Table_ChiPhiNV_Ca[[#Headers],[Ca]:[Bắt đầu]]),0)),0,
IF($AA43&gt;MIN(AH$5,VLOOKUP(AH$6, Table_ChiPhiNV_Ca[], COUNTA(Table_ChiPhiNV_Ca[[#Headers],[Ca]:[Kết thúc]]),0)),0,
SUM(_xlfn._xlws.FILTER(Table_BangLuong_TyLeTangCa[Tỷ lệ],
(Table_BangLuong_TyLeTangCa[Ngày] = "Thường") *
(Table_BangLuong_TyLeTangCa[Giờ min]&lt;=$AA43) *
(Table_BangLuong_TyLeTangCa[Giờ max]&gt;$AA43)
)))),
IF(AH$4 &gt; AH$5,
IF(
AND(
$AA43-$Z$4&lt;MAX(AH$4,VLOOKUP(AH$6, Table_ChiPhiNV_Ca[], COUNTA(Table_ChiPhiNV_Ca[[#Headers],[Ca]:[Bắt đầu]]),0)),
$AA43&gt;MIN(AH$5,VLOOKUP(AH$6, Table_ChiPhiNV_Ca[], COUNTA(Table_ChiPhiNV_Ca[[#Headers],[Ca]:[Kết thúc]]),0))),0,
SUM(_xlfn._xlws.FILTER(Table_BangLuong_TyLeTangCa[Tỷ lệ],
(Table_BangLuong_TyLeTangCa[Ngày] = "Thường") *
(Table_BangLuong_TyLeTangCa[Giờ min]&lt;=$AA43) *
(Table_BangLuong_TyLeTangCa[Giờ max]&gt;$AA43)
))),
IF(
AND(
$AA43-$Z$4&gt;=MAX(AH$4,VLOOKUP(AH$6, Table_ChiPhiNV_Ca[], COUNTA(Table_ChiPhiNV_Ca[[#Headers],[Ca]:[Bắt đầu]]),0)),
$AA43&lt;MIN(AH$5,VLOOKUP(AH$6, Table_ChiPhiNV_Ca[], COUNTA(Table_ChiPhiNV_Ca[[#Headers],[Ca]:[Kết thúc]]),0))),
SUM(_xlfn._xlws.FILTER(Table_BangLuong_TyLeTangCa[Tỷ lệ],
(Table_BangLuong_TyLeTangCa[Ngày] = "Thường") *
(Table_BangLuong_TyLeTangCa[Giờ min]&lt;=$AA43) *
(Table_BangLuong_TyLeTangCa[Giờ max]&gt;$AA43)
)),0)
)),
IF(AH$4 &lt; AH$5,
IF($AA43-$Z$4&lt;AH$4,0,
IF($AA43&gt;AH$5,0,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AH$5,$AA43 &lt; AH$4),0,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I43" s="18" cm="1">
        <f t="array" ref="AI43" xml:space="preserve">
IFERROR(
IF(AI$1="",0,
IF(AND(
$AA43&gt;=VLOOKUP(AI$6, Table_ChiPhiNV_Ca[], COUNTA(Table_ChiPhiNV_Ca[[#Headers],[Ca]:[Bắt đầu nghỉ]]),0),
$AA43&lt;VLOOKUP(AI$6, Table_ChiPhiNV_Ca[], COUNTA(Table_ChiPhiNV_Ca[[#Headers],[Ca]:[Kết thúc nghỉ]]),0)
),0,
IF(NOT(ISBLANK(AI$3)),
IF(ISBLANK(AI$7),0,
IF(AI$4 &lt; AI$5,
IF($AA43-$Z$4&lt;AI$4,0,
IF($AA43&gt;AI$5,0,
SUM(_xlfn._xlws.FILTER(Table_BangLuong_TyLeTangCa[Tỷ lệ],
(Table_BangLuong_TyLeTangCa[Ngày] = AI$3) *
(Table_BangLuong_TyLeTangCa[Giờ min]&lt;=$AA43) *
(Table_BangLuong_TyLeTangCa[Giờ max]&gt;$AA43)
)))),
IF(AND($AA43-$Z$4 &gt;= AI$5,$AA43 &lt; AI$4),0,
SUM(_xlfn._xlws.FILTER(Table_BangLuong_TyLeTangCa[Tỷ lệ],
(Table_BangLuong_TyLeTangCa[Ngày] = AI$3) *
(Table_BangLuong_TyLeTangCa[Giờ min]&lt;=$AA43) *
(Table_BangLuong_TyLeTangCa[Giờ max]&gt;$AA43)
))))
),
IF(ISBLANK(AI$7),
IF(VLOOKUP(AI$6, Table_ChiPhiNV_Ca[], COUNTA(Table_ChiPhiNV_Ca[[#Headers],[Ca]:[Kết thúc]]),0)&gt; VLOOKUP(AI$6, Table_ChiPhiNV_Ca[], COUNTA(Table_ChiPhiNV_Ca[[#Headers],[Ca]:[Bắt đầu]]),0),
IF($AA43-$Z$4&lt;MAX(AI$4,VLOOKUP(AI$6, Table_ChiPhiNV_Ca[], COUNTA(Table_ChiPhiNV_Ca[[#Headers],[Ca]:[Bắt đầu]]),0)),0,
IF($AA43&gt;MIN(AI$5,VLOOKUP(AI$6, Table_ChiPhiNV_Ca[], COUNTA(Table_ChiPhiNV_Ca[[#Headers],[Ca]:[Kết thúc]]),0)),0,
SUM(_xlfn._xlws.FILTER(Table_BangLuong_TyLeTangCa[Tỷ lệ],
(Table_BangLuong_TyLeTangCa[Ngày] = "Thường") *
(Table_BangLuong_TyLeTangCa[Giờ min]&lt;=$AA43) *
(Table_BangLuong_TyLeTangCa[Giờ max]&gt;$AA43)
)))),
IF(AI$4 &gt; AI$5,
IF(
AND(
$AA43-$Z$4&lt;MAX(AI$4,VLOOKUP(AI$6, Table_ChiPhiNV_Ca[], COUNTA(Table_ChiPhiNV_Ca[[#Headers],[Ca]:[Bắt đầu]]),0)),
$AA43&gt;MIN(AI$5,VLOOKUP(AI$6, Table_ChiPhiNV_Ca[], COUNTA(Table_ChiPhiNV_Ca[[#Headers],[Ca]:[Kết thúc]]),0))),0,
SUM(_xlfn._xlws.FILTER(Table_BangLuong_TyLeTangCa[Tỷ lệ],
(Table_BangLuong_TyLeTangCa[Ngày] = "Thường") *
(Table_BangLuong_TyLeTangCa[Giờ min]&lt;=$AA43) *
(Table_BangLuong_TyLeTangCa[Giờ max]&gt;$AA43)
))),
IF(
AND(
$AA43-$Z$4&gt;=MAX(AI$4,VLOOKUP(AI$6, Table_ChiPhiNV_Ca[], COUNTA(Table_ChiPhiNV_Ca[[#Headers],[Ca]:[Bắt đầu]]),0)),
$AA43&lt;MIN(AI$5,VLOOKUP(AI$6, Table_ChiPhiNV_Ca[], COUNTA(Table_ChiPhiNV_Ca[[#Headers],[Ca]:[Kết thúc]]),0))),
SUM(_xlfn._xlws.FILTER(Table_BangLuong_TyLeTangCa[Tỷ lệ],
(Table_BangLuong_TyLeTangCa[Ngày] = "Thường") *
(Table_BangLuong_TyLeTangCa[Giờ min]&lt;=$AA43) *
(Table_BangLuong_TyLeTangCa[Giờ max]&gt;$AA43)
)),0)
)),
IF(AI$4 &lt; AI$5,
IF($AA43-$Z$4&lt;AI$4,0,
IF($AA43&gt;AI$5,0,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AI$5,$AA43 &lt; AI$4),0,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J43" s="18" cm="1">
        <f t="array" ref="AJ43" xml:space="preserve">
IFERROR(
IF(AJ$1="",0,
IF(AND(
$AA43&gt;=VLOOKUP(AJ$6, Table_ChiPhiNV_Ca[], COUNTA(Table_ChiPhiNV_Ca[[#Headers],[Ca]:[Bắt đầu nghỉ]]),0),
$AA43&lt;VLOOKUP(AJ$6, Table_ChiPhiNV_Ca[], COUNTA(Table_ChiPhiNV_Ca[[#Headers],[Ca]:[Kết thúc nghỉ]]),0)
),0,
IF(NOT(ISBLANK(AJ$3)),
IF(ISBLANK(AJ$7),0,
IF(AJ$4 &lt; AJ$5,
IF($AA43-$Z$4&lt;AJ$4,0,
IF($AA43&gt;AJ$5,0,
SUM(_xlfn._xlws.FILTER(Table_BangLuong_TyLeTangCa[Tỷ lệ],
(Table_BangLuong_TyLeTangCa[Ngày] = AJ$3) *
(Table_BangLuong_TyLeTangCa[Giờ min]&lt;=$AA43) *
(Table_BangLuong_TyLeTangCa[Giờ max]&gt;$AA43)
)))),
IF(AND($AA43-$Z$4 &gt;= AJ$5,$AA43 &lt; AJ$4),0,
SUM(_xlfn._xlws.FILTER(Table_BangLuong_TyLeTangCa[Tỷ lệ],
(Table_BangLuong_TyLeTangCa[Ngày] = AJ$3) *
(Table_BangLuong_TyLeTangCa[Giờ min]&lt;=$AA43) *
(Table_BangLuong_TyLeTangCa[Giờ max]&gt;$AA43)
))))
),
IF(ISBLANK(AJ$7),
IF(VLOOKUP(AJ$6, Table_ChiPhiNV_Ca[], COUNTA(Table_ChiPhiNV_Ca[[#Headers],[Ca]:[Kết thúc]]),0)&gt; VLOOKUP(AJ$6, Table_ChiPhiNV_Ca[], COUNTA(Table_ChiPhiNV_Ca[[#Headers],[Ca]:[Bắt đầu]]),0),
IF($AA43-$Z$4&lt;MAX(AJ$4,VLOOKUP(AJ$6, Table_ChiPhiNV_Ca[], COUNTA(Table_ChiPhiNV_Ca[[#Headers],[Ca]:[Bắt đầu]]),0)),0,
IF($AA43&gt;MIN(AJ$5,VLOOKUP(AJ$6, Table_ChiPhiNV_Ca[], COUNTA(Table_ChiPhiNV_Ca[[#Headers],[Ca]:[Kết thúc]]),0)),0,
SUM(_xlfn._xlws.FILTER(Table_BangLuong_TyLeTangCa[Tỷ lệ],
(Table_BangLuong_TyLeTangCa[Ngày] = "Thường") *
(Table_BangLuong_TyLeTangCa[Giờ min]&lt;=$AA43) *
(Table_BangLuong_TyLeTangCa[Giờ max]&gt;$AA43)
)))),
IF(AJ$4 &gt; AJ$5,
IF(
AND(
$AA43-$Z$4&lt;MAX(AJ$4,VLOOKUP(AJ$6, Table_ChiPhiNV_Ca[], COUNTA(Table_ChiPhiNV_Ca[[#Headers],[Ca]:[Bắt đầu]]),0)),
$AA43&gt;MIN(AJ$5,VLOOKUP(AJ$6, Table_ChiPhiNV_Ca[], COUNTA(Table_ChiPhiNV_Ca[[#Headers],[Ca]:[Kết thúc]]),0))),0,
SUM(_xlfn._xlws.FILTER(Table_BangLuong_TyLeTangCa[Tỷ lệ],
(Table_BangLuong_TyLeTangCa[Ngày] = "Thường") *
(Table_BangLuong_TyLeTangCa[Giờ min]&lt;=$AA43) *
(Table_BangLuong_TyLeTangCa[Giờ max]&gt;$AA43)
))),
IF(
AND(
$AA43-$Z$4&gt;=MAX(AJ$4,VLOOKUP(AJ$6, Table_ChiPhiNV_Ca[], COUNTA(Table_ChiPhiNV_Ca[[#Headers],[Ca]:[Bắt đầu]]),0)),
$AA43&lt;MIN(AJ$5,VLOOKUP(AJ$6, Table_ChiPhiNV_Ca[], COUNTA(Table_ChiPhiNV_Ca[[#Headers],[Ca]:[Kết thúc]]),0))),
SUM(_xlfn._xlws.FILTER(Table_BangLuong_TyLeTangCa[Tỷ lệ],
(Table_BangLuong_TyLeTangCa[Ngày] = "Thường") *
(Table_BangLuong_TyLeTangCa[Giờ min]&lt;=$AA43) *
(Table_BangLuong_TyLeTangCa[Giờ max]&gt;$AA43)
)),0)
)),
IF(AJ$4 &lt; AJ$5,
IF($AA43-$Z$4&lt;AJ$4,0,
IF($AA43&gt;AJ$5,0,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AJ$5,$AA43 &lt; AJ$4),0,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K43" s="18" cm="1">
        <f t="array" ref="AK43" xml:space="preserve">
IFERROR(
IF(AK$1="",0,
IF(AND(
$AA43&gt;=VLOOKUP(AK$6, Table_ChiPhiNV_Ca[], COUNTA(Table_ChiPhiNV_Ca[[#Headers],[Ca]:[Bắt đầu nghỉ]]),0),
$AA43&lt;VLOOKUP(AK$6, Table_ChiPhiNV_Ca[], COUNTA(Table_ChiPhiNV_Ca[[#Headers],[Ca]:[Kết thúc nghỉ]]),0)
),0,
IF(NOT(ISBLANK(AK$3)),
IF(ISBLANK(AK$7),0,
IF(AK$4 &lt; AK$5,
IF($AA43-$Z$4&lt;AK$4,0,
IF($AA43&gt;AK$5,0,
SUM(_xlfn._xlws.FILTER(Table_BangLuong_TyLeTangCa[Tỷ lệ],
(Table_BangLuong_TyLeTangCa[Ngày] = AK$3) *
(Table_BangLuong_TyLeTangCa[Giờ min]&lt;=$AA43) *
(Table_BangLuong_TyLeTangCa[Giờ max]&gt;$AA43)
)))),
IF(AND($AA43-$Z$4 &gt;= AK$5,$AA43 &lt; AK$4),0,
SUM(_xlfn._xlws.FILTER(Table_BangLuong_TyLeTangCa[Tỷ lệ],
(Table_BangLuong_TyLeTangCa[Ngày] = AK$3) *
(Table_BangLuong_TyLeTangCa[Giờ min]&lt;=$AA43) *
(Table_BangLuong_TyLeTangCa[Giờ max]&gt;$AA43)
))))
),
IF(ISBLANK(AK$7),
IF(VLOOKUP(AK$6, Table_ChiPhiNV_Ca[], COUNTA(Table_ChiPhiNV_Ca[[#Headers],[Ca]:[Kết thúc]]),0)&gt; VLOOKUP(AK$6, Table_ChiPhiNV_Ca[], COUNTA(Table_ChiPhiNV_Ca[[#Headers],[Ca]:[Bắt đầu]]),0),
IF($AA43-$Z$4&lt;MAX(AK$4,VLOOKUP(AK$6, Table_ChiPhiNV_Ca[], COUNTA(Table_ChiPhiNV_Ca[[#Headers],[Ca]:[Bắt đầu]]),0)),0,
IF($AA43&gt;MIN(AK$5,VLOOKUP(AK$6, Table_ChiPhiNV_Ca[], COUNTA(Table_ChiPhiNV_Ca[[#Headers],[Ca]:[Kết thúc]]),0)),0,
SUM(_xlfn._xlws.FILTER(Table_BangLuong_TyLeTangCa[Tỷ lệ],
(Table_BangLuong_TyLeTangCa[Ngày] = "Thường") *
(Table_BangLuong_TyLeTangCa[Giờ min]&lt;=$AA43) *
(Table_BangLuong_TyLeTangCa[Giờ max]&gt;$AA43)
)))),
IF(AK$4 &gt; AK$5,
IF(
AND(
$AA43-$Z$4&lt;MAX(AK$4,VLOOKUP(AK$6, Table_ChiPhiNV_Ca[], COUNTA(Table_ChiPhiNV_Ca[[#Headers],[Ca]:[Bắt đầu]]),0)),
$AA43&gt;MIN(AK$5,VLOOKUP(AK$6, Table_ChiPhiNV_Ca[], COUNTA(Table_ChiPhiNV_Ca[[#Headers],[Ca]:[Kết thúc]]),0))),0,
SUM(_xlfn._xlws.FILTER(Table_BangLuong_TyLeTangCa[Tỷ lệ],
(Table_BangLuong_TyLeTangCa[Ngày] = "Thường") *
(Table_BangLuong_TyLeTangCa[Giờ min]&lt;=$AA43) *
(Table_BangLuong_TyLeTangCa[Giờ max]&gt;$AA43)
))),
IF(
AND(
$AA43-$Z$4&gt;=MAX(AK$4,VLOOKUP(AK$6, Table_ChiPhiNV_Ca[], COUNTA(Table_ChiPhiNV_Ca[[#Headers],[Ca]:[Bắt đầu]]),0)),
$AA43&lt;MIN(AK$5,VLOOKUP(AK$6, Table_ChiPhiNV_Ca[], COUNTA(Table_ChiPhiNV_Ca[[#Headers],[Ca]:[Kết thúc]]),0))),
SUM(_xlfn._xlws.FILTER(Table_BangLuong_TyLeTangCa[Tỷ lệ],
(Table_BangLuong_TyLeTangCa[Ngày] = "Thường") *
(Table_BangLuong_TyLeTangCa[Giờ min]&lt;=$AA43) *
(Table_BangLuong_TyLeTangCa[Giờ max]&gt;$AA43)
)),0)
)),
IF(AK$4 &lt; AK$5,
IF($AA43-$Z$4&lt;AK$4,0,
IF($AA43&gt;AK$5,0,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AK$5,$AA43 &lt; AK$4),0,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L43" s="18" cm="1">
        <f t="array" ref="AL43" xml:space="preserve">
IFERROR(
IF(AL$1="",0,
IF(AND(
$AA43&gt;=VLOOKUP(AL$6, Table_ChiPhiNV_Ca[], COUNTA(Table_ChiPhiNV_Ca[[#Headers],[Ca]:[Bắt đầu nghỉ]]),0),
$AA43&lt;VLOOKUP(AL$6, Table_ChiPhiNV_Ca[], COUNTA(Table_ChiPhiNV_Ca[[#Headers],[Ca]:[Kết thúc nghỉ]]),0)
),0,
IF(NOT(ISBLANK(AL$3)),
IF(ISBLANK(AL$7),0,
IF(AL$4 &lt; AL$5,
IF($AA43-$Z$4&lt;AL$4,0,
IF($AA43&gt;AL$5,0,
SUM(_xlfn._xlws.FILTER(Table_BangLuong_TyLeTangCa[Tỷ lệ],
(Table_BangLuong_TyLeTangCa[Ngày] = AL$3) *
(Table_BangLuong_TyLeTangCa[Giờ min]&lt;=$AA43) *
(Table_BangLuong_TyLeTangCa[Giờ max]&gt;$AA43)
)))),
IF(AND($AA43-$Z$4 &gt;= AL$5,$AA43 &lt; AL$4),0,
SUM(_xlfn._xlws.FILTER(Table_BangLuong_TyLeTangCa[Tỷ lệ],
(Table_BangLuong_TyLeTangCa[Ngày] = AL$3) *
(Table_BangLuong_TyLeTangCa[Giờ min]&lt;=$AA43) *
(Table_BangLuong_TyLeTangCa[Giờ max]&gt;$AA43)
))))
),
IF(ISBLANK(AL$7),
IF(VLOOKUP(AL$6, Table_ChiPhiNV_Ca[], COUNTA(Table_ChiPhiNV_Ca[[#Headers],[Ca]:[Kết thúc]]),0)&gt; VLOOKUP(AL$6, Table_ChiPhiNV_Ca[], COUNTA(Table_ChiPhiNV_Ca[[#Headers],[Ca]:[Bắt đầu]]),0),
IF($AA43-$Z$4&lt;MAX(AL$4,VLOOKUP(AL$6, Table_ChiPhiNV_Ca[], COUNTA(Table_ChiPhiNV_Ca[[#Headers],[Ca]:[Bắt đầu]]),0)),0,
IF($AA43&gt;MIN(AL$5,VLOOKUP(AL$6, Table_ChiPhiNV_Ca[], COUNTA(Table_ChiPhiNV_Ca[[#Headers],[Ca]:[Kết thúc]]),0)),0,
SUM(_xlfn._xlws.FILTER(Table_BangLuong_TyLeTangCa[Tỷ lệ],
(Table_BangLuong_TyLeTangCa[Ngày] = "Thường") *
(Table_BangLuong_TyLeTangCa[Giờ min]&lt;=$AA43) *
(Table_BangLuong_TyLeTangCa[Giờ max]&gt;$AA43)
)))),
IF(AL$4 &gt; AL$5,
IF(
AND(
$AA43-$Z$4&lt;MAX(AL$4,VLOOKUP(AL$6, Table_ChiPhiNV_Ca[], COUNTA(Table_ChiPhiNV_Ca[[#Headers],[Ca]:[Bắt đầu]]),0)),
$AA43&gt;MIN(AL$5,VLOOKUP(AL$6, Table_ChiPhiNV_Ca[], COUNTA(Table_ChiPhiNV_Ca[[#Headers],[Ca]:[Kết thúc]]),0))),0,
SUM(_xlfn._xlws.FILTER(Table_BangLuong_TyLeTangCa[Tỷ lệ],
(Table_BangLuong_TyLeTangCa[Ngày] = "Thường") *
(Table_BangLuong_TyLeTangCa[Giờ min]&lt;=$AA43) *
(Table_BangLuong_TyLeTangCa[Giờ max]&gt;$AA43)
))),
IF(
AND(
$AA43-$Z$4&gt;=MAX(AL$4,VLOOKUP(AL$6, Table_ChiPhiNV_Ca[], COUNTA(Table_ChiPhiNV_Ca[[#Headers],[Ca]:[Bắt đầu]]),0)),
$AA43&lt;MIN(AL$5,VLOOKUP(AL$6, Table_ChiPhiNV_Ca[], COUNTA(Table_ChiPhiNV_Ca[[#Headers],[Ca]:[Kết thúc]]),0))),
SUM(_xlfn._xlws.FILTER(Table_BangLuong_TyLeTangCa[Tỷ lệ],
(Table_BangLuong_TyLeTangCa[Ngày] = "Thường") *
(Table_BangLuong_TyLeTangCa[Giờ min]&lt;=$AA43) *
(Table_BangLuong_TyLeTangCa[Giờ max]&gt;$AA43)
)),0)
)),
IF(AL$4 &lt; AL$5,
IF($AA43-$Z$4&lt;AL$4,0,
IF($AA43&gt;AL$5,0,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AL$5,$AA43 &lt; AL$4),0,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M43" s="18" cm="1">
        <f t="array" ref="AM43" xml:space="preserve">
IFERROR(
IF(AM$1="",0,
IF(AND(
$AA43&gt;=VLOOKUP(AM$6, Table_ChiPhiNV_Ca[], COUNTA(Table_ChiPhiNV_Ca[[#Headers],[Ca]:[Bắt đầu nghỉ]]),0),
$AA43&lt;VLOOKUP(AM$6, Table_ChiPhiNV_Ca[], COUNTA(Table_ChiPhiNV_Ca[[#Headers],[Ca]:[Kết thúc nghỉ]]),0)
),0,
IF(NOT(ISBLANK(AM$3)),
IF(ISBLANK(AM$7),0,
IF(AM$4 &lt; AM$5,
IF($AA43-$Z$4&lt;AM$4,0,
IF($AA43&gt;AM$5,0,
SUM(_xlfn._xlws.FILTER(Table_BangLuong_TyLeTangCa[Tỷ lệ],
(Table_BangLuong_TyLeTangCa[Ngày] = AM$3) *
(Table_BangLuong_TyLeTangCa[Giờ min]&lt;=$AA43) *
(Table_BangLuong_TyLeTangCa[Giờ max]&gt;$AA43)
)))),
IF(AND($AA43-$Z$4 &gt;= AM$5,$AA43 &lt; AM$4),0,
SUM(_xlfn._xlws.FILTER(Table_BangLuong_TyLeTangCa[Tỷ lệ],
(Table_BangLuong_TyLeTangCa[Ngày] = AM$3) *
(Table_BangLuong_TyLeTangCa[Giờ min]&lt;=$AA43) *
(Table_BangLuong_TyLeTangCa[Giờ max]&gt;$AA43)
))))
),
IF(ISBLANK(AM$7),
IF(VLOOKUP(AM$6, Table_ChiPhiNV_Ca[], COUNTA(Table_ChiPhiNV_Ca[[#Headers],[Ca]:[Kết thúc]]),0)&gt; VLOOKUP(AM$6, Table_ChiPhiNV_Ca[], COUNTA(Table_ChiPhiNV_Ca[[#Headers],[Ca]:[Bắt đầu]]),0),
IF($AA43-$Z$4&lt;MAX(AM$4,VLOOKUP(AM$6, Table_ChiPhiNV_Ca[], COUNTA(Table_ChiPhiNV_Ca[[#Headers],[Ca]:[Bắt đầu]]),0)),0,
IF($AA43&gt;MIN(AM$5,VLOOKUP(AM$6, Table_ChiPhiNV_Ca[], COUNTA(Table_ChiPhiNV_Ca[[#Headers],[Ca]:[Kết thúc]]),0)),0,
SUM(_xlfn._xlws.FILTER(Table_BangLuong_TyLeTangCa[Tỷ lệ],
(Table_BangLuong_TyLeTangCa[Ngày] = "Thường") *
(Table_BangLuong_TyLeTangCa[Giờ min]&lt;=$AA43) *
(Table_BangLuong_TyLeTangCa[Giờ max]&gt;$AA43)
)))),
IF(AM$4 &gt; AM$5,
IF(
AND(
$AA43-$Z$4&lt;MAX(AM$4,VLOOKUP(AM$6, Table_ChiPhiNV_Ca[], COUNTA(Table_ChiPhiNV_Ca[[#Headers],[Ca]:[Bắt đầu]]),0)),
$AA43&gt;MIN(AM$5,VLOOKUP(AM$6, Table_ChiPhiNV_Ca[], COUNTA(Table_ChiPhiNV_Ca[[#Headers],[Ca]:[Kết thúc]]),0))),0,
SUM(_xlfn._xlws.FILTER(Table_BangLuong_TyLeTangCa[Tỷ lệ],
(Table_BangLuong_TyLeTangCa[Ngày] = "Thường") *
(Table_BangLuong_TyLeTangCa[Giờ min]&lt;=$AA43) *
(Table_BangLuong_TyLeTangCa[Giờ max]&gt;$AA43)
))),
IF(
AND(
$AA43-$Z$4&gt;=MAX(AM$4,VLOOKUP(AM$6, Table_ChiPhiNV_Ca[], COUNTA(Table_ChiPhiNV_Ca[[#Headers],[Ca]:[Bắt đầu]]),0)),
$AA43&lt;MIN(AM$5,VLOOKUP(AM$6, Table_ChiPhiNV_Ca[], COUNTA(Table_ChiPhiNV_Ca[[#Headers],[Ca]:[Kết thúc]]),0))),
SUM(_xlfn._xlws.FILTER(Table_BangLuong_TyLeTangCa[Tỷ lệ],
(Table_BangLuong_TyLeTangCa[Ngày] = "Thường") *
(Table_BangLuong_TyLeTangCa[Giờ min]&lt;=$AA43) *
(Table_BangLuong_TyLeTangCa[Giờ max]&gt;$AA43)
)),0)
)),
IF(AM$4 &lt; AM$5,
IF($AA43-$Z$4&lt;AM$4,0,
IF($AA43&gt;AM$5,0,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AM$5,$AA43 &lt; AM$4),0,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N43" s="18" cm="1">
        <f t="array" ref="AN43" xml:space="preserve">
IFERROR(
IF(AN$1="",0,
IF(AND(
$AA43&gt;=VLOOKUP(AN$6, Table_ChiPhiNV_Ca[], COUNTA(Table_ChiPhiNV_Ca[[#Headers],[Ca]:[Bắt đầu nghỉ]]),0),
$AA43&lt;VLOOKUP(AN$6, Table_ChiPhiNV_Ca[], COUNTA(Table_ChiPhiNV_Ca[[#Headers],[Ca]:[Kết thúc nghỉ]]),0)
),0,
IF(NOT(ISBLANK(AN$3)),
IF(ISBLANK(AN$7),0,
IF(AN$4 &lt; AN$5,
IF($AA43-$Z$4&lt;AN$4,0,
IF($AA43&gt;AN$5,0,
SUM(_xlfn._xlws.FILTER(Table_BangLuong_TyLeTangCa[Tỷ lệ],
(Table_BangLuong_TyLeTangCa[Ngày] = AN$3) *
(Table_BangLuong_TyLeTangCa[Giờ min]&lt;=$AA43) *
(Table_BangLuong_TyLeTangCa[Giờ max]&gt;$AA43)
)))),
IF(AND($AA43-$Z$4 &gt;= AN$5,$AA43 &lt; AN$4),0,
SUM(_xlfn._xlws.FILTER(Table_BangLuong_TyLeTangCa[Tỷ lệ],
(Table_BangLuong_TyLeTangCa[Ngày] = AN$3) *
(Table_BangLuong_TyLeTangCa[Giờ min]&lt;=$AA43) *
(Table_BangLuong_TyLeTangCa[Giờ max]&gt;$AA43)
))))
),
IF(ISBLANK(AN$7),
IF(VLOOKUP(AN$6, Table_ChiPhiNV_Ca[], COUNTA(Table_ChiPhiNV_Ca[[#Headers],[Ca]:[Kết thúc]]),0)&gt; VLOOKUP(AN$6, Table_ChiPhiNV_Ca[], COUNTA(Table_ChiPhiNV_Ca[[#Headers],[Ca]:[Bắt đầu]]),0),
IF($AA43-$Z$4&lt;MAX(AN$4,VLOOKUP(AN$6, Table_ChiPhiNV_Ca[], COUNTA(Table_ChiPhiNV_Ca[[#Headers],[Ca]:[Bắt đầu]]),0)),0,
IF($AA43&gt;MIN(AN$5,VLOOKUP(AN$6, Table_ChiPhiNV_Ca[], COUNTA(Table_ChiPhiNV_Ca[[#Headers],[Ca]:[Kết thúc]]),0)),0,
SUM(_xlfn._xlws.FILTER(Table_BangLuong_TyLeTangCa[Tỷ lệ],
(Table_BangLuong_TyLeTangCa[Ngày] = "Thường") *
(Table_BangLuong_TyLeTangCa[Giờ min]&lt;=$AA43) *
(Table_BangLuong_TyLeTangCa[Giờ max]&gt;$AA43)
)))),
IF(AN$4 &gt; AN$5,
IF(
AND(
$AA43-$Z$4&lt;MAX(AN$4,VLOOKUP(AN$6, Table_ChiPhiNV_Ca[], COUNTA(Table_ChiPhiNV_Ca[[#Headers],[Ca]:[Bắt đầu]]),0)),
$AA43&gt;MIN(AN$5,VLOOKUP(AN$6, Table_ChiPhiNV_Ca[], COUNTA(Table_ChiPhiNV_Ca[[#Headers],[Ca]:[Kết thúc]]),0))),0,
SUM(_xlfn._xlws.FILTER(Table_BangLuong_TyLeTangCa[Tỷ lệ],
(Table_BangLuong_TyLeTangCa[Ngày] = "Thường") *
(Table_BangLuong_TyLeTangCa[Giờ min]&lt;=$AA43) *
(Table_BangLuong_TyLeTangCa[Giờ max]&gt;$AA43)
))),
IF(
AND(
$AA43-$Z$4&gt;=MAX(AN$4,VLOOKUP(AN$6, Table_ChiPhiNV_Ca[], COUNTA(Table_ChiPhiNV_Ca[[#Headers],[Ca]:[Bắt đầu]]),0)),
$AA43&lt;MIN(AN$5,VLOOKUP(AN$6, Table_ChiPhiNV_Ca[], COUNTA(Table_ChiPhiNV_Ca[[#Headers],[Ca]:[Kết thúc]]),0))),
SUM(_xlfn._xlws.FILTER(Table_BangLuong_TyLeTangCa[Tỷ lệ],
(Table_BangLuong_TyLeTangCa[Ngày] = "Thường") *
(Table_BangLuong_TyLeTangCa[Giờ min]&lt;=$AA43) *
(Table_BangLuong_TyLeTangCa[Giờ max]&gt;$AA43)
)),0)
)),
IF(AN$4 &lt; AN$5,
IF($AA43-$Z$4&lt;AN$4,0,
IF($AA43&gt;AN$5,0,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AN$5,$AA43 &lt; AN$4),0,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O43" s="18" cm="1">
        <f t="array" ref="AO43" xml:space="preserve">
IFERROR(
IF(AO$1="",0,
IF(AND(
$AA43&gt;=VLOOKUP(AO$6, Table_ChiPhiNV_Ca[], COUNTA(Table_ChiPhiNV_Ca[[#Headers],[Ca]:[Bắt đầu nghỉ]]),0),
$AA43&lt;VLOOKUP(AO$6, Table_ChiPhiNV_Ca[], COUNTA(Table_ChiPhiNV_Ca[[#Headers],[Ca]:[Kết thúc nghỉ]]),0)
),0,
IF(NOT(ISBLANK(AO$3)),
IF(ISBLANK(AO$7),0,
IF(AO$4 &lt; AO$5,
IF($AA43-$Z$4&lt;AO$4,0,
IF($AA43&gt;AO$5,0,
SUM(_xlfn._xlws.FILTER(Table_BangLuong_TyLeTangCa[Tỷ lệ],
(Table_BangLuong_TyLeTangCa[Ngày] = AO$3) *
(Table_BangLuong_TyLeTangCa[Giờ min]&lt;=$AA43) *
(Table_BangLuong_TyLeTangCa[Giờ max]&gt;$AA43)
)))),
IF(AND($AA43-$Z$4 &gt;= AO$5,$AA43 &lt; AO$4),0,
SUM(_xlfn._xlws.FILTER(Table_BangLuong_TyLeTangCa[Tỷ lệ],
(Table_BangLuong_TyLeTangCa[Ngày] = AO$3) *
(Table_BangLuong_TyLeTangCa[Giờ min]&lt;=$AA43) *
(Table_BangLuong_TyLeTangCa[Giờ max]&gt;$AA43)
))))
),
IF(ISBLANK(AO$7),
IF(VLOOKUP(AO$6, Table_ChiPhiNV_Ca[], COUNTA(Table_ChiPhiNV_Ca[[#Headers],[Ca]:[Kết thúc]]),0)&gt; VLOOKUP(AO$6, Table_ChiPhiNV_Ca[], COUNTA(Table_ChiPhiNV_Ca[[#Headers],[Ca]:[Bắt đầu]]),0),
IF($AA43-$Z$4&lt;MAX(AO$4,VLOOKUP(AO$6, Table_ChiPhiNV_Ca[], COUNTA(Table_ChiPhiNV_Ca[[#Headers],[Ca]:[Bắt đầu]]),0)),0,
IF($AA43&gt;MIN(AO$5,VLOOKUP(AO$6, Table_ChiPhiNV_Ca[], COUNTA(Table_ChiPhiNV_Ca[[#Headers],[Ca]:[Kết thúc]]),0)),0,
SUM(_xlfn._xlws.FILTER(Table_BangLuong_TyLeTangCa[Tỷ lệ],
(Table_BangLuong_TyLeTangCa[Ngày] = "Thường") *
(Table_BangLuong_TyLeTangCa[Giờ min]&lt;=$AA43) *
(Table_BangLuong_TyLeTangCa[Giờ max]&gt;$AA43)
)))),
IF(AO$4 &gt; AO$5,
IF(
AND(
$AA43-$Z$4&lt;MAX(AO$4,VLOOKUP(AO$6, Table_ChiPhiNV_Ca[], COUNTA(Table_ChiPhiNV_Ca[[#Headers],[Ca]:[Bắt đầu]]),0)),
$AA43&gt;MIN(AO$5,VLOOKUP(AO$6, Table_ChiPhiNV_Ca[], COUNTA(Table_ChiPhiNV_Ca[[#Headers],[Ca]:[Kết thúc]]),0))),0,
SUM(_xlfn._xlws.FILTER(Table_BangLuong_TyLeTangCa[Tỷ lệ],
(Table_BangLuong_TyLeTangCa[Ngày] = "Thường") *
(Table_BangLuong_TyLeTangCa[Giờ min]&lt;=$AA43) *
(Table_BangLuong_TyLeTangCa[Giờ max]&gt;$AA43)
))),
IF(
AND(
$AA43-$Z$4&gt;=MAX(AO$4,VLOOKUP(AO$6, Table_ChiPhiNV_Ca[], COUNTA(Table_ChiPhiNV_Ca[[#Headers],[Ca]:[Bắt đầu]]),0)),
$AA43&lt;MIN(AO$5,VLOOKUP(AO$6, Table_ChiPhiNV_Ca[], COUNTA(Table_ChiPhiNV_Ca[[#Headers],[Ca]:[Kết thúc]]),0))),
SUM(_xlfn._xlws.FILTER(Table_BangLuong_TyLeTangCa[Tỷ lệ],
(Table_BangLuong_TyLeTangCa[Ngày] = "Thường") *
(Table_BangLuong_TyLeTangCa[Giờ min]&lt;=$AA43) *
(Table_BangLuong_TyLeTangCa[Giờ max]&gt;$AA43)
)),0)
)),
IF(AO$4 &lt; AO$5,
IF($AA43-$Z$4&lt;AO$4,0,
IF($AA43&gt;AO$5,0,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AO$5,$AA43 &lt; AO$4),0,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P43" s="18" cm="1">
        <f t="array" ref="AP43" xml:space="preserve">
IFERROR(
IF(AP$1="",0,
IF(AND(
$AA43&gt;=VLOOKUP(AP$6, Table_ChiPhiNV_Ca[], COUNTA(Table_ChiPhiNV_Ca[[#Headers],[Ca]:[Bắt đầu nghỉ]]),0),
$AA43&lt;VLOOKUP(AP$6, Table_ChiPhiNV_Ca[], COUNTA(Table_ChiPhiNV_Ca[[#Headers],[Ca]:[Kết thúc nghỉ]]),0)
),0,
IF(NOT(ISBLANK(AP$3)),
IF(ISBLANK(AP$7),0,
IF(AP$4 &lt; AP$5,
IF($AA43-$Z$4&lt;AP$4,0,
IF($AA43&gt;AP$5,0,
SUM(_xlfn._xlws.FILTER(Table_BangLuong_TyLeTangCa[Tỷ lệ],
(Table_BangLuong_TyLeTangCa[Ngày] = AP$3) *
(Table_BangLuong_TyLeTangCa[Giờ min]&lt;=$AA43) *
(Table_BangLuong_TyLeTangCa[Giờ max]&gt;$AA43)
)))),
IF(AND($AA43-$Z$4 &gt;= AP$5,$AA43 &lt; AP$4),0,
SUM(_xlfn._xlws.FILTER(Table_BangLuong_TyLeTangCa[Tỷ lệ],
(Table_BangLuong_TyLeTangCa[Ngày] = AP$3) *
(Table_BangLuong_TyLeTangCa[Giờ min]&lt;=$AA43) *
(Table_BangLuong_TyLeTangCa[Giờ max]&gt;$AA43)
))))
),
IF(ISBLANK(AP$7),
IF(VLOOKUP(AP$6, Table_ChiPhiNV_Ca[], COUNTA(Table_ChiPhiNV_Ca[[#Headers],[Ca]:[Kết thúc]]),0)&gt; VLOOKUP(AP$6, Table_ChiPhiNV_Ca[], COUNTA(Table_ChiPhiNV_Ca[[#Headers],[Ca]:[Bắt đầu]]),0),
IF($AA43-$Z$4&lt;MAX(AP$4,VLOOKUP(AP$6, Table_ChiPhiNV_Ca[], COUNTA(Table_ChiPhiNV_Ca[[#Headers],[Ca]:[Bắt đầu]]),0)),0,
IF($AA43&gt;MIN(AP$5,VLOOKUP(AP$6, Table_ChiPhiNV_Ca[], COUNTA(Table_ChiPhiNV_Ca[[#Headers],[Ca]:[Kết thúc]]),0)),0,
SUM(_xlfn._xlws.FILTER(Table_BangLuong_TyLeTangCa[Tỷ lệ],
(Table_BangLuong_TyLeTangCa[Ngày] = "Thường") *
(Table_BangLuong_TyLeTangCa[Giờ min]&lt;=$AA43) *
(Table_BangLuong_TyLeTangCa[Giờ max]&gt;$AA43)
)))),
IF(AP$4 &gt; AP$5,
IF(
AND(
$AA43-$Z$4&lt;MAX(AP$4,VLOOKUP(AP$6, Table_ChiPhiNV_Ca[], COUNTA(Table_ChiPhiNV_Ca[[#Headers],[Ca]:[Bắt đầu]]),0)),
$AA43&gt;MIN(AP$5,VLOOKUP(AP$6, Table_ChiPhiNV_Ca[], COUNTA(Table_ChiPhiNV_Ca[[#Headers],[Ca]:[Kết thúc]]),0))),0,
SUM(_xlfn._xlws.FILTER(Table_BangLuong_TyLeTangCa[Tỷ lệ],
(Table_BangLuong_TyLeTangCa[Ngày] = "Thường") *
(Table_BangLuong_TyLeTangCa[Giờ min]&lt;=$AA43) *
(Table_BangLuong_TyLeTangCa[Giờ max]&gt;$AA43)
))),
IF(
AND(
$AA43-$Z$4&gt;=MAX(AP$4,VLOOKUP(AP$6, Table_ChiPhiNV_Ca[], COUNTA(Table_ChiPhiNV_Ca[[#Headers],[Ca]:[Bắt đầu]]),0)),
$AA43&lt;MIN(AP$5,VLOOKUP(AP$6, Table_ChiPhiNV_Ca[], COUNTA(Table_ChiPhiNV_Ca[[#Headers],[Ca]:[Kết thúc]]),0))),
SUM(_xlfn._xlws.FILTER(Table_BangLuong_TyLeTangCa[Tỷ lệ],
(Table_BangLuong_TyLeTangCa[Ngày] = "Thường") *
(Table_BangLuong_TyLeTangCa[Giờ min]&lt;=$AA43) *
(Table_BangLuong_TyLeTangCa[Giờ max]&gt;$AA43)
)),0)
)),
IF(AP$4 &lt; AP$5,
IF($AA43-$Z$4&lt;AP$4,0,
IF($AA43&gt;AP$5,0,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AP$5,$AA43 &lt; AP$4),0,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Q43" s="18" cm="1">
        <f t="array" ref="AQ43" xml:space="preserve">
IFERROR(
IF(AQ$1="",0,
IF(AND(
$AA43&gt;=VLOOKUP(AQ$6, Table_ChiPhiNV_Ca[], COUNTA(Table_ChiPhiNV_Ca[[#Headers],[Ca]:[Bắt đầu nghỉ]]),0),
$AA43&lt;VLOOKUP(AQ$6, Table_ChiPhiNV_Ca[], COUNTA(Table_ChiPhiNV_Ca[[#Headers],[Ca]:[Kết thúc nghỉ]]),0)
),0,
IF(NOT(ISBLANK(AQ$3)),
IF(ISBLANK(AQ$7),0,
IF(AQ$4 &lt; AQ$5,
IF($AA43-$Z$4&lt;AQ$4,0,
IF($AA43&gt;AQ$5,0,
SUM(_xlfn._xlws.FILTER(Table_BangLuong_TyLeTangCa[Tỷ lệ],
(Table_BangLuong_TyLeTangCa[Ngày] = AQ$3) *
(Table_BangLuong_TyLeTangCa[Giờ min]&lt;=$AA43) *
(Table_BangLuong_TyLeTangCa[Giờ max]&gt;$AA43)
)))),
IF(AND($AA43-$Z$4 &gt;= AQ$5,$AA43 &lt; AQ$4),0,
SUM(_xlfn._xlws.FILTER(Table_BangLuong_TyLeTangCa[Tỷ lệ],
(Table_BangLuong_TyLeTangCa[Ngày] = AQ$3) *
(Table_BangLuong_TyLeTangCa[Giờ min]&lt;=$AA43) *
(Table_BangLuong_TyLeTangCa[Giờ max]&gt;$AA43)
))))
),
IF(ISBLANK(AQ$7),
IF(VLOOKUP(AQ$6, Table_ChiPhiNV_Ca[], COUNTA(Table_ChiPhiNV_Ca[[#Headers],[Ca]:[Kết thúc]]),0)&gt; VLOOKUP(AQ$6, Table_ChiPhiNV_Ca[], COUNTA(Table_ChiPhiNV_Ca[[#Headers],[Ca]:[Bắt đầu]]),0),
IF($AA43-$Z$4&lt;MAX(AQ$4,VLOOKUP(AQ$6, Table_ChiPhiNV_Ca[], COUNTA(Table_ChiPhiNV_Ca[[#Headers],[Ca]:[Bắt đầu]]),0)),0,
IF($AA43&gt;MIN(AQ$5,VLOOKUP(AQ$6, Table_ChiPhiNV_Ca[], COUNTA(Table_ChiPhiNV_Ca[[#Headers],[Ca]:[Kết thúc]]),0)),0,
SUM(_xlfn._xlws.FILTER(Table_BangLuong_TyLeTangCa[Tỷ lệ],
(Table_BangLuong_TyLeTangCa[Ngày] = "Thường") *
(Table_BangLuong_TyLeTangCa[Giờ min]&lt;=$AA43) *
(Table_BangLuong_TyLeTangCa[Giờ max]&gt;$AA43)
)))),
IF(AQ$4 &gt; AQ$5,
IF(
AND(
$AA43-$Z$4&lt;MAX(AQ$4,VLOOKUP(AQ$6, Table_ChiPhiNV_Ca[], COUNTA(Table_ChiPhiNV_Ca[[#Headers],[Ca]:[Bắt đầu]]),0)),
$AA43&gt;MIN(AQ$5,VLOOKUP(AQ$6, Table_ChiPhiNV_Ca[], COUNTA(Table_ChiPhiNV_Ca[[#Headers],[Ca]:[Kết thúc]]),0))),0,
SUM(_xlfn._xlws.FILTER(Table_BangLuong_TyLeTangCa[Tỷ lệ],
(Table_BangLuong_TyLeTangCa[Ngày] = "Thường") *
(Table_BangLuong_TyLeTangCa[Giờ min]&lt;=$AA43) *
(Table_BangLuong_TyLeTangCa[Giờ max]&gt;$AA43)
))),
IF(
AND(
$AA43-$Z$4&gt;=MAX(AQ$4,VLOOKUP(AQ$6, Table_ChiPhiNV_Ca[], COUNTA(Table_ChiPhiNV_Ca[[#Headers],[Ca]:[Bắt đầu]]),0)),
$AA43&lt;MIN(AQ$5,VLOOKUP(AQ$6, Table_ChiPhiNV_Ca[], COUNTA(Table_ChiPhiNV_Ca[[#Headers],[Ca]:[Kết thúc]]),0))),
SUM(_xlfn._xlws.FILTER(Table_BangLuong_TyLeTangCa[Tỷ lệ],
(Table_BangLuong_TyLeTangCa[Ngày] = "Thường") *
(Table_BangLuong_TyLeTangCa[Giờ min]&lt;=$AA43) *
(Table_BangLuong_TyLeTangCa[Giờ max]&gt;$AA43)
)),0)
)),
IF(AQ$4 &lt; AQ$5,
IF($AA43-$Z$4&lt;AQ$4,0,
IF($AA43&gt;AQ$5,0,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AQ$5,$AA43 &lt; AQ$4),0,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R43" s="18" cm="1">
        <f t="array" ref="AR43" xml:space="preserve">
IFERROR(
IF(AR$1="",0,
IF(AND(
$AA43&gt;=VLOOKUP(AR$6, Table_ChiPhiNV_Ca[], COUNTA(Table_ChiPhiNV_Ca[[#Headers],[Ca]:[Bắt đầu nghỉ]]),0),
$AA43&lt;VLOOKUP(AR$6, Table_ChiPhiNV_Ca[], COUNTA(Table_ChiPhiNV_Ca[[#Headers],[Ca]:[Kết thúc nghỉ]]),0)
),0,
IF(NOT(ISBLANK(AR$3)),
IF(ISBLANK(AR$7),0,
IF(AR$4 &lt; AR$5,
IF($AA43-$Z$4&lt;AR$4,0,
IF($AA43&gt;AR$5,0,
SUM(_xlfn._xlws.FILTER(Table_BangLuong_TyLeTangCa[Tỷ lệ],
(Table_BangLuong_TyLeTangCa[Ngày] = AR$3) *
(Table_BangLuong_TyLeTangCa[Giờ min]&lt;=$AA43) *
(Table_BangLuong_TyLeTangCa[Giờ max]&gt;$AA43)
)))),
IF(AND($AA43-$Z$4 &gt;= AR$5,$AA43 &lt; AR$4),0,
SUM(_xlfn._xlws.FILTER(Table_BangLuong_TyLeTangCa[Tỷ lệ],
(Table_BangLuong_TyLeTangCa[Ngày] = AR$3) *
(Table_BangLuong_TyLeTangCa[Giờ min]&lt;=$AA43) *
(Table_BangLuong_TyLeTangCa[Giờ max]&gt;$AA43)
))))
),
IF(ISBLANK(AR$7),
IF(VLOOKUP(AR$6, Table_ChiPhiNV_Ca[], COUNTA(Table_ChiPhiNV_Ca[[#Headers],[Ca]:[Kết thúc]]),0)&gt; VLOOKUP(AR$6, Table_ChiPhiNV_Ca[], COUNTA(Table_ChiPhiNV_Ca[[#Headers],[Ca]:[Bắt đầu]]),0),
IF($AA43-$Z$4&lt;MAX(AR$4,VLOOKUP(AR$6, Table_ChiPhiNV_Ca[], COUNTA(Table_ChiPhiNV_Ca[[#Headers],[Ca]:[Bắt đầu]]),0)),0,
IF($AA43&gt;MIN(AR$5,VLOOKUP(AR$6, Table_ChiPhiNV_Ca[], COUNTA(Table_ChiPhiNV_Ca[[#Headers],[Ca]:[Kết thúc]]),0)),0,
SUM(_xlfn._xlws.FILTER(Table_BangLuong_TyLeTangCa[Tỷ lệ],
(Table_BangLuong_TyLeTangCa[Ngày] = "Thường") *
(Table_BangLuong_TyLeTangCa[Giờ min]&lt;=$AA43) *
(Table_BangLuong_TyLeTangCa[Giờ max]&gt;$AA43)
)))),
IF(AR$4 &gt; AR$5,
IF(
AND(
$AA43-$Z$4&lt;MAX(AR$4,VLOOKUP(AR$6, Table_ChiPhiNV_Ca[], COUNTA(Table_ChiPhiNV_Ca[[#Headers],[Ca]:[Bắt đầu]]),0)),
$AA43&gt;MIN(AR$5,VLOOKUP(AR$6, Table_ChiPhiNV_Ca[], COUNTA(Table_ChiPhiNV_Ca[[#Headers],[Ca]:[Kết thúc]]),0))),0,
SUM(_xlfn._xlws.FILTER(Table_BangLuong_TyLeTangCa[Tỷ lệ],
(Table_BangLuong_TyLeTangCa[Ngày] = "Thường") *
(Table_BangLuong_TyLeTangCa[Giờ min]&lt;=$AA43) *
(Table_BangLuong_TyLeTangCa[Giờ max]&gt;$AA43)
))),
IF(
AND(
$AA43-$Z$4&gt;=MAX(AR$4,VLOOKUP(AR$6, Table_ChiPhiNV_Ca[], COUNTA(Table_ChiPhiNV_Ca[[#Headers],[Ca]:[Bắt đầu]]),0)),
$AA43&lt;MIN(AR$5,VLOOKUP(AR$6, Table_ChiPhiNV_Ca[], COUNTA(Table_ChiPhiNV_Ca[[#Headers],[Ca]:[Kết thúc]]),0))),
SUM(_xlfn._xlws.FILTER(Table_BangLuong_TyLeTangCa[Tỷ lệ],
(Table_BangLuong_TyLeTangCa[Ngày] = "Thường") *
(Table_BangLuong_TyLeTangCa[Giờ min]&lt;=$AA43) *
(Table_BangLuong_TyLeTangCa[Giờ max]&gt;$AA43)
)),0)
)),
IF(AR$4 &lt; AR$5,
IF($AA43-$Z$4&lt;AR$4,0,
IF($AA43&gt;AR$5,0,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AR$5,$AA43 &lt; AR$4),0,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S43" s="18" cm="1">
        <f t="array" ref="AS43" xml:space="preserve">
IFERROR(
IF(AS$1="",0,
IF(AND(
$AA43&gt;=VLOOKUP(AS$6, Table_ChiPhiNV_Ca[], COUNTA(Table_ChiPhiNV_Ca[[#Headers],[Ca]:[Bắt đầu nghỉ]]),0),
$AA43&lt;VLOOKUP(AS$6, Table_ChiPhiNV_Ca[], COUNTA(Table_ChiPhiNV_Ca[[#Headers],[Ca]:[Kết thúc nghỉ]]),0)
),0,
IF(NOT(ISBLANK(AS$3)),
IF(ISBLANK(AS$7),0,
IF(AS$4 &lt; AS$5,
IF($AA43-$Z$4&lt;AS$4,0,
IF($AA43&gt;AS$5,0,
SUM(_xlfn._xlws.FILTER(Table_BangLuong_TyLeTangCa[Tỷ lệ],
(Table_BangLuong_TyLeTangCa[Ngày] = AS$3) *
(Table_BangLuong_TyLeTangCa[Giờ min]&lt;=$AA43) *
(Table_BangLuong_TyLeTangCa[Giờ max]&gt;$AA43)
)))),
IF(AND($AA43-$Z$4 &gt;= AS$5,$AA43 &lt; AS$4),0,
SUM(_xlfn._xlws.FILTER(Table_BangLuong_TyLeTangCa[Tỷ lệ],
(Table_BangLuong_TyLeTangCa[Ngày] = AS$3) *
(Table_BangLuong_TyLeTangCa[Giờ min]&lt;=$AA43) *
(Table_BangLuong_TyLeTangCa[Giờ max]&gt;$AA43)
))))
),
IF(ISBLANK(AS$7),
IF(VLOOKUP(AS$6, Table_ChiPhiNV_Ca[], COUNTA(Table_ChiPhiNV_Ca[[#Headers],[Ca]:[Kết thúc]]),0)&gt; VLOOKUP(AS$6, Table_ChiPhiNV_Ca[], COUNTA(Table_ChiPhiNV_Ca[[#Headers],[Ca]:[Bắt đầu]]),0),
IF($AA43-$Z$4&lt;MAX(AS$4,VLOOKUP(AS$6, Table_ChiPhiNV_Ca[], COUNTA(Table_ChiPhiNV_Ca[[#Headers],[Ca]:[Bắt đầu]]),0)),0,
IF($AA43&gt;MIN(AS$5,VLOOKUP(AS$6, Table_ChiPhiNV_Ca[], COUNTA(Table_ChiPhiNV_Ca[[#Headers],[Ca]:[Kết thúc]]),0)),0,
SUM(_xlfn._xlws.FILTER(Table_BangLuong_TyLeTangCa[Tỷ lệ],
(Table_BangLuong_TyLeTangCa[Ngày] = "Thường") *
(Table_BangLuong_TyLeTangCa[Giờ min]&lt;=$AA43) *
(Table_BangLuong_TyLeTangCa[Giờ max]&gt;$AA43)
)))),
IF(AS$4 &gt; AS$5,
IF(
AND(
$AA43-$Z$4&lt;MAX(AS$4,VLOOKUP(AS$6, Table_ChiPhiNV_Ca[], COUNTA(Table_ChiPhiNV_Ca[[#Headers],[Ca]:[Bắt đầu]]),0)),
$AA43&gt;MIN(AS$5,VLOOKUP(AS$6, Table_ChiPhiNV_Ca[], COUNTA(Table_ChiPhiNV_Ca[[#Headers],[Ca]:[Kết thúc]]),0))),0,
SUM(_xlfn._xlws.FILTER(Table_BangLuong_TyLeTangCa[Tỷ lệ],
(Table_BangLuong_TyLeTangCa[Ngày] = "Thường") *
(Table_BangLuong_TyLeTangCa[Giờ min]&lt;=$AA43) *
(Table_BangLuong_TyLeTangCa[Giờ max]&gt;$AA43)
))),
IF(
AND(
$AA43-$Z$4&gt;=MAX(AS$4,VLOOKUP(AS$6, Table_ChiPhiNV_Ca[], COUNTA(Table_ChiPhiNV_Ca[[#Headers],[Ca]:[Bắt đầu]]),0)),
$AA43&lt;MIN(AS$5,VLOOKUP(AS$6, Table_ChiPhiNV_Ca[], COUNTA(Table_ChiPhiNV_Ca[[#Headers],[Ca]:[Kết thúc]]),0))),
SUM(_xlfn._xlws.FILTER(Table_BangLuong_TyLeTangCa[Tỷ lệ],
(Table_BangLuong_TyLeTangCa[Ngày] = "Thường") *
(Table_BangLuong_TyLeTangCa[Giờ min]&lt;=$AA43) *
(Table_BangLuong_TyLeTangCa[Giờ max]&gt;$AA43)
)),0)
)),
IF(AS$4 &lt; AS$5,
IF($AA43-$Z$4&lt;AS$4,0,
IF($AA43&gt;AS$5,0,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AS$5,$AA43 &lt; AS$4),0,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T43" s="18" cm="1">
        <f t="array" ref="AT43" xml:space="preserve">
IFERROR(
IF(AT$1="",0,
IF(AND(
$AA43&gt;=VLOOKUP(AT$6, Table_ChiPhiNV_Ca[], COUNTA(Table_ChiPhiNV_Ca[[#Headers],[Ca]:[Bắt đầu nghỉ]]),0),
$AA43&lt;VLOOKUP(AT$6, Table_ChiPhiNV_Ca[], COUNTA(Table_ChiPhiNV_Ca[[#Headers],[Ca]:[Kết thúc nghỉ]]),0)
),0,
IF(NOT(ISBLANK(AT$3)),
IF(ISBLANK(AT$7),0,
IF(AT$4 &lt; AT$5,
IF($AA43-$Z$4&lt;AT$4,0,
IF($AA43&gt;AT$5,0,
SUM(_xlfn._xlws.FILTER(Table_BangLuong_TyLeTangCa[Tỷ lệ],
(Table_BangLuong_TyLeTangCa[Ngày] = AT$3) *
(Table_BangLuong_TyLeTangCa[Giờ min]&lt;=$AA43) *
(Table_BangLuong_TyLeTangCa[Giờ max]&gt;$AA43)
)))),
IF(AND($AA43-$Z$4 &gt;= AT$5,$AA43 &lt; AT$4),0,
SUM(_xlfn._xlws.FILTER(Table_BangLuong_TyLeTangCa[Tỷ lệ],
(Table_BangLuong_TyLeTangCa[Ngày] = AT$3) *
(Table_BangLuong_TyLeTangCa[Giờ min]&lt;=$AA43) *
(Table_BangLuong_TyLeTangCa[Giờ max]&gt;$AA43)
))))
),
IF(ISBLANK(AT$7),
IF(VLOOKUP(AT$6, Table_ChiPhiNV_Ca[], COUNTA(Table_ChiPhiNV_Ca[[#Headers],[Ca]:[Kết thúc]]),0)&gt; VLOOKUP(AT$6, Table_ChiPhiNV_Ca[], COUNTA(Table_ChiPhiNV_Ca[[#Headers],[Ca]:[Bắt đầu]]),0),
IF($AA43-$Z$4&lt;MAX(AT$4,VLOOKUP(AT$6, Table_ChiPhiNV_Ca[], COUNTA(Table_ChiPhiNV_Ca[[#Headers],[Ca]:[Bắt đầu]]),0)),0,
IF($AA43&gt;MIN(AT$5,VLOOKUP(AT$6, Table_ChiPhiNV_Ca[], COUNTA(Table_ChiPhiNV_Ca[[#Headers],[Ca]:[Kết thúc]]),0)),0,
SUM(_xlfn._xlws.FILTER(Table_BangLuong_TyLeTangCa[Tỷ lệ],
(Table_BangLuong_TyLeTangCa[Ngày] = "Thường") *
(Table_BangLuong_TyLeTangCa[Giờ min]&lt;=$AA43) *
(Table_BangLuong_TyLeTangCa[Giờ max]&gt;$AA43)
)))),
IF(AT$4 &gt; AT$5,
IF(
AND(
$AA43-$Z$4&lt;MAX(AT$4,VLOOKUP(AT$6, Table_ChiPhiNV_Ca[], COUNTA(Table_ChiPhiNV_Ca[[#Headers],[Ca]:[Bắt đầu]]),0)),
$AA43&gt;MIN(AT$5,VLOOKUP(AT$6, Table_ChiPhiNV_Ca[], COUNTA(Table_ChiPhiNV_Ca[[#Headers],[Ca]:[Kết thúc]]),0))),0,
SUM(_xlfn._xlws.FILTER(Table_BangLuong_TyLeTangCa[Tỷ lệ],
(Table_BangLuong_TyLeTangCa[Ngày] = "Thường") *
(Table_BangLuong_TyLeTangCa[Giờ min]&lt;=$AA43) *
(Table_BangLuong_TyLeTangCa[Giờ max]&gt;$AA43)
))),
IF(
AND(
$AA43-$Z$4&gt;=MAX(AT$4,VLOOKUP(AT$6, Table_ChiPhiNV_Ca[], COUNTA(Table_ChiPhiNV_Ca[[#Headers],[Ca]:[Bắt đầu]]),0)),
$AA43&lt;MIN(AT$5,VLOOKUP(AT$6, Table_ChiPhiNV_Ca[], COUNTA(Table_ChiPhiNV_Ca[[#Headers],[Ca]:[Kết thúc]]),0))),
SUM(_xlfn._xlws.FILTER(Table_BangLuong_TyLeTangCa[Tỷ lệ],
(Table_BangLuong_TyLeTangCa[Ngày] = "Thường") *
(Table_BangLuong_TyLeTangCa[Giờ min]&lt;=$AA43) *
(Table_BangLuong_TyLeTangCa[Giờ max]&gt;$AA43)
)),0)
)),
IF(AT$4 &lt; AT$5,
IF($AA43-$Z$4&lt;AT$4,0,
IF($AA43&gt;AT$5,0,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AT$5,$AA43 &lt; AT$4),0,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U43" s="18" cm="1">
        <f t="array" ref="AU43" xml:space="preserve">
IFERROR(
IF(AU$1="",0,
IF(AND(
$AA43&gt;=VLOOKUP(AU$6, Table_ChiPhiNV_Ca[], COUNTA(Table_ChiPhiNV_Ca[[#Headers],[Ca]:[Bắt đầu nghỉ]]),0),
$AA43&lt;VLOOKUP(AU$6, Table_ChiPhiNV_Ca[], COUNTA(Table_ChiPhiNV_Ca[[#Headers],[Ca]:[Kết thúc nghỉ]]),0)
),0,
IF(NOT(ISBLANK(AU$3)),
IF(ISBLANK(AU$7),0,
IF(AU$4 &lt; AU$5,
IF($AA43-$Z$4&lt;AU$4,0,
IF($AA43&gt;AU$5,0,
SUM(_xlfn._xlws.FILTER(Table_BangLuong_TyLeTangCa[Tỷ lệ],
(Table_BangLuong_TyLeTangCa[Ngày] = AU$3) *
(Table_BangLuong_TyLeTangCa[Giờ min]&lt;=$AA43) *
(Table_BangLuong_TyLeTangCa[Giờ max]&gt;$AA43)
)))),
IF(AND($AA43-$Z$4 &gt;= AU$5,$AA43 &lt; AU$4),0,
SUM(_xlfn._xlws.FILTER(Table_BangLuong_TyLeTangCa[Tỷ lệ],
(Table_BangLuong_TyLeTangCa[Ngày] = AU$3) *
(Table_BangLuong_TyLeTangCa[Giờ min]&lt;=$AA43) *
(Table_BangLuong_TyLeTangCa[Giờ max]&gt;$AA43)
))))
),
IF(ISBLANK(AU$7),
IF(VLOOKUP(AU$6, Table_ChiPhiNV_Ca[], COUNTA(Table_ChiPhiNV_Ca[[#Headers],[Ca]:[Kết thúc]]),0)&gt; VLOOKUP(AU$6, Table_ChiPhiNV_Ca[], COUNTA(Table_ChiPhiNV_Ca[[#Headers],[Ca]:[Bắt đầu]]),0),
IF($AA43-$Z$4&lt;MAX(AU$4,VLOOKUP(AU$6, Table_ChiPhiNV_Ca[], COUNTA(Table_ChiPhiNV_Ca[[#Headers],[Ca]:[Bắt đầu]]),0)),0,
IF($AA43&gt;MIN(AU$5,VLOOKUP(AU$6, Table_ChiPhiNV_Ca[], COUNTA(Table_ChiPhiNV_Ca[[#Headers],[Ca]:[Kết thúc]]),0)),0,
SUM(_xlfn._xlws.FILTER(Table_BangLuong_TyLeTangCa[Tỷ lệ],
(Table_BangLuong_TyLeTangCa[Ngày] = "Thường") *
(Table_BangLuong_TyLeTangCa[Giờ min]&lt;=$AA43) *
(Table_BangLuong_TyLeTangCa[Giờ max]&gt;$AA43)
)))),
IF(AU$4 &gt; AU$5,
IF(
AND(
$AA43-$Z$4&lt;MAX(AU$4,VLOOKUP(AU$6, Table_ChiPhiNV_Ca[], COUNTA(Table_ChiPhiNV_Ca[[#Headers],[Ca]:[Bắt đầu]]),0)),
$AA43&gt;MIN(AU$5,VLOOKUP(AU$6, Table_ChiPhiNV_Ca[], COUNTA(Table_ChiPhiNV_Ca[[#Headers],[Ca]:[Kết thúc]]),0))),0,
SUM(_xlfn._xlws.FILTER(Table_BangLuong_TyLeTangCa[Tỷ lệ],
(Table_BangLuong_TyLeTangCa[Ngày] = "Thường") *
(Table_BangLuong_TyLeTangCa[Giờ min]&lt;=$AA43) *
(Table_BangLuong_TyLeTangCa[Giờ max]&gt;$AA43)
))),
IF(
AND(
$AA43-$Z$4&gt;=MAX(AU$4,VLOOKUP(AU$6, Table_ChiPhiNV_Ca[], COUNTA(Table_ChiPhiNV_Ca[[#Headers],[Ca]:[Bắt đầu]]),0)),
$AA43&lt;MIN(AU$5,VLOOKUP(AU$6, Table_ChiPhiNV_Ca[], COUNTA(Table_ChiPhiNV_Ca[[#Headers],[Ca]:[Kết thúc]]),0))),
SUM(_xlfn._xlws.FILTER(Table_BangLuong_TyLeTangCa[Tỷ lệ],
(Table_BangLuong_TyLeTangCa[Ngày] = "Thường") *
(Table_BangLuong_TyLeTangCa[Giờ min]&lt;=$AA43) *
(Table_BangLuong_TyLeTangCa[Giờ max]&gt;$AA43)
)),0)
)),
IF(AU$4 &lt; AU$5,
IF($AA43-$Z$4&lt;AU$4,0,
IF($AA43&gt;AU$5,0,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AU$5,$AA43 &lt; AU$4),0,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V43" s="18" cm="1">
        <f t="array" ref="AV43" xml:space="preserve">
IFERROR(
IF(AV$1="",0,
IF(AND(
$AA43&gt;=VLOOKUP(AV$6, Table_ChiPhiNV_Ca[], COUNTA(Table_ChiPhiNV_Ca[[#Headers],[Ca]:[Bắt đầu nghỉ]]),0),
$AA43&lt;VLOOKUP(AV$6, Table_ChiPhiNV_Ca[], COUNTA(Table_ChiPhiNV_Ca[[#Headers],[Ca]:[Kết thúc nghỉ]]),0)
),0,
IF(NOT(ISBLANK(AV$3)),
IF(ISBLANK(AV$7),0,
IF(AV$4 &lt; AV$5,
IF($AA43-$Z$4&lt;AV$4,0,
IF($AA43&gt;AV$5,0,
SUM(_xlfn._xlws.FILTER(Table_BangLuong_TyLeTangCa[Tỷ lệ],
(Table_BangLuong_TyLeTangCa[Ngày] = AV$3) *
(Table_BangLuong_TyLeTangCa[Giờ min]&lt;=$AA43) *
(Table_BangLuong_TyLeTangCa[Giờ max]&gt;$AA43)
)))),
IF(AND($AA43-$Z$4 &gt;= AV$5,$AA43 &lt; AV$4),0,
SUM(_xlfn._xlws.FILTER(Table_BangLuong_TyLeTangCa[Tỷ lệ],
(Table_BangLuong_TyLeTangCa[Ngày] = AV$3) *
(Table_BangLuong_TyLeTangCa[Giờ min]&lt;=$AA43) *
(Table_BangLuong_TyLeTangCa[Giờ max]&gt;$AA43)
))))
),
IF(ISBLANK(AV$7),
IF(VLOOKUP(AV$6, Table_ChiPhiNV_Ca[], COUNTA(Table_ChiPhiNV_Ca[[#Headers],[Ca]:[Kết thúc]]),0)&gt; VLOOKUP(AV$6, Table_ChiPhiNV_Ca[], COUNTA(Table_ChiPhiNV_Ca[[#Headers],[Ca]:[Bắt đầu]]),0),
IF($AA43-$Z$4&lt;MAX(AV$4,VLOOKUP(AV$6, Table_ChiPhiNV_Ca[], COUNTA(Table_ChiPhiNV_Ca[[#Headers],[Ca]:[Bắt đầu]]),0)),0,
IF($AA43&gt;MIN(AV$5,VLOOKUP(AV$6, Table_ChiPhiNV_Ca[], COUNTA(Table_ChiPhiNV_Ca[[#Headers],[Ca]:[Kết thúc]]),0)),0,
SUM(_xlfn._xlws.FILTER(Table_BangLuong_TyLeTangCa[Tỷ lệ],
(Table_BangLuong_TyLeTangCa[Ngày] = "Thường") *
(Table_BangLuong_TyLeTangCa[Giờ min]&lt;=$AA43) *
(Table_BangLuong_TyLeTangCa[Giờ max]&gt;$AA43)
)))),
IF(AV$4 &gt; AV$5,
IF(
AND(
$AA43-$Z$4&lt;MAX(AV$4,VLOOKUP(AV$6, Table_ChiPhiNV_Ca[], COUNTA(Table_ChiPhiNV_Ca[[#Headers],[Ca]:[Bắt đầu]]),0)),
$AA43&gt;MIN(AV$5,VLOOKUP(AV$6, Table_ChiPhiNV_Ca[], COUNTA(Table_ChiPhiNV_Ca[[#Headers],[Ca]:[Kết thúc]]),0))),0,
SUM(_xlfn._xlws.FILTER(Table_BangLuong_TyLeTangCa[Tỷ lệ],
(Table_BangLuong_TyLeTangCa[Ngày] = "Thường") *
(Table_BangLuong_TyLeTangCa[Giờ min]&lt;=$AA43) *
(Table_BangLuong_TyLeTangCa[Giờ max]&gt;$AA43)
))),
IF(
AND(
$AA43-$Z$4&gt;=MAX(AV$4,VLOOKUP(AV$6, Table_ChiPhiNV_Ca[], COUNTA(Table_ChiPhiNV_Ca[[#Headers],[Ca]:[Bắt đầu]]),0)),
$AA43&lt;MIN(AV$5,VLOOKUP(AV$6, Table_ChiPhiNV_Ca[], COUNTA(Table_ChiPhiNV_Ca[[#Headers],[Ca]:[Kết thúc]]),0))),
SUM(_xlfn._xlws.FILTER(Table_BangLuong_TyLeTangCa[Tỷ lệ],
(Table_BangLuong_TyLeTangCa[Ngày] = "Thường") *
(Table_BangLuong_TyLeTangCa[Giờ min]&lt;=$AA43) *
(Table_BangLuong_TyLeTangCa[Giờ max]&gt;$AA43)
)),0)
)),
IF(AV$4 &lt; AV$5,
IF($AA43-$Z$4&lt;AV$4,0,
IF($AA43&gt;AV$5,0,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AV$5,$AA43 &lt; AV$4),0,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W43" s="18" cm="1">
        <f t="array" ref="AW43" xml:space="preserve">
IFERROR(
IF(AW$1="",0,
IF(AND(
$AA43&gt;=VLOOKUP(AW$6, Table_ChiPhiNV_Ca[], COUNTA(Table_ChiPhiNV_Ca[[#Headers],[Ca]:[Bắt đầu nghỉ]]),0),
$AA43&lt;VLOOKUP(AW$6, Table_ChiPhiNV_Ca[], COUNTA(Table_ChiPhiNV_Ca[[#Headers],[Ca]:[Kết thúc nghỉ]]),0)
),0,
IF(NOT(ISBLANK(AW$3)),
IF(ISBLANK(AW$7),0,
IF(AW$4 &lt; AW$5,
IF($AA43-$Z$4&lt;AW$4,0,
IF($AA43&gt;AW$5,0,
SUM(_xlfn._xlws.FILTER(Table_BangLuong_TyLeTangCa[Tỷ lệ],
(Table_BangLuong_TyLeTangCa[Ngày] = AW$3) *
(Table_BangLuong_TyLeTangCa[Giờ min]&lt;=$AA43) *
(Table_BangLuong_TyLeTangCa[Giờ max]&gt;$AA43)
)))),
IF(AND($AA43-$Z$4 &gt;= AW$5,$AA43 &lt; AW$4),0,
SUM(_xlfn._xlws.FILTER(Table_BangLuong_TyLeTangCa[Tỷ lệ],
(Table_BangLuong_TyLeTangCa[Ngày] = AW$3) *
(Table_BangLuong_TyLeTangCa[Giờ min]&lt;=$AA43) *
(Table_BangLuong_TyLeTangCa[Giờ max]&gt;$AA43)
))))
),
IF(ISBLANK(AW$7),
IF(VLOOKUP(AW$6, Table_ChiPhiNV_Ca[], COUNTA(Table_ChiPhiNV_Ca[[#Headers],[Ca]:[Kết thúc]]),0)&gt; VLOOKUP(AW$6, Table_ChiPhiNV_Ca[], COUNTA(Table_ChiPhiNV_Ca[[#Headers],[Ca]:[Bắt đầu]]),0),
IF($AA43-$Z$4&lt;MAX(AW$4,VLOOKUP(AW$6, Table_ChiPhiNV_Ca[], COUNTA(Table_ChiPhiNV_Ca[[#Headers],[Ca]:[Bắt đầu]]),0)),0,
IF($AA43&gt;MIN(AW$5,VLOOKUP(AW$6, Table_ChiPhiNV_Ca[], COUNTA(Table_ChiPhiNV_Ca[[#Headers],[Ca]:[Kết thúc]]),0)),0,
SUM(_xlfn._xlws.FILTER(Table_BangLuong_TyLeTangCa[Tỷ lệ],
(Table_BangLuong_TyLeTangCa[Ngày] = "Thường") *
(Table_BangLuong_TyLeTangCa[Giờ min]&lt;=$AA43) *
(Table_BangLuong_TyLeTangCa[Giờ max]&gt;$AA43)
)))),
IF(AW$4 &gt; AW$5,
IF(
AND(
$AA43-$Z$4&lt;MAX(AW$4,VLOOKUP(AW$6, Table_ChiPhiNV_Ca[], COUNTA(Table_ChiPhiNV_Ca[[#Headers],[Ca]:[Bắt đầu]]),0)),
$AA43&gt;MIN(AW$5,VLOOKUP(AW$6, Table_ChiPhiNV_Ca[], COUNTA(Table_ChiPhiNV_Ca[[#Headers],[Ca]:[Kết thúc]]),0))),0,
SUM(_xlfn._xlws.FILTER(Table_BangLuong_TyLeTangCa[Tỷ lệ],
(Table_BangLuong_TyLeTangCa[Ngày] = "Thường") *
(Table_BangLuong_TyLeTangCa[Giờ min]&lt;=$AA43) *
(Table_BangLuong_TyLeTangCa[Giờ max]&gt;$AA43)
))),
IF(
AND(
$AA43-$Z$4&gt;=MAX(AW$4,VLOOKUP(AW$6, Table_ChiPhiNV_Ca[], COUNTA(Table_ChiPhiNV_Ca[[#Headers],[Ca]:[Bắt đầu]]),0)),
$AA43&lt;MIN(AW$5,VLOOKUP(AW$6, Table_ChiPhiNV_Ca[], COUNTA(Table_ChiPhiNV_Ca[[#Headers],[Ca]:[Kết thúc]]),0))),
SUM(_xlfn._xlws.FILTER(Table_BangLuong_TyLeTangCa[Tỷ lệ],
(Table_BangLuong_TyLeTangCa[Ngày] = "Thường") *
(Table_BangLuong_TyLeTangCa[Giờ min]&lt;=$AA43) *
(Table_BangLuong_TyLeTangCa[Giờ max]&gt;$AA43)
)),0)
)),
IF(AW$4 &lt; AW$5,
IF($AA43-$Z$4&lt;AW$4,0,
IF($AA43&gt;AW$5,0,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AW$5,$AA43 &lt; AW$4),0,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X43" s="18" cm="1">
        <f t="array" ref="AX43" xml:space="preserve">
IFERROR(
IF(AX$1="",0,
IF(AND(
$AA43&gt;=VLOOKUP(AX$6, Table_ChiPhiNV_Ca[], COUNTA(Table_ChiPhiNV_Ca[[#Headers],[Ca]:[Bắt đầu nghỉ]]),0),
$AA43&lt;VLOOKUP(AX$6, Table_ChiPhiNV_Ca[], COUNTA(Table_ChiPhiNV_Ca[[#Headers],[Ca]:[Kết thúc nghỉ]]),0)
),0,
IF(NOT(ISBLANK(AX$3)),
IF(ISBLANK(AX$7),0,
IF(AX$4 &lt; AX$5,
IF($AA43-$Z$4&lt;AX$4,0,
IF($AA43&gt;AX$5,0,
SUM(_xlfn._xlws.FILTER(Table_BangLuong_TyLeTangCa[Tỷ lệ],
(Table_BangLuong_TyLeTangCa[Ngày] = AX$3) *
(Table_BangLuong_TyLeTangCa[Giờ min]&lt;=$AA43) *
(Table_BangLuong_TyLeTangCa[Giờ max]&gt;$AA43)
)))),
IF(AND($AA43-$Z$4 &gt;= AX$5,$AA43 &lt; AX$4),0,
SUM(_xlfn._xlws.FILTER(Table_BangLuong_TyLeTangCa[Tỷ lệ],
(Table_BangLuong_TyLeTangCa[Ngày] = AX$3) *
(Table_BangLuong_TyLeTangCa[Giờ min]&lt;=$AA43) *
(Table_BangLuong_TyLeTangCa[Giờ max]&gt;$AA43)
))))
),
IF(ISBLANK(AX$7),
IF(VLOOKUP(AX$6, Table_ChiPhiNV_Ca[], COUNTA(Table_ChiPhiNV_Ca[[#Headers],[Ca]:[Kết thúc]]),0)&gt; VLOOKUP(AX$6, Table_ChiPhiNV_Ca[], COUNTA(Table_ChiPhiNV_Ca[[#Headers],[Ca]:[Bắt đầu]]),0),
IF($AA43-$Z$4&lt;MAX(AX$4,VLOOKUP(AX$6, Table_ChiPhiNV_Ca[], COUNTA(Table_ChiPhiNV_Ca[[#Headers],[Ca]:[Bắt đầu]]),0)),0,
IF($AA43&gt;MIN(AX$5,VLOOKUP(AX$6, Table_ChiPhiNV_Ca[], COUNTA(Table_ChiPhiNV_Ca[[#Headers],[Ca]:[Kết thúc]]),0)),0,
SUM(_xlfn._xlws.FILTER(Table_BangLuong_TyLeTangCa[Tỷ lệ],
(Table_BangLuong_TyLeTangCa[Ngày] = "Thường") *
(Table_BangLuong_TyLeTangCa[Giờ min]&lt;=$AA43) *
(Table_BangLuong_TyLeTangCa[Giờ max]&gt;$AA43)
)))),
IF(AX$4 &gt; AX$5,
IF(
AND(
$AA43-$Z$4&lt;MAX(AX$4,VLOOKUP(AX$6, Table_ChiPhiNV_Ca[], COUNTA(Table_ChiPhiNV_Ca[[#Headers],[Ca]:[Bắt đầu]]),0)),
$AA43&gt;MIN(AX$5,VLOOKUP(AX$6, Table_ChiPhiNV_Ca[], COUNTA(Table_ChiPhiNV_Ca[[#Headers],[Ca]:[Kết thúc]]),0))),0,
SUM(_xlfn._xlws.FILTER(Table_BangLuong_TyLeTangCa[Tỷ lệ],
(Table_BangLuong_TyLeTangCa[Ngày] = "Thường") *
(Table_BangLuong_TyLeTangCa[Giờ min]&lt;=$AA43) *
(Table_BangLuong_TyLeTangCa[Giờ max]&gt;$AA43)
))),
IF(
AND(
$AA43-$Z$4&gt;=MAX(AX$4,VLOOKUP(AX$6, Table_ChiPhiNV_Ca[], COUNTA(Table_ChiPhiNV_Ca[[#Headers],[Ca]:[Bắt đầu]]),0)),
$AA43&lt;MIN(AX$5,VLOOKUP(AX$6, Table_ChiPhiNV_Ca[], COUNTA(Table_ChiPhiNV_Ca[[#Headers],[Ca]:[Kết thúc]]),0))),
SUM(_xlfn._xlws.FILTER(Table_BangLuong_TyLeTangCa[Tỷ lệ],
(Table_BangLuong_TyLeTangCa[Ngày] = "Thường") *
(Table_BangLuong_TyLeTangCa[Giờ min]&lt;=$AA43) *
(Table_BangLuong_TyLeTangCa[Giờ max]&gt;$AA43)
)),0)
)),
IF(AX$4 &lt; AX$5,
IF($AA43-$Z$4&lt;AX$4,0,
IF($AA43&gt;AX$5,0,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AX$5,$AA43 &lt; AX$4),0,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Y43" s="18" cm="1">
        <f t="array" ref="AY43" xml:space="preserve">
IFERROR(
IF(AY$1="",0,
IF(AND(
$AA43&gt;=VLOOKUP(AY$6, Table_ChiPhiNV_Ca[], COUNTA(Table_ChiPhiNV_Ca[[#Headers],[Ca]:[Bắt đầu nghỉ]]),0),
$AA43&lt;VLOOKUP(AY$6, Table_ChiPhiNV_Ca[], COUNTA(Table_ChiPhiNV_Ca[[#Headers],[Ca]:[Kết thúc nghỉ]]),0)
),0,
IF(NOT(ISBLANK(AY$3)),
IF(ISBLANK(AY$7),0,
IF(AY$4 &lt; AY$5,
IF($AA43-$Z$4&lt;AY$4,0,
IF($AA43&gt;AY$5,0,
SUM(_xlfn._xlws.FILTER(Table_BangLuong_TyLeTangCa[Tỷ lệ],
(Table_BangLuong_TyLeTangCa[Ngày] = AY$3) *
(Table_BangLuong_TyLeTangCa[Giờ min]&lt;=$AA43) *
(Table_BangLuong_TyLeTangCa[Giờ max]&gt;$AA43)
)))),
IF(AND($AA43-$Z$4 &gt;= AY$5,$AA43 &lt; AY$4),0,
SUM(_xlfn._xlws.FILTER(Table_BangLuong_TyLeTangCa[Tỷ lệ],
(Table_BangLuong_TyLeTangCa[Ngày] = AY$3) *
(Table_BangLuong_TyLeTangCa[Giờ min]&lt;=$AA43) *
(Table_BangLuong_TyLeTangCa[Giờ max]&gt;$AA43)
))))
),
IF(ISBLANK(AY$7),
IF(VLOOKUP(AY$6, Table_ChiPhiNV_Ca[], COUNTA(Table_ChiPhiNV_Ca[[#Headers],[Ca]:[Kết thúc]]),0)&gt; VLOOKUP(AY$6, Table_ChiPhiNV_Ca[], COUNTA(Table_ChiPhiNV_Ca[[#Headers],[Ca]:[Bắt đầu]]),0),
IF($AA43-$Z$4&lt;MAX(AY$4,VLOOKUP(AY$6, Table_ChiPhiNV_Ca[], COUNTA(Table_ChiPhiNV_Ca[[#Headers],[Ca]:[Bắt đầu]]),0)),0,
IF($AA43&gt;MIN(AY$5,VLOOKUP(AY$6, Table_ChiPhiNV_Ca[], COUNTA(Table_ChiPhiNV_Ca[[#Headers],[Ca]:[Kết thúc]]),0)),0,
SUM(_xlfn._xlws.FILTER(Table_BangLuong_TyLeTangCa[Tỷ lệ],
(Table_BangLuong_TyLeTangCa[Ngày] = "Thường") *
(Table_BangLuong_TyLeTangCa[Giờ min]&lt;=$AA43) *
(Table_BangLuong_TyLeTangCa[Giờ max]&gt;$AA43)
)))),
IF(AY$4 &gt; AY$5,
IF(
AND(
$AA43-$Z$4&lt;MAX(AY$4,VLOOKUP(AY$6, Table_ChiPhiNV_Ca[], COUNTA(Table_ChiPhiNV_Ca[[#Headers],[Ca]:[Bắt đầu]]),0)),
$AA43&gt;MIN(AY$5,VLOOKUP(AY$6, Table_ChiPhiNV_Ca[], COUNTA(Table_ChiPhiNV_Ca[[#Headers],[Ca]:[Kết thúc]]),0))),0,
SUM(_xlfn._xlws.FILTER(Table_BangLuong_TyLeTangCa[Tỷ lệ],
(Table_BangLuong_TyLeTangCa[Ngày] = "Thường") *
(Table_BangLuong_TyLeTangCa[Giờ min]&lt;=$AA43) *
(Table_BangLuong_TyLeTangCa[Giờ max]&gt;$AA43)
))),
IF(
AND(
$AA43-$Z$4&gt;=MAX(AY$4,VLOOKUP(AY$6, Table_ChiPhiNV_Ca[], COUNTA(Table_ChiPhiNV_Ca[[#Headers],[Ca]:[Bắt đầu]]),0)),
$AA43&lt;MIN(AY$5,VLOOKUP(AY$6, Table_ChiPhiNV_Ca[], COUNTA(Table_ChiPhiNV_Ca[[#Headers],[Ca]:[Kết thúc]]),0))),
SUM(_xlfn._xlws.FILTER(Table_BangLuong_TyLeTangCa[Tỷ lệ],
(Table_BangLuong_TyLeTangCa[Ngày] = "Thường") *
(Table_BangLuong_TyLeTangCa[Giờ min]&lt;=$AA43) *
(Table_BangLuong_TyLeTangCa[Giờ max]&gt;$AA43)
)),0)
)),
IF(AY$4 &lt; AY$5,
IF($AA43-$Z$4&lt;AY$4,0,
IF($AA43&gt;AY$5,0,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AY$5,$AA43 &lt; AY$4),0,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Z43" s="18" cm="1">
        <f t="array" ref="AZ43" xml:space="preserve">
IFERROR(
IF(AZ$1="",0,
IF(AND(
$AA43&gt;=VLOOKUP(AZ$6, Table_ChiPhiNV_Ca[], COUNTA(Table_ChiPhiNV_Ca[[#Headers],[Ca]:[Bắt đầu nghỉ]]),0),
$AA43&lt;VLOOKUP(AZ$6, Table_ChiPhiNV_Ca[], COUNTA(Table_ChiPhiNV_Ca[[#Headers],[Ca]:[Kết thúc nghỉ]]),0)
),0,
IF(NOT(ISBLANK(AZ$3)),
IF(ISBLANK(AZ$7),0,
IF(AZ$4 &lt; AZ$5,
IF($AA43-$Z$4&lt;AZ$4,0,
IF($AA43&gt;AZ$5,0,
SUM(_xlfn._xlws.FILTER(Table_BangLuong_TyLeTangCa[Tỷ lệ],
(Table_BangLuong_TyLeTangCa[Ngày] = AZ$3) *
(Table_BangLuong_TyLeTangCa[Giờ min]&lt;=$AA43) *
(Table_BangLuong_TyLeTangCa[Giờ max]&gt;$AA43)
)))),
IF(AND($AA43-$Z$4 &gt;= AZ$5,$AA43 &lt; AZ$4),0,
SUM(_xlfn._xlws.FILTER(Table_BangLuong_TyLeTangCa[Tỷ lệ],
(Table_BangLuong_TyLeTangCa[Ngày] = AZ$3) *
(Table_BangLuong_TyLeTangCa[Giờ min]&lt;=$AA43) *
(Table_BangLuong_TyLeTangCa[Giờ max]&gt;$AA43)
))))
),
IF(ISBLANK(AZ$7),
IF(VLOOKUP(AZ$6, Table_ChiPhiNV_Ca[], COUNTA(Table_ChiPhiNV_Ca[[#Headers],[Ca]:[Kết thúc]]),0)&gt; VLOOKUP(AZ$6, Table_ChiPhiNV_Ca[], COUNTA(Table_ChiPhiNV_Ca[[#Headers],[Ca]:[Bắt đầu]]),0),
IF($AA43-$Z$4&lt;MAX(AZ$4,VLOOKUP(AZ$6, Table_ChiPhiNV_Ca[], COUNTA(Table_ChiPhiNV_Ca[[#Headers],[Ca]:[Bắt đầu]]),0)),0,
IF($AA43&gt;MIN(AZ$5,VLOOKUP(AZ$6, Table_ChiPhiNV_Ca[], COUNTA(Table_ChiPhiNV_Ca[[#Headers],[Ca]:[Kết thúc]]),0)),0,
SUM(_xlfn._xlws.FILTER(Table_BangLuong_TyLeTangCa[Tỷ lệ],
(Table_BangLuong_TyLeTangCa[Ngày] = "Thường") *
(Table_BangLuong_TyLeTangCa[Giờ min]&lt;=$AA43) *
(Table_BangLuong_TyLeTangCa[Giờ max]&gt;$AA43)
)))),
IF(AZ$4 &gt; AZ$5,
IF(
AND(
$AA43-$Z$4&lt;MAX(AZ$4,VLOOKUP(AZ$6, Table_ChiPhiNV_Ca[], COUNTA(Table_ChiPhiNV_Ca[[#Headers],[Ca]:[Bắt đầu]]),0)),
$AA43&gt;MIN(AZ$5,VLOOKUP(AZ$6, Table_ChiPhiNV_Ca[], COUNTA(Table_ChiPhiNV_Ca[[#Headers],[Ca]:[Kết thúc]]),0))),0,
SUM(_xlfn._xlws.FILTER(Table_BangLuong_TyLeTangCa[Tỷ lệ],
(Table_BangLuong_TyLeTangCa[Ngày] = "Thường") *
(Table_BangLuong_TyLeTangCa[Giờ min]&lt;=$AA43) *
(Table_BangLuong_TyLeTangCa[Giờ max]&gt;$AA43)
))),
IF(
AND(
$AA43-$Z$4&gt;=MAX(AZ$4,VLOOKUP(AZ$6, Table_ChiPhiNV_Ca[], COUNTA(Table_ChiPhiNV_Ca[[#Headers],[Ca]:[Bắt đầu]]),0)),
$AA43&lt;MIN(AZ$5,VLOOKUP(AZ$6, Table_ChiPhiNV_Ca[], COUNTA(Table_ChiPhiNV_Ca[[#Headers],[Ca]:[Kết thúc]]),0))),
SUM(_xlfn._xlws.FILTER(Table_BangLuong_TyLeTangCa[Tỷ lệ],
(Table_BangLuong_TyLeTangCa[Ngày] = "Thường") *
(Table_BangLuong_TyLeTangCa[Giờ min]&lt;=$AA43) *
(Table_BangLuong_TyLeTangCa[Giờ max]&gt;$AA43)
)),0)
)),
IF(AZ$4 &lt; AZ$5,
IF($AA43-$Z$4&lt;AZ$4,0,
IF($AA43&gt;AZ$5,0,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AZ$5,$AA43 &lt; AZ$4),0,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A43" s="18" cm="1">
        <f t="array" ref="BA43" xml:space="preserve">
IFERROR(
IF(BA$1="",0,
IF(AND(
$AA43&gt;=VLOOKUP(BA$6, Table_ChiPhiNV_Ca[], COUNTA(Table_ChiPhiNV_Ca[[#Headers],[Ca]:[Bắt đầu nghỉ]]),0),
$AA43&lt;VLOOKUP(BA$6, Table_ChiPhiNV_Ca[], COUNTA(Table_ChiPhiNV_Ca[[#Headers],[Ca]:[Kết thúc nghỉ]]),0)
),0,
IF(NOT(ISBLANK(BA$3)),
IF(ISBLANK(BA$7),0,
IF(BA$4 &lt; BA$5,
IF($AA43-$Z$4&lt;BA$4,0,
IF($AA43&gt;BA$5,0,
SUM(_xlfn._xlws.FILTER(Table_BangLuong_TyLeTangCa[Tỷ lệ],
(Table_BangLuong_TyLeTangCa[Ngày] = BA$3) *
(Table_BangLuong_TyLeTangCa[Giờ min]&lt;=$AA43) *
(Table_BangLuong_TyLeTangCa[Giờ max]&gt;$AA43)
)))),
IF(AND($AA43-$Z$4 &gt;= BA$5,$AA43 &lt; BA$4),0,
SUM(_xlfn._xlws.FILTER(Table_BangLuong_TyLeTangCa[Tỷ lệ],
(Table_BangLuong_TyLeTangCa[Ngày] = BA$3) *
(Table_BangLuong_TyLeTangCa[Giờ min]&lt;=$AA43) *
(Table_BangLuong_TyLeTangCa[Giờ max]&gt;$AA43)
))))
),
IF(ISBLANK(BA$7),
IF(VLOOKUP(BA$6, Table_ChiPhiNV_Ca[], COUNTA(Table_ChiPhiNV_Ca[[#Headers],[Ca]:[Kết thúc]]),0)&gt; VLOOKUP(BA$6, Table_ChiPhiNV_Ca[], COUNTA(Table_ChiPhiNV_Ca[[#Headers],[Ca]:[Bắt đầu]]),0),
IF($AA43-$Z$4&lt;MAX(BA$4,VLOOKUP(BA$6, Table_ChiPhiNV_Ca[], COUNTA(Table_ChiPhiNV_Ca[[#Headers],[Ca]:[Bắt đầu]]),0)),0,
IF($AA43&gt;MIN(BA$5,VLOOKUP(BA$6, Table_ChiPhiNV_Ca[], COUNTA(Table_ChiPhiNV_Ca[[#Headers],[Ca]:[Kết thúc]]),0)),0,
SUM(_xlfn._xlws.FILTER(Table_BangLuong_TyLeTangCa[Tỷ lệ],
(Table_BangLuong_TyLeTangCa[Ngày] = "Thường") *
(Table_BangLuong_TyLeTangCa[Giờ min]&lt;=$AA43) *
(Table_BangLuong_TyLeTangCa[Giờ max]&gt;$AA43)
)))),
IF(BA$4 &gt; BA$5,
IF(
AND(
$AA43-$Z$4&lt;MAX(BA$4,VLOOKUP(BA$6, Table_ChiPhiNV_Ca[], COUNTA(Table_ChiPhiNV_Ca[[#Headers],[Ca]:[Bắt đầu]]),0)),
$AA43&gt;MIN(BA$5,VLOOKUP(BA$6, Table_ChiPhiNV_Ca[], COUNTA(Table_ChiPhiNV_Ca[[#Headers],[Ca]:[Kết thúc]]),0))),0,
SUM(_xlfn._xlws.FILTER(Table_BangLuong_TyLeTangCa[Tỷ lệ],
(Table_BangLuong_TyLeTangCa[Ngày] = "Thường") *
(Table_BangLuong_TyLeTangCa[Giờ min]&lt;=$AA43) *
(Table_BangLuong_TyLeTangCa[Giờ max]&gt;$AA43)
))),
IF(
AND(
$AA43-$Z$4&gt;=MAX(BA$4,VLOOKUP(BA$6, Table_ChiPhiNV_Ca[], COUNTA(Table_ChiPhiNV_Ca[[#Headers],[Ca]:[Bắt đầu]]),0)),
$AA43&lt;MIN(BA$5,VLOOKUP(BA$6, Table_ChiPhiNV_Ca[], COUNTA(Table_ChiPhiNV_Ca[[#Headers],[Ca]:[Kết thúc]]),0))),
SUM(_xlfn._xlws.FILTER(Table_BangLuong_TyLeTangCa[Tỷ lệ],
(Table_BangLuong_TyLeTangCa[Ngày] = "Thường") *
(Table_BangLuong_TyLeTangCa[Giờ min]&lt;=$AA43) *
(Table_BangLuong_TyLeTangCa[Giờ max]&gt;$AA43)
)),0)
)),
IF(BA$4 &lt; BA$5,
IF($AA43-$Z$4&lt;BA$4,0,
IF($AA43&gt;BA$5,0,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BA$5,$AA43 &lt; BA$4),0,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B43" s="18" cm="1">
        <f t="array" ref="BB43" xml:space="preserve">
IFERROR(
IF(BB$1="",0,
IF(AND(
$AA43&gt;=VLOOKUP(BB$6, Table_ChiPhiNV_Ca[], COUNTA(Table_ChiPhiNV_Ca[[#Headers],[Ca]:[Bắt đầu nghỉ]]),0),
$AA43&lt;VLOOKUP(BB$6, Table_ChiPhiNV_Ca[], COUNTA(Table_ChiPhiNV_Ca[[#Headers],[Ca]:[Kết thúc nghỉ]]),0)
),0,
IF(NOT(ISBLANK(BB$3)),
IF(ISBLANK(BB$7),0,
IF(BB$4 &lt; BB$5,
IF($AA43-$Z$4&lt;BB$4,0,
IF($AA43&gt;BB$5,0,
SUM(_xlfn._xlws.FILTER(Table_BangLuong_TyLeTangCa[Tỷ lệ],
(Table_BangLuong_TyLeTangCa[Ngày] = BB$3) *
(Table_BangLuong_TyLeTangCa[Giờ min]&lt;=$AA43) *
(Table_BangLuong_TyLeTangCa[Giờ max]&gt;$AA43)
)))),
IF(AND($AA43-$Z$4 &gt;= BB$5,$AA43 &lt; BB$4),0,
SUM(_xlfn._xlws.FILTER(Table_BangLuong_TyLeTangCa[Tỷ lệ],
(Table_BangLuong_TyLeTangCa[Ngày] = BB$3) *
(Table_BangLuong_TyLeTangCa[Giờ min]&lt;=$AA43) *
(Table_BangLuong_TyLeTangCa[Giờ max]&gt;$AA43)
))))
),
IF(ISBLANK(BB$7),
IF(VLOOKUP(BB$6, Table_ChiPhiNV_Ca[], COUNTA(Table_ChiPhiNV_Ca[[#Headers],[Ca]:[Kết thúc]]),0)&gt; VLOOKUP(BB$6, Table_ChiPhiNV_Ca[], COUNTA(Table_ChiPhiNV_Ca[[#Headers],[Ca]:[Bắt đầu]]),0),
IF($AA43-$Z$4&lt;MAX(BB$4,VLOOKUP(BB$6, Table_ChiPhiNV_Ca[], COUNTA(Table_ChiPhiNV_Ca[[#Headers],[Ca]:[Bắt đầu]]),0)),0,
IF($AA43&gt;MIN(BB$5,VLOOKUP(BB$6, Table_ChiPhiNV_Ca[], COUNTA(Table_ChiPhiNV_Ca[[#Headers],[Ca]:[Kết thúc]]),0)),0,
SUM(_xlfn._xlws.FILTER(Table_BangLuong_TyLeTangCa[Tỷ lệ],
(Table_BangLuong_TyLeTangCa[Ngày] = "Thường") *
(Table_BangLuong_TyLeTangCa[Giờ min]&lt;=$AA43) *
(Table_BangLuong_TyLeTangCa[Giờ max]&gt;$AA43)
)))),
IF(BB$4 &gt; BB$5,
IF(
AND(
$AA43-$Z$4&lt;MAX(BB$4,VLOOKUP(BB$6, Table_ChiPhiNV_Ca[], COUNTA(Table_ChiPhiNV_Ca[[#Headers],[Ca]:[Bắt đầu]]),0)),
$AA43&gt;MIN(BB$5,VLOOKUP(BB$6, Table_ChiPhiNV_Ca[], COUNTA(Table_ChiPhiNV_Ca[[#Headers],[Ca]:[Kết thúc]]),0))),0,
SUM(_xlfn._xlws.FILTER(Table_BangLuong_TyLeTangCa[Tỷ lệ],
(Table_BangLuong_TyLeTangCa[Ngày] = "Thường") *
(Table_BangLuong_TyLeTangCa[Giờ min]&lt;=$AA43) *
(Table_BangLuong_TyLeTangCa[Giờ max]&gt;$AA43)
))),
IF(
AND(
$AA43-$Z$4&gt;=MAX(BB$4,VLOOKUP(BB$6, Table_ChiPhiNV_Ca[], COUNTA(Table_ChiPhiNV_Ca[[#Headers],[Ca]:[Bắt đầu]]),0)),
$AA43&lt;MIN(BB$5,VLOOKUP(BB$6, Table_ChiPhiNV_Ca[], COUNTA(Table_ChiPhiNV_Ca[[#Headers],[Ca]:[Kết thúc]]),0))),
SUM(_xlfn._xlws.FILTER(Table_BangLuong_TyLeTangCa[Tỷ lệ],
(Table_BangLuong_TyLeTangCa[Ngày] = "Thường") *
(Table_BangLuong_TyLeTangCa[Giờ min]&lt;=$AA43) *
(Table_BangLuong_TyLeTangCa[Giờ max]&gt;$AA43)
)),0)
)),
IF(BB$4 &lt; BB$5,
IF($AA43-$Z$4&lt;BB$4,0,
IF($AA43&gt;BB$5,0,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BB$5,$AA43 &lt; BB$4),0,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C43" s="18" cm="1">
        <f t="array" ref="BC43" xml:space="preserve">
IFERROR(
IF(BC$1="",0,
IF(AND(
$AA43&gt;=VLOOKUP(BC$6, Table_ChiPhiNV_Ca[], COUNTA(Table_ChiPhiNV_Ca[[#Headers],[Ca]:[Bắt đầu nghỉ]]),0),
$AA43&lt;VLOOKUP(BC$6, Table_ChiPhiNV_Ca[], COUNTA(Table_ChiPhiNV_Ca[[#Headers],[Ca]:[Kết thúc nghỉ]]),0)
),0,
IF(NOT(ISBLANK(BC$3)),
IF(ISBLANK(BC$7),0,
IF(BC$4 &lt; BC$5,
IF($AA43-$Z$4&lt;BC$4,0,
IF($AA43&gt;BC$5,0,
SUM(_xlfn._xlws.FILTER(Table_BangLuong_TyLeTangCa[Tỷ lệ],
(Table_BangLuong_TyLeTangCa[Ngày] = BC$3) *
(Table_BangLuong_TyLeTangCa[Giờ min]&lt;=$AA43) *
(Table_BangLuong_TyLeTangCa[Giờ max]&gt;$AA43)
)))),
IF(AND($AA43-$Z$4 &gt;= BC$5,$AA43 &lt; BC$4),0,
SUM(_xlfn._xlws.FILTER(Table_BangLuong_TyLeTangCa[Tỷ lệ],
(Table_BangLuong_TyLeTangCa[Ngày] = BC$3) *
(Table_BangLuong_TyLeTangCa[Giờ min]&lt;=$AA43) *
(Table_BangLuong_TyLeTangCa[Giờ max]&gt;$AA43)
))))
),
IF(ISBLANK(BC$7),
IF(VLOOKUP(BC$6, Table_ChiPhiNV_Ca[], COUNTA(Table_ChiPhiNV_Ca[[#Headers],[Ca]:[Kết thúc]]),0)&gt; VLOOKUP(BC$6, Table_ChiPhiNV_Ca[], COUNTA(Table_ChiPhiNV_Ca[[#Headers],[Ca]:[Bắt đầu]]),0),
IF($AA43-$Z$4&lt;MAX(BC$4,VLOOKUP(BC$6, Table_ChiPhiNV_Ca[], COUNTA(Table_ChiPhiNV_Ca[[#Headers],[Ca]:[Bắt đầu]]),0)),0,
IF($AA43&gt;MIN(BC$5,VLOOKUP(BC$6, Table_ChiPhiNV_Ca[], COUNTA(Table_ChiPhiNV_Ca[[#Headers],[Ca]:[Kết thúc]]),0)),0,
SUM(_xlfn._xlws.FILTER(Table_BangLuong_TyLeTangCa[Tỷ lệ],
(Table_BangLuong_TyLeTangCa[Ngày] = "Thường") *
(Table_BangLuong_TyLeTangCa[Giờ min]&lt;=$AA43) *
(Table_BangLuong_TyLeTangCa[Giờ max]&gt;$AA43)
)))),
IF(BC$4 &gt; BC$5,
IF(
AND(
$AA43-$Z$4&lt;MAX(BC$4,VLOOKUP(BC$6, Table_ChiPhiNV_Ca[], COUNTA(Table_ChiPhiNV_Ca[[#Headers],[Ca]:[Bắt đầu]]),0)),
$AA43&gt;MIN(BC$5,VLOOKUP(BC$6, Table_ChiPhiNV_Ca[], COUNTA(Table_ChiPhiNV_Ca[[#Headers],[Ca]:[Kết thúc]]),0))),0,
SUM(_xlfn._xlws.FILTER(Table_BangLuong_TyLeTangCa[Tỷ lệ],
(Table_BangLuong_TyLeTangCa[Ngày] = "Thường") *
(Table_BangLuong_TyLeTangCa[Giờ min]&lt;=$AA43) *
(Table_BangLuong_TyLeTangCa[Giờ max]&gt;$AA43)
))),
IF(
AND(
$AA43-$Z$4&gt;=MAX(BC$4,VLOOKUP(BC$6, Table_ChiPhiNV_Ca[], COUNTA(Table_ChiPhiNV_Ca[[#Headers],[Ca]:[Bắt đầu]]),0)),
$AA43&lt;MIN(BC$5,VLOOKUP(BC$6, Table_ChiPhiNV_Ca[], COUNTA(Table_ChiPhiNV_Ca[[#Headers],[Ca]:[Kết thúc]]),0))),
SUM(_xlfn._xlws.FILTER(Table_BangLuong_TyLeTangCa[Tỷ lệ],
(Table_BangLuong_TyLeTangCa[Ngày] = "Thường") *
(Table_BangLuong_TyLeTangCa[Giờ min]&lt;=$AA43) *
(Table_BangLuong_TyLeTangCa[Giờ max]&gt;$AA43)
)),0)
)),
IF(BC$4 &lt; BC$5,
IF($AA43-$Z$4&lt;BC$4,0,
IF($AA43&gt;BC$5,0,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BC$5,$AA43 &lt; BC$4),0,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D43" s="18" cm="1">
        <f t="array" ref="BD43" xml:space="preserve">
IFERROR(
IF(BD$1="",0,
IF(AND(
$AA43&gt;=VLOOKUP(BD$6, Table_ChiPhiNV_Ca[], COUNTA(Table_ChiPhiNV_Ca[[#Headers],[Ca]:[Bắt đầu nghỉ]]),0),
$AA43&lt;VLOOKUP(BD$6, Table_ChiPhiNV_Ca[], COUNTA(Table_ChiPhiNV_Ca[[#Headers],[Ca]:[Kết thúc nghỉ]]),0)
),0,
IF(NOT(ISBLANK(BD$3)),
IF(ISBLANK(BD$7),0,
IF(BD$4 &lt; BD$5,
IF($AA43-$Z$4&lt;BD$4,0,
IF($AA43&gt;BD$5,0,
SUM(_xlfn._xlws.FILTER(Table_BangLuong_TyLeTangCa[Tỷ lệ],
(Table_BangLuong_TyLeTangCa[Ngày] = BD$3) *
(Table_BangLuong_TyLeTangCa[Giờ min]&lt;=$AA43) *
(Table_BangLuong_TyLeTangCa[Giờ max]&gt;$AA43)
)))),
IF(AND($AA43-$Z$4 &gt;= BD$5,$AA43 &lt; BD$4),0,
SUM(_xlfn._xlws.FILTER(Table_BangLuong_TyLeTangCa[Tỷ lệ],
(Table_BangLuong_TyLeTangCa[Ngày] = BD$3) *
(Table_BangLuong_TyLeTangCa[Giờ min]&lt;=$AA43) *
(Table_BangLuong_TyLeTangCa[Giờ max]&gt;$AA43)
))))
),
IF(ISBLANK(BD$7),
IF(VLOOKUP(BD$6, Table_ChiPhiNV_Ca[], COUNTA(Table_ChiPhiNV_Ca[[#Headers],[Ca]:[Kết thúc]]),0)&gt; VLOOKUP(BD$6, Table_ChiPhiNV_Ca[], COUNTA(Table_ChiPhiNV_Ca[[#Headers],[Ca]:[Bắt đầu]]),0),
IF($AA43-$Z$4&lt;MAX(BD$4,VLOOKUP(BD$6, Table_ChiPhiNV_Ca[], COUNTA(Table_ChiPhiNV_Ca[[#Headers],[Ca]:[Bắt đầu]]),0)),0,
IF($AA43&gt;MIN(BD$5,VLOOKUP(BD$6, Table_ChiPhiNV_Ca[], COUNTA(Table_ChiPhiNV_Ca[[#Headers],[Ca]:[Kết thúc]]),0)),0,
SUM(_xlfn._xlws.FILTER(Table_BangLuong_TyLeTangCa[Tỷ lệ],
(Table_BangLuong_TyLeTangCa[Ngày] = "Thường") *
(Table_BangLuong_TyLeTangCa[Giờ min]&lt;=$AA43) *
(Table_BangLuong_TyLeTangCa[Giờ max]&gt;$AA43)
)))),
IF(BD$4 &gt; BD$5,
IF(
AND(
$AA43-$Z$4&lt;MAX(BD$4,VLOOKUP(BD$6, Table_ChiPhiNV_Ca[], COUNTA(Table_ChiPhiNV_Ca[[#Headers],[Ca]:[Bắt đầu]]),0)),
$AA43&gt;MIN(BD$5,VLOOKUP(BD$6, Table_ChiPhiNV_Ca[], COUNTA(Table_ChiPhiNV_Ca[[#Headers],[Ca]:[Kết thúc]]),0))),0,
SUM(_xlfn._xlws.FILTER(Table_BangLuong_TyLeTangCa[Tỷ lệ],
(Table_BangLuong_TyLeTangCa[Ngày] = "Thường") *
(Table_BangLuong_TyLeTangCa[Giờ min]&lt;=$AA43) *
(Table_BangLuong_TyLeTangCa[Giờ max]&gt;$AA43)
))),
IF(
AND(
$AA43-$Z$4&gt;=MAX(BD$4,VLOOKUP(BD$6, Table_ChiPhiNV_Ca[], COUNTA(Table_ChiPhiNV_Ca[[#Headers],[Ca]:[Bắt đầu]]),0)),
$AA43&lt;MIN(BD$5,VLOOKUP(BD$6, Table_ChiPhiNV_Ca[], COUNTA(Table_ChiPhiNV_Ca[[#Headers],[Ca]:[Kết thúc]]),0))),
SUM(_xlfn._xlws.FILTER(Table_BangLuong_TyLeTangCa[Tỷ lệ],
(Table_BangLuong_TyLeTangCa[Ngày] = "Thường") *
(Table_BangLuong_TyLeTangCa[Giờ min]&lt;=$AA43) *
(Table_BangLuong_TyLeTangCa[Giờ max]&gt;$AA43)
)),0)
)),
IF(BD$4 &lt; BD$5,
IF($AA43-$Z$4&lt;BD$4,0,
IF($AA43&gt;BD$5,0,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BD$5,$AA43 &lt; BD$4),0,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E43" s="18" cm="1">
        <f t="array" ref="BE43" xml:space="preserve">
IFERROR(
IF(BE$1="",0,
IF(AND(
$AA43&gt;=VLOOKUP(BE$6, Table_ChiPhiNV_Ca[], COUNTA(Table_ChiPhiNV_Ca[[#Headers],[Ca]:[Bắt đầu nghỉ]]),0),
$AA43&lt;VLOOKUP(BE$6, Table_ChiPhiNV_Ca[], COUNTA(Table_ChiPhiNV_Ca[[#Headers],[Ca]:[Kết thúc nghỉ]]),0)
),0,
IF(NOT(ISBLANK(BE$3)),
IF(ISBLANK(BE$7),0,
IF(BE$4 &lt; BE$5,
IF($AA43-$Z$4&lt;BE$4,0,
IF($AA43&gt;BE$5,0,
SUM(_xlfn._xlws.FILTER(Table_BangLuong_TyLeTangCa[Tỷ lệ],
(Table_BangLuong_TyLeTangCa[Ngày] = BE$3) *
(Table_BangLuong_TyLeTangCa[Giờ min]&lt;=$AA43) *
(Table_BangLuong_TyLeTangCa[Giờ max]&gt;$AA43)
)))),
IF(AND($AA43-$Z$4 &gt;= BE$5,$AA43 &lt; BE$4),0,
SUM(_xlfn._xlws.FILTER(Table_BangLuong_TyLeTangCa[Tỷ lệ],
(Table_BangLuong_TyLeTangCa[Ngày] = BE$3) *
(Table_BangLuong_TyLeTangCa[Giờ min]&lt;=$AA43) *
(Table_BangLuong_TyLeTangCa[Giờ max]&gt;$AA43)
))))
),
IF(ISBLANK(BE$7),
IF(VLOOKUP(BE$6, Table_ChiPhiNV_Ca[], COUNTA(Table_ChiPhiNV_Ca[[#Headers],[Ca]:[Kết thúc]]),0)&gt; VLOOKUP(BE$6, Table_ChiPhiNV_Ca[], COUNTA(Table_ChiPhiNV_Ca[[#Headers],[Ca]:[Bắt đầu]]),0),
IF($AA43-$Z$4&lt;MAX(BE$4,VLOOKUP(BE$6, Table_ChiPhiNV_Ca[], COUNTA(Table_ChiPhiNV_Ca[[#Headers],[Ca]:[Bắt đầu]]),0)),0,
IF($AA43&gt;MIN(BE$5,VLOOKUP(BE$6, Table_ChiPhiNV_Ca[], COUNTA(Table_ChiPhiNV_Ca[[#Headers],[Ca]:[Kết thúc]]),0)),0,
SUM(_xlfn._xlws.FILTER(Table_BangLuong_TyLeTangCa[Tỷ lệ],
(Table_BangLuong_TyLeTangCa[Ngày] = "Thường") *
(Table_BangLuong_TyLeTangCa[Giờ min]&lt;=$AA43) *
(Table_BangLuong_TyLeTangCa[Giờ max]&gt;$AA43)
)))),
IF(BE$4 &gt; BE$5,
IF(
AND(
$AA43-$Z$4&lt;MAX(BE$4,VLOOKUP(BE$6, Table_ChiPhiNV_Ca[], COUNTA(Table_ChiPhiNV_Ca[[#Headers],[Ca]:[Bắt đầu]]),0)),
$AA43&gt;MIN(BE$5,VLOOKUP(BE$6, Table_ChiPhiNV_Ca[], COUNTA(Table_ChiPhiNV_Ca[[#Headers],[Ca]:[Kết thúc]]),0))),0,
SUM(_xlfn._xlws.FILTER(Table_BangLuong_TyLeTangCa[Tỷ lệ],
(Table_BangLuong_TyLeTangCa[Ngày] = "Thường") *
(Table_BangLuong_TyLeTangCa[Giờ min]&lt;=$AA43) *
(Table_BangLuong_TyLeTangCa[Giờ max]&gt;$AA43)
))),
IF(
AND(
$AA43-$Z$4&gt;=MAX(BE$4,VLOOKUP(BE$6, Table_ChiPhiNV_Ca[], COUNTA(Table_ChiPhiNV_Ca[[#Headers],[Ca]:[Bắt đầu]]),0)),
$AA43&lt;MIN(BE$5,VLOOKUP(BE$6, Table_ChiPhiNV_Ca[], COUNTA(Table_ChiPhiNV_Ca[[#Headers],[Ca]:[Kết thúc]]),0))),
SUM(_xlfn._xlws.FILTER(Table_BangLuong_TyLeTangCa[Tỷ lệ],
(Table_BangLuong_TyLeTangCa[Ngày] = "Thường") *
(Table_BangLuong_TyLeTangCa[Giờ min]&lt;=$AA43) *
(Table_BangLuong_TyLeTangCa[Giờ max]&gt;$AA43)
)),0)
)),
IF(BE$4 &lt; BE$5,
IF($AA43-$Z$4&lt;BE$4,0,
IF($AA43&gt;BE$5,0,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BE$5,$AA43 &lt; BE$4),0,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F43" s="18" cm="1">
        <f t="array" ref="BF43" xml:space="preserve">
IFERROR(
IF(BF$1="",0,
IF(AND(
$AA43&gt;=VLOOKUP(BF$6, Table_ChiPhiNV_Ca[], COUNTA(Table_ChiPhiNV_Ca[[#Headers],[Ca]:[Bắt đầu nghỉ]]),0),
$AA43&lt;VLOOKUP(BF$6, Table_ChiPhiNV_Ca[], COUNTA(Table_ChiPhiNV_Ca[[#Headers],[Ca]:[Kết thúc nghỉ]]),0)
),0,
IF(NOT(ISBLANK(BF$3)),
IF(ISBLANK(BF$7),0,
IF(BF$4 &lt; BF$5,
IF($AA43-$Z$4&lt;BF$4,0,
IF($AA43&gt;BF$5,0,
SUM(_xlfn._xlws.FILTER(Table_BangLuong_TyLeTangCa[Tỷ lệ],
(Table_BangLuong_TyLeTangCa[Ngày] = BF$3) *
(Table_BangLuong_TyLeTangCa[Giờ min]&lt;=$AA43) *
(Table_BangLuong_TyLeTangCa[Giờ max]&gt;$AA43)
)))),
IF(AND($AA43-$Z$4 &gt;= BF$5,$AA43 &lt; BF$4),0,
SUM(_xlfn._xlws.FILTER(Table_BangLuong_TyLeTangCa[Tỷ lệ],
(Table_BangLuong_TyLeTangCa[Ngày] = BF$3) *
(Table_BangLuong_TyLeTangCa[Giờ min]&lt;=$AA43) *
(Table_BangLuong_TyLeTangCa[Giờ max]&gt;$AA43)
))))
),
IF(ISBLANK(BF$7),
IF(VLOOKUP(BF$6, Table_ChiPhiNV_Ca[], COUNTA(Table_ChiPhiNV_Ca[[#Headers],[Ca]:[Kết thúc]]),0)&gt; VLOOKUP(BF$6, Table_ChiPhiNV_Ca[], COUNTA(Table_ChiPhiNV_Ca[[#Headers],[Ca]:[Bắt đầu]]),0),
IF($AA43-$Z$4&lt;MAX(BF$4,VLOOKUP(BF$6, Table_ChiPhiNV_Ca[], COUNTA(Table_ChiPhiNV_Ca[[#Headers],[Ca]:[Bắt đầu]]),0)),0,
IF($AA43&gt;MIN(BF$5,VLOOKUP(BF$6, Table_ChiPhiNV_Ca[], COUNTA(Table_ChiPhiNV_Ca[[#Headers],[Ca]:[Kết thúc]]),0)),0,
SUM(_xlfn._xlws.FILTER(Table_BangLuong_TyLeTangCa[Tỷ lệ],
(Table_BangLuong_TyLeTangCa[Ngày] = "Thường") *
(Table_BangLuong_TyLeTangCa[Giờ min]&lt;=$AA43) *
(Table_BangLuong_TyLeTangCa[Giờ max]&gt;$AA43)
)))),
IF(BF$4 &gt; BF$5,
IF(
AND(
$AA43-$Z$4&lt;MAX(BF$4,VLOOKUP(BF$6, Table_ChiPhiNV_Ca[], COUNTA(Table_ChiPhiNV_Ca[[#Headers],[Ca]:[Bắt đầu]]),0)),
$AA43&gt;MIN(BF$5,VLOOKUP(BF$6, Table_ChiPhiNV_Ca[], COUNTA(Table_ChiPhiNV_Ca[[#Headers],[Ca]:[Kết thúc]]),0))),0,
SUM(_xlfn._xlws.FILTER(Table_BangLuong_TyLeTangCa[Tỷ lệ],
(Table_BangLuong_TyLeTangCa[Ngày] = "Thường") *
(Table_BangLuong_TyLeTangCa[Giờ min]&lt;=$AA43) *
(Table_BangLuong_TyLeTangCa[Giờ max]&gt;$AA43)
))),
IF(
AND(
$AA43-$Z$4&gt;=MAX(BF$4,VLOOKUP(BF$6, Table_ChiPhiNV_Ca[], COUNTA(Table_ChiPhiNV_Ca[[#Headers],[Ca]:[Bắt đầu]]),0)),
$AA43&lt;MIN(BF$5,VLOOKUP(BF$6, Table_ChiPhiNV_Ca[], COUNTA(Table_ChiPhiNV_Ca[[#Headers],[Ca]:[Kết thúc]]),0))),
SUM(_xlfn._xlws.FILTER(Table_BangLuong_TyLeTangCa[Tỷ lệ],
(Table_BangLuong_TyLeTangCa[Ngày] = "Thường") *
(Table_BangLuong_TyLeTangCa[Giờ min]&lt;=$AA43) *
(Table_BangLuong_TyLeTangCa[Giờ max]&gt;$AA43)
)),0)
)),
IF(BF$4 &lt; BF$5,
IF($AA43-$Z$4&lt;BF$4,0,
IF($AA43&gt;BF$5,0,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BF$5,$AA43 &lt; BF$4),0,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row>
    <row r="44" spans="2:58" ht="18" customHeight="1" outlineLevel="1" x14ac:dyDescent="0.3">
      <c r="AA44" s="50">
        <v>0.72916666666666696</v>
      </c>
      <c r="AB44" s="18" cm="1">
        <f t="array" ref="AB44" xml:space="preserve">
IFERROR(
IF(AB$1="",0,
IF(AND(
$AA44&gt;=VLOOKUP(AB$6, Table_ChiPhiNV_Ca[], COUNTA(Table_ChiPhiNV_Ca[[#Headers],[Ca]:[Bắt đầu nghỉ]]),0),
$AA44&lt;VLOOKUP(AB$6, Table_ChiPhiNV_Ca[], COUNTA(Table_ChiPhiNV_Ca[[#Headers],[Ca]:[Kết thúc nghỉ]]),0)
),0,
IF(NOT(ISBLANK(AB$3)),
IF(ISBLANK(AB$7),0,
IF(AB$4 &lt; AB$5,
IF($AA44-$Z$4&lt;AB$4,0,
IF($AA44&gt;AB$5,0,
SUM(_xlfn._xlws.FILTER(Table_BangLuong_TyLeTangCa[Tỷ lệ],
(Table_BangLuong_TyLeTangCa[Ngày] = AB$3) *
(Table_BangLuong_TyLeTangCa[Giờ min]&lt;=$AA44) *
(Table_BangLuong_TyLeTangCa[Giờ max]&gt;$AA44)
)))),
IF(AND($AA44-$Z$4 &gt;= AB$5,$AA44 &lt; AB$4),0,
SUM(_xlfn._xlws.FILTER(Table_BangLuong_TyLeTangCa[Tỷ lệ],
(Table_BangLuong_TyLeTangCa[Ngày] = AB$3) *
(Table_BangLuong_TyLeTangCa[Giờ min]&lt;=$AA44) *
(Table_BangLuong_TyLeTangCa[Giờ max]&gt;$AA44)
))))
),
IF(ISBLANK(AB$7),
IF(VLOOKUP(AB$6, Table_ChiPhiNV_Ca[], COUNTA(Table_ChiPhiNV_Ca[[#Headers],[Ca]:[Kết thúc]]),0)&gt; VLOOKUP(AB$6, Table_ChiPhiNV_Ca[], COUNTA(Table_ChiPhiNV_Ca[[#Headers],[Ca]:[Bắt đầu]]),0),
IF($AA44-$Z$4&lt;MAX(AB$4,VLOOKUP(AB$6, Table_ChiPhiNV_Ca[], COUNTA(Table_ChiPhiNV_Ca[[#Headers],[Ca]:[Bắt đầu]]),0)),0,
IF($AA44&gt;MIN(AB$5,VLOOKUP(AB$6, Table_ChiPhiNV_Ca[], COUNTA(Table_ChiPhiNV_Ca[[#Headers],[Ca]:[Kết thúc]]),0)),0,
SUM(_xlfn._xlws.FILTER(Table_BangLuong_TyLeTangCa[Tỷ lệ],
(Table_BangLuong_TyLeTangCa[Ngày] = "Thường") *
(Table_BangLuong_TyLeTangCa[Giờ min]&lt;=$AA44) *
(Table_BangLuong_TyLeTangCa[Giờ max]&gt;$AA44)
)))),
IF(AB$4 &gt; AB$5,
IF(
AND(
$AA44-$Z$4&lt;MAX(AB$4,VLOOKUP(AB$6, Table_ChiPhiNV_Ca[], COUNTA(Table_ChiPhiNV_Ca[[#Headers],[Ca]:[Bắt đầu]]),0)),
$AA44&gt;MIN(AB$5,VLOOKUP(AB$6, Table_ChiPhiNV_Ca[], COUNTA(Table_ChiPhiNV_Ca[[#Headers],[Ca]:[Kết thúc]]),0))),0,
SUM(_xlfn._xlws.FILTER(Table_BangLuong_TyLeTangCa[Tỷ lệ],
(Table_BangLuong_TyLeTangCa[Ngày] = "Thường") *
(Table_BangLuong_TyLeTangCa[Giờ min]&lt;=$AA44) *
(Table_BangLuong_TyLeTangCa[Giờ max]&gt;$AA44)
))),
IF(
AND(
$AA44-$Z$4&gt;=MAX(AB$4,VLOOKUP(AB$6, Table_ChiPhiNV_Ca[], COUNTA(Table_ChiPhiNV_Ca[[#Headers],[Ca]:[Bắt đầu]]),0)),
$AA44&lt;MIN(AB$5,VLOOKUP(AB$6, Table_ChiPhiNV_Ca[], COUNTA(Table_ChiPhiNV_Ca[[#Headers],[Ca]:[Kết thúc]]),0))),
SUM(_xlfn._xlws.FILTER(Table_BangLuong_TyLeTangCa[Tỷ lệ],
(Table_BangLuong_TyLeTangCa[Ngày] = "Thường") *
(Table_BangLuong_TyLeTangCa[Giờ min]&lt;=$AA44) *
(Table_BangLuong_TyLeTangCa[Giờ max]&gt;$AA44)
)),0)
)),
IF(AB$4 &lt; AB$5,
IF($AA44-$Z$4&lt;AB$4,0,
IF($AA44&gt;AB$5,0,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AB$5,$AA44 &lt; AB$4),0,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C44" s="18" cm="1">
        <f t="array" ref="AC44" xml:space="preserve">
IFERROR(
IF(AC$1="",0,
IF(AND(
$AA44&gt;=VLOOKUP(AC$6, Table_ChiPhiNV_Ca[], COUNTA(Table_ChiPhiNV_Ca[[#Headers],[Ca]:[Bắt đầu nghỉ]]),0),
$AA44&lt;VLOOKUP(AC$6, Table_ChiPhiNV_Ca[], COUNTA(Table_ChiPhiNV_Ca[[#Headers],[Ca]:[Kết thúc nghỉ]]),0)
),0,
IF(NOT(ISBLANK(AC$3)),
IF(ISBLANK(AC$7),0,
IF(AC$4 &lt; AC$5,
IF($AA44-$Z$4&lt;AC$4,0,
IF($AA44&gt;AC$5,0,
SUM(_xlfn._xlws.FILTER(Table_BangLuong_TyLeTangCa[Tỷ lệ],
(Table_BangLuong_TyLeTangCa[Ngày] = AC$3) *
(Table_BangLuong_TyLeTangCa[Giờ min]&lt;=$AA44) *
(Table_BangLuong_TyLeTangCa[Giờ max]&gt;$AA44)
)))),
IF(AND($AA44-$Z$4 &gt;= AC$5,$AA44 &lt; AC$4),0,
SUM(_xlfn._xlws.FILTER(Table_BangLuong_TyLeTangCa[Tỷ lệ],
(Table_BangLuong_TyLeTangCa[Ngày] = AC$3) *
(Table_BangLuong_TyLeTangCa[Giờ min]&lt;=$AA44) *
(Table_BangLuong_TyLeTangCa[Giờ max]&gt;$AA44)
))))
),
IF(ISBLANK(AC$7),
IF(VLOOKUP(AC$6, Table_ChiPhiNV_Ca[], COUNTA(Table_ChiPhiNV_Ca[[#Headers],[Ca]:[Kết thúc]]),0)&gt; VLOOKUP(AC$6, Table_ChiPhiNV_Ca[], COUNTA(Table_ChiPhiNV_Ca[[#Headers],[Ca]:[Bắt đầu]]),0),
IF($AA44-$Z$4&lt;MAX(AC$4,VLOOKUP(AC$6, Table_ChiPhiNV_Ca[], COUNTA(Table_ChiPhiNV_Ca[[#Headers],[Ca]:[Bắt đầu]]),0)),0,
IF($AA44&gt;MIN(AC$5,VLOOKUP(AC$6, Table_ChiPhiNV_Ca[], COUNTA(Table_ChiPhiNV_Ca[[#Headers],[Ca]:[Kết thúc]]),0)),0,
SUM(_xlfn._xlws.FILTER(Table_BangLuong_TyLeTangCa[Tỷ lệ],
(Table_BangLuong_TyLeTangCa[Ngày] = "Thường") *
(Table_BangLuong_TyLeTangCa[Giờ min]&lt;=$AA44) *
(Table_BangLuong_TyLeTangCa[Giờ max]&gt;$AA44)
)))),
IF(AC$4 &gt; AC$5,
IF(
AND(
$AA44-$Z$4&lt;MAX(AC$4,VLOOKUP(AC$6, Table_ChiPhiNV_Ca[], COUNTA(Table_ChiPhiNV_Ca[[#Headers],[Ca]:[Bắt đầu]]),0)),
$AA44&gt;MIN(AC$5,VLOOKUP(AC$6, Table_ChiPhiNV_Ca[], COUNTA(Table_ChiPhiNV_Ca[[#Headers],[Ca]:[Kết thúc]]),0))),0,
SUM(_xlfn._xlws.FILTER(Table_BangLuong_TyLeTangCa[Tỷ lệ],
(Table_BangLuong_TyLeTangCa[Ngày] = "Thường") *
(Table_BangLuong_TyLeTangCa[Giờ min]&lt;=$AA44) *
(Table_BangLuong_TyLeTangCa[Giờ max]&gt;$AA44)
))),
IF(
AND(
$AA44-$Z$4&gt;=MAX(AC$4,VLOOKUP(AC$6, Table_ChiPhiNV_Ca[], COUNTA(Table_ChiPhiNV_Ca[[#Headers],[Ca]:[Bắt đầu]]),0)),
$AA44&lt;MIN(AC$5,VLOOKUP(AC$6, Table_ChiPhiNV_Ca[], COUNTA(Table_ChiPhiNV_Ca[[#Headers],[Ca]:[Kết thúc]]),0))),
SUM(_xlfn._xlws.FILTER(Table_BangLuong_TyLeTangCa[Tỷ lệ],
(Table_BangLuong_TyLeTangCa[Ngày] = "Thường") *
(Table_BangLuong_TyLeTangCa[Giờ min]&lt;=$AA44) *
(Table_BangLuong_TyLeTangCa[Giờ max]&gt;$AA44)
)),0)
)),
IF(AC$4 &lt; AC$5,
IF($AA44-$Z$4&lt;AC$4,0,
IF($AA44&gt;AC$5,0,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AC$5,$AA44 &lt; AC$4),0,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1.5</v>
      </c>
      <c r="AD44" s="18" cm="1">
        <f t="array" ref="AD44" xml:space="preserve">
IFERROR(
IF(AD$1="",0,
IF(AND(
$AA44&gt;=VLOOKUP(AD$6, Table_ChiPhiNV_Ca[], COUNTA(Table_ChiPhiNV_Ca[[#Headers],[Ca]:[Bắt đầu nghỉ]]),0),
$AA44&lt;VLOOKUP(AD$6, Table_ChiPhiNV_Ca[], COUNTA(Table_ChiPhiNV_Ca[[#Headers],[Ca]:[Kết thúc nghỉ]]),0)
),0,
IF(NOT(ISBLANK(AD$3)),
IF(ISBLANK(AD$7),0,
IF(AD$4 &lt; AD$5,
IF($AA44-$Z$4&lt;AD$4,0,
IF($AA44&gt;AD$5,0,
SUM(_xlfn._xlws.FILTER(Table_BangLuong_TyLeTangCa[Tỷ lệ],
(Table_BangLuong_TyLeTangCa[Ngày] = AD$3) *
(Table_BangLuong_TyLeTangCa[Giờ min]&lt;=$AA44) *
(Table_BangLuong_TyLeTangCa[Giờ max]&gt;$AA44)
)))),
IF(AND($AA44-$Z$4 &gt;= AD$5,$AA44 &lt; AD$4),0,
SUM(_xlfn._xlws.FILTER(Table_BangLuong_TyLeTangCa[Tỷ lệ],
(Table_BangLuong_TyLeTangCa[Ngày] = AD$3) *
(Table_BangLuong_TyLeTangCa[Giờ min]&lt;=$AA44) *
(Table_BangLuong_TyLeTangCa[Giờ max]&gt;$AA44)
))))
),
IF(ISBLANK(AD$7),
IF(VLOOKUP(AD$6, Table_ChiPhiNV_Ca[], COUNTA(Table_ChiPhiNV_Ca[[#Headers],[Ca]:[Kết thúc]]),0)&gt; VLOOKUP(AD$6, Table_ChiPhiNV_Ca[], COUNTA(Table_ChiPhiNV_Ca[[#Headers],[Ca]:[Bắt đầu]]),0),
IF($AA44-$Z$4&lt;MAX(AD$4,VLOOKUP(AD$6, Table_ChiPhiNV_Ca[], COUNTA(Table_ChiPhiNV_Ca[[#Headers],[Ca]:[Bắt đầu]]),0)),0,
IF($AA44&gt;MIN(AD$5,VLOOKUP(AD$6, Table_ChiPhiNV_Ca[], COUNTA(Table_ChiPhiNV_Ca[[#Headers],[Ca]:[Kết thúc]]),0)),0,
SUM(_xlfn._xlws.FILTER(Table_BangLuong_TyLeTangCa[Tỷ lệ],
(Table_BangLuong_TyLeTangCa[Ngày] = "Thường") *
(Table_BangLuong_TyLeTangCa[Giờ min]&lt;=$AA44) *
(Table_BangLuong_TyLeTangCa[Giờ max]&gt;$AA44)
)))),
IF(AD$4 &gt; AD$5,
IF(
AND(
$AA44-$Z$4&lt;MAX(AD$4,VLOOKUP(AD$6, Table_ChiPhiNV_Ca[], COUNTA(Table_ChiPhiNV_Ca[[#Headers],[Ca]:[Bắt đầu]]),0)),
$AA44&gt;MIN(AD$5,VLOOKUP(AD$6, Table_ChiPhiNV_Ca[], COUNTA(Table_ChiPhiNV_Ca[[#Headers],[Ca]:[Kết thúc]]),0))),0,
SUM(_xlfn._xlws.FILTER(Table_BangLuong_TyLeTangCa[Tỷ lệ],
(Table_BangLuong_TyLeTangCa[Ngày] = "Thường") *
(Table_BangLuong_TyLeTangCa[Giờ min]&lt;=$AA44) *
(Table_BangLuong_TyLeTangCa[Giờ max]&gt;$AA44)
))),
IF(
AND(
$AA44-$Z$4&gt;=MAX(AD$4,VLOOKUP(AD$6, Table_ChiPhiNV_Ca[], COUNTA(Table_ChiPhiNV_Ca[[#Headers],[Ca]:[Bắt đầu]]),0)),
$AA44&lt;MIN(AD$5,VLOOKUP(AD$6, Table_ChiPhiNV_Ca[], COUNTA(Table_ChiPhiNV_Ca[[#Headers],[Ca]:[Kết thúc]]),0))),
SUM(_xlfn._xlws.FILTER(Table_BangLuong_TyLeTangCa[Tỷ lệ],
(Table_BangLuong_TyLeTangCa[Ngày] = "Thường") *
(Table_BangLuong_TyLeTangCa[Giờ min]&lt;=$AA44) *
(Table_BangLuong_TyLeTangCa[Giờ max]&gt;$AA44)
)),0)
)),
IF(AD$4 &lt; AD$5,
IF($AA44-$Z$4&lt;AD$4,0,
IF($AA44&gt;AD$5,0,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AD$5,$AA44 &lt; AD$4),0,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E44" s="18" cm="1">
        <f t="array" ref="AE44" xml:space="preserve">
IFERROR(
IF(AE$1="",0,
IF(AND(
$AA44&gt;=VLOOKUP(AE$6, Table_ChiPhiNV_Ca[], COUNTA(Table_ChiPhiNV_Ca[[#Headers],[Ca]:[Bắt đầu nghỉ]]),0),
$AA44&lt;VLOOKUP(AE$6, Table_ChiPhiNV_Ca[], COUNTA(Table_ChiPhiNV_Ca[[#Headers],[Ca]:[Kết thúc nghỉ]]),0)
),0,
IF(NOT(ISBLANK(AE$3)),
IF(ISBLANK(AE$7),0,
IF(AE$4 &lt; AE$5,
IF($AA44-$Z$4&lt;AE$4,0,
IF($AA44&gt;AE$5,0,
SUM(_xlfn._xlws.FILTER(Table_BangLuong_TyLeTangCa[Tỷ lệ],
(Table_BangLuong_TyLeTangCa[Ngày] = AE$3) *
(Table_BangLuong_TyLeTangCa[Giờ min]&lt;=$AA44) *
(Table_BangLuong_TyLeTangCa[Giờ max]&gt;$AA44)
)))),
IF(AND($AA44-$Z$4 &gt;= AE$5,$AA44 &lt; AE$4),0,
SUM(_xlfn._xlws.FILTER(Table_BangLuong_TyLeTangCa[Tỷ lệ],
(Table_BangLuong_TyLeTangCa[Ngày] = AE$3) *
(Table_BangLuong_TyLeTangCa[Giờ min]&lt;=$AA44) *
(Table_BangLuong_TyLeTangCa[Giờ max]&gt;$AA44)
))))
),
IF(ISBLANK(AE$7),
IF(VLOOKUP(AE$6, Table_ChiPhiNV_Ca[], COUNTA(Table_ChiPhiNV_Ca[[#Headers],[Ca]:[Kết thúc]]),0)&gt; VLOOKUP(AE$6, Table_ChiPhiNV_Ca[], COUNTA(Table_ChiPhiNV_Ca[[#Headers],[Ca]:[Bắt đầu]]),0),
IF($AA44-$Z$4&lt;MAX(AE$4,VLOOKUP(AE$6, Table_ChiPhiNV_Ca[], COUNTA(Table_ChiPhiNV_Ca[[#Headers],[Ca]:[Bắt đầu]]),0)),0,
IF($AA44&gt;MIN(AE$5,VLOOKUP(AE$6, Table_ChiPhiNV_Ca[], COUNTA(Table_ChiPhiNV_Ca[[#Headers],[Ca]:[Kết thúc]]),0)),0,
SUM(_xlfn._xlws.FILTER(Table_BangLuong_TyLeTangCa[Tỷ lệ],
(Table_BangLuong_TyLeTangCa[Ngày] = "Thường") *
(Table_BangLuong_TyLeTangCa[Giờ min]&lt;=$AA44) *
(Table_BangLuong_TyLeTangCa[Giờ max]&gt;$AA44)
)))),
IF(AE$4 &gt; AE$5,
IF(
AND(
$AA44-$Z$4&lt;MAX(AE$4,VLOOKUP(AE$6, Table_ChiPhiNV_Ca[], COUNTA(Table_ChiPhiNV_Ca[[#Headers],[Ca]:[Bắt đầu]]),0)),
$AA44&gt;MIN(AE$5,VLOOKUP(AE$6, Table_ChiPhiNV_Ca[], COUNTA(Table_ChiPhiNV_Ca[[#Headers],[Ca]:[Kết thúc]]),0))),0,
SUM(_xlfn._xlws.FILTER(Table_BangLuong_TyLeTangCa[Tỷ lệ],
(Table_BangLuong_TyLeTangCa[Ngày] = "Thường") *
(Table_BangLuong_TyLeTangCa[Giờ min]&lt;=$AA44) *
(Table_BangLuong_TyLeTangCa[Giờ max]&gt;$AA44)
))),
IF(
AND(
$AA44-$Z$4&gt;=MAX(AE$4,VLOOKUP(AE$6, Table_ChiPhiNV_Ca[], COUNTA(Table_ChiPhiNV_Ca[[#Headers],[Ca]:[Bắt đầu]]),0)),
$AA44&lt;MIN(AE$5,VLOOKUP(AE$6, Table_ChiPhiNV_Ca[], COUNTA(Table_ChiPhiNV_Ca[[#Headers],[Ca]:[Kết thúc]]),0))),
SUM(_xlfn._xlws.FILTER(Table_BangLuong_TyLeTangCa[Tỷ lệ],
(Table_BangLuong_TyLeTangCa[Ngày] = "Thường") *
(Table_BangLuong_TyLeTangCa[Giờ min]&lt;=$AA44) *
(Table_BangLuong_TyLeTangCa[Giờ max]&gt;$AA44)
)),0)
)),
IF(AE$4 &lt; AE$5,
IF($AA44-$Z$4&lt;AE$4,0,
IF($AA44&gt;AE$5,0,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AE$5,$AA44 &lt; AE$4),0,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F44" s="18" cm="1">
        <f t="array" ref="AF44" xml:space="preserve">
IFERROR(
IF(AF$1="",0,
IF(AND(
$AA44&gt;=VLOOKUP(AF$6, Table_ChiPhiNV_Ca[], COUNTA(Table_ChiPhiNV_Ca[[#Headers],[Ca]:[Bắt đầu nghỉ]]),0),
$AA44&lt;VLOOKUP(AF$6, Table_ChiPhiNV_Ca[], COUNTA(Table_ChiPhiNV_Ca[[#Headers],[Ca]:[Kết thúc nghỉ]]),0)
),0,
IF(NOT(ISBLANK(AF$3)),
IF(ISBLANK(AF$7),0,
IF(AF$4 &lt; AF$5,
IF($AA44-$Z$4&lt;AF$4,0,
IF($AA44&gt;AF$5,0,
SUM(_xlfn._xlws.FILTER(Table_BangLuong_TyLeTangCa[Tỷ lệ],
(Table_BangLuong_TyLeTangCa[Ngày] = AF$3) *
(Table_BangLuong_TyLeTangCa[Giờ min]&lt;=$AA44) *
(Table_BangLuong_TyLeTangCa[Giờ max]&gt;$AA44)
)))),
IF(AND($AA44-$Z$4 &gt;= AF$5,$AA44 &lt; AF$4),0,
SUM(_xlfn._xlws.FILTER(Table_BangLuong_TyLeTangCa[Tỷ lệ],
(Table_BangLuong_TyLeTangCa[Ngày] = AF$3) *
(Table_BangLuong_TyLeTangCa[Giờ min]&lt;=$AA44) *
(Table_BangLuong_TyLeTangCa[Giờ max]&gt;$AA44)
))))
),
IF(ISBLANK(AF$7),
IF(VLOOKUP(AF$6, Table_ChiPhiNV_Ca[], COUNTA(Table_ChiPhiNV_Ca[[#Headers],[Ca]:[Kết thúc]]),0)&gt; VLOOKUP(AF$6, Table_ChiPhiNV_Ca[], COUNTA(Table_ChiPhiNV_Ca[[#Headers],[Ca]:[Bắt đầu]]),0),
IF($AA44-$Z$4&lt;MAX(AF$4,VLOOKUP(AF$6, Table_ChiPhiNV_Ca[], COUNTA(Table_ChiPhiNV_Ca[[#Headers],[Ca]:[Bắt đầu]]),0)),0,
IF($AA44&gt;MIN(AF$5,VLOOKUP(AF$6, Table_ChiPhiNV_Ca[], COUNTA(Table_ChiPhiNV_Ca[[#Headers],[Ca]:[Kết thúc]]),0)),0,
SUM(_xlfn._xlws.FILTER(Table_BangLuong_TyLeTangCa[Tỷ lệ],
(Table_BangLuong_TyLeTangCa[Ngày] = "Thường") *
(Table_BangLuong_TyLeTangCa[Giờ min]&lt;=$AA44) *
(Table_BangLuong_TyLeTangCa[Giờ max]&gt;$AA44)
)))),
IF(AF$4 &gt; AF$5,
IF(
AND(
$AA44-$Z$4&lt;MAX(AF$4,VLOOKUP(AF$6, Table_ChiPhiNV_Ca[], COUNTA(Table_ChiPhiNV_Ca[[#Headers],[Ca]:[Bắt đầu]]),0)),
$AA44&gt;MIN(AF$5,VLOOKUP(AF$6, Table_ChiPhiNV_Ca[], COUNTA(Table_ChiPhiNV_Ca[[#Headers],[Ca]:[Kết thúc]]),0))),0,
SUM(_xlfn._xlws.FILTER(Table_BangLuong_TyLeTangCa[Tỷ lệ],
(Table_BangLuong_TyLeTangCa[Ngày] = "Thường") *
(Table_BangLuong_TyLeTangCa[Giờ min]&lt;=$AA44) *
(Table_BangLuong_TyLeTangCa[Giờ max]&gt;$AA44)
))),
IF(
AND(
$AA44-$Z$4&gt;=MAX(AF$4,VLOOKUP(AF$6, Table_ChiPhiNV_Ca[], COUNTA(Table_ChiPhiNV_Ca[[#Headers],[Ca]:[Bắt đầu]]),0)),
$AA44&lt;MIN(AF$5,VLOOKUP(AF$6, Table_ChiPhiNV_Ca[], COUNTA(Table_ChiPhiNV_Ca[[#Headers],[Ca]:[Kết thúc]]),0))),
SUM(_xlfn._xlws.FILTER(Table_BangLuong_TyLeTangCa[Tỷ lệ],
(Table_BangLuong_TyLeTangCa[Ngày] = "Thường") *
(Table_BangLuong_TyLeTangCa[Giờ min]&lt;=$AA44) *
(Table_BangLuong_TyLeTangCa[Giờ max]&gt;$AA44)
)),0)
)),
IF(AF$4 &lt; AF$5,
IF($AA44-$Z$4&lt;AF$4,0,
IF($AA44&gt;AF$5,0,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AF$5,$AA44 &lt; AF$4),0,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G44" s="18" cm="1">
        <f t="array" ref="AG44" xml:space="preserve">
IFERROR(
IF(AG$1="",0,
IF(AND(
$AA44&gt;=VLOOKUP(AG$6, Table_ChiPhiNV_Ca[], COUNTA(Table_ChiPhiNV_Ca[[#Headers],[Ca]:[Bắt đầu nghỉ]]),0),
$AA44&lt;VLOOKUP(AG$6, Table_ChiPhiNV_Ca[], COUNTA(Table_ChiPhiNV_Ca[[#Headers],[Ca]:[Kết thúc nghỉ]]),0)
),0,
IF(NOT(ISBLANK(AG$3)),
IF(ISBLANK(AG$7),0,
IF(AG$4 &lt; AG$5,
IF($AA44-$Z$4&lt;AG$4,0,
IF($AA44&gt;AG$5,0,
SUM(_xlfn._xlws.FILTER(Table_BangLuong_TyLeTangCa[Tỷ lệ],
(Table_BangLuong_TyLeTangCa[Ngày] = AG$3) *
(Table_BangLuong_TyLeTangCa[Giờ min]&lt;=$AA44) *
(Table_BangLuong_TyLeTangCa[Giờ max]&gt;$AA44)
)))),
IF(AND($AA44-$Z$4 &gt;= AG$5,$AA44 &lt; AG$4),0,
SUM(_xlfn._xlws.FILTER(Table_BangLuong_TyLeTangCa[Tỷ lệ],
(Table_BangLuong_TyLeTangCa[Ngày] = AG$3) *
(Table_BangLuong_TyLeTangCa[Giờ min]&lt;=$AA44) *
(Table_BangLuong_TyLeTangCa[Giờ max]&gt;$AA44)
))))
),
IF(ISBLANK(AG$7),
IF(VLOOKUP(AG$6, Table_ChiPhiNV_Ca[], COUNTA(Table_ChiPhiNV_Ca[[#Headers],[Ca]:[Kết thúc]]),0)&gt; VLOOKUP(AG$6, Table_ChiPhiNV_Ca[], COUNTA(Table_ChiPhiNV_Ca[[#Headers],[Ca]:[Bắt đầu]]),0),
IF($AA44-$Z$4&lt;MAX(AG$4,VLOOKUP(AG$6, Table_ChiPhiNV_Ca[], COUNTA(Table_ChiPhiNV_Ca[[#Headers],[Ca]:[Bắt đầu]]),0)),0,
IF($AA44&gt;MIN(AG$5,VLOOKUP(AG$6, Table_ChiPhiNV_Ca[], COUNTA(Table_ChiPhiNV_Ca[[#Headers],[Ca]:[Kết thúc]]),0)),0,
SUM(_xlfn._xlws.FILTER(Table_BangLuong_TyLeTangCa[Tỷ lệ],
(Table_BangLuong_TyLeTangCa[Ngày] = "Thường") *
(Table_BangLuong_TyLeTangCa[Giờ min]&lt;=$AA44) *
(Table_BangLuong_TyLeTangCa[Giờ max]&gt;$AA44)
)))),
IF(AG$4 &gt; AG$5,
IF(
AND(
$AA44-$Z$4&lt;MAX(AG$4,VLOOKUP(AG$6, Table_ChiPhiNV_Ca[], COUNTA(Table_ChiPhiNV_Ca[[#Headers],[Ca]:[Bắt đầu]]),0)),
$AA44&gt;MIN(AG$5,VLOOKUP(AG$6, Table_ChiPhiNV_Ca[], COUNTA(Table_ChiPhiNV_Ca[[#Headers],[Ca]:[Kết thúc]]),0))),0,
SUM(_xlfn._xlws.FILTER(Table_BangLuong_TyLeTangCa[Tỷ lệ],
(Table_BangLuong_TyLeTangCa[Ngày] = "Thường") *
(Table_BangLuong_TyLeTangCa[Giờ min]&lt;=$AA44) *
(Table_BangLuong_TyLeTangCa[Giờ max]&gt;$AA44)
))),
IF(
AND(
$AA44-$Z$4&gt;=MAX(AG$4,VLOOKUP(AG$6, Table_ChiPhiNV_Ca[], COUNTA(Table_ChiPhiNV_Ca[[#Headers],[Ca]:[Bắt đầu]]),0)),
$AA44&lt;MIN(AG$5,VLOOKUP(AG$6, Table_ChiPhiNV_Ca[], COUNTA(Table_ChiPhiNV_Ca[[#Headers],[Ca]:[Kết thúc]]),0))),
SUM(_xlfn._xlws.FILTER(Table_BangLuong_TyLeTangCa[Tỷ lệ],
(Table_BangLuong_TyLeTangCa[Ngày] = "Thường") *
(Table_BangLuong_TyLeTangCa[Giờ min]&lt;=$AA44) *
(Table_BangLuong_TyLeTangCa[Giờ max]&gt;$AA44)
)),0)
)),
IF(AG$4 &lt; AG$5,
IF($AA44-$Z$4&lt;AG$4,0,
IF($AA44&gt;AG$5,0,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AG$5,$AA44 &lt; AG$4),0,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H44" s="18" cm="1">
        <f t="array" ref="AH44" xml:space="preserve">
IFERROR(
IF(AH$1="",0,
IF(AND(
$AA44&gt;=VLOOKUP(AH$6, Table_ChiPhiNV_Ca[], COUNTA(Table_ChiPhiNV_Ca[[#Headers],[Ca]:[Bắt đầu nghỉ]]),0),
$AA44&lt;VLOOKUP(AH$6, Table_ChiPhiNV_Ca[], COUNTA(Table_ChiPhiNV_Ca[[#Headers],[Ca]:[Kết thúc nghỉ]]),0)
),0,
IF(NOT(ISBLANK(AH$3)),
IF(ISBLANK(AH$7),0,
IF(AH$4 &lt; AH$5,
IF($AA44-$Z$4&lt;AH$4,0,
IF($AA44&gt;AH$5,0,
SUM(_xlfn._xlws.FILTER(Table_BangLuong_TyLeTangCa[Tỷ lệ],
(Table_BangLuong_TyLeTangCa[Ngày] = AH$3) *
(Table_BangLuong_TyLeTangCa[Giờ min]&lt;=$AA44) *
(Table_BangLuong_TyLeTangCa[Giờ max]&gt;$AA44)
)))),
IF(AND($AA44-$Z$4 &gt;= AH$5,$AA44 &lt; AH$4),0,
SUM(_xlfn._xlws.FILTER(Table_BangLuong_TyLeTangCa[Tỷ lệ],
(Table_BangLuong_TyLeTangCa[Ngày] = AH$3) *
(Table_BangLuong_TyLeTangCa[Giờ min]&lt;=$AA44) *
(Table_BangLuong_TyLeTangCa[Giờ max]&gt;$AA44)
))))
),
IF(ISBLANK(AH$7),
IF(VLOOKUP(AH$6, Table_ChiPhiNV_Ca[], COUNTA(Table_ChiPhiNV_Ca[[#Headers],[Ca]:[Kết thúc]]),0)&gt; VLOOKUP(AH$6, Table_ChiPhiNV_Ca[], COUNTA(Table_ChiPhiNV_Ca[[#Headers],[Ca]:[Bắt đầu]]),0),
IF($AA44-$Z$4&lt;MAX(AH$4,VLOOKUP(AH$6, Table_ChiPhiNV_Ca[], COUNTA(Table_ChiPhiNV_Ca[[#Headers],[Ca]:[Bắt đầu]]),0)),0,
IF($AA44&gt;MIN(AH$5,VLOOKUP(AH$6, Table_ChiPhiNV_Ca[], COUNTA(Table_ChiPhiNV_Ca[[#Headers],[Ca]:[Kết thúc]]),0)),0,
SUM(_xlfn._xlws.FILTER(Table_BangLuong_TyLeTangCa[Tỷ lệ],
(Table_BangLuong_TyLeTangCa[Ngày] = "Thường") *
(Table_BangLuong_TyLeTangCa[Giờ min]&lt;=$AA44) *
(Table_BangLuong_TyLeTangCa[Giờ max]&gt;$AA44)
)))),
IF(AH$4 &gt; AH$5,
IF(
AND(
$AA44-$Z$4&lt;MAX(AH$4,VLOOKUP(AH$6, Table_ChiPhiNV_Ca[], COUNTA(Table_ChiPhiNV_Ca[[#Headers],[Ca]:[Bắt đầu]]),0)),
$AA44&gt;MIN(AH$5,VLOOKUP(AH$6, Table_ChiPhiNV_Ca[], COUNTA(Table_ChiPhiNV_Ca[[#Headers],[Ca]:[Kết thúc]]),0))),0,
SUM(_xlfn._xlws.FILTER(Table_BangLuong_TyLeTangCa[Tỷ lệ],
(Table_BangLuong_TyLeTangCa[Ngày] = "Thường") *
(Table_BangLuong_TyLeTangCa[Giờ min]&lt;=$AA44) *
(Table_BangLuong_TyLeTangCa[Giờ max]&gt;$AA44)
))),
IF(
AND(
$AA44-$Z$4&gt;=MAX(AH$4,VLOOKUP(AH$6, Table_ChiPhiNV_Ca[], COUNTA(Table_ChiPhiNV_Ca[[#Headers],[Ca]:[Bắt đầu]]),0)),
$AA44&lt;MIN(AH$5,VLOOKUP(AH$6, Table_ChiPhiNV_Ca[], COUNTA(Table_ChiPhiNV_Ca[[#Headers],[Ca]:[Kết thúc]]),0))),
SUM(_xlfn._xlws.FILTER(Table_BangLuong_TyLeTangCa[Tỷ lệ],
(Table_BangLuong_TyLeTangCa[Ngày] = "Thường") *
(Table_BangLuong_TyLeTangCa[Giờ min]&lt;=$AA44) *
(Table_BangLuong_TyLeTangCa[Giờ max]&gt;$AA44)
)),0)
)),
IF(AH$4 &lt; AH$5,
IF($AA44-$Z$4&lt;AH$4,0,
IF($AA44&gt;AH$5,0,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AH$5,$AA44 &lt; AH$4),0,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I44" s="18" cm="1">
        <f t="array" ref="AI44" xml:space="preserve">
IFERROR(
IF(AI$1="",0,
IF(AND(
$AA44&gt;=VLOOKUP(AI$6, Table_ChiPhiNV_Ca[], COUNTA(Table_ChiPhiNV_Ca[[#Headers],[Ca]:[Bắt đầu nghỉ]]),0),
$AA44&lt;VLOOKUP(AI$6, Table_ChiPhiNV_Ca[], COUNTA(Table_ChiPhiNV_Ca[[#Headers],[Ca]:[Kết thúc nghỉ]]),0)
),0,
IF(NOT(ISBLANK(AI$3)),
IF(ISBLANK(AI$7),0,
IF(AI$4 &lt; AI$5,
IF($AA44-$Z$4&lt;AI$4,0,
IF($AA44&gt;AI$5,0,
SUM(_xlfn._xlws.FILTER(Table_BangLuong_TyLeTangCa[Tỷ lệ],
(Table_BangLuong_TyLeTangCa[Ngày] = AI$3) *
(Table_BangLuong_TyLeTangCa[Giờ min]&lt;=$AA44) *
(Table_BangLuong_TyLeTangCa[Giờ max]&gt;$AA44)
)))),
IF(AND($AA44-$Z$4 &gt;= AI$5,$AA44 &lt; AI$4),0,
SUM(_xlfn._xlws.FILTER(Table_BangLuong_TyLeTangCa[Tỷ lệ],
(Table_BangLuong_TyLeTangCa[Ngày] = AI$3) *
(Table_BangLuong_TyLeTangCa[Giờ min]&lt;=$AA44) *
(Table_BangLuong_TyLeTangCa[Giờ max]&gt;$AA44)
))))
),
IF(ISBLANK(AI$7),
IF(VLOOKUP(AI$6, Table_ChiPhiNV_Ca[], COUNTA(Table_ChiPhiNV_Ca[[#Headers],[Ca]:[Kết thúc]]),0)&gt; VLOOKUP(AI$6, Table_ChiPhiNV_Ca[], COUNTA(Table_ChiPhiNV_Ca[[#Headers],[Ca]:[Bắt đầu]]),0),
IF($AA44-$Z$4&lt;MAX(AI$4,VLOOKUP(AI$6, Table_ChiPhiNV_Ca[], COUNTA(Table_ChiPhiNV_Ca[[#Headers],[Ca]:[Bắt đầu]]),0)),0,
IF($AA44&gt;MIN(AI$5,VLOOKUP(AI$6, Table_ChiPhiNV_Ca[], COUNTA(Table_ChiPhiNV_Ca[[#Headers],[Ca]:[Kết thúc]]),0)),0,
SUM(_xlfn._xlws.FILTER(Table_BangLuong_TyLeTangCa[Tỷ lệ],
(Table_BangLuong_TyLeTangCa[Ngày] = "Thường") *
(Table_BangLuong_TyLeTangCa[Giờ min]&lt;=$AA44) *
(Table_BangLuong_TyLeTangCa[Giờ max]&gt;$AA44)
)))),
IF(AI$4 &gt; AI$5,
IF(
AND(
$AA44-$Z$4&lt;MAX(AI$4,VLOOKUP(AI$6, Table_ChiPhiNV_Ca[], COUNTA(Table_ChiPhiNV_Ca[[#Headers],[Ca]:[Bắt đầu]]),0)),
$AA44&gt;MIN(AI$5,VLOOKUP(AI$6, Table_ChiPhiNV_Ca[], COUNTA(Table_ChiPhiNV_Ca[[#Headers],[Ca]:[Kết thúc]]),0))),0,
SUM(_xlfn._xlws.FILTER(Table_BangLuong_TyLeTangCa[Tỷ lệ],
(Table_BangLuong_TyLeTangCa[Ngày] = "Thường") *
(Table_BangLuong_TyLeTangCa[Giờ min]&lt;=$AA44) *
(Table_BangLuong_TyLeTangCa[Giờ max]&gt;$AA44)
))),
IF(
AND(
$AA44-$Z$4&gt;=MAX(AI$4,VLOOKUP(AI$6, Table_ChiPhiNV_Ca[], COUNTA(Table_ChiPhiNV_Ca[[#Headers],[Ca]:[Bắt đầu]]),0)),
$AA44&lt;MIN(AI$5,VLOOKUP(AI$6, Table_ChiPhiNV_Ca[], COUNTA(Table_ChiPhiNV_Ca[[#Headers],[Ca]:[Kết thúc]]),0))),
SUM(_xlfn._xlws.FILTER(Table_BangLuong_TyLeTangCa[Tỷ lệ],
(Table_BangLuong_TyLeTangCa[Ngày] = "Thường") *
(Table_BangLuong_TyLeTangCa[Giờ min]&lt;=$AA44) *
(Table_BangLuong_TyLeTangCa[Giờ max]&gt;$AA44)
)),0)
)),
IF(AI$4 &lt; AI$5,
IF($AA44-$Z$4&lt;AI$4,0,
IF($AA44&gt;AI$5,0,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AI$5,$AA44 &lt; AI$4),0,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J44" s="18" cm="1">
        <f t="array" ref="AJ44" xml:space="preserve">
IFERROR(
IF(AJ$1="",0,
IF(AND(
$AA44&gt;=VLOOKUP(AJ$6, Table_ChiPhiNV_Ca[], COUNTA(Table_ChiPhiNV_Ca[[#Headers],[Ca]:[Bắt đầu nghỉ]]),0),
$AA44&lt;VLOOKUP(AJ$6, Table_ChiPhiNV_Ca[], COUNTA(Table_ChiPhiNV_Ca[[#Headers],[Ca]:[Kết thúc nghỉ]]),0)
),0,
IF(NOT(ISBLANK(AJ$3)),
IF(ISBLANK(AJ$7),0,
IF(AJ$4 &lt; AJ$5,
IF($AA44-$Z$4&lt;AJ$4,0,
IF($AA44&gt;AJ$5,0,
SUM(_xlfn._xlws.FILTER(Table_BangLuong_TyLeTangCa[Tỷ lệ],
(Table_BangLuong_TyLeTangCa[Ngày] = AJ$3) *
(Table_BangLuong_TyLeTangCa[Giờ min]&lt;=$AA44) *
(Table_BangLuong_TyLeTangCa[Giờ max]&gt;$AA44)
)))),
IF(AND($AA44-$Z$4 &gt;= AJ$5,$AA44 &lt; AJ$4),0,
SUM(_xlfn._xlws.FILTER(Table_BangLuong_TyLeTangCa[Tỷ lệ],
(Table_BangLuong_TyLeTangCa[Ngày] = AJ$3) *
(Table_BangLuong_TyLeTangCa[Giờ min]&lt;=$AA44) *
(Table_BangLuong_TyLeTangCa[Giờ max]&gt;$AA44)
))))
),
IF(ISBLANK(AJ$7),
IF(VLOOKUP(AJ$6, Table_ChiPhiNV_Ca[], COUNTA(Table_ChiPhiNV_Ca[[#Headers],[Ca]:[Kết thúc]]),0)&gt; VLOOKUP(AJ$6, Table_ChiPhiNV_Ca[], COUNTA(Table_ChiPhiNV_Ca[[#Headers],[Ca]:[Bắt đầu]]),0),
IF($AA44-$Z$4&lt;MAX(AJ$4,VLOOKUP(AJ$6, Table_ChiPhiNV_Ca[], COUNTA(Table_ChiPhiNV_Ca[[#Headers],[Ca]:[Bắt đầu]]),0)),0,
IF($AA44&gt;MIN(AJ$5,VLOOKUP(AJ$6, Table_ChiPhiNV_Ca[], COUNTA(Table_ChiPhiNV_Ca[[#Headers],[Ca]:[Kết thúc]]),0)),0,
SUM(_xlfn._xlws.FILTER(Table_BangLuong_TyLeTangCa[Tỷ lệ],
(Table_BangLuong_TyLeTangCa[Ngày] = "Thường") *
(Table_BangLuong_TyLeTangCa[Giờ min]&lt;=$AA44) *
(Table_BangLuong_TyLeTangCa[Giờ max]&gt;$AA44)
)))),
IF(AJ$4 &gt; AJ$5,
IF(
AND(
$AA44-$Z$4&lt;MAX(AJ$4,VLOOKUP(AJ$6, Table_ChiPhiNV_Ca[], COUNTA(Table_ChiPhiNV_Ca[[#Headers],[Ca]:[Bắt đầu]]),0)),
$AA44&gt;MIN(AJ$5,VLOOKUP(AJ$6, Table_ChiPhiNV_Ca[], COUNTA(Table_ChiPhiNV_Ca[[#Headers],[Ca]:[Kết thúc]]),0))),0,
SUM(_xlfn._xlws.FILTER(Table_BangLuong_TyLeTangCa[Tỷ lệ],
(Table_BangLuong_TyLeTangCa[Ngày] = "Thường") *
(Table_BangLuong_TyLeTangCa[Giờ min]&lt;=$AA44) *
(Table_BangLuong_TyLeTangCa[Giờ max]&gt;$AA44)
))),
IF(
AND(
$AA44-$Z$4&gt;=MAX(AJ$4,VLOOKUP(AJ$6, Table_ChiPhiNV_Ca[], COUNTA(Table_ChiPhiNV_Ca[[#Headers],[Ca]:[Bắt đầu]]),0)),
$AA44&lt;MIN(AJ$5,VLOOKUP(AJ$6, Table_ChiPhiNV_Ca[], COUNTA(Table_ChiPhiNV_Ca[[#Headers],[Ca]:[Kết thúc]]),0))),
SUM(_xlfn._xlws.FILTER(Table_BangLuong_TyLeTangCa[Tỷ lệ],
(Table_BangLuong_TyLeTangCa[Ngày] = "Thường") *
(Table_BangLuong_TyLeTangCa[Giờ min]&lt;=$AA44) *
(Table_BangLuong_TyLeTangCa[Giờ max]&gt;$AA44)
)),0)
)),
IF(AJ$4 &lt; AJ$5,
IF($AA44-$Z$4&lt;AJ$4,0,
IF($AA44&gt;AJ$5,0,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AJ$5,$AA44 &lt; AJ$4),0,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K44" s="18" cm="1">
        <f t="array" ref="AK44" xml:space="preserve">
IFERROR(
IF(AK$1="",0,
IF(AND(
$AA44&gt;=VLOOKUP(AK$6, Table_ChiPhiNV_Ca[], COUNTA(Table_ChiPhiNV_Ca[[#Headers],[Ca]:[Bắt đầu nghỉ]]),0),
$AA44&lt;VLOOKUP(AK$6, Table_ChiPhiNV_Ca[], COUNTA(Table_ChiPhiNV_Ca[[#Headers],[Ca]:[Kết thúc nghỉ]]),0)
),0,
IF(NOT(ISBLANK(AK$3)),
IF(ISBLANK(AK$7),0,
IF(AK$4 &lt; AK$5,
IF($AA44-$Z$4&lt;AK$4,0,
IF($AA44&gt;AK$5,0,
SUM(_xlfn._xlws.FILTER(Table_BangLuong_TyLeTangCa[Tỷ lệ],
(Table_BangLuong_TyLeTangCa[Ngày] = AK$3) *
(Table_BangLuong_TyLeTangCa[Giờ min]&lt;=$AA44) *
(Table_BangLuong_TyLeTangCa[Giờ max]&gt;$AA44)
)))),
IF(AND($AA44-$Z$4 &gt;= AK$5,$AA44 &lt; AK$4),0,
SUM(_xlfn._xlws.FILTER(Table_BangLuong_TyLeTangCa[Tỷ lệ],
(Table_BangLuong_TyLeTangCa[Ngày] = AK$3) *
(Table_BangLuong_TyLeTangCa[Giờ min]&lt;=$AA44) *
(Table_BangLuong_TyLeTangCa[Giờ max]&gt;$AA44)
))))
),
IF(ISBLANK(AK$7),
IF(VLOOKUP(AK$6, Table_ChiPhiNV_Ca[], COUNTA(Table_ChiPhiNV_Ca[[#Headers],[Ca]:[Kết thúc]]),0)&gt; VLOOKUP(AK$6, Table_ChiPhiNV_Ca[], COUNTA(Table_ChiPhiNV_Ca[[#Headers],[Ca]:[Bắt đầu]]),0),
IF($AA44-$Z$4&lt;MAX(AK$4,VLOOKUP(AK$6, Table_ChiPhiNV_Ca[], COUNTA(Table_ChiPhiNV_Ca[[#Headers],[Ca]:[Bắt đầu]]),0)),0,
IF($AA44&gt;MIN(AK$5,VLOOKUP(AK$6, Table_ChiPhiNV_Ca[], COUNTA(Table_ChiPhiNV_Ca[[#Headers],[Ca]:[Kết thúc]]),0)),0,
SUM(_xlfn._xlws.FILTER(Table_BangLuong_TyLeTangCa[Tỷ lệ],
(Table_BangLuong_TyLeTangCa[Ngày] = "Thường") *
(Table_BangLuong_TyLeTangCa[Giờ min]&lt;=$AA44) *
(Table_BangLuong_TyLeTangCa[Giờ max]&gt;$AA44)
)))),
IF(AK$4 &gt; AK$5,
IF(
AND(
$AA44-$Z$4&lt;MAX(AK$4,VLOOKUP(AK$6, Table_ChiPhiNV_Ca[], COUNTA(Table_ChiPhiNV_Ca[[#Headers],[Ca]:[Bắt đầu]]),0)),
$AA44&gt;MIN(AK$5,VLOOKUP(AK$6, Table_ChiPhiNV_Ca[], COUNTA(Table_ChiPhiNV_Ca[[#Headers],[Ca]:[Kết thúc]]),0))),0,
SUM(_xlfn._xlws.FILTER(Table_BangLuong_TyLeTangCa[Tỷ lệ],
(Table_BangLuong_TyLeTangCa[Ngày] = "Thường") *
(Table_BangLuong_TyLeTangCa[Giờ min]&lt;=$AA44) *
(Table_BangLuong_TyLeTangCa[Giờ max]&gt;$AA44)
))),
IF(
AND(
$AA44-$Z$4&gt;=MAX(AK$4,VLOOKUP(AK$6, Table_ChiPhiNV_Ca[], COUNTA(Table_ChiPhiNV_Ca[[#Headers],[Ca]:[Bắt đầu]]),0)),
$AA44&lt;MIN(AK$5,VLOOKUP(AK$6, Table_ChiPhiNV_Ca[], COUNTA(Table_ChiPhiNV_Ca[[#Headers],[Ca]:[Kết thúc]]),0))),
SUM(_xlfn._xlws.FILTER(Table_BangLuong_TyLeTangCa[Tỷ lệ],
(Table_BangLuong_TyLeTangCa[Ngày] = "Thường") *
(Table_BangLuong_TyLeTangCa[Giờ min]&lt;=$AA44) *
(Table_BangLuong_TyLeTangCa[Giờ max]&gt;$AA44)
)),0)
)),
IF(AK$4 &lt; AK$5,
IF($AA44-$Z$4&lt;AK$4,0,
IF($AA44&gt;AK$5,0,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AK$5,$AA44 &lt; AK$4),0,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L44" s="18" cm="1">
        <f t="array" ref="AL44" xml:space="preserve">
IFERROR(
IF(AL$1="",0,
IF(AND(
$AA44&gt;=VLOOKUP(AL$6, Table_ChiPhiNV_Ca[], COUNTA(Table_ChiPhiNV_Ca[[#Headers],[Ca]:[Bắt đầu nghỉ]]),0),
$AA44&lt;VLOOKUP(AL$6, Table_ChiPhiNV_Ca[], COUNTA(Table_ChiPhiNV_Ca[[#Headers],[Ca]:[Kết thúc nghỉ]]),0)
),0,
IF(NOT(ISBLANK(AL$3)),
IF(ISBLANK(AL$7),0,
IF(AL$4 &lt; AL$5,
IF($AA44-$Z$4&lt;AL$4,0,
IF($AA44&gt;AL$5,0,
SUM(_xlfn._xlws.FILTER(Table_BangLuong_TyLeTangCa[Tỷ lệ],
(Table_BangLuong_TyLeTangCa[Ngày] = AL$3) *
(Table_BangLuong_TyLeTangCa[Giờ min]&lt;=$AA44) *
(Table_BangLuong_TyLeTangCa[Giờ max]&gt;$AA44)
)))),
IF(AND($AA44-$Z$4 &gt;= AL$5,$AA44 &lt; AL$4),0,
SUM(_xlfn._xlws.FILTER(Table_BangLuong_TyLeTangCa[Tỷ lệ],
(Table_BangLuong_TyLeTangCa[Ngày] = AL$3) *
(Table_BangLuong_TyLeTangCa[Giờ min]&lt;=$AA44) *
(Table_BangLuong_TyLeTangCa[Giờ max]&gt;$AA44)
))))
),
IF(ISBLANK(AL$7),
IF(VLOOKUP(AL$6, Table_ChiPhiNV_Ca[], COUNTA(Table_ChiPhiNV_Ca[[#Headers],[Ca]:[Kết thúc]]),0)&gt; VLOOKUP(AL$6, Table_ChiPhiNV_Ca[], COUNTA(Table_ChiPhiNV_Ca[[#Headers],[Ca]:[Bắt đầu]]),0),
IF($AA44-$Z$4&lt;MAX(AL$4,VLOOKUP(AL$6, Table_ChiPhiNV_Ca[], COUNTA(Table_ChiPhiNV_Ca[[#Headers],[Ca]:[Bắt đầu]]),0)),0,
IF($AA44&gt;MIN(AL$5,VLOOKUP(AL$6, Table_ChiPhiNV_Ca[], COUNTA(Table_ChiPhiNV_Ca[[#Headers],[Ca]:[Kết thúc]]),0)),0,
SUM(_xlfn._xlws.FILTER(Table_BangLuong_TyLeTangCa[Tỷ lệ],
(Table_BangLuong_TyLeTangCa[Ngày] = "Thường") *
(Table_BangLuong_TyLeTangCa[Giờ min]&lt;=$AA44) *
(Table_BangLuong_TyLeTangCa[Giờ max]&gt;$AA44)
)))),
IF(AL$4 &gt; AL$5,
IF(
AND(
$AA44-$Z$4&lt;MAX(AL$4,VLOOKUP(AL$6, Table_ChiPhiNV_Ca[], COUNTA(Table_ChiPhiNV_Ca[[#Headers],[Ca]:[Bắt đầu]]),0)),
$AA44&gt;MIN(AL$5,VLOOKUP(AL$6, Table_ChiPhiNV_Ca[], COUNTA(Table_ChiPhiNV_Ca[[#Headers],[Ca]:[Kết thúc]]),0))),0,
SUM(_xlfn._xlws.FILTER(Table_BangLuong_TyLeTangCa[Tỷ lệ],
(Table_BangLuong_TyLeTangCa[Ngày] = "Thường") *
(Table_BangLuong_TyLeTangCa[Giờ min]&lt;=$AA44) *
(Table_BangLuong_TyLeTangCa[Giờ max]&gt;$AA44)
))),
IF(
AND(
$AA44-$Z$4&gt;=MAX(AL$4,VLOOKUP(AL$6, Table_ChiPhiNV_Ca[], COUNTA(Table_ChiPhiNV_Ca[[#Headers],[Ca]:[Bắt đầu]]),0)),
$AA44&lt;MIN(AL$5,VLOOKUP(AL$6, Table_ChiPhiNV_Ca[], COUNTA(Table_ChiPhiNV_Ca[[#Headers],[Ca]:[Kết thúc]]),0))),
SUM(_xlfn._xlws.FILTER(Table_BangLuong_TyLeTangCa[Tỷ lệ],
(Table_BangLuong_TyLeTangCa[Ngày] = "Thường") *
(Table_BangLuong_TyLeTangCa[Giờ min]&lt;=$AA44) *
(Table_BangLuong_TyLeTangCa[Giờ max]&gt;$AA44)
)),0)
)),
IF(AL$4 &lt; AL$5,
IF($AA44-$Z$4&lt;AL$4,0,
IF($AA44&gt;AL$5,0,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AL$5,$AA44 &lt; AL$4),0,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M44" s="18" cm="1">
        <f t="array" ref="AM44" xml:space="preserve">
IFERROR(
IF(AM$1="",0,
IF(AND(
$AA44&gt;=VLOOKUP(AM$6, Table_ChiPhiNV_Ca[], COUNTA(Table_ChiPhiNV_Ca[[#Headers],[Ca]:[Bắt đầu nghỉ]]),0),
$AA44&lt;VLOOKUP(AM$6, Table_ChiPhiNV_Ca[], COUNTA(Table_ChiPhiNV_Ca[[#Headers],[Ca]:[Kết thúc nghỉ]]),0)
),0,
IF(NOT(ISBLANK(AM$3)),
IF(ISBLANK(AM$7),0,
IF(AM$4 &lt; AM$5,
IF($AA44-$Z$4&lt;AM$4,0,
IF($AA44&gt;AM$5,0,
SUM(_xlfn._xlws.FILTER(Table_BangLuong_TyLeTangCa[Tỷ lệ],
(Table_BangLuong_TyLeTangCa[Ngày] = AM$3) *
(Table_BangLuong_TyLeTangCa[Giờ min]&lt;=$AA44) *
(Table_BangLuong_TyLeTangCa[Giờ max]&gt;$AA44)
)))),
IF(AND($AA44-$Z$4 &gt;= AM$5,$AA44 &lt; AM$4),0,
SUM(_xlfn._xlws.FILTER(Table_BangLuong_TyLeTangCa[Tỷ lệ],
(Table_BangLuong_TyLeTangCa[Ngày] = AM$3) *
(Table_BangLuong_TyLeTangCa[Giờ min]&lt;=$AA44) *
(Table_BangLuong_TyLeTangCa[Giờ max]&gt;$AA44)
))))
),
IF(ISBLANK(AM$7),
IF(VLOOKUP(AM$6, Table_ChiPhiNV_Ca[], COUNTA(Table_ChiPhiNV_Ca[[#Headers],[Ca]:[Kết thúc]]),0)&gt; VLOOKUP(AM$6, Table_ChiPhiNV_Ca[], COUNTA(Table_ChiPhiNV_Ca[[#Headers],[Ca]:[Bắt đầu]]),0),
IF($AA44-$Z$4&lt;MAX(AM$4,VLOOKUP(AM$6, Table_ChiPhiNV_Ca[], COUNTA(Table_ChiPhiNV_Ca[[#Headers],[Ca]:[Bắt đầu]]),0)),0,
IF($AA44&gt;MIN(AM$5,VLOOKUP(AM$6, Table_ChiPhiNV_Ca[], COUNTA(Table_ChiPhiNV_Ca[[#Headers],[Ca]:[Kết thúc]]),0)),0,
SUM(_xlfn._xlws.FILTER(Table_BangLuong_TyLeTangCa[Tỷ lệ],
(Table_BangLuong_TyLeTangCa[Ngày] = "Thường") *
(Table_BangLuong_TyLeTangCa[Giờ min]&lt;=$AA44) *
(Table_BangLuong_TyLeTangCa[Giờ max]&gt;$AA44)
)))),
IF(AM$4 &gt; AM$5,
IF(
AND(
$AA44-$Z$4&lt;MAX(AM$4,VLOOKUP(AM$6, Table_ChiPhiNV_Ca[], COUNTA(Table_ChiPhiNV_Ca[[#Headers],[Ca]:[Bắt đầu]]),0)),
$AA44&gt;MIN(AM$5,VLOOKUP(AM$6, Table_ChiPhiNV_Ca[], COUNTA(Table_ChiPhiNV_Ca[[#Headers],[Ca]:[Kết thúc]]),0))),0,
SUM(_xlfn._xlws.FILTER(Table_BangLuong_TyLeTangCa[Tỷ lệ],
(Table_BangLuong_TyLeTangCa[Ngày] = "Thường") *
(Table_BangLuong_TyLeTangCa[Giờ min]&lt;=$AA44) *
(Table_BangLuong_TyLeTangCa[Giờ max]&gt;$AA44)
))),
IF(
AND(
$AA44-$Z$4&gt;=MAX(AM$4,VLOOKUP(AM$6, Table_ChiPhiNV_Ca[], COUNTA(Table_ChiPhiNV_Ca[[#Headers],[Ca]:[Bắt đầu]]),0)),
$AA44&lt;MIN(AM$5,VLOOKUP(AM$6, Table_ChiPhiNV_Ca[], COUNTA(Table_ChiPhiNV_Ca[[#Headers],[Ca]:[Kết thúc]]),0))),
SUM(_xlfn._xlws.FILTER(Table_BangLuong_TyLeTangCa[Tỷ lệ],
(Table_BangLuong_TyLeTangCa[Ngày] = "Thường") *
(Table_BangLuong_TyLeTangCa[Giờ min]&lt;=$AA44) *
(Table_BangLuong_TyLeTangCa[Giờ max]&gt;$AA44)
)),0)
)),
IF(AM$4 &lt; AM$5,
IF($AA44-$Z$4&lt;AM$4,0,
IF($AA44&gt;AM$5,0,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AM$5,$AA44 &lt; AM$4),0,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N44" s="18" cm="1">
        <f t="array" ref="AN44" xml:space="preserve">
IFERROR(
IF(AN$1="",0,
IF(AND(
$AA44&gt;=VLOOKUP(AN$6, Table_ChiPhiNV_Ca[], COUNTA(Table_ChiPhiNV_Ca[[#Headers],[Ca]:[Bắt đầu nghỉ]]),0),
$AA44&lt;VLOOKUP(AN$6, Table_ChiPhiNV_Ca[], COUNTA(Table_ChiPhiNV_Ca[[#Headers],[Ca]:[Kết thúc nghỉ]]),0)
),0,
IF(NOT(ISBLANK(AN$3)),
IF(ISBLANK(AN$7),0,
IF(AN$4 &lt; AN$5,
IF($AA44-$Z$4&lt;AN$4,0,
IF($AA44&gt;AN$5,0,
SUM(_xlfn._xlws.FILTER(Table_BangLuong_TyLeTangCa[Tỷ lệ],
(Table_BangLuong_TyLeTangCa[Ngày] = AN$3) *
(Table_BangLuong_TyLeTangCa[Giờ min]&lt;=$AA44) *
(Table_BangLuong_TyLeTangCa[Giờ max]&gt;$AA44)
)))),
IF(AND($AA44-$Z$4 &gt;= AN$5,$AA44 &lt; AN$4),0,
SUM(_xlfn._xlws.FILTER(Table_BangLuong_TyLeTangCa[Tỷ lệ],
(Table_BangLuong_TyLeTangCa[Ngày] = AN$3) *
(Table_BangLuong_TyLeTangCa[Giờ min]&lt;=$AA44) *
(Table_BangLuong_TyLeTangCa[Giờ max]&gt;$AA44)
))))
),
IF(ISBLANK(AN$7),
IF(VLOOKUP(AN$6, Table_ChiPhiNV_Ca[], COUNTA(Table_ChiPhiNV_Ca[[#Headers],[Ca]:[Kết thúc]]),0)&gt; VLOOKUP(AN$6, Table_ChiPhiNV_Ca[], COUNTA(Table_ChiPhiNV_Ca[[#Headers],[Ca]:[Bắt đầu]]),0),
IF($AA44-$Z$4&lt;MAX(AN$4,VLOOKUP(AN$6, Table_ChiPhiNV_Ca[], COUNTA(Table_ChiPhiNV_Ca[[#Headers],[Ca]:[Bắt đầu]]),0)),0,
IF($AA44&gt;MIN(AN$5,VLOOKUP(AN$6, Table_ChiPhiNV_Ca[], COUNTA(Table_ChiPhiNV_Ca[[#Headers],[Ca]:[Kết thúc]]),0)),0,
SUM(_xlfn._xlws.FILTER(Table_BangLuong_TyLeTangCa[Tỷ lệ],
(Table_BangLuong_TyLeTangCa[Ngày] = "Thường") *
(Table_BangLuong_TyLeTangCa[Giờ min]&lt;=$AA44) *
(Table_BangLuong_TyLeTangCa[Giờ max]&gt;$AA44)
)))),
IF(AN$4 &gt; AN$5,
IF(
AND(
$AA44-$Z$4&lt;MAX(AN$4,VLOOKUP(AN$6, Table_ChiPhiNV_Ca[], COUNTA(Table_ChiPhiNV_Ca[[#Headers],[Ca]:[Bắt đầu]]),0)),
$AA44&gt;MIN(AN$5,VLOOKUP(AN$6, Table_ChiPhiNV_Ca[], COUNTA(Table_ChiPhiNV_Ca[[#Headers],[Ca]:[Kết thúc]]),0))),0,
SUM(_xlfn._xlws.FILTER(Table_BangLuong_TyLeTangCa[Tỷ lệ],
(Table_BangLuong_TyLeTangCa[Ngày] = "Thường") *
(Table_BangLuong_TyLeTangCa[Giờ min]&lt;=$AA44) *
(Table_BangLuong_TyLeTangCa[Giờ max]&gt;$AA44)
))),
IF(
AND(
$AA44-$Z$4&gt;=MAX(AN$4,VLOOKUP(AN$6, Table_ChiPhiNV_Ca[], COUNTA(Table_ChiPhiNV_Ca[[#Headers],[Ca]:[Bắt đầu]]),0)),
$AA44&lt;MIN(AN$5,VLOOKUP(AN$6, Table_ChiPhiNV_Ca[], COUNTA(Table_ChiPhiNV_Ca[[#Headers],[Ca]:[Kết thúc]]),0))),
SUM(_xlfn._xlws.FILTER(Table_BangLuong_TyLeTangCa[Tỷ lệ],
(Table_BangLuong_TyLeTangCa[Ngày] = "Thường") *
(Table_BangLuong_TyLeTangCa[Giờ min]&lt;=$AA44) *
(Table_BangLuong_TyLeTangCa[Giờ max]&gt;$AA44)
)),0)
)),
IF(AN$4 &lt; AN$5,
IF($AA44-$Z$4&lt;AN$4,0,
IF($AA44&gt;AN$5,0,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AN$5,$AA44 &lt; AN$4),0,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O44" s="18" cm="1">
        <f t="array" ref="AO44" xml:space="preserve">
IFERROR(
IF(AO$1="",0,
IF(AND(
$AA44&gt;=VLOOKUP(AO$6, Table_ChiPhiNV_Ca[], COUNTA(Table_ChiPhiNV_Ca[[#Headers],[Ca]:[Bắt đầu nghỉ]]),0),
$AA44&lt;VLOOKUP(AO$6, Table_ChiPhiNV_Ca[], COUNTA(Table_ChiPhiNV_Ca[[#Headers],[Ca]:[Kết thúc nghỉ]]),0)
),0,
IF(NOT(ISBLANK(AO$3)),
IF(ISBLANK(AO$7),0,
IF(AO$4 &lt; AO$5,
IF($AA44-$Z$4&lt;AO$4,0,
IF($AA44&gt;AO$5,0,
SUM(_xlfn._xlws.FILTER(Table_BangLuong_TyLeTangCa[Tỷ lệ],
(Table_BangLuong_TyLeTangCa[Ngày] = AO$3) *
(Table_BangLuong_TyLeTangCa[Giờ min]&lt;=$AA44) *
(Table_BangLuong_TyLeTangCa[Giờ max]&gt;$AA44)
)))),
IF(AND($AA44-$Z$4 &gt;= AO$5,$AA44 &lt; AO$4),0,
SUM(_xlfn._xlws.FILTER(Table_BangLuong_TyLeTangCa[Tỷ lệ],
(Table_BangLuong_TyLeTangCa[Ngày] = AO$3) *
(Table_BangLuong_TyLeTangCa[Giờ min]&lt;=$AA44) *
(Table_BangLuong_TyLeTangCa[Giờ max]&gt;$AA44)
))))
),
IF(ISBLANK(AO$7),
IF(VLOOKUP(AO$6, Table_ChiPhiNV_Ca[], COUNTA(Table_ChiPhiNV_Ca[[#Headers],[Ca]:[Kết thúc]]),0)&gt; VLOOKUP(AO$6, Table_ChiPhiNV_Ca[], COUNTA(Table_ChiPhiNV_Ca[[#Headers],[Ca]:[Bắt đầu]]),0),
IF($AA44-$Z$4&lt;MAX(AO$4,VLOOKUP(AO$6, Table_ChiPhiNV_Ca[], COUNTA(Table_ChiPhiNV_Ca[[#Headers],[Ca]:[Bắt đầu]]),0)),0,
IF($AA44&gt;MIN(AO$5,VLOOKUP(AO$6, Table_ChiPhiNV_Ca[], COUNTA(Table_ChiPhiNV_Ca[[#Headers],[Ca]:[Kết thúc]]),0)),0,
SUM(_xlfn._xlws.FILTER(Table_BangLuong_TyLeTangCa[Tỷ lệ],
(Table_BangLuong_TyLeTangCa[Ngày] = "Thường") *
(Table_BangLuong_TyLeTangCa[Giờ min]&lt;=$AA44) *
(Table_BangLuong_TyLeTangCa[Giờ max]&gt;$AA44)
)))),
IF(AO$4 &gt; AO$5,
IF(
AND(
$AA44-$Z$4&lt;MAX(AO$4,VLOOKUP(AO$6, Table_ChiPhiNV_Ca[], COUNTA(Table_ChiPhiNV_Ca[[#Headers],[Ca]:[Bắt đầu]]),0)),
$AA44&gt;MIN(AO$5,VLOOKUP(AO$6, Table_ChiPhiNV_Ca[], COUNTA(Table_ChiPhiNV_Ca[[#Headers],[Ca]:[Kết thúc]]),0))),0,
SUM(_xlfn._xlws.FILTER(Table_BangLuong_TyLeTangCa[Tỷ lệ],
(Table_BangLuong_TyLeTangCa[Ngày] = "Thường") *
(Table_BangLuong_TyLeTangCa[Giờ min]&lt;=$AA44) *
(Table_BangLuong_TyLeTangCa[Giờ max]&gt;$AA44)
))),
IF(
AND(
$AA44-$Z$4&gt;=MAX(AO$4,VLOOKUP(AO$6, Table_ChiPhiNV_Ca[], COUNTA(Table_ChiPhiNV_Ca[[#Headers],[Ca]:[Bắt đầu]]),0)),
$AA44&lt;MIN(AO$5,VLOOKUP(AO$6, Table_ChiPhiNV_Ca[], COUNTA(Table_ChiPhiNV_Ca[[#Headers],[Ca]:[Kết thúc]]),0))),
SUM(_xlfn._xlws.FILTER(Table_BangLuong_TyLeTangCa[Tỷ lệ],
(Table_BangLuong_TyLeTangCa[Ngày] = "Thường") *
(Table_BangLuong_TyLeTangCa[Giờ min]&lt;=$AA44) *
(Table_BangLuong_TyLeTangCa[Giờ max]&gt;$AA44)
)),0)
)),
IF(AO$4 &lt; AO$5,
IF($AA44-$Z$4&lt;AO$4,0,
IF($AA44&gt;AO$5,0,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AO$5,$AA44 &lt; AO$4),0,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P44" s="18" cm="1">
        <f t="array" ref="AP44" xml:space="preserve">
IFERROR(
IF(AP$1="",0,
IF(AND(
$AA44&gt;=VLOOKUP(AP$6, Table_ChiPhiNV_Ca[], COUNTA(Table_ChiPhiNV_Ca[[#Headers],[Ca]:[Bắt đầu nghỉ]]),0),
$AA44&lt;VLOOKUP(AP$6, Table_ChiPhiNV_Ca[], COUNTA(Table_ChiPhiNV_Ca[[#Headers],[Ca]:[Kết thúc nghỉ]]),0)
),0,
IF(NOT(ISBLANK(AP$3)),
IF(ISBLANK(AP$7),0,
IF(AP$4 &lt; AP$5,
IF($AA44-$Z$4&lt;AP$4,0,
IF($AA44&gt;AP$5,0,
SUM(_xlfn._xlws.FILTER(Table_BangLuong_TyLeTangCa[Tỷ lệ],
(Table_BangLuong_TyLeTangCa[Ngày] = AP$3) *
(Table_BangLuong_TyLeTangCa[Giờ min]&lt;=$AA44) *
(Table_BangLuong_TyLeTangCa[Giờ max]&gt;$AA44)
)))),
IF(AND($AA44-$Z$4 &gt;= AP$5,$AA44 &lt; AP$4),0,
SUM(_xlfn._xlws.FILTER(Table_BangLuong_TyLeTangCa[Tỷ lệ],
(Table_BangLuong_TyLeTangCa[Ngày] = AP$3) *
(Table_BangLuong_TyLeTangCa[Giờ min]&lt;=$AA44) *
(Table_BangLuong_TyLeTangCa[Giờ max]&gt;$AA44)
))))
),
IF(ISBLANK(AP$7),
IF(VLOOKUP(AP$6, Table_ChiPhiNV_Ca[], COUNTA(Table_ChiPhiNV_Ca[[#Headers],[Ca]:[Kết thúc]]),0)&gt; VLOOKUP(AP$6, Table_ChiPhiNV_Ca[], COUNTA(Table_ChiPhiNV_Ca[[#Headers],[Ca]:[Bắt đầu]]),0),
IF($AA44-$Z$4&lt;MAX(AP$4,VLOOKUP(AP$6, Table_ChiPhiNV_Ca[], COUNTA(Table_ChiPhiNV_Ca[[#Headers],[Ca]:[Bắt đầu]]),0)),0,
IF($AA44&gt;MIN(AP$5,VLOOKUP(AP$6, Table_ChiPhiNV_Ca[], COUNTA(Table_ChiPhiNV_Ca[[#Headers],[Ca]:[Kết thúc]]),0)),0,
SUM(_xlfn._xlws.FILTER(Table_BangLuong_TyLeTangCa[Tỷ lệ],
(Table_BangLuong_TyLeTangCa[Ngày] = "Thường") *
(Table_BangLuong_TyLeTangCa[Giờ min]&lt;=$AA44) *
(Table_BangLuong_TyLeTangCa[Giờ max]&gt;$AA44)
)))),
IF(AP$4 &gt; AP$5,
IF(
AND(
$AA44-$Z$4&lt;MAX(AP$4,VLOOKUP(AP$6, Table_ChiPhiNV_Ca[], COUNTA(Table_ChiPhiNV_Ca[[#Headers],[Ca]:[Bắt đầu]]),0)),
$AA44&gt;MIN(AP$5,VLOOKUP(AP$6, Table_ChiPhiNV_Ca[], COUNTA(Table_ChiPhiNV_Ca[[#Headers],[Ca]:[Kết thúc]]),0))),0,
SUM(_xlfn._xlws.FILTER(Table_BangLuong_TyLeTangCa[Tỷ lệ],
(Table_BangLuong_TyLeTangCa[Ngày] = "Thường") *
(Table_BangLuong_TyLeTangCa[Giờ min]&lt;=$AA44) *
(Table_BangLuong_TyLeTangCa[Giờ max]&gt;$AA44)
))),
IF(
AND(
$AA44-$Z$4&gt;=MAX(AP$4,VLOOKUP(AP$6, Table_ChiPhiNV_Ca[], COUNTA(Table_ChiPhiNV_Ca[[#Headers],[Ca]:[Bắt đầu]]),0)),
$AA44&lt;MIN(AP$5,VLOOKUP(AP$6, Table_ChiPhiNV_Ca[], COUNTA(Table_ChiPhiNV_Ca[[#Headers],[Ca]:[Kết thúc]]),0))),
SUM(_xlfn._xlws.FILTER(Table_BangLuong_TyLeTangCa[Tỷ lệ],
(Table_BangLuong_TyLeTangCa[Ngày] = "Thường") *
(Table_BangLuong_TyLeTangCa[Giờ min]&lt;=$AA44) *
(Table_BangLuong_TyLeTangCa[Giờ max]&gt;$AA44)
)),0)
)),
IF(AP$4 &lt; AP$5,
IF($AA44-$Z$4&lt;AP$4,0,
IF($AA44&gt;AP$5,0,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AP$5,$AA44 &lt; AP$4),0,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Q44" s="18" cm="1">
        <f t="array" ref="AQ44" xml:space="preserve">
IFERROR(
IF(AQ$1="",0,
IF(AND(
$AA44&gt;=VLOOKUP(AQ$6, Table_ChiPhiNV_Ca[], COUNTA(Table_ChiPhiNV_Ca[[#Headers],[Ca]:[Bắt đầu nghỉ]]),0),
$AA44&lt;VLOOKUP(AQ$6, Table_ChiPhiNV_Ca[], COUNTA(Table_ChiPhiNV_Ca[[#Headers],[Ca]:[Kết thúc nghỉ]]),0)
),0,
IF(NOT(ISBLANK(AQ$3)),
IF(ISBLANK(AQ$7),0,
IF(AQ$4 &lt; AQ$5,
IF($AA44-$Z$4&lt;AQ$4,0,
IF($AA44&gt;AQ$5,0,
SUM(_xlfn._xlws.FILTER(Table_BangLuong_TyLeTangCa[Tỷ lệ],
(Table_BangLuong_TyLeTangCa[Ngày] = AQ$3) *
(Table_BangLuong_TyLeTangCa[Giờ min]&lt;=$AA44) *
(Table_BangLuong_TyLeTangCa[Giờ max]&gt;$AA44)
)))),
IF(AND($AA44-$Z$4 &gt;= AQ$5,$AA44 &lt; AQ$4),0,
SUM(_xlfn._xlws.FILTER(Table_BangLuong_TyLeTangCa[Tỷ lệ],
(Table_BangLuong_TyLeTangCa[Ngày] = AQ$3) *
(Table_BangLuong_TyLeTangCa[Giờ min]&lt;=$AA44) *
(Table_BangLuong_TyLeTangCa[Giờ max]&gt;$AA44)
))))
),
IF(ISBLANK(AQ$7),
IF(VLOOKUP(AQ$6, Table_ChiPhiNV_Ca[], COUNTA(Table_ChiPhiNV_Ca[[#Headers],[Ca]:[Kết thúc]]),0)&gt; VLOOKUP(AQ$6, Table_ChiPhiNV_Ca[], COUNTA(Table_ChiPhiNV_Ca[[#Headers],[Ca]:[Bắt đầu]]),0),
IF($AA44-$Z$4&lt;MAX(AQ$4,VLOOKUP(AQ$6, Table_ChiPhiNV_Ca[], COUNTA(Table_ChiPhiNV_Ca[[#Headers],[Ca]:[Bắt đầu]]),0)),0,
IF($AA44&gt;MIN(AQ$5,VLOOKUP(AQ$6, Table_ChiPhiNV_Ca[], COUNTA(Table_ChiPhiNV_Ca[[#Headers],[Ca]:[Kết thúc]]),0)),0,
SUM(_xlfn._xlws.FILTER(Table_BangLuong_TyLeTangCa[Tỷ lệ],
(Table_BangLuong_TyLeTangCa[Ngày] = "Thường") *
(Table_BangLuong_TyLeTangCa[Giờ min]&lt;=$AA44) *
(Table_BangLuong_TyLeTangCa[Giờ max]&gt;$AA44)
)))),
IF(AQ$4 &gt; AQ$5,
IF(
AND(
$AA44-$Z$4&lt;MAX(AQ$4,VLOOKUP(AQ$6, Table_ChiPhiNV_Ca[], COUNTA(Table_ChiPhiNV_Ca[[#Headers],[Ca]:[Bắt đầu]]),0)),
$AA44&gt;MIN(AQ$5,VLOOKUP(AQ$6, Table_ChiPhiNV_Ca[], COUNTA(Table_ChiPhiNV_Ca[[#Headers],[Ca]:[Kết thúc]]),0))),0,
SUM(_xlfn._xlws.FILTER(Table_BangLuong_TyLeTangCa[Tỷ lệ],
(Table_BangLuong_TyLeTangCa[Ngày] = "Thường") *
(Table_BangLuong_TyLeTangCa[Giờ min]&lt;=$AA44) *
(Table_BangLuong_TyLeTangCa[Giờ max]&gt;$AA44)
))),
IF(
AND(
$AA44-$Z$4&gt;=MAX(AQ$4,VLOOKUP(AQ$6, Table_ChiPhiNV_Ca[], COUNTA(Table_ChiPhiNV_Ca[[#Headers],[Ca]:[Bắt đầu]]),0)),
$AA44&lt;MIN(AQ$5,VLOOKUP(AQ$6, Table_ChiPhiNV_Ca[], COUNTA(Table_ChiPhiNV_Ca[[#Headers],[Ca]:[Kết thúc]]),0))),
SUM(_xlfn._xlws.FILTER(Table_BangLuong_TyLeTangCa[Tỷ lệ],
(Table_BangLuong_TyLeTangCa[Ngày] = "Thường") *
(Table_BangLuong_TyLeTangCa[Giờ min]&lt;=$AA44) *
(Table_BangLuong_TyLeTangCa[Giờ max]&gt;$AA44)
)),0)
)),
IF(AQ$4 &lt; AQ$5,
IF($AA44-$Z$4&lt;AQ$4,0,
IF($AA44&gt;AQ$5,0,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AQ$5,$AA44 &lt; AQ$4),0,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R44" s="18" cm="1">
        <f t="array" ref="AR44" xml:space="preserve">
IFERROR(
IF(AR$1="",0,
IF(AND(
$AA44&gt;=VLOOKUP(AR$6, Table_ChiPhiNV_Ca[], COUNTA(Table_ChiPhiNV_Ca[[#Headers],[Ca]:[Bắt đầu nghỉ]]),0),
$AA44&lt;VLOOKUP(AR$6, Table_ChiPhiNV_Ca[], COUNTA(Table_ChiPhiNV_Ca[[#Headers],[Ca]:[Kết thúc nghỉ]]),0)
),0,
IF(NOT(ISBLANK(AR$3)),
IF(ISBLANK(AR$7),0,
IF(AR$4 &lt; AR$5,
IF($AA44-$Z$4&lt;AR$4,0,
IF($AA44&gt;AR$5,0,
SUM(_xlfn._xlws.FILTER(Table_BangLuong_TyLeTangCa[Tỷ lệ],
(Table_BangLuong_TyLeTangCa[Ngày] = AR$3) *
(Table_BangLuong_TyLeTangCa[Giờ min]&lt;=$AA44) *
(Table_BangLuong_TyLeTangCa[Giờ max]&gt;$AA44)
)))),
IF(AND($AA44-$Z$4 &gt;= AR$5,$AA44 &lt; AR$4),0,
SUM(_xlfn._xlws.FILTER(Table_BangLuong_TyLeTangCa[Tỷ lệ],
(Table_BangLuong_TyLeTangCa[Ngày] = AR$3) *
(Table_BangLuong_TyLeTangCa[Giờ min]&lt;=$AA44) *
(Table_BangLuong_TyLeTangCa[Giờ max]&gt;$AA44)
))))
),
IF(ISBLANK(AR$7),
IF(VLOOKUP(AR$6, Table_ChiPhiNV_Ca[], COUNTA(Table_ChiPhiNV_Ca[[#Headers],[Ca]:[Kết thúc]]),0)&gt; VLOOKUP(AR$6, Table_ChiPhiNV_Ca[], COUNTA(Table_ChiPhiNV_Ca[[#Headers],[Ca]:[Bắt đầu]]),0),
IF($AA44-$Z$4&lt;MAX(AR$4,VLOOKUP(AR$6, Table_ChiPhiNV_Ca[], COUNTA(Table_ChiPhiNV_Ca[[#Headers],[Ca]:[Bắt đầu]]),0)),0,
IF($AA44&gt;MIN(AR$5,VLOOKUP(AR$6, Table_ChiPhiNV_Ca[], COUNTA(Table_ChiPhiNV_Ca[[#Headers],[Ca]:[Kết thúc]]),0)),0,
SUM(_xlfn._xlws.FILTER(Table_BangLuong_TyLeTangCa[Tỷ lệ],
(Table_BangLuong_TyLeTangCa[Ngày] = "Thường") *
(Table_BangLuong_TyLeTangCa[Giờ min]&lt;=$AA44) *
(Table_BangLuong_TyLeTangCa[Giờ max]&gt;$AA44)
)))),
IF(AR$4 &gt; AR$5,
IF(
AND(
$AA44-$Z$4&lt;MAX(AR$4,VLOOKUP(AR$6, Table_ChiPhiNV_Ca[], COUNTA(Table_ChiPhiNV_Ca[[#Headers],[Ca]:[Bắt đầu]]),0)),
$AA44&gt;MIN(AR$5,VLOOKUP(AR$6, Table_ChiPhiNV_Ca[], COUNTA(Table_ChiPhiNV_Ca[[#Headers],[Ca]:[Kết thúc]]),0))),0,
SUM(_xlfn._xlws.FILTER(Table_BangLuong_TyLeTangCa[Tỷ lệ],
(Table_BangLuong_TyLeTangCa[Ngày] = "Thường") *
(Table_BangLuong_TyLeTangCa[Giờ min]&lt;=$AA44) *
(Table_BangLuong_TyLeTangCa[Giờ max]&gt;$AA44)
))),
IF(
AND(
$AA44-$Z$4&gt;=MAX(AR$4,VLOOKUP(AR$6, Table_ChiPhiNV_Ca[], COUNTA(Table_ChiPhiNV_Ca[[#Headers],[Ca]:[Bắt đầu]]),0)),
$AA44&lt;MIN(AR$5,VLOOKUP(AR$6, Table_ChiPhiNV_Ca[], COUNTA(Table_ChiPhiNV_Ca[[#Headers],[Ca]:[Kết thúc]]),0))),
SUM(_xlfn._xlws.FILTER(Table_BangLuong_TyLeTangCa[Tỷ lệ],
(Table_BangLuong_TyLeTangCa[Ngày] = "Thường") *
(Table_BangLuong_TyLeTangCa[Giờ min]&lt;=$AA44) *
(Table_BangLuong_TyLeTangCa[Giờ max]&gt;$AA44)
)),0)
)),
IF(AR$4 &lt; AR$5,
IF($AA44-$Z$4&lt;AR$4,0,
IF($AA44&gt;AR$5,0,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AR$5,$AA44 &lt; AR$4),0,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S44" s="18" cm="1">
        <f t="array" ref="AS44" xml:space="preserve">
IFERROR(
IF(AS$1="",0,
IF(AND(
$AA44&gt;=VLOOKUP(AS$6, Table_ChiPhiNV_Ca[], COUNTA(Table_ChiPhiNV_Ca[[#Headers],[Ca]:[Bắt đầu nghỉ]]),0),
$AA44&lt;VLOOKUP(AS$6, Table_ChiPhiNV_Ca[], COUNTA(Table_ChiPhiNV_Ca[[#Headers],[Ca]:[Kết thúc nghỉ]]),0)
),0,
IF(NOT(ISBLANK(AS$3)),
IF(ISBLANK(AS$7),0,
IF(AS$4 &lt; AS$5,
IF($AA44-$Z$4&lt;AS$4,0,
IF($AA44&gt;AS$5,0,
SUM(_xlfn._xlws.FILTER(Table_BangLuong_TyLeTangCa[Tỷ lệ],
(Table_BangLuong_TyLeTangCa[Ngày] = AS$3) *
(Table_BangLuong_TyLeTangCa[Giờ min]&lt;=$AA44) *
(Table_BangLuong_TyLeTangCa[Giờ max]&gt;$AA44)
)))),
IF(AND($AA44-$Z$4 &gt;= AS$5,$AA44 &lt; AS$4),0,
SUM(_xlfn._xlws.FILTER(Table_BangLuong_TyLeTangCa[Tỷ lệ],
(Table_BangLuong_TyLeTangCa[Ngày] = AS$3) *
(Table_BangLuong_TyLeTangCa[Giờ min]&lt;=$AA44) *
(Table_BangLuong_TyLeTangCa[Giờ max]&gt;$AA44)
))))
),
IF(ISBLANK(AS$7),
IF(VLOOKUP(AS$6, Table_ChiPhiNV_Ca[], COUNTA(Table_ChiPhiNV_Ca[[#Headers],[Ca]:[Kết thúc]]),0)&gt; VLOOKUP(AS$6, Table_ChiPhiNV_Ca[], COUNTA(Table_ChiPhiNV_Ca[[#Headers],[Ca]:[Bắt đầu]]),0),
IF($AA44-$Z$4&lt;MAX(AS$4,VLOOKUP(AS$6, Table_ChiPhiNV_Ca[], COUNTA(Table_ChiPhiNV_Ca[[#Headers],[Ca]:[Bắt đầu]]),0)),0,
IF($AA44&gt;MIN(AS$5,VLOOKUP(AS$6, Table_ChiPhiNV_Ca[], COUNTA(Table_ChiPhiNV_Ca[[#Headers],[Ca]:[Kết thúc]]),0)),0,
SUM(_xlfn._xlws.FILTER(Table_BangLuong_TyLeTangCa[Tỷ lệ],
(Table_BangLuong_TyLeTangCa[Ngày] = "Thường") *
(Table_BangLuong_TyLeTangCa[Giờ min]&lt;=$AA44) *
(Table_BangLuong_TyLeTangCa[Giờ max]&gt;$AA44)
)))),
IF(AS$4 &gt; AS$5,
IF(
AND(
$AA44-$Z$4&lt;MAX(AS$4,VLOOKUP(AS$6, Table_ChiPhiNV_Ca[], COUNTA(Table_ChiPhiNV_Ca[[#Headers],[Ca]:[Bắt đầu]]),0)),
$AA44&gt;MIN(AS$5,VLOOKUP(AS$6, Table_ChiPhiNV_Ca[], COUNTA(Table_ChiPhiNV_Ca[[#Headers],[Ca]:[Kết thúc]]),0))),0,
SUM(_xlfn._xlws.FILTER(Table_BangLuong_TyLeTangCa[Tỷ lệ],
(Table_BangLuong_TyLeTangCa[Ngày] = "Thường") *
(Table_BangLuong_TyLeTangCa[Giờ min]&lt;=$AA44) *
(Table_BangLuong_TyLeTangCa[Giờ max]&gt;$AA44)
))),
IF(
AND(
$AA44-$Z$4&gt;=MAX(AS$4,VLOOKUP(AS$6, Table_ChiPhiNV_Ca[], COUNTA(Table_ChiPhiNV_Ca[[#Headers],[Ca]:[Bắt đầu]]),0)),
$AA44&lt;MIN(AS$5,VLOOKUP(AS$6, Table_ChiPhiNV_Ca[], COUNTA(Table_ChiPhiNV_Ca[[#Headers],[Ca]:[Kết thúc]]),0))),
SUM(_xlfn._xlws.FILTER(Table_BangLuong_TyLeTangCa[Tỷ lệ],
(Table_BangLuong_TyLeTangCa[Ngày] = "Thường") *
(Table_BangLuong_TyLeTangCa[Giờ min]&lt;=$AA44) *
(Table_BangLuong_TyLeTangCa[Giờ max]&gt;$AA44)
)),0)
)),
IF(AS$4 &lt; AS$5,
IF($AA44-$Z$4&lt;AS$4,0,
IF($AA44&gt;AS$5,0,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AS$5,$AA44 &lt; AS$4),0,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T44" s="18" cm="1">
        <f t="array" ref="AT44" xml:space="preserve">
IFERROR(
IF(AT$1="",0,
IF(AND(
$AA44&gt;=VLOOKUP(AT$6, Table_ChiPhiNV_Ca[], COUNTA(Table_ChiPhiNV_Ca[[#Headers],[Ca]:[Bắt đầu nghỉ]]),0),
$AA44&lt;VLOOKUP(AT$6, Table_ChiPhiNV_Ca[], COUNTA(Table_ChiPhiNV_Ca[[#Headers],[Ca]:[Kết thúc nghỉ]]),0)
),0,
IF(NOT(ISBLANK(AT$3)),
IF(ISBLANK(AT$7),0,
IF(AT$4 &lt; AT$5,
IF($AA44-$Z$4&lt;AT$4,0,
IF($AA44&gt;AT$5,0,
SUM(_xlfn._xlws.FILTER(Table_BangLuong_TyLeTangCa[Tỷ lệ],
(Table_BangLuong_TyLeTangCa[Ngày] = AT$3) *
(Table_BangLuong_TyLeTangCa[Giờ min]&lt;=$AA44) *
(Table_BangLuong_TyLeTangCa[Giờ max]&gt;$AA44)
)))),
IF(AND($AA44-$Z$4 &gt;= AT$5,$AA44 &lt; AT$4),0,
SUM(_xlfn._xlws.FILTER(Table_BangLuong_TyLeTangCa[Tỷ lệ],
(Table_BangLuong_TyLeTangCa[Ngày] = AT$3) *
(Table_BangLuong_TyLeTangCa[Giờ min]&lt;=$AA44) *
(Table_BangLuong_TyLeTangCa[Giờ max]&gt;$AA44)
))))
),
IF(ISBLANK(AT$7),
IF(VLOOKUP(AT$6, Table_ChiPhiNV_Ca[], COUNTA(Table_ChiPhiNV_Ca[[#Headers],[Ca]:[Kết thúc]]),0)&gt; VLOOKUP(AT$6, Table_ChiPhiNV_Ca[], COUNTA(Table_ChiPhiNV_Ca[[#Headers],[Ca]:[Bắt đầu]]),0),
IF($AA44-$Z$4&lt;MAX(AT$4,VLOOKUP(AT$6, Table_ChiPhiNV_Ca[], COUNTA(Table_ChiPhiNV_Ca[[#Headers],[Ca]:[Bắt đầu]]),0)),0,
IF($AA44&gt;MIN(AT$5,VLOOKUP(AT$6, Table_ChiPhiNV_Ca[], COUNTA(Table_ChiPhiNV_Ca[[#Headers],[Ca]:[Kết thúc]]),0)),0,
SUM(_xlfn._xlws.FILTER(Table_BangLuong_TyLeTangCa[Tỷ lệ],
(Table_BangLuong_TyLeTangCa[Ngày] = "Thường") *
(Table_BangLuong_TyLeTangCa[Giờ min]&lt;=$AA44) *
(Table_BangLuong_TyLeTangCa[Giờ max]&gt;$AA44)
)))),
IF(AT$4 &gt; AT$5,
IF(
AND(
$AA44-$Z$4&lt;MAX(AT$4,VLOOKUP(AT$6, Table_ChiPhiNV_Ca[], COUNTA(Table_ChiPhiNV_Ca[[#Headers],[Ca]:[Bắt đầu]]),0)),
$AA44&gt;MIN(AT$5,VLOOKUP(AT$6, Table_ChiPhiNV_Ca[], COUNTA(Table_ChiPhiNV_Ca[[#Headers],[Ca]:[Kết thúc]]),0))),0,
SUM(_xlfn._xlws.FILTER(Table_BangLuong_TyLeTangCa[Tỷ lệ],
(Table_BangLuong_TyLeTangCa[Ngày] = "Thường") *
(Table_BangLuong_TyLeTangCa[Giờ min]&lt;=$AA44) *
(Table_BangLuong_TyLeTangCa[Giờ max]&gt;$AA44)
))),
IF(
AND(
$AA44-$Z$4&gt;=MAX(AT$4,VLOOKUP(AT$6, Table_ChiPhiNV_Ca[], COUNTA(Table_ChiPhiNV_Ca[[#Headers],[Ca]:[Bắt đầu]]),0)),
$AA44&lt;MIN(AT$5,VLOOKUP(AT$6, Table_ChiPhiNV_Ca[], COUNTA(Table_ChiPhiNV_Ca[[#Headers],[Ca]:[Kết thúc]]),0))),
SUM(_xlfn._xlws.FILTER(Table_BangLuong_TyLeTangCa[Tỷ lệ],
(Table_BangLuong_TyLeTangCa[Ngày] = "Thường") *
(Table_BangLuong_TyLeTangCa[Giờ min]&lt;=$AA44) *
(Table_BangLuong_TyLeTangCa[Giờ max]&gt;$AA44)
)),0)
)),
IF(AT$4 &lt; AT$5,
IF($AA44-$Z$4&lt;AT$4,0,
IF($AA44&gt;AT$5,0,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AT$5,$AA44 &lt; AT$4),0,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U44" s="18" cm="1">
        <f t="array" ref="AU44" xml:space="preserve">
IFERROR(
IF(AU$1="",0,
IF(AND(
$AA44&gt;=VLOOKUP(AU$6, Table_ChiPhiNV_Ca[], COUNTA(Table_ChiPhiNV_Ca[[#Headers],[Ca]:[Bắt đầu nghỉ]]),0),
$AA44&lt;VLOOKUP(AU$6, Table_ChiPhiNV_Ca[], COUNTA(Table_ChiPhiNV_Ca[[#Headers],[Ca]:[Kết thúc nghỉ]]),0)
),0,
IF(NOT(ISBLANK(AU$3)),
IF(ISBLANK(AU$7),0,
IF(AU$4 &lt; AU$5,
IF($AA44-$Z$4&lt;AU$4,0,
IF($AA44&gt;AU$5,0,
SUM(_xlfn._xlws.FILTER(Table_BangLuong_TyLeTangCa[Tỷ lệ],
(Table_BangLuong_TyLeTangCa[Ngày] = AU$3) *
(Table_BangLuong_TyLeTangCa[Giờ min]&lt;=$AA44) *
(Table_BangLuong_TyLeTangCa[Giờ max]&gt;$AA44)
)))),
IF(AND($AA44-$Z$4 &gt;= AU$5,$AA44 &lt; AU$4),0,
SUM(_xlfn._xlws.FILTER(Table_BangLuong_TyLeTangCa[Tỷ lệ],
(Table_BangLuong_TyLeTangCa[Ngày] = AU$3) *
(Table_BangLuong_TyLeTangCa[Giờ min]&lt;=$AA44) *
(Table_BangLuong_TyLeTangCa[Giờ max]&gt;$AA44)
))))
),
IF(ISBLANK(AU$7),
IF(VLOOKUP(AU$6, Table_ChiPhiNV_Ca[], COUNTA(Table_ChiPhiNV_Ca[[#Headers],[Ca]:[Kết thúc]]),0)&gt; VLOOKUP(AU$6, Table_ChiPhiNV_Ca[], COUNTA(Table_ChiPhiNV_Ca[[#Headers],[Ca]:[Bắt đầu]]),0),
IF($AA44-$Z$4&lt;MAX(AU$4,VLOOKUP(AU$6, Table_ChiPhiNV_Ca[], COUNTA(Table_ChiPhiNV_Ca[[#Headers],[Ca]:[Bắt đầu]]),0)),0,
IF($AA44&gt;MIN(AU$5,VLOOKUP(AU$6, Table_ChiPhiNV_Ca[], COUNTA(Table_ChiPhiNV_Ca[[#Headers],[Ca]:[Kết thúc]]),0)),0,
SUM(_xlfn._xlws.FILTER(Table_BangLuong_TyLeTangCa[Tỷ lệ],
(Table_BangLuong_TyLeTangCa[Ngày] = "Thường") *
(Table_BangLuong_TyLeTangCa[Giờ min]&lt;=$AA44) *
(Table_BangLuong_TyLeTangCa[Giờ max]&gt;$AA44)
)))),
IF(AU$4 &gt; AU$5,
IF(
AND(
$AA44-$Z$4&lt;MAX(AU$4,VLOOKUP(AU$6, Table_ChiPhiNV_Ca[], COUNTA(Table_ChiPhiNV_Ca[[#Headers],[Ca]:[Bắt đầu]]),0)),
$AA44&gt;MIN(AU$5,VLOOKUP(AU$6, Table_ChiPhiNV_Ca[], COUNTA(Table_ChiPhiNV_Ca[[#Headers],[Ca]:[Kết thúc]]),0))),0,
SUM(_xlfn._xlws.FILTER(Table_BangLuong_TyLeTangCa[Tỷ lệ],
(Table_BangLuong_TyLeTangCa[Ngày] = "Thường") *
(Table_BangLuong_TyLeTangCa[Giờ min]&lt;=$AA44) *
(Table_BangLuong_TyLeTangCa[Giờ max]&gt;$AA44)
))),
IF(
AND(
$AA44-$Z$4&gt;=MAX(AU$4,VLOOKUP(AU$6, Table_ChiPhiNV_Ca[], COUNTA(Table_ChiPhiNV_Ca[[#Headers],[Ca]:[Bắt đầu]]),0)),
$AA44&lt;MIN(AU$5,VLOOKUP(AU$6, Table_ChiPhiNV_Ca[], COUNTA(Table_ChiPhiNV_Ca[[#Headers],[Ca]:[Kết thúc]]),0))),
SUM(_xlfn._xlws.FILTER(Table_BangLuong_TyLeTangCa[Tỷ lệ],
(Table_BangLuong_TyLeTangCa[Ngày] = "Thường") *
(Table_BangLuong_TyLeTangCa[Giờ min]&lt;=$AA44) *
(Table_BangLuong_TyLeTangCa[Giờ max]&gt;$AA44)
)),0)
)),
IF(AU$4 &lt; AU$5,
IF($AA44-$Z$4&lt;AU$4,0,
IF($AA44&gt;AU$5,0,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AU$5,$AA44 &lt; AU$4),0,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V44" s="18" cm="1">
        <f t="array" ref="AV44" xml:space="preserve">
IFERROR(
IF(AV$1="",0,
IF(AND(
$AA44&gt;=VLOOKUP(AV$6, Table_ChiPhiNV_Ca[], COUNTA(Table_ChiPhiNV_Ca[[#Headers],[Ca]:[Bắt đầu nghỉ]]),0),
$AA44&lt;VLOOKUP(AV$6, Table_ChiPhiNV_Ca[], COUNTA(Table_ChiPhiNV_Ca[[#Headers],[Ca]:[Kết thúc nghỉ]]),0)
),0,
IF(NOT(ISBLANK(AV$3)),
IF(ISBLANK(AV$7),0,
IF(AV$4 &lt; AV$5,
IF($AA44-$Z$4&lt;AV$4,0,
IF($AA44&gt;AV$5,0,
SUM(_xlfn._xlws.FILTER(Table_BangLuong_TyLeTangCa[Tỷ lệ],
(Table_BangLuong_TyLeTangCa[Ngày] = AV$3) *
(Table_BangLuong_TyLeTangCa[Giờ min]&lt;=$AA44) *
(Table_BangLuong_TyLeTangCa[Giờ max]&gt;$AA44)
)))),
IF(AND($AA44-$Z$4 &gt;= AV$5,$AA44 &lt; AV$4),0,
SUM(_xlfn._xlws.FILTER(Table_BangLuong_TyLeTangCa[Tỷ lệ],
(Table_BangLuong_TyLeTangCa[Ngày] = AV$3) *
(Table_BangLuong_TyLeTangCa[Giờ min]&lt;=$AA44) *
(Table_BangLuong_TyLeTangCa[Giờ max]&gt;$AA44)
))))
),
IF(ISBLANK(AV$7),
IF(VLOOKUP(AV$6, Table_ChiPhiNV_Ca[], COUNTA(Table_ChiPhiNV_Ca[[#Headers],[Ca]:[Kết thúc]]),0)&gt; VLOOKUP(AV$6, Table_ChiPhiNV_Ca[], COUNTA(Table_ChiPhiNV_Ca[[#Headers],[Ca]:[Bắt đầu]]),0),
IF($AA44-$Z$4&lt;MAX(AV$4,VLOOKUP(AV$6, Table_ChiPhiNV_Ca[], COUNTA(Table_ChiPhiNV_Ca[[#Headers],[Ca]:[Bắt đầu]]),0)),0,
IF($AA44&gt;MIN(AV$5,VLOOKUP(AV$6, Table_ChiPhiNV_Ca[], COUNTA(Table_ChiPhiNV_Ca[[#Headers],[Ca]:[Kết thúc]]),0)),0,
SUM(_xlfn._xlws.FILTER(Table_BangLuong_TyLeTangCa[Tỷ lệ],
(Table_BangLuong_TyLeTangCa[Ngày] = "Thường") *
(Table_BangLuong_TyLeTangCa[Giờ min]&lt;=$AA44) *
(Table_BangLuong_TyLeTangCa[Giờ max]&gt;$AA44)
)))),
IF(AV$4 &gt; AV$5,
IF(
AND(
$AA44-$Z$4&lt;MAX(AV$4,VLOOKUP(AV$6, Table_ChiPhiNV_Ca[], COUNTA(Table_ChiPhiNV_Ca[[#Headers],[Ca]:[Bắt đầu]]),0)),
$AA44&gt;MIN(AV$5,VLOOKUP(AV$6, Table_ChiPhiNV_Ca[], COUNTA(Table_ChiPhiNV_Ca[[#Headers],[Ca]:[Kết thúc]]),0))),0,
SUM(_xlfn._xlws.FILTER(Table_BangLuong_TyLeTangCa[Tỷ lệ],
(Table_BangLuong_TyLeTangCa[Ngày] = "Thường") *
(Table_BangLuong_TyLeTangCa[Giờ min]&lt;=$AA44) *
(Table_BangLuong_TyLeTangCa[Giờ max]&gt;$AA44)
))),
IF(
AND(
$AA44-$Z$4&gt;=MAX(AV$4,VLOOKUP(AV$6, Table_ChiPhiNV_Ca[], COUNTA(Table_ChiPhiNV_Ca[[#Headers],[Ca]:[Bắt đầu]]),0)),
$AA44&lt;MIN(AV$5,VLOOKUP(AV$6, Table_ChiPhiNV_Ca[], COUNTA(Table_ChiPhiNV_Ca[[#Headers],[Ca]:[Kết thúc]]),0))),
SUM(_xlfn._xlws.FILTER(Table_BangLuong_TyLeTangCa[Tỷ lệ],
(Table_BangLuong_TyLeTangCa[Ngày] = "Thường") *
(Table_BangLuong_TyLeTangCa[Giờ min]&lt;=$AA44) *
(Table_BangLuong_TyLeTangCa[Giờ max]&gt;$AA44)
)),0)
)),
IF(AV$4 &lt; AV$5,
IF($AA44-$Z$4&lt;AV$4,0,
IF($AA44&gt;AV$5,0,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AV$5,$AA44 &lt; AV$4),0,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W44" s="18" cm="1">
        <f t="array" ref="AW44" xml:space="preserve">
IFERROR(
IF(AW$1="",0,
IF(AND(
$AA44&gt;=VLOOKUP(AW$6, Table_ChiPhiNV_Ca[], COUNTA(Table_ChiPhiNV_Ca[[#Headers],[Ca]:[Bắt đầu nghỉ]]),0),
$AA44&lt;VLOOKUP(AW$6, Table_ChiPhiNV_Ca[], COUNTA(Table_ChiPhiNV_Ca[[#Headers],[Ca]:[Kết thúc nghỉ]]),0)
),0,
IF(NOT(ISBLANK(AW$3)),
IF(ISBLANK(AW$7),0,
IF(AW$4 &lt; AW$5,
IF($AA44-$Z$4&lt;AW$4,0,
IF($AA44&gt;AW$5,0,
SUM(_xlfn._xlws.FILTER(Table_BangLuong_TyLeTangCa[Tỷ lệ],
(Table_BangLuong_TyLeTangCa[Ngày] = AW$3) *
(Table_BangLuong_TyLeTangCa[Giờ min]&lt;=$AA44) *
(Table_BangLuong_TyLeTangCa[Giờ max]&gt;$AA44)
)))),
IF(AND($AA44-$Z$4 &gt;= AW$5,$AA44 &lt; AW$4),0,
SUM(_xlfn._xlws.FILTER(Table_BangLuong_TyLeTangCa[Tỷ lệ],
(Table_BangLuong_TyLeTangCa[Ngày] = AW$3) *
(Table_BangLuong_TyLeTangCa[Giờ min]&lt;=$AA44) *
(Table_BangLuong_TyLeTangCa[Giờ max]&gt;$AA44)
))))
),
IF(ISBLANK(AW$7),
IF(VLOOKUP(AW$6, Table_ChiPhiNV_Ca[], COUNTA(Table_ChiPhiNV_Ca[[#Headers],[Ca]:[Kết thúc]]),0)&gt; VLOOKUP(AW$6, Table_ChiPhiNV_Ca[], COUNTA(Table_ChiPhiNV_Ca[[#Headers],[Ca]:[Bắt đầu]]),0),
IF($AA44-$Z$4&lt;MAX(AW$4,VLOOKUP(AW$6, Table_ChiPhiNV_Ca[], COUNTA(Table_ChiPhiNV_Ca[[#Headers],[Ca]:[Bắt đầu]]),0)),0,
IF($AA44&gt;MIN(AW$5,VLOOKUP(AW$6, Table_ChiPhiNV_Ca[], COUNTA(Table_ChiPhiNV_Ca[[#Headers],[Ca]:[Kết thúc]]),0)),0,
SUM(_xlfn._xlws.FILTER(Table_BangLuong_TyLeTangCa[Tỷ lệ],
(Table_BangLuong_TyLeTangCa[Ngày] = "Thường") *
(Table_BangLuong_TyLeTangCa[Giờ min]&lt;=$AA44) *
(Table_BangLuong_TyLeTangCa[Giờ max]&gt;$AA44)
)))),
IF(AW$4 &gt; AW$5,
IF(
AND(
$AA44-$Z$4&lt;MAX(AW$4,VLOOKUP(AW$6, Table_ChiPhiNV_Ca[], COUNTA(Table_ChiPhiNV_Ca[[#Headers],[Ca]:[Bắt đầu]]),0)),
$AA44&gt;MIN(AW$5,VLOOKUP(AW$6, Table_ChiPhiNV_Ca[], COUNTA(Table_ChiPhiNV_Ca[[#Headers],[Ca]:[Kết thúc]]),0))),0,
SUM(_xlfn._xlws.FILTER(Table_BangLuong_TyLeTangCa[Tỷ lệ],
(Table_BangLuong_TyLeTangCa[Ngày] = "Thường") *
(Table_BangLuong_TyLeTangCa[Giờ min]&lt;=$AA44) *
(Table_BangLuong_TyLeTangCa[Giờ max]&gt;$AA44)
))),
IF(
AND(
$AA44-$Z$4&gt;=MAX(AW$4,VLOOKUP(AW$6, Table_ChiPhiNV_Ca[], COUNTA(Table_ChiPhiNV_Ca[[#Headers],[Ca]:[Bắt đầu]]),0)),
$AA44&lt;MIN(AW$5,VLOOKUP(AW$6, Table_ChiPhiNV_Ca[], COUNTA(Table_ChiPhiNV_Ca[[#Headers],[Ca]:[Kết thúc]]),0))),
SUM(_xlfn._xlws.FILTER(Table_BangLuong_TyLeTangCa[Tỷ lệ],
(Table_BangLuong_TyLeTangCa[Ngày] = "Thường") *
(Table_BangLuong_TyLeTangCa[Giờ min]&lt;=$AA44) *
(Table_BangLuong_TyLeTangCa[Giờ max]&gt;$AA44)
)),0)
)),
IF(AW$4 &lt; AW$5,
IF($AA44-$Z$4&lt;AW$4,0,
IF($AA44&gt;AW$5,0,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AW$5,$AA44 &lt; AW$4),0,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X44" s="18" cm="1">
        <f t="array" ref="AX44" xml:space="preserve">
IFERROR(
IF(AX$1="",0,
IF(AND(
$AA44&gt;=VLOOKUP(AX$6, Table_ChiPhiNV_Ca[], COUNTA(Table_ChiPhiNV_Ca[[#Headers],[Ca]:[Bắt đầu nghỉ]]),0),
$AA44&lt;VLOOKUP(AX$6, Table_ChiPhiNV_Ca[], COUNTA(Table_ChiPhiNV_Ca[[#Headers],[Ca]:[Kết thúc nghỉ]]),0)
),0,
IF(NOT(ISBLANK(AX$3)),
IF(ISBLANK(AX$7),0,
IF(AX$4 &lt; AX$5,
IF($AA44-$Z$4&lt;AX$4,0,
IF($AA44&gt;AX$5,0,
SUM(_xlfn._xlws.FILTER(Table_BangLuong_TyLeTangCa[Tỷ lệ],
(Table_BangLuong_TyLeTangCa[Ngày] = AX$3) *
(Table_BangLuong_TyLeTangCa[Giờ min]&lt;=$AA44) *
(Table_BangLuong_TyLeTangCa[Giờ max]&gt;$AA44)
)))),
IF(AND($AA44-$Z$4 &gt;= AX$5,$AA44 &lt; AX$4),0,
SUM(_xlfn._xlws.FILTER(Table_BangLuong_TyLeTangCa[Tỷ lệ],
(Table_BangLuong_TyLeTangCa[Ngày] = AX$3) *
(Table_BangLuong_TyLeTangCa[Giờ min]&lt;=$AA44) *
(Table_BangLuong_TyLeTangCa[Giờ max]&gt;$AA44)
))))
),
IF(ISBLANK(AX$7),
IF(VLOOKUP(AX$6, Table_ChiPhiNV_Ca[], COUNTA(Table_ChiPhiNV_Ca[[#Headers],[Ca]:[Kết thúc]]),0)&gt; VLOOKUP(AX$6, Table_ChiPhiNV_Ca[], COUNTA(Table_ChiPhiNV_Ca[[#Headers],[Ca]:[Bắt đầu]]),0),
IF($AA44-$Z$4&lt;MAX(AX$4,VLOOKUP(AX$6, Table_ChiPhiNV_Ca[], COUNTA(Table_ChiPhiNV_Ca[[#Headers],[Ca]:[Bắt đầu]]),0)),0,
IF($AA44&gt;MIN(AX$5,VLOOKUP(AX$6, Table_ChiPhiNV_Ca[], COUNTA(Table_ChiPhiNV_Ca[[#Headers],[Ca]:[Kết thúc]]),0)),0,
SUM(_xlfn._xlws.FILTER(Table_BangLuong_TyLeTangCa[Tỷ lệ],
(Table_BangLuong_TyLeTangCa[Ngày] = "Thường") *
(Table_BangLuong_TyLeTangCa[Giờ min]&lt;=$AA44) *
(Table_BangLuong_TyLeTangCa[Giờ max]&gt;$AA44)
)))),
IF(AX$4 &gt; AX$5,
IF(
AND(
$AA44-$Z$4&lt;MAX(AX$4,VLOOKUP(AX$6, Table_ChiPhiNV_Ca[], COUNTA(Table_ChiPhiNV_Ca[[#Headers],[Ca]:[Bắt đầu]]),0)),
$AA44&gt;MIN(AX$5,VLOOKUP(AX$6, Table_ChiPhiNV_Ca[], COUNTA(Table_ChiPhiNV_Ca[[#Headers],[Ca]:[Kết thúc]]),0))),0,
SUM(_xlfn._xlws.FILTER(Table_BangLuong_TyLeTangCa[Tỷ lệ],
(Table_BangLuong_TyLeTangCa[Ngày] = "Thường") *
(Table_BangLuong_TyLeTangCa[Giờ min]&lt;=$AA44) *
(Table_BangLuong_TyLeTangCa[Giờ max]&gt;$AA44)
))),
IF(
AND(
$AA44-$Z$4&gt;=MAX(AX$4,VLOOKUP(AX$6, Table_ChiPhiNV_Ca[], COUNTA(Table_ChiPhiNV_Ca[[#Headers],[Ca]:[Bắt đầu]]),0)),
$AA44&lt;MIN(AX$5,VLOOKUP(AX$6, Table_ChiPhiNV_Ca[], COUNTA(Table_ChiPhiNV_Ca[[#Headers],[Ca]:[Kết thúc]]),0))),
SUM(_xlfn._xlws.FILTER(Table_BangLuong_TyLeTangCa[Tỷ lệ],
(Table_BangLuong_TyLeTangCa[Ngày] = "Thường") *
(Table_BangLuong_TyLeTangCa[Giờ min]&lt;=$AA44) *
(Table_BangLuong_TyLeTangCa[Giờ max]&gt;$AA44)
)),0)
)),
IF(AX$4 &lt; AX$5,
IF($AA44-$Z$4&lt;AX$4,0,
IF($AA44&gt;AX$5,0,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AX$5,$AA44 &lt; AX$4),0,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Y44" s="18" cm="1">
        <f t="array" ref="AY44" xml:space="preserve">
IFERROR(
IF(AY$1="",0,
IF(AND(
$AA44&gt;=VLOOKUP(AY$6, Table_ChiPhiNV_Ca[], COUNTA(Table_ChiPhiNV_Ca[[#Headers],[Ca]:[Bắt đầu nghỉ]]),0),
$AA44&lt;VLOOKUP(AY$6, Table_ChiPhiNV_Ca[], COUNTA(Table_ChiPhiNV_Ca[[#Headers],[Ca]:[Kết thúc nghỉ]]),0)
),0,
IF(NOT(ISBLANK(AY$3)),
IF(ISBLANK(AY$7),0,
IF(AY$4 &lt; AY$5,
IF($AA44-$Z$4&lt;AY$4,0,
IF($AA44&gt;AY$5,0,
SUM(_xlfn._xlws.FILTER(Table_BangLuong_TyLeTangCa[Tỷ lệ],
(Table_BangLuong_TyLeTangCa[Ngày] = AY$3) *
(Table_BangLuong_TyLeTangCa[Giờ min]&lt;=$AA44) *
(Table_BangLuong_TyLeTangCa[Giờ max]&gt;$AA44)
)))),
IF(AND($AA44-$Z$4 &gt;= AY$5,$AA44 &lt; AY$4),0,
SUM(_xlfn._xlws.FILTER(Table_BangLuong_TyLeTangCa[Tỷ lệ],
(Table_BangLuong_TyLeTangCa[Ngày] = AY$3) *
(Table_BangLuong_TyLeTangCa[Giờ min]&lt;=$AA44) *
(Table_BangLuong_TyLeTangCa[Giờ max]&gt;$AA44)
))))
),
IF(ISBLANK(AY$7),
IF(VLOOKUP(AY$6, Table_ChiPhiNV_Ca[], COUNTA(Table_ChiPhiNV_Ca[[#Headers],[Ca]:[Kết thúc]]),0)&gt; VLOOKUP(AY$6, Table_ChiPhiNV_Ca[], COUNTA(Table_ChiPhiNV_Ca[[#Headers],[Ca]:[Bắt đầu]]),0),
IF($AA44-$Z$4&lt;MAX(AY$4,VLOOKUP(AY$6, Table_ChiPhiNV_Ca[], COUNTA(Table_ChiPhiNV_Ca[[#Headers],[Ca]:[Bắt đầu]]),0)),0,
IF($AA44&gt;MIN(AY$5,VLOOKUP(AY$6, Table_ChiPhiNV_Ca[], COUNTA(Table_ChiPhiNV_Ca[[#Headers],[Ca]:[Kết thúc]]),0)),0,
SUM(_xlfn._xlws.FILTER(Table_BangLuong_TyLeTangCa[Tỷ lệ],
(Table_BangLuong_TyLeTangCa[Ngày] = "Thường") *
(Table_BangLuong_TyLeTangCa[Giờ min]&lt;=$AA44) *
(Table_BangLuong_TyLeTangCa[Giờ max]&gt;$AA44)
)))),
IF(AY$4 &gt; AY$5,
IF(
AND(
$AA44-$Z$4&lt;MAX(AY$4,VLOOKUP(AY$6, Table_ChiPhiNV_Ca[], COUNTA(Table_ChiPhiNV_Ca[[#Headers],[Ca]:[Bắt đầu]]),0)),
$AA44&gt;MIN(AY$5,VLOOKUP(AY$6, Table_ChiPhiNV_Ca[], COUNTA(Table_ChiPhiNV_Ca[[#Headers],[Ca]:[Kết thúc]]),0))),0,
SUM(_xlfn._xlws.FILTER(Table_BangLuong_TyLeTangCa[Tỷ lệ],
(Table_BangLuong_TyLeTangCa[Ngày] = "Thường") *
(Table_BangLuong_TyLeTangCa[Giờ min]&lt;=$AA44) *
(Table_BangLuong_TyLeTangCa[Giờ max]&gt;$AA44)
))),
IF(
AND(
$AA44-$Z$4&gt;=MAX(AY$4,VLOOKUP(AY$6, Table_ChiPhiNV_Ca[], COUNTA(Table_ChiPhiNV_Ca[[#Headers],[Ca]:[Bắt đầu]]),0)),
$AA44&lt;MIN(AY$5,VLOOKUP(AY$6, Table_ChiPhiNV_Ca[], COUNTA(Table_ChiPhiNV_Ca[[#Headers],[Ca]:[Kết thúc]]),0))),
SUM(_xlfn._xlws.FILTER(Table_BangLuong_TyLeTangCa[Tỷ lệ],
(Table_BangLuong_TyLeTangCa[Ngày] = "Thường") *
(Table_BangLuong_TyLeTangCa[Giờ min]&lt;=$AA44) *
(Table_BangLuong_TyLeTangCa[Giờ max]&gt;$AA44)
)),0)
)),
IF(AY$4 &lt; AY$5,
IF($AA44-$Z$4&lt;AY$4,0,
IF($AA44&gt;AY$5,0,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AY$5,$AA44 &lt; AY$4),0,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Z44" s="18" cm="1">
        <f t="array" ref="AZ44" xml:space="preserve">
IFERROR(
IF(AZ$1="",0,
IF(AND(
$AA44&gt;=VLOOKUP(AZ$6, Table_ChiPhiNV_Ca[], COUNTA(Table_ChiPhiNV_Ca[[#Headers],[Ca]:[Bắt đầu nghỉ]]),0),
$AA44&lt;VLOOKUP(AZ$6, Table_ChiPhiNV_Ca[], COUNTA(Table_ChiPhiNV_Ca[[#Headers],[Ca]:[Kết thúc nghỉ]]),0)
),0,
IF(NOT(ISBLANK(AZ$3)),
IF(ISBLANK(AZ$7),0,
IF(AZ$4 &lt; AZ$5,
IF($AA44-$Z$4&lt;AZ$4,0,
IF($AA44&gt;AZ$5,0,
SUM(_xlfn._xlws.FILTER(Table_BangLuong_TyLeTangCa[Tỷ lệ],
(Table_BangLuong_TyLeTangCa[Ngày] = AZ$3) *
(Table_BangLuong_TyLeTangCa[Giờ min]&lt;=$AA44) *
(Table_BangLuong_TyLeTangCa[Giờ max]&gt;$AA44)
)))),
IF(AND($AA44-$Z$4 &gt;= AZ$5,$AA44 &lt; AZ$4),0,
SUM(_xlfn._xlws.FILTER(Table_BangLuong_TyLeTangCa[Tỷ lệ],
(Table_BangLuong_TyLeTangCa[Ngày] = AZ$3) *
(Table_BangLuong_TyLeTangCa[Giờ min]&lt;=$AA44) *
(Table_BangLuong_TyLeTangCa[Giờ max]&gt;$AA44)
))))
),
IF(ISBLANK(AZ$7),
IF(VLOOKUP(AZ$6, Table_ChiPhiNV_Ca[], COUNTA(Table_ChiPhiNV_Ca[[#Headers],[Ca]:[Kết thúc]]),0)&gt; VLOOKUP(AZ$6, Table_ChiPhiNV_Ca[], COUNTA(Table_ChiPhiNV_Ca[[#Headers],[Ca]:[Bắt đầu]]),0),
IF($AA44-$Z$4&lt;MAX(AZ$4,VLOOKUP(AZ$6, Table_ChiPhiNV_Ca[], COUNTA(Table_ChiPhiNV_Ca[[#Headers],[Ca]:[Bắt đầu]]),0)),0,
IF($AA44&gt;MIN(AZ$5,VLOOKUP(AZ$6, Table_ChiPhiNV_Ca[], COUNTA(Table_ChiPhiNV_Ca[[#Headers],[Ca]:[Kết thúc]]),0)),0,
SUM(_xlfn._xlws.FILTER(Table_BangLuong_TyLeTangCa[Tỷ lệ],
(Table_BangLuong_TyLeTangCa[Ngày] = "Thường") *
(Table_BangLuong_TyLeTangCa[Giờ min]&lt;=$AA44) *
(Table_BangLuong_TyLeTangCa[Giờ max]&gt;$AA44)
)))),
IF(AZ$4 &gt; AZ$5,
IF(
AND(
$AA44-$Z$4&lt;MAX(AZ$4,VLOOKUP(AZ$6, Table_ChiPhiNV_Ca[], COUNTA(Table_ChiPhiNV_Ca[[#Headers],[Ca]:[Bắt đầu]]),0)),
$AA44&gt;MIN(AZ$5,VLOOKUP(AZ$6, Table_ChiPhiNV_Ca[], COUNTA(Table_ChiPhiNV_Ca[[#Headers],[Ca]:[Kết thúc]]),0))),0,
SUM(_xlfn._xlws.FILTER(Table_BangLuong_TyLeTangCa[Tỷ lệ],
(Table_BangLuong_TyLeTangCa[Ngày] = "Thường") *
(Table_BangLuong_TyLeTangCa[Giờ min]&lt;=$AA44) *
(Table_BangLuong_TyLeTangCa[Giờ max]&gt;$AA44)
))),
IF(
AND(
$AA44-$Z$4&gt;=MAX(AZ$4,VLOOKUP(AZ$6, Table_ChiPhiNV_Ca[], COUNTA(Table_ChiPhiNV_Ca[[#Headers],[Ca]:[Bắt đầu]]),0)),
$AA44&lt;MIN(AZ$5,VLOOKUP(AZ$6, Table_ChiPhiNV_Ca[], COUNTA(Table_ChiPhiNV_Ca[[#Headers],[Ca]:[Kết thúc]]),0))),
SUM(_xlfn._xlws.FILTER(Table_BangLuong_TyLeTangCa[Tỷ lệ],
(Table_BangLuong_TyLeTangCa[Ngày] = "Thường") *
(Table_BangLuong_TyLeTangCa[Giờ min]&lt;=$AA44) *
(Table_BangLuong_TyLeTangCa[Giờ max]&gt;$AA44)
)),0)
)),
IF(AZ$4 &lt; AZ$5,
IF($AA44-$Z$4&lt;AZ$4,0,
IF($AA44&gt;AZ$5,0,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AZ$5,$AA44 &lt; AZ$4),0,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A44" s="18" cm="1">
        <f t="array" ref="BA44" xml:space="preserve">
IFERROR(
IF(BA$1="",0,
IF(AND(
$AA44&gt;=VLOOKUP(BA$6, Table_ChiPhiNV_Ca[], COUNTA(Table_ChiPhiNV_Ca[[#Headers],[Ca]:[Bắt đầu nghỉ]]),0),
$AA44&lt;VLOOKUP(BA$6, Table_ChiPhiNV_Ca[], COUNTA(Table_ChiPhiNV_Ca[[#Headers],[Ca]:[Kết thúc nghỉ]]),0)
),0,
IF(NOT(ISBLANK(BA$3)),
IF(ISBLANK(BA$7),0,
IF(BA$4 &lt; BA$5,
IF($AA44-$Z$4&lt;BA$4,0,
IF($AA44&gt;BA$5,0,
SUM(_xlfn._xlws.FILTER(Table_BangLuong_TyLeTangCa[Tỷ lệ],
(Table_BangLuong_TyLeTangCa[Ngày] = BA$3) *
(Table_BangLuong_TyLeTangCa[Giờ min]&lt;=$AA44) *
(Table_BangLuong_TyLeTangCa[Giờ max]&gt;$AA44)
)))),
IF(AND($AA44-$Z$4 &gt;= BA$5,$AA44 &lt; BA$4),0,
SUM(_xlfn._xlws.FILTER(Table_BangLuong_TyLeTangCa[Tỷ lệ],
(Table_BangLuong_TyLeTangCa[Ngày] = BA$3) *
(Table_BangLuong_TyLeTangCa[Giờ min]&lt;=$AA44) *
(Table_BangLuong_TyLeTangCa[Giờ max]&gt;$AA44)
))))
),
IF(ISBLANK(BA$7),
IF(VLOOKUP(BA$6, Table_ChiPhiNV_Ca[], COUNTA(Table_ChiPhiNV_Ca[[#Headers],[Ca]:[Kết thúc]]),0)&gt; VLOOKUP(BA$6, Table_ChiPhiNV_Ca[], COUNTA(Table_ChiPhiNV_Ca[[#Headers],[Ca]:[Bắt đầu]]),0),
IF($AA44-$Z$4&lt;MAX(BA$4,VLOOKUP(BA$6, Table_ChiPhiNV_Ca[], COUNTA(Table_ChiPhiNV_Ca[[#Headers],[Ca]:[Bắt đầu]]),0)),0,
IF($AA44&gt;MIN(BA$5,VLOOKUP(BA$6, Table_ChiPhiNV_Ca[], COUNTA(Table_ChiPhiNV_Ca[[#Headers],[Ca]:[Kết thúc]]),0)),0,
SUM(_xlfn._xlws.FILTER(Table_BangLuong_TyLeTangCa[Tỷ lệ],
(Table_BangLuong_TyLeTangCa[Ngày] = "Thường") *
(Table_BangLuong_TyLeTangCa[Giờ min]&lt;=$AA44) *
(Table_BangLuong_TyLeTangCa[Giờ max]&gt;$AA44)
)))),
IF(BA$4 &gt; BA$5,
IF(
AND(
$AA44-$Z$4&lt;MAX(BA$4,VLOOKUP(BA$6, Table_ChiPhiNV_Ca[], COUNTA(Table_ChiPhiNV_Ca[[#Headers],[Ca]:[Bắt đầu]]),0)),
$AA44&gt;MIN(BA$5,VLOOKUP(BA$6, Table_ChiPhiNV_Ca[], COUNTA(Table_ChiPhiNV_Ca[[#Headers],[Ca]:[Kết thúc]]),0))),0,
SUM(_xlfn._xlws.FILTER(Table_BangLuong_TyLeTangCa[Tỷ lệ],
(Table_BangLuong_TyLeTangCa[Ngày] = "Thường") *
(Table_BangLuong_TyLeTangCa[Giờ min]&lt;=$AA44) *
(Table_BangLuong_TyLeTangCa[Giờ max]&gt;$AA44)
))),
IF(
AND(
$AA44-$Z$4&gt;=MAX(BA$4,VLOOKUP(BA$6, Table_ChiPhiNV_Ca[], COUNTA(Table_ChiPhiNV_Ca[[#Headers],[Ca]:[Bắt đầu]]),0)),
$AA44&lt;MIN(BA$5,VLOOKUP(BA$6, Table_ChiPhiNV_Ca[], COUNTA(Table_ChiPhiNV_Ca[[#Headers],[Ca]:[Kết thúc]]),0))),
SUM(_xlfn._xlws.FILTER(Table_BangLuong_TyLeTangCa[Tỷ lệ],
(Table_BangLuong_TyLeTangCa[Ngày] = "Thường") *
(Table_BangLuong_TyLeTangCa[Giờ min]&lt;=$AA44) *
(Table_BangLuong_TyLeTangCa[Giờ max]&gt;$AA44)
)),0)
)),
IF(BA$4 &lt; BA$5,
IF($AA44-$Z$4&lt;BA$4,0,
IF($AA44&gt;BA$5,0,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BA$5,$AA44 &lt; BA$4),0,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B44" s="18" cm="1">
        <f t="array" ref="BB44" xml:space="preserve">
IFERROR(
IF(BB$1="",0,
IF(AND(
$AA44&gt;=VLOOKUP(BB$6, Table_ChiPhiNV_Ca[], COUNTA(Table_ChiPhiNV_Ca[[#Headers],[Ca]:[Bắt đầu nghỉ]]),0),
$AA44&lt;VLOOKUP(BB$6, Table_ChiPhiNV_Ca[], COUNTA(Table_ChiPhiNV_Ca[[#Headers],[Ca]:[Kết thúc nghỉ]]),0)
),0,
IF(NOT(ISBLANK(BB$3)),
IF(ISBLANK(BB$7),0,
IF(BB$4 &lt; BB$5,
IF($AA44-$Z$4&lt;BB$4,0,
IF($AA44&gt;BB$5,0,
SUM(_xlfn._xlws.FILTER(Table_BangLuong_TyLeTangCa[Tỷ lệ],
(Table_BangLuong_TyLeTangCa[Ngày] = BB$3) *
(Table_BangLuong_TyLeTangCa[Giờ min]&lt;=$AA44) *
(Table_BangLuong_TyLeTangCa[Giờ max]&gt;$AA44)
)))),
IF(AND($AA44-$Z$4 &gt;= BB$5,$AA44 &lt; BB$4),0,
SUM(_xlfn._xlws.FILTER(Table_BangLuong_TyLeTangCa[Tỷ lệ],
(Table_BangLuong_TyLeTangCa[Ngày] = BB$3) *
(Table_BangLuong_TyLeTangCa[Giờ min]&lt;=$AA44) *
(Table_BangLuong_TyLeTangCa[Giờ max]&gt;$AA44)
))))
),
IF(ISBLANK(BB$7),
IF(VLOOKUP(BB$6, Table_ChiPhiNV_Ca[], COUNTA(Table_ChiPhiNV_Ca[[#Headers],[Ca]:[Kết thúc]]),0)&gt; VLOOKUP(BB$6, Table_ChiPhiNV_Ca[], COUNTA(Table_ChiPhiNV_Ca[[#Headers],[Ca]:[Bắt đầu]]),0),
IF($AA44-$Z$4&lt;MAX(BB$4,VLOOKUP(BB$6, Table_ChiPhiNV_Ca[], COUNTA(Table_ChiPhiNV_Ca[[#Headers],[Ca]:[Bắt đầu]]),0)),0,
IF($AA44&gt;MIN(BB$5,VLOOKUP(BB$6, Table_ChiPhiNV_Ca[], COUNTA(Table_ChiPhiNV_Ca[[#Headers],[Ca]:[Kết thúc]]),0)),0,
SUM(_xlfn._xlws.FILTER(Table_BangLuong_TyLeTangCa[Tỷ lệ],
(Table_BangLuong_TyLeTangCa[Ngày] = "Thường") *
(Table_BangLuong_TyLeTangCa[Giờ min]&lt;=$AA44) *
(Table_BangLuong_TyLeTangCa[Giờ max]&gt;$AA44)
)))),
IF(BB$4 &gt; BB$5,
IF(
AND(
$AA44-$Z$4&lt;MAX(BB$4,VLOOKUP(BB$6, Table_ChiPhiNV_Ca[], COUNTA(Table_ChiPhiNV_Ca[[#Headers],[Ca]:[Bắt đầu]]),0)),
$AA44&gt;MIN(BB$5,VLOOKUP(BB$6, Table_ChiPhiNV_Ca[], COUNTA(Table_ChiPhiNV_Ca[[#Headers],[Ca]:[Kết thúc]]),0))),0,
SUM(_xlfn._xlws.FILTER(Table_BangLuong_TyLeTangCa[Tỷ lệ],
(Table_BangLuong_TyLeTangCa[Ngày] = "Thường") *
(Table_BangLuong_TyLeTangCa[Giờ min]&lt;=$AA44) *
(Table_BangLuong_TyLeTangCa[Giờ max]&gt;$AA44)
))),
IF(
AND(
$AA44-$Z$4&gt;=MAX(BB$4,VLOOKUP(BB$6, Table_ChiPhiNV_Ca[], COUNTA(Table_ChiPhiNV_Ca[[#Headers],[Ca]:[Bắt đầu]]),0)),
$AA44&lt;MIN(BB$5,VLOOKUP(BB$6, Table_ChiPhiNV_Ca[], COUNTA(Table_ChiPhiNV_Ca[[#Headers],[Ca]:[Kết thúc]]),0))),
SUM(_xlfn._xlws.FILTER(Table_BangLuong_TyLeTangCa[Tỷ lệ],
(Table_BangLuong_TyLeTangCa[Ngày] = "Thường") *
(Table_BangLuong_TyLeTangCa[Giờ min]&lt;=$AA44) *
(Table_BangLuong_TyLeTangCa[Giờ max]&gt;$AA44)
)),0)
)),
IF(BB$4 &lt; BB$5,
IF($AA44-$Z$4&lt;BB$4,0,
IF($AA44&gt;BB$5,0,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BB$5,$AA44 &lt; BB$4),0,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C44" s="18" cm="1">
        <f t="array" ref="BC44" xml:space="preserve">
IFERROR(
IF(BC$1="",0,
IF(AND(
$AA44&gt;=VLOOKUP(BC$6, Table_ChiPhiNV_Ca[], COUNTA(Table_ChiPhiNV_Ca[[#Headers],[Ca]:[Bắt đầu nghỉ]]),0),
$AA44&lt;VLOOKUP(BC$6, Table_ChiPhiNV_Ca[], COUNTA(Table_ChiPhiNV_Ca[[#Headers],[Ca]:[Kết thúc nghỉ]]),0)
),0,
IF(NOT(ISBLANK(BC$3)),
IF(ISBLANK(BC$7),0,
IF(BC$4 &lt; BC$5,
IF($AA44-$Z$4&lt;BC$4,0,
IF($AA44&gt;BC$5,0,
SUM(_xlfn._xlws.FILTER(Table_BangLuong_TyLeTangCa[Tỷ lệ],
(Table_BangLuong_TyLeTangCa[Ngày] = BC$3) *
(Table_BangLuong_TyLeTangCa[Giờ min]&lt;=$AA44) *
(Table_BangLuong_TyLeTangCa[Giờ max]&gt;$AA44)
)))),
IF(AND($AA44-$Z$4 &gt;= BC$5,$AA44 &lt; BC$4),0,
SUM(_xlfn._xlws.FILTER(Table_BangLuong_TyLeTangCa[Tỷ lệ],
(Table_BangLuong_TyLeTangCa[Ngày] = BC$3) *
(Table_BangLuong_TyLeTangCa[Giờ min]&lt;=$AA44) *
(Table_BangLuong_TyLeTangCa[Giờ max]&gt;$AA44)
))))
),
IF(ISBLANK(BC$7),
IF(VLOOKUP(BC$6, Table_ChiPhiNV_Ca[], COUNTA(Table_ChiPhiNV_Ca[[#Headers],[Ca]:[Kết thúc]]),0)&gt; VLOOKUP(BC$6, Table_ChiPhiNV_Ca[], COUNTA(Table_ChiPhiNV_Ca[[#Headers],[Ca]:[Bắt đầu]]),0),
IF($AA44-$Z$4&lt;MAX(BC$4,VLOOKUP(BC$6, Table_ChiPhiNV_Ca[], COUNTA(Table_ChiPhiNV_Ca[[#Headers],[Ca]:[Bắt đầu]]),0)),0,
IF($AA44&gt;MIN(BC$5,VLOOKUP(BC$6, Table_ChiPhiNV_Ca[], COUNTA(Table_ChiPhiNV_Ca[[#Headers],[Ca]:[Kết thúc]]),0)),0,
SUM(_xlfn._xlws.FILTER(Table_BangLuong_TyLeTangCa[Tỷ lệ],
(Table_BangLuong_TyLeTangCa[Ngày] = "Thường") *
(Table_BangLuong_TyLeTangCa[Giờ min]&lt;=$AA44) *
(Table_BangLuong_TyLeTangCa[Giờ max]&gt;$AA44)
)))),
IF(BC$4 &gt; BC$5,
IF(
AND(
$AA44-$Z$4&lt;MAX(BC$4,VLOOKUP(BC$6, Table_ChiPhiNV_Ca[], COUNTA(Table_ChiPhiNV_Ca[[#Headers],[Ca]:[Bắt đầu]]),0)),
$AA44&gt;MIN(BC$5,VLOOKUP(BC$6, Table_ChiPhiNV_Ca[], COUNTA(Table_ChiPhiNV_Ca[[#Headers],[Ca]:[Kết thúc]]),0))),0,
SUM(_xlfn._xlws.FILTER(Table_BangLuong_TyLeTangCa[Tỷ lệ],
(Table_BangLuong_TyLeTangCa[Ngày] = "Thường") *
(Table_BangLuong_TyLeTangCa[Giờ min]&lt;=$AA44) *
(Table_BangLuong_TyLeTangCa[Giờ max]&gt;$AA44)
))),
IF(
AND(
$AA44-$Z$4&gt;=MAX(BC$4,VLOOKUP(BC$6, Table_ChiPhiNV_Ca[], COUNTA(Table_ChiPhiNV_Ca[[#Headers],[Ca]:[Bắt đầu]]),0)),
$AA44&lt;MIN(BC$5,VLOOKUP(BC$6, Table_ChiPhiNV_Ca[], COUNTA(Table_ChiPhiNV_Ca[[#Headers],[Ca]:[Kết thúc]]),0))),
SUM(_xlfn._xlws.FILTER(Table_BangLuong_TyLeTangCa[Tỷ lệ],
(Table_BangLuong_TyLeTangCa[Ngày] = "Thường") *
(Table_BangLuong_TyLeTangCa[Giờ min]&lt;=$AA44) *
(Table_BangLuong_TyLeTangCa[Giờ max]&gt;$AA44)
)),0)
)),
IF(BC$4 &lt; BC$5,
IF($AA44-$Z$4&lt;BC$4,0,
IF($AA44&gt;BC$5,0,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BC$5,$AA44 &lt; BC$4),0,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D44" s="18" cm="1">
        <f t="array" ref="BD44" xml:space="preserve">
IFERROR(
IF(BD$1="",0,
IF(AND(
$AA44&gt;=VLOOKUP(BD$6, Table_ChiPhiNV_Ca[], COUNTA(Table_ChiPhiNV_Ca[[#Headers],[Ca]:[Bắt đầu nghỉ]]),0),
$AA44&lt;VLOOKUP(BD$6, Table_ChiPhiNV_Ca[], COUNTA(Table_ChiPhiNV_Ca[[#Headers],[Ca]:[Kết thúc nghỉ]]),0)
),0,
IF(NOT(ISBLANK(BD$3)),
IF(ISBLANK(BD$7),0,
IF(BD$4 &lt; BD$5,
IF($AA44-$Z$4&lt;BD$4,0,
IF($AA44&gt;BD$5,0,
SUM(_xlfn._xlws.FILTER(Table_BangLuong_TyLeTangCa[Tỷ lệ],
(Table_BangLuong_TyLeTangCa[Ngày] = BD$3) *
(Table_BangLuong_TyLeTangCa[Giờ min]&lt;=$AA44) *
(Table_BangLuong_TyLeTangCa[Giờ max]&gt;$AA44)
)))),
IF(AND($AA44-$Z$4 &gt;= BD$5,$AA44 &lt; BD$4),0,
SUM(_xlfn._xlws.FILTER(Table_BangLuong_TyLeTangCa[Tỷ lệ],
(Table_BangLuong_TyLeTangCa[Ngày] = BD$3) *
(Table_BangLuong_TyLeTangCa[Giờ min]&lt;=$AA44) *
(Table_BangLuong_TyLeTangCa[Giờ max]&gt;$AA44)
))))
),
IF(ISBLANK(BD$7),
IF(VLOOKUP(BD$6, Table_ChiPhiNV_Ca[], COUNTA(Table_ChiPhiNV_Ca[[#Headers],[Ca]:[Kết thúc]]),0)&gt; VLOOKUP(BD$6, Table_ChiPhiNV_Ca[], COUNTA(Table_ChiPhiNV_Ca[[#Headers],[Ca]:[Bắt đầu]]),0),
IF($AA44-$Z$4&lt;MAX(BD$4,VLOOKUP(BD$6, Table_ChiPhiNV_Ca[], COUNTA(Table_ChiPhiNV_Ca[[#Headers],[Ca]:[Bắt đầu]]),0)),0,
IF($AA44&gt;MIN(BD$5,VLOOKUP(BD$6, Table_ChiPhiNV_Ca[], COUNTA(Table_ChiPhiNV_Ca[[#Headers],[Ca]:[Kết thúc]]),0)),0,
SUM(_xlfn._xlws.FILTER(Table_BangLuong_TyLeTangCa[Tỷ lệ],
(Table_BangLuong_TyLeTangCa[Ngày] = "Thường") *
(Table_BangLuong_TyLeTangCa[Giờ min]&lt;=$AA44) *
(Table_BangLuong_TyLeTangCa[Giờ max]&gt;$AA44)
)))),
IF(BD$4 &gt; BD$5,
IF(
AND(
$AA44-$Z$4&lt;MAX(BD$4,VLOOKUP(BD$6, Table_ChiPhiNV_Ca[], COUNTA(Table_ChiPhiNV_Ca[[#Headers],[Ca]:[Bắt đầu]]),0)),
$AA44&gt;MIN(BD$5,VLOOKUP(BD$6, Table_ChiPhiNV_Ca[], COUNTA(Table_ChiPhiNV_Ca[[#Headers],[Ca]:[Kết thúc]]),0))),0,
SUM(_xlfn._xlws.FILTER(Table_BangLuong_TyLeTangCa[Tỷ lệ],
(Table_BangLuong_TyLeTangCa[Ngày] = "Thường") *
(Table_BangLuong_TyLeTangCa[Giờ min]&lt;=$AA44) *
(Table_BangLuong_TyLeTangCa[Giờ max]&gt;$AA44)
))),
IF(
AND(
$AA44-$Z$4&gt;=MAX(BD$4,VLOOKUP(BD$6, Table_ChiPhiNV_Ca[], COUNTA(Table_ChiPhiNV_Ca[[#Headers],[Ca]:[Bắt đầu]]),0)),
$AA44&lt;MIN(BD$5,VLOOKUP(BD$6, Table_ChiPhiNV_Ca[], COUNTA(Table_ChiPhiNV_Ca[[#Headers],[Ca]:[Kết thúc]]),0))),
SUM(_xlfn._xlws.FILTER(Table_BangLuong_TyLeTangCa[Tỷ lệ],
(Table_BangLuong_TyLeTangCa[Ngày] = "Thường") *
(Table_BangLuong_TyLeTangCa[Giờ min]&lt;=$AA44) *
(Table_BangLuong_TyLeTangCa[Giờ max]&gt;$AA44)
)),0)
)),
IF(BD$4 &lt; BD$5,
IF($AA44-$Z$4&lt;BD$4,0,
IF($AA44&gt;BD$5,0,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BD$5,$AA44 &lt; BD$4),0,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E44" s="18" cm="1">
        <f t="array" ref="BE44" xml:space="preserve">
IFERROR(
IF(BE$1="",0,
IF(AND(
$AA44&gt;=VLOOKUP(BE$6, Table_ChiPhiNV_Ca[], COUNTA(Table_ChiPhiNV_Ca[[#Headers],[Ca]:[Bắt đầu nghỉ]]),0),
$AA44&lt;VLOOKUP(BE$6, Table_ChiPhiNV_Ca[], COUNTA(Table_ChiPhiNV_Ca[[#Headers],[Ca]:[Kết thúc nghỉ]]),0)
),0,
IF(NOT(ISBLANK(BE$3)),
IF(ISBLANK(BE$7),0,
IF(BE$4 &lt; BE$5,
IF($AA44-$Z$4&lt;BE$4,0,
IF($AA44&gt;BE$5,0,
SUM(_xlfn._xlws.FILTER(Table_BangLuong_TyLeTangCa[Tỷ lệ],
(Table_BangLuong_TyLeTangCa[Ngày] = BE$3) *
(Table_BangLuong_TyLeTangCa[Giờ min]&lt;=$AA44) *
(Table_BangLuong_TyLeTangCa[Giờ max]&gt;$AA44)
)))),
IF(AND($AA44-$Z$4 &gt;= BE$5,$AA44 &lt; BE$4),0,
SUM(_xlfn._xlws.FILTER(Table_BangLuong_TyLeTangCa[Tỷ lệ],
(Table_BangLuong_TyLeTangCa[Ngày] = BE$3) *
(Table_BangLuong_TyLeTangCa[Giờ min]&lt;=$AA44) *
(Table_BangLuong_TyLeTangCa[Giờ max]&gt;$AA44)
))))
),
IF(ISBLANK(BE$7),
IF(VLOOKUP(BE$6, Table_ChiPhiNV_Ca[], COUNTA(Table_ChiPhiNV_Ca[[#Headers],[Ca]:[Kết thúc]]),0)&gt; VLOOKUP(BE$6, Table_ChiPhiNV_Ca[], COUNTA(Table_ChiPhiNV_Ca[[#Headers],[Ca]:[Bắt đầu]]),0),
IF($AA44-$Z$4&lt;MAX(BE$4,VLOOKUP(BE$6, Table_ChiPhiNV_Ca[], COUNTA(Table_ChiPhiNV_Ca[[#Headers],[Ca]:[Bắt đầu]]),0)),0,
IF($AA44&gt;MIN(BE$5,VLOOKUP(BE$6, Table_ChiPhiNV_Ca[], COUNTA(Table_ChiPhiNV_Ca[[#Headers],[Ca]:[Kết thúc]]),0)),0,
SUM(_xlfn._xlws.FILTER(Table_BangLuong_TyLeTangCa[Tỷ lệ],
(Table_BangLuong_TyLeTangCa[Ngày] = "Thường") *
(Table_BangLuong_TyLeTangCa[Giờ min]&lt;=$AA44) *
(Table_BangLuong_TyLeTangCa[Giờ max]&gt;$AA44)
)))),
IF(BE$4 &gt; BE$5,
IF(
AND(
$AA44-$Z$4&lt;MAX(BE$4,VLOOKUP(BE$6, Table_ChiPhiNV_Ca[], COUNTA(Table_ChiPhiNV_Ca[[#Headers],[Ca]:[Bắt đầu]]),0)),
$AA44&gt;MIN(BE$5,VLOOKUP(BE$6, Table_ChiPhiNV_Ca[], COUNTA(Table_ChiPhiNV_Ca[[#Headers],[Ca]:[Kết thúc]]),0))),0,
SUM(_xlfn._xlws.FILTER(Table_BangLuong_TyLeTangCa[Tỷ lệ],
(Table_BangLuong_TyLeTangCa[Ngày] = "Thường") *
(Table_BangLuong_TyLeTangCa[Giờ min]&lt;=$AA44) *
(Table_BangLuong_TyLeTangCa[Giờ max]&gt;$AA44)
))),
IF(
AND(
$AA44-$Z$4&gt;=MAX(BE$4,VLOOKUP(BE$6, Table_ChiPhiNV_Ca[], COUNTA(Table_ChiPhiNV_Ca[[#Headers],[Ca]:[Bắt đầu]]),0)),
$AA44&lt;MIN(BE$5,VLOOKUP(BE$6, Table_ChiPhiNV_Ca[], COUNTA(Table_ChiPhiNV_Ca[[#Headers],[Ca]:[Kết thúc]]),0))),
SUM(_xlfn._xlws.FILTER(Table_BangLuong_TyLeTangCa[Tỷ lệ],
(Table_BangLuong_TyLeTangCa[Ngày] = "Thường") *
(Table_BangLuong_TyLeTangCa[Giờ min]&lt;=$AA44) *
(Table_BangLuong_TyLeTangCa[Giờ max]&gt;$AA44)
)),0)
)),
IF(BE$4 &lt; BE$5,
IF($AA44-$Z$4&lt;BE$4,0,
IF($AA44&gt;BE$5,0,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BE$5,$AA44 &lt; BE$4),0,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F44" s="18" cm="1">
        <f t="array" ref="BF44" xml:space="preserve">
IFERROR(
IF(BF$1="",0,
IF(AND(
$AA44&gt;=VLOOKUP(BF$6, Table_ChiPhiNV_Ca[], COUNTA(Table_ChiPhiNV_Ca[[#Headers],[Ca]:[Bắt đầu nghỉ]]),0),
$AA44&lt;VLOOKUP(BF$6, Table_ChiPhiNV_Ca[], COUNTA(Table_ChiPhiNV_Ca[[#Headers],[Ca]:[Kết thúc nghỉ]]),0)
),0,
IF(NOT(ISBLANK(BF$3)),
IF(ISBLANK(BF$7),0,
IF(BF$4 &lt; BF$5,
IF($AA44-$Z$4&lt;BF$4,0,
IF($AA44&gt;BF$5,0,
SUM(_xlfn._xlws.FILTER(Table_BangLuong_TyLeTangCa[Tỷ lệ],
(Table_BangLuong_TyLeTangCa[Ngày] = BF$3) *
(Table_BangLuong_TyLeTangCa[Giờ min]&lt;=$AA44) *
(Table_BangLuong_TyLeTangCa[Giờ max]&gt;$AA44)
)))),
IF(AND($AA44-$Z$4 &gt;= BF$5,$AA44 &lt; BF$4),0,
SUM(_xlfn._xlws.FILTER(Table_BangLuong_TyLeTangCa[Tỷ lệ],
(Table_BangLuong_TyLeTangCa[Ngày] = BF$3) *
(Table_BangLuong_TyLeTangCa[Giờ min]&lt;=$AA44) *
(Table_BangLuong_TyLeTangCa[Giờ max]&gt;$AA44)
))))
),
IF(ISBLANK(BF$7),
IF(VLOOKUP(BF$6, Table_ChiPhiNV_Ca[], COUNTA(Table_ChiPhiNV_Ca[[#Headers],[Ca]:[Kết thúc]]),0)&gt; VLOOKUP(BF$6, Table_ChiPhiNV_Ca[], COUNTA(Table_ChiPhiNV_Ca[[#Headers],[Ca]:[Bắt đầu]]),0),
IF($AA44-$Z$4&lt;MAX(BF$4,VLOOKUP(BF$6, Table_ChiPhiNV_Ca[], COUNTA(Table_ChiPhiNV_Ca[[#Headers],[Ca]:[Bắt đầu]]),0)),0,
IF($AA44&gt;MIN(BF$5,VLOOKUP(BF$6, Table_ChiPhiNV_Ca[], COUNTA(Table_ChiPhiNV_Ca[[#Headers],[Ca]:[Kết thúc]]),0)),0,
SUM(_xlfn._xlws.FILTER(Table_BangLuong_TyLeTangCa[Tỷ lệ],
(Table_BangLuong_TyLeTangCa[Ngày] = "Thường") *
(Table_BangLuong_TyLeTangCa[Giờ min]&lt;=$AA44) *
(Table_BangLuong_TyLeTangCa[Giờ max]&gt;$AA44)
)))),
IF(BF$4 &gt; BF$5,
IF(
AND(
$AA44-$Z$4&lt;MAX(BF$4,VLOOKUP(BF$6, Table_ChiPhiNV_Ca[], COUNTA(Table_ChiPhiNV_Ca[[#Headers],[Ca]:[Bắt đầu]]),0)),
$AA44&gt;MIN(BF$5,VLOOKUP(BF$6, Table_ChiPhiNV_Ca[], COUNTA(Table_ChiPhiNV_Ca[[#Headers],[Ca]:[Kết thúc]]),0))),0,
SUM(_xlfn._xlws.FILTER(Table_BangLuong_TyLeTangCa[Tỷ lệ],
(Table_BangLuong_TyLeTangCa[Ngày] = "Thường") *
(Table_BangLuong_TyLeTangCa[Giờ min]&lt;=$AA44) *
(Table_BangLuong_TyLeTangCa[Giờ max]&gt;$AA44)
))),
IF(
AND(
$AA44-$Z$4&gt;=MAX(BF$4,VLOOKUP(BF$6, Table_ChiPhiNV_Ca[], COUNTA(Table_ChiPhiNV_Ca[[#Headers],[Ca]:[Bắt đầu]]),0)),
$AA44&lt;MIN(BF$5,VLOOKUP(BF$6, Table_ChiPhiNV_Ca[], COUNTA(Table_ChiPhiNV_Ca[[#Headers],[Ca]:[Kết thúc]]),0))),
SUM(_xlfn._xlws.FILTER(Table_BangLuong_TyLeTangCa[Tỷ lệ],
(Table_BangLuong_TyLeTangCa[Ngày] = "Thường") *
(Table_BangLuong_TyLeTangCa[Giờ min]&lt;=$AA44) *
(Table_BangLuong_TyLeTangCa[Giờ max]&gt;$AA44)
)),0)
)),
IF(BF$4 &lt; BF$5,
IF($AA44-$Z$4&lt;BF$4,0,
IF($AA44&gt;BF$5,0,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BF$5,$AA44 &lt; BF$4),0,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row>
    <row r="45" spans="2:58" ht="18" customHeight="1" outlineLevel="1" x14ac:dyDescent="0.3">
      <c r="AA45" s="50">
        <v>0.75</v>
      </c>
      <c r="AB45" s="18" cm="1">
        <f t="array" ref="AB45" xml:space="preserve">
IFERROR(
IF(AB$1="",0,
IF(AND(
$AA45&gt;=VLOOKUP(AB$6, Table_ChiPhiNV_Ca[], COUNTA(Table_ChiPhiNV_Ca[[#Headers],[Ca]:[Bắt đầu nghỉ]]),0),
$AA45&lt;VLOOKUP(AB$6, Table_ChiPhiNV_Ca[], COUNTA(Table_ChiPhiNV_Ca[[#Headers],[Ca]:[Kết thúc nghỉ]]),0)
),0,
IF(NOT(ISBLANK(AB$3)),
IF(ISBLANK(AB$7),0,
IF(AB$4 &lt; AB$5,
IF($AA45-$Z$4&lt;AB$4,0,
IF($AA45&gt;AB$5,0,
SUM(_xlfn._xlws.FILTER(Table_BangLuong_TyLeTangCa[Tỷ lệ],
(Table_BangLuong_TyLeTangCa[Ngày] = AB$3) *
(Table_BangLuong_TyLeTangCa[Giờ min]&lt;=$AA45) *
(Table_BangLuong_TyLeTangCa[Giờ max]&gt;$AA45)
)))),
IF(AND($AA45-$Z$4 &gt;= AB$5,$AA45 &lt; AB$4),0,
SUM(_xlfn._xlws.FILTER(Table_BangLuong_TyLeTangCa[Tỷ lệ],
(Table_BangLuong_TyLeTangCa[Ngày] = AB$3) *
(Table_BangLuong_TyLeTangCa[Giờ min]&lt;=$AA45) *
(Table_BangLuong_TyLeTangCa[Giờ max]&gt;$AA45)
))))
),
IF(ISBLANK(AB$7),
IF(VLOOKUP(AB$6, Table_ChiPhiNV_Ca[], COUNTA(Table_ChiPhiNV_Ca[[#Headers],[Ca]:[Kết thúc]]),0)&gt; VLOOKUP(AB$6, Table_ChiPhiNV_Ca[], COUNTA(Table_ChiPhiNV_Ca[[#Headers],[Ca]:[Bắt đầu]]),0),
IF($AA45-$Z$4&lt;MAX(AB$4,VLOOKUP(AB$6, Table_ChiPhiNV_Ca[], COUNTA(Table_ChiPhiNV_Ca[[#Headers],[Ca]:[Bắt đầu]]),0)),0,
IF($AA45&gt;MIN(AB$5,VLOOKUP(AB$6, Table_ChiPhiNV_Ca[], COUNTA(Table_ChiPhiNV_Ca[[#Headers],[Ca]:[Kết thúc]]),0)),0,
SUM(_xlfn._xlws.FILTER(Table_BangLuong_TyLeTangCa[Tỷ lệ],
(Table_BangLuong_TyLeTangCa[Ngày] = "Thường") *
(Table_BangLuong_TyLeTangCa[Giờ min]&lt;=$AA45) *
(Table_BangLuong_TyLeTangCa[Giờ max]&gt;$AA45)
)))),
IF(AB$4 &gt; AB$5,
IF(
AND(
$AA45-$Z$4&lt;MAX(AB$4,VLOOKUP(AB$6, Table_ChiPhiNV_Ca[], COUNTA(Table_ChiPhiNV_Ca[[#Headers],[Ca]:[Bắt đầu]]),0)),
$AA45&gt;MIN(AB$5,VLOOKUP(AB$6, Table_ChiPhiNV_Ca[], COUNTA(Table_ChiPhiNV_Ca[[#Headers],[Ca]:[Kết thúc]]),0))),0,
SUM(_xlfn._xlws.FILTER(Table_BangLuong_TyLeTangCa[Tỷ lệ],
(Table_BangLuong_TyLeTangCa[Ngày] = "Thường") *
(Table_BangLuong_TyLeTangCa[Giờ min]&lt;=$AA45) *
(Table_BangLuong_TyLeTangCa[Giờ max]&gt;$AA45)
))),
IF(
AND(
$AA45-$Z$4&gt;=MAX(AB$4,VLOOKUP(AB$6, Table_ChiPhiNV_Ca[], COUNTA(Table_ChiPhiNV_Ca[[#Headers],[Ca]:[Bắt đầu]]),0)),
$AA45&lt;MIN(AB$5,VLOOKUP(AB$6, Table_ChiPhiNV_Ca[], COUNTA(Table_ChiPhiNV_Ca[[#Headers],[Ca]:[Kết thúc]]),0))),
SUM(_xlfn._xlws.FILTER(Table_BangLuong_TyLeTangCa[Tỷ lệ],
(Table_BangLuong_TyLeTangCa[Ngày] = "Thường") *
(Table_BangLuong_TyLeTangCa[Giờ min]&lt;=$AA45) *
(Table_BangLuong_TyLeTangCa[Giờ max]&gt;$AA45)
)),0)
)),
IF(AB$4 &lt; AB$5,
IF($AA45-$Z$4&lt;AB$4,0,
IF($AA45&gt;AB$5,0,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AB$5,$AA45 &lt; AB$4),0,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C45" s="18" cm="1">
        <f t="array" ref="AC45" xml:space="preserve">
IFERROR(
IF(AC$1="",0,
IF(AND(
$AA45&gt;=VLOOKUP(AC$6, Table_ChiPhiNV_Ca[], COUNTA(Table_ChiPhiNV_Ca[[#Headers],[Ca]:[Bắt đầu nghỉ]]),0),
$AA45&lt;VLOOKUP(AC$6, Table_ChiPhiNV_Ca[], COUNTA(Table_ChiPhiNV_Ca[[#Headers],[Ca]:[Kết thúc nghỉ]]),0)
),0,
IF(NOT(ISBLANK(AC$3)),
IF(ISBLANK(AC$7),0,
IF(AC$4 &lt; AC$5,
IF($AA45-$Z$4&lt;AC$4,0,
IF($AA45&gt;AC$5,0,
SUM(_xlfn._xlws.FILTER(Table_BangLuong_TyLeTangCa[Tỷ lệ],
(Table_BangLuong_TyLeTangCa[Ngày] = AC$3) *
(Table_BangLuong_TyLeTangCa[Giờ min]&lt;=$AA45) *
(Table_BangLuong_TyLeTangCa[Giờ max]&gt;$AA45)
)))),
IF(AND($AA45-$Z$4 &gt;= AC$5,$AA45 &lt; AC$4),0,
SUM(_xlfn._xlws.FILTER(Table_BangLuong_TyLeTangCa[Tỷ lệ],
(Table_BangLuong_TyLeTangCa[Ngày] = AC$3) *
(Table_BangLuong_TyLeTangCa[Giờ min]&lt;=$AA45) *
(Table_BangLuong_TyLeTangCa[Giờ max]&gt;$AA45)
))))
),
IF(ISBLANK(AC$7),
IF(VLOOKUP(AC$6, Table_ChiPhiNV_Ca[], COUNTA(Table_ChiPhiNV_Ca[[#Headers],[Ca]:[Kết thúc]]),0)&gt; VLOOKUP(AC$6, Table_ChiPhiNV_Ca[], COUNTA(Table_ChiPhiNV_Ca[[#Headers],[Ca]:[Bắt đầu]]),0),
IF($AA45-$Z$4&lt;MAX(AC$4,VLOOKUP(AC$6, Table_ChiPhiNV_Ca[], COUNTA(Table_ChiPhiNV_Ca[[#Headers],[Ca]:[Bắt đầu]]),0)),0,
IF($AA45&gt;MIN(AC$5,VLOOKUP(AC$6, Table_ChiPhiNV_Ca[], COUNTA(Table_ChiPhiNV_Ca[[#Headers],[Ca]:[Kết thúc]]),0)),0,
SUM(_xlfn._xlws.FILTER(Table_BangLuong_TyLeTangCa[Tỷ lệ],
(Table_BangLuong_TyLeTangCa[Ngày] = "Thường") *
(Table_BangLuong_TyLeTangCa[Giờ min]&lt;=$AA45) *
(Table_BangLuong_TyLeTangCa[Giờ max]&gt;$AA45)
)))),
IF(AC$4 &gt; AC$5,
IF(
AND(
$AA45-$Z$4&lt;MAX(AC$4,VLOOKUP(AC$6, Table_ChiPhiNV_Ca[], COUNTA(Table_ChiPhiNV_Ca[[#Headers],[Ca]:[Bắt đầu]]),0)),
$AA45&gt;MIN(AC$5,VLOOKUP(AC$6, Table_ChiPhiNV_Ca[], COUNTA(Table_ChiPhiNV_Ca[[#Headers],[Ca]:[Kết thúc]]),0))),0,
SUM(_xlfn._xlws.FILTER(Table_BangLuong_TyLeTangCa[Tỷ lệ],
(Table_BangLuong_TyLeTangCa[Ngày] = "Thường") *
(Table_BangLuong_TyLeTangCa[Giờ min]&lt;=$AA45) *
(Table_BangLuong_TyLeTangCa[Giờ max]&gt;$AA45)
))),
IF(
AND(
$AA45-$Z$4&gt;=MAX(AC$4,VLOOKUP(AC$6, Table_ChiPhiNV_Ca[], COUNTA(Table_ChiPhiNV_Ca[[#Headers],[Ca]:[Bắt đầu]]),0)),
$AA45&lt;MIN(AC$5,VLOOKUP(AC$6, Table_ChiPhiNV_Ca[], COUNTA(Table_ChiPhiNV_Ca[[#Headers],[Ca]:[Kết thúc]]),0))),
SUM(_xlfn._xlws.FILTER(Table_BangLuong_TyLeTangCa[Tỷ lệ],
(Table_BangLuong_TyLeTangCa[Ngày] = "Thường") *
(Table_BangLuong_TyLeTangCa[Giờ min]&lt;=$AA45) *
(Table_BangLuong_TyLeTangCa[Giờ max]&gt;$AA45)
)),0)
)),
IF(AC$4 &lt; AC$5,
IF($AA45-$Z$4&lt;AC$4,0,
IF($AA45&gt;AC$5,0,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AC$5,$AA45 &lt; AC$4),0,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1.5</v>
      </c>
      <c r="AD45" s="18" cm="1">
        <f t="array" ref="AD45" xml:space="preserve">
IFERROR(
IF(AD$1="",0,
IF(AND(
$AA45&gt;=VLOOKUP(AD$6, Table_ChiPhiNV_Ca[], COUNTA(Table_ChiPhiNV_Ca[[#Headers],[Ca]:[Bắt đầu nghỉ]]),0),
$AA45&lt;VLOOKUP(AD$6, Table_ChiPhiNV_Ca[], COUNTA(Table_ChiPhiNV_Ca[[#Headers],[Ca]:[Kết thúc nghỉ]]),0)
),0,
IF(NOT(ISBLANK(AD$3)),
IF(ISBLANK(AD$7),0,
IF(AD$4 &lt; AD$5,
IF($AA45-$Z$4&lt;AD$4,0,
IF($AA45&gt;AD$5,0,
SUM(_xlfn._xlws.FILTER(Table_BangLuong_TyLeTangCa[Tỷ lệ],
(Table_BangLuong_TyLeTangCa[Ngày] = AD$3) *
(Table_BangLuong_TyLeTangCa[Giờ min]&lt;=$AA45) *
(Table_BangLuong_TyLeTangCa[Giờ max]&gt;$AA45)
)))),
IF(AND($AA45-$Z$4 &gt;= AD$5,$AA45 &lt; AD$4),0,
SUM(_xlfn._xlws.FILTER(Table_BangLuong_TyLeTangCa[Tỷ lệ],
(Table_BangLuong_TyLeTangCa[Ngày] = AD$3) *
(Table_BangLuong_TyLeTangCa[Giờ min]&lt;=$AA45) *
(Table_BangLuong_TyLeTangCa[Giờ max]&gt;$AA45)
))))
),
IF(ISBLANK(AD$7),
IF(VLOOKUP(AD$6, Table_ChiPhiNV_Ca[], COUNTA(Table_ChiPhiNV_Ca[[#Headers],[Ca]:[Kết thúc]]),0)&gt; VLOOKUP(AD$6, Table_ChiPhiNV_Ca[], COUNTA(Table_ChiPhiNV_Ca[[#Headers],[Ca]:[Bắt đầu]]),0),
IF($AA45-$Z$4&lt;MAX(AD$4,VLOOKUP(AD$6, Table_ChiPhiNV_Ca[], COUNTA(Table_ChiPhiNV_Ca[[#Headers],[Ca]:[Bắt đầu]]),0)),0,
IF($AA45&gt;MIN(AD$5,VLOOKUP(AD$6, Table_ChiPhiNV_Ca[], COUNTA(Table_ChiPhiNV_Ca[[#Headers],[Ca]:[Kết thúc]]),0)),0,
SUM(_xlfn._xlws.FILTER(Table_BangLuong_TyLeTangCa[Tỷ lệ],
(Table_BangLuong_TyLeTangCa[Ngày] = "Thường") *
(Table_BangLuong_TyLeTangCa[Giờ min]&lt;=$AA45) *
(Table_BangLuong_TyLeTangCa[Giờ max]&gt;$AA45)
)))),
IF(AD$4 &gt; AD$5,
IF(
AND(
$AA45-$Z$4&lt;MAX(AD$4,VLOOKUP(AD$6, Table_ChiPhiNV_Ca[], COUNTA(Table_ChiPhiNV_Ca[[#Headers],[Ca]:[Bắt đầu]]),0)),
$AA45&gt;MIN(AD$5,VLOOKUP(AD$6, Table_ChiPhiNV_Ca[], COUNTA(Table_ChiPhiNV_Ca[[#Headers],[Ca]:[Kết thúc]]),0))),0,
SUM(_xlfn._xlws.FILTER(Table_BangLuong_TyLeTangCa[Tỷ lệ],
(Table_BangLuong_TyLeTangCa[Ngày] = "Thường") *
(Table_BangLuong_TyLeTangCa[Giờ min]&lt;=$AA45) *
(Table_BangLuong_TyLeTangCa[Giờ max]&gt;$AA45)
))),
IF(
AND(
$AA45-$Z$4&gt;=MAX(AD$4,VLOOKUP(AD$6, Table_ChiPhiNV_Ca[], COUNTA(Table_ChiPhiNV_Ca[[#Headers],[Ca]:[Bắt đầu]]),0)),
$AA45&lt;MIN(AD$5,VLOOKUP(AD$6, Table_ChiPhiNV_Ca[], COUNTA(Table_ChiPhiNV_Ca[[#Headers],[Ca]:[Kết thúc]]),0))),
SUM(_xlfn._xlws.FILTER(Table_BangLuong_TyLeTangCa[Tỷ lệ],
(Table_BangLuong_TyLeTangCa[Ngày] = "Thường") *
(Table_BangLuong_TyLeTangCa[Giờ min]&lt;=$AA45) *
(Table_BangLuong_TyLeTangCa[Giờ max]&gt;$AA45)
)),0)
)),
IF(AD$4 &lt; AD$5,
IF($AA45-$Z$4&lt;AD$4,0,
IF($AA45&gt;AD$5,0,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AD$5,$AA45 &lt; AD$4),0,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E45" s="18" cm="1">
        <f t="array" ref="AE45" xml:space="preserve">
IFERROR(
IF(AE$1="",0,
IF(AND(
$AA45&gt;=VLOOKUP(AE$6, Table_ChiPhiNV_Ca[], COUNTA(Table_ChiPhiNV_Ca[[#Headers],[Ca]:[Bắt đầu nghỉ]]),0),
$AA45&lt;VLOOKUP(AE$6, Table_ChiPhiNV_Ca[], COUNTA(Table_ChiPhiNV_Ca[[#Headers],[Ca]:[Kết thúc nghỉ]]),0)
),0,
IF(NOT(ISBLANK(AE$3)),
IF(ISBLANK(AE$7),0,
IF(AE$4 &lt; AE$5,
IF($AA45-$Z$4&lt;AE$4,0,
IF($AA45&gt;AE$5,0,
SUM(_xlfn._xlws.FILTER(Table_BangLuong_TyLeTangCa[Tỷ lệ],
(Table_BangLuong_TyLeTangCa[Ngày] = AE$3) *
(Table_BangLuong_TyLeTangCa[Giờ min]&lt;=$AA45) *
(Table_BangLuong_TyLeTangCa[Giờ max]&gt;$AA45)
)))),
IF(AND($AA45-$Z$4 &gt;= AE$5,$AA45 &lt; AE$4),0,
SUM(_xlfn._xlws.FILTER(Table_BangLuong_TyLeTangCa[Tỷ lệ],
(Table_BangLuong_TyLeTangCa[Ngày] = AE$3) *
(Table_BangLuong_TyLeTangCa[Giờ min]&lt;=$AA45) *
(Table_BangLuong_TyLeTangCa[Giờ max]&gt;$AA45)
))))
),
IF(ISBLANK(AE$7),
IF(VLOOKUP(AE$6, Table_ChiPhiNV_Ca[], COUNTA(Table_ChiPhiNV_Ca[[#Headers],[Ca]:[Kết thúc]]),0)&gt; VLOOKUP(AE$6, Table_ChiPhiNV_Ca[], COUNTA(Table_ChiPhiNV_Ca[[#Headers],[Ca]:[Bắt đầu]]),0),
IF($AA45-$Z$4&lt;MAX(AE$4,VLOOKUP(AE$6, Table_ChiPhiNV_Ca[], COUNTA(Table_ChiPhiNV_Ca[[#Headers],[Ca]:[Bắt đầu]]),0)),0,
IF($AA45&gt;MIN(AE$5,VLOOKUP(AE$6, Table_ChiPhiNV_Ca[], COUNTA(Table_ChiPhiNV_Ca[[#Headers],[Ca]:[Kết thúc]]),0)),0,
SUM(_xlfn._xlws.FILTER(Table_BangLuong_TyLeTangCa[Tỷ lệ],
(Table_BangLuong_TyLeTangCa[Ngày] = "Thường") *
(Table_BangLuong_TyLeTangCa[Giờ min]&lt;=$AA45) *
(Table_BangLuong_TyLeTangCa[Giờ max]&gt;$AA45)
)))),
IF(AE$4 &gt; AE$5,
IF(
AND(
$AA45-$Z$4&lt;MAX(AE$4,VLOOKUP(AE$6, Table_ChiPhiNV_Ca[], COUNTA(Table_ChiPhiNV_Ca[[#Headers],[Ca]:[Bắt đầu]]),0)),
$AA45&gt;MIN(AE$5,VLOOKUP(AE$6, Table_ChiPhiNV_Ca[], COUNTA(Table_ChiPhiNV_Ca[[#Headers],[Ca]:[Kết thúc]]),0))),0,
SUM(_xlfn._xlws.FILTER(Table_BangLuong_TyLeTangCa[Tỷ lệ],
(Table_BangLuong_TyLeTangCa[Ngày] = "Thường") *
(Table_BangLuong_TyLeTangCa[Giờ min]&lt;=$AA45) *
(Table_BangLuong_TyLeTangCa[Giờ max]&gt;$AA45)
))),
IF(
AND(
$AA45-$Z$4&gt;=MAX(AE$4,VLOOKUP(AE$6, Table_ChiPhiNV_Ca[], COUNTA(Table_ChiPhiNV_Ca[[#Headers],[Ca]:[Bắt đầu]]),0)),
$AA45&lt;MIN(AE$5,VLOOKUP(AE$6, Table_ChiPhiNV_Ca[], COUNTA(Table_ChiPhiNV_Ca[[#Headers],[Ca]:[Kết thúc]]),0))),
SUM(_xlfn._xlws.FILTER(Table_BangLuong_TyLeTangCa[Tỷ lệ],
(Table_BangLuong_TyLeTangCa[Ngày] = "Thường") *
(Table_BangLuong_TyLeTangCa[Giờ min]&lt;=$AA45) *
(Table_BangLuong_TyLeTangCa[Giờ max]&gt;$AA45)
)),0)
)),
IF(AE$4 &lt; AE$5,
IF($AA45-$Z$4&lt;AE$4,0,
IF($AA45&gt;AE$5,0,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AE$5,$AA45 &lt; AE$4),0,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F45" s="18" cm="1">
        <f t="array" ref="AF45" xml:space="preserve">
IFERROR(
IF(AF$1="",0,
IF(AND(
$AA45&gt;=VLOOKUP(AF$6, Table_ChiPhiNV_Ca[], COUNTA(Table_ChiPhiNV_Ca[[#Headers],[Ca]:[Bắt đầu nghỉ]]),0),
$AA45&lt;VLOOKUP(AF$6, Table_ChiPhiNV_Ca[], COUNTA(Table_ChiPhiNV_Ca[[#Headers],[Ca]:[Kết thúc nghỉ]]),0)
),0,
IF(NOT(ISBLANK(AF$3)),
IF(ISBLANK(AF$7),0,
IF(AF$4 &lt; AF$5,
IF($AA45-$Z$4&lt;AF$4,0,
IF($AA45&gt;AF$5,0,
SUM(_xlfn._xlws.FILTER(Table_BangLuong_TyLeTangCa[Tỷ lệ],
(Table_BangLuong_TyLeTangCa[Ngày] = AF$3) *
(Table_BangLuong_TyLeTangCa[Giờ min]&lt;=$AA45) *
(Table_BangLuong_TyLeTangCa[Giờ max]&gt;$AA45)
)))),
IF(AND($AA45-$Z$4 &gt;= AF$5,$AA45 &lt; AF$4),0,
SUM(_xlfn._xlws.FILTER(Table_BangLuong_TyLeTangCa[Tỷ lệ],
(Table_BangLuong_TyLeTangCa[Ngày] = AF$3) *
(Table_BangLuong_TyLeTangCa[Giờ min]&lt;=$AA45) *
(Table_BangLuong_TyLeTangCa[Giờ max]&gt;$AA45)
))))
),
IF(ISBLANK(AF$7),
IF(VLOOKUP(AF$6, Table_ChiPhiNV_Ca[], COUNTA(Table_ChiPhiNV_Ca[[#Headers],[Ca]:[Kết thúc]]),0)&gt; VLOOKUP(AF$6, Table_ChiPhiNV_Ca[], COUNTA(Table_ChiPhiNV_Ca[[#Headers],[Ca]:[Bắt đầu]]),0),
IF($AA45-$Z$4&lt;MAX(AF$4,VLOOKUP(AF$6, Table_ChiPhiNV_Ca[], COUNTA(Table_ChiPhiNV_Ca[[#Headers],[Ca]:[Bắt đầu]]),0)),0,
IF($AA45&gt;MIN(AF$5,VLOOKUP(AF$6, Table_ChiPhiNV_Ca[], COUNTA(Table_ChiPhiNV_Ca[[#Headers],[Ca]:[Kết thúc]]),0)),0,
SUM(_xlfn._xlws.FILTER(Table_BangLuong_TyLeTangCa[Tỷ lệ],
(Table_BangLuong_TyLeTangCa[Ngày] = "Thường") *
(Table_BangLuong_TyLeTangCa[Giờ min]&lt;=$AA45) *
(Table_BangLuong_TyLeTangCa[Giờ max]&gt;$AA45)
)))),
IF(AF$4 &gt; AF$5,
IF(
AND(
$AA45-$Z$4&lt;MAX(AF$4,VLOOKUP(AF$6, Table_ChiPhiNV_Ca[], COUNTA(Table_ChiPhiNV_Ca[[#Headers],[Ca]:[Bắt đầu]]),0)),
$AA45&gt;MIN(AF$5,VLOOKUP(AF$6, Table_ChiPhiNV_Ca[], COUNTA(Table_ChiPhiNV_Ca[[#Headers],[Ca]:[Kết thúc]]),0))),0,
SUM(_xlfn._xlws.FILTER(Table_BangLuong_TyLeTangCa[Tỷ lệ],
(Table_BangLuong_TyLeTangCa[Ngày] = "Thường") *
(Table_BangLuong_TyLeTangCa[Giờ min]&lt;=$AA45) *
(Table_BangLuong_TyLeTangCa[Giờ max]&gt;$AA45)
))),
IF(
AND(
$AA45-$Z$4&gt;=MAX(AF$4,VLOOKUP(AF$6, Table_ChiPhiNV_Ca[], COUNTA(Table_ChiPhiNV_Ca[[#Headers],[Ca]:[Bắt đầu]]),0)),
$AA45&lt;MIN(AF$5,VLOOKUP(AF$6, Table_ChiPhiNV_Ca[], COUNTA(Table_ChiPhiNV_Ca[[#Headers],[Ca]:[Kết thúc]]),0))),
SUM(_xlfn._xlws.FILTER(Table_BangLuong_TyLeTangCa[Tỷ lệ],
(Table_BangLuong_TyLeTangCa[Ngày] = "Thường") *
(Table_BangLuong_TyLeTangCa[Giờ min]&lt;=$AA45) *
(Table_BangLuong_TyLeTangCa[Giờ max]&gt;$AA45)
)),0)
)),
IF(AF$4 &lt; AF$5,
IF($AA45-$Z$4&lt;AF$4,0,
IF($AA45&gt;AF$5,0,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AF$5,$AA45 &lt; AF$4),0,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G45" s="18" cm="1">
        <f t="array" ref="AG45" xml:space="preserve">
IFERROR(
IF(AG$1="",0,
IF(AND(
$AA45&gt;=VLOOKUP(AG$6, Table_ChiPhiNV_Ca[], COUNTA(Table_ChiPhiNV_Ca[[#Headers],[Ca]:[Bắt đầu nghỉ]]),0),
$AA45&lt;VLOOKUP(AG$6, Table_ChiPhiNV_Ca[], COUNTA(Table_ChiPhiNV_Ca[[#Headers],[Ca]:[Kết thúc nghỉ]]),0)
),0,
IF(NOT(ISBLANK(AG$3)),
IF(ISBLANK(AG$7),0,
IF(AG$4 &lt; AG$5,
IF($AA45-$Z$4&lt;AG$4,0,
IF($AA45&gt;AG$5,0,
SUM(_xlfn._xlws.FILTER(Table_BangLuong_TyLeTangCa[Tỷ lệ],
(Table_BangLuong_TyLeTangCa[Ngày] = AG$3) *
(Table_BangLuong_TyLeTangCa[Giờ min]&lt;=$AA45) *
(Table_BangLuong_TyLeTangCa[Giờ max]&gt;$AA45)
)))),
IF(AND($AA45-$Z$4 &gt;= AG$5,$AA45 &lt; AG$4),0,
SUM(_xlfn._xlws.FILTER(Table_BangLuong_TyLeTangCa[Tỷ lệ],
(Table_BangLuong_TyLeTangCa[Ngày] = AG$3) *
(Table_BangLuong_TyLeTangCa[Giờ min]&lt;=$AA45) *
(Table_BangLuong_TyLeTangCa[Giờ max]&gt;$AA45)
))))
),
IF(ISBLANK(AG$7),
IF(VLOOKUP(AG$6, Table_ChiPhiNV_Ca[], COUNTA(Table_ChiPhiNV_Ca[[#Headers],[Ca]:[Kết thúc]]),0)&gt; VLOOKUP(AG$6, Table_ChiPhiNV_Ca[], COUNTA(Table_ChiPhiNV_Ca[[#Headers],[Ca]:[Bắt đầu]]),0),
IF($AA45-$Z$4&lt;MAX(AG$4,VLOOKUP(AG$6, Table_ChiPhiNV_Ca[], COUNTA(Table_ChiPhiNV_Ca[[#Headers],[Ca]:[Bắt đầu]]),0)),0,
IF($AA45&gt;MIN(AG$5,VLOOKUP(AG$6, Table_ChiPhiNV_Ca[], COUNTA(Table_ChiPhiNV_Ca[[#Headers],[Ca]:[Kết thúc]]),0)),0,
SUM(_xlfn._xlws.FILTER(Table_BangLuong_TyLeTangCa[Tỷ lệ],
(Table_BangLuong_TyLeTangCa[Ngày] = "Thường") *
(Table_BangLuong_TyLeTangCa[Giờ min]&lt;=$AA45) *
(Table_BangLuong_TyLeTangCa[Giờ max]&gt;$AA45)
)))),
IF(AG$4 &gt; AG$5,
IF(
AND(
$AA45-$Z$4&lt;MAX(AG$4,VLOOKUP(AG$6, Table_ChiPhiNV_Ca[], COUNTA(Table_ChiPhiNV_Ca[[#Headers],[Ca]:[Bắt đầu]]),0)),
$AA45&gt;MIN(AG$5,VLOOKUP(AG$6, Table_ChiPhiNV_Ca[], COUNTA(Table_ChiPhiNV_Ca[[#Headers],[Ca]:[Kết thúc]]),0))),0,
SUM(_xlfn._xlws.FILTER(Table_BangLuong_TyLeTangCa[Tỷ lệ],
(Table_BangLuong_TyLeTangCa[Ngày] = "Thường") *
(Table_BangLuong_TyLeTangCa[Giờ min]&lt;=$AA45) *
(Table_BangLuong_TyLeTangCa[Giờ max]&gt;$AA45)
))),
IF(
AND(
$AA45-$Z$4&gt;=MAX(AG$4,VLOOKUP(AG$6, Table_ChiPhiNV_Ca[], COUNTA(Table_ChiPhiNV_Ca[[#Headers],[Ca]:[Bắt đầu]]),0)),
$AA45&lt;MIN(AG$5,VLOOKUP(AG$6, Table_ChiPhiNV_Ca[], COUNTA(Table_ChiPhiNV_Ca[[#Headers],[Ca]:[Kết thúc]]),0))),
SUM(_xlfn._xlws.FILTER(Table_BangLuong_TyLeTangCa[Tỷ lệ],
(Table_BangLuong_TyLeTangCa[Ngày] = "Thường") *
(Table_BangLuong_TyLeTangCa[Giờ min]&lt;=$AA45) *
(Table_BangLuong_TyLeTangCa[Giờ max]&gt;$AA45)
)),0)
)),
IF(AG$4 &lt; AG$5,
IF($AA45-$Z$4&lt;AG$4,0,
IF($AA45&gt;AG$5,0,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AG$5,$AA45 &lt; AG$4),0,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H45" s="18" cm="1">
        <f t="array" ref="AH45" xml:space="preserve">
IFERROR(
IF(AH$1="",0,
IF(AND(
$AA45&gt;=VLOOKUP(AH$6, Table_ChiPhiNV_Ca[], COUNTA(Table_ChiPhiNV_Ca[[#Headers],[Ca]:[Bắt đầu nghỉ]]),0),
$AA45&lt;VLOOKUP(AH$6, Table_ChiPhiNV_Ca[], COUNTA(Table_ChiPhiNV_Ca[[#Headers],[Ca]:[Kết thúc nghỉ]]),0)
),0,
IF(NOT(ISBLANK(AH$3)),
IF(ISBLANK(AH$7),0,
IF(AH$4 &lt; AH$5,
IF($AA45-$Z$4&lt;AH$4,0,
IF($AA45&gt;AH$5,0,
SUM(_xlfn._xlws.FILTER(Table_BangLuong_TyLeTangCa[Tỷ lệ],
(Table_BangLuong_TyLeTangCa[Ngày] = AH$3) *
(Table_BangLuong_TyLeTangCa[Giờ min]&lt;=$AA45) *
(Table_BangLuong_TyLeTangCa[Giờ max]&gt;$AA45)
)))),
IF(AND($AA45-$Z$4 &gt;= AH$5,$AA45 &lt; AH$4),0,
SUM(_xlfn._xlws.FILTER(Table_BangLuong_TyLeTangCa[Tỷ lệ],
(Table_BangLuong_TyLeTangCa[Ngày] = AH$3) *
(Table_BangLuong_TyLeTangCa[Giờ min]&lt;=$AA45) *
(Table_BangLuong_TyLeTangCa[Giờ max]&gt;$AA45)
))))
),
IF(ISBLANK(AH$7),
IF(VLOOKUP(AH$6, Table_ChiPhiNV_Ca[], COUNTA(Table_ChiPhiNV_Ca[[#Headers],[Ca]:[Kết thúc]]),0)&gt; VLOOKUP(AH$6, Table_ChiPhiNV_Ca[], COUNTA(Table_ChiPhiNV_Ca[[#Headers],[Ca]:[Bắt đầu]]),0),
IF($AA45-$Z$4&lt;MAX(AH$4,VLOOKUP(AH$6, Table_ChiPhiNV_Ca[], COUNTA(Table_ChiPhiNV_Ca[[#Headers],[Ca]:[Bắt đầu]]),0)),0,
IF($AA45&gt;MIN(AH$5,VLOOKUP(AH$6, Table_ChiPhiNV_Ca[], COUNTA(Table_ChiPhiNV_Ca[[#Headers],[Ca]:[Kết thúc]]),0)),0,
SUM(_xlfn._xlws.FILTER(Table_BangLuong_TyLeTangCa[Tỷ lệ],
(Table_BangLuong_TyLeTangCa[Ngày] = "Thường") *
(Table_BangLuong_TyLeTangCa[Giờ min]&lt;=$AA45) *
(Table_BangLuong_TyLeTangCa[Giờ max]&gt;$AA45)
)))),
IF(AH$4 &gt; AH$5,
IF(
AND(
$AA45-$Z$4&lt;MAX(AH$4,VLOOKUP(AH$6, Table_ChiPhiNV_Ca[], COUNTA(Table_ChiPhiNV_Ca[[#Headers],[Ca]:[Bắt đầu]]),0)),
$AA45&gt;MIN(AH$5,VLOOKUP(AH$6, Table_ChiPhiNV_Ca[], COUNTA(Table_ChiPhiNV_Ca[[#Headers],[Ca]:[Kết thúc]]),0))),0,
SUM(_xlfn._xlws.FILTER(Table_BangLuong_TyLeTangCa[Tỷ lệ],
(Table_BangLuong_TyLeTangCa[Ngày] = "Thường") *
(Table_BangLuong_TyLeTangCa[Giờ min]&lt;=$AA45) *
(Table_BangLuong_TyLeTangCa[Giờ max]&gt;$AA45)
))),
IF(
AND(
$AA45-$Z$4&gt;=MAX(AH$4,VLOOKUP(AH$6, Table_ChiPhiNV_Ca[], COUNTA(Table_ChiPhiNV_Ca[[#Headers],[Ca]:[Bắt đầu]]),0)),
$AA45&lt;MIN(AH$5,VLOOKUP(AH$6, Table_ChiPhiNV_Ca[], COUNTA(Table_ChiPhiNV_Ca[[#Headers],[Ca]:[Kết thúc]]),0))),
SUM(_xlfn._xlws.FILTER(Table_BangLuong_TyLeTangCa[Tỷ lệ],
(Table_BangLuong_TyLeTangCa[Ngày] = "Thường") *
(Table_BangLuong_TyLeTangCa[Giờ min]&lt;=$AA45) *
(Table_BangLuong_TyLeTangCa[Giờ max]&gt;$AA45)
)),0)
)),
IF(AH$4 &lt; AH$5,
IF($AA45-$Z$4&lt;AH$4,0,
IF($AA45&gt;AH$5,0,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AH$5,$AA45 &lt; AH$4),0,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I45" s="18" cm="1">
        <f t="array" ref="AI45" xml:space="preserve">
IFERROR(
IF(AI$1="",0,
IF(AND(
$AA45&gt;=VLOOKUP(AI$6, Table_ChiPhiNV_Ca[], COUNTA(Table_ChiPhiNV_Ca[[#Headers],[Ca]:[Bắt đầu nghỉ]]),0),
$AA45&lt;VLOOKUP(AI$6, Table_ChiPhiNV_Ca[], COUNTA(Table_ChiPhiNV_Ca[[#Headers],[Ca]:[Kết thúc nghỉ]]),0)
),0,
IF(NOT(ISBLANK(AI$3)),
IF(ISBLANK(AI$7),0,
IF(AI$4 &lt; AI$5,
IF($AA45-$Z$4&lt;AI$4,0,
IF($AA45&gt;AI$5,0,
SUM(_xlfn._xlws.FILTER(Table_BangLuong_TyLeTangCa[Tỷ lệ],
(Table_BangLuong_TyLeTangCa[Ngày] = AI$3) *
(Table_BangLuong_TyLeTangCa[Giờ min]&lt;=$AA45) *
(Table_BangLuong_TyLeTangCa[Giờ max]&gt;$AA45)
)))),
IF(AND($AA45-$Z$4 &gt;= AI$5,$AA45 &lt; AI$4),0,
SUM(_xlfn._xlws.FILTER(Table_BangLuong_TyLeTangCa[Tỷ lệ],
(Table_BangLuong_TyLeTangCa[Ngày] = AI$3) *
(Table_BangLuong_TyLeTangCa[Giờ min]&lt;=$AA45) *
(Table_BangLuong_TyLeTangCa[Giờ max]&gt;$AA45)
))))
),
IF(ISBLANK(AI$7),
IF(VLOOKUP(AI$6, Table_ChiPhiNV_Ca[], COUNTA(Table_ChiPhiNV_Ca[[#Headers],[Ca]:[Kết thúc]]),0)&gt; VLOOKUP(AI$6, Table_ChiPhiNV_Ca[], COUNTA(Table_ChiPhiNV_Ca[[#Headers],[Ca]:[Bắt đầu]]),0),
IF($AA45-$Z$4&lt;MAX(AI$4,VLOOKUP(AI$6, Table_ChiPhiNV_Ca[], COUNTA(Table_ChiPhiNV_Ca[[#Headers],[Ca]:[Bắt đầu]]),0)),0,
IF($AA45&gt;MIN(AI$5,VLOOKUP(AI$6, Table_ChiPhiNV_Ca[], COUNTA(Table_ChiPhiNV_Ca[[#Headers],[Ca]:[Kết thúc]]),0)),0,
SUM(_xlfn._xlws.FILTER(Table_BangLuong_TyLeTangCa[Tỷ lệ],
(Table_BangLuong_TyLeTangCa[Ngày] = "Thường") *
(Table_BangLuong_TyLeTangCa[Giờ min]&lt;=$AA45) *
(Table_BangLuong_TyLeTangCa[Giờ max]&gt;$AA45)
)))),
IF(AI$4 &gt; AI$5,
IF(
AND(
$AA45-$Z$4&lt;MAX(AI$4,VLOOKUP(AI$6, Table_ChiPhiNV_Ca[], COUNTA(Table_ChiPhiNV_Ca[[#Headers],[Ca]:[Bắt đầu]]),0)),
$AA45&gt;MIN(AI$5,VLOOKUP(AI$6, Table_ChiPhiNV_Ca[], COUNTA(Table_ChiPhiNV_Ca[[#Headers],[Ca]:[Kết thúc]]),0))),0,
SUM(_xlfn._xlws.FILTER(Table_BangLuong_TyLeTangCa[Tỷ lệ],
(Table_BangLuong_TyLeTangCa[Ngày] = "Thường") *
(Table_BangLuong_TyLeTangCa[Giờ min]&lt;=$AA45) *
(Table_BangLuong_TyLeTangCa[Giờ max]&gt;$AA45)
))),
IF(
AND(
$AA45-$Z$4&gt;=MAX(AI$4,VLOOKUP(AI$6, Table_ChiPhiNV_Ca[], COUNTA(Table_ChiPhiNV_Ca[[#Headers],[Ca]:[Bắt đầu]]),0)),
$AA45&lt;MIN(AI$5,VLOOKUP(AI$6, Table_ChiPhiNV_Ca[], COUNTA(Table_ChiPhiNV_Ca[[#Headers],[Ca]:[Kết thúc]]),0))),
SUM(_xlfn._xlws.FILTER(Table_BangLuong_TyLeTangCa[Tỷ lệ],
(Table_BangLuong_TyLeTangCa[Ngày] = "Thường") *
(Table_BangLuong_TyLeTangCa[Giờ min]&lt;=$AA45) *
(Table_BangLuong_TyLeTangCa[Giờ max]&gt;$AA45)
)),0)
)),
IF(AI$4 &lt; AI$5,
IF($AA45-$Z$4&lt;AI$4,0,
IF($AA45&gt;AI$5,0,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AI$5,$AA45 &lt; AI$4),0,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J45" s="18" cm="1">
        <f t="array" ref="AJ45" xml:space="preserve">
IFERROR(
IF(AJ$1="",0,
IF(AND(
$AA45&gt;=VLOOKUP(AJ$6, Table_ChiPhiNV_Ca[], COUNTA(Table_ChiPhiNV_Ca[[#Headers],[Ca]:[Bắt đầu nghỉ]]),0),
$AA45&lt;VLOOKUP(AJ$6, Table_ChiPhiNV_Ca[], COUNTA(Table_ChiPhiNV_Ca[[#Headers],[Ca]:[Kết thúc nghỉ]]),0)
),0,
IF(NOT(ISBLANK(AJ$3)),
IF(ISBLANK(AJ$7),0,
IF(AJ$4 &lt; AJ$5,
IF($AA45-$Z$4&lt;AJ$4,0,
IF($AA45&gt;AJ$5,0,
SUM(_xlfn._xlws.FILTER(Table_BangLuong_TyLeTangCa[Tỷ lệ],
(Table_BangLuong_TyLeTangCa[Ngày] = AJ$3) *
(Table_BangLuong_TyLeTangCa[Giờ min]&lt;=$AA45) *
(Table_BangLuong_TyLeTangCa[Giờ max]&gt;$AA45)
)))),
IF(AND($AA45-$Z$4 &gt;= AJ$5,$AA45 &lt; AJ$4),0,
SUM(_xlfn._xlws.FILTER(Table_BangLuong_TyLeTangCa[Tỷ lệ],
(Table_BangLuong_TyLeTangCa[Ngày] = AJ$3) *
(Table_BangLuong_TyLeTangCa[Giờ min]&lt;=$AA45) *
(Table_BangLuong_TyLeTangCa[Giờ max]&gt;$AA45)
))))
),
IF(ISBLANK(AJ$7),
IF(VLOOKUP(AJ$6, Table_ChiPhiNV_Ca[], COUNTA(Table_ChiPhiNV_Ca[[#Headers],[Ca]:[Kết thúc]]),0)&gt; VLOOKUP(AJ$6, Table_ChiPhiNV_Ca[], COUNTA(Table_ChiPhiNV_Ca[[#Headers],[Ca]:[Bắt đầu]]),0),
IF($AA45-$Z$4&lt;MAX(AJ$4,VLOOKUP(AJ$6, Table_ChiPhiNV_Ca[], COUNTA(Table_ChiPhiNV_Ca[[#Headers],[Ca]:[Bắt đầu]]),0)),0,
IF($AA45&gt;MIN(AJ$5,VLOOKUP(AJ$6, Table_ChiPhiNV_Ca[], COUNTA(Table_ChiPhiNV_Ca[[#Headers],[Ca]:[Kết thúc]]),0)),0,
SUM(_xlfn._xlws.FILTER(Table_BangLuong_TyLeTangCa[Tỷ lệ],
(Table_BangLuong_TyLeTangCa[Ngày] = "Thường") *
(Table_BangLuong_TyLeTangCa[Giờ min]&lt;=$AA45) *
(Table_BangLuong_TyLeTangCa[Giờ max]&gt;$AA45)
)))),
IF(AJ$4 &gt; AJ$5,
IF(
AND(
$AA45-$Z$4&lt;MAX(AJ$4,VLOOKUP(AJ$6, Table_ChiPhiNV_Ca[], COUNTA(Table_ChiPhiNV_Ca[[#Headers],[Ca]:[Bắt đầu]]),0)),
$AA45&gt;MIN(AJ$5,VLOOKUP(AJ$6, Table_ChiPhiNV_Ca[], COUNTA(Table_ChiPhiNV_Ca[[#Headers],[Ca]:[Kết thúc]]),0))),0,
SUM(_xlfn._xlws.FILTER(Table_BangLuong_TyLeTangCa[Tỷ lệ],
(Table_BangLuong_TyLeTangCa[Ngày] = "Thường") *
(Table_BangLuong_TyLeTangCa[Giờ min]&lt;=$AA45) *
(Table_BangLuong_TyLeTangCa[Giờ max]&gt;$AA45)
))),
IF(
AND(
$AA45-$Z$4&gt;=MAX(AJ$4,VLOOKUP(AJ$6, Table_ChiPhiNV_Ca[], COUNTA(Table_ChiPhiNV_Ca[[#Headers],[Ca]:[Bắt đầu]]),0)),
$AA45&lt;MIN(AJ$5,VLOOKUP(AJ$6, Table_ChiPhiNV_Ca[], COUNTA(Table_ChiPhiNV_Ca[[#Headers],[Ca]:[Kết thúc]]),0))),
SUM(_xlfn._xlws.FILTER(Table_BangLuong_TyLeTangCa[Tỷ lệ],
(Table_BangLuong_TyLeTangCa[Ngày] = "Thường") *
(Table_BangLuong_TyLeTangCa[Giờ min]&lt;=$AA45) *
(Table_BangLuong_TyLeTangCa[Giờ max]&gt;$AA45)
)),0)
)),
IF(AJ$4 &lt; AJ$5,
IF($AA45-$Z$4&lt;AJ$4,0,
IF($AA45&gt;AJ$5,0,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AJ$5,$AA45 &lt; AJ$4),0,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K45" s="18" cm="1">
        <f t="array" ref="AK45" xml:space="preserve">
IFERROR(
IF(AK$1="",0,
IF(AND(
$AA45&gt;=VLOOKUP(AK$6, Table_ChiPhiNV_Ca[], COUNTA(Table_ChiPhiNV_Ca[[#Headers],[Ca]:[Bắt đầu nghỉ]]),0),
$AA45&lt;VLOOKUP(AK$6, Table_ChiPhiNV_Ca[], COUNTA(Table_ChiPhiNV_Ca[[#Headers],[Ca]:[Kết thúc nghỉ]]),0)
),0,
IF(NOT(ISBLANK(AK$3)),
IF(ISBLANK(AK$7),0,
IF(AK$4 &lt; AK$5,
IF($AA45-$Z$4&lt;AK$4,0,
IF($AA45&gt;AK$5,0,
SUM(_xlfn._xlws.FILTER(Table_BangLuong_TyLeTangCa[Tỷ lệ],
(Table_BangLuong_TyLeTangCa[Ngày] = AK$3) *
(Table_BangLuong_TyLeTangCa[Giờ min]&lt;=$AA45) *
(Table_BangLuong_TyLeTangCa[Giờ max]&gt;$AA45)
)))),
IF(AND($AA45-$Z$4 &gt;= AK$5,$AA45 &lt; AK$4),0,
SUM(_xlfn._xlws.FILTER(Table_BangLuong_TyLeTangCa[Tỷ lệ],
(Table_BangLuong_TyLeTangCa[Ngày] = AK$3) *
(Table_BangLuong_TyLeTangCa[Giờ min]&lt;=$AA45) *
(Table_BangLuong_TyLeTangCa[Giờ max]&gt;$AA45)
))))
),
IF(ISBLANK(AK$7),
IF(VLOOKUP(AK$6, Table_ChiPhiNV_Ca[], COUNTA(Table_ChiPhiNV_Ca[[#Headers],[Ca]:[Kết thúc]]),0)&gt; VLOOKUP(AK$6, Table_ChiPhiNV_Ca[], COUNTA(Table_ChiPhiNV_Ca[[#Headers],[Ca]:[Bắt đầu]]),0),
IF($AA45-$Z$4&lt;MAX(AK$4,VLOOKUP(AK$6, Table_ChiPhiNV_Ca[], COUNTA(Table_ChiPhiNV_Ca[[#Headers],[Ca]:[Bắt đầu]]),0)),0,
IF($AA45&gt;MIN(AK$5,VLOOKUP(AK$6, Table_ChiPhiNV_Ca[], COUNTA(Table_ChiPhiNV_Ca[[#Headers],[Ca]:[Kết thúc]]),0)),0,
SUM(_xlfn._xlws.FILTER(Table_BangLuong_TyLeTangCa[Tỷ lệ],
(Table_BangLuong_TyLeTangCa[Ngày] = "Thường") *
(Table_BangLuong_TyLeTangCa[Giờ min]&lt;=$AA45) *
(Table_BangLuong_TyLeTangCa[Giờ max]&gt;$AA45)
)))),
IF(AK$4 &gt; AK$5,
IF(
AND(
$AA45-$Z$4&lt;MAX(AK$4,VLOOKUP(AK$6, Table_ChiPhiNV_Ca[], COUNTA(Table_ChiPhiNV_Ca[[#Headers],[Ca]:[Bắt đầu]]),0)),
$AA45&gt;MIN(AK$5,VLOOKUP(AK$6, Table_ChiPhiNV_Ca[], COUNTA(Table_ChiPhiNV_Ca[[#Headers],[Ca]:[Kết thúc]]),0))),0,
SUM(_xlfn._xlws.FILTER(Table_BangLuong_TyLeTangCa[Tỷ lệ],
(Table_BangLuong_TyLeTangCa[Ngày] = "Thường") *
(Table_BangLuong_TyLeTangCa[Giờ min]&lt;=$AA45) *
(Table_BangLuong_TyLeTangCa[Giờ max]&gt;$AA45)
))),
IF(
AND(
$AA45-$Z$4&gt;=MAX(AK$4,VLOOKUP(AK$6, Table_ChiPhiNV_Ca[], COUNTA(Table_ChiPhiNV_Ca[[#Headers],[Ca]:[Bắt đầu]]),0)),
$AA45&lt;MIN(AK$5,VLOOKUP(AK$6, Table_ChiPhiNV_Ca[], COUNTA(Table_ChiPhiNV_Ca[[#Headers],[Ca]:[Kết thúc]]),0))),
SUM(_xlfn._xlws.FILTER(Table_BangLuong_TyLeTangCa[Tỷ lệ],
(Table_BangLuong_TyLeTangCa[Ngày] = "Thường") *
(Table_BangLuong_TyLeTangCa[Giờ min]&lt;=$AA45) *
(Table_BangLuong_TyLeTangCa[Giờ max]&gt;$AA45)
)),0)
)),
IF(AK$4 &lt; AK$5,
IF($AA45-$Z$4&lt;AK$4,0,
IF($AA45&gt;AK$5,0,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AK$5,$AA45 &lt; AK$4),0,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L45" s="18" cm="1">
        <f t="array" ref="AL45" xml:space="preserve">
IFERROR(
IF(AL$1="",0,
IF(AND(
$AA45&gt;=VLOOKUP(AL$6, Table_ChiPhiNV_Ca[], COUNTA(Table_ChiPhiNV_Ca[[#Headers],[Ca]:[Bắt đầu nghỉ]]),0),
$AA45&lt;VLOOKUP(AL$6, Table_ChiPhiNV_Ca[], COUNTA(Table_ChiPhiNV_Ca[[#Headers],[Ca]:[Kết thúc nghỉ]]),0)
),0,
IF(NOT(ISBLANK(AL$3)),
IF(ISBLANK(AL$7),0,
IF(AL$4 &lt; AL$5,
IF($AA45-$Z$4&lt;AL$4,0,
IF($AA45&gt;AL$5,0,
SUM(_xlfn._xlws.FILTER(Table_BangLuong_TyLeTangCa[Tỷ lệ],
(Table_BangLuong_TyLeTangCa[Ngày] = AL$3) *
(Table_BangLuong_TyLeTangCa[Giờ min]&lt;=$AA45) *
(Table_BangLuong_TyLeTangCa[Giờ max]&gt;$AA45)
)))),
IF(AND($AA45-$Z$4 &gt;= AL$5,$AA45 &lt; AL$4),0,
SUM(_xlfn._xlws.FILTER(Table_BangLuong_TyLeTangCa[Tỷ lệ],
(Table_BangLuong_TyLeTangCa[Ngày] = AL$3) *
(Table_BangLuong_TyLeTangCa[Giờ min]&lt;=$AA45) *
(Table_BangLuong_TyLeTangCa[Giờ max]&gt;$AA45)
))))
),
IF(ISBLANK(AL$7),
IF(VLOOKUP(AL$6, Table_ChiPhiNV_Ca[], COUNTA(Table_ChiPhiNV_Ca[[#Headers],[Ca]:[Kết thúc]]),0)&gt; VLOOKUP(AL$6, Table_ChiPhiNV_Ca[], COUNTA(Table_ChiPhiNV_Ca[[#Headers],[Ca]:[Bắt đầu]]),0),
IF($AA45-$Z$4&lt;MAX(AL$4,VLOOKUP(AL$6, Table_ChiPhiNV_Ca[], COUNTA(Table_ChiPhiNV_Ca[[#Headers],[Ca]:[Bắt đầu]]),0)),0,
IF($AA45&gt;MIN(AL$5,VLOOKUP(AL$6, Table_ChiPhiNV_Ca[], COUNTA(Table_ChiPhiNV_Ca[[#Headers],[Ca]:[Kết thúc]]),0)),0,
SUM(_xlfn._xlws.FILTER(Table_BangLuong_TyLeTangCa[Tỷ lệ],
(Table_BangLuong_TyLeTangCa[Ngày] = "Thường") *
(Table_BangLuong_TyLeTangCa[Giờ min]&lt;=$AA45) *
(Table_BangLuong_TyLeTangCa[Giờ max]&gt;$AA45)
)))),
IF(AL$4 &gt; AL$5,
IF(
AND(
$AA45-$Z$4&lt;MAX(AL$4,VLOOKUP(AL$6, Table_ChiPhiNV_Ca[], COUNTA(Table_ChiPhiNV_Ca[[#Headers],[Ca]:[Bắt đầu]]),0)),
$AA45&gt;MIN(AL$5,VLOOKUP(AL$6, Table_ChiPhiNV_Ca[], COUNTA(Table_ChiPhiNV_Ca[[#Headers],[Ca]:[Kết thúc]]),0))),0,
SUM(_xlfn._xlws.FILTER(Table_BangLuong_TyLeTangCa[Tỷ lệ],
(Table_BangLuong_TyLeTangCa[Ngày] = "Thường") *
(Table_BangLuong_TyLeTangCa[Giờ min]&lt;=$AA45) *
(Table_BangLuong_TyLeTangCa[Giờ max]&gt;$AA45)
))),
IF(
AND(
$AA45-$Z$4&gt;=MAX(AL$4,VLOOKUP(AL$6, Table_ChiPhiNV_Ca[], COUNTA(Table_ChiPhiNV_Ca[[#Headers],[Ca]:[Bắt đầu]]),0)),
$AA45&lt;MIN(AL$5,VLOOKUP(AL$6, Table_ChiPhiNV_Ca[], COUNTA(Table_ChiPhiNV_Ca[[#Headers],[Ca]:[Kết thúc]]),0))),
SUM(_xlfn._xlws.FILTER(Table_BangLuong_TyLeTangCa[Tỷ lệ],
(Table_BangLuong_TyLeTangCa[Ngày] = "Thường") *
(Table_BangLuong_TyLeTangCa[Giờ min]&lt;=$AA45) *
(Table_BangLuong_TyLeTangCa[Giờ max]&gt;$AA45)
)),0)
)),
IF(AL$4 &lt; AL$5,
IF($AA45-$Z$4&lt;AL$4,0,
IF($AA45&gt;AL$5,0,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AL$5,$AA45 &lt; AL$4),0,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M45" s="18" cm="1">
        <f t="array" ref="AM45" xml:space="preserve">
IFERROR(
IF(AM$1="",0,
IF(AND(
$AA45&gt;=VLOOKUP(AM$6, Table_ChiPhiNV_Ca[], COUNTA(Table_ChiPhiNV_Ca[[#Headers],[Ca]:[Bắt đầu nghỉ]]),0),
$AA45&lt;VLOOKUP(AM$6, Table_ChiPhiNV_Ca[], COUNTA(Table_ChiPhiNV_Ca[[#Headers],[Ca]:[Kết thúc nghỉ]]),0)
),0,
IF(NOT(ISBLANK(AM$3)),
IF(ISBLANK(AM$7),0,
IF(AM$4 &lt; AM$5,
IF($AA45-$Z$4&lt;AM$4,0,
IF($AA45&gt;AM$5,0,
SUM(_xlfn._xlws.FILTER(Table_BangLuong_TyLeTangCa[Tỷ lệ],
(Table_BangLuong_TyLeTangCa[Ngày] = AM$3) *
(Table_BangLuong_TyLeTangCa[Giờ min]&lt;=$AA45) *
(Table_BangLuong_TyLeTangCa[Giờ max]&gt;$AA45)
)))),
IF(AND($AA45-$Z$4 &gt;= AM$5,$AA45 &lt; AM$4),0,
SUM(_xlfn._xlws.FILTER(Table_BangLuong_TyLeTangCa[Tỷ lệ],
(Table_BangLuong_TyLeTangCa[Ngày] = AM$3) *
(Table_BangLuong_TyLeTangCa[Giờ min]&lt;=$AA45) *
(Table_BangLuong_TyLeTangCa[Giờ max]&gt;$AA45)
))))
),
IF(ISBLANK(AM$7),
IF(VLOOKUP(AM$6, Table_ChiPhiNV_Ca[], COUNTA(Table_ChiPhiNV_Ca[[#Headers],[Ca]:[Kết thúc]]),0)&gt; VLOOKUP(AM$6, Table_ChiPhiNV_Ca[], COUNTA(Table_ChiPhiNV_Ca[[#Headers],[Ca]:[Bắt đầu]]),0),
IF($AA45-$Z$4&lt;MAX(AM$4,VLOOKUP(AM$6, Table_ChiPhiNV_Ca[], COUNTA(Table_ChiPhiNV_Ca[[#Headers],[Ca]:[Bắt đầu]]),0)),0,
IF($AA45&gt;MIN(AM$5,VLOOKUP(AM$6, Table_ChiPhiNV_Ca[], COUNTA(Table_ChiPhiNV_Ca[[#Headers],[Ca]:[Kết thúc]]),0)),0,
SUM(_xlfn._xlws.FILTER(Table_BangLuong_TyLeTangCa[Tỷ lệ],
(Table_BangLuong_TyLeTangCa[Ngày] = "Thường") *
(Table_BangLuong_TyLeTangCa[Giờ min]&lt;=$AA45) *
(Table_BangLuong_TyLeTangCa[Giờ max]&gt;$AA45)
)))),
IF(AM$4 &gt; AM$5,
IF(
AND(
$AA45-$Z$4&lt;MAX(AM$4,VLOOKUP(AM$6, Table_ChiPhiNV_Ca[], COUNTA(Table_ChiPhiNV_Ca[[#Headers],[Ca]:[Bắt đầu]]),0)),
$AA45&gt;MIN(AM$5,VLOOKUP(AM$6, Table_ChiPhiNV_Ca[], COUNTA(Table_ChiPhiNV_Ca[[#Headers],[Ca]:[Kết thúc]]),0))),0,
SUM(_xlfn._xlws.FILTER(Table_BangLuong_TyLeTangCa[Tỷ lệ],
(Table_BangLuong_TyLeTangCa[Ngày] = "Thường") *
(Table_BangLuong_TyLeTangCa[Giờ min]&lt;=$AA45) *
(Table_BangLuong_TyLeTangCa[Giờ max]&gt;$AA45)
))),
IF(
AND(
$AA45-$Z$4&gt;=MAX(AM$4,VLOOKUP(AM$6, Table_ChiPhiNV_Ca[], COUNTA(Table_ChiPhiNV_Ca[[#Headers],[Ca]:[Bắt đầu]]),0)),
$AA45&lt;MIN(AM$5,VLOOKUP(AM$6, Table_ChiPhiNV_Ca[], COUNTA(Table_ChiPhiNV_Ca[[#Headers],[Ca]:[Kết thúc]]),0))),
SUM(_xlfn._xlws.FILTER(Table_BangLuong_TyLeTangCa[Tỷ lệ],
(Table_BangLuong_TyLeTangCa[Ngày] = "Thường") *
(Table_BangLuong_TyLeTangCa[Giờ min]&lt;=$AA45) *
(Table_BangLuong_TyLeTangCa[Giờ max]&gt;$AA45)
)),0)
)),
IF(AM$4 &lt; AM$5,
IF($AA45-$Z$4&lt;AM$4,0,
IF($AA45&gt;AM$5,0,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AM$5,$AA45 &lt; AM$4),0,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N45" s="18" cm="1">
        <f t="array" ref="AN45" xml:space="preserve">
IFERROR(
IF(AN$1="",0,
IF(AND(
$AA45&gt;=VLOOKUP(AN$6, Table_ChiPhiNV_Ca[], COUNTA(Table_ChiPhiNV_Ca[[#Headers],[Ca]:[Bắt đầu nghỉ]]),0),
$AA45&lt;VLOOKUP(AN$6, Table_ChiPhiNV_Ca[], COUNTA(Table_ChiPhiNV_Ca[[#Headers],[Ca]:[Kết thúc nghỉ]]),0)
),0,
IF(NOT(ISBLANK(AN$3)),
IF(ISBLANK(AN$7),0,
IF(AN$4 &lt; AN$5,
IF($AA45-$Z$4&lt;AN$4,0,
IF($AA45&gt;AN$5,0,
SUM(_xlfn._xlws.FILTER(Table_BangLuong_TyLeTangCa[Tỷ lệ],
(Table_BangLuong_TyLeTangCa[Ngày] = AN$3) *
(Table_BangLuong_TyLeTangCa[Giờ min]&lt;=$AA45) *
(Table_BangLuong_TyLeTangCa[Giờ max]&gt;$AA45)
)))),
IF(AND($AA45-$Z$4 &gt;= AN$5,$AA45 &lt; AN$4),0,
SUM(_xlfn._xlws.FILTER(Table_BangLuong_TyLeTangCa[Tỷ lệ],
(Table_BangLuong_TyLeTangCa[Ngày] = AN$3) *
(Table_BangLuong_TyLeTangCa[Giờ min]&lt;=$AA45) *
(Table_BangLuong_TyLeTangCa[Giờ max]&gt;$AA45)
))))
),
IF(ISBLANK(AN$7),
IF(VLOOKUP(AN$6, Table_ChiPhiNV_Ca[], COUNTA(Table_ChiPhiNV_Ca[[#Headers],[Ca]:[Kết thúc]]),0)&gt; VLOOKUP(AN$6, Table_ChiPhiNV_Ca[], COUNTA(Table_ChiPhiNV_Ca[[#Headers],[Ca]:[Bắt đầu]]),0),
IF($AA45-$Z$4&lt;MAX(AN$4,VLOOKUP(AN$6, Table_ChiPhiNV_Ca[], COUNTA(Table_ChiPhiNV_Ca[[#Headers],[Ca]:[Bắt đầu]]),0)),0,
IF($AA45&gt;MIN(AN$5,VLOOKUP(AN$6, Table_ChiPhiNV_Ca[], COUNTA(Table_ChiPhiNV_Ca[[#Headers],[Ca]:[Kết thúc]]),0)),0,
SUM(_xlfn._xlws.FILTER(Table_BangLuong_TyLeTangCa[Tỷ lệ],
(Table_BangLuong_TyLeTangCa[Ngày] = "Thường") *
(Table_BangLuong_TyLeTangCa[Giờ min]&lt;=$AA45) *
(Table_BangLuong_TyLeTangCa[Giờ max]&gt;$AA45)
)))),
IF(AN$4 &gt; AN$5,
IF(
AND(
$AA45-$Z$4&lt;MAX(AN$4,VLOOKUP(AN$6, Table_ChiPhiNV_Ca[], COUNTA(Table_ChiPhiNV_Ca[[#Headers],[Ca]:[Bắt đầu]]),0)),
$AA45&gt;MIN(AN$5,VLOOKUP(AN$6, Table_ChiPhiNV_Ca[], COUNTA(Table_ChiPhiNV_Ca[[#Headers],[Ca]:[Kết thúc]]),0))),0,
SUM(_xlfn._xlws.FILTER(Table_BangLuong_TyLeTangCa[Tỷ lệ],
(Table_BangLuong_TyLeTangCa[Ngày] = "Thường") *
(Table_BangLuong_TyLeTangCa[Giờ min]&lt;=$AA45) *
(Table_BangLuong_TyLeTangCa[Giờ max]&gt;$AA45)
))),
IF(
AND(
$AA45-$Z$4&gt;=MAX(AN$4,VLOOKUP(AN$6, Table_ChiPhiNV_Ca[], COUNTA(Table_ChiPhiNV_Ca[[#Headers],[Ca]:[Bắt đầu]]),0)),
$AA45&lt;MIN(AN$5,VLOOKUP(AN$6, Table_ChiPhiNV_Ca[], COUNTA(Table_ChiPhiNV_Ca[[#Headers],[Ca]:[Kết thúc]]),0))),
SUM(_xlfn._xlws.FILTER(Table_BangLuong_TyLeTangCa[Tỷ lệ],
(Table_BangLuong_TyLeTangCa[Ngày] = "Thường") *
(Table_BangLuong_TyLeTangCa[Giờ min]&lt;=$AA45) *
(Table_BangLuong_TyLeTangCa[Giờ max]&gt;$AA45)
)),0)
)),
IF(AN$4 &lt; AN$5,
IF($AA45-$Z$4&lt;AN$4,0,
IF($AA45&gt;AN$5,0,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AN$5,$AA45 &lt; AN$4),0,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O45" s="18" cm="1">
        <f t="array" ref="AO45" xml:space="preserve">
IFERROR(
IF(AO$1="",0,
IF(AND(
$AA45&gt;=VLOOKUP(AO$6, Table_ChiPhiNV_Ca[], COUNTA(Table_ChiPhiNV_Ca[[#Headers],[Ca]:[Bắt đầu nghỉ]]),0),
$AA45&lt;VLOOKUP(AO$6, Table_ChiPhiNV_Ca[], COUNTA(Table_ChiPhiNV_Ca[[#Headers],[Ca]:[Kết thúc nghỉ]]),0)
),0,
IF(NOT(ISBLANK(AO$3)),
IF(ISBLANK(AO$7),0,
IF(AO$4 &lt; AO$5,
IF($AA45-$Z$4&lt;AO$4,0,
IF($AA45&gt;AO$5,0,
SUM(_xlfn._xlws.FILTER(Table_BangLuong_TyLeTangCa[Tỷ lệ],
(Table_BangLuong_TyLeTangCa[Ngày] = AO$3) *
(Table_BangLuong_TyLeTangCa[Giờ min]&lt;=$AA45) *
(Table_BangLuong_TyLeTangCa[Giờ max]&gt;$AA45)
)))),
IF(AND($AA45-$Z$4 &gt;= AO$5,$AA45 &lt; AO$4),0,
SUM(_xlfn._xlws.FILTER(Table_BangLuong_TyLeTangCa[Tỷ lệ],
(Table_BangLuong_TyLeTangCa[Ngày] = AO$3) *
(Table_BangLuong_TyLeTangCa[Giờ min]&lt;=$AA45) *
(Table_BangLuong_TyLeTangCa[Giờ max]&gt;$AA45)
))))
),
IF(ISBLANK(AO$7),
IF(VLOOKUP(AO$6, Table_ChiPhiNV_Ca[], COUNTA(Table_ChiPhiNV_Ca[[#Headers],[Ca]:[Kết thúc]]),0)&gt; VLOOKUP(AO$6, Table_ChiPhiNV_Ca[], COUNTA(Table_ChiPhiNV_Ca[[#Headers],[Ca]:[Bắt đầu]]),0),
IF($AA45-$Z$4&lt;MAX(AO$4,VLOOKUP(AO$6, Table_ChiPhiNV_Ca[], COUNTA(Table_ChiPhiNV_Ca[[#Headers],[Ca]:[Bắt đầu]]),0)),0,
IF($AA45&gt;MIN(AO$5,VLOOKUP(AO$6, Table_ChiPhiNV_Ca[], COUNTA(Table_ChiPhiNV_Ca[[#Headers],[Ca]:[Kết thúc]]),0)),0,
SUM(_xlfn._xlws.FILTER(Table_BangLuong_TyLeTangCa[Tỷ lệ],
(Table_BangLuong_TyLeTangCa[Ngày] = "Thường") *
(Table_BangLuong_TyLeTangCa[Giờ min]&lt;=$AA45) *
(Table_BangLuong_TyLeTangCa[Giờ max]&gt;$AA45)
)))),
IF(AO$4 &gt; AO$5,
IF(
AND(
$AA45-$Z$4&lt;MAX(AO$4,VLOOKUP(AO$6, Table_ChiPhiNV_Ca[], COUNTA(Table_ChiPhiNV_Ca[[#Headers],[Ca]:[Bắt đầu]]),0)),
$AA45&gt;MIN(AO$5,VLOOKUP(AO$6, Table_ChiPhiNV_Ca[], COUNTA(Table_ChiPhiNV_Ca[[#Headers],[Ca]:[Kết thúc]]),0))),0,
SUM(_xlfn._xlws.FILTER(Table_BangLuong_TyLeTangCa[Tỷ lệ],
(Table_BangLuong_TyLeTangCa[Ngày] = "Thường") *
(Table_BangLuong_TyLeTangCa[Giờ min]&lt;=$AA45) *
(Table_BangLuong_TyLeTangCa[Giờ max]&gt;$AA45)
))),
IF(
AND(
$AA45-$Z$4&gt;=MAX(AO$4,VLOOKUP(AO$6, Table_ChiPhiNV_Ca[], COUNTA(Table_ChiPhiNV_Ca[[#Headers],[Ca]:[Bắt đầu]]),0)),
$AA45&lt;MIN(AO$5,VLOOKUP(AO$6, Table_ChiPhiNV_Ca[], COUNTA(Table_ChiPhiNV_Ca[[#Headers],[Ca]:[Kết thúc]]),0))),
SUM(_xlfn._xlws.FILTER(Table_BangLuong_TyLeTangCa[Tỷ lệ],
(Table_BangLuong_TyLeTangCa[Ngày] = "Thường") *
(Table_BangLuong_TyLeTangCa[Giờ min]&lt;=$AA45) *
(Table_BangLuong_TyLeTangCa[Giờ max]&gt;$AA45)
)),0)
)),
IF(AO$4 &lt; AO$5,
IF($AA45-$Z$4&lt;AO$4,0,
IF($AA45&gt;AO$5,0,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AO$5,$AA45 &lt; AO$4),0,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P45" s="18" cm="1">
        <f t="array" ref="AP45" xml:space="preserve">
IFERROR(
IF(AP$1="",0,
IF(AND(
$AA45&gt;=VLOOKUP(AP$6, Table_ChiPhiNV_Ca[], COUNTA(Table_ChiPhiNV_Ca[[#Headers],[Ca]:[Bắt đầu nghỉ]]),0),
$AA45&lt;VLOOKUP(AP$6, Table_ChiPhiNV_Ca[], COUNTA(Table_ChiPhiNV_Ca[[#Headers],[Ca]:[Kết thúc nghỉ]]),0)
),0,
IF(NOT(ISBLANK(AP$3)),
IF(ISBLANK(AP$7),0,
IF(AP$4 &lt; AP$5,
IF($AA45-$Z$4&lt;AP$4,0,
IF($AA45&gt;AP$5,0,
SUM(_xlfn._xlws.FILTER(Table_BangLuong_TyLeTangCa[Tỷ lệ],
(Table_BangLuong_TyLeTangCa[Ngày] = AP$3) *
(Table_BangLuong_TyLeTangCa[Giờ min]&lt;=$AA45) *
(Table_BangLuong_TyLeTangCa[Giờ max]&gt;$AA45)
)))),
IF(AND($AA45-$Z$4 &gt;= AP$5,$AA45 &lt; AP$4),0,
SUM(_xlfn._xlws.FILTER(Table_BangLuong_TyLeTangCa[Tỷ lệ],
(Table_BangLuong_TyLeTangCa[Ngày] = AP$3) *
(Table_BangLuong_TyLeTangCa[Giờ min]&lt;=$AA45) *
(Table_BangLuong_TyLeTangCa[Giờ max]&gt;$AA45)
))))
),
IF(ISBLANK(AP$7),
IF(VLOOKUP(AP$6, Table_ChiPhiNV_Ca[], COUNTA(Table_ChiPhiNV_Ca[[#Headers],[Ca]:[Kết thúc]]),0)&gt; VLOOKUP(AP$6, Table_ChiPhiNV_Ca[], COUNTA(Table_ChiPhiNV_Ca[[#Headers],[Ca]:[Bắt đầu]]),0),
IF($AA45-$Z$4&lt;MAX(AP$4,VLOOKUP(AP$6, Table_ChiPhiNV_Ca[], COUNTA(Table_ChiPhiNV_Ca[[#Headers],[Ca]:[Bắt đầu]]),0)),0,
IF($AA45&gt;MIN(AP$5,VLOOKUP(AP$6, Table_ChiPhiNV_Ca[], COUNTA(Table_ChiPhiNV_Ca[[#Headers],[Ca]:[Kết thúc]]),0)),0,
SUM(_xlfn._xlws.FILTER(Table_BangLuong_TyLeTangCa[Tỷ lệ],
(Table_BangLuong_TyLeTangCa[Ngày] = "Thường") *
(Table_BangLuong_TyLeTangCa[Giờ min]&lt;=$AA45) *
(Table_BangLuong_TyLeTangCa[Giờ max]&gt;$AA45)
)))),
IF(AP$4 &gt; AP$5,
IF(
AND(
$AA45-$Z$4&lt;MAX(AP$4,VLOOKUP(AP$6, Table_ChiPhiNV_Ca[], COUNTA(Table_ChiPhiNV_Ca[[#Headers],[Ca]:[Bắt đầu]]),0)),
$AA45&gt;MIN(AP$5,VLOOKUP(AP$6, Table_ChiPhiNV_Ca[], COUNTA(Table_ChiPhiNV_Ca[[#Headers],[Ca]:[Kết thúc]]),0))),0,
SUM(_xlfn._xlws.FILTER(Table_BangLuong_TyLeTangCa[Tỷ lệ],
(Table_BangLuong_TyLeTangCa[Ngày] = "Thường") *
(Table_BangLuong_TyLeTangCa[Giờ min]&lt;=$AA45) *
(Table_BangLuong_TyLeTangCa[Giờ max]&gt;$AA45)
))),
IF(
AND(
$AA45-$Z$4&gt;=MAX(AP$4,VLOOKUP(AP$6, Table_ChiPhiNV_Ca[], COUNTA(Table_ChiPhiNV_Ca[[#Headers],[Ca]:[Bắt đầu]]),0)),
$AA45&lt;MIN(AP$5,VLOOKUP(AP$6, Table_ChiPhiNV_Ca[], COUNTA(Table_ChiPhiNV_Ca[[#Headers],[Ca]:[Kết thúc]]),0))),
SUM(_xlfn._xlws.FILTER(Table_BangLuong_TyLeTangCa[Tỷ lệ],
(Table_BangLuong_TyLeTangCa[Ngày] = "Thường") *
(Table_BangLuong_TyLeTangCa[Giờ min]&lt;=$AA45) *
(Table_BangLuong_TyLeTangCa[Giờ max]&gt;$AA45)
)),0)
)),
IF(AP$4 &lt; AP$5,
IF($AA45-$Z$4&lt;AP$4,0,
IF($AA45&gt;AP$5,0,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AP$5,$AA45 &lt; AP$4),0,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Q45" s="18" cm="1">
        <f t="array" ref="AQ45" xml:space="preserve">
IFERROR(
IF(AQ$1="",0,
IF(AND(
$AA45&gt;=VLOOKUP(AQ$6, Table_ChiPhiNV_Ca[], COUNTA(Table_ChiPhiNV_Ca[[#Headers],[Ca]:[Bắt đầu nghỉ]]),0),
$AA45&lt;VLOOKUP(AQ$6, Table_ChiPhiNV_Ca[], COUNTA(Table_ChiPhiNV_Ca[[#Headers],[Ca]:[Kết thúc nghỉ]]),0)
),0,
IF(NOT(ISBLANK(AQ$3)),
IF(ISBLANK(AQ$7),0,
IF(AQ$4 &lt; AQ$5,
IF($AA45-$Z$4&lt;AQ$4,0,
IF($AA45&gt;AQ$5,0,
SUM(_xlfn._xlws.FILTER(Table_BangLuong_TyLeTangCa[Tỷ lệ],
(Table_BangLuong_TyLeTangCa[Ngày] = AQ$3) *
(Table_BangLuong_TyLeTangCa[Giờ min]&lt;=$AA45) *
(Table_BangLuong_TyLeTangCa[Giờ max]&gt;$AA45)
)))),
IF(AND($AA45-$Z$4 &gt;= AQ$5,$AA45 &lt; AQ$4),0,
SUM(_xlfn._xlws.FILTER(Table_BangLuong_TyLeTangCa[Tỷ lệ],
(Table_BangLuong_TyLeTangCa[Ngày] = AQ$3) *
(Table_BangLuong_TyLeTangCa[Giờ min]&lt;=$AA45) *
(Table_BangLuong_TyLeTangCa[Giờ max]&gt;$AA45)
))))
),
IF(ISBLANK(AQ$7),
IF(VLOOKUP(AQ$6, Table_ChiPhiNV_Ca[], COUNTA(Table_ChiPhiNV_Ca[[#Headers],[Ca]:[Kết thúc]]),0)&gt; VLOOKUP(AQ$6, Table_ChiPhiNV_Ca[], COUNTA(Table_ChiPhiNV_Ca[[#Headers],[Ca]:[Bắt đầu]]),0),
IF($AA45-$Z$4&lt;MAX(AQ$4,VLOOKUP(AQ$6, Table_ChiPhiNV_Ca[], COUNTA(Table_ChiPhiNV_Ca[[#Headers],[Ca]:[Bắt đầu]]),0)),0,
IF($AA45&gt;MIN(AQ$5,VLOOKUP(AQ$6, Table_ChiPhiNV_Ca[], COUNTA(Table_ChiPhiNV_Ca[[#Headers],[Ca]:[Kết thúc]]),0)),0,
SUM(_xlfn._xlws.FILTER(Table_BangLuong_TyLeTangCa[Tỷ lệ],
(Table_BangLuong_TyLeTangCa[Ngày] = "Thường") *
(Table_BangLuong_TyLeTangCa[Giờ min]&lt;=$AA45) *
(Table_BangLuong_TyLeTangCa[Giờ max]&gt;$AA45)
)))),
IF(AQ$4 &gt; AQ$5,
IF(
AND(
$AA45-$Z$4&lt;MAX(AQ$4,VLOOKUP(AQ$6, Table_ChiPhiNV_Ca[], COUNTA(Table_ChiPhiNV_Ca[[#Headers],[Ca]:[Bắt đầu]]),0)),
$AA45&gt;MIN(AQ$5,VLOOKUP(AQ$6, Table_ChiPhiNV_Ca[], COUNTA(Table_ChiPhiNV_Ca[[#Headers],[Ca]:[Kết thúc]]),0))),0,
SUM(_xlfn._xlws.FILTER(Table_BangLuong_TyLeTangCa[Tỷ lệ],
(Table_BangLuong_TyLeTangCa[Ngày] = "Thường") *
(Table_BangLuong_TyLeTangCa[Giờ min]&lt;=$AA45) *
(Table_BangLuong_TyLeTangCa[Giờ max]&gt;$AA45)
))),
IF(
AND(
$AA45-$Z$4&gt;=MAX(AQ$4,VLOOKUP(AQ$6, Table_ChiPhiNV_Ca[], COUNTA(Table_ChiPhiNV_Ca[[#Headers],[Ca]:[Bắt đầu]]),0)),
$AA45&lt;MIN(AQ$5,VLOOKUP(AQ$6, Table_ChiPhiNV_Ca[], COUNTA(Table_ChiPhiNV_Ca[[#Headers],[Ca]:[Kết thúc]]),0))),
SUM(_xlfn._xlws.FILTER(Table_BangLuong_TyLeTangCa[Tỷ lệ],
(Table_BangLuong_TyLeTangCa[Ngày] = "Thường") *
(Table_BangLuong_TyLeTangCa[Giờ min]&lt;=$AA45) *
(Table_BangLuong_TyLeTangCa[Giờ max]&gt;$AA45)
)),0)
)),
IF(AQ$4 &lt; AQ$5,
IF($AA45-$Z$4&lt;AQ$4,0,
IF($AA45&gt;AQ$5,0,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AQ$5,$AA45 &lt; AQ$4),0,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R45" s="18" cm="1">
        <f t="array" ref="AR45" xml:space="preserve">
IFERROR(
IF(AR$1="",0,
IF(AND(
$AA45&gt;=VLOOKUP(AR$6, Table_ChiPhiNV_Ca[], COUNTA(Table_ChiPhiNV_Ca[[#Headers],[Ca]:[Bắt đầu nghỉ]]),0),
$AA45&lt;VLOOKUP(AR$6, Table_ChiPhiNV_Ca[], COUNTA(Table_ChiPhiNV_Ca[[#Headers],[Ca]:[Kết thúc nghỉ]]),0)
),0,
IF(NOT(ISBLANK(AR$3)),
IF(ISBLANK(AR$7),0,
IF(AR$4 &lt; AR$5,
IF($AA45-$Z$4&lt;AR$4,0,
IF($AA45&gt;AR$5,0,
SUM(_xlfn._xlws.FILTER(Table_BangLuong_TyLeTangCa[Tỷ lệ],
(Table_BangLuong_TyLeTangCa[Ngày] = AR$3) *
(Table_BangLuong_TyLeTangCa[Giờ min]&lt;=$AA45) *
(Table_BangLuong_TyLeTangCa[Giờ max]&gt;$AA45)
)))),
IF(AND($AA45-$Z$4 &gt;= AR$5,$AA45 &lt; AR$4),0,
SUM(_xlfn._xlws.FILTER(Table_BangLuong_TyLeTangCa[Tỷ lệ],
(Table_BangLuong_TyLeTangCa[Ngày] = AR$3) *
(Table_BangLuong_TyLeTangCa[Giờ min]&lt;=$AA45) *
(Table_BangLuong_TyLeTangCa[Giờ max]&gt;$AA45)
))))
),
IF(ISBLANK(AR$7),
IF(VLOOKUP(AR$6, Table_ChiPhiNV_Ca[], COUNTA(Table_ChiPhiNV_Ca[[#Headers],[Ca]:[Kết thúc]]),0)&gt; VLOOKUP(AR$6, Table_ChiPhiNV_Ca[], COUNTA(Table_ChiPhiNV_Ca[[#Headers],[Ca]:[Bắt đầu]]),0),
IF($AA45-$Z$4&lt;MAX(AR$4,VLOOKUP(AR$6, Table_ChiPhiNV_Ca[], COUNTA(Table_ChiPhiNV_Ca[[#Headers],[Ca]:[Bắt đầu]]),0)),0,
IF($AA45&gt;MIN(AR$5,VLOOKUP(AR$6, Table_ChiPhiNV_Ca[], COUNTA(Table_ChiPhiNV_Ca[[#Headers],[Ca]:[Kết thúc]]),0)),0,
SUM(_xlfn._xlws.FILTER(Table_BangLuong_TyLeTangCa[Tỷ lệ],
(Table_BangLuong_TyLeTangCa[Ngày] = "Thường") *
(Table_BangLuong_TyLeTangCa[Giờ min]&lt;=$AA45) *
(Table_BangLuong_TyLeTangCa[Giờ max]&gt;$AA45)
)))),
IF(AR$4 &gt; AR$5,
IF(
AND(
$AA45-$Z$4&lt;MAX(AR$4,VLOOKUP(AR$6, Table_ChiPhiNV_Ca[], COUNTA(Table_ChiPhiNV_Ca[[#Headers],[Ca]:[Bắt đầu]]),0)),
$AA45&gt;MIN(AR$5,VLOOKUP(AR$6, Table_ChiPhiNV_Ca[], COUNTA(Table_ChiPhiNV_Ca[[#Headers],[Ca]:[Kết thúc]]),0))),0,
SUM(_xlfn._xlws.FILTER(Table_BangLuong_TyLeTangCa[Tỷ lệ],
(Table_BangLuong_TyLeTangCa[Ngày] = "Thường") *
(Table_BangLuong_TyLeTangCa[Giờ min]&lt;=$AA45) *
(Table_BangLuong_TyLeTangCa[Giờ max]&gt;$AA45)
))),
IF(
AND(
$AA45-$Z$4&gt;=MAX(AR$4,VLOOKUP(AR$6, Table_ChiPhiNV_Ca[], COUNTA(Table_ChiPhiNV_Ca[[#Headers],[Ca]:[Bắt đầu]]),0)),
$AA45&lt;MIN(AR$5,VLOOKUP(AR$6, Table_ChiPhiNV_Ca[], COUNTA(Table_ChiPhiNV_Ca[[#Headers],[Ca]:[Kết thúc]]),0))),
SUM(_xlfn._xlws.FILTER(Table_BangLuong_TyLeTangCa[Tỷ lệ],
(Table_BangLuong_TyLeTangCa[Ngày] = "Thường") *
(Table_BangLuong_TyLeTangCa[Giờ min]&lt;=$AA45) *
(Table_BangLuong_TyLeTangCa[Giờ max]&gt;$AA45)
)),0)
)),
IF(AR$4 &lt; AR$5,
IF($AA45-$Z$4&lt;AR$4,0,
IF($AA45&gt;AR$5,0,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AR$5,$AA45 &lt; AR$4),0,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S45" s="18" cm="1">
        <f t="array" ref="AS45" xml:space="preserve">
IFERROR(
IF(AS$1="",0,
IF(AND(
$AA45&gt;=VLOOKUP(AS$6, Table_ChiPhiNV_Ca[], COUNTA(Table_ChiPhiNV_Ca[[#Headers],[Ca]:[Bắt đầu nghỉ]]),0),
$AA45&lt;VLOOKUP(AS$6, Table_ChiPhiNV_Ca[], COUNTA(Table_ChiPhiNV_Ca[[#Headers],[Ca]:[Kết thúc nghỉ]]),0)
),0,
IF(NOT(ISBLANK(AS$3)),
IF(ISBLANK(AS$7),0,
IF(AS$4 &lt; AS$5,
IF($AA45-$Z$4&lt;AS$4,0,
IF($AA45&gt;AS$5,0,
SUM(_xlfn._xlws.FILTER(Table_BangLuong_TyLeTangCa[Tỷ lệ],
(Table_BangLuong_TyLeTangCa[Ngày] = AS$3) *
(Table_BangLuong_TyLeTangCa[Giờ min]&lt;=$AA45) *
(Table_BangLuong_TyLeTangCa[Giờ max]&gt;$AA45)
)))),
IF(AND($AA45-$Z$4 &gt;= AS$5,$AA45 &lt; AS$4),0,
SUM(_xlfn._xlws.FILTER(Table_BangLuong_TyLeTangCa[Tỷ lệ],
(Table_BangLuong_TyLeTangCa[Ngày] = AS$3) *
(Table_BangLuong_TyLeTangCa[Giờ min]&lt;=$AA45) *
(Table_BangLuong_TyLeTangCa[Giờ max]&gt;$AA45)
))))
),
IF(ISBLANK(AS$7),
IF(VLOOKUP(AS$6, Table_ChiPhiNV_Ca[], COUNTA(Table_ChiPhiNV_Ca[[#Headers],[Ca]:[Kết thúc]]),0)&gt; VLOOKUP(AS$6, Table_ChiPhiNV_Ca[], COUNTA(Table_ChiPhiNV_Ca[[#Headers],[Ca]:[Bắt đầu]]),0),
IF($AA45-$Z$4&lt;MAX(AS$4,VLOOKUP(AS$6, Table_ChiPhiNV_Ca[], COUNTA(Table_ChiPhiNV_Ca[[#Headers],[Ca]:[Bắt đầu]]),0)),0,
IF($AA45&gt;MIN(AS$5,VLOOKUP(AS$6, Table_ChiPhiNV_Ca[], COUNTA(Table_ChiPhiNV_Ca[[#Headers],[Ca]:[Kết thúc]]),0)),0,
SUM(_xlfn._xlws.FILTER(Table_BangLuong_TyLeTangCa[Tỷ lệ],
(Table_BangLuong_TyLeTangCa[Ngày] = "Thường") *
(Table_BangLuong_TyLeTangCa[Giờ min]&lt;=$AA45) *
(Table_BangLuong_TyLeTangCa[Giờ max]&gt;$AA45)
)))),
IF(AS$4 &gt; AS$5,
IF(
AND(
$AA45-$Z$4&lt;MAX(AS$4,VLOOKUP(AS$6, Table_ChiPhiNV_Ca[], COUNTA(Table_ChiPhiNV_Ca[[#Headers],[Ca]:[Bắt đầu]]),0)),
$AA45&gt;MIN(AS$5,VLOOKUP(AS$6, Table_ChiPhiNV_Ca[], COUNTA(Table_ChiPhiNV_Ca[[#Headers],[Ca]:[Kết thúc]]),0))),0,
SUM(_xlfn._xlws.FILTER(Table_BangLuong_TyLeTangCa[Tỷ lệ],
(Table_BangLuong_TyLeTangCa[Ngày] = "Thường") *
(Table_BangLuong_TyLeTangCa[Giờ min]&lt;=$AA45) *
(Table_BangLuong_TyLeTangCa[Giờ max]&gt;$AA45)
))),
IF(
AND(
$AA45-$Z$4&gt;=MAX(AS$4,VLOOKUP(AS$6, Table_ChiPhiNV_Ca[], COUNTA(Table_ChiPhiNV_Ca[[#Headers],[Ca]:[Bắt đầu]]),0)),
$AA45&lt;MIN(AS$5,VLOOKUP(AS$6, Table_ChiPhiNV_Ca[], COUNTA(Table_ChiPhiNV_Ca[[#Headers],[Ca]:[Kết thúc]]),0))),
SUM(_xlfn._xlws.FILTER(Table_BangLuong_TyLeTangCa[Tỷ lệ],
(Table_BangLuong_TyLeTangCa[Ngày] = "Thường") *
(Table_BangLuong_TyLeTangCa[Giờ min]&lt;=$AA45) *
(Table_BangLuong_TyLeTangCa[Giờ max]&gt;$AA45)
)),0)
)),
IF(AS$4 &lt; AS$5,
IF($AA45-$Z$4&lt;AS$4,0,
IF($AA45&gt;AS$5,0,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AS$5,$AA45 &lt; AS$4),0,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T45" s="18" cm="1">
        <f t="array" ref="AT45" xml:space="preserve">
IFERROR(
IF(AT$1="",0,
IF(AND(
$AA45&gt;=VLOOKUP(AT$6, Table_ChiPhiNV_Ca[], COUNTA(Table_ChiPhiNV_Ca[[#Headers],[Ca]:[Bắt đầu nghỉ]]),0),
$AA45&lt;VLOOKUP(AT$6, Table_ChiPhiNV_Ca[], COUNTA(Table_ChiPhiNV_Ca[[#Headers],[Ca]:[Kết thúc nghỉ]]),0)
),0,
IF(NOT(ISBLANK(AT$3)),
IF(ISBLANK(AT$7),0,
IF(AT$4 &lt; AT$5,
IF($AA45-$Z$4&lt;AT$4,0,
IF($AA45&gt;AT$5,0,
SUM(_xlfn._xlws.FILTER(Table_BangLuong_TyLeTangCa[Tỷ lệ],
(Table_BangLuong_TyLeTangCa[Ngày] = AT$3) *
(Table_BangLuong_TyLeTangCa[Giờ min]&lt;=$AA45) *
(Table_BangLuong_TyLeTangCa[Giờ max]&gt;$AA45)
)))),
IF(AND($AA45-$Z$4 &gt;= AT$5,$AA45 &lt; AT$4),0,
SUM(_xlfn._xlws.FILTER(Table_BangLuong_TyLeTangCa[Tỷ lệ],
(Table_BangLuong_TyLeTangCa[Ngày] = AT$3) *
(Table_BangLuong_TyLeTangCa[Giờ min]&lt;=$AA45) *
(Table_BangLuong_TyLeTangCa[Giờ max]&gt;$AA45)
))))
),
IF(ISBLANK(AT$7),
IF(VLOOKUP(AT$6, Table_ChiPhiNV_Ca[], COUNTA(Table_ChiPhiNV_Ca[[#Headers],[Ca]:[Kết thúc]]),0)&gt; VLOOKUP(AT$6, Table_ChiPhiNV_Ca[], COUNTA(Table_ChiPhiNV_Ca[[#Headers],[Ca]:[Bắt đầu]]),0),
IF($AA45-$Z$4&lt;MAX(AT$4,VLOOKUP(AT$6, Table_ChiPhiNV_Ca[], COUNTA(Table_ChiPhiNV_Ca[[#Headers],[Ca]:[Bắt đầu]]),0)),0,
IF($AA45&gt;MIN(AT$5,VLOOKUP(AT$6, Table_ChiPhiNV_Ca[], COUNTA(Table_ChiPhiNV_Ca[[#Headers],[Ca]:[Kết thúc]]),0)),0,
SUM(_xlfn._xlws.FILTER(Table_BangLuong_TyLeTangCa[Tỷ lệ],
(Table_BangLuong_TyLeTangCa[Ngày] = "Thường") *
(Table_BangLuong_TyLeTangCa[Giờ min]&lt;=$AA45) *
(Table_BangLuong_TyLeTangCa[Giờ max]&gt;$AA45)
)))),
IF(AT$4 &gt; AT$5,
IF(
AND(
$AA45-$Z$4&lt;MAX(AT$4,VLOOKUP(AT$6, Table_ChiPhiNV_Ca[], COUNTA(Table_ChiPhiNV_Ca[[#Headers],[Ca]:[Bắt đầu]]),0)),
$AA45&gt;MIN(AT$5,VLOOKUP(AT$6, Table_ChiPhiNV_Ca[], COUNTA(Table_ChiPhiNV_Ca[[#Headers],[Ca]:[Kết thúc]]),0))),0,
SUM(_xlfn._xlws.FILTER(Table_BangLuong_TyLeTangCa[Tỷ lệ],
(Table_BangLuong_TyLeTangCa[Ngày] = "Thường") *
(Table_BangLuong_TyLeTangCa[Giờ min]&lt;=$AA45) *
(Table_BangLuong_TyLeTangCa[Giờ max]&gt;$AA45)
))),
IF(
AND(
$AA45-$Z$4&gt;=MAX(AT$4,VLOOKUP(AT$6, Table_ChiPhiNV_Ca[], COUNTA(Table_ChiPhiNV_Ca[[#Headers],[Ca]:[Bắt đầu]]),0)),
$AA45&lt;MIN(AT$5,VLOOKUP(AT$6, Table_ChiPhiNV_Ca[], COUNTA(Table_ChiPhiNV_Ca[[#Headers],[Ca]:[Kết thúc]]),0))),
SUM(_xlfn._xlws.FILTER(Table_BangLuong_TyLeTangCa[Tỷ lệ],
(Table_BangLuong_TyLeTangCa[Ngày] = "Thường") *
(Table_BangLuong_TyLeTangCa[Giờ min]&lt;=$AA45) *
(Table_BangLuong_TyLeTangCa[Giờ max]&gt;$AA45)
)),0)
)),
IF(AT$4 &lt; AT$5,
IF($AA45-$Z$4&lt;AT$4,0,
IF($AA45&gt;AT$5,0,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AT$5,$AA45 &lt; AT$4),0,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U45" s="18" cm="1">
        <f t="array" ref="AU45" xml:space="preserve">
IFERROR(
IF(AU$1="",0,
IF(AND(
$AA45&gt;=VLOOKUP(AU$6, Table_ChiPhiNV_Ca[], COUNTA(Table_ChiPhiNV_Ca[[#Headers],[Ca]:[Bắt đầu nghỉ]]),0),
$AA45&lt;VLOOKUP(AU$6, Table_ChiPhiNV_Ca[], COUNTA(Table_ChiPhiNV_Ca[[#Headers],[Ca]:[Kết thúc nghỉ]]),0)
),0,
IF(NOT(ISBLANK(AU$3)),
IF(ISBLANK(AU$7),0,
IF(AU$4 &lt; AU$5,
IF($AA45-$Z$4&lt;AU$4,0,
IF($AA45&gt;AU$5,0,
SUM(_xlfn._xlws.FILTER(Table_BangLuong_TyLeTangCa[Tỷ lệ],
(Table_BangLuong_TyLeTangCa[Ngày] = AU$3) *
(Table_BangLuong_TyLeTangCa[Giờ min]&lt;=$AA45) *
(Table_BangLuong_TyLeTangCa[Giờ max]&gt;$AA45)
)))),
IF(AND($AA45-$Z$4 &gt;= AU$5,$AA45 &lt; AU$4),0,
SUM(_xlfn._xlws.FILTER(Table_BangLuong_TyLeTangCa[Tỷ lệ],
(Table_BangLuong_TyLeTangCa[Ngày] = AU$3) *
(Table_BangLuong_TyLeTangCa[Giờ min]&lt;=$AA45) *
(Table_BangLuong_TyLeTangCa[Giờ max]&gt;$AA45)
))))
),
IF(ISBLANK(AU$7),
IF(VLOOKUP(AU$6, Table_ChiPhiNV_Ca[], COUNTA(Table_ChiPhiNV_Ca[[#Headers],[Ca]:[Kết thúc]]),0)&gt; VLOOKUP(AU$6, Table_ChiPhiNV_Ca[], COUNTA(Table_ChiPhiNV_Ca[[#Headers],[Ca]:[Bắt đầu]]),0),
IF($AA45-$Z$4&lt;MAX(AU$4,VLOOKUP(AU$6, Table_ChiPhiNV_Ca[], COUNTA(Table_ChiPhiNV_Ca[[#Headers],[Ca]:[Bắt đầu]]),0)),0,
IF($AA45&gt;MIN(AU$5,VLOOKUP(AU$6, Table_ChiPhiNV_Ca[], COUNTA(Table_ChiPhiNV_Ca[[#Headers],[Ca]:[Kết thúc]]),0)),0,
SUM(_xlfn._xlws.FILTER(Table_BangLuong_TyLeTangCa[Tỷ lệ],
(Table_BangLuong_TyLeTangCa[Ngày] = "Thường") *
(Table_BangLuong_TyLeTangCa[Giờ min]&lt;=$AA45) *
(Table_BangLuong_TyLeTangCa[Giờ max]&gt;$AA45)
)))),
IF(AU$4 &gt; AU$5,
IF(
AND(
$AA45-$Z$4&lt;MAX(AU$4,VLOOKUP(AU$6, Table_ChiPhiNV_Ca[], COUNTA(Table_ChiPhiNV_Ca[[#Headers],[Ca]:[Bắt đầu]]),0)),
$AA45&gt;MIN(AU$5,VLOOKUP(AU$6, Table_ChiPhiNV_Ca[], COUNTA(Table_ChiPhiNV_Ca[[#Headers],[Ca]:[Kết thúc]]),0))),0,
SUM(_xlfn._xlws.FILTER(Table_BangLuong_TyLeTangCa[Tỷ lệ],
(Table_BangLuong_TyLeTangCa[Ngày] = "Thường") *
(Table_BangLuong_TyLeTangCa[Giờ min]&lt;=$AA45) *
(Table_BangLuong_TyLeTangCa[Giờ max]&gt;$AA45)
))),
IF(
AND(
$AA45-$Z$4&gt;=MAX(AU$4,VLOOKUP(AU$6, Table_ChiPhiNV_Ca[], COUNTA(Table_ChiPhiNV_Ca[[#Headers],[Ca]:[Bắt đầu]]),0)),
$AA45&lt;MIN(AU$5,VLOOKUP(AU$6, Table_ChiPhiNV_Ca[], COUNTA(Table_ChiPhiNV_Ca[[#Headers],[Ca]:[Kết thúc]]),0))),
SUM(_xlfn._xlws.FILTER(Table_BangLuong_TyLeTangCa[Tỷ lệ],
(Table_BangLuong_TyLeTangCa[Ngày] = "Thường") *
(Table_BangLuong_TyLeTangCa[Giờ min]&lt;=$AA45) *
(Table_BangLuong_TyLeTangCa[Giờ max]&gt;$AA45)
)),0)
)),
IF(AU$4 &lt; AU$5,
IF($AA45-$Z$4&lt;AU$4,0,
IF($AA45&gt;AU$5,0,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AU$5,$AA45 &lt; AU$4),0,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V45" s="18" cm="1">
        <f t="array" ref="AV45" xml:space="preserve">
IFERROR(
IF(AV$1="",0,
IF(AND(
$AA45&gt;=VLOOKUP(AV$6, Table_ChiPhiNV_Ca[], COUNTA(Table_ChiPhiNV_Ca[[#Headers],[Ca]:[Bắt đầu nghỉ]]),0),
$AA45&lt;VLOOKUP(AV$6, Table_ChiPhiNV_Ca[], COUNTA(Table_ChiPhiNV_Ca[[#Headers],[Ca]:[Kết thúc nghỉ]]),0)
),0,
IF(NOT(ISBLANK(AV$3)),
IF(ISBLANK(AV$7),0,
IF(AV$4 &lt; AV$5,
IF($AA45-$Z$4&lt;AV$4,0,
IF($AA45&gt;AV$5,0,
SUM(_xlfn._xlws.FILTER(Table_BangLuong_TyLeTangCa[Tỷ lệ],
(Table_BangLuong_TyLeTangCa[Ngày] = AV$3) *
(Table_BangLuong_TyLeTangCa[Giờ min]&lt;=$AA45) *
(Table_BangLuong_TyLeTangCa[Giờ max]&gt;$AA45)
)))),
IF(AND($AA45-$Z$4 &gt;= AV$5,$AA45 &lt; AV$4),0,
SUM(_xlfn._xlws.FILTER(Table_BangLuong_TyLeTangCa[Tỷ lệ],
(Table_BangLuong_TyLeTangCa[Ngày] = AV$3) *
(Table_BangLuong_TyLeTangCa[Giờ min]&lt;=$AA45) *
(Table_BangLuong_TyLeTangCa[Giờ max]&gt;$AA45)
))))
),
IF(ISBLANK(AV$7),
IF(VLOOKUP(AV$6, Table_ChiPhiNV_Ca[], COUNTA(Table_ChiPhiNV_Ca[[#Headers],[Ca]:[Kết thúc]]),0)&gt; VLOOKUP(AV$6, Table_ChiPhiNV_Ca[], COUNTA(Table_ChiPhiNV_Ca[[#Headers],[Ca]:[Bắt đầu]]),0),
IF($AA45-$Z$4&lt;MAX(AV$4,VLOOKUP(AV$6, Table_ChiPhiNV_Ca[], COUNTA(Table_ChiPhiNV_Ca[[#Headers],[Ca]:[Bắt đầu]]),0)),0,
IF($AA45&gt;MIN(AV$5,VLOOKUP(AV$6, Table_ChiPhiNV_Ca[], COUNTA(Table_ChiPhiNV_Ca[[#Headers],[Ca]:[Kết thúc]]),0)),0,
SUM(_xlfn._xlws.FILTER(Table_BangLuong_TyLeTangCa[Tỷ lệ],
(Table_BangLuong_TyLeTangCa[Ngày] = "Thường") *
(Table_BangLuong_TyLeTangCa[Giờ min]&lt;=$AA45) *
(Table_BangLuong_TyLeTangCa[Giờ max]&gt;$AA45)
)))),
IF(AV$4 &gt; AV$5,
IF(
AND(
$AA45-$Z$4&lt;MAX(AV$4,VLOOKUP(AV$6, Table_ChiPhiNV_Ca[], COUNTA(Table_ChiPhiNV_Ca[[#Headers],[Ca]:[Bắt đầu]]),0)),
$AA45&gt;MIN(AV$5,VLOOKUP(AV$6, Table_ChiPhiNV_Ca[], COUNTA(Table_ChiPhiNV_Ca[[#Headers],[Ca]:[Kết thúc]]),0))),0,
SUM(_xlfn._xlws.FILTER(Table_BangLuong_TyLeTangCa[Tỷ lệ],
(Table_BangLuong_TyLeTangCa[Ngày] = "Thường") *
(Table_BangLuong_TyLeTangCa[Giờ min]&lt;=$AA45) *
(Table_BangLuong_TyLeTangCa[Giờ max]&gt;$AA45)
))),
IF(
AND(
$AA45-$Z$4&gt;=MAX(AV$4,VLOOKUP(AV$6, Table_ChiPhiNV_Ca[], COUNTA(Table_ChiPhiNV_Ca[[#Headers],[Ca]:[Bắt đầu]]),0)),
$AA45&lt;MIN(AV$5,VLOOKUP(AV$6, Table_ChiPhiNV_Ca[], COUNTA(Table_ChiPhiNV_Ca[[#Headers],[Ca]:[Kết thúc]]),0))),
SUM(_xlfn._xlws.FILTER(Table_BangLuong_TyLeTangCa[Tỷ lệ],
(Table_BangLuong_TyLeTangCa[Ngày] = "Thường") *
(Table_BangLuong_TyLeTangCa[Giờ min]&lt;=$AA45) *
(Table_BangLuong_TyLeTangCa[Giờ max]&gt;$AA45)
)),0)
)),
IF(AV$4 &lt; AV$5,
IF($AA45-$Z$4&lt;AV$4,0,
IF($AA45&gt;AV$5,0,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AV$5,$AA45 &lt; AV$4),0,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W45" s="18" cm="1">
        <f t="array" ref="AW45" xml:space="preserve">
IFERROR(
IF(AW$1="",0,
IF(AND(
$AA45&gt;=VLOOKUP(AW$6, Table_ChiPhiNV_Ca[], COUNTA(Table_ChiPhiNV_Ca[[#Headers],[Ca]:[Bắt đầu nghỉ]]),0),
$AA45&lt;VLOOKUP(AW$6, Table_ChiPhiNV_Ca[], COUNTA(Table_ChiPhiNV_Ca[[#Headers],[Ca]:[Kết thúc nghỉ]]),0)
),0,
IF(NOT(ISBLANK(AW$3)),
IF(ISBLANK(AW$7),0,
IF(AW$4 &lt; AW$5,
IF($AA45-$Z$4&lt;AW$4,0,
IF($AA45&gt;AW$5,0,
SUM(_xlfn._xlws.FILTER(Table_BangLuong_TyLeTangCa[Tỷ lệ],
(Table_BangLuong_TyLeTangCa[Ngày] = AW$3) *
(Table_BangLuong_TyLeTangCa[Giờ min]&lt;=$AA45) *
(Table_BangLuong_TyLeTangCa[Giờ max]&gt;$AA45)
)))),
IF(AND($AA45-$Z$4 &gt;= AW$5,$AA45 &lt; AW$4),0,
SUM(_xlfn._xlws.FILTER(Table_BangLuong_TyLeTangCa[Tỷ lệ],
(Table_BangLuong_TyLeTangCa[Ngày] = AW$3) *
(Table_BangLuong_TyLeTangCa[Giờ min]&lt;=$AA45) *
(Table_BangLuong_TyLeTangCa[Giờ max]&gt;$AA45)
))))
),
IF(ISBLANK(AW$7),
IF(VLOOKUP(AW$6, Table_ChiPhiNV_Ca[], COUNTA(Table_ChiPhiNV_Ca[[#Headers],[Ca]:[Kết thúc]]),0)&gt; VLOOKUP(AW$6, Table_ChiPhiNV_Ca[], COUNTA(Table_ChiPhiNV_Ca[[#Headers],[Ca]:[Bắt đầu]]),0),
IF($AA45-$Z$4&lt;MAX(AW$4,VLOOKUP(AW$6, Table_ChiPhiNV_Ca[], COUNTA(Table_ChiPhiNV_Ca[[#Headers],[Ca]:[Bắt đầu]]),0)),0,
IF($AA45&gt;MIN(AW$5,VLOOKUP(AW$6, Table_ChiPhiNV_Ca[], COUNTA(Table_ChiPhiNV_Ca[[#Headers],[Ca]:[Kết thúc]]),0)),0,
SUM(_xlfn._xlws.FILTER(Table_BangLuong_TyLeTangCa[Tỷ lệ],
(Table_BangLuong_TyLeTangCa[Ngày] = "Thường") *
(Table_BangLuong_TyLeTangCa[Giờ min]&lt;=$AA45) *
(Table_BangLuong_TyLeTangCa[Giờ max]&gt;$AA45)
)))),
IF(AW$4 &gt; AW$5,
IF(
AND(
$AA45-$Z$4&lt;MAX(AW$4,VLOOKUP(AW$6, Table_ChiPhiNV_Ca[], COUNTA(Table_ChiPhiNV_Ca[[#Headers],[Ca]:[Bắt đầu]]),0)),
$AA45&gt;MIN(AW$5,VLOOKUP(AW$6, Table_ChiPhiNV_Ca[], COUNTA(Table_ChiPhiNV_Ca[[#Headers],[Ca]:[Kết thúc]]),0))),0,
SUM(_xlfn._xlws.FILTER(Table_BangLuong_TyLeTangCa[Tỷ lệ],
(Table_BangLuong_TyLeTangCa[Ngày] = "Thường") *
(Table_BangLuong_TyLeTangCa[Giờ min]&lt;=$AA45) *
(Table_BangLuong_TyLeTangCa[Giờ max]&gt;$AA45)
))),
IF(
AND(
$AA45-$Z$4&gt;=MAX(AW$4,VLOOKUP(AW$6, Table_ChiPhiNV_Ca[], COUNTA(Table_ChiPhiNV_Ca[[#Headers],[Ca]:[Bắt đầu]]),0)),
$AA45&lt;MIN(AW$5,VLOOKUP(AW$6, Table_ChiPhiNV_Ca[], COUNTA(Table_ChiPhiNV_Ca[[#Headers],[Ca]:[Kết thúc]]),0))),
SUM(_xlfn._xlws.FILTER(Table_BangLuong_TyLeTangCa[Tỷ lệ],
(Table_BangLuong_TyLeTangCa[Ngày] = "Thường") *
(Table_BangLuong_TyLeTangCa[Giờ min]&lt;=$AA45) *
(Table_BangLuong_TyLeTangCa[Giờ max]&gt;$AA45)
)),0)
)),
IF(AW$4 &lt; AW$5,
IF($AA45-$Z$4&lt;AW$4,0,
IF($AA45&gt;AW$5,0,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AW$5,$AA45 &lt; AW$4),0,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X45" s="18" cm="1">
        <f t="array" ref="AX45" xml:space="preserve">
IFERROR(
IF(AX$1="",0,
IF(AND(
$AA45&gt;=VLOOKUP(AX$6, Table_ChiPhiNV_Ca[], COUNTA(Table_ChiPhiNV_Ca[[#Headers],[Ca]:[Bắt đầu nghỉ]]),0),
$AA45&lt;VLOOKUP(AX$6, Table_ChiPhiNV_Ca[], COUNTA(Table_ChiPhiNV_Ca[[#Headers],[Ca]:[Kết thúc nghỉ]]),0)
),0,
IF(NOT(ISBLANK(AX$3)),
IF(ISBLANK(AX$7),0,
IF(AX$4 &lt; AX$5,
IF($AA45-$Z$4&lt;AX$4,0,
IF($AA45&gt;AX$5,0,
SUM(_xlfn._xlws.FILTER(Table_BangLuong_TyLeTangCa[Tỷ lệ],
(Table_BangLuong_TyLeTangCa[Ngày] = AX$3) *
(Table_BangLuong_TyLeTangCa[Giờ min]&lt;=$AA45) *
(Table_BangLuong_TyLeTangCa[Giờ max]&gt;$AA45)
)))),
IF(AND($AA45-$Z$4 &gt;= AX$5,$AA45 &lt; AX$4),0,
SUM(_xlfn._xlws.FILTER(Table_BangLuong_TyLeTangCa[Tỷ lệ],
(Table_BangLuong_TyLeTangCa[Ngày] = AX$3) *
(Table_BangLuong_TyLeTangCa[Giờ min]&lt;=$AA45) *
(Table_BangLuong_TyLeTangCa[Giờ max]&gt;$AA45)
))))
),
IF(ISBLANK(AX$7),
IF(VLOOKUP(AX$6, Table_ChiPhiNV_Ca[], COUNTA(Table_ChiPhiNV_Ca[[#Headers],[Ca]:[Kết thúc]]),0)&gt; VLOOKUP(AX$6, Table_ChiPhiNV_Ca[], COUNTA(Table_ChiPhiNV_Ca[[#Headers],[Ca]:[Bắt đầu]]),0),
IF($AA45-$Z$4&lt;MAX(AX$4,VLOOKUP(AX$6, Table_ChiPhiNV_Ca[], COUNTA(Table_ChiPhiNV_Ca[[#Headers],[Ca]:[Bắt đầu]]),0)),0,
IF($AA45&gt;MIN(AX$5,VLOOKUP(AX$6, Table_ChiPhiNV_Ca[], COUNTA(Table_ChiPhiNV_Ca[[#Headers],[Ca]:[Kết thúc]]),0)),0,
SUM(_xlfn._xlws.FILTER(Table_BangLuong_TyLeTangCa[Tỷ lệ],
(Table_BangLuong_TyLeTangCa[Ngày] = "Thường") *
(Table_BangLuong_TyLeTangCa[Giờ min]&lt;=$AA45) *
(Table_BangLuong_TyLeTangCa[Giờ max]&gt;$AA45)
)))),
IF(AX$4 &gt; AX$5,
IF(
AND(
$AA45-$Z$4&lt;MAX(AX$4,VLOOKUP(AX$6, Table_ChiPhiNV_Ca[], COUNTA(Table_ChiPhiNV_Ca[[#Headers],[Ca]:[Bắt đầu]]),0)),
$AA45&gt;MIN(AX$5,VLOOKUP(AX$6, Table_ChiPhiNV_Ca[], COUNTA(Table_ChiPhiNV_Ca[[#Headers],[Ca]:[Kết thúc]]),0))),0,
SUM(_xlfn._xlws.FILTER(Table_BangLuong_TyLeTangCa[Tỷ lệ],
(Table_BangLuong_TyLeTangCa[Ngày] = "Thường") *
(Table_BangLuong_TyLeTangCa[Giờ min]&lt;=$AA45) *
(Table_BangLuong_TyLeTangCa[Giờ max]&gt;$AA45)
))),
IF(
AND(
$AA45-$Z$4&gt;=MAX(AX$4,VLOOKUP(AX$6, Table_ChiPhiNV_Ca[], COUNTA(Table_ChiPhiNV_Ca[[#Headers],[Ca]:[Bắt đầu]]),0)),
$AA45&lt;MIN(AX$5,VLOOKUP(AX$6, Table_ChiPhiNV_Ca[], COUNTA(Table_ChiPhiNV_Ca[[#Headers],[Ca]:[Kết thúc]]),0))),
SUM(_xlfn._xlws.FILTER(Table_BangLuong_TyLeTangCa[Tỷ lệ],
(Table_BangLuong_TyLeTangCa[Ngày] = "Thường") *
(Table_BangLuong_TyLeTangCa[Giờ min]&lt;=$AA45) *
(Table_BangLuong_TyLeTangCa[Giờ max]&gt;$AA45)
)),0)
)),
IF(AX$4 &lt; AX$5,
IF($AA45-$Z$4&lt;AX$4,0,
IF($AA45&gt;AX$5,0,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AX$5,$AA45 &lt; AX$4),0,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Y45" s="18" cm="1">
        <f t="array" ref="AY45" xml:space="preserve">
IFERROR(
IF(AY$1="",0,
IF(AND(
$AA45&gt;=VLOOKUP(AY$6, Table_ChiPhiNV_Ca[], COUNTA(Table_ChiPhiNV_Ca[[#Headers],[Ca]:[Bắt đầu nghỉ]]),0),
$AA45&lt;VLOOKUP(AY$6, Table_ChiPhiNV_Ca[], COUNTA(Table_ChiPhiNV_Ca[[#Headers],[Ca]:[Kết thúc nghỉ]]),0)
),0,
IF(NOT(ISBLANK(AY$3)),
IF(ISBLANK(AY$7),0,
IF(AY$4 &lt; AY$5,
IF($AA45-$Z$4&lt;AY$4,0,
IF($AA45&gt;AY$5,0,
SUM(_xlfn._xlws.FILTER(Table_BangLuong_TyLeTangCa[Tỷ lệ],
(Table_BangLuong_TyLeTangCa[Ngày] = AY$3) *
(Table_BangLuong_TyLeTangCa[Giờ min]&lt;=$AA45) *
(Table_BangLuong_TyLeTangCa[Giờ max]&gt;$AA45)
)))),
IF(AND($AA45-$Z$4 &gt;= AY$5,$AA45 &lt; AY$4),0,
SUM(_xlfn._xlws.FILTER(Table_BangLuong_TyLeTangCa[Tỷ lệ],
(Table_BangLuong_TyLeTangCa[Ngày] = AY$3) *
(Table_BangLuong_TyLeTangCa[Giờ min]&lt;=$AA45) *
(Table_BangLuong_TyLeTangCa[Giờ max]&gt;$AA45)
))))
),
IF(ISBLANK(AY$7),
IF(VLOOKUP(AY$6, Table_ChiPhiNV_Ca[], COUNTA(Table_ChiPhiNV_Ca[[#Headers],[Ca]:[Kết thúc]]),0)&gt; VLOOKUP(AY$6, Table_ChiPhiNV_Ca[], COUNTA(Table_ChiPhiNV_Ca[[#Headers],[Ca]:[Bắt đầu]]),0),
IF($AA45-$Z$4&lt;MAX(AY$4,VLOOKUP(AY$6, Table_ChiPhiNV_Ca[], COUNTA(Table_ChiPhiNV_Ca[[#Headers],[Ca]:[Bắt đầu]]),0)),0,
IF($AA45&gt;MIN(AY$5,VLOOKUP(AY$6, Table_ChiPhiNV_Ca[], COUNTA(Table_ChiPhiNV_Ca[[#Headers],[Ca]:[Kết thúc]]),0)),0,
SUM(_xlfn._xlws.FILTER(Table_BangLuong_TyLeTangCa[Tỷ lệ],
(Table_BangLuong_TyLeTangCa[Ngày] = "Thường") *
(Table_BangLuong_TyLeTangCa[Giờ min]&lt;=$AA45) *
(Table_BangLuong_TyLeTangCa[Giờ max]&gt;$AA45)
)))),
IF(AY$4 &gt; AY$5,
IF(
AND(
$AA45-$Z$4&lt;MAX(AY$4,VLOOKUP(AY$6, Table_ChiPhiNV_Ca[], COUNTA(Table_ChiPhiNV_Ca[[#Headers],[Ca]:[Bắt đầu]]),0)),
$AA45&gt;MIN(AY$5,VLOOKUP(AY$6, Table_ChiPhiNV_Ca[], COUNTA(Table_ChiPhiNV_Ca[[#Headers],[Ca]:[Kết thúc]]),0))),0,
SUM(_xlfn._xlws.FILTER(Table_BangLuong_TyLeTangCa[Tỷ lệ],
(Table_BangLuong_TyLeTangCa[Ngày] = "Thường") *
(Table_BangLuong_TyLeTangCa[Giờ min]&lt;=$AA45) *
(Table_BangLuong_TyLeTangCa[Giờ max]&gt;$AA45)
))),
IF(
AND(
$AA45-$Z$4&gt;=MAX(AY$4,VLOOKUP(AY$6, Table_ChiPhiNV_Ca[], COUNTA(Table_ChiPhiNV_Ca[[#Headers],[Ca]:[Bắt đầu]]),0)),
$AA45&lt;MIN(AY$5,VLOOKUP(AY$6, Table_ChiPhiNV_Ca[], COUNTA(Table_ChiPhiNV_Ca[[#Headers],[Ca]:[Kết thúc]]),0))),
SUM(_xlfn._xlws.FILTER(Table_BangLuong_TyLeTangCa[Tỷ lệ],
(Table_BangLuong_TyLeTangCa[Ngày] = "Thường") *
(Table_BangLuong_TyLeTangCa[Giờ min]&lt;=$AA45) *
(Table_BangLuong_TyLeTangCa[Giờ max]&gt;$AA45)
)),0)
)),
IF(AY$4 &lt; AY$5,
IF($AA45-$Z$4&lt;AY$4,0,
IF($AA45&gt;AY$5,0,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AY$5,$AA45 &lt; AY$4),0,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Z45" s="18" cm="1">
        <f t="array" ref="AZ45" xml:space="preserve">
IFERROR(
IF(AZ$1="",0,
IF(AND(
$AA45&gt;=VLOOKUP(AZ$6, Table_ChiPhiNV_Ca[], COUNTA(Table_ChiPhiNV_Ca[[#Headers],[Ca]:[Bắt đầu nghỉ]]),0),
$AA45&lt;VLOOKUP(AZ$6, Table_ChiPhiNV_Ca[], COUNTA(Table_ChiPhiNV_Ca[[#Headers],[Ca]:[Kết thúc nghỉ]]),0)
),0,
IF(NOT(ISBLANK(AZ$3)),
IF(ISBLANK(AZ$7),0,
IF(AZ$4 &lt; AZ$5,
IF($AA45-$Z$4&lt;AZ$4,0,
IF($AA45&gt;AZ$5,0,
SUM(_xlfn._xlws.FILTER(Table_BangLuong_TyLeTangCa[Tỷ lệ],
(Table_BangLuong_TyLeTangCa[Ngày] = AZ$3) *
(Table_BangLuong_TyLeTangCa[Giờ min]&lt;=$AA45) *
(Table_BangLuong_TyLeTangCa[Giờ max]&gt;$AA45)
)))),
IF(AND($AA45-$Z$4 &gt;= AZ$5,$AA45 &lt; AZ$4),0,
SUM(_xlfn._xlws.FILTER(Table_BangLuong_TyLeTangCa[Tỷ lệ],
(Table_BangLuong_TyLeTangCa[Ngày] = AZ$3) *
(Table_BangLuong_TyLeTangCa[Giờ min]&lt;=$AA45) *
(Table_BangLuong_TyLeTangCa[Giờ max]&gt;$AA45)
))))
),
IF(ISBLANK(AZ$7),
IF(VLOOKUP(AZ$6, Table_ChiPhiNV_Ca[], COUNTA(Table_ChiPhiNV_Ca[[#Headers],[Ca]:[Kết thúc]]),0)&gt; VLOOKUP(AZ$6, Table_ChiPhiNV_Ca[], COUNTA(Table_ChiPhiNV_Ca[[#Headers],[Ca]:[Bắt đầu]]),0),
IF($AA45-$Z$4&lt;MAX(AZ$4,VLOOKUP(AZ$6, Table_ChiPhiNV_Ca[], COUNTA(Table_ChiPhiNV_Ca[[#Headers],[Ca]:[Bắt đầu]]),0)),0,
IF($AA45&gt;MIN(AZ$5,VLOOKUP(AZ$6, Table_ChiPhiNV_Ca[], COUNTA(Table_ChiPhiNV_Ca[[#Headers],[Ca]:[Kết thúc]]),0)),0,
SUM(_xlfn._xlws.FILTER(Table_BangLuong_TyLeTangCa[Tỷ lệ],
(Table_BangLuong_TyLeTangCa[Ngày] = "Thường") *
(Table_BangLuong_TyLeTangCa[Giờ min]&lt;=$AA45) *
(Table_BangLuong_TyLeTangCa[Giờ max]&gt;$AA45)
)))),
IF(AZ$4 &gt; AZ$5,
IF(
AND(
$AA45-$Z$4&lt;MAX(AZ$4,VLOOKUP(AZ$6, Table_ChiPhiNV_Ca[], COUNTA(Table_ChiPhiNV_Ca[[#Headers],[Ca]:[Bắt đầu]]),0)),
$AA45&gt;MIN(AZ$5,VLOOKUP(AZ$6, Table_ChiPhiNV_Ca[], COUNTA(Table_ChiPhiNV_Ca[[#Headers],[Ca]:[Kết thúc]]),0))),0,
SUM(_xlfn._xlws.FILTER(Table_BangLuong_TyLeTangCa[Tỷ lệ],
(Table_BangLuong_TyLeTangCa[Ngày] = "Thường") *
(Table_BangLuong_TyLeTangCa[Giờ min]&lt;=$AA45) *
(Table_BangLuong_TyLeTangCa[Giờ max]&gt;$AA45)
))),
IF(
AND(
$AA45-$Z$4&gt;=MAX(AZ$4,VLOOKUP(AZ$6, Table_ChiPhiNV_Ca[], COUNTA(Table_ChiPhiNV_Ca[[#Headers],[Ca]:[Bắt đầu]]),0)),
$AA45&lt;MIN(AZ$5,VLOOKUP(AZ$6, Table_ChiPhiNV_Ca[], COUNTA(Table_ChiPhiNV_Ca[[#Headers],[Ca]:[Kết thúc]]),0))),
SUM(_xlfn._xlws.FILTER(Table_BangLuong_TyLeTangCa[Tỷ lệ],
(Table_BangLuong_TyLeTangCa[Ngày] = "Thường") *
(Table_BangLuong_TyLeTangCa[Giờ min]&lt;=$AA45) *
(Table_BangLuong_TyLeTangCa[Giờ max]&gt;$AA45)
)),0)
)),
IF(AZ$4 &lt; AZ$5,
IF($AA45-$Z$4&lt;AZ$4,0,
IF($AA45&gt;AZ$5,0,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AZ$5,$AA45 &lt; AZ$4),0,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A45" s="18" cm="1">
        <f t="array" ref="BA45" xml:space="preserve">
IFERROR(
IF(BA$1="",0,
IF(AND(
$AA45&gt;=VLOOKUP(BA$6, Table_ChiPhiNV_Ca[], COUNTA(Table_ChiPhiNV_Ca[[#Headers],[Ca]:[Bắt đầu nghỉ]]),0),
$AA45&lt;VLOOKUP(BA$6, Table_ChiPhiNV_Ca[], COUNTA(Table_ChiPhiNV_Ca[[#Headers],[Ca]:[Kết thúc nghỉ]]),0)
),0,
IF(NOT(ISBLANK(BA$3)),
IF(ISBLANK(BA$7),0,
IF(BA$4 &lt; BA$5,
IF($AA45-$Z$4&lt;BA$4,0,
IF($AA45&gt;BA$5,0,
SUM(_xlfn._xlws.FILTER(Table_BangLuong_TyLeTangCa[Tỷ lệ],
(Table_BangLuong_TyLeTangCa[Ngày] = BA$3) *
(Table_BangLuong_TyLeTangCa[Giờ min]&lt;=$AA45) *
(Table_BangLuong_TyLeTangCa[Giờ max]&gt;$AA45)
)))),
IF(AND($AA45-$Z$4 &gt;= BA$5,$AA45 &lt; BA$4),0,
SUM(_xlfn._xlws.FILTER(Table_BangLuong_TyLeTangCa[Tỷ lệ],
(Table_BangLuong_TyLeTangCa[Ngày] = BA$3) *
(Table_BangLuong_TyLeTangCa[Giờ min]&lt;=$AA45) *
(Table_BangLuong_TyLeTangCa[Giờ max]&gt;$AA45)
))))
),
IF(ISBLANK(BA$7),
IF(VLOOKUP(BA$6, Table_ChiPhiNV_Ca[], COUNTA(Table_ChiPhiNV_Ca[[#Headers],[Ca]:[Kết thúc]]),0)&gt; VLOOKUP(BA$6, Table_ChiPhiNV_Ca[], COUNTA(Table_ChiPhiNV_Ca[[#Headers],[Ca]:[Bắt đầu]]),0),
IF($AA45-$Z$4&lt;MAX(BA$4,VLOOKUP(BA$6, Table_ChiPhiNV_Ca[], COUNTA(Table_ChiPhiNV_Ca[[#Headers],[Ca]:[Bắt đầu]]),0)),0,
IF($AA45&gt;MIN(BA$5,VLOOKUP(BA$6, Table_ChiPhiNV_Ca[], COUNTA(Table_ChiPhiNV_Ca[[#Headers],[Ca]:[Kết thúc]]),0)),0,
SUM(_xlfn._xlws.FILTER(Table_BangLuong_TyLeTangCa[Tỷ lệ],
(Table_BangLuong_TyLeTangCa[Ngày] = "Thường") *
(Table_BangLuong_TyLeTangCa[Giờ min]&lt;=$AA45) *
(Table_BangLuong_TyLeTangCa[Giờ max]&gt;$AA45)
)))),
IF(BA$4 &gt; BA$5,
IF(
AND(
$AA45-$Z$4&lt;MAX(BA$4,VLOOKUP(BA$6, Table_ChiPhiNV_Ca[], COUNTA(Table_ChiPhiNV_Ca[[#Headers],[Ca]:[Bắt đầu]]),0)),
$AA45&gt;MIN(BA$5,VLOOKUP(BA$6, Table_ChiPhiNV_Ca[], COUNTA(Table_ChiPhiNV_Ca[[#Headers],[Ca]:[Kết thúc]]),0))),0,
SUM(_xlfn._xlws.FILTER(Table_BangLuong_TyLeTangCa[Tỷ lệ],
(Table_BangLuong_TyLeTangCa[Ngày] = "Thường") *
(Table_BangLuong_TyLeTangCa[Giờ min]&lt;=$AA45) *
(Table_BangLuong_TyLeTangCa[Giờ max]&gt;$AA45)
))),
IF(
AND(
$AA45-$Z$4&gt;=MAX(BA$4,VLOOKUP(BA$6, Table_ChiPhiNV_Ca[], COUNTA(Table_ChiPhiNV_Ca[[#Headers],[Ca]:[Bắt đầu]]),0)),
$AA45&lt;MIN(BA$5,VLOOKUP(BA$6, Table_ChiPhiNV_Ca[], COUNTA(Table_ChiPhiNV_Ca[[#Headers],[Ca]:[Kết thúc]]),0))),
SUM(_xlfn._xlws.FILTER(Table_BangLuong_TyLeTangCa[Tỷ lệ],
(Table_BangLuong_TyLeTangCa[Ngày] = "Thường") *
(Table_BangLuong_TyLeTangCa[Giờ min]&lt;=$AA45) *
(Table_BangLuong_TyLeTangCa[Giờ max]&gt;$AA45)
)),0)
)),
IF(BA$4 &lt; BA$5,
IF($AA45-$Z$4&lt;BA$4,0,
IF($AA45&gt;BA$5,0,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BA$5,$AA45 &lt; BA$4),0,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B45" s="18" cm="1">
        <f t="array" ref="BB45" xml:space="preserve">
IFERROR(
IF(BB$1="",0,
IF(AND(
$AA45&gt;=VLOOKUP(BB$6, Table_ChiPhiNV_Ca[], COUNTA(Table_ChiPhiNV_Ca[[#Headers],[Ca]:[Bắt đầu nghỉ]]),0),
$AA45&lt;VLOOKUP(BB$6, Table_ChiPhiNV_Ca[], COUNTA(Table_ChiPhiNV_Ca[[#Headers],[Ca]:[Kết thúc nghỉ]]),0)
),0,
IF(NOT(ISBLANK(BB$3)),
IF(ISBLANK(BB$7),0,
IF(BB$4 &lt; BB$5,
IF($AA45-$Z$4&lt;BB$4,0,
IF($AA45&gt;BB$5,0,
SUM(_xlfn._xlws.FILTER(Table_BangLuong_TyLeTangCa[Tỷ lệ],
(Table_BangLuong_TyLeTangCa[Ngày] = BB$3) *
(Table_BangLuong_TyLeTangCa[Giờ min]&lt;=$AA45) *
(Table_BangLuong_TyLeTangCa[Giờ max]&gt;$AA45)
)))),
IF(AND($AA45-$Z$4 &gt;= BB$5,$AA45 &lt; BB$4),0,
SUM(_xlfn._xlws.FILTER(Table_BangLuong_TyLeTangCa[Tỷ lệ],
(Table_BangLuong_TyLeTangCa[Ngày] = BB$3) *
(Table_BangLuong_TyLeTangCa[Giờ min]&lt;=$AA45) *
(Table_BangLuong_TyLeTangCa[Giờ max]&gt;$AA45)
))))
),
IF(ISBLANK(BB$7),
IF(VLOOKUP(BB$6, Table_ChiPhiNV_Ca[], COUNTA(Table_ChiPhiNV_Ca[[#Headers],[Ca]:[Kết thúc]]),0)&gt; VLOOKUP(BB$6, Table_ChiPhiNV_Ca[], COUNTA(Table_ChiPhiNV_Ca[[#Headers],[Ca]:[Bắt đầu]]),0),
IF($AA45-$Z$4&lt;MAX(BB$4,VLOOKUP(BB$6, Table_ChiPhiNV_Ca[], COUNTA(Table_ChiPhiNV_Ca[[#Headers],[Ca]:[Bắt đầu]]),0)),0,
IF($AA45&gt;MIN(BB$5,VLOOKUP(BB$6, Table_ChiPhiNV_Ca[], COUNTA(Table_ChiPhiNV_Ca[[#Headers],[Ca]:[Kết thúc]]),0)),0,
SUM(_xlfn._xlws.FILTER(Table_BangLuong_TyLeTangCa[Tỷ lệ],
(Table_BangLuong_TyLeTangCa[Ngày] = "Thường") *
(Table_BangLuong_TyLeTangCa[Giờ min]&lt;=$AA45) *
(Table_BangLuong_TyLeTangCa[Giờ max]&gt;$AA45)
)))),
IF(BB$4 &gt; BB$5,
IF(
AND(
$AA45-$Z$4&lt;MAX(BB$4,VLOOKUP(BB$6, Table_ChiPhiNV_Ca[], COUNTA(Table_ChiPhiNV_Ca[[#Headers],[Ca]:[Bắt đầu]]),0)),
$AA45&gt;MIN(BB$5,VLOOKUP(BB$6, Table_ChiPhiNV_Ca[], COUNTA(Table_ChiPhiNV_Ca[[#Headers],[Ca]:[Kết thúc]]),0))),0,
SUM(_xlfn._xlws.FILTER(Table_BangLuong_TyLeTangCa[Tỷ lệ],
(Table_BangLuong_TyLeTangCa[Ngày] = "Thường") *
(Table_BangLuong_TyLeTangCa[Giờ min]&lt;=$AA45) *
(Table_BangLuong_TyLeTangCa[Giờ max]&gt;$AA45)
))),
IF(
AND(
$AA45-$Z$4&gt;=MAX(BB$4,VLOOKUP(BB$6, Table_ChiPhiNV_Ca[], COUNTA(Table_ChiPhiNV_Ca[[#Headers],[Ca]:[Bắt đầu]]),0)),
$AA45&lt;MIN(BB$5,VLOOKUP(BB$6, Table_ChiPhiNV_Ca[], COUNTA(Table_ChiPhiNV_Ca[[#Headers],[Ca]:[Kết thúc]]),0))),
SUM(_xlfn._xlws.FILTER(Table_BangLuong_TyLeTangCa[Tỷ lệ],
(Table_BangLuong_TyLeTangCa[Ngày] = "Thường") *
(Table_BangLuong_TyLeTangCa[Giờ min]&lt;=$AA45) *
(Table_BangLuong_TyLeTangCa[Giờ max]&gt;$AA45)
)),0)
)),
IF(BB$4 &lt; BB$5,
IF($AA45-$Z$4&lt;BB$4,0,
IF($AA45&gt;BB$5,0,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BB$5,$AA45 &lt; BB$4),0,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C45" s="18" cm="1">
        <f t="array" ref="BC45" xml:space="preserve">
IFERROR(
IF(BC$1="",0,
IF(AND(
$AA45&gt;=VLOOKUP(BC$6, Table_ChiPhiNV_Ca[], COUNTA(Table_ChiPhiNV_Ca[[#Headers],[Ca]:[Bắt đầu nghỉ]]),0),
$AA45&lt;VLOOKUP(BC$6, Table_ChiPhiNV_Ca[], COUNTA(Table_ChiPhiNV_Ca[[#Headers],[Ca]:[Kết thúc nghỉ]]),0)
),0,
IF(NOT(ISBLANK(BC$3)),
IF(ISBLANK(BC$7),0,
IF(BC$4 &lt; BC$5,
IF($AA45-$Z$4&lt;BC$4,0,
IF($AA45&gt;BC$5,0,
SUM(_xlfn._xlws.FILTER(Table_BangLuong_TyLeTangCa[Tỷ lệ],
(Table_BangLuong_TyLeTangCa[Ngày] = BC$3) *
(Table_BangLuong_TyLeTangCa[Giờ min]&lt;=$AA45) *
(Table_BangLuong_TyLeTangCa[Giờ max]&gt;$AA45)
)))),
IF(AND($AA45-$Z$4 &gt;= BC$5,$AA45 &lt; BC$4),0,
SUM(_xlfn._xlws.FILTER(Table_BangLuong_TyLeTangCa[Tỷ lệ],
(Table_BangLuong_TyLeTangCa[Ngày] = BC$3) *
(Table_BangLuong_TyLeTangCa[Giờ min]&lt;=$AA45) *
(Table_BangLuong_TyLeTangCa[Giờ max]&gt;$AA45)
))))
),
IF(ISBLANK(BC$7),
IF(VLOOKUP(BC$6, Table_ChiPhiNV_Ca[], COUNTA(Table_ChiPhiNV_Ca[[#Headers],[Ca]:[Kết thúc]]),0)&gt; VLOOKUP(BC$6, Table_ChiPhiNV_Ca[], COUNTA(Table_ChiPhiNV_Ca[[#Headers],[Ca]:[Bắt đầu]]),0),
IF($AA45-$Z$4&lt;MAX(BC$4,VLOOKUP(BC$6, Table_ChiPhiNV_Ca[], COUNTA(Table_ChiPhiNV_Ca[[#Headers],[Ca]:[Bắt đầu]]),0)),0,
IF($AA45&gt;MIN(BC$5,VLOOKUP(BC$6, Table_ChiPhiNV_Ca[], COUNTA(Table_ChiPhiNV_Ca[[#Headers],[Ca]:[Kết thúc]]),0)),0,
SUM(_xlfn._xlws.FILTER(Table_BangLuong_TyLeTangCa[Tỷ lệ],
(Table_BangLuong_TyLeTangCa[Ngày] = "Thường") *
(Table_BangLuong_TyLeTangCa[Giờ min]&lt;=$AA45) *
(Table_BangLuong_TyLeTangCa[Giờ max]&gt;$AA45)
)))),
IF(BC$4 &gt; BC$5,
IF(
AND(
$AA45-$Z$4&lt;MAX(BC$4,VLOOKUP(BC$6, Table_ChiPhiNV_Ca[], COUNTA(Table_ChiPhiNV_Ca[[#Headers],[Ca]:[Bắt đầu]]),0)),
$AA45&gt;MIN(BC$5,VLOOKUP(BC$6, Table_ChiPhiNV_Ca[], COUNTA(Table_ChiPhiNV_Ca[[#Headers],[Ca]:[Kết thúc]]),0))),0,
SUM(_xlfn._xlws.FILTER(Table_BangLuong_TyLeTangCa[Tỷ lệ],
(Table_BangLuong_TyLeTangCa[Ngày] = "Thường") *
(Table_BangLuong_TyLeTangCa[Giờ min]&lt;=$AA45) *
(Table_BangLuong_TyLeTangCa[Giờ max]&gt;$AA45)
))),
IF(
AND(
$AA45-$Z$4&gt;=MAX(BC$4,VLOOKUP(BC$6, Table_ChiPhiNV_Ca[], COUNTA(Table_ChiPhiNV_Ca[[#Headers],[Ca]:[Bắt đầu]]),0)),
$AA45&lt;MIN(BC$5,VLOOKUP(BC$6, Table_ChiPhiNV_Ca[], COUNTA(Table_ChiPhiNV_Ca[[#Headers],[Ca]:[Kết thúc]]),0))),
SUM(_xlfn._xlws.FILTER(Table_BangLuong_TyLeTangCa[Tỷ lệ],
(Table_BangLuong_TyLeTangCa[Ngày] = "Thường") *
(Table_BangLuong_TyLeTangCa[Giờ min]&lt;=$AA45) *
(Table_BangLuong_TyLeTangCa[Giờ max]&gt;$AA45)
)),0)
)),
IF(BC$4 &lt; BC$5,
IF($AA45-$Z$4&lt;BC$4,0,
IF($AA45&gt;BC$5,0,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BC$5,$AA45 &lt; BC$4),0,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D45" s="18" cm="1">
        <f t="array" ref="BD45" xml:space="preserve">
IFERROR(
IF(BD$1="",0,
IF(AND(
$AA45&gt;=VLOOKUP(BD$6, Table_ChiPhiNV_Ca[], COUNTA(Table_ChiPhiNV_Ca[[#Headers],[Ca]:[Bắt đầu nghỉ]]),0),
$AA45&lt;VLOOKUP(BD$6, Table_ChiPhiNV_Ca[], COUNTA(Table_ChiPhiNV_Ca[[#Headers],[Ca]:[Kết thúc nghỉ]]),0)
),0,
IF(NOT(ISBLANK(BD$3)),
IF(ISBLANK(BD$7),0,
IF(BD$4 &lt; BD$5,
IF($AA45-$Z$4&lt;BD$4,0,
IF($AA45&gt;BD$5,0,
SUM(_xlfn._xlws.FILTER(Table_BangLuong_TyLeTangCa[Tỷ lệ],
(Table_BangLuong_TyLeTangCa[Ngày] = BD$3) *
(Table_BangLuong_TyLeTangCa[Giờ min]&lt;=$AA45) *
(Table_BangLuong_TyLeTangCa[Giờ max]&gt;$AA45)
)))),
IF(AND($AA45-$Z$4 &gt;= BD$5,$AA45 &lt; BD$4),0,
SUM(_xlfn._xlws.FILTER(Table_BangLuong_TyLeTangCa[Tỷ lệ],
(Table_BangLuong_TyLeTangCa[Ngày] = BD$3) *
(Table_BangLuong_TyLeTangCa[Giờ min]&lt;=$AA45) *
(Table_BangLuong_TyLeTangCa[Giờ max]&gt;$AA45)
))))
),
IF(ISBLANK(BD$7),
IF(VLOOKUP(BD$6, Table_ChiPhiNV_Ca[], COUNTA(Table_ChiPhiNV_Ca[[#Headers],[Ca]:[Kết thúc]]),0)&gt; VLOOKUP(BD$6, Table_ChiPhiNV_Ca[], COUNTA(Table_ChiPhiNV_Ca[[#Headers],[Ca]:[Bắt đầu]]),0),
IF($AA45-$Z$4&lt;MAX(BD$4,VLOOKUP(BD$6, Table_ChiPhiNV_Ca[], COUNTA(Table_ChiPhiNV_Ca[[#Headers],[Ca]:[Bắt đầu]]),0)),0,
IF($AA45&gt;MIN(BD$5,VLOOKUP(BD$6, Table_ChiPhiNV_Ca[], COUNTA(Table_ChiPhiNV_Ca[[#Headers],[Ca]:[Kết thúc]]),0)),0,
SUM(_xlfn._xlws.FILTER(Table_BangLuong_TyLeTangCa[Tỷ lệ],
(Table_BangLuong_TyLeTangCa[Ngày] = "Thường") *
(Table_BangLuong_TyLeTangCa[Giờ min]&lt;=$AA45) *
(Table_BangLuong_TyLeTangCa[Giờ max]&gt;$AA45)
)))),
IF(BD$4 &gt; BD$5,
IF(
AND(
$AA45-$Z$4&lt;MAX(BD$4,VLOOKUP(BD$6, Table_ChiPhiNV_Ca[], COUNTA(Table_ChiPhiNV_Ca[[#Headers],[Ca]:[Bắt đầu]]),0)),
$AA45&gt;MIN(BD$5,VLOOKUP(BD$6, Table_ChiPhiNV_Ca[], COUNTA(Table_ChiPhiNV_Ca[[#Headers],[Ca]:[Kết thúc]]),0))),0,
SUM(_xlfn._xlws.FILTER(Table_BangLuong_TyLeTangCa[Tỷ lệ],
(Table_BangLuong_TyLeTangCa[Ngày] = "Thường") *
(Table_BangLuong_TyLeTangCa[Giờ min]&lt;=$AA45) *
(Table_BangLuong_TyLeTangCa[Giờ max]&gt;$AA45)
))),
IF(
AND(
$AA45-$Z$4&gt;=MAX(BD$4,VLOOKUP(BD$6, Table_ChiPhiNV_Ca[], COUNTA(Table_ChiPhiNV_Ca[[#Headers],[Ca]:[Bắt đầu]]),0)),
$AA45&lt;MIN(BD$5,VLOOKUP(BD$6, Table_ChiPhiNV_Ca[], COUNTA(Table_ChiPhiNV_Ca[[#Headers],[Ca]:[Kết thúc]]),0))),
SUM(_xlfn._xlws.FILTER(Table_BangLuong_TyLeTangCa[Tỷ lệ],
(Table_BangLuong_TyLeTangCa[Ngày] = "Thường") *
(Table_BangLuong_TyLeTangCa[Giờ min]&lt;=$AA45) *
(Table_BangLuong_TyLeTangCa[Giờ max]&gt;$AA45)
)),0)
)),
IF(BD$4 &lt; BD$5,
IF($AA45-$Z$4&lt;BD$4,0,
IF($AA45&gt;BD$5,0,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BD$5,$AA45 &lt; BD$4),0,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E45" s="18" cm="1">
        <f t="array" ref="BE45" xml:space="preserve">
IFERROR(
IF(BE$1="",0,
IF(AND(
$AA45&gt;=VLOOKUP(BE$6, Table_ChiPhiNV_Ca[], COUNTA(Table_ChiPhiNV_Ca[[#Headers],[Ca]:[Bắt đầu nghỉ]]),0),
$AA45&lt;VLOOKUP(BE$6, Table_ChiPhiNV_Ca[], COUNTA(Table_ChiPhiNV_Ca[[#Headers],[Ca]:[Kết thúc nghỉ]]),0)
),0,
IF(NOT(ISBLANK(BE$3)),
IF(ISBLANK(BE$7),0,
IF(BE$4 &lt; BE$5,
IF($AA45-$Z$4&lt;BE$4,0,
IF($AA45&gt;BE$5,0,
SUM(_xlfn._xlws.FILTER(Table_BangLuong_TyLeTangCa[Tỷ lệ],
(Table_BangLuong_TyLeTangCa[Ngày] = BE$3) *
(Table_BangLuong_TyLeTangCa[Giờ min]&lt;=$AA45) *
(Table_BangLuong_TyLeTangCa[Giờ max]&gt;$AA45)
)))),
IF(AND($AA45-$Z$4 &gt;= BE$5,$AA45 &lt; BE$4),0,
SUM(_xlfn._xlws.FILTER(Table_BangLuong_TyLeTangCa[Tỷ lệ],
(Table_BangLuong_TyLeTangCa[Ngày] = BE$3) *
(Table_BangLuong_TyLeTangCa[Giờ min]&lt;=$AA45) *
(Table_BangLuong_TyLeTangCa[Giờ max]&gt;$AA45)
))))
),
IF(ISBLANK(BE$7),
IF(VLOOKUP(BE$6, Table_ChiPhiNV_Ca[], COUNTA(Table_ChiPhiNV_Ca[[#Headers],[Ca]:[Kết thúc]]),0)&gt; VLOOKUP(BE$6, Table_ChiPhiNV_Ca[], COUNTA(Table_ChiPhiNV_Ca[[#Headers],[Ca]:[Bắt đầu]]),0),
IF($AA45-$Z$4&lt;MAX(BE$4,VLOOKUP(BE$6, Table_ChiPhiNV_Ca[], COUNTA(Table_ChiPhiNV_Ca[[#Headers],[Ca]:[Bắt đầu]]),0)),0,
IF($AA45&gt;MIN(BE$5,VLOOKUP(BE$6, Table_ChiPhiNV_Ca[], COUNTA(Table_ChiPhiNV_Ca[[#Headers],[Ca]:[Kết thúc]]),0)),0,
SUM(_xlfn._xlws.FILTER(Table_BangLuong_TyLeTangCa[Tỷ lệ],
(Table_BangLuong_TyLeTangCa[Ngày] = "Thường") *
(Table_BangLuong_TyLeTangCa[Giờ min]&lt;=$AA45) *
(Table_BangLuong_TyLeTangCa[Giờ max]&gt;$AA45)
)))),
IF(BE$4 &gt; BE$5,
IF(
AND(
$AA45-$Z$4&lt;MAX(BE$4,VLOOKUP(BE$6, Table_ChiPhiNV_Ca[], COUNTA(Table_ChiPhiNV_Ca[[#Headers],[Ca]:[Bắt đầu]]),0)),
$AA45&gt;MIN(BE$5,VLOOKUP(BE$6, Table_ChiPhiNV_Ca[], COUNTA(Table_ChiPhiNV_Ca[[#Headers],[Ca]:[Kết thúc]]),0))),0,
SUM(_xlfn._xlws.FILTER(Table_BangLuong_TyLeTangCa[Tỷ lệ],
(Table_BangLuong_TyLeTangCa[Ngày] = "Thường") *
(Table_BangLuong_TyLeTangCa[Giờ min]&lt;=$AA45) *
(Table_BangLuong_TyLeTangCa[Giờ max]&gt;$AA45)
))),
IF(
AND(
$AA45-$Z$4&gt;=MAX(BE$4,VLOOKUP(BE$6, Table_ChiPhiNV_Ca[], COUNTA(Table_ChiPhiNV_Ca[[#Headers],[Ca]:[Bắt đầu]]),0)),
$AA45&lt;MIN(BE$5,VLOOKUP(BE$6, Table_ChiPhiNV_Ca[], COUNTA(Table_ChiPhiNV_Ca[[#Headers],[Ca]:[Kết thúc]]),0))),
SUM(_xlfn._xlws.FILTER(Table_BangLuong_TyLeTangCa[Tỷ lệ],
(Table_BangLuong_TyLeTangCa[Ngày] = "Thường") *
(Table_BangLuong_TyLeTangCa[Giờ min]&lt;=$AA45) *
(Table_BangLuong_TyLeTangCa[Giờ max]&gt;$AA45)
)),0)
)),
IF(BE$4 &lt; BE$5,
IF($AA45-$Z$4&lt;BE$4,0,
IF($AA45&gt;BE$5,0,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BE$5,$AA45 &lt; BE$4),0,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F45" s="18" cm="1">
        <f t="array" ref="BF45" xml:space="preserve">
IFERROR(
IF(BF$1="",0,
IF(AND(
$AA45&gt;=VLOOKUP(BF$6, Table_ChiPhiNV_Ca[], COUNTA(Table_ChiPhiNV_Ca[[#Headers],[Ca]:[Bắt đầu nghỉ]]),0),
$AA45&lt;VLOOKUP(BF$6, Table_ChiPhiNV_Ca[], COUNTA(Table_ChiPhiNV_Ca[[#Headers],[Ca]:[Kết thúc nghỉ]]),0)
),0,
IF(NOT(ISBLANK(BF$3)),
IF(ISBLANK(BF$7),0,
IF(BF$4 &lt; BF$5,
IF($AA45-$Z$4&lt;BF$4,0,
IF($AA45&gt;BF$5,0,
SUM(_xlfn._xlws.FILTER(Table_BangLuong_TyLeTangCa[Tỷ lệ],
(Table_BangLuong_TyLeTangCa[Ngày] = BF$3) *
(Table_BangLuong_TyLeTangCa[Giờ min]&lt;=$AA45) *
(Table_BangLuong_TyLeTangCa[Giờ max]&gt;$AA45)
)))),
IF(AND($AA45-$Z$4 &gt;= BF$5,$AA45 &lt; BF$4),0,
SUM(_xlfn._xlws.FILTER(Table_BangLuong_TyLeTangCa[Tỷ lệ],
(Table_BangLuong_TyLeTangCa[Ngày] = BF$3) *
(Table_BangLuong_TyLeTangCa[Giờ min]&lt;=$AA45) *
(Table_BangLuong_TyLeTangCa[Giờ max]&gt;$AA45)
))))
),
IF(ISBLANK(BF$7),
IF(VLOOKUP(BF$6, Table_ChiPhiNV_Ca[], COUNTA(Table_ChiPhiNV_Ca[[#Headers],[Ca]:[Kết thúc]]),0)&gt; VLOOKUP(BF$6, Table_ChiPhiNV_Ca[], COUNTA(Table_ChiPhiNV_Ca[[#Headers],[Ca]:[Bắt đầu]]),0),
IF($AA45-$Z$4&lt;MAX(BF$4,VLOOKUP(BF$6, Table_ChiPhiNV_Ca[], COUNTA(Table_ChiPhiNV_Ca[[#Headers],[Ca]:[Bắt đầu]]),0)),0,
IF($AA45&gt;MIN(BF$5,VLOOKUP(BF$6, Table_ChiPhiNV_Ca[], COUNTA(Table_ChiPhiNV_Ca[[#Headers],[Ca]:[Kết thúc]]),0)),0,
SUM(_xlfn._xlws.FILTER(Table_BangLuong_TyLeTangCa[Tỷ lệ],
(Table_BangLuong_TyLeTangCa[Ngày] = "Thường") *
(Table_BangLuong_TyLeTangCa[Giờ min]&lt;=$AA45) *
(Table_BangLuong_TyLeTangCa[Giờ max]&gt;$AA45)
)))),
IF(BF$4 &gt; BF$5,
IF(
AND(
$AA45-$Z$4&lt;MAX(BF$4,VLOOKUP(BF$6, Table_ChiPhiNV_Ca[], COUNTA(Table_ChiPhiNV_Ca[[#Headers],[Ca]:[Bắt đầu]]),0)),
$AA45&gt;MIN(BF$5,VLOOKUP(BF$6, Table_ChiPhiNV_Ca[], COUNTA(Table_ChiPhiNV_Ca[[#Headers],[Ca]:[Kết thúc]]),0))),0,
SUM(_xlfn._xlws.FILTER(Table_BangLuong_TyLeTangCa[Tỷ lệ],
(Table_BangLuong_TyLeTangCa[Ngày] = "Thường") *
(Table_BangLuong_TyLeTangCa[Giờ min]&lt;=$AA45) *
(Table_BangLuong_TyLeTangCa[Giờ max]&gt;$AA45)
))),
IF(
AND(
$AA45-$Z$4&gt;=MAX(BF$4,VLOOKUP(BF$6, Table_ChiPhiNV_Ca[], COUNTA(Table_ChiPhiNV_Ca[[#Headers],[Ca]:[Bắt đầu]]),0)),
$AA45&lt;MIN(BF$5,VLOOKUP(BF$6, Table_ChiPhiNV_Ca[], COUNTA(Table_ChiPhiNV_Ca[[#Headers],[Ca]:[Kết thúc]]),0))),
SUM(_xlfn._xlws.FILTER(Table_BangLuong_TyLeTangCa[Tỷ lệ],
(Table_BangLuong_TyLeTangCa[Ngày] = "Thường") *
(Table_BangLuong_TyLeTangCa[Giờ min]&lt;=$AA45) *
(Table_BangLuong_TyLeTangCa[Giờ max]&gt;$AA45)
)),0)
)),
IF(BF$4 &lt; BF$5,
IF($AA45-$Z$4&lt;BF$4,0,
IF($AA45&gt;BF$5,0,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BF$5,$AA45 &lt; BF$4),0,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row>
    <row r="46" spans="2:58" ht="18" customHeight="1" outlineLevel="1" x14ac:dyDescent="0.3">
      <c r="AA46" s="50">
        <v>0.77083333333333304</v>
      </c>
      <c r="AB46" s="18" cm="1">
        <f t="array" ref="AB46" xml:space="preserve">
IFERROR(
IF(AB$1="",0,
IF(AND(
$AA46&gt;=VLOOKUP(AB$6, Table_ChiPhiNV_Ca[], COUNTA(Table_ChiPhiNV_Ca[[#Headers],[Ca]:[Bắt đầu nghỉ]]),0),
$AA46&lt;VLOOKUP(AB$6, Table_ChiPhiNV_Ca[], COUNTA(Table_ChiPhiNV_Ca[[#Headers],[Ca]:[Kết thúc nghỉ]]),0)
),0,
IF(NOT(ISBLANK(AB$3)),
IF(ISBLANK(AB$7),0,
IF(AB$4 &lt; AB$5,
IF($AA46-$Z$4&lt;AB$4,0,
IF($AA46&gt;AB$5,0,
SUM(_xlfn._xlws.FILTER(Table_BangLuong_TyLeTangCa[Tỷ lệ],
(Table_BangLuong_TyLeTangCa[Ngày] = AB$3) *
(Table_BangLuong_TyLeTangCa[Giờ min]&lt;=$AA46) *
(Table_BangLuong_TyLeTangCa[Giờ max]&gt;$AA46)
)))),
IF(AND($AA46-$Z$4 &gt;= AB$5,$AA46 &lt; AB$4),0,
SUM(_xlfn._xlws.FILTER(Table_BangLuong_TyLeTangCa[Tỷ lệ],
(Table_BangLuong_TyLeTangCa[Ngày] = AB$3) *
(Table_BangLuong_TyLeTangCa[Giờ min]&lt;=$AA46) *
(Table_BangLuong_TyLeTangCa[Giờ max]&gt;$AA46)
))))
),
IF(ISBLANK(AB$7),
IF(VLOOKUP(AB$6, Table_ChiPhiNV_Ca[], COUNTA(Table_ChiPhiNV_Ca[[#Headers],[Ca]:[Kết thúc]]),0)&gt; VLOOKUP(AB$6, Table_ChiPhiNV_Ca[], COUNTA(Table_ChiPhiNV_Ca[[#Headers],[Ca]:[Bắt đầu]]),0),
IF($AA46-$Z$4&lt;MAX(AB$4,VLOOKUP(AB$6, Table_ChiPhiNV_Ca[], COUNTA(Table_ChiPhiNV_Ca[[#Headers],[Ca]:[Bắt đầu]]),0)),0,
IF($AA46&gt;MIN(AB$5,VLOOKUP(AB$6, Table_ChiPhiNV_Ca[], COUNTA(Table_ChiPhiNV_Ca[[#Headers],[Ca]:[Kết thúc]]),0)),0,
SUM(_xlfn._xlws.FILTER(Table_BangLuong_TyLeTangCa[Tỷ lệ],
(Table_BangLuong_TyLeTangCa[Ngày] = "Thường") *
(Table_BangLuong_TyLeTangCa[Giờ min]&lt;=$AA46) *
(Table_BangLuong_TyLeTangCa[Giờ max]&gt;$AA46)
)))),
IF(AB$4 &gt; AB$5,
IF(
AND(
$AA46-$Z$4&lt;MAX(AB$4,VLOOKUP(AB$6, Table_ChiPhiNV_Ca[], COUNTA(Table_ChiPhiNV_Ca[[#Headers],[Ca]:[Bắt đầu]]),0)),
$AA46&gt;MIN(AB$5,VLOOKUP(AB$6, Table_ChiPhiNV_Ca[], COUNTA(Table_ChiPhiNV_Ca[[#Headers],[Ca]:[Kết thúc]]),0))),0,
SUM(_xlfn._xlws.FILTER(Table_BangLuong_TyLeTangCa[Tỷ lệ],
(Table_BangLuong_TyLeTangCa[Ngày] = "Thường") *
(Table_BangLuong_TyLeTangCa[Giờ min]&lt;=$AA46) *
(Table_BangLuong_TyLeTangCa[Giờ max]&gt;$AA46)
))),
IF(
AND(
$AA46-$Z$4&gt;=MAX(AB$4,VLOOKUP(AB$6, Table_ChiPhiNV_Ca[], COUNTA(Table_ChiPhiNV_Ca[[#Headers],[Ca]:[Bắt đầu]]),0)),
$AA46&lt;MIN(AB$5,VLOOKUP(AB$6, Table_ChiPhiNV_Ca[], COUNTA(Table_ChiPhiNV_Ca[[#Headers],[Ca]:[Kết thúc]]),0))),
SUM(_xlfn._xlws.FILTER(Table_BangLuong_TyLeTangCa[Tỷ lệ],
(Table_BangLuong_TyLeTangCa[Ngày] = "Thường") *
(Table_BangLuong_TyLeTangCa[Giờ min]&lt;=$AA46) *
(Table_BangLuong_TyLeTangCa[Giờ max]&gt;$AA46)
)),0)
)),
IF(AB$4 &lt; AB$5,
IF($AA46-$Z$4&lt;AB$4,0,
IF($AA46&gt;AB$5,0,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AB$5,$AA46 &lt; AB$4),0,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C46" s="18" cm="1">
        <f t="array" ref="AC46" xml:space="preserve">
IFERROR(
IF(AC$1="",0,
IF(AND(
$AA46&gt;=VLOOKUP(AC$6, Table_ChiPhiNV_Ca[], COUNTA(Table_ChiPhiNV_Ca[[#Headers],[Ca]:[Bắt đầu nghỉ]]),0),
$AA46&lt;VLOOKUP(AC$6, Table_ChiPhiNV_Ca[], COUNTA(Table_ChiPhiNV_Ca[[#Headers],[Ca]:[Kết thúc nghỉ]]),0)
),0,
IF(NOT(ISBLANK(AC$3)),
IF(ISBLANK(AC$7),0,
IF(AC$4 &lt; AC$5,
IF($AA46-$Z$4&lt;AC$4,0,
IF($AA46&gt;AC$5,0,
SUM(_xlfn._xlws.FILTER(Table_BangLuong_TyLeTangCa[Tỷ lệ],
(Table_BangLuong_TyLeTangCa[Ngày] = AC$3) *
(Table_BangLuong_TyLeTangCa[Giờ min]&lt;=$AA46) *
(Table_BangLuong_TyLeTangCa[Giờ max]&gt;$AA46)
)))),
IF(AND($AA46-$Z$4 &gt;= AC$5,$AA46 &lt; AC$4),0,
SUM(_xlfn._xlws.FILTER(Table_BangLuong_TyLeTangCa[Tỷ lệ],
(Table_BangLuong_TyLeTangCa[Ngày] = AC$3) *
(Table_BangLuong_TyLeTangCa[Giờ min]&lt;=$AA46) *
(Table_BangLuong_TyLeTangCa[Giờ max]&gt;$AA46)
))))
),
IF(ISBLANK(AC$7),
IF(VLOOKUP(AC$6, Table_ChiPhiNV_Ca[], COUNTA(Table_ChiPhiNV_Ca[[#Headers],[Ca]:[Kết thúc]]),0)&gt; VLOOKUP(AC$6, Table_ChiPhiNV_Ca[], COUNTA(Table_ChiPhiNV_Ca[[#Headers],[Ca]:[Bắt đầu]]),0),
IF($AA46-$Z$4&lt;MAX(AC$4,VLOOKUP(AC$6, Table_ChiPhiNV_Ca[], COUNTA(Table_ChiPhiNV_Ca[[#Headers],[Ca]:[Bắt đầu]]),0)),0,
IF($AA46&gt;MIN(AC$5,VLOOKUP(AC$6, Table_ChiPhiNV_Ca[], COUNTA(Table_ChiPhiNV_Ca[[#Headers],[Ca]:[Kết thúc]]),0)),0,
SUM(_xlfn._xlws.FILTER(Table_BangLuong_TyLeTangCa[Tỷ lệ],
(Table_BangLuong_TyLeTangCa[Ngày] = "Thường") *
(Table_BangLuong_TyLeTangCa[Giờ min]&lt;=$AA46) *
(Table_BangLuong_TyLeTangCa[Giờ max]&gt;$AA46)
)))),
IF(AC$4 &gt; AC$5,
IF(
AND(
$AA46-$Z$4&lt;MAX(AC$4,VLOOKUP(AC$6, Table_ChiPhiNV_Ca[], COUNTA(Table_ChiPhiNV_Ca[[#Headers],[Ca]:[Bắt đầu]]),0)),
$AA46&gt;MIN(AC$5,VLOOKUP(AC$6, Table_ChiPhiNV_Ca[], COUNTA(Table_ChiPhiNV_Ca[[#Headers],[Ca]:[Kết thúc]]),0))),0,
SUM(_xlfn._xlws.FILTER(Table_BangLuong_TyLeTangCa[Tỷ lệ],
(Table_BangLuong_TyLeTangCa[Ngày] = "Thường") *
(Table_BangLuong_TyLeTangCa[Giờ min]&lt;=$AA46) *
(Table_BangLuong_TyLeTangCa[Giờ max]&gt;$AA46)
))),
IF(
AND(
$AA46-$Z$4&gt;=MAX(AC$4,VLOOKUP(AC$6, Table_ChiPhiNV_Ca[], COUNTA(Table_ChiPhiNV_Ca[[#Headers],[Ca]:[Bắt đầu]]),0)),
$AA46&lt;MIN(AC$5,VLOOKUP(AC$6, Table_ChiPhiNV_Ca[], COUNTA(Table_ChiPhiNV_Ca[[#Headers],[Ca]:[Kết thúc]]),0))),
SUM(_xlfn._xlws.FILTER(Table_BangLuong_TyLeTangCa[Tỷ lệ],
(Table_BangLuong_TyLeTangCa[Ngày] = "Thường") *
(Table_BangLuong_TyLeTangCa[Giờ min]&lt;=$AA46) *
(Table_BangLuong_TyLeTangCa[Giờ max]&gt;$AA46)
)),0)
)),
IF(AC$4 &lt; AC$5,
IF($AA46-$Z$4&lt;AC$4,0,
IF($AA46&gt;AC$5,0,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AC$5,$AA46 &lt; AC$4),0,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1.5</v>
      </c>
      <c r="AD46" s="18" cm="1">
        <f t="array" ref="AD46" xml:space="preserve">
IFERROR(
IF(AD$1="",0,
IF(AND(
$AA46&gt;=VLOOKUP(AD$6, Table_ChiPhiNV_Ca[], COUNTA(Table_ChiPhiNV_Ca[[#Headers],[Ca]:[Bắt đầu nghỉ]]),0),
$AA46&lt;VLOOKUP(AD$6, Table_ChiPhiNV_Ca[], COUNTA(Table_ChiPhiNV_Ca[[#Headers],[Ca]:[Kết thúc nghỉ]]),0)
),0,
IF(NOT(ISBLANK(AD$3)),
IF(ISBLANK(AD$7),0,
IF(AD$4 &lt; AD$5,
IF($AA46-$Z$4&lt;AD$4,0,
IF($AA46&gt;AD$5,0,
SUM(_xlfn._xlws.FILTER(Table_BangLuong_TyLeTangCa[Tỷ lệ],
(Table_BangLuong_TyLeTangCa[Ngày] = AD$3) *
(Table_BangLuong_TyLeTangCa[Giờ min]&lt;=$AA46) *
(Table_BangLuong_TyLeTangCa[Giờ max]&gt;$AA46)
)))),
IF(AND($AA46-$Z$4 &gt;= AD$5,$AA46 &lt; AD$4),0,
SUM(_xlfn._xlws.FILTER(Table_BangLuong_TyLeTangCa[Tỷ lệ],
(Table_BangLuong_TyLeTangCa[Ngày] = AD$3) *
(Table_BangLuong_TyLeTangCa[Giờ min]&lt;=$AA46) *
(Table_BangLuong_TyLeTangCa[Giờ max]&gt;$AA46)
))))
),
IF(ISBLANK(AD$7),
IF(VLOOKUP(AD$6, Table_ChiPhiNV_Ca[], COUNTA(Table_ChiPhiNV_Ca[[#Headers],[Ca]:[Kết thúc]]),0)&gt; VLOOKUP(AD$6, Table_ChiPhiNV_Ca[], COUNTA(Table_ChiPhiNV_Ca[[#Headers],[Ca]:[Bắt đầu]]),0),
IF($AA46-$Z$4&lt;MAX(AD$4,VLOOKUP(AD$6, Table_ChiPhiNV_Ca[], COUNTA(Table_ChiPhiNV_Ca[[#Headers],[Ca]:[Bắt đầu]]),0)),0,
IF($AA46&gt;MIN(AD$5,VLOOKUP(AD$6, Table_ChiPhiNV_Ca[], COUNTA(Table_ChiPhiNV_Ca[[#Headers],[Ca]:[Kết thúc]]),0)),0,
SUM(_xlfn._xlws.FILTER(Table_BangLuong_TyLeTangCa[Tỷ lệ],
(Table_BangLuong_TyLeTangCa[Ngày] = "Thường") *
(Table_BangLuong_TyLeTangCa[Giờ min]&lt;=$AA46) *
(Table_BangLuong_TyLeTangCa[Giờ max]&gt;$AA46)
)))),
IF(AD$4 &gt; AD$5,
IF(
AND(
$AA46-$Z$4&lt;MAX(AD$4,VLOOKUP(AD$6, Table_ChiPhiNV_Ca[], COUNTA(Table_ChiPhiNV_Ca[[#Headers],[Ca]:[Bắt đầu]]),0)),
$AA46&gt;MIN(AD$5,VLOOKUP(AD$6, Table_ChiPhiNV_Ca[], COUNTA(Table_ChiPhiNV_Ca[[#Headers],[Ca]:[Kết thúc]]),0))),0,
SUM(_xlfn._xlws.FILTER(Table_BangLuong_TyLeTangCa[Tỷ lệ],
(Table_BangLuong_TyLeTangCa[Ngày] = "Thường") *
(Table_BangLuong_TyLeTangCa[Giờ min]&lt;=$AA46) *
(Table_BangLuong_TyLeTangCa[Giờ max]&gt;$AA46)
))),
IF(
AND(
$AA46-$Z$4&gt;=MAX(AD$4,VLOOKUP(AD$6, Table_ChiPhiNV_Ca[], COUNTA(Table_ChiPhiNV_Ca[[#Headers],[Ca]:[Bắt đầu]]),0)),
$AA46&lt;MIN(AD$5,VLOOKUP(AD$6, Table_ChiPhiNV_Ca[], COUNTA(Table_ChiPhiNV_Ca[[#Headers],[Ca]:[Kết thúc]]),0))),
SUM(_xlfn._xlws.FILTER(Table_BangLuong_TyLeTangCa[Tỷ lệ],
(Table_BangLuong_TyLeTangCa[Ngày] = "Thường") *
(Table_BangLuong_TyLeTangCa[Giờ min]&lt;=$AA46) *
(Table_BangLuong_TyLeTangCa[Giờ max]&gt;$AA46)
)),0)
)),
IF(AD$4 &lt; AD$5,
IF($AA46-$Z$4&lt;AD$4,0,
IF($AA46&gt;AD$5,0,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AD$5,$AA46 &lt; AD$4),0,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E46" s="18" cm="1">
        <f t="array" ref="AE46" xml:space="preserve">
IFERROR(
IF(AE$1="",0,
IF(AND(
$AA46&gt;=VLOOKUP(AE$6, Table_ChiPhiNV_Ca[], COUNTA(Table_ChiPhiNV_Ca[[#Headers],[Ca]:[Bắt đầu nghỉ]]),0),
$AA46&lt;VLOOKUP(AE$6, Table_ChiPhiNV_Ca[], COUNTA(Table_ChiPhiNV_Ca[[#Headers],[Ca]:[Kết thúc nghỉ]]),0)
),0,
IF(NOT(ISBLANK(AE$3)),
IF(ISBLANK(AE$7),0,
IF(AE$4 &lt; AE$5,
IF($AA46-$Z$4&lt;AE$4,0,
IF($AA46&gt;AE$5,0,
SUM(_xlfn._xlws.FILTER(Table_BangLuong_TyLeTangCa[Tỷ lệ],
(Table_BangLuong_TyLeTangCa[Ngày] = AE$3) *
(Table_BangLuong_TyLeTangCa[Giờ min]&lt;=$AA46) *
(Table_BangLuong_TyLeTangCa[Giờ max]&gt;$AA46)
)))),
IF(AND($AA46-$Z$4 &gt;= AE$5,$AA46 &lt; AE$4),0,
SUM(_xlfn._xlws.FILTER(Table_BangLuong_TyLeTangCa[Tỷ lệ],
(Table_BangLuong_TyLeTangCa[Ngày] = AE$3) *
(Table_BangLuong_TyLeTangCa[Giờ min]&lt;=$AA46) *
(Table_BangLuong_TyLeTangCa[Giờ max]&gt;$AA46)
))))
),
IF(ISBLANK(AE$7),
IF(VLOOKUP(AE$6, Table_ChiPhiNV_Ca[], COUNTA(Table_ChiPhiNV_Ca[[#Headers],[Ca]:[Kết thúc]]),0)&gt; VLOOKUP(AE$6, Table_ChiPhiNV_Ca[], COUNTA(Table_ChiPhiNV_Ca[[#Headers],[Ca]:[Bắt đầu]]),0),
IF($AA46-$Z$4&lt;MAX(AE$4,VLOOKUP(AE$6, Table_ChiPhiNV_Ca[], COUNTA(Table_ChiPhiNV_Ca[[#Headers],[Ca]:[Bắt đầu]]),0)),0,
IF($AA46&gt;MIN(AE$5,VLOOKUP(AE$6, Table_ChiPhiNV_Ca[], COUNTA(Table_ChiPhiNV_Ca[[#Headers],[Ca]:[Kết thúc]]),0)),0,
SUM(_xlfn._xlws.FILTER(Table_BangLuong_TyLeTangCa[Tỷ lệ],
(Table_BangLuong_TyLeTangCa[Ngày] = "Thường") *
(Table_BangLuong_TyLeTangCa[Giờ min]&lt;=$AA46) *
(Table_BangLuong_TyLeTangCa[Giờ max]&gt;$AA46)
)))),
IF(AE$4 &gt; AE$5,
IF(
AND(
$AA46-$Z$4&lt;MAX(AE$4,VLOOKUP(AE$6, Table_ChiPhiNV_Ca[], COUNTA(Table_ChiPhiNV_Ca[[#Headers],[Ca]:[Bắt đầu]]),0)),
$AA46&gt;MIN(AE$5,VLOOKUP(AE$6, Table_ChiPhiNV_Ca[], COUNTA(Table_ChiPhiNV_Ca[[#Headers],[Ca]:[Kết thúc]]),0))),0,
SUM(_xlfn._xlws.FILTER(Table_BangLuong_TyLeTangCa[Tỷ lệ],
(Table_BangLuong_TyLeTangCa[Ngày] = "Thường") *
(Table_BangLuong_TyLeTangCa[Giờ min]&lt;=$AA46) *
(Table_BangLuong_TyLeTangCa[Giờ max]&gt;$AA46)
))),
IF(
AND(
$AA46-$Z$4&gt;=MAX(AE$4,VLOOKUP(AE$6, Table_ChiPhiNV_Ca[], COUNTA(Table_ChiPhiNV_Ca[[#Headers],[Ca]:[Bắt đầu]]),0)),
$AA46&lt;MIN(AE$5,VLOOKUP(AE$6, Table_ChiPhiNV_Ca[], COUNTA(Table_ChiPhiNV_Ca[[#Headers],[Ca]:[Kết thúc]]),0))),
SUM(_xlfn._xlws.FILTER(Table_BangLuong_TyLeTangCa[Tỷ lệ],
(Table_BangLuong_TyLeTangCa[Ngày] = "Thường") *
(Table_BangLuong_TyLeTangCa[Giờ min]&lt;=$AA46) *
(Table_BangLuong_TyLeTangCa[Giờ max]&gt;$AA46)
)),0)
)),
IF(AE$4 &lt; AE$5,
IF($AA46-$Z$4&lt;AE$4,0,
IF($AA46&gt;AE$5,0,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AE$5,$AA46 &lt; AE$4),0,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F46" s="18" cm="1">
        <f t="array" ref="AF46" xml:space="preserve">
IFERROR(
IF(AF$1="",0,
IF(AND(
$AA46&gt;=VLOOKUP(AF$6, Table_ChiPhiNV_Ca[], COUNTA(Table_ChiPhiNV_Ca[[#Headers],[Ca]:[Bắt đầu nghỉ]]),0),
$AA46&lt;VLOOKUP(AF$6, Table_ChiPhiNV_Ca[], COUNTA(Table_ChiPhiNV_Ca[[#Headers],[Ca]:[Kết thúc nghỉ]]),0)
),0,
IF(NOT(ISBLANK(AF$3)),
IF(ISBLANK(AF$7),0,
IF(AF$4 &lt; AF$5,
IF($AA46-$Z$4&lt;AF$4,0,
IF($AA46&gt;AF$5,0,
SUM(_xlfn._xlws.FILTER(Table_BangLuong_TyLeTangCa[Tỷ lệ],
(Table_BangLuong_TyLeTangCa[Ngày] = AF$3) *
(Table_BangLuong_TyLeTangCa[Giờ min]&lt;=$AA46) *
(Table_BangLuong_TyLeTangCa[Giờ max]&gt;$AA46)
)))),
IF(AND($AA46-$Z$4 &gt;= AF$5,$AA46 &lt; AF$4),0,
SUM(_xlfn._xlws.FILTER(Table_BangLuong_TyLeTangCa[Tỷ lệ],
(Table_BangLuong_TyLeTangCa[Ngày] = AF$3) *
(Table_BangLuong_TyLeTangCa[Giờ min]&lt;=$AA46) *
(Table_BangLuong_TyLeTangCa[Giờ max]&gt;$AA46)
))))
),
IF(ISBLANK(AF$7),
IF(VLOOKUP(AF$6, Table_ChiPhiNV_Ca[], COUNTA(Table_ChiPhiNV_Ca[[#Headers],[Ca]:[Kết thúc]]),0)&gt; VLOOKUP(AF$6, Table_ChiPhiNV_Ca[], COUNTA(Table_ChiPhiNV_Ca[[#Headers],[Ca]:[Bắt đầu]]),0),
IF($AA46-$Z$4&lt;MAX(AF$4,VLOOKUP(AF$6, Table_ChiPhiNV_Ca[], COUNTA(Table_ChiPhiNV_Ca[[#Headers],[Ca]:[Bắt đầu]]),0)),0,
IF($AA46&gt;MIN(AF$5,VLOOKUP(AF$6, Table_ChiPhiNV_Ca[], COUNTA(Table_ChiPhiNV_Ca[[#Headers],[Ca]:[Kết thúc]]),0)),0,
SUM(_xlfn._xlws.FILTER(Table_BangLuong_TyLeTangCa[Tỷ lệ],
(Table_BangLuong_TyLeTangCa[Ngày] = "Thường") *
(Table_BangLuong_TyLeTangCa[Giờ min]&lt;=$AA46) *
(Table_BangLuong_TyLeTangCa[Giờ max]&gt;$AA46)
)))),
IF(AF$4 &gt; AF$5,
IF(
AND(
$AA46-$Z$4&lt;MAX(AF$4,VLOOKUP(AF$6, Table_ChiPhiNV_Ca[], COUNTA(Table_ChiPhiNV_Ca[[#Headers],[Ca]:[Bắt đầu]]),0)),
$AA46&gt;MIN(AF$5,VLOOKUP(AF$6, Table_ChiPhiNV_Ca[], COUNTA(Table_ChiPhiNV_Ca[[#Headers],[Ca]:[Kết thúc]]),0))),0,
SUM(_xlfn._xlws.FILTER(Table_BangLuong_TyLeTangCa[Tỷ lệ],
(Table_BangLuong_TyLeTangCa[Ngày] = "Thường") *
(Table_BangLuong_TyLeTangCa[Giờ min]&lt;=$AA46) *
(Table_BangLuong_TyLeTangCa[Giờ max]&gt;$AA46)
))),
IF(
AND(
$AA46-$Z$4&gt;=MAX(AF$4,VLOOKUP(AF$6, Table_ChiPhiNV_Ca[], COUNTA(Table_ChiPhiNV_Ca[[#Headers],[Ca]:[Bắt đầu]]),0)),
$AA46&lt;MIN(AF$5,VLOOKUP(AF$6, Table_ChiPhiNV_Ca[], COUNTA(Table_ChiPhiNV_Ca[[#Headers],[Ca]:[Kết thúc]]),0))),
SUM(_xlfn._xlws.FILTER(Table_BangLuong_TyLeTangCa[Tỷ lệ],
(Table_BangLuong_TyLeTangCa[Ngày] = "Thường") *
(Table_BangLuong_TyLeTangCa[Giờ min]&lt;=$AA46) *
(Table_BangLuong_TyLeTangCa[Giờ max]&gt;$AA46)
)),0)
)),
IF(AF$4 &lt; AF$5,
IF($AA46-$Z$4&lt;AF$4,0,
IF($AA46&gt;AF$5,0,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AF$5,$AA46 &lt; AF$4),0,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G46" s="18" cm="1">
        <f t="array" ref="AG46" xml:space="preserve">
IFERROR(
IF(AG$1="",0,
IF(AND(
$AA46&gt;=VLOOKUP(AG$6, Table_ChiPhiNV_Ca[], COUNTA(Table_ChiPhiNV_Ca[[#Headers],[Ca]:[Bắt đầu nghỉ]]),0),
$AA46&lt;VLOOKUP(AG$6, Table_ChiPhiNV_Ca[], COUNTA(Table_ChiPhiNV_Ca[[#Headers],[Ca]:[Kết thúc nghỉ]]),0)
),0,
IF(NOT(ISBLANK(AG$3)),
IF(ISBLANK(AG$7),0,
IF(AG$4 &lt; AG$5,
IF($AA46-$Z$4&lt;AG$4,0,
IF($AA46&gt;AG$5,0,
SUM(_xlfn._xlws.FILTER(Table_BangLuong_TyLeTangCa[Tỷ lệ],
(Table_BangLuong_TyLeTangCa[Ngày] = AG$3) *
(Table_BangLuong_TyLeTangCa[Giờ min]&lt;=$AA46) *
(Table_BangLuong_TyLeTangCa[Giờ max]&gt;$AA46)
)))),
IF(AND($AA46-$Z$4 &gt;= AG$5,$AA46 &lt; AG$4),0,
SUM(_xlfn._xlws.FILTER(Table_BangLuong_TyLeTangCa[Tỷ lệ],
(Table_BangLuong_TyLeTangCa[Ngày] = AG$3) *
(Table_BangLuong_TyLeTangCa[Giờ min]&lt;=$AA46) *
(Table_BangLuong_TyLeTangCa[Giờ max]&gt;$AA46)
))))
),
IF(ISBLANK(AG$7),
IF(VLOOKUP(AG$6, Table_ChiPhiNV_Ca[], COUNTA(Table_ChiPhiNV_Ca[[#Headers],[Ca]:[Kết thúc]]),0)&gt; VLOOKUP(AG$6, Table_ChiPhiNV_Ca[], COUNTA(Table_ChiPhiNV_Ca[[#Headers],[Ca]:[Bắt đầu]]),0),
IF($AA46-$Z$4&lt;MAX(AG$4,VLOOKUP(AG$6, Table_ChiPhiNV_Ca[], COUNTA(Table_ChiPhiNV_Ca[[#Headers],[Ca]:[Bắt đầu]]),0)),0,
IF($AA46&gt;MIN(AG$5,VLOOKUP(AG$6, Table_ChiPhiNV_Ca[], COUNTA(Table_ChiPhiNV_Ca[[#Headers],[Ca]:[Kết thúc]]),0)),0,
SUM(_xlfn._xlws.FILTER(Table_BangLuong_TyLeTangCa[Tỷ lệ],
(Table_BangLuong_TyLeTangCa[Ngày] = "Thường") *
(Table_BangLuong_TyLeTangCa[Giờ min]&lt;=$AA46) *
(Table_BangLuong_TyLeTangCa[Giờ max]&gt;$AA46)
)))),
IF(AG$4 &gt; AG$5,
IF(
AND(
$AA46-$Z$4&lt;MAX(AG$4,VLOOKUP(AG$6, Table_ChiPhiNV_Ca[], COUNTA(Table_ChiPhiNV_Ca[[#Headers],[Ca]:[Bắt đầu]]),0)),
$AA46&gt;MIN(AG$5,VLOOKUP(AG$6, Table_ChiPhiNV_Ca[], COUNTA(Table_ChiPhiNV_Ca[[#Headers],[Ca]:[Kết thúc]]),0))),0,
SUM(_xlfn._xlws.FILTER(Table_BangLuong_TyLeTangCa[Tỷ lệ],
(Table_BangLuong_TyLeTangCa[Ngày] = "Thường") *
(Table_BangLuong_TyLeTangCa[Giờ min]&lt;=$AA46) *
(Table_BangLuong_TyLeTangCa[Giờ max]&gt;$AA46)
))),
IF(
AND(
$AA46-$Z$4&gt;=MAX(AG$4,VLOOKUP(AG$6, Table_ChiPhiNV_Ca[], COUNTA(Table_ChiPhiNV_Ca[[#Headers],[Ca]:[Bắt đầu]]),0)),
$AA46&lt;MIN(AG$5,VLOOKUP(AG$6, Table_ChiPhiNV_Ca[], COUNTA(Table_ChiPhiNV_Ca[[#Headers],[Ca]:[Kết thúc]]),0))),
SUM(_xlfn._xlws.FILTER(Table_BangLuong_TyLeTangCa[Tỷ lệ],
(Table_BangLuong_TyLeTangCa[Ngày] = "Thường") *
(Table_BangLuong_TyLeTangCa[Giờ min]&lt;=$AA46) *
(Table_BangLuong_TyLeTangCa[Giờ max]&gt;$AA46)
)),0)
)),
IF(AG$4 &lt; AG$5,
IF($AA46-$Z$4&lt;AG$4,0,
IF($AA46&gt;AG$5,0,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AG$5,$AA46 &lt; AG$4),0,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H46" s="18" cm="1">
        <f t="array" ref="AH46" xml:space="preserve">
IFERROR(
IF(AH$1="",0,
IF(AND(
$AA46&gt;=VLOOKUP(AH$6, Table_ChiPhiNV_Ca[], COUNTA(Table_ChiPhiNV_Ca[[#Headers],[Ca]:[Bắt đầu nghỉ]]),0),
$AA46&lt;VLOOKUP(AH$6, Table_ChiPhiNV_Ca[], COUNTA(Table_ChiPhiNV_Ca[[#Headers],[Ca]:[Kết thúc nghỉ]]),0)
),0,
IF(NOT(ISBLANK(AH$3)),
IF(ISBLANK(AH$7),0,
IF(AH$4 &lt; AH$5,
IF($AA46-$Z$4&lt;AH$4,0,
IF($AA46&gt;AH$5,0,
SUM(_xlfn._xlws.FILTER(Table_BangLuong_TyLeTangCa[Tỷ lệ],
(Table_BangLuong_TyLeTangCa[Ngày] = AH$3) *
(Table_BangLuong_TyLeTangCa[Giờ min]&lt;=$AA46) *
(Table_BangLuong_TyLeTangCa[Giờ max]&gt;$AA46)
)))),
IF(AND($AA46-$Z$4 &gt;= AH$5,$AA46 &lt; AH$4),0,
SUM(_xlfn._xlws.FILTER(Table_BangLuong_TyLeTangCa[Tỷ lệ],
(Table_BangLuong_TyLeTangCa[Ngày] = AH$3) *
(Table_BangLuong_TyLeTangCa[Giờ min]&lt;=$AA46) *
(Table_BangLuong_TyLeTangCa[Giờ max]&gt;$AA46)
))))
),
IF(ISBLANK(AH$7),
IF(VLOOKUP(AH$6, Table_ChiPhiNV_Ca[], COUNTA(Table_ChiPhiNV_Ca[[#Headers],[Ca]:[Kết thúc]]),0)&gt; VLOOKUP(AH$6, Table_ChiPhiNV_Ca[], COUNTA(Table_ChiPhiNV_Ca[[#Headers],[Ca]:[Bắt đầu]]),0),
IF($AA46-$Z$4&lt;MAX(AH$4,VLOOKUP(AH$6, Table_ChiPhiNV_Ca[], COUNTA(Table_ChiPhiNV_Ca[[#Headers],[Ca]:[Bắt đầu]]),0)),0,
IF($AA46&gt;MIN(AH$5,VLOOKUP(AH$6, Table_ChiPhiNV_Ca[], COUNTA(Table_ChiPhiNV_Ca[[#Headers],[Ca]:[Kết thúc]]),0)),0,
SUM(_xlfn._xlws.FILTER(Table_BangLuong_TyLeTangCa[Tỷ lệ],
(Table_BangLuong_TyLeTangCa[Ngày] = "Thường") *
(Table_BangLuong_TyLeTangCa[Giờ min]&lt;=$AA46) *
(Table_BangLuong_TyLeTangCa[Giờ max]&gt;$AA46)
)))),
IF(AH$4 &gt; AH$5,
IF(
AND(
$AA46-$Z$4&lt;MAX(AH$4,VLOOKUP(AH$6, Table_ChiPhiNV_Ca[], COUNTA(Table_ChiPhiNV_Ca[[#Headers],[Ca]:[Bắt đầu]]),0)),
$AA46&gt;MIN(AH$5,VLOOKUP(AH$6, Table_ChiPhiNV_Ca[], COUNTA(Table_ChiPhiNV_Ca[[#Headers],[Ca]:[Kết thúc]]),0))),0,
SUM(_xlfn._xlws.FILTER(Table_BangLuong_TyLeTangCa[Tỷ lệ],
(Table_BangLuong_TyLeTangCa[Ngày] = "Thường") *
(Table_BangLuong_TyLeTangCa[Giờ min]&lt;=$AA46) *
(Table_BangLuong_TyLeTangCa[Giờ max]&gt;$AA46)
))),
IF(
AND(
$AA46-$Z$4&gt;=MAX(AH$4,VLOOKUP(AH$6, Table_ChiPhiNV_Ca[], COUNTA(Table_ChiPhiNV_Ca[[#Headers],[Ca]:[Bắt đầu]]),0)),
$AA46&lt;MIN(AH$5,VLOOKUP(AH$6, Table_ChiPhiNV_Ca[], COUNTA(Table_ChiPhiNV_Ca[[#Headers],[Ca]:[Kết thúc]]),0))),
SUM(_xlfn._xlws.FILTER(Table_BangLuong_TyLeTangCa[Tỷ lệ],
(Table_BangLuong_TyLeTangCa[Ngày] = "Thường") *
(Table_BangLuong_TyLeTangCa[Giờ min]&lt;=$AA46) *
(Table_BangLuong_TyLeTangCa[Giờ max]&gt;$AA46)
)),0)
)),
IF(AH$4 &lt; AH$5,
IF($AA46-$Z$4&lt;AH$4,0,
IF($AA46&gt;AH$5,0,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AH$5,$AA46 &lt; AH$4),0,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I46" s="18" cm="1">
        <f t="array" ref="AI46" xml:space="preserve">
IFERROR(
IF(AI$1="",0,
IF(AND(
$AA46&gt;=VLOOKUP(AI$6, Table_ChiPhiNV_Ca[], COUNTA(Table_ChiPhiNV_Ca[[#Headers],[Ca]:[Bắt đầu nghỉ]]),0),
$AA46&lt;VLOOKUP(AI$6, Table_ChiPhiNV_Ca[], COUNTA(Table_ChiPhiNV_Ca[[#Headers],[Ca]:[Kết thúc nghỉ]]),0)
),0,
IF(NOT(ISBLANK(AI$3)),
IF(ISBLANK(AI$7),0,
IF(AI$4 &lt; AI$5,
IF($AA46-$Z$4&lt;AI$4,0,
IF($AA46&gt;AI$5,0,
SUM(_xlfn._xlws.FILTER(Table_BangLuong_TyLeTangCa[Tỷ lệ],
(Table_BangLuong_TyLeTangCa[Ngày] = AI$3) *
(Table_BangLuong_TyLeTangCa[Giờ min]&lt;=$AA46) *
(Table_BangLuong_TyLeTangCa[Giờ max]&gt;$AA46)
)))),
IF(AND($AA46-$Z$4 &gt;= AI$5,$AA46 &lt; AI$4),0,
SUM(_xlfn._xlws.FILTER(Table_BangLuong_TyLeTangCa[Tỷ lệ],
(Table_BangLuong_TyLeTangCa[Ngày] = AI$3) *
(Table_BangLuong_TyLeTangCa[Giờ min]&lt;=$AA46) *
(Table_BangLuong_TyLeTangCa[Giờ max]&gt;$AA46)
))))
),
IF(ISBLANK(AI$7),
IF(VLOOKUP(AI$6, Table_ChiPhiNV_Ca[], COUNTA(Table_ChiPhiNV_Ca[[#Headers],[Ca]:[Kết thúc]]),0)&gt; VLOOKUP(AI$6, Table_ChiPhiNV_Ca[], COUNTA(Table_ChiPhiNV_Ca[[#Headers],[Ca]:[Bắt đầu]]),0),
IF($AA46-$Z$4&lt;MAX(AI$4,VLOOKUP(AI$6, Table_ChiPhiNV_Ca[], COUNTA(Table_ChiPhiNV_Ca[[#Headers],[Ca]:[Bắt đầu]]),0)),0,
IF($AA46&gt;MIN(AI$5,VLOOKUP(AI$6, Table_ChiPhiNV_Ca[], COUNTA(Table_ChiPhiNV_Ca[[#Headers],[Ca]:[Kết thúc]]),0)),0,
SUM(_xlfn._xlws.FILTER(Table_BangLuong_TyLeTangCa[Tỷ lệ],
(Table_BangLuong_TyLeTangCa[Ngày] = "Thường") *
(Table_BangLuong_TyLeTangCa[Giờ min]&lt;=$AA46) *
(Table_BangLuong_TyLeTangCa[Giờ max]&gt;$AA46)
)))),
IF(AI$4 &gt; AI$5,
IF(
AND(
$AA46-$Z$4&lt;MAX(AI$4,VLOOKUP(AI$6, Table_ChiPhiNV_Ca[], COUNTA(Table_ChiPhiNV_Ca[[#Headers],[Ca]:[Bắt đầu]]),0)),
$AA46&gt;MIN(AI$5,VLOOKUP(AI$6, Table_ChiPhiNV_Ca[], COUNTA(Table_ChiPhiNV_Ca[[#Headers],[Ca]:[Kết thúc]]),0))),0,
SUM(_xlfn._xlws.FILTER(Table_BangLuong_TyLeTangCa[Tỷ lệ],
(Table_BangLuong_TyLeTangCa[Ngày] = "Thường") *
(Table_BangLuong_TyLeTangCa[Giờ min]&lt;=$AA46) *
(Table_BangLuong_TyLeTangCa[Giờ max]&gt;$AA46)
))),
IF(
AND(
$AA46-$Z$4&gt;=MAX(AI$4,VLOOKUP(AI$6, Table_ChiPhiNV_Ca[], COUNTA(Table_ChiPhiNV_Ca[[#Headers],[Ca]:[Bắt đầu]]),0)),
$AA46&lt;MIN(AI$5,VLOOKUP(AI$6, Table_ChiPhiNV_Ca[], COUNTA(Table_ChiPhiNV_Ca[[#Headers],[Ca]:[Kết thúc]]),0))),
SUM(_xlfn._xlws.FILTER(Table_BangLuong_TyLeTangCa[Tỷ lệ],
(Table_BangLuong_TyLeTangCa[Ngày] = "Thường") *
(Table_BangLuong_TyLeTangCa[Giờ min]&lt;=$AA46) *
(Table_BangLuong_TyLeTangCa[Giờ max]&gt;$AA46)
)),0)
)),
IF(AI$4 &lt; AI$5,
IF($AA46-$Z$4&lt;AI$4,0,
IF($AA46&gt;AI$5,0,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AI$5,$AA46 &lt; AI$4),0,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J46" s="18" cm="1">
        <f t="array" ref="AJ46" xml:space="preserve">
IFERROR(
IF(AJ$1="",0,
IF(AND(
$AA46&gt;=VLOOKUP(AJ$6, Table_ChiPhiNV_Ca[], COUNTA(Table_ChiPhiNV_Ca[[#Headers],[Ca]:[Bắt đầu nghỉ]]),0),
$AA46&lt;VLOOKUP(AJ$6, Table_ChiPhiNV_Ca[], COUNTA(Table_ChiPhiNV_Ca[[#Headers],[Ca]:[Kết thúc nghỉ]]),0)
),0,
IF(NOT(ISBLANK(AJ$3)),
IF(ISBLANK(AJ$7),0,
IF(AJ$4 &lt; AJ$5,
IF($AA46-$Z$4&lt;AJ$4,0,
IF($AA46&gt;AJ$5,0,
SUM(_xlfn._xlws.FILTER(Table_BangLuong_TyLeTangCa[Tỷ lệ],
(Table_BangLuong_TyLeTangCa[Ngày] = AJ$3) *
(Table_BangLuong_TyLeTangCa[Giờ min]&lt;=$AA46) *
(Table_BangLuong_TyLeTangCa[Giờ max]&gt;$AA46)
)))),
IF(AND($AA46-$Z$4 &gt;= AJ$5,$AA46 &lt; AJ$4),0,
SUM(_xlfn._xlws.FILTER(Table_BangLuong_TyLeTangCa[Tỷ lệ],
(Table_BangLuong_TyLeTangCa[Ngày] = AJ$3) *
(Table_BangLuong_TyLeTangCa[Giờ min]&lt;=$AA46) *
(Table_BangLuong_TyLeTangCa[Giờ max]&gt;$AA46)
))))
),
IF(ISBLANK(AJ$7),
IF(VLOOKUP(AJ$6, Table_ChiPhiNV_Ca[], COUNTA(Table_ChiPhiNV_Ca[[#Headers],[Ca]:[Kết thúc]]),0)&gt; VLOOKUP(AJ$6, Table_ChiPhiNV_Ca[], COUNTA(Table_ChiPhiNV_Ca[[#Headers],[Ca]:[Bắt đầu]]),0),
IF($AA46-$Z$4&lt;MAX(AJ$4,VLOOKUP(AJ$6, Table_ChiPhiNV_Ca[], COUNTA(Table_ChiPhiNV_Ca[[#Headers],[Ca]:[Bắt đầu]]),0)),0,
IF($AA46&gt;MIN(AJ$5,VLOOKUP(AJ$6, Table_ChiPhiNV_Ca[], COUNTA(Table_ChiPhiNV_Ca[[#Headers],[Ca]:[Kết thúc]]),0)),0,
SUM(_xlfn._xlws.FILTER(Table_BangLuong_TyLeTangCa[Tỷ lệ],
(Table_BangLuong_TyLeTangCa[Ngày] = "Thường") *
(Table_BangLuong_TyLeTangCa[Giờ min]&lt;=$AA46) *
(Table_BangLuong_TyLeTangCa[Giờ max]&gt;$AA46)
)))),
IF(AJ$4 &gt; AJ$5,
IF(
AND(
$AA46-$Z$4&lt;MAX(AJ$4,VLOOKUP(AJ$6, Table_ChiPhiNV_Ca[], COUNTA(Table_ChiPhiNV_Ca[[#Headers],[Ca]:[Bắt đầu]]),0)),
$AA46&gt;MIN(AJ$5,VLOOKUP(AJ$6, Table_ChiPhiNV_Ca[], COUNTA(Table_ChiPhiNV_Ca[[#Headers],[Ca]:[Kết thúc]]),0))),0,
SUM(_xlfn._xlws.FILTER(Table_BangLuong_TyLeTangCa[Tỷ lệ],
(Table_BangLuong_TyLeTangCa[Ngày] = "Thường") *
(Table_BangLuong_TyLeTangCa[Giờ min]&lt;=$AA46) *
(Table_BangLuong_TyLeTangCa[Giờ max]&gt;$AA46)
))),
IF(
AND(
$AA46-$Z$4&gt;=MAX(AJ$4,VLOOKUP(AJ$6, Table_ChiPhiNV_Ca[], COUNTA(Table_ChiPhiNV_Ca[[#Headers],[Ca]:[Bắt đầu]]),0)),
$AA46&lt;MIN(AJ$5,VLOOKUP(AJ$6, Table_ChiPhiNV_Ca[], COUNTA(Table_ChiPhiNV_Ca[[#Headers],[Ca]:[Kết thúc]]),0))),
SUM(_xlfn._xlws.FILTER(Table_BangLuong_TyLeTangCa[Tỷ lệ],
(Table_BangLuong_TyLeTangCa[Ngày] = "Thường") *
(Table_BangLuong_TyLeTangCa[Giờ min]&lt;=$AA46) *
(Table_BangLuong_TyLeTangCa[Giờ max]&gt;$AA46)
)),0)
)),
IF(AJ$4 &lt; AJ$5,
IF($AA46-$Z$4&lt;AJ$4,0,
IF($AA46&gt;AJ$5,0,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AJ$5,$AA46 &lt; AJ$4),0,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K46" s="18" cm="1">
        <f t="array" ref="AK46" xml:space="preserve">
IFERROR(
IF(AK$1="",0,
IF(AND(
$AA46&gt;=VLOOKUP(AK$6, Table_ChiPhiNV_Ca[], COUNTA(Table_ChiPhiNV_Ca[[#Headers],[Ca]:[Bắt đầu nghỉ]]),0),
$AA46&lt;VLOOKUP(AK$6, Table_ChiPhiNV_Ca[], COUNTA(Table_ChiPhiNV_Ca[[#Headers],[Ca]:[Kết thúc nghỉ]]),0)
),0,
IF(NOT(ISBLANK(AK$3)),
IF(ISBLANK(AK$7),0,
IF(AK$4 &lt; AK$5,
IF($AA46-$Z$4&lt;AK$4,0,
IF($AA46&gt;AK$5,0,
SUM(_xlfn._xlws.FILTER(Table_BangLuong_TyLeTangCa[Tỷ lệ],
(Table_BangLuong_TyLeTangCa[Ngày] = AK$3) *
(Table_BangLuong_TyLeTangCa[Giờ min]&lt;=$AA46) *
(Table_BangLuong_TyLeTangCa[Giờ max]&gt;$AA46)
)))),
IF(AND($AA46-$Z$4 &gt;= AK$5,$AA46 &lt; AK$4),0,
SUM(_xlfn._xlws.FILTER(Table_BangLuong_TyLeTangCa[Tỷ lệ],
(Table_BangLuong_TyLeTangCa[Ngày] = AK$3) *
(Table_BangLuong_TyLeTangCa[Giờ min]&lt;=$AA46) *
(Table_BangLuong_TyLeTangCa[Giờ max]&gt;$AA46)
))))
),
IF(ISBLANK(AK$7),
IF(VLOOKUP(AK$6, Table_ChiPhiNV_Ca[], COUNTA(Table_ChiPhiNV_Ca[[#Headers],[Ca]:[Kết thúc]]),0)&gt; VLOOKUP(AK$6, Table_ChiPhiNV_Ca[], COUNTA(Table_ChiPhiNV_Ca[[#Headers],[Ca]:[Bắt đầu]]),0),
IF($AA46-$Z$4&lt;MAX(AK$4,VLOOKUP(AK$6, Table_ChiPhiNV_Ca[], COUNTA(Table_ChiPhiNV_Ca[[#Headers],[Ca]:[Bắt đầu]]),0)),0,
IF($AA46&gt;MIN(AK$5,VLOOKUP(AK$6, Table_ChiPhiNV_Ca[], COUNTA(Table_ChiPhiNV_Ca[[#Headers],[Ca]:[Kết thúc]]),0)),0,
SUM(_xlfn._xlws.FILTER(Table_BangLuong_TyLeTangCa[Tỷ lệ],
(Table_BangLuong_TyLeTangCa[Ngày] = "Thường") *
(Table_BangLuong_TyLeTangCa[Giờ min]&lt;=$AA46) *
(Table_BangLuong_TyLeTangCa[Giờ max]&gt;$AA46)
)))),
IF(AK$4 &gt; AK$5,
IF(
AND(
$AA46-$Z$4&lt;MAX(AK$4,VLOOKUP(AK$6, Table_ChiPhiNV_Ca[], COUNTA(Table_ChiPhiNV_Ca[[#Headers],[Ca]:[Bắt đầu]]),0)),
$AA46&gt;MIN(AK$5,VLOOKUP(AK$6, Table_ChiPhiNV_Ca[], COUNTA(Table_ChiPhiNV_Ca[[#Headers],[Ca]:[Kết thúc]]),0))),0,
SUM(_xlfn._xlws.FILTER(Table_BangLuong_TyLeTangCa[Tỷ lệ],
(Table_BangLuong_TyLeTangCa[Ngày] = "Thường") *
(Table_BangLuong_TyLeTangCa[Giờ min]&lt;=$AA46) *
(Table_BangLuong_TyLeTangCa[Giờ max]&gt;$AA46)
))),
IF(
AND(
$AA46-$Z$4&gt;=MAX(AK$4,VLOOKUP(AK$6, Table_ChiPhiNV_Ca[], COUNTA(Table_ChiPhiNV_Ca[[#Headers],[Ca]:[Bắt đầu]]),0)),
$AA46&lt;MIN(AK$5,VLOOKUP(AK$6, Table_ChiPhiNV_Ca[], COUNTA(Table_ChiPhiNV_Ca[[#Headers],[Ca]:[Kết thúc]]),0))),
SUM(_xlfn._xlws.FILTER(Table_BangLuong_TyLeTangCa[Tỷ lệ],
(Table_BangLuong_TyLeTangCa[Ngày] = "Thường") *
(Table_BangLuong_TyLeTangCa[Giờ min]&lt;=$AA46) *
(Table_BangLuong_TyLeTangCa[Giờ max]&gt;$AA46)
)),0)
)),
IF(AK$4 &lt; AK$5,
IF($AA46-$Z$4&lt;AK$4,0,
IF($AA46&gt;AK$5,0,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AK$5,$AA46 &lt; AK$4),0,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L46" s="18" cm="1">
        <f t="array" ref="AL46" xml:space="preserve">
IFERROR(
IF(AL$1="",0,
IF(AND(
$AA46&gt;=VLOOKUP(AL$6, Table_ChiPhiNV_Ca[], COUNTA(Table_ChiPhiNV_Ca[[#Headers],[Ca]:[Bắt đầu nghỉ]]),0),
$AA46&lt;VLOOKUP(AL$6, Table_ChiPhiNV_Ca[], COUNTA(Table_ChiPhiNV_Ca[[#Headers],[Ca]:[Kết thúc nghỉ]]),0)
),0,
IF(NOT(ISBLANK(AL$3)),
IF(ISBLANK(AL$7),0,
IF(AL$4 &lt; AL$5,
IF($AA46-$Z$4&lt;AL$4,0,
IF($AA46&gt;AL$5,0,
SUM(_xlfn._xlws.FILTER(Table_BangLuong_TyLeTangCa[Tỷ lệ],
(Table_BangLuong_TyLeTangCa[Ngày] = AL$3) *
(Table_BangLuong_TyLeTangCa[Giờ min]&lt;=$AA46) *
(Table_BangLuong_TyLeTangCa[Giờ max]&gt;$AA46)
)))),
IF(AND($AA46-$Z$4 &gt;= AL$5,$AA46 &lt; AL$4),0,
SUM(_xlfn._xlws.FILTER(Table_BangLuong_TyLeTangCa[Tỷ lệ],
(Table_BangLuong_TyLeTangCa[Ngày] = AL$3) *
(Table_BangLuong_TyLeTangCa[Giờ min]&lt;=$AA46) *
(Table_BangLuong_TyLeTangCa[Giờ max]&gt;$AA46)
))))
),
IF(ISBLANK(AL$7),
IF(VLOOKUP(AL$6, Table_ChiPhiNV_Ca[], COUNTA(Table_ChiPhiNV_Ca[[#Headers],[Ca]:[Kết thúc]]),0)&gt; VLOOKUP(AL$6, Table_ChiPhiNV_Ca[], COUNTA(Table_ChiPhiNV_Ca[[#Headers],[Ca]:[Bắt đầu]]),0),
IF($AA46-$Z$4&lt;MAX(AL$4,VLOOKUP(AL$6, Table_ChiPhiNV_Ca[], COUNTA(Table_ChiPhiNV_Ca[[#Headers],[Ca]:[Bắt đầu]]),0)),0,
IF($AA46&gt;MIN(AL$5,VLOOKUP(AL$6, Table_ChiPhiNV_Ca[], COUNTA(Table_ChiPhiNV_Ca[[#Headers],[Ca]:[Kết thúc]]),0)),0,
SUM(_xlfn._xlws.FILTER(Table_BangLuong_TyLeTangCa[Tỷ lệ],
(Table_BangLuong_TyLeTangCa[Ngày] = "Thường") *
(Table_BangLuong_TyLeTangCa[Giờ min]&lt;=$AA46) *
(Table_BangLuong_TyLeTangCa[Giờ max]&gt;$AA46)
)))),
IF(AL$4 &gt; AL$5,
IF(
AND(
$AA46-$Z$4&lt;MAX(AL$4,VLOOKUP(AL$6, Table_ChiPhiNV_Ca[], COUNTA(Table_ChiPhiNV_Ca[[#Headers],[Ca]:[Bắt đầu]]),0)),
$AA46&gt;MIN(AL$5,VLOOKUP(AL$6, Table_ChiPhiNV_Ca[], COUNTA(Table_ChiPhiNV_Ca[[#Headers],[Ca]:[Kết thúc]]),0))),0,
SUM(_xlfn._xlws.FILTER(Table_BangLuong_TyLeTangCa[Tỷ lệ],
(Table_BangLuong_TyLeTangCa[Ngày] = "Thường") *
(Table_BangLuong_TyLeTangCa[Giờ min]&lt;=$AA46) *
(Table_BangLuong_TyLeTangCa[Giờ max]&gt;$AA46)
))),
IF(
AND(
$AA46-$Z$4&gt;=MAX(AL$4,VLOOKUP(AL$6, Table_ChiPhiNV_Ca[], COUNTA(Table_ChiPhiNV_Ca[[#Headers],[Ca]:[Bắt đầu]]),0)),
$AA46&lt;MIN(AL$5,VLOOKUP(AL$6, Table_ChiPhiNV_Ca[], COUNTA(Table_ChiPhiNV_Ca[[#Headers],[Ca]:[Kết thúc]]),0))),
SUM(_xlfn._xlws.FILTER(Table_BangLuong_TyLeTangCa[Tỷ lệ],
(Table_BangLuong_TyLeTangCa[Ngày] = "Thường") *
(Table_BangLuong_TyLeTangCa[Giờ min]&lt;=$AA46) *
(Table_BangLuong_TyLeTangCa[Giờ max]&gt;$AA46)
)),0)
)),
IF(AL$4 &lt; AL$5,
IF($AA46-$Z$4&lt;AL$4,0,
IF($AA46&gt;AL$5,0,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AL$5,$AA46 &lt; AL$4),0,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M46" s="18" cm="1">
        <f t="array" ref="AM46" xml:space="preserve">
IFERROR(
IF(AM$1="",0,
IF(AND(
$AA46&gt;=VLOOKUP(AM$6, Table_ChiPhiNV_Ca[], COUNTA(Table_ChiPhiNV_Ca[[#Headers],[Ca]:[Bắt đầu nghỉ]]),0),
$AA46&lt;VLOOKUP(AM$6, Table_ChiPhiNV_Ca[], COUNTA(Table_ChiPhiNV_Ca[[#Headers],[Ca]:[Kết thúc nghỉ]]),0)
),0,
IF(NOT(ISBLANK(AM$3)),
IF(ISBLANK(AM$7),0,
IF(AM$4 &lt; AM$5,
IF($AA46-$Z$4&lt;AM$4,0,
IF($AA46&gt;AM$5,0,
SUM(_xlfn._xlws.FILTER(Table_BangLuong_TyLeTangCa[Tỷ lệ],
(Table_BangLuong_TyLeTangCa[Ngày] = AM$3) *
(Table_BangLuong_TyLeTangCa[Giờ min]&lt;=$AA46) *
(Table_BangLuong_TyLeTangCa[Giờ max]&gt;$AA46)
)))),
IF(AND($AA46-$Z$4 &gt;= AM$5,$AA46 &lt; AM$4),0,
SUM(_xlfn._xlws.FILTER(Table_BangLuong_TyLeTangCa[Tỷ lệ],
(Table_BangLuong_TyLeTangCa[Ngày] = AM$3) *
(Table_BangLuong_TyLeTangCa[Giờ min]&lt;=$AA46) *
(Table_BangLuong_TyLeTangCa[Giờ max]&gt;$AA46)
))))
),
IF(ISBLANK(AM$7),
IF(VLOOKUP(AM$6, Table_ChiPhiNV_Ca[], COUNTA(Table_ChiPhiNV_Ca[[#Headers],[Ca]:[Kết thúc]]),0)&gt; VLOOKUP(AM$6, Table_ChiPhiNV_Ca[], COUNTA(Table_ChiPhiNV_Ca[[#Headers],[Ca]:[Bắt đầu]]),0),
IF($AA46-$Z$4&lt;MAX(AM$4,VLOOKUP(AM$6, Table_ChiPhiNV_Ca[], COUNTA(Table_ChiPhiNV_Ca[[#Headers],[Ca]:[Bắt đầu]]),0)),0,
IF($AA46&gt;MIN(AM$5,VLOOKUP(AM$6, Table_ChiPhiNV_Ca[], COUNTA(Table_ChiPhiNV_Ca[[#Headers],[Ca]:[Kết thúc]]),0)),0,
SUM(_xlfn._xlws.FILTER(Table_BangLuong_TyLeTangCa[Tỷ lệ],
(Table_BangLuong_TyLeTangCa[Ngày] = "Thường") *
(Table_BangLuong_TyLeTangCa[Giờ min]&lt;=$AA46) *
(Table_BangLuong_TyLeTangCa[Giờ max]&gt;$AA46)
)))),
IF(AM$4 &gt; AM$5,
IF(
AND(
$AA46-$Z$4&lt;MAX(AM$4,VLOOKUP(AM$6, Table_ChiPhiNV_Ca[], COUNTA(Table_ChiPhiNV_Ca[[#Headers],[Ca]:[Bắt đầu]]),0)),
$AA46&gt;MIN(AM$5,VLOOKUP(AM$6, Table_ChiPhiNV_Ca[], COUNTA(Table_ChiPhiNV_Ca[[#Headers],[Ca]:[Kết thúc]]),0))),0,
SUM(_xlfn._xlws.FILTER(Table_BangLuong_TyLeTangCa[Tỷ lệ],
(Table_BangLuong_TyLeTangCa[Ngày] = "Thường") *
(Table_BangLuong_TyLeTangCa[Giờ min]&lt;=$AA46) *
(Table_BangLuong_TyLeTangCa[Giờ max]&gt;$AA46)
))),
IF(
AND(
$AA46-$Z$4&gt;=MAX(AM$4,VLOOKUP(AM$6, Table_ChiPhiNV_Ca[], COUNTA(Table_ChiPhiNV_Ca[[#Headers],[Ca]:[Bắt đầu]]),0)),
$AA46&lt;MIN(AM$5,VLOOKUP(AM$6, Table_ChiPhiNV_Ca[], COUNTA(Table_ChiPhiNV_Ca[[#Headers],[Ca]:[Kết thúc]]),0))),
SUM(_xlfn._xlws.FILTER(Table_BangLuong_TyLeTangCa[Tỷ lệ],
(Table_BangLuong_TyLeTangCa[Ngày] = "Thường") *
(Table_BangLuong_TyLeTangCa[Giờ min]&lt;=$AA46) *
(Table_BangLuong_TyLeTangCa[Giờ max]&gt;$AA46)
)),0)
)),
IF(AM$4 &lt; AM$5,
IF($AA46-$Z$4&lt;AM$4,0,
IF($AA46&gt;AM$5,0,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AM$5,$AA46 &lt; AM$4),0,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N46" s="18" cm="1">
        <f t="array" ref="AN46" xml:space="preserve">
IFERROR(
IF(AN$1="",0,
IF(AND(
$AA46&gt;=VLOOKUP(AN$6, Table_ChiPhiNV_Ca[], COUNTA(Table_ChiPhiNV_Ca[[#Headers],[Ca]:[Bắt đầu nghỉ]]),0),
$AA46&lt;VLOOKUP(AN$6, Table_ChiPhiNV_Ca[], COUNTA(Table_ChiPhiNV_Ca[[#Headers],[Ca]:[Kết thúc nghỉ]]),0)
),0,
IF(NOT(ISBLANK(AN$3)),
IF(ISBLANK(AN$7),0,
IF(AN$4 &lt; AN$5,
IF($AA46-$Z$4&lt;AN$4,0,
IF($AA46&gt;AN$5,0,
SUM(_xlfn._xlws.FILTER(Table_BangLuong_TyLeTangCa[Tỷ lệ],
(Table_BangLuong_TyLeTangCa[Ngày] = AN$3) *
(Table_BangLuong_TyLeTangCa[Giờ min]&lt;=$AA46) *
(Table_BangLuong_TyLeTangCa[Giờ max]&gt;$AA46)
)))),
IF(AND($AA46-$Z$4 &gt;= AN$5,$AA46 &lt; AN$4),0,
SUM(_xlfn._xlws.FILTER(Table_BangLuong_TyLeTangCa[Tỷ lệ],
(Table_BangLuong_TyLeTangCa[Ngày] = AN$3) *
(Table_BangLuong_TyLeTangCa[Giờ min]&lt;=$AA46) *
(Table_BangLuong_TyLeTangCa[Giờ max]&gt;$AA46)
))))
),
IF(ISBLANK(AN$7),
IF(VLOOKUP(AN$6, Table_ChiPhiNV_Ca[], COUNTA(Table_ChiPhiNV_Ca[[#Headers],[Ca]:[Kết thúc]]),0)&gt; VLOOKUP(AN$6, Table_ChiPhiNV_Ca[], COUNTA(Table_ChiPhiNV_Ca[[#Headers],[Ca]:[Bắt đầu]]),0),
IF($AA46-$Z$4&lt;MAX(AN$4,VLOOKUP(AN$6, Table_ChiPhiNV_Ca[], COUNTA(Table_ChiPhiNV_Ca[[#Headers],[Ca]:[Bắt đầu]]),0)),0,
IF($AA46&gt;MIN(AN$5,VLOOKUP(AN$6, Table_ChiPhiNV_Ca[], COUNTA(Table_ChiPhiNV_Ca[[#Headers],[Ca]:[Kết thúc]]),0)),0,
SUM(_xlfn._xlws.FILTER(Table_BangLuong_TyLeTangCa[Tỷ lệ],
(Table_BangLuong_TyLeTangCa[Ngày] = "Thường") *
(Table_BangLuong_TyLeTangCa[Giờ min]&lt;=$AA46) *
(Table_BangLuong_TyLeTangCa[Giờ max]&gt;$AA46)
)))),
IF(AN$4 &gt; AN$5,
IF(
AND(
$AA46-$Z$4&lt;MAX(AN$4,VLOOKUP(AN$6, Table_ChiPhiNV_Ca[], COUNTA(Table_ChiPhiNV_Ca[[#Headers],[Ca]:[Bắt đầu]]),0)),
$AA46&gt;MIN(AN$5,VLOOKUP(AN$6, Table_ChiPhiNV_Ca[], COUNTA(Table_ChiPhiNV_Ca[[#Headers],[Ca]:[Kết thúc]]),0))),0,
SUM(_xlfn._xlws.FILTER(Table_BangLuong_TyLeTangCa[Tỷ lệ],
(Table_BangLuong_TyLeTangCa[Ngày] = "Thường") *
(Table_BangLuong_TyLeTangCa[Giờ min]&lt;=$AA46) *
(Table_BangLuong_TyLeTangCa[Giờ max]&gt;$AA46)
))),
IF(
AND(
$AA46-$Z$4&gt;=MAX(AN$4,VLOOKUP(AN$6, Table_ChiPhiNV_Ca[], COUNTA(Table_ChiPhiNV_Ca[[#Headers],[Ca]:[Bắt đầu]]),0)),
$AA46&lt;MIN(AN$5,VLOOKUP(AN$6, Table_ChiPhiNV_Ca[], COUNTA(Table_ChiPhiNV_Ca[[#Headers],[Ca]:[Kết thúc]]),0))),
SUM(_xlfn._xlws.FILTER(Table_BangLuong_TyLeTangCa[Tỷ lệ],
(Table_BangLuong_TyLeTangCa[Ngày] = "Thường") *
(Table_BangLuong_TyLeTangCa[Giờ min]&lt;=$AA46) *
(Table_BangLuong_TyLeTangCa[Giờ max]&gt;$AA46)
)),0)
)),
IF(AN$4 &lt; AN$5,
IF($AA46-$Z$4&lt;AN$4,0,
IF($AA46&gt;AN$5,0,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AN$5,$AA46 &lt; AN$4),0,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O46" s="18" cm="1">
        <f t="array" ref="AO46" xml:space="preserve">
IFERROR(
IF(AO$1="",0,
IF(AND(
$AA46&gt;=VLOOKUP(AO$6, Table_ChiPhiNV_Ca[], COUNTA(Table_ChiPhiNV_Ca[[#Headers],[Ca]:[Bắt đầu nghỉ]]),0),
$AA46&lt;VLOOKUP(AO$6, Table_ChiPhiNV_Ca[], COUNTA(Table_ChiPhiNV_Ca[[#Headers],[Ca]:[Kết thúc nghỉ]]),0)
),0,
IF(NOT(ISBLANK(AO$3)),
IF(ISBLANK(AO$7),0,
IF(AO$4 &lt; AO$5,
IF($AA46-$Z$4&lt;AO$4,0,
IF($AA46&gt;AO$5,0,
SUM(_xlfn._xlws.FILTER(Table_BangLuong_TyLeTangCa[Tỷ lệ],
(Table_BangLuong_TyLeTangCa[Ngày] = AO$3) *
(Table_BangLuong_TyLeTangCa[Giờ min]&lt;=$AA46) *
(Table_BangLuong_TyLeTangCa[Giờ max]&gt;$AA46)
)))),
IF(AND($AA46-$Z$4 &gt;= AO$5,$AA46 &lt; AO$4),0,
SUM(_xlfn._xlws.FILTER(Table_BangLuong_TyLeTangCa[Tỷ lệ],
(Table_BangLuong_TyLeTangCa[Ngày] = AO$3) *
(Table_BangLuong_TyLeTangCa[Giờ min]&lt;=$AA46) *
(Table_BangLuong_TyLeTangCa[Giờ max]&gt;$AA46)
))))
),
IF(ISBLANK(AO$7),
IF(VLOOKUP(AO$6, Table_ChiPhiNV_Ca[], COUNTA(Table_ChiPhiNV_Ca[[#Headers],[Ca]:[Kết thúc]]),0)&gt; VLOOKUP(AO$6, Table_ChiPhiNV_Ca[], COUNTA(Table_ChiPhiNV_Ca[[#Headers],[Ca]:[Bắt đầu]]),0),
IF($AA46-$Z$4&lt;MAX(AO$4,VLOOKUP(AO$6, Table_ChiPhiNV_Ca[], COUNTA(Table_ChiPhiNV_Ca[[#Headers],[Ca]:[Bắt đầu]]),0)),0,
IF($AA46&gt;MIN(AO$5,VLOOKUP(AO$6, Table_ChiPhiNV_Ca[], COUNTA(Table_ChiPhiNV_Ca[[#Headers],[Ca]:[Kết thúc]]),0)),0,
SUM(_xlfn._xlws.FILTER(Table_BangLuong_TyLeTangCa[Tỷ lệ],
(Table_BangLuong_TyLeTangCa[Ngày] = "Thường") *
(Table_BangLuong_TyLeTangCa[Giờ min]&lt;=$AA46) *
(Table_BangLuong_TyLeTangCa[Giờ max]&gt;$AA46)
)))),
IF(AO$4 &gt; AO$5,
IF(
AND(
$AA46-$Z$4&lt;MAX(AO$4,VLOOKUP(AO$6, Table_ChiPhiNV_Ca[], COUNTA(Table_ChiPhiNV_Ca[[#Headers],[Ca]:[Bắt đầu]]),0)),
$AA46&gt;MIN(AO$5,VLOOKUP(AO$6, Table_ChiPhiNV_Ca[], COUNTA(Table_ChiPhiNV_Ca[[#Headers],[Ca]:[Kết thúc]]),0))),0,
SUM(_xlfn._xlws.FILTER(Table_BangLuong_TyLeTangCa[Tỷ lệ],
(Table_BangLuong_TyLeTangCa[Ngày] = "Thường") *
(Table_BangLuong_TyLeTangCa[Giờ min]&lt;=$AA46) *
(Table_BangLuong_TyLeTangCa[Giờ max]&gt;$AA46)
))),
IF(
AND(
$AA46-$Z$4&gt;=MAX(AO$4,VLOOKUP(AO$6, Table_ChiPhiNV_Ca[], COUNTA(Table_ChiPhiNV_Ca[[#Headers],[Ca]:[Bắt đầu]]),0)),
$AA46&lt;MIN(AO$5,VLOOKUP(AO$6, Table_ChiPhiNV_Ca[], COUNTA(Table_ChiPhiNV_Ca[[#Headers],[Ca]:[Kết thúc]]),0))),
SUM(_xlfn._xlws.FILTER(Table_BangLuong_TyLeTangCa[Tỷ lệ],
(Table_BangLuong_TyLeTangCa[Ngày] = "Thường") *
(Table_BangLuong_TyLeTangCa[Giờ min]&lt;=$AA46) *
(Table_BangLuong_TyLeTangCa[Giờ max]&gt;$AA46)
)),0)
)),
IF(AO$4 &lt; AO$5,
IF($AA46-$Z$4&lt;AO$4,0,
IF($AA46&gt;AO$5,0,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AO$5,$AA46 &lt; AO$4),0,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P46" s="18" cm="1">
        <f t="array" ref="AP46" xml:space="preserve">
IFERROR(
IF(AP$1="",0,
IF(AND(
$AA46&gt;=VLOOKUP(AP$6, Table_ChiPhiNV_Ca[], COUNTA(Table_ChiPhiNV_Ca[[#Headers],[Ca]:[Bắt đầu nghỉ]]),0),
$AA46&lt;VLOOKUP(AP$6, Table_ChiPhiNV_Ca[], COUNTA(Table_ChiPhiNV_Ca[[#Headers],[Ca]:[Kết thúc nghỉ]]),0)
),0,
IF(NOT(ISBLANK(AP$3)),
IF(ISBLANK(AP$7),0,
IF(AP$4 &lt; AP$5,
IF($AA46-$Z$4&lt;AP$4,0,
IF($AA46&gt;AP$5,0,
SUM(_xlfn._xlws.FILTER(Table_BangLuong_TyLeTangCa[Tỷ lệ],
(Table_BangLuong_TyLeTangCa[Ngày] = AP$3) *
(Table_BangLuong_TyLeTangCa[Giờ min]&lt;=$AA46) *
(Table_BangLuong_TyLeTangCa[Giờ max]&gt;$AA46)
)))),
IF(AND($AA46-$Z$4 &gt;= AP$5,$AA46 &lt; AP$4),0,
SUM(_xlfn._xlws.FILTER(Table_BangLuong_TyLeTangCa[Tỷ lệ],
(Table_BangLuong_TyLeTangCa[Ngày] = AP$3) *
(Table_BangLuong_TyLeTangCa[Giờ min]&lt;=$AA46) *
(Table_BangLuong_TyLeTangCa[Giờ max]&gt;$AA46)
))))
),
IF(ISBLANK(AP$7),
IF(VLOOKUP(AP$6, Table_ChiPhiNV_Ca[], COUNTA(Table_ChiPhiNV_Ca[[#Headers],[Ca]:[Kết thúc]]),0)&gt; VLOOKUP(AP$6, Table_ChiPhiNV_Ca[], COUNTA(Table_ChiPhiNV_Ca[[#Headers],[Ca]:[Bắt đầu]]),0),
IF($AA46-$Z$4&lt;MAX(AP$4,VLOOKUP(AP$6, Table_ChiPhiNV_Ca[], COUNTA(Table_ChiPhiNV_Ca[[#Headers],[Ca]:[Bắt đầu]]),0)),0,
IF($AA46&gt;MIN(AP$5,VLOOKUP(AP$6, Table_ChiPhiNV_Ca[], COUNTA(Table_ChiPhiNV_Ca[[#Headers],[Ca]:[Kết thúc]]),0)),0,
SUM(_xlfn._xlws.FILTER(Table_BangLuong_TyLeTangCa[Tỷ lệ],
(Table_BangLuong_TyLeTangCa[Ngày] = "Thường") *
(Table_BangLuong_TyLeTangCa[Giờ min]&lt;=$AA46) *
(Table_BangLuong_TyLeTangCa[Giờ max]&gt;$AA46)
)))),
IF(AP$4 &gt; AP$5,
IF(
AND(
$AA46-$Z$4&lt;MAX(AP$4,VLOOKUP(AP$6, Table_ChiPhiNV_Ca[], COUNTA(Table_ChiPhiNV_Ca[[#Headers],[Ca]:[Bắt đầu]]),0)),
$AA46&gt;MIN(AP$5,VLOOKUP(AP$6, Table_ChiPhiNV_Ca[], COUNTA(Table_ChiPhiNV_Ca[[#Headers],[Ca]:[Kết thúc]]),0))),0,
SUM(_xlfn._xlws.FILTER(Table_BangLuong_TyLeTangCa[Tỷ lệ],
(Table_BangLuong_TyLeTangCa[Ngày] = "Thường") *
(Table_BangLuong_TyLeTangCa[Giờ min]&lt;=$AA46) *
(Table_BangLuong_TyLeTangCa[Giờ max]&gt;$AA46)
))),
IF(
AND(
$AA46-$Z$4&gt;=MAX(AP$4,VLOOKUP(AP$6, Table_ChiPhiNV_Ca[], COUNTA(Table_ChiPhiNV_Ca[[#Headers],[Ca]:[Bắt đầu]]),0)),
$AA46&lt;MIN(AP$5,VLOOKUP(AP$6, Table_ChiPhiNV_Ca[], COUNTA(Table_ChiPhiNV_Ca[[#Headers],[Ca]:[Kết thúc]]),0))),
SUM(_xlfn._xlws.FILTER(Table_BangLuong_TyLeTangCa[Tỷ lệ],
(Table_BangLuong_TyLeTangCa[Ngày] = "Thường") *
(Table_BangLuong_TyLeTangCa[Giờ min]&lt;=$AA46) *
(Table_BangLuong_TyLeTangCa[Giờ max]&gt;$AA46)
)),0)
)),
IF(AP$4 &lt; AP$5,
IF($AA46-$Z$4&lt;AP$4,0,
IF($AA46&gt;AP$5,0,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AP$5,$AA46 &lt; AP$4),0,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Q46" s="18" cm="1">
        <f t="array" ref="AQ46" xml:space="preserve">
IFERROR(
IF(AQ$1="",0,
IF(AND(
$AA46&gt;=VLOOKUP(AQ$6, Table_ChiPhiNV_Ca[], COUNTA(Table_ChiPhiNV_Ca[[#Headers],[Ca]:[Bắt đầu nghỉ]]),0),
$AA46&lt;VLOOKUP(AQ$6, Table_ChiPhiNV_Ca[], COUNTA(Table_ChiPhiNV_Ca[[#Headers],[Ca]:[Kết thúc nghỉ]]),0)
),0,
IF(NOT(ISBLANK(AQ$3)),
IF(ISBLANK(AQ$7),0,
IF(AQ$4 &lt; AQ$5,
IF($AA46-$Z$4&lt;AQ$4,0,
IF($AA46&gt;AQ$5,0,
SUM(_xlfn._xlws.FILTER(Table_BangLuong_TyLeTangCa[Tỷ lệ],
(Table_BangLuong_TyLeTangCa[Ngày] = AQ$3) *
(Table_BangLuong_TyLeTangCa[Giờ min]&lt;=$AA46) *
(Table_BangLuong_TyLeTangCa[Giờ max]&gt;$AA46)
)))),
IF(AND($AA46-$Z$4 &gt;= AQ$5,$AA46 &lt; AQ$4),0,
SUM(_xlfn._xlws.FILTER(Table_BangLuong_TyLeTangCa[Tỷ lệ],
(Table_BangLuong_TyLeTangCa[Ngày] = AQ$3) *
(Table_BangLuong_TyLeTangCa[Giờ min]&lt;=$AA46) *
(Table_BangLuong_TyLeTangCa[Giờ max]&gt;$AA46)
))))
),
IF(ISBLANK(AQ$7),
IF(VLOOKUP(AQ$6, Table_ChiPhiNV_Ca[], COUNTA(Table_ChiPhiNV_Ca[[#Headers],[Ca]:[Kết thúc]]),0)&gt; VLOOKUP(AQ$6, Table_ChiPhiNV_Ca[], COUNTA(Table_ChiPhiNV_Ca[[#Headers],[Ca]:[Bắt đầu]]),0),
IF($AA46-$Z$4&lt;MAX(AQ$4,VLOOKUP(AQ$6, Table_ChiPhiNV_Ca[], COUNTA(Table_ChiPhiNV_Ca[[#Headers],[Ca]:[Bắt đầu]]),0)),0,
IF($AA46&gt;MIN(AQ$5,VLOOKUP(AQ$6, Table_ChiPhiNV_Ca[], COUNTA(Table_ChiPhiNV_Ca[[#Headers],[Ca]:[Kết thúc]]),0)),0,
SUM(_xlfn._xlws.FILTER(Table_BangLuong_TyLeTangCa[Tỷ lệ],
(Table_BangLuong_TyLeTangCa[Ngày] = "Thường") *
(Table_BangLuong_TyLeTangCa[Giờ min]&lt;=$AA46) *
(Table_BangLuong_TyLeTangCa[Giờ max]&gt;$AA46)
)))),
IF(AQ$4 &gt; AQ$5,
IF(
AND(
$AA46-$Z$4&lt;MAX(AQ$4,VLOOKUP(AQ$6, Table_ChiPhiNV_Ca[], COUNTA(Table_ChiPhiNV_Ca[[#Headers],[Ca]:[Bắt đầu]]),0)),
$AA46&gt;MIN(AQ$5,VLOOKUP(AQ$6, Table_ChiPhiNV_Ca[], COUNTA(Table_ChiPhiNV_Ca[[#Headers],[Ca]:[Kết thúc]]),0))),0,
SUM(_xlfn._xlws.FILTER(Table_BangLuong_TyLeTangCa[Tỷ lệ],
(Table_BangLuong_TyLeTangCa[Ngày] = "Thường") *
(Table_BangLuong_TyLeTangCa[Giờ min]&lt;=$AA46) *
(Table_BangLuong_TyLeTangCa[Giờ max]&gt;$AA46)
))),
IF(
AND(
$AA46-$Z$4&gt;=MAX(AQ$4,VLOOKUP(AQ$6, Table_ChiPhiNV_Ca[], COUNTA(Table_ChiPhiNV_Ca[[#Headers],[Ca]:[Bắt đầu]]),0)),
$AA46&lt;MIN(AQ$5,VLOOKUP(AQ$6, Table_ChiPhiNV_Ca[], COUNTA(Table_ChiPhiNV_Ca[[#Headers],[Ca]:[Kết thúc]]),0))),
SUM(_xlfn._xlws.FILTER(Table_BangLuong_TyLeTangCa[Tỷ lệ],
(Table_BangLuong_TyLeTangCa[Ngày] = "Thường") *
(Table_BangLuong_TyLeTangCa[Giờ min]&lt;=$AA46) *
(Table_BangLuong_TyLeTangCa[Giờ max]&gt;$AA46)
)),0)
)),
IF(AQ$4 &lt; AQ$5,
IF($AA46-$Z$4&lt;AQ$4,0,
IF($AA46&gt;AQ$5,0,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AQ$5,$AA46 &lt; AQ$4),0,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R46" s="18" cm="1">
        <f t="array" ref="AR46" xml:space="preserve">
IFERROR(
IF(AR$1="",0,
IF(AND(
$AA46&gt;=VLOOKUP(AR$6, Table_ChiPhiNV_Ca[], COUNTA(Table_ChiPhiNV_Ca[[#Headers],[Ca]:[Bắt đầu nghỉ]]),0),
$AA46&lt;VLOOKUP(AR$6, Table_ChiPhiNV_Ca[], COUNTA(Table_ChiPhiNV_Ca[[#Headers],[Ca]:[Kết thúc nghỉ]]),0)
),0,
IF(NOT(ISBLANK(AR$3)),
IF(ISBLANK(AR$7),0,
IF(AR$4 &lt; AR$5,
IF($AA46-$Z$4&lt;AR$4,0,
IF($AA46&gt;AR$5,0,
SUM(_xlfn._xlws.FILTER(Table_BangLuong_TyLeTangCa[Tỷ lệ],
(Table_BangLuong_TyLeTangCa[Ngày] = AR$3) *
(Table_BangLuong_TyLeTangCa[Giờ min]&lt;=$AA46) *
(Table_BangLuong_TyLeTangCa[Giờ max]&gt;$AA46)
)))),
IF(AND($AA46-$Z$4 &gt;= AR$5,$AA46 &lt; AR$4),0,
SUM(_xlfn._xlws.FILTER(Table_BangLuong_TyLeTangCa[Tỷ lệ],
(Table_BangLuong_TyLeTangCa[Ngày] = AR$3) *
(Table_BangLuong_TyLeTangCa[Giờ min]&lt;=$AA46) *
(Table_BangLuong_TyLeTangCa[Giờ max]&gt;$AA46)
))))
),
IF(ISBLANK(AR$7),
IF(VLOOKUP(AR$6, Table_ChiPhiNV_Ca[], COUNTA(Table_ChiPhiNV_Ca[[#Headers],[Ca]:[Kết thúc]]),0)&gt; VLOOKUP(AR$6, Table_ChiPhiNV_Ca[], COUNTA(Table_ChiPhiNV_Ca[[#Headers],[Ca]:[Bắt đầu]]),0),
IF($AA46-$Z$4&lt;MAX(AR$4,VLOOKUP(AR$6, Table_ChiPhiNV_Ca[], COUNTA(Table_ChiPhiNV_Ca[[#Headers],[Ca]:[Bắt đầu]]),0)),0,
IF($AA46&gt;MIN(AR$5,VLOOKUP(AR$6, Table_ChiPhiNV_Ca[], COUNTA(Table_ChiPhiNV_Ca[[#Headers],[Ca]:[Kết thúc]]),0)),0,
SUM(_xlfn._xlws.FILTER(Table_BangLuong_TyLeTangCa[Tỷ lệ],
(Table_BangLuong_TyLeTangCa[Ngày] = "Thường") *
(Table_BangLuong_TyLeTangCa[Giờ min]&lt;=$AA46) *
(Table_BangLuong_TyLeTangCa[Giờ max]&gt;$AA46)
)))),
IF(AR$4 &gt; AR$5,
IF(
AND(
$AA46-$Z$4&lt;MAX(AR$4,VLOOKUP(AR$6, Table_ChiPhiNV_Ca[], COUNTA(Table_ChiPhiNV_Ca[[#Headers],[Ca]:[Bắt đầu]]),0)),
$AA46&gt;MIN(AR$5,VLOOKUP(AR$6, Table_ChiPhiNV_Ca[], COUNTA(Table_ChiPhiNV_Ca[[#Headers],[Ca]:[Kết thúc]]),0))),0,
SUM(_xlfn._xlws.FILTER(Table_BangLuong_TyLeTangCa[Tỷ lệ],
(Table_BangLuong_TyLeTangCa[Ngày] = "Thường") *
(Table_BangLuong_TyLeTangCa[Giờ min]&lt;=$AA46) *
(Table_BangLuong_TyLeTangCa[Giờ max]&gt;$AA46)
))),
IF(
AND(
$AA46-$Z$4&gt;=MAX(AR$4,VLOOKUP(AR$6, Table_ChiPhiNV_Ca[], COUNTA(Table_ChiPhiNV_Ca[[#Headers],[Ca]:[Bắt đầu]]),0)),
$AA46&lt;MIN(AR$5,VLOOKUP(AR$6, Table_ChiPhiNV_Ca[], COUNTA(Table_ChiPhiNV_Ca[[#Headers],[Ca]:[Kết thúc]]),0))),
SUM(_xlfn._xlws.FILTER(Table_BangLuong_TyLeTangCa[Tỷ lệ],
(Table_BangLuong_TyLeTangCa[Ngày] = "Thường") *
(Table_BangLuong_TyLeTangCa[Giờ min]&lt;=$AA46) *
(Table_BangLuong_TyLeTangCa[Giờ max]&gt;$AA46)
)),0)
)),
IF(AR$4 &lt; AR$5,
IF($AA46-$Z$4&lt;AR$4,0,
IF($AA46&gt;AR$5,0,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AR$5,$AA46 &lt; AR$4),0,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S46" s="18" cm="1">
        <f t="array" ref="AS46" xml:space="preserve">
IFERROR(
IF(AS$1="",0,
IF(AND(
$AA46&gt;=VLOOKUP(AS$6, Table_ChiPhiNV_Ca[], COUNTA(Table_ChiPhiNV_Ca[[#Headers],[Ca]:[Bắt đầu nghỉ]]),0),
$AA46&lt;VLOOKUP(AS$6, Table_ChiPhiNV_Ca[], COUNTA(Table_ChiPhiNV_Ca[[#Headers],[Ca]:[Kết thúc nghỉ]]),0)
),0,
IF(NOT(ISBLANK(AS$3)),
IF(ISBLANK(AS$7),0,
IF(AS$4 &lt; AS$5,
IF($AA46-$Z$4&lt;AS$4,0,
IF($AA46&gt;AS$5,0,
SUM(_xlfn._xlws.FILTER(Table_BangLuong_TyLeTangCa[Tỷ lệ],
(Table_BangLuong_TyLeTangCa[Ngày] = AS$3) *
(Table_BangLuong_TyLeTangCa[Giờ min]&lt;=$AA46) *
(Table_BangLuong_TyLeTangCa[Giờ max]&gt;$AA46)
)))),
IF(AND($AA46-$Z$4 &gt;= AS$5,$AA46 &lt; AS$4),0,
SUM(_xlfn._xlws.FILTER(Table_BangLuong_TyLeTangCa[Tỷ lệ],
(Table_BangLuong_TyLeTangCa[Ngày] = AS$3) *
(Table_BangLuong_TyLeTangCa[Giờ min]&lt;=$AA46) *
(Table_BangLuong_TyLeTangCa[Giờ max]&gt;$AA46)
))))
),
IF(ISBLANK(AS$7),
IF(VLOOKUP(AS$6, Table_ChiPhiNV_Ca[], COUNTA(Table_ChiPhiNV_Ca[[#Headers],[Ca]:[Kết thúc]]),0)&gt; VLOOKUP(AS$6, Table_ChiPhiNV_Ca[], COUNTA(Table_ChiPhiNV_Ca[[#Headers],[Ca]:[Bắt đầu]]),0),
IF($AA46-$Z$4&lt;MAX(AS$4,VLOOKUP(AS$6, Table_ChiPhiNV_Ca[], COUNTA(Table_ChiPhiNV_Ca[[#Headers],[Ca]:[Bắt đầu]]),0)),0,
IF($AA46&gt;MIN(AS$5,VLOOKUP(AS$6, Table_ChiPhiNV_Ca[], COUNTA(Table_ChiPhiNV_Ca[[#Headers],[Ca]:[Kết thúc]]),0)),0,
SUM(_xlfn._xlws.FILTER(Table_BangLuong_TyLeTangCa[Tỷ lệ],
(Table_BangLuong_TyLeTangCa[Ngày] = "Thường") *
(Table_BangLuong_TyLeTangCa[Giờ min]&lt;=$AA46) *
(Table_BangLuong_TyLeTangCa[Giờ max]&gt;$AA46)
)))),
IF(AS$4 &gt; AS$5,
IF(
AND(
$AA46-$Z$4&lt;MAX(AS$4,VLOOKUP(AS$6, Table_ChiPhiNV_Ca[], COUNTA(Table_ChiPhiNV_Ca[[#Headers],[Ca]:[Bắt đầu]]),0)),
$AA46&gt;MIN(AS$5,VLOOKUP(AS$6, Table_ChiPhiNV_Ca[], COUNTA(Table_ChiPhiNV_Ca[[#Headers],[Ca]:[Kết thúc]]),0))),0,
SUM(_xlfn._xlws.FILTER(Table_BangLuong_TyLeTangCa[Tỷ lệ],
(Table_BangLuong_TyLeTangCa[Ngày] = "Thường") *
(Table_BangLuong_TyLeTangCa[Giờ min]&lt;=$AA46) *
(Table_BangLuong_TyLeTangCa[Giờ max]&gt;$AA46)
))),
IF(
AND(
$AA46-$Z$4&gt;=MAX(AS$4,VLOOKUP(AS$6, Table_ChiPhiNV_Ca[], COUNTA(Table_ChiPhiNV_Ca[[#Headers],[Ca]:[Bắt đầu]]),0)),
$AA46&lt;MIN(AS$5,VLOOKUP(AS$6, Table_ChiPhiNV_Ca[], COUNTA(Table_ChiPhiNV_Ca[[#Headers],[Ca]:[Kết thúc]]),0))),
SUM(_xlfn._xlws.FILTER(Table_BangLuong_TyLeTangCa[Tỷ lệ],
(Table_BangLuong_TyLeTangCa[Ngày] = "Thường") *
(Table_BangLuong_TyLeTangCa[Giờ min]&lt;=$AA46) *
(Table_BangLuong_TyLeTangCa[Giờ max]&gt;$AA46)
)),0)
)),
IF(AS$4 &lt; AS$5,
IF($AA46-$Z$4&lt;AS$4,0,
IF($AA46&gt;AS$5,0,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AS$5,$AA46 &lt; AS$4),0,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T46" s="18" cm="1">
        <f t="array" ref="AT46" xml:space="preserve">
IFERROR(
IF(AT$1="",0,
IF(AND(
$AA46&gt;=VLOOKUP(AT$6, Table_ChiPhiNV_Ca[], COUNTA(Table_ChiPhiNV_Ca[[#Headers],[Ca]:[Bắt đầu nghỉ]]),0),
$AA46&lt;VLOOKUP(AT$6, Table_ChiPhiNV_Ca[], COUNTA(Table_ChiPhiNV_Ca[[#Headers],[Ca]:[Kết thúc nghỉ]]),0)
),0,
IF(NOT(ISBLANK(AT$3)),
IF(ISBLANK(AT$7),0,
IF(AT$4 &lt; AT$5,
IF($AA46-$Z$4&lt;AT$4,0,
IF($AA46&gt;AT$5,0,
SUM(_xlfn._xlws.FILTER(Table_BangLuong_TyLeTangCa[Tỷ lệ],
(Table_BangLuong_TyLeTangCa[Ngày] = AT$3) *
(Table_BangLuong_TyLeTangCa[Giờ min]&lt;=$AA46) *
(Table_BangLuong_TyLeTangCa[Giờ max]&gt;$AA46)
)))),
IF(AND($AA46-$Z$4 &gt;= AT$5,$AA46 &lt; AT$4),0,
SUM(_xlfn._xlws.FILTER(Table_BangLuong_TyLeTangCa[Tỷ lệ],
(Table_BangLuong_TyLeTangCa[Ngày] = AT$3) *
(Table_BangLuong_TyLeTangCa[Giờ min]&lt;=$AA46) *
(Table_BangLuong_TyLeTangCa[Giờ max]&gt;$AA46)
))))
),
IF(ISBLANK(AT$7),
IF(VLOOKUP(AT$6, Table_ChiPhiNV_Ca[], COUNTA(Table_ChiPhiNV_Ca[[#Headers],[Ca]:[Kết thúc]]),0)&gt; VLOOKUP(AT$6, Table_ChiPhiNV_Ca[], COUNTA(Table_ChiPhiNV_Ca[[#Headers],[Ca]:[Bắt đầu]]),0),
IF($AA46-$Z$4&lt;MAX(AT$4,VLOOKUP(AT$6, Table_ChiPhiNV_Ca[], COUNTA(Table_ChiPhiNV_Ca[[#Headers],[Ca]:[Bắt đầu]]),0)),0,
IF($AA46&gt;MIN(AT$5,VLOOKUP(AT$6, Table_ChiPhiNV_Ca[], COUNTA(Table_ChiPhiNV_Ca[[#Headers],[Ca]:[Kết thúc]]),0)),0,
SUM(_xlfn._xlws.FILTER(Table_BangLuong_TyLeTangCa[Tỷ lệ],
(Table_BangLuong_TyLeTangCa[Ngày] = "Thường") *
(Table_BangLuong_TyLeTangCa[Giờ min]&lt;=$AA46) *
(Table_BangLuong_TyLeTangCa[Giờ max]&gt;$AA46)
)))),
IF(AT$4 &gt; AT$5,
IF(
AND(
$AA46-$Z$4&lt;MAX(AT$4,VLOOKUP(AT$6, Table_ChiPhiNV_Ca[], COUNTA(Table_ChiPhiNV_Ca[[#Headers],[Ca]:[Bắt đầu]]),0)),
$AA46&gt;MIN(AT$5,VLOOKUP(AT$6, Table_ChiPhiNV_Ca[], COUNTA(Table_ChiPhiNV_Ca[[#Headers],[Ca]:[Kết thúc]]),0))),0,
SUM(_xlfn._xlws.FILTER(Table_BangLuong_TyLeTangCa[Tỷ lệ],
(Table_BangLuong_TyLeTangCa[Ngày] = "Thường") *
(Table_BangLuong_TyLeTangCa[Giờ min]&lt;=$AA46) *
(Table_BangLuong_TyLeTangCa[Giờ max]&gt;$AA46)
))),
IF(
AND(
$AA46-$Z$4&gt;=MAX(AT$4,VLOOKUP(AT$6, Table_ChiPhiNV_Ca[], COUNTA(Table_ChiPhiNV_Ca[[#Headers],[Ca]:[Bắt đầu]]),0)),
$AA46&lt;MIN(AT$5,VLOOKUP(AT$6, Table_ChiPhiNV_Ca[], COUNTA(Table_ChiPhiNV_Ca[[#Headers],[Ca]:[Kết thúc]]),0))),
SUM(_xlfn._xlws.FILTER(Table_BangLuong_TyLeTangCa[Tỷ lệ],
(Table_BangLuong_TyLeTangCa[Ngày] = "Thường") *
(Table_BangLuong_TyLeTangCa[Giờ min]&lt;=$AA46) *
(Table_BangLuong_TyLeTangCa[Giờ max]&gt;$AA46)
)),0)
)),
IF(AT$4 &lt; AT$5,
IF($AA46-$Z$4&lt;AT$4,0,
IF($AA46&gt;AT$5,0,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AT$5,$AA46 &lt; AT$4),0,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U46" s="18" cm="1">
        <f t="array" ref="AU46" xml:space="preserve">
IFERROR(
IF(AU$1="",0,
IF(AND(
$AA46&gt;=VLOOKUP(AU$6, Table_ChiPhiNV_Ca[], COUNTA(Table_ChiPhiNV_Ca[[#Headers],[Ca]:[Bắt đầu nghỉ]]),0),
$AA46&lt;VLOOKUP(AU$6, Table_ChiPhiNV_Ca[], COUNTA(Table_ChiPhiNV_Ca[[#Headers],[Ca]:[Kết thúc nghỉ]]),0)
),0,
IF(NOT(ISBLANK(AU$3)),
IF(ISBLANK(AU$7),0,
IF(AU$4 &lt; AU$5,
IF($AA46-$Z$4&lt;AU$4,0,
IF($AA46&gt;AU$5,0,
SUM(_xlfn._xlws.FILTER(Table_BangLuong_TyLeTangCa[Tỷ lệ],
(Table_BangLuong_TyLeTangCa[Ngày] = AU$3) *
(Table_BangLuong_TyLeTangCa[Giờ min]&lt;=$AA46) *
(Table_BangLuong_TyLeTangCa[Giờ max]&gt;$AA46)
)))),
IF(AND($AA46-$Z$4 &gt;= AU$5,$AA46 &lt; AU$4),0,
SUM(_xlfn._xlws.FILTER(Table_BangLuong_TyLeTangCa[Tỷ lệ],
(Table_BangLuong_TyLeTangCa[Ngày] = AU$3) *
(Table_BangLuong_TyLeTangCa[Giờ min]&lt;=$AA46) *
(Table_BangLuong_TyLeTangCa[Giờ max]&gt;$AA46)
))))
),
IF(ISBLANK(AU$7),
IF(VLOOKUP(AU$6, Table_ChiPhiNV_Ca[], COUNTA(Table_ChiPhiNV_Ca[[#Headers],[Ca]:[Kết thúc]]),0)&gt; VLOOKUP(AU$6, Table_ChiPhiNV_Ca[], COUNTA(Table_ChiPhiNV_Ca[[#Headers],[Ca]:[Bắt đầu]]),0),
IF($AA46-$Z$4&lt;MAX(AU$4,VLOOKUP(AU$6, Table_ChiPhiNV_Ca[], COUNTA(Table_ChiPhiNV_Ca[[#Headers],[Ca]:[Bắt đầu]]),0)),0,
IF($AA46&gt;MIN(AU$5,VLOOKUP(AU$6, Table_ChiPhiNV_Ca[], COUNTA(Table_ChiPhiNV_Ca[[#Headers],[Ca]:[Kết thúc]]),0)),0,
SUM(_xlfn._xlws.FILTER(Table_BangLuong_TyLeTangCa[Tỷ lệ],
(Table_BangLuong_TyLeTangCa[Ngày] = "Thường") *
(Table_BangLuong_TyLeTangCa[Giờ min]&lt;=$AA46) *
(Table_BangLuong_TyLeTangCa[Giờ max]&gt;$AA46)
)))),
IF(AU$4 &gt; AU$5,
IF(
AND(
$AA46-$Z$4&lt;MAX(AU$4,VLOOKUP(AU$6, Table_ChiPhiNV_Ca[], COUNTA(Table_ChiPhiNV_Ca[[#Headers],[Ca]:[Bắt đầu]]),0)),
$AA46&gt;MIN(AU$5,VLOOKUP(AU$6, Table_ChiPhiNV_Ca[], COUNTA(Table_ChiPhiNV_Ca[[#Headers],[Ca]:[Kết thúc]]),0))),0,
SUM(_xlfn._xlws.FILTER(Table_BangLuong_TyLeTangCa[Tỷ lệ],
(Table_BangLuong_TyLeTangCa[Ngày] = "Thường") *
(Table_BangLuong_TyLeTangCa[Giờ min]&lt;=$AA46) *
(Table_BangLuong_TyLeTangCa[Giờ max]&gt;$AA46)
))),
IF(
AND(
$AA46-$Z$4&gt;=MAX(AU$4,VLOOKUP(AU$6, Table_ChiPhiNV_Ca[], COUNTA(Table_ChiPhiNV_Ca[[#Headers],[Ca]:[Bắt đầu]]),0)),
$AA46&lt;MIN(AU$5,VLOOKUP(AU$6, Table_ChiPhiNV_Ca[], COUNTA(Table_ChiPhiNV_Ca[[#Headers],[Ca]:[Kết thúc]]),0))),
SUM(_xlfn._xlws.FILTER(Table_BangLuong_TyLeTangCa[Tỷ lệ],
(Table_BangLuong_TyLeTangCa[Ngày] = "Thường") *
(Table_BangLuong_TyLeTangCa[Giờ min]&lt;=$AA46) *
(Table_BangLuong_TyLeTangCa[Giờ max]&gt;$AA46)
)),0)
)),
IF(AU$4 &lt; AU$5,
IF($AA46-$Z$4&lt;AU$4,0,
IF($AA46&gt;AU$5,0,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AU$5,$AA46 &lt; AU$4),0,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V46" s="18" cm="1">
        <f t="array" ref="AV46" xml:space="preserve">
IFERROR(
IF(AV$1="",0,
IF(AND(
$AA46&gt;=VLOOKUP(AV$6, Table_ChiPhiNV_Ca[], COUNTA(Table_ChiPhiNV_Ca[[#Headers],[Ca]:[Bắt đầu nghỉ]]),0),
$AA46&lt;VLOOKUP(AV$6, Table_ChiPhiNV_Ca[], COUNTA(Table_ChiPhiNV_Ca[[#Headers],[Ca]:[Kết thúc nghỉ]]),0)
),0,
IF(NOT(ISBLANK(AV$3)),
IF(ISBLANK(AV$7),0,
IF(AV$4 &lt; AV$5,
IF($AA46-$Z$4&lt;AV$4,0,
IF($AA46&gt;AV$5,0,
SUM(_xlfn._xlws.FILTER(Table_BangLuong_TyLeTangCa[Tỷ lệ],
(Table_BangLuong_TyLeTangCa[Ngày] = AV$3) *
(Table_BangLuong_TyLeTangCa[Giờ min]&lt;=$AA46) *
(Table_BangLuong_TyLeTangCa[Giờ max]&gt;$AA46)
)))),
IF(AND($AA46-$Z$4 &gt;= AV$5,$AA46 &lt; AV$4),0,
SUM(_xlfn._xlws.FILTER(Table_BangLuong_TyLeTangCa[Tỷ lệ],
(Table_BangLuong_TyLeTangCa[Ngày] = AV$3) *
(Table_BangLuong_TyLeTangCa[Giờ min]&lt;=$AA46) *
(Table_BangLuong_TyLeTangCa[Giờ max]&gt;$AA46)
))))
),
IF(ISBLANK(AV$7),
IF(VLOOKUP(AV$6, Table_ChiPhiNV_Ca[], COUNTA(Table_ChiPhiNV_Ca[[#Headers],[Ca]:[Kết thúc]]),0)&gt; VLOOKUP(AV$6, Table_ChiPhiNV_Ca[], COUNTA(Table_ChiPhiNV_Ca[[#Headers],[Ca]:[Bắt đầu]]),0),
IF($AA46-$Z$4&lt;MAX(AV$4,VLOOKUP(AV$6, Table_ChiPhiNV_Ca[], COUNTA(Table_ChiPhiNV_Ca[[#Headers],[Ca]:[Bắt đầu]]),0)),0,
IF($AA46&gt;MIN(AV$5,VLOOKUP(AV$6, Table_ChiPhiNV_Ca[], COUNTA(Table_ChiPhiNV_Ca[[#Headers],[Ca]:[Kết thúc]]),0)),0,
SUM(_xlfn._xlws.FILTER(Table_BangLuong_TyLeTangCa[Tỷ lệ],
(Table_BangLuong_TyLeTangCa[Ngày] = "Thường") *
(Table_BangLuong_TyLeTangCa[Giờ min]&lt;=$AA46) *
(Table_BangLuong_TyLeTangCa[Giờ max]&gt;$AA46)
)))),
IF(AV$4 &gt; AV$5,
IF(
AND(
$AA46-$Z$4&lt;MAX(AV$4,VLOOKUP(AV$6, Table_ChiPhiNV_Ca[], COUNTA(Table_ChiPhiNV_Ca[[#Headers],[Ca]:[Bắt đầu]]),0)),
$AA46&gt;MIN(AV$5,VLOOKUP(AV$6, Table_ChiPhiNV_Ca[], COUNTA(Table_ChiPhiNV_Ca[[#Headers],[Ca]:[Kết thúc]]),0))),0,
SUM(_xlfn._xlws.FILTER(Table_BangLuong_TyLeTangCa[Tỷ lệ],
(Table_BangLuong_TyLeTangCa[Ngày] = "Thường") *
(Table_BangLuong_TyLeTangCa[Giờ min]&lt;=$AA46) *
(Table_BangLuong_TyLeTangCa[Giờ max]&gt;$AA46)
))),
IF(
AND(
$AA46-$Z$4&gt;=MAX(AV$4,VLOOKUP(AV$6, Table_ChiPhiNV_Ca[], COUNTA(Table_ChiPhiNV_Ca[[#Headers],[Ca]:[Bắt đầu]]),0)),
$AA46&lt;MIN(AV$5,VLOOKUP(AV$6, Table_ChiPhiNV_Ca[], COUNTA(Table_ChiPhiNV_Ca[[#Headers],[Ca]:[Kết thúc]]),0))),
SUM(_xlfn._xlws.FILTER(Table_BangLuong_TyLeTangCa[Tỷ lệ],
(Table_BangLuong_TyLeTangCa[Ngày] = "Thường") *
(Table_BangLuong_TyLeTangCa[Giờ min]&lt;=$AA46) *
(Table_BangLuong_TyLeTangCa[Giờ max]&gt;$AA46)
)),0)
)),
IF(AV$4 &lt; AV$5,
IF($AA46-$Z$4&lt;AV$4,0,
IF($AA46&gt;AV$5,0,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AV$5,$AA46 &lt; AV$4),0,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W46" s="18" cm="1">
        <f t="array" ref="AW46" xml:space="preserve">
IFERROR(
IF(AW$1="",0,
IF(AND(
$AA46&gt;=VLOOKUP(AW$6, Table_ChiPhiNV_Ca[], COUNTA(Table_ChiPhiNV_Ca[[#Headers],[Ca]:[Bắt đầu nghỉ]]),0),
$AA46&lt;VLOOKUP(AW$6, Table_ChiPhiNV_Ca[], COUNTA(Table_ChiPhiNV_Ca[[#Headers],[Ca]:[Kết thúc nghỉ]]),0)
),0,
IF(NOT(ISBLANK(AW$3)),
IF(ISBLANK(AW$7),0,
IF(AW$4 &lt; AW$5,
IF($AA46-$Z$4&lt;AW$4,0,
IF($AA46&gt;AW$5,0,
SUM(_xlfn._xlws.FILTER(Table_BangLuong_TyLeTangCa[Tỷ lệ],
(Table_BangLuong_TyLeTangCa[Ngày] = AW$3) *
(Table_BangLuong_TyLeTangCa[Giờ min]&lt;=$AA46) *
(Table_BangLuong_TyLeTangCa[Giờ max]&gt;$AA46)
)))),
IF(AND($AA46-$Z$4 &gt;= AW$5,$AA46 &lt; AW$4),0,
SUM(_xlfn._xlws.FILTER(Table_BangLuong_TyLeTangCa[Tỷ lệ],
(Table_BangLuong_TyLeTangCa[Ngày] = AW$3) *
(Table_BangLuong_TyLeTangCa[Giờ min]&lt;=$AA46) *
(Table_BangLuong_TyLeTangCa[Giờ max]&gt;$AA46)
))))
),
IF(ISBLANK(AW$7),
IF(VLOOKUP(AW$6, Table_ChiPhiNV_Ca[], COUNTA(Table_ChiPhiNV_Ca[[#Headers],[Ca]:[Kết thúc]]),0)&gt; VLOOKUP(AW$6, Table_ChiPhiNV_Ca[], COUNTA(Table_ChiPhiNV_Ca[[#Headers],[Ca]:[Bắt đầu]]),0),
IF($AA46-$Z$4&lt;MAX(AW$4,VLOOKUP(AW$6, Table_ChiPhiNV_Ca[], COUNTA(Table_ChiPhiNV_Ca[[#Headers],[Ca]:[Bắt đầu]]),0)),0,
IF($AA46&gt;MIN(AW$5,VLOOKUP(AW$6, Table_ChiPhiNV_Ca[], COUNTA(Table_ChiPhiNV_Ca[[#Headers],[Ca]:[Kết thúc]]),0)),0,
SUM(_xlfn._xlws.FILTER(Table_BangLuong_TyLeTangCa[Tỷ lệ],
(Table_BangLuong_TyLeTangCa[Ngày] = "Thường") *
(Table_BangLuong_TyLeTangCa[Giờ min]&lt;=$AA46) *
(Table_BangLuong_TyLeTangCa[Giờ max]&gt;$AA46)
)))),
IF(AW$4 &gt; AW$5,
IF(
AND(
$AA46-$Z$4&lt;MAX(AW$4,VLOOKUP(AW$6, Table_ChiPhiNV_Ca[], COUNTA(Table_ChiPhiNV_Ca[[#Headers],[Ca]:[Bắt đầu]]),0)),
$AA46&gt;MIN(AW$5,VLOOKUP(AW$6, Table_ChiPhiNV_Ca[], COUNTA(Table_ChiPhiNV_Ca[[#Headers],[Ca]:[Kết thúc]]),0))),0,
SUM(_xlfn._xlws.FILTER(Table_BangLuong_TyLeTangCa[Tỷ lệ],
(Table_BangLuong_TyLeTangCa[Ngày] = "Thường") *
(Table_BangLuong_TyLeTangCa[Giờ min]&lt;=$AA46) *
(Table_BangLuong_TyLeTangCa[Giờ max]&gt;$AA46)
))),
IF(
AND(
$AA46-$Z$4&gt;=MAX(AW$4,VLOOKUP(AW$6, Table_ChiPhiNV_Ca[], COUNTA(Table_ChiPhiNV_Ca[[#Headers],[Ca]:[Bắt đầu]]),0)),
$AA46&lt;MIN(AW$5,VLOOKUP(AW$6, Table_ChiPhiNV_Ca[], COUNTA(Table_ChiPhiNV_Ca[[#Headers],[Ca]:[Kết thúc]]),0))),
SUM(_xlfn._xlws.FILTER(Table_BangLuong_TyLeTangCa[Tỷ lệ],
(Table_BangLuong_TyLeTangCa[Ngày] = "Thường") *
(Table_BangLuong_TyLeTangCa[Giờ min]&lt;=$AA46) *
(Table_BangLuong_TyLeTangCa[Giờ max]&gt;$AA46)
)),0)
)),
IF(AW$4 &lt; AW$5,
IF($AA46-$Z$4&lt;AW$4,0,
IF($AA46&gt;AW$5,0,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AW$5,$AA46 &lt; AW$4),0,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X46" s="18" cm="1">
        <f t="array" ref="AX46" xml:space="preserve">
IFERROR(
IF(AX$1="",0,
IF(AND(
$AA46&gt;=VLOOKUP(AX$6, Table_ChiPhiNV_Ca[], COUNTA(Table_ChiPhiNV_Ca[[#Headers],[Ca]:[Bắt đầu nghỉ]]),0),
$AA46&lt;VLOOKUP(AX$6, Table_ChiPhiNV_Ca[], COUNTA(Table_ChiPhiNV_Ca[[#Headers],[Ca]:[Kết thúc nghỉ]]),0)
),0,
IF(NOT(ISBLANK(AX$3)),
IF(ISBLANK(AX$7),0,
IF(AX$4 &lt; AX$5,
IF($AA46-$Z$4&lt;AX$4,0,
IF($AA46&gt;AX$5,0,
SUM(_xlfn._xlws.FILTER(Table_BangLuong_TyLeTangCa[Tỷ lệ],
(Table_BangLuong_TyLeTangCa[Ngày] = AX$3) *
(Table_BangLuong_TyLeTangCa[Giờ min]&lt;=$AA46) *
(Table_BangLuong_TyLeTangCa[Giờ max]&gt;$AA46)
)))),
IF(AND($AA46-$Z$4 &gt;= AX$5,$AA46 &lt; AX$4),0,
SUM(_xlfn._xlws.FILTER(Table_BangLuong_TyLeTangCa[Tỷ lệ],
(Table_BangLuong_TyLeTangCa[Ngày] = AX$3) *
(Table_BangLuong_TyLeTangCa[Giờ min]&lt;=$AA46) *
(Table_BangLuong_TyLeTangCa[Giờ max]&gt;$AA46)
))))
),
IF(ISBLANK(AX$7),
IF(VLOOKUP(AX$6, Table_ChiPhiNV_Ca[], COUNTA(Table_ChiPhiNV_Ca[[#Headers],[Ca]:[Kết thúc]]),0)&gt; VLOOKUP(AX$6, Table_ChiPhiNV_Ca[], COUNTA(Table_ChiPhiNV_Ca[[#Headers],[Ca]:[Bắt đầu]]),0),
IF($AA46-$Z$4&lt;MAX(AX$4,VLOOKUP(AX$6, Table_ChiPhiNV_Ca[], COUNTA(Table_ChiPhiNV_Ca[[#Headers],[Ca]:[Bắt đầu]]),0)),0,
IF($AA46&gt;MIN(AX$5,VLOOKUP(AX$6, Table_ChiPhiNV_Ca[], COUNTA(Table_ChiPhiNV_Ca[[#Headers],[Ca]:[Kết thúc]]),0)),0,
SUM(_xlfn._xlws.FILTER(Table_BangLuong_TyLeTangCa[Tỷ lệ],
(Table_BangLuong_TyLeTangCa[Ngày] = "Thường") *
(Table_BangLuong_TyLeTangCa[Giờ min]&lt;=$AA46) *
(Table_BangLuong_TyLeTangCa[Giờ max]&gt;$AA46)
)))),
IF(AX$4 &gt; AX$5,
IF(
AND(
$AA46-$Z$4&lt;MAX(AX$4,VLOOKUP(AX$6, Table_ChiPhiNV_Ca[], COUNTA(Table_ChiPhiNV_Ca[[#Headers],[Ca]:[Bắt đầu]]),0)),
$AA46&gt;MIN(AX$5,VLOOKUP(AX$6, Table_ChiPhiNV_Ca[], COUNTA(Table_ChiPhiNV_Ca[[#Headers],[Ca]:[Kết thúc]]),0))),0,
SUM(_xlfn._xlws.FILTER(Table_BangLuong_TyLeTangCa[Tỷ lệ],
(Table_BangLuong_TyLeTangCa[Ngày] = "Thường") *
(Table_BangLuong_TyLeTangCa[Giờ min]&lt;=$AA46) *
(Table_BangLuong_TyLeTangCa[Giờ max]&gt;$AA46)
))),
IF(
AND(
$AA46-$Z$4&gt;=MAX(AX$4,VLOOKUP(AX$6, Table_ChiPhiNV_Ca[], COUNTA(Table_ChiPhiNV_Ca[[#Headers],[Ca]:[Bắt đầu]]),0)),
$AA46&lt;MIN(AX$5,VLOOKUP(AX$6, Table_ChiPhiNV_Ca[], COUNTA(Table_ChiPhiNV_Ca[[#Headers],[Ca]:[Kết thúc]]),0))),
SUM(_xlfn._xlws.FILTER(Table_BangLuong_TyLeTangCa[Tỷ lệ],
(Table_BangLuong_TyLeTangCa[Ngày] = "Thường") *
(Table_BangLuong_TyLeTangCa[Giờ min]&lt;=$AA46) *
(Table_BangLuong_TyLeTangCa[Giờ max]&gt;$AA46)
)),0)
)),
IF(AX$4 &lt; AX$5,
IF($AA46-$Z$4&lt;AX$4,0,
IF($AA46&gt;AX$5,0,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AX$5,$AA46 &lt; AX$4),0,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Y46" s="18" cm="1">
        <f t="array" ref="AY46" xml:space="preserve">
IFERROR(
IF(AY$1="",0,
IF(AND(
$AA46&gt;=VLOOKUP(AY$6, Table_ChiPhiNV_Ca[], COUNTA(Table_ChiPhiNV_Ca[[#Headers],[Ca]:[Bắt đầu nghỉ]]),0),
$AA46&lt;VLOOKUP(AY$6, Table_ChiPhiNV_Ca[], COUNTA(Table_ChiPhiNV_Ca[[#Headers],[Ca]:[Kết thúc nghỉ]]),0)
),0,
IF(NOT(ISBLANK(AY$3)),
IF(ISBLANK(AY$7),0,
IF(AY$4 &lt; AY$5,
IF($AA46-$Z$4&lt;AY$4,0,
IF($AA46&gt;AY$5,0,
SUM(_xlfn._xlws.FILTER(Table_BangLuong_TyLeTangCa[Tỷ lệ],
(Table_BangLuong_TyLeTangCa[Ngày] = AY$3) *
(Table_BangLuong_TyLeTangCa[Giờ min]&lt;=$AA46) *
(Table_BangLuong_TyLeTangCa[Giờ max]&gt;$AA46)
)))),
IF(AND($AA46-$Z$4 &gt;= AY$5,$AA46 &lt; AY$4),0,
SUM(_xlfn._xlws.FILTER(Table_BangLuong_TyLeTangCa[Tỷ lệ],
(Table_BangLuong_TyLeTangCa[Ngày] = AY$3) *
(Table_BangLuong_TyLeTangCa[Giờ min]&lt;=$AA46) *
(Table_BangLuong_TyLeTangCa[Giờ max]&gt;$AA46)
))))
),
IF(ISBLANK(AY$7),
IF(VLOOKUP(AY$6, Table_ChiPhiNV_Ca[], COUNTA(Table_ChiPhiNV_Ca[[#Headers],[Ca]:[Kết thúc]]),0)&gt; VLOOKUP(AY$6, Table_ChiPhiNV_Ca[], COUNTA(Table_ChiPhiNV_Ca[[#Headers],[Ca]:[Bắt đầu]]),0),
IF($AA46-$Z$4&lt;MAX(AY$4,VLOOKUP(AY$6, Table_ChiPhiNV_Ca[], COUNTA(Table_ChiPhiNV_Ca[[#Headers],[Ca]:[Bắt đầu]]),0)),0,
IF($AA46&gt;MIN(AY$5,VLOOKUP(AY$6, Table_ChiPhiNV_Ca[], COUNTA(Table_ChiPhiNV_Ca[[#Headers],[Ca]:[Kết thúc]]),0)),0,
SUM(_xlfn._xlws.FILTER(Table_BangLuong_TyLeTangCa[Tỷ lệ],
(Table_BangLuong_TyLeTangCa[Ngày] = "Thường") *
(Table_BangLuong_TyLeTangCa[Giờ min]&lt;=$AA46) *
(Table_BangLuong_TyLeTangCa[Giờ max]&gt;$AA46)
)))),
IF(AY$4 &gt; AY$5,
IF(
AND(
$AA46-$Z$4&lt;MAX(AY$4,VLOOKUP(AY$6, Table_ChiPhiNV_Ca[], COUNTA(Table_ChiPhiNV_Ca[[#Headers],[Ca]:[Bắt đầu]]),0)),
$AA46&gt;MIN(AY$5,VLOOKUP(AY$6, Table_ChiPhiNV_Ca[], COUNTA(Table_ChiPhiNV_Ca[[#Headers],[Ca]:[Kết thúc]]),0))),0,
SUM(_xlfn._xlws.FILTER(Table_BangLuong_TyLeTangCa[Tỷ lệ],
(Table_BangLuong_TyLeTangCa[Ngày] = "Thường") *
(Table_BangLuong_TyLeTangCa[Giờ min]&lt;=$AA46) *
(Table_BangLuong_TyLeTangCa[Giờ max]&gt;$AA46)
))),
IF(
AND(
$AA46-$Z$4&gt;=MAX(AY$4,VLOOKUP(AY$6, Table_ChiPhiNV_Ca[], COUNTA(Table_ChiPhiNV_Ca[[#Headers],[Ca]:[Bắt đầu]]),0)),
$AA46&lt;MIN(AY$5,VLOOKUP(AY$6, Table_ChiPhiNV_Ca[], COUNTA(Table_ChiPhiNV_Ca[[#Headers],[Ca]:[Kết thúc]]),0))),
SUM(_xlfn._xlws.FILTER(Table_BangLuong_TyLeTangCa[Tỷ lệ],
(Table_BangLuong_TyLeTangCa[Ngày] = "Thường") *
(Table_BangLuong_TyLeTangCa[Giờ min]&lt;=$AA46) *
(Table_BangLuong_TyLeTangCa[Giờ max]&gt;$AA46)
)),0)
)),
IF(AY$4 &lt; AY$5,
IF($AA46-$Z$4&lt;AY$4,0,
IF($AA46&gt;AY$5,0,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AY$5,$AA46 &lt; AY$4),0,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Z46" s="18" cm="1">
        <f t="array" ref="AZ46" xml:space="preserve">
IFERROR(
IF(AZ$1="",0,
IF(AND(
$AA46&gt;=VLOOKUP(AZ$6, Table_ChiPhiNV_Ca[], COUNTA(Table_ChiPhiNV_Ca[[#Headers],[Ca]:[Bắt đầu nghỉ]]),0),
$AA46&lt;VLOOKUP(AZ$6, Table_ChiPhiNV_Ca[], COUNTA(Table_ChiPhiNV_Ca[[#Headers],[Ca]:[Kết thúc nghỉ]]),0)
),0,
IF(NOT(ISBLANK(AZ$3)),
IF(ISBLANK(AZ$7),0,
IF(AZ$4 &lt; AZ$5,
IF($AA46-$Z$4&lt;AZ$4,0,
IF($AA46&gt;AZ$5,0,
SUM(_xlfn._xlws.FILTER(Table_BangLuong_TyLeTangCa[Tỷ lệ],
(Table_BangLuong_TyLeTangCa[Ngày] = AZ$3) *
(Table_BangLuong_TyLeTangCa[Giờ min]&lt;=$AA46) *
(Table_BangLuong_TyLeTangCa[Giờ max]&gt;$AA46)
)))),
IF(AND($AA46-$Z$4 &gt;= AZ$5,$AA46 &lt; AZ$4),0,
SUM(_xlfn._xlws.FILTER(Table_BangLuong_TyLeTangCa[Tỷ lệ],
(Table_BangLuong_TyLeTangCa[Ngày] = AZ$3) *
(Table_BangLuong_TyLeTangCa[Giờ min]&lt;=$AA46) *
(Table_BangLuong_TyLeTangCa[Giờ max]&gt;$AA46)
))))
),
IF(ISBLANK(AZ$7),
IF(VLOOKUP(AZ$6, Table_ChiPhiNV_Ca[], COUNTA(Table_ChiPhiNV_Ca[[#Headers],[Ca]:[Kết thúc]]),0)&gt; VLOOKUP(AZ$6, Table_ChiPhiNV_Ca[], COUNTA(Table_ChiPhiNV_Ca[[#Headers],[Ca]:[Bắt đầu]]),0),
IF($AA46-$Z$4&lt;MAX(AZ$4,VLOOKUP(AZ$6, Table_ChiPhiNV_Ca[], COUNTA(Table_ChiPhiNV_Ca[[#Headers],[Ca]:[Bắt đầu]]),0)),0,
IF($AA46&gt;MIN(AZ$5,VLOOKUP(AZ$6, Table_ChiPhiNV_Ca[], COUNTA(Table_ChiPhiNV_Ca[[#Headers],[Ca]:[Kết thúc]]),0)),0,
SUM(_xlfn._xlws.FILTER(Table_BangLuong_TyLeTangCa[Tỷ lệ],
(Table_BangLuong_TyLeTangCa[Ngày] = "Thường") *
(Table_BangLuong_TyLeTangCa[Giờ min]&lt;=$AA46) *
(Table_BangLuong_TyLeTangCa[Giờ max]&gt;$AA46)
)))),
IF(AZ$4 &gt; AZ$5,
IF(
AND(
$AA46-$Z$4&lt;MAX(AZ$4,VLOOKUP(AZ$6, Table_ChiPhiNV_Ca[], COUNTA(Table_ChiPhiNV_Ca[[#Headers],[Ca]:[Bắt đầu]]),0)),
$AA46&gt;MIN(AZ$5,VLOOKUP(AZ$6, Table_ChiPhiNV_Ca[], COUNTA(Table_ChiPhiNV_Ca[[#Headers],[Ca]:[Kết thúc]]),0))),0,
SUM(_xlfn._xlws.FILTER(Table_BangLuong_TyLeTangCa[Tỷ lệ],
(Table_BangLuong_TyLeTangCa[Ngày] = "Thường") *
(Table_BangLuong_TyLeTangCa[Giờ min]&lt;=$AA46) *
(Table_BangLuong_TyLeTangCa[Giờ max]&gt;$AA46)
))),
IF(
AND(
$AA46-$Z$4&gt;=MAX(AZ$4,VLOOKUP(AZ$6, Table_ChiPhiNV_Ca[], COUNTA(Table_ChiPhiNV_Ca[[#Headers],[Ca]:[Bắt đầu]]),0)),
$AA46&lt;MIN(AZ$5,VLOOKUP(AZ$6, Table_ChiPhiNV_Ca[], COUNTA(Table_ChiPhiNV_Ca[[#Headers],[Ca]:[Kết thúc]]),0))),
SUM(_xlfn._xlws.FILTER(Table_BangLuong_TyLeTangCa[Tỷ lệ],
(Table_BangLuong_TyLeTangCa[Ngày] = "Thường") *
(Table_BangLuong_TyLeTangCa[Giờ min]&lt;=$AA46) *
(Table_BangLuong_TyLeTangCa[Giờ max]&gt;$AA46)
)),0)
)),
IF(AZ$4 &lt; AZ$5,
IF($AA46-$Z$4&lt;AZ$4,0,
IF($AA46&gt;AZ$5,0,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AZ$5,$AA46 &lt; AZ$4),0,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A46" s="18" cm="1">
        <f t="array" ref="BA46" xml:space="preserve">
IFERROR(
IF(BA$1="",0,
IF(AND(
$AA46&gt;=VLOOKUP(BA$6, Table_ChiPhiNV_Ca[], COUNTA(Table_ChiPhiNV_Ca[[#Headers],[Ca]:[Bắt đầu nghỉ]]),0),
$AA46&lt;VLOOKUP(BA$6, Table_ChiPhiNV_Ca[], COUNTA(Table_ChiPhiNV_Ca[[#Headers],[Ca]:[Kết thúc nghỉ]]),0)
),0,
IF(NOT(ISBLANK(BA$3)),
IF(ISBLANK(BA$7),0,
IF(BA$4 &lt; BA$5,
IF($AA46-$Z$4&lt;BA$4,0,
IF($AA46&gt;BA$5,0,
SUM(_xlfn._xlws.FILTER(Table_BangLuong_TyLeTangCa[Tỷ lệ],
(Table_BangLuong_TyLeTangCa[Ngày] = BA$3) *
(Table_BangLuong_TyLeTangCa[Giờ min]&lt;=$AA46) *
(Table_BangLuong_TyLeTangCa[Giờ max]&gt;$AA46)
)))),
IF(AND($AA46-$Z$4 &gt;= BA$5,$AA46 &lt; BA$4),0,
SUM(_xlfn._xlws.FILTER(Table_BangLuong_TyLeTangCa[Tỷ lệ],
(Table_BangLuong_TyLeTangCa[Ngày] = BA$3) *
(Table_BangLuong_TyLeTangCa[Giờ min]&lt;=$AA46) *
(Table_BangLuong_TyLeTangCa[Giờ max]&gt;$AA46)
))))
),
IF(ISBLANK(BA$7),
IF(VLOOKUP(BA$6, Table_ChiPhiNV_Ca[], COUNTA(Table_ChiPhiNV_Ca[[#Headers],[Ca]:[Kết thúc]]),0)&gt; VLOOKUP(BA$6, Table_ChiPhiNV_Ca[], COUNTA(Table_ChiPhiNV_Ca[[#Headers],[Ca]:[Bắt đầu]]),0),
IF($AA46-$Z$4&lt;MAX(BA$4,VLOOKUP(BA$6, Table_ChiPhiNV_Ca[], COUNTA(Table_ChiPhiNV_Ca[[#Headers],[Ca]:[Bắt đầu]]),0)),0,
IF($AA46&gt;MIN(BA$5,VLOOKUP(BA$6, Table_ChiPhiNV_Ca[], COUNTA(Table_ChiPhiNV_Ca[[#Headers],[Ca]:[Kết thúc]]),0)),0,
SUM(_xlfn._xlws.FILTER(Table_BangLuong_TyLeTangCa[Tỷ lệ],
(Table_BangLuong_TyLeTangCa[Ngày] = "Thường") *
(Table_BangLuong_TyLeTangCa[Giờ min]&lt;=$AA46) *
(Table_BangLuong_TyLeTangCa[Giờ max]&gt;$AA46)
)))),
IF(BA$4 &gt; BA$5,
IF(
AND(
$AA46-$Z$4&lt;MAX(BA$4,VLOOKUP(BA$6, Table_ChiPhiNV_Ca[], COUNTA(Table_ChiPhiNV_Ca[[#Headers],[Ca]:[Bắt đầu]]),0)),
$AA46&gt;MIN(BA$5,VLOOKUP(BA$6, Table_ChiPhiNV_Ca[], COUNTA(Table_ChiPhiNV_Ca[[#Headers],[Ca]:[Kết thúc]]),0))),0,
SUM(_xlfn._xlws.FILTER(Table_BangLuong_TyLeTangCa[Tỷ lệ],
(Table_BangLuong_TyLeTangCa[Ngày] = "Thường") *
(Table_BangLuong_TyLeTangCa[Giờ min]&lt;=$AA46) *
(Table_BangLuong_TyLeTangCa[Giờ max]&gt;$AA46)
))),
IF(
AND(
$AA46-$Z$4&gt;=MAX(BA$4,VLOOKUP(BA$6, Table_ChiPhiNV_Ca[], COUNTA(Table_ChiPhiNV_Ca[[#Headers],[Ca]:[Bắt đầu]]),0)),
$AA46&lt;MIN(BA$5,VLOOKUP(BA$6, Table_ChiPhiNV_Ca[], COUNTA(Table_ChiPhiNV_Ca[[#Headers],[Ca]:[Kết thúc]]),0))),
SUM(_xlfn._xlws.FILTER(Table_BangLuong_TyLeTangCa[Tỷ lệ],
(Table_BangLuong_TyLeTangCa[Ngày] = "Thường") *
(Table_BangLuong_TyLeTangCa[Giờ min]&lt;=$AA46) *
(Table_BangLuong_TyLeTangCa[Giờ max]&gt;$AA46)
)),0)
)),
IF(BA$4 &lt; BA$5,
IF($AA46-$Z$4&lt;BA$4,0,
IF($AA46&gt;BA$5,0,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BA$5,$AA46 &lt; BA$4),0,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B46" s="18" cm="1">
        <f t="array" ref="BB46" xml:space="preserve">
IFERROR(
IF(BB$1="",0,
IF(AND(
$AA46&gt;=VLOOKUP(BB$6, Table_ChiPhiNV_Ca[], COUNTA(Table_ChiPhiNV_Ca[[#Headers],[Ca]:[Bắt đầu nghỉ]]),0),
$AA46&lt;VLOOKUP(BB$6, Table_ChiPhiNV_Ca[], COUNTA(Table_ChiPhiNV_Ca[[#Headers],[Ca]:[Kết thúc nghỉ]]),0)
),0,
IF(NOT(ISBLANK(BB$3)),
IF(ISBLANK(BB$7),0,
IF(BB$4 &lt; BB$5,
IF($AA46-$Z$4&lt;BB$4,0,
IF($AA46&gt;BB$5,0,
SUM(_xlfn._xlws.FILTER(Table_BangLuong_TyLeTangCa[Tỷ lệ],
(Table_BangLuong_TyLeTangCa[Ngày] = BB$3) *
(Table_BangLuong_TyLeTangCa[Giờ min]&lt;=$AA46) *
(Table_BangLuong_TyLeTangCa[Giờ max]&gt;$AA46)
)))),
IF(AND($AA46-$Z$4 &gt;= BB$5,$AA46 &lt; BB$4),0,
SUM(_xlfn._xlws.FILTER(Table_BangLuong_TyLeTangCa[Tỷ lệ],
(Table_BangLuong_TyLeTangCa[Ngày] = BB$3) *
(Table_BangLuong_TyLeTangCa[Giờ min]&lt;=$AA46) *
(Table_BangLuong_TyLeTangCa[Giờ max]&gt;$AA46)
))))
),
IF(ISBLANK(BB$7),
IF(VLOOKUP(BB$6, Table_ChiPhiNV_Ca[], COUNTA(Table_ChiPhiNV_Ca[[#Headers],[Ca]:[Kết thúc]]),0)&gt; VLOOKUP(BB$6, Table_ChiPhiNV_Ca[], COUNTA(Table_ChiPhiNV_Ca[[#Headers],[Ca]:[Bắt đầu]]),0),
IF($AA46-$Z$4&lt;MAX(BB$4,VLOOKUP(BB$6, Table_ChiPhiNV_Ca[], COUNTA(Table_ChiPhiNV_Ca[[#Headers],[Ca]:[Bắt đầu]]),0)),0,
IF($AA46&gt;MIN(BB$5,VLOOKUP(BB$6, Table_ChiPhiNV_Ca[], COUNTA(Table_ChiPhiNV_Ca[[#Headers],[Ca]:[Kết thúc]]),0)),0,
SUM(_xlfn._xlws.FILTER(Table_BangLuong_TyLeTangCa[Tỷ lệ],
(Table_BangLuong_TyLeTangCa[Ngày] = "Thường") *
(Table_BangLuong_TyLeTangCa[Giờ min]&lt;=$AA46) *
(Table_BangLuong_TyLeTangCa[Giờ max]&gt;$AA46)
)))),
IF(BB$4 &gt; BB$5,
IF(
AND(
$AA46-$Z$4&lt;MAX(BB$4,VLOOKUP(BB$6, Table_ChiPhiNV_Ca[], COUNTA(Table_ChiPhiNV_Ca[[#Headers],[Ca]:[Bắt đầu]]),0)),
$AA46&gt;MIN(BB$5,VLOOKUP(BB$6, Table_ChiPhiNV_Ca[], COUNTA(Table_ChiPhiNV_Ca[[#Headers],[Ca]:[Kết thúc]]),0))),0,
SUM(_xlfn._xlws.FILTER(Table_BangLuong_TyLeTangCa[Tỷ lệ],
(Table_BangLuong_TyLeTangCa[Ngày] = "Thường") *
(Table_BangLuong_TyLeTangCa[Giờ min]&lt;=$AA46) *
(Table_BangLuong_TyLeTangCa[Giờ max]&gt;$AA46)
))),
IF(
AND(
$AA46-$Z$4&gt;=MAX(BB$4,VLOOKUP(BB$6, Table_ChiPhiNV_Ca[], COUNTA(Table_ChiPhiNV_Ca[[#Headers],[Ca]:[Bắt đầu]]),0)),
$AA46&lt;MIN(BB$5,VLOOKUP(BB$6, Table_ChiPhiNV_Ca[], COUNTA(Table_ChiPhiNV_Ca[[#Headers],[Ca]:[Kết thúc]]),0))),
SUM(_xlfn._xlws.FILTER(Table_BangLuong_TyLeTangCa[Tỷ lệ],
(Table_BangLuong_TyLeTangCa[Ngày] = "Thường") *
(Table_BangLuong_TyLeTangCa[Giờ min]&lt;=$AA46) *
(Table_BangLuong_TyLeTangCa[Giờ max]&gt;$AA46)
)),0)
)),
IF(BB$4 &lt; BB$5,
IF($AA46-$Z$4&lt;BB$4,0,
IF($AA46&gt;BB$5,0,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BB$5,$AA46 &lt; BB$4),0,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C46" s="18" cm="1">
        <f t="array" ref="BC46" xml:space="preserve">
IFERROR(
IF(BC$1="",0,
IF(AND(
$AA46&gt;=VLOOKUP(BC$6, Table_ChiPhiNV_Ca[], COUNTA(Table_ChiPhiNV_Ca[[#Headers],[Ca]:[Bắt đầu nghỉ]]),0),
$AA46&lt;VLOOKUP(BC$6, Table_ChiPhiNV_Ca[], COUNTA(Table_ChiPhiNV_Ca[[#Headers],[Ca]:[Kết thúc nghỉ]]),0)
),0,
IF(NOT(ISBLANK(BC$3)),
IF(ISBLANK(BC$7),0,
IF(BC$4 &lt; BC$5,
IF($AA46-$Z$4&lt;BC$4,0,
IF($AA46&gt;BC$5,0,
SUM(_xlfn._xlws.FILTER(Table_BangLuong_TyLeTangCa[Tỷ lệ],
(Table_BangLuong_TyLeTangCa[Ngày] = BC$3) *
(Table_BangLuong_TyLeTangCa[Giờ min]&lt;=$AA46) *
(Table_BangLuong_TyLeTangCa[Giờ max]&gt;$AA46)
)))),
IF(AND($AA46-$Z$4 &gt;= BC$5,$AA46 &lt; BC$4),0,
SUM(_xlfn._xlws.FILTER(Table_BangLuong_TyLeTangCa[Tỷ lệ],
(Table_BangLuong_TyLeTangCa[Ngày] = BC$3) *
(Table_BangLuong_TyLeTangCa[Giờ min]&lt;=$AA46) *
(Table_BangLuong_TyLeTangCa[Giờ max]&gt;$AA46)
))))
),
IF(ISBLANK(BC$7),
IF(VLOOKUP(BC$6, Table_ChiPhiNV_Ca[], COUNTA(Table_ChiPhiNV_Ca[[#Headers],[Ca]:[Kết thúc]]),0)&gt; VLOOKUP(BC$6, Table_ChiPhiNV_Ca[], COUNTA(Table_ChiPhiNV_Ca[[#Headers],[Ca]:[Bắt đầu]]),0),
IF($AA46-$Z$4&lt;MAX(BC$4,VLOOKUP(BC$6, Table_ChiPhiNV_Ca[], COUNTA(Table_ChiPhiNV_Ca[[#Headers],[Ca]:[Bắt đầu]]),0)),0,
IF($AA46&gt;MIN(BC$5,VLOOKUP(BC$6, Table_ChiPhiNV_Ca[], COUNTA(Table_ChiPhiNV_Ca[[#Headers],[Ca]:[Kết thúc]]),0)),0,
SUM(_xlfn._xlws.FILTER(Table_BangLuong_TyLeTangCa[Tỷ lệ],
(Table_BangLuong_TyLeTangCa[Ngày] = "Thường") *
(Table_BangLuong_TyLeTangCa[Giờ min]&lt;=$AA46) *
(Table_BangLuong_TyLeTangCa[Giờ max]&gt;$AA46)
)))),
IF(BC$4 &gt; BC$5,
IF(
AND(
$AA46-$Z$4&lt;MAX(BC$4,VLOOKUP(BC$6, Table_ChiPhiNV_Ca[], COUNTA(Table_ChiPhiNV_Ca[[#Headers],[Ca]:[Bắt đầu]]),0)),
$AA46&gt;MIN(BC$5,VLOOKUP(BC$6, Table_ChiPhiNV_Ca[], COUNTA(Table_ChiPhiNV_Ca[[#Headers],[Ca]:[Kết thúc]]),0))),0,
SUM(_xlfn._xlws.FILTER(Table_BangLuong_TyLeTangCa[Tỷ lệ],
(Table_BangLuong_TyLeTangCa[Ngày] = "Thường") *
(Table_BangLuong_TyLeTangCa[Giờ min]&lt;=$AA46) *
(Table_BangLuong_TyLeTangCa[Giờ max]&gt;$AA46)
))),
IF(
AND(
$AA46-$Z$4&gt;=MAX(BC$4,VLOOKUP(BC$6, Table_ChiPhiNV_Ca[], COUNTA(Table_ChiPhiNV_Ca[[#Headers],[Ca]:[Bắt đầu]]),0)),
$AA46&lt;MIN(BC$5,VLOOKUP(BC$6, Table_ChiPhiNV_Ca[], COUNTA(Table_ChiPhiNV_Ca[[#Headers],[Ca]:[Kết thúc]]),0))),
SUM(_xlfn._xlws.FILTER(Table_BangLuong_TyLeTangCa[Tỷ lệ],
(Table_BangLuong_TyLeTangCa[Ngày] = "Thường") *
(Table_BangLuong_TyLeTangCa[Giờ min]&lt;=$AA46) *
(Table_BangLuong_TyLeTangCa[Giờ max]&gt;$AA46)
)),0)
)),
IF(BC$4 &lt; BC$5,
IF($AA46-$Z$4&lt;BC$4,0,
IF($AA46&gt;BC$5,0,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BC$5,$AA46 &lt; BC$4),0,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D46" s="18" cm="1">
        <f t="array" ref="BD46" xml:space="preserve">
IFERROR(
IF(BD$1="",0,
IF(AND(
$AA46&gt;=VLOOKUP(BD$6, Table_ChiPhiNV_Ca[], COUNTA(Table_ChiPhiNV_Ca[[#Headers],[Ca]:[Bắt đầu nghỉ]]),0),
$AA46&lt;VLOOKUP(BD$6, Table_ChiPhiNV_Ca[], COUNTA(Table_ChiPhiNV_Ca[[#Headers],[Ca]:[Kết thúc nghỉ]]),0)
),0,
IF(NOT(ISBLANK(BD$3)),
IF(ISBLANK(BD$7),0,
IF(BD$4 &lt; BD$5,
IF($AA46-$Z$4&lt;BD$4,0,
IF($AA46&gt;BD$5,0,
SUM(_xlfn._xlws.FILTER(Table_BangLuong_TyLeTangCa[Tỷ lệ],
(Table_BangLuong_TyLeTangCa[Ngày] = BD$3) *
(Table_BangLuong_TyLeTangCa[Giờ min]&lt;=$AA46) *
(Table_BangLuong_TyLeTangCa[Giờ max]&gt;$AA46)
)))),
IF(AND($AA46-$Z$4 &gt;= BD$5,$AA46 &lt; BD$4),0,
SUM(_xlfn._xlws.FILTER(Table_BangLuong_TyLeTangCa[Tỷ lệ],
(Table_BangLuong_TyLeTangCa[Ngày] = BD$3) *
(Table_BangLuong_TyLeTangCa[Giờ min]&lt;=$AA46) *
(Table_BangLuong_TyLeTangCa[Giờ max]&gt;$AA46)
))))
),
IF(ISBLANK(BD$7),
IF(VLOOKUP(BD$6, Table_ChiPhiNV_Ca[], COUNTA(Table_ChiPhiNV_Ca[[#Headers],[Ca]:[Kết thúc]]),0)&gt; VLOOKUP(BD$6, Table_ChiPhiNV_Ca[], COUNTA(Table_ChiPhiNV_Ca[[#Headers],[Ca]:[Bắt đầu]]),0),
IF($AA46-$Z$4&lt;MAX(BD$4,VLOOKUP(BD$6, Table_ChiPhiNV_Ca[], COUNTA(Table_ChiPhiNV_Ca[[#Headers],[Ca]:[Bắt đầu]]),0)),0,
IF($AA46&gt;MIN(BD$5,VLOOKUP(BD$6, Table_ChiPhiNV_Ca[], COUNTA(Table_ChiPhiNV_Ca[[#Headers],[Ca]:[Kết thúc]]),0)),0,
SUM(_xlfn._xlws.FILTER(Table_BangLuong_TyLeTangCa[Tỷ lệ],
(Table_BangLuong_TyLeTangCa[Ngày] = "Thường") *
(Table_BangLuong_TyLeTangCa[Giờ min]&lt;=$AA46) *
(Table_BangLuong_TyLeTangCa[Giờ max]&gt;$AA46)
)))),
IF(BD$4 &gt; BD$5,
IF(
AND(
$AA46-$Z$4&lt;MAX(BD$4,VLOOKUP(BD$6, Table_ChiPhiNV_Ca[], COUNTA(Table_ChiPhiNV_Ca[[#Headers],[Ca]:[Bắt đầu]]),0)),
$AA46&gt;MIN(BD$5,VLOOKUP(BD$6, Table_ChiPhiNV_Ca[], COUNTA(Table_ChiPhiNV_Ca[[#Headers],[Ca]:[Kết thúc]]),0))),0,
SUM(_xlfn._xlws.FILTER(Table_BangLuong_TyLeTangCa[Tỷ lệ],
(Table_BangLuong_TyLeTangCa[Ngày] = "Thường") *
(Table_BangLuong_TyLeTangCa[Giờ min]&lt;=$AA46) *
(Table_BangLuong_TyLeTangCa[Giờ max]&gt;$AA46)
))),
IF(
AND(
$AA46-$Z$4&gt;=MAX(BD$4,VLOOKUP(BD$6, Table_ChiPhiNV_Ca[], COUNTA(Table_ChiPhiNV_Ca[[#Headers],[Ca]:[Bắt đầu]]),0)),
$AA46&lt;MIN(BD$5,VLOOKUP(BD$6, Table_ChiPhiNV_Ca[], COUNTA(Table_ChiPhiNV_Ca[[#Headers],[Ca]:[Kết thúc]]),0))),
SUM(_xlfn._xlws.FILTER(Table_BangLuong_TyLeTangCa[Tỷ lệ],
(Table_BangLuong_TyLeTangCa[Ngày] = "Thường") *
(Table_BangLuong_TyLeTangCa[Giờ min]&lt;=$AA46) *
(Table_BangLuong_TyLeTangCa[Giờ max]&gt;$AA46)
)),0)
)),
IF(BD$4 &lt; BD$5,
IF($AA46-$Z$4&lt;BD$4,0,
IF($AA46&gt;BD$5,0,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BD$5,$AA46 &lt; BD$4),0,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E46" s="18" cm="1">
        <f t="array" ref="BE46" xml:space="preserve">
IFERROR(
IF(BE$1="",0,
IF(AND(
$AA46&gt;=VLOOKUP(BE$6, Table_ChiPhiNV_Ca[], COUNTA(Table_ChiPhiNV_Ca[[#Headers],[Ca]:[Bắt đầu nghỉ]]),0),
$AA46&lt;VLOOKUP(BE$6, Table_ChiPhiNV_Ca[], COUNTA(Table_ChiPhiNV_Ca[[#Headers],[Ca]:[Kết thúc nghỉ]]),0)
),0,
IF(NOT(ISBLANK(BE$3)),
IF(ISBLANK(BE$7),0,
IF(BE$4 &lt; BE$5,
IF($AA46-$Z$4&lt;BE$4,0,
IF($AA46&gt;BE$5,0,
SUM(_xlfn._xlws.FILTER(Table_BangLuong_TyLeTangCa[Tỷ lệ],
(Table_BangLuong_TyLeTangCa[Ngày] = BE$3) *
(Table_BangLuong_TyLeTangCa[Giờ min]&lt;=$AA46) *
(Table_BangLuong_TyLeTangCa[Giờ max]&gt;$AA46)
)))),
IF(AND($AA46-$Z$4 &gt;= BE$5,$AA46 &lt; BE$4),0,
SUM(_xlfn._xlws.FILTER(Table_BangLuong_TyLeTangCa[Tỷ lệ],
(Table_BangLuong_TyLeTangCa[Ngày] = BE$3) *
(Table_BangLuong_TyLeTangCa[Giờ min]&lt;=$AA46) *
(Table_BangLuong_TyLeTangCa[Giờ max]&gt;$AA46)
))))
),
IF(ISBLANK(BE$7),
IF(VLOOKUP(BE$6, Table_ChiPhiNV_Ca[], COUNTA(Table_ChiPhiNV_Ca[[#Headers],[Ca]:[Kết thúc]]),0)&gt; VLOOKUP(BE$6, Table_ChiPhiNV_Ca[], COUNTA(Table_ChiPhiNV_Ca[[#Headers],[Ca]:[Bắt đầu]]),0),
IF($AA46-$Z$4&lt;MAX(BE$4,VLOOKUP(BE$6, Table_ChiPhiNV_Ca[], COUNTA(Table_ChiPhiNV_Ca[[#Headers],[Ca]:[Bắt đầu]]),0)),0,
IF($AA46&gt;MIN(BE$5,VLOOKUP(BE$6, Table_ChiPhiNV_Ca[], COUNTA(Table_ChiPhiNV_Ca[[#Headers],[Ca]:[Kết thúc]]),0)),0,
SUM(_xlfn._xlws.FILTER(Table_BangLuong_TyLeTangCa[Tỷ lệ],
(Table_BangLuong_TyLeTangCa[Ngày] = "Thường") *
(Table_BangLuong_TyLeTangCa[Giờ min]&lt;=$AA46) *
(Table_BangLuong_TyLeTangCa[Giờ max]&gt;$AA46)
)))),
IF(BE$4 &gt; BE$5,
IF(
AND(
$AA46-$Z$4&lt;MAX(BE$4,VLOOKUP(BE$6, Table_ChiPhiNV_Ca[], COUNTA(Table_ChiPhiNV_Ca[[#Headers],[Ca]:[Bắt đầu]]),0)),
$AA46&gt;MIN(BE$5,VLOOKUP(BE$6, Table_ChiPhiNV_Ca[], COUNTA(Table_ChiPhiNV_Ca[[#Headers],[Ca]:[Kết thúc]]),0))),0,
SUM(_xlfn._xlws.FILTER(Table_BangLuong_TyLeTangCa[Tỷ lệ],
(Table_BangLuong_TyLeTangCa[Ngày] = "Thường") *
(Table_BangLuong_TyLeTangCa[Giờ min]&lt;=$AA46) *
(Table_BangLuong_TyLeTangCa[Giờ max]&gt;$AA46)
))),
IF(
AND(
$AA46-$Z$4&gt;=MAX(BE$4,VLOOKUP(BE$6, Table_ChiPhiNV_Ca[], COUNTA(Table_ChiPhiNV_Ca[[#Headers],[Ca]:[Bắt đầu]]),0)),
$AA46&lt;MIN(BE$5,VLOOKUP(BE$6, Table_ChiPhiNV_Ca[], COUNTA(Table_ChiPhiNV_Ca[[#Headers],[Ca]:[Kết thúc]]),0))),
SUM(_xlfn._xlws.FILTER(Table_BangLuong_TyLeTangCa[Tỷ lệ],
(Table_BangLuong_TyLeTangCa[Ngày] = "Thường") *
(Table_BangLuong_TyLeTangCa[Giờ min]&lt;=$AA46) *
(Table_BangLuong_TyLeTangCa[Giờ max]&gt;$AA46)
)),0)
)),
IF(BE$4 &lt; BE$5,
IF($AA46-$Z$4&lt;BE$4,0,
IF($AA46&gt;BE$5,0,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BE$5,$AA46 &lt; BE$4),0,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F46" s="18" cm="1">
        <f t="array" ref="BF46" xml:space="preserve">
IFERROR(
IF(BF$1="",0,
IF(AND(
$AA46&gt;=VLOOKUP(BF$6, Table_ChiPhiNV_Ca[], COUNTA(Table_ChiPhiNV_Ca[[#Headers],[Ca]:[Bắt đầu nghỉ]]),0),
$AA46&lt;VLOOKUP(BF$6, Table_ChiPhiNV_Ca[], COUNTA(Table_ChiPhiNV_Ca[[#Headers],[Ca]:[Kết thúc nghỉ]]),0)
),0,
IF(NOT(ISBLANK(BF$3)),
IF(ISBLANK(BF$7),0,
IF(BF$4 &lt; BF$5,
IF($AA46-$Z$4&lt;BF$4,0,
IF($AA46&gt;BF$5,0,
SUM(_xlfn._xlws.FILTER(Table_BangLuong_TyLeTangCa[Tỷ lệ],
(Table_BangLuong_TyLeTangCa[Ngày] = BF$3) *
(Table_BangLuong_TyLeTangCa[Giờ min]&lt;=$AA46) *
(Table_BangLuong_TyLeTangCa[Giờ max]&gt;$AA46)
)))),
IF(AND($AA46-$Z$4 &gt;= BF$5,$AA46 &lt; BF$4),0,
SUM(_xlfn._xlws.FILTER(Table_BangLuong_TyLeTangCa[Tỷ lệ],
(Table_BangLuong_TyLeTangCa[Ngày] = BF$3) *
(Table_BangLuong_TyLeTangCa[Giờ min]&lt;=$AA46) *
(Table_BangLuong_TyLeTangCa[Giờ max]&gt;$AA46)
))))
),
IF(ISBLANK(BF$7),
IF(VLOOKUP(BF$6, Table_ChiPhiNV_Ca[], COUNTA(Table_ChiPhiNV_Ca[[#Headers],[Ca]:[Kết thúc]]),0)&gt; VLOOKUP(BF$6, Table_ChiPhiNV_Ca[], COUNTA(Table_ChiPhiNV_Ca[[#Headers],[Ca]:[Bắt đầu]]),0),
IF($AA46-$Z$4&lt;MAX(BF$4,VLOOKUP(BF$6, Table_ChiPhiNV_Ca[], COUNTA(Table_ChiPhiNV_Ca[[#Headers],[Ca]:[Bắt đầu]]),0)),0,
IF($AA46&gt;MIN(BF$5,VLOOKUP(BF$6, Table_ChiPhiNV_Ca[], COUNTA(Table_ChiPhiNV_Ca[[#Headers],[Ca]:[Kết thúc]]),0)),0,
SUM(_xlfn._xlws.FILTER(Table_BangLuong_TyLeTangCa[Tỷ lệ],
(Table_BangLuong_TyLeTangCa[Ngày] = "Thường") *
(Table_BangLuong_TyLeTangCa[Giờ min]&lt;=$AA46) *
(Table_BangLuong_TyLeTangCa[Giờ max]&gt;$AA46)
)))),
IF(BF$4 &gt; BF$5,
IF(
AND(
$AA46-$Z$4&lt;MAX(BF$4,VLOOKUP(BF$6, Table_ChiPhiNV_Ca[], COUNTA(Table_ChiPhiNV_Ca[[#Headers],[Ca]:[Bắt đầu]]),0)),
$AA46&gt;MIN(BF$5,VLOOKUP(BF$6, Table_ChiPhiNV_Ca[], COUNTA(Table_ChiPhiNV_Ca[[#Headers],[Ca]:[Kết thúc]]),0))),0,
SUM(_xlfn._xlws.FILTER(Table_BangLuong_TyLeTangCa[Tỷ lệ],
(Table_BangLuong_TyLeTangCa[Ngày] = "Thường") *
(Table_BangLuong_TyLeTangCa[Giờ min]&lt;=$AA46) *
(Table_BangLuong_TyLeTangCa[Giờ max]&gt;$AA46)
))),
IF(
AND(
$AA46-$Z$4&gt;=MAX(BF$4,VLOOKUP(BF$6, Table_ChiPhiNV_Ca[], COUNTA(Table_ChiPhiNV_Ca[[#Headers],[Ca]:[Bắt đầu]]),0)),
$AA46&lt;MIN(BF$5,VLOOKUP(BF$6, Table_ChiPhiNV_Ca[], COUNTA(Table_ChiPhiNV_Ca[[#Headers],[Ca]:[Kết thúc]]),0))),
SUM(_xlfn._xlws.FILTER(Table_BangLuong_TyLeTangCa[Tỷ lệ],
(Table_BangLuong_TyLeTangCa[Ngày] = "Thường") *
(Table_BangLuong_TyLeTangCa[Giờ min]&lt;=$AA46) *
(Table_BangLuong_TyLeTangCa[Giờ max]&gt;$AA46)
)),0)
)),
IF(BF$4 &lt; BF$5,
IF($AA46-$Z$4&lt;BF$4,0,
IF($AA46&gt;BF$5,0,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BF$5,$AA46 &lt; BF$4),0,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row>
    <row r="47" spans="2:58" ht="18" customHeight="1" outlineLevel="1" x14ac:dyDescent="0.3">
      <c r="AA47" s="50">
        <v>0.79166666666666696</v>
      </c>
      <c r="AB47" s="18" cm="1">
        <f t="array" ref="AB47" xml:space="preserve">
IFERROR(
IF(AB$1="",0,
IF(AND(
$AA47&gt;=VLOOKUP(AB$6, Table_ChiPhiNV_Ca[], COUNTA(Table_ChiPhiNV_Ca[[#Headers],[Ca]:[Bắt đầu nghỉ]]),0),
$AA47&lt;VLOOKUP(AB$6, Table_ChiPhiNV_Ca[], COUNTA(Table_ChiPhiNV_Ca[[#Headers],[Ca]:[Kết thúc nghỉ]]),0)
),0,
IF(NOT(ISBLANK(AB$3)),
IF(ISBLANK(AB$7),0,
IF(AB$4 &lt; AB$5,
IF($AA47-$Z$4&lt;AB$4,0,
IF($AA47&gt;AB$5,0,
SUM(_xlfn._xlws.FILTER(Table_BangLuong_TyLeTangCa[Tỷ lệ],
(Table_BangLuong_TyLeTangCa[Ngày] = AB$3) *
(Table_BangLuong_TyLeTangCa[Giờ min]&lt;=$AA47) *
(Table_BangLuong_TyLeTangCa[Giờ max]&gt;$AA47)
)))),
IF(AND($AA47-$Z$4 &gt;= AB$5,$AA47 &lt; AB$4),0,
SUM(_xlfn._xlws.FILTER(Table_BangLuong_TyLeTangCa[Tỷ lệ],
(Table_BangLuong_TyLeTangCa[Ngày] = AB$3) *
(Table_BangLuong_TyLeTangCa[Giờ min]&lt;=$AA47) *
(Table_BangLuong_TyLeTangCa[Giờ max]&gt;$AA47)
))))
),
IF(ISBLANK(AB$7),
IF(VLOOKUP(AB$6, Table_ChiPhiNV_Ca[], COUNTA(Table_ChiPhiNV_Ca[[#Headers],[Ca]:[Kết thúc]]),0)&gt; VLOOKUP(AB$6, Table_ChiPhiNV_Ca[], COUNTA(Table_ChiPhiNV_Ca[[#Headers],[Ca]:[Bắt đầu]]),0),
IF($AA47-$Z$4&lt;MAX(AB$4,VLOOKUP(AB$6, Table_ChiPhiNV_Ca[], COUNTA(Table_ChiPhiNV_Ca[[#Headers],[Ca]:[Bắt đầu]]),0)),0,
IF($AA47&gt;MIN(AB$5,VLOOKUP(AB$6, Table_ChiPhiNV_Ca[], COUNTA(Table_ChiPhiNV_Ca[[#Headers],[Ca]:[Kết thúc]]),0)),0,
SUM(_xlfn._xlws.FILTER(Table_BangLuong_TyLeTangCa[Tỷ lệ],
(Table_BangLuong_TyLeTangCa[Ngày] = "Thường") *
(Table_BangLuong_TyLeTangCa[Giờ min]&lt;=$AA47) *
(Table_BangLuong_TyLeTangCa[Giờ max]&gt;$AA47)
)))),
IF(AB$4 &gt; AB$5,
IF(
AND(
$AA47-$Z$4&lt;MAX(AB$4,VLOOKUP(AB$6, Table_ChiPhiNV_Ca[], COUNTA(Table_ChiPhiNV_Ca[[#Headers],[Ca]:[Bắt đầu]]),0)),
$AA47&gt;MIN(AB$5,VLOOKUP(AB$6, Table_ChiPhiNV_Ca[], COUNTA(Table_ChiPhiNV_Ca[[#Headers],[Ca]:[Kết thúc]]),0))),0,
SUM(_xlfn._xlws.FILTER(Table_BangLuong_TyLeTangCa[Tỷ lệ],
(Table_BangLuong_TyLeTangCa[Ngày] = "Thường") *
(Table_BangLuong_TyLeTangCa[Giờ min]&lt;=$AA47) *
(Table_BangLuong_TyLeTangCa[Giờ max]&gt;$AA47)
))),
IF(
AND(
$AA47-$Z$4&gt;=MAX(AB$4,VLOOKUP(AB$6, Table_ChiPhiNV_Ca[], COUNTA(Table_ChiPhiNV_Ca[[#Headers],[Ca]:[Bắt đầu]]),0)),
$AA47&lt;MIN(AB$5,VLOOKUP(AB$6, Table_ChiPhiNV_Ca[], COUNTA(Table_ChiPhiNV_Ca[[#Headers],[Ca]:[Kết thúc]]),0))),
SUM(_xlfn._xlws.FILTER(Table_BangLuong_TyLeTangCa[Tỷ lệ],
(Table_BangLuong_TyLeTangCa[Ngày] = "Thường") *
(Table_BangLuong_TyLeTangCa[Giờ min]&lt;=$AA47) *
(Table_BangLuong_TyLeTangCa[Giờ max]&gt;$AA47)
)),0)
)),
IF(AB$4 &lt; AB$5,
IF($AA47-$Z$4&lt;AB$4,0,
IF($AA47&gt;AB$5,0,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AB$5,$AA47 &lt; AB$4),0,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C47" s="18" cm="1">
        <f t="array" ref="AC47" xml:space="preserve">
IFERROR(
IF(AC$1="",0,
IF(AND(
$AA47&gt;=VLOOKUP(AC$6, Table_ChiPhiNV_Ca[], COUNTA(Table_ChiPhiNV_Ca[[#Headers],[Ca]:[Bắt đầu nghỉ]]),0),
$AA47&lt;VLOOKUP(AC$6, Table_ChiPhiNV_Ca[], COUNTA(Table_ChiPhiNV_Ca[[#Headers],[Ca]:[Kết thúc nghỉ]]),0)
),0,
IF(NOT(ISBLANK(AC$3)),
IF(ISBLANK(AC$7),0,
IF(AC$4 &lt; AC$5,
IF($AA47-$Z$4&lt;AC$4,0,
IF($AA47&gt;AC$5,0,
SUM(_xlfn._xlws.FILTER(Table_BangLuong_TyLeTangCa[Tỷ lệ],
(Table_BangLuong_TyLeTangCa[Ngày] = AC$3) *
(Table_BangLuong_TyLeTangCa[Giờ min]&lt;=$AA47) *
(Table_BangLuong_TyLeTangCa[Giờ max]&gt;$AA47)
)))),
IF(AND($AA47-$Z$4 &gt;= AC$5,$AA47 &lt; AC$4),0,
SUM(_xlfn._xlws.FILTER(Table_BangLuong_TyLeTangCa[Tỷ lệ],
(Table_BangLuong_TyLeTangCa[Ngày] = AC$3) *
(Table_BangLuong_TyLeTangCa[Giờ min]&lt;=$AA47) *
(Table_BangLuong_TyLeTangCa[Giờ max]&gt;$AA47)
))))
),
IF(ISBLANK(AC$7),
IF(VLOOKUP(AC$6, Table_ChiPhiNV_Ca[], COUNTA(Table_ChiPhiNV_Ca[[#Headers],[Ca]:[Kết thúc]]),0)&gt; VLOOKUP(AC$6, Table_ChiPhiNV_Ca[], COUNTA(Table_ChiPhiNV_Ca[[#Headers],[Ca]:[Bắt đầu]]),0),
IF($AA47-$Z$4&lt;MAX(AC$4,VLOOKUP(AC$6, Table_ChiPhiNV_Ca[], COUNTA(Table_ChiPhiNV_Ca[[#Headers],[Ca]:[Bắt đầu]]),0)),0,
IF($AA47&gt;MIN(AC$5,VLOOKUP(AC$6, Table_ChiPhiNV_Ca[], COUNTA(Table_ChiPhiNV_Ca[[#Headers],[Ca]:[Kết thúc]]),0)),0,
SUM(_xlfn._xlws.FILTER(Table_BangLuong_TyLeTangCa[Tỷ lệ],
(Table_BangLuong_TyLeTangCa[Ngày] = "Thường") *
(Table_BangLuong_TyLeTangCa[Giờ min]&lt;=$AA47) *
(Table_BangLuong_TyLeTangCa[Giờ max]&gt;$AA47)
)))),
IF(AC$4 &gt; AC$5,
IF(
AND(
$AA47-$Z$4&lt;MAX(AC$4,VLOOKUP(AC$6, Table_ChiPhiNV_Ca[], COUNTA(Table_ChiPhiNV_Ca[[#Headers],[Ca]:[Bắt đầu]]),0)),
$AA47&gt;MIN(AC$5,VLOOKUP(AC$6, Table_ChiPhiNV_Ca[], COUNTA(Table_ChiPhiNV_Ca[[#Headers],[Ca]:[Kết thúc]]),0))),0,
SUM(_xlfn._xlws.FILTER(Table_BangLuong_TyLeTangCa[Tỷ lệ],
(Table_BangLuong_TyLeTangCa[Ngày] = "Thường") *
(Table_BangLuong_TyLeTangCa[Giờ min]&lt;=$AA47) *
(Table_BangLuong_TyLeTangCa[Giờ max]&gt;$AA47)
))),
IF(
AND(
$AA47-$Z$4&gt;=MAX(AC$4,VLOOKUP(AC$6, Table_ChiPhiNV_Ca[], COUNTA(Table_ChiPhiNV_Ca[[#Headers],[Ca]:[Bắt đầu]]),0)),
$AA47&lt;MIN(AC$5,VLOOKUP(AC$6, Table_ChiPhiNV_Ca[], COUNTA(Table_ChiPhiNV_Ca[[#Headers],[Ca]:[Kết thúc]]),0))),
SUM(_xlfn._xlws.FILTER(Table_BangLuong_TyLeTangCa[Tỷ lệ],
(Table_BangLuong_TyLeTangCa[Ngày] = "Thường") *
(Table_BangLuong_TyLeTangCa[Giờ min]&lt;=$AA47) *
(Table_BangLuong_TyLeTangCa[Giờ max]&gt;$AA47)
)),0)
)),
IF(AC$4 &lt; AC$5,
IF($AA47-$Z$4&lt;AC$4,0,
IF($AA47&gt;AC$5,0,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AC$5,$AA47 &lt; AC$4),0,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1.5</v>
      </c>
      <c r="AD47" s="18" cm="1">
        <f t="array" ref="AD47" xml:space="preserve">
IFERROR(
IF(AD$1="",0,
IF(AND(
$AA47&gt;=VLOOKUP(AD$6, Table_ChiPhiNV_Ca[], COUNTA(Table_ChiPhiNV_Ca[[#Headers],[Ca]:[Bắt đầu nghỉ]]),0),
$AA47&lt;VLOOKUP(AD$6, Table_ChiPhiNV_Ca[], COUNTA(Table_ChiPhiNV_Ca[[#Headers],[Ca]:[Kết thúc nghỉ]]),0)
),0,
IF(NOT(ISBLANK(AD$3)),
IF(ISBLANK(AD$7),0,
IF(AD$4 &lt; AD$5,
IF($AA47-$Z$4&lt;AD$4,0,
IF($AA47&gt;AD$5,0,
SUM(_xlfn._xlws.FILTER(Table_BangLuong_TyLeTangCa[Tỷ lệ],
(Table_BangLuong_TyLeTangCa[Ngày] = AD$3) *
(Table_BangLuong_TyLeTangCa[Giờ min]&lt;=$AA47) *
(Table_BangLuong_TyLeTangCa[Giờ max]&gt;$AA47)
)))),
IF(AND($AA47-$Z$4 &gt;= AD$5,$AA47 &lt; AD$4),0,
SUM(_xlfn._xlws.FILTER(Table_BangLuong_TyLeTangCa[Tỷ lệ],
(Table_BangLuong_TyLeTangCa[Ngày] = AD$3) *
(Table_BangLuong_TyLeTangCa[Giờ min]&lt;=$AA47) *
(Table_BangLuong_TyLeTangCa[Giờ max]&gt;$AA47)
))))
),
IF(ISBLANK(AD$7),
IF(VLOOKUP(AD$6, Table_ChiPhiNV_Ca[], COUNTA(Table_ChiPhiNV_Ca[[#Headers],[Ca]:[Kết thúc]]),0)&gt; VLOOKUP(AD$6, Table_ChiPhiNV_Ca[], COUNTA(Table_ChiPhiNV_Ca[[#Headers],[Ca]:[Bắt đầu]]),0),
IF($AA47-$Z$4&lt;MAX(AD$4,VLOOKUP(AD$6, Table_ChiPhiNV_Ca[], COUNTA(Table_ChiPhiNV_Ca[[#Headers],[Ca]:[Bắt đầu]]),0)),0,
IF($AA47&gt;MIN(AD$5,VLOOKUP(AD$6, Table_ChiPhiNV_Ca[], COUNTA(Table_ChiPhiNV_Ca[[#Headers],[Ca]:[Kết thúc]]),0)),0,
SUM(_xlfn._xlws.FILTER(Table_BangLuong_TyLeTangCa[Tỷ lệ],
(Table_BangLuong_TyLeTangCa[Ngày] = "Thường") *
(Table_BangLuong_TyLeTangCa[Giờ min]&lt;=$AA47) *
(Table_BangLuong_TyLeTangCa[Giờ max]&gt;$AA47)
)))),
IF(AD$4 &gt; AD$5,
IF(
AND(
$AA47-$Z$4&lt;MAX(AD$4,VLOOKUP(AD$6, Table_ChiPhiNV_Ca[], COUNTA(Table_ChiPhiNV_Ca[[#Headers],[Ca]:[Bắt đầu]]),0)),
$AA47&gt;MIN(AD$5,VLOOKUP(AD$6, Table_ChiPhiNV_Ca[], COUNTA(Table_ChiPhiNV_Ca[[#Headers],[Ca]:[Kết thúc]]),0))),0,
SUM(_xlfn._xlws.FILTER(Table_BangLuong_TyLeTangCa[Tỷ lệ],
(Table_BangLuong_TyLeTangCa[Ngày] = "Thường") *
(Table_BangLuong_TyLeTangCa[Giờ min]&lt;=$AA47) *
(Table_BangLuong_TyLeTangCa[Giờ max]&gt;$AA47)
))),
IF(
AND(
$AA47-$Z$4&gt;=MAX(AD$4,VLOOKUP(AD$6, Table_ChiPhiNV_Ca[], COUNTA(Table_ChiPhiNV_Ca[[#Headers],[Ca]:[Bắt đầu]]),0)),
$AA47&lt;MIN(AD$5,VLOOKUP(AD$6, Table_ChiPhiNV_Ca[], COUNTA(Table_ChiPhiNV_Ca[[#Headers],[Ca]:[Kết thúc]]),0))),
SUM(_xlfn._xlws.FILTER(Table_BangLuong_TyLeTangCa[Tỷ lệ],
(Table_BangLuong_TyLeTangCa[Ngày] = "Thường") *
(Table_BangLuong_TyLeTangCa[Giờ min]&lt;=$AA47) *
(Table_BangLuong_TyLeTangCa[Giờ max]&gt;$AA47)
)),0)
)),
IF(AD$4 &lt; AD$5,
IF($AA47-$Z$4&lt;AD$4,0,
IF($AA47&gt;AD$5,0,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AD$5,$AA47 &lt; AD$4),0,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E47" s="18" cm="1">
        <f t="array" ref="AE47" xml:space="preserve">
IFERROR(
IF(AE$1="",0,
IF(AND(
$AA47&gt;=VLOOKUP(AE$6, Table_ChiPhiNV_Ca[], COUNTA(Table_ChiPhiNV_Ca[[#Headers],[Ca]:[Bắt đầu nghỉ]]),0),
$AA47&lt;VLOOKUP(AE$6, Table_ChiPhiNV_Ca[], COUNTA(Table_ChiPhiNV_Ca[[#Headers],[Ca]:[Kết thúc nghỉ]]),0)
),0,
IF(NOT(ISBLANK(AE$3)),
IF(ISBLANK(AE$7),0,
IF(AE$4 &lt; AE$5,
IF($AA47-$Z$4&lt;AE$4,0,
IF($AA47&gt;AE$5,0,
SUM(_xlfn._xlws.FILTER(Table_BangLuong_TyLeTangCa[Tỷ lệ],
(Table_BangLuong_TyLeTangCa[Ngày] = AE$3) *
(Table_BangLuong_TyLeTangCa[Giờ min]&lt;=$AA47) *
(Table_BangLuong_TyLeTangCa[Giờ max]&gt;$AA47)
)))),
IF(AND($AA47-$Z$4 &gt;= AE$5,$AA47 &lt; AE$4),0,
SUM(_xlfn._xlws.FILTER(Table_BangLuong_TyLeTangCa[Tỷ lệ],
(Table_BangLuong_TyLeTangCa[Ngày] = AE$3) *
(Table_BangLuong_TyLeTangCa[Giờ min]&lt;=$AA47) *
(Table_BangLuong_TyLeTangCa[Giờ max]&gt;$AA47)
))))
),
IF(ISBLANK(AE$7),
IF(VLOOKUP(AE$6, Table_ChiPhiNV_Ca[], COUNTA(Table_ChiPhiNV_Ca[[#Headers],[Ca]:[Kết thúc]]),0)&gt; VLOOKUP(AE$6, Table_ChiPhiNV_Ca[], COUNTA(Table_ChiPhiNV_Ca[[#Headers],[Ca]:[Bắt đầu]]),0),
IF($AA47-$Z$4&lt;MAX(AE$4,VLOOKUP(AE$6, Table_ChiPhiNV_Ca[], COUNTA(Table_ChiPhiNV_Ca[[#Headers],[Ca]:[Bắt đầu]]),0)),0,
IF($AA47&gt;MIN(AE$5,VLOOKUP(AE$6, Table_ChiPhiNV_Ca[], COUNTA(Table_ChiPhiNV_Ca[[#Headers],[Ca]:[Kết thúc]]),0)),0,
SUM(_xlfn._xlws.FILTER(Table_BangLuong_TyLeTangCa[Tỷ lệ],
(Table_BangLuong_TyLeTangCa[Ngày] = "Thường") *
(Table_BangLuong_TyLeTangCa[Giờ min]&lt;=$AA47) *
(Table_BangLuong_TyLeTangCa[Giờ max]&gt;$AA47)
)))),
IF(AE$4 &gt; AE$5,
IF(
AND(
$AA47-$Z$4&lt;MAX(AE$4,VLOOKUP(AE$6, Table_ChiPhiNV_Ca[], COUNTA(Table_ChiPhiNV_Ca[[#Headers],[Ca]:[Bắt đầu]]),0)),
$AA47&gt;MIN(AE$5,VLOOKUP(AE$6, Table_ChiPhiNV_Ca[], COUNTA(Table_ChiPhiNV_Ca[[#Headers],[Ca]:[Kết thúc]]),0))),0,
SUM(_xlfn._xlws.FILTER(Table_BangLuong_TyLeTangCa[Tỷ lệ],
(Table_BangLuong_TyLeTangCa[Ngày] = "Thường") *
(Table_BangLuong_TyLeTangCa[Giờ min]&lt;=$AA47) *
(Table_BangLuong_TyLeTangCa[Giờ max]&gt;$AA47)
))),
IF(
AND(
$AA47-$Z$4&gt;=MAX(AE$4,VLOOKUP(AE$6, Table_ChiPhiNV_Ca[], COUNTA(Table_ChiPhiNV_Ca[[#Headers],[Ca]:[Bắt đầu]]),0)),
$AA47&lt;MIN(AE$5,VLOOKUP(AE$6, Table_ChiPhiNV_Ca[], COUNTA(Table_ChiPhiNV_Ca[[#Headers],[Ca]:[Kết thúc]]),0))),
SUM(_xlfn._xlws.FILTER(Table_BangLuong_TyLeTangCa[Tỷ lệ],
(Table_BangLuong_TyLeTangCa[Ngày] = "Thường") *
(Table_BangLuong_TyLeTangCa[Giờ min]&lt;=$AA47) *
(Table_BangLuong_TyLeTangCa[Giờ max]&gt;$AA47)
)),0)
)),
IF(AE$4 &lt; AE$5,
IF($AA47-$Z$4&lt;AE$4,0,
IF($AA47&gt;AE$5,0,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AE$5,$AA47 &lt; AE$4),0,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F47" s="18" cm="1">
        <f t="array" ref="AF47" xml:space="preserve">
IFERROR(
IF(AF$1="",0,
IF(AND(
$AA47&gt;=VLOOKUP(AF$6, Table_ChiPhiNV_Ca[], COUNTA(Table_ChiPhiNV_Ca[[#Headers],[Ca]:[Bắt đầu nghỉ]]),0),
$AA47&lt;VLOOKUP(AF$6, Table_ChiPhiNV_Ca[], COUNTA(Table_ChiPhiNV_Ca[[#Headers],[Ca]:[Kết thúc nghỉ]]),0)
),0,
IF(NOT(ISBLANK(AF$3)),
IF(ISBLANK(AF$7),0,
IF(AF$4 &lt; AF$5,
IF($AA47-$Z$4&lt;AF$4,0,
IF($AA47&gt;AF$5,0,
SUM(_xlfn._xlws.FILTER(Table_BangLuong_TyLeTangCa[Tỷ lệ],
(Table_BangLuong_TyLeTangCa[Ngày] = AF$3) *
(Table_BangLuong_TyLeTangCa[Giờ min]&lt;=$AA47) *
(Table_BangLuong_TyLeTangCa[Giờ max]&gt;$AA47)
)))),
IF(AND($AA47-$Z$4 &gt;= AF$5,$AA47 &lt; AF$4),0,
SUM(_xlfn._xlws.FILTER(Table_BangLuong_TyLeTangCa[Tỷ lệ],
(Table_BangLuong_TyLeTangCa[Ngày] = AF$3) *
(Table_BangLuong_TyLeTangCa[Giờ min]&lt;=$AA47) *
(Table_BangLuong_TyLeTangCa[Giờ max]&gt;$AA47)
))))
),
IF(ISBLANK(AF$7),
IF(VLOOKUP(AF$6, Table_ChiPhiNV_Ca[], COUNTA(Table_ChiPhiNV_Ca[[#Headers],[Ca]:[Kết thúc]]),0)&gt; VLOOKUP(AF$6, Table_ChiPhiNV_Ca[], COUNTA(Table_ChiPhiNV_Ca[[#Headers],[Ca]:[Bắt đầu]]),0),
IF($AA47-$Z$4&lt;MAX(AF$4,VLOOKUP(AF$6, Table_ChiPhiNV_Ca[], COUNTA(Table_ChiPhiNV_Ca[[#Headers],[Ca]:[Bắt đầu]]),0)),0,
IF($AA47&gt;MIN(AF$5,VLOOKUP(AF$6, Table_ChiPhiNV_Ca[], COUNTA(Table_ChiPhiNV_Ca[[#Headers],[Ca]:[Kết thúc]]),0)),0,
SUM(_xlfn._xlws.FILTER(Table_BangLuong_TyLeTangCa[Tỷ lệ],
(Table_BangLuong_TyLeTangCa[Ngày] = "Thường") *
(Table_BangLuong_TyLeTangCa[Giờ min]&lt;=$AA47) *
(Table_BangLuong_TyLeTangCa[Giờ max]&gt;$AA47)
)))),
IF(AF$4 &gt; AF$5,
IF(
AND(
$AA47-$Z$4&lt;MAX(AF$4,VLOOKUP(AF$6, Table_ChiPhiNV_Ca[], COUNTA(Table_ChiPhiNV_Ca[[#Headers],[Ca]:[Bắt đầu]]),0)),
$AA47&gt;MIN(AF$5,VLOOKUP(AF$6, Table_ChiPhiNV_Ca[], COUNTA(Table_ChiPhiNV_Ca[[#Headers],[Ca]:[Kết thúc]]),0))),0,
SUM(_xlfn._xlws.FILTER(Table_BangLuong_TyLeTangCa[Tỷ lệ],
(Table_BangLuong_TyLeTangCa[Ngày] = "Thường") *
(Table_BangLuong_TyLeTangCa[Giờ min]&lt;=$AA47) *
(Table_BangLuong_TyLeTangCa[Giờ max]&gt;$AA47)
))),
IF(
AND(
$AA47-$Z$4&gt;=MAX(AF$4,VLOOKUP(AF$6, Table_ChiPhiNV_Ca[], COUNTA(Table_ChiPhiNV_Ca[[#Headers],[Ca]:[Bắt đầu]]),0)),
$AA47&lt;MIN(AF$5,VLOOKUP(AF$6, Table_ChiPhiNV_Ca[], COUNTA(Table_ChiPhiNV_Ca[[#Headers],[Ca]:[Kết thúc]]),0))),
SUM(_xlfn._xlws.FILTER(Table_BangLuong_TyLeTangCa[Tỷ lệ],
(Table_BangLuong_TyLeTangCa[Ngày] = "Thường") *
(Table_BangLuong_TyLeTangCa[Giờ min]&lt;=$AA47) *
(Table_BangLuong_TyLeTangCa[Giờ max]&gt;$AA47)
)),0)
)),
IF(AF$4 &lt; AF$5,
IF($AA47-$Z$4&lt;AF$4,0,
IF($AA47&gt;AF$5,0,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AF$5,$AA47 &lt; AF$4),0,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G47" s="18" cm="1">
        <f t="array" ref="AG47" xml:space="preserve">
IFERROR(
IF(AG$1="",0,
IF(AND(
$AA47&gt;=VLOOKUP(AG$6, Table_ChiPhiNV_Ca[], COUNTA(Table_ChiPhiNV_Ca[[#Headers],[Ca]:[Bắt đầu nghỉ]]),0),
$AA47&lt;VLOOKUP(AG$6, Table_ChiPhiNV_Ca[], COUNTA(Table_ChiPhiNV_Ca[[#Headers],[Ca]:[Kết thúc nghỉ]]),0)
),0,
IF(NOT(ISBLANK(AG$3)),
IF(ISBLANK(AG$7),0,
IF(AG$4 &lt; AG$5,
IF($AA47-$Z$4&lt;AG$4,0,
IF($AA47&gt;AG$5,0,
SUM(_xlfn._xlws.FILTER(Table_BangLuong_TyLeTangCa[Tỷ lệ],
(Table_BangLuong_TyLeTangCa[Ngày] = AG$3) *
(Table_BangLuong_TyLeTangCa[Giờ min]&lt;=$AA47) *
(Table_BangLuong_TyLeTangCa[Giờ max]&gt;$AA47)
)))),
IF(AND($AA47-$Z$4 &gt;= AG$5,$AA47 &lt; AG$4),0,
SUM(_xlfn._xlws.FILTER(Table_BangLuong_TyLeTangCa[Tỷ lệ],
(Table_BangLuong_TyLeTangCa[Ngày] = AG$3) *
(Table_BangLuong_TyLeTangCa[Giờ min]&lt;=$AA47) *
(Table_BangLuong_TyLeTangCa[Giờ max]&gt;$AA47)
))))
),
IF(ISBLANK(AG$7),
IF(VLOOKUP(AG$6, Table_ChiPhiNV_Ca[], COUNTA(Table_ChiPhiNV_Ca[[#Headers],[Ca]:[Kết thúc]]),0)&gt; VLOOKUP(AG$6, Table_ChiPhiNV_Ca[], COUNTA(Table_ChiPhiNV_Ca[[#Headers],[Ca]:[Bắt đầu]]),0),
IF($AA47-$Z$4&lt;MAX(AG$4,VLOOKUP(AG$6, Table_ChiPhiNV_Ca[], COUNTA(Table_ChiPhiNV_Ca[[#Headers],[Ca]:[Bắt đầu]]),0)),0,
IF($AA47&gt;MIN(AG$5,VLOOKUP(AG$6, Table_ChiPhiNV_Ca[], COUNTA(Table_ChiPhiNV_Ca[[#Headers],[Ca]:[Kết thúc]]),0)),0,
SUM(_xlfn._xlws.FILTER(Table_BangLuong_TyLeTangCa[Tỷ lệ],
(Table_BangLuong_TyLeTangCa[Ngày] = "Thường") *
(Table_BangLuong_TyLeTangCa[Giờ min]&lt;=$AA47) *
(Table_BangLuong_TyLeTangCa[Giờ max]&gt;$AA47)
)))),
IF(AG$4 &gt; AG$5,
IF(
AND(
$AA47-$Z$4&lt;MAX(AG$4,VLOOKUP(AG$6, Table_ChiPhiNV_Ca[], COUNTA(Table_ChiPhiNV_Ca[[#Headers],[Ca]:[Bắt đầu]]),0)),
$AA47&gt;MIN(AG$5,VLOOKUP(AG$6, Table_ChiPhiNV_Ca[], COUNTA(Table_ChiPhiNV_Ca[[#Headers],[Ca]:[Kết thúc]]),0))),0,
SUM(_xlfn._xlws.FILTER(Table_BangLuong_TyLeTangCa[Tỷ lệ],
(Table_BangLuong_TyLeTangCa[Ngày] = "Thường") *
(Table_BangLuong_TyLeTangCa[Giờ min]&lt;=$AA47) *
(Table_BangLuong_TyLeTangCa[Giờ max]&gt;$AA47)
))),
IF(
AND(
$AA47-$Z$4&gt;=MAX(AG$4,VLOOKUP(AG$6, Table_ChiPhiNV_Ca[], COUNTA(Table_ChiPhiNV_Ca[[#Headers],[Ca]:[Bắt đầu]]),0)),
$AA47&lt;MIN(AG$5,VLOOKUP(AG$6, Table_ChiPhiNV_Ca[], COUNTA(Table_ChiPhiNV_Ca[[#Headers],[Ca]:[Kết thúc]]),0))),
SUM(_xlfn._xlws.FILTER(Table_BangLuong_TyLeTangCa[Tỷ lệ],
(Table_BangLuong_TyLeTangCa[Ngày] = "Thường") *
(Table_BangLuong_TyLeTangCa[Giờ min]&lt;=$AA47) *
(Table_BangLuong_TyLeTangCa[Giờ max]&gt;$AA47)
)),0)
)),
IF(AG$4 &lt; AG$5,
IF($AA47-$Z$4&lt;AG$4,0,
IF($AA47&gt;AG$5,0,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AG$5,$AA47 &lt; AG$4),0,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H47" s="18" cm="1">
        <f t="array" ref="AH47" xml:space="preserve">
IFERROR(
IF(AH$1="",0,
IF(AND(
$AA47&gt;=VLOOKUP(AH$6, Table_ChiPhiNV_Ca[], COUNTA(Table_ChiPhiNV_Ca[[#Headers],[Ca]:[Bắt đầu nghỉ]]),0),
$AA47&lt;VLOOKUP(AH$6, Table_ChiPhiNV_Ca[], COUNTA(Table_ChiPhiNV_Ca[[#Headers],[Ca]:[Kết thúc nghỉ]]),0)
),0,
IF(NOT(ISBLANK(AH$3)),
IF(ISBLANK(AH$7),0,
IF(AH$4 &lt; AH$5,
IF($AA47-$Z$4&lt;AH$4,0,
IF($AA47&gt;AH$5,0,
SUM(_xlfn._xlws.FILTER(Table_BangLuong_TyLeTangCa[Tỷ lệ],
(Table_BangLuong_TyLeTangCa[Ngày] = AH$3) *
(Table_BangLuong_TyLeTangCa[Giờ min]&lt;=$AA47) *
(Table_BangLuong_TyLeTangCa[Giờ max]&gt;$AA47)
)))),
IF(AND($AA47-$Z$4 &gt;= AH$5,$AA47 &lt; AH$4),0,
SUM(_xlfn._xlws.FILTER(Table_BangLuong_TyLeTangCa[Tỷ lệ],
(Table_BangLuong_TyLeTangCa[Ngày] = AH$3) *
(Table_BangLuong_TyLeTangCa[Giờ min]&lt;=$AA47) *
(Table_BangLuong_TyLeTangCa[Giờ max]&gt;$AA47)
))))
),
IF(ISBLANK(AH$7),
IF(VLOOKUP(AH$6, Table_ChiPhiNV_Ca[], COUNTA(Table_ChiPhiNV_Ca[[#Headers],[Ca]:[Kết thúc]]),0)&gt; VLOOKUP(AH$6, Table_ChiPhiNV_Ca[], COUNTA(Table_ChiPhiNV_Ca[[#Headers],[Ca]:[Bắt đầu]]),0),
IF($AA47-$Z$4&lt;MAX(AH$4,VLOOKUP(AH$6, Table_ChiPhiNV_Ca[], COUNTA(Table_ChiPhiNV_Ca[[#Headers],[Ca]:[Bắt đầu]]),0)),0,
IF($AA47&gt;MIN(AH$5,VLOOKUP(AH$6, Table_ChiPhiNV_Ca[], COUNTA(Table_ChiPhiNV_Ca[[#Headers],[Ca]:[Kết thúc]]),0)),0,
SUM(_xlfn._xlws.FILTER(Table_BangLuong_TyLeTangCa[Tỷ lệ],
(Table_BangLuong_TyLeTangCa[Ngày] = "Thường") *
(Table_BangLuong_TyLeTangCa[Giờ min]&lt;=$AA47) *
(Table_BangLuong_TyLeTangCa[Giờ max]&gt;$AA47)
)))),
IF(AH$4 &gt; AH$5,
IF(
AND(
$AA47-$Z$4&lt;MAX(AH$4,VLOOKUP(AH$6, Table_ChiPhiNV_Ca[], COUNTA(Table_ChiPhiNV_Ca[[#Headers],[Ca]:[Bắt đầu]]),0)),
$AA47&gt;MIN(AH$5,VLOOKUP(AH$6, Table_ChiPhiNV_Ca[], COUNTA(Table_ChiPhiNV_Ca[[#Headers],[Ca]:[Kết thúc]]),0))),0,
SUM(_xlfn._xlws.FILTER(Table_BangLuong_TyLeTangCa[Tỷ lệ],
(Table_BangLuong_TyLeTangCa[Ngày] = "Thường") *
(Table_BangLuong_TyLeTangCa[Giờ min]&lt;=$AA47) *
(Table_BangLuong_TyLeTangCa[Giờ max]&gt;$AA47)
))),
IF(
AND(
$AA47-$Z$4&gt;=MAX(AH$4,VLOOKUP(AH$6, Table_ChiPhiNV_Ca[], COUNTA(Table_ChiPhiNV_Ca[[#Headers],[Ca]:[Bắt đầu]]),0)),
$AA47&lt;MIN(AH$5,VLOOKUP(AH$6, Table_ChiPhiNV_Ca[], COUNTA(Table_ChiPhiNV_Ca[[#Headers],[Ca]:[Kết thúc]]),0))),
SUM(_xlfn._xlws.FILTER(Table_BangLuong_TyLeTangCa[Tỷ lệ],
(Table_BangLuong_TyLeTangCa[Ngày] = "Thường") *
(Table_BangLuong_TyLeTangCa[Giờ min]&lt;=$AA47) *
(Table_BangLuong_TyLeTangCa[Giờ max]&gt;$AA47)
)),0)
)),
IF(AH$4 &lt; AH$5,
IF($AA47-$Z$4&lt;AH$4,0,
IF($AA47&gt;AH$5,0,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AH$5,$AA47 &lt; AH$4),0,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I47" s="18" cm="1">
        <f t="array" ref="AI47" xml:space="preserve">
IFERROR(
IF(AI$1="",0,
IF(AND(
$AA47&gt;=VLOOKUP(AI$6, Table_ChiPhiNV_Ca[], COUNTA(Table_ChiPhiNV_Ca[[#Headers],[Ca]:[Bắt đầu nghỉ]]),0),
$AA47&lt;VLOOKUP(AI$6, Table_ChiPhiNV_Ca[], COUNTA(Table_ChiPhiNV_Ca[[#Headers],[Ca]:[Kết thúc nghỉ]]),0)
),0,
IF(NOT(ISBLANK(AI$3)),
IF(ISBLANK(AI$7),0,
IF(AI$4 &lt; AI$5,
IF($AA47-$Z$4&lt;AI$4,0,
IF($AA47&gt;AI$5,0,
SUM(_xlfn._xlws.FILTER(Table_BangLuong_TyLeTangCa[Tỷ lệ],
(Table_BangLuong_TyLeTangCa[Ngày] = AI$3) *
(Table_BangLuong_TyLeTangCa[Giờ min]&lt;=$AA47) *
(Table_BangLuong_TyLeTangCa[Giờ max]&gt;$AA47)
)))),
IF(AND($AA47-$Z$4 &gt;= AI$5,$AA47 &lt; AI$4),0,
SUM(_xlfn._xlws.FILTER(Table_BangLuong_TyLeTangCa[Tỷ lệ],
(Table_BangLuong_TyLeTangCa[Ngày] = AI$3) *
(Table_BangLuong_TyLeTangCa[Giờ min]&lt;=$AA47) *
(Table_BangLuong_TyLeTangCa[Giờ max]&gt;$AA47)
))))
),
IF(ISBLANK(AI$7),
IF(VLOOKUP(AI$6, Table_ChiPhiNV_Ca[], COUNTA(Table_ChiPhiNV_Ca[[#Headers],[Ca]:[Kết thúc]]),0)&gt; VLOOKUP(AI$6, Table_ChiPhiNV_Ca[], COUNTA(Table_ChiPhiNV_Ca[[#Headers],[Ca]:[Bắt đầu]]),0),
IF($AA47-$Z$4&lt;MAX(AI$4,VLOOKUP(AI$6, Table_ChiPhiNV_Ca[], COUNTA(Table_ChiPhiNV_Ca[[#Headers],[Ca]:[Bắt đầu]]),0)),0,
IF($AA47&gt;MIN(AI$5,VLOOKUP(AI$6, Table_ChiPhiNV_Ca[], COUNTA(Table_ChiPhiNV_Ca[[#Headers],[Ca]:[Kết thúc]]),0)),0,
SUM(_xlfn._xlws.FILTER(Table_BangLuong_TyLeTangCa[Tỷ lệ],
(Table_BangLuong_TyLeTangCa[Ngày] = "Thường") *
(Table_BangLuong_TyLeTangCa[Giờ min]&lt;=$AA47) *
(Table_BangLuong_TyLeTangCa[Giờ max]&gt;$AA47)
)))),
IF(AI$4 &gt; AI$5,
IF(
AND(
$AA47-$Z$4&lt;MAX(AI$4,VLOOKUP(AI$6, Table_ChiPhiNV_Ca[], COUNTA(Table_ChiPhiNV_Ca[[#Headers],[Ca]:[Bắt đầu]]),0)),
$AA47&gt;MIN(AI$5,VLOOKUP(AI$6, Table_ChiPhiNV_Ca[], COUNTA(Table_ChiPhiNV_Ca[[#Headers],[Ca]:[Kết thúc]]),0))),0,
SUM(_xlfn._xlws.FILTER(Table_BangLuong_TyLeTangCa[Tỷ lệ],
(Table_BangLuong_TyLeTangCa[Ngày] = "Thường") *
(Table_BangLuong_TyLeTangCa[Giờ min]&lt;=$AA47) *
(Table_BangLuong_TyLeTangCa[Giờ max]&gt;$AA47)
))),
IF(
AND(
$AA47-$Z$4&gt;=MAX(AI$4,VLOOKUP(AI$6, Table_ChiPhiNV_Ca[], COUNTA(Table_ChiPhiNV_Ca[[#Headers],[Ca]:[Bắt đầu]]),0)),
$AA47&lt;MIN(AI$5,VLOOKUP(AI$6, Table_ChiPhiNV_Ca[], COUNTA(Table_ChiPhiNV_Ca[[#Headers],[Ca]:[Kết thúc]]),0))),
SUM(_xlfn._xlws.FILTER(Table_BangLuong_TyLeTangCa[Tỷ lệ],
(Table_BangLuong_TyLeTangCa[Ngày] = "Thường") *
(Table_BangLuong_TyLeTangCa[Giờ min]&lt;=$AA47) *
(Table_BangLuong_TyLeTangCa[Giờ max]&gt;$AA47)
)),0)
)),
IF(AI$4 &lt; AI$5,
IF($AA47-$Z$4&lt;AI$4,0,
IF($AA47&gt;AI$5,0,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AI$5,$AA47 &lt; AI$4),0,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J47" s="18" cm="1">
        <f t="array" ref="AJ47" xml:space="preserve">
IFERROR(
IF(AJ$1="",0,
IF(AND(
$AA47&gt;=VLOOKUP(AJ$6, Table_ChiPhiNV_Ca[], COUNTA(Table_ChiPhiNV_Ca[[#Headers],[Ca]:[Bắt đầu nghỉ]]),0),
$AA47&lt;VLOOKUP(AJ$6, Table_ChiPhiNV_Ca[], COUNTA(Table_ChiPhiNV_Ca[[#Headers],[Ca]:[Kết thúc nghỉ]]),0)
),0,
IF(NOT(ISBLANK(AJ$3)),
IF(ISBLANK(AJ$7),0,
IF(AJ$4 &lt; AJ$5,
IF($AA47-$Z$4&lt;AJ$4,0,
IF($AA47&gt;AJ$5,0,
SUM(_xlfn._xlws.FILTER(Table_BangLuong_TyLeTangCa[Tỷ lệ],
(Table_BangLuong_TyLeTangCa[Ngày] = AJ$3) *
(Table_BangLuong_TyLeTangCa[Giờ min]&lt;=$AA47) *
(Table_BangLuong_TyLeTangCa[Giờ max]&gt;$AA47)
)))),
IF(AND($AA47-$Z$4 &gt;= AJ$5,$AA47 &lt; AJ$4),0,
SUM(_xlfn._xlws.FILTER(Table_BangLuong_TyLeTangCa[Tỷ lệ],
(Table_BangLuong_TyLeTangCa[Ngày] = AJ$3) *
(Table_BangLuong_TyLeTangCa[Giờ min]&lt;=$AA47) *
(Table_BangLuong_TyLeTangCa[Giờ max]&gt;$AA47)
))))
),
IF(ISBLANK(AJ$7),
IF(VLOOKUP(AJ$6, Table_ChiPhiNV_Ca[], COUNTA(Table_ChiPhiNV_Ca[[#Headers],[Ca]:[Kết thúc]]),0)&gt; VLOOKUP(AJ$6, Table_ChiPhiNV_Ca[], COUNTA(Table_ChiPhiNV_Ca[[#Headers],[Ca]:[Bắt đầu]]),0),
IF($AA47-$Z$4&lt;MAX(AJ$4,VLOOKUP(AJ$6, Table_ChiPhiNV_Ca[], COUNTA(Table_ChiPhiNV_Ca[[#Headers],[Ca]:[Bắt đầu]]),0)),0,
IF($AA47&gt;MIN(AJ$5,VLOOKUP(AJ$6, Table_ChiPhiNV_Ca[], COUNTA(Table_ChiPhiNV_Ca[[#Headers],[Ca]:[Kết thúc]]),0)),0,
SUM(_xlfn._xlws.FILTER(Table_BangLuong_TyLeTangCa[Tỷ lệ],
(Table_BangLuong_TyLeTangCa[Ngày] = "Thường") *
(Table_BangLuong_TyLeTangCa[Giờ min]&lt;=$AA47) *
(Table_BangLuong_TyLeTangCa[Giờ max]&gt;$AA47)
)))),
IF(AJ$4 &gt; AJ$5,
IF(
AND(
$AA47-$Z$4&lt;MAX(AJ$4,VLOOKUP(AJ$6, Table_ChiPhiNV_Ca[], COUNTA(Table_ChiPhiNV_Ca[[#Headers],[Ca]:[Bắt đầu]]),0)),
$AA47&gt;MIN(AJ$5,VLOOKUP(AJ$6, Table_ChiPhiNV_Ca[], COUNTA(Table_ChiPhiNV_Ca[[#Headers],[Ca]:[Kết thúc]]),0))),0,
SUM(_xlfn._xlws.FILTER(Table_BangLuong_TyLeTangCa[Tỷ lệ],
(Table_BangLuong_TyLeTangCa[Ngày] = "Thường") *
(Table_BangLuong_TyLeTangCa[Giờ min]&lt;=$AA47) *
(Table_BangLuong_TyLeTangCa[Giờ max]&gt;$AA47)
))),
IF(
AND(
$AA47-$Z$4&gt;=MAX(AJ$4,VLOOKUP(AJ$6, Table_ChiPhiNV_Ca[], COUNTA(Table_ChiPhiNV_Ca[[#Headers],[Ca]:[Bắt đầu]]),0)),
$AA47&lt;MIN(AJ$5,VLOOKUP(AJ$6, Table_ChiPhiNV_Ca[], COUNTA(Table_ChiPhiNV_Ca[[#Headers],[Ca]:[Kết thúc]]),0))),
SUM(_xlfn._xlws.FILTER(Table_BangLuong_TyLeTangCa[Tỷ lệ],
(Table_BangLuong_TyLeTangCa[Ngày] = "Thường") *
(Table_BangLuong_TyLeTangCa[Giờ min]&lt;=$AA47) *
(Table_BangLuong_TyLeTangCa[Giờ max]&gt;$AA47)
)),0)
)),
IF(AJ$4 &lt; AJ$5,
IF($AA47-$Z$4&lt;AJ$4,0,
IF($AA47&gt;AJ$5,0,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AJ$5,$AA47 &lt; AJ$4),0,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K47" s="18" cm="1">
        <f t="array" ref="AK47" xml:space="preserve">
IFERROR(
IF(AK$1="",0,
IF(AND(
$AA47&gt;=VLOOKUP(AK$6, Table_ChiPhiNV_Ca[], COUNTA(Table_ChiPhiNV_Ca[[#Headers],[Ca]:[Bắt đầu nghỉ]]),0),
$AA47&lt;VLOOKUP(AK$6, Table_ChiPhiNV_Ca[], COUNTA(Table_ChiPhiNV_Ca[[#Headers],[Ca]:[Kết thúc nghỉ]]),0)
),0,
IF(NOT(ISBLANK(AK$3)),
IF(ISBLANK(AK$7),0,
IF(AK$4 &lt; AK$5,
IF($AA47-$Z$4&lt;AK$4,0,
IF($AA47&gt;AK$5,0,
SUM(_xlfn._xlws.FILTER(Table_BangLuong_TyLeTangCa[Tỷ lệ],
(Table_BangLuong_TyLeTangCa[Ngày] = AK$3) *
(Table_BangLuong_TyLeTangCa[Giờ min]&lt;=$AA47) *
(Table_BangLuong_TyLeTangCa[Giờ max]&gt;$AA47)
)))),
IF(AND($AA47-$Z$4 &gt;= AK$5,$AA47 &lt; AK$4),0,
SUM(_xlfn._xlws.FILTER(Table_BangLuong_TyLeTangCa[Tỷ lệ],
(Table_BangLuong_TyLeTangCa[Ngày] = AK$3) *
(Table_BangLuong_TyLeTangCa[Giờ min]&lt;=$AA47) *
(Table_BangLuong_TyLeTangCa[Giờ max]&gt;$AA47)
))))
),
IF(ISBLANK(AK$7),
IF(VLOOKUP(AK$6, Table_ChiPhiNV_Ca[], COUNTA(Table_ChiPhiNV_Ca[[#Headers],[Ca]:[Kết thúc]]),0)&gt; VLOOKUP(AK$6, Table_ChiPhiNV_Ca[], COUNTA(Table_ChiPhiNV_Ca[[#Headers],[Ca]:[Bắt đầu]]),0),
IF($AA47-$Z$4&lt;MAX(AK$4,VLOOKUP(AK$6, Table_ChiPhiNV_Ca[], COUNTA(Table_ChiPhiNV_Ca[[#Headers],[Ca]:[Bắt đầu]]),0)),0,
IF($AA47&gt;MIN(AK$5,VLOOKUP(AK$6, Table_ChiPhiNV_Ca[], COUNTA(Table_ChiPhiNV_Ca[[#Headers],[Ca]:[Kết thúc]]),0)),0,
SUM(_xlfn._xlws.FILTER(Table_BangLuong_TyLeTangCa[Tỷ lệ],
(Table_BangLuong_TyLeTangCa[Ngày] = "Thường") *
(Table_BangLuong_TyLeTangCa[Giờ min]&lt;=$AA47) *
(Table_BangLuong_TyLeTangCa[Giờ max]&gt;$AA47)
)))),
IF(AK$4 &gt; AK$5,
IF(
AND(
$AA47-$Z$4&lt;MAX(AK$4,VLOOKUP(AK$6, Table_ChiPhiNV_Ca[], COUNTA(Table_ChiPhiNV_Ca[[#Headers],[Ca]:[Bắt đầu]]),0)),
$AA47&gt;MIN(AK$5,VLOOKUP(AK$6, Table_ChiPhiNV_Ca[], COUNTA(Table_ChiPhiNV_Ca[[#Headers],[Ca]:[Kết thúc]]),0))),0,
SUM(_xlfn._xlws.FILTER(Table_BangLuong_TyLeTangCa[Tỷ lệ],
(Table_BangLuong_TyLeTangCa[Ngày] = "Thường") *
(Table_BangLuong_TyLeTangCa[Giờ min]&lt;=$AA47) *
(Table_BangLuong_TyLeTangCa[Giờ max]&gt;$AA47)
))),
IF(
AND(
$AA47-$Z$4&gt;=MAX(AK$4,VLOOKUP(AK$6, Table_ChiPhiNV_Ca[], COUNTA(Table_ChiPhiNV_Ca[[#Headers],[Ca]:[Bắt đầu]]),0)),
$AA47&lt;MIN(AK$5,VLOOKUP(AK$6, Table_ChiPhiNV_Ca[], COUNTA(Table_ChiPhiNV_Ca[[#Headers],[Ca]:[Kết thúc]]),0))),
SUM(_xlfn._xlws.FILTER(Table_BangLuong_TyLeTangCa[Tỷ lệ],
(Table_BangLuong_TyLeTangCa[Ngày] = "Thường") *
(Table_BangLuong_TyLeTangCa[Giờ min]&lt;=$AA47) *
(Table_BangLuong_TyLeTangCa[Giờ max]&gt;$AA47)
)),0)
)),
IF(AK$4 &lt; AK$5,
IF($AA47-$Z$4&lt;AK$4,0,
IF($AA47&gt;AK$5,0,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AK$5,$AA47 &lt; AK$4),0,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L47" s="18" cm="1">
        <f t="array" ref="AL47" xml:space="preserve">
IFERROR(
IF(AL$1="",0,
IF(AND(
$AA47&gt;=VLOOKUP(AL$6, Table_ChiPhiNV_Ca[], COUNTA(Table_ChiPhiNV_Ca[[#Headers],[Ca]:[Bắt đầu nghỉ]]),0),
$AA47&lt;VLOOKUP(AL$6, Table_ChiPhiNV_Ca[], COUNTA(Table_ChiPhiNV_Ca[[#Headers],[Ca]:[Kết thúc nghỉ]]),0)
),0,
IF(NOT(ISBLANK(AL$3)),
IF(ISBLANK(AL$7),0,
IF(AL$4 &lt; AL$5,
IF($AA47-$Z$4&lt;AL$4,0,
IF($AA47&gt;AL$5,0,
SUM(_xlfn._xlws.FILTER(Table_BangLuong_TyLeTangCa[Tỷ lệ],
(Table_BangLuong_TyLeTangCa[Ngày] = AL$3) *
(Table_BangLuong_TyLeTangCa[Giờ min]&lt;=$AA47) *
(Table_BangLuong_TyLeTangCa[Giờ max]&gt;$AA47)
)))),
IF(AND($AA47-$Z$4 &gt;= AL$5,$AA47 &lt; AL$4),0,
SUM(_xlfn._xlws.FILTER(Table_BangLuong_TyLeTangCa[Tỷ lệ],
(Table_BangLuong_TyLeTangCa[Ngày] = AL$3) *
(Table_BangLuong_TyLeTangCa[Giờ min]&lt;=$AA47) *
(Table_BangLuong_TyLeTangCa[Giờ max]&gt;$AA47)
))))
),
IF(ISBLANK(AL$7),
IF(VLOOKUP(AL$6, Table_ChiPhiNV_Ca[], COUNTA(Table_ChiPhiNV_Ca[[#Headers],[Ca]:[Kết thúc]]),0)&gt; VLOOKUP(AL$6, Table_ChiPhiNV_Ca[], COUNTA(Table_ChiPhiNV_Ca[[#Headers],[Ca]:[Bắt đầu]]),0),
IF($AA47-$Z$4&lt;MAX(AL$4,VLOOKUP(AL$6, Table_ChiPhiNV_Ca[], COUNTA(Table_ChiPhiNV_Ca[[#Headers],[Ca]:[Bắt đầu]]),0)),0,
IF($AA47&gt;MIN(AL$5,VLOOKUP(AL$6, Table_ChiPhiNV_Ca[], COUNTA(Table_ChiPhiNV_Ca[[#Headers],[Ca]:[Kết thúc]]),0)),0,
SUM(_xlfn._xlws.FILTER(Table_BangLuong_TyLeTangCa[Tỷ lệ],
(Table_BangLuong_TyLeTangCa[Ngày] = "Thường") *
(Table_BangLuong_TyLeTangCa[Giờ min]&lt;=$AA47) *
(Table_BangLuong_TyLeTangCa[Giờ max]&gt;$AA47)
)))),
IF(AL$4 &gt; AL$5,
IF(
AND(
$AA47-$Z$4&lt;MAX(AL$4,VLOOKUP(AL$6, Table_ChiPhiNV_Ca[], COUNTA(Table_ChiPhiNV_Ca[[#Headers],[Ca]:[Bắt đầu]]),0)),
$AA47&gt;MIN(AL$5,VLOOKUP(AL$6, Table_ChiPhiNV_Ca[], COUNTA(Table_ChiPhiNV_Ca[[#Headers],[Ca]:[Kết thúc]]),0))),0,
SUM(_xlfn._xlws.FILTER(Table_BangLuong_TyLeTangCa[Tỷ lệ],
(Table_BangLuong_TyLeTangCa[Ngày] = "Thường") *
(Table_BangLuong_TyLeTangCa[Giờ min]&lt;=$AA47) *
(Table_BangLuong_TyLeTangCa[Giờ max]&gt;$AA47)
))),
IF(
AND(
$AA47-$Z$4&gt;=MAX(AL$4,VLOOKUP(AL$6, Table_ChiPhiNV_Ca[], COUNTA(Table_ChiPhiNV_Ca[[#Headers],[Ca]:[Bắt đầu]]),0)),
$AA47&lt;MIN(AL$5,VLOOKUP(AL$6, Table_ChiPhiNV_Ca[], COUNTA(Table_ChiPhiNV_Ca[[#Headers],[Ca]:[Kết thúc]]),0))),
SUM(_xlfn._xlws.FILTER(Table_BangLuong_TyLeTangCa[Tỷ lệ],
(Table_BangLuong_TyLeTangCa[Ngày] = "Thường") *
(Table_BangLuong_TyLeTangCa[Giờ min]&lt;=$AA47) *
(Table_BangLuong_TyLeTangCa[Giờ max]&gt;$AA47)
)),0)
)),
IF(AL$4 &lt; AL$5,
IF($AA47-$Z$4&lt;AL$4,0,
IF($AA47&gt;AL$5,0,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AL$5,$AA47 &lt; AL$4),0,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M47" s="18" cm="1">
        <f t="array" ref="AM47" xml:space="preserve">
IFERROR(
IF(AM$1="",0,
IF(AND(
$AA47&gt;=VLOOKUP(AM$6, Table_ChiPhiNV_Ca[], COUNTA(Table_ChiPhiNV_Ca[[#Headers],[Ca]:[Bắt đầu nghỉ]]),0),
$AA47&lt;VLOOKUP(AM$6, Table_ChiPhiNV_Ca[], COUNTA(Table_ChiPhiNV_Ca[[#Headers],[Ca]:[Kết thúc nghỉ]]),0)
),0,
IF(NOT(ISBLANK(AM$3)),
IF(ISBLANK(AM$7),0,
IF(AM$4 &lt; AM$5,
IF($AA47-$Z$4&lt;AM$4,0,
IF($AA47&gt;AM$5,0,
SUM(_xlfn._xlws.FILTER(Table_BangLuong_TyLeTangCa[Tỷ lệ],
(Table_BangLuong_TyLeTangCa[Ngày] = AM$3) *
(Table_BangLuong_TyLeTangCa[Giờ min]&lt;=$AA47) *
(Table_BangLuong_TyLeTangCa[Giờ max]&gt;$AA47)
)))),
IF(AND($AA47-$Z$4 &gt;= AM$5,$AA47 &lt; AM$4),0,
SUM(_xlfn._xlws.FILTER(Table_BangLuong_TyLeTangCa[Tỷ lệ],
(Table_BangLuong_TyLeTangCa[Ngày] = AM$3) *
(Table_BangLuong_TyLeTangCa[Giờ min]&lt;=$AA47) *
(Table_BangLuong_TyLeTangCa[Giờ max]&gt;$AA47)
))))
),
IF(ISBLANK(AM$7),
IF(VLOOKUP(AM$6, Table_ChiPhiNV_Ca[], COUNTA(Table_ChiPhiNV_Ca[[#Headers],[Ca]:[Kết thúc]]),0)&gt; VLOOKUP(AM$6, Table_ChiPhiNV_Ca[], COUNTA(Table_ChiPhiNV_Ca[[#Headers],[Ca]:[Bắt đầu]]),0),
IF($AA47-$Z$4&lt;MAX(AM$4,VLOOKUP(AM$6, Table_ChiPhiNV_Ca[], COUNTA(Table_ChiPhiNV_Ca[[#Headers],[Ca]:[Bắt đầu]]),0)),0,
IF($AA47&gt;MIN(AM$5,VLOOKUP(AM$6, Table_ChiPhiNV_Ca[], COUNTA(Table_ChiPhiNV_Ca[[#Headers],[Ca]:[Kết thúc]]),0)),0,
SUM(_xlfn._xlws.FILTER(Table_BangLuong_TyLeTangCa[Tỷ lệ],
(Table_BangLuong_TyLeTangCa[Ngày] = "Thường") *
(Table_BangLuong_TyLeTangCa[Giờ min]&lt;=$AA47) *
(Table_BangLuong_TyLeTangCa[Giờ max]&gt;$AA47)
)))),
IF(AM$4 &gt; AM$5,
IF(
AND(
$AA47-$Z$4&lt;MAX(AM$4,VLOOKUP(AM$6, Table_ChiPhiNV_Ca[], COUNTA(Table_ChiPhiNV_Ca[[#Headers],[Ca]:[Bắt đầu]]),0)),
$AA47&gt;MIN(AM$5,VLOOKUP(AM$6, Table_ChiPhiNV_Ca[], COUNTA(Table_ChiPhiNV_Ca[[#Headers],[Ca]:[Kết thúc]]),0))),0,
SUM(_xlfn._xlws.FILTER(Table_BangLuong_TyLeTangCa[Tỷ lệ],
(Table_BangLuong_TyLeTangCa[Ngày] = "Thường") *
(Table_BangLuong_TyLeTangCa[Giờ min]&lt;=$AA47) *
(Table_BangLuong_TyLeTangCa[Giờ max]&gt;$AA47)
))),
IF(
AND(
$AA47-$Z$4&gt;=MAX(AM$4,VLOOKUP(AM$6, Table_ChiPhiNV_Ca[], COUNTA(Table_ChiPhiNV_Ca[[#Headers],[Ca]:[Bắt đầu]]),0)),
$AA47&lt;MIN(AM$5,VLOOKUP(AM$6, Table_ChiPhiNV_Ca[], COUNTA(Table_ChiPhiNV_Ca[[#Headers],[Ca]:[Kết thúc]]),0))),
SUM(_xlfn._xlws.FILTER(Table_BangLuong_TyLeTangCa[Tỷ lệ],
(Table_BangLuong_TyLeTangCa[Ngày] = "Thường") *
(Table_BangLuong_TyLeTangCa[Giờ min]&lt;=$AA47) *
(Table_BangLuong_TyLeTangCa[Giờ max]&gt;$AA47)
)),0)
)),
IF(AM$4 &lt; AM$5,
IF($AA47-$Z$4&lt;AM$4,0,
IF($AA47&gt;AM$5,0,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AM$5,$AA47 &lt; AM$4),0,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N47" s="18" cm="1">
        <f t="array" ref="AN47" xml:space="preserve">
IFERROR(
IF(AN$1="",0,
IF(AND(
$AA47&gt;=VLOOKUP(AN$6, Table_ChiPhiNV_Ca[], COUNTA(Table_ChiPhiNV_Ca[[#Headers],[Ca]:[Bắt đầu nghỉ]]),0),
$AA47&lt;VLOOKUP(AN$6, Table_ChiPhiNV_Ca[], COUNTA(Table_ChiPhiNV_Ca[[#Headers],[Ca]:[Kết thúc nghỉ]]),0)
),0,
IF(NOT(ISBLANK(AN$3)),
IF(ISBLANK(AN$7),0,
IF(AN$4 &lt; AN$5,
IF($AA47-$Z$4&lt;AN$4,0,
IF($AA47&gt;AN$5,0,
SUM(_xlfn._xlws.FILTER(Table_BangLuong_TyLeTangCa[Tỷ lệ],
(Table_BangLuong_TyLeTangCa[Ngày] = AN$3) *
(Table_BangLuong_TyLeTangCa[Giờ min]&lt;=$AA47) *
(Table_BangLuong_TyLeTangCa[Giờ max]&gt;$AA47)
)))),
IF(AND($AA47-$Z$4 &gt;= AN$5,$AA47 &lt; AN$4),0,
SUM(_xlfn._xlws.FILTER(Table_BangLuong_TyLeTangCa[Tỷ lệ],
(Table_BangLuong_TyLeTangCa[Ngày] = AN$3) *
(Table_BangLuong_TyLeTangCa[Giờ min]&lt;=$AA47) *
(Table_BangLuong_TyLeTangCa[Giờ max]&gt;$AA47)
))))
),
IF(ISBLANK(AN$7),
IF(VLOOKUP(AN$6, Table_ChiPhiNV_Ca[], COUNTA(Table_ChiPhiNV_Ca[[#Headers],[Ca]:[Kết thúc]]),0)&gt; VLOOKUP(AN$6, Table_ChiPhiNV_Ca[], COUNTA(Table_ChiPhiNV_Ca[[#Headers],[Ca]:[Bắt đầu]]),0),
IF($AA47-$Z$4&lt;MAX(AN$4,VLOOKUP(AN$6, Table_ChiPhiNV_Ca[], COUNTA(Table_ChiPhiNV_Ca[[#Headers],[Ca]:[Bắt đầu]]),0)),0,
IF($AA47&gt;MIN(AN$5,VLOOKUP(AN$6, Table_ChiPhiNV_Ca[], COUNTA(Table_ChiPhiNV_Ca[[#Headers],[Ca]:[Kết thúc]]),0)),0,
SUM(_xlfn._xlws.FILTER(Table_BangLuong_TyLeTangCa[Tỷ lệ],
(Table_BangLuong_TyLeTangCa[Ngày] = "Thường") *
(Table_BangLuong_TyLeTangCa[Giờ min]&lt;=$AA47) *
(Table_BangLuong_TyLeTangCa[Giờ max]&gt;$AA47)
)))),
IF(AN$4 &gt; AN$5,
IF(
AND(
$AA47-$Z$4&lt;MAX(AN$4,VLOOKUP(AN$6, Table_ChiPhiNV_Ca[], COUNTA(Table_ChiPhiNV_Ca[[#Headers],[Ca]:[Bắt đầu]]),0)),
$AA47&gt;MIN(AN$5,VLOOKUP(AN$6, Table_ChiPhiNV_Ca[], COUNTA(Table_ChiPhiNV_Ca[[#Headers],[Ca]:[Kết thúc]]),0))),0,
SUM(_xlfn._xlws.FILTER(Table_BangLuong_TyLeTangCa[Tỷ lệ],
(Table_BangLuong_TyLeTangCa[Ngày] = "Thường") *
(Table_BangLuong_TyLeTangCa[Giờ min]&lt;=$AA47) *
(Table_BangLuong_TyLeTangCa[Giờ max]&gt;$AA47)
))),
IF(
AND(
$AA47-$Z$4&gt;=MAX(AN$4,VLOOKUP(AN$6, Table_ChiPhiNV_Ca[], COUNTA(Table_ChiPhiNV_Ca[[#Headers],[Ca]:[Bắt đầu]]),0)),
$AA47&lt;MIN(AN$5,VLOOKUP(AN$6, Table_ChiPhiNV_Ca[], COUNTA(Table_ChiPhiNV_Ca[[#Headers],[Ca]:[Kết thúc]]),0))),
SUM(_xlfn._xlws.FILTER(Table_BangLuong_TyLeTangCa[Tỷ lệ],
(Table_BangLuong_TyLeTangCa[Ngày] = "Thường") *
(Table_BangLuong_TyLeTangCa[Giờ min]&lt;=$AA47) *
(Table_BangLuong_TyLeTangCa[Giờ max]&gt;$AA47)
)),0)
)),
IF(AN$4 &lt; AN$5,
IF($AA47-$Z$4&lt;AN$4,0,
IF($AA47&gt;AN$5,0,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AN$5,$AA47 &lt; AN$4),0,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O47" s="18" cm="1">
        <f t="array" ref="AO47" xml:space="preserve">
IFERROR(
IF(AO$1="",0,
IF(AND(
$AA47&gt;=VLOOKUP(AO$6, Table_ChiPhiNV_Ca[], COUNTA(Table_ChiPhiNV_Ca[[#Headers],[Ca]:[Bắt đầu nghỉ]]),0),
$AA47&lt;VLOOKUP(AO$6, Table_ChiPhiNV_Ca[], COUNTA(Table_ChiPhiNV_Ca[[#Headers],[Ca]:[Kết thúc nghỉ]]),0)
),0,
IF(NOT(ISBLANK(AO$3)),
IF(ISBLANK(AO$7),0,
IF(AO$4 &lt; AO$5,
IF($AA47-$Z$4&lt;AO$4,0,
IF($AA47&gt;AO$5,0,
SUM(_xlfn._xlws.FILTER(Table_BangLuong_TyLeTangCa[Tỷ lệ],
(Table_BangLuong_TyLeTangCa[Ngày] = AO$3) *
(Table_BangLuong_TyLeTangCa[Giờ min]&lt;=$AA47) *
(Table_BangLuong_TyLeTangCa[Giờ max]&gt;$AA47)
)))),
IF(AND($AA47-$Z$4 &gt;= AO$5,$AA47 &lt; AO$4),0,
SUM(_xlfn._xlws.FILTER(Table_BangLuong_TyLeTangCa[Tỷ lệ],
(Table_BangLuong_TyLeTangCa[Ngày] = AO$3) *
(Table_BangLuong_TyLeTangCa[Giờ min]&lt;=$AA47) *
(Table_BangLuong_TyLeTangCa[Giờ max]&gt;$AA47)
))))
),
IF(ISBLANK(AO$7),
IF(VLOOKUP(AO$6, Table_ChiPhiNV_Ca[], COUNTA(Table_ChiPhiNV_Ca[[#Headers],[Ca]:[Kết thúc]]),0)&gt; VLOOKUP(AO$6, Table_ChiPhiNV_Ca[], COUNTA(Table_ChiPhiNV_Ca[[#Headers],[Ca]:[Bắt đầu]]),0),
IF($AA47-$Z$4&lt;MAX(AO$4,VLOOKUP(AO$6, Table_ChiPhiNV_Ca[], COUNTA(Table_ChiPhiNV_Ca[[#Headers],[Ca]:[Bắt đầu]]),0)),0,
IF($AA47&gt;MIN(AO$5,VLOOKUP(AO$6, Table_ChiPhiNV_Ca[], COUNTA(Table_ChiPhiNV_Ca[[#Headers],[Ca]:[Kết thúc]]),0)),0,
SUM(_xlfn._xlws.FILTER(Table_BangLuong_TyLeTangCa[Tỷ lệ],
(Table_BangLuong_TyLeTangCa[Ngày] = "Thường") *
(Table_BangLuong_TyLeTangCa[Giờ min]&lt;=$AA47) *
(Table_BangLuong_TyLeTangCa[Giờ max]&gt;$AA47)
)))),
IF(AO$4 &gt; AO$5,
IF(
AND(
$AA47-$Z$4&lt;MAX(AO$4,VLOOKUP(AO$6, Table_ChiPhiNV_Ca[], COUNTA(Table_ChiPhiNV_Ca[[#Headers],[Ca]:[Bắt đầu]]),0)),
$AA47&gt;MIN(AO$5,VLOOKUP(AO$6, Table_ChiPhiNV_Ca[], COUNTA(Table_ChiPhiNV_Ca[[#Headers],[Ca]:[Kết thúc]]),0))),0,
SUM(_xlfn._xlws.FILTER(Table_BangLuong_TyLeTangCa[Tỷ lệ],
(Table_BangLuong_TyLeTangCa[Ngày] = "Thường") *
(Table_BangLuong_TyLeTangCa[Giờ min]&lt;=$AA47) *
(Table_BangLuong_TyLeTangCa[Giờ max]&gt;$AA47)
))),
IF(
AND(
$AA47-$Z$4&gt;=MAX(AO$4,VLOOKUP(AO$6, Table_ChiPhiNV_Ca[], COUNTA(Table_ChiPhiNV_Ca[[#Headers],[Ca]:[Bắt đầu]]),0)),
$AA47&lt;MIN(AO$5,VLOOKUP(AO$6, Table_ChiPhiNV_Ca[], COUNTA(Table_ChiPhiNV_Ca[[#Headers],[Ca]:[Kết thúc]]),0))),
SUM(_xlfn._xlws.FILTER(Table_BangLuong_TyLeTangCa[Tỷ lệ],
(Table_BangLuong_TyLeTangCa[Ngày] = "Thường") *
(Table_BangLuong_TyLeTangCa[Giờ min]&lt;=$AA47) *
(Table_BangLuong_TyLeTangCa[Giờ max]&gt;$AA47)
)),0)
)),
IF(AO$4 &lt; AO$5,
IF($AA47-$Z$4&lt;AO$4,0,
IF($AA47&gt;AO$5,0,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AO$5,$AA47 &lt; AO$4),0,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P47" s="18" cm="1">
        <f t="array" ref="AP47" xml:space="preserve">
IFERROR(
IF(AP$1="",0,
IF(AND(
$AA47&gt;=VLOOKUP(AP$6, Table_ChiPhiNV_Ca[], COUNTA(Table_ChiPhiNV_Ca[[#Headers],[Ca]:[Bắt đầu nghỉ]]),0),
$AA47&lt;VLOOKUP(AP$6, Table_ChiPhiNV_Ca[], COUNTA(Table_ChiPhiNV_Ca[[#Headers],[Ca]:[Kết thúc nghỉ]]),0)
),0,
IF(NOT(ISBLANK(AP$3)),
IF(ISBLANK(AP$7),0,
IF(AP$4 &lt; AP$5,
IF($AA47-$Z$4&lt;AP$4,0,
IF($AA47&gt;AP$5,0,
SUM(_xlfn._xlws.FILTER(Table_BangLuong_TyLeTangCa[Tỷ lệ],
(Table_BangLuong_TyLeTangCa[Ngày] = AP$3) *
(Table_BangLuong_TyLeTangCa[Giờ min]&lt;=$AA47) *
(Table_BangLuong_TyLeTangCa[Giờ max]&gt;$AA47)
)))),
IF(AND($AA47-$Z$4 &gt;= AP$5,$AA47 &lt; AP$4),0,
SUM(_xlfn._xlws.FILTER(Table_BangLuong_TyLeTangCa[Tỷ lệ],
(Table_BangLuong_TyLeTangCa[Ngày] = AP$3) *
(Table_BangLuong_TyLeTangCa[Giờ min]&lt;=$AA47) *
(Table_BangLuong_TyLeTangCa[Giờ max]&gt;$AA47)
))))
),
IF(ISBLANK(AP$7),
IF(VLOOKUP(AP$6, Table_ChiPhiNV_Ca[], COUNTA(Table_ChiPhiNV_Ca[[#Headers],[Ca]:[Kết thúc]]),0)&gt; VLOOKUP(AP$6, Table_ChiPhiNV_Ca[], COUNTA(Table_ChiPhiNV_Ca[[#Headers],[Ca]:[Bắt đầu]]),0),
IF($AA47-$Z$4&lt;MAX(AP$4,VLOOKUP(AP$6, Table_ChiPhiNV_Ca[], COUNTA(Table_ChiPhiNV_Ca[[#Headers],[Ca]:[Bắt đầu]]),0)),0,
IF($AA47&gt;MIN(AP$5,VLOOKUP(AP$6, Table_ChiPhiNV_Ca[], COUNTA(Table_ChiPhiNV_Ca[[#Headers],[Ca]:[Kết thúc]]),0)),0,
SUM(_xlfn._xlws.FILTER(Table_BangLuong_TyLeTangCa[Tỷ lệ],
(Table_BangLuong_TyLeTangCa[Ngày] = "Thường") *
(Table_BangLuong_TyLeTangCa[Giờ min]&lt;=$AA47) *
(Table_BangLuong_TyLeTangCa[Giờ max]&gt;$AA47)
)))),
IF(AP$4 &gt; AP$5,
IF(
AND(
$AA47-$Z$4&lt;MAX(AP$4,VLOOKUP(AP$6, Table_ChiPhiNV_Ca[], COUNTA(Table_ChiPhiNV_Ca[[#Headers],[Ca]:[Bắt đầu]]),0)),
$AA47&gt;MIN(AP$5,VLOOKUP(AP$6, Table_ChiPhiNV_Ca[], COUNTA(Table_ChiPhiNV_Ca[[#Headers],[Ca]:[Kết thúc]]),0))),0,
SUM(_xlfn._xlws.FILTER(Table_BangLuong_TyLeTangCa[Tỷ lệ],
(Table_BangLuong_TyLeTangCa[Ngày] = "Thường") *
(Table_BangLuong_TyLeTangCa[Giờ min]&lt;=$AA47) *
(Table_BangLuong_TyLeTangCa[Giờ max]&gt;$AA47)
))),
IF(
AND(
$AA47-$Z$4&gt;=MAX(AP$4,VLOOKUP(AP$6, Table_ChiPhiNV_Ca[], COUNTA(Table_ChiPhiNV_Ca[[#Headers],[Ca]:[Bắt đầu]]),0)),
$AA47&lt;MIN(AP$5,VLOOKUP(AP$6, Table_ChiPhiNV_Ca[], COUNTA(Table_ChiPhiNV_Ca[[#Headers],[Ca]:[Kết thúc]]),0))),
SUM(_xlfn._xlws.FILTER(Table_BangLuong_TyLeTangCa[Tỷ lệ],
(Table_BangLuong_TyLeTangCa[Ngày] = "Thường") *
(Table_BangLuong_TyLeTangCa[Giờ min]&lt;=$AA47) *
(Table_BangLuong_TyLeTangCa[Giờ max]&gt;$AA47)
)),0)
)),
IF(AP$4 &lt; AP$5,
IF($AA47-$Z$4&lt;AP$4,0,
IF($AA47&gt;AP$5,0,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AP$5,$AA47 &lt; AP$4),0,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Q47" s="18" cm="1">
        <f t="array" ref="AQ47" xml:space="preserve">
IFERROR(
IF(AQ$1="",0,
IF(AND(
$AA47&gt;=VLOOKUP(AQ$6, Table_ChiPhiNV_Ca[], COUNTA(Table_ChiPhiNV_Ca[[#Headers],[Ca]:[Bắt đầu nghỉ]]),0),
$AA47&lt;VLOOKUP(AQ$6, Table_ChiPhiNV_Ca[], COUNTA(Table_ChiPhiNV_Ca[[#Headers],[Ca]:[Kết thúc nghỉ]]),0)
),0,
IF(NOT(ISBLANK(AQ$3)),
IF(ISBLANK(AQ$7),0,
IF(AQ$4 &lt; AQ$5,
IF($AA47-$Z$4&lt;AQ$4,0,
IF($AA47&gt;AQ$5,0,
SUM(_xlfn._xlws.FILTER(Table_BangLuong_TyLeTangCa[Tỷ lệ],
(Table_BangLuong_TyLeTangCa[Ngày] = AQ$3) *
(Table_BangLuong_TyLeTangCa[Giờ min]&lt;=$AA47) *
(Table_BangLuong_TyLeTangCa[Giờ max]&gt;$AA47)
)))),
IF(AND($AA47-$Z$4 &gt;= AQ$5,$AA47 &lt; AQ$4),0,
SUM(_xlfn._xlws.FILTER(Table_BangLuong_TyLeTangCa[Tỷ lệ],
(Table_BangLuong_TyLeTangCa[Ngày] = AQ$3) *
(Table_BangLuong_TyLeTangCa[Giờ min]&lt;=$AA47) *
(Table_BangLuong_TyLeTangCa[Giờ max]&gt;$AA47)
))))
),
IF(ISBLANK(AQ$7),
IF(VLOOKUP(AQ$6, Table_ChiPhiNV_Ca[], COUNTA(Table_ChiPhiNV_Ca[[#Headers],[Ca]:[Kết thúc]]),0)&gt; VLOOKUP(AQ$6, Table_ChiPhiNV_Ca[], COUNTA(Table_ChiPhiNV_Ca[[#Headers],[Ca]:[Bắt đầu]]),0),
IF($AA47-$Z$4&lt;MAX(AQ$4,VLOOKUP(AQ$6, Table_ChiPhiNV_Ca[], COUNTA(Table_ChiPhiNV_Ca[[#Headers],[Ca]:[Bắt đầu]]),0)),0,
IF($AA47&gt;MIN(AQ$5,VLOOKUP(AQ$6, Table_ChiPhiNV_Ca[], COUNTA(Table_ChiPhiNV_Ca[[#Headers],[Ca]:[Kết thúc]]),0)),0,
SUM(_xlfn._xlws.FILTER(Table_BangLuong_TyLeTangCa[Tỷ lệ],
(Table_BangLuong_TyLeTangCa[Ngày] = "Thường") *
(Table_BangLuong_TyLeTangCa[Giờ min]&lt;=$AA47) *
(Table_BangLuong_TyLeTangCa[Giờ max]&gt;$AA47)
)))),
IF(AQ$4 &gt; AQ$5,
IF(
AND(
$AA47-$Z$4&lt;MAX(AQ$4,VLOOKUP(AQ$6, Table_ChiPhiNV_Ca[], COUNTA(Table_ChiPhiNV_Ca[[#Headers],[Ca]:[Bắt đầu]]),0)),
$AA47&gt;MIN(AQ$5,VLOOKUP(AQ$6, Table_ChiPhiNV_Ca[], COUNTA(Table_ChiPhiNV_Ca[[#Headers],[Ca]:[Kết thúc]]),0))),0,
SUM(_xlfn._xlws.FILTER(Table_BangLuong_TyLeTangCa[Tỷ lệ],
(Table_BangLuong_TyLeTangCa[Ngày] = "Thường") *
(Table_BangLuong_TyLeTangCa[Giờ min]&lt;=$AA47) *
(Table_BangLuong_TyLeTangCa[Giờ max]&gt;$AA47)
))),
IF(
AND(
$AA47-$Z$4&gt;=MAX(AQ$4,VLOOKUP(AQ$6, Table_ChiPhiNV_Ca[], COUNTA(Table_ChiPhiNV_Ca[[#Headers],[Ca]:[Bắt đầu]]),0)),
$AA47&lt;MIN(AQ$5,VLOOKUP(AQ$6, Table_ChiPhiNV_Ca[], COUNTA(Table_ChiPhiNV_Ca[[#Headers],[Ca]:[Kết thúc]]),0))),
SUM(_xlfn._xlws.FILTER(Table_BangLuong_TyLeTangCa[Tỷ lệ],
(Table_BangLuong_TyLeTangCa[Ngày] = "Thường") *
(Table_BangLuong_TyLeTangCa[Giờ min]&lt;=$AA47) *
(Table_BangLuong_TyLeTangCa[Giờ max]&gt;$AA47)
)),0)
)),
IF(AQ$4 &lt; AQ$5,
IF($AA47-$Z$4&lt;AQ$4,0,
IF($AA47&gt;AQ$5,0,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AQ$5,$AA47 &lt; AQ$4),0,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R47" s="18" cm="1">
        <f t="array" ref="AR47" xml:space="preserve">
IFERROR(
IF(AR$1="",0,
IF(AND(
$AA47&gt;=VLOOKUP(AR$6, Table_ChiPhiNV_Ca[], COUNTA(Table_ChiPhiNV_Ca[[#Headers],[Ca]:[Bắt đầu nghỉ]]),0),
$AA47&lt;VLOOKUP(AR$6, Table_ChiPhiNV_Ca[], COUNTA(Table_ChiPhiNV_Ca[[#Headers],[Ca]:[Kết thúc nghỉ]]),0)
),0,
IF(NOT(ISBLANK(AR$3)),
IF(ISBLANK(AR$7),0,
IF(AR$4 &lt; AR$5,
IF($AA47-$Z$4&lt;AR$4,0,
IF($AA47&gt;AR$5,0,
SUM(_xlfn._xlws.FILTER(Table_BangLuong_TyLeTangCa[Tỷ lệ],
(Table_BangLuong_TyLeTangCa[Ngày] = AR$3) *
(Table_BangLuong_TyLeTangCa[Giờ min]&lt;=$AA47) *
(Table_BangLuong_TyLeTangCa[Giờ max]&gt;$AA47)
)))),
IF(AND($AA47-$Z$4 &gt;= AR$5,$AA47 &lt; AR$4),0,
SUM(_xlfn._xlws.FILTER(Table_BangLuong_TyLeTangCa[Tỷ lệ],
(Table_BangLuong_TyLeTangCa[Ngày] = AR$3) *
(Table_BangLuong_TyLeTangCa[Giờ min]&lt;=$AA47) *
(Table_BangLuong_TyLeTangCa[Giờ max]&gt;$AA47)
))))
),
IF(ISBLANK(AR$7),
IF(VLOOKUP(AR$6, Table_ChiPhiNV_Ca[], COUNTA(Table_ChiPhiNV_Ca[[#Headers],[Ca]:[Kết thúc]]),0)&gt; VLOOKUP(AR$6, Table_ChiPhiNV_Ca[], COUNTA(Table_ChiPhiNV_Ca[[#Headers],[Ca]:[Bắt đầu]]),0),
IF($AA47-$Z$4&lt;MAX(AR$4,VLOOKUP(AR$6, Table_ChiPhiNV_Ca[], COUNTA(Table_ChiPhiNV_Ca[[#Headers],[Ca]:[Bắt đầu]]),0)),0,
IF($AA47&gt;MIN(AR$5,VLOOKUP(AR$6, Table_ChiPhiNV_Ca[], COUNTA(Table_ChiPhiNV_Ca[[#Headers],[Ca]:[Kết thúc]]),0)),0,
SUM(_xlfn._xlws.FILTER(Table_BangLuong_TyLeTangCa[Tỷ lệ],
(Table_BangLuong_TyLeTangCa[Ngày] = "Thường") *
(Table_BangLuong_TyLeTangCa[Giờ min]&lt;=$AA47) *
(Table_BangLuong_TyLeTangCa[Giờ max]&gt;$AA47)
)))),
IF(AR$4 &gt; AR$5,
IF(
AND(
$AA47-$Z$4&lt;MAX(AR$4,VLOOKUP(AR$6, Table_ChiPhiNV_Ca[], COUNTA(Table_ChiPhiNV_Ca[[#Headers],[Ca]:[Bắt đầu]]),0)),
$AA47&gt;MIN(AR$5,VLOOKUP(AR$6, Table_ChiPhiNV_Ca[], COUNTA(Table_ChiPhiNV_Ca[[#Headers],[Ca]:[Kết thúc]]),0))),0,
SUM(_xlfn._xlws.FILTER(Table_BangLuong_TyLeTangCa[Tỷ lệ],
(Table_BangLuong_TyLeTangCa[Ngày] = "Thường") *
(Table_BangLuong_TyLeTangCa[Giờ min]&lt;=$AA47) *
(Table_BangLuong_TyLeTangCa[Giờ max]&gt;$AA47)
))),
IF(
AND(
$AA47-$Z$4&gt;=MAX(AR$4,VLOOKUP(AR$6, Table_ChiPhiNV_Ca[], COUNTA(Table_ChiPhiNV_Ca[[#Headers],[Ca]:[Bắt đầu]]),0)),
$AA47&lt;MIN(AR$5,VLOOKUP(AR$6, Table_ChiPhiNV_Ca[], COUNTA(Table_ChiPhiNV_Ca[[#Headers],[Ca]:[Kết thúc]]),0))),
SUM(_xlfn._xlws.FILTER(Table_BangLuong_TyLeTangCa[Tỷ lệ],
(Table_BangLuong_TyLeTangCa[Ngày] = "Thường") *
(Table_BangLuong_TyLeTangCa[Giờ min]&lt;=$AA47) *
(Table_BangLuong_TyLeTangCa[Giờ max]&gt;$AA47)
)),0)
)),
IF(AR$4 &lt; AR$5,
IF($AA47-$Z$4&lt;AR$4,0,
IF($AA47&gt;AR$5,0,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AR$5,$AA47 &lt; AR$4),0,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S47" s="18" cm="1">
        <f t="array" ref="AS47" xml:space="preserve">
IFERROR(
IF(AS$1="",0,
IF(AND(
$AA47&gt;=VLOOKUP(AS$6, Table_ChiPhiNV_Ca[], COUNTA(Table_ChiPhiNV_Ca[[#Headers],[Ca]:[Bắt đầu nghỉ]]),0),
$AA47&lt;VLOOKUP(AS$6, Table_ChiPhiNV_Ca[], COUNTA(Table_ChiPhiNV_Ca[[#Headers],[Ca]:[Kết thúc nghỉ]]),0)
),0,
IF(NOT(ISBLANK(AS$3)),
IF(ISBLANK(AS$7),0,
IF(AS$4 &lt; AS$5,
IF($AA47-$Z$4&lt;AS$4,0,
IF($AA47&gt;AS$5,0,
SUM(_xlfn._xlws.FILTER(Table_BangLuong_TyLeTangCa[Tỷ lệ],
(Table_BangLuong_TyLeTangCa[Ngày] = AS$3) *
(Table_BangLuong_TyLeTangCa[Giờ min]&lt;=$AA47) *
(Table_BangLuong_TyLeTangCa[Giờ max]&gt;$AA47)
)))),
IF(AND($AA47-$Z$4 &gt;= AS$5,$AA47 &lt; AS$4),0,
SUM(_xlfn._xlws.FILTER(Table_BangLuong_TyLeTangCa[Tỷ lệ],
(Table_BangLuong_TyLeTangCa[Ngày] = AS$3) *
(Table_BangLuong_TyLeTangCa[Giờ min]&lt;=$AA47) *
(Table_BangLuong_TyLeTangCa[Giờ max]&gt;$AA47)
))))
),
IF(ISBLANK(AS$7),
IF(VLOOKUP(AS$6, Table_ChiPhiNV_Ca[], COUNTA(Table_ChiPhiNV_Ca[[#Headers],[Ca]:[Kết thúc]]),0)&gt; VLOOKUP(AS$6, Table_ChiPhiNV_Ca[], COUNTA(Table_ChiPhiNV_Ca[[#Headers],[Ca]:[Bắt đầu]]),0),
IF($AA47-$Z$4&lt;MAX(AS$4,VLOOKUP(AS$6, Table_ChiPhiNV_Ca[], COUNTA(Table_ChiPhiNV_Ca[[#Headers],[Ca]:[Bắt đầu]]),0)),0,
IF($AA47&gt;MIN(AS$5,VLOOKUP(AS$6, Table_ChiPhiNV_Ca[], COUNTA(Table_ChiPhiNV_Ca[[#Headers],[Ca]:[Kết thúc]]),0)),0,
SUM(_xlfn._xlws.FILTER(Table_BangLuong_TyLeTangCa[Tỷ lệ],
(Table_BangLuong_TyLeTangCa[Ngày] = "Thường") *
(Table_BangLuong_TyLeTangCa[Giờ min]&lt;=$AA47) *
(Table_BangLuong_TyLeTangCa[Giờ max]&gt;$AA47)
)))),
IF(AS$4 &gt; AS$5,
IF(
AND(
$AA47-$Z$4&lt;MAX(AS$4,VLOOKUP(AS$6, Table_ChiPhiNV_Ca[], COUNTA(Table_ChiPhiNV_Ca[[#Headers],[Ca]:[Bắt đầu]]),0)),
$AA47&gt;MIN(AS$5,VLOOKUP(AS$6, Table_ChiPhiNV_Ca[], COUNTA(Table_ChiPhiNV_Ca[[#Headers],[Ca]:[Kết thúc]]),0))),0,
SUM(_xlfn._xlws.FILTER(Table_BangLuong_TyLeTangCa[Tỷ lệ],
(Table_BangLuong_TyLeTangCa[Ngày] = "Thường") *
(Table_BangLuong_TyLeTangCa[Giờ min]&lt;=$AA47) *
(Table_BangLuong_TyLeTangCa[Giờ max]&gt;$AA47)
))),
IF(
AND(
$AA47-$Z$4&gt;=MAX(AS$4,VLOOKUP(AS$6, Table_ChiPhiNV_Ca[], COUNTA(Table_ChiPhiNV_Ca[[#Headers],[Ca]:[Bắt đầu]]),0)),
$AA47&lt;MIN(AS$5,VLOOKUP(AS$6, Table_ChiPhiNV_Ca[], COUNTA(Table_ChiPhiNV_Ca[[#Headers],[Ca]:[Kết thúc]]),0))),
SUM(_xlfn._xlws.FILTER(Table_BangLuong_TyLeTangCa[Tỷ lệ],
(Table_BangLuong_TyLeTangCa[Ngày] = "Thường") *
(Table_BangLuong_TyLeTangCa[Giờ min]&lt;=$AA47) *
(Table_BangLuong_TyLeTangCa[Giờ max]&gt;$AA47)
)),0)
)),
IF(AS$4 &lt; AS$5,
IF($AA47-$Z$4&lt;AS$4,0,
IF($AA47&gt;AS$5,0,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AS$5,$AA47 &lt; AS$4),0,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T47" s="18" cm="1">
        <f t="array" ref="AT47" xml:space="preserve">
IFERROR(
IF(AT$1="",0,
IF(AND(
$AA47&gt;=VLOOKUP(AT$6, Table_ChiPhiNV_Ca[], COUNTA(Table_ChiPhiNV_Ca[[#Headers],[Ca]:[Bắt đầu nghỉ]]),0),
$AA47&lt;VLOOKUP(AT$6, Table_ChiPhiNV_Ca[], COUNTA(Table_ChiPhiNV_Ca[[#Headers],[Ca]:[Kết thúc nghỉ]]),0)
),0,
IF(NOT(ISBLANK(AT$3)),
IF(ISBLANK(AT$7),0,
IF(AT$4 &lt; AT$5,
IF($AA47-$Z$4&lt;AT$4,0,
IF($AA47&gt;AT$5,0,
SUM(_xlfn._xlws.FILTER(Table_BangLuong_TyLeTangCa[Tỷ lệ],
(Table_BangLuong_TyLeTangCa[Ngày] = AT$3) *
(Table_BangLuong_TyLeTangCa[Giờ min]&lt;=$AA47) *
(Table_BangLuong_TyLeTangCa[Giờ max]&gt;$AA47)
)))),
IF(AND($AA47-$Z$4 &gt;= AT$5,$AA47 &lt; AT$4),0,
SUM(_xlfn._xlws.FILTER(Table_BangLuong_TyLeTangCa[Tỷ lệ],
(Table_BangLuong_TyLeTangCa[Ngày] = AT$3) *
(Table_BangLuong_TyLeTangCa[Giờ min]&lt;=$AA47) *
(Table_BangLuong_TyLeTangCa[Giờ max]&gt;$AA47)
))))
),
IF(ISBLANK(AT$7),
IF(VLOOKUP(AT$6, Table_ChiPhiNV_Ca[], COUNTA(Table_ChiPhiNV_Ca[[#Headers],[Ca]:[Kết thúc]]),0)&gt; VLOOKUP(AT$6, Table_ChiPhiNV_Ca[], COUNTA(Table_ChiPhiNV_Ca[[#Headers],[Ca]:[Bắt đầu]]),0),
IF($AA47-$Z$4&lt;MAX(AT$4,VLOOKUP(AT$6, Table_ChiPhiNV_Ca[], COUNTA(Table_ChiPhiNV_Ca[[#Headers],[Ca]:[Bắt đầu]]),0)),0,
IF($AA47&gt;MIN(AT$5,VLOOKUP(AT$6, Table_ChiPhiNV_Ca[], COUNTA(Table_ChiPhiNV_Ca[[#Headers],[Ca]:[Kết thúc]]),0)),0,
SUM(_xlfn._xlws.FILTER(Table_BangLuong_TyLeTangCa[Tỷ lệ],
(Table_BangLuong_TyLeTangCa[Ngày] = "Thường") *
(Table_BangLuong_TyLeTangCa[Giờ min]&lt;=$AA47) *
(Table_BangLuong_TyLeTangCa[Giờ max]&gt;$AA47)
)))),
IF(AT$4 &gt; AT$5,
IF(
AND(
$AA47-$Z$4&lt;MAX(AT$4,VLOOKUP(AT$6, Table_ChiPhiNV_Ca[], COUNTA(Table_ChiPhiNV_Ca[[#Headers],[Ca]:[Bắt đầu]]),0)),
$AA47&gt;MIN(AT$5,VLOOKUP(AT$6, Table_ChiPhiNV_Ca[], COUNTA(Table_ChiPhiNV_Ca[[#Headers],[Ca]:[Kết thúc]]),0))),0,
SUM(_xlfn._xlws.FILTER(Table_BangLuong_TyLeTangCa[Tỷ lệ],
(Table_BangLuong_TyLeTangCa[Ngày] = "Thường") *
(Table_BangLuong_TyLeTangCa[Giờ min]&lt;=$AA47) *
(Table_BangLuong_TyLeTangCa[Giờ max]&gt;$AA47)
))),
IF(
AND(
$AA47-$Z$4&gt;=MAX(AT$4,VLOOKUP(AT$6, Table_ChiPhiNV_Ca[], COUNTA(Table_ChiPhiNV_Ca[[#Headers],[Ca]:[Bắt đầu]]),0)),
$AA47&lt;MIN(AT$5,VLOOKUP(AT$6, Table_ChiPhiNV_Ca[], COUNTA(Table_ChiPhiNV_Ca[[#Headers],[Ca]:[Kết thúc]]),0))),
SUM(_xlfn._xlws.FILTER(Table_BangLuong_TyLeTangCa[Tỷ lệ],
(Table_BangLuong_TyLeTangCa[Ngày] = "Thường") *
(Table_BangLuong_TyLeTangCa[Giờ min]&lt;=$AA47) *
(Table_BangLuong_TyLeTangCa[Giờ max]&gt;$AA47)
)),0)
)),
IF(AT$4 &lt; AT$5,
IF($AA47-$Z$4&lt;AT$4,0,
IF($AA47&gt;AT$5,0,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AT$5,$AA47 &lt; AT$4),0,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U47" s="18" cm="1">
        <f t="array" ref="AU47" xml:space="preserve">
IFERROR(
IF(AU$1="",0,
IF(AND(
$AA47&gt;=VLOOKUP(AU$6, Table_ChiPhiNV_Ca[], COUNTA(Table_ChiPhiNV_Ca[[#Headers],[Ca]:[Bắt đầu nghỉ]]),0),
$AA47&lt;VLOOKUP(AU$6, Table_ChiPhiNV_Ca[], COUNTA(Table_ChiPhiNV_Ca[[#Headers],[Ca]:[Kết thúc nghỉ]]),0)
),0,
IF(NOT(ISBLANK(AU$3)),
IF(ISBLANK(AU$7),0,
IF(AU$4 &lt; AU$5,
IF($AA47-$Z$4&lt;AU$4,0,
IF($AA47&gt;AU$5,0,
SUM(_xlfn._xlws.FILTER(Table_BangLuong_TyLeTangCa[Tỷ lệ],
(Table_BangLuong_TyLeTangCa[Ngày] = AU$3) *
(Table_BangLuong_TyLeTangCa[Giờ min]&lt;=$AA47) *
(Table_BangLuong_TyLeTangCa[Giờ max]&gt;$AA47)
)))),
IF(AND($AA47-$Z$4 &gt;= AU$5,$AA47 &lt; AU$4),0,
SUM(_xlfn._xlws.FILTER(Table_BangLuong_TyLeTangCa[Tỷ lệ],
(Table_BangLuong_TyLeTangCa[Ngày] = AU$3) *
(Table_BangLuong_TyLeTangCa[Giờ min]&lt;=$AA47) *
(Table_BangLuong_TyLeTangCa[Giờ max]&gt;$AA47)
))))
),
IF(ISBLANK(AU$7),
IF(VLOOKUP(AU$6, Table_ChiPhiNV_Ca[], COUNTA(Table_ChiPhiNV_Ca[[#Headers],[Ca]:[Kết thúc]]),0)&gt; VLOOKUP(AU$6, Table_ChiPhiNV_Ca[], COUNTA(Table_ChiPhiNV_Ca[[#Headers],[Ca]:[Bắt đầu]]),0),
IF($AA47-$Z$4&lt;MAX(AU$4,VLOOKUP(AU$6, Table_ChiPhiNV_Ca[], COUNTA(Table_ChiPhiNV_Ca[[#Headers],[Ca]:[Bắt đầu]]),0)),0,
IF($AA47&gt;MIN(AU$5,VLOOKUP(AU$6, Table_ChiPhiNV_Ca[], COUNTA(Table_ChiPhiNV_Ca[[#Headers],[Ca]:[Kết thúc]]),0)),0,
SUM(_xlfn._xlws.FILTER(Table_BangLuong_TyLeTangCa[Tỷ lệ],
(Table_BangLuong_TyLeTangCa[Ngày] = "Thường") *
(Table_BangLuong_TyLeTangCa[Giờ min]&lt;=$AA47) *
(Table_BangLuong_TyLeTangCa[Giờ max]&gt;$AA47)
)))),
IF(AU$4 &gt; AU$5,
IF(
AND(
$AA47-$Z$4&lt;MAX(AU$4,VLOOKUP(AU$6, Table_ChiPhiNV_Ca[], COUNTA(Table_ChiPhiNV_Ca[[#Headers],[Ca]:[Bắt đầu]]),0)),
$AA47&gt;MIN(AU$5,VLOOKUP(AU$6, Table_ChiPhiNV_Ca[], COUNTA(Table_ChiPhiNV_Ca[[#Headers],[Ca]:[Kết thúc]]),0))),0,
SUM(_xlfn._xlws.FILTER(Table_BangLuong_TyLeTangCa[Tỷ lệ],
(Table_BangLuong_TyLeTangCa[Ngày] = "Thường") *
(Table_BangLuong_TyLeTangCa[Giờ min]&lt;=$AA47) *
(Table_BangLuong_TyLeTangCa[Giờ max]&gt;$AA47)
))),
IF(
AND(
$AA47-$Z$4&gt;=MAX(AU$4,VLOOKUP(AU$6, Table_ChiPhiNV_Ca[], COUNTA(Table_ChiPhiNV_Ca[[#Headers],[Ca]:[Bắt đầu]]),0)),
$AA47&lt;MIN(AU$5,VLOOKUP(AU$6, Table_ChiPhiNV_Ca[], COUNTA(Table_ChiPhiNV_Ca[[#Headers],[Ca]:[Kết thúc]]),0))),
SUM(_xlfn._xlws.FILTER(Table_BangLuong_TyLeTangCa[Tỷ lệ],
(Table_BangLuong_TyLeTangCa[Ngày] = "Thường") *
(Table_BangLuong_TyLeTangCa[Giờ min]&lt;=$AA47) *
(Table_BangLuong_TyLeTangCa[Giờ max]&gt;$AA47)
)),0)
)),
IF(AU$4 &lt; AU$5,
IF($AA47-$Z$4&lt;AU$4,0,
IF($AA47&gt;AU$5,0,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AU$5,$AA47 &lt; AU$4),0,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V47" s="18" cm="1">
        <f t="array" ref="AV47" xml:space="preserve">
IFERROR(
IF(AV$1="",0,
IF(AND(
$AA47&gt;=VLOOKUP(AV$6, Table_ChiPhiNV_Ca[], COUNTA(Table_ChiPhiNV_Ca[[#Headers],[Ca]:[Bắt đầu nghỉ]]),0),
$AA47&lt;VLOOKUP(AV$6, Table_ChiPhiNV_Ca[], COUNTA(Table_ChiPhiNV_Ca[[#Headers],[Ca]:[Kết thúc nghỉ]]),0)
),0,
IF(NOT(ISBLANK(AV$3)),
IF(ISBLANK(AV$7),0,
IF(AV$4 &lt; AV$5,
IF($AA47-$Z$4&lt;AV$4,0,
IF($AA47&gt;AV$5,0,
SUM(_xlfn._xlws.FILTER(Table_BangLuong_TyLeTangCa[Tỷ lệ],
(Table_BangLuong_TyLeTangCa[Ngày] = AV$3) *
(Table_BangLuong_TyLeTangCa[Giờ min]&lt;=$AA47) *
(Table_BangLuong_TyLeTangCa[Giờ max]&gt;$AA47)
)))),
IF(AND($AA47-$Z$4 &gt;= AV$5,$AA47 &lt; AV$4),0,
SUM(_xlfn._xlws.FILTER(Table_BangLuong_TyLeTangCa[Tỷ lệ],
(Table_BangLuong_TyLeTangCa[Ngày] = AV$3) *
(Table_BangLuong_TyLeTangCa[Giờ min]&lt;=$AA47) *
(Table_BangLuong_TyLeTangCa[Giờ max]&gt;$AA47)
))))
),
IF(ISBLANK(AV$7),
IF(VLOOKUP(AV$6, Table_ChiPhiNV_Ca[], COUNTA(Table_ChiPhiNV_Ca[[#Headers],[Ca]:[Kết thúc]]),0)&gt; VLOOKUP(AV$6, Table_ChiPhiNV_Ca[], COUNTA(Table_ChiPhiNV_Ca[[#Headers],[Ca]:[Bắt đầu]]),0),
IF($AA47-$Z$4&lt;MAX(AV$4,VLOOKUP(AV$6, Table_ChiPhiNV_Ca[], COUNTA(Table_ChiPhiNV_Ca[[#Headers],[Ca]:[Bắt đầu]]),0)),0,
IF($AA47&gt;MIN(AV$5,VLOOKUP(AV$6, Table_ChiPhiNV_Ca[], COUNTA(Table_ChiPhiNV_Ca[[#Headers],[Ca]:[Kết thúc]]),0)),0,
SUM(_xlfn._xlws.FILTER(Table_BangLuong_TyLeTangCa[Tỷ lệ],
(Table_BangLuong_TyLeTangCa[Ngày] = "Thường") *
(Table_BangLuong_TyLeTangCa[Giờ min]&lt;=$AA47) *
(Table_BangLuong_TyLeTangCa[Giờ max]&gt;$AA47)
)))),
IF(AV$4 &gt; AV$5,
IF(
AND(
$AA47-$Z$4&lt;MAX(AV$4,VLOOKUP(AV$6, Table_ChiPhiNV_Ca[], COUNTA(Table_ChiPhiNV_Ca[[#Headers],[Ca]:[Bắt đầu]]),0)),
$AA47&gt;MIN(AV$5,VLOOKUP(AV$6, Table_ChiPhiNV_Ca[], COUNTA(Table_ChiPhiNV_Ca[[#Headers],[Ca]:[Kết thúc]]),0))),0,
SUM(_xlfn._xlws.FILTER(Table_BangLuong_TyLeTangCa[Tỷ lệ],
(Table_BangLuong_TyLeTangCa[Ngày] = "Thường") *
(Table_BangLuong_TyLeTangCa[Giờ min]&lt;=$AA47) *
(Table_BangLuong_TyLeTangCa[Giờ max]&gt;$AA47)
))),
IF(
AND(
$AA47-$Z$4&gt;=MAX(AV$4,VLOOKUP(AV$6, Table_ChiPhiNV_Ca[], COUNTA(Table_ChiPhiNV_Ca[[#Headers],[Ca]:[Bắt đầu]]),0)),
$AA47&lt;MIN(AV$5,VLOOKUP(AV$6, Table_ChiPhiNV_Ca[], COUNTA(Table_ChiPhiNV_Ca[[#Headers],[Ca]:[Kết thúc]]),0))),
SUM(_xlfn._xlws.FILTER(Table_BangLuong_TyLeTangCa[Tỷ lệ],
(Table_BangLuong_TyLeTangCa[Ngày] = "Thường") *
(Table_BangLuong_TyLeTangCa[Giờ min]&lt;=$AA47) *
(Table_BangLuong_TyLeTangCa[Giờ max]&gt;$AA47)
)),0)
)),
IF(AV$4 &lt; AV$5,
IF($AA47-$Z$4&lt;AV$4,0,
IF($AA47&gt;AV$5,0,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AV$5,$AA47 &lt; AV$4),0,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W47" s="18" cm="1">
        <f t="array" ref="AW47" xml:space="preserve">
IFERROR(
IF(AW$1="",0,
IF(AND(
$AA47&gt;=VLOOKUP(AW$6, Table_ChiPhiNV_Ca[], COUNTA(Table_ChiPhiNV_Ca[[#Headers],[Ca]:[Bắt đầu nghỉ]]),0),
$AA47&lt;VLOOKUP(AW$6, Table_ChiPhiNV_Ca[], COUNTA(Table_ChiPhiNV_Ca[[#Headers],[Ca]:[Kết thúc nghỉ]]),0)
),0,
IF(NOT(ISBLANK(AW$3)),
IF(ISBLANK(AW$7),0,
IF(AW$4 &lt; AW$5,
IF($AA47-$Z$4&lt;AW$4,0,
IF($AA47&gt;AW$5,0,
SUM(_xlfn._xlws.FILTER(Table_BangLuong_TyLeTangCa[Tỷ lệ],
(Table_BangLuong_TyLeTangCa[Ngày] = AW$3) *
(Table_BangLuong_TyLeTangCa[Giờ min]&lt;=$AA47) *
(Table_BangLuong_TyLeTangCa[Giờ max]&gt;$AA47)
)))),
IF(AND($AA47-$Z$4 &gt;= AW$5,$AA47 &lt; AW$4),0,
SUM(_xlfn._xlws.FILTER(Table_BangLuong_TyLeTangCa[Tỷ lệ],
(Table_BangLuong_TyLeTangCa[Ngày] = AW$3) *
(Table_BangLuong_TyLeTangCa[Giờ min]&lt;=$AA47) *
(Table_BangLuong_TyLeTangCa[Giờ max]&gt;$AA47)
))))
),
IF(ISBLANK(AW$7),
IF(VLOOKUP(AW$6, Table_ChiPhiNV_Ca[], COUNTA(Table_ChiPhiNV_Ca[[#Headers],[Ca]:[Kết thúc]]),0)&gt; VLOOKUP(AW$6, Table_ChiPhiNV_Ca[], COUNTA(Table_ChiPhiNV_Ca[[#Headers],[Ca]:[Bắt đầu]]),0),
IF($AA47-$Z$4&lt;MAX(AW$4,VLOOKUP(AW$6, Table_ChiPhiNV_Ca[], COUNTA(Table_ChiPhiNV_Ca[[#Headers],[Ca]:[Bắt đầu]]),0)),0,
IF($AA47&gt;MIN(AW$5,VLOOKUP(AW$6, Table_ChiPhiNV_Ca[], COUNTA(Table_ChiPhiNV_Ca[[#Headers],[Ca]:[Kết thúc]]),0)),0,
SUM(_xlfn._xlws.FILTER(Table_BangLuong_TyLeTangCa[Tỷ lệ],
(Table_BangLuong_TyLeTangCa[Ngày] = "Thường") *
(Table_BangLuong_TyLeTangCa[Giờ min]&lt;=$AA47) *
(Table_BangLuong_TyLeTangCa[Giờ max]&gt;$AA47)
)))),
IF(AW$4 &gt; AW$5,
IF(
AND(
$AA47-$Z$4&lt;MAX(AW$4,VLOOKUP(AW$6, Table_ChiPhiNV_Ca[], COUNTA(Table_ChiPhiNV_Ca[[#Headers],[Ca]:[Bắt đầu]]),0)),
$AA47&gt;MIN(AW$5,VLOOKUP(AW$6, Table_ChiPhiNV_Ca[], COUNTA(Table_ChiPhiNV_Ca[[#Headers],[Ca]:[Kết thúc]]),0))),0,
SUM(_xlfn._xlws.FILTER(Table_BangLuong_TyLeTangCa[Tỷ lệ],
(Table_BangLuong_TyLeTangCa[Ngày] = "Thường") *
(Table_BangLuong_TyLeTangCa[Giờ min]&lt;=$AA47) *
(Table_BangLuong_TyLeTangCa[Giờ max]&gt;$AA47)
))),
IF(
AND(
$AA47-$Z$4&gt;=MAX(AW$4,VLOOKUP(AW$6, Table_ChiPhiNV_Ca[], COUNTA(Table_ChiPhiNV_Ca[[#Headers],[Ca]:[Bắt đầu]]),0)),
$AA47&lt;MIN(AW$5,VLOOKUP(AW$6, Table_ChiPhiNV_Ca[], COUNTA(Table_ChiPhiNV_Ca[[#Headers],[Ca]:[Kết thúc]]),0))),
SUM(_xlfn._xlws.FILTER(Table_BangLuong_TyLeTangCa[Tỷ lệ],
(Table_BangLuong_TyLeTangCa[Ngày] = "Thường") *
(Table_BangLuong_TyLeTangCa[Giờ min]&lt;=$AA47) *
(Table_BangLuong_TyLeTangCa[Giờ max]&gt;$AA47)
)),0)
)),
IF(AW$4 &lt; AW$5,
IF($AA47-$Z$4&lt;AW$4,0,
IF($AA47&gt;AW$5,0,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AW$5,$AA47 &lt; AW$4),0,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X47" s="18" cm="1">
        <f t="array" ref="AX47" xml:space="preserve">
IFERROR(
IF(AX$1="",0,
IF(AND(
$AA47&gt;=VLOOKUP(AX$6, Table_ChiPhiNV_Ca[], COUNTA(Table_ChiPhiNV_Ca[[#Headers],[Ca]:[Bắt đầu nghỉ]]),0),
$AA47&lt;VLOOKUP(AX$6, Table_ChiPhiNV_Ca[], COUNTA(Table_ChiPhiNV_Ca[[#Headers],[Ca]:[Kết thúc nghỉ]]),0)
),0,
IF(NOT(ISBLANK(AX$3)),
IF(ISBLANK(AX$7),0,
IF(AX$4 &lt; AX$5,
IF($AA47-$Z$4&lt;AX$4,0,
IF($AA47&gt;AX$5,0,
SUM(_xlfn._xlws.FILTER(Table_BangLuong_TyLeTangCa[Tỷ lệ],
(Table_BangLuong_TyLeTangCa[Ngày] = AX$3) *
(Table_BangLuong_TyLeTangCa[Giờ min]&lt;=$AA47) *
(Table_BangLuong_TyLeTangCa[Giờ max]&gt;$AA47)
)))),
IF(AND($AA47-$Z$4 &gt;= AX$5,$AA47 &lt; AX$4),0,
SUM(_xlfn._xlws.FILTER(Table_BangLuong_TyLeTangCa[Tỷ lệ],
(Table_BangLuong_TyLeTangCa[Ngày] = AX$3) *
(Table_BangLuong_TyLeTangCa[Giờ min]&lt;=$AA47) *
(Table_BangLuong_TyLeTangCa[Giờ max]&gt;$AA47)
))))
),
IF(ISBLANK(AX$7),
IF(VLOOKUP(AX$6, Table_ChiPhiNV_Ca[], COUNTA(Table_ChiPhiNV_Ca[[#Headers],[Ca]:[Kết thúc]]),0)&gt; VLOOKUP(AX$6, Table_ChiPhiNV_Ca[], COUNTA(Table_ChiPhiNV_Ca[[#Headers],[Ca]:[Bắt đầu]]),0),
IF($AA47-$Z$4&lt;MAX(AX$4,VLOOKUP(AX$6, Table_ChiPhiNV_Ca[], COUNTA(Table_ChiPhiNV_Ca[[#Headers],[Ca]:[Bắt đầu]]),0)),0,
IF($AA47&gt;MIN(AX$5,VLOOKUP(AX$6, Table_ChiPhiNV_Ca[], COUNTA(Table_ChiPhiNV_Ca[[#Headers],[Ca]:[Kết thúc]]),0)),0,
SUM(_xlfn._xlws.FILTER(Table_BangLuong_TyLeTangCa[Tỷ lệ],
(Table_BangLuong_TyLeTangCa[Ngày] = "Thường") *
(Table_BangLuong_TyLeTangCa[Giờ min]&lt;=$AA47) *
(Table_BangLuong_TyLeTangCa[Giờ max]&gt;$AA47)
)))),
IF(AX$4 &gt; AX$5,
IF(
AND(
$AA47-$Z$4&lt;MAX(AX$4,VLOOKUP(AX$6, Table_ChiPhiNV_Ca[], COUNTA(Table_ChiPhiNV_Ca[[#Headers],[Ca]:[Bắt đầu]]),0)),
$AA47&gt;MIN(AX$5,VLOOKUP(AX$6, Table_ChiPhiNV_Ca[], COUNTA(Table_ChiPhiNV_Ca[[#Headers],[Ca]:[Kết thúc]]),0))),0,
SUM(_xlfn._xlws.FILTER(Table_BangLuong_TyLeTangCa[Tỷ lệ],
(Table_BangLuong_TyLeTangCa[Ngày] = "Thường") *
(Table_BangLuong_TyLeTangCa[Giờ min]&lt;=$AA47) *
(Table_BangLuong_TyLeTangCa[Giờ max]&gt;$AA47)
))),
IF(
AND(
$AA47-$Z$4&gt;=MAX(AX$4,VLOOKUP(AX$6, Table_ChiPhiNV_Ca[], COUNTA(Table_ChiPhiNV_Ca[[#Headers],[Ca]:[Bắt đầu]]),0)),
$AA47&lt;MIN(AX$5,VLOOKUP(AX$6, Table_ChiPhiNV_Ca[], COUNTA(Table_ChiPhiNV_Ca[[#Headers],[Ca]:[Kết thúc]]),0))),
SUM(_xlfn._xlws.FILTER(Table_BangLuong_TyLeTangCa[Tỷ lệ],
(Table_BangLuong_TyLeTangCa[Ngày] = "Thường") *
(Table_BangLuong_TyLeTangCa[Giờ min]&lt;=$AA47) *
(Table_BangLuong_TyLeTangCa[Giờ max]&gt;$AA47)
)),0)
)),
IF(AX$4 &lt; AX$5,
IF($AA47-$Z$4&lt;AX$4,0,
IF($AA47&gt;AX$5,0,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AX$5,$AA47 &lt; AX$4),0,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Y47" s="18" cm="1">
        <f t="array" ref="AY47" xml:space="preserve">
IFERROR(
IF(AY$1="",0,
IF(AND(
$AA47&gt;=VLOOKUP(AY$6, Table_ChiPhiNV_Ca[], COUNTA(Table_ChiPhiNV_Ca[[#Headers],[Ca]:[Bắt đầu nghỉ]]),0),
$AA47&lt;VLOOKUP(AY$6, Table_ChiPhiNV_Ca[], COUNTA(Table_ChiPhiNV_Ca[[#Headers],[Ca]:[Kết thúc nghỉ]]),0)
),0,
IF(NOT(ISBLANK(AY$3)),
IF(ISBLANK(AY$7),0,
IF(AY$4 &lt; AY$5,
IF($AA47-$Z$4&lt;AY$4,0,
IF($AA47&gt;AY$5,0,
SUM(_xlfn._xlws.FILTER(Table_BangLuong_TyLeTangCa[Tỷ lệ],
(Table_BangLuong_TyLeTangCa[Ngày] = AY$3) *
(Table_BangLuong_TyLeTangCa[Giờ min]&lt;=$AA47) *
(Table_BangLuong_TyLeTangCa[Giờ max]&gt;$AA47)
)))),
IF(AND($AA47-$Z$4 &gt;= AY$5,$AA47 &lt; AY$4),0,
SUM(_xlfn._xlws.FILTER(Table_BangLuong_TyLeTangCa[Tỷ lệ],
(Table_BangLuong_TyLeTangCa[Ngày] = AY$3) *
(Table_BangLuong_TyLeTangCa[Giờ min]&lt;=$AA47) *
(Table_BangLuong_TyLeTangCa[Giờ max]&gt;$AA47)
))))
),
IF(ISBLANK(AY$7),
IF(VLOOKUP(AY$6, Table_ChiPhiNV_Ca[], COUNTA(Table_ChiPhiNV_Ca[[#Headers],[Ca]:[Kết thúc]]),0)&gt; VLOOKUP(AY$6, Table_ChiPhiNV_Ca[], COUNTA(Table_ChiPhiNV_Ca[[#Headers],[Ca]:[Bắt đầu]]),0),
IF($AA47-$Z$4&lt;MAX(AY$4,VLOOKUP(AY$6, Table_ChiPhiNV_Ca[], COUNTA(Table_ChiPhiNV_Ca[[#Headers],[Ca]:[Bắt đầu]]),0)),0,
IF($AA47&gt;MIN(AY$5,VLOOKUP(AY$6, Table_ChiPhiNV_Ca[], COUNTA(Table_ChiPhiNV_Ca[[#Headers],[Ca]:[Kết thúc]]),0)),0,
SUM(_xlfn._xlws.FILTER(Table_BangLuong_TyLeTangCa[Tỷ lệ],
(Table_BangLuong_TyLeTangCa[Ngày] = "Thường") *
(Table_BangLuong_TyLeTangCa[Giờ min]&lt;=$AA47) *
(Table_BangLuong_TyLeTangCa[Giờ max]&gt;$AA47)
)))),
IF(AY$4 &gt; AY$5,
IF(
AND(
$AA47-$Z$4&lt;MAX(AY$4,VLOOKUP(AY$6, Table_ChiPhiNV_Ca[], COUNTA(Table_ChiPhiNV_Ca[[#Headers],[Ca]:[Bắt đầu]]),0)),
$AA47&gt;MIN(AY$5,VLOOKUP(AY$6, Table_ChiPhiNV_Ca[], COUNTA(Table_ChiPhiNV_Ca[[#Headers],[Ca]:[Kết thúc]]),0))),0,
SUM(_xlfn._xlws.FILTER(Table_BangLuong_TyLeTangCa[Tỷ lệ],
(Table_BangLuong_TyLeTangCa[Ngày] = "Thường") *
(Table_BangLuong_TyLeTangCa[Giờ min]&lt;=$AA47) *
(Table_BangLuong_TyLeTangCa[Giờ max]&gt;$AA47)
))),
IF(
AND(
$AA47-$Z$4&gt;=MAX(AY$4,VLOOKUP(AY$6, Table_ChiPhiNV_Ca[], COUNTA(Table_ChiPhiNV_Ca[[#Headers],[Ca]:[Bắt đầu]]),0)),
$AA47&lt;MIN(AY$5,VLOOKUP(AY$6, Table_ChiPhiNV_Ca[], COUNTA(Table_ChiPhiNV_Ca[[#Headers],[Ca]:[Kết thúc]]),0))),
SUM(_xlfn._xlws.FILTER(Table_BangLuong_TyLeTangCa[Tỷ lệ],
(Table_BangLuong_TyLeTangCa[Ngày] = "Thường") *
(Table_BangLuong_TyLeTangCa[Giờ min]&lt;=$AA47) *
(Table_BangLuong_TyLeTangCa[Giờ max]&gt;$AA47)
)),0)
)),
IF(AY$4 &lt; AY$5,
IF($AA47-$Z$4&lt;AY$4,0,
IF($AA47&gt;AY$5,0,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AY$5,$AA47 &lt; AY$4),0,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Z47" s="18" cm="1">
        <f t="array" ref="AZ47" xml:space="preserve">
IFERROR(
IF(AZ$1="",0,
IF(AND(
$AA47&gt;=VLOOKUP(AZ$6, Table_ChiPhiNV_Ca[], COUNTA(Table_ChiPhiNV_Ca[[#Headers],[Ca]:[Bắt đầu nghỉ]]),0),
$AA47&lt;VLOOKUP(AZ$6, Table_ChiPhiNV_Ca[], COUNTA(Table_ChiPhiNV_Ca[[#Headers],[Ca]:[Kết thúc nghỉ]]),0)
),0,
IF(NOT(ISBLANK(AZ$3)),
IF(ISBLANK(AZ$7),0,
IF(AZ$4 &lt; AZ$5,
IF($AA47-$Z$4&lt;AZ$4,0,
IF($AA47&gt;AZ$5,0,
SUM(_xlfn._xlws.FILTER(Table_BangLuong_TyLeTangCa[Tỷ lệ],
(Table_BangLuong_TyLeTangCa[Ngày] = AZ$3) *
(Table_BangLuong_TyLeTangCa[Giờ min]&lt;=$AA47) *
(Table_BangLuong_TyLeTangCa[Giờ max]&gt;$AA47)
)))),
IF(AND($AA47-$Z$4 &gt;= AZ$5,$AA47 &lt; AZ$4),0,
SUM(_xlfn._xlws.FILTER(Table_BangLuong_TyLeTangCa[Tỷ lệ],
(Table_BangLuong_TyLeTangCa[Ngày] = AZ$3) *
(Table_BangLuong_TyLeTangCa[Giờ min]&lt;=$AA47) *
(Table_BangLuong_TyLeTangCa[Giờ max]&gt;$AA47)
))))
),
IF(ISBLANK(AZ$7),
IF(VLOOKUP(AZ$6, Table_ChiPhiNV_Ca[], COUNTA(Table_ChiPhiNV_Ca[[#Headers],[Ca]:[Kết thúc]]),0)&gt; VLOOKUP(AZ$6, Table_ChiPhiNV_Ca[], COUNTA(Table_ChiPhiNV_Ca[[#Headers],[Ca]:[Bắt đầu]]),0),
IF($AA47-$Z$4&lt;MAX(AZ$4,VLOOKUP(AZ$6, Table_ChiPhiNV_Ca[], COUNTA(Table_ChiPhiNV_Ca[[#Headers],[Ca]:[Bắt đầu]]),0)),0,
IF($AA47&gt;MIN(AZ$5,VLOOKUP(AZ$6, Table_ChiPhiNV_Ca[], COUNTA(Table_ChiPhiNV_Ca[[#Headers],[Ca]:[Kết thúc]]),0)),0,
SUM(_xlfn._xlws.FILTER(Table_BangLuong_TyLeTangCa[Tỷ lệ],
(Table_BangLuong_TyLeTangCa[Ngày] = "Thường") *
(Table_BangLuong_TyLeTangCa[Giờ min]&lt;=$AA47) *
(Table_BangLuong_TyLeTangCa[Giờ max]&gt;$AA47)
)))),
IF(AZ$4 &gt; AZ$5,
IF(
AND(
$AA47-$Z$4&lt;MAX(AZ$4,VLOOKUP(AZ$6, Table_ChiPhiNV_Ca[], COUNTA(Table_ChiPhiNV_Ca[[#Headers],[Ca]:[Bắt đầu]]),0)),
$AA47&gt;MIN(AZ$5,VLOOKUP(AZ$6, Table_ChiPhiNV_Ca[], COUNTA(Table_ChiPhiNV_Ca[[#Headers],[Ca]:[Kết thúc]]),0))),0,
SUM(_xlfn._xlws.FILTER(Table_BangLuong_TyLeTangCa[Tỷ lệ],
(Table_BangLuong_TyLeTangCa[Ngày] = "Thường") *
(Table_BangLuong_TyLeTangCa[Giờ min]&lt;=$AA47) *
(Table_BangLuong_TyLeTangCa[Giờ max]&gt;$AA47)
))),
IF(
AND(
$AA47-$Z$4&gt;=MAX(AZ$4,VLOOKUP(AZ$6, Table_ChiPhiNV_Ca[], COUNTA(Table_ChiPhiNV_Ca[[#Headers],[Ca]:[Bắt đầu]]),0)),
$AA47&lt;MIN(AZ$5,VLOOKUP(AZ$6, Table_ChiPhiNV_Ca[], COUNTA(Table_ChiPhiNV_Ca[[#Headers],[Ca]:[Kết thúc]]),0))),
SUM(_xlfn._xlws.FILTER(Table_BangLuong_TyLeTangCa[Tỷ lệ],
(Table_BangLuong_TyLeTangCa[Ngày] = "Thường") *
(Table_BangLuong_TyLeTangCa[Giờ min]&lt;=$AA47) *
(Table_BangLuong_TyLeTangCa[Giờ max]&gt;$AA47)
)),0)
)),
IF(AZ$4 &lt; AZ$5,
IF($AA47-$Z$4&lt;AZ$4,0,
IF($AA47&gt;AZ$5,0,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AZ$5,$AA47 &lt; AZ$4),0,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A47" s="18" cm="1">
        <f t="array" ref="BA47" xml:space="preserve">
IFERROR(
IF(BA$1="",0,
IF(AND(
$AA47&gt;=VLOOKUP(BA$6, Table_ChiPhiNV_Ca[], COUNTA(Table_ChiPhiNV_Ca[[#Headers],[Ca]:[Bắt đầu nghỉ]]),0),
$AA47&lt;VLOOKUP(BA$6, Table_ChiPhiNV_Ca[], COUNTA(Table_ChiPhiNV_Ca[[#Headers],[Ca]:[Kết thúc nghỉ]]),0)
),0,
IF(NOT(ISBLANK(BA$3)),
IF(ISBLANK(BA$7),0,
IF(BA$4 &lt; BA$5,
IF($AA47-$Z$4&lt;BA$4,0,
IF($AA47&gt;BA$5,0,
SUM(_xlfn._xlws.FILTER(Table_BangLuong_TyLeTangCa[Tỷ lệ],
(Table_BangLuong_TyLeTangCa[Ngày] = BA$3) *
(Table_BangLuong_TyLeTangCa[Giờ min]&lt;=$AA47) *
(Table_BangLuong_TyLeTangCa[Giờ max]&gt;$AA47)
)))),
IF(AND($AA47-$Z$4 &gt;= BA$5,$AA47 &lt; BA$4),0,
SUM(_xlfn._xlws.FILTER(Table_BangLuong_TyLeTangCa[Tỷ lệ],
(Table_BangLuong_TyLeTangCa[Ngày] = BA$3) *
(Table_BangLuong_TyLeTangCa[Giờ min]&lt;=$AA47) *
(Table_BangLuong_TyLeTangCa[Giờ max]&gt;$AA47)
))))
),
IF(ISBLANK(BA$7),
IF(VLOOKUP(BA$6, Table_ChiPhiNV_Ca[], COUNTA(Table_ChiPhiNV_Ca[[#Headers],[Ca]:[Kết thúc]]),0)&gt; VLOOKUP(BA$6, Table_ChiPhiNV_Ca[], COUNTA(Table_ChiPhiNV_Ca[[#Headers],[Ca]:[Bắt đầu]]),0),
IF($AA47-$Z$4&lt;MAX(BA$4,VLOOKUP(BA$6, Table_ChiPhiNV_Ca[], COUNTA(Table_ChiPhiNV_Ca[[#Headers],[Ca]:[Bắt đầu]]),0)),0,
IF($AA47&gt;MIN(BA$5,VLOOKUP(BA$6, Table_ChiPhiNV_Ca[], COUNTA(Table_ChiPhiNV_Ca[[#Headers],[Ca]:[Kết thúc]]),0)),0,
SUM(_xlfn._xlws.FILTER(Table_BangLuong_TyLeTangCa[Tỷ lệ],
(Table_BangLuong_TyLeTangCa[Ngày] = "Thường") *
(Table_BangLuong_TyLeTangCa[Giờ min]&lt;=$AA47) *
(Table_BangLuong_TyLeTangCa[Giờ max]&gt;$AA47)
)))),
IF(BA$4 &gt; BA$5,
IF(
AND(
$AA47-$Z$4&lt;MAX(BA$4,VLOOKUP(BA$6, Table_ChiPhiNV_Ca[], COUNTA(Table_ChiPhiNV_Ca[[#Headers],[Ca]:[Bắt đầu]]),0)),
$AA47&gt;MIN(BA$5,VLOOKUP(BA$6, Table_ChiPhiNV_Ca[], COUNTA(Table_ChiPhiNV_Ca[[#Headers],[Ca]:[Kết thúc]]),0))),0,
SUM(_xlfn._xlws.FILTER(Table_BangLuong_TyLeTangCa[Tỷ lệ],
(Table_BangLuong_TyLeTangCa[Ngày] = "Thường") *
(Table_BangLuong_TyLeTangCa[Giờ min]&lt;=$AA47) *
(Table_BangLuong_TyLeTangCa[Giờ max]&gt;$AA47)
))),
IF(
AND(
$AA47-$Z$4&gt;=MAX(BA$4,VLOOKUP(BA$6, Table_ChiPhiNV_Ca[], COUNTA(Table_ChiPhiNV_Ca[[#Headers],[Ca]:[Bắt đầu]]),0)),
$AA47&lt;MIN(BA$5,VLOOKUP(BA$6, Table_ChiPhiNV_Ca[], COUNTA(Table_ChiPhiNV_Ca[[#Headers],[Ca]:[Kết thúc]]),0))),
SUM(_xlfn._xlws.FILTER(Table_BangLuong_TyLeTangCa[Tỷ lệ],
(Table_BangLuong_TyLeTangCa[Ngày] = "Thường") *
(Table_BangLuong_TyLeTangCa[Giờ min]&lt;=$AA47) *
(Table_BangLuong_TyLeTangCa[Giờ max]&gt;$AA47)
)),0)
)),
IF(BA$4 &lt; BA$5,
IF($AA47-$Z$4&lt;BA$4,0,
IF($AA47&gt;BA$5,0,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BA$5,$AA47 &lt; BA$4),0,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B47" s="18" cm="1">
        <f t="array" ref="BB47" xml:space="preserve">
IFERROR(
IF(BB$1="",0,
IF(AND(
$AA47&gt;=VLOOKUP(BB$6, Table_ChiPhiNV_Ca[], COUNTA(Table_ChiPhiNV_Ca[[#Headers],[Ca]:[Bắt đầu nghỉ]]),0),
$AA47&lt;VLOOKUP(BB$6, Table_ChiPhiNV_Ca[], COUNTA(Table_ChiPhiNV_Ca[[#Headers],[Ca]:[Kết thúc nghỉ]]),0)
),0,
IF(NOT(ISBLANK(BB$3)),
IF(ISBLANK(BB$7),0,
IF(BB$4 &lt; BB$5,
IF($AA47-$Z$4&lt;BB$4,0,
IF($AA47&gt;BB$5,0,
SUM(_xlfn._xlws.FILTER(Table_BangLuong_TyLeTangCa[Tỷ lệ],
(Table_BangLuong_TyLeTangCa[Ngày] = BB$3) *
(Table_BangLuong_TyLeTangCa[Giờ min]&lt;=$AA47) *
(Table_BangLuong_TyLeTangCa[Giờ max]&gt;$AA47)
)))),
IF(AND($AA47-$Z$4 &gt;= BB$5,$AA47 &lt; BB$4),0,
SUM(_xlfn._xlws.FILTER(Table_BangLuong_TyLeTangCa[Tỷ lệ],
(Table_BangLuong_TyLeTangCa[Ngày] = BB$3) *
(Table_BangLuong_TyLeTangCa[Giờ min]&lt;=$AA47) *
(Table_BangLuong_TyLeTangCa[Giờ max]&gt;$AA47)
))))
),
IF(ISBLANK(BB$7),
IF(VLOOKUP(BB$6, Table_ChiPhiNV_Ca[], COUNTA(Table_ChiPhiNV_Ca[[#Headers],[Ca]:[Kết thúc]]),0)&gt; VLOOKUP(BB$6, Table_ChiPhiNV_Ca[], COUNTA(Table_ChiPhiNV_Ca[[#Headers],[Ca]:[Bắt đầu]]),0),
IF($AA47-$Z$4&lt;MAX(BB$4,VLOOKUP(BB$6, Table_ChiPhiNV_Ca[], COUNTA(Table_ChiPhiNV_Ca[[#Headers],[Ca]:[Bắt đầu]]),0)),0,
IF($AA47&gt;MIN(BB$5,VLOOKUP(BB$6, Table_ChiPhiNV_Ca[], COUNTA(Table_ChiPhiNV_Ca[[#Headers],[Ca]:[Kết thúc]]),0)),0,
SUM(_xlfn._xlws.FILTER(Table_BangLuong_TyLeTangCa[Tỷ lệ],
(Table_BangLuong_TyLeTangCa[Ngày] = "Thường") *
(Table_BangLuong_TyLeTangCa[Giờ min]&lt;=$AA47) *
(Table_BangLuong_TyLeTangCa[Giờ max]&gt;$AA47)
)))),
IF(BB$4 &gt; BB$5,
IF(
AND(
$AA47-$Z$4&lt;MAX(BB$4,VLOOKUP(BB$6, Table_ChiPhiNV_Ca[], COUNTA(Table_ChiPhiNV_Ca[[#Headers],[Ca]:[Bắt đầu]]),0)),
$AA47&gt;MIN(BB$5,VLOOKUP(BB$6, Table_ChiPhiNV_Ca[], COUNTA(Table_ChiPhiNV_Ca[[#Headers],[Ca]:[Kết thúc]]),0))),0,
SUM(_xlfn._xlws.FILTER(Table_BangLuong_TyLeTangCa[Tỷ lệ],
(Table_BangLuong_TyLeTangCa[Ngày] = "Thường") *
(Table_BangLuong_TyLeTangCa[Giờ min]&lt;=$AA47) *
(Table_BangLuong_TyLeTangCa[Giờ max]&gt;$AA47)
))),
IF(
AND(
$AA47-$Z$4&gt;=MAX(BB$4,VLOOKUP(BB$6, Table_ChiPhiNV_Ca[], COUNTA(Table_ChiPhiNV_Ca[[#Headers],[Ca]:[Bắt đầu]]),0)),
$AA47&lt;MIN(BB$5,VLOOKUP(BB$6, Table_ChiPhiNV_Ca[], COUNTA(Table_ChiPhiNV_Ca[[#Headers],[Ca]:[Kết thúc]]),0))),
SUM(_xlfn._xlws.FILTER(Table_BangLuong_TyLeTangCa[Tỷ lệ],
(Table_BangLuong_TyLeTangCa[Ngày] = "Thường") *
(Table_BangLuong_TyLeTangCa[Giờ min]&lt;=$AA47) *
(Table_BangLuong_TyLeTangCa[Giờ max]&gt;$AA47)
)),0)
)),
IF(BB$4 &lt; BB$5,
IF($AA47-$Z$4&lt;BB$4,0,
IF($AA47&gt;BB$5,0,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BB$5,$AA47 &lt; BB$4),0,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C47" s="18" cm="1">
        <f t="array" ref="BC47" xml:space="preserve">
IFERROR(
IF(BC$1="",0,
IF(AND(
$AA47&gt;=VLOOKUP(BC$6, Table_ChiPhiNV_Ca[], COUNTA(Table_ChiPhiNV_Ca[[#Headers],[Ca]:[Bắt đầu nghỉ]]),0),
$AA47&lt;VLOOKUP(BC$6, Table_ChiPhiNV_Ca[], COUNTA(Table_ChiPhiNV_Ca[[#Headers],[Ca]:[Kết thúc nghỉ]]),0)
),0,
IF(NOT(ISBLANK(BC$3)),
IF(ISBLANK(BC$7),0,
IF(BC$4 &lt; BC$5,
IF($AA47-$Z$4&lt;BC$4,0,
IF($AA47&gt;BC$5,0,
SUM(_xlfn._xlws.FILTER(Table_BangLuong_TyLeTangCa[Tỷ lệ],
(Table_BangLuong_TyLeTangCa[Ngày] = BC$3) *
(Table_BangLuong_TyLeTangCa[Giờ min]&lt;=$AA47) *
(Table_BangLuong_TyLeTangCa[Giờ max]&gt;$AA47)
)))),
IF(AND($AA47-$Z$4 &gt;= BC$5,$AA47 &lt; BC$4),0,
SUM(_xlfn._xlws.FILTER(Table_BangLuong_TyLeTangCa[Tỷ lệ],
(Table_BangLuong_TyLeTangCa[Ngày] = BC$3) *
(Table_BangLuong_TyLeTangCa[Giờ min]&lt;=$AA47) *
(Table_BangLuong_TyLeTangCa[Giờ max]&gt;$AA47)
))))
),
IF(ISBLANK(BC$7),
IF(VLOOKUP(BC$6, Table_ChiPhiNV_Ca[], COUNTA(Table_ChiPhiNV_Ca[[#Headers],[Ca]:[Kết thúc]]),0)&gt; VLOOKUP(BC$6, Table_ChiPhiNV_Ca[], COUNTA(Table_ChiPhiNV_Ca[[#Headers],[Ca]:[Bắt đầu]]),0),
IF($AA47-$Z$4&lt;MAX(BC$4,VLOOKUP(BC$6, Table_ChiPhiNV_Ca[], COUNTA(Table_ChiPhiNV_Ca[[#Headers],[Ca]:[Bắt đầu]]),0)),0,
IF($AA47&gt;MIN(BC$5,VLOOKUP(BC$6, Table_ChiPhiNV_Ca[], COUNTA(Table_ChiPhiNV_Ca[[#Headers],[Ca]:[Kết thúc]]),0)),0,
SUM(_xlfn._xlws.FILTER(Table_BangLuong_TyLeTangCa[Tỷ lệ],
(Table_BangLuong_TyLeTangCa[Ngày] = "Thường") *
(Table_BangLuong_TyLeTangCa[Giờ min]&lt;=$AA47) *
(Table_BangLuong_TyLeTangCa[Giờ max]&gt;$AA47)
)))),
IF(BC$4 &gt; BC$5,
IF(
AND(
$AA47-$Z$4&lt;MAX(BC$4,VLOOKUP(BC$6, Table_ChiPhiNV_Ca[], COUNTA(Table_ChiPhiNV_Ca[[#Headers],[Ca]:[Bắt đầu]]),0)),
$AA47&gt;MIN(BC$5,VLOOKUP(BC$6, Table_ChiPhiNV_Ca[], COUNTA(Table_ChiPhiNV_Ca[[#Headers],[Ca]:[Kết thúc]]),0))),0,
SUM(_xlfn._xlws.FILTER(Table_BangLuong_TyLeTangCa[Tỷ lệ],
(Table_BangLuong_TyLeTangCa[Ngày] = "Thường") *
(Table_BangLuong_TyLeTangCa[Giờ min]&lt;=$AA47) *
(Table_BangLuong_TyLeTangCa[Giờ max]&gt;$AA47)
))),
IF(
AND(
$AA47-$Z$4&gt;=MAX(BC$4,VLOOKUP(BC$6, Table_ChiPhiNV_Ca[], COUNTA(Table_ChiPhiNV_Ca[[#Headers],[Ca]:[Bắt đầu]]),0)),
$AA47&lt;MIN(BC$5,VLOOKUP(BC$6, Table_ChiPhiNV_Ca[], COUNTA(Table_ChiPhiNV_Ca[[#Headers],[Ca]:[Kết thúc]]),0))),
SUM(_xlfn._xlws.FILTER(Table_BangLuong_TyLeTangCa[Tỷ lệ],
(Table_BangLuong_TyLeTangCa[Ngày] = "Thường") *
(Table_BangLuong_TyLeTangCa[Giờ min]&lt;=$AA47) *
(Table_BangLuong_TyLeTangCa[Giờ max]&gt;$AA47)
)),0)
)),
IF(BC$4 &lt; BC$5,
IF($AA47-$Z$4&lt;BC$4,0,
IF($AA47&gt;BC$5,0,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BC$5,$AA47 &lt; BC$4),0,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D47" s="18" cm="1">
        <f t="array" ref="BD47" xml:space="preserve">
IFERROR(
IF(BD$1="",0,
IF(AND(
$AA47&gt;=VLOOKUP(BD$6, Table_ChiPhiNV_Ca[], COUNTA(Table_ChiPhiNV_Ca[[#Headers],[Ca]:[Bắt đầu nghỉ]]),0),
$AA47&lt;VLOOKUP(BD$6, Table_ChiPhiNV_Ca[], COUNTA(Table_ChiPhiNV_Ca[[#Headers],[Ca]:[Kết thúc nghỉ]]),0)
),0,
IF(NOT(ISBLANK(BD$3)),
IF(ISBLANK(BD$7),0,
IF(BD$4 &lt; BD$5,
IF($AA47-$Z$4&lt;BD$4,0,
IF($AA47&gt;BD$5,0,
SUM(_xlfn._xlws.FILTER(Table_BangLuong_TyLeTangCa[Tỷ lệ],
(Table_BangLuong_TyLeTangCa[Ngày] = BD$3) *
(Table_BangLuong_TyLeTangCa[Giờ min]&lt;=$AA47) *
(Table_BangLuong_TyLeTangCa[Giờ max]&gt;$AA47)
)))),
IF(AND($AA47-$Z$4 &gt;= BD$5,$AA47 &lt; BD$4),0,
SUM(_xlfn._xlws.FILTER(Table_BangLuong_TyLeTangCa[Tỷ lệ],
(Table_BangLuong_TyLeTangCa[Ngày] = BD$3) *
(Table_BangLuong_TyLeTangCa[Giờ min]&lt;=$AA47) *
(Table_BangLuong_TyLeTangCa[Giờ max]&gt;$AA47)
))))
),
IF(ISBLANK(BD$7),
IF(VLOOKUP(BD$6, Table_ChiPhiNV_Ca[], COUNTA(Table_ChiPhiNV_Ca[[#Headers],[Ca]:[Kết thúc]]),0)&gt; VLOOKUP(BD$6, Table_ChiPhiNV_Ca[], COUNTA(Table_ChiPhiNV_Ca[[#Headers],[Ca]:[Bắt đầu]]),0),
IF($AA47-$Z$4&lt;MAX(BD$4,VLOOKUP(BD$6, Table_ChiPhiNV_Ca[], COUNTA(Table_ChiPhiNV_Ca[[#Headers],[Ca]:[Bắt đầu]]),0)),0,
IF($AA47&gt;MIN(BD$5,VLOOKUP(BD$6, Table_ChiPhiNV_Ca[], COUNTA(Table_ChiPhiNV_Ca[[#Headers],[Ca]:[Kết thúc]]),0)),0,
SUM(_xlfn._xlws.FILTER(Table_BangLuong_TyLeTangCa[Tỷ lệ],
(Table_BangLuong_TyLeTangCa[Ngày] = "Thường") *
(Table_BangLuong_TyLeTangCa[Giờ min]&lt;=$AA47) *
(Table_BangLuong_TyLeTangCa[Giờ max]&gt;$AA47)
)))),
IF(BD$4 &gt; BD$5,
IF(
AND(
$AA47-$Z$4&lt;MAX(BD$4,VLOOKUP(BD$6, Table_ChiPhiNV_Ca[], COUNTA(Table_ChiPhiNV_Ca[[#Headers],[Ca]:[Bắt đầu]]),0)),
$AA47&gt;MIN(BD$5,VLOOKUP(BD$6, Table_ChiPhiNV_Ca[], COUNTA(Table_ChiPhiNV_Ca[[#Headers],[Ca]:[Kết thúc]]),0))),0,
SUM(_xlfn._xlws.FILTER(Table_BangLuong_TyLeTangCa[Tỷ lệ],
(Table_BangLuong_TyLeTangCa[Ngày] = "Thường") *
(Table_BangLuong_TyLeTangCa[Giờ min]&lt;=$AA47) *
(Table_BangLuong_TyLeTangCa[Giờ max]&gt;$AA47)
))),
IF(
AND(
$AA47-$Z$4&gt;=MAX(BD$4,VLOOKUP(BD$6, Table_ChiPhiNV_Ca[], COUNTA(Table_ChiPhiNV_Ca[[#Headers],[Ca]:[Bắt đầu]]),0)),
$AA47&lt;MIN(BD$5,VLOOKUP(BD$6, Table_ChiPhiNV_Ca[], COUNTA(Table_ChiPhiNV_Ca[[#Headers],[Ca]:[Kết thúc]]),0))),
SUM(_xlfn._xlws.FILTER(Table_BangLuong_TyLeTangCa[Tỷ lệ],
(Table_BangLuong_TyLeTangCa[Ngày] = "Thường") *
(Table_BangLuong_TyLeTangCa[Giờ min]&lt;=$AA47) *
(Table_BangLuong_TyLeTangCa[Giờ max]&gt;$AA47)
)),0)
)),
IF(BD$4 &lt; BD$5,
IF($AA47-$Z$4&lt;BD$4,0,
IF($AA47&gt;BD$5,0,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BD$5,$AA47 &lt; BD$4),0,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E47" s="18" cm="1">
        <f t="array" ref="BE47" xml:space="preserve">
IFERROR(
IF(BE$1="",0,
IF(AND(
$AA47&gt;=VLOOKUP(BE$6, Table_ChiPhiNV_Ca[], COUNTA(Table_ChiPhiNV_Ca[[#Headers],[Ca]:[Bắt đầu nghỉ]]),0),
$AA47&lt;VLOOKUP(BE$6, Table_ChiPhiNV_Ca[], COUNTA(Table_ChiPhiNV_Ca[[#Headers],[Ca]:[Kết thúc nghỉ]]),0)
),0,
IF(NOT(ISBLANK(BE$3)),
IF(ISBLANK(BE$7),0,
IF(BE$4 &lt; BE$5,
IF($AA47-$Z$4&lt;BE$4,0,
IF($AA47&gt;BE$5,0,
SUM(_xlfn._xlws.FILTER(Table_BangLuong_TyLeTangCa[Tỷ lệ],
(Table_BangLuong_TyLeTangCa[Ngày] = BE$3) *
(Table_BangLuong_TyLeTangCa[Giờ min]&lt;=$AA47) *
(Table_BangLuong_TyLeTangCa[Giờ max]&gt;$AA47)
)))),
IF(AND($AA47-$Z$4 &gt;= BE$5,$AA47 &lt; BE$4),0,
SUM(_xlfn._xlws.FILTER(Table_BangLuong_TyLeTangCa[Tỷ lệ],
(Table_BangLuong_TyLeTangCa[Ngày] = BE$3) *
(Table_BangLuong_TyLeTangCa[Giờ min]&lt;=$AA47) *
(Table_BangLuong_TyLeTangCa[Giờ max]&gt;$AA47)
))))
),
IF(ISBLANK(BE$7),
IF(VLOOKUP(BE$6, Table_ChiPhiNV_Ca[], COUNTA(Table_ChiPhiNV_Ca[[#Headers],[Ca]:[Kết thúc]]),0)&gt; VLOOKUP(BE$6, Table_ChiPhiNV_Ca[], COUNTA(Table_ChiPhiNV_Ca[[#Headers],[Ca]:[Bắt đầu]]),0),
IF($AA47-$Z$4&lt;MAX(BE$4,VLOOKUP(BE$6, Table_ChiPhiNV_Ca[], COUNTA(Table_ChiPhiNV_Ca[[#Headers],[Ca]:[Bắt đầu]]),0)),0,
IF($AA47&gt;MIN(BE$5,VLOOKUP(BE$6, Table_ChiPhiNV_Ca[], COUNTA(Table_ChiPhiNV_Ca[[#Headers],[Ca]:[Kết thúc]]),0)),0,
SUM(_xlfn._xlws.FILTER(Table_BangLuong_TyLeTangCa[Tỷ lệ],
(Table_BangLuong_TyLeTangCa[Ngày] = "Thường") *
(Table_BangLuong_TyLeTangCa[Giờ min]&lt;=$AA47) *
(Table_BangLuong_TyLeTangCa[Giờ max]&gt;$AA47)
)))),
IF(BE$4 &gt; BE$5,
IF(
AND(
$AA47-$Z$4&lt;MAX(BE$4,VLOOKUP(BE$6, Table_ChiPhiNV_Ca[], COUNTA(Table_ChiPhiNV_Ca[[#Headers],[Ca]:[Bắt đầu]]),0)),
$AA47&gt;MIN(BE$5,VLOOKUP(BE$6, Table_ChiPhiNV_Ca[], COUNTA(Table_ChiPhiNV_Ca[[#Headers],[Ca]:[Kết thúc]]),0))),0,
SUM(_xlfn._xlws.FILTER(Table_BangLuong_TyLeTangCa[Tỷ lệ],
(Table_BangLuong_TyLeTangCa[Ngày] = "Thường") *
(Table_BangLuong_TyLeTangCa[Giờ min]&lt;=$AA47) *
(Table_BangLuong_TyLeTangCa[Giờ max]&gt;$AA47)
))),
IF(
AND(
$AA47-$Z$4&gt;=MAX(BE$4,VLOOKUP(BE$6, Table_ChiPhiNV_Ca[], COUNTA(Table_ChiPhiNV_Ca[[#Headers],[Ca]:[Bắt đầu]]),0)),
$AA47&lt;MIN(BE$5,VLOOKUP(BE$6, Table_ChiPhiNV_Ca[], COUNTA(Table_ChiPhiNV_Ca[[#Headers],[Ca]:[Kết thúc]]),0))),
SUM(_xlfn._xlws.FILTER(Table_BangLuong_TyLeTangCa[Tỷ lệ],
(Table_BangLuong_TyLeTangCa[Ngày] = "Thường") *
(Table_BangLuong_TyLeTangCa[Giờ min]&lt;=$AA47) *
(Table_BangLuong_TyLeTangCa[Giờ max]&gt;$AA47)
)),0)
)),
IF(BE$4 &lt; BE$5,
IF($AA47-$Z$4&lt;BE$4,0,
IF($AA47&gt;BE$5,0,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BE$5,$AA47 &lt; BE$4),0,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F47" s="18" cm="1">
        <f t="array" ref="BF47" xml:space="preserve">
IFERROR(
IF(BF$1="",0,
IF(AND(
$AA47&gt;=VLOOKUP(BF$6, Table_ChiPhiNV_Ca[], COUNTA(Table_ChiPhiNV_Ca[[#Headers],[Ca]:[Bắt đầu nghỉ]]),0),
$AA47&lt;VLOOKUP(BF$6, Table_ChiPhiNV_Ca[], COUNTA(Table_ChiPhiNV_Ca[[#Headers],[Ca]:[Kết thúc nghỉ]]),0)
),0,
IF(NOT(ISBLANK(BF$3)),
IF(ISBLANK(BF$7),0,
IF(BF$4 &lt; BF$5,
IF($AA47-$Z$4&lt;BF$4,0,
IF($AA47&gt;BF$5,0,
SUM(_xlfn._xlws.FILTER(Table_BangLuong_TyLeTangCa[Tỷ lệ],
(Table_BangLuong_TyLeTangCa[Ngày] = BF$3) *
(Table_BangLuong_TyLeTangCa[Giờ min]&lt;=$AA47) *
(Table_BangLuong_TyLeTangCa[Giờ max]&gt;$AA47)
)))),
IF(AND($AA47-$Z$4 &gt;= BF$5,$AA47 &lt; BF$4),0,
SUM(_xlfn._xlws.FILTER(Table_BangLuong_TyLeTangCa[Tỷ lệ],
(Table_BangLuong_TyLeTangCa[Ngày] = BF$3) *
(Table_BangLuong_TyLeTangCa[Giờ min]&lt;=$AA47) *
(Table_BangLuong_TyLeTangCa[Giờ max]&gt;$AA47)
))))
),
IF(ISBLANK(BF$7),
IF(VLOOKUP(BF$6, Table_ChiPhiNV_Ca[], COUNTA(Table_ChiPhiNV_Ca[[#Headers],[Ca]:[Kết thúc]]),0)&gt; VLOOKUP(BF$6, Table_ChiPhiNV_Ca[], COUNTA(Table_ChiPhiNV_Ca[[#Headers],[Ca]:[Bắt đầu]]),0),
IF($AA47-$Z$4&lt;MAX(BF$4,VLOOKUP(BF$6, Table_ChiPhiNV_Ca[], COUNTA(Table_ChiPhiNV_Ca[[#Headers],[Ca]:[Bắt đầu]]),0)),0,
IF($AA47&gt;MIN(BF$5,VLOOKUP(BF$6, Table_ChiPhiNV_Ca[], COUNTA(Table_ChiPhiNV_Ca[[#Headers],[Ca]:[Kết thúc]]),0)),0,
SUM(_xlfn._xlws.FILTER(Table_BangLuong_TyLeTangCa[Tỷ lệ],
(Table_BangLuong_TyLeTangCa[Ngày] = "Thường") *
(Table_BangLuong_TyLeTangCa[Giờ min]&lt;=$AA47) *
(Table_BangLuong_TyLeTangCa[Giờ max]&gt;$AA47)
)))),
IF(BF$4 &gt; BF$5,
IF(
AND(
$AA47-$Z$4&lt;MAX(BF$4,VLOOKUP(BF$6, Table_ChiPhiNV_Ca[], COUNTA(Table_ChiPhiNV_Ca[[#Headers],[Ca]:[Bắt đầu]]),0)),
$AA47&gt;MIN(BF$5,VLOOKUP(BF$6, Table_ChiPhiNV_Ca[], COUNTA(Table_ChiPhiNV_Ca[[#Headers],[Ca]:[Kết thúc]]),0))),0,
SUM(_xlfn._xlws.FILTER(Table_BangLuong_TyLeTangCa[Tỷ lệ],
(Table_BangLuong_TyLeTangCa[Ngày] = "Thường") *
(Table_BangLuong_TyLeTangCa[Giờ min]&lt;=$AA47) *
(Table_BangLuong_TyLeTangCa[Giờ max]&gt;$AA47)
))),
IF(
AND(
$AA47-$Z$4&gt;=MAX(BF$4,VLOOKUP(BF$6, Table_ChiPhiNV_Ca[], COUNTA(Table_ChiPhiNV_Ca[[#Headers],[Ca]:[Bắt đầu]]),0)),
$AA47&lt;MIN(BF$5,VLOOKUP(BF$6, Table_ChiPhiNV_Ca[], COUNTA(Table_ChiPhiNV_Ca[[#Headers],[Ca]:[Kết thúc]]),0))),
SUM(_xlfn._xlws.FILTER(Table_BangLuong_TyLeTangCa[Tỷ lệ],
(Table_BangLuong_TyLeTangCa[Ngày] = "Thường") *
(Table_BangLuong_TyLeTangCa[Giờ min]&lt;=$AA47) *
(Table_BangLuong_TyLeTangCa[Giờ max]&gt;$AA47)
)),0)
)),
IF(BF$4 &lt; BF$5,
IF($AA47-$Z$4&lt;BF$4,0,
IF($AA47&gt;BF$5,0,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BF$5,$AA47 &lt; BF$4),0,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row>
    <row r="48" spans="2:58" ht="18" customHeight="1" outlineLevel="1" x14ac:dyDescent="0.3">
      <c r="AA48" s="50">
        <v>0.8125</v>
      </c>
      <c r="AB48" s="18" cm="1">
        <f t="array" ref="AB48" xml:space="preserve">
IFERROR(
IF(AB$1="",0,
IF(AND(
$AA48&gt;=VLOOKUP(AB$6, Table_ChiPhiNV_Ca[], COUNTA(Table_ChiPhiNV_Ca[[#Headers],[Ca]:[Bắt đầu nghỉ]]),0),
$AA48&lt;VLOOKUP(AB$6, Table_ChiPhiNV_Ca[], COUNTA(Table_ChiPhiNV_Ca[[#Headers],[Ca]:[Kết thúc nghỉ]]),0)
),0,
IF(NOT(ISBLANK(AB$3)),
IF(ISBLANK(AB$7),0,
IF(AB$4 &lt; AB$5,
IF($AA48-$Z$4&lt;AB$4,0,
IF($AA48&gt;AB$5,0,
SUM(_xlfn._xlws.FILTER(Table_BangLuong_TyLeTangCa[Tỷ lệ],
(Table_BangLuong_TyLeTangCa[Ngày] = AB$3) *
(Table_BangLuong_TyLeTangCa[Giờ min]&lt;=$AA48) *
(Table_BangLuong_TyLeTangCa[Giờ max]&gt;$AA48)
)))),
IF(AND($AA48-$Z$4 &gt;= AB$5,$AA48 &lt; AB$4),0,
SUM(_xlfn._xlws.FILTER(Table_BangLuong_TyLeTangCa[Tỷ lệ],
(Table_BangLuong_TyLeTangCa[Ngày] = AB$3) *
(Table_BangLuong_TyLeTangCa[Giờ min]&lt;=$AA48) *
(Table_BangLuong_TyLeTangCa[Giờ max]&gt;$AA48)
))))
),
IF(ISBLANK(AB$7),
IF(VLOOKUP(AB$6, Table_ChiPhiNV_Ca[], COUNTA(Table_ChiPhiNV_Ca[[#Headers],[Ca]:[Kết thúc]]),0)&gt; VLOOKUP(AB$6, Table_ChiPhiNV_Ca[], COUNTA(Table_ChiPhiNV_Ca[[#Headers],[Ca]:[Bắt đầu]]),0),
IF($AA48-$Z$4&lt;MAX(AB$4,VLOOKUP(AB$6, Table_ChiPhiNV_Ca[], COUNTA(Table_ChiPhiNV_Ca[[#Headers],[Ca]:[Bắt đầu]]),0)),0,
IF($AA48&gt;MIN(AB$5,VLOOKUP(AB$6, Table_ChiPhiNV_Ca[], COUNTA(Table_ChiPhiNV_Ca[[#Headers],[Ca]:[Kết thúc]]),0)),0,
SUM(_xlfn._xlws.FILTER(Table_BangLuong_TyLeTangCa[Tỷ lệ],
(Table_BangLuong_TyLeTangCa[Ngày] = "Thường") *
(Table_BangLuong_TyLeTangCa[Giờ min]&lt;=$AA48) *
(Table_BangLuong_TyLeTangCa[Giờ max]&gt;$AA48)
)))),
IF(AB$4 &gt; AB$5,
IF(
AND(
$AA48-$Z$4&lt;MAX(AB$4,VLOOKUP(AB$6, Table_ChiPhiNV_Ca[], COUNTA(Table_ChiPhiNV_Ca[[#Headers],[Ca]:[Bắt đầu]]),0)),
$AA48&gt;MIN(AB$5,VLOOKUP(AB$6, Table_ChiPhiNV_Ca[], COUNTA(Table_ChiPhiNV_Ca[[#Headers],[Ca]:[Kết thúc]]),0))),0,
SUM(_xlfn._xlws.FILTER(Table_BangLuong_TyLeTangCa[Tỷ lệ],
(Table_BangLuong_TyLeTangCa[Ngày] = "Thường") *
(Table_BangLuong_TyLeTangCa[Giờ min]&lt;=$AA48) *
(Table_BangLuong_TyLeTangCa[Giờ max]&gt;$AA48)
))),
IF(
AND(
$AA48-$Z$4&gt;=MAX(AB$4,VLOOKUP(AB$6, Table_ChiPhiNV_Ca[], COUNTA(Table_ChiPhiNV_Ca[[#Headers],[Ca]:[Bắt đầu]]),0)),
$AA48&lt;MIN(AB$5,VLOOKUP(AB$6, Table_ChiPhiNV_Ca[], COUNTA(Table_ChiPhiNV_Ca[[#Headers],[Ca]:[Kết thúc]]),0))),
SUM(_xlfn._xlws.FILTER(Table_BangLuong_TyLeTangCa[Tỷ lệ],
(Table_BangLuong_TyLeTangCa[Ngày] = "Thường") *
(Table_BangLuong_TyLeTangCa[Giờ min]&lt;=$AA48) *
(Table_BangLuong_TyLeTangCa[Giờ max]&gt;$AA48)
)),0)
)),
IF(AB$4 &lt; AB$5,
IF($AA48-$Z$4&lt;AB$4,0,
IF($AA48&gt;AB$5,0,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AB$5,$AA48 &lt; AB$4),0,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C48" s="18" cm="1">
        <f t="array" ref="AC48" xml:space="preserve">
IFERROR(
IF(AC$1="",0,
IF(AND(
$AA48&gt;=VLOOKUP(AC$6, Table_ChiPhiNV_Ca[], COUNTA(Table_ChiPhiNV_Ca[[#Headers],[Ca]:[Bắt đầu nghỉ]]),0),
$AA48&lt;VLOOKUP(AC$6, Table_ChiPhiNV_Ca[], COUNTA(Table_ChiPhiNV_Ca[[#Headers],[Ca]:[Kết thúc nghỉ]]),0)
),0,
IF(NOT(ISBLANK(AC$3)),
IF(ISBLANK(AC$7),0,
IF(AC$4 &lt; AC$5,
IF($AA48-$Z$4&lt;AC$4,0,
IF($AA48&gt;AC$5,0,
SUM(_xlfn._xlws.FILTER(Table_BangLuong_TyLeTangCa[Tỷ lệ],
(Table_BangLuong_TyLeTangCa[Ngày] = AC$3) *
(Table_BangLuong_TyLeTangCa[Giờ min]&lt;=$AA48) *
(Table_BangLuong_TyLeTangCa[Giờ max]&gt;$AA48)
)))),
IF(AND($AA48-$Z$4 &gt;= AC$5,$AA48 &lt; AC$4),0,
SUM(_xlfn._xlws.FILTER(Table_BangLuong_TyLeTangCa[Tỷ lệ],
(Table_BangLuong_TyLeTangCa[Ngày] = AC$3) *
(Table_BangLuong_TyLeTangCa[Giờ min]&lt;=$AA48) *
(Table_BangLuong_TyLeTangCa[Giờ max]&gt;$AA48)
))))
),
IF(ISBLANK(AC$7),
IF(VLOOKUP(AC$6, Table_ChiPhiNV_Ca[], COUNTA(Table_ChiPhiNV_Ca[[#Headers],[Ca]:[Kết thúc]]),0)&gt; VLOOKUP(AC$6, Table_ChiPhiNV_Ca[], COUNTA(Table_ChiPhiNV_Ca[[#Headers],[Ca]:[Bắt đầu]]),0),
IF($AA48-$Z$4&lt;MAX(AC$4,VLOOKUP(AC$6, Table_ChiPhiNV_Ca[], COUNTA(Table_ChiPhiNV_Ca[[#Headers],[Ca]:[Bắt đầu]]),0)),0,
IF($AA48&gt;MIN(AC$5,VLOOKUP(AC$6, Table_ChiPhiNV_Ca[], COUNTA(Table_ChiPhiNV_Ca[[#Headers],[Ca]:[Kết thúc]]),0)),0,
SUM(_xlfn._xlws.FILTER(Table_BangLuong_TyLeTangCa[Tỷ lệ],
(Table_BangLuong_TyLeTangCa[Ngày] = "Thường") *
(Table_BangLuong_TyLeTangCa[Giờ min]&lt;=$AA48) *
(Table_BangLuong_TyLeTangCa[Giờ max]&gt;$AA48)
)))),
IF(AC$4 &gt; AC$5,
IF(
AND(
$AA48-$Z$4&lt;MAX(AC$4,VLOOKUP(AC$6, Table_ChiPhiNV_Ca[], COUNTA(Table_ChiPhiNV_Ca[[#Headers],[Ca]:[Bắt đầu]]),0)),
$AA48&gt;MIN(AC$5,VLOOKUP(AC$6, Table_ChiPhiNV_Ca[], COUNTA(Table_ChiPhiNV_Ca[[#Headers],[Ca]:[Kết thúc]]),0))),0,
SUM(_xlfn._xlws.FILTER(Table_BangLuong_TyLeTangCa[Tỷ lệ],
(Table_BangLuong_TyLeTangCa[Ngày] = "Thường") *
(Table_BangLuong_TyLeTangCa[Giờ min]&lt;=$AA48) *
(Table_BangLuong_TyLeTangCa[Giờ max]&gt;$AA48)
))),
IF(
AND(
$AA48-$Z$4&gt;=MAX(AC$4,VLOOKUP(AC$6, Table_ChiPhiNV_Ca[], COUNTA(Table_ChiPhiNV_Ca[[#Headers],[Ca]:[Bắt đầu]]),0)),
$AA48&lt;MIN(AC$5,VLOOKUP(AC$6, Table_ChiPhiNV_Ca[], COUNTA(Table_ChiPhiNV_Ca[[#Headers],[Ca]:[Kết thúc]]),0))),
SUM(_xlfn._xlws.FILTER(Table_BangLuong_TyLeTangCa[Tỷ lệ],
(Table_BangLuong_TyLeTangCa[Ngày] = "Thường") *
(Table_BangLuong_TyLeTangCa[Giờ min]&lt;=$AA48) *
(Table_BangLuong_TyLeTangCa[Giờ max]&gt;$AA48)
)),0)
)),
IF(AC$4 &lt; AC$5,
IF($AA48-$Z$4&lt;AC$4,0,
IF($AA48&gt;AC$5,0,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AC$5,$AA48 &lt; AC$4),0,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1.5</v>
      </c>
      <c r="AD48" s="18" cm="1">
        <f t="array" ref="AD48" xml:space="preserve">
IFERROR(
IF(AD$1="",0,
IF(AND(
$AA48&gt;=VLOOKUP(AD$6, Table_ChiPhiNV_Ca[], COUNTA(Table_ChiPhiNV_Ca[[#Headers],[Ca]:[Bắt đầu nghỉ]]),0),
$AA48&lt;VLOOKUP(AD$6, Table_ChiPhiNV_Ca[], COUNTA(Table_ChiPhiNV_Ca[[#Headers],[Ca]:[Kết thúc nghỉ]]),0)
),0,
IF(NOT(ISBLANK(AD$3)),
IF(ISBLANK(AD$7),0,
IF(AD$4 &lt; AD$5,
IF($AA48-$Z$4&lt;AD$4,0,
IF($AA48&gt;AD$5,0,
SUM(_xlfn._xlws.FILTER(Table_BangLuong_TyLeTangCa[Tỷ lệ],
(Table_BangLuong_TyLeTangCa[Ngày] = AD$3) *
(Table_BangLuong_TyLeTangCa[Giờ min]&lt;=$AA48) *
(Table_BangLuong_TyLeTangCa[Giờ max]&gt;$AA48)
)))),
IF(AND($AA48-$Z$4 &gt;= AD$5,$AA48 &lt; AD$4),0,
SUM(_xlfn._xlws.FILTER(Table_BangLuong_TyLeTangCa[Tỷ lệ],
(Table_BangLuong_TyLeTangCa[Ngày] = AD$3) *
(Table_BangLuong_TyLeTangCa[Giờ min]&lt;=$AA48) *
(Table_BangLuong_TyLeTangCa[Giờ max]&gt;$AA48)
))))
),
IF(ISBLANK(AD$7),
IF(VLOOKUP(AD$6, Table_ChiPhiNV_Ca[], COUNTA(Table_ChiPhiNV_Ca[[#Headers],[Ca]:[Kết thúc]]),0)&gt; VLOOKUP(AD$6, Table_ChiPhiNV_Ca[], COUNTA(Table_ChiPhiNV_Ca[[#Headers],[Ca]:[Bắt đầu]]),0),
IF($AA48-$Z$4&lt;MAX(AD$4,VLOOKUP(AD$6, Table_ChiPhiNV_Ca[], COUNTA(Table_ChiPhiNV_Ca[[#Headers],[Ca]:[Bắt đầu]]),0)),0,
IF($AA48&gt;MIN(AD$5,VLOOKUP(AD$6, Table_ChiPhiNV_Ca[], COUNTA(Table_ChiPhiNV_Ca[[#Headers],[Ca]:[Kết thúc]]),0)),0,
SUM(_xlfn._xlws.FILTER(Table_BangLuong_TyLeTangCa[Tỷ lệ],
(Table_BangLuong_TyLeTangCa[Ngày] = "Thường") *
(Table_BangLuong_TyLeTangCa[Giờ min]&lt;=$AA48) *
(Table_BangLuong_TyLeTangCa[Giờ max]&gt;$AA48)
)))),
IF(AD$4 &gt; AD$5,
IF(
AND(
$AA48-$Z$4&lt;MAX(AD$4,VLOOKUP(AD$6, Table_ChiPhiNV_Ca[], COUNTA(Table_ChiPhiNV_Ca[[#Headers],[Ca]:[Bắt đầu]]),0)),
$AA48&gt;MIN(AD$5,VLOOKUP(AD$6, Table_ChiPhiNV_Ca[], COUNTA(Table_ChiPhiNV_Ca[[#Headers],[Ca]:[Kết thúc]]),0))),0,
SUM(_xlfn._xlws.FILTER(Table_BangLuong_TyLeTangCa[Tỷ lệ],
(Table_BangLuong_TyLeTangCa[Ngày] = "Thường") *
(Table_BangLuong_TyLeTangCa[Giờ min]&lt;=$AA48) *
(Table_BangLuong_TyLeTangCa[Giờ max]&gt;$AA48)
))),
IF(
AND(
$AA48-$Z$4&gt;=MAX(AD$4,VLOOKUP(AD$6, Table_ChiPhiNV_Ca[], COUNTA(Table_ChiPhiNV_Ca[[#Headers],[Ca]:[Bắt đầu]]),0)),
$AA48&lt;MIN(AD$5,VLOOKUP(AD$6, Table_ChiPhiNV_Ca[], COUNTA(Table_ChiPhiNV_Ca[[#Headers],[Ca]:[Kết thúc]]),0))),
SUM(_xlfn._xlws.FILTER(Table_BangLuong_TyLeTangCa[Tỷ lệ],
(Table_BangLuong_TyLeTangCa[Ngày] = "Thường") *
(Table_BangLuong_TyLeTangCa[Giờ min]&lt;=$AA48) *
(Table_BangLuong_TyLeTangCa[Giờ max]&gt;$AA48)
)),0)
)),
IF(AD$4 &lt; AD$5,
IF($AA48-$Z$4&lt;AD$4,0,
IF($AA48&gt;AD$5,0,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AD$5,$AA48 &lt; AD$4),0,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E48" s="18" cm="1">
        <f t="array" ref="AE48" xml:space="preserve">
IFERROR(
IF(AE$1="",0,
IF(AND(
$AA48&gt;=VLOOKUP(AE$6, Table_ChiPhiNV_Ca[], COUNTA(Table_ChiPhiNV_Ca[[#Headers],[Ca]:[Bắt đầu nghỉ]]),0),
$AA48&lt;VLOOKUP(AE$6, Table_ChiPhiNV_Ca[], COUNTA(Table_ChiPhiNV_Ca[[#Headers],[Ca]:[Kết thúc nghỉ]]),0)
),0,
IF(NOT(ISBLANK(AE$3)),
IF(ISBLANK(AE$7),0,
IF(AE$4 &lt; AE$5,
IF($AA48-$Z$4&lt;AE$4,0,
IF($AA48&gt;AE$5,0,
SUM(_xlfn._xlws.FILTER(Table_BangLuong_TyLeTangCa[Tỷ lệ],
(Table_BangLuong_TyLeTangCa[Ngày] = AE$3) *
(Table_BangLuong_TyLeTangCa[Giờ min]&lt;=$AA48) *
(Table_BangLuong_TyLeTangCa[Giờ max]&gt;$AA48)
)))),
IF(AND($AA48-$Z$4 &gt;= AE$5,$AA48 &lt; AE$4),0,
SUM(_xlfn._xlws.FILTER(Table_BangLuong_TyLeTangCa[Tỷ lệ],
(Table_BangLuong_TyLeTangCa[Ngày] = AE$3) *
(Table_BangLuong_TyLeTangCa[Giờ min]&lt;=$AA48) *
(Table_BangLuong_TyLeTangCa[Giờ max]&gt;$AA48)
))))
),
IF(ISBLANK(AE$7),
IF(VLOOKUP(AE$6, Table_ChiPhiNV_Ca[], COUNTA(Table_ChiPhiNV_Ca[[#Headers],[Ca]:[Kết thúc]]),0)&gt; VLOOKUP(AE$6, Table_ChiPhiNV_Ca[], COUNTA(Table_ChiPhiNV_Ca[[#Headers],[Ca]:[Bắt đầu]]),0),
IF($AA48-$Z$4&lt;MAX(AE$4,VLOOKUP(AE$6, Table_ChiPhiNV_Ca[], COUNTA(Table_ChiPhiNV_Ca[[#Headers],[Ca]:[Bắt đầu]]),0)),0,
IF($AA48&gt;MIN(AE$5,VLOOKUP(AE$6, Table_ChiPhiNV_Ca[], COUNTA(Table_ChiPhiNV_Ca[[#Headers],[Ca]:[Kết thúc]]),0)),0,
SUM(_xlfn._xlws.FILTER(Table_BangLuong_TyLeTangCa[Tỷ lệ],
(Table_BangLuong_TyLeTangCa[Ngày] = "Thường") *
(Table_BangLuong_TyLeTangCa[Giờ min]&lt;=$AA48) *
(Table_BangLuong_TyLeTangCa[Giờ max]&gt;$AA48)
)))),
IF(AE$4 &gt; AE$5,
IF(
AND(
$AA48-$Z$4&lt;MAX(AE$4,VLOOKUP(AE$6, Table_ChiPhiNV_Ca[], COUNTA(Table_ChiPhiNV_Ca[[#Headers],[Ca]:[Bắt đầu]]),0)),
$AA48&gt;MIN(AE$5,VLOOKUP(AE$6, Table_ChiPhiNV_Ca[], COUNTA(Table_ChiPhiNV_Ca[[#Headers],[Ca]:[Kết thúc]]),0))),0,
SUM(_xlfn._xlws.FILTER(Table_BangLuong_TyLeTangCa[Tỷ lệ],
(Table_BangLuong_TyLeTangCa[Ngày] = "Thường") *
(Table_BangLuong_TyLeTangCa[Giờ min]&lt;=$AA48) *
(Table_BangLuong_TyLeTangCa[Giờ max]&gt;$AA48)
))),
IF(
AND(
$AA48-$Z$4&gt;=MAX(AE$4,VLOOKUP(AE$6, Table_ChiPhiNV_Ca[], COUNTA(Table_ChiPhiNV_Ca[[#Headers],[Ca]:[Bắt đầu]]),0)),
$AA48&lt;MIN(AE$5,VLOOKUP(AE$6, Table_ChiPhiNV_Ca[], COUNTA(Table_ChiPhiNV_Ca[[#Headers],[Ca]:[Kết thúc]]),0))),
SUM(_xlfn._xlws.FILTER(Table_BangLuong_TyLeTangCa[Tỷ lệ],
(Table_BangLuong_TyLeTangCa[Ngày] = "Thường") *
(Table_BangLuong_TyLeTangCa[Giờ min]&lt;=$AA48) *
(Table_BangLuong_TyLeTangCa[Giờ max]&gt;$AA48)
)),0)
)),
IF(AE$4 &lt; AE$5,
IF($AA48-$Z$4&lt;AE$4,0,
IF($AA48&gt;AE$5,0,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AE$5,$AA48 &lt; AE$4),0,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F48" s="18" cm="1">
        <f t="array" ref="AF48" xml:space="preserve">
IFERROR(
IF(AF$1="",0,
IF(AND(
$AA48&gt;=VLOOKUP(AF$6, Table_ChiPhiNV_Ca[], COUNTA(Table_ChiPhiNV_Ca[[#Headers],[Ca]:[Bắt đầu nghỉ]]),0),
$AA48&lt;VLOOKUP(AF$6, Table_ChiPhiNV_Ca[], COUNTA(Table_ChiPhiNV_Ca[[#Headers],[Ca]:[Kết thúc nghỉ]]),0)
),0,
IF(NOT(ISBLANK(AF$3)),
IF(ISBLANK(AF$7),0,
IF(AF$4 &lt; AF$5,
IF($AA48-$Z$4&lt;AF$4,0,
IF($AA48&gt;AF$5,0,
SUM(_xlfn._xlws.FILTER(Table_BangLuong_TyLeTangCa[Tỷ lệ],
(Table_BangLuong_TyLeTangCa[Ngày] = AF$3) *
(Table_BangLuong_TyLeTangCa[Giờ min]&lt;=$AA48) *
(Table_BangLuong_TyLeTangCa[Giờ max]&gt;$AA48)
)))),
IF(AND($AA48-$Z$4 &gt;= AF$5,$AA48 &lt; AF$4),0,
SUM(_xlfn._xlws.FILTER(Table_BangLuong_TyLeTangCa[Tỷ lệ],
(Table_BangLuong_TyLeTangCa[Ngày] = AF$3) *
(Table_BangLuong_TyLeTangCa[Giờ min]&lt;=$AA48) *
(Table_BangLuong_TyLeTangCa[Giờ max]&gt;$AA48)
))))
),
IF(ISBLANK(AF$7),
IF(VLOOKUP(AF$6, Table_ChiPhiNV_Ca[], COUNTA(Table_ChiPhiNV_Ca[[#Headers],[Ca]:[Kết thúc]]),0)&gt; VLOOKUP(AF$6, Table_ChiPhiNV_Ca[], COUNTA(Table_ChiPhiNV_Ca[[#Headers],[Ca]:[Bắt đầu]]),0),
IF($AA48-$Z$4&lt;MAX(AF$4,VLOOKUP(AF$6, Table_ChiPhiNV_Ca[], COUNTA(Table_ChiPhiNV_Ca[[#Headers],[Ca]:[Bắt đầu]]),0)),0,
IF($AA48&gt;MIN(AF$5,VLOOKUP(AF$6, Table_ChiPhiNV_Ca[], COUNTA(Table_ChiPhiNV_Ca[[#Headers],[Ca]:[Kết thúc]]),0)),0,
SUM(_xlfn._xlws.FILTER(Table_BangLuong_TyLeTangCa[Tỷ lệ],
(Table_BangLuong_TyLeTangCa[Ngày] = "Thường") *
(Table_BangLuong_TyLeTangCa[Giờ min]&lt;=$AA48) *
(Table_BangLuong_TyLeTangCa[Giờ max]&gt;$AA48)
)))),
IF(AF$4 &gt; AF$5,
IF(
AND(
$AA48-$Z$4&lt;MAX(AF$4,VLOOKUP(AF$6, Table_ChiPhiNV_Ca[], COUNTA(Table_ChiPhiNV_Ca[[#Headers],[Ca]:[Bắt đầu]]),0)),
$AA48&gt;MIN(AF$5,VLOOKUP(AF$6, Table_ChiPhiNV_Ca[], COUNTA(Table_ChiPhiNV_Ca[[#Headers],[Ca]:[Kết thúc]]),0))),0,
SUM(_xlfn._xlws.FILTER(Table_BangLuong_TyLeTangCa[Tỷ lệ],
(Table_BangLuong_TyLeTangCa[Ngày] = "Thường") *
(Table_BangLuong_TyLeTangCa[Giờ min]&lt;=$AA48) *
(Table_BangLuong_TyLeTangCa[Giờ max]&gt;$AA48)
))),
IF(
AND(
$AA48-$Z$4&gt;=MAX(AF$4,VLOOKUP(AF$6, Table_ChiPhiNV_Ca[], COUNTA(Table_ChiPhiNV_Ca[[#Headers],[Ca]:[Bắt đầu]]),0)),
$AA48&lt;MIN(AF$5,VLOOKUP(AF$6, Table_ChiPhiNV_Ca[], COUNTA(Table_ChiPhiNV_Ca[[#Headers],[Ca]:[Kết thúc]]),0))),
SUM(_xlfn._xlws.FILTER(Table_BangLuong_TyLeTangCa[Tỷ lệ],
(Table_BangLuong_TyLeTangCa[Ngày] = "Thường") *
(Table_BangLuong_TyLeTangCa[Giờ min]&lt;=$AA48) *
(Table_BangLuong_TyLeTangCa[Giờ max]&gt;$AA48)
)),0)
)),
IF(AF$4 &lt; AF$5,
IF($AA48-$Z$4&lt;AF$4,0,
IF($AA48&gt;AF$5,0,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AF$5,$AA48 &lt; AF$4),0,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G48" s="18" cm="1">
        <f t="array" ref="AG48" xml:space="preserve">
IFERROR(
IF(AG$1="",0,
IF(AND(
$AA48&gt;=VLOOKUP(AG$6, Table_ChiPhiNV_Ca[], COUNTA(Table_ChiPhiNV_Ca[[#Headers],[Ca]:[Bắt đầu nghỉ]]),0),
$AA48&lt;VLOOKUP(AG$6, Table_ChiPhiNV_Ca[], COUNTA(Table_ChiPhiNV_Ca[[#Headers],[Ca]:[Kết thúc nghỉ]]),0)
),0,
IF(NOT(ISBLANK(AG$3)),
IF(ISBLANK(AG$7),0,
IF(AG$4 &lt; AG$5,
IF($AA48-$Z$4&lt;AG$4,0,
IF($AA48&gt;AG$5,0,
SUM(_xlfn._xlws.FILTER(Table_BangLuong_TyLeTangCa[Tỷ lệ],
(Table_BangLuong_TyLeTangCa[Ngày] = AG$3) *
(Table_BangLuong_TyLeTangCa[Giờ min]&lt;=$AA48) *
(Table_BangLuong_TyLeTangCa[Giờ max]&gt;$AA48)
)))),
IF(AND($AA48-$Z$4 &gt;= AG$5,$AA48 &lt; AG$4),0,
SUM(_xlfn._xlws.FILTER(Table_BangLuong_TyLeTangCa[Tỷ lệ],
(Table_BangLuong_TyLeTangCa[Ngày] = AG$3) *
(Table_BangLuong_TyLeTangCa[Giờ min]&lt;=$AA48) *
(Table_BangLuong_TyLeTangCa[Giờ max]&gt;$AA48)
))))
),
IF(ISBLANK(AG$7),
IF(VLOOKUP(AG$6, Table_ChiPhiNV_Ca[], COUNTA(Table_ChiPhiNV_Ca[[#Headers],[Ca]:[Kết thúc]]),0)&gt; VLOOKUP(AG$6, Table_ChiPhiNV_Ca[], COUNTA(Table_ChiPhiNV_Ca[[#Headers],[Ca]:[Bắt đầu]]),0),
IF($AA48-$Z$4&lt;MAX(AG$4,VLOOKUP(AG$6, Table_ChiPhiNV_Ca[], COUNTA(Table_ChiPhiNV_Ca[[#Headers],[Ca]:[Bắt đầu]]),0)),0,
IF($AA48&gt;MIN(AG$5,VLOOKUP(AG$6, Table_ChiPhiNV_Ca[], COUNTA(Table_ChiPhiNV_Ca[[#Headers],[Ca]:[Kết thúc]]),0)),0,
SUM(_xlfn._xlws.FILTER(Table_BangLuong_TyLeTangCa[Tỷ lệ],
(Table_BangLuong_TyLeTangCa[Ngày] = "Thường") *
(Table_BangLuong_TyLeTangCa[Giờ min]&lt;=$AA48) *
(Table_BangLuong_TyLeTangCa[Giờ max]&gt;$AA48)
)))),
IF(AG$4 &gt; AG$5,
IF(
AND(
$AA48-$Z$4&lt;MAX(AG$4,VLOOKUP(AG$6, Table_ChiPhiNV_Ca[], COUNTA(Table_ChiPhiNV_Ca[[#Headers],[Ca]:[Bắt đầu]]),0)),
$AA48&gt;MIN(AG$5,VLOOKUP(AG$6, Table_ChiPhiNV_Ca[], COUNTA(Table_ChiPhiNV_Ca[[#Headers],[Ca]:[Kết thúc]]),0))),0,
SUM(_xlfn._xlws.FILTER(Table_BangLuong_TyLeTangCa[Tỷ lệ],
(Table_BangLuong_TyLeTangCa[Ngày] = "Thường") *
(Table_BangLuong_TyLeTangCa[Giờ min]&lt;=$AA48) *
(Table_BangLuong_TyLeTangCa[Giờ max]&gt;$AA48)
))),
IF(
AND(
$AA48-$Z$4&gt;=MAX(AG$4,VLOOKUP(AG$6, Table_ChiPhiNV_Ca[], COUNTA(Table_ChiPhiNV_Ca[[#Headers],[Ca]:[Bắt đầu]]),0)),
$AA48&lt;MIN(AG$5,VLOOKUP(AG$6, Table_ChiPhiNV_Ca[], COUNTA(Table_ChiPhiNV_Ca[[#Headers],[Ca]:[Kết thúc]]),0))),
SUM(_xlfn._xlws.FILTER(Table_BangLuong_TyLeTangCa[Tỷ lệ],
(Table_BangLuong_TyLeTangCa[Ngày] = "Thường") *
(Table_BangLuong_TyLeTangCa[Giờ min]&lt;=$AA48) *
(Table_BangLuong_TyLeTangCa[Giờ max]&gt;$AA48)
)),0)
)),
IF(AG$4 &lt; AG$5,
IF($AA48-$Z$4&lt;AG$4,0,
IF($AA48&gt;AG$5,0,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AG$5,$AA48 &lt; AG$4),0,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H48" s="18" cm="1">
        <f t="array" ref="AH48" xml:space="preserve">
IFERROR(
IF(AH$1="",0,
IF(AND(
$AA48&gt;=VLOOKUP(AH$6, Table_ChiPhiNV_Ca[], COUNTA(Table_ChiPhiNV_Ca[[#Headers],[Ca]:[Bắt đầu nghỉ]]),0),
$AA48&lt;VLOOKUP(AH$6, Table_ChiPhiNV_Ca[], COUNTA(Table_ChiPhiNV_Ca[[#Headers],[Ca]:[Kết thúc nghỉ]]),0)
),0,
IF(NOT(ISBLANK(AH$3)),
IF(ISBLANK(AH$7),0,
IF(AH$4 &lt; AH$5,
IF($AA48-$Z$4&lt;AH$4,0,
IF($AA48&gt;AH$5,0,
SUM(_xlfn._xlws.FILTER(Table_BangLuong_TyLeTangCa[Tỷ lệ],
(Table_BangLuong_TyLeTangCa[Ngày] = AH$3) *
(Table_BangLuong_TyLeTangCa[Giờ min]&lt;=$AA48) *
(Table_BangLuong_TyLeTangCa[Giờ max]&gt;$AA48)
)))),
IF(AND($AA48-$Z$4 &gt;= AH$5,$AA48 &lt; AH$4),0,
SUM(_xlfn._xlws.FILTER(Table_BangLuong_TyLeTangCa[Tỷ lệ],
(Table_BangLuong_TyLeTangCa[Ngày] = AH$3) *
(Table_BangLuong_TyLeTangCa[Giờ min]&lt;=$AA48) *
(Table_BangLuong_TyLeTangCa[Giờ max]&gt;$AA48)
))))
),
IF(ISBLANK(AH$7),
IF(VLOOKUP(AH$6, Table_ChiPhiNV_Ca[], COUNTA(Table_ChiPhiNV_Ca[[#Headers],[Ca]:[Kết thúc]]),0)&gt; VLOOKUP(AH$6, Table_ChiPhiNV_Ca[], COUNTA(Table_ChiPhiNV_Ca[[#Headers],[Ca]:[Bắt đầu]]),0),
IF($AA48-$Z$4&lt;MAX(AH$4,VLOOKUP(AH$6, Table_ChiPhiNV_Ca[], COUNTA(Table_ChiPhiNV_Ca[[#Headers],[Ca]:[Bắt đầu]]),0)),0,
IF($AA48&gt;MIN(AH$5,VLOOKUP(AH$6, Table_ChiPhiNV_Ca[], COUNTA(Table_ChiPhiNV_Ca[[#Headers],[Ca]:[Kết thúc]]),0)),0,
SUM(_xlfn._xlws.FILTER(Table_BangLuong_TyLeTangCa[Tỷ lệ],
(Table_BangLuong_TyLeTangCa[Ngày] = "Thường") *
(Table_BangLuong_TyLeTangCa[Giờ min]&lt;=$AA48) *
(Table_BangLuong_TyLeTangCa[Giờ max]&gt;$AA48)
)))),
IF(AH$4 &gt; AH$5,
IF(
AND(
$AA48-$Z$4&lt;MAX(AH$4,VLOOKUP(AH$6, Table_ChiPhiNV_Ca[], COUNTA(Table_ChiPhiNV_Ca[[#Headers],[Ca]:[Bắt đầu]]),0)),
$AA48&gt;MIN(AH$5,VLOOKUP(AH$6, Table_ChiPhiNV_Ca[], COUNTA(Table_ChiPhiNV_Ca[[#Headers],[Ca]:[Kết thúc]]),0))),0,
SUM(_xlfn._xlws.FILTER(Table_BangLuong_TyLeTangCa[Tỷ lệ],
(Table_BangLuong_TyLeTangCa[Ngày] = "Thường") *
(Table_BangLuong_TyLeTangCa[Giờ min]&lt;=$AA48) *
(Table_BangLuong_TyLeTangCa[Giờ max]&gt;$AA48)
))),
IF(
AND(
$AA48-$Z$4&gt;=MAX(AH$4,VLOOKUP(AH$6, Table_ChiPhiNV_Ca[], COUNTA(Table_ChiPhiNV_Ca[[#Headers],[Ca]:[Bắt đầu]]),0)),
$AA48&lt;MIN(AH$5,VLOOKUP(AH$6, Table_ChiPhiNV_Ca[], COUNTA(Table_ChiPhiNV_Ca[[#Headers],[Ca]:[Kết thúc]]),0))),
SUM(_xlfn._xlws.FILTER(Table_BangLuong_TyLeTangCa[Tỷ lệ],
(Table_BangLuong_TyLeTangCa[Ngày] = "Thường") *
(Table_BangLuong_TyLeTangCa[Giờ min]&lt;=$AA48) *
(Table_BangLuong_TyLeTangCa[Giờ max]&gt;$AA48)
)),0)
)),
IF(AH$4 &lt; AH$5,
IF($AA48-$Z$4&lt;AH$4,0,
IF($AA48&gt;AH$5,0,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AH$5,$AA48 &lt; AH$4),0,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I48" s="18" cm="1">
        <f t="array" ref="AI48" xml:space="preserve">
IFERROR(
IF(AI$1="",0,
IF(AND(
$AA48&gt;=VLOOKUP(AI$6, Table_ChiPhiNV_Ca[], COUNTA(Table_ChiPhiNV_Ca[[#Headers],[Ca]:[Bắt đầu nghỉ]]),0),
$AA48&lt;VLOOKUP(AI$6, Table_ChiPhiNV_Ca[], COUNTA(Table_ChiPhiNV_Ca[[#Headers],[Ca]:[Kết thúc nghỉ]]),0)
),0,
IF(NOT(ISBLANK(AI$3)),
IF(ISBLANK(AI$7),0,
IF(AI$4 &lt; AI$5,
IF($AA48-$Z$4&lt;AI$4,0,
IF($AA48&gt;AI$5,0,
SUM(_xlfn._xlws.FILTER(Table_BangLuong_TyLeTangCa[Tỷ lệ],
(Table_BangLuong_TyLeTangCa[Ngày] = AI$3) *
(Table_BangLuong_TyLeTangCa[Giờ min]&lt;=$AA48) *
(Table_BangLuong_TyLeTangCa[Giờ max]&gt;$AA48)
)))),
IF(AND($AA48-$Z$4 &gt;= AI$5,$AA48 &lt; AI$4),0,
SUM(_xlfn._xlws.FILTER(Table_BangLuong_TyLeTangCa[Tỷ lệ],
(Table_BangLuong_TyLeTangCa[Ngày] = AI$3) *
(Table_BangLuong_TyLeTangCa[Giờ min]&lt;=$AA48) *
(Table_BangLuong_TyLeTangCa[Giờ max]&gt;$AA48)
))))
),
IF(ISBLANK(AI$7),
IF(VLOOKUP(AI$6, Table_ChiPhiNV_Ca[], COUNTA(Table_ChiPhiNV_Ca[[#Headers],[Ca]:[Kết thúc]]),0)&gt; VLOOKUP(AI$6, Table_ChiPhiNV_Ca[], COUNTA(Table_ChiPhiNV_Ca[[#Headers],[Ca]:[Bắt đầu]]),0),
IF($AA48-$Z$4&lt;MAX(AI$4,VLOOKUP(AI$6, Table_ChiPhiNV_Ca[], COUNTA(Table_ChiPhiNV_Ca[[#Headers],[Ca]:[Bắt đầu]]),0)),0,
IF($AA48&gt;MIN(AI$5,VLOOKUP(AI$6, Table_ChiPhiNV_Ca[], COUNTA(Table_ChiPhiNV_Ca[[#Headers],[Ca]:[Kết thúc]]),0)),0,
SUM(_xlfn._xlws.FILTER(Table_BangLuong_TyLeTangCa[Tỷ lệ],
(Table_BangLuong_TyLeTangCa[Ngày] = "Thường") *
(Table_BangLuong_TyLeTangCa[Giờ min]&lt;=$AA48) *
(Table_BangLuong_TyLeTangCa[Giờ max]&gt;$AA48)
)))),
IF(AI$4 &gt; AI$5,
IF(
AND(
$AA48-$Z$4&lt;MAX(AI$4,VLOOKUP(AI$6, Table_ChiPhiNV_Ca[], COUNTA(Table_ChiPhiNV_Ca[[#Headers],[Ca]:[Bắt đầu]]),0)),
$AA48&gt;MIN(AI$5,VLOOKUP(AI$6, Table_ChiPhiNV_Ca[], COUNTA(Table_ChiPhiNV_Ca[[#Headers],[Ca]:[Kết thúc]]),0))),0,
SUM(_xlfn._xlws.FILTER(Table_BangLuong_TyLeTangCa[Tỷ lệ],
(Table_BangLuong_TyLeTangCa[Ngày] = "Thường") *
(Table_BangLuong_TyLeTangCa[Giờ min]&lt;=$AA48) *
(Table_BangLuong_TyLeTangCa[Giờ max]&gt;$AA48)
))),
IF(
AND(
$AA48-$Z$4&gt;=MAX(AI$4,VLOOKUP(AI$6, Table_ChiPhiNV_Ca[], COUNTA(Table_ChiPhiNV_Ca[[#Headers],[Ca]:[Bắt đầu]]),0)),
$AA48&lt;MIN(AI$5,VLOOKUP(AI$6, Table_ChiPhiNV_Ca[], COUNTA(Table_ChiPhiNV_Ca[[#Headers],[Ca]:[Kết thúc]]),0))),
SUM(_xlfn._xlws.FILTER(Table_BangLuong_TyLeTangCa[Tỷ lệ],
(Table_BangLuong_TyLeTangCa[Ngày] = "Thường") *
(Table_BangLuong_TyLeTangCa[Giờ min]&lt;=$AA48) *
(Table_BangLuong_TyLeTangCa[Giờ max]&gt;$AA48)
)),0)
)),
IF(AI$4 &lt; AI$5,
IF($AA48-$Z$4&lt;AI$4,0,
IF($AA48&gt;AI$5,0,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AI$5,$AA48 &lt; AI$4),0,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J48" s="18" cm="1">
        <f t="array" ref="AJ48" xml:space="preserve">
IFERROR(
IF(AJ$1="",0,
IF(AND(
$AA48&gt;=VLOOKUP(AJ$6, Table_ChiPhiNV_Ca[], COUNTA(Table_ChiPhiNV_Ca[[#Headers],[Ca]:[Bắt đầu nghỉ]]),0),
$AA48&lt;VLOOKUP(AJ$6, Table_ChiPhiNV_Ca[], COUNTA(Table_ChiPhiNV_Ca[[#Headers],[Ca]:[Kết thúc nghỉ]]),0)
),0,
IF(NOT(ISBLANK(AJ$3)),
IF(ISBLANK(AJ$7),0,
IF(AJ$4 &lt; AJ$5,
IF($AA48-$Z$4&lt;AJ$4,0,
IF($AA48&gt;AJ$5,0,
SUM(_xlfn._xlws.FILTER(Table_BangLuong_TyLeTangCa[Tỷ lệ],
(Table_BangLuong_TyLeTangCa[Ngày] = AJ$3) *
(Table_BangLuong_TyLeTangCa[Giờ min]&lt;=$AA48) *
(Table_BangLuong_TyLeTangCa[Giờ max]&gt;$AA48)
)))),
IF(AND($AA48-$Z$4 &gt;= AJ$5,$AA48 &lt; AJ$4),0,
SUM(_xlfn._xlws.FILTER(Table_BangLuong_TyLeTangCa[Tỷ lệ],
(Table_BangLuong_TyLeTangCa[Ngày] = AJ$3) *
(Table_BangLuong_TyLeTangCa[Giờ min]&lt;=$AA48) *
(Table_BangLuong_TyLeTangCa[Giờ max]&gt;$AA48)
))))
),
IF(ISBLANK(AJ$7),
IF(VLOOKUP(AJ$6, Table_ChiPhiNV_Ca[], COUNTA(Table_ChiPhiNV_Ca[[#Headers],[Ca]:[Kết thúc]]),0)&gt; VLOOKUP(AJ$6, Table_ChiPhiNV_Ca[], COUNTA(Table_ChiPhiNV_Ca[[#Headers],[Ca]:[Bắt đầu]]),0),
IF($AA48-$Z$4&lt;MAX(AJ$4,VLOOKUP(AJ$6, Table_ChiPhiNV_Ca[], COUNTA(Table_ChiPhiNV_Ca[[#Headers],[Ca]:[Bắt đầu]]),0)),0,
IF($AA48&gt;MIN(AJ$5,VLOOKUP(AJ$6, Table_ChiPhiNV_Ca[], COUNTA(Table_ChiPhiNV_Ca[[#Headers],[Ca]:[Kết thúc]]),0)),0,
SUM(_xlfn._xlws.FILTER(Table_BangLuong_TyLeTangCa[Tỷ lệ],
(Table_BangLuong_TyLeTangCa[Ngày] = "Thường") *
(Table_BangLuong_TyLeTangCa[Giờ min]&lt;=$AA48) *
(Table_BangLuong_TyLeTangCa[Giờ max]&gt;$AA48)
)))),
IF(AJ$4 &gt; AJ$5,
IF(
AND(
$AA48-$Z$4&lt;MAX(AJ$4,VLOOKUP(AJ$6, Table_ChiPhiNV_Ca[], COUNTA(Table_ChiPhiNV_Ca[[#Headers],[Ca]:[Bắt đầu]]),0)),
$AA48&gt;MIN(AJ$5,VLOOKUP(AJ$6, Table_ChiPhiNV_Ca[], COUNTA(Table_ChiPhiNV_Ca[[#Headers],[Ca]:[Kết thúc]]),0))),0,
SUM(_xlfn._xlws.FILTER(Table_BangLuong_TyLeTangCa[Tỷ lệ],
(Table_BangLuong_TyLeTangCa[Ngày] = "Thường") *
(Table_BangLuong_TyLeTangCa[Giờ min]&lt;=$AA48) *
(Table_BangLuong_TyLeTangCa[Giờ max]&gt;$AA48)
))),
IF(
AND(
$AA48-$Z$4&gt;=MAX(AJ$4,VLOOKUP(AJ$6, Table_ChiPhiNV_Ca[], COUNTA(Table_ChiPhiNV_Ca[[#Headers],[Ca]:[Bắt đầu]]),0)),
$AA48&lt;MIN(AJ$5,VLOOKUP(AJ$6, Table_ChiPhiNV_Ca[], COUNTA(Table_ChiPhiNV_Ca[[#Headers],[Ca]:[Kết thúc]]),0))),
SUM(_xlfn._xlws.FILTER(Table_BangLuong_TyLeTangCa[Tỷ lệ],
(Table_BangLuong_TyLeTangCa[Ngày] = "Thường") *
(Table_BangLuong_TyLeTangCa[Giờ min]&lt;=$AA48) *
(Table_BangLuong_TyLeTangCa[Giờ max]&gt;$AA48)
)),0)
)),
IF(AJ$4 &lt; AJ$5,
IF($AA48-$Z$4&lt;AJ$4,0,
IF($AA48&gt;AJ$5,0,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AJ$5,$AA48 &lt; AJ$4),0,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K48" s="18" cm="1">
        <f t="array" ref="AK48" xml:space="preserve">
IFERROR(
IF(AK$1="",0,
IF(AND(
$AA48&gt;=VLOOKUP(AK$6, Table_ChiPhiNV_Ca[], COUNTA(Table_ChiPhiNV_Ca[[#Headers],[Ca]:[Bắt đầu nghỉ]]),0),
$AA48&lt;VLOOKUP(AK$6, Table_ChiPhiNV_Ca[], COUNTA(Table_ChiPhiNV_Ca[[#Headers],[Ca]:[Kết thúc nghỉ]]),0)
),0,
IF(NOT(ISBLANK(AK$3)),
IF(ISBLANK(AK$7),0,
IF(AK$4 &lt; AK$5,
IF($AA48-$Z$4&lt;AK$4,0,
IF($AA48&gt;AK$5,0,
SUM(_xlfn._xlws.FILTER(Table_BangLuong_TyLeTangCa[Tỷ lệ],
(Table_BangLuong_TyLeTangCa[Ngày] = AK$3) *
(Table_BangLuong_TyLeTangCa[Giờ min]&lt;=$AA48) *
(Table_BangLuong_TyLeTangCa[Giờ max]&gt;$AA48)
)))),
IF(AND($AA48-$Z$4 &gt;= AK$5,$AA48 &lt; AK$4),0,
SUM(_xlfn._xlws.FILTER(Table_BangLuong_TyLeTangCa[Tỷ lệ],
(Table_BangLuong_TyLeTangCa[Ngày] = AK$3) *
(Table_BangLuong_TyLeTangCa[Giờ min]&lt;=$AA48) *
(Table_BangLuong_TyLeTangCa[Giờ max]&gt;$AA48)
))))
),
IF(ISBLANK(AK$7),
IF(VLOOKUP(AK$6, Table_ChiPhiNV_Ca[], COUNTA(Table_ChiPhiNV_Ca[[#Headers],[Ca]:[Kết thúc]]),0)&gt; VLOOKUP(AK$6, Table_ChiPhiNV_Ca[], COUNTA(Table_ChiPhiNV_Ca[[#Headers],[Ca]:[Bắt đầu]]),0),
IF($AA48-$Z$4&lt;MAX(AK$4,VLOOKUP(AK$6, Table_ChiPhiNV_Ca[], COUNTA(Table_ChiPhiNV_Ca[[#Headers],[Ca]:[Bắt đầu]]),0)),0,
IF($AA48&gt;MIN(AK$5,VLOOKUP(AK$6, Table_ChiPhiNV_Ca[], COUNTA(Table_ChiPhiNV_Ca[[#Headers],[Ca]:[Kết thúc]]),0)),0,
SUM(_xlfn._xlws.FILTER(Table_BangLuong_TyLeTangCa[Tỷ lệ],
(Table_BangLuong_TyLeTangCa[Ngày] = "Thường") *
(Table_BangLuong_TyLeTangCa[Giờ min]&lt;=$AA48) *
(Table_BangLuong_TyLeTangCa[Giờ max]&gt;$AA48)
)))),
IF(AK$4 &gt; AK$5,
IF(
AND(
$AA48-$Z$4&lt;MAX(AK$4,VLOOKUP(AK$6, Table_ChiPhiNV_Ca[], COUNTA(Table_ChiPhiNV_Ca[[#Headers],[Ca]:[Bắt đầu]]),0)),
$AA48&gt;MIN(AK$5,VLOOKUP(AK$6, Table_ChiPhiNV_Ca[], COUNTA(Table_ChiPhiNV_Ca[[#Headers],[Ca]:[Kết thúc]]),0))),0,
SUM(_xlfn._xlws.FILTER(Table_BangLuong_TyLeTangCa[Tỷ lệ],
(Table_BangLuong_TyLeTangCa[Ngày] = "Thường") *
(Table_BangLuong_TyLeTangCa[Giờ min]&lt;=$AA48) *
(Table_BangLuong_TyLeTangCa[Giờ max]&gt;$AA48)
))),
IF(
AND(
$AA48-$Z$4&gt;=MAX(AK$4,VLOOKUP(AK$6, Table_ChiPhiNV_Ca[], COUNTA(Table_ChiPhiNV_Ca[[#Headers],[Ca]:[Bắt đầu]]),0)),
$AA48&lt;MIN(AK$5,VLOOKUP(AK$6, Table_ChiPhiNV_Ca[], COUNTA(Table_ChiPhiNV_Ca[[#Headers],[Ca]:[Kết thúc]]),0))),
SUM(_xlfn._xlws.FILTER(Table_BangLuong_TyLeTangCa[Tỷ lệ],
(Table_BangLuong_TyLeTangCa[Ngày] = "Thường") *
(Table_BangLuong_TyLeTangCa[Giờ min]&lt;=$AA48) *
(Table_BangLuong_TyLeTangCa[Giờ max]&gt;$AA48)
)),0)
)),
IF(AK$4 &lt; AK$5,
IF($AA48-$Z$4&lt;AK$4,0,
IF($AA48&gt;AK$5,0,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AK$5,$AA48 &lt; AK$4),0,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L48" s="18" cm="1">
        <f t="array" ref="AL48" xml:space="preserve">
IFERROR(
IF(AL$1="",0,
IF(AND(
$AA48&gt;=VLOOKUP(AL$6, Table_ChiPhiNV_Ca[], COUNTA(Table_ChiPhiNV_Ca[[#Headers],[Ca]:[Bắt đầu nghỉ]]),0),
$AA48&lt;VLOOKUP(AL$6, Table_ChiPhiNV_Ca[], COUNTA(Table_ChiPhiNV_Ca[[#Headers],[Ca]:[Kết thúc nghỉ]]),0)
),0,
IF(NOT(ISBLANK(AL$3)),
IF(ISBLANK(AL$7),0,
IF(AL$4 &lt; AL$5,
IF($AA48-$Z$4&lt;AL$4,0,
IF($AA48&gt;AL$5,0,
SUM(_xlfn._xlws.FILTER(Table_BangLuong_TyLeTangCa[Tỷ lệ],
(Table_BangLuong_TyLeTangCa[Ngày] = AL$3) *
(Table_BangLuong_TyLeTangCa[Giờ min]&lt;=$AA48) *
(Table_BangLuong_TyLeTangCa[Giờ max]&gt;$AA48)
)))),
IF(AND($AA48-$Z$4 &gt;= AL$5,$AA48 &lt; AL$4),0,
SUM(_xlfn._xlws.FILTER(Table_BangLuong_TyLeTangCa[Tỷ lệ],
(Table_BangLuong_TyLeTangCa[Ngày] = AL$3) *
(Table_BangLuong_TyLeTangCa[Giờ min]&lt;=$AA48) *
(Table_BangLuong_TyLeTangCa[Giờ max]&gt;$AA48)
))))
),
IF(ISBLANK(AL$7),
IF(VLOOKUP(AL$6, Table_ChiPhiNV_Ca[], COUNTA(Table_ChiPhiNV_Ca[[#Headers],[Ca]:[Kết thúc]]),0)&gt; VLOOKUP(AL$6, Table_ChiPhiNV_Ca[], COUNTA(Table_ChiPhiNV_Ca[[#Headers],[Ca]:[Bắt đầu]]),0),
IF($AA48-$Z$4&lt;MAX(AL$4,VLOOKUP(AL$6, Table_ChiPhiNV_Ca[], COUNTA(Table_ChiPhiNV_Ca[[#Headers],[Ca]:[Bắt đầu]]),0)),0,
IF($AA48&gt;MIN(AL$5,VLOOKUP(AL$6, Table_ChiPhiNV_Ca[], COUNTA(Table_ChiPhiNV_Ca[[#Headers],[Ca]:[Kết thúc]]),0)),0,
SUM(_xlfn._xlws.FILTER(Table_BangLuong_TyLeTangCa[Tỷ lệ],
(Table_BangLuong_TyLeTangCa[Ngày] = "Thường") *
(Table_BangLuong_TyLeTangCa[Giờ min]&lt;=$AA48) *
(Table_BangLuong_TyLeTangCa[Giờ max]&gt;$AA48)
)))),
IF(AL$4 &gt; AL$5,
IF(
AND(
$AA48-$Z$4&lt;MAX(AL$4,VLOOKUP(AL$6, Table_ChiPhiNV_Ca[], COUNTA(Table_ChiPhiNV_Ca[[#Headers],[Ca]:[Bắt đầu]]),0)),
$AA48&gt;MIN(AL$5,VLOOKUP(AL$6, Table_ChiPhiNV_Ca[], COUNTA(Table_ChiPhiNV_Ca[[#Headers],[Ca]:[Kết thúc]]),0))),0,
SUM(_xlfn._xlws.FILTER(Table_BangLuong_TyLeTangCa[Tỷ lệ],
(Table_BangLuong_TyLeTangCa[Ngày] = "Thường") *
(Table_BangLuong_TyLeTangCa[Giờ min]&lt;=$AA48) *
(Table_BangLuong_TyLeTangCa[Giờ max]&gt;$AA48)
))),
IF(
AND(
$AA48-$Z$4&gt;=MAX(AL$4,VLOOKUP(AL$6, Table_ChiPhiNV_Ca[], COUNTA(Table_ChiPhiNV_Ca[[#Headers],[Ca]:[Bắt đầu]]),0)),
$AA48&lt;MIN(AL$5,VLOOKUP(AL$6, Table_ChiPhiNV_Ca[], COUNTA(Table_ChiPhiNV_Ca[[#Headers],[Ca]:[Kết thúc]]),0))),
SUM(_xlfn._xlws.FILTER(Table_BangLuong_TyLeTangCa[Tỷ lệ],
(Table_BangLuong_TyLeTangCa[Ngày] = "Thường") *
(Table_BangLuong_TyLeTangCa[Giờ min]&lt;=$AA48) *
(Table_BangLuong_TyLeTangCa[Giờ max]&gt;$AA48)
)),0)
)),
IF(AL$4 &lt; AL$5,
IF($AA48-$Z$4&lt;AL$4,0,
IF($AA48&gt;AL$5,0,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AL$5,$AA48 &lt; AL$4),0,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M48" s="18" cm="1">
        <f t="array" ref="AM48" xml:space="preserve">
IFERROR(
IF(AM$1="",0,
IF(AND(
$AA48&gt;=VLOOKUP(AM$6, Table_ChiPhiNV_Ca[], COUNTA(Table_ChiPhiNV_Ca[[#Headers],[Ca]:[Bắt đầu nghỉ]]),0),
$AA48&lt;VLOOKUP(AM$6, Table_ChiPhiNV_Ca[], COUNTA(Table_ChiPhiNV_Ca[[#Headers],[Ca]:[Kết thúc nghỉ]]),0)
),0,
IF(NOT(ISBLANK(AM$3)),
IF(ISBLANK(AM$7),0,
IF(AM$4 &lt; AM$5,
IF($AA48-$Z$4&lt;AM$4,0,
IF($AA48&gt;AM$5,0,
SUM(_xlfn._xlws.FILTER(Table_BangLuong_TyLeTangCa[Tỷ lệ],
(Table_BangLuong_TyLeTangCa[Ngày] = AM$3) *
(Table_BangLuong_TyLeTangCa[Giờ min]&lt;=$AA48) *
(Table_BangLuong_TyLeTangCa[Giờ max]&gt;$AA48)
)))),
IF(AND($AA48-$Z$4 &gt;= AM$5,$AA48 &lt; AM$4),0,
SUM(_xlfn._xlws.FILTER(Table_BangLuong_TyLeTangCa[Tỷ lệ],
(Table_BangLuong_TyLeTangCa[Ngày] = AM$3) *
(Table_BangLuong_TyLeTangCa[Giờ min]&lt;=$AA48) *
(Table_BangLuong_TyLeTangCa[Giờ max]&gt;$AA48)
))))
),
IF(ISBLANK(AM$7),
IF(VLOOKUP(AM$6, Table_ChiPhiNV_Ca[], COUNTA(Table_ChiPhiNV_Ca[[#Headers],[Ca]:[Kết thúc]]),0)&gt; VLOOKUP(AM$6, Table_ChiPhiNV_Ca[], COUNTA(Table_ChiPhiNV_Ca[[#Headers],[Ca]:[Bắt đầu]]),0),
IF($AA48-$Z$4&lt;MAX(AM$4,VLOOKUP(AM$6, Table_ChiPhiNV_Ca[], COUNTA(Table_ChiPhiNV_Ca[[#Headers],[Ca]:[Bắt đầu]]),0)),0,
IF($AA48&gt;MIN(AM$5,VLOOKUP(AM$6, Table_ChiPhiNV_Ca[], COUNTA(Table_ChiPhiNV_Ca[[#Headers],[Ca]:[Kết thúc]]),0)),0,
SUM(_xlfn._xlws.FILTER(Table_BangLuong_TyLeTangCa[Tỷ lệ],
(Table_BangLuong_TyLeTangCa[Ngày] = "Thường") *
(Table_BangLuong_TyLeTangCa[Giờ min]&lt;=$AA48) *
(Table_BangLuong_TyLeTangCa[Giờ max]&gt;$AA48)
)))),
IF(AM$4 &gt; AM$5,
IF(
AND(
$AA48-$Z$4&lt;MAX(AM$4,VLOOKUP(AM$6, Table_ChiPhiNV_Ca[], COUNTA(Table_ChiPhiNV_Ca[[#Headers],[Ca]:[Bắt đầu]]),0)),
$AA48&gt;MIN(AM$5,VLOOKUP(AM$6, Table_ChiPhiNV_Ca[], COUNTA(Table_ChiPhiNV_Ca[[#Headers],[Ca]:[Kết thúc]]),0))),0,
SUM(_xlfn._xlws.FILTER(Table_BangLuong_TyLeTangCa[Tỷ lệ],
(Table_BangLuong_TyLeTangCa[Ngày] = "Thường") *
(Table_BangLuong_TyLeTangCa[Giờ min]&lt;=$AA48) *
(Table_BangLuong_TyLeTangCa[Giờ max]&gt;$AA48)
))),
IF(
AND(
$AA48-$Z$4&gt;=MAX(AM$4,VLOOKUP(AM$6, Table_ChiPhiNV_Ca[], COUNTA(Table_ChiPhiNV_Ca[[#Headers],[Ca]:[Bắt đầu]]),0)),
$AA48&lt;MIN(AM$5,VLOOKUP(AM$6, Table_ChiPhiNV_Ca[], COUNTA(Table_ChiPhiNV_Ca[[#Headers],[Ca]:[Kết thúc]]),0))),
SUM(_xlfn._xlws.FILTER(Table_BangLuong_TyLeTangCa[Tỷ lệ],
(Table_BangLuong_TyLeTangCa[Ngày] = "Thường") *
(Table_BangLuong_TyLeTangCa[Giờ min]&lt;=$AA48) *
(Table_BangLuong_TyLeTangCa[Giờ max]&gt;$AA48)
)),0)
)),
IF(AM$4 &lt; AM$5,
IF($AA48-$Z$4&lt;AM$4,0,
IF($AA48&gt;AM$5,0,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AM$5,$AA48 &lt; AM$4),0,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N48" s="18" cm="1">
        <f t="array" ref="AN48" xml:space="preserve">
IFERROR(
IF(AN$1="",0,
IF(AND(
$AA48&gt;=VLOOKUP(AN$6, Table_ChiPhiNV_Ca[], COUNTA(Table_ChiPhiNV_Ca[[#Headers],[Ca]:[Bắt đầu nghỉ]]),0),
$AA48&lt;VLOOKUP(AN$6, Table_ChiPhiNV_Ca[], COUNTA(Table_ChiPhiNV_Ca[[#Headers],[Ca]:[Kết thúc nghỉ]]),0)
),0,
IF(NOT(ISBLANK(AN$3)),
IF(ISBLANK(AN$7),0,
IF(AN$4 &lt; AN$5,
IF($AA48-$Z$4&lt;AN$4,0,
IF($AA48&gt;AN$5,0,
SUM(_xlfn._xlws.FILTER(Table_BangLuong_TyLeTangCa[Tỷ lệ],
(Table_BangLuong_TyLeTangCa[Ngày] = AN$3) *
(Table_BangLuong_TyLeTangCa[Giờ min]&lt;=$AA48) *
(Table_BangLuong_TyLeTangCa[Giờ max]&gt;$AA48)
)))),
IF(AND($AA48-$Z$4 &gt;= AN$5,$AA48 &lt; AN$4),0,
SUM(_xlfn._xlws.FILTER(Table_BangLuong_TyLeTangCa[Tỷ lệ],
(Table_BangLuong_TyLeTangCa[Ngày] = AN$3) *
(Table_BangLuong_TyLeTangCa[Giờ min]&lt;=$AA48) *
(Table_BangLuong_TyLeTangCa[Giờ max]&gt;$AA48)
))))
),
IF(ISBLANK(AN$7),
IF(VLOOKUP(AN$6, Table_ChiPhiNV_Ca[], COUNTA(Table_ChiPhiNV_Ca[[#Headers],[Ca]:[Kết thúc]]),0)&gt; VLOOKUP(AN$6, Table_ChiPhiNV_Ca[], COUNTA(Table_ChiPhiNV_Ca[[#Headers],[Ca]:[Bắt đầu]]),0),
IF($AA48-$Z$4&lt;MAX(AN$4,VLOOKUP(AN$6, Table_ChiPhiNV_Ca[], COUNTA(Table_ChiPhiNV_Ca[[#Headers],[Ca]:[Bắt đầu]]),0)),0,
IF($AA48&gt;MIN(AN$5,VLOOKUP(AN$6, Table_ChiPhiNV_Ca[], COUNTA(Table_ChiPhiNV_Ca[[#Headers],[Ca]:[Kết thúc]]),0)),0,
SUM(_xlfn._xlws.FILTER(Table_BangLuong_TyLeTangCa[Tỷ lệ],
(Table_BangLuong_TyLeTangCa[Ngày] = "Thường") *
(Table_BangLuong_TyLeTangCa[Giờ min]&lt;=$AA48) *
(Table_BangLuong_TyLeTangCa[Giờ max]&gt;$AA48)
)))),
IF(AN$4 &gt; AN$5,
IF(
AND(
$AA48-$Z$4&lt;MAX(AN$4,VLOOKUP(AN$6, Table_ChiPhiNV_Ca[], COUNTA(Table_ChiPhiNV_Ca[[#Headers],[Ca]:[Bắt đầu]]),0)),
$AA48&gt;MIN(AN$5,VLOOKUP(AN$6, Table_ChiPhiNV_Ca[], COUNTA(Table_ChiPhiNV_Ca[[#Headers],[Ca]:[Kết thúc]]),0))),0,
SUM(_xlfn._xlws.FILTER(Table_BangLuong_TyLeTangCa[Tỷ lệ],
(Table_BangLuong_TyLeTangCa[Ngày] = "Thường") *
(Table_BangLuong_TyLeTangCa[Giờ min]&lt;=$AA48) *
(Table_BangLuong_TyLeTangCa[Giờ max]&gt;$AA48)
))),
IF(
AND(
$AA48-$Z$4&gt;=MAX(AN$4,VLOOKUP(AN$6, Table_ChiPhiNV_Ca[], COUNTA(Table_ChiPhiNV_Ca[[#Headers],[Ca]:[Bắt đầu]]),0)),
$AA48&lt;MIN(AN$5,VLOOKUP(AN$6, Table_ChiPhiNV_Ca[], COUNTA(Table_ChiPhiNV_Ca[[#Headers],[Ca]:[Kết thúc]]),0))),
SUM(_xlfn._xlws.FILTER(Table_BangLuong_TyLeTangCa[Tỷ lệ],
(Table_BangLuong_TyLeTangCa[Ngày] = "Thường") *
(Table_BangLuong_TyLeTangCa[Giờ min]&lt;=$AA48) *
(Table_BangLuong_TyLeTangCa[Giờ max]&gt;$AA48)
)),0)
)),
IF(AN$4 &lt; AN$5,
IF($AA48-$Z$4&lt;AN$4,0,
IF($AA48&gt;AN$5,0,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AN$5,$AA48 &lt; AN$4),0,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O48" s="18" cm="1">
        <f t="array" ref="AO48" xml:space="preserve">
IFERROR(
IF(AO$1="",0,
IF(AND(
$AA48&gt;=VLOOKUP(AO$6, Table_ChiPhiNV_Ca[], COUNTA(Table_ChiPhiNV_Ca[[#Headers],[Ca]:[Bắt đầu nghỉ]]),0),
$AA48&lt;VLOOKUP(AO$6, Table_ChiPhiNV_Ca[], COUNTA(Table_ChiPhiNV_Ca[[#Headers],[Ca]:[Kết thúc nghỉ]]),0)
),0,
IF(NOT(ISBLANK(AO$3)),
IF(ISBLANK(AO$7),0,
IF(AO$4 &lt; AO$5,
IF($AA48-$Z$4&lt;AO$4,0,
IF($AA48&gt;AO$5,0,
SUM(_xlfn._xlws.FILTER(Table_BangLuong_TyLeTangCa[Tỷ lệ],
(Table_BangLuong_TyLeTangCa[Ngày] = AO$3) *
(Table_BangLuong_TyLeTangCa[Giờ min]&lt;=$AA48) *
(Table_BangLuong_TyLeTangCa[Giờ max]&gt;$AA48)
)))),
IF(AND($AA48-$Z$4 &gt;= AO$5,$AA48 &lt; AO$4),0,
SUM(_xlfn._xlws.FILTER(Table_BangLuong_TyLeTangCa[Tỷ lệ],
(Table_BangLuong_TyLeTangCa[Ngày] = AO$3) *
(Table_BangLuong_TyLeTangCa[Giờ min]&lt;=$AA48) *
(Table_BangLuong_TyLeTangCa[Giờ max]&gt;$AA48)
))))
),
IF(ISBLANK(AO$7),
IF(VLOOKUP(AO$6, Table_ChiPhiNV_Ca[], COUNTA(Table_ChiPhiNV_Ca[[#Headers],[Ca]:[Kết thúc]]),0)&gt; VLOOKUP(AO$6, Table_ChiPhiNV_Ca[], COUNTA(Table_ChiPhiNV_Ca[[#Headers],[Ca]:[Bắt đầu]]),0),
IF($AA48-$Z$4&lt;MAX(AO$4,VLOOKUP(AO$6, Table_ChiPhiNV_Ca[], COUNTA(Table_ChiPhiNV_Ca[[#Headers],[Ca]:[Bắt đầu]]),0)),0,
IF($AA48&gt;MIN(AO$5,VLOOKUP(AO$6, Table_ChiPhiNV_Ca[], COUNTA(Table_ChiPhiNV_Ca[[#Headers],[Ca]:[Kết thúc]]),0)),0,
SUM(_xlfn._xlws.FILTER(Table_BangLuong_TyLeTangCa[Tỷ lệ],
(Table_BangLuong_TyLeTangCa[Ngày] = "Thường") *
(Table_BangLuong_TyLeTangCa[Giờ min]&lt;=$AA48) *
(Table_BangLuong_TyLeTangCa[Giờ max]&gt;$AA48)
)))),
IF(AO$4 &gt; AO$5,
IF(
AND(
$AA48-$Z$4&lt;MAX(AO$4,VLOOKUP(AO$6, Table_ChiPhiNV_Ca[], COUNTA(Table_ChiPhiNV_Ca[[#Headers],[Ca]:[Bắt đầu]]),0)),
$AA48&gt;MIN(AO$5,VLOOKUP(AO$6, Table_ChiPhiNV_Ca[], COUNTA(Table_ChiPhiNV_Ca[[#Headers],[Ca]:[Kết thúc]]),0))),0,
SUM(_xlfn._xlws.FILTER(Table_BangLuong_TyLeTangCa[Tỷ lệ],
(Table_BangLuong_TyLeTangCa[Ngày] = "Thường") *
(Table_BangLuong_TyLeTangCa[Giờ min]&lt;=$AA48) *
(Table_BangLuong_TyLeTangCa[Giờ max]&gt;$AA48)
))),
IF(
AND(
$AA48-$Z$4&gt;=MAX(AO$4,VLOOKUP(AO$6, Table_ChiPhiNV_Ca[], COUNTA(Table_ChiPhiNV_Ca[[#Headers],[Ca]:[Bắt đầu]]),0)),
$AA48&lt;MIN(AO$5,VLOOKUP(AO$6, Table_ChiPhiNV_Ca[], COUNTA(Table_ChiPhiNV_Ca[[#Headers],[Ca]:[Kết thúc]]),0))),
SUM(_xlfn._xlws.FILTER(Table_BangLuong_TyLeTangCa[Tỷ lệ],
(Table_BangLuong_TyLeTangCa[Ngày] = "Thường") *
(Table_BangLuong_TyLeTangCa[Giờ min]&lt;=$AA48) *
(Table_BangLuong_TyLeTangCa[Giờ max]&gt;$AA48)
)),0)
)),
IF(AO$4 &lt; AO$5,
IF($AA48-$Z$4&lt;AO$4,0,
IF($AA48&gt;AO$5,0,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AO$5,$AA48 &lt; AO$4),0,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P48" s="18" cm="1">
        <f t="array" ref="AP48" xml:space="preserve">
IFERROR(
IF(AP$1="",0,
IF(AND(
$AA48&gt;=VLOOKUP(AP$6, Table_ChiPhiNV_Ca[], COUNTA(Table_ChiPhiNV_Ca[[#Headers],[Ca]:[Bắt đầu nghỉ]]),0),
$AA48&lt;VLOOKUP(AP$6, Table_ChiPhiNV_Ca[], COUNTA(Table_ChiPhiNV_Ca[[#Headers],[Ca]:[Kết thúc nghỉ]]),0)
),0,
IF(NOT(ISBLANK(AP$3)),
IF(ISBLANK(AP$7),0,
IF(AP$4 &lt; AP$5,
IF($AA48-$Z$4&lt;AP$4,0,
IF($AA48&gt;AP$5,0,
SUM(_xlfn._xlws.FILTER(Table_BangLuong_TyLeTangCa[Tỷ lệ],
(Table_BangLuong_TyLeTangCa[Ngày] = AP$3) *
(Table_BangLuong_TyLeTangCa[Giờ min]&lt;=$AA48) *
(Table_BangLuong_TyLeTangCa[Giờ max]&gt;$AA48)
)))),
IF(AND($AA48-$Z$4 &gt;= AP$5,$AA48 &lt; AP$4),0,
SUM(_xlfn._xlws.FILTER(Table_BangLuong_TyLeTangCa[Tỷ lệ],
(Table_BangLuong_TyLeTangCa[Ngày] = AP$3) *
(Table_BangLuong_TyLeTangCa[Giờ min]&lt;=$AA48) *
(Table_BangLuong_TyLeTangCa[Giờ max]&gt;$AA48)
))))
),
IF(ISBLANK(AP$7),
IF(VLOOKUP(AP$6, Table_ChiPhiNV_Ca[], COUNTA(Table_ChiPhiNV_Ca[[#Headers],[Ca]:[Kết thúc]]),0)&gt; VLOOKUP(AP$6, Table_ChiPhiNV_Ca[], COUNTA(Table_ChiPhiNV_Ca[[#Headers],[Ca]:[Bắt đầu]]),0),
IF($AA48-$Z$4&lt;MAX(AP$4,VLOOKUP(AP$6, Table_ChiPhiNV_Ca[], COUNTA(Table_ChiPhiNV_Ca[[#Headers],[Ca]:[Bắt đầu]]),0)),0,
IF($AA48&gt;MIN(AP$5,VLOOKUP(AP$6, Table_ChiPhiNV_Ca[], COUNTA(Table_ChiPhiNV_Ca[[#Headers],[Ca]:[Kết thúc]]),0)),0,
SUM(_xlfn._xlws.FILTER(Table_BangLuong_TyLeTangCa[Tỷ lệ],
(Table_BangLuong_TyLeTangCa[Ngày] = "Thường") *
(Table_BangLuong_TyLeTangCa[Giờ min]&lt;=$AA48) *
(Table_BangLuong_TyLeTangCa[Giờ max]&gt;$AA48)
)))),
IF(AP$4 &gt; AP$5,
IF(
AND(
$AA48-$Z$4&lt;MAX(AP$4,VLOOKUP(AP$6, Table_ChiPhiNV_Ca[], COUNTA(Table_ChiPhiNV_Ca[[#Headers],[Ca]:[Bắt đầu]]),0)),
$AA48&gt;MIN(AP$5,VLOOKUP(AP$6, Table_ChiPhiNV_Ca[], COUNTA(Table_ChiPhiNV_Ca[[#Headers],[Ca]:[Kết thúc]]),0))),0,
SUM(_xlfn._xlws.FILTER(Table_BangLuong_TyLeTangCa[Tỷ lệ],
(Table_BangLuong_TyLeTangCa[Ngày] = "Thường") *
(Table_BangLuong_TyLeTangCa[Giờ min]&lt;=$AA48) *
(Table_BangLuong_TyLeTangCa[Giờ max]&gt;$AA48)
))),
IF(
AND(
$AA48-$Z$4&gt;=MAX(AP$4,VLOOKUP(AP$6, Table_ChiPhiNV_Ca[], COUNTA(Table_ChiPhiNV_Ca[[#Headers],[Ca]:[Bắt đầu]]),0)),
$AA48&lt;MIN(AP$5,VLOOKUP(AP$6, Table_ChiPhiNV_Ca[], COUNTA(Table_ChiPhiNV_Ca[[#Headers],[Ca]:[Kết thúc]]),0))),
SUM(_xlfn._xlws.FILTER(Table_BangLuong_TyLeTangCa[Tỷ lệ],
(Table_BangLuong_TyLeTangCa[Ngày] = "Thường") *
(Table_BangLuong_TyLeTangCa[Giờ min]&lt;=$AA48) *
(Table_BangLuong_TyLeTangCa[Giờ max]&gt;$AA48)
)),0)
)),
IF(AP$4 &lt; AP$5,
IF($AA48-$Z$4&lt;AP$4,0,
IF($AA48&gt;AP$5,0,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AP$5,$AA48 &lt; AP$4),0,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Q48" s="18" cm="1">
        <f t="array" ref="AQ48" xml:space="preserve">
IFERROR(
IF(AQ$1="",0,
IF(AND(
$AA48&gt;=VLOOKUP(AQ$6, Table_ChiPhiNV_Ca[], COUNTA(Table_ChiPhiNV_Ca[[#Headers],[Ca]:[Bắt đầu nghỉ]]),0),
$AA48&lt;VLOOKUP(AQ$6, Table_ChiPhiNV_Ca[], COUNTA(Table_ChiPhiNV_Ca[[#Headers],[Ca]:[Kết thúc nghỉ]]),0)
),0,
IF(NOT(ISBLANK(AQ$3)),
IF(ISBLANK(AQ$7),0,
IF(AQ$4 &lt; AQ$5,
IF($AA48-$Z$4&lt;AQ$4,0,
IF($AA48&gt;AQ$5,0,
SUM(_xlfn._xlws.FILTER(Table_BangLuong_TyLeTangCa[Tỷ lệ],
(Table_BangLuong_TyLeTangCa[Ngày] = AQ$3) *
(Table_BangLuong_TyLeTangCa[Giờ min]&lt;=$AA48) *
(Table_BangLuong_TyLeTangCa[Giờ max]&gt;$AA48)
)))),
IF(AND($AA48-$Z$4 &gt;= AQ$5,$AA48 &lt; AQ$4),0,
SUM(_xlfn._xlws.FILTER(Table_BangLuong_TyLeTangCa[Tỷ lệ],
(Table_BangLuong_TyLeTangCa[Ngày] = AQ$3) *
(Table_BangLuong_TyLeTangCa[Giờ min]&lt;=$AA48) *
(Table_BangLuong_TyLeTangCa[Giờ max]&gt;$AA48)
))))
),
IF(ISBLANK(AQ$7),
IF(VLOOKUP(AQ$6, Table_ChiPhiNV_Ca[], COUNTA(Table_ChiPhiNV_Ca[[#Headers],[Ca]:[Kết thúc]]),0)&gt; VLOOKUP(AQ$6, Table_ChiPhiNV_Ca[], COUNTA(Table_ChiPhiNV_Ca[[#Headers],[Ca]:[Bắt đầu]]),0),
IF($AA48-$Z$4&lt;MAX(AQ$4,VLOOKUP(AQ$6, Table_ChiPhiNV_Ca[], COUNTA(Table_ChiPhiNV_Ca[[#Headers],[Ca]:[Bắt đầu]]),0)),0,
IF($AA48&gt;MIN(AQ$5,VLOOKUP(AQ$6, Table_ChiPhiNV_Ca[], COUNTA(Table_ChiPhiNV_Ca[[#Headers],[Ca]:[Kết thúc]]),0)),0,
SUM(_xlfn._xlws.FILTER(Table_BangLuong_TyLeTangCa[Tỷ lệ],
(Table_BangLuong_TyLeTangCa[Ngày] = "Thường") *
(Table_BangLuong_TyLeTangCa[Giờ min]&lt;=$AA48) *
(Table_BangLuong_TyLeTangCa[Giờ max]&gt;$AA48)
)))),
IF(AQ$4 &gt; AQ$5,
IF(
AND(
$AA48-$Z$4&lt;MAX(AQ$4,VLOOKUP(AQ$6, Table_ChiPhiNV_Ca[], COUNTA(Table_ChiPhiNV_Ca[[#Headers],[Ca]:[Bắt đầu]]),0)),
$AA48&gt;MIN(AQ$5,VLOOKUP(AQ$6, Table_ChiPhiNV_Ca[], COUNTA(Table_ChiPhiNV_Ca[[#Headers],[Ca]:[Kết thúc]]),0))),0,
SUM(_xlfn._xlws.FILTER(Table_BangLuong_TyLeTangCa[Tỷ lệ],
(Table_BangLuong_TyLeTangCa[Ngày] = "Thường") *
(Table_BangLuong_TyLeTangCa[Giờ min]&lt;=$AA48) *
(Table_BangLuong_TyLeTangCa[Giờ max]&gt;$AA48)
))),
IF(
AND(
$AA48-$Z$4&gt;=MAX(AQ$4,VLOOKUP(AQ$6, Table_ChiPhiNV_Ca[], COUNTA(Table_ChiPhiNV_Ca[[#Headers],[Ca]:[Bắt đầu]]),0)),
$AA48&lt;MIN(AQ$5,VLOOKUP(AQ$6, Table_ChiPhiNV_Ca[], COUNTA(Table_ChiPhiNV_Ca[[#Headers],[Ca]:[Kết thúc]]),0))),
SUM(_xlfn._xlws.FILTER(Table_BangLuong_TyLeTangCa[Tỷ lệ],
(Table_BangLuong_TyLeTangCa[Ngày] = "Thường") *
(Table_BangLuong_TyLeTangCa[Giờ min]&lt;=$AA48) *
(Table_BangLuong_TyLeTangCa[Giờ max]&gt;$AA48)
)),0)
)),
IF(AQ$4 &lt; AQ$5,
IF($AA48-$Z$4&lt;AQ$4,0,
IF($AA48&gt;AQ$5,0,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AQ$5,$AA48 &lt; AQ$4),0,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R48" s="18" cm="1">
        <f t="array" ref="AR48" xml:space="preserve">
IFERROR(
IF(AR$1="",0,
IF(AND(
$AA48&gt;=VLOOKUP(AR$6, Table_ChiPhiNV_Ca[], COUNTA(Table_ChiPhiNV_Ca[[#Headers],[Ca]:[Bắt đầu nghỉ]]),0),
$AA48&lt;VLOOKUP(AR$6, Table_ChiPhiNV_Ca[], COUNTA(Table_ChiPhiNV_Ca[[#Headers],[Ca]:[Kết thúc nghỉ]]),0)
),0,
IF(NOT(ISBLANK(AR$3)),
IF(ISBLANK(AR$7),0,
IF(AR$4 &lt; AR$5,
IF($AA48-$Z$4&lt;AR$4,0,
IF($AA48&gt;AR$5,0,
SUM(_xlfn._xlws.FILTER(Table_BangLuong_TyLeTangCa[Tỷ lệ],
(Table_BangLuong_TyLeTangCa[Ngày] = AR$3) *
(Table_BangLuong_TyLeTangCa[Giờ min]&lt;=$AA48) *
(Table_BangLuong_TyLeTangCa[Giờ max]&gt;$AA48)
)))),
IF(AND($AA48-$Z$4 &gt;= AR$5,$AA48 &lt; AR$4),0,
SUM(_xlfn._xlws.FILTER(Table_BangLuong_TyLeTangCa[Tỷ lệ],
(Table_BangLuong_TyLeTangCa[Ngày] = AR$3) *
(Table_BangLuong_TyLeTangCa[Giờ min]&lt;=$AA48) *
(Table_BangLuong_TyLeTangCa[Giờ max]&gt;$AA48)
))))
),
IF(ISBLANK(AR$7),
IF(VLOOKUP(AR$6, Table_ChiPhiNV_Ca[], COUNTA(Table_ChiPhiNV_Ca[[#Headers],[Ca]:[Kết thúc]]),0)&gt; VLOOKUP(AR$6, Table_ChiPhiNV_Ca[], COUNTA(Table_ChiPhiNV_Ca[[#Headers],[Ca]:[Bắt đầu]]),0),
IF($AA48-$Z$4&lt;MAX(AR$4,VLOOKUP(AR$6, Table_ChiPhiNV_Ca[], COUNTA(Table_ChiPhiNV_Ca[[#Headers],[Ca]:[Bắt đầu]]),0)),0,
IF($AA48&gt;MIN(AR$5,VLOOKUP(AR$6, Table_ChiPhiNV_Ca[], COUNTA(Table_ChiPhiNV_Ca[[#Headers],[Ca]:[Kết thúc]]),0)),0,
SUM(_xlfn._xlws.FILTER(Table_BangLuong_TyLeTangCa[Tỷ lệ],
(Table_BangLuong_TyLeTangCa[Ngày] = "Thường") *
(Table_BangLuong_TyLeTangCa[Giờ min]&lt;=$AA48) *
(Table_BangLuong_TyLeTangCa[Giờ max]&gt;$AA48)
)))),
IF(AR$4 &gt; AR$5,
IF(
AND(
$AA48-$Z$4&lt;MAX(AR$4,VLOOKUP(AR$6, Table_ChiPhiNV_Ca[], COUNTA(Table_ChiPhiNV_Ca[[#Headers],[Ca]:[Bắt đầu]]),0)),
$AA48&gt;MIN(AR$5,VLOOKUP(AR$6, Table_ChiPhiNV_Ca[], COUNTA(Table_ChiPhiNV_Ca[[#Headers],[Ca]:[Kết thúc]]),0))),0,
SUM(_xlfn._xlws.FILTER(Table_BangLuong_TyLeTangCa[Tỷ lệ],
(Table_BangLuong_TyLeTangCa[Ngày] = "Thường") *
(Table_BangLuong_TyLeTangCa[Giờ min]&lt;=$AA48) *
(Table_BangLuong_TyLeTangCa[Giờ max]&gt;$AA48)
))),
IF(
AND(
$AA48-$Z$4&gt;=MAX(AR$4,VLOOKUP(AR$6, Table_ChiPhiNV_Ca[], COUNTA(Table_ChiPhiNV_Ca[[#Headers],[Ca]:[Bắt đầu]]),0)),
$AA48&lt;MIN(AR$5,VLOOKUP(AR$6, Table_ChiPhiNV_Ca[], COUNTA(Table_ChiPhiNV_Ca[[#Headers],[Ca]:[Kết thúc]]),0))),
SUM(_xlfn._xlws.FILTER(Table_BangLuong_TyLeTangCa[Tỷ lệ],
(Table_BangLuong_TyLeTangCa[Ngày] = "Thường") *
(Table_BangLuong_TyLeTangCa[Giờ min]&lt;=$AA48) *
(Table_BangLuong_TyLeTangCa[Giờ max]&gt;$AA48)
)),0)
)),
IF(AR$4 &lt; AR$5,
IF($AA48-$Z$4&lt;AR$4,0,
IF($AA48&gt;AR$5,0,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AR$5,$AA48 &lt; AR$4),0,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S48" s="18" cm="1">
        <f t="array" ref="AS48" xml:space="preserve">
IFERROR(
IF(AS$1="",0,
IF(AND(
$AA48&gt;=VLOOKUP(AS$6, Table_ChiPhiNV_Ca[], COUNTA(Table_ChiPhiNV_Ca[[#Headers],[Ca]:[Bắt đầu nghỉ]]),0),
$AA48&lt;VLOOKUP(AS$6, Table_ChiPhiNV_Ca[], COUNTA(Table_ChiPhiNV_Ca[[#Headers],[Ca]:[Kết thúc nghỉ]]),0)
),0,
IF(NOT(ISBLANK(AS$3)),
IF(ISBLANK(AS$7),0,
IF(AS$4 &lt; AS$5,
IF($AA48-$Z$4&lt;AS$4,0,
IF($AA48&gt;AS$5,0,
SUM(_xlfn._xlws.FILTER(Table_BangLuong_TyLeTangCa[Tỷ lệ],
(Table_BangLuong_TyLeTangCa[Ngày] = AS$3) *
(Table_BangLuong_TyLeTangCa[Giờ min]&lt;=$AA48) *
(Table_BangLuong_TyLeTangCa[Giờ max]&gt;$AA48)
)))),
IF(AND($AA48-$Z$4 &gt;= AS$5,$AA48 &lt; AS$4),0,
SUM(_xlfn._xlws.FILTER(Table_BangLuong_TyLeTangCa[Tỷ lệ],
(Table_BangLuong_TyLeTangCa[Ngày] = AS$3) *
(Table_BangLuong_TyLeTangCa[Giờ min]&lt;=$AA48) *
(Table_BangLuong_TyLeTangCa[Giờ max]&gt;$AA48)
))))
),
IF(ISBLANK(AS$7),
IF(VLOOKUP(AS$6, Table_ChiPhiNV_Ca[], COUNTA(Table_ChiPhiNV_Ca[[#Headers],[Ca]:[Kết thúc]]),0)&gt; VLOOKUP(AS$6, Table_ChiPhiNV_Ca[], COUNTA(Table_ChiPhiNV_Ca[[#Headers],[Ca]:[Bắt đầu]]),0),
IF($AA48-$Z$4&lt;MAX(AS$4,VLOOKUP(AS$6, Table_ChiPhiNV_Ca[], COUNTA(Table_ChiPhiNV_Ca[[#Headers],[Ca]:[Bắt đầu]]),0)),0,
IF($AA48&gt;MIN(AS$5,VLOOKUP(AS$6, Table_ChiPhiNV_Ca[], COUNTA(Table_ChiPhiNV_Ca[[#Headers],[Ca]:[Kết thúc]]),0)),0,
SUM(_xlfn._xlws.FILTER(Table_BangLuong_TyLeTangCa[Tỷ lệ],
(Table_BangLuong_TyLeTangCa[Ngày] = "Thường") *
(Table_BangLuong_TyLeTangCa[Giờ min]&lt;=$AA48) *
(Table_BangLuong_TyLeTangCa[Giờ max]&gt;$AA48)
)))),
IF(AS$4 &gt; AS$5,
IF(
AND(
$AA48-$Z$4&lt;MAX(AS$4,VLOOKUP(AS$6, Table_ChiPhiNV_Ca[], COUNTA(Table_ChiPhiNV_Ca[[#Headers],[Ca]:[Bắt đầu]]),0)),
$AA48&gt;MIN(AS$5,VLOOKUP(AS$6, Table_ChiPhiNV_Ca[], COUNTA(Table_ChiPhiNV_Ca[[#Headers],[Ca]:[Kết thúc]]),0))),0,
SUM(_xlfn._xlws.FILTER(Table_BangLuong_TyLeTangCa[Tỷ lệ],
(Table_BangLuong_TyLeTangCa[Ngày] = "Thường") *
(Table_BangLuong_TyLeTangCa[Giờ min]&lt;=$AA48) *
(Table_BangLuong_TyLeTangCa[Giờ max]&gt;$AA48)
))),
IF(
AND(
$AA48-$Z$4&gt;=MAX(AS$4,VLOOKUP(AS$6, Table_ChiPhiNV_Ca[], COUNTA(Table_ChiPhiNV_Ca[[#Headers],[Ca]:[Bắt đầu]]),0)),
$AA48&lt;MIN(AS$5,VLOOKUP(AS$6, Table_ChiPhiNV_Ca[], COUNTA(Table_ChiPhiNV_Ca[[#Headers],[Ca]:[Kết thúc]]),0))),
SUM(_xlfn._xlws.FILTER(Table_BangLuong_TyLeTangCa[Tỷ lệ],
(Table_BangLuong_TyLeTangCa[Ngày] = "Thường") *
(Table_BangLuong_TyLeTangCa[Giờ min]&lt;=$AA48) *
(Table_BangLuong_TyLeTangCa[Giờ max]&gt;$AA48)
)),0)
)),
IF(AS$4 &lt; AS$5,
IF($AA48-$Z$4&lt;AS$4,0,
IF($AA48&gt;AS$5,0,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AS$5,$AA48 &lt; AS$4),0,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T48" s="18" cm="1">
        <f t="array" ref="AT48" xml:space="preserve">
IFERROR(
IF(AT$1="",0,
IF(AND(
$AA48&gt;=VLOOKUP(AT$6, Table_ChiPhiNV_Ca[], COUNTA(Table_ChiPhiNV_Ca[[#Headers],[Ca]:[Bắt đầu nghỉ]]),0),
$AA48&lt;VLOOKUP(AT$6, Table_ChiPhiNV_Ca[], COUNTA(Table_ChiPhiNV_Ca[[#Headers],[Ca]:[Kết thúc nghỉ]]),0)
),0,
IF(NOT(ISBLANK(AT$3)),
IF(ISBLANK(AT$7),0,
IF(AT$4 &lt; AT$5,
IF($AA48-$Z$4&lt;AT$4,0,
IF($AA48&gt;AT$5,0,
SUM(_xlfn._xlws.FILTER(Table_BangLuong_TyLeTangCa[Tỷ lệ],
(Table_BangLuong_TyLeTangCa[Ngày] = AT$3) *
(Table_BangLuong_TyLeTangCa[Giờ min]&lt;=$AA48) *
(Table_BangLuong_TyLeTangCa[Giờ max]&gt;$AA48)
)))),
IF(AND($AA48-$Z$4 &gt;= AT$5,$AA48 &lt; AT$4),0,
SUM(_xlfn._xlws.FILTER(Table_BangLuong_TyLeTangCa[Tỷ lệ],
(Table_BangLuong_TyLeTangCa[Ngày] = AT$3) *
(Table_BangLuong_TyLeTangCa[Giờ min]&lt;=$AA48) *
(Table_BangLuong_TyLeTangCa[Giờ max]&gt;$AA48)
))))
),
IF(ISBLANK(AT$7),
IF(VLOOKUP(AT$6, Table_ChiPhiNV_Ca[], COUNTA(Table_ChiPhiNV_Ca[[#Headers],[Ca]:[Kết thúc]]),0)&gt; VLOOKUP(AT$6, Table_ChiPhiNV_Ca[], COUNTA(Table_ChiPhiNV_Ca[[#Headers],[Ca]:[Bắt đầu]]),0),
IF($AA48-$Z$4&lt;MAX(AT$4,VLOOKUP(AT$6, Table_ChiPhiNV_Ca[], COUNTA(Table_ChiPhiNV_Ca[[#Headers],[Ca]:[Bắt đầu]]),0)),0,
IF($AA48&gt;MIN(AT$5,VLOOKUP(AT$6, Table_ChiPhiNV_Ca[], COUNTA(Table_ChiPhiNV_Ca[[#Headers],[Ca]:[Kết thúc]]),0)),0,
SUM(_xlfn._xlws.FILTER(Table_BangLuong_TyLeTangCa[Tỷ lệ],
(Table_BangLuong_TyLeTangCa[Ngày] = "Thường") *
(Table_BangLuong_TyLeTangCa[Giờ min]&lt;=$AA48) *
(Table_BangLuong_TyLeTangCa[Giờ max]&gt;$AA48)
)))),
IF(AT$4 &gt; AT$5,
IF(
AND(
$AA48-$Z$4&lt;MAX(AT$4,VLOOKUP(AT$6, Table_ChiPhiNV_Ca[], COUNTA(Table_ChiPhiNV_Ca[[#Headers],[Ca]:[Bắt đầu]]),0)),
$AA48&gt;MIN(AT$5,VLOOKUP(AT$6, Table_ChiPhiNV_Ca[], COUNTA(Table_ChiPhiNV_Ca[[#Headers],[Ca]:[Kết thúc]]),0))),0,
SUM(_xlfn._xlws.FILTER(Table_BangLuong_TyLeTangCa[Tỷ lệ],
(Table_BangLuong_TyLeTangCa[Ngày] = "Thường") *
(Table_BangLuong_TyLeTangCa[Giờ min]&lt;=$AA48) *
(Table_BangLuong_TyLeTangCa[Giờ max]&gt;$AA48)
))),
IF(
AND(
$AA48-$Z$4&gt;=MAX(AT$4,VLOOKUP(AT$6, Table_ChiPhiNV_Ca[], COUNTA(Table_ChiPhiNV_Ca[[#Headers],[Ca]:[Bắt đầu]]),0)),
$AA48&lt;MIN(AT$5,VLOOKUP(AT$6, Table_ChiPhiNV_Ca[], COUNTA(Table_ChiPhiNV_Ca[[#Headers],[Ca]:[Kết thúc]]),0))),
SUM(_xlfn._xlws.FILTER(Table_BangLuong_TyLeTangCa[Tỷ lệ],
(Table_BangLuong_TyLeTangCa[Ngày] = "Thường") *
(Table_BangLuong_TyLeTangCa[Giờ min]&lt;=$AA48) *
(Table_BangLuong_TyLeTangCa[Giờ max]&gt;$AA48)
)),0)
)),
IF(AT$4 &lt; AT$5,
IF($AA48-$Z$4&lt;AT$4,0,
IF($AA48&gt;AT$5,0,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AT$5,$AA48 &lt; AT$4),0,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U48" s="18" cm="1">
        <f t="array" ref="AU48" xml:space="preserve">
IFERROR(
IF(AU$1="",0,
IF(AND(
$AA48&gt;=VLOOKUP(AU$6, Table_ChiPhiNV_Ca[], COUNTA(Table_ChiPhiNV_Ca[[#Headers],[Ca]:[Bắt đầu nghỉ]]),0),
$AA48&lt;VLOOKUP(AU$6, Table_ChiPhiNV_Ca[], COUNTA(Table_ChiPhiNV_Ca[[#Headers],[Ca]:[Kết thúc nghỉ]]),0)
),0,
IF(NOT(ISBLANK(AU$3)),
IF(ISBLANK(AU$7),0,
IF(AU$4 &lt; AU$5,
IF($AA48-$Z$4&lt;AU$4,0,
IF($AA48&gt;AU$5,0,
SUM(_xlfn._xlws.FILTER(Table_BangLuong_TyLeTangCa[Tỷ lệ],
(Table_BangLuong_TyLeTangCa[Ngày] = AU$3) *
(Table_BangLuong_TyLeTangCa[Giờ min]&lt;=$AA48) *
(Table_BangLuong_TyLeTangCa[Giờ max]&gt;$AA48)
)))),
IF(AND($AA48-$Z$4 &gt;= AU$5,$AA48 &lt; AU$4),0,
SUM(_xlfn._xlws.FILTER(Table_BangLuong_TyLeTangCa[Tỷ lệ],
(Table_BangLuong_TyLeTangCa[Ngày] = AU$3) *
(Table_BangLuong_TyLeTangCa[Giờ min]&lt;=$AA48) *
(Table_BangLuong_TyLeTangCa[Giờ max]&gt;$AA48)
))))
),
IF(ISBLANK(AU$7),
IF(VLOOKUP(AU$6, Table_ChiPhiNV_Ca[], COUNTA(Table_ChiPhiNV_Ca[[#Headers],[Ca]:[Kết thúc]]),0)&gt; VLOOKUP(AU$6, Table_ChiPhiNV_Ca[], COUNTA(Table_ChiPhiNV_Ca[[#Headers],[Ca]:[Bắt đầu]]),0),
IF($AA48-$Z$4&lt;MAX(AU$4,VLOOKUP(AU$6, Table_ChiPhiNV_Ca[], COUNTA(Table_ChiPhiNV_Ca[[#Headers],[Ca]:[Bắt đầu]]),0)),0,
IF($AA48&gt;MIN(AU$5,VLOOKUP(AU$6, Table_ChiPhiNV_Ca[], COUNTA(Table_ChiPhiNV_Ca[[#Headers],[Ca]:[Kết thúc]]),0)),0,
SUM(_xlfn._xlws.FILTER(Table_BangLuong_TyLeTangCa[Tỷ lệ],
(Table_BangLuong_TyLeTangCa[Ngày] = "Thường") *
(Table_BangLuong_TyLeTangCa[Giờ min]&lt;=$AA48) *
(Table_BangLuong_TyLeTangCa[Giờ max]&gt;$AA48)
)))),
IF(AU$4 &gt; AU$5,
IF(
AND(
$AA48-$Z$4&lt;MAX(AU$4,VLOOKUP(AU$6, Table_ChiPhiNV_Ca[], COUNTA(Table_ChiPhiNV_Ca[[#Headers],[Ca]:[Bắt đầu]]),0)),
$AA48&gt;MIN(AU$5,VLOOKUP(AU$6, Table_ChiPhiNV_Ca[], COUNTA(Table_ChiPhiNV_Ca[[#Headers],[Ca]:[Kết thúc]]),0))),0,
SUM(_xlfn._xlws.FILTER(Table_BangLuong_TyLeTangCa[Tỷ lệ],
(Table_BangLuong_TyLeTangCa[Ngày] = "Thường") *
(Table_BangLuong_TyLeTangCa[Giờ min]&lt;=$AA48) *
(Table_BangLuong_TyLeTangCa[Giờ max]&gt;$AA48)
))),
IF(
AND(
$AA48-$Z$4&gt;=MAX(AU$4,VLOOKUP(AU$6, Table_ChiPhiNV_Ca[], COUNTA(Table_ChiPhiNV_Ca[[#Headers],[Ca]:[Bắt đầu]]),0)),
$AA48&lt;MIN(AU$5,VLOOKUP(AU$6, Table_ChiPhiNV_Ca[], COUNTA(Table_ChiPhiNV_Ca[[#Headers],[Ca]:[Kết thúc]]),0))),
SUM(_xlfn._xlws.FILTER(Table_BangLuong_TyLeTangCa[Tỷ lệ],
(Table_BangLuong_TyLeTangCa[Ngày] = "Thường") *
(Table_BangLuong_TyLeTangCa[Giờ min]&lt;=$AA48) *
(Table_BangLuong_TyLeTangCa[Giờ max]&gt;$AA48)
)),0)
)),
IF(AU$4 &lt; AU$5,
IF($AA48-$Z$4&lt;AU$4,0,
IF($AA48&gt;AU$5,0,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AU$5,$AA48 &lt; AU$4),0,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V48" s="18" cm="1">
        <f t="array" ref="AV48" xml:space="preserve">
IFERROR(
IF(AV$1="",0,
IF(AND(
$AA48&gt;=VLOOKUP(AV$6, Table_ChiPhiNV_Ca[], COUNTA(Table_ChiPhiNV_Ca[[#Headers],[Ca]:[Bắt đầu nghỉ]]),0),
$AA48&lt;VLOOKUP(AV$6, Table_ChiPhiNV_Ca[], COUNTA(Table_ChiPhiNV_Ca[[#Headers],[Ca]:[Kết thúc nghỉ]]),0)
),0,
IF(NOT(ISBLANK(AV$3)),
IF(ISBLANK(AV$7),0,
IF(AV$4 &lt; AV$5,
IF($AA48-$Z$4&lt;AV$4,0,
IF($AA48&gt;AV$5,0,
SUM(_xlfn._xlws.FILTER(Table_BangLuong_TyLeTangCa[Tỷ lệ],
(Table_BangLuong_TyLeTangCa[Ngày] = AV$3) *
(Table_BangLuong_TyLeTangCa[Giờ min]&lt;=$AA48) *
(Table_BangLuong_TyLeTangCa[Giờ max]&gt;$AA48)
)))),
IF(AND($AA48-$Z$4 &gt;= AV$5,$AA48 &lt; AV$4),0,
SUM(_xlfn._xlws.FILTER(Table_BangLuong_TyLeTangCa[Tỷ lệ],
(Table_BangLuong_TyLeTangCa[Ngày] = AV$3) *
(Table_BangLuong_TyLeTangCa[Giờ min]&lt;=$AA48) *
(Table_BangLuong_TyLeTangCa[Giờ max]&gt;$AA48)
))))
),
IF(ISBLANK(AV$7),
IF(VLOOKUP(AV$6, Table_ChiPhiNV_Ca[], COUNTA(Table_ChiPhiNV_Ca[[#Headers],[Ca]:[Kết thúc]]),0)&gt; VLOOKUP(AV$6, Table_ChiPhiNV_Ca[], COUNTA(Table_ChiPhiNV_Ca[[#Headers],[Ca]:[Bắt đầu]]),0),
IF($AA48-$Z$4&lt;MAX(AV$4,VLOOKUP(AV$6, Table_ChiPhiNV_Ca[], COUNTA(Table_ChiPhiNV_Ca[[#Headers],[Ca]:[Bắt đầu]]),0)),0,
IF($AA48&gt;MIN(AV$5,VLOOKUP(AV$6, Table_ChiPhiNV_Ca[], COUNTA(Table_ChiPhiNV_Ca[[#Headers],[Ca]:[Kết thúc]]),0)),0,
SUM(_xlfn._xlws.FILTER(Table_BangLuong_TyLeTangCa[Tỷ lệ],
(Table_BangLuong_TyLeTangCa[Ngày] = "Thường") *
(Table_BangLuong_TyLeTangCa[Giờ min]&lt;=$AA48) *
(Table_BangLuong_TyLeTangCa[Giờ max]&gt;$AA48)
)))),
IF(AV$4 &gt; AV$5,
IF(
AND(
$AA48-$Z$4&lt;MAX(AV$4,VLOOKUP(AV$6, Table_ChiPhiNV_Ca[], COUNTA(Table_ChiPhiNV_Ca[[#Headers],[Ca]:[Bắt đầu]]),0)),
$AA48&gt;MIN(AV$5,VLOOKUP(AV$6, Table_ChiPhiNV_Ca[], COUNTA(Table_ChiPhiNV_Ca[[#Headers],[Ca]:[Kết thúc]]),0))),0,
SUM(_xlfn._xlws.FILTER(Table_BangLuong_TyLeTangCa[Tỷ lệ],
(Table_BangLuong_TyLeTangCa[Ngày] = "Thường") *
(Table_BangLuong_TyLeTangCa[Giờ min]&lt;=$AA48) *
(Table_BangLuong_TyLeTangCa[Giờ max]&gt;$AA48)
))),
IF(
AND(
$AA48-$Z$4&gt;=MAX(AV$4,VLOOKUP(AV$6, Table_ChiPhiNV_Ca[], COUNTA(Table_ChiPhiNV_Ca[[#Headers],[Ca]:[Bắt đầu]]),0)),
$AA48&lt;MIN(AV$5,VLOOKUP(AV$6, Table_ChiPhiNV_Ca[], COUNTA(Table_ChiPhiNV_Ca[[#Headers],[Ca]:[Kết thúc]]),0))),
SUM(_xlfn._xlws.FILTER(Table_BangLuong_TyLeTangCa[Tỷ lệ],
(Table_BangLuong_TyLeTangCa[Ngày] = "Thường") *
(Table_BangLuong_TyLeTangCa[Giờ min]&lt;=$AA48) *
(Table_BangLuong_TyLeTangCa[Giờ max]&gt;$AA48)
)),0)
)),
IF(AV$4 &lt; AV$5,
IF($AA48-$Z$4&lt;AV$4,0,
IF($AA48&gt;AV$5,0,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AV$5,$AA48 &lt; AV$4),0,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W48" s="18" cm="1">
        <f t="array" ref="AW48" xml:space="preserve">
IFERROR(
IF(AW$1="",0,
IF(AND(
$AA48&gt;=VLOOKUP(AW$6, Table_ChiPhiNV_Ca[], COUNTA(Table_ChiPhiNV_Ca[[#Headers],[Ca]:[Bắt đầu nghỉ]]),0),
$AA48&lt;VLOOKUP(AW$6, Table_ChiPhiNV_Ca[], COUNTA(Table_ChiPhiNV_Ca[[#Headers],[Ca]:[Kết thúc nghỉ]]),0)
),0,
IF(NOT(ISBLANK(AW$3)),
IF(ISBLANK(AW$7),0,
IF(AW$4 &lt; AW$5,
IF($AA48-$Z$4&lt;AW$4,0,
IF($AA48&gt;AW$5,0,
SUM(_xlfn._xlws.FILTER(Table_BangLuong_TyLeTangCa[Tỷ lệ],
(Table_BangLuong_TyLeTangCa[Ngày] = AW$3) *
(Table_BangLuong_TyLeTangCa[Giờ min]&lt;=$AA48) *
(Table_BangLuong_TyLeTangCa[Giờ max]&gt;$AA48)
)))),
IF(AND($AA48-$Z$4 &gt;= AW$5,$AA48 &lt; AW$4),0,
SUM(_xlfn._xlws.FILTER(Table_BangLuong_TyLeTangCa[Tỷ lệ],
(Table_BangLuong_TyLeTangCa[Ngày] = AW$3) *
(Table_BangLuong_TyLeTangCa[Giờ min]&lt;=$AA48) *
(Table_BangLuong_TyLeTangCa[Giờ max]&gt;$AA48)
))))
),
IF(ISBLANK(AW$7),
IF(VLOOKUP(AW$6, Table_ChiPhiNV_Ca[], COUNTA(Table_ChiPhiNV_Ca[[#Headers],[Ca]:[Kết thúc]]),0)&gt; VLOOKUP(AW$6, Table_ChiPhiNV_Ca[], COUNTA(Table_ChiPhiNV_Ca[[#Headers],[Ca]:[Bắt đầu]]),0),
IF($AA48-$Z$4&lt;MAX(AW$4,VLOOKUP(AW$6, Table_ChiPhiNV_Ca[], COUNTA(Table_ChiPhiNV_Ca[[#Headers],[Ca]:[Bắt đầu]]),0)),0,
IF($AA48&gt;MIN(AW$5,VLOOKUP(AW$6, Table_ChiPhiNV_Ca[], COUNTA(Table_ChiPhiNV_Ca[[#Headers],[Ca]:[Kết thúc]]),0)),0,
SUM(_xlfn._xlws.FILTER(Table_BangLuong_TyLeTangCa[Tỷ lệ],
(Table_BangLuong_TyLeTangCa[Ngày] = "Thường") *
(Table_BangLuong_TyLeTangCa[Giờ min]&lt;=$AA48) *
(Table_BangLuong_TyLeTangCa[Giờ max]&gt;$AA48)
)))),
IF(AW$4 &gt; AW$5,
IF(
AND(
$AA48-$Z$4&lt;MAX(AW$4,VLOOKUP(AW$6, Table_ChiPhiNV_Ca[], COUNTA(Table_ChiPhiNV_Ca[[#Headers],[Ca]:[Bắt đầu]]),0)),
$AA48&gt;MIN(AW$5,VLOOKUP(AW$6, Table_ChiPhiNV_Ca[], COUNTA(Table_ChiPhiNV_Ca[[#Headers],[Ca]:[Kết thúc]]),0))),0,
SUM(_xlfn._xlws.FILTER(Table_BangLuong_TyLeTangCa[Tỷ lệ],
(Table_BangLuong_TyLeTangCa[Ngày] = "Thường") *
(Table_BangLuong_TyLeTangCa[Giờ min]&lt;=$AA48) *
(Table_BangLuong_TyLeTangCa[Giờ max]&gt;$AA48)
))),
IF(
AND(
$AA48-$Z$4&gt;=MAX(AW$4,VLOOKUP(AW$6, Table_ChiPhiNV_Ca[], COUNTA(Table_ChiPhiNV_Ca[[#Headers],[Ca]:[Bắt đầu]]),0)),
$AA48&lt;MIN(AW$5,VLOOKUP(AW$6, Table_ChiPhiNV_Ca[], COUNTA(Table_ChiPhiNV_Ca[[#Headers],[Ca]:[Kết thúc]]),0))),
SUM(_xlfn._xlws.FILTER(Table_BangLuong_TyLeTangCa[Tỷ lệ],
(Table_BangLuong_TyLeTangCa[Ngày] = "Thường") *
(Table_BangLuong_TyLeTangCa[Giờ min]&lt;=$AA48) *
(Table_BangLuong_TyLeTangCa[Giờ max]&gt;$AA48)
)),0)
)),
IF(AW$4 &lt; AW$5,
IF($AA48-$Z$4&lt;AW$4,0,
IF($AA48&gt;AW$5,0,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AW$5,$AA48 &lt; AW$4),0,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X48" s="18" cm="1">
        <f t="array" ref="AX48" xml:space="preserve">
IFERROR(
IF(AX$1="",0,
IF(AND(
$AA48&gt;=VLOOKUP(AX$6, Table_ChiPhiNV_Ca[], COUNTA(Table_ChiPhiNV_Ca[[#Headers],[Ca]:[Bắt đầu nghỉ]]),0),
$AA48&lt;VLOOKUP(AX$6, Table_ChiPhiNV_Ca[], COUNTA(Table_ChiPhiNV_Ca[[#Headers],[Ca]:[Kết thúc nghỉ]]),0)
),0,
IF(NOT(ISBLANK(AX$3)),
IF(ISBLANK(AX$7),0,
IF(AX$4 &lt; AX$5,
IF($AA48-$Z$4&lt;AX$4,0,
IF($AA48&gt;AX$5,0,
SUM(_xlfn._xlws.FILTER(Table_BangLuong_TyLeTangCa[Tỷ lệ],
(Table_BangLuong_TyLeTangCa[Ngày] = AX$3) *
(Table_BangLuong_TyLeTangCa[Giờ min]&lt;=$AA48) *
(Table_BangLuong_TyLeTangCa[Giờ max]&gt;$AA48)
)))),
IF(AND($AA48-$Z$4 &gt;= AX$5,$AA48 &lt; AX$4),0,
SUM(_xlfn._xlws.FILTER(Table_BangLuong_TyLeTangCa[Tỷ lệ],
(Table_BangLuong_TyLeTangCa[Ngày] = AX$3) *
(Table_BangLuong_TyLeTangCa[Giờ min]&lt;=$AA48) *
(Table_BangLuong_TyLeTangCa[Giờ max]&gt;$AA48)
))))
),
IF(ISBLANK(AX$7),
IF(VLOOKUP(AX$6, Table_ChiPhiNV_Ca[], COUNTA(Table_ChiPhiNV_Ca[[#Headers],[Ca]:[Kết thúc]]),0)&gt; VLOOKUP(AX$6, Table_ChiPhiNV_Ca[], COUNTA(Table_ChiPhiNV_Ca[[#Headers],[Ca]:[Bắt đầu]]),0),
IF($AA48-$Z$4&lt;MAX(AX$4,VLOOKUP(AX$6, Table_ChiPhiNV_Ca[], COUNTA(Table_ChiPhiNV_Ca[[#Headers],[Ca]:[Bắt đầu]]),0)),0,
IF($AA48&gt;MIN(AX$5,VLOOKUP(AX$6, Table_ChiPhiNV_Ca[], COUNTA(Table_ChiPhiNV_Ca[[#Headers],[Ca]:[Kết thúc]]),0)),0,
SUM(_xlfn._xlws.FILTER(Table_BangLuong_TyLeTangCa[Tỷ lệ],
(Table_BangLuong_TyLeTangCa[Ngày] = "Thường") *
(Table_BangLuong_TyLeTangCa[Giờ min]&lt;=$AA48) *
(Table_BangLuong_TyLeTangCa[Giờ max]&gt;$AA48)
)))),
IF(AX$4 &gt; AX$5,
IF(
AND(
$AA48-$Z$4&lt;MAX(AX$4,VLOOKUP(AX$6, Table_ChiPhiNV_Ca[], COUNTA(Table_ChiPhiNV_Ca[[#Headers],[Ca]:[Bắt đầu]]),0)),
$AA48&gt;MIN(AX$5,VLOOKUP(AX$6, Table_ChiPhiNV_Ca[], COUNTA(Table_ChiPhiNV_Ca[[#Headers],[Ca]:[Kết thúc]]),0))),0,
SUM(_xlfn._xlws.FILTER(Table_BangLuong_TyLeTangCa[Tỷ lệ],
(Table_BangLuong_TyLeTangCa[Ngày] = "Thường") *
(Table_BangLuong_TyLeTangCa[Giờ min]&lt;=$AA48) *
(Table_BangLuong_TyLeTangCa[Giờ max]&gt;$AA48)
))),
IF(
AND(
$AA48-$Z$4&gt;=MAX(AX$4,VLOOKUP(AX$6, Table_ChiPhiNV_Ca[], COUNTA(Table_ChiPhiNV_Ca[[#Headers],[Ca]:[Bắt đầu]]),0)),
$AA48&lt;MIN(AX$5,VLOOKUP(AX$6, Table_ChiPhiNV_Ca[], COUNTA(Table_ChiPhiNV_Ca[[#Headers],[Ca]:[Kết thúc]]),0))),
SUM(_xlfn._xlws.FILTER(Table_BangLuong_TyLeTangCa[Tỷ lệ],
(Table_BangLuong_TyLeTangCa[Ngày] = "Thường") *
(Table_BangLuong_TyLeTangCa[Giờ min]&lt;=$AA48) *
(Table_BangLuong_TyLeTangCa[Giờ max]&gt;$AA48)
)),0)
)),
IF(AX$4 &lt; AX$5,
IF($AA48-$Z$4&lt;AX$4,0,
IF($AA48&gt;AX$5,0,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AX$5,$AA48 &lt; AX$4),0,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Y48" s="18" cm="1">
        <f t="array" ref="AY48" xml:space="preserve">
IFERROR(
IF(AY$1="",0,
IF(AND(
$AA48&gt;=VLOOKUP(AY$6, Table_ChiPhiNV_Ca[], COUNTA(Table_ChiPhiNV_Ca[[#Headers],[Ca]:[Bắt đầu nghỉ]]),0),
$AA48&lt;VLOOKUP(AY$6, Table_ChiPhiNV_Ca[], COUNTA(Table_ChiPhiNV_Ca[[#Headers],[Ca]:[Kết thúc nghỉ]]),0)
),0,
IF(NOT(ISBLANK(AY$3)),
IF(ISBLANK(AY$7),0,
IF(AY$4 &lt; AY$5,
IF($AA48-$Z$4&lt;AY$4,0,
IF($AA48&gt;AY$5,0,
SUM(_xlfn._xlws.FILTER(Table_BangLuong_TyLeTangCa[Tỷ lệ],
(Table_BangLuong_TyLeTangCa[Ngày] = AY$3) *
(Table_BangLuong_TyLeTangCa[Giờ min]&lt;=$AA48) *
(Table_BangLuong_TyLeTangCa[Giờ max]&gt;$AA48)
)))),
IF(AND($AA48-$Z$4 &gt;= AY$5,$AA48 &lt; AY$4),0,
SUM(_xlfn._xlws.FILTER(Table_BangLuong_TyLeTangCa[Tỷ lệ],
(Table_BangLuong_TyLeTangCa[Ngày] = AY$3) *
(Table_BangLuong_TyLeTangCa[Giờ min]&lt;=$AA48) *
(Table_BangLuong_TyLeTangCa[Giờ max]&gt;$AA48)
))))
),
IF(ISBLANK(AY$7),
IF(VLOOKUP(AY$6, Table_ChiPhiNV_Ca[], COUNTA(Table_ChiPhiNV_Ca[[#Headers],[Ca]:[Kết thúc]]),0)&gt; VLOOKUP(AY$6, Table_ChiPhiNV_Ca[], COUNTA(Table_ChiPhiNV_Ca[[#Headers],[Ca]:[Bắt đầu]]),0),
IF($AA48-$Z$4&lt;MAX(AY$4,VLOOKUP(AY$6, Table_ChiPhiNV_Ca[], COUNTA(Table_ChiPhiNV_Ca[[#Headers],[Ca]:[Bắt đầu]]),0)),0,
IF($AA48&gt;MIN(AY$5,VLOOKUP(AY$6, Table_ChiPhiNV_Ca[], COUNTA(Table_ChiPhiNV_Ca[[#Headers],[Ca]:[Kết thúc]]),0)),0,
SUM(_xlfn._xlws.FILTER(Table_BangLuong_TyLeTangCa[Tỷ lệ],
(Table_BangLuong_TyLeTangCa[Ngày] = "Thường") *
(Table_BangLuong_TyLeTangCa[Giờ min]&lt;=$AA48) *
(Table_BangLuong_TyLeTangCa[Giờ max]&gt;$AA48)
)))),
IF(AY$4 &gt; AY$5,
IF(
AND(
$AA48-$Z$4&lt;MAX(AY$4,VLOOKUP(AY$6, Table_ChiPhiNV_Ca[], COUNTA(Table_ChiPhiNV_Ca[[#Headers],[Ca]:[Bắt đầu]]),0)),
$AA48&gt;MIN(AY$5,VLOOKUP(AY$6, Table_ChiPhiNV_Ca[], COUNTA(Table_ChiPhiNV_Ca[[#Headers],[Ca]:[Kết thúc]]),0))),0,
SUM(_xlfn._xlws.FILTER(Table_BangLuong_TyLeTangCa[Tỷ lệ],
(Table_BangLuong_TyLeTangCa[Ngày] = "Thường") *
(Table_BangLuong_TyLeTangCa[Giờ min]&lt;=$AA48) *
(Table_BangLuong_TyLeTangCa[Giờ max]&gt;$AA48)
))),
IF(
AND(
$AA48-$Z$4&gt;=MAX(AY$4,VLOOKUP(AY$6, Table_ChiPhiNV_Ca[], COUNTA(Table_ChiPhiNV_Ca[[#Headers],[Ca]:[Bắt đầu]]),0)),
$AA48&lt;MIN(AY$5,VLOOKUP(AY$6, Table_ChiPhiNV_Ca[], COUNTA(Table_ChiPhiNV_Ca[[#Headers],[Ca]:[Kết thúc]]),0))),
SUM(_xlfn._xlws.FILTER(Table_BangLuong_TyLeTangCa[Tỷ lệ],
(Table_BangLuong_TyLeTangCa[Ngày] = "Thường") *
(Table_BangLuong_TyLeTangCa[Giờ min]&lt;=$AA48) *
(Table_BangLuong_TyLeTangCa[Giờ max]&gt;$AA48)
)),0)
)),
IF(AY$4 &lt; AY$5,
IF($AA48-$Z$4&lt;AY$4,0,
IF($AA48&gt;AY$5,0,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AY$5,$AA48 &lt; AY$4),0,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Z48" s="18" cm="1">
        <f t="array" ref="AZ48" xml:space="preserve">
IFERROR(
IF(AZ$1="",0,
IF(AND(
$AA48&gt;=VLOOKUP(AZ$6, Table_ChiPhiNV_Ca[], COUNTA(Table_ChiPhiNV_Ca[[#Headers],[Ca]:[Bắt đầu nghỉ]]),0),
$AA48&lt;VLOOKUP(AZ$6, Table_ChiPhiNV_Ca[], COUNTA(Table_ChiPhiNV_Ca[[#Headers],[Ca]:[Kết thúc nghỉ]]),0)
),0,
IF(NOT(ISBLANK(AZ$3)),
IF(ISBLANK(AZ$7),0,
IF(AZ$4 &lt; AZ$5,
IF($AA48-$Z$4&lt;AZ$4,0,
IF($AA48&gt;AZ$5,0,
SUM(_xlfn._xlws.FILTER(Table_BangLuong_TyLeTangCa[Tỷ lệ],
(Table_BangLuong_TyLeTangCa[Ngày] = AZ$3) *
(Table_BangLuong_TyLeTangCa[Giờ min]&lt;=$AA48) *
(Table_BangLuong_TyLeTangCa[Giờ max]&gt;$AA48)
)))),
IF(AND($AA48-$Z$4 &gt;= AZ$5,$AA48 &lt; AZ$4),0,
SUM(_xlfn._xlws.FILTER(Table_BangLuong_TyLeTangCa[Tỷ lệ],
(Table_BangLuong_TyLeTangCa[Ngày] = AZ$3) *
(Table_BangLuong_TyLeTangCa[Giờ min]&lt;=$AA48) *
(Table_BangLuong_TyLeTangCa[Giờ max]&gt;$AA48)
))))
),
IF(ISBLANK(AZ$7),
IF(VLOOKUP(AZ$6, Table_ChiPhiNV_Ca[], COUNTA(Table_ChiPhiNV_Ca[[#Headers],[Ca]:[Kết thúc]]),0)&gt; VLOOKUP(AZ$6, Table_ChiPhiNV_Ca[], COUNTA(Table_ChiPhiNV_Ca[[#Headers],[Ca]:[Bắt đầu]]),0),
IF($AA48-$Z$4&lt;MAX(AZ$4,VLOOKUP(AZ$6, Table_ChiPhiNV_Ca[], COUNTA(Table_ChiPhiNV_Ca[[#Headers],[Ca]:[Bắt đầu]]),0)),0,
IF($AA48&gt;MIN(AZ$5,VLOOKUP(AZ$6, Table_ChiPhiNV_Ca[], COUNTA(Table_ChiPhiNV_Ca[[#Headers],[Ca]:[Kết thúc]]),0)),0,
SUM(_xlfn._xlws.FILTER(Table_BangLuong_TyLeTangCa[Tỷ lệ],
(Table_BangLuong_TyLeTangCa[Ngày] = "Thường") *
(Table_BangLuong_TyLeTangCa[Giờ min]&lt;=$AA48) *
(Table_BangLuong_TyLeTangCa[Giờ max]&gt;$AA48)
)))),
IF(AZ$4 &gt; AZ$5,
IF(
AND(
$AA48-$Z$4&lt;MAX(AZ$4,VLOOKUP(AZ$6, Table_ChiPhiNV_Ca[], COUNTA(Table_ChiPhiNV_Ca[[#Headers],[Ca]:[Bắt đầu]]),0)),
$AA48&gt;MIN(AZ$5,VLOOKUP(AZ$6, Table_ChiPhiNV_Ca[], COUNTA(Table_ChiPhiNV_Ca[[#Headers],[Ca]:[Kết thúc]]),0))),0,
SUM(_xlfn._xlws.FILTER(Table_BangLuong_TyLeTangCa[Tỷ lệ],
(Table_BangLuong_TyLeTangCa[Ngày] = "Thường") *
(Table_BangLuong_TyLeTangCa[Giờ min]&lt;=$AA48) *
(Table_BangLuong_TyLeTangCa[Giờ max]&gt;$AA48)
))),
IF(
AND(
$AA48-$Z$4&gt;=MAX(AZ$4,VLOOKUP(AZ$6, Table_ChiPhiNV_Ca[], COUNTA(Table_ChiPhiNV_Ca[[#Headers],[Ca]:[Bắt đầu]]),0)),
$AA48&lt;MIN(AZ$5,VLOOKUP(AZ$6, Table_ChiPhiNV_Ca[], COUNTA(Table_ChiPhiNV_Ca[[#Headers],[Ca]:[Kết thúc]]),0))),
SUM(_xlfn._xlws.FILTER(Table_BangLuong_TyLeTangCa[Tỷ lệ],
(Table_BangLuong_TyLeTangCa[Ngày] = "Thường") *
(Table_BangLuong_TyLeTangCa[Giờ min]&lt;=$AA48) *
(Table_BangLuong_TyLeTangCa[Giờ max]&gt;$AA48)
)),0)
)),
IF(AZ$4 &lt; AZ$5,
IF($AA48-$Z$4&lt;AZ$4,0,
IF($AA48&gt;AZ$5,0,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AZ$5,$AA48 &lt; AZ$4),0,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A48" s="18" cm="1">
        <f t="array" ref="BA48" xml:space="preserve">
IFERROR(
IF(BA$1="",0,
IF(AND(
$AA48&gt;=VLOOKUP(BA$6, Table_ChiPhiNV_Ca[], COUNTA(Table_ChiPhiNV_Ca[[#Headers],[Ca]:[Bắt đầu nghỉ]]),0),
$AA48&lt;VLOOKUP(BA$6, Table_ChiPhiNV_Ca[], COUNTA(Table_ChiPhiNV_Ca[[#Headers],[Ca]:[Kết thúc nghỉ]]),0)
),0,
IF(NOT(ISBLANK(BA$3)),
IF(ISBLANK(BA$7),0,
IF(BA$4 &lt; BA$5,
IF($AA48-$Z$4&lt;BA$4,0,
IF($AA48&gt;BA$5,0,
SUM(_xlfn._xlws.FILTER(Table_BangLuong_TyLeTangCa[Tỷ lệ],
(Table_BangLuong_TyLeTangCa[Ngày] = BA$3) *
(Table_BangLuong_TyLeTangCa[Giờ min]&lt;=$AA48) *
(Table_BangLuong_TyLeTangCa[Giờ max]&gt;$AA48)
)))),
IF(AND($AA48-$Z$4 &gt;= BA$5,$AA48 &lt; BA$4),0,
SUM(_xlfn._xlws.FILTER(Table_BangLuong_TyLeTangCa[Tỷ lệ],
(Table_BangLuong_TyLeTangCa[Ngày] = BA$3) *
(Table_BangLuong_TyLeTangCa[Giờ min]&lt;=$AA48) *
(Table_BangLuong_TyLeTangCa[Giờ max]&gt;$AA48)
))))
),
IF(ISBLANK(BA$7),
IF(VLOOKUP(BA$6, Table_ChiPhiNV_Ca[], COUNTA(Table_ChiPhiNV_Ca[[#Headers],[Ca]:[Kết thúc]]),0)&gt; VLOOKUP(BA$6, Table_ChiPhiNV_Ca[], COUNTA(Table_ChiPhiNV_Ca[[#Headers],[Ca]:[Bắt đầu]]),0),
IF($AA48-$Z$4&lt;MAX(BA$4,VLOOKUP(BA$6, Table_ChiPhiNV_Ca[], COUNTA(Table_ChiPhiNV_Ca[[#Headers],[Ca]:[Bắt đầu]]),0)),0,
IF($AA48&gt;MIN(BA$5,VLOOKUP(BA$6, Table_ChiPhiNV_Ca[], COUNTA(Table_ChiPhiNV_Ca[[#Headers],[Ca]:[Kết thúc]]),0)),0,
SUM(_xlfn._xlws.FILTER(Table_BangLuong_TyLeTangCa[Tỷ lệ],
(Table_BangLuong_TyLeTangCa[Ngày] = "Thường") *
(Table_BangLuong_TyLeTangCa[Giờ min]&lt;=$AA48) *
(Table_BangLuong_TyLeTangCa[Giờ max]&gt;$AA48)
)))),
IF(BA$4 &gt; BA$5,
IF(
AND(
$AA48-$Z$4&lt;MAX(BA$4,VLOOKUP(BA$6, Table_ChiPhiNV_Ca[], COUNTA(Table_ChiPhiNV_Ca[[#Headers],[Ca]:[Bắt đầu]]),0)),
$AA48&gt;MIN(BA$5,VLOOKUP(BA$6, Table_ChiPhiNV_Ca[], COUNTA(Table_ChiPhiNV_Ca[[#Headers],[Ca]:[Kết thúc]]),0))),0,
SUM(_xlfn._xlws.FILTER(Table_BangLuong_TyLeTangCa[Tỷ lệ],
(Table_BangLuong_TyLeTangCa[Ngày] = "Thường") *
(Table_BangLuong_TyLeTangCa[Giờ min]&lt;=$AA48) *
(Table_BangLuong_TyLeTangCa[Giờ max]&gt;$AA48)
))),
IF(
AND(
$AA48-$Z$4&gt;=MAX(BA$4,VLOOKUP(BA$6, Table_ChiPhiNV_Ca[], COUNTA(Table_ChiPhiNV_Ca[[#Headers],[Ca]:[Bắt đầu]]),0)),
$AA48&lt;MIN(BA$5,VLOOKUP(BA$6, Table_ChiPhiNV_Ca[], COUNTA(Table_ChiPhiNV_Ca[[#Headers],[Ca]:[Kết thúc]]),0))),
SUM(_xlfn._xlws.FILTER(Table_BangLuong_TyLeTangCa[Tỷ lệ],
(Table_BangLuong_TyLeTangCa[Ngày] = "Thường") *
(Table_BangLuong_TyLeTangCa[Giờ min]&lt;=$AA48) *
(Table_BangLuong_TyLeTangCa[Giờ max]&gt;$AA48)
)),0)
)),
IF(BA$4 &lt; BA$5,
IF($AA48-$Z$4&lt;BA$4,0,
IF($AA48&gt;BA$5,0,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BA$5,$AA48 &lt; BA$4),0,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B48" s="18" cm="1">
        <f t="array" ref="BB48" xml:space="preserve">
IFERROR(
IF(BB$1="",0,
IF(AND(
$AA48&gt;=VLOOKUP(BB$6, Table_ChiPhiNV_Ca[], COUNTA(Table_ChiPhiNV_Ca[[#Headers],[Ca]:[Bắt đầu nghỉ]]),0),
$AA48&lt;VLOOKUP(BB$6, Table_ChiPhiNV_Ca[], COUNTA(Table_ChiPhiNV_Ca[[#Headers],[Ca]:[Kết thúc nghỉ]]),0)
),0,
IF(NOT(ISBLANK(BB$3)),
IF(ISBLANK(BB$7),0,
IF(BB$4 &lt; BB$5,
IF($AA48-$Z$4&lt;BB$4,0,
IF($AA48&gt;BB$5,0,
SUM(_xlfn._xlws.FILTER(Table_BangLuong_TyLeTangCa[Tỷ lệ],
(Table_BangLuong_TyLeTangCa[Ngày] = BB$3) *
(Table_BangLuong_TyLeTangCa[Giờ min]&lt;=$AA48) *
(Table_BangLuong_TyLeTangCa[Giờ max]&gt;$AA48)
)))),
IF(AND($AA48-$Z$4 &gt;= BB$5,$AA48 &lt; BB$4),0,
SUM(_xlfn._xlws.FILTER(Table_BangLuong_TyLeTangCa[Tỷ lệ],
(Table_BangLuong_TyLeTangCa[Ngày] = BB$3) *
(Table_BangLuong_TyLeTangCa[Giờ min]&lt;=$AA48) *
(Table_BangLuong_TyLeTangCa[Giờ max]&gt;$AA48)
))))
),
IF(ISBLANK(BB$7),
IF(VLOOKUP(BB$6, Table_ChiPhiNV_Ca[], COUNTA(Table_ChiPhiNV_Ca[[#Headers],[Ca]:[Kết thúc]]),0)&gt; VLOOKUP(BB$6, Table_ChiPhiNV_Ca[], COUNTA(Table_ChiPhiNV_Ca[[#Headers],[Ca]:[Bắt đầu]]),0),
IF($AA48-$Z$4&lt;MAX(BB$4,VLOOKUP(BB$6, Table_ChiPhiNV_Ca[], COUNTA(Table_ChiPhiNV_Ca[[#Headers],[Ca]:[Bắt đầu]]),0)),0,
IF($AA48&gt;MIN(BB$5,VLOOKUP(BB$6, Table_ChiPhiNV_Ca[], COUNTA(Table_ChiPhiNV_Ca[[#Headers],[Ca]:[Kết thúc]]),0)),0,
SUM(_xlfn._xlws.FILTER(Table_BangLuong_TyLeTangCa[Tỷ lệ],
(Table_BangLuong_TyLeTangCa[Ngày] = "Thường") *
(Table_BangLuong_TyLeTangCa[Giờ min]&lt;=$AA48) *
(Table_BangLuong_TyLeTangCa[Giờ max]&gt;$AA48)
)))),
IF(BB$4 &gt; BB$5,
IF(
AND(
$AA48-$Z$4&lt;MAX(BB$4,VLOOKUP(BB$6, Table_ChiPhiNV_Ca[], COUNTA(Table_ChiPhiNV_Ca[[#Headers],[Ca]:[Bắt đầu]]),0)),
$AA48&gt;MIN(BB$5,VLOOKUP(BB$6, Table_ChiPhiNV_Ca[], COUNTA(Table_ChiPhiNV_Ca[[#Headers],[Ca]:[Kết thúc]]),0))),0,
SUM(_xlfn._xlws.FILTER(Table_BangLuong_TyLeTangCa[Tỷ lệ],
(Table_BangLuong_TyLeTangCa[Ngày] = "Thường") *
(Table_BangLuong_TyLeTangCa[Giờ min]&lt;=$AA48) *
(Table_BangLuong_TyLeTangCa[Giờ max]&gt;$AA48)
))),
IF(
AND(
$AA48-$Z$4&gt;=MAX(BB$4,VLOOKUP(BB$6, Table_ChiPhiNV_Ca[], COUNTA(Table_ChiPhiNV_Ca[[#Headers],[Ca]:[Bắt đầu]]),0)),
$AA48&lt;MIN(BB$5,VLOOKUP(BB$6, Table_ChiPhiNV_Ca[], COUNTA(Table_ChiPhiNV_Ca[[#Headers],[Ca]:[Kết thúc]]),0))),
SUM(_xlfn._xlws.FILTER(Table_BangLuong_TyLeTangCa[Tỷ lệ],
(Table_BangLuong_TyLeTangCa[Ngày] = "Thường") *
(Table_BangLuong_TyLeTangCa[Giờ min]&lt;=$AA48) *
(Table_BangLuong_TyLeTangCa[Giờ max]&gt;$AA48)
)),0)
)),
IF(BB$4 &lt; BB$5,
IF($AA48-$Z$4&lt;BB$4,0,
IF($AA48&gt;BB$5,0,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BB$5,$AA48 &lt; BB$4),0,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C48" s="18" cm="1">
        <f t="array" ref="BC48" xml:space="preserve">
IFERROR(
IF(BC$1="",0,
IF(AND(
$AA48&gt;=VLOOKUP(BC$6, Table_ChiPhiNV_Ca[], COUNTA(Table_ChiPhiNV_Ca[[#Headers],[Ca]:[Bắt đầu nghỉ]]),0),
$AA48&lt;VLOOKUP(BC$6, Table_ChiPhiNV_Ca[], COUNTA(Table_ChiPhiNV_Ca[[#Headers],[Ca]:[Kết thúc nghỉ]]),0)
),0,
IF(NOT(ISBLANK(BC$3)),
IF(ISBLANK(BC$7),0,
IF(BC$4 &lt; BC$5,
IF($AA48-$Z$4&lt;BC$4,0,
IF($AA48&gt;BC$5,0,
SUM(_xlfn._xlws.FILTER(Table_BangLuong_TyLeTangCa[Tỷ lệ],
(Table_BangLuong_TyLeTangCa[Ngày] = BC$3) *
(Table_BangLuong_TyLeTangCa[Giờ min]&lt;=$AA48) *
(Table_BangLuong_TyLeTangCa[Giờ max]&gt;$AA48)
)))),
IF(AND($AA48-$Z$4 &gt;= BC$5,$AA48 &lt; BC$4),0,
SUM(_xlfn._xlws.FILTER(Table_BangLuong_TyLeTangCa[Tỷ lệ],
(Table_BangLuong_TyLeTangCa[Ngày] = BC$3) *
(Table_BangLuong_TyLeTangCa[Giờ min]&lt;=$AA48) *
(Table_BangLuong_TyLeTangCa[Giờ max]&gt;$AA48)
))))
),
IF(ISBLANK(BC$7),
IF(VLOOKUP(BC$6, Table_ChiPhiNV_Ca[], COUNTA(Table_ChiPhiNV_Ca[[#Headers],[Ca]:[Kết thúc]]),0)&gt; VLOOKUP(BC$6, Table_ChiPhiNV_Ca[], COUNTA(Table_ChiPhiNV_Ca[[#Headers],[Ca]:[Bắt đầu]]),0),
IF($AA48-$Z$4&lt;MAX(BC$4,VLOOKUP(BC$6, Table_ChiPhiNV_Ca[], COUNTA(Table_ChiPhiNV_Ca[[#Headers],[Ca]:[Bắt đầu]]),0)),0,
IF($AA48&gt;MIN(BC$5,VLOOKUP(BC$6, Table_ChiPhiNV_Ca[], COUNTA(Table_ChiPhiNV_Ca[[#Headers],[Ca]:[Kết thúc]]),0)),0,
SUM(_xlfn._xlws.FILTER(Table_BangLuong_TyLeTangCa[Tỷ lệ],
(Table_BangLuong_TyLeTangCa[Ngày] = "Thường") *
(Table_BangLuong_TyLeTangCa[Giờ min]&lt;=$AA48) *
(Table_BangLuong_TyLeTangCa[Giờ max]&gt;$AA48)
)))),
IF(BC$4 &gt; BC$5,
IF(
AND(
$AA48-$Z$4&lt;MAX(BC$4,VLOOKUP(BC$6, Table_ChiPhiNV_Ca[], COUNTA(Table_ChiPhiNV_Ca[[#Headers],[Ca]:[Bắt đầu]]),0)),
$AA48&gt;MIN(BC$5,VLOOKUP(BC$6, Table_ChiPhiNV_Ca[], COUNTA(Table_ChiPhiNV_Ca[[#Headers],[Ca]:[Kết thúc]]),0))),0,
SUM(_xlfn._xlws.FILTER(Table_BangLuong_TyLeTangCa[Tỷ lệ],
(Table_BangLuong_TyLeTangCa[Ngày] = "Thường") *
(Table_BangLuong_TyLeTangCa[Giờ min]&lt;=$AA48) *
(Table_BangLuong_TyLeTangCa[Giờ max]&gt;$AA48)
))),
IF(
AND(
$AA48-$Z$4&gt;=MAX(BC$4,VLOOKUP(BC$6, Table_ChiPhiNV_Ca[], COUNTA(Table_ChiPhiNV_Ca[[#Headers],[Ca]:[Bắt đầu]]),0)),
$AA48&lt;MIN(BC$5,VLOOKUP(BC$6, Table_ChiPhiNV_Ca[], COUNTA(Table_ChiPhiNV_Ca[[#Headers],[Ca]:[Kết thúc]]),0))),
SUM(_xlfn._xlws.FILTER(Table_BangLuong_TyLeTangCa[Tỷ lệ],
(Table_BangLuong_TyLeTangCa[Ngày] = "Thường") *
(Table_BangLuong_TyLeTangCa[Giờ min]&lt;=$AA48) *
(Table_BangLuong_TyLeTangCa[Giờ max]&gt;$AA48)
)),0)
)),
IF(BC$4 &lt; BC$5,
IF($AA48-$Z$4&lt;BC$4,0,
IF($AA48&gt;BC$5,0,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BC$5,$AA48 &lt; BC$4),0,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D48" s="18" cm="1">
        <f t="array" ref="BD48" xml:space="preserve">
IFERROR(
IF(BD$1="",0,
IF(AND(
$AA48&gt;=VLOOKUP(BD$6, Table_ChiPhiNV_Ca[], COUNTA(Table_ChiPhiNV_Ca[[#Headers],[Ca]:[Bắt đầu nghỉ]]),0),
$AA48&lt;VLOOKUP(BD$6, Table_ChiPhiNV_Ca[], COUNTA(Table_ChiPhiNV_Ca[[#Headers],[Ca]:[Kết thúc nghỉ]]),0)
),0,
IF(NOT(ISBLANK(BD$3)),
IF(ISBLANK(BD$7),0,
IF(BD$4 &lt; BD$5,
IF($AA48-$Z$4&lt;BD$4,0,
IF($AA48&gt;BD$5,0,
SUM(_xlfn._xlws.FILTER(Table_BangLuong_TyLeTangCa[Tỷ lệ],
(Table_BangLuong_TyLeTangCa[Ngày] = BD$3) *
(Table_BangLuong_TyLeTangCa[Giờ min]&lt;=$AA48) *
(Table_BangLuong_TyLeTangCa[Giờ max]&gt;$AA48)
)))),
IF(AND($AA48-$Z$4 &gt;= BD$5,$AA48 &lt; BD$4),0,
SUM(_xlfn._xlws.FILTER(Table_BangLuong_TyLeTangCa[Tỷ lệ],
(Table_BangLuong_TyLeTangCa[Ngày] = BD$3) *
(Table_BangLuong_TyLeTangCa[Giờ min]&lt;=$AA48) *
(Table_BangLuong_TyLeTangCa[Giờ max]&gt;$AA48)
))))
),
IF(ISBLANK(BD$7),
IF(VLOOKUP(BD$6, Table_ChiPhiNV_Ca[], COUNTA(Table_ChiPhiNV_Ca[[#Headers],[Ca]:[Kết thúc]]),0)&gt; VLOOKUP(BD$6, Table_ChiPhiNV_Ca[], COUNTA(Table_ChiPhiNV_Ca[[#Headers],[Ca]:[Bắt đầu]]),0),
IF($AA48-$Z$4&lt;MAX(BD$4,VLOOKUP(BD$6, Table_ChiPhiNV_Ca[], COUNTA(Table_ChiPhiNV_Ca[[#Headers],[Ca]:[Bắt đầu]]),0)),0,
IF($AA48&gt;MIN(BD$5,VLOOKUP(BD$6, Table_ChiPhiNV_Ca[], COUNTA(Table_ChiPhiNV_Ca[[#Headers],[Ca]:[Kết thúc]]),0)),0,
SUM(_xlfn._xlws.FILTER(Table_BangLuong_TyLeTangCa[Tỷ lệ],
(Table_BangLuong_TyLeTangCa[Ngày] = "Thường") *
(Table_BangLuong_TyLeTangCa[Giờ min]&lt;=$AA48) *
(Table_BangLuong_TyLeTangCa[Giờ max]&gt;$AA48)
)))),
IF(BD$4 &gt; BD$5,
IF(
AND(
$AA48-$Z$4&lt;MAX(BD$4,VLOOKUP(BD$6, Table_ChiPhiNV_Ca[], COUNTA(Table_ChiPhiNV_Ca[[#Headers],[Ca]:[Bắt đầu]]),0)),
$AA48&gt;MIN(BD$5,VLOOKUP(BD$6, Table_ChiPhiNV_Ca[], COUNTA(Table_ChiPhiNV_Ca[[#Headers],[Ca]:[Kết thúc]]),0))),0,
SUM(_xlfn._xlws.FILTER(Table_BangLuong_TyLeTangCa[Tỷ lệ],
(Table_BangLuong_TyLeTangCa[Ngày] = "Thường") *
(Table_BangLuong_TyLeTangCa[Giờ min]&lt;=$AA48) *
(Table_BangLuong_TyLeTangCa[Giờ max]&gt;$AA48)
))),
IF(
AND(
$AA48-$Z$4&gt;=MAX(BD$4,VLOOKUP(BD$6, Table_ChiPhiNV_Ca[], COUNTA(Table_ChiPhiNV_Ca[[#Headers],[Ca]:[Bắt đầu]]),0)),
$AA48&lt;MIN(BD$5,VLOOKUP(BD$6, Table_ChiPhiNV_Ca[], COUNTA(Table_ChiPhiNV_Ca[[#Headers],[Ca]:[Kết thúc]]),0))),
SUM(_xlfn._xlws.FILTER(Table_BangLuong_TyLeTangCa[Tỷ lệ],
(Table_BangLuong_TyLeTangCa[Ngày] = "Thường") *
(Table_BangLuong_TyLeTangCa[Giờ min]&lt;=$AA48) *
(Table_BangLuong_TyLeTangCa[Giờ max]&gt;$AA48)
)),0)
)),
IF(BD$4 &lt; BD$5,
IF($AA48-$Z$4&lt;BD$4,0,
IF($AA48&gt;BD$5,0,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BD$5,$AA48 &lt; BD$4),0,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E48" s="18" cm="1">
        <f t="array" ref="BE48" xml:space="preserve">
IFERROR(
IF(BE$1="",0,
IF(AND(
$AA48&gt;=VLOOKUP(BE$6, Table_ChiPhiNV_Ca[], COUNTA(Table_ChiPhiNV_Ca[[#Headers],[Ca]:[Bắt đầu nghỉ]]),0),
$AA48&lt;VLOOKUP(BE$6, Table_ChiPhiNV_Ca[], COUNTA(Table_ChiPhiNV_Ca[[#Headers],[Ca]:[Kết thúc nghỉ]]),0)
),0,
IF(NOT(ISBLANK(BE$3)),
IF(ISBLANK(BE$7),0,
IF(BE$4 &lt; BE$5,
IF($AA48-$Z$4&lt;BE$4,0,
IF($AA48&gt;BE$5,0,
SUM(_xlfn._xlws.FILTER(Table_BangLuong_TyLeTangCa[Tỷ lệ],
(Table_BangLuong_TyLeTangCa[Ngày] = BE$3) *
(Table_BangLuong_TyLeTangCa[Giờ min]&lt;=$AA48) *
(Table_BangLuong_TyLeTangCa[Giờ max]&gt;$AA48)
)))),
IF(AND($AA48-$Z$4 &gt;= BE$5,$AA48 &lt; BE$4),0,
SUM(_xlfn._xlws.FILTER(Table_BangLuong_TyLeTangCa[Tỷ lệ],
(Table_BangLuong_TyLeTangCa[Ngày] = BE$3) *
(Table_BangLuong_TyLeTangCa[Giờ min]&lt;=$AA48) *
(Table_BangLuong_TyLeTangCa[Giờ max]&gt;$AA48)
))))
),
IF(ISBLANK(BE$7),
IF(VLOOKUP(BE$6, Table_ChiPhiNV_Ca[], COUNTA(Table_ChiPhiNV_Ca[[#Headers],[Ca]:[Kết thúc]]),0)&gt; VLOOKUP(BE$6, Table_ChiPhiNV_Ca[], COUNTA(Table_ChiPhiNV_Ca[[#Headers],[Ca]:[Bắt đầu]]),0),
IF($AA48-$Z$4&lt;MAX(BE$4,VLOOKUP(BE$6, Table_ChiPhiNV_Ca[], COUNTA(Table_ChiPhiNV_Ca[[#Headers],[Ca]:[Bắt đầu]]),0)),0,
IF($AA48&gt;MIN(BE$5,VLOOKUP(BE$6, Table_ChiPhiNV_Ca[], COUNTA(Table_ChiPhiNV_Ca[[#Headers],[Ca]:[Kết thúc]]),0)),0,
SUM(_xlfn._xlws.FILTER(Table_BangLuong_TyLeTangCa[Tỷ lệ],
(Table_BangLuong_TyLeTangCa[Ngày] = "Thường") *
(Table_BangLuong_TyLeTangCa[Giờ min]&lt;=$AA48) *
(Table_BangLuong_TyLeTangCa[Giờ max]&gt;$AA48)
)))),
IF(BE$4 &gt; BE$5,
IF(
AND(
$AA48-$Z$4&lt;MAX(BE$4,VLOOKUP(BE$6, Table_ChiPhiNV_Ca[], COUNTA(Table_ChiPhiNV_Ca[[#Headers],[Ca]:[Bắt đầu]]),0)),
$AA48&gt;MIN(BE$5,VLOOKUP(BE$6, Table_ChiPhiNV_Ca[], COUNTA(Table_ChiPhiNV_Ca[[#Headers],[Ca]:[Kết thúc]]),0))),0,
SUM(_xlfn._xlws.FILTER(Table_BangLuong_TyLeTangCa[Tỷ lệ],
(Table_BangLuong_TyLeTangCa[Ngày] = "Thường") *
(Table_BangLuong_TyLeTangCa[Giờ min]&lt;=$AA48) *
(Table_BangLuong_TyLeTangCa[Giờ max]&gt;$AA48)
))),
IF(
AND(
$AA48-$Z$4&gt;=MAX(BE$4,VLOOKUP(BE$6, Table_ChiPhiNV_Ca[], COUNTA(Table_ChiPhiNV_Ca[[#Headers],[Ca]:[Bắt đầu]]),0)),
$AA48&lt;MIN(BE$5,VLOOKUP(BE$6, Table_ChiPhiNV_Ca[], COUNTA(Table_ChiPhiNV_Ca[[#Headers],[Ca]:[Kết thúc]]),0))),
SUM(_xlfn._xlws.FILTER(Table_BangLuong_TyLeTangCa[Tỷ lệ],
(Table_BangLuong_TyLeTangCa[Ngày] = "Thường") *
(Table_BangLuong_TyLeTangCa[Giờ min]&lt;=$AA48) *
(Table_BangLuong_TyLeTangCa[Giờ max]&gt;$AA48)
)),0)
)),
IF(BE$4 &lt; BE$5,
IF($AA48-$Z$4&lt;BE$4,0,
IF($AA48&gt;BE$5,0,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BE$5,$AA48 &lt; BE$4),0,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F48" s="18" cm="1">
        <f t="array" ref="BF48" xml:space="preserve">
IFERROR(
IF(BF$1="",0,
IF(AND(
$AA48&gt;=VLOOKUP(BF$6, Table_ChiPhiNV_Ca[], COUNTA(Table_ChiPhiNV_Ca[[#Headers],[Ca]:[Bắt đầu nghỉ]]),0),
$AA48&lt;VLOOKUP(BF$6, Table_ChiPhiNV_Ca[], COUNTA(Table_ChiPhiNV_Ca[[#Headers],[Ca]:[Kết thúc nghỉ]]),0)
),0,
IF(NOT(ISBLANK(BF$3)),
IF(ISBLANK(BF$7),0,
IF(BF$4 &lt; BF$5,
IF($AA48-$Z$4&lt;BF$4,0,
IF($AA48&gt;BF$5,0,
SUM(_xlfn._xlws.FILTER(Table_BangLuong_TyLeTangCa[Tỷ lệ],
(Table_BangLuong_TyLeTangCa[Ngày] = BF$3) *
(Table_BangLuong_TyLeTangCa[Giờ min]&lt;=$AA48) *
(Table_BangLuong_TyLeTangCa[Giờ max]&gt;$AA48)
)))),
IF(AND($AA48-$Z$4 &gt;= BF$5,$AA48 &lt; BF$4),0,
SUM(_xlfn._xlws.FILTER(Table_BangLuong_TyLeTangCa[Tỷ lệ],
(Table_BangLuong_TyLeTangCa[Ngày] = BF$3) *
(Table_BangLuong_TyLeTangCa[Giờ min]&lt;=$AA48) *
(Table_BangLuong_TyLeTangCa[Giờ max]&gt;$AA48)
))))
),
IF(ISBLANK(BF$7),
IF(VLOOKUP(BF$6, Table_ChiPhiNV_Ca[], COUNTA(Table_ChiPhiNV_Ca[[#Headers],[Ca]:[Kết thúc]]),0)&gt; VLOOKUP(BF$6, Table_ChiPhiNV_Ca[], COUNTA(Table_ChiPhiNV_Ca[[#Headers],[Ca]:[Bắt đầu]]),0),
IF($AA48-$Z$4&lt;MAX(BF$4,VLOOKUP(BF$6, Table_ChiPhiNV_Ca[], COUNTA(Table_ChiPhiNV_Ca[[#Headers],[Ca]:[Bắt đầu]]),0)),0,
IF($AA48&gt;MIN(BF$5,VLOOKUP(BF$6, Table_ChiPhiNV_Ca[], COUNTA(Table_ChiPhiNV_Ca[[#Headers],[Ca]:[Kết thúc]]),0)),0,
SUM(_xlfn._xlws.FILTER(Table_BangLuong_TyLeTangCa[Tỷ lệ],
(Table_BangLuong_TyLeTangCa[Ngày] = "Thường") *
(Table_BangLuong_TyLeTangCa[Giờ min]&lt;=$AA48) *
(Table_BangLuong_TyLeTangCa[Giờ max]&gt;$AA48)
)))),
IF(BF$4 &gt; BF$5,
IF(
AND(
$AA48-$Z$4&lt;MAX(BF$4,VLOOKUP(BF$6, Table_ChiPhiNV_Ca[], COUNTA(Table_ChiPhiNV_Ca[[#Headers],[Ca]:[Bắt đầu]]),0)),
$AA48&gt;MIN(BF$5,VLOOKUP(BF$6, Table_ChiPhiNV_Ca[], COUNTA(Table_ChiPhiNV_Ca[[#Headers],[Ca]:[Kết thúc]]),0))),0,
SUM(_xlfn._xlws.FILTER(Table_BangLuong_TyLeTangCa[Tỷ lệ],
(Table_BangLuong_TyLeTangCa[Ngày] = "Thường") *
(Table_BangLuong_TyLeTangCa[Giờ min]&lt;=$AA48) *
(Table_BangLuong_TyLeTangCa[Giờ max]&gt;$AA48)
))),
IF(
AND(
$AA48-$Z$4&gt;=MAX(BF$4,VLOOKUP(BF$6, Table_ChiPhiNV_Ca[], COUNTA(Table_ChiPhiNV_Ca[[#Headers],[Ca]:[Bắt đầu]]),0)),
$AA48&lt;MIN(BF$5,VLOOKUP(BF$6, Table_ChiPhiNV_Ca[], COUNTA(Table_ChiPhiNV_Ca[[#Headers],[Ca]:[Kết thúc]]),0))),
SUM(_xlfn._xlws.FILTER(Table_BangLuong_TyLeTangCa[Tỷ lệ],
(Table_BangLuong_TyLeTangCa[Ngày] = "Thường") *
(Table_BangLuong_TyLeTangCa[Giờ min]&lt;=$AA48) *
(Table_BangLuong_TyLeTangCa[Giờ max]&gt;$AA48)
)),0)
)),
IF(BF$4 &lt; BF$5,
IF($AA48-$Z$4&lt;BF$4,0,
IF($AA48&gt;BF$5,0,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BF$5,$AA48 &lt; BF$4),0,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row>
    <row r="49" spans="27:58" ht="18" customHeight="1" outlineLevel="1" x14ac:dyDescent="0.3">
      <c r="AA49" s="50">
        <v>0.83333333333333304</v>
      </c>
      <c r="AB49" s="18" cm="1">
        <f t="array" ref="AB49" xml:space="preserve">
IFERROR(
IF(AB$1="",0,
IF(AND(
$AA49&gt;=VLOOKUP(AB$6, Table_ChiPhiNV_Ca[], COUNTA(Table_ChiPhiNV_Ca[[#Headers],[Ca]:[Bắt đầu nghỉ]]),0),
$AA49&lt;VLOOKUP(AB$6, Table_ChiPhiNV_Ca[], COUNTA(Table_ChiPhiNV_Ca[[#Headers],[Ca]:[Kết thúc nghỉ]]),0)
),0,
IF(NOT(ISBLANK(AB$3)),
IF(ISBLANK(AB$7),0,
IF(AB$4 &lt; AB$5,
IF($AA49-$Z$4&lt;AB$4,0,
IF($AA49&gt;AB$5,0,
SUM(_xlfn._xlws.FILTER(Table_BangLuong_TyLeTangCa[Tỷ lệ],
(Table_BangLuong_TyLeTangCa[Ngày] = AB$3) *
(Table_BangLuong_TyLeTangCa[Giờ min]&lt;=$AA49) *
(Table_BangLuong_TyLeTangCa[Giờ max]&gt;$AA49)
)))),
IF(AND($AA49-$Z$4 &gt;= AB$5,$AA49 &lt; AB$4),0,
SUM(_xlfn._xlws.FILTER(Table_BangLuong_TyLeTangCa[Tỷ lệ],
(Table_BangLuong_TyLeTangCa[Ngày] = AB$3) *
(Table_BangLuong_TyLeTangCa[Giờ min]&lt;=$AA49) *
(Table_BangLuong_TyLeTangCa[Giờ max]&gt;$AA49)
))))
),
IF(ISBLANK(AB$7),
IF(VLOOKUP(AB$6, Table_ChiPhiNV_Ca[], COUNTA(Table_ChiPhiNV_Ca[[#Headers],[Ca]:[Kết thúc]]),0)&gt; VLOOKUP(AB$6, Table_ChiPhiNV_Ca[], COUNTA(Table_ChiPhiNV_Ca[[#Headers],[Ca]:[Bắt đầu]]),0),
IF($AA49-$Z$4&lt;MAX(AB$4,VLOOKUP(AB$6, Table_ChiPhiNV_Ca[], COUNTA(Table_ChiPhiNV_Ca[[#Headers],[Ca]:[Bắt đầu]]),0)),0,
IF($AA49&gt;MIN(AB$5,VLOOKUP(AB$6, Table_ChiPhiNV_Ca[], COUNTA(Table_ChiPhiNV_Ca[[#Headers],[Ca]:[Kết thúc]]),0)),0,
SUM(_xlfn._xlws.FILTER(Table_BangLuong_TyLeTangCa[Tỷ lệ],
(Table_BangLuong_TyLeTangCa[Ngày] = "Thường") *
(Table_BangLuong_TyLeTangCa[Giờ min]&lt;=$AA49) *
(Table_BangLuong_TyLeTangCa[Giờ max]&gt;$AA49)
)))),
IF(AB$4 &gt; AB$5,
IF(
AND(
$AA49-$Z$4&lt;MAX(AB$4,VLOOKUP(AB$6, Table_ChiPhiNV_Ca[], COUNTA(Table_ChiPhiNV_Ca[[#Headers],[Ca]:[Bắt đầu]]),0)),
$AA49&gt;MIN(AB$5,VLOOKUP(AB$6, Table_ChiPhiNV_Ca[], COUNTA(Table_ChiPhiNV_Ca[[#Headers],[Ca]:[Kết thúc]]),0))),0,
SUM(_xlfn._xlws.FILTER(Table_BangLuong_TyLeTangCa[Tỷ lệ],
(Table_BangLuong_TyLeTangCa[Ngày] = "Thường") *
(Table_BangLuong_TyLeTangCa[Giờ min]&lt;=$AA49) *
(Table_BangLuong_TyLeTangCa[Giờ max]&gt;$AA49)
))),
IF(
AND(
$AA49-$Z$4&gt;=MAX(AB$4,VLOOKUP(AB$6, Table_ChiPhiNV_Ca[], COUNTA(Table_ChiPhiNV_Ca[[#Headers],[Ca]:[Bắt đầu]]),0)),
$AA49&lt;MIN(AB$5,VLOOKUP(AB$6, Table_ChiPhiNV_Ca[], COUNTA(Table_ChiPhiNV_Ca[[#Headers],[Ca]:[Kết thúc]]),0))),
SUM(_xlfn._xlws.FILTER(Table_BangLuong_TyLeTangCa[Tỷ lệ],
(Table_BangLuong_TyLeTangCa[Ngày] = "Thường") *
(Table_BangLuong_TyLeTangCa[Giờ min]&lt;=$AA49) *
(Table_BangLuong_TyLeTangCa[Giờ max]&gt;$AA49)
)),0)
)),
IF(AB$4 &lt; AB$5,
IF($AA49-$Z$4&lt;AB$4,0,
IF($AA49&gt;AB$5,0,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AB$5,$AA49 &lt; AB$4),0,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C49" s="18" cm="1">
        <f t="array" ref="AC49" xml:space="preserve">
IFERROR(
IF(AC$1="",0,
IF(AND(
$AA49&gt;=VLOOKUP(AC$6, Table_ChiPhiNV_Ca[], COUNTA(Table_ChiPhiNV_Ca[[#Headers],[Ca]:[Bắt đầu nghỉ]]),0),
$AA49&lt;VLOOKUP(AC$6, Table_ChiPhiNV_Ca[], COUNTA(Table_ChiPhiNV_Ca[[#Headers],[Ca]:[Kết thúc nghỉ]]),0)
),0,
IF(NOT(ISBLANK(AC$3)),
IF(ISBLANK(AC$7),0,
IF(AC$4 &lt; AC$5,
IF($AA49-$Z$4&lt;AC$4,0,
IF($AA49&gt;AC$5,0,
SUM(_xlfn._xlws.FILTER(Table_BangLuong_TyLeTangCa[Tỷ lệ],
(Table_BangLuong_TyLeTangCa[Ngày] = AC$3) *
(Table_BangLuong_TyLeTangCa[Giờ min]&lt;=$AA49) *
(Table_BangLuong_TyLeTangCa[Giờ max]&gt;$AA49)
)))),
IF(AND($AA49-$Z$4 &gt;= AC$5,$AA49 &lt; AC$4),0,
SUM(_xlfn._xlws.FILTER(Table_BangLuong_TyLeTangCa[Tỷ lệ],
(Table_BangLuong_TyLeTangCa[Ngày] = AC$3) *
(Table_BangLuong_TyLeTangCa[Giờ min]&lt;=$AA49) *
(Table_BangLuong_TyLeTangCa[Giờ max]&gt;$AA49)
))))
),
IF(ISBLANK(AC$7),
IF(VLOOKUP(AC$6, Table_ChiPhiNV_Ca[], COUNTA(Table_ChiPhiNV_Ca[[#Headers],[Ca]:[Kết thúc]]),0)&gt; VLOOKUP(AC$6, Table_ChiPhiNV_Ca[], COUNTA(Table_ChiPhiNV_Ca[[#Headers],[Ca]:[Bắt đầu]]),0),
IF($AA49-$Z$4&lt;MAX(AC$4,VLOOKUP(AC$6, Table_ChiPhiNV_Ca[], COUNTA(Table_ChiPhiNV_Ca[[#Headers],[Ca]:[Bắt đầu]]),0)),0,
IF($AA49&gt;MIN(AC$5,VLOOKUP(AC$6, Table_ChiPhiNV_Ca[], COUNTA(Table_ChiPhiNV_Ca[[#Headers],[Ca]:[Kết thúc]]),0)),0,
SUM(_xlfn._xlws.FILTER(Table_BangLuong_TyLeTangCa[Tỷ lệ],
(Table_BangLuong_TyLeTangCa[Ngày] = "Thường") *
(Table_BangLuong_TyLeTangCa[Giờ min]&lt;=$AA49) *
(Table_BangLuong_TyLeTangCa[Giờ max]&gt;$AA49)
)))),
IF(AC$4 &gt; AC$5,
IF(
AND(
$AA49-$Z$4&lt;MAX(AC$4,VLOOKUP(AC$6, Table_ChiPhiNV_Ca[], COUNTA(Table_ChiPhiNV_Ca[[#Headers],[Ca]:[Bắt đầu]]),0)),
$AA49&gt;MIN(AC$5,VLOOKUP(AC$6, Table_ChiPhiNV_Ca[], COUNTA(Table_ChiPhiNV_Ca[[#Headers],[Ca]:[Kết thúc]]),0))),0,
SUM(_xlfn._xlws.FILTER(Table_BangLuong_TyLeTangCa[Tỷ lệ],
(Table_BangLuong_TyLeTangCa[Ngày] = "Thường") *
(Table_BangLuong_TyLeTangCa[Giờ min]&lt;=$AA49) *
(Table_BangLuong_TyLeTangCa[Giờ max]&gt;$AA49)
))),
IF(
AND(
$AA49-$Z$4&gt;=MAX(AC$4,VLOOKUP(AC$6, Table_ChiPhiNV_Ca[], COUNTA(Table_ChiPhiNV_Ca[[#Headers],[Ca]:[Bắt đầu]]),0)),
$AA49&lt;MIN(AC$5,VLOOKUP(AC$6, Table_ChiPhiNV_Ca[], COUNTA(Table_ChiPhiNV_Ca[[#Headers],[Ca]:[Kết thúc]]),0))),
SUM(_xlfn._xlws.FILTER(Table_BangLuong_TyLeTangCa[Tỷ lệ],
(Table_BangLuong_TyLeTangCa[Ngày] = "Thường") *
(Table_BangLuong_TyLeTangCa[Giờ min]&lt;=$AA49) *
(Table_BangLuong_TyLeTangCa[Giờ max]&gt;$AA49)
)),0)
)),
IF(AC$4 &lt; AC$5,
IF($AA49-$Z$4&lt;AC$4,0,
IF($AA49&gt;AC$5,0,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AC$5,$AA49 &lt; AC$4),0,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1.5</v>
      </c>
      <c r="AD49" s="18" cm="1">
        <f t="array" ref="AD49" xml:space="preserve">
IFERROR(
IF(AD$1="",0,
IF(AND(
$AA49&gt;=VLOOKUP(AD$6, Table_ChiPhiNV_Ca[], COUNTA(Table_ChiPhiNV_Ca[[#Headers],[Ca]:[Bắt đầu nghỉ]]),0),
$AA49&lt;VLOOKUP(AD$6, Table_ChiPhiNV_Ca[], COUNTA(Table_ChiPhiNV_Ca[[#Headers],[Ca]:[Kết thúc nghỉ]]),0)
),0,
IF(NOT(ISBLANK(AD$3)),
IF(ISBLANK(AD$7),0,
IF(AD$4 &lt; AD$5,
IF($AA49-$Z$4&lt;AD$4,0,
IF($AA49&gt;AD$5,0,
SUM(_xlfn._xlws.FILTER(Table_BangLuong_TyLeTangCa[Tỷ lệ],
(Table_BangLuong_TyLeTangCa[Ngày] = AD$3) *
(Table_BangLuong_TyLeTangCa[Giờ min]&lt;=$AA49) *
(Table_BangLuong_TyLeTangCa[Giờ max]&gt;$AA49)
)))),
IF(AND($AA49-$Z$4 &gt;= AD$5,$AA49 &lt; AD$4),0,
SUM(_xlfn._xlws.FILTER(Table_BangLuong_TyLeTangCa[Tỷ lệ],
(Table_BangLuong_TyLeTangCa[Ngày] = AD$3) *
(Table_BangLuong_TyLeTangCa[Giờ min]&lt;=$AA49) *
(Table_BangLuong_TyLeTangCa[Giờ max]&gt;$AA49)
))))
),
IF(ISBLANK(AD$7),
IF(VLOOKUP(AD$6, Table_ChiPhiNV_Ca[], COUNTA(Table_ChiPhiNV_Ca[[#Headers],[Ca]:[Kết thúc]]),0)&gt; VLOOKUP(AD$6, Table_ChiPhiNV_Ca[], COUNTA(Table_ChiPhiNV_Ca[[#Headers],[Ca]:[Bắt đầu]]),0),
IF($AA49-$Z$4&lt;MAX(AD$4,VLOOKUP(AD$6, Table_ChiPhiNV_Ca[], COUNTA(Table_ChiPhiNV_Ca[[#Headers],[Ca]:[Bắt đầu]]),0)),0,
IF($AA49&gt;MIN(AD$5,VLOOKUP(AD$6, Table_ChiPhiNV_Ca[], COUNTA(Table_ChiPhiNV_Ca[[#Headers],[Ca]:[Kết thúc]]),0)),0,
SUM(_xlfn._xlws.FILTER(Table_BangLuong_TyLeTangCa[Tỷ lệ],
(Table_BangLuong_TyLeTangCa[Ngày] = "Thường") *
(Table_BangLuong_TyLeTangCa[Giờ min]&lt;=$AA49) *
(Table_BangLuong_TyLeTangCa[Giờ max]&gt;$AA49)
)))),
IF(AD$4 &gt; AD$5,
IF(
AND(
$AA49-$Z$4&lt;MAX(AD$4,VLOOKUP(AD$6, Table_ChiPhiNV_Ca[], COUNTA(Table_ChiPhiNV_Ca[[#Headers],[Ca]:[Bắt đầu]]),0)),
$AA49&gt;MIN(AD$5,VLOOKUP(AD$6, Table_ChiPhiNV_Ca[], COUNTA(Table_ChiPhiNV_Ca[[#Headers],[Ca]:[Kết thúc]]),0))),0,
SUM(_xlfn._xlws.FILTER(Table_BangLuong_TyLeTangCa[Tỷ lệ],
(Table_BangLuong_TyLeTangCa[Ngày] = "Thường") *
(Table_BangLuong_TyLeTangCa[Giờ min]&lt;=$AA49) *
(Table_BangLuong_TyLeTangCa[Giờ max]&gt;$AA49)
))),
IF(
AND(
$AA49-$Z$4&gt;=MAX(AD$4,VLOOKUP(AD$6, Table_ChiPhiNV_Ca[], COUNTA(Table_ChiPhiNV_Ca[[#Headers],[Ca]:[Bắt đầu]]),0)),
$AA49&lt;MIN(AD$5,VLOOKUP(AD$6, Table_ChiPhiNV_Ca[], COUNTA(Table_ChiPhiNV_Ca[[#Headers],[Ca]:[Kết thúc]]),0))),
SUM(_xlfn._xlws.FILTER(Table_BangLuong_TyLeTangCa[Tỷ lệ],
(Table_BangLuong_TyLeTangCa[Ngày] = "Thường") *
(Table_BangLuong_TyLeTangCa[Giờ min]&lt;=$AA49) *
(Table_BangLuong_TyLeTangCa[Giờ max]&gt;$AA49)
)),0)
)),
IF(AD$4 &lt; AD$5,
IF($AA49-$Z$4&lt;AD$4,0,
IF($AA49&gt;AD$5,0,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AD$5,$AA49 &lt; AD$4),0,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E49" s="18" cm="1">
        <f t="array" ref="AE49" xml:space="preserve">
IFERROR(
IF(AE$1="",0,
IF(AND(
$AA49&gt;=VLOOKUP(AE$6, Table_ChiPhiNV_Ca[], COUNTA(Table_ChiPhiNV_Ca[[#Headers],[Ca]:[Bắt đầu nghỉ]]),0),
$AA49&lt;VLOOKUP(AE$6, Table_ChiPhiNV_Ca[], COUNTA(Table_ChiPhiNV_Ca[[#Headers],[Ca]:[Kết thúc nghỉ]]),0)
),0,
IF(NOT(ISBLANK(AE$3)),
IF(ISBLANK(AE$7),0,
IF(AE$4 &lt; AE$5,
IF($AA49-$Z$4&lt;AE$4,0,
IF($AA49&gt;AE$5,0,
SUM(_xlfn._xlws.FILTER(Table_BangLuong_TyLeTangCa[Tỷ lệ],
(Table_BangLuong_TyLeTangCa[Ngày] = AE$3) *
(Table_BangLuong_TyLeTangCa[Giờ min]&lt;=$AA49) *
(Table_BangLuong_TyLeTangCa[Giờ max]&gt;$AA49)
)))),
IF(AND($AA49-$Z$4 &gt;= AE$5,$AA49 &lt; AE$4),0,
SUM(_xlfn._xlws.FILTER(Table_BangLuong_TyLeTangCa[Tỷ lệ],
(Table_BangLuong_TyLeTangCa[Ngày] = AE$3) *
(Table_BangLuong_TyLeTangCa[Giờ min]&lt;=$AA49) *
(Table_BangLuong_TyLeTangCa[Giờ max]&gt;$AA49)
))))
),
IF(ISBLANK(AE$7),
IF(VLOOKUP(AE$6, Table_ChiPhiNV_Ca[], COUNTA(Table_ChiPhiNV_Ca[[#Headers],[Ca]:[Kết thúc]]),0)&gt; VLOOKUP(AE$6, Table_ChiPhiNV_Ca[], COUNTA(Table_ChiPhiNV_Ca[[#Headers],[Ca]:[Bắt đầu]]),0),
IF($AA49-$Z$4&lt;MAX(AE$4,VLOOKUP(AE$6, Table_ChiPhiNV_Ca[], COUNTA(Table_ChiPhiNV_Ca[[#Headers],[Ca]:[Bắt đầu]]),0)),0,
IF($AA49&gt;MIN(AE$5,VLOOKUP(AE$6, Table_ChiPhiNV_Ca[], COUNTA(Table_ChiPhiNV_Ca[[#Headers],[Ca]:[Kết thúc]]),0)),0,
SUM(_xlfn._xlws.FILTER(Table_BangLuong_TyLeTangCa[Tỷ lệ],
(Table_BangLuong_TyLeTangCa[Ngày] = "Thường") *
(Table_BangLuong_TyLeTangCa[Giờ min]&lt;=$AA49) *
(Table_BangLuong_TyLeTangCa[Giờ max]&gt;$AA49)
)))),
IF(AE$4 &gt; AE$5,
IF(
AND(
$AA49-$Z$4&lt;MAX(AE$4,VLOOKUP(AE$6, Table_ChiPhiNV_Ca[], COUNTA(Table_ChiPhiNV_Ca[[#Headers],[Ca]:[Bắt đầu]]),0)),
$AA49&gt;MIN(AE$5,VLOOKUP(AE$6, Table_ChiPhiNV_Ca[], COUNTA(Table_ChiPhiNV_Ca[[#Headers],[Ca]:[Kết thúc]]),0))),0,
SUM(_xlfn._xlws.FILTER(Table_BangLuong_TyLeTangCa[Tỷ lệ],
(Table_BangLuong_TyLeTangCa[Ngày] = "Thường") *
(Table_BangLuong_TyLeTangCa[Giờ min]&lt;=$AA49) *
(Table_BangLuong_TyLeTangCa[Giờ max]&gt;$AA49)
))),
IF(
AND(
$AA49-$Z$4&gt;=MAX(AE$4,VLOOKUP(AE$6, Table_ChiPhiNV_Ca[], COUNTA(Table_ChiPhiNV_Ca[[#Headers],[Ca]:[Bắt đầu]]),0)),
$AA49&lt;MIN(AE$5,VLOOKUP(AE$6, Table_ChiPhiNV_Ca[], COUNTA(Table_ChiPhiNV_Ca[[#Headers],[Ca]:[Kết thúc]]),0))),
SUM(_xlfn._xlws.FILTER(Table_BangLuong_TyLeTangCa[Tỷ lệ],
(Table_BangLuong_TyLeTangCa[Ngày] = "Thường") *
(Table_BangLuong_TyLeTangCa[Giờ min]&lt;=$AA49) *
(Table_BangLuong_TyLeTangCa[Giờ max]&gt;$AA49)
)),0)
)),
IF(AE$4 &lt; AE$5,
IF($AA49-$Z$4&lt;AE$4,0,
IF($AA49&gt;AE$5,0,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AE$5,$AA49 &lt; AE$4),0,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F49" s="18" cm="1">
        <f t="array" ref="AF49" xml:space="preserve">
IFERROR(
IF(AF$1="",0,
IF(AND(
$AA49&gt;=VLOOKUP(AF$6, Table_ChiPhiNV_Ca[], COUNTA(Table_ChiPhiNV_Ca[[#Headers],[Ca]:[Bắt đầu nghỉ]]),0),
$AA49&lt;VLOOKUP(AF$6, Table_ChiPhiNV_Ca[], COUNTA(Table_ChiPhiNV_Ca[[#Headers],[Ca]:[Kết thúc nghỉ]]),0)
),0,
IF(NOT(ISBLANK(AF$3)),
IF(ISBLANK(AF$7),0,
IF(AF$4 &lt; AF$5,
IF($AA49-$Z$4&lt;AF$4,0,
IF($AA49&gt;AF$5,0,
SUM(_xlfn._xlws.FILTER(Table_BangLuong_TyLeTangCa[Tỷ lệ],
(Table_BangLuong_TyLeTangCa[Ngày] = AF$3) *
(Table_BangLuong_TyLeTangCa[Giờ min]&lt;=$AA49) *
(Table_BangLuong_TyLeTangCa[Giờ max]&gt;$AA49)
)))),
IF(AND($AA49-$Z$4 &gt;= AF$5,$AA49 &lt; AF$4),0,
SUM(_xlfn._xlws.FILTER(Table_BangLuong_TyLeTangCa[Tỷ lệ],
(Table_BangLuong_TyLeTangCa[Ngày] = AF$3) *
(Table_BangLuong_TyLeTangCa[Giờ min]&lt;=$AA49) *
(Table_BangLuong_TyLeTangCa[Giờ max]&gt;$AA49)
))))
),
IF(ISBLANK(AF$7),
IF(VLOOKUP(AF$6, Table_ChiPhiNV_Ca[], COUNTA(Table_ChiPhiNV_Ca[[#Headers],[Ca]:[Kết thúc]]),0)&gt; VLOOKUP(AF$6, Table_ChiPhiNV_Ca[], COUNTA(Table_ChiPhiNV_Ca[[#Headers],[Ca]:[Bắt đầu]]),0),
IF($AA49-$Z$4&lt;MAX(AF$4,VLOOKUP(AF$6, Table_ChiPhiNV_Ca[], COUNTA(Table_ChiPhiNV_Ca[[#Headers],[Ca]:[Bắt đầu]]),0)),0,
IF($AA49&gt;MIN(AF$5,VLOOKUP(AF$6, Table_ChiPhiNV_Ca[], COUNTA(Table_ChiPhiNV_Ca[[#Headers],[Ca]:[Kết thúc]]),0)),0,
SUM(_xlfn._xlws.FILTER(Table_BangLuong_TyLeTangCa[Tỷ lệ],
(Table_BangLuong_TyLeTangCa[Ngày] = "Thường") *
(Table_BangLuong_TyLeTangCa[Giờ min]&lt;=$AA49) *
(Table_BangLuong_TyLeTangCa[Giờ max]&gt;$AA49)
)))),
IF(AF$4 &gt; AF$5,
IF(
AND(
$AA49-$Z$4&lt;MAX(AF$4,VLOOKUP(AF$6, Table_ChiPhiNV_Ca[], COUNTA(Table_ChiPhiNV_Ca[[#Headers],[Ca]:[Bắt đầu]]),0)),
$AA49&gt;MIN(AF$5,VLOOKUP(AF$6, Table_ChiPhiNV_Ca[], COUNTA(Table_ChiPhiNV_Ca[[#Headers],[Ca]:[Kết thúc]]),0))),0,
SUM(_xlfn._xlws.FILTER(Table_BangLuong_TyLeTangCa[Tỷ lệ],
(Table_BangLuong_TyLeTangCa[Ngày] = "Thường") *
(Table_BangLuong_TyLeTangCa[Giờ min]&lt;=$AA49) *
(Table_BangLuong_TyLeTangCa[Giờ max]&gt;$AA49)
))),
IF(
AND(
$AA49-$Z$4&gt;=MAX(AF$4,VLOOKUP(AF$6, Table_ChiPhiNV_Ca[], COUNTA(Table_ChiPhiNV_Ca[[#Headers],[Ca]:[Bắt đầu]]),0)),
$AA49&lt;MIN(AF$5,VLOOKUP(AF$6, Table_ChiPhiNV_Ca[], COUNTA(Table_ChiPhiNV_Ca[[#Headers],[Ca]:[Kết thúc]]),0))),
SUM(_xlfn._xlws.FILTER(Table_BangLuong_TyLeTangCa[Tỷ lệ],
(Table_BangLuong_TyLeTangCa[Ngày] = "Thường") *
(Table_BangLuong_TyLeTangCa[Giờ min]&lt;=$AA49) *
(Table_BangLuong_TyLeTangCa[Giờ max]&gt;$AA49)
)),0)
)),
IF(AF$4 &lt; AF$5,
IF($AA49-$Z$4&lt;AF$4,0,
IF($AA49&gt;AF$5,0,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AF$5,$AA49 &lt; AF$4),0,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G49" s="18" cm="1">
        <f t="array" ref="AG49" xml:space="preserve">
IFERROR(
IF(AG$1="",0,
IF(AND(
$AA49&gt;=VLOOKUP(AG$6, Table_ChiPhiNV_Ca[], COUNTA(Table_ChiPhiNV_Ca[[#Headers],[Ca]:[Bắt đầu nghỉ]]),0),
$AA49&lt;VLOOKUP(AG$6, Table_ChiPhiNV_Ca[], COUNTA(Table_ChiPhiNV_Ca[[#Headers],[Ca]:[Kết thúc nghỉ]]),0)
),0,
IF(NOT(ISBLANK(AG$3)),
IF(ISBLANK(AG$7),0,
IF(AG$4 &lt; AG$5,
IF($AA49-$Z$4&lt;AG$4,0,
IF($AA49&gt;AG$5,0,
SUM(_xlfn._xlws.FILTER(Table_BangLuong_TyLeTangCa[Tỷ lệ],
(Table_BangLuong_TyLeTangCa[Ngày] = AG$3) *
(Table_BangLuong_TyLeTangCa[Giờ min]&lt;=$AA49) *
(Table_BangLuong_TyLeTangCa[Giờ max]&gt;$AA49)
)))),
IF(AND($AA49-$Z$4 &gt;= AG$5,$AA49 &lt; AG$4),0,
SUM(_xlfn._xlws.FILTER(Table_BangLuong_TyLeTangCa[Tỷ lệ],
(Table_BangLuong_TyLeTangCa[Ngày] = AG$3) *
(Table_BangLuong_TyLeTangCa[Giờ min]&lt;=$AA49) *
(Table_BangLuong_TyLeTangCa[Giờ max]&gt;$AA49)
))))
),
IF(ISBLANK(AG$7),
IF(VLOOKUP(AG$6, Table_ChiPhiNV_Ca[], COUNTA(Table_ChiPhiNV_Ca[[#Headers],[Ca]:[Kết thúc]]),0)&gt; VLOOKUP(AG$6, Table_ChiPhiNV_Ca[], COUNTA(Table_ChiPhiNV_Ca[[#Headers],[Ca]:[Bắt đầu]]),0),
IF($AA49-$Z$4&lt;MAX(AG$4,VLOOKUP(AG$6, Table_ChiPhiNV_Ca[], COUNTA(Table_ChiPhiNV_Ca[[#Headers],[Ca]:[Bắt đầu]]),0)),0,
IF($AA49&gt;MIN(AG$5,VLOOKUP(AG$6, Table_ChiPhiNV_Ca[], COUNTA(Table_ChiPhiNV_Ca[[#Headers],[Ca]:[Kết thúc]]),0)),0,
SUM(_xlfn._xlws.FILTER(Table_BangLuong_TyLeTangCa[Tỷ lệ],
(Table_BangLuong_TyLeTangCa[Ngày] = "Thường") *
(Table_BangLuong_TyLeTangCa[Giờ min]&lt;=$AA49) *
(Table_BangLuong_TyLeTangCa[Giờ max]&gt;$AA49)
)))),
IF(AG$4 &gt; AG$5,
IF(
AND(
$AA49-$Z$4&lt;MAX(AG$4,VLOOKUP(AG$6, Table_ChiPhiNV_Ca[], COUNTA(Table_ChiPhiNV_Ca[[#Headers],[Ca]:[Bắt đầu]]),0)),
$AA49&gt;MIN(AG$5,VLOOKUP(AG$6, Table_ChiPhiNV_Ca[], COUNTA(Table_ChiPhiNV_Ca[[#Headers],[Ca]:[Kết thúc]]),0))),0,
SUM(_xlfn._xlws.FILTER(Table_BangLuong_TyLeTangCa[Tỷ lệ],
(Table_BangLuong_TyLeTangCa[Ngày] = "Thường") *
(Table_BangLuong_TyLeTangCa[Giờ min]&lt;=$AA49) *
(Table_BangLuong_TyLeTangCa[Giờ max]&gt;$AA49)
))),
IF(
AND(
$AA49-$Z$4&gt;=MAX(AG$4,VLOOKUP(AG$6, Table_ChiPhiNV_Ca[], COUNTA(Table_ChiPhiNV_Ca[[#Headers],[Ca]:[Bắt đầu]]),0)),
$AA49&lt;MIN(AG$5,VLOOKUP(AG$6, Table_ChiPhiNV_Ca[], COUNTA(Table_ChiPhiNV_Ca[[#Headers],[Ca]:[Kết thúc]]),0))),
SUM(_xlfn._xlws.FILTER(Table_BangLuong_TyLeTangCa[Tỷ lệ],
(Table_BangLuong_TyLeTangCa[Ngày] = "Thường") *
(Table_BangLuong_TyLeTangCa[Giờ min]&lt;=$AA49) *
(Table_BangLuong_TyLeTangCa[Giờ max]&gt;$AA49)
)),0)
)),
IF(AG$4 &lt; AG$5,
IF($AA49-$Z$4&lt;AG$4,0,
IF($AA49&gt;AG$5,0,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AG$5,$AA49 &lt; AG$4),0,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H49" s="18" cm="1">
        <f t="array" ref="AH49" xml:space="preserve">
IFERROR(
IF(AH$1="",0,
IF(AND(
$AA49&gt;=VLOOKUP(AH$6, Table_ChiPhiNV_Ca[], COUNTA(Table_ChiPhiNV_Ca[[#Headers],[Ca]:[Bắt đầu nghỉ]]),0),
$AA49&lt;VLOOKUP(AH$6, Table_ChiPhiNV_Ca[], COUNTA(Table_ChiPhiNV_Ca[[#Headers],[Ca]:[Kết thúc nghỉ]]),0)
),0,
IF(NOT(ISBLANK(AH$3)),
IF(ISBLANK(AH$7),0,
IF(AH$4 &lt; AH$5,
IF($AA49-$Z$4&lt;AH$4,0,
IF($AA49&gt;AH$5,0,
SUM(_xlfn._xlws.FILTER(Table_BangLuong_TyLeTangCa[Tỷ lệ],
(Table_BangLuong_TyLeTangCa[Ngày] = AH$3) *
(Table_BangLuong_TyLeTangCa[Giờ min]&lt;=$AA49) *
(Table_BangLuong_TyLeTangCa[Giờ max]&gt;$AA49)
)))),
IF(AND($AA49-$Z$4 &gt;= AH$5,$AA49 &lt; AH$4),0,
SUM(_xlfn._xlws.FILTER(Table_BangLuong_TyLeTangCa[Tỷ lệ],
(Table_BangLuong_TyLeTangCa[Ngày] = AH$3) *
(Table_BangLuong_TyLeTangCa[Giờ min]&lt;=$AA49) *
(Table_BangLuong_TyLeTangCa[Giờ max]&gt;$AA49)
))))
),
IF(ISBLANK(AH$7),
IF(VLOOKUP(AH$6, Table_ChiPhiNV_Ca[], COUNTA(Table_ChiPhiNV_Ca[[#Headers],[Ca]:[Kết thúc]]),0)&gt; VLOOKUP(AH$6, Table_ChiPhiNV_Ca[], COUNTA(Table_ChiPhiNV_Ca[[#Headers],[Ca]:[Bắt đầu]]),0),
IF($AA49-$Z$4&lt;MAX(AH$4,VLOOKUP(AH$6, Table_ChiPhiNV_Ca[], COUNTA(Table_ChiPhiNV_Ca[[#Headers],[Ca]:[Bắt đầu]]),0)),0,
IF($AA49&gt;MIN(AH$5,VLOOKUP(AH$6, Table_ChiPhiNV_Ca[], COUNTA(Table_ChiPhiNV_Ca[[#Headers],[Ca]:[Kết thúc]]),0)),0,
SUM(_xlfn._xlws.FILTER(Table_BangLuong_TyLeTangCa[Tỷ lệ],
(Table_BangLuong_TyLeTangCa[Ngày] = "Thường") *
(Table_BangLuong_TyLeTangCa[Giờ min]&lt;=$AA49) *
(Table_BangLuong_TyLeTangCa[Giờ max]&gt;$AA49)
)))),
IF(AH$4 &gt; AH$5,
IF(
AND(
$AA49-$Z$4&lt;MAX(AH$4,VLOOKUP(AH$6, Table_ChiPhiNV_Ca[], COUNTA(Table_ChiPhiNV_Ca[[#Headers],[Ca]:[Bắt đầu]]),0)),
$AA49&gt;MIN(AH$5,VLOOKUP(AH$6, Table_ChiPhiNV_Ca[], COUNTA(Table_ChiPhiNV_Ca[[#Headers],[Ca]:[Kết thúc]]),0))),0,
SUM(_xlfn._xlws.FILTER(Table_BangLuong_TyLeTangCa[Tỷ lệ],
(Table_BangLuong_TyLeTangCa[Ngày] = "Thường") *
(Table_BangLuong_TyLeTangCa[Giờ min]&lt;=$AA49) *
(Table_BangLuong_TyLeTangCa[Giờ max]&gt;$AA49)
))),
IF(
AND(
$AA49-$Z$4&gt;=MAX(AH$4,VLOOKUP(AH$6, Table_ChiPhiNV_Ca[], COUNTA(Table_ChiPhiNV_Ca[[#Headers],[Ca]:[Bắt đầu]]),0)),
$AA49&lt;MIN(AH$5,VLOOKUP(AH$6, Table_ChiPhiNV_Ca[], COUNTA(Table_ChiPhiNV_Ca[[#Headers],[Ca]:[Kết thúc]]),0))),
SUM(_xlfn._xlws.FILTER(Table_BangLuong_TyLeTangCa[Tỷ lệ],
(Table_BangLuong_TyLeTangCa[Ngày] = "Thường") *
(Table_BangLuong_TyLeTangCa[Giờ min]&lt;=$AA49) *
(Table_BangLuong_TyLeTangCa[Giờ max]&gt;$AA49)
)),0)
)),
IF(AH$4 &lt; AH$5,
IF($AA49-$Z$4&lt;AH$4,0,
IF($AA49&gt;AH$5,0,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AH$5,$AA49 &lt; AH$4),0,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I49" s="18" cm="1">
        <f t="array" ref="AI49" xml:space="preserve">
IFERROR(
IF(AI$1="",0,
IF(AND(
$AA49&gt;=VLOOKUP(AI$6, Table_ChiPhiNV_Ca[], COUNTA(Table_ChiPhiNV_Ca[[#Headers],[Ca]:[Bắt đầu nghỉ]]),0),
$AA49&lt;VLOOKUP(AI$6, Table_ChiPhiNV_Ca[], COUNTA(Table_ChiPhiNV_Ca[[#Headers],[Ca]:[Kết thúc nghỉ]]),0)
),0,
IF(NOT(ISBLANK(AI$3)),
IF(ISBLANK(AI$7),0,
IF(AI$4 &lt; AI$5,
IF($AA49-$Z$4&lt;AI$4,0,
IF($AA49&gt;AI$5,0,
SUM(_xlfn._xlws.FILTER(Table_BangLuong_TyLeTangCa[Tỷ lệ],
(Table_BangLuong_TyLeTangCa[Ngày] = AI$3) *
(Table_BangLuong_TyLeTangCa[Giờ min]&lt;=$AA49) *
(Table_BangLuong_TyLeTangCa[Giờ max]&gt;$AA49)
)))),
IF(AND($AA49-$Z$4 &gt;= AI$5,$AA49 &lt; AI$4),0,
SUM(_xlfn._xlws.FILTER(Table_BangLuong_TyLeTangCa[Tỷ lệ],
(Table_BangLuong_TyLeTangCa[Ngày] = AI$3) *
(Table_BangLuong_TyLeTangCa[Giờ min]&lt;=$AA49) *
(Table_BangLuong_TyLeTangCa[Giờ max]&gt;$AA49)
))))
),
IF(ISBLANK(AI$7),
IF(VLOOKUP(AI$6, Table_ChiPhiNV_Ca[], COUNTA(Table_ChiPhiNV_Ca[[#Headers],[Ca]:[Kết thúc]]),0)&gt; VLOOKUP(AI$6, Table_ChiPhiNV_Ca[], COUNTA(Table_ChiPhiNV_Ca[[#Headers],[Ca]:[Bắt đầu]]),0),
IF($AA49-$Z$4&lt;MAX(AI$4,VLOOKUP(AI$6, Table_ChiPhiNV_Ca[], COUNTA(Table_ChiPhiNV_Ca[[#Headers],[Ca]:[Bắt đầu]]),0)),0,
IF($AA49&gt;MIN(AI$5,VLOOKUP(AI$6, Table_ChiPhiNV_Ca[], COUNTA(Table_ChiPhiNV_Ca[[#Headers],[Ca]:[Kết thúc]]),0)),0,
SUM(_xlfn._xlws.FILTER(Table_BangLuong_TyLeTangCa[Tỷ lệ],
(Table_BangLuong_TyLeTangCa[Ngày] = "Thường") *
(Table_BangLuong_TyLeTangCa[Giờ min]&lt;=$AA49) *
(Table_BangLuong_TyLeTangCa[Giờ max]&gt;$AA49)
)))),
IF(AI$4 &gt; AI$5,
IF(
AND(
$AA49-$Z$4&lt;MAX(AI$4,VLOOKUP(AI$6, Table_ChiPhiNV_Ca[], COUNTA(Table_ChiPhiNV_Ca[[#Headers],[Ca]:[Bắt đầu]]),0)),
$AA49&gt;MIN(AI$5,VLOOKUP(AI$6, Table_ChiPhiNV_Ca[], COUNTA(Table_ChiPhiNV_Ca[[#Headers],[Ca]:[Kết thúc]]),0))),0,
SUM(_xlfn._xlws.FILTER(Table_BangLuong_TyLeTangCa[Tỷ lệ],
(Table_BangLuong_TyLeTangCa[Ngày] = "Thường") *
(Table_BangLuong_TyLeTangCa[Giờ min]&lt;=$AA49) *
(Table_BangLuong_TyLeTangCa[Giờ max]&gt;$AA49)
))),
IF(
AND(
$AA49-$Z$4&gt;=MAX(AI$4,VLOOKUP(AI$6, Table_ChiPhiNV_Ca[], COUNTA(Table_ChiPhiNV_Ca[[#Headers],[Ca]:[Bắt đầu]]),0)),
$AA49&lt;MIN(AI$5,VLOOKUP(AI$6, Table_ChiPhiNV_Ca[], COUNTA(Table_ChiPhiNV_Ca[[#Headers],[Ca]:[Kết thúc]]),0))),
SUM(_xlfn._xlws.FILTER(Table_BangLuong_TyLeTangCa[Tỷ lệ],
(Table_BangLuong_TyLeTangCa[Ngày] = "Thường") *
(Table_BangLuong_TyLeTangCa[Giờ min]&lt;=$AA49) *
(Table_BangLuong_TyLeTangCa[Giờ max]&gt;$AA49)
)),0)
)),
IF(AI$4 &lt; AI$5,
IF($AA49-$Z$4&lt;AI$4,0,
IF($AA49&gt;AI$5,0,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AI$5,$AA49 &lt; AI$4),0,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J49" s="18" cm="1">
        <f t="array" ref="AJ49" xml:space="preserve">
IFERROR(
IF(AJ$1="",0,
IF(AND(
$AA49&gt;=VLOOKUP(AJ$6, Table_ChiPhiNV_Ca[], COUNTA(Table_ChiPhiNV_Ca[[#Headers],[Ca]:[Bắt đầu nghỉ]]),0),
$AA49&lt;VLOOKUP(AJ$6, Table_ChiPhiNV_Ca[], COUNTA(Table_ChiPhiNV_Ca[[#Headers],[Ca]:[Kết thúc nghỉ]]),0)
),0,
IF(NOT(ISBLANK(AJ$3)),
IF(ISBLANK(AJ$7),0,
IF(AJ$4 &lt; AJ$5,
IF($AA49-$Z$4&lt;AJ$4,0,
IF($AA49&gt;AJ$5,0,
SUM(_xlfn._xlws.FILTER(Table_BangLuong_TyLeTangCa[Tỷ lệ],
(Table_BangLuong_TyLeTangCa[Ngày] = AJ$3) *
(Table_BangLuong_TyLeTangCa[Giờ min]&lt;=$AA49) *
(Table_BangLuong_TyLeTangCa[Giờ max]&gt;$AA49)
)))),
IF(AND($AA49-$Z$4 &gt;= AJ$5,$AA49 &lt; AJ$4),0,
SUM(_xlfn._xlws.FILTER(Table_BangLuong_TyLeTangCa[Tỷ lệ],
(Table_BangLuong_TyLeTangCa[Ngày] = AJ$3) *
(Table_BangLuong_TyLeTangCa[Giờ min]&lt;=$AA49) *
(Table_BangLuong_TyLeTangCa[Giờ max]&gt;$AA49)
))))
),
IF(ISBLANK(AJ$7),
IF(VLOOKUP(AJ$6, Table_ChiPhiNV_Ca[], COUNTA(Table_ChiPhiNV_Ca[[#Headers],[Ca]:[Kết thúc]]),0)&gt; VLOOKUP(AJ$6, Table_ChiPhiNV_Ca[], COUNTA(Table_ChiPhiNV_Ca[[#Headers],[Ca]:[Bắt đầu]]),0),
IF($AA49-$Z$4&lt;MAX(AJ$4,VLOOKUP(AJ$6, Table_ChiPhiNV_Ca[], COUNTA(Table_ChiPhiNV_Ca[[#Headers],[Ca]:[Bắt đầu]]),0)),0,
IF($AA49&gt;MIN(AJ$5,VLOOKUP(AJ$6, Table_ChiPhiNV_Ca[], COUNTA(Table_ChiPhiNV_Ca[[#Headers],[Ca]:[Kết thúc]]),0)),0,
SUM(_xlfn._xlws.FILTER(Table_BangLuong_TyLeTangCa[Tỷ lệ],
(Table_BangLuong_TyLeTangCa[Ngày] = "Thường") *
(Table_BangLuong_TyLeTangCa[Giờ min]&lt;=$AA49) *
(Table_BangLuong_TyLeTangCa[Giờ max]&gt;$AA49)
)))),
IF(AJ$4 &gt; AJ$5,
IF(
AND(
$AA49-$Z$4&lt;MAX(AJ$4,VLOOKUP(AJ$6, Table_ChiPhiNV_Ca[], COUNTA(Table_ChiPhiNV_Ca[[#Headers],[Ca]:[Bắt đầu]]),0)),
$AA49&gt;MIN(AJ$5,VLOOKUP(AJ$6, Table_ChiPhiNV_Ca[], COUNTA(Table_ChiPhiNV_Ca[[#Headers],[Ca]:[Kết thúc]]),0))),0,
SUM(_xlfn._xlws.FILTER(Table_BangLuong_TyLeTangCa[Tỷ lệ],
(Table_BangLuong_TyLeTangCa[Ngày] = "Thường") *
(Table_BangLuong_TyLeTangCa[Giờ min]&lt;=$AA49) *
(Table_BangLuong_TyLeTangCa[Giờ max]&gt;$AA49)
))),
IF(
AND(
$AA49-$Z$4&gt;=MAX(AJ$4,VLOOKUP(AJ$6, Table_ChiPhiNV_Ca[], COUNTA(Table_ChiPhiNV_Ca[[#Headers],[Ca]:[Bắt đầu]]),0)),
$AA49&lt;MIN(AJ$5,VLOOKUP(AJ$6, Table_ChiPhiNV_Ca[], COUNTA(Table_ChiPhiNV_Ca[[#Headers],[Ca]:[Kết thúc]]),0))),
SUM(_xlfn._xlws.FILTER(Table_BangLuong_TyLeTangCa[Tỷ lệ],
(Table_BangLuong_TyLeTangCa[Ngày] = "Thường") *
(Table_BangLuong_TyLeTangCa[Giờ min]&lt;=$AA49) *
(Table_BangLuong_TyLeTangCa[Giờ max]&gt;$AA49)
)),0)
)),
IF(AJ$4 &lt; AJ$5,
IF($AA49-$Z$4&lt;AJ$4,0,
IF($AA49&gt;AJ$5,0,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AJ$5,$AA49 &lt; AJ$4),0,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K49" s="18" cm="1">
        <f t="array" ref="AK49" xml:space="preserve">
IFERROR(
IF(AK$1="",0,
IF(AND(
$AA49&gt;=VLOOKUP(AK$6, Table_ChiPhiNV_Ca[], COUNTA(Table_ChiPhiNV_Ca[[#Headers],[Ca]:[Bắt đầu nghỉ]]),0),
$AA49&lt;VLOOKUP(AK$6, Table_ChiPhiNV_Ca[], COUNTA(Table_ChiPhiNV_Ca[[#Headers],[Ca]:[Kết thúc nghỉ]]),0)
),0,
IF(NOT(ISBLANK(AK$3)),
IF(ISBLANK(AK$7),0,
IF(AK$4 &lt; AK$5,
IF($AA49-$Z$4&lt;AK$4,0,
IF($AA49&gt;AK$5,0,
SUM(_xlfn._xlws.FILTER(Table_BangLuong_TyLeTangCa[Tỷ lệ],
(Table_BangLuong_TyLeTangCa[Ngày] = AK$3) *
(Table_BangLuong_TyLeTangCa[Giờ min]&lt;=$AA49) *
(Table_BangLuong_TyLeTangCa[Giờ max]&gt;$AA49)
)))),
IF(AND($AA49-$Z$4 &gt;= AK$5,$AA49 &lt; AK$4),0,
SUM(_xlfn._xlws.FILTER(Table_BangLuong_TyLeTangCa[Tỷ lệ],
(Table_BangLuong_TyLeTangCa[Ngày] = AK$3) *
(Table_BangLuong_TyLeTangCa[Giờ min]&lt;=$AA49) *
(Table_BangLuong_TyLeTangCa[Giờ max]&gt;$AA49)
))))
),
IF(ISBLANK(AK$7),
IF(VLOOKUP(AK$6, Table_ChiPhiNV_Ca[], COUNTA(Table_ChiPhiNV_Ca[[#Headers],[Ca]:[Kết thúc]]),0)&gt; VLOOKUP(AK$6, Table_ChiPhiNV_Ca[], COUNTA(Table_ChiPhiNV_Ca[[#Headers],[Ca]:[Bắt đầu]]),0),
IF($AA49-$Z$4&lt;MAX(AK$4,VLOOKUP(AK$6, Table_ChiPhiNV_Ca[], COUNTA(Table_ChiPhiNV_Ca[[#Headers],[Ca]:[Bắt đầu]]),0)),0,
IF($AA49&gt;MIN(AK$5,VLOOKUP(AK$6, Table_ChiPhiNV_Ca[], COUNTA(Table_ChiPhiNV_Ca[[#Headers],[Ca]:[Kết thúc]]),0)),0,
SUM(_xlfn._xlws.FILTER(Table_BangLuong_TyLeTangCa[Tỷ lệ],
(Table_BangLuong_TyLeTangCa[Ngày] = "Thường") *
(Table_BangLuong_TyLeTangCa[Giờ min]&lt;=$AA49) *
(Table_BangLuong_TyLeTangCa[Giờ max]&gt;$AA49)
)))),
IF(AK$4 &gt; AK$5,
IF(
AND(
$AA49-$Z$4&lt;MAX(AK$4,VLOOKUP(AK$6, Table_ChiPhiNV_Ca[], COUNTA(Table_ChiPhiNV_Ca[[#Headers],[Ca]:[Bắt đầu]]),0)),
$AA49&gt;MIN(AK$5,VLOOKUP(AK$6, Table_ChiPhiNV_Ca[], COUNTA(Table_ChiPhiNV_Ca[[#Headers],[Ca]:[Kết thúc]]),0))),0,
SUM(_xlfn._xlws.FILTER(Table_BangLuong_TyLeTangCa[Tỷ lệ],
(Table_BangLuong_TyLeTangCa[Ngày] = "Thường") *
(Table_BangLuong_TyLeTangCa[Giờ min]&lt;=$AA49) *
(Table_BangLuong_TyLeTangCa[Giờ max]&gt;$AA49)
))),
IF(
AND(
$AA49-$Z$4&gt;=MAX(AK$4,VLOOKUP(AK$6, Table_ChiPhiNV_Ca[], COUNTA(Table_ChiPhiNV_Ca[[#Headers],[Ca]:[Bắt đầu]]),0)),
$AA49&lt;MIN(AK$5,VLOOKUP(AK$6, Table_ChiPhiNV_Ca[], COUNTA(Table_ChiPhiNV_Ca[[#Headers],[Ca]:[Kết thúc]]),0))),
SUM(_xlfn._xlws.FILTER(Table_BangLuong_TyLeTangCa[Tỷ lệ],
(Table_BangLuong_TyLeTangCa[Ngày] = "Thường") *
(Table_BangLuong_TyLeTangCa[Giờ min]&lt;=$AA49) *
(Table_BangLuong_TyLeTangCa[Giờ max]&gt;$AA49)
)),0)
)),
IF(AK$4 &lt; AK$5,
IF($AA49-$Z$4&lt;AK$4,0,
IF($AA49&gt;AK$5,0,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AK$5,$AA49 &lt; AK$4),0,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L49" s="18" cm="1">
        <f t="array" ref="AL49" xml:space="preserve">
IFERROR(
IF(AL$1="",0,
IF(AND(
$AA49&gt;=VLOOKUP(AL$6, Table_ChiPhiNV_Ca[], COUNTA(Table_ChiPhiNV_Ca[[#Headers],[Ca]:[Bắt đầu nghỉ]]),0),
$AA49&lt;VLOOKUP(AL$6, Table_ChiPhiNV_Ca[], COUNTA(Table_ChiPhiNV_Ca[[#Headers],[Ca]:[Kết thúc nghỉ]]),0)
),0,
IF(NOT(ISBLANK(AL$3)),
IF(ISBLANK(AL$7),0,
IF(AL$4 &lt; AL$5,
IF($AA49-$Z$4&lt;AL$4,0,
IF($AA49&gt;AL$5,0,
SUM(_xlfn._xlws.FILTER(Table_BangLuong_TyLeTangCa[Tỷ lệ],
(Table_BangLuong_TyLeTangCa[Ngày] = AL$3) *
(Table_BangLuong_TyLeTangCa[Giờ min]&lt;=$AA49) *
(Table_BangLuong_TyLeTangCa[Giờ max]&gt;$AA49)
)))),
IF(AND($AA49-$Z$4 &gt;= AL$5,$AA49 &lt; AL$4),0,
SUM(_xlfn._xlws.FILTER(Table_BangLuong_TyLeTangCa[Tỷ lệ],
(Table_BangLuong_TyLeTangCa[Ngày] = AL$3) *
(Table_BangLuong_TyLeTangCa[Giờ min]&lt;=$AA49) *
(Table_BangLuong_TyLeTangCa[Giờ max]&gt;$AA49)
))))
),
IF(ISBLANK(AL$7),
IF(VLOOKUP(AL$6, Table_ChiPhiNV_Ca[], COUNTA(Table_ChiPhiNV_Ca[[#Headers],[Ca]:[Kết thúc]]),0)&gt; VLOOKUP(AL$6, Table_ChiPhiNV_Ca[], COUNTA(Table_ChiPhiNV_Ca[[#Headers],[Ca]:[Bắt đầu]]),0),
IF($AA49-$Z$4&lt;MAX(AL$4,VLOOKUP(AL$6, Table_ChiPhiNV_Ca[], COUNTA(Table_ChiPhiNV_Ca[[#Headers],[Ca]:[Bắt đầu]]),0)),0,
IF($AA49&gt;MIN(AL$5,VLOOKUP(AL$6, Table_ChiPhiNV_Ca[], COUNTA(Table_ChiPhiNV_Ca[[#Headers],[Ca]:[Kết thúc]]),0)),0,
SUM(_xlfn._xlws.FILTER(Table_BangLuong_TyLeTangCa[Tỷ lệ],
(Table_BangLuong_TyLeTangCa[Ngày] = "Thường") *
(Table_BangLuong_TyLeTangCa[Giờ min]&lt;=$AA49) *
(Table_BangLuong_TyLeTangCa[Giờ max]&gt;$AA49)
)))),
IF(AL$4 &gt; AL$5,
IF(
AND(
$AA49-$Z$4&lt;MAX(AL$4,VLOOKUP(AL$6, Table_ChiPhiNV_Ca[], COUNTA(Table_ChiPhiNV_Ca[[#Headers],[Ca]:[Bắt đầu]]),0)),
$AA49&gt;MIN(AL$5,VLOOKUP(AL$6, Table_ChiPhiNV_Ca[], COUNTA(Table_ChiPhiNV_Ca[[#Headers],[Ca]:[Kết thúc]]),0))),0,
SUM(_xlfn._xlws.FILTER(Table_BangLuong_TyLeTangCa[Tỷ lệ],
(Table_BangLuong_TyLeTangCa[Ngày] = "Thường") *
(Table_BangLuong_TyLeTangCa[Giờ min]&lt;=$AA49) *
(Table_BangLuong_TyLeTangCa[Giờ max]&gt;$AA49)
))),
IF(
AND(
$AA49-$Z$4&gt;=MAX(AL$4,VLOOKUP(AL$6, Table_ChiPhiNV_Ca[], COUNTA(Table_ChiPhiNV_Ca[[#Headers],[Ca]:[Bắt đầu]]),0)),
$AA49&lt;MIN(AL$5,VLOOKUP(AL$6, Table_ChiPhiNV_Ca[], COUNTA(Table_ChiPhiNV_Ca[[#Headers],[Ca]:[Kết thúc]]),0))),
SUM(_xlfn._xlws.FILTER(Table_BangLuong_TyLeTangCa[Tỷ lệ],
(Table_BangLuong_TyLeTangCa[Ngày] = "Thường") *
(Table_BangLuong_TyLeTangCa[Giờ min]&lt;=$AA49) *
(Table_BangLuong_TyLeTangCa[Giờ max]&gt;$AA49)
)),0)
)),
IF(AL$4 &lt; AL$5,
IF($AA49-$Z$4&lt;AL$4,0,
IF($AA49&gt;AL$5,0,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AL$5,$AA49 &lt; AL$4),0,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M49" s="18" cm="1">
        <f t="array" ref="AM49" xml:space="preserve">
IFERROR(
IF(AM$1="",0,
IF(AND(
$AA49&gt;=VLOOKUP(AM$6, Table_ChiPhiNV_Ca[], COUNTA(Table_ChiPhiNV_Ca[[#Headers],[Ca]:[Bắt đầu nghỉ]]),0),
$AA49&lt;VLOOKUP(AM$6, Table_ChiPhiNV_Ca[], COUNTA(Table_ChiPhiNV_Ca[[#Headers],[Ca]:[Kết thúc nghỉ]]),0)
),0,
IF(NOT(ISBLANK(AM$3)),
IF(ISBLANK(AM$7),0,
IF(AM$4 &lt; AM$5,
IF($AA49-$Z$4&lt;AM$4,0,
IF($AA49&gt;AM$5,0,
SUM(_xlfn._xlws.FILTER(Table_BangLuong_TyLeTangCa[Tỷ lệ],
(Table_BangLuong_TyLeTangCa[Ngày] = AM$3) *
(Table_BangLuong_TyLeTangCa[Giờ min]&lt;=$AA49) *
(Table_BangLuong_TyLeTangCa[Giờ max]&gt;$AA49)
)))),
IF(AND($AA49-$Z$4 &gt;= AM$5,$AA49 &lt; AM$4),0,
SUM(_xlfn._xlws.FILTER(Table_BangLuong_TyLeTangCa[Tỷ lệ],
(Table_BangLuong_TyLeTangCa[Ngày] = AM$3) *
(Table_BangLuong_TyLeTangCa[Giờ min]&lt;=$AA49) *
(Table_BangLuong_TyLeTangCa[Giờ max]&gt;$AA49)
))))
),
IF(ISBLANK(AM$7),
IF(VLOOKUP(AM$6, Table_ChiPhiNV_Ca[], COUNTA(Table_ChiPhiNV_Ca[[#Headers],[Ca]:[Kết thúc]]),0)&gt; VLOOKUP(AM$6, Table_ChiPhiNV_Ca[], COUNTA(Table_ChiPhiNV_Ca[[#Headers],[Ca]:[Bắt đầu]]),0),
IF($AA49-$Z$4&lt;MAX(AM$4,VLOOKUP(AM$6, Table_ChiPhiNV_Ca[], COUNTA(Table_ChiPhiNV_Ca[[#Headers],[Ca]:[Bắt đầu]]),0)),0,
IF($AA49&gt;MIN(AM$5,VLOOKUP(AM$6, Table_ChiPhiNV_Ca[], COUNTA(Table_ChiPhiNV_Ca[[#Headers],[Ca]:[Kết thúc]]),0)),0,
SUM(_xlfn._xlws.FILTER(Table_BangLuong_TyLeTangCa[Tỷ lệ],
(Table_BangLuong_TyLeTangCa[Ngày] = "Thường") *
(Table_BangLuong_TyLeTangCa[Giờ min]&lt;=$AA49) *
(Table_BangLuong_TyLeTangCa[Giờ max]&gt;$AA49)
)))),
IF(AM$4 &gt; AM$5,
IF(
AND(
$AA49-$Z$4&lt;MAX(AM$4,VLOOKUP(AM$6, Table_ChiPhiNV_Ca[], COUNTA(Table_ChiPhiNV_Ca[[#Headers],[Ca]:[Bắt đầu]]),0)),
$AA49&gt;MIN(AM$5,VLOOKUP(AM$6, Table_ChiPhiNV_Ca[], COUNTA(Table_ChiPhiNV_Ca[[#Headers],[Ca]:[Kết thúc]]),0))),0,
SUM(_xlfn._xlws.FILTER(Table_BangLuong_TyLeTangCa[Tỷ lệ],
(Table_BangLuong_TyLeTangCa[Ngày] = "Thường") *
(Table_BangLuong_TyLeTangCa[Giờ min]&lt;=$AA49) *
(Table_BangLuong_TyLeTangCa[Giờ max]&gt;$AA49)
))),
IF(
AND(
$AA49-$Z$4&gt;=MAX(AM$4,VLOOKUP(AM$6, Table_ChiPhiNV_Ca[], COUNTA(Table_ChiPhiNV_Ca[[#Headers],[Ca]:[Bắt đầu]]),0)),
$AA49&lt;MIN(AM$5,VLOOKUP(AM$6, Table_ChiPhiNV_Ca[], COUNTA(Table_ChiPhiNV_Ca[[#Headers],[Ca]:[Kết thúc]]),0))),
SUM(_xlfn._xlws.FILTER(Table_BangLuong_TyLeTangCa[Tỷ lệ],
(Table_BangLuong_TyLeTangCa[Ngày] = "Thường") *
(Table_BangLuong_TyLeTangCa[Giờ min]&lt;=$AA49) *
(Table_BangLuong_TyLeTangCa[Giờ max]&gt;$AA49)
)),0)
)),
IF(AM$4 &lt; AM$5,
IF($AA49-$Z$4&lt;AM$4,0,
IF($AA49&gt;AM$5,0,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AM$5,$AA49 &lt; AM$4),0,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N49" s="18" cm="1">
        <f t="array" ref="AN49" xml:space="preserve">
IFERROR(
IF(AN$1="",0,
IF(AND(
$AA49&gt;=VLOOKUP(AN$6, Table_ChiPhiNV_Ca[], COUNTA(Table_ChiPhiNV_Ca[[#Headers],[Ca]:[Bắt đầu nghỉ]]),0),
$AA49&lt;VLOOKUP(AN$6, Table_ChiPhiNV_Ca[], COUNTA(Table_ChiPhiNV_Ca[[#Headers],[Ca]:[Kết thúc nghỉ]]),0)
),0,
IF(NOT(ISBLANK(AN$3)),
IF(ISBLANK(AN$7),0,
IF(AN$4 &lt; AN$5,
IF($AA49-$Z$4&lt;AN$4,0,
IF($AA49&gt;AN$5,0,
SUM(_xlfn._xlws.FILTER(Table_BangLuong_TyLeTangCa[Tỷ lệ],
(Table_BangLuong_TyLeTangCa[Ngày] = AN$3) *
(Table_BangLuong_TyLeTangCa[Giờ min]&lt;=$AA49) *
(Table_BangLuong_TyLeTangCa[Giờ max]&gt;$AA49)
)))),
IF(AND($AA49-$Z$4 &gt;= AN$5,$AA49 &lt; AN$4),0,
SUM(_xlfn._xlws.FILTER(Table_BangLuong_TyLeTangCa[Tỷ lệ],
(Table_BangLuong_TyLeTangCa[Ngày] = AN$3) *
(Table_BangLuong_TyLeTangCa[Giờ min]&lt;=$AA49) *
(Table_BangLuong_TyLeTangCa[Giờ max]&gt;$AA49)
))))
),
IF(ISBLANK(AN$7),
IF(VLOOKUP(AN$6, Table_ChiPhiNV_Ca[], COUNTA(Table_ChiPhiNV_Ca[[#Headers],[Ca]:[Kết thúc]]),0)&gt; VLOOKUP(AN$6, Table_ChiPhiNV_Ca[], COUNTA(Table_ChiPhiNV_Ca[[#Headers],[Ca]:[Bắt đầu]]),0),
IF($AA49-$Z$4&lt;MAX(AN$4,VLOOKUP(AN$6, Table_ChiPhiNV_Ca[], COUNTA(Table_ChiPhiNV_Ca[[#Headers],[Ca]:[Bắt đầu]]),0)),0,
IF($AA49&gt;MIN(AN$5,VLOOKUP(AN$6, Table_ChiPhiNV_Ca[], COUNTA(Table_ChiPhiNV_Ca[[#Headers],[Ca]:[Kết thúc]]),0)),0,
SUM(_xlfn._xlws.FILTER(Table_BangLuong_TyLeTangCa[Tỷ lệ],
(Table_BangLuong_TyLeTangCa[Ngày] = "Thường") *
(Table_BangLuong_TyLeTangCa[Giờ min]&lt;=$AA49) *
(Table_BangLuong_TyLeTangCa[Giờ max]&gt;$AA49)
)))),
IF(AN$4 &gt; AN$5,
IF(
AND(
$AA49-$Z$4&lt;MAX(AN$4,VLOOKUP(AN$6, Table_ChiPhiNV_Ca[], COUNTA(Table_ChiPhiNV_Ca[[#Headers],[Ca]:[Bắt đầu]]),0)),
$AA49&gt;MIN(AN$5,VLOOKUP(AN$6, Table_ChiPhiNV_Ca[], COUNTA(Table_ChiPhiNV_Ca[[#Headers],[Ca]:[Kết thúc]]),0))),0,
SUM(_xlfn._xlws.FILTER(Table_BangLuong_TyLeTangCa[Tỷ lệ],
(Table_BangLuong_TyLeTangCa[Ngày] = "Thường") *
(Table_BangLuong_TyLeTangCa[Giờ min]&lt;=$AA49) *
(Table_BangLuong_TyLeTangCa[Giờ max]&gt;$AA49)
))),
IF(
AND(
$AA49-$Z$4&gt;=MAX(AN$4,VLOOKUP(AN$6, Table_ChiPhiNV_Ca[], COUNTA(Table_ChiPhiNV_Ca[[#Headers],[Ca]:[Bắt đầu]]),0)),
$AA49&lt;MIN(AN$5,VLOOKUP(AN$6, Table_ChiPhiNV_Ca[], COUNTA(Table_ChiPhiNV_Ca[[#Headers],[Ca]:[Kết thúc]]),0))),
SUM(_xlfn._xlws.FILTER(Table_BangLuong_TyLeTangCa[Tỷ lệ],
(Table_BangLuong_TyLeTangCa[Ngày] = "Thường") *
(Table_BangLuong_TyLeTangCa[Giờ min]&lt;=$AA49) *
(Table_BangLuong_TyLeTangCa[Giờ max]&gt;$AA49)
)),0)
)),
IF(AN$4 &lt; AN$5,
IF($AA49-$Z$4&lt;AN$4,0,
IF($AA49&gt;AN$5,0,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AN$5,$AA49 &lt; AN$4),0,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O49" s="18" cm="1">
        <f t="array" ref="AO49" xml:space="preserve">
IFERROR(
IF(AO$1="",0,
IF(AND(
$AA49&gt;=VLOOKUP(AO$6, Table_ChiPhiNV_Ca[], COUNTA(Table_ChiPhiNV_Ca[[#Headers],[Ca]:[Bắt đầu nghỉ]]),0),
$AA49&lt;VLOOKUP(AO$6, Table_ChiPhiNV_Ca[], COUNTA(Table_ChiPhiNV_Ca[[#Headers],[Ca]:[Kết thúc nghỉ]]),0)
),0,
IF(NOT(ISBLANK(AO$3)),
IF(ISBLANK(AO$7),0,
IF(AO$4 &lt; AO$5,
IF($AA49-$Z$4&lt;AO$4,0,
IF($AA49&gt;AO$5,0,
SUM(_xlfn._xlws.FILTER(Table_BangLuong_TyLeTangCa[Tỷ lệ],
(Table_BangLuong_TyLeTangCa[Ngày] = AO$3) *
(Table_BangLuong_TyLeTangCa[Giờ min]&lt;=$AA49) *
(Table_BangLuong_TyLeTangCa[Giờ max]&gt;$AA49)
)))),
IF(AND($AA49-$Z$4 &gt;= AO$5,$AA49 &lt; AO$4),0,
SUM(_xlfn._xlws.FILTER(Table_BangLuong_TyLeTangCa[Tỷ lệ],
(Table_BangLuong_TyLeTangCa[Ngày] = AO$3) *
(Table_BangLuong_TyLeTangCa[Giờ min]&lt;=$AA49) *
(Table_BangLuong_TyLeTangCa[Giờ max]&gt;$AA49)
))))
),
IF(ISBLANK(AO$7),
IF(VLOOKUP(AO$6, Table_ChiPhiNV_Ca[], COUNTA(Table_ChiPhiNV_Ca[[#Headers],[Ca]:[Kết thúc]]),0)&gt; VLOOKUP(AO$6, Table_ChiPhiNV_Ca[], COUNTA(Table_ChiPhiNV_Ca[[#Headers],[Ca]:[Bắt đầu]]),0),
IF($AA49-$Z$4&lt;MAX(AO$4,VLOOKUP(AO$6, Table_ChiPhiNV_Ca[], COUNTA(Table_ChiPhiNV_Ca[[#Headers],[Ca]:[Bắt đầu]]),0)),0,
IF($AA49&gt;MIN(AO$5,VLOOKUP(AO$6, Table_ChiPhiNV_Ca[], COUNTA(Table_ChiPhiNV_Ca[[#Headers],[Ca]:[Kết thúc]]),0)),0,
SUM(_xlfn._xlws.FILTER(Table_BangLuong_TyLeTangCa[Tỷ lệ],
(Table_BangLuong_TyLeTangCa[Ngày] = "Thường") *
(Table_BangLuong_TyLeTangCa[Giờ min]&lt;=$AA49) *
(Table_BangLuong_TyLeTangCa[Giờ max]&gt;$AA49)
)))),
IF(AO$4 &gt; AO$5,
IF(
AND(
$AA49-$Z$4&lt;MAX(AO$4,VLOOKUP(AO$6, Table_ChiPhiNV_Ca[], COUNTA(Table_ChiPhiNV_Ca[[#Headers],[Ca]:[Bắt đầu]]),0)),
$AA49&gt;MIN(AO$5,VLOOKUP(AO$6, Table_ChiPhiNV_Ca[], COUNTA(Table_ChiPhiNV_Ca[[#Headers],[Ca]:[Kết thúc]]),0))),0,
SUM(_xlfn._xlws.FILTER(Table_BangLuong_TyLeTangCa[Tỷ lệ],
(Table_BangLuong_TyLeTangCa[Ngày] = "Thường") *
(Table_BangLuong_TyLeTangCa[Giờ min]&lt;=$AA49) *
(Table_BangLuong_TyLeTangCa[Giờ max]&gt;$AA49)
))),
IF(
AND(
$AA49-$Z$4&gt;=MAX(AO$4,VLOOKUP(AO$6, Table_ChiPhiNV_Ca[], COUNTA(Table_ChiPhiNV_Ca[[#Headers],[Ca]:[Bắt đầu]]),0)),
$AA49&lt;MIN(AO$5,VLOOKUP(AO$6, Table_ChiPhiNV_Ca[], COUNTA(Table_ChiPhiNV_Ca[[#Headers],[Ca]:[Kết thúc]]),0))),
SUM(_xlfn._xlws.FILTER(Table_BangLuong_TyLeTangCa[Tỷ lệ],
(Table_BangLuong_TyLeTangCa[Ngày] = "Thường") *
(Table_BangLuong_TyLeTangCa[Giờ min]&lt;=$AA49) *
(Table_BangLuong_TyLeTangCa[Giờ max]&gt;$AA49)
)),0)
)),
IF(AO$4 &lt; AO$5,
IF($AA49-$Z$4&lt;AO$4,0,
IF($AA49&gt;AO$5,0,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AO$5,$AA49 &lt; AO$4),0,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P49" s="18" cm="1">
        <f t="array" ref="AP49" xml:space="preserve">
IFERROR(
IF(AP$1="",0,
IF(AND(
$AA49&gt;=VLOOKUP(AP$6, Table_ChiPhiNV_Ca[], COUNTA(Table_ChiPhiNV_Ca[[#Headers],[Ca]:[Bắt đầu nghỉ]]),0),
$AA49&lt;VLOOKUP(AP$6, Table_ChiPhiNV_Ca[], COUNTA(Table_ChiPhiNV_Ca[[#Headers],[Ca]:[Kết thúc nghỉ]]),0)
),0,
IF(NOT(ISBLANK(AP$3)),
IF(ISBLANK(AP$7),0,
IF(AP$4 &lt; AP$5,
IF($AA49-$Z$4&lt;AP$4,0,
IF($AA49&gt;AP$5,0,
SUM(_xlfn._xlws.FILTER(Table_BangLuong_TyLeTangCa[Tỷ lệ],
(Table_BangLuong_TyLeTangCa[Ngày] = AP$3) *
(Table_BangLuong_TyLeTangCa[Giờ min]&lt;=$AA49) *
(Table_BangLuong_TyLeTangCa[Giờ max]&gt;$AA49)
)))),
IF(AND($AA49-$Z$4 &gt;= AP$5,$AA49 &lt; AP$4),0,
SUM(_xlfn._xlws.FILTER(Table_BangLuong_TyLeTangCa[Tỷ lệ],
(Table_BangLuong_TyLeTangCa[Ngày] = AP$3) *
(Table_BangLuong_TyLeTangCa[Giờ min]&lt;=$AA49) *
(Table_BangLuong_TyLeTangCa[Giờ max]&gt;$AA49)
))))
),
IF(ISBLANK(AP$7),
IF(VLOOKUP(AP$6, Table_ChiPhiNV_Ca[], COUNTA(Table_ChiPhiNV_Ca[[#Headers],[Ca]:[Kết thúc]]),0)&gt; VLOOKUP(AP$6, Table_ChiPhiNV_Ca[], COUNTA(Table_ChiPhiNV_Ca[[#Headers],[Ca]:[Bắt đầu]]),0),
IF($AA49-$Z$4&lt;MAX(AP$4,VLOOKUP(AP$6, Table_ChiPhiNV_Ca[], COUNTA(Table_ChiPhiNV_Ca[[#Headers],[Ca]:[Bắt đầu]]),0)),0,
IF($AA49&gt;MIN(AP$5,VLOOKUP(AP$6, Table_ChiPhiNV_Ca[], COUNTA(Table_ChiPhiNV_Ca[[#Headers],[Ca]:[Kết thúc]]),0)),0,
SUM(_xlfn._xlws.FILTER(Table_BangLuong_TyLeTangCa[Tỷ lệ],
(Table_BangLuong_TyLeTangCa[Ngày] = "Thường") *
(Table_BangLuong_TyLeTangCa[Giờ min]&lt;=$AA49) *
(Table_BangLuong_TyLeTangCa[Giờ max]&gt;$AA49)
)))),
IF(AP$4 &gt; AP$5,
IF(
AND(
$AA49-$Z$4&lt;MAX(AP$4,VLOOKUP(AP$6, Table_ChiPhiNV_Ca[], COUNTA(Table_ChiPhiNV_Ca[[#Headers],[Ca]:[Bắt đầu]]),0)),
$AA49&gt;MIN(AP$5,VLOOKUP(AP$6, Table_ChiPhiNV_Ca[], COUNTA(Table_ChiPhiNV_Ca[[#Headers],[Ca]:[Kết thúc]]),0))),0,
SUM(_xlfn._xlws.FILTER(Table_BangLuong_TyLeTangCa[Tỷ lệ],
(Table_BangLuong_TyLeTangCa[Ngày] = "Thường") *
(Table_BangLuong_TyLeTangCa[Giờ min]&lt;=$AA49) *
(Table_BangLuong_TyLeTangCa[Giờ max]&gt;$AA49)
))),
IF(
AND(
$AA49-$Z$4&gt;=MAX(AP$4,VLOOKUP(AP$6, Table_ChiPhiNV_Ca[], COUNTA(Table_ChiPhiNV_Ca[[#Headers],[Ca]:[Bắt đầu]]),0)),
$AA49&lt;MIN(AP$5,VLOOKUP(AP$6, Table_ChiPhiNV_Ca[], COUNTA(Table_ChiPhiNV_Ca[[#Headers],[Ca]:[Kết thúc]]),0))),
SUM(_xlfn._xlws.FILTER(Table_BangLuong_TyLeTangCa[Tỷ lệ],
(Table_BangLuong_TyLeTangCa[Ngày] = "Thường") *
(Table_BangLuong_TyLeTangCa[Giờ min]&lt;=$AA49) *
(Table_BangLuong_TyLeTangCa[Giờ max]&gt;$AA49)
)),0)
)),
IF(AP$4 &lt; AP$5,
IF($AA49-$Z$4&lt;AP$4,0,
IF($AA49&gt;AP$5,0,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AP$5,$AA49 &lt; AP$4),0,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Q49" s="18" cm="1">
        <f t="array" ref="AQ49" xml:space="preserve">
IFERROR(
IF(AQ$1="",0,
IF(AND(
$AA49&gt;=VLOOKUP(AQ$6, Table_ChiPhiNV_Ca[], COUNTA(Table_ChiPhiNV_Ca[[#Headers],[Ca]:[Bắt đầu nghỉ]]),0),
$AA49&lt;VLOOKUP(AQ$6, Table_ChiPhiNV_Ca[], COUNTA(Table_ChiPhiNV_Ca[[#Headers],[Ca]:[Kết thúc nghỉ]]),0)
),0,
IF(NOT(ISBLANK(AQ$3)),
IF(ISBLANK(AQ$7),0,
IF(AQ$4 &lt; AQ$5,
IF($AA49-$Z$4&lt;AQ$4,0,
IF($AA49&gt;AQ$5,0,
SUM(_xlfn._xlws.FILTER(Table_BangLuong_TyLeTangCa[Tỷ lệ],
(Table_BangLuong_TyLeTangCa[Ngày] = AQ$3) *
(Table_BangLuong_TyLeTangCa[Giờ min]&lt;=$AA49) *
(Table_BangLuong_TyLeTangCa[Giờ max]&gt;$AA49)
)))),
IF(AND($AA49-$Z$4 &gt;= AQ$5,$AA49 &lt; AQ$4),0,
SUM(_xlfn._xlws.FILTER(Table_BangLuong_TyLeTangCa[Tỷ lệ],
(Table_BangLuong_TyLeTangCa[Ngày] = AQ$3) *
(Table_BangLuong_TyLeTangCa[Giờ min]&lt;=$AA49) *
(Table_BangLuong_TyLeTangCa[Giờ max]&gt;$AA49)
))))
),
IF(ISBLANK(AQ$7),
IF(VLOOKUP(AQ$6, Table_ChiPhiNV_Ca[], COUNTA(Table_ChiPhiNV_Ca[[#Headers],[Ca]:[Kết thúc]]),0)&gt; VLOOKUP(AQ$6, Table_ChiPhiNV_Ca[], COUNTA(Table_ChiPhiNV_Ca[[#Headers],[Ca]:[Bắt đầu]]),0),
IF($AA49-$Z$4&lt;MAX(AQ$4,VLOOKUP(AQ$6, Table_ChiPhiNV_Ca[], COUNTA(Table_ChiPhiNV_Ca[[#Headers],[Ca]:[Bắt đầu]]),0)),0,
IF($AA49&gt;MIN(AQ$5,VLOOKUP(AQ$6, Table_ChiPhiNV_Ca[], COUNTA(Table_ChiPhiNV_Ca[[#Headers],[Ca]:[Kết thúc]]),0)),0,
SUM(_xlfn._xlws.FILTER(Table_BangLuong_TyLeTangCa[Tỷ lệ],
(Table_BangLuong_TyLeTangCa[Ngày] = "Thường") *
(Table_BangLuong_TyLeTangCa[Giờ min]&lt;=$AA49) *
(Table_BangLuong_TyLeTangCa[Giờ max]&gt;$AA49)
)))),
IF(AQ$4 &gt; AQ$5,
IF(
AND(
$AA49-$Z$4&lt;MAX(AQ$4,VLOOKUP(AQ$6, Table_ChiPhiNV_Ca[], COUNTA(Table_ChiPhiNV_Ca[[#Headers],[Ca]:[Bắt đầu]]),0)),
$AA49&gt;MIN(AQ$5,VLOOKUP(AQ$6, Table_ChiPhiNV_Ca[], COUNTA(Table_ChiPhiNV_Ca[[#Headers],[Ca]:[Kết thúc]]),0))),0,
SUM(_xlfn._xlws.FILTER(Table_BangLuong_TyLeTangCa[Tỷ lệ],
(Table_BangLuong_TyLeTangCa[Ngày] = "Thường") *
(Table_BangLuong_TyLeTangCa[Giờ min]&lt;=$AA49) *
(Table_BangLuong_TyLeTangCa[Giờ max]&gt;$AA49)
))),
IF(
AND(
$AA49-$Z$4&gt;=MAX(AQ$4,VLOOKUP(AQ$6, Table_ChiPhiNV_Ca[], COUNTA(Table_ChiPhiNV_Ca[[#Headers],[Ca]:[Bắt đầu]]),0)),
$AA49&lt;MIN(AQ$5,VLOOKUP(AQ$6, Table_ChiPhiNV_Ca[], COUNTA(Table_ChiPhiNV_Ca[[#Headers],[Ca]:[Kết thúc]]),0))),
SUM(_xlfn._xlws.FILTER(Table_BangLuong_TyLeTangCa[Tỷ lệ],
(Table_BangLuong_TyLeTangCa[Ngày] = "Thường") *
(Table_BangLuong_TyLeTangCa[Giờ min]&lt;=$AA49) *
(Table_BangLuong_TyLeTangCa[Giờ max]&gt;$AA49)
)),0)
)),
IF(AQ$4 &lt; AQ$5,
IF($AA49-$Z$4&lt;AQ$4,0,
IF($AA49&gt;AQ$5,0,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AQ$5,$AA49 &lt; AQ$4),0,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R49" s="18" cm="1">
        <f t="array" ref="AR49" xml:space="preserve">
IFERROR(
IF(AR$1="",0,
IF(AND(
$AA49&gt;=VLOOKUP(AR$6, Table_ChiPhiNV_Ca[], COUNTA(Table_ChiPhiNV_Ca[[#Headers],[Ca]:[Bắt đầu nghỉ]]),0),
$AA49&lt;VLOOKUP(AR$6, Table_ChiPhiNV_Ca[], COUNTA(Table_ChiPhiNV_Ca[[#Headers],[Ca]:[Kết thúc nghỉ]]),0)
),0,
IF(NOT(ISBLANK(AR$3)),
IF(ISBLANK(AR$7),0,
IF(AR$4 &lt; AR$5,
IF($AA49-$Z$4&lt;AR$4,0,
IF($AA49&gt;AR$5,0,
SUM(_xlfn._xlws.FILTER(Table_BangLuong_TyLeTangCa[Tỷ lệ],
(Table_BangLuong_TyLeTangCa[Ngày] = AR$3) *
(Table_BangLuong_TyLeTangCa[Giờ min]&lt;=$AA49) *
(Table_BangLuong_TyLeTangCa[Giờ max]&gt;$AA49)
)))),
IF(AND($AA49-$Z$4 &gt;= AR$5,$AA49 &lt; AR$4),0,
SUM(_xlfn._xlws.FILTER(Table_BangLuong_TyLeTangCa[Tỷ lệ],
(Table_BangLuong_TyLeTangCa[Ngày] = AR$3) *
(Table_BangLuong_TyLeTangCa[Giờ min]&lt;=$AA49) *
(Table_BangLuong_TyLeTangCa[Giờ max]&gt;$AA49)
))))
),
IF(ISBLANK(AR$7),
IF(VLOOKUP(AR$6, Table_ChiPhiNV_Ca[], COUNTA(Table_ChiPhiNV_Ca[[#Headers],[Ca]:[Kết thúc]]),0)&gt; VLOOKUP(AR$6, Table_ChiPhiNV_Ca[], COUNTA(Table_ChiPhiNV_Ca[[#Headers],[Ca]:[Bắt đầu]]),0),
IF($AA49-$Z$4&lt;MAX(AR$4,VLOOKUP(AR$6, Table_ChiPhiNV_Ca[], COUNTA(Table_ChiPhiNV_Ca[[#Headers],[Ca]:[Bắt đầu]]),0)),0,
IF($AA49&gt;MIN(AR$5,VLOOKUP(AR$6, Table_ChiPhiNV_Ca[], COUNTA(Table_ChiPhiNV_Ca[[#Headers],[Ca]:[Kết thúc]]),0)),0,
SUM(_xlfn._xlws.FILTER(Table_BangLuong_TyLeTangCa[Tỷ lệ],
(Table_BangLuong_TyLeTangCa[Ngày] = "Thường") *
(Table_BangLuong_TyLeTangCa[Giờ min]&lt;=$AA49) *
(Table_BangLuong_TyLeTangCa[Giờ max]&gt;$AA49)
)))),
IF(AR$4 &gt; AR$5,
IF(
AND(
$AA49-$Z$4&lt;MAX(AR$4,VLOOKUP(AR$6, Table_ChiPhiNV_Ca[], COUNTA(Table_ChiPhiNV_Ca[[#Headers],[Ca]:[Bắt đầu]]),0)),
$AA49&gt;MIN(AR$5,VLOOKUP(AR$6, Table_ChiPhiNV_Ca[], COUNTA(Table_ChiPhiNV_Ca[[#Headers],[Ca]:[Kết thúc]]),0))),0,
SUM(_xlfn._xlws.FILTER(Table_BangLuong_TyLeTangCa[Tỷ lệ],
(Table_BangLuong_TyLeTangCa[Ngày] = "Thường") *
(Table_BangLuong_TyLeTangCa[Giờ min]&lt;=$AA49) *
(Table_BangLuong_TyLeTangCa[Giờ max]&gt;$AA49)
))),
IF(
AND(
$AA49-$Z$4&gt;=MAX(AR$4,VLOOKUP(AR$6, Table_ChiPhiNV_Ca[], COUNTA(Table_ChiPhiNV_Ca[[#Headers],[Ca]:[Bắt đầu]]),0)),
$AA49&lt;MIN(AR$5,VLOOKUP(AR$6, Table_ChiPhiNV_Ca[], COUNTA(Table_ChiPhiNV_Ca[[#Headers],[Ca]:[Kết thúc]]),0))),
SUM(_xlfn._xlws.FILTER(Table_BangLuong_TyLeTangCa[Tỷ lệ],
(Table_BangLuong_TyLeTangCa[Ngày] = "Thường") *
(Table_BangLuong_TyLeTangCa[Giờ min]&lt;=$AA49) *
(Table_BangLuong_TyLeTangCa[Giờ max]&gt;$AA49)
)),0)
)),
IF(AR$4 &lt; AR$5,
IF($AA49-$Z$4&lt;AR$4,0,
IF($AA49&gt;AR$5,0,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AR$5,$AA49 &lt; AR$4),0,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S49" s="18" cm="1">
        <f t="array" ref="AS49" xml:space="preserve">
IFERROR(
IF(AS$1="",0,
IF(AND(
$AA49&gt;=VLOOKUP(AS$6, Table_ChiPhiNV_Ca[], COUNTA(Table_ChiPhiNV_Ca[[#Headers],[Ca]:[Bắt đầu nghỉ]]),0),
$AA49&lt;VLOOKUP(AS$6, Table_ChiPhiNV_Ca[], COUNTA(Table_ChiPhiNV_Ca[[#Headers],[Ca]:[Kết thúc nghỉ]]),0)
),0,
IF(NOT(ISBLANK(AS$3)),
IF(ISBLANK(AS$7),0,
IF(AS$4 &lt; AS$5,
IF($AA49-$Z$4&lt;AS$4,0,
IF($AA49&gt;AS$5,0,
SUM(_xlfn._xlws.FILTER(Table_BangLuong_TyLeTangCa[Tỷ lệ],
(Table_BangLuong_TyLeTangCa[Ngày] = AS$3) *
(Table_BangLuong_TyLeTangCa[Giờ min]&lt;=$AA49) *
(Table_BangLuong_TyLeTangCa[Giờ max]&gt;$AA49)
)))),
IF(AND($AA49-$Z$4 &gt;= AS$5,$AA49 &lt; AS$4),0,
SUM(_xlfn._xlws.FILTER(Table_BangLuong_TyLeTangCa[Tỷ lệ],
(Table_BangLuong_TyLeTangCa[Ngày] = AS$3) *
(Table_BangLuong_TyLeTangCa[Giờ min]&lt;=$AA49) *
(Table_BangLuong_TyLeTangCa[Giờ max]&gt;$AA49)
))))
),
IF(ISBLANK(AS$7),
IF(VLOOKUP(AS$6, Table_ChiPhiNV_Ca[], COUNTA(Table_ChiPhiNV_Ca[[#Headers],[Ca]:[Kết thúc]]),0)&gt; VLOOKUP(AS$6, Table_ChiPhiNV_Ca[], COUNTA(Table_ChiPhiNV_Ca[[#Headers],[Ca]:[Bắt đầu]]),0),
IF($AA49-$Z$4&lt;MAX(AS$4,VLOOKUP(AS$6, Table_ChiPhiNV_Ca[], COUNTA(Table_ChiPhiNV_Ca[[#Headers],[Ca]:[Bắt đầu]]),0)),0,
IF($AA49&gt;MIN(AS$5,VLOOKUP(AS$6, Table_ChiPhiNV_Ca[], COUNTA(Table_ChiPhiNV_Ca[[#Headers],[Ca]:[Kết thúc]]),0)),0,
SUM(_xlfn._xlws.FILTER(Table_BangLuong_TyLeTangCa[Tỷ lệ],
(Table_BangLuong_TyLeTangCa[Ngày] = "Thường") *
(Table_BangLuong_TyLeTangCa[Giờ min]&lt;=$AA49) *
(Table_BangLuong_TyLeTangCa[Giờ max]&gt;$AA49)
)))),
IF(AS$4 &gt; AS$5,
IF(
AND(
$AA49-$Z$4&lt;MAX(AS$4,VLOOKUP(AS$6, Table_ChiPhiNV_Ca[], COUNTA(Table_ChiPhiNV_Ca[[#Headers],[Ca]:[Bắt đầu]]),0)),
$AA49&gt;MIN(AS$5,VLOOKUP(AS$6, Table_ChiPhiNV_Ca[], COUNTA(Table_ChiPhiNV_Ca[[#Headers],[Ca]:[Kết thúc]]),0))),0,
SUM(_xlfn._xlws.FILTER(Table_BangLuong_TyLeTangCa[Tỷ lệ],
(Table_BangLuong_TyLeTangCa[Ngày] = "Thường") *
(Table_BangLuong_TyLeTangCa[Giờ min]&lt;=$AA49) *
(Table_BangLuong_TyLeTangCa[Giờ max]&gt;$AA49)
))),
IF(
AND(
$AA49-$Z$4&gt;=MAX(AS$4,VLOOKUP(AS$6, Table_ChiPhiNV_Ca[], COUNTA(Table_ChiPhiNV_Ca[[#Headers],[Ca]:[Bắt đầu]]),0)),
$AA49&lt;MIN(AS$5,VLOOKUP(AS$6, Table_ChiPhiNV_Ca[], COUNTA(Table_ChiPhiNV_Ca[[#Headers],[Ca]:[Kết thúc]]),0))),
SUM(_xlfn._xlws.FILTER(Table_BangLuong_TyLeTangCa[Tỷ lệ],
(Table_BangLuong_TyLeTangCa[Ngày] = "Thường") *
(Table_BangLuong_TyLeTangCa[Giờ min]&lt;=$AA49) *
(Table_BangLuong_TyLeTangCa[Giờ max]&gt;$AA49)
)),0)
)),
IF(AS$4 &lt; AS$5,
IF($AA49-$Z$4&lt;AS$4,0,
IF($AA49&gt;AS$5,0,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AS$5,$AA49 &lt; AS$4),0,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T49" s="18" cm="1">
        <f t="array" ref="AT49" xml:space="preserve">
IFERROR(
IF(AT$1="",0,
IF(AND(
$AA49&gt;=VLOOKUP(AT$6, Table_ChiPhiNV_Ca[], COUNTA(Table_ChiPhiNV_Ca[[#Headers],[Ca]:[Bắt đầu nghỉ]]),0),
$AA49&lt;VLOOKUP(AT$6, Table_ChiPhiNV_Ca[], COUNTA(Table_ChiPhiNV_Ca[[#Headers],[Ca]:[Kết thúc nghỉ]]),0)
),0,
IF(NOT(ISBLANK(AT$3)),
IF(ISBLANK(AT$7),0,
IF(AT$4 &lt; AT$5,
IF($AA49-$Z$4&lt;AT$4,0,
IF($AA49&gt;AT$5,0,
SUM(_xlfn._xlws.FILTER(Table_BangLuong_TyLeTangCa[Tỷ lệ],
(Table_BangLuong_TyLeTangCa[Ngày] = AT$3) *
(Table_BangLuong_TyLeTangCa[Giờ min]&lt;=$AA49) *
(Table_BangLuong_TyLeTangCa[Giờ max]&gt;$AA49)
)))),
IF(AND($AA49-$Z$4 &gt;= AT$5,$AA49 &lt; AT$4),0,
SUM(_xlfn._xlws.FILTER(Table_BangLuong_TyLeTangCa[Tỷ lệ],
(Table_BangLuong_TyLeTangCa[Ngày] = AT$3) *
(Table_BangLuong_TyLeTangCa[Giờ min]&lt;=$AA49) *
(Table_BangLuong_TyLeTangCa[Giờ max]&gt;$AA49)
))))
),
IF(ISBLANK(AT$7),
IF(VLOOKUP(AT$6, Table_ChiPhiNV_Ca[], COUNTA(Table_ChiPhiNV_Ca[[#Headers],[Ca]:[Kết thúc]]),0)&gt; VLOOKUP(AT$6, Table_ChiPhiNV_Ca[], COUNTA(Table_ChiPhiNV_Ca[[#Headers],[Ca]:[Bắt đầu]]),0),
IF($AA49-$Z$4&lt;MAX(AT$4,VLOOKUP(AT$6, Table_ChiPhiNV_Ca[], COUNTA(Table_ChiPhiNV_Ca[[#Headers],[Ca]:[Bắt đầu]]),0)),0,
IF($AA49&gt;MIN(AT$5,VLOOKUP(AT$6, Table_ChiPhiNV_Ca[], COUNTA(Table_ChiPhiNV_Ca[[#Headers],[Ca]:[Kết thúc]]),0)),0,
SUM(_xlfn._xlws.FILTER(Table_BangLuong_TyLeTangCa[Tỷ lệ],
(Table_BangLuong_TyLeTangCa[Ngày] = "Thường") *
(Table_BangLuong_TyLeTangCa[Giờ min]&lt;=$AA49) *
(Table_BangLuong_TyLeTangCa[Giờ max]&gt;$AA49)
)))),
IF(AT$4 &gt; AT$5,
IF(
AND(
$AA49-$Z$4&lt;MAX(AT$4,VLOOKUP(AT$6, Table_ChiPhiNV_Ca[], COUNTA(Table_ChiPhiNV_Ca[[#Headers],[Ca]:[Bắt đầu]]),0)),
$AA49&gt;MIN(AT$5,VLOOKUP(AT$6, Table_ChiPhiNV_Ca[], COUNTA(Table_ChiPhiNV_Ca[[#Headers],[Ca]:[Kết thúc]]),0))),0,
SUM(_xlfn._xlws.FILTER(Table_BangLuong_TyLeTangCa[Tỷ lệ],
(Table_BangLuong_TyLeTangCa[Ngày] = "Thường") *
(Table_BangLuong_TyLeTangCa[Giờ min]&lt;=$AA49) *
(Table_BangLuong_TyLeTangCa[Giờ max]&gt;$AA49)
))),
IF(
AND(
$AA49-$Z$4&gt;=MAX(AT$4,VLOOKUP(AT$6, Table_ChiPhiNV_Ca[], COUNTA(Table_ChiPhiNV_Ca[[#Headers],[Ca]:[Bắt đầu]]),0)),
$AA49&lt;MIN(AT$5,VLOOKUP(AT$6, Table_ChiPhiNV_Ca[], COUNTA(Table_ChiPhiNV_Ca[[#Headers],[Ca]:[Kết thúc]]),0))),
SUM(_xlfn._xlws.FILTER(Table_BangLuong_TyLeTangCa[Tỷ lệ],
(Table_BangLuong_TyLeTangCa[Ngày] = "Thường") *
(Table_BangLuong_TyLeTangCa[Giờ min]&lt;=$AA49) *
(Table_BangLuong_TyLeTangCa[Giờ max]&gt;$AA49)
)),0)
)),
IF(AT$4 &lt; AT$5,
IF($AA49-$Z$4&lt;AT$4,0,
IF($AA49&gt;AT$5,0,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AT$5,$AA49 &lt; AT$4),0,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U49" s="18" cm="1">
        <f t="array" ref="AU49" xml:space="preserve">
IFERROR(
IF(AU$1="",0,
IF(AND(
$AA49&gt;=VLOOKUP(AU$6, Table_ChiPhiNV_Ca[], COUNTA(Table_ChiPhiNV_Ca[[#Headers],[Ca]:[Bắt đầu nghỉ]]),0),
$AA49&lt;VLOOKUP(AU$6, Table_ChiPhiNV_Ca[], COUNTA(Table_ChiPhiNV_Ca[[#Headers],[Ca]:[Kết thúc nghỉ]]),0)
),0,
IF(NOT(ISBLANK(AU$3)),
IF(ISBLANK(AU$7),0,
IF(AU$4 &lt; AU$5,
IF($AA49-$Z$4&lt;AU$4,0,
IF($AA49&gt;AU$5,0,
SUM(_xlfn._xlws.FILTER(Table_BangLuong_TyLeTangCa[Tỷ lệ],
(Table_BangLuong_TyLeTangCa[Ngày] = AU$3) *
(Table_BangLuong_TyLeTangCa[Giờ min]&lt;=$AA49) *
(Table_BangLuong_TyLeTangCa[Giờ max]&gt;$AA49)
)))),
IF(AND($AA49-$Z$4 &gt;= AU$5,$AA49 &lt; AU$4),0,
SUM(_xlfn._xlws.FILTER(Table_BangLuong_TyLeTangCa[Tỷ lệ],
(Table_BangLuong_TyLeTangCa[Ngày] = AU$3) *
(Table_BangLuong_TyLeTangCa[Giờ min]&lt;=$AA49) *
(Table_BangLuong_TyLeTangCa[Giờ max]&gt;$AA49)
))))
),
IF(ISBLANK(AU$7),
IF(VLOOKUP(AU$6, Table_ChiPhiNV_Ca[], COUNTA(Table_ChiPhiNV_Ca[[#Headers],[Ca]:[Kết thúc]]),0)&gt; VLOOKUP(AU$6, Table_ChiPhiNV_Ca[], COUNTA(Table_ChiPhiNV_Ca[[#Headers],[Ca]:[Bắt đầu]]),0),
IF($AA49-$Z$4&lt;MAX(AU$4,VLOOKUP(AU$6, Table_ChiPhiNV_Ca[], COUNTA(Table_ChiPhiNV_Ca[[#Headers],[Ca]:[Bắt đầu]]),0)),0,
IF($AA49&gt;MIN(AU$5,VLOOKUP(AU$6, Table_ChiPhiNV_Ca[], COUNTA(Table_ChiPhiNV_Ca[[#Headers],[Ca]:[Kết thúc]]),0)),0,
SUM(_xlfn._xlws.FILTER(Table_BangLuong_TyLeTangCa[Tỷ lệ],
(Table_BangLuong_TyLeTangCa[Ngày] = "Thường") *
(Table_BangLuong_TyLeTangCa[Giờ min]&lt;=$AA49) *
(Table_BangLuong_TyLeTangCa[Giờ max]&gt;$AA49)
)))),
IF(AU$4 &gt; AU$5,
IF(
AND(
$AA49-$Z$4&lt;MAX(AU$4,VLOOKUP(AU$6, Table_ChiPhiNV_Ca[], COUNTA(Table_ChiPhiNV_Ca[[#Headers],[Ca]:[Bắt đầu]]),0)),
$AA49&gt;MIN(AU$5,VLOOKUP(AU$6, Table_ChiPhiNV_Ca[], COUNTA(Table_ChiPhiNV_Ca[[#Headers],[Ca]:[Kết thúc]]),0))),0,
SUM(_xlfn._xlws.FILTER(Table_BangLuong_TyLeTangCa[Tỷ lệ],
(Table_BangLuong_TyLeTangCa[Ngày] = "Thường") *
(Table_BangLuong_TyLeTangCa[Giờ min]&lt;=$AA49) *
(Table_BangLuong_TyLeTangCa[Giờ max]&gt;$AA49)
))),
IF(
AND(
$AA49-$Z$4&gt;=MAX(AU$4,VLOOKUP(AU$6, Table_ChiPhiNV_Ca[], COUNTA(Table_ChiPhiNV_Ca[[#Headers],[Ca]:[Bắt đầu]]),0)),
$AA49&lt;MIN(AU$5,VLOOKUP(AU$6, Table_ChiPhiNV_Ca[], COUNTA(Table_ChiPhiNV_Ca[[#Headers],[Ca]:[Kết thúc]]),0))),
SUM(_xlfn._xlws.FILTER(Table_BangLuong_TyLeTangCa[Tỷ lệ],
(Table_BangLuong_TyLeTangCa[Ngày] = "Thường") *
(Table_BangLuong_TyLeTangCa[Giờ min]&lt;=$AA49) *
(Table_BangLuong_TyLeTangCa[Giờ max]&gt;$AA49)
)),0)
)),
IF(AU$4 &lt; AU$5,
IF($AA49-$Z$4&lt;AU$4,0,
IF($AA49&gt;AU$5,0,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AU$5,$AA49 &lt; AU$4),0,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V49" s="18" cm="1">
        <f t="array" ref="AV49" xml:space="preserve">
IFERROR(
IF(AV$1="",0,
IF(AND(
$AA49&gt;=VLOOKUP(AV$6, Table_ChiPhiNV_Ca[], COUNTA(Table_ChiPhiNV_Ca[[#Headers],[Ca]:[Bắt đầu nghỉ]]),0),
$AA49&lt;VLOOKUP(AV$6, Table_ChiPhiNV_Ca[], COUNTA(Table_ChiPhiNV_Ca[[#Headers],[Ca]:[Kết thúc nghỉ]]),0)
),0,
IF(NOT(ISBLANK(AV$3)),
IF(ISBLANK(AV$7),0,
IF(AV$4 &lt; AV$5,
IF($AA49-$Z$4&lt;AV$4,0,
IF($AA49&gt;AV$5,0,
SUM(_xlfn._xlws.FILTER(Table_BangLuong_TyLeTangCa[Tỷ lệ],
(Table_BangLuong_TyLeTangCa[Ngày] = AV$3) *
(Table_BangLuong_TyLeTangCa[Giờ min]&lt;=$AA49) *
(Table_BangLuong_TyLeTangCa[Giờ max]&gt;$AA49)
)))),
IF(AND($AA49-$Z$4 &gt;= AV$5,$AA49 &lt; AV$4),0,
SUM(_xlfn._xlws.FILTER(Table_BangLuong_TyLeTangCa[Tỷ lệ],
(Table_BangLuong_TyLeTangCa[Ngày] = AV$3) *
(Table_BangLuong_TyLeTangCa[Giờ min]&lt;=$AA49) *
(Table_BangLuong_TyLeTangCa[Giờ max]&gt;$AA49)
))))
),
IF(ISBLANK(AV$7),
IF(VLOOKUP(AV$6, Table_ChiPhiNV_Ca[], COUNTA(Table_ChiPhiNV_Ca[[#Headers],[Ca]:[Kết thúc]]),0)&gt; VLOOKUP(AV$6, Table_ChiPhiNV_Ca[], COUNTA(Table_ChiPhiNV_Ca[[#Headers],[Ca]:[Bắt đầu]]),0),
IF($AA49-$Z$4&lt;MAX(AV$4,VLOOKUP(AV$6, Table_ChiPhiNV_Ca[], COUNTA(Table_ChiPhiNV_Ca[[#Headers],[Ca]:[Bắt đầu]]),0)),0,
IF($AA49&gt;MIN(AV$5,VLOOKUP(AV$6, Table_ChiPhiNV_Ca[], COUNTA(Table_ChiPhiNV_Ca[[#Headers],[Ca]:[Kết thúc]]),0)),0,
SUM(_xlfn._xlws.FILTER(Table_BangLuong_TyLeTangCa[Tỷ lệ],
(Table_BangLuong_TyLeTangCa[Ngày] = "Thường") *
(Table_BangLuong_TyLeTangCa[Giờ min]&lt;=$AA49) *
(Table_BangLuong_TyLeTangCa[Giờ max]&gt;$AA49)
)))),
IF(AV$4 &gt; AV$5,
IF(
AND(
$AA49-$Z$4&lt;MAX(AV$4,VLOOKUP(AV$6, Table_ChiPhiNV_Ca[], COUNTA(Table_ChiPhiNV_Ca[[#Headers],[Ca]:[Bắt đầu]]),0)),
$AA49&gt;MIN(AV$5,VLOOKUP(AV$6, Table_ChiPhiNV_Ca[], COUNTA(Table_ChiPhiNV_Ca[[#Headers],[Ca]:[Kết thúc]]),0))),0,
SUM(_xlfn._xlws.FILTER(Table_BangLuong_TyLeTangCa[Tỷ lệ],
(Table_BangLuong_TyLeTangCa[Ngày] = "Thường") *
(Table_BangLuong_TyLeTangCa[Giờ min]&lt;=$AA49) *
(Table_BangLuong_TyLeTangCa[Giờ max]&gt;$AA49)
))),
IF(
AND(
$AA49-$Z$4&gt;=MAX(AV$4,VLOOKUP(AV$6, Table_ChiPhiNV_Ca[], COUNTA(Table_ChiPhiNV_Ca[[#Headers],[Ca]:[Bắt đầu]]),0)),
$AA49&lt;MIN(AV$5,VLOOKUP(AV$6, Table_ChiPhiNV_Ca[], COUNTA(Table_ChiPhiNV_Ca[[#Headers],[Ca]:[Kết thúc]]),0))),
SUM(_xlfn._xlws.FILTER(Table_BangLuong_TyLeTangCa[Tỷ lệ],
(Table_BangLuong_TyLeTangCa[Ngày] = "Thường") *
(Table_BangLuong_TyLeTangCa[Giờ min]&lt;=$AA49) *
(Table_BangLuong_TyLeTangCa[Giờ max]&gt;$AA49)
)),0)
)),
IF(AV$4 &lt; AV$5,
IF($AA49-$Z$4&lt;AV$4,0,
IF($AA49&gt;AV$5,0,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AV$5,$AA49 &lt; AV$4),0,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W49" s="18" cm="1">
        <f t="array" ref="AW49" xml:space="preserve">
IFERROR(
IF(AW$1="",0,
IF(AND(
$AA49&gt;=VLOOKUP(AW$6, Table_ChiPhiNV_Ca[], COUNTA(Table_ChiPhiNV_Ca[[#Headers],[Ca]:[Bắt đầu nghỉ]]),0),
$AA49&lt;VLOOKUP(AW$6, Table_ChiPhiNV_Ca[], COUNTA(Table_ChiPhiNV_Ca[[#Headers],[Ca]:[Kết thúc nghỉ]]),0)
),0,
IF(NOT(ISBLANK(AW$3)),
IF(ISBLANK(AW$7),0,
IF(AW$4 &lt; AW$5,
IF($AA49-$Z$4&lt;AW$4,0,
IF($AA49&gt;AW$5,0,
SUM(_xlfn._xlws.FILTER(Table_BangLuong_TyLeTangCa[Tỷ lệ],
(Table_BangLuong_TyLeTangCa[Ngày] = AW$3) *
(Table_BangLuong_TyLeTangCa[Giờ min]&lt;=$AA49) *
(Table_BangLuong_TyLeTangCa[Giờ max]&gt;$AA49)
)))),
IF(AND($AA49-$Z$4 &gt;= AW$5,$AA49 &lt; AW$4),0,
SUM(_xlfn._xlws.FILTER(Table_BangLuong_TyLeTangCa[Tỷ lệ],
(Table_BangLuong_TyLeTangCa[Ngày] = AW$3) *
(Table_BangLuong_TyLeTangCa[Giờ min]&lt;=$AA49) *
(Table_BangLuong_TyLeTangCa[Giờ max]&gt;$AA49)
))))
),
IF(ISBLANK(AW$7),
IF(VLOOKUP(AW$6, Table_ChiPhiNV_Ca[], COUNTA(Table_ChiPhiNV_Ca[[#Headers],[Ca]:[Kết thúc]]),0)&gt; VLOOKUP(AW$6, Table_ChiPhiNV_Ca[], COUNTA(Table_ChiPhiNV_Ca[[#Headers],[Ca]:[Bắt đầu]]),0),
IF($AA49-$Z$4&lt;MAX(AW$4,VLOOKUP(AW$6, Table_ChiPhiNV_Ca[], COUNTA(Table_ChiPhiNV_Ca[[#Headers],[Ca]:[Bắt đầu]]),0)),0,
IF($AA49&gt;MIN(AW$5,VLOOKUP(AW$6, Table_ChiPhiNV_Ca[], COUNTA(Table_ChiPhiNV_Ca[[#Headers],[Ca]:[Kết thúc]]),0)),0,
SUM(_xlfn._xlws.FILTER(Table_BangLuong_TyLeTangCa[Tỷ lệ],
(Table_BangLuong_TyLeTangCa[Ngày] = "Thường") *
(Table_BangLuong_TyLeTangCa[Giờ min]&lt;=$AA49) *
(Table_BangLuong_TyLeTangCa[Giờ max]&gt;$AA49)
)))),
IF(AW$4 &gt; AW$5,
IF(
AND(
$AA49-$Z$4&lt;MAX(AW$4,VLOOKUP(AW$6, Table_ChiPhiNV_Ca[], COUNTA(Table_ChiPhiNV_Ca[[#Headers],[Ca]:[Bắt đầu]]),0)),
$AA49&gt;MIN(AW$5,VLOOKUP(AW$6, Table_ChiPhiNV_Ca[], COUNTA(Table_ChiPhiNV_Ca[[#Headers],[Ca]:[Kết thúc]]),0))),0,
SUM(_xlfn._xlws.FILTER(Table_BangLuong_TyLeTangCa[Tỷ lệ],
(Table_BangLuong_TyLeTangCa[Ngày] = "Thường") *
(Table_BangLuong_TyLeTangCa[Giờ min]&lt;=$AA49) *
(Table_BangLuong_TyLeTangCa[Giờ max]&gt;$AA49)
))),
IF(
AND(
$AA49-$Z$4&gt;=MAX(AW$4,VLOOKUP(AW$6, Table_ChiPhiNV_Ca[], COUNTA(Table_ChiPhiNV_Ca[[#Headers],[Ca]:[Bắt đầu]]),0)),
$AA49&lt;MIN(AW$5,VLOOKUP(AW$6, Table_ChiPhiNV_Ca[], COUNTA(Table_ChiPhiNV_Ca[[#Headers],[Ca]:[Kết thúc]]),0))),
SUM(_xlfn._xlws.FILTER(Table_BangLuong_TyLeTangCa[Tỷ lệ],
(Table_BangLuong_TyLeTangCa[Ngày] = "Thường") *
(Table_BangLuong_TyLeTangCa[Giờ min]&lt;=$AA49) *
(Table_BangLuong_TyLeTangCa[Giờ max]&gt;$AA49)
)),0)
)),
IF(AW$4 &lt; AW$5,
IF($AA49-$Z$4&lt;AW$4,0,
IF($AA49&gt;AW$5,0,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AW$5,$AA49 &lt; AW$4),0,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X49" s="18" cm="1">
        <f t="array" ref="AX49" xml:space="preserve">
IFERROR(
IF(AX$1="",0,
IF(AND(
$AA49&gt;=VLOOKUP(AX$6, Table_ChiPhiNV_Ca[], COUNTA(Table_ChiPhiNV_Ca[[#Headers],[Ca]:[Bắt đầu nghỉ]]),0),
$AA49&lt;VLOOKUP(AX$6, Table_ChiPhiNV_Ca[], COUNTA(Table_ChiPhiNV_Ca[[#Headers],[Ca]:[Kết thúc nghỉ]]),0)
),0,
IF(NOT(ISBLANK(AX$3)),
IF(ISBLANK(AX$7),0,
IF(AX$4 &lt; AX$5,
IF($AA49-$Z$4&lt;AX$4,0,
IF($AA49&gt;AX$5,0,
SUM(_xlfn._xlws.FILTER(Table_BangLuong_TyLeTangCa[Tỷ lệ],
(Table_BangLuong_TyLeTangCa[Ngày] = AX$3) *
(Table_BangLuong_TyLeTangCa[Giờ min]&lt;=$AA49) *
(Table_BangLuong_TyLeTangCa[Giờ max]&gt;$AA49)
)))),
IF(AND($AA49-$Z$4 &gt;= AX$5,$AA49 &lt; AX$4),0,
SUM(_xlfn._xlws.FILTER(Table_BangLuong_TyLeTangCa[Tỷ lệ],
(Table_BangLuong_TyLeTangCa[Ngày] = AX$3) *
(Table_BangLuong_TyLeTangCa[Giờ min]&lt;=$AA49) *
(Table_BangLuong_TyLeTangCa[Giờ max]&gt;$AA49)
))))
),
IF(ISBLANK(AX$7),
IF(VLOOKUP(AX$6, Table_ChiPhiNV_Ca[], COUNTA(Table_ChiPhiNV_Ca[[#Headers],[Ca]:[Kết thúc]]),0)&gt; VLOOKUP(AX$6, Table_ChiPhiNV_Ca[], COUNTA(Table_ChiPhiNV_Ca[[#Headers],[Ca]:[Bắt đầu]]),0),
IF($AA49-$Z$4&lt;MAX(AX$4,VLOOKUP(AX$6, Table_ChiPhiNV_Ca[], COUNTA(Table_ChiPhiNV_Ca[[#Headers],[Ca]:[Bắt đầu]]),0)),0,
IF($AA49&gt;MIN(AX$5,VLOOKUP(AX$6, Table_ChiPhiNV_Ca[], COUNTA(Table_ChiPhiNV_Ca[[#Headers],[Ca]:[Kết thúc]]),0)),0,
SUM(_xlfn._xlws.FILTER(Table_BangLuong_TyLeTangCa[Tỷ lệ],
(Table_BangLuong_TyLeTangCa[Ngày] = "Thường") *
(Table_BangLuong_TyLeTangCa[Giờ min]&lt;=$AA49) *
(Table_BangLuong_TyLeTangCa[Giờ max]&gt;$AA49)
)))),
IF(AX$4 &gt; AX$5,
IF(
AND(
$AA49-$Z$4&lt;MAX(AX$4,VLOOKUP(AX$6, Table_ChiPhiNV_Ca[], COUNTA(Table_ChiPhiNV_Ca[[#Headers],[Ca]:[Bắt đầu]]),0)),
$AA49&gt;MIN(AX$5,VLOOKUP(AX$6, Table_ChiPhiNV_Ca[], COUNTA(Table_ChiPhiNV_Ca[[#Headers],[Ca]:[Kết thúc]]),0))),0,
SUM(_xlfn._xlws.FILTER(Table_BangLuong_TyLeTangCa[Tỷ lệ],
(Table_BangLuong_TyLeTangCa[Ngày] = "Thường") *
(Table_BangLuong_TyLeTangCa[Giờ min]&lt;=$AA49) *
(Table_BangLuong_TyLeTangCa[Giờ max]&gt;$AA49)
))),
IF(
AND(
$AA49-$Z$4&gt;=MAX(AX$4,VLOOKUP(AX$6, Table_ChiPhiNV_Ca[], COUNTA(Table_ChiPhiNV_Ca[[#Headers],[Ca]:[Bắt đầu]]),0)),
$AA49&lt;MIN(AX$5,VLOOKUP(AX$6, Table_ChiPhiNV_Ca[], COUNTA(Table_ChiPhiNV_Ca[[#Headers],[Ca]:[Kết thúc]]),0))),
SUM(_xlfn._xlws.FILTER(Table_BangLuong_TyLeTangCa[Tỷ lệ],
(Table_BangLuong_TyLeTangCa[Ngày] = "Thường") *
(Table_BangLuong_TyLeTangCa[Giờ min]&lt;=$AA49) *
(Table_BangLuong_TyLeTangCa[Giờ max]&gt;$AA49)
)),0)
)),
IF(AX$4 &lt; AX$5,
IF($AA49-$Z$4&lt;AX$4,0,
IF($AA49&gt;AX$5,0,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AX$5,$AA49 &lt; AX$4),0,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Y49" s="18" cm="1">
        <f t="array" ref="AY49" xml:space="preserve">
IFERROR(
IF(AY$1="",0,
IF(AND(
$AA49&gt;=VLOOKUP(AY$6, Table_ChiPhiNV_Ca[], COUNTA(Table_ChiPhiNV_Ca[[#Headers],[Ca]:[Bắt đầu nghỉ]]),0),
$AA49&lt;VLOOKUP(AY$6, Table_ChiPhiNV_Ca[], COUNTA(Table_ChiPhiNV_Ca[[#Headers],[Ca]:[Kết thúc nghỉ]]),0)
),0,
IF(NOT(ISBLANK(AY$3)),
IF(ISBLANK(AY$7),0,
IF(AY$4 &lt; AY$5,
IF($AA49-$Z$4&lt;AY$4,0,
IF($AA49&gt;AY$5,0,
SUM(_xlfn._xlws.FILTER(Table_BangLuong_TyLeTangCa[Tỷ lệ],
(Table_BangLuong_TyLeTangCa[Ngày] = AY$3) *
(Table_BangLuong_TyLeTangCa[Giờ min]&lt;=$AA49) *
(Table_BangLuong_TyLeTangCa[Giờ max]&gt;$AA49)
)))),
IF(AND($AA49-$Z$4 &gt;= AY$5,$AA49 &lt; AY$4),0,
SUM(_xlfn._xlws.FILTER(Table_BangLuong_TyLeTangCa[Tỷ lệ],
(Table_BangLuong_TyLeTangCa[Ngày] = AY$3) *
(Table_BangLuong_TyLeTangCa[Giờ min]&lt;=$AA49) *
(Table_BangLuong_TyLeTangCa[Giờ max]&gt;$AA49)
))))
),
IF(ISBLANK(AY$7),
IF(VLOOKUP(AY$6, Table_ChiPhiNV_Ca[], COUNTA(Table_ChiPhiNV_Ca[[#Headers],[Ca]:[Kết thúc]]),0)&gt; VLOOKUP(AY$6, Table_ChiPhiNV_Ca[], COUNTA(Table_ChiPhiNV_Ca[[#Headers],[Ca]:[Bắt đầu]]),0),
IF($AA49-$Z$4&lt;MAX(AY$4,VLOOKUP(AY$6, Table_ChiPhiNV_Ca[], COUNTA(Table_ChiPhiNV_Ca[[#Headers],[Ca]:[Bắt đầu]]),0)),0,
IF($AA49&gt;MIN(AY$5,VLOOKUP(AY$6, Table_ChiPhiNV_Ca[], COUNTA(Table_ChiPhiNV_Ca[[#Headers],[Ca]:[Kết thúc]]),0)),0,
SUM(_xlfn._xlws.FILTER(Table_BangLuong_TyLeTangCa[Tỷ lệ],
(Table_BangLuong_TyLeTangCa[Ngày] = "Thường") *
(Table_BangLuong_TyLeTangCa[Giờ min]&lt;=$AA49) *
(Table_BangLuong_TyLeTangCa[Giờ max]&gt;$AA49)
)))),
IF(AY$4 &gt; AY$5,
IF(
AND(
$AA49-$Z$4&lt;MAX(AY$4,VLOOKUP(AY$6, Table_ChiPhiNV_Ca[], COUNTA(Table_ChiPhiNV_Ca[[#Headers],[Ca]:[Bắt đầu]]),0)),
$AA49&gt;MIN(AY$5,VLOOKUP(AY$6, Table_ChiPhiNV_Ca[], COUNTA(Table_ChiPhiNV_Ca[[#Headers],[Ca]:[Kết thúc]]),0))),0,
SUM(_xlfn._xlws.FILTER(Table_BangLuong_TyLeTangCa[Tỷ lệ],
(Table_BangLuong_TyLeTangCa[Ngày] = "Thường") *
(Table_BangLuong_TyLeTangCa[Giờ min]&lt;=$AA49) *
(Table_BangLuong_TyLeTangCa[Giờ max]&gt;$AA49)
))),
IF(
AND(
$AA49-$Z$4&gt;=MAX(AY$4,VLOOKUP(AY$6, Table_ChiPhiNV_Ca[], COUNTA(Table_ChiPhiNV_Ca[[#Headers],[Ca]:[Bắt đầu]]),0)),
$AA49&lt;MIN(AY$5,VLOOKUP(AY$6, Table_ChiPhiNV_Ca[], COUNTA(Table_ChiPhiNV_Ca[[#Headers],[Ca]:[Kết thúc]]),0))),
SUM(_xlfn._xlws.FILTER(Table_BangLuong_TyLeTangCa[Tỷ lệ],
(Table_BangLuong_TyLeTangCa[Ngày] = "Thường") *
(Table_BangLuong_TyLeTangCa[Giờ min]&lt;=$AA49) *
(Table_BangLuong_TyLeTangCa[Giờ max]&gt;$AA49)
)),0)
)),
IF(AY$4 &lt; AY$5,
IF($AA49-$Z$4&lt;AY$4,0,
IF($AA49&gt;AY$5,0,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AY$5,$AA49 &lt; AY$4),0,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Z49" s="18" cm="1">
        <f t="array" ref="AZ49" xml:space="preserve">
IFERROR(
IF(AZ$1="",0,
IF(AND(
$AA49&gt;=VLOOKUP(AZ$6, Table_ChiPhiNV_Ca[], COUNTA(Table_ChiPhiNV_Ca[[#Headers],[Ca]:[Bắt đầu nghỉ]]),0),
$AA49&lt;VLOOKUP(AZ$6, Table_ChiPhiNV_Ca[], COUNTA(Table_ChiPhiNV_Ca[[#Headers],[Ca]:[Kết thúc nghỉ]]),0)
),0,
IF(NOT(ISBLANK(AZ$3)),
IF(ISBLANK(AZ$7),0,
IF(AZ$4 &lt; AZ$5,
IF($AA49-$Z$4&lt;AZ$4,0,
IF($AA49&gt;AZ$5,0,
SUM(_xlfn._xlws.FILTER(Table_BangLuong_TyLeTangCa[Tỷ lệ],
(Table_BangLuong_TyLeTangCa[Ngày] = AZ$3) *
(Table_BangLuong_TyLeTangCa[Giờ min]&lt;=$AA49) *
(Table_BangLuong_TyLeTangCa[Giờ max]&gt;$AA49)
)))),
IF(AND($AA49-$Z$4 &gt;= AZ$5,$AA49 &lt; AZ$4),0,
SUM(_xlfn._xlws.FILTER(Table_BangLuong_TyLeTangCa[Tỷ lệ],
(Table_BangLuong_TyLeTangCa[Ngày] = AZ$3) *
(Table_BangLuong_TyLeTangCa[Giờ min]&lt;=$AA49) *
(Table_BangLuong_TyLeTangCa[Giờ max]&gt;$AA49)
))))
),
IF(ISBLANK(AZ$7),
IF(VLOOKUP(AZ$6, Table_ChiPhiNV_Ca[], COUNTA(Table_ChiPhiNV_Ca[[#Headers],[Ca]:[Kết thúc]]),0)&gt; VLOOKUP(AZ$6, Table_ChiPhiNV_Ca[], COUNTA(Table_ChiPhiNV_Ca[[#Headers],[Ca]:[Bắt đầu]]),0),
IF($AA49-$Z$4&lt;MAX(AZ$4,VLOOKUP(AZ$6, Table_ChiPhiNV_Ca[], COUNTA(Table_ChiPhiNV_Ca[[#Headers],[Ca]:[Bắt đầu]]),0)),0,
IF($AA49&gt;MIN(AZ$5,VLOOKUP(AZ$6, Table_ChiPhiNV_Ca[], COUNTA(Table_ChiPhiNV_Ca[[#Headers],[Ca]:[Kết thúc]]),0)),0,
SUM(_xlfn._xlws.FILTER(Table_BangLuong_TyLeTangCa[Tỷ lệ],
(Table_BangLuong_TyLeTangCa[Ngày] = "Thường") *
(Table_BangLuong_TyLeTangCa[Giờ min]&lt;=$AA49) *
(Table_BangLuong_TyLeTangCa[Giờ max]&gt;$AA49)
)))),
IF(AZ$4 &gt; AZ$5,
IF(
AND(
$AA49-$Z$4&lt;MAX(AZ$4,VLOOKUP(AZ$6, Table_ChiPhiNV_Ca[], COUNTA(Table_ChiPhiNV_Ca[[#Headers],[Ca]:[Bắt đầu]]),0)),
$AA49&gt;MIN(AZ$5,VLOOKUP(AZ$6, Table_ChiPhiNV_Ca[], COUNTA(Table_ChiPhiNV_Ca[[#Headers],[Ca]:[Kết thúc]]),0))),0,
SUM(_xlfn._xlws.FILTER(Table_BangLuong_TyLeTangCa[Tỷ lệ],
(Table_BangLuong_TyLeTangCa[Ngày] = "Thường") *
(Table_BangLuong_TyLeTangCa[Giờ min]&lt;=$AA49) *
(Table_BangLuong_TyLeTangCa[Giờ max]&gt;$AA49)
))),
IF(
AND(
$AA49-$Z$4&gt;=MAX(AZ$4,VLOOKUP(AZ$6, Table_ChiPhiNV_Ca[], COUNTA(Table_ChiPhiNV_Ca[[#Headers],[Ca]:[Bắt đầu]]),0)),
$AA49&lt;MIN(AZ$5,VLOOKUP(AZ$6, Table_ChiPhiNV_Ca[], COUNTA(Table_ChiPhiNV_Ca[[#Headers],[Ca]:[Kết thúc]]),0))),
SUM(_xlfn._xlws.FILTER(Table_BangLuong_TyLeTangCa[Tỷ lệ],
(Table_BangLuong_TyLeTangCa[Ngày] = "Thường") *
(Table_BangLuong_TyLeTangCa[Giờ min]&lt;=$AA49) *
(Table_BangLuong_TyLeTangCa[Giờ max]&gt;$AA49)
)),0)
)),
IF(AZ$4 &lt; AZ$5,
IF($AA49-$Z$4&lt;AZ$4,0,
IF($AA49&gt;AZ$5,0,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AZ$5,$AA49 &lt; AZ$4),0,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A49" s="18" cm="1">
        <f t="array" ref="BA49" xml:space="preserve">
IFERROR(
IF(BA$1="",0,
IF(AND(
$AA49&gt;=VLOOKUP(BA$6, Table_ChiPhiNV_Ca[], COUNTA(Table_ChiPhiNV_Ca[[#Headers],[Ca]:[Bắt đầu nghỉ]]),0),
$AA49&lt;VLOOKUP(BA$6, Table_ChiPhiNV_Ca[], COUNTA(Table_ChiPhiNV_Ca[[#Headers],[Ca]:[Kết thúc nghỉ]]),0)
),0,
IF(NOT(ISBLANK(BA$3)),
IF(ISBLANK(BA$7),0,
IF(BA$4 &lt; BA$5,
IF($AA49-$Z$4&lt;BA$4,0,
IF($AA49&gt;BA$5,0,
SUM(_xlfn._xlws.FILTER(Table_BangLuong_TyLeTangCa[Tỷ lệ],
(Table_BangLuong_TyLeTangCa[Ngày] = BA$3) *
(Table_BangLuong_TyLeTangCa[Giờ min]&lt;=$AA49) *
(Table_BangLuong_TyLeTangCa[Giờ max]&gt;$AA49)
)))),
IF(AND($AA49-$Z$4 &gt;= BA$5,$AA49 &lt; BA$4),0,
SUM(_xlfn._xlws.FILTER(Table_BangLuong_TyLeTangCa[Tỷ lệ],
(Table_BangLuong_TyLeTangCa[Ngày] = BA$3) *
(Table_BangLuong_TyLeTangCa[Giờ min]&lt;=$AA49) *
(Table_BangLuong_TyLeTangCa[Giờ max]&gt;$AA49)
))))
),
IF(ISBLANK(BA$7),
IF(VLOOKUP(BA$6, Table_ChiPhiNV_Ca[], COUNTA(Table_ChiPhiNV_Ca[[#Headers],[Ca]:[Kết thúc]]),0)&gt; VLOOKUP(BA$6, Table_ChiPhiNV_Ca[], COUNTA(Table_ChiPhiNV_Ca[[#Headers],[Ca]:[Bắt đầu]]),0),
IF($AA49-$Z$4&lt;MAX(BA$4,VLOOKUP(BA$6, Table_ChiPhiNV_Ca[], COUNTA(Table_ChiPhiNV_Ca[[#Headers],[Ca]:[Bắt đầu]]),0)),0,
IF($AA49&gt;MIN(BA$5,VLOOKUP(BA$6, Table_ChiPhiNV_Ca[], COUNTA(Table_ChiPhiNV_Ca[[#Headers],[Ca]:[Kết thúc]]),0)),0,
SUM(_xlfn._xlws.FILTER(Table_BangLuong_TyLeTangCa[Tỷ lệ],
(Table_BangLuong_TyLeTangCa[Ngày] = "Thường") *
(Table_BangLuong_TyLeTangCa[Giờ min]&lt;=$AA49) *
(Table_BangLuong_TyLeTangCa[Giờ max]&gt;$AA49)
)))),
IF(BA$4 &gt; BA$5,
IF(
AND(
$AA49-$Z$4&lt;MAX(BA$4,VLOOKUP(BA$6, Table_ChiPhiNV_Ca[], COUNTA(Table_ChiPhiNV_Ca[[#Headers],[Ca]:[Bắt đầu]]),0)),
$AA49&gt;MIN(BA$5,VLOOKUP(BA$6, Table_ChiPhiNV_Ca[], COUNTA(Table_ChiPhiNV_Ca[[#Headers],[Ca]:[Kết thúc]]),0))),0,
SUM(_xlfn._xlws.FILTER(Table_BangLuong_TyLeTangCa[Tỷ lệ],
(Table_BangLuong_TyLeTangCa[Ngày] = "Thường") *
(Table_BangLuong_TyLeTangCa[Giờ min]&lt;=$AA49) *
(Table_BangLuong_TyLeTangCa[Giờ max]&gt;$AA49)
))),
IF(
AND(
$AA49-$Z$4&gt;=MAX(BA$4,VLOOKUP(BA$6, Table_ChiPhiNV_Ca[], COUNTA(Table_ChiPhiNV_Ca[[#Headers],[Ca]:[Bắt đầu]]),0)),
$AA49&lt;MIN(BA$5,VLOOKUP(BA$6, Table_ChiPhiNV_Ca[], COUNTA(Table_ChiPhiNV_Ca[[#Headers],[Ca]:[Kết thúc]]),0))),
SUM(_xlfn._xlws.FILTER(Table_BangLuong_TyLeTangCa[Tỷ lệ],
(Table_BangLuong_TyLeTangCa[Ngày] = "Thường") *
(Table_BangLuong_TyLeTangCa[Giờ min]&lt;=$AA49) *
(Table_BangLuong_TyLeTangCa[Giờ max]&gt;$AA49)
)),0)
)),
IF(BA$4 &lt; BA$5,
IF($AA49-$Z$4&lt;BA$4,0,
IF($AA49&gt;BA$5,0,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BA$5,$AA49 &lt; BA$4),0,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B49" s="18" cm="1">
        <f t="array" ref="BB49" xml:space="preserve">
IFERROR(
IF(BB$1="",0,
IF(AND(
$AA49&gt;=VLOOKUP(BB$6, Table_ChiPhiNV_Ca[], COUNTA(Table_ChiPhiNV_Ca[[#Headers],[Ca]:[Bắt đầu nghỉ]]),0),
$AA49&lt;VLOOKUP(BB$6, Table_ChiPhiNV_Ca[], COUNTA(Table_ChiPhiNV_Ca[[#Headers],[Ca]:[Kết thúc nghỉ]]),0)
),0,
IF(NOT(ISBLANK(BB$3)),
IF(ISBLANK(BB$7),0,
IF(BB$4 &lt; BB$5,
IF($AA49-$Z$4&lt;BB$4,0,
IF($AA49&gt;BB$5,0,
SUM(_xlfn._xlws.FILTER(Table_BangLuong_TyLeTangCa[Tỷ lệ],
(Table_BangLuong_TyLeTangCa[Ngày] = BB$3) *
(Table_BangLuong_TyLeTangCa[Giờ min]&lt;=$AA49) *
(Table_BangLuong_TyLeTangCa[Giờ max]&gt;$AA49)
)))),
IF(AND($AA49-$Z$4 &gt;= BB$5,$AA49 &lt; BB$4),0,
SUM(_xlfn._xlws.FILTER(Table_BangLuong_TyLeTangCa[Tỷ lệ],
(Table_BangLuong_TyLeTangCa[Ngày] = BB$3) *
(Table_BangLuong_TyLeTangCa[Giờ min]&lt;=$AA49) *
(Table_BangLuong_TyLeTangCa[Giờ max]&gt;$AA49)
))))
),
IF(ISBLANK(BB$7),
IF(VLOOKUP(BB$6, Table_ChiPhiNV_Ca[], COUNTA(Table_ChiPhiNV_Ca[[#Headers],[Ca]:[Kết thúc]]),0)&gt; VLOOKUP(BB$6, Table_ChiPhiNV_Ca[], COUNTA(Table_ChiPhiNV_Ca[[#Headers],[Ca]:[Bắt đầu]]),0),
IF($AA49-$Z$4&lt;MAX(BB$4,VLOOKUP(BB$6, Table_ChiPhiNV_Ca[], COUNTA(Table_ChiPhiNV_Ca[[#Headers],[Ca]:[Bắt đầu]]),0)),0,
IF($AA49&gt;MIN(BB$5,VLOOKUP(BB$6, Table_ChiPhiNV_Ca[], COUNTA(Table_ChiPhiNV_Ca[[#Headers],[Ca]:[Kết thúc]]),0)),0,
SUM(_xlfn._xlws.FILTER(Table_BangLuong_TyLeTangCa[Tỷ lệ],
(Table_BangLuong_TyLeTangCa[Ngày] = "Thường") *
(Table_BangLuong_TyLeTangCa[Giờ min]&lt;=$AA49) *
(Table_BangLuong_TyLeTangCa[Giờ max]&gt;$AA49)
)))),
IF(BB$4 &gt; BB$5,
IF(
AND(
$AA49-$Z$4&lt;MAX(BB$4,VLOOKUP(BB$6, Table_ChiPhiNV_Ca[], COUNTA(Table_ChiPhiNV_Ca[[#Headers],[Ca]:[Bắt đầu]]),0)),
$AA49&gt;MIN(BB$5,VLOOKUP(BB$6, Table_ChiPhiNV_Ca[], COUNTA(Table_ChiPhiNV_Ca[[#Headers],[Ca]:[Kết thúc]]),0))),0,
SUM(_xlfn._xlws.FILTER(Table_BangLuong_TyLeTangCa[Tỷ lệ],
(Table_BangLuong_TyLeTangCa[Ngày] = "Thường") *
(Table_BangLuong_TyLeTangCa[Giờ min]&lt;=$AA49) *
(Table_BangLuong_TyLeTangCa[Giờ max]&gt;$AA49)
))),
IF(
AND(
$AA49-$Z$4&gt;=MAX(BB$4,VLOOKUP(BB$6, Table_ChiPhiNV_Ca[], COUNTA(Table_ChiPhiNV_Ca[[#Headers],[Ca]:[Bắt đầu]]),0)),
$AA49&lt;MIN(BB$5,VLOOKUP(BB$6, Table_ChiPhiNV_Ca[], COUNTA(Table_ChiPhiNV_Ca[[#Headers],[Ca]:[Kết thúc]]),0))),
SUM(_xlfn._xlws.FILTER(Table_BangLuong_TyLeTangCa[Tỷ lệ],
(Table_BangLuong_TyLeTangCa[Ngày] = "Thường") *
(Table_BangLuong_TyLeTangCa[Giờ min]&lt;=$AA49) *
(Table_BangLuong_TyLeTangCa[Giờ max]&gt;$AA49)
)),0)
)),
IF(BB$4 &lt; BB$5,
IF($AA49-$Z$4&lt;BB$4,0,
IF($AA49&gt;BB$5,0,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BB$5,$AA49 &lt; BB$4),0,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C49" s="18" cm="1">
        <f t="array" ref="BC49" xml:space="preserve">
IFERROR(
IF(BC$1="",0,
IF(AND(
$AA49&gt;=VLOOKUP(BC$6, Table_ChiPhiNV_Ca[], COUNTA(Table_ChiPhiNV_Ca[[#Headers],[Ca]:[Bắt đầu nghỉ]]),0),
$AA49&lt;VLOOKUP(BC$6, Table_ChiPhiNV_Ca[], COUNTA(Table_ChiPhiNV_Ca[[#Headers],[Ca]:[Kết thúc nghỉ]]),0)
),0,
IF(NOT(ISBLANK(BC$3)),
IF(ISBLANK(BC$7),0,
IF(BC$4 &lt; BC$5,
IF($AA49-$Z$4&lt;BC$4,0,
IF($AA49&gt;BC$5,0,
SUM(_xlfn._xlws.FILTER(Table_BangLuong_TyLeTangCa[Tỷ lệ],
(Table_BangLuong_TyLeTangCa[Ngày] = BC$3) *
(Table_BangLuong_TyLeTangCa[Giờ min]&lt;=$AA49) *
(Table_BangLuong_TyLeTangCa[Giờ max]&gt;$AA49)
)))),
IF(AND($AA49-$Z$4 &gt;= BC$5,$AA49 &lt; BC$4),0,
SUM(_xlfn._xlws.FILTER(Table_BangLuong_TyLeTangCa[Tỷ lệ],
(Table_BangLuong_TyLeTangCa[Ngày] = BC$3) *
(Table_BangLuong_TyLeTangCa[Giờ min]&lt;=$AA49) *
(Table_BangLuong_TyLeTangCa[Giờ max]&gt;$AA49)
))))
),
IF(ISBLANK(BC$7),
IF(VLOOKUP(BC$6, Table_ChiPhiNV_Ca[], COUNTA(Table_ChiPhiNV_Ca[[#Headers],[Ca]:[Kết thúc]]),0)&gt; VLOOKUP(BC$6, Table_ChiPhiNV_Ca[], COUNTA(Table_ChiPhiNV_Ca[[#Headers],[Ca]:[Bắt đầu]]),0),
IF($AA49-$Z$4&lt;MAX(BC$4,VLOOKUP(BC$6, Table_ChiPhiNV_Ca[], COUNTA(Table_ChiPhiNV_Ca[[#Headers],[Ca]:[Bắt đầu]]),0)),0,
IF($AA49&gt;MIN(BC$5,VLOOKUP(BC$6, Table_ChiPhiNV_Ca[], COUNTA(Table_ChiPhiNV_Ca[[#Headers],[Ca]:[Kết thúc]]),0)),0,
SUM(_xlfn._xlws.FILTER(Table_BangLuong_TyLeTangCa[Tỷ lệ],
(Table_BangLuong_TyLeTangCa[Ngày] = "Thường") *
(Table_BangLuong_TyLeTangCa[Giờ min]&lt;=$AA49) *
(Table_BangLuong_TyLeTangCa[Giờ max]&gt;$AA49)
)))),
IF(BC$4 &gt; BC$5,
IF(
AND(
$AA49-$Z$4&lt;MAX(BC$4,VLOOKUP(BC$6, Table_ChiPhiNV_Ca[], COUNTA(Table_ChiPhiNV_Ca[[#Headers],[Ca]:[Bắt đầu]]),0)),
$AA49&gt;MIN(BC$5,VLOOKUP(BC$6, Table_ChiPhiNV_Ca[], COUNTA(Table_ChiPhiNV_Ca[[#Headers],[Ca]:[Kết thúc]]),0))),0,
SUM(_xlfn._xlws.FILTER(Table_BangLuong_TyLeTangCa[Tỷ lệ],
(Table_BangLuong_TyLeTangCa[Ngày] = "Thường") *
(Table_BangLuong_TyLeTangCa[Giờ min]&lt;=$AA49) *
(Table_BangLuong_TyLeTangCa[Giờ max]&gt;$AA49)
))),
IF(
AND(
$AA49-$Z$4&gt;=MAX(BC$4,VLOOKUP(BC$6, Table_ChiPhiNV_Ca[], COUNTA(Table_ChiPhiNV_Ca[[#Headers],[Ca]:[Bắt đầu]]),0)),
$AA49&lt;MIN(BC$5,VLOOKUP(BC$6, Table_ChiPhiNV_Ca[], COUNTA(Table_ChiPhiNV_Ca[[#Headers],[Ca]:[Kết thúc]]),0))),
SUM(_xlfn._xlws.FILTER(Table_BangLuong_TyLeTangCa[Tỷ lệ],
(Table_BangLuong_TyLeTangCa[Ngày] = "Thường") *
(Table_BangLuong_TyLeTangCa[Giờ min]&lt;=$AA49) *
(Table_BangLuong_TyLeTangCa[Giờ max]&gt;$AA49)
)),0)
)),
IF(BC$4 &lt; BC$5,
IF($AA49-$Z$4&lt;BC$4,0,
IF($AA49&gt;BC$5,0,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BC$5,$AA49 &lt; BC$4),0,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D49" s="18" cm="1">
        <f t="array" ref="BD49" xml:space="preserve">
IFERROR(
IF(BD$1="",0,
IF(AND(
$AA49&gt;=VLOOKUP(BD$6, Table_ChiPhiNV_Ca[], COUNTA(Table_ChiPhiNV_Ca[[#Headers],[Ca]:[Bắt đầu nghỉ]]),0),
$AA49&lt;VLOOKUP(BD$6, Table_ChiPhiNV_Ca[], COUNTA(Table_ChiPhiNV_Ca[[#Headers],[Ca]:[Kết thúc nghỉ]]),0)
),0,
IF(NOT(ISBLANK(BD$3)),
IF(ISBLANK(BD$7),0,
IF(BD$4 &lt; BD$5,
IF($AA49-$Z$4&lt;BD$4,0,
IF($AA49&gt;BD$5,0,
SUM(_xlfn._xlws.FILTER(Table_BangLuong_TyLeTangCa[Tỷ lệ],
(Table_BangLuong_TyLeTangCa[Ngày] = BD$3) *
(Table_BangLuong_TyLeTangCa[Giờ min]&lt;=$AA49) *
(Table_BangLuong_TyLeTangCa[Giờ max]&gt;$AA49)
)))),
IF(AND($AA49-$Z$4 &gt;= BD$5,$AA49 &lt; BD$4),0,
SUM(_xlfn._xlws.FILTER(Table_BangLuong_TyLeTangCa[Tỷ lệ],
(Table_BangLuong_TyLeTangCa[Ngày] = BD$3) *
(Table_BangLuong_TyLeTangCa[Giờ min]&lt;=$AA49) *
(Table_BangLuong_TyLeTangCa[Giờ max]&gt;$AA49)
))))
),
IF(ISBLANK(BD$7),
IF(VLOOKUP(BD$6, Table_ChiPhiNV_Ca[], COUNTA(Table_ChiPhiNV_Ca[[#Headers],[Ca]:[Kết thúc]]),0)&gt; VLOOKUP(BD$6, Table_ChiPhiNV_Ca[], COUNTA(Table_ChiPhiNV_Ca[[#Headers],[Ca]:[Bắt đầu]]),0),
IF($AA49-$Z$4&lt;MAX(BD$4,VLOOKUP(BD$6, Table_ChiPhiNV_Ca[], COUNTA(Table_ChiPhiNV_Ca[[#Headers],[Ca]:[Bắt đầu]]),0)),0,
IF($AA49&gt;MIN(BD$5,VLOOKUP(BD$6, Table_ChiPhiNV_Ca[], COUNTA(Table_ChiPhiNV_Ca[[#Headers],[Ca]:[Kết thúc]]),0)),0,
SUM(_xlfn._xlws.FILTER(Table_BangLuong_TyLeTangCa[Tỷ lệ],
(Table_BangLuong_TyLeTangCa[Ngày] = "Thường") *
(Table_BangLuong_TyLeTangCa[Giờ min]&lt;=$AA49) *
(Table_BangLuong_TyLeTangCa[Giờ max]&gt;$AA49)
)))),
IF(BD$4 &gt; BD$5,
IF(
AND(
$AA49-$Z$4&lt;MAX(BD$4,VLOOKUP(BD$6, Table_ChiPhiNV_Ca[], COUNTA(Table_ChiPhiNV_Ca[[#Headers],[Ca]:[Bắt đầu]]),0)),
$AA49&gt;MIN(BD$5,VLOOKUP(BD$6, Table_ChiPhiNV_Ca[], COUNTA(Table_ChiPhiNV_Ca[[#Headers],[Ca]:[Kết thúc]]),0))),0,
SUM(_xlfn._xlws.FILTER(Table_BangLuong_TyLeTangCa[Tỷ lệ],
(Table_BangLuong_TyLeTangCa[Ngày] = "Thường") *
(Table_BangLuong_TyLeTangCa[Giờ min]&lt;=$AA49) *
(Table_BangLuong_TyLeTangCa[Giờ max]&gt;$AA49)
))),
IF(
AND(
$AA49-$Z$4&gt;=MAX(BD$4,VLOOKUP(BD$6, Table_ChiPhiNV_Ca[], COUNTA(Table_ChiPhiNV_Ca[[#Headers],[Ca]:[Bắt đầu]]),0)),
$AA49&lt;MIN(BD$5,VLOOKUP(BD$6, Table_ChiPhiNV_Ca[], COUNTA(Table_ChiPhiNV_Ca[[#Headers],[Ca]:[Kết thúc]]),0))),
SUM(_xlfn._xlws.FILTER(Table_BangLuong_TyLeTangCa[Tỷ lệ],
(Table_BangLuong_TyLeTangCa[Ngày] = "Thường") *
(Table_BangLuong_TyLeTangCa[Giờ min]&lt;=$AA49) *
(Table_BangLuong_TyLeTangCa[Giờ max]&gt;$AA49)
)),0)
)),
IF(BD$4 &lt; BD$5,
IF($AA49-$Z$4&lt;BD$4,0,
IF($AA49&gt;BD$5,0,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BD$5,$AA49 &lt; BD$4),0,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E49" s="18" cm="1">
        <f t="array" ref="BE49" xml:space="preserve">
IFERROR(
IF(BE$1="",0,
IF(AND(
$AA49&gt;=VLOOKUP(BE$6, Table_ChiPhiNV_Ca[], COUNTA(Table_ChiPhiNV_Ca[[#Headers],[Ca]:[Bắt đầu nghỉ]]),0),
$AA49&lt;VLOOKUP(BE$6, Table_ChiPhiNV_Ca[], COUNTA(Table_ChiPhiNV_Ca[[#Headers],[Ca]:[Kết thúc nghỉ]]),0)
),0,
IF(NOT(ISBLANK(BE$3)),
IF(ISBLANK(BE$7),0,
IF(BE$4 &lt; BE$5,
IF($AA49-$Z$4&lt;BE$4,0,
IF($AA49&gt;BE$5,0,
SUM(_xlfn._xlws.FILTER(Table_BangLuong_TyLeTangCa[Tỷ lệ],
(Table_BangLuong_TyLeTangCa[Ngày] = BE$3) *
(Table_BangLuong_TyLeTangCa[Giờ min]&lt;=$AA49) *
(Table_BangLuong_TyLeTangCa[Giờ max]&gt;$AA49)
)))),
IF(AND($AA49-$Z$4 &gt;= BE$5,$AA49 &lt; BE$4),0,
SUM(_xlfn._xlws.FILTER(Table_BangLuong_TyLeTangCa[Tỷ lệ],
(Table_BangLuong_TyLeTangCa[Ngày] = BE$3) *
(Table_BangLuong_TyLeTangCa[Giờ min]&lt;=$AA49) *
(Table_BangLuong_TyLeTangCa[Giờ max]&gt;$AA49)
))))
),
IF(ISBLANK(BE$7),
IF(VLOOKUP(BE$6, Table_ChiPhiNV_Ca[], COUNTA(Table_ChiPhiNV_Ca[[#Headers],[Ca]:[Kết thúc]]),0)&gt; VLOOKUP(BE$6, Table_ChiPhiNV_Ca[], COUNTA(Table_ChiPhiNV_Ca[[#Headers],[Ca]:[Bắt đầu]]),0),
IF($AA49-$Z$4&lt;MAX(BE$4,VLOOKUP(BE$6, Table_ChiPhiNV_Ca[], COUNTA(Table_ChiPhiNV_Ca[[#Headers],[Ca]:[Bắt đầu]]),0)),0,
IF($AA49&gt;MIN(BE$5,VLOOKUP(BE$6, Table_ChiPhiNV_Ca[], COUNTA(Table_ChiPhiNV_Ca[[#Headers],[Ca]:[Kết thúc]]),0)),0,
SUM(_xlfn._xlws.FILTER(Table_BangLuong_TyLeTangCa[Tỷ lệ],
(Table_BangLuong_TyLeTangCa[Ngày] = "Thường") *
(Table_BangLuong_TyLeTangCa[Giờ min]&lt;=$AA49) *
(Table_BangLuong_TyLeTangCa[Giờ max]&gt;$AA49)
)))),
IF(BE$4 &gt; BE$5,
IF(
AND(
$AA49-$Z$4&lt;MAX(BE$4,VLOOKUP(BE$6, Table_ChiPhiNV_Ca[], COUNTA(Table_ChiPhiNV_Ca[[#Headers],[Ca]:[Bắt đầu]]),0)),
$AA49&gt;MIN(BE$5,VLOOKUP(BE$6, Table_ChiPhiNV_Ca[], COUNTA(Table_ChiPhiNV_Ca[[#Headers],[Ca]:[Kết thúc]]),0))),0,
SUM(_xlfn._xlws.FILTER(Table_BangLuong_TyLeTangCa[Tỷ lệ],
(Table_BangLuong_TyLeTangCa[Ngày] = "Thường") *
(Table_BangLuong_TyLeTangCa[Giờ min]&lt;=$AA49) *
(Table_BangLuong_TyLeTangCa[Giờ max]&gt;$AA49)
))),
IF(
AND(
$AA49-$Z$4&gt;=MAX(BE$4,VLOOKUP(BE$6, Table_ChiPhiNV_Ca[], COUNTA(Table_ChiPhiNV_Ca[[#Headers],[Ca]:[Bắt đầu]]),0)),
$AA49&lt;MIN(BE$5,VLOOKUP(BE$6, Table_ChiPhiNV_Ca[], COUNTA(Table_ChiPhiNV_Ca[[#Headers],[Ca]:[Kết thúc]]),0))),
SUM(_xlfn._xlws.FILTER(Table_BangLuong_TyLeTangCa[Tỷ lệ],
(Table_BangLuong_TyLeTangCa[Ngày] = "Thường") *
(Table_BangLuong_TyLeTangCa[Giờ min]&lt;=$AA49) *
(Table_BangLuong_TyLeTangCa[Giờ max]&gt;$AA49)
)),0)
)),
IF(BE$4 &lt; BE$5,
IF($AA49-$Z$4&lt;BE$4,0,
IF($AA49&gt;BE$5,0,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BE$5,$AA49 &lt; BE$4),0,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F49" s="18" cm="1">
        <f t="array" ref="BF49" xml:space="preserve">
IFERROR(
IF(BF$1="",0,
IF(AND(
$AA49&gt;=VLOOKUP(BF$6, Table_ChiPhiNV_Ca[], COUNTA(Table_ChiPhiNV_Ca[[#Headers],[Ca]:[Bắt đầu nghỉ]]),0),
$AA49&lt;VLOOKUP(BF$6, Table_ChiPhiNV_Ca[], COUNTA(Table_ChiPhiNV_Ca[[#Headers],[Ca]:[Kết thúc nghỉ]]),0)
),0,
IF(NOT(ISBLANK(BF$3)),
IF(ISBLANK(BF$7),0,
IF(BF$4 &lt; BF$5,
IF($AA49-$Z$4&lt;BF$4,0,
IF($AA49&gt;BF$5,0,
SUM(_xlfn._xlws.FILTER(Table_BangLuong_TyLeTangCa[Tỷ lệ],
(Table_BangLuong_TyLeTangCa[Ngày] = BF$3) *
(Table_BangLuong_TyLeTangCa[Giờ min]&lt;=$AA49) *
(Table_BangLuong_TyLeTangCa[Giờ max]&gt;$AA49)
)))),
IF(AND($AA49-$Z$4 &gt;= BF$5,$AA49 &lt; BF$4),0,
SUM(_xlfn._xlws.FILTER(Table_BangLuong_TyLeTangCa[Tỷ lệ],
(Table_BangLuong_TyLeTangCa[Ngày] = BF$3) *
(Table_BangLuong_TyLeTangCa[Giờ min]&lt;=$AA49) *
(Table_BangLuong_TyLeTangCa[Giờ max]&gt;$AA49)
))))
),
IF(ISBLANK(BF$7),
IF(VLOOKUP(BF$6, Table_ChiPhiNV_Ca[], COUNTA(Table_ChiPhiNV_Ca[[#Headers],[Ca]:[Kết thúc]]),0)&gt; VLOOKUP(BF$6, Table_ChiPhiNV_Ca[], COUNTA(Table_ChiPhiNV_Ca[[#Headers],[Ca]:[Bắt đầu]]),0),
IF($AA49-$Z$4&lt;MAX(BF$4,VLOOKUP(BF$6, Table_ChiPhiNV_Ca[], COUNTA(Table_ChiPhiNV_Ca[[#Headers],[Ca]:[Bắt đầu]]),0)),0,
IF($AA49&gt;MIN(BF$5,VLOOKUP(BF$6, Table_ChiPhiNV_Ca[], COUNTA(Table_ChiPhiNV_Ca[[#Headers],[Ca]:[Kết thúc]]),0)),0,
SUM(_xlfn._xlws.FILTER(Table_BangLuong_TyLeTangCa[Tỷ lệ],
(Table_BangLuong_TyLeTangCa[Ngày] = "Thường") *
(Table_BangLuong_TyLeTangCa[Giờ min]&lt;=$AA49) *
(Table_BangLuong_TyLeTangCa[Giờ max]&gt;$AA49)
)))),
IF(BF$4 &gt; BF$5,
IF(
AND(
$AA49-$Z$4&lt;MAX(BF$4,VLOOKUP(BF$6, Table_ChiPhiNV_Ca[], COUNTA(Table_ChiPhiNV_Ca[[#Headers],[Ca]:[Bắt đầu]]),0)),
$AA49&gt;MIN(BF$5,VLOOKUP(BF$6, Table_ChiPhiNV_Ca[], COUNTA(Table_ChiPhiNV_Ca[[#Headers],[Ca]:[Kết thúc]]),0))),0,
SUM(_xlfn._xlws.FILTER(Table_BangLuong_TyLeTangCa[Tỷ lệ],
(Table_BangLuong_TyLeTangCa[Ngày] = "Thường") *
(Table_BangLuong_TyLeTangCa[Giờ min]&lt;=$AA49) *
(Table_BangLuong_TyLeTangCa[Giờ max]&gt;$AA49)
))),
IF(
AND(
$AA49-$Z$4&gt;=MAX(BF$4,VLOOKUP(BF$6, Table_ChiPhiNV_Ca[], COUNTA(Table_ChiPhiNV_Ca[[#Headers],[Ca]:[Bắt đầu]]),0)),
$AA49&lt;MIN(BF$5,VLOOKUP(BF$6, Table_ChiPhiNV_Ca[], COUNTA(Table_ChiPhiNV_Ca[[#Headers],[Ca]:[Kết thúc]]),0))),
SUM(_xlfn._xlws.FILTER(Table_BangLuong_TyLeTangCa[Tỷ lệ],
(Table_BangLuong_TyLeTangCa[Ngày] = "Thường") *
(Table_BangLuong_TyLeTangCa[Giờ min]&lt;=$AA49) *
(Table_BangLuong_TyLeTangCa[Giờ max]&gt;$AA49)
)),0)
)),
IF(BF$4 &lt; BF$5,
IF($AA49-$Z$4&lt;BF$4,0,
IF($AA49&gt;BF$5,0,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BF$5,$AA49 &lt; BF$4),0,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row>
    <row r="50" spans="27:58" ht="18" customHeight="1" outlineLevel="1" x14ac:dyDescent="0.3">
      <c r="AA50" s="50">
        <v>0.85416666666666696</v>
      </c>
      <c r="AB50" s="18" cm="1">
        <f t="array" ref="AB50" xml:space="preserve">
IFERROR(
IF(AB$1="",0,
IF(AND(
$AA50&gt;=VLOOKUP(AB$6, Table_ChiPhiNV_Ca[], COUNTA(Table_ChiPhiNV_Ca[[#Headers],[Ca]:[Bắt đầu nghỉ]]),0),
$AA50&lt;VLOOKUP(AB$6, Table_ChiPhiNV_Ca[], COUNTA(Table_ChiPhiNV_Ca[[#Headers],[Ca]:[Kết thúc nghỉ]]),0)
),0,
IF(NOT(ISBLANK(AB$3)),
IF(ISBLANK(AB$7),0,
IF(AB$4 &lt; AB$5,
IF($AA50-$Z$4&lt;AB$4,0,
IF($AA50&gt;AB$5,0,
SUM(_xlfn._xlws.FILTER(Table_BangLuong_TyLeTangCa[Tỷ lệ],
(Table_BangLuong_TyLeTangCa[Ngày] = AB$3) *
(Table_BangLuong_TyLeTangCa[Giờ min]&lt;=$AA50) *
(Table_BangLuong_TyLeTangCa[Giờ max]&gt;$AA50)
)))),
IF(AND($AA50-$Z$4 &gt;= AB$5,$AA50 &lt; AB$4),0,
SUM(_xlfn._xlws.FILTER(Table_BangLuong_TyLeTangCa[Tỷ lệ],
(Table_BangLuong_TyLeTangCa[Ngày] = AB$3) *
(Table_BangLuong_TyLeTangCa[Giờ min]&lt;=$AA50) *
(Table_BangLuong_TyLeTangCa[Giờ max]&gt;$AA50)
))))
),
IF(ISBLANK(AB$7),
IF(VLOOKUP(AB$6, Table_ChiPhiNV_Ca[], COUNTA(Table_ChiPhiNV_Ca[[#Headers],[Ca]:[Kết thúc]]),0)&gt; VLOOKUP(AB$6, Table_ChiPhiNV_Ca[], COUNTA(Table_ChiPhiNV_Ca[[#Headers],[Ca]:[Bắt đầu]]),0),
IF($AA50-$Z$4&lt;MAX(AB$4,VLOOKUP(AB$6, Table_ChiPhiNV_Ca[], COUNTA(Table_ChiPhiNV_Ca[[#Headers],[Ca]:[Bắt đầu]]),0)),0,
IF($AA50&gt;MIN(AB$5,VLOOKUP(AB$6, Table_ChiPhiNV_Ca[], COUNTA(Table_ChiPhiNV_Ca[[#Headers],[Ca]:[Kết thúc]]),0)),0,
SUM(_xlfn._xlws.FILTER(Table_BangLuong_TyLeTangCa[Tỷ lệ],
(Table_BangLuong_TyLeTangCa[Ngày] = "Thường") *
(Table_BangLuong_TyLeTangCa[Giờ min]&lt;=$AA50) *
(Table_BangLuong_TyLeTangCa[Giờ max]&gt;$AA50)
)))),
IF(AB$4 &gt; AB$5,
IF(
AND(
$AA50-$Z$4&lt;MAX(AB$4,VLOOKUP(AB$6, Table_ChiPhiNV_Ca[], COUNTA(Table_ChiPhiNV_Ca[[#Headers],[Ca]:[Bắt đầu]]),0)),
$AA50&gt;MIN(AB$5,VLOOKUP(AB$6, Table_ChiPhiNV_Ca[], COUNTA(Table_ChiPhiNV_Ca[[#Headers],[Ca]:[Kết thúc]]),0))),0,
SUM(_xlfn._xlws.FILTER(Table_BangLuong_TyLeTangCa[Tỷ lệ],
(Table_BangLuong_TyLeTangCa[Ngày] = "Thường") *
(Table_BangLuong_TyLeTangCa[Giờ min]&lt;=$AA50) *
(Table_BangLuong_TyLeTangCa[Giờ max]&gt;$AA50)
))),
IF(
AND(
$AA50-$Z$4&gt;=MAX(AB$4,VLOOKUP(AB$6, Table_ChiPhiNV_Ca[], COUNTA(Table_ChiPhiNV_Ca[[#Headers],[Ca]:[Bắt đầu]]),0)),
$AA50&lt;MIN(AB$5,VLOOKUP(AB$6, Table_ChiPhiNV_Ca[], COUNTA(Table_ChiPhiNV_Ca[[#Headers],[Ca]:[Kết thúc]]),0))),
SUM(_xlfn._xlws.FILTER(Table_BangLuong_TyLeTangCa[Tỷ lệ],
(Table_BangLuong_TyLeTangCa[Ngày] = "Thường") *
(Table_BangLuong_TyLeTangCa[Giờ min]&lt;=$AA50) *
(Table_BangLuong_TyLeTangCa[Giờ max]&gt;$AA50)
)),0)
)),
IF(AB$4 &lt; AB$5,
IF($AA50-$Z$4&lt;AB$4,0,
IF($AA50&gt;AB$5,0,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AB$5,$AA50 &lt; AB$4),0,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C50" s="18" cm="1">
        <f t="array" ref="AC50" xml:space="preserve">
IFERROR(
IF(AC$1="",0,
IF(AND(
$AA50&gt;=VLOOKUP(AC$6, Table_ChiPhiNV_Ca[], COUNTA(Table_ChiPhiNV_Ca[[#Headers],[Ca]:[Bắt đầu nghỉ]]),0),
$AA50&lt;VLOOKUP(AC$6, Table_ChiPhiNV_Ca[], COUNTA(Table_ChiPhiNV_Ca[[#Headers],[Ca]:[Kết thúc nghỉ]]),0)
),0,
IF(NOT(ISBLANK(AC$3)),
IF(ISBLANK(AC$7),0,
IF(AC$4 &lt; AC$5,
IF($AA50-$Z$4&lt;AC$4,0,
IF($AA50&gt;AC$5,0,
SUM(_xlfn._xlws.FILTER(Table_BangLuong_TyLeTangCa[Tỷ lệ],
(Table_BangLuong_TyLeTangCa[Ngày] = AC$3) *
(Table_BangLuong_TyLeTangCa[Giờ min]&lt;=$AA50) *
(Table_BangLuong_TyLeTangCa[Giờ max]&gt;$AA50)
)))),
IF(AND($AA50-$Z$4 &gt;= AC$5,$AA50 &lt; AC$4),0,
SUM(_xlfn._xlws.FILTER(Table_BangLuong_TyLeTangCa[Tỷ lệ],
(Table_BangLuong_TyLeTangCa[Ngày] = AC$3) *
(Table_BangLuong_TyLeTangCa[Giờ min]&lt;=$AA50) *
(Table_BangLuong_TyLeTangCa[Giờ max]&gt;$AA50)
))))
),
IF(ISBLANK(AC$7),
IF(VLOOKUP(AC$6, Table_ChiPhiNV_Ca[], COUNTA(Table_ChiPhiNV_Ca[[#Headers],[Ca]:[Kết thúc]]),0)&gt; VLOOKUP(AC$6, Table_ChiPhiNV_Ca[], COUNTA(Table_ChiPhiNV_Ca[[#Headers],[Ca]:[Bắt đầu]]),0),
IF($AA50-$Z$4&lt;MAX(AC$4,VLOOKUP(AC$6, Table_ChiPhiNV_Ca[], COUNTA(Table_ChiPhiNV_Ca[[#Headers],[Ca]:[Bắt đầu]]),0)),0,
IF($AA50&gt;MIN(AC$5,VLOOKUP(AC$6, Table_ChiPhiNV_Ca[], COUNTA(Table_ChiPhiNV_Ca[[#Headers],[Ca]:[Kết thúc]]),0)),0,
SUM(_xlfn._xlws.FILTER(Table_BangLuong_TyLeTangCa[Tỷ lệ],
(Table_BangLuong_TyLeTangCa[Ngày] = "Thường") *
(Table_BangLuong_TyLeTangCa[Giờ min]&lt;=$AA50) *
(Table_BangLuong_TyLeTangCa[Giờ max]&gt;$AA50)
)))),
IF(AC$4 &gt; AC$5,
IF(
AND(
$AA50-$Z$4&lt;MAX(AC$4,VLOOKUP(AC$6, Table_ChiPhiNV_Ca[], COUNTA(Table_ChiPhiNV_Ca[[#Headers],[Ca]:[Bắt đầu]]),0)),
$AA50&gt;MIN(AC$5,VLOOKUP(AC$6, Table_ChiPhiNV_Ca[], COUNTA(Table_ChiPhiNV_Ca[[#Headers],[Ca]:[Kết thúc]]),0))),0,
SUM(_xlfn._xlws.FILTER(Table_BangLuong_TyLeTangCa[Tỷ lệ],
(Table_BangLuong_TyLeTangCa[Ngày] = "Thường") *
(Table_BangLuong_TyLeTangCa[Giờ min]&lt;=$AA50) *
(Table_BangLuong_TyLeTangCa[Giờ max]&gt;$AA50)
))),
IF(
AND(
$AA50-$Z$4&gt;=MAX(AC$4,VLOOKUP(AC$6, Table_ChiPhiNV_Ca[], COUNTA(Table_ChiPhiNV_Ca[[#Headers],[Ca]:[Bắt đầu]]),0)),
$AA50&lt;MIN(AC$5,VLOOKUP(AC$6, Table_ChiPhiNV_Ca[], COUNTA(Table_ChiPhiNV_Ca[[#Headers],[Ca]:[Kết thúc]]),0))),
SUM(_xlfn._xlws.FILTER(Table_BangLuong_TyLeTangCa[Tỷ lệ],
(Table_BangLuong_TyLeTangCa[Ngày] = "Thường") *
(Table_BangLuong_TyLeTangCa[Giờ min]&lt;=$AA50) *
(Table_BangLuong_TyLeTangCa[Giờ max]&gt;$AA50)
)),0)
)),
IF(AC$4 &lt; AC$5,
IF($AA50-$Z$4&lt;AC$4,0,
IF($AA50&gt;AC$5,0,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AC$5,$AA50 &lt; AC$4),0,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1.5</v>
      </c>
      <c r="AD50" s="18" cm="1">
        <f t="array" ref="AD50" xml:space="preserve">
IFERROR(
IF(AD$1="",0,
IF(AND(
$AA50&gt;=VLOOKUP(AD$6, Table_ChiPhiNV_Ca[], COUNTA(Table_ChiPhiNV_Ca[[#Headers],[Ca]:[Bắt đầu nghỉ]]),0),
$AA50&lt;VLOOKUP(AD$6, Table_ChiPhiNV_Ca[], COUNTA(Table_ChiPhiNV_Ca[[#Headers],[Ca]:[Kết thúc nghỉ]]),0)
),0,
IF(NOT(ISBLANK(AD$3)),
IF(ISBLANK(AD$7),0,
IF(AD$4 &lt; AD$5,
IF($AA50-$Z$4&lt;AD$4,0,
IF($AA50&gt;AD$5,0,
SUM(_xlfn._xlws.FILTER(Table_BangLuong_TyLeTangCa[Tỷ lệ],
(Table_BangLuong_TyLeTangCa[Ngày] = AD$3) *
(Table_BangLuong_TyLeTangCa[Giờ min]&lt;=$AA50) *
(Table_BangLuong_TyLeTangCa[Giờ max]&gt;$AA50)
)))),
IF(AND($AA50-$Z$4 &gt;= AD$5,$AA50 &lt; AD$4),0,
SUM(_xlfn._xlws.FILTER(Table_BangLuong_TyLeTangCa[Tỷ lệ],
(Table_BangLuong_TyLeTangCa[Ngày] = AD$3) *
(Table_BangLuong_TyLeTangCa[Giờ min]&lt;=$AA50) *
(Table_BangLuong_TyLeTangCa[Giờ max]&gt;$AA50)
))))
),
IF(ISBLANK(AD$7),
IF(VLOOKUP(AD$6, Table_ChiPhiNV_Ca[], COUNTA(Table_ChiPhiNV_Ca[[#Headers],[Ca]:[Kết thúc]]),0)&gt; VLOOKUP(AD$6, Table_ChiPhiNV_Ca[], COUNTA(Table_ChiPhiNV_Ca[[#Headers],[Ca]:[Bắt đầu]]),0),
IF($AA50-$Z$4&lt;MAX(AD$4,VLOOKUP(AD$6, Table_ChiPhiNV_Ca[], COUNTA(Table_ChiPhiNV_Ca[[#Headers],[Ca]:[Bắt đầu]]),0)),0,
IF($AA50&gt;MIN(AD$5,VLOOKUP(AD$6, Table_ChiPhiNV_Ca[], COUNTA(Table_ChiPhiNV_Ca[[#Headers],[Ca]:[Kết thúc]]),0)),0,
SUM(_xlfn._xlws.FILTER(Table_BangLuong_TyLeTangCa[Tỷ lệ],
(Table_BangLuong_TyLeTangCa[Ngày] = "Thường") *
(Table_BangLuong_TyLeTangCa[Giờ min]&lt;=$AA50) *
(Table_BangLuong_TyLeTangCa[Giờ max]&gt;$AA50)
)))),
IF(AD$4 &gt; AD$5,
IF(
AND(
$AA50-$Z$4&lt;MAX(AD$4,VLOOKUP(AD$6, Table_ChiPhiNV_Ca[], COUNTA(Table_ChiPhiNV_Ca[[#Headers],[Ca]:[Bắt đầu]]),0)),
$AA50&gt;MIN(AD$5,VLOOKUP(AD$6, Table_ChiPhiNV_Ca[], COUNTA(Table_ChiPhiNV_Ca[[#Headers],[Ca]:[Kết thúc]]),0))),0,
SUM(_xlfn._xlws.FILTER(Table_BangLuong_TyLeTangCa[Tỷ lệ],
(Table_BangLuong_TyLeTangCa[Ngày] = "Thường") *
(Table_BangLuong_TyLeTangCa[Giờ min]&lt;=$AA50) *
(Table_BangLuong_TyLeTangCa[Giờ max]&gt;$AA50)
))),
IF(
AND(
$AA50-$Z$4&gt;=MAX(AD$4,VLOOKUP(AD$6, Table_ChiPhiNV_Ca[], COUNTA(Table_ChiPhiNV_Ca[[#Headers],[Ca]:[Bắt đầu]]),0)),
$AA50&lt;MIN(AD$5,VLOOKUP(AD$6, Table_ChiPhiNV_Ca[], COUNTA(Table_ChiPhiNV_Ca[[#Headers],[Ca]:[Kết thúc]]),0))),
SUM(_xlfn._xlws.FILTER(Table_BangLuong_TyLeTangCa[Tỷ lệ],
(Table_BangLuong_TyLeTangCa[Ngày] = "Thường") *
(Table_BangLuong_TyLeTangCa[Giờ min]&lt;=$AA50) *
(Table_BangLuong_TyLeTangCa[Giờ max]&gt;$AA50)
)),0)
)),
IF(AD$4 &lt; AD$5,
IF($AA50-$Z$4&lt;AD$4,0,
IF($AA50&gt;AD$5,0,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AD$5,$AA50 &lt; AD$4),0,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E50" s="18" cm="1">
        <f t="array" ref="AE50" xml:space="preserve">
IFERROR(
IF(AE$1="",0,
IF(AND(
$AA50&gt;=VLOOKUP(AE$6, Table_ChiPhiNV_Ca[], COUNTA(Table_ChiPhiNV_Ca[[#Headers],[Ca]:[Bắt đầu nghỉ]]),0),
$AA50&lt;VLOOKUP(AE$6, Table_ChiPhiNV_Ca[], COUNTA(Table_ChiPhiNV_Ca[[#Headers],[Ca]:[Kết thúc nghỉ]]),0)
),0,
IF(NOT(ISBLANK(AE$3)),
IF(ISBLANK(AE$7),0,
IF(AE$4 &lt; AE$5,
IF($AA50-$Z$4&lt;AE$4,0,
IF($AA50&gt;AE$5,0,
SUM(_xlfn._xlws.FILTER(Table_BangLuong_TyLeTangCa[Tỷ lệ],
(Table_BangLuong_TyLeTangCa[Ngày] = AE$3) *
(Table_BangLuong_TyLeTangCa[Giờ min]&lt;=$AA50) *
(Table_BangLuong_TyLeTangCa[Giờ max]&gt;$AA50)
)))),
IF(AND($AA50-$Z$4 &gt;= AE$5,$AA50 &lt; AE$4),0,
SUM(_xlfn._xlws.FILTER(Table_BangLuong_TyLeTangCa[Tỷ lệ],
(Table_BangLuong_TyLeTangCa[Ngày] = AE$3) *
(Table_BangLuong_TyLeTangCa[Giờ min]&lt;=$AA50) *
(Table_BangLuong_TyLeTangCa[Giờ max]&gt;$AA50)
))))
),
IF(ISBLANK(AE$7),
IF(VLOOKUP(AE$6, Table_ChiPhiNV_Ca[], COUNTA(Table_ChiPhiNV_Ca[[#Headers],[Ca]:[Kết thúc]]),0)&gt; VLOOKUP(AE$6, Table_ChiPhiNV_Ca[], COUNTA(Table_ChiPhiNV_Ca[[#Headers],[Ca]:[Bắt đầu]]),0),
IF($AA50-$Z$4&lt;MAX(AE$4,VLOOKUP(AE$6, Table_ChiPhiNV_Ca[], COUNTA(Table_ChiPhiNV_Ca[[#Headers],[Ca]:[Bắt đầu]]),0)),0,
IF($AA50&gt;MIN(AE$5,VLOOKUP(AE$6, Table_ChiPhiNV_Ca[], COUNTA(Table_ChiPhiNV_Ca[[#Headers],[Ca]:[Kết thúc]]),0)),0,
SUM(_xlfn._xlws.FILTER(Table_BangLuong_TyLeTangCa[Tỷ lệ],
(Table_BangLuong_TyLeTangCa[Ngày] = "Thường") *
(Table_BangLuong_TyLeTangCa[Giờ min]&lt;=$AA50) *
(Table_BangLuong_TyLeTangCa[Giờ max]&gt;$AA50)
)))),
IF(AE$4 &gt; AE$5,
IF(
AND(
$AA50-$Z$4&lt;MAX(AE$4,VLOOKUP(AE$6, Table_ChiPhiNV_Ca[], COUNTA(Table_ChiPhiNV_Ca[[#Headers],[Ca]:[Bắt đầu]]),0)),
$AA50&gt;MIN(AE$5,VLOOKUP(AE$6, Table_ChiPhiNV_Ca[], COUNTA(Table_ChiPhiNV_Ca[[#Headers],[Ca]:[Kết thúc]]),0))),0,
SUM(_xlfn._xlws.FILTER(Table_BangLuong_TyLeTangCa[Tỷ lệ],
(Table_BangLuong_TyLeTangCa[Ngày] = "Thường") *
(Table_BangLuong_TyLeTangCa[Giờ min]&lt;=$AA50) *
(Table_BangLuong_TyLeTangCa[Giờ max]&gt;$AA50)
))),
IF(
AND(
$AA50-$Z$4&gt;=MAX(AE$4,VLOOKUP(AE$6, Table_ChiPhiNV_Ca[], COUNTA(Table_ChiPhiNV_Ca[[#Headers],[Ca]:[Bắt đầu]]),0)),
$AA50&lt;MIN(AE$5,VLOOKUP(AE$6, Table_ChiPhiNV_Ca[], COUNTA(Table_ChiPhiNV_Ca[[#Headers],[Ca]:[Kết thúc]]),0))),
SUM(_xlfn._xlws.FILTER(Table_BangLuong_TyLeTangCa[Tỷ lệ],
(Table_BangLuong_TyLeTangCa[Ngày] = "Thường") *
(Table_BangLuong_TyLeTangCa[Giờ min]&lt;=$AA50) *
(Table_BangLuong_TyLeTangCa[Giờ max]&gt;$AA50)
)),0)
)),
IF(AE$4 &lt; AE$5,
IF($AA50-$Z$4&lt;AE$4,0,
IF($AA50&gt;AE$5,0,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AE$5,$AA50 &lt; AE$4),0,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F50" s="18" cm="1">
        <f t="array" ref="AF50" xml:space="preserve">
IFERROR(
IF(AF$1="",0,
IF(AND(
$AA50&gt;=VLOOKUP(AF$6, Table_ChiPhiNV_Ca[], COUNTA(Table_ChiPhiNV_Ca[[#Headers],[Ca]:[Bắt đầu nghỉ]]),0),
$AA50&lt;VLOOKUP(AF$6, Table_ChiPhiNV_Ca[], COUNTA(Table_ChiPhiNV_Ca[[#Headers],[Ca]:[Kết thúc nghỉ]]),0)
),0,
IF(NOT(ISBLANK(AF$3)),
IF(ISBLANK(AF$7),0,
IF(AF$4 &lt; AF$5,
IF($AA50-$Z$4&lt;AF$4,0,
IF($AA50&gt;AF$5,0,
SUM(_xlfn._xlws.FILTER(Table_BangLuong_TyLeTangCa[Tỷ lệ],
(Table_BangLuong_TyLeTangCa[Ngày] = AF$3) *
(Table_BangLuong_TyLeTangCa[Giờ min]&lt;=$AA50) *
(Table_BangLuong_TyLeTangCa[Giờ max]&gt;$AA50)
)))),
IF(AND($AA50-$Z$4 &gt;= AF$5,$AA50 &lt; AF$4),0,
SUM(_xlfn._xlws.FILTER(Table_BangLuong_TyLeTangCa[Tỷ lệ],
(Table_BangLuong_TyLeTangCa[Ngày] = AF$3) *
(Table_BangLuong_TyLeTangCa[Giờ min]&lt;=$AA50) *
(Table_BangLuong_TyLeTangCa[Giờ max]&gt;$AA50)
))))
),
IF(ISBLANK(AF$7),
IF(VLOOKUP(AF$6, Table_ChiPhiNV_Ca[], COUNTA(Table_ChiPhiNV_Ca[[#Headers],[Ca]:[Kết thúc]]),0)&gt; VLOOKUP(AF$6, Table_ChiPhiNV_Ca[], COUNTA(Table_ChiPhiNV_Ca[[#Headers],[Ca]:[Bắt đầu]]),0),
IF($AA50-$Z$4&lt;MAX(AF$4,VLOOKUP(AF$6, Table_ChiPhiNV_Ca[], COUNTA(Table_ChiPhiNV_Ca[[#Headers],[Ca]:[Bắt đầu]]),0)),0,
IF($AA50&gt;MIN(AF$5,VLOOKUP(AF$6, Table_ChiPhiNV_Ca[], COUNTA(Table_ChiPhiNV_Ca[[#Headers],[Ca]:[Kết thúc]]),0)),0,
SUM(_xlfn._xlws.FILTER(Table_BangLuong_TyLeTangCa[Tỷ lệ],
(Table_BangLuong_TyLeTangCa[Ngày] = "Thường") *
(Table_BangLuong_TyLeTangCa[Giờ min]&lt;=$AA50) *
(Table_BangLuong_TyLeTangCa[Giờ max]&gt;$AA50)
)))),
IF(AF$4 &gt; AF$5,
IF(
AND(
$AA50-$Z$4&lt;MAX(AF$4,VLOOKUP(AF$6, Table_ChiPhiNV_Ca[], COUNTA(Table_ChiPhiNV_Ca[[#Headers],[Ca]:[Bắt đầu]]),0)),
$AA50&gt;MIN(AF$5,VLOOKUP(AF$6, Table_ChiPhiNV_Ca[], COUNTA(Table_ChiPhiNV_Ca[[#Headers],[Ca]:[Kết thúc]]),0))),0,
SUM(_xlfn._xlws.FILTER(Table_BangLuong_TyLeTangCa[Tỷ lệ],
(Table_BangLuong_TyLeTangCa[Ngày] = "Thường") *
(Table_BangLuong_TyLeTangCa[Giờ min]&lt;=$AA50) *
(Table_BangLuong_TyLeTangCa[Giờ max]&gt;$AA50)
))),
IF(
AND(
$AA50-$Z$4&gt;=MAX(AF$4,VLOOKUP(AF$6, Table_ChiPhiNV_Ca[], COUNTA(Table_ChiPhiNV_Ca[[#Headers],[Ca]:[Bắt đầu]]),0)),
$AA50&lt;MIN(AF$5,VLOOKUP(AF$6, Table_ChiPhiNV_Ca[], COUNTA(Table_ChiPhiNV_Ca[[#Headers],[Ca]:[Kết thúc]]),0))),
SUM(_xlfn._xlws.FILTER(Table_BangLuong_TyLeTangCa[Tỷ lệ],
(Table_BangLuong_TyLeTangCa[Ngày] = "Thường") *
(Table_BangLuong_TyLeTangCa[Giờ min]&lt;=$AA50) *
(Table_BangLuong_TyLeTangCa[Giờ max]&gt;$AA50)
)),0)
)),
IF(AF$4 &lt; AF$5,
IF($AA50-$Z$4&lt;AF$4,0,
IF($AA50&gt;AF$5,0,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AF$5,$AA50 &lt; AF$4),0,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G50" s="18" cm="1">
        <f t="array" ref="AG50" xml:space="preserve">
IFERROR(
IF(AG$1="",0,
IF(AND(
$AA50&gt;=VLOOKUP(AG$6, Table_ChiPhiNV_Ca[], COUNTA(Table_ChiPhiNV_Ca[[#Headers],[Ca]:[Bắt đầu nghỉ]]),0),
$AA50&lt;VLOOKUP(AG$6, Table_ChiPhiNV_Ca[], COUNTA(Table_ChiPhiNV_Ca[[#Headers],[Ca]:[Kết thúc nghỉ]]),0)
),0,
IF(NOT(ISBLANK(AG$3)),
IF(ISBLANK(AG$7),0,
IF(AG$4 &lt; AG$5,
IF($AA50-$Z$4&lt;AG$4,0,
IF($AA50&gt;AG$5,0,
SUM(_xlfn._xlws.FILTER(Table_BangLuong_TyLeTangCa[Tỷ lệ],
(Table_BangLuong_TyLeTangCa[Ngày] = AG$3) *
(Table_BangLuong_TyLeTangCa[Giờ min]&lt;=$AA50) *
(Table_BangLuong_TyLeTangCa[Giờ max]&gt;$AA50)
)))),
IF(AND($AA50-$Z$4 &gt;= AG$5,$AA50 &lt; AG$4),0,
SUM(_xlfn._xlws.FILTER(Table_BangLuong_TyLeTangCa[Tỷ lệ],
(Table_BangLuong_TyLeTangCa[Ngày] = AG$3) *
(Table_BangLuong_TyLeTangCa[Giờ min]&lt;=$AA50) *
(Table_BangLuong_TyLeTangCa[Giờ max]&gt;$AA50)
))))
),
IF(ISBLANK(AG$7),
IF(VLOOKUP(AG$6, Table_ChiPhiNV_Ca[], COUNTA(Table_ChiPhiNV_Ca[[#Headers],[Ca]:[Kết thúc]]),0)&gt; VLOOKUP(AG$6, Table_ChiPhiNV_Ca[], COUNTA(Table_ChiPhiNV_Ca[[#Headers],[Ca]:[Bắt đầu]]),0),
IF($AA50-$Z$4&lt;MAX(AG$4,VLOOKUP(AG$6, Table_ChiPhiNV_Ca[], COUNTA(Table_ChiPhiNV_Ca[[#Headers],[Ca]:[Bắt đầu]]),0)),0,
IF($AA50&gt;MIN(AG$5,VLOOKUP(AG$6, Table_ChiPhiNV_Ca[], COUNTA(Table_ChiPhiNV_Ca[[#Headers],[Ca]:[Kết thúc]]),0)),0,
SUM(_xlfn._xlws.FILTER(Table_BangLuong_TyLeTangCa[Tỷ lệ],
(Table_BangLuong_TyLeTangCa[Ngày] = "Thường") *
(Table_BangLuong_TyLeTangCa[Giờ min]&lt;=$AA50) *
(Table_BangLuong_TyLeTangCa[Giờ max]&gt;$AA50)
)))),
IF(AG$4 &gt; AG$5,
IF(
AND(
$AA50-$Z$4&lt;MAX(AG$4,VLOOKUP(AG$6, Table_ChiPhiNV_Ca[], COUNTA(Table_ChiPhiNV_Ca[[#Headers],[Ca]:[Bắt đầu]]),0)),
$AA50&gt;MIN(AG$5,VLOOKUP(AG$6, Table_ChiPhiNV_Ca[], COUNTA(Table_ChiPhiNV_Ca[[#Headers],[Ca]:[Kết thúc]]),0))),0,
SUM(_xlfn._xlws.FILTER(Table_BangLuong_TyLeTangCa[Tỷ lệ],
(Table_BangLuong_TyLeTangCa[Ngày] = "Thường") *
(Table_BangLuong_TyLeTangCa[Giờ min]&lt;=$AA50) *
(Table_BangLuong_TyLeTangCa[Giờ max]&gt;$AA50)
))),
IF(
AND(
$AA50-$Z$4&gt;=MAX(AG$4,VLOOKUP(AG$6, Table_ChiPhiNV_Ca[], COUNTA(Table_ChiPhiNV_Ca[[#Headers],[Ca]:[Bắt đầu]]),0)),
$AA50&lt;MIN(AG$5,VLOOKUP(AG$6, Table_ChiPhiNV_Ca[], COUNTA(Table_ChiPhiNV_Ca[[#Headers],[Ca]:[Kết thúc]]),0))),
SUM(_xlfn._xlws.FILTER(Table_BangLuong_TyLeTangCa[Tỷ lệ],
(Table_BangLuong_TyLeTangCa[Ngày] = "Thường") *
(Table_BangLuong_TyLeTangCa[Giờ min]&lt;=$AA50) *
(Table_BangLuong_TyLeTangCa[Giờ max]&gt;$AA50)
)),0)
)),
IF(AG$4 &lt; AG$5,
IF($AA50-$Z$4&lt;AG$4,0,
IF($AA50&gt;AG$5,0,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AG$5,$AA50 &lt; AG$4),0,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H50" s="18" cm="1">
        <f t="array" ref="AH50" xml:space="preserve">
IFERROR(
IF(AH$1="",0,
IF(AND(
$AA50&gt;=VLOOKUP(AH$6, Table_ChiPhiNV_Ca[], COUNTA(Table_ChiPhiNV_Ca[[#Headers],[Ca]:[Bắt đầu nghỉ]]),0),
$AA50&lt;VLOOKUP(AH$6, Table_ChiPhiNV_Ca[], COUNTA(Table_ChiPhiNV_Ca[[#Headers],[Ca]:[Kết thúc nghỉ]]),0)
),0,
IF(NOT(ISBLANK(AH$3)),
IF(ISBLANK(AH$7),0,
IF(AH$4 &lt; AH$5,
IF($AA50-$Z$4&lt;AH$4,0,
IF($AA50&gt;AH$5,0,
SUM(_xlfn._xlws.FILTER(Table_BangLuong_TyLeTangCa[Tỷ lệ],
(Table_BangLuong_TyLeTangCa[Ngày] = AH$3) *
(Table_BangLuong_TyLeTangCa[Giờ min]&lt;=$AA50) *
(Table_BangLuong_TyLeTangCa[Giờ max]&gt;$AA50)
)))),
IF(AND($AA50-$Z$4 &gt;= AH$5,$AA50 &lt; AH$4),0,
SUM(_xlfn._xlws.FILTER(Table_BangLuong_TyLeTangCa[Tỷ lệ],
(Table_BangLuong_TyLeTangCa[Ngày] = AH$3) *
(Table_BangLuong_TyLeTangCa[Giờ min]&lt;=$AA50) *
(Table_BangLuong_TyLeTangCa[Giờ max]&gt;$AA50)
))))
),
IF(ISBLANK(AH$7),
IF(VLOOKUP(AH$6, Table_ChiPhiNV_Ca[], COUNTA(Table_ChiPhiNV_Ca[[#Headers],[Ca]:[Kết thúc]]),0)&gt; VLOOKUP(AH$6, Table_ChiPhiNV_Ca[], COUNTA(Table_ChiPhiNV_Ca[[#Headers],[Ca]:[Bắt đầu]]),0),
IF($AA50-$Z$4&lt;MAX(AH$4,VLOOKUP(AH$6, Table_ChiPhiNV_Ca[], COUNTA(Table_ChiPhiNV_Ca[[#Headers],[Ca]:[Bắt đầu]]),0)),0,
IF($AA50&gt;MIN(AH$5,VLOOKUP(AH$6, Table_ChiPhiNV_Ca[], COUNTA(Table_ChiPhiNV_Ca[[#Headers],[Ca]:[Kết thúc]]),0)),0,
SUM(_xlfn._xlws.FILTER(Table_BangLuong_TyLeTangCa[Tỷ lệ],
(Table_BangLuong_TyLeTangCa[Ngày] = "Thường") *
(Table_BangLuong_TyLeTangCa[Giờ min]&lt;=$AA50) *
(Table_BangLuong_TyLeTangCa[Giờ max]&gt;$AA50)
)))),
IF(AH$4 &gt; AH$5,
IF(
AND(
$AA50-$Z$4&lt;MAX(AH$4,VLOOKUP(AH$6, Table_ChiPhiNV_Ca[], COUNTA(Table_ChiPhiNV_Ca[[#Headers],[Ca]:[Bắt đầu]]),0)),
$AA50&gt;MIN(AH$5,VLOOKUP(AH$6, Table_ChiPhiNV_Ca[], COUNTA(Table_ChiPhiNV_Ca[[#Headers],[Ca]:[Kết thúc]]),0))),0,
SUM(_xlfn._xlws.FILTER(Table_BangLuong_TyLeTangCa[Tỷ lệ],
(Table_BangLuong_TyLeTangCa[Ngày] = "Thường") *
(Table_BangLuong_TyLeTangCa[Giờ min]&lt;=$AA50) *
(Table_BangLuong_TyLeTangCa[Giờ max]&gt;$AA50)
))),
IF(
AND(
$AA50-$Z$4&gt;=MAX(AH$4,VLOOKUP(AH$6, Table_ChiPhiNV_Ca[], COUNTA(Table_ChiPhiNV_Ca[[#Headers],[Ca]:[Bắt đầu]]),0)),
$AA50&lt;MIN(AH$5,VLOOKUP(AH$6, Table_ChiPhiNV_Ca[], COUNTA(Table_ChiPhiNV_Ca[[#Headers],[Ca]:[Kết thúc]]),0))),
SUM(_xlfn._xlws.FILTER(Table_BangLuong_TyLeTangCa[Tỷ lệ],
(Table_BangLuong_TyLeTangCa[Ngày] = "Thường") *
(Table_BangLuong_TyLeTangCa[Giờ min]&lt;=$AA50) *
(Table_BangLuong_TyLeTangCa[Giờ max]&gt;$AA50)
)),0)
)),
IF(AH$4 &lt; AH$5,
IF($AA50-$Z$4&lt;AH$4,0,
IF($AA50&gt;AH$5,0,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AH$5,$AA50 &lt; AH$4),0,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I50" s="18" cm="1">
        <f t="array" ref="AI50" xml:space="preserve">
IFERROR(
IF(AI$1="",0,
IF(AND(
$AA50&gt;=VLOOKUP(AI$6, Table_ChiPhiNV_Ca[], COUNTA(Table_ChiPhiNV_Ca[[#Headers],[Ca]:[Bắt đầu nghỉ]]),0),
$AA50&lt;VLOOKUP(AI$6, Table_ChiPhiNV_Ca[], COUNTA(Table_ChiPhiNV_Ca[[#Headers],[Ca]:[Kết thúc nghỉ]]),0)
),0,
IF(NOT(ISBLANK(AI$3)),
IF(ISBLANK(AI$7),0,
IF(AI$4 &lt; AI$5,
IF($AA50-$Z$4&lt;AI$4,0,
IF($AA50&gt;AI$5,0,
SUM(_xlfn._xlws.FILTER(Table_BangLuong_TyLeTangCa[Tỷ lệ],
(Table_BangLuong_TyLeTangCa[Ngày] = AI$3) *
(Table_BangLuong_TyLeTangCa[Giờ min]&lt;=$AA50) *
(Table_BangLuong_TyLeTangCa[Giờ max]&gt;$AA50)
)))),
IF(AND($AA50-$Z$4 &gt;= AI$5,$AA50 &lt; AI$4),0,
SUM(_xlfn._xlws.FILTER(Table_BangLuong_TyLeTangCa[Tỷ lệ],
(Table_BangLuong_TyLeTangCa[Ngày] = AI$3) *
(Table_BangLuong_TyLeTangCa[Giờ min]&lt;=$AA50) *
(Table_BangLuong_TyLeTangCa[Giờ max]&gt;$AA50)
))))
),
IF(ISBLANK(AI$7),
IF(VLOOKUP(AI$6, Table_ChiPhiNV_Ca[], COUNTA(Table_ChiPhiNV_Ca[[#Headers],[Ca]:[Kết thúc]]),0)&gt; VLOOKUP(AI$6, Table_ChiPhiNV_Ca[], COUNTA(Table_ChiPhiNV_Ca[[#Headers],[Ca]:[Bắt đầu]]),0),
IF($AA50-$Z$4&lt;MAX(AI$4,VLOOKUP(AI$6, Table_ChiPhiNV_Ca[], COUNTA(Table_ChiPhiNV_Ca[[#Headers],[Ca]:[Bắt đầu]]),0)),0,
IF($AA50&gt;MIN(AI$5,VLOOKUP(AI$6, Table_ChiPhiNV_Ca[], COUNTA(Table_ChiPhiNV_Ca[[#Headers],[Ca]:[Kết thúc]]),0)),0,
SUM(_xlfn._xlws.FILTER(Table_BangLuong_TyLeTangCa[Tỷ lệ],
(Table_BangLuong_TyLeTangCa[Ngày] = "Thường") *
(Table_BangLuong_TyLeTangCa[Giờ min]&lt;=$AA50) *
(Table_BangLuong_TyLeTangCa[Giờ max]&gt;$AA50)
)))),
IF(AI$4 &gt; AI$5,
IF(
AND(
$AA50-$Z$4&lt;MAX(AI$4,VLOOKUP(AI$6, Table_ChiPhiNV_Ca[], COUNTA(Table_ChiPhiNV_Ca[[#Headers],[Ca]:[Bắt đầu]]),0)),
$AA50&gt;MIN(AI$5,VLOOKUP(AI$6, Table_ChiPhiNV_Ca[], COUNTA(Table_ChiPhiNV_Ca[[#Headers],[Ca]:[Kết thúc]]),0))),0,
SUM(_xlfn._xlws.FILTER(Table_BangLuong_TyLeTangCa[Tỷ lệ],
(Table_BangLuong_TyLeTangCa[Ngày] = "Thường") *
(Table_BangLuong_TyLeTangCa[Giờ min]&lt;=$AA50) *
(Table_BangLuong_TyLeTangCa[Giờ max]&gt;$AA50)
))),
IF(
AND(
$AA50-$Z$4&gt;=MAX(AI$4,VLOOKUP(AI$6, Table_ChiPhiNV_Ca[], COUNTA(Table_ChiPhiNV_Ca[[#Headers],[Ca]:[Bắt đầu]]),0)),
$AA50&lt;MIN(AI$5,VLOOKUP(AI$6, Table_ChiPhiNV_Ca[], COUNTA(Table_ChiPhiNV_Ca[[#Headers],[Ca]:[Kết thúc]]),0))),
SUM(_xlfn._xlws.FILTER(Table_BangLuong_TyLeTangCa[Tỷ lệ],
(Table_BangLuong_TyLeTangCa[Ngày] = "Thường") *
(Table_BangLuong_TyLeTangCa[Giờ min]&lt;=$AA50) *
(Table_BangLuong_TyLeTangCa[Giờ max]&gt;$AA50)
)),0)
)),
IF(AI$4 &lt; AI$5,
IF($AA50-$Z$4&lt;AI$4,0,
IF($AA50&gt;AI$5,0,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AI$5,$AA50 &lt; AI$4),0,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J50" s="18" cm="1">
        <f t="array" ref="AJ50" xml:space="preserve">
IFERROR(
IF(AJ$1="",0,
IF(AND(
$AA50&gt;=VLOOKUP(AJ$6, Table_ChiPhiNV_Ca[], COUNTA(Table_ChiPhiNV_Ca[[#Headers],[Ca]:[Bắt đầu nghỉ]]),0),
$AA50&lt;VLOOKUP(AJ$6, Table_ChiPhiNV_Ca[], COUNTA(Table_ChiPhiNV_Ca[[#Headers],[Ca]:[Kết thúc nghỉ]]),0)
),0,
IF(NOT(ISBLANK(AJ$3)),
IF(ISBLANK(AJ$7),0,
IF(AJ$4 &lt; AJ$5,
IF($AA50-$Z$4&lt;AJ$4,0,
IF($AA50&gt;AJ$5,0,
SUM(_xlfn._xlws.FILTER(Table_BangLuong_TyLeTangCa[Tỷ lệ],
(Table_BangLuong_TyLeTangCa[Ngày] = AJ$3) *
(Table_BangLuong_TyLeTangCa[Giờ min]&lt;=$AA50) *
(Table_BangLuong_TyLeTangCa[Giờ max]&gt;$AA50)
)))),
IF(AND($AA50-$Z$4 &gt;= AJ$5,$AA50 &lt; AJ$4),0,
SUM(_xlfn._xlws.FILTER(Table_BangLuong_TyLeTangCa[Tỷ lệ],
(Table_BangLuong_TyLeTangCa[Ngày] = AJ$3) *
(Table_BangLuong_TyLeTangCa[Giờ min]&lt;=$AA50) *
(Table_BangLuong_TyLeTangCa[Giờ max]&gt;$AA50)
))))
),
IF(ISBLANK(AJ$7),
IF(VLOOKUP(AJ$6, Table_ChiPhiNV_Ca[], COUNTA(Table_ChiPhiNV_Ca[[#Headers],[Ca]:[Kết thúc]]),0)&gt; VLOOKUP(AJ$6, Table_ChiPhiNV_Ca[], COUNTA(Table_ChiPhiNV_Ca[[#Headers],[Ca]:[Bắt đầu]]),0),
IF($AA50-$Z$4&lt;MAX(AJ$4,VLOOKUP(AJ$6, Table_ChiPhiNV_Ca[], COUNTA(Table_ChiPhiNV_Ca[[#Headers],[Ca]:[Bắt đầu]]),0)),0,
IF($AA50&gt;MIN(AJ$5,VLOOKUP(AJ$6, Table_ChiPhiNV_Ca[], COUNTA(Table_ChiPhiNV_Ca[[#Headers],[Ca]:[Kết thúc]]),0)),0,
SUM(_xlfn._xlws.FILTER(Table_BangLuong_TyLeTangCa[Tỷ lệ],
(Table_BangLuong_TyLeTangCa[Ngày] = "Thường") *
(Table_BangLuong_TyLeTangCa[Giờ min]&lt;=$AA50) *
(Table_BangLuong_TyLeTangCa[Giờ max]&gt;$AA50)
)))),
IF(AJ$4 &gt; AJ$5,
IF(
AND(
$AA50-$Z$4&lt;MAX(AJ$4,VLOOKUP(AJ$6, Table_ChiPhiNV_Ca[], COUNTA(Table_ChiPhiNV_Ca[[#Headers],[Ca]:[Bắt đầu]]),0)),
$AA50&gt;MIN(AJ$5,VLOOKUP(AJ$6, Table_ChiPhiNV_Ca[], COUNTA(Table_ChiPhiNV_Ca[[#Headers],[Ca]:[Kết thúc]]),0))),0,
SUM(_xlfn._xlws.FILTER(Table_BangLuong_TyLeTangCa[Tỷ lệ],
(Table_BangLuong_TyLeTangCa[Ngày] = "Thường") *
(Table_BangLuong_TyLeTangCa[Giờ min]&lt;=$AA50) *
(Table_BangLuong_TyLeTangCa[Giờ max]&gt;$AA50)
))),
IF(
AND(
$AA50-$Z$4&gt;=MAX(AJ$4,VLOOKUP(AJ$6, Table_ChiPhiNV_Ca[], COUNTA(Table_ChiPhiNV_Ca[[#Headers],[Ca]:[Bắt đầu]]),0)),
$AA50&lt;MIN(AJ$5,VLOOKUP(AJ$6, Table_ChiPhiNV_Ca[], COUNTA(Table_ChiPhiNV_Ca[[#Headers],[Ca]:[Kết thúc]]),0))),
SUM(_xlfn._xlws.FILTER(Table_BangLuong_TyLeTangCa[Tỷ lệ],
(Table_BangLuong_TyLeTangCa[Ngày] = "Thường") *
(Table_BangLuong_TyLeTangCa[Giờ min]&lt;=$AA50) *
(Table_BangLuong_TyLeTangCa[Giờ max]&gt;$AA50)
)),0)
)),
IF(AJ$4 &lt; AJ$5,
IF($AA50-$Z$4&lt;AJ$4,0,
IF($AA50&gt;AJ$5,0,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AJ$5,$AA50 &lt; AJ$4),0,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K50" s="18" cm="1">
        <f t="array" ref="AK50" xml:space="preserve">
IFERROR(
IF(AK$1="",0,
IF(AND(
$AA50&gt;=VLOOKUP(AK$6, Table_ChiPhiNV_Ca[], COUNTA(Table_ChiPhiNV_Ca[[#Headers],[Ca]:[Bắt đầu nghỉ]]),0),
$AA50&lt;VLOOKUP(AK$6, Table_ChiPhiNV_Ca[], COUNTA(Table_ChiPhiNV_Ca[[#Headers],[Ca]:[Kết thúc nghỉ]]),0)
),0,
IF(NOT(ISBLANK(AK$3)),
IF(ISBLANK(AK$7),0,
IF(AK$4 &lt; AK$5,
IF($AA50-$Z$4&lt;AK$4,0,
IF($AA50&gt;AK$5,0,
SUM(_xlfn._xlws.FILTER(Table_BangLuong_TyLeTangCa[Tỷ lệ],
(Table_BangLuong_TyLeTangCa[Ngày] = AK$3) *
(Table_BangLuong_TyLeTangCa[Giờ min]&lt;=$AA50) *
(Table_BangLuong_TyLeTangCa[Giờ max]&gt;$AA50)
)))),
IF(AND($AA50-$Z$4 &gt;= AK$5,$AA50 &lt; AK$4),0,
SUM(_xlfn._xlws.FILTER(Table_BangLuong_TyLeTangCa[Tỷ lệ],
(Table_BangLuong_TyLeTangCa[Ngày] = AK$3) *
(Table_BangLuong_TyLeTangCa[Giờ min]&lt;=$AA50) *
(Table_BangLuong_TyLeTangCa[Giờ max]&gt;$AA50)
))))
),
IF(ISBLANK(AK$7),
IF(VLOOKUP(AK$6, Table_ChiPhiNV_Ca[], COUNTA(Table_ChiPhiNV_Ca[[#Headers],[Ca]:[Kết thúc]]),0)&gt; VLOOKUP(AK$6, Table_ChiPhiNV_Ca[], COUNTA(Table_ChiPhiNV_Ca[[#Headers],[Ca]:[Bắt đầu]]),0),
IF($AA50-$Z$4&lt;MAX(AK$4,VLOOKUP(AK$6, Table_ChiPhiNV_Ca[], COUNTA(Table_ChiPhiNV_Ca[[#Headers],[Ca]:[Bắt đầu]]),0)),0,
IF($AA50&gt;MIN(AK$5,VLOOKUP(AK$6, Table_ChiPhiNV_Ca[], COUNTA(Table_ChiPhiNV_Ca[[#Headers],[Ca]:[Kết thúc]]),0)),0,
SUM(_xlfn._xlws.FILTER(Table_BangLuong_TyLeTangCa[Tỷ lệ],
(Table_BangLuong_TyLeTangCa[Ngày] = "Thường") *
(Table_BangLuong_TyLeTangCa[Giờ min]&lt;=$AA50) *
(Table_BangLuong_TyLeTangCa[Giờ max]&gt;$AA50)
)))),
IF(AK$4 &gt; AK$5,
IF(
AND(
$AA50-$Z$4&lt;MAX(AK$4,VLOOKUP(AK$6, Table_ChiPhiNV_Ca[], COUNTA(Table_ChiPhiNV_Ca[[#Headers],[Ca]:[Bắt đầu]]),0)),
$AA50&gt;MIN(AK$5,VLOOKUP(AK$6, Table_ChiPhiNV_Ca[], COUNTA(Table_ChiPhiNV_Ca[[#Headers],[Ca]:[Kết thúc]]),0))),0,
SUM(_xlfn._xlws.FILTER(Table_BangLuong_TyLeTangCa[Tỷ lệ],
(Table_BangLuong_TyLeTangCa[Ngày] = "Thường") *
(Table_BangLuong_TyLeTangCa[Giờ min]&lt;=$AA50) *
(Table_BangLuong_TyLeTangCa[Giờ max]&gt;$AA50)
))),
IF(
AND(
$AA50-$Z$4&gt;=MAX(AK$4,VLOOKUP(AK$6, Table_ChiPhiNV_Ca[], COUNTA(Table_ChiPhiNV_Ca[[#Headers],[Ca]:[Bắt đầu]]),0)),
$AA50&lt;MIN(AK$5,VLOOKUP(AK$6, Table_ChiPhiNV_Ca[], COUNTA(Table_ChiPhiNV_Ca[[#Headers],[Ca]:[Kết thúc]]),0))),
SUM(_xlfn._xlws.FILTER(Table_BangLuong_TyLeTangCa[Tỷ lệ],
(Table_BangLuong_TyLeTangCa[Ngày] = "Thường") *
(Table_BangLuong_TyLeTangCa[Giờ min]&lt;=$AA50) *
(Table_BangLuong_TyLeTangCa[Giờ max]&gt;$AA50)
)),0)
)),
IF(AK$4 &lt; AK$5,
IF($AA50-$Z$4&lt;AK$4,0,
IF($AA50&gt;AK$5,0,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AK$5,$AA50 &lt; AK$4),0,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L50" s="18" cm="1">
        <f t="array" ref="AL50" xml:space="preserve">
IFERROR(
IF(AL$1="",0,
IF(AND(
$AA50&gt;=VLOOKUP(AL$6, Table_ChiPhiNV_Ca[], COUNTA(Table_ChiPhiNV_Ca[[#Headers],[Ca]:[Bắt đầu nghỉ]]),0),
$AA50&lt;VLOOKUP(AL$6, Table_ChiPhiNV_Ca[], COUNTA(Table_ChiPhiNV_Ca[[#Headers],[Ca]:[Kết thúc nghỉ]]),0)
),0,
IF(NOT(ISBLANK(AL$3)),
IF(ISBLANK(AL$7),0,
IF(AL$4 &lt; AL$5,
IF($AA50-$Z$4&lt;AL$4,0,
IF($AA50&gt;AL$5,0,
SUM(_xlfn._xlws.FILTER(Table_BangLuong_TyLeTangCa[Tỷ lệ],
(Table_BangLuong_TyLeTangCa[Ngày] = AL$3) *
(Table_BangLuong_TyLeTangCa[Giờ min]&lt;=$AA50) *
(Table_BangLuong_TyLeTangCa[Giờ max]&gt;$AA50)
)))),
IF(AND($AA50-$Z$4 &gt;= AL$5,$AA50 &lt; AL$4),0,
SUM(_xlfn._xlws.FILTER(Table_BangLuong_TyLeTangCa[Tỷ lệ],
(Table_BangLuong_TyLeTangCa[Ngày] = AL$3) *
(Table_BangLuong_TyLeTangCa[Giờ min]&lt;=$AA50) *
(Table_BangLuong_TyLeTangCa[Giờ max]&gt;$AA50)
))))
),
IF(ISBLANK(AL$7),
IF(VLOOKUP(AL$6, Table_ChiPhiNV_Ca[], COUNTA(Table_ChiPhiNV_Ca[[#Headers],[Ca]:[Kết thúc]]),0)&gt; VLOOKUP(AL$6, Table_ChiPhiNV_Ca[], COUNTA(Table_ChiPhiNV_Ca[[#Headers],[Ca]:[Bắt đầu]]),0),
IF($AA50-$Z$4&lt;MAX(AL$4,VLOOKUP(AL$6, Table_ChiPhiNV_Ca[], COUNTA(Table_ChiPhiNV_Ca[[#Headers],[Ca]:[Bắt đầu]]),0)),0,
IF($AA50&gt;MIN(AL$5,VLOOKUP(AL$6, Table_ChiPhiNV_Ca[], COUNTA(Table_ChiPhiNV_Ca[[#Headers],[Ca]:[Kết thúc]]),0)),0,
SUM(_xlfn._xlws.FILTER(Table_BangLuong_TyLeTangCa[Tỷ lệ],
(Table_BangLuong_TyLeTangCa[Ngày] = "Thường") *
(Table_BangLuong_TyLeTangCa[Giờ min]&lt;=$AA50) *
(Table_BangLuong_TyLeTangCa[Giờ max]&gt;$AA50)
)))),
IF(AL$4 &gt; AL$5,
IF(
AND(
$AA50-$Z$4&lt;MAX(AL$4,VLOOKUP(AL$6, Table_ChiPhiNV_Ca[], COUNTA(Table_ChiPhiNV_Ca[[#Headers],[Ca]:[Bắt đầu]]),0)),
$AA50&gt;MIN(AL$5,VLOOKUP(AL$6, Table_ChiPhiNV_Ca[], COUNTA(Table_ChiPhiNV_Ca[[#Headers],[Ca]:[Kết thúc]]),0))),0,
SUM(_xlfn._xlws.FILTER(Table_BangLuong_TyLeTangCa[Tỷ lệ],
(Table_BangLuong_TyLeTangCa[Ngày] = "Thường") *
(Table_BangLuong_TyLeTangCa[Giờ min]&lt;=$AA50) *
(Table_BangLuong_TyLeTangCa[Giờ max]&gt;$AA50)
))),
IF(
AND(
$AA50-$Z$4&gt;=MAX(AL$4,VLOOKUP(AL$6, Table_ChiPhiNV_Ca[], COUNTA(Table_ChiPhiNV_Ca[[#Headers],[Ca]:[Bắt đầu]]),0)),
$AA50&lt;MIN(AL$5,VLOOKUP(AL$6, Table_ChiPhiNV_Ca[], COUNTA(Table_ChiPhiNV_Ca[[#Headers],[Ca]:[Kết thúc]]),0))),
SUM(_xlfn._xlws.FILTER(Table_BangLuong_TyLeTangCa[Tỷ lệ],
(Table_BangLuong_TyLeTangCa[Ngày] = "Thường") *
(Table_BangLuong_TyLeTangCa[Giờ min]&lt;=$AA50) *
(Table_BangLuong_TyLeTangCa[Giờ max]&gt;$AA50)
)),0)
)),
IF(AL$4 &lt; AL$5,
IF($AA50-$Z$4&lt;AL$4,0,
IF($AA50&gt;AL$5,0,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AL$5,$AA50 &lt; AL$4),0,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M50" s="18" cm="1">
        <f t="array" ref="AM50" xml:space="preserve">
IFERROR(
IF(AM$1="",0,
IF(AND(
$AA50&gt;=VLOOKUP(AM$6, Table_ChiPhiNV_Ca[], COUNTA(Table_ChiPhiNV_Ca[[#Headers],[Ca]:[Bắt đầu nghỉ]]),0),
$AA50&lt;VLOOKUP(AM$6, Table_ChiPhiNV_Ca[], COUNTA(Table_ChiPhiNV_Ca[[#Headers],[Ca]:[Kết thúc nghỉ]]),0)
),0,
IF(NOT(ISBLANK(AM$3)),
IF(ISBLANK(AM$7),0,
IF(AM$4 &lt; AM$5,
IF($AA50-$Z$4&lt;AM$4,0,
IF($AA50&gt;AM$5,0,
SUM(_xlfn._xlws.FILTER(Table_BangLuong_TyLeTangCa[Tỷ lệ],
(Table_BangLuong_TyLeTangCa[Ngày] = AM$3) *
(Table_BangLuong_TyLeTangCa[Giờ min]&lt;=$AA50) *
(Table_BangLuong_TyLeTangCa[Giờ max]&gt;$AA50)
)))),
IF(AND($AA50-$Z$4 &gt;= AM$5,$AA50 &lt; AM$4),0,
SUM(_xlfn._xlws.FILTER(Table_BangLuong_TyLeTangCa[Tỷ lệ],
(Table_BangLuong_TyLeTangCa[Ngày] = AM$3) *
(Table_BangLuong_TyLeTangCa[Giờ min]&lt;=$AA50) *
(Table_BangLuong_TyLeTangCa[Giờ max]&gt;$AA50)
))))
),
IF(ISBLANK(AM$7),
IF(VLOOKUP(AM$6, Table_ChiPhiNV_Ca[], COUNTA(Table_ChiPhiNV_Ca[[#Headers],[Ca]:[Kết thúc]]),0)&gt; VLOOKUP(AM$6, Table_ChiPhiNV_Ca[], COUNTA(Table_ChiPhiNV_Ca[[#Headers],[Ca]:[Bắt đầu]]),0),
IF($AA50-$Z$4&lt;MAX(AM$4,VLOOKUP(AM$6, Table_ChiPhiNV_Ca[], COUNTA(Table_ChiPhiNV_Ca[[#Headers],[Ca]:[Bắt đầu]]),0)),0,
IF($AA50&gt;MIN(AM$5,VLOOKUP(AM$6, Table_ChiPhiNV_Ca[], COUNTA(Table_ChiPhiNV_Ca[[#Headers],[Ca]:[Kết thúc]]),0)),0,
SUM(_xlfn._xlws.FILTER(Table_BangLuong_TyLeTangCa[Tỷ lệ],
(Table_BangLuong_TyLeTangCa[Ngày] = "Thường") *
(Table_BangLuong_TyLeTangCa[Giờ min]&lt;=$AA50) *
(Table_BangLuong_TyLeTangCa[Giờ max]&gt;$AA50)
)))),
IF(AM$4 &gt; AM$5,
IF(
AND(
$AA50-$Z$4&lt;MAX(AM$4,VLOOKUP(AM$6, Table_ChiPhiNV_Ca[], COUNTA(Table_ChiPhiNV_Ca[[#Headers],[Ca]:[Bắt đầu]]),0)),
$AA50&gt;MIN(AM$5,VLOOKUP(AM$6, Table_ChiPhiNV_Ca[], COUNTA(Table_ChiPhiNV_Ca[[#Headers],[Ca]:[Kết thúc]]),0))),0,
SUM(_xlfn._xlws.FILTER(Table_BangLuong_TyLeTangCa[Tỷ lệ],
(Table_BangLuong_TyLeTangCa[Ngày] = "Thường") *
(Table_BangLuong_TyLeTangCa[Giờ min]&lt;=$AA50) *
(Table_BangLuong_TyLeTangCa[Giờ max]&gt;$AA50)
))),
IF(
AND(
$AA50-$Z$4&gt;=MAX(AM$4,VLOOKUP(AM$6, Table_ChiPhiNV_Ca[], COUNTA(Table_ChiPhiNV_Ca[[#Headers],[Ca]:[Bắt đầu]]),0)),
$AA50&lt;MIN(AM$5,VLOOKUP(AM$6, Table_ChiPhiNV_Ca[], COUNTA(Table_ChiPhiNV_Ca[[#Headers],[Ca]:[Kết thúc]]),0))),
SUM(_xlfn._xlws.FILTER(Table_BangLuong_TyLeTangCa[Tỷ lệ],
(Table_BangLuong_TyLeTangCa[Ngày] = "Thường") *
(Table_BangLuong_TyLeTangCa[Giờ min]&lt;=$AA50) *
(Table_BangLuong_TyLeTangCa[Giờ max]&gt;$AA50)
)),0)
)),
IF(AM$4 &lt; AM$5,
IF($AA50-$Z$4&lt;AM$4,0,
IF($AA50&gt;AM$5,0,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AM$5,$AA50 &lt; AM$4),0,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N50" s="18" cm="1">
        <f t="array" ref="AN50" xml:space="preserve">
IFERROR(
IF(AN$1="",0,
IF(AND(
$AA50&gt;=VLOOKUP(AN$6, Table_ChiPhiNV_Ca[], COUNTA(Table_ChiPhiNV_Ca[[#Headers],[Ca]:[Bắt đầu nghỉ]]),0),
$AA50&lt;VLOOKUP(AN$6, Table_ChiPhiNV_Ca[], COUNTA(Table_ChiPhiNV_Ca[[#Headers],[Ca]:[Kết thúc nghỉ]]),0)
),0,
IF(NOT(ISBLANK(AN$3)),
IF(ISBLANK(AN$7),0,
IF(AN$4 &lt; AN$5,
IF($AA50-$Z$4&lt;AN$4,0,
IF($AA50&gt;AN$5,0,
SUM(_xlfn._xlws.FILTER(Table_BangLuong_TyLeTangCa[Tỷ lệ],
(Table_BangLuong_TyLeTangCa[Ngày] = AN$3) *
(Table_BangLuong_TyLeTangCa[Giờ min]&lt;=$AA50) *
(Table_BangLuong_TyLeTangCa[Giờ max]&gt;$AA50)
)))),
IF(AND($AA50-$Z$4 &gt;= AN$5,$AA50 &lt; AN$4),0,
SUM(_xlfn._xlws.FILTER(Table_BangLuong_TyLeTangCa[Tỷ lệ],
(Table_BangLuong_TyLeTangCa[Ngày] = AN$3) *
(Table_BangLuong_TyLeTangCa[Giờ min]&lt;=$AA50) *
(Table_BangLuong_TyLeTangCa[Giờ max]&gt;$AA50)
))))
),
IF(ISBLANK(AN$7),
IF(VLOOKUP(AN$6, Table_ChiPhiNV_Ca[], COUNTA(Table_ChiPhiNV_Ca[[#Headers],[Ca]:[Kết thúc]]),0)&gt; VLOOKUP(AN$6, Table_ChiPhiNV_Ca[], COUNTA(Table_ChiPhiNV_Ca[[#Headers],[Ca]:[Bắt đầu]]),0),
IF($AA50-$Z$4&lt;MAX(AN$4,VLOOKUP(AN$6, Table_ChiPhiNV_Ca[], COUNTA(Table_ChiPhiNV_Ca[[#Headers],[Ca]:[Bắt đầu]]),0)),0,
IF($AA50&gt;MIN(AN$5,VLOOKUP(AN$6, Table_ChiPhiNV_Ca[], COUNTA(Table_ChiPhiNV_Ca[[#Headers],[Ca]:[Kết thúc]]),0)),0,
SUM(_xlfn._xlws.FILTER(Table_BangLuong_TyLeTangCa[Tỷ lệ],
(Table_BangLuong_TyLeTangCa[Ngày] = "Thường") *
(Table_BangLuong_TyLeTangCa[Giờ min]&lt;=$AA50) *
(Table_BangLuong_TyLeTangCa[Giờ max]&gt;$AA50)
)))),
IF(AN$4 &gt; AN$5,
IF(
AND(
$AA50-$Z$4&lt;MAX(AN$4,VLOOKUP(AN$6, Table_ChiPhiNV_Ca[], COUNTA(Table_ChiPhiNV_Ca[[#Headers],[Ca]:[Bắt đầu]]),0)),
$AA50&gt;MIN(AN$5,VLOOKUP(AN$6, Table_ChiPhiNV_Ca[], COUNTA(Table_ChiPhiNV_Ca[[#Headers],[Ca]:[Kết thúc]]),0))),0,
SUM(_xlfn._xlws.FILTER(Table_BangLuong_TyLeTangCa[Tỷ lệ],
(Table_BangLuong_TyLeTangCa[Ngày] = "Thường") *
(Table_BangLuong_TyLeTangCa[Giờ min]&lt;=$AA50) *
(Table_BangLuong_TyLeTangCa[Giờ max]&gt;$AA50)
))),
IF(
AND(
$AA50-$Z$4&gt;=MAX(AN$4,VLOOKUP(AN$6, Table_ChiPhiNV_Ca[], COUNTA(Table_ChiPhiNV_Ca[[#Headers],[Ca]:[Bắt đầu]]),0)),
$AA50&lt;MIN(AN$5,VLOOKUP(AN$6, Table_ChiPhiNV_Ca[], COUNTA(Table_ChiPhiNV_Ca[[#Headers],[Ca]:[Kết thúc]]),0))),
SUM(_xlfn._xlws.FILTER(Table_BangLuong_TyLeTangCa[Tỷ lệ],
(Table_BangLuong_TyLeTangCa[Ngày] = "Thường") *
(Table_BangLuong_TyLeTangCa[Giờ min]&lt;=$AA50) *
(Table_BangLuong_TyLeTangCa[Giờ max]&gt;$AA50)
)),0)
)),
IF(AN$4 &lt; AN$5,
IF($AA50-$Z$4&lt;AN$4,0,
IF($AA50&gt;AN$5,0,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AN$5,$AA50 &lt; AN$4),0,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O50" s="18" cm="1">
        <f t="array" ref="AO50" xml:space="preserve">
IFERROR(
IF(AO$1="",0,
IF(AND(
$AA50&gt;=VLOOKUP(AO$6, Table_ChiPhiNV_Ca[], COUNTA(Table_ChiPhiNV_Ca[[#Headers],[Ca]:[Bắt đầu nghỉ]]),0),
$AA50&lt;VLOOKUP(AO$6, Table_ChiPhiNV_Ca[], COUNTA(Table_ChiPhiNV_Ca[[#Headers],[Ca]:[Kết thúc nghỉ]]),0)
),0,
IF(NOT(ISBLANK(AO$3)),
IF(ISBLANK(AO$7),0,
IF(AO$4 &lt; AO$5,
IF($AA50-$Z$4&lt;AO$4,0,
IF($AA50&gt;AO$5,0,
SUM(_xlfn._xlws.FILTER(Table_BangLuong_TyLeTangCa[Tỷ lệ],
(Table_BangLuong_TyLeTangCa[Ngày] = AO$3) *
(Table_BangLuong_TyLeTangCa[Giờ min]&lt;=$AA50) *
(Table_BangLuong_TyLeTangCa[Giờ max]&gt;$AA50)
)))),
IF(AND($AA50-$Z$4 &gt;= AO$5,$AA50 &lt; AO$4),0,
SUM(_xlfn._xlws.FILTER(Table_BangLuong_TyLeTangCa[Tỷ lệ],
(Table_BangLuong_TyLeTangCa[Ngày] = AO$3) *
(Table_BangLuong_TyLeTangCa[Giờ min]&lt;=$AA50) *
(Table_BangLuong_TyLeTangCa[Giờ max]&gt;$AA50)
))))
),
IF(ISBLANK(AO$7),
IF(VLOOKUP(AO$6, Table_ChiPhiNV_Ca[], COUNTA(Table_ChiPhiNV_Ca[[#Headers],[Ca]:[Kết thúc]]),0)&gt; VLOOKUP(AO$6, Table_ChiPhiNV_Ca[], COUNTA(Table_ChiPhiNV_Ca[[#Headers],[Ca]:[Bắt đầu]]),0),
IF($AA50-$Z$4&lt;MAX(AO$4,VLOOKUP(AO$6, Table_ChiPhiNV_Ca[], COUNTA(Table_ChiPhiNV_Ca[[#Headers],[Ca]:[Bắt đầu]]),0)),0,
IF($AA50&gt;MIN(AO$5,VLOOKUP(AO$6, Table_ChiPhiNV_Ca[], COUNTA(Table_ChiPhiNV_Ca[[#Headers],[Ca]:[Kết thúc]]),0)),0,
SUM(_xlfn._xlws.FILTER(Table_BangLuong_TyLeTangCa[Tỷ lệ],
(Table_BangLuong_TyLeTangCa[Ngày] = "Thường") *
(Table_BangLuong_TyLeTangCa[Giờ min]&lt;=$AA50) *
(Table_BangLuong_TyLeTangCa[Giờ max]&gt;$AA50)
)))),
IF(AO$4 &gt; AO$5,
IF(
AND(
$AA50-$Z$4&lt;MAX(AO$4,VLOOKUP(AO$6, Table_ChiPhiNV_Ca[], COUNTA(Table_ChiPhiNV_Ca[[#Headers],[Ca]:[Bắt đầu]]),0)),
$AA50&gt;MIN(AO$5,VLOOKUP(AO$6, Table_ChiPhiNV_Ca[], COUNTA(Table_ChiPhiNV_Ca[[#Headers],[Ca]:[Kết thúc]]),0))),0,
SUM(_xlfn._xlws.FILTER(Table_BangLuong_TyLeTangCa[Tỷ lệ],
(Table_BangLuong_TyLeTangCa[Ngày] = "Thường") *
(Table_BangLuong_TyLeTangCa[Giờ min]&lt;=$AA50) *
(Table_BangLuong_TyLeTangCa[Giờ max]&gt;$AA50)
))),
IF(
AND(
$AA50-$Z$4&gt;=MAX(AO$4,VLOOKUP(AO$6, Table_ChiPhiNV_Ca[], COUNTA(Table_ChiPhiNV_Ca[[#Headers],[Ca]:[Bắt đầu]]),0)),
$AA50&lt;MIN(AO$5,VLOOKUP(AO$6, Table_ChiPhiNV_Ca[], COUNTA(Table_ChiPhiNV_Ca[[#Headers],[Ca]:[Kết thúc]]),0))),
SUM(_xlfn._xlws.FILTER(Table_BangLuong_TyLeTangCa[Tỷ lệ],
(Table_BangLuong_TyLeTangCa[Ngày] = "Thường") *
(Table_BangLuong_TyLeTangCa[Giờ min]&lt;=$AA50) *
(Table_BangLuong_TyLeTangCa[Giờ max]&gt;$AA50)
)),0)
)),
IF(AO$4 &lt; AO$5,
IF($AA50-$Z$4&lt;AO$4,0,
IF($AA50&gt;AO$5,0,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AO$5,$AA50 &lt; AO$4),0,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P50" s="18" cm="1">
        <f t="array" ref="AP50" xml:space="preserve">
IFERROR(
IF(AP$1="",0,
IF(AND(
$AA50&gt;=VLOOKUP(AP$6, Table_ChiPhiNV_Ca[], COUNTA(Table_ChiPhiNV_Ca[[#Headers],[Ca]:[Bắt đầu nghỉ]]),0),
$AA50&lt;VLOOKUP(AP$6, Table_ChiPhiNV_Ca[], COUNTA(Table_ChiPhiNV_Ca[[#Headers],[Ca]:[Kết thúc nghỉ]]),0)
),0,
IF(NOT(ISBLANK(AP$3)),
IF(ISBLANK(AP$7),0,
IF(AP$4 &lt; AP$5,
IF($AA50-$Z$4&lt;AP$4,0,
IF($AA50&gt;AP$5,0,
SUM(_xlfn._xlws.FILTER(Table_BangLuong_TyLeTangCa[Tỷ lệ],
(Table_BangLuong_TyLeTangCa[Ngày] = AP$3) *
(Table_BangLuong_TyLeTangCa[Giờ min]&lt;=$AA50) *
(Table_BangLuong_TyLeTangCa[Giờ max]&gt;$AA50)
)))),
IF(AND($AA50-$Z$4 &gt;= AP$5,$AA50 &lt; AP$4),0,
SUM(_xlfn._xlws.FILTER(Table_BangLuong_TyLeTangCa[Tỷ lệ],
(Table_BangLuong_TyLeTangCa[Ngày] = AP$3) *
(Table_BangLuong_TyLeTangCa[Giờ min]&lt;=$AA50) *
(Table_BangLuong_TyLeTangCa[Giờ max]&gt;$AA50)
))))
),
IF(ISBLANK(AP$7),
IF(VLOOKUP(AP$6, Table_ChiPhiNV_Ca[], COUNTA(Table_ChiPhiNV_Ca[[#Headers],[Ca]:[Kết thúc]]),0)&gt; VLOOKUP(AP$6, Table_ChiPhiNV_Ca[], COUNTA(Table_ChiPhiNV_Ca[[#Headers],[Ca]:[Bắt đầu]]),0),
IF($AA50-$Z$4&lt;MAX(AP$4,VLOOKUP(AP$6, Table_ChiPhiNV_Ca[], COUNTA(Table_ChiPhiNV_Ca[[#Headers],[Ca]:[Bắt đầu]]),0)),0,
IF($AA50&gt;MIN(AP$5,VLOOKUP(AP$6, Table_ChiPhiNV_Ca[], COUNTA(Table_ChiPhiNV_Ca[[#Headers],[Ca]:[Kết thúc]]),0)),0,
SUM(_xlfn._xlws.FILTER(Table_BangLuong_TyLeTangCa[Tỷ lệ],
(Table_BangLuong_TyLeTangCa[Ngày] = "Thường") *
(Table_BangLuong_TyLeTangCa[Giờ min]&lt;=$AA50) *
(Table_BangLuong_TyLeTangCa[Giờ max]&gt;$AA50)
)))),
IF(AP$4 &gt; AP$5,
IF(
AND(
$AA50-$Z$4&lt;MAX(AP$4,VLOOKUP(AP$6, Table_ChiPhiNV_Ca[], COUNTA(Table_ChiPhiNV_Ca[[#Headers],[Ca]:[Bắt đầu]]),0)),
$AA50&gt;MIN(AP$5,VLOOKUP(AP$6, Table_ChiPhiNV_Ca[], COUNTA(Table_ChiPhiNV_Ca[[#Headers],[Ca]:[Kết thúc]]),0))),0,
SUM(_xlfn._xlws.FILTER(Table_BangLuong_TyLeTangCa[Tỷ lệ],
(Table_BangLuong_TyLeTangCa[Ngày] = "Thường") *
(Table_BangLuong_TyLeTangCa[Giờ min]&lt;=$AA50) *
(Table_BangLuong_TyLeTangCa[Giờ max]&gt;$AA50)
))),
IF(
AND(
$AA50-$Z$4&gt;=MAX(AP$4,VLOOKUP(AP$6, Table_ChiPhiNV_Ca[], COUNTA(Table_ChiPhiNV_Ca[[#Headers],[Ca]:[Bắt đầu]]),0)),
$AA50&lt;MIN(AP$5,VLOOKUP(AP$6, Table_ChiPhiNV_Ca[], COUNTA(Table_ChiPhiNV_Ca[[#Headers],[Ca]:[Kết thúc]]),0))),
SUM(_xlfn._xlws.FILTER(Table_BangLuong_TyLeTangCa[Tỷ lệ],
(Table_BangLuong_TyLeTangCa[Ngày] = "Thường") *
(Table_BangLuong_TyLeTangCa[Giờ min]&lt;=$AA50) *
(Table_BangLuong_TyLeTangCa[Giờ max]&gt;$AA50)
)),0)
)),
IF(AP$4 &lt; AP$5,
IF($AA50-$Z$4&lt;AP$4,0,
IF($AA50&gt;AP$5,0,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AP$5,$AA50 &lt; AP$4),0,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Q50" s="18" cm="1">
        <f t="array" ref="AQ50" xml:space="preserve">
IFERROR(
IF(AQ$1="",0,
IF(AND(
$AA50&gt;=VLOOKUP(AQ$6, Table_ChiPhiNV_Ca[], COUNTA(Table_ChiPhiNV_Ca[[#Headers],[Ca]:[Bắt đầu nghỉ]]),0),
$AA50&lt;VLOOKUP(AQ$6, Table_ChiPhiNV_Ca[], COUNTA(Table_ChiPhiNV_Ca[[#Headers],[Ca]:[Kết thúc nghỉ]]),0)
),0,
IF(NOT(ISBLANK(AQ$3)),
IF(ISBLANK(AQ$7),0,
IF(AQ$4 &lt; AQ$5,
IF($AA50-$Z$4&lt;AQ$4,0,
IF($AA50&gt;AQ$5,0,
SUM(_xlfn._xlws.FILTER(Table_BangLuong_TyLeTangCa[Tỷ lệ],
(Table_BangLuong_TyLeTangCa[Ngày] = AQ$3) *
(Table_BangLuong_TyLeTangCa[Giờ min]&lt;=$AA50) *
(Table_BangLuong_TyLeTangCa[Giờ max]&gt;$AA50)
)))),
IF(AND($AA50-$Z$4 &gt;= AQ$5,$AA50 &lt; AQ$4),0,
SUM(_xlfn._xlws.FILTER(Table_BangLuong_TyLeTangCa[Tỷ lệ],
(Table_BangLuong_TyLeTangCa[Ngày] = AQ$3) *
(Table_BangLuong_TyLeTangCa[Giờ min]&lt;=$AA50) *
(Table_BangLuong_TyLeTangCa[Giờ max]&gt;$AA50)
))))
),
IF(ISBLANK(AQ$7),
IF(VLOOKUP(AQ$6, Table_ChiPhiNV_Ca[], COUNTA(Table_ChiPhiNV_Ca[[#Headers],[Ca]:[Kết thúc]]),0)&gt; VLOOKUP(AQ$6, Table_ChiPhiNV_Ca[], COUNTA(Table_ChiPhiNV_Ca[[#Headers],[Ca]:[Bắt đầu]]),0),
IF($AA50-$Z$4&lt;MAX(AQ$4,VLOOKUP(AQ$6, Table_ChiPhiNV_Ca[], COUNTA(Table_ChiPhiNV_Ca[[#Headers],[Ca]:[Bắt đầu]]),0)),0,
IF($AA50&gt;MIN(AQ$5,VLOOKUP(AQ$6, Table_ChiPhiNV_Ca[], COUNTA(Table_ChiPhiNV_Ca[[#Headers],[Ca]:[Kết thúc]]),0)),0,
SUM(_xlfn._xlws.FILTER(Table_BangLuong_TyLeTangCa[Tỷ lệ],
(Table_BangLuong_TyLeTangCa[Ngày] = "Thường") *
(Table_BangLuong_TyLeTangCa[Giờ min]&lt;=$AA50) *
(Table_BangLuong_TyLeTangCa[Giờ max]&gt;$AA50)
)))),
IF(AQ$4 &gt; AQ$5,
IF(
AND(
$AA50-$Z$4&lt;MAX(AQ$4,VLOOKUP(AQ$6, Table_ChiPhiNV_Ca[], COUNTA(Table_ChiPhiNV_Ca[[#Headers],[Ca]:[Bắt đầu]]),0)),
$AA50&gt;MIN(AQ$5,VLOOKUP(AQ$6, Table_ChiPhiNV_Ca[], COUNTA(Table_ChiPhiNV_Ca[[#Headers],[Ca]:[Kết thúc]]),0))),0,
SUM(_xlfn._xlws.FILTER(Table_BangLuong_TyLeTangCa[Tỷ lệ],
(Table_BangLuong_TyLeTangCa[Ngày] = "Thường") *
(Table_BangLuong_TyLeTangCa[Giờ min]&lt;=$AA50) *
(Table_BangLuong_TyLeTangCa[Giờ max]&gt;$AA50)
))),
IF(
AND(
$AA50-$Z$4&gt;=MAX(AQ$4,VLOOKUP(AQ$6, Table_ChiPhiNV_Ca[], COUNTA(Table_ChiPhiNV_Ca[[#Headers],[Ca]:[Bắt đầu]]),0)),
$AA50&lt;MIN(AQ$5,VLOOKUP(AQ$6, Table_ChiPhiNV_Ca[], COUNTA(Table_ChiPhiNV_Ca[[#Headers],[Ca]:[Kết thúc]]),0))),
SUM(_xlfn._xlws.FILTER(Table_BangLuong_TyLeTangCa[Tỷ lệ],
(Table_BangLuong_TyLeTangCa[Ngày] = "Thường") *
(Table_BangLuong_TyLeTangCa[Giờ min]&lt;=$AA50) *
(Table_BangLuong_TyLeTangCa[Giờ max]&gt;$AA50)
)),0)
)),
IF(AQ$4 &lt; AQ$5,
IF($AA50-$Z$4&lt;AQ$4,0,
IF($AA50&gt;AQ$5,0,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AQ$5,$AA50 &lt; AQ$4),0,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R50" s="18" cm="1">
        <f t="array" ref="AR50" xml:space="preserve">
IFERROR(
IF(AR$1="",0,
IF(AND(
$AA50&gt;=VLOOKUP(AR$6, Table_ChiPhiNV_Ca[], COUNTA(Table_ChiPhiNV_Ca[[#Headers],[Ca]:[Bắt đầu nghỉ]]),0),
$AA50&lt;VLOOKUP(AR$6, Table_ChiPhiNV_Ca[], COUNTA(Table_ChiPhiNV_Ca[[#Headers],[Ca]:[Kết thúc nghỉ]]),0)
),0,
IF(NOT(ISBLANK(AR$3)),
IF(ISBLANK(AR$7),0,
IF(AR$4 &lt; AR$5,
IF($AA50-$Z$4&lt;AR$4,0,
IF($AA50&gt;AR$5,0,
SUM(_xlfn._xlws.FILTER(Table_BangLuong_TyLeTangCa[Tỷ lệ],
(Table_BangLuong_TyLeTangCa[Ngày] = AR$3) *
(Table_BangLuong_TyLeTangCa[Giờ min]&lt;=$AA50) *
(Table_BangLuong_TyLeTangCa[Giờ max]&gt;$AA50)
)))),
IF(AND($AA50-$Z$4 &gt;= AR$5,$AA50 &lt; AR$4),0,
SUM(_xlfn._xlws.FILTER(Table_BangLuong_TyLeTangCa[Tỷ lệ],
(Table_BangLuong_TyLeTangCa[Ngày] = AR$3) *
(Table_BangLuong_TyLeTangCa[Giờ min]&lt;=$AA50) *
(Table_BangLuong_TyLeTangCa[Giờ max]&gt;$AA50)
))))
),
IF(ISBLANK(AR$7),
IF(VLOOKUP(AR$6, Table_ChiPhiNV_Ca[], COUNTA(Table_ChiPhiNV_Ca[[#Headers],[Ca]:[Kết thúc]]),0)&gt; VLOOKUP(AR$6, Table_ChiPhiNV_Ca[], COUNTA(Table_ChiPhiNV_Ca[[#Headers],[Ca]:[Bắt đầu]]),0),
IF($AA50-$Z$4&lt;MAX(AR$4,VLOOKUP(AR$6, Table_ChiPhiNV_Ca[], COUNTA(Table_ChiPhiNV_Ca[[#Headers],[Ca]:[Bắt đầu]]),0)),0,
IF($AA50&gt;MIN(AR$5,VLOOKUP(AR$6, Table_ChiPhiNV_Ca[], COUNTA(Table_ChiPhiNV_Ca[[#Headers],[Ca]:[Kết thúc]]),0)),0,
SUM(_xlfn._xlws.FILTER(Table_BangLuong_TyLeTangCa[Tỷ lệ],
(Table_BangLuong_TyLeTangCa[Ngày] = "Thường") *
(Table_BangLuong_TyLeTangCa[Giờ min]&lt;=$AA50) *
(Table_BangLuong_TyLeTangCa[Giờ max]&gt;$AA50)
)))),
IF(AR$4 &gt; AR$5,
IF(
AND(
$AA50-$Z$4&lt;MAX(AR$4,VLOOKUP(AR$6, Table_ChiPhiNV_Ca[], COUNTA(Table_ChiPhiNV_Ca[[#Headers],[Ca]:[Bắt đầu]]),0)),
$AA50&gt;MIN(AR$5,VLOOKUP(AR$6, Table_ChiPhiNV_Ca[], COUNTA(Table_ChiPhiNV_Ca[[#Headers],[Ca]:[Kết thúc]]),0))),0,
SUM(_xlfn._xlws.FILTER(Table_BangLuong_TyLeTangCa[Tỷ lệ],
(Table_BangLuong_TyLeTangCa[Ngày] = "Thường") *
(Table_BangLuong_TyLeTangCa[Giờ min]&lt;=$AA50) *
(Table_BangLuong_TyLeTangCa[Giờ max]&gt;$AA50)
))),
IF(
AND(
$AA50-$Z$4&gt;=MAX(AR$4,VLOOKUP(AR$6, Table_ChiPhiNV_Ca[], COUNTA(Table_ChiPhiNV_Ca[[#Headers],[Ca]:[Bắt đầu]]),0)),
$AA50&lt;MIN(AR$5,VLOOKUP(AR$6, Table_ChiPhiNV_Ca[], COUNTA(Table_ChiPhiNV_Ca[[#Headers],[Ca]:[Kết thúc]]),0))),
SUM(_xlfn._xlws.FILTER(Table_BangLuong_TyLeTangCa[Tỷ lệ],
(Table_BangLuong_TyLeTangCa[Ngày] = "Thường") *
(Table_BangLuong_TyLeTangCa[Giờ min]&lt;=$AA50) *
(Table_BangLuong_TyLeTangCa[Giờ max]&gt;$AA50)
)),0)
)),
IF(AR$4 &lt; AR$5,
IF($AA50-$Z$4&lt;AR$4,0,
IF($AA50&gt;AR$5,0,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AR$5,$AA50 &lt; AR$4),0,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S50" s="18" cm="1">
        <f t="array" ref="AS50" xml:space="preserve">
IFERROR(
IF(AS$1="",0,
IF(AND(
$AA50&gt;=VLOOKUP(AS$6, Table_ChiPhiNV_Ca[], COUNTA(Table_ChiPhiNV_Ca[[#Headers],[Ca]:[Bắt đầu nghỉ]]),0),
$AA50&lt;VLOOKUP(AS$6, Table_ChiPhiNV_Ca[], COUNTA(Table_ChiPhiNV_Ca[[#Headers],[Ca]:[Kết thúc nghỉ]]),0)
),0,
IF(NOT(ISBLANK(AS$3)),
IF(ISBLANK(AS$7),0,
IF(AS$4 &lt; AS$5,
IF($AA50-$Z$4&lt;AS$4,0,
IF($AA50&gt;AS$5,0,
SUM(_xlfn._xlws.FILTER(Table_BangLuong_TyLeTangCa[Tỷ lệ],
(Table_BangLuong_TyLeTangCa[Ngày] = AS$3) *
(Table_BangLuong_TyLeTangCa[Giờ min]&lt;=$AA50) *
(Table_BangLuong_TyLeTangCa[Giờ max]&gt;$AA50)
)))),
IF(AND($AA50-$Z$4 &gt;= AS$5,$AA50 &lt; AS$4),0,
SUM(_xlfn._xlws.FILTER(Table_BangLuong_TyLeTangCa[Tỷ lệ],
(Table_BangLuong_TyLeTangCa[Ngày] = AS$3) *
(Table_BangLuong_TyLeTangCa[Giờ min]&lt;=$AA50) *
(Table_BangLuong_TyLeTangCa[Giờ max]&gt;$AA50)
))))
),
IF(ISBLANK(AS$7),
IF(VLOOKUP(AS$6, Table_ChiPhiNV_Ca[], COUNTA(Table_ChiPhiNV_Ca[[#Headers],[Ca]:[Kết thúc]]),0)&gt; VLOOKUP(AS$6, Table_ChiPhiNV_Ca[], COUNTA(Table_ChiPhiNV_Ca[[#Headers],[Ca]:[Bắt đầu]]),0),
IF($AA50-$Z$4&lt;MAX(AS$4,VLOOKUP(AS$6, Table_ChiPhiNV_Ca[], COUNTA(Table_ChiPhiNV_Ca[[#Headers],[Ca]:[Bắt đầu]]),0)),0,
IF($AA50&gt;MIN(AS$5,VLOOKUP(AS$6, Table_ChiPhiNV_Ca[], COUNTA(Table_ChiPhiNV_Ca[[#Headers],[Ca]:[Kết thúc]]),0)),0,
SUM(_xlfn._xlws.FILTER(Table_BangLuong_TyLeTangCa[Tỷ lệ],
(Table_BangLuong_TyLeTangCa[Ngày] = "Thường") *
(Table_BangLuong_TyLeTangCa[Giờ min]&lt;=$AA50) *
(Table_BangLuong_TyLeTangCa[Giờ max]&gt;$AA50)
)))),
IF(AS$4 &gt; AS$5,
IF(
AND(
$AA50-$Z$4&lt;MAX(AS$4,VLOOKUP(AS$6, Table_ChiPhiNV_Ca[], COUNTA(Table_ChiPhiNV_Ca[[#Headers],[Ca]:[Bắt đầu]]),0)),
$AA50&gt;MIN(AS$5,VLOOKUP(AS$6, Table_ChiPhiNV_Ca[], COUNTA(Table_ChiPhiNV_Ca[[#Headers],[Ca]:[Kết thúc]]),0))),0,
SUM(_xlfn._xlws.FILTER(Table_BangLuong_TyLeTangCa[Tỷ lệ],
(Table_BangLuong_TyLeTangCa[Ngày] = "Thường") *
(Table_BangLuong_TyLeTangCa[Giờ min]&lt;=$AA50) *
(Table_BangLuong_TyLeTangCa[Giờ max]&gt;$AA50)
))),
IF(
AND(
$AA50-$Z$4&gt;=MAX(AS$4,VLOOKUP(AS$6, Table_ChiPhiNV_Ca[], COUNTA(Table_ChiPhiNV_Ca[[#Headers],[Ca]:[Bắt đầu]]),0)),
$AA50&lt;MIN(AS$5,VLOOKUP(AS$6, Table_ChiPhiNV_Ca[], COUNTA(Table_ChiPhiNV_Ca[[#Headers],[Ca]:[Kết thúc]]),0))),
SUM(_xlfn._xlws.FILTER(Table_BangLuong_TyLeTangCa[Tỷ lệ],
(Table_BangLuong_TyLeTangCa[Ngày] = "Thường") *
(Table_BangLuong_TyLeTangCa[Giờ min]&lt;=$AA50) *
(Table_BangLuong_TyLeTangCa[Giờ max]&gt;$AA50)
)),0)
)),
IF(AS$4 &lt; AS$5,
IF($AA50-$Z$4&lt;AS$4,0,
IF($AA50&gt;AS$5,0,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AS$5,$AA50 &lt; AS$4),0,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T50" s="18" cm="1">
        <f t="array" ref="AT50" xml:space="preserve">
IFERROR(
IF(AT$1="",0,
IF(AND(
$AA50&gt;=VLOOKUP(AT$6, Table_ChiPhiNV_Ca[], COUNTA(Table_ChiPhiNV_Ca[[#Headers],[Ca]:[Bắt đầu nghỉ]]),0),
$AA50&lt;VLOOKUP(AT$6, Table_ChiPhiNV_Ca[], COUNTA(Table_ChiPhiNV_Ca[[#Headers],[Ca]:[Kết thúc nghỉ]]),0)
),0,
IF(NOT(ISBLANK(AT$3)),
IF(ISBLANK(AT$7),0,
IF(AT$4 &lt; AT$5,
IF($AA50-$Z$4&lt;AT$4,0,
IF($AA50&gt;AT$5,0,
SUM(_xlfn._xlws.FILTER(Table_BangLuong_TyLeTangCa[Tỷ lệ],
(Table_BangLuong_TyLeTangCa[Ngày] = AT$3) *
(Table_BangLuong_TyLeTangCa[Giờ min]&lt;=$AA50) *
(Table_BangLuong_TyLeTangCa[Giờ max]&gt;$AA50)
)))),
IF(AND($AA50-$Z$4 &gt;= AT$5,$AA50 &lt; AT$4),0,
SUM(_xlfn._xlws.FILTER(Table_BangLuong_TyLeTangCa[Tỷ lệ],
(Table_BangLuong_TyLeTangCa[Ngày] = AT$3) *
(Table_BangLuong_TyLeTangCa[Giờ min]&lt;=$AA50) *
(Table_BangLuong_TyLeTangCa[Giờ max]&gt;$AA50)
))))
),
IF(ISBLANK(AT$7),
IF(VLOOKUP(AT$6, Table_ChiPhiNV_Ca[], COUNTA(Table_ChiPhiNV_Ca[[#Headers],[Ca]:[Kết thúc]]),0)&gt; VLOOKUP(AT$6, Table_ChiPhiNV_Ca[], COUNTA(Table_ChiPhiNV_Ca[[#Headers],[Ca]:[Bắt đầu]]),0),
IF($AA50-$Z$4&lt;MAX(AT$4,VLOOKUP(AT$6, Table_ChiPhiNV_Ca[], COUNTA(Table_ChiPhiNV_Ca[[#Headers],[Ca]:[Bắt đầu]]),0)),0,
IF($AA50&gt;MIN(AT$5,VLOOKUP(AT$6, Table_ChiPhiNV_Ca[], COUNTA(Table_ChiPhiNV_Ca[[#Headers],[Ca]:[Kết thúc]]),0)),0,
SUM(_xlfn._xlws.FILTER(Table_BangLuong_TyLeTangCa[Tỷ lệ],
(Table_BangLuong_TyLeTangCa[Ngày] = "Thường") *
(Table_BangLuong_TyLeTangCa[Giờ min]&lt;=$AA50) *
(Table_BangLuong_TyLeTangCa[Giờ max]&gt;$AA50)
)))),
IF(AT$4 &gt; AT$5,
IF(
AND(
$AA50-$Z$4&lt;MAX(AT$4,VLOOKUP(AT$6, Table_ChiPhiNV_Ca[], COUNTA(Table_ChiPhiNV_Ca[[#Headers],[Ca]:[Bắt đầu]]),0)),
$AA50&gt;MIN(AT$5,VLOOKUP(AT$6, Table_ChiPhiNV_Ca[], COUNTA(Table_ChiPhiNV_Ca[[#Headers],[Ca]:[Kết thúc]]),0))),0,
SUM(_xlfn._xlws.FILTER(Table_BangLuong_TyLeTangCa[Tỷ lệ],
(Table_BangLuong_TyLeTangCa[Ngày] = "Thường") *
(Table_BangLuong_TyLeTangCa[Giờ min]&lt;=$AA50) *
(Table_BangLuong_TyLeTangCa[Giờ max]&gt;$AA50)
))),
IF(
AND(
$AA50-$Z$4&gt;=MAX(AT$4,VLOOKUP(AT$6, Table_ChiPhiNV_Ca[], COUNTA(Table_ChiPhiNV_Ca[[#Headers],[Ca]:[Bắt đầu]]),0)),
$AA50&lt;MIN(AT$5,VLOOKUP(AT$6, Table_ChiPhiNV_Ca[], COUNTA(Table_ChiPhiNV_Ca[[#Headers],[Ca]:[Kết thúc]]),0))),
SUM(_xlfn._xlws.FILTER(Table_BangLuong_TyLeTangCa[Tỷ lệ],
(Table_BangLuong_TyLeTangCa[Ngày] = "Thường") *
(Table_BangLuong_TyLeTangCa[Giờ min]&lt;=$AA50) *
(Table_BangLuong_TyLeTangCa[Giờ max]&gt;$AA50)
)),0)
)),
IF(AT$4 &lt; AT$5,
IF($AA50-$Z$4&lt;AT$4,0,
IF($AA50&gt;AT$5,0,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AT$5,$AA50 &lt; AT$4),0,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U50" s="18" cm="1">
        <f t="array" ref="AU50" xml:space="preserve">
IFERROR(
IF(AU$1="",0,
IF(AND(
$AA50&gt;=VLOOKUP(AU$6, Table_ChiPhiNV_Ca[], COUNTA(Table_ChiPhiNV_Ca[[#Headers],[Ca]:[Bắt đầu nghỉ]]),0),
$AA50&lt;VLOOKUP(AU$6, Table_ChiPhiNV_Ca[], COUNTA(Table_ChiPhiNV_Ca[[#Headers],[Ca]:[Kết thúc nghỉ]]),0)
),0,
IF(NOT(ISBLANK(AU$3)),
IF(ISBLANK(AU$7),0,
IF(AU$4 &lt; AU$5,
IF($AA50-$Z$4&lt;AU$4,0,
IF($AA50&gt;AU$5,0,
SUM(_xlfn._xlws.FILTER(Table_BangLuong_TyLeTangCa[Tỷ lệ],
(Table_BangLuong_TyLeTangCa[Ngày] = AU$3) *
(Table_BangLuong_TyLeTangCa[Giờ min]&lt;=$AA50) *
(Table_BangLuong_TyLeTangCa[Giờ max]&gt;$AA50)
)))),
IF(AND($AA50-$Z$4 &gt;= AU$5,$AA50 &lt; AU$4),0,
SUM(_xlfn._xlws.FILTER(Table_BangLuong_TyLeTangCa[Tỷ lệ],
(Table_BangLuong_TyLeTangCa[Ngày] = AU$3) *
(Table_BangLuong_TyLeTangCa[Giờ min]&lt;=$AA50) *
(Table_BangLuong_TyLeTangCa[Giờ max]&gt;$AA50)
))))
),
IF(ISBLANK(AU$7),
IF(VLOOKUP(AU$6, Table_ChiPhiNV_Ca[], COUNTA(Table_ChiPhiNV_Ca[[#Headers],[Ca]:[Kết thúc]]),0)&gt; VLOOKUP(AU$6, Table_ChiPhiNV_Ca[], COUNTA(Table_ChiPhiNV_Ca[[#Headers],[Ca]:[Bắt đầu]]),0),
IF($AA50-$Z$4&lt;MAX(AU$4,VLOOKUP(AU$6, Table_ChiPhiNV_Ca[], COUNTA(Table_ChiPhiNV_Ca[[#Headers],[Ca]:[Bắt đầu]]),0)),0,
IF($AA50&gt;MIN(AU$5,VLOOKUP(AU$6, Table_ChiPhiNV_Ca[], COUNTA(Table_ChiPhiNV_Ca[[#Headers],[Ca]:[Kết thúc]]),0)),0,
SUM(_xlfn._xlws.FILTER(Table_BangLuong_TyLeTangCa[Tỷ lệ],
(Table_BangLuong_TyLeTangCa[Ngày] = "Thường") *
(Table_BangLuong_TyLeTangCa[Giờ min]&lt;=$AA50) *
(Table_BangLuong_TyLeTangCa[Giờ max]&gt;$AA50)
)))),
IF(AU$4 &gt; AU$5,
IF(
AND(
$AA50-$Z$4&lt;MAX(AU$4,VLOOKUP(AU$6, Table_ChiPhiNV_Ca[], COUNTA(Table_ChiPhiNV_Ca[[#Headers],[Ca]:[Bắt đầu]]),0)),
$AA50&gt;MIN(AU$5,VLOOKUP(AU$6, Table_ChiPhiNV_Ca[], COUNTA(Table_ChiPhiNV_Ca[[#Headers],[Ca]:[Kết thúc]]),0))),0,
SUM(_xlfn._xlws.FILTER(Table_BangLuong_TyLeTangCa[Tỷ lệ],
(Table_BangLuong_TyLeTangCa[Ngày] = "Thường") *
(Table_BangLuong_TyLeTangCa[Giờ min]&lt;=$AA50) *
(Table_BangLuong_TyLeTangCa[Giờ max]&gt;$AA50)
))),
IF(
AND(
$AA50-$Z$4&gt;=MAX(AU$4,VLOOKUP(AU$6, Table_ChiPhiNV_Ca[], COUNTA(Table_ChiPhiNV_Ca[[#Headers],[Ca]:[Bắt đầu]]),0)),
$AA50&lt;MIN(AU$5,VLOOKUP(AU$6, Table_ChiPhiNV_Ca[], COUNTA(Table_ChiPhiNV_Ca[[#Headers],[Ca]:[Kết thúc]]),0))),
SUM(_xlfn._xlws.FILTER(Table_BangLuong_TyLeTangCa[Tỷ lệ],
(Table_BangLuong_TyLeTangCa[Ngày] = "Thường") *
(Table_BangLuong_TyLeTangCa[Giờ min]&lt;=$AA50) *
(Table_BangLuong_TyLeTangCa[Giờ max]&gt;$AA50)
)),0)
)),
IF(AU$4 &lt; AU$5,
IF($AA50-$Z$4&lt;AU$4,0,
IF($AA50&gt;AU$5,0,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AU$5,$AA50 &lt; AU$4),0,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V50" s="18" cm="1">
        <f t="array" ref="AV50" xml:space="preserve">
IFERROR(
IF(AV$1="",0,
IF(AND(
$AA50&gt;=VLOOKUP(AV$6, Table_ChiPhiNV_Ca[], COUNTA(Table_ChiPhiNV_Ca[[#Headers],[Ca]:[Bắt đầu nghỉ]]),0),
$AA50&lt;VLOOKUP(AV$6, Table_ChiPhiNV_Ca[], COUNTA(Table_ChiPhiNV_Ca[[#Headers],[Ca]:[Kết thúc nghỉ]]),0)
),0,
IF(NOT(ISBLANK(AV$3)),
IF(ISBLANK(AV$7),0,
IF(AV$4 &lt; AV$5,
IF($AA50-$Z$4&lt;AV$4,0,
IF($AA50&gt;AV$5,0,
SUM(_xlfn._xlws.FILTER(Table_BangLuong_TyLeTangCa[Tỷ lệ],
(Table_BangLuong_TyLeTangCa[Ngày] = AV$3) *
(Table_BangLuong_TyLeTangCa[Giờ min]&lt;=$AA50) *
(Table_BangLuong_TyLeTangCa[Giờ max]&gt;$AA50)
)))),
IF(AND($AA50-$Z$4 &gt;= AV$5,$AA50 &lt; AV$4),0,
SUM(_xlfn._xlws.FILTER(Table_BangLuong_TyLeTangCa[Tỷ lệ],
(Table_BangLuong_TyLeTangCa[Ngày] = AV$3) *
(Table_BangLuong_TyLeTangCa[Giờ min]&lt;=$AA50) *
(Table_BangLuong_TyLeTangCa[Giờ max]&gt;$AA50)
))))
),
IF(ISBLANK(AV$7),
IF(VLOOKUP(AV$6, Table_ChiPhiNV_Ca[], COUNTA(Table_ChiPhiNV_Ca[[#Headers],[Ca]:[Kết thúc]]),0)&gt; VLOOKUP(AV$6, Table_ChiPhiNV_Ca[], COUNTA(Table_ChiPhiNV_Ca[[#Headers],[Ca]:[Bắt đầu]]),0),
IF($AA50-$Z$4&lt;MAX(AV$4,VLOOKUP(AV$6, Table_ChiPhiNV_Ca[], COUNTA(Table_ChiPhiNV_Ca[[#Headers],[Ca]:[Bắt đầu]]),0)),0,
IF($AA50&gt;MIN(AV$5,VLOOKUP(AV$6, Table_ChiPhiNV_Ca[], COUNTA(Table_ChiPhiNV_Ca[[#Headers],[Ca]:[Kết thúc]]),0)),0,
SUM(_xlfn._xlws.FILTER(Table_BangLuong_TyLeTangCa[Tỷ lệ],
(Table_BangLuong_TyLeTangCa[Ngày] = "Thường") *
(Table_BangLuong_TyLeTangCa[Giờ min]&lt;=$AA50) *
(Table_BangLuong_TyLeTangCa[Giờ max]&gt;$AA50)
)))),
IF(AV$4 &gt; AV$5,
IF(
AND(
$AA50-$Z$4&lt;MAX(AV$4,VLOOKUP(AV$6, Table_ChiPhiNV_Ca[], COUNTA(Table_ChiPhiNV_Ca[[#Headers],[Ca]:[Bắt đầu]]),0)),
$AA50&gt;MIN(AV$5,VLOOKUP(AV$6, Table_ChiPhiNV_Ca[], COUNTA(Table_ChiPhiNV_Ca[[#Headers],[Ca]:[Kết thúc]]),0))),0,
SUM(_xlfn._xlws.FILTER(Table_BangLuong_TyLeTangCa[Tỷ lệ],
(Table_BangLuong_TyLeTangCa[Ngày] = "Thường") *
(Table_BangLuong_TyLeTangCa[Giờ min]&lt;=$AA50) *
(Table_BangLuong_TyLeTangCa[Giờ max]&gt;$AA50)
))),
IF(
AND(
$AA50-$Z$4&gt;=MAX(AV$4,VLOOKUP(AV$6, Table_ChiPhiNV_Ca[], COUNTA(Table_ChiPhiNV_Ca[[#Headers],[Ca]:[Bắt đầu]]),0)),
$AA50&lt;MIN(AV$5,VLOOKUP(AV$6, Table_ChiPhiNV_Ca[], COUNTA(Table_ChiPhiNV_Ca[[#Headers],[Ca]:[Kết thúc]]),0))),
SUM(_xlfn._xlws.FILTER(Table_BangLuong_TyLeTangCa[Tỷ lệ],
(Table_BangLuong_TyLeTangCa[Ngày] = "Thường") *
(Table_BangLuong_TyLeTangCa[Giờ min]&lt;=$AA50) *
(Table_BangLuong_TyLeTangCa[Giờ max]&gt;$AA50)
)),0)
)),
IF(AV$4 &lt; AV$5,
IF($AA50-$Z$4&lt;AV$4,0,
IF($AA50&gt;AV$5,0,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AV$5,$AA50 &lt; AV$4),0,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W50" s="18" cm="1">
        <f t="array" ref="AW50" xml:space="preserve">
IFERROR(
IF(AW$1="",0,
IF(AND(
$AA50&gt;=VLOOKUP(AW$6, Table_ChiPhiNV_Ca[], COUNTA(Table_ChiPhiNV_Ca[[#Headers],[Ca]:[Bắt đầu nghỉ]]),0),
$AA50&lt;VLOOKUP(AW$6, Table_ChiPhiNV_Ca[], COUNTA(Table_ChiPhiNV_Ca[[#Headers],[Ca]:[Kết thúc nghỉ]]),0)
),0,
IF(NOT(ISBLANK(AW$3)),
IF(ISBLANK(AW$7),0,
IF(AW$4 &lt; AW$5,
IF($AA50-$Z$4&lt;AW$4,0,
IF($AA50&gt;AW$5,0,
SUM(_xlfn._xlws.FILTER(Table_BangLuong_TyLeTangCa[Tỷ lệ],
(Table_BangLuong_TyLeTangCa[Ngày] = AW$3) *
(Table_BangLuong_TyLeTangCa[Giờ min]&lt;=$AA50) *
(Table_BangLuong_TyLeTangCa[Giờ max]&gt;$AA50)
)))),
IF(AND($AA50-$Z$4 &gt;= AW$5,$AA50 &lt; AW$4),0,
SUM(_xlfn._xlws.FILTER(Table_BangLuong_TyLeTangCa[Tỷ lệ],
(Table_BangLuong_TyLeTangCa[Ngày] = AW$3) *
(Table_BangLuong_TyLeTangCa[Giờ min]&lt;=$AA50) *
(Table_BangLuong_TyLeTangCa[Giờ max]&gt;$AA50)
))))
),
IF(ISBLANK(AW$7),
IF(VLOOKUP(AW$6, Table_ChiPhiNV_Ca[], COUNTA(Table_ChiPhiNV_Ca[[#Headers],[Ca]:[Kết thúc]]),0)&gt; VLOOKUP(AW$6, Table_ChiPhiNV_Ca[], COUNTA(Table_ChiPhiNV_Ca[[#Headers],[Ca]:[Bắt đầu]]),0),
IF($AA50-$Z$4&lt;MAX(AW$4,VLOOKUP(AW$6, Table_ChiPhiNV_Ca[], COUNTA(Table_ChiPhiNV_Ca[[#Headers],[Ca]:[Bắt đầu]]),0)),0,
IF($AA50&gt;MIN(AW$5,VLOOKUP(AW$6, Table_ChiPhiNV_Ca[], COUNTA(Table_ChiPhiNV_Ca[[#Headers],[Ca]:[Kết thúc]]),0)),0,
SUM(_xlfn._xlws.FILTER(Table_BangLuong_TyLeTangCa[Tỷ lệ],
(Table_BangLuong_TyLeTangCa[Ngày] = "Thường") *
(Table_BangLuong_TyLeTangCa[Giờ min]&lt;=$AA50) *
(Table_BangLuong_TyLeTangCa[Giờ max]&gt;$AA50)
)))),
IF(AW$4 &gt; AW$5,
IF(
AND(
$AA50-$Z$4&lt;MAX(AW$4,VLOOKUP(AW$6, Table_ChiPhiNV_Ca[], COUNTA(Table_ChiPhiNV_Ca[[#Headers],[Ca]:[Bắt đầu]]),0)),
$AA50&gt;MIN(AW$5,VLOOKUP(AW$6, Table_ChiPhiNV_Ca[], COUNTA(Table_ChiPhiNV_Ca[[#Headers],[Ca]:[Kết thúc]]),0))),0,
SUM(_xlfn._xlws.FILTER(Table_BangLuong_TyLeTangCa[Tỷ lệ],
(Table_BangLuong_TyLeTangCa[Ngày] = "Thường") *
(Table_BangLuong_TyLeTangCa[Giờ min]&lt;=$AA50) *
(Table_BangLuong_TyLeTangCa[Giờ max]&gt;$AA50)
))),
IF(
AND(
$AA50-$Z$4&gt;=MAX(AW$4,VLOOKUP(AW$6, Table_ChiPhiNV_Ca[], COUNTA(Table_ChiPhiNV_Ca[[#Headers],[Ca]:[Bắt đầu]]),0)),
$AA50&lt;MIN(AW$5,VLOOKUP(AW$6, Table_ChiPhiNV_Ca[], COUNTA(Table_ChiPhiNV_Ca[[#Headers],[Ca]:[Kết thúc]]),0))),
SUM(_xlfn._xlws.FILTER(Table_BangLuong_TyLeTangCa[Tỷ lệ],
(Table_BangLuong_TyLeTangCa[Ngày] = "Thường") *
(Table_BangLuong_TyLeTangCa[Giờ min]&lt;=$AA50) *
(Table_BangLuong_TyLeTangCa[Giờ max]&gt;$AA50)
)),0)
)),
IF(AW$4 &lt; AW$5,
IF($AA50-$Z$4&lt;AW$4,0,
IF($AA50&gt;AW$5,0,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AW$5,$AA50 &lt; AW$4),0,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X50" s="18" cm="1">
        <f t="array" ref="AX50" xml:space="preserve">
IFERROR(
IF(AX$1="",0,
IF(AND(
$AA50&gt;=VLOOKUP(AX$6, Table_ChiPhiNV_Ca[], COUNTA(Table_ChiPhiNV_Ca[[#Headers],[Ca]:[Bắt đầu nghỉ]]),0),
$AA50&lt;VLOOKUP(AX$6, Table_ChiPhiNV_Ca[], COUNTA(Table_ChiPhiNV_Ca[[#Headers],[Ca]:[Kết thúc nghỉ]]),0)
),0,
IF(NOT(ISBLANK(AX$3)),
IF(ISBLANK(AX$7),0,
IF(AX$4 &lt; AX$5,
IF($AA50-$Z$4&lt;AX$4,0,
IF($AA50&gt;AX$5,0,
SUM(_xlfn._xlws.FILTER(Table_BangLuong_TyLeTangCa[Tỷ lệ],
(Table_BangLuong_TyLeTangCa[Ngày] = AX$3) *
(Table_BangLuong_TyLeTangCa[Giờ min]&lt;=$AA50) *
(Table_BangLuong_TyLeTangCa[Giờ max]&gt;$AA50)
)))),
IF(AND($AA50-$Z$4 &gt;= AX$5,$AA50 &lt; AX$4),0,
SUM(_xlfn._xlws.FILTER(Table_BangLuong_TyLeTangCa[Tỷ lệ],
(Table_BangLuong_TyLeTangCa[Ngày] = AX$3) *
(Table_BangLuong_TyLeTangCa[Giờ min]&lt;=$AA50) *
(Table_BangLuong_TyLeTangCa[Giờ max]&gt;$AA50)
))))
),
IF(ISBLANK(AX$7),
IF(VLOOKUP(AX$6, Table_ChiPhiNV_Ca[], COUNTA(Table_ChiPhiNV_Ca[[#Headers],[Ca]:[Kết thúc]]),0)&gt; VLOOKUP(AX$6, Table_ChiPhiNV_Ca[], COUNTA(Table_ChiPhiNV_Ca[[#Headers],[Ca]:[Bắt đầu]]),0),
IF($AA50-$Z$4&lt;MAX(AX$4,VLOOKUP(AX$6, Table_ChiPhiNV_Ca[], COUNTA(Table_ChiPhiNV_Ca[[#Headers],[Ca]:[Bắt đầu]]),0)),0,
IF($AA50&gt;MIN(AX$5,VLOOKUP(AX$6, Table_ChiPhiNV_Ca[], COUNTA(Table_ChiPhiNV_Ca[[#Headers],[Ca]:[Kết thúc]]),0)),0,
SUM(_xlfn._xlws.FILTER(Table_BangLuong_TyLeTangCa[Tỷ lệ],
(Table_BangLuong_TyLeTangCa[Ngày] = "Thường") *
(Table_BangLuong_TyLeTangCa[Giờ min]&lt;=$AA50) *
(Table_BangLuong_TyLeTangCa[Giờ max]&gt;$AA50)
)))),
IF(AX$4 &gt; AX$5,
IF(
AND(
$AA50-$Z$4&lt;MAX(AX$4,VLOOKUP(AX$6, Table_ChiPhiNV_Ca[], COUNTA(Table_ChiPhiNV_Ca[[#Headers],[Ca]:[Bắt đầu]]),0)),
$AA50&gt;MIN(AX$5,VLOOKUP(AX$6, Table_ChiPhiNV_Ca[], COUNTA(Table_ChiPhiNV_Ca[[#Headers],[Ca]:[Kết thúc]]),0))),0,
SUM(_xlfn._xlws.FILTER(Table_BangLuong_TyLeTangCa[Tỷ lệ],
(Table_BangLuong_TyLeTangCa[Ngày] = "Thường") *
(Table_BangLuong_TyLeTangCa[Giờ min]&lt;=$AA50) *
(Table_BangLuong_TyLeTangCa[Giờ max]&gt;$AA50)
))),
IF(
AND(
$AA50-$Z$4&gt;=MAX(AX$4,VLOOKUP(AX$6, Table_ChiPhiNV_Ca[], COUNTA(Table_ChiPhiNV_Ca[[#Headers],[Ca]:[Bắt đầu]]),0)),
$AA50&lt;MIN(AX$5,VLOOKUP(AX$6, Table_ChiPhiNV_Ca[], COUNTA(Table_ChiPhiNV_Ca[[#Headers],[Ca]:[Kết thúc]]),0))),
SUM(_xlfn._xlws.FILTER(Table_BangLuong_TyLeTangCa[Tỷ lệ],
(Table_BangLuong_TyLeTangCa[Ngày] = "Thường") *
(Table_BangLuong_TyLeTangCa[Giờ min]&lt;=$AA50) *
(Table_BangLuong_TyLeTangCa[Giờ max]&gt;$AA50)
)),0)
)),
IF(AX$4 &lt; AX$5,
IF($AA50-$Z$4&lt;AX$4,0,
IF($AA50&gt;AX$5,0,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AX$5,$AA50 &lt; AX$4),0,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Y50" s="18" cm="1">
        <f t="array" ref="AY50" xml:space="preserve">
IFERROR(
IF(AY$1="",0,
IF(AND(
$AA50&gt;=VLOOKUP(AY$6, Table_ChiPhiNV_Ca[], COUNTA(Table_ChiPhiNV_Ca[[#Headers],[Ca]:[Bắt đầu nghỉ]]),0),
$AA50&lt;VLOOKUP(AY$6, Table_ChiPhiNV_Ca[], COUNTA(Table_ChiPhiNV_Ca[[#Headers],[Ca]:[Kết thúc nghỉ]]),0)
),0,
IF(NOT(ISBLANK(AY$3)),
IF(ISBLANK(AY$7),0,
IF(AY$4 &lt; AY$5,
IF($AA50-$Z$4&lt;AY$4,0,
IF($AA50&gt;AY$5,0,
SUM(_xlfn._xlws.FILTER(Table_BangLuong_TyLeTangCa[Tỷ lệ],
(Table_BangLuong_TyLeTangCa[Ngày] = AY$3) *
(Table_BangLuong_TyLeTangCa[Giờ min]&lt;=$AA50) *
(Table_BangLuong_TyLeTangCa[Giờ max]&gt;$AA50)
)))),
IF(AND($AA50-$Z$4 &gt;= AY$5,$AA50 &lt; AY$4),0,
SUM(_xlfn._xlws.FILTER(Table_BangLuong_TyLeTangCa[Tỷ lệ],
(Table_BangLuong_TyLeTangCa[Ngày] = AY$3) *
(Table_BangLuong_TyLeTangCa[Giờ min]&lt;=$AA50) *
(Table_BangLuong_TyLeTangCa[Giờ max]&gt;$AA50)
))))
),
IF(ISBLANK(AY$7),
IF(VLOOKUP(AY$6, Table_ChiPhiNV_Ca[], COUNTA(Table_ChiPhiNV_Ca[[#Headers],[Ca]:[Kết thúc]]),0)&gt; VLOOKUP(AY$6, Table_ChiPhiNV_Ca[], COUNTA(Table_ChiPhiNV_Ca[[#Headers],[Ca]:[Bắt đầu]]),0),
IF($AA50-$Z$4&lt;MAX(AY$4,VLOOKUP(AY$6, Table_ChiPhiNV_Ca[], COUNTA(Table_ChiPhiNV_Ca[[#Headers],[Ca]:[Bắt đầu]]),0)),0,
IF($AA50&gt;MIN(AY$5,VLOOKUP(AY$6, Table_ChiPhiNV_Ca[], COUNTA(Table_ChiPhiNV_Ca[[#Headers],[Ca]:[Kết thúc]]),0)),0,
SUM(_xlfn._xlws.FILTER(Table_BangLuong_TyLeTangCa[Tỷ lệ],
(Table_BangLuong_TyLeTangCa[Ngày] = "Thường") *
(Table_BangLuong_TyLeTangCa[Giờ min]&lt;=$AA50) *
(Table_BangLuong_TyLeTangCa[Giờ max]&gt;$AA50)
)))),
IF(AY$4 &gt; AY$5,
IF(
AND(
$AA50-$Z$4&lt;MAX(AY$4,VLOOKUP(AY$6, Table_ChiPhiNV_Ca[], COUNTA(Table_ChiPhiNV_Ca[[#Headers],[Ca]:[Bắt đầu]]),0)),
$AA50&gt;MIN(AY$5,VLOOKUP(AY$6, Table_ChiPhiNV_Ca[], COUNTA(Table_ChiPhiNV_Ca[[#Headers],[Ca]:[Kết thúc]]),0))),0,
SUM(_xlfn._xlws.FILTER(Table_BangLuong_TyLeTangCa[Tỷ lệ],
(Table_BangLuong_TyLeTangCa[Ngày] = "Thường") *
(Table_BangLuong_TyLeTangCa[Giờ min]&lt;=$AA50) *
(Table_BangLuong_TyLeTangCa[Giờ max]&gt;$AA50)
))),
IF(
AND(
$AA50-$Z$4&gt;=MAX(AY$4,VLOOKUP(AY$6, Table_ChiPhiNV_Ca[], COUNTA(Table_ChiPhiNV_Ca[[#Headers],[Ca]:[Bắt đầu]]),0)),
$AA50&lt;MIN(AY$5,VLOOKUP(AY$6, Table_ChiPhiNV_Ca[], COUNTA(Table_ChiPhiNV_Ca[[#Headers],[Ca]:[Kết thúc]]),0))),
SUM(_xlfn._xlws.FILTER(Table_BangLuong_TyLeTangCa[Tỷ lệ],
(Table_BangLuong_TyLeTangCa[Ngày] = "Thường") *
(Table_BangLuong_TyLeTangCa[Giờ min]&lt;=$AA50) *
(Table_BangLuong_TyLeTangCa[Giờ max]&gt;$AA50)
)),0)
)),
IF(AY$4 &lt; AY$5,
IF($AA50-$Z$4&lt;AY$4,0,
IF($AA50&gt;AY$5,0,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AY$5,$AA50 &lt; AY$4),0,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Z50" s="18" cm="1">
        <f t="array" ref="AZ50" xml:space="preserve">
IFERROR(
IF(AZ$1="",0,
IF(AND(
$AA50&gt;=VLOOKUP(AZ$6, Table_ChiPhiNV_Ca[], COUNTA(Table_ChiPhiNV_Ca[[#Headers],[Ca]:[Bắt đầu nghỉ]]),0),
$AA50&lt;VLOOKUP(AZ$6, Table_ChiPhiNV_Ca[], COUNTA(Table_ChiPhiNV_Ca[[#Headers],[Ca]:[Kết thúc nghỉ]]),0)
),0,
IF(NOT(ISBLANK(AZ$3)),
IF(ISBLANK(AZ$7),0,
IF(AZ$4 &lt; AZ$5,
IF($AA50-$Z$4&lt;AZ$4,0,
IF($AA50&gt;AZ$5,0,
SUM(_xlfn._xlws.FILTER(Table_BangLuong_TyLeTangCa[Tỷ lệ],
(Table_BangLuong_TyLeTangCa[Ngày] = AZ$3) *
(Table_BangLuong_TyLeTangCa[Giờ min]&lt;=$AA50) *
(Table_BangLuong_TyLeTangCa[Giờ max]&gt;$AA50)
)))),
IF(AND($AA50-$Z$4 &gt;= AZ$5,$AA50 &lt; AZ$4),0,
SUM(_xlfn._xlws.FILTER(Table_BangLuong_TyLeTangCa[Tỷ lệ],
(Table_BangLuong_TyLeTangCa[Ngày] = AZ$3) *
(Table_BangLuong_TyLeTangCa[Giờ min]&lt;=$AA50) *
(Table_BangLuong_TyLeTangCa[Giờ max]&gt;$AA50)
))))
),
IF(ISBLANK(AZ$7),
IF(VLOOKUP(AZ$6, Table_ChiPhiNV_Ca[], COUNTA(Table_ChiPhiNV_Ca[[#Headers],[Ca]:[Kết thúc]]),0)&gt; VLOOKUP(AZ$6, Table_ChiPhiNV_Ca[], COUNTA(Table_ChiPhiNV_Ca[[#Headers],[Ca]:[Bắt đầu]]),0),
IF($AA50-$Z$4&lt;MAX(AZ$4,VLOOKUP(AZ$6, Table_ChiPhiNV_Ca[], COUNTA(Table_ChiPhiNV_Ca[[#Headers],[Ca]:[Bắt đầu]]),0)),0,
IF($AA50&gt;MIN(AZ$5,VLOOKUP(AZ$6, Table_ChiPhiNV_Ca[], COUNTA(Table_ChiPhiNV_Ca[[#Headers],[Ca]:[Kết thúc]]),0)),0,
SUM(_xlfn._xlws.FILTER(Table_BangLuong_TyLeTangCa[Tỷ lệ],
(Table_BangLuong_TyLeTangCa[Ngày] = "Thường") *
(Table_BangLuong_TyLeTangCa[Giờ min]&lt;=$AA50) *
(Table_BangLuong_TyLeTangCa[Giờ max]&gt;$AA50)
)))),
IF(AZ$4 &gt; AZ$5,
IF(
AND(
$AA50-$Z$4&lt;MAX(AZ$4,VLOOKUP(AZ$6, Table_ChiPhiNV_Ca[], COUNTA(Table_ChiPhiNV_Ca[[#Headers],[Ca]:[Bắt đầu]]),0)),
$AA50&gt;MIN(AZ$5,VLOOKUP(AZ$6, Table_ChiPhiNV_Ca[], COUNTA(Table_ChiPhiNV_Ca[[#Headers],[Ca]:[Kết thúc]]),0))),0,
SUM(_xlfn._xlws.FILTER(Table_BangLuong_TyLeTangCa[Tỷ lệ],
(Table_BangLuong_TyLeTangCa[Ngày] = "Thường") *
(Table_BangLuong_TyLeTangCa[Giờ min]&lt;=$AA50) *
(Table_BangLuong_TyLeTangCa[Giờ max]&gt;$AA50)
))),
IF(
AND(
$AA50-$Z$4&gt;=MAX(AZ$4,VLOOKUP(AZ$6, Table_ChiPhiNV_Ca[], COUNTA(Table_ChiPhiNV_Ca[[#Headers],[Ca]:[Bắt đầu]]),0)),
$AA50&lt;MIN(AZ$5,VLOOKUP(AZ$6, Table_ChiPhiNV_Ca[], COUNTA(Table_ChiPhiNV_Ca[[#Headers],[Ca]:[Kết thúc]]),0))),
SUM(_xlfn._xlws.FILTER(Table_BangLuong_TyLeTangCa[Tỷ lệ],
(Table_BangLuong_TyLeTangCa[Ngày] = "Thường") *
(Table_BangLuong_TyLeTangCa[Giờ min]&lt;=$AA50) *
(Table_BangLuong_TyLeTangCa[Giờ max]&gt;$AA50)
)),0)
)),
IF(AZ$4 &lt; AZ$5,
IF($AA50-$Z$4&lt;AZ$4,0,
IF($AA50&gt;AZ$5,0,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AZ$5,$AA50 &lt; AZ$4),0,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A50" s="18" cm="1">
        <f t="array" ref="BA50" xml:space="preserve">
IFERROR(
IF(BA$1="",0,
IF(AND(
$AA50&gt;=VLOOKUP(BA$6, Table_ChiPhiNV_Ca[], COUNTA(Table_ChiPhiNV_Ca[[#Headers],[Ca]:[Bắt đầu nghỉ]]),0),
$AA50&lt;VLOOKUP(BA$6, Table_ChiPhiNV_Ca[], COUNTA(Table_ChiPhiNV_Ca[[#Headers],[Ca]:[Kết thúc nghỉ]]),0)
),0,
IF(NOT(ISBLANK(BA$3)),
IF(ISBLANK(BA$7),0,
IF(BA$4 &lt; BA$5,
IF($AA50-$Z$4&lt;BA$4,0,
IF($AA50&gt;BA$5,0,
SUM(_xlfn._xlws.FILTER(Table_BangLuong_TyLeTangCa[Tỷ lệ],
(Table_BangLuong_TyLeTangCa[Ngày] = BA$3) *
(Table_BangLuong_TyLeTangCa[Giờ min]&lt;=$AA50) *
(Table_BangLuong_TyLeTangCa[Giờ max]&gt;$AA50)
)))),
IF(AND($AA50-$Z$4 &gt;= BA$5,$AA50 &lt; BA$4),0,
SUM(_xlfn._xlws.FILTER(Table_BangLuong_TyLeTangCa[Tỷ lệ],
(Table_BangLuong_TyLeTangCa[Ngày] = BA$3) *
(Table_BangLuong_TyLeTangCa[Giờ min]&lt;=$AA50) *
(Table_BangLuong_TyLeTangCa[Giờ max]&gt;$AA50)
))))
),
IF(ISBLANK(BA$7),
IF(VLOOKUP(BA$6, Table_ChiPhiNV_Ca[], COUNTA(Table_ChiPhiNV_Ca[[#Headers],[Ca]:[Kết thúc]]),0)&gt; VLOOKUP(BA$6, Table_ChiPhiNV_Ca[], COUNTA(Table_ChiPhiNV_Ca[[#Headers],[Ca]:[Bắt đầu]]),0),
IF($AA50-$Z$4&lt;MAX(BA$4,VLOOKUP(BA$6, Table_ChiPhiNV_Ca[], COUNTA(Table_ChiPhiNV_Ca[[#Headers],[Ca]:[Bắt đầu]]),0)),0,
IF($AA50&gt;MIN(BA$5,VLOOKUP(BA$6, Table_ChiPhiNV_Ca[], COUNTA(Table_ChiPhiNV_Ca[[#Headers],[Ca]:[Kết thúc]]),0)),0,
SUM(_xlfn._xlws.FILTER(Table_BangLuong_TyLeTangCa[Tỷ lệ],
(Table_BangLuong_TyLeTangCa[Ngày] = "Thường") *
(Table_BangLuong_TyLeTangCa[Giờ min]&lt;=$AA50) *
(Table_BangLuong_TyLeTangCa[Giờ max]&gt;$AA50)
)))),
IF(BA$4 &gt; BA$5,
IF(
AND(
$AA50-$Z$4&lt;MAX(BA$4,VLOOKUP(BA$6, Table_ChiPhiNV_Ca[], COUNTA(Table_ChiPhiNV_Ca[[#Headers],[Ca]:[Bắt đầu]]),0)),
$AA50&gt;MIN(BA$5,VLOOKUP(BA$6, Table_ChiPhiNV_Ca[], COUNTA(Table_ChiPhiNV_Ca[[#Headers],[Ca]:[Kết thúc]]),0))),0,
SUM(_xlfn._xlws.FILTER(Table_BangLuong_TyLeTangCa[Tỷ lệ],
(Table_BangLuong_TyLeTangCa[Ngày] = "Thường") *
(Table_BangLuong_TyLeTangCa[Giờ min]&lt;=$AA50) *
(Table_BangLuong_TyLeTangCa[Giờ max]&gt;$AA50)
))),
IF(
AND(
$AA50-$Z$4&gt;=MAX(BA$4,VLOOKUP(BA$6, Table_ChiPhiNV_Ca[], COUNTA(Table_ChiPhiNV_Ca[[#Headers],[Ca]:[Bắt đầu]]),0)),
$AA50&lt;MIN(BA$5,VLOOKUP(BA$6, Table_ChiPhiNV_Ca[], COUNTA(Table_ChiPhiNV_Ca[[#Headers],[Ca]:[Kết thúc]]),0))),
SUM(_xlfn._xlws.FILTER(Table_BangLuong_TyLeTangCa[Tỷ lệ],
(Table_BangLuong_TyLeTangCa[Ngày] = "Thường") *
(Table_BangLuong_TyLeTangCa[Giờ min]&lt;=$AA50) *
(Table_BangLuong_TyLeTangCa[Giờ max]&gt;$AA50)
)),0)
)),
IF(BA$4 &lt; BA$5,
IF($AA50-$Z$4&lt;BA$4,0,
IF($AA50&gt;BA$5,0,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BA$5,$AA50 &lt; BA$4),0,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B50" s="18" cm="1">
        <f t="array" ref="BB50" xml:space="preserve">
IFERROR(
IF(BB$1="",0,
IF(AND(
$AA50&gt;=VLOOKUP(BB$6, Table_ChiPhiNV_Ca[], COUNTA(Table_ChiPhiNV_Ca[[#Headers],[Ca]:[Bắt đầu nghỉ]]),0),
$AA50&lt;VLOOKUP(BB$6, Table_ChiPhiNV_Ca[], COUNTA(Table_ChiPhiNV_Ca[[#Headers],[Ca]:[Kết thúc nghỉ]]),0)
),0,
IF(NOT(ISBLANK(BB$3)),
IF(ISBLANK(BB$7),0,
IF(BB$4 &lt; BB$5,
IF($AA50-$Z$4&lt;BB$4,0,
IF($AA50&gt;BB$5,0,
SUM(_xlfn._xlws.FILTER(Table_BangLuong_TyLeTangCa[Tỷ lệ],
(Table_BangLuong_TyLeTangCa[Ngày] = BB$3) *
(Table_BangLuong_TyLeTangCa[Giờ min]&lt;=$AA50) *
(Table_BangLuong_TyLeTangCa[Giờ max]&gt;$AA50)
)))),
IF(AND($AA50-$Z$4 &gt;= BB$5,$AA50 &lt; BB$4),0,
SUM(_xlfn._xlws.FILTER(Table_BangLuong_TyLeTangCa[Tỷ lệ],
(Table_BangLuong_TyLeTangCa[Ngày] = BB$3) *
(Table_BangLuong_TyLeTangCa[Giờ min]&lt;=$AA50) *
(Table_BangLuong_TyLeTangCa[Giờ max]&gt;$AA50)
))))
),
IF(ISBLANK(BB$7),
IF(VLOOKUP(BB$6, Table_ChiPhiNV_Ca[], COUNTA(Table_ChiPhiNV_Ca[[#Headers],[Ca]:[Kết thúc]]),0)&gt; VLOOKUP(BB$6, Table_ChiPhiNV_Ca[], COUNTA(Table_ChiPhiNV_Ca[[#Headers],[Ca]:[Bắt đầu]]),0),
IF($AA50-$Z$4&lt;MAX(BB$4,VLOOKUP(BB$6, Table_ChiPhiNV_Ca[], COUNTA(Table_ChiPhiNV_Ca[[#Headers],[Ca]:[Bắt đầu]]),0)),0,
IF($AA50&gt;MIN(BB$5,VLOOKUP(BB$6, Table_ChiPhiNV_Ca[], COUNTA(Table_ChiPhiNV_Ca[[#Headers],[Ca]:[Kết thúc]]),0)),0,
SUM(_xlfn._xlws.FILTER(Table_BangLuong_TyLeTangCa[Tỷ lệ],
(Table_BangLuong_TyLeTangCa[Ngày] = "Thường") *
(Table_BangLuong_TyLeTangCa[Giờ min]&lt;=$AA50) *
(Table_BangLuong_TyLeTangCa[Giờ max]&gt;$AA50)
)))),
IF(BB$4 &gt; BB$5,
IF(
AND(
$AA50-$Z$4&lt;MAX(BB$4,VLOOKUP(BB$6, Table_ChiPhiNV_Ca[], COUNTA(Table_ChiPhiNV_Ca[[#Headers],[Ca]:[Bắt đầu]]),0)),
$AA50&gt;MIN(BB$5,VLOOKUP(BB$6, Table_ChiPhiNV_Ca[], COUNTA(Table_ChiPhiNV_Ca[[#Headers],[Ca]:[Kết thúc]]),0))),0,
SUM(_xlfn._xlws.FILTER(Table_BangLuong_TyLeTangCa[Tỷ lệ],
(Table_BangLuong_TyLeTangCa[Ngày] = "Thường") *
(Table_BangLuong_TyLeTangCa[Giờ min]&lt;=$AA50) *
(Table_BangLuong_TyLeTangCa[Giờ max]&gt;$AA50)
))),
IF(
AND(
$AA50-$Z$4&gt;=MAX(BB$4,VLOOKUP(BB$6, Table_ChiPhiNV_Ca[], COUNTA(Table_ChiPhiNV_Ca[[#Headers],[Ca]:[Bắt đầu]]),0)),
$AA50&lt;MIN(BB$5,VLOOKUP(BB$6, Table_ChiPhiNV_Ca[], COUNTA(Table_ChiPhiNV_Ca[[#Headers],[Ca]:[Kết thúc]]),0))),
SUM(_xlfn._xlws.FILTER(Table_BangLuong_TyLeTangCa[Tỷ lệ],
(Table_BangLuong_TyLeTangCa[Ngày] = "Thường") *
(Table_BangLuong_TyLeTangCa[Giờ min]&lt;=$AA50) *
(Table_BangLuong_TyLeTangCa[Giờ max]&gt;$AA50)
)),0)
)),
IF(BB$4 &lt; BB$5,
IF($AA50-$Z$4&lt;BB$4,0,
IF($AA50&gt;BB$5,0,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BB$5,$AA50 &lt; BB$4),0,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C50" s="18" cm="1">
        <f t="array" ref="BC50" xml:space="preserve">
IFERROR(
IF(BC$1="",0,
IF(AND(
$AA50&gt;=VLOOKUP(BC$6, Table_ChiPhiNV_Ca[], COUNTA(Table_ChiPhiNV_Ca[[#Headers],[Ca]:[Bắt đầu nghỉ]]),0),
$AA50&lt;VLOOKUP(BC$6, Table_ChiPhiNV_Ca[], COUNTA(Table_ChiPhiNV_Ca[[#Headers],[Ca]:[Kết thúc nghỉ]]),0)
),0,
IF(NOT(ISBLANK(BC$3)),
IF(ISBLANK(BC$7),0,
IF(BC$4 &lt; BC$5,
IF($AA50-$Z$4&lt;BC$4,0,
IF($AA50&gt;BC$5,0,
SUM(_xlfn._xlws.FILTER(Table_BangLuong_TyLeTangCa[Tỷ lệ],
(Table_BangLuong_TyLeTangCa[Ngày] = BC$3) *
(Table_BangLuong_TyLeTangCa[Giờ min]&lt;=$AA50) *
(Table_BangLuong_TyLeTangCa[Giờ max]&gt;$AA50)
)))),
IF(AND($AA50-$Z$4 &gt;= BC$5,$AA50 &lt; BC$4),0,
SUM(_xlfn._xlws.FILTER(Table_BangLuong_TyLeTangCa[Tỷ lệ],
(Table_BangLuong_TyLeTangCa[Ngày] = BC$3) *
(Table_BangLuong_TyLeTangCa[Giờ min]&lt;=$AA50) *
(Table_BangLuong_TyLeTangCa[Giờ max]&gt;$AA50)
))))
),
IF(ISBLANK(BC$7),
IF(VLOOKUP(BC$6, Table_ChiPhiNV_Ca[], COUNTA(Table_ChiPhiNV_Ca[[#Headers],[Ca]:[Kết thúc]]),0)&gt; VLOOKUP(BC$6, Table_ChiPhiNV_Ca[], COUNTA(Table_ChiPhiNV_Ca[[#Headers],[Ca]:[Bắt đầu]]),0),
IF($AA50-$Z$4&lt;MAX(BC$4,VLOOKUP(BC$6, Table_ChiPhiNV_Ca[], COUNTA(Table_ChiPhiNV_Ca[[#Headers],[Ca]:[Bắt đầu]]),0)),0,
IF($AA50&gt;MIN(BC$5,VLOOKUP(BC$6, Table_ChiPhiNV_Ca[], COUNTA(Table_ChiPhiNV_Ca[[#Headers],[Ca]:[Kết thúc]]),0)),0,
SUM(_xlfn._xlws.FILTER(Table_BangLuong_TyLeTangCa[Tỷ lệ],
(Table_BangLuong_TyLeTangCa[Ngày] = "Thường") *
(Table_BangLuong_TyLeTangCa[Giờ min]&lt;=$AA50) *
(Table_BangLuong_TyLeTangCa[Giờ max]&gt;$AA50)
)))),
IF(BC$4 &gt; BC$5,
IF(
AND(
$AA50-$Z$4&lt;MAX(BC$4,VLOOKUP(BC$6, Table_ChiPhiNV_Ca[], COUNTA(Table_ChiPhiNV_Ca[[#Headers],[Ca]:[Bắt đầu]]),0)),
$AA50&gt;MIN(BC$5,VLOOKUP(BC$6, Table_ChiPhiNV_Ca[], COUNTA(Table_ChiPhiNV_Ca[[#Headers],[Ca]:[Kết thúc]]),0))),0,
SUM(_xlfn._xlws.FILTER(Table_BangLuong_TyLeTangCa[Tỷ lệ],
(Table_BangLuong_TyLeTangCa[Ngày] = "Thường") *
(Table_BangLuong_TyLeTangCa[Giờ min]&lt;=$AA50) *
(Table_BangLuong_TyLeTangCa[Giờ max]&gt;$AA50)
))),
IF(
AND(
$AA50-$Z$4&gt;=MAX(BC$4,VLOOKUP(BC$6, Table_ChiPhiNV_Ca[], COUNTA(Table_ChiPhiNV_Ca[[#Headers],[Ca]:[Bắt đầu]]),0)),
$AA50&lt;MIN(BC$5,VLOOKUP(BC$6, Table_ChiPhiNV_Ca[], COUNTA(Table_ChiPhiNV_Ca[[#Headers],[Ca]:[Kết thúc]]),0))),
SUM(_xlfn._xlws.FILTER(Table_BangLuong_TyLeTangCa[Tỷ lệ],
(Table_BangLuong_TyLeTangCa[Ngày] = "Thường") *
(Table_BangLuong_TyLeTangCa[Giờ min]&lt;=$AA50) *
(Table_BangLuong_TyLeTangCa[Giờ max]&gt;$AA50)
)),0)
)),
IF(BC$4 &lt; BC$5,
IF($AA50-$Z$4&lt;BC$4,0,
IF($AA50&gt;BC$5,0,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BC$5,$AA50 &lt; BC$4),0,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D50" s="18" cm="1">
        <f t="array" ref="BD50" xml:space="preserve">
IFERROR(
IF(BD$1="",0,
IF(AND(
$AA50&gt;=VLOOKUP(BD$6, Table_ChiPhiNV_Ca[], COUNTA(Table_ChiPhiNV_Ca[[#Headers],[Ca]:[Bắt đầu nghỉ]]),0),
$AA50&lt;VLOOKUP(BD$6, Table_ChiPhiNV_Ca[], COUNTA(Table_ChiPhiNV_Ca[[#Headers],[Ca]:[Kết thúc nghỉ]]),0)
),0,
IF(NOT(ISBLANK(BD$3)),
IF(ISBLANK(BD$7),0,
IF(BD$4 &lt; BD$5,
IF($AA50-$Z$4&lt;BD$4,0,
IF($AA50&gt;BD$5,0,
SUM(_xlfn._xlws.FILTER(Table_BangLuong_TyLeTangCa[Tỷ lệ],
(Table_BangLuong_TyLeTangCa[Ngày] = BD$3) *
(Table_BangLuong_TyLeTangCa[Giờ min]&lt;=$AA50) *
(Table_BangLuong_TyLeTangCa[Giờ max]&gt;$AA50)
)))),
IF(AND($AA50-$Z$4 &gt;= BD$5,$AA50 &lt; BD$4),0,
SUM(_xlfn._xlws.FILTER(Table_BangLuong_TyLeTangCa[Tỷ lệ],
(Table_BangLuong_TyLeTangCa[Ngày] = BD$3) *
(Table_BangLuong_TyLeTangCa[Giờ min]&lt;=$AA50) *
(Table_BangLuong_TyLeTangCa[Giờ max]&gt;$AA50)
))))
),
IF(ISBLANK(BD$7),
IF(VLOOKUP(BD$6, Table_ChiPhiNV_Ca[], COUNTA(Table_ChiPhiNV_Ca[[#Headers],[Ca]:[Kết thúc]]),0)&gt; VLOOKUP(BD$6, Table_ChiPhiNV_Ca[], COUNTA(Table_ChiPhiNV_Ca[[#Headers],[Ca]:[Bắt đầu]]),0),
IF($AA50-$Z$4&lt;MAX(BD$4,VLOOKUP(BD$6, Table_ChiPhiNV_Ca[], COUNTA(Table_ChiPhiNV_Ca[[#Headers],[Ca]:[Bắt đầu]]),0)),0,
IF($AA50&gt;MIN(BD$5,VLOOKUP(BD$6, Table_ChiPhiNV_Ca[], COUNTA(Table_ChiPhiNV_Ca[[#Headers],[Ca]:[Kết thúc]]),0)),0,
SUM(_xlfn._xlws.FILTER(Table_BangLuong_TyLeTangCa[Tỷ lệ],
(Table_BangLuong_TyLeTangCa[Ngày] = "Thường") *
(Table_BangLuong_TyLeTangCa[Giờ min]&lt;=$AA50) *
(Table_BangLuong_TyLeTangCa[Giờ max]&gt;$AA50)
)))),
IF(BD$4 &gt; BD$5,
IF(
AND(
$AA50-$Z$4&lt;MAX(BD$4,VLOOKUP(BD$6, Table_ChiPhiNV_Ca[], COUNTA(Table_ChiPhiNV_Ca[[#Headers],[Ca]:[Bắt đầu]]),0)),
$AA50&gt;MIN(BD$5,VLOOKUP(BD$6, Table_ChiPhiNV_Ca[], COUNTA(Table_ChiPhiNV_Ca[[#Headers],[Ca]:[Kết thúc]]),0))),0,
SUM(_xlfn._xlws.FILTER(Table_BangLuong_TyLeTangCa[Tỷ lệ],
(Table_BangLuong_TyLeTangCa[Ngày] = "Thường") *
(Table_BangLuong_TyLeTangCa[Giờ min]&lt;=$AA50) *
(Table_BangLuong_TyLeTangCa[Giờ max]&gt;$AA50)
))),
IF(
AND(
$AA50-$Z$4&gt;=MAX(BD$4,VLOOKUP(BD$6, Table_ChiPhiNV_Ca[], COUNTA(Table_ChiPhiNV_Ca[[#Headers],[Ca]:[Bắt đầu]]),0)),
$AA50&lt;MIN(BD$5,VLOOKUP(BD$6, Table_ChiPhiNV_Ca[], COUNTA(Table_ChiPhiNV_Ca[[#Headers],[Ca]:[Kết thúc]]),0))),
SUM(_xlfn._xlws.FILTER(Table_BangLuong_TyLeTangCa[Tỷ lệ],
(Table_BangLuong_TyLeTangCa[Ngày] = "Thường") *
(Table_BangLuong_TyLeTangCa[Giờ min]&lt;=$AA50) *
(Table_BangLuong_TyLeTangCa[Giờ max]&gt;$AA50)
)),0)
)),
IF(BD$4 &lt; BD$5,
IF($AA50-$Z$4&lt;BD$4,0,
IF($AA50&gt;BD$5,0,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BD$5,$AA50 &lt; BD$4),0,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E50" s="18" cm="1">
        <f t="array" ref="BE50" xml:space="preserve">
IFERROR(
IF(BE$1="",0,
IF(AND(
$AA50&gt;=VLOOKUP(BE$6, Table_ChiPhiNV_Ca[], COUNTA(Table_ChiPhiNV_Ca[[#Headers],[Ca]:[Bắt đầu nghỉ]]),0),
$AA50&lt;VLOOKUP(BE$6, Table_ChiPhiNV_Ca[], COUNTA(Table_ChiPhiNV_Ca[[#Headers],[Ca]:[Kết thúc nghỉ]]),0)
),0,
IF(NOT(ISBLANK(BE$3)),
IF(ISBLANK(BE$7),0,
IF(BE$4 &lt; BE$5,
IF($AA50-$Z$4&lt;BE$4,0,
IF($AA50&gt;BE$5,0,
SUM(_xlfn._xlws.FILTER(Table_BangLuong_TyLeTangCa[Tỷ lệ],
(Table_BangLuong_TyLeTangCa[Ngày] = BE$3) *
(Table_BangLuong_TyLeTangCa[Giờ min]&lt;=$AA50) *
(Table_BangLuong_TyLeTangCa[Giờ max]&gt;$AA50)
)))),
IF(AND($AA50-$Z$4 &gt;= BE$5,$AA50 &lt; BE$4),0,
SUM(_xlfn._xlws.FILTER(Table_BangLuong_TyLeTangCa[Tỷ lệ],
(Table_BangLuong_TyLeTangCa[Ngày] = BE$3) *
(Table_BangLuong_TyLeTangCa[Giờ min]&lt;=$AA50) *
(Table_BangLuong_TyLeTangCa[Giờ max]&gt;$AA50)
))))
),
IF(ISBLANK(BE$7),
IF(VLOOKUP(BE$6, Table_ChiPhiNV_Ca[], COUNTA(Table_ChiPhiNV_Ca[[#Headers],[Ca]:[Kết thúc]]),0)&gt; VLOOKUP(BE$6, Table_ChiPhiNV_Ca[], COUNTA(Table_ChiPhiNV_Ca[[#Headers],[Ca]:[Bắt đầu]]),0),
IF($AA50-$Z$4&lt;MAX(BE$4,VLOOKUP(BE$6, Table_ChiPhiNV_Ca[], COUNTA(Table_ChiPhiNV_Ca[[#Headers],[Ca]:[Bắt đầu]]),0)),0,
IF($AA50&gt;MIN(BE$5,VLOOKUP(BE$6, Table_ChiPhiNV_Ca[], COUNTA(Table_ChiPhiNV_Ca[[#Headers],[Ca]:[Kết thúc]]),0)),0,
SUM(_xlfn._xlws.FILTER(Table_BangLuong_TyLeTangCa[Tỷ lệ],
(Table_BangLuong_TyLeTangCa[Ngày] = "Thường") *
(Table_BangLuong_TyLeTangCa[Giờ min]&lt;=$AA50) *
(Table_BangLuong_TyLeTangCa[Giờ max]&gt;$AA50)
)))),
IF(BE$4 &gt; BE$5,
IF(
AND(
$AA50-$Z$4&lt;MAX(BE$4,VLOOKUP(BE$6, Table_ChiPhiNV_Ca[], COUNTA(Table_ChiPhiNV_Ca[[#Headers],[Ca]:[Bắt đầu]]),0)),
$AA50&gt;MIN(BE$5,VLOOKUP(BE$6, Table_ChiPhiNV_Ca[], COUNTA(Table_ChiPhiNV_Ca[[#Headers],[Ca]:[Kết thúc]]),0))),0,
SUM(_xlfn._xlws.FILTER(Table_BangLuong_TyLeTangCa[Tỷ lệ],
(Table_BangLuong_TyLeTangCa[Ngày] = "Thường") *
(Table_BangLuong_TyLeTangCa[Giờ min]&lt;=$AA50) *
(Table_BangLuong_TyLeTangCa[Giờ max]&gt;$AA50)
))),
IF(
AND(
$AA50-$Z$4&gt;=MAX(BE$4,VLOOKUP(BE$6, Table_ChiPhiNV_Ca[], COUNTA(Table_ChiPhiNV_Ca[[#Headers],[Ca]:[Bắt đầu]]),0)),
$AA50&lt;MIN(BE$5,VLOOKUP(BE$6, Table_ChiPhiNV_Ca[], COUNTA(Table_ChiPhiNV_Ca[[#Headers],[Ca]:[Kết thúc]]),0))),
SUM(_xlfn._xlws.FILTER(Table_BangLuong_TyLeTangCa[Tỷ lệ],
(Table_BangLuong_TyLeTangCa[Ngày] = "Thường") *
(Table_BangLuong_TyLeTangCa[Giờ min]&lt;=$AA50) *
(Table_BangLuong_TyLeTangCa[Giờ max]&gt;$AA50)
)),0)
)),
IF(BE$4 &lt; BE$5,
IF($AA50-$Z$4&lt;BE$4,0,
IF($AA50&gt;BE$5,0,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BE$5,$AA50 &lt; BE$4),0,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F50" s="18" cm="1">
        <f t="array" ref="BF50" xml:space="preserve">
IFERROR(
IF(BF$1="",0,
IF(AND(
$AA50&gt;=VLOOKUP(BF$6, Table_ChiPhiNV_Ca[], COUNTA(Table_ChiPhiNV_Ca[[#Headers],[Ca]:[Bắt đầu nghỉ]]),0),
$AA50&lt;VLOOKUP(BF$6, Table_ChiPhiNV_Ca[], COUNTA(Table_ChiPhiNV_Ca[[#Headers],[Ca]:[Kết thúc nghỉ]]),0)
),0,
IF(NOT(ISBLANK(BF$3)),
IF(ISBLANK(BF$7),0,
IF(BF$4 &lt; BF$5,
IF($AA50-$Z$4&lt;BF$4,0,
IF($AA50&gt;BF$5,0,
SUM(_xlfn._xlws.FILTER(Table_BangLuong_TyLeTangCa[Tỷ lệ],
(Table_BangLuong_TyLeTangCa[Ngày] = BF$3) *
(Table_BangLuong_TyLeTangCa[Giờ min]&lt;=$AA50) *
(Table_BangLuong_TyLeTangCa[Giờ max]&gt;$AA50)
)))),
IF(AND($AA50-$Z$4 &gt;= BF$5,$AA50 &lt; BF$4),0,
SUM(_xlfn._xlws.FILTER(Table_BangLuong_TyLeTangCa[Tỷ lệ],
(Table_BangLuong_TyLeTangCa[Ngày] = BF$3) *
(Table_BangLuong_TyLeTangCa[Giờ min]&lt;=$AA50) *
(Table_BangLuong_TyLeTangCa[Giờ max]&gt;$AA50)
))))
),
IF(ISBLANK(BF$7),
IF(VLOOKUP(BF$6, Table_ChiPhiNV_Ca[], COUNTA(Table_ChiPhiNV_Ca[[#Headers],[Ca]:[Kết thúc]]),0)&gt; VLOOKUP(BF$6, Table_ChiPhiNV_Ca[], COUNTA(Table_ChiPhiNV_Ca[[#Headers],[Ca]:[Bắt đầu]]),0),
IF($AA50-$Z$4&lt;MAX(BF$4,VLOOKUP(BF$6, Table_ChiPhiNV_Ca[], COUNTA(Table_ChiPhiNV_Ca[[#Headers],[Ca]:[Bắt đầu]]),0)),0,
IF($AA50&gt;MIN(BF$5,VLOOKUP(BF$6, Table_ChiPhiNV_Ca[], COUNTA(Table_ChiPhiNV_Ca[[#Headers],[Ca]:[Kết thúc]]),0)),0,
SUM(_xlfn._xlws.FILTER(Table_BangLuong_TyLeTangCa[Tỷ lệ],
(Table_BangLuong_TyLeTangCa[Ngày] = "Thường") *
(Table_BangLuong_TyLeTangCa[Giờ min]&lt;=$AA50) *
(Table_BangLuong_TyLeTangCa[Giờ max]&gt;$AA50)
)))),
IF(BF$4 &gt; BF$5,
IF(
AND(
$AA50-$Z$4&lt;MAX(BF$4,VLOOKUP(BF$6, Table_ChiPhiNV_Ca[], COUNTA(Table_ChiPhiNV_Ca[[#Headers],[Ca]:[Bắt đầu]]),0)),
$AA50&gt;MIN(BF$5,VLOOKUP(BF$6, Table_ChiPhiNV_Ca[], COUNTA(Table_ChiPhiNV_Ca[[#Headers],[Ca]:[Kết thúc]]),0))),0,
SUM(_xlfn._xlws.FILTER(Table_BangLuong_TyLeTangCa[Tỷ lệ],
(Table_BangLuong_TyLeTangCa[Ngày] = "Thường") *
(Table_BangLuong_TyLeTangCa[Giờ min]&lt;=$AA50) *
(Table_BangLuong_TyLeTangCa[Giờ max]&gt;$AA50)
))),
IF(
AND(
$AA50-$Z$4&gt;=MAX(BF$4,VLOOKUP(BF$6, Table_ChiPhiNV_Ca[], COUNTA(Table_ChiPhiNV_Ca[[#Headers],[Ca]:[Bắt đầu]]),0)),
$AA50&lt;MIN(BF$5,VLOOKUP(BF$6, Table_ChiPhiNV_Ca[], COUNTA(Table_ChiPhiNV_Ca[[#Headers],[Ca]:[Kết thúc]]),0))),
SUM(_xlfn._xlws.FILTER(Table_BangLuong_TyLeTangCa[Tỷ lệ],
(Table_BangLuong_TyLeTangCa[Ngày] = "Thường") *
(Table_BangLuong_TyLeTangCa[Giờ min]&lt;=$AA50) *
(Table_BangLuong_TyLeTangCa[Giờ max]&gt;$AA50)
)),0)
)),
IF(BF$4 &lt; BF$5,
IF($AA50-$Z$4&lt;BF$4,0,
IF($AA50&gt;BF$5,0,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BF$5,$AA50 &lt; BF$4),0,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row>
    <row r="51" spans="27:58" ht="18" customHeight="1" outlineLevel="1" x14ac:dyDescent="0.3">
      <c r="AA51" s="50">
        <v>0.875</v>
      </c>
      <c r="AB51" s="18" cm="1">
        <f t="array" ref="AB51" xml:space="preserve">
IFERROR(
IF(AB$1="",0,
IF(AND(
$AA51&gt;=VLOOKUP(AB$6, Table_ChiPhiNV_Ca[], COUNTA(Table_ChiPhiNV_Ca[[#Headers],[Ca]:[Bắt đầu nghỉ]]),0),
$AA51&lt;VLOOKUP(AB$6, Table_ChiPhiNV_Ca[], COUNTA(Table_ChiPhiNV_Ca[[#Headers],[Ca]:[Kết thúc nghỉ]]),0)
),0,
IF(NOT(ISBLANK(AB$3)),
IF(ISBLANK(AB$7),0,
IF(AB$4 &lt; AB$5,
IF($AA51-$Z$4&lt;AB$4,0,
IF($AA51&gt;AB$5,0,
SUM(_xlfn._xlws.FILTER(Table_BangLuong_TyLeTangCa[Tỷ lệ],
(Table_BangLuong_TyLeTangCa[Ngày] = AB$3) *
(Table_BangLuong_TyLeTangCa[Giờ min]&lt;=$AA51) *
(Table_BangLuong_TyLeTangCa[Giờ max]&gt;$AA51)
)))),
IF(AND($AA51-$Z$4 &gt;= AB$5,$AA51 &lt; AB$4),0,
SUM(_xlfn._xlws.FILTER(Table_BangLuong_TyLeTangCa[Tỷ lệ],
(Table_BangLuong_TyLeTangCa[Ngày] = AB$3) *
(Table_BangLuong_TyLeTangCa[Giờ min]&lt;=$AA51) *
(Table_BangLuong_TyLeTangCa[Giờ max]&gt;$AA51)
))))
),
IF(ISBLANK(AB$7),
IF(VLOOKUP(AB$6, Table_ChiPhiNV_Ca[], COUNTA(Table_ChiPhiNV_Ca[[#Headers],[Ca]:[Kết thúc]]),0)&gt; VLOOKUP(AB$6, Table_ChiPhiNV_Ca[], COUNTA(Table_ChiPhiNV_Ca[[#Headers],[Ca]:[Bắt đầu]]),0),
IF($AA51-$Z$4&lt;MAX(AB$4,VLOOKUP(AB$6, Table_ChiPhiNV_Ca[], COUNTA(Table_ChiPhiNV_Ca[[#Headers],[Ca]:[Bắt đầu]]),0)),0,
IF($AA51&gt;MIN(AB$5,VLOOKUP(AB$6, Table_ChiPhiNV_Ca[], COUNTA(Table_ChiPhiNV_Ca[[#Headers],[Ca]:[Kết thúc]]),0)),0,
SUM(_xlfn._xlws.FILTER(Table_BangLuong_TyLeTangCa[Tỷ lệ],
(Table_BangLuong_TyLeTangCa[Ngày] = "Thường") *
(Table_BangLuong_TyLeTangCa[Giờ min]&lt;=$AA51) *
(Table_BangLuong_TyLeTangCa[Giờ max]&gt;$AA51)
)))),
IF(AB$4 &gt; AB$5,
IF(
AND(
$AA51-$Z$4&lt;MAX(AB$4,VLOOKUP(AB$6, Table_ChiPhiNV_Ca[], COUNTA(Table_ChiPhiNV_Ca[[#Headers],[Ca]:[Bắt đầu]]),0)),
$AA51&gt;MIN(AB$5,VLOOKUP(AB$6, Table_ChiPhiNV_Ca[], COUNTA(Table_ChiPhiNV_Ca[[#Headers],[Ca]:[Kết thúc]]),0))),0,
SUM(_xlfn._xlws.FILTER(Table_BangLuong_TyLeTangCa[Tỷ lệ],
(Table_BangLuong_TyLeTangCa[Ngày] = "Thường") *
(Table_BangLuong_TyLeTangCa[Giờ min]&lt;=$AA51) *
(Table_BangLuong_TyLeTangCa[Giờ max]&gt;$AA51)
))),
IF(
AND(
$AA51-$Z$4&gt;=MAX(AB$4,VLOOKUP(AB$6, Table_ChiPhiNV_Ca[], COUNTA(Table_ChiPhiNV_Ca[[#Headers],[Ca]:[Bắt đầu]]),0)),
$AA51&lt;MIN(AB$5,VLOOKUP(AB$6, Table_ChiPhiNV_Ca[], COUNTA(Table_ChiPhiNV_Ca[[#Headers],[Ca]:[Kết thúc]]),0))),
SUM(_xlfn._xlws.FILTER(Table_BangLuong_TyLeTangCa[Tỷ lệ],
(Table_BangLuong_TyLeTangCa[Ngày] = "Thường") *
(Table_BangLuong_TyLeTangCa[Giờ min]&lt;=$AA51) *
(Table_BangLuong_TyLeTangCa[Giờ max]&gt;$AA51)
)),0)
)),
IF(AB$4 &lt; AB$5,
IF($AA51-$Z$4&lt;AB$4,0,
IF($AA51&gt;AB$5,0,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AB$5,$AA51 &lt; AB$4),0,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C51" s="18" cm="1">
        <f t="array" ref="AC51" xml:space="preserve">
IFERROR(
IF(AC$1="",0,
IF(AND(
$AA51&gt;=VLOOKUP(AC$6, Table_ChiPhiNV_Ca[], COUNTA(Table_ChiPhiNV_Ca[[#Headers],[Ca]:[Bắt đầu nghỉ]]),0),
$AA51&lt;VLOOKUP(AC$6, Table_ChiPhiNV_Ca[], COUNTA(Table_ChiPhiNV_Ca[[#Headers],[Ca]:[Kết thúc nghỉ]]),0)
),0,
IF(NOT(ISBLANK(AC$3)),
IF(ISBLANK(AC$7),0,
IF(AC$4 &lt; AC$5,
IF($AA51-$Z$4&lt;AC$4,0,
IF($AA51&gt;AC$5,0,
SUM(_xlfn._xlws.FILTER(Table_BangLuong_TyLeTangCa[Tỷ lệ],
(Table_BangLuong_TyLeTangCa[Ngày] = AC$3) *
(Table_BangLuong_TyLeTangCa[Giờ min]&lt;=$AA51) *
(Table_BangLuong_TyLeTangCa[Giờ max]&gt;$AA51)
)))),
IF(AND($AA51-$Z$4 &gt;= AC$5,$AA51 &lt; AC$4),0,
SUM(_xlfn._xlws.FILTER(Table_BangLuong_TyLeTangCa[Tỷ lệ],
(Table_BangLuong_TyLeTangCa[Ngày] = AC$3) *
(Table_BangLuong_TyLeTangCa[Giờ min]&lt;=$AA51) *
(Table_BangLuong_TyLeTangCa[Giờ max]&gt;$AA51)
))))
),
IF(ISBLANK(AC$7),
IF(VLOOKUP(AC$6, Table_ChiPhiNV_Ca[], COUNTA(Table_ChiPhiNV_Ca[[#Headers],[Ca]:[Kết thúc]]),0)&gt; VLOOKUP(AC$6, Table_ChiPhiNV_Ca[], COUNTA(Table_ChiPhiNV_Ca[[#Headers],[Ca]:[Bắt đầu]]),0),
IF($AA51-$Z$4&lt;MAX(AC$4,VLOOKUP(AC$6, Table_ChiPhiNV_Ca[], COUNTA(Table_ChiPhiNV_Ca[[#Headers],[Ca]:[Bắt đầu]]),0)),0,
IF($AA51&gt;MIN(AC$5,VLOOKUP(AC$6, Table_ChiPhiNV_Ca[], COUNTA(Table_ChiPhiNV_Ca[[#Headers],[Ca]:[Kết thúc]]),0)),0,
SUM(_xlfn._xlws.FILTER(Table_BangLuong_TyLeTangCa[Tỷ lệ],
(Table_BangLuong_TyLeTangCa[Ngày] = "Thường") *
(Table_BangLuong_TyLeTangCa[Giờ min]&lt;=$AA51) *
(Table_BangLuong_TyLeTangCa[Giờ max]&gt;$AA51)
)))),
IF(AC$4 &gt; AC$5,
IF(
AND(
$AA51-$Z$4&lt;MAX(AC$4,VLOOKUP(AC$6, Table_ChiPhiNV_Ca[], COUNTA(Table_ChiPhiNV_Ca[[#Headers],[Ca]:[Bắt đầu]]),0)),
$AA51&gt;MIN(AC$5,VLOOKUP(AC$6, Table_ChiPhiNV_Ca[], COUNTA(Table_ChiPhiNV_Ca[[#Headers],[Ca]:[Kết thúc]]),0))),0,
SUM(_xlfn._xlws.FILTER(Table_BangLuong_TyLeTangCa[Tỷ lệ],
(Table_BangLuong_TyLeTangCa[Ngày] = "Thường") *
(Table_BangLuong_TyLeTangCa[Giờ min]&lt;=$AA51) *
(Table_BangLuong_TyLeTangCa[Giờ max]&gt;$AA51)
))),
IF(
AND(
$AA51-$Z$4&gt;=MAX(AC$4,VLOOKUP(AC$6, Table_ChiPhiNV_Ca[], COUNTA(Table_ChiPhiNV_Ca[[#Headers],[Ca]:[Bắt đầu]]),0)),
$AA51&lt;MIN(AC$5,VLOOKUP(AC$6, Table_ChiPhiNV_Ca[], COUNTA(Table_ChiPhiNV_Ca[[#Headers],[Ca]:[Kết thúc]]),0))),
SUM(_xlfn._xlws.FILTER(Table_BangLuong_TyLeTangCa[Tỷ lệ],
(Table_BangLuong_TyLeTangCa[Ngày] = "Thường") *
(Table_BangLuong_TyLeTangCa[Giờ min]&lt;=$AA51) *
(Table_BangLuong_TyLeTangCa[Giờ max]&gt;$AA51)
)),0)
)),
IF(AC$4 &lt; AC$5,
IF($AA51-$Z$4&lt;AC$4,0,
IF($AA51&gt;AC$5,0,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AC$5,$AA51 &lt; AC$4),0,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1.5</v>
      </c>
      <c r="AD51" s="18" cm="1">
        <f t="array" ref="AD51" xml:space="preserve">
IFERROR(
IF(AD$1="",0,
IF(AND(
$AA51&gt;=VLOOKUP(AD$6, Table_ChiPhiNV_Ca[], COUNTA(Table_ChiPhiNV_Ca[[#Headers],[Ca]:[Bắt đầu nghỉ]]),0),
$AA51&lt;VLOOKUP(AD$6, Table_ChiPhiNV_Ca[], COUNTA(Table_ChiPhiNV_Ca[[#Headers],[Ca]:[Kết thúc nghỉ]]),0)
),0,
IF(NOT(ISBLANK(AD$3)),
IF(ISBLANK(AD$7),0,
IF(AD$4 &lt; AD$5,
IF($AA51-$Z$4&lt;AD$4,0,
IF($AA51&gt;AD$5,0,
SUM(_xlfn._xlws.FILTER(Table_BangLuong_TyLeTangCa[Tỷ lệ],
(Table_BangLuong_TyLeTangCa[Ngày] = AD$3) *
(Table_BangLuong_TyLeTangCa[Giờ min]&lt;=$AA51) *
(Table_BangLuong_TyLeTangCa[Giờ max]&gt;$AA51)
)))),
IF(AND($AA51-$Z$4 &gt;= AD$5,$AA51 &lt; AD$4),0,
SUM(_xlfn._xlws.FILTER(Table_BangLuong_TyLeTangCa[Tỷ lệ],
(Table_BangLuong_TyLeTangCa[Ngày] = AD$3) *
(Table_BangLuong_TyLeTangCa[Giờ min]&lt;=$AA51) *
(Table_BangLuong_TyLeTangCa[Giờ max]&gt;$AA51)
))))
),
IF(ISBLANK(AD$7),
IF(VLOOKUP(AD$6, Table_ChiPhiNV_Ca[], COUNTA(Table_ChiPhiNV_Ca[[#Headers],[Ca]:[Kết thúc]]),0)&gt; VLOOKUP(AD$6, Table_ChiPhiNV_Ca[], COUNTA(Table_ChiPhiNV_Ca[[#Headers],[Ca]:[Bắt đầu]]),0),
IF($AA51-$Z$4&lt;MAX(AD$4,VLOOKUP(AD$6, Table_ChiPhiNV_Ca[], COUNTA(Table_ChiPhiNV_Ca[[#Headers],[Ca]:[Bắt đầu]]),0)),0,
IF($AA51&gt;MIN(AD$5,VLOOKUP(AD$6, Table_ChiPhiNV_Ca[], COUNTA(Table_ChiPhiNV_Ca[[#Headers],[Ca]:[Kết thúc]]),0)),0,
SUM(_xlfn._xlws.FILTER(Table_BangLuong_TyLeTangCa[Tỷ lệ],
(Table_BangLuong_TyLeTangCa[Ngày] = "Thường") *
(Table_BangLuong_TyLeTangCa[Giờ min]&lt;=$AA51) *
(Table_BangLuong_TyLeTangCa[Giờ max]&gt;$AA51)
)))),
IF(AD$4 &gt; AD$5,
IF(
AND(
$AA51-$Z$4&lt;MAX(AD$4,VLOOKUP(AD$6, Table_ChiPhiNV_Ca[], COUNTA(Table_ChiPhiNV_Ca[[#Headers],[Ca]:[Bắt đầu]]),0)),
$AA51&gt;MIN(AD$5,VLOOKUP(AD$6, Table_ChiPhiNV_Ca[], COUNTA(Table_ChiPhiNV_Ca[[#Headers],[Ca]:[Kết thúc]]),0))),0,
SUM(_xlfn._xlws.FILTER(Table_BangLuong_TyLeTangCa[Tỷ lệ],
(Table_BangLuong_TyLeTangCa[Ngày] = "Thường") *
(Table_BangLuong_TyLeTangCa[Giờ min]&lt;=$AA51) *
(Table_BangLuong_TyLeTangCa[Giờ max]&gt;$AA51)
))),
IF(
AND(
$AA51-$Z$4&gt;=MAX(AD$4,VLOOKUP(AD$6, Table_ChiPhiNV_Ca[], COUNTA(Table_ChiPhiNV_Ca[[#Headers],[Ca]:[Bắt đầu]]),0)),
$AA51&lt;MIN(AD$5,VLOOKUP(AD$6, Table_ChiPhiNV_Ca[], COUNTA(Table_ChiPhiNV_Ca[[#Headers],[Ca]:[Kết thúc]]),0))),
SUM(_xlfn._xlws.FILTER(Table_BangLuong_TyLeTangCa[Tỷ lệ],
(Table_BangLuong_TyLeTangCa[Ngày] = "Thường") *
(Table_BangLuong_TyLeTangCa[Giờ min]&lt;=$AA51) *
(Table_BangLuong_TyLeTangCa[Giờ max]&gt;$AA51)
)),0)
)),
IF(AD$4 &lt; AD$5,
IF($AA51-$Z$4&lt;AD$4,0,
IF($AA51&gt;AD$5,0,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AD$5,$AA51 &lt; AD$4),0,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E51" s="18" cm="1">
        <f t="array" ref="AE51" xml:space="preserve">
IFERROR(
IF(AE$1="",0,
IF(AND(
$AA51&gt;=VLOOKUP(AE$6, Table_ChiPhiNV_Ca[], COUNTA(Table_ChiPhiNV_Ca[[#Headers],[Ca]:[Bắt đầu nghỉ]]),0),
$AA51&lt;VLOOKUP(AE$6, Table_ChiPhiNV_Ca[], COUNTA(Table_ChiPhiNV_Ca[[#Headers],[Ca]:[Kết thúc nghỉ]]),0)
),0,
IF(NOT(ISBLANK(AE$3)),
IF(ISBLANK(AE$7),0,
IF(AE$4 &lt; AE$5,
IF($AA51-$Z$4&lt;AE$4,0,
IF($AA51&gt;AE$5,0,
SUM(_xlfn._xlws.FILTER(Table_BangLuong_TyLeTangCa[Tỷ lệ],
(Table_BangLuong_TyLeTangCa[Ngày] = AE$3) *
(Table_BangLuong_TyLeTangCa[Giờ min]&lt;=$AA51) *
(Table_BangLuong_TyLeTangCa[Giờ max]&gt;$AA51)
)))),
IF(AND($AA51-$Z$4 &gt;= AE$5,$AA51 &lt; AE$4),0,
SUM(_xlfn._xlws.FILTER(Table_BangLuong_TyLeTangCa[Tỷ lệ],
(Table_BangLuong_TyLeTangCa[Ngày] = AE$3) *
(Table_BangLuong_TyLeTangCa[Giờ min]&lt;=$AA51) *
(Table_BangLuong_TyLeTangCa[Giờ max]&gt;$AA51)
))))
),
IF(ISBLANK(AE$7),
IF(VLOOKUP(AE$6, Table_ChiPhiNV_Ca[], COUNTA(Table_ChiPhiNV_Ca[[#Headers],[Ca]:[Kết thúc]]),0)&gt; VLOOKUP(AE$6, Table_ChiPhiNV_Ca[], COUNTA(Table_ChiPhiNV_Ca[[#Headers],[Ca]:[Bắt đầu]]),0),
IF($AA51-$Z$4&lt;MAX(AE$4,VLOOKUP(AE$6, Table_ChiPhiNV_Ca[], COUNTA(Table_ChiPhiNV_Ca[[#Headers],[Ca]:[Bắt đầu]]),0)),0,
IF($AA51&gt;MIN(AE$5,VLOOKUP(AE$6, Table_ChiPhiNV_Ca[], COUNTA(Table_ChiPhiNV_Ca[[#Headers],[Ca]:[Kết thúc]]),0)),0,
SUM(_xlfn._xlws.FILTER(Table_BangLuong_TyLeTangCa[Tỷ lệ],
(Table_BangLuong_TyLeTangCa[Ngày] = "Thường") *
(Table_BangLuong_TyLeTangCa[Giờ min]&lt;=$AA51) *
(Table_BangLuong_TyLeTangCa[Giờ max]&gt;$AA51)
)))),
IF(AE$4 &gt; AE$5,
IF(
AND(
$AA51-$Z$4&lt;MAX(AE$4,VLOOKUP(AE$6, Table_ChiPhiNV_Ca[], COUNTA(Table_ChiPhiNV_Ca[[#Headers],[Ca]:[Bắt đầu]]),0)),
$AA51&gt;MIN(AE$5,VLOOKUP(AE$6, Table_ChiPhiNV_Ca[], COUNTA(Table_ChiPhiNV_Ca[[#Headers],[Ca]:[Kết thúc]]),0))),0,
SUM(_xlfn._xlws.FILTER(Table_BangLuong_TyLeTangCa[Tỷ lệ],
(Table_BangLuong_TyLeTangCa[Ngày] = "Thường") *
(Table_BangLuong_TyLeTangCa[Giờ min]&lt;=$AA51) *
(Table_BangLuong_TyLeTangCa[Giờ max]&gt;$AA51)
))),
IF(
AND(
$AA51-$Z$4&gt;=MAX(AE$4,VLOOKUP(AE$6, Table_ChiPhiNV_Ca[], COUNTA(Table_ChiPhiNV_Ca[[#Headers],[Ca]:[Bắt đầu]]),0)),
$AA51&lt;MIN(AE$5,VLOOKUP(AE$6, Table_ChiPhiNV_Ca[], COUNTA(Table_ChiPhiNV_Ca[[#Headers],[Ca]:[Kết thúc]]),0))),
SUM(_xlfn._xlws.FILTER(Table_BangLuong_TyLeTangCa[Tỷ lệ],
(Table_BangLuong_TyLeTangCa[Ngày] = "Thường") *
(Table_BangLuong_TyLeTangCa[Giờ min]&lt;=$AA51) *
(Table_BangLuong_TyLeTangCa[Giờ max]&gt;$AA51)
)),0)
)),
IF(AE$4 &lt; AE$5,
IF($AA51-$Z$4&lt;AE$4,0,
IF($AA51&gt;AE$5,0,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AE$5,$AA51 &lt; AE$4),0,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F51" s="18" cm="1">
        <f t="array" ref="AF51" xml:space="preserve">
IFERROR(
IF(AF$1="",0,
IF(AND(
$AA51&gt;=VLOOKUP(AF$6, Table_ChiPhiNV_Ca[], COUNTA(Table_ChiPhiNV_Ca[[#Headers],[Ca]:[Bắt đầu nghỉ]]),0),
$AA51&lt;VLOOKUP(AF$6, Table_ChiPhiNV_Ca[], COUNTA(Table_ChiPhiNV_Ca[[#Headers],[Ca]:[Kết thúc nghỉ]]),0)
),0,
IF(NOT(ISBLANK(AF$3)),
IF(ISBLANK(AF$7),0,
IF(AF$4 &lt; AF$5,
IF($AA51-$Z$4&lt;AF$4,0,
IF($AA51&gt;AF$5,0,
SUM(_xlfn._xlws.FILTER(Table_BangLuong_TyLeTangCa[Tỷ lệ],
(Table_BangLuong_TyLeTangCa[Ngày] = AF$3) *
(Table_BangLuong_TyLeTangCa[Giờ min]&lt;=$AA51) *
(Table_BangLuong_TyLeTangCa[Giờ max]&gt;$AA51)
)))),
IF(AND($AA51-$Z$4 &gt;= AF$5,$AA51 &lt; AF$4),0,
SUM(_xlfn._xlws.FILTER(Table_BangLuong_TyLeTangCa[Tỷ lệ],
(Table_BangLuong_TyLeTangCa[Ngày] = AF$3) *
(Table_BangLuong_TyLeTangCa[Giờ min]&lt;=$AA51) *
(Table_BangLuong_TyLeTangCa[Giờ max]&gt;$AA51)
))))
),
IF(ISBLANK(AF$7),
IF(VLOOKUP(AF$6, Table_ChiPhiNV_Ca[], COUNTA(Table_ChiPhiNV_Ca[[#Headers],[Ca]:[Kết thúc]]),0)&gt; VLOOKUP(AF$6, Table_ChiPhiNV_Ca[], COUNTA(Table_ChiPhiNV_Ca[[#Headers],[Ca]:[Bắt đầu]]),0),
IF($AA51-$Z$4&lt;MAX(AF$4,VLOOKUP(AF$6, Table_ChiPhiNV_Ca[], COUNTA(Table_ChiPhiNV_Ca[[#Headers],[Ca]:[Bắt đầu]]),0)),0,
IF($AA51&gt;MIN(AF$5,VLOOKUP(AF$6, Table_ChiPhiNV_Ca[], COUNTA(Table_ChiPhiNV_Ca[[#Headers],[Ca]:[Kết thúc]]),0)),0,
SUM(_xlfn._xlws.FILTER(Table_BangLuong_TyLeTangCa[Tỷ lệ],
(Table_BangLuong_TyLeTangCa[Ngày] = "Thường") *
(Table_BangLuong_TyLeTangCa[Giờ min]&lt;=$AA51) *
(Table_BangLuong_TyLeTangCa[Giờ max]&gt;$AA51)
)))),
IF(AF$4 &gt; AF$5,
IF(
AND(
$AA51-$Z$4&lt;MAX(AF$4,VLOOKUP(AF$6, Table_ChiPhiNV_Ca[], COUNTA(Table_ChiPhiNV_Ca[[#Headers],[Ca]:[Bắt đầu]]),0)),
$AA51&gt;MIN(AF$5,VLOOKUP(AF$6, Table_ChiPhiNV_Ca[], COUNTA(Table_ChiPhiNV_Ca[[#Headers],[Ca]:[Kết thúc]]),0))),0,
SUM(_xlfn._xlws.FILTER(Table_BangLuong_TyLeTangCa[Tỷ lệ],
(Table_BangLuong_TyLeTangCa[Ngày] = "Thường") *
(Table_BangLuong_TyLeTangCa[Giờ min]&lt;=$AA51) *
(Table_BangLuong_TyLeTangCa[Giờ max]&gt;$AA51)
))),
IF(
AND(
$AA51-$Z$4&gt;=MAX(AF$4,VLOOKUP(AF$6, Table_ChiPhiNV_Ca[], COUNTA(Table_ChiPhiNV_Ca[[#Headers],[Ca]:[Bắt đầu]]),0)),
$AA51&lt;MIN(AF$5,VLOOKUP(AF$6, Table_ChiPhiNV_Ca[], COUNTA(Table_ChiPhiNV_Ca[[#Headers],[Ca]:[Kết thúc]]),0))),
SUM(_xlfn._xlws.FILTER(Table_BangLuong_TyLeTangCa[Tỷ lệ],
(Table_BangLuong_TyLeTangCa[Ngày] = "Thường") *
(Table_BangLuong_TyLeTangCa[Giờ min]&lt;=$AA51) *
(Table_BangLuong_TyLeTangCa[Giờ max]&gt;$AA51)
)),0)
)),
IF(AF$4 &lt; AF$5,
IF($AA51-$Z$4&lt;AF$4,0,
IF($AA51&gt;AF$5,0,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AF$5,$AA51 &lt; AF$4),0,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G51" s="18" cm="1">
        <f t="array" ref="AG51" xml:space="preserve">
IFERROR(
IF(AG$1="",0,
IF(AND(
$AA51&gt;=VLOOKUP(AG$6, Table_ChiPhiNV_Ca[], COUNTA(Table_ChiPhiNV_Ca[[#Headers],[Ca]:[Bắt đầu nghỉ]]),0),
$AA51&lt;VLOOKUP(AG$6, Table_ChiPhiNV_Ca[], COUNTA(Table_ChiPhiNV_Ca[[#Headers],[Ca]:[Kết thúc nghỉ]]),0)
),0,
IF(NOT(ISBLANK(AG$3)),
IF(ISBLANK(AG$7),0,
IF(AG$4 &lt; AG$5,
IF($AA51-$Z$4&lt;AG$4,0,
IF($AA51&gt;AG$5,0,
SUM(_xlfn._xlws.FILTER(Table_BangLuong_TyLeTangCa[Tỷ lệ],
(Table_BangLuong_TyLeTangCa[Ngày] = AG$3) *
(Table_BangLuong_TyLeTangCa[Giờ min]&lt;=$AA51) *
(Table_BangLuong_TyLeTangCa[Giờ max]&gt;$AA51)
)))),
IF(AND($AA51-$Z$4 &gt;= AG$5,$AA51 &lt; AG$4),0,
SUM(_xlfn._xlws.FILTER(Table_BangLuong_TyLeTangCa[Tỷ lệ],
(Table_BangLuong_TyLeTangCa[Ngày] = AG$3) *
(Table_BangLuong_TyLeTangCa[Giờ min]&lt;=$AA51) *
(Table_BangLuong_TyLeTangCa[Giờ max]&gt;$AA51)
))))
),
IF(ISBLANK(AG$7),
IF(VLOOKUP(AG$6, Table_ChiPhiNV_Ca[], COUNTA(Table_ChiPhiNV_Ca[[#Headers],[Ca]:[Kết thúc]]),0)&gt; VLOOKUP(AG$6, Table_ChiPhiNV_Ca[], COUNTA(Table_ChiPhiNV_Ca[[#Headers],[Ca]:[Bắt đầu]]),0),
IF($AA51-$Z$4&lt;MAX(AG$4,VLOOKUP(AG$6, Table_ChiPhiNV_Ca[], COUNTA(Table_ChiPhiNV_Ca[[#Headers],[Ca]:[Bắt đầu]]),0)),0,
IF($AA51&gt;MIN(AG$5,VLOOKUP(AG$6, Table_ChiPhiNV_Ca[], COUNTA(Table_ChiPhiNV_Ca[[#Headers],[Ca]:[Kết thúc]]),0)),0,
SUM(_xlfn._xlws.FILTER(Table_BangLuong_TyLeTangCa[Tỷ lệ],
(Table_BangLuong_TyLeTangCa[Ngày] = "Thường") *
(Table_BangLuong_TyLeTangCa[Giờ min]&lt;=$AA51) *
(Table_BangLuong_TyLeTangCa[Giờ max]&gt;$AA51)
)))),
IF(AG$4 &gt; AG$5,
IF(
AND(
$AA51-$Z$4&lt;MAX(AG$4,VLOOKUP(AG$6, Table_ChiPhiNV_Ca[], COUNTA(Table_ChiPhiNV_Ca[[#Headers],[Ca]:[Bắt đầu]]),0)),
$AA51&gt;MIN(AG$5,VLOOKUP(AG$6, Table_ChiPhiNV_Ca[], COUNTA(Table_ChiPhiNV_Ca[[#Headers],[Ca]:[Kết thúc]]),0))),0,
SUM(_xlfn._xlws.FILTER(Table_BangLuong_TyLeTangCa[Tỷ lệ],
(Table_BangLuong_TyLeTangCa[Ngày] = "Thường") *
(Table_BangLuong_TyLeTangCa[Giờ min]&lt;=$AA51) *
(Table_BangLuong_TyLeTangCa[Giờ max]&gt;$AA51)
))),
IF(
AND(
$AA51-$Z$4&gt;=MAX(AG$4,VLOOKUP(AG$6, Table_ChiPhiNV_Ca[], COUNTA(Table_ChiPhiNV_Ca[[#Headers],[Ca]:[Bắt đầu]]),0)),
$AA51&lt;MIN(AG$5,VLOOKUP(AG$6, Table_ChiPhiNV_Ca[], COUNTA(Table_ChiPhiNV_Ca[[#Headers],[Ca]:[Kết thúc]]),0))),
SUM(_xlfn._xlws.FILTER(Table_BangLuong_TyLeTangCa[Tỷ lệ],
(Table_BangLuong_TyLeTangCa[Ngày] = "Thường") *
(Table_BangLuong_TyLeTangCa[Giờ min]&lt;=$AA51) *
(Table_BangLuong_TyLeTangCa[Giờ max]&gt;$AA51)
)),0)
)),
IF(AG$4 &lt; AG$5,
IF($AA51-$Z$4&lt;AG$4,0,
IF($AA51&gt;AG$5,0,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AG$5,$AA51 &lt; AG$4),0,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H51" s="18" cm="1">
        <f t="array" ref="AH51" xml:space="preserve">
IFERROR(
IF(AH$1="",0,
IF(AND(
$AA51&gt;=VLOOKUP(AH$6, Table_ChiPhiNV_Ca[], COUNTA(Table_ChiPhiNV_Ca[[#Headers],[Ca]:[Bắt đầu nghỉ]]),0),
$AA51&lt;VLOOKUP(AH$6, Table_ChiPhiNV_Ca[], COUNTA(Table_ChiPhiNV_Ca[[#Headers],[Ca]:[Kết thúc nghỉ]]),0)
),0,
IF(NOT(ISBLANK(AH$3)),
IF(ISBLANK(AH$7),0,
IF(AH$4 &lt; AH$5,
IF($AA51-$Z$4&lt;AH$4,0,
IF($AA51&gt;AH$5,0,
SUM(_xlfn._xlws.FILTER(Table_BangLuong_TyLeTangCa[Tỷ lệ],
(Table_BangLuong_TyLeTangCa[Ngày] = AH$3) *
(Table_BangLuong_TyLeTangCa[Giờ min]&lt;=$AA51) *
(Table_BangLuong_TyLeTangCa[Giờ max]&gt;$AA51)
)))),
IF(AND($AA51-$Z$4 &gt;= AH$5,$AA51 &lt; AH$4),0,
SUM(_xlfn._xlws.FILTER(Table_BangLuong_TyLeTangCa[Tỷ lệ],
(Table_BangLuong_TyLeTangCa[Ngày] = AH$3) *
(Table_BangLuong_TyLeTangCa[Giờ min]&lt;=$AA51) *
(Table_BangLuong_TyLeTangCa[Giờ max]&gt;$AA51)
))))
),
IF(ISBLANK(AH$7),
IF(VLOOKUP(AH$6, Table_ChiPhiNV_Ca[], COUNTA(Table_ChiPhiNV_Ca[[#Headers],[Ca]:[Kết thúc]]),0)&gt; VLOOKUP(AH$6, Table_ChiPhiNV_Ca[], COUNTA(Table_ChiPhiNV_Ca[[#Headers],[Ca]:[Bắt đầu]]),0),
IF($AA51-$Z$4&lt;MAX(AH$4,VLOOKUP(AH$6, Table_ChiPhiNV_Ca[], COUNTA(Table_ChiPhiNV_Ca[[#Headers],[Ca]:[Bắt đầu]]),0)),0,
IF($AA51&gt;MIN(AH$5,VLOOKUP(AH$6, Table_ChiPhiNV_Ca[], COUNTA(Table_ChiPhiNV_Ca[[#Headers],[Ca]:[Kết thúc]]),0)),0,
SUM(_xlfn._xlws.FILTER(Table_BangLuong_TyLeTangCa[Tỷ lệ],
(Table_BangLuong_TyLeTangCa[Ngày] = "Thường") *
(Table_BangLuong_TyLeTangCa[Giờ min]&lt;=$AA51) *
(Table_BangLuong_TyLeTangCa[Giờ max]&gt;$AA51)
)))),
IF(AH$4 &gt; AH$5,
IF(
AND(
$AA51-$Z$4&lt;MAX(AH$4,VLOOKUP(AH$6, Table_ChiPhiNV_Ca[], COUNTA(Table_ChiPhiNV_Ca[[#Headers],[Ca]:[Bắt đầu]]),0)),
$AA51&gt;MIN(AH$5,VLOOKUP(AH$6, Table_ChiPhiNV_Ca[], COUNTA(Table_ChiPhiNV_Ca[[#Headers],[Ca]:[Kết thúc]]),0))),0,
SUM(_xlfn._xlws.FILTER(Table_BangLuong_TyLeTangCa[Tỷ lệ],
(Table_BangLuong_TyLeTangCa[Ngày] = "Thường") *
(Table_BangLuong_TyLeTangCa[Giờ min]&lt;=$AA51) *
(Table_BangLuong_TyLeTangCa[Giờ max]&gt;$AA51)
))),
IF(
AND(
$AA51-$Z$4&gt;=MAX(AH$4,VLOOKUP(AH$6, Table_ChiPhiNV_Ca[], COUNTA(Table_ChiPhiNV_Ca[[#Headers],[Ca]:[Bắt đầu]]),0)),
$AA51&lt;MIN(AH$5,VLOOKUP(AH$6, Table_ChiPhiNV_Ca[], COUNTA(Table_ChiPhiNV_Ca[[#Headers],[Ca]:[Kết thúc]]),0))),
SUM(_xlfn._xlws.FILTER(Table_BangLuong_TyLeTangCa[Tỷ lệ],
(Table_BangLuong_TyLeTangCa[Ngày] = "Thường") *
(Table_BangLuong_TyLeTangCa[Giờ min]&lt;=$AA51) *
(Table_BangLuong_TyLeTangCa[Giờ max]&gt;$AA51)
)),0)
)),
IF(AH$4 &lt; AH$5,
IF($AA51-$Z$4&lt;AH$4,0,
IF($AA51&gt;AH$5,0,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AH$5,$AA51 &lt; AH$4),0,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I51" s="18" cm="1">
        <f t="array" ref="AI51" xml:space="preserve">
IFERROR(
IF(AI$1="",0,
IF(AND(
$AA51&gt;=VLOOKUP(AI$6, Table_ChiPhiNV_Ca[], COUNTA(Table_ChiPhiNV_Ca[[#Headers],[Ca]:[Bắt đầu nghỉ]]),0),
$AA51&lt;VLOOKUP(AI$6, Table_ChiPhiNV_Ca[], COUNTA(Table_ChiPhiNV_Ca[[#Headers],[Ca]:[Kết thúc nghỉ]]),0)
),0,
IF(NOT(ISBLANK(AI$3)),
IF(ISBLANK(AI$7),0,
IF(AI$4 &lt; AI$5,
IF($AA51-$Z$4&lt;AI$4,0,
IF($AA51&gt;AI$5,0,
SUM(_xlfn._xlws.FILTER(Table_BangLuong_TyLeTangCa[Tỷ lệ],
(Table_BangLuong_TyLeTangCa[Ngày] = AI$3) *
(Table_BangLuong_TyLeTangCa[Giờ min]&lt;=$AA51) *
(Table_BangLuong_TyLeTangCa[Giờ max]&gt;$AA51)
)))),
IF(AND($AA51-$Z$4 &gt;= AI$5,$AA51 &lt; AI$4),0,
SUM(_xlfn._xlws.FILTER(Table_BangLuong_TyLeTangCa[Tỷ lệ],
(Table_BangLuong_TyLeTangCa[Ngày] = AI$3) *
(Table_BangLuong_TyLeTangCa[Giờ min]&lt;=$AA51) *
(Table_BangLuong_TyLeTangCa[Giờ max]&gt;$AA51)
))))
),
IF(ISBLANK(AI$7),
IF(VLOOKUP(AI$6, Table_ChiPhiNV_Ca[], COUNTA(Table_ChiPhiNV_Ca[[#Headers],[Ca]:[Kết thúc]]),0)&gt; VLOOKUP(AI$6, Table_ChiPhiNV_Ca[], COUNTA(Table_ChiPhiNV_Ca[[#Headers],[Ca]:[Bắt đầu]]),0),
IF($AA51-$Z$4&lt;MAX(AI$4,VLOOKUP(AI$6, Table_ChiPhiNV_Ca[], COUNTA(Table_ChiPhiNV_Ca[[#Headers],[Ca]:[Bắt đầu]]),0)),0,
IF($AA51&gt;MIN(AI$5,VLOOKUP(AI$6, Table_ChiPhiNV_Ca[], COUNTA(Table_ChiPhiNV_Ca[[#Headers],[Ca]:[Kết thúc]]),0)),0,
SUM(_xlfn._xlws.FILTER(Table_BangLuong_TyLeTangCa[Tỷ lệ],
(Table_BangLuong_TyLeTangCa[Ngày] = "Thường") *
(Table_BangLuong_TyLeTangCa[Giờ min]&lt;=$AA51) *
(Table_BangLuong_TyLeTangCa[Giờ max]&gt;$AA51)
)))),
IF(AI$4 &gt; AI$5,
IF(
AND(
$AA51-$Z$4&lt;MAX(AI$4,VLOOKUP(AI$6, Table_ChiPhiNV_Ca[], COUNTA(Table_ChiPhiNV_Ca[[#Headers],[Ca]:[Bắt đầu]]),0)),
$AA51&gt;MIN(AI$5,VLOOKUP(AI$6, Table_ChiPhiNV_Ca[], COUNTA(Table_ChiPhiNV_Ca[[#Headers],[Ca]:[Kết thúc]]),0))),0,
SUM(_xlfn._xlws.FILTER(Table_BangLuong_TyLeTangCa[Tỷ lệ],
(Table_BangLuong_TyLeTangCa[Ngày] = "Thường") *
(Table_BangLuong_TyLeTangCa[Giờ min]&lt;=$AA51) *
(Table_BangLuong_TyLeTangCa[Giờ max]&gt;$AA51)
))),
IF(
AND(
$AA51-$Z$4&gt;=MAX(AI$4,VLOOKUP(AI$6, Table_ChiPhiNV_Ca[], COUNTA(Table_ChiPhiNV_Ca[[#Headers],[Ca]:[Bắt đầu]]),0)),
$AA51&lt;MIN(AI$5,VLOOKUP(AI$6, Table_ChiPhiNV_Ca[], COUNTA(Table_ChiPhiNV_Ca[[#Headers],[Ca]:[Kết thúc]]),0))),
SUM(_xlfn._xlws.FILTER(Table_BangLuong_TyLeTangCa[Tỷ lệ],
(Table_BangLuong_TyLeTangCa[Ngày] = "Thường") *
(Table_BangLuong_TyLeTangCa[Giờ min]&lt;=$AA51) *
(Table_BangLuong_TyLeTangCa[Giờ max]&gt;$AA51)
)),0)
)),
IF(AI$4 &lt; AI$5,
IF($AA51-$Z$4&lt;AI$4,0,
IF($AA51&gt;AI$5,0,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AI$5,$AA51 &lt; AI$4),0,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J51" s="18" cm="1">
        <f t="array" ref="AJ51" xml:space="preserve">
IFERROR(
IF(AJ$1="",0,
IF(AND(
$AA51&gt;=VLOOKUP(AJ$6, Table_ChiPhiNV_Ca[], COUNTA(Table_ChiPhiNV_Ca[[#Headers],[Ca]:[Bắt đầu nghỉ]]),0),
$AA51&lt;VLOOKUP(AJ$6, Table_ChiPhiNV_Ca[], COUNTA(Table_ChiPhiNV_Ca[[#Headers],[Ca]:[Kết thúc nghỉ]]),0)
),0,
IF(NOT(ISBLANK(AJ$3)),
IF(ISBLANK(AJ$7),0,
IF(AJ$4 &lt; AJ$5,
IF($AA51-$Z$4&lt;AJ$4,0,
IF($AA51&gt;AJ$5,0,
SUM(_xlfn._xlws.FILTER(Table_BangLuong_TyLeTangCa[Tỷ lệ],
(Table_BangLuong_TyLeTangCa[Ngày] = AJ$3) *
(Table_BangLuong_TyLeTangCa[Giờ min]&lt;=$AA51) *
(Table_BangLuong_TyLeTangCa[Giờ max]&gt;$AA51)
)))),
IF(AND($AA51-$Z$4 &gt;= AJ$5,$AA51 &lt; AJ$4),0,
SUM(_xlfn._xlws.FILTER(Table_BangLuong_TyLeTangCa[Tỷ lệ],
(Table_BangLuong_TyLeTangCa[Ngày] = AJ$3) *
(Table_BangLuong_TyLeTangCa[Giờ min]&lt;=$AA51) *
(Table_BangLuong_TyLeTangCa[Giờ max]&gt;$AA51)
))))
),
IF(ISBLANK(AJ$7),
IF(VLOOKUP(AJ$6, Table_ChiPhiNV_Ca[], COUNTA(Table_ChiPhiNV_Ca[[#Headers],[Ca]:[Kết thúc]]),0)&gt; VLOOKUP(AJ$6, Table_ChiPhiNV_Ca[], COUNTA(Table_ChiPhiNV_Ca[[#Headers],[Ca]:[Bắt đầu]]),0),
IF($AA51-$Z$4&lt;MAX(AJ$4,VLOOKUP(AJ$6, Table_ChiPhiNV_Ca[], COUNTA(Table_ChiPhiNV_Ca[[#Headers],[Ca]:[Bắt đầu]]),0)),0,
IF($AA51&gt;MIN(AJ$5,VLOOKUP(AJ$6, Table_ChiPhiNV_Ca[], COUNTA(Table_ChiPhiNV_Ca[[#Headers],[Ca]:[Kết thúc]]),0)),0,
SUM(_xlfn._xlws.FILTER(Table_BangLuong_TyLeTangCa[Tỷ lệ],
(Table_BangLuong_TyLeTangCa[Ngày] = "Thường") *
(Table_BangLuong_TyLeTangCa[Giờ min]&lt;=$AA51) *
(Table_BangLuong_TyLeTangCa[Giờ max]&gt;$AA51)
)))),
IF(AJ$4 &gt; AJ$5,
IF(
AND(
$AA51-$Z$4&lt;MAX(AJ$4,VLOOKUP(AJ$6, Table_ChiPhiNV_Ca[], COUNTA(Table_ChiPhiNV_Ca[[#Headers],[Ca]:[Bắt đầu]]),0)),
$AA51&gt;MIN(AJ$5,VLOOKUP(AJ$6, Table_ChiPhiNV_Ca[], COUNTA(Table_ChiPhiNV_Ca[[#Headers],[Ca]:[Kết thúc]]),0))),0,
SUM(_xlfn._xlws.FILTER(Table_BangLuong_TyLeTangCa[Tỷ lệ],
(Table_BangLuong_TyLeTangCa[Ngày] = "Thường") *
(Table_BangLuong_TyLeTangCa[Giờ min]&lt;=$AA51) *
(Table_BangLuong_TyLeTangCa[Giờ max]&gt;$AA51)
))),
IF(
AND(
$AA51-$Z$4&gt;=MAX(AJ$4,VLOOKUP(AJ$6, Table_ChiPhiNV_Ca[], COUNTA(Table_ChiPhiNV_Ca[[#Headers],[Ca]:[Bắt đầu]]),0)),
$AA51&lt;MIN(AJ$5,VLOOKUP(AJ$6, Table_ChiPhiNV_Ca[], COUNTA(Table_ChiPhiNV_Ca[[#Headers],[Ca]:[Kết thúc]]),0))),
SUM(_xlfn._xlws.FILTER(Table_BangLuong_TyLeTangCa[Tỷ lệ],
(Table_BangLuong_TyLeTangCa[Ngày] = "Thường") *
(Table_BangLuong_TyLeTangCa[Giờ min]&lt;=$AA51) *
(Table_BangLuong_TyLeTangCa[Giờ max]&gt;$AA51)
)),0)
)),
IF(AJ$4 &lt; AJ$5,
IF($AA51-$Z$4&lt;AJ$4,0,
IF($AA51&gt;AJ$5,0,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AJ$5,$AA51 &lt; AJ$4),0,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K51" s="18" cm="1">
        <f t="array" ref="AK51" xml:space="preserve">
IFERROR(
IF(AK$1="",0,
IF(AND(
$AA51&gt;=VLOOKUP(AK$6, Table_ChiPhiNV_Ca[], COUNTA(Table_ChiPhiNV_Ca[[#Headers],[Ca]:[Bắt đầu nghỉ]]),0),
$AA51&lt;VLOOKUP(AK$6, Table_ChiPhiNV_Ca[], COUNTA(Table_ChiPhiNV_Ca[[#Headers],[Ca]:[Kết thúc nghỉ]]),0)
),0,
IF(NOT(ISBLANK(AK$3)),
IF(ISBLANK(AK$7),0,
IF(AK$4 &lt; AK$5,
IF($AA51-$Z$4&lt;AK$4,0,
IF($AA51&gt;AK$5,0,
SUM(_xlfn._xlws.FILTER(Table_BangLuong_TyLeTangCa[Tỷ lệ],
(Table_BangLuong_TyLeTangCa[Ngày] = AK$3) *
(Table_BangLuong_TyLeTangCa[Giờ min]&lt;=$AA51) *
(Table_BangLuong_TyLeTangCa[Giờ max]&gt;$AA51)
)))),
IF(AND($AA51-$Z$4 &gt;= AK$5,$AA51 &lt; AK$4),0,
SUM(_xlfn._xlws.FILTER(Table_BangLuong_TyLeTangCa[Tỷ lệ],
(Table_BangLuong_TyLeTangCa[Ngày] = AK$3) *
(Table_BangLuong_TyLeTangCa[Giờ min]&lt;=$AA51) *
(Table_BangLuong_TyLeTangCa[Giờ max]&gt;$AA51)
))))
),
IF(ISBLANK(AK$7),
IF(VLOOKUP(AK$6, Table_ChiPhiNV_Ca[], COUNTA(Table_ChiPhiNV_Ca[[#Headers],[Ca]:[Kết thúc]]),0)&gt; VLOOKUP(AK$6, Table_ChiPhiNV_Ca[], COUNTA(Table_ChiPhiNV_Ca[[#Headers],[Ca]:[Bắt đầu]]),0),
IF($AA51-$Z$4&lt;MAX(AK$4,VLOOKUP(AK$6, Table_ChiPhiNV_Ca[], COUNTA(Table_ChiPhiNV_Ca[[#Headers],[Ca]:[Bắt đầu]]),0)),0,
IF($AA51&gt;MIN(AK$5,VLOOKUP(AK$6, Table_ChiPhiNV_Ca[], COUNTA(Table_ChiPhiNV_Ca[[#Headers],[Ca]:[Kết thúc]]),0)),0,
SUM(_xlfn._xlws.FILTER(Table_BangLuong_TyLeTangCa[Tỷ lệ],
(Table_BangLuong_TyLeTangCa[Ngày] = "Thường") *
(Table_BangLuong_TyLeTangCa[Giờ min]&lt;=$AA51) *
(Table_BangLuong_TyLeTangCa[Giờ max]&gt;$AA51)
)))),
IF(AK$4 &gt; AK$5,
IF(
AND(
$AA51-$Z$4&lt;MAX(AK$4,VLOOKUP(AK$6, Table_ChiPhiNV_Ca[], COUNTA(Table_ChiPhiNV_Ca[[#Headers],[Ca]:[Bắt đầu]]),0)),
$AA51&gt;MIN(AK$5,VLOOKUP(AK$6, Table_ChiPhiNV_Ca[], COUNTA(Table_ChiPhiNV_Ca[[#Headers],[Ca]:[Kết thúc]]),0))),0,
SUM(_xlfn._xlws.FILTER(Table_BangLuong_TyLeTangCa[Tỷ lệ],
(Table_BangLuong_TyLeTangCa[Ngày] = "Thường") *
(Table_BangLuong_TyLeTangCa[Giờ min]&lt;=$AA51) *
(Table_BangLuong_TyLeTangCa[Giờ max]&gt;$AA51)
))),
IF(
AND(
$AA51-$Z$4&gt;=MAX(AK$4,VLOOKUP(AK$6, Table_ChiPhiNV_Ca[], COUNTA(Table_ChiPhiNV_Ca[[#Headers],[Ca]:[Bắt đầu]]),0)),
$AA51&lt;MIN(AK$5,VLOOKUP(AK$6, Table_ChiPhiNV_Ca[], COUNTA(Table_ChiPhiNV_Ca[[#Headers],[Ca]:[Kết thúc]]),0))),
SUM(_xlfn._xlws.FILTER(Table_BangLuong_TyLeTangCa[Tỷ lệ],
(Table_BangLuong_TyLeTangCa[Ngày] = "Thường") *
(Table_BangLuong_TyLeTangCa[Giờ min]&lt;=$AA51) *
(Table_BangLuong_TyLeTangCa[Giờ max]&gt;$AA51)
)),0)
)),
IF(AK$4 &lt; AK$5,
IF($AA51-$Z$4&lt;AK$4,0,
IF($AA51&gt;AK$5,0,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AK$5,$AA51 &lt; AK$4),0,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L51" s="18" cm="1">
        <f t="array" ref="AL51" xml:space="preserve">
IFERROR(
IF(AL$1="",0,
IF(AND(
$AA51&gt;=VLOOKUP(AL$6, Table_ChiPhiNV_Ca[], COUNTA(Table_ChiPhiNV_Ca[[#Headers],[Ca]:[Bắt đầu nghỉ]]),0),
$AA51&lt;VLOOKUP(AL$6, Table_ChiPhiNV_Ca[], COUNTA(Table_ChiPhiNV_Ca[[#Headers],[Ca]:[Kết thúc nghỉ]]),0)
),0,
IF(NOT(ISBLANK(AL$3)),
IF(ISBLANK(AL$7),0,
IF(AL$4 &lt; AL$5,
IF($AA51-$Z$4&lt;AL$4,0,
IF($AA51&gt;AL$5,0,
SUM(_xlfn._xlws.FILTER(Table_BangLuong_TyLeTangCa[Tỷ lệ],
(Table_BangLuong_TyLeTangCa[Ngày] = AL$3) *
(Table_BangLuong_TyLeTangCa[Giờ min]&lt;=$AA51) *
(Table_BangLuong_TyLeTangCa[Giờ max]&gt;$AA51)
)))),
IF(AND($AA51-$Z$4 &gt;= AL$5,$AA51 &lt; AL$4),0,
SUM(_xlfn._xlws.FILTER(Table_BangLuong_TyLeTangCa[Tỷ lệ],
(Table_BangLuong_TyLeTangCa[Ngày] = AL$3) *
(Table_BangLuong_TyLeTangCa[Giờ min]&lt;=$AA51) *
(Table_BangLuong_TyLeTangCa[Giờ max]&gt;$AA51)
))))
),
IF(ISBLANK(AL$7),
IF(VLOOKUP(AL$6, Table_ChiPhiNV_Ca[], COUNTA(Table_ChiPhiNV_Ca[[#Headers],[Ca]:[Kết thúc]]),0)&gt; VLOOKUP(AL$6, Table_ChiPhiNV_Ca[], COUNTA(Table_ChiPhiNV_Ca[[#Headers],[Ca]:[Bắt đầu]]),0),
IF($AA51-$Z$4&lt;MAX(AL$4,VLOOKUP(AL$6, Table_ChiPhiNV_Ca[], COUNTA(Table_ChiPhiNV_Ca[[#Headers],[Ca]:[Bắt đầu]]),0)),0,
IF($AA51&gt;MIN(AL$5,VLOOKUP(AL$6, Table_ChiPhiNV_Ca[], COUNTA(Table_ChiPhiNV_Ca[[#Headers],[Ca]:[Kết thúc]]),0)),0,
SUM(_xlfn._xlws.FILTER(Table_BangLuong_TyLeTangCa[Tỷ lệ],
(Table_BangLuong_TyLeTangCa[Ngày] = "Thường") *
(Table_BangLuong_TyLeTangCa[Giờ min]&lt;=$AA51) *
(Table_BangLuong_TyLeTangCa[Giờ max]&gt;$AA51)
)))),
IF(AL$4 &gt; AL$5,
IF(
AND(
$AA51-$Z$4&lt;MAX(AL$4,VLOOKUP(AL$6, Table_ChiPhiNV_Ca[], COUNTA(Table_ChiPhiNV_Ca[[#Headers],[Ca]:[Bắt đầu]]),0)),
$AA51&gt;MIN(AL$5,VLOOKUP(AL$6, Table_ChiPhiNV_Ca[], COUNTA(Table_ChiPhiNV_Ca[[#Headers],[Ca]:[Kết thúc]]),0))),0,
SUM(_xlfn._xlws.FILTER(Table_BangLuong_TyLeTangCa[Tỷ lệ],
(Table_BangLuong_TyLeTangCa[Ngày] = "Thường") *
(Table_BangLuong_TyLeTangCa[Giờ min]&lt;=$AA51) *
(Table_BangLuong_TyLeTangCa[Giờ max]&gt;$AA51)
))),
IF(
AND(
$AA51-$Z$4&gt;=MAX(AL$4,VLOOKUP(AL$6, Table_ChiPhiNV_Ca[], COUNTA(Table_ChiPhiNV_Ca[[#Headers],[Ca]:[Bắt đầu]]),0)),
$AA51&lt;MIN(AL$5,VLOOKUP(AL$6, Table_ChiPhiNV_Ca[], COUNTA(Table_ChiPhiNV_Ca[[#Headers],[Ca]:[Kết thúc]]),0))),
SUM(_xlfn._xlws.FILTER(Table_BangLuong_TyLeTangCa[Tỷ lệ],
(Table_BangLuong_TyLeTangCa[Ngày] = "Thường") *
(Table_BangLuong_TyLeTangCa[Giờ min]&lt;=$AA51) *
(Table_BangLuong_TyLeTangCa[Giờ max]&gt;$AA51)
)),0)
)),
IF(AL$4 &lt; AL$5,
IF($AA51-$Z$4&lt;AL$4,0,
IF($AA51&gt;AL$5,0,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AL$5,$AA51 &lt; AL$4),0,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M51" s="18" cm="1">
        <f t="array" ref="AM51" xml:space="preserve">
IFERROR(
IF(AM$1="",0,
IF(AND(
$AA51&gt;=VLOOKUP(AM$6, Table_ChiPhiNV_Ca[], COUNTA(Table_ChiPhiNV_Ca[[#Headers],[Ca]:[Bắt đầu nghỉ]]),0),
$AA51&lt;VLOOKUP(AM$6, Table_ChiPhiNV_Ca[], COUNTA(Table_ChiPhiNV_Ca[[#Headers],[Ca]:[Kết thúc nghỉ]]),0)
),0,
IF(NOT(ISBLANK(AM$3)),
IF(ISBLANK(AM$7),0,
IF(AM$4 &lt; AM$5,
IF($AA51-$Z$4&lt;AM$4,0,
IF($AA51&gt;AM$5,0,
SUM(_xlfn._xlws.FILTER(Table_BangLuong_TyLeTangCa[Tỷ lệ],
(Table_BangLuong_TyLeTangCa[Ngày] = AM$3) *
(Table_BangLuong_TyLeTangCa[Giờ min]&lt;=$AA51) *
(Table_BangLuong_TyLeTangCa[Giờ max]&gt;$AA51)
)))),
IF(AND($AA51-$Z$4 &gt;= AM$5,$AA51 &lt; AM$4),0,
SUM(_xlfn._xlws.FILTER(Table_BangLuong_TyLeTangCa[Tỷ lệ],
(Table_BangLuong_TyLeTangCa[Ngày] = AM$3) *
(Table_BangLuong_TyLeTangCa[Giờ min]&lt;=$AA51) *
(Table_BangLuong_TyLeTangCa[Giờ max]&gt;$AA51)
))))
),
IF(ISBLANK(AM$7),
IF(VLOOKUP(AM$6, Table_ChiPhiNV_Ca[], COUNTA(Table_ChiPhiNV_Ca[[#Headers],[Ca]:[Kết thúc]]),0)&gt; VLOOKUP(AM$6, Table_ChiPhiNV_Ca[], COUNTA(Table_ChiPhiNV_Ca[[#Headers],[Ca]:[Bắt đầu]]),0),
IF($AA51-$Z$4&lt;MAX(AM$4,VLOOKUP(AM$6, Table_ChiPhiNV_Ca[], COUNTA(Table_ChiPhiNV_Ca[[#Headers],[Ca]:[Bắt đầu]]),0)),0,
IF($AA51&gt;MIN(AM$5,VLOOKUP(AM$6, Table_ChiPhiNV_Ca[], COUNTA(Table_ChiPhiNV_Ca[[#Headers],[Ca]:[Kết thúc]]),0)),0,
SUM(_xlfn._xlws.FILTER(Table_BangLuong_TyLeTangCa[Tỷ lệ],
(Table_BangLuong_TyLeTangCa[Ngày] = "Thường") *
(Table_BangLuong_TyLeTangCa[Giờ min]&lt;=$AA51) *
(Table_BangLuong_TyLeTangCa[Giờ max]&gt;$AA51)
)))),
IF(AM$4 &gt; AM$5,
IF(
AND(
$AA51-$Z$4&lt;MAX(AM$4,VLOOKUP(AM$6, Table_ChiPhiNV_Ca[], COUNTA(Table_ChiPhiNV_Ca[[#Headers],[Ca]:[Bắt đầu]]),0)),
$AA51&gt;MIN(AM$5,VLOOKUP(AM$6, Table_ChiPhiNV_Ca[], COUNTA(Table_ChiPhiNV_Ca[[#Headers],[Ca]:[Kết thúc]]),0))),0,
SUM(_xlfn._xlws.FILTER(Table_BangLuong_TyLeTangCa[Tỷ lệ],
(Table_BangLuong_TyLeTangCa[Ngày] = "Thường") *
(Table_BangLuong_TyLeTangCa[Giờ min]&lt;=$AA51) *
(Table_BangLuong_TyLeTangCa[Giờ max]&gt;$AA51)
))),
IF(
AND(
$AA51-$Z$4&gt;=MAX(AM$4,VLOOKUP(AM$6, Table_ChiPhiNV_Ca[], COUNTA(Table_ChiPhiNV_Ca[[#Headers],[Ca]:[Bắt đầu]]),0)),
$AA51&lt;MIN(AM$5,VLOOKUP(AM$6, Table_ChiPhiNV_Ca[], COUNTA(Table_ChiPhiNV_Ca[[#Headers],[Ca]:[Kết thúc]]),0))),
SUM(_xlfn._xlws.FILTER(Table_BangLuong_TyLeTangCa[Tỷ lệ],
(Table_BangLuong_TyLeTangCa[Ngày] = "Thường") *
(Table_BangLuong_TyLeTangCa[Giờ min]&lt;=$AA51) *
(Table_BangLuong_TyLeTangCa[Giờ max]&gt;$AA51)
)),0)
)),
IF(AM$4 &lt; AM$5,
IF($AA51-$Z$4&lt;AM$4,0,
IF($AA51&gt;AM$5,0,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AM$5,$AA51 &lt; AM$4),0,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N51" s="18" cm="1">
        <f t="array" ref="AN51" xml:space="preserve">
IFERROR(
IF(AN$1="",0,
IF(AND(
$AA51&gt;=VLOOKUP(AN$6, Table_ChiPhiNV_Ca[], COUNTA(Table_ChiPhiNV_Ca[[#Headers],[Ca]:[Bắt đầu nghỉ]]),0),
$AA51&lt;VLOOKUP(AN$6, Table_ChiPhiNV_Ca[], COUNTA(Table_ChiPhiNV_Ca[[#Headers],[Ca]:[Kết thúc nghỉ]]),0)
),0,
IF(NOT(ISBLANK(AN$3)),
IF(ISBLANK(AN$7),0,
IF(AN$4 &lt; AN$5,
IF($AA51-$Z$4&lt;AN$4,0,
IF($AA51&gt;AN$5,0,
SUM(_xlfn._xlws.FILTER(Table_BangLuong_TyLeTangCa[Tỷ lệ],
(Table_BangLuong_TyLeTangCa[Ngày] = AN$3) *
(Table_BangLuong_TyLeTangCa[Giờ min]&lt;=$AA51) *
(Table_BangLuong_TyLeTangCa[Giờ max]&gt;$AA51)
)))),
IF(AND($AA51-$Z$4 &gt;= AN$5,$AA51 &lt; AN$4),0,
SUM(_xlfn._xlws.FILTER(Table_BangLuong_TyLeTangCa[Tỷ lệ],
(Table_BangLuong_TyLeTangCa[Ngày] = AN$3) *
(Table_BangLuong_TyLeTangCa[Giờ min]&lt;=$AA51) *
(Table_BangLuong_TyLeTangCa[Giờ max]&gt;$AA51)
))))
),
IF(ISBLANK(AN$7),
IF(VLOOKUP(AN$6, Table_ChiPhiNV_Ca[], COUNTA(Table_ChiPhiNV_Ca[[#Headers],[Ca]:[Kết thúc]]),0)&gt; VLOOKUP(AN$6, Table_ChiPhiNV_Ca[], COUNTA(Table_ChiPhiNV_Ca[[#Headers],[Ca]:[Bắt đầu]]),0),
IF($AA51-$Z$4&lt;MAX(AN$4,VLOOKUP(AN$6, Table_ChiPhiNV_Ca[], COUNTA(Table_ChiPhiNV_Ca[[#Headers],[Ca]:[Bắt đầu]]),0)),0,
IF($AA51&gt;MIN(AN$5,VLOOKUP(AN$6, Table_ChiPhiNV_Ca[], COUNTA(Table_ChiPhiNV_Ca[[#Headers],[Ca]:[Kết thúc]]),0)),0,
SUM(_xlfn._xlws.FILTER(Table_BangLuong_TyLeTangCa[Tỷ lệ],
(Table_BangLuong_TyLeTangCa[Ngày] = "Thường") *
(Table_BangLuong_TyLeTangCa[Giờ min]&lt;=$AA51) *
(Table_BangLuong_TyLeTangCa[Giờ max]&gt;$AA51)
)))),
IF(AN$4 &gt; AN$5,
IF(
AND(
$AA51-$Z$4&lt;MAX(AN$4,VLOOKUP(AN$6, Table_ChiPhiNV_Ca[], COUNTA(Table_ChiPhiNV_Ca[[#Headers],[Ca]:[Bắt đầu]]),0)),
$AA51&gt;MIN(AN$5,VLOOKUP(AN$6, Table_ChiPhiNV_Ca[], COUNTA(Table_ChiPhiNV_Ca[[#Headers],[Ca]:[Kết thúc]]),0))),0,
SUM(_xlfn._xlws.FILTER(Table_BangLuong_TyLeTangCa[Tỷ lệ],
(Table_BangLuong_TyLeTangCa[Ngày] = "Thường") *
(Table_BangLuong_TyLeTangCa[Giờ min]&lt;=$AA51) *
(Table_BangLuong_TyLeTangCa[Giờ max]&gt;$AA51)
))),
IF(
AND(
$AA51-$Z$4&gt;=MAX(AN$4,VLOOKUP(AN$6, Table_ChiPhiNV_Ca[], COUNTA(Table_ChiPhiNV_Ca[[#Headers],[Ca]:[Bắt đầu]]),0)),
$AA51&lt;MIN(AN$5,VLOOKUP(AN$6, Table_ChiPhiNV_Ca[], COUNTA(Table_ChiPhiNV_Ca[[#Headers],[Ca]:[Kết thúc]]),0))),
SUM(_xlfn._xlws.FILTER(Table_BangLuong_TyLeTangCa[Tỷ lệ],
(Table_BangLuong_TyLeTangCa[Ngày] = "Thường") *
(Table_BangLuong_TyLeTangCa[Giờ min]&lt;=$AA51) *
(Table_BangLuong_TyLeTangCa[Giờ max]&gt;$AA51)
)),0)
)),
IF(AN$4 &lt; AN$5,
IF($AA51-$Z$4&lt;AN$4,0,
IF($AA51&gt;AN$5,0,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AN$5,$AA51 &lt; AN$4),0,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O51" s="18" cm="1">
        <f t="array" ref="AO51" xml:space="preserve">
IFERROR(
IF(AO$1="",0,
IF(AND(
$AA51&gt;=VLOOKUP(AO$6, Table_ChiPhiNV_Ca[], COUNTA(Table_ChiPhiNV_Ca[[#Headers],[Ca]:[Bắt đầu nghỉ]]),0),
$AA51&lt;VLOOKUP(AO$6, Table_ChiPhiNV_Ca[], COUNTA(Table_ChiPhiNV_Ca[[#Headers],[Ca]:[Kết thúc nghỉ]]),0)
),0,
IF(NOT(ISBLANK(AO$3)),
IF(ISBLANK(AO$7),0,
IF(AO$4 &lt; AO$5,
IF($AA51-$Z$4&lt;AO$4,0,
IF($AA51&gt;AO$5,0,
SUM(_xlfn._xlws.FILTER(Table_BangLuong_TyLeTangCa[Tỷ lệ],
(Table_BangLuong_TyLeTangCa[Ngày] = AO$3) *
(Table_BangLuong_TyLeTangCa[Giờ min]&lt;=$AA51) *
(Table_BangLuong_TyLeTangCa[Giờ max]&gt;$AA51)
)))),
IF(AND($AA51-$Z$4 &gt;= AO$5,$AA51 &lt; AO$4),0,
SUM(_xlfn._xlws.FILTER(Table_BangLuong_TyLeTangCa[Tỷ lệ],
(Table_BangLuong_TyLeTangCa[Ngày] = AO$3) *
(Table_BangLuong_TyLeTangCa[Giờ min]&lt;=$AA51) *
(Table_BangLuong_TyLeTangCa[Giờ max]&gt;$AA51)
))))
),
IF(ISBLANK(AO$7),
IF(VLOOKUP(AO$6, Table_ChiPhiNV_Ca[], COUNTA(Table_ChiPhiNV_Ca[[#Headers],[Ca]:[Kết thúc]]),0)&gt; VLOOKUP(AO$6, Table_ChiPhiNV_Ca[], COUNTA(Table_ChiPhiNV_Ca[[#Headers],[Ca]:[Bắt đầu]]),0),
IF($AA51-$Z$4&lt;MAX(AO$4,VLOOKUP(AO$6, Table_ChiPhiNV_Ca[], COUNTA(Table_ChiPhiNV_Ca[[#Headers],[Ca]:[Bắt đầu]]),0)),0,
IF($AA51&gt;MIN(AO$5,VLOOKUP(AO$6, Table_ChiPhiNV_Ca[], COUNTA(Table_ChiPhiNV_Ca[[#Headers],[Ca]:[Kết thúc]]),0)),0,
SUM(_xlfn._xlws.FILTER(Table_BangLuong_TyLeTangCa[Tỷ lệ],
(Table_BangLuong_TyLeTangCa[Ngày] = "Thường") *
(Table_BangLuong_TyLeTangCa[Giờ min]&lt;=$AA51) *
(Table_BangLuong_TyLeTangCa[Giờ max]&gt;$AA51)
)))),
IF(AO$4 &gt; AO$5,
IF(
AND(
$AA51-$Z$4&lt;MAX(AO$4,VLOOKUP(AO$6, Table_ChiPhiNV_Ca[], COUNTA(Table_ChiPhiNV_Ca[[#Headers],[Ca]:[Bắt đầu]]),0)),
$AA51&gt;MIN(AO$5,VLOOKUP(AO$6, Table_ChiPhiNV_Ca[], COUNTA(Table_ChiPhiNV_Ca[[#Headers],[Ca]:[Kết thúc]]),0))),0,
SUM(_xlfn._xlws.FILTER(Table_BangLuong_TyLeTangCa[Tỷ lệ],
(Table_BangLuong_TyLeTangCa[Ngày] = "Thường") *
(Table_BangLuong_TyLeTangCa[Giờ min]&lt;=$AA51) *
(Table_BangLuong_TyLeTangCa[Giờ max]&gt;$AA51)
))),
IF(
AND(
$AA51-$Z$4&gt;=MAX(AO$4,VLOOKUP(AO$6, Table_ChiPhiNV_Ca[], COUNTA(Table_ChiPhiNV_Ca[[#Headers],[Ca]:[Bắt đầu]]),0)),
$AA51&lt;MIN(AO$5,VLOOKUP(AO$6, Table_ChiPhiNV_Ca[], COUNTA(Table_ChiPhiNV_Ca[[#Headers],[Ca]:[Kết thúc]]),0))),
SUM(_xlfn._xlws.FILTER(Table_BangLuong_TyLeTangCa[Tỷ lệ],
(Table_BangLuong_TyLeTangCa[Ngày] = "Thường") *
(Table_BangLuong_TyLeTangCa[Giờ min]&lt;=$AA51) *
(Table_BangLuong_TyLeTangCa[Giờ max]&gt;$AA51)
)),0)
)),
IF(AO$4 &lt; AO$5,
IF($AA51-$Z$4&lt;AO$4,0,
IF($AA51&gt;AO$5,0,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AO$5,$AA51 &lt; AO$4),0,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P51" s="18" cm="1">
        <f t="array" ref="AP51" xml:space="preserve">
IFERROR(
IF(AP$1="",0,
IF(AND(
$AA51&gt;=VLOOKUP(AP$6, Table_ChiPhiNV_Ca[], COUNTA(Table_ChiPhiNV_Ca[[#Headers],[Ca]:[Bắt đầu nghỉ]]),0),
$AA51&lt;VLOOKUP(AP$6, Table_ChiPhiNV_Ca[], COUNTA(Table_ChiPhiNV_Ca[[#Headers],[Ca]:[Kết thúc nghỉ]]),0)
),0,
IF(NOT(ISBLANK(AP$3)),
IF(ISBLANK(AP$7),0,
IF(AP$4 &lt; AP$5,
IF($AA51-$Z$4&lt;AP$4,0,
IF($AA51&gt;AP$5,0,
SUM(_xlfn._xlws.FILTER(Table_BangLuong_TyLeTangCa[Tỷ lệ],
(Table_BangLuong_TyLeTangCa[Ngày] = AP$3) *
(Table_BangLuong_TyLeTangCa[Giờ min]&lt;=$AA51) *
(Table_BangLuong_TyLeTangCa[Giờ max]&gt;$AA51)
)))),
IF(AND($AA51-$Z$4 &gt;= AP$5,$AA51 &lt; AP$4),0,
SUM(_xlfn._xlws.FILTER(Table_BangLuong_TyLeTangCa[Tỷ lệ],
(Table_BangLuong_TyLeTangCa[Ngày] = AP$3) *
(Table_BangLuong_TyLeTangCa[Giờ min]&lt;=$AA51) *
(Table_BangLuong_TyLeTangCa[Giờ max]&gt;$AA51)
))))
),
IF(ISBLANK(AP$7),
IF(VLOOKUP(AP$6, Table_ChiPhiNV_Ca[], COUNTA(Table_ChiPhiNV_Ca[[#Headers],[Ca]:[Kết thúc]]),0)&gt; VLOOKUP(AP$6, Table_ChiPhiNV_Ca[], COUNTA(Table_ChiPhiNV_Ca[[#Headers],[Ca]:[Bắt đầu]]),0),
IF($AA51-$Z$4&lt;MAX(AP$4,VLOOKUP(AP$6, Table_ChiPhiNV_Ca[], COUNTA(Table_ChiPhiNV_Ca[[#Headers],[Ca]:[Bắt đầu]]),0)),0,
IF($AA51&gt;MIN(AP$5,VLOOKUP(AP$6, Table_ChiPhiNV_Ca[], COUNTA(Table_ChiPhiNV_Ca[[#Headers],[Ca]:[Kết thúc]]),0)),0,
SUM(_xlfn._xlws.FILTER(Table_BangLuong_TyLeTangCa[Tỷ lệ],
(Table_BangLuong_TyLeTangCa[Ngày] = "Thường") *
(Table_BangLuong_TyLeTangCa[Giờ min]&lt;=$AA51) *
(Table_BangLuong_TyLeTangCa[Giờ max]&gt;$AA51)
)))),
IF(AP$4 &gt; AP$5,
IF(
AND(
$AA51-$Z$4&lt;MAX(AP$4,VLOOKUP(AP$6, Table_ChiPhiNV_Ca[], COUNTA(Table_ChiPhiNV_Ca[[#Headers],[Ca]:[Bắt đầu]]),0)),
$AA51&gt;MIN(AP$5,VLOOKUP(AP$6, Table_ChiPhiNV_Ca[], COUNTA(Table_ChiPhiNV_Ca[[#Headers],[Ca]:[Kết thúc]]),0))),0,
SUM(_xlfn._xlws.FILTER(Table_BangLuong_TyLeTangCa[Tỷ lệ],
(Table_BangLuong_TyLeTangCa[Ngày] = "Thường") *
(Table_BangLuong_TyLeTangCa[Giờ min]&lt;=$AA51) *
(Table_BangLuong_TyLeTangCa[Giờ max]&gt;$AA51)
))),
IF(
AND(
$AA51-$Z$4&gt;=MAX(AP$4,VLOOKUP(AP$6, Table_ChiPhiNV_Ca[], COUNTA(Table_ChiPhiNV_Ca[[#Headers],[Ca]:[Bắt đầu]]),0)),
$AA51&lt;MIN(AP$5,VLOOKUP(AP$6, Table_ChiPhiNV_Ca[], COUNTA(Table_ChiPhiNV_Ca[[#Headers],[Ca]:[Kết thúc]]),0))),
SUM(_xlfn._xlws.FILTER(Table_BangLuong_TyLeTangCa[Tỷ lệ],
(Table_BangLuong_TyLeTangCa[Ngày] = "Thường") *
(Table_BangLuong_TyLeTangCa[Giờ min]&lt;=$AA51) *
(Table_BangLuong_TyLeTangCa[Giờ max]&gt;$AA51)
)),0)
)),
IF(AP$4 &lt; AP$5,
IF($AA51-$Z$4&lt;AP$4,0,
IF($AA51&gt;AP$5,0,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AP$5,$AA51 &lt; AP$4),0,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Q51" s="18" cm="1">
        <f t="array" ref="AQ51" xml:space="preserve">
IFERROR(
IF(AQ$1="",0,
IF(AND(
$AA51&gt;=VLOOKUP(AQ$6, Table_ChiPhiNV_Ca[], COUNTA(Table_ChiPhiNV_Ca[[#Headers],[Ca]:[Bắt đầu nghỉ]]),0),
$AA51&lt;VLOOKUP(AQ$6, Table_ChiPhiNV_Ca[], COUNTA(Table_ChiPhiNV_Ca[[#Headers],[Ca]:[Kết thúc nghỉ]]),0)
),0,
IF(NOT(ISBLANK(AQ$3)),
IF(ISBLANK(AQ$7),0,
IF(AQ$4 &lt; AQ$5,
IF($AA51-$Z$4&lt;AQ$4,0,
IF($AA51&gt;AQ$5,0,
SUM(_xlfn._xlws.FILTER(Table_BangLuong_TyLeTangCa[Tỷ lệ],
(Table_BangLuong_TyLeTangCa[Ngày] = AQ$3) *
(Table_BangLuong_TyLeTangCa[Giờ min]&lt;=$AA51) *
(Table_BangLuong_TyLeTangCa[Giờ max]&gt;$AA51)
)))),
IF(AND($AA51-$Z$4 &gt;= AQ$5,$AA51 &lt; AQ$4),0,
SUM(_xlfn._xlws.FILTER(Table_BangLuong_TyLeTangCa[Tỷ lệ],
(Table_BangLuong_TyLeTangCa[Ngày] = AQ$3) *
(Table_BangLuong_TyLeTangCa[Giờ min]&lt;=$AA51) *
(Table_BangLuong_TyLeTangCa[Giờ max]&gt;$AA51)
))))
),
IF(ISBLANK(AQ$7),
IF(VLOOKUP(AQ$6, Table_ChiPhiNV_Ca[], COUNTA(Table_ChiPhiNV_Ca[[#Headers],[Ca]:[Kết thúc]]),0)&gt; VLOOKUP(AQ$6, Table_ChiPhiNV_Ca[], COUNTA(Table_ChiPhiNV_Ca[[#Headers],[Ca]:[Bắt đầu]]),0),
IF($AA51-$Z$4&lt;MAX(AQ$4,VLOOKUP(AQ$6, Table_ChiPhiNV_Ca[], COUNTA(Table_ChiPhiNV_Ca[[#Headers],[Ca]:[Bắt đầu]]),0)),0,
IF($AA51&gt;MIN(AQ$5,VLOOKUP(AQ$6, Table_ChiPhiNV_Ca[], COUNTA(Table_ChiPhiNV_Ca[[#Headers],[Ca]:[Kết thúc]]),0)),0,
SUM(_xlfn._xlws.FILTER(Table_BangLuong_TyLeTangCa[Tỷ lệ],
(Table_BangLuong_TyLeTangCa[Ngày] = "Thường") *
(Table_BangLuong_TyLeTangCa[Giờ min]&lt;=$AA51) *
(Table_BangLuong_TyLeTangCa[Giờ max]&gt;$AA51)
)))),
IF(AQ$4 &gt; AQ$5,
IF(
AND(
$AA51-$Z$4&lt;MAX(AQ$4,VLOOKUP(AQ$6, Table_ChiPhiNV_Ca[], COUNTA(Table_ChiPhiNV_Ca[[#Headers],[Ca]:[Bắt đầu]]),0)),
$AA51&gt;MIN(AQ$5,VLOOKUP(AQ$6, Table_ChiPhiNV_Ca[], COUNTA(Table_ChiPhiNV_Ca[[#Headers],[Ca]:[Kết thúc]]),0))),0,
SUM(_xlfn._xlws.FILTER(Table_BangLuong_TyLeTangCa[Tỷ lệ],
(Table_BangLuong_TyLeTangCa[Ngày] = "Thường") *
(Table_BangLuong_TyLeTangCa[Giờ min]&lt;=$AA51) *
(Table_BangLuong_TyLeTangCa[Giờ max]&gt;$AA51)
))),
IF(
AND(
$AA51-$Z$4&gt;=MAX(AQ$4,VLOOKUP(AQ$6, Table_ChiPhiNV_Ca[], COUNTA(Table_ChiPhiNV_Ca[[#Headers],[Ca]:[Bắt đầu]]),0)),
$AA51&lt;MIN(AQ$5,VLOOKUP(AQ$6, Table_ChiPhiNV_Ca[], COUNTA(Table_ChiPhiNV_Ca[[#Headers],[Ca]:[Kết thúc]]),0))),
SUM(_xlfn._xlws.FILTER(Table_BangLuong_TyLeTangCa[Tỷ lệ],
(Table_BangLuong_TyLeTangCa[Ngày] = "Thường") *
(Table_BangLuong_TyLeTangCa[Giờ min]&lt;=$AA51) *
(Table_BangLuong_TyLeTangCa[Giờ max]&gt;$AA51)
)),0)
)),
IF(AQ$4 &lt; AQ$5,
IF($AA51-$Z$4&lt;AQ$4,0,
IF($AA51&gt;AQ$5,0,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AQ$5,$AA51 &lt; AQ$4),0,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R51" s="18" cm="1">
        <f t="array" ref="AR51" xml:space="preserve">
IFERROR(
IF(AR$1="",0,
IF(AND(
$AA51&gt;=VLOOKUP(AR$6, Table_ChiPhiNV_Ca[], COUNTA(Table_ChiPhiNV_Ca[[#Headers],[Ca]:[Bắt đầu nghỉ]]),0),
$AA51&lt;VLOOKUP(AR$6, Table_ChiPhiNV_Ca[], COUNTA(Table_ChiPhiNV_Ca[[#Headers],[Ca]:[Kết thúc nghỉ]]),0)
),0,
IF(NOT(ISBLANK(AR$3)),
IF(ISBLANK(AR$7),0,
IF(AR$4 &lt; AR$5,
IF($AA51-$Z$4&lt;AR$4,0,
IF($AA51&gt;AR$5,0,
SUM(_xlfn._xlws.FILTER(Table_BangLuong_TyLeTangCa[Tỷ lệ],
(Table_BangLuong_TyLeTangCa[Ngày] = AR$3) *
(Table_BangLuong_TyLeTangCa[Giờ min]&lt;=$AA51) *
(Table_BangLuong_TyLeTangCa[Giờ max]&gt;$AA51)
)))),
IF(AND($AA51-$Z$4 &gt;= AR$5,$AA51 &lt; AR$4),0,
SUM(_xlfn._xlws.FILTER(Table_BangLuong_TyLeTangCa[Tỷ lệ],
(Table_BangLuong_TyLeTangCa[Ngày] = AR$3) *
(Table_BangLuong_TyLeTangCa[Giờ min]&lt;=$AA51) *
(Table_BangLuong_TyLeTangCa[Giờ max]&gt;$AA51)
))))
),
IF(ISBLANK(AR$7),
IF(VLOOKUP(AR$6, Table_ChiPhiNV_Ca[], COUNTA(Table_ChiPhiNV_Ca[[#Headers],[Ca]:[Kết thúc]]),0)&gt; VLOOKUP(AR$6, Table_ChiPhiNV_Ca[], COUNTA(Table_ChiPhiNV_Ca[[#Headers],[Ca]:[Bắt đầu]]),0),
IF($AA51-$Z$4&lt;MAX(AR$4,VLOOKUP(AR$6, Table_ChiPhiNV_Ca[], COUNTA(Table_ChiPhiNV_Ca[[#Headers],[Ca]:[Bắt đầu]]),0)),0,
IF($AA51&gt;MIN(AR$5,VLOOKUP(AR$6, Table_ChiPhiNV_Ca[], COUNTA(Table_ChiPhiNV_Ca[[#Headers],[Ca]:[Kết thúc]]),0)),0,
SUM(_xlfn._xlws.FILTER(Table_BangLuong_TyLeTangCa[Tỷ lệ],
(Table_BangLuong_TyLeTangCa[Ngày] = "Thường") *
(Table_BangLuong_TyLeTangCa[Giờ min]&lt;=$AA51) *
(Table_BangLuong_TyLeTangCa[Giờ max]&gt;$AA51)
)))),
IF(AR$4 &gt; AR$5,
IF(
AND(
$AA51-$Z$4&lt;MAX(AR$4,VLOOKUP(AR$6, Table_ChiPhiNV_Ca[], COUNTA(Table_ChiPhiNV_Ca[[#Headers],[Ca]:[Bắt đầu]]),0)),
$AA51&gt;MIN(AR$5,VLOOKUP(AR$6, Table_ChiPhiNV_Ca[], COUNTA(Table_ChiPhiNV_Ca[[#Headers],[Ca]:[Kết thúc]]),0))),0,
SUM(_xlfn._xlws.FILTER(Table_BangLuong_TyLeTangCa[Tỷ lệ],
(Table_BangLuong_TyLeTangCa[Ngày] = "Thường") *
(Table_BangLuong_TyLeTangCa[Giờ min]&lt;=$AA51) *
(Table_BangLuong_TyLeTangCa[Giờ max]&gt;$AA51)
))),
IF(
AND(
$AA51-$Z$4&gt;=MAX(AR$4,VLOOKUP(AR$6, Table_ChiPhiNV_Ca[], COUNTA(Table_ChiPhiNV_Ca[[#Headers],[Ca]:[Bắt đầu]]),0)),
$AA51&lt;MIN(AR$5,VLOOKUP(AR$6, Table_ChiPhiNV_Ca[], COUNTA(Table_ChiPhiNV_Ca[[#Headers],[Ca]:[Kết thúc]]),0))),
SUM(_xlfn._xlws.FILTER(Table_BangLuong_TyLeTangCa[Tỷ lệ],
(Table_BangLuong_TyLeTangCa[Ngày] = "Thường") *
(Table_BangLuong_TyLeTangCa[Giờ min]&lt;=$AA51) *
(Table_BangLuong_TyLeTangCa[Giờ max]&gt;$AA51)
)),0)
)),
IF(AR$4 &lt; AR$5,
IF($AA51-$Z$4&lt;AR$4,0,
IF($AA51&gt;AR$5,0,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AR$5,$AA51 &lt; AR$4),0,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S51" s="18" cm="1">
        <f t="array" ref="AS51" xml:space="preserve">
IFERROR(
IF(AS$1="",0,
IF(AND(
$AA51&gt;=VLOOKUP(AS$6, Table_ChiPhiNV_Ca[], COUNTA(Table_ChiPhiNV_Ca[[#Headers],[Ca]:[Bắt đầu nghỉ]]),0),
$AA51&lt;VLOOKUP(AS$6, Table_ChiPhiNV_Ca[], COUNTA(Table_ChiPhiNV_Ca[[#Headers],[Ca]:[Kết thúc nghỉ]]),0)
),0,
IF(NOT(ISBLANK(AS$3)),
IF(ISBLANK(AS$7),0,
IF(AS$4 &lt; AS$5,
IF($AA51-$Z$4&lt;AS$4,0,
IF($AA51&gt;AS$5,0,
SUM(_xlfn._xlws.FILTER(Table_BangLuong_TyLeTangCa[Tỷ lệ],
(Table_BangLuong_TyLeTangCa[Ngày] = AS$3) *
(Table_BangLuong_TyLeTangCa[Giờ min]&lt;=$AA51) *
(Table_BangLuong_TyLeTangCa[Giờ max]&gt;$AA51)
)))),
IF(AND($AA51-$Z$4 &gt;= AS$5,$AA51 &lt; AS$4),0,
SUM(_xlfn._xlws.FILTER(Table_BangLuong_TyLeTangCa[Tỷ lệ],
(Table_BangLuong_TyLeTangCa[Ngày] = AS$3) *
(Table_BangLuong_TyLeTangCa[Giờ min]&lt;=$AA51) *
(Table_BangLuong_TyLeTangCa[Giờ max]&gt;$AA51)
))))
),
IF(ISBLANK(AS$7),
IF(VLOOKUP(AS$6, Table_ChiPhiNV_Ca[], COUNTA(Table_ChiPhiNV_Ca[[#Headers],[Ca]:[Kết thúc]]),0)&gt; VLOOKUP(AS$6, Table_ChiPhiNV_Ca[], COUNTA(Table_ChiPhiNV_Ca[[#Headers],[Ca]:[Bắt đầu]]),0),
IF($AA51-$Z$4&lt;MAX(AS$4,VLOOKUP(AS$6, Table_ChiPhiNV_Ca[], COUNTA(Table_ChiPhiNV_Ca[[#Headers],[Ca]:[Bắt đầu]]),0)),0,
IF($AA51&gt;MIN(AS$5,VLOOKUP(AS$6, Table_ChiPhiNV_Ca[], COUNTA(Table_ChiPhiNV_Ca[[#Headers],[Ca]:[Kết thúc]]),0)),0,
SUM(_xlfn._xlws.FILTER(Table_BangLuong_TyLeTangCa[Tỷ lệ],
(Table_BangLuong_TyLeTangCa[Ngày] = "Thường") *
(Table_BangLuong_TyLeTangCa[Giờ min]&lt;=$AA51) *
(Table_BangLuong_TyLeTangCa[Giờ max]&gt;$AA51)
)))),
IF(AS$4 &gt; AS$5,
IF(
AND(
$AA51-$Z$4&lt;MAX(AS$4,VLOOKUP(AS$6, Table_ChiPhiNV_Ca[], COUNTA(Table_ChiPhiNV_Ca[[#Headers],[Ca]:[Bắt đầu]]),0)),
$AA51&gt;MIN(AS$5,VLOOKUP(AS$6, Table_ChiPhiNV_Ca[], COUNTA(Table_ChiPhiNV_Ca[[#Headers],[Ca]:[Kết thúc]]),0))),0,
SUM(_xlfn._xlws.FILTER(Table_BangLuong_TyLeTangCa[Tỷ lệ],
(Table_BangLuong_TyLeTangCa[Ngày] = "Thường") *
(Table_BangLuong_TyLeTangCa[Giờ min]&lt;=$AA51) *
(Table_BangLuong_TyLeTangCa[Giờ max]&gt;$AA51)
))),
IF(
AND(
$AA51-$Z$4&gt;=MAX(AS$4,VLOOKUP(AS$6, Table_ChiPhiNV_Ca[], COUNTA(Table_ChiPhiNV_Ca[[#Headers],[Ca]:[Bắt đầu]]),0)),
$AA51&lt;MIN(AS$5,VLOOKUP(AS$6, Table_ChiPhiNV_Ca[], COUNTA(Table_ChiPhiNV_Ca[[#Headers],[Ca]:[Kết thúc]]),0))),
SUM(_xlfn._xlws.FILTER(Table_BangLuong_TyLeTangCa[Tỷ lệ],
(Table_BangLuong_TyLeTangCa[Ngày] = "Thường") *
(Table_BangLuong_TyLeTangCa[Giờ min]&lt;=$AA51) *
(Table_BangLuong_TyLeTangCa[Giờ max]&gt;$AA51)
)),0)
)),
IF(AS$4 &lt; AS$5,
IF($AA51-$Z$4&lt;AS$4,0,
IF($AA51&gt;AS$5,0,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AS$5,$AA51 &lt; AS$4),0,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T51" s="18" cm="1">
        <f t="array" ref="AT51" xml:space="preserve">
IFERROR(
IF(AT$1="",0,
IF(AND(
$AA51&gt;=VLOOKUP(AT$6, Table_ChiPhiNV_Ca[], COUNTA(Table_ChiPhiNV_Ca[[#Headers],[Ca]:[Bắt đầu nghỉ]]),0),
$AA51&lt;VLOOKUP(AT$6, Table_ChiPhiNV_Ca[], COUNTA(Table_ChiPhiNV_Ca[[#Headers],[Ca]:[Kết thúc nghỉ]]),0)
),0,
IF(NOT(ISBLANK(AT$3)),
IF(ISBLANK(AT$7),0,
IF(AT$4 &lt; AT$5,
IF($AA51-$Z$4&lt;AT$4,0,
IF($AA51&gt;AT$5,0,
SUM(_xlfn._xlws.FILTER(Table_BangLuong_TyLeTangCa[Tỷ lệ],
(Table_BangLuong_TyLeTangCa[Ngày] = AT$3) *
(Table_BangLuong_TyLeTangCa[Giờ min]&lt;=$AA51) *
(Table_BangLuong_TyLeTangCa[Giờ max]&gt;$AA51)
)))),
IF(AND($AA51-$Z$4 &gt;= AT$5,$AA51 &lt; AT$4),0,
SUM(_xlfn._xlws.FILTER(Table_BangLuong_TyLeTangCa[Tỷ lệ],
(Table_BangLuong_TyLeTangCa[Ngày] = AT$3) *
(Table_BangLuong_TyLeTangCa[Giờ min]&lt;=$AA51) *
(Table_BangLuong_TyLeTangCa[Giờ max]&gt;$AA51)
))))
),
IF(ISBLANK(AT$7),
IF(VLOOKUP(AT$6, Table_ChiPhiNV_Ca[], COUNTA(Table_ChiPhiNV_Ca[[#Headers],[Ca]:[Kết thúc]]),0)&gt; VLOOKUP(AT$6, Table_ChiPhiNV_Ca[], COUNTA(Table_ChiPhiNV_Ca[[#Headers],[Ca]:[Bắt đầu]]),0),
IF($AA51-$Z$4&lt;MAX(AT$4,VLOOKUP(AT$6, Table_ChiPhiNV_Ca[], COUNTA(Table_ChiPhiNV_Ca[[#Headers],[Ca]:[Bắt đầu]]),0)),0,
IF($AA51&gt;MIN(AT$5,VLOOKUP(AT$6, Table_ChiPhiNV_Ca[], COUNTA(Table_ChiPhiNV_Ca[[#Headers],[Ca]:[Kết thúc]]),0)),0,
SUM(_xlfn._xlws.FILTER(Table_BangLuong_TyLeTangCa[Tỷ lệ],
(Table_BangLuong_TyLeTangCa[Ngày] = "Thường") *
(Table_BangLuong_TyLeTangCa[Giờ min]&lt;=$AA51) *
(Table_BangLuong_TyLeTangCa[Giờ max]&gt;$AA51)
)))),
IF(AT$4 &gt; AT$5,
IF(
AND(
$AA51-$Z$4&lt;MAX(AT$4,VLOOKUP(AT$6, Table_ChiPhiNV_Ca[], COUNTA(Table_ChiPhiNV_Ca[[#Headers],[Ca]:[Bắt đầu]]),0)),
$AA51&gt;MIN(AT$5,VLOOKUP(AT$6, Table_ChiPhiNV_Ca[], COUNTA(Table_ChiPhiNV_Ca[[#Headers],[Ca]:[Kết thúc]]),0))),0,
SUM(_xlfn._xlws.FILTER(Table_BangLuong_TyLeTangCa[Tỷ lệ],
(Table_BangLuong_TyLeTangCa[Ngày] = "Thường") *
(Table_BangLuong_TyLeTangCa[Giờ min]&lt;=$AA51) *
(Table_BangLuong_TyLeTangCa[Giờ max]&gt;$AA51)
))),
IF(
AND(
$AA51-$Z$4&gt;=MAX(AT$4,VLOOKUP(AT$6, Table_ChiPhiNV_Ca[], COUNTA(Table_ChiPhiNV_Ca[[#Headers],[Ca]:[Bắt đầu]]),0)),
$AA51&lt;MIN(AT$5,VLOOKUP(AT$6, Table_ChiPhiNV_Ca[], COUNTA(Table_ChiPhiNV_Ca[[#Headers],[Ca]:[Kết thúc]]),0))),
SUM(_xlfn._xlws.FILTER(Table_BangLuong_TyLeTangCa[Tỷ lệ],
(Table_BangLuong_TyLeTangCa[Ngày] = "Thường") *
(Table_BangLuong_TyLeTangCa[Giờ min]&lt;=$AA51) *
(Table_BangLuong_TyLeTangCa[Giờ max]&gt;$AA51)
)),0)
)),
IF(AT$4 &lt; AT$5,
IF($AA51-$Z$4&lt;AT$4,0,
IF($AA51&gt;AT$5,0,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AT$5,$AA51 &lt; AT$4),0,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U51" s="18" cm="1">
        <f t="array" ref="AU51" xml:space="preserve">
IFERROR(
IF(AU$1="",0,
IF(AND(
$AA51&gt;=VLOOKUP(AU$6, Table_ChiPhiNV_Ca[], COUNTA(Table_ChiPhiNV_Ca[[#Headers],[Ca]:[Bắt đầu nghỉ]]),0),
$AA51&lt;VLOOKUP(AU$6, Table_ChiPhiNV_Ca[], COUNTA(Table_ChiPhiNV_Ca[[#Headers],[Ca]:[Kết thúc nghỉ]]),0)
),0,
IF(NOT(ISBLANK(AU$3)),
IF(ISBLANK(AU$7),0,
IF(AU$4 &lt; AU$5,
IF($AA51-$Z$4&lt;AU$4,0,
IF($AA51&gt;AU$5,0,
SUM(_xlfn._xlws.FILTER(Table_BangLuong_TyLeTangCa[Tỷ lệ],
(Table_BangLuong_TyLeTangCa[Ngày] = AU$3) *
(Table_BangLuong_TyLeTangCa[Giờ min]&lt;=$AA51) *
(Table_BangLuong_TyLeTangCa[Giờ max]&gt;$AA51)
)))),
IF(AND($AA51-$Z$4 &gt;= AU$5,$AA51 &lt; AU$4),0,
SUM(_xlfn._xlws.FILTER(Table_BangLuong_TyLeTangCa[Tỷ lệ],
(Table_BangLuong_TyLeTangCa[Ngày] = AU$3) *
(Table_BangLuong_TyLeTangCa[Giờ min]&lt;=$AA51) *
(Table_BangLuong_TyLeTangCa[Giờ max]&gt;$AA51)
))))
),
IF(ISBLANK(AU$7),
IF(VLOOKUP(AU$6, Table_ChiPhiNV_Ca[], COUNTA(Table_ChiPhiNV_Ca[[#Headers],[Ca]:[Kết thúc]]),0)&gt; VLOOKUP(AU$6, Table_ChiPhiNV_Ca[], COUNTA(Table_ChiPhiNV_Ca[[#Headers],[Ca]:[Bắt đầu]]),0),
IF($AA51-$Z$4&lt;MAX(AU$4,VLOOKUP(AU$6, Table_ChiPhiNV_Ca[], COUNTA(Table_ChiPhiNV_Ca[[#Headers],[Ca]:[Bắt đầu]]),0)),0,
IF($AA51&gt;MIN(AU$5,VLOOKUP(AU$6, Table_ChiPhiNV_Ca[], COUNTA(Table_ChiPhiNV_Ca[[#Headers],[Ca]:[Kết thúc]]),0)),0,
SUM(_xlfn._xlws.FILTER(Table_BangLuong_TyLeTangCa[Tỷ lệ],
(Table_BangLuong_TyLeTangCa[Ngày] = "Thường") *
(Table_BangLuong_TyLeTangCa[Giờ min]&lt;=$AA51) *
(Table_BangLuong_TyLeTangCa[Giờ max]&gt;$AA51)
)))),
IF(AU$4 &gt; AU$5,
IF(
AND(
$AA51-$Z$4&lt;MAX(AU$4,VLOOKUP(AU$6, Table_ChiPhiNV_Ca[], COUNTA(Table_ChiPhiNV_Ca[[#Headers],[Ca]:[Bắt đầu]]),0)),
$AA51&gt;MIN(AU$5,VLOOKUP(AU$6, Table_ChiPhiNV_Ca[], COUNTA(Table_ChiPhiNV_Ca[[#Headers],[Ca]:[Kết thúc]]),0))),0,
SUM(_xlfn._xlws.FILTER(Table_BangLuong_TyLeTangCa[Tỷ lệ],
(Table_BangLuong_TyLeTangCa[Ngày] = "Thường") *
(Table_BangLuong_TyLeTangCa[Giờ min]&lt;=$AA51) *
(Table_BangLuong_TyLeTangCa[Giờ max]&gt;$AA51)
))),
IF(
AND(
$AA51-$Z$4&gt;=MAX(AU$4,VLOOKUP(AU$6, Table_ChiPhiNV_Ca[], COUNTA(Table_ChiPhiNV_Ca[[#Headers],[Ca]:[Bắt đầu]]),0)),
$AA51&lt;MIN(AU$5,VLOOKUP(AU$6, Table_ChiPhiNV_Ca[], COUNTA(Table_ChiPhiNV_Ca[[#Headers],[Ca]:[Kết thúc]]),0))),
SUM(_xlfn._xlws.FILTER(Table_BangLuong_TyLeTangCa[Tỷ lệ],
(Table_BangLuong_TyLeTangCa[Ngày] = "Thường") *
(Table_BangLuong_TyLeTangCa[Giờ min]&lt;=$AA51) *
(Table_BangLuong_TyLeTangCa[Giờ max]&gt;$AA51)
)),0)
)),
IF(AU$4 &lt; AU$5,
IF($AA51-$Z$4&lt;AU$4,0,
IF($AA51&gt;AU$5,0,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AU$5,$AA51 &lt; AU$4),0,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V51" s="18" cm="1">
        <f t="array" ref="AV51" xml:space="preserve">
IFERROR(
IF(AV$1="",0,
IF(AND(
$AA51&gt;=VLOOKUP(AV$6, Table_ChiPhiNV_Ca[], COUNTA(Table_ChiPhiNV_Ca[[#Headers],[Ca]:[Bắt đầu nghỉ]]),0),
$AA51&lt;VLOOKUP(AV$6, Table_ChiPhiNV_Ca[], COUNTA(Table_ChiPhiNV_Ca[[#Headers],[Ca]:[Kết thúc nghỉ]]),0)
),0,
IF(NOT(ISBLANK(AV$3)),
IF(ISBLANK(AV$7),0,
IF(AV$4 &lt; AV$5,
IF($AA51-$Z$4&lt;AV$4,0,
IF($AA51&gt;AV$5,0,
SUM(_xlfn._xlws.FILTER(Table_BangLuong_TyLeTangCa[Tỷ lệ],
(Table_BangLuong_TyLeTangCa[Ngày] = AV$3) *
(Table_BangLuong_TyLeTangCa[Giờ min]&lt;=$AA51) *
(Table_BangLuong_TyLeTangCa[Giờ max]&gt;$AA51)
)))),
IF(AND($AA51-$Z$4 &gt;= AV$5,$AA51 &lt; AV$4),0,
SUM(_xlfn._xlws.FILTER(Table_BangLuong_TyLeTangCa[Tỷ lệ],
(Table_BangLuong_TyLeTangCa[Ngày] = AV$3) *
(Table_BangLuong_TyLeTangCa[Giờ min]&lt;=$AA51) *
(Table_BangLuong_TyLeTangCa[Giờ max]&gt;$AA51)
))))
),
IF(ISBLANK(AV$7),
IF(VLOOKUP(AV$6, Table_ChiPhiNV_Ca[], COUNTA(Table_ChiPhiNV_Ca[[#Headers],[Ca]:[Kết thúc]]),0)&gt; VLOOKUP(AV$6, Table_ChiPhiNV_Ca[], COUNTA(Table_ChiPhiNV_Ca[[#Headers],[Ca]:[Bắt đầu]]),0),
IF($AA51-$Z$4&lt;MAX(AV$4,VLOOKUP(AV$6, Table_ChiPhiNV_Ca[], COUNTA(Table_ChiPhiNV_Ca[[#Headers],[Ca]:[Bắt đầu]]),0)),0,
IF($AA51&gt;MIN(AV$5,VLOOKUP(AV$6, Table_ChiPhiNV_Ca[], COUNTA(Table_ChiPhiNV_Ca[[#Headers],[Ca]:[Kết thúc]]),0)),0,
SUM(_xlfn._xlws.FILTER(Table_BangLuong_TyLeTangCa[Tỷ lệ],
(Table_BangLuong_TyLeTangCa[Ngày] = "Thường") *
(Table_BangLuong_TyLeTangCa[Giờ min]&lt;=$AA51) *
(Table_BangLuong_TyLeTangCa[Giờ max]&gt;$AA51)
)))),
IF(AV$4 &gt; AV$5,
IF(
AND(
$AA51-$Z$4&lt;MAX(AV$4,VLOOKUP(AV$6, Table_ChiPhiNV_Ca[], COUNTA(Table_ChiPhiNV_Ca[[#Headers],[Ca]:[Bắt đầu]]),0)),
$AA51&gt;MIN(AV$5,VLOOKUP(AV$6, Table_ChiPhiNV_Ca[], COUNTA(Table_ChiPhiNV_Ca[[#Headers],[Ca]:[Kết thúc]]),0))),0,
SUM(_xlfn._xlws.FILTER(Table_BangLuong_TyLeTangCa[Tỷ lệ],
(Table_BangLuong_TyLeTangCa[Ngày] = "Thường") *
(Table_BangLuong_TyLeTangCa[Giờ min]&lt;=$AA51) *
(Table_BangLuong_TyLeTangCa[Giờ max]&gt;$AA51)
))),
IF(
AND(
$AA51-$Z$4&gt;=MAX(AV$4,VLOOKUP(AV$6, Table_ChiPhiNV_Ca[], COUNTA(Table_ChiPhiNV_Ca[[#Headers],[Ca]:[Bắt đầu]]),0)),
$AA51&lt;MIN(AV$5,VLOOKUP(AV$6, Table_ChiPhiNV_Ca[], COUNTA(Table_ChiPhiNV_Ca[[#Headers],[Ca]:[Kết thúc]]),0))),
SUM(_xlfn._xlws.FILTER(Table_BangLuong_TyLeTangCa[Tỷ lệ],
(Table_BangLuong_TyLeTangCa[Ngày] = "Thường") *
(Table_BangLuong_TyLeTangCa[Giờ min]&lt;=$AA51) *
(Table_BangLuong_TyLeTangCa[Giờ max]&gt;$AA51)
)),0)
)),
IF(AV$4 &lt; AV$5,
IF($AA51-$Z$4&lt;AV$4,0,
IF($AA51&gt;AV$5,0,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AV$5,$AA51 &lt; AV$4),0,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W51" s="18" cm="1">
        <f t="array" ref="AW51" xml:space="preserve">
IFERROR(
IF(AW$1="",0,
IF(AND(
$AA51&gt;=VLOOKUP(AW$6, Table_ChiPhiNV_Ca[], COUNTA(Table_ChiPhiNV_Ca[[#Headers],[Ca]:[Bắt đầu nghỉ]]),0),
$AA51&lt;VLOOKUP(AW$6, Table_ChiPhiNV_Ca[], COUNTA(Table_ChiPhiNV_Ca[[#Headers],[Ca]:[Kết thúc nghỉ]]),0)
),0,
IF(NOT(ISBLANK(AW$3)),
IF(ISBLANK(AW$7),0,
IF(AW$4 &lt; AW$5,
IF($AA51-$Z$4&lt;AW$4,0,
IF($AA51&gt;AW$5,0,
SUM(_xlfn._xlws.FILTER(Table_BangLuong_TyLeTangCa[Tỷ lệ],
(Table_BangLuong_TyLeTangCa[Ngày] = AW$3) *
(Table_BangLuong_TyLeTangCa[Giờ min]&lt;=$AA51) *
(Table_BangLuong_TyLeTangCa[Giờ max]&gt;$AA51)
)))),
IF(AND($AA51-$Z$4 &gt;= AW$5,$AA51 &lt; AW$4),0,
SUM(_xlfn._xlws.FILTER(Table_BangLuong_TyLeTangCa[Tỷ lệ],
(Table_BangLuong_TyLeTangCa[Ngày] = AW$3) *
(Table_BangLuong_TyLeTangCa[Giờ min]&lt;=$AA51) *
(Table_BangLuong_TyLeTangCa[Giờ max]&gt;$AA51)
))))
),
IF(ISBLANK(AW$7),
IF(VLOOKUP(AW$6, Table_ChiPhiNV_Ca[], COUNTA(Table_ChiPhiNV_Ca[[#Headers],[Ca]:[Kết thúc]]),0)&gt; VLOOKUP(AW$6, Table_ChiPhiNV_Ca[], COUNTA(Table_ChiPhiNV_Ca[[#Headers],[Ca]:[Bắt đầu]]),0),
IF($AA51-$Z$4&lt;MAX(AW$4,VLOOKUP(AW$6, Table_ChiPhiNV_Ca[], COUNTA(Table_ChiPhiNV_Ca[[#Headers],[Ca]:[Bắt đầu]]),0)),0,
IF($AA51&gt;MIN(AW$5,VLOOKUP(AW$6, Table_ChiPhiNV_Ca[], COUNTA(Table_ChiPhiNV_Ca[[#Headers],[Ca]:[Kết thúc]]),0)),0,
SUM(_xlfn._xlws.FILTER(Table_BangLuong_TyLeTangCa[Tỷ lệ],
(Table_BangLuong_TyLeTangCa[Ngày] = "Thường") *
(Table_BangLuong_TyLeTangCa[Giờ min]&lt;=$AA51) *
(Table_BangLuong_TyLeTangCa[Giờ max]&gt;$AA51)
)))),
IF(AW$4 &gt; AW$5,
IF(
AND(
$AA51-$Z$4&lt;MAX(AW$4,VLOOKUP(AW$6, Table_ChiPhiNV_Ca[], COUNTA(Table_ChiPhiNV_Ca[[#Headers],[Ca]:[Bắt đầu]]),0)),
$AA51&gt;MIN(AW$5,VLOOKUP(AW$6, Table_ChiPhiNV_Ca[], COUNTA(Table_ChiPhiNV_Ca[[#Headers],[Ca]:[Kết thúc]]),0))),0,
SUM(_xlfn._xlws.FILTER(Table_BangLuong_TyLeTangCa[Tỷ lệ],
(Table_BangLuong_TyLeTangCa[Ngày] = "Thường") *
(Table_BangLuong_TyLeTangCa[Giờ min]&lt;=$AA51) *
(Table_BangLuong_TyLeTangCa[Giờ max]&gt;$AA51)
))),
IF(
AND(
$AA51-$Z$4&gt;=MAX(AW$4,VLOOKUP(AW$6, Table_ChiPhiNV_Ca[], COUNTA(Table_ChiPhiNV_Ca[[#Headers],[Ca]:[Bắt đầu]]),0)),
$AA51&lt;MIN(AW$5,VLOOKUP(AW$6, Table_ChiPhiNV_Ca[], COUNTA(Table_ChiPhiNV_Ca[[#Headers],[Ca]:[Kết thúc]]),0))),
SUM(_xlfn._xlws.FILTER(Table_BangLuong_TyLeTangCa[Tỷ lệ],
(Table_BangLuong_TyLeTangCa[Ngày] = "Thường") *
(Table_BangLuong_TyLeTangCa[Giờ min]&lt;=$AA51) *
(Table_BangLuong_TyLeTangCa[Giờ max]&gt;$AA51)
)),0)
)),
IF(AW$4 &lt; AW$5,
IF($AA51-$Z$4&lt;AW$4,0,
IF($AA51&gt;AW$5,0,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AW$5,$AA51 &lt; AW$4),0,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X51" s="18" cm="1">
        <f t="array" ref="AX51" xml:space="preserve">
IFERROR(
IF(AX$1="",0,
IF(AND(
$AA51&gt;=VLOOKUP(AX$6, Table_ChiPhiNV_Ca[], COUNTA(Table_ChiPhiNV_Ca[[#Headers],[Ca]:[Bắt đầu nghỉ]]),0),
$AA51&lt;VLOOKUP(AX$6, Table_ChiPhiNV_Ca[], COUNTA(Table_ChiPhiNV_Ca[[#Headers],[Ca]:[Kết thúc nghỉ]]),0)
),0,
IF(NOT(ISBLANK(AX$3)),
IF(ISBLANK(AX$7),0,
IF(AX$4 &lt; AX$5,
IF($AA51-$Z$4&lt;AX$4,0,
IF($AA51&gt;AX$5,0,
SUM(_xlfn._xlws.FILTER(Table_BangLuong_TyLeTangCa[Tỷ lệ],
(Table_BangLuong_TyLeTangCa[Ngày] = AX$3) *
(Table_BangLuong_TyLeTangCa[Giờ min]&lt;=$AA51) *
(Table_BangLuong_TyLeTangCa[Giờ max]&gt;$AA51)
)))),
IF(AND($AA51-$Z$4 &gt;= AX$5,$AA51 &lt; AX$4),0,
SUM(_xlfn._xlws.FILTER(Table_BangLuong_TyLeTangCa[Tỷ lệ],
(Table_BangLuong_TyLeTangCa[Ngày] = AX$3) *
(Table_BangLuong_TyLeTangCa[Giờ min]&lt;=$AA51) *
(Table_BangLuong_TyLeTangCa[Giờ max]&gt;$AA51)
))))
),
IF(ISBLANK(AX$7),
IF(VLOOKUP(AX$6, Table_ChiPhiNV_Ca[], COUNTA(Table_ChiPhiNV_Ca[[#Headers],[Ca]:[Kết thúc]]),0)&gt; VLOOKUP(AX$6, Table_ChiPhiNV_Ca[], COUNTA(Table_ChiPhiNV_Ca[[#Headers],[Ca]:[Bắt đầu]]),0),
IF($AA51-$Z$4&lt;MAX(AX$4,VLOOKUP(AX$6, Table_ChiPhiNV_Ca[], COUNTA(Table_ChiPhiNV_Ca[[#Headers],[Ca]:[Bắt đầu]]),0)),0,
IF($AA51&gt;MIN(AX$5,VLOOKUP(AX$6, Table_ChiPhiNV_Ca[], COUNTA(Table_ChiPhiNV_Ca[[#Headers],[Ca]:[Kết thúc]]),0)),0,
SUM(_xlfn._xlws.FILTER(Table_BangLuong_TyLeTangCa[Tỷ lệ],
(Table_BangLuong_TyLeTangCa[Ngày] = "Thường") *
(Table_BangLuong_TyLeTangCa[Giờ min]&lt;=$AA51) *
(Table_BangLuong_TyLeTangCa[Giờ max]&gt;$AA51)
)))),
IF(AX$4 &gt; AX$5,
IF(
AND(
$AA51-$Z$4&lt;MAX(AX$4,VLOOKUP(AX$6, Table_ChiPhiNV_Ca[], COUNTA(Table_ChiPhiNV_Ca[[#Headers],[Ca]:[Bắt đầu]]),0)),
$AA51&gt;MIN(AX$5,VLOOKUP(AX$6, Table_ChiPhiNV_Ca[], COUNTA(Table_ChiPhiNV_Ca[[#Headers],[Ca]:[Kết thúc]]),0))),0,
SUM(_xlfn._xlws.FILTER(Table_BangLuong_TyLeTangCa[Tỷ lệ],
(Table_BangLuong_TyLeTangCa[Ngày] = "Thường") *
(Table_BangLuong_TyLeTangCa[Giờ min]&lt;=$AA51) *
(Table_BangLuong_TyLeTangCa[Giờ max]&gt;$AA51)
))),
IF(
AND(
$AA51-$Z$4&gt;=MAX(AX$4,VLOOKUP(AX$6, Table_ChiPhiNV_Ca[], COUNTA(Table_ChiPhiNV_Ca[[#Headers],[Ca]:[Bắt đầu]]),0)),
$AA51&lt;MIN(AX$5,VLOOKUP(AX$6, Table_ChiPhiNV_Ca[], COUNTA(Table_ChiPhiNV_Ca[[#Headers],[Ca]:[Kết thúc]]),0))),
SUM(_xlfn._xlws.FILTER(Table_BangLuong_TyLeTangCa[Tỷ lệ],
(Table_BangLuong_TyLeTangCa[Ngày] = "Thường") *
(Table_BangLuong_TyLeTangCa[Giờ min]&lt;=$AA51) *
(Table_BangLuong_TyLeTangCa[Giờ max]&gt;$AA51)
)),0)
)),
IF(AX$4 &lt; AX$5,
IF($AA51-$Z$4&lt;AX$4,0,
IF($AA51&gt;AX$5,0,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AX$5,$AA51 &lt; AX$4),0,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Y51" s="18" cm="1">
        <f t="array" ref="AY51" xml:space="preserve">
IFERROR(
IF(AY$1="",0,
IF(AND(
$AA51&gt;=VLOOKUP(AY$6, Table_ChiPhiNV_Ca[], COUNTA(Table_ChiPhiNV_Ca[[#Headers],[Ca]:[Bắt đầu nghỉ]]),0),
$AA51&lt;VLOOKUP(AY$6, Table_ChiPhiNV_Ca[], COUNTA(Table_ChiPhiNV_Ca[[#Headers],[Ca]:[Kết thúc nghỉ]]),0)
),0,
IF(NOT(ISBLANK(AY$3)),
IF(ISBLANK(AY$7),0,
IF(AY$4 &lt; AY$5,
IF($AA51-$Z$4&lt;AY$4,0,
IF($AA51&gt;AY$5,0,
SUM(_xlfn._xlws.FILTER(Table_BangLuong_TyLeTangCa[Tỷ lệ],
(Table_BangLuong_TyLeTangCa[Ngày] = AY$3) *
(Table_BangLuong_TyLeTangCa[Giờ min]&lt;=$AA51) *
(Table_BangLuong_TyLeTangCa[Giờ max]&gt;$AA51)
)))),
IF(AND($AA51-$Z$4 &gt;= AY$5,$AA51 &lt; AY$4),0,
SUM(_xlfn._xlws.FILTER(Table_BangLuong_TyLeTangCa[Tỷ lệ],
(Table_BangLuong_TyLeTangCa[Ngày] = AY$3) *
(Table_BangLuong_TyLeTangCa[Giờ min]&lt;=$AA51) *
(Table_BangLuong_TyLeTangCa[Giờ max]&gt;$AA51)
))))
),
IF(ISBLANK(AY$7),
IF(VLOOKUP(AY$6, Table_ChiPhiNV_Ca[], COUNTA(Table_ChiPhiNV_Ca[[#Headers],[Ca]:[Kết thúc]]),0)&gt; VLOOKUP(AY$6, Table_ChiPhiNV_Ca[], COUNTA(Table_ChiPhiNV_Ca[[#Headers],[Ca]:[Bắt đầu]]),0),
IF($AA51-$Z$4&lt;MAX(AY$4,VLOOKUP(AY$6, Table_ChiPhiNV_Ca[], COUNTA(Table_ChiPhiNV_Ca[[#Headers],[Ca]:[Bắt đầu]]),0)),0,
IF($AA51&gt;MIN(AY$5,VLOOKUP(AY$6, Table_ChiPhiNV_Ca[], COUNTA(Table_ChiPhiNV_Ca[[#Headers],[Ca]:[Kết thúc]]),0)),0,
SUM(_xlfn._xlws.FILTER(Table_BangLuong_TyLeTangCa[Tỷ lệ],
(Table_BangLuong_TyLeTangCa[Ngày] = "Thường") *
(Table_BangLuong_TyLeTangCa[Giờ min]&lt;=$AA51) *
(Table_BangLuong_TyLeTangCa[Giờ max]&gt;$AA51)
)))),
IF(AY$4 &gt; AY$5,
IF(
AND(
$AA51-$Z$4&lt;MAX(AY$4,VLOOKUP(AY$6, Table_ChiPhiNV_Ca[], COUNTA(Table_ChiPhiNV_Ca[[#Headers],[Ca]:[Bắt đầu]]),0)),
$AA51&gt;MIN(AY$5,VLOOKUP(AY$6, Table_ChiPhiNV_Ca[], COUNTA(Table_ChiPhiNV_Ca[[#Headers],[Ca]:[Kết thúc]]),0))),0,
SUM(_xlfn._xlws.FILTER(Table_BangLuong_TyLeTangCa[Tỷ lệ],
(Table_BangLuong_TyLeTangCa[Ngày] = "Thường") *
(Table_BangLuong_TyLeTangCa[Giờ min]&lt;=$AA51) *
(Table_BangLuong_TyLeTangCa[Giờ max]&gt;$AA51)
))),
IF(
AND(
$AA51-$Z$4&gt;=MAX(AY$4,VLOOKUP(AY$6, Table_ChiPhiNV_Ca[], COUNTA(Table_ChiPhiNV_Ca[[#Headers],[Ca]:[Bắt đầu]]),0)),
$AA51&lt;MIN(AY$5,VLOOKUP(AY$6, Table_ChiPhiNV_Ca[], COUNTA(Table_ChiPhiNV_Ca[[#Headers],[Ca]:[Kết thúc]]),0))),
SUM(_xlfn._xlws.FILTER(Table_BangLuong_TyLeTangCa[Tỷ lệ],
(Table_BangLuong_TyLeTangCa[Ngày] = "Thường") *
(Table_BangLuong_TyLeTangCa[Giờ min]&lt;=$AA51) *
(Table_BangLuong_TyLeTangCa[Giờ max]&gt;$AA51)
)),0)
)),
IF(AY$4 &lt; AY$5,
IF($AA51-$Z$4&lt;AY$4,0,
IF($AA51&gt;AY$5,0,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AY$5,$AA51 &lt; AY$4),0,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Z51" s="18" cm="1">
        <f t="array" ref="AZ51" xml:space="preserve">
IFERROR(
IF(AZ$1="",0,
IF(AND(
$AA51&gt;=VLOOKUP(AZ$6, Table_ChiPhiNV_Ca[], COUNTA(Table_ChiPhiNV_Ca[[#Headers],[Ca]:[Bắt đầu nghỉ]]),0),
$AA51&lt;VLOOKUP(AZ$6, Table_ChiPhiNV_Ca[], COUNTA(Table_ChiPhiNV_Ca[[#Headers],[Ca]:[Kết thúc nghỉ]]),0)
),0,
IF(NOT(ISBLANK(AZ$3)),
IF(ISBLANK(AZ$7),0,
IF(AZ$4 &lt; AZ$5,
IF($AA51-$Z$4&lt;AZ$4,0,
IF($AA51&gt;AZ$5,0,
SUM(_xlfn._xlws.FILTER(Table_BangLuong_TyLeTangCa[Tỷ lệ],
(Table_BangLuong_TyLeTangCa[Ngày] = AZ$3) *
(Table_BangLuong_TyLeTangCa[Giờ min]&lt;=$AA51) *
(Table_BangLuong_TyLeTangCa[Giờ max]&gt;$AA51)
)))),
IF(AND($AA51-$Z$4 &gt;= AZ$5,$AA51 &lt; AZ$4),0,
SUM(_xlfn._xlws.FILTER(Table_BangLuong_TyLeTangCa[Tỷ lệ],
(Table_BangLuong_TyLeTangCa[Ngày] = AZ$3) *
(Table_BangLuong_TyLeTangCa[Giờ min]&lt;=$AA51) *
(Table_BangLuong_TyLeTangCa[Giờ max]&gt;$AA51)
))))
),
IF(ISBLANK(AZ$7),
IF(VLOOKUP(AZ$6, Table_ChiPhiNV_Ca[], COUNTA(Table_ChiPhiNV_Ca[[#Headers],[Ca]:[Kết thúc]]),0)&gt; VLOOKUP(AZ$6, Table_ChiPhiNV_Ca[], COUNTA(Table_ChiPhiNV_Ca[[#Headers],[Ca]:[Bắt đầu]]),0),
IF($AA51-$Z$4&lt;MAX(AZ$4,VLOOKUP(AZ$6, Table_ChiPhiNV_Ca[], COUNTA(Table_ChiPhiNV_Ca[[#Headers],[Ca]:[Bắt đầu]]),0)),0,
IF($AA51&gt;MIN(AZ$5,VLOOKUP(AZ$6, Table_ChiPhiNV_Ca[], COUNTA(Table_ChiPhiNV_Ca[[#Headers],[Ca]:[Kết thúc]]),0)),0,
SUM(_xlfn._xlws.FILTER(Table_BangLuong_TyLeTangCa[Tỷ lệ],
(Table_BangLuong_TyLeTangCa[Ngày] = "Thường") *
(Table_BangLuong_TyLeTangCa[Giờ min]&lt;=$AA51) *
(Table_BangLuong_TyLeTangCa[Giờ max]&gt;$AA51)
)))),
IF(AZ$4 &gt; AZ$5,
IF(
AND(
$AA51-$Z$4&lt;MAX(AZ$4,VLOOKUP(AZ$6, Table_ChiPhiNV_Ca[], COUNTA(Table_ChiPhiNV_Ca[[#Headers],[Ca]:[Bắt đầu]]),0)),
$AA51&gt;MIN(AZ$5,VLOOKUP(AZ$6, Table_ChiPhiNV_Ca[], COUNTA(Table_ChiPhiNV_Ca[[#Headers],[Ca]:[Kết thúc]]),0))),0,
SUM(_xlfn._xlws.FILTER(Table_BangLuong_TyLeTangCa[Tỷ lệ],
(Table_BangLuong_TyLeTangCa[Ngày] = "Thường") *
(Table_BangLuong_TyLeTangCa[Giờ min]&lt;=$AA51) *
(Table_BangLuong_TyLeTangCa[Giờ max]&gt;$AA51)
))),
IF(
AND(
$AA51-$Z$4&gt;=MAX(AZ$4,VLOOKUP(AZ$6, Table_ChiPhiNV_Ca[], COUNTA(Table_ChiPhiNV_Ca[[#Headers],[Ca]:[Bắt đầu]]),0)),
$AA51&lt;MIN(AZ$5,VLOOKUP(AZ$6, Table_ChiPhiNV_Ca[], COUNTA(Table_ChiPhiNV_Ca[[#Headers],[Ca]:[Kết thúc]]),0))),
SUM(_xlfn._xlws.FILTER(Table_BangLuong_TyLeTangCa[Tỷ lệ],
(Table_BangLuong_TyLeTangCa[Ngày] = "Thường") *
(Table_BangLuong_TyLeTangCa[Giờ min]&lt;=$AA51) *
(Table_BangLuong_TyLeTangCa[Giờ max]&gt;$AA51)
)),0)
)),
IF(AZ$4 &lt; AZ$5,
IF($AA51-$Z$4&lt;AZ$4,0,
IF($AA51&gt;AZ$5,0,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AZ$5,$AA51 &lt; AZ$4),0,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A51" s="18" cm="1">
        <f t="array" ref="BA51" xml:space="preserve">
IFERROR(
IF(BA$1="",0,
IF(AND(
$AA51&gt;=VLOOKUP(BA$6, Table_ChiPhiNV_Ca[], COUNTA(Table_ChiPhiNV_Ca[[#Headers],[Ca]:[Bắt đầu nghỉ]]),0),
$AA51&lt;VLOOKUP(BA$6, Table_ChiPhiNV_Ca[], COUNTA(Table_ChiPhiNV_Ca[[#Headers],[Ca]:[Kết thúc nghỉ]]),0)
),0,
IF(NOT(ISBLANK(BA$3)),
IF(ISBLANK(BA$7),0,
IF(BA$4 &lt; BA$5,
IF($AA51-$Z$4&lt;BA$4,0,
IF($AA51&gt;BA$5,0,
SUM(_xlfn._xlws.FILTER(Table_BangLuong_TyLeTangCa[Tỷ lệ],
(Table_BangLuong_TyLeTangCa[Ngày] = BA$3) *
(Table_BangLuong_TyLeTangCa[Giờ min]&lt;=$AA51) *
(Table_BangLuong_TyLeTangCa[Giờ max]&gt;$AA51)
)))),
IF(AND($AA51-$Z$4 &gt;= BA$5,$AA51 &lt; BA$4),0,
SUM(_xlfn._xlws.FILTER(Table_BangLuong_TyLeTangCa[Tỷ lệ],
(Table_BangLuong_TyLeTangCa[Ngày] = BA$3) *
(Table_BangLuong_TyLeTangCa[Giờ min]&lt;=$AA51) *
(Table_BangLuong_TyLeTangCa[Giờ max]&gt;$AA51)
))))
),
IF(ISBLANK(BA$7),
IF(VLOOKUP(BA$6, Table_ChiPhiNV_Ca[], COUNTA(Table_ChiPhiNV_Ca[[#Headers],[Ca]:[Kết thúc]]),0)&gt; VLOOKUP(BA$6, Table_ChiPhiNV_Ca[], COUNTA(Table_ChiPhiNV_Ca[[#Headers],[Ca]:[Bắt đầu]]),0),
IF($AA51-$Z$4&lt;MAX(BA$4,VLOOKUP(BA$6, Table_ChiPhiNV_Ca[], COUNTA(Table_ChiPhiNV_Ca[[#Headers],[Ca]:[Bắt đầu]]),0)),0,
IF($AA51&gt;MIN(BA$5,VLOOKUP(BA$6, Table_ChiPhiNV_Ca[], COUNTA(Table_ChiPhiNV_Ca[[#Headers],[Ca]:[Kết thúc]]),0)),0,
SUM(_xlfn._xlws.FILTER(Table_BangLuong_TyLeTangCa[Tỷ lệ],
(Table_BangLuong_TyLeTangCa[Ngày] = "Thường") *
(Table_BangLuong_TyLeTangCa[Giờ min]&lt;=$AA51) *
(Table_BangLuong_TyLeTangCa[Giờ max]&gt;$AA51)
)))),
IF(BA$4 &gt; BA$5,
IF(
AND(
$AA51-$Z$4&lt;MAX(BA$4,VLOOKUP(BA$6, Table_ChiPhiNV_Ca[], COUNTA(Table_ChiPhiNV_Ca[[#Headers],[Ca]:[Bắt đầu]]),0)),
$AA51&gt;MIN(BA$5,VLOOKUP(BA$6, Table_ChiPhiNV_Ca[], COUNTA(Table_ChiPhiNV_Ca[[#Headers],[Ca]:[Kết thúc]]),0))),0,
SUM(_xlfn._xlws.FILTER(Table_BangLuong_TyLeTangCa[Tỷ lệ],
(Table_BangLuong_TyLeTangCa[Ngày] = "Thường") *
(Table_BangLuong_TyLeTangCa[Giờ min]&lt;=$AA51) *
(Table_BangLuong_TyLeTangCa[Giờ max]&gt;$AA51)
))),
IF(
AND(
$AA51-$Z$4&gt;=MAX(BA$4,VLOOKUP(BA$6, Table_ChiPhiNV_Ca[], COUNTA(Table_ChiPhiNV_Ca[[#Headers],[Ca]:[Bắt đầu]]),0)),
$AA51&lt;MIN(BA$5,VLOOKUP(BA$6, Table_ChiPhiNV_Ca[], COUNTA(Table_ChiPhiNV_Ca[[#Headers],[Ca]:[Kết thúc]]),0))),
SUM(_xlfn._xlws.FILTER(Table_BangLuong_TyLeTangCa[Tỷ lệ],
(Table_BangLuong_TyLeTangCa[Ngày] = "Thường") *
(Table_BangLuong_TyLeTangCa[Giờ min]&lt;=$AA51) *
(Table_BangLuong_TyLeTangCa[Giờ max]&gt;$AA51)
)),0)
)),
IF(BA$4 &lt; BA$5,
IF($AA51-$Z$4&lt;BA$4,0,
IF($AA51&gt;BA$5,0,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BA$5,$AA51 &lt; BA$4),0,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B51" s="18" cm="1">
        <f t="array" ref="BB51" xml:space="preserve">
IFERROR(
IF(BB$1="",0,
IF(AND(
$AA51&gt;=VLOOKUP(BB$6, Table_ChiPhiNV_Ca[], COUNTA(Table_ChiPhiNV_Ca[[#Headers],[Ca]:[Bắt đầu nghỉ]]),0),
$AA51&lt;VLOOKUP(BB$6, Table_ChiPhiNV_Ca[], COUNTA(Table_ChiPhiNV_Ca[[#Headers],[Ca]:[Kết thúc nghỉ]]),0)
),0,
IF(NOT(ISBLANK(BB$3)),
IF(ISBLANK(BB$7),0,
IF(BB$4 &lt; BB$5,
IF($AA51-$Z$4&lt;BB$4,0,
IF($AA51&gt;BB$5,0,
SUM(_xlfn._xlws.FILTER(Table_BangLuong_TyLeTangCa[Tỷ lệ],
(Table_BangLuong_TyLeTangCa[Ngày] = BB$3) *
(Table_BangLuong_TyLeTangCa[Giờ min]&lt;=$AA51) *
(Table_BangLuong_TyLeTangCa[Giờ max]&gt;$AA51)
)))),
IF(AND($AA51-$Z$4 &gt;= BB$5,$AA51 &lt; BB$4),0,
SUM(_xlfn._xlws.FILTER(Table_BangLuong_TyLeTangCa[Tỷ lệ],
(Table_BangLuong_TyLeTangCa[Ngày] = BB$3) *
(Table_BangLuong_TyLeTangCa[Giờ min]&lt;=$AA51) *
(Table_BangLuong_TyLeTangCa[Giờ max]&gt;$AA51)
))))
),
IF(ISBLANK(BB$7),
IF(VLOOKUP(BB$6, Table_ChiPhiNV_Ca[], COUNTA(Table_ChiPhiNV_Ca[[#Headers],[Ca]:[Kết thúc]]),0)&gt; VLOOKUP(BB$6, Table_ChiPhiNV_Ca[], COUNTA(Table_ChiPhiNV_Ca[[#Headers],[Ca]:[Bắt đầu]]),0),
IF($AA51-$Z$4&lt;MAX(BB$4,VLOOKUP(BB$6, Table_ChiPhiNV_Ca[], COUNTA(Table_ChiPhiNV_Ca[[#Headers],[Ca]:[Bắt đầu]]),0)),0,
IF($AA51&gt;MIN(BB$5,VLOOKUP(BB$6, Table_ChiPhiNV_Ca[], COUNTA(Table_ChiPhiNV_Ca[[#Headers],[Ca]:[Kết thúc]]),0)),0,
SUM(_xlfn._xlws.FILTER(Table_BangLuong_TyLeTangCa[Tỷ lệ],
(Table_BangLuong_TyLeTangCa[Ngày] = "Thường") *
(Table_BangLuong_TyLeTangCa[Giờ min]&lt;=$AA51) *
(Table_BangLuong_TyLeTangCa[Giờ max]&gt;$AA51)
)))),
IF(BB$4 &gt; BB$5,
IF(
AND(
$AA51-$Z$4&lt;MAX(BB$4,VLOOKUP(BB$6, Table_ChiPhiNV_Ca[], COUNTA(Table_ChiPhiNV_Ca[[#Headers],[Ca]:[Bắt đầu]]),0)),
$AA51&gt;MIN(BB$5,VLOOKUP(BB$6, Table_ChiPhiNV_Ca[], COUNTA(Table_ChiPhiNV_Ca[[#Headers],[Ca]:[Kết thúc]]),0))),0,
SUM(_xlfn._xlws.FILTER(Table_BangLuong_TyLeTangCa[Tỷ lệ],
(Table_BangLuong_TyLeTangCa[Ngày] = "Thường") *
(Table_BangLuong_TyLeTangCa[Giờ min]&lt;=$AA51) *
(Table_BangLuong_TyLeTangCa[Giờ max]&gt;$AA51)
))),
IF(
AND(
$AA51-$Z$4&gt;=MAX(BB$4,VLOOKUP(BB$6, Table_ChiPhiNV_Ca[], COUNTA(Table_ChiPhiNV_Ca[[#Headers],[Ca]:[Bắt đầu]]),0)),
$AA51&lt;MIN(BB$5,VLOOKUP(BB$6, Table_ChiPhiNV_Ca[], COUNTA(Table_ChiPhiNV_Ca[[#Headers],[Ca]:[Kết thúc]]),0))),
SUM(_xlfn._xlws.FILTER(Table_BangLuong_TyLeTangCa[Tỷ lệ],
(Table_BangLuong_TyLeTangCa[Ngày] = "Thường") *
(Table_BangLuong_TyLeTangCa[Giờ min]&lt;=$AA51) *
(Table_BangLuong_TyLeTangCa[Giờ max]&gt;$AA51)
)),0)
)),
IF(BB$4 &lt; BB$5,
IF($AA51-$Z$4&lt;BB$4,0,
IF($AA51&gt;BB$5,0,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BB$5,$AA51 &lt; BB$4),0,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C51" s="18" cm="1">
        <f t="array" ref="BC51" xml:space="preserve">
IFERROR(
IF(BC$1="",0,
IF(AND(
$AA51&gt;=VLOOKUP(BC$6, Table_ChiPhiNV_Ca[], COUNTA(Table_ChiPhiNV_Ca[[#Headers],[Ca]:[Bắt đầu nghỉ]]),0),
$AA51&lt;VLOOKUP(BC$6, Table_ChiPhiNV_Ca[], COUNTA(Table_ChiPhiNV_Ca[[#Headers],[Ca]:[Kết thúc nghỉ]]),0)
),0,
IF(NOT(ISBLANK(BC$3)),
IF(ISBLANK(BC$7),0,
IF(BC$4 &lt; BC$5,
IF($AA51-$Z$4&lt;BC$4,0,
IF($AA51&gt;BC$5,0,
SUM(_xlfn._xlws.FILTER(Table_BangLuong_TyLeTangCa[Tỷ lệ],
(Table_BangLuong_TyLeTangCa[Ngày] = BC$3) *
(Table_BangLuong_TyLeTangCa[Giờ min]&lt;=$AA51) *
(Table_BangLuong_TyLeTangCa[Giờ max]&gt;$AA51)
)))),
IF(AND($AA51-$Z$4 &gt;= BC$5,$AA51 &lt; BC$4),0,
SUM(_xlfn._xlws.FILTER(Table_BangLuong_TyLeTangCa[Tỷ lệ],
(Table_BangLuong_TyLeTangCa[Ngày] = BC$3) *
(Table_BangLuong_TyLeTangCa[Giờ min]&lt;=$AA51) *
(Table_BangLuong_TyLeTangCa[Giờ max]&gt;$AA51)
))))
),
IF(ISBLANK(BC$7),
IF(VLOOKUP(BC$6, Table_ChiPhiNV_Ca[], COUNTA(Table_ChiPhiNV_Ca[[#Headers],[Ca]:[Kết thúc]]),0)&gt; VLOOKUP(BC$6, Table_ChiPhiNV_Ca[], COUNTA(Table_ChiPhiNV_Ca[[#Headers],[Ca]:[Bắt đầu]]),0),
IF($AA51-$Z$4&lt;MAX(BC$4,VLOOKUP(BC$6, Table_ChiPhiNV_Ca[], COUNTA(Table_ChiPhiNV_Ca[[#Headers],[Ca]:[Bắt đầu]]),0)),0,
IF($AA51&gt;MIN(BC$5,VLOOKUP(BC$6, Table_ChiPhiNV_Ca[], COUNTA(Table_ChiPhiNV_Ca[[#Headers],[Ca]:[Kết thúc]]),0)),0,
SUM(_xlfn._xlws.FILTER(Table_BangLuong_TyLeTangCa[Tỷ lệ],
(Table_BangLuong_TyLeTangCa[Ngày] = "Thường") *
(Table_BangLuong_TyLeTangCa[Giờ min]&lt;=$AA51) *
(Table_BangLuong_TyLeTangCa[Giờ max]&gt;$AA51)
)))),
IF(BC$4 &gt; BC$5,
IF(
AND(
$AA51-$Z$4&lt;MAX(BC$4,VLOOKUP(BC$6, Table_ChiPhiNV_Ca[], COUNTA(Table_ChiPhiNV_Ca[[#Headers],[Ca]:[Bắt đầu]]),0)),
$AA51&gt;MIN(BC$5,VLOOKUP(BC$6, Table_ChiPhiNV_Ca[], COUNTA(Table_ChiPhiNV_Ca[[#Headers],[Ca]:[Kết thúc]]),0))),0,
SUM(_xlfn._xlws.FILTER(Table_BangLuong_TyLeTangCa[Tỷ lệ],
(Table_BangLuong_TyLeTangCa[Ngày] = "Thường") *
(Table_BangLuong_TyLeTangCa[Giờ min]&lt;=$AA51) *
(Table_BangLuong_TyLeTangCa[Giờ max]&gt;$AA51)
))),
IF(
AND(
$AA51-$Z$4&gt;=MAX(BC$4,VLOOKUP(BC$6, Table_ChiPhiNV_Ca[], COUNTA(Table_ChiPhiNV_Ca[[#Headers],[Ca]:[Bắt đầu]]),0)),
$AA51&lt;MIN(BC$5,VLOOKUP(BC$6, Table_ChiPhiNV_Ca[], COUNTA(Table_ChiPhiNV_Ca[[#Headers],[Ca]:[Kết thúc]]),0))),
SUM(_xlfn._xlws.FILTER(Table_BangLuong_TyLeTangCa[Tỷ lệ],
(Table_BangLuong_TyLeTangCa[Ngày] = "Thường") *
(Table_BangLuong_TyLeTangCa[Giờ min]&lt;=$AA51) *
(Table_BangLuong_TyLeTangCa[Giờ max]&gt;$AA51)
)),0)
)),
IF(BC$4 &lt; BC$5,
IF($AA51-$Z$4&lt;BC$4,0,
IF($AA51&gt;BC$5,0,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BC$5,$AA51 &lt; BC$4),0,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D51" s="18" cm="1">
        <f t="array" ref="BD51" xml:space="preserve">
IFERROR(
IF(BD$1="",0,
IF(AND(
$AA51&gt;=VLOOKUP(BD$6, Table_ChiPhiNV_Ca[], COUNTA(Table_ChiPhiNV_Ca[[#Headers],[Ca]:[Bắt đầu nghỉ]]),0),
$AA51&lt;VLOOKUP(BD$6, Table_ChiPhiNV_Ca[], COUNTA(Table_ChiPhiNV_Ca[[#Headers],[Ca]:[Kết thúc nghỉ]]),0)
),0,
IF(NOT(ISBLANK(BD$3)),
IF(ISBLANK(BD$7),0,
IF(BD$4 &lt; BD$5,
IF($AA51-$Z$4&lt;BD$4,0,
IF($AA51&gt;BD$5,0,
SUM(_xlfn._xlws.FILTER(Table_BangLuong_TyLeTangCa[Tỷ lệ],
(Table_BangLuong_TyLeTangCa[Ngày] = BD$3) *
(Table_BangLuong_TyLeTangCa[Giờ min]&lt;=$AA51) *
(Table_BangLuong_TyLeTangCa[Giờ max]&gt;$AA51)
)))),
IF(AND($AA51-$Z$4 &gt;= BD$5,$AA51 &lt; BD$4),0,
SUM(_xlfn._xlws.FILTER(Table_BangLuong_TyLeTangCa[Tỷ lệ],
(Table_BangLuong_TyLeTangCa[Ngày] = BD$3) *
(Table_BangLuong_TyLeTangCa[Giờ min]&lt;=$AA51) *
(Table_BangLuong_TyLeTangCa[Giờ max]&gt;$AA51)
))))
),
IF(ISBLANK(BD$7),
IF(VLOOKUP(BD$6, Table_ChiPhiNV_Ca[], COUNTA(Table_ChiPhiNV_Ca[[#Headers],[Ca]:[Kết thúc]]),0)&gt; VLOOKUP(BD$6, Table_ChiPhiNV_Ca[], COUNTA(Table_ChiPhiNV_Ca[[#Headers],[Ca]:[Bắt đầu]]),0),
IF($AA51-$Z$4&lt;MAX(BD$4,VLOOKUP(BD$6, Table_ChiPhiNV_Ca[], COUNTA(Table_ChiPhiNV_Ca[[#Headers],[Ca]:[Bắt đầu]]),0)),0,
IF($AA51&gt;MIN(BD$5,VLOOKUP(BD$6, Table_ChiPhiNV_Ca[], COUNTA(Table_ChiPhiNV_Ca[[#Headers],[Ca]:[Kết thúc]]),0)),0,
SUM(_xlfn._xlws.FILTER(Table_BangLuong_TyLeTangCa[Tỷ lệ],
(Table_BangLuong_TyLeTangCa[Ngày] = "Thường") *
(Table_BangLuong_TyLeTangCa[Giờ min]&lt;=$AA51) *
(Table_BangLuong_TyLeTangCa[Giờ max]&gt;$AA51)
)))),
IF(BD$4 &gt; BD$5,
IF(
AND(
$AA51-$Z$4&lt;MAX(BD$4,VLOOKUP(BD$6, Table_ChiPhiNV_Ca[], COUNTA(Table_ChiPhiNV_Ca[[#Headers],[Ca]:[Bắt đầu]]),0)),
$AA51&gt;MIN(BD$5,VLOOKUP(BD$6, Table_ChiPhiNV_Ca[], COUNTA(Table_ChiPhiNV_Ca[[#Headers],[Ca]:[Kết thúc]]),0))),0,
SUM(_xlfn._xlws.FILTER(Table_BangLuong_TyLeTangCa[Tỷ lệ],
(Table_BangLuong_TyLeTangCa[Ngày] = "Thường") *
(Table_BangLuong_TyLeTangCa[Giờ min]&lt;=$AA51) *
(Table_BangLuong_TyLeTangCa[Giờ max]&gt;$AA51)
))),
IF(
AND(
$AA51-$Z$4&gt;=MAX(BD$4,VLOOKUP(BD$6, Table_ChiPhiNV_Ca[], COUNTA(Table_ChiPhiNV_Ca[[#Headers],[Ca]:[Bắt đầu]]),0)),
$AA51&lt;MIN(BD$5,VLOOKUP(BD$6, Table_ChiPhiNV_Ca[], COUNTA(Table_ChiPhiNV_Ca[[#Headers],[Ca]:[Kết thúc]]),0))),
SUM(_xlfn._xlws.FILTER(Table_BangLuong_TyLeTangCa[Tỷ lệ],
(Table_BangLuong_TyLeTangCa[Ngày] = "Thường") *
(Table_BangLuong_TyLeTangCa[Giờ min]&lt;=$AA51) *
(Table_BangLuong_TyLeTangCa[Giờ max]&gt;$AA51)
)),0)
)),
IF(BD$4 &lt; BD$5,
IF($AA51-$Z$4&lt;BD$4,0,
IF($AA51&gt;BD$5,0,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BD$5,$AA51 &lt; BD$4),0,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E51" s="18" cm="1">
        <f t="array" ref="BE51" xml:space="preserve">
IFERROR(
IF(BE$1="",0,
IF(AND(
$AA51&gt;=VLOOKUP(BE$6, Table_ChiPhiNV_Ca[], COUNTA(Table_ChiPhiNV_Ca[[#Headers],[Ca]:[Bắt đầu nghỉ]]),0),
$AA51&lt;VLOOKUP(BE$6, Table_ChiPhiNV_Ca[], COUNTA(Table_ChiPhiNV_Ca[[#Headers],[Ca]:[Kết thúc nghỉ]]),0)
),0,
IF(NOT(ISBLANK(BE$3)),
IF(ISBLANK(BE$7),0,
IF(BE$4 &lt; BE$5,
IF($AA51-$Z$4&lt;BE$4,0,
IF($AA51&gt;BE$5,0,
SUM(_xlfn._xlws.FILTER(Table_BangLuong_TyLeTangCa[Tỷ lệ],
(Table_BangLuong_TyLeTangCa[Ngày] = BE$3) *
(Table_BangLuong_TyLeTangCa[Giờ min]&lt;=$AA51) *
(Table_BangLuong_TyLeTangCa[Giờ max]&gt;$AA51)
)))),
IF(AND($AA51-$Z$4 &gt;= BE$5,$AA51 &lt; BE$4),0,
SUM(_xlfn._xlws.FILTER(Table_BangLuong_TyLeTangCa[Tỷ lệ],
(Table_BangLuong_TyLeTangCa[Ngày] = BE$3) *
(Table_BangLuong_TyLeTangCa[Giờ min]&lt;=$AA51) *
(Table_BangLuong_TyLeTangCa[Giờ max]&gt;$AA51)
))))
),
IF(ISBLANK(BE$7),
IF(VLOOKUP(BE$6, Table_ChiPhiNV_Ca[], COUNTA(Table_ChiPhiNV_Ca[[#Headers],[Ca]:[Kết thúc]]),0)&gt; VLOOKUP(BE$6, Table_ChiPhiNV_Ca[], COUNTA(Table_ChiPhiNV_Ca[[#Headers],[Ca]:[Bắt đầu]]),0),
IF($AA51-$Z$4&lt;MAX(BE$4,VLOOKUP(BE$6, Table_ChiPhiNV_Ca[], COUNTA(Table_ChiPhiNV_Ca[[#Headers],[Ca]:[Bắt đầu]]),0)),0,
IF($AA51&gt;MIN(BE$5,VLOOKUP(BE$6, Table_ChiPhiNV_Ca[], COUNTA(Table_ChiPhiNV_Ca[[#Headers],[Ca]:[Kết thúc]]),0)),0,
SUM(_xlfn._xlws.FILTER(Table_BangLuong_TyLeTangCa[Tỷ lệ],
(Table_BangLuong_TyLeTangCa[Ngày] = "Thường") *
(Table_BangLuong_TyLeTangCa[Giờ min]&lt;=$AA51) *
(Table_BangLuong_TyLeTangCa[Giờ max]&gt;$AA51)
)))),
IF(BE$4 &gt; BE$5,
IF(
AND(
$AA51-$Z$4&lt;MAX(BE$4,VLOOKUP(BE$6, Table_ChiPhiNV_Ca[], COUNTA(Table_ChiPhiNV_Ca[[#Headers],[Ca]:[Bắt đầu]]),0)),
$AA51&gt;MIN(BE$5,VLOOKUP(BE$6, Table_ChiPhiNV_Ca[], COUNTA(Table_ChiPhiNV_Ca[[#Headers],[Ca]:[Kết thúc]]),0))),0,
SUM(_xlfn._xlws.FILTER(Table_BangLuong_TyLeTangCa[Tỷ lệ],
(Table_BangLuong_TyLeTangCa[Ngày] = "Thường") *
(Table_BangLuong_TyLeTangCa[Giờ min]&lt;=$AA51) *
(Table_BangLuong_TyLeTangCa[Giờ max]&gt;$AA51)
))),
IF(
AND(
$AA51-$Z$4&gt;=MAX(BE$4,VLOOKUP(BE$6, Table_ChiPhiNV_Ca[], COUNTA(Table_ChiPhiNV_Ca[[#Headers],[Ca]:[Bắt đầu]]),0)),
$AA51&lt;MIN(BE$5,VLOOKUP(BE$6, Table_ChiPhiNV_Ca[], COUNTA(Table_ChiPhiNV_Ca[[#Headers],[Ca]:[Kết thúc]]),0))),
SUM(_xlfn._xlws.FILTER(Table_BangLuong_TyLeTangCa[Tỷ lệ],
(Table_BangLuong_TyLeTangCa[Ngày] = "Thường") *
(Table_BangLuong_TyLeTangCa[Giờ min]&lt;=$AA51) *
(Table_BangLuong_TyLeTangCa[Giờ max]&gt;$AA51)
)),0)
)),
IF(BE$4 &lt; BE$5,
IF($AA51-$Z$4&lt;BE$4,0,
IF($AA51&gt;BE$5,0,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BE$5,$AA51 &lt; BE$4),0,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F51" s="18" cm="1">
        <f t="array" ref="BF51" xml:space="preserve">
IFERROR(
IF(BF$1="",0,
IF(AND(
$AA51&gt;=VLOOKUP(BF$6, Table_ChiPhiNV_Ca[], COUNTA(Table_ChiPhiNV_Ca[[#Headers],[Ca]:[Bắt đầu nghỉ]]),0),
$AA51&lt;VLOOKUP(BF$6, Table_ChiPhiNV_Ca[], COUNTA(Table_ChiPhiNV_Ca[[#Headers],[Ca]:[Kết thúc nghỉ]]),0)
),0,
IF(NOT(ISBLANK(BF$3)),
IF(ISBLANK(BF$7),0,
IF(BF$4 &lt; BF$5,
IF($AA51-$Z$4&lt;BF$4,0,
IF($AA51&gt;BF$5,0,
SUM(_xlfn._xlws.FILTER(Table_BangLuong_TyLeTangCa[Tỷ lệ],
(Table_BangLuong_TyLeTangCa[Ngày] = BF$3) *
(Table_BangLuong_TyLeTangCa[Giờ min]&lt;=$AA51) *
(Table_BangLuong_TyLeTangCa[Giờ max]&gt;$AA51)
)))),
IF(AND($AA51-$Z$4 &gt;= BF$5,$AA51 &lt; BF$4),0,
SUM(_xlfn._xlws.FILTER(Table_BangLuong_TyLeTangCa[Tỷ lệ],
(Table_BangLuong_TyLeTangCa[Ngày] = BF$3) *
(Table_BangLuong_TyLeTangCa[Giờ min]&lt;=$AA51) *
(Table_BangLuong_TyLeTangCa[Giờ max]&gt;$AA51)
))))
),
IF(ISBLANK(BF$7),
IF(VLOOKUP(BF$6, Table_ChiPhiNV_Ca[], COUNTA(Table_ChiPhiNV_Ca[[#Headers],[Ca]:[Kết thúc]]),0)&gt; VLOOKUP(BF$6, Table_ChiPhiNV_Ca[], COUNTA(Table_ChiPhiNV_Ca[[#Headers],[Ca]:[Bắt đầu]]),0),
IF($AA51-$Z$4&lt;MAX(BF$4,VLOOKUP(BF$6, Table_ChiPhiNV_Ca[], COUNTA(Table_ChiPhiNV_Ca[[#Headers],[Ca]:[Bắt đầu]]),0)),0,
IF($AA51&gt;MIN(BF$5,VLOOKUP(BF$6, Table_ChiPhiNV_Ca[], COUNTA(Table_ChiPhiNV_Ca[[#Headers],[Ca]:[Kết thúc]]),0)),0,
SUM(_xlfn._xlws.FILTER(Table_BangLuong_TyLeTangCa[Tỷ lệ],
(Table_BangLuong_TyLeTangCa[Ngày] = "Thường") *
(Table_BangLuong_TyLeTangCa[Giờ min]&lt;=$AA51) *
(Table_BangLuong_TyLeTangCa[Giờ max]&gt;$AA51)
)))),
IF(BF$4 &gt; BF$5,
IF(
AND(
$AA51-$Z$4&lt;MAX(BF$4,VLOOKUP(BF$6, Table_ChiPhiNV_Ca[], COUNTA(Table_ChiPhiNV_Ca[[#Headers],[Ca]:[Bắt đầu]]),0)),
$AA51&gt;MIN(BF$5,VLOOKUP(BF$6, Table_ChiPhiNV_Ca[], COUNTA(Table_ChiPhiNV_Ca[[#Headers],[Ca]:[Kết thúc]]),0))),0,
SUM(_xlfn._xlws.FILTER(Table_BangLuong_TyLeTangCa[Tỷ lệ],
(Table_BangLuong_TyLeTangCa[Ngày] = "Thường") *
(Table_BangLuong_TyLeTangCa[Giờ min]&lt;=$AA51) *
(Table_BangLuong_TyLeTangCa[Giờ max]&gt;$AA51)
))),
IF(
AND(
$AA51-$Z$4&gt;=MAX(BF$4,VLOOKUP(BF$6, Table_ChiPhiNV_Ca[], COUNTA(Table_ChiPhiNV_Ca[[#Headers],[Ca]:[Bắt đầu]]),0)),
$AA51&lt;MIN(BF$5,VLOOKUP(BF$6, Table_ChiPhiNV_Ca[], COUNTA(Table_ChiPhiNV_Ca[[#Headers],[Ca]:[Kết thúc]]),0))),
SUM(_xlfn._xlws.FILTER(Table_BangLuong_TyLeTangCa[Tỷ lệ],
(Table_BangLuong_TyLeTangCa[Ngày] = "Thường") *
(Table_BangLuong_TyLeTangCa[Giờ min]&lt;=$AA51) *
(Table_BangLuong_TyLeTangCa[Giờ max]&gt;$AA51)
)),0)
)),
IF(BF$4 &lt; BF$5,
IF($AA51-$Z$4&lt;BF$4,0,
IF($AA51&gt;BF$5,0,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BF$5,$AA51 &lt; BF$4),0,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row>
    <row r="52" spans="27:58" ht="18" customHeight="1" outlineLevel="1" x14ac:dyDescent="0.3">
      <c r="AA52" s="50">
        <v>0.89583333333333304</v>
      </c>
      <c r="AB52" s="18" cm="1">
        <f t="array" ref="AB52" xml:space="preserve">
IFERROR(
IF(AB$1="",0,
IF(AND(
$AA52&gt;=VLOOKUP(AB$6, Table_ChiPhiNV_Ca[], COUNTA(Table_ChiPhiNV_Ca[[#Headers],[Ca]:[Bắt đầu nghỉ]]),0),
$AA52&lt;VLOOKUP(AB$6, Table_ChiPhiNV_Ca[], COUNTA(Table_ChiPhiNV_Ca[[#Headers],[Ca]:[Kết thúc nghỉ]]),0)
),0,
IF(NOT(ISBLANK(AB$3)),
IF(ISBLANK(AB$7),0,
IF(AB$4 &lt; AB$5,
IF($AA52-$Z$4&lt;AB$4,0,
IF($AA52&gt;AB$5,0,
SUM(_xlfn._xlws.FILTER(Table_BangLuong_TyLeTangCa[Tỷ lệ],
(Table_BangLuong_TyLeTangCa[Ngày] = AB$3) *
(Table_BangLuong_TyLeTangCa[Giờ min]&lt;=$AA52) *
(Table_BangLuong_TyLeTangCa[Giờ max]&gt;$AA52)
)))),
IF(AND($AA52-$Z$4 &gt;= AB$5,$AA52 &lt; AB$4),0,
SUM(_xlfn._xlws.FILTER(Table_BangLuong_TyLeTangCa[Tỷ lệ],
(Table_BangLuong_TyLeTangCa[Ngày] = AB$3) *
(Table_BangLuong_TyLeTangCa[Giờ min]&lt;=$AA52) *
(Table_BangLuong_TyLeTangCa[Giờ max]&gt;$AA52)
))))
),
IF(ISBLANK(AB$7),
IF(VLOOKUP(AB$6, Table_ChiPhiNV_Ca[], COUNTA(Table_ChiPhiNV_Ca[[#Headers],[Ca]:[Kết thúc]]),0)&gt; VLOOKUP(AB$6, Table_ChiPhiNV_Ca[], COUNTA(Table_ChiPhiNV_Ca[[#Headers],[Ca]:[Bắt đầu]]),0),
IF($AA52-$Z$4&lt;MAX(AB$4,VLOOKUP(AB$6, Table_ChiPhiNV_Ca[], COUNTA(Table_ChiPhiNV_Ca[[#Headers],[Ca]:[Bắt đầu]]),0)),0,
IF($AA52&gt;MIN(AB$5,VLOOKUP(AB$6, Table_ChiPhiNV_Ca[], COUNTA(Table_ChiPhiNV_Ca[[#Headers],[Ca]:[Kết thúc]]),0)),0,
SUM(_xlfn._xlws.FILTER(Table_BangLuong_TyLeTangCa[Tỷ lệ],
(Table_BangLuong_TyLeTangCa[Ngày] = "Thường") *
(Table_BangLuong_TyLeTangCa[Giờ min]&lt;=$AA52) *
(Table_BangLuong_TyLeTangCa[Giờ max]&gt;$AA52)
)))),
IF(AB$4 &gt; AB$5,
IF(
AND(
$AA52-$Z$4&lt;MAX(AB$4,VLOOKUP(AB$6, Table_ChiPhiNV_Ca[], COUNTA(Table_ChiPhiNV_Ca[[#Headers],[Ca]:[Bắt đầu]]),0)),
$AA52&gt;MIN(AB$5,VLOOKUP(AB$6, Table_ChiPhiNV_Ca[], COUNTA(Table_ChiPhiNV_Ca[[#Headers],[Ca]:[Kết thúc]]),0))),0,
SUM(_xlfn._xlws.FILTER(Table_BangLuong_TyLeTangCa[Tỷ lệ],
(Table_BangLuong_TyLeTangCa[Ngày] = "Thường") *
(Table_BangLuong_TyLeTangCa[Giờ min]&lt;=$AA52) *
(Table_BangLuong_TyLeTangCa[Giờ max]&gt;$AA52)
))),
IF(
AND(
$AA52-$Z$4&gt;=MAX(AB$4,VLOOKUP(AB$6, Table_ChiPhiNV_Ca[], COUNTA(Table_ChiPhiNV_Ca[[#Headers],[Ca]:[Bắt đầu]]),0)),
$AA52&lt;MIN(AB$5,VLOOKUP(AB$6, Table_ChiPhiNV_Ca[], COUNTA(Table_ChiPhiNV_Ca[[#Headers],[Ca]:[Kết thúc]]),0))),
SUM(_xlfn._xlws.FILTER(Table_BangLuong_TyLeTangCa[Tỷ lệ],
(Table_BangLuong_TyLeTangCa[Ngày] = "Thường") *
(Table_BangLuong_TyLeTangCa[Giờ min]&lt;=$AA52) *
(Table_BangLuong_TyLeTangCa[Giờ max]&gt;$AA52)
)),0)
)),
IF(AB$4 &lt; AB$5,
IF($AA52-$Z$4&lt;AB$4,0,
IF($AA52&gt;AB$5,0,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AB$5,$AA52 &lt; AB$4),0,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C52" s="18" cm="1">
        <f t="array" ref="AC52" xml:space="preserve">
IFERROR(
IF(AC$1="",0,
IF(AND(
$AA52&gt;=VLOOKUP(AC$6, Table_ChiPhiNV_Ca[], COUNTA(Table_ChiPhiNV_Ca[[#Headers],[Ca]:[Bắt đầu nghỉ]]),0),
$AA52&lt;VLOOKUP(AC$6, Table_ChiPhiNV_Ca[], COUNTA(Table_ChiPhiNV_Ca[[#Headers],[Ca]:[Kết thúc nghỉ]]),0)
),0,
IF(NOT(ISBLANK(AC$3)),
IF(ISBLANK(AC$7),0,
IF(AC$4 &lt; AC$5,
IF($AA52-$Z$4&lt;AC$4,0,
IF($AA52&gt;AC$5,0,
SUM(_xlfn._xlws.FILTER(Table_BangLuong_TyLeTangCa[Tỷ lệ],
(Table_BangLuong_TyLeTangCa[Ngày] = AC$3) *
(Table_BangLuong_TyLeTangCa[Giờ min]&lt;=$AA52) *
(Table_BangLuong_TyLeTangCa[Giờ max]&gt;$AA52)
)))),
IF(AND($AA52-$Z$4 &gt;= AC$5,$AA52 &lt; AC$4),0,
SUM(_xlfn._xlws.FILTER(Table_BangLuong_TyLeTangCa[Tỷ lệ],
(Table_BangLuong_TyLeTangCa[Ngày] = AC$3) *
(Table_BangLuong_TyLeTangCa[Giờ min]&lt;=$AA52) *
(Table_BangLuong_TyLeTangCa[Giờ max]&gt;$AA52)
))))
),
IF(ISBLANK(AC$7),
IF(VLOOKUP(AC$6, Table_ChiPhiNV_Ca[], COUNTA(Table_ChiPhiNV_Ca[[#Headers],[Ca]:[Kết thúc]]),0)&gt; VLOOKUP(AC$6, Table_ChiPhiNV_Ca[], COUNTA(Table_ChiPhiNV_Ca[[#Headers],[Ca]:[Bắt đầu]]),0),
IF($AA52-$Z$4&lt;MAX(AC$4,VLOOKUP(AC$6, Table_ChiPhiNV_Ca[], COUNTA(Table_ChiPhiNV_Ca[[#Headers],[Ca]:[Bắt đầu]]),0)),0,
IF($AA52&gt;MIN(AC$5,VLOOKUP(AC$6, Table_ChiPhiNV_Ca[], COUNTA(Table_ChiPhiNV_Ca[[#Headers],[Ca]:[Kết thúc]]),0)),0,
SUM(_xlfn._xlws.FILTER(Table_BangLuong_TyLeTangCa[Tỷ lệ],
(Table_BangLuong_TyLeTangCa[Ngày] = "Thường") *
(Table_BangLuong_TyLeTangCa[Giờ min]&lt;=$AA52) *
(Table_BangLuong_TyLeTangCa[Giờ max]&gt;$AA52)
)))),
IF(AC$4 &gt; AC$5,
IF(
AND(
$AA52-$Z$4&lt;MAX(AC$4,VLOOKUP(AC$6, Table_ChiPhiNV_Ca[], COUNTA(Table_ChiPhiNV_Ca[[#Headers],[Ca]:[Bắt đầu]]),0)),
$AA52&gt;MIN(AC$5,VLOOKUP(AC$6, Table_ChiPhiNV_Ca[], COUNTA(Table_ChiPhiNV_Ca[[#Headers],[Ca]:[Kết thúc]]),0))),0,
SUM(_xlfn._xlws.FILTER(Table_BangLuong_TyLeTangCa[Tỷ lệ],
(Table_BangLuong_TyLeTangCa[Ngày] = "Thường") *
(Table_BangLuong_TyLeTangCa[Giờ min]&lt;=$AA52) *
(Table_BangLuong_TyLeTangCa[Giờ max]&gt;$AA52)
))),
IF(
AND(
$AA52-$Z$4&gt;=MAX(AC$4,VLOOKUP(AC$6, Table_ChiPhiNV_Ca[], COUNTA(Table_ChiPhiNV_Ca[[#Headers],[Ca]:[Bắt đầu]]),0)),
$AA52&lt;MIN(AC$5,VLOOKUP(AC$6, Table_ChiPhiNV_Ca[], COUNTA(Table_ChiPhiNV_Ca[[#Headers],[Ca]:[Kết thúc]]),0))),
SUM(_xlfn._xlws.FILTER(Table_BangLuong_TyLeTangCa[Tỷ lệ],
(Table_BangLuong_TyLeTangCa[Ngày] = "Thường") *
(Table_BangLuong_TyLeTangCa[Giờ min]&lt;=$AA52) *
(Table_BangLuong_TyLeTangCa[Giờ max]&gt;$AA52)
)),0)
)),
IF(AC$4 &lt; AC$5,
IF($AA52-$Z$4&lt;AC$4,0,
IF($AA52&gt;AC$5,0,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AC$5,$AA52 &lt; AC$4),0,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1.5</v>
      </c>
      <c r="AD52" s="18" cm="1">
        <f t="array" ref="AD52" xml:space="preserve">
IFERROR(
IF(AD$1="",0,
IF(AND(
$AA52&gt;=VLOOKUP(AD$6, Table_ChiPhiNV_Ca[], COUNTA(Table_ChiPhiNV_Ca[[#Headers],[Ca]:[Bắt đầu nghỉ]]),0),
$AA52&lt;VLOOKUP(AD$6, Table_ChiPhiNV_Ca[], COUNTA(Table_ChiPhiNV_Ca[[#Headers],[Ca]:[Kết thúc nghỉ]]),0)
),0,
IF(NOT(ISBLANK(AD$3)),
IF(ISBLANK(AD$7),0,
IF(AD$4 &lt; AD$5,
IF($AA52-$Z$4&lt;AD$4,0,
IF($AA52&gt;AD$5,0,
SUM(_xlfn._xlws.FILTER(Table_BangLuong_TyLeTangCa[Tỷ lệ],
(Table_BangLuong_TyLeTangCa[Ngày] = AD$3) *
(Table_BangLuong_TyLeTangCa[Giờ min]&lt;=$AA52) *
(Table_BangLuong_TyLeTangCa[Giờ max]&gt;$AA52)
)))),
IF(AND($AA52-$Z$4 &gt;= AD$5,$AA52 &lt; AD$4),0,
SUM(_xlfn._xlws.FILTER(Table_BangLuong_TyLeTangCa[Tỷ lệ],
(Table_BangLuong_TyLeTangCa[Ngày] = AD$3) *
(Table_BangLuong_TyLeTangCa[Giờ min]&lt;=$AA52) *
(Table_BangLuong_TyLeTangCa[Giờ max]&gt;$AA52)
))))
),
IF(ISBLANK(AD$7),
IF(VLOOKUP(AD$6, Table_ChiPhiNV_Ca[], COUNTA(Table_ChiPhiNV_Ca[[#Headers],[Ca]:[Kết thúc]]),0)&gt; VLOOKUP(AD$6, Table_ChiPhiNV_Ca[], COUNTA(Table_ChiPhiNV_Ca[[#Headers],[Ca]:[Bắt đầu]]),0),
IF($AA52-$Z$4&lt;MAX(AD$4,VLOOKUP(AD$6, Table_ChiPhiNV_Ca[], COUNTA(Table_ChiPhiNV_Ca[[#Headers],[Ca]:[Bắt đầu]]),0)),0,
IF($AA52&gt;MIN(AD$5,VLOOKUP(AD$6, Table_ChiPhiNV_Ca[], COUNTA(Table_ChiPhiNV_Ca[[#Headers],[Ca]:[Kết thúc]]),0)),0,
SUM(_xlfn._xlws.FILTER(Table_BangLuong_TyLeTangCa[Tỷ lệ],
(Table_BangLuong_TyLeTangCa[Ngày] = "Thường") *
(Table_BangLuong_TyLeTangCa[Giờ min]&lt;=$AA52) *
(Table_BangLuong_TyLeTangCa[Giờ max]&gt;$AA52)
)))),
IF(AD$4 &gt; AD$5,
IF(
AND(
$AA52-$Z$4&lt;MAX(AD$4,VLOOKUP(AD$6, Table_ChiPhiNV_Ca[], COUNTA(Table_ChiPhiNV_Ca[[#Headers],[Ca]:[Bắt đầu]]),0)),
$AA52&gt;MIN(AD$5,VLOOKUP(AD$6, Table_ChiPhiNV_Ca[], COUNTA(Table_ChiPhiNV_Ca[[#Headers],[Ca]:[Kết thúc]]),0))),0,
SUM(_xlfn._xlws.FILTER(Table_BangLuong_TyLeTangCa[Tỷ lệ],
(Table_BangLuong_TyLeTangCa[Ngày] = "Thường") *
(Table_BangLuong_TyLeTangCa[Giờ min]&lt;=$AA52) *
(Table_BangLuong_TyLeTangCa[Giờ max]&gt;$AA52)
))),
IF(
AND(
$AA52-$Z$4&gt;=MAX(AD$4,VLOOKUP(AD$6, Table_ChiPhiNV_Ca[], COUNTA(Table_ChiPhiNV_Ca[[#Headers],[Ca]:[Bắt đầu]]),0)),
$AA52&lt;MIN(AD$5,VLOOKUP(AD$6, Table_ChiPhiNV_Ca[], COUNTA(Table_ChiPhiNV_Ca[[#Headers],[Ca]:[Kết thúc]]),0))),
SUM(_xlfn._xlws.FILTER(Table_BangLuong_TyLeTangCa[Tỷ lệ],
(Table_BangLuong_TyLeTangCa[Ngày] = "Thường") *
(Table_BangLuong_TyLeTangCa[Giờ min]&lt;=$AA52) *
(Table_BangLuong_TyLeTangCa[Giờ max]&gt;$AA52)
)),0)
)),
IF(AD$4 &lt; AD$5,
IF($AA52-$Z$4&lt;AD$4,0,
IF($AA52&gt;AD$5,0,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AD$5,$AA52 &lt; AD$4),0,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E52" s="18" cm="1">
        <f t="array" ref="AE52" xml:space="preserve">
IFERROR(
IF(AE$1="",0,
IF(AND(
$AA52&gt;=VLOOKUP(AE$6, Table_ChiPhiNV_Ca[], COUNTA(Table_ChiPhiNV_Ca[[#Headers],[Ca]:[Bắt đầu nghỉ]]),0),
$AA52&lt;VLOOKUP(AE$6, Table_ChiPhiNV_Ca[], COUNTA(Table_ChiPhiNV_Ca[[#Headers],[Ca]:[Kết thúc nghỉ]]),0)
),0,
IF(NOT(ISBLANK(AE$3)),
IF(ISBLANK(AE$7),0,
IF(AE$4 &lt; AE$5,
IF($AA52-$Z$4&lt;AE$4,0,
IF($AA52&gt;AE$5,0,
SUM(_xlfn._xlws.FILTER(Table_BangLuong_TyLeTangCa[Tỷ lệ],
(Table_BangLuong_TyLeTangCa[Ngày] = AE$3) *
(Table_BangLuong_TyLeTangCa[Giờ min]&lt;=$AA52) *
(Table_BangLuong_TyLeTangCa[Giờ max]&gt;$AA52)
)))),
IF(AND($AA52-$Z$4 &gt;= AE$5,$AA52 &lt; AE$4),0,
SUM(_xlfn._xlws.FILTER(Table_BangLuong_TyLeTangCa[Tỷ lệ],
(Table_BangLuong_TyLeTangCa[Ngày] = AE$3) *
(Table_BangLuong_TyLeTangCa[Giờ min]&lt;=$AA52) *
(Table_BangLuong_TyLeTangCa[Giờ max]&gt;$AA52)
))))
),
IF(ISBLANK(AE$7),
IF(VLOOKUP(AE$6, Table_ChiPhiNV_Ca[], COUNTA(Table_ChiPhiNV_Ca[[#Headers],[Ca]:[Kết thúc]]),0)&gt; VLOOKUP(AE$6, Table_ChiPhiNV_Ca[], COUNTA(Table_ChiPhiNV_Ca[[#Headers],[Ca]:[Bắt đầu]]),0),
IF($AA52-$Z$4&lt;MAX(AE$4,VLOOKUP(AE$6, Table_ChiPhiNV_Ca[], COUNTA(Table_ChiPhiNV_Ca[[#Headers],[Ca]:[Bắt đầu]]),0)),0,
IF($AA52&gt;MIN(AE$5,VLOOKUP(AE$6, Table_ChiPhiNV_Ca[], COUNTA(Table_ChiPhiNV_Ca[[#Headers],[Ca]:[Kết thúc]]),0)),0,
SUM(_xlfn._xlws.FILTER(Table_BangLuong_TyLeTangCa[Tỷ lệ],
(Table_BangLuong_TyLeTangCa[Ngày] = "Thường") *
(Table_BangLuong_TyLeTangCa[Giờ min]&lt;=$AA52) *
(Table_BangLuong_TyLeTangCa[Giờ max]&gt;$AA52)
)))),
IF(AE$4 &gt; AE$5,
IF(
AND(
$AA52-$Z$4&lt;MAX(AE$4,VLOOKUP(AE$6, Table_ChiPhiNV_Ca[], COUNTA(Table_ChiPhiNV_Ca[[#Headers],[Ca]:[Bắt đầu]]),0)),
$AA52&gt;MIN(AE$5,VLOOKUP(AE$6, Table_ChiPhiNV_Ca[], COUNTA(Table_ChiPhiNV_Ca[[#Headers],[Ca]:[Kết thúc]]),0))),0,
SUM(_xlfn._xlws.FILTER(Table_BangLuong_TyLeTangCa[Tỷ lệ],
(Table_BangLuong_TyLeTangCa[Ngày] = "Thường") *
(Table_BangLuong_TyLeTangCa[Giờ min]&lt;=$AA52) *
(Table_BangLuong_TyLeTangCa[Giờ max]&gt;$AA52)
))),
IF(
AND(
$AA52-$Z$4&gt;=MAX(AE$4,VLOOKUP(AE$6, Table_ChiPhiNV_Ca[], COUNTA(Table_ChiPhiNV_Ca[[#Headers],[Ca]:[Bắt đầu]]),0)),
$AA52&lt;MIN(AE$5,VLOOKUP(AE$6, Table_ChiPhiNV_Ca[], COUNTA(Table_ChiPhiNV_Ca[[#Headers],[Ca]:[Kết thúc]]),0))),
SUM(_xlfn._xlws.FILTER(Table_BangLuong_TyLeTangCa[Tỷ lệ],
(Table_BangLuong_TyLeTangCa[Ngày] = "Thường") *
(Table_BangLuong_TyLeTangCa[Giờ min]&lt;=$AA52) *
(Table_BangLuong_TyLeTangCa[Giờ max]&gt;$AA52)
)),0)
)),
IF(AE$4 &lt; AE$5,
IF($AA52-$Z$4&lt;AE$4,0,
IF($AA52&gt;AE$5,0,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AE$5,$AA52 &lt; AE$4),0,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F52" s="18" cm="1">
        <f t="array" ref="AF52" xml:space="preserve">
IFERROR(
IF(AF$1="",0,
IF(AND(
$AA52&gt;=VLOOKUP(AF$6, Table_ChiPhiNV_Ca[], COUNTA(Table_ChiPhiNV_Ca[[#Headers],[Ca]:[Bắt đầu nghỉ]]),0),
$AA52&lt;VLOOKUP(AF$6, Table_ChiPhiNV_Ca[], COUNTA(Table_ChiPhiNV_Ca[[#Headers],[Ca]:[Kết thúc nghỉ]]),0)
),0,
IF(NOT(ISBLANK(AF$3)),
IF(ISBLANK(AF$7),0,
IF(AF$4 &lt; AF$5,
IF($AA52-$Z$4&lt;AF$4,0,
IF($AA52&gt;AF$5,0,
SUM(_xlfn._xlws.FILTER(Table_BangLuong_TyLeTangCa[Tỷ lệ],
(Table_BangLuong_TyLeTangCa[Ngày] = AF$3) *
(Table_BangLuong_TyLeTangCa[Giờ min]&lt;=$AA52) *
(Table_BangLuong_TyLeTangCa[Giờ max]&gt;$AA52)
)))),
IF(AND($AA52-$Z$4 &gt;= AF$5,$AA52 &lt; AF$4),0,
SUM(_xlfn._xlws.FILTER(Table_BangLuong_TyLeTangCa[Tỷ lệ],
(Table_BangLuong_TyLeTangCa[Ngày] = AF$3) *
(Table_BangLuong_TyLeTangCa[Giờ min]&lt;=$AA52) *
(Table_BangLuong_TyLeTangCa[Giờ max]&gt;$AA52)
))))
),
IF(ISBLANK(AF$7),
IF(VLOOKUP(AF$6, Table_ChiPhiNV_Ca[], COUNTA(Table_ChiPhiNV_Ca[[#Headers],[Ca]:[Kết thúc]]),0)&gt; VLOOKUP(AF$6, Table_ChiPhiNV_Ca[], COUNTA(Table_ChiPhiNV_Ca[[#Headers],[Ca]:[Bắt đầu]]),0),
IF($AA52-$Z$4&lt;MAX(AF$4,VLOOKUP(AF$6, Table_ChiPhiNV_Ca[], COUNTA(Table_ChiPhiNV_Ca[[#Headers],[Ca]:[Bắt đầu]]),0)),0,
IF($AA52&gt;MIN(AF$5,VLOOKUP(AF$6, Table_ChiPhiNV_Ca[], COUNTA(Table_ChiPhiNV_Ca[[#Headers],[Ca]:[Kết thúc]]),0)),0,
SUM(_xlfn._xlws.FILTER(Table_BangLuong_TyLeTangCa[Tỷ lệ],
(Table_BangLuong_TyLeTangCa[Ngày] = "Thường") *
(Table_BangLuong_TyLeTangCa[Giờ min]&lt;=$AA52) *
(Table_BangLuong_TyLeTangCa[Giờ max]&gt;$AA52)
)))),
IF(AF$4 &gt; AF$5,
IF(
AND(
$AA52-$Z$4&lt;MAX(AF$4,VLOOKUP(AF$6, Table_ChiPhiNV_Ca[], COUNTA(Table_ChiPhiNV_Ca[[#Headers],[Ca]:[Bắt đầu]]),0)),
$AA52&gt;MIN(AF$5,VLOOKUP(AF$6, Table_ChiPhiNV_Ca[], COUNTA(Table_ChiPhiNV_Ca[[#Headers],[Ca]:[Kết thúc]]),0))),0,
SUM(_xlfn._xlws.FILTER(Table_BangLuong_TyLeTangCa[Tỷ lệ],
(Table_BangLuong_TyLeTangCa[Ngày] = "Thường") *
(Table_BangLuong_TyLeTangCa[Giờ min]&lt;=$AA52) *
(Table_BangLuong_TyLeTangCa[Giờ max]&gt;$AA52)
))),
IF(
AND(
$AA52-$Z$4&gt;=MAX(AF$4,VLOOKUP(AF$6, Table_ChiPhiNV_Ca[], COUNTA(Table_ChiPhiNV_Ca[[#Headers],[Ca]:[Bắt đầu]]),0)),
$AA52&lt;MIN(AF$5,VLOOKUP(AF$6, Table_ChiPhiNV_Ca[], COUNTA(Table_ChiPhiNV_Ca[[#Headers],[Ca]:[Kết thúc]]),0))),
SUM(_xlfn._xlws.FILTER(Table_BangLuong_TyLeTangCa[Tỷ lệ],
(Table_BangLuong_TyLeTangCa[Ngày] = "Thường") *
(Table_BangLuong_TyLeTangCa[Giờ min]&lt;=$AA52) *
(Table_BangLuong_TyLeTangCa[Giờ max]&gt;$AA52)
)),0)
)),
IF(AF$4 &lt; AF$5,
IF($AA52-$Z$4&lt;AF$4,0,
IF($AA52&gt;AF$5,0,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AF$5,$AA52 &lt; AF$4),0,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G52" s="18" cm="1">
        <f t="array" ref="AG52" xml:space="preserve">
IFERROR(
IF(AG$1="",0,
IF(AND(
$AA52&gt;=VLOOKUP(AG$6, Table_ChiPhiNV_Ca[], COUNTA(Table_ChiPhiNV_Ca[[#Headers],[Ca]:[Bắt đầu nghỉ]]),0),
$AA52&lt;VLOOKUP(AG$6, Table_ChiPhiNV_Ca[], COUNTA(Table_ChiPhiNV_Ca[[#Headers],[Ca]:[Kết thúc nghỉ]]),0)
),0,
IF(NOT(ISBLANK(AG$3)),
IF(ISBLANK(AG$7),0,
IF(AG$4 &lt; AG$5,
IF($AA52-$Z$4&lt;AG$4,0,
IF($AA52&gt;AG$5,0,
SUM(_xlfn._xlws.FILTER(Table_BangLuong_TyLeTangCa[Tỷ lệ],
(Table_BangLuong_TyLeTangCa[Ngày] = AG$3) *
(Table_BangLuong_TyLeTangCa[Giờ min]&lt;=$AA52) *
(Table_BangLuong_TyLeTangCa[Giờ max]&gt;$AA52)
)))),
IF(AND($AA52-$Z$4 &gt;= AG$5,$AA52 &lt; AG$4),0,
SUM(_xlfn._xlws.FILTER(Table_BangLuong_TyLeTangCa[Tỷ lệ],
(Table_BangLuong_TyLeTangCa[Ngày] = AG$3) *
(Table_BangLuong_TyLeTangCa[Giờ min]&lt;=$AA52) *
(Table_BangLuong_TyLeTangCa[Giờ max]&gt;$AA52)
))))
),
IF(ISBLANK(AG$7),
IF(VLOOKUP(AG$6, Table_ChiPhiNV_Ca[], COUNTA(Table_ChiPhiNV_Ca[[#Headers],[Ca]:[Kết thúc]]),0)&gt; VLOOKUP(AG$6, Table_ChiPhiNV_Ca[], COUNTA(Table_ChiPhiNV_Ca[[#Headers],[Ca]:[Bắt đầu]]),0),
IF($AA52-$Z$4&lt;MAX(AG$4,VLOOKUP(AG$6, Table_ChiPhiNV_Ca[], COUNTA(Table_ChiPhiNV_Ca[[#Headers],[Ca]:[Bắt đầu]]),0)),0,
IF($AA52&gt;MIN(AG$5,VLOOKUP(AG$6, Table_ChiPhiNV_Ca[], COUNTA(Table_ChiPhiNV_Ca[[#Headers],[Ca]:[Kết thúc]]),0)),0,
SUM(_xlfn._xlws.FILTER(Table_BangLuong_TyLeTangCa[Tỷ lệ],
(Table_BangLuong_TyLeTangCa[Ngày] = "Thường") *
(Table_BangLuong_TyLeTangCa[Giờ min]&lt;=$AA52) *
(Table_BangLuong_TyLeTangCa[Giờ max]&gt;$AA52)
)))),
IF(AG$4 &gt; AG$5,
IF(
AND(
$AA52-$Z$4&lt;MAX(AG$4,VLOOKUP(AG$6, Table_ChiPhiNV_Ca[], COUNTA(Table_ChiPhiNV_Ca[[#Headers],[Ca]:[Bắt đầu]]),0)),
$AA52&gt;MIN(AG$5,VLOOKUP(AG$6, Table_ChiPhiNV_Ca[], COUNTA(Table_ChiPhiNV_Ca[[#Headers],[Ca]:[Kết thúc]]),0))),0,
SUM(_xlfn._xlws.FILTER(Table_BangLuong_TyLeTangCa[Tỷ lệ],
(Table_BangLuong_TyLeTangCa[Ngày] = "Thường") *
(Table_BangLuong_TyLeTangCa[Giờ min]&lt;=$AA52) *
(Table_BangLuong_TyLeTangCa[Giờ max]&gt;$AA52)
))),
IF(
AND(
$AA52-$Z$4&gt;=MAX(AG$4,VLOOKUP(AG$6, Table_ChiPhiNV_Ca[], COUNTA(Table_ChiPhiNV_Ca[[#Headers],[Ca]:[Bắt đầu]]),0)),
$AA52&lt;MIN(AG$5,VLOOKUP(AG$6, Table_ChiPhiNV_Ca[], COUNTA(Table_ChiPhiNV_Ca[[#Headers],[Ca]:[Kết thúc]]),0))),
SUM(_xlfn._xlws.FILTER(Table_BangLuong_TyLeTangCa[Tỷ lệ],
(Table_BangLuong_TyLeTangCa[Ngày] = "Thường") *
(Table_BangLuong_TyLeTangCa[Giờ min]&lt;=$AA52) *
(Table_BangLuong_TyLeTangCa[Giờ max]&gt;$AA52)
)),0)
)),
IF(AG$4 &lt; AG$5,
IF($AA52-$Z$4&lt;AG$4,0,
IF($AA52&gt;AG$5,0,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AG$5,$AA52 &lt; AG$4),0,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H52" s="18" cm="1">
        <f t="array" ref="AH52" xml:space="preserve">
IFERROR(
IF(AH$1="",0,
IF(AND(
$AA52&gt;=VLOOKUP(AH$6, Table_ChiPhiNV_Ca[], COUNTA(Table_ChiPhiNV_Ca[[#Headers],[Ca]:[Bắt đầu nghỉ]]),0),
$AA52&lt;VLOOKUP(AH$6, Table_ChiPhiNV_Ca[], COUNTA(Table_ChiPhiNV_Ca[[#Headers],[Ca]:[Kết thúc nghỉ]]),0)
),0,
IF(NOT(ISBLANK(AH$3)),
IF(ISBLANK(AH$7),0,
IF(AH$4 &lt; AH$5,
IF($AA52-$Z$4&lt;AH$4,0,
IF($AA52&gt;AH$5,0,
SUM(_xlfn._xlws.FILTER(Table_BangLuong_TyLeTangCa[Tỷ lệ],
(Table_BangLuong_TyLeTangCa[Ngày] = AH$3) *
(Table_BangLuong_TyLeTangCa[Giờ min]&lt;=$AA52) *
(Table_BangLuong_TyLeTangCa[Giờ max]&gt;$AA52)
)))),
IF(AND($AA52-$Z$4 &gt;= AH$5,$AA52 &lt; AH$4),0,
SUM(_xlfn._xlws.FILTER(Table_BangLuong_TyLeTangCa[Tỷ lệ],
(Table_BangLuong_TyLeTangCa[Ngày] = AH$3) *
(Table_BangLuong_TyLeTangCa[Giờ min]&lt;=$AA52) *
(Table_BangLuong_TyLeTangCa[Giờ max]&gt;$AA52)
))))
),
IF(ISBLANK(AH$7),
IF(VLOOKUP(AH$6, Table_ChiPhiNV_Ca[], COUNTA(Table_ChiPhiNV_Ca[[#Headers],[Ca]:[Kết thúc]]),0)&gt; VLOOKUP(AH$6, Table_ChiPhiNV_Ca[], COUNTA(Table_ChiPhiNV_Ca[[#Headers],[Ca]:[Bắt đầu]]),0),
IF($AA52-$Z$4&lt;MAX(AH$4,VLOOKUP(AH$6, Table_ChiPhiNV_Ca[], COUNTA(Table_ChiPhiNV_Ca[[#Headers],[Ca]:[Bắt đầu]]),0)),0,
IF($AA52&gt;MIN(AH$5,VLOOKUP(AH$6, Table_ChiPhiNV_Ca[], COUNTA(Table_ChiPhiNV_Ca[[#Headers],[Ca]:[Kết thúc]]),0)),0,
SUM(_xlfn._xlws.FILTER(Table_BangLuong_TyLeTangCa[Tỷ lệ],
(Table_BangLuong_TyLeTangCa[Ngày] = "Thường") *
(Table_BangLuong_TyLeTangCa[Giờ min]&lt;=$AA52) *
(Table_BangLuong_TyLeTangCa[Giờ max]&gt;$AA52)
)))),
IF(AH$4 &gt; AH$5,
IF(
AND(
$AA52-$Z$4&lt;MAX(AH$4,VLOOKUP(AH$6, Table_ChiPhiNV_Ca[], COUNTA(Table_ChiPhiNV_Ca[[#Headers],[Ca]:[Bắt đầu]]),0)),
$AA52&gt;MIN(AH$5,VLOOKUP(AH$6, Table_ChiPhiNV_Ca[], COUNTA(Table_ChiPhiNV_Ca[[#Headers],[Ca]:[Kết thúc]]),0))),0,
SUM(_xlfn._xlws.FILTER(Table_BangLuong_TyLeTangCa[Tỷ lệ],
(Table_BangLuong_TyLeTangCa[Ngày] = "Thường") *
(Table_BangLuong_TyLeTangCa[Giờ min]&lt;=$AA52) *
(Table_BangLuong_TyLeTangCa[Giờ max]&gt;$AA52)
))),
IF(
AND(
$AA52-$Z$4&gt;=MAX(AH$4,VLOOKUP(AH$6, Table_ChiPhiNV_Ca[], COUNTA(Table_ChiPhiNV_Ca[[#Headers],[Ca]:[Bắt đầu]]),0)),
$AA52&lt;MIN(AH$5,VLOOKUP(AH$6, Table_ChiPhiNV_Ca[], COUNTA(Table_ChiPhiNV_Ca[[#Headers],[Ca]:[Kết thúc]]),0))),
SUM(_xlfn._xlws.FILTER(Table_BangLuong_TyLeTangCa[Tỷ lệ],
(Table_BangLuong_TyLeTangCa[Ngày] = "Thường") *
(Table_BangLuong_TyLeTangCa[Giờ min]&lt;=$AA52) *
(Table_BangLuong_TyLeTangCa[Giờ max]&gt;$AA52)
)),0)
)),
IF(AH$4 &lt; AH$5,
IF($AA52-$Z$4&lt;AH$4,0,
IF($AA52&gt;AH$5,0,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AH$5,$AA52 &lt; AH$4),0,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I52" s="18" cm="1">
        <f t="array" ref="AI52" xml:space="preserve">
IFERROR(
IF(AI$1="",0,
IF(AND(
$AA52&gt;=VLOOKUP(AI$6, Table_ChiPhiNV_Ca[], COUNTA(Table_ChiPhiNV_Ca[[#Headers],[Ca]:[Bắt đầu nghỉ]]),0),
$AA52&lt;VLOOKUP(AI$6, Table_ChiPhiNV_Ca[], COUNTA(Table_ChiPhiNV_Ca[[#Headers],[Ca]:[Kết thúc nghỉ]]),0)
),0,
IF(NOT(ISBLANK(AI$3)),
IF(ISBLANK(AI$7),0,
IF(AI$4 &lt; AI$5,
IF($AA52-$Z$4&lt;AI$4,0,
IF($AA52&gt;AI$5,0,
SUM(_xlfn._xlws.FILTER(Table_BangLuong_TyLeTangCa[Tỷ lệ],
(Table_BangLuong_TyLeTangCa[Ngày] = AI$3) *
(Table_BangLuong_TyLeTangCa[Giờ min]&lt;=$AA52) *
(Table_BangLuong_TyLeTangCa[Giờ max]&gt;$AA52)
)))),
IF(AND($AA52-$Z$4 &gt;= AI$5,$AA52 &lt; AI$4),0,
SUM(_xlfn._xlws.FILTER(Table_BangLuong_TyLeTangCa[Tỷ lệ],
(Table_BangLuong_TyLeTangCa[Ngày] = AI$3) *
(Table_BangLuong_TyLeTangCa[Giờ min]&lt;=$AA52) *
(Table_BangLuong_TyLeTangCa[Giờ max]&gt;$AA52)
))))
),
IF(ISBLANK(AI$7),
IF(VLOOKUP(AI$6, Table_ChiPhiNV_Ca[], COUNTA(Table_ChiPhiNV_Ca[[#Headers],[Ca]:[Kết thúc]]),0)&gt; VLOOKUP(AI$6, Table_ChiPhiNV_Ca[], COUNTA(Table_ChiPhiNV_Ca[[#Headers],[Ca]:[Bắt đầu]]),0),
IF($AA52-$Z$4&lt;MAX(AI$4,VLOOKUP(AI$6, Table_ChiPhiNV_Ca[], COUNTA(Table_ChiPhiNV_Ca[[#Headers],[Ca]:[Bắt đầu]]),0)),0,
IF($AA52&gt;MIN(AI$5,VLOOKUP(AI$6, Table_ChiPhiNV_Ca[], COUNTA(Table_ChiPhiNV_Ca[[#Headers],[Ca]:[Kết thúc]]),0)),0,
SUM(_xlfn._xlws.FILTER(Table_BangLuong_TyLeTangCa[Tỷ lệ],
(Table_BangLuong_TyLeTangCa[Ngày] = "Thường") *
(Table_BangLuong_TyLeTangCa[Giờ min]&lt;=$AA52) *
(Table_BangLuong_TyLeTangCa[Giờ max]&gt;$AA52)
)))),
IF(AI$4 &gt; AI$5,
IF(
AND(
$AA52-$Z$4&lt;MAX(AI$4,VLOOKUP(AI$6, Table_ChiPhiNV_Ca[], COUNTA(Table_ChiPhiNV_Ca[[#Headers],[Ca]:[Bắt đầu]]),0)),
$AA52&gt;MIN(AI$5,VLOOKUP(AI$6, Table_ChiPhiNV_Ca[], COUNTA(Table_ChiPhiNV_Ca[[#Headers],[Ca]:[Kết thúc]]),0))),0,
SUM(_xlfn._xlws.FILTER(Table_BangLuong_TyLeTangCa[Tỷ lệ],
(Table_BangLuong_TyLeTangCa[Ngày] = "Thường") *
(Table_BangLuong_TyLeTangCa[Giờ min]&lt;=$AA52) *
(Table_BangLuong_TyLeTangCa[Giờ max]&gt;$AA52)
))),
IF(
AND(
$AA52-$Z$4&gt;=MAX(AI$4,VLOOKUP(AI$6, Table_ChiPhiNV_Ca[], COUNTA(Table_ChiPhiNV_Ca[[#Headers],[Ca]:[Bắt đầu]]),0)),
$AA52&lt;MIN(AI$5,VLOOKUP(AI$6, Table_ChiPhiNV_Ca[], COUNTA(Table_ChiPhiNV_Ca[[#Headers],[Ca]:[Kết thúc]]),0))),
SUM(_xlfn._xlws.FILTER(Table_BangLuong_TyLeTangCa[Tỷ lệ],
(Table_BangLuong_TyLeTangCa[Ngày] = "Thường") *
(Table_BangLuong_TyLeTangCa[Giờ min]&lt;=$AA52) *
(Table_BangLuong_TyLeTangCa[Giờ max]&gt;$AA52)
)),0)
)),
IF(AI$4 &lt; AI$5,
IF($AA52-$Z$4&lt;AI$4,0,
IF($AA52&gt;AI$5,0,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AI$5,$AA52 &lt; AI$4),0,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J52" s="18" cm="1">
        <f t="array" ref="AJ52" xml:space="preserve">
IFERROR(
IF(AJ$1="",0,
IF(AND(
$AA52&gt;=VLOOKUP(AJ$6, Table_ChiPhiNV_Ca[], COUNTA(Table_ChiPhiNV_Ca[[#Headers],[Ca]:[Bắt đầu nghỉ]]),0),
$AA52&lt;VLOOKUP(AJ$6, Table_ChiPhiNV_Ca[], COUNTA(Table_ChiPhiNV_Ca[[#Headers],[Ca]:[Kết thúc nghỉ]]),0)
),0,
IF(NOT(ISBLANK(AJ$3)),
IF(ISBLANK(AJ$7),0,
IF(AJ$4 &lt; AJ$5,
IF($AA52-$Z$4&lt;AJ$4,0,
IF($AA52&gt;AJ$5,0,
SUM(_xlfn._xlws.FILTER(Table_BangLuong_TyLeTangCa[Tỷ lệ],
(Table_BangLuong_TyLeTangCa[Ngày] = AJ$3) *
(Table_BangLuong_TyLeTangCa[Giờ min]&lt;=$AA52) *
(Table_BangLuong_TyLeTangCa[Giờ max]&gt;$AA52)
)))),
IF(AND($AA52-$Z$4 &gt;= AJ$5,$AA52 &lt; AJ$4),0,
SUM(_xlfn._xlws.FILTER(Table_BangLuong_TyLeTangCa[Tỷ lệ],
(Table_BangLuong_TyLeTangCa[Ngày] = AJ$3) *
(Table_BangLuong_TyLeTangCa[Giờ min]&lt;=$AA52) *
(Table_BangLuong_TyLeTangCa[Giờ max]&gt;$AA52)
))))
),
IF(ISBLANK(AJ$7),
IF(VLOOKUP(AJ$6, Table_ChiPhiNV_Ca[], COUNTA(Table_ChiPhiNV_Ca[[#Headers],[Ca]:[Kết thúc]]),0)&gt; VLOOKUP(AJ$6, Table_ChiPhiNV_Ca[], COUNTA(Table_ChiPhiNV_Ca[[#Headers],[Ca]:[Bắt đầu]]),0),
IF($AA52-$Z$4&lt;MAX(AJ$4,VLOOKUP(AJ$6, Table_ChiPhiNV_Ca[], COUNTA(Table_ChiPhiNV_Ca[[#Headers],[Ca]:[Bắt đầu]]),0)),0,
IF($AA52&gt;MIN(AJ$5,VLOOKUP(AJ$6, Table_ChiPhiNV_Ca[], COUNTA(Table_ChiPhiNV_Ca[[#Headers],[Ca]:[Kết thúc]]),0)),0,
SUM(_xlfn._xlws.FILTER(Table_BangLuong_TyLeTangCa[Tỷ lệ],
(Table_BangLuong_TyLeTangCa[Ngày] = "Thường") *
(Table_BangLuong_TyLeTangCa[Giờ min]&lt;=$AA52) *
(Table_BangLuong_TyLeTangCa[Giờ max]&gt;$AA52)
)))),
IF(AJ$4 &gt; AJ$5,
IF(
AND(
$AA52-$Z$4&lt;MAX(AJ$4,VLOOKUP(AJ$6, Table_ChiPhiNV_Ca[], COUNTA(Table_ChiPhiNV_Ca[[#Headers],[Ca]:[Bắt đầu]]),0)),
$AA52&gt;MIN(AJ$5,VLOOKUP(AJ$6, Table_ChiPhiNV_Ca[], COUNTA(Table_ChiPhiNV_Ca[[#Headers],[Ca]:[Kết thúc]]),0))),0,
SUM(_xlfn._xlws.FILTER(Table_BangLuong_TyLeTangCa[Tỷ lệ],
(Table_BangLuong_TyLeTangCa[Ngày] = "Thường") *
(Table_BangLuong_TyLeTangCa[Giờ min]&lt;=$AA52) *
(Table_BangLuong_TyLeTangCa[Giờ max]&gt;$AA52)
))),
IF(
AND(
$AA52-$Z$4&gt;=MAX(AJ$4,VLOOKUP(AJ$6, Table_ChiPhiNV_Ca[], COUNTA(Table_ChiPhiNV_Ca[[#Headers],[Ca]:[Bắt đầu]]),0)),
$AA52&lt;MIN(AJ$5,VLOOKUP(AJ$6, Table_ChiPhiNV_Ca[], COUNTA(Table_ChiPhiNV_Ca[[#Headers],[Ca]:[Kết thúc]]),0))),
SUM(_xlfn._xlws.FILTER(Table_BangLuong_TyLeTangCa[Tỷ lệ],
(Table_BangLuong_TyLeTangCa[Ngày] = "Thường") *
(Table_BangLuong_TyLeTangCa[Giờ min]&lt;=$AA52) *
(Table_BangLuong_TyLeTangCa[Giờ max]&gt;$AA52)
)),0)
)),
IF(AJ$4 &lt; AJ$5,
IF($AA52-$Z$4&lt;AJ$4,0,
IF($AA52&gt;AJ$5,0,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AJ$5,$AA52 &lt; AJ$4),0,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K52" s="18" cm="1">
        <f t="array" ref="AK52" xml:space="preserve">
IFERROR(
IF(AK$1="",0,
IF(AND(
$AA52&gt;=VLOOKUP(AK$6, Table_ChiPhiNV_Ca[], COUNTA(Table_ChiPhiNV_Ca[[#Headers],[Ca]:[Bắt đầu nghỉ]]),0),
$AA52&lt;VLOOKUP(AK$6, Table_ChiPhiNV_Ca[], COUNTA(Table_ChiPhiNV_Ca[[#Headers],[Ca]:[Kết thúc nghỉ]]),0)
),0,
IF(NOT(ISBLANK(AK$3)),
IF(ISBLANK(AK$7),0,
IF(AK$4 &lt; AK$5,
IF($AA52-$Z$4&lt;AK$4,0,
IF($AA52&gt;AK$5,0,
SUM(_xlfn._xlws.FILTER(Table_BangLuong_TyLeTangCa[Tỷ lệ],
(Table_BangLuong_TyLeTangCa[Ngày] = AK$3) *
(Table_BangLuong_TyLeTangCa[Giờ min]&lt;=$AA52) *
(Table_BangLuong_TyLeTangCa[Giờ max]&gt;$AA52)
)))),
IF(AND($AA52-$Z$4 &gt;= AK$5,$AA52 &lt; AK$4),0,
SUM(_xlfn._xlws.FILTER(Table_BangLuong_TyLeTangCa[Tỷ lệ],
(Table_BangLuong_TyLeTangCa[Ngày] = AK$3) *
(Table_BangLuong_TyLeTangCa[Giờ min]&lt;=$AA52) *
(Table_BangLuong_TyLeTangCa[Giờ max]&gt;$AA52)
))))
),
IF(ISBLANK(AK$7),
IF(VLOOKUP(AK$6, Table_ChiPhiNV_Ca[], COUNTA(Table_ChiPhiNV_Ca[[#Headers],[Ca]:[Kết thúc]]),0)&gt; VLOOKUP(AK$6, Table_ChiPhiNV_Ca[], COUNTA(Table_ChiPhiNV_Ca[[#Headers],[Ca]:[Bắt đầu]]),0),
IF($AA52-$Z$4&lt;MAX(AK$4,VLOOKUP(AK$6, Table_ChiPhiNV_Ca[], COUNTA(Table_ChiPhiNV_Ca[[#Headers],[Ca]:[Bắt đầu]]),0)),0,
IF($AA52&gt;MIN(AK$5,VLOOKUP(AK$6, Table_ChiPhiNV_Ca[], COUNTA(Table_ChiPhiNV_Ca[[#Headers],[Ca]:[Kết thúc]]),0)),0,
SUM(_xlfn._xlws.FILTER(Table_BangLuong_TyLeTangCa[Tỷ lệ],
(Table_BangLuong_TyLeTangCa[Ngày] = "Thường") *
(Table_BangLuong_TyLeTangCa[Giờ min]&lt;=$AA52) *
(Table_BangLuong_TyLeTangCa[Giờ max]&gt;$AA52)
)))),
IF(AK$4 &gt; AK$5,
IF(
AND(
$AA52-$Z$4&lt;MAX(AK$4,VLOOKUP(AK$6, Table_ChiPhiNV_Ca[], COUNTA(Table_ChiPhiNV_Ca[[#Headers],[Ca]:[Bắt đầu]]),0)),
$AA52&gt;MIN(AK$5,VLOOKUP(AK$6, Table_ChiPhiNV_Ca[], COUNTA(Table_ChiPhiNV_Ca[[#Headers],[Ca]:[Kết thúc]]),0))),0,
SUM(_xlfn._xlws.FILTER(Table_BangLuong_TyLeTangCa[Tỷ lệ],
(Table_BangLuong_TyLeTangCa[Ngày] = "Thường") *
(Table_BangLuong_TyLeTangCa[Giờ min]&lt;=$AA52) *
(Table_BangLuong_TyLeTangCa[Giờ max]&gt;$AA52)
))),
IF(
AND(
$AA52-$Z$4&gt;=MAX(AK$4,VLOOKUP(AK$6, Table_ChiPhiNV_Ca[], COUNTA(Table_ChiPhiNV_Ca[[#Headers],[Ca]:[Bắt đầu]]),0)),
$AA52&lt;MIN(AK$5,VLOOKUP(AK$6, Table_ChiPhiNV_Ca[], COUNTA(Table_ChiPhiNV_Ca[[#Headers],[Ca]:[Kết thúc]]),0))),
SUM(_xlfn._xlws.FILTER(Table_BangLuong_TyLeTangCa[Tỷ lệ],
(Table_BangLuong_TyLeTangCa[Ngày] = "Thường") *
(Table_BangLuong_TyLeTangCa[Giờ min]&lt;=$AA52) *
(Table_BangLuong_TyLeTangCa[Giờ max]&gt;$AA52)
)),0)
)),
IF(AK$4 &lt; AK$5,
IF($AA52-$Z$4&lt;AK$4,0,
IF($AA52&gt;AK$5,0,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AK$5,$AA52 &lt; AK$4),0,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L52" s="18" cm="1">
        <f t="array" ref="AL52" xml:space="preserve">
IFERROR(
IF(AL$1="",0,
IF(AND(
$AA52&gt;=VLOOKUP(AL$6, Table_ChiPhiNV_Ca[], COUNTA(Table_ChiPhiNV_Ca[[#Headers],[Ca]:[Bắt đầu nghỉ]]),0),
$AA52&lt;VLOOKUP(AL$6, Table_ChiPhiNV_Ca[], COUNTA(Table_ChiPhiNV_Ca[[#Headers],[Ca]:[Kết thúc nghỉ]]),0)
),0,
IF(NOT(ISBLANK(AL$3)),
IF(ISBLANK(AL$7),0,
IF(AL$4 &lt; AL$5,
IF($AA52-$Z$4&lt;AL$4,0,
IF($AA52&gt;AL$5,0,
SUM(_xlfn._xlws.FILTER(Table_BangLuong_TyLeTangCa[Tỷ lệ],
(Table_BangLuong_TyLeTangCa[Ngày] = AL$3) *
(Table_BangLuong_TyLeTangCa[Giờ min]&lt;=$AA52) *
(Table_BangLuong_TyLeTangCa[Giờ max]&gt;$AA52)
)))),
IF(AND($AA52-$Z$4 &gt;= AL$5,$AA52 &lt; AL$4),0,
SUM(_xlfn._xlws.FILTER(Table_BangLuong_TyLeTangCa[Tỷ lệ],
(Table_BangLuong_TyLeTangCa[Ngày] = AL$3) *
(Table_BangLuong_TyLeTangCa[Giờ min]&lt;=$AA52) *
(Table_BangLuong_TyLeTangCa[Giờ max]&gt;$AA52)
))))
),
IF(ISBLANK(AL$7),
IF(VLOOKUP(AL$6, Table_ChiPhiNV_Ca[], COUNTA(Table_ChiPhiNV_Ca[[#Headers],[Ca]:[Kết thúc]]),0)&gt; VLOOKUP(AL$6, Table_ChiPhiNV_Ca[], COUNTA(Table_ChiPhiNV_Ca[[#Headers],[Ca]:[Bắt đầu]]),0),
IF($AA52-$Z$4&lt;MAX(AL$4,VLOOKUP(AL$6, Table_ChiPhiNV_Ca[], COUNTA(Table_ChiPhiNV_Ca[[#Headers],[Ca]:[Bắt đầu]]),0)),0,
IF($AA52&gt;MIN(AL$5,VLOOKUP(AL$6, Table_ChiPhiNV_Ca[], COUNTA(Table_ChiPhiNV_Ca[[#Headers],[Ca]:[Kết thúc]]),0)),0,
SUM(_xlfn._xlws.FILTER(Table_BangLuong_TyLeTangCa[Tỷ lệ],
(Table_BangLuong_TyLeTangCa[Ngày] = "Thường") *
(Table_BangLuong_TyLeTangCa[Giờ min]&lt;=$AA52) *
(Table_BangLuong_TyLeTangCa[Giờ max]&gt;$AA52)
)))),
IF(AL$4 &gt; AL$5,
IF(
AND(
$AA52-$Z$4&lt;MAX(AL$4,VLOOKUP(AL$6, Table_ChiPhiNV_Ca[], COUNTA(Table_ChiPhiNV_Ca[[#Headers],[Ca]:[Bắt đầu]]),0)),
$AA52&gt;MIN(AL$5,VLOOKUP(AL$6, Table_ChiPhiNV_Ca[], COUNTA(Table_ChiPhiNV_Ca[[#Headers],[Ca]:[Kết thúc]]),0))),0,
SUM(_xlfn._xlws.FILTER(Table_BangLuong_TyLeTangCa[Tỷ lệ],
(Table_BangLuong_TyLeTangCa[Ngày] = "Thường") *
(Table_BangLuong_TyLeTangCa[Giờ min]&lt;=$AA52) *
(Table_BangLuong_TyLeTangCa[Giờ max]&gt;$AA52)
))),
IF(
AND(
$AA52-$Z$4&gt;=MAX(AL$4,VLOOKUP(AL$6, Table_ChiPhiNV_Ca[], COUNTA(Table_ChiPhiNV_Ca[[#Headers],[Ca]:[Bắt đầu]]),0)),
$AA52&lt;MIN(AL$5,VLOOKUP(AL$6, Table_ChiPhiNV_Ca[], COUNTA(Table_ChiPhiNV_Ca[[#Headers],[Ca]:[Kết thúc]]),0))),
SUM(_xlfn._xlws.FILTER(Table_BangLuong_TyLeTangCa[Tỷ lệ],
(Table_BangLuong_TyLeTangCa[Ngày] = "Thường") *
(Table_BangLuong_TyLeTangCa[Giờ min]&lt;=$AA52) *
(Table_BangLuong_TyLeTangCa[Giờ max]&gt;$AA52)
)),0)
)),
IF(AL$4 &lt; AL$5,
IF($AA52-$Z$4&lt;AL$4,0,
IF($AA52&gt;AL$5,0,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AL$5,$AA52 &lt; AL$4),0,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M52" s="18" cm="1">
        <f t="array" ref="AM52" xml:space="preserve">
IFERROR(
IF(AM$1="",0,
IF(AND(
$AA52&gt;=VLOOKUP(AM$6, Table_ChiPhiNV_Ca[], COUNTA(Table_ChiPhiNV_Ca[[#Headers],[Ca]:[Bắt đầu nghỉ]]),0),
$AA52&lt;VLOOKUP(AM$6, Table_ChiPhiNV_Ca[], COUNTA(Table_ChiPhiNV_Ca[[#Headers],[Ca]:[Kết thúc nghỉ]]),0)
),0,
IF(NOT(ISBLANK(AM$3)),
IF(ISBLANK(AM$7),0,
IF(AM$4 &lt; AM$5,
IF($AA52-$Z$4&lt;AM$4,0,
IF($AA52&gt;AM$5,0,
SUM(_xlfn._xlws.FILTER(Table_BangLuong_TyLeTangCa[Tỷ lệ],
(Table_BangLuong_TyLeTangCa[Ngày] = AM$3) *
(Table_BangLuong_TyLeTangCa[Giờ min]&lt;=$AA52) *
(Table_BangLuong_TyLeTangCa[Giờ max]&gt;$AA52)
)))),
IF(AND($AA52-$Z$4 &gt;= AM$5,$AA52 &lt; AM$4),0,
SUM(_xlfn._xlws.FILTER(Table_BangLuong_TyLeTangCa[Tỷ lệ],
(Table_BangLuong_TyLeTangCa[Ngày] = AM$3) *
(Table_BangLuong_TyLeTangCa[Giờ min]&lt;=$AA52) *
(Table_BangLuong_TyLeTangCa[Giờ max]&gt;$AA52)
))))
),
IF(ISBLANK(AM$7),
IF(VLOOKUP(AM$6, Table_ChiPhiNV_Ca[], COUNTA(Table_ChiPhiNV_Ca[[#Headers],[Ca]:[Kết thúc]]),0)&gt; VLOOKUP(AM$6, Table_ChiPhiNV_Ca[], COUNTA(Table_ChiPhiNV_Ca[[#Headers],[Ca]:[Bắt đầu]]),0),
IF($AA52-$Z$4&lt;MAX(AM$4,VLOOKUP(AM$6, Table_ChiPhiNV_Ca[], COUNTA(Table_ChiPhiNV_Ca[[#Headers],[Ca]:[Bắt đầu]]),0)),0,
IF($AA52&gt;MIN(AM$5,VLOOKUP(AM$6, Table_ChiPhiNV_Ca[], COUNTA(Table_ChiPhiNV_Ca[[#Headers],[Ca]:[Kết thúc]]),0)),0,
SUM(_xlfn._xlws.FILTER(Table_BangLuong_TyLeTangCa[Tỷ lệ],
(Table_BangLuong_TyLeTangCa[Ngày] = "Thường") *
(Table_BangLuong_TyLeTangCa[Giờ min]&lt;=$AA52) *
(Table_BangLuong_TyLeTangCa[Giờ max]&gt;$AA52)
)))),
IF(AM$4 &gt; AM$5,
IF(
AND(
$AA52-$Z$4&lt;MAX(AM$4,VLOOKUP(AM$6, Table_ChiPhiNV_Ca[], COUNTA(Table_ChiPhiNV_Ca[[#Headers],[Ca]:[Bắt đầu]]),0)),
$AA52&gt;MIN(AM$5,VLOOKUP(AM$6, Table_ChiPhiNV_Ca[], COUNTA(Table_ChiPhiNV_Ca[[#Headers],[Ca]:[Kết thúc]]),0))),0,
SUM(_xlfn._xlws.FILTER(Table_BangLuong_TyLeTangCa[Tỷ lệ],
(Table_BangLuong_TyLeTangCa[Ngày] = "Thường") *
(Table_BangLuong_TyLeTangCa[Giờ min]&lt;=$AA52) *
(Table_BangLuong_TyLeTangCa[Giờ max]&gt;$AA52)
))),
IF(
AND(
$AA52-$Z$4&gt;=MAX(AM$4,VLOOKUP(AM$6, Table_ChiPhiNV_Ca[], COUNTA(Table_ChiPhiNV_Ca[[#Headers],[Ca]:[Bắt đầu]]),0)),
$AA52&lt;MIN(AM$5,VLOOKUP(AM$6, Table_ChiPhiNV_Ca[], COUNTA(Table_ChiPhiNV_Ca[[#Headers],[Ca]:[Kết thúc]]),0))),
SUM(_xlfn._xlws.FILTER(Table_BangLuong_TyLeTangCa[Tỷ lệ],
(Table_BangLuong_TyLeTangCa[Ngày] = "Thường") *
(Table_BangLuong_TyLeTangCa[Giờ min]&lt;=$AA52) *
(Table_BangLuong_TyLeTangCa[Giờ max]&gt;$AA52)
)),0)
)),
IF(AM$4 &lt; AM$5,
IF($AA52-$Z$4&lt;AM$4,0,
IF($AA52&gt;AM$5,0,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AM$5,$AA52 &lt; AM$4),0,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N52" s="18" cm="1">
        <f t="array" ref="AN52" xml:space="preserve">
IFERROR(
IF(AN$1="",0,
IF(AND(
$AA52&gt;=VLOOKUP(AN$6, Table_ChiPhiNV_Ca[], COUNTA(Table_ChiPhiNV_Ca[[#Headers],[Ca]:[Bắt đầu nghỉ]]),0),
$AA52&lt;VLOOKUP(AN$6, Table_ChiPhiNV_Ca[], COUNTA(Table_ChiPhiNV_Ca[[#Headers],[Ca]:[Kết thúc nghỉ]]),0)
),0,
IF(NOT(ISBLANK(AN$3)),
IF(ISBLANK(AN$7),0,
IF(AN$4 &lt; AN$5,
IF($AA52-$Z$4&lt;AN$4,0,
IF($AA52&gt;AN$5,0,
SUM(_xlfn._xlws.FILTER(Table_BangLuong_TyLeTangCa[Tỷ lệ],
(Table_BangLuong_TyLeTangCa[Ngày] = AN$3) *
(Table_BangLuong_TyLeTangCa[Giờ min]&lt;=$AA52) *
(Table_BangLuong_TyLeTangCa[Giờ max]&gt;$AA52)
)))),
IF(AND($AA52-$Z$4 &gt;= AN$5,$AA52 &lt; AN$4),0,
SUM(_xlfn._xlws.FILTER(Table_BangLuong_TyLeTangCa[Tỷ lệ],
(Table_BangLuong_TyLeTangCa[Ngày] = AN$3) *
(Table_BangLuong_TyLeTangCa[Giờ min]&lt;=$AA52) *
(Table_BangLuong_TyLeTangCa[Giờ max]&gt;$AA52)
))))
),
IF(ISBLANK(AN$7),
IF(VLOOKUP(AN$6, Table_ChiPhiNV_Ca[], COUNTA(Table_ChiPhiNV_Ca[[#Headers],[Ca]:[Kết thúc]]),0)&gt; VLOOKUP(AN$6, Table_ChiPhiNV_Ca[], COUNTA(Table_ChiPhiNV_Ca[[#Headers],[Ca]:[Bắt đầu]]),0),
IF($AA52-$Z$4&lt;MAX(AN$4,VLOOKUP(AN$6, Table_ChiPhiNV_Ca[], COUNTA(Table_ChiPhiNV_Ca[[#Headers],[Ca]:[Bắt đầu]]),0)),0,
IF($AA52&gt;MIN(AN$5,VLOOKUP(AN$6, Table_ChiPhiNV_Ca[], COUNTA(Table_ChiPhiNV_Ca[[#Headers],[Ca]:[Kết thúc]]),0)),0,
SUM(_xlfn._xlws.FILTER(Table_BangLuong_TyLeTangCa[Tỷ lệ],
(Table_BangLuong_TyLeTangCa[Ngày] = "Thường") *
(Table_BangLuong_TyLeTangCa[Giờ min]&lt;=$AA52) *
(Table_BangLuong_TyLeTangCa[Giờ max]&gt;$AA52)
)))),
IF(AN$4 &gt; AN$5,
IF(
AND(
$AA52-$Z$4&lt;MAX(AN$4,VLOOKUP(AN$6, Table_ChiPhiNV_Ca[], COUNTA(Table_ChiPhiNV_Ca[[#Headers],[Ca]:[Bắt đầu]]),0)),
$AA52&gt;MIN(AN$5,VLOOKUP(AN$6, Table_ChiPhiNV_Ca[], COUNTA(Table_ChiPhiNV_Ca[[#Headers],[Ca]:[Kết thúc]]),0))),0,
SUM(_xlfn._xlws.FILTER(Table_BangLuong_TyLeTangCa[Tỷ lệ],
(Table_BangLuong_TyLeTangCa[Ngày] = "Thường") *
(Table_BangLuong_TyLeTangCa[Giờ min]&lt;=$AA52) *
(Table_BangLuong_TyLeTangCa[Giờ max]&gt;$AA52)
))),
IF(
AND(
$AA52-$Z$4&gt;=MAX(AN$4,VLOOKUP(AN$6, Table_ChiPhiNV_Ca[], COUNTA(Table_ChiPhiNV_Ca[[#Headers],[Ca]:[Bắt đầu]]),0)),
$AA52&lt;MIN(AN$5,VLOOKUP(AN$6, Table_ChiPhiNV_Ca[], COUNTA(Table_ChiPhiNV_Ca[[#Headers],[Ca]:[Kết thúc]]),0))),
SUM(_xlfn._xlws.FILTER(Table_BangLuong_TyLeTangCa[Tỷ lệ],
(Table_BangLuong_TyLeTangCa[Ngày] = "Thường") *
(Table_BangLuong_TyLeTangCa[Giờ min]&lt;=$AA52) *
(Table_BangLuong_TyLeTangCa[Giờ max]&gt;$AA52)
)),0)
)),
IF(AN$4 &lt; AN$5,
IF($AA52-$Z$4&lt;AN$4,0,
IF($AA52&gt;AN$5,0,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AN$5,$AA52 &lt; AN$4),0,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O52" s="18" cm="1">
        <f t="array" ref="AO52" xml:space="preserve">
IFERROR(
IF(AO$1="",0,
IF(AND(
$AA52&gt;=VLOOKUP(AO$6, Table_ChiPhiNV_Ca[], COUNTA(Table_ChiPhiNV_Ca[[#Headers],[Ca]:[Bắt đầu nghỉ]]),0),
$AA52&lt;VLOOKUP(AO$6, Table_ChiPhiNV_Ca[], COUNTA(Table_ChiPhiNV_Ca[[#Headers],[Ca]:[Kết thúc nghỉ]]),0)
),0,
IF(NOT(ISBLANK(AO$3)),
IF(ISBLANK(AO$7),0,
IF(AO$4 &lt; AO$5,
IF($AA52-$Z$4&lt;AO$4,0,
IF($AA52&gt;AO$5,0,
SUM(_xlfn._xlws.FILTER(Table_BangLuong_TyLeTangCa[Tỷ lệ],
(Table_BangLuong_TyLeTangCa[Ngày] = AO$3) *
(Table_BangLuong_TyLeTangCa[Giờ min]&lt;=$AA52) *
(Table_BangLuong_TyLeTangCa[Giờ max]&gt;$AA52)
)))),
IF(AND($AA52-$Z$4 &gt;= AO$5,$AA52 &lt; AO$4),0,
SUM(_xlfn._xlws.FILTER(Table_BangLuong_TyLeTangCa[Tỷ lệ],
(Table_BangLuong_TyLeTangCa[Ngày] = AO$3) *
(Table_BangLuong_TyLeTangCa[Giờ min]&lt;=$AA52) *
(Table_BangLuong_TyLeTangCa[Giờ max]&gt;$AA52)
))))
),
IF(ISBLANK(AO$7),
IF(VLOOKUP(AO$6, Table_ChiPhiNV_Ca[], COUNTA(Table_ChiPhiNV_Ca[[#Headers],[Ca]:[Kết thúc]]),0)&gt; VLOOKUP(AO$6, Table_ChiPhiNV_Ca[], COUNTA(Table_ChiPhiNV_Ca[[#Headers],[Ca]:[Bắt đầu]]),0),
IF($AA52-$Z$4&lt;MAX(AO$4,VLOOKUP(AO$6, Table_ChiPhiNV_Ca[], COUNTA(Table_ChiPhiNV_Ca[[#Headers],[Ca]:[Bắt đầu]]),0)),0,
IF($AA52&gt;MIN(AO$5,VLOOKUP(AO$6, Table_ChiPhiNV_Ca[], COUNTA(Table_ChiPhiNV_Ca[[#Headers],[Ca]:[Kết thúc]]),0)),0,
SUM(_xlfn._xlws.FILTER(Table_BangLuong_TyLeTangCa[Tỷ lệ],
(Table_BangLuong_TyLeTangCa[Ngày] = "Thường") *
(Table_BangLuong_TyLeTangCa[Giờ min]&lt;=$AA52) *
(Table_BangLuong_TyLeTangCa[Giờ max]&gt;$AA52)
)))),
IF(AO$4 &gt; AO$5,
IF(
AND(
$AA52-$Z$4&lt;MAX(AO$4,VLOOKUP(AO$6, Table_ChiPhiNV_Ca[], COUNTA(Table_ChiPhiNV_Ca[[#Headers],[Ca]:[Bắt đầu]]),0)),
$AA52&gt;MIN(AO$5,VLOOKUP(AO$6, Table_ChiPhiNV_Ca[], COUNTA(Table_ChiPhiNV_Ca[[#Headers],[Ca]:[Kết thúc]]),0))),0,
SUM(_xlfn._xlws.FILTER(Table_BangLuong_TyLeTangCa[Tỷ lệ],
(Table_BangLuong_TyLeTangCa[Ngày] = "Thường") *
(Table_BangLuong_TyLeTangCa[Giờ min]&lt;=$AA52) *
(Table_BangLuong_TyLeTangCa[Giờ max]&gt;$AA52)
))),
IF(
AND(
$AA52-$Z$4&gt;=MAX(AO$4,VLOOKUP(AO$6, Table_ChiPhiNV_Ca[], COUNTA(Table_ChiPhiNV_Ca[[#Headers],[Ca]:[Bắt đầu]]),0)),
$AA52&lt;MIN(AO$5,VLOOKUP(AO$6, Table_ChiPhiNV_Ca[], COUNTA(Table_ChiPhiNV_Ca[[#Headers],[Ca]:[Kết thúc]]),0))),
SUM(_xlfn._xlws.FILTER(Table_BangLuong_TyLeTangCa[Tỷ lệ],
(Table_BangLuong_TyLeTangCa[Ngày] = "Thường") *
(Table_BangLuong_TyLeTangCa[Giờ min]&lt;=$AA52) *
(Table_BangLuong_TyLeTangCa[Giờ max]&gt;$AA52)
)),0)
)),
IF(AO$4 &lt; AO$5,
IF($AA52-$Z$4&lt;AO$4,0,
IF($AA52&gt;AO$5,0,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AO$5,$AA52 &lt; AO$4),0,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P52" s="18" cm="1">
        <f t="array" ref="AP52" xml:space="preserve">
IFERROR(
IF(AP$1="",0,
IF(AND(
$AA52&gt;=VLOOKUP(AP$6, Table_ChiPhiNV_Ca[], COUNTA(Table_ChiPhiNV_Ca[[#Headers],[Ca]:[Bắt đầu nghỉ]]),0),
$AA52&lt;VLOOKUP(AP$6, Table_ChiPhiNV_Ca[], COUNTA(Table_ChiPhiNV_Ca[[#Headers],[Ca]:[Kết thúc nghỉ]]),0)
),0,
IF(NOT(ISBLANK(AP$3)),
IF(ISBLANK(AP$7),0,
IF(AP$4 &lt; AP$5,
IF($AA52-$Z$4&lt;AP$4,0,
IF($AA52&gt;AP$5,0,
SUM(_xlfn._xlws.FILTER(Table_BangLuong_TyLeTangCa[Tỷ lệ],
(Table_BangLuong_TyLeTangCa[Ngày] = AP$3) *
(Table_BangLuong_TyLeTangCa[Giờ min]&lt;=$AA52) *
(Table_BangLuong_TyLeTangCa[Giờ max]&gt;$AA52)
)))),
IF(AND($AA52-$Z$4 &gt;= AP$5,$AA52 &lt; AP$4),0,
SUM(_xlfn._xlws.FILTER(Table_BangLuong_TyLeTangCa[Tỷ lệ],
(Table_BangLuong_TyLeTangCa[Ngày] = AP$3) *
(Table_BangLuong_TyLeTangCa[Giờ min]&lt;=$AA52) *
(Table_BangLuong_TyLeTangCa[Giờ max]&gt;$AA52)
))))
),
IF(ISBLANK(AP$7),
IF(VLOOKUP(AP$6, Table_ChiPhiNV_Ca[], COUNTA(Table_ChiPhiNV_Ca[[#Headers],[Ca]:[Kết thúc]]),0)&gt; VLOOKUP(AP$6, Table_ChiPhiNV_Ca[], COUNTA(Table_ChiPhiNV_Ca[[#Headers],[Ca]:[Bắt đầu]]),0),
IF($AA52-$Z$4&lt;MAX(AP$4,VLOOKUP(AP$6, Table_ChiPhiNV_Ca[], COUNTA(Table_ChiPhiNV_Ca[[#Headers],[Ca]:[Bắt đầu]]),0)),0,
IF($AA52&gt;MIN(AP$5,VLOOKUP(AP$6, Table_ChiPhiNV_Ca[], COUNTA(Table_ChiPhiNV_Ca[[#Headers],[Ca]:[Kết thúc]]),0)),0,
SUM(_xlfn._xlws.FILTER(Table_BangLuong_TyLeTangCa[Tỷ lệ],
(Table_BangLuong_TyLeTangCa[Ngày] = "Thường") *
(Table_BangLuong_TyLeTangCa[Giờ min]&lt;=$AA52) *
(Table_BangLuong_TyLeTangCa[Giờ max]&gt;$AA52)
)))),
IF(AP$4 &gt; AP$5,
IF(
AND(
$AA52-$Z$4&lt;MAX(AP$4,VLOOKUP(AP$6, Table_ChiPhiNV_Ca[], COUNTA(Table_ChiPhiNV_Ca[[#Headers],[Ca]:[Bắt đầu]]),0)),
$AA52&gt;MIN(AP$5,VLOOKUP(AP$6, Table_ChiPhiNV_Ca[], COUNTA(Table_ChiPhiNV_Ca[[#Headers],[Ca]:[Kết thúc]]),0))),0,
SUM(_xlfn._xlws.FILTER(Table_BangLuong_TyLeTangCa[Tỷ lệ],
(Table_BangLuong_TyLeTangCa[Ngày] = "Thường") *
(Table_BangLuong_TyLeTangCa[Giờ min]&lt;=$AA52) *
(Table_BangLuong_TyLeTangCa[Giờ max]&gt;$AA52)
))),
IF(
AND(
$AA52-$Z$4&gt;=MAX(AP$4,VLOOKUP(AP$6, Table_ChiPhiNV_Ca[], COUNTA(Table_ChiPhiNV_Ca[[#Headers],[Ca]:[Bắt đầu]]),0)),
$AA52&lt;MIN(AP$5,VLOOKUP(AP$6, Table_ChiPhiNV_Ca[], COUNTA(Table_ChiPhiNV_Ca[[#Headers],[Ca]:[Kết thúc]]),0))),
SUM(_xlfn._xlws.FILTER(Table_BangLuong_TyLeTangCa[Tỷ lệ],
(Table_BangLuong_TyLeTangCa[Ngày] = "Thường") *
(Table_BangLuong_TyLeTangCa[Giờ min]&lt;=$AA52) *
(Table_BangLuong_TyLeTangCa[Giờ max]&gt;$AA52)
)),0)
)),
IF(AP$4 &lt; AP$5,
IF($AA52-$Z$4&lt;AP$4,0,
IF($AA52&gt;AP$5,0,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AP$5,$AA52 &lt; AP$4),0,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Q52" s="18" cm="1">
        <f t="array" ref="AQ52" xml:space="preserve">
IFERROR(
IF(AQ$1="",0,
IF(AND(
$AA52&gt;=VLOOKUP(AQ$6, Table_ChiPhiNV_Ca[], COUNTA(Table_ChiPhiNV_Ca[[#Headers],[Ca]:[Bắt đầu nghỉ]]),0),
$AA52&lt;VLOOKUP(AQ$6, Table_ChiPhiNV_Ca[], COUNTA(Table_ChiPhiNV_Ca[[#Headers],[Ca]:[Kết thúc nghỉ]]),0)
),0,
IF(NOT(ISBLANK(AQ$3)),
IF(ISBLANK(AQ$7),0,
IF(AQ$4 &lt; AQ$5,
IF($AA52-$Z$4&lt;AQ$4,0,
IF($AA52&gt;AQ$5,0,
SUM(_xlfn._xlws.FILTER(Table_BangLuong_TyLeTangCa[Tỷ lệ],
(Table_BangLuong_TyLeTangCa[Ngày] = AQ$3) *
(Table_BangLuong_TyLeTangCa[Giờ min]&lt;=$AA52) *
(Table_BangLuong_TyLeTangCa[Giờ max]&gt;$AA52)
)))),
IF(AND($AA52-$Z$4 &gt;= AQ$5,$AA52 &lt; AQ$4),0,
SUM(_xlfn._xlws.FILTER(Table_BangLuong_TyLeTangCa[Tỷ lệ],
(Table_BangLuong_TyLeTangCa[Ngày] = AQ$3) *
(Table_BangLuong_TyLeTangCa[Giờ min]&lt;=$AA52) *
(Table_BangLuong_TyLeTangCa[Giờ max]&gt;$AA52)
))))
),
IF(ISBLANK(AQ$7),
IF(VLOOKUP(AQ$6, Table_ChiPhiNV_Ca[], COUNTA(Table_ChiPhiNV_Ca[[#Headers],[Ca]:[Kết thúc]]),0)&gt; VLOOKUP(AQ$6, Table_ChiPhiNV_Ca[], COUNTA(Table_ChiPhiNV_Ca[[#Headers],[Ca]:[Bắt đầu]]),0),
IF($AA52-$Z$4&lt;MAX(AQ$4,VLOOKUP(AQ$6, Table_ChiPhiNV_Ca[], COUNTA(Table_ChiPhiNV_Ca[[#Headers],[Ca]:[Bắt đầu]]),0)),0,
IF($AA52&gt;MIN(AQ$5,VLOOKUP(AQ$6, Table_ChiPhiNV_Ca[], COUNTA(Table_ChiPhiNV_Ca[[#Headers],[Ca]:[Kết thúc]]),0)),0,
SUM(_xlfn._xlws.FILTER(Table_BangLuong_TyLeTangCa[Tỷ lệ],
(Table_BangLuong_TyLeTangCa[Ngày] = "Thường") *
(Table_BangLuong_TyLeTangCa[Giờ min]&lt;=$AA52) *
(Table_BangLuong_TyLeTangCa[Giờ max]&gt;$AA52)
)))),
IF(AQ$4 &gt; AQ$5,
IF(
AND(
$AA52-$Z$4&lt;MAX(AQ$4,VLOOKUP(AQ$6, Table_ChiPhiNV_Ca[], COUNTA(Table_ChiPhiNV_Ca[[#Headers],[Ca]:[Bắt đầu]]),0)),
$AA52&gt;MIN(AQ$5,VLOOKUP(AQ$6, Table_ChiPhiNV_Ca[], COUNTA(Table_ChiPhiNV_Ca[[#Headers],[Ca]:[Kết thúc]]),0))),0,
SUM(_xlfn._xlws.FILTER(Table_BangLuong_TyLeTangCa[Tỷ lệ],
(Table_BangLuong_TyLeTangCa[Ngày] = "Thường") *
(Table_BangLuong_TyLeTangCa[Giờ min]&lt;=$AA52) *
(Table_BangLuong_TyLeTangCa[Giờ max]&gt;$AA52)
))),
IF(
AND(
$AA52-$Z$4&gt;=MAX(AQ$4,VLOOKUP(AQ$6, Table_ChiPhiNV_Ca[], COUNTA(Table_ChiPhiNV_Ca[[#Headers],[Ca]:[Bắt đầu]]),0)),
$AA52&lt;MIN(AQ$5,VLOOKUP(AQ$6, Table_ChiPhiNV_Ca[], COUNTA(Table_ChiPhiNV_Ca[[#Headers],[Ca]:[Kết thúc]]),0))),
SUM(_xlfn._xlws.FILTER(Table_BangLuong_TyLeTangCa[Tỷ lệ],
(Table_BangLuong_TyLeTangCa[Ngày] = "Thường") *
(Table_BangLuong_TyLeTangCa[Giờ min]&lt;=$AA52) *
(Table_BangLuong_TyLeTangCa[Giờ max]&gt;$AA52)
)),0)
)),
IF(AQ$4 &lt; AQ$5,
IF($AA52-$Z$4&lt;AQ$4,0,
IF($AA52&gt;AQ$5,0,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AQ$5,$AA52 &lt; AQ$4),0,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R52" s="18" cm="1">
        <f t="array" ref="AR52" xml:space="preserve">
IFERROR(
IF(AR$1="",0,
IF(AND(
$AA52&gt;=VLOOKUP(AR$6, Table_ChiPhiNV_Ca[], COUNTA(Table_ChiPhiNV_Ca[[#Headers],[Ca]:[Bắt đầu nghỉ]]),0),
$AA52&lt;VLOOKUP(AR$6, Table_ChiPhiNV_Ca[], COUNTA(Table_ChiPhiNV_Ca[[#Headers],[Ca]:[Kết thúc nghỉ]]),0)
),0,
IF(NOT(ISBLANK(AR$3)),
IF(ISBLANK(AR$7),0,
IF(AR$4 &lt; AR$5,
IF($AA52-$Z$4&lt;AR$4,0,
IF($AA52&gt;AR$5,0,
SUM(_xlfn._xlws.FILTER(Table_BangLuong_TyLeTangCa[Tỷ lệ],
(Table_BangLuong_TyLeTangCa[Ngày] = AR$3) *
(Table_BangLuong_TyLeTangCa[Giờ min]&lt;=$AA52) *
(Table_BangLuong_TyLeTangCa[Giờ max]&gt;$AA52)
)))),
IF(AND($AA52-$Z$4 &gt;= AR$5,$AA52 &lt; AR$4),0,
SUM(_xlfn._xlws.FILTER(Table_BangLuong_TyLeTangCa[Tỷ lệ],
(Table_BangLuong_TyLeTangCa[Ngày] = AR$3) *
(Table_BangLuong_TyLeTangCa[Giờ min]&lt;=$AA52) *
(Table_BangLuong_TyLeTangCa[Giờ max]&gt;$AA52)
))))
),
IF(ISBLANK(AR$7),
IF(VLOOKUP(AR$6, Table_ChiPhiNV_Ca[], COUNTA(Table_ChiPhiNV_Ca[[#Headers],[Ca]:[Kết thúc]]),0)&gt; VLOOKUP(AR$6, Table_ChiPhiNV_Ca[], COUNTA(Table_ChiPhiNV_Ca[[#Headers],[Ca]:[Bắt đầu]]),0),
IF($AA52-$Z$4&lt;MAX(AR$4,VLOOKUP(AR$6, Table_ChiPhiNV_Ca[], COUNTA(Table_ChiPhiNV_Ca[[#Headers],[Ca]:[Bắt đầu]]),0)),0,
IF($AA52&gt;MIN(AR$5,VLOOKUP(AR$6, Table_ChiPhiNV_Ca[], COUNTA(Table_ChiPhiNV_Ca[[#Headers],[Ca]:[Kết thúc]]),0)),0,
SUM(_xlfn._xlws.FILTER(Table_BangLuong_TyLeTangCa[Tỷ lệ],
(Table_BangLuong_TyLeTangCa[Ngày] = "Thường") *
(Table_BangLuong_TyLeTangCa[Giờ min]&lt;=$AA52) *
(Table_BangLuong_TyLeTangCa[Giờ max]&gt;$AA52)
)))),
IF(AR$4 &gt; AR$5,
IF(
AND(
$AA52-$Z$4&lt;MAX(AR$4,VLOOKUP(AR$6, Table_ChiPhiNV_Ca[], COUNTA(Table_ChiPhiNV_Ca[[#Headers],[Ca]:[Bắt đầu]]),0)),
$AA52&gt;MIN(AR$5,VLOOKUP(AR$6, Table_ChiPhiNV_Ca[], COUNTA(Table_ChiPhiNV_Ca[[#Headers],[Ca]:[Kết thúc]]),0))),0,
SUM(_xlfn._xlws.FILTER(Table_BangLuong_TyLeTangCa[Tỷ lệ],
(Table_BangLuong_TyLeTangCa[Ngày] = "Thường") *
(Table_BangLuong_TyLeTangCa[Giờ min]&lt;=$AA52) *
(Table_BangLuong_TyLeTangCa[Giờ max]&gt;$AA52)
))),
IF(
AND(
$AA52-$Z$4&gt;=MAX(AR$4,VLOOKUP(AR$6, Table_ChiPhiNV_Ca[], COUNTA(Table_ChiPhiNV_Ca[[#Headers],[Ca]:[Bắt đầu]]),0)),
$AA52&lt;MIN(AR$5,VLOOKUP(AR$6, Table_ChiPhiNV_Ca[], COUNTA(Table_ChiPhiNV_Ca[[#Headers],[Ca]:[Kết thúc]]),0))),
SUM(_xlfn._xlws.FILTER(Table_BangLuong_TyLeTangCa[Tỷ lệ],
(Table_BangLuong_TyLeTangCa[Ngày] = "Thường") *
(Table_BangLuong_TyLeTangCa[Giờ min]&lt;=$AA52) *
(Table_BangLuong_TyLeTangCa[Giờ max]&gt;$AA52)
)),0)
)),
IF(AR$4 &lt; AR$5,
IF($AA52-$Z$4&lt;AR$4,0,
IF($AA52&gt;AR$5,0,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AR$5,$AA52 &lt; AR$4),0,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S52" s="18" cm="1">
        <f t="array" ref="AS52" xml:space="preserve">
IFERROR(
IF(AS$1="",0,
IF(AND(
$AA52&gt;=VLOOKUP(AS$6, Table_ChiPhiNV_Ca[], COUNTA(Table_ChiPhiNV_Ca[[#Headers],[Ca]:[Bắt đầu nghỉ]]),0),
$AA52&lt;VLOOKUP(AS$6, Table_ChiPhiNV_Ca[], COUNTA(Table_ChiPhiNV_Ca[[#Headers],[Ca]:[Kết thúc nghỉ]]),0)
),0,
IF(NOT(ISBLANK(AS$3)),
IF(ISBLANK(AS$7),0,
IF(AS$4 &lt; AS$5,
IF($AA52-$Z$4&lt;AS$4,0,
IF($AA52&gt;AS$5,0,
SUM(_xlfn._xlws.FILTER(Table_BangLuong_TyLeTangCa[Tỷ lệ],
(Table_BangLuong_TyLeTangCa[Ngày] = AS$3) *
(Table_BangLuong_TyLeTangCa[Giờ min]&lt;=$AA52) *
(Table_BangLuong_TyLeTangCa[Giờ max]&gt;$AA52)
)))),
IF(AND($AA52-$Z$4 &gt;= AS$5,$AA52 &lt; AS$4),0,
SUM(_xlfn._xlws.FILTER(Table_BangLuong_TyLeTangCa[Tỷ lệ],
(Table_BangLuong_TyLeTangCa[Ngày] = AS$3) *
(Table_BangLuong_TyLeTangCa[Giờ min]&lt;=$AA52) *
(Table_BangLuong_TyLeTangCa[Giờ max]&gt;$AA52)
))))
),
IF(ISBLANK(AS$7),
IF(VLOOKUP(AS$6, Table_ChiPhiNV_Ca[], COUNTA(Table_ChiPhiNV_Ca[[#Headers],[Ca]:[Kết thúc]]),0)&gt; VLOOKUP(AS$6, Table_ChiPhiNV_Ca[], COUNTA(Table_ChiPhiNV_Ca[[#Headers],[Ca]:[Bắt đầu]]),0),
IF($AA52-$Z$4&lt;MAX(AS$4,VLOOKUP(AS$6, Table_ChiPhiNV_Ca[], COUNTA(Table_ChiPhiNV_Ca[[#Headers],[Ca]:[Bắt đầu]]),0)),0,
IF($AA52&gt;MIN(AS$5,VLOOKUP(AS$6, Table_ChiPhiNV_Ca[], COUNTA(Table_ChiPhiNV_Ca[[#Headers],[Ca]:[Kết thúc]]),0)),0,
SUM(_xlfn._xlws.FILTER(Table_BangLuong_TyLeTangCa[Tỷ lệ],
(Table_BangLuong_TyLeTangCa[Ngày] = "Thường") *
(Table_BangLuong_TyLeTangCa[Giờ min]&lt;=$AA52) *
(Table_BangLuong_TyLeTangCa[Giờ max]&gt;$AA52)
)))),
IF(AS$4 &gt; AS$5,
IF(
AND(
$AA52-$Z$4&lt;MAX(AS$4,VLOOKUP(AS$6, Table_ChiPhiNV_Ca[], COUNTA(Table_ChiPhiNV_Ca[[#Headers],[Ca]:[Bắt đầu]]),0)),
$AA52&gt;MIN(AS$5,VLOOKUP(AS$6, Table_ChiPhiNV_Ca[], COUNTA(Table_ChiPhiNV_Ca[[#Headers],[Ca]:[Kết thúc]]),0))),0,
SUM(_xlfn._xlws.FILTER(Table_BangLuong_TyLeTangCa[Tỷ lệ],
(Table_BangLuong_TyLeTangCa[Ngày] = "Thường") *
(Table_BangLuong_TyLeTangCa[Giờ min]&lt;=$AA52) *
(Table_BangLuong_TyLeTangCa[Giờ max]&gt;$AA52)
))),
IF(
AND(
$AA52-$Z$4&gt;=MAX(AS$4,VLOOKUP(AS$6, Table_ChiPhiNV_Ca[], COUNTA(Table_ChiPhiNV_Ca[[#Headers],[Ca]:[Bắt đầu]]),0)),
$AA52&lt;MIN(AS$5,VLOOKUP(AS$6, Table_ChiPhiNV_Ca[], COUNTA(Table_ChiPhiNV_Ca[[#Headers],[Ca]:[Kết thúc]]),0))),
SUM(_xlfn._xlws.FILTER(Table_BangLuong_TyLeTangCa[Tỷ lệ],
(Table_BangLuong_TyLeTangCa[Ngày] = "Thường") *
(Table_BangLuong_TyLeTangCa[Giờ min]&lt;=$AA52) *
(Table_BangLuong_TyLeTangCa[Giờ max]&gt;$AA52)
)),0)
)),
IF(AS$4 &lt; AS$5,
IF($AA52-$Z$4&lt;AS$4,0,
IF($AA52&gt;AS$5,0,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AS$5,$AA52 &lt; AS$4),0,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T52" s="18" cm="1">
        <f t="array" ref="AT52" xml:space="preserve">
IFERROR(
IF(AT$1="",0,
IF(AND(
$AA52&gt;=VLOOKUP(AT$6, Table_ChiPhiNV_Ca[], COUNTA(Table_ChiPhiNV_Ca[[#Headers],[Ca]:[Bắt đầu nghỉ]]),0),
$AA52&lt;VLOOKUP(AT$6, Table_ChiPhiNV_Ca[], COUNTA(Table_ChiPhiNV_Ca[[#Headers],[Ca]:[Kết thúc nghỉ]]),0)
),0,
IF(NOT(ISBLANK(AT$3)),
IF(ISBLANK(AT$7),0,
IF(AT$4 &lt; AT$5,
IF($AA52-$Z$4&lt;AT$4,0,
IF($AA52&gt;AT$5,0,
SUM(_xlfn._xlws.FILTER(Table_BangLuong_TyLeTangCa[Tỷ lệ],
(Table_BangLuong_TyLeTangCa[Ngày] = AT$3) *
(Table_BangLuong_TyLeTangCa[Giờ min]&lt;=$AA52) *
(Table_BangLuong_TyLeTangCa[Giờ max]&gt;$AA52)
)))),
IF(AND($AA52-$Z$4 &gt;= AT$5,$AA52 &lt; AT$4),0,
SUM(_xlfn._xlws.FILTER(Table_BangLuong_TyLeTangCa[Tỷ lệ],
(Table_BangLuong_TyLeTangCa[Ngày] = AT$3) *
(Table_BangLuong_TyLeTangCa[Giờ min]&lt;=$AA52) *
(Table_BangLuong_TyLeTangCa[Giờ max]&gt;$AA52)
))))
),
IF(ISBLANK(AT$7),
IF(VLOOKUP(AT$6, Table_ChiPhiNV_Ca[], COUNTA(Table_ChiPhiNV_Ca[[#Headers],[Ca]:[Kết thúc]]),0)&gt; VLOOKUP(AT$6, Table_ChiPhiNV_Ca[], COUNTA(Table_ChiPhiNV_Ca[[#Headers],[Ca]:[Bắt đầu]]),0),
IF($AA52-$Z$4&lt;MAX(AT$4,VLOOKUP(AT$6, Table_ChiPhiNV_Ca[], COUNTA(Table_ChiPhiNV_Ca[[#Headers],[Ca]:[Bắt đầu]]),0)),0,
IF($AA52&gt;MIN(AT$5,VLOOKUP(AT$6, Table_ChiPhiNV_Ca[], COUNTA(Table_ChiPhiNV_Ca[[#Headers],[Ca]:[Kết thúc]]),0)),0,
SUM(_xlfn._xlws.FILTER(Table_BangLuong_TyLeTangCa[Tỷ lệ],
(Table_BangLuong_TyLeTangCa[Ngày] = "Thường") *
(Table_BangLuong_TyLeTangCa[Giờ min]&lt;=$AA52) *
(Table_BangLuong_TyLeTangCa[Giờ max]&gt;$AA52)
)))),
IF(AT$4 &gt; AT$5,
IF(
AND(
$AA52-$Z$4&lt;MAX(AT$4,VLOOKUP(AT$6, Table_ChiPhiNV_Ca[], COUNTA(Table_ChiPhiNV_Ca[[#Headers],[Ca]:[Bắt đầu]]),0)),
$AA52&gt;MIN(AT$5,VLOOKUP(AT$6, Table_ChiPhiNV_Ca[], COUNTA(Table_ChiPhiNV_Ca[[#Headers],[Ca]:[Kết thúc]]),0))),0,
SUM(_xlfn._xlws.FILTER(Table_BangLuong_TyLeTangCa[Tỷ lệ],
(Table_BangLuong_TyLeTangCa[Ngày] = "Thường") *
(Table_BangLuong_TyLeTangCa[Giờ min]&lt;=$AA52) *
(Table_BangLuong_TyLeTangCa[Giờ max]&gt;$AA52)
))),
IF(
AND(
$AA52-$Z$4&gt;=MAX(AT$4,VLOOKUP(AT$6, Table_ChiPhiNV_Ca[], COUNTA(Table_ChiPhiNV_Ca[[#Headers],[Ca]:[Bắt đầu]]),0)),
$AA52&lt;MIN(AT$5,VLOOKUP(AT$6, Table_ChiPhiNV_Ca[], COUNTA(Table_ChiPhiNV_Ca[[#Headers],[Ca]:[Kết thúc]]),0))),
SUM(_xlfn._xlws.FILTER(Table_BangLuong_TyLeTangCa[Tỷ lệ],
(Table_BangLuong_TyLeTangCa[Ngày] = "Thường") *
(Table_BangLuong_TyLeTangCa[Giờ min]&lt;=$AA52) *
(Table_BangLuong_TyLeTangCa[Giờ max]&gt;$AA52)
)),0)
)),
IF(AT$4 &lt; AT$5,
IF($AA52-$Z$4&lt;AT$4,0,
IF($AA52&gt;AT$5,0,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AT$5,$AA52 &lt; AT$4),0,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U52" s="18" cm="1">
        <f t="array" ref="AU52" xml:space="preserve">
IFERROR(
IF(AU$1="",0,
IF(AND(
$AA52&gt;=VLOOKUP(AU$6, Table_ChiPhiNV_Ca[], COUNTA(Table_ChiPhiNV_Ca[[#Headers],[Ca]:[Bắt đầu nghỉ]]),0),
$AA52&lt;VLOOKUP(AU$6, Table_ChiPhiNV_Ca[], COUNTA(Table_ChiPhiNV_Ca[[#Headers],[Ca]:[Kết thúc nghỉ]]),0)
),0,
IF(NOT(ISBLANK(AU$3)),
IF(ISBLANK(AU$7),0,
IF(AU$4 &lt; AU$5,
IF($AA52-$Z$4&lt;AU$4,0,
IF($AA52&gt;AU$5,0,
SUM(_xlfn._xlws.FILTER(Table_BangLuong_TyLeTangCa[Tỷ lệ],
(Table_BangLuong_TyLeTangCa[Ngày] = AU$3) *
(Table_BangLuong_TyLeTangCa[Giờ min]&lt;=$AA52) *
(Table_BangLuong_TyLeTangCa[Giờ max]&gt;$AA52)
)))),
IF(AND($AA52-$Z$4 &gt;= AU$5,$AA52 &lt; AU$4),0,
SUM(_xlfn._xlws.FILTER(Table_BangLuong_TyLeTangCa[Tỷ lệ],
(Table_BangLuong_TyLeTangCa[Ngày] = AU$3) *
(Table_BangLuong_TyLeTangCa[Giờ min]&lt;=$AA52) *
(Table_BangLuong_TyLeTangCa[Giờ max]&gt;$AA52)
))))
),
IF(ISBLANK(AU$7),
IF(VLOOKUP(AU$6, Table_ChiPhiNV_Ca[], COUNTA(Table_ChiPhiNV_Ca[[#Headers],[Ca]:[Kết thúc]]),0)&gt; VLOOKUP(AU$6, Table_ChiPhiNV_Ca[], COUNTA(Table_ChiPhiNV_Ca[[#Headers],[Ca]:[Bắt đầu]]),0),
IF($AA52-$Z$4&lt;MAX(AU$4,VLOOKUP(AU$6, Table_ChiPhiNV_Ca[], COUNTA(Table_ChiPhiNV_Ca[[#Headers],[Ca]:[Bắt đầu]]),0)),0,
IF($AA52&gt;MIN(AU$5,VLOOKUP(AU$6, Table_ChiPhiNV_Ca[], COUNTA(Table_ChiPhiNV_Ca[[#Headers],[Ca]:[Kết thúc]]),0)),0,
SUM(_xlfn._xlws.FILTER(Table_BangLuong_TyLeTangCa[Tỷ lệ],
(Table_BangLuong_TyLeTangCa[Ngày] = "Thường") *
(Table_BangLuong_TyLeTangCa[Giờ min]&lt;=$AA52) *
(Table_BangLuong_TyLeTangCa[Giờ max]&gt;$AA52)
)))),
IF(AU$4 &gt; AU$5,
IF(
AND(
$AA52-$Z$4&lt;MAX(AU$4,VLOOKUP(AU$6, Table_ChiPhiNV_Ca[], COUNTA(Table_ChiPhiNV_Ca[[#Headers],[Ca]:[Bắt đầu]]),0)),
$AA52&gt;MIN(AU$5,VLOOKUP(AU$6, Table_ChiPhiNV_Ca[], COUNTA(Table_ChiPhiNV_Ca[[#Headers],[Ca]:[Kết thúc]]),0))),0,
SUM(_xlfn._xlws.FILTER(Table_BangLuong_TyLeTangCa[Tỷ lệ],
(Table_BangLuong_TyLeTangCa[Ngày] = "Thường") *
(Table_BangLuong_TyLeTangCa[Giờ min]&lt;=$AA52) *
(Table_BangLuong_TyLeTangCa[Giờ max]&gt;$AA52)
))),
IF(
AND(
$AA52-$Z$4&gt;=MAX(AU$4,VLOOKUP(AU$6, Table_ChiPhiNV_Ca[], COUNTA(Table_ChiPhiNV_Ca[[#Headers],[Ca]:[Bắt đầu]]),0)),
$AA52&lt;MIN(AU$5,VLOOKUP(AU$6, Table_ChiPhiNV_Ca[], COUNTA(Table_ChiPhiNV_Ca[[#Headers],[Ca]:[Kết thúc]]),0))),
SUM(_xlfn._xlws.FILTER(Table_BangLuong_TyLeTangCa[Tỷ lệ],
(Table_BangLuong_TyLeTangCa[Ngày] = "Thường") *
(Table_BangLuong_TyLeTangCa[Giờ min]&lt;=$AA52) *
(Table_BangLuong_TyLeTangCa[Giờ max]&gt;$AA52)
)),0)
)),
IF(AU$4 &lt; AU$5,
IF($AA52-$Z$4&lt;AU$4,0,
IF($AA52&gt;AU$5,0,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AU$5,$AA52 &lt; AU$4),0,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V52" s="18" cm="1">
        <f t="array" ref="AV52" xml:space="preserve">
IFERROR(
IF(AV$1="",0,
IF(AND(
$AA52&gt;=VLOOKUP(AV$6, Table_ChiPhiNV_Ca[], COUNTA(Table_ChiPhiNV_Ca[[#Headers],[Ca]:[Bắt đầu nghỉ]]),0),
$AA52&lt;VLOOKUP(AV$6, Table_ChiPhiNV_Ca[], COUNTA(Table_ChiPhiNV_Ca[[#Headers],[Ca]:[Kết thúc nghỉ]]),0)
),0,
IF(NOT(ISBLANK(AV$3)),
IF(ISBLANK(AV$7),0,
IF(AV$4 &lt; AV$5,
IF($AA52-$Z$4&lt;AV$4,0,
IF($AA52&gt;AV$5,0,
SUM(_xlfn._xlws.FILTER(Table_BangLuong_TyLeTangCa[Tỷ lệ],
(Table_BangLuong_TyLeTangCa[Ngày] = AV$3) *
(Table_BangLuong_TyLeTangCa[Giờ min]&lt;=$AA52) *
(Table_BangLuong_TyLeTangCa[Giờ max]&gt;$AA52)
)))),
IF(AND($AA52-$Z$4 &gt;= AV$5,$AA52 &lt; AV$4),0,
SUM(_xlfn._xlws.FILTER(Table_BangLuong_TyLeTangCa[Tỷ lệ],
(Table_BangLuong_TyLeTangCa[Ngày] = AV$3) *
(Table_BangLuong_TyLeTangCa[Giờ min]&lt;=$AA52) *
(Table_BangLuong_TyLeTangCa[Giờ max]&gt;$AA52)
))))
),
IF(ISBLANK(AV$7),
IF(VLOOKUP(AV$6, Table_ChiPhiNV_Ca[], COUNTA(Table_ChiPhiNV_Ca[[#Headers],[Ca]:[Kết thúc]]),0)&gt; VLOOKUP(AV$6, Table_ChiPhiNV_Ca[], COUNTA(Table_ChiPhiNV_Ca[[#Headers],[Ca]:[Bắt đầu]]),0),
IF($AA52-$Z$4&lt;MAX(AV$4,VLOOKUP(AV$6, Table_ChiPhiNV_Ca[], COUNTA(Table_ChiPhiNV_Ca[[#Headers],[Ca]:[Bắt đầu]]),0)),0,
IF($AA52&gt;MIN(AV$5,VLOOKUP(AV$6, Table_ChiPhiNV_Ca[], COUNTA(Table_ChiPhiNV_Ca[[#Headers],[Ca]:[Kết thúc]]),0)),0,
SUM(_xlfn._xlws.FILTER(Table_BangLuong_TyLeTangCa[Tỷ lệ],
(Table_BangLuong_TyLeTangCa[Ngày] = "Thường") *
(Table_BangLuong_TyLeTangCa[Giờ min]&lt;=$AA52) *
(Table_BangLuong_TyLeTangCa[Giờ max]&gt;$AA52)
)))),
IF(AV$4 &gt; AV$5,
IF(
AND(
$AA52-$Z$4&lt;MAX(AV$4,VLOOKUP(AV$6, Table_ChiPhiNV_Ca[], COUNTA(Table_ChiPhiNV_Ca[[#Headers],[Ca]:[Bắt đầu]]),0)),
$AA52&gt;MIN(AV$5,VLOOKUP(AV$6, Table_ChiPhiNV_Ca[], COUNTA(Table_ChiPhiNV_Ca[[#Headers],[Ca]:[Kết thúc]]),0))),0,
SUM(_xlfn._xlws.FILTER(Table_BangLuong_TyLeTangCa[Tỷ lệ],
(Table_BangLuong_TyLeTangCa[Ngày] = "Thường") *
(Table_BangLuong_TyLeTangCa[Giờ min]&lt;=$AA52) *
(Table_BangLuong_TyLeTangCa[Giờ max]&gt;$AA52)
))),
IF(
AND(
$AA52-$Z$4&gt;=MAX(AV$4,VLOOKUP(AV$6, Table_ChiPhiNV_Ca[], COUNTA(Table_ChiPhiNV_Ca[[#Headers],[Ca]:[Bắt đầu]]),0)),
$AA52&lt;MIN(AV$5,VLOOKUP(AV$6, Table_ChiPhiNV_Ca[], COUNTA(Table_ChiPhiNV_Ca[[#Headers],[Ca]:[Kết thúc]]),0))),
SUM(_xlfn._xlws.FILTER(Table_BangLuong_TyLeTangCa[Tỷ lệ],
(Table_BangLuong_TyLeTangCa[Ngày] = "Thường") *
(Table_BangLuong_TyLeTangCa[Giờ min]&lt;=$AA52) *
(Table_BangLuong_TyLeTangCa[Giờ max]&gt;$AA52)
)),0)
)),
IF(AV$4 &lt; AV$5,
IF($AA52-$Z$4&lt;AV$4,0,
IF($AA52&gt;AV$5,0,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AV$5,$AA52 &lt; AV$4),0,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W52" s="18" cm="1">
        <f t="array" ref="AW52" xml:space="preserve">
IFERROR(
IF(AW$1="",0,
IF(AND(
$AA52&gt;=VLOOKUP(AW$6, Table_ChiPhiNV_Ca[], COUNTA(Table_ChiPhiNV_Ca[[#Headers],[Ca]:[Bắt đầu nghỉ]]),0),
$AA52&lt;VLOOKUP(AW$6, Table_ChiPhiNV_Ca[], COUNTA(Table_ChiPhiNV_Ca[[#Headers],[Ca]:[Kết thúc nghỉ]]),0)
),0,
IF(NOT(ISBLANK(AW$3)),
IF(ISBLANK(AW$7),0,
IF(AW$4 &lt; AW$5,
IF($AA52-$Z$4&lt;AW$4,0,
IF($AA52&gt;AW$5,0,
SUM(_xlfn._xlws.FILTER(Table_BangLuong_TyLeTangCa[Tỷ lệ],
(Table_BangLuong_TyLeTangCa[Ngày] = AW$3) *
(Table_BangLuong_TyLeTangCa[Giờ min]&lt;=$AA52) *
(Table_BangLuong_TyLeTangCa[Giờ max]&gt;$AA52)
)))),
IF(AND($AA52-$Z$4 &gt;= AW$5,$AA52 &lt; AW$4),0,
SUM(_xlfn._xlws.FILTER(Table_BangLuong_TyLeTangCa[Tỷ lệ],
(Table_BangLuong_TyLeTangCa[Ngày] = AW$3) *
(Table_BangLuong_TyLeTangCa[Giờ min]&lt;=$AA52) *
(Table_BangLuong_TyLeTangCa[Giờ max]&gt;$AA52)
))))
),
IF(ISBLANK(AW$7),
IF(VLOOKUP(AW$6, Table_ChiPhiNV_Ca[], COUNTA(Table_ChiPhiNV_Ca[[#Headers],[Ca]:[Kết thúc]]),0)&gt; VLOOKUP(AW$6, Table_ChiPhiNV_Ca[], COUNTA(Table_ChiPhiNV_Ca[[#Headers],[Ca]:[Bắt đầu]]),0),
IF($AA52-$Z$4&lt;MAX(AW$4,VLOOKUP(AW$6, Table_ChiPhiNV_Ca[], COUNTA(Table_ChiPhiNV_Ca[[#Headers],[Ca]:[Bắt đầu]]),0)),0,
IF($AA52&gt;MIN(AW$5,VLOOKUP(AW$6, Table_ChiPhiNV_Ca[], COUNTA(Table_ChiPhiNV_Ca[[#Headers],[Ca]:[Kết thúc]]),0)),0,
SUM(_xlfn._xlws.FILTER(Table_BangLuong_TyLeTangCa[Tỷ lệ],
(Table_BangLuong_TyLeTangCa[Ngày] = "Thường") *
(Table_BangLuong_TyLeTangCa[Giờ min]&lt;=$AA52) *
(Table_BangLuong_TyLeTangCa[Giờ max]&gt;$AA52)
)))),
IF(AW$4 &gt; AW$5,
IF(
AND(
$AA52-$Z$4&lt;MAX(AW$4,VLOOKUP(AW$6, Table_ChiPhiNV_Ca[], COUNTA(Table_ChiPhiNV_Ca[[#Headers],[Ca]:[Bắt đầu]]),0)),
$AA52&gt;MIN(AW$5,VLOOKUP(AW$6, Table_ChiPhiNV_Ca[], COUNTA(Table_ChiPhiNV_Ca[[#Headers],[Ca]:[Kết thúc]]),0))),0,
SUM(_xlfn._xlws.FILTER(Table_BangLuong_TyLeTangCa[Tỷ lệ],
(Table_BangLuong_TyLeTangCa[Ngày] = "Thường") *
(Table_BangLuong_TyLeTangCa[Giờ min]&lt;=$AA52) *
(Table_BangLuong_TyLeTangCa[Giờ max]&gt;$AA52)
))),
IF(
AND(
$AA52-$Z$4&gt;=MAX(AW$4,VLOOKUP(AW$6, Table_ChiPhiNV_Ca[], COUNTA(Table_ChiPhiNV_Ca[[#Headers],[Ca]:[Bắt đầu]]),0)),
$AA52&lt;MIN(AW$5,VLOOKUP(AW$6, Table_ChiPhiNV_Ca[], COUNTA(Table_ChiPhiNV_Ca[[#Headers],[Ca]:[Kết thúc]]),0))),
SUM(_xlfn._xlws.FILTER(Table_BangLuong_TyLeTangCa[Tỷ lệ],
(Table_BangLuong_TyLeTangCa[Ngày] = "Thường") *
(Table_BangLuong_TyLeTangCa[Giờ min]&lt;=$AA52) *
(Table_BangLuong_TyLeTangCa[Giờ max]&gt;$AA52)
)),0)
)),
IF(AW$4 &lt; AW$5,
IF($AA52-$Z$4&lt;AW$4,0,
IF($AA52&gt;AW$5,0,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AW$5,$AA52 &lt; AW$4),0,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X52" s="18" cm="1">
        <f t="array" ref="AX52" xml:space="preserve">
IFERROR(
IF(AX$1="",0,
IF(AND(
$AA52&gt;=VLOOKUP(AX$6, Table_ChiPhiNV_Ca[], COUNTA(Table_ChiPhiNV_Ca[[#Headers],[Ca]:[Bắt đầu nghỉ]]),0),
$AA52&lt;VLOOKUP(AX$6, Table_ChiPhiNV_Ca[], COUNTA(Table_ChiPhiNV_Ca[[#Headers],[Ca]:[Kết thúc nghỉ]]),0)
),0,
IF(NOT(ISBLANK(AX$3)),
IF(ISBLANK(AX$7),0,
IF(AX$4 &lt; AX$5,
IF($AA52-$Z$4&lt;AX$4,0,
IF($AA52&gt;AX$5,0,
SUM(_xlfn._xlws.FILTER(Table_BangLuong_TyLeTangCa[Tỷ lệ],
(Table_BangLuong_TyLeTangCa[Ngày] = AX$3) *
(Table_BangLuong_TyLeTangCa[Giờ min]&lt;=$AA52) *
(Table_BangLuong_TyLeTangCa[Giờ max]&gt;$AA52)
)))),
IF(AND($AA52-$Z$4 &gt;= AX$5,$AA52 &lt; AX$4),0,
SUM(_xlfn._xlws.FILTER(Table_BangLuong_TyLeTangCa[Tỷ lệ],
(Table_BangLuong_TyLeTangCa[Ngày] = AX$3) *
(Table_BangLuong_TyLeTangCa[Giờ min]&lt;=$AA52) *
(Table_BangLuong_TyLeTangCa[Giờ max]&gt;$AA52)
))))
),
IF(ISBLANK(AX$7),
IF(VLOOKUP(AX$6, Table_ChiPhiNV_Ca[], COUNTA(Table_ChiPhiNV_Ca[[#Headers],[Ca]:[Kết thúc]]),0)&gt; VLOOKUP(AX$6, Table_ChiPhiNV_Ca[], COUNTA(Table_ChiPhiNV_Ca[[#Headers],[Ca]:[Bắt đầu]]),0),
IF($AA52-$Z$4&lt;MAX(AX$4,VLOOKUP(AX$6, Table_ChiPhiNV_Ca[], COUNTA(Table_ChiPhiNV_Ca[[#Headers],[Ca]:[Bắt đầu]]),0)),0,
IF($AA52&gt;MIN(AX$5,VLOOKUP(AX$6, Table_ChiPhiNV_Ca[], COUNTA(Table_ChiPhiNV_Ca[[#Headers],[Ca]:[Kết thúc]]),0)),0,
SUM(_xlfn._xlws.FILTER(Table_BangLuong_TyLeTangCa[Tỷ lệ],
(Table_BangLuong_TyLeTangCa[Ngày] = "Thường") *
(Table_BangLuong_TyLeTangCa[Giờ min]&lt;=$AA52) *
(Table_BangLuong_TyLeTangCa[Giờ max]&gt;$AA52)
)))),
IF(AX$4 &gt; AX$5,
IF(
AND(
$AA52-$Z$4&lt;MAX(AX$4,VLOOKUP(AX$6, Table_ChiPhiNV_Ca[], COUNTA(Table_ChiPhiNV_Ca[[#Headers],[Ca]:[Bắt đầu]]),0)),
$AA52&gt;MIN(AX$5,VLOOKUP(AX$6, Table_ChiPhiNV_Ca[], COUNTA(Table_ChiPhiNV_Ca[[#Headers],[Ca]:[Kết thúc]]),0))),0,
SUM(_xlfn._xlws.FILTER(Table_BangLuong_TyLeTangCa[Tỷ lệ],
(Table_BangLuong_TyLeTangCa[Ngày] = "Thường") *
(Table_BangLuong_TyLeTangCa[Giờ min]&lt;=$AA52) *
(Table_BangLuong_TyLeTangCa[Giờ max]&gt;$AA52)
))),
IF(
AND(
$AA52-$Z$4&gt;=MAX(AX$4,VLOOKUP(AX$6, Table_ChiPhiNV_Ca[], COUNTA(Table_ChiPhiNV_Ca[[#Headers],[Ca]:[Bắt đầu]]),0)),
$AA52&lt;MIN(AX$5,VLOOKUP(AX$6, Table_ChiPhiNV_Ca[], COUNTA(Table_ChiPhiNV_Ca[[#Headers],[Ca]:[Kết thúc]]),0))),
SUM(_xlfn._xlws.FILTER(Table_BangLuong_TyLeTangCa[Tỷ lệ],
(Table_BangLuong_TyLeTangCa[Ngày] = "Thường") *
(Table_BangLuong_TyLeTangCa[Giờ min]&lt;=$AA52) *
(Table_BangLuong_TyLeTangCa[Giờ max]&gt;$AA52)
)),0)
)),
IF(AX$4 &lt; AX$5,
IF($AA52-$Z$4&lt;AX$4,0,
IF($AA52&gt;AX$5,0,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AX$5,$AA52 &lt; AX$4),0,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Y52" s="18" cm="1">
        <f t="array" ref="AY52" xml:space="preserve">
IFERROR(
IF(AY$1="",0,
IF(AND(
$AA52&gt;=VLOOKUP(AY$6, Table_ChiPhiNV_Ca[], COUNTA(Table_ChiPhiNV_Ca[[#Headers],[Ca]:[Bắt đầu nghỉ]]),0),
$AA52&lt;VLOOKUP(AY$6, Table_ChiPhiNV_Ca[], COUNTA(Table_ChiPhiNV_Ca[[#Headers],[Ca]:[Kết thúc nghỉ]]),0)
),0,
IF(NOT(ISBLANK(AY$3)),
IF(ISBLANK(AY$7),0,
IF(AY$4 &lt; AY$5,
IF($AA52-$Z$4&lt;AY$4,0,
IF($AA52&gt;AY$5,0,
SUM(_xlfn._xlws.FILTER(Table_BangLuong_TyLeTangCa[Tỷ lệ],
(Table_BangLuong_TyLeTangCa[Ngày] = AY$3) *
(Table_BangLuong_TyLeTangCa[Giờ min]&lt;=$AA52) *
(Table_BangLuong_TyLeTangCa[Giờ max]&gt;$AA52)
)))),
IF(AND($AA52-$Z$4 &gt;= AY$5,$AA52 &lt; AY$4),0,
SUM(_xlfn._xlws.FILTER(Table_BangLuong_TyLeTangCa[Tỷ lệ],
(Table_BangLuong_TyLeTangCa[Ngày] = AY$3) *
(Table_BangLuong_TyLeTangCa[Giờ min]&lt;=$AA52) *
(Table_BangLuong_TyLeTangCa[Giờ max]&gt;$AA52)
))))
),
IF(ISBLANK(AY$7),
IF(VLOOKUP(AY$6, Table_ChiPhiNV_Ca[], COUNTA(Table_ChiPhiNV_Ca[[#Headers],[Ca]:[Kết thúc]]),0)&gt; VLOOKUP(AY$6, Table_ChiPhiNV_Ca[], COUNTA(Table_ChiPhiNV_Ca[[#Headers],[Ca]:[Bắt đầu]]),0),
IF($AA52-$Z$4&lt;MAX(AY$4,VLOOKUP(AY$6, Table_ChiPhiNV_Ca[], COUNTA(Table_ChiPhiNV_Ca[[#Headers],[Ca]:[Bắt đầu]]),0)),0,
IF($AA52&gt;MIN(AY$5,VLOOKUP(AY$6, Table_ChiPhiNV_Ca[], COUNTA(Table_ChiPhiNV_Ca[[#Headers],[Ca]:[Kết thúc]]),0)),0,
SUM(_xlfn._xlws.FILTER(Table_BangLuong_TyLeTangCa[Tỷ lệ],
(Table_BangLuong_TyLeTangCa[Ngày] = "Thường") *
(Table_BangLuong_TyLeTangCa[Giờ min]&lt;=$AA52) *
(Table_BangLuong_TyLeTangCa[Giờ max]&gt;$AA52)
)))),
IF(AY$4 &gt; AY$5,
IF(
AND(
$AA52-$Z$4&lt;MAX(AY$4,VLOOKUP(AY$6, Table_ChiPhiNV_Ca[], COUNTA(Table_ChiPhiNV_Ca[[#Headers],[Ca]:[Bắt đầu]]),0)),
$AA52&gt;MIN(AY$5,VLOOKUP(AY$6, Table_ChiPhiNV_Ca[], COUNTA(Table_ChiPhiNV_Ca[[#Headers],[Ca]:[Kết thúc]]),0))),0,
SUM(_xlfn._xlws.FILTER(Table_BangLuong_TyLeTangCa[Tỷ lệ],
(Table_BangLuong_TyLeTangCa[Ngày] = "Thường") *
(Table_BangLuong_TyLeTangCa[Giờ min]&lt;=$AA52) *
(Table_BangLuong_TyLeTangCa[Giờ max]&gt;$AA52)
))),
IF(
AND(
$AA52-$Z$4&gt;=MAX(AY$4,VLOOKUP(AY$6, Table_ChiPhiNV_Ca[], COUNTA(Table_ChiPhiNV_Ca[[#Headers],[Ca]:[Bắt đầu]]),0)),
$AA52&lt;MIN(AY$5,VLOOKUP(AY$6, Table_ChiPhiNV_Ca[], COUNTA(Table_ChiPhiNV_Ca[[#Headers],[Ca]:[Kết thúc]]),0))),
SUM(_xlfn._xlws.FILTER(Table_BangLuong_TyLeTangCa[Tỷ lệ],
(Table_BangLuong_TyLeTangCa[Ngày] = "Thường") *
(Table_BangLuong_TyLeTangCa[Giờ min]&lt;=$AA52) *
(Table_BangLuong_TyLeTangCa[Giờ max]&gt;$AA52)
)),0)
)),
IF(AY$4 &lt; AY$5,
IF($AA52-$Z$4&lt;AY$4,0,
IF($AA52&gt;AY$5,0,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AY$5,$AA52 &lt; AY$4),0,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Z52" s="18" cm="1">
        <f t="array" ref="AZ52" xml:space="preserve">
IFERROR(
IF(AZ$1="",0,
IF(AND(
$AA52&gt;=VLOOKUP(AZ$6, Table_ChiPhiNV_Ca[], COUNTA(Table_ChiPhiNV_Ca[[#Headers],[Ca]:[Bắt đầu nghỉ]]),0),
$AA52&lt;VLOOKUP(AZ$6, Table_ChiPhiNV_Ca[], COUNTA(Table_ChiPhiNV_Ca[[#Headers],[Ca]:[Kết thúc nghỉ]]),0)
),0,
IF(NOT(ISBLANK(AZ$3)),
IF(ISBLANK(AZ$7),0,
IF(AZ$4 &lt; AZ$5,
IF($AA52-$Z$4&lt;AZ$4,0,
IF($AA52&gt;AZ$5,0,
SUM(_xlfn._xlws.FILTER(Table_BangLuong_TyLeTangCa[Tỷ lệ],
(Table_BangLuong_TyLeTangCa[Ngày] = AZ$3) *
(Table_BangLuong_TyLeTangCa[Giờ min]&lt;=$AA52) *
(Table_BangLuong_TyLeTangCa[Giờ max]&gt;$AA52)
)))),
IF(AND($AA52-$Z$4 &gt;= AZ$5,$AA52 &lt; AZ$4),0,
SUM(_xlfn._xlws.FILTER(Table_BangLuong_TyLeTangCa[Tỷ lệ],
(Table_BangLuong_TyLeTangCa[Ngày] = AZ$3) *
(Table_BangLuong_TyLeTangCa[Giờ min]&lt;=$AA52) *
(Table_BangLuong_TyLeTangCa[Giờ max]&gt;$AA52)
))))
),
IF(ISBLANK(AZ$7),
IF(VLOOKUP(AZ$6, Table_ChiPhiNV_Ca[], COUNTA(Table_ChiPhiNV_Ca[[#Headers],[Ca]:[Kết thúc]]),0)&gt; VLOOKUP(AZ$6, Table_ChiPhiNV_Ca[], COUNTA(Table_ChiPhiNV_Ca[[#Headers],[Ca]:[Bắt đầu]]),0),
IF($AA52-$Z$4&lt;MAX(AZ$4,VLOOKUP(AZ$6, Table_ChiPhiNV_Ca[], COUNTA(Table_ChiPhiNV_Ca[[#Headers],[Ca]:[Bắt đầu]]),0)),0,
IF($AA52&gt;MIN(AZ$5,VLOOKUP(AZ$6, Table_ChiPhiNV_Ca[], COUNTA(Table_ChiPhiNV_Ca[[#Headers],[Ca]:[Kết thúc]]),0)),0,
SUM(_xlfn._xlws.FILTER(Table_BangLuong_TyLeTangCa[Tỷ lệ],
(Table_BangLuong_TyLeTangCa[Ngày] = "Thường") *
(Table_BangLuong_TyLeTangCa[Giờ min]&lt;=$AA52) *
(Table_BangLuong_TyLeTangCa[Giờ max]&gt;$AA52)
)))),
IF(AZ$4 &gt; AZ$5,
IF(
AND(
$AA52-$Z$4&lt;MAX(AZ$4,VLOOKUP(AZ$6, Table_ChiPhiNV_Ca[], COUNTA(Table_ChiPhiNV_Ca[[#Headers],[Ca]:[Bắt đầu]]),0)),
$AA52&gt;MIN(AZ$5,VLOOKUP(AZ$6, Table_ChiPhiNV_Ca[], COUNTA(Table_ChiPhiNV_Ca[[#Headers],[Ca]:[Kết thúc]]),0))),0,
SUM(_xlfn._xlws.FILTER(Table_BangLuong_TyLeTangCa[Tỷ lệ],
(Table_BangLuong_TyLeTangCa[Ngày] = "Thường") *
(Table_BangLuong_TyLeTangCa[Giờ min]&lt;=$AA52) *
(Table_BangLuong_TyLeTangCa[Giờ max]&gt;$AA52)
))),
IF(
AND(
$AA52-$Z$4&gt;=MAX(AZ$4,VLOOKUP(AZ$6, Table_ChiPhiNV_Ca[], COUNTA(Table_ChiPhiNV_Ca[[#Headers],[Ca]:[Bắt đầu]]),0)),
$AA52&lt;MIN(AZ$5,VLOOKUP(AZ$6, Table_ChiPhiNV_Ca[], COUNTA(Table_ChiPhiNV_Ca[[#Headers],[Ca]:[Kết thúc]]),0))),
SUM(_xlfn._xlws.FILTER(Table_BangLuong_TyLeTangCa[Tỷ lệ],
(Table_BangLuong_TyLeTangCa[Ngày] = "Thường") *
(Table_BangLuong_TyLeTangCa[Giờ min]&lt;=$AA52) *
(Table_BangLuong_TyLeTangCa[Giờ max]&gt;$AA52)
)),0)
)),
IF(AZ$4 &lt; AZ$5,
IF($AA52-$Z$4&lt;AZ$4,0,
IF($AA52&gt;AZ$5,0,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AZ$5,$AA52 &lt; AZ$4),0,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A52" s="18" cm="1">
        <f t="array" ref="BA52" xml:space="preserve">
IFERROR(
IF(BA$1="",0,
IF(AND(
$AA52&gt;=VLOOKUP(BA$6, Table_ChiPhiNV_Ca[], COUNTA(Table_ChiPhiNV_Ca[[#Headers],[Ca]:[Bắt đầu nghỉ]]),0),
$AA52&lt;VLOOKUP(BA$6, Table_ChiPhiNV_Ca[], COUNTA(Table_ChiPhiNV_Ca[[#Headers],[Ca]:[Kết thúc nghỉ]]),0)
),0,
IF(NOT(ISBLANK(BA$3)),
IF(ISBLANK(BA$7),0,
IF(BA$4 &lt; BA$5,
IF($AA52-$Z$4&lt;BA$4,0,
IF($AA52&gt;BA$5,0,
SUM(_xlfn._xlws.FILTER(Table_BangLuong_TyLeTangCa[Tỷ lệ],
(Table_BangLuong_TyLeTangCa[Ngày] = BA$3) *
(Table_BangLuong_TyLeTangCa[Giờ min]&lt;=$AA52) *
(Table_BangLuong_TyLeTangCa[Giờ max]&gt;$AA52)
)))),
IF(AND($AA52-$Z$4 &gt;= BA$5,$AA52 &lt; BA$4),0,
SUM(_xlfn._xlws.FILTER(Table_BangLuong_TyLeTangCa[Tỷ lệ],
(Table_BangLuong_TyLeTangCa[Ngày] = BA$3) *
(Table_BangLuong_TyLeTangCa[Giờ min]&lt;=$AA52) *
(Table_BangLuong_TyLeTangCa[Giờ max]&gt;$AA52)
))))
),
IF(ISBLANK(BA$7),
IF(VLOOKUP(BA$6, Table_ChiPhiNV_Ca[], COUNTA(Table_ChiPhiNV_Ca[[#Headers],[Ca]:[Kết thúc]]),0)&gt; VLOOKUP(BA$6, Table_ChiPhiNV_Ca[], COUNTA(Table_ChiPhiNV_Ca[[#Headers],[Ca]:[Bắt đầu]]),0),
IF($AA52-$Z$4&lt;MAX(BA$4,VLOOKUP(BA$6, Table_ChiPhiNV_Ca[], COUNTA(Table_ChiPhiNV_Ca[[#Headers],[Ca]:[Bắt đầu]]),0)),0,
IF($AA52&gt;MIN(BA$5,VLOOKUP(BA$6, Table_ChiPhiNV_Ca[], COUNTA(Table_ChiPhiNV_Ca[[#Headers],[Ca]:[Kết thúc]]),0)),0,
SUM(_xlfn._xlws.FILTER(Table_BangLuong_TyLeTangCa[Tỷ lệ],
(Table_BangLuong_TyLeTangCa[Ngày] = "Thường") *
(Table_BangLuong_TyLeTangCa[Giờ min]&lt;=$AA52) *
(Table_BangLuong_TyLeTangCa[Giờ max]&gt;$AA52)
)))),
IF(BA$4 &gt; BA$5,
IF(
AND(
$AA52-$Z$4&lt;MAX(BA$4,VLOOKUP(BA$6, Table_ChiPhiNV_Ca[], COUNTA(Table_ChiPhiNV_Ca[[#Headers],[Ca]:[Bắt đầu]]),0)),
$AA52&gt;MIN(BA$5,VLOOKUP(BA$6, Table_ChiPhiNV_Ca[], COUNTA(Table_ChiPhiNV_Ca[[#Headers],[Ca]:[Kết thúc]]),0))),0,
SUM(_xlfn._xlws.FILTER(Table_BangLuong_TyLeTangCa[Tỷ lệ],
(Table_BangLuong_TyLeTangCa[Ngày] = "Thường") *
(Table_BangLuong_TyLeTangCa[Giờ min]&lt;=$AA52) *
(Table_BangLuong_TyLeTangCa[Giờ max]&gt;$AA52)
))),
IF(
AND(
$AA52-$Z$4&gt;=MAX(BA$4,VLOOKUP(BA$6, Table_ChiPhiNV_Ca[], COUNTA(Table_ChiPhiNV_Ca[[#Headers],[Ca]:[Bắt đầu]]),0)),
$AA52&lt;MIN(BA$5,VLOOKUP(BA$6, Table_ChiPhiNV_Ca[], COUNTA(Table_ChiPhiNV_Ca[[#Headers],[Ca]:[Kết thúc]]),0))),
SUM(_xlfn._xlws.FILTER(Table_BangLuong_TyLeTangCa[Tỷ lệ],
(Table_BangLuong_TyLeTangCa[Ngày] = "Thường") *
(Table_BangLuong_TyLeTangCa[Giờ min]&lt;=$AA52) *
(Table_BangLuong_TyLeTangCa[Giờ max]&gt;$AA52)
)),0)
)),
IF(BA$4 &lt; BA$5,
IF($AA52-$Z$4&lt;BA$4,0,
IF($AA52&gt;BA$5,0,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BA$5,$AA52 &lt; BA$4),0,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B52" s="18" cm="1">
        <f t="array" ref="BB52" xml:space="preserve">
IFERROR(
IF(BB$1="",0,
IF(AND(
$AA52&gt;=VLOOKUP(BB$6, Table_ChiPhiNV_Ca[], COUNTA(Table_ChiPhiNV_Ca[[#Headers],[Ca]:[Bắt đầu nghỉ]]),0),
$AA52&lt;VLOOKUP(BB$6, Table_ChiPhiNV_Ca[], COUNTA(Table_ChiPhiNV_Ca[[#Headers],[Ca]:[Kết thúc nghỉ]]),0)
),0,
IF(NOT(ISBLANK(BB$3)),
IF(ISBLANK(BB$7),0,
IF(BB$4 &lt; BB$5,
IF($AA52-$Z$4&lt;BB$4,0,
IF($AA52&gt;BB$5,0,
SUM(_xlfn._xlws.FILTER(Table_BangLuong_TyLeTangCa[Tỷ lệ],
(Table_BangLuong_TyLeTangCa[Ngày] = BB$3) *
(Table_BangLuong_TyLeTangCa[Giờ min]&lt;=$AA52) *
(Table_BangLuong_TyLeTangCa[Giờ max]&gt;$AA52)
)))),
IF(AND($AA52-$Z$4 &gt;= BB$5,$AA52 &lt; BB$4),0,
SUM(_xlfn._xlws.FILTER(Table_BangLuong_TyLeTangCa[Tỷ lệ],
(Table_BangLuong_TyLeTangCa[Ngày] = BB$3) *
(Table_BangLuong_TyLeTangCa[Giờ min]&lt;=$AA52) *
(Table_BangLuong_TyLeTangCa[Giờ max]&gt;$AA52)
))))
),
IF(ISBLANK(BB$7),
IF(VLOOKUP(BB$6, Table_ChiPhiNV_Ca[], COUNTA(Table_ChiPhiNV_Ca[[#Headers],[Ca]:[Kết thúc]]),0)&gt; VLOOKUP(BB$6, Table_ChiPhiNV_Ca[], COUNTA(Table_ChiPhiNV_Ca[[#Headers],[Ca]:[Bắt đầu]]),0),
IF($AA52-$Z$4&lt;MAX(BB$4,VLOOKUP(BB$6, Table_ChiPhiNV_Ca[], COUNTA(Table_ChiPhiNV_Ca[[#Headers],[Ca]:[Bắt đầu]]),0)),0,
IF($AA52&gt;MIN(BB$5,VLOOKUP(BB$6, Table_ChiPhiNV_Ca[], COUNTA(Table_ChiPhiNV_Ca[[#Headers],[Ca]:[Kết thúc]]),0)),0,
SUM(_xlfn._xlws.FILTER(Table_BangLuong_TyLeTangCa[Tỷ lệ],
(Table_BangLuong_TyLeTangCa[Ngày] = "Thường") *
(Table_BangLuong_TyLeTangCa[Giờ min]&lt;=$AA52) *
(Table_BangLuong_TyLeTangCa[Giờ max]&gt;$AA52)
)))),
IF(BB$4 &gt; BB$5,
IF(
AND(
$AA52-$Z$4&lt;MAX(BB$4,VLOOKUP(BB$6, Table_ChiPhiNV_Ca[], COUNTA(Table_ChiPhiNV_Ca[[#Headers],[Ca]:[Bắt đầu]]),0)),
$AA52&gt;MIN(BB$5,VLOOKUP(BB$6, Table_ChiPhiNV_Ca[], COUNTA(Table_ChiPhiNV_Ca[[#Headers],[Ca]:[Kết thúc]]),0))),0,
SUM(_xlfn._xlws.FILTER(Table_BangLuong_TyLeTangCa[Tỷ lệ],
(Table_BangLuong_TyLeTangCa[Ngày] = "Thường") *
(Table_BangLuong_TyLeTangCa[Giờ min]&lt;=$AA52) *
(Table_BangLuong_TyLeTangCa[Giờ max]&gt;$AA52)
))),
IF(
AND(
$AA52-$Z$4&gt;=MAX(BB$4,VLOOKUP(BB$6, Table_ChiPhiNV_Ca[], COUNTA(Table_ChiPhiNV_Ca[[#Headers],[Ca]:[Bắt đầu]]),0)),
$AA52&lt;MIN(BB$5,VLOOKUP(BB$6, Table_ChiPhiNV_Ca[], COUNTA(Table_ChiPhiNV_Ca[[#Headers],[Ca]:[Kết thúc]]),0))),
SUM(_xlfn._xlws.FILTER(Table_BangLuong_TyLeTangCa[Tỷ lệ],
(Table_BangLuong_TyLeTangCa[Ngày] = "Thường") *
(Table_BangLuong_TyLeTangCa[Giờ min]&lt;=$AA52) *
(Table_BangLuong_TyLeTangCa[Giờ max]&gt;$AA52)
)),0)
)),
IF(BB$4 &lt; BB$5,
IF($AA52-$Z$4&lt;BB$4,0,
IF($AA52&gt;BB$5,0,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BB$5,$AA52 &lt; BB$4),0,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C52" s="18" cm="1">
        <f t="array" ref="BC52" xml:space="preserve">
IFERROR(
IF(BC$1="",0,
IF(AND(
$AA52&gt;=VLOOKUP(BC$6, Table_ChiPhiNV_Ca[], COUNTA(Table_ChiPhiNV_Ca[[#Headers],[Ca]:[Bắt đầu nghỉ]]),0),
$AA52&lt;VLOOKUP(BC$6, Table_ChiPhiNV_Ca[], COUNTA(Table_ChiPhiNV_Ca[[#Headers],[Ca]:[Kết thúc nghỉ]]),0)
),0,
IF(NOT(ISBLANK(BC$3)),
IF(ISBLANK(BC$7),0,
IF(BC$4 &lt; BC$5,
IF($AA52-$Z$4&lt;BC$4,0,
IF($AA52&gt;BC$5,0,
SUM(_xlfn._xlws.FILTER(Table_BangLuong_TyLeTangCa[Tỷ lệ],
(Table_BangLuong_TyLeTangCa[Ngày] = BC$3) *
(Table_BangLuong_TyLeTangCa[Giờ min]&lt;=$AA52) *
(Table_BangLuong_TyLeTangCa[Giờ max]&gt;$AA52)
)))),
IF(AND($AA52-$Z$4 &gt;= BC$5,$AA52 &lt; BC$4),0,
SUM(_xlfn._xlws.FILTER(Table_BangLuong_TyLeTangCa[Tỷ lệ],
(Table_BangLuong_TyLeTangCa[Ngày] = BC$3) *
(Table_BangLuong_TyLeTangCa[Giờ min]&lt;=$AA52) *
(Table_BangLuong_TyLeTangCa[Giờ max]&gt;$AA52)
))))
),
IF(ISBLANK(BC$7),
IF(VLOOKUP(BC$6, Table_ChiPhiNV_Ca[], COUNTA(Table_ChiPhiNV_Ca[[#Headers],[Ca]:[Kết thúc]]),0)&gt; VLOOKUP(BC$6, Table_ChiPhiNV_Ca[], COUNTA(Table_ChiPhiNV_Ca[[#Headers],[Ca]:[Bắt đầu]]),0),
IF($AA52-$Z$4&lt;MAX(BC$4,VLOOKUP(BC$6, Table_ChiPhiNV_Ca[], COUNTA(Table_ChiPhiNV_Ca[[#Headers],[Ca]:[Bắt đầu]]),0)),0,
IF($AA52&gt;MIN(BC$5,VLOOKUP(BC$6, Table_ChiPhiNV_Ca[], COUNTA(Table_ChiPhiNV_Ca[[#Headers],[Ca]:[Kết thúc]]),0)),0,
SUM(_xlfn._xlws.FILTER(Table_BangLuong_TyLeTangCa[Tỷ lệ],
(Table_BangLuong_TyLeTangCa[Ngày] = "Thường") *
(Table_BangLuong_TyLeTangCa[Giờ min]&lt;=$AA52) *
(Table_BangLuong_TyLeTangCa[Giờ max]&gt;$AA52)
)))),
IF(BC$4 &gt; BC$5,
IF(
AND(
$AA52-$Z$4&lt;MAX(BC$4,VLOOKUP(BC$6, Table_ChiPhiNV_Ca[], COUNTA(Table_ChiPhiNV_Ca[[#Headers],[Ca]:[Bắt đầu]]),0)),
$AA52&gt;MIN(BC$5,VLOOKUP(BC$6, Table_ChiPhiNV_Ca[], COUNTA(Table_ChiPhiNV_Ca[[#Headers],[Ca]:[Kết thúc]]),0))),0,
SUM(_xlfn._xlws.FILTER(Table_BangLuong_TyLeTangCa[Tỷ lệ],
(Table_BangLuong_TyLeTangCa[Ngày] = "Thường") *
(Table_BangLuong_TyLeTangCa[Giờ min]&lt;=$AA52) *
(Table_BangLuong_TyLeTangCa[Giờ max]&gt;$AA52)
))),
IF(
AND(
$AA52-$Z$4&gt;=MAX(BC$4,VLOOKUP(BC$6, Table_ChiPhiNV_Ca[], COUNTA(Table_ChiPhiNV_Ca[[#Headers],[Ca]:[Bắt đầu]]),0)),
$AA52&lt;MIN(BC$5,VLOOKUP(BC$6, Table_ChiPhiNV_Ca[], COUNTA(Table_ChiPhiNV_Ca[[#Headers],[Ca]:[Kết thúc]]),0))),
SUM(_xlfn._xlws.FILTER(Table_BangLuong_TyLeTangCa[Tỷ lệ],
(Table_BangLuong_TyLeTangCa[Ngày] = "Thường") *
(Table_BangLuong_TyLeTangCa[Giờ min]&lt;=$AA52) *
(Table_BangLuong_TyLeTangCa[Giờ max]&gt;$AA52)
)),0)
)),
IF(BC$4 &lt; BC$5,
IF($AA52-$Z$4&lt;BC$4,0,
IF($AA52&gt;BC$5,0,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BC$5,$AA52 &lt; BC$4),0,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D52" s="18" cm="1">
        <f t="array" ref="BD52" xml:space="preserve">
IFERROR(
IF(BD$1="",0,
IF(AND(
$AA52&gt;=VLOOKUP(BD$6, Table_ChiPhiNV_Ca[], COUNTA(Table_ChiPhiNV_Ca[[#Headers],[Ca]:[Bắt đầu nghỉ]]),0),
$AA52&lt;VLOOKUP(BD$6, Table_ChiPhiNV_Ca[], COUNTA(Table_ChiPhiNV_Ca[[#Headers],[Ca]:[Kết thúc nghỉ]]),0)
),0,
IF(NOT(ISBLANK(BD$3)),
IF(ISBLANK(BD$7),0,
IF(BD$4 &lt; BD$5,
IF($AA52-$Z$4&lt;BD$4,0,
IF($AA52&gt;BD$5,0,
SUM(_xlfn._xlws.FILTER(Table_BangLuong_TyLeTangCa[Tỷ lệ],
(Table_BangLuong_TyLeTangCa[Ngày] = BD$3) *
(Table_BangLuong_TyLeTangCa[Giờ min]&lt;=$AA52) *
(Table_BangLuong_TyLeTangCa[Giờ max]&gt;$AA52)
)))),
IF(AND($AA52-$Z$4 &gt;= BD$5,$AA52 &lt; BD$4),0,
SUM(_xlfn._xlws.FILTER(Table_BangLuong_TyLeTangCa[Tỷ lệ],
(Table_BangLuong_TyLeTangCa[Ngày] = BD$3) *
(Table_BangLuong_TyLeTangCa[Giờ min]&lt;=$AA52) *
(Table_BangLuong_TyLeTangCa[Giờ max]&gt;$AA52)
))))
),
IF(ISBLANK(BD$7),
IF(VLOOKUP(BD$6, Table_ChiPhiNV_Ca[], COUNTA(Table_ChiPhiNV_Ca[[#Headers],[Ca]:[Kết thúc]]),0)&gt; VLOOKUP(BD$6, Table_ChiPhiNV_Ca[], COUNTA(Table_ChiPhiNV_Ca[[#Headers],[Ca]:[Bắt đầu]]),0),
IF($AA52-$Z$4&lt;MAX(BD$4,VLOOKUP(BD$6, Table_ChiPhiNV_Ca[], COUNTA(Table_ChiPhiNV_Ca[[#Headers],[Ca]:[Bắt đầu]]),0)),0,
IF($AA52&gt;MIN(BD$5,VLOOKUP(BD$6, Table_ChiPhiNV_Ca[], COUNTA(Table_ChiPhiNV_Ca[[#Headers],[Ca]:[Kết thúc]]),0)),0,
SUM(_xlfn._xlws.FILTER(Table_BangLuong_TyLeTangCa[Tỷ lệ],
(Table_BangLuong_TyLeTangCa[Ngày] = "Thường") *
(Table_BangLuong_TyLeTangCa[Giờ min]&lt;=$AA52) *
(Table_BangLuong_TyLeTangCa[Giờ max]&gt;$AA52)
)))),
IF(BD$4 &gt; BD$5,
IF(
AND(
$AA52-$Z$4&lt;MAX(BD$4,VLOOKUP(BD$6, Table_ChiPhiNV_Ca[], COUNTA(Table_ChiPhiNV_Ca[[#Headers],[Ca]:[Bắt đầu]]),0)),
$AA52&gt;MIN(BD$5,VLOOKUP(BD$6, Table_ChiPhiNV_Ca[], COUNTA(Table_ChiPhiNV_Ca[[#Headers],[Ca]:[Kết thúc]]),0))),0,
SUM(_xlfn._xlws.FILTER(Table_BangLuong_TyLeTangCa[Tỷ lệ],
(Table_BangLuong_TyLeTangCa[Ngày] = "Thường") *
(Table_BangLuong_TyLeTangCa[Giờ min]&lt;=$AA52) *
(Table_BangLuong_TyLeTangCa[Giờ max]&gt;$AA52)
))),
IF(
AND(
$AA52-$Z$4&gt;=MAX(BD$4,VLOOKUP(BD$6, Table_ChiPhiNV_Ca[], COUNTA(Table_ChiPhiNV_Ca[[#Headers],[Ca]:[Bắt đầu]]),0)),
$AA52&lt;MIN(BD$5,VLOOKUP(BD$6, Table_ChiPhiNV_Ca[], COUNTA(Table_ChiPhiNV_Ca[[#Headers],[Ca]:[Kết thúc]]),0))),
SUM(_xlfn._xlws.FILTER(Table_BangLuong_TyLeTangCa[Tỷ lệ],
(Table_BangLuong_TyLeTangCa[Ngày] = "Thường") *
(Table_BangLuong_TyLeTangCa[Giờ min]&lt;=$AA52) *
(Table_BangLuong_TyLeTangCa[Giờ max]&gt;$AA52)
)),0)
)),
IF(BD$4 &lt; BD$5,
IF($AA52-$Z$4&lt;BD$4,0,
IF($AA52&gt;BD$5,0,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BD$5,$AA52 &lt; BD$4),0,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E52" s="18" cm="1">
        <f t="array" ref="BE52" xml:space="preserve">
IFERROR(
IF(BE$1="",0,
IF(AND(
$AA52&gt;=VLOOKUP(BE$6, Table_ChiPhiNV_Ca[], COUNTA(Table_ChiPhiNV_Ca[[#Headers],[Ca]:[Bắt đầu nghỉ]]),0),
$AA52&lt;VLOOKUP(BE$6, Table_ChiPhiNV_Ca[], COUNTA(Table_ChiPhiNV_Ca[[#Headers],[Ca]:[Kết thúc nghỉ]]),0)
),0,
IF(NOT(ISBLANK(BE$3)),
IF(ISBLANK(BE$7),0,
IF(BE$4 &lt; BE$5,
IF($AA52-$Z$4&lt;BE$4,0,
IF($AA52&gt;BE$5,0,
SUM(_xlfn._xlws.FILTER(Table_BangLuong_TyLeTangCa[Tỷ lệ],
(Table_BangLuong_TyLeTangCa[Ngày] = BE$3) *
(Table_BangLuong_TyLeTangCa[Giờ min]&lt;=$AA52) *
(Table_BangLuong_TyLeTangCa[Giờ max]&gt;$AA52)
)))),
IF(AND($AA52-$Z$4 &gt;= BE$5,$AA52 &lt; BE$4),0,
SUM(_xlfn._xlws.FILTER(Table_BangLuong_TyLeTangCa[Tỷ lệ],
(Table_BangLuong_TyLeTangCa[Ngày] = BE$3) *
(Table_BangLuong_TyLeTangCa[Giờ min]&lt;=$AA52) *
(Table_BangLuong_TyLeTangCa[Giờ max]&gt;$AA52)
))))
),
IF(ISBLANK(BE$7),
IF(VLOOKUP(BE$6, Table_ChiPhiNV_Ca[], COUNTA(Table_ChiPhiNV_Ca[[#Headers],[Ca]:[Kết thúc]]),0)&gt; VLOOKUP(BE$6, Table_ChiPhiNV_Ca[], COUNTA(Table_ChiPhiNV_Ca[[#Headers],[Ca]:[Bắt đầu]]),0),
IF($AA52-$Z$4&lt;MAX(BE$4,VLOOKUP(BE$6, Table_ChiPhiNV_Ca[], COUNTA(Table_ChiPhiNV_Ca[[#Headers],[Ca]:[Bắt đầu]]),0)),0,
IF($AA52&gt;MIN(BE$5,VLOOKUP(BE$6, Table_ChiPhiNV_Ca[], COUNTA(Table_ChiPhiNV_Ca[[#Headers],[Ca]:[Kết thúc]]),0)),0,
SUM(_xlfn._xlws.FILTER(Table_BangLuong_TyLeTangCa[Tỷ lệ],
(Table_BangLuong_TyLeTangCa[Ngày] = "Thường") *
(Table_BangLuong_TyLeTangCa[Giờ min]&lt;=$AA52) *
(Table_BangLuong_TyLeTangCa[Giờ max]&gt;$AA52)
)))),
IF(BE$4 &gt; BE$5,
IF(
AND(
$AA52-$Z$4&lt;MAX(BE$4,VLOOKUP(BE$6, Table_ChiPhiNV_Ca[], COUNTA(Table_ChiPhiNV_Ca[[#Headers],[Ca]:[Bắt đầu]]),0)),
$AA52&gt;MIN(BE$5,VLOOKUP(BE$6, Table_ChiPhiNV_Ca[], COUNTA(Table_ChiPhiNV_Ca[[#Headers],[Ca]:[Kết thúc]]),0))),0,
SUM(_xlfn._xlws.FILTER(Table_BangLuong_TyLeTangCa[Tỷ lệ],
(Table_BangLuong_TyLeTangCa[Ngày] = "Thường") *
(Table_BangLuong_TyLeTangCa[Giờ min]&lt;=$AA52) *
(Table_BangLuong_TyLeTangCa[Giờ max]&gt;$AA52)
))),
IF(
AND(
$AA52-$Z$4&gt;=MAX(BE$4,VLOOKUP(BE$6, Table_ChiPhiNV_Ca[], COUNTA(Table_ChiPhiNV_Ca[[#Headers],[Ca]:[Bắt đầu]]),0)),
$AA52&lt;MIN(BE$5,VLOOKUP(BE$6, Table_ChiPhiNV_Ca[], COUNTA(Table_ChiPhiNV_Ca[[#Headers],[Ca]:[Kết thúc]]),0))),
SUM(_xlfn._xlws.FILTER(Table_BangLuong_TyLeTangCa[Tỷ lệ],
(Table_BangLuong_TyLeTangCa[Ngày] = "Thường") *
(Table_BangLuong_TyLeTangCa[Giờ min]&lt;=$AA52) *
(Table_BangLuong_TyLeTangCa[Giờ max]&gt;$AA52)
)),0)
)),
IF(BE$4 &lt; BE$5,
IF($AA52-$Z$4&lt;BE$4,0,
IF($AA52&gt;BE$5,0,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BE$5,$AA52 &lt; BE$4),0,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F52" s="18" cm="1">
        <f t="array" ref="BF52" xml:space="preserve">
IFERROR(
IF(BF$1="",0,
IF(AND(
$AA52&gt;=VLOOKUP(BF$6, Table_ChiPhiNV_Ca[], COUNTA(Table_ChiPhiNV_Ca[[#Headers],[Ca]:[Bắt đầu nghỉ]]),0),
$AA52&lt;VLOOKUP(BF$6, Table_ChiPhiNV_Ca[], COUNTA(Table_ChiPhiNV_Ca[[#Headers],[Ca]:[Kết thúc nghỉ]]),0)
),0,
IF(NOT(ISBLANK(BF$3)),
IF(ISBLANK(BF$7),0,
IF(BF$4 &lt; BF$5,
IF($AA52-$Z$4&lt;BF$4,0,
IF($AA52&gt;BF$5,0,
SUM(_xlfn._xlws.FILTER(Table_BangLuong_TyLeTangCa[Tỷ lệ],
(Table_BangLuong_TyLeTangCa[Ngày] = BF$3) *
(Table_BangLuong_TyLeTangCa[Giờ min]&lt;=$AA52) *
(Table_BangLuong_TyLeTangCa[Giờ max]&gt;$AA52)
)))),
IF(AND($AA52-$Z$4 &gt;= BF$5,$AA52 &lt; BF$4),0,
SUM(_xlfn._xlws.FILTER(Table_BangLuong_TyLeTangCa[Tỷ lệ],
(Table_BangLuong_TyLeTangCa[Ngày] = BF$3) *
(Table_BangLuong_TyLeTangCa[Giờ min]&lt;=$AA52) *
(Table_BangLuong_TyLeTangCa[Giờ max]&gt;$AA52)
))))
),
IF(ISBLANK(BF$7),
IF(VLOOKUP(BF$6, Table_ChiPhiNV_Ca[], COUNTA(Table_ChiPhiNV_Ca[[#Headers],[Ca]:[Kết thúc]]),0)&gt; VLOOKUP(BF$6, Table_ChiPhiNV_Ca[], COUNTA(Table_ChiPhiNV_Ca[[#Headers],[Ca]:[Bắt đầu]]),0),
IF($AA52-$Z$4&lt;MAX(BF$4,VLOOKUP(BF$6, Table_ChiPhiNV_Ca[], COUNTA(Table_ChiPhiNV_Ca[[#Headers],[Ca]:[Bắt đầu]]),0)),0,
IF($AA52&gt;MIN(BF$5,VLOOKUP(BF$6, Table_ChiPhiNV_Ca[], COUNTA(Table_ChiPhiNV_Ca[[#Headers],[Ca]:[Kết thúc]]),0)),0,
SUM(_xlfn._xlws.FILTER(Table_BangLuong_TyLeTangCa[Tỷ lệ],
(Table_BangLuong_TyLeTangCa[Ngày] = "Thường") *
(Table_BangLuong_TyLeTangCa[Giờ min]&lt;=$AA52) *
(Table_BangLuong_TyLeTangCa[Giờ max]&gt;$AA52)
)))),
IF(BF$4 &gt; BF$5,
IF(
AND(
$AA52-$Z$4&lt;MAX(BF$4,VLOOKUP(BF$6, Table_ChiPhiNV_Ca[], COUNTA(Table_ChiPhiNV_Ca[[#Headers],[Ca]:[Bắt đầu]]),0)),
$AA52&gt;MIN(BF$5,VLOOKUP(BF$6, Table_ChiPhiNV_Ca[], COUNTA(Table_ChiPhiNV_Ca[[#Headers],[Ca]:[Kết thúc]]),0))),0,
SUM(_xlfn._xlws.FILTER(Table_BangLuong_TyLeTangCa[Tỷ lệ],
(Table_BangLuong_TyLeTangCa[Ngày] = "Thường") *
(Table_BangLuong_TyLeTangCa[Giờ min]&lt;=$AA52) *
(Table_BangLuong_TyLeTangCa[Giờ max]&gt;$AA52)
))),
IF(
AND(
$AA52-$Z$4&gt;=MAX(BF$4,VLOOKUP(BF$6, Table_ChiPhiNV_Ca[], COUNTA(Table_ChiPhiNV_Ca[[#Headers],[Ca]:[Bắt đầu]]),0)),
$AA52&lt;MIN(BF$5,VLOOKUP(BF$6, Table_ChiPhiNV_Ca[], COUNTA(Table_ChiPhiNV_Ca[[#Headers],[Ca]:[Kết thúc]]),0))),
SUM(_xlfn._xlws.FILTER(Table_BangLuong_TyLeTangCa[Tỷ lệ],
(Table_BangLuong_TyLeTangCa[Ngày] = "Thường") *
(Table_BangLuong_TyLeTangCa[Giờ min]&lt;=$AA52) *
(Table_BangLuong_TyLeTangCa[Giờ max]&gt;$AA52)
)),0)
)),
IF(BF$4 &lt; BF$5,
IF($AA52-$Z$4&lt;BF$4,0,
IF($AA52&gt;BF$5,0,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BF$5,$AA52 &lt; BF$4),0,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row>
    <row r="53" spans="27:58" ht="18" customHeight="1" outlineLevel="1" x14ac:dyDescent="0.3">
      <c r="AA53" s="50">
        <v>0.91666666666666696</v>
      </c>
      <c r="AB53" s="18" cm="1">
        <f t="array" ref="AB53" xml:space="preserve">
IFERROR(
IF(AB$1="",0,
IF(AND(
$AA53&gt;=VLOOKUP(AB$6, Table_ChiPhiNV_Ca[], COUNTA(Table_ChiPhiNV_Ca[[#Headers],[Ca]:[Bắt đầu nghỉ]]),0),
$AA53&lt;VLOOKUP(AB$6, Table_ChiPhiNV_Ca[], COUNTA(Table_ChiPhiNV_Ca[[#Headers],[Ca]:[Kết thúc nghỉ]]),0)
),0,
IF(NOT(ISBLANK(AB$3)),
IF(ISBLANK(AB$7),0,
IF(AB$4 &lt; AB$5,
IF($AA53-$Z$4&lt;AB$4,0,
IF($AA53&gt;AB$5,0,
SUM(_xlfn._xlws.FILTER(Table_BangLuong_TyLeTangCa[Tỷ lệ],
(Table_BangLuong_TyLeTangCa[Ngày] = AB$3) *
(Table_BangLuong_TyLeTangCa[Giờ min]&lt;=$AA53) *
(Table_BangLuong_TyLeTangCa[Giờ max]&gt;$AA53)
)))),
IF(AND($AA53-$Z$4 &gt;= AB$5,$AA53 &lt; AB$4),0,
SUM(_xlfn._xlws.FILTER(Table_BangLuong_TyLeTangCa[Tỷ lệ],
(Table_BangLuong_TyLeTangCa[Ngày] = AB$3) *
(Table_BangLuong_TyLeTangCa[Giờ min]&lt;=$AA53) *
(Table_BangLuong_TyLeTangCa[Giờ max]&gt;$AA53)
))))
),
IF(ISBLANK(AB$7),
IF(VLOOKUP(AB$6, Table_ChiPhiNV_Ca[], COUNTA(Table_ChiPhiNV_Ca[[#Headers],[Ca]:[Kết thúc]]),0)&gt; VLOOKUP(AB$6, Table_ChiPhiNV_Ca[], COUNTA(Table_ChiPhiNV_Ca[[#Headers],[Ca]:[Bắt đầu]]),0),
IF($AA53-$Z$4&lt;MAX(AB$4,VLOOKUP(AB$6, Table_ChiPhiNV_Ca[], COUNTA(Table_ChiPhiNV_Ca[[#Headers],[Ca]:[Bắt đầu]]),0)),0,
IF($AA53&gt;MIN(AB$5,VLOOKUP(AB$6, Table_ChiPhiNV_Ca[], COUNTA(Table_ChiPhiNV_Ca[[#Headers],[Ca]:[Kết thúc]]),0)),0,
SUM(_xlfn._xlws.FILTER(Table_BangLuong_TyLeTangCa[Tỷ lệ],
(Table_BangLuong_TyLeTangCa[Ngày] = "Thường") *
(Table_BangLuong_TyLeTangCa[Giờ min]&lt;=$AA53) *
(Table_BangLuong_TyLeTangCa[Giờ max]&gt;$AA53)
)))),
IF(AB$4 &gt; AB$5,
IF(
AND(
$AA53-$Z$4&lt;MAX(AB$4,VLOOKUP(AB$6, Table_ChiPhiNV_Ca[], COUNTA(Table_ChiPhiNV_Ca[[#Headers],[Ca]:[Bắt đầu]]),0)),
$AA53&gt;MIN(AB$5,VLOOKUP(AB$6, Table_ChiPhiNV_Ca[], COUNTA(Table_ChiPhiNV_Ca[[#Headers],[Ca]:[Kết thúc]]),0))),0,
SUM(_xlfn._xlws.FILTER(Table_BangLuong_TyLeTangCa[Tỷ lệ],
(Table_BangLuong_TyLeTangCa[Ngày] = "Thường") *
(Table_BangLuong_TyLeTangCa[Giờ min]&lt;=$AA53) *
(Table_BangLuong_TyLeTangCa[Giờ max]&gt;$AA53)
))),
IF(
AND(
$AA53-$Z$4&gt;=MAX(AB$4,VLOOKUP(AB$6, Table_ChiPhiNV_Ca[], COUNTA(Table_ChiPhiNV_Ca[[#Headers],[Ca]:[Bắt đầu]]),0)),
$AA53&lt;MIN(AB$5,VLOOKUP(AB$6, Table_ChiPhiNV_Ca[], COUNTA(Table_ChiPhiNV_Ca[[#Headers],[Ca]:[Kết thúc]]),0))),
SUM(_xlfn._xlws.FILTER(Table_BangLuong_TyLeTangCa[Tỷ lệ],
(Table_BangLuong_TyLeTangCa[Ngày] = "Thường") *
(Table_BangLuong_TyLeTangCa[Giờ min]&lt;=$AA53) *
(Table_BangLuong_TyLeTangCa[Giờ max]&gt;$AA53)
)),0)
)),
IF(AB$4 &lt; AB$5,
IF($AA53-$Z$4&lt;AB$4,0,
IF($AA53&gt;AB$5,0,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AB$5,$AA53 &lt; AB$4),0,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C53" s="18" cm="1">
        <f t="array" ref="AC53" xml:space="preserve">
IFERROR(
IF(AC$1="",0,
IF(AND(
$AA53&gt;=VLOOKUP(AC$6, Table_ChiPhiNV_Ca[], COUNTA(Table_ChiPhiNV_Ca[[#Headers],[Ca]:[Bắt đầu nghỉ]]),0),
$AA53&lt;VLOOKUP(AC$6, Table_ChiPhiNV_Ca[], COUNTA(Table_ChiPhiNV_Ca[[#Headers],[Ca]:[Kết thúc nghỉ]]),0)
),0,
IF(NOT(ISBLANK(AC$3)),
IF(ISBLANK(AC$7),0,
IF(AC$4 &lt; AC$5,
IF($AA53-$Z$4&lt;AC$4,0,
IF($AA53&gt;AC$5,0,
SUM(_xlfn._xlws.FILTER(Table_BangLuong_TyLeTangCa[Tỷ lệ],
(Table_BangLuong_TyLeTangCa[Ngày] = AC$3) *
(Table_BangLuong_TyLeTangCa[Giờ min]&lt;=$AA53) *
(Table_BangLuong_TyLeTangCa[Giờ max]&gt;$AA53)
)))),
IF(AND($AA53-$Z$4 &gt;= AC$5,$AA53 &lt; AC$4),0,
SUM(_xlfn._xlws.FILTER(Table_BangLuong_TyLeTangCa[Tỷ lệ],
(Table_BangLuong_TyLeTangCa[Ngày] = AC$3) *
(Table_BangLuong_TyLeTangCa[Giờ min]&lt;=$AA53) *
(Table_BangLuong_TyLeTangCa[Giờ max]&gt;$AA53)
))))
),
IF(ISBLANK(AC$7),
IF(VLOOKUP(AC$6, Table_ChiPhiNV_Ca[], COUNTA(Table_ChiPhiNV_Ca[[#Headers],[Ca]:[Kết thúc]]),0)&gt; VLOOKUP(AC$6, Table_ChiPhiNV_Ca[], COUNTA(Table_ChiPhiNV_Ca[[#Headers],[Ca]:[Bắt đầu]]),0),
IF($AA53-$Z$4&lt;MAX(AC$4,VLOOKUP(AC$6, Table_ChiPhiNV_Ca[], COUNTA(Table_ChiPhiNV_Ca[[#Headers],[Ca]:[Bắt đầu]]),0)),0,
IF($AA53&gt;MIN(AC$5,VLOOKUP(AC$6, Table_ChiPhiNV_Ca[], COUNTA(Table_ChiPhiNV_Ca[[#Headers],[Ca]:[Kết thúc]]),0)),0,
SUM(_xlfn._xlws.FILTER(Table_BangLuong_TyLeTangCa[Tỷ lệ],
(Table_BangLuong_TyLeTangCa[Ngày] = "Thường") *
(Table_BangLuong_TyLeTangCa[Giờ min]&lt;=$AA53) *
(Table_BangLuong_TyLeTangCa[Giờ max]&gt;$AA53)
)))),
IF(AC$4 &gt; AC$5,
IF(
AND(
$AA53-$Z$4&lt;MAX(AC$4,VLOOKUP(AC$6, Table_ChiPhiNV_Ca[], COUNTA(Table_ChiPhiNV_Ca[[#Headers],[Ca]:[Bắt đầu]]),0)),
$AA53&gt;MIN(AC$5,VLOOKUP(AC$6, Table_ChiPhiNV_Ca[], COUNTA(Table_ChiPhiNV_Ca[[#Headers],[Ca]:[Kết thúc]]),0))),0,
SUM(_xlfn._xlws.FILTER(Table_BangLuong_TyLeTangCa[Tỷ lệ],
(Table_BangLuong_TyLeTangCa[Ngày] = "Thường") *
(Table_BangLuong_TyLeTangCa[Giờ min]&lt;=$AA53) *
(Table_BangLuong_TyLeTangCa[Giờ max]&gt;$AA53)
))),
IF(
AND(
$AA53-$Z$4&gt;=MAX(AC$4,VLOOKUP(AC$6, Table_ChiPhiNV_Ca[], COUNTA(Table_ChiPhiNV_Ca[[#Headers],[Ca]:[Bắt đầu]]),0)),
$AA53&lt;MIN(AC$5,VLOOKUP(AC$6, Table_ChiPhiNV_Ca[], COUNTA(Table_ChiPhiNV_Ca[[#Headers],[Ca]:[Kết thúc]]),0))),
SUM(_xlfn._xlws.FILTER(Table_BangLuong_TyLeTangCa[Tỷ lệ],
(Table_BangLuong_TyLeTangCa[Ngày] = "Thường") *
(Table_BangLuong_TyLeTangCa[Giờ min]&lt;=$AA53) *
(Table_BangLuong_TyLeTangCa[Giờ max]&gt;$AA53)
)),0)
)),
IF(AC$4 &lt; AC$5,
IF($AA53-$Z$4&lt;AC$4,0,
IF($AA53&gt;AC$5,0,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AC$5,$AA53 &lt; AC$4),0,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2.6</v>
      </c>
      <c r="AD53" s="18" cm="1">
        <f t="array" ref="AD53" xml:space="preserve">
IFERROR(
IF(AD$1="",0,
IF(AND(
$AA53&gt;=VLOOKUP(AD$6, Table_ChiPhiNV_Ca[], COUNTA(Table_ChiPhiNV_Ca[[#Headers],[Ca]:[Bắt đầu nghỉ]]),0),
$AA53&lt;VLOOKUP(AD$6, Table_ChiPhiNV_Ca[], COUNTA(Table_ChiPhiNV_Ca[[#Headers],[Ca]:[Kết thúc nghỉ]]),0)
),0,
IF(NOT(ISBLANK(AD$3)),
IF(ISBLANK(AD$7),0,
IF(AD$4 &lt; AD$5,
IF($AA53-$Z$4&lt;AD$4,0,
IF($AA53&gt;AD$5,0,
SUM(_xlfn._xlws.FILTER(Table_BangLuong_TyLeTangCa[Tỷ lệ],
(Table_BangLuong_TyLeTangCa[Ngày] = AD$3) *
(Table_BangLuong_TyLeTangCa[Giờ min]&lt;=$AA53) *
(Table_BangLuong_TyLeTangCa[Giờ max]&gt;$AA53)
)))),
IF(AND($AA53-$Z$4 &gt;= AD$5,$AA53 &lt; AD$4),0,
SUM(_xlfn._xlws.FILTER(Table_BangLuong_TyLeTangCa[Tỷ lệ],
(Table_BangLuong_TyLeTangCa[Ngày] = AD$3) *
(Table_BangLuong_TyLeTangCa[Giờ min]&lt;=$AA53) *
(Table_BangLuong_TyLeTangCa[Giờ max]&gt;$AA53)
))))
),
IF(ISBLANK(AD$7),
IF(VLOOKUP(AD$6, Table_ChiPhiNV_Ca[], COUNTA(Table_ChiPhiNV_Ca[[#Headers],[Ca]:[Kết thúc]]),0)&gt; VLOOKUP(AD$6, Table_ChiPhiNV_Ca[], COUNTA(Table_ChiPhiNV_Ca[[#Headers],[Ca]:[Bắt đầu]]),0),
IF($AA53-$Z$4&lt;MAX(AD$4,VLOOKUP(AD$6, Table_ChiPhiNV_Ca[], COUNTA(Table_ChiPhiNV_Ca[[#Headers],[Ca]:[Bắt đầu]]),0)),0,
IF($AA53&gt;MIN(AD$5,VLOOKUP(AD$6, Table_ChiPhiNV_Ca[], COUNTA(Table_ChiPhiNV_Ca[[#Headers],[Ca]:[Kết thúc]]),0)),0,
SUM(_xlfn._xlws.FILTER(Table_BangLuong_TyLeTangCa[Tỷ lệ],
(Table_BangLuong_TyLeTangCa[Ngày] = "Thường") *
(Table_BangLuong_TyLeTangCa[Giờ min]&lt;=$AA53) *
(Table_BangLuong_TyLeTangCa[Giờ max]&gt;$AA53)
)))),
IF(AD$4 &gt; AD$5,
IF(
AND(
$AA53-$Z$4&lt;MAX(AD$4,VLOOKUP(AD$6, Table_ChiPhiNV_Ca[], COUNTA(Table_ChiPhiNV_Ca[[#Headers],[Ca]:[Bắt đầu]]),0)),
$AA53&gt;MIN(AD$5,VLOOKUP(AD$6, Table_ChiPhiNV_Ca[], COUNTA(Table_ChiPhiNV_Ca[[#Headers],[Ca]:[Kết thúc]]),0))),0,
SUM(_xlfn._xlws.FILTER(Table_BangLuong_TyLeTangCa[Tỷ lệ],
(Table_BangLuong_TyLeTangCa[Ngày] = "Thường") *
(Table_BangLuong_TyLeTangCa[Giờ min]&lt;=$AA53) *
(Table_BangLuong_TyLeTangCa[Giờ max]&gt;$AA53)
))),
IF(
AND(
$AA53-$Z$4&gt;=MAX(AD$4,VLOOKUP(AD$6, Table_ChiPhiNV_Ca[], COUNTA(Table_ChiPhiNV_Ca[[#Headers],[Ca]:[Bắt đầu]]),0)),
$AA53&lt;MIN(AD$5,VLOOKUP(AD$6, Table_ChiPhiNV_Ca[], COUNTA(Table_ChiPhiNV_Ca[[#Headers],[Ca]:[Kết thúc]]),0))),
SUM(_xlfn._xlws.FILTER(Table_BangLuong_TyLeTangCa[Tỷ lệ],
(Table_BangLuong_TyLeTangCa[Ngày] = "Thường") *
(Table_BangLuong_TyLeTangCa[Giờ min]&lt;=$AA53) *
(Table_BangLuong_TyLeTangCa[Giờ max]&gt;$AA53)
)),0)
)),
IF(AD$4 &lt; AD$5,
IF($AA53-$Z$4&lt;AD$4,0,
IF($AA53&gt;AD$5,0,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AD$5,$AA53 &lt; AD$4),0,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E53" s="18" cm="1">
        <f t="array" ref="AE53" xml:space="preserve">
IFERROR(
IF(AE$1="",0,
IF(AND(
$AA53&gt;=VLOOKUP(AE$6, Table_ChiPhiNV_Ca[], COUNTA(Table_ChiPhiNV_Ca[[#Headers],[Ca]:[Bắt đầu nghỉ]]),0),
$AA53&lt;VLOOKUP(AE$6, Table_ChiPhiNV_Ca[], COUNTA(Table_ChiPhiNV_Ca[[#Headers],[Ca]:[Kết thúc nghỉ]]),0)
),0,
IF(NOT(ISBLANK(AE$3)),
IF(ISBLANK(AE$7),0,
IF(AE$4 &lt; AE$5,
IF($AA53-$Z$4&lt;AE$4,0,
IF($AA53&gt;AE$5,0,
SUM(_xlfn._xlws.FILTER(Table_BangLuong_TyLeTangCa[Tỷ lệ],
(Table_BangLuong_TyLeTangCa[Ngày] = AE$3) *
(Table_BangLuong_TyLeTangCa[Giờ min]&lt;=$AA53) *
(Table_BangLuong_TyLeTangCa[Giờ max]&gt;$AA53)
)))),
IF(AND($AA53-$Z$4 &gt;= AE$5,$AA53 &lt; AE$4),0,
SUM(_xlfn._xlws.FILTER(Table_BangLuong_TyLeTangCa[Tỷ lệ],
(Table_BangLuong_TyLeTangCa[Ngày] = AE$3) *
(Table_BangLuong_TyLeTangCa[Giờ min]&lt;=$AA53) *
(Table_BangLuong_TyLeTangCa[Giờ max]&gt;$AA53)
))))
),
IF(ISBLANK(AE$7),
IF(VLOOKUP(AE$6, Table_ChiPhiNV_Ca[], COUNTA(Table_ChiPhiNV_Ca[[#Headers],[Ca]:[Kết thúc]]),0)&gt; VLOOKUP(AE$6, Table_ChiPhiNV_Ca[], COUNTA(Table_ChiPhiNV_Ca[[#Headers],[Ca]:[Bắt đầu]]),0),
IF($AA53-$Z$4&lt;MAX(AE$4,VLOOKUP(AE$6, Table_ChiPhiNV_Ca[], COUNTA(Table_ChiPhiNV_Ca[[#Headers],[Ca]:[Bắt đầu]]),0)),0,
IF($AA53&gt;MIN(AE$5,VLOOKUP(AE$6, Table_ChiPhiNV_Ca[], COUNTA(Table_ChiPhiNV_Ca[[#Headers],[Ca]:[Kết thúc]]),0)),0,
SUM(_xlfn._xlws.FILTER(Table_BangLuong_TyLeTangCa[Tỷ lệ],
(Table_BangLuong_TyLeTangCa[Ngày] = "Thường") *
(Table_BangLuong_TyLeTangCa[Giờ min]&lt;=$AA53) *
(Table_BangLuong_TyLeTangCa[Giờ max]&gt;$AA53)
)))),
IF(AE$4 &gt; AE$5,
IF(
AND(
$AA53-$Z$4&lt;MAX(AE$4,VLOOKUP(AE$6, Table_ChiPhiNV_Ca[], COUNTA(Table_ChiPhiNV_Ca[[#Headers],[Ca]:[Bắt đầu]]),0)),
$AA53&gt;MIN(AE$5,VLOOKUP(AE$6, Table_ChiPhiNV_Ca[], COUNTA(Table_ChiPhiNV_Ca[[#Headers],[Ca]:[Kết thúc]]),0))),0,
SUM(_xlfn._xlws.FILTER(Table_BangLuong_TyLeTangCa[Tỷ lệ],
(Table_BangLuong_TyLeTangCa[Ngày] = "Thường") *
(Table_BangLuong_TyLeTangCa[Giờ min]&lt;=$AA53) *
(Table_BangLuong_TyLeTangCa[Giờ max]&gt;$AA53)
))),
IF(
AND(
$AA53-$Z$4&gt;=MAX(AE$4,VLOOKUP(AE$6, Table_ChiPhiNV_Ca[], COUNTA(Table_ChiPhiNV_Ca[[#Headers],[Ca]:[Bắt đầu]]),0)),
$AA53&lt;MIN(AE$5,VLOOKUP(AE$6, Table_ChiPhiNV_Ca[], COUNTA(Table_ChiPhiNV_Ca[[#Headers],[Ca]:[Kết thúc]]),0))),
SUM(_xlfn._xlws.FILTER(Table_BangLuong_TyLeTangCa[Tỷ lệ],
(Table_BangLuong_TyLeTangCa[Ngày] = "Thường") *
(Table_BangLuong_TyLeTangCa[Giờ min]&lt;=$AA53) *
(Table_BangLuong_TyLeTangCa[Giờ max]&gt;$AA53)
)),0)
)),
IF(AE$4 &lt; AE$5,
IF($AA53-$Z$4&lt;AE$4,0,
IF($AA53&gt;AE$5,0,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AE$5,$AA53 &lt; AE$4),0,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F53" s="18" cm="1">
        <f t="array" ref="AF53" xml:space="preserve">
IFERROR(
IF(AF$1="",0,
IF(AND(
$AA53&gt;=VLOOKUP(AF$6, Table_ChiPhiNV_Ca[], COUNTA(Table_ChiPhiNV_Ca[[#Headers],[Ca]:[Bắt đầu nghỉ]]),0),
$AA53&lt;VLOOKUP(AF$6, Table_ChiPhiNV_Ca[], COUNTA(Table_ChiPhiNV_Ca[[#Headers],[Ca]:[Kết thúc nghỉ]]),0)
),0,
IF(NOT(ISBLANK(AF$3)),
IF(ISBLANK(AF$7),0,
IF(AF$4 &lt; AF$5,
IF($AA53-$Z$4&lt;AF$4,0,
IF($AA53&gt;AF$5,0,
SUM(_xlfn._xlws.FILTER(Table_BangLuong_TyLeTangCa[Tỷ lệ],
(Table_BangLuong_TyLeTangCa[Ngày] = AF$3) *
(Table_BangLuong_TyLeTangCa[Giờ min]&lt;=$AA53) *
(Table_BangLuong_TyLeTangCa[Giờ max]&gt;$AA53)
)))),
IF(AND($AA53-$Z$4 &gt;= AF$5,$AA53 &lt; AF$4),0,
SUM(_xlfn._xlws.FILTER(Table_BangLuong_TyLeTangCa[Tỷ lệ],
(Table_BangLuong_TyLeTangCa[Ngày] = AF$3) *
(Table_BangLuong_TyLeTangCa[Giờ min]&lt;=$AA53) *
(Table_BangLuong_TyLeTangCa[Giờ max]&gt;$AA53)
))))
),
IF(ISBLANK(AF$7),
IF(VLOOKUP(AF$6, Table_ChiPhiNV_Ca[], COUNTA(Table_ChiPhiNV_Ca[[#Headers],[Ca]:[Kết thúc]]),0)&gt; VLOOKUP(AF$6, Table_ChiPhiNV_Ca[], COUNTA(Table_ChiPhiNV_Ca[[#Headers],[Ca]:[Bắt đầu]]),0),
IF($AA53-$Z$4&lt;MAX(AF$4,VLOOKUP(AF$6, Table_ChiPhiNV_Ca[], COUNTA(Table_ChiPhiNV_Ca[[#Headers],[Ca]:[Bắt đầu]]),0)),0,
IF($AA53&gt;MIN(AF$5,VLOOKUP(AF$6, Table_ChiPhiNV_Ca[], COUNTA(Table_ChiPhiNV_Ca[[#Headers],[Ca]:[Kết thúc]]),0)),0,
SUM(_xlfn._xlws.FILTER(Table_BangLuong_TyLeTangCa[Tỷ lệ],
(Table_BangLuong_TyLeTangCa[Ngày] = "Thường") *
(Table_BangLuong_TyLeTangCa[Giờ min]&lt;=$AA53) *
(Table_BangLuong_TyLeTangCa[Giờ max]&gt;$AA53)
)))),
IF(AF$4 &gt; AF$5,
IF(
AND(
$AA53-$Z$4&lt;MAX(AF$4,VLOOKUP(AF$6, Table_ChiPhiNV_Ca[], COUNTA(Table_ChiPhiNV_Ca[[#Headers],[Ca]:[Bắt đầu]]),0)),
$AA53&gt;MIN(AF$5,VLOOKUP(AF$6, Table_ChiPhiNV_Ca[], COUNTA(Table_ChiPhiNV_Ca[[#Headers],[Ca]:[Kết thúc]]),0))),0,
SUM(_xlfn._xlws.FILTER(Table_BangLuong_TyLeTangCa[Tỷ lệ],
(Table_BangLuong_TyLeTangCa[Ngày] = "Thường") *
(Table_BangLuong_TyLeTangCa[Giờ min]&lt;=$AA53) *
(Table_BangLuong_TyLeTangCa[Giờ max]&gt;$AA53)
))),
IF(
AND(
$AA53-$Z$4&gt;=MAX(AF$4,VLOOKUP(AF$6, Table_ChiPhiNV_Ca[], COUNTA(Table_ChiPhiNV_Ca[[#Headers],[Ca]:[Bắt đầu]]),0)),
$AA53&lt;MIN(AF$5,VLOOKUP(AF$6, Table_ChiPhiNV_Ca[], COUNTA(Table_ChiPhiNV_Ca[[#Headers],[Ca]:[Kết thúc]]),0))),
SUM(_xlfn._xlws.FILTER(Table_BangLuong_TyLeTangCa[Tỷ lệ],
(Table_BangLuong_TyLeTangCa[Ngày] = "Thường") *
(Table_BangLuong_TyLeTangCa[Giờ min]&lt;=$AA53) *
(Table_BangLuong_TyLeTangCa[Giờ max]&gt;$AA53)
)),0)
)),
IF(AF$4 &lt; AF$5,
IF($AA53-$Z$4&lt;AF$4,0,
IF($AA53&gt;AF$5,0,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AF$5,$AA53 &lt; AF$4),0,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G53" s="18" cm="1">
        <f t="array" ref="AG53" xml:space="preserve">
IFERROR(
IF(AG$1="",0,
IF(AND(
$AA53&gt;=VLOOKUP(AG$6, Table_ChiPhiNV_Ca[], COUNTA(Table_ChiPhiNV_Ca[[#Headers],[Ca]:[Bắt đầu nghỉ]]),0),
$AA53&lt;VLOOKUP(AG$6, Table_ChiPhiNV_Ca[], COUNTA(Table_ChiPhiNV_Ca[[#Headers],[Ca]:[Kết thúc nghỉ]]),0)
),0,
IF(NOT(ISBLANK(AG$3)),
IF(ISBLANK(AG$7),0,
IF(AG$4 &lt; AG$5,
IF($AA53-$Z$4&lt;AG$4,0,
IF($AA53&gt;AG$5,0,
SUM(_xlfn._xlws.FILTER(Table_BangLuong_TyLeTangCa[Tỷ lệ],
(Table_BangLuong_TyLeTangCa[Ngày] = AG$3) *
(Table_BangLuong_TyLeTangCa[Giờ min]&lt;=$AA53) *
(Table_BangLuong_TyLeTangCa[Giờ max]&gt;$AA53)
)))),
IF(AND($AA53-$Z$4 &gt;= AG$5,$AA53 &lt; AG$4),0,
SUM(_xlfn._xlws.FILTER(Table_BangLuong_TyLeTangCa[Tỷ lệ],
(Table_BangLuong_TyLeTangCa[Ngày] = AG$3) *
(Table_BangLuong_TyLeTangCa[Giờ min]&lt;=$AA53) *
(Table_BangLuong_TyLeTangCa[Giờ max]&gt;$AA53)
))))
),
IF(ISBLANK(AG$7),
IF(VLOOKUP(AG$6, Table_ChiPhiNV_Ca[], COUNTA(Table_ChiPhiNV_Ca[[#Headers],[Ca]:[Kết thúc]]),0)&gt; VLOOKUP(AG$6, Table_ChiPhiNV_Ca[], COUNTA(Table_ChiPhiNV_Ca[[#Headers],[Ca]:[Bắt đầu]]),0),
IF($AA53-$Z$4&lt;MAX(AG$4,VLOOKUP(AG$6, Table_ChiPhiNV_Ca[], COUNTA(Table_ChiPhiNV_Ca[[#Headers],[Ca]:[Bắt đầu]]),0)),0,
IF($AA53&gt;MIN(AG$5,VLOOKUP(AG$6, Table_ChiPhiNV_Ca[], COUNTA(Table_ChiPhiNV_Ca[[#Headers],[Ca]:[Kết thúc]]),0)),0,
SUM(_xlfn._xlws.FILTER(Table_BangLuong_TyLeTangCa[Tỷ lệ],
(Table_BangLuong_TyLeTangCa[Ngày] = "Thường") *
(Table_BangLuong_TyLeTangCa[Giờ min]&lt;=$AA53) *
(Table_BangLuong_TyLeTangCa[Giờ max]&gt;$AA53)
)))),
IF(AG$4 &gt; AG$5,
IF(
AND(
$AA53-$Z$4&lt;MAX(AG$4,VLOOKUP(AG$6, Table_ChiPhiNV_Ca[], COUNTA(Table_ChiPhiNV_Ca[[#Headers],[Ca]:[Bắt đầu]]),0)),
$AA53&gt;MIN(AG$5,VLOOKUP(AG$6, Table_ChiPhiNV_Ca[], COUNTA(Table_ChiPhiNV_Ca[[#Headers],[Ca]:[Kết thúc]]),0))),0,
SUM(_xlfn._xlws.FILTER(Table_BangLuong_TyLeTangCa[Tỷ lệ],
(Table_BangLuong_TyLeTangCa[Ngày] = "Thường") *
(Table_BangLuong_TyLeTangCa[Giờ min]&lt;=$AA53) *
(Table_BangLuong_TyLeTangCa[Giờ max]&gt;$AA53)
))),
IF(
AND(
$AA53-$Z$4&gt;=MAX(AG$4,VLOOKUP(AG$6, Table_ChiPhiNV_Ca[], COUNTA(Table_ChiPhiNV_Ca[[#Headers],[Ca]:[Bắt đầu]]),0)),
$AA53&lt;MIN(AG$5,VLOOKUP(AG$6, Table_ChiPhiNV_Ca[], COUNTA(Table_ChiPhiNV_Ca[[#Headers],[Ca]:[Kết thúc]]),0))),
SUM(_xlfn._xlws.FILTER(Table_BangLuong_TyLeTangCa[Tỷ lệ],
(Table_BangLuong_TyLeTangCa[Ngày] = "Thường") *
(Table_BangLuong_TyLeTangCa[Giờ min]&lt;=$AA53) *
(Table_BangLuong_TyLeTangCa[Giờ max]&gt;$AA53)
)),0)
)),
IF(AG$4 &lt; AG$5,
IF($AA53-$Z$4&lt;AG$4,0,
IF($AA53&gt;AG$5,0,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AG$5,$AA53 &lt; AG$4),0,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H53" s="18" cm="1">
        <f t="array" ref="AH53" xml:space="preserve">
IFERROR(
IF(AH$1="",0,
IF(AND(
$AA53&gt;=VLOOKUP(AH$6, Table_ChiPhiNV_Ca[], COUNTA(Table_ChiPhiNV_Ca[[#Headers],[Ca]:[Bắt đầu nghỉ]]),0),
$AA53&lt;VLOOKUP(AH$6, Table_ChiPhiNV_Ca[], COUNTA(Table_ChiPhiNV_Ca[[#Headers],[Ca]:[Kết thúc nghỉ]]),0)
),0,
IF(NOT(ISBLANK(AH$3)),
IF(ISBLANK(AH$7),0,
IF(AH$4 &lt; AH$5,
IF($AA53-$Z$4&lt;AH$4,0,
IF($AA53&gt;AH$5,0,
SUM(_xlfn._xlws.FILTER(Table_BangLuong_TyLeTangCa[Tỷ lệ],
(Table_BangLuong_TyLeTangCa[Ngày] = AH$3) *
(Table_BangLuong_TyLeTangCa[Giờ min]&lt;=$AA53) *
(Table_BangLuong_TyLeTangCa[Giờ max]&gt;$AA53)
)))),
IF(AND($AA53-$Z$4 &gt;= AH$5,$AA53 &lt; AH$4),0,
SUM(_xlfn._xlws.FILTER(Table_BangLuong_TyLeTangCa[Tỷ lệ],
(Table_BangLuong_TyLeTangCa[Ngày] = AH$3) *
(Table_BangLuong_TyLeTangCa[Giờ min]&lt;=$AA53) *
(Table_BangLuong_TyLeTangCa[Giờ max]&gt;$AA53)
))))
),
IF(ISBLANK(AH$7),
IF(VLOOKUP(AH$6, Table_ChiPhiNV_Ca[], COUNTA(Table_ChiPhiNV_Ca[[#Headers],[Ca]:[Kết thúc]]),0)&gt; VLOOKUP(AH$6, Table_ChiPhiNV_Ca[], COUNTA(Table_ChiPhiNV_Ca[[#Headers],[Ca]:[Bắt đầu]]),0),
IF($AA53-$Z$4&lt;MAX(AH$4,VLOOKUP(AH$6, Table_ChiPhiNV_Ca[], COUNTA(Table_ChiPhiNV_Ca[[#Headers],[Ca]:[Bắt đầu]]),0)),0,
IF($AA53&gt;MIN(AH$5,VLOOKUP(AH$6, Table_ChiPhiNV_Ca[], COUNTA(Table_ChiPhiNV_Ca[[#Headers],[Ca]:[Kết thúc]]),0)),0,
SUM(_xlfn._xlws.FILTER(Table_BangLuong_TyLeTangCa[Tỷ lệ],
(Table_BangLuong_TyLeTangCa[Ngày] = "Thường") *
(Table_BangLuong_TyLeTangCa[Giờ min]&lt;=$AA53) *
(Table_BangLuong_TyLeTangCa[Giờ max]&gt;$AA53)
)))),
IF(AH$4 &gt; AH$5,
IF(
AND(
$AA53-$Z$4&lt;MAX(AH$4,VLOOKUP(AH$6, Table_ChiPhiNV_Ca[], COUNTA(Table_ChiPhiNV_Ca[[#Headers],[Ca]:[Bắt đầu]]),0)),
$AA53&gt;MIN(AH$5,VLOOKUP(AH$6, Table_ChiPhiNV_Ca[], COUNTA(Table_ChiPhiNV_Ca[[#Headers],[Ca]:[Kết thúc]]),0))),0,
SUM(_xlfn._xlws.FILTER(Table_BangLuong_TyLeTangCa[Tỷ lệ],
(Table_BangLuong_TyLeTangCa[Ngày] = "Thường") *
(Table_BangLuong_TyLeTangCa[Giờ min]&lt;=$AA53) *
(Table_BangLuong_TyLeTangCa[Giờ max]&gt;$AA53)
))),
IF(
AND(
$AA53-$Z$4&gt;=MAX(AH$4,VLOOKUP(AH$6, Table_ChiPhiNV_Ca[], COUNTA(Table_ChiPhiNV_Ca[[#Headers],[Ca]:[Bắt đầu]]),0)),
$AA53&lt;MIN(AH$5,VLOOKUP(AH$6, Table_ChiPhiNV_Ca[], COUNTA(Table_ChiPhiNV_Ca[[#Headers],[Ca]:[Kết thúc]]),0))),
SUM(_xlfn._xlws.FILTER(Table_BangLuong_TyLeTangCa[Tỷ lệ],
(Table_BangLuong_TyLeTangCa[Ngày] = "Thường") *
(Table_BangLuong_TyLeTangCa[Giờ min]&lt;=$AA53) *
(Table_BangLuong_TyLeTangCa[Giờ max]&gt;$AA53)
)),0)
)),
IF(AH$4 &lt; AH$5,
IF($AA53-$Z$4&lt;AH$4,0,
IF($AA53&gt;AH$5,0,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AH$5,$AA53 &lt; AH$4),0,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I53" s="18" cm="1">
        <f t="array" ref="AI53" xml:space="preserve">
IFERROR(
IF(AI$1="",0,
IF(AND(
$AA53&gt;=VLOOKUP(AI$6, Table_ChiPhiNV_Ca[], COUNTA(Table_ChiPhiNV_Ca[[#Headers],[Ca]:[Bắt đầu nghỉ]]),0),
$AA53&lt;VLOOKUP(AI$6, Table_ChiPhiNV_Ca[], COUNTA(Table_ChiPhiNV_Ca[[#Headers],[Ca]:[Kết thúc nghỉ]]),0)
),0,
IF(NOT(ISBLANK(AI$3)),
IF(ISBLANK(AI$7),0,
IF(AI$4 &lt; AI$5,
IF($AA53-$Z$4&lt;AI$4,0,
IF($AA53&gt;AI$5,0,
SUM(_xlfn._xlws.FILTER(Table_BangLuong_TyLeTangCa[Tỷ lệ],
(Table_BangLuong_TyLeTangCa[Ngày] = AI$3) *
(Table_BangLuong_TyLeTangCa[Giờ min]&lt;=$AA53) *
(Table_BangLuong_TyLeTangCa[Giờ max]&gt;$AA53)
)))),
IF(AND($AA53-$Z$4 &gt;= AI$5,$AA53 &lt; AI$4),0,
SUM(_xlfn._xlws.FILTER(Table_BangLuong_TyLeTangCa[Tỷ lệ],
(Table_BangLuong_TyLeTangCa[Ngày] = AI$3) *
(Table_BangLuong_TyLeTangCa[Giờ min]&lt;=$AA53) *
(Table_BangLuong_TyLeTangCa[Giờ max]&gt;$AA53)
))))
),
IF(ISBLANK(AI$7),
IF(VLOOKUP(AI$6, Table_ChiPhiNV_Ca[], COUNTA(Table_ChiPhiNV_Ca[[#Headers],[Ca]:[Kết thúc]]),0)&gt; VLOOKUP(AI$6, Table_ChiPhiNV_Ca[], COUNTA(Table_ChiPhiNV_Ca[[#Headers],[Ca]:[Bắt đầu]]),0),
IF($AA53-$Z$4&lt;MAX(AI$4,VLOOKUP(AI$6, Table_ChiPhiNV_Ca[], COUNTA(Table_ChiPhiNV_Ca[[#Headers],[Ca]:[Bắt đầu]]),0)),0,
IF($AA53&gt;MIN(AI$5,VLOOKUP(AI$6, Table_ChiPhiNV_Ca[], COUNTA(Table_ChiPhiNV_Ca[[#Headers],[Ca]:[Kết thúc]]),0)),0,
SUM(_xlfn._xlws.FILTER(Table_BangLuong_TyLeTangCa[Tỷ lệ],
(Table_BangLuong_TyLeTangCa[Ngày] = "Thường") *
(Table_BangLuong_TyLeTangCa[Giờ min]&lt;=$AA53) *
(Table_BangLuong_TyLeTangCa[Giờ max]&gt;$AA53)
)))),
IF(AI$4 &gt; AI$5,
IF(
AND(
$AA53-$Z$4&lt;MAX(AI$4,VLOOKUP(AI$6, Table_ChiPhiNV_Ca[], COUNTA(Table_ChiPhiNV_Ca[[#Headers],[Ca]:[Bắt đầu]]),0)),
$AA53&gt;MIN(AI$5,VLOOKUP(AI$6, Table_ChiPhiNV_Ca[], COUNTA(Table_ChiPhiNV_Ca[[#Headers],[Ca]:[Kết thúc]]),0))),0,
SUM(_xlfn._xlws.FILTER(Table_BangLuong_TyLeTangCa[Tỷ lệ],
(Table_BangLuong_TyLeTangCa[Ngày] = "Thường") *
(Table_BangLuong_TyLeTangCa[Giờ min]&lt;=$AA53) *
(Table_BangLuong_TyLeTangCa[Giờ max]&gt;$AA53)
))),
IF(
AND(
$AA53-$Z$4&gt;=MAX(AI$4,VLOOKUP(AI$6, Table_ChiPhiNV_Ca[], COUNTA(Table_ChiPhiNV_Ca[[#Headers],[Ca]:[Bắt đầu]]),0)),
$AA53&lt;MIN(AI$5,VLOOKUP(AI$6, Table_ChiPhiNV_Ca[], COUNTA(Table_ChiPhiNV_Ca[[#Headers],[Ca]:[Kết thúc]]),0))),
SUM(_xlfn._xlws.FILTER(Table_BangLuong_TyLeTangCa[Tỷ lệ],
(Table_BangLuong_TyLeTangCa[Ngày] = "Thường") *
(Table_BangLuong_TyLeTangCa[Giờ min]&lt;=$AA53) *
(Table_BangLuong_TyLeTangCa[Giờ max]&gt;$AA53)
)),0)
)),
IF(AI$4 &lt; AI$5,
IF($AA53-$Z$4&lt;AI$4,0,
IF($AA53&gt;AI$5,0,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AI$5,$AA53 &lt; AI$4),0,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J53" s="18" cm="1">
        <f t="array" ref="AJ53" xml:space="preserve">
IFERROR(
IF(AJ$1="",0,
IF(AND(
$AA53&gt;=VLOOKUP(AJ$6, Table_ChiPhiNV_Ca[], COUNTA(Table_ChiPhiNV_Ca[[#Headers],[Ca]:[Bắt đầu nghỉ]]),0),
$AA53&lt;VLOOKUP(AJ$6, Table_ChiPhiNV_Ca[], COUNTA(Table_ChiPhiNV_Ca[[#Headers],[Ca]:[Kết thúc nghỉ]]),0)
),0,
IF(NOT(ISBLANK(AJ$3)),
IF(ISBLANK(AJ$7),0,
IF(AJ$4 &lt; AJ$5,
IF($AA53-$Z$4&lt;AJ$4,0,
IF($AA53&gt;AJ$5,0,
SUM(_xlfn._xlws.FILTER(Table_BangLuong_TyLeTangCa[Tỷ lệ],
(Table_BangLuong_TyLeTangCa[Ngày] = AJ$3) *
(Table_BangLuong_TyLeTangCa[Giờ min]&lt;=$AA53) *
(Table_BangLuong_TyLeTangCa[Giờ max]&gt;$AA53)
)))),
IF(AND($AA53-$Z$4 &gt;= AJ$5,$AA53 &lt; AJ$4),0,
SUM(_xlfn._xlws.FILTER(Table_BangLuong_TyLeTangCa[Tỷ lệ],
(Table_BangLuong_TyLeTangCa[Ngày] = AJ$3) *
(Table_BangLuong_TyLeTangCa[Giờ min]&lt;=$AA53) *
(Table_BangLuong_TyLeTangCa[Giờ max]&gt;$AA53)
))))
),
IF(ISBLANK(AJ$7),
IF(VLOOKUP(AJ$6, Table_ChiPhiNV_Ca[], COUNTA(Table_ChiPhiNV_Ca[[#Headers],[Ca]:[Kết thúc]]),0)&gt; VLOOKUP(AJ$6, Table_ChiPhiNV_Ca[], COUNTA(Table_ChiPhiNV_Ca[[#Headers],[Ca]:[Bắt đầu]]),0),
IF($AA53-$Z$4&lt;MAX(AJ$4,VLOOKUP(AJ$6, Table_ChiPhiNV_Ca[], COUNTA(Table_ChiPhiNV_Ca[[#Headers],[Ca]:[Bắt đầu]]),0)),0,
IF($AA53&gt;MIN(AJ$5,VLOOKUP(AJ$6, Table_ChiPhiNV_Ca[], COUNTA(Table_ChiPhiNV_Ca[[#Headers],[Ca]:[Kết thúc]]),0)),0,
SUM(_xlfn._xlws.FILTER(Table_BangLuong_TyLeTangCa[Tỷ lệ],
(Table_BangLuong_TyLeTangCa[Ngày] = "Thường") *
(Table_BangLuong_TyLeTangCa[Giờ min]&lt;=$AA53) *
(Table_BangLuong_TyLeTangCa[Giờ max]&gt;$AA53)
)))),
IF(AJ$4 &gt; AJ$5,
IF(
AND(
$AA53-$Z$4&lt;MAX(AJ$4,VLOOKUP(AJ$6, Table_ChiPhiNV_Ca[], COUNTA(Table_ChiPhiNV_Ca[[#Headers],[Ca]:[Bắt đầu]]),0)),
$AA53&gt;MIN(AJ$5,VLOOKUP(AJ$6, Table_ChiPhiNV_Ca[], COUNTA(Table_ChiPhiNV_Ca[[#Headers],[Ca]:[Kết thúc]]),0))),0,
SUM(_xlfn._xlws.FILTER(Table_BangLuong_TyLeTangCa[Tỷ lệ],
(Table_BangLuong_TyLeTangCa[Ngày] = "Thường") *
(Table_BangLuong_TyLeTangCa[Giờ min]&lt;=$AA53) *
(Table_BangLuong_TyLeTangCa[Giờ max]&gt;$AA53)
))),
IF(
AND(
$AA53-$Z$4&gt;=MAX(AJ$4,VLOOKUP(AJ$6, Table_ChiPhiNV_Ca[], COUNTA(Table_ChiPhiNV_Ca[[#Headers],[Ca]:[Bắt đầu]]),0)),
$AA53&lt;MIN(AJ$5,VLOOKUP(AJ$6, Table_ChiPhiNV_Ca[], COUNTA(Table_ChiPhiNV_Ca[[#Headers],[Ca]:[Kết thúc]]),0))),
SUM(_xlfn._xlws.FILTER(Table_BangLuong_TyLeTangCa[Tỷ lệ],
(Table_BangLuong_TyLeTangCa[Ngày] = "Thường") *
(Table_BangLuong_TyLeTangCa[Giờ min]&lt;=$AA53) *
(Table_BangLuong_TyLeTangCa[Giờ max]&gt;$AA53)
)),0)
)),
IF(AJ$4 &lt; AJ$5,
IF($AA53-$Z$4&lt;AJ$4,0,
IF($AA53&gt;AJ$5,0,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AJ$5,$AA53 &lt; AJ$4),0,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K53" s="18" cm="1">
        <f t="array" ref="AK53" xml:space="preserve">
IFERROR(
IF(AK$1="",0,
IF(AND(
$AA53&gt;=VLOOKUP(AK$6, Table_ChiPhiNV_Ca[], COUNTA(Table_ChiPhiNV_Ca[[#Headers],[Ca]:[Bắt đầu nghỉ]]),0),
$AA53&lt;VLOOKUP(AK$6, Table_ChiPhiNV_Ca[], COUNTA(Table_ChiPhiNV_Ca[[#Headers],[Ca]:[Kết thúc nghỉ]]),0)
),0,
IF(NOT(ISBLANK(AK$3)),
IF(ISBLANK(AK$7),0,
IF(AK$4 &lt; AK$5,
IF($AA53-$Z$4&lt;AK$4,0,
IF($AA53&gt;AK$5,0,
SUM(_xlfn._xlws.FILTER(Table_BangLuong_TyLeTangCa[Tỷ lệ],
(Table_BangLuong_TyLeTangCa[Ngày] = AK$3) *
(Table_BangLuong_TyLeTangCa[Giờ min]&lt;=$AA53) *
(Table_BangLuong_TyLeTangCa[Giờ max]&gt;$AA53)
)))),
IF(AND($AA53-$Z$4 &gt;= AK$5,$AA53 &lt; AK$4),0,
SUM(_xlfn._xlws.FILTER(Table_BangLuong_TyLeTangCa[Tỷ lệ],
(Table_BangLuong_TyLeTangCa[Ngày] = AK$3) *
(Table_BangLuong_TyLeTangCa[Giờ min]&lt;=$AA53) *
(Table_BangLuong_TyLeTangCa[Giờ max]&gt;$AA53)
))))
),
IF(ISBLANK(AK$7),
IF(VLOOKUP(AK$6, Table_ChiPhiNV_Ca[], COUNTA(Table_ChiPhiNV_Ca[[#Headers],[Ca]:[Kết thúc]]),0)&gt; VLOOKUP(AK$6, Table_ChiPhiNV_Ca[], COUNTA(Table_ChiPhiNV_Ca[[#Headers],[Ca]:[Bắt đầu]]),0),
IF($AA53-$Z$4&lt;MAX(AK$4,VLOOKUP(AK$6, Table_ChiPhiNV_Ca[], COUNTA(Table_ChiPhiNV_Ca[[#Headers],[Ca]:[Bắt đầu]]),0)),0,
IF($AA53&gt;MIN(AK$5,VLOOKUP(AK$6, Table_ChiPhiNV_Ca[], COUNTA(Table_ChiPhiNV_Ca[[#Headers],[Ca]:[Kết thúc]]),0)),0,
SUM(_xlfn._xlws.FILTER(Table_BangLuong_TyLeTangCa[Tỷ lệ],
(Table_BangLuong_TyLeTangCa[Ngày] = "Thường") *
(Table_BangLuong_TyLeTangCa[Giờ min]&lt;=$AA53) *
(Table_BangLuong_TyLeTangCa[Giờ max]&gt;$AA53)
)))),
IF(AK$4 &gt; AK$5,
IF(
AND(
$AA53-$Z$4&lt;MAX(AK$4,VLOOKUP(AK$6, Table_ChiPhiNV_Ca[], COUNTA(Table_ChiPhiNV_Ca[[#Headers],[Ca]:[Bắt đầu]]),0)),
$AA53&gt;MIN(AK$5,VLOOKUP(AK$6, Table_ChiPhiNV_Ca[], COUNTA(Table_ChiPhiNV_Ca[[#Headers],[Ca]:[Kết thúc]]),0))),0,
SUM(_xlfn._xlws.FILTER(Table_BangLuong_TyLeTangCa[Tỷ lệ],
(Table_BangLuong_TyLeTangCa[Ngày] = "Thường") *
(Table_BangLuong_TyLeTangCa[Giờ min]&lt;=$AA53) *
(Table_BangLuong_TyLeTangCa[Giờ max]&gt;$AA53)
))),
IF(
AND(
$AA53-$Z$4&gt;=MAX(AK$4,VLOOKUP(AK$6, Table_ChiPhiNV_Ca[], COUNTA(Table_ChiPhiNV_Ca[[#Headers],[Ca]:[Bắt đầu]]),0)),
$AA53&lt;MIN(AK$5,VLOOKUP(AK$6, Table_ChiPhiNV_Ca[], COUNTA(Table_ChiPhiNV_Ca[[#Headers],[Ca]:[Kết thúc]]),0))),
SUM(_xlfn._xlws.FILTER(Table_BangLuong_TyLeTangCa[Tỷ lệ],
(Table_BangLuong_TyLeTangCa[Ngày] = "Thường") *
(Table_BangLuong_TyLeTangCa[Giờ min]&lt;=$AA53) *
(Table_BangLuong_TyLeTangCa[Giờ max]&gt;$AA53)
)),0)
)),
IF(AK$4 &lt; AK$5,
IF($AA53-$Z$4&lt;AK$4,0,
IF($AA53&gt;AK$5,0,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AK$5,$AA53 &lt; AK$4),0,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L53" s="18" cm="1">
        <f t="array" ref="AL53" xml:space="preserve">
IFERROR(
IF(AL$1="",0,
IF(AND(
$AA53&gt;=VLOOKUP(AL$6, Table_ChiPhiNV_Ca[], COUNTA(Table_ChiPhiNV_Ca[[#Headers],[Ca]:[Bắt đầu nghỉ]]),0),
$AA53&lt;VLOOKUP(AL$6, Table_ChiPhiNV_Ca[], COUNTA(Table_ChiPhiNV_Ca[[#Headers],[Ca]:[Kết thúc nghỉ]]),0)
),0,
IF(NOT(ISBLANK(AL$3)),
IF(ISBLANK(AL$7),0,
IF(AL$4 &lt; AL$5,
IF($AA53-$Z$4&lt;AL$4,0,
IF($AA53&gt;AL$5,0,
SUM(_xlfn._xlws.FILTER(Table_BangLuong_TyLeTangCa[Tỷ lệ],
(Table_BangLuong_TyLeTangCa[Ngày] = AL$3) *
(Table_BangLuong_TyLeTangCa[Giờ min]&lt;=$AA53) *
(Table_BangLuong_TyLeTangCa[Giờ max]&gt;$AA53)
)))),
IF(AND($AA53-$Z$4 &gt;= AL$5,$AA53 &lt; AL$4),0,
SUM(_xlfn._xlws.FILTER(Table_BangLuong_TyLeTangCa[Tỷ lệ],
(Table_BangLuong_TyLeTangCa[Ngày] = AL$3) *
(Table_BangLuong_TyLeTangCa[Giờ min]&lt;=$AA53) *
(Table_BangLuong_TyLeTangCa[Giờ max]&gt;$AA53)
))))
),
IF(ISBLANK(AL$7),
IF(VLOOKUP(AL$6, Table_ChiPhiNV_Ca[], COUNTA(Table_ChiPhiNV_Ca[[#Headers],[Ca]:[Kết thúc]]),0)&gt; VLOOKUP(AL$6, Table_ChiPhiNV_Ca[], COUNTA(Table_ChiPhiNV_Ca[[#Headers],[Ca]:[Bắt đầu]]),0),
IF($AA53-$Z$4&lt;MAX(AL$4,VLOOKUP(AL$6, Table_ChiPhiNV_Ca[], COUNTA(Table_ChiPhiNV_Ca[[#Headers],[Ca]:[Bắt đầu]]),0)),0,
IF($AA53&gt;MIN(AL$5,VLOOKUP(AL$6, Table_ChiPhiNV_Ca[], COUNTA(Table_ChiPhiNV_Ca[[#Headers],[Ca]:[Kết thúc]]),0)),0,
SUM(_xlfn._xlws.FILTER(Table_BangLuong_TyLeTangCa[Tỷ lệ],
(Table_BangLuong_TyLeTangCa[Ngày] = "Thường") *
(Table_BangLuong_TyLeTangCa[Giờ min]&lt;=$AA53) *
(Table_BangLuong_TyLeTangCa[Giờ max]&gt;$AA53)
)))),
IF(AL$4 &gt; AL$5,
IF(
AND(
$AA53-$Z$4&lt;MAX(AL$4,VLOOKUP(AL$6, Table_ChiPhiNV_Ca[], COUNTA(Table_ChiPhiNV_Ca[[#Headers],[Ca]:[Bắt đầu]]),0)),
$AA53&gt;MIN(AL$5,VLOOKUP(AL$6, Table_ChiPhiNV_Ca[], COUNTA(Table_ChiPhiNV_Ca[[#Headers],[Ca]:[Kết thúc]]),0))),0,
SUM(_xlfn._xlws.FILTER(Table_BangLuong_TyLeTangCa[Tỷ lệ],
(Table_BangLuong_TyLeTangCa[Ngày] = "Thường") *
(Table_BangLuong_TyLeTangCa[Giờ min]&lt;=$AA53) *
(Table_BangLuong_TyLeTangCa[Giờ max]&gt;$AA53)
))),
IF(
AND(
$AA53-$Z$4&gt;=MAX(AL$4,VLOOKUP(AL$6, Table_ChiPhiNV_Ca[], COUNTA(Table_ChiPhiNV_Ca[[#Headers],[Ca]:[Bắt đầu]]),0)),
$AA53&lt;MIN(AL$5,VLOOKUP(AL$6, Table_ChiPhiNV_Ca[], COUNTA(Table_ChiPhiNV_Ca[[#Headers],[Ca]:[Kết thúc]]),0))),
SUM(_xlfn._xlws.FILTER(Table_BangLuong_TyLeTangCa[Tỷ lệ],
(Table_BangLuong_TyLeTangCa[Ngày] = "Thường") *
(Table_BangLuong_TyLeTangCa[Giờ min]&lt;=$AA53) *
(Table_BangLuong_TyLeTangCa[Giờ max]&gt;$AA53)
)),0)
)),
IF(AL$4 &lt; AL$5,
IF($AA53-$Z$4&lt;AL$4,0,
IF($AA53&gt;AL$5,0,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AL$5,$AA53 &lt; AL$4),0,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M53" s="18" cm="1">
        <f t="array" ref="AM53" xml:space="preserve">
IFERROR(
IF(AM$1="",0,
IF(AND(
$AA53&gt;=VLOOKUP(AM$6, Table_ChiPhiNV_Ca[], COUNTA(Table_ChiPhiNV_Ca[[#Headers],[Ca]:[Bắt đầu nghỉ]]),0),
$AA53&lt;VLOOKUP(AM$6, Table_ChiPhiNV_Ca[], COUNTA(Table_ChiPhiNV_Ca[[#Headers],[Ca]:[Kết thúc nghỉ]]),0)
),0,
IF(NOT(ISBLANK(AM$3)),
IF(ISBLANK(AM$7),0,
IF(AM$4 &lt; AM$5,
IF($AA53-$Z$4&lt;AM$4,0,
IF($AA53&gt;AM$5,0,
SUM(_xlfn._xlws.FILTER(Table_BangLuong_TyLeTangCa[Tỷ lệ],
(Table_BangLuong_TyLeTangCa[Ngày] = AM$3) *
(Table_BangLuong_TyLeTangCa[Giờ min]&lt;=$AA53) *
(Table_BangLuong_TyLeTangCa[Giờ max]&gt;$AA53)
)))),
IF(AND($AA53-$Z$4 &gt;= AM$5,$AA53 &lt; AM$4),0,
SUM(_xlfn._xlws.FILTER(Table_BangLuong_TyLeTangCa[Tỷ lệ],
(Table_BangLuong_TyLeTangCa[Ngày] = AM$3) *
(Table_BangLuong_TyLeTangCa[Giờ min]&lt;=$AA53) *
(Table_BangLuong_TyLeTangCa[Giờ max]&gt;$AA53)
))))
),
IF(ISBLANK(AM$7),
IF(VLOOKUP(AM$6, Table_ChiPhiNV_Ca[], COUNTA(Table_ChiPhiNV_Ca[[#Headers],[Ca]:[Kết thúc]]),0)&gt; VLOOKUP(AM$6, Table_ChiPhiNV_Ca[], COUNTA(Table_ChiPhiNV_Ca[[#Headers],[Ca]:[Bắt đầu]]),0),
IF($AA53-$Z$4&lt;MAX(AM$4,VLOOKUP(AM$6, Table_ChiPhiNV_Ca[], COUNTA(Table_ChiPhiNV_Ca[[#Headers],[Ca]:[Bắt đầu]]),0)),0,
IF($AA53&gt;MIN(AM$5,VLOOKUP(AM$6, Table_ChiPhiNV_Ca[], COUNTA(Table_ChiPhiNV_Ca[[#Headers],[Ca]:[Kết thúc]]),0)),0,
SUM(_xlfn._xlws.FILTER(Table_BangLuong_TyLeTangCa[Tỷ lệ],
(Table_BangLuong_TyLeTangCa[Ngày] = "Thường") *
(Table_BangLuong_TyLeTangCa[Giờ min]&lt;=$AA53) *
(Table_BangLuong_TyLeTangCa[Giờ max]&gt;$AA53)
)))),
IF(AM$4 &gt; AM$5,
IF(
AND(
$AA53-$Z$4&lt;MAX(AM$4,VLOOKUP(AM$6, Table_ChiPhiNV_Ca[], COUNTA(Table_ChiPhiNV_Ca[[#Headers],[Ca]:[Bắt đầu]]),0)),
$AA53&gt;MIN(AM$5,VLOOKUP(AM$6, Table_ChiPhiNV_Ca[], COUNTA(Table_ChiPhiNV_Ca[[#Headers],[Ca]:[Kết thúc]]),0))),0,
SUM(_xlfn._xlws.FILTER(Table_BangLuong_TyLeTangCa[Tỷ lệ],
(Table_BangLuong_TyLeTangCa[Ngày] = "Thường") *
(Table_BangLuong_TyLeTangCa[Giờ min]&lt;=$AA53) *
(Table_BangLuong_TyLeTangCa[Giờ max]&gt;$AA53)
))),
IF(
AND(
$AA53-$Z$4&gt;=MAX(AM$4,VLOOKUP(AM$6, Table_ChiPhiNV_Ca[], COUNTA(Table_ChiPhiNV_Ca[[#Headers],[Ca]:[Bắt đầu]]),0)),
$AA53&lt;MIN(AM$5,VLOOKUP(AM$6, Table_ChiPhiNV_Ca[], COUNTA(Table_ChiPhiNV_Ca[[#Headers],[Ca]:[Kết thúc]]),0))),
SUM(_xlfn._xlws.FILTER(Table_BangLuong_TyLeTangCa[Tỷ lệ],
(Table_BangLuong_TyLeTangCa[Ngày] = "Thường") *
(Table_BangLuong_TyLeTangCa[Giờ min]&lt;=$AA53) *
(Table_BangLuong_TyLeTangCa[Giờ max]&gt;$AA53)
)),0)
)),
IF(AM$4 &lt; AM$5,
IF($AA53-$Z$4&lt;AM$4,0,
IF($AA53&gt;AM$5,0,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AM$5,$AA53 &lt; AM$4),0,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N53" s="18" cm="1">
        <f t="array" ref="AN53" xml:space="preserve">
IFERROR(
IF(AN$1="",0,
IF(AND(
$AA53&gt;=VLOOKUP(AN$6, Table_ChiPhiNV_Ca[], COUNTA(Table_ChiPhiNV_Ca[[#Headers],[Ca]:[Bắt đầu nghỉ]]),0),
$AA53&lt;VLOOKUP(AN$6, Table_ChiPhiNV_Ca[], COUNTA(Table_ChiPhiNV_Ca[[#Headers],[Ca]:[Kết thúc nghỉ]]),0)
),0,
IF(NOT(ISBLANK(AN$3)),
IF(ISBLANK(AN$7),0,
IF(AN$4 &lt; AN$5,
IF($AA53-$Z$4&lt;AN$4,0,
IF($AA53&gt;AN$5,0,
SUM(_xlfn._xlws.FILTER(Table_BangLuong_TyLeTangCa[Tỷ lệ],
(Table_BangLuong_TyLeTangCa[Ngày] = AN$3) *
(Table_BangLuong_TyLeTangCa[Giờ min]&lt;=$AA53) *
(Table_BangLuong_TyLeTangCa[Giờ max]&gt;$AA53)
)))),
IF(AND($AA53-$Z$4 &gt;= AN$5,$AA53 &lt; AN$4),0,
SUM(_xlfn._xlws.FILTER(Table_BangLuong_TyLeTangCa[Tỷ lệ],
(Table_BangLuong_TyLeTangCa[Ngày] = AN$3) *
(Table_BangLuong_TyLeTangCa[Giờ min]&lt;=$AA53) *
(Table_BangLuong_TyLeTangCa[Giờ max]&gt;$AA53)
))))
),
IF(ISBLANK(AN$7),
IF(VLOOKUP(AN$6, Table_ChiPhiNV_Ca[], COUNTA(Table_ChiPhiNV_Ca[[#Headers],[Ca]:[Kết thúc]]),0)&gt; VLOOKUP(AN$6, Table_ChiPhiNV_Ca[], COUNTA(Table_ChiPhiNV_Ca[[#Headers],[Ca]:[Bắt đầu]]),0),
IF($AA53-$Z$4&lt;MAX(AN$4,VLOOKUP(AN$6, Table_ChiPhiNV_Ca[], COUNTA(Table_ChiPhiNV_Ca[[#Headers],[Ca]:[Bắt đầu]]),0)),0,
IF($AA53&gt;MIN(AN$5,VLOOKUP(AN$6, Table_ChiPhiNV_Ca[], COUNTA(Table_ChiPhiNV_Ca[[#Headers],[Ca]:[Kết thúc]]),0)),0,
SUM(_xlfn._xlws.FILTER(Table_BangLuong_TyLeTangCa[Tỷ lệ],
(Table_BangLuong_TyLeTangCa[Ngày] = "Thường") *
(Table_BangLuong_TyLeTangCa[Giờ min]&lt;=$AA53) *
(Table_BangLuong_TyLeTangCa[Giờ max]&gt;$AA53)
)))),
IF(AN$4 &gt; AN$5,
IF(
AND(
$AA53-$Z$4&lt;MAX(AN$4,VLOOKUP(AN$6, Table_ChiPhiNV_Ca[], COUNTA(Table_ChiPhiNV_Ca[[#Headers],[Ca]:[Bắt đầu]]),0)),
$AA53&gt;MIN(AN$5,VLOOKUP(AN$6, Table_ChiPhiNV_Ca[], COUNTA(Table_ChiPhiNV_Ca[[#Headers],[Ca]:[Kết thúc]]),0))),0,
SUM(_xlfn._xlws.FILTER(Table_BangLuong_TyLeTangCa[Tỷ lệ],
(Table_BangLuong_TyLeTangCa[Ngày] = "Thường") *
(Table_BangLuong_TyLeTangCa[Giờ min]&lt;=$AA53) *
(Table_BangLuong_TyLeTangCa[Giờ max]&gt;$AA53)
))),
IF(
AND(
$AA53-$Z$4&gt;=MAX(AN$4,VLOOKUP(AN$6, Table_ChiPhiNV_Ca[], COUNTA(Table_ChiPhiNV_Ca[[#Headers],[Ca]:[Bắt đầu]]),0)),
$AA53&lt;MIN(AN$5,VLOOKUP(AN$6, Table_ChiPhiNV_Ca[], COUNTA(Table_ChiPhiNV_Ca[[#Headers],[Ca]:[Kết thúc]]),0))),
SUM(_xlfn._xlws.FILTER(Table_BangLuong_TyLeTangCa[Tỷ lệ],
(Table_BangLuong_TyLeTangCa[Ngày] = "Thường") *
(Table_BangLuong_TyLeTangCa[Giờ min]&lt;=$AA53) *
(Table_BangLuong_TyLeTangCa[Giờ max]&gt;$AA53)
)),0)
)),
IF(AN$4 &lt; AN$5,
IF($AA53-$Z$4&lt;AN$4,0,
IF($AA53&gt;AN$5,0,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AN$5,$AA53 &lt; AN$4),0,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O53" s="18" cm="1">
        <f t="array" ref="AO53" xml:space="preserve">
IFERROR(
IF(AO$1="",0,
IF(AND(
$AA53&gt;=VLOOKUP(AO$6, Table_ChiPhiNV_Ca[], COUNTA(Table_ChiPhiNV_Ca[[#Headers],[Ca]:[Bắt đầu nghỉ]]),0),
$AA53&lt;VLOOKUP(AO$6, Table_ChiPhiNV_Ca[], COUNTA(Table_ChiPhiNV_Ca[[#Headers],[Ca]:[Kết thúc nghỉ]]),0)
),0,
IF(NOT(ISBLANK(AO$3)),
IF(ISBLANK(AO$7),0,
IF(AO$4 &lt; AO$5,
IF($AA53-$Z$4&lt;AO$4,0,
IF($AA53&gt;AO$5,0,
SUM(_xlfn._xlws.FILTER(Table_BangLuong_TyLeTangCa[Tỷ lệ],
(Table_BangLuong_TyLeTangCa[Ngày] = AO$3) *
(Table_BangLuong_TyLeTangCa[Giờ min]&lt;=$AA53) *
(Table_BangLuong_TyLeTangCa[Giờ max]&gt;$AA53)
)))),
IF(AND($AA53-$Z$4 &gt;= AO$5,$AA53 &lt; AO$4),0,
SUM(_xlfn._xlws.FILTER(Table_BangLuong_TyLeTangCa[Tỷ lệ],
(Table_BangLuong_TyLeTangCa[Ngày] = AO$3) *
(Table_BangLuong_TyLeTangCa[Giờ min]&lt;=$AA53) *
(Table_BangLuong_TyLeTangCa[Giờ max]&gt;$AA53)
))))
),
IF(ISBLANK(AO$7),
IF(VLOOKUP(AO$6, Table_ChiPhiNV_Ca[], COUNTA(Table_ChiPhiNV_Ca[[#Headers],[Ca]:[Kết thúc]]),0)&gt; VLOOKUP(AO$6, Table_ChiPhiNV_Ca[], COUNTA(Table_ChiPhiNV_Ca[[#Headers],[Ca]:[Bắt đầu]]),0),
IF($AA53-$Z$4&lt;MAX(AO$4,VLOOKUP(AO$6, Table_ChiPhiNV_Ca[], COUNTA(Table_ChiPhiNV_Ca[[#Headers],[Ca]:[Bắt đầu]]),0)),0,
IF($AA53&gt;MIN(AO$5,VLOOKUP(AO$6, Table_ChiPhiNV_Ca[], COUNTA(Table_ChiPhiNV_Ca[[#Headers],[Ca]:[Kết thúc]]),0)),0,
SUM(_xlfn._xlws.FILTER(Table_BangLuong_TyLeTangCa[Tỷ lệ],
(Table_BangLuong_TyLeTangCa[Ngày] = "Thường") *
(Table_BangLuong_TyLeTangCa[Giờ min]&lt;=$AA53) *
(Table_BangLuong_TyLeTangCa[Giờ max]&gt;$AA53)
)))),
IF(AO$4 &gt; AO$5,
IF(
AND(
$AA53-$Z$4&lt;MAX(AO$4,VLOOKUP(AO$6, Table_ChiPhiNV_Ca[], COUNTA(Table_ChiPhiNV_Ca[[#Headers],[Ca]:[Bắt đầu]]),0)),
$AA53&gt;MIN(AO$5,VLOOKUP(AO$6, Table_ChiPhiNV_Ca[], COUNTA(Table_ChiPhiNV_Ca[[#Headers],[Ca]:[Kết thúc]]),0))),0,
SUM(_xlfn._xlws.FILTER(Table_BangLuong_TyLeTangCa[Tỷ lệ],
(Table_BangLuong_TyLeTangCa[Ngày] = "Thường") *
(Table_BangLuong_TyLeTangCa[Giờ min]&lt;=$AA53) *
(Table_BangLuong_TyLeTangCa[Giờ max]&gt;$AA53)
))),
IF(
AND(
$AA53-$Z$4&gt;=MAX(AO$4,VLOOKUP(AO$6, Table_ChiPhiNV_Ca[], COUNTA(Table_ChiPhiNV_Ca[[#Headers],[Ca]:[Bắt đầu]]),0)),
$AA53&lt;MIN(AO$5,VLOOKUP(AO$6, Table_ChiPhiNV_Ca[], COUNTA(Table_ChiPhiNV_Ca[[#Headers],[Ca]:[Kết thúc]]),0))),
SUM(_xlfn._xlws.FILTER(Table_BangLuong_TyLeTangCa[Tỷ lệ],
(Table_BangLuong_TyLeTangCa[Ngày] = "Thường") *
(Table_BangLuong_TyLeTangCa[Giờ min]&lt;=$AA53) *
(Table_BangLuong_TyLeTangCa[Giờ max]&gt;$AA53)
)),0)
)),
IF(AO$4 &lt; AO$5,
IF($AA53-$Z$4&lt;AO$4,0,
IF($AA53&gt;AO$5,0,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AO$5,$AA53 &lt; AO$4),0,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P53" s="18" cm="1">
        <f t="array" ref="AP53" xml:space="preserve">
IFERROR(
IF(AP$1="",0,
IF(AND(
$AA53&gt;=VLOOKUP(AP$6, Table_ChiPhiNV_Ca[], COUNTA(Table_ChiPhiNV_Ca[[#Headers],[Ca]:[Bắt đầu nghỉ]]),0),
$AA53&lt;VLOOKUP(AP$6, Table_ChiPhiNV_Ca[], COUNTA(Table_ChiPhiNV_Ca[[#Headers],[Ca]:[Kết thúc nghỉ]]),0)
),0,
IF(NOT(ISBLANK(AP$3)),
IF(ISBLANK(AP$7),0,
IF(AP$4 &lt; AP$5,
IF($AA53-$Z$4&lt;AP$4,0,
IF($AA53&gt;AP$5,0,
SUM(_xlfn._xlws.FILTER(Table_BangLuong_TyLeTangCa[Tỷ lệ],
(Table_BangLuong_TyLeTangCa[Ngày] = AP$3) *
(Table_BangLuong_TyLeTangCa[Giờ min]&lt;=$AA53) *
(Table_BangLuong_TyLeTangCa[Giờ max]&gt;$AA53)
)))),
IF(AND($AA53-$Z$4 &gt;= AP$5,$AA53 &lt; AP$4),0,
SUM(_xlfn._xlws.FILTER(Table_BangLuong_TyLeTangCa[Tỷ lệ],
(Table_BangLuong_TyLeTangCa[Ngày] = AP$3) *
(Table_BangLuong_TyLeTangCa[Giờ min]&lt;=$AA53) *
(Table_BangLuong_TyLeTangCa[Giờ max]&gt;$AA53)
))))
),
IF(ISBLANK(AP$7),
IF(VLOOKUP(AP$6, Table_ChiPhiNV_Ca[], COUNTA(Table_ChiPhiNV_Ca[[#Headers],[Ca]:[Kết thúc]]),0)&gt; VLOOKUP(AP$6, Table_ChiPhiNV_Ca[], COUNTA(Table_ChiPhiNV_Ca[[#Headers],[Ca]:[Bắt đầu]]),0),
IF($AA53-$Z$4&lt;MAX(AP$4,VLOOKUP(AP$6, Table_ChiPhiNV_Ca[], COUNTA(Table_ChiPhiNV_Ca[[#Headers],[Ca]:[Bắt đầu]]),0)),0,
IF($AA53&gt;MIN(AP$5,VLOOKUP(AP$6, Table_ChiPhiNV_Ca[], COUNTA(Table_ChiPhiNV_Ca[[#Headers],[Ca]:[Kết thúc]]),0)),0,
SUM(_xlfn._xlws.FILTER(Table_BangLuong_TyLeTangCa[Tỷ lệ],
(Table_BangLuong_TyLeTangCa[Ngày] = "Thường") *
(Table_BangLuong_TyLeTangCa[Giờ min]&lt;=$AA53) *
(Table_BangLuong_TyLeTangCa[Giờ max]&gt;$AA53)
)))),
IF(AP$4 &gt; AP$5,
IF(
AND(
$AA53-$Z$4&lt;MAX(AP$4,VLOOKUP(AP$6, Table_ChiPhiNV_Ca[], COUNTA(Table_ChiPhiNV_Ca[[#Headers],[Ca]:[Bắt đầu]]),0)),
$AA53&gt;MIN(AP$5,VLOOKUP(AP$6, Table_ChiPhiNV_Ca[], COUNTA(Table_ChiPhiNV_Ca[[#Headers],[Ca]:[Kết thúc]]),0))),0,
SUM(_xlfn._xlws.FILTER(Table_BangLuong_TyLeTangCa[Tỷ lệ],
(Table_BangLuong_TyLeTangCa[Ngày] = "Thường") *
(Table_BangLuong_TyLeTangCa[Giờ min]&lt;=$AA53) *
(Table_BangLuong_TyLeTangCa[Giờ max]&gt;$AA53)
))),
IF(
AND(
$AA53-$Z$4&gt;=MAX(AP$4,VLOOKUP(AP$6, Table_ChiPhiNV_Ca[], COUNTA(Table_ChiPhiNV_Ca[[#Headers],[Ca]:[Bắt đầu]]),0)),
$AA53&lt;MIN(AP$5,VLOOKUP(AP$6, Table_ChiPhiNV_Ca[], COUNTA(Table_ChiPhiNV_Ca[[#Headers],[Ca]:[Kết thúc]]),0))),
SUM(_xlfn._xlws.FILTER(Table_BangLuong_TyLeTangCa[Tỷ lệ],
(Table_BangLuong_TyLeTangCa[Ngày] = "Thường") *
(Table_BangLuong_TyLeTangCa[Giờ min]&lt;=$AA53) *
(Table_BangLuong_TyLeTangCa[Giờ max]&gt;$AA53)
)),0)
)),
IF(AP$4 &lt; AP$5,
IF($AA53-$Z$4&lt;AP$4,0,
IF($AA53&gt;AP$5,0,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AP$5,$AA53 &lt; AP$4),0,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Q53" s="18" cm="1">
        <f t="array" ref="AQ53" xml:space="preserve">
IFERROR(
IF(AQ$1="",0,
IF(AND(
$AA53&gt;=VLOOKUP(AQ$6, Table_ChiPhiNV_Ca[], COUNTA(Table_ChiPhiNV_Ca[[#Headers],[Ca]:[Bắt đầu nghỉ]]),0),
$AA53&lt;VLOOKUP(AQ$6, Table_ChiPhiNV_Ca[], COUNTA(Table_ChiPhiNV_Ca[[#Headers],[Ca]:[Kết thúc nghỉ]]),0)
),0,
IF(NOT(ISBLANK(AQ$3)),
IF(ISBLANK(AQ$7),0,
IF(AQ$4 &lt; AQ$5,
IF($AA53-$Z$4&lt;AQ$4,0,
IF($AA53&gt;AQ$5,0,
SUM(_xlfn._xlws.FILTER(Table_BangLuong_TyLeTangCa[Tỷ lệ],
(Table_BangLuong_TyLeTangCa[Ngày] = AQ$3) *
(Table_BangLuong_TyLeTangCa[Giờ min]&lt;=$AA53) *
(Table_BangLuong_TyLeTangCa[Giờ max]&gt;$AA53)
)))),
IF(AND($AA53-$Z$4 &gt;= AQ$5,$AA53 &lt; AQ$4),0,
SUM(_xlfn._xlws.FILTER(Table_BangLuong_TyLeTangCa[Tỷ lệ],
(Table_BangLuong_TyLeTangCa[Ngày] = AQ$3) *
(Table_BangLuong_TyLeTangCa[Giờ min]&lt;=$AA53) *
(Table_BangLuong_TyLeTangCa[Giờ max]&gt;$AA53)
))))
),
IF(ISBLANK(AQ$7),
IF(VLOOKUP(AQ$6, Table_ChiPhiNV_Ca[], COUNTA(Table_ChiPhiNV_Ca[[#Headers],[Ca]:[Kết thúc]]),0)&gt; VLOOKUP(AQ$6, Table_ChiPhiNV_Ca[], COUNTA(Table_ChiPhiNV_Ca[[#Headers],[Ca]:[Bắt đầu]]),0),
IF($AA53-$Z$4&lt;MAX(AQ$4,VLOOKUP(AQ$6, Table_ChiPhiNV_Ca[], COUNTA(Table_ChiPhiNV_Ca[[#Headers],[Ca]:[Bắt đầu]]),0)),0,
IF($AA53&gt;MIN(AQ$5,VLOOKUP(AQ$6, Table_ChiPhiNV_Ca[], COUNTA(Table_ChiPhiNV_Ca[[#Headers],[Ca]:[Kết thúc]]),0)),0,
SUM(_xlfn._xlws.FILTER(Table_BangLuong_TyLeTangCa[Tỷ lệ],
(Table_BangLuong_TyLeTangCa[Ngày] = "Thường") *
(Table_BangLuong_TyLeTangCa[Giờ min]&lt;=$AA53) *
(Table_BangLuong_TyLeTangCa[Giờ max]&gt;$AA53)
)))),
IF(AQ$4 &gt; AQ$5,
IF(
AND(
$AA53-$Z$4&lt;MAX(AQ$4,VLOOKUP(AQ$6, Table_ChiPhiNV_Ca[], COUNTA(Table_ChiPhiNV_Ca[[#Headers],[Ca]:[Bắt đầu]]),0)),
$AA53&gt;MIN(AQ$5,VLOOKUP(AQ$6, Table_ChiPhiNV_Ca[], COUNTA(Table_ChiPhiNV_Ca[[#Headers],[Ca]:[Kết thúc]]),0))),0,
SUM(_xlfn._xlws.FILTER(Table_BangLuong_TyLeTangCa[Tỷ lệ],
(Table_BangLuong_TyLeTangCa[Ngày] = "Thường") *
(Table_BangLuong_TyLeTangCa[Giờ min]&lt;=$AA53) *
(Table_BangLuong_TyLeTangCa[Giờ max]&gt;$AA53)
))),
IF(
AND(
$AA53-$Z$4&gt;=MAX(AQ$4,VLOOKUP(AQ$6, Table_ChiPhiNV_Ca[], COUNTA(Table_ChiPhiNV_Ca[[#Headers],[Ca]:[Bắt đầu]]),0)),
$AA53&lt;MIN(AQ$5,VLOOKUP(AQ$6, Table_ChiPhiNV_Ca[], COUNTA(Table_ChiPhiNV_Ca[[#Headers],[Ca]:[Kết thúc]]),0))),
SUM(_xlfn._xlws.FILTER(Table_BangLuong_TyLeTangCa[Tỷ lệ],
(Table_BangLuong_TyLeTangCa[Ngày] = "Thường") *
(Table_BangLuong_TyLeTangCa[Giờ min]&lt;=$AA53) *
(Table_BangLuong_TyLeTangCa[Giờ max]&gt;$AA53)
)),0)
)),
IF(AQ$4 &lt; AQ$5,
IF($AA53-$Z$4&lt;AQ$4,0,
IF($AA53&gt;AQ$5,0,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AQ$5,$AA53 &lt; AQ$4),0,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R53" s="18" cm="1">
        <f t="array" ref="AR53" xml:space="preserve">
IFERROR(
IF(AR$1="",0,
IF(AND(
$AA53&gt;=VLOOKUP(AR$6, Table_ChiPhiNV_Ca[], COUNTA(Table_ChiPhiNV_Ca[[#Headers],[Ca]:[Bắt đầu nghỉ]]),0),
$AA53&lt;VLOOKUP(AR$6, Table_ChiPhiNV_Ca[], COUNTA(Table_ChiPhiNV_Ca[[#Headers],[Ca]:[Kết thúc nghỉ]]),0)
),0,
IF(NOT(ISBLANK(AR$3)),
IF(ISBLANK(AR$7),0,
IF(AR$4 &lt; AR$5,
IF($AA53-$Z$4&lt;AR$4,0,
IF($AA53&gt;AR$5,0,
SUM(_xlfn._xlws.FILTER(Table_BangLuong_TyLeTangCa[Tỷ lệ],
(Table_BangLuong_TyLeTangCa[Ngày] = AR$3) *
(Table_BangLuong_TyLeTangCa[Giờ min]&lt;=$AA53) *
(Table_BangLuong_TyLeTangCa[Giờ max]&gt;$AA53)
)))),
IF(AND($AA53-$Z$4 &gt;= AR$5,$AA53 &lt; AR$4),0,
SUM(_xlfn._xlws.FILTER(Table_BangLuong_TyLeTangCa[Tỷ lệ],
(Table_BangLuong_TyLeTangCa[Ngày] = AR$3) *
(Table_BangLuong_TyLeTangCa[Giờ min]&lt;=$AA53) *
(Table_BangLuong_TyLeTangCa[Giờ max]&gt;$AA53)
))))
),
IF(ISBLANK(AR$7),
IF(VLOOKUP(AR$6, Table_ChiPhiNV_Ca[], COUNTA(Table_ChiPhiNV_Ca[[#Headers],[Ca]:[Kết thúc]]),0)&gt; VLOOKUP(AR$6, Table_ChiPhiNV_Ca[], COUNTA(Table_ChiPhiNV_Ca[[#Headers],[Ca]:[Bắt đầu]]),0),
IF($AA53-$Z$4&lt;MAX(AR$4,VLOOKUP(AR$6, Table_ChiPhiNV_Ca[], COUNTA(Table_ChiPhiNV_Ca[[#Headers],[Ca]:[Bắt đầu]]),0)),0,
IF($AA53&gt;MIN(AR$5,VLOOKUP(AR$6, Table_ChiPhiNV_Ca[], COUNTA(Table_ChiPhiNV_Ca[[#Headers],[Ca]:[Kết thúc]]),0)),0,
SUM(_xlfn._xlws.FILTER(Table_BangLuong_TyLeTangCa[Tỷ lệ],
(Table_BangLuong_TyLeTangCa[Ngày] = "Thường") *
(Table_BangLuong_TyLeTangCa[Giờ min]&lt;=$AA53) *
(Table_BangLuong_TyLeTangCa[Giờ max]&gt;$AA53)
)))),
IF(AR$4 &gt; AR$5,
IF(
AND(
$AA53-$Z$4&lt;MAX(AR$4,VLOOKUP(AR$6, Table_ChiPhiNV_Ca[], COUNTA(Table_ChiPhiNV_Ca[[#Headers],[Ca]:[Bắt đầu]]),0)),
$AA53&gt;MIN(AR$5,VLOOKUP(AR$6, Table_ChiPhiNV_Ca[], COUNTA(Table_ChiPhiNV_Ca[[#Headers],[Ca]:[Kết thúc]]),0))),0,
SUM(_xlfn._xlws.FILTER(Table_BangLuong_TyLeTangCa[Tỷ lệ],
(Table_BangLuong_TyLeTangCa[Ngày] = "Thường") *
(Table_BangLuong_TyLeTangCa[Giờ min]&lt;=$AA53) *
(Table_BangLuong_TyLeTangCa[Giờ max]&gt;$AA53)
))),
IF(
AND(
$AA53-$Z$4&gt;=MAX(AR$4,VLOOKUP(AR$6, Table_ChiPhiNV_Ca[], COUNTA(Table_ChiPhiNV_Ca[[#Headers],[Ca]:[Bắt đầu]]),0)),
$AA53&lt;MIN(AR$5,VLOOKUP(AR$6, Table_ChiPhiNV_Ca[], COUNTA(Table_ChiPhiNV_Ca[[#Headers],[Ca]:[Kết thúc]]),0))),
SUM(_xlfn._xlws.FILTER(Table_BangLuong_TyLeTangCa[Tỷ lệ],
(Table_BangLuong_TyLeTangCa[Ngày] = "Thường") *
(Table_BangLuong_TyLeTangCa[Giờ min]&lt;=$AA53) *
(Table_BangLuong_TyLeTangCa[Giờ max]&gt;$AA53)
)),0)
)),
IF(AR$4 &lt; AR$5,
IF($AA53-$Z$4&lt;AR$4,0,
IF($AA53&gt;AR$5,0,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AR$5,$AA53 &lt; AR$4),0,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S53" s="18" cm="1">
        <f t="array" ref="AS53" xml:space="preserve">
IFERROR(
IF(AS$1="",0,
IF(AND(
$AA53&gt;=VLOOKUP(AS$6, Table_ChiPhiNV_Ca[], COUNTA(Table_ChiPhiNV_Ca[[#Headers],[Ca]:[Bắt đầu nghỉ]]),0),
$AA53&lt;VLOOKUP(AS$6, Table_ChiPhiNV_Ca[], COUNTA(Table_ChiPhiNV_Ca[[#Headers],[Ca]:[Kết thúc nghỉ]]),0)
),0,
IF(NOT(ISBLANK(AS$3)),
IF(ISBLANK(AS$7),0,
IF(AS$4 &lt; AS$5,
IF($AA53-$Z$4&lt;AS$4,0,
IF($AA53&gt;AS$5,0,
SUM(_xlfn._xlws.FILTER(Table_BangLuong_TyLeTangCa[Tỷ lệ],
(Table_BangLuong_TyLeTangCa[Ngày] = AS$3) *
(Table_BangLuong_TyLeTangCa[Giờ min]&lt;=$AA53) *
(Table_BangLuong_TyLeTangCa[Giờ max]&gt;$AA53)
)))),
IF(AND($AA53-$Z$4 &gt;= AS$5,$AA53 &lt; AS$4),0,
SUM(_xlfn._xlws.FILTER(Table_BangLuong_TyLeTangCa[Tỷ lệ],
(Table_BangLuong_TyLeTangCa[Ngày] = AS$3) *
(Table_BangLuong_TyLeTangCa[Giờ min]&lt;=$AA53) *
(Table_BangLuong_TyLeTangCa[Giờ max]&gt;$AA53)
))))
),
IF(ISBLANK(AS$7),
IF(VLOOKUP(AS$6, Table_ChiPhiNV_Ca[], COUNTA(Table_ChiPhiNV_Ca[[#Headers],[Ca]:[Kết thúc]]),0)&gt; VLOOKUP(AS$6, Table_ChiPhiNV_Ca[], COUNTA(Table_ChiPhiNV_Ca[[#Headers],[Ca]:[Bắt đầu]]),0),
IF($AA53-$Z$4&lt;MAX(AS$4,VLOOKUP(AS$6, Table_ChiPhiNV_Ca[], COUNTA(Table_ChiPhiNV_Ca[[#Headers],[Ca]:[Bắt đầu]]),0)),0,
IF($AA53&gt;MIN(AS$5,VLOOKUP(AS$6, Table_ChiPhiNV_Ca[], COUNTA(Table_ChiPhiNV_Ca[[#Headers],[Ca]:[Kết thúc]]),0)),0,
SUM(_xlfn._xlws.FILTER(Table_BangLuong_TyLeTangCa[Tỷ lệ],
(Table_BangLuong_TyLeTangCa[Ngày] = "Thường") *
(Table_BangLuong_TyLeTangCa[Giờ min]&lt;=$AA53) *
(Table_BangLuong_TyLeTangCa[Giờ max]&gt;$AA53)
)))),
IF(AS$4 &gt; AS$5,
IF(
AND(
$AA53-$Z$4&lt;MAX(AS$4,VLOOKUP(AS$6, Table_ChiPhiNV_Ca[], COUNTA(Table_ChiPhiNV_Ca[[#Headers],[Ca]:[Bắt đầu]]),0)),
$AA53&gt;MIN(AS$5,VLOOKUP(AS$6, Table_ChiPhiNV_Ca[], COUNTA(Table_ChiPhiNV_Ca[[#Headers],[Ca]:[Kết thúc]]),0))),0,
SUM(_xlfn._xlws.FILTER(Table_BangLuong_TyLeTangCa[Tỷ lệ],
(Table_BangLuong_TyLeTangCa[Ngày] = "Thường") *
(Table_BangLuong_TyLeTangCa[Giờ min]&lt;=$AA53) *
(Table_BangLuong_TyLeTangCa[Giờ max]&gt;$AA53)
))),
IF(
AND(
$AA53-$Z$4&gt;=MAX(AS$4,VLOOKUP(AS$6, Table_ChiPhiNV_Ca[], COUNTA(Table_ChiPhiNV_Ca[[#Headers],[Ca]:[Bắt đầu]]),0)),
$AA53&lt;MIN(AS$5,VLOOKUP(AS$6, Table_ChiPhiNV_Ca[], COUNTA(Table_ChiPhiNV_Ca[[#Headers],[Ca]:[Kết thúc]]),0))),
SUM(_xlfn._xlws.FILTER(Table_BangLuong_TyLeTangCa[Tỷ lệ],
(Table_BangLuong_TyLeTangCa[Ngày] = "Thường") *
(Table_BangLuong_TyLeTangCa[Giờ min]&lt;=$AA53) *
(Table_BangLuong_TyLeTangCa[Giờ max]&gt;$AA53)
)),0)
)),
IF(AS$4 &lt; AS$5,
IF($AA53-$Z$4&lt;AS$4,0,
IF($AA53&gt;AS$5,0,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AS$5,$AA53 &lt; AS$4),0,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T53" s="18" cm="1">
        <f t="array" ref="AT53" xml:space="preserve">
IFERROR(
IF(AT$1="",0,
IF(AND(
$AA53&gt;=VLOOKUP(AT$6, Table_ChiPhiNV_Ca[], COUNTA(Table_ChiPhiNV_Ca[[#Headers],[Ca]:[Bắt đầu nghỉ]]),0),
$AA53&lt;VLOOKUP(AT$6, Table_ChiPhiNV_Ca[], COUNTA(Table_ChiPhiNV_Ca[[#Headers],[Ca]:[Kết thúc nghỉ]]),0)
),0,
IF(NOT(ISBLANK(AT$3)),
IF(ISBLANK(AT$7),0,
IF(AT$4 &lt; AT$5,
IF($AA53-$Z$4&lt;AT$4,0,
IF($AA53&gt;AT$5,0,
SUM(_xlfn._xlws.FILTER(Table_BangLuong_TyLeTangCa[Tỷ lệ],
(Table_BangLuong_TyLeTangCa[Ngày] = AT$3) *
(Table_BangLuong_TyLeTangCa[Giờ min]&lt;=$AA53) *
(Table_BangLuong_TyLeTangCa[Giờ max]&gt;$AA53)
)))),
IF(AND($AA53-$Z$4 &gt;= AT$5,$AA53 &lt; AT$4),0,
SUM(_xlfn._xlws.FILTER(Table_BangLuong_TyLeTangCa[Tỷ lệ],
(Table_BangLuong_TyLeTangCa[Ngày] = AT$3) *
(Table_BangLuong_TyLeTangCa[Giờ min]&lt;=$AA53) *
(Table_BangLuong_TyLeTangCa[Giờ max]&gt;$AA53)
))))
),
IF(ISBLANK(AT$7),
IF(VLOOKUP(AT$6, Table_ChiPhiNV_Ca[], COUNTA(Table_ChiPhiNV_Ca[[#Headers],[Ca]:[Kết thúc]]),0)&gt; VLOOKUP(AT$6, Table_ChiPhiNV_Ca[], COUNTA(Table_ChiPhiNV_Ca[[#Headers],[Ca]:[Bắt đầu]]),0),
IF($AA53-$Z$4&lt;MAX(AT$4,VLOOKUP(AT$6, Table_ChiPhiNV_Ca[], COUNTA(Table_ChiPhiNV_Ca[[#Headers],[Ca]:[Bắt đầu]]),0)),0,
IF($AA53&gt;MIN(AT$5,VLOOKUP(AT$6, Table_ChiPhiNV_Ca[], COUNTA(Table_ChiPhiNV_Ca[[#Headers],[Ca]:[Kết thúc]]),0)),0,
SUM(_xlfn._xlws.FILTER(Table_BangLuong_TyLeTangCa[Tỷ lệ],
(Table_BangLuong_TyLeTangCa[Ngày] = "Thường") *
(Table_BangLuong_TyLeTangCa[Giờ min]&lt;=$AA53) *
(Table_BangLuong_TyLeTangCa[Giờ max]&gt;$AA53)
)))),
IF(AT$4 &gt; AT$5,
IF(
AND(
$AA53-$Z$4&lt;MAX(AT$4,VLOOKUP(AT$6, Table_ChiPhiNV_Ca[], COUNTA(Table_ChiPhiNV_Ca[[#Headers],[Ca]:[Bắt đầu]]),0)),
$AA53&gt;MIN(AT$5,VLOOKUP(AT$6, Table_ChiPhiNV_Ca[], COUNTA(Table_ChiPhiNV_Ca[[#Headers],[Ca]:[Kết thúc]]),0))),0,
SUM(_xlfn._xlws.FILTER(Table_BangLuong_TyLeTangCa[Tỷ lệ],
(Table_BangLuong_TyLeTangCa[Ngày] = "Thường") *
(Table_BangLuong_TyLeTangCa[Giờ min]&lt;=$AA53) *
(Table_BangLuong_TyLeTangCa[Giờ max]&gt;$AA53)
))),
IF(
AND(
$AA53-$Z$4&gt;=MAX(AT$4,VLOOKUP(AT$6, Table_ChiPhiNV_Ca[], COUNTA(Table_ChiPhiNV_Ca[[#Headers],[Ca]:[Bắt đầu]]),0)),
$AA53&lt;MIN(AT$5,VLOOKUP(AT$6, Table_ChiPhiNV_Ca[], COUNTA(Table_ChiPhiNV_Ca[[#Headers],[Ca]:[Kết thúc]]),0))),
SUM(_xlfn._xlws.FILTER(Table_BangLuong_TyLeTangCa[Tỷ lệ],
(Table_BangLuong_TyLeTangCa[Ngày] = "Thường") *
(Table_BangLuong_TyLeTangCa[Giờ min]&lt;=$AA53) *
(Table_BangLuong_TyLeTangCa[Giờ max]&gt;$AA53)
)),0)
)),
IF(AT$4 &lt; AT$5,
IF($AA53-$Z$4&lt;AT$4,0,
IF($AA53&gt;AT$5,0,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AT$5,$AA53 &lt; AT$4),0,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U53" s="18" cm="1">
        <f t="array" ref="AU53" xml:space="preserve">
IFERROR(
IF(AU$1="",0,
IF(AND(
$AA53&gt;=VLOOKUP(AU$6, Table_ChiPhiNV_Ca[], COUNTA(Table_ChiPhiNV_Ca[[#Headers],[Ca]:[Bắt đầu nghỉ]]),0),
$AA53&lt;VLOOKUP(AU$6, Table_ChiPhiNV_Ca[], COUNTA(Table_ChiPhiNV_Ca[[#Headers],[Ca]:[Kết thúc nghỉ]]),0)
),0,
IF(NOT(ISBLANK(AU$3)),
IF(ISBLANK(AU$7),0,
IF(AU$4 &lt; AU$5,
IF($AA53-$Z$4&lt;AU$4,0,
IF($AA53&gt;AU$5,0,
SUM(_xlfn._xlws.FILTER(Table_BangLuong_TyLeTangCa[Tỷ lệ],
(Table_BangLuong_TyLeTangCa[Ngày] = AU$3) *
(Table_BangLuong_TyLeTangCa[Giờ min]&lt;=$AA53) *
(Table_BangLuong_TyLeTangCa[Giờ max]&gt;$AA53)
)))),
IF(AND($AA53-$Z$4 &gt;= AU$5,$AA53 &lt; AU$4),0,
SUM(_xlfn._xlws.FILTER(Table_BangLuong_TyLeTangCa[Tỷ lệ],
(Table_BangLuong_TyLeTangCa[Ngày] = AU$3) *
(Table_BangLuong_TyLeTangCa[Giờ min]&lt;=$AA53) *
(Table_BangLuong_TyLeTangCa[Giờ max]&gt;$AA53)
))))
),
IF(ISBLANK(AU$7),
IF(VLOOKUP(AU$6, Table_ChiPhiNV_Ca[], COUNTA(Table_ChiPhiNV_Ca[[#Headers],[Ca]:[Kết thúc]]),0)&gt; VLOOKUP(AU$6, Table_ChiPhiNV_Ca[], COUNTA(Table_ChiPhiNV_Ca[[#Headers],[Ca]:[Bắt đầu]]),0),
IF($AA53-$Z$4&lt;MAX(AU$4,VLOOKUP(AU$6, Table_ChiPhiNV_Ca[], COUNTA(Table_ChiPhiNV_Ca[[#Headers],[Ca]:[Bắt đầu]]),0)),0,
IF($AA53&gt;MIN(AU$5,VLOOKUP(AU$6, Table_ChiPhiNV_Ca[], COUNTA(Table_ChiPhiNV_Ca[[#Headers],[Ca]:[Kết thúc]]),0)),0,
SUM(_xlfn._xlws.FILTER(Table_BangLuong_TyLeTangCa[Tỷ lệ],
(Table_BangLuong_TyLeTangCa[Ngày] = "Thường") *
(Table_BangLuong_TyLeTangCa[Giờ min]&lt;=$AA53) *
(Table_BangLuong_TyLeTangCa[Giờ max]&gt;$AA53)
)))),
IF(AU$4 &gt; AU$5,
IF(
AND(
$AA53-$Z$4&lt;MAX(AU$4,VLOOKUP(AU$6, Table_ChiPhiNV_Ca[], COUNTA(Table_ChiPhiNV_Ca[[#Headers],[Ca]:[Bắt đầu]]),0)),
$AA53&gt;MIN(AU$5,VLOOKUP(AU$6, Table_ChiPhiNV_Ca[], COUNTA(Table_ChiPhiNV_Ca[[#Headers],[Ca]:[Kết thúc]]),0))),0,
SUM(_xlfn._xlws.FILTER(Table_BangLuong_TyLeTangCa[Tỷ lệ],
(Table_BangLuong_TyLeTangCa[Ngày] = "Thường") *
(Table_BangLuong_TyLeTangCa[Giờ min]&lt;=$AA53) *
(Table_BangLuong_TyLeTangCa[Giờ max]&gt;$AA53)
))),
IF(
AND(
$AA53-$Z$4&gt;=MAX(AU$4,VLOOKUP(AU$6, Table_ChiPhiNV_Ca[], COUNTA(Table_ChiPhiNV_Ca[[#Headers],[Ca]:[Bắt đầu]]),0)),
$AA53&lt;MIN(AU$5,VLOOKUP(AU$6, Table_ChiPhiNV_Ca[], COUNTA(Table_ChiPhiNV_Ca[[#Headers],[Ca]:[Kết thúc]]),0))),
SUM(_xlfn._xlws.FILTER(Table_BangLuong_TyLeTangCa[Tỷ lệ],
(Table_BangLuong_TyLeTangCa[Ngày] = "Thường") *
(Table_BangLuong_TyLeTangCa[Giờ min]&lt;=$AA53) *
(Table_BangLuong_TyLeTangCa[Giờ max]&gt;$AA53)
)),0)
)),
IF(AU$4 &lt; AU$5,
IF($AA53-$Z$4&lt;AU$4,0,
IF($AA53&gt;AU$5,0,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AU$5,$AA53 &lt; AU$4),0,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V53" s="18" cm="1">
        <f t="array" ref="AV53" xml:space="preserve">
IFERROR(
IF(AV$1="",0,
IF(AND(
$AA53&gt;=VLOOKUP(AV$6, Table_ChiPhiNV_Ca[], COUNTA(Table_ChiPhiNV_Ca[[#Headers],[Ca]:[Bắt đầu nghỉ]]),0),
$AA53&lt;VLOOKUP(AV$6, Table_ChiPhiNV_Ca[], COUNTA(Table_ChiPhiNV_Ca[[#Headers],[Ca]:[Kết thúc nghỉ]]),0)
),0,
IF(NOT(ISBLANK(AV$3)),
IF(ISBLANK(AV$7),0,
IF(AV$4 &lt; AV$5,
IF($AA53-$Z$4&lt;AV$4,0,
IF($AA53&gt;AV$5,0,
SUM(_xlfn._xlws.FILTER(Table_BangLuong_TyLeTangCa[Tỷ lệ],
(Table_BangLuong_TyLeTangCa[Ngày] = AV$3) *
(Table_BangLuong_TyLeTangCa[Giờ min]&lt;=$AA53) *
(Table_BangLuong_TyLeTangCa[Giờ max]&gt;$AA53)
)))),
IF(AND($AA53-$Z$4 &gt;= AV$5,$AA53 &lt; AV$4),0,
SUM(_xlfn._xlws.FILTER(Table_BangLuong_TyLeTangCa[Tỷ lệ],
(Table_BangLuong_TyLeTangCa[Ngày] = AV$3) *
(Table_BangLuong_TyLeTangCa[Giờ min]&lt;=$AA53) *
(Table_BangLuong_TyLeTangCa[Giờ max]&gt;$AA53)
))))
),
IF(ISBLANK(AV$7),
IF(VLOOKUP(AV$6, Table_ChiPhiNV_Ca[], COUNTA(Table_ChiPhiNV_Ca[[#Headers],[Ca]:[Kết thúc]]),0)&gt; VLOOKUP(AV$6, Table_ChiPhiNV_Ca[], COUNTA(Table_ChiPhiNV_Ca[[#Headers],[Ca]:[Bắt đầu]]),0),
IF($AA53-$Z$4&lt;MAX(AV$4,VLOOKUP(AV$6, Table_ChiPhiNV_Ca[], COUNTA(Table_ChiPhiNV_Ca[[#Headers],[Ca]:[Bắt đầu]]),0)),0,
IF($AA53&gt;MIN(AV$5,VLOOKUP(AV$6, Table_ChiPhiNV_Ca[], COUNTA(Table_ChiPhiNV_Ca[[#Headers],[Ca]:[Kết thúc]]),0)),0,
SUM(_xlfn._xlws.FILTER(Table_BangLuong_TyLeTangCa[Tỷ lệ],
(Table_BangLuong_TyLeTangCa[Ngày] = "Thường") *
(Table_BangLuong_TyLeTangCa[Giờ min]&lt;=$AA53) *
(Table_BangLuong_TyLeTangCa[Giờ max]&gt;$AA53)
)))),
IF(AV$4 &gt; AV$5,
IF(
AND(
$AA53-$Z$4&lt;MAX(AV$4,VLOOKUP(AV$6, Table_ChiPhiNV_Ca[], COUNTA(Table_ChiPhiNV_Ca[[#Headers],[Ca]:[Bắt đầu]]),0)),
$AA53&gt;MIN(AV$5,VLOOKUP(AV$6, Table_ChiPhiNV_Ca[], COUNTA(Table_ChiPhiNV_Ca[[#Headers],[Ca]:[Kết thúc]]),0))),0,
SUM(_xlfn._xlws.FILTER(Table_BangLuong_TyLeTangCa[Tỷ lệ],
(Table_BangLuong_TyLeTangCa[Ngày] = "Thường") *
(Table_BangLuong_TyLeTangCa[Giờ min]&lt;=$AA53) *
(Table_BangLuong_TyLeTangCa[Giờ max]&gt;$AA53)
))),
IF(
AND(
$AA53-$Z$4&gt;=MAX(AV$4,VLOOKUP(AV$6, Table_ChiPhiNV_Ca[], COUNTA(Table_ChiPhiNV_Ca[[#Headers],[Ca]:[Bắt đầu]]),0)),
$AA53&lt;MIN(AV$5,VLOOKUP(AV$6, Table_ChiPhiNV_Ca[], COUNTA(Table_ChiPhiNV_Ca[[#Headers],[Ca]:[Kết thúc]]),0))),
SUM(_xlfn._xlws.FILTER(Table_BangLuong_TyLeTangCa[Tỷ lệ],
(Table_BangLuong_TyLeTangCa[Ngày] = "Thường") *
(Table_BangLuong_TyLeTangCa[Giờ min]&lt;=$AA53) *
(Table_BangLuong_TyLeTangCa[Giờ max]&gt;$AA53)
)),0)
)),
IF(AV$4 &lt; AV$5,
IF($AA53-$Z$4&lt;AV$4,0,
IF($AA53&gt;AV$5,0,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AV$5,$AA53 &lt; AV$4),0,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W53" s="18" cm="1">
        <f t="array" ref="AW53" xml:space="preserve">
IFERROR(
IF(AW$1="",0,
IF(AND(
$AA53&gt;=VLOOKUP(AW$6, Table_ChiPhiNV_Ca[], COUNTA(Table_ChiPhiNV_Ca[[#Headers],[Ca]:[Bắt đầu nghỉ]]),0),
$AA53&lt;VLOOKUP(AW$6, Table_ChiPhiNV_Ca[], COUNTA(Table_ChiPhiNV_Ca[[#Headers],[Ca]:[Kết thúc nghỉ]]),0)
),0,
IF(NOT(ISBLANK(AW$3)),
IF(ISBLANK(AW$7),0,
IF(AW$4 &lt; AW$5,
IF($AA53-$Z$4&lt;AW$4,0,
IF($AA53&gt;AW$5,0,
SUM(_xlfn._xlws.FILTER(Table_BangLuong_TyLeTangCa[Tỷ lệ],
(Table_BangLuong_TyLeTangCa[Ngày] = AW$3) *
(Table_BangLuong_TyLeTangCa[Giờ min]&lt;=$AA53) *
(Table_BangLuong_TyLeTangCa[Giờ max]&gt;$AA53)
)))),
IF(AND($AA53-$Z$4 &gt;= AW$5,$AA53 &lt; AW$4),0,
SUM(_xlfn._xlws.FILTER(Table_BangLuong_TyLeTangCa[Tỷ lệ],
(Table_BangLuong_TyLeTangCa[Ngày] = AW$3) *
(Table_BangLuong_TyLeTangCa[Giờ min]&lt;=$AA53) *
(Table_BangLuong_TyLeTangCa[Giờ max]&gt;$AA53)
))))
),
IF(ISBLANK(AW$7),
IF(VLOOKUP(AW$6, Table_ChiPhiNV_Ca[], COUNTA(Table_ChiPhiNV_Ca[[#Headers],[Ca]:[Kết thúc]]),0)&gt; VLOOKUP(AW$6, Table_ChiPhiNV_Ca[], COUNTA(Table_ChiPhiNV_Ca[[#Headers],[Ca]:[Bắt đầu]]),0),
IF($AA53-$Z$4&lt;MAX(AW$4,VLOOKUP(AW$6, Table_ChiPhiNV_Ca[], COUNTA(Table_ChiPhiNV_Ca[[#Headers],[Ca]:[Bắt đầu]]),0)),0,
IF($AA53&gt;MIN(AW$5,VLOOKUP(AW$6, Table_ChiPhiNV_Ca[], COUNTA(Table_ChiPhiNV_Ca[[#Headers],[Ca]:[Kết thúc]]),0)),0,
SUM(_xlfn._xlws.FILTER(Table_BangLuong_TyLeTangCa[Tỷ lệ],
(Table_BangLuong_TyLeTangCa[Ngày] = "Thường") *
(Table_BangLuong_TyLeTangCa[Giờ min]&lt;=$AA53) *
(Table_BangLuong_TyLeTangCa[Giờ max]&gt;$AA53)
)))),
IF(AW$4 &gt; AW$5,
IF(
AND(
$AA53-$Z$4&lt;MAX(AW$4,VLOOKUP(AW$6, Table_ChiPhiNV_Ca[], COUNTA(Table_ChiPhiNV_Ca[[#Headers],[Ca]:[Bắt đầu]]),0)),
$AA53&gt;MIN(AW$5,VLOOKUP(AW$6, Table_ChiPhiNV_Ca[], COUNTA(Table_ChiPhiNV_Ca[[#Headers],[Ca]:[Kết thúc]]),0))),0,
SUM(_xlfn._xlws.FILTER(Table_BangLuong_TyLeTangCa[Tỷ lệ],
(Table_BangLuong_TyLeTangCa[Ngày] = "Thường") *
(Table_BangLuong_TyLeTangCa[Giờ min]&lt;=$AA53) *
(Table_BangLuong_TyLeTangCa[Giờ max]&gt;$AA53)
))),
IF(
AND(
$AA53-$Z$4&gt;=MAX(AW$4,VLOOKUP(AW$6, Table_ChiPhiNV_Ca[], COUNTA(Table_ChiPhiNV_Ca[[#Headers],[Ca]:[Bắt đầu]]),0)),
$AA53&lt;MIN(AW$5,VLOOKUP(AW$6, Table_ChiPhiNV_Ca[], COUNTA(Table_ChiPhiNV_Ca[[#Headers],[Ca]:[Kết thúc]]),0))),
SUM(_xlfn._xlws.FILTER(Table_BangLuong_TyLeTangCa[Tỷ lệ],
(Table_BangLuong_TyLeTangCa[Ngày] = "Thường") *
(Table_BangLuong_TyLeTangCa[Giờ min]&lt;=$AA53) *
(Table_BangLuong_TyLeTangCa[Giờ max]&gt;$AA53)
)),0)
)),
IF(AW$4 &lt; AW$5,
IF($AA53-$Z$4&lt;AW$4,0,
IF($AA53&gt;AW$5,0,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AW$5,$AA53 &lt; AW$4),0,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X53" s="18" cm="1">
        <f t="array" ref="AX53" xml:space="preserve">
IFERROR(
IF(AX$1="",0,
IF(AND(
$AA53&gt;=VLOOKUP(AX$6, Table_ChiPhiNV_Ca[], COUNTA(Table_ChiPhiNV_Ca[[#Headers],[Ca]:[Bắt đầu nghỉ]]),0),
$AA53&lt;VLOOKUP(AX$6, Table_ChiPhiNV_Ca[], COUNTA(Table_ChiPhiNV_Ca[[#Headers],[Ca]:[Kết thúc nghỉ]]),0)
),0,
IF(NOT(ISBLANK(AX$3)),
IF(ISBLANK(AX$7),0,
IF(AX$4 &lt; AX$5,
IF($AA53-$Z$4&lt;AX$4,0,
IF($AA53&gt;AX$5,0,
SUM(_xlfn._xlws.FILTER(Table_BangLuong_TyLeTangCa[Tỷ lệ],
(Table_BangLuong_TyLeTangCa[Ngày] = AX$3) *
(Table_BangLuong_TyLeTangCa[Giờ min]&lt;=$AA53) *
(Table_BangLuong_TyLeTangCa[Giờ max]&gt;$AA53)
)))),
IF(AND($AA53-$Z$4 &gt;= AX$5,$AA53 &lt; AX$4),0,
SUM(_xlfn._xlws.FILTER(Table_BangLuong_TyLeTangCa[Tỷ lệ],
(Table_BangLuong_TyLeTangCa[Ngày] = AX$3) *
(Table_BangLuong_TyLeTangCa[Giờ min]&lt;=$AA53) *
(Table_BangLuong_TyLeTangCa[Giờ max]&gt;$AA53)
))))
),
IF(ISBLANK(AX$7),
IF(VLOOKUP(AX$6, Table_ChiPhiNV_Ca[], COUNTA(Table_ChiPhiNV_Ca[[#Headers],[Ca]:[Kết thúc]]),0)&gt; VLOOKUP(AX$6, Table_ChiPhiNV_Ca[], COUNTA(Table_ChiPhiNV_Ca[[#Headers],[Ca]:[Bắt đầu]]),0),
IF($AA53-$Z$4&lt;MAX(AX$4,VLOOKUP(AX$6, Table_ChiPhiNV_Ca[], COUNTA(Table_ChiPhiNV_Ca[[#Headers],[Ca]:[Bắt đầu]]),0)),0,
IF($AA53&gt;MIN(AX$5,VLOOKUP(AX$6, Table_ChiPhiNV_Ca[], COUNTA(Table_ChiPhiNV_Ca[[#Headers],[Ca]:[Kết thúc]]),0)),0,
SUM(_xlfn._xlws.FILTER(Table_BangLuong_TyLeTangCa[Tỷ lệ],
(Table_BangLuong_TyLeTangCa[Ngày] = "Thường") *
(Table_BangLuong_TyLeTangCa[Giờ min]&lt;=$AA53) *
(Table_BangLuong_TyLeTangCa[Giờ max]&gt;$AA53)
)))),
IF(AX$4 &gt; AX$5,
IF(
AND(
$AA53-$Z$4&lt;MAX(AX$4,VLOOKUP(AX$6, Table_ChiPhiNV_Ca[], COUNTA(Table_ChiPhiNV_Ca[[#Headers],[Ca]:[Bắt đầu]]),0)),
$AA53&gt;MIN(AX$5,VLOOKUP(AX$6, Table_ChiPhiNV_Ca[], COUNTA(Table_ChiPhiNV_Ca[[#Headers],[Ca]:[Kết thúc]]),0))),0,
SUM(_xlfn._xlws.FILTER(Table_BangLuong_TyLeTangCa[Tỷ lệ],
(Table_BangLuong_TyLeTangCa[Ngày] = "Thường") *
(Table_BangLuong_TyLeTangCa[Giờ min]&lt;=$AA53) *
(Table_BangLuong_TyLeTangCa[Giờ max]&gt;$AA53)
))),
IF(
AND(
$AA53-$Z$4&gt;=MAX(AX$4,VLOOKUP(AX$6, Table_ChiPhiNV_Ca[], COUNTA(Table_ChiPhiNV_Ca[[#Headers],[Ca]:[Bắt đầu]]),0)),
$AA53&lt;MIN(AX$5,VLOOKUP(AX$6, Table_ChiPhiNV_Ca[], COUNTA(Table_ChiPhiNV_Ca[[#Headers],[Ca]:[Kết thúc]]),0))),
SUM(_xlfn._xlws.FILTER(Table_BangLuong_TyLeTangCa[Tỷ lệ],
(Table_BangLuong_TyLeTangCa[Ngày] = "Thường") *
(Table_BangLuong_TyLeTangCa[Giờ min]&lt;=$AA53) *
(Table_BangLuong_TyLeTangCa[Giờ max]&gt;$AA53)
)),0)
)),
IF(AX$4 &lt; AX$5,
IF($AA53-$Z$4&lt;AX$4,0,
IF($AA53&gt;AX$5,0,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AX$5,$AA53 &lt; AX$4),0,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Y53" s="18" cm="1">
        <f t="array" ref="AY53" xml:space="preserve">
IFERROR(
IF(AY$1="",0,
IF(AND(
$AA53&gt;=VLOOKUP(AY$6, Table_ChiPhiNV_Ca[], COUNTA(Table_ChiPhiNV_Ca[[#Headers],[Ca]:[Bắt đầu nghỉ]]),0),
$AA53&lt;VLOOKUP(AY$6, Table_ChiPhiNV_Ca[], COUNTA(Table_ChiPhiNV_Ca[[#Headers],[Ca]:[Kết thúc nghỉ]]),0)
),0,
IF(NOT(ISBLANK(AY$3)),
IF(ISBLANK(AY$7),0,
IF(AY$4 &lt; AY$5,
IF($AA53-$Z$4&lt;AY$4,0,
IF($AA53&gt;AY$5,0,
SUM(_xlfn._xlws.FILTER(Table_BangLuong_TyLeTangCa[Tỷ lệ],
(Table_BangLuong_TyLeTangCa[Ngày] = AY$3) *
(Table_BangLuong_TyLeTangCa[Giờ min]&lt;=$AA53) *
(Table_BangLuong_TyLeTangCa[Giờ max]&gt;$AA53)
)))),
IF(AND($AA53-$Z$4 &gt;= AY$5,$AA53 &lt; AY$4),0,
SUM(_xlfn._xlws.FILTER(Table_BangLuong_TyLeTangCa[Tỷ lệ],
(Table_BangLuong_TyLeTangCa[Ngày] = AY$3) *
(Table_BangLuong_TyLeTangCa[Giờ min]&lt;=$AA53) *
(Table_BangLuong_TyLeTangCa[Giờ max]&gt;$AA53)
))))
),
IF(ISBLANK(AY$7),
IF(VLOOKUP(AY$6, Table_ChiPhiNV_Ca[], COUNTA(Table_ChiPhiNV_Ca[[#Headers],[Ca]:[Kết thúc]]),0)&gt; VLOOKUP(AY$6, Table_ChiPhiNV_Ca[], COUNTA(Table_ChiPhiNV_Ca[[#Headers],[Ca]:[Bắt đầu]]),0),
IF($AA53-$Z$4&lt;MAX(AY$4,VLOOKUP(AY$6, Table_ChiPhiNV_Ca[], COUNTA(Table_ChiPhiNV_Ca[[#Headers],[Ca]:[Bắt đầu]]),0)),0,
IF($AA53&gt;MIN(AY$5,VLOOKUP(AY$6, Table_ChiPhiNV_Ca[], COUNTA(Table_ChiPhiNV_Ca[[#Headers],[Ca]:[Kết thúc]]),0)),0,
SUM(_xlfn._xlws.FILTER(Table_BangLuong_TyLeTangCa[Tỷ lệ],
(Table_BangLuong_TyLeTangCa[Ngày] = "Thường") *
(Table_BangLuong_TyLeTangCa[Giờ min]&lt;=$AA53) *
(Table_BangLuong_TyLeTangCa[Giờ max]&gt;$AA53)
)))),
IF(AY$4 &gt; AY$5,
IF(
AND(
$AA53-$Z$4&lt;MAX(AY$4,VLOOKUP(AY$6, Table_ChiPhiNV_Ca[], COUNTA(Table_ChiPhiNV_Ca[[#Headers],[Ca]:[Bắt đầu]]),0)),
$AA53&gt;MIN(AY$5,VLOOKUP(AY$6, Table_ChiPhiNV_Ca[], COUNTA(Table_ChiPhiNV_Ca[[#Headers],[Ca]:[Kết thúc]]),0))),0,
SUM(_xlfn._xlws.FILTER(Table_BangLuong_TyLeTangCa[Tỷ lệ],
(Table_BangLuong_TyLeTangCa[Ngày] = "Thường") *
(Table_BangLuong_TyLeTangCa[Giờ min]&lt;=$AA53) *
(Table_BangLuong_TyLeTangCa[Giờ max]&gt;$AA53)
))),
IF(
AND(
$AA53-$Z$4&gt;=MAX(AY$4,VLOOKUP(AY$6, Table_ChiPhiNV_Ca[], COUNTA(Table_ChiPhiNV_Ca[[#Headers],[Ca]:[Bắt đầu]]),0)),
$AA53&lt;MIN(AY$5,VLOOKUP(AY$6, Table_ChiPhiNV_Ca[], COUNTA(Table_ChiPhiNV_Ca[[#Headers],[Ca]:[Kết thúc]]),0))),
SUM(_xlfn._xlws.FILTER(Table_BangLuong_TyLeTangCa[Tỷ lệ],
(Table_BangLuong_TyLeTangCa[Ngày] = "Thường") *
(Table_BangLuong_TyLeTangCa[Giờ min]&lt;=$AA53) *
(Table_BangLuong_TyLeTangCa[Giờ max]&gt;$AA53)
)),0)
)),
IF(AY$4 &lt; AY$5,
IF($AA53-$Z$4&lt;AY$4,0,
IF($AA53&gt;AY$5,0,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AY$5,$AA53 &lt; AY$4),0,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Z53" s="18" cm="1">
        <f t="array" ref="AZ53" xml:space="preserve">
IFERROR(
IF(AZ$1="",0,
IF(AND(
$AA53&gt;=VLOOKUP(AZ$6, Table_ChiPhiNV_Ca[], COUNTA(Table_ChiPhiNV_Ca[[#Headers],[Ca]:[Bắt đầu nghỉ]]),0),
$AA53&lt;VLOOKUP(AZ$6, Table_ChiPhiNV_Ca[], COUNTA(Table_ChiPhiNV_Ca[[#Headers],[Ca]:[Kết thúc nghỉ]]),0)
),0,
IF(NOT(ISBLANK(AZ$3)),
IF(ISBLANK(AZ$7),0,
IF(AZ$4 &lt; AZ$5,
IF($AA53-$Z$4&lt;AZ$4,0,
IF($AA53&gt;AZ$5,0,
SUM(_xlfn._xlws.FILTER(Table_BangLuong_TyLeTangCa[Tỷ lệ],
(Table_BangLuong_TyLeTangCa[Ngày] = AZ$3) *
(Table_BangLuong_TyLeTangCa[Giờ min]&lt;=$AA53) *
(Table_BangLuong_TyLeTangCa[Giờ max]&gt;$AA53)
)))),
IF(AND($AA53-$Z$4 &gt;= AZ$5,$AA53 &lt; AZ$4),0,
SUM(_xlfn._xlws.FILTER(Table_BangLuong_TyLeTangCa[Tỷ lệ],
(Table_BangLuong_TyLeTangCa[Ngày] = AZ$3) *
(Table_BangLuong_TyLeTangCa[Giờ min]&lt;=$AA53) *
(Table_BangLuong_TyLeTangCa[Giờ max]&gt;$AA53)
))))
),
IF(ISBLANK(AZ$7),
IF(VLOOKUP(AZ$6, Table_ChiPhiNV_Ca[], COUNTA(Table_ChiPhiNV_Ca[[#Headers],[Ca]:[Kết thúc]]),0)&gt; VLOOKUP(AZ$6, Table_ChiPhiNV_Ca[], COUNTA(Table_ChiPhiNV_Ca[[#Headers],[Ca]:[Bắt đầu]]),0),
IF($AA53-$Z$4&lt;MAX(AZ$4,VLOOKUP(AZ$6, Table_ChiPhiNV_Ca[], COUNTA(Table_ChiPhiNV_Ca[[#Headers],[Ca]:[Bắt đầu]]),0)),0,
IF($AA53&gt;MIN(AZ$5,VLOOKUP(AZ$6, Table_ChiPhiNV_Ca[], COUNTA(Table_ChiPhiNV_Ca[[#Headers],[Ca]:[Kết thúc]]),0)),0,
SUM(_xlfn._xlws.FILTER(Table_BangLuong_TyLeTangCa[Tỷ lệ],
(Table_BangLuong_TyLeTangCa[Ngày] = "Thường") *
(Table_BangLuong_TyLeTangCa[Giờ min]&lt;=$AA53) *
(Table_BangLuong_TyLeTangCa[Giờ max]&gt;$AA53)
)))),
IF(AZ$4 &gt; AZ$5,
IF(
AND(
$AA53-$Z$4&lt;MAX(AZ$4,VLOOKUP(AZ$6, Table_ChiPhiNV_Ca[], COUNTA(Table_ChiPhiNV_Ca[[#Headers],[Ca]:[Bắt đầu]]),0)),
$AA53&gt;MIN(AZ$5,VLOOKUP(AZ$6, Table_ChiPhiNV_Ca[], COUNTA(Table_ChiPhiNV_Ca[[#Headers],[Ca]:[Kết thúc]]),0))),0,
SUM(_xlfn._xlws.FILTER(Table_BangLuong_TyLeTangCa[Tỷ lệ],
(Table_BangLuong_TyLeTangCa[Ngày] = "Thường") *
(Table_BangLuong_TyLeTangCa[Giờ min]&lt;=$AA53) *
(Table_BangLuong_TyLeTangCa[Giờ max]&gt;$AA53)
))),
IF(
AND(
$AA53-$Z$4&gt;=MAX(AZ$4,VLOOKUP(AZ$6, Table_ChiPhiNV_Ca[], COUNTA(Table_ChiPhiNV_Ca[[#Headers],[Ca]:[Bắt đầu]]),0)),
$AA53&lt;MIN(AZ$5,VLOOKUP(AZ$6, Table_ChiPhiNV_Ca[], COUNTA(Table_ChiPhiNV_Ca[[#Headers],[Ca]:[Kết thúc]]),0))),
SUM(_xlfn._xlws.FILTER(Table_BangLuong_TyLeTangCa[Tỷ lệ],
(Table_BangLuong_TyLeTangCa[Ngày] = "Thường") *
(Table_BangLuong_TyLeTangCa[Giờ min]&lt;=$AA53) *
(Table_BangLuong_TyLeTangCa[Giờ max]&gt;$AA53)
)),0)
)),
IF(AZ$4 &lt; AZ$5,
IF($AA53-$Z$4&lt;AZ$4,0,
IF($AA53&gt;AZ$5,0,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AZ$5,$AA53 &lt; AZ$4),0,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A53" s="18" cm="1">
        <f t="array" ref="BA53" xml:space="preserve">
IFERROR(
IF(BA$1="",0,
IF(AND(
$AA53&gt;=VLOOKUP(BA$6, Table_ChiPhiNV_Ca[], COUNTA(Table_ChiPhiNV_Ca[[#Headers],[Ca]:[Bắt đầu nghỉ]]),0),
$AA53&lt;VLOOKUP(BA$6, Table_ChiPhiNV_Ca[], COUNTA(Table_ChiPhiNV_Ca[[#Headers],[Ca]:[Kết thúc nghỉ]]),0)
),0,
IF(NOT(ISBLANK(BA$3)),
IF(ISBLANK(BA$7),0,
IF(BA$4 &lt; BA$5,
IF($AA53-$Z$4&lt;BA$4,0,
IF($AA53&gt;BA$5,0,
SUM(_xlfn._xlws.FILTER(Table_BangLuong_TyLeTangCa[Tỷ lệ],
(Table_BangLuong_TyLeTangCa[Ngày] = BA$3) *
(Table_BangLuong_TyLeTangCa[Giờ min]&lt;=$AA53) *
(Table_BangLuong_TyLeTangCa[Giờ max]&gt;$AA53)
)))),
IF(AND($AA53-$Z$4 &gt;= BA$5,$AA53 &lt; BA$4),0,
SUM(_xlfn._xlws.FILTER(Table_BangLuong_TyLeTangCa[Tỷ lệ],
(Table_BangLuong_TyLeTangCa[Ngày] = BA$3) *
(Table_BangLuong_TyLeTangCa[Giờ min]&lt;=$AA53) *
(Table_BangLuong_TyLeTangCa[Giờ max]&gt;$AA53)
))))
),
IF(ISBLANK(BA$7),
IF(VLOOKUP(BA$6, Table_ChiPhiNV_Ca[], COUNTA(Table_ChiPhiNV_Ca[[#Headers],[Ca]:[Kết thúc]]),0)&gt; VLOOKUP(BA$6, Table_ChiPhiNV_Ca[], COUNTA(Table_ChiPhiNV_Ca[[#Headers],[Ca]:[Bắt đầu]]),0),
IF($AA53-$Z$4&lt;MAX(BA$4,VLOOKUP(BA$6, Table_ChiPhiNV_Ca[], COUNTA(Table_ChiPhiNV_Ca[[#Headers],[Ca]:[Bắt đầu]]),0)),0,
IF($AA53&gt;MIN(BA$5,VLOOKUP(BA$6, Table_ChiPhiNV_Ca[], COUNTA(Table_ChiPhiNV_Ca[[#Headers],[Ca]:[Kết thúc]]),0)),0,
SUM(_xlfn._xlws.FILTER(Table_BangLuong_TyLeTangCa[Tỷ lệ],
(Table_BangLuong_TyLeTangCa[Ngày] = "Thường") *
(Table_BangLuong_TyLeTangCa[Giờ min]&lt;=$AA53) *
(Table_BangLuong_TyLeTangCa[Giờ max]&gt;$AA53)
)))),
IF(BA$4 &gt; BA$5,
IF(
AND(
$AA53-$Z$4&lt;MAX(BA$4,VLOOKUP(BA$6, Table_ChiPhiNV_Ca[], COUNTA(Table_ChiPhiNV_Ca[[#Headers],[Ca]:[Bắt đầu]]),0)),
$AA53&gt;MIN(BA$5,VLOOKUP(BA$6, Table_ChiPhiNV_Ca[], COUNTA(Table_ChiPhiNV_Ca[[#Headers],[Ca]:[Kết thúc]]),0))),0,
SUM(_xlfn._xlws.FILTER(Table_BangLuong_TyLeTangCa[Tỷ lệ],
(Table_BangLuong_TyLeTangCa[Ngày] = "Thường") *
(Table_BangLuong_TyLeTangCa[Giờ min]&lt;=$AA53) *
(Table_BangLuong_TyLeTangCa[Giờ max]&gt;$AA53)
))),
IF(
AND(
$AA53-$Z$4&gt;=MAX(BA$4,VLOOKUP(BA$6, Table_ChiPhiNV_Ca[], COUNTA(Table_ChiPhiNV_Ca[[#Headers],[Ca]:[Bắt đầu]]),0)),
$AA53&lt;MIN(BA$5,VLOOKUP(BA$6, Table_ChiPhiNV_Ca[], COUNTA(Table_ChiPhiNV_Ca[[#Headers],[Ca]:[Kết thúc]]),0))),
SUM(_xlfn._xlws.FILTER(Table_BangLuong_TyLeTangCa[Tỷ lệ],
(Table_BangLuong_TyLeTangCa[Ngày] = "Thường") *
(Table_BangLuong_TyLeTangCa[Giờ min]&lt;=$AA53) *
(Table_BangLuong_TyLeTangCa[Giờ max]&gt;$AA53)
)),0)
)),
IF(BA$4 &lt; BA$5,
IF($AA53-$Z$4&lt;BA$4,0,
IF($AA53&gt;BA$5,0,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BA$5,$AA53 &lt; BA$4),0,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B53" s="18" cm="1">
        <f t="array" ref="BB53" xml:space="preserve">
IFERROR(
IF(BB$1="",0,
IF(AND(
$AA53&gt;=VLOOKUP(BB$6, Table_ChiPhiNV_Ca[], COUNTA(Table_ChiPhiNV_Ca[[#Headers],[Ca]:[Bắt đầu nghỉ]]),0),
$AA53&lt;VLOOKUP(BB$6, Table_ChiPhiNV_Ca[], COUNTA(Table_ChiPhiNV_Ca[[#Headers],[Ca]:[Kết thúc nghỉ]]),0)
),0,
IF(NOT(ISBLANK(BB$3)),
IF(ISBLANK(BB$7),0,
IF(BB$4 &lt; BB$5,
IF($AA53-$Z$4&lt;BB$4,0,
IF($AA53&gt;BB$5,0,
SUM(_xlfn._xlws.FILTER(Table_BangLuong_TyLeTangCa[Tỷ lệ],
(Table_BangLuong_TyLeTangCa[Ngày] = BB$3) *
(Table_BangLuong_TyLeTangCa[Giờ min]&lt;=$AA53) *
(Table_BangLuong_TyLeTangCa[Giờ max]&gt;$AA53)
)))),
IF(AND($AA53-$Z$4 &gt;= BB$5,$AA53 &lt; BB$4),0,
SUM(_xlfn._xlws.FILTER(Table_BangLuong_TyLeTangCa[Tỷ lệ],
(Table_BangLuong_TyLeTangCa[Ngày] = BB$3) *
(Table_BangLuong_TyLeTangCa[Giờ min]&lt;=$AA53) *
(Table_BangLuong_TyLeTangCa[Giờ max]&gt;$AA53)
))))
),
IF(ISBLANK(BB$7),
IF(VLOOKUP(BB$6, Table_ChiPhiNV_Ca[], COUNTA(Table_ChiPhiNV_Ca[[#Headers],[Ca]:[Kết thúc]]),0)&gt; VLOOKUP(BB$6, Table_ChiPhiNV_Ca[], COUNTA(Table_ChiPhiNV_Ca[[#Headers],[Ca]:[Bắt đầu]]),0),
IF($AA53-$Z$4&lt;MAX(BB$4,VLOOKUP(BB$6, Table_ChiPhiNV_Ca[], COUNTA(Table_ChiPhiNV_Ca[[#Headers],[Ca]:[Bắt đầu]]),0)),0,
IF($AA53&gt;MIN(BB$5,VLOOKUP(BB$6, Table_ChiPhiNV_Ca[], COUNTA(Table_ChiPhiNV_Ca[[#Headers],[Ca]:[Kết thúc]]),0)),0,
SUM(_xlfn._xlws.FILTER(Table_BangLuong_TyLeTangCa[Tỷ lệ],
(Table_BangLuong_TyLeTangCa[Ngày] = "Thường") *
(Table_BangLuong_TyLeTangCa[Giờ min]&lt;=$AA53) *
(Table_BangLuong_TyLeTangCa[Giờ max]&gt;$AA53)
)))),
IF(BB$4 &gt; BB$5,
IF(
AND(
$AA53-$Z$4&lt;MAX(BB$4,VLOOKUP(BB$6, Table_ChiPhiNV_Ca[], COUNTA(Table_ChiPhiNV_Ca[[#Headers],[Ca]:[Bắt đầu]]),0)),
$AA53&gt;MIN(BB$5,VLOOKUP(BB$6, Table_ChiPhiNV_Ca[], COUNTA(Table_ChiPhiNV_Ca[[#Headers],[Ca]:[Kết thúc]]),0))),0,
SUM(_xlfn._xlws.FILTER(Table_BangLuong_TyLeTangCa[Tỷ lệ],
(Table_BangLuong_TyLeTangCa[Ngày] = "Thường") *
(Table_BangLuong_TyLeTangCa[Giờ min]&lt;=$AA53) *
(Table_BangLuong_TyLeTangCa[Giờ max]&gt;$AA53)
))),
IF(
AND(
$AA53-$Z$4&gt;=MAX(BB$4,VLOOKUP(BB$6, Table_ChiPhiNV_Ca[], COUNTA(Table_ChiPhiNV_Ca[[#Headers],[Ca]:[Bắt đầu]]),0)),
$AA53&lt;MIN(BB$5,VLOOKUP(BB$6, Table_ChiPhiNV_Ca[], COUNTA(Table_ChiPhiNV_Ca[[#Headers],[Ca]:[Kết thúc]]),0))),
SUM(_xlfn._xlws.FILTER(Table_BangLuong_TyLeTangCa[Tỷ lệ],
(Table_BangLuong_TyLeTangCa[Ngày] = "Thường") *
(Table_BangLuong_TyLeTangCa[Giờ min]&lt;=$AA53) *
(Table_BangLuong_TyLeTangCa[Giờ max]&gt;$AA53)
)),0)
)),
IF(BB$4 &lt; BB$5,
IF($AA53-$Z$4&lt;BB$4,0,
IF($AA53&gt;BB$5,0,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BB$5,$AA53 &lt; BB$4),0,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C53" s="18" cm="1">
        <f t="array" ref="BC53" xml:space="preserve">
IFERROR(
IF(BC$1="",0,
IF(AND(
$AA53&gt;=VLOOKUP(BC$6, Table_ChiPhiNV_Ca[], COUNTA(Table_ChiPhiNV_Ca[[#Headers],[Ca]:[Bắt đầu nghỉ]]),0),
$AA53&lt;VLOOKUP(BC$6, Table_ChiPhiNV_Ca[], COUNTA(Table_ChiPhiNV_Ca[[#Headers],[Ca]:[Kết thúc nghỉ]]),0)
),0,
IF(NOT(ISBLANK(BC$3)),
IF(ISBLANK(BC$7),0,
IF(BC$4 &lt; BC$5,
IF($AA53-$Z$4&lt;BC$4,0,
IF($AA53&gt;BC$5,0,
SUM(_xlfn._xlws.FILTER(Table_BangLuong_TyLeTangCa[Tỷ lệ],
(Table_BangLuong_TyLeTangCa[Ngày] = BC$3) *
(Table_BangLuong_TyLeTangCa[Giờ min]&lt;=$AA53) *
(Table_BangLuong_TyLeTangCa[Giờ max]&gt;$AA53)
)))),
IF(AND($AA53-$Z$4 &gt;= BC$5,$AA53 &lt; BC$4),0,
SUM(_xlfn._xlws.FILTER(Table_BangLuong_TyLeTangCa[Tỷ lệ],
(Table_BangLuong_TyLeTangCa[Ngày] = BC$3) *
(Table_BangLuong_TyLeTangCa[Giờ min]&lt;=$AA53) *
(Table_BangLuong_TyLeTangCa[Giờ max]&gt;$AA53)
))))
),
IF(ISBLANK(BC$7),
IF(VLOOKUP(BC$6, Table_ChiPhiNV_Ca[], COUNTA(Table_ChiPhiNV_Ca[[#Headers],[Ca]:[Kết thúc]]),0)&gt; VLOOKUP(BC$6, Table_ChiPhiNV_Ca[], COUNTA(Table_ChiPhiNV_Ca[[#Headers],[Ca]:[Bắt đầu]]),0),
IF($AA53-$Z$4&lt;MAX(BC$4,VLOOKUP(BC$6, Table_ChiPhiNV_Ca[], COUNTA(Table_ChiPhiNV_Ca[[#Headers],[Ca]:[Bắt đầu]]),0)),0,
IF($AA53&gt;MIN(BC$5,VLOOKUP(BC$6, Table_ChiPhiNV_Ca[], COUNTA(Table_ChiPhiNV_Ca[[#Headers],[Ca]:[Kết thúc]]),0)),0,
SUM(_xlfn._xlws.FILTER(Table_BangLuong_TyLeTangCa[Tỷ lệ],
(Table_BangLuong_TyLeTangCa[Ngày] = "Thường") *
(Table_BangLuong_TyLeTangCa[Giờ min]&lt;=$AA53) *
(Table_BangLuong_TyLeTangCa[Giờ max]&gt;$AA53)
)))),
IF(BC$4 &gt; BC$5,
IF(
AND(
$AA53-$Z$4&lt;MAX(BC$4,VLOOKUP(BC$6, Table_ChiPhiNV_Ca[], COUNTA(Table_ChiPhiNV_Ca[[#Headers],[Ca]:[Bắt đầu]]),0)),
$AA53&gt;MIN(BC$5,VLOOKUP(BC$6, Table_ChiPhiNV_Ca[], COUNTA(Table_ChiPhiNV_Ca[[#Headers],[Ca]:[Kết thúc]]),0))),0,
SUM(_xlfn._xlws.FILTER(Table_BangLuong_TyLeTangCa[Tỷ lệ],
(Table_BangLuong_TyLeTangCa[Ngày] = "Thường") *
(Table_BangLuong_TyLeTangCa[Giờ min]&lt;=$AA53) *
(Table_BangLuong_TyLeTangCa[Giờ max]&gt;$AA53)
))),
IF(
AND(
$AA53-$Z$4&gt;=MAX(BC$4,VLOOKUP(BC$6, Table_ChiPhiNV_Ca[], COUNTA(Table_ChiPhiNV_Ca[[#Headers],[Ca]:[Bắt đầu]]),0)),
$AA53&lt;MIN(BC$5,VLOOKUP(BC$6, Table_ChiPhiNV_Ca[], COUNTA(Table_ChiPhiNV_Ca[[#Headers],[Ca]:[Kết thúc]]),0))),
SUM(_xlfn._xlws.FILTER(Table_BangLuong_TyLeTangCa[Tỷ lệ],
(Table_BangLuong_TyLeTangCa[Ngày] = "Thường") *
(Table_BangLuong_TyLeTangCa[Giờ min]&lt;=$AA53) *
(Table_BangLuong_TyLeTangCa[Giờ max]&gt;$AA53)
)),0)
)),
IF(BC$4 &lt; BC$5,
IF($AA53-$Z$4&lt;BC$4,0,
IF($AA53&gt;BC$5,0,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BC$5,$AA53 &lt; BC$4),0,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D53" s="18" cm="1">
        <f t="array" ref="BD53" xml:space="preserve">
IFERROR(
IF(BD$1="",0,
IF(AND(
$AA53&gt;=VLOOKUP(BD$6, Table_ChiPhiNV_Ca[], COUNTA(Table_ChiPhiNV_Ca[[#Headers],[Ca]:[Bắt đầu nghỉ]]),0),
$AA53&lt;VLOOKUP(BD$6, Table_ChiPhiNV_Ca[], COUNTA(Table_ChiPhiNV_Ca[[#Headers],[Ca]:[Kết thúc nghỉ]]),0)
),0,
IF(NOT(ISBLANK(BD$3)),
IF(ISBLANK(BD$7),0,
IF(BD$4 &lt; BD$5,
IF($AA53-$Z$4&lt;BD$4,0,
IF($AA53&gt;BD$5,0,
SUM(_xlfn._xlws.FILTER(Table_BangLuong_TyLeTangCa[Tỷ lệ],
(Table_BangLuong_TyLeTangCa[Ngày] = BD$3) *
(Table_BangLuong_TyLeTangCa[Giờ min]&lt;=$AA53) *
(Table_BangLuong_TyLeTangCa[Giờ max]&gt;$AA53)
)))),
IF(AND($AA53-$Z$4 &gt;= BD$5,$AA53 &lt; BD$4),0,
SUM(_xlfn._xlws.FILTER(Table_BangLuong_TyLeTangCa[Tỷ lệ],
(Table_BangLuong_TyLeTangCa[Ngày] = BD$3) *
(Table_BangLuong_TyLeTangCa[Giờ min]&lt;=$AA53) *
(Table_BangLuong_TyLeTangCa[Giờ max]&gt;$AA53)
))))
),
IF(ISBLANK(BD$7),
IF(VLOOKUP(BD$6, Table_ChiPhiNV_Ca[], COUNTA(Table_ChiPhiNV_Ca[[#Headers],[Ca]:[Kết thúc]]),0)&gt; VLOOKUP(BD$6, Table_ChiPhiNV_Ca[], COUNTA(Table_ChiPhiNV_Ca[[#Headers],[Ca]:[Bắt đầu]]),0),
IF($AA53-$Z$4&lt;MAX(BD$4,VLOOKUP(BD$6, Table_ChiPhiNV_Ca[], COUNTA(Table_ChiPhiNV_Ca[[#Headers],[Ca]:[Bắt đầu]]),0)),0,
IF($AA53&gt;MIN(BD$5,VLOOKUP(BD$6, Table_ChiPhiNV_Ca[], COUNTA(Table_ChiPhiNV_Ca[[#Headers],[Ca]:[Kết thúc]]),0)),0,
SUM(_xlfn._xlws.FILTER(Table_BangLuong_TyLeTangCa[Tỷ lệ],
(Table_BangLuong_TyLeTangCa[Ngày] = "Thường") *
(Table_BangLuong_TyLeTangCa[Giờ min]&lt;=$AA53) *
(Table_BangLuong_TyLeTangCa[Giờ max]&gt;$AA53)
)))),
IF(BD$4 &gt; BD$5,
IF(
AND(
$AA53-$Z$4&lt;MAX(BD$4,VLOOKUP(BD$6, Table_ChiPhiNV_Ca[], COUNTA(Table_ChiPhiNV_Ca[[#Headers],[Ca]:[Bắt đầu]]),0)),
$AA53&gt;MIN(BD$5,VLOOKUP(BD$6, Table_ChiPhiNV_Ca[], COUNTA(Table_ChiPhiNV_Ca[[#Headers],[Ca]:[Kết thúc]]),0))),0,
SUM(_xlfn._xlws.FILTER(Table_BangLuong_TyLeTangCa[Tỷ lệ],
(Table_BangLuong_TyLeTangCa[Ngày] = "Thường") *
(Table_BangLuong_TyLeTangCa[Giờ min]&lt;=$AA53) *
(Table_BangLuong_TyLeTangCa[Giờ max]&gt;$AA53)
))),
IF(
AND(
$AA53-$Z$4&gt;=MAX(BD$4,VLOOKUP(BD$6, Table_ChiPhiNV_Ca[], COUNTA(Table_ChiPhiNV_Ca[[#Headers],[Ca]:[Bắt đầu]]),0)),
$AA53&lt;MIN(BD$5,VLOOKUP(BD$6, Table_ChiPhiNV_Ca[], COUNTA(Table_ChiPhiNV_Ca[[#Headers],[Ca]:[Kết thúc]]),0))),
SUM(_xlfn._xlws.FILTER(Table_BangLuong_TyLeTangCa[Tỷ lệ],
(Table_BangLuong_TyLeTangCa[Ngày] = "Thường") *
(Table_BangLuong_TyLeTangCa[Giờ min]&lt;=$AA53) *
(Table_BangLuong_TyLeTangCa[Giờ max]&gt;$AA53)
)),0)
)),
IF(BD$4 &lt; BD$5,
IF($AA53-$Z$4&lt;BD$4,0,
IF($AA53&gt;BD$5,0,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BD$5,$AA53 &lt; BD$4),0,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E53" s="18" cm="1">
        <f t="array" ref="BE53" xml:space="preserve">
IFERROR(
IF(BE$1="",0,
IF(AND(
$AA53&gt;=VLOOKUP(BE$6, Table_ChiPhiNV_Ca[], COUNTA(Table_ChiPhiNV_Ca[[#Headers],[Ca]:[Bắt đầu nghỉ]]),0),
$AA53&lt;VLOOKUP(BE$6, Table_ChiPhiNV_Ca[], COUNTA(Table_ChiPhiNV_Ca[[#Headers],[Ca]:[Kết thúc nghỉ]]),0)
),0,
IF(NOT(ISBLANK(BE$3)),
IF(ISBLANK(BE$7),0,
IF(BE$4 &lt; BE$5,
IF($AA53-$Z$4&lt;BE$4,0,
IF($AA53&gt;BE$5,0,
SUM(_xlfn._xlws.FILTER(Table_BangLuong_TyLeTangCa[Tỷ lệ],
(Table_BangLuong_TyLeTangCa[Ngày] = BE$3) *
(Table_BangLuong_TyLeTangCa[Giờ min]&lt;=$AA53) *
(Table_BangLuong_TyLeTangCa[Giờ max]&gt;$AA53)
)))),
IF(AND($AA53-$Z$4 &gt;= BE$5,$AA53 &lt; BE$4),0,
SUM(_xlfn._xlws.FILTER(Table_BangLuong_TyLeTangCa[Tỷ lệ],
(Table_BangLuong_TyLeTangCa[Ngày] = BE$3) *
(Table_BangLuong_TyLeTangCa[Giờ min]&lt;=$AA53) *
(Table_BangLuong_TyLeTangCa[Giờ max]&gt;$AA53)
))))
),
IF(ISBLANK(BE$7),
IF(VLOOKUP(BE$6, Table_ChiPhiNV_Ca[], COUNTA(Table_ChiPhiNV_Ca[[#Headers],[Ca]:[Kết thúc]]),0)&gt; VLOOKUP(BE$6, Table_ChiPhiNV_Ca[], COUNTA(Table_ChiPhiNV_Ca[[#Headers],[Ca]:[Bắt đầu]]),0),
IF($AA53-$Z$4&lt;MAX(BE$4,VLOOKUP(BE$6, Table_ChiPhiNV_Ca[], COUNTA(Table_ChiPhiNV_Ca[[#Headers],[Ca]:[Bắt đầu]]),0)),0,
IF($AA53&gt;MIN(BE$5,VLOOKUP(BE$6, Table_ChiPhiNV_Ca[], COUNTA(Table_ChiPhiNV_Ca[[#Headers],[Ca]:[Kết thúc]]),0)),0,
SUM(_xlfn._xlws.FILTER(Table_BangLuong_TyLeTangCa[Tỷ lệ],
(Table_BangLuong_TyLeTangCa[Ngày] = "Thường") *
(Table_BangLuong_TyLeTangCa[Giờ min]&lt;=$AA53) *
(Table_BangLuong_TyLeTangCa[Giờ max]&gt;$AA53)
)))),
IF(BE$4 &gt; BE$5,
IF(
AND(
$AA53-$Z$4&lt;MAX(BE$4,VLOOKUP(BE$6, Table_ChiPhiNV_Ca[], COUNTA(Table_ChiPhiNV_Ca[[#Headers],[Ca]:[Bắt đầu]]),0)),
$AA53&gt;MIN(BE$5,VLOOKUP(BE$6, Table_ChiPhiNV_Ca[], COUNTA(Table_ChiPhiNV_Ca[[#Headers],[Ca]:[Kết thúc]]),0))),0,
SUM(_xlfn._xlws.FILTER(Table_BangLuong_TyLeTangCa[Tỷ lệ],
(Table_BangLuong_TyLeTangCa[Ngày] = "Thường") *
(Table_BangLuong_TyLeTangCa[Giờ min]&lt;=$AA53) *
(Table_BangLuong_TyLeTangCa[Giờ max]&gt;$AA53)
))),
IF(
AND(
$AA53-$Z$4&gt;=MAX(BE$4,VLOOKUP(BE$6, Table_ChiPhiNV_Ca[], COUNTA(Table_ChiPhiNV_Ca[[#Headers],[Ca]:[Bắt đầu]]),0)),
$AA53&lt;MIN(BE$5,VLOOKUP(BE$6, Table_ChiPhiNV_Ca[], COUNTA(Table_ChiPhiNV_Ca[[#Headers],[Ca]:[Kết thúc]]),0))),
SUM(_xlfn._xlws.FILTER(Table_BangLuong_TyLeTangCa[Tỷ lệ],
(Table_BangLuong_TyLeTangCa[Ngày] = "Thường") *
(Table_BangLuong_TyLeTangCa[Giờ min]&lt;=$AA53) *
(Table_BangLuong_TyLeTangCa[Giờ max]&gt;$AA53)
)),0)
)),
IF(BE$4 &lt; BE$5,
IF($AA53-$Z$4&lt;BE$4,0,
IF($AA53&gt;BE$5,0,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BE$5,$AA53 &lt; BE$4),0,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F53" s="18" cm="1">
        <f t="array" ref="BF53" xml:space="preserve">
IFERROR(
IF(BF$1="",0,
IF(AND(
$AA53&gt;=VLOOKUP(BF$6, Table_ChiPhiNV_Ca[], COUNTA(Table_ChiPhiNV_Ca[[#Headers],[Ca]:[Bắt đầu nghỉ]]),0),
$AA53&lt;VLOOKUP(BF$6, Table_ChiPhiNV_Ca[], COUNTA(Table_ChiPhiNV_Ca[[#Headers],[Ca]:[Kết thúc nghỉ]]),0)
),0,
IF(NOT(ISBLANK(BF$3)),
IF(ISBLANK(BF$7),0,
IF(BF$4 &lt; BF$5,
IF($AA53-$Z$4&lt;BF$4,0,
IF($AA53&gt;BF$5,0,
SUM(_xlfn._xlws.FILTER(Table_BangLuong_TyLeTangCa[Tỷ lệ],
(Table_BangLuong_TyLeTangCa[Ngày] = BF$3) *
(Table_BangLuong_TyLeTangCa[Giờ min]&lt;=$AA53) *
(Table_BangLuong_TyLeTangCa[Giờ max]&gt;$AA53)
)))),
IF(AND($AA53-$Z$4 &gt;= BF$5,$AA53 &lt; BF$4),0,
SUM(_xlfn._xlws.FILTER(Table_BangLuong_TyLeTangCa[Tỷ lệ],
(Table_BangLuong_TyLeTangCa[Ngày] = BF$3) *
(Table_BangLuong_TyLeTangCa[Giờ min]&lt;=$AA53) *
(Table_BangLuong_TyLeTangCa[Giờ max]&gt;$AA53)
))))
),
IF(ISBLANK(BF$7),
IF(VLOOKUP(BF$6, Table_ChiPhiNV_Ca[], COUNTA(Table_ChiPhiNV_Ca[[#Headers],[Ca]:[Kết thúc]]),0)&gt; VLOOKUP(BF$6, Table_ChiPhiNV_Ca[], COUNTA(Table_ChiPhiNV_Ca[[#Headers],[Ca]:[Bắt đầu]]),0),
IF($AA53-$Z$4&lt;MAX(BF$4,VLOOKUP(BF$6, Table_ChiPhiNV_Ca[], COUNTA(Table_ChiPhiNV_Ca[[#Headers],[Ca]:[Bắt đầu]]),0)),0,
IF($AA53&gt;MIN(BF$5,VLOOKUP(BF$6, Table_ChiPhiNV_Ca[], COUNTA(Table_ChiPhiNV_Ca[[#Headers],[Ca]:[Kết thúc]]),0)),0,
SUM(_xlfn._xlws.FILTER(Table_BangLuong_TyLeTangCa[Tỷ lệ],
(Table_BangLuong_TyLeTangCa[Ngày] = "Thường") *
(Table_BangLuong_TyLeTangCa[Giờ min]&lt;=$AA53) *
(Table_BangLuong_TyLeTangCa[Giờ max]&gt;$AA53)
)))),
IF(BF$4 &gt; BF$5,
IF(
AND(
$AA53-$Z$4&lt;MAX(BF$4,VLOOKUP(BF$6, Table_ChiPhiNV_Ca[], COUNTA(Table_ChiPhiNV_Ca[[#Headers],[Ca]:[Bắt đầu]]),0)),
$AA53&gt;MIN(BF$5,VLOOKUP(BF$6, Table_ChiPhiNV_Ca[], COUNTA(Table_ChiPhiNV_Ca[[#Headers],[Ca]:[Kết thúc]]),0))),0,
SUM(_xlfn._xlws.FILTER(Table_BangLuong_TyLeTangCa[Tỷ lệ],
(Table_BangLuong_TyLeTangCa[Ngày] = "Thường") *
(Table_BangLuong_TyLeTangCa[Giờ min]&lt;=$AA53) *
(Table_BangLuong_TyLeTangCa[Giờ max]&gt;$AA53)
))),
IF(
AND(
$AA53-$Z$4&gt;=MAX(BF$4,VLOOKUP(BF$6, Table_ChiPhiNV_Ca[], COUNTA(Table_ChiPhiNV_Ca[[#Headers],[Ca]:[Bắt đầu]]),0)),
$AA53&lt;MIN(BF$5,VLOOKUP(BF$6, Table_ChiPhiNV_Ca[], COUNTA(Table_ChiPhiNV_Ca[[#Headers],[Ca]:[Kết thúc]]),0))),
SUM(_xlfn._xlws.FILTER(Table_BangLuong_TyLeTangCa[Tỷ lệ],
(Table_BangLuong_TyLeTangCa[Ngày] = "Thường") *
(Table_BangLuong_TyLeTangCa[Giờ min]&lt;=$AA53) *
(Table_BangLuong_TyLeTangCa[Giờ max]&gt;$AA53)
)),0)
)),
IF(BF$4 &lt; BF$5,
IF($AA53-$Z$4&lt;BF$4,0,
IF($AA53&gt;BF$5,0,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BF$5,$AA53 &lt; BF$4),0,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row>
    <row r="54" spans="27:58" ht="18" customHeight="1" outlineLevel="1" x14ac:dyDescent="0.3">
      <c r="AA54" s="50">
        <v>0.9375</v>
      </c>
      <c r="AB54" s="18" cm="1">
        <f t="array" ref="AB54" xml:space="preserve">
IFERROR(
IF(AB$1="",0,
IF(AND(
$AA54&gt;=VLOOKUP(AB$6, Table_ChiPhiNV_Ca[], COUNTA(Table_ChiPhiNV_Ca[[#Headers],[Ca]:[Bắt đầu nghỉ]]),0),
$AA54&lt;VLOOKUP(AB$6, Table_ChiPhiNV_Ca[], COUNTA(Table_ChiPhiNV_Ca[[#Headers],[Ca]:[Kết thúc nghỉ]]),0)
),0,
IF(NOT(ISBLANK(AB$3)),
IF(ISBLANK(AB$7),0,
IF(AB$4 &lt; AB$5,
IF($AA54-$Z$4&lt;AB$4,0,
IF($AA54&gt;AB$5,0,
SUM(_xlfn._xlws.FILTER(Table_BangLuong_TyLeTangCa[Tỷ lệ],
(Table_BangLuong_TyLeTangCa[Ngày] = AB$3) *
(Table_BangLuong_TyLeTangCa[Giờ min]&lt;=$AA54) *
(Table_BangLuong_TyLeTangCa[Giờ max]&gt;$AA54)
)))),
IF(AND($AA54-$Z$4 &gt;= AB$5,$AA54 &lt; AB$4),0,
SUM(_xlfn._xlws.FILTER(Table_BangLuong_TyLeTangCa[Tỷ lệ],
(Table_BangLuong_TyLeTangCa[Ngày] = AB$3) *
(Table_BangLuong_TyLeTangCa[Giờ min]&lt;=$AA54) *
(Table_BangLuong_TyLeTangCa[Giờ max]&gt;$AA54)
))))
),
IF(ISBLANK(AB$7),
IF(VLOOKUP(AB$6, Table_ChiPhiNV_Ca[], COUNTA(Table_ChiPhiNV_Ca[[#Headers],[Ca]:[Kết thúc]]),0)&gt; VLOOKUP(AB$6, Table_ChiPhiNV_Ca[], COUNTA(Table_ChiPhiNV_Ca[[#Headers],[Ca]:[Bắt đầu]]),0),
IF($AA54-$Z$4&lt;MAX(AB$4,VLOOKUP(AB$6, Table_ChiPhiNV_Ca[], COUNTA(Table_ChiPhiNV_Ca[[#Headers],[Ca]:[Bắt đầu]]),0)),0,
IF($AA54&gt;MIN(AB$5,VLOOKUP(AB$6, Table_ChiPhiNV_Ca[], COUNTA(Table_ChiPhiNV_Ca[[#Headers],[Ca]:[Kết thúc]]),0)),0,
SUM(_xlfn._xlws.FILTER(Table_BangLuong_TyLeTangCa[Tỷ lệ],
(Table_BangLuong_TyLeTangCa[Ngày] = "Thường") *
(Table_BangLuong_TyLeTangCa[Giờ min]&lt;=$AA54) *
(Table_BangLuong_TyLeTangCa[Giờ max]&gt;$AA54)
)))),
IF(AB$4 &gt; AB$5,
IF(
AND(
$AA54-$Z$4&lt;MAX(AB$4,VLOOKUP(AB$6, Table_ChiPhiNV_Ca[], COUNTA(Table_ChiPhiNV_Ca[[#Headers],[Ca]:[Bắt đầu]]),0)),
$AA54&gt;MIN(AB$5,VLOOKUP(AB$6, Table_ChiPhiNV_Ca[], COUNTA(Table_ChiPhiNV_Ca[[#Headers],[Ca]:[Kết thúc]]),0))),0,
SUM(_xlfn._xlws.FILTER(Table_BangLuong_TyLeTangCa[Tỷ lệ],
(Table_BangLuong_TyLeTangCa[Ngày] = "Thường") *
(Table_BangLuong_TyLeTangCa[Giờ min]&lt;=$AA54) *
(Table_BangLuong_TyLeTangCa[Giờ max]&gt;$AA54)
))),
IF(
AND(
$AA54-$Z$4&gt;=MAX(AB$4,VLOOKUP(AB$6, Table_ChiPhiNV_Ca[], COUNTA(Table_ChiPhiNV_Ca[[#Headers],[Ca]:[Bắt đầu]]),0)),
$AA54&lt;MIN(AB$5,VLOOKUP(AB$6, Table_ChiPhiNV_Ca[], COUNTA(Table_ChiPhiNV_Ca[[#Headers],[Ca]:[Kết thúc]]),0))),
SUM(_xlfn._xlws.FILTER(Table_BangLuong_TyLeTangCa[Tỷ lệ],
(Table_BangLuong_TyLeTangCa[Ngày] = "Thường") *
(Table_BangLuong_TyLeTangCa[Giờ min]&lt;=$AA54) *
(Table_BangLuong_TyLeTangCa[Giờ max]&gt;$AA54)
)),0)
)),
IF(AB$4 &lt; AB$5,
IF($AA54-$Z$4&lt;AB$4,0,
IF($AA54&gt;AB$5,0,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AB$5,$AA54 &lt; AB$4),0,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C54" s="18" cm="1">
        <f t="array" ref="AC54" xml:space="preserve">
IFERROR(
IF(AC$1="",0,
IF(AND(
$AA54&gt;=VLOOKUP(AC$6, Table_ChiPhiNV_Ca[], COUNTA(Table_ChiPhiNV_Ca[[#Headers],[Ca]:[Bắt đầu nghỉ]]),0),
$AA54&lt;VLOOKUP(AC$6, Table_ChiPhiNV_Ca[], COUNTA(Table_ChiPhiNV_Ca[[#Headers],[Ca]:[Kết thúc nghỉ]]),0)
),0,
IF(NOT(ISBLANK(AC$3)),
IF(ISBLANK(AC$7),0,
IF(AC$4 &lt; AC$5,
IF($AA54-$Z$4&lt;AC$4,0,
IF($AA54&gt;AC$5,0,
SUM(_xlfn._xlws.FILTER(Table_BangLuong_TyLeTangCa[Tỷ lệ],
(Table_BangLuong_TyLeTangCa[Ngày] = AC$3) *
(Table_BangLuong_TyLeTangCa[Giờ min]&lt;=$AA54) *
(Table_BangLuong_TyLeTangCa[Giờ max]&gt;$AA54)
)))),
IF(AND($AA54-$Z$4 &gt;= AC$5,$AA54 &lt; AC$4),0,
SUM(_xlfn._xlws.FILTER(Table_BangLuong_TyLeTangCa[Tỷ lệ],
(Table_BangLuong_TyLeTangCa[Ngày] = AC$3) *
(Table_BangLuong_TyLeTangCa[Giờ min]&lt;=$AA54) *
(Table_BangLuong_TyLeTangCa[Giờ max]&gt;$AA54)
))))
),
IF(ISBLANK(AC$7),
IF(VLOOKUP(AC$6, Table_ChiPhiNV_Ca[], COUNTA(Table_ChiPhiNV_Ca[[#Headers],[Ca]:[Kết thúc]]),0)&gt; VLOOKUP(AC$6, Table_ChiPhiNV_Ca[], COUNTA(Table_ChiPhiNV_Ca[[#Headers],[Ca]:[Bắt đầu]]),0),
IF($AA54-$Z$4&lt;MAX(AC$4,VLOOKUP(AC$6, Table_ChiPhiNV_Ca[], COUNTA(Table_ChiPhiNV_Ca[[#Headers],[Ca]:[Bắt đầu]]),0)),0,
IF($AA54&gt;MIN(AC$5,VLOOKUP(AC$6, Table_ChiPhiNV_Ca[], COUNTA(Table_ChiPhiNV_Ca[[#Headers],[Ca]:[Kết thúc]]),0)),0,
SUM(_xlfn._xlws.FILTER(Table_BangLuong_TyLeTangCa[Tỷ lệ],
(Table_BangLuong_TyLeTangCa[Ngày] = "Thường") *
(Table_BangLuong_TyLeTangCa[Giờ min]&lt;=$AA54) *
(Table_BangLuong_TyLeTangCa[Giờ max]&gt;$AA54)
)))),
IF(AC$4 &gt; AC$5,
IF(
AND(
$AA54-$Z$4&lt;MAX(AC$4,VLOOKUP(AC$6, Table_ChiPhiNV_Ca[], COUNTA(Table_ChiPhiNV_Ca[[#Headers],[Ca]:[Bắt đầu]]),0)),
$AA54&gt;MIN(AC$5,VLOOKUP(AC$6, Table_ChiPhiNV_Ca[], COUNTA(Table_ChiPhiNV_Ca[[#Headers],[Ca]:[Kết thúc]]),0))),0,
SUM(_xlfn._xlws.FILTER(Table_BangLuong_TyLeTangCa[Tỷ lệ],
(Table_BangLuong_TyLeTangCa[Ngày] = "Thường") *
(Table_BangLuong_TyLeTangCa[Giờ min]&lt;=$AA54) *
(Table_BangLuong_TyLeTangCa[Giờ max]&gt;$AA54)
))),
IF(
AND(
$AA54-$Z$4&gt;=MAX(AC$4,VLOOKUP(AC$6, Table_ChiPhiNV_Ca[], COUNTA(Table_ChiPhiNV_Ca[[#Headers],[Ca]:[Bắt đầu]]),0)),
$AA54&lt;MIN(AC$5,VLOOKUP(AC$6, Table_ChiPhiNV_Ca[], COUNTA(Table_ChiPhiNV_Ca[[#Headers],[Ca]:[Kết thúc]]),0))),
SUM(_xlfn._xlws.FILTER(Table_BangLuong_TyLeTangCa[Tỷ lệ],
(Table_BangLuong_TyLeTangCa[Ngày] = "Thường") *
(Table_BangLuong_TyLeTangCa[Giờ min]&lt;=$AA54) *
(Table_BangLuong_TyLeTangCa[Giờ max]&gt;$AA54)
)),0)
)),
IF(AC$4 &lt; AC$5,
IF($AA54-$Z$4&lt;AC$4,0,
IF($AA54&gt;AC$5,0,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AC$5,$AA54 &lt; AC$4),0,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D54" s="18" cm="1">
        <f t="array" ref="AD54" xml:space="preserve">
IFERROR(
IF(AD$1="",0,
IF(AND(
$AA54&gt;=VLOOKUP(AD$6, Table_ChiPhiNV_Ca[], COUNTA(Table_ChiPhiNV_Ca[[#Headers],[Ca]:[Bắt đầu nghỉ]]),0),
$AA54&lt;VLOOKUP(AD$6, Table_ChiPhiNV_Ca[], COUNTA(Table_ChiPhiNV_Ca[[#Headers],[Ca]:[Kết thúc nghỉ]]),0)
),0,
IF(NOT(ISBLANK(AD$3)),
IF(ISBLANK(AD$7),0,
IF(AD$4 &lt; AD$5,
IF($AA54-$Z$4&lt;AD$4,0,
IF($AA54&gt;AD$5,0,
SUM(_xlfn._xlws.FILTER(Table_BangLuong_TyLeTangCa[Tỷ lệ],
(Table_BangLuong_TyLeTangCa[Ngày] = AD$3) *
(Table_BangLuong_TyLeTangCa[Giờ min]&lt;=$AA54) *
(Table_BangLuong_TyLeTangCa[Giờ max]&gt;$AA54)
)))),
IF(AND($AA54-$Z$4 &gt;= AD$5,$AA54 &lt; AD$4),0,
SUM(_xlfn._xlws.FILTER(Table_BangLuong_TyLeTangCa[Tỷ lệ],
(Table_BangLuong_TyLeTangCa[Ngày] = AD$3) *
(Table_BangLuong_TyLeTangCa[Giờ min]&lt;=$AA54) *
(Table_BangLuong_TyLeTangCa[Giờ max]&gt;$AA54)
))))
),
IF(ISBLANK(AD$7),
IF(VLOOKUP(AD$6, Table_ChiPhiNV_Ca[], COUNTA(Table_ChiPhiNV_Ca[[#Headers],[Ca]:[Kết thúc]]),0)&gt; VLOOKUP(AD$6, Table_ChiPhiNV_Ca[], COUNTA(Table_ChiPhiNV_Ca[[#Headers],[Ca]:[Bắt đầu]]),0),
IF($AA54-$Z$4&lt;MAX(AD$4,VLOOKUP(AD$6, Table_ChiPhiNV_Ca[], COUNTA(Table_ChiPhiNV_Ca[[#Headers],[Ca]:[Bắt đầu]]),0)),0,
IF($AA54&gt;MIN(AD$5,VLOOKUP(AD$6, Table_ChiPhiNV_Ca[], COUNTA(Table_ChiPhiNV_Ca[[#Headers],[Ca]:[Kết thúc]]),0)),0,
SUM(_xlfn._xlws.FILTER(Table_BangLuong_TyLeTangCa[Tỷ lệ],
(Table_BangLuong_TyLeTangCa[Ngày] = "Thường") *
(Table_BangLuong_TyLeTangCa[Giờ min]&lt;=$AA54) *
(Table_BangLuong_TyLeTangCa[Giờ max]&gt;$AA54)
)))),
IF(AD$4 &gt; AD$5,
IF(
AND(
$AA54-$Z$4&lt;MAX(AD$4,VLOOKUP(AD$6, Table_ChiPhiNV_Ca[], COUNTA(Table_ChiPhiNV_Ca[[#Headers],[Ca]:[Bắt đầu]]),0)),
$AA54&gt;MIN(AD$5,VLOOKUP(AD$6, Table_ChiPhiNV_Ca[], COUNTA(Table_ChiPhiNV_Ca[[#Headers],[Ca]:[Kết thúc]]),0))),0,
SUM(_xlfn._xlws.FILTER(Table_BangLuong_TyLeTangCa[Tỷ lệ],
(Table_BangLuong_TyLeTangCa[Ngày] = "Thường") *
(Table_BangLuong_TyLeTangCa[Giờ min]&lt;=$AA54) *
(Table_BangLuong_TyLeTangCa[Giờ max]&gt;$AA54)
))),
IF(
AND(
$AA54-$Z$4&gt;=MAX(AD$4,VLOOKUP(AD$6, Table_ChiPhiNV_Ca[], COUNTA(Table_ChiPhiNV_Ca[[#Headers],[Ca]:[Bắt đầu]]),0)),
$AA54&lt;MIN(AD$5,VLOOKUP(AD$6, Table_ChiPhiNV_Ca[], COUNTA(Table_ChiPhiNV_Ca[[#Headers],[Ca]:[Kết thúc]]),0))),
SUM(_xlfn._xlws.FILTER(Table_BangLuong_TyLeTangCa[Tỷ lệ],
(Table_BangLuong_TyLeTangCa[Ngày] = "Thường") *
(Table_BangLuong_TyLeTangCa[Giờ min]&lt;=$AA54) *
(Table_BangLuong_TyLeTangCa[Giờ max]&gt;$AA54)
)),0)
)),
IF(AD$4 &lt; AD$5,
IF($AA54-$Z$4&lt;AD$4,0,
IF($AA54&gt;AD$5,0,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AD$5,$AA54 &lt; AD$4),0,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E54" s="18" cm="1">
        <f t="array" ref="AE54" xml:space="preserve">
IFERROR(
IF(AE$1="",0,
IF(AND(
$AA54&gt;=VLOOKUP(AE$6, Table_ChiPhiNV_Ca[], COUNTA(Table_ChiPhiNV_Ca[[#Headers],[Ca]:[Bắt đầu nghỉ]]),0),
$AA54&lt;VLOOKUP(AE$6, Table_ChiPhiNV_Ca[], COUNTA(Table_ChiPhiNV_Ca[[#Headers],[Ca]:[Kết thúc nghỉ]]),0)
),0,
IF(NOT(ISBLANK(AE$3)),
IF(ISBLANK(AE$7),0,
IF(AE$4 &lt; AE$5,
IF($AA54-$Z$4&lt;AE$4,0,
IF($AA54&gt;AE$5,0,
SUM(_xlfn._xlws.FILTER(Table_BangLuong_TyLeTangCa[Tỷ lệ],
(Table_BangLuong_TyLeTangCa[Ngày] = AE$3) *
(Table_BangLuong_TyLeTangCa[Giờ min]&lt;=$AA54) *
(Table_BangLuong_TyLeTangCa[Giờ max]&gt;$AA54)
)))),
IF(AND($AA54-$Z$4 &gt;= AE$5,$AA54 &lt; AE$4),0,
SUM(_xlfn._xlws.FILTER(Table_BangLuong_TyLeTangCa[Tỷ lệ],
(Table_BangLuong_TyLeTangCa[Ngày] = AE$3) *
(Table_BangLuong_TyLeTangCa[Giờ min]&lt;=$AA54) *
(Table_BangLuong_TyLeTangCa[Giờ max]&gt;$AA54)
))))
),
IF(ISBLANK(AE$7),
IF(VLOOKUP(AE$6, Table_ChiPhiNV_Ca[], COUNTA(Table_ChiPhiNV_Ca[[#Headers],[Ca]:[Kết thúc]]),0)&gt; VLOOKUP(AE$6, Table_ChiPhiNV_Ca[], COUNTA(Table_ChiPhiNV_Ca[[#Headers],[Ca]:[Bắt đầu]]),0),
IF($AA54-$Z$4&lt;MAX(AE$4,VLOOKUP(AE$6, Table_ChiPhiNV_Ca[], COUNTA(Table_ChiPhiNV_Ca[[#Headers],[Ca]:[Bắt đầu]]),0)),0,
IF($AA54&gt;MIN(AE$5,VLOOKUP(AE$6, Table_ChiPhiNV_Ca[], COUNTA(Table_ChiPhiNV_Ca[[#Headers],[Ca]:[Kết thúc]]),0)),0,
SUM(_xlfn._xlws.FILTER(Table_BangLuong_TyLeTangCa[Tỷ lệ],
(Table_BangLuong_TyLeTangCa[Ngày] = "Thường") *
(Table_BangLuong_TyLeTangCa[Giờ min]&lt;=$AA54) *
(Table_BangLuong_TyLeTangCa[Giờ max]&gt;$AA54)
)))),
IF(AE$4 &gt; AE$5,
IF(
AND(
$AA54-$Z$4&lt;MAX(AE$4,VLOOKUP(AE$6, Table_ChiPhiNV_Ca[], COUNTA(Table_ChiPhiNV_Ca[[#Headers],[Ca]:[Bắt đầu]]),0)),
$AA54&gt;MIN(AE$5,VLOOKUP(AE$6, Table_ChiPhiNV_Ca[], COUNTA(Table_ChiPhiNV_Ca[[#Headers],[Ca]:[Kết thúc]]),0))),0,
SUM(_xlfn._xlws.FILTER(Table_BangLuong_TyLeTangCa[Tỷ lệ],
(Table_BangLuong_TyLeTangCa[Ngày] = "Thường") *
(Table_BangLuong_TyLeTangCa[Giờ min]&lt;=$AA54) *
(Table_BangLuong_TyLeTangCa[Giờ max]&gt;$AA54)
))),
IF(
AND(
$AA54-$Z$4&gt;=MAX(AE$4,VLOOKUP(AE$6, Table_ChiPhiNV_Ca[], COUNTA(Table_ChiPhiNV_Ca[[#Headers],[Ca]:[Bắt đầu]]),0)),
$AA54&lt;MIN(AE$5,VLOOKUP(AE$6, Table_ChiPhiNV_Ca[], COUNTA(Table_ChiPhiNV_Ca[[#Headers],[Ca]:[Kết thúc]]),0))),
SUM(_xlfn._xlws.FILTER(Table_BangLuong_TyLeTangCa[Tỷ lệ],
(Table_BangLuong_TyLeTangCa[Ngày] = "Thường") *
(Table_BangLuong_TyLeTangCa[Giờ min]&lt;=$AA54) *
(Table_BangLuong_TyLeTangCa[Giờ max]&gt;$AA54)
)),0)
)),
IF(AE$4 &lt; AE$5,
IF($AA54-$Z$4&lt;AE$4,0,
IF($AA54&gt;AE$5,0,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AE$5,$AA54 &lt; AE$4),0,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F54" s="18" cm="1">
        <f t="array" ref="AF54" xml:space="preserve">
IFERROR(
IF(AF$1="",0,
IF(AND(
$AA54&gt;=VLOOKUP(AF$6, Table_ChiPhiNV_Ca[], COUNTA(Table_ChiPhiNV_Ca[[#Headers],[Ca]:[Bắt đầu nghỉ]]),0),
$AA54&lt;VLOOKUP(AF$6, Table_ChiPhiNV_Ca[], COUNTA(Table_ChiPhiNV_Ca[[#Headers],[Ca]:[Kết thúc nghỉ]]),0)
),0,
IF(NOT(ISBLANK(AF$3)),
IF(ISBLANK(AF$7),0,
IF(AF$4 &lt; AF$5,
IF($AA54-$Z$4&lt;AF$4,0,
IF($AA54&gt;AF$5,0,
SUM(_xlfn._xlws.FILTER(Table_BangLuong_TyLeTangCa[Tỷ lệ],
(Table_BangLuong_TyLeTangCa[Ngày] = AF$3) *
(Table_BangLuong_TyLeTangCa[Giờ min]&lt;=$AA54) *
(Table_BangLuong_TyLeTangCa[Giờ max]&gt;$AA54)
)))),
IF(AND($AA54-$Z$4 &gt;= AF$5,$AA54 &lt; AF$4),0,
SUM(_xlfn._xlws.FILTER(Table_BangLuong_TyLeTangCa[Tỷ lệ],
(Table_BangLuong_TyLeTangCa[Ngày] = AF$3) *
(Table_BangLuong_TyLeTangCa[Giờ min]&lt;=$AA54) *
(Table_BangLuong_TyLeTangCa[Giờ max]&gt;$AA54)
))))
),
IF(ISBLANK(AF$7),
IF(VLOOKUP(AF$6, Table_ChiPhiNV_Ca[], COUNTA(Table_ChiPhiNV_Ca[[#Headers],[Ca]:[Kết thúc]]),0)&gt; VLOOKUP(AF$6, Table_ChiPhiNV_Ca[], COUNTA(Table_ChiPhiNV_Ca[[#Headers],[Ca]:[Bắt đầu]]),0),
IF($AA54-$Z$4&lt;MAX(AF$4,VLOOKUP(AF$6, Table_ChiPhiNV_Ca[], COUNTA(Table_ChiPhiNV_Ca[[#Headers],[Ca]:[Bắt đầu]]),0)),0,
IF($AA54&gt;MIN(AF$5,VLOOKUP(AF$6, Table_ChiPhiNV_Ca[], COUNTA(Table_ChiPhiNV_Ca[[#Headers],[Ca]:[Kết thúc]]),0)),0,
SUM(_xlfn._xlws.FILTER(Table_BangLuong_TyLeTangCa[Tỷ lệ],
(Table_BangLuong_TyLeTangCa[Ngày] = "Thường") *
(Table_BangLuong_TyLeTangCa[Giờ min]&lt;=$AA54) *
(Table_BangLuong_TyLeTangCa[Giờ max]&gt;$AA54)
)))),
IF(AF$4 &gt; AF$5,
IF(
AND(
$AA54-$Z$4&lt;MAX(AF$4,VLOOKUP(AF$6, Table_ChiPhiNV_Ca[], COUNTA(Table_ChiPhiNV_Ca[[#Headers],[Ca]:[Bắt đầu]]),0)),
$AA54&gt;MIN(AF$5,VLOOKUP(AF$6, Table_ChiPhiNV_Ca[], COUNTA(Table_ChiPhiNV_Ca[[#Headers],[Ca]:[Kết thúc]]),0))),0,
SUM(_xlfn._xlws.FILTER(Table_BangLuong_TyLeTangCa[Tỷ lệ],
(Table_BangLuong_TyLeTangCa[Ngày] = "Thường") *
(Table_BangLuong_TyLeTangCa[Giờ min]&lt;=$AA54) *
(Table_BangLuong_TyLeTangCa[Giờ max]&gt;$AA54)
))),
IF(
AND(
$AA54-$Z$4&gt;=MAX(AF$4,VLOOKUP(AF$6, Table_ChiPhiNV_Ca[], COUNTA(Table_ChiPhiNV_Ca[[#Headers],[Ca]:[Bắt đầu]]),0)),
$AA54&lt;MIN(AF$5,VLOOKUP(AF$6, Table_ChiPhiNV_Ca[], COUNTA(Table_ChiPhiNV_Ca[[#Headers],[Ca]:[Kết thúc]]),0))),
SUM(_xlfn._xlws.FILTER(Table_BangLuong_TyLeTangCa[Tỷ lệ],
(Table_BangLuong_TyLeTangCa[Ngày] = "Thường") *
(Table_BangLuong_TyLeTangCa[Giờ min]&lt;=$AA54) *
(Table_BangLuong_TyLeTangCa[Giờ max]&gt;$AA54)
)),0)
)),
IF(AF$4 &lt; AF$5,
IF($AA54-$Z$4&lt;AF$4,0,
IF($AA54&gt;AF$5,0,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AF$5,$AA54 &lt; AF$4),0,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G54" s="18" cm="1">
        <f t="array" ref="AG54" xml:space="preserve">
IFERROR(
IF(AG$1="",0,
IF(AND(
$AA54&gt;=VLOOKUP(AG$6, Table_ChiPhiNV_Ca[], COUNTA(Table_ChiPhiNV_Ca[[#Headers],[Ca]:[Bắt đầu nghỉ]]),0),
$AA54&lt;VLOOKUP(AG$6, Table_ChiPhiNV_Ca[], COUNTA(Table_ChiPhiNV_Ca[[#Headers],[Ca]:[Kết thúc nghỉ]]),0)
),0,
IF(NOT(ISBLANK(AG$3)),
IF(ISBLANK(AG$7),0,
IF(AG$4 &lt; AG$5,
IF($AA54-$Z$4&lt;AG$4,0,
IF($AA54&gt;AG$5,0,
SUM(_xlfn._xlws.FILTER(Table_BangLuong_TyLeTangCa[Tỷ lệ],
(Table_BangLuong_TyLeTangCa[Ngày] = AG$3) *
(Table_BangLuong_TyLeTangCa[Giờ min]&lt;=$AA54) *
(Table_BangLuong_TyLeTangCa[Giờ max]&gt;$AA54)
)))),
IF(AND($AA54-$Z$4 &gt;= AG$5,$AA54 &lt; AG$4),0,
SUM(_xlfn._xlws.FILTER(Table_BangLuong_TyLeTangCa[Tỷ lệ],
(Table_BangLuong_TyLeTangCa[Ngày] = AG$3) *
(Table_BangLuong_TyLeTangCa[Giờ min]&lt;=$AA54) *
(Table_BangLuong_TyLeTangCa[Giờ max]&gt;$AA54)
))))
),
IF(ISBLANK(AG$7),
IF(VLOOKUP(AG$6, Table_ChiPhiNV_Ca[], COUNTA(Table_ChiPhiNV_Ca[[#Headers],[Ca]:[Kết thúc]]),0)&gt; VLOOKUP(AG$6, Table_ChiPhiNV_Ca[], COUNTA(Table_ChiPhiNV_Ca[[#Headers],[Ca]:[Bắt đầu]]),0),
IF($AA54-$Z$4&lt;MAX(AG$4,VLOOKUP(AG$6, Table_ChiPhiNV_Ca[], COUNTA(Table_ChiPhiNV_Ca[[#Headers],[Ca]:[Bắt đầu]]),0)),0,
IF($AA54&gt;MIN(AG$5,VLOOKUP(AG$6, Table_ChiPhiNV_Ca[], COUNTA(Table_ChiPhiNV_Ca[[#Headers],[Ca]:[Kết thúc]]),0)),0,
SUM(_xlfn._xlws.FILTER(Table_BangLuong_TyLeTangCa[Tỷ lệ],
(Table_BangLuong_TyLeTangCa[Ngày] = "Thường") *
(Table_BangLuong_TyLeTangCa[Giờ min]&lt;=$AA54) *
(Table_BangLuong_TyLeTangCa[Giờ max]&gt;$AA54)
)))),
IF(AG$4 &gt; AG$5,
IF(
AND(
$AA54-$Z$4&lt;MAX(AG$4,VLOOKUP(AG$6, Table_ChiPhiNV_Ca[], COUNTA(Table_ChiPhiNV_Ca[[#Headers],[Ca]:[Bắt đầu]]),0)),
$AA54&gt;MIN(AG$5,VLOOKUP(AG$6, Table_ChiPhiNV_Ca[], COUNTA(Table_ChiPhiNV_Ca[[#Headers],[Ca]:[Kết thúc]]),0))),0,
SUM(_xlfn._xlws.FILTER(Table_BangLuong_TyLeTangCa[Tỷ lệ],
(Table_BangLuong_TyLeTangCa[Ngày] = "Thường") *
(Table_BangLuong_TyLeTangCa[Giờ min]&lt;=$AA54) *
(Table_BangLuong_TyLeTangCa[Giờ max]&gt;$AA54)
))),
IF(
AND(
$AA54-$Z$4&gt;=MAX(AG$4,VLOOKUP(AG$6, Table_ChiPhiNV_Ca[], COUNTA(Table_ChiPhiNV_Ca[[#Headers],[Ca]:[Bắt đầu]]),0)),
$AA54&lt;MIN(AG$5,VLOOKUP(AG$6, Table_ChiPhiNV_Ca[], COUNTA(Table_ChiPhiNV_Ca[[#Headers],[Ca]:[Kết thúc]]),0))),
SUM(_xlfn._xlws.FILTER(Table_BangLuong_TyLeTangCa[Tỷ lệ],
(Table_BangLuong_TyLeTangCa[Ngày] = "Thường") *
(Table_BangLuong_TyLeTangCa[Giờ min]&lt;=$AA54) *
(Table_BangLuong_TyLeTangCa[Giờ max]&gt;$AA54)
)),0)
)),
IF(AG$4 &lt; AG$5,
IF($AA54-$Z$4&lt;AG$4,0,
IF($AA54&gt;AG$5,0,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AG$5,$AA54 &lt; AG$4),0,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H54" s="18" cm="1">
        <f t="array" ref="AH54" xml:space="preserve">
IFERROR(
IF(AH$1="",0,
IF(AND(
$AA54&gt;=VLOOKUP(AH$6, Table_ChiPhiNV_Ca[], COUNTA(Table_ChiPhiNV_Ca[[#Headers],[Ca]:[Bắt đầu nghỉ]]),0),
$AA54&lt;VLOOKUP(AH$6, Table_ChiPhiNV_Ca[], COUNTA(Table_ChiPhiNV_Ca[[#Headers],[Ca]:[Kết thúc nghỉ]]),0)
),0,
IF(NOT(ISBLANK(AH$3)),
IF(ISBLANK(AH$7),0,
IF(AH$4 &lt; AH$5,
IF($AA54-$Z$4&lt;AH$4,0,
IF($AA54&gt;AH$5,0,
SUM(_xlfn._xlws.FILTER(Table_BangLuong_TyLeTangCa[Tỷ lệ],
(Table_BangLuong_TyLeTangCa[Ngày] = AH$3) *
(Table_BangLuong_TyLeTangCa[Giờ min]&lt;=$AA54) *
(Table_BangLuong_TyLeTangCa[Giờ max]&gt;$AA54)
)))),
IF(AND($AA54-$Z$4 &gt;= AH$5,$AA54 &lt; AH$4),0,
SUM(_xlfn._xlws.FILTER(Table_BangLuong_TyLeTangCa[Tỷ lệ],
(Table_BangLuong_TyLeTangCa[Ngày] = AH$3) *
(Table_BangLuong_TyLeTangCa[Giờ min]&lt;=$AA54) *
(Table_BangLuong_TyLeTangCa[Giờ max]&gt;$AA54)
))))
),
IF(ISBLANK(AH$7),
IF(VLOOKUP(AH$6, Table_ChiPhiNV_Ca[], COUNTA(Table_ChiPhiNV_Ca[[#Headers],[Ca]:[Kết thúc]]),0)&gt; VLOOKUP(AH$6, Table_ChiPhiNV_Ca[], COUNTA(Table_ChiPhiNV_Ca[[#Headers],[Ca]:[Bắt đầu]]),0),
IF($AA54-$Z$4&lt;MAX(AH$4,VLOOKUP(AH$6, Table_ChiPhiNV_Ca[], COUNTA(Table_ChiPhiNV_Ca[[#Headers],[Ca]:[Bắt đầu]]),0)),0,
IF($AA54&gt;MIN(AH$5,VLOOKUP(AH$6, Table_ChiPhiNV_Ca[], COUNTA(Table_ChiPhiNV_Ca[[#Headers],[Ca]:[Kết thúc]]),0)),0,
SUM(_xlfn._xlws.FILTER(Table_BangLuong_TyLeTangCa[Tỷ lệ],
(Table_BangLuong_TyLeTangCa[Ngày] = "Thường") *
(Table_BangLuong_TyLeTangCa[Giờ min]&lt;=$AA54) *
(Table_BangLuong_TyLeTangCa[Giờ max]&gt;$AA54)
)))),
IF(AH$4 &gt; AH$5,
IF(
AND(
$AA54-$Z$4&lt;MAX(AH$4,VLOOKUP(AH$6, Table_ChiPhiNV_Ca[], COUNTA(Table_ChiPhiNV_Ca[[#Headers],[Ca]:[Bắt đầu]]),0)),
$AA54&gt;MIN(AH$5,VLOOKUP(AH$6, Table_ChiPhiNV_Ca[], COUNTA(Table_ChiPhiNV_Ca[[#Headers],[Ca]:[Kết thúc]]),0))),0,
SUM(_xlfn._xlws.FILTER(Table_BangLuong_TyLeTangCa[Tỷ lệ],
(Table_BangLuong_TyLeTangCa[Ngày] = "Thường") *
(Table_BangLuong_TyLeTangCa[Giờ min]&lt;=$AA54) *
(Table_BangLuong_TyLeTangCa[Giờ max]&gt;$AA54)
))),
IF(
AND(
$AA54-$Z$4&gt;=MAX(AH$4,VLOOKUP(AH$6, Table_ChiPhiNV_Ca[], COUNTA(Table_ChiPhiNV_Ca[[#Headers],[Ca]:[Bắt đầu]]),0)),
$AA54&lt;MIN(AH$5,VLOOKUP(AH$6, Table_ChiPhiNV_Ca[], COUNTA(Table_ChiPhiNV_Ca[[#Headers],[Ca]:[Kết thúc]]),0))),
SUM(_xlfn._xlws.FILTER(Table_BangLuong_TyLeTangCa[Tỷ lệ],
(Table_BangLuong_TyLeTangCa[Ngày] = "Thường") *
(Table_BangLuong_TyLeTangCa[Giờ min]&lt;=$AA54) *
(Table_BangLuong_TyLeTangCa[Giờ max]&gt;$AA54)
)),0)
)),
IF(AH$4 &lt; AH$5,
IF($AA54-$Z$4&lt;AH$4,0,
IF($AA54&gt;AH$5,0,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AH$5,$AA54 &lt; AH$4),0,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I54" s="18" cm="1">
        <f t="array" ref="AI54" xml:space="preserve">
IFERROR(
IF(AI$1="",0,
IF(AND(
$AA54&gt;=VLOOKUP(AI$6, Table_ChiPhiNV_Ca[], COUNTA(Table_ChiPhiNV_Ca[[#Headers],[Ca]:[Bắt đầu nghỉ]]),0),
$AA54&lt;VLOOKUP(AI$6, Table_ChiPhiNV_Ca[], COUNTA(Table_ChiPhiNV_Ca[[#Headers],[Ca]:[Kết thúc nghỉ]]),0)
),0,
IF(NOT(ISBLANK(AI$3)),
IF(ISBLANK(AI$7),0,
IF(AI$4 &lt; AI$5,
IF($AA54-$Z$4&lt;AI$4,0,
IF($AA54&gt;AI$5,0,
SUM(_xlfn._xlws.FILTER(Table_BangLuong_TyLeTangCa[Tỷ lệ],
(Table_BangLuong_TyLeTangCa[Ngày] = AI$3) *
(Table_BangLuong_TyLeTangCa[Giờ min]&lt;=$AA54) *
(Table_BangLuong_TyLeTangCa[Giờ max]&gt;$AA54)
)))),
IF(AND($AA54-$Z$4 &gt;= AI$5,$AA54 &lt; AI$4),0,
SUM(_xlfn._xlws.FILTER(Table_BangLuong_TyLeTangCa[Tỷ lệ],
(Table_BangLuong_TyLeTangCa[Ngày] = AI$3) *
(Table_BangLuong_TyLeTangCa[Giờ min]&lt;=$AA54) *
(Table_BangLuong_TyLeTangCa[Giờ max]&gt;$AA54)
))))
),
IF(ISBLANK(AI$7),
IF(VLOOKUP(AI$6, Table_ChiPhiNV_Ca[], COUNTA(Table_ChiPhiNV_Ca[[#Headers],[Ca]:[Kết thúc]]),0)&gt; VLOOKUP(AI$6, Table_ChiPhiNV_Ca[], COUNTA(Table_ChiPhiNV_Ca[[#Headers],[Ca]:[Bắt đầu]]),0),
IF($AA54-$Z$4&lt;MAX(AI$4,VLOOKUP(AI$6, Table_ChiPhiNV_Ca[], COUNTA(Table_ChiPhiNV_Ca[[#Headers],[Ca]:[Bắt đầu]]),0)),0,
IF($AA54&gt;MIN(AI$5,VLOOKUP(AI$6, Table_ChiPhiNV_Ca[], COUNTA(Table_ChiPhiNV_Ca[[#Headers],[Ca]:[Kết thúc]]),0)),0,
SUM(_xlfn._xlws.FILTER(Table_BangLuong_TyLeTangCa[Tỷ lệ],
(Table_BangLuong_TyLeTangCa[Ngày] = "Thường") *
(Table_BangLuong_TyLeTangCa[Giờ min]&lt;=$AA54) *
(Table_BangLuong_TyLeTangCa[Giờ max]&gt;$AA54)
)))),
IF(AI$4 &gt; AI$5,
IF(
AND(
$AA54-$Z$4&lt;MAX(AI$4,VLOOKUP(AI$6, Table_ChiPhiNV_Ca[], COUNTA(Table_ChiPhiNV_Ca[[#Headers],[Ca]:[Bắt đầu]]),0)),
$AA54&gt;MIN(AI$5,VLOOKUP(AI$6, Table_ChiPhiNV_Ca[], COUNTA(Table_ChiPhiNV_Ca[[#Headers],[Ca]:[Kết thúc]]),0))),0,
SUM(_xlfn._xlws.FILTER(Table_BangLuong_TyLeTangCa[Tỷ lệ],
(Table_BangLuong_TyLeTangCa[Ngày] = "Thường") *
(Table_BangLuong_TyLeTangCa[Giờ min]&lt;=$AA54) *
(Table_BangLuong_TyLeTangCa[Giờ max]&gt;$AA54)
))),
IF(
AND(
$AA54-$Z$4&gt;=MAX(AI$4,VLOOKUP(AI$6, Table_ChiPhiNV_Ca[], COUNTA(Table_ChiPhiNV_Ca[[#Headers],[Ca]:[Bắt đầu]]),0)),
$AA54&lt;MIN(AI$5,VLOOKUP(AI$6, Table_ChiPhiNV_Ca[], COUNTA(Table_ChiPhiNV_Ca[[#Headers],[Ca]:[Kết thúc]]),0))),
SUM(_xlfn._xlws.FILTER(Table_BangLuong_TyLeTangCa[Tỷ lệ],
(Table_BangLuong_TyLeTangCa[Ngày] = "Thường") *
(Table_BangLuong_TyLeTangCa[Giờ min]&lt;=$AA54) *
(Table_BangLuong_TyLeTangCa[Giờ max]&gt;$AA54)
)),0)
)),
IF(AI$4 &lt; AI$5,
IF($AA54-$Z$4&lt;AI$4,0,
IF($AA54&gt;AI$5,0,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AI$5,$AA54 &lt; AI$4),0,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J54" s="18" cm="1">
        <f t="array" ref="AJ54" xml:space="preserve">
IFERROR(
IF(AJ$1="",0,
IF(AND(
$AA54&gt;=VLOOKUP(AJ$6, Table_ChiPhiNV_Ca[], COUNTA(Table_ChiPhiNV_Ca[[#Headers],[Ca]:[Bắt đầu nghỉ]]),0),
$AA54&lt;VLOOKUP(AJ$6, Table_ChiPhiNV_Ca[], COUNTA(Table_ChiPhiNV_Ca[[#Headers],[Ca]:[Kết thúc nghỉ]]),0)
),0,
IF(NOT(ISBLANK(AJ$3)),
IF(ISBLANK(AJ$7),0,
IF(AJ$4 &lt; AJ$5,
IF($AA54-$Z$4&lt;AJ$4,0,
IF($AA54&gt;AJ$5,0,
SUM(_xlfn._xlws.FILTER(Table_BangLuong_TyLeTangCa[Tỷ lệ],
(Table_BangLuong_TyLeTangCa[Ngày] = AJ$3) *
(Table_BangLuong_TyLeTangCa[Giờ min]&lt;=$AA54) *
(Table_BangLuong_TyLeTangCa[Giờ max]&gt;$AA54)
)))),
IF(AND($AA54-$Z$4 &gt;= AJ$5,$AA54 &lt; AJ$4),0,
SUM(_xlfn._xlws.FILTER(Table_BangLuong_TyLeTangCa[Tỷ lệ],
(Table_BangLuong_TyLeTangCa[Ngày] = AJ$3) *
(Table_BangLuong_TyLeTangCa[Giờ min]&lt;=$AA54) *
(Table_BangLuong_TyLeTangCa[Giờ max]&gt;$AA54)
))))
),
IF(ISBLANK(AJ$7),
IF(VLOOKUP(AJ$6, Table_ChiPhiNV_Ca[], COUNTA(Table_ChiPhiNV_Ca[[#Headers],[Ca]:[Kết thúc]]),0)&gt; VLOOKUP(AJ$6, Table_ChiPhiNV_Ca[], COUNTA(Table_ChiPhiNV_Ca[[#Headers],[Ca]:[Bắt đầu]]),0),
IF($AA54-$Z$4&lt;MAX(AJ$4,VLOOKUP(AJ$6, Table_ChiPhiNV_Ca[], COUNTA(Table_ChiPhiNV_Ca[[#Headers],[Ca]:[Bắt đầu]]),0)),0,
IF($AA54&gt;MIN(AJ$5,VLOOKUP(AJ$6, Table_ChiPhiNV_Ca[], COUNTA(Table_ChiPhiNV_Ca[[#Headers],[Ca]:[Kết thúc]]),0)),0,
SUM(_xlfn._xlws.FILTER(Table_BangLuong_TyLeTangCa[Tỷ lệ],
(Table_BangLuong_TyLeTangCa[Ngày] = "Thường") *
(Table_BangLuong_TyLeTangCa[Giờ min]&lt;=$AA54) *
(Table_BangLuong_TyLeTangCa[Giờ max]&gt;$AA54)
)))),
IF(AJ$4 &gt; AJ$5,
IF(
AND(
$AA54-$Z$4&lt;MAX(AJ$4,VLOOKUP(AJ$6, Table_ChiPhiNV_Ca[], COUNTA(Table_ChiPhiNV_Ca[[#Headers],[Ca]:[Bắt đầu]]),0)),
$AA54&gt;MIN(AJ$5,VLOOKUP(AJ$6, Table_ChiPhiNV_Ca[], COUNTA(Table_ChiPhiNV_Ca[[#Headers],[Ca]:[Kết thúc]]),0))),0,
SUM(_xlfn._xlws.FILTER(Table_BangLuong_TyLeTangCa[Tỷ lệ],
(Table_BangLuong_TyLeTangCa[Ngày] = "Thường") *
(Table_BangLuong_TyLeTangCa[Giờ min]&lt;=$AA54) *
(Table_BangLuong_TyLeTangCa[Giờ max]&gt;$AA54)
))),
IF(
AND(
$AA54-$Z$4&gt;=MAX(AJ$4,VLOOKUP(AJ$6, Table_ChiPhiNV_Ca[], COUNTA(Table_ChiPhiNV_Ca[[#Headers],[Ca]:[Bắt đầu]]),0)),
$AA54&lt;MIN(AJ$5,VLOOKUP(AJ$6, Table_ChiPhiNV_Ca[], COUNTA(Table_ChiPhiNV_Ca[[#Headers],[Ca]:[Kết thúc]]),0))),
SUM(_xlfn._xlws.FILTER(Table_BangLuong_TyLeTangCa[Tỷ lệ],
(Table_BangLuong_TyLeTangCa[Ngày] = "Thường") *
(Table_BangLuong_TyLeTangCa[Giờ min]&lt;=$AA54) *
(Table_BangLuong_TyLeTangCa[Giờ max]&gt;$AA54)
)),0)
)),
IF(AJ$4 &lt; AJ$5,
IF($AA54-$Z$4&lt;AJ$4,0,
IF($AA54&gt;AJ$5,0,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AJ$5,$AA54 &lt; AJ$4),0,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K54" s="18" cm="1">
        <f t="array" ref="AK54" xml:space="preserve">
IFERROR(
IF(AK$1="",0,
IF(AND(
$AA54&gt;=VLOOKUP(AK$6, Table_ChiPhiNV_Ca[], COUNTA(Table_ChiPhiNV_Ca[[#Headers],[Ca]:[Bắt đầu nghỉ]]),0),
$AA54&lt;VLOOKUP(AK$6, Table_ChiPhiNV_Ca[], COUNTA(Table_ChiPhiNV_Ca[[#Headers],[Ca]:[Kết thúc nghỉ]]),0)
),0,
IF(NOT(ISBLANK(AK$3)),
IF(ISBLANK(AK$7),0,
IF(AK$4 &lt; AK$5,
IF($AA54-$Z$4&lt;AK$4,0,
IF($AA54&gt;AK$5,0,
SUM(_xlfn._xlws.FILTER(Table_BangLuong_TyLeTangCa[Tỷ lệ],
(Table_BangLuong_TyLeTangCa[Ngày] = AK$3) *
(Table_BangLuong_TyLeTangCa[Giờ min]&lt;=$AA54) *
(Table_BangLuong_TyLeTangCa[Giờ max]&gt;$AA54)
)))),
IF(AND($AA54-$Z$4 &gt;= AK$5,$AA54 &lt; AK$4),0,
SUM(_xlfn._xlws.FILTER(Table_BangLuong_TyLeTangCa[Tỷ lệ],
(Table_BangLuong_TyLeTangCa[Ngày] = AK$3) *
(Table_BangLuong_TyLeTangCa[Giờ min]&lt;=$AA54) *
(Table_BangLuong_TyLeTangCa[Giờ max]&gt;$AA54)
))))
),
IF(ISBLANK(AK$7),
IF(VLOOKUP(AK$6, Table_ChiPhiNV_Ca[], COUNTA(Table_ChiPhiNV_Ca[[#Headers],[Ca]:[Kết thúc]]),0)&gt; VLOOKUP(AK$6, Table_ChiPhiNV_Ca[], COUNTA(Table_ChiPhiNV_Ca[[#Headers],[Ca]:[Bắt đầu]]),0),
IF($AA54-$Z$4&lt;MAX(AK$4,VLOOKUP(AK$6, Table_ChiPhiNV_Ca[], COUNTA(Table_ChiPhiNV_Ca[[#Headers],[Ca]:[Bắt đầu]]),0)),0,
IF($AA54&gt;MIN(AK$5,VLOOKUP(AK$6, Table_ChiPhiNV_Ca[], COUNTA(Table_ChiPhiNV_Ca[[#Headers],[Ca]:[Kết thúc]]),0)),0,
SUM(_xlfn._xlws.FILTER(Table_BangLuong_TyLeTangCa[Tỷ lệ],
(Table_BangLuong_TyLeTangCa[Ngày] = "Thường") *
(Table_BangLuong_TyLeTangCa[Giờ min]&lt;=$AA54) *
(Table_BangLuong_TyLeTangCa[Giờ max]&gt;$AA54)
)))),
IF(AK$4 &gt; AK$5,
IF(
AND(
$AA54-$Z$4&lt;MAX(AK$4,VLOOKUP(AK$6, Table_ChiPhiNV_Ca[], COUNTA(Table_ChiPhiNV_Ca[[#Headers],[Ca]:[Bắt đầu]]),0)),
$AA54&gt;MIN(AK$5,VLOOKUP(AK$6, Table_ChiPhiNV_Ca[], COUNTA(Table_ChiPhiNV_Ca[[#Headers],[Ca]:[Kết thúc]]),0))),0,
SUM(_xlfn._xlws.FILTER(Table_BangLuong_TyLeTangCa[Tỷ lệ],
(Table_BangLuong_TyLeTangCa[Ngày] = "Thường") *
(Table_BangLuong_TyLeTangCa[Giờ min]&lt;=$AA54) *
(Table_BangLuong_TyLeTangCa[Giờ max]&gt;$AA54)
))),
IF(
AND(
$AA54-$Z$4&gt;=MAX(AK$4,VLOOKUP(AK$6, Table_ChiPhiNV_Ca[], COUNTA(Table_ChiPhiNV_Ca[[#Headers],[Ca]:[Bắt đầu]]),0)),
$AA54&lt;MIN(AK$5,VLOOKUP(AK$6, Table_ChiPhiNV_Ca[], COUNTA(Table_ChiPhiNV_Ca[[#Headers],[Ca]:[Kết thúc]]),0))),
SUM(_xlfn._xlws.FILTER(Table_BangLuong_TyLeTangCa[Tỷ lệ],
(Table_BangLuong_TyLeTangCa[Ngày] = "Thường") *
(Table_BangLuong_TyLeTangCa[Giờ min]&lt;=$AA54) *
(Table_BangLuong_TyLeTangCa[Giờ max]&gt;$AA54)
)),0)
)),
IF(AK$4 &lt; AK$5,
IF($AA54-$Z$4&lt;AK$4,0,
IF($AA54&gt;AK$5,0,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AK$5,$AA54 &lt; AK$4),0,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L54" s="18" cm="1">
        <f t="array" ref="AL54" xml:space="preserve">
IFERROR(
IF(AL$1="",0,
IF(AND(
$AA54&gt;=VLOOKUP(AL$6, Table_ChiPhiNV_Ca[], COUNTA(Table_ChiPhiNV_Ca[[#Headers],[Ca]:[Bắt đầu nghỉ]]),0),
$AA54&lt;VLOOKUP(AL$6, Table_ChiPhiNV_Ca[], COUNTA(Table_ChiPhiNV_Ca[[#Headers],[Ca]:[Kết thúc nghỉ]]),0)
),0,
IF(NOT(ISBLANK(AL$3)),
IF(ISBLANK(AL$7),0,
IF(AL$4 &lt; AL$5,
IF($AA54-$Z$4&lt;AL$4,0,
IF($AA54&gt;AL$5,0,
SUM(_xlfn._xlws.FILTER(Table_BangLuong_TyLeTangCa[Tỷ lệ],
(Table_BangLuong_TyLeTangCa[Ngày] = AL$3) *
(Table_BangLuong_TyLeTangCa[Giờ min]&lt;=$AA54) *
(Table_BangLuong_TyLeTangCa[Giờ max]&gt;$AA54)
)))),
IF(AND($AA54-$Z$4 &gt;= AL$5,$AA54 &lt; AL$4),0,
SUM(_xlfn._xlws.FILTER(Table_BangLuong_TyLeTangCa[Tỷ lệ],
(Table_BangLuong_TyLeTangCa[Ngày] = AL$3) *
(Table_BangLuong_TyLeTangCa[Giờ min]&lt;=$AA54) *
(Table_BangLuong_TyLeTangCa[Giờ max]&gt;$AA54)
))))
),
IF(ISBLANK(AL$7),
IF(VLOOKUP(AL$6, Table_ChiPhiNV_Ca[], COUNTA(Table_ChiPhiNV_Ca[[#Headers],[Ca]:[Kết thúc]]),0)&gt; VLOOKUP(AL$6, Table_ChiPhiNV_Ca[], COUNTA(Table_ChiPhiNV_Ca[[#Headers],[Ca]:[Bắt đầu]]),0),
IF($AA54-$Z$4&lt;MAX(AL$4,VLOOKUP(AL$6, Table_ChiPhiNV_Ca[], COUNTA(Table_ChiPhiNV_Ca[[#Headers],[Ca]:[Bắt đầu]]),0)),0,
IF($AA54&gt;MIN(AL$5,VLOOKUP(AL$6, Table_ChiPhiNV_Ca[], COUNTA(Table_ChiPhiNV_Ca[[#Headers],[Ca]:[Kết thúc]]),0)),0,
SUM(_xlfn._xlws.FILTER(Table_BangLuong_TyLeTangCa[Tỷ lệ],
(Table_BangLuong_TyLeTangCa[Ngày] = "Thường") *
(Table_BangLuong_TyLeTangCa[Giờ min]&lt;=$AA54) *
(Table_BangLuong_TyLeTangCa[Giờ max]&gt;$AA54)
)))),
IF(AL$4 &gt; AL$5,
IF(
AND(
$AA54-$Z$4&lt;MAX(AL$4,VLOOKUP(AL$6, Table_ChiPhiNV_Ca[], COUNTA(Table_ChiPhiNV_Ca[[#Headers],[Ca]:[Bắt đầu]]),0)),
$AA54&gt;MIN(AL$5,VLOOKUP(AL$6, Table_ChiPhiNV_Ca[], COUNTA(Table_ChiPhiNV_Ca[[#Headers],[Ca]:[Kết thúc]]),0))),0,
SUM(_xlfn._xlws.FILTER(Table_BangLuong_TyLeTangCa[Tỷ lệ],
(Table_BangLuong_TyLeTangCa[Ngày] = "Thường") *
(Table_BangLuong_TyLeTangCa[Giờ min]&lt;=$AA54) *
(Table_BangLuong_TyLeTangCa[Giờ max]&gt;$AA54)
))),
IF(
AND(
$AA54-$Z$4&gt;=MAX(AL$4,VLOOKUP(AL$6, Table_ChiPhiNV_Ca[], COUNTA(Table_ChiPhiNV_Ca[[#Headers],[Ca]:[Bắt đầu]]),0)),
$AA54&lt;MIN(AL$5,VLOOKUP(AL$6, Table_ChiPhiNV_Ca[], COUNTA(Table_ChiPhiNV_Ca[[#Headers],[Ca]:[Kết thúc]]),0))),
SUM(_xlfn._xlws.FILTER(Table_BangLuong_TyLeTangCa[Tỷ lệ],
(Table_BangLuong_TyLeTangCa[Ngày] = "Thường") *
(Table_BangLuong_TyLeTangCa[Giờ min]&lt;=$AA54) *
(Table_BangLuong_TyLeTangCa[Giờ max]&gt;$AA54)
)),0)
)),
IF(AL$4 &lt; AL$5,
IF($AA54-$Z$4&lt;AL$4,0,
IF($AA54&gt;AL$5,0,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AL$5,$AA54 &lt; AL$4),0,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M54" s="18" cm="1">
        <f t="array" ref="AM54" xml:space="preserve">
IFERROR(
IF(AM$1="",0,
IF(AND(
$AA54&gt;=VLOOKUP(AM$6, Table_ChiPhiNV_Ca[], COUNTA(Table_ChiPhiNV_Ca[[#Headers],[Ca]:[Bắt đầu nghỉ]]),0),
$AA54&lt;VLOOKUP(AM$6, Table_ChiPhiNV_Ca[], COUNTA(Table_ChiPhiNV_Ca[[#Headers],[Ca]:[Kết thúc nghỉ]]),0)
),0,
IF(NOT(ISBLANK(AM$3)),
IF(ISBLANK(AM$7),0,
IF(AM$4 &lt; AM$5,
IF($AA54-$Z$4&lt;AM$4,0,
IF($AA54&gt;AM$5,0,
SUM(_xlfn._xlws.FILTER(Table_BangLuong_TyLeTangCa[Tỷ lệ],
(Table_BangLuong_TyLeTangCa[Ngày] = AM$3) *
(Table_BangLuong_TyLeTangCa[Giờ min]&lt;=$AA54) *
(Table_BangLuong_TyLeTangCa[Giờ max]&gt;$AA54)
)))),
IF(AND($AA54-$Z$4 &gt;= AM$5,$AA54 &lt; AM$4),0,
SUM(_xlfn._xlws.FILTER(Table_BangLuong_TyLeTangCa[Tỷ lệ],
(Table_BangLuong_TyLeTangCa[Ngày] = AM$3) *
(Table_BangLuong_TyLeTangCa[Giờ min]&lt;=$AA54) *
(Table_BangLuong_TyLeTangCa[Giờ max]&gt;$AA54)
))))
),
IF(ISBLANK(AM$7),
IF(VLOOKUP(AM$6, Table_ChiPhiNV_Ca[], COUNTA(Table_ChiPhiNV_Ca[[#Headers],[Ca]:[Kết thúc]]),0)&gt; VLOOKUP(AM$6, Table_ChiPhiNV_Ca[], COUNTA(Table_ChiPhiNV_Ca[[#Headers],[Ca]:[Bắt đầu]]),0),
IF($AA54-$Z$4&lt;MAX(AM$4,VLOOKUP(AM$6, Table_ChiPhiNV_Ca[], COUNTA(Table_ChiPhiNV_Ca[[#Headers],[Ca]:[Bắt đầu]]),0)),0,
IF($AA54&gt;MIN(AM$5,VLOOKUP(AM$6, Table_ChiPhiNV_Ca[], COUNTA(Table_ChiPhiNV_Ca[[#Headers],[Ca]:[Kết thúc]]),0)),0,
SUM(_xlfn._xlws.FILTER(Table_BangLuong_TyLeTangCa[Tỷ lệ],
(Table_BangLuong_TyLeTangCa[Ngày] = "Thường") *
(Table_BangLuong_TyLeTangCa[Giờ min]&lt;=$AA54) *
(Table_BangLuong_TyLeTangCa[Giờ max]&gt;$AA54)
)))),
IF(AM$4 &gt; AM$5,
IF(
AND(
$AA54-$Z$4&lt;MAX(AM$4,VLOOKUP(AM$6, Table_ChiPhiNV_Ca[], COUNTA(Table_ChiPhiNV_Ca[[#Headers],[Ca]:[Bắt đầu]]),0)),
$AA54&gt;MIN(AM$5,VLOOKUP(AM$6, Table_ChiPhiNV_Ca[], COUNTA(Table_ChiPhiNV_Ca[[#Headers],[Ca]:[Kết thúc]]),0))),0,
SUM(_xlfn._xlws.FILTER(Table_BangLuong_TyLeTangCa[Tỷ lệ],
(Table_BangLuong_TyLeTangCa[Ngày] = "Thường") *
(Table_BangLuong_TyLeTangCa[Giờ min]&lt;=$AA54) *
(Table_BangLuong_TyLeTangCa[Giờ max]&gt;$AA54)
))),
IF(
AND(
$AA54-$Z$4&gt;=MAX(AM$4,VLOOKUP(AM$6, Table_ChiPhiNV_Ca[], COUNTA(Table_ChiPhiNV_Ca[[#Headers],[Ca]:[Bắt đầu]]),0)),
$AA54&lt;MIN(AM$5,VLOOKUP(AM$6, Table_ChiPhiNV_Ca[], COUNTA(Table_ChiPhiNV_Ca[[#Headers],[Ca]:[Kết thúc]]),0))),
SUM(_xlfn._xlws.FILTER(Table_BangLuong_TyLeTangCa[Tỷ lệ],
(Table_BangLuong_TyLeTangCa[Ngày] = "Thường") *
(Table_BangLuong_TyLeTangCa[Giờ min]&lt;=$AA54) *
(Table_BangLuong_TyLeTangCa[Giờ max]&gt;$AA54)
)),0)
)),
IF(AM$4 &lt; AM$5,
IF($AA54-$Z$4&lt;AM$4,0,
IF($AA54&gt;AM$5,0,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AM$5,$AA54 &lt; AM$4),0,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N54" s="18" cm="1">
        <f t="array" ref="AN54" xml:space="preserve">
IFERROR(
IF(AN$1="",0,
IF(AND(
$AA54&gt;=VLOOKUP(AN$6, Table_ChiPhiNV_Ca[], COUNTA(Table_ChiPhiNV_Ca[[#Headers],[Ca]:[Bắt đầu nghỉ]]),0),
$AA54&lt;VLOOKUP(AN$6, Table_ChiPhiNV_Ca[], COUNTA(Table_ChiPhiNV_Ca[[#Headers],[Ca]:[Kết thúc nghỉ]]),0)
),0,
IF(NOT(ISBLANK(AN$3)),
IF(ISBLANK(AN$7),0,
IF(AN$4 &lt; AN$5,
IF($AA54-$Z$4&lt;AN$4,0,
IF($AA54&gt;AN$5,0,
SUM(_xlfn._xlws.FILTER(Table_BangLuong_TyLeTangCa[Tỷ lệ],
(Table_BangLuong_TyLeTangCa[Ngày] = AN$3) *
(Table_BangLuong_TyLeTangCa[Giờ min]&lt;=$AA54) *
(Table_BangLuong_TyLeTangCa[Giờ max]&gt;$AA54)
)))),
IF(AND($AA54-$Z$4 &gt;= AN$5,$AA54 &lt; AN$4),0,
SUM(_xlfn._xlws.FILTER(Table_BangLuong_TyLeTangCa[Tỷ lệ],
(Table_BangLuong_TyLeTangCa[Ngày] = AN$3) *
(Table_BangLuong_TyLeTangCa[Giờ min]&lt;=$AA54) *
(Table_BangLuong_TyLeTangCa[Giờ max]&gt;$AA54)
))))
),
IF(ISBLANK(AN$7),
IF(VLOOKUP(AN$6, Table_ChiPhiNV_Ca[], COUNTA(Table_ChiPhiNV_Ca[[#Headers],[Ca]:[Kết thúc]]),0)&gt; VLOOKUP(AN$6, Table_ChiPhiNV_Ca[], COUNTA(Table_ChiPhiNV_Ca[[#Headers],[Ca]:[Bắt đầu]]),0),
IF($AA54-$Z$4&lt;MAX(AN$4,VLOOKUP(AN$6, Table_ChiPhiNV_Ca[], COUNTA(Table_ChiPhiNV_Ca[[#Headers],[Ca]:[Bắt đầu]]),0)),0,
IF($AA54&gt;MIN(AN$5,VLOOKUP(AN$6, Table_ChiPhiNV_Ca[], COUNTA(Table_ChiPhiNV_Ca[[#Headers],[Ca]:[Kết thúc]]),0)),0,
SUM(_xlfn._xlws.FILTER(Table_BangLuong_TyLeTangCa[Tỷ lệ],
(Table_BangLuong_TyLeTangCa[Ngày] = "Thường") *
(Table_BangLuong_TyLeTangCa[Giờ min]&lt;=$AA54) *
(Table_BangLuong_TyLeTangCa[Giờ max]&gt;$AA54)
)))),
IF(AN$4 &gt; AN$5,
IF(
AND(
$AA54-$Z$4&lt;MAX(AN$4,VLOOKUP(AN$6, Table_ChiPhiNV_Ca[], COUNTA(Table_ChiPhiNV_Ca[[#Headers],[Ca]:[Bắt đầu]]),0)),
$AA54&gt;MIN(AN$5,VLOOKUP(AN$6, Table_ChiPhiNV_Ca[], COUNTA(Table_ChiPhiNV_Ca[[#Headers],[Ca]:[Kết thúc]]),0))),0,
SUM(_xlfn._xlws.FILTER(Table_BangLuong_TyLeTangCa[Tỷ lệ],
(Table_BangLuong_TyLeTangCa[Ngày] = "Thường") *
(Table_BangLuong_TyLeTangCa[Giờ min]&lt;=$AA54) *
(Table_BangLuong_TyLeTangCa[Giờ max]&gt;$AA54)
))),
IF(
AND(
$AA54-$Z$4&gt;=MAX(AN$4,VLOOKUP(AN$6, Table_ChiPhiNV_Ca[], COUNTA(Table_ChiPhiNV_Ca[[#Headers],[Ca]:[Bắt đầu]]),0)),
$AA54&lt;MIN(AN$5,VLOOKUP(AN$6, Table_ChiPhiNV_Ca[], COUNTA(Table_ChiPhiNV_Ca[[#Headers],[Ca]:[Kết thúc]]),0))),
SUM(_xlfn._xlws.FILTER(Table_BangLuong_TyLeTangCa[Tỷ lệ],
(Table_BangLuong_TyLeTangCa[Ngày] = "Thường") *
(Table_BangLuong_TyLeTangCa[Giờ min]&lt;=$AA54) *
(Table_BangLuong_TyLeTangCa[Giờ max]&gt;$AA54)
)),0)
)),
IF(AN$4 &lt; AN$5,
IF($AA54-$Z$4&lt;AN$4,0,
IF($AA54&gt;AN$5,0,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AN$5,$AA54 &lt; AN$4),0,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O54" s="18" cm="1">
        <f t="array" ref="AO54" xml:space="preserve">
IFERROR(
IF(AO$1="",0,
IF(AND(
$AA54&gt;=VLOOKUP(AO$6, Table_ChiPhiNV_Ca[], COUNTA(Table_ChiPhiNV_Ca[[#Headers],[Ca]:[Bắt đầu nghỉ]]),0),
$AA54&lt;VLOOKUP(AO$6, Table_ChiPhiNV_Ca[], COUNTA(Table_ChiPhiNV_Ca[[#Headers],[Ca]:[Kết thúc nghỉ]]),0)
),0,
IF(NOT(ISBLANK(AO$3)),
IF(ISBLANK(AO$7),0,
IF(AO$4 &lt; AO$5,
IF($AA54-$Z$4&lt;AO$4,0,
IF($AA54&gt;AO$5,0,
SUM(_xlfn._xlws.FILTER(Table_BangLuong_TyLeTangCa[Tỷ lệ],
(Table_BangLuong_TyLeTangCa[Ngày] = AO$3) *
(Table_BangLuong_TyLeTangCa[Giờ min]&lt;=$AA54) *
(Table_BangLuong_TyLeTangCa[Giờ max]&gt;$AA54)
)))),
IF(AND($AA54-$Z$4 &gt;= AO$5,$AA54 &lt; AO$4),0,
SUM(_xlfn._xlws.FILTER(Table_BangLuong_TyLeTangCa[Tỷ lệ],
(Table_BangLuong_TyLeTangCa[Ngày] = AO$3) *
(Table_BangLuong_TyLeTangCa[Giờ min]&lt;=$AA54) *
(Table_BangLuong_TyLeTangCa[Giờ max]&gt;$AA54)
))))
),
IF(ISBLANK(AO$7),
IF(VLOOKUP(AO$6, Table_ChiPhiNV_Ca[], COUNTA(Table_ChiPhiNV_Ca[[#Headers],[Ca]:[Kết thúc]]),0)&gt; VLOOKUP(AO$6, Table_ChiPhiNV_Ca[], COUNTA(Table_ChiPhiNV_Ca[[#Headers],[Ca]:[Bắt đầu]]),0),
IF($AA54-$Z$4&lt;MAX(AO$4,VLOOKUP(AO$6, Table_ChiPhiNV_Ca[], COUNTA(Table_ChiPhiNV_Ca[[#Headers],[Ca]:[Bắt đầu]]),0)),0,
IF($AA54&gt;MIN(AO$5,VLOOKUP(AO$6, Table_ChiPhiNV_Ca[], COUNTA(Table_ChiPhiNV_Ca[[#Headers],[Ca]:[Kết thúc]]),0)),0,
SUM(_xlfn._xlws.FILTER(Table_BangLuong_TyLeTangCa[Tỷ lệ],
(Table_BangLuong_TyLeTangCa[Ngày] = "Thường") *
(Table_BangLuong_TyLeTangCa[Giờ min]&lt;=$AA54) *
(Table_BangLuong_TyLeTangCa[Giờ max]&gt;$AA54)
)))),
IF(AO$4 &gt; AO$5,
IF(
AND(
$AA54-$Z$4&lt;MAX(AO$4,VLOOKUP(AO$6, Table_ChiPhiNV_Ca[], COUNTA(Table_ChiPhiNV_Ca[[#Headers],[Ca]:[Bắt đầu]]),0)),
$AA54&gt;MIN(AO$5,VLOOKUP(AO$6, Table_ChiPhiNV_Ca[], COUNTA(Table_ChiPhiNV_Ca[[#Headers],[Ca]:[Kết thúc]]),0))),0,
SUM(_xlfn._xlws.FILTER(Table_BangLuong_TyLeTangCa[Tỷ lệ],
(Table_BangLuong_TyLeTangCa[Ngày] = "Thường") *
(Table_BangLuong_TyLeTangCa[Giờ min]&lt;=$AA54) *
(Table_BangLuong_TyLeTangCa[Giờ max]&gt;$AA54)
))),
IF(
AND(
$AA54-$Z$4&gt;=MAX(AO$4,VLOOKUP(AO$6, Table_ChiPhiNV_Ca[], COUNTA(Table_ChiPhiNV_Ca[[#Headers],[Ca]:[Bắt đầu]]),0)),
$AA54&lt;MIN(AO$5,VLOOKUP(AO$6, Table_ChiPhiNV_Ca[], COUNTA(Table_ChiPhiNV_Ca[[#Headers],[Ca]:[Kết thúc]]),0))),
SUM(_xlfn._xlws.FILTER(Table_BangLuong_TyLeTangCa[Tỷ lệ],
(Table_BangLuong_TyLeTangCa[Ngày] = "Thường") *
(Table_BangLuong_TyLeTangCa[Giờ min]&lt;=$AA54) *
(Table_BangLuong_TyLeTangCa[Giờ max]&gt;$AA54)
)),0)
)),
IF(AO$4 &lt; AO$5,
IF($AA54-$Z$4&lt;AO$4,0,
IF($AA54&gt;AO$5,0,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AO$5,$AA54 &lt; AO$4),0,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P54" s="18" cm="1">
        <f t="array" ref="AP54" xml:space="preserve">
IFERROR(
IF(AP$1="",0,
IF(AND(
$AA54&gt;=VLOOKUP(AP$6, Table_ChiPhiNV_Ca[], COUNTA(Table_ChiPhiNV_Ca[[#Headers],[Ca]:[Bắt đầu nghỉ]]),0),
$AA54&lt;VLOOKUP(AP$6, Table_ChiPhiNV_Ca[], COUNTA(Table_ChiPhiNV_Ca[[#Headers],[Ca]:[Kết thúc nghỉ]]),0)
),0,
IF(NOT(ISBLANK(AP$3)),
IF(ISBLANK(AP$7),0,
IF(AP$4 &lt; AP$5,
IF($AA54-$Z$4&lt;AP$4,0,
IF($AA54&gt;AP$5,0,
SUM(_xlfn._xlws.FILTER(Table_BangLuong_TyLeTangCa[Tỷ lệ],
(Table_BangLuong_TyLeTangCa[Ngày] = AP$3) *
(Table_BangLuong_TyLeTangCa[Giờ min]&lt;=$AA54) *
(Table_BangLuong_TyLeTangCa[Giờ max]&gt;$AA54)
)))),
IF(AND($AA54-$Z$4 &gt;= AP$5,$AA54 &lt; AP$4),0,
SUM(_xlfn._xlws.FILTER(Table_BangLuong_TyLeTangCa[Tỷ lệ],
(Table_BangLuong_TyLeTangCa[Ngày] = AP$3) *
(Table_BangLuong_TyLeTangCa[Giờ min]&lt;=$AA54) *
(Table_BangLuong_TyLeTangCa[Giờ max]&gt;$AA54)
))))
),
IF(ISBLANK(AP$7),
IF(VLOOKUP(AP$6, Table_ChiPhiNV_Ca[], COUNTA(Table_ChiPhiNV_Ca[[#Headers],[Ca]:[Kết thúc]]),0)&gt; VLOOKUP(AP$6, Table_ChiPhiNV_Ca[], COUNTA(Table_ChiPhiNV_Ca[[#Headers],[Ca]:[Bắt đầu]]),0),
IF($AA54-$Z$4&lt;MAX(AP$4,VLOOKUP(AP$6, Table_ChiPhiNV_Ca[], COUNTA(Table_ChiPhiNV_Ca[[#Headers],[Ca]:[Bắt đầu]]),0)),0,
IF($AA54&gt;MIN(AP$5,VLOOKUP(AP$6, Table_ChiPhiNV_Ca[], COUNTA(Table_ChiPhiNV_Ca[[#Headers],[Ca]:[Kết thúc]]),0)),0,
SUM(_xlfn._xlws.FILTER(Table_BangLuong_TyLeTangCa[Tỷ lệ],
(Table_BangLuong_TyLeTangCa[Ngày] = "Thường") *
(Table_BangLuong_TyLeTangCa[Giờ min]&lt;=$AA54) *
(Table_BangLuong_TyLeTangCa[Giờ max]&gt;$AA54)
)))),
IF(AP$4 &gt; AP$5,
IF(
AND(
$AA54-$Z$4&lt;MAX(AP$4,VLOOKUP(AP$6, Table_ChiPhiNV_Ca[], COUNTA(Table_ChiPhiNV_Ca[[#Headers],[Ca]:[Bắt đầu]]),0)),
$AA54&gt;MIN(AP$5,VLOOKUP(AP$6, Table_ChiPhiNV_Ca[], COUNTA(Table_ChiPhiNV_Ca[[#Headers],[Ca]:[Kết thúc]]),0))),0,
SUM(_xlfn._xlws.FILTER(Table_BangLuong_TyLeTangCa[Tỷ lệ],
(Table_BangLuong_TyLeTangCa[Ngày] = "Thường") *
(Table_BangLuong_TyLeTangCa[Giờ min]&lt;=$AA54) *
(Table_BangLuong_TyLeTangCa[Giờ max]&gt;$AA54)
))),
IF(
AND(
$AA54-$Z$4&gt;=MAX(AP$4,VLOOKUP(AP$6, Table_ChiPhiNV_Ca[], COUNTA(Table_ChiPhiNV_Ca[[#Headers],[Ca]:[Bắt đầu]]),0)),
$AA54&lt;MIN(AP$5,VLOOKUP(AP$6, Table_ChiPhiNV_Ca[], COUNTA(Table_ChiPhiNV_Ca[[#Headers],[Ca]:[Kết thúc]]),0))),
SUM(_xlfn._xlws.FILTER(Table_BangLuong_TyLeTangCa[Tỷ lệ],
(Table_BangLuong_TyLeTangCa[Ngày] = "Thường") *
(Table_BangLuong_TyLeTangCa[Giờ min]&lt;=$AA54) *
(Table_BangLuong_TyLeTangCa[Giờ max]&gt;$AA54)
)),0)
)),
IF(AP$4 &lt; AP$5,
IF($AA54-$Z$4&lt;AP$4,0,
IF($AA54&gt;AP$5,0,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AP$5,$AA54 &lt; AP$4),0,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Q54" s="18" cm="1">
        <f t="array" ref="AQ54" xml:space="preserve">
IFERROR(
IF(AQ$1="",0,
IF(AND(
$AA54&gt;=VLOOKUP(AQ$6, Table_ChiPhiNV_Ca[], COUNTA(Table_ChiPhiNV_Ca[[#Headers],[Ca]:[Bắt đầu nghỉ]]),0),
$AA54&lt;VLOOKUP(AQ$6, Table_ChiPhiNV_Ca[], COUNTA(Table_ChiPhiNV_Ca[[#Headers],[Ca]:[Kết thúc nghỉ]]),0)
),0,
IF(NOT(ISBLANK(AQ$3)),
IF(ISBLANK(AQ$7),0,
IF(AQ$4 &lt; AQ$5,
IF($AA54-$Z$4&lt;AQ$4,0,
IF($AA54&gt;AQ$5,0,
SUM(_xlfn._xlws.FILTER(Table_BangLuong_TyLeTangCa[Tỷ lệ],
(Table_BangLuong_TyLeTangCa[Ngày] = AQ$3) *
(Table_BangLuong_TyLeTangCa[Giờ min]&lt;=$AA54) *
(Table_BangLuong_TyLeTangCa[Giờ max]&gt;$AA54)
)))),
IF(AND($AA54-$Z$4 &gt;= AQ$5,$AA54 &lt; AQ$4),0,
SUM(_xlfn._xlws.FILTER(Table_BangLuong_TyLeTangCa[Tỷ lệ],
(Table_BangLuong_TyLeTangCa[Ngày] = AQ$3) *
(Table_BangLuong_TyLeTangCa[Giờ min]&lt;=$AA54) *
(Table_BangLuong_TyLeTangCa[Giờ max]&gt;$AA54)
))))
),
IF(ISBLANK(AQ$7),
IF(VLOOKUP(AQ$6, Table_ChiPhiNV_Ca[], COUNTA(Table_ChiPhiNV_Ca[[#Headers],[Ca]:[Kết thúc]]),0)&gt; VLOOKUP(AQ$6, Table_ChiPhiNV_Ca[], COUNTA(Table_ChiPhiNV_Ca[[#Headers],[Ca]:[Bắt đầu]]),0),
IF($AA54-$Z$4&lt;MAX(AQ$4,VLOOKUP(AQ$6, Table_ChiPhiNV_Ca[], COUNTA(Table_ChiPhiNV_Ca[[#Headers],[Ca]:[Bắt đầu]]),0)),0,
IF($AA54&gt;MIN(AQ$5,VLOOKUP(AQ$6, Table_ChiPhiNV_Ca[], COUNTA(Table_ChiPhiNV_Ca[[#Headers],[Ca]:[Kết thúc]]),0)),0,
SUM(_xlfn._xlws.FILTER(Table_BangLuong_TyLeTangCa[Tỷ lệ],
(Table_BangLuong_TyLeTangCa[Ngày] = "Thường") *
(Table_BangLuong_TyLeTangCa[Giờ min]&lt;=$AA54) *
(Table_BangLuong_TyLeTangCa[Giờ max]&gt;$AA54)
)))),
IF(AQ$4 &gt; AQ$5,
IF(
AND(
$AA54-$Z$4&lt;MAX(AQ$4,VLOOKUP(AQ$6, Table_ChiPhiNV_Ca[], COUNTA(Table_ChiPhiNV_Ca[[#Headers],[Ca]:[Bắt đầu]]),0)),
$AA54&gt;MIN(AQ$5,VLOOKUP(AQ$6, Table_ChiPhiNV_Ca[], COUNTA(Table_ChiPhiNV_Ca[[#Headers],[Ca]:[Kết thúc]]),0))),0,
SUM(_xlfn._xlws.FILTER(Table_BangLuong_TyLeTangCa[Tỷ lệ],
(Table_BangLuong_TyLeTangCa[Ngày] = "Thường") *
(Table_BangLuong_TyLeTangCa[Giờ min]&lt;=$AA54) *
(Table_BangLuong_TyLeTangCa[Giờ max]&gt;$AA54)
))),
IF(
AND(
$AA54-$Z$4&gt;=MAX(AQ$4,VLOOKUP(AQ$6, Table_ChiPhiNV_Ca[], COUNTA(Table_ChiPhiNV_Ca[[#Headers],[Ca]:[Bắt đầu]]),0)),
$AA54&lt;MIN(AQ$5,VLOOKUP(AQ$6, Table_ChiPhiNV_Ca[], COUNTA(Table_ChiPhiNV_Ca[[#Headers],[Ca]:[Kết thúc]]),0))),
SUM(_xlfn._xlws.FILTER(Table_BangLuong_TyLeTangCa[Tỷ lệ],
(Table_BangLuong_TyLeTangCa[Ngày] = "Thường") *
(Table_BangLuong_TyLeTangCa[Giờ min]&lt;=$AA54) *
(Table_BangLuong_TyLeTangCa[Giờ max]&gt;$AA54)
)),0)
)),
IF(AQ$4 &lt; AQ$5,
IF($AA54-$Z$4&lt;AQ$4,0,
IF($AA54&gt;AQ$5,0,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AQ$5,$AA54 &lt; AQ$4),0,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R54" s="18" cm="1">
        <f t="array" ref="AR54" xml:space="preserve">
IFERROR(
IF(AR$1="",0,
IF(AND(
$AA54&gt;=VLOOKUP(AR$6, Table_ChiPhiNV_Ca[], COUNTA(Table_ChiPhiNV_Ca[[#Headers],[Ca]:[Bắt đầu nghỉ]]),0),
$AA54&lt;VLOOKUP(AR$6, Table_ChiPhiNV_Ca[], COUNTA(Table_ChiPhiNV_Ca[[#Headers],[Ca]:[Kết thúc nghỉ]]),0)
),0,
IF(NOT(ISBLANK(AR$3)),
IF(ISBLANK(AR$7),0,
IF(AR$4 &lt; AR$5,
IF($AA54-$Z$4&lt;AR$4,0,
IF($AA54&gt;AR$5,0,
SUM(_xlfn._xlws.FILTER(Table_BangLuong_TyLeTangCa[Tỷ lệ],
(Table_BangLuong_TyLeTangCa[Ngày] = AR$3) *
(Table_BangLuong_TyLeTangCa[Giờ min]&lt;=$AA54) *
(Table_BangLuong_TyLeTangCa[Giờ max]&gt;$AA54)
)))),
IF(AND($AA54-$Z$4 &gt;= AR$5,$AA54 &lt; AR$4),0,
SUM(_xlfn._xlws.FILTER(Table_BangLuong_TyLeTangCa[Tỷ lệ],
(Table_BangLuong_TyLeTangCa[Ngày] = AR$3) *
(Table_BangLuong_TyLeTangCa[Giờ min]&lt;=$AA54) *
(Table_BangLuong_TyLeTangCa[Giờ max]&gt;$AA54)
))))
),
IF(ISBLANK(AR$7),
IF(VLOOKUP(AR$6, Table_ChiPhiNV_Ca[], COUNTA(Table_ChiPhiNV_Ca[[#Headers],[Ca]:[Kết thúc]]),0)&gt; VLOOKUP(AR$6, Table_ChiPhiNV_Ca[], COUNTA(Table_ChiPhiNV_Ca[[#Headers],[Ca]:[Bắt đầu]]),0),
IF($AA54-$Z$4&lt;MAX(AR$4,VLOOKUP(AR$6, Table_ChiPhiNV_Ca[], COUNTA(Table_ChiPhiNV_Ca[[#Headers],[Ca]:[Bắt đầu]]),0)),0,
IF($AA54&gt;MIN(AR$5,VLOOKUP(AR$6, Table_ChiPhiNV_Ca[], COUNTA(Table_ChiPhiNV_Ca[[#Headers],[Ca]:[Kết thúc]]),0)),0,
SUM(_xlfn._xlws.FILTER(Table_BangLuong_TyLeTangCa[Tỷ lệ],
(Table_BangLuong_TyLeTangCa[Ngày] = "Thường") *
(Table_BangLuong_TyLeTangCa[Giờ min]&lt;=$AA54) *
(Table_BangLuong_TyLeTangCa[Giờ max]&gt;$AA54)
)))),
IF(AR$4 &gt; AR$5,
IF(
AND(
$AA54-$Z$4&lt;MAX(AR$4,VLOOKUP(AR$6, Table_ChiPhiNV_Ca[], COUNTA(Table_ChiPhiNV_Ca[[#Headers],[Ca]:[Bắt đầu]]),0)),
$AA54&gt;MIN(AR$5,VLOOKUP(AR$6, Table_ChiPhiNV_Ca[], COUNTA(Table_ChiPhiNV_Ca[[#Headers],[Ca]:[Kết thúc]]),0))),0,
SUM(_xlfn._xlws.FILTER(Table_BangLuong_TyLeTangCa[Tỷ lệ],
(Table_BangLuong_TyLeTangCa[Ngày] = "Thường") *
(Table_BangLuong_TyLeTangCa[Giờ min]&lt;=$AA54) *
(Table_BangLuong_TyLeTangCa[Giờ max]&gt;$AA54)
))),
IF(
AND(
$AA54-$Z$4&gt;=MAX(AR$4,VLOOKUP(AR$6, Table_ChiPhiNV_Ca[], COUNTA(Table_ChiPhiNV_Ca[[#Headers],[Ca]:[Bắt đầu]]),0)),
$AA54&lt;MIN(AR$5,VLOOKUP(AR$6, Table_ChiPhiNV_Ca[], COUNTA(Table_ChiPhiNV_Ca[[#Headers],[Ca]:[Kết thúc]]),0))),
SUM(_xlfn._xlws.FILTER(Table_BangLuong_TyLeTangCa[Tỷ lệ],
(Table_BangLuong_TyLeTangCa[Ngày] = "Thường") *
(Table_BangLuong_TyLeTangCa[Giờ min]&lt;=$AA54) *
(Table_BangLuong_TyLeTangCa[Giờ max]&gt;$AA54)
)),0)
)),
IF(AR$4 &lt; AR$5,
IF($AA54-$Z$4&lt;AR$4,0,
IF($AA54&gt;AR$5,0,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AR$5,$AA54 &lt; AR$4),0,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S54" s="18" cm="1">
        <f t="array" ref="AS54" xml:space="preserve">
IFERROR(
IF(AS$1="",0,
IF(AND(
$AA54&gt;=VLOOKUP(AS$6, Table_ChiPhiNV_Ca[], COUNTA(Table_ChiPhiNV_Ca[[#Headers],[Ca]:[Bắt đầu nghỉ]]),0),
$AA54&lt;VLOOKUP(AS$6, Table_ChiPhiNV_Ca[], COUNTA(Table_ChiPhiNV_Ca[[#Headers],[Ca]:[Kết thúc nghỉ]]),0)
),0,
IF(NOT(ISBLANK(AS$3)),
IF(ISBLANK(AS$7),0,
IF(AS$4 &lt; AS$5,
IF($AA54-$Z$4&lt;AS$4,0,
IF($AA54&gt;AS$5,0,
SUM(_xlfn._xlws.FILTER(Table_BangLuong_TyLeTangCa[Tỷ lệ],
(Table_BangLuong_TyLeTangCa[Ngày] = AS$3) *
(Table_BangLuong_TyLeTangCa[Giờ min]&lt;=$AA54) *
(Table_BangLuong_TyLeTangCa[Giờ max]&gt;$AA54)
)))),
IF(AND($AA54-$Z$4 &gt;= AS$5,$AA54 &lt; AS$4),0,
SUM(_xlfn._xlws.FILTER(Table_BangLuong_TyLeTangCa[Tỷ lệ],
(Table_BangLuong_TyLeTangCa[Ngày] = AS$3) *
(Table_BangLuong_TyLeTangCa[Giờ min]&lt;=$AA54) *
(Table_BangLuong_TyLeTangCa[Giờ max]&gt;$AA54)
))))
),
IF(ISBLANK(AS$7),
IF(VLOOKUP(AS$6, Table_ChiPhiNV_Ca[], COUNTA(Table_ChiPhiNV_Ca[[#Headers],[Ca]:[Kết thúc]]),0)&gt; VLOOKUP(AS$6, Table_ChiPhiNV_Ca[], COUNTA(Table_ChiPhiNV_Ca[[#Headers],[Ca]:[Bắt đầu]]),0),
IF($AA54-$Z$4&lt;MAX(AS$4,VLOOKUP(AS$6, Table_ChiPhiNV_Ca[], COUNTA(Table_ChiPhiNV_Ca[[#Headers],[Ca]:[Bắt đầu]]),0)),0,
IF($AA54&gt;MIN(AS$5,VLOOKUP(AS$6, Table_ChiPhiNV_Ca[], COUNTA(Table_ChiPhiNV_Ca[[#Headers],[Ca]:[Kết thúc]]),0)),0,
SUM(_xlfn._xlws.FILTER(Table_BangLuong_TyLeTangCa[Tỷ lệ],
(Table_BangLuong_TyLeTangCa[Ngày] = "Thường") *
(Table_BangLuong_TyLeTangCa[Giờ min]&lt;=$AA54) *
(Table_BangLuong_TyLeTangCa[Giờ max]&gt;$AA54)
)))),
IF(AS$4 &gt; AS$5,
IF(
AND(
$AA54-$Z$4&lt;MAX(AS$4,VLOOKUP(AS$6, Table_ChiPhiNV_Ca[], COUNTA(Table_ChiPhiNV_Ca[[#Headers],[Ca]:[Bắt đầu]]),0)),
$AA54&gt;MIN(AS$5,VLOOKUP(AS$6, Table_ChiPhiNV_Ca[], COUNTA(Table_ChiPhiNV_Ca[[#Headers],[Ca]:[Kết thúc]]),0))),0,
SUM(_xlfn._xlws.FILTER(Table_BangLuong_TyLeTangCa[Tỷ lệ],
(Table_BangLuong_TyLeTangCa[Ngày] = "Thường") *
(Table_BangLuong_TyLeTangCa[Giờ min]&lt;=$AA54) *
(Table_BangLuong_TyLeTangCa[Giờ max]&gt;$AA54)
))),
IF(
AND(
$AA54-$Z$4&gt;=MAX(AS$4,VLOOKUP(AS$6, Table_ChiPhiNV_Ca[], COUNTA(Table_ChiPhiNV_Ca[[#Headers],[Ca]:[Bắt đầu]]),0)),
$AA54&lt;MIN(AS$5,VLOOKUP(AS$6, Table_ChiPhiNV_Ca[], COUNTA(Table_ChiPhiNV_Ca[[#Headers],[Ca]:[Kết thúc]]),0))),
SUM(_xlfn._xlws.FILTER(Table_BangLuong_TyLeTangCa[Tỷ lệ],
(Table_BangLuong_TyLeTangCa[Ngày] = "Thường") *
(Table_BangLuong_TyLeTangCa[Giờ min]&lt;=$AA54) *
(Table_BangLuong_TyLeTangCa[Giờ max]&gt;$AA54)
)),0)
)),
IF(AS$4 &lt; AS$5,
IF($AA54-$Z$4&lt;AS$4,0,
IF($AA54&gt;AS$5,0,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AS$5,$AA54 &lt; AS$4),0,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T54" s="18" cm="1">
        <f t="array" ref="AT54" xml:space="preserve">
IFERROR(
IF(AT$1="",0,
IF(AND(
$AA54&gt;=VLOOKUP(AT$6, Table_ChiPhiNV_Ca[], COUNTA(Table_ChiPhiNV_Ca[[#Headers],[Ca]:[Bắt đầu nghỉ]]),0),
$AA54&lt;VLOOKUP(AT$6, Table_ChiPhiNV_Ca[], COUNTA(Table_ChiPhiNV_Ca[[#Headers],[Ca]:[Kết thúc nghỉ]]),0)
),0,
IF(NOT(ISBLANK(AT$3)),
IF(ISBLANK(AT$7),0,
IF(AT$4 &lt; AT$5,
IF($AA54-$Z$4&lt;AT$4,0,
IF($AA54&gt;AT$5,0,
SUM(_xlfn._xlws.FILTER(Table_BangLuong_TyLeTangCa[Tỷ lệ],
(Table_BangLuong_TyLeTangCa[Ngày] = AT$3) *
(Table_BangLuong_TyLeTangCa[Giờ min]&lt;=$AA54) *
(Table_BangLuong_TyLeTangCa[Giờ max]&gt;$AA54)
)))),
IF(AND($AA54-$Z$4 &gt;= AT$5,$AA54 &lt; AT$4),0,
SUM(_xlfn._xlws.FILTER(Table_BangLuong_TyLeTangCa[Tỷ lệ],
(Table_BangLuong_TyLeTangCa[Ngày] = AT$3) *
(Table_BangLuong_TyLeTangCa[Giờ min]&lt;=$AA54) *
(Table_BangLuong_TyLeTangCa[Giờ max]&gt;$AA54)
))))
),
IF(ISBLANK(AT$7),
IF(VLOOKUP(AT$6, Table_ChiPhiNV_Ca[], COUNTA(Table_ChiPhiNV_Ca[[#Headers],[Ca]:[Kết thúc]]),0)&gt; VLOOKUP(AT$6, Table_ChiPhiNV_Ca[], COUNTA(Table_ChiPhiNV_Ca[[#Headers],[Ca]:[Bắt đầu]]),0),
IF($AA54-$Z$4&lt;MAX(AT$4,VLOOKUP(AT$6, Table_ChiPhiNV_Ca[], COUNTA(Table_ChiPhiNV_Ca[[#Headers],[Ca]:[Bắt đầu]]),0)),0,
IF($AA54&gt;MIN(AT$5,VLOOKUP(AT$6, Table_ChiPhiNV_Ca[], COUNTA(Table_ChiPhiNV_Ca[[#Headers],[Ca]:[Kết thúc]]),0)),0,
SUM(_xlfn._xlws.FILTER(Table_BangLuong_TyLeTangCa[Tỷ lệ],
(Table_BangLuong_TyLeTangCa[Ngày] = "Thường") *
(Table_BangLuong_TyLeTangCa[Giờ min]&lt;=$AA54) *
(Table_BangLuong_TyLeTangCa[Giờ max]&gt;$AA54)
)))),
IF(AT$4 &gt; AT$5,
IF(
AND(
$AA54-$Z$4&lt;MAX(AT$4,VLOOKUP(AT$6, Table_ChiPhiNV_Ca[], COUNTA(Table_ChiPhiNV_Ca[[#Headers],[Ca]:[Bắt đầu]]),0)),
$AA54&gt;MIN(AT$5,VLOOKUP(AT$6, Table_ChiPhiNV_Ca[], COUNTA(Table_ChiPhiNV_Ca[[#Headers],[Ca]:[Kết thúc]]),0))),0,
SUM(_xlfn._xlws.FILTER(Table_BangLuong_TyLeTangCa[Tỷ lệ],
(Table_BangLuong_TyLeTangCa[Ngày] = "Thường") *
(Table_BangLuong_TyLeTangCa[Giờ min]&lt;=$AA54) *
(Table_BangLuong_TyLeTangCa[Giờ max]&gt;$AA54)
))),
IF(
AND(
$AA54-$Z$4&gt;=MAX(AT$4,VLOOKUP(AT$6, Table_ChiPhiNV_Ca[], COUNTA(Table_ChiPhiNV_Ca[[#Headers],[Ca]:[Bắt đầu]]),0)),
$AA54&lt;MIN(AT$5,VLOOKUP(AT$6, Table_ChiPhiNV_Ca[], COUNTA(Table_ChiPhiNV_Ca[[#Headers],[Ca]:[Kết thúc]]),0))),
SUM(_xlfn._xlws.FILTER(Table_BangLuong_TyLeTangCa[Tỷ lệ],
(Table_BangLuong_TyLeTangCa[Ngày] = "Thường") *
(Table_BangLuong_TyLeTangCa[Giờ min]&lt;=$AA54) *
(Table_BangLuong_TyLeTangCa[Giờ max]&gt;$AA54)
)),0)
)),
IF(AT$4 &lt; AT$5,
IF($AA54-$Z$4&lt;AT$4,0,
IF($AA54&gt;AT$5,0,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AT$5,$AA54 &lt; AT$4),0,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U54" s="18" cm="1">
        <f t="array" ref="AU54" xml:space="preserve">
IFERROR(
IF(AU$1="",0,
IF(AND(
$AA54&gt;=VLOOKUP(AU$6, Table_ChiPhiNV_Ca[], COUNTA(Table_ChiPhiNV_Ca[[#Headers],[Ca]:[Bắt đầu nghỉ]]),0),
$AA54&lt;VLOOKUP(AU$6, Table_ChiPhiNV_Ca[], COUNTA(Table_ChiPhiNV_Ca[[#Headers],[Ca]:[Kết thúc nghỉ]]),0)
),0,
IF(NOT(ISBLANK(AU$3)),
IF(ISBLANK(AU$7),0,
IF(AU$4 &lt; AU$5,
IF($AA54-$Z$4&lt;AU$4,0,
IF($AA54&gt;AU$5,0,
SUM(_xlfn._xlws.FILTER(Table_BangLuong_TyLeTangCa[Tỷ lệ],
(Table_BangLuong_TyLeTangCa[Ngày] = AU$3) *
(Table_BangLuong_TyLeTangCa[Giờ min]&lt;=$AA54) *
(Table_BangLuong_TyLeTangCa[Giờ max]&gt;$AA54)
)))),
IF(AND($AA54-$Z$4 &gt;= AU$5,$AA54 &lt; AU$4),0,
SUM(_xlfn._xlws.FILTER(Table_BangLuong_TyLeTangCa[Tỷ lệ],
(Table_BangLuong_TyLeTangCa[Ngày] = AU$3) *
(Table_BangLuong_TyLeTangCa[Giờ min]&lt;=$AA54) *
(Table_BangLuong_TyLeTangCa[Giờ max]&gt;$AA54)
))))
),
IF(ISBLANK(AU$7),
IF(VLOOKUP(AU$6, Table_ChiPhiNV_Ca[], COUNTA(Table_ChiPhiNV_Ca[[#Headers],[Ca]:[Kết thúc]]),0)&gt; VLOOKUP(AU$6, Table_ChiPhiNV_Ca[], COUNTA(Table_ChiPhiNV_Ca[[#Headers],[Ca]:[Bắt đầu]]),0),
IF($AA54-$Z$4&lt;MAX(AU$4,VLOOKUP(AU$6, Table_ChiPhiNV_Ca[], COUNTA(Table_ChiPhiNV_Ca[[#Headers],[Ca]:[Bắt đầu]]),0)),0,
IF($AA54&gt;MIN(AU$5,VLOOKUP(AU$6, Table_ChiPhiNV_Ca[], COUNTA(Table_ChiPhiNV_Ca[[#Headers],[Ca]:[Kết thúc]]),0)),0,
SUM(_xlfn._xlws.FILTER(Table_BangLuong_TyLeTangCa[Tỷ lệ],
(Table_BangLuong_TyLeTangCa[Ngày] = "Thường") *
(Table_BangLuong_TyLeTangCa[Giờ min]&lt;=$AA54) *
(Table_BangLuong_TyLeTangCa[Giờ max]&gt;$AA54)
)))),
IF(AU$4 &gt; AU$5,
IF(
AND(
$AA54-$Z$4&lt;MAX(AU$4,VLOOKUP(AU$6, Table_ChiPhiNV_Ca[], COUNTA(Table_ChiPhiNV_Ca[[#Headers],[Ca]:[Bắt đầu]]),0)),
$AA54&gt;MIN(AU$5,VLOOKUP(AU$6, Table_ChiPhiNV_Ca[], COUNTA(Table_ChiPhiNV_Ca[[#Headers],[Ca]:[Kết thúc]]),0))),0,
SUM(_xlfn._xlws.FILTER(Table_BangLuong_TyLeTangCa[Tỷ lệ],
(Table_BangLuong_TyLeTangCa[Ngày] = "Thường") *
(Table_BangLuong_TyLeTangCa[Giờ min]&lt;=$AA54) *
(Table_BangLuong_TyLeTangCa[Giờ max]&gt;$AA54)
))),
IF(
AND(
$AA54-$Z$4&gt;=MAX(AU$4,VLOOKUP(AU$6, Table_ChiPhiNV_Ca[], COUNTA(Table_ChiPhiNV_Ca[[#Headers],[Ca]:[Bắt đầu]]),0)),
$AA54&lt;MIN(AU$5,VLOOKUP(AU$6, Table_ChiPhiNV_Ca[], COUNTA(Table_ChiPhiNV_Ca[[#Headers],[Ca]:[Kết thúc]]),0))),
SUM(_xlfn._xlws.FILTER(Table_BangLuong_TyLeTangCa[Tỷ lệ],
(Table_BangLuong_TyLeTangCa[Ngày] = "Thường") *
(Table_BangLuong_TyLeTangCa[Giờ min]&lt;=$AA54) *
(Table_BangLuong_TyLeTangCa[Giờ max]&gt;$AA54)
)),0)
)),
IF(AU$4 &lt; AU$5,
IF($AA54-$Z$4&lt;AU$4,0,
IF($AA54&gt;AU$5,0,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AU$5,$AA54 &lt; AU$4),0,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V54" s="18" cm="1">
        <f t="array" ref="AV54" xml:space="preserve">
IFERROR(
IF(AV$1="",0,
IF(AND(
$AA54&gt;=VLOOKUP(AV$6, Table_ChiPhiNV_Ca[], COUNTA(Table_ChiPhiNV_Ca[[#Headers],[Ca]:[Bắt đầu nghỉ]]),0),
$AA54&lt;VLOOKUP(AV$6, Table_ChiPhiNV_Ca[], COUNTA(Table_ChiPhiNV_Ca[[#Headers],[Ca]:[Kết thúc nghỉ]]),0)
),0,
IF(NOT(ISBLANK(AV$3)),
IF(ISBLANK(AV$7),0,
IF(AV$4 &lt; AV$5,
IF($AA54-$Z$4&lt;AV$4,0,
IF($AA54&gt;AV$5,0,
SUM(_xlfn._xlws.FILTER(Table_BangLuong_TyLeTangCa[Tỷ lệ],
(Table_BangLuong_TyLeTangCa[Ngày] = AV$3) *
(Table_BangLuong_TyLeTangCa[Giờ min]&lt;=$AA54) *
(Table_BangLuong_TyLeTangCa[Giờ max]&gt;$AA54)
)))),
IF(AND($AA54-$Z$4 &gt;= AV$5,$AA54 &lt; AV$4),0,
SUM(_xlfn._xlws.FILTER(Table_BangLuong_TyLeTangCa[Tỷ lệ],
(Table_BangLuong_TyLeTangCa[Ngày] = AV$3) *
(Table_BangLuong_TyLeTangCa[Giờ min]&lt;=$AA54) *
(Table_BangLuong_TyLeTangCa[Giờ max]&gt;$AA54)
))))
),
IF(ISBLANK(AV$7),
IF(VLOOKUP(AV$6, Table_ChiPhiNV_Ca[], COUNTA(Table_ChiPhiNV_Ca[[#Headers],[Ca]:[Kết thúc]]),0)&gt; VLOOKUP(AV$6, Table_ChiPhiNV_Ca[], COUNTA(Table_ChiPhiNV_Ca[[#Headers],[Ca]:[Bắt đầu]]),0),
IF($AA54-$Z$4&lt;MAX(AV$4,VLOOKUP(AV$6, Table_ChiPhiNV_Ca[], COUNTA(Table_ChiPhiNV_Ca[[#Headers],[Ca]:[Bắt đầu]]),0)),0,
IF($AA54&gt;MIN(AV$5,VLOOKUP(AV$6, Table_ChiPhiNV_Ca[], COUNTA(Table_ChiPhiNV_Ca[[#Headers],[Ca]:[Kết thúc]]),0)),0,
SUM(_xlfn._xlws.FILTER(Table_BangLuong_TyLeTangCa[Tỷ lệ],
(Table_BangLuong_TyLeTangCa[Ngày] = "Thường") *
(Table_BangLuong_TyLeTangCa[Giờ min]&lt;=$AA54) *
(Table_BangLuong_TyLeTangCa[Giờ max]&gt;$AA54)
)))),
IF(AV$4 &gt; AV$5,
IF(
AND(
$AA54-$Z$4&lt;MAX(AV$4,VLOOKUP(AV$6, Table_ChiPhiNV_Ca[], COUNTA(Table_ChiPhiNV_Ca[[#Headers],[Ca]:[Bắt đầu]]),0)),
$AA54&gt;MIN(AV$5,VLOOKUP(AV$6, Table_ChiPhiNV_Ca[], COUNTA(Table_ChiPhiNV_Ca[[#Headers],[Ca]:[Kết thúc]]),0))),0,
SUM(_xlfn._xlws.FILTER(Table_BangLuong_TyLeTangCa[Tỷ lệ],
(Table_BangLuong_TyLeTangCa[Ngày] = "Thường") *
(Table_BangLuong_TyLeTangCa[Giờ min]&lt;=$AA54) *
(Table_BangLuong_TyLeTangCa[Giờ max]&gt;$AA54)
))),
IF(
AND(
$AA54-$Z$4&gt;=MAX(AV$4,VLOOKUP(AV$6, Table_ChiPhiNV_Ca[], COUNTA(Table_ChiPhiNV_Ca[[#Headers],[Ca]:[Bắt đầu]]),0)),
$AA54&lt;MIN(AV$5,VLOOKUP(AV$6, Table_ChiPhiNV_Ca[], COUNTA(Table_ChiPhiNV_Ca[[#Headers],[Ca]:[Kết thúc]]),0))),
SUM(_xlfn._xlws.FILTER(Table_BangLuong_TyLeTangCa[Tỷ lệ],
(Table_BangLuong_TyLeTangCa[Ngày] = "Thường") *
(Table_BangLuong_TyLeTangCa[Giờ min]&lt;=$AA54) *
(Table_BangLuong_TyLeTangCa[Giờ max]&gt;$AA54)
)),0)
)),
IF(AV$4 &lt; AV$5,
IF($AA54-$Z$4&lt;AV$4,0,
IF($AA54&gt;AV$5,0,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AV$5,$AA54 &lt; AV$4),0,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W54" s="18" cm="1">
        <f t="array" ref="AW54" xml:space="preserve">
IFERROR(
IF(AW$1="",0,
IF(AND(
$AA54&gt;=VLOOKUP(AW$6, Table_ChiPhiNV_Ca[], COUNTA(Table_ChiPhiNV_Ca[[#Headers],[Ca]:[Bắt đầu nghỉ]]),0),
$AA54&lt;VLOOKUP(AW$6, Table_ChiPhiNV_Ca[], COUNTA(Table_ChiPhiNV_Ca[[#Headers],[Ca]:[Kết thúc nghỉ]]),0)
),0,
IF(NOT(ISBLANK(AW$3)),
IF(ISBLANK(AW$7),0,
IF(AW$4 &lt; AW$5,
IF($AA54-$Z$4&lt;AW$4,0,
IF($AA54&gt;AW$5,0,
SUM(_xlfn._xlws.FILTER(Table_BangLuong_TyLeTangCa[Tỷ lệ],
(Table_BangLuong_TyLeTangCa[Ngày] = AW$3) *
(Table_BangLuong_TyLeTangCa[Giờ min]&lt;=$AA54) *
(Table_BangLuong_TyLeTangCa[Giờ max]&gt;$AA54)
)))),
IF(AND($AA54-$Z$4 &gt;= AW$5,$AA54 &lt; AW$4),0,
SUM(_xlfn._xlws.FILTER(Table_BangLuong_TyLeTangCa[Tỷ lệ],
(Table_BangLuong_TyLeTangCa[Ngày] = AW$3) *
(Table_BangLuong_TyLeTangCa[Giờ min]&lt;=$AA54) *
(Table_BangLuong_TyLeTangCa[Giờ max]&gt;$AA54)
))))
),
IF(ISBLANK(AW$7),
IF(VLOOKUP(AW$6, Table_ChiPhiNV_Ca[], COUNTA(Table_ChiPhiNV_Ca[[#Headers],[Ca]:[Kết thúc]]),0)&gt; VLOOKUP(AW$6, Table_ChiPhiNV_Ca[], COUNTA(Table_ChiPhiNV_Ca[[#Headers],[Ca]:[Bắt đầu]]),0),
IF($AA54-$Z$4&lt;MAX(AW$4,VLOOKUP(AW$6, Table_ChiPhiNV_Ca[], COUNTA(Table_ChiPhiNV_Ca[[#Headers],[Ca]:[Bắt đầu]]),0)),0,
IF($AA54&gt;MIN(AW$5,VLOOKUP(AW$6, Table_ChiPhiNV_Ca[], COUNTA(Table_ChiPhiNV_Ca[[#Headers],[Ca]:[Kết thúc]]),0)),0,
SUM(_xlfn._xlws.FILTER(Table_BangLuong_TyLeTangCa[Tỷ lệ],
(Table_BangLuong_TyLeTangCa[Ngày] = "Thường") *
(Table_BangLuong_TyLeTangCa[Giờ min]&lt;=$AA54) *
(Table_BangLuong_TyLeTangCa[Giờ max]&gt;$AA54)
)))),
IF(AW$4 &gt; AW$5,
IF(
AND(
$AA54-$Z$4&lt;MAX(AW$4,VLOOKUP(AW$6, Table_ChiPhiNV_Ca[], COUNTA(Table_ChiPhiNV_Ca[[#Headers],[Ca]:[Bắt đầu]]),0)),
$AA54&gt;MIN(AW$5,VLOOKUP(AW$6, Table_ChiPhiNV_Ca[], COUNTA(Table_ChiPhiNV_Ca[[#Headers],[Ca]:[Kết thúc]]),0))),0,
SUM(_xlfn._xlws.FILTER(Table_BangLuong_TyLeTangCa[Tỷ lệ],
(Table_BangLuong_TyLeTangCa[Ngày] = "Thường") *
(Table_BangLuong_TyLeTangCa[Giờ min]&lt;=$AA54) *
(Table_BangLuong_TyLeTangCa[Giờ max]&gt;$AA54)
))),
IF(
AND(
$AA54-$Z$4&gt;=MAX(AW$4,VLOOKUP(AW$6, Table_ChiPhiNV_Ca[], COUNTA(Table_ChiPhiNV_Ca[[#Headers],[Ca]:[Bắt đầu]]),0)),
$AA54&lt;MIN(AW$5,VLOOKUP(AW$6, Table_ChiPhiNV_Ca[], COUNTA(Table_ChiPhiNV_Ca[[#Headers],[Ca]:[Kết thúc]]),0))),
SUM(_xlfn._xlws.FILTER(Table_BangLuong_TyLeTangCa[Tỷ lệ],
(Table_BangLuong_TyLeTangCa[Ngày] = "Thường") *
(Table_BangLuong_TyLeTangCa[Giờ min]&lt;=$AA54) *
(Table_BangLuong_TyLeTangCa[Giờ max]&gt;$AA54)
)),0)
)),
IF(AW$4 &lt; AW$5,
IF($AA54-$Z$4&lt;AW$4,0,
IF($AA54&gt;AW$5,0,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AW$5,$AA54 &lt; AW$4),0,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X54" s="18" cm="1">
        <f t="array" ref="AX54" xml:space="preserve">
IFERROR(
IF(AX$1="",0,
IF(AND(
$AA54&gt;=VLOOKUP(AX$6, Table_ChiPhiNV_Ca[], COUNTA(Table_ChiPhiNV_Ca[[#Headers],[Ca]:[Bắt đầu nghỉ]]),0),
$AA54&lt;VLOOKUP(AX$6, Table_ChiPhiNV_Ca[], COUNTA(Table_ChiPhiNV_Ca[[#Headers],[Ca]:[Kết thúc nghỉ]]),0)
),0,
IF(NOT(ISBLANK(AX$3)),
IF(ISBLANK(AX$7),0,
IF(AX$4 &lt; AX$5,
IF($AA54-$Z$4&lt;AX$4,0,
IF($AA54&gt;AX$5,0,
SUM(_xlfn._xlws.FILTER(Table_BangLuong_TyLeTangCa[Tỷ lệ],
(Table_BangLuong_TyLeTangCa[Ngày] = AX$3) *
(Table_BangLuong_TyLeTangCa[Giờ min]&lt;=$AA54) *
(Table_BangLuong_TyLeTangCa[Giờ max]&gt;$AA54)
)))),
IF(AND($AA54-$Z$4 &gt;= AX$5,$AA54 &lt; AX$4),0,
SUM(_xlfn._xlws.FILTER(Table_BangLuong_TyLeTangCa[Tỷ lệ],
(Table_BangLuong_TyLeTangCa[Ngày] = AX$3) *
(Table_BangLuong_TyLeTangCa[Giờ min]&lt;=$AA54) *
(Table_BangLuong_TyLeTangCa[Giờ max]&gt;$AA54)
))))
),
IF(ISBLANK(AX$7),
IF(VLOOKUP(AX$6, Table_ChiPhiNV_Ca[], COUNTA(Table_ChiPhiNV_Ca[[#Headers],[Ca]:[Kết thúc]]),0)&gt; VLOOKUP(AX$6, Table_ChiPhiNV_Ca[], COUNTA(Table_ChiPhiNV_Ca[[#Headers],[Ca]:[Bắt đầu]]),0),
IF($AA54-$Z$4&lt;MAX(AX$4,VLOOKUP(AX$6, Table_ChiPhiNV_Ca[], COUNTA(Table_ChiPhiNV_Ca[[#Headers],[Ca]:[Bắt đầu]]),0)),0,
IF($AA54&gt;MIN(AX$5,VLOOKUP(AX$6, Table_ChiPhiNV_Ca[], COUNTA(Table_ChiPhiNV_Ca[[#Headers],[Ca]:[Kết thúc]]),0)),0,
SUM(_xlfn._xlws.FILTER(Table_BangLuong_TyLeTangCa[Tỷ lệ],
(Table_BangLuong_TyLeTangCa[Ngày] = "Thường") *
(Table_BangLuong_TyLeTangCa[Giờ min]&lt;=$AA54) *
(Table_BangLuong_TyLeTangCa[Giờ max]&gt;$AA54)
)))),
IF(AX$4 &gt; AX$5,
IF(
AND(
$AA54-$Z$4&lt;MAX(AX$4,VLOOKUP(AX$6, Table_ChiPhiNV_Ca[], COUNTA(Table_ChiPhiNV_Ca[[#Headers],[Ca]:[Bắt đầu]]),0)),
$AA54&gt;MIN(AX$5,VLOOKUP(AX$6, Table_ChiPhiNV_Ca[], COUNTA(Table_ChiPhiNV_Ca[[#Headers],[Ca]:[Kết thúc]]),0))),0,
SUM(_xlfn._xlws.FILTER(Table_BangLuong_TyLeTangCa[Tỷ lệ],
(Table_BangLuong_TyLeTangCa[Ngày] = "Thường") *
(Table_BangLuong_TyLeTangCa[Giờ min]&lt;=$AA54) *
(Table_BangLuong_TyLeTangCa[Giờ max]&gt;$AA54)
))),
IF(
AND(
$AA54-$Z$4&gt;=MAX(AX$4,VLOOKUP(AX$6, Table_ChiPhiNV_Ca[], COUNTA(Table_ChiPhiNV_Ca[[#Headers],[Ca]:[Bắt đầu]]),0)),
$AA54&lt;MIN(AX$5,VLOOKUP(AX$6, Table_ChiPhiNV_Ca[], COUNTA(Table_ChiPhiNV_Ca[[#Headers],[Ca]:[Kết thúc]]),0))),
SUM(_xlfn._xlws.FILTER(Table_BangLuong_TyLeTangCa[Tỷ lệ],
(Table_BangLuong_TyLeTangCa[Ngày] = "Thường") *
(Table_BangLuong_TyLeTangCa[Giờ min]&lt;=$AA54) *
(Table_BangLuong_TyLeTangCa[Giờ max]&gt;$AA54)
)),0)
)),
IF(AX$4 &lt; AX$5,
IF($AA54-$Z$4&lt;AX$4,0,
IF($AA54&gt;AX$5,0,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AX$5,$AA54 &lt; AX$4),0,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Y54" s="18" cm="1">
        <f t="array" ref="AY54" xml:space="preserve">
IFERROR(
IF(AY$1="",0,
IF(AND(
$AA54&gt;=VLOOKUP(AY$6, Table_ChiPhiNV_Ca[], COUNTA(Table_ChiPhiNV_Ca[[#Headers],[Ca]:[Bắt đầu nghỉ]]),0),
$AA54&lt;VLOOKUP(AY$6, Table_ChiPhiNV_Ca[], COUNTA(Table_ChiPhiNV_Ca[[#Headers],[Ca]:[Kết thúc nghỉ]]),0)
),0,
IF(NOT(ISBLANK(AY$3)),
IF(ISBLANK(AY$7),0,
IF(AY$4 &lt; AY$5,
IF($AA54-$Z$4&lt;AY$4,0,
IF($AA54&gt;AY$5,0,
SUM(_xlfn._xlws.FILTER(Table_BangLuong_TyLeTangCa[Tỷ lệ],
(Table_BangLuong_TyLeTangCa[Ngày] = AY$3) *
(Table_BangLuong_TyLeTangCa[Giờ min]&lt;=$AA54) *
(Table_BangLuong_TyLeTangCa[Giờ max]&gt;$AA54)
)))),
IF(AND($AA54-$Z$4 &gt;= AY$5,$AA54 &lt; AY$4),0,
SUM(_xlfn._xlws.FILTER(Table_BangLuong_TyLeTangCa[Tỷ lệ],
(Table_BangLuong_TyLeTangCa[Ngày] = AY$3) *
(Table_BangLuong_TyLeTangCa[Giờ min]&lt;=$AA54) *
(Table_BangLuong_TyLeTangCa[Giờ max]&gt;$AA54)
))))
),
IF(ISBLANK(AY$7),
IF(VLOOKUP(AY$6, Table_ChiPhiNV_Ca[], COUNTA(Table_ChiPhiNV_Ca[[#Headers],[Ca]:[Kết thúc]]),0)&gt; VLOOKUP(AY$6, Table_ChiPhiNV_Ca[], COUNTA(Table_ChiPhiNV_Ca[[#Headers],[Ca]:[Bắt đầu]]),0),
IF($AA54-$Z$4&lt;MAX(AY$4,VLOOKUP(AY$6, Table_ChiPhiNV_Ca[], COUNTA(Table_ChiPhiNV_Ca[[#Headers],[Ca]:[Bắt đầu]]),0)),0,
IF($AA54&gt;MIN(AY$5,VLOOKUP(AY$6, Table_ChiPhiNV_Ca[], COUNTA(Table_ChiPhiNV_Ca[[#Headers],[Ca]:[Kết thúc]]),0)),0,
SUM(_xlfn._xlws.FILTER(Table_BangLuong_TyLeTangCa[Tỷ lệ],
(Table_BangLuong_TyLeTangCa[Ngày] = "Thường") *
(Table_BangLuong_TyLeTangCa[Giờ min]&lt;=$AA54) *
(Table_BangLuong_TyLeTangCa[Giờ max]&gt;$AA54)
)))),
IF(AY$4 &gt; AY$5,
IF(
AND(
$AA54-$Z$4&lt;MAX(AY$4,VLOOKUP(AY$6, Table_ChiPhiNV_Ca[], COUNTA(Table_ChiPhiNV_Ca[[#Headers],[Ca]:[Bắt đầu]]),0)),
$AA54&gt;MIN(AY$5,VLOOKUP(AY$6, Table_ChiPhiNV_Ca[], COUNTA(Table_ChiPhiNV_Ca[[#Headers],[Ca]:[Kết thúc]]),0))),0,
SUM(_xlfn._xlws.FILTER(Table_BangLuong_TyLeTangCa[Tỷ lệ],
(Table_BangLuong_TyLeTangCa[Ngày] = "Thường") *
(Table_BangLuong_TyLeTangCa[Giờ min]&lt;=$AA54) *
(Table_BangLuong_TyLeTangCa[Giờ max]&gt;$AA54)
))),
IF(
AND(
$AA54-$Z$4&gt;=MAX(AY$4,VLOOKUP(AY$6, Table_ChiPhiNV_Ca[], COUNTA(Table_ChiPhiNV_Ca[[#Headers],[Ca]:[Bắt đầu]]),0)),
$AA54&lt;MIN(AY$5,VLOOKUP(AY$6, Table_ChiPhiNV_Ca[], COUNTA(Table_ChiPhiNV_Ca[[#Headers],[Ca]:[Kết thúc]]),0))),
SUM(_xlfn._xlws.FILTER(Table_BangLuong_TyLeTangCa[Tỷ lệ],
(Table_BangLuong_TyLeTangCa[Ngày] = "Thường") *
(Table_BangLuong_TyLeTangCa[Giờ min]&lt;=$AA54) *
(Table_BangLuong_TyLeTangCa[Giờ max]&gt;$AA54)
)),0)
)),
IF(AY$4 &lt; AY$5,
IF($AA54-$Z$4&lt;AY$4,0,
IF($AA54&gt;AY$5,0,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AY$5,$AA54 &lt; AY$4),0,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Z54" s="18" cm="1">
        <f t="array" ref="AZ54" xml:space="preserve">
IFERROR(
IF(AZ$1="",0,
IF(AND(
$AA54&gt;=VLOOKUP(AZ$6, Table_ChiPhiNV_Ca[], COUNTA(Table_ChiPhiNV_Ca[[#Headers],[Ca]:[Bắt đầu nghỉ]]),0),
$AA54&lt;VLOOKUP(AZ$6, Table_ChiPhiNV_Ca[], COUNTA(Table_ChiPhiNV_Ca[[#Headers],[Ca]:[Kết thúc nghỉ]]),0)
),0,
IF(NOT(ISBLANK(AZ$3)),
IF(ISBLANK(AZ$7),0,
IF(AZ$4 &lt; AZ$5,
IF($AA54-$Z$4&lt;AZ$4,0,
IF($AA54&gt;AZ$5,0,
SUM(_xlfn._xlws.FILTER(Table_BangLuong_TyLeTangCa[Tỷ lệ],
(Table_BangLuong_TyLeTangCa[Ngày] = AZ$3) *
(Table_BangLuong_TyLeTangCa[Giờ min]&lt;=$AA54) *
(Table_BangLuong_TyLeTangCa[Giờ max]&gt;$AA54)
)))),
IF(AND($AA54-$Z$4 &gt;= AZ$5,$AA54 &lt; AZ$4),0,
SUM(_xlfn._xlws.FILTER(Table_BangLuong_TyLeTangCa[Tỷ lệ],
(Table_BangLuong_TyLeTangCa[Ngày] = AZ$3) *
(Table_BangLuong_TyLeTangCa[Giờ min]&lt;=$AA54) *
(Table_BangLuong_TyLeTangCa[Giờ max]&gt;$AA54)
))))
),
IF(ISBLANK(AZ$7),
IF(VLOOKUP(AZ$6, Table_ChiPhiNV_Ca[], COUNTA(Table_ChiPhiNV_Ca[[#Headers],[Ca]:[Kết thúc]]),0)&gt; VLOOKUP(AZ$6, Table_ChiPhiNV_Ca[], COUNTA(Table_ChiPhiNV_Ca[[#Headers],[Ca]:[Bắt đầu]]),0),
IF($AA54-$Z$4&lt;MAX(AZ$4,VLOOKUP(AZ$6, Table_ChiPhiNV_Ca[], COUNTA(Table_ChiPhiNV_Ca[[#Headers],[Ca]:[Bắt đầu]]),0)),0,
IF($AA54&gt;MIN(AZ$5,VLOOKUP(AZ$6, Table_ChiPhiNV_Ca[], COUNTA(Table_ChiPhiNV_Ca[[#Headers],[Ca]:[Kết thúc]]),0)),0,
SUM(_xlfn._xlws.FILTER(Table_BangLuong_TyLeTangCa[Tỷ lệ],
(Table_BangLuong_TyLeTangCa[Ngày] = "Thường") *
(Table_BangLuong_TyLeTangCa[Giờ min]&lt;=$AA54) *
(Table_BangLuong_TyLeTangCa[Giờ max]&gt;$AA54)
)))),
IF(AZ$4 &gt; AZ$5,
IF(
AND(
$AA54-$Z$4&lt;MAX(AZ$4,VLOOKUP(AZ$6, Table_ChiPhiNV_Ca[], COUNTA(Table_ChiPhiNV_Ca[[#Headers],[Ca]:[Bắt đầu]]),0)),
$AA54&gt;MIN(AZ$5,VLOOKUP(AZ$6, Table_ChiPhiNV_Ca[], COUNTA(Table_ChiPhiNV_Ca[[#Headers],[Ca]:[Kết thúc]]),0))),0,
SUM(_xlfn._xlws.FILTER(Table_BangLuong_TyLeTangCa[Tỷ lệ],
(Table_BangLuong_TyLeTangCa[Ngày] = "Thường") *
(Table_BangLuong_TyLeTangCa[Giờ min]&lt;=$AA54) *
(Table_BangLuong_TyLeTangCa[Giờ max]&gt;$AA54)
))),
IF(
AND(
$AA54-$Z$4&gt;=MAX(AZ$4,VLOOKUP(AZ$6, Table_ChiPhiNV_Ca[], COUNTA(Table_ChiPhiNV_Ca[[#Headers],[Ca]:[Bắt đầu]]),0)),
$AA54&lt;MIN(AZ$5,VLOOKUP(AZ$6, Table_ChiPhiNV_Ca[], COUNTA(Table_ChiPhiNV_Ca[[#Headers],[Ca]:[Kết thúc]]),0))),
SUM(_xlfn._xlws.FILTER(Table_BangLuong_TyLeTangCa[Tỷ lệ],
(Table_BangLuong_TyLeTangCa[Ngày] = "Thường") *
(Table_BangLuong_TyLeTangCa[Giờ min]&lt;=$AA54) *
(Table_BangLuong_TyLeTangCa[Giờ max]&gt;$AA54)
)),0)
)),
IF(AZ$4 &lt; AZ$5,
IF($AA54-$Z$4&lt;AZ$4,0,
IF($AA54&gt;AZ$5,0,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AZ$5,$AA54 &lt; AZ$4),0,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A54" s="18" cm="1">
        <f t="array" ref="BA54" xml:space="preserve">
IFERROR(
IF(BA$1="",0,
IF(AND(
$AA54&gt;=VLOOKUP(BA$6, Table_ChiPhiNV_Ca[], COUNTA(Table_ChiPhiNV_Ca[[#Headers],[Ca]:[Bắt đầu nghỉ]]),0),
$AA54&lt;VLOOKUP(BA$6, Table_ChiPhiNV_Ca[], COUNTA(Table_ChiPhiNV_Ca[[#Headers],[Ca]:[Kết thúc nghỉ]]),0)
),0,
IF(NOT(ISBLANK(BA$3)),
IF(ISBLANK(BA$7),0,
IF(BA$4 &lt; BA$5,
IF($AA54-$Z$4&lt;BA$4,0,
IF($AA54&gt;BA$5,0,
SUM(_xlfn._xlws.FILTER(Table_BangLuong_TyLeTangCa[Tỷ lệ],
(Table_BangLuong_TyLeTangCa[Ngày] = BA$3) *
(Table_BangLuong_TyLeTangCa[Giờ min]&lt;=$AA54) *
(Table_BangLuong_TyLeTangCa[Giờ max]&gt;$AA54)
)))),
IF(AND($AA54-$Z$4 &gt;= BA$5,$AA54 &lt; BA$4),0,
SUM(_xlfn._xlws.FILTER(Table_BangLuong_TyLeTangCa[Tỷ lệ],
(Table_BangLuong_TyLeTangCa[Ngày] = BA$3) *
(Table_BangLuong_TyLeTangCa[Giờ min]&lt;=$AA54) *
(Table_BangLuong_TyLeTangCa[Giờ max]&gt;$AA54)
))))
),
IF(ISBLANK(BA$7),
IF(VLOOKUP(BA$6, Table_ChiPhiNV_Ca[], COUNTA(Table_ChiPhiNV_Ca[[#Headers],[Ca]:[Kết thúc]]),0)&gt; VLOOKUP(BA$6, Table_ChiPhiNV_Ca[], COUNTA(Table_ChiPhiNV_Ca[[#Headers],[Ca]:[Bắt đầu]]),0),
IF($AA54-$Z$4&lt;MAX(BA$4,VLOOKUP(BA$6, Table_ChiPhiNV_Ca[], COUNTA(Table_ChiPhiNV_Ca[[#Headers],[Ca]:[Bắt đầu]]),0)),0,
IF($AA54&gt;MIN(BA$5,VLOOKUP(BA$6, Table_ChiPhiNV_Ca[], COUNTA(Table_ChiPhiNV_Ca[[#Headers],[Ca]:[Kết thúc]]),0)),0,
SUM(_xlfn._xlws.FILTER(Table_BangLuong_TyLeTangCa[Tỷ lệ],
(Table_BangLuong_TyLeTangCa[Ngày] = "Thường") *
(Table_BangLuong_TyLeTangCa[Giờ min]&lt;=$AA54) *
(Table_BangLuong_TyLeTangCa[Giờ max]&gt;$AA54)
)))),
IF(BA$4 &gt; BA$5,
IF(
AND(
$AA54-$Z$4&lt;MAX(BA$4,VLOOKUP(BA$6, Table_ChiPhiNV_Ca[], COUNTA(Table_ChiPhiNV_Ca[[#Headers],[Ca]:[Bắt đầu]]),0)),
$AA54&gt;MIN(BA$5,VLOOKUP(BA$6, Table_ChiPhiNV_Ca[], COUNTA(Table_ChiPhiNV_Ca[[#Headers],[Ca]:[Kết thúc]]),0))),0,
SUM(_xlfn._xlws.FILTER(Table_BangLuong_TyLeTangCa[Tỷ lệ],
(Table_BangLuong_TyLeTangCa[Ngày] = "Thường") *
(Table_BangLuong_TyLeTangCa[Giờ min]&lt;=$AA54) *
(Table_BangLuong_TyLeTangCa[Giờ max]&gt;$AA54)
))),
IF(
AND(
$AA54-$Z$4&gt;=MAX(BA$4,VLOOKUP(BA$6, Table_ChiPhiNV_Ca[], COUNTA(Table_ChiPhiNV_Ca[[#Headers],[Ca]:[Bắt đầu]]),0)),
$AA54&lt;MIN(BA$5,VLOOKUP(BA$6, Table_ChiPhiNV_Ca[], COUNTA(Table_ChiPhiNV_Ca[[#Headers],[Ca]:[Kết thúc]]),0))),
SUM(_xlfn._xlws.FILTER(Table_BangLuong_TyLeTangCa[Tỷ lệ],
(Table_BangLuong_TyLeTangCa[Ngày] = "Thường") *
(Table_BangLuong_TyLeTangCa[Giờ min]&lt;=$AA54) *
(Table_BangLuong_TyLeTangCa[Giờ max]&gt;$AA54)
)),0)
)),
IF(BA$4 &lt; BA$5,
IF($AA54-$Z$4&lt;BA$4,0,
IF($AA54&gt;BA$5,0,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BA$5,$AA54 &lt; BA$4),0,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B54" s="18" cm="1">
        <f t="array" ref="BB54" xml:space="preserve">
IFERROR(
IF(BB$1="",0,
IF(AND(
$AA54&gt;=VLOOKUP(BB$6, Table_ChiPhiNV_Ca[], COUNTA(Table_ChiPhiNV_Ca[[#Headers],[Ca]:[Bắt đầu nghỉ]]),0),
$AA54&lt;VLOOKUP(BB$6, Table_ChiPhiNV_Ca[], COUNTA(Table_ChiPhiNV_Ca[[#Headers],[Ca]:[Kết thúc nghỉ]]),0)
),0,
IF(NOT(ISBLANK(BB$3)),
IF(ISBLANK(BB$7),0,
IF(BB$4 &lt; BB$5,
IF($AA54-$Z$4&lt;BB$4,0,
IF($AA54&gt;BB$5,0,
SUM(_xlfn._xlws.FILTER(Table_BangLuong_TyLeTangCa[Tỷ lệ],
(Table_BangLuong_TyLeTangCa[Ngày] = BB$3) *
(Table_BangLuong_TyLeTangCa[Giờ min]&lt;=$AA54) *
(Table_BangLuong_TyLeTangCa[Giờ max]&gt;$AA54)
)))),
IF(AND($AA54-$Z$4 &gt;= BB$5,$AA54 &lt; BB$4),0,
SUM(_xlfn._xlws.FILTER(Table_BangLuong_TyLeTangCa[Tỷ lệ],
(Table_BangLuong_TyLeTangCa[Ngày] = BB$3) *
(Table_BangLuong_TyLeTangCa[Giờ min]&lt;=$AA54) *
(Table_BangLuong_TyLeTangCa[Giờ max]&gt;$AA54)
))))
),
IF(ISBLANK(BB$7),
IF(VLOOKUP(BB$6, Table_ChiPhiNV_Ca[], COUNTA(Table_ChiPhiNV_Ca[[#Headers],[Ca]:[Kết thúc]]),0)&gt; VLOOKUP(BB$6, Table_ChiPhiNV_Ca[], COUNTA(Table_ChiPhiNV_Ca[[#Headers],[Ca]:[Bắt đầu]]),0),
IF($AA54-$Z$4&lt;MAX(BB$4,VLOOKUP(BB$6, Table_ChiPhiNV_Ca[], COUNTA(Table_ChiPhiNV_Ca[[#Headers],[Ca]:[Bắt đầu]]),0)),0,
IF($AA54&gt;MIN(BB$5,VLOOKUP(BB$6, Table_ChiPhiNV_Ca[], COUNTA(Table_ChiPhiNV_Ca[[#Headers],[Ca]:[Kết thúc]]),0)),0,
SUM(_xlfn._xlws.FILTER(Table_BangLuong_TyLeTangCa[Tỷ lệ],
(Table_BangLuong_TyLeTangCa[Ngày] = "Thường") *
(Table_BangLuong_TyLeTangCa[Giờ min]&lt;=$AA54) *
(Table_BangLuong_TyLeTangCa[Giờ max]&gt;$AA54)
)))),
IF(BB$4 &gt; BB$5,
IF(
AND(
$AA54-$Z$4&lt;MAX(BB$4,VLOOKUP(BB$6, Table_ChiPhiNV_Ca[], COUNTA(Table_ChiPhiNV_Ca[[#Headers],[Ca]:[Bắt đầu]]),0)),
$AA54&gt;MIN(BB$5,VLOOKUP(BB$6, Table_ChiPhiNV_Ca[], COUNTA(Table_ChiPhiNV_Ca[[#Headers],[Ca]:[Kết thúc]]),0))),0,
SUM(_xlfn._xlws.FILTER(Table_BangLuong_TyLeTangCa[Tỷ lệ],
(Table_BangLuong_TyLeTangCa[Ngày] = "Thường") *
(Table_BangLuong_TyLeTangCa[Giờ min]&lt;=$AA54) *
(Table_BangLuong_TyLeTangCa[Giờ max]&gt;$AA54)
))),
IF(
AND(
$AA54-$Z$4&gt;=MAX(BB$4,VLOOKUP(BB$6, Table_ChiPhiNV_Ca[], COUNTA(Table_ChiPhiNV_Ca[[#Headers],[Ca]:[Bắt đầu]]),0)),
$AA54&lt;MIN(BB$5,VLOOKUP(BB$6, Table_ChiPhiNV_Ca[], COUNTA(Table_ChiPhiNV_Ca[[#Headers],[Ca]:[Kết thúc]]),0))),
SUM(_xlfn._xlws.FILTER(Table_BangLuong_TyLeTangCa[Tỷ lệ],
(Table_BangLuong_TyLeTangCa[Ngày] = "Thường") *
(Table_BangLuong_TyLeTangCa[Giờ min]&lt;=$AA54) *
(Table_BangLuong_TyLeTangCa[Giờ max]&gt;$AA54)
)),0)
)),
IF(BB$4 &lt; BB$5,
IF($AA54-$Z$4&lt;BB$4,0,
IF($AA54&gt;BB$5,0,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BB$5,$AA54 &lt; BB$4),0,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C54" s="18" cm="1">
        <f t="array" ref="BC54" xml:space="preserve">
IFERROR(
IF(BC$1="",0,
IF(AND(
$AA54&gt;=VLOOKUP(BC$6, Table_ChiPhiNV_Ca[], COUNTA(Table_ChiPhiNV_Ca[[#Headers],[Ca]:[Bắt đầu nghỉ]]),0),
$AA54&lt;VLOOKUP(BC$6, Table_ChiPhiNV_Ca[], COUNTA(Table_ChiPhiNV_Ca[[#Headers],[Ca]:[Kết thúc nghỉ]]),0)
),0,
IF(NOT(ISBLANK(BC$3)),
IF(ISBLANK(BC$7),0,
IF(BC$4 &lt; BC$5,
IF($AA54-$Z$4&lt;BC$4,0,
IF($AA54&gt;BC$5,0,
SUM(_xlfn._xlws.FILTER(Table_BangLuong_TyLeTangCa[Tỷ lệ],
(Table_BangLuong_TyLeTangCa[Ngày] = BC$3) *
(Table_BangLuong_TyLeTangCa[Giờ min]&lt;=$AA54) *
(Table_BangLuong_TyLeTangCa[Giờ max]&gt;$AA54)
)))),
IF(AND($AA54-$Z$4 &gt;= BC$5,$AA54 &lt; BC$4),0,
SUM(_xlfn._xlws.FILTER(Table_BangLuong_TyLeTangCa[Tỷ lệ],
(Table_BangLuong_TyLeTangCa[Ngày] = BC$3) *
(Table_BangLuong_TyLeTangCa[Giờ min]&lt;=$AA54) *
(Table_BangLuong_TyLeTangCa[Giờ max]&gt;$AA54)
))))
),
IF(ISBLANK(BC$7),
IF(VLOOKUP(BC$6, Table_ChiPhiNV_Ca[], COUNTA(Table_ChiPhiNV_Ca[[#Headers],[Ca]:[Kết thúc]]),0)&gt; VLOOKUP(BC$6, Table_ChiPhiNV_Ca[], COUNTA(Table_ChiPhiNV_Ca[[#Headers],[Ca]:[Bắt đầu]]),0),
IF($AA54-$Z$4&lt;MAX(BC$4,VLOOKUP(BC$6, Table_ChiPhiNV_Ca[], COUNTA(Table_ChiPhiNV_Ca[[#Headers],[Ca]:[Bắt đầu]]),0)),0,
IF($AA54&gt;MIN(BC$5,VLOOKUP(BC$6, Table_ChiPhiNV_Ca[], COUNTA(Table_ChiPhiNV_Ca[[#Headers],[Ca]:[Kết thúc]]),0)),0,
SUM(_xlfn._xlws.FILTER(Table_BangLuong_TyLeTangCa[Tỷ lệ],
(Table_BangLuong_TyLeTangCa[Ngày] = "Thường") *
(Table_BangLuong_TyLeTangCa[Giờ min]&lt;=$AA54) *
(Table_BangLuong_TyLeTangCa[Giờ max]&gt;$AA54)
)))),
IF(BC$4 &gt; BC$5,
IF(
AND(
$AA54-$Z$4&lt;MAX(BC$4,VLOOKUP(BC$6, Table_ChiPhiNV_Ca[], COUNTA(Table_ChiPhiNV_Ca[[#Headers],[Ca]:[Bắt đầu]]),0)),
$AA54&gt;MIN(BC$5,VLOOKUP(BC$6, Table_ChiPhiNV_Ca[], COUNTA(Table_ChiPhiNV_Ca[[#Headers],[Ca]:[Kết thúc]]),0))),0,
SUM(_xlfn._xlws.FILTER(Table_BangLuong_TyLeTangCa[Tỷ lệ],
(Table_BangLuong_TyLeTangCa[Ngày] = "Thường") *
(Table_BangLuong_TyLeTangCa[Giờ min]&lt;=$AA54) *
(Table_BangLuong_TyLeTangCa[Giờ max]&gt;$AA54)
))),
IF(
AND(
$AA54-$Z$4&gt;=MAX(BC$4,VLOOKUP(BC$6, Table_ChiPhiNV_Ca[], COUNTA(Table_ChiPhiNV_Ca[[#Headers],[Ca]:[Bắt đầu]]),0)),
$AA54&lt;MIN(BC$5,VLOOKUP(BC$6, Table_ChiPhiNV_Ca[], COUNTA(Table_ChiPhiNV_Ca[[#Headers],[Ca]:[Kết thúc]]),0))),
SUM(_xlfn._xlws.FILTER(Table_BangLuong_TyLeTangCa[Tỷ lệ],
(Table_BangLuong_TyLeTangCa[Ngày] = "Thường") *
(Table_BangLuong_TyLeTangCa[Giờ min]&lt;=$AA54) *
(Table_BangLuong_TyLeTangCa[Giờ max]&gt;$AA54)
)),0)
)),
IF(BC$4 &lt; BC$5,
IF($AA54-$Z$4&lt;BC$4,0,
IF($AA54&gt;BC$5,0,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BC$5,$AA54 &lt; BC$4),0,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D54" s="18" cm="1">
        <f t="array" ref="BD54" xml:space="preserve">
IFERROR(
IF(BD$1="",0,
IF(AND(
$AA54&gt;=VLOOKUP(BD$6, Table_ChiPhiNV_Ca[], COUNTA(Table_ChiPhiNV_Ca[[#Headers],[Ca]:[Bắt đầu nghỉ]]),0),
$AA54&lt;VLOOKUP(BD$6, Table_ChiPhiNV_Ca[], COUNTA(Table_ChiPhiNV_Ca[[#Headers],[Ca]:[Kết thúc nghỉ]]),0)
),0,
IF(NOT(ISBLANK(BD$3)),
IF(ISBLANK(BD$7),0,
IF(BD$4 &lt; BD$5,
IF($AA54-$Z$4&lt;BD$4,0,
IF($AA54&gt;BD$5,0,
SUM(_xlfn._xlws.FILTER(Table_BangLuong_TyLeTangCa[Tỷ lệ],
(Table_BangLuong_TyLeTangCa[Ngày] = BD$3) *
(Table_BangLuong_TyLeTangCa[Giờ min]&lt;=$AA54) *
(Table_BangLuong_TyLeTangCa[Giờ max]&gt;$AA54)
)))),
IF(AND($AA54-$Z$4 &gt;= BD$5,$AA54 &lt; BD$4),0,
SUM(_xlfn._xlws.FILTER(Table_BangLuong_TyLeTangCa[Tỷ lệ],
(Table_BangLuong_TyLeTangCa[Ngày] = BD$3) *
(Table_BangLuong_TyLeTangCa[Giờ min]&lt;=$AA54) *
(Table_BangLuong_TyLeTangCa[Giờ max]&gt;$AA54)
))))
),
IF(ISBLANK(BD$7),
IF(VLOOKUP(BD$6, Table_ChiPhiNV_Ca[], COUNTA(Table_ChiPhiNV_Ca[[#Headers],[Ca]:[Kết thúc]]),0)&gt; VLOOKUP(BD$6, Table_ChiPhiNV_Ca[], COUNTA(Table_ChiPhiNV_Ca[[#Headers],[Ca]:[Bắt đầu]]),0),
IF($AA54-$Z$4&lt;MAX(BD$4,VLOOKUP(BD$6, Table_ChiPhiNV_Ca[], COUNTA(Table_ChiPhiNV_Ca[[#Headers],[Ca]:[Bắt đầu]]),0)),0,
IF($AA54&gt;MIN(BD$5,VLOOKUP(BD$6, Table_ChiPhiNV_Ca[], COUNTA(Table_ChiPhiNV_Ca[[#Headers],[Ca]:[Kết thúc]]),0)),0,
SUM(_xlfn._xlws.FILTER(Table_BangLuong_TyLeTangCa[Tỷ lệ],
(Table_BangLuong_TyLeTangCa[Ngày] = "Thường") *
(Table_BangLuong_TyLeTangCa[Giờ min]&lt;=$AA54) *
(Table_BangLuong_TyLeTangCa[Giờ max]&gt;$AA54)
)))),
IF(BD$4 &gt; BD$5,
IF(
AND(
$AA54-$Z$4&lt;MAX(BD$4,VLOOKUP(BD$6, Table_ChiPhiNV_Ca[], COUNTA(Table_ChiPhiNV_Ca[[#Headers],[Ca]:[Bắt đầu]]),0)),
$AA54&gt;MIN(BD$5,VLOOKUP(BD$6, Table_ChiPhiNV_Ca[], COUNTA(Table_ChiPhiNV_Ca[[#Headers],[Ca]:[Kết thúc]]),0))),0,
SUM(_xlfn._xlws.FILTER(Table_BangLuong_TyLeTangCa[Tỷ lệ],
(Table_BangLuong_TyLeTangCa[Ngày] = "Thường") *
(Table_BangLuong_TyLeTangCa[Giờ min]&lt;=$AA54) *
(Table_BangLuong_TyLeTangCa[Giờ max]&gt;$AA54)
))),
IF(
AND(
$AA54-$Z$4&gt;=MAX(BD$4,VLOOKUP(BD$6, Table_ChiPhiNV_Ca[], COUNTA(Table_ChiPhiNV_Ca[[#Headers],[Ca]:[Bắt đầu]]),0)),
$AA54&lt;MIN(BD$5,VLOOKUP(BD$6, Table_ChiPhiNV_Ca[], COUNTA(Table_ChiPhiNV_Ca[[#Headers],[Ca]:[Kết thúc]]),0))),
SUM(_xlfn._xlws.FILTER(Table_BangLuong_TyLeTangCa[Tỷ lệ],
(Table_BangLuong_TyLeTangCa[Ngày] = "Thường") *
(Table_BangLuong_TyLeTangCa[Giờ min]&lt;=$AA54) *
(Table_BangLuong_TyLeTangCa[Giờ max]&gt;$AA54)
)),0)
)),
IF(BD$4 &lt; BD$5,
IF($AA54-$Z$4&lt;BD$4,0,
IF($AA54&gt;BD$5,0,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BD$5,$AA54 &lt; BD$4),0,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E54" s="18" cm="1">
        <f t="array" ref="BE54" xml:space="preserve">
IFERROR(
IF(BE$1="",0,
IF(AND(
$AA54&gt;=VLOOKUP(BE$6, Table_ChiPhiNV_Ca[], COUNTA(Table_ChiPhiNV_Ca[[#Headers],[Ca]:[Bắt đầu nghỉ]]),0),
$AA54&lt;VLOOKUP(BE$6, Table_ChiPhiNV_Ca[], COUNTA(Table_ChiPhiNV_Ca[[#Headers],[Ca]:[Kết thúc nghỉ]]),0)
),0,
IF(NOT(ISBLANK(BE$3)),
IF(ISBLANK(BE$7),0,
IF(BE$4 &lt; BE$5,
IF($AA54-$Z$4&lt;BE$4,0,
IF($AA54&gt;BE$5,0,
SUM(_xlfn._xlws.FILTER(Table_BangLuong_TyLeTangCa[Tỷ lệ],
(Table_BangLuong_TyLeTangCa[Ngày] = BE$3) *
(Table_BangLuong_TyLeTangCa[Giờ min]&lt;=$AA54) *
(Table_BangLuong_TyLeTangCa[Giờ max]&gt;$AA54)
)))),
IF(AND($AA54-$Z$4 &gt;= BE$5,$AA54 &lt; BE$4),0,
SUM(_xlfn._xlws.FILTER(Table_BangLuong_TyLeTangCa[Tỷ lệ],
(Table_BangLuong_TyLeTangCa[Ngày] = BE$3) *
(Table_BangLuong_TyLeTangCa[Giờ min]&lt;=$AA54) *
(Table_BangLuong_TyLeTangCa[Giờ max]&gt;$AA54)
))))
),
IF(ISBLANK(BE$7),
IF(VLOOKUP(BE$6, Table_ChiPhiNV_Ca[], COUNTA(Table_ChiPhiNV_Ca[[#Headers],[Ca]:[Kết thúc]]),0)&gt; VLOOKUP(BE$6, Table_ChiPhiNV_Ca[], COUNTA(Table_ChiPhiNV_Ca[[#Headers],[Ca]:[Bắt đầu]]),0),
IF($AA54-$Z$4&lt;MAX(BE$4,VLOOKUP(BE$6, Table_ChiPhiNV_Ca[], COUNTA(Table_ChiPhiNV_Ca[[#Headers],[Ca]:[Bắt đầu]]),0)),0,
IF($AA54&gt;MIN(BE$5,VLOOKUP(BE$6, Table_ChiPhiNV_Ca[], COUNTA(Table_ChiPhiNV_Ca[[#Headers],[Ca]:[Kết thúc]]),0)),0,
SUM(_xlfn._xlws.FILTER(Table_BangLuong_TyLeTangCa[Tỷ lệ],
(Table_BangLuong_TyLeTangCa[Ngày] = "Thường") *
(Table_BangLuong_TyLeTangCa[Giờ min]&lt;=$AA54) *
(Table_BangLuong_TyLeTangCa[Giờ max]&gt;$AA54)
)))),
IF(BE$4 &gt; BE$5,
IF(
AND(
$AA54-$Z$4&lt;MAX(BE$4,VLOOKUP(BE$6, Table_ChiPhiNV_Ca[], COUNTA(Table_ChiPhiNV_Ca[[#Headers],[Ca]:[Bắt đầu]]),0)),
$AA54&gt;MIN(BE$5,VLOOKUP(BE$6, Table_ChiPhiNV_Ca[], COUNTA(Table_ChiPhiNV_Ca[[#Headers],[Ca]:[Kết thúc]]),0))),0,
SUM(_xlfn._xlws.FILTER(Table_BangLuong_TyLeTangCa[Tỷ lệ],
(Table_BangLuong_TyLeTangCa[Ngày] = "Thường") *
(Table_BangLuong_TyLeTangCa[Giờ min]&lt;=$AA54) *
(Table_BangLuong_TyLeTangCa[Giờ max]&gt;$AA54)
))),
IF(
AND(
$AA54-$Z$4&gt;=MAX(BE$4,VLOOKUP(BE$6, Table_ChiPhiNV_Ca[], COUNTA(Table_ChiPhiNV_Ca[[#Headers],[Ca]:[Bắt đầu]]),0)),
$AA54&lt;MIN(BE$5,VLOOKUP(BE$6, Table_ChiPhiNV_Ca[], COUNTA(Table_ChiPhiNV_Ca[[#Headers],[Ca]:[Kết thúc]]),0))),
SUM(_xlfn._xlws.FILTER(Table_BangLuong_TyLeTangCa[Tỷ lệ],
(Table_BangLuong_TyLeTangCa[Ngày] = "Thường") *
(Table_BangLuong_TyLeTangCa[Giờ min]&lt;=$AA54) *
(Table_BangLuong_TyLeTangCa[Giờ max]&gt;$AA54)
)),0)
)),
IF(BE$4 &lt; BE$5,
IF($AA54-$Z$4&lt;BE$4,0,
IF($AA54&gt;BE$5,0,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BE$5,$AA54 &lt; BE$4),0,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F54" s="18" cm="1">
        <f t="array" ref="BF54" xml:space="preserve">
IFERROR(
IF(BF$1="",0,
IF(AND(
$AA54&gt;=VLOOKUP(BF$6, Table_ChiPhiNV_Ca[], COUNTA(Table_ChiPhiNV_Ca[[#Headers],[Ca]:[Bắt đầu nghỉ]]),0),
$AA54&lt;VLOOKUP(BF$6, Table_ChiPhiNV_Ca[], COUNTA(Table_ChiPhiNV_Ca[[#Headers],[Ca]:[Kết thúc nghỉ]]),0)
),0,
IF(NOT(ISBLANK(BF$3)),
IF(ISBLANK(BF$7),0,
IF(BF$4 &lt; BF$5,
IF($AA54-$Z$4&lt;BF$4,0,
IF($AA54&gt;BF$5,0,
SUM(_xlfn._xlws.FILTER(Table_BangLuong_TyLeTangCa[Tỷ lệ],
(Table_BangLuong_TyLeTangCa[Ngày] = BF$3) *
(Table_BangLuong_TyLeTangCa[Giờ min]&lt;=$AA54) *
(Table_BangLuong_TyLeTangCa[Giờ max]&gt;$AA54)
)))),
IF(AND($AA54-$Z$4 &gt;= BF$5,$AA54 &lt; BF$4),0,
SUM(_xlfn._xlws.FILTER(Table_BangLuong_TyLeTangCa[Tỷ lệ],
(Table_BangLuong_TyLeTangCa[Ngày] = BF$3) *
(Table_BangLuong_TyLeTangCa[Giờ min]&lt;=$AA54) *
(Table_BangLuong_TyLeTangCa[Giờ max]&gt;$AA54)
))))
),
IF(ISBLANK(BF$7),
IF(VLOOKUP(BF$6, Table_ChiPhiNV_Ca[], COUNTA(Table_ChiPhiNV_Ca[[#Headers],[Ca]:[Kết thúc]]),0)&gt; VLOOKUP(BF$6, Table_ChiPhiNV_Ca[], COUNTA(Table_ChiPhiNV_Ca[[#Headers],[Ca]:[Bắt đầu]]),0),
IF($AA54-$Z$4&lt;MAX(BF$4,VLOOKUP(BF$6, Table_ChiPhiNV_Ca[], COUNTA(Table_ChiPhiNV_Ca[[#Headers],[Ca]:[Bắt đầu]]),0)),0,
IF($AA54&gt;MIN(BF$5,VLOOKUP(BF$6, Table_ChiPhiNV_Ca[], COUNTA(Table_ChiPhiNV_Ca[[#Headers],[Ca]:[Kết thúc]]),0)),0,
SUM(_xlfn._xlws.FILTER(Table_BangLuong_TyLeTangCa[Tỷ lệ],
(Table_BangLuong_TyLeTangCa[Ngày] = "Thường") *
(Table_BangLuong_TyLeTangCa[Giờ min]&lt;=$AA54) *
(Table_BangLuong_TyLeTangCa[Giờ max]&gt;$AA54)
)))),
IF(BF$4 &gt; BF$5,
IF(
AND(
$AA54-$Z$4&lt;MAX(BF$4,VLOOKUP(BF$6, Table_ChiPhiNV_Ca[], COUNTA(Table_ChiPhiNV_Ca[[#Headers],[Ca]:[Bắt đầu]]),0)),
$AA54&gt;MIN(BF$5,VLOOKUP(BF$6, Table_ChiPhiNV_Ca[], COUNTA(Table_ChiPhiNV_Ca[[#Headers],[Ca]:[Kết thúc]]),0))),0,
SUM(_xlfn._xlws.FILTER(Table_BangLuong_TyLeTangCa[Tỷ lệ],
(Table_BangLuong_TyLeTangCa[Ngày] = "Thường") *
(Table_BangLuong_TyLeTangCa[Giờ min]&lt;=$AA54) *
(Table_BangLuong_TyLeTangCa[Giờ max]&gt;$AA54)
))),
IF(
AND(
$AA54-$Z$4&gt;=MAX(BF$4,VLOOKUP(BF$6, Table_ChiPhiNV_Ca[], COUNTA(Table_ChiPhiNV_Ca[[#Headers],[Ca]:[Bắt đầu]]),0)),
$AA54&lt;MIN(BF$5,VLOOKUP(BF$6, Table_ChiPhiNV_Ca[], COUNTA(Table_ChiPhiNV_Ca[[#Headers],[Ca]:[Kết thúc]]),0))),
SUM(_xlfn._xlws.FILTER(Table_BangLuong_TyLeTangCa[Tỷ lệ],
(Table_BangLuong_TyLeTangCa[Ngày] = "Thường") *
(Table_BangLuong_TyLeTangCa[Giờ min]&lt;=$AA54) *
(Table_BangLuong_TyLeTangCa[Giờ max]&gt;$AA54)
)),0)
)),
IF(BF$4 &lt; BF$5,
IF($AA54-$Z$4&lt;BF$4,0,
IF($AA54&gt;BF$5,0,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BF$5,$AA54 &lt; BF$4),0,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row>
    <row r="55" spans="27:58" ht="18" customHeight="1" outlineLevel="1" x14ac:dyDescent="0.3">
      <c r="AA55" s="50">
        <v>0.95833333333333304</v>
      </c>
      <c r="AB55" s="18" cm="1">
        <f t="array" ref="AB55" xml:space="preserve">
IFERROR(
IF(AB$1="",0,
IF(AND(
$AA55&gt;=VLOOKUP(AB$6, Table_ChiPhiNV_Ca[], COUNTA(Table_ChiPhiNV_Ca[[#Headers],[Ca]:[Bắt đầu nghỉ]]),0),
$AA55&lt;VLOOKUP(AB$6, Table_ChiPhiNV_Ca[], COUNTA(Table_ChiPhiNV_Ca[[#Headers],[Ca]:[Kết thúc nghỉ]]),0)
),0,
IF(NOT(ISBLANK(AB$3)),
IF(ISBLANK(AB$7),0,
IF(AB$4 &lt; AB$5,
IF($AA55-$Z$4&lt;AB$4,0,
IF($AA55&gt;AB$5,0,
SUM(_xlfn._xlws.FILTER(Table_BangLuong_TyLeTangCa[Tỷ lệ],
(Table_BangLuong_TyLeTangCa[Ngày] = AB$3) *
(Table_BangLuong_TyLeTangCa[Giờ min]&lt;=$AA55) *
(Table_BangLuong_TyLeTangCa[Giờ max]&gt;$AA55)
)))),
IF(AND($AA55-$Z$4 &gt;= AB$5,$AA55 &lt; AB$4),0,
SUM(_xlfn._xlws.FILTER(Table_BangLuong_TyLeTangCa[Tỷ lệ],
(Table_BangLuong_TyLeTangCa[Ngày] = AB$3) *
(Table_BangLuong_TyLeTangCa[Giờ min]&lt;=$AA55) *
(Table_BangLuong_TyLeTangCa[Giờ max]&gt;$AA55)
))))
),
IF(ISBLANK(AB$7),
IF(VLOOKUP(AB$6, Table_ChiPhiNV_Ca[], COUNTA(Table_ChiPhiNV_Ca[[#Headers],[Ca]:[Kết thúc]]),0)&gt; VLOOKUP(AB$6, Table_ChiPhiNV_Ca[], COUNTA(Table_ChiPhiNV_Ca[[#Headers],[Ca]:[Bắt đầu]]),0),
IF($AA55-$Z$4&lt;MAX(AB$4,VLOOKUP(AB$6, Table_ChiPhiNV_Ca[], COUNTA(Table_ChiPhiNV_Ca[[#Headers],[Ca]:[Bắt đầu]]),0)),0,
IF($AA55&gt;MIN(AB$5,VLOOKUP(AB$6, Table_ChiPhiNV_Ca[], COUNTA(Table_ChiPhiNV_Ca[[#Headers],[Ca]:[Kết thúc]]),0)),0,
SUM(_xlfn._xlws.FILTER(Table_BangLuong_TyLeTangCa[Tỷ lệ],
(Table_BangLuong_TyLeTangCa[Ngày] = "Thường") *
(Table_BangLuong_TyLeTangCa[Giờ min]&lt;=$AA55) *
(Table_BangLuong_TyLeTangCa[Giờ max]&gt;$AA55)
)))),
IF(AB$4 &gt; AB$5,
IF(
AND(
$AA55-$Z$4&lt;MAX(AB$4,VLOOKUP(AB$6, Table_ChiPhiNV_Ca[], COUNTA(Table_ChiPhiNV_Ca[[#Headers],[Ca]:[Bắt đầu]]),0)),
$AA55&gt;MIN(AB$5,VLOOKUP(AB$6, Table_ChiPhiNV_Ca[], COUNTA(Table_ChiPhiNV_Ca[[#Headers],[Ca]:[Kết thúc]]),0))),0,
SUM(_xlfn._xlws.FILTER(Table_BangLuong_TyLeTangCa[Tỷ lệ],
(Table_BangLuong_TyLeTangCa[Ngày] = "Thường") *
(Table_BangLuong_TyLeTangCa[Giờ min]&lt;=$AA55) *
(Table_BangLuong_TyLeTangCa[Giờ max]&gt;$AA55)
))),
IF(
AND(
$AA55-$Z$4&gt;=MAX(AB$4,VLOOKUP(AB$6, Table_ChiPhiNV_Ca[], COUNTA(Table_ChiPhiNV_Ca[[#Headers],[Ca]:[Bắt đầu]]),0)),
$AA55&lt;MIN(AB$5,VLOOKUP(AB$6, Table_ChiPhiNV_Ca[], COUNTA(Table_ChiPhiNV_Ca[[#Headers],[Ca]:[Kết thúc]]),0))),
SUM(_xlfn._xlws.FILTER(Table_BangLuong_TyLeTangCa[Tỷ lệ],
(Table_BangLuong_TyLeTangCa[Ngày] = "Thường") *
(Table_BangLuong_TyLeTangCa[Giờ min]&lt;=$AA55) *
(Table_BangLuong_TyLeTangCa[Giờ max]&gt;$AA55)
)),0)
)),
IF(AB$4 &lt; AB$5,
IF($AA55-$Z$4&lt;AB$4,0,
IF($AA55&gt;AB$5,0,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AB$5,$AA55 &lt; AB$4),0,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C55" s="18" cm="1">
        <f t="array" ref="AC55" xml:space="preserve">
IFERROR(
IF(AC$1="",0,
IF(AND(
$AA55&gt;=VLOOKUP(AC$6, Table_ChiPhiNV_Ca[], COUNTA(Table_ChiPhiNV_Ca[[#Headers],[Ca]:[Bắt đầu nghỉ]]),0),
$AA55&lt;VLOOKUP(AC$6, Table_ChiPhiNV_Ca[], COUNTA(Table_ChiPhiNV_Ca[[#Headers],[Ca]:[Kết thúc nghỉ]]),0)
),0,
IF(NOT(ISBLANK(AC$3)),
IF(ISBLANK(AC$7),0,
IF(AC$4 &lt; AC$5,
IF($AA55-$Z$4&lt;AC$4,0,
IF($AA55&gt;AC$5,0,
SUM(_xlfn._xlws.FILTER(Table_BangLuong_TyLeTangCa[Tỷ lệ],
(Table_BangLuong_TyLeTangCa[Ngày] = AC$3) *
(Table_BangLuong_TyLeTangCa[Giờ min]&lt;=$AA55) *
(Table_BangLuong_TyLeTangCa[Giờ max]&gt;$AA55)
)))),
IF(AND($AA55-$Z$4 &gt;= AC$5,$AA55 &lt; AC$4),0,
SUM(_xlfn._xlws.FILTER(Table_BangLuong_TyLeTangCa[Tỷ lệ],
(Table_BangLuong_TyLeTangCa[Ngày] = AC$3) *
(Table_BangLuong_TyLeTangCa[Giờ min]&lt;=$AA55) *
(Table_BangLuong_TyLeTangCa[Giờ max]&gt;$AA55)
))))
),
IF(ISBLANK(AC$7),
IF(VLOOKUP(AC$6, Table_ChiPhiNV_Ca[], COUNTA(Table_ChiPhiNV_Ca[[#Headers],[Ca]:[Kết thúc]]),0)&gt; VLOOKUP(AC$6, Table_ChiPhiNV_Ca[], COUNTA(Table_ChiPhiNV_Ca[[#Headers],[Ca]:[Bắt đầu]]),0),
IF($AA55-$Z$4&lt;MAX(AC$4,VLOOKUP(AC$6, Table_ChiPhiNV_Ca[], COUNTA(Table_ChiPhiNV_Ca[[#Headers],[Ca]:[Bắt đầu]]),0)),0,
IF($AA55&gt;MIN(AC$5,VLOOKUP(AC$6, Table_ChiPhiNV_Ca[], COUNTA(Table_ChiPhiNV_Ca[[#Headers],[Ca]:[Kết thúc]]),0)),0,
SUM(_xlfn._xlws.FILTER(Table_BangLuong_TyLeTangCa[Tỷ lệ],
(Table_BangLuong_TyLeTangCa[Ngày] = "Thường") *
(Table_BangLuong_TyLeTangCa[Giờ min]&lt;=$AA55) *
(Table_BangLuong_TyLeTangCa[Giờ max]&gt;$AA55)
)))),
IF(AC$4 &gt; AC$5,
IF(
AND(
$AA55-$Z$4&lt;MAX(AC$4,VLOOKUP(AC$6, Table_ChiPhiNV_Ca[], COUNTA(Table_ChiPhiNV_Ca[[#Headers],[Ca]:[Bắt đầu]]),0)),
$AA55&gt;MIN(AC$5,VLOOKUP(AC$6, Table_ChiPhiNV_Ca[], COUNTA(Table_ChiPhiNV_Ca[[#Headers],[Ca]:[Kết thúc]]),0))),0,
SUM(_xlfn._xlws.FILTER(Table_BangLuong_TyLeTangCa[Tỷ lệ],
(Table_BangLuong_TyLeTangCa[Ngày] = "Thường") *
(Table_BangLuong_TyLeTangCa[Giờ min]&lt;=$AA55) *
(Table_BangLuong_TyLeTangCa[Giờ max]&gt;$AA55)
))),
IF(
AND(
$AA55-$Z$4&gt;=MAX(AC$4,VLOOKUP(AC$6, Table_ChiPhiNV_Ca[], COUNTA(Table_ChiPhiNV_Ca[[#Headers],[Ca]:[Bắt đầu]]),0)),
$AA55&lt;MIN(AC$5,VLOOKUP(AC$6, Table_ChiPhiNV_Ca[], COUNTA(Table_ChiPhiNV_Ca[[#Headers],[Ca]:[Kết thúc]]),0))),
SUM(_xlfn._xlws.FILTER(Table_BangLuong_TyLeTangCa[Tỷ lệ],
(Table_BangLuong_TyLeTangCa[Ngày] = "Thường") *
(Table_BangLuong_TyLeTangCa[Giờ min]&lt;=$AA55) *
(Table_BangLuong_TyLeTangCa[Giờ max]&gt;$AA55)
)),0)
)),
IF(AC$4 &lt; AC$5,
IF($AA55-$Z$4&lt;AC$4,0,
IF($AA55&gt;AC$5,0,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AC$5,$AA55 &lt; AC$4),0,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D55" s="18" cm="1">
        <f t="array" ref="AD55" xml:space="preserve">
IFERROR(
IF(AD$1="",0,
IF(AND(
$AA55&gt;=VLOOKUP(AD$6, Table_ChiPhiNV_Ca[], COUNTA(Table_ChiPhiNV_Ca[[#Headers],[Ca]:[Bắt đầu nghỉ]]),0),
$AA55&lt;VLOOKUP(AD$6, Table_ChiPhiNV_Ca[], COUNTA(Table_ChiPhiNV_Ca[[#Headers],[Ca]:[Kết thúc nghỉ]]),0)
),0,
IF(NOT(ISBLANK(AD$3)),
IF(ISBLANK(AD$7),0,
IF(AD$4 &lt; AD$5,
IF($AA55-$Z$4&lt;AD$4,0,
IF($AA55&gt;AD$5,0,
SUM(_xlfn._xlws.FILTER(Table_BangLuong_TyLeTangCa[Tỷ lệ],
(Table_BangLuong_TyLeTangCa[Ngày] = AD$3) *
(Table_BangLuong_TyLeTangCa[Giờ min]&lt;=$AA55) *
(Table_BangLuong_TyLeTangCa[Giờ max]&gt;$AA55)
)))),
IF(AND($AA55-$Z$4 &gt;= AD$5,$AA55 &lt; AD$4),0,
SUM(_xlfn._xlws.FILTER(Table_BangLuong_TyLeTangCa[Tỷ lệ],
(Table_BangLuong_TyLeTangCa[Ngày] = AD$3) *
(Table_BangLuong_TyLeTangCa[Giờ min]&lt;=$AA55) *
(Table_BangLuong_TyLeTangCa[Giờ max]&gt;$AA55)
))))
),
IF(ISBLANK(AD$7),
IF(VLOOKUP(AD$6, Table_ChiPhiNV_Ca[], COUNTA(Table_ChiPhiNV_Ca[[#Headers],[Ca]:[Kết thúc]]),0)&gt; VLOOKUP(AD$6, Table_ChiPhiNV_Ca[], COUNTA(Table_ChiPhiNV_Ca[[#Headers],[Ca]:[Bắt đầu]]),0),
IF($AA55-$Z$4&lt;MAX(AD$4,VLOOKUP(AD$6, Table_ChiPhiNV_Ca[], COUNTA(Table_ChiPhiNV_Ca[[#Headers],[Ca]:[Bắt đầu]]),0)),0,
IF($AA55&gt;MIN(AD$5,VLOOKUP(AD$6, Table_ChiPhiNV_Ca[], COUNTA(Table_ChiPhiNV_Ca[[#Headers],[Ca]:[Kết thúc]]),0)),0,
SUM(_xlfn._xlws.FILTER(Table_BangLuong_TyLeTangCa[Tỷ lệ],
(Table_BangLuong_TyLeTangCa[Ngày] = "Thường") *
(Table_BangLuong_TyLeTangCa[Giờ min]&lt;=$AA55) *
(Table_BangLuong_TyLeTangCa[Giờ max]&gt;$AA55)
)))),
IF(AD$4 &gt; AD$5,
IF(
AND(
$AA55-$Z$4&lt;MAX(AD$4,VLOOKUP(AD$6, Table_ChiPhiNV_Ca[], COUNTA(Table_ChiPhiNV_Ca[[#Headers],[Ca]:[Bắt đầu]]),0)),
$AA55&gt;MIN(AD$5,VLOOKUP(AD$6, Table_ChiPhiNV_Ca[], COUNTA(Table_ChiPhiNV_Ca[[#Headers],[Ca]:[Kết thúc]]),0))),0,
SUM(_xlfn._xlws.FILTER(Table_BangLuong_TyLeTangCa[Tỷ lệ],
(Table_BangLuong_TyLeTangCa[Ngày] = "Thường") *
(Table_BangLuong_TyLeTangCa[Giờ min]&lt;=$AA55) *
(Table_BangLuong_TyLeTangCa[Giờ max]&gt;$AA55)
))),
IF(
AND(
$AA55-$Z$4&gt;=MAX(AD$4,VLOOKUP(AD$6, Table_ChiPhiNV_Ca[], COUNTA(Table_ChiPhiNV_Ca[[#Headers],[Ca]:[Bắt đầu]]),0)),
$AA55&lt;MIN(AD$5,VLOOKUP(AD$6, Table_ChiPhiNV_Ca[], COUNTA(Table_ChiPhiNV_Ca[[#Headers],[Ca]:[Kết thúc]]),0))),
SUM(_xlfn._xlws.FILTER(Table_BangLuong_TyLeTangCa[Tỷ lệ],
(Table_BangLuong_TyLeTangCa[Ngày] = "Thường") *
(Table_BangLuong_TyLeTangCa[Giờ min]&lt;=$AA55) *
(Table_BangLuong_TyLeTangCa[Giờ max]&gt;$AA55)
)),0)
)),
IF(AD$4 &lt; AD$5,
IF($AA55-$Z$4&lt;AD$4,0,
IF($AA55&gt;AD$5,0,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AD$5,$AA55 &lt; AD$4),0,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E55" s="18" cm="1">
        <f t="array" ref="AE55" xml:space="preserve">
IFERROR(
IF(AE$1="",0,
IF(AND(
$AA55&gt;=VLOOKUP(AE$6, Table_ChiPhiNV_Ca[], COUNTA(Table_ChiPhiNV_Ca[[#Headers],[Ca]:[Bắt đầu nghỉ]]),0),
$AA55&lt;VLOOKUP(AE$6, Table_ChiPhiNV_Ca[], COUNTA(Table_ChiPhiNV_Ca[[#Headers],[Ca]:[Kết thúc nghỉ]]),0)
),0,
IF(NOT(ISBLANK(AE$3)),
IF(ISBLANK(AE$7),0,
IF(AE$4 &lt; AE$5,
IF($AA55-$Z$4&lt;AE$4,0,
IF($AA55&gt;AE$5,0,
SUM(_xlfn._xlws.FILTER(Table_BangLuong_TyLeTangCa[Tỷ lệ],
(Table_BangLuong_TyLeTangCa[Ngày] = AE$3) *
(Table_BangLuong_TyLeTangCa[Giờ min]&lt;=$AA55) *
(Table_BangLuong_TyLeTangCa[Giờ max]&gt;$AA55)
)))),
IF(AND($AA55-$Z$4 &gt;= AE$5,$AA55 &lt; AE$4),0,
SUM(_xlfn._xlws.FILTER(Table_BangLuong_TyLeTangCa[Tỷ lệ],
(Table_BangLuong_TyLeTangCa[Ngày] = AE$3) *
(Table_BangLuong_TyLeTangCa[Giờ min]&lt;=$AA55) *
(Table_BangLuong_TyLeTangCa[Giờ max]&gt;$AA55)
))))
),
IF(ISBLANK(AE$7),
IF(VLOOKUP(AE$6, Table_ChiPhiNV_Ca[], COUNTA(Table_ChiPhiNV_Ca[[#Headers],[Ca]:[Kết thúc]]),0)&gt; VLOOKUP(AE$6, Table_ChiPhiNV_Ca[], COUNTA(Table_ChiPhiNV_Ca[[#Headers],[Ca]:[Bắt đầu]]),0),
IF($AA55-$Z$4&lt;MAX(AE$4,VLOOKUP(AE$6, Table_ChiPhiNV_Ca[], COUNTA(Table_ChiPhiNV_Ca[[#Headers],[Ca]:[Bắt đầu]]),0)),0,
IF($AA55&gt;MIN(AE$5,VLOOKUP(AE$6, Table_ChiPhiNV_Ca[], COUNTA(Table_ChiPhiNV_Ca[[#Headers],[Ca]:[Kết thúc]]),0)),0,
SUM(_xlfn._xlws.FILTER(Table_BangLuong_TyLeTangCa[Tỷ lệ],
(Table_BangLuong_TyLeTangCa[Ngày] = "Thường") *
(Table_BangLuong_TyLeTangCa[Giờ min]&lt;=$AA55) *
(Table_BangLuong_TyLeTangCa[Giờ max]&gt;$AA55)
)))),
IF(AE$4 &gt; AE$5,
IF(
AND(
$AA55-$Z$4&lt;MAX(AE$4,VLOOKUP(AE$6, Table_ChiPhiNV_Ca[], COUNTA(Table_ChiPhiNV_Ca[[#Headers],[Ca]:[Bắt đầu]]),0)),
$AA55&gt;MIN(AE$5,VLOOKUP(AE$6, Table_ChiPhiNV_Ca[], COUNTA(Table_ChiPhiNV_Ca[[#Headers],[Ca]:[Kết thúc]]),0))),0,
SUM(_xlfn._xlws.FILTER(Table_BangLuong_TyLeTangCa[Tỷ lệ],
(Table_BangLuong_TyLeTangCa[Ngày] = "Thường") *
(Table_BangLuong_TyLeTangCa[Giờ min]&lt;=$AA55) *
(Table_BangLuong_TyLeTangCa[Giờ max]&gt;$AA55)
))),
IF(
AND(
$AA55-$Z$4&gt;=MAX(AE$4,VLOOKUP(AE$6, Table_ChiPhiNV_Ca[], COUNTA(Table_ChiPhiNV_Ca[[#Headers],[Ca]:[Bắt đầu]]),0)),
$AA55&lt;MIN(AE$5,VLOOKUP(AE$6, Table_ChiPhiNV_Ca[], COUNTA(Table_ChiPhiNV_Ca[[#Headers],[Ca]:[Kết thúc]]),0))),
SUM(_xlfn._xlws.FILTER(Table_BangLuong_TyLeTangCa[Tỷ lệ],
(Table_BangLuong_TyLeTangCa[Ngày] = "Thường") *
(Table_BangLuong_TyLeTangCa[Giờ min]&lt;=$AA55) *
(Table_BangLuong_TyLeTangCa[Giờ max]&gt;$AA55)
)),0)
)),
IF(AE$4 &lt; AE$5,
IF($AA55-$Z$4&lt;AE$4,0,
IF($AA55&gt;AE$5,0,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AE$5,$AA55 &lt; AE$4),0,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F55" s="18" cm="1">
        <f t="array" ref="AF55" xml:space="preserve">
IFERROR(
IF(AF$1="",0,
IF(AND(
$AA55&gt;=VLOOKUP(AF$6, Table_ChiPhiNV_Ca[], COUNTA(Table_ChiPhiNV_Ca[[#Headers],[Ca]:[Bắt đầu nghỉ]]),0),
$AA55&lt;VLOOKUP(AF$6, Table_ChiPhiNV_Ca[], COUNTA(Table_ChiPhiNV_Ca[[#Headers],[Ca]:[Kết thúc nghỉ]]),0)
),0,
IF(NOT(ISBLANK(AF$3)),
IF(ISBLANK(AF$7),0,
IF(AF$4 &lt; AF$5,
IF($AA55-$Z$4&lt;AF$4,0,
IF($AA55&gt;AF$5,0,
SUM(_xlfn._xlws.FILTER(Table_BangLuong_TyLeTangCa[Tỷ lệ],
(Table_BangLuong_TyLeTangCa[Ngày] = AF$3) *
(Table_BangLuong_TyLeTangCa[Giờ min]&lt;=$AA55) *
(Table_BangLuong_TyLeTangCa[Giờ max]&gt;$AA55)
)))),
IF(AND($AA55-$Z$4 &gt;= AF$5,$AA55 &lt; AF$4),0,
SUM(_xlfn._xlws.FILTER(Table_BangLuong_TyLeTangCa[Tỷ lệ],
(Table_BangLuong_TyLeTangCa[Ngày] = AF$3) *
(Table_BangLuong_TyLeTangCa[Giờ min]&lt;=$AA55) *
(Table_BangLuong_TyLeTangCa[Giờ max]&gt;$AA55)
))))
),
IF(ISBLANK(AF$7),
IF(VLOOKUP(AF$6, Table_ChiPhiNV_Ca[], COUNTA(Table_ChiPhiNV_Ca[[#Headers],[Ca]:[Kết thúc]]),0)&gt; VLOOKUP(AF$6, Table_ChiPhiNV_Ca[], COUNTA(Table_ChiPhiNV_Ca[[#Headers],[Ca]:[Bắt đầu]]),0),
IF($AA55-$Z$4&lt;MAX(AF$4,VLOOKUP(AF$6, Table_ChiPhiNV_Ca[], COUNTA(Table_ChiPhiNV_Ca[[#Headers],[Ca]:[Bắt đầu]]),0)),0,
IF($AA55&gt;MIN(AF$5,VLOOKUP(AF$6, Table_ChiPhiNV_Ca[], COUNTA(Table_ChiPhiNV_Ca[[#Headers],[Ca]:[Kết thúc]]),0)),0,
SUM(_xlfn._xlws.FILTER(Table_BangLuong_TyLeTangCa[Tỷ lệ],
(Table_BangLuong_TyLeTangCa[Ngày] = "Thường") *
(Table_BangLuong_TyLeTangCa[Giờ min]&lt;=$AA55) *
(Table_BangLuong_TyLeTangCa[Giờ max]&gt;$AA55)
)))),
IF(AF$4 &gt; AF$5,
IF(
AND(
$AA55-$Z$4&lt;MAX(AF$4,VLOOKUP(AF$6, Table_ChiPhiNV_Ca[], COUNTA(Table_ChiPhiNV_Ca[[#Headers],[Ca]:[Bắt đầu]]),0)),
$AA55&gt;MIN(AF$5,VLOOKUP(AF$6, Table_ChiPhiNV_Ca[], COUNTA(Table_ChiPhiNV_Ca[[#Headers],[Ca]:[Kết thúc]]),0))),0,
SUM(_xlfn._xlws.FILTER(Table_BangLuong_TyLeTangCa[Tỷ lệ],
(Table_BangLuong_TyLeTangCa[Ngày] = "Thường") *
(Table_BangLuong_TyLeTangCa[Giờ min]&lt;=$AA55) *
(Table_BangLuong_TyLeTangCa[Giờ max]&gt;$AA55)
))),
IF(
AND(
$AA55-$Z$4&gt;=MAX(AF$4,VLOOKUP(AF$6, Table_ChiPhiNV_Ca[], COUNTA(Table_ChiPhiNV_Ca[[#Headers],[Ca]:[Bắt đầu]]),0)),
$AA55&lt;MIN(AF$5,VLOOKUP(AF$6, Table_ChiPhiNV_Ca[], COUNTA(Table_ChiPhiNV_Ca[[#Headers],[Ca]:[Kết thúc]]),0))),
SUM(_xlfn._xlws.FILTER(Table_BangLuong_TyLeTangCa[Tỷ lệ],
(Table_BangLuong_TyLeTangCa[Ngày] = "Thường") *
(Table_BangLuong_TyLeTangCa[Giờ min]&lt;=$AA55) *
(Table_BangLuong_TyLeTangCa[Giờ max]&gt;$AA55)
)),0)
)),
IF(AF$4 &lt; AF$5,
IF($AA55-$Z$4&lt;AF$4,0,
IF($AA55&gt;AF$5,0,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AF$5,$AA55 &lt; AF$4),0,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G55" s="18" cm="1">
        <f t="array" ref="AG55" xml:space="preserve">
IFERROR(
IF(AG$1="",0,
IF(AND(
$AA55&gt;=VLOOKUP(AG$6, Table_ChiPhiNV_Ca[], COUNTA(Table_ChiPhiNV_Ca[[#Headers],[Ca]:[Bắt đầu nghỉ]]),0),
$AA55&lt;VLOOKUP(AG$6, Table_ChiPhiNV_Ca[], COUNTA(Table_ChiPhiNV_Ca[[#Headers],[Ca]:[Kết thúc nghỉ]]),0)
),0,
IF(NOT(ISBLANK(AG$3)),
IF(ISBLANK(AG$7),0,
IF(AG$4 &lt; AG$5,
IF($AA55-$Z$4&lt;AG$4,0,
IF($AA55&gt;AG$5,0,
SUM(_xlfn._xlws.FILTER(Table_BangLuong_TyLeTangCa[Tỷ lệ],
(Table_BangLuong_TyLeTangCa[Ngày] = AG$3) *
(Table_BangLuong_TyLeTangCa[Giờ min]&lt;=$AA55) *
(Table_BangLuong_TyLeTangCa[Giờ max]&gt;$AA55)
)))),
IF(AND($AA55-$Z$4 &gt;= AG$5,$AA55 &lt; AG$4),0,
SUM(_xlfn._xlws.FILTER(Table_BangLuong_TyLeTangCa[Tỷ lệ],
(Table_BangLuong_TyLeTangCa[Ngày] = AG$3) *
(Table_BangLuong_TyLeTangCa[Giờ min]&lt;=$AA55) *
(Table_BangLuong_TyLeTangCa[Giờ max]&gt;$AA55)
))))
),
IF(ISBLANK(AG$7),
IF(VLOOKUP(AG$6, Table_ChiPhiNV_Ca[], COUNTA(Table_ChiPhiNV_Ca[[#Headers],[Ca]:[Kết thúc]]),0)&gt; VLOOKUP(AG$6, Table_ChiPhiNV_Ca[], COUNTA(Table_ChiPhiNV_Ca[[#Headers],[Ca]:[Bắt đầu]]),0),
IF($AA55-$Z$4&lt;MAX(AG$4,VLOOKUP(AG$6, Table_ChiPhiNV_Ca[], COUNTA(Table_ChiPhiNV_Ca[[#Headers],[Ca]:[Bắt đầu]]),0)),0,
IF($AA55&gt;MIN(AG$5,VLOOKUP(AG$6, Table_ChiPhiNV_Ca[], COUNTA(Table_ChiPhiNV_Ca[[#Headers],[Ca]:[Kết thúc]]),0)),0,
SUM(_xlfn._xlws.FILTER(Table_BangLuong_TyLeTangCa[Tỷ lệ],
(Table_BangLuong_TyLeTangCa[Ngày] = "Thường") *
(Table_BangLuong_TyLeTangCa[Giờ min]&lt;=$AA55) *
(Table_BangLuong_TyLeTangCa[Giờ max]&gt;$AA55)
)))),
IF(AG$4 &gt; AG$5,
IF(
AND(
$AA55-$Z$4&lt;MAX(AG$4,VLOOKUP(AG$6, Table_ChiPhiNV_Ca[], COUNTA(Table_ChiPhiNV_Ca[[#Headers],[Ca]:[Bắt đầu]]),0)),
$AA55&gt;MIN(AG$5,VLOOKUP(AG$6, Table_ChiPhiNV_Ca[], COUNTA(Table_ChiPhiNV_Ca[[#Headers],[Ca]:[Kết thúc]]),0))),0,
SUM(_xlfn._xlws.FILTER(Table_BangLuong_TyLeTangCa[Tỷ lệ],
(Table_BangLuong_TyLeTangCa[Ngày] = "Thường") *
(Table_BangLuong_TyLeTangCa[Giờ min]&lt;=$AA55) *
(Table_BangLuong_TyLeTangCa[Giờ max]&gt;$AA55)
))),
IF(
AND(
$AA55-$Z$4&gt;=MAX(AG$4,VLOOKUP(AG$6, Table_ChiPhiNV_Ca[], COUNTA(Table_ChiPhiNV_Ca[[#Headers],[Ca]:[Bắt đầu]]),0)),
$AA55&lt;MIN(AG$5,VLOOKUP(AG$6, Table_ChiPhiNV_Ca[], COUNTA(Table_ChiPhiNV_Ca[[#Headers],[Ca]:[Kết thúc]]),0))),
SUM(_xlfn._xlws.FILTER(Table_BangLuong_TyLeTangCa[Tỷ lệ],
(Table_BangLuong_TyLeTangCa[Ngày] = "Thường") *
(Table_BangLuong_TyLeTangCa[Giờ min]&lt;=$AA55) *
(Table_BangLuong_TyLeTangCa[Giờ max]&gt;$AA55)
)),0)
)),
IF(AG$4 &lt; AG$5,
IF($AA55-$Z$4&lt;AG$4,0,
IF($AA55&gt;AG$5,0,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AG$5,$AA55 &lt; AG$4),0,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H55" s="18" cm="1">
        <f t="array" ref="AH55" xml:space="preserve">
IFERROR(
IF(AH$1="",0,
IF(AND(
$AA55&gt;=VLOOKUP(AH$6, Table_ChiPhiNV_Ca[], COUNTA(Table_ChiPhiNV_Ca[[#Headers],[Ca]:[Bắt đầu nghỉ]]),0),
$AA55&lt;VLOOKUP(AH$6, Table_ChiPhiNV_Ca[], COUNTA(Table_ChiPhiNV_Ca[[#Headers],[Ca]:[Kết thúc nghỉ]]),0)
),0,
IF(NOT(ISBLANK(AH$3)),
IF(ISBLANK(AH$7),0,
IF(AH$4 &lt; AH$5,
IF($AA55-$Z$4&lt;AH$4,0,
IF($AA55&gt;AH$5,0,
SUM(_xlfn._xlws.FILTER(Table_BangLuong_TyLeTangCa[Tỷ lệ],
(Table_BangLuong_TyLeTangCa[Ngày] = AH$3) *
(Table_BangLuong_TyLeTangCa[Giờ min]&lt;=$AA55) *
(Table_BangLuong_TyLeTangCa[Giờ max]&gt;$AA55)
)))),
IF(AND($AA55-$Z$4 &gt;= AH$5,$AA55 &lt; AH$4),0,
SUM(_xlfn._xlws.FILTER(Table_BangLuong_TyLeTangCa[Tỷ lệ],
(Table_BangLuong_TyLeTangCa[Ngày] = AH$3) *
(Table_BangLuong_TyLeTangCa[Giờ min]&lt;=$AA55) *
(Table_BangLuong_TyLeTangCa[Giờ max]&gt;$AA55)
))))
),
IF(ISBLANK(AH$7),
IF(VLOOKUP(AH$6, Table_ChiPhiNV_Ca[], COUNTA(Table_ChiPhiNV_Ca[[#Headers],[Ca]:[Kết thúc]]),0)&gt; VLOOKUP(AH$6, Table_ChiPhiNV_Ca[], COUNTA(Table_ChiPhiNV_Ca[[#Headers],[Ca]:[Bắt đầu]]),0),
IF($AA55-$Z$4&lt;MAX(AH$4,VLOOKUP(AH$6, Table_ChiPhiNV_Ca[], COUNTA(Table_ChiPhiNV_Ca[[#Headers],[Ca]:[Bắt đầu]]),0)),0,
IF($AA55&gt;MIN(AH$5,VLOOKUP(AH$6, Table_ChiPhiNV_Ca[], COUNTA(Table_ChiPhiNV_Ca[[#Headers],[Ca]:[Kết thúc]]),0)),0,
SUM(_xlfn._xlws.FILTER(Table_BangLuong_TyLeTangCa[Tỷ lệ],
(Table_BangLuong_TyLeTangCa[Ngày] = "Thường") *
(Table_BangLuong_TyLeTangCa[Giờ min]&lt;=$AA55) *
(Table_BangLuong_TyLeTangCa[Giờ max]&gt;$AA55)
)))),
IF(AH$4 &gt; AH$5,
IF(
AND(
$AA55-$Z$4&lt;MAX(AH$4,VLOOKUP(AH$6, Table_ChiPhiNV_Ca[], COUNTA(Table_ChiPhiNV_Ca[[#Headers],[Ca]:[Bắt đầu]]),0)),
$AA55&gt;MIN(AH$5,VLOOKUP(AH$6, Table_ChiPhiNV_Ca[], COUNTA(Table_ChiPhiNV_Ca[[#Headers],[Ca]:[Kết thúc]]),0))),0,
SUM(_xlfn._xlws.FILTER(Table_BangLuong_TyLeTangCa[Tỷ lệ],
(Table_BangLuong_TyLeTangCa[Ngày] = "Thường") *
(Table_BangLuong_TyLeTangCa[Giờ min]&lt;=$AA55) *
(Table_BangLuong_TyLeTangCa[Giờ max]&gt;$AA55)
))),
IF(
AND(
$AA55-$Z$4&gt;=MAX(AH$4,VLOOKUP(AH$6, Table_ChiPhiNV_Ca[], COUNTA(Table_ChiPhiNV_Ca[[#Headers],[Ca]:[Bắt đầu]]),0)),
$AA55&lt;MIN(AH$5,VLOOKUP(AH$6, Table_ChiPhiNV_Ca[], COUNTA(Table_ChiPhiNV_Ca[[#Headers],[Ca]:[Kết thúc]]),0))),
SUM(_xlfn._xlws.FILTER(Table_BangLuong_TyLeTangCa[Tỷ lệ],
(Table_BangLuong_TyLeTangCa[Ngày] = "Thường") *
(Table_BangLuong_TyLeTangCa[Giờ min]&lt;=$AA55) *
(Table_BangLuong_TyLeTangCa[Giờ max]&gt;$AA55)
)),0)
)),
IF(AH$4 &lt; AH$5,
IF($AA55-$Z$4&lt;AH$4,0,
IF($AA55&gt;AH$5,0,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AH$5,$AA55 &lt; AH$4),0,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I55" s="18" cm="1">
        <f t="array" ref="AI55" xml:space="preserve">
IFERROR(
IF(AI$1="",0,
IF(AND(
$AA55&gt;=VLOOKUP(AI$6, Table_ChiPhiNV_Ca[], COUNTA(Table_ChiPhiNV_Ca[[#Headers],[Ca]:[Bắt đầu nghỉ]]),0),
$AA55&lt;VLOOKUP(AI$6, Table_ChiPhiNV_Ca[], COUNTA(Table_ChiPhiNV_Ca[[#Headers],[Ca]:[Kết thúc nghỉ]]),0)
),0,
IF(NOT(ISBLANK(AI$3)),
IF(ISBLANK(AI$7),0,
IF(AI$4 &lt; AI$5,
IF($AA55-$Z$4&lt;AI$4,0,
IF($AA55&gt;AI$5,0,
SUM(_xlfn._xlws.FILTER(Table_BangLuong_TyLeTangCa[Tỷ lệ],
(Table_BangLuong_TyLeTangCa[Ngày] = AI$3) *
(Table_BangLuong_TyLeTangCa[Giờ min]&lt;=$AA55) *
(Table_BangLuong_TyLeTangCa[Giờ max]&gt;$AA55)
)))),
IF(AND($AA55-$Z$4 &gt;= AI$5,$AA55 &lt; AI$4),0,
SUM(_xlfn._xlws.FILTER(Table_BangLuong_TyLeTangCa[Tỷ lệ],
(Table_BangLuong_TyLeTangCa[Ngày] = AI$3) *
(Table_BangLuong_TyLeTangCa[Giờ min]&lt;=$AA55) *
(Table_BangLuong_TyLeTangCa[Giờ max]&gt;$AA55)
))))
),
IF(ISBLANK(AI$7),
IF(VLOOKUP(AI$6, Table_ChiPhiNV_Ca[], COUNTA(Table_ChiPhiNV_Ca[[#Headers],[Ca]:[Kết thúc]]),0)&gt; VLOOKUP(AI$6, Table_ChiPhiNV_Ca[], COUNTA(Table_ChiPhiNV_Ca[[#Headers],[Ca]:[Bắt đầu]]),0),
IF($AA55-$Z$4&lt;MAX(AI$4,VLOOKUP(AI$6, Table_ChiPhiNV_Ca[], COUNTA(Table_ChiPhiNV_Ca[[#Headers],[Ca]:[Bắt đầu]]),0)),0,
IF($AA55&gt;MIN(AI$5,VLOOKUP(AI$6, Table_ChiPhiNV_Ca[], COUNTA(Table_ChiPhiNV_Ca[[#Headers],[Ca]:[Kết thúc]]),0)),0,
SUM(_xlfn._xlws.FILTER(Table_BangLuong_TyLeTangCa[Tỷ lệ],
(Table_BangLuong_TyLeTangCa[Ngày] = "Thường") *
(Table_BangLuong_TyLeTangCa[Giờ min]&lt;=$AA55) *
(Table_BangLuong_TyLeTangCa[Giờ max]&gt;$AA55)
)))),
IF(AI$4 &gt; AI$5,
IF(
AND(
$AA55-$Z$4&lt;MAX(AI$4,VLOOKUP(AI$6, Table_ChiPhiNV_Ca[], COUNTA(Table_ChiPhiNV_Ca[[#Headers],[Ca]:[Bắt đầu]]),0)),
$AA55&gt;MIN(AI$5,VLOOKUP(AI$6, Table_ChiPhiNV_Ca[], COUNTA(Table_ChiPhiNV_Ca[[#Headers],[Ca]:[Kết thúc]]),0))),0,
SUM(_xlfn._xlws.FILTER(Table_BangLuong_TyLeTangCa[Tỷ lệ],
(Table_BangLuong_TyLeTangCa[Ngày] = "Thường") *
(Table_BangLuong_TyLeTangCa[Giờ min]&lt;=$AA55) *
(Table_BangLuong_TyLeTangCa[Giờ max]&gt;$AA55)
))),
IF(
AND(
$AA55-$Z$4&gt;=MAX(AI$4,VLOOKUP(AI$6, Table_ChiPhiNV_Ca[], COUNTA(Table_ChiPhiNV_Ca[[#Headers],[Ca]:[Bắt đầu]]),0)),
$AA55&lt;MIN(AI$5,VLOOKUP(AI$6, Table_ChiPhiNV_Ca[], COUNTA(Table_ChiPhiNV_Ca[[#Headers],[Ca]:[Kết thúc]]),0))),
SUM(_xlfn._xlws.FILTER(Table_BangLuong_TyLeTangCa[Tỷ lệ],
(Table_BangLuong_TyLeTangCa[Ngày] = "Thường") *
(Table_BangLuong_TyLeTangCa[Giờ min]&lt;=$AA55) *
(Table_BangLuong_TyLeTangCa[Giờ max]&gt;$AA55)
)),0)
)),
IF(AI$4 &lt; AI$5,
IF($AA55-$Z$4&lt;AI$4,0,
IF($AA55&gt;AI$5,0,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AI$5,$AA55 &lt; AI$4),0,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J55" s="18" cm="1">
        <f t="array" ref="AJ55" xml:space="preserve">
IFERROR(
IF(AJ$1="",0,
IF(AND(
$AA55&gt;=VLOOKUP(AJ$6, Table_ChiPhiNV_Ca[], COUNTA(Table_ChiPhiNV_Ca[[#Headers],[Ca]:[Bắt đầu nghỉ]]),0),
$AA55&lt;VLOOKUP(AJ$6, Table_ChiPhiNV_Ca[], COUNTA(Table_ChiPhiNV_Ca[[#Headers],[Ca]:[Kết thúc nghỉ]]),0)
),0,
IF(NOT(ISBLANK(AJ$3)),
IF(ISBLANK(AJ$7),0,
IF(AJ$4 &lt; AJ$5,
IF($AA55-$Z$4&lt;AJ$4,0,
IF($AA55&gt;AJ$5,0,
SUM(_xlfn._xlws.FILTER(Table_BangLuong_TyLeTangCa[Tỷ lệ],
(Table_BangLuong_TyLeTangCa[Ngày] = AJ$3) *
(Table_BangLuong_TyLeTangCa[Giờ min]&lt;=$AA55) *
(Table_BangLuong_TyLeTangCa[Giờ max]&gt;$AA55)
)))),
IF(AND($AA55-$Z$4 &gt;= AJ$5,$AA55 &lt; AJ$4),0,
SUM(_xlfn._xlws.FILTER(Table_BangLuong_TyLeTangCa[Tỷ lệ],
(Table_BangLuong_TyLeTangCa[Ngày] = AJ$3) *
(Table_BangLuong_TyLeTangCa[Giờ min]&lt;=$AA55) *
(Table_BangLuong_TyLeTangCa[Giờ max]&gt;$AA55)
))))
),
IF(ISBLANK(AJ$7),
IF(VLOOKUP(AJ$6, Table_ChiPhiNV_Ca[], COUNTA(Table_ChiPhiNV_Ca[[#Headers],[Ca]:[Kết thúc]]),0)&gt; VLOOKUP(AJ$6, Table_ChiPhiNV_Ca[], COUNTA(Table_ChiPhiNV_Ca[[#Headers],[Ca]:[Bắt đầu]]),0),
IF($AA55-$Z$4&lt;MAX(AJ$4,VLOOKUP(AJ$6, Table_ChiPhiNV_Ca[], COUNTA(Table_ChiPhiNV_Ca[[#Headers],[Ca]:[Bắt đầu]]),0)),0,
IF($AA55&gt;MIN(AJ$5,VLOOKUP(AJ$6, Table_ChiPhiNV_Ca[], COUNTA(Table_ChiPhiNV_Ca[[#Headers],[Ca]:[Kết thúc]]),0)),0,
SUM(_xlfn._xlws.FILTER(Table_BangLuong_TyLeTangCa[Tỷ lệ],
(Table_BangLuong_TyLeTangCa[Ngày] = "Thường") *
(Table_BangLuong_TyLeTangCa[Giờ min]&lt;=$AA55) *
(Table_BangLuong_TyLeTangCa[Giờ max]&gt;$AA55)
)))),
IF(AJ$4 &gt; AJ$5,
IF(
AND(
$AA55-$Z$4&lt;MAX(AJ$4,VLOOKUP(AJ$6, Table_ChiPhiNV_Ca[], COUNTA(Table_ChiPhiNV_Ca[[#Headers],[Ca]:[Bắt đầu]]),0)),
$AA55&gt;MIN(AJ$5,VLOOKUP(AJ$6, Table_ChiPhiNV_Ca[], COUNTA(Table_ChiPhiNV_Ca[[#Headers],[Ca]:[Kết thúc]]),0))),0,
SUM(_xlfn._xlws.FILTER(Table_BangLuong_TyLeTangCa[Tỷ lệ],
(Table_BangLuong_TyLeTangCa[Ngày] = "Thường") *
(Table_BangLuong_TyLeTangCa[Giờ min]&lt;=$AA55) *
(Table_BangLuong_TyLeTangCa[Giờ max]&gt;$AA55)
))),
IF(
AND(
$AA55-$Z$4&gt;=MAX(AJ$4,VLOOKUP(AJ$6, Table_ChiPhiNV_Ca[], COUNTA(Table_ChiPhiNV_Ca[[#Headers],[Ca]:[Bắt đầu]]),0)),
$AA55&lt;MIN(AJ$5,VLOOKUP(AJ$6, Table_ChiPhiNV_Ca[], COUNTA(Table_ChiPhiNV_Ca[[#Headers],[Ca]:[Kết thúc]]),0))),
SUM(_xlfn._xlws.FILTER(Table_BangLuong_TyLeTangCa[Tỷ lệ],
(Table_BangLuong_TyLeTangCa[Ngày] = "Thường") *
(Table_BangLuong_TyLeTangCa[Giờ min]&lt;=$AA55) *
(Table_BangLuong_TyLeTangCa[Giờ max]&gt;$AA55)
)),0)
)),
IF(AJ$4 &lt; AJ$5,
IF($AA55-$Z$4&lt;AJ$4,0,
IF($AA55&gt;AJ$5,0,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AJ$5,$AA55 &lt; AJ$4),0,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K55" s="18" cm="1">
        <f t="array" ref="AK55" xml:space="preserve">
IFERROR(
IF(AK$1="",0,
IF(AND(
$AA55&gt;=VLOOKUP(AK$6, Table_ChiPhiNV_Ca[], COUNTA(Table_ChiPhiNV_Ca[[#Headers],[Ca]:[Bắt đầu nghỉ]]),0),
$AA55&lt;VLOOKUP(AK$6, Table_ChiPhiNV_Ca[], COUNTA(Table_ChiPhiNV_Ca[[#Headers],[Ca]:[Kết thúc nghỉ]]),0)
),0,
IF(NOT(ISBLANK(AK$3)),
IF(ISBLANK(AK$7),0,
IF(AK$4 &lt; AK$5,
IF($AA55-$Z$4&lt;AK$4,0,
IF($AA55&gt;AK$5,0,
SUM(_xlfn._xlws.FILTER(Table_BangLuong_TyLeTangCa[Tỷ lệ],
(Table_BangLuong_TyLeTangCa[Ngày] = AK$3) *
(Table_BangLuong_TyLeTangCa[Giờ min]&lt;=$AA55) *
(Table_BangLuong_TyLeTangCa[Giờ max]&gt;$AA55)
)))),
IF(AND($AA55-$Z$4 &gt;= AK$5,$AA55 &lt; AK$4),0,
SUM(_xlfn._xlws.FILTER(Table_BangLuong_TyLeTangCa[Tỷ lệ],
(Table_BangLuong_TyLeTangCa[Ngày] = AK$3) *
(Table_BangLuong_TyLeTangCa[Giờ min]&lt;=$AA55) *
(Table_BangLuong_TyLeTangCa[Giờ max]&gt;$AA55)
))))
),
IF(ISBLANK(AK$7),
IF(VLOOKUP(AK$6, Table_ChiPhiNV_Ca[], COUNTA(Table_ChiPhiNV_Ca[[#Headers],[Ca]:[Kết thúc]]),0)&gt; VLOOKUP(AK$6, Table_ChiPhiNV_Ca[], COUNTA(Table_ChiPhiNV_Ca[[#Headers],[Ca]:[Bắt đầu]]),0),
IF($AA55-$Z$4&lt;MAX(AK$4,VLOOKUP(AK$6, Table_ChiPhiNV_Ca[], COUNTA(Table_ChiPhiNV_Ca[[#Headers],[Ca]:[Bắt đầu]]),0)),0,
IF($AA55&gt;MIN(AK$5,VLOOKUP(AK$6, Table_ChiPhiNV_Ca[], COUNTA(Table_ChiPhiNV_Ca[[#Headers],[Ca]:[Kết thúc]]),0)),0,
SUM(_xlfn._xlws.FILTER(Table_BangLuong_TyLeTangCa[Tỷ lệ],
(Table_BangLuong_TyLeTangCa[Ngày] = "Thường") *
(Table_BangLuong_TyLeTangCa[Giờ min]&lt;=$AA55) *
(Table_BangLuong_TyLeTangCa[Giờ max]&gt;$AA55)
)))),
IF(AK$4 &gt; AK$5,
IF(
AND(
$AA55-$Z$4&lt;MAX(AK$4,VLOOKUP(AK$6, Table_ChiPhiNV_Ca[], COUNTA(Table_ChiPhiNV_Ca[[#Headers],[Ca]:[Bắt đầu]]),0)),
$AA55&gt;MIN(AK$5,VLOOKUP(AK$6, Table_ChiPhiNV_Ca[], COUNTA(Table_ChiPhiNV_Ca[[#Headers],[Ca]:[Kết thúc]]),0))),0,
SUM(_xlfn._xlws.FILTER(Table_BangLuong_TyLeTangCa[Tỷ lệ],
(Table_BangLuong_TyLeTangCa[Ngày] = "Thường") *
(Table_BangLuong_TyLeTangCa[Giờ min]&lt;=$AA55) *
(Table_BangLuong_TyLeTangCa[Giờ max]&gt;$AA55)
))),
IF(
AND(
$AA55-$Z$4&gt;=MAX(AK$4,VLOOKUP(AK$6, Table_ChiPhiNV_Ca[], COUNTA(Table_ChiPhiNV_Ca[[#Headers],[Ca]:[Bắt đầu]]),0)),
$AA55&lt;MIN(AK$5,VLOOKUP(AK$6, Table_ChiPhiNV_Ca[], COUNTA(Table_ChiPhiNV_Ca[[#Headers],[Ca]:[Kết thúc]]),0))),
SUM(_xlfn._xlws.FILTER(Table_BangLuong_TyLeTangCa[Tỷ lệ],
(Table_BangLuong_TyLeTangCa[Ngày] = "Thường") *
(Table_BangLuong_TyLeTangCa[Giờ min]&lt;=$AA55) *
(Table_BangLuong_TyLeTangCa[Giờ max]&gt;$AA55)
)),0)
)),
IF(AK$4 &lt; AK$5,
IF($AA55-$Z$4&lt;AK$4,0,
IF($AA55&gt;AK$5,0,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AK$5,$AA55 &lt; AK$4),0,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L55" s="18" cm="1">
        <f t="array" ref="AL55" xml:space="preserve">
IFERROR(
IF(AL$1="",0,
IF(AND(
$AA55&gt;=VLOOKUP(AL$6, Table_ChiPhiNV_Ca[], COUNTA(Table_ChiPhiNV_Ca[[#Headers],[Ca]:[Bắt đầu nghỉ]]),0),
$AA55&lt;VLOOKUP(AL$6, Table_ChiPhiNV_Ca[], COUNTA(Table_ChiPhiNV_Ca[[#Headers],[Ca]:[Kết thúc nghỉ]]),0)
),0,
IF(NOT(ISBLANK(AL$3)),
IF(ISBLANK(AL$7),0,
IF(AL$4 &lt; AL$5,
IF($AA55-$Z$4&lt;AL$4,0,
IF($AA55&gt;AL$5,0,
SUM(_xlfn._xlws.FILTER(Table_BangLuong_TyLeTangCa[Tỷ lệ],
(Table_BangLuong_TyLeTangCa[Ngày] = AL$3) *
(Table_BangLuong_TyLeTangCa[Giờ min]&lt;=$AA55) *
(Table_BangLuong_TyLeTangCa[Giờ max]&gt;$AA55)
)))),
IF(AND($AA55-$Z$4 &gt;= AL$5,$AA55 &lt; AL$4),0,
SUM(_xlfn._xlws.FILTER(Table_BangLuong_TyLeTangCa[Tỷ lệ],
(Table_BangLuong_TyLeTangCa[Ngày] = AL$3) *
(Table_BangLuong_TyLeTangCa[Giờ min]&lt;=$AA55) *
(Table_BangLuong_TyLeTangCa[Giờ max]&gt;$AA55)
))))
),
IF(ISBLANK(AL$7),
IF(VLOOKUP(AL$6, Table_ChiPhiNV_Ca[], COUNTA(Table_ChiPhiNV_Ca[[#Headers],[Ca]:[Kết thúc]]),0)&gt; VLOOKUP(AL$6, Table_ChiPhiNV_Ca[], COUNTA(Table_ChiPhiNV_Ca[[#Headers],[Ca]:[Bắt đầu]]),0),
IF($AA55-$Z$4&lt;MAX(AL$4,VLOOKUP(AL$6, Table_ChiPhiNV_Ca[], COUNTA(Table_ChiPhiNV_Ca[[#Headers],[Ca]:[Bắt đầu]]),0)),0,
IF($AA55&gt;MIN(AL$5,VLOOKUP(AL$6, Table_ChiPhiNV_Ca[], COUNTA(Table_ChiPhiNV_Ca[[#Headers],[Ca]:[Kết thúc]]),0)),0,
SUM(_xlfn._xlws.FILTER(Table_BangLuong_TyLeTangCa[Tỷ lệ],
(Table_BangLuong_TyLeTangCa[Ngày] = "Thường") *
(Table_BangLuong_TyLeTangCa[Giờ min]&lt;=$AA55) *
(Table_BangLuong_TyLeTangCa[Giờ max]&gt;$AA55)
)))),
IF(AL$4 &gt; AL$5,
IF(
AND(
$AA55-$Z$4&lt;MAX(AL$4,VLOOKUP(AL$6, Table_ChiPhiNV_Ca[], COUNTA(Table_ChiPhiNV_Ca[[#Headers],[Ca]:[Bắt đầu]]),0)),
$AA55&gt;MIN(AL$5,VLOOKUP(AL$6, Table_ChiPhiNV_Ca[], COUNTA(Table_ChiPhiNV_Ca[[#Headers],[Ca]:[Kết thúc]]),0))),0,
SUM(_xlfn._xlws.FILTER(Table_BangLuong_TyLeTangCa[Tỷ lệ],
(Table_BangLuong_TyLeTangCa[Ngày] = "Thường") *
(Table_BangLuong_TyLeTangCa[Giờ min]&lt;=$AA55) *
(Table_BangLuong_TyLeTangCa[Giờ max]&gt;$AA55)
))),
IF(
AND(
$AA55-$Z$4&gt;=MAX(AL$4,VLOOKUP(AL$6, Table_ChiPhiNV_Ca[], COUNTA(Table_ChiPhiNV_Ca[[#Headers],[Ca]:[Bắt đầu]]),0)),
$AA55&lt;MIN(AL$5,VLOOKUP(AL$6, Table_ChiPhiNV_Ca[], COUNTA(Table_ChiPhiNV_Ca[[#Headers],[Ca]:[Kết thúc]]),0))),
SUM(_xlfn._xlws.FILTER(Table_BangLuong_TyLeTangCa[Tỷ lệ],
(Table_BangLuong_TyLeTangCa[Ngày] = "Thường") *
(Table_BangLuong_TyLeTangCa[Giờ min]&lt;=$AA55) *
(Table_BangLuong_TyLeTangCa[Giờ max]&gt;$AA55)
)),0)
)),
IF(AL$4 &lt; AL$5,
IF($AA55-$Z$4&lt;AL$4,0,
IF($AA55&gt;AL$5,0,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AL$5,$AA55 &lt; AL$4),0,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M55" s="18" cm="1">
        <f t="array" ref="AM55" xml:space="preserve">
IFERROR(
IF(AM$1="",0,
IF(AND(
$AA55&gt;=VLOOKUP(AM$6, Table_ChiPhiNV_Ca[], COUNTA(Table_ChiPhiNV_Ca[[#Headers],[Ca]:[Bắt đầu nghỉ]]),0),
$AA55&lt;VLOOKUP(AM$6, Table_ChiPhiNV_Ca[], COUNTA(Table_ChiPhiNV_Ca[[#Headers],[Ca]:[Kết thúc nghỉ]]),0)
),0,
IF(NOT(ISBLANK(AM$3)),
IF(ISBLANK(AM$7),0,
IF(AM$4 &lt; AM$5,
IF($AA55-$Z$4&lt;AM$4,0,
IF($AA55&gt;AM$5,0,
SUM(_xlfn._xlws.FILTER(Table_BangLuong_TyLeTangCa[Tỷ lệ],
(Table_BangLuong_TyLeTangCa[Ngày] = AM$3) *
(Table_BangLuong_TyLeTangCa[Giờ min]&lt;=$AA55) *
(Table_BangLuong_TyLeTangCa[Giờ max]&gt;$AA55)
)))),
IF(AND($AA55-$Z$4 &gt;= AM$5,$AA55 &lt; AM$4),0,
SUM(_xlfn._xlws.FILTER(Table_BangLuong_TyLeTangCa[Tỷ lệ],
(Table_BangLuong_TyLeTangCa[Ngày] = AM$3) *
(Table_BangLuong_TyLeTangCa[Giờ min]&lt;=$AA55) *
(Table_BangLuong_TyLeTangCa[Giờ max]&gt;$AA55)
))))
),
IF(ISBLANK(AM$7),
IF(VLOOKUP(AM$6, Table_ChiPhiNV_Ca[], COUNTA(Table_ChiPhiNV_Ca[[#Headers],[Ca]:[Kết thúc]]),0)&gt; VLOOKUP(AM$6, Table_ChiPhiNV_Ca[], COUNTA(Table_ChiPhiNV_Ca[[#Headers],[Ca]:[Bắt đầu]]),0),
IF($AA55-$Z$4&lt;MAX(AM$4,VLOOKUP(AM$6, Table_ChiPhiNV_Ca[], COUNTA(Table_ChiPhiNV_Ca[[#Headers],[Ca]:[Bắt đầu]]),0)),0,
IF($AA55&gt;MIN(AM$5,VLOOKUP(AM$6, Table_ChiPhiNV_Ca[], COUNTA(Table_ChiPhiNV_Ca[[#Headers],[Ca]:[Kết thúc]]),0)),0,
SUM(_xlfn._xlws.FILTER(Table_BangLuong_TyLeTangCa[Tỷ lệ],
(Table_BangLuong_TyLeTangCa[Ngày] = "Thường") *
(Table_BangLuong_TyLeTangCa[Giờ min]&lt;=$AA55) *
(Table_BangLuong_TyLeTangCa[Giờ max]&gt;$AA55)
)))),
IF(AM$4 &gt; AM$5,
IF(
AND(
$AA55-$Z$4&lt;MAX(AM$4,VLOOKUP(AM$6, Table_ChiPhiNV_Ca[], COUNTA(Table_ChiPhiNV_Ca[[#Headers],[Ca]:[Bắt đầu]]),0)),
$AA55&gt;MIN(AM$5,VLOOKUP(AM$6, Table_ChiPhiNV_Ca[], COUNTA(Table_ChiPhiNV_Ca[[#Headers],[Ca]:[Kết thúc]]),0))),0,
SUM(_xlfn._xlws.FILTER(Table_BangLuong_TyLeTangCa[Tỷ lệ],
(Table_BangLuong_TyLeTangCa[Ngày] = "Thường") *
(Table_BangLuong_TyLeTangCa[Giờ min]&lt;=$AA55) *
(Table_BangLuong_TyLeTangCa[Giờ max]&gt;$AA55)
))),
IF(
AND(
$AA55-$Z$4&gt;=MAX(AM$4,VLOOKUP(AM$6, Table_ChiPhiNV_Ca[], COUNTA(Table_ChiPhiNV_Ca[[#Headers],[Ca]:[Bắt đầu]]),0)),
$AA55&lt;MIN(AM$5,VLOOKUP(AM$6, Table_ChiPhiNV_Ca[], COUNTA(Table_ChiPhiNV_Ca[[#Headers],[Ca]:[Kết thúc]]),0))),
SUM(_xlfn._xlws.FILTER(Table_BangLuong_TyLeTangCa[Tỷ lệ],
(Table_BangLuong_TyLeTangCa[Ngày] = "Thường") *
(Table_BangLuong_TyLeTangCa[Giờ min]&lt;=$AA55) *
(Table_BangLuong_TyLeTangCa[Giờ max]&gt;$AA55)
)),0)
)),
IF(AM$4 &lt; AM$5,
IF($AA55-$Z$4&lt;AM$4,0,
IF($AA55&gt;AM$5,0,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AM$5,$AA55 &lt; AM$4),0,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N55" s="18" cm="1">
        <f t="array" ref="AN55" xml:space="preserve">
IFERROR(
IF(AN$1="",0,
IF(AND(
$AA55&gt;=VLOOKUP(AN$6, Table_ChiPhiNV_Ca[], COUNTA(Table_ChiPhiNV_Ca[[#Headers],[Ca]:[Bắt đầu nghỉ]]),0),
$AA55&lt;VLOOKUP(AN$6, Table_ChiPhiNV_Ca[], COUNTA(Table_ChiPhiNV_Ca[[#Headers],[Ca]:[Kết thúc nghỉ]]),0)
),0,
IF(NOT(ISBLANK(AN$3)),
IF(ISBLANK(AN$7),0,
IF(AN$4 &lt; AN$5,
IF($AA55-$Z$4&lt;AN$4,0,
IF($AA55&gt;AN$5,0,
SUM(_xlfn._xlws.FILTER(Table_BangLuong_TyLeTangCa[Tỷ lệ],
(Table_BangLuong_TyLeTangCa[Ngày] = AN$3) *
(Table_BangLuong_TyLeTangCa[Giờ min]&lt;=$AA55) *
(Table_BangLuong_TyLeTangCa[Giờ max]&gt;$AA55)
)))),
IF(AND($AA55-$Z$4 &gt;= AN$5,$AA55 &lt; AN$4),0,
SUM(_xlfn._xlws.FILTER(Table_BangLuong_TyLeTangCa[Tỷ lệ],
(Table_BangLuong_TyLeTangCa[Ngày] = AN$3) *
(Table_BangLuong_TyLeTangCa[Giờ min]&lt;=$AA55) *
(Table_BangLuong_TyLeTangCa[Giờ max]&gt;$AA55)
))))
),
IF(ISBLANK(AN$7),
IF(VLOOKUP(AN$6, Table_ChiPhiNV_Ca[], COUNTA(Table_ChiPhiNV_Ca[[#Headers],[Ca]:[Kết thúc]]),0)&gt; VLOOKUP(AN$6, Table_ChiPhiNV_Ca[], COUNTA(Table_ChiPhiNV_Ca[[#Headers],[Ca]:[Bắt đầu]]),0),
IF($AA55-$Z$4&lt;MAX(AN$4,VLOOKUP(AN$6, Table_ChiPhiNV_Ca[], COUNTA(Table_ChiPhiNV_Ca[[#Headers],[Ca]:[Bắt đầu]]),0)),0,
IF($AA55&gt;MIN(AN$5,VLOOKUP(AN$6, Table_ChiPhiNV_Ca[], COUNTA(Table_ChiPhiNV_Ca[[#Headers],[Ca]:[Kết thúc]]),0)),0,
SUM(_xlfn._xlws.FILTER(Table_BangLuong_TyLeTangCa[Tỷ lệ],
(Table_BangLuong_TyLeTangCa[Ngày] = "Thường") *
(Table_BangLuong_TyLeTangCa[Giờ min]&lt;=$AA55) *
(Table_BangLuong_TyLeTangCa[Giờ max]&gt;$AA55)
)))),
IF(AN$4 &gt; AN$5,
IF(
AND(
$AA55-$Z$4&lt;MAX(AN$4,VLOOKUP(AN$6, Table_ChiPhiNV_Ca[], COUNTA(Table_ChiPhiNV_Ca[[#Headers],[Ca]:[Bắt đầu]]),0)),
$AA55&gt;MIN(AN$5,VLOOKUP(AN$6, Table_ChiPhiNV_Ca[], COUNTA(Table_ChiPhiNV_Ca[[#Headers],[Ca]:[Kết thúc]]),0))),0,
SUM(_xlfn._xlws.FILTER(Table_BangLuong_TyLeTangCa[Tỷ lệ],
(Table_BangLuong_TyLeTangCa[Ngày] = "Thường") *
(Table_BangLuong_TyLeTangCa[Giờ min]&lt;=$AA55) *
(Table_BangLuong_TyLeTangCa[Giờ max]&gt;$AA55)
))),
IF(
AND(
$AA55-$Z$4&gt;=MAX(AN$4,VLOOKUP(AN$6, Table_ChiPhiNV_Ca[], COUNTA(Table_ChiPhiNV_Ca[[#Headers],[Ca]:[Bắt đầu]]),0)),
$AA55&lt;MIN(AN$5,VLOOKUP(AN$6, Table_ChiPhiNV_Ca[], COUNTA(Table_ChiPhiNV_Ca[[#Headers],[Ca]:[Kết thúc]]),0))),
SUM(_xlfn._xlws.FILTER(Table_BangLuong_TyLeTangCa[Tỷ lệ],
(Table_BangLuong_TyLeTangCa[Ngày] = "Thường") *
(Table_BangLuong_TyLeTangCa[Giờ min]&lt;=$AA55) *
(Table_BangLuong_TyLeTangCa[Giờ max]&gt;$AA55)
)),0)
)),
IF(AN$4 &lt; AN$5,
IF($AA55-$Z$4&lt;AN$4,0,
IF($AA55&gt;AN$5,0,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AN$5,$AA55 &lt; AN$4),0,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O55" s="18" cm="1">
        <f t="array" ref="AO55" xml:space="preserve">
IFERROR(
IF(AO$1="",0,
IF(AND(
$AA55&gt;=VLOOKUP(AO$6, Table_ChiPhiNV_Ca[], COUNTA(Table_ChiPhiNV_Ca[[#Headers],[Ca]:[Bắt đầu nghỉ]]),0),
$AA55&lt;VLOOKUP(AO$6, Table_ChiPhiNV_Ca[], COUNTA(Table_ChiPhiNV_Ca[[#Headers],[Ca]:[Kết thúc nghỉ]]),0)
),0,
IF(NOT(ISBLANK(AO$3)),
IF(ISBLANK(AO$7),0,
IF(AO$4 &lt; AO$5,
IF($AA55-$Z$4&lt;AO$4,0,
IF($AA55&gt;AO$5,0,
SUM(_xlfn._xlws.FILTER(Table_BangLuong_TyLeTangCa[Tỷ lệ],
(Table_BangLuong_TyLeTangCa[Ngày] = AO$3) *
(Table_BangLuong_TyLeTangCa[Giờ min]&lt;=$AA55) *
(Table_BangLuong_TyLeTangCa[Giờ max]&gt;$AA55)
)))),
IF(AND($AA55-$Z$4 &gt;= AO$5,$AA55 &lt; AO$4),0,
SUM(_xlfn._xlws.FILTER(Table_BangLuong_TyLeTangCa[Tỷ lệ],
(Table_BangLuong_TyLeTangCa[Ngày] = AO$3) *
(Table_BangLuong_TyLeTangCa[Giờ min]&lt;=$AA55) *
(Table_BangLuong_TyLeTangCa[Giờ max]&gt;$AA55)
))))
),
IF(ISBLANK(AO$7),
IF(VLOOKUP(AO$6, Table_ChiPhiNV_Ca[], COUNTA(Table_ChiPhiNV_Ca[[#Headers],[Ca]:[Kết thúc]]),0)&gt; VLOOKUP(AO$6, Table_ChiPhiNV_Ca[], COUNTA(Table_ChiPhiNV_Ca[[#Headers],[Ca]:[Bắt đầu]]),0),
IF($AA55-$Z$4&lt;MAX(AO$4,VLOOKUP(AO$6, Table_ChiPhiNV_Ca[], COUNTA(Table_ChiPhiNV_Ca[[#Headers],[Ca]:[Bắt đầu]]),0)),0,
IF($AA55&gt;MIN(AO$5,VLOOKUP(AO$6, Table_ChiPhiNV_Ca[], COUNTA(Table_ChiPhiNV_Ca[[#Headers],[Ca]:[Kết thúc]]),0)),0,
SUM(_xlfn._xlws.FILTER(Table_BangLuong_TyLeTangCa[Tỷ lệ],
(Table_BangLuong_TyLeTangCa[Ngày] = "Thường") *
(Table_BangLuong_TyLeTangCa[Giờ min]&lt;=$AA55) *
(Table_BangLuong_TyLeTangCa[Giờ max]&gt;$AA55)
)))),
IF(AO$4 &gt; AO$5,
IF(
AND(
$AA55-$Z$4&lt;MAX(AO$4,VLOOKUP(AO$6, Table_ChiPhiNV_Ca[], COUNTA(Table_ChiPhiNV_Ca[[#Headers],[Ca]:[Bắt đầu]]),0)),
$AA55&gt;MIN(AO$5,VLOOKUP(AO$6, Table_ChiPhiNV_Ca[], COUNTA(Table_ChiPhiNV_Ca[[#Headers],[Ca]:[Kết thúc]]),0))),0,
SUM(_xlfn._xlws.FILTER(Table_BangLuong_TyLeTangCa[Tỷ lệ],
(Table_BangLuong_TyLeTangCa[Ngày] = "Thường") *
(Table_BangLuong_TyLeTangCa[Giờ min]&lt;=$AA55) *
(Table_BangLuong_TyLeTangCa[Giờ max]&gt;$AA55)
))),
IF(
AND(
$AA55-$Z$4&gt;=MAX(AO$4,VLOOKUP(AO$6, Table_ChiPhiNV_Ca[], COUNTA(Table_ChiPhiNV_Ca[[#Headers],[Ca]:[Bắt đầu]]),0)),
$AA55&lt;MIN(AO$5,VLOOKUP(AO$6, Table_ChiPhiNV_Ca[], COUNTA(Table_ChiPhiNV_Ca[[#Headers],[Ca]:[Kết thúc]]),0))),
SUM(_xlfn._xlws.FILTER(Table_BangLuong_TyLeTangCa[Tỷ lệ],
(Table_BangLuong_TyLeTangCa[Ngày] = "Thường") *
(Table_BangLuong_TyLeTangCa[Giờ min]&lt;=$AA55) *
(Table_BangLuong_TyLeTangCa[Giờ max]&gt;$AA55)
)),0)
)),
IF(AO$4 &lt; AO$5,
IF($AA55-$Z$4&lt;AO$4,0,
IF($AA55&gt;AO$5,0,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AO$5,$AA55 &lt; AO$4),0,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P55" s="18" cm="1">
        <f t="array" ref="AP55" xml:space="preserve">
IFERROR(
IF(AP$1="",0,
IF(AND(
$AA55&gt;=VLOOKUP(AP$6, Table_ChiPhiNV_Ca[], COUNTA(Table_ChiPhiNV_Ca[[#Headers],[Ca]:[Bắt đầu nghỉ]]),0),
$AA55&lt;VLOOKUP(AP$6, Table_ChiPhiNV_Ca[], COUNTA(Table_ChiPhiNV_Ca[[#Headers],[Ca]:[Kết thúc nghỉ]]),0)
),0,
IF(NOT(ISBLANK(AP$3)),
IF(ISBLANK(AP$7),0,
IF(AP$4 &lt; AP$5,
IF($AA55-$Z$4&lt;AP$4,0,
IF($AA55&gt;AP$5,0,
SUM(_xlfn._xlws.FILTER(Table_BangLuong_TyLeTangCa[Tỷ lệ],
(Table_BangLuong_TyLeTangCa[Ngày] = AP$3) *
(Table_BangLuong_TyLeTangCa[Giờ min]&lt;=$AA55) *
(Table_BangLuong_TyLeTangCa[Giờ max]&gt;$AA55)
)))),
IF(AND($AA55-$Z$4 &gt;= AP$5,$AA55 &lt; AP$4),0,
SUM(_xlfn._xlws.FILTER(Table_BangLuong_TyLeTangCa[Tỷ lệ],
(Table_BangLuong_TyLeTangCa[Ngày] = AP$3) *
(Table_BangLuong_TyLeTangCa[Giờ min]&lt;=$AA55) *
(Table_BangLuong_TyLeTangCa[Giờ max]&gt;$AA55)
))))
),
IF(ISBLANK(AP$7),
IF(VLOOKUP(AP$6, Table_ChiPhiNV_Ca[], COUNTA(Table_ChiPhiNV_Ca[[#Headers],[Ca]:[Kết thúc]]),0)&gt; VLOOKUP(AP$6, Table_ChiPhiNV_Ca[], COUNTA(Table_ChiPhiNV_Ca[[#Headers],[Ca]:[Bắt đầu]]),0),
IF($AA55-$Z$4&lt;MAX(AP$4,VLOOKUP(AP$6, Table_ChiPhiNV_Ca[], COUNTA(Table_ChiPhiNV_Ca[[#Headers],[Ca]:[Bắt đầu]]),0)),0,
IF($AA55&gt;MIN(AP$5,VLOOKUP(AP$6, Table_ChiPhiNV_Ca[], COUNTA(Table_ChiPhiNV_Ca[[#Headers],[Ca]:[Kết thúc]]),0)),0,
SUM(_xlfn._xlws.FILTER(Table_BangLuong_TyLeTangCa[Tỷ lệ],
(Table_BangLuong_TyLeTangCa[Ngày] = "Thường") *
(Table_BangLuong_TyLeTangCa[Giờ min]&lt;=$AA55) *
(Table_BangLuong_TyLeTangCa[Giờ max]&gt;$AA55)
)))),
IF(AP$4 &gt; AP$5,
IF(
AND(
$AA55-$Z$4&lt;MAX(AP$4,VLOOKUP(AP$6, Table_ChiPhiNV_Ca[], COUNTA(Table_ChiPhiNV_Ca[[#Headers],[Ca]:[Bắt đầu]]),0)),
$AA55&gt;MIN(AP$5,VLOOKUP(AP$6, Table_ChiPhiNV_Ca[], COUNTA(Table_ChiPhiNV_Ca[[#Headers],[Ca]:[Kết thúc]]),0))),0,
SUM(_xlfn._xlws.FILTER(Table_BangLuong_TyLeTangCa[Tỷ lệ],
(Table_BangLuong_TyLeTangCa[Ngày] = "Thường") *
(Table_BangLuong_TyLeTangCa[Giờ min]&lt;=$AA55) *
(Table_BangLuong_TyLeTangCa[Giờ max]&gt;$AA55)
))),
IF(
AND(
$AA55-$Z$4&gt;=MAX(AP$4,VLOOKUP(AP$6, Table_ChiPhiNV_Ca[], COUNTA(Table_ChiPhiNV_Ca[[#Headers],[Ca]:[Bắt đầu]]),0)),
$AA55&lt;MIN(AP$5,VLOOKUP(AP$6, Table_ChiPhiNV_Ca[], COUNTA(Table_ChiPhiNV_Ca[[#Headers],[Ca]:[Kết thúc]]),0))),
SUM(_xlfn._xlws.FILTER(Table_BangLuong_TyLeTangCa[Tỷ lệ],
(Table_BangLuong_TyLeTangCa[Ngày] = "Thường") *
(Table_BangLuong_TyLeTangCa[Giờ min]&lt;=$AA55) *
(Table_BangLuong_TyLeTangCa[Giờ max]&gt;$AA55)
)),0)
)),
IF(AP$4 &lt; AP$5,
IF($AA55-$Z$4&lt;AP$4,0,
IF($AA55&gt;AP$5,0,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AP$5,$AA55 &lt; AP$4),0,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Q55" s="18" cm="1">
        <f t="array" ref="AQ55" xml:space="preserve">
IFERROR(
IF(AQ$1="",0,
IF(AND(
$AA55&gt;=VLOOKUP(AQ$6, Table_ChiPhiNV_Ca[], COUNTA(Table_ChiPhiNV_Ca[[#Headers],[Ca]:[Bắt đầu nghỉ]]),0),
$AA55&lt;VLOOKUP(AQ$6, Table_ChiPhiNV_Ca[], COUNTA(Table_ChiPhiNV_Ca[[#Headers],[Ca]:[Kết thúc nghỉ]]),0)
),0,
IF(NOT(ISBLANK(AQ$3)),
IF(ISBLANK(AQ$7),0,
IF(AQ$4 &lt; AQ$5,
IF($AA55-$Z$4&lt;AQ$4,0,
IF($AA55&gt;AQ$5,0,
SUM(_xlfn._xlws.FILTER(Table_BangLuong_TyLeTangCa[Tỷ lệ],
(Table_BangLuong_TyLeTangCa[Ngày] = AQ$3) *
(Table_BangLuong_TyLeTangCa[Giờ min]&lt;=$AA55) *
(Table_BangLuong_TyLeTangCa[Giờ max]&gt;$AA55)
)))),
IF(AND($AA55-$Z$4 &gt;= AQ$5,$AA55 &lt; AQ$4),0,
SUM(_xlfn._xlws.FILTER(Table_BangLuong_TyLeTangCa[Tỷ lệ],
(Table_BangLuong_TyLeTangCa[Ngày] = AQ$3) *
(Table_BangLuong_TyLeTangCa[Giờ min]&lt;=$AA55) *
(Table_BangLuong_TyLeTangCa[Giờ max]&gt;$AA55)
))))
),
IF(ISBLANK(AQ$7),
IF(VLOOKUP(AQ$6, Table_ChiPhiNV_Ca[], COUNTA(Table_ChiPhiNV_Ca[[#Headers],[Ca]:[Kết thúc]]),0)&gt; VLOOKUP(AQ$6, Table_ChiPhiNV_Ca[], COUNTA(Table_ChiPhiNV_Ca[[#Headers],[Ca]:[Bắt đầu]]),0),
IF($AA55-$Z$4&lt;MAX(AQ$4,VLOOKUP(AQ$6, Table_ChiPhiNV_Ca[], COUNTA(Table_ChiPhiNV_Ca[[#Headers],[Ca]:[Bắt đầu]]),0)),0,
IF($AA55&gt;MIN(AQ$5,VLOOKUP(AQ$6, Table_ChiPhiNV_Ca[], COUNTA(Table_ChiPhiNV_Ca[[#Headers],[Ca]:[Kết thúc]]),0)),0,
SUM(_xlfn._xlws.FILTER(Table_BangLuong_TyLeTangCa[Tỷ lệ],
(Table_BangLuong_TyLeTangCa[Ngày] = "Thường") *
(Table_BangLuong_TyLeTangCa[Giờ min]&lt;=$AA55) *
(Table_BangLuong_TyLeTangCa[Giờ max]&gt;$AA55)
)))),
IF(AQ$4 &gt; AQ$5,
IF(
AND(
$AA55-$Z$4&lt;MAX(AQ$4,VLOOKUP(AQ$6, Table_ChiPhiNV_Ca[], COUNTA(Table_ChiPhiNV_Ca[[#Headers],[Ca]:[Bắt đầu]]),0)),
$AA55&gt;MIN(AQ$5,VLOOKUP(AQ$6, Table_ChiPhiNV_Ca[], COUNTA(Table_ChiPhiNV_Ca[[#Headers],[Ca]:[Kết thúc]]),0))),0,
SUM(_xlfn._xlws.FILTER(Table_BangLuong_TyLeTangCa[Tỷ lệ],
(Table_BangLuong_TyLeTangCa[Ngày] = "Thường") *
(Table_BangLuong_TyLeTangCa[Giờ min]&lt;=$AA55) *
(Table_BangLuong_TyLeTangCa[Giờ max]&gt;$AA55)
))),
IF(
AND(
$AA55-$Z$4&gt;=MAX(AQ$4,VLOOKUP(AQ$6, Table_ChiPhiNV_Ca[], COUNTA(Table_ChiPhiNV_Ca[[#Headers],[Ca]:[Bắt đầu]]),0)),
$AA55&lt;MIN(AQ$5,VLOOKUP(AQ$6, Table_ChiPhiNV_Ca[], COUNTA(Table_ChiPhiNV_Ca[[#Headers],[Ca]:[Kết thúc]]),0))),
SUM(_xlfn._xlws.FILTER(Table_BangLuong_TyLeTangCa[Tỷ lệ],
(Table_BangLuong_TyLeTangCa[Ngày] = "Thường") *
(Table_BangLuong_TyLeTangCa[Giờ min]&lt;=$AA55) *
(Table_BangLuong_TyLeTangCa[Giờ max]&gt;$AA55)
)),0)
)),
IF(AQ$4 &lt; AQ$5,
IF($AA55-$Z$4&lt;AQ$4,0,
IF($AA55&gt;AQ$5,0,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AQ$5,$AA55 &lt; AQ$4),0,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R55" s="18" cm="1">
        <f t="array" ref="AR55" xml:space="preserve">
IFERROR(
IF(AR$1="",0,
IF(AND(
$AA55&gt;=VLOOKUP(AR$6, Table_ChiPhiNV_Ca[], COUNTA(Table_ChiPhiNV_Ca[[#Headers],[Ca]:[Bắt đầu nghỉ]]),0),
$AA55&lt;VLOOKUP(AR$6, Table_ChiPhiNV_Ca[], COUNTA(Table_ChiPhiNV_Ca[[#Headers],[Ca]:[Kết thúc nghỉ]]),0)
),0,
IF(NOT(ISBLANK(AR$3)),
IF(ISBLANK(AR$7),0,
IF(AR$4 &lt; AR$5,
IF($AA55-$Z$4&lt;AR$4,0,
IF($AA55&gt;AR$5,0,
SUM(_xlfn._xlws.FILTER(Table_BangLuong_TyLeTangCa[Tỷ lệ],
(Table_BangLuong_TyLeTangCa[Ngày] = AR$3) *
(Table_BangLuong_TyLeTangCa[Giờ min]&lt;=$AA55) *
(Table_BangLuong_TyLeTangCa[Giờ max]&gt;$AA55)
)))),
IF(AND($AA55-$Z$4 &gt;= AR$5,$AA55 &lt; AR$4),0,
SUM(_xlfn._xlws.FILTER(Table_BangLuong_TyLeTangCa[Tỷ lệ],
(Table_BangLuong_TyLeTangCa[Ngày] = AR$3) *
(Table_BangLuong_TyLeTangCa[Giờ min]&lt;=$AA55) *
(Table_BangLuong_TyLeTangCa[Giờ max]&gt;$AA55)
))))
),
IF(ISBLANK(AR$7),
IF(VLOOKUP(AR$6, Table_ChiPhiNV_Ca[], COUNTA(Table_ChiPhiNV_Ca[[#Headers],[Ca]:[Kết thúc]]),0)&gt; VLOOKUP(AR$6, Table_ChiPhiNV_Ca[], COUNTA(Table_ChiPhiNV_Ca[[#Headers],[Ca]:[Bắt đầu]]),0),
IF($AA55-$Z$4&lt;MAX(AR$4,VLOOKUP(AR$6, Table_ChiPhiNV_Ca[], COUNTA(Table_ChiPhiNV_Ca[[#Headers],[Ca]:[Bắt đầu]]),0)),0,
IF($AA55&gt;MIN(AR$5,VLOOKUP(AR$6, Table_ChiPhiNV_Ca[], COUNTA(Table_ChiPhiNV_Ca[[#Headers],[Ca]:[Kết thúc]]),0)),0,
SUM(_xlfn._xlws.FILTER(Table_BangLuong_TyLeTangCa[Tỷ lệ],
(Table_BangLuong_TyLeTangCa[Ngày] = "Thường") *
(Table_BangLuong_TyLeTangCa[Giờ min]&lt;=$AA55) *
(Table_BangLuong_TyLeTangCa[Giờ max]&gt;$AA55)
)))),
IF(AR$4 &gt; AR$5,
IF(
AND(
$AA55-$Z$4&lt;MAX(AR$4,VLOOKUP(AR$6, Table_ChiPhiNV_Ca[], COUNTA(Table_ChiPhiNV_Ca[[#Headers],[Ca]:[Bắt đầu]]),0)),
$AA55&gt;MIN(AR$5,VLOOKUP(AR$6, Table_ChiPhiNV_Ca[], COUNTA(Table_ChiPhiNV_Ca[[#Headers],[Ca]:[Kết thúc]]),0))),0,
SUM(_xlfn._xlws.FILTER(Table_BangLuong_TyLeTangCa[Tỷ lệ],
(Table_BangLuong_TyLeTangCa[Ngày] = "Thường") *
(Table_BangLuong_TyLeTangCa[Giờ min]&lt;=$AA55) *
(Table_BangLuong_TyLeTangCa[Giờ max]&gt;$AA55)
))),
IF(
AND(
$AA55-$Z$4&gt;=MAX(AR$4,VLOOKUP(AR$6, Table_ChiPhiNV_Ca[], COUNTA(Table_ChiPhiNV_Ca[[#Headers],[Ca]:[Bắt đầu]]),0)),
$AA55&lt;MIN(AR$5,VLOOKUP(AR$6, Table_ChiPhiNV_Ca[], COUNTA(Table_ChiPhiNV_Ca[[#Headers],[Ca]:[Kết thúc]]),0))),
SUM(_xlfn._xlws.FILTER(Table_BangLuong_TyLeTangCa[Tỷ lệ],
(Table_BangLuong_TyLeTangCa[Ngày] = "Thường") *
(Table_BangLuong_TyLeTangCa[Giờ min]&lt;=$AA55) *
(Table_BangLuong_TyLeTangCa[Giờ max]&gt;$AA55)
)),0)
)),
IF(AR$4 &lt; AR$5,
IF($AA55-$Z$4&lt;AR$4,0,
IF($AA55&gt;AR$5,0,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AR$5,$AA55 &lt; AR$4),0,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S55" s="18" cm="1">
        <f t="array" ref="AS55" xml:space="preserve">
IFERROR(
IF(AS$1="",0,
IF(AND(
$AA55&gt;=VLOOKUP(AS$6, Table_ChiPhiNV_Ca[], COUNTA(Table_ChiPhiNV_Ca[[#Headers],[Ca]:[Bắt đầu nghỉ]]),0),
$AA55&lt;VLOOKUP(AS$6, Table_ChiPhiNV_Ca[], COUNTA(Table_ChiPhiNV_Ca[[#Headers],[Ca]:[Kết thúc nghỉ]]),0)
),0,
IF(NOT(ISBLANK(AS$3)),
IF(ISBLANK(AS$7),0,
IF(AS$4 &lt; AS$5,
IF($AA55-$Z$4&lt;AS$4,0,
IF($AA55&gt;AS$5,0,
SUM(_xlfn._xlws.FILTER(Table_BangLuong_TyLeTangCa[Tỷ lệ],
(Table_BangLuong_TyLeTangCa[Ngày] = AS$3) *
(Table_BangLuong_TyLeTangCa[Giờ min]&lt;=$AA55) *
(Table_BangLuong_TyLeTangCa[Giờ max]&gt;$AA55)
)))),
IF(AND($AA55-$Z$4 &gt;= AS$5,$AA55 &lt; AS$4),0,
SUM(_xlfn._xlws.FILTER(Table_BangLuong_TyLeTangCa[Tỷ lệ],
(Table_BangLuong_TyLeTangCa[Ngày] = AS$3) *
(Table_BangLuong_TyLeTangCa[Giờ min]&lt;=$AA55) *
(Table_BangLuong_TyLeTangCa[Giờ max]&gt;$AA55)
))))
),
IF(ISBLANK(AS$7),
IF(VLOOKUP(AS$6, Table_ChiPhiNV_Ca[], COUNTA(Table_ChiPhiNV_Ca[[#Headers],[Ca]:[Kết thúc]]),0)&gt; VLOOKUP(AS$6, Table_ChiPhiNV_Ca[], COUNTA(Table_ChiPhiNV_Ca[[#Headers],[Ca]:[Bắt đầu]]),0),
IF($AA55-$Z$4&lt;MAX(AS$4,VLOOKUP(AS$6, Table_ChiPhiNV_Ca[], COUNTA(Table_ChiPhiNV_Ca[[#Headers],[Ca]:[Bắt đầu]]),0)),0,
IF($AA55&gt;MIN(AS$5,VLOOKUP(AS$6, Table_ChiPhiNV_Ca[], COUNTA(Table_ChiPhiNV_Ca[[#Headers],[Ca]:[Kết thúc]]),0)),0,
SUM(_xlfn._xlws.FILTER(Table_BangLuong_TyLeTangCa[Tỷ lệ],
(Table_BangLuong_TyLeTangCa[Ngày] = "Thường") *
(Table_BangLuong_TyLeTangCa[Giờ min]&lt;=$AA55) *
(Table_BangLuong_TyLeTangCa[Giờ max]&gt;$AA55)
)))),
IF(AS$4 &gt; AS$5,
IF(
AND(
$AA55-$Z$4&lt;MAX(AS$4,VLOOKUP(AS$6, Table_ChiPhiNV_Ca[], COUNTA(Table_ChiPhiNV_Ca[[#Headers],[Ca]:[Bắt đầu]]),0)),
$AA55&gt;MIN(AS$5,VLOOKUP(AS$6, Table_ChiPhiNV_Ca[], COUNTA(Table_ChiPhiNV_Ca[[#Headers],[Ca]:[Kết thúc]]),0))),0,
SUM(_xlfn._xlws.FILTER(Table_BangLuong_TyLeTangCa[Tỷ lệ],
(Table_BangLuong_TyLeTangCa[Ngày] = "Thường") *
(Table_BangLuong_TyLeTangCa[Giờ min]&lt;=$AA55) *
(Table_BangLuong_TyLeTangCa[Giờ max]&gt;$AA55)
))),
IF(
AND(
$AA55-$Z$4&gt;=MAX(AS$4,VLOOKUP(AS$6, Table_ChiPhiNV_Ca[], COUNTA(Table_ChiPhiNV_Ca[[#Headers],[Ca]:[Bắt đầu]]),0)),
$AA55&lt;MIN(AS$5,VLOOKUP(AS$6, Table_ChiPhiNV_Ca[], COUNTA(Table_ChiPhiNV_Ca[[#Headers],[Ca]:[Kết thúc]]),0))),
SUM(_xlfn._xlws.FILTER(Table_BangLuong_TyLeTangCa[Tỷ lệ],
(Table_BangLuong_TyLeTangCa[Ngày] = "Thường") *
(Table_BangLuong_TyLeTangCa[Giờ min]&lt;=$AA55) *
(Table_BangLuong_TyLeTangCa[Giờ max]&gt;$AA55)
)),0)
)),
IF(AS$4 &lt; AS$5,
IF($AA55-$Z$4&lt;AS$4,0,
IF($AA55&gt;AS$5,0,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AS$5,$AA55 &lt; AS$4),0,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T55" s="18" cm="1">
        <f t="array" ref="AT55" xml:space="preserve">
IFERROR(
IF(AT$1="",0,
IF(AND(
$AA55&gt;=VLOOKUP(AT$6, Table_ChiPhiNV_Ca[], COUNTA(Table_ChiPhiNV_Ca[[#Headers],[Ca]:[Bắt đầu nghỉ]]),0),
$AA55&lt;VLOOKUP(AT$6, Table_ChiPhiNV_Ca[], COUNTA(Table_ChiPhiNV_Ca[[#Headers],[Ca]:[Kết thúc nghỉ]]),0)
),0,
IF(NOT(ISBLANK(AT$3)),
IF(ISBLANK(AT$7),0,
IF(AT$4 &lt; AT$5,
IF($AA55-$Z$4&lt;AT$4,0,
IF($AA55&gt;AT$5,0,
SUM(_xlfn._xlws.FILTER(Table_BangLuong_TyLeTangCa[Tỷ lệ],
(Table_BangLuong_TyLeTangCa[Ngày] = AT$3) *
(Table_BangLuong_TyLeTangCa[Giờ min]&lt;=$AA55) *
(Table_BangLuong_TyLeTangCa[Giờ max]&gt;$AA55)
)))),
IF(AND($AA55-$Z$4 &gt;= AT$5,$AA55 &lt; AT$4),0,
SUM(_xlfn._xlws.FILTER(Table_BangLuong_TyLeTangCa[Tỷ lệ],
(Table_BangLuong_TyLeTangCa[Ngày] = AT$3) *
(Table_BangLuong_TyLeTangCa[Giờ min]&lt;=$AA55) *
(Table_BangLuong_TyLeTangCa[Giờ max]&gt;$AA55)
))))
),
IF(ISBLANK(AT$7),
IF(VLOOKUP(AT$6, Table_ChiPhiNV_Ca[], COUNTA(Table_ChiPhiNV_Ca[[#Headers],[Ca]:[Kết thúc]]),0)&gt; VLOOKUP(AT$6, Table_ChiPhiNV_Ca[], COUNTA(Table_ChiPhiNV_Ca[[#Headers],[Ca]:[Bắt đầu]]),0),
IF($AA55-$Z$4&lt;MAX(AT$4,VLOOKUP(AT$6, Table_ChiPhiNV_Ca[], COUNTA(Table_ChiPhiNV_Ca[[#Headers],[Ca]:[Bắt đầu]]),0)),0,
IF($AA55&gt;MIN(AT$5,VLOOKUP(AT$6, Table_ChiPhiNV_Ca[], COUNTA(Table_ChiPhiNV_Ca[[#Headers],[Ca]:[Kết thúc]]),0)),0,
SUM(_xlfn._xlws.FILTER(Table_BangLuong_TyLeTangCa[Tỷ lệ],
(Table_BangLuong_TyLeTangCa[Ngày] = "Thường") *
(Table_BangLuong_TyLeTangCa[Giờ min]&lt;=$AA55) *
(Table_BangLuong_TyLeTangCa[Giờ max]&gt;$AA55)
)))),
IF(AT$4 &gt; AT$5,
IF(
AND(
$AA55-$Z$4&lt;MAX(AT$4,VLOOKUP(AT$6, Table_ChiPhiNV_Ca[], COUNTA(Table_ChiPhiNV_Ca[[#Headers],[Ca]:[Bắt đầu]]),0)),
$AA55&gt;MIN(AT$5,VLOOKUP(AT$6, Table_ChiPhiNV_Ca[], COUNTA(Table_ChiPhiNV_Ca[[#Headers],[Ca]:[Kết thúc]]),0))),0,
SUM(_xlfn._xlws.FILTER(Table_BangLuong_TyLeTangCa[Tỷ lệ],
(Table_BangLuong_TyLeTangCa[Ngày] = "Thường") *
(Table_BangLuong_TyLeTangCa[Giờ min]&lt;=$AA55) *
(Table_BangLuong_TyLeTangCa[Giờ max]&gt;$AA55)
))),
IF(
AND(
$AA55-$Z$4&gt;=MAX(AT$4,VLOOKUP(AT$6, Table_ChiPhiNV_Ca[], COUNTA(Table_ChiPhiNV_Ca[[#Headers],[Ca]:[Bắt đầu]]),0)),
$AA55&lt;MIN(AT$5,VLOOKUP(AT$6, Table_ChiPhiNV_Ca[], COUNTA(Table_ChiPhiNV_Ca[[#Headers],[Ca]:[Kết thúc]]),0))),
SUM(_xlfn._xlws.FILTER(Table_BangLuong_TyLeTangCa[Tỷ lệ],
(Table_BangLuong_TyLeTangCa[Ngày] = "Thường") *
(Table_BangLuong_TyLeTangCa[Giờ min]&lt;=$AA55) *
(Table_BangLuong_TyLeTangCa[Giờ max]&gt;$AA55)
)),0)
)),
IF(AT$4 &lt; AT$5,
IF($AA55-$Z$4&lt;AT$4,0,
IF($AA55&gt;AT$5,0,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AT$5,$AA55 &lt; AT$4),0,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U55" s="18" cm="1">
        <f t="array" ref="AU55" xml:space="preserve">
IFERROR(
IF(AU$1="",0,
IF(AND(
$AA55&gt;=VLOOKUP(AU$6, Table_ChiPhiNV_Ca[], COUNTA(Table_ChiPhiNV_Ca[[#Headers],[Ca]:[Bắt đầu nghỉ]]),0),
$AA55&lt;VLOOKUP(AU$6, Table_ChiPhiNV_Ca[], COUNTA(Table_ChiPhiNV_Ca[[#Headers],[Ca]:[Kết thúc nghỉ]]),0)
),0,
IF(NOT(ISBLANK(AU$3)),
IF(ISBLANK(AU$7),0,
IF(AU$4 &lt; AU$5,
IF($AA55-$Z$4&lt;AU$4,0,
IF($AA55&gt;AU$5,0,
SUM(_xlfn._xlws.FILTER(Table_BangLuong_TyLeTangCa[Tỷ lệ],
(Table_BangLuong_TyLeTangCa[Ngày] = AU$3) *
(Table_BangLuong_TyLeTangCa[Giờ min]&lt;=$AA55) *
(Table_BangLuong_TyLeTangCa[Giờ max]&gt;$AA55)
)))),
IF(AND($AA55-$Z$4 &gt;= AU$5,$AA55 &lt; AU$4),0,
SUM(_xlfn._xlws.FILTER(Table_BangLuong_TyLeTangCa[Tỷ lệ],
(Table_BangLuong_TyLeTangCa[Ngày] = AU$3) *
(Table_BangLuong_TyLeTangCa[Giờ min]&lt;=$AA55) *
(Table_BangLuong_TyLeTangCa[Giờ max]&gt;$AA55)
))))
),
IF(ISBLANK(AU$7),
IF(VLOOKUP(AU$6, Table_ChiPhiNV_Ca[], COUNTA(Table_ChiPhiNV_Ca[[#Headers],[Ca]:[Kết thúc]]),0)&gt; VLOOKUP(AU$6, Table_ChiPhiNV_Ca[], COUNTA(Table_ChiPhiNV_Ca[[#Headers],[Ca]:[Bắt đầu]]),0),
IF($AA55-$Z$4&lt;MAX(AU$4,VLOOKUP(AU$6, Table_ChiPhiNV_Ca[], COUNTA(Table_ChiPhiNV_Ca[[#Headers],[Ca]:[Bắt đầu]]),0)),0,
IF($AA55&gt;MIN(AU$5,VLOOKUP(AU$6, Table_ChiPhiNV_Ca[], COUNTA(Table_ChiPhiNV_Ca[[#Headers],[Ca]:[Kết thúc]]),0)),0,
SUM(_xlfn._xlws.FILTER(Table_BangLuong_TyLeTangCa[Tỷ lệ],
(Table_BangLuong_TyLeTangCa[Ngày] = "Thường") *
(Table_BangLuong_TyLeTangCa[Giờ min]&lt;=$AA55) *
(Table_BangLuong_TyLeTangCa[Giờ max]&gt;$AA55)
)))),
IF(AU$4 &gt; AU$5,
IF(
AND(
$AA55-$Z$4&lt;MAX(AU$4,VLOOKUP(AU$6, Table_ChiPhiNV_Ca[], COUNTA(Table_ChiPhiNV_Ca[[#Headers],[Ca]:[Bắt đầu]]),0)),
$AA55&gt;MIN(AU$5,VLOOKUP(AU$6, Table_ChiPhiNV_Ca[], COUNTA(Table_ChiPhiNV_Ca[[#Headers],[Ca]:[Kết thúc]]),0))),0,
SUM(_xlfn._xlws.FILTER(Table_BangLuong_TyLeTangCa[Tỷ lệ],
(Table_BangLuong_TyLeTangCa[Ngày] = "Thường") *
(Table_BangLuong_TyLeTangCa[Giờ min]&lt;=$AA55) *
(Table_BangLuong_TyLeTangCa[Giờ max]&gt;$AA55)
))),
IF(
AND(
$AA55-$Z$4&gt;=MAX(AU$4,VLOOKUP(AU$6, Table_ChiPhiNV_Ca[], COUNTA(Table_ChiPhiNV_Ca[[#Headers],[Ca]:[Bắt đầu]]),0)),
$AA55&lt;MIN(AU$5,VLOOKUP(AU$6, Table_ChiPhiNV_Ca[], COUNTA(Table_ChiPhiNV_Ca[[#Headers],[Ca]:[Kết thúc]]),0))),
SUM(_xlfn._xlws.FILTER(Table_BangLuong_TyLeTangCa[Tỷ lệ],
(Table_BangLuong_TyLeTangCa[Ngày] = "Thường") *
(Table_BangLuong_TyLeTangCa[Giờ min]&lt;=$AA55) *
(Table_BangLuong_TyLeTangCa[Giờ max]&gt;$AA55)
)),0)
)),
IF(AU$4 &lt; AU$5,
IF($AA55-$Z$4&lt;AU$4,0,
IF($AA55&gt;AU$5,0,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AU$5,$AA55 &lt; AU$4),0,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V55" s="18" cm="1">
        <f t="array" ref="AV55" xml:space="preserve">
IFERROR(
IF(AV$1="",0,
IF(AND(
$AA55&gt;=VLOOKUP(AV$6, Table_ChiPhiNV_Ca[], COUNTA(Table_ChiPhiNV_Ca[[#Headers],[Ca]:[Bắt đầu nghỉ]]),0),
$AA55&lt;VLOOKUP(AV$6, Table_ChiPhiNV_Ca[], COUNTA(Table_ChiPhiNV_Ca[[#Headers],[Ca]:[Kết thúc nghỉ]]),0)
),0,
IF(NOT(ISBLANK(AV$3)),
IF(ISBLANK(AV$7),0,
IF(AV$4 &lt; AV$5,
IF($AA55-$Z$4&lt;AV$4,0,
IF($AA55&gt;AV$5,0,
SUM(_xlfn._xlws.FILTER(Table_BangLuong_TyLeTangCa[Tỷ lệ],
(Table_BangLuong_TyLeTangCa[Ngày] = AV$3) *
(Table_BangLuong_TyLeTangCa[Giờ min]&lt;=$AA55) *
(Table_BangLuong_TyLeTangCa[Giờ max]&gt;$AA55)
)))),
IF(AND($AA55-$Z$4 &gt;= AV$5,$AA55 &lt; AV$4),0,
SUM(_xlfn._xlws.FILTER(Table_BangLuong_TyLeTangCa[Tỷ lệ],
(Table_BangLuong_TyLeTangCa[Ngày] = AV$3) *
(Table_BangLuong_TyLeTangCa[Giờ min]&lt;=$AA55) *
(Table_BangLuong_TyLeTangCa[Giờ max]&gt;$AA55)
))))
),
IF(ISBLANK(AV$7),
IF(VLOOKUP(AV$6, Table_ChiPhiNV_Ca[], COUNTA(Table_ChiPhiNV_Ca[[#Headers],[Ca]:[Kết thúc]]),0)&gt; VLOOKUP(AV$6, Table_ChiPhiNV_Ca[], COUNTA(Table_ChiPhiNV_Ca[[#Headers],[Ca]:[Bắt đầu]]),0),
IF($AA55-$Z$4&lt;MAX(AV$4,VLOOKUP(AV$6, Table_ChiPhiNV_Ca[], COUNTA(Table_ChiPhiNV_Ca[[#Headers],[Ca]:[Bắt đầu]]),0)),0,
IF($AA55&gt;MIN(AV$5,VLOOKUP(AV$6, Table_ChiPhiNV_Ca[], COUNTA(Table_ChiPhiNV_Ca[[#Headers],[Ca]:[Kết thúc]]),0)),0,
SUM(_xlfn._xlws.FILTER(Table_BangLuong_TyLeTangCa[Tỷ lệ],
(Table_BangLuong_TyLeTangCa[Ngày] = "Thường") *
(Table_BangLuong_TyLeTangCa[Giờ min]&lt;=$AA55) *
(Table_BangLuong_TyLeTangCa[Giờ max]&gt;$AA55)
)))),
IF(AV$4 &gt; AV$5,
IF(
AND(
$AA55-$Z$4&lt;MAX(AV$4,VLOOKUP(AV$6, Table_ChiPhiNV_Ca[], COUNTA(Table_ChiPhiNV_Ca[[#Headers],[Ca]:[Bắt đầu]]),0)),
$AA55&gt;MIN(AV$5,VLOOKUP(AV$6, Table_ChiPhiNV_Ca[], COUNTA(Table_ChiPhiNV_Ca[[#Headers],[Ca]:[Kết thúc]]),0))),0,
SUM(_xlfn._xlws.FILTER(Table_BangLuong_TyLeTangCa[Tỷ lệ],
(Table_BangLuong_TyLeTangCa[Ngày] = "Thường") *
(Table_BangLuong_TyLeTangCa[Giờ min]&lt;=$AA55) *
(Table_BangLuong_TyLeTangCa[Giờ max]&gt;$AA55)
))),
IF(
AND(
$AA55-$Z$4&gt;=MAX(AV$4,VLOOKUP(AV$6, Table_ChiPhiNV_Ca[], COUNTA(Table_ChiPhiNV_Ca[[#Headers],[Ca]:[Bắt đầu]]),0)),
$AA55&lt;MIN(AV$5,VLOOKUP(AV$6, Table_ChiPhiNV_Ca[], COUNTA(Table_ChiPhiNV_Ca[[#Headers],[Ca]:[Kết thúc]]),0))),
SUM(_xlfn._xlws.FILTER(Table_BangLuong_TyLeTangCa[Tỷ lệ],
(Table_BangLuong_TyLeTangCa[Ngày] = "Thường") *
(Table_BangLuong_TyLeTangCa[Giờ min]&lt;=$AA55) *
(Table_BangLuong_TyLeTangCa[Giờ max]&gt;$AA55)
)),0)
)),
IF(AV$4 &lt; AV$5,
IF($AA55-$Z$4&lt;AV$4,0,
IF($AA55&gt;AV$5,0,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AV$5,$AA55 &lt; AV$4),0,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W55" s="18" cm="1">
        <f t="array" ref="AW55" xml:space="preserve">
IFERROR(
IF(AW$1="",0,
IF(AND(
$AA55&gt;=VLOOKUP(AW$6, Table_ChiPhiNV_Ca[], COUNTA(Table_ChiPhiNV_Ca[[#Headers],[Ca]:[Bắt đầu nghỉ]]),0),
$AA55&lt;VLOOKUP(AW$6, Table_ChiPhiNV_Ca[], COUNTA(Table_ChiPhiNV_Ca[[#Headers],[Ca]:[Kết thúc nghỉ]]),0)
),0,
IF(NOT(ISBLANK(AW$3)),
IF(ISBLANK(AW$7),0,
IF(AW$4 &lt; AW$5,
IF($AA55-$Z$4&lt;AW$4,0,
IF($AA55&gt;AW$5,0,
SUM(_xlfn._xlws.FILTER(Table_BangLuong_TyLeTangCa[Tỷ lệ],
(Table_BangLuong_TyLeTangCa[Ngày] = AW$3) *
(Table_BangLuong_TyLeTangCa[Giờ min]&lt;=$AA55) *
(Table_BangLuong_TyLeTangCa[Giờ max]&gt;$AA55)
)))),
IF(AND($AA55-$Z$4 &gt;= AW$5,$AA55 &lt; AW$4),0,
SUM(_xlfn._xlws.FILTER(Table_BangLuong_TyLeTangCa[Tỷ lệ],
(Table_BangLuong_TyLeTangCa[Ngày] = AW$3) *
(Table_BangLuong_TyLeTangCa[Giờ min]&lt;=$AA55) *
(Table_BangLuong_TyLeTangCa[Giờ max]&gt;$AA55)
))))
),
IF(ISBLANK(AW$7),
IF(VLOOKUP(AW$6, Table_ChiPhiNV_Ca[], COUNTA(Table_ChiPhiNV_Ca[[#Headers],[Ca]:[Kết thúc]]),0)&gt; VLOOKUP(AW$6, Table_ChiPhiNV_Ca[], COUNTA(Table_ChiPhiNV_Ca[[#Headers],[Ca]:[Bắt đầu]]),0),
IF($AA55-$Z$4&lt;MAX(AW$4,VLOOKUP(AW$6, Table_ChiPhiNV_Ca[], COUNTA(Table_ChiPhiNV_Ca[[#Headers],[Ca]:[Bắt đầu]]),0)),0,
IF($AA55&gt;MIN(AW$5,VLOOKUP(AW$6, Table_ChiPhiNV_Ca[], COUNTA(Table_ChiPhiNV_Ca[[#Headers],[Ca]:[Kết thúc]]),0)),0,
SUM(_xlfn._xlws.FILTER(Table_BangLuong_TyLeTangCa[Tỷ lệ],
(Table_BangLuong_TyLeTangCa[Ngày] = "Thường") *
(Table_BangLuong_TyLeTangCa[Giờ min]&lt;=$AA55) *
(Table_BangLuong_TyLeTangCa[Giờ max]&gt;$AA55)
)))),
IF(AW$4 &gt; AW$5,
IF(
AND(
$AA55-$Z$4&lt;MAX(AW$4,VLOOKUP(AW$6, Table_ChiPhiNV_Ca[], COUNTA(Table_ChiPhiNV_Ca[[#Headers],[Ca]:[Bắt đầu]]),0)),
$AA55&gt;MIN(AW$5,VLOOKUP(AW$6, Table_ChiPhiNV_Ca[], COUNTA(Table_ChiPhiNV_Ca[[#Headers],[Ca]:[Kết thúc]]),0))),0,
SUM(_xlfn._xlws.FILTER(Table_BangLuong_TyLeTangCa[Tỷ lệ],
(Table_BangLuong_TyLeTangCa[Ngày] = "Thường") *
(Table_BangLuong_TyLeTangCa[Giờ min]&lt;=$AA55) *
(Table_BangLuong_TyLeTangCa[Giờ max]&gt;$AA55)
))),
IF(
AND(
$AA55-$Z$4&gt;=MAX(AW$4,VLOOKUP(AW$6, Table_ChiPhiNV_Ca[], COUNTA(Table_ChiPhiNV_Ca[[#Headers],[Ca]:[Bắt đầu]]),0)),
$AA55&lt;MIN(AW$5,VLOOKUP(AW$6, Table_ChiPhiNV_Ca[], COUNTA(Table_ChiPhiNV_Ca[[#Headers],[Ca]:[Kết thúc]]),0))),
SUM(_xlfn._xlws.FILTER(Table_BangLuong_TyLeTangCa[Tỷ lệ],
(Table_BangLuong_TyLeTangCa[Ngày] = "Thường") *
(Table_BangLuong_TyLeTangCa[Giờ min]&lt;=$AA55) *
(Table_BangLuong_TyLeTangCa[Giờ max]&gt;$AA55)
)),0)
)),
IF(AW$4 &lt; AW$5,
IF($AA55-$Z$4&lt;AW$4,0,
IF($AA55&gt;AW$5,0,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AW$5,$AA55 &lt; AW$4),0,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X55" s="18" cm="1">
        <f t="array" ref="AX55" xml:space="preserve">
IFERROR(
IF(AX$1="",0,
IF(AND(
$AA55&gt;=VLOOKUP(AX$6, Table_ChiPhiNV_Ca[], COUNTA(Table_ChiPhiNV_Ca[[#Headers],[Ca]:[Bắt đầu nghỉ]]),0),
$AA55&lt;VLOOKUP(AX$6, Table_ChiPhiNV_Ca[], COUNTA(Table_ChiPhiNV_Ca[[#Headers],[Ca]:[Kết thúc nghỉ]]),0)
),0,
IF(NOT(ISBLANK(AX$3)),
IF(ISBLANK(AX$7),0,
IF(AX$4 &lt; AX$5,
IF($AA55-$Z$4&lt;AX$4,0,
IF($AA55&gt;AX$5,0,
SUM(_xlfn._xlws.FILTER(Table_BangLuong_TyLeTangCa[Tỷ lệ],
(Table_BangLuong_TyLeTangCa[Ngày] = AX$3) *
(Table_BangLuong_TyLeTangCa[Giờ min]&lt;=$AA55) *
(Table_BangLuong_TyLeTangCa[Giờ max]&gt;$AA55)
)))),
IF(AND($AA55-$Z$4 &gt;= AX$5,$AA55 &lt; AX$4),0,
SUM(_xlfn._xlws.FILTER(Table_BangLuong_TyLeTangCa[Tỷ lệ],
(Table_BangLuong_TyLeTangCa[Ngày] = AX$3) *
(Table_BangLuong_TyLeTangCa[Giờ min]&lt;=$AA55) *
(Table_BangLuong_TyLeTangCa[Giờ max]&gt;$AA55)
))))
),
IF(ISBLANK(AX$7),
IF(VLOOKUP(AX$6, Table_ChiPhiNV_Ca[], COUNTA(Table_ChiPhiNV_Ca[[#Headers],[Ca]:[Kết thúc]]),0)&gt; VLOOKUP(AX$6, Table_ChiPhiNV_Ca[], COUNTA(Table_ChiPhiNV_Ca[[#Headers],[Ca]:[Bắt đầu]]),0),
IF($AA55-$Z$4&lt;MAX(AX$4,VLOOKUP(AX$6, Table_ChiPhiNV_Ca[], COUNTA(Table_ChiPhiNV_Ca[[#Headers],[Ca]:[Bắt đầu]]),0)),0,
IF($AA55&gt;MIN(AX$5,VLOOKUP(AX$6, Table_ChiPhiNV_Ca[], COUNTA(Table_ChiPhiNV_Ca[[#Headers],[Ca]:[Kết thúc]]),0)),0,
SUM(_xlfn._xlws.FILTER(Table_BangLuong_TyLeTangCa[Tỷ lệ],
(Table_BangLuong_TyLeTangCa[Ngày] = "Thường") *
(Table_BangLuong_TyLeTangCa[Giờ min]&lt;=$AA55) *
(Table_BangLuong_TyLeTangCa[Giờ max]&gt;$AA55)
)))),
IF(AX$4 &gt; AX$5,
IF(
AND(
$AA55-$Z$4&lt;MAX(AX$4,VLOOKUP(AX$6, Table_ChiPhiNV_Ca[], COUNTA(Table_ChiPhiNV_Ca[[#Headers],[Ca]:[Bắt đầu]]),0)),
$AA55&gt;MIN(AX$5,VLOOKUP(AX$6, Table_ChiPhiNV_Ca[], COUNTA(Table_ChiPhiNV_Ca[[#Headers],[Ca]:[Kết thúc]]),0))),0,
SUM(_xlfn._xlws.FILTER(Table_BangLuong_TyLeTangCa[Tỷ lệ],
(Table_BangLuong_TyLeTangCa[Ngày] = "Thường") *
(Table_BangLuong_TyLeTangCa[Giờ min]&lt;=$AA55) *
(Table_BangLuong_TyLeTangCa[Giờ max]&gt;$AA55)
))),
IF(
AND(
$AA55-$Z$4&gt;=MAX(AX$4,VLOOKUP(AX$6, Table_ChiPhiNV_Ca[], COUNTA(Table_ChiPhiNV_Ca[[#Headers],[Ca]:[Bắt đầu]]),0)),
$AA55&lt;MIN(AX$5,VLOOKUP(AX$6, Table_ChiPhiNV_Ca[], COUNTA(Table_ChiPhiNV_Ca[[#Headers],[Ca]:[Kết thúc]]),0))),
SUM(_xlfn._xlws.FILTER(Table_BangLuong_TyLeTangCa[Tỷ lệ],
(Table_BangLuong_TyLeTangCa[Ngày] = "Thường") *
(Table_BangLuong_TyLeTangCa[Giờ min]&lt;=$AA55) *
(Table_BangLuong_TyLeTangCa[Giờ max]&gt;$AA55)
)),0)
)),
IF(AX$4 &lt; AX$5,
IF($AA55-$Z$4&lt;AX$4,0,
IF($AA55&gt;AX$5,0,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AX$5,$AA55 &lt; AX$4),0,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Y55" s="18" cm="1">
        <f t="array" ref="AY55" xml:space="preserve">
IFERROR(
IF(AY$1="",0,
IF(AND(
$AA55&gt;=VLOOKUP(AY$6, Table_ChiPhiNV_Ca[], COUNTA(Table_ChiPhiNV_Ca[[#Headers],[Ca]:[Bắt đầu nghỉ]]),0),
$AA55&lt;VLOOKUP(AY$6, Table_ChiPhiNV_Ca[], COUNTA(Table_ChiPhiNV_Ca[[#Headers],[Ca]:[Kết thúc nghỉ]]),0)
),0,
IF(NOT(ISBLANK(AY$3)),
IF(ISBLANK(AY$7),0,
IF(AY$4 &lt; AY$5,
IF($AA55-$Z$4&lt;AY$4,0,
IF($AA55&gt;AY$5,0,
SUM(_xlfn._xlws.FILTER(Table_BangLuong_TyLeTangCa[Tỷ lệ],
(Table_BangLuong_TyLeTangCa[Ngày] = AY$3) *
(Table_BangLuong_TyLeTangCa[Giờ min]&lt;=$AA55) *
(Table_BangLuong_TyLeTangCa[Giờ max]&gt;$AA55)
)))),
IF(AND($AA55-$Z$4 &gt;= AY$5,$AA55 &lt; AY$4),0,
SUM(_xlfn._xlws.FILTER(Table_BangLuong_TyLeTangCa[Tỷ lệ],
(Table_BangLuong_TyLeTangCa[Ngày] = AY$3) *
(Table_BangLuong_TyLeTangCa[Giờ min]&lt;=$AA55) *
(Table_BangLuong_TyLeTangCa[Giờ max]&gt;$AA55)
))))
),
IF(ISBLANK(AY$7),
IF(VLOOKUP(AY$6, Table_ChiPhiNV_Ca[], COUNTA(Table_ChiPhiNV_Ca[[#Headers],[Ca]:[Kết thúc]]),0)&gt; VLOOKUP(AY$6, Table_ChiPhiNV_Ca[], COUNTA(Table_ChiPhiNV_Ca[[#Headers],[Ca]:[Bắt đầu]]),0),
IF($AA55-$Z$4&lt;MAX(AY$4,VLOOKUP(AY$6, Table_ChiPhiNV_Ca[], COUNTA(Table_ChiPhiNV_Ca[[#Headers],[Ca]:[Bắt đầu]]),0)),0,
IF($AA55&gt;MIN(AY$5,VLOOKUP(AY$6, Table_ChiPhiNV_Ca[], COUNTA(Table_ChiPhiNV_Ca[[#Headers],[Ca]:[Kết thúc]]),0)),0,
SUM(_xlfn._xlws.FILTER(Table_BangLuong_TyLeTangCa[Tỷ lệ],
(Table_BangLuong_TyLeTangCa[Ngày] = "Thường") *
(Table_BangLuong_TyLeTangCa[Giờ min]&lt;=$AA55) *
(Table_BangLuong_TyLeTangCa[Giờ max]&gt;$AA55)
)))),
IF(AY$4 &gt; AY$5,
IF(
AND(
$AA55-$Z$4&lt;MAX(AY$4,VLOOKUP(AY$6, Table_ChiPhiNV_Ca[], COUNTA(Table_ChiPhiNV_Ca[[#Headers],[Ca]:[Bắt đầu]]),0)),
$AA55&gt;MIN(AY$5,VLOOKUP(AY$6, Table_ChiPhiNV_Ca[], COUNTA(Table_ChiPhiNV_Ca[[#Headers],[Ca]:[Kết thúc]]),0))),0,
SUM(_xlfn._xlws.FILTER(Table_BangLuong_TyLeTangCa[Tỷ lệ],
(Table_BangLuong_TyLeTangCa[Ngày] = "Thường") *
(Table_BangLuong_TyLeTangCa[Giờ min]&lt;=$AA55) *
(Table_BangLuong_TyLeTangCa[Giờ max]&gt;$AA55)
))),
IF(
AND(
$AA55-$Z$4&gt;=MAX(AY$4,VLOOKUP(AY$6, Table_ChiPhiNV_Ca[], COUNTA(Table_ChiPhiNV_Ca[[#Headers],[Ca]:[Bắt đầu]]),0)),
$AA55&lt;MIN(AY$5,VLOOKUP(AY$6, Table_ChiPhiNV_Ca[], COUNTA(Table_ChiPhiNV_Ca[[#Headers],[Ca]:[Kết thúc]]),0))),
SUM(_xlfn._xlws.FILTER(Table_BangLuong_TyLeTangCa[Tỷ lệ],
(Table_BangLuong_TyLeTangCa[Ngày] = "Thường") *
(Table_BangLuong_TyLeTangCa[Giờ min]&lt;=$AA55) *
(Table_BangLuong_TyLeTangCa[Giờ max]&gt;$AA55)
)),0)
)),
IF(AY$4 &lt; AY$5,
IF($AA55-$Z$4&lt;AY$4,0,
IF($AA55&gt;AY$5,0,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AY$5,$AA55 &lt; AY$4),0,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Z55" s="18" cm="1">
        <f t="array" ref="AZ55" xml:space="preserve">
IFERROR(
IF(AZ$1="",0,
IF(AND(
$AA55&gt;=VLOOKUP(AZ$6, Table_ChiPhiNV_Ca[], COUNTA(Table_ChiPhiNV_Ca[[#Headers],[Ca]:[Bắt đầu nghỉ]]),0),
$AA55&lt;VLOOKUP(AZ$6, Table_ChiPhiNV_Ca[], COUNTA(Table_ChiPhiNV_Ca[[#Headers],[Ca]:[Kết thúc nghỉ]]),0)
),0,
IF(NOT(ISBLANK(AZ$3)),
IF(ISBLANK(AZ$7),0,
IF(AZ$4 &lt; AZ$5,
IF($AA55-$Z$4&lt;AZ$4,0,
IF($AA55&gt;AZ$5,0,
SUM(_xlfn._xlws.FILTER(Table_BangLuong_TyLeTangCa[Tỷ lệ],
(Table_BangLuong_TyLeTangCa[Ngày] = AZ$3) *
(Table_BangLuong_TyLeTangCa[Giờ min]&lt;=$AA55) *
(Table_BangLuong_TyLeTangCa[Giờ max]&gt;$AA55)
)))),
IF(AND($AA55-$Z$4 &gt;= AZ$5,$AA55 &lt; AZ$4),0,
SUM(_xlfn._xlws.FILTER(Table_BangLuong_TyLeTangCa[Tỷ lệ],
(Table_BangLuong_TyLeTangCa[Ngày] = AZ$3) *
(Table_BangLuong_TyLeTangCa[Giờ min]&lt;=$AA55) *
(Table_BangLuong_TyLeTangCa[Giờ max]&gt;$AA55)
))))
),
IF(ISBLANK(AZ$7),
IF(VLOOKUP(AZ$6, Table_ChiPhiNV_Ca[], COUNTA(Table_ChiPhiNV_Ca[[#Headers],[Ca]:[Kết thúc]]),0)&gt; VLOOKUP(AZ$6, Table_ChiPhiNV_Ca[], COUNTA(Table_ChiPhiNV_Ca[[#Headers],[Ca]:[Bắt đầu]]),0),
IF($AA55-$Z$4&lt;MAX(AZ$4,VLOOKUP(AZ$6, Table_ChiPhiNV_Ca[], COUNTA(Table_ChiPhiNV_Ca[[#Headers],[Ca]:[Bắt đầu]]),0)),0,
IF($AA55&gt;MIN(AZ$5,VLOOKUP(AZ$6, Table_ChiPhiNV_Ca[], COUNTA(Table_ChiPhiNV_Ca[[#Headers],[Ca]:[Kết thúc]]),0)),0,
SUM(_xlfn._xlws.FILTER(Table_BangLuong_TyLeTangCa[Tỷ lệ],
(Table_BangLuong_TyLeTangCa[Ngày] = "Thường") *
(Table_BangLuong_TyLeTangCa[Giờ min]&lt;=$AA55) *
(Table_BangLuong_TyLeTangCa[Giờ max]&gt;$AA55)
)))),
IF(AZ$4 &gt; AZ$5,
IF(
AND(
$AA55-$Z$4&lt;MAX(AZ$4,VLOOKUP(AZ$6, Table_ChiPhiNV_Ca[], COUNTA(Table_ChiPhiNV_Ca[[#Headers],[Ca]:[Bắt đầu]]),0)),
$AA55&gt;MIN(AZ$5,VLOOKUP(AZ$6, Table_ChiPhiNV_Ca[], COUNTA(Table_ChiPhiNV_Ca[[#Headers],[Ca]:[Kết thúc]]),0))),0,
SUM(_xlfn._xlws.FILTER(Table_BangLuong_TyLeTangCa[Tỷ lệ],
(Table_BangLuong_TyLeTangCa[Ngày] = "Thường") *
(Table_BangLuong_TyLeTangCa[Giờ min]&lt;=$AA55) *
(Table_BangLuong_TyLeTangCa[Giờ max]&gt;$AA55)
))),
IF(
AND(
$AA55-$Z$4&gt;=MAX(AZ$4,VLOOKUP(AZ$6, Table_ChiPhiNV_Ca[], COUNTA(Table_ChiPhiNV_Ca[[#Headers],[Ca]:[Bắt đầu]]),0)),
$AA55&lt;MIN(AZ$5,VLOOKUP(AZ$6, Table_ChiPhiNV_Ca[], COUNTA(Table_ChiPhiNV_Ca[[#Headers],[Ca]:[Kết thúc]]),0))),
SUM(_xlfn._xlws.FILTER(Table_BangLuong_TyLeTangCa[Tỷ lệ],
(Table_BangLuong_TyLeTangCa[Ngày] = "Thường") *
(Table_BangLuong_TyLeTangCa[Giờ min]&lt;=$AA55) *
(Table_BangLuong_TyLeTangCa[Giờ max]&gt;$AA55)
)),0)
)),
IF(AZ$4 &lt; AZ$5,
IF($AA55-$Z$4&lt;AZ$4,0,
IF($AA55&gt;AZ$5,0,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AZ$5,$AA55 &lt; AZ$4),0,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A55" s="18" cm="1">
        <f t="array" ref="BA55" xml:space="preserve">
IFERROR(
IF(BA$1="",0,
IF(AND(
$AA55&gt;=VLOOKUP(BA$6, Table_ChiPhiNV_Ca[], COUNTA(Table_ChiPhiNV_Ca[[#Headers],[Ca]:[Bắt đầu nghỉ]]),0),
$AA55&lt;VLOOKUP(BA$6, Table_ChiPhiNV_Ca[], COUNTA(Table_ChiPhiNV_Ca[[#Headers],[Ca]:[Kết thúc nghỉ]]),0)
),0,
IF(NOT(ISBLANK(BA$3)),
IF(ISBLANK(BA$7),0,
IF(BA$4 &lt; BA$5,
IF($AA55-$Z$4&lt;BA$4,0,
IF($AA55&gt;BA$5,0,
SUM(_xlfn._xlws.FILTER(Table_BangLuong_TyLeTangCa[Tỷ lệ],
(Table_BangLuong_TyLeTangCa[Ngày] = BA$3) *
(Table_BangLuong_TyLeTangCa[Giờ min]&lt;=$AA55) *
(Table_BangLuong_TyLeTangCa[Giờ max]&gt;$AA55)
)))),
IF(AND($AA55-$Z$4 &gt;= BA$5,$AA55 &lt; BA$4),0,
SUM(_xlfn._xlws.FILTER(Table_BangLuong_TyLeTangCa[Tỷ lệ],
(Table_BangLuong_TyLeTangCa[Ngày] = BA$3) *
(Table_BangLuong_TyLeTangCa[Giờ min]&lt;=$AA55) *
(Table_BangLuong_TyLeTangCa[Giờ max]&gt;$AA55)
))))
),
IF(ISBLANK(BA$7),
IF(VLOOKUP(BA$6, Table_ChiPhiNV_Ca[], COUNTA(Table_ChiPhiNV_Ca[[#Headers],[Ca]:[Kết thúc]]),0)&gt; VLOOKUP(BA$6, Table_ChiPhiNV_Ca[], COUNTA(Table_ChiPhiNV_Ca[[#Headers],[Ca]:[Bắt đầu]]),0),
IF($AA55-$Z$4&lt;MAX(BA$4,VLOOKUP(BA$6, Table_ChiPhiNV_Ca[], COUNTA(Table_ChiPhiNV_Ca[[#Headers],[Ca]:[Bắt đầu]]),0)),0,
IF($AA55&gt;MIN(BA$5,VLOOKUP(BA$6, Table_ChiPhiNV_Ca[], COUNTA(Table_ChiPhiNV_Ca[[#Headers],[Ca]:[Kết thúc]]),0)),0,
SUM(_xlfn._xlws.FILTER(Table_BangLuong_TyLeTangCa[Tỷ lệ],
(Table_BangLuong_TyLeTangCa[Ngày] = "Thường") *
(Table_BangLuong_TyLeTangCa[Giờ min]&lt;=$AA55) *
(Table_BangLuong_TyLeTangCa[Giờ max]&gt;$AA55)
)))),
IF(BA$4 &gt; BA$5,
IF(
AND(
$AA55-$Z$4&lt;MAX(BA$4,VLOOKUP(BA$6, Table_ChiPhiNV_Ca[], COUNTA(Table_ChiPhiNV_Ca[[#Headers],[Ca]:[Bắt đầu]]),0)),
$AA55&gt;MIN(BA$5,VLOOKUP(BA$6, Table_ChiPhiNV_Ca[], COUNTA(Table_ChiPhiNV_Ca[[#Headers],[Ca]:[Kết thúc]]),0))),0,
SUM(_xlfn._xlws.FILTER(Table_BangLuong_TyLeTangCa[Tỷ lệ],
(Table_BangLuong_TyLeTangCa[Ngày] = "Thường") *
(Table_BangLuong_TyLeTangCa[Giờ min]&lt;=$AA55) *
(Table_BangLuong_TyLeTangCa[Giờ max]&gt;$AA55)
))),
IF(
AND(
$AA55-$Z$4&gt;=MAX(BA$4,VLOOKUP(BA$6, Table_ChiPhiNV_Ca[], COUNTA(Table_ChiPhiNV_Ca[[#Headers],[Ca]:[Bắt đầu]]),0)),
$AA55&lt;MIN(BA$5,VLOOKUP(BA$6, Table_ChiPhiNV_Ca[], COUNTA(Table_ChiPhiNV_Ca[[#Headers],[Ca]:[Kết thúc]]),0))),
SUM(_xlfn._xlws.FILTER(Table_BangLuong_TyLeTangCa[Tỷ lệ],
(Table_BangLuong_TyLeTangCa[Ngày] = "Thường") *
(Table_BangLuong_TyLeTangCa[Giờ min]&lt;=$AA55) *
(Table_BangLuong_TyLeTangCa[Giờ max]&gt;$AA55)
)),0)
)),
IF(BA$4 &lt; BA$5,
IF($AA55-$Z$4&lt;BA$4,0,
IF($AA55&gt;BA$5,0,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BA$5,$AA55 &lt; BA$4),0,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B55" s="18" cm="1">
        <f t="array" ref="BB55" xml:space="preserve">
IFERROR(
IF(BB$1="",0,
IF(AND(
$AA55&gt;=VLOOKUP(BB$6, Table_ChiPhiNV_Ca[], COUNTA(Table_ChiPhiNV_Ca[[#Headers],[Ca]:[Bắt đầu nghỉ]]),0),
$AA55&lt;VLOOKUP(BB$6, Table_ChiPhiNV_Ca[], COUNTA(Table_ChiPhiNV_Ca[[#Headers],[Ca]:[Kết thúc nghỉ]]),0)
),0,
IF(NOT(ISBLANK(BB$3)),
IF(ISBLANK(BB$7),0,
IF(BB$4 &lt; BB$5,
IF($AA55-$Z$4&lt;BB$4,0,
IF($AA55&gt;BB$5,0,
SUM(_xlfn._xlws.FILTER(Table_BangLuong_TyLeTangCa[Tỷ lệ],
(Table_BangLuong_TyLeTangCa[Ngày] = BB$3) *
(Table_BangLuong_TyLeTangCa[Giờ min]&lt;=$AA55) *
(Table_BangLuong_TyLeTangCa[Giờ max]&gt;$AA55)
)))),
IF(AND($AA55-$Z$4 &gt;= BB$5,$AA55 &lt; BB$4),0,
SUM(_xlfn._xlws.FILTER(Table_BangLuong_TyLeTangCa[Tỷ lệ],
(Table_BangLuong_TyLeTangCa[Ngày] = BB$3) *
(Table_BangLuong_TyLeTangCa[Giờ min]&lt;=$AA55) *
(Table_BangLuong_TyLeTangCa[Giờ max]&gt;$AA55)
))))
),
IF(ISBLANK(BB$7),
IF(VLOOKUP(BB$6, Table_ChiPhiNV_Ca[], COUNTA(Table_ChiPhiNV_Ca[[#Headers],[Ca]:[Kết thúc]]),0)&gt; VLOOKUP(BB$6, Table_ChiPhiNV_Ca[], COUNTA(Table_ChiPhiNV_Ca[[#Headers],[Ca]:[Bắt đầu]]),0),
IF($AA55-$Z$4&lt;MAX(BB$4,VLOOKUP(BB$6, Table_ChiPhiNV_Ca[], COUNTA(Table_ChiPhiNV_Ca[[#Headers],[Ca]:[Bắt đầu]]),0)),0,
IF($AA55&gt;MIN(BB$5,VLOOKUP(BB$6, Table_ChiPhiNV_Ca[], COUNTA(Table_ChiPhiNV_Ca[[#Headers],[Ca]:[Kết thúc]]),0)),0,
SUM(_xlfn._xlws.FILTER(Table_BangLuong_TyLeTangCa[Tỷ lệ],
(Table_BangLuong_TyLeTangCa[Ngày] = "Thường") *
(Table_BangLuong_TyLeTangCa[Giờ min]&lt;=$AA55) *
(Table_BangLuong_TyLeTangCa[Giờ max]&gt;$AA55)
)))),
IF(BB$4 &gt; BB$5,
IF(
AND(
$AA55-$Z$4&lt;MAX(BB$4,VLOOKUP(BB$6, Table_ChiPhiNV_Ca[], COUNTA(Table_ChiPhiNV_Ca[[#Headers],[Ca]:[Bắt đầu]]),0)),
$AA55&gt;MIN(BB$5,VLOOKUP(BB$6, Table_ChiPhiNV_Ca[], COUNTA(Table_ChiPhiNV_Ca[[#Headers],[Ca]:[Kết thúc]]),0))),0,
SUM(_xlfn._xlws.FILTER(Table_BangLuong_TyLeTangCa[Tỷ lệ],
(Table_BangLuong_TyLeTangCa[Ngày] = "Thường") *
(Table_BangLuong_TyLeTangCa[Giờ min]&lt;=$AA55) *
(Table_BangLuong_TyLeTangCa[Giờ max]&gt;$AA55)
))),
IF(
AND(
$AA55-$Z$4&gt;=MAX(BB$4,VLOOKUP(BB$6, Table_ChiPhiNV_Ca[], COUNTA(Table_ChiPhiNV_Ca[[#Headers],[Ca]:[Bắt đầu]]),0)),
$AA55&lt;MIN(BB$5,VLOOKUP(BB$6, Table_ChiPhiNV_Ca[], COUNTA(Table_ChiPhiNV_Ca[[#Headers],[Ca]:[Kết thúc]]),0))),
SUM(_xlfn._xlws.FILTER(Table_BangLuong_TyLeTangCa[Tỷ lệ],
(Table_BangLuong_TyLeTangCa[Ngày] = "Thường") *
(Table_BangLuong_TyLeTangCa[Giờ min]&lt;=$AA55) *
(Table_BangLuong_TyLeTangCa[Giờ max]&gt;$AA55)
)),0)
)),
IF(BB$4 &lt; BB$5,
IF($AA55-$Z$4&lt;BB$4,0,
IF($AA55&gt;BB$5,0,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BB$5,$AA55 &lt; BB$4),0,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C55" s="18" cm="1">
        <f t="array" ref="BC55" xml:space="preserve">
IFERROR(
IF(BC$1="",0,
IF(AND(
$AA55&gt;=VLOOKUP(BC$6, Table_ChiPhiNV_Ca[], COUNTA(Table_ChiPhiNV_Ca[[#Headers],[Ca]:[Bắt đầu nghỉ]]),0),
$AA55&lt;VLOOKUP(BC$6, Table_ChiPhiNV_Ca[], COUNTA(Table_ChiPhiNV_Ca[[#Headers],[Ca]:[Kết thúc nghỉ]]),0)
),0,
IF(NOT(ISBLANK(BC$3)),
IF(ISBLANK(BC$7),0,
IF(BC$4 &lt; BC$5,
IF($AA55-$Z$4&lt;BC$4,0,
IF($AA55&gt;BC$5,0,
SUM(_xlfn._xlws.FILTER(Table_BangLuong_TyLeTangCa[Tỷ lệ],
(Table_BangLuong_TyLeTangCa[Ngày] = BC$3) *
(Table_BangLuong_TyLeTangCa[Giờ min]&lt;=$AA55) *
(Table_BangLuong_TyLeTangCa[Giờ max]&gt;$AA55)
)))),
IF(AND($AA55-$Z$4 &gt;= BC$5,$AA55 &lt; BC$4),0,
SUM(_xlfn._xlws.FILTER(Table_BangLuong_TyLeTangCa[Tỷ lệ],
(Table_BangLuong_TyLeTangCa[Ngày] = BC$3) *
(Table_BangLuong_TyLeTangCa[Giờ min]&lt;=$AA55) *
(Table_BangLuong_TyLeTangCa[Giờ max]&gt;$AA55)
))))
),
IF(ISBLANK(BC$7),
IF(VLOOKUP(BC$6, Table_ChiPhiNV_Ca[], COUNTA(Table_ChiPhiNV_Ca[[#Headers],[Ca]:[Kết thúc]]),0)&gt; VLOOKUP(BC$6, Table_ChiPhiNV_Ca[], COUNTA(Table_ChiPhiNV_Ca[[#Headers],[Ca]:[Bắt đầu]]),0),
IF($AA55-$Z$4&lt;MAX(BC$4,VLOOKUP(BC$6, Table_ChiPhiNV_Ca[], COUNTA(Table_ChiPhiNV_Ca[[#Headers],[Ca]:[Bắt đầu]]),0)),0,
IF($AA55&gt;MIN(BC$5,VLOOKUP(BC$6, Table_ChiPhiNV_Ca[], COUNTA(Table_ChiPhiNV_Ca[[#Headers],[Ca]:[Kết thúc]]),0)),0,
SUM(_xlfn._xlws.FILTER(Table_BangLuong_TyLeTangCa[Tỷ lệ],
(Table_BangLuong_TyLeTangCa[Ngày] = "Thường") *
(Table_BangLuong_TyLeTangCa[Giờ min]&lt;=$AA55) *
(Table_BangLuong_TyLeTangCa[Giờ max]&gt;$AA55)
)))),
IF(BC$4 &gt; BC$5,
IF(
AND(
$AA55-$Z$4&lt;MAX(BC$4,VLOOKUP(BC$6, Table_ChiPhiNV_Ca[], COUNTA(Table_ChiPhiNV_Ca[[#Headers],[Ca]:[Bắt đầu]]),0)),
$AA55&gt;MIN(BC$5,VLOOKUP(BC$6, Table_ChiPhiNV_Ca[], COUNTA(Table_ChiPhiNV_Ca[[#Headers],[Ca]:[Kết thúc]]),0))),0,
SUM(_xlfn._xlws.FILTER(Table_BangLuong_TyLeTangCa[Tỷ lệ],
(Table_BangLuong_TyLeTangCa[Ngày] = "Thường") *
(Table_BangLuong_TyLeTangCa[Giờ min]&lt;=$AA55) *
(Table_BangLuong_TyLeTangCa[Giờ max]&gt;$AA55)
))),
IF(
AND(
$AA55-$Z$4&gt;=MAX(BC$4,VLOOKUP(BC$6, Table_ChiPhiNV_Ca[], COUNTA(Table_ChiPhiNV_Ca[[#Headers],[Ca]:[Bắt đầu]]),0)),
$AA55&lt;MIN(BC$5,VLOOKUP(BC$6, Table_ChiPhiNV_Ca[], COUNTA(Table_ChiPhiNV_Ca[[#Headers],[Ca]:[Kết thúc]]),0))),
SUM(_xlfn._xlws.FILTER(Table_BangLuong_TyLeTangCa[Tỷ lệ],
(Table_BangLuong_TyLeTangCa[Ngày] = "Thường") *
(Table_BangLuong_TyLeTangCa[Giờ min]&lt;=$AA55) *
(Table_BangLuong_TyLeTangCa[Giờ max]&gt;$AA55)
)),0)
)),
IF(BC$4 &lt; BC$5,
IF($AA55-$Z$4&lt;BC$4,0,
IF($AA55&gt;BC$5,0,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BC$5,$AA55 &lt; BC$4),0,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D55" s="18" cm="1">
        <f t="array" ref="BD55" xml:space="preserve">
IFERROR(
IF(BD$1="",0,
IF(AND(
$AA55&gt;=VLOOKUP(BD$6, Table_ChiPhiNV_Ca[], COUNTA(Table_ChiPhiNV_Ca[[#Headers],[Ca]:[Bắt đầu nghỉ]]),0),
$AA55&lt;VLOOKUP(BD$6, Table_ChiPhiNV_Ca[], COUNTA(Table_ChiPhiNV_Ca[[#Headers],[Ca]:[Kết thúc nghỉ]]),0)
),0,
IF(NOT(ISBLANK(BD$3)),
IF(ISBLANK(BD$7),0,
IF(BD$4 &lt; BD$5,
IF($AA55-$Z$4&lt;BD$4,0,
IF($AA55&gt;BD$5,0,
SUM(_xlfn._xlws.FILTER(Table_BangLuong_TyLeTangCa[Tỷ lệ],
(Table_BangLuong_TyLeTangCa[Ngày] = BD$3) *
(Table_BangLuong_TyLeTangCa[Giờ min]&lt;=$AA55) *
(Table_BangLuong_TyLeTangCa[Giờ max]&gt;$AA55)
)))),
IF(AND($AA55-$Z$4 &gt;= BD$5,$AA55 &lt; BD$4),0,
SUM(_xlfn._xlws.FILTER(Table_BangLuong_TyLeTangCa[Tỷ lệ],
(Table_BangLuong_TyLeTangCa[Ngày] = BD$3) *
(Table_BangLuong_TyLeTangCa[Giờ min]&lt;=$AA55) *
(Table_BangLuong_TyLeTangCa[Giờ max]&gt;$AA55)
))))
),
IF(ISBLANK(BD$7),
IF(VLOOKUP(BD$6, Table_ChiPhiNV_Ca[], COUNTA(Table_ChiPhiNV_Ca[[#Headers],[Ca]:[Kết thúc]]),0)&gt; VLOOKUP(BD$6, Table_ChiPhiNV_Ca[], COUNTA(Table_ChiPhiNV_Ca[[#Headers],[Ca]:[Bắt đầu]]),0),
IF($AA55-$Z$4&lt;MAX(BD$4,VLOOKUP(BD$6, Table_ChiPhiNV_Ca[], COUNTA(Table_ChiPhiNV_Ca[[#Headers],[Ca]:[Bắt đầu]]),0)),0,
IF($AA55&gt;MIN(BD$5,VLOOKUP(BD$6, Table_ChiPhiNV_Ca[], COUNTA(Table_ChiPhiNV_Ca[[#Headers],[Ca]:[Kết thúc]]),0)),0,
SUM(_xlfn._xlws.FILTER(Table_BangLuong_TyLeTangCa[Tỷ lệ],
(Table_BangLuong_TyLeTangCa[Ngày] = "Thường") *
(Table_BangLuong_TyLeTangCa[Giờ min]&lt;=$AA55) *
(Table_BangLuong_TyLeTangCa[Giờ max]&gt;$AA55)
)))),
IF(BD$4 &gt; BD$5,
IF(
AND(
$AA55-$Z$4&lt;MAX(BD$4,VLOOKUP(BD$6, Table_ChiPhiNV_Ca[], COUNTA(Table_ChiPhiNV_Ca[[#Headers],[Ca]:[Bắt đầu]]),0)),
$AA55&gt;MIN(BD$5,VLOOKUP(BD$6, Table_ChiPhiNV_Ca[], COUNTA(Table_ChiPhiNV_Ca[[#Headers],[Ca]:[Kết thúc]]),0))),0,
SUM(_xlfn._xlws.FILTER(Table_BangLuong_TyLeTangCa[Tỷ lệ],
(Table_BangLuong_TyLeTangCa[Ngày] = "Thường") *
(Table_BangLuong_TyLeTangCa[Giờ min]&lt;=$AA55) *
(Table_BangLuong_TyLeTangCa[Giờ max]&gt;$AA55)
))),
IF(
AND(
$AA55-$Z$4&gt;=MAX(BD$4,VLOOKUP(BD$6, Table_ChiPhiNV_Ca[], COUNTA(Table_ChiPhiNV_Ca[[#Headers],[Ca]:[Bắt đầu]]),0)),
$AA55&lt;MIN(BD$5,VLOOKUP(BD$6, Table_ChiPhiNV_Ca[], COUNTA(Table_ChiPhiNV_Ca[[#Headers],[Ca]:[Kết thúc]]),0))),
SUM(_xlfn._xlws.FILTER(Table_BangLuong_TyLeTangCa[Tỷ lệ],
(Table_BangLuong_TyLeTangCa[Ngày] = "Thường") *
(Table_BangLuong_TyLeTangCa[Giờ min]&lt;=$AA55) *
(Table_BangLuong_TyLeTangCa[Giờ max]&gt;$AA55)
)),0)
)),
IF(BD$4 &lt; BD$5,
IF($AA55-$Z$4&lt;BD$4,0,
IF($AA55&gt;BD$5,0,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BD$5,$AA55 &lt; BD$4),0,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E55" s="18" cm="1">
        <f t="array" ref="BE55" xml:space="preserve">
IFERROR(
IF(BE$1="",0,
IF(AND(
$AA55&gt;=VLOOKUP(BE$6, Table_ChiPhiNV_Ca[], COUNTA(Table_ChiPhiNV_Ca[[#Headers],[Ca]:[Bắt đầu nghỉ]]),0),
$AA55&lt;VLOOKUP(BE$6, Table_ChiPhiNV_Ca[], COUNTA(Table_ChiPhiNV_Ca[[#Headers],[Ca]:[Kết thúc nghỉ]]),0)
),0,
IF(NOT(ISBLANK(BE$3)),
IF(ISBLANK(BE$7),0,
IF(BE$4 &lt; BE$5,
IF($AA55-$Z$4&lt;BE$4,0,
IF($AA55&gt;BE$5,0,
SUM(_xlfn._xlws.FILTER(Table_BangLuong_TyLeTangCa[Tỷ lệ],
(Table_BangLuong_TyLeTangCa[Ngày] = BE$3) *
(Table_BangLuong_TyLeTangCa[Giờ min]&lt;=$AA55) *
(Table_BangLuong_TyLeTangCa[Giờ max]&gt;$AA55)
)))),
IF(AND($AA55-$Z$4 &gt;= BE$5,$AA55 &lt; BE$4),0,
SUM(_xlfn._xlws.FILTER(Table_BangLuong_TyLeTangCa[Tỷ lệ],
(Table_BangLuong_TyLeTangCa[Ngày] = BE$3) *
(Table_BangLuong_TyLeTangCa[Giờ min]&lt;=$AA55) *
(Table_BangLuong_TyLeTangCa[Giờ max]&gt;$AA55)
))))
),
IF(ISBLANK(BE$7),
IF(VLOOKUP(BE$6, Table_ChiPhiNV_Ca[], COUNTA(Table_ChiPhiNV_Ca[[#Headers],[Ca]:[Kết thúc]]),0)&gt; VLOOKUP(BE$6, Table_ChiPhiNV_Ca[], COUNTA(Table_ChiPhiNV_Ca[[#Headers],[Ca]:[Bắt đầu]]),0),
IF($AA55-$Z$4&lt;MAX(BE$4,VLOOKUP(BE$6, Table_ChiPhiNV_Ca[], COUNTA(Table_ChiPhiNV_Ca[[#Headers],[Ca]:[Bắt đầu]]),0)),0,
IF($AA55&gt;MIN(BE$5,VLOOKUP(BE$6, Table_ChiPhiNV_Ca[], COUNTA(Table_ChiPhiNV_Ca[[#Headers],[Ca]:[Kết thúc]]),0)),0,
SUM(_xlfn._xlws.FILTER(Table_BangLuong_TyLeTangCa[Tỷ lệ],
(Table_BangLuong_TyLeTangCa[Ngày] = "Thường") *
(Table_BangLuong_TyLeTangCa[Giờ min]&lt;=$AA55) *
(Table_BangLuong_TyLeTangCa[Giờ max]&gt;$AA55)
)))),
IF(BE$4 &gt; BE$5,
IF(
AND(
$AA55-$Z$4&lt;MAX(BE$4,VLOOKUP(BE$6, Table_ChiPhiNV_Ca[], COUNTA(Table_ChiPhiNV_Ca[[#Headers],[Ca]:[Bắt đầu]]),0)),
$AA55&gt;MIN(BE$5,VLOOKUP(BE$6, Table_ChiPhiNV_Ca[], COUNTA(Table_ChiPhiNV_Ca[[#Headers],[Ca]:[Kết thúc]]),0))),0,
SUM(_xlfn._xlws.FILTER(Table_BangLuong_TyLeTangCa[Tỷ lệ],
(Table_BangLuong_TyLeTangCa[Ngày] = "Thường") *
(Table_BangLuong_TyLeTangCa[Giờ min]&lt;=$AA55) *
(Table_BangLuong_TyLeTangCa[Giờ max]&gt;$AA55)
))),
IF(
AND(
$AA55-$Z$4&gt;=MAX(BE$4,VLOOKUP(BE$6, Table_ChiPhiNV_Ca[], COUNTA(Table_ChiPhiNV_Ca[[#Headers],[Ca]:[Bắt đầu]]),0)),
$AA55&lt;MIN(BE$5,VLOOKUP(BE$6, Table_ChiPhiNV_Ca[], COUNTA(Table_ChiPhiNV_Ca[[#Headers],[Ca]:[Kết thúc]]),0))),
SUM(_xlfn._xlws.FILTER(Table_BangLuong_TyLeTangCa[Tỷ lệ],
(Table_BangLuong_TyLeTangCa[Ngày] = "Thường") *
(Table_BangLuong_TyLeTangCa[Giờ min]&lt;=$AA55) *
(Table_BangLuong_TyLeTangCa[Giờ max]&gt;$AA55)
)),0)
)),
IF(BE$4 &lt; BE$5,
IF($AA55-$Z$4&lt;BE$4,0,
IF($AA55&gt;BE$5,0,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BE$5,$AA55 &lt; BE$4),0,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F55" s="18" cm="1">
        <f t="array" ref="BF55" xml:space="preserve">
IFERROR(
IF(BF$1="",0,
IF(AND(
$AA55&gt;=VLOOKUP(BF$6, Table_ChiPhiNV_Ca[], COUNTA(Table_ChiPhiNV_Ca[[#Headers],[Ca]:[Bắt đầu nghỉ]]),0),
$AA55&lt;VLOOKUP(BF$6, Table_ChiPhiNV_Ca[], COUNTA(Table_ChiPhiNV_Ca[[#Headers],[Ca]:[Kết thúc nghỉ]]),0)
),0,
IF(NOT(ISBLANK(BF$3)),
IF(ISBLANK(BF$7),0,
IF(BF$4 &lt; BF$5,
IF($AA55-$Z$4&lt;BF$4,0,
IF($AA55&gt;BF$5,0,
SUM(_xlfn._xlws.FILTER(Table_BangLuong_TyLeTangCa[Tỷ lệ],
(Table_BangLuong_TyLeTangCa[Ngày] = BF$3) *
(Table_BangLuong_TyLeTangCa[Giờ min]&lt;=$AA55) *
(Table_BangLuong_TyLeTangCa[Giờ max]&gt;$AA55)
)))),
IF(AND($AA55-$Z$4 &gt;= BF$5,$AA55 &lt; BF$4),0,
SUM(_xlfn._xlws.FILTER(Table_BangLuong_TyLeTangCa[Tỷ lệ],
(Table_BangLuong_TyLeTangCa[Ngày] = BF$3) *
(Table_BangLuong_TyLeTangCa[Giờ min]&lt;=$AA55) *
(Table_BangLuong_TyLeTangCa[Giờ max]&gt;$AA55)
))))
),
IF(ISBLANK(BF$7),
IF(VLOOKUP(BF$6, Table_ChiPhiNV_Ca[], COUNTA(Table_ChiPhiNV_Ca[[#Headers],[Ca]:[Kết thúc]]),0)&gt; VLOOKUP(BF$6, Table_ChiPhiNV_Ca[], COUNTA(Table_ChiPhiNV_Ca[[#Headers],[Ca]:[Bắt đầu]]),0),
IF($AA55-$Z$4&lt;MAX(BF$4,VLOOKUP(BF$6, Table_ChiPhiNV_Ca[], COUNTA(Table_ChiPhiNV_Ca[[#Headers],[Ca]:[Bắt đầu]]),0)),0,
IF($AA55&gt;MIN(BF$5,VLOOKUP(BF$6, Table_ChiPhiNV_Ca[], COUNTA(Table_ChiPhiNV_Ca[[#Headers],[Ca]:[Kết thúc]]),0)),0,
SUM(_xlfn._xlws.FILTER(Table_BangLuong_TyLeTangCa[Tỷ lệ],
(Table_BangLuong_TyLeTangCa[Ngày] = "Thường") *
(Table_BangLuong_TyLeTangCa[Giờ min]&lt;=$AA55) *
(Table_BangLuong_TyLeTangCa[Giờ max]&gt;$AA55)
)))),
IF(BF$4 &gt; BF$5,
IF(
AND(
$AA55-$Z$4&lt;MAX(BF$4,VLOOKUP(BF$6, Table_ChiPhiNV_Ca[], COUNTA(Table_ChiPhiNV_Ca[[#Headers],[Ca]:[Bắt đầu]]),0)),
$AA55&gt;MIN(BF$5,VLOOKUP(BF$6, Table_ChiPhiNV_Ca[], COUNTA(Table_ChiPhiNV_Ca[[#Headers],[Ca]:[Kết thúc]]),0))),0,
SUM(_xlfn._xlws.FILTER(Table_BangLuong_TyLeTangCa[Tỷ lệ],
(Table_BangLuong_TyLeTangCa[Ngày] = "Thường") *
(Table_BangLuong_TyLeTangCa[Giờ min]&lt;=$AA55) *
(Table_BangLuong_TyLeTangCa[Giờ max]&gt;$AA55)
))),
IF(
AND(
$AA55-$Z$4&gt;=MAX(BF$4,VLOOKUP(BF$6, Table_ChiPhiNV_Ca[], COUNTA(Table_ChiPhiNV_Ca[[#Headers],[Ca]:[Bắt đầu]]),0)),
$AA55&lt;MIN(BF$5,VLOOKUP(BF$6, Table_ChiPhiNV_Ca[], COUNTA(Table_ChiPhiNV_Ca[[#Headers],[Ca]:[Kết thúc]]),0))),
SUM(_xlfn._xlws.FILTER(Table_BangLuong_TyLeTangCa[Tỷ lệ],
(Table_BangLuong_TyLeTangCa[Ngày] = "Thường") *
(Table_BangLuong_TyLeTangCa[Giờ min]&lt;=$AA55) *
(Table_BangLuong_TyLeTangCa[Giờ max]&gt;$AA55)
)),0)
)),
IF(BF$4 &lt; BF$5,
IF($AA55-$Z$4&lt;BF$4,0,
IF($AA55&gt;BF$5,0,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BF$5,$AA55 &lt; BF$4),0,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row>
    <row r="56" spans="27:58" ht="18" customHeight="1" outlineLevel="1" x14ac:dyDescent="0.3">
      <c r="AA56" s="50">
        <v>0.97916666666666696</v>
      </c>
      <c r="AB56" s="18" cm="1">
        <f t="array" ref="AB56" xml:space="preserve">
IFERROR(
IF(AB$1="",0,
IF(AND(
$AA56&gt;=VLOOKUP(AB$6, Table_ChiPhiNV_Ca[], COUNTA(Table_ChiPhiNV_Ca[[#Headers],[Ca]:[Bắt đầu nghỉ]]),0),
$AA56&lt;VLOOKUP(AB$6, Table_ChiPhiNV_Ca[], COUNTA(Table_ChiPhiNV_Ca[[#Headers],[Ca]:[Kết thúc nghỉ]]),0)
),0,
IF(NOT(ISBLANK(AB$3)),
IF(ISBLANK(AB$7),0,
IF(AB$4 &lt; AB$5,
IF($AA56-$Z$4&lt;AB$4,0,
IF($AA56&gt;AB$5,0,
SUM(_xlfn._xlws.FILTER(Table_BangLuong_TyLeTangCa[Tỷ lệ],
(Table_BangLuong_TyLeTangCa[Ngày] = AB$3) *
(Table_BangLuong_TyLeTangCa[Giờ min]&lt;=$AA56) *
(Table_BangLuong_TyLeTangCa[Giờ max]&gt;$AA56)
)))),
IF(AND($AA56-$Z$4 &gt;= AB$5,$AA56 &lt; AB$4),0,
SUM(_xlfn._xlws.FILTER(Table_BangLuong_TyLeTangCa[Tỷ lệ],
(Table_BangLuong_TyLeTangCa[Ngày] = AB$3) *
(Table_BangLuong_TyLeTangCa[Giờ min]&lt;=$AA56) *
(Table_BangLuong_TyLeTangCa[Giờ max]&gt;$AA56)
))))
),
IF(ISBLANK(AB$7),
IF(VLOOKUP(AB$6, Table_ChiPhiNV_Ca[], COUNTA(Table_ChiPhiNV_Ca[[#Headers],[Ca]:[Kết thúc]]),0)&gt; VLOOKUP(AB$6, Table_ChiPhiNV_Ca[], COUNTA(Table_ChiPhiNV_Ca[[#Headers],[Ca]:[Bắt đầu]]),0),
IF($AA56-$Z$4&lt;MAX(AB$4,VLOOKUP(AB$6, Table_ChiPhiNV_Ca[], COUNTA(Table_ChiPhiNV_Ca[[#Headers],[Ca]:[Bắt đầu]]),0)),0,
IF($AA56&gt;MIN(AB$5,VLOOKUP(AB$6, Table_ChiPhiNV_Ca[], COUNTA(Table_ChiPhiNV_Ca[[#Headers],[Ca]:[Kết thúc]]),0)),0,
SUM(_xlfn._xlws.FILTER(Table_BangLuong_TyLeTangCa[Tỷ lệ],
(Table_BangLuong_TyLeTangCa[Ngày] = "Thường") *
(Table_BangLuong_TyLeTangCa[Giờ min]&lt;=$AA56) *
(Table_BangLuong_TyLeTangCa[Giờ max]&gt;$AA56)
)))),
IF(AB$4 &gt; AB$5,
IF(
AND(
$AA56-$Z$4&lt;MAX(AB$4,VLOOKUP(AB$6, Table_ChiPhiNV_Ca[], COUNTA(Table_ChiPhiNV_Ca[[#Headers],[Ca]:[Bắt đầu]]),0)),
$AA56&gt;MIN(AB$5,VLOOKUP(AB$6, Table_ChiPhiNV_Ca[], COUNTA(Table_ChiPhiNV_Ca[[#Headers],[Ca]:[Kết thúc]]),0))),0,
SUM(_xlfn._xlws.FILTER(Table_BangLuong_TyLeTangCa[Tỷ lệ],
(Table_BangLuong_TyLeTangCa[Ngày] = "Thường") *
(Table_BangLuong_TyLeTangCa[Giờ min]&lt;=$AA56) *
(Table_BangLuong_TyLeTangCa[Giờ max]&gt;$AA56)
))),
IF(
AND(
$AA56-$Z$4&gt;=MAX(AB$4,VLOOKUP(AB$6, Table_ChiPhiNV_Ca[], COUNTA(Table_ChiPhiNV_Ca[[#Headers],[Ca]:[Bắt đầu]]),0)),
$AA56&lt;MIN(AB$5,VLOOKUP(AB$6, Table_ChiPhiNV_Ca[], COUNTA(Table_ChiPhiNV_Ca[[#Headers],[Ca]:[Kết thúc]]),0))),
SUM(_xlfn._xlws.FILTER(Table_BangLuong_TyLeTangCa[Tỷ lệ],
(Table_BangLuong_TyLeTangCa[Ngày] = "Thường") *
(Table_BangLuong_TyLeTangCa[Giờ min]&lt;=$AA56) *
(Table_BangLuong_TyLeTangCa[Giờ max]&gt;$AA56)
)),0)
)),
IF(AB$4 &lt; AB$5,
IF($AA56-$Z$4&lt;AB$4,0,
IF($AA56&gt;AB$5,0,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AB$5,$AA56 &lt; AB$4),0,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C56" s="18" cm="1">
        <f t="array" ref="AC56" xml:space="preserve">
IFERROR(
IF(AC$1="",0,
IF(AND(
$AA56&gt;=VLOOKUP(AC$6, Table_ChiPhiNV_Ca[], COUNTA(Table_ChiPhiNV_Ca[[#Headers],[Ca]:[Bắt đầu nghỉ]]),0),
$AA56&lt;VLOOKUP(AC$6, Table_ChiPhiNV_Ca[], COUNTA(Table_ChiPhiNV_Ca[[#Headers],[Ca]:[Kết thúc nghỉ]]),0)
),0,
IF(NOT(ISBLANK(AC$3)),
IF(ISBLANK(AC$7),0,
IF(AC$4 &lt; AC$5,
IF($AA56-$Z$4&lt;AC$4,0,
IF($AA56&gt;AC$5,0,
SUM(_xlfn._xlws.FILTER(Table_BangLuong_TyLeTangCa[Tỷ lệ],
(Table_BangLuong_TyLeTangCa[Ngày] = AC$3) *
(Table_BangLuong_TyLeTangCa[Giờ min]&lt;=$AA56) *
(Table_BangLuong_TyLeTangCa[Giờ max]&gt;$AA56)
)))),
IF(AND($AA56-$Z$4 &gt;= AC$5,$AA56 &lt; AC$4),0,
SUM(_xlfn._xlws.FILTER(Table_BangLuong_TyLeTangCa[Tỷ lệ],
(Table_BangLuong_TyLeTangCa[Ngày] = AC$3) *
(Table_BangLuong_TyLeTangCa[Giờ min]&lt;=$AA56) *
(Table_BangLuong_TyLeTangCa[Giờ max]&gt;$AA56)
))))
),
IF(ISBLANK(AC$7),
IF(VLOOKUP(AC$6, Table_ChiPhiNV_Ca[], COUNTA(Table_ChiPhiNV_Ca[[#Headers],[Ca]:[Kết thúc]]),0)&gt; VLOOKUP(AC$6, Table_ChiPhiNV_Ca[], COUNTA(Table_ChiPhiNV_Ca[[#Headers],[Ca]:[Bắt đầu]]),0),
IF($AA56-$Z$4&lt;MAX(AC$4,VLOOKUP(AC$6, Table_ChiPhiNV_Ca[], COUNTA(Table_ChiPhiNV_Ca[[#Headers],[Ca]:[Bắt đầu]]),0)),0,
IF($AA56&gt;MIN(AC$5,VLOOKUP(AC$6, Table_ChiPhiNV_Ca[], COUNTA(Table_ChiPhiNV_Ca[[#Headers],[Ca]:[Kết thúc]]),0)),0,
SUM(_xlfn._xlws.FILTER(Table_BangLuong_TyLeTangCa[Tỷ lệ],
(Table_BangLuong_TyLeTangCa[Ngày] = "Thường") *
(Table_BangLuong_TyLeTangCa[Giờ min]&lt;=$AA56) *
(Table_BangLuong_TyLeTangCa[Giờ max]&gt;$AA56)
)))),
IF(AC$4 &gt; AC$5,
IF(
AND(
$AA56-$Z$4&lt;MAX(AC$4,VLOOKUP(AC$6, Table_ChiPhiNV_Ca[], COUNTA(Table_ChiPhiNV_Ca[[#Headers],[Ca]:[Bắt đầu]]),0)),
$AA56&gt;MIN(AC$5,VLOOKUP(AC$6, Table_ChiPhiNV_Ca[], COUNTA(Table_ChiPhiNV_Ca[[#Headers],[Ca]:[Kết thúc]]),0))),0,
SUM(_xlfn._xlws.FILTER(Table_BangLuong_TyLeTangCa[Tỷ lệ],
(Table_BangLuong_TyLeTangCa[Ngày] = "Thường") *
(Table_BangLuong_TyLeTangCa[Giờ min]&lt;=$AA56) *
(Table_BangLuong_TyLeTangCa[Giờ max]&gt;$AA56)
))),
IF(
AND(
$AA56-$Z$4&gt;=MAX(AC$4,VLOOKUP(AC$6, Table_ChiPhiNV_Ca[], COUNTA(Table_ChiPhiNV_Ca[[#Headers],[Ca]:[Bắt đầu]]),0)),
$AA56&lt;MIN(AC$5,VLOOKUP(AC$6, Table_ChiPhiNV_Ca[], COUNTA(Table_ChiPhiNV_Ca[[#Headers],[Ca]:[Kết thúc]]),0))),
SUM(_xlfn._xlws.FILTER(Table_BangLuong_TyLeTangCa[Tỷ lệ],
(Table_BangLuong_TyLeTangCa[Ngày] = "Thường") *
(Table_BangLuong_TyLeTangCa[Giờ min]&lt;=$AA56) *
(Table_BangLuong_TyLeTangCa[Giờ max]&gt;$AA56)
)),0)
)),
IF(AC$4 &lt; AC$5,
IF($AA56-$Z$4&lt;AC$4,0,
IF($AA56&gt;AC$5,0,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AC$5,$AA56 &lt; AC$4),0,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D56" s="18" cm="1">
        <f t="array" ref="AD56" xml:space="preserve">
IFERROR(
IF(AD$1="",0,
IF(AND(
$AA56&gt;=VLOOKUP(AD$6, Table_ChiPhiNV_Ca[], COUNTA(Table_ChiPhiNV_Ca[[#Headers],[Ca]:[Bắt đầu nghỉ]]),0),
$AA56&lt;VLOOKUP(AD$6, Table_ChiPhiNV_Ca[], COUNTA(Table_ChiPhiNV_Ca[[#Headers],[Ca]:[Kết thúc nghỉ]]),0)
),0,
IF(NOT(ISBLANK(AD$3)),
IF(ISBLANK(AD$7),0,
IF(AD$4 &lt; AD$5,
IF($AA56-$Z$4&lt;AD$4,0,
IF($AA56&gt;AD$5,0,
SUM(_xlfn._xlws.FILTER(Table_BangLuong_TyLeTangCa[Tỷ lệ],
(Table_BangLuong_TyLeTangCa[Ngày] = AD$3) *
(Table_BangLuong_TyLeTangCa[Giờ min]&lt;=$AA56) *
(Table_BangLuong_TyLeTangCa[Giờ max]&gt;$AA56)
)))),
IF(AND($AA56-$Z$4 &gt;= AD$5,$AA56 &lt; AD$4),0,
SUM(_xlfn._xlws.FILTER(Table_BangLuong_TyLeTangCa[Tỷ lệ],
(Table_BangLuong_TyLeTangCa[Ngày] = AD$3) *
(Table_BangLuong_TyLeTangCa[Giờ min]&lt;=$AA56) *
(Table_BangLuong_TyLeTangCa[Giờ max]&gt;$AA56)
))))
),
IF(ISBLANK(AD$7),
IF(VLOOKUP(AD$6, Table_ChiPhiNV_Ca[], COUNTA(Table_ChiPhiNV_Ca[[#Headers],[Ca]:[Kết thúc]]),0)&gt; VLOOKUP(AD$6, Table_ChiPhiNV_Ca[], COUNTA(Table_ChiPhiNV_Ca[[#Headers],[Ca]:[Bắt đầu]]),0),
IF($AA56-$Z$4&lt;MAX(AD$4,VLOOKUP(AD$6, Table_ChiPhiNV_Ca[], COUNTA(Table_ChiPhiNV_Ca[[#Headers],[Ca]:[Bắt đầu]]),0)),0,
IF($AA56&gt;MIN(AD$5,VLOOKUP(AD$6, Table_ChiPhiNV_Ca[], COUNTA(Table_ChiPhiNV_Ca[[#Headers],[Ca]:[Kết thúc]]),0)),0,
SUM(_xlfn._xlws.FILTER(Table_BangLuong_TyLeTangCa[Tỷ lệ],
(Table_BangLuong_TyLeTangCa[Ngày] = "Thường") *
(Table_BangLuong_TyLeTangCa[Giờ min]&lt;=$AA56) *
(Table_BangLuong_TyLeTangCa[Giờ max]&gt;$AA56)
)))),
IF(AD$4 &gt; AD$5,
IF(
AND(
$AA56-$Z$4&lt;MAX(AD$4,VLOOKUP(AD$6, Table_ChiPhiNV_Ca[], COUNTA(Table_ChiPhiNV_Ca[[#Headers],[Ca]:[Bắt đầu]]),0)),
$AA56&gt;MIN(AD$5,VLOOKUP(AD$6, Table_ChiPhiNV_Ca[], COUNTA(Table_ChiPhiNV_Ca[[#Headers],[Ca]:[Kết thúc]]),0))),0,
SUM(_xlfn._xlws.FILTER(Table_BangLuong_TyLeTangCa[Tỷ lệ],
(Table_BangLuong_TyLeTangCa[Ngày] = "Thường") *
(Table_BangLuong_TyLeTangCa[Giờ min]&lt;=$AA56) *
(Table_BangLuong_TyLeTangCa[Giờ max]&gt;$AA56)
))),
IF(
AND(
$AA56-$Z$4&gt;=MAX(AD$4,VLOOKUP(AD$6, Table_ChiPhiNV_Ca[], COUNTA(Table_ChiPhiNV_Ca[[#Headers],[Ca]:[Bắt đầu]]),0)),
$AA56&lt;MIN(AD$5,VLOOKUP(AD$6, Table_ChiPhiNV_Ca[], COUNTA(Table_ChiPhiNV_Ca[[#Headers],[Ca]:[Kết thúc]]),0))),
SUM(_xlfn._xlws.FILTER(Table_BangLuong_TyLeTangCa[Tỷ lệ],
(Table_BangLuong_TyLeTangCa[Ngày] = "Thường") *
(Table_BangLuong_TyLeTangCa[Giờ min]&lt;=$AA56) *
(Table_BangLuong_TyLeTangCa[Giờ max]&gt;$AA56)
)),0)
)),
IF(AD$4 &lt; AD$5,
IF($AA56-$Z$4&lt;AD$4,0,
IF($AA56&gt;AD$5,0,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AD$5,$AA56 &lt; AD$4),0,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E56" s="18" cm="1">
        <f t="array" ref="AE56" xml:space="preserve">
IFERROR(
IF(AE$1="",0,
IF(AND(
$AA56&gt;=VLOOKUP(AE$6, Table_ChiPhiNV_Ca[], COUNTA(Table_ChiPhiNV_Ca[[#Headers],[Ca]:[Bắt đầu nghỉ]]),0),
$AA56&lt;VLOOKUP(AE$6, Table_ChiPhiNV_Ca[], COUNTA(Table_ChiPhiNV_Ca[[#Headers],[Ca]:[Kết thúc nghỉ]]),0)
),0,
IF(NOT(ISBLANK(AE$3)),
IF(ISBLANK(AE$7),0,
IF(AE$4 &lt; AE$5,
IF($AA56-$Z$4&lt;AE$4,0,
IF($AA56&gt;AE$5,0,
SUM(_xlfn._xlws.FILTER(Table_BangLuong_TyLeTangCa[Tỷ lệ],
(Table_BangLuong_TyLeTangCa[Ngày] = AE$3) *
(Table_BangLuong_TyLeTangCa[Giờ min]&lt;=$AA56) *
(Table_BangLuong_TyLeTangCa[Giờ max]&gt;$AA56)
)))),
IF(AND($AA56-$Z$4 &gt;= AE$5,$AA56 &lt; AE$4),0,
SUM(_xlfn._xlws.FILTER(Table_BangLuong_TyLeTangCa[Tỷ lệ],
(Table_BangLuong_TyLeTangCa[Ngày] = AE$3) *
(Table_BangLuong_TyLeTangCa[Giờ min]&lt;=$AA56) *
(Table_BangLuong_TyLeTangCa[Giờ max]&gt;$AA56)
))))
),
IF(ISBLANK(AE$7),
IF(VLOOKUP(AE$6, Table_ChiPhiNV_Ca[], COUNTA(Table_ChiPhiNV_Ca[[#Headers],[Ca]:[Kết thúc]]),0)&gt; VLOOKUP(AE$6, Table_ChiPhiNV_Ca[], COUNTA(Table_ChiPhiNV_Ca[[#Headers],[Ca]:[Bắt đầu]]),0),
IF($AA56-$Z$4&lt;MAX(AE$4,VLOOKUP(AE$6, Table_ChiPhiNV_Ca[], COUNTA(Table_ChiPhiNV_Ca[[#Headers],[Ca]:[Bắt đầu]]),0)),0,
IF($AA56&gt;MIN(AE$5,VLOOKUP(AE$6, Table_ChiPhiNV_Ca[], COUNTA(Table_ChiPhiNV_Ca[[#Headers],[Ca]:[Kết thúc]]),0)),0,
SUM(_xlfn._xlws.FILTER(Table_BangLuong_TyLeTangCa[Tỷ lệ],
(Table_BangLuong_TyLeTangCa[Ngày] = "Thường") *
(Table_BangLuong_TyLeTangCa[Giờ min]&lt;=$AA56) *
(Table_BangLuong_TyLeTangCa[Giờ max]&gt;$AA56)
)))),
IF(AE$4 &gt; AE$5,
IF(
AND(
$AA56-$Z$4&lt;MAX(AE$4,VLOOKUP(AE$6, Table_ChiPhiNV_Ca[], COUNTA(Table_ChiPhiNV_Ca[[#Headers],[Ca]:[Bắt đầu]]),0)),
$AA56&gt;MIN(AE$5,VLOOKUP(AE$6, Table_ChiPhiNV_Ca[], COUNTA(Table_ChiPhiNV_Ca[[#Headers],[Ca]:[Kết thúc]]),0))),0,
SUM(_xlfn._xlws.FILTER(Table_BangLuong_TyLeTangCa[Tỷ lệ],
(Table_BangLuong_TyLeTangCa[Ngày] = "Thường") *
(Table_BangLuong_TyLeTangCa[Giờ min]&lt;=$AA56) *
(Table_BangLuong_TyLeTangCa[Giờ max]&gt;$AA56)
))),
IF(
AND(
$AA56-$Z$4&gt;=MAX(AE$4,VLOOKUP(AE$6, Table_ChiPhiNV_Ca[], COUNTA(Table_ChiPhiNV_Ca[[#Headers],[Ca]:[Bắt đầu]]),0)),
$AA56&lt;MIN(AE$5,VLOOKUP(AE$6, Table_ChiPhiNV_Ca[], COUNTA(Table_ChiPhiNV_Ca[[#Headers],[Ca]:[Kết thúc]]),0))),
SUM(_xlfn._xlws.FILTER(Table_BangLuong_TyLeTangCa[Tỷ lệ],
(Table_BangLuong_TyLeTangCa[Ngày] = "Thường") *
(Table_BangLuong_TyLeTangCa[Giờ min]&lt;=$AA56) *
(Table_BangLuong_TyLeTangCa[Giờ max]&gt;$AA56)
)),0)
)),
IF(AE$4 &lt; AE$5,
IF($AA56-$Z$4&lt;AE$4,0,
IF($AA56&gt;AE$5,0,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AE$5,$AA56 &lt; AE$4),0,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F56" s="18" cm="1">
        <f t="array" ref="AF56" xml:space="preserve">
IFERROR(
IF(AF$1="",0,
IF(AND(
$AA56&gt;=VLOOKUP(AF$6, Table_ChiPhiNV_Ca[], COUNTA(Table_ChiPhiNV_Ca[[#Headers],[Ca]:[Bắt đầu nghỉ]]),0),
$AA56&lt;VLOOKUP(AF$6, Table_ChiPhiNV_Ca[], COUNTA(Table_ChiPhiNV_Ca[[#Headers],[Ca]:[Kết thúc nghỉ]]),0)
),0,
IF(NOT(ISBLANK(AF$3)),
IF(ISBLANK(AF$7),0,
IF(AF$4 &lt; AF$5,
IF($AA56-$Z$4&lt;AF$4,0,
IF($AA56&gt;AF$5,0,
SUM(_xlfn._xlws.FILTER(Table_BangLuong_TyLeTangCa[Tỷ lệ],
(Table_BangLuong_TyLeTangCa[Ngày] = AF$3) *
(Table_BangLuong_TyLeTangCa[Giờ min]&lt;=$AA56) *
(Table_BangLuong_TyLeTangCa[Giờ max]&gt;$AA56)
)))),
IF(AND($AA56-$Z$4 &gt;= AF$5,$AA56 &lt; AF$4),0,
SUM(_xlfn._xlws.FILTER(Table_BangLuong_TyLeTangCa[Tỷ lệ],
(Table_BangLuong_TyLeTangCa[Ngày] = AF$3) *
(Table_BangLuong_TyLeTangCa[Giờ min]&lt;=$AA56) *
(Table_BangLuong_TyLeTangCa[Giờ max]&gt;$AA56)
))))
),
IF(ISBLANK(AF$7),
IF(VLOOKUP(AF$6, Table_ChiPhiNV_Ca[], COUNTA(Table_ChiPhiNV_Ca[[#Headers],[Ca]:[Kết thúc]]),0)&gt; VLOOKUP(AF$6, Table_ChiPhiNV_Ca[], COUNTA(Table_ChiPhiNV_Ca[[#Headers],[Ca]:[Bắt đầu]]),0),
IF($AA56-$Z$4&lt;MAX(AF$4,VLOOKUP(AF$6, Table_ChiPhiNV_Ca[], COUNTA(Table_ChiPhiNV_Ca[[#Headers],[Ca]:[Bắt đầu]]),0)),0,
IF($AA56&gt;MIN(AF$5,VLOOKUP(AF$6, Table_ChiPhiNV_Ca[], COUNTA(Table_ChiPhiNV_Ca[[#Headers],[Ca]:[Kết thúc]]),0)),0,
SUM(_xlfn._xlws.FILTER(Table_BangLuong_TyLeTangCa[Tỷ lệ],
(Table_BangLuong_TyLeTangCa[Ngày] = "Thường") *
(Table_BangLuong_TyLeTangCa[Giờ min]&lt;=$AA56) *
(Table_BangLuong_TyLeTangCa[Giờ max]&gt;$AA56)
)))),
IF(AF$4 &gt; AF$5,
IF(
AND(
$AA56-$Z$4&lt;MAX(AF$4,VLOOKUP(AF$6, Table_ChiPhiNV_Ca[], COUNTA(Table_ChiPhiNV_Ca[[#Headers],[Ca]:[Bắt đầu]]),0)),
$AA56&gt;MIN(AF$5,VLOOKUP(AF$6, Table_ChiPhiNV_Ca[], COUNTA(Table_ChiPhiNV_Ca[[#Headers],[Ca]:[Kết thúc]]),0))),0,
SUM(_xlfn._xlws.FILTER(Table_BangLuong_TyLeTangCa[Tỷ lệ],
(Table_BangLuong_TyLeTangCa[Ngày] = "Thường") *
(Table_BangLuong_TyLeTangCa[Giờ min]&lt;=$AA56) *
(Table_BangLuong_TyLeTangCa[Giờ max]&gt;$AA56)
))),
IF(
AND(
$AA56-$Z$4&gt;=MAX(AF$4,VLOOKUP(AF$6, Table_ChiPhiNV_Ca[], COUNTA(Table_ChiPhiNV_Ca[[#Headers],[Ca]:[Bắt đầu]]),0)),
$AA56&lt;MIN(AF$5,VLOOKUP(AF$6, Table_ChiPhiNV_Ca[], COUNTA(Table_ChiPhiNV_Ca[[#Headers],[Ca]:[Kết thúc]]),0))),
SUM(_xlfn._xlws.FILTER(Table_BangLuong_TyLeTangCa[Tỷ lệ],
(Table_BangLuong_TyLeTangCa[Ngày] = "Thường") *
(Table_BangLuong_TyLeTangCa[Giờ min]&lt;=$AA56) *
(Table_BangLuong_TyLeTangCa[Giờ max]&gt;$AA56)
)),0)
)),
IF(AF$4 &lt; AF$5,
IF($AA56-$Z$4&lt;AF$4,0,
IF($AA56&gt;AF$5,0,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AF$5,$AA56 &lt; AF$4),0,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G56" s="18" cm="1">
        <f t="array" ref="AG56" xml:space="preserve">
IFERROR(
IF(AG$1="",0,
IF(AND(
$AA56&gt;=VLOOKUP(AG$6, Table_ChiPhiNV_Ca[], COUNTA(Table_ChiPhiNV_Ca[[#Headers],[Ca]:[Bắt đầu nghỉ]]),0),
$AA56&lt;VLOOKUP(AG$6, Table_ChiPhiNV_Ca[], COUNTA(Table_ChiPhiNV_Ca[[#Headers],[Ca]:[Kết thúc nghỉ]]),0)
),0,
IF(NOT(ISBLANK(AG$3)),
IF(ISBLANK(AG$7),0,
IF(AG$4 &lt; AG$5,
IF($AA56-$Z$4&lt;AG$4,0,
IF($AA56&gt;AG$5,0,
SUM(_xlfn._xlws.FILTER(Table_BangLuong_TyLeTangCa[Tỷ lệ],
(Table_BangLuong_TyLeTangCa[Ngày] = AG$3) *
(Table_BangLuong_TyLeTangCa[Giờ min]&lt;=$AA56) *
(Table_BangLuong_TyLeTangCa[Giờ max]&gt;$AA56)
)))),
IF(AND($AA56-$Z$4 &gt;= AG$5,$AA56 &lt; AG$4),0,
SUM(_xlfn._xlws.FILTER(Table_BangLuong_TyLeTangCa[Tỷ lệ],
(Table_BangLuong_TyLeTangCa[Ngày] = AG$3) *
(Table_BangLuong_TyLeTangCa[Giờ min]&lt;=$AA56) *
(Table_BangLuong_TyLeTangCa[Giờ max]&gt;$AA56)
))))
),
IF(ISBLANK(AG$7),
IF(VLOOKUP(AG$6, Table_ChiPhiNV_Ca[], COUNTA(Table_ChiPhiNV_Ca[[#Headers],[Ca]:[Kết thúc]]),0)&gt; VLOOKUP(AG$6, Table_ChiPhiNV_Ca[], COUNTA(Table_ChiPhiNV_Ca[[#Headers],[Ca]:[Bắt đầu]]),0),
IF($AA56-$Z$4&lt;MAX(AG$4,VLOOKUP(AG$6, Table_ChiPhiNV_Ca[], COUNTA(Table_ChiPhiNV_Ca[[#Headers],[Ca]:[Bắt đầu]]),0)),0,
IF($AA56&gt;MIN(AG$5,VLOOKUP(AG$6, Table_ChiPhiNV_Ca[], COUNTA(Table_ChiPhiNV_Ca[[#Headers],[Ca]:[Kết thúc]]),0)),0,
SUM(_xlfn._xlws.FILTER(Table_BangLuong_TyLeTangCa[Tỷ lệ],
(Table_BangLuong_TyLeTangCa[Ngày] = "Thường") *
(Table_BangLuong_TyLeTangCa[Giờ min]&lt;=$AA56) *
(Table_BangLuong_TyLeTangCa[Giờ max]&gt;$AA56)
)))),
IF(AG$4 &gt; AG$5,
IF(
AND(
$AA56-$Z$4&lt;MAX(AG$4,VLOOKUP(AG$6, Table_ChiPhiNV_Ca[], COUNTA(Table_ChiPhiNV_Ca[[#Headers],[Ca]:[Bắt đầu]]),0)),
$AA56&gt;MIN(AG$5,VLOOKUP(AG$6, Table_ChiPhiNV_Ca[], COUNTA(Table_ChiPhiNV_Ca[[#Headers],[Ca]:[Kết thúc]]),0))),0,
SUM(_xlfn._xlws.FILTER(Table_BangLuong_TyLeTangCa[Tỷ lệ],
(Table_BangLuong_TyLeTangCa[Ngày] = "Thường") *
(Table_BangLuong_TyLeTangCa[Giờ min]&lt;=$AA56) *
(Table_BangLuong_TyLeTangCa[Giờ max]&gt;$AA56)
))),
IF(
AND(
$AA56-$Z$4&gt;=MAX(AG$4,VLOOKUP(AG$6, Table_ChiPhiNV_Ca[], COUNTA(Table_ChiPhiNV_Ca[[#Headers],[Ca]:[Bắt đầu]]),0)),
$AA56&lt;MIN(AG$5,VLOOKUP(AG$6, Table_ChiPhiNV_Ca[], COUNTA(Table_ChiPhiNV_Ca[[#Headers],[Ca]:[Kết thúc]]),0))),
SUM(_xlfn._xlws.FILTER(Table_BangLuong_TyLeTangCa[Tỷ lệ],
(Table_BangLuong_TyLeTangCa[Ngày] = "Thường") *
(Table_BangLuong_TyLeTangCa[Giờ min]&lt;=$AA56) *
(Table_BangLuong_TyLeTangCa[Giờ max]&gt;$AA56)
)),0)
)),
IF(AG$4 &lt; AG$5,
IF($AA56-$Z$4&lt;AG$4,0,
IF($AA56&gt;AG$5,0,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AG$5,$AA56 &lt; AG$4),0,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H56" s="18" cm="1">
        <f t="array" ref="AH56" xml:space="preserve">
IFERROR(
IF(AH$1="",0,
IF(AND(
$AA56&gt;=VLOOKUP(AH$6, Table_ChiPhiNV_Ca[], COUNTA(Table_ChiPhiNV_Ca[[#Headers],[Ca]:[Bắt đầu nghỉ]]),0),
$AA56&lt;VLOOKUP(AH$6, Table_ChiPhiNV_Ca[], COUNTA(Table_ChiPhiNV_Ca[[#Headers],[Ca]:[Kết thúc nghỉ]]),0)
),0,
IF(NOT(ISBLANK(AH$3)),
IF(ISBLANK(AH$7),0,
IF(AH$4 &lt; AH$5,
IF($AA56-$Z$4&lt;AH$4,0,
IF($AA56&gt;AH$5,0,
SUM(_xlfn._xlws.FILTER(Table_BangLuong_TyLeTangCa[Tỷ lệ],
(Table_BangLuong_TyLeTangCa[Ngày] = AH$3) *
(Table_BangLuong_TyLeTangCa[Giờ min]&lt;=$AA56) *
(Table_BangLuong_TyLeTangCa[Giờ max]&gt;$AA56)
)))),
IF(AND($AA56-$Z$4 &gt;= AH$5,$AA56 &lt; AH$4),0,
SUM(_xlfn._xlws.FILTER(Table_BangLuong_TyLeTangCa[Tỷ lệ],
(Table_BangLuong_TyLeTangCa[Ngày] = AH$3) *
(Table_BangLuong_TyLeTangCa[Giờ min]&lt;=$AA56) *
(Table_BangLuong_TyLeTangCa[Giờ max]&gt;$AA56)
))))
),
IF(ISBLANK(AH$7),
IF(VLOOKUP(AH$6, Table_ChiPhiNV_Ca[], COUNTA(Table_ChiPhiNV_Ca[[#Headers],[Ca]:[Kết thúc]]),0)&gt; VLOOKUP(AH$6, Table_ChiPhiNV_Ca[], COUNTA(Table_ChiPhiNV_Ca[[#Headers],[Ca]:[Bắt đầu]]),0),
IF($AA56-$Z$4&lt;MAX(AH$4,VLOOKUP(AH$6, Table_ChiPhiNV_Ca[], COUNTA(Table_ChiPhiNV_Ca[[#Headers],[Ca]:[Bắt đầu]]),0)),0,
IF($AA56&gt;MIN(AH$5,VLOOKUP(AH$6, Table_ChiPhiNV_Ca[], COUNTA(Table_ChiPhiNV_Ca[[#Headers],[Ca]:[Kết thúc]]),0)),0,
SUM(_xlfn._xlws.FILTER(Table_BangLuong_TyLeTangCa[Tỷ lệ],
(Table_BangLuong_TyLeTangCa[Ngày] = "Thường") *
(Table_BangLuong_TyLeTangCa[Giờ min]&lt;=$AA56) *
(Table_BangLuong_TyLeTangCa[Giờ max]&gt;$AA56)
)))),
IF(AH$4 &gt; AH$5,
IF(
AND(
$AA56-$Z$4&lt;MAX(AH$4,VLOOKUP(AH$6, Table_ChiPhiNV_Ca[], COUNTA(Table_ChiPhiNV_Ca[[#Headers],[Ca]:[Bắt đầu]]),0)),
$AA56&gt;MIN(AH$5,VLOOKUP(AH$6, Table_ChiPhiNV_Ca[], COUNTA(Table_ChiPhiNV_Ca[[#Headers],[Ca]:[Kết thúc]]),0))),0,
SUM(_xlfn._xlws.FILTER(Table_BangLuong_TyLeTangCa[Tỷ lệ],
(Table_BangLuong_TyLeTangCa[Ngày] = "Thường") *
(Table_BangLuong_TyLeTangCa[Giờ min]&lt;=$AA56) *
(Table_BangLuong_TyLeTangCa[Giờ max]&gt;$AA56)
))),
IF(
AND(
$AA56-$Z$4&gt;=MAX(AH$4,VLOOKUP(AH$6, Table_ChiPhiNV_Ca[], COUNTA(Table_ChiPhiNV_Ca[[#Headers],[Ca]:[Bắt đầu]]),0)),
$AA56&lt;MIN(AH$5,VLOOKUP(AH$6, Table_ChiPhiNV_Ca[], COUNTA(Table_ChiPhiNV_Ca[[#Headers],[Ca]:[Kết thúc]]),0))),
SUM(_xlfn._xlws.FILTER(Table_BangLuong_TyLeTangCa[Tỷ lệ],
(Table_BangLuong_TyLeTangCa[Ngày] = "Thường") *
(Table_BangLuong_TyLeTangCa[Giờ min]&lt;=$AA56) *
(Table_BangLuong_TyLeTangCa[Giờ max]&gt;$AA56)
)),0)
)),
IF(AH$4 &lt; AH$5,
IF($AA56-$Z$4&lt;AH$4,0,
IF($AA56&gt;AH$5,0,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AH$5,$AA56 &lt; AH$4),0,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I56" s="18" cm="1">
        <f t="array" ref="AI56" xml:space="preserve">
IFERROR(
IF(AI$1="",0,
IF(AND(
$AA56&gt;=VLOOKUP(AI$6, Table_ChiPhiNV_Ca[], COUNTA(Table_ChiPhiNV_Ca[[#Headers],[Ca]:[Bắt đầu nghỉ]]),0),
$AA56&lt;VLOOKUP(AI$6, Table_ChiPhiNV_Ca[], COUNTA(Table_ChiPhiNV_Ca[[#Headers],[Ca]:[Kết thúc nghỉ]]),0)
),0,
IF(NOT(ISBLANK(AI$3)),
IF(ISBLANK(AI$7),0,
IF(AI$4 &lt; AI$5,
IF($AA56-$Z$4&lt;AI$4,0,
IF($AA56&gt;AI$5,0,
SUM(_xlfn._xlws.FILTER(Table_BangLuong_TyLeTangCa[Tỷ lệ],
(Table_BangLuong_TyLeTangCa[Ngày] = AI$3) *
(Table_BangLuong_TyLeTangCa[Giờ min]&lt;=$AA56) *
(Table_BangLuong_TyLeTangCa[Giờ max]&gt;$AA56)
)))),
IF(AND($AA56-$Z$4 &gt;= AI$5,$AA56 &lt; AI$4),0,
SUM(_xlfn._xlws.FILTER(Table_BangLuong_TyLeTangCa[Tỷ lệ],
(Table_BangLuong_TyLeTangCa[Ngày] = AI$3) *
(Table_BangLuong_TyLeTangCa[Giờ min]&lt;=$AA56) *
(Table_BangLuong_TyLeTangCa[Giờ max]&gt;$AA56)
))))
),
IF(ISBLANK(AI$7),
IF(VLOOKUP(AI$6, Table_ChiPhiNV_Ca[], COUNTA(Table_ChiPhiNV_Ca[[#Headers],[Ca]:[Kết thúc]]),0)&gt; VLOOKUP(AI$6, Table_ChiPhiNV_Ca[], COUNTA(Table_ChiPhiNV_Ca[[#Headers],[Ca]:[Bắt đầu]]),0),
IF($AA56-$Z$4&lt;MAX(AI$4,VLOOKUP(AI$6, Table_ChiPhiNV_Ca[], COUNTA(Table_ChiPhiNV_Ca[[#Headers],[Ca]:[Bắt đầu]]),0)),0,
IF($AA56&gt;MIN(AI$5,VLOOKUP(AI$6, Table_ChiPhiNV_Ca[], COUNTA(Table_ChiPhiNV_Ca[[#Headers],[Ca]:[Kết thúc]]),0)),0,
SUM(_xlfn._xlws.FILTER(Table_BangLuong_TyLeTangCa[Tỷ lệ],
(Table_BangLuong_TyLeTangCa[Ngày] = "Thường") *
(Table_BangLuong_TyLeTangCa[Giờ min]&lt;=$AA56) *
(Table_BangLuong_TyLeTangCa[Giờ max]&gt;$AA56)
)))),
IF(AI$4 &gt; AI$5,
IF(
AND(
$AA56-$Z$4&lt;MAX(AI$4,VLOOKUP(AI$6, Table_ChiPhiNV_Ca[], COUNTA(Table_ChiPhiNV_Ca[[#Headers],[Ca]:[Bắt đầu]]),0)),
$AA56&gt;MIN(AI$5,VLOOKUP(AI$6, Table_ChiPhiNV_Ca[], COUNTA(Table_ChiPhiNV_Ca[[#Headers],[Ca]:[Kết thúc]]),0))),0,
SUM(_xlfn._xlws.FILTER(Table_BangLuong_TyLeTangCa[Tỷ lệ],
(Table_BangLuong_TyLeTangCa[Ngày] = "Thường") *
(Table_BangLuong_TyLeTangCa[Giờ min]&lt;=$AA56) *
(Table_BangLuong_TyLeTangCa[Giờ max]&gt;$AA56)
))),
IF(
AND(
$AA56-$Z$4&gt;=MAX(AI$4,VLOOKUP(AI$6, Table_ChiPhiNV_Ca[], COUNTA(Table_ChiPhiNV_Ca[[#Headers],[Ca]:[Bắt đầu]]),0)),
$AA56&lt;MIN(AI$5,VLOOKUP(AI$6, Table_ChiPhiNV_Ca[], COUNTA(Table_ChiPhiNV_Ca[[#Headers],[Ca]:[Kết thúc]]),0))),
SUM(_xlfn._xlws.FILTER(Table_BangLuong_TyLeTangCa[Tỷ lệ],
(Table_BangLuong_TyLeTangCa[Ngày] = "Thường") *
(Table_BangLuong_TyLeTangCa[Giờ min]&lt;=$AA56) *
(Table_BangLuong_TyLeTangCa[Giờ max]&gt;$AA56)
)),0)
)),
IF(AI$4 &lt; AI$5,
IF($AA56-$Z$4&lt;AI$4,0,
IF($AA56&gt;AI$5,0,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AI$5,$AA56 &lt; AI$4),0,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J56" s="18" cm="1">
        <f t="array" ref="AJ56" xml:space="preserve">
IFERROR(
IF(AJ$1="",0,
IF(AND(
$AA56&gt;=VLOOKUP(AJ$6, Table_ChiPhiNV_Ca[], COUNTA(Table_ChiPhiNV_Ca[[#Headers],[Ca]:[Bắt đầu nghỉ]]),0),
$AA56&lt;VLOOKUP(AJ$6, Table_ChiPhiNV_Ca[], COUNTA(Table_ChiPhiNV_Ca[[#Headers],[Ca]:[Kết thúc nghỉ]]),0)
),0,
IF(NOT(ISBLANK(AJ$3)),
IF(ISBLANK(AJ$7),0,
IF(AJ$4 &lt; AJ$5,
IF($AA56-$Z$4&lt;AJ$4,0,
IF($AA56&gt;AJ$5,0,
SUM(_xlfn._xlws.FILTER(Table_BangLuong_TyLeTangCa[Tỷ lệ],
(Table_BangLuong_TyLeTangCa[Ngày] = AJ$3) *
(Table_BangLuong_TyLeTangCa[Giờ min]&lt;=$AA56) *
(Table_BangLuong_TyLeTangCa[Giờ max]&gt;$AA56)
)))),
IF(AND($AA56-$Z$4 &gt;= AJ$5,$AA56 &lt; AJ$4),0,
SUM(_xlfn._xlws.FILTER(Table_BangLuong_TyLeTangCa[Tỷ lệ],
(Table_BangLuong_TyLeTangCa[Ngày] = AJ$3) *
(Table_BangLuong_TyLeTangCa[Giờ min]&lt;=$AA56) *
(Table_BangLuong_TyLeTangCa[Giờ max]&gt;$AA56)
))))
),
IF(ISBLANK(AJ$7),
IF(VLOOKUP(AJ$6, Table_ChiPhiNV_Ca[], COUNTA(Table_ChiPhiNV_Ca[[#Headers],[Ca]:[Kết thúc]]),0)&gt; VLOOKUP(AJ$6, Table_ChiPhiNV_Ca[], COUNTA(Table_ChiPhiNV_Ca[[#Headers],[Ca]:[Bắt đầu]]),0),
IF($AA56-$Z$4&lt;MAX(AJ$4,VLOOKUP(AJ$6, Table_ChiPhiNV_Ca[], COUNTA(Table_ChiPhiNV_Ca[[#Headers],[Ca]:[Bắt đầu]]),0)),0,
IF($AA56&gt;MIN(AJ$5,VLOOKUP(AJ$6, Table_ChiPhiNV_Ca[], COUNTA(Table_ChiPhiNV_Ca[[#Headers],[Ca]:[Kết thúc]]),0)),0,
SUM(_xlfn._xlws.FILTER(Table_BangLuong_TyLeTangCa[Tỷ lệ],
(Table_BangLuong_TyLeTangCa[Ngày] = "Thường") *
(Table_BangLuong_TyLeTangCa[Giờ min]&lt;=$AA56) *
(Table_BangLuong_TyLeTangCa[Giờ max]&gt;$AA56)
)))),
IF(AJ$4 &gt; AJ$5,
IF(
AND(
$AA56-$Z$4&lt;MAX(AJ$4,VLOOKUP(AJ$6, Table_ChiPhiNV_Ca[], COUNTA(Table_ChiPhiNV_Ca[[#Headers],[Ca]:[Bắt đầu]]),0)),
$AA56&gt;MIN(AJ$5,VLOOKUP(AJ$6, Table_ChiPhiNV_Ca[], COUNTA(Table_ChiPhiNV_Ca[[#Headers],[Ca]:[Kết thúc]]),0))),0,
SUM(_xlfn._xlws.FILTER(Table_BangLuong_TyLeTangCa[Tỷ lệ],
(Table_BangLuong_TyLeTangCa[Ngày] = "Thường") *
(Table_BangLuong_TyLeTangCa[Giờ min]&lt;=$AA56) *
(Table_BangLuong_TyLeTangCa[Giờ max]&gt;$AA56)
))),
IF(
AND(
$AA56-$Z$4&gt;=MAX(AJ$4,VLOOKUP(AJ$6, Table_ChiPhiNV_Ca[], COUNTA(Table_ChiPhiNV_Ca[[#Headers],[Ca]:[Bắt đầu]]),0)),
$AA56&lt;MIN(AJ$5,VLOOKUP(AJ$6, Table_ChiPhiNV_Ca[], COUNTA(Table_ChiPhiNV_Ca[[#Headers],[Ca]:[Kết thúc]]),0))),
SUM(_xlfn._xlws.FILTER(Table_BangLuong_TyLeTangCa[Tỷ lệ],
(Table_BangLuong_TyLeTangCa[Ngày] = "Thường") *
(Table_BangLuong_TyLeTangCa[Giờ min]&lt;=$AA56) *
(Table_BangLuong_TyLeTangCa[Giờ max]&gt;$AA56)
)),0)
)),
IF(AJ$4 &lt; AJ$5,
IF($AA56-$Z$4&lt;AJ$4,0,
IF($AA56&gt;AJ$5,0,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AJ$5,$AA56 &lt; AJ$4),0,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K56" s="18" cm="1">
        <f t="array" ref="AK56" xml:space="preserve">
IFERROR(
IF(AK$1="",0,
IF(AND(
$AA56&gt;=VLOOKUP(AK$6, Table_ChiPhiNV_Ca[], COUNTA(Table_ChiPhiNV_Ca[[#Headers],[Ca]:[Bắt đầu nghỉ]]),0),
$AA56&lt;VLOOKUP(AK$6, Table_ChiPhiNV_Ca[], COUNTA(Table_ChiPhiNV_Ca[[#Headers],[Ca]:[Kết thúc nghỉ]]),0)
),0,
IF(NOT(ISBLANK(AK$3)),
IF(ISBLANK(AK$7),0,
IF(AK$4 &lt; AK$5,
IF($AA56-$Z$4&lt;AK$4,0,
IF($AA56&gt;AK$5,0,
SUM(_xlfn._xlws.FILTER(Table_BangLuong_TyLeTangCa[Tỷ lệ],
(Table_BangLuong_TyLeTangCa[Ngày] = AK$3) *
(Table_BangLuong_TyLeTangCa[Giờ min]&lt;=$AA56) *
(Table_BangLuong_TyLeTangCa[Giờ max]&gt;$AA56)
)))),
IF(AND($AA56-$Z$4 &gt;= AK$5,$AA56 &lt; AK$4),0,
SUM(_xlfn._xlws.FILTER(Table_BangLuong_TyLeTangCa[Tỷ lệ],
(Table_BangLuong_TyLeTangCa[Ngày] = AK$3) *
(Table_BangLuong_TyLeTangCa[Giờ min]&lt;=$AA56) *
(Table_BangLuong_TyLeTangCa[Giờ max]&gt;$AA56)
))))
),
IF(ISBLANK(AK$7),
IF(VLOOKUP(AK$6, Table_ChiPhiNV_Ca[], COUNTA(Table_ChiPhiNV_Ca[[#Headers],[Ca]:[Kết thúc]]),0)&gt; VLOOKUP(AK$6, Table_ChiPhiNV_Ca[], COUNTA(Table_ChiPhiNV_Ca[[#Headers],[Ca]:[Bắt đầu]]),0),
IF($AA56-$Z$4&lt;MAX(AK$4,VLOOKUP(AK$6, Table_ChiPhiNV_Ca[], COUNTA(Table_ChiPhiNV_Ca[[#Headers],[Ca]:[Bắt đầu]]),0)),0,
IF($AA56&gt;MIN(AK$5,VLOOKUP(AK$6, Table_ChiPhiNV_Ca[], COUNTA(Table_ChiPhiNV_Ca[[#Headers],[Ca]:[Kết thúc]]),0)),0,
SUM(_xlfn._xlws.FILTER(Table_BangLuong_TyLeTangCa[Tỷ lệ],
(Table_BangLuong_TyLeTangCa[Ngày] = "Thường") *
(Table_BangLuong_TyLeTangCa[Giờ min]&lt;=$AA56) *
(Table_BangLuong_TyLeTangCa[Giờ max]&gt;$AA56)
)))),
IF(AK$4 &gt; AK$5,
IF(
AND(
$AA56-$Z$4&lt;MAX(AK$4,VLOOKUP(AK$6, Table_ChiPhiNV_Ca[], COUNTA(Table_ChiPhiNV_Ca[[#Headers],[Ca]:[Bắt đầu]]),0)),
$AA56&gt;MIN(AK$5,VLOOKUP(AK$6, Table_ChiPhiNV_Ca[], COUNTA(Table_ChiPhiNV_Ca[[#Headers],[Ca]:[Kết thúc]]),0))),0,
SUM(_xlfn._xlws.FILTER(Table_BangLuong_TyLeTangCa[Tỷ lệ],
(Table_BangLuong_TyLeTangCa[Ngày] = "Thường") *
(Table_BangLuong_TyLeTangCa[Giờ min]&lt;=$AA56) *
(Table_BangLuong_TyLeTangCa[Giờ max]&gt;$AA56)
))),
IF(
AND(
$AA56-$Z$4&gt;=MAX(AK$4,VLOOKUP(AK$6, Table_ChiPhiNV_Ca[], COUNTA(Table_ChiPhiNV_Ca[[#Headers],[Ca]:[Bắt đầu]]),0)),
$AA56&lt;MIN(AK$5,VLOOKUP(AK$6, Table_ChiPhiNV_Ca[], COUNTA(Table_ChiPhiNV_Ca[[#Headers],[Ca]:[Kết thúc]]),0))),
SUM(_xlfn._xlws.FILTER(Table_BangLuong_TyLeTangCa[Tỷ lệ],
(Table_BangLuong_TyLeTangCa[Ngày] = "Thường") *
(Table_BangLuong_TyLeTangCa[Giờ min]&lt;=$AA56) *
(Table_BangLuong_TyLeTangCa[Giờ max]&gt;$AA56)
)),0)
)),
IF(AK$4 &lt; AK$5,
IF($AA56-$Z$4&lt;AK$4,0,
IF($AA56&gt;AK$5,0,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AK$5,$AA56 &lt; AK$4),0,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L56" s="18" cm="1">
        <f t="array" ref="AL56" xml:space="preserve">
IFERROR(
IF(AL$1="",0,
IF(AND(
$AA56&gt;=VLOOKUP(AL$6, Table_ChiPhiNV_Ca[], COUNTA(Table_ChiPhiNV_Ca[[#Headers],[Ca]:[Bắt đầu nghỉ]]),0),
$AA56&lt;VLOOKUP(AL$6, Table_ChiPhiNV_Ca[], COUNTA(Table_ChiPhiNV_Ca[[#Headers],[Ca]:[Kết thúc nghỉ]]),0)
),0,
IF(NOT(ISBLANK(AL$3)),
IF(ISBLANK(AL$7),0,
IF(AL$4 &lt; AL$5,
IF($AA56-$Z$4&lt;AL$4,0,
IF($AA56&gt;AL$5,0,
SUM(_xlfn._xlws.FILTER(Table_BangLuong_TyLeTangCa[Tỷ lệ],
(Table_BangLuong_TyLeTangCa[Ngày] = AL$3) *
(Table_BangLuong_TyLeTangCa[Giờ min]&lt;=$AA56) *
(Table_BangLuong_TyLeTangCa[Giờ max]&gt;$AA56)
)))),
IF(AND($AA56-$Z$4 &gt;= AL$5,$AA56 &lt; AL$4),0,
SUM(_xlfn._xlws.FILTER(Table_BangLuong_TyLeTangCa[Tỷ lệ],
(Table_BangLuong_TyLeTangCa[Ngày] = AL$3) *
(Table_BangLuong_TyLeTangCa[Giờ min]&lt;=$AA56) *
(Table_BangLuong_TyLeTangCa[Giờ max]&gt;$AA56)
))))
),
IF(ISBLANK(AL$7),
IF(VLOOKUP(AL$6, Table_ChiPhiNV_Ca[], COUNTA(Table_ChiPhiNV_Ca[[#Headers],[Ca]:[Kết thúc]]),0)&gt; VLOOKUP(AL$6, Table_ChiPhiNV_Ca[], COUNTA(Table_ChiPhiNV_Ca[[#Headers],[Ca]:[Bắt đầu]]),0),
IF($AA56-$Z$4&lt;MAX(AL$4,VLOOKUP(AL$6, Table_ChiPhiNV_Ca[], COUNTA(Table_ChiPhiNV_Ca[[#Headers],[Ca]:[Bắt đầu]]),0)),0,
IF($AA56&gt;MIN(AL$5,VLOOKUP(AL$6, Table_ChiPhiNV_Ca[], COUNTA(Table_ChiPhiNV_Ca[[#Headers],[Ca]:[Kết thúc]]),0)),0,
SUM(_xlfn._xlws.FILTER(Table_BangLuong_TyLeTangCa[Tỷ lệ],
(Table_BangLuong_TyLeTangCa[Ngày] = "Thường") *
(Table_BangLuong_TyLeTangCa[Giờ min]&lt;=$AA56) *
(Table_BangLuong_TyLeTangCa[Giờ max]&gt;$AA56)
)))),
IF(AL$4 &gt; AL$5,
IF(
AND(
$AA56-$Z$4&lt;MAX(AL$4,VLOOKUP(AL$6, Table_ChiPhiNV_Ca[], COUNTA(Table_ChiPhiNV_Ca[[#Headers],[Ca]:[Bắt đầu]]),0)),
$AA56&gt;MIN(AL$5,VLOOKUP(AL$6, Table_ChiPhiNV_Ca[], COUNTA(Table_ChiPhiNV_Ca[[#Headers],[Ca]:[Kết thúc]]),0))),0,
SUM(_xlfn._xlws.FILTER(Table_BangLuong_TyLeTangCa[Tỷ lệ],
(Table_BangLuong_TyLeTangCa[Ngày] = "Thường") *
(Table_BangLuong_TyLeTangCa[Giờ min]&lt;=$AA56) *
(Table_BangLuong_TyLeTangCa[Giờ max]&gt;$AA56)
))),
IF(
AND(
$AA56-$Z$4&gt;=MAX(AL$4,VLOOKUP(AL$6, Table_ChiPhiNV_Ca[], COUNTA(Table_ChiPhiNV_Ca[[#Headers],[Ca]:[Bắt đầu]]),0)),
$AA56&lt;MIN(AL$5,VLOOKUP(AL$6, Table_ChiPhiNV_Ca[], COUNTA(Table_ChiPhiNV_Ca[[#Headers],[Ca]:[Kết thúc]]),0))),
SUM(_xlfn._xlws.FILTER(Table_BangLuong_TyLeTangCa[Tỷ lệ],
(Table_BangLuong_TyLeTangCa[Ngày] = "Thường") *
(Table_BangLuong_TyLeTangCa[Giờ min]&lt;=$AA56) *
(Table_BangLuong_TyLeTangCa[Giờ max]&gt;$AA56)
)),0)
)),
IF(AL$4 &lt; AL$5,
IF($AA56-$Z$4&lt;AL$4,0,
IF($AA56&gt;AL$5,0,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AL$5,$AA56 &lt; AL$4),0,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M56" s="18" cm="1">
        <f t="array" ref="AM56" xml:space="preserve">
IFERROR(
IF(AM$1="",0,
IF(AND(
$AA56&gt;=VLOOKUP(AM$6, Table_ChiPhiNV_Ca[], COUNTA(Table_ChiPhiNV_Ca[[#Headers],[Ca]:[Bắt đầu nghỉ]]),0),
$AA56&lt;VLOOKUP(AM$6, Table_ChiPhiNV_Ca[], COUNTA(Table_ChiPhiNV_Ca[[#Headers],[Ca]:[Kết thúc nghỉ]]),0)
),0,
IF(NOT(ISBLANK(AM$3)),
IF(ISBLANK(AM$7),0,
IF(AM$4 &lt; AM$5,
IF($AA56-$Z$4&lt;AM$4,0,
IF($AA56&gt;AM$5,0,
SUM(_xlfn._xlws.FILTER(Table_BangLuong_TyLeTangCa[Tỷ lệ],
(Table_BangLuong_TyLeTangCa[Ngày] = AM$3) *
(Table_BangLuong_TyLeTangCa[Giờ min]&lt;=$AA56) *
(Table_BangLuong_TyLeTangCa[Giờ max]&gt;$AA56)
)))),
IF(AND($AA56-$Z$4 &gt;= AM$5,$AA56 &lt; AM$4),0,
SUM(_xlfn._xlws.FILTER(Table_BangLuong_TyLeTangCa[Tỷ lệ],
(Table_BangLuong_TyLeTangCa[Ngày] = AM$3) *
(Table_BangLuong_TyLeTangCa[Giờ min]&lt;=$AA56) *
(Table_BangLuong_TyLeTangCa[Giờ max]&gt;$AA56)
))))
),
IF(ISBLANK(AM$7),
IF(VLOOKUP(AM$6, Table_ChiPhiNV_Ca[], COUNTA(Table_ChiPhiNV_Ca[[#Headers],[Ca]:[Kết thúc]]),0)&gt; VLOOKUP(AM$6, Table_ChiPhiNV_Ca[], COUNTA(Table_ChiPhiNV_Ca[[#Headers],[Ca]:[Bắt đầu]]),0),
IF($AA56-$Z$4&lt;MAX(AM$4,VLOOKUP(AM$6, Table_ChiPhiNV_Ca[], COUNTA(Table_ChiPhiNV_Ca[[#Headers],[Ca]:[Bắt đầu]]),0)),0,
IF($AA56&gt;MIN(AM$5,VLOOKUP(AM$6, Table_ChiPhiNV_Ca[], COUNTA(Table_ChiPhiNV_Ca[[#Headers],[Ca]:[Kết thúc]]),0)),0,
SUM(_xlfn._xlws.FILTER(Table_BangLuong_TyLeTangCa[Tỷ lệ],
(Table_BangLuong_TyLeTangCa[Ngày] = "Thường") *
(Table_BangLuong_TyLeTangCa[Giờ min]&lt;=$AA56) *
(Table_BangLuong_TyLeTangCa[Giờ max]&gt;$AA56)
)))),
IF(AM$4 &gt; AM$5,
IF(
AND(
$AA56-$Z$4&lt;MAX(AM$4,VLOOKUP(AM$6, Table_ChiPhiNV_Ca[], COUNTA(Table_ChiPhiNV_Ca[[#Headers],[Ca]:[Bắt đầu]]),0)),
$AA56&gt;MIN(AM$5,VLOOKUP(AM$6, Table_ChiPhiNV_Ca[], COUNTA(Table_ChiPhiNV_Ca[[#Headers],[Ca]:[Kết thúc]]),0))),0,
SUM(_xlfn._xlws.FILTER(Table_BangLuong_TyLeTangCa[Tỷ lệ],
(Table_BangLuong_TyLeTangCa[Ngày] = "Thường") *
(Table_BangLuong_TyLeTangCa[Giờ min]&lt;=$AA56) *
(Table_BangLuong_TyLeTangCa[Giờ max]&gt;$AA56)
))),
IF(
AND(
$AA56-$Z$4&gt;=MAX(AM$4,VLOOKUP(AM$6, Table_ChiPhiNV_Ca[], COUNTA(Table_ChiPhiNV_Ca[[#Headers],[Ca]:[Bắt đầu]]),0)),
$AA56&lt;MIN(AM$5,VLOOKUP(AM$6, Table_ChiPhiNV_Ca[], COUNTA(Table_ChiPhiNV_Ca[[#Headers],[Ca]:[Kết thúc]]),0))),
SUM(_xlfn._xlws.FILTER(Table_BangLuong_TyLeTangCa[Tỷ lệ],
(Table_BangLuong_TyLeTangCa[Ngày] = "Thường") *
(Table_BangLuong_TyLeTangCa[Giờ min]&lt;=$AA56) *
(Table_BangLuong_TyLeTangCa[Giờ max]&gt;$AA56)
)),0)
)),
IF(AM$4 &lt; AM$5,
IF($AA56-$Z$4&lt;AM$4,0,
IF($AA56&gt;AM$5,0,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AM$5,$AA56 &lt; AM$4),0,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N56" s="18" cm="1">
        <f t="array" ref="AN56" xml:space="preserve">
IFERROR(
IF(AN$1="",0,
IF(AND(
$AA56&gt;=VLOOKUP(AN$6, Table_ChiPhiNV_Ca[], COUNTA(Table_ChiPhiNV_Ca[[#Headers],[Ca]:[Bắt đầu nghỉ]]),0),
$AA56&lt;VLOOKUP(AN$6, Table_ChiPhiNV_Ca[], COUNTA(Table_ChiPhiNV_Ca[[#Headers],[Ca]:[Kết thúc nghỉ]]),0)
),0,
IF(NOT(ISBLANK(AN$3)),
IF(ISBLANK(AN$7),0,
IF(AN$4 &lt; AN$5,
IF($AA56-$Z$4&lt;AN$4,0,
IF($AA56&gt;AN$5,0,
SUM(_xlfn._xlws.FILTER(Table_BangLuong_TyLeTangCa[Tỷ lệ],
(Table_BangLuong_TyLeTangCa[Ngày] = AN$3) *
(Table_BangLuong_TyLeTangCa[Giờ min]&lt;=$AA56) *
(Table_BangLuong_TyLeTangCa[Giờ max]&gt;$AA56)
)))),
IF(AND($AA56-$Z$4 &gt;= AN$5,$AA56 &lt; AN$4),0,
SUM(_xlfn._xlws.FILTER(Table_BangLuong_TyLeTangCa[Tỷ lệ],
(Table_BangLuong_TyLeTangCa[Ngày] = AN$3) *
(Table_BangLuong_TyLeTangCa[Giờ min]&lt;=$AA56) *
(Table_BangLuong_TyLeTangCa[Giờ max]&gt;$AA56)
))))
),
IF(ISBLANK(AN$7),
IF(VLOOKUP(AN$6, Table_ChiPhiNV_Ca[], COUNTA(Table_ChiPhiNV_Ca[[#Headers],[Ca]:[Kết thúc]]),0)&gt; VLOOKUP(AN$6, Table_ChiPhiNV_Ca[], COUNTA(Table_ChiPhiNV_Ca[[#Headers],[Ca]:[Bắt đầu]]),0),
IF($AA56-$Z$4&lt;MAX(AN$4,VLOOKUP(AN$6, Table_ChiPhiNV_Ca[], COUNTA(Table_ChiPhiNV_Ca[[#Headers],[Ca]:[Bắt đầu]]),0)),0,
IF($AA56&gt;MIN(AN$5,VLOOKUP(AN$6, Table_ChiPhiNV_Ca[], COUNTA(Table_ChiPhiNV_Ca[[#Headers],[Ca]:[Kết thúc]]),0)),0,
SUM(_xlfn._xlws.FILTER(Table_BangLuong_TyLeTangCa[Tỷ lệ],
(Table_BangLuong_TyLeTangCa[Ngày] = "Thường") *
(Table_BangLuong_TyLeTangCa[Giờ min]&lt;=$AA56) *
(Table_BangLuong_TyLeTangCa[Giờ max]&gt;$AA56)
)))),
IF(AN$4 &gt; AN$5,
IF(
AND(
$AA56-$Z$4&lt;MAX(AN$4,VLOOKUP(AN$6, Table_ChiPhiNV_Ca[], COUNTA(Table_ChiPhiNV_Ca[[#Headers],[Ca]:[Bắt đầu]]),0)),
$AA56&gt;MIN(AN$5,VLOOKUP(AN$6, Table_ChiPhiNV_Ca[], COUNTA(Table_ChiPhiNV_Ca[[#Headers],[Ca]:[Kết thúc]]),0))),0,
SUM(_xlfn._xlws.FILTER(Table_BangLuong_TyLeTangCa[Tỷ lệ],
(Table_BangLuong_TyLeTangCa[Ngày] = "Thường") *
(Table_BangLuong_TyLeTangCa[Giờ min]&lt;=$AA56) *
(Table_BangLuong_TyLeTangCa[Giờ max]&gt;$AA56)
))),
IF(
AND(
$AA56-$Z$4&gt;=MAX(AN$4,VLOOKUP(AN$6, Table_ChiPhiNV_Ca[], COUNTA(Table_ChiPhiNV_Ca[[#Headers],[Ca]:[Bắt đầu]]),0)),
$AA56&lt;MIN(AN$5,VLOOKUP(AN$6, Table_ChiPhiNV_Ca[], COUNTA(Table_ChiPhiNV_Ca[[#Headers],[Ca]:[Kết thúc]]),0))),
SUM(_xlfn._xlws.FILTER(Table_BangLuong_TyLeTangCa[Tỷ lệ],
(Table_BangLuong_TyLeTangCa[Ngày] = "Thường") *
(Table_BangLuong_TyLeTangCa[Giờ min]&lt;=$AA56) *
(Table_BangLuong_TyLeTangCa[Giờ max]&gt;$AA56)
)),0)
)),
IF(AN$4 &lt; AN$5,
IF($AA56-$Z$4&lt;AN$4,0,
IF($AA56&gt;AN$5,0,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AN$5,$AA56 &lt; AN$4),0,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O56" s="18" cm="1">
        <f t="array" ref="AO56" xml:space="preserve">
IFERROR(
IF(AO$1="",0,
IF(AND(
$AA56&gt;=VLOOKUP(AO$6, Table_ChiPhiNV_Ca[], COUNTA(Table_ChiPhiNV_Ca[[#Headers],[Ca]:[Bắt đầu nghỉ]]),0),
$AA56&lt;VLOOKUP(AO$6, Table_ChiPhiNV_Ca[], COUNTA(Table_ChiPhiNV_Ca[[#Headers],[Ca]:[Kết thúc nghỉ]]),0)
),0,
IF(NOT(ISBLANK(AO$3)),
IF(ISBLANK(AO$7),0,
IF(AO$4 &lt; AO$5,
IF($AA56-$Z$4&lt;AO$4,0,
IF($AA56&gt;AO$5,0,
SUM(_xlfn._xlws.FILTER(Table_BangLuong_TyLeTangCa[Tỷ lệ],
(Table_BangLuong_TyLeTangCa[Ngày] = AO$3) *
(Table_BangLuong_TyLeTangCa[Giờ min]&lt;=$AA56) *
(Table_BangLuong_TyLeTangCa[Giờ max]&gt;$AA56)
)))),
IF(AND($AA56-$Z$4 &gt;= AO$5,$AA56 &lt; AO$4),0,
SUM(_xlfn._xlws.FILTER(Table_BangLuong_TyLeTangCa[Tỷ lệ],
(Table_BangLuong_TyLeTangCa[Ngày] = AO$3) *
(Table_BangLuong_TyLeTangCa[Giờ min]&lt;=$AA56) *
(Table_BangLuong_TyLeTangCa[Giờ max]&gt;$AA56)
))))
),
IF(ISBLANK(AO$7),
IF(VLOOKUP(AO$6, Table_ChiPhiNV_Ca[], COUNTA(Table_ChiPhiNV_Ca[[#Headers],[Ca]:[Kết thúc]]),0)&gt; VLOOKUP(AO$6, Table_ChiPhiNV_Ca[], COUNTA(Table_ChiPhiNV_Ca[[#Headers],[Ca]:[Bắt đầu]]),0),
IF($AA56-$Z$4&lt;MAX(AO$4,VLOOKUP(AO$6, Table_ChiPhiNV_Ca[], COUNTA(Table_ChiPhiNV_Ca[[#Headers],[Ca]:[Bắt đầu]]),0)),0,
IF($AA56&gt;MIN(AO$5,VLOOKUP(AO$6, Table_ChiPhiNV_Ca[], COUNTA(Table_ChiPhiNV_Ca[[#Headers],[Ca]:[Kết thúc]]),0)),0,
SUM(_xlfn._xlws.FILTER(Table_BangLuong_TyLeTangCa[Tỷ lệ],
(Table_BangLuong_TyLeTangCa[Ngày] = "Thường") *
(Table_BangLuong_TyLeTangCa[Giờ min]&lt;=$AA56) *
(Table_BangLuong_TyLeTangCa[Giờ max]&gt;$AA56)
)))),
IF(AO$4 &gt; AO$5,
IF(
AND(
$AA56-$Z$4&lt;MAX(AO$4,VLOOKUP(AO$6, Table_ChiPhiNV_Ca[], COUNTA(Table_ChiPhiNV_Ca[[#Headers],[Ca]:[Bắt đầu]]),0)),
$AA56&gt;MIN(AO$5,VLOOKUP(AO$6, Table_ChiPhiNV_Ca[], COUNTA(Table_ChiPhiNV_Ca[[#Headers],[Ca]:[Kết thúc]]),0))),0,
SUM(_xlfn._xlws.FILTER(Table_BangLuong_TyLeTangCa[Tỷ lệ],
(Table_BangLuong_TyLeTangCa[Ngày] = "Thường") *
(Table_BangLuong_TyLeTangCa[Giờ min]&lt;=$AA56) *
(Table_BangLuong_TyLeTangCa[Giờ max]&gt;$AA56)
))),
IF(
AND(
$AA56-$Z$4&gt;=MAX(AO$4,VLOOKUP(AO$6, Table_ChiPhiNV_Ca[], COUNTA(Table_ChiPhiNV_Ca[[#Headers],[Ca]:[Bắt đầu]]),0)),
$AA56&lt;MIN(AO$5,VLOOKUP(AO$6, Table_ChiPhiNV_Ca[], COUNTA(Table_ChiPhiNV_Ca[[#Headers],[Ca]:[Kết thúc]]),0))),
SUM(_xlfn._xlws.FILTER(Table_BangLuong_TyLeTangCa[Tỷ lệ],
(Table_BangLuong_TyLeTangCa[Ngày] = "Thường") *
(Table_BangLuong_TyLeTangCa[Giờ min]&lt;=$AA56) *
(Table_BangLuong_TyLeTangCa[Giờ max]&gt;$AA56)
)),0)
)),
IF(AO$4 &lt; AO$5,
IF($AA56-$Z$4&lt;AO$4,0,
IF($AA56&gt;AO$5,0,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AO$5,$AA56 &lt; AO$4),0,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P56" s="18" cm="1">
        <f t="array" ref="AP56" xml:space="preserve">
IFERROR(
IF(AP$1="",0,
IF(AND(
$AA56&gt;=VLOOKUP(AP$6, Table_ChiPhiNV_Ca[], COUNTA(Table_ChiPhiNV_Ca[[#Headers],[Ca]:[Bắt đầu nghỉ]]),0),
$AA56&lt;VLOOKUP(AP$6, Table_ChiPhiNV_Ca[], COUNTA(Table_ChiPhiNV_Ca[[#Headers],[Ca]:[Kết thúc nghỉ]]),0)
),0,
IF(NOT(ISBLANK(AP$3)),
IF(ISBLANK(AP$7),0,
IF(AP$4 &lt; AP$5,
IF($AA56-$Z$4&lt;AP$4,0,
IF($AA56&gt;AP$5,0,
SUM(_xlfn._xlws.FILTER(Table_BangLuong_TyLeTangCa[Tỷ lệ],
(Table_BangLuong_TyLeTangCa[Ngày] = AP$3) *
(Table_BangLuong_TyLeTangCa[Giờ min]&lt;=$AA56) *
(Table_BangLuong_TyLeTangCa[Giờ max]&gt;$AA56)
)))),
IF(AND($AA56-$Z$4 &gt;= AP$5,$AA56 &lt; AP$4),0,
SUM(_xlfn._xlws.FILTER(Table_BangLuong_TyLeTangCa[Tỷ lệ],
(Table_BangLuong_TyLeTangCa[Ngày] = AP$3) *
(Table_BangLuong_TyLeTangCa[Giờ min]&lt;=$AA56) *
(Table_BangLuong_TyLeTangCa[Giờ max]&gt;$AA56)
))))
),
IF(ISBLANK(AP$7),
IF(VLOOKUP(AP$6, Table_ChiPhiNV_Ca[], COUNTA(Table_ChiPhiNV_Ca[[#Headers],[Ca]:[Kết thúc]]),0)&gt; VLOOKUP(AP$6, Table_ChiPhiNV_Ca[], COUNTA(Table_ChiPhiNV_Ca[[#Headers],[Ca]:[Bắt đầu]]),0),
IF($AA56-$Z$4&lt;MAX(AP$4,VLOOKUP(AP$6, Table_ChiPhiNV_Ca[], COUNTA(Table_ChiPhiNV_Ca[[#Headers],[Ca]:[Bắt đầu]]),0)),0,
IF($AA56&gt;MIN(AP$5,VLOOKUP(AP$6, Table_ChiPhiNV_Ca[], COUNTA(Table_ChiPhiNV_Ca[[#Headers],[Ca]:[Kết thúc]]),0)),0,
SUM(_xlfn._xlws.FILTER(Table_BangLuong_TyLeTangCa[Tỷ lệ],
(Table_BangLuong_TyLeTangCa[Ngày] = "Thường") *
(Table_BangLuong_TyLeTangCa[Giờ min]&lt;=$AA56) *
(Table_BangLuong_TyLeTangCa[Giờ max]&gt;$AA56)
)))),
IF(AP$4 &gt; AP$5,
IF(
AND(
$AA56-$Z$4&lt;MAX(AP$4,VLOOKUP(AP$6, Table_ChiPhiNV_Ca[], COUNTA(Table_ChiPhiNV_Ca[[#Headers],[Ca]:[Bắt đầu]]),0)),
$AA56&gt;MIN(AP$5,VLOOKUP(AP$6, Table_ChiPhiNV_Ca[], COUNTA(Table_ChiPhiNV_Ca[[#Headers],[Ca]:[Kết thúc]]),0))),0,
SUM(_xlfn._xlws.FILTER(Table_BangLuong_TyLeTangCa[Tỷ lệ],
(Table_BangLuong_TyLeTangCa[Ngày] = "Thường") *
(Table_BangLuong_TyLeTangCa[Giờ min]&lt;=$AA56) *
(Table_BangLuong_TyLeTangCa[Giờ max]&gt;$AA56)
))),
IF(
AND(
$AA56-$Z$4&gt;=MAX(AP$4,VLOOKUP(AP$6, Table_ChiPhiNV_Ca[], COUNTA(Table_ChiPhiNV_Ca[[#Headers],[Ca]:[Bắt đầu]]),0)),
$AA56&lt;MIN(AP$5,VLOOKUP(AP$6, Table_ChiPhiNV_Ca[], COUNTA(Table_ChiPhiNV_Ca[[#Headers],[Ca]:[Kết thúc]]),0))),
SUM(_xlfn._xlws.FILTER(Table_BangLuong_TyLeTangCa[Tỷ lệ],
(Table_BangLuong_TyLeTangCa[Ngày] = "Thường") *
(Table_BangLuong_TyLeTangCa[Giờ min]&lt;=$AA56) *
(Table_BangLuong_TyLeTangCa[Giờ max]&gt;$AA56)
)),0)
)),
IF(AP$4 &lt; AP$5,
IF($AA56-$Z$4&lt;AP$4,0,
IF($AA56&gt;AP$5,0,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AP$5,$AA56 &lt; AP$4),0,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Q56" s="18" cm="1">
        <f t="array" ref="AQ56" xml:space="preserve">
IFERROR(
IF(AQ$1="",0,
IF(AND(
$AA56&gt;=VLOOKUP(AQ$6, Table_ChiPhiNV_Ca[], COUNTA(Table_ChiPhiNV_Ca[[#Headers],[Ca]:[Bắt đầu nghỉ]]),0),
$AA56&lt;VLOOKUP(AQ$6, Table_ChiPhiNV_Ca[], COUNTA(Table_ChiPhiNV_Ca[[#Headers],[Ca]:[Kết thúc nghỉ]]),0)
),0,
IF(NOT(ISBLANK(AQ$3)),
IF(ISBLANK(AQ$7),0,
IF(AQ$4 &lt; AQ$5,
IF($AA56-$Z$4&lt;AQ$4,0,
IF($AA56&gt;AQ$5,0,
SUM(_xlfn._xlws.FILTER(Table_BangLuong_TyLeTangCa[Tỷ lệ],
(Table_BangLuong_TyLeTangCa[Ngày] = AQ$3) *
(Table_BangLuong_TyLeTangCa[Giờ min]&lt;=$AA56) *
(Table_BangLuong_TyLeTangCa[Giờ max]&gt;$AA56)
)))),
IF(AND($AA56-$Z$4 &gt;= AQ$5,$AA56 &lt; AQ$4),0,
SUM(_xlfn._xlws.FILTER(Table_BangLuong_TyLeTangCa[Tỷ lệ],
(Table_BangLuong_TyLeTangCa[Ngày] = AQ$3) *
(Table_BangLuong_TyLeTangCa[Giờ min]&lt;=$AA56) *
(Table_BangLuong_TyLeTangCa[Giờ max]&gt;$AA56)
))))
),
IF(ISBLANK(AQ$7),
IF(VLOOKUP(AQ$6, Table_ChiPhiNV_Ca[], COUNTA(Table_ChiPhiNV_Ca[[#Headers],[Ca]:[Kết thúc]]),0)&gt; VLOOKUP(AQ$6, Table_ChiPhiNV_Ca[], COUNTA(Table_ChiPhiNV_Ca[[#Headers],[Ca]:[Bắt đầu]]),0),
IF($AA56-$Z$4&lt;MAX(AQ$4,VLOOKUP(AQ$6, Table_ChiPhiNV_Ca[], COUNTA(Table_ChiPhiNV_Ca[[#Headers],[Ca]:[Bắt đầu]]),0)),0,
IF($AA56&gt;MIN(AQ$5,VLOOKUP(AQ$6, Table_ChiPhiNV_Ca[], COUNTA(Table_ChiPhiNV_Ca[[#Headers],[Ca]:[Kết thúc]]),0)),0,
SUM(_xlfn._xlws.FILTER(Table_BangLuong_TyLeTangCa[Tỷ lệ],
(Table_BangLuong_TyLeTangCa[Ngày] = "Thường") *
(Table_BangLuong_TyLeTangCa[Giờ min]&lt;=$AA56) *
(Table_BangLuong_TyLeTangCa[Giờ max]&gt;$AA56)
)))),
IF(AQ$4 &gt; AQ$5,
IF(
AND(
$AA56-$Z$4&lt;MAX(AQ$4,VLOOKUP(AQ$6, Table_ChiPhiNV_Ca[], COUNTA(Table_ChiPhiNV_Ca[[#Headers],[Ca]:[Bắt đầu]]),0)),
$AA56&gt;MIN(AQ$5,VLOOKUP(AQ$6, Table_ChiPhiNV_Ca[], COUNTA(Table_ChiPhiNV_Ca[[#Headers],[Ca]:[Kết thúc]]),0))),0,
SUM(_xlfn._xlws.FILTER(Table_BangLuong_TyLeTangCa[Tỷ lệ],
(Table_BangLuong_TyLeTangCa[Ngày] = "Thường") *
(Table_BangLuong_TyLeTangCa[Giờ min]&lt;=$AA56) *
(Table_BangLuong_TyLeTangCa[Giờ max]&gt;$AA56)
))),
IF(
AND(
$AA56-$Z$4&gt;=MAX(AQ$4,VLOOKUP(AQ$6, Table_ChiPhiNV_Ca[], COUNTA(Table_ChiPhiNV_Ca[[#Headers],[Ca]:[Bắt đầu]]),0)),
$AA56&lt;MIN(AQ$5,VLOOKUP(AQ$6, Table_ChiPhiNV_Ca[], COUNTA(Table_ChiPhiNV_Ca[[#Headers],[Ca]:[Kết thúc]]),0))),
SUM(_xlfn._xlws.FILTER(Table_BangLuong_TyLeTangCa[Tỷ lệ],
(Table_BangLuong_TyLeTangCa[Ngày] = "Thường") *
(Table_BangLuong_TyLeTangCa[Giờ min]&lt;=$AA56) *
(Table_BangLuong_TyLeTangCa[Giờ max]&gt;$AA56)
)),0)
)),
IF(AQ$4 &lt; AQ$5,
IF($AA56-$Z$4&lt;AQ$4,0,
IF($AA56&gt;AQ$5,0,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AQ$5,$AA56 &lt; AQ$4),0,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R56" s="18" cm="1">
        <f t="array" ref="AR56" xml:space="preserve">
IFERROR(
IF(AR$1="",0,
IF(AND(
$AA56&gt;=VLOOKUP(AR$6, Table_ChiPhiNV_Ca[], COUNTA(Table_ChiPhiNV_Ca[[#Headers],[Ca]:[Bắt đầu nghỉ]]),0),
$AA56&lt;VLOOKUP(AR$6, Table_ChiPhiNV_Ca[], COUNTA(Table_ChiPhiNV_Ca[[#Headers],[Ca]:[Kết thúc nghỉ]]),0)
),0,
IF(NOT(ISBLANK(AR$3)),
IF(ISBLANK(AR$7),0,
IF(AR$4 &lt; AR$5,
IF($AA56-$Z$4&lt;AR$4,0,
IF($AA56&gt;AR$5,0,
SUM(_xlfn._xlws.FILTER(Table_BangLuong_TyLeTangCa[Tỷ lệ],
(Table_BangLuong_TyLeTangCa[Ngày] = AR$3) *
(Table_BangLuong_TyLeTangCa[Giờ min]&lt;=$AA56) *
(Table_BangLuong_TyLeTangCa[Giờ max]&gt;$AA56)
)))),
IF(AND($AA56-$Z$4 &gt;= AR$5,$AA56 &lt; AR$4),0,
SUM(_xlfn._xlws.FILTER(Table_BangLuong_TyLeTangCa[Tỷ lệ],
(Table_BangLuong_TyLeTangCa[Ngày] = AR$3) *
(Table_BangLuong_TyLeTangCa[Giờ min]&lt;=$AA56) *
(Table_BangLuong_TyLeTangCa[Giờ max]&gt;$AA56)
))))
),
IF(ISBLANK(AR$7),
IF(VLOOKUP(AR$6, Table_ChiPhiNV_Ca[], COUNTA(Table_ChiPhiNV_Ca[[#Headers],[Ca]:[Kết thúc]]),0)&gt; VLOOKUP(AR$6, Table_ChiPhiNV_Ca[], COUNTA(Table_ChiPhiNV_Ca[[#Headers],[Ca]:[Bắt đầu]]),0),
IF($AA56-$Z$4&lt;MAX(AR$4,VLOOKUP(AR$6, Table_ChiPhiNV_Ca[], COUNTA(Table_ChiPhiNV_Ca[[#Headers],[Ca]:[Bắt đầu]]),0)),0,
IF($AA56&gt;MIN(AR$5,VLOOKUP(AR$6, Table_ChiPhiNV_Ca[], COUNTA(Table_ChiPhiNV_Ca[[#Headers],[Ca]:[Kết thúc]]),0)),0,
SUM(_xlfn._xlws.FILTER(Table_BangLuong_TyLeTangCa[Tỷ lệ],
(Table_BangLuong_TyLeTangCa[Ngày] = "Thường") *
(Table_BangLuong_TyLeTangCa[Giờ min]&lt;=$AA56) *
(Table_BangLuong_TyLeTangCa[Giờ max]&gt;$AA56)
)))),
IF(AR$4 &gt; AR$5,
IF(
AND(
$AA56-$Z$4&lt;MAX(AR$4,VLOOKUP(AR$6, Table_ChiPhiNV_Ca[], COUNTA(Table_ChiPhiNV_Ca[[#Headers],[Ca]:[Bắt đầu]]),0)),
$AA56&gt;MIN(AR$5,VLOOKUP(AR$6, Table_ChiPhiNV_Ca[], COUNTA(Table_ChiPhiNV_Ca[[#Headers],[Ca]:[Kết thúc]]),0))),0,
SUM(_xlfn._xlws.FILTER(Table_BangLuong_TyLeTangCa[Tỷ lệ],
(Table_BangLuong_TyLeTangCa[Ngày] = "Thường") *
(Table_BangLuong_TyLeTangCa[Giờ min]&lt;=$AA56) *
(Table_BangLuong_TyLeTangCa[Giờ max]&gt;$AA56)
))),
IF(
AND(
$AA56-$Z$4&gt;=MAX(AR$4,VLOOKUP(AR$6, Table_ChiPhiNV_Ca[], COUNTA(Table_ChiPhiNV_Ca[[#Headers],[Ca]:[Bắt đầu]]),0)),
$AA56&lt;MIN(AR$5,VLOOKUP(AR$6, Table_ChiPhiNV_Ca[], COUNTA(Table_ChiPhiNV_Ca[[#Headers],[Ca]:[Kết thúc]]),0))),
SUM(_xlfn._xlws.FILTER(Table_BangLuong_TyLeTangCa[Tỷ lệ],
(Table_BangLuong_TyLeTangCa[Ngày] = "Thường") *
(Table_BangLuong_TyLeTangCa[Giờ min]&lt;=$AA56) *
(Table_BangLuong_TyLeTangCa[Giờ max]&gt;$AA56)
)),0)
)),
IF(AR$4 &lt; AR$5,
IF($AA56-$Z$4&lt;AR$4,0,
IF($AA56&gt;AR$5,0,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AR$5,$AA56 &lt; AR$4),0,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S56" s="18" cm="1">
        <f t="array" ref="AS56" xml:space="preserve">
IFERROR(
IF(AS$1="",0,
IF(AND(
$AA56&gt;=VLOOKUP(AS$6, Table_ChiPhiNV_Ca[], COUNTA(Table_ChiPhiNV_Ca[[#Headers],[Ca]:[Bắt đầu nghỉ]]),0),
$AA56&lt;VLOOKUP(AS$6, Table_ChiPhiNV_Ca[], COUNTA(Table_ChiPhiNV_Ca[[#Headers],[Ca]:[Kết thúc nghỉ]]),0)
),0,
IF(NOT(ISBLANK(AS$3)),
IF(ISBLANK(AS$7),0,
IF(AS$4 &lt; AS$5,
IF($AA56-$Z$4&lt;AS$4,0,
IF($AA56&gt;AS$5,0,
SUM(_xlfn._xlws.FILTER(Table_BangLuong_TyLeTangCa[Tỷ lệ],
(Table_BangLuong_TyLeTangCa[Ngày] = AS$3) *
(Table_BangLuong_TyLeTangCa[Giờ min]&lt;=$AA56) *
(Table_BangLuong_TyLeTangCa[Giờ max]&gt;$AA56)
)))),
IF(AND($AA56-$Z$4 &gt;= AS$5,$AA56 &lt; AS$4),0,
SUM(_xlfn._xlws.FILTER(Table_BangLuong_TyLeTangCa[Tỷ lệ],
(Table_BangLuong_TyLeTangCa[Ngày] = AS$3) *
(Table_BangLuong_TyLeTangCa[Giờ min]&lt;=$AA56) *
(Table_BangLuong_TyLeTangCa[Giờ max]&gt;$AA56)
))))
),
IF(ISBLANK(AS$7),
IF(VLOOKUP(AS$6, Table_ChiPhiNV_Ca[], COUNTA(Table_ChiPhiNV_Ca[[#Headers],[Ca]:[Kết thúc]]),0)&gt; VLOOKUP(AS$6, Table_ChiPhiNV_Ca[], COUNTA(Table_ChiPhiNV_Ca[[#Headers],[Ca]:[Bắt đầu]]),0),
IF($AA56-$Z$4&lt;MAX(AS$4,VLOOKUP(AS$6, Table_ChiPhiNV_Ca[], COUNTA(Table_ChiPhiNV_Ca[[#Headers],[Ca]:[Bắt đầu]]),0)),0,
IF($AA56&gt;MIN(AS$5,VLOOKUP(AS$6, Table_ChiPhiNV_Ca[], COUNTA(Table_ChiPhiNV_Ca[[#Headers],[Ca]:[Kết thúc]]),0)),0,
SUM(_xlfn._xlws.FILTER(Table_BangLuong_TyLeTangCa[Tỷ lệ],
(Table_BangLuong_TyLeTangCa[Ngày] = "Thường") *
(Table_BangLuong_TyLeTangCa[Giờ min]&lt;=$AA56) *
(Table_BangLuong_TyLeTangCa[Giờ max]&gt;$AA56)
)))),
IF(AS$4 &gt; AS$5,
IF(
AND(
$AA56-$Z$4&lt;MAX(AS$4,VLOOKUP(AS$6, Table_ChiPhiNV_Ca[], COUNTA(Table_ChiPhiNV_Ca[[#Headers],[Ca]:[Bắt đầu]]),0)),
$AA56&gt;MIN(AS$5,VLOOKUP(AS$6, Table_ChiPhiNV_Ca[], COUNTA(Table_ChiPhiNV_Ca[[#Headers],[Ca]:[Kết thúc]]),0))),0,
SUM(_xlfn._xlws.FILTER(Table_BangLuong_TyLeTangCa[Tỷ lệ],
(Table_BangLuong_TyLeTangCa[Ngày] = "Thường") *
(Table_BangLuong_TyLeTangCa[Giờ min]&lt;=$AA56) *
(Table_BangLuong_TyLeTangCa[Giờ max]&gt;$AA56)
))),
IF(
AND(
$AA56-$Z$4&gt;=MAX(AS$4,VLOOKUP(AS$6, Table_ChiPhiNV_Ca[], COUNTA(Table_ChiPhiNV_Ca[[#Headers],[Ca]:[Bắt đầu]]),0)),
$AA56&lt;MIN(AS$5,VLOOKUP(AS$6, Table_ChiPhiNV_Ca[], COUNTA(Table_ChiPhiNV_Ca[[#Headers],[Ca]:[Kết thúc]]),0))),
SUM(_xlfn._xlws.FILTER(Table_BangLuong_TyLeTangCa[Tỷ lệ],
(Table_BangLuong_TyLeTangCa[Ngày] = "Thường") *
(Table_BangLuong_TyLeTangCa[Giờ min]&lt;=$AA56) *
(Table_BangLuong_TyLeTangCa[Giờ max]&gt;$AA56)
)),0)
)),
IF(AS$4 &lt; AS$5,
IF($AA56-$Z$4&lt;AS$4,0,
IF($AA56&gt;AS$5,0,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AS$5,$AA56 &lt; AS$4),0,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T56" s="18" cm="1">
        <f t="array" ref="AT56" xml:space="preserve">
IFERROR(
IF(AT$1="",0,
IF(AND(
$AA56&gt;=VLOOKUP(AT$6, Table_ChiPhiNV_Ca[], COUNTA(Table_ChiPhiNV_Ca[[#Headers],[Ca]:[Bắt đầu nghỉ]]),0),
$AA56&lt;VLOOKUP(AT$6, Table_ChiPhiNV_Ca[], COUNTA(Table_ChiPhiNV_Ca[[#Headers],[Ca]:[Kết thúc nghỉ]]),0)
),0,
IF(NOT(ISBLANK(AT$3)),
IF(ISBLANK(AT$7),0,
IF(AT$4 &lt; AT$5,
IF($AA56-$Z$4&lt;AT$4,0,
IF($AA56&gt;AT$5,0,
SUM(_xlfn._xlws.FILTER(Table_BangLuong_TyLeTangCa[Tỷ lệ],
(Table_BangLuong_TyLeTangCa[Ngày] = AT$3) *
(Table_BangLuong_TyLeTangCa[Giờ min]&lt;=$AA56) *
(Table_BangLuong_TyLeTangCa[Giờ max]&gt;$AA56)
)))),
IF(AND($AA56-$Z$4 &gt;= AT$5,$AA56 &lt; AT$4),0,
SUM(_xlfn._xlws.FILTER(Table_BangLuong_TyLeTangCa[Tỷ lệ],
(Table_BangLuong_TyLeTangCa[Ngày] = AT$3) *
(Table_BangLuong_TyLeTangCa[Giờ min]&lt;=$AA56) *
(Table_BangLuong_TyLeTangCa[Giờ max]&gt;$AA56)
))))
),
IF(ISBLANK(AT$7),
IF(VLOOKUP(AT$6, Table_ChiPhiNV_Ca[], COUNTA(Table_ChiPhiNV_Ca[[#Headers],[Ca]:[Kết thúc]]),0)&gt; VLOOKUP(AT$6, Table_ChiPhiNV_Ca[], COUNTA(Table_ChiPhiNV_Ca[[#Headers],[Ca]:[Bắt đầu]]),0),
IF($AA56-$Z$4&lt;MAX(AT$4,VLOOKUP(AT$6, Table_ChiPhiNV_Ca[], COUNTA(Table_ChiPhiNV_Ca[[#Headers],[Ca]:[Bắt đầu]]),0)),0,
IF($AA56&gt;MIN(AT$5,VLOOKUP(AT$6, Table_ChiPhiNV_Ca[], COUNTA(Table_ChiPhiNV_Ca[[#Headers],[Ca]:[Kết thúc]]),0)),0,
SUM(_xlfn._xlws.FILTER(Table_BangLuong_TyLeTangCa[Tỷ lệ],
(Table_BangLuong_TyLeTangCa[Ngày] = "Thường") *
(Table_BangLuong_TyLeTangCa[Giờ min]&lt;=$AA56) *
(Table_BangLuong_TyLeTangCa[Giờ max]&gt;$AA56)
)))),
IF(AT$4 &gt; AT$5,
IF(
AND(
$AA56-$Z$4&lt;MAX(AT$4,VLOOKUP(AT$6, Table_ChiPhiNV_Ca[], COUNTA(Table_ChiPhiNV_Ca[[#Headers],[Ca]:[Bắt đầu]]),0)),
$AA56&gt;MIN(AT$5,VLOOKUP(AT$6, Table_ChiPhiNV_Ca[], COUNTA(Table_ChiPhiNV_Ca[[#Headers],[Ca]:[Kết thúc]]),0))),0,
SUM(_xlfn._xlws.FILTER(Table_BangLuong_TyLeTangCa[Tỷ lệ],
(Table_BangLuong_TyLeTangCa[Ngày] = "Thường") *
(Table_BangLuong_TyLeTangCa[Giờ min]&lt;=$AA56) *
(Table_BangLuong_TyLeTangCa[Giờ max]&gt;$AA56)
))),
IF(
AND(
$AA56-$Z$4&gt;=MAX(AT$4,VLOOKUP(AT$6, Table_ChiPhiNV_Ca[], COUNTA(Table_ChiPhiNV_Ca[[#Headers],[Ca]:[Bắt đầu]]),0)),
$AA56&lt;MIN(AT$5,VLOOKUP(AT$6, Table_ChiPhiNV_Ca[], COUNTA(Table_ChiPhiNV_Ca[[#Headers],[Ca]:[Kết thúc]]),0))),
SUM(_xlfn._xlws.FILTER(Table_BangLuong_TyLeTangCa[Tỷ lệ],
(Table_BangLuong_TyLeTangCa[Ngày] = "Thường") *
(Table_BangLuong_TyLeTangCa[Giờ min]&lt;=$AA56) *
(Table_BangLuong_TyLeTangCa[Giờ max]&gt;$AA56)
)),0)
)),
IF(AT$4 &lt; AT$5,
IF($AA56-$Z$4&lt;AT$4,0,
IF($AA56&gt;AT$5,0,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AT$5,$AA56 &lt; AT$4),0,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U56" s="18" cm="1">
        <f t="array" ref="AU56" xml:space="preserve">
IFERROR(
IF(AU$1="",0,
IF(AND(
$AA56&gt;=VLOOKUP(AU$6, Table_ChiPhiNV_Ca[], COUNTA(Table_ChiPhiNV_Ca[[#Headers],[Ca]:[Bắt đầu nghỉ]]),0),
$AA56&lt;VLOOKUP(AU$6, Table_ChiPhiNV_Ca[], COUNTA(Table_ChiPhiNV_Ca[[#Headers],[Ca]:[Kết thúc nghỉ]]),0)
),0,
IF(NOT(ISBLANK(AU$3)),
IF(ISBLANK(AU$7),0,
IF(AU$4 &lt; AU$5,
IF($AA56-$Z$4&lt;AU$4,0,
IF($AA56&gt;AU$5,0,
SUM(_xlfn._xlws.FILTER(Table_BangLuong_TyLeTangCa[Tỷ lệ],
(Table_BangLuong_TyLeTangCa[Ngày] = AU$3) *
(Table_BangLuong_TyLeTangCa[Giờ min]&lt;=$AA56) *
(Table_BangLuong_TyLeTangCa[Giờ max]&gt;$AA56)
)))),
IF(AND($AA56-$Z$4 &gt;= AU$5,$AA56 &lt; AU$4),0,
SUM(_xlfn._xlws.FILTER(Table_BangLuong_TyLeTangCa[Tỷ lệ],
(Table_BangLuong_TyLeTangCa[Ngày] = AU$3) *
(Table_BangLuong_TyLeTangCa[Giờ min]&lt;=$AA56) *
(Table_BangLuong_TyLeTangCa[Giờ max]&gt;$AA56)
))))
),
IF(ISBLANK(AU$7),
IF(VLOOKUP(AU$6, Table_ChiPhiNV_Ca[], COUNTA(Table_ChiPhiNV_Ca[[#Headers],[Ca]:[Kết thúc]]),0)&gt; VLOOKUP(AU$6, Table_ChiPhiNV_Ca[], COUNTA(Table_ChiPhiNV_Ca[[#Headers],[Ca]:[Bắt đầu]]),0),
IF($AA56-$Z$4&lt;MAX(AU$4,VLOOKUP(AU$6, Table_ChiPhiNV_Ca[], COUNTA(Table_ChiPhiNV_Ca[[#Headers],[Ca]:[Bắt đầu]]),0)),0,
IF($AA56&gt;MIN(AU$5,VLOOKUP(AU$6, Table_ChiPhiNV_Ca[], COUNTA(Table_ChiPhiNV_Ca[[#Headers],[Ca]:[Kết thúc]]),0)),0,
SUM(_xlfn._xlws.FILTER(Table_BangLuong_TyLeTangCa[Tỷ lệ],
(Table_BangLuong_TyLeTangCa[Ngày] = "Thường") *
(Table_BangLuong_TyLeTangCa[Giờ min]&lt;=$AA56) *
(Table_BangLuong_TyLeTangCa[Giờ max]&gt;$AA56)
)))),
IF(AU$4 &gt; AU$5,
IF(
AND(
$AA56-$Z$4&lt;MAX(AU$4,VLOOKUP(AU$6, Table_ChiPhiNV_Ca[], COUNTA(Table_ChiPhiNV_Ca[[#Headers],[Ca]:[Bắt đầu]]),0)),
$AA56&gt;MIN(AU$5,VLOOKUP(AU$6, Table_ChiPhiNV_Ca[], COUNTA(Table_ChiPhiNV_Ca[[#Headers],[Ca]:[Kết thúc]]),0))),0,
SUM(_xlfn._xlws.FILTER(Table_BangLuong_TyLeTangCa[Tỷ lệ],
(Table_BangLuong_TyLeTangCa[Ngày] = "Thường") *
(Table_BangLuong_TyLeTangCa[Giờ min]&lt;=$AA56) *
(Table_BangLuong_TyLeTangCa[Giờ max]&gt;$AA56)
))),
IF(
AND(
$AA56-$Z$4&gt;=MAX(AU$4,VLOOKUP(AU$6, Table_ChiPhiNV_Ca[], COUNTA(Table_ChiPhiNV_Ca[[#Headers],[Ca]:[Bắt đầu]]),0)),
$AA56&lt;MIN(AU$5,VLOOKUP(AU$6, Table_ChiPhiNV_Ca[], COUNTA(Table_ChiPhiNV_Ca[[#Headers],[Ca]:[Kết thúc]]),0))),
SUM(_xlfn._xlws.FILTER(Table_BangLuong_TyLeTangCa[Tỷ lệ],
(Table_BangLuong_TyLeTangCa[Ngày] = "Thường") *
(Table_BangLuong_TyLeTangCa[Giờ min]&lt;=$AA56) *
(Table_BangLuong_TyLeTangCa[Giờ max]&gt;$AA56)
)),0)
)),
IF(AU$4 &lt; AU$5,
IF($AA56-$Z$4&lt;AU$4,0,
IF($AA56&gt;AU$5,0,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AU$5,$AA56 &lt; AU$4),0,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V56" s="18" cm="1">
        <f t="array" ref="AV56" xml:space="preserve">
IFERROR(
IF(AV$1="",0,
IF(AND(
$AA56&gt;=VLOOKUP(AV$6, Table_ChiPhiNV_Ca[], COUNTA(Table_ChiPhiNV_Ca[[#Headers],[Ca]:[Bắt đầu nghỉ]]),0),
$AA56&lt;VLOOKUP(AV$6, Table_ChiPhiNV_Ca[], COUNTA(Table_ChiPhiNV_Ca[[#Headers],[Ca]:[Kết thúc nghỉ]]),0)
),0,
IF(NOT(ISBLANK(AV$3)),
IF(ISBLANK(AV$7),0,
IF(AV$4 &lt; AV$5,
IF($AA56-$Z$4&lt;AV$4,0,
IF($AA56&gt;AV$5,0,
SUM(_xlfn._xlws.FILTER(Table_BangLuong_TyLeTangCa[Tỷ lệ],
(Table_BangLuong_TyLeTangCa[Ngày] = AV$3) *
(Table_BangLuong_TyLeTangCa[Giờ min]&lt;=$AA56) *
(Table_BangLuong_TyLeTangCa[Giờ max]&gt;$AA56)
)))),
IF(AND($AA56-$Z$4 &gt;= AV$5,$AA56 &lt; AV$4),0,
SUM(_xlfn._xlws.FILTER(Table_BangLuong_TyLeTangCa[Tỷ lệ],
(Table_BangLuong_TyLeTangCa[Ngày] = AV$3) *
(Table_BangLuong_TyLeTangCa[Giờ min]&lt;=$AA56) *
(Table_BangLuong_TyLeTangCa[Giờ max]&gt;$AA56)
))))
),
IF(ISBLANK(AV$7),
IF(VLOOKUP(AV$6, Table_ChiPhiNV_Ca[], COUNTA(Table_ChiPhiNV_Ca[[#Headers],[Ca]:[Kết thúc]]),0)&gt; VLOOKUP(AV$6, Table_ChiPhiNV_Ca[], COUNTA(Table_ChiPhiNV_Ca[[#Headers],[Ca]:[Bắt đầu]]),0),
IF($AA56-$Z$4&lt;MAX(AV$4,VLOOKUP(AV$6, Table_ChiPhiNV_Ca[], COUNTA(Table_ChiPhiNV_Ca[[#Headers],[Ca]:[Bắt đầu]]),0)),0,
IF($AA56&gt;MIN(AV$5,VLOOKUP(AV$6, Table_ChiPhiNV_Ca[], COUNTA(Table_ChiPhiNV_Ca[[#Headers],[Ca]:[Kết thúc]]),0)),0,
SUM(_xlfn._xlws.FILTER(Table_BangLuong_TyLeTangCa[Tỷ lệ],
(Table_BangLuong_TyLeTangCa[Ngày] = "Thường") *
(Table_BangLuong_TyLeTangCa[Giờ min]&lt;=$AA56) *
(Table_BangLuong_TyLeTangCa[Giờ max]&gt;$AA56)
)))),
IF(AV$4 &gt; AV$5,
IF(
AND(
$AA56-$Z$4&lt;MAX(AV$4,VLOOKUP(AV$6, Table_ChiPhiNV_Ca[], COUNTA(Table_ChiPhiNV_Ca[[#Headers],[Ca]:[Bắt đầu]]),0)),
$AA56&gt;MIN(AV$5,VLOOKUP(AV$6, Table_ChiPhiNV_Ca[], COUNTA(Table_ChiPhiNV_Ca[[#Headers],[Ca]:[Kết thúc]]),0))),0,
SUM(_xlfn._xlws.FILTER(Table_BangLuong_TyLeTangCa[Tỷ lệ],
(Table_BangLuong_TyLeTangCa[Ngày] = "Thường") *
(Table_BangLuong_TyLeTangCa[Giờ min]&lt;=$AA56) *
(Table_BangLuong_TyLeTangCa[Giờ max]&gt;$AA56)
))),
IF(
AND(
$AA56-$Z$4&gt;=MAX(AV$4,VLOOKUP(AV$6, Table_ChiPhiNV_Ca[], COUNTA(Table_ChiPhiNV_Ca[[#Headers],[Ca]:[Bắt đầu]]),0)),
$AA56&lt;MIN(AV$5,VLOOKUP(AV$6, Table_ChiPhiNV_Ca[], COUNTA(Table_ChiPhiNV_Ca[[#Headers],[Ca]:[Kết thúc]]),0))),
SUM(_xlfn._xlws.FILTER(Table_BangLuong_TyLeTangCa[Tỷ lệ],
(Table_BangLuong_TyLeTangCa[Ngày] = "Thường") *
(Table_BangLuong_TyLeTangCa[Giờ min]&lt;=$AA56) *
(Table_BangLuong_TyLeTangCa[Giờ max]&gt;$AA56)
)),0)
)),
IF(AV$4 &lt; AV$5,
IF($AA56-$Z$4&lt;AV$4,0,
IF($AA56&gt;AV$5,0,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AV$5,$AA56 &lt; AV$4),0,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W56" s="18" cm="1">
        <f t="array" ref="AW56" xml:space="preserve">
IFERROR(
IF(AW$1="",0,
IF(AND(
$AA56&gt;=VLOOKUP(AW$6, Table_ChiPhiNV_Ca[], COUNTA(Table_ChiPhiNV_Ca[[#Headers],[Ca]:[Bắt đầu nghỉ]]),0),
$AA56&lt;VLOOKUP(AW$6, Table_ChiPhiNV_Ca[], COUNTA(Table_ChiPhiNV_Ca[[#Headers],[Ca]:[Kết thúc nghỉ]]),0)
),0,
IF(NOT(ISBLANK(AW$3)),
IF(ISBLANK(AW$7),0,
IF(AW$4 &lt; AW$5,
IF($AA56-$Z$4&lt;AW$4,0,
IF($AA56&gt;AW$5,0,
SUM(_xlfn._xlws.FILTER(Table_BangLuong_TyLeTangCa[Tỷ lệ],
(Table_BangLuong_TyLeTangCa[Ngày] = AW$3) *
(Table_BangLuong_TyLeTangCa[Giờ min]&lt;=$AA56) *
(Table_BangLuong_TyLeTangCa[Giờ max]&gt;$AA56)
)))),
IF(AND($AA56-$Z$4 &gt;= AW$5,$AA56 &lt; AW$4),0,
SUM(_xlfn._xlws.FILTER(Table_BangLuong_TyLeTangCa[Tỷ lệ],
(Table_BangLuong_TyLeTangCa[Ngày] = AW$3) *
(Table_BangLuong_TyLeTangCa[Giờ min]&lt;=$AA56) *
(Table_BangLuong_TyLeTangCa[Giờ max]&gt;$AA56)
))))
),
IF(ISBLANK(AW$7),
IF(VLOOKUP(AW$6, Table_ChiPhiNV_Ca[], COUNTA(Table_ChiPhiNV_Ca[[#Headers],[Ca]:[Kết thúc]]),0)&gt; VLOOKUP(AW$6, Table_ChiPhiNV_Ca[], COUNTA(Table_ChiPhiNV_Ca[[#Headers],[Ca]:[Bắt đầu]]),0),
IF($AA56-$Z$4&lt;MAX(AW$4,VLOOKUP(AW$6, Table_ChiPhiNV_Ca[], COUNTA(Table_ChiPhiNV_Ca[[#Headers],[Ca]:[Bắt đầu]]),0)),0,
IF($AA56&gt;MIN(AW$5,VLOOKUP(AW$6, Table_ChiPhiNV_Ca[], COUNTA(Table_ChiPhiNV_Ca[[#Headers],[Ca]:[Kết thúc]]),0)),0,
SUM(_xlfn._xlws.FILTER(Table_BangLuong_TyLeTangCa[Tỷ lệ],
(Table_BangLuong_TyLeTangCa[Ngày] = "Thường") *
(Table_BangLuong_TyLeTangCa[Giờ min]&lt;=$AA56) *
(Table_BangLuong_TyLeTangCa[Giờ max]&gt;$AA56)
)))),
IF(AW$4 &gt; AW$5,
IF(
AND(
$AA56-$Z$4&lt;MAX(AW$4,VLOOKUP(AW$6, Table_ChiPhiNV_Ca[], COUNTA(Table_ChiPhiNV_Ca[[#Headers],[Ca]:[Bắt đầu]]),0)),
$AA56&gt;MIN(AW$5,VLOOKUP(AW$6, Table_ChiPhiNV_Ca[], COUNTA(Table_ChiPhiNV_Ca[[#Headers],[Ca]:[Kết thúc]]),0))),0,
SUM(_xlfn._xlws.FILTER(Table_BangLuong_TyLeTangCa[Tỷ lệ],
(Table_BangLuong_TyLeTangCa[Ngày] = "Thường") *
(Table_BangLuong_TyLeTangCa[Giờ min]&lt;=$AA56) *
(Table_BangLuong_TyLeTangCa[Giờ max]&gt;$AA56)
))),
IF(
AND(
$AA56-$Z$4&gt;=MAX(AW$4,VLOOKUP(AW$6, Table_ChiPhiNV_Ca[], COUNTA(Table_ChiPhiNV_Ca[[#Headers],[Ca]:[Bắt đầu]]),0)),
$AA56&lt;MIN(AW$5,VLOOKUP(AW$6, Table_ChiPhiNV_Ca[], COUNTA(Table_ChiPhiNV_Ca[[#Headers],[Ca]:[Kết thúc]]),0))),
SUM(_xlfn._xlws.FILTER(Table_BangLuong_TyLeTangCa[Tỷ lệ],
(Table_BangLuong_TyLeTangCa[Ngày] = "Thường") *
(Table_BangLuong_TyLeTangCa[Giờ min]&lt;=$AA56) *
(Table_BangLuong_TyLeTangCa[Giờ max]&gt;$AA56)
)),0)
)),
IF(AW$4 &lt; AW$5,
IF($AA56-$Z$4&lt;AW$4,0,
IF($AA56&gt;AW$5,0,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AW$5,$AA56 &lt; AW$4),0,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X56" s="18" cm="1">
        <f t="array" ref="AX56" xml:space="preserve">
IFERROR(
IF(AX$1="",0,
IF(AND(
$AA56&gt;=VLOOKUP(AX$6, Table_ChiPhiNV_Ca[], COUNTA(Table_ChiPhiNV_Ca[[#Headers],[Ca]:[Bắt đầu nghỉ]]),0),
$AA56&lt;VLOOKUP(AX$6, Table_ChiPhiNV_Ca[], COUNTA(Table_ChiPhiNV_Ca[[#Headers],[Ca]:[Kết thúc nghỉ]]),0)
),0,
IF(NOT(ISBLANK(AX$3)),
IF(ISBLANK(AX$7),0,
IF(AX$4 &lt; AX$5,
IF($AA56-$Z$4&lt;AX$4,0,
IF($AA56&gt;AX$5,0,
SUM(_xlfn._xlws.FILTER(Table_BangLuong_TyLeTangCa[Tỷ lệ],
(Table_BangLuong_TyLeTangCa[Ngày] = AX$3) *
(Table_BangLuong_TyLeTangCa[Giờ min]&lt;=$AA56) *
(Table_BangLuong_TyLeTangCa[Giờ max]&gt;$AA56)
)))),
IF(AND($AA56-$Z$4 &gt;= AX$5,$AA56 &lt; AX$4),0,
SUM(_xlfn._xlws.FILTER(Table_BangLuong_TyLeTangCa[Tỷ lệ],
(Table_BangLuong_TyLeTangCa[Ngày] = AX$3) *
(Table_BangLuong_TyLeTangCa[Giờ min]&lt;=$AA56) *
(Table_BangLuong_TyLeTangCa[Giờ max]&gt;$AA56)
))))
),
IF(ISBLANK(AX$7),
IF(VLOOKUP(AX$6, Table_ChiPhiNV_Ca[], COUNTA(Table_ChiPhiNV_Ca[[#Headers],[Ca]:[Kết thúc]]),0)&gt; VLOOKUP(AX$6, Table_ChiPhiNV_Ca[], COUNTA(Table_ChiPhiNV_Ca[[#Headers],[Ca]:[Bắt đầu]]),0),
IF($AA56-$Z$4&lt;MAX(AX$4,VLOOKUP(AX$6, Table_ChiPhiNV_Ca[], COUNTA(Table_ChiPhiNV_Ca[[#Headers],[Ca]:[Bắt đầu]]),0)),0,
IF($AA56&gt;MIN(AX$5,VLOOKUP(AX$6, Table_ChiPhiNV_Ca[], COUNTA(Table_ChiPhiNV_Ca[[#Headers],[Ca]:[Kết thúc]]),0)),0,
SUM(_xlfn._xlws.FILTER(Table_BangLuong_TyLeTangCa[Tỷ lệ],
(Table_BangLuong_TyLeTangCa[Ngày] = "Thường") *
(Table_BangLuong_TyLeTangCa[Giờ min]&lt;=$AA56) *
(Table_BangLuong_TyLeTangCa[Giờ max]&gt;$AA56)
)))),
IF(AX$4 &gt; AX$5,
IF(
AND(
$AA56-$Z$4&lt;MAX(AX$4,VLOOKUP(AX$6, Table_ChiPhiNV_Ca[], COUNTA(Table_ChiPhiNV_Ca[[#Headers],[Ca]:[Bắt đầu]]),0)),
$AA56&gt;MIN(AX$5,VLOOKUP(AX$6, Table_ChiPhiNV_Ca[], COUNTA(Table_ChiPhiNV_Ca[[#Headers],[Ca]:[Kết thúc]]),0))),0,
SUM(_xlfn._xlws.FILTER(Table_BangLuong_TyLeTangCa[Tỷ lệ],
(Table_BangLuong_TyLeTangCa[Ngày] = "Thường") *
(Table_BangLuong_TyLeTangCa[Giờ min]&lt;=$AA56) *
(Table_BangLuong_TyLeTangCa[Giờ max]&gt;$AA56)
))),
IF(
AND(
$AA56-$Z$4&gt;=MAX(AX$4,VLOOKUP(AX$6, Table_ChiPhiNV_Ca[], COUNTA(Table_ChiPhiNV_Ca[[#Headers],[Ca]:[Bắt đầu]]),0)),
$AA56&lt;MIN(AX$5,VLOOKUP(AX$6, Table_ChiPhiNV_Ca[], COUNTA(Table_ChiPhiNV_Ca[[#Headers],[Ca]:[Kết thúc]]),0))),
SUM(_xlfn._xlws.FILTER(Table_BangLuong_TyLeTangCa[Tỷ lệ],
(Table_BangLuong_TyLeTangCa[Ngày] = "Thường") *
(Table_BangLuong_TyLeTangCa[Giờ min]&lt;=$AA56) *
(Table_BangLuong_TyLeTangCa[Giờ max]&gt;$AA56)
)),0)
)),
IF(AX$4 &lt; AX$5,
IF($AA56-$Z$4&lt;AX$4,0,
IF($AA56&gt;AX$5,0,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AX$5,$AA56 &lt; AX$4),0,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Y56" s="18" cm="1">
        <f t="array" ref="AY56" xml:space="preserve">
IFERROR(
IF(AY$1="",0,
IF(AND(
$AA56&gt;=VLOOKUP(AY$6, Table_ChiPhiNV_Ca[], COUNTA(Table_ChiPhiNV_Ca[[#Headers],[Ca]:[Bắt đầu nghỉ]]),0),
$AA56&lt;VLOOKUP(AY$6, Table_ChiPhiNV_Ca[], COUNTA(Table_ChiPhiNV_Ca[[#Headers],[Ca]:[Kết thúc nghỉ]]),0)
),0,
IF(NOT(ISBLANK(AY$3)),
IF(ISBLANK(AY$7),0,
IF(AY$4 &lt; AY$5,
IF($AA56-$Z$4&lt;AY$4,0,
IF($AA56&gt;AY$5,0,
SUM(_xlfn._xlws.FILTER(Table_BangLuong_TyLeTangCa[Tỷ lệ],
(Table_BangLuong_TyLeTangCa[Ngày] = AY$3) *
(Table_BangLuong_TyLeTangCa[Giờ min]&lt;=$AA56) *
(Table_BangLuong_TyLeTangCa[Giờ max]&gt;$AA56)
)))),
IF(AND($AA56-$Z$4 &gt;= AY$5,$AA56 &lt; AY$4),0,
SUM(_xlfn._xlws.FILTER(Table_BangLuong_TyLeTangCa[Tỷ lệ],
(Table_BangLuong_TyLeTangCa[Ngày] = AY$3) *
(Table_BangLuong_TyLeTangCa[Giờ min]&lt;=$AA56) *
(Table_BangLuong_TyLeTangCa[Giờ max]&gt;$AA56)
))))
),
IF(ISBLANK(AY$7),
IF(VLOOKUP(AY$6, Table_ChiPhiNV_Ca[], COUNTA(Table_ChiPhiNV_Ca[[#Headers],[Ca]:[Kết thúc]]),0)&gt; VLOOKUP(AY$6, Table_ChiPhiNV_Ca[], COUNTA(Table_ChiPhiNV_Ca[[#Headers],[Ca]:[Bắt đầu]]),0),
IF($AA56-$Z$4&lt;MAX(AY$4,VLOOKUP(AY$6, Table_ChiPhiNV_Ca[], COUNTA(Table_ChiPhiNV_Ca[[#Headers],[Ca]:[Bắt đầu]]),0)),0,
IF($AA56&gt;MIN(AY$5,VLOOKUP(AY$6, Table_ChiPhiNV_Ca[], COUNTA(Table_ChiPhiNV_Ca[[#Headers],[Ca]:[Kết thúc]]),0)),0,
SUM(_xlfn._xlws.FILTER(Table_BangLuong_TyLeTangCa[Tỷ lệ],
(Table_BangLuong_TyLeTangCa[Ngày] = "Thường") *
(Table_BangLuong_TyLeTangCa[Giờ min]&lt;=$AA56) *
(Table_BangLuong_TyLeTangCa[Giờ max]&gt;$AA56)
)))),
IF(AY$4 &gt; AY$5,
IF(
AND(
$AA56-$Z$4&lt;MAX(AY$4,VLOOKUP(AY$6, Table_ChiPhiNV_Ca[], COUNTA(Table_ChiPhiNV_Ca[[#Headers],[Ca]:[Bắt đầu]]),0)),
$AA56&gt;MIN(AY$5,VLOOKUP(AY$6, Table_ChiPhiNV_Ca[], COUNTA(Table_ChiPhiNV_Ca[[#Headers],[Ca]:[Kết thúc]]),0))),0,
SUM(_xlfn._xlws.FILTER(Table_BangLuong_TyLeTangCa[Tỷ lệ],
(Table_BangLuong_TyLeTangCa[Ngày] = "Thường") *
(Table_BangLuong_TyLeTangCa[Giờ min]&lt;=$AA56) *
(Table_BangLuong_TyLeTangCa[Giờ max]&gt;$AA56)
))),
IF(
AND(
$AA56-$Z$4&gt;=MAX(AY$4,VLOOKUP(AY$6, Table_ChiPhiNV_Ca[], COUNTA(Table_ChiPhiNV_Ca[[#Headers],[Ca]:[Bắt đầu]]),0)),
$AA56&lt;MIN(AY$5,VLOOKUP(AY$6, Table_ChiPhiNV_Ca[], COUNTA(Table_ChiPhiNV_Ca[[#Headers],[Ca]:[Kết thúc]]),0))),
SUM(_xlfn._xlws.FILTER(Table_BangLuong_TyLeTangCa[Tỷ lệ],
(Table_BangLuong_TyLeTangCa[Ngày] = "Thường") *
(Table_BangLuong_TyLeTangCa[Giờ min]&lt;=$AA56) *
(Table_BangLuong_TyLeTangCa[Giờ max]&gt;$AA56)
)),0)
)),
IF(AY$4 &lt; AY$5,
IF($AA56-$Z$4&lt;AY$4,0,
IF($AA56&gt;AY$5,0,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AY$5,$AA56 &lt; AY$4),0,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Z56" s="18" cm="1">
        <f t="array" ref="AZ56" xml:space="preserve">
IFERROR(
IF(AZ$1="",0,
IF(AND(
$AA56&gt;=VLOOKUP(AZ$6, Table_ChiPhiNV_Ca[], COUNTA(Table_ChiPhiNV_Ca[[#Headers],[Ca]:[Bắt đầu nghỉ]]),0),
$AA56&lt;VLOOKUP(AZ$6, Table_ChiPhiNV_Ca[], COUNTA(Table_ChiPhiNV_Ca[[#Headers],[Ca]:[Kết thúc nghỉ]]),0)
),0,
IF(NOT(ISBLANK(AZ$3)),
IF(ISBLANK(AZ$7),0,
IF(AZ$4 &lt; AZ$5,
IF($AA56-$Z$4&lt;AZ$4,0,
IF($AA56&gt;AZ$5,0,
SUM(_xlfn._xlws.FILTER(Table_BangLuong_TyLeTangCa[Tỷ lệ],
(Table_BangLuong_TyLeTangCa[Ngày] = AZ$3) *
(Table_BangLuong_TyLeTangCa[Giờ min]&lt;=$AA56) *
(Table_BangLuong_TyLeTangCa[Giờ max]&gt;$AA56)
)))),
IF(AND($AA56-$Z$4 &gt;= AZ$5,$AA56 &lt; AZ$4),0,
SUM(_xlfn._xlws.FILTER(Table_BangLuong_TyLeTangCa[Tỷ lệ],
(Table_BangLuong_TyLeTangCa[Ngày] = AZ$3) *
(Table_BangLuong_TyLeTangCa[Giờ min]&lt;=$AA56) *
(Table_BangLuong_TyLeTangCa[Giờ max]&gt;$AA56)
))))
),
IF(ISBLANK(AZ$7),
IF(VLOOKUP(AZ$6, Table_ChiPhiNV_Ca[], COUNTA(Table_ChiPhiNV_Ca[[#Headers],[Ca]:[Kết thúc]]),0)&gt; VLOOKUP(AZ$6, Table_ChiPhiNV_Ca[], COUNTA(Table_ChiPhiNV_Ca[[#Headers],[Ca]:[Bắt đầu]]),0),
IF($AA56-$Z$4&lt;MAX(AZ$4,VLOOKUP(AZ$6, Table_ChiPhiNV_Ca[], COUNTA(Table_ChiPhiNV_Ca[[#Headers],[Ca]:[Bắt đầu]]),0)),0,
IF($AA56&gt;MIN(AZ$5,VLOOKUP(AZ$6, Table_ChiPhiNV_Ca[], COUNTA(Table_ChiPhiNV_Ca[[#Headers],[Ca]:[Kết thúc]]),0)),0,
SUM(_xlfn._xlws.FILTER(Table_BangLuong_TyLeTangCa[Tỷ lệ],
(Table_BangLuong_TyLeTangCa[Ngày] = "Thường") *
(Table_BangLuong_TyLeTangCa[Giờ min]&lt;=$AA56) *
(Table_BangLuong_TyLeTangCa[Giờ max]&gt;$AA56)
)))),
IF(AZ$4 &gt; AZ$5,
IF(
AND(
$AA56-$Z$4&lt;MAX(AZ$4,VLOOKUP(AZ$6, Table_ChiPhiNV_Ca[], COUNTA(Table_ChiPhiNV_Ca[[#Headers],[Ca]:[Bắt đầu]]),0)),
$AA56&gt;MIN(AZ$5,VLOOKUP(AZ$6, Table_ChiPhiNV_Ca[], COUNTA(Table_ChiPhiNV_Ca[[#Headers],[Ca]:[Kết thúc]]),0))),0,
SUM(_xlfn._xlws.FILTER(Table_BangLuong_TyLeTangCa[Tỷ lệ],
(Table_BangLuong_TyLeTangCa[Ngày] = "Thường") *
(Table_BangLuong_TyLeTangCa[Giờ min]&lt;=$AA56) *
(Table_BangLuong_TyLeTangCa[Giờ max]&gt;$AA56)
))),
IF(
AND(
$AA56-$Z$4&gt;=MAX(AZ$4,VLOOKUP(AZ$6, Table_ChiPhiNV_Ca[], COUNTA(Table_ChiPhiNV_Ca[[#Headers],[Ca]:[Bắt đầu]]),0)),
$AA56&lt;MIN(AZ$5,VLOOKUP(AZ$6, Table_ChiPhiNV_Ca[], COUNTA(Table_ChiPhiNV_Ca[[#Headers],[Ca]:[Kết thúc]]),0))),
SUM(_xlfn._xlws.FILTER(Table_BangLuong_TyLeTangCa[Tỷ lệ],
(Table_BangLuong_TyLeTangCa[Ngày] = "Thường") *
(Table_BangLuong_TyLeTangCa[Giờ min]&lt;=$AA56) *
(Table_BangLuong_TyLeTangCa[Giờ max]&gt;$AA56)
)),0)
)),
IF(AZ$4 &lt; AZ$5,
IF($AA56-$Z$4&lt;AZ$4,0,
IF($AA56&gt;AZ$5,0,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AZ$5,$AA56 &lt; AZ$4),0,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A56" s="18" cm="1">
        <f t="array" ref="BA56" xml:space="preserve">
IFERROR(
IF(BA$1="",0,
IF(AND(
$AA56&gt;=VLOOKUP(BA$6, Table_ChiPhiNV_Ca[], COUNTA(Table_ChiPhiNV_Ca[[#Headers],[Ca]:[Bắt đầu nghỉ]]),0),
$AA56&lt;VLOOKUP(BA$6, Table_ChiPhiNV_Ca[], COUNTA(Table_ChiPhiNV_Ca[[#Headers],[Ca]:[Kết thúc nghỉ]]),0)
),0,
IF(NOT(ISBLANK(BA$3)),
IF(ISBLANK(BA$7),0,
IF(BA$4 &lt; BA$5,
IF($AA56-$Z$4&lt;BA$4,0,
IF($AA56&gt;BA$5,0,
SUM(_xlfn._xlws.FILTER(Table_BangLuong_TyLeTangCa[Tỷ lệ],
(Table_BangLuong_TyLeTangCa[Ngày] = BA$3) *
(Table_BangLuong_TyLeTangCa[Giờ min]&lt;=$AA56) *
(Table_BangLuong_TyLeTangCa[Giờ max]&gt;$AA56)
)))),
IF(AND($AA56-$Z$4 &gt;= BA$5,$AA56 &lt; BA$4),0,
SUM(_xlfn._xlws.FILTER(Table_BangLuong_TyLeTangCa[Tỷ lệ],
(Table_BangLuong_TyLeTangCa[Ngày] = BA$3) *
(Table_BangLuong_TyLeTangCa[Giờ min]&lt;=$AA56) *
(Table_BangLuong_TyLeTangCa[Giờ max]&gt;$AA56)
))))
),
IF(ISBLANK(BA$7),
IF(VLOOKUP(BA$6, Table_ChiPhiNV_Ca[], COUNTA(Table_ChiPhiNV_Ca[[#Headers],[Ca]:[Kết thúc]]),0)&gt; VLOOKUP(BA$6, Table_ChiPhiNV_Ca[], COUNTA(Table_ChiPhiNV_Ca[[#Headers],[Ca]:[Bắt đầu]]),0),
IF($AA56-$Z$4&lt;MAX(BA$4,VLOOKUP(BA$6, Table_ChiPhiNV_Ca[], COUNTA(Table_ChiPhiNV_Ca[[#Headers],[Ca]:[Bắt đầu]]),0)),0,
IF($AA56&gt;MIN(BA$5,VLOOKUP(BA$6, Table_ChiPhiNV_Ca[], COUNTA(Table_ChiPhiNV_Ca[[#Headers],[Ca]:[Kết thúc]]),0)),0,
SUM(_xlfn._xlws.FILTER(Table_BangLuong_TyLeTangCa[Tỷ lệ],
(Table_BangLuong_TyLeTangCa[Ngày] = "Thường") *
(Table_BangLuong_TyLeTangCa[Giờ min]&lt;=$AA56) *
(Table_BangLuong_TyLeTangCa[Giờ max]&gt;$AA56)
)))),
IF(BA$4 &gt; BA$5,
IF(
AND(
$AA56-$Z$4&lt;MAX(BA$4,VLOOKUP(BA$6, Table_ChiPhiNV_Ca[], COUNTA(Table_ChiPhiNV_Ca[[#Headers],[Ca]:[Bắt đầu]]),0)),
$AA56&gt;MIN(BA$5,VLOOKUP(BA$6, Table_ChiPhiNV_Ca[], COUNTA(Table_ChiPhiNV_Ca[[#Headers],[Ca]:[Kết thúc]]),0))),0,
SUM(_xlfn._xlws.FILTER(Table_BangLuong_TyLeTangCa[Tỷ lệ],
(Table_BangLuong_TyLeTangCa[Ngày] = "Thường") *
(Table_BangLuong_TyLeTangCa[Giờ min]&lt;=$AA56) *
(Table_BangLuong_TyLeTangCa[Giờ max]&gt;$AA56)
))),
IF(
AND(
$AA56-$Z$4&gt;=MAX(BA$4,VLOOKUP(BA$6, Table_ChiPhiNV_Ca[], COUNTA(Table_ChiPhiNV_Ca[[#Headers],[Ca]:[Bắt đầu]]),0)),
$AA56&lt;MIN(BA$5,VLOOKUP(BA$6, Table_ChiPhiNV_Ca[], COUNTA(Table_ChiPhiNV_Ca[[#Headers],[Ca]:[Kết thúc]]),0))),
SUM(_xlfn._xlws.FILTER(Table_BangLuong_TyLeTangCa[Tỷ lệ],
(Table_BangLuong_TyLeTangCa[Ngày] = "Thường") *
(Table_BangLuong_TyLeTangCa[Giờ min]&lt;=$AA56) *
(Table_BangLuong_TyLeTangCa[Giờ max]&gt;$AA56)
)),0)
)),
IF(BA$4 &lt; BA$5,
IF($AA56-$Z$4&lt;BA$4,0,
IF($AA56&gt;BA$5,0,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BA$5,$AA56 &lt; BA$4),0,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B56" s="18" cm="1">
        <f t="array" ref="BB56" xml:space="preserve">
IFERROR(
IF(BB$1="",0,
IF(AND(
$AA56&gt;=VLOOKUP(BB$6, Table_ChiPhiNV_Ca[], COUNTA(Table_ChiPhiNV_Ca[[#Headers],[Ca]:[Bắt đầu nghỉ]]),0),
$AA56&lt;VLOOKUP(BB$6, Table_ChiPhiNV_Ca[], COUNTA(Table_ChiPhiNV_Ca[[#Headers],[Ca]:[Kết thúc nghỉ]]),0)
),0,
IF(NOT(ISBLANK(BB$3)),
IF(ISBLANK(BB$7),0,
IF(BB$4 &lt; BB$5,
IF($AA56-$Z$4&lt;BB$4,0,
IF($AA56&gt;BB$5,0,
SUM(_xlfn._xlws.FILTER(Table_BangLuong_TyLeTangCa[Tỷ lệ],
(Table_BangLuong_TyLeTangCa[Ngày] = BB$3) *
(Table_BangLuong_TyLeTangCa[Giờ min]&lt;=$AA56) *
(Table_BangLuong_TyLeTangCa[Giờ max]&gt;$AA56)
)))),
IF(AND($AA56-$Z$4 &gt;= BB$5,$AA56 &lt; BB$4),0,
SUM(_xlfn._xlws.FILTER(Table_BangLuong_TyLeTangCa[Tỷ lệ],
(Table_BangLuong_TyLeTangCa[Ngày] = BB$3) *
(Table_BangLuong_TyLeTangCa[Giờ min]&lt;=$AA56) *
(Table_BangLuong_TyLeTangCa[Giờ max]&gt;$AA56)
))))
),
IF(ISBLANK(BB$7),
IF(VLOOKUP(BB$6, Table_ChiPhiNV_Ca[], COUNTA(Table_ChiPhiNV_Ca[[#Headers],[Ca]:[Kết thúc]]),0)&gt; VLOOKUP(BB$6, Table_ChiPhiNV_Ca[], COUNTA(Table_ChiPhiNV_Ca[[#Headers],[Ca]:[Bắt đầu]]),0),
IF($AA56-$Z$4&lt;MAX(BB$4,VLOOKUP(BB$6, Table_ChiPhiNV_Ca[], COUNTA(Table_ChiPhiNV_Ca[[#Headers],[Ca]:[Bắt đầu]]),0)),0,
IF($AA56&gt;MIN(BB$5,VLOOKUP(BB$6, Table_ChiPhiNV_Ca[], COUNTA(Table_ChiPhiNV_Ca[[#Headers],[Ca]:[Kết thúc]]),0)),0,
SUM(_xlfn._xlws.FILTER(Table_BangLuong_TyLeTangCa[Tỷ lệ],
(Table_BangLuong_TyLeTangCa[Ngày] = "Thường") *
(Table_BangLuong_TyLeTangCa[Giờ min]&lt;=$AA56) *
(Table_BangLuong_TyLeTangCa[Giờ max]&gt;$AA56)
)))),
IF(BB$4 &gt; BB$5,
IF(
AND(
$AA56-$Z$4&lt;MAX(BB$4,VLOOKUP(BB$6, Table_ChiPhiNV_Ca[], COUNTA(Table_ChiPhiNV_Ca[[#Headers],[Ca]:[Bắt đầu]]),0)),
$AA56&gt;MIN(BB$5,VLOOKUP(BB$6, Table_ChiPhiNV_Ca[], COUNTA(Table_ChiPhiNV_Ca[[#Headers],[Ca]:[Kết thúc]]),0))),0,
SUM(_xlfn._xlws.FILTER(Table_BangLuong_TyLeTangCa[Tỷ lệ],
(Table_BangLuong_TyLeTangCa[Ngày] = "Thường") *
(Table_BangLuong_TyLeTangCa[Giờ min]&lt;=$AA56) *
(Table_BangLuong_TyLeTangCa[Giờ max]&gt;$AA56)
))),
IF(
AND(
$AA56-$Z$4&gt;=MAX(BB$4,VLOOKUP(BB$6, Table_ChiPhiNV_Ca[], COUNTA(Table_ChiPhiNV_Ca[[#Headers],[Ca]:[Bắt đầu]]),0)),
$AA56&lt;MIN(BB$5,VLOOKUP(BB$6, Table_ChiPhiNV_Ca[], COUNTA(Table_ChiPhiNV_Ca[[#Headers],[Ca]:[Kết thúc]]),0))),
SUM(_xlfn._xlws.FILTER(Table_BangLuong_TyLeTangCa[Tỷ lệ],
(Table_BangLuong_TyLeTangCa[Ngày] = "Thường") *
(Table_BangLuong_TyLeTangCa[Giờ min]&lt;=$AA56) *
(Table_BangLuong_TyLeTangCa[Giờ max]&gt;$AA56)
)),0)
)),
IF(BB$4 &lt; BB$5,
IF($AA56-$Z$4&lt;BB$4,0,
IF($AA56&gt;BB$5,0,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BB$5,$AA56 &lt; BB$4),0,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C56" s="18" cm="1">
        <f t="array" ref="BC56" xml:space="preserve">
IFERROR(
IF(BC$1="",0,
IF(AND(
$AA56&gt;=VLOOKUP(BC$6, Table_ChiPhiNV_Ca[], COUNTA(Table_ChiPhiNV_Ca[[#Headers],[Ca]:[Bắt đầu nghỉ]]),0),
$AA56&lt;VLOOKUP(BC$6, Table_ChiPhiNV_Ca[], COUNTA(Table_ChiPhiNV_Ca[[#Headers],[Ca]:[Kết thúc nghỉ]]),0)
),0,
IF(NOT(ISBLANK(BC$3)),
IF(ISBLANK(BC$7),0,
IF(BC$4 &lt; BC$5,
IF($AA56-$Z$4&lt;BC$4,0,
IF($AA56&gt;BC$5,0,
SUM(_xlfn._xlws.FILTER(Table_BangLuong_TyLeTangCa[Tỷ lệ],
(Table_BangLuong_TyLeTangCa[Ngày] = BC$3) *
(Table_BangLuong_TyLeTangCa[Giờ min]&lt;=$AA56) *
(Table_BangLuong_TyLeTangCa[Giờ max]&gt;$AA56)
)))),
IF(AND($AA56-$Z$4 &gt;= BC$5,$AA56 &lt; BC$4),0,
SUM(_xlfn._xlws.FILTER(Table_BangLuong_TyLeTangCa[Tỷ lệ],
(Table_BangLuong_TyLeTangCa[Ngày] = BC$3) *
(Table_BangLuong_TyLeTangCa[Giờ min]&lt;=$AA56) *
(Table_BangLuong_TyLeTangCa[Giờ max]&gt;$AA56)
))))
),
IF(ISBLANK(BC$7),
IF(VLOOKUP(BC$6, Table_ChiPhiNV_Ca[], COUNTA(Table_ChiPhiNV_Ca[[#Headers],[Ca]:[Kết thúc]]),0)&gt; VLOOKUP(BC$6, Table_ChiPhiNV_Ca[], COUNTA(Table_ChiPhiNV_Ca[[#Headers],[Ca]:[Bắt đầu]]),0),
IF($AA56-$Z$4&lt;MAX(BC$4,VLOOKUP(BC$6, Table_ChiPhiNV_Ca[], COUNTA(Table_ChiPhiNV_Ca[[#Headers],[Ca]:[Bắt đầu]]),0)),0,
IF($AA56&gt;MIN(BC$5,VLOOKUP(BC$6, Table_ChiPhiNV_Ca[], COUNTA(Table_ChiPhiNV_Ca[[#Headers],[Ca]:[Kết thúc]]),0)),0,
SUM(_xlfn._xlws.FILTER(Table_BangLuong_TyLeTangCa[Tỷ lệ],
(Table_BangLuong_TyLeTangCa[Ngày] = "Thường") *
(Table_BangLuong_TyLeTangCa[Giờ min]&lt;=$AA56) *
(Table_BangLuong_TyLeTangCa[Giờ max]&gt;$AA56)
)))),
IF(BC$4 &gt; BC$5,
IF(
AND(
$AA56-$Z$4&lt;MAX(BC$4,VLOOKUP(BC$6, Table_ChiPhiNV_Ca[], COUNTA(Table_ChiPhiNV_Ca[[#Headers],[Ca]:[Bắt đầu]]),0)),
$AA56&gt;MIN(BC$5,VLOOKUP(BC$6, Table_ChiPhiNV_Ca[], COUNTA(Table_ChiPhiNV_Ca[[#Headers],[Ca]:[Kết thúc]]),0))),0,
SUM(_xlfn._xlws.FILTER(Table_BangLuong_TyLeTangCa[Tỷ lệ],
(Table_BangLuong_TyLeTangCa[Ngày] = "Thường") *
(Table_BangLuong_TyLeTangCa[Giờ min]&lt;=$AA56) *
(Table_BangLuong_TyLeTangCa[Giờ max]&gt;$AA56)
))),
IF(
AND(
$AA56-$Z$4&gt;=MAX(BC$4,VLOOKUP(BC$6, Table_ChiPhiNV_Ca[], COUNTA(Table_ChiPhiNV_Ca[[#Headers],[Ca]:[Bắt đầu]]),0)),
$AA56&lt;MIN(BC$5,VLOOKUP(BC$6, Table_ChiPhiNV_Ca[], COUNTA(Table_ChiPhiNV_Ca[[#Headers],[Ca]:[Kết thúc]]),0))),
SUM(_xlfn._xlws.FILTER(Table_BangLuong_TyLeTangCa[Tỷ lệ],
(Table_BangLuong_TyLeTangCa[Ngày] = "Thường") *
(Table_BangLuong_TyLeTangCa[Giờ min]&lt;=$AA56) *
(Table_BangLuong_TyLeTangCa[Giờ max]&gt;$AA56)
)),0)
)),
IF(BC$4 &lt; BC$5,
IF($AA56-$Z$4&lt;BC$4,0,
IF($AA56&gt;BC$5,0,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BC$5,$AA56 &lt; BC$4),0,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D56" s="18" cm="1">
        <f t="array" ref="BD56" xml:space="preserve">
IFERROR(
IF(BD$1="",0,
IF(AND(
$AA56&gt;=VLOOKUP(BD$6, Table_ChiPhiNV_Ca[], COUNTA(Table_ChiPhiNV_Ca[[#Headers],[Ca]:[Bắt đầu nghỉ]]),0),
$AA56&lt;VLOOKUP(BD$6, Table_ChiPhiNV_Ca[], COUNTA(Table_ChiPhiNV_Ca[[#Headers],[Ca]:[Kết thúc nghỉ]]),0)
),0,
IF(NOT(ISBLANK(BD$3)),
IF(ISBLANK(BD$7),0,
IF(BD$4 &lt; BD$5,
IF($AA56-$Z$4&lt;BD$4,0,
IF($AA56&gt;BD$5,0,
SUM(_xlfn._xlws.FILTER(Table_BangLuong_TyLeTangCa[Tỷ lệ],
(Table_BangLuong_TyLeTangCa[Ngày] = BD$3) *
(Table_BangLuong_TyLeTangCa[Giờ min]&lt;=$AA56) *
(Table_BangLuong_TyLeTangCa[Giờ max]&gt;$AA56)
)))),
IF(AND($AA56-$Z$4 &gt;= BD$5,$AA56 &lt; BD$4),0,
SUM(_xlfn._xlws.FILTER(Table_BangLuong_TyLeTangCa[Tỷ lệ],
(Table_BangLuong_TyLeTangCa[Ngày] = BD$3) *
(Table_BangLuong_TyLeTangCa[Giờ min]&lt;=$AA56) *
(Table_BangLuong_TyLeTangCa[Giờ max]&gt;$AA56)
))))
),
IF(ISBLANK(BD$7),
IF(VLOOKUP(BD$6, Table_ChiPhiNV_Ca[], COUNTA(Table_ChiPhiNV_Ca[[#Headers],[Ca]:[Kết thúc]]),0)&gt; VLOOKUP(BD$6, Table_ChiPhiNV_Ca[], COUNTA(Table_ChiPhiNV_Ca[[#Headers],[Ca]:[Bắt đầu]]),0),
IF($AA56-$Z$4&lt;MAX(BD$4,VLOOKUP(BD$6, Table_ChiPhiNV_Ca[], COUNTA(Table_ChiPhiNV_Ca[[#Headers],[Ca]:[Bắt đầu]]),0)),0,
IF($AA56&gt;MIN(BD$5,VLOOKUP(BD$6, Table_ChiPhiNV_Ca[], COUNTA(Table_ChiPhiNV_Ca[[#Headers],[Ca]:[Kết thúc]]),0)),0,
SUM(_xlfn._xlws.FILTER(Table_BangLuong_TyLeTangCa[Tỷ lệ],
(Table_BangLuong_TyLeTangCa[Ngày] = "Thường") *
(Table_BangLuong_TyLeTangCa[Giờ min]&lt;=$AA56) *
(Table_BangLuong_TyLeTangCa[Giờ max]&gt;$AA56)
)))),
IF(BD$4 &gt; BD$5,
IF(
AND(
$AA56-$Z$4&lt;MAX(BD$4,VLOOKUP(BD$6, Table_ChiPhiNV_Ca[], COUNTA(Table_ChiPhiNV_Ca[[#Headers],[Ca]:[Bắt đầu]]),0)),
$AA56&gt;MIN(BD$5,VLOOKUP(BD$6, Table_ChiPhiNV_Ca[], COUNTA(Table_ChiPhiNV_Ca[[#Headers],[Ca]:[Kết thúc]]),0))),0,
SUM(_xlfn._xlws.FILTER(Table_BangLuong_TyLeTangCa[Tỷ lệ],
(Table_BangLuong_TyLeTangCa[Ngày] = "Thường") *
(Table_BangLuong_TyLeTangCa[Giờ min]&lt;=$AA56) *
(Table_BangLuong_TyLeTangCa[Giờ max]&gt;$AA56)
))),
IF(
AND(
$AA56-$Z$4&gt;=MAX(BD$4,VLOOKUP(BD$6, Table_ChiPhiNV_Ca[], COUNTA(Table_ChiPhiNV_Ca[[#Headers],[Ca]:[Bắt đầu]]),0)),
$AA56&lt;MIN(BD$5,VLOOKUP(BD$6, Table_ChiPhiNV_Ca[], COUNTA(Table_ChiPhiNV_Ca[[#Headers],[Ca]:[Kết thúc]]),0))),
SUM(_xlfn._xlws.FILTER(Table_BangLuong_TyLeTangCa[Tỷ lệ],
(Table_BangLuong_TyLeTangCa[Ngày] = "Thường") *
(Table_BangLuong_TyLeTangCa[Giờ min]&lt;=$AA56) *
(Table_BangLuong_TyLeTangCa[Giờ max]&gt;$AA56)
)),0)
)),
IF(BD$4 &lt; BD$5,
IF($AA56-$Z$4&lt;BD$4,0,
IF($AA56&gt;BD$5,0,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BD$5,$AA56 &lt; BD$4),0,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E56" s="18" cm="1">
        <f t="array" ref="BE56" xml:space="preserve">
IFERROR(
IF(BE$1="",0,
IF(AND(
$AA56&gt;=VLOOKUP(BE$6, Table_ChiPhiNV_Ca[], COUNTA(Table_ChiPhiNV_Ca[[#Headers],[Ca]:[Bắt đầu nghỉ]]),0),
$AA56&lt;VLOOKUP(BE$6, Table_ChiPhiNV_Ca[], COUNTA(Table_ChiPhiNV_Ca[[#Headers],[Ca]:[Kết thúc nghỉ]]),0)
),0,
IF(NOT(ISBLANK(BE$3)),
IF(ISBLANK(BE$7),0,
IF(BE$4 &lt; BE$5,
IF($AA56-$Z$4&lt;BE$4,0,
IF($AA56&gt;BE$5,0,
SUM(_xlfn._xlws.FILTER(Table_BangLuong_TyLeTangCa[Tỷ lệ],
(Table_BangLuong_TyLeTangCa[Ngày] = BE$3) *
(Table_BangLuong_TyLeTangCa[Giờ min]&lt;=$AA56) *
(Table_BangLuong_TyLeTangCa[Giờ max]&gt;$AA56)
)))),
IF(AND($AA56-$Z$4 &gt;= BE$5,$AA56 &lt; BE$4),0,
SUM(_xlfn._xlws.FILTER(Table_BangLuong_TyLeTangCa[Tỷ lệ],
(Table_BangLuong_TyLeTangCa[Ngày] = BE$3) *
(Table_BangLuong_TyLeTangCa[Giờ min]&lt;=$AA56) *
(Table_BangLuong_TyLeTangCa[Giờ max]&gt;$AA56)
))))
),
IF(ISBLANK(BE$7),
IF(VLOOKUP(BE$6, Table_ChiPhiNV_Ca[], COUNTA(Table_ChiPhiNV_Ca[[#Headers],[Ca]:[Kết thúc]]),0)&gt; VLOOKUP(BE$6, Table_ChiPhiNV_Ca[], COUNTA(Table_ChiPhiNV_Ca[[#Headers],[Ca]:[Bắt đầu]]),0),
IF($AA56-$Z$4&lt;MAX(BE$4,VLOOKUP(BE$6, Table_ChiPhiNV_Ca[], COUNTA(Table_ChiPhiNV_Ca[[#Headers],[Ca]:[Bắt đầu]]),0)),0,
IF($AA56&gt;MIN(BE$5,VLOOKUP(BE$6, Table_ChiPhiNV_Ca[], COUNTA(Table_ChiPhiNV_Ca[[#Headers],[Ca]:[Kết thúc]]),0)),0,
SUM(_xlfn._xlws.FILTER(Table_BangLuong_TyLeTangCa[Tỷ lệ],
(Table_BangLuong_TyLeTangCa[Ngày] = "Thường") *
(Table_BangLuong_TyLeTangCa[Giờ min]&lt;=$AA56) *
(Table_BangLuong_TyLeTangCa[Giờ max]&gt;$AA56)
)))),
IF(BE$4 &gt; BE$5,
IF(
AND(
$AA56-$Z$4&lt;MAX(BE$4,VLOOKUP(BE$6, Table_ChiPhiNV_Ca[], COUNTA(Table_ChiPhiNV_Ca[[#Headers],[Ca]:[Bắt đầu]]),0)),
$AA56&gt;MIN(BE$5,VLOOKUP(BE$6, Table_ChiPhiNV_Ca[], COUNTA(Table_ChiPhiNV_Ca[[#Headers],[Ca]:[Kết thúc]]),0))),0,
SUM(_xlfn._xlws.FILTER(Table_BangLuong_TyLeTangCa[Tỷ lệ],
(Table_BangLuong_TyLeTangCa[Ngày] = "Thường") *
(Table_BangLuong_TyLeTangCa[Giờ min]&lt;=$AA56) *
(Table_BangLuong_TyLeTangCa[Giờ max]&gt;$AA56)
))),
IF(
AND(
$AA56-$Z$4&gt;=MAX(BE$4,VLOOKUP(BE$6, Table_ChiPhiNV_Ca[], COUNTA(Table_ChiPhiNV_Ca[[#Headers],[Ca]:[Bắt đầu]]),0)),
$AA56&lt;MIN(BE$5,VLOOKUP(BE$6, Table_ChiPhiNV_Ca[], COUNTA(Table_ChiPhiNV_Ca[[#Headers],[Ca]:[Kết thúc]]),0))),
SUM(_xlfn._xlws.FILTER(Table_BangLuong_TyLeTangCa[Tỷ lệ],
(Table_BangLuong_TyLeTangCa[Ngày] = "Thường") *
(Table_BangLuong_TyLeTangCa[Giờ min]&lt;=$AA56) *
(Table_BangLuong_TyLeTangCa[Giờ max]&gt;$AA56)
)),0)
)),
IF(BE$4 &lt; BE$5,
IF($AA56-$Z$4&lt;BE$4,0,
IF($AA56&gt;BE$5,0,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BE$5,$AA56 &lt; BE$4),0,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F56" s="18" cm="1">
        <f t="array" ref="BF56" xml:space="preserve">
IFERROR(
IF(BF$1="",0,
IF(AND(
$AA56&gt;=VLOOKUP(BF$6, Table_ChiPhiNV_Ca[], COUNTA(Table_ChiPhiNV_Ca[[#Headers],[Ca]:[Bắt đầu nghỉ]]),0),
$AA56&lt;VLOOKUP(BF$6, Table_ChiPhiNV_Ca[], COUNTA(Table_ChiPhiNV_Ca[[#Headers],[Ca]:[Kết thúc nghỉ]]),0)
),0,
IF(NOT(ISBLANK(BF$3)),
IF(ISBLANK(BF$7),0,
IF(BF$4 &lt; BF$5,
IF($AA56-$Z$4&lt;BF$4,0,
IF($AA56&gt;BF$5,0,
SUM(_xlfn._xlws.FILTER(Table_BangLuong_TyLeTangCa[Tỷ lệ],
(Table_BangLuong_TyLeTangCa[Ngày] = BF$3) *
(Table_BangLuong_TyLeTangCa[Giờ min]&lt;=$AA56) *
(Table_BangLuong_TyLeTangCa[Giờ max]&gt;$AA56)
)))),
IF(AND($AA56-$Z$4 &gt;= BF$5,$AA56 &lt; BF$4),0,
SUM(_xlfn._xlws.FILTER(Table_BangLuong_TyLeTangCa[Tỷ lệ],
(Table_BangLuong_TyLeTangCa[Ngày] = BF$3) *
(Table_BangLuong_TyLeTangCa[Giờ min]&lt;=$AA56) *
(Table_BangLuong_TyLeTangCa[Giờ max]&gt;$AA56)
))))
),
IF(ISBLANK(BF$7),
IF(VLOOKUP(BF$6, Table_ChiPhiNV_Ca[], COUNTA(Table_ChiPhiNV_Ca[[#Headers],[Ca]:[Kết thúc]]),0)&gt; VLOOKUP(BF$6, Table_ChiPhiNV_Ca[], COUNTA(Table_ChiPhiNV_Ca[[#Headers],[Ca]:[Bắt đầu]]),0),
IF($AA56-$Z$4&lt;MAX(BF$4,VLOOKUP(BF$6, Table_ChiPhiNV_Ca[], COUNTA(Table_ChiPhiNV_Ca[[#Headers],[Ca]:[Bắt đầu]]),0)),0,
IF($AA56&gt;MIN(BF$5,VLOOKUP(BF$6, Table_ChiPhiNV_Ca[], COUNTA(Table_ChiPhiNV_Ca[[#Headers],[Ca]:[Kết thúc]]),0)),0,
SUM(_xlfn._xlws.FILTER(Table_BangLuong_TyLeTangCa[Tỷ lệ],
(Table_BangLuong_TyLeTangCa[Ngày] = "Thường") *
(Table_BangLuong_TyLeTangCa[Giờ min]&lt;=$AA56) *
(Table_BangLuong_TyLeTangCa[Giờ max]&gt;$AA56)
)))),
IF(BF$4 &gt; BF$5,
IF(
AND(
$AA56-$Z$4&lt;MAX(BF$4,VLOOKUP(BF$6, Table_ChiPhiNV_Ca[], COUNTA(Table_ChiPhiNV_Ca[[#Headers],[Ca]:[Bắt đầu]]),0)),
$AA56&gt;MIN(BF$5,VLOOKUP(BF$6, Table_ChiPhiNV_Ca[], COUNTA(Table_ChiPhiNV_Ca[[#Headers],[Ca]:[Kết thúc]]),0))),0,
SUM(_xlfn._xlws.FILTER(Table_BangLuong_TyLeTangCa[Tỷ lệ],
(Table_BangLuong_TyLeTangCa[Ngày] = "Thường") *
(Table_BangLuong_TyLeTangCa[Giờ min]&lt;=$AA56) *
(Table_BangLuong_TyLeTangCa[Giờ max]&gt;$AA56)
))),
IF(
AND(
$AA56-$Z$4&gt;=MAX(BF$4,VLOOKUP(BF$6, Table_ChiPhiNV_Ca[], COUNTA(Table_ChiPhiNV_Ca[[#Headers],[Ca]:[Bắt đầu]]),0)),
$AA56&lt;MIN(BF$5,VLOOKUP(BF$6, Table_ChiPhiNV_Ca[], COUNTA(Table_ChiPhiNV_Ca[[#Headers],[Ca]:[Kết thúc]]),0))),
SUM(_xlfn._xlws.FILTER(Table_BangLuong_TyLeTangCa[Tỷ lệ],
(Table_BangLuong_TyLeTangCa[Ngày] = "Thường") *
(Table_BangLuong_TyLeTangCa[Giờ min]&lt;=$AA56) *
(Table_BangLuong_TyLeTangCa[Giờ max]&gt;$AA56)
)),0)
)),
IF(BF$4 &lt; BF$5,
IF($AA56-$Z$4&lt;BF$4,0,
IF($AA56&gt;BF$5,0,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BF$5,$AA56 &lt; BF$4),0,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row>
    <row r="57" spans="27:58" ht="18" customHeight="1" outlineLevel="1" x14ac:dyDescent="0.3">
      <c r="AA57" s="50">
        <v>0.99930555555555556</v>
      </c>
      <c r="AB57" s="18" cm="1">
        <f t="array" ref="AB57" xml:space="preserve">
IFERROR(
IF(AB$1="",0,
IF(AND(
$AA57&gt;=VLOOKUP(AB$6, Table_ChiPhiNV_Ca[], COUNTA(Table_ChiPhiNV_Ca[[#Headers],[Ca]:[Bắt đầu nghỉ]]),0),
$AA57&lt;VLOOKUP(AB$6, Table_ChiPhiNV_Ca[], COUNTA(Table_ChiPhiNV_Ca[[#Headers],[Ca]:[Kết thúc nghỉ]]),0)
),0,
IF(NOT(ISBLANK(AB$3)),
IF(ISBLANK(AB$7),0,
IF(AB$4 &lt; AB$5,
IF($AA57-$Z$4&lt;AB$4,0,
IF($AA57&gt;AB$5,0,
SUM(_xlfn._xlws.FILTER(Table_BangLuong_TyLeTangCa[Tỷ lệ],
(Table_BangLuong_TyLeTangCa[Ngày] = AB$3) *
(Table_BangLuong_TyLeTangCa[Giờ min]&lt;=$AA57) *
(Table_BangLuong_TyLeTangCa[Giờ max]&gt;$AA57)
)))),
IF(AND($AA57-$Z$4 &gt;= AB$5,$AA57 &lt; AB$4),0,
SUM(_xlfn._xlws.FILTER(Table_BangLuong_TyLeTangCa[Tỷ lệ],
(Table_BangLuong_TyLeTangCa[Ngày] = AB$3) *
(Table_BangLuong_TyLeTangCa[Giờ min]&lt;=$AA57) *
(Table_BangLuong_TyLeTangCa[Giờ max]&gt;$AA57)
))))
),
IF(ISBLANK(AB$7),
IF(VLOOKUP(AB$6, Table_ChiPhiNV_Ca[], COUNTA(Table_ChiPhiNV_Ca[[#Headers],[Ca]:[Kết thúc]]),0)&gt; VLOOKUP(AB$6, Table_ChiPhiNV_Ca[], COUNTA(Table_ChiPhiNV_Ca[[#Headers],[Ca]:[Bắt đầu]]),0),
IF($AA57-$Z$4&lt;MAX(AB$4,VLOOKUP(AB$6, Table_ChiPhiNV_Ca[], COUNTA(Table_ChiPhiNV_Ca[[#Headers],[Ca]:[Bắt đầu]]),0)),0,
IF($AA57&gt;MIN(AB$5,VLOOKUP(AB$6, Table_ChiPhiNV_Ca[], COUNTA(Table_ChiPhiNV_Ca[[#Headers],[Ca]:[Kết thúc]]),0)),0,
SUM(_xlfn._xlws.FILTER(Table_BangLuong_TyLeTangCa[Tỷ lệ],
(Table_BangLuong_TyLeTangCa[Ngày] = "Thường") *
(Table_BangLuong_TyLeTangCa[Giờ min]&lt;=$AA57) *
(Table_BangLuong_TyLeTangCa[Giờ max]&gt;$AA57)
)))),
IF(AB$4 &gt; AB$5,
IF(
AND(
$AA57-$Z$4&lt;MAX(AB$4,VLOOKUP(AB$6, Table_ChiPhiNV_Ca[], COUNTA(Table_ChiPhiNV_Ca[[#Headers],[Ca]:[Bắt đầu]]),0)),
$AA57&gt;MIN(AB$5,VLOOKUP(AB$6, Table_ChiPhiNV_Ca[], COUNTA(Table_ChiPhiNV_Ca[[#Headers],[Ca]:[Kết thúc]]),0))),0,
SUM(_xlfn._xlws.FILTER(Table_BangLuong_TyLeTangCa[Tỷ lệ],
(Table_BangLuong_TyLeTangCa[Ngày] = "Thường") *
(Table_BangLuong_TyLeTangCa[Giờ min]&lt;=$AA57) *
(Table_BangLuong_TyLeTangCa[Giờ max]&gt;$AA57)
))),
IF(
AND(
$AA57-$Z$4&gt;=MAX(AB$4,VLOOKUP(AB$6, Table_ChiPhiNV_Ca[], COUNTA(Table_ChiPhiNV_Ca[[#Headers],[Ca]:[Bắt đầu]]),0)),
$AA57&lt;MIN(AB$5,VLOOKUP(AB$6, Table_ChiPhiNV_Ca[], COUNTA(Table_ChiPhiNV_Ca[[#Headers],[Ca]:[Kết thúc]]),0))),
SUM(_xlfn._xlws.FILTER(Table_BangLuong_TyLeTangCa[Tỷ lệ],
(Table_BangLuong_TyLeTangCa[Ngày] = "Thường") *
(Table_BangLuong_TyLeTangCa[Giờ min]&lt;=$AA57) *
(Table_BangLuong_TyLeTangCa[Giờ max]&gt;$AA57)
)),0)
)),
IF(AB$4 &lt; AB$5,
IF($AA57-$Z$4&lt;AB$4,0,
IF($AA57&gt;AB$5,0,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AB$5,$AA57 &lt; AB$4),0,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C57" s="18" cm="1">
        <f t="array" ref="AC57" xml:space="preserve">
IFERROR(
IF(AC$1="",0,
IF(AND(
$AA57&gt;=VLOOKUP(AC$6, Table_ChiPhiNV_Ca[], COUNTA(Table_ChiPhiNV_Ca[[#Headers],[Ca]:[Bắt đầu nghỉ]]),0),
$AA57&lt;VLOOKUP(AC$6, Table_ChiPhiNV_Ca[], COUNTA(Table_ChiPhiNV_Ca[[#Headers],[Ca]:[Kết thúc nghỉ]]),0)
),0,
IF(NOT(ISBLANK(AC$3)),
IF(ISBLANK(AC$7),0,
IF(AC$4 &lt; AC$5,
IF($AA57-$Z$4&lt;AC$4,0,
IF($AA57&gt;AC$5,0,
SUM(_xlfn._xlws.FILTER(Table_BangLuong_TyLeTangCa[Tỷ lệ],
(Table_BangLuong_TyLeTangCa[Ngày] = AC$3) *
(Table_BangLuong_TyLeTangCa[Giờ min]&lt;=$AA57) *
(Table_BangLuong_TyLeTangCa[Giờ max]&gt;$AA57)
)))),
IF(AND($AA57-$Z$4 &gt;= AC$5,$AA57 &lt; AC$4),0,
SUM(_xlfn._xlws.FILTER(Table_BangLuong_TyLeTangCa[Tỷ lệ],
(Table_BangLuong_TyLeTangCa[Ngày] = AC$3) *
(Table_BangLuong_TyLeTangCa[Giờ min]&lt;=$AA57) *
(Table_BangLuong_TyLeTangCa[Giờ max]&gt;$AA57)
))))
),
IF(ISBLANK(AC$7),
IF(VLOOKUP(AC$6, Table_ChiPhiNV_Ca[], COUNTA(Table_ChiPhiNV_Ca[[#Headers],[Ca]:[Kết thúc]]),0)&gt; VLOOKUP(AC$6, Table_ChiPhiNV_Ca[], COUNTA(Table_ChiPhiNV_Ca[[#Headers],[Ca]:[Bắt đầu]]),0),
IF($AA57-$Z$4&lt;MAX(AC$4,VLOOKUP(AC$6, Table_ChiPhiNV_Ca[], COUNTA(Table_ChiPhiNV_Ca[[#Headers],[Ca]:[Bắt đầu]]),0)),0,
IF($AA57&gt;MIN(AC$5,VLOOKUP(AC$6, Table_ChiPhiNV_Ca[], COUNTA(Table_ChiPhiNV_Ca[[#Headers],[Ca]:[Kết thúc]]),0)),0,
SUM(_xlfn._xlws.FILTER(Table_BangLuong_TyLeTangCa[Tỷ lệ],
(Table_BangLuong_TyLeTangCa[Ngày] = "Thường") *
(Table_BangLuong_TyLeTangCa[Giờ min]&lt;=$AA57) *
(Table_BangLuong_TyLeTangCa[Giờ max]&gt;$AA57)
)))),
IF(AC$4 &gt; AC$5,
IF(
AND(
$AA57-$Z$4&lt;MAX(AC$4,VLOOKUP(AC$6, Table_ChiPhiNV_Ca[], COUNTA(Table_ChiPhiNV_Ca[[#Headers],[Ca]:[Bắt đầu]]),0)),
$AA57&gt;MIN(AC$5,VLOOKUP(AC$6, Table_ChiPhiNV_Ca[], COUNTA(Table_ChiPhiNV_Ca[[#Headers],[Ca]:[Kết thúc]]),0))),0,
SUM(_xlfn._xlws.FILTER(Table_BangLuong_TyLeTangCa[Tỷ lệ],
(Table_BangLuong_TyLeTangCa[Ngày] = "Thường") *
(Table_BangLuong_TyLeTangCa[Giờ min]&lt;=$AA57) *
(Table_BangLuong_TyLeTangCa[Giờ max]&gt;$AA57)
))),
IF(
AND(
$AA57-$Z$4&gt;=MAX(AC$4,VLOOKUP(AC$6, Table_ChiPhiNV_Ca[], COUNTA(Table_ChiPhiNV_Ca[[#Headers],[Ca]:[Bắt đầu]]),0)),
$AA57&lt;MIN(AC$5,VLOOKUP(AC$6, Table_ChiPhiNV_Ca[], COUNTA(Table_ChiPhiNV_Ca[[#Headers],[Ca]:[Kết thúc]]),0))),
SUM(_xlfn._xlws.FILTER(Table_BangLuong_TyLeTangCa[Tỷ lệ],
(Table_BangLuong_TyLeTangCa[Ngày] = "Thường") *
(Table_BangLuong_TyLeTangCa[Giờ min]&lt;=$AA57) *
(Table_BangLuong_TyLeTangCa[Giờ max]&gt;$AA57)
)),0)
)),
IF(AC$4 &lt; AC$5,
IF($AA57-$Z$4&lt;AC$4,0,
IF($AA57&gt;AC$5,0,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AC$5,$AA57 &lt; AC$4),0,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D57" s="18" cm="1">
        <f t="array" ref="AD57" xml:space="preserve">
IFERROR(
IF(AD$1="",0,
IF(AND(
$AA57&gt;=VLOOKUP(AD$6, Table_ChiPhiNV_Ca[], COUNTA(Table_ChiPhiNV_Ca[[#Headers],[Ca]:[Bắt đầu nghỉ]]),0),
$AA57&lt;VLOOKUP(AD$6, Table_ChiPhiNV_Ca[], COUNTA(Table_ChiPhiNV_Ca[[#Headers],[Ca]:[Kết thúc nghỉ]]),0)
),0,
IF(NOT(ISBLANK(AD$3)),
IF(ISBLANK(AD$7),0,
IF(AD$4 &lt; AD$5,
IF($AA57-$Z$4&lt;AD$4,0,
IF($AA57&gt;AD$5,0,
SUM(_xlfn._xlws.FILTER(Table_BangLuong_TyLeTangCa[Tỷ lệ],
(Table_BangLuong_TyLeTangCa[Ngày] = AD$3) *
(Table_BangLuong_TyLeTangCa[Giờ min]&lt;=$AA57) *
(Table_BangLuong_TyLeTangCa[Giờ max]&gt;$AA57)
)))),
IF(AND($AA57-$Z$4 &gt;= AD$5,$AA57 &lt; AD$4),0,
SUM(_xlfn._xlws.FILTER(Table_BangLuong_TyLeTangCa[Tỷ lệ],
(Table_BangLuong_TyLeTangCa[Ngày] = AD$3) *
(Table_BangLuong_TyLeTangCa[Giờ min]&lt;=$AA57) *
(Table_BangLuong_TyLeTangCa[Giờ max]&gt;$AA57)
))))
),
IF(ISBLANK(AD$7),
IF(VLOOKUP(AD$6, Table_ChiPhiNV_Ca[], COUNTA(Table_ChiPhiNV_Ca[[#Headers],[Ca]:[Kết thúc]]),0)&gt; VLOOKUP(AD$6, Table_ChiPhiNV_Ca[], COUNTA(Table_ChiPhiNV_Ca[[#Headers],[Ca]:[Bắt đầu]]),0),
IF($AA57-$Z$4&lt;MAX(AD$4,VLOOKUP(AD$6, Table_ChiPhiNV_Ca[], COUNTA(Table_ChiPhiNV_Ca[[#Headers],[Ca]:[Bắt đầu]]),0)),0,
IF($AA57&gt;MIN(AD$5,VLOOKUP(AD$6, Table_ChiPhiNV_Ca[], COUNTA(Table_ChiPhiNV_Ca[[#Headers],[Ca]:[Kết thúc]]),0)),0,
SUM(_xlfn._xlws.FILTER(Table_BangLuong_TyLeTangCa[Tỷ lệ],
(Table_BangLuong_TyLeTangCa[Ngày] = "Thường") *
(Table_BangLuong_TyLeTangCa[Giờ min]&lt;=$AA57) *
(Table_BangLuong_TyLeTangCa[Giờ max]&gt;$AA57)
)))),
IF(AD$4 &gt; AD$5,
IF(
AND(
$AA57-$Z$4&lt;MAX(AD$4,VLOOKUP(AD$6, Table_ChiPhiNV_Ca[], COUNTA(Table_ChiPhiNV_Ca[[#Headers],[Ca]:[Bắt đầu]]),0)),
$AA57&gt;MIN(AD$5,VLOOKUP(AD$6, Table_ChiPhiNV_Ca[], COUNTA(Table_ChiPhiNV_Ca[[#Headers],[Ca]:[Kết thúc]]),0))),0,
SUM(_xlfn._xlws.FILTER(Table_BangLuong_TyLeTangCa[Tỷ lệ],
(Table_BangLuong_TyLeTangCa[Ngày] = "Thường") *
(Table_BangLuong_TyLeTangCa[Giờ min]&lt;=$AA57) *
(Table_BangLuong_TyLeTangCa[Giờ max]&gt;$AA57)
))),
IF(
AND(
$AA57-$Z$4&gt;=MAX(AD$4,VLOOKUP(AD$6, Table_ChiPhiNV_Ca[], COUNTA(Table_ChiPhiNV_Ca[[#Headers],[Ca]:[Bắt đầu]]),0)),
$AA57&lt;MIN(AD$5,VLOOKUP(AD$6, Table_ChiPhiNV_Ca[], COUNTA(Table_ChiPhiNV_Ca[[#Headers],[Ca]:[Kết thúc]]),0))),
SUM(_xlfn._xlws.FILTER(Table_BangLuong_TyLeTangCa[Tỷ lệ],
(Table_BangLuong_TyLeTangCa[Ngày] = "Thường") *
(Table_BangLuong_TyLeTangCa[Giờ min]&lt;=$AA57) *
(Table_BangLuong_TyLeTangCa[Giờ max]&gt;$AA57)
)),0)
)),
IF(AD$4 &lt; AD$5,
IF($AA57-$Z$4&lt;AD$4,0,
IF($AA57&gt;AD$5,0,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AD$5,$AA57 &lt; AD$4),0,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E57" s="18" cm="1">
        <f t="array" ref="AE57" xml:space="preserve">
IFERROR(
IF(AE$1="",0,
IF(AND(
$AA57&gt;=VLOOKUP(AE$6, Table_ChiPhiNV_Ca[], COUNTA(Table_ChiPhiNV_Ca[[#Headers],[Ca]:[Bắt đầu nghỉ]]),0),
$AA57&lt;VLOOKUP(AE$6, Table_ChiPhiNV_Ca[], COUNTA(Table_ChiPhiNV_Ca[[#Headers],[Ca]:[Kết thúc nghỉ]]),0)
),0,
IF(NOT(ISBLANK(AE$3)),
IF(ISBLANK(AE$7),0,
IF(AE$4 &lt; AE$5,
IF($AA57-$Z$4&lt;AE$4,0,
IF($AA57&gt;AE$5,0,
SUM(_xlfn._xlws.FILTER(Table_BangLuong_TyLeTangCa[Tỷ lệ],
(Table_BangLuong_TyLeTangCa[Ngày] = AE$3) *
(Table_BangLuong_TyLeTangCa[Giờ min]&lt;=$AA57) *
(Table_BangLuong_TyLeTangCa[Giờ max]&gt;$AA57)
)))),
IF(AND($AA57-$Z$4 &gt;= AE$5,$AA57 &lt; AE$4),0,
SUM(_xlfn._xlws.FILTER(Table_BangLuong_TyLeTangCa[Tỷ lệ],
(Table_BangLuong_TyLeTangCa[Ngày] = AE$3) *
(Table_BangLuong_TyLeTangCa[Giờ min]&lt;=$AA57) *
(Table_BangLuong_TyLeTangCa[Giờ max]&gt;$AA57)
))))
),
IF(ISBLANK(AE$7),
IF(VLOOKUP(AE$6, Table_ChiPhiNV_Ca[], COUNTA(Table_ChiPhiNV_Ca[[#Headers],[Ca]:[Kết thúc]]),0)&gt; VLOOKUP(AE$6, Table_ChiPhiNV_Ca[], COUNTA(Table_ChiPhiNV_Ca[[#Headers],[Ca]:[Bắt đầu]]),0),
IF($AA57-$Z$4&lt;MAX(AE$4,VLOOKUP(AE$6, Table_ChiPhiNV_Ca[], COUNTA(Table_ChiPhiNV_Ca[[#Headers],[Ca]:[Bắt đầu]]),0)),0,
IF($AA57&gt;MIN(AE$5,VLOOKUP(AE$6, Table_ChiPhiNV_Ca[], COUNTA(Table_ChiPhiNV_Ca[[#Headers],[Ca]:[Kết thúc]]),0)),0,
SUM(_xlfn._xlws.FILTER(Table_BangLuong_TyLeTangCa[Tỷ lệ],
(Table_BangLuong_TyLeTangCa[Ngày] = "Thường") *
(Table_BangLuong_TyLeTangCa[Giờ min]&lt;=$AA57) *
(Table_BangLuong_TyLeTangCa[Giờ max]&gt;$AA57)
)))),
IF(AE$4 &gt; AE$5,
IF(
AND(
$AA57-$Z$4&lt;MAX(AE$4,VLOOKUP(AE$6, Table_ChiPhiNV_Ca[], COUNTA(Table_ChiPhiNV_Ca[[#Headers],[Ca]:[Bắt đầu]]),0)),
$AA57&gt;MIN(AE$5,VLOOKUP(AE$6, Table_ChiPhiNV_Ca[], COUNTA(Table_ChiPhiNV_Ca[[#Headers],[Ca]:[Kết thúc]]),0))),0,
SUM(_xlfn._xlws.FILTER(Table_BangLuong_TyLeTangCa[Tỷ lệ],
(Table_BangLuong_TyLeTangCa[Ngày] = "Thường") *
(Table_BangLuong_TyLeTangCa[Giờ min]&lt;=$AA57) *
(Table_BangLuong_TyLeTangCa[Giờ max]&gt;$AA57)
))),
IF(
AND(
$AA57-$Z$4&gt;=MAX(AE$4,VLOOKUP(AE$6, Table_ChiPhiNV_Ca[], COUNTA(Table_ChiPhiNV_Ca[[#Headers],[Ca]:[Bắt đầu]]),0)),
$AA57&lt;MIN(AE$5,VLOOKUP(AE$6, Table_ChiPhiNV_Ca[], COUNTA(Table_ChiPhiNV_Ca[[#Headers],[Ca]:[Kết thúc]]),0))),
SUM(_xlfn._xlws.FILTER(Table_BangLuong_TyLeTangCa[Tỷ lệ],
(Table_BangLuong_TyLeTangCa[Ngày] = "Thường") *
(Table_BangLuong_TyLeTangCa[Giờ min]&lt;=$AA57) *
(Table_BangLuong_TyLeTangCa[Giờ max]&gt;$AA57)
)),0)
)),
IF(AE$4 &lt; AE$5,
IF($AA57-$Z$4&lt;AE$4,0,
IF($AA57&gt;AE$5,0,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AE$5,$AA57 &lt; AE$4),0,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F57" s="18" cm="1">
        <f t="array" ref="AF57" xml:space="preserve">
IFERROR(
IF(AF$1="",0,
IF(AND(
$AA57&gt;=VLOOKUP(AF$6, Table_ChiPhiNV_Ca[], COUNTA(Table_ChiPhiNV_Ca[[#Headers],[Ca]:[Bắt đầu nghỉ]]),0),
$AA57&lt;VLOOKUP(AF$6, Table_ChiPhiNV_Ca[], COUNTA(Table_ChiPhiNV_Ca[[#Headers],[Ca]:[Kết thúc nghỉ]]),0)
),0,
IF(NOT(ISBLANK(AF$3)),
IF(ISBLANK(AF$7),0,
IF(AF$4 &lt; AF$5,
IF($AA57-$Z$4&lt;AF$4,0,
IF($AA57&gt;AF$5,0,
SUM(_xlfn._xlws.FILTER(Table_BangLuong_TyLeTangCa[Tỷ lệ],
(Table_BangLuong_TyLeTangCa[Ngày] = AF$3) *
(Table_BangLuong_TyLeTangCa[Giờ min]&lt;=$AA57) *
(Table_BangLuong_TyLeTangCa[Giờ max]&gt;$AA57)
)))),
IF(AND($AA57-$Z$4 &gt;= AF$5,$AA57 &lt; AF$4),0,
SUM(_xlfn._xlws.FILTER(Table_BangLuong_TyLeTangCa[Tỷ lệ],
(Table_BangLuong_TyLeTangCa[Ngày] = AF$3) *
(Table_BangLuong_TyLeTangCa[Giờ min]&lt;=$AA57) *
(Table_BangLuong_TyLeTangCa[Giờ max]&gt;$AA57)
))))
),
IF(ISBLANK(AF$7),
IF(VLOOKUP(AF$6, Table_ChiPhiNV_Ca[], COUNTA(Table_ChiPhiNV_Ca[[#Headers],[Ca]:[Kết thúc]]),0)&gt; VLOOKUP(AF$6, Table_ChiPhiNV_Ca[], COUNTA(Table_ChiPhiNV_Ca[[#Headers],[Ca]:[Bắt đầu]]),0),
IF($AA57-$Z$4&lt;MAX(AF$4,VLOOKUP(AF$6, Table_ChiPhiNV_Ca[], COUNTA(Table_ChiPhiNV_Ca[[#Headers],[Ca]:[Bắt đầu]]),0)),0,
IF($AA57&gt;MIN(AF$5,VLOOKUP(AF$6, Table_ChiPhiNV_Ca[], COUNTA(Table_ChiPhiNV_Ca[[#Headers],[Ca]:[Kết thúc]]),0)),0,
SUM(_xlfn._xlws.FILTER(Table_BangLuong_TyLeTangCa[Tỷ lệ],
(Table_BangLuong_TyLeTangCa[Ngày] = "Thường") *
(Table_BangLuong_TyLeTangCa[Giờ min]&lt;=$AA57) *
(Table_BangLuong_TyLeTangCa[Giờ max]&gt;$AA57)
)))),
IF(AF$4 &gt; AF$5,
IF(
AND(
$AA57-$Z$4&lt;MAX(AF$4,VLOOKUP(AF$6, Table_ChiPhiNV_Ca[], COUNTA(Table_ChiPhiNV_Ca[[#Headers],[Ca]:[Bắt đầu]]),0)),
$AA57&gt;MIN(AF$5,VLOOKUP(AF$6, Table_ChiPhiNV_Ca[], COUNTA(Table_ChiPhiNV_Ca[[#Headers],[Ca]:[Kết thúc]]),0))),0,
SUM(_xlfn._xlws.FILTER(Table_BangLuong_TyLeTangCa[Tỷ lệ],
(Table_BangLuong_TyLeTangCa[Ngày] = "Thường") *
(Table_BangLuong_TyLeTangCa[Giờ min]&lt;=$AA57) *
(Table_BangLuong_TyLeTangCa[Giờ max]&gt;$AA57)
))),
IF(
AND(
$AA57-$Z$4&gt;=MAX(AF$4,VLOOKUP(AF$6, Table_ChiPhiNV_Ca[], COUNTA(Table_ChiPhiNV_Ca[[#Headers],[Ca]:[Bắt đầu]]),0)),
$AA57&lt;MIN(AF$5,VLOOKUP(AF$6, Table_ChiPhiNV_Ca[], COUNTA(Table_ChiPhiNV_Ca[[#Headers],[Ca]:[Kết thúc]]),0))),
SUM(_xlfn._xlws.FILTER(Table_BangLuong_TyLeTangCa[Tỷ lệ],
(Table_BangLuong_TyLeTangCa[Ngày] = "Thường") *
(Table_BangLuong_TyLeTangCa[Giờ min]&lt;=$AA57) *
(Table_BangLuong_TyLeTangCa[Giờ max]&gt;$AA57)
)),0)
)),
IF(AF$4 &lt; AF$5,
IF($AA57-$Z$4&lt;AF$4,0,
IF($AA57&gt;AF$5,0,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AF$5,$AA57 &lt; AF$4),0,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G57" s="18" cm="1">
        <f t="array" ref="AG57" xml:space="preserve">
IFERROR(
IF(AG$1="",0,
IF(AND(
$AA57&gt;=VLOOKUP(AG$6, Table_ChiPhiNV_Ca[], COUNTA(Table_ChiPhiNV_Ca[[#Headers],[Ca]:[Bắt đầu nghỉ]]),0),
$AA57&lt;VLOOKUP(AG$6, Table_ChiPhiNV_Ca[], COUNTA(Table_ChiPhiNV_Ca[[#Headers],[Ca]:[Kết thúc nghỉ]]),0)
),0,
IF(NOT(ISBLANK(AG$3)),
IF(ISBLANK(AG$7),0,
IF(AG$4 &lt; AG$5,
IF($AA57-$Z$4&lt;AG$4,0,
IF($AA57&gt;AG$5,0,
SUM(_xlfn._xlws.FILTER(Table_BangLuong_TyLeTangCa[Tỷ lệ],
(Table_BangLuong_TyLeTangCa[Ngày] = AG$3) *
(Table_BangLuong_TyLeTangCa[Giờ min]&lt;=$AA57) *
(Table_BangLuong_TyLeTangCa[Giờ max]&gt;$AA57)
)))),
IF(AND($AA57-$Z$4 &gt;= AG$5,$AA57 &lt; AG$4),0,
SUM(_xlfn._xlws.FILTER(Table_BangLuong_TyLeTangCa[Tỷ lệ],
(Table_BangLuong_TyLeTangCa[Ngày] = AG$3) *
(Table_BangLuong_TyLeTangCa[Giờ min]&lt;=$AA57) *
(Table_BangLuong_TyLeTangCa[Giờ max]&gt;$AA57)
))))
),
IF(ISBLANK(AG$7),
IF(VLOOKUP(AG$6, Table_ChiPhiNV_Ca[], COUNTA(Table_ChiPhiNV_Ca[[#Headers],[Ca]:[Kết thúc]]),0)&gt; VLOOKUP(AG$6, Table_ChiPhiNV_Ca[], COUNTA(Table_ChiPhiNV_Ca[[#Headers],[Ca]:[Bắt đầu]]),0),
IF($AA57-$Z$4&lt;MAX(AG$4,VLOOKUP(AG$6, Table_ChiPhiNV_Ca[], COUNTA(Table_ChiPhiNV_Ca[[#Headers],[Ca]:[Bắt đầu]]),0)),0,
IF($AA57&gt;MIN(AG$5,VLOOKUP(AG$6, Table_ChiPhiNV_Ca[], COUNTA(Table_ChiPhiNV_Ca[[#Headers],[Ca]:[Kết thúc]]),0)),0,
SUM(_xlfn._xlws.FILTER(Table_BangLuong_TyLeTangCa[Tỷ lệ],
(Table_BangLuong_TyLeTangCa[Ngày] = "Thường") *
(Table_BangLuong_TyLeTangCa[Giờ min]&lt;=$AA57) *
(Table_BangLuong_TyLeTangCa[Giờ max]&gt;$AA57)
)))),
IF(AG$4 &gt; AG$5,
IF(
AND(
$AA57-$Z$4&lt;MAX(AG$4,VLOOKUP(AG$6, Table_ChiPhiNV_Ca[], COUNTA(Table_ChiPhiNV_Ca[[#Headers],[Ca]:[Bắt đầu]]),0)),
$AA57&gt;MIN(AG$5,VLOOKUP(AG$6, Table_ChiPhiNV_Ca[], COUNTA(Table_ChiPhiNV_Ca[[#Headers],[Ca]:[Kết thúc]]),0))),0,
SUM(_xlfn._xlws.FILTER(Table_BangLuong_TyLeTangCa[Tỷ lệ],
(Table_BangLuong_TyLeTangCa[Ngày] = "Thường") *
(Table_BangLuong_TyLeTangCa[Giờ min]&lt;=$AA57) *
(Table_BangLuong_TyLeTangCa[Giờ max]&gt;$AA57)
))),
IF(
AND(
$AA57-$Z$4&gt;=MAX(AG$4,VLOOKUP(AG$6, Table_ChiPhiNV_Ca[], COUNTA(Table_ChiPhiNV_Ca[[#Headers],[Ca]:[Bắt đầu]]),0)),
$AA57&lt;MIN(AG$5,VLOOKUP(AG$6, Table_ChiPhiNV_Ca[], COUNTA(Table_ChiPhiNV_Ca[[#Headers],[Ca]:[Kết thúc]]),0))),
SUM(_xlfn._xlws.FILTER(Table_BangLuong_TyLeTangCa[Tỷ lệ],
(Table_BangLuong_TyLeTangCa[Ngày] = "Thường") *
(Table_BangLuong_TyLeTangCa[Giờ min]&lt;=$AA57) *
(Table_BangLuong_TyLeTangCa[Giờ max]&gt;$AA57)
)),0)
)),
IF(AG$4 &lt; AG$5,
IF($AA57-$Z$4&lt;AG$4,0,
IF($AA57&gt;AG$5,0,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AG$5,$AA57 &lt; AG$4),0,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H57" s="18" cm="1">
        <f t="array" ref="AH57" xml:space="preserve">
IFERROR(
IF(AH$1="",0,
IF(AND(
$AA57&gt;=VLOOKUP(AH$6, Table_ChiPhiNV_Ca[], COUNTA(Table_ChiPhiNV_Ca[[#Headers],[Ca]:[Bắt đầu nghỉ]]),0),
$AA57&lt;VLOOKUP(AH$6, Table_ChiPhiNV_Ca[], COUNTA(Table_ChiPhiNV_Ca[[#Headers],[Ca]:[Kết thúc nghỉ]]),0)
),0,
IF(NOT(ISBLANK(AH$3)),
IF(ISBLANK(AH$7),0,
IF(AH$4 &lt; AH$5,
IF($AA57-$Z$4&lt;AH$4,0,
IF($AA57&gt;AH$5,0,
SUM(_xlfn._xlws.FILTER(Table_BangLuong_TyLeTangCa[Tỷ lệ],
(Table_BangLuong_TyLeTangCa[Ngày] = AH$3) *
(Table_BangLuong_TyLeTangCa[Giờ min]&lt;=$AA57) *
(Table_BangLuong_TyLeTangCa[Giờ max]&gt;$AA57)
)))),
IF(AND($AA57-$Z$4 &gt;= AH$5,$AA57 &lt; AH$4),0,
SUM(_xlfn._xlws.FILTER(Table_BangLuong_TyLeTangCa[Tỷ lệ],
(Table_BangLuong_TyLeTangCa[Ngày] = AH$3) *
(Table_BangLuong_TyLeTangCa[Giờ min]&lt;=$AA57) *
(Table_BangLuong_TyLeTangCa[Giờ max]&gt;$AA57)
))))
),
IF(ISBLANK(AH$7),
IF(VLOOKUP(AH$6, Table_ChiPhiNV_Ca[], COUNTA(Table_ChiPhiNV_Ca[[#Headers],[Ca]:[Kết thúc]]),0)&gt; VLOOKUP(AH$6, Table_ChiPhiNV_Ca[], COUNTA(Table_ChiPhiNV_Ca[[#Headers],[Ca]:[Bắt đầu]]),0),
IF($AA57-$Z$4&lt;MAX(AH$4,VLOOKUP(AH$6, Table_ChiPhiNV_Ca[], COUNTA(Table_ChiPhiNV_Ca[[#Headers],[Ca]:[Bắt đầu]]),0)),0,
IF($AA57&gt;MIN(AH$5,VLOOKUP(AH$6, Table_ChiPhiNV_Ca[], COUNTA(Table_ChiPhiNV_Ca[[#Headers],[Ca]:[Kết thúc]]),0)),0,
SUM(_xlfn._xlws.FILTER(Table_BangLuong_TyLeTangCa[Tỷ lệ],
(Table_BangLuong_TyLeTangCa[Ngày] = "Thường") *
(Table_BangLuong_TyLeTangCa[Giờ min]&lt;=$AA57) *
(Table_BangLuong_TyLeTangCa[Giờ max]&gt;$AA57)
)))),
IF(AH$4 &gt; AH$5,
IF(
AND(
$AA57-$Z$4&lt;MAX(AH$4,VLOOKUP(AH$6, Table_ChiPhiNV_Ca[], COUNTA(Table_ChiPhiNV_Ca[[#Headers],[Ca]:[Bắt đầu]]),0)),
$AA57&gt;MIN(AH$5,VLOOKUP(AH$6, Table_ChiPhiNV_Ca[], COUNTA(Table_ChiPhiNV_Ca[[#Headers],[Ca]:[Kết thúc]]),0))),0,
SUM(_xlfn._xlws.FILTER(Table_BangLuong_TyLeTangCa[Tỷ lệ],
(Table_BangLuong_TyLeTangCa[Ngày] = "Thường") *
(Table_BangLuong_TyLeTangCa[Giờ min]&lt;=$AA57) *
(Table_BangLuong_TyLeTangCa[Giờ max]&gt;$AA57)
))),
IF(
AND(
$AA57-$Z$4&gt;=MAX(AH$4,VLOOKUP(AH$6, Table_ChiPhiNV_Ca[], COUNTA(Table_ChiPhiNV_Ca[[#Headers],[Ca]:[Bắt đầu]]),0)),
$AA57&lt;MIN(AH$5,VLOOKUP(AH$6, Table_ChiPhiNV_Ca[], COUNTA(Table_ChiPhiNV_Ca[[#Headers],[Ca]:[Kết thúc]]),0))),
SUM(_xlfn._xlws.FILTER(Table_BangLuong_TyLeTangCa[Tỷ lệ],
(Table_BangLuong_TyLeTangCa[Ngày] = "Thường") *
(Table_BangLuong_TyLeTangCa[Giờ min]&lt;=$AA57) *
(Table_BangLuong_TyLeTangCa[Giờ max]&gt;$AA57)
)),0)
)),
IF(AH$4 &lt; AH$5,
IF($AA57-$Z$4&lt;AH$4,0,
IF($AA57&gt;AH$5,0,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AH$5,$AA57 &lt; AH$4),0,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I57" s="18" cm="1">
        <f t="array" ref="AI57" xml:space="preserve">
IFERROR(
IF(AI$1="",0,
IF(AND(
$AA57&gt;=VLOOKUP(AI$6, Table_ChiPhiNV_Ca[], COUNTA(Table_ChiPhiNV_Ca[[#Headers],[Ca]:[Bắt đầu nghỉ]]),0),
$AA57&lt;VLOOKUP(AI$6, Table_ChiPhiNV_Ca[], COUNTA(Table_ChiPhiNV_Ca[[#Headers],[Ca]:[Kết thúc nghỉ]]),0)
),0,
IF(NOT(ISBLANK(AI$3)),
IF(ISBLANK(AI$7),0,
IF(AI$4 &lt; AI$5,
IF($AA57-$Z$4&lt;AI$4,0,
IF($AA57&gt;AI$5,0,
SUM(_xlfn._xlws.FILTER(Table_BangLuong_TyLeTangCa[Tỷ lệ],
(Table_BangLuong_TyLeTangCa[Ngày] = AI$3) *
(Table_BangLuong_TyLeTangCa[Giờ min]&lt;=$AA57) *
(Table_BangLuong_TyLeTangCa[Giờ max]&gt;$AA57)
)))),
IF(AND($AA57-$Z$4 &gt;= AI$5,$AA57 &lt; AI$4),0,
SUM(_xlfn._xlws.FILTER(Table_BangLuong_TyLeTangCa[Tỷ lệ],
(Table_BangLuong_TyLeTangCa[Ngày] = AI$3) *
(Table_BangLuong_TyLeTangCa[Giờ min]&lt;=$AA57) *
(Table_BangLuong_TyLeTangCa[Giờ max]&gt;$AA57)
))))
),
IF(ISBLANK(AI$7),
IF(VLOOKUP(AI$6, Table_ChiPhiNV_Ca[], COUNTA(Table_ChiPhiNV_Ca[[#Headers],[Ca]:[Kết thúc]]),0)&gt; VLOOKUP(AI$6, Table_ChiPhiNV_Ca[], COUNTA(Table_ChiPhiNV_Ca[[#Headers],[Ca]:[Bắt đầu]]),0),
IF($AA57-$Z$4&lt;MAX(AI$4,VLOOKUP(AI$6, Table_ChiPhiNV_Ca[], COUNTA(Table_ChiPhiNV_Ca[[#Headers],[Ca]:[Bắt đầu]]),0)),0,
IF($AA57&gt;MIN(AI$5,VLOOKUP(AI$6, Table_ChiPhiNV_Ca[], COUNTA(Table_ChiPhiNV_Ca[[#Headers],[Ca]:[Kết thúc]]),0)),0,
SUM(_xlfn._xlws.FILTER(Table_BangLuong_TyLeTangCa[Tỷ lệ],
(Table_BangLuong_TyLeTangCa[Ngày] = "Thường") *
(Table_BangLuong_TyLeTangCa[Giờ min]&lt;=$AA57) *
(Table_BangLuong_TyLeTangCa[Giờ max]&gt;$AA57)
)))),
IF(AI$4 &gt; AI$5,
IF(
AND(
$AA57-$Z$4&lt;MAX(AI$4,VLOOKUP(AI$6, Table_ChiPhiNV_Ca[], COUNTA(Table_ChiPhiNV_Ca[[#Headers],[Ca]:[Bắt đầu]]),0)),
$AA57&gt;MIN(AI$5,VLOOKUP(AI$6, Table_ChiPhiNV_Ca[], COUNTA(Table_ChiPhiNV_Ca[[#Headers],[Ca]:[Kết thúc]]),0))),0,
SUM(_xlfn._xlws.FILTER(Table_BangLuong_TyLeTangCa[Tỷ lệ],
(Table_BangLuong_TyLeTangCa[Ngày] = "Thường") *
(Table_BangLuong_TyLeTangCa[Giờ min]&lt;=$AA57) *
(Table_BangLuong_TyLeTangCa[Giờ max]&gt;$AA57)
))),
IF(
AND(
$AA57-$Z$4&gt;=MAX(AI$4,VLOOKUP(AI$6, Table_ChiPhiNV_Ca[], COUNTA(Table_ChiPhiNV_Ca[[#Headers],[Ca]:[Bắt đầu]]),0)),
$AA57&lt;MIN(AI$5,VLOOKUP(AI$6, Table_ChiPhiNV_Ca[], COUNTA(Table_ChiPhiNV_Ca[[#Headers],[Ca]:[Kết thúc]]),0))),
SUM(_xlfn._xlws.FILTER(Table_BangLuong_TyLeTangCa[Tỷ lệ],
(Table_BangLuong_TyLeTangCa[Ngày] = "Thường") *
(Table_BangLuong_TyLeTangCa[Giờ min]&lt;=$AA57) *
(Table_BangLuong_TyLeTangCa[Giờ max]&gt;$AA57)
)),0)
)),
IF(AI$4 &lt; AI$5,
IF($AA57-$Z$4&lt;AI$4,0,
IF($AA57&gt;AI$5,0,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AI$5,$AA57 &lt; AI$4),0,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J57" s="18" cm="1">
        <f t="array" ref="AJ57" xml:space="preserve">
IFERROR(
IF(AJ$1="",0,
IF(AND(
$AA57&gt;=VLOOKUP(AJ$6, Table_ChiPhiNV_Ca[], COUNTA(Table_ChiPhiNV_Ca[[#Headers],[Ca]:[Bắt đầu nghỉ]]),0),
$AA57&lt;VLOOKUP(AJ$6, Table_ChiPhiNV_Ca[], COUNTA(Table_ChiPhiNV_Ca[[#Headers],[Ca]:[Kết thúc nghỉ]]),0)
),0,
IF(NOT(ISBLANK(AJ$3)),
IF(ISBLANK(AJ$7),0,
IF(AJ$4 &lt; AJ$5,
IF($AA57-$Z$4&lt;AJ$4,0,
IF($AA57&gt;AJ$5,0,
SUM(_xlfn._xlws.FILTER(Table_BangLuong_TyLeTangCa[Tỷ lệ],
(Table_BangLuong_TyLeTangCa[Ngày] = AJ$3) *
(Table_BangLuong_TyLeTangCa[Giờ min]&lt;=$AA57) *
(Table_BangLuong_TyLeTangCa[Giờ max]&gt;$AA57)
)))),
IF(AND($AA57-$Z$4 &gt;= AJ$5,$AA57 &lt; AJ$4),0,
SUM(_xlfn._xlws.FILTER(Table_BangLuong_TyLeTangCa[Tỷ lệ],
(Table_BangLuong_TyLeTangCa[Ngày] = AJ$3) *
(Table_BangLuong_TyLeTangCa[Giờ min]&lt;=$AA57) *
(Table_BangLuong_TyLeTangCa[Giờ max]&gt;$AA57)
))))
),
IF(ISBLANK(AJ$7),
IF(VLOOKUP(AJ$6, Table_ChiPhiNV_Ca[], COUNTA(Table_ChiPhiNV_Ca[[#Headers],[Ca]:[Kết thúc]]),0)&gt; VLOOKUP(AJ$6, Table_ChiPhiNV_Ca[], COUNTA(Table_ChiPhiNV_Ca[[#Headers],[Ca]:[Bắt đầu]]),0),
IF($AA57-$Z$4&lt;MAX(AJ$4,VLOOKUP(AJ$6, Table_ChiPhiNV_Ca[], COUNTA(Table_ChiPhiNV_Ca[[#Headers],[Ca]:[Bắt đầu]]),0)),0,
IF($AA57&gt;MIN(AJ$5,VLOOKUP(AJ$6, Table_ChiPhiNV_Ca[], COUNTA(Table_ChiPhiNV_Ca[[#Headers],[Ca]:[Kết thúc]]),0)),0,
SUM(_xlfn._xlws.FILTER(Table_BangLuong_TyLeTangCa[Tỷ lệ],
(Table_BangLuong_TyLeTangCa[Ngày] = "Thường") *
(Table_BangLuong_TyLeTangCa[Giờ min]&lt;=$AA57) *
(Table_BangLuong_TyLeTangCa[Giờ max]&gt;$AA57)
)))),
IF(AJ$4 &gt; AJ$5,
IF(
AND(
$AA57-$Z$4&lt;MAX(AJ$4,VLOOKUP(AJ$6, Table_ChiPhiNV_Ca[], COUNTA(Table_ChiPhiNV_Ca[[#Headers],[Ca]:[Bắt đầu]]),0)),
$AA57&gt;MIN(AJ$5,VLOOKUP(AJ$6, Table_ChiPhiNV_Ca[], COUNTA(Table_ChiPhiNV_Ca[[#Headers],[Ca]:[Kết thúc]]),0))),0,
SUM(_xlfn._xlws.FILTER(Table_BangLuong_TyLeTangCa[Tỷ lệ],
(Table_BangLuong_TyLeTangCa[Ngày] = "Thường") *
(Table_BangLuong_TyLeTangCa[Giờ min]&lt;=$AA57) *
(Table_BangLuong_TyLeTangCa[Giờ max]&gt;$AA57)
))),
IF(
AND(
$AA57-$Z$4&gt;=MAX(AJ$4,VLOOKUP(AJ$6, Table_ChiPhiNV_Ca[], COUNTA(Table_ChiPhiNV_Ca[[#Headers],[Ca]:[Bắt đầu]]),0)),
$AA57&lt;MIN(AJ$5,VLOOKUP(AJ$6, Table_ChiPhiNV_Ca[], COUNTA(Table_ChiPhiNV_Ca[[#Headers],[Ca]:[Kết thúc]]),0))),
SUM(_xlfn._xlws.FILTER(Table_BangLuong_TyLeTangCa[Tỷ lệ],
(Table_BangLuong_TyLeTangCa[Ngày] = "Thường") *
(Table_BangLuong_TyLeTangCa[Giờ min]&lt;=$AA57) *
(Table_BangLuong_TyLeTangCa[Giờ max]&gt;$AA57)
)),0)
)),
IF(AJ$4 &lt; AJ$5,
IF($AA57-$Z$4&lt;AJ$4,0,
IF($AA57&gt;AJ$5,0,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AJ$5,$AA57 &lt; AJ$4),0,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K57" s="18" cm="1">
        <f t="array" ref="AK57" xml:space="preserve">
IFERROR(
IF(AK$1="",0,
IF(AND(
$AA57&gt;=VLOOKUP(AK$6, Table_ChiPhiNV_Ca[], COUNTA(Table_ChiPhiNV_Ca[[#Headers],[Ca]:[Bắt đầu nghỉ]]),0),
$AA57&lt;VLOOKUP(AK$6, Table_ChiPhiNV_Ca[], COUNTA(Table_ChiPhiNV_Ca[[#Headers],[Ca]:[Kết thúc nghỉ]]),0)
),0,
IF(NOT(ISBLANK(AK$3)),
IF(ISBLANK(AK$7),0,
IF(AK$4 &lt; AK$5,
IF($AA57-$Z$4&lt;AK$4,0,
IF($AA57&gt;AK$5,0,
SUM(_xlfn._xlws.FILTER(Table_BangLuong_TyLeTangCa[Tỷ lệ],
(Table_BangLuong_TyLeTangCa[Ngày] = AK$3) *
(Table_BangLuong_TyLeTangCa[Giờ min]&lt;=$AA57) *
(Table_BangLuong_TyLeTangCa[Giờ max]&gt;$AA57)
)))),
IF(AND($AA57-$Z$4 &gt;= AK$5,$AA57 &lt; AK$4),0,
SUM(_xlfn._xlws.FILTER(Table_BangLuong_TyLeTangCa[Tỷ lệ],
(Table_BangLuong_TyLeTangCa[Ngày] = AK$3) *
(Table_BangLuong_TyLeTangCa[Giờ min]&lt;=$AA57) *
(Table_BangLuong_TyLeTangCa[Giờ max]&gt;$AA57)
))))
),
IF(ISBLANK(AK$7),
IF(VLOOKUP(AK$6, Table_ChiPhiNV_Ca[], COUNTA(Table_ChiPhiNV_Ca[[#Headers],[Ca]:[Kết thúc]]),0)&gt; VLOOKUP(AK$6, Table_ChiPhiNV_Ca[], COUNTA(Table_ChiPhiNV_Ca[[#Headers],[Ca]:[Bắt đầu]]),0),
IF($AA57-$Z$4&lt;MAX(AK$4,VLOOKUP(AK$6, Table_ChiPhiNV_Ca[], COUNTA(Table_ChiPhiNV_Ca[[#Headers],[Ca]:[Bắt đầu]]),0)),0,
IF($AA57&gt;MIN(AK$5,VLOOKUP(AK$6, Table_ChiPhiNV_Ca[], COUNTA(Table_ChiPhiNV_Ca[[#Headers],[Ca]:[Kết thúc]]),0)),0,
SUM(_xlfn._xlws.FILTER(Table_BangLuong_TyLeTangCa[Tỷ lệ],
(Table_BangLuong_TyLeTangCa[Ngày] = "Thường") *
(Table_BangLuong_TyLeTangCa[Giờ min]&lt;=$AA57) *
(Table_BangLuong_TyLeTangCa[Giờ max]&gt;$AA57)
)))),
IF(AK$4 &gt; AK$5,
IF(
AND(
$AA57-$Z$4&lt;MAX(AK$4,VLOOKUP(AK$6, Table_ChiPhiNV_Ca[], COUNTA(Table_ChiPhiNV_Ca[[#Headers],[Ca]:[Bắt đầu]]),0)),
$AA57&gt;MIN(AK$5,VLOOKUP(AK$6, Table_ChiPhiNV_Ca[], COUNTA(Table_ChiPhiNV_Ca[[#Headers],[Ca]:[Kết thúc]]),0))),0,
SUM(_xlfn._xlws.FILTER(Table_BangLuong_TyLeTangCa[Tỷ lệ],
(Table_BangLuong_TyLeTangCa[Ngày] = "Thường") *
(Table_BangLuong_TyLeTangCa[Giờ min]&lt;=$AA57) *
(Table_BangLuong_TyLeTangCa[Giờ max]&gt;$AA57)
))),
IF(
AND(
$AA57-$Z$4&gt;=MAX(AK$4,VLOOKUP(AK$6, Table_ChiPhiNV_Ca[], COUNTA(Table_ChiPhiNV_Ca[[#Headers],[Ca]:[Bắt đầu]]),0)),
$AA57&lt;MIN(AK$5,VLOOKUP(AK$6, Table_ChiPhiNV_Ca[], COUNTA(Table_ChiPhiNV_Ca[[#Headers],[Ca]:[Kết thúc]]),0))),
SUM(_xlfn._xlws.FILTER(Table_BangLuong_TyLeTangCa[Tỷ lệ],
(Table_BangLuong_TyLeTangCa[Ngày] = "Thường") *
(Table_BangLuong_TyLeTangCa[Giờ min]&lt;=$AA57) *
(Table_BangLuong_TyLeTangCa[Giờ max]&gt;$AA57)
)),0)
)),
IF(AK$4 &lt; AK$5,
IF($AA57-$Z$4&lt;AK$4,0,
IF($AA57&gt;AK$5,0,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AK$5,$AA57 &lt; AK$4),0,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L57" s="18" cm="1">
        <f t="array" ref="AL57" xml:space="preserve">
IFERROR(
IF(AL$1="",0,
IF(AND(
$AA57&gt;=VLOOKUP(AL$6, Table_ChiPhiNV_Ca[], COUNTA(Table_ChiPhiNV_Ca[[#Headers],[Ca]:[Bắt đầu nghỉ]]),0),
$AA57&lt;VLOOKUP(AL$6, Table_ChiPhiNV_Ca[], COUNTA(Table_ChiPhiNV_Ca[[#Headers],[Ca]:[Kết thúc nghỉ]]),0)
),0,
IF(NOT(ISBLANK(AL$3)),
IF(ISBLANK(AL$7),0,
IF(AL$4 &lt; AL$5,
IF($AA57-$Z$4&lt;AL$4,0,
IF($AA57&gt;AL$5,0,
SUM(_xlfn._xlws.FILTER(Table_BangLuong_TyLeTangCa[Tỷ lệ],
(Table_BangLuong_TyLeTangCa[Ngày] = AL$3) *
(Table_BangLuong_TyLeTangCa[Giờ min]&lt;=$AA57) *
(Table_BangLuong_TyLeTangCa[Giờ max]&gt;$AA57)
)))),
IF(AND($AA57-$Z$4 &gt;= AL$5,$AA57 &lt; AL$4),0,
SUM(_xlfn._xlws.FILTER(Table_BangLuong_TyLeTangCa[Tỷ lệ],
(Table_BangLuong_TyLeTangCa[Ngày] = AL$3) *
(Table_BangLuong_TyLeTangCa[Giờ min]&lt;=$AA57) *
(Table_BangLuong_TyLeTangCa[Giờ max]&gt;$AA57)
))))
),
IF(ISBLANK(AL$7),
IF(VLOOKUP(AL$6, Table_ChiPhiNV_Ca[], COUNTA(Table_ChiPhiNV_Ca[[#Headers],[Ca]:[Kết thúc]]),0)&gt; VLOOKUP(AL$6, Table_ChiPhiNV_Ca[], COUNTA(Table_ChiPhiNV_Ca[[#Headers],[Ca]:[Bắt đầu]]),0),
IF($AA57-$Z$4&lt;MAX(AL$4,VLOOKUP(AL$6, Table_ChiPhiNV_Ca[], COUNTA(Table_ChiPhiNV_Ca[[#Headers],[Ca]:[Bắt đầu]]),0)),0,
IF($AA57&gt;MIN(AL$5,VLOOKUP(AL$6, Table_ChiPhiNV_Ca[], COUNTA(Table_ChiPhiNV_Ca[[#Headers],[Ca]:[Kết thúc]]),0)),0,
SUM(_xlfn._xlws.FILTER(Table_BangLuong_TyLeTangCa[Tỷ lệ],
(Table_BangLuong_TyLeTangCa[Ngày] = "Thường") *
(Table_BangLuong_TyLeTangCa[Giờ min]&lt;=$AA57) *
(Table_BangLuong_TyLeTangCa[Giờ max]&gt;$AA57)
)))),
IF(AL$4 &gt; AL$5,
IF(
AND(
$AA57-$Z$4&lt;MAX(AL$4,VLOOKUP(AL$6, Table_ChiPhiNV_Ca[], COUNTA(Table_ChiPhiNV_Ca[[#Headers],[Ca]:[Bắt đầu]]),0)),
$AA57&gt;MIN(AL$5,VLOOKUP(AL$6, Table_ChiPhiNV_Ca[], COUNTA(Table_ChiPhiNV_Ca[[#Headers],[Ca]:[Kết thúc]]),0))),0,
SUM(_xlfn._xlws.FILTER(Table_BangLuong_TyLeTangCa[Tỷ lệ],
(Table_BangLuong_TyLeTangCa[Ngày] = "Thường") *
(Table_BangLuong_TyLeTangCa[Giờ min]&lt;=$AA57) *
(Table_BangLuong_TyLeTangCa[Giờ max]&gt;$AA57)
))),
IF(
AND(
$AA57-$Z$4&gt;=MAX(AL$4,VLOOKUP(AL$6, Table_ChiPhiNV_Ca[], COUNTA(Table_ChiPhiNV_Ca[[#Headers],[Ca]:[Bắt đầu]]),0)),
$AA57&lt;MIN(AL$5,VLOOKUP(AL$6, Table_ChiPhiNV_Ca[], COUNTA(Table_ChiPhiNV_Ca[[#Headers],[Ca]:[Kết thúc]]),0))),
SUM(_xlfn._xlws.FILTER(Table_BangLuong_TyLeTangCa[Tỷ lệ],
(Table_BangLuong_TyLeTangCa[Ngày] = "Thường") *
(Table_BangLuong_TyLeTangCa[Giờ min]&lt;=$AA57) *
(Table_BangLuong_TyLeTangCa[Giờ max]&gt;$AA57)
)),0)
)),
IF(AL$4 &lt; AL$5,
IF($AA57-$Z$4&lt;AL$4,0,
IF($AA57&gt;AL$5,0,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AL$5,$AA57 &lt; AL$4),0,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M57" s="18" cm="1">
        <f t="array" ref="AM57" xml:space="preserve">
IFERROR(
IF(AM$1="",0,
IF(AND(
$AA57&gt;=VLOOKUP(AM$6, Table_ChiPhiNV_Ca[], COUNTA(Table_ChiPhiNV_Ca[[#Headers],[Ca]:[Bắt đầu nghỉ]]),0),
$AA57&lt;VLOOKUP(AM$6, Table_ChiPhiNV_Ca[], COUNTA(Table_ChiPhiNV_Ca[[#Headers],[Ca]:[Kết thúc nghỉ]]),0)
),0,
IF(NOT(ISBLANK(AM$3)),
IF(ISBLANK(AM$7),0,
IF(AM$4 &lt; AM$5,
IF($AA57-$Z$4&lt;AM$4,0,
IF($AA57&gt;AM$5,0,
SUM(_xlfn._xlws.FILTER(Table_BangLuong_TyLeTangCa[Tỷ lệ],
(Table_BangLuong_TyLeTangCa[Ngày] = AM$3) *
(Table_BangLuong_TyLeTangCa[Giờ min]&lt;=$AA57) *
(Table_BangLuong_TyLeTangCa[Giờ max]&gt;$AA57)
)))),
IF(AND($AA57-$Z$4 &gt;= AM$5,$AA57 &lt; AM$4),0,
SUM(_xlfn._xlws.FILTER(Table_BangLuong_TyLeTangCa[Tỷ lệ],
(Table_BangLuong_TyLeTangCa[Ngày] = AM$3) *
(Table_BangLuong_TyLeTangCa[Giờ min]&lt;=$AA57) *
(Table_BangLuong_TyLeTangCa[Giờ max]&gt;$AA57)
))))
),
IF(ISBLANK(AM$7),
IF(VLOOKUP(AM$6, Table_ChiPhiNV_Ca[], COUNTA(Table_ChiPhiNV_Ca[[#Headers],[Ca]:[Kết thúc]]),0)&gt; VLOOKUP(AM$6, Table_ChiPhiNV_Ca[], COUNTA(Table_ChiPhiNV_Ca[[#Headers],[Ca]:[Bắt đầu]]),0),
IF($AA57-$Z$4&lt;MAX(AM$4,VLOOKUP(AM$6, Table_ChiPhiNV_Ca[], COUNTA(Table_ChiPhiNV_Ca[[#Headers],[Ca]:[Bắt đầu]]),0)),0,
IF($AA57&gt;MIN(AM$5,VLOOKUP(AM$6, Table_ChiPhiNV_Ca[], COUNTA(Table_ChiPhiNV_Ca[[#Headers],[Ca]:[Kết thúc]]),0)),0,
SUM(_xlfn._xlws.FILTER(Table_BangLuong_TyLeTangCa[Tỷ lệ],
(Table_BangLuong_TyLeTangCa[Ngày] = "Thường") *
(Table_BangLuong_TyLeTangCa[Giờ min]&lt;=$AA57) *
(Table_BangLuong_TyLeTangCa[Giờ max]&gt;$AA57)
)))),
IF(AM$4 &gt; AM$5,
IF(
AND(
$AA57-$Z$4&lt;MAX(AM$4,VLOOKUP(AM$6, Table_ChiPhiNV_Ca[], COUNTA(Table_ChiPhiNV_Ca[[#Headers],[Ca]:[Bắt đầu]]),0)),
$AA57&gt;MIN(AM$5,VLOOKUP(AM$6, Table_ChiPhiNV_Ca[], COUNTA(Table_ChiPhiNV_Ca[[#Headers],[Ca]:[Kết thúc]]),0))),0,
SUM(_xlfn._xlws.FILTER(Table_BangLuong_TyLeTangCa[Tỷ lệ],
(Table_BangLuong_TyLeTangCa[Ngày] = "Thường") *
(Table_BangLuong_TyLeTangCa[Giờ min]&lt;=$AA57) *
(Table_BangLuong_TyLeTangCa[Giờ max]&gt;$AA57)
))),
IF(
AND(
$AA57-$Z$4&gt;=MAX(AM$4,VLOOKUP(AM$6, Table_ChiPhiNV_Ca[], COUNTA(Table_ChiPhiNV_Ca[[#Headers],[Ca]:[Bắt đầu]]),0)),
$AA57&lt;MIN(AM$5,VLOOKUP(AM$6, Table_ChiPhiNV_Ca[], COUNTA(Table_ChiPhiNV_Ca[[#Headers],[Ca]:[Kết thúc]]),0))),
SUM(_xlfn._xlws.FILTER(Table_BangLuong_TyLeTangCa[Tỷ lệ],
(Table_BangLuong_TyLeTangCa[Ngày] = "Thường") *
(Table_BangLuong_TyLeTangCa[Giờ min]&lt;=$AA57) *
(Table_BangLuong_TyLeTangCa[Giờ max]&gt;$AA57)
)),0)
)),
IF(AM$4 &lt; AM$5,
IF($AA57-$Z$4&lt;AM$4,0,
IF($AA57&gt;AM$5,0,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AM$5,$AA57 &lt; AM$4),0,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N57" s="18" cm="1">
        <f t="array" ref="AN57" xml:space="preserve">
IFERROR(
IF(AN$1="",0,
IF(AND(
$AA57&gt;=VLOOKUP(AN$6, Table_ChiPhiNV_Ca[], COUNTA(Table_ChiPhiNV_Ca[[#Headers],[Ca]:[Bắt đầu nghỉ]]),0),
$AA57&lt;VLOOKUP(AN$6, Table_ChiPhiNV_Ca[], COUNTA(Table_ChiPhiNV_Ca[[#Headers],[Ca]:[Kết thúc nghỉ]]),0)
),0,
IF(NOT(ISBLANK(AN$3)),
IF(ISBLANK(AN$7),0,
IF(AN$4 &lt; AN$5,
IF($AA57-$Z$4&lt;AN$4,0,
IF($AA57&gt;AN$5,0,
SUM(_xlfn._xlws.FILTER(Table_BangLuong_TyLeTangCa[Tỷ lệ],
(Table_BangLuong_TyLeTangCa[Ngày] = AN$3) *
(Table_BangLuong_TyLeTangCa[Giờ min]&lt;=$AA57) *
(Table_BangLuong_TyLeTangCa[Giờ max]&gt;$AA57)
)))),
IF(AND($AA57-$Z$4 &gt;= AN$5,$AA57 &lt; AN$4),0,
SUM(_xlfn._xlws.FILTER(Table_BangLuong_TyLeTangCa[Tỷ lệ],
(Table_BangLuong_TyLeTangCa[Ngày] = AN$3) *
(Table_BangLuong_TyLeTangCa[Giờ min]&lt;=$AA57) *
(Table_BangLuong_TyLeTangCa[Giờ max]&gt;$AA57)
))))
),
IF(ISBLANK(AN$7),
IF(VLOOKUP(AN$6, Table_ChiPhiNV_Ca[], COUNTA(Table_ChiPhiNV_Ca[[#Headers],[Ca]:[Kết thúc]]),0)&gt; VLOOKUP(AN$6, Table_ChiPhiNV_Ca[], COUNTA(Table_ChiPhiNV_Ca[[#Headers],[Ca]:[Bắt đầu]]),0),
IF($AA57-$Z$4&lt;MAX(AN$4,VLOOKUP(AN$6, Table_ChiPhiNV_Ca[], COUNTA(Table_ChiPhiNV_Ca[[#Headers],[Ca]:[Bắt đầu]]),0)),0,
IF($AA57&gt;MIN(AN$5,VLOOKUP(AN$6, Table_ChiPhiNV_Ca[], COUNTA(Table_ChiPhiNV_Ca[[#Headers],[Ca]:[Kết thúc]]),0)),0,
SUM(_xlfn._xlws.FILTER(Table_BangLuong_TyLeTangCa[Tỷ lệ],
(Table_BangLuong_TyLeTangCa[Ngày] = "Thường") *
(Table_BangLuong_TyLeTangCa[Giờ min]&lt;=$AA57) *
(Table_BangLuong_TyLeTangCa[Giờ max]&gt;$AA57)
)))),
IF(AN$4 &gt; AN$5,
IF(
AND(
$AA57-$Z$4&lt;MAX(AN$4,VLOOKUP(AN$6, Table_ChiPhiNV_Ca[], COUNTA(Table_ChiPhiNV_Ca[[#Headers],[Ca]:[Bắt đầu]]),0)),
$AA57&gt;MIN(AN$5,VLOOKUP(AN$6, Table_ChiPhiNV_Ca[], COUNTA(Table_ChiPhiNV_Ca[[#Headers],[Ca]:[Kết thúc]]),0))),0,
SUM(_xlfn._xlws.FILTER(Table_BangLuong_TyLeTangCa[Tỷ lệ],
(Table_BangLuong_TyLeTangCa[Ngày] = "Thường") *
(Table_BangLuong_TyLeTangCa[Giờ min]&lt;=$AA57) *
(Table_BangLuong_TyLeTangCa[Giờ max]&gt;$AA57)
))),
IF(
AND(
$AA57-$Z$4&gt;=MAX(AN$4,VLOOKUP(AN$6, Table_ChiPhiNV_Ca[], COUNTA(Table_ChiPhiNV_Ca[[#Headers],[Ca]:[Bắt đầu]]),0)),
$AA57&lt;MIN(AN$5,VLOOKUP(AN$6, Table_ChiPhiNV_Ca[], COUNTA(Table_ChiPhiNV_Ca[[#Headers],[Ca]:[Kết thúc]]),0))),
SUM(_xlfn._xlws.FILTER(Table_BangLuong_TyLeTangCa[Tỷ lệ],
(Table_BangLuong_TyLeTangCa[Ngày] = "Thường") *
(Table_BangLuong_TyLeTangCa[Giờ min]&lt;=$AA57) *
(Table_BangLuong_TyLeTangCa[Giờ max]&gt;$AA57)
)),0)
)),
IF(AN$4 &lt; AN$5,
IF($AA57-$Z$4&lt;AN$4,0,
IF($AA57&gt;AN$5,0,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AN$5,$AA57 &lt; AN$4),0,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O57" s="18" cm="1">
        <f t="array" ref="AO57" xml:space="preserve">
IFERROR(
IF(AO$1="",0,
IF(AND(
$AA57&gt;=VLOOKUP(AO$6, Table_ChiPhiNV_Ca[], COUNTA(Table_ChiPhiNV_Ca[[#Headers],[Ca]:[Bắt đầu nghỉ]]),0),
$AA57&lt;VLOOKUP(AO$6, Table_ChiPhiNV_Ca[], COUNTA(Table_ChiPhiNV_Ca[[#Headers],[Ca]:[Kết thúc nghỉ]]),0)
),0,
IF(NOT(ISBLANK(AO$3)),
IF(ISBLANK(AO$7),0,
IF(AO$4 &lt; AO$5,
IF($AA57-$Z$4&lt;AO$4,0,
IF($AA57&gt;AO$5,0,
SUM(_xlfn._xlws.FILTER(Table_BangLuong_TyLeTangCa[Tỷ lệ],
(Table_BangLuong_TyLeTangCa[Ngày] = AO$3) *
(Table_BangLuong_TyLeTangCa[Giờ min]&lt;=$AA57) *
(Table_BangLuong_TyLeTangCa[Giờ max]&gt;$AA57)
)))),
IF(AND($AA57-$Z$4 &gt;= AO$5,$AA57 &lt; AO$4),0,
SUM(_xlfn._xlws.FILTER(Table_BangLuong_TyLeTangCa[Tỷ lệ],
(Table_BangLuong_TyLeTangCa[Ngày] = AO$3) *
(Table_BangLuong_TyLeTangCa[Giờ min]&lt;=$AA57) *
(Table_BangLuong_TyLeTangCa[Giờ max]&gt;$AA57)
))))
),
IF(ISBLANK(AO$7),
IF(VLOOKUP(AO$6, Table_ChiPhiNV_Ca[], COUNTA(Table_ChiPhiNV_Ca[[#Headers],[Ca]:[Kết thúc]]),0)&gt; VLOOKUP(AO$6, Table_ChiPhiNV_Ca[], COUNTA(Table_ChiPhiNV_Ca[[#Headers],[Ca]:[Bắt đầu]]),0),
IF($AA57-$Z$4&lt;MAX(AO$4,VLOOKUP(AO$6, Table_ChiPhiNV_Ca[], COUNTA(Table_ChiPhiNV_Ca[[#Headers],[Ca]:[Bắt đầu]]),0)),0,
IF($AA57&gt;MIN(AO$5,VLOOKUP(AO$6, Table_ChiPhiNV_Ca[], COUNTA(Table_ChiPhiNV_Ca[[#Headers],[Ca]:[Kết thúc]]),0)),0,
SUM(_xlfn._xlws.FILTER(Table_BangLuong_TyLeTangCa[Tỷ lệ],
(Table_BangLuong_TyLeTangCa[Ngày] = "Thường") *
(Table_BangLuong_TyLeTangCa[Giờ min]&lt;=$AA57) *
(Table_BangLuong_TyLeTangCa[Giờ max]&gt;$AA57)
)))),
IF(AO$4 &gt; AO$5,
IF(
AND(
$AA57-$Z$4&lt;MAX(AO$4,VLOOKUP(AO$6, Table_ChiPhiNV_Ca[], COUNTA(Table_ChiPhiNV_Ca[[#Headers],[Ca]:[Bắt đầu]]),0)),
$AA57&gt;MIN(AO$5,VLOOKUP(AO$6, Table_ChiPhiNV_Ca[], COUNTA(Table_ChiPhiNV_Ca[[#Headers],[Ca]:[Kết thúc]]),0))),0,
SUM(_xlfn._xlws.FILTER(Table_BangLuong_TyLeTangCa[Tỷ lệ],
(Table_BangLuong_TyLeTangCa[Ngày] = "Thường") *
(Table_BangLuong_TyLeTangCa[Giờ min]&lt;=$AA57) *
(Table_BangLuong_TyLeTangCa[Giờ max]&gt;$AA57)
))),
IF(
AND(
$AA57-$Z$4&gt;=MAX(AO$4,VLOOKUP(AO$6, Table_ChiPhiNV_Ca[], COUNTA(Table_ChiPhiNV_Ca[[#Headers],[Ca]:[Bắt đầu]]),0)),
$AA57&lt;MIN(AO$5,VLOOKUP(AO$6, Table_ChiPhiNV_Ca[], COUNTA(Table_ChiPhiNV_Ca[[#Headers],[Ca]:[Kết thúc]]),0))),
SUM(_xlfn._xlws.FILTER(Table_BangLuong_TyLeTangCa[Tỷ lệ],
(Table_BangLuong_TyLeTangCa[Ngày] = "Thường") *
(Table_BangLuong_TyLeTangCa[Giờ min]&lt;=$AA57) *
(Table_BangLuong_TyLeTangCa[Giờ max]&gt;$AA57)
)),0)
)),
IF(AO$4 &lt; AO$5,
IF($AA57-$Z$4&lt;AO$4,0,
IF($AA57&gt;AO$5,0,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AO$5,$AA57 &lt; AO$4),0,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P57" s="18" cm="1">
        <f t="array" ref="AP57" xml:space="preserve">
IFERROR(
IF(AP$1="",0,
IF(AND(
$AA57&gt;=VLOOKUP(AP$6, Table_ChiPhiNV_Ca[], COUNTA(Table_ChiPhiNV_Ca[[#Headers],[Ca]:[Bắt đầu nghỉ]]),0),
$AA57&lt;VLOOKUP(AP$6, Table_ChiPhiNV_Ca[], COUNTA(Table_ChiPhiNV_Ca[[#Headers],[Ca]:[Kết thúc nghỉ]]),0)
),0,
IF(NOT(ISBLANK(AP$3)),
IF(ISBLANK(AP$7),0,
IF(AP$4 &lt; AP$5,
IF($AA57-$Z$4&lt;AP$4,0,
IF($AA57&gt;AP$5,0,
SUM(_xlfn._xlws.FILTER(Table_BangLuong_TyLeTangCa[Tỷ lệ],
(Table_BangLuong_TyLeTangCa[Ngày] = AP$3) *
(Table_BangLuong_TyLeTangCa[Giờ min]&lt;=$AA57) *
(Table_BangLuong_TyLeTangCa[Giờ max]&gt;$AA57)
)))),
IF(AND($AA57-$Z$4 &gt;= AP$5,$AA57 &lt; AP$4),0,
SUM(_xlfn._xlws.FILTER(Table_BangLuong_TyLeTangCa[Tỷ lệ],
(Table_BangLuong_TyLeTangCa[Ngày] = AP$3) *
(Table_BangLuong_TyLeTangCa[Giờ min]&lt;=$AA57) *
(Table_BangLuong_TyLeTangCa[Giờ max]&gt;$AA57)
))))
),
IF(ISBLANK(AP$7),
IF(VLOOKUP(AP$6, Table_ChiPhiNV_Ca[], COUNTA(Table_ChiPhiNV_Ca[[#Headers],[Ca]:[Kết thúc]]),0)&gt; VLOOKUP(AP$6, Table_ChiPhiNV_Ca[], COUNTA(Table_ChiPhiNV_Ca[[#Headers],[Ca]:[Bắt đầu]]),0),
IF($AA57-$Z$4&lt;MAX(AP$4,VLOOKUP(AP$6, Table_ChiPhiNV_Ca[], COUNTA(Table_ChiPhiNV_Ca[[#Headers],[Ca]:[Bắt đầu]]),0)),0,
IF($AA57&gt;MIN(AP$5,VLOOKUP(AP$6, Table_ChiPhiNV_Ca[], COUNTA(Table_ChiPhiNV_Ca[[#Headers],[Ca]:[Kết thúc]]),0)),0,
SUM(_xlfn._xlws.FILTER(Table_BangLuong_TyLeTangCa[Tỷ lệ],
(Table_BangLuong_TyLeTangCa[Ngày] = "Thường") *
(Table_BangLuong_TyLeTangCa[Giờ min]&lt;=$AA57) *
(Table_BangLuong_TyLeTangCa[Giờ max]&gt;$AA57)
)))),
IF(AP$4 &gt; AP$5,
IF(
AND(
$AA57-$Z$4&lt;MAX(AP$4,VLOOKUP(AP$6, Table_ChiPhiNV_Ca[], COUNTA(Table_ChiPhiNV_Ca[[#Headers],[Ca]:[Bắt đầu]]),0)),
$AA57&gt;MIN(AP$5,VLOOKUP(AP$6, Table_ChiPhiNV_Ca[], COUNTA(Table_ChiPhiNV_Ca[[#Headers],[Ca]:[Kết thúc]]),0))),0,
SUM(_xlfn._xlws.FILTER(Table_BangLuong_TyLeTangCa[Tỷ lệ],
(Table_BangLuong_TyLeTangCa[Ngày] = "Thường") *
(Table_BangLuong_TyLeTangCa[Giờ min]&lt;=$AA57) *
(Table_BangLuong_TyLeTangCa[Giờ max]&gt;$AA57)
))),
IF(
AND(
$AA57-$Z$4&gt;=MAX(AP$4,VLOOKUP(AP$6, Table_ChiPhiNV_Ca[], COUNTA(Table_ChiPhiNV_Ca[[#Headers],[Ca]:[Bắt đầu]]),0)),
$AA57&lt;MIN(AP$5,VLOOKUP(AP$6, Table_ChiPhiNV_Ca[], COUNTA(Table_ChiPhiNV_Ca[[#Headers],[Ca]:[Kết thúc]]),0))),
SUM(_xlfn._xlws.FILTER(Table_BangLuong_TyLeTangCa[Tỷ lệ],
(Table_BangLuong_TyLeTangCa[Ngày] = "Thường") *
(Table_BangLuong_TyLeTangCa[Giờ min]&lt;=$AA57) *
(Table_BangLuong_TyLeTangCa[Giờ max]&gt;$AA57)
)),0)
)),
IF(AP$4 &lt; AP$5,
IF($AA57-$Z$4&lt;AP$4,0,
IF($AA57&gt;AP$5,0,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AP$5,$AA57 &lt; AP$4),0,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Q57" s="18" cm="1">
        <f t="array" ref="AQ57" xml:space="preserve">
IFERROR(
IF(AQ$1="",0,
IF(AND(
$AA57&gt;=VLOOKUP(AQ$6, Table_ChiPhiNV_Ca[], COUNTA(Table_ChiPhiNV_Ca[[#Headers],[Ca]:[Bắt đầu nghỉ]]),0),
$AA57&lt;VLOOKUP(AQ$6, Table_ChiPhiNV_Ca[], COUNTA(Table_ChiPhiNV_Ca[[#Headers],[Ca]:[Kết thúc nghỉ]]),0)
),0,
IF(NOT(ISBLANK(AQ$3)),
IF(ISBLANK(AQ$7),0,
IF(AQ$4 &lt; AQ$5,
IF($AA57-$Z$4&lt;AQ$4,0,
IF($AA57&gt;AQ$5,0,
SUM(_xlfn._xlws.FILTER(Table_BangLuong_TyLeTangCa[Tỷ lệ],
(Table_BangLuong_TyLeTangCa[Ngày] = AQ$3) *
(Table_BangLuong_TyLeTangCa[Giờ min]&lt;=$AA57) *
(Table_BangLuong_TyLeTangCa[Giờ max]&gt;$AA57)
)))),
IF(AND($AA57-$Z$4 &gt;= AQ$5,$AA57 &lt; AQ$4),0,
SUM(_xlfn._xlws.FILTER(Table_BangLuong_TyLeTangCa[Tỷ lệ],
(Table_BangLuong_TyLeTangCa[Ngày] = AQ$3) *
(Table_BangLuong_TyLeTangCa[Giờ min]&lt;=$AA57) *
(Table_BangLuong_TyLeTangCa[Giờ max]&gt;$AA57)
))))
),
IF(ISBLANK(AQ$7),
IF(VLOOKUP(AQ$6, Table_ChiPhiNV_Ca[], COUNTA(Table_ChiPhiNV_Ca[[#Headers],[Ca]:[Kết thúc]]),0)&gt; VLOOKUP(AQ$6, Table_ChiPhiNV_Ca[], COUNTA(Table_ChiPhiNV_Ca[[#Headers],[Ca]:[Bắt đầu]]),0),
IF($AA57-$Z$4&lt;MAX(AQ$4,VLOOKUP(AQ$6, Table_ChiPhiNV_Ca[], COUNTA(Table_ChiPhiNV_Ca[[#Headers],[Ca]:[Bắt đầu]]),0)),0,
IF($AA57&gt;MIN(AQ$5,VLOOKUP(AQ$6, Table_ChiPhiNV_Ca[], COUNTA(Table_ChiPhiNV_Ca[[#Headers],[Ca]:[Kết thúc]]),0)),0,
SUM(_xlfn._xlws.FILTER(Table_BangLuong_TyLeTangCa[Tỷ lệ],
(Table_BangLuong_TyLeTangCa[Ngày] = "Thường") *
(Table_BangLuong_TyLeTangCa[Giờ min]&lt;=$AA57) *
(Table_BangLuong_TyLeTangCa[Giờ max]&gt;$AA57)
)))),
IF(AQ$4 &gt; AQ$5,
IF(
AND(
$AA57-$Z$4&lt;MAX(AQ$4,VLOOKUP(AQ$6, Table_ChiPhiNV_Ca[], COUNTA(Table_ChiPhiNV_Ca[[#Headers],[Ca]:[Bắt đầu]]),0)),
$AA57&gt;MIN(AQ$5,VLOOKUP(AQ$6, Table_ChiPhiNV_Ca[], COUNTA(Table_ChiPhiNV_Ca[[#Headers],[Ca]:[Kết thúc]]),0))),0,
SUM(_xlfn._xlws.FILTER(Table_BangLuong_TyLeTangCa[Tỷ lệ],
(Table_BangLuong_TyLeTangCa[Ngày] = "Thường") *
(Table_BangLuong_TyLeTangCa[Giờ min]&lt;=$AA57) *
(Table_BangLuong_TyLeTangCa[Giờ max]&gt;$AA57)
))),
IF(
AND(
$AA57-$Z$4&gt;=MAX(AQ$4,VLOOKUP(AQ$6, Table_ChiPhiNV_Ca[], COUNTA(Table_ChiPhiNV_Ca[[#Headers],[Ca]:[Bắt đầu]]),0)),
$AA57&lt;MIN(AQ$5,VLOOKUP(AQ$6, Table_ChiPhiNV_Ca[], COUNTA(Table_ChiPhiNV_Ca[[#Headers],[Ca]:[Kết thúc]]),0))),
SUM(_xlfn._xlws.FILTER(Table_BangLuong_TyLeTangCa[Tỷ lệ],
(Table_BangLuong_TyLeTangCa[Ngày] = "Thường") *
(Table_BangLuong_TyLeTangCa[Giờ min]&lt;=$AA57) *
(Table_BangLuong_TyLeTangCa[Giờ max]&gt;$AA57)
)),0)
)),
IF(AQ$4 &lt; AQ$5,
IF($AA57-$Z$4&lt;AQ$4,0,
IF($AA57&gt;AQ$5,0,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AQ$5,$AA57 &lt; AQ$4),0,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R57" s="18" cm="1">
        <f t="array" ref="AR57" xml:space="preserve">
IFERROR(
IF(AR$1="",0,
IF(AND(
$AA57&gt;=VLOOKUP(AR$6, Table_ChiPhiNV_Ca[], COUNTA(Table_ChiPhiNV_Ca[[#Headers],[Ca]:[Bắt đầu nghỉ]]),0),
$AA57&lt;VLOOKUP(AR$6, Table_ChiPhiNV_Ca[], COUNTA(Table_ChiPhiNV_Ca[[#Headers],[Ca]:[Kết thúc nghỉ]]),0)
),0,
IF(NOT(ISBLANK(AR$3)),
IF(ISBLANK(AR$7),0,
IF(AR$4 &lt; AR$5,
IF($AA57-$Z$4&lt;AR$4,0,
IF($AA57&gt;AR$5,0,
SUM(_xlfn._xlws.FILTER(Table_BangLuong_TyLeTangCa[Tỷ lệ],
(Table_BangLuong_TyLeTangCa[Ngày] = AR$3) *
(Table_BangLuong_TyLeTangCa[Giờ min]&lt;=$AA57) *
(Table_BangLuong_TyLeTangCa[Giờ max]&gt;$AA57)
)))),
IF(AND($AA57-$Z$4 &gt;= AR$5,$AA57 &lt; AR$4),0,
SUM(_xlfn._xlws.FILTER(Table_BangLuong_TyLeTangCa[Tỷ lệ],
(Table_BangLuong_TyLeTangCa[Ngày] = AR$3) *
(Table_BangLuong_TyLeTangCa[Giờ min]&lt;=$AA57) *
(Table_BangLuong_TyLeTangCa[Giờ max]&gt;$AA57)
))))
),
IF(ISBLANK(AR$7),
IF(VLOOKUP(AR$6, Table_ChiPhiNV_Ca[], COUNTA(Table_ChiPhiNV_Ca[[#Headers],[Ca]:[Kết thúc]]),0)&gt; VLOOKUP(AR$6, Table_ChiPhiNV_Ca[], COUNTA(Table_ChiPhiNV_Ca[[#Headers],[Ca]:[Bắt đầu]]),0),
IF($AA57-$Z$4&lt;MAX(AR$4,VLOOKUP(AR$6, Table_ChiPhiNV_Ca[], COUNTA(Table_ChiPhiNV_Ca[[#Headers],[Ca]:[Bắt đầu]]),0)),0,
IF($AA57&gt;MIN(AR$5,VLOOKUP(AR$6, Table_ChiPhiNV_Ca[], COUNTA(Table_ChiPhiNV_Ca[[#Headers],[Ca]:[Kết thúc]]),0)),0,
SUM(_xlfn._xlws.FILTER(Table_BangLuong_TyLeTangCa[Tỷ lệ],
(Table_BangLuong_TyLeTangCa[Ngày] = "Thường") *
(Table_BangLuong_TyLeTangCa[Giờ min]&lt;=$AA57) *
(Table_BangLuong_TyLeTangCa[Giờ max]&gt;$AA57)
)))),
IF(AR$4 &gt; AR$5,
IF(
AND(
$AA57-$Z$4&lt;MAX(AR$4,VLOOKUP(AR$6, Table_ChiPhiNV_Ca[], COUNTA(Table_ChiPhiNV_Ca[[#Headers],[Ca]:[Bắt đầu]]),0)),
$AA57&gt;MIN(AR$5,VLOOKUP(AR$6, Table_ChiPhiNV_Ca[], COUNTA(Table_ChiPhiNV_Ca[[#Headers],[Ca]:[Kết thúc]]),0))),0,
SUM(_xlfn._xlws.FILTER(Table_BangLuong_TyLeTangCa[Tỷ lệ],
(Table_BangLuong_TyLeTangCa[Ngày] = "Thường") *
(Table_BangLuong_TyLeTangCa[Giờ min]&lt;=$AA57) *
(Table_BangLuong_TyLeTangCa[Giờ max]&gt;$AA57)
))),
IF(
AND(
$AA57-$Z$4&gt;=MAX(AR$4,VLOOKUP(AR$6, Table_ChiPhiNV_Ca[], COUNTA(Table_ChiPhiNV_Ca[[#Headers],[Ca]:[Bắt đầu]]),0)),
$AA57&lt;MIN(AR$5,VLOOKUP(AR$6, Table_ChiPhiNV_Ca[], COUNTA(Table_ChiPhiNV_Ca[[#Headers],[Ca]:[Kết thúc]]),0))),
SUM(_xlfn._xlws.FILTER(Table_BangLuong_TyLeTangCa[Tỷ lệ],
(Table_BangLuong_TyLeTangCa[Ngày] = "Thường") *
(Table_BangLuong_TyLeTangCa[Giờ min]&lt;=$AA57) *
(Table_BangLuong_TyLeTangCa[Giờ max]&gt;$AA57)
)),0)
)),
IF(AR$4 &lt; AR$5,
IF($AA57-$Z$4&lt;AR$4,0,
IF($AA57&gt;AR$5,0,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AR$5,$AA57 &lt; AR$4),0,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S57" s="18" cm="1">
        <f t="array" ref="AS57" xml:space="preserve">
IFERROR(
IF(AS$1="",0,
IF(AND(
$AA57&gt;=VLOOKUP(AS$6, Table_ChiPhiNV_Ca[], COUNTA(Table_ChiPhiNV_Ca[[#Headers],[Ca]:[Bắt đầu nghỉ]]),0),
$AA57&lt;VLOOKUP(AS$6, Table_ChiPhiNV_Ca[], COUNTA(Table_ChiPhiNV_Ca[[#Headers],[Ca]:[Kết thúc nghỉ]]),0)
),0,
IF(NOT(ISBLANK(AS$3)),
IF(ISBLANK(AS$7),0,
IF(AS$4 &lt; AS$5,
IF($AA57-$Z$4&lt;AS$4,0,
IF($AA57&gt;AS$5,0,
SUM(_xlfn._xlws.FILTER(Table_BangLuong_TyLeTangCa[Tỷ lệ],
(Table_BangLuong_TyLeTangCa[Ngày] = AS$3) *
(Table_BangLuong_TyLeTangCa[Giờ min]&lt;=$AA57) *
(Table_BangLuong_TyLeTangCa[Giờ max]&gt;$AA57)
)))),
IF(AND($AA57-$Z$4 &gt;= AS$5,$AA57 &lt; AS$4),0,
SUM(_xlfn._xlws.FILTER(Table_BangLuong_TyLeTangCa[Tỷ lệ],
(Table_BangLuong_TyLeTangCa[Ngày] = AS$3) *
(Table_BangLuong_TyLeTangCa[Giờ min]&lt;=$AA57) *
(Table_BangLuong_TyLeTangCa[Giờ max]&gt;$AA57)
))))
),
IF(ISBLANK(AS$7),
IF(VLOOKUP(AS$6, Table_ChiPhiNV_Ca[], COUNTA(Table_ChiPhiNV_Ca[[#Headers],[Ca]:[Kết thúc]]),0)&gt; VLOOKUP(AS$6, Table_ChiPhiNV_Ca[], COUNTA(Table_ChiPhiNV_Ca[[#Headers],[Ca]:[Bắt đầu]]),0),
IF($AA57-$Z$4&lt;MAX(AS$4,VLOOKUP(AS$6, Table_ChiPhiNV_Ca[], COUNTA(Table_ChiPhiNV_Ca[[#Headers],[Ca]:[Bắt đầu]]),0)),0,
IF($AA57&gt;MIN(AS$5,VLOOKUP(AS$6, Table_ChiPhiNV_Ca[], COUNTA(Table_ChiPhiNV_Ca[[#Headers],[Ca]:[Kết thúc]]),0)),0,
SUM(_xlfn._xlws.FILTER(Table_BangLuong_TyLeTangCa[Tỷ lệ],
(Table_BangLuong_TyLeTangCa[Ngày] = "Thường") *
(Table_BangLuong_TyLeTangCa[Giờ min]&lt;=$AA57) *
(Table_BangLuong_TyLeTangCa[Giờ max]&gt;$AA57)
)))),
IF(AS$4 &gt; AS$5,
IF(
AND(
$AA57-$Z$4&lt;MAX(AS$4,VLOOKUP(AS$6, Table_ChiPhiNV_Ca[], COUNTA(Table_ChiPhiNV_Ca[[#Headers],[Ca]:[Bắt đầu]]),0)),
$AA57&gt;MIN(AS$5,VLOOKUP(AS$6, Table_ChiPhiNV_Ca[], COUNTA(Table_ChiPhiNV_Ca[[#Headers],[Ca]:[Kết thúc]]),0))),0,
SUM(_xlfn._xlws.FILTER(Table_BangLuong_TyLeTangCa[Tỷ lệ],
(Table_BangLuong_TyLeTangCa[Ngày] = "Thường") *
(Table_BangLuong_TyLeTangCa[Giờ min]&lt;=$AA57) *
(Table_BangLuong_TyLeTangCa[Giờ max]&gt;$AA57)
))),
IF(
AND(
$AA57-$Z$4&gt;=MAX(AS$4,VLOOKUP(AS$6, Table_ChiPhiNV_Ca[], COUNTA(Table_ChiPhiNV_Ca[[#Headers],[Ca]:[Bắt đầu]]),0)),
$AA57&lt;MIN(AS$5,VLOOKUP(AS$6, Table_ChiPhiNV_Ca[], COUNTA(Table_ChiPhiNV_Ca[[#Headers],[Ca]:[Kết thúc]]),0))),
SUM(_xlfn._xlws.FILTER(Table_BangLuong_TyLeTangCa[Tỷ lệ],
(Table_BangLuong_TyLeTangCa[Ngày] = "Thường") *
(Table_BangLuong_TyLeTangCa[Giờ min]&lt;=$AA57) *
(Table_BangLuong_TyLeTangCa[Giờ max]&gt;$AA57)
)),0)
)),
IF(AS$4 &lt; AS$5,
IF($AA57-$Z$4&lt;AS$4,0,
IF($AA57&gt;AS$5,0,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AS$5,$AA57 &lt; AS$4),0,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T57" s="18" cm="1">
        <f t="array" ref="AT57" xml:space="preserve">
IFERROR(
IF(AT$1="",0,
IF(AND(
$AA57&gt;=VLOOKUP(AT$6, Table_ChiPhiNV_Ca[], COUNTA(Table_ChiPhiNV_Ca[[#Headers],[Ca]:[Bắt đầu nghỉ]]),0),
$AA57&lt;VLOOKUP(AT$6, Table_ChiPhiNV_Ca[], COUNTA(Table_ChiPhiNV_Ca[[#Headers],[Ca]:[Kết thúc nghỉ]]),0)
),0,
IF(NOT(ISBLANK(AT$3)),
IF(ISBLANK(AT$7),0,
IF(AT$4 &lt; AT$5,
IF($AA57-$Z$4&lt;AT$4,0,
IF($AA57&gt;AT$5,0,
SUM(_xlfn._xlws.FILTER(Table_BangLuong_TyLeTangCa[Tỷ lệ],
(Table_BangLuong_TyLeTangCa[Ngày] = AT$3) *
(Table_BangLuong_TyLeTangCa[Giờ min]&lt;=$AA57) *
(Table_BangLuong_TyLeTangCa[Giờ max]&gt;$AA57)
)))),
IF(AND($AA57-$Z$4 &gt;= AT$5,$AA57 &lt; AT$4),0,
SUM(_xlfn._xlws.FILTER(Table_BangLuong_TyLeTangCa[Tỷ lệ],
(Table_BangLuong_TyLeTangCa[Ngày] = AT$3) *
(Table_BangLuong_TyLeTangCa[Giờ min]&lt;=$AA57) *
(Table_BangLuong_TyLeTangCa[Giờ max]&gt;$AA57)
))))
),
IF(ISBLANK(AT$7),
IF(VLOOKUP(AT$6, Table_ChiPhiNV_Ca[], COUNTA(Table_ChiPhiNV_Ca[[#Headers],[Ca]:[Kết thúc]]),0)&gt; VLOOKUP(AT$6, Table_ChiPhiNV_Ca[], COUNTA(Table_ChiPhiNV_Ca[[#Headers],[Ca]:[Bắt đầu]]),0),
IF($AA57-$Z$4&lt;MAX(AT$4,VLOOKUP(AT$6, Table_ChiPhiNV_Ca[], COUNTA(Table_ChiPhiNV_Ca[[#Headers],[Ca]:[Bắt đầu]]),0)),0,
IF($AA57&gt;MIN(AT$5,VLOOKUP(AT$6, Table_ChiPhiNV_Ca[], COUNTA(Table_ChiPhiNV_Ca[[#Headers],[Ca]:[Kết thúc]]),0)),0,
SUM(_xlfn._xlws.FILTER(Table_BangLuong_TyLeTangCa[Tỷ lệ],
(Table_BangLuong_TyLeTangCa[Ngày] = "Thường") *
(Table_BangLuong_TyLeTangCa[Giờ min]&lt;=$AA57) *
(Table_BangLuong_TyLeTangCa[Giờ max]&gt;$AA57)
)))),
IF(AT$4 &gt; AT$5,
IF(
AND(
$AA57-$Z$4&lt;MAX(AT$4,VLOOKUP(AT$6, Table_ChiPhiNV_Ca[], COUNTA(Table_ChiPhiNV_Ca[[#Headers],[Ca]:[Bắt đầu]]),0)),
$AA57&gt;MIN(AT$5,VLOOKUP(AT$6, Table_ChiPhiNV_Ca[], COUNTA(Table_ChiPhiNV_Ca[[#Headers],[Ca]:[Kết thúc]]),0))),0,
SUM(_xlfn._xlws.FILTER(Table_BangLuong_TyLeTangCa[Tỷ lệ],
(Table_BangLuong_TyLeTangCa[Ngày] = "Thường") *
(Table_BangLuong_TyLeTangCa[Giờ min]&lt;=$AA57) *
(Table_BangLuong_TyLeTangCa[Giờ max]&gt;$AA57)
))),
IF(
AND(
$AA57-$Z$4&gt;=MAX(AT$4,VLOOKUP(AT$6, Table_ChiPhiNV_Ca[], COUNTA(Table_ChiPhiNV_Ca[[#Headers],[Ca]:[Bắt đầu]]),0)),
$AA57&lt;MIN(AT$5,VLOOKUP(AT$6, Table_ChiPhiNV_Ca[], COUNTA(Table_ChiPhiNV_Ca[[#Headers],[Ca]:[Kết thúc]]),0))),
SUM(_xlfn._xlws.FILTER(Table_BangLuong_TyLeTangCa[Tỷ lệ],
(Table_BangLuong_TyLeTangCa[Ngày] = "Thường") *
(Table_BangLuong_TyLeTangCa[Giờ min]&lt;=$AA57) *
(Table_BangLuong_TyLeTangCa[Giờ max]&gt;$AA57)
)),0)
)),
IF(AT$4 &lt; AT$5,
IF($AA57-$Z$4&lt;AT$4,0,
IF($AA57&gt;AT$5,0,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AT$5,$AA57 &lt; AT$4),0,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U57" s="18" cm="1">
        <f t="array" ref="AU57" xml:space="preserve">
IFERROR(
IF(AU$1="",0,
IF(AND(
$AA57&gt;=VLOOKUP(AU$6, Table_ChiPhiNV_Ca[], COUNTA(Table_ChiPhiNV_Ca[[#Headers],[Ca]:[Bắt đầu nghỉ]]),0),
$AA57&lt;VLOOKUP(AU$6, Table_ChiPhiNV_Ca[], COUNTA(Table_ChiPhiNV_Ca[[#Headers],[Ca]:[Kết thúc nghỉ]]),0)
),0,
IF(NOT(ISBLANK(AU$3)),
IF(ISBLANK(AU$7),0,
IF(AU$4 &lt; AU$5,
IF($AA57-$Z$4&lt;AU$4,0,
IF($AA57&gt;AU$5,0,
SUM(_xlfn._xlws.FILTER(Table_BangLuong_TyLeTangCa[Tỷ lệ],
(Table_BangLuong_TyLeTangCa[Ngày] = AU$3) *
(Table_BangLuong_TyLeTangCa[Giờ min]&lt;=$AA57) *
(Table_BangLuong_TyLeTangCa[Giờ max]&gt;$AA57)
)))),
IF(AND($AA57-$Z$4 &gt;= AU$5,$AA57 &lt; AU$4),0,
SUM(_xlfn._xlws.FILTER(Table_BangLuong_TyLeTangCa[Tỷ lệ],
(Table_BangLuong_TyLeTangCa[Ngày] = AU$3) *
(Table_BangLuong_TyLeTangCa[Giờ min]&lt;=$AA57) *
(Table_BangLuong_TyLeTangCa[Giờ max]&gt;$AA57)
))))
),
IF(ISBLANK(AU$7),
IF(VLOOKUP(AU$6, Table_ChiPhiNV_Ca[], COUNTA(Table_ChiPhiNV_Ca[[#Headers],[Ca]:[Kết thúc]]),0)&gt; VLOOKUP(AU$6, Table_ChiPhiNV_Ca[], COUNTA(Table_ChiPhiNV_Ca[[#Headers],[Ca]:[Bắt đầu]]),0),
IF($AA57-$Z$4&lt;MAX(AU$4,VLOOKUP(AU$6, Table_ChiPhiNV_Ca[], COUNTA(Table_ChiPhiNV_Ca[[#Headers],[Ca]:[Bắt đầu]]),0)),0,
IF($AA57&gt;MIN(AU$5,VLOOKUP(AU$6, Table_ChiPhiNV_Ca[], COUNTA(Table_ChiPhiNV_Ca[[#Headers],[Ca]:[Kết thúc]]),0)),0,
SUM(_xlfn._xlws.FILTER(Table_BangLuong_TyLeTangCa[Tỷ lệ],
(Table_BangLuong_TyLeTangCa[Ngày] = "Thường") *
(Table_BangLuong_TyLeTangCa[Giờ min]&lt;=$AA57) *
(Table_BangLuong_TyLeTangCa[Giờ max]&gt;$AA57)
)))),
IF(AU$4 &gt; AU$5,
IF(
AND(
$AA57-$Z$4&lt;MAX(AU$4,VLOOKUP(AU$6, Table_ChiPhiNV_Ca[], COUNTA(Table_ChiPhiNV_Ca[[#Headers],[Ca]:[Bắt đầu]]),0)),
$AA57&gt;MIN(AU$5,VLOOKUP(AU$6, Table_ChiPhiNV_Ca[], COUNTA(Table_ChiPhiNV_Ca[[#Headers],[Ca]:[Kết thúc]]),0))),0,
SUM(_xlfn._xlws.FILTER(Table_BangLuong_TyLeTangCa[Tỷ lệ],
(Table_BangLuong_TyLeTangCa[Ngày] = "Thường") *
(Table_BangLuong_TyLeTangCa[Giờ min]&lt;=$AA57) *
(Table_BangLuong_TyLeTangCa[Giờ max]&gt;$AA57)
))),
IF(
AND(
$AA57-$Z$4&gt;=MAX(AU$4,VLOOKUP(AU$6, Table_ChiPhiNV_Ca[], COUNTA(Table_ChiPhiNV_Ca[[#Headers],[Ca]:[Bắt đầu]]),0)),
$AA57&lt;MIN(AU$5,VLOOKUP(AU$6, Table_ChiPhiNV_Ca[], COUNTA(Table_ChiPhiNV_Ca[[#Headers],[Ca]:[Kết thúc]]),0))),
SUM(_xlfn._xlws.FILTER(Table_BangLuong_TyLeTangCa[Tỷ lệ],
(Table_BangLuong_TyLeTangCa[Ngày] = "Thường") *
(Table_BangLuong_TyLeTangCa[Giờ min]&lt;=$AA57) *
(Table_BangLuong_TyLeTangCa[Giờ max]&gt;$AA57)
)),0)
)),
IF(AU$4 &lt; AU$5,
IF($AA57-$Z$4&lt;AU$4,0,
IF($AA57&gt;AU$5,0,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AU$5,$AA57 &lt; AU$4),0,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V57" s="18" cm="1">
        <f t="array" ref="AV57" xml:space="preserve">
IFERROR(
IF(AV$1="",0,
IF(AND(
$AA57&gt;=VLOOKUP(AV$6, Table_ChiPhiNV_Ca[], COUNTA(Table_ChiPhiNV_Ca[[#Headers],[Ca]:[Bắt đầu nghỉ]]),0),
$AA57&lt;VLOOKUP(AV$6, Table_ChiPhiNV_Ca[], COUNTA(Table_ChiPhiNV_Ca[[#Headers],[Ca]:[Kết thúc nghỉ]]),0)
),0,
IF(NOT(ISBLANK(AV$3)),
IF(ISBLANK(AV$7),0,
IF(AV$4 &lt; AV$5,
IF($AA57-$Z$4&lt;AV$4,0,
IF($AA57&gt;AV$5,0,
SUM(_xlfn._xlws.FILTER(Table_BangLuong_TyLeTangCa[Tỷ lệ],
(Table_BangLuong_TyLeTangCa[Ngày] = AV$3) *
(Table_BangLuong_TyLeTangCa[Giờ min]&lt;=$AA57) *
(Table_BangLuong_TyLeTangCa[Giờ max]&gt;$AA57)
)))),
IF(AND($AA57-$Z$4 &gt;= AV$5,$AA57 &lt; AV$4),0,
SUM(_xlfn._xlws.FILTER(Table_BangLuong_TyLeTangCa[Tỷ lệ],
(Table_BangLuong_TyLeTangCa[Ngày] = AV$3) *
(Table_BangLuong_TyLeTangCa[Giờ min]&lt;=$AA57) *
(Table_BangLuong_TyLeTangCa[Giờ max]&gt;$AA57)
))))
),
IF(ISBLANK(AV$7),
IF(VLOOKUP(AV$6, Table_ChiPhiNV_Ca[], COUNTA(Table_ChiPhiNV_Ca[[#Headers],[Ca]:[Kết thúc]]),0)&gt; VLOOKUP(AV$6, Table_ChiPhiNV_Ca[], COUNTA(Table_ChiPhiNV_Ca[[#Headers],[Ca]:[Bắt đầu]]),0),
IF($AA57-$Z$4&lt;MAX(AV$4,VLOOKUP(AV$6, Table_ChiPhiNV_Ca[], COUNTA(Table_ChiPhiNV_Ca[[#Headers],[Ca]:[Bắt đầu]]),0)),0,
IF($AA57&gt;MIN(AV$5,VLOOKUP(AV$6, Table_ChiPhiNV_Ca[], COUNTA(Table_ChiPhiNV_Ca[[#Headers],[Ca]:[Kết thúc]]),0)),0,
SUM(_xlfn._xlws.FILTER(Table_BangLuong_TyLeTangCa[Tỷ lệ],
(Table_BangLuong_TyLeTangCa[Ngày] = "Thường") *
(Table_BangLuong_TyLeTangCa[Giờ min]&lt;=$AA57) *
(Table_BangLuong_TyLeTangCa[Giờ max]&gt;$AA57)
)))),
IF(AV$4 &gt; AV$5,
IF(
AND(
$AA57-$Z$4&lt;MAX(AV$4,VLOOKUP(AV$6, Table_ChiPhiNV_Ca[], COUNTA(Table_ChiPhiNV_Ca[[#Headers],[Ca]:[Bắt đầu]]),0)),
$AA57&gt;MIN(AV$5,VLOOKUP(AV$6, Table_ChiPhiNV_Ca[], COUNTA(Table_ChiPhiNV_Ca[[#Headers],[Ca]:[Kết thúc]]),0))),0,
SUM(_xlfn._xlws.FILTER(Table_BangLuong_TyLeTangCa[Tỷ lệ],
(Table_BangLuong_TyLeTangCa[Ngày] = "Thường") *
(Table_BangLuong_TyLeTangCa[Giờ min]&lt;=$AA57) *
(Table_BangLuong_TyLeTangCa[Giờ max]&gt;$AA57)
))),
IF(
AND(
$AA57-$Z$4&gt;=MAX(AV$4,VLOOKUP(AV$6, Table_ChiPhiNV_Ca[], COUNTA(Table_ChiPhiNV_Ca[[#Headers],[Ca]:[Bắt đầu]]),0)),
$AA57&lt;MIN(AV$5,VLOOKUP(AV$6, Table_ChiPhiNV_Ca[], COUNTA(Table_ChiPhiNV_Ca[[#Headers],[Ca]:[Kết thúc]]),0))),
SUM(_xlfn._xlws.FILTER(Table_BangLuong_TyLeTangCa[Tỷ lệ],
(Table_BangLuong_TyLeTangCa[Ngày] = "Thường") *
(Table_BangLuong_TyLeTangCa[Giờ min]&lt;=$AA57) *
(Table_BangLuong_TyLeTangCa[Giờ max]&gt;$AA57)
)),0)
)),
IF(AV$4 &lt; AV$5,
IF($AA57-$Z$4&lt;AV$4,0,
IF($AA57&gt;AV$5,0,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AV$5,$AA57 &lt; AV$4),0,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W57" s="18" cm="1">
        <f t="array" ref="AW57" xml:space="preserve">
IFERROR(
IF(AW$1="",0,
IF(AND(
$AA57&gt;=VLOOKUP(AW$6, Table_ChiPhiNV_Ca[], COUNTA(Table_ChiPhiNV_Ca[[#Headers],[Ca]:[Bắt đầu nghỉ]]),0),
$AA57&lt;VLOOKUP(AW$6, Table_ChiPhiNV_Ca[], COUNTA(Table_ChiPhiNV_Ca[[#Headers],[Ca]:[Kết thúc nghỉ]]),0)
),0,
IF(NOT(ISBLANK(AW$3)),
IF(ISBLANK(AW$7),0,
IF(AW$4 &lt; AW$5,
IF($AA57-$Z$4&lt;AW$4,0,
IF($AA57&gt;AW$5,0,
SUM(_xlfn._xlws.FILTER(Table_BangLuong_TyLeTangCa[Tỷ lệ],
(Table_BangLuong_TyLeTangCa[Ngày] = AW$3) *
(Table_BangLuong_TyLeTangCa[Giờ min]&lt;=$AA57) *
(Table_BangLuong_TyLeTangCa[Giờ max]&gt;$AA57)
)))),
IF(AND($AA57-$Z$4 &gt;= AW$5,$AA57 &lt; AW$4),0,
SUM(_xlfn._xlws.FILTER(Table_BangLuong_TyLeTangCa[Tỷ lệ],
(Table_BangLuong_TyLeTangCa[Ngày] = AW$3) *
(Table_BangLuong_TyLeTangCa[Giờ min]&lt;=$AA57) *
(Table_BangLuong_TyLeTangCa[Giờ max]&gt;$AA57)
))))
),
IF(ISBLANK(AW$7),
IF(VLOOKUP(AW$6, Table_ChiPhiNV_Ca[], COUNTA(Table_ChiPhiNV_Ca[[#Headers],[Ca]:[Kết thúc]]),0)&gt; VLOOKUP(AW$6, Table_ChiPhiNV_Ca[], COUNTA(Table_ChiPhiNV_Ca[[#Headers],[Ca]:[Bắt đầu]]),0),
IF($AA57-$Z$4&lt;MAX(AW$4,VLOOKUP(AW$6, Table_ChiPhiNV_Ca[], COUNTA(Table_ChiPhiNV_Ca[[#Headers],[Ca]:[Bắt đầu]]),0)),0,
IF($AA57&gt;MIN(AW$5,VLOOKUP(AW$6, Table_ChiPhiNV_Ca[], COUNTA(Table_ChiPhiNV_Ca[[#Headers],[Ca]:[Kết thúc]]),0)),0,
SUM(_xlfn._xlws.FILTER(Table_BangLuong_TyLeTangCa[Tỷ lệ],
(Table_BangLuong_TyLeTangCa[Ngày] = "Thường") *
(Table_BangLuong_TyLeTangCa[Giờ min]&lt;=$AA57) *
(Table_BangLuong_TyLeTangCa[Giờ max]&gt;$AA57)
)))),
IF(AW$4 &gt; AW$5,
IF(
AND(
$AA57-$Z$4&lt;MAX(AW$4,VLOOKUP(AW$6, Table_ChiPhiNV_Ca[], COUNTA(Table_ChiPhiNV_Ca[[#Headers],[Ca]:[Bắt đầu]]),0)),
$AA57&gt;MIN(AW$5,VLOOKUP(AW$6, Table_ChiPhiNV_Ca[], COUNTA(Table_ChiPhiNV_Ca[[#Headers],[Ca]:[Kết thúc]]),0))),0,
SUM(_xlfn._xlws.FILTER(Table_BangLuong_TyLeTangCa[Tỷ lệ],
(Table_BangLuong_TyLeTangCa[Ngày] = "Thường") *
(Table_BangLuong_TyLeTangCa[Giờ min]&lt;=$AA57) *
(Table_BangLuong_TyLeTangCa[Giờ max]&gt;$AA57)
))),
IF(
AND(
$AA57-$Z$4&gt;=MAX(AW$4,VLOOKUP(AW$6, Table_ChiPhiNV_Ca[], COUNTA(Table_ChiPhiNV_Ca[[#Headers],[Ca]:[Bắt đầu]]),0)),
$AA57&lt;MIN(AW$5,VLOOKUP(AW$6, Table_ChiPhiNV_Ca[], COUNTA(Table_ChiPhiNV_Ca[[#Headers],[Ca]:[Kết thúc]]),0))),
SUM(_xlfn._xlws.FILTER(Table_BangLuong_TyLeTangCa[Tỷ lệ],
(Table_BangLuong_TyLeTangCa[Ngày] = "Thường") *
(Table_BangLuong_TyLeTangCa[Giờ min]&lt;=$AA57) *
(Table_BangLuong_TyLeTangCa[Giờ max]&gt;$AA57)
)),0)
)),
IF(AW$4 &lt; AW$5,
IF($AA57-$Z$4&lt;AW$4,0,
IF($AA57&gt;AW$5,0,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AW$5,$AA57 &lt; AW$4),0,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X57" s="18" cm="1">
        <f t="array" ref="AX57" xml:space="preserve">
IFERROR(
IF(AX$1="",0,
IF(AND(
$AA57&gt;=VLOOKUP(AX$6, Table_ChiPhiNV_Ca[], COUNTA(Table_ChiPhiNV_Ca[[#Headers],[Ca]:[Bắt đầu nghỉ]]),0),
$AA57&lt;VLOOKUP(AX$6, Table_ChiPhiNV_Ca[], COUNTA(Table_ChiPhiNV_Ca[[#Headers],[Ca]:[Kết thúc nghỉ]]),0)
),0,
IF(NOT(ISBLANK(AX$3)),
IF(ISBLANK(AX$7),0,
IF(AX$4 &lt; AX$5,
IF($AA57-$Z$4&lt;AX$4,0,
IF($AA57&gt;AX$5,0,
SUM(_xlfn._xlws.FILTER(Table_BangLuong_TyLeTangCa[Tỷ lệ],
(Table_BangLuong_TyLeTangCa[Ngày] = AX$3) *
(Table_BangLuong_TyLeTangCa[Giờ min]&lt;=$AA57) *
(Table_BangLuong_TyLeTangCa[Giờ max]&gt;$AA57)
)))),
IF(AND($AA57-$Z$4 &gt;= AX$5,$AA57 &lt; AX$4),0,
SUM(_xlfn._xlws.FILTER(Table_BangLuong_TyLeTangCa[Tỷ lệ],
(Table_BangLuong_TyLeTangCa[Ngày] = AX$3) *
(Table_BangLuong_TyLeTangCa[Giờ min]&lt;=$AA57) *
(Table_BangLuong_TyLeTangCa[Giờ max]&gt;$AA57)
))))
),
IF(ISBLANK(AX$7),
IF(VLOOKUP(AX$6, Table_ChiPhiNV_Ca[], COUNTA(Table_ChiPhiNV_Ca[[#Headers],[Ca]:[Kết thúc]]),0)&gt; VLOOKUP(AX$6, Table_ChiPhiNV_Ca[], COUNTA(Table_ChiPhiNV_Ca[[#Headers],[Ca]:[Bắt đầu]]),0),
IF($AA57-$Z$4&lt;MAX(AX$4,VLOOKUP(AX$6, Table_ChiPhiNV_Ca[], COUNTA(Table_ChiPhiNV_Ca[[#Headers],[Ca]:[Bắt đầu]]),0)),0,
IF($AA57&gt;MIN(AX$5,VLOOKUP(AX$6, Table_ChiPhiNV_Ca[], COUNTA(Table_ChiPhiNV_Ca[[#Headers],[Ca]:[Kết thúc]]),0)),0,
SUM(_xlfn._xlws.FILTER(Table_BangLuong_TyLeTangCa[Tỷ lệ],
(Table_BangLuong_TyLeTangCa[Ngày] = "Thường") *
(Table_BangLuong_TyLeTangCa[Giờ min]&lt;=$AA57) *
(Table_BangLuong_TyLeTangCa[Giờ max]&gt;$AA57)
)))),
IF(AX$4 &gt; AX$5,
IF(
AND(
$AA57-$Z$4&lt;MAX(AX$4,VLOOKUP(AX$6, Table_ChiPhiNV_Ca[], COUNTA(Table_ChiPhiNV_Ca[[#Headers],[Ca]:[Bắt đầu]]),0)),
$AA57&gt;MIN(AX$5,VLOOKUP(AX$6, Table_ChiPhiNV_Ca[], COUNTA(Table_ChiPhiNV_Ca[[#Headers],[Ca]:[Kết thúc]]),0))),0,
SUM(_xlfn._xlws.FILTER(Table_BangLuong_TyLeTangCa[Tỷ lệ],
(Table_BangLuong_TyLeTangCa[Ngày] = "Thường") *
(Table_BangLuong_TyLeTangCa[Giờ min]&lt;=$AA57) *
(Table_BangLuong_TyLeTangCa[Giờ max]&gt;$AA57)
))),
IF(
AND(
$AA57-$Z$4&gt;=MAX(AX$4,VLOOKUP(AX$6, Table_ChiPhiNV_Ca[], COUNTA(Table_ChiPhiNV_Ca[[#Headers],[Ca]:[Bắt đầu]]),0)),
$AA57&lt;MIN(AX$5,VLOOKUP(AX$6, Table_ChiPhiNV_Ca[], COUNTA(Table_ChiPhiNV_Ca[[#Headers],[Ca]:[Kết thúc]]),0))),
SUM(_xlfn._xlws.FILTER(Table_BangLuong_TyLeTangCa[Tỷ lệ],
(Table_BangLuong_TyLeTangCa[Ngày] = "Thường") *
(Table_BangLuong_TyLeTangCa[Giờ min]&lt;=$AA57) *
(Table_BangLuong_TyLeTangCa[Giờ max]&gt;$AA57)
)),0)
)),
IF(AX$4 &lt; AX$5,
IF($AA57-$Z$4&lt;AX$4,0,
IF($AA57&gt;AX$5,0,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AX$5,$AA57 &lt; AX$4),0,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Y57" s="18" cm="1">
        <f t="array" ref="AY57" xml:space="preserve">
IFERROR(
IF(AY$1="",0,
IF(AND(
$AA57&gt;=VLOOKUP(AY$6, Table_ChiPhiNV_Ca[], COUNTA(Table_ChiPhiNV_Ca[[#Headers],[Ca]:[Bắt đầu nghỉ]]),0),
$AA57&lt;VLOOKUP(AY$6, Table_ChiPhiNV_Ca[], COUNTA(Table_ChiPhiNV_Ca[[#Headers],[Ca]:[Kết thúc nghỉ]]),0)
),0,
IF(NOT(ISBLANK(AY$3)),
IF(ISBLANK(AY$7),0,
IF(AY$4 &lt; AY$5,
IF($AA57-$Z$4&lt;AY$4,0,
IF($AA57&gt;AY$5,0,
SUM(_xlfn._xlws.FILTER(Table_BangLuong_TyLeTangCa[Tỷ lệ],
(Table_BangLuong_TyLeTangCa[Ngày] = AY$3) *
(Table_BangLuong_TyLeTangCa[Giờ min]&lt;=$AA57) *
(Table_BangLuong_TyLeTangCa[Giờ max]&gt;$AA57)
)))),
IF(AND($AA57-$Z$4 &gt;= AY$5,$AA57 &lt; AY$4),0,
SUM(_xlfn._xlws.FILTER(Table_BangLuong_TyLeTangCa[Tỷ lệ],
(Table_BangLuong_TyLeTangCa[Ngày] = AY$3) *
(Table_BangLuong_TyLeTangCa[Giờ min]&lt;=$AA57) *
(Table_BangLuong_TyLeTangCa[Giờ max]&gt;$AA57)
))))
),
IF(ISBLANK(AY$7),
IF(VLOOKUP(AY$6, Table_ChiPhiNV_Ca[], COUNTA(Table_ChiPhiNV_Ca[[#Headers],[Ca]:[Kết thúc]]),0)&gt; VLOOKUP(AY$6, Table_ChiPhiNV_Ca[], COUNTA(Table_ChiPhiNV_Ca[[#Headers],[Ca]:[Bắt đầu]]),0),
IF($AA57-$Z$4&lt;MAX(AY$4,VLOOKUP(AY$6, Table_ChiPhiNV_Ca[], COUNTA(Table_ChiPhiNV_Ca[[#Headers],[Ca]:[Bắt đầu]]),0)),0,
IF($AA57&gt;MIN(AY$5,VLOOKUP(AY$6, Table_ChiPhiNV_Ca[], COUNTA(Table_ChiPhiNV_Ca[[#Headers],[Ca]:[Kết thúc]]),0)),0,
SUM(_xlfn._xlws.FILTER(Table_BangLuong_TyLeTangCa[Tỷ lệ],
(Table_BangLuong_TyLeTangCa[Ngày] = "Thường") *
(Table_BangLuong_TyLeTangCa[Giờ min]&lt;=$AA57) *
(Table_BangLuong_TyLeTangCa[Giờ max]&gt;$AA57)
)))),
IF(AY$4 &gt; AY$5,
IF(
AND(
$AA57-$Z$4&lt;MAX(AY$4,VLOOKUP(AY$6, Table_ChiPhiNV_Ca[], COUNTA(Table_ChiPhiNV_Ca[[#Headers],[Ca]:[Bắt đầu]]),0)),
$AA57&gt;MIN(AY$5,VLOOKUP(AY$6, Table_ChiPhiNV_Ca[], COUNTA(Table_ChiPhiNV_Ca[[#Headers],[Ca]:[Kết thúc]]),0))),0,
SUM(_xlfn._xlws.FILTER(Table_BangLuong_TyLeTangCa[Tỷ lệ],
(Table_BangLuong_TyLeTangCa[Ngày] = "Thường") *
(Table_BangLuong_TyLeTangCa[Giờ min]&lt;=$AA57) *
(Table_BangLuong_TyLeTangCa[Giờ max]&gt;$AA57)
))),
IF(
AND(
$AA57-$Z$4&gt;=MAX(AY$4,VLOOKUP(AY$6, Table_ChiPhiNV_Ca[], COUNTA(Table_ChiPhiNV_Ca[[#Headers],[Ca]:[Bắt đầu]]),0)),
$AA57&lt;MIN(AY$5,VLOOKUP(AY$6, Table_ChiPhiNV_Ca[], COUNTA(Table_ChiPhiNV_Ca[[#Headers],[Ca]:[Kết thúc]]),0))),
SUM(_xlfn._xlws.FILTER(Table_BangLuong_TyLeTangCa[Tỷ lệ],
(Table_BangLuong_TyLeTangCa[Ngày] = "Thường") *
(Table_BangLuong_TyLeTangCa[Giờ min]&lt;=$AA57) *
(Table_BangLuong_TyLeTangCa[Giờ max]&gt;$AA57)
)),0)
)),
IF(AY$4 &lt; AY$5,
IF($AA57-$Z$4&lt;AY$4,0,
IF($AA57&gt;AY$5,0,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AY$5,$AA57 &lt; AY$4),0,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Z57" s="18" cm="1">
        <f t="array" ref="AZ57" xml:space="preserve">
IFERROR(
IF(AZ$1="",0,
IF(AND(
$AA57&gt;=VLOOKUP(AZ$6, Table_ChiPhiNV_Ca[], COUNTA(Table_ChiPhiNV_Ca[[#Headers],[Ca]:[Bắt đầu nghỉ]]),0),
$AA57&lt;VLOOKUP(AZ$6, Table_ChiPhiNV_Ca[], COUNTA(Table_ChiPhiNV_Ca[[#Headers],[Ca]:[Kết thúc nghỉ]]),0)
),0,
IF(NOT(ISBLANK(AZ$3)),
IF(ISBLANK(AZ$7),0,
IF(AZ$4 &lt; AZ$5,
IF($AA57-$Z$4&lt;AZ$4,0,
IF($AA57&gt;AZ$5,0,
SUM(_xlfn._xlws.FILTER(Table_BangLuong_TyLeTangCa[Tỷ lệ],
(Table_BangLuong_TyLeTangCa[Ngày] = AZ$3) *
(Table_BangLuong_TyLeTangCa[Giờ min]&lt;=$AA57) *
(Table_BangLuong_TyLeTangCa[Giờ max]&gt;$AA57)
)))),
IF(AND($AA57-$Z$4 &gt;= AZ$5,$AA57 &lt; AZ$4),0,
SUM(_xlfn._xlws.FILTER(Table_BangLuong_TyLeTangCa[Tỷ lệ],
(Table_BangLuong_TyLeTangCa[Ngày] = AZ$3) *
(Table_BangLuong_TyLeTangCa[Giờ min]&lt;=$AA57) *
(Table_BangLuong_TyLeTangCa[Giờ max]&gt;$AA57)
))))
),
IF(ISBLANK(AZ$7),
IF(VLOOKUP(AZ$6, Table_ChiPhiNV_Ca[], COUNTA(Table_ChiPhiNV_Ca[[#Headers],[Ca]:[Kết thúc]]),0)&gt; VLOOKUP(AZ$6, Table_ChiPhiNV_Ca[], COUNTA(Table_ChiPhiNV_Ca[[#Headers],[Ca]:[Bắt đầu]]),0),
IF($AA57-$Z$4&lt;MAX(AZ$4,VLOOKUP(AZ$6, Table_ChiPhiNV_Ca[], COUNTA(Table_ChiPhiNV_Ca[[#Headers],[Ca]:[Bắt đầu]]),0)),0,
IF($AA57&gt;MIN(AZ$5,VLOOKUP(AZ$6, Table_ChiPhiNV_Ca[], COUNTA(Table_ChiPhiNV_Ca[[#Headers],[Ca]:[Kết thúc]]),0)),0,
SUM(_xlfn._xlws.FILTER(Table_BangLuong_TyLeTangCa[Tỷ lệ],
(Table_BangLuong_TyLeTangCa[Ngày] = "Thường") *
(Table_BangLuong_TyLeTangCa[Giờ min]&lt;=$AA57) *
(Table_BangLuong_TyLeTangCa[Giờ max]&gt;$AA57)
)))),
IF(AZ$4 &gt; AZ$5,
IF(
AND(
$AA57-$Z$4&lt;MAX(AZ$4,VLOOKUP(AZ$6, Table_ChiPhiNV_Ca[], COUNTA(Table_ChiPhiNV_Ca[[#Headers],[Ca]:[Bắt đầu]]),0)),
$AA57&gt;MIN(AZ$5,VLOOKUP(AZ$6, Table_ChiPhiNV_Ca[], COUNTA(Table_ChiPhiNV_Ca[[#Headers],[Ca]:[Kết thúc]]),0))),0,
SUM(_xlfn._xlws.FILTER(Table_BangLuong_TyLeTangCa[Tỷ lệ],
(Table_BangLuong_TyLeTangCa[Ngày] = "Thường") *
(Table_BangLuong_TyLeTangCa[Giờ min]&lt;=$AA57) *
(Table_BangLuong_TyLeTangCa[Giờ max]&gt;$AA57)
))),
IF(
AND(
$AA57-$Z$4&gt;=MAX(AZ$4,VLOOKUP(AZ$6, Table_ChiPhiNV_Ca[], COUNTA(Table_ChiPhiNV_Ca[[#Headers],[Ca]:[Bắt đầu]]),0)),
$AA57&lt;MIN(AZ$5,VLOOKUP(AZ$6, Table_ChiPhiNV_Ca[], COUNTA(Table_ChiPhiNV_Ca[[#Headers],[Ca]:[Kết thúc]]),0))),
SUM(_xlfn._xlws.FILTER(Table_BangLuong_TyLeTangCa[Tỷ lệ],
(Table_BangLuong_TyLeTangCa[Ngày] = "Thường") *
(Table_BangLuong_TyLeTangCa[Giờ min]&lt;=$AA57) *
(Table_BangLuong_TyLeTangCa[Giờ max]&gt;$AA57)
)),0)
)),
IF(AZ$4 &lt; AZ$5,
IF($AA57-$Z$4&lt;AZ$4,0,
IF($AA57&gt;AZ$5,0,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AZ$5,$AA57 &lt; AZ$4),0,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A57" s="18" cm="1">
        <f t="array" ref="BA57" xml:space="preserve">
IFERROR(
IF(BA$1="",0,
IF(AND(
$AA57&gt;=VLOOKUP(BA$6, Table_ChiPhiNV_Ca[], COUNTA(Table_ChiPhiNV_Ca[[#Headers],[Ca]:[Bắt đầu nghỉ]]),0),
$AA57&lt;VLOOKUP(BA$6, Table_ChiPhiNV_Ca[], COUNTA(Table_ChiPhiNV_Ca[[#Headers],[Ca]:[Kết thúc nghỉ]]),0)
),0,
IF(NOT(ISBLANK(BA$3)),
IF(ISBLANK(BA$7),0,
IF(BA$4 &lt; BA$5,
IF($AA57-$Z$4&lt;BA$4,0,
IF($AA57&gt;BA$5,0,
SUM(_xlfn._xlws.FILTER(Table_BangLuong_TyLeTangCa[Tỷ lệ],
(Table_BangLuong_TyLeTangCa[Ngày] = BA$3) *
(Table_BangLuong_TyLeTangCa[Giờ min]&lt;=$AA57) *
(Table_BangLuong_TyLeTangCa[Giờ max]&gt;$AA57)
)))),
IF(AND($AA57-$Z$4 &gt;= BA$5,$AA57 &lt; BA$4),0,
SUM(_xlfn._xlws.FILTER(Table_BangLuong_TyLeTangCa[Tỷ lệ],
(Table_BangLuong_TyLeTangCa[Ngày] = BA$3) *
(Table_BangLuong_TyLeTangCa[Giờ min]&lt;=$AA57) *
(Table_BangLuong_TyLeTangCa[Giờ max]&gt;$AA57)
))))
),
IF(ISBLANK(BA$7),
IF(VLOOKUP(BA$6, Table_ChiPhiNV_Ca[], COUNTA(Table_ChiPhiNV_Ca[[#Headers],[Ca]:[Kết thúc]]),0)&gt; VLOOKUP(BA$6, Table_ChiPhiNV_Ca[], COUNTA(Table_ChiPhiNV_Ca[[#Headers],[Ca]:[Bắt đầu]]),0),
IF($AA57-$Z$4&lt;MAX(BA$4,VLOOKUP(BA$6, Table_ChiPhiNV_Ca[], COUNTA(Table_ChiPhiNV_Ca[[#Headers],[Ca]:[Bắt đầu]]),0)),0,
IF($AA57&gt;MIN(BA$5,VLOOKUP(BA$6, Table_ChiPhiNV_Ca[], COUNTA(Table_ChiPhiNV_Ca[[#Headers],[Ca]:[Kết thúc]]),0)),0,
SUM(_xlfn._xlws.FILTER(Table_BangLuong_TyLeTangCa[Tỷ lệ],
(Table_BangLuong_TyLeTangCa[Ngày] = "Thường") *
(Table_BangLuong_TyLeTangCa[Giờ min]&lt;=$AA57) *
(Table_BangLuong_TyLeTangCa[Giờ max]&gt;$AA57)
)))),
IF(BA$4 &gt; BA$5,
IF(
AND(
$AA57-$Z$4&lt;MAX(BA$4,VLOOKUP(BA$6, Table_ChiPhiNV_Ca[], COUNTA(Table_ChiPhiNV_Ca[[#Headers],[Ca]:[Bắt đầu]]),0)),
$AA57&gt;MIN(BA$5,VLOOKUP(BA$6, Table_ChiPhiNV_Ca[], COUNTA(Table_ChiPhiNV_Ca[[#Headers],[Ca]:[Kết thúc]]),0))),0,
SUM(_xlfn._xlws.FILTER(Table_BangLuong_TyLeTangCa[Tỷ lệ],
(Table_BangLuong_TyLeTangCa[Ngày] = "Thường") *
(Table_BangLuong_TyLeTangCa[Giờ min]&lt;=$AA57) *
(Table_BangLuong_TyLeTangCa[Giờ max]&gt;$AA57)
))),
IF(
AND(
$AA57-$Z$4&gt;=MAX(BA$4,VLOOKUP(BA$6, Table_ChiPhiNV_Ca[], COUNTA(Table_ChiPhiNV_Ca[[#Headers],[Ca]:[Bắt đầu]]),0)),
$AA57&lt;MIN(BA$5,VLOOKUP(BA$6, Table_ChiPhiNV_Ca[], COUNTA(Table_ChiPhiNV_Ca[[#Headers],[Ca]:[Kết thúc]]),0))),
SUM(_xlfn._xlws.FILTER(Table_BangLuong_TyLeTangCa[Tỷ lệ],
(Table_BangLuong_TyLeTangCa[Ngày] = "Thường") *
(Table_BangLuong_TyLeTangCa[Giờ min]&lt;=$AA57) *
(Table_BangLuong_TyLeTangCa[Giờ max]&gt;$AA57)
)),0)
)),
IF(BA$4 &lt; BA$5,
IF($AA57-$Z$4&lt;BA$4,0,
IF($AA57&gt;BA$5,0,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BA$5,$AA57 &lt; BA$4),0,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B57" s="18" cm="1">
        <f t="array" ref="BB57" xml:space="preserve">
IFERROR(
IF(BB$1="",0,
IF(AND(
$AA57&gt;=VLOOKUP(BB$6, Table_ChiPhiNV_Ca[], COUNTA(Table_ChiPhiNV_Ca[[#Headers],[Ca]:[Bắt đầu nghỉ]]),0),
$AA57&lt;VLOOKUP(BB$6, Table_ChiPhiNV_Ca[], COUNTA(Table_ChiPhiNV_Ca[[#Headers],[Ca]:[Kết thúc nghỉ]]),0)
),0,
IF(NOT(ISBLANK(BB$3)),
IF(ISBLANK(BB$7),0,
IF(BB$4 &lt; BB$5,
IF($AA57-$Z$4&lt;BB$4,0,
IF($AA57&gt;BB$5,0,
SUM(_xlfn._xlws.FILTER(Table_BangLuong_TyLeTangCa[Tỷ lệ],
(Table_BangLuong_TyLeTangCa[Ngày] = BB$3) *
(Table_BangLuong_TyLeTangCa[Giờ min]&lt;=$AA57) *
(Table_BangLuong_TyLeTangCa[Giờ max]&gt;$AA57)
)))),
IF(AND($AA57-$Z$4 &gt;= BB$5,$AA57 &lt; BB$4),0,
SUM(_xlfn._xlws.FILTER(Table_BangLuong_TyLeTangCa[Tỷ lệ],
(Table_BangLuong_TyLeTangCa[Ngày] = BB$3) *
(Table_BangLuong_TyLeTangCa[Giờ min]&lt;=$AA57) *
(Table_BangLuong_TyLeTangCa[Giờ max]&gt;$AA57)
))))
),
IF(ISBLANK(BB$7),
IF(VLOOKUP(BB$6, Table_ChiPhiNV_Ca[], COUNTA(Table_ChiPhiNV_Ca[[#Headers],[Ca]:[Kết thúc]]),0)&gt; VLOOKUP(BB$6, Table_ChiPhiNV_Ca[], COUNTA(Table_ChiPhiNV_Ca[[#Headers],[Ca]:[Bắt đầu]]),0),
IF($AA57-$Z$4&lt;MAX(BB$4,VLOOKUP(BB$6, Table_ChiPhiNV_Ca[], COUNTA(Table_ChiPhiNV_Ca[[#Headers],[Ca]:[Bắt đầu]]),0)),0,
IF($AA57&gt;MIN(BB$5,VLOOKUP(BB$6, Table_ChiPhiNV_Ca[], COUNTA(Table_ChiPhiNV_Ca[[#Headers],[Ca]:[Kết thúc]]),0)),0,
SUM(_xlfn._xlws.FILTER(Table_BangLuong_TyLeTangCa[Tỷ lệ],
(Table_BangLuong_TyLeTangCa[Ngày] = "Thường") *
(Table_BangLuong_TyLeTangCa[Giờ min]&lt;=$AA57) *
(Table_BangLuong_TyLeTangCa[Giờ max]&gt;$AA57)
)))),
IF(BB$4 &gt; BB$5,
IF(
AND(
$AA57-$Z$4&lt;MAX(BB$4,VLOOKUP(BB$6, Table_ChiPhiNV_Ca[], COUNTA(Table_ChiPhiNV_Ca[[#Headers],[Ca]:[Bắt đầu]]),0)),
$AA57&gt;MIN(BB$5,VLOOKUP(BB$6, Table_ChiPhiNV_Ca[], COUNTA(Table_ChiPhiNV_Ca[[#Headers],[Ca]:[Kết thúc]]),0))),0,
SUM(_xlfn._xlws.FILTER(Table_BangLuong_TyLeTangCa[Tỷ lệ],
(Table_BangLuong_TyLeTangCa[Ngày] = "Thường") *
(Table_BangLuong_TyLeTangCa[Giờ min]&lt;=$AA57) *
(Table_BangLuong_TyLeTangCa[Giờ max]&gt;$AA57)
))),
IF(
AND(
$AA57-$Z$4&gt;=MAX(BB$4,VLOOKUP(BB$6, Table_ChiPhiNV_Ca[], COUNTA(Table_ChiPhiNV_Ca[[#Headers],[Ca]:[Bắt đầu]]),0)),
$AA57&lt;MIN(BB$5,VLOOKUP(BB$6, Table_ChiPhiNV_Ca[], COUNTA(Table_ChiPhiNV_Ca[[#Headers],[Ca]:[Kết thúc]]),0))),
SUM(_xlfn._xlws.FILTER(Table_BangLuong_TyLeTangCa[Tỷ lệ],
(Table_BangLuong_TyLeTangCa[Ngày] = "Thường") *
(Table_BangLuong_TyLeTangCa[Giờ min]&lt;=$AA57) *
(Table_BangLuong_TyLeTangCa[Giờ max]&gt;$AA57)
)),0)
)),
IF(BB$4 &lt; BB$5,
IF($AA57-$Z$4&lt;BB$4,0,
IF($AA57&gt;BB$5,0,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BB$5,$AA57 &lt; BB$4),0,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C57" s="18" cm="1">
        <f t="array" ref="BC57" xml:space="preserve">
IFERROR(
IF(BC$1="",0,
IF(AND(
$AA57&gt;=VLOOKUP(BC$6, Table_ChiPhiNV_Ca[], COUNTA(Table_ChiPhiNV_Ca[[#Headers],[Ca]:[Bắt đầu nghỉ]]),0),
$AA57&lt;VLOOKUP(BC$6, Table_ChiPhiNV_Ca[], COUNTA(Table_ChiPhiNV_Ca[[#Headers],[Ca]:[Kết thúc nghỉ]]),0)
),0,
IF(NOT(ISBLANK(BC$3)),
IF(ISBLANK(BC$7),0,
IF(BC$4 &lt; BC$5,
IF($AA57-$Z$4&lt;BC$4,0,
IF($AA57&gt;BC$5,0,
SUM(_xlfn._xlws.FILTER(Table_BangLuong_TyLeTangCa[Tỷ lệ],
(Table_BangLuong_TyLeTangCa[Ngày] = BC$3) *
(Table_BangLuong_TyLeTangCa[Giờ min]&lt;=$AA57) *
(Table_BangLuong_TyLeTangCa[Giờ max]&gt;$AA57)
)))),
IF(AND($AA57-$Z$4 &gt;= BC$5,$AA57 &lt; BC$4),0,
SUM(_xlfn._xlws.FILTER(Table_BangLuong_TyLeTangCa[Tỷ lệ],
(Table_BangLuong_TyLeTangCa[Ngày] = BC$3) *
(Table_BangLuong_TyLeTangCa[Giờ min]&lt;=$AA57) *
(Table_BangLuong_TyLeTangCa[Giờ max]&gt;$AA57)
))))
),
IF(ISBLANK(BC$7),
IF(VLOOKUP(BC$6, Table_ChiPhiNV_Ca[], COUNTA(Table_ChiPhiNV_Ca[[#Headers],[Ca]:[Kết thúc]]),0)&gt; VLOOKUP(BC$6, Table_ChiPhiNV_Ca[], COUNTA(Table_ChiPhiNV_Ca[[#Headers],[Ca]:[Bắt đầu]]),0),
IF($AA57-$Z$4&lt;MAX(BC$4,VLOOKUP(BC$6, Table_ChiPhiNV_Ca[], COUNTA(Table_ChiPhiNV_Ca[[#Headers],[Ca]:[Bắt đầu]]),0)),0,
IF($AA57&gt;MIN(BC$5,VLOOKUP(BC$6, Table_ChiPhiNV_Ca[], COUNTA(Table_ChiPhiNV_Ca[[#Headers],[Ca]:[Kết thúc]]),0)),0,
SUM(_xlfn._xlws.FILTER(Table_BangLuong_TyLeTangCa[Tỷ lệ],
(Table_BangLuong_TyLeTangCa[Ngày] = "Thường") *
(Table_BangLuong_TyLeTangCa[Giờ min]&lt;=$AA57) *
(Table_BangLuong_TyLeTangCa[Giờ max]&gt;$AA57)
)))),
IF(BC$4 &gt; BC$5,
IF(
AND(
$AA57-$Z$4&lt;MAX(BC$4,VLOOKUP(BC$6, Table_ChiPhiNV_Ca[], COUNTA(Table_ChiPhiNV_Ca[[#Headers],[Ca]:[Bắt đầu]]),0)),
$AA57&gt;MIN(BC$5,VLOOKUP(BC$6, Table_ChiPhiNV_Ca[], COUNTA(Table_ChiPhiNV_Ca[[#Headers],[Ca]:[Kết thúc]]),0))),0,
SUM(_xlfn._xlws.FILTER(Table_BangLuong_TyLeTangCa[Tỷ lệ],
(Table_BangLuong_TyLeTangCa[Ngày] = "Thường") *
(Table_BangLuong_TyLeTangCa[Giờ min]&lt;=$AA57) *
(Table_BangLuong_TyLeTangCa[Giờ max]&gt;$AA57)
))),
IF(
AND(
$AA57-$Z$4&gt;=MAX(BC$4,VLOOKUP(BC$6, Table_ChiPhiNV_Ca[], COUNTA(Table_ChiPhiNV_Ca[[#Headers],[Ca]:[Bắt đầu]]),0)),
$AA57&lt;MIN(BC$5,VLOOKUP(BC$6, Table_ChiPhiNV_Ca[], COUNTA(Table_ChiPhiNV_Ca[[#Headers],[Ca]:[Kết thúc]]),0))),
SUM(_xlfn._xlws.FILTER(Table_BangLuong_TyLeTangCa[Tỷ lệ],
(Table_BangLuong_TyLeTangCa[Ngày] = "Thường") *
(Table_BangLuong_TyLeTangCa[Giờ min]&lt;=$AA57) *
(Table_BangLuong_TyLeTangCa[Giờ max]&gt;$AA57)
)),0)
)),
IF(BC$4 &lt; BC$5,
IF($AA57-$Z$4&lt;BC$4,0,
IF($AA57&gt;BC$5,0,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BC$5,$AA57 &lt; BC$4),0,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D57" s="18" cm="1">
        <f t="array" ref="BD57" xml:space="preserve">
IFERROR(
IF(BD$1="",0,
IF(AND(
$AA57&gt;=VLOOKUP(BD$6, Table_ChiPhiNV_Ca[], COUNTA(Table_ChiPhiNV_Ca[[#Headers],[Ca]:[Bắt đầu nghỉ]]),0),
$AA57&lt;VLOOKUP(BD$6, Table_ChiPhiNV_Ca[], COUNTA(Table_ChiPhiNV_Ca[[#Headers],[Ca]:[Kết thúc nghỉ]]),0)
),0,
IF(NOT(ISBLANK(BD$3)),
IF(ISBLANK(BD$7),0,
IF(BD$4 &lt; BD$5,
IF($AA57-$Z$4&lt;BD$4,0,
IF($AA57&gt;BD$5,0,
SUM(_xlfn._xlws.FILTER(Table_BangLuong_TyLeTangCa[Tỷ lệ],
(Table_BangLuong_TyLeTangCa[Ngày] = BD$3) *
(Table_BangLuong_TyLeTangCa[Giờ min]&lt;=$AA57) *
(Table_BangLuong_TyLeTangCa[Giờ max]&gt;$AA57)
)))),
IF(AND($AA57-$Z$4 &gt;= BD$5,$AA57 &lt; BD$4),0,
SUM(_xlfn._xlws.FILTER(Table_BangLuong_TyLeTangCa[Tỷ lệ],
(Table_BangLuong_TyLeTangCa[Ngày] = BD$3) *
(Table_BangLuong_TyLeTangCa[Giờ min]&lt;=$AA57) *
(Table_BangLuong_TyLeTangCa[Giờ max]&gt;$AA57)
))))
),
IF(ISBLANK(BD$7),
IF(VLOOKUP(BD$6, Table_ChiPhiNV_Ca[], COUNTA(Table_ChiPhiNV_Ca[[#Headers],[Ca]:[Kết thúc]]),0)&gt; VLOOKUP(BD$6, Table_ChiPhiNV_Ca[], COUNTA(Table_ChiPhiNV_Ca[[#Headers],[Ca]:[Bắt đầu]]),0),
IF($AA57-$Z$4&lt;MAX(BD$4,VLOOKUP(BD$6, Table_ChiPhiNV_Ca[], COUNTA(Table_ChiPhiNV_Ca[[#Headers],[Ca]:[Bắt đầu]]),0)),0,
IF($AA57&gt;MIN(BD$5,VLOOKUP(BD$6, Table_ChiPhiNV_Ca[], COUNTA(Table_ChiPhiNV_Ca[[#Headers],[Ca]:[Kết thúc]]),0)),0,
SUM(_xlfn._xlws.FILTER(Table_BangLuong_TyLeTangCa[Tỷ lệ],
(Table_BangLuong_TyLeTangCa[Ngày] = "Thường") *
(Table_BangLuong_TyLeTangCa[Giờ min]&lt;=$AA57) *
(Table_BangLuong_TyLeTangCa[Giờ max]&gt;$AA57)
)))),
IF(BD$4 &gt; BD$5,
IF(
AND(
$AA57-$Z$4&lt;MAX(BD$4,VLOOKUP(BD$6, Table_ChiPhiNV_Ca[], COUNTA(Table_ChiPhiNV_Ca[[#Headers],[Ca]:[Bắt đầu]]),0)),
$AA57&gt;MIN(BD$5,VLOOKUP(BD$6, Table_ChiPhiNV_Ca[], COUNTA(Table_ChiPhiNV_Ca[[#Headers],[Ca]:[Kết thúc]]),0))),0,
SUM(_xlfn._xlws.FILTER(Table_BangLuong_TyLeTangCa[Tỷ lệ],
(Table_BangLuong_TyLeTangCa[Ngày] = "Thường") *
(Table_BangLuong_TyLeTangCa[Giờ min]&lt;=$AA57) *
(Table_BangLuong_TyLeTangCa[Giờ max]&gt;$AA57)
))),
IF(
AND(
$AA57-$Z$4&gt;=MAX(BD$4,VLOOKUP(BD$6, Table_ChiPhiNV_Ca[], COUNTA(Table_ChiPhiNV_Ca[[#Headers],[Ca]:[Bắt đầu]]),0)),
$AA57&lt;MIN(BD$5,VLOOKUP(BD$6, Table_ChiPhiNV_Ca[], COUNTA(Table_ChiPhiNV_Ca[[#Headers],[Ca]:[Kết thúc]]),0))),
SUM(_xlfn._xlws.FILTER(Table_BangLuong_TyLeTangCa[Tỷ lệ],
(Table_BangLuong_TyLeTangCa[Ngày] = "Thường") *
(Table_BangLuong_TyLeTangCa[Giờ min]&lt;=$AA57) *
(Table_BangLuong_TyLeTangCa[Giờ max]&gt;$AA57)
)),0)
)),
IF(BD$4 &lt; BD$5,
IF($AA57-$Z$4&lt;BD$4,0,
IF($AA57&gt;BD$5,0,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BD$5,$AA57 &lt; BD$4),0,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E57" s="18" cm="1">
        <f t="array" ref="BE57" xml:space="preserve">
IFERROR(
IF(BE$1="",0,
IF(AND(
$AA57&gt;=VLOOKUP(BE$6, Table_ChiPhiNV_Ca[], COUNTA(Table_ChiPhiNV_Ca[[#Headers],[Ca]:[Bắt đầu nghỉ]]),0),
$AA57&lt;VLOOKUP(BE$6, Table_ChiPhiNV_Ca[], COUNTA(Table_ChiPhiNV_Ca[[#Headers],[Ca]:[Kết thúc nghỉ]]),0)
),0,
IF(NOT(ISBLANK(BE$3)),
IF(ISBLANK(BE$7),0,
IF(BE$4 &lt; BE$5,
IF($AA57-$Z$4&lt;BE$4,0,
IF($AA57&gt;BE$5,0,
SUM(_xlfn._xlws.FILTER(Table_BangLuong_TyLeTangCa[Tỷ lệ],
(Table_BangLuong_TyLeTangCa[Ngày] = BE$3) *
(Table_BangLuong_TyLeTangCa[Giờ min]&lt;=$AA57) *
(Table_BangLuong_TyLeTangCa[Giờ max]&gt;$AA57)
)))),
IF(AND($AA57-$Z$4 &gt;= BE$5,$AA57 &lt; BE$4),0,
SUM(_xlfn._xlws.FILTER(Table_BangLuong_TyLeTangCa[Tỷ lệ],
(Table_BangLuong_TyLeTangCa[Ngày] = BE$3) *
(Table_BangLuong_TyLeTangCa[Giờ min]&lt;=$AA57) *
(Table_BangLuong_TyLeTangCa[Giờ max]&gt;$AA57)
))))
),
IF(ISBLANK(BE$7),
IF(VLOOKUP(BE$6, Table_ChiPhiNV_Ca[], COUNTA(Table_ChiPhiNV_Ca[[#Headers],[Ca]:[Kết thúc]]),0)&gt; VLOOKUP(BE$6, Table_ChiPhiNV_Ca[], COUNTA(Table_ChiPhiNV_Ca[[#Headers],[Ca]:[Bắt đầu]]),0),
IF($AA57-$Z$4&lt;MAX(BE$4,VLOOKUP(BE$6, Table_ChiPhiNV_Ca[], COUNTA(Table_ChiPhiNV_Ca[[#Headers],[Ca]:[Bắt đầu]]),0)),0,
IF($AA57&gt;MIN(BE$5,VLOOKUP(BE$6, Table_ChiPhiNV_Ca[], COUNTA(Table_ChiPhiNV_Ca[[#Headers],[Ca]:[Kết thúc]]),0)),0,
SUM(_xlfn._xlws.FILTER(Table_BangLuong_TyLeTangCa[Tỷ lệ],
(Table_BangLuong_TyLeTangCa[Ngày] = "Thường") *
(Table_BangLuong_TyLeTangCa[Giờ min]&lt;=$AA57) *
(Table_BangLuong_TyLeTangCa[Giờ max]&gt;$AA57)
)))),
IF(BE$4 &gt; BE$5,
IF(
AND(
$AA57-$Z$4&lt;MAX(BE$4,VLOOKUP(BE$6, Table_ChiPhiNV_Ca[], COUNTA(Table_ChiPhiNV_Ca[[#Headers],[Ca]:[Bắt đầu]]),0)),
$AA57&gt;MIN(BE$5,VLOOKUP(BE$6, Table_ChiPhiNV_Ca[], COUNTA(Table_ChiPhiNV_Ca[[#Headers],[Ca]:[Kết thúc]]),0))),0,
SUM(_xlfn._xlws.FILTER(Table_BangLuong_TyLeTangCa[Tỷ lệ],
(Table_BangLuong_TyLeTangCa[Ngày] = "Thường") *
(Table_BangLuong_TyLeTangCa[Giờ min]&lt;=$AA57) *
(Table_BangLuong_TyLeTangCa[Giờ max]&gt;$AA57)
))),
IF(
AND(
$AA57-$Z$4&gt;=MAX(BE$4,VLOOKUP(BE$6, Table_ChiPhiNV_Ca[], COUNTA(Table_ChiPhiNV_Ca[[#Headers],[Ca]:[Bắt đầu]]),0)),
$AA57&lt;MIN(BE$5,VLOOKUP(BE$6, Table_ChiPhiNV_Ca[], COUNTA(Table_ChiPhiNV_Ca[[#Headers],[Ca]:[Kết thúc]]),0))),
SUM(_xlfn._xlws.FILTER(Table_BangLuong_TyLeTangCa[Tỷ lệ],
(Table_BangLuong_TyLeTangCa[Ngày] = "Thường") *
(Table_BangLuong_TyLeTangCa[Giờ min]&lt;=$AA57) *
(Table_BangLuong_TyLeTangCa[Giờ max]&gt;$AA57)
)),0)
)),
IF(BE$4 &lt; BE$5,
IF($AA57-$Z$4&lt;BE$4,0,
IF($AA57&gt;BE$5,0,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BE$5,$AA57 &lt; BE$4),0,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F57" s="18" cm="1">
        <f t="array" ref="BF57" xml:space="preserve">
IFERROR(
IF(BF$1="",0,
IF(AND(
$AA57&gt;=VLOOKUP(BF$6, Table_ChiPhiNV_Ca[], COUNTA(Table_ChiPhiNV_Ca[[#Headers],[Ca]:[Bắt đầu nghỉ]]),0),
$AA57&lt;VLOOKUP(BF$6, Table_ChiPhiNV_Ca[], COUNTA(Table_ChiPhiNV_Ca[[#Headers],[Ca]:[Kết thúc nghỉ]]),0)
),0,
IF(NOT(ISBLANK(BF$3)),
IF(ISBLANK(BF$7),0,
IF(BF$4 &lt; BF$5,
IF($AA57-$Z$4&lt;BF$4,0,
IF($AA57&gt;BF$5,0,
SUM(_xlfn._xlws.FILTER(Table_BangLuong_TyLeTangCa[Tỷ lệ],
(Table_BangLuong_TyLeTangCa[Ngày] = BF$3) *
(Table_BangLuong_TyLeTangCa[Giờ min]&lt;=$AA57) *
(Table_BangLuong_TyLeTangCa[Giờ max]&gt;$AA57)
)))),
IF(AND($AA57-$Z$4 &gt;= BF$5,$AA57 &lt; BF$4),0,
SUM(_xlfn._xlws.FILTER(Table_BangLuong_TyLeTangCa[Tỷ lệ],
(Table_BangLuong_TyLeTangCa[Ngày] = BF$3) *
(Table_BangLuong_TyLeTangCa[Giờ min]&lt;=$AA57) *
(Table_BangLuong_TyLeTangCa[Giờ max]&gt;$AA57)
))))
),
IF(ISBLANK(BF$7),
IF(VLOOKUP(BF$6, Table_ChiPhiNV_Ca[], COUNTA(Table_ChiPhiNV_Ca[[#Headers],[Ca]:[Kết thúc]]),0)&gt; VLOOKUP(BF$6, Table_ChiPhiNV_Ca[], COUNTA(Table_ChiPhiNV_Ca[[#Headers],[Ca]:[Bắt đầu]]),0),
IF($AA57-$Z$4&lt;MAX(BF$4,VLOOKUP(BF$6, Table_ChiPhiNV_Ca[], COUNTA(Table_ChiPhiNV_Ca[[#Headers],[Ca]:[Bắt đầu]]),0)),0,
IF($AA57&gt;MIN(BF$5,VLOOKUP(BF$6, Table_ChiPhiNV_Ca[], COUNTA(Table_ChiPhiNV_Ca[[#Headers],[Ca]:[Kết thúc]]),0)),0,
SUM(_xlfn._xlws.FILTER(Table_BangLuong_TyLeTangCa[Tỷ lệ],
(Table_BangLuong_TyLeTangCa[Ngày] = "Thường") *
(Table_BangLuong_TyLeTangCa[Giờ min]&lt;=$AA57) *
(Table_BangLuong_TyLeTangCa[Giờ max]&gt;$AA57)
)))),
IF(BF$4 &gt; BF$5,
IF(
AND(
$AA57-$Z$4&lt;MAX(BF$4,VLOOKUP(BF$6, Table_ChiPhiNV_Ca[], COUNTA(Table_ChiPhiNV_Ca[[#Headers],[Ca]:[Bắt đầu]]),0)),
$AA57&gt;MIN(BF$5,VLOOKUP(BF$6, Table_ChiPhiNV_Ca[], COUNTA(Table_ChiPhiNV_Ca[[#Headers],[Ca]:[Kết thúc]]),0))),0,
SUM(_xlfn._xlws.FILTER(Table_BangLuong_TyLeTangCa[Tỷ lệ],
(Table_BangLuong_TyLeTangCa[Ngày] = "Thường") *
(Table_BangLuong_TyLeTangCa[Giờ min]&lt;=$AA57) *
(Table_BangLuong_TyLeTangCa[Giờ max]&gt;$AA57)
))),
IF(
AND(
$AA57-$Z$4&gt;=MAX(BF$4,VLOOKUP(BF$6, Table_ChiPhiNV_Ca[], COUNTA(Table_ChiPhiNV_Ca[[#Headers],[Ca]:[Bắt đầu]]),0)),
$AA57&lt;MIN(BF$5,VLOOKUP(BF$6, Table_ChiPhiNV_Ca[], COUNTA(Table_ChiPhiNV_Ca[[#Headers],[Ca]:[Kết thúc]]),0))),
SUM(_xlfn._xlws.FILTER(Table_BangLuong_TyLeTangCa[Tỷ lệ],
(Table_BangLuong_TyLeTangCa[Ngày] = "Thường") *
(Table_BangLuong_TyLeTangCa[Giờ min]&lt;=$AA57) *
(Table_BangLuong_TyLeTangCa[Giờ max]&gt;$AA57)
)),0)
)),
IF(BF$4 &lt; BF$5,
IF($AA57-$Z$4&lt;BF$4,0,
IF($AA57&gt;BF$5,0,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BF$5,$AA57 &lt; BF$4),0,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row>
  </sheetData>
  <sheetProtection algorithmName="SHA-512" hashValue="Vo24A85BTYAUbx95KLfmuQv3gcXGmSejXm3qgHPtkZvHdbK2dyYeGCEuaQyQXi4JjIE7Nr6A2yuCHZLTfprkDw==" saltValue="oKZg0YYvNVK7zVz5/0xX/A==" spinCount="100000" sheet="1" scenarios="1" formatColumns="0" formatRows="0" autoFilter="0" pivotTables="0"/>
  <protectedRanges>
    <protectedRange sqref="W2 Y2:Y3 W5:W7 Y5:Y6" name="Range1_3"/>
    <protectedRange sqref="V14:X15" name="Range1_2_1"/>
    <protectedRange sqref="BQ9" name="Range1_4"/>
  </protectedRanges>
  <phoneticPr fontId="6" type="noConversion"/>
  <conditionalFormatting sqref="V15">
    <cfRule type="duplicateValues" dxfId="63" priority="4"/>
  </conditionalFormatting>
  <dataValidations count="7">
    <dataValidation type="list" allowBlank="1" showInputMessage="1" showErrorMessage="1" sqref="AB3:BF3" xr:uid="{5A8ED2AE-E7C3-4B71-803F-A085BC037503}">
      <formula1>"Lễ tết, Nghỉ"</formula1>
    </dataValidation>
    <dataValidation type="list" allowBlank="1" showInputMessage="1" showErrorMessage="1" sqref="AB7:BF7" xr:uid="{E7EAE4FE-EE98-457D-9FF8-1FBC89D991D6}">
      <formula1>"Có"</formula1>
    </dataValidation>
    <dataValidation type="list" allowBlank="1" showInputMessage="1" showErrorMessage="1" sqref="X1 BI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B6:BF6" xr:uid="{CB1BDF18-631C-40D7-8CE6-ED2F040D504D}">
      <formula1>$V$9:$V$11</formula1>
    </dataValidation>
    <dataValidation type="list" allowBlank="1" showInputMessage="1" showErrorMessage="1" sqref="BH7 BH9:BH12" xr:uid="{F35C762C-56A3-43C0-BE48-3877FA70D110}">
      <formula1>"Vào, Ra"</formula1>
    </dataValidation>
    <dataValidation type="list" allowBlank="1" showInputMessage="1" sqref="BI9:BI12 BQ9" xr:uid="{6918494C-25E3-4C6B-BB86-9A762C192BC7}">
      <formula1>MaNhanVien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63</xdr:col>
                    <xdr:colOff>38100</xdr:colOff>
                    <xdr:row>4</xdr:row>
                    <xdr:rowOff>152400</xdr:rowOff>
                  </from>
                  <to>
                    <xdr:col>63</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59</xdr:col>
                    <xdr:colOff>47625</xdr:colOff>
                    <xdr:row>4</xdr:row>
                    <xdr:rowOff>133350</xdr:rowOff>
                  </from>
                  <to>
                    <xdr:col>59</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59</xdr:col>
                    <xdr:colOff>561975</xdr:colOff>
                    <xdr:row>4</xdr:row>
                    <xdr:rowOff>133350</xdr:rowOff>
                  </from>
                  <to>
                    <xdr:col>60</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A10:BL1048576 BM1:XFD1048576 A8:Z9 AA7:BL9 A1:BL6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l � � � � i �m   s �  d � � �n   c � � �p    � � � � i � �  d �  �  �  �  �  l ��  �  � �  l � � � � � � �� �  l � � � � i �m   s �  d � � �n   c � � �p    � � � � i � �  d �  �  �  �  �  l ��  �  � �  l � � � 
</file>

<file path=customXml/item2.xml>�� �� �i   t �� � �� �t   � � �  l � � �  l �� �  t � � �� �i   t �� � �� �t   � � �  l � � �  l �� �  t � � 
</file>

<file path=customXml/item3.xml>�� 
</file>

<file path=customXml/item4.xml>��   
</file>

<file path=customXml/item5.xml>�� � � � � �  t �n   � �  t � � � � � � � � � � � �  t �n   � �  t � � � � � � � � � � � �  l �� � � � � � �  s u � � � � � � � � � �� �  l � � � �� �  l � � � �  l � �n   � � �n   s �  b � � �p     �  �  �  �  l ��  �  � � � � � �  t �n   � �  t � � � � � � � � � � � �  t �n   � �  t � � � � � � � � � � � �  l �� � � � � � �  s u � � � � � � � � � �� �  l � � � �� �  l � � � �  l � �n   � � �n   s �  b � � �p     �  �  �  �  l ��  �  � 
</file>

<file path=customXml/item6.xml>��   
</file>

<file path=customXml/item7.xml>�� �  p h � �c   n  � �� � � �  p h � �c   n  � �� � � 
</file>

<file path=customXml/item8.xml>��   
</file>

<file path=customXml/item9.xml>�� � � � � 
</file>

<file path=customXml/item10.xml>�� � � �n   v � �  s u � �  l � � � � �n   v � �  s u � �  l � � 
</file>

<file path=customXml/item11.xml>��   
</file>

<file path=customXml/item12.xml>�� �n   �u   t � �n   �u   t � �  �u   t � �i   h � �  �  �u   t � �   � �n   �u   t � �n   �u   t � �  �u   t � �i   h � �  �  �u   t � �   � 
</file>

<file path=customXml/item13.xml>�� 
</file>

<file path=customXml/item14.xml>�� �c   n  �c   n  
</file>

<file path=customXml/item15.xml>��   
</file>

<file path=customXml/item16.xml>��   
</file>

<file path=customXml/item17.xml>��   
</file>

<file path=customXml/item18.xml>�� 
</file>

<file path=customXml/item19.xml>��   
</file>

<file path=customXml/item20.xml>��   
</file>

<file path=customXml/item21.xml>�� �  �  
</file>

<file path=customXml/item22.xml>�� � � � i � �  d � i �m   s �  d � �� �  l � � � � � �n   c � � � � � �  l � � � � �p     �  �  �  �  l ��  �  � 
</file>

<file path=customXml/item23.xml>��   
</file>

<file path=customXml/itemProps1.xml><?xml version="1.0" encoding="utf-8"?>
<ds:datastoreItem xmlns:ds="http://schemas.openxmlformats.org/officeDocument/2006/customXml" ds:itemID="{CCFAB5FF-26AB-4CB9-BA2C-5A121007B041}">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5.xml><?xml version="1.0" encoding="utf-8"?>
<ds:datastoreItem xmlns:ds="http://schemas.openxmlformats.org/officeDocument/2006/customXml" ds:itemID="{2BF00A03-70FC-4137-967C-82A1B61F0E08}">
  <ds:schemaRefs/>
</ds:datastoreItem>
</file>

<file path=customXml/itemProps6.xml><?xml version="1.0" encoding="utf-8"?>
<ds:datastoreItem xmlns:ds="http://schemas.openxmlformats.org/officeDocument/2006/customXml" ds:itemID="{104A6CAF-8CC0-4F12-8051-31E2340CC4C2}">
  <ds:schemaRefs/>
</ds:datastoreItem>
</file>

<file path=customXml/itemProps7.xml><?xml version="1.0" encoding="utf-8"?>
<ds:datastoreItem xmlns:ds="http://schemas.openxmlformats.org/officeDocument/2006/customXml" ds:itemID="{7D64D66F-1898-49BE-A788-6FA781CEE8F3}">
  <ds:schemaRefs/>
</ds:datastoreItem>
</file>

<file path=customXml/itemProps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0.xml><?xml version="1.0" encoding="utf-8"?>
<ds:datastoreItem xmlns:ds="http://schemas.openxmlformats.org/officeDocument/2006/customXml" ds:itemID="{19BA8129-97AB-4694-BBC1-89CB3D2043B0}">
  <ds:schemaRefs/>
</ds:datastoreItem>
</file>

<file path=customXml/itemProps11.xml><?xml version="1.0" encoding="utf-8"?>
<ds:datastoreItem xmlns:ds="http://schemas.openxmlformats.org/officeDocument/2006/customXml" ds:itemID="{0B9C3544-1C46-45A4-BEB6-1CE4D6559900}">
  <ds:schemaRefs/>
</ds:datastoreItem>
</file>

<file path=customXml/itemProps1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A6D0F6C4-9EB7-4062-86F8-715E8F5BF469}">
  <ds:schemaRefs/>
</ds:datastoreItem>
</file>

<file path=customXml/itemProps1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6.xml><?xml version="1.0" encoding="utf-8"?>
<ds:datastoreItem xmlns:ds="http://schemas.openxmlformats.org/officeDocument/2006/customXml" ds:itemID="{A849B9D7-188B-48DA-AB5B-54583621621D}">
  <ds:schemaRefs/>
</ds:datastoreItem>
</file>

<file path=customXml/itemProps1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4BA9E5F1-90AC-490B-B178-7C8B339E1A47}">
  <ds:schemaRefs/>
</ds:datastoreItem>
</file>

<file path=customXml/itemProps20.xml><?xml version="1.0" encoding="utf-8"?>
<ds:datastoreItem xmlns:ds="http://schemas.openxmlformats.org/officeDocument/2006/customXml" ds:itemID="{339EBD31-34FE-48FA-B11C-5697D02F64AC}">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4F023B59-6671-4442-B15F-D8D1F04CE43F}">
  <ds:schemaRefs/>
</ds:datastoreItem>
</file>

<file path=customXml/itemProps23.xml><?xml version="1.0" encoding="utf-8"?>
<ds:datastoreItem xmlns:ds="http://schemas.openxmlformats.org/officeDocument/2006/customXml" ds:itemID="{15A5E9E7-8554-4C17-8FCE-88C5899190B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2025-06-03T09:47:17Z</dcterms:modified>
  <cp:category/>
  <cp:contentStatus/>
</cp:coreProperties>
</file>