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68F33229-2423-4238-B5C2-8FE9E4F669F6}" xr6:coauthVersionLast="47" xr6:coauthVersionMax="47" xr10:uidLastSave="{00000000-0000-0000-0000-000000000000}"/>
  <bookViews>
    <workbookView xWindow="0" yWindow="30" windowWidth="28770" windowHeight="15450" tabRatio="717" firstSheet="1" activeTab="1" xr2:uid="{B2DA85E2-969C-4F09-941C-CE16CCFE9D56}"/>
  </bookViews>
  <sheets>
    <sheet name="Security" sheetId="79" state="veryHidden" r:id="rId1"/>
    <sheet name="EULA" sheetId="77" r:id="rId2"/>
    <sheet name="Phân bổ giá vốn" sheetId="34" r:id="rId3"/>
  </sheets>
  <functionGroups builtInGroupCount="19"/>
  <definedNames>
    <definedName name="_xleta.DATE" hidden="1" xlm="1">#NAME?</definedName>
    <definedName name="_xleta.ISBLANK" hidden="1" xlm="1">#NAME?</definedName>
    <definedName name="_xleta.N" hidden="1" xlm="1">#NAME?</definedName>
    <definedName name="_xleta.PHI" hidden="1" xlm="1">#NAME?</definedName>
    <definedName name="BangLuong_Nam">#REF!</definedName>
    <definedName name="BangLuong_Thang">#REF!</definedName>
    <definedName name="BCQT_BatDau">#REF!</definedName>
    <definedName name="BCQT_KetThuc">#REF!</definedName>
    <definedName name="BCTC_BatDau">#REF!</definedName>
    <definedName name="BCTC_Nam">#REF!</definedName>
    <definedName name="BCTC_Thang">#REF!</definedName>
    <definedName name="BHTN_LuongMax">#REF!</definedName>
    <definedName name="BHTN_TyLeDN">#REF!</definedName>
    <definedName name="BHTN_TyLeNV">#REF!</definedName>
    <definedName name="BHXH_LuongMax">#REF!</definedName>
    <definedName name="BHXH_TyLeDN">#REF!</definedName>
    <definedName name="BHXH_TyLeNV">#REF!</definedName>
    <definedName name="BHYT_LuongMax">#REF!</definedName>
    <definedName name="BHYT_TyLeDN">#REF!</definedName>
    <definedName name="BHYT_TyLeNV">#REF!</definedName>
    <definedName name="ChamCong_DonViGio">#REF!</definedName>
    <definedName name="ChamCong_GioTieuChuan">#REF!</definedName>
    <definedName name="ChamCong_LuongHD">#REF!</definedName>
    <definedName name="ChamCong_LuongTT">#REF!</definedName>
    <definedName name="ChamCong_MienThueOT">#REF!</definedName>
    <definedName name="ChamCong_NopHoBaoHiem">#REF!</definedName>
    <definedName name="ChiPhiNV_GiamTruBanThan">#REF!</definedName>
    <definedName name="ChiPhiNV_GiamTruPhuThuoc">#REF!</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#REF!</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pivotCaches>
    <pivotCache cacheId="0"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T23" i="34" l="1" a="1"/>
  <c r="AT23" i="34" s="1"/>
  <c r="AT24" i="34" a="1"/>
  <c r="AT24" i="34" s="1"/>
  <c r="AT25" i="34" a="1"/>
  <c r="AT25" i="34" s="1"/>
  <c r="AT26" i="34" a="1"/>
  <c r="AT26" i="34" s="1"/>
  <c r="AT27" i="34" a="1"/>
  <c r="AT27" i="34" s="1"/>
  <c r="AT28" i="34" a="1"/>
  <c r="AT28" i="34" s="1"/>
  <c r="AT29" i="34" a="1"/>
  <c r="AT29" i="34" s="1"/>
  <c r="AT30" i="34" a="1"/>
  <c r="AT30" i="34" s="1"/>
  <c r="AT31" i="34" a="1"/>
  <c r="AT31" i="34" s="1"/>
  <c r="AT32" i="34" a="1"/>
  <c r="AT32" i="34" s="1"/>
  <c r="AT33" i="34" a="1"/>
  <c r="AT33" i="34" s="1"/>
  <c r="AT34" i="34" a="1"/>
  <c r="AT34" i="34" s="1"/>
  <c r="AT35" i="34" a="1"/>
  <c r="AT35" i="34" s="1"/>
  <c r="AT36" i="34" a="1"/>
  <c r="AT36" i="34" s="1"/>
  <c r="Y36" i="34"/>
  <c r="AD36" i="34" s="1" a="1"/>
  <c r="AD36" i="34" s="1"/>
  <c r="Y37" i="34"/>
  <c r="AF37" i="34" s="1" a="1"/>
  <c r="AF37" i="34" s="1"/>
  <c r="Y35" i="34"/>
  <c r="AF35" i="34" s="1" a="1"/>
  <c r="AF35" i="34" s="1"/>
  <c r="AT81" i="34" a="1"/>
  <c r="AT81" i="34" s="1"/>
  <c r="AT50" i="34" a="1"/>
  <c r="AT50" i="34" s="1"/>
  <c r="AT54" i="34" a="1"/>
  <c r="AT54" i="34" s="1"/>
  <c r="AT86" i="34" a="1"/>
  <c r="AT86" i="34" s="1"/>
  <c r="AT82" i="34" a="1"/>
  <c r="AT82" i="34" s="1"/>
  <c r="AT55" i="34" a="1"/>
  <c r="AT55" i="34" s="1"/>
  <c r="AT63" i="34" a="1"/>
  <c r="AT63" i="34" s="1"/>
  <c r="AT77" i="34" a="1"/>
  <c r="AT77" i="34" s="1"/>
  <c r="AT52" i="34" a="1"/>
  <c r="AT52" i="34" s="1"/>
  <c r="AT57" i="34" a="1"/>
  <c r="AT57" i="34" s="1"/>
  <c r="AT89" i="34" a="1"/>
  <c r="AT89" i="34" s="1"/>
  <c r="AT74" i="34" a="1"/>
  <c r="AT74" i="34" s="1"/>
  <c r="AW74" i="34"/>
  <c r="Y30" i="34"/>
  <c r="AD30" i="34" s="1" a="1"/>
  <c r="AD30" i="34" s="1"/>
  <c r="Y31" i="34"/>
  <c r="AF31" i="34" s="1" a="1"/>
  <c r="AF31" i="34" s="1"/>
  <c r="AE31" i="34" s="1" a="1"/>
  <c r="AE31" i="34" s="1"/>
  <c r="Y32" i="34"/>
  <c r="AD32" i="34" s="1" a="1"/>
  <c r="AD32" i="34" s="1"/>
  <c r="Y33" i="34"/>
  <c r="AD33" i="34" s="1" a="1"/>
  <c r="AD33" i="34" s="1"/>
  <c r="Y34" i="34"/>
  <c r="AD34" i="34" s="1" a="1"/>
  <c r="AD34" i="34" s="1"/>
  <c r="Y29" i="34"/>
  <c r="AF29" i="34" s="1" a="1"/>
  <c r="AF29" i="34" s="1"/>
  <c r="AE29" i="34" s="1" a="1"/>
  <c r="AE29" i="34" s="1"/>
  <c r="AT84" i="34" a="1"/>
  <c r="AT84" i="34" s="1"/>
  <c r="AT75" i="34" a="1"/>
  <c r="AT75" i="34" s="1"/>
  <c r="AT78" i="34" a="1"/>
  <c r="AT78" i="34" s="1"/>
  <c r="AT40" i="34" a="1"/>
  <c r="AT40" i="34" s="1"/>
  <c r="AT53" i="34" a="1"/>
  <c r="AT53" i="34" s="1"/>
  <c r="AT72" i="34" a="1"/>
  <c r="AT72" i="34" s="1"/>
  <c r="AT51" i="34" a="1"/>
  <c r="AT51" i="34" s="1"/>
  <c r="AT85" i="34" a="1"/>
  <c r="AT85" i="34" s="1"/>
  <c r="AT71" i="34" a="1"/>
  <c r="AT71" i="34" s="1"/>
  <c r="AT68" i="34" a="1"/>
  <c r="AT68" i="34" s="1"/>
  <c r="AT58" i="34" a="1"/>
  <c r="AT58" i="34" s="1"/>
  <c r="AT62" i="34" a="1"/>
  <c r="AT62" i="34" s="1"/>
  <c r="AT80" i="34" a="1"/>
  <c r="AT80" i="34" s="1"/>
  <c r="AT47" i="34" a="1"/>
  <c r="AT47" i="34" s="1"/>
  <c r="AT37" i="34" a="1"/>
  <c r="AT37" i="34" s="1"/>
  <c r="AT66" i="34" a="1"/>
  <c r="AT66" i="34" s="1"/>
  <c r="AT46" i="34" a="1"/>
  <c r="AT46" i="34" s="1"/>
  <c r="AT38" i="34" a="1"/>
  <c r="AT38" i="34" s="1"/>
  <c r="AT60" i="34" a="1"/>
  <c r="AT60" i="34" s="1"/>
  <c r="AT70" i="34" a="1"/>
  <c r="AT70" i="34" s="1"/>
  <c r="Y27" i="34"/>
  <c r="AF27" i="34" s="1" a="1"/>
  <c r="AF27" i="34" s="1"/>
  <c r="Y28" i="34"/>
  <c r="AF28" i="34" s="1" a="1"/>
  <c r="AF28" i="34" s="1"/>
  <c r="Y26" i="34"/>
  <c r="AF26" i="34" s="1" a="1"/>
  <c r="AF26" i="34" s="1"/>
  <c r="Y24" i="34"/>
  <c r="AF24" i="34" s="1" a="1"/>
  <c r="AF24" i="34" s="1"/>
  <c r="Y25" i="34"/>
  <c r="AF25" i="34" s="1" a="1"/>
  <c r="AF25" i="34" s="1"/>
  <c r="AT94" i="34" a="1"/>
  <c r="AT94" i="34" s="1"/>
  <c r="AW93" i="34"/>
  <c r="AU89" i="34" s="1" a="1"/>
  <c r="AU89" i="34" s="1"/>
  <c r="AU93" i="34" a="1"/>
  <c r="AU93" i="34" s="1"/>
  <c r="AT93" i="34" a="1"/>
  <c r="AT93" i="34" s="1"/>
  <c r="AW92" i="34"/>
  <c r="AU92" i="34" a="1"/>
  <c r="AU92" i="34" s="1"/>
  <c r="AT92" i="34" a="1"/>
  <c r="AT92" i="34" s="1"/>
  <c r="AT95" i="34" a="1"/>
  <c r="AT95" i="34" s="1"/>
  <c r="AW97" i="34"/>
  <c r="AU26" i="34" s="1" a="1"/>
  <c r="AU26" i="34" s="1"/>
  <c r="AW96" i="34"/>
  <c r="AT96" i="34" a="1"/>
  <c r="AT96" i="34" s="1"/>
  <c r="AW98" i="34"/>
  <c r="AU98" i="34" a="1"/>
  <c r="AU98" i="34" s="1"/>
  <c r="AT98" i="34" a="1"/>
  <c r="AT98" i="34" s="1"/>
  <c r="AT76" i="34" a="1"/>
  <c r="AT76" i="34" s="1"/>
  <c r="AT56" i="34" a="1"/>
  <c r="AT56" i="34" s="1"/>
  <c r="AT44" i="34" a="1"/>
  <c r="AT44" i="34" s="1"/>
  <c r="AT59" i="34" a="1"/>
  <c r="AT59" i="34" s="1"/>
  <c r="AT45" i="34" a="1"/>
  <c r="AT45" i="34" s="1"/>
  <c r="AT42" i="34" a="1"/>
  <c r="AT42" i="34" s="1"/>
  <c r="AT88" i="34" a="1"/>
  <c r="AT88" i="34" s="1"/>
  <c r="AT79" i="34" a="1"/>
  <c r="AT79" i="34" s="1"/>
  <c r="AT65" i="34" a="1"/>
  <c r="AT65" i="34" s="1"/>
  <c r="AT41" i="34" a="1"/>
  <c r="AT41" i="34" s="1"/>
  <c r="AT90" i="34" a="1"/>
  <c r="AT90" i="34" s="1"/>
  <c r="AT73" i="34" a="1"/>
  <c r="AT73" i="34" s="1"/>
  <c r="AT39" i="34" a="1"/>
  <c r="AT39" i="34" s="1"/>
  <c r="AT87" i="34" a="1"/>
  <c r="AT87" i="34" s="1"/>
  <c r="AT83" i="34" a="1"/>
  <c r="AT83" i="34" s="1"/>
  <c r="AT64" i="34" a="1"/>
  <c r="AT64" i="34" s="1"/>
  <c r="AT67" i="34" a="1"/>
  <c r="AT67" i="34" s="1"/>
  <c r="AT48" i="34" a="1"/>
  <c r="AT48" i="34" s="1"/>
  <c r="AD37" i="34" l="1" a="1"/>
  <c r="AD37" i="34" s="1"/>
  <c r="AF33" i="34" a="1"/>
  <c r="AF33" i="34" s="1"/>
  <c r="AE33" i="34" s="1" a="1"/>
  <c r="AE33" i="34" s="1"/>
  <c r="AF36" i="34" a="1"/>
  <c r="AF36" i="34" s="1"/>
  <c r="AF32" i="34" a="1"/>
  <c r="AF32" i="34" s="1"/>
  <c r="AE32" i="34" s="1" a="1"/>
  <c r="AE32" i="34" s="1"/>
  <c r="AD35" i="34" a="1"/>
  <c r="AD35" i="34" s="1"/>
  <c r="AV26" i="34"/>
  <c r="AW26" i="34" s="1"/>
  <c r="AU34" i="34" s="1" a="1"/>
  <c r="AU34" i="34" s="1"/>
  <c r="AV34" i="34" s="1"/>
  <c r="AW34" i="34" s="1"/>
  <c r="AD25" i="34" a="1"/>
  <c r="AD25" i="34" s="1"/>
  <c r="AF34" i="34" a="1"/>
  <c r="AF34" i="34" s="1"/>
  <c r="AE34" i="34" s="1" a="1"/>
  <c r="AE34" i="34" s="1"/>
  <c r="AD27" i="34" a="1"/>
  <c r="AD27" i="34" s="1"/>
  <c r="AD24" i="34" a="1"/>
  <c r="AD24" i="34" s="1"/>
  <c r="AD31" i="34" a="1"/>
  <c r="AD31" i="34" s="1"/>
  <c r="AD28" i="34" a="1"/>
  <c r="AD28" i="34" s="1"/>
  <c r="AU86" i="34" a="1"/>
  <c r="AU86" i="34" s="1"/>
  <c r="AV86" i="34" s="1"/>
  <c r="AW86" i="34" s="1"/>
  <c r="AV89" i="34"/>
  <c r="AW89" i="34" s="1"/>
  <c r="AD26" i="34" a="1"/>
  <c r="AD26" i="34" s="1"/>
  <c r="AD29" i="34" a="1"/>
  <c r="AD29" i="34" s="1"/>
  <c r="AF30" i="34" a="1"/>
  <c r="AF30" i="34" s="1"/>
  <c r="AE30" i="34" s="1" a="1"/>
  <c r="AE30" i="34" s="1"/>
  <c r="AT61" i="34" a="1"/>
  <c r="AT61" i="34" s="1"/>
  <c r="AT97" i="34" a="1"/>
  <c r="AT97" i="34" s="1"/>
  <c r="AU97" i="34" a="1"/>
  <c r="AU97" i="34" s="1"/>
  <c r="AT43" i="34" a="1"/>
  <c r="AT43" i="34" s="1"/>
  <c r="AT49" i="34" a="1"/>
  <c r="AT49" i="34" s="1"/>
  <c r="AT91" i="34" a="1"/>
  <c r="AT91" i="34" s="1"/>
  <c r="AV98" i="34"/>
  <c r="AV93" i="34"/>
  <c r="AV92" i="34"/>
  <c r="AT69" i="34" a="1"/>
  <c r="AT69" i="34" s="1"/>
  <c r="AH35" i="34" l="1" a="1"/>
  <c r="AH35" i="34" s="1"/>
  <c r="AU23" i="34" a="1"/>
  <c r="AU23" i="34" s="1"/>
  <c r="AV23" i="34" s="1"/>
  <c r="AW23" i="34" s="1"/>
  <c r="AU85" i="34" a="1"/>
  <c r="AU85" i="34" s="1"/>
  <c r="AV85" i="34" s="1"/>
  <c r="AW85" i="34" s="1"/>
  <c r="AU84" i="34" a="1"/>
  <c r="AU84" i="34" s="1"/>
  <c r="AV84" i="34" s="1"/>
  <c r="AW84" i="34" s="1"/>
  <c r="AV97" i="34"/>
  <c r="Y23" i="34"/>
  <c r="AD23" i="34" l="1" a="1"/>
  <c r="AD23" i="34" s="1"/>
  <c r="AE24" i="34" s="1" a="1"/>
  <c r="AE24" i="34" s="1"/>
  <c r="AG23" i="34" a="1"/>
  <c r="AG23" i="34" s="1"/>
  <c r="AG26" i="34" a="1"/>
  <c r="AG26" i="34" s="1"/>
  <c r="AG29" i="34" a="1"/>
  <c r="AG29" i="34" s="1"/>
  <c r="AG32" i="34" a="1"/>
  <c r="AG32" i="34" s="1"/>
  <c r="AG35" i="34" a="1"/>
  <c r="AG35" i="34" s="1"/>
  <c r="AU36" i="34" a="1"/>
  <c r="AU36" i="34" s="1"/>
  <c r="AV36" i="34" s="1"/>
  <c r="AW36" i="34" s="1"/>
  <c r="AU81" i="34" a="1"/>
  <c r="AU81" i="34" s="1"/>
  <c r="AV81" i="34" s="1"/>
  <c r="AW81" i="34" s="1"/>
  <c r="AU82" i="34" a="1"/>
  <c r="AU82" i="34" s="1"/>
  <c r="AV82" i="34" s="1"/>
  <c r="AW82" i="34" s="1"/>
  <c r="AF23" i="34" a="1"/>
  <c r="AF23" i="34" s="1"/>
  <c r="AE23" i="34" s="1" a="1"/>
  <c r="AE23" i="34" s="1"/>
  <c r="AE26" i="34" l="1" a="1"/>
  <c r="AE26" i="34" s="1"/>
  <c r="AE37" i="34" a="1"/>
  <c r="AE37" i="34" s="1"/>
  <c r="AE25" i="34" a="1"/>
  <c r="AE25" i="34" s="1"/>
  <c r="AE28" i="34" a="1"/>
  <c r="AE28" i="34" s="1"/>
  <c r="AE27" i="34" a="1"/>
  <c r="AE27" i="34" s="1"/>
  <c r="AE36" i="34" a="1"/>
  <c r="AE36" i="34" s="1"/>
  <c r="AU30" i="34" a="1"/>
  <c r="AU30" i="34" s="1"/>
  <c r="AV30" i="34" s="1"/>
  <c r="AW30" i="34" s="1"/>
  <c r="AU27" i="34" s="1" a="1"/>
  <c r="AU27" i="34" s="1"/>
  <c r="AV27" i="34" s="1"/>
  <c r="AW27" i="34" s="1"/>
  <c r="AU25" i="34" s="1" a="1"/>
  <c r="AU25" i="34" s="1"/>
  <c r="AV25" i="34" s="1"/>
  <c r="AW25" i="34" s="1"/>
  <c r="AU35" i="34" s="1" a="1"/>
  <c r="AU35" i="34" s="1"/>
  <c r="AV35" i="34" s="1"/>
  <c r="AW35" i="34" s="1"/>
  <c r="AI36" i="34" s="1" a="1"/>
  <c r="AI36" i="34" s="1"/>
  <c r="AK35" i="34" a="1"/>
  <c r="AK35" i="34" s="1"/>
  <c r="AH32" i="34" a="1"/>
  <c r="AH32" i="34" s="1"/>
  <c r="AH29" i="34" a="1"/>
  <c r="AH29" i="34" s="1"/>
  <c r="AE35" i="34" a="1"/>
  <c r="AE35" i="34" s="1"/>
  <c r="AU80" i="34" a="1"/>
  <c r="AU80" i="34" s="1"/>
  <c r="AV80" i="34" s="1"/>
  <c r="AW80" i="34" s="1"/>
  <c r="AG30" i="34" s="1" a="1"/>
  <c r="AG30" i="34" s="1"/>
  <c r="AU78" i="34" a="1"/>
  <c r="AU78" i="34" s="1"/>
  <c r="AV78" i="34" s="1"/>
  <c r="AW78" i="34" s="1"/>
  <c r="AG33" i="34" s="1" a="1"/>
  <c r="AG33" i="34" s="1"/>
  <c r="AI35" i="34" a="1"/>
  <c r="AI35" i="34" s="1"/>
  <c r="AU96" i="34" a="1"/>
  <c r="AU96" i="34" s="1"/>
  <c r="AV96" i="34" s="1"/>
  <c r="AU95" i="34" a="1"/>
  <c r="AU95" i="34" s="1"/>
  <c r="AV95" i="34" s="1"/>
  <c r="AW95" i="34" s="1"/>
  <c r="AU94" i="34" a="1"/>
  <c r="AU94" i="34" s="1"/>
  <c r="AV94" i="34" s="1"/>
  <c r="AW94" i="34" s="1"/>
  <c r="AM32" i="34" l="1" a="1"/>
  <c r="AM32" i="34" s="1"/>
  <c r="AU70" i="34" a="1"/>
  <c r="AU70" i="34" s="1"/>
  <c r="AV70" i="34" s="1"/>
  <c r="AW70" i="34" s="1"/>
  <c r="AU29" i="34" a="1"/>
  <c r="AU29" i="34" s="1"/>
  <c r="AV29" i="34" s="1"/>
  <c r="AW29" i="34" s="1"/>
  <c r="AK36" i="34" s="1" a="1"/>
  <c r="AK36" i="34" s="1"/>
  <c r="AK32" i="34" a="1"/>
  <c r="AK32" i="34" s="1"/>
  <c r="AK29" i="34" a="1"/>
  <c r="AK29" i="34" s="1"/>
  <c r="AH33" i="34" a="1"/>
  <c r="AH33" i="34" s="1"/>
  <c r="AI29" i="34" a="1"/>
  <c r="AI29" i="34" s="1"/>
  <c r="AJ29" i="34" s="1" a="1"/>
  <c r="AJ29" i="34" s="1"/>
  <c r="AM29" i="34" a="1"/>
  <c r="AM29" i="34" s="1"/>
  <c r="AJ36" i="34" a="1"/>
  <c r="AJ36" i="34" s="1"/>
  <c r="AI32" i="34" a="1"/>
  <c r="AI32" i="34" s="1"/>
  <c r="AU77" i="34" a="1"/>
  <c r="AU77" i="34" s="1"/>
  <c r="AV77" i="34" s="1"/>
  <c r="AW77" i="34" s="1"/>
  <c r="AU75" i="34" s="1" a="1"/>
  <c r="AU75" i="34" s="1"/>
  <c r="AV75" i="34" s="1"/>
  <c r="AW75" i="34" s="1"/>
  <c r="AU74" i="34" s="1" a="1"/>
  <c r="AU74" i="34" s="1"/>
  <c r="AV74" i="34" s="1"/>
  <c r="AJ35" i="34" a="1"/>
  <c r="AJ35" i="34" s="1"/>
  <c r="AM35" i="34" s="1" a="1"/>
  <c r="AM35" i="34" s="1"/>
  <c r="AL35" i="34" s="1"/>
  <c r="AU91" i="34" a="1"/>
  <c r="AU91" i="34" s="1"/>
  <c r="AV91" i="34" s="1"/>
  <c r="AW91" i="34" s="1"/>
  <c r="AU87" i="34" s="1" a="1"/>
  <c r="AU87" i="34" s="1"/>
  <c r="AV87" i="34" s="1"/>
  <c r="AW87" i="34" s="1"/>
  <c r="AU58" i="34" a="1"/>
  <c r="AU58" i="34" s="1"/>
  <c r="AV58" i="34" s="1"/>
  <c r="AW58" i="34" s="1"/>
  <c r="AU57" i="34" s="1" a="1"/>
  <c r="AU57" i="34" s="1"/>
  <c r="AV57" i="34" s="1"/>
  <c r="AW57" i="34" s="1"/>
  <c r="AI33" i="34" s="1" a="1"/>
  <c r="AI33" i="34" s="1"/>
  <c r="AU31" i="34" a="1"/>
  <c r="AU31" i="34" s="1"/>
  <c r="AV31" i="34" s="1"/>
  <c r="AW31" i="34" s="1"/>
  <c r="AU33" i="34" s="1" a="1"/>
  <c r="AU33" i="34" s="1"/>
  <c r="AV33" i="34" s="1"/>
  <c r="AW33" i="34" s="1"/>
  <c r="AU24" i="34" s="1" a="1"/>
  <c r="AU24" i="34" s="1"/>
  <c r="AV24" i="34" s="1"/>
  <c r="AW24" i="34" s="1"/>
  <c r="AU90" i="34" a="1"/>
  <c r="AU90" i="34" s="1"/>
  <c r="AV90" i="34" s="1"/>
  <c r="AW90" i="34" s="1"/>
  <c r="AH36" i="34" l="1" a="1"/>
  <c r="AH36" i="34" s="1"/>
  <c r="AL32" i="34"/>
  <c r="AU55" i="34" a="1"/>
  <c r="AU55" i="34" s="1"/>
  <c r="AV55" i="34" s="1"/>
  <c r="AW55" i="34" s="1"/>
  <c r="AU52" i="34" s="1" a="1"/>
  <c r="AU52" i="34" s="1"/>
  <c r="AV52" i="34" s="1"/>
  <c r="AW52" i="34" s="1"/>
  <c r="AU51" i="34" s="1" a="1"/>
  <c r="AU51" i="34" s="1"/>
  <c r="AV51" i="34" s="1"/>
  <c r="AW51" i="34" s="1"/>
  <c r="AU47" i="34" s="1" a="1"/>
  <c r="AU47" i="34" s="1"/>
  <c r="AV47" i="34" s="1"/>
  <c r="AW47" i="34" s="1"/>
  <c r="AI34" i="34" s="1" a="1"/>
  <c r="AI34" i="34" s="1"/>
  <c r="AM33" i="34" a="1"/>
  <c r="AM33" i="34" s="1"/>
  <c r="AU72" i="34" a="1"/>
  <c r="AU72" i="34" s="1"/>
  <c r="AV72" i="34" s="1"/>
  <c r="AW72" i="34" s="1"/>
  <c r="AM36" i="34" a="1"/>
  <c r="AM36" i="34" s="1"/>
  <c r="AL36" i="34" s="1"/>
  <c r="AU71" i="34" a="1"/>
  <c r="AU71" i="34" s="1"/>
  <c r="AV71" i="34" s="1"/>
  <c r="AW71" i="34" s="1"/>
  <c r="AG37" i="34" a="1"/>
  <c r="AG37" i="34" s="1"/>
  <c r="AL29" i="34"/>
  <c r="AG36" i="34" a="1"/>
  <c r="AG36" i="34" s="1"/>
  <c r="AK33" i="34" a="1"/>
  <c r="AK33" i="34" s="1"/>
  <c r="AJ32" i="34" a="1"/>
  <c r="AJ32" i="34" s="1"/>
  <c r="AJ33" i="34" a="1"/>
  <c r="AJ33" i="34" s="1"/>
  <c r="AG34" i="34" a="1"/>
  <c r="AG34" i="34" s="1"/>
  <c r="AI37" i="34" a="1"/>
  <c r="AI37" i="34" s="1"/>
  <c r="AU28" i="34" a="1"/>
  <c r="AU28" i="34" s="1"/>
  <c r="AV28" i="34" s="1"/>
  <c r="AW28" i="34" s="1"/>
  <c r="AU88" i="34" a="1"/>
  <c r="AU88" i="34" s="1"/>
  <c r="AV88" i="34" s="1"/>
  <c r="AW88" i="34" s="1"/>
  <c r="AU83" i="34" a="1"/>
  <c r="AU83" i="34" s="1"/>
  <c r="AV83" i="34" s="1"/>
  <c r="AW83" i="34" s="1"/>
  <c r="AI26" i="34" a="1"/>
  <c r="AI26" i="34" s="1"/>
  <c r="AI23" i="34" a="1"/>
  <c r="AI23" i="34" s="1"/>
  <c r="AL33" i="34" l="1"/>
  <c r="AU68" i="34" a="1"/>
  <c r="AU68" i="34" s="1"/>
  <c r="AV68" i="34" s="1"/>
  <c r="AW68" i="34" s="1"/>
  <c r="AU66" i="34" s="1" a="1"/>
  <c r="AU66" i="34" s="1"/>
  <c r="AV66" i="34" s="1"/>
  <c r="AW66" i="34" s="1"/>
  <c r="AU63" i="34" s="1" a="1"/>
  <c r="AU63" i="34" s="1"/>
  <c r="AV63" i="34" s="1"/>
  <c r="AW63" i="34" s="1"/>
  <c r="AU62" i="34" s="1" a="1"/>
  <c r="AU62" i="34" s="1"/>
  <c r="AV62" i="34" s="1"/>
  <c r="AW62" i="34" s="1"/>
  <c r="AH26" i="34" a="1"/>
  <c r="AH26" i="34" s="1"/>
  <c r="AK26" i="34" a="1"/>
  <c r="AK26" i="34" s="1"/>
  <c r="AJ37" i="34" a="1"/>
  <c r="AJ37" i="34" s="1"/>
  <c r="AJ34" i="34" a="1"/>
  <c r="AJ34" i="34" s="1"/>
  <c r="AJ23" i="34" a="1"/>
  <c r="AJ23" i="34" s="1"/>
  <c r="AU32" i="34" a="1"/>
  <c r="AU32" i="34" s="1"/>
  <c r="AV32" i="34" s="1"/>
  <c r="AW32" i="34" s="1"/>
  <c r="AM37" i="34" s="1" a="1"/>
  <c r="AM37" i="34" s="1"/>
  <c r="AU76" i="34" a="1"/>
  <c r="AU76" i="34" s="1"/>
  <c r="AV76" i="34" s="1"/>
  <c r="AW76" i="34" s="1"/>
  <c r="AU73" i="34" s="1" a="1"/>
  <c r="AU73" i="34" s="1"/>
  <c r="AV73" i="34" s="1"/>
  <c r="AW73" i="34" s="1"/>
  <c r="AU69" i="34" s="1" a="1"/>
  <c r="AU69" i="34" s="1"/>
  <c r="AV69" i="34" s="1"/>
  <c r="AW69" i="34" s="1"/>
  <c r="AU67" i="34" s="1" a="1"/>
  <c r="AU67" i="34" s="1"/>
  <c r="AV67" i="34" s="1"/>
  <c r="AW67" i="34" s="1"/>
  <c r="AU64" i="34" s="1" a="1"/>
  <c r="AU64" i="34" s="1"/>
  <c r="AV64" i="34" s="1"/>
  <c r="AW64" i="34" s="1"/>
  <c r="AI27" i="34" s="1" a="1"/>
  <c r="AI27" i="34" s="1"/>
  <c r="AU37" i="34" a="1"/>
  <c r="AU37" i="34" s="1"/>
  <c r="AV37" i="34" s="1"/>
  <c r="AW37" i="34" s="1"/>
  <c r="AJ26" i="34" a="1"/>
  <c r="AJ26" i="34" s="1"/>
  <c r="AM26" i="34" s="1" a="1"/>
  <c r="AM26" i="34" s="1"/>
  <c r="AL26" i="34" s="1"/>
  <c r="AU79" i="34" a="1"/>
  <c r="AU79" i="34" s="1"/>
  <c r="AV79" i="34" s="1"/>
  <c r="AW79" i="34" s="1"/>
  <c r="AH23" i="34" l="1" a="1"/>
  <c r="AH23" i="34" s="1"/>
  <c r="AK23" i="34" a="1"/>
  <c r="AK23" i="34" s="1"/>
  <c r="AH30" i="34" a="1"/>
  <c r="AH30" i="34" s="1"/>
  <c r="AH34" i="34" a="1"/>
  <c r="AH34" i="34" s="1"/>
  <c r="AK34" i="34" a="1"/>
  <c r="AK34" i="34" s="1"/>
  <c r="AK37" i="34" a="1"/>
  <c r="AK37" i="34" s="1"/>
  <c r="AL37" i="34" s="1"/>
  <c r="AJ27" i="34" a="1"/>
  <c r="AJ27" i="34" s="1"/>
  <c r="AH37" i="34" a="1"/>
  <c r="AH37" i="34" s="1"/>
  <c r="AM23" i="34" a="1"/>
  <c r="AM23" i="34" s="1"/>
  <c r="AG24" i="34" a="1"/>
  <c r="AG24" i="34" s="1"/>
  <c r="AU60" i="34" a="1"/>
  <c r="AU60" i="34" s="1"/>
  <c r="AV60" i="34" s="1"/>
  <c r="AW60" i="34" s="1"/>
  <c r="AI30" i="34" s="1" a="1"/>
  <c r="AI30" i="34" s="1"/>
  <c r="AG27" i="34" a="1"/>
  <c r="AG27" i="34" s="1"/>
  <c r="AM34" i="34" a="1"/>
  <c r="AM34" i="34" s="1"/>
  <c r="AU65" i="34" a="1"/>
  <c r="AU65" i="34" s="1"/>
  <c r="AV65" i="34" s="1"/>
  <c r="AW65" i="34" s="1"/>
  <c r="AU61" i="34" a="1"/>
  <c r="AU61" i="34" s="1"/>
  <c r="AV61" i="34" s="1"/>
  <c r="AW61" i="34" s="1"/>
  <c r="AL23" i="34" l="1"/>
  <c r="AM30" i="34" a="1"/>
  <c r="AM30" i="34" s="1"/>
  <c r="AK30" i="34" a="1"/>
  <c r="AK30" i="34" s="1"/>
  <c r="AG31" i="34" a="1"/>
  <c r="AG31" i="34" s="1"/>
  <c r="AH27" i="34" a="1"/>
  <c r="AH27" i="34" s="1"/>
  <c r="AK27" i="34" a="1"/>
  <c r="AK27" i="34" s="1"/>
  <c r="AL34" i="34"/>
  <c r="AJ30" i="34" a="1"/>
  <c r="AJ30" i="34" s="1"/>
  <c r="AU54" i="34" a="1"/>
  <c r="AU54" i="34" s="1"/>
  <c r="AV54" i="34" s="1"/>
  <c r="AW54" i="34" s="1"/>
  <c r="AU53" i="34" s="1" a="1"/>
  <c r="AU53" i="34" s="1"/>
  <c r="AV53" i="34" s="1"/>
  <c r="AW53" i="34" s="1"/>
  <c r="AU50" i="34" s="1" a="1"/>
  <c r="AU50" i="34" s="1"/>
  <c r="AV50" i="34" s="1"/>
  <c r="AW50" i="34" s="1"/>
  <c r="AU49" i="34" a="1"/>
  <c r="AU49" i="34" s="1"/>
  <c r="AV49" i="34" s="1"/>
  <c r="AW49" i="34" s="1"/>
  <c r="AU44" i="34" s="1" a="1"/>
  <c r="AU44" i="34" s="1"/>
  <c r="AV44" i="34" s="1"/>
  <c r="AW44" i="34" s="1"/>
  <c r="AU43" i="34" s="1" a="1"/>
  <c r="AU43" i="34" s="1"/>
  <c r="AV43" i="34" s="1"/>
  <c r="AW43" i="34" s="1"/>
  <c r="AG28" i="34" a="1"/>
  <c r="AG28" i="34" s="1"/>
  <c r="AM27" i="34" a="1"/>
  <c r="AM27" i="34" s="1"/>
  <c r="AL27" i="34" s="1"/>
  <c r="AI24" i="34" a="1"/>
  <c r="AI24" i="34" s="1"/>
  <c r="AU59" i="34" a="1"/>
  <c r="AU59" i="34" s="1"/>
  <c r="AV59" i="34" s="1"/>
  <c r="AW59" i="34" s="1"/>
  <c r="AK24" i="34" s="1" a="1"/>
  <c r="AK24" i="34" s="1"/>
  <c r="AL30" i="34" l="1"/>
  <c r="AJ24" i="34" a="1"/>
  <c r="AJ24" i="34" s="1"/>
  <c r="AG25" i="34" a="1"/>
  <c r="AG25" i="34" s="1"/>
  <c r="AH24" i="34" a="1"/>
  <c r="AH24" i="34" s="1"/>
  <c r="AU42" i="34" a="1"/>
  <c r="AU42" i="34" s="1"/>
  <c r="AV42" i="34" s="1"/>
  <c r="AW42" i="34" s="1"/>
  <c r="AU41" i="34" a="1"/>
  <c r="AU41" i="34" s="1"/>
  <c r="AV41" i="34" s="1"/>
  <c r="AW41" i="34" s="1"/>
  <c r="AI28" i="34" s="1" a="1"/>
  <c r="AI28" i="34" s="1"/>
  <c r="AU46" i="34" a="1"/>
  <c r="AU46" i="34" s="1"/>
  <c r="AV46" i="34" s="1"/>
  <c r="AW46" i="34" s="1"/>
  <c r="AU40" i="34" s="1" a="1"/>
  <c r="AU40" i="34" s="1"/>
  <c r="AV40" i="34" s="1"/>
  <c r="AW40" i="34" s="1"/>
  <c r="AU56" i="34" a="1"/>
  <c r="AU56" i="34" s="1"/>
  <c r="AV56" i="34" s="1"/>
  <c r="AW56" i="34" s="1"/>
  <c r="AU48" i="34" s="1" a="1"/>
  <c r="AU48" i="34" s="1"/>
  <c r="AV48" i="34" s="1"/>
  <c r="AW48" i="34" s="1"/>
  <c r="AU45" i="34" s="1" a="1"/>
  <c r="AU45" i="34" s="1"/>
  <c r="AV45" i="34" s="1"/>
  <c r="AW45" i="34" s="1"/>
  <c r="AM24" i="34" a="1"/>
  <c r="AM24" i="34" s="1"/>
  <c r="AL24" i="34" s="1"/>
  <c r="AH28" i="34" l="1" a="1"/>
  <c r="AH28" i="34" s="1"/>
  <c r="AK28" i="34" a="1"/>
  <c r="AK28" i="34" s="1"/>
  <c r="AH31" i="34" a="1"/>
  <c r="AH31" i="34" s="1"/>
  <c r="AJ28" i="34" a="1"/>
  <c r="AJ28" i="34" s="1"/>
  <c r="AM28" i="34" s="1" a="1"/>
  <c r="AM28" i="34" s="1"/>
  <c r="AU39" i="34" a="1"/>
  <c r="AU39" i="34" s="1"/>
  <c r="AV39" i="34" s="1"/>
  <c r="AW39" i="34" s="1"/>
  <c r="AI25" i="34" s="1" a="1"/>
  <c r="AI25" i="34" s="1"/>
  <c r="AH25" i="34" a="1"/>
  <c r="AH25" i="34" s="1"/>
  <c r="AU38" i="34" a="1"/>
  <c r="AU38" i="34" s="1"/>
  <c r="AV38" i="34" s="1"/>
  <c r="AW38" i="34" s="1"/>
  <c r="AI31" i="34" s="1" a="1"/>
  <c r="AI31" i="34" s="1"/>
  <c r="AL28" i="34" l="1"/>
  <c r="AK31" i="34" a="1"/>
  <c r="AK31" i="34" s="1"/>
  <c r="AK25" i="34" a="1"/>
  <c r="AK25" i="34" s="1"/>
  <c r="AJ31" i="34" a="1"/>
  <c r="AJ31" i="34" s="1"/>
  <c r="AJ25" i="34" a="1"/>
  <c r="AJ25" i="34" s="1"/>
  <c r="AM25" i="34" s="1" a="1"/>
  <c r="AM25" i="34" s="1"/>
  <c r="AM31" i="34" a="1"/>
  <c r="AM31" i="34" s="1"/>
  <c r="AL31" i="34" l="1"/>
  <c r="AL25" i="3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<sst xmlns="http://schemas.openxmlformats.org/spreadsheetml/2006/main" count="252" uniqueCount="77">
  <si>
    <t>Tháng</t>
  </si>
  <si>
    <t>Năm</t>
  </si>
  <si>
    <t>Kỳ</t>
  </si>
  <si>
    <t>Bên A</t>
  </si>
  <si>
    <t>Công ty TNHH Tư vấn Quản trị FIRM</t>
  </si>
  <si>
    <t>[Địa chỉ]</t>
  </si>
  <si>
    <t>[Mã số thuế]</t>
  </si>
  <si>
    <t>[SĐT - Fax]</t>
  </si>
  <si>
    <t>[Website - Page]</t>
  </si>
  <si>
    <t>[STK - Ngân hàng]</t>
  </si>
  <si>
    <t>Bên B</t>
  </si>
  <si>
    <t>Công ty ABC XYZ</t>
  </si>
  <si>
    <t>ID</t>
  </si>
  <si>
    <t>License</t>
  </si>
  <si>
    <t>Số lượng</t>
  </si>
  <si>
    <t>Loại</t>
  </si>
  <si>
    <t>SL xuất</t>
  </si>
  <si>
    <t>Sản xuất</t>
  </si>
  <si>
    <t>Tiêu thụ</t>
  </si>
  <si>
    <t>Giá trị xuất</t>
  </si>
  <si>
    <t>Chi phí ghi nhận</t>
  </si>
  <si>
    <t>Ngày xuất nhập</t>
  </si>
  <si>
    <t>Giá trị hàng nhập</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</si>
  <si>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</si>
  <si>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</si>
  <si>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</si>
  <si>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</si>
  <si>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</si>
  <si>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</si>
  <si>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</si>
  <si>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</si>
  <si>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</si>
  <si>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</si>
  <si>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</si>
  <si>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</si>
  <si>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</si>
  <si>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link server</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</si>
  <si>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</si>
  <si>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</si>
  <si>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</si>
  <si>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</si>
  <si>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</si>
  <si>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Tồn kho đầu ngày</t>
  </si>
  <si>
    <t>Giá trị tồn đầu ngày</t>
  </si>
  <si>
    <t>Giá trị bình quân đầu ngày</t>
  </si>
  <si>
    <t>Mặt hàng</t>
  </si>
  <si>
    <t>NL1</t>
  </si>
  <si>
    <t>Nhập</t>
  </si>
  <si>
    <t>NL2</t>
  </si>
  <si>
    <t>HH1</t>
  </si>
  <si>
    <t>Xuất</t>
  </si>
  <si>
    <t>TP1</t>
  </si>
  <si>
    <t>TP2</t>
  </si>
  <si>
    <t>Đơn giá nhập</t>
  </si>
  <si>
    <t>Row Labels</t>
  </si>
  <si>
    <t>Grand Total</t>
  </si>
  <si>
    <t>Mar</t>
  </si>
  <si>
    <t>Apr</t>
  </si>
  <si>
    <t>May</t>
  </si>
  <si>
    <t>Giá trị đầu kỳ</t>
  </si>
  <si>
    <t>Giá trị nhập</t>
  </si>
  <si>
    <t>Tổng giá trị cuối kỳ</t>
  </si>
  <si>
    <t>Tồn kho cuối kỳ</t>
  </si>
  <si>
    <t>Giá vốn cuối kỳ</t>
  </si>
  <si>
    <t>Column Labels</t>
  </si>
  <si>
    <t>(blank)</t>
  </si>
  <si>
    <t>Chi phí giá vốn</t>
  </si>
  <si>
    <t>Thành phẩm</t>
  </si>
  <si>
    <t>Hàng hóa / NL</t>
  </si>
  <si>
    <t>(All)</t>
  </si>
  <si>
    <t>Values</t>
  </si>
  <si>
    <t>Giá trị tồn kho chưa tiêu thụ</t>
  </si>
  <si>
    <t>Giá vốn thành phẩm tồn kho</t>
  </si>
  <si>
    <t>Cơ cấu tổng giá trị tồn kho</t>
  </si>
  <si>
    <t>4C68A711-89BE-412A-BD2D-CB33771CC62D</t>
  </si>
  <si>
    <t>EASY-33329183463</t>
  </si>
  <si>
    <t>CP02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</si>
</sst>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3" formatCode="_(* #,##0.00_);_(* \(#,##0.00\);_(* &quot;-&quot;??_);_(@_)"/>
    <numFmt numFmtId="164" formatCode="_(* #,##0_);_(* \(#,##0\);_(* &quot;-&quot;??_);_(@_)"/>
    <numFmt numFmtId="165" formatCode="mm\-yyyy"/>
    <numFmt numFmtId="166" formatCode="d/m/yyyy"/>
    <numFmt numFmtId="167" formatCode="[$-1010000]d/m/yyyy;@"/>
    <numFmt numFmtId="168" formatCode="_(#,##0_);_(\(#,##0\);_(\-_);_(@_)"/>
  </numFmts>
  <fonts count="18"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sz val="8"/>
      <color theme="9"/>
      <name val="Segoe UI Light"/>
      <family val="2"/>
      <scheme val="minor"/>
    </font>
    <font>
      <sz val="8"/>
      <color rgb="FF000000"/>
      <name val="Segoe UI Light"/>
      <family val="2"/>
    </font>
    <font>
      <sz val="8"/>
      <color theme="0"/>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b/>
      <sz val="8"/>
      <color rgb="FF000000"/>
      <name val="Segoe UI Light"/>
      <family val="2"/>
    </font>
    <font>
      <u/>
      <sz val="12"/>
      <color theme="1"/>
      <name val="Segoe UI Light"/>
      <family val="2"/>
      <scheme val="minor"/>
    </font>
    <font>
      <sz val="8"/>
      <color theme="9"/>
      <name val="Segoe UI Light"/>
      <family val="2"/>
    </font>
    <font>
      <b/>
      <sz val="14"/>
      <color theme="6"/>
      <name val="Segoe UI Light"/>
      <family val="2"/>
      <scheme val="minor"/>
    </font>
  </fonts>
  <fills count="2">
    <fill>
      <patternFill patternType="none"/>
    </fill>
    <fill>
      <patternFill patternType="gray125"/>
    </fill>
  </fills>
  <borders count="3">
    <border>
      <left/>
      <right/>
      <top/>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s>
  <cellStyleXfs count="2">
    <xf numFmtId="0" fontId="0" fillId="0" borderId="0"/>
    <xf numFmtId="43" fontId="1" fillId="0" borderId="0" applyFont="0" applyFill="0" applyBorder="0" applyAlignment="0" applyProtection="0"/>
  </cellStyleXfs>
  <cellXfs count="48">
    <xf numFmtId="0" fontId="0" fillId="0" borderId="0" xfId="0"/>
    <xf numFmtId="0" fontId="5" fillId="0" borderId="0" xfId="0" applyFont="1" applyAlignment="1" applyProtection="1">
      <alignment vertical="center"/>
      <protection locked="0" hidden="1"/>
    </xf>
    <xf numFmtId="0" fontId="0" fillId="0" borderId="0" xfId="0" applyProtection="1">
      <protection locked="0" hidden="1"/>
    </xf>
    <xf numFmtId="0" fontId="5" fillId="0" borderId="0" xfId="0" applyFont="1" applyProtection="1">
      <protection locked="0" hidden="1"/>
    </xf>
    <xf numFmtId="0" fontId="9" fillId="0" borderId="0" xfId="0" applyFont="1" applyAlignment="1" applyProtection="1">
      <alignment vertical="center"/>
      <protection locked="0" hidden="1"/>
    </xf>
    <xf numFmtId="164" fontId="7" fillId="0" borderId="2" xfId="1" applyNumberFormat="1" applyFont="1" applyFill="1" applyBorder="1" applyAlignment="1" applyProtection="1">
      <alignment vertical="center"/>
      <protection locked="0" hidden="1"/>
    </xf>
    <xf numFmtId="165" fontId="7" fillId="0" borderId="1" xfId="0" applyNumberFormat="1" applyFont="1" applyBorder="1" applyAlignment="1" applyProtection="1">
      <alignment vertical="center"/>
      <protection locked="0" hidden="1"/>
    </xf>
    <xf numFmtId="0" fontId="0" fillId="0" borderId="0" xfId="0" applyAlignment="1">
      <alignment horizontal="left"/>
    </xf>
    <xf numFmtId="164" fontId="7" fillId="0" borderId="2" xfId="1" applyNumberFormat="1" applyFont="1" applyBorder="1" applyAlignment="1" applyProtection="1">
      <alignment vertical="center"/>
      <protection locked="0" hidden="1"/>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2" fillId="0" borderId="0" xfId="0" applyFont="1" applyAlignment="1" applyProtection="1">
      <alignment horizontal="right" vertical="center"/>
      <protection locked="0"/>
    </xf>
    <xf numFmtId="0" fontId="1" fillId="0" borderId="0" xfId="0" applyFont="1" applyAlignment="1">
      <alignment horizontal="left" vertical="center"/>
    </xf>
    <xf numFmtId="0" fontId="11"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7" fontId="1" fillId="0" borderId="0" xfId="0" applyNumberFormat="1" applyFont="1" applyAlignment="1">
      <alignment horizontal="left" vertical="center"/>
    </xf>
    <xf numFmtId="167"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0" fontId="5" fillId="0" borderId="2" xfId="0" applyFont="1" applyBorder="1" applyAlignment="1" applyProtection="1">
      <alignment vertical="center"/>
      <protection locked="0" hidden="1"/>
    </xf>
    <xf numFmtId="0" fontId="8" fillId="0" borderId="0" xfId="1" applyNumberFormat="1" applyFont="1" applyFill="1" applyAlignment="1" applyProtection="1">
      <alignment vertical="center"/>
      <protection locked="0" hidden="1"/>
    </xf>
    <xf numFmtId="168" fontId="0" fillId="0" borderId="0" xfId="0" applyNumberFormat="1" applyAlignment="1" applyProtection="1">
      <alignment vertical="center"/>
      <protection locked="0"/>
    </xf>
    <xf numFmtId="168" fontId="10" fillId="0" borderId="0" xfId="0" applyNumberFormat="1" applyFont="1" applyProtection="1">
      <protection locked="0"/>
    </xf>
    <xf numFmtId="168" fontId="0" fillId="0" borderId="0" xfId="0" applyNumberFormat="1" applyProtection="1">
      <protection locked="0"/>
    </xf>
    <xf numFmtId="168" fontId="0" fillId="0" borderId="0" xfId="0" applyNumberFormat="1" applyAlignment="1" applyProtection="1">
      <alignment horizontal="left" vertical="center" indent="1"/>
      <protection locked="0"/>
    </xf>
    <xf numFmtId="168" fontId="10" fillId="0" borderId="0" xfId="0" applyNumberFormat="1" applyFont="1" applyAlignment="1" applyProtection="1">
      <alignment horizontal="left" vertical="center" indent="1"/>
      <protection locked="0"/>
    </xf>
    <xf numFmtId="168" fontId="0" fillId="0" borderId="0" xfId="0" applyNumberFormat="1" applyAlignment="1">
      <alignment horizontal="left"/>
    </xf>
    <xf numFmtId="166" fontId="6" fillId="0" borderId="2" xfId="0" applyNumberFormat="1" applyFont="1" applyBorder="1" applyAlignment="1" applyProtection="1">
      <alignment vertical="center"/>
      <protection locked="0" hidden="1"/>
    </xf>
    <xf numFmtId="164" fontId="5" fillId="0" borderId="0" xfId="1" applyNumberFormat="1" applyFont="1" applyFill="1" applyAlignment="1" applyProtection="1">
      <alignment vertical="center"/>
      <protection locked="0" hidden="1"/>
    </xf>
    <xf numFmtId="164" fontId="6" fillId="0" borderId="0" xfId="1" applyNumberFormat="1" applyFont="1" applyFill="1" applyAlignment="1" applyProtection="1">
      <alignment vertical="center"/>
      <protection locked="0" hidden="1"/>
    </xf>
    <xf numFmtId="0" fontId="8" fillId="0" borderId="2" xfId="1" applyNumberFormat="1" applyFont="1" applyFill="1" applyBorder="1" applyAlignment="1" applyProtection="1">
      <alignment vertical="center"/>
      <protection locked="0" hidden="1"/>
    </xf>
    <xf numFmtId="164" fontId="5" fillId="0" borderId="2" xfId="1" applyNumberFormat="1" applyFont="1" applyFill="1" applyBorder="1" applyAlignment="1" applyProtection="1">
      <alignment vertical="center"/>
      <protection locked="0" hidden="1"/>
    </xf>
    <xf numFmtId="164" fontId="6" fillId="0" borderId="2" xfId="1" applyNumberFormat="1" applyFont="1" applyFill="1" applyBorder="1" applyAlignment="1" applyProtection="1">
      <alignment vertical="center"/>
      <protection locked="0" hidden="1"/>
    </xf>
    <xf numFmtId="14" fontId="0" fillId="0" borderId="0" xfId="0" applyNumberFormat="1" applyProtection="1">
      <protection locked="0" hidden="1"/>
    </xf>
    <xf numFmtId="0" fontId="8" fillId="0" borderId="2" xfId="0" applyFont="1" applyBorder="1" applyAlignment="1" applyProtection="1">
      <alignment vertical="center"/>
      <protection locked="0" hidden="1"/>
    </xf>
    <xf numFmtId="0" fontId="8" fillId="0" borderId="0" xfId="1" applyNumberFormat="1" applyFont="1" applyFill="1" applyBorder="1" applyAlignment="1" applyProtection="1">
      <alignment vertical="center"/>
      <protection locked="0" hidden="1"/>
    </xf>
    <xf numFmtId="164" fontId="5" fillId="0" borderId="0" xfId="1" applyNumberFormat="1" applyFont="1" applyFill="1" applyBorder="1" applyAlignment="1" applyProtection="1">
      <alignment vertical="center"/>
      <protection locked="0" hidden="1"/>
    </xf>
    <xf numFmtId="164" fontId="6" fillId="0" borderId="0" xfId="1" applyNumberFormat="1" applyFont="1" applyFill="1" applyBorder="1" applyAlignment="1" applyProtection="1">
      <alignment vertical="center"/>
      <protection locked="0" hidden="1"/>
    </xf>
    <xf numFmtId="164" fontId="0" fillId="0" borderId="0" xfId="0" applyNumberFormat="1"/>
    <xf numFmtId="164" fontId="16" fillId="0" borderId="2" xfId="1" applyNumberFormat="1" applyFont="1" applyFill="1" applyBorder="1" applyAlignment="1" applyProtection="1">
      <alignment vertical="center"/>
      <protection locked="0" hidden="1"/>
    </xf>
    <xf numFmtId="164" fontId="16" fillId="0" borderId="0" xfId="1" applyNumberFormat="1" applyFont="1" applyFill="1" applyAlignment="1" applyProtection="1">
      <alignment vertical="center"/>
      <protection locked="0" hidden="1"/>
    </xf>
    <xf numFmtId="164" fontId="16" fillId="0" borderId="0" xfId="1" applyNumberFormat="1" applyFont="1" applyFill="1" applyBorder="1" applyAlignment="1" applyProtection="1">
      <alignment vertical="center"/>
      <protection locked="0" hidden="1"/>
    </xf>
    <xf numFmtId="0" fontId="0" fillId="0" borderId="0" xfId="0" pivotButton="1"/>
    <xf numFmtId="165" fontId="0" fillId="0" borderId="0" xfId="0" applyNumberFormat="1" applyAlignment="1">
      <alignment horizontal="left"/>
    </xf>
    <xf numFmtId="0" fontId="17" fillId="0" borderId="0" xfId="0" applyFont="1" applyProtection="1">
      <protection locked="0" hidden="1"/>
    </xf>
  </cellXfs>
  <cellStyles count="2">
    <cellStyle name="Comma" xfId="1" builtinId="3"/>
    <cellStyle name="Normal" xfId="0" builtinId="0"/>
  </cellStyles>
  <dxfs count="40">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none"/>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6" formatCode="d/m/yyyy"/>
      <fill>
        <patternFill patternType="none">
          <fgColor indexed="64"/>
          <bgColor auto="1"/>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rgb="FF000000"/>
        <name val="Segoe UI Light"/>
        <family val="2"/>
        <scheme val="none"/>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protection locked="0" hidden="1"/>
    </dxf>
    <dxf>
      <font>
        <b val="0"/>
        <i val="0"/>
        <strike val="0"/>
        <condense val="0"/>
        <extend val="0"/>
        <outline val="0"/>
        <shadow val="0"/>
        <u val="none"/>
        <vertAlign val="baseline"/>
        <sz val="8"/>
        <color theme="0"/>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left/>
        <right/>
        <top style="thin">
          <color theme="5" tint="0.39997558519241921"/>
        </top>
        <bottom style="thin">
          <color theme="5" tint="0.39997558519241921"/>
        </bottom>
        <vertical/>
        <horizontal/>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numFmt numFmtId="165" formatCode="mm\-yyyy"/>
      <alignment horizontal="general" vertical="center" textRotation="0" wrapText="0" indent="0" justifyLastLine="0" shrinkToFit="0" readingOrder="0"/>
      <border diagonalUp="0" diagonalDown="0" outline="0">
        <left style="thin">
          <color theme="5" tint="0.39997558519241921"/>
        </left>
        <right/>
        <top style="thin">
          <color theme="5" tint="0.39997558519241921"/>
        </top>
        <bottom style="thin">
          <color theme="5" tint="0.39997558519241921"/>
        </bottom>
      </border>
      <protection locked="0" hidden="1"/>
    </dxf>
    <dxf>
      <font>
        <strike val="0"/>
        <outline val="0"/>
        <shadow val="0"/>
        <u val="none"/>
        <vertAlign val="baseline"/>
        <sz val="8"/>
        <color theme="9"/>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0"/>
        <name val="Segoe UI Light"/>
        <family val="2"/>
        <scheme val="minor"/>
      </font>
      <alignment horizontal="general" vertical="center" textRotation="0" wrapText="0" indent="0" justifyLastLine="0" shrinkToFit="0" readingOrder="0"/>
      <protection locked="0" hidden="1"/>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39"/>
      <tableStyleElement type="headerRow" dxfId="38"/>
    </tableStyle>
    <tableStyle name="SlicerStyleLight1 2 2" pivot="0" table="0" count="10" xr9:uid="{9DB8D611-4D15-4128-AF8D-E3329BCC5BCE}">
      <tableStyleElement type="wholeTable" dxfId="37"/>
      <tableStyleElement type="headerRow" dxfId="36"/>
    </tableStyle>
    <tableStyle name="TimeSlicerStyleLight1 2" pivot="0" table="0" count="9" xr9:uid="{58382D9D-B456-41C4-B229-09D2A872184E}">
      <tableStyleElement type="wholeTable" dxfId="35"/>
      <tableStyleElement type="headerRow" dxfId="34"/>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4.xml"/><Relationship Id="rId18" Type="http://schemas.openxmlformats.org/officeDocument/2006/relationships/customXml" Target="../customXml/item9.xml"/><Relationship Id="rId26" Type="http://schemas.openxmlformats.org/officeDocument/2006/relationships/customXml" Target="../customXml/item17.xml"/><Relationship Id="rId3" Type="http://schemas.openxmlformats.org/officeDocument/2006/relationships/worksheet" Target="worksheets/sheet3.xml"/><Relationship Id="rId21" Type="http://schemas.openxmlformats.org/officeDocument/2006/relationships/customXml" Target="../customXml/item12.xml"/><Relationship Id="rId34" Type="http://schemas.microsoft.com/office/2006/relationships/vbaProject" Target="vbaProject.bin"/><Relationship Id="rId7" Type="http://schemas.openxmlformats.org/officeDocument/2006/relationships/sharedStrings" Target="sharedStrings.xml"/><Relationship Id="rId12" Type="http://schemas.openxmlformats.org/officeDocument/2006/relationships/customXml" Target="../customXml/item3.xml"/><Relationship Id="rId17" Type="http://schemas.openxmlformats.org/officeDocument/2006/relationships/customXml" Target="../customXml/item8.xml"/><Relationship Id="rId25" Type="http://schemas.openxmlformats.org/officeDocument/2006/relationships/customXml" Target="../customXml/item16.xml"/><Relationship Id="rId33" Type="http://schemas.openxmlformats.org/officeDocument/2006/relationships/customXml" Target="../customXml/item24.xml"/><Relationship Id="rId2" Type="http://schemas.openxmlformats.org/officeDocument/2006/relationships/worksheet" Target="worksheets/sheet2.xml"/><Relationship Id="rId16" Type="http://schemas.openxmlformats.org/officeDocument/2006/relationships/customXml" Target="../customXml/item7.xml"/><Relationship Id="rId20" Type="http://schemas.openxmlformats.org/officeDocument/2006/relationships/customXml" Target="../customXml/item11.xml"/><Relationship Id="rId29" Type="http://schemas.openxmlformats.org/officeDocument/2006/relationships/customXml" Target="../customXml/item20.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24" Type="http://schemas.openxmlformats.org/officeDocument/2006/relationships/customXml" Target="../customXml/item15.xml"/><Relationship Id="rId32" Type="http://schemas.openxmlformats.org/officeDocument/2006/relationships/customXml" Target="../customXml/item23.xml"/><Relationship Id="rId5" Type="http://schemas.openxmlformats.org/officeDocument/2006/relationships/theme" Target="theme/theme1.xml"/><Relationship Id="rId15" Type="http://schemas.openxmlformats.org/officeDocument/2006/relationships/customXml" Target="../customXml/item6.xml"/><Relationship Id="rId23" Type="http://schemas.openxmlformats.org/officeDocument/2006/relationships/customXml" Target="../customXml/item14.xml"/><Relationship Id="rId28" Type="http://schemas.openxmlformats.org/officeDocument/2006/relationships/customXml" Target="../customXml/item19.xml"/><Relationship Id="rId10" Type="http://schemas.openxmlformats.org/officeDocument/2006/relationships/customXml" Target="../customXml/item1.xml"/><Relationship Id="rId19" Type="http://schemas.openxmlformats.org/officeDocument/2006/relationships/customXml" Target="../customXml/item10.xml"/><Relationship Id="rId31" Type="http://schemas.openxmlformats.org/officeDocument/2006/relationships/customXml" Target="../customXml/item22.xml"/><Relationship Id="rId4" Type="http://schemas.openxmlformats.org/officeDocument/2006/relationships/pivotCacheDefinition" Target="pivotCache/pivotCacheDefinition1.xml"/><Relationship Id="rId9" Type="http://schemas.openxmlformats.org/officeDocument/2006/relationships/calcChain" Target="calcChain.xml"/><Relationship Id="rId14" Type="http://schemas.openxmlformats.org/officeDocument/2006/relationships/customXml" Target="../customXml/item5.xml"/><Relationship Id="rId22" Type="http://schemas.openxmlformats.org/officeDocument/2006/relationships/customXml" Target="../customXml/item13.xml"/><Relationship Id="rId27" Type="http://schemas.openxmlformats.org/officeDocument/2006/relationships/customXml" Target="../customXml/item18.xml"/><Relationship Id="rId30" Type="http://schemas.openxmlformats.org/officeDocument/2006/relationships/customXml" Target="../customXml/item21.xml"/><Relationship Id="rId8"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[08. EASY-CP02 - Phân bổ giá vốn.xlsm]Phân bổ giá vốn!PivotTable2</c:name>
    <c:fmtId val="0"/>
  </c:pivotSource>
  <c:chart>
    <c:autoTitleDeleted val="1"/>
    <c:pivotFmts>
      <c:pivotFmt>
        <c:idx val="0"/>
        <c:dLbl>
          <c:idx val="0"/>
          <c:showLegendKey val="0"/>
          <c:showVal val="1"/>
          <c:showCatName val="0"/>
          <c:showSerName val="0"/>
          <c:showPercent val="0"/>
          <c:showBubbleSize val="0"/>
          <c:extLst>
            <c:ext xmlns:c15="http://schemas.microsoft.com/office/drawing/2012/chart" uri="{CE6537A1-D6FC-4f65-9D91-7224C49458BB}"/>
          </c:extLst>
        </c:dLbl>
      </c:pivotFmt>
      <c:pivotFmt>
        <c:idx val="1"/>
        <c:dLbl>
          <c:idx val="0"/>
          <c:showLegendKey val="0"/>
          <c:showVal val="1"/>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5"/>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6"/>
        <c:dLbl>
          <c:idx val="0"/>
          <c:dLblPos val="ctr"/>
          <c:showLegendKey val="0"/>
          <c:showVal val="1"/>
          <c:showCatName val="0"/>
          <c:showSerName val="1"/>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1"/>
          <c:showCatName val="0"/>
          <c:showSerName val="1"/>
          <c:showPercent val="0"/>
          <c:showBubbleSize val="0"/>
          <c:extLst>
            <c:ext xmlns:c15="http://schemas.microsoft.com/office/drawing/2012/chart" uri="{CE6537A1-D6FC-4f65-9D91-7224C49458BB}"/>
          </c:extLst>
        </c:dLbl>
      </c:pivotFmt>
      <c:pivotFmt>
        <c:idx val="11"/>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12"/>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
        <c:idx val="13"/>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alpha val="85000"/>
            </a:schemeClr>
          </a:solidFill>
          <a:ln w="9525" cap="flat" cmpd="sng" algn="ctr">
            <a:solidFill>
              <a:schemeClr val="lt1">
                <a:alpha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'Phân bổ giá vốn'!$C$22:$C$23</c:f>
              <c:strCache>
                <c:ptCount val="1"/>
                <c:pt idx="0">
                  <c:v>HH1</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'Phân bổ giá vốn'!$B$24:$B$27</c:f>
              <c:strCache>
                <c:ptCount val="3"/>
                <c:pt idx="0">
                  <c:v>Mar</c:v>
                </c:pt>
                <c:pt idx="1">
                  <c:v>Apr</c:v>
                </c:pt>
                <c:pt idx="2">
                  <c:v>May</c:v>
                </c:pt>
              </c:strCache>
            </c:strRef>
          </c:cat>
          <c:val>
            <c:numRef>
              <c:f>'Phân bổ giá vốn'!$C$24:$C$27</c:f>
              <c:numCache>
                <c:formatCode>_(* #,##0_);_(* \(#,##0\);_(* "-"??_);_(@_)</c:formatCode>
                <c:ptCount val="3"/>
                <c:pt idx="0">
                  <c:v>2350481.1042862609</c:v>
                </c:pt>
                <c:pt idx="1">
                  <c:v>8411732.337118756</c:v>
                </c:pt>
                <c:pt idx="2">
                  <c:v>3349246.4515517638</c:v>
                </c:pt>
              </c:numCache>
            </c:numRef>
          </c:val>
          <c:extLst>
            <c:ext xmlns:c16="http://schemas.microsoft.com/office/drawing/2014/chart" uri="{C3380CC4-5D6E-409C-BE32-E72D297353CC}">
              <c16:uniqueId val="{00000005-C115-434D-AC8E-C72EA2180D8D}"/>
            </c:ext>
          </c:extLst>
        </c:ser>
        <c:ser>
          <c:idx val="1"/>
          <c:order val="1"/>
          <c:tx>
            <c:strRef>
              <c:f>'Phân bổ giá vốn'!$D$22:$D$23</c:f>
              <c:strCache>
                <c:ptCount val="1"/>
                <c:pt idx="0">
                  <c:v>NL1</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'Phân bổ giá vốn'!$B$24:$B$27</c:f>
              <c:strCache>
                <c:ptCount val="3"/>
                <c:pt idx="0">
                  <c:v>Mar</c:v>
                </c:pt>
                <c:pt idx="1">
                  <c:v>Apr</c:v>
                </c:pt>
                <c:pt idx="2">
                  <c:v>May</c:v>
                </c:pt>
              </c:strCache>
            </c:strRef>
          </c:cat>
          <c:val>
            <c:numRef>
              <c:f>'Phân bổ giá vốn'!$D$24:$D$27</c:f>
              <c:numCache>
                <c:formatCode>_(* #,##0_);_(* \(#,##0\);_(* "-"??_);_(@_)</c:formatCode>
                <c:ptCount val="3"/>
                <c:pt idx="0">
                  <c:v>5921794.871794872</c:v>
                </c:pt>
                <c:pt idx="1">
                  <c:v>3007450.3741418766</c:v>
                </c:pt>
                <c:pt idx="2">
                  <c:v>7915470.7321434226</c:v>
                </c:pt>
              </c:numCache>
            </c:numRef>
          </c:val>
          <c:extLst>
            <c:ext xmlns:c16="http://schemas.microsoft.com/office/drawing/2014/chart" uri="{C3380CC4-5D6E-409C-BE32-E72D297353CC}">
              <c16:uniqueId val="{0000000B-C115-434D-AC8E-C72EA2180D8D}"/>
            </c:ext>
          </c:extLst>
        </c:ser>
        <c:ser>
          <c:idx val="2"/>
          <c:order val="2"/>
          <c:tx>
            <c:strRef>
              <c:f>'Phân bổ giá vốn'!$E$22:$E$23</c:f>
              <c:strCache>
                <c:ptCount val="1"/>
                <c:pt idx="0">
                  <c:v>NL2</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'Phân bổ giá vốn'!$B$24:$B$27</c:f>
              <c:strCache>
                <c:ptCount val="3"/>
                <c:pt idx="0">
                  <c:v>Mar</c:v>
                </c:pt>
                <c:pt idx="1">
                  <c:v>Apr</c:v>
                </c:pt>
                <c:pt idx="2">
                  <c:v>May</c:v>
                </c:pt>
              </c:strCache>
            </c:strRef>
          </c:cat>
          <c:val>
            <c:numRef>
              <c:f>'Phân bổ giá vốn'!$E$24:$E$27</c:f>
              <c:numCache>
                <c:formatCode>_(* #,##0_);_(* \(#,##0\);_(* "-"??_);_(@_)</c:formatCode>
                <c:ptCount val="3"/>
                <c:pt idx="0">
                  <c:v>4812804.8167141499</c:v>
                </c:pt>
                <c:pt idx="1">
                  <c:v>13305460.205299949</c:v>
                </c:pt>
                <c:pt idx="2">
                  <c:v>12067836.140794111</c:v>
                </c:pt>
              </c:numCache>
            </c:numRef>
          </c:val>
          <c:extLst>
            <c:ext xmlns:c16="http://schemas.microsoft.com/office/drawing/2014/chart" uri="{C3380CC4-5D6E-409C-BE32-E72D297353CC}">
              <c16:uniqueId val="{0000000C-C115-434D-AC8E-C72EA2180D8D}"/>
            </c:ext>
          </c:extLst>
        </c:ser>
        <c:ser>
          <c:idx val="3"/>
          <c:order val="3"/>
          <c:tx>
            <c:strRef>
              <c:f>'Phân bổ giá vốn'!$F$22:$F$23</c:f>
              <c:strCache>
                <c:ptCount val="1"/>
                <c:pt idx="0">
                  <c:v>(blank)</c:v>
                </c:pt>
              </c:strCache>
            </c:strRef>
          </c:tx>
          <c:spPr>
            <a:solidFill>
              <a:schemeClr val="accent4">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'Phân bổ giá vốn'!$B$24:$B$27</c:f>
              <c:strCache>
                <c:ptCount val="3"/>
                <c:pt idx="0">
                  <c:v>Mar</c:v>
                </c:pt>
                <c:pt idx="1">
                  <c:v>Apr</c:v>
                </c:pt>
                <c:pt idx="2">
                  <c:v>May</c:v>
                </c:pt>
              </c:strCache>
            </c:strRef>
          </c:cat>
          <c:val>
            <c:numRef>
              <c:f>'Phân bổ giá vốn'!$F$24:$F$27</c:f>
              <c:numCache>
                <c:formatCode>_(* #,##0_);_(* \(#,##0\);_(* "-"??_);_(@_)</c:formatCode>
                <c:ptCount val="3"/>
                <c:pt idx="0">
                  <c:v>0</c:v>
                </c:pt>
                <c:pt idx="1">
                  <c:v>0</c:v>
                </c:pt>
                <c:pt idx="2">
                  <c:v>0</c:v>
                </c:pt>
              </c:numCache>
            </c:numRef>
          </c:val>
          <c:extLst>
            <c:ext xmlns:c16="http://schemas.microsoft.com/office/drawing/2014/chart" uri="{C3380CC4-5D6E-409C-BE32-E72D297353CC}">
              <c16:uniqueId val="{0000000D-C115-434D-AC8E-C72EA2180D8D}"/>
            </c:ext>
          </c:extLst>
        </c:ser>
        <c:dLbls>
          <c:dLblPos val="ctr"/>
          <c:showLegendKey val="0"/>
          <c:showVal val="1"/>
          <c:showCatName val="0"/>
          <c:showSerName val="0"/>
          <c:showPercent val="0"/>
          <c:showBubbleSize val="0"/>
        </c:dLbls>
        <c:gapWidth val="150"/>
        <c:overlap val="100"/>
        <c:axId val="1507614015"/>
        <c:axId val="1507616415"/>
      </c:barChart>
      <c:catAx>
        <c:axId val="1507614015"/>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1507616415"/>
        <c:crosses val="autoZero"/>
        <c:auto val="1"/>
        <c:lblAlgn val="ctr"/>
        <c:lblOffset val="100"/>
        <c:noMultiLvlLbl val="0"/>
      </c:catAx>
      <c:valAx>
        <c:axId val="1507616415"/>
        <c:scaling>
          <c:orientation val="minMax"/>
        </c:scaling>
        <c:delete val="1"/>
        <c:axPos val="l"/>
        <c:numFmt formatCode="_(* #,##0_);_(* \(#,##0\);_(* &quot;-&quot;??_);_(@_)" sourceLinked="1"/>
        <c:majorTickMark val="none"/>
        <c:minorTickMark val="none"/>
        <c:tickLblPos val="nextTo"/>
        <c:crossAx val="15076140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[08. EASY-CP02 - Phân bổ giá vốn.xlsm]Phân bổ giá vốn!PivotTable4</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solidFill>
              <a:schemeClr val="accent6">
                <a:lumMod val="50000"/>
              </a:schemeClr>
            </a:solid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1"/>
          </a:solidFill>
          <a:ln>
            <a:solidFill>
              <a:schemeClr val="accent6">
                <a:lumMod val="50000"/>
              </a:schemeClr>
            </a:solidFill>
          </a:ln>
          <a:effectLst/>
        </c:spPr>
      </c:pivotFmt>
      <c:pivotFmt>
        <c:idx val="5"/>
        <c:spPr>
          <a:solidFill>
            <a:schemeClr val="accent1"/>
          </a:solidFill>
          <a:ln>
            <a:solidFill>
              <a:schemeClr val="accent6">
                <a:lumMod val="50000"/>
              </a:schemeClr>
            </a:solidFill>
          </a:ln>
          <a:effectLst/>
        </c:spPr>
      </c:pivotFmt>
    </c:pivotFmts>
    <c:plotArea>
      <c:layout/>
      <c:pieChart>
        <c:varyColors val="1"/>
        <c:ser>
          <c:idx val="0"/>
          <c:order val="0"/>
          <c:tx>
            <c:strRef>
              <c:f>'Phân bổ giá vốn'!$T$23</c:f>
              <c:strCache>
                <c:ptCount val="1"/>
                <c:pt idx="0">
                  <c:v>Total</c:v>
                </c:pt>
              </c:strCache>
            </c:strRef>
          </c:tx>
          <c:spPr>
            <a:ln>
              <a:solidFill>
                <a:schemeClr val="accent6">
                  <a:lumMod val="50000"/>
                </a:schemeClr>
              </a:solidFill>
            </a:ln>
          </c:spPr>
          <c:dPt>
            <c:idx val="0"/>
            <c:bubble3D val="0"/>
            <c:spPr>
              <a:solidFill>
                <a:schemeClr val="accent1"/>
              </a:solidFill>
              <a:ln>
                <a:solidFill>
                  <a:schemeClr val="accent6">
                    <a:lumMod val="50000"/>
                  </a:schemeClr>
                </a:solidFill>
              </a:ln>
              <a:effectLst/>
            </c:spPr>
            <c:extLst>
              <c:ext xmlns:c16="http://schemas.microsoft.com/office/drawing/2014/chart" uri="{C3380CC4-5D6E-409C-BE32-E72D297353CC}">
                <c16:uniqueId val="{00000001-2B46-4CC1-8147-E5925F575943}"/>
              </c:ext>
            </c:extLst>
          </c:dPt>
          <c:dPt>
            <c:idx val="1"/>
            <c:bubble3D val="0"/>
            <c:spPr>
              <a:solidFill>
                <a:schemeClr val="accent2"/>
              </a:solidFill>
              <a:ln>
                <a:solidFill>
                  <a:schemeClr val="accent6">
                    <a:lumMod val="50000"/>
                  </a:schemeClr>
                </a:solidFill>
              </a:ln>
              <a:effectLst/>
            </c:spPr>
            <c:extLst>
              <c:ext xmlns:c16="http://schemas.microsoft.com/office/drawing/2014/chart" uri="{C3380CC4-5D6E-409C-BE32-E72D297353CC}">
                <c16:uniqueId val="{00000003-2B46-4CC1-8147-E5925F575943}"/>
              </c:ext>
            </c:extLst>
          </c:dPt>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'Phân bổ giá vốn'!$S$24:$S$25</c:f>
              <c:strCache>
                <c:ptCount val="2"/>
                <c:pt idx="0">
                  <c:v>Giá trị tồn kho chưa tiêu thụ</c:v>
                </c:pt>
                <c:pt idx="1">
                  <c:v>Giá vốn thành phẩm tồn kho</c:v>
                </c:pt>
              </c:strCache>
            </c:strRef>
          </c:cat>
          <c:val>
            <c:numRef>
              <c:f>'Phân bổ giá vốn'!$T$24:$T$25</c:f>
              <c:numCache>
                <c:formatCode>_(* #,##0_);_(* \(#,##0\);_(* "-"??_);_(@_)</c:formatCode>
                <c:ptCount val="2"/>
                <c:pt idx="0">
                  <c:v>35332325.538446799</c:v>
                </c:pt>
                <c:pt idx="1">
                  <c:v>10325740.427708043</c:v>
                </c:pt>
              </c:numCache>
            </c:numRef>
          </c:val>
          <c:extLst>
            <c:ext xmlns:c16="http://schemas.microsoft.com/office/drawing/2014/chart" uri="{C3380CC4-5D6E-409C-BE32-E72D297353CC}">
              <c16:uniqueId val="{00000003-EF27-4606-A37D-B516A00EC99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[08. EASY-CP02 - Phân bổ giá vốn.xlsm]Phân bổ giá vốn!PivotTable5</c:name>
    <c:fmtId val="0"/>
  </c:pivotSource>
  <c:chart>
    <c:autoTitleDeleted val="1"/>
    <c:pivotFmts>
      <c:pivotFmt>
        <c:idx val="0"/>
        <c:spPr>
          <a:solidFill>
            <a:schemeClr val="accent1"/>
          </a:solidFill>
          <a:ln>
            <a:solidFill>
              <a:schemeClr val="accent6">
                <a:lumMod val="50000"/>
              </a:schemeClr>
            </a:solidFill>
          </a:ln>
          <a:effectLst/>
        </c:spPr>
        <c:marker>
          <c:symbol val="none"/>
        </c:marker>
        <c:dLbl>
          <c:idx val="0"/>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1"/>
          <c:showCatName val="1"/>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1"/>
          <c:showCatName val="1"/>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1"/>
          <c:showCatName val="1"/>
          <c:showSerName val="0"/>
          <c:showPercent val="0"/>
          <c:showBubbleSize val="0"/>
          <c:extLst>
            <c:ext xmlns:c15="http://schemas.microsoft.com/office/drawing/2012/chart" uri="{CE6537A1-D6FC-4f65-9D91-7224C49458BB}"/>
          </c:extLst>
        </c:dLbl>
      </c:pivotFmt>
      <c:pivotFmt>
        <c:idx val="4"/>
        <c:spPr>
          <a:solidFill>
            <a:schemeClr val="accent1"/>
          </a:solidFill>
          <a:ln>
            <a:solidFill>
              <a:schemeClr val="accent6">
                <a:lumMod val="50000"/>
              </a:schemeClr>
            </a:solidFill>
          </a:ln>
          <a:effectLst/>
        </c:spPr>
      </c:pivotFmt>
      <c:pivotFmt>
        <c:idx val="5"/>
        <c:spPr>
          <a:solidFill>
            <a:schemeClr val="accent1"/>
          </a:solidFill>
          <a:ln>
            <a:solidFill>
              <a:schemeClr val="accent6">
                <a:lumMod val="50000"/>
              </a:schemeClr>
            </a:solidFill>
          </a:ln>
          <a:effectLst/>
        </c:spPr>
      </c:pivotFmt>
      <c:pivotFmt>
        <c:idx val="6"/>
        <c:spPr>
          <a:solidFill>
            <a:schemeClr val="accent1"/>
          </a:solidFill>
          <a:ln>
            <a:solidFill>
              <a:schemeClr val="accent6">
                <a:lumMod val="50000"/>
              </a:schemeClr>
            </a:solidFill>
          </a:ln>
          <a:effectLst/>
        </c:spPr>
      </c:pivotFmt>
    </c:pivotFmts>
    <c:plotArea>
      <c:layout/>
      <c:pieChart>
        <c:varyColors val="1"/>
        <c:ser>
          <c:idx val="0"/>
          <c:order val="0"/>
          <c:tx>
            <c:strRef>
              <c:f>'Phân bổ giá vốn'!$W$23</c:f>
              <c:strCache>
                <c:ptCount val="1"/>
                <c:pt idx="0">
                  <c:v>Total</c:v>
                </c:pt>
              </c:strCache>
            </c:strRef>
          </c:tx>
          <c:spPr>
            <a:ln>
              <a:solidFill>
                <a:schemeClr val="accent6">
                  <a:lumMod val="50000"/>
                </a:schemeClr>
              </a:solidFill>
            </a:ln>
          </c:spPr>
          <c:dPt>
            <c:idx val="0"/>
            <c:bubble3D val="0"/>
            <c:spPr>
              <a:solidFill>
                <a:schemeClr val="accent1"/>
              </a:solidFill>
              <a:ln>
                <a:solidFill>
                  <a:schemeClr val="accent6">
                    <a:lumMod val="50000"/>
                  </a:schemeClr>
                </a:solidFill>
              </a:ln>
              <a:effectLst/>
            </c:spPr>
            <c:extLst>
              <c:ext xmlns:c16="http://schemas.microsoft.com/office/drawing/2014/chart" uri="{C3380CC4-5D6E-409C-BE32-E72D297353CC}">
                <c16:uniqueId val="{00000001-0B6E-4006-9DAC-209A9F506E18}"/>
              </c:ext>
            </c:extLst>
          </c:dPt>
          <c:dPt>
            <c:idx val="1"/>
            <c:bubble3D val="0"/>
            <c:spPr>
              <a:solidFill>
                <a:schemeClr val="accent2"/>
              </a:solidFill>
              <a:ln>
                <a:solidFill>
                  <a:schemeClr val="accent6">
                    <a:lumMod val="50000"/>
                  </a:schemeClr>
                </a:solidFill>
              </a:ln>
              <a:effectLst/>
            </c:spPr>
            <c:extLst>
              <c:ext xmlns:c16="http://schemas.microsoft.com/office/drawing/2014/chart" uri="{C3380CC4-5D6E-409C-BE32-E72D297353CC}">
                <c16:uniqueId val="{00000003-0B6E-4006-9DAC-209A9F506E18}"/>
              </c:ext>
            </c:extLst>
          </c:dPt>
          <c:dPt>
            <c:idx val="2"/>
            <c:bubble3D val="0"/>
            <c:spPr>
              <a:solidFill>
                <a:schemeClr val="accent3"/>
              </a:solidFill>
              <a:ln>
                <a:solidFill>
                  <a:schemeClr val="accent6">
                    <a:lumMod val="50000"/>
                  </a:schemeClr>
                </a:solidFill>
              </a:ln>
              <a:effectLst/>
            </c:spPr>
            <c:extLst>
              <c:ext xmlns:c16="http://schemas.microsoft.com/office/drawing/2014/chart" uri="{C3380CC4-5D6E-409C-BE32-E72D297353CC}">
                <c16:uniqueId val="{00000005-0B6E-4006-9DAC-209A9F506E18}"/>
              </c:ext>
            </c:extLst>
          </c:dPt>
          <c:dLbls>
            <c:numFmt formatCode="[&lt;-1000]\-#,##0.0,,&quot;tr&quot;;[&lt;1000]#,##0;#,##0.0,,&quot;tr&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solidFill>
                        <a:schemeClr val="accent6">
                          <a:lumMod val="50000"/>
                        </a:schemeClr>
                      </a:solidFill>
                    </a:ln>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'Phân bổ giá vốn'!$V$24:$V$27</c:f>
              <c:strCache>
                <c:ptCount val="3"/>
                <c:pt idx="0">
                  <c:v>HH1</c:v>
                </c:pt>
                <c:pt idx="1">
                  <c:v>NL1</c:v>
                </c:pt>
                <c:pt idx="2">
                  <c:v>NL2</c:v>
                </c:pt>
              </c:strCache>
            </c:strRef>
          </c:cat>
          <c:val>
            <c:numRef>
              <c:f>'Phân bổ giá vốn'!$W$24:$W$27</c:f>
              <c:numCache>
                <c:formatCode>_(* #,##0_);_(* \(#,##0\);_(* "-"??_);_(@_)</c:formatCode>
                <c:ptCount val="3"/>
                <c:pt idx="0">
                  <c:v>8985099.1070432197</c:v>
                </c:pt>
                <c:pt idx="1">
                  <c:v>22855139.021919832</c:v>
                </c:pt>
                <c:pt idx="2">
                  <c:v>13817827.83719179</c:v>
                </c:pt>
              </c:numCache>
            </c:numRef>
          </c:val>
          <c:extLst>
            <c:ext xmlns:c16="http://schemas.microsoft.com/office/drawing/2014/chart" uri="{C3380CC4-5D6E-409C-BE32-E72D297353CC}">
              <c16:uniqueId val="{00000000-7E98-4BEC-8BB0-9AD5E8F01200}"/>
            </c:ext>
          </c:extLst>
        </c:ser>
        <c:dLbls>
          <c:showLegendKey val="0"/>
          <c:showVal val="0"/>
          <c:showCatName val="0"/>
          <c:showSerName val="0"/>
          <c:showPercent val="0"/>
          <c:showBubbleSize val="0"/>
          <c:showLeaderLines val="1"/>
        </c:dLbls>
        <c:firstSliceAng val="0"/>
      </c:pieChart>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3">
        <a:lumMod val="20000"/>
        <a:lumOff val="8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Radio" firstButton="1" fmlaLink="EULA!$A$1"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24</xdr:col>
          <xdr:colOff>76201</xdr:colOff>
          <xdr:row>0</xdr:row>
          <xdr:rowOff>95250</xdr:rowOff>
        </xdr:from>
        <xdr:to>
          <xdr:col>29</xdr:col>
          <xdr:colOff>523875</xdr:colOff>
          <xdr:row>2</xdr:row>
          <xdr:rowOff>0</xdr:rowOff>
        </xdr:to>
        <xdr:grpSp>
          <xdr:nvGrpSpPr>
            <xdr:cNvPr id="13" name="Group 12">
              <a:extLst>
                <a:ext uri="{FF2B5EF4-FFF2-40B4-BE49-F238E27FC236}">
                  <a16:creationId xmlns:a16="http://schemas.microsoft.com/office/drawing/2014/main" id="{00000000-0008-0000-1300-00000D000000}"/>
                </a:ext>
              </a:extLst>
            </xdr:cNvPr>
            <xdr:cNvGrpSpPr/>
          </xdr:nvGrpSpPr>
          <xdr:grpSpPr>
            <a:xfrm>
              <a:off x="266701" y="95250"/>
              <a:ext cx="3695699" cy="361950"/>
              <a:chOff x="6162676" y="3409950"/>
              <a:chExt cx="3695699" cy="361950"/>
            </a:xfrm>
          </xdr:grpSpPr>
          <xdr:grpSp>
            <xdr:nvGrpSpPr>
              <xdr:cNvPr id="14" name="Group 13">
                <a:extLst>
                  <a:ext uri="{FF2B5EF4-FFF2-40B4-BE49-F238E27FC236}">
                    <a16:creationId xmlns:a16="http://schemas.microsoft.com/office/drawing/2014/main" id="{00000000-0008-0000-1300-00000E000000}"/>
                  </a:ext>
                </a:extLst>
              </xdr:cNvPr>
              <xdr:cNvGrpSpPr/>
            </xdr:nvGrpSpPr>
            <xdr:grpSpPr>
              <a:xfrm>
                <a:off x="7867650" y="3409950"/>
                <a:ext cx="1990725" cy="361950"/>
                <a:chOff x="8191500" y="3409950"/>
                <a:chExt cx="1990725" cy="361950"/>
              </a:xfrm>
            </xdr:grpSpPr>
            <xdr:grpSp>
              <xdr:nvGrpSpPr>
                <xdr:cNvPr id="21" name="Group 20">
                  <a:extLst>
                    <a:ext uri="{FF2B5EF4-FFF2-40B4-BE49-F238E27FC236}">
                      <a16:creationId xmlns:a16="http://schemas.microsoft.com/office/drawing/2014/main" id="{00000000-0008-0000-1300-000015000000}"/>
                    </a:ext>
                  </a:extLst>
                </xdr:cNvPr>
                <xdr:cNvGrpSpPr/>
              </xdr:nvGrpSpPr>
              <xdr:grpSpPr>
                <a:xfrm>
                  <a:off x="8302013" y="3452813"/>
                  <a:ext cx="1769699" cy="276225"/>
                  <a:chOff x="8305801" y="3457575"/>
                  <a:chExt cx="1769699" cy="276225"/>
                </a:xfrm>
              </xdr:grpSpPr>
              <xdr:sp macro="" textlink="">
                <xdr:nvSpPr>
                  <xdr:cNvPr id="59399" name="Option Button 7" hidden="1">
                    <a:extLst>
                      <a:ext uri="{63B3BB69-23CF-44E3-9099-C40C66FF867C}">
                        <a14:compatExt spid="_x0000_s59399"/>
                      </a:ext>
                      <a:ext uri="{FF2B5EF4-FFF2-40B4-BE49-F238E27FC236}">
                        <a16:creationId xmlns:a16="http://schemas.microsoft.com/office/drawing/2014/main" id="{00000000-0008-0000-0200-000007E80000}"/>
                      </a:ext>
                    </a:extLst>
                  </xdr:cNvPr>
                  <xdr:cNvSpPr/>
                </xdr:nvSpPr>
                <xdr:spPr bwMode="auto">
                  <a:xfrm>
                    <a:off x="83058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59400" name="Option Button 8" hidden="1">
                    <a:extLst>
                      <a:ext uri="{63B3BB69-23CF-44E3-9099-C40C66FF867C}">
                        <a14:compatExt spid="_x0000_s59400"/>
                      </a:ext>
                      <a:ext uri="{FF2B5EF4-FFF2-40B4-BE49-F238E27FC236}">
                        <a16:creationId xmlns:a16="http://schemas.microsoft.com/office/drawing/2014/main" id="{00000000-0008-0000-0200-000008E8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59401" name="Option Button 9" hidden="1">
                    <a:extLst>
                      <a:ext uri="{63B3BB69-23CF-44E3-9099-C40C66FF867C}">
                        <a14:compatExt spid="_x0000_s59401"/>
                      </a:ext>
                      <a:ext uri="{FF2B5EF4-FFF2-40B4-BE49-F238E27FC236}">
                        <a16:creationId xmlns:a16="http://schemas.microsoft.com/office/drawing/2014/main" id="{00000000-0008-0000-0200-000009E8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59402" name="Option Button 10" hidden="1">
                    <a:extLst>
                      <a:ext uri="{63B3BB69-23CF-44E3-9099-C40C66FF867C}">
                        <a14:compatExt spid="_x0000_s59402"/>
                      </a:ext>
                      <a:ext uri="{FF2B5EF4-FFF2-40B4-BE49-F238E27FC236}">
                        <a16:creationId xmlns:a16="http://schemas.microsoft.com/office/drawing/2014/main" id="{00000000-0008-0000-0200-00000AE8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59403" name="Group Box 11" hidden="1">
                  <a:extLst>
                    <a:ext uri="{63B3BB69-23CF-44E3-9099-C40C66FF867C}">
                      <a14:compatExt spid="_x0000_s59403"/>
                    </a:ext>
                    <a:ext uri="{FF2B5EF4-FFF2-40B4-BE49-F238E27FC236}">
                      <a16:creationId xmlns:a16="http://schemas.microsoft.com/office/drawing/2014/main" id="{00000000-0008-0000-0200-00000BE80000}"/>
                    </a:ext>
                  </a:extLst>
                </xdr:cNvPr>
                <xdr:cNvSpPr/>
              </xdr:nvSpPr>
              <xdr:spPr bwMode="auto">
                <a:xfrm>
                  <a:off x="8191500"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grpSp>
            <xdr:nvGrpSpPr>
              <xdr:cNvPr id="15" name="Group 14">
                <a:extLst>
                  <a:ext uri="{FF2B5EF4-FFF2-40B4-BE49-F238E27FC236}">
                    <a16:creationId xmlns:a16="http://schemas.microsoft.com/office/drawing/2014/main" id="{00000000-0008-0000-1300-00000F000000}"/>
                  </a:ext>
                </a:extLst>
              </xdr:cNvPr>
              <xdr:cNvGrpSpPr/>
            </xdr:nvGrpSpPr>
            <xdr:grpSpPr>
              <a:xfrm>
                <a:off x="6162676" y="3409950"/>
                <a:ext cx="1657350" cy="361950"/>
                <a:chOff x="6162676" y="3409950"/>
                <a:chExt cx="1657350" cy="361950"/>
              </a:xfrm>
            </xdr:grpSpPr>
            <xdr:sp macro="" textlink="">
              <xdr:nvSpPr>
                <xdr:cNvPr id="59404" name="Group Box 12" hidden="1">
                  <a:extLst>
                    <a:ext uri="{63B3BB69-23CF-44E3-9099-C40C66FF867C}">
                      <a14:compatExt spid="_x0000_s59404"/>
                    </a:ext>
                    <a:ext uri="{FF2B5EF4-FFF2-40B4-BE49-F238E27FC236}">
                      <a16:creationId xmlns:a16="http://schemas.microsoft.com/office/drawing/2014/main" id="{00000000-0008-0000-0200-00000CE8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7" name="Group 16">
                  <a:extLst>
                    <a:ext uri="{FF2B5EF4-FFF2-40B4-BE49-F238E27FC236}">
                      <a16:creationId xmlns:a16="http://schemas.microsoft.com/office/drawing/2014/main" id="{00000000-0008-0000-1300-000011000000}"/>
                    </a:ext>
                  </a:extLst>
                </xdr:cNvPr>
                <xdr:cNvGrpSpPr/>
              </xdr:nvGrpSpPr>
              <xdr:grpSpPr>
                <a:xfrm>
                  <a:off x="6243639" y="3500925"/>
                  <a:ext cx="1495425" cy="180000"/>
                  <a:chOff x="6029325" y="4257675"/>
                  <a:chExt cx="1495425" cy="257175"/>
                </a:xfrm>
              </xdr:grpSpPr>
              <xdr:sp macro="" textlink="">
                <xdr:nvSpPr>
                  <xdr:cNvPr id="59405" name="Button 13" hidden="1">
                    <a:extLst>
                      <a:ext uri="{63B3BB69-23CF-44E3-9099-C40C66FF867C}">
                        <a14:compatExt spid="_x0000_s59405"/>
                      </a:ext>
                      <a:ext uri="{FF2B5EF4-FFF2-40B4-BE49-F238E27FC236}">
                        <a16:creationId xmlns:a16="http://schemas.microsoft.com/office/drawing/2014/main" id="{00000000-0008-0000-0200-00000DE8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59406" name="Button 14" hidden="1">
                    <a:extLst>
                      <a:ext uri="{63B3BB69-23CF-44E3-9099-C40C66FF867C}">
                        <a14:compatExt spid="_x0000_s59406"/>
                      </a:ext>
                      <a:ext uri="{FF2B5EF4-FFF2-40B4-BE49-F238E27FC236}">
                        <a16:creationId xmlns:a16="http://schemas.microsoft.com/office/drawing/2014/main" id="{00000000-0008-0000-0200-00000EE8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59407" name="Button 15" hidden="1">
                    <a:extLst>
                      <a:ext uri="{63B3BB69-23CF-44E3-9099-C40C66FF867C}">
                        <a14:compatExt spid="_x0000_s59407"/>
                      </a:ext>
                      <a:ext uri="{FF2B5EF4-FFF2-40B4-BE49-F238E27FC236}">
                        <a16:creationId xmlns:a16="http://schemas.microsoft.com/office/drawing/2014/main" id="{00000000-0008-0000-0200-00000FE8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grpSp>
        <xdr:clientData/>
      </xdr:twoCellAnchor>
    </mc:Choice>
    <mc:Fallback/>
  </mc:AlternateContent>
  <mc:AlternateContent xmlns:mc="http://schemas.openxmlformats.org/markup-compatibility/2006">
    <mc:Choice xmlns:a14="http://schemas.microsoft.com/office/drawing/2010/main" Requires="a14">
      <xdr:twoCellAnchor>
        <xdr:from>
          <xdr:col>30</xdr:col>
          <xdr:colOff>85725</xdr:colOff>
          <xdr:row>0</xdr:row>
          <xdr:rowOff>104775</xdr:rowOff>
        </xdr:from>
        <xdr:to>
          <xdr:col>31</xdr:col>
          <xdr:colOff>390525</xdr:colOff>
          <xdr:row>1</xdr:row>
          <xdr:rowOff>133350</xdr:rowOff>
        </xdr:to>
        <xdr:grpSp>
          <xdr:nvGrpSpPr>
            <xdr:cNvPr id="23" name="Group 22">
              <a:extLst>
                <a:ext uri="{FF2B5EF4-FFF2-40B4-BE49-F238E27FC236}">
                  <a16:creationId xmlns:a16="http://schemas.microsoft.com/office/drawing/2014/main" id="{00000000-0008-0000-1300-000017000000}"/>
                </a:ext>
              </a:extLst>
            </xdr:cNvPr>
            <xdr:cNvGrpSpPr/>
          </xdr:nvGrpSpPr>
          <xdr:grpSpPr>
            <a:xfrm>
              <a:off x="4210050" y="104775"/>
              <a:ext cx="990600" cy="257175"/>
              <a:chOff x="771525" y="1314450"/>
              <a:chExt cx="990600" cy="257175"/>
            </a:xfrm>
          </xdr:grpSpPr>
          <xdr:sp macro="" textlink="">
            <xdr:nvSpPr>
              <xdr:cNvPr id="59408" name="Button 16" hidden="1">
                <a:extLst>
                  <a:ext uri="{63B3BB69-23CF-44E3-9099-C40C66FF867C}">
                    <a14:compatExt spid="_x0000_s59408"/>
                  </a:ext>
                  <a:ext uri="{FF2B5EF4-FFF2-40B4-BE49-F238E27FC236}">
                    <a16:creationId xmlns:a16="http://schemas.microsoft.com/office/drawing/2014/main" id="{00000000-0008-0000-0200-000010E8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59409" name="Button 17" hidden="1">
                <a:extLst>
                  <a:ext uri="{63B3BB69-23CF-44E3-9099-C40C66FF867C}">
                    <a14:compatExt spid="_x0000_s59409"/>
                  </a:ext>
                  <a:ext uri="{FF2B5EF4-FFF2-40B4-BE49-F238E27FC236}">
                    <a16:creationId xmlns:a16="http://schemas.microsoft.com/office/drawing/2014/main" id="{00000000-0008-0000-0200-000011E8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twoCellAnchor>
    <xdr:from>
      <xdr:col>24</xdr:col>
      <xdr:colOff>90488</xdr:colOff>
      <xdr:row>2</xdr:row>
      <xdr:rowOff>76200</xdr:rowOff>
    </xdr:from>
    <xdr:to>
      <xdr:col>36</xdr:col>
      <xdr:colOff>508463</xdr:colOff>
      <xdr:row>19</xdr:row>
      <xdr:rowOff>150000</xdr:rowOff>
    </xdr:to>
    <xdr:graphicFrame macro="">
      <xdr:nvGraphicFramePr>
        <xdr:cNvPr id="3" name="Chart 2">
          <a:extLst>
            <a:ext uri="{FF2B5EF4-FFF2-40B4-BE49-F238E27FC236}">
              <a16:creationId xmlns:a16="http://schemas.microsoft.com/office/drawing/2014/main" id="{4E632502-48F9-B513-1608-D9B4FD96780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36</xdr:col>
      <xdr:colOff>657225</xdr:colOff>
      <xdr:row>2</xdr:row>
      <xdr:rowOff>76200</xdr:rowOff>
    </xdr:from>
    <xdr:to>
      <xdr:col>42</xdr:col>
      <xdr:colOff>71850</xdr:colOff>
      <xdr:row>19</xdr:row>
      <xdr:rowOff>150000</xdr:rowOff>
    </xdr:to>
    <xdr:graphicFrame macro="">
      <xdr:nvGraphicFramePr>
        <xdr:cNvPr id="5" name="Chart 4">
          <a:extLst>
            <a:ext uri="{FF2B5EF4-FFF2-40B4-BE49-F238E27FC236}">
              <a16:creationId xmlns:a16="http://schemas.microsoft.com/office/drawing/2014/main" id="{4A91C1A3-5E15-3BA0-7FD4-0070A30A99E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42</xdr:col>
      <xdr:colOff>238125</xdr:colOff>
      <xdr:row>2</xdr:row>
      <xdr:rowOff>76200</xdr:rowOff>
    </xdr:from>
    <xdr:to>
      <xdr:col>48</xdr:col>
      <xdr:colOff>90900</xdr:colOff>
      <xdr:row>19</xdr:row>
      <xdr:rowOff>150000</xdr:rowOff>
    </xdr:to>
    <xdr:graphicFrame macro="">
      <xdr:nvGraphicFramePr>
        <xdr:cNvPr id="6" name="Chart 5">
          <a:extLst>
            <a:ext uri="{FF2B5EF4-FFF2-40B4-BE49-F238E27FC236}">
              <a16:creationId xmlns:a16="http://schemas.microsoft.com/office/drawing/2014/main" id="{DC8ACF4E-CC0B-ADAE-BBFC-2528E648F08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36</xdr:col>
          <xdr:colOff>219075</xdr:colOff>
          <xdr:row>0</xdr:row>
          <xdr:rowOff>114300</xdr:rowOff>
        </xdr:from>
        <xdr:to>
          <xdr:col>36</xdr:col>
          <xdr:colOff>809625</xdr:colOff>
          <xdr:row>1</xdr:row>
          <xdr:rowOff>142875</xdr:rowOff>
        </xdr:to>
        <xdr:sp macro="" textlink="">
          <xdr:nvSpPr>
            <xdr:cNvPr id="59413" name="Button 21" hidden="1">
              <a:extLst>
                <a:ext uri="{63B3BB69-23CF-44E3-9099-C40C66FF867C}">
                  <a14:compatExt spid="_x0000_s59413"/>
                </a:ext>
                <a:ext uri="{FF2B5EF4-FFF2-40B4-BE49-F238E27FC236}">
                  <a16:creationId xmlns:a16="http://schemas.microsoft.com/office/drawing/2014/main" id="{00000000-0008-0000-0200-000015E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Cập nhật</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Anh" refreshedDate="45806.663528703706" createdVersion="8" refreshedVersion="8" minRefreshableVersion="3" recordCount="15" xr:uid="{E6BF7703-BF0D-443D-88B1-A20AD13F06FB}">
  <cacheSource type="worksheet">
    <worksheetSource name="Table_TonKho"/>
  </cacheSource>
  <cacheFields count="17">
    <cacheField name="Kỳ" numFmtId="165">
      <sharedItems containsSemiMixedTypes="0" containsNonDate="0" containsDate="1" containsString="0" minDate="2025-03-01T00:00:00" maxDate="2025-05-02T00:00:00" count="3">
        <d v="2025-03-01T00:00:00"/>
        <d v="2025-04-01T00:00:00"/>
        <d v="2025-05-01T00:00:00"/>
      </sharedItems>
      <fieldGroup par="16"/>
    </cacheField>
    <cacheField name="Năm" numFmtId="0">
      <sharedItems containsSemiMixedTypes="0" containsString="0" containsNumber="1" containsInteger="1" minValue="2025" maxValue="2025"/>
    </cacheField>
    <cacheField name="Tháng" numFmtId="0">
      <sharedItems containsSemiMixedTypes="0" containsString="0" containsNumber="1" containsInteger="1" minValue="3" maxValue="5"/>
    </cacheField>
    <cacheField name="Thành phẩm" numFmtId="0">
      <sharedItems containsBlank="1"/>
    </cacheField>
    <cacheField name="Hàng hóa / NL" numFmtId="0">
      <sharedItems containsBlank="1" count="4">
        <s v="NL1"/>
        <s v="NL2"/>
        <m/>
        <s v="HH1"/>
      </sharedItems>
    </cacheField>
    <cacheField name="Sản xuất" numFmtId="164">
      <sharedItems containsSemiMixedTypes="0" containsString="0" containsNumber="1" containsInteger="1" minValue="0" maxValue="139"/>
    </cacheField>
    <cacheField name="Tiêu thụ" numFmtId="164">
      <sharedItems containsSemiMixedTypes="0" containsString="0" containsNumber="1" minValue="14" maxValue="101.01587301587301"/>
    </cacheField>
    <cacheField name="SL xuất" numFmtId="164">
      <sharedItems containsSemiMixedTypes="0" containsString="0" containsNumber="1" containsInteger="1" minValue="14" maxValue="149"/>
    </cacheField>
    <cacheField name="Giá trị đầu kỳ" numFmtId="164">
      <sharedItems containsSemiMixedTypes="0" containsString="0" containsNumber="1" minValue="0" maxValue="26813759.183285851"/>
    </cacheField>
    <cacheField name="Giá trị nhập" numFmtId="164">
      <sharedItems containsSemiMixedTypes="0" containsString="0" containsNumber="1" containsInteger="1" minValue="0" maxValue="32403962"/>
    </cacheField>
    <cacheField name="Giá trị xuất" numFmtId="164">
      <sharedItems containsSemiMixedTypes="0" containsString="0" containsNumber="1" minValue="0" maxValue="15397513.696699314"/>
    </cacheField>
    <cacheField name="Chi phí ghi nhận" numFmtId="164">
      <sharedItems containsSemiMixedTypes="0" containsString="0" containsNumber="1" minValue="0" maxValue="13305460.205299949"/>
    </cacheField>
    <cacheField name="Tồn kho cuối kỳ" numFmtId="164">
      <sharedItems containsSemiMixedTypes="0" containsString="0" containsNumber="1" minValue="0" maxValue="19516926.074074075"/>
    </cacheField>
    <cacheField name="Giá vốn cuối kỳ" numFmtId="164">
      <sharedItems containsSemiMixedTypes="0" containsString="0" containsNumber="1" minValue="0" maxValue="9451074.6838878132"/>
    </cacheField>
    <cacheField name="Tổng giá trị cuối kỳ" numFmtId="164">
      <sharedItems containsSemiMixedTypes="0" containsString="0" containsNumber="1" minValue="0" maxValue="26813759.183285851"/>
    </cacheField>
    <cacheField name="Days (Kỳ)" numFmtId="0" databaseField="0">
      <fieldGroup base="0">
        <rangePr groupBy="days" startDate="2025-03-01T00:00:00" endDate="2025-05-02T00:00:00"/>
        <groupItems count="368">
          <s v="&lt;01-03-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2-05-25"/>
        </groupItems>
      </fieldGroup>
    </cacheField>
    <cacheField name="Months (Kỳ)" numFmtId="0" databaseField="0">
      <fieldGroup base="0">
        <rangePr groupBy="months" startDate="2025-03-01T00:00:00" endDate="2025-05-02T00:00:00"/>
        <groupItems count="14">
          <s v="&lt;01-03-25"/>
          <s v="Jan"/>
          <s v="Feb"/>
          <s v="Mar"/>
          <s v="Apr"/>
          <s v="May"/>
          <s v="Jun"/>
          <s v="Jul"/>
          <s v="Aug"/>
          <s v="Sep"/>
          <s v="Oct"/>
          <s v="Nov"/>
          <s v="Dec"/>
          <s v="&gt;02-05-25"/>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x v="0"/>
    <n v="2025"/>
    <n v="3"/>
    <m/>
    <x v="0"/>
    <n v="0"/>
    <n v="59.217948717948715"/>
    <n v="149"/>
    <n v="0"/>
    <n v="32403962"/>
    <n v="14900000"/>
    <n v="5921794.871794872"/>
    <n v="17503962"/>
    <n v="8978205.128205128"/>
    <n v="26482167.128205128"/>
  </r>
  <r>
    <x v="1"/>
    <n v="2025"/>
    <n v="4"/>
    <m/>
    <x v="0"/>
    <n v="0"/>
    <n v="29.380434782608695"/>
    <n v="34"/>
    <n v="26482167.128205128"/>
    <n v="948135"/>
    <n v="3480319.9298245613"/>
    <n v="3007450.3741418766"/>
    <n v="14971777.070175439"/>
    <n v="9451074.6838878132"/>
    <n v="24422851.754063252"/>
  </r>
  <r>
    <x v="2"/>
    <n v="2025"/>
    <n v="5"/>
    <m/>
    <x v="0"/>
    <n v="0"/>
    <n v="79.873015873015873"/>
    <n v="34"/>
    <n v="24422851.754063252"/>
    <n v="6347758"/>
    <n v="3369423.3521961868"/>
    <n v="7915470.7321434226"/>
    <n v="17950111.717979252"/>
    <n v="4905027.3039405793"/>
    <n v="22855139.021919832"/>
  </r>
  <r>
    <x v="0"/>
    <n v="2025"/>
    <n v="3"/>
    <m/>
    <x v="1"/>
    <n v="0"/>
    <n v="32.589743589743591"/>
    <n v="82"/>
    <n v="0"/>
    <n v="31626564"/>
    <n v="12109637.925925925"/>
    <n v="4812804.8167141499"/>
    <n v="19516926.074074075"/>
    <n v="7296833.1092117764"/>
    <n v="26813759.183285851"/>
  </r>
  <r>
    <x v="1"/>
    <n v="2025"/>
    <n v="4"/>
    <m/>
    <x v="1"/>
    <n v="0"/>
    <n v="95.918478260869563"/>
    <n v="111"/>
    <n v="26813759.183285851"/>
    <n v="5256161"/>
    <n v="15397513.696699314"/>
    <n v="13305460.205299949"/>
    <n v="9375573.3773747608"/>
    <n v="9388886.6006111391"/>
    <n v="18764459.9779859"/>
  </r>
  <r>
    <x v="2"/>
    <n v="2025"/>
    <n v="5"/>
    <m/>
    <x v="1"/>
    <n v="0"/>
    <n v="101.01587301587301"/>
    <n v="43"/>
    <n v="18764459.9779859"/>
    <n v="7121204"/>
    <n v="5136984.3031758713"/>
    <n v="12067836.140794111"/>
    <n v="11359793.07419889"/>
    <n v="2458034.7629928999"/>
    <n v="13817827.83719179"/>
  </r>
  <r>
    <x v="0"/>
    <n v="2025"/>
    <n v="3"/>
    <s v="TP1"/>
    <x v="2"/>
    <n v="120"/>
    <n v="14"/>
    <n v="14"/>
    <n v="0"/>
    <n v="0"/>
    <n v="0"/>
    <n v="0"/>
    <n v="0"/>
    <n v="0"/>
    <n v="0"/>
  </r>
  <r>
    <x v="1"/>
    <n v="2025"/>
    <n v="4"/>
    <s v="TP1"/>
    <x v="2"/>
    <n v="139"/>
    <n v="99"/>
    <n v="99"/>
    <n v="0"/>
    <n v="0"/>
    <n v="0"/>
    <n v="0"/>
    <n v="0"/>
    <n v="0"/>
    <n v="0"/>
  </r>
  <r>
    <x v="2"/>
    <n v="2025"/>
    <n v="5"/>
    <s v="TP1"/>
    <x v="2"/>
    <n v="11"/>
    <n v="91"/>
    <n v="91"/>
    <n v="0"/>
    <n v="0"/>
    <n v="0"/>
    <n v="0"/>
    <n v="0"/>
    <n v="0"/>
    <n v="0"/>
  </r>
  <r>
    <x v="0"/>
    <n v="2025"/>
    <n v="3"/>
    <s v="TP2"/>
    <x v="2"/>
    <n v="114"/>
    <n v="79"/>
    <n v="79"/>
    <n v="0"/>
    <n v="0"/>
    <n v="0"/>
    <n v="0"/>
    <n v="0"/>
    <n v="0"/>
    <n v="0"/>
  </r>
  <r>
    <x v="1"/>
    <n v="2025"/>
    <n v="4"/>
    <s v="TP2"/>
    <x v="2"/>
    <n v="45"/>
    <n v="60"/>
    <n v="60"/>
    <n v="0"/>
    <n v="0"/>
    <n v="0"/>
    <n v="0"/>
    <n v="0"/>
    <n v="0"/>
    <n v="0"/>
  </r>
  <r>
    <x v="2"/>
    <n v="2025"/>
    <n v="5"/>
    <s v="TP2"/>
    <x v="2"/>
    <n v="52"/>
    <n v="57"/>
    <n v="57"/>
    <n v="0"/>
    <n v="0"/>
    <n v="0"/>
    <n v="0"/>
    <n v="0"/>
    <n v="0"/>
    <n v="0"/>
  </r>
  <r>
    <x v="0"/>
    <n v="2025"/>
    <n v="3"/>
    <m/>
    <x v="3"/>
    <n v="0"/>
    <n v="27.820512820512821"/>
    <n v="70"/>
    <n v="0"/>
    <n v="15197782"/>
    <n v="5914113.746268657"/>
    <n v="2350481.1042862609"/>
    <n v="9283668.2537313439"/>
    <n v="3563632.6419823952"/>
    <n v="12847300.895713739"/>
  </r>
  <r>
    <x v="1"/>
    <n v="2025"/>
    <n v="4"/>
    <m/>
    <x v="3"/>
    <n v="0"/>
    <n v="93.326086956521735"/>
    <n v="108"/>
    <n v="12847300.895713739"/>
    <n v="730769"/>
    <n v="9734331.7611940317"/>
    <n v="8411732.337118756"/>
    <n v="280105.49253731221"/>
    <n v="4886232.0660576709"/>
    <n v="5166337.5585949831"/>
  </r>
  <r>
    <x v="2"/>
    <n v="2025"/>
    <n v="5"/>
    <m/>
    <x v="3"/>
    <n v="0"/>
    <n v="56.38095238095238"/>
    <n v="24"/>
    <n v="5166337.5585949831"/>
    <n v="7168008"/>
    <n v="1425692.7462686561"/>
    <n v="3349246.4515517638"/>
    <n v="6022420.7462686561"/>
    <n v="2962678.3607745636"/>
    <n v="8985099.107043219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27BEC0A-AA43-4FF1-9B8B-3E3485CBAE8E}" name="PivotTable2" cacheId="0"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hartFormat="8">
  <location ref="B22:F27" firstHeaderRow="1" firstDataRow="2" firstDataCol="1"/>
  <pivotFields count="17">
    <pivotField numFmtId="165" showAll="0">
      <items count="4">
        <item x="0"/>
        <item x="1"/>
        <item x="2"/>
        <item t="default"/>
      </items>
    </pivotField>
    <pivotField showAll="0"/>
    <pivotField showAll="0"/>
    <pivotField showAll="0"/>
    <pivotField axis="axisCol" showAll="0">
      <items count="5">
        <item x="3"/>
        <item x="0"/>
        <item x="1"/>
        <item x="2"/>
        <item t="default"/>
      </items>
    </pivotField>
    <pivotField numFmtId="164" showAll="0"/>
    <pivotField numFmtId="164" showAll="0"/>
    <pivotField numFmtId="164" showAll="0"/>
    <pivotField numFmtId="164" showAll="0"/>
    <pivotField numFmtId="164" showAll="0"/>
    <pivotField numFmtId="164" showAll="0"/>
    <pivotField dataField="1" numFmtId="164" showAll="0"/>
    <pivotField numFmtId="164" showAll="0"/>
    <pivotField numFmtId="164" showAll="0"/>
    <pivotField numFmtId="164"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name="Tháng " axis="axisRow" showAll="0">
      <items count="15">
        <item sd="0" x="0"/>
        <item sd="0" x="1"/>
        <item sd="0" x="2"/>
        <item sd="0" x="3"/>
        <item sd="0" x="4"/>
        <item sd="0" x="5"/>
        <item sd="0" x="6"/>
        <item sd="0" x="7"/>
        <item sd="0" x="8"/>
        <item sd="0" x="9"/>
        <item sd="0" x="10"/>
        <item sd="0" x="11"/>
        <item sd="0" x="12"/>
        <item sd="0" x="13"/>
        <item t="default"/>
      </items>
    </pivotField>
  </pivotFields>
  <rowFields count="1">
    <field x="16"/>
  </rowFields>
  <rowItems count="4">
    <i>
      <x v="3"/>
    </i>
    <i>
      <x v="4"/>
    </i>
    <i>
      <x v="5"/>
    </i>
    <i t="grand">
      <x/>
    </i>
  </rowItems>
  <colFields count="1">
    <field x="4"/>
  </colFields>
  <colItems count="4">
    <i>
      <x/>
    </i>
    <i>
      <x v="1"/>
    </i>
    <i>
      <x v="2"/>
    </i>
    <i>
      <x v="3"/>
    </i>
  </colItems>
  <dataFields count="1">
    <dataField name="Chi phí giá vốn" fld="11" baseField="16" baseItem="3" numFmtId="164"/>
  </dataFields>
  <chartFormats count="5">
    <chartFormat chart="0" format="4" series="1">
      <pivotArea type="data" outline="0" fieldPosition="0">
        <references count="1">
          <reference field="4294967294" count="1" selected="0">
            <x v="0"/>
          </reference>
        </references>
      </pivotArea>
    </chartFormat>
    <chartFormat chart="0" format="11" series="1">
      <pivotArea type="data" outline="0" fieldPosition="0">
        <references count="2">
          <reference field="4294967294" count="1" selected="0">
            <x v="0"/>
          </reference>
          <reference field="4" count="1" selected="0">
            <x v="1"/>
          </reference>
        </references>
      </pivotArea>
    </chartFormat>
    <chartFormat chart="0" format="12" series="1">
      <pivotArea type="data" outline="0" fieldPosition="0">
        <references count="2">
          <reference field="4294967294" count="1" selected="0">
            <x v="0"/>
          </reference>
          <reference field="4" count="1" selected="0">
            <x v="2"/>
          </reference>
        </references>
      </pivotArea>
    </chartFormat>
    <chartFormat chart="0" format="13" series="1">
      <pivotArea type="data" outline="0" fieldPosition="0">
        <references count="2">
          <reference field="4294967294" count="1" selected="0">
            <x v="0"/>
          </reference>
          <reference field="4" count="1" selected="0">
            <x v="3"/>
          </reference>
        </references>
      </pivotArea>
    </chartFormat>
    <chartFormat chart="0" format="14" series="1">
      <pivotArea type="data" outline="0" fieldPosition="0">
        <references count="2">
          <reference field="4294967294" count="1" selected="0">
            <x v="0"/>
          </reference>
          <reference field="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B2ED43F-708E-4DBA-AD83-EEFF3E383E9F}"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V23:W27" firstHeaderRow="1" firstDataRow="1" firstDataCol="1" rowPageCount="1" colPageCount="1"/>
  <pivotFields count="17">
    <pivotField axis="axisPage" numFmtId="165" showAll="0">
      <items count="4">
        <item x="0"/>
        <item x="1"/>
        <item x="2"/>
        <item t="default"/>
      </items>
    </pivotField>
    <pivotField showAll="0"/>
    <pivotField showAll="0"/>
    <pivotField showAll="0"/>
    <pivotField axis="axisRow" showAll="0">
      <items count="5">
        <item x="3"/>
        <item x="0"/>
        <item x="1"/>
        <item h="1" x="2"/>
        <item t="default"/>
      </items>
    </pivotField>
    <pivotField numFmtId="164" showAll="0"/>
    <pivotField numFmtId="164" showAll="0"/>
    <pivotField numFmtId="164" showAll="0"/>
    <pivotField numFmtId="164" showAll="0"/>
    <pivotField numFmtId="164" showAll="0"/>
    <pivotField numFmtId="164" showAll="0"/>
    <pivotField numFmtId="164" showAll="0"/>
    <pivotField numFmtId="164" showAll="0"/>
    <pivotField numFmtId="164" showAll="0"/>
    <pivotField dataField="1" numFmtId="164"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showAll="0" defaultSubtotal="0">
      <items count="14">
        <item sd="0" x="0"/>
        <item sd="0" x="1"/>
        <item sd="0" x="2"/>
        <item sd="0" x="3"/>
        <item sd="0" x="4"/>
        <item sd="0" x="5"/>
        <item sd="0" x="6"/>
        <item sd="0" x="7"/>
        <item sd="0" x="8"/>
        <item sd="0" x="9"/>
        <item sd="0" x="10"/>
        <item sd="0" x="11"/>
        <item sd="0" x="12"/>
        <item sd="0" x="13"/>
      </items>
    </pivotField>
  </pivotFields>
  <rowFields count="1">
    <field x="4"/>
  </rowFields>
  <rowItems count="4">
    <i>
      <x/>
    </i>
    <i>
      <x v="1"/>
    </i>
    <i>
      <x v="2"/>
    </i>
    <i t="grand">
      <x/>
    </i>
  </rowItems>
  <colItems count="1">
    <i/>
  </colItems>
  <pageFields count="1">
    <pageField fld="0" item="2" hier="-1"/>
  </pageFields>
  <dataFields count="1">
    <dataField name="Cơ cấu tổng giá trị tồn kho" fld="14" baseField="4" baseItem="0" numFmtId="164"/>
  </dataFields>
  <chartFormats count="7">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4" count="1" selected="0">
            <x v="1"/>
          </reference>
        </references>
      </pivotArea>
    </chartFormat>
    <chartFormat chart="0" format="2" series="1">
      <pivotArea type="data" outline="0" fieldPosition="0">
        <references count="2">
          <reference field="4294967294" count="1" selected="0">
            <x v="0"/>
          </reference>
          <reference field="4" count="1" selected="0">
            <x v="2"/>
          </reference>
        </references>
      </pivotArea>
    </chartFormat>
    <chartFormat chart="0" format="3" series="1">
      <pivotArea type="data" outline="0" fieldPosition="0">
        <references count="2">
          <reference field="4294967294" count="1" selected="0">
            <x v="0"/>
          </reference>
          <reference field="4" count="1" selected="0">
            <x v="3"/>
          </reference>
        </references>
      </pivotArea>
    </chartFormat>
    <chartFormat chart="0" format="4">
      <pivotArea type="data" outline="0" fieldPosition="0">
        <references count="2">
          <reference field="4294967294" count="1" selected="0">
            <x v="0"/>
          </reference>
          <reference field="4" count="1" selected="0">
            <x v="0"/>
          </reference>
        </references>
      </pivotArea>
    </chartFormat>
    <chartFormat chart="0" format="5">
      <pivotArea type="data" outline="0" fieldPosition="0">
        <references count="2">
          <reference field="4294967294" count="1" selected="0">
            <x v="0"/>
          </reference>
          <reference field="4" count="1" selected="0">
            <x v="1"/>
          </reference>
        </references>
      </pivotArea>
    </chartFormat>
    <chartFormat chart="0" format="6">
      <pivotArea type="data" outline="0" fieldPosition="0">
        <references count="2">
          <reference field="4294967294" count="1" selected="0">
            <x v="0"/>
          </reference>
          <reference field="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9804C3D-467F-4C3C-A895-451273AF0DDA}" name="PivotTable4" cacheId="0"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S23:T25" firstHeaderRow="1" firstDataRow="1" firstDataCol="1" rowPageCount="2" colPageCount="1"/>
  <pivotFields count="17">
    <pivotField axis="axisPage" numFmtId="165" showAll="0">
      <items count="4">
        <item x="0"/>
        <item x="1"/>
        <item x="2"/>
        <item t="default"/>
      </items>
    </pivotField>
    <pivotField showAll="0"/>
    <pivotField showAll="0"/>
    <pivotField showAll="0"/>
    <pivotField axis="axisPage" showAll="0">
      <items count="5">
        <item x="3"/>
        <item x="0"/>
        <item x="1"/>
        <item x="2"/>
        <item t="default"/>
      </items>
    </pivotField>
    <pivotField numFmtId="164" showAll="0"/>
    <pivotField numFmtId="164" showAll="0"/>
    <pivotField numFmtId="164" showAll="0"/>
    <pivotField numFmtId="164" showAll="0"/>
    <pivotField numFmtId="164" showAll="0"/>
    <pivotField numFmtId="164" showAll="0"/>
    <pivotField numFmtId="164" showAll="0"/>
    <pivotField dataField="1" numFmtId="164" showAll="0"/>
    <pivotField dataField="1" numFmtId="164" showAll="0"/>
    <pivotField numFmtId="164" showAll="0"/>
    <pivotField showAll="0" defaultSubtotal="0"/>
    <pivotField showAll="0" defaultSubtotal="0">
      <items count="14">
        <item x="0"/>
        <item x="1"/>
        <item x="2"/>
        <item x="3"/>
        <item x="4"/>
        <item x="5"/>
        <item x="6"/>
        <item x="7"/>
        <item x="8"/>
        <item x="9"/>
        <item x="10"/>
        <item x="11"/>
        <item x="12"/>
        <item x="13"/>
      </items>
    </pivotField>
  </pivotFields>
  <rowFields count="1">
    <field x="-2"/>
  </rowFields>
  <rowItems count="2">
    <i>
      <x/>
    </i>
    <i i="1">
      <x v="1"/>
    </i>
  </rowItems>
  <colItems count="1">
    <i/>
  </colItems>
  <pageFields count="2">
    <pageField fld="0" item="2" hier="-1"/>
    <pageField fld="4" hier="-1"/>
  </pageFields>
  <dataFields count="2">
    <dataField name="Giá trị tồn kho chưa tiêu thụ" fld="12" baseField="0" baseItem="0" numFmtId="164"/>
    <dataField name="Giá vốn thành phẩm tồn kho" fld="13" baseField="0" baseItem="0" numFmtId="164"/>
  </dataFields>
  <chartFormats count="4">
    <chartFormat chart="0" format="2" series="1">
      <pivotArea type="data" outline="0" fieldPosition="0">
        <references count="1">
          <reference field="4294967294" count="1" selected="0">
            <x v="1"/>
          </reference>
        </references>
      </pivotArea>
    </chartFormat>
    <chartFormat chart="0" format="3" series="1">
      <pivotArea type="data" outline="0" fieldPosition="0">
        <references count="1">
          <reference field="4294967294" count="1" selected="0">
            <x v="0"/>
          </reference>
        </references>
      </pivotArea>
    </chartFormat>
    <chartFormat chart="0" format="4">
      <pivotArea type="data" outline="0" fieldPosition="0">
        <references count="1">
          <reference field="4294967294" count="1" selected="0">
            <x v="0"/>
          </reference>
        </references>
      </pivotArea>
    </chartFormat>
    <chartFormat chart="0" format="5">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023EBA5-753D-43FE-9F71-91D3FB478261}" name="Table_TonKho" displayName="Table_TonKho" ref="Y22:AM37" totalsRowShown="0" headerRowDxfId="27" dataDxfId="26">
  <autoFilter ref="Y22:AM37" xr:uid="{5023EBA5-753D-43FE-9F71-91D3FB478261}"/>
  <tableColumns count="15">
    <tableColumn id="2" xr3:uid="{8E5CBC54-8A31-4EF5-A0C3-074000F41621}" name="Kỳ" dataDxfId="25">
      <calculatedColumnFormula>IFERROR(
IF(ISBLANK(AA23),
DATE(Z23,12,1),
DATE(Z23,AA23,1)),0)</calculatedColumnFormula>
    </tableColumn>
    <tableColumn id="1" xr3:uid="{F61A9320-5B75-4010-9773-8E8C089A7753}" name="Năm" dataDxfId="24"/>
    <tableColumn id="19" xr3:uid="{C1F54C3B-79A5-42C9-BA85-70CE48310B4A}" name="Tháng" dataDxfId="23"/>
    <tableColumn id="3" xr3:uid="{6152064A-A7DE-4879-87FC-7DDEA1ED6238}" name="Thành phẩm" dataDxfId="22"/>
    <tableColumn id="4" xr3:uid="{587CFBAD-E5B3-49F9-B0D7-F94A8D5566B7}" name="Hàng hóa / NL" dataDxfId="21"/>
    <tableColumn id="12" xr3:uid="{D248C8E0-953C-40B3-863D-B83F98AE7609}" name="Sản xuất" dataDxfId="20" dataCellStyle="Comma">
      <calculatedColumnFormula array="1">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calculatedColumnFormula>
    </tableColumn>
    <tableColumn id="13" xr3:uid="{39742343-B8A8-4951-B7F5-D188673A49D6}" name="Tiêu thụ" dataDxfId="19" dataCellStyle="Comma">
      <calculatedColumnFormula array="1"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calculatedColumnFormula>
    </tableColumn>
    <tableColumn id="7" xr3:uid="{BCC42489-DF07-4C9F-8C55-E3C315D9098E}" name="SL xuất" dataDxfId="18" dataCellStyle="Comma">
      <calculatedColumnFormula array="1"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calculatedColumnFormula>
    </tableColumn>
    <tableColumn id="5" xr3:uid="{30CF05FD-BDA4-4B58-B75D-C2A814C7D6E1}" name="Giá trị đầu kỳ" dataDxfId="17" dataCellStyle="Comma">
      <calculatedColumnFormula array="1"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calculatedColumnFormula>
    </tableColumn>
    <tableColumn id="6" xr3:uid="{7A36041F-5B43-4913-972F-88F51FFE6D8C}" name="Giá trị nhập" dataDxfId="16" dataCellStyle="Comma">
      <calculatedColumnFormula array="1"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calculatedColumnFormula>
    </tableColumn>
    <tableColumn id="14" xr3:uid="{361250BB-0E5D-40CC-8B95-248715E710F5}" name="Giá trị xuất" dataDxfId="15" dataCellStyle="Comma">
      <calculatedColumnFormula array="1"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calculatedColumnFormula>
    </tableColumn>
    <tableColumn id="15" xr3:uid="{572ABAAC-FBDD-467F-BF1F-894B4F13B37B}" name="Chi phí ghi nhận" dataDxfId="14" dataCellStyle="Comma">
      <calculatedColumnFormula array="1"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calculatedColumnFormula>
    </tableColumn>
    <tableColumn id="10" xr3:uid="{79C784A3-8102-4366-8918-087395D934EE}" name="Tồn kho cuối kỳ" dataDxfId="13" dataCellStyle="Comma">
      <calculatedColumnFormula array="1"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calculatedColumnFormula>
    </tableColumn>
    <tableColumn id="8" xr3:uid="{FC6BDE99-575C-44B3-9E44-E4BE0E866ABC}" name="Giá vốn cuối kỳ" dataDxfId="12" dataCellStyle="Comma">
      <calculatedColumnFormula>+Table_TonKho[[#This Row],[Tổng giá trị cuối kỳ]]-Table_TonKho[[#This Row],[Tồn kho cuối kỳ]]</calculatedColumnFormula>
    </tableColumn>
    <tableColumn id="9" xr3:uid="{AAAAF956-7C36-4185-92F7-6BBF3AA466B6}" name="Tổng giá trị cuối kỳ" dataDxfId="11" dataCellStyle="Comma">
      <calculatedColumnFormula array="1"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calculatedColumnFormula>
    </tableColumn>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977DE0D-C537-4E7E-B7E8-94E900EA3BDA}" name="Table_Main" displayName="Table_Main" ref="AO22:AW98" totalsRowShown="0" headerRowDxfId="10" dataDxfId="9">
  <autoFilter ref="AO22:AW98" xr:uid="{7EE1FBC0-CA11-44D8-84E1-E68C320835D5}"/>
  <sortState xmlns:xlrd2="http://schemas.microsoft.com/office/spreadsheetml/2017/richdata2" ref="AO23:AW98">
    <sortCondition descending="1" ref="AP22:AP98"/>
  </sortState>
  <tableColumns count="9">
    <tableColumn id="1" xr3:uid="{18961AB9-4F59-4CDA-9625-CBEB24FFC7F7}" name="Mặt hàng" dataDxfId="8"/>
    <tableColumn id="38" xr3:uid="{9BB57A10-EF8B-4168-9D57-6AB152E3EAE6}" name="Ngày xuất nhập" dataDxfId="7"/>
    <tableColumn id="6" xr3:uid="{38735BED-DFF8-4F08-BB6C-BDA9A4923D2C}" name="Loại" dataDxfId="6"/>
    <tableColumn id="5" xr3:uid="{EAB2F578-A8BB-4FAB-A929-B66E906EBF6E}" name="Số lượng" dataDxfId="5" dataCellStyle="Comma"/>
    <tableColumn id="29" xr3:uid="{80A773D5-6191-467C-8839-401F9EB003EF}" name="Đơn giá nhập" dataDxfId="4" dataCellStyle="Comma"/>
    <tableColumn id="2" xr3:uid="{F380DFEC-0036-42D0-9146-A8652A3AC9D7}" name="Tồn kho đầu ngày" dataDxfId="3" dataCellStyle="Comma">
      <calculatedColumnFormula array="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calculatedColumnFormula>
    </tableColumn>
    <tableColumn id="3" xr3:uid="{F6F071CB-17DD-4B78-9CFC-EC7A8B29FDC7}" name="Giá trị tồn đầu ngày" dataDxfId="2" dataCellStyle="Comma">
      <calculatedColumnFormula array="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calculatedColumnFormula>
    </tableColumn>
    <tableColumn id="4" xr3:uid="{EA3ED50F-356A-4073-BE3B-C4903B36D038}" name="Giá trị bình quân đầu ngày" dataDxfId="1" dataCellStyle="Comma">
      <calculatedColumnFormula>IFERROR(Table_Main[[#This Row],[Giá trị tồn đầu ngày]]/Table_Main[[#This Row],[Tồn kho đầu ngày]],0)</calculatedColumnFormula>
    </tableColumn>
    <tableColumn id="20" xr3:uid="{09E96BB3-B616-4831-B3CE-D5733239938A}" name="Giá trị hàng nhập" dataDxfId="0" dataCellStyle="Comma">
      <calculatedColumnFormula xml:space="preserve">
IF(Table_Main[[#This Row],[Loại]]="Nhập",Table_Main[[#This Row],[Số lượng]]*Table_Main[[#This Row],[Đơn giá nhập]],Table_Main[[#This Row],[Số lượng]]*Table_Main[[#This Row],[Giá trị bình quân đầu ngày]])</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ysClr val="windowText" lastClr="000000"/>
      </a:dk1>
      <a:lt1>
        <a:sysClr val="window" lastClr="FFFFFF"/>
      </a:lt1>
      <a:dk2>
        <a:srgbClr val="39302A"/>
      </a:dk2>
      <a:lt2>
        <a:srgbClr val="E5DEDB"/>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7F723D"/>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18" Type="http://schemas.openxmlformats.org/officeDocument/2006/relationships/ctrlProp" Target="../ctrlProps/ctrlProp12.xml"/><Relationship Id="rId3" Type="http://schemas.openxmlformats.org/officeDocument/2006/relationships/pivotTable" Target="../pivotTables/pivotTable3.xml"/><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ctrlProp" Target="../ctrlProps/ctrlProp11.xml"/><Relationship Id="rId2" Type="http://schemas.openxmlformats.org/officeDocument/2006/relationships/pivotTable" Target="../pivotTables/pivotTable2.xml"/><Relationship Id="rId16" Type="http://schemas.openxmlformats.org/officeDocument/2006/relationships/ctrlProp" Target="../ctrlProps/ctrlProp10.xml"/><Relationship Id="rId20" Type="http://schemas.openxmlformats.org/officeDocument/2006/relationships/table" Target="../tables/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openxmlformats.org/officeDocument/2006/relationships/ctrlProp" Target="../ctrlProps/ctrlProp9.xml"/><Relationship Id="rId10" Type="http://schemas.openxmlformats.org/officeDocument/2006/relationships/ctrlProp" Target="../ctrlProps/ctrlProp4.xml"/><Relationship Id="rId19" Type="http://schemas.openxmlformats.org/officeDocument/2006/relationships/table" Target="../tables/table1.xml"/><Relationship Id="rId4" Type="http://schemas.openxmlformats.org/officeDocument/2006/relationships/printerSettings" Target="../printerSettings/printerSettings1.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7" bestFit="1" customWidth="1"/>
    <col min="2" max="2" width="36.25" style="7" bestFit="1" customWidth="1"/>
    <col min="3" max="3" width="16.125" style="7" bestFit="1" customWidth="1"/>
    <col min="4" max="5" width="14.375" style="19" bestFit="1" customWidth="1"/>
    <col min="6" max="25" width="9" style="7"/>
    <col min="26" max="26" width="9" style="7" hidden="1" customWidth="1"/>
    <col min="27" max="16384" width="9" style="7"/>
  </cols>
  <sheetData>
    <row r="1" spans="1:26" x14ac:dyDescent="0.3">
      <c r="A1" s="14" t="s">
        <v>23</v>
      </c>
      <c r="B1" s="15" t="s">
        <v>12</v>
      </c>
      <c r="C1" s="16" t="s">
        <v>13</v>
      </c>
      <c r="D1" s="18" t="s">
        <v>24</v>
      </c>
      <c r="E1" s="18" t="s">
        <v>25</v>
      </c>
      <c r="F1" s="14" t="s">
        <v>26</v>
      </c>
      <c r="G1" s="17" t="s">
        <v>27</v>
      </c>
      <c r="H1" s="14" t="s">
        <v>28</v>
      </c>
      <c r="I1" s="14" t="s">
        <v>29</v>
      </c>
      <c r="J1" s="17" t="s">
        <v>30</v>
      </c>
      <c r="K1" s="17" t="s">
        <v>31</v>
      </c>
      <c r="L1" s="17" t="s">
        <v>32</v>
      </c>
      <c r="M1" s="17" t="s">
        <v>33</v>
      </c>
      <c r="N1" s="29"/>
      <c r="O1" s="29"/>
      <c r="P1" s="29"/>
      <c r="Q1" s="29"/>
      <c r="R1" s="29"/>
      <c r="S1" s="29"/>
      <c r="T1" s="29"/>
      <c r="U1" s="29"/>
      <c r="V1" s="29"/>
      <c r="W1" s="29"/>
      <c r="X1" s="29"/>
      <c r="Y1" s="29"/>
      <c r="Z1" s="7" t="s">
        <v>35</v>
      </c>
    </row>
    <row r="2" spans="1:26" x14ac:dyDescent="0.3">
      <c r="A2" s="29"/>
      <c r="B2" s="7" t="s">
        <v>74</v>
      </c>
      <c r="C2" s="7" t="s">
        <v>75</v>
      </c>
      <c r="D2" s="19">
        <v>45785</v>
      </c>
      <c r="E2" s="19">
        <v>46150</v>
      </c>
      <c r="F2" s="29">
        <v>365</v>
      </c>
      <c r="G2" s="7" t="s">
        <v>37</v>
      </c>
      <c r="H2" s="29"/>
      <c r="I2" s="29"/>
      <c r="J2" s="29"/>
      <c r="K2" s="29"/>
      <c r="L2" s="29"/>
      <c r="M2" s="29"/>
      <c r="N2" s="29"/>
      <c r="O2" s="29"/>
      <c r="P2" s="29"/>
      <c r="Q2" s="29"/>
      <c r="R2" s="29"/>
      <c r="S2" s="29"/>
      <c r="T2" s="29"/>
      <c r="U2" s="29"/>
      <c r="V2" s="29"/>
      <c r="W2" s="29"/>
      <c r="X2" s="29"/>
      <c r="Y2" s="29"/>
      <c r="Z2" s="29" t="s">
        <v>36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2:B76"/>
  <sheetViews>
    <sheetView showGridLines="0" tabSelected="1" zoomScaleNormal="100" workbookViewId="0">
      <selection activeCell="A3" sqref="A3"/>
    </sheetView>
  </sheetViews>
  <sheetFormatPr defaultRowHeight="16.5" x14ac:dyDescent="0.3"/>
  <cols>
    <col min="1" max="1" width="11.625" style="9" bestFit="1" customWidth="1"/>
    <col min="2" max="16384" width="9" style="9"/>
  </cols>
  <sheetData>
    <row r="2" spans="1:2" x14ac:dyDescent="0.3">
      <c r="A2" s="9" t="s">
        <v>76</v>
      </c>
    </row>
    <row r="4" spans="1:2" ht="37.5" x14ac:dyDescent="0.3">
      <c r="A4" s="12" t="s">
        <v>3</v>
      </c>
      <c r="B4" s="12" t="s">
        <v>4</v>
      </c>
    </row>
    <row r="5" spans="1:2" ht="17.25" x14ac:dyDescent="0.3">
      <c r="A5" s="24"/>
      <c r="B5" s="20" t="s">
        <v>38</v>
      </c>
    </row>
    <row r="6" spans="1:2" ht="17.25" x14ac:dyDescent="0.3">
      <c r="A6" s="24"/>
      <c r="B6" s="20" t="s">
        <v>34</v>
      </c>
    </row>
    <row r="7" spans="1:2" ht="17.25" x14ac:dyDescent="0.3">
      <c r="A7" s="24"/>
      <c r="B7" s="20" t="s">
        <v>39</v>
      </c>
    </row>
    <row r="8" spans="1:2" ht="17.25" x14ac:dyDescent="0.3">
      <c r="A8" s="24"/>
      <c r="B8" s="20" t="s">
        <v>40</v>
      </c>
    </row>
    <row r="9" spans="1:2" ht="17.25" x14ac:dyDescent="0.3">
      <c r="A9" s="24"/>
      <c r="B9" s="21" t="s">
        <v>41</v>
      </c>
    </row>
    <row r="10" spans="1:2" x14ac:dyDescent="0.3">
      <c r="A10" s="24"/>
      <c r="B10" s="24"/>
    </row>
    <row r="11" spans="1:2" ht="37.5" x14ac:dyDescent="0.3">
      <c r="A11" s="12" t="s">
        <v>10</v>
      </c>
      <c r="B11" s="12" t="s">
        <v>11</v>
      </c>
    </row>
    <row r="12" spans="1:2" x14ac:dyDescent="0.3">
      <c r="A12" s="13" t="s">
        <v>12</v>
      </c>
      <c r="B12" s="9" t="s">
        <v>74</v>
      </c>
    </row>
    <row r="13" spans="1:2" x14ac:dyDescent="0.3">
      <c r="A13" s="13" t="s">
        <v>13</v>
      </c>
      <c r="B13" s="9" t="s">
        <v>75</v>
      </c>
    </row>
    <row r="14" spans="1:2" ht="17.25" x14ac:dyDescent="0.3">
      <c r="A14" s="24"/>
      <c r="B14" s="10" t="s">
        <v>5</v>
      </c>
    </row>
    <row r="15" spans="1:2" ht="17.25" x14ac:dyDescent="0.3">
      <c r="A15" s="24"/>
      <c r="B15" s="10" t="s">
        <v>6</v>
      </c>
    </row>
    <row r="16" spans="1:2" ht="17.25" x14ac:dyDescent="0.3">
      <c r="A16" s="24"/>
      <c r="B16" s="10" t="s">
        <v>7</v>
      </c>
    </row>
    <row r="17" spans="1:2" ht="17.25" x14ac:dyDescent="0.3">
      <c r="A17" s="24"/>
      <c r="B17" s="10" t="s">
        <v>8</v>
      </c>
    </row>
    <row r="18" spans="1:2" ht="17.25" x14ac:dyDescent="0.3">
      <c r="A18" s="24"/>
      <c r="B18" s="11" t="s">
        <v>9</v>
      </c>
    </row>
    <row r="19" spans="1:2" x14ac:dyDescent="0.3">
      <c r="A19" s="24"/>
      <c r="B19" s="24"/>
    </row>
    <row r="20" spans="1:2" x14ac:dyDescent="0.3">
      <c r="A20" s="24"/>
      <c r="B20" s="24"/>
    </row>
    <row r="21" spans="1:2" x14ac:dyDescent="0.3">
      <c r="A21" s="24"/>
      <c r="B21" s="24"/>
    </row>
    <row r="22" spans="1:2" x14ac:dyDescent="0.3">
      <c r="A22" s="24"/>
      <c r="B22" s="24"/>
    </row>
    <row r="23" spans="1:2" x14ac:dyDescent="0.3">
      <c r="A23" s="24"/>
      <c r="B23" s="24"/>
    </row>
    <row r="24" spans="1:2" x14ac:dyDescent="0.3">
      <c r="A24" s="25"/>
      <c r="B24" s="24"/>
    </row>
    <row r="25" spans="1:2" x14ac:dyDescent="0.3">
      <c r="A25" s="26"/>
      <c r="B25" s="24"/>
    </row>
    <row r="26" spans="1:2" x14ac:dyDescent="0.3">
      <c r="A26" s="25"/>
      <c r="B26" s="24"/>
    </row>
    <row r="27" spans="1:2" x14ac:dyDescent="0.3">
      <c r="A27" s="26"/>
      <c r="B27" s="24"/>
    </row>
    <row r="28" spans="1:2" x14ac:dyDescent="0.3">
      <c r="A28" s="26"/>
      <c r="B28" s="24"/>
    </row>
    <row r="29" spans="1:2" x14ac:dyDescent="0.3">
      <c r="A29" s="26"/>
      <c r="B29" s="24"/>
    </row>
    <row r="30" spans="1:2" x14ac:dyDescent="0.3">
      <c r="A30" s="26"/>
      <c r="B30" s="24"/>
    </row>
    <row r="31" spans="1:2" x14ac:dyDescent="0.3">
      <c r="A31" s="25"/>
      <c r="B31" s="24"/>
    </row>
    <row r="32" spans="1:2" x14ac:dyDescent="0.3">
      <c r="A32" s="26"/>
      <c r="B32" s="24"/>
    </row>
    <row r="33" spans="1:2" x14ac:dyDescent="0.3">
      <c r="A33" s="26"/>
      <c r="B33" s="24"/>
    </row>
    <row r="34" spans="1:2" x14ac:dyDescent="0.3">
      <c r="A34" s="26"/>
      <c r="B34" s="24"/>
    </row>
    <row r="35" spans="1:2" x14ac:dyDescent="0.3">
      <c r="A35" s="26"/>
      <c r="B35" s="24"/>
    </row>
    <row r="36" spans="1:2" x14ac:dyDescent="0.3">
      <c r="A36" s="25"/>
      <c r="B36" s="24"/>
    </row>
    <row r="37" spans="1:2" x14ac:dyDescent="0.3">
      <c r="A37" s="27"/>
      <c r="B37" s="24"/>
    </row>
    <row r="38" spans="1:2" x14ac:dyDescent="0.3">
      <c r="A38" s="28"/>
      <c r="B38" s="24"/>
    </row>
    <row r="39" spans="1:2" x14ac:dyDescent="0.3">
      <c r="A39" s="27"/>
      <c r="B39" s="24"/>
    </row>
    <row r="40" spans="1:2" x14ac:dyDescent="0.3">
      <c r="A40" s="28"/>
      <c r="B40" s="24"/>
    </row>
    <row r="41" spans="1:2" x14ac:dyDescent="0.3">
      <c r="A41" s="27"/>
      <c r="B41" s="24"/>
    </row>
    <row r="42" spans="1:2" x14ac:dyDescent="0.3">
      <c r="A42" s="28"/>
      <c r="B42" s="24"/>
    </row>
    <row r="43" spans="1:2" x14ac:dyDescent="0.3">
      <c r="A43" s="27"/>
      <c r="B43" s="24"/>
    </row>
    <row r="44" spans="1:2" x14ac:dyDescent="0.3">
      <c r="A44" s="28"/>
      <c r="B44" s="24"/>
    </row>
    <row r="45" spans="1:2" x14ac:dyDescent="0.3">
      <c r="A45" s="27"/>
      <c r="B45" s="24"/>
    </row>
    <row r="46" spans="1:2" x14ac:dyDescent="0.3">
      <c r="A46" s="28"/>
      <c r="B46" s="24"/>
    </row>
    <row r="47" spans="1:2" x14ac:dyDescent="0.3">
      <c r="A47" s="26"/>
      <c r="B47" s="24"/>
    </row>
    <row r="48" spans="1:2" x14ac:dyDescent="0.3">
      <c r="A48" s="26"/>
      <c r="B48" s="24"/>
    </row>
    <row r="49" spans="1:2" x14ac:dyDescent="0.3">
      <c r="A49" s="26"/>
      <c r="B49" s="24"/>
    </row>
    <row r="50" spans="1:2" x14ac:dyDescent="0.3">
      <c r="A50" s="25"/>
      <c r="B50" s="24"/>
    </row>
    <row r="51" spans="1:2" x14ac:dyDescent="0.3">
      <c r="A51" s="26"/>
      <c r="B51" s="24"/>
    </row>
    <row r="52" spans="1:2" x14ac:dyDescent="0.3">
      <c r="A52" s="26"/>
      <c r="B52" s="24"/>
    </row>
    <row r="53" spans="1:2" x14ac:dyDescent="0.3">
      <c r="A53" s="26"/>
      <c r="B53" s="24"/>
    </row>
    <row r="54" spans="1:2" x14ac:dyDescent="0.3">
      <c r="A54" s="26"/>
      <c r="B54" s="24"/>
    </row>
    <row r="55" spans="1:2" x14ac:dyDescent="0.3">
      <c r="A55" s="25"/>
      <c r="B55" s="24"/>
    </row>
    <row r="56" spans="1:2" x14ac:dyDescent="0.3">
      <c r="A56" s="27"/>
      <c r="B56" s="24"/>
    </row>
    <row r="57" spans="1:2" x14ac:dyDescent="0.3">
      <c r="A57" s="27"/>
      <c r="B57" s="24"/>
    </row>
    <row r="58" spans="1:2" x14ac:dyDescent="0.3">
      <c r="A58" s="27"/>
      <c r="B58" s="24"/>
    </row>
    <row r="59" spans="1:2" x14ac:dyDescent="0.3">
      <c r="A59" s="27"/>
      <c r="B59" s="24"/>
    </row>
    <row r="60" spans="1:2" x14ac:dyDescent="0.3">
      <c r="A60" s="26"/>
      <c r="B60" s="24"/>
    </row>
    <row r="61" spans="1:2" x14ac:dyDescent="0.3">
      <c r="A61" s="26"/>
      <c r="B61" s="24"/>
    </row>
    <row r="62" spans="1:2" x14ac:dyDescent="0.3">
      <c r="A62" s="26"/>
      <c r="B62" s="24"/>
    </row>
    <row r="63" spans="1:2" x14ac:dyDescent="0.3">
      <c r="A63" s="25"/>
      <c r="B63" s="24"/>
    </row>
    <row r="64" spans="1:2" x14ac:dyDescent="0.3">
      <c r="A64" s="26"/>
      <c r="B64" s="24"/>
    </row>
    <row r="65" spans="1:2" x14ac:dyDescent="0.3">
      <c r="A65" s="26"/>
      <c r="B65" s="24"/>
    </row>
    <row r="66" spans="1:2" x14ac:dyDescent="0.3">
      <c r="A66" s="26"/>
      <c r="B66" s="24"/>
    </row>
    <row r="67" spans="1:2" x14ac:dyDescent="0.3">
      <c r="A67" s="26"/>
      <c r="B67" s="24"/>
    </row>
    <row r="68" spans="1:2" x14ac:dyDescent="0.3">
      <c r="A68" s="25"/>
      <c r="B68" s="24"/>
    </row>
    <row r="69" spans="1:2" x14ac:dyDescent="0.3">
      <c r="A69" s="27"/>
      <c r="B69" s="24"/>
    </row>
    <row r="70" spans="1:2" x14ac:dyDescent="0.3">
      <c r="A70" s="27"/>
      <c r="B70" s="24"/>
    </row>
    <row r="71" spans="1:2" x14ac:dyDescent="0.3">
      <c r="A71" s="27"/>
      <c r="B71" s="24"/>
    </row>
    <row r="72" spans="1:2" x14ac:dyDescent="0.3">
      <c r="A72" s="27"/>
      <c r="B72" s="24"/>
    </row>
    <row r="73" spans="1:2" x14ac:dyDescent="0.3">
      <c r="A73" s="27"/>
      <c r="B73" s="24"/>
    </row>
    <row r="74" spans="1:2" x14ac:dyDescent="0.3">
      <c r="A74" s="27"/>
      <c r="B74" s="24"/>
    </row>
    <row r="75" spans="1:2" x14ac:dyDescent="0.3">
      <c r="A75" s="26"/>
      <c r="B75" s="24"/>
    </row>
    <row r="76" spans="1:2" x14ac:dyDescent="0.3">
      <c r="A76" s="25"/>
      <c r="B76" s="24"/>
    </row>
  </sheetData>
  <sheetProtection formatCells="0" formatColumns="0" formatRows="0" insertColumns="0" insertRows="0" deleteColumns="0" deleteRows="0" sort="0" autoFilter="0" pivotTables="0"/>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5AE39-E57C-4BF6-9396-E6BBBB65B64C}">
  <sheetPr codeName="Sheet16">
    <tabColor theme="9" tint="0.79998168889431442"/>
    <outlinePr summaryBelow="0" summaryRight="0"/>
  </sheetPr>
  <dimension ref="A1:AY98"/>
  <sheetViews>
    <sheetView showGridLines="0" topLeftCell="Y1" zoomScaleNormal="100" workbookViewId="0">
      <selection activeCell="A21" sqref="A21"/>
    </sheetView>
  </sheetViews>
  <sheetFormatPr defaultRowHeight="18" customHeight="1" outlineLevelRow="1" outlineLevelCol="1" x14ac:dyDescent="0.3"/>
  <cols>
    <col min="1" max="1" width="1.25" style="2" customWidth="1" collapsed="1"/>
    <col min="2" max="2" width="14.625" style="1" hidden="1" customWidth="1" outlineLevel="1"/>
    <col min="3" max="3" width="16.125" style="1" hidden="1" customWidth="1" outlineLevel="1"/>
    <col min="4" max="4" width="11.5" style="1" hidden="1" customWidth="1" outlineLevel="1"/>
    <col min="5" max="5" width="11.25" style="1" hidden="1" customWidth="1" outlineLevel="1"/>
    <col min="6" max="6" width="7.125" style="1" hidden="1" customWidth="1" outlineLevel="1"/>
    <col min="7" max="7" width="1.25" style="1" hidden="1" customWidth="1" outlineLevel="1"/>
    <col min="8" max="18" width="1.25" style="2" hidden="1" customWidth="1" outlineLevel="1"/>
    <col min="19" max="19" width="23.25" style="1" hidden="1" customWidth="1" outlineLevel="1"/>
    <col min="20" max="20" width="10.625" style="1" hidden="1" customWidth="1" outlineLevel="1"/>
    <col min="21" max="21" width="1.25" style="2" hidden="1" customWidth="1" outlineLevel="1"/>
    <col min="22" max="22" width="13" style="1" hidden="1" customWidth="1" outlineLevel="1"/>
    <col min="23" max="23" width="25.375" style="1" hidden="1" customWidth="1" outlineLevel="1"/>
    <col min="24" max="24" width="1.25" style="2" customWidth="1"/>
    <col min="25" max="25" width="8.75" style="1" customWidth="1"/>
    <col min="26" max="26" width="6.625" style="1" customWidth="1"/>
    <col min="27" max="27" width="8.75" style="1" customWidth="1"/>
    <col min="28" max="28" width="9" style="3"/>
    <col min="29" max="29" width="9.5" style="1" customWidth="1"/>
    <col min="31" max="34" width="9" style="1" customWidth="1" outlineLevel="1"/>
    <col min="35" max="35" width="10.75" style="3" customWidth="1" outlineLevel="1"/>
    <col min="36" max="37" width="14.25" style="1" customWidth="1" outlineLevel="1"/>
    <col min="38" max="38" width="16.75" style="1" customWidth="1" outlineLevel="1"/>
    <col min="39" max="39" width="14.125" style="1" customWidth="1" outlineLevel="1"/>
    <col min="40" max="40" width="1.25" style="2" customWidth="1"/>
    <col min="41" max="41" width="9" style="2"/>
    <col min="45" max="45" width="13.625" style="2" bestFit="1" customWidth="1"/>
    <col min="46" max="47" width="9" style="2"/>
    <col min="48" max="48" width="9" style="1"/>
    <col min="49" max="51" width="9" style="2"/>
    <col min="52" max="16384" width="9" style="1"/>
  </cols>
  <sheetData>
    <row r="1" spans="28:51" ht="18" customHeight="1" x14ac:dyDescent="0.3">
      <c r="AB1" s="1"/>
      <c r="AD1" s="1"/>
      <c r="AI1" s="1"/>
      <c r="AP1" s="2"/>
      <c r="AQ1" s="2"/>
      <c r="AR1" s="2"/>
      <c r="AS1" s="1"/>
      <c r="AV1" s="2"/>
      <c r="AW1" s="1"/>
      <c r="AX1" s="1"/>
      <c r="AY1" s="1"/>
    </row>
    <row r="2" spans="28:51" ht="18" customHeight="1" x14ac:dyDescent="0.3">
      <c r="AB2" s="1"/>
      <c r="AD2" s="1"/>
      <c r="AI2" s="1"/>
      <c r="AP2" s="2"/>
      <c r="AQ2" s="2"/>
      <c r="AR2" s="2"/>
      <c r="AS2" s="1"/>
      <c r="AV2" s="2"/>
      <c r="AW2" s="1"/>
      <c r="AX2" s="1"/>
      <c r="AY2" s="1"/>
    </row>
    <row r="3" spans="28:51" ht="18" customHeight="1" outlineLevel="1" x14ac:dyDescent="0.3">
      <c r="AB3" s="1"/>
      <c r="AD3" s="1"/>
      <c r="AI3" s="1"/>
      <c r="AP3" s="2"/>
      <c r="AQ3" s="2"/>
      <c r="AR3" s="2"/>
      <c r="AS3" s="1"/>
      <c r="AV3" s="2"/>
      <c r="AW3" s="1"/>
      <c r="AX3" s="1"/>
      <c r="AY3" s="1"/>
    </row>
    <row r="4" spans="28:51" ht="18" customHeight="1" outlineLevel="1" x14ac:dyDescent="0.35">
      <c r="AB4" s="1"/>
      <c r="AD4" s="1"/>
      <c r="AI4" s="1"/>
      <c r="AP4" s="2"/>
      <c r="AQ4" s="2"/>
      <c r="AR4" s="2"/>
      <c r="AS4" s="1"/>
      <c r="AT4" s="47"/>
      <c r="AV4" s="2"/>
      <c r="AW4" s="1"/>
      <c r="AX4" s="1"/>
      <c r="AY4" s="1"/>
    </row>
    <row r="5" spans="28:51" ht="18" customHeight="1" outlineLevel="1" x14ac:dyDescent="0.3">
      <c r="AB5" s="1"/>
      <c r="AD5" s="1"/>
      <c r="AI5" s="1"/>
      <c r="AP5" s="2"/>
      <c r="AQ5" s="2"/>
      <c r="AR5" s="2"/>
      <c r="AS5" s="1"/>
      <c r="AV5" s="2"/>
      <c r="AW5" s="1"/>
      <c r="AX5" s="1"/>
      <c r="AY5" s="1"/>
    </row>
    <row r="6" spans="28:51" ht="18" customHeight="1" outlineLevel="1" x14ac:dyDescent="0.35">
      <c r="AB6" s="1"/>
      <c r="AD6" s="1"/>
      <c r="AI6" s="1"/>
      <c r="AP6" s="2"/>
      <c r="AQ6" s="2"/>
      <c r="AR6" s="2"/>
      <c r="AS6" s="1"/>
      <c r="AT6" s="47"/>
      <c r="AV6" s="2"/>
      <c r="AW6" s="1"/>
      <c r="AX6" s="1"/>
      <c r="AY6" s="1"/>
    </row>
    <row r="7" spans="28:51" ht="18" customHeight="1" outlineLevel="1" x14ac:dyDescent="0.35">
      <c r="AB7" s="1"/>
      <c r="AD7" s="1"/>
      <c r="AI7" s="1"/>
      <c r="AP7" s="2"/>
      <c r="AQ7" s="2"/>
      <c r="AR7" s="2"/>
      <c r="AS7" s="1"/>
      <c r="AT7" s="47"/>
      <c r="AV7" s="2"/>
      <c r="AW7" s="1"/>
      <c r="AX7" s="1"/>
      <c r="AY7" s="1"/>
    </row>
    <row r="8" spans="28:51" ht="18" customHeight="1" outlineLevel="1" x14ac:dyDescent="0.35">
      <c r="AB8" s="1"/>
      <c r="AD8" s="1"/>
      <c r="AI8" s="1"/>
      <c r="AP8" s="2"/>
      <c r="AQ8" s="2"/>
      <c r="AR8" s="2"/>
      <c r="AS8" s="1"/>
      <c r="AT8" s="47"/>
      <c r="AV8" s="2"/>
      <c r="AW8" s="1"/>
      <c r="AX8" s="1"/>
      <c r="AY8" s="1"/>
    </row>
    <row r="9" spans="28:51" ht="18" customHeight="1" outlineLevel="1" x14ac:dyDescent="0.35">
      <c r="AB9" s="1"/>
      <c r="AD9" s="1"/>
      <c r="AI9" s="1"/>
      <c r="AP9" s="2"/>
      <c r="AQ9" s="2"/>
      <c r="AR9" s="2"/>
      <c r="AS9" s="1"/>
      <c r="AT9" s="47"/>
      <c r="AV9" s="2"/>
      <c r="AW9" s="1"/>
      <c r="AX9" s="1"/>
      <c r="AY9" s="1"/>
    </row>
    <row r="10" spans="28:51" ht="18" customHeight="1" outlineLevel="1" x14ac:dyDescent="0.35">
      <c r="AB10" s="1"/>
      <c r="AD10" s="1"/>
      <c r="AI10" s="1"/>
      <c r="AP10" s="2"/>
      <c r="AQ10" s="2"/>
      <c r="AR10" s="2"/>
      <c r="AS10" s="1"/>
      <c r="AT10" s="47"/>
      <c r="AV10" s="2"/>
      <c r="AW10" s="1"/>
      <c r="AX10" s="1"/>
      <c r="AY10" s="1"/>
    </row>
    <row r="11" spans="28:51" ht="18" customHeight="1" outlineLevel="1" x14ac:dyDescent="0.3">
      <c r="AB11" s="1"/>
      <c r="AD11" s="1"/>
      <c r="AI11" s="1"/>
      <c r="AP11" s="2"/>
      <c r="AQ11" s="2"/>
      <c r="AR11" s="2"/>
      <c r="AS11" s="1"/>
      <c r="AV11" s="2"/>
      <c r="AW11" s="1"/>
      <c r="AX11" s="1"/>
      <c r="AY11" s="1"/>
    </row>
    <row r="12" spans="28:51" ht="18" customHeight="1" outlineLevel="1" x14ac:dyDescent="0.3">
      <c r="AB12" s="1"/>
      <c r="AD12" s="1"/>
      <c r="AI12" s="1"/>
      <c r="AP12" s="2"/>
      <c r="AQ12" s="2"/>
      <c r="AR12" s="2"/>
      <c r="AS12" s="1"/>
      <c r="AV12" s="2"/>
      <c r="AW12" s="1"/>
      <c r="AX12" s="1"/>
      <c r="AY12" s="1"/>
    </row>
    <row r="13" spans="28:51" ht="18" customHeight="1" outlineLevel="1" x14ac:dyDescent="0.3">
      <c r="AB13" s="1"/>
      <c r="AD13" s="1"/>
      <c r="AI13" s="1"/>
      <c r="AP13" s="2"/>
      <c r="AQ13" s="2"/>
      <c r="AR13" s="2"/>
      <c r="AS13" s="1"/>
      <c r="AV13" s="2"/>
      <c r="AW13" s="1"/>
      <c r="AX13" s="1"/>
      <c r="AY13" s="1"/>
    </row>
    <row r="14" spans="28:51" ht="18" customHeight="1" outlineLevel="1" x14ac:dyDescent="0.3">
      <c r="AB14" s="1"/>
      <c r="AD14" s="1"/>
      <c r="AI14" s="1"/>
      <c r="AP14" s="2"/>
      <c r="AQ14" s="2"/>
      <c r="AR14" s="2"/>
      <c r="AS14" s="1"/>
      <c r="AV14" s="2"/>
      <c r="AW14" s="1"/>
      <c r="AX14" s="1"/>
      <c r="AY14" s="1"/>
    </row>
    <row r="15" spans="28:51" ht="18" customHeight="1" outlineLevel="1" x14ac:dyDescent="0.3">
      <c r="AB15" s="1"/>
      <c r="AD15" s="1"/>
      <c r="AI15" s="1"/>
      <c r="AP15" s="2"/>
      <c r="AQ15" s="2"/>
      <c r="AR15" s="2"/>
      <c r="AS15" s="1"/>
      <c r="AV15" s="2"/>
      <c r="AW15" s="1"/>
      <c r="AX15" s="1"/>
      <c r="AY15" s="1"/>
    </row>
    <row r="16" spans="28:51" ht="18" customHeight="1" outlineLevel="1" x14ac:dyDescent="0.3">
      <c r="AB16" s="1"/>
      <c r="AD16" s="1"/>
      <c r="AI16" s="1"/>
      <c r="AP16" s="2"/>
      <c r="AQ16" s="2"/>
      <c r="AR16" s="2"/>
      <c r="AS16" s="1"/>
      <c r="AV16" s="2"/>
      <c r="AW16" s="1"/>
      <c r="AX16" s="1"/>
      <c r="AY16" s="1"/>
    </row>
    <row r="17" spans="2:51" ht="18" customHeight="1" outlineLevel="1" x14ac:dyDescent="0.3">
      <c r="AB17" s="1"/>
      <c r="AD17" s="1"/>
      <c r="AI17" s="1"/>
      <c r="AP17" s="2"/>
      <c r="AQ17" s="2"/>
      <c r="AR17" s="2"/>
      <c r="AS17" s="1"/>
      <c r="AV17" s="2"/>
      <c r="AW17" s="1"/>
      <c r="AX17" s="1"/>
      <c r="AY17" s="1"/>
    </row>
    <row r="18" spans="2:51" ht="18" customHeight="1" outlineLevel="1" x14ac:dyDescent="0.3">
      <c r="AB18" s="1"/>
      <c r="AD18" s="1"/>
      <c r="AI18" s="1"/>
      <c r="AP18" s="2"/>
      <c r="AQ18" s="2"/>
      <c r="AR18" s="2"/>
      <c r="AS18" s="1"/>
      <c r="AV18" s="2"/>
      <c r="AW18" s="1"/>
      <c r="AX18" s="1"/>
      <c r="AY18" s="1"/>
    </row>
    <row r="19" spans="2:51" ht="18" customHeight="1" outlineLevel="1" x14ac:dyDescent="0.3">
      <c r="AB19" s="1"/>
      <c r="AD19" s="1"/>
      <c r="AI19" s="1"/>
      <c r="AP19" s="36"/>
      <c r="AQ19" s="2"/>
      <c r="AR19" s="2"/>
      <c r="AS19" s="1"/>
      <c r="AV19" s="2"/>
      <c r="AW19" s="1"/>
      <c r="AX19" s="1"/>
      <c r="AY19" s="1"/>
    </row>
    <row r="20" spans="2:51" ht="16.5" outlineLevel="1" x14ac:dyDescent="0.3">
      <c r="S20" s="45" t="s">
        <v>2</v>
      </c>
      <c r="T20" s="46">
        <v>45778</v>
      </c>
      <c r="AB20" s="1"/>
      <c r="AD20" s="1"/>
      <c r="AI20" s="1"/>
      <c r="AP20" s="36"/>
      <c r="AQ20" s="2"/>
      <c r="AR20" s="2"/>
      <c r="AS20" s="1"/>
      <c r="AV20" s="2"/>
      <c r="AW20" s="1"/>
      <c r="AX20" s="1"/>
      <c r="AY20" s="1"/>
    </row>
    <row r="21" spans="2:51" ht="16.5" outlineLevel="1" x14ac:dyDescent="0.3">
      <c r="S21" s="45" t="s">
        <v>68</v>
      </c>
      <c r="T21" t="s">
        <v>69</v>
      </c>
      <c r="V21" s="45" t="s">
        <v>2</v>
      </c>
      <c r="W21" s="46">
        <v>45778</v>
      </c>
      <c r="AB21" s="1"/>
      <c r="AD21" s="1"/>
      <c r="AI21" s="1"/>
      <c r="AP21" s="2"/>
      <c r="AQ21" s="2"/>
      <c r="AR21" s="2"/>
      <c r="AV21" s="2"/>
      <c r="AW21" s="1"/>
      <c r="AX21" s="1"/>
      <c r="AY21" s="1"/>
    </row>
    <row r="22" spans="2:51" ht="16.5" x14ac:dyDescent="0.3">
      <c r="B22" s="45" t="s">
        <v>66</v>
      </c>
      <c r="C22" s="45" t="s">
        <v>64</v>
      </c>
      <c r="D22"/>
      <c r="E22"/>
      <c r="F22"/>
      <c r="G22"/>
      <c r="S22"/>
      <c r="T22"/>
      <c r="V22"/>
      <c r="W22"/>
      <c r="Y22" s="4" t="s">
        <v>2</v>
      </c>
      <c r="Z22" s="4" t="s">
        <v>1</v>
      </c>
      <c r="AA22" s="4" t="s">
        <v>0</v>
      </c>
      <c r="AB22" s="4" t="s">
        <v>67</v>
      </c>
      <c r="AC22" s="4" t="s">
        <v>68</v>
      </c>
      <c r="AD22" s="4" t="s">
        <v>17</v>
      </c>
      <c r="AE22" s="4" t="s">
        <v>18</v>
      </c>
      <c r="AF22" s="4" t="s">
        <v>16</v>
      </c>
      <c r="AG22" s="4" t="s">
        <v>59</v>
      </c>
      <c r="AH22" s="4" t="s">
        <v>60</v>
      </c>
      <c r="AI22" s="4" t="s">
        <v>19</v>
      </c>
      <c r="AJ22" s="4" t="s">
        <v>20</v>
      </c>
      <c r="AK22" s="4" t="s">
        <v>62</v>
      </c>
      <c r="AL22" s="4" t="s">
        <v>63</v>
      </c>
      <c r="AM22" s="4" t="s">
        <v>61</v>
      </c>
      <c r="AO22" s="4" t="s">
        <v>45</v>
      </c>
      <c r="AP22" s="4" t="s">
        <v>21</v>
      </c>
      <c r="AQ22" s="4" t="s">
        <v>15</v>
      </c>
      <c r="AR22" s="4" t="s">
        <v>14</v>
      </c>
      <c r="AS22" s="4" t="s">
        <v>53</v>
      </c>
      <c r="AT22" s="4" t="s">
        <v>42</v>
      </c>
      <c r="AU22" s="4" t="s">
        <v>43</v>
      </c>
      <c r="AV22" s="4" t="s">
        <v>44</v>
      </c>
      <c r="AW22" s="4" t="s">
        <v>22</v>
      </c>
      <c r="AX22" s="1"/>
      <c r="AY22" s="1"/>
    </row>
    <row r="23" spans="2:51" ht="16.5" x14ac:dyDescent="0.3">
      <c r="B23" s="45" t="s">
        <v>54</v>
      </c>
      <c r="C23" t="s">
        <v>49</v>
      </c>
      <c r="D23" t="s">
        <v>46</v>
      </c>
      <c r="E23" t="s">
        <v>48</v>
      </c>
      <c r="F23" t="s">
        <v>65</v>
      </c>
      <c r="G23"/>
      <c r="S23" s="45" t="s">
        <v>70</v>
      </c>
      <c r="T23"/>
      <c r="V23" s="45" t="s">
        <v>54</v>
      </c>
      <c r="W23" t="s">
        <v>73</v>
      </c>
      <c r="Y23" s="6">
        <f>IFERROR(
IF(ISBLANK(AA23),
DATE(Z23,12,1),
DATE(Z23,AA23,1)),0)</f>
        <v>45717</v>
      </c>
      <c r="Z23" s="22">
        <v>2025</v>
      </c>
      <c r="AA23" s="22">
        <v>3</v>
      </c>
      <c r="AB23" s="22"/>
      <c r="AC23" s="22" t="s">
        <v>46</v>
      </c>
      <c r="AD23" s="8" cm="1">
        <f t="array" ref="AD23">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23" s="8" cm="1">
        <f t="array" ref="AE23"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59.217948717948715</v>
      </c>
      <c r="AF23" s="8" cm="1">
        <f t="array" ref="AF23"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149</v>
      </c>
      <c r="AG23" s="8" cm="1">
        <f t="array" ref="AG23"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23" s="8" cm="1">
        <f t="array" ref="AH23"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32403962</v>
      </c>
      <c r="AI23" s="8" cm="1">
        <f t="array" ref="AI23"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14900000</v>
      </c>
      <c r="AJ23" s="8" cm="1">
        <f t="array" ref="AJ23"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5921794.871794872</v>
      </c>
      <c r="AK23" s="8" cm="1">
        <f t="array" ref="AK23"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17503962</v>
      </c>
      <c r="AL23" s="8">
        <f>+Table_TonKho[[#This Row],[Tổng giá trị cuối kỳ]]-Table_TonKho[[#This Row],[Tồn kho cuối kỳ]]</f>
        <v>8978205.128205128</v>
      </c>
      <c r="AM23" s="8" cm="1">
        <f t="array" ref="AM23"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26482167.128205128</v>
      </c>
      <c r="AO23" s="37" t="s">
        <v>49</v>
      </c>
      <c r="AP23" s="30">
        <v>45736</v>
      </c>
      <c r="AQ23" s="22" t="s">
        <v>50</v>
      </c>
      <c r="AR23" s="34">
        <v>1</v>
      </c>
      <c r="AS23" s="35"/>
      <c r="AT23" s="42" cm="1">
        <f t="array" ref="AT2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134</v>
      </c>
      <c r="AU23" s="42" cm="1">
        <f t="array" ref="AU2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12077782</v>
      </c>
      <c r="AV23" s="42">
        <f>IFERROR(Table_Main[[#This Row],[Giá trị tồn đầu ngày]]/Table_Main[[#This Row],[Tồn kho đầu ngày]],0)</f>
        <v>90132.701492537308</v>
      </c>
      <c r="AW23" s="5">
        <f xml:space="preserve">
IF(Table_Main[[#This Row],[Loại]]="Nhập",Table_Main[[#This Row],[Số lượng]]*Table_Main[[#This Row],[Đơn giá nhập]],Table_Main[[#This Row],[Số lượng]]*Table_Main[[#This Row],[Giá trị bình quân đầu ngày]])</f>
        <v>90132.701492537308</v>
      </c>
      <c r="AX23" s="1"/>
      <c r="AY23" s="1"/>
    </row>
    <row r="24" spans="2:51" ht="16.5" x14ac:dyDescent="0.3">
      <c r="B24" s="7" t="s">
        <v>56</v>
      </c>
      <c r="C24" s="41">
        <v>2350481.1042862609</v>
      </c>
      <c r="D24" s="41">
        <v>5921794.871794872</v>
      </c>
      <c r="E24" s="41">
        <v>4812804.8167141499</v>
      </c>
      <c r="F24" s="41">
        <v>0</v>
      </c>
      <c r="G24"/>
      <c r="S24" s="7" t="s">
        <v>71</v>
      </c>
      <c r="T24" s="41">
        <v>35332325.538446799</v>
      </c>
      <c r="V24" s="7" t="s">
        <v>49</v>
      </c>
      <c r="W24" s="41">
        <v>8985099.1070432197</v>
      </c>
      <c r="Y24" s="6">
        <f t="shared" ref="Y24:Y25" si="0">IFERROR(
IF(ISBLANK(AA24),
DATE(Z24,12,1),
DATE(Z24,AA24,1)),0)</f>
        <v>45748</v>
      </c>
      <c r="Z24" s="22">
        <v>2025</v>
      </c>
      <c r="AA24" s="22">
        <v>4</v>
      </c>
      <c r="AB24" s="22"/>
      <c r="AC24" s="22" t="s">
        <v>46</v>
      </c>
      <c r="AD24" s="8" cm="1">
        <f t="array" ref="AD24">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24" s="8" cm="1">
        <f t="array" ref="AE24"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29.380434782608695</v>
      </c>
      <c r="AF24" s="8" cm="1">
        <f t="array" ref="AF24"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34</v>
      </c>
      <c r="AG24" s="8" cm="1">
        <f t="array" ref="AG24"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26482167.128205128</v>
      </c>
      <c r="AH24" s="8" cm="1">
        <f t="array" ref="AH24"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948135</v>
      </c>
      <c r="AI24" s="8" cm="1">
        <f t="array" ref="AI24"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3480319.9298245613</v>
      </c>
      <c r="AJ24" s="8" cm="1">
        <f t="array" ref="AJ24"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3007450.3741418766</v>
      </c>
      <c r="AK24" s="8" cm="1">
        <f t="array" ref="AK24"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14971777.070175439</v>
      </c>
      <c r="AL24" s="8">
        <f>+Table_TonKho[[#This Row],[Tổng giá trị cuối kỳ]]-Table_TonKho[[#This Row],[Tồn kho cuối kỳ]]</f>
        <v>9451074.6838878132</v>
      </c>
      <c r="AM24" s="8" cm="1">
        <f t="array" ref="AM24"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24422851.754063252</v>
      </c>
      <c r="AO24" s="37" t="s">
        <v>49</v>
      </c>
      <c r="AP24" s="30">
        <v>45793</v>
      </c>
      <c r="AQ24" s="22" t="s">
        <v>50</v>
      </c>
      <c r="AR24" s="34">
        <v>22</v>
      </c>
      <c r="AS24" s="35"/>
      <c r="AT24" s="42" cm="1">
        <f t="array" ref="AT2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46</v>
      </c>
      <c r="AU24" s="42" cm="1">
        <f t="array" ref="AU2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2732577.7636815906</v>
      </c>
      <c r="AV24" s="42">
        <f>IFERROR(Table_Main[[#This Row],[Giá trị tồn đầu ngày]]/Table_Main[[#This Row],[Tồn kho đầu ngày]],0)</f>
        <v>59403.864427860666</v>
      </c>
      <c r="AW24" s="5">
        <f xml:space="preserve">
IF(Table_Main[[#This Row],[Loại]]="Nhập",Table_Main[[#This Row],[Số lượng]]*Table_Main[[#This Row],[Đơn giá nhập]],Table_Main[[#This Row],[Số lượng]]*Table_Main[[#This Row],[Giá trị bình quân đầu ngày]])</f>
        <v>1306885.0174129347</v>
      </c>
      <c r="AX24" s="1"/>
      <c r="AY24" s="1"/>
    </row>
    <row r="25" spans="2:51" ht="16.5" x14ac:dyDescent="0.3">
      <c r="B25" s="7" t="s">
        <v>57</v>
      </c>
      <c r="C25" s="41">
        <v>8411732.337118756</v>
      </c>
      <c r="D25" s="41">
        <v>3007450.3741418766</v>
      </c>
      <c r="E25" s="41">
        <v>13305460.205299949</v>
      </c>
      <c r="F25" s="41">
        <v>0</v>
      </c>
      <c r="G25"/>
      <c r="S25" s="7" t="s">
        <v>72</v>
      </c>
      <c r="T25" s="41">
        <v>10325740.427708043</v>
      </c>
      <c r="V25" s="7" t="s">
        <v>46</v>
      </c>
      <c r="W25" s="41">
        <v>22855139.021919832</v>
      </c>
      <c r="Y25" s="6">
        <f t="shared" si="0"/>
        <v>45778</v>
      </c>
      <c r="Z25" s="22">
        <v>2025</v>
      </c>
      <c r="AA25" s="22">
        <v>5</v>
      </c>
      <c r="AB25" s="22"/>
      <c r="AC25" s="22" t="s">
        <v>46</v>
      </c>
      <c r="AD25" s="8" cm="1">
        <f t="array" ref="AD25">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25" s="8" cm="1">
        <f t="array" ref="AE25"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79.873015873015873</v>
      </c>
      <c r="AF25" s="8" cm="1">
        <f t="array" ref="AF25"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34</v>
      </c>
      <c r="AG25" s="8" cm="1">
        <f t="array" ref="AG25"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24422851.754063252</v>
      </c>
      <c r="AH25" s="8" cm="1">
        <f t="array" ref="AH25"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6347758</v>
      </c>
      <c r="AI25" s="8" cm="1">
        <f t="array" ref="AI25"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3369423.3521961868</v>
      </c>
      <c r="AJ25" s="8" cm="1">
        <f t="array" ref="AJ25"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7915470.7321434226</v>
      </c>
      <c r="AK25" s="8" cm="1">
        <f t="array" ref="AK25"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17950111.717979252</v>
      </c>
      <c r="AL25" s="8">
        <f>+Table_TonKho[[#This Row],[Tổng giá trị cuối kỳ]]-Table_TonKho[[#This Row],[Tồn kho cuối kỳ]]</f>
        <v>4905027.3039405793</v>
      </c>
      <c r="AM25" s="8" cm="1">
        <f t="array" ref="AM25"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22855139.021919832</v>
      </c>
      <c r="AO25" s="37" t="s">
        <v>49</v>
      </c>
      <c r="AP25" s="30">
        <v>45761</v>
      </c>
      <c r="AQ25" s="22" t="s">
        <v>50</v>
      </c>
      <c r="AR25" s="34">
        <v>39</v>
      </c>
      <c r="AS25" s="35"/>
      <c r="AT25" s="42" cm="1">
        <f t="array" ref="AT2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57</v>
      </c>
      <c r="AU25" s="42" cm="1">
        <f t="array" ref="AU2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5137563.9850746263</v>
      </c>
      <c r="AV25" s="42">
        <f>IFERROR(Table_Main[[#This Row],[Giá trị tồn đầu ngày]]/Table_Main[[#This Row],[Tồn kho đầu ngày]],0)</f>
        <v>90132.701492537308</v>
      </c>
      <c r="AW25" s="5">
        <f xml:space="preserve">
IF(Table_Main[[#This Row],[Loại]]="Nhập",Table_Main[[#This Row],[Số lượng]]*Table_Main[[#This Row],[Đơn giá nhập]],Table_Main[[#This Row],[Số lượng]]*Table_Main[[#This Row],[Giá trị bình quân đầu ngày]])</f>
        <v>3515175.3582089548</v>
      </c>
      <c r="AX25" s="1"/>
      <c r="AY25" s="1"/>
    </row>
    <row r="26" spans="2:51" ht="16.5" x14ac:dyDescent="0.3">
      <c r="B26" s="7" t="s">
        <v>58</v>
      </c>
      <c r="C26" s="41">
        <v>3349246.4515517638</v>
      </c>
      <c r="D26" s="41">
        <v>7915470.7321434226</v>
      </c>
      <c r="E26" s="41">
        <v>12067836.140794111</v>
      </c>
      <c r="F26" s="41">
        <v>0</v>
      </c>
      <c r="G26"/>
      <c r="S26"/>
      <c r="T26"/>
      <c r="V26" s="7" t="s">
        <v>48</v>
      </c>
      <c r="W26" s="41">
        <v>13817827.83719179</v>
      </c>
      <c r="Y26" s="6">
        <f>IFERROR(
IF(ISBLANK(AA26),
DATE(Z26,12,1),
DATE(Z26,AA26,1)),0)</f>
        <v>45717</v>
      </c>
      <c r="Z26" s="22">
        <v>2025</v>
      </c>
      <c r="AA26" s="22">
        <v>3</v>
      </c>
      <c r="AB26" s="22"/>
      <c r="AC26" s="22" t="s">
        <v>48</v>
      </c>
      <c r="AD26" s="8" cm="1">
        <f t="array" ref="AD26">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26" s="8" cm="1">
        <f t="array" ref="AE26"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32.589743589743591</v>
      </c>
      <c r="AF26" s="8" cm="1">
        <f t="array" ref="AF26"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82</v>
      </c>
      <c r="AG26" s="8" cm="1">
        <f t="array" ref="AG26"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26" s="8" cm="1">
        <f t="array" ref="AH26"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31626564</v>
      </c>
      <c r="AI26" s="8" cm="1">
        <f t="array" ref="AI26"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12109637.925925925</v>
      </c>
      <c r="AJ26" s="8" cm="1">
        <f t="array" ref="AJ26"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4812804.8167141499</v>
      </c>
      <c r="AK26" s="8" cm="1">
        <f t="array" ref="AK26"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19516926.074074075</v>
      </c>
      <c r="AL26" s="8">
        <f>+Table_TonKho[[#This Row],[Tổng giá trị cuối kỳ]]-Table_TonKho[[#This Row],[Tồn kho cuối kỳ]]</f>
        <v>7296833.1092117764</v>
      </c>
      <c r="AM26" s="8" cm="1">
        <f t="array" ref="AM26"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26813759.183285851</v>
      </c>
      <c r="AO26" s="37" t="s">
        <v>49</v>
      </c>
      <c r="AP26" s="30">
        <v>45729</v>
      </c>
      <c r="AQ26" s="22" t="s">
        <v>50</v>
      </c>
      <c r="AR26" s="34">
        <v>39</v>
      </c>
      <c r="AS26" s="35"/>
      <c r="AT26" s="42" cm="1">
        <f t="array" ref="AT2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150</v>
      </c>
      <c r="AU26" s="42" cm="1">
        <f t="array" ref="AU2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12000000</v>
      </c>
      <c r="AV26" s="42">
        <f>IFERROR(Table_Main[[#This Row],[Giá trị tồn đầu ngày]]/Table_Main[[#This Row],[Tồn kho đầu ngày]],0)</f>
        <v>80000</v>
      </c>
      <c r="AW26" s="5">
        <f xml:space="preserve">
IF(Table_Main[[#This Row],[Loại]]="Nhập",Table_Main[[#This Row],[Số lượng]]*Table_Main[[#This Row],[Đơn giá nhập]],Table_Main[[#This Row],[Số lượng]]*Table_Main[[#This Row],[Giá trị bình quân đầu ngày]])</f>
        <v>3120000</v>
      </c>
      <c r="AX26" s="1"/>
      <c r="AY26" s="1"/>
    </row>
    <row r="27" spans="2:51" ht="16.5" x14ac:dyDescent="0.3">
      <c r="B27" s="7" t="s">
        <v>55</v>
      </c>
      <c r="C27" s="41">
        <v>14111459.89295678</v>
      </c>
      <c r="D27" s="41">
        <v>16844715.978080168</v>
      </c>
      <c r="E27" s="41">
        <v>30186101.16280821</v>
      </c>
      <c r="F27" s="41">
        <v>0</v>
      </c>
      <c r="G27"/>
      <c r="S27"/>
      <c r="T27"/>
      <c r="V27" s="7" t="s">
        <v>55</v>
      </c>
      <c r="W27" s="41">
        <v>45658065.966154844</v>
      </c>
      <c r="Y27" s="6">
        <f t="shared" ref="Y27:Y28" si="1">IFERROR(
IF(ISBLANK(AA27),
DATE(Z27,12,1),
DATE(Z27,AA27,1)),0)</f>
        <v>45748</v>
      </c>
      <c r="Z27" s="22">
        <v>2025</v>
      </c>
      <c r="AA27" s="22">
        <v>4</v>
      </c>
      <c r="AB27" s="22"/>
      <c r="AC27" s="22" t="s">
        <v>48</v>
      </c>
      <c r="AD27" s="8" cm="1">
        <f t="array" ref="AD27">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27" s="8" cm="1">
        <f t="array" ref="AE27"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95.918478260869563</v>
      </c>
      <c r="AF27" s="8" cm="1">
        <f t="array" ref="AF27"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111</v>
      </c>
      <c r="AG27" s="8" cm="1">
        <f t="array" ref="AG27"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26813759.183285851</v>
      </c>
      <c r="AH27" s="8" cm="1">
        <f t="array" ref="AH27"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5256161</v>
      </c>
      <c r="AI27" s="8" cm="1">
        <f t="array" ref="AI27"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15397513.696699314</v>
      </c>
      <c r="AJ27" s="8" cm="1">
        <f t="array" ref="AJ27"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13305460.205299949</v>
      </c>
      <c r="AK27" s="8" cm="1">
        <f t="array" ref="AK27"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9375573.3773747608</v>
      </c>
      <c r="AL27" s="8">
        <f>+Table_TonKho[[#This Row],[Tổng giá trị cuối kỳ]]-Table_TonKho[[#This Row],[Tồn kho cuối kỳ]]</f>
        <v>9388886.6006111391</v>
      </c>
      <c r="AM27" s="8" cm="1">
        <f t="array" ref="AM27"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18764459.9779859</v>
      </c>
      <c r="AO27" s="37" t="s">
        <v>49</v>
      </c>
      <c r="AP27" s="30">
        <v>45758</v>
      </c>
      <c r="AQ27" s="22" t="s">
        <v>50</v>
      </c>
      <c r="AR27" s="34">
        <v>27</v>
      </c>
      <c r="AS27" s="35"/>
      <c r="AT27" s="42" cm="1">
        <f t="array" ref="AT2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84</v>
      </c>
      <c r="AU27" s="42" cm="1">
        <f t="array" ref="AU2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7571146.9253731333</v>
      </c>
      <c r="AV27" s="42">
        <f>IFERROR(Table_Main[[#This Row],[Giá trị tồn đầu ngày]]/Table_Main[[#This Row],[Tồn kho đầu ngày]],0)</f>
        <v>90132.701492537308</v>
      </c>
      <c r="AW27" s="5">
        <f xml:space="preserve">
IF(Table_Main[[#This Row],[Loại]]="Nhập",Table_Main[[#This Row],[Số lượng]]*Table_Main[[#This Row],[Đơn giá nhập]],Table_Main[[#This Row],[Số lượng]]*Table_Main[[#This Row],[Giá trị bình quân đầu ngày]])</f>
        <v>2433582.9402985075</v>
      </c>
      <c r="AX27" s="1"/>
      <c r="AY27" s="1"/>
    </row>
    <row r="28" spans="2:51" ht="16.5" x14ac:dyDescent="0.3">
      <c r="B28"/>
      <c r="C28"/>
      <c r="D28"/>
      <c r="E28"/>
      <c r="F28"/>
      <c r="G28"/>
      <c r="S28"/>
      <c r="T28"/>
      <c r="V28"/>
      <c r="W28"/>
      <c r="Y28" s="6">
        <f t="shared" si="1"/>
        <v>45778</v>
      </c>
      <c r="Z28" s="22">
        <v>2025</v>
      </c>
      <c r="AA28" s="22">
        <v>5</v>
      </c>
      <c r="AB28" s="22"/>
      <c r="AC28" s="22" t="s">
        <v>48</v>
      </c>
      <c r="AD28" s="8" cm="1">
        <f t="array" ref="AD28">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28" s="8" cm="1">
        <f t="array" ref="AE28"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101.01587301587301</v>
      </c>
      <c r="AF28" s="8" cm="1">
        <f t="array" ref="AF28"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43</v>
      </c>
      <c r="AG28" s="8" cm="1">
        <f t="array" ref="AG28"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18764459.9779859</v>
      </c>
      <c r="AH28" s="8" cm="1">
        <f t="array" ref="AH28"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7121204</v>
      </c>
      <c r="AI28" s="8" cm="1">
        <f t="array" ref="AI28"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5136984.3031758713</v>
      </c>
      <c r="AJ28" s="8" cm="1">
        <f t="array" ref="AJ28"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12067836.140794111</v>
      </c>
      <c r="AK28" s="8" cm="1">
        <f t="array" ref="AK28"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11359793.07419889</v>
      </c>
      <c r="AL28" s="8">
        <f>+Table_TonKho[[#This Row],[Tổng giá trị cuối kỳ]]-Table_TonKho[[#This Row],[Tồn kho cuối kỳ]]</f>
        <v>2458034.7629928999</v>
      </c>
      <c r="AM28" s="8" cm="1">
        <f t="array" ref="AM28"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13817827.83719179</v>
      </c>
      <c r="AO28" s="37" t="s">
        <v>49</v>
      </c>
      <c r="AP28" s="30">
        <v>45802</v>
      </c>
      <c r="AQ28" s="22" t="s">
        <v>47</v>
      </c>
      <c r="AR28" s="34">
        <v>13</v>
      </c>
      <c r="AS28" s="35">
        <v>102040</v>
      </c>
      <c r="AT28" s="42" cm="1">
        <f t="array" ref="AT2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24</v>
      </c>
      <c r="AU28" s="42" cm="1">
        <f t="array" ref="AU2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1425692.7462686561</v>
      </c>
      <c r="AV28" s="42">
        <f>IFERROR(Table_Main[[#This Row],[Giá trị tồn đầu ngày]]/Table_Main[[#This Row],[Tồn kho đầu ngày]],0)</f>
        <v>59403.864427860673</v>
      </c>
      <c r="AW28" s="5">
        <f xml:space="preserve">
IF(Table_Main[[#This Row],[Loại]]="Nhập",Table_Main[[#This Row],[Số lượng]]*Table_Main[[#This Row],[Đơn giá nhập]],Table_Main[[#This Row],[Số lượng]]*Table_Main[[#This Row],[Giá trị bình quân đầu ngày]])</f>
        <v>1326520</v>
      </c>
      <c r="AX28" s="1"/>
      <c r="AY28" s="1"/>
    </row>
    <row r="29" spans="2:51" ht="16.5" x14ac:dyDescent="0.3">
      <c r="B29"/>
      <c r="C29"/>
      <c r="D29"/>
      <c r="S29"/>
      <c r="T29"/>
      <c r="V29"/>
      <c r="W29"/>
      <c r="Y29" s="6">
        <f>IFERROR(
IF(ISBLANK(AA29),
DATE(Z29,12,1),
DATE(Z29,AA29,1)),0)</f>
        <v>45717</v>
      </c>
      <c r="Z29" s="22">
        <v>2025</v>
      </c>
      <c r="AA29" s="22">
        <v>3</v>
      </c>
      <c r="AB29" s="22" t="s">
        <v>51</v>
      </c>
      <c r="AC29" s="22"/>
      <c r="AD29" s="8" cm="1">
        <f t="array" ref="AD29">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120</v>
      </c>
      <c r="AE29" s="8" cm="1">
        <f t="array" ref="AE29"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14</v>
      </c>
      <c r="AF29" s="8" cm="1">
        <f t="array" ref="AF29"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14</v>
      </c>
      <c r="AG29" s="8" cm="1">
        <f t="array" ref="AG29"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29" s="8" cm="1">
        <f t="array" ref="AH29"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0</v>
      </c>
      <c r="AI29" s="8" cm="1">
        <f t="array" ref="AI29"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0</v>
      </c>
      <c r="AJ29" s="8" cm="1">
        <f t="array" ref="AJ29"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0</v>
      </c>
      <c r="AK29" s="8" cm="1">
        <f t="array" ref="AK29"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0</v>
      </c>
      <c r="AL29" s="8">
        <f>+Table_TonKho[[#This Row],[Tổng giá trị cuối kỳ]]-Table_TonKho[[#This Row],[Tồn kho cuối kỳ]]</f>
        <v>0</v>
      </c>
      <c r="AM29" s="8" cm="1">
        <f t="array" ref="AM29"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0</v>
      </c>
      <c r="AO29" s="37" t="s">
        <v>49</v>
      </c>
      <c r="AP29" s="30">
        <v>45764</v>
      </c>
      <c r="AQ29" s="22" t="s">
        <v>47</v>
      </c>
      <c r="AR29" s="34">
        <v>13</v>
      </c>
      <c r="AS29" s="35">
        <v>56213</v>
      </c>
      <c r="AT29" s="42" cm="1">
        <f t="array" ref="AT2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18</v>
      </c>
      <c r="AU29" s="42" cm="1">
        <f t="array" ref="AU2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1622388.6268656719</v>
      </c>
      <c r="AV29" s="42">
        <f>IFERROR(Table_Main[[#This Row],[Giá trị tồn đầu ngày]]/Table_Main[[#This Row],[Tồn kho đầu ngày]],0)</f>
        <v>90132.701492537337</v>
      </c>
      <c r="AW29" s="5">
        <f xml:space="preserve">
IF(Table_Main[[#This Row],[Loại]]="Nhập",Table_Main[[#This Row],[Số lượng]]*Table_Main[[#This Row],[Đơn giá nhập]],Table_Main[[#This Row],[Số lượng]]*Table_Main[[#This Row],[Giá trị bình quân đầu ngày]])</f>
        <v>730769</v>
      </c>
      <c r="AX29" s="1"/>
      <c r="AY29" s="1"/>
    </row>
    <row r="30" spans="2:51" ht="16.5" x14ac:dyDescent="0.3">
      <c r="B30"/>
      <c r="C30"/>
      <c r="D30"/>
      <c r="S30"/>
      <c r="T30"/>
      <c r="V30"/>
      <c r="W30"/>
      <c r="Y30" s="6">
        <f t="shared" ref="Y30:Y34" si="2">IFERROR(
IF(ISBLANK(AA30),
DATE(Z30,12,1),
DATE(Z30,AA30,1)),0)</f>
        <v>45748</v>
      </c>
      <c r="Z30" s="22">
        <v>2025</v>
      </c>
      <c r="AA30" s="22">
        <v>4</v>
      </c>
      <c r="AB30" s="22" t="s">
        <v>51</v>
      </c>
      <c r="AC30" s="22"/>
      <c r="AD30" s="8" cm="1">
        <f t="array" ref="AD30">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139</v>
      </c>
      <c r="AE30" s="8" cm="1">
        <f t="array" ref="AE30"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99</v>
      </c>
      <c r="AF30" s="8" cm="1">
        <f t="array" ref="AF30"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99</v>
      </c>
      <c r="AG30" s="8" cm="1">
        <f t="array" ref="AG30"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30" s="8" cm="1">
        <f t="array" ref="AH30"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0</v>
      </c>
      <c r="AI30" s="8" cm="1">
        <f t="array" ref="AI30"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0</v>
      </c>
      <c r="AJ30" s="8" cm="1">
        <f t="array" ref="AJ30"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0</v>
      </c>
      <c r="AK30" s="8" cm="1">
        <f t="array" ref="AK30"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0</v>
      </c>
      <c r="AL30" s="8">
        <f>+Table_TonKho[[#This Row],[Tổng giá trị cuối kỳ]]-Table_TonKho[[#This Row],[Tồn kho cuối kỳ]]</f>
        <v>0</v>
      </c>
      <c r="AM30" s="8" cm="1">
        <f t="array" ref="AM30"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0</v>
      </c>
      <c r="AO30" s="37" t="s">
        <v>49</v>
      </c>
      <c r="AP30" s="30">
        <v>45755</v>
      </c>
      <c r="AQ30" s="22" t="s">
        <v>50</v>
      </c>
      <c r="AR30" s="34">
        <v>19</v>
      </c>
      <c r="AS30" s="35"/>
      <c r="AT30" s="42" cm="1">
        <f t="array" ref="AT3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103</v>
      </c>
      <c r="AU30" s="42" cm="1">
        <f t="array" ref="AU3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9283668.2537313439</v>
      </c>
      <c r="AV30" s="42">
        <f>IFERROR(Table_Main[[#This Row],[Giá trị tồn đầu ngày]]/Table_Main[[#This Row],[Tồn kho đầu ngày]],0)</f>
        <v>90132.701492537322</v>
      </c>
      <c r="AW30" s="5">
        <f xml:space="preserve">
IF(Table_Main[[#This Row],[Loại]]="Nhập",Table_Main[[#This Row],[Số lượng]]*Table_Main[[#This Row],[Đơn giá nhập]],Table_Main[[#This Row],[Số lượng]]*Table_Main[[#This Row],[Giá trị bình quân đầu ngày]])</f>
        <v>1712521.3283582092</v>
      </c>
      <c r="AX30" s="1"/>
      <c r="AY30" s="1"/>
    </row>
    <row r="31" spans="2:51" ht="16.5" x14ac:dyDescent="0.3">
      <c r="B31"/>
      <c r="C31"/>
      <c r="D31"/>
      <c r="S31"/>
      <c r="T31"/>
      <c r="V31"/>
      <c r="W31"/>
      <c r="Y31" s="6">
        <f t="shared" si="2"/>
        <v>45778</v>
      </c>
      <c r="Z31" s="22">
        <v>2025</v>
      </c>
      <c r="AA31" s="22">
        <v>5</v>
      </c>
      <c r="AB31" s="22" t="s">
        <v>51</v>
      </c>
      <c r="AC31" s="22"/>
      <c r="AD31" s="8" cm="1">
        <f t="array" ref="AD31">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11</v>
      </c>
      <c r="AE31" s="8" cm="1">
        <f t="array" ref="AE31"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91</v>
      </c>
      <c r="AF31" s="8" cm="1">
        <f t="array" ref="AF31"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91</v>
      </c>
      <c r="AG31" s="8" cm="1">
        <f t="array" ref="AG31"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31" s="8" cm="1">
        <f t="array" ref="AH31"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0</v>
      </c>
      <c r="AI31" s="8" cm="1">
        <f t="array" ref="AI31"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0</v>
      </c>
      <c r="AJ31" s="8" cm="1">
        <f t="array" ref="AJ31"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0</v>
      </c>
      <c r="AK31" s="8" cm="1">
        <f t="array" ref="AK31"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0</v>
      </c>
      <c r="AL31" s="8">
        <f>+Table_TonKho[[#This Row],[Tổng giá trị cuối kỳ]]-Table_TonKho[[#This Row],[Tồn kho cuối kỳ]]</f>
        <v>0</v>
      </c>
      <c r="AM31" s="8" cm="1">
        <f t="array" ref="AM31"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0</v>
      </c>
      <c r="AO31" s="37" t="s">
        <v>49</v>
      </c>
      <c r="AP31" s="30">
        <v>45782</v>
      </c>
      <c r="AQ31" s="22" t="s">
        <v>47</v>
      </c>
      <c r="AR31" s="34">
        <v>40</v>
      </c>
      <c r="AS31" s="35">
        <v>64282</v>
      </c>
      <c r="AT31" s="42" cm="1">
        <f t="array" ref="AT3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v>
      </c>
      <c r="AU31" s="42" cm="1">
        <f t="array" ref="AU3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280105.49253731221</v>
      </c>
      <c r="AV31" s="42">
        <f>IFERROR(Table_Main[[#This Row],[Giá trị tồn đầu ngày]]/Table_Main[[#This Row],[Tồn kho đầu ngày]],0)</f>
        <v>35013.186567164026</v>
      </c>
      <c r="AW31" s="5">
        <f xml:space="preserve">
IF(Table_Main[[#This Row],[Loại]]="Nhập",Table_Main[[#This Row],[Số lượng]]*Table_Main[[#This Row],[Đơn giá nhập]],Table_Main[[#This Row],[Số lượng]]*Table_Main[[#This Row],[Giá trị bình quân đầu ngày]])</f>
        <v>2571280</v>
      </c>
      <c r="AX31" s="1"/>
      <c r="AY31" s="1"/>
    </row>
    <row r="32" spans="2:51" ht="16.5" x14ac:dyDescent="0.3">
      <c r="B32"/>
      <c r="C32"/>
      <c r="D32"/>
      <c r="S32"/>
      <c r="T32"/>
      <c r="V32"/>
      <c r="W32"/>
      <c r="Y32" s="6">
        <f t="shared" si="2"/>
        <v>45717</v>
      </c>
      <c r="Z32" s="22">
        <v>2025</v>
      </c>
      <c r="AA32" s="22">
        <v>3</v>
      </c>
      <c r="AB32" s="22" t="s">
        <v>52</v>
      </c>
      <c r="AC32" s="22"/>
      <c r="AD32" s="8" cm="1">
        <f t="array" ref="AD32">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114</v>
      </c>
      <c r="AE32" s="8" cm="1">
        <f t="array" ref="AE32"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79</v>
      </c>
      <c r="AF32" s="8" cm="1">
        <f t="array" ref="AF32"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79</v>
      </c>
      <c r="AG32" s="8" cm="1">
        <f t="array" ref="AG32"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32" s="8" cm="1">
        <f t="array" ref="AH32"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0</v>
      </c>
      <c r="AI32" s="8" cm="1">
        <f t="array" ref="AI32"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0</v>
      </c>
      <c r="AJ32" s="8" cm="1">
        <f t="array" ref="AJ32"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0</v>
      </c>
      <c r="AK32" s="8" cm="1">
        <f t="array" ref="AK32"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0</v>
      </c>
      <c r="AL32" s="8">
        <f>+Table_TonKho[[#This Row],[Tổng giá trị cuối kỳ]]-Table_TonKho[[#This Row],[Tồn kho cuối kỳ]]</f>
        <v>0</v>
      </c>
      <c r="AM32" s="8" cm="1">
        <f t="array" ref="AM32"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0</v>
      </c>
      <c r="AO32" s="37" t="s">
        <v>49</v>
      </c>
      <c r="AP32" s="30">
        <v>45804</v>
      </c>
      <c r="AQ32" s="22" t="s">
        <v>47</v>
      </c>
      <c r="AR32" s="34">
        <v>32</v>
      </c>
      <c r="AS32" s="35">
        <v>102194</v>
      </c>
      <c r="AT32" s="42" cm="1">
        <f t="array" ref="AT3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37</v>
      </c>
      <c r="AU32" s="42" cm="1">
        <f t="array" ref="AU3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2752212.7462686561</v>
      </c>
      <c r="AV32" s="42">
        <f>IFERROR(Table_Main[[#This Row],[Giá trị tồn đầu ngày]]/Table_Main[[#This Row],[Tồn kho đầu ngày]],0)</f>
        <v>74384.128277531243</v>
      </c>
      <c r="AW32" s="5">
        <f xml:space="preserve">
IF(Table_Main[[#This Row],[Loại]]="Nhập",Table_Main[[#This Row],[Số lượng]]*Table_Main[[#This Row],[Đơn giá nhập]],Table_Main[[#This Row],[Số lượng]]*Table_Main[[#This Row],[Giá trị bình quân đầu ngày]])</f>
        <v>3270208</v>
      </c>
      <c r="AX32" s="1"/>
      <c r="AY32" s="1"/>
    </row>
    <row r="33" spans="2:51" ht="16.5" x14ac:dyDescent="0.3">
      <c r="B33"/>
      <c r="C33"/>
      <c r="D33"/>
      <c r="S33"/>
      <c r="T33"/>
      <c r="V33"/>
      <c r="W33"/>
      <c r="Y33" s="6">
        <f t="shared" si="2"/>
        <v>45748</v>
      </c>
      <c r="Z33" s="22">
        <v>2025</v>
      </c>
      <c r="AA33" s="22">
        <v>4</v>
      </c>
      <c r="AB33" s="22" t="s">
        <v>52</v>
      </c>
      <c r="AC33" s="22"/>
      <c r="AD33" s="8" cm="1">
        <f t="array" ref="AD33">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45</v>
      </c>
      <c r="AE33" s="8" cm="1">
        <f t="array" ref="AE33"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60</v>
      </c>
      <c r="AF33" s="8" cm="1">
        <f t="array" ref="AF33"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60</v>
      </c>
      <c r="AG33" s="8" cm="1">
        <f t="array" ref="AG33"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33" s="8" cm="1">
        <f t="array" ref="AH33"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0</v>
      </c>
      <c r="AI33" s="8" cm="1">
        <f t="array" ref="AI33"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0</v>
      </c>
      <c r="AJ33" s="8" cm="1">
        <f t="array" ref="AJ33"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0</v>
      </c>
      <c r="AK33" s="8" cm="1">
        <f t="array" ref="AK33"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0</v>
      </c>
      <c r="AL33" s="8">
        <f>+Table_TonKho[[#This Row],[Tổng giá trị cuối kỳ]]-Table_TonKho[[#This Row],[Tồn kho cuối kỳ]]</f>
        <v>0</v>
      </c>
      <c r="AM33" s="8" cm="1">
        <f t="array" ref="AM33"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0</v>
      </c>
      <c r="AO33" s="37" t="s">
        <v>49</v>
      </c>
      <c r="AP33" s="30">
        <v>45792</v>
      </c>
      <c r="AQ33" s="22" t="s">
        <v>50</v>
      </c>
      <c r="AR33" s="34">
        <v>2</v>
      </c>
      <c r="AS33" s="35"/>
      <c r="AT33" s="42" cm="1">
        <f t="array" ref="AT3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48</v>
      </c>
      <c r="AU33" s="42" cm="1">
        <f t="array" ref="AU3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2851385.4925373122</v>
      </c>
      <c r="AV33" s="42">
        <f>IFERROR(Table_Main[[#This Row],[Giá trị tồn đầu ngày]]/Table_Main[[#This Row],[Tồn kho đầu ngày]],0)</f>
        <v>59403.864427860673</v>
      </c>
      <c r="AW33" s="5">
        <f xml:space="preserve">
IF(Table_Main[[#This Row],[Loại]]="Nhập",Table_Main[[#This Row],[Số lượng]]*Table_Main[[#This Row],[Đơn giá nhập]],Table_Main[[#This Row],[Số lượng]]*Table_Main[[#This Row],[Giá trị bình quân đầu ngày]])</f>
        <v>118807.72885572135</v>
      </c>
      <c r="AX33" s="1"/>
      <c r="AY33" s="1"/>
    </row>
    <row r="34" spans="2:51" ht="16.5" x14ac:dyDescent="0.3">
      <c r="B34"/>
      <c r="C34"/>
      <c r="D34"/>
      <c r="S34"/>
      <c r="T34"/>
      <c r="V34"/>
      <c r="W34"/>
      <c r="Y34" s="6">
        <f t="shared" si="2"/>
        <v>45778</v>
      </c>
      <c r="Z34" s="22">
        <v>2025</v>
      </c>
      <c r="AA34" s="22">
        <v>5</v>
      </c>
      <c r="AB34" s="22" t="s">
        <v>52</v>
      </c>
      <c r="AC34" s="22"/>
      <c r="AD34" s="8" cm="1">
        <f t="array" ref="AD34">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52</v>
      </c>
      <c r="AE34" s="8" cm="1">
        <f t="array" ref="AE34"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57</v>
      </c>
      <c r="AF34" s="8" cm="1">
        <f t="array" ref="AF34"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57</v>
      </c>
      <c r="AG34" s="8" cm="1">
        <f t="array" ref="AG34"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34" s="8" cm="1">
        <f t="array" ref="AH34"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0</v>
      </c>
      <c r="AI34" s="8" cm="1">
        <f t="array" ref="AI34"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0</v>
      </c>
      <c r="AJ34" s="8" cm="1">
        <f t="array" ref="AJ34"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0</v>
      </c>
      <c r="AK34" s="8" cm="1">
        <f t="array" ref="AK34"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0</v>
      </c>
      <c r="AL34" s="8">
        <f>+Table_TonKho[[#This Row],[Tổng giá trị cuối kỳ]]-Table_TonKho[[#This Row],[Tồn kho cuối kỳ]]</f>
        <v>0</v>
      </c>
      <c r="AM34" s="8" cm="1">
        <f t="array" ref="AM34"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0</v>
      </c>
      <c r="AO34" s="37" t="s">
        <v>49</v>
      </c>
      <c r="AP34" s="30">
        <v>45732</v>
      </c>
      <c r="AQ34" s="22" t="s">
        <v>47</v>
      </c>
      <c r="AR34" s="34">
        <v>23</v>
      </c>
      <c r="AS34" s="35">
        <v>139034</v>
      </c>
      <c r="AT34" s="42" cm="1">
        <f t="array" ref="AT3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111</v>
      </c>
      <c r="AU34" s="42" cm="1">
        <f t="array" ref="AU3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8880000</v>
      </c>
      <c r="AV34" s="42">
        <f>IFERROR(Table_Main[[#This Row],[Giá trị tồn đầu ngày]]/Table_Main[[#This Row],[Tồn kho đầu ngày]],0)</f>
        <v>80000</v>
      </c>
      <c r="AW34" s="5">
        <f xml:space="preserve">
IF(Table_Main[[#This Row],[Loại]]="Nhập",Table_Main[[#This Row],[Số lượng]]*Table_Main[[#This Row],[Đơn giá nhập]],Table_Main[[#This Row],[Số lượng]]*Table_Main[[#This Row],[Giá trị bình quân đầu ngày]])</f>
        <v>3197782</v>
      </c>
      <c r="AX34" s="1"/>
      <c r="AY34" s="1"/>
    </row>
    <row r="35" spans="2:51" ht="16.5" x14ac:dyDescent="0.3">
      <c r="B35"/>
      <c r="C35"/>
      <c r="D35"/>
      <c r="S35"/>
      <c r="T35"/>
      <c r="V35"/>
      <c r="W35"/>
      <c r="Y35" s="6">
        <f>IFERROR(
IF(ISBLANK(AA35),
DATE(Z35,12,1),
DATE(Z35,AA35,1)),0)</f>
        <v>45717</v>
      </c>
      <c r="Z35" s="22">
        <v>2025</v>
      </c>
      <c r="AA35" s="22">
        <v>3</v>
      </c>
      <c r="AB35" s="22"/>
      <c r="AC35" s="22" t="s">
        <v>49</v>
      </c>
      <c r="AD35" s="8" cm="1">
        <f t="array" ref="AD35">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35" s="8" cm="1">
        <f t="array" ref="AE35"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27.820512820512821</v>
      </c>
      <c r="AF35" s="8" cm="1">
        <f t="array" ref="AF35"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70</v>
      </c>
      <c r="AG35" s="8" cm="1">
        <f t="array" ref="AG35"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0</v>
      </c>
      <c r="AH35" s="8" cm="1">
        <f t="array" ref="AH35"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15197782</v>
      </c>
      <c r="AI35" s="8" cm="1">
        <f t="array" ref="AI35"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5914113.746268657</v>
      </c>
      <c r="AJ35" s="8" cm="1">
        <f t="array" ref="AJ35"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2350481.1042862609</v>
      </c>
      <c r="AK35" s="8" cm="1">
        <f t="array" ref="AK35"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9283668.2537313439</v>
      </c>
      <c r="AL35" s="8">
        <f>+Table_TonKho[[#This Row],[Tổng giá trị cuối kỳ]]-Table_TonKho[[#This Row],[Tồn kho cuối kỳ]]</f>
        <v>3563632.6419823952</v>
      </c>
      <c r="AM35" s="8" cm="1">
        <f t="array" ref="AM35"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12847300.895713739</v>
      </c>
      <c r="AO35" s="37" t="s">
        <v>49</v>
      </c>
      <c r="AP35" s="30">
        <v>45764</v>
      </c>
      <c r="AQ35" s="22" t="s">
        <v>50</v>
      </c>
      <c r="AR35" s="34">
        <v>23</v>
      </c>
      <c r="AS35" s="35"/>
      <c r="AT35" s="42" cm="1">
        <f t="array" ref="AT3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18</v>
      </c>
      <c r="AU35" s="42" cm="1">
        <f t="array" ref="AU3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1622388.6268656719</v>
      </c>
      <c r="AV35" s="42">
        <f>IFERROR(Table_Main[[#This Row],[Giá trị tồn đầu ngày]]/Table_Main[[#This Row],[Tồn kho đầu ngày]],0)</f>
        <v>90132.701492537337</v>
      </c>
      <c r="AW35" s="5">
        <f xml:space="preserve">
IF(Table_Main[[#This Row],[Loại]]="Nhập",Table_Main[[#This Row],[Số lượng]]*Table_Main[[#This Row],[Đơn giá nhập]],Table_Main[[#This Row],[Số lượng]]*Table_Main[[#This Row],[Giá trị bình quân đầu ngày]])</f>
        <v>2073052.1343283588</v>
      </c>
      <c r="AX35" s="1"/>
      <c r="AY35" s="1"/>
    </row>
    <row r="36" spans="2:51" ht="16.5" x14ac:dyDescent="0.3">
      <c r="B36"/>
      <c r="C36"/>
      <c r="D36"/>
      <c r="S36"/>
      <c r="T36"/>
      <c r="V36"/>
      <c r="W36"/>
      <c r="Y36" s="6">
        <f t="shared" ref="Y36:Y37" si="3">IFERROR(
IF(ISBLANK(AA36),
DATE(Z36,12,1),
DATE(Z36,AA36,1)),0)</f>
        <v>45748</v>
      </c>
      <c r="Z36" s="22">
        <v>2025</v>
      </c>
      <c r="AA36" s="22">
        <v>4</v>
      </c>
      <c r="AB36" s="22"/>
      <c r="AC36" s="22" t="s">
        <v>49</v>
      </c>
      <c r="AD36" s="8" cm="1">
        <f t="array" ref="AD36">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36" s="8" cm="1">
        <f t="array" ref="AE36"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93.326086956521735</v>
      </c>
      <c r="AF36" s="8" cm="1">
        <f t="array" ref="AF36"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108</v>
      </c>
      <c r="AG36" s="8" cm="1">
        <f t="array" ref="AG36"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12847300.895713739</v>
      </c>
      <c r="AH36" s="8" cm="1">
        <f t="array" ref="AH36"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730769</v>
      </c>
      <c r="AI36" s="8" cm="1">
        <f t="array" ref="AI36"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9734331.7611940317</v>
      </c>
      <c r="AJ36" s="8" cm="1">
        <f t="array" ref="AJ36"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8411732.337118756</v>
      </c>
      <c r="AK36" s="8" cm="1">
        <f t="array" ref="AK36"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280105.49253731221</v>
      </c>
      <c r="AL36" s="8">
        <f>+Table_TonKho[[#This Row],[Tổng giá trị cuối kỳ]]-Table_TonKho[[#This Row],[Tồn kho cuối kỳ]]</f>
        <v>4886232.0660576709</v>
      </c>
      <c r="AM36" s="8" cm="1">
        <f t="array" ref="AM36"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5166337.5585949831</v>
      </c>
      <c r="AO36" s="37" t="s">
        <v>49</v>
      </c>
      <c r="AP36" s="30">
        <v>45741</v>
      </c>
      <c r="AQ36" s="22" t="s">
        <v>50</v>
      </c>
      <c r="AR36" s="34">
        <v>30</v>
      </c>
      <c r="AS36" s="35"/>
      <c r="AT36" s="42" cm="1">
        <f t="array" ref="AT3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133</v>
      </c>
      <c r="AU36" s="42" cm="1">
        <f t="array" ref="AU3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11987649.298507463</v>
      </c>
      <c r="AV36" s="42">
        <f>IFERROR(Table_Main[[#This Row],[Giá trị tồn đầu ngày]]/Table_Main[[#This Row],[Tồn kho đầu ngày]],0)</f>
        <v>90132.701492537322</v>
      </c>
      <c r="AW36" s="5">
        <f xml:space="preserve">
IF(Table_Main[[#This Row],[Loại]]="Nhập",Table_Main[[#This Row],[Số lượng]]*Table_Main[[#This Row],[Đơn giá nhập]],Table_Main[[#This Row],[Số lượng]]*Table_Main[[#This Row],[Giá trị bình quân đầu ngày]])</f>
        <v>2703981.0447761198</v>
      </c>
      <c r="AX36" s="1"/>
      <c r="AY36" s="1"/>
    </row>
    <row r="37" spans="2:51" ht="16.5" x14ac:dyDescent="0.3">
      <c r="B37"/>
      <c r="C37"/>
      <c r="D37"/>
      <c r="S37"/>
      <c r="T37"/>
      <c r="V37"/>
      <c r="W37"/>
      <c r="Y37" s="6">
        <f t="shared" si="3"/>
        <v>45778</v>
      </c>
      <c r="Z37" s="22">
        <v>2025</v>
      </c>
      <c r="AA37" s="22">
        <v>5</v>
      </c>
      <c r="AB37" s="22"/>
      <c r="AC37" s="22" t="s">
        <v>49</v>
      </c>
      <c r="AD37" s="8" cm="1">
        <f t="array" ref="AD37">IFERROR(
SUM(_xlfn._xlws.FILTER(Table_Main[Số lượng],
(Table_Main[Mặt hàng]=Table_TonKho[[#This Row],[Thành phẩm]])*
(Table_Main[Loại]="Nhập")*
(ISBLANK(Table_Main[Đơn giá nhập]))*
(Table_Main[Ngày xuất nhập]&gt;=Table_TonKho[[#This Row],[Kỳ]])*
(Table_Main[Ngày xuất nhập]&lt;=DATE(Table_TonKho[[#This Row],[Năm]],Table_TonKho[[#This Row],[Tháng]]+1,1)-1)
)),0)</f>
        <v>0</v>
      </c>
      <c r="AE37" s="8" cm="1">
        <f t="array" ref="AE37" xml:space="preserve">
IFERROR(
IF( ISBLANK(Table_TonKho[[#This Row],[Thành phẩm]]),
Table_TonKho[[#This Row],[SL xuất]]* SUM(_xlfn._xlws.FILTER(Table_TonKho[SL xuất],
(Table_TonKho[Sản xuất]&lt;&gt;0)*
(Table_TonKho[Kỳ] = Table_TonKho[[#This Row],[Kỳ]]))) /
SUM(_xlfn._xlws.FILTER(Table_TonKho[Sản xuất],
(Table_TonKho[Sản xuất]&lt;&gt;0)*
(Table_TonKho[Kỳ] = Table_TonKho[[#This Row],[Kỳ]]))),Table_TonKho[[#This Row],[SL xuất]]),0)</f>
        <v>56.38095238095238</v>
      </c>
      <c r="AF37" s="8" cm="1">
        <f t="array" ref="AF37" xml:space="preserve">
IF(ISBLANK(Table_TonKho[[#This Row],[Hàng hóa / NL]]),
IFERROR(
SUM(_xlfn._xlws.FILTER(Table_Main[Số lượng],
(Table_Main[Mặt hàng] = Table_TonKho[[#This Row],[Thành phẩm]]) *
(NOT(ISBLANK(Table_Main[Mặt hàng]))) *
(Table_Main[Mặt hàng] &lt;&gt; "") *
(Table_Main[Loại] = "Xuất") *
(Table_Main[Ngày xuất nhập] &gt;= Table_TonKho[[#This Row],[Kỳ]]) *
(Table_Main[Ngày xuất nhập] &lt; DATE(Table_TonKho[[#This Row],[Năm]],Table_TonKho[[#This Row],[Tháng]]+1,1))
)),0),
IFERROR(
SUM(_xlfn._xlws.FILTER(Table_Main[Số lượng],
(Table_Main[Mặt hàng] = Table_TonKho[[#This Row],[Hàng hóa / NL]]) *
(NOT(ISBLANK(Table_Main[Mặt hàng]))) *
(Table_Main[Mặt hàng] &lt;&gt; "") *
(Table_Main[Loại] = "Xuất") *
(Table_Main[Ngày xuất nhập] &gt;= Table_TonKho[[#This Row],[Kỳ]]) *
(Table_Main[Ngày xuất nhập] &lt; DATE(Table_TonKho[[#This Row],[Năm]],Table_TonKho[[#This Row],[Tháng]]+1,1))
)),0))</f>
        <v>24</v>
      </c>
      <c r="AG37" s="8" cm="1">
        <f t="array" ref="AG37" xml:space="preserve">
IFERROR(SUM(_xlfn._xlws.FILTER(Table_Main[Giá trị hàng nhập],
(Table_Main[Mặt hàng] = Table_TonKho[[#This Row],[Thành phẩm]]) *
(NOT(ISBLANK(Table_Main[Mặt hàng]))) *
(Table_Main[Mặt hàng] &lt;&gt; "") *
(Table_Main[Loại] = "Nhập") *
(Table_Main[Ngày xuất nhập] &lt; Table_TonKho[[#This Row],[Kỳ]])
)),0)
- IFERROR(SUM(_xlfn._xlws.FILTER(Table_Main[Giá trị hàng nhập],
(Table_Main[Mặt hàng] = Table_TonKho[[#This Row],[Thành phẩm]]) *
(NOT(ISBLANK(Table_Main[Mặt hàng]))) *
(Table_Main[Mặt hàng] &lt;&gt; "") *
(Table_Main[Loại] = "Xuất") *
(Table_Main[Ngày xuất nhập] &lt; Table_TonKho[[#This Row],[Kỳ]])
)),0)
+ IFERROR(SUM(_xlfn._xlws.FILTER(Table_Main[Giá trị hàng nhập],
(Table_Main[Mặt hàng] = Table_TonKho[[#This Row],[Hàng hóa / NL]]) *
(NOT(ISBLANK(Table_Main[Mặt hàng]))) *
(Table_Main[Mặt hàng] &lt;&gt; "") *
(Table_Main[Loại] = "Nhập") *
(Table_Main[Ngày xuất nhập] &lt; Table_TonKho[[#This Row],[Kỳ]])
)),0)
-IFERROR(SUM(_xlfn._xlws.FILTER(Table_TonKho[Chi phí ghi nhận],
(ISBLANK(Table_TonKho[Thành phẩm]))*
(Table_TonKho[Hàng hóa / NL]=Table_TonKho[[#This Row],[Hàng hóa / NL]])*
(Table_TonKho[Kỳ]&lt;Table_TonKho[[#This Row],[Kỳ]])
)),0)</f>
        <v>5166337.5585949831</v>
      </c>
      <c r="AH37" s="8" cm="1">
        <f t="array" ref="AH37" xml:space="preserve">
IF(ISBLANK(Table_TonKho[[#This Row],[Hàng hóa / NL]]),
IFERROR(
SUM(_xlfn._xlws.FILTER(Table_Main[Giá trị hàng nhập],
(Table_Main[Mặt hàng] = Table_TonKho[[#This Row],[Thành phẩm]]) *
(NOT(ISBLANK(Table_Main[Mặt hàng]))) *
(Table_Main[Mặt hàng] &lt;&gt; "") *
(Table_Main[Loại] = "Nhập")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"Nhập") *
(Table_Main[Ngày xuất nhập] &gt;=Table_TonKho[[#This Row],[Kỳ]]) *
(Table_Main[Ngày xuất nhập] &lt; DATE(Table_TonKho[[#This Row],[Năm]],Table_TonKho[[#This Row],[Tháng]]+1,1))
)),0))</f>
        <v>7168008</v>
      </c>
      <c r="AI37" s="8" cm="1">
        <f t="array" ref="AI37" xml:space="preserve">
IF(ISBLANK(Table_TonKho[[#This Row],[Hàng hóa / NL]]),
IFERROR(
SUM(_xlfn._xlws.FILTER(Table_Main[Giá trị hàng nhập],
(Table_Main[Mặt hàng] = Table_TonKho[[#This Row],[Thành phẩm]]) *
(NOT(ISBLANK(Table_Main[Mặt hàng]))) *
(Table_Main[Mặt hàng] &lt;&gt; "") *
(Table_Main[Loại] = "Xuất") *
(Table_Main[Ngày xuất nhập] &gt;=Table_TonKho[[#This Row],[Kỳ]]) *
(Table_Main[Ngày xuất nhập] &lt; DATE(Table_TonKho[[#This Row],[Năm]],Table_TonKho[[#This Row],[Tháng]]+1,1))
)),0),
IFERROR(
SUM(_xlfn._xlws.FILTER(Table_Main[Giá trị hàng nhập],
(Table_Main[Mặt hàng] = Table_TonKho[[#This Row],[Hàng hóa / NL]]) *
(NOT(ISBLANK(Table_Main[Mặt hàng]))) *
(Table_Main[Mặt hàng] &lt;&gt; "") *
(Table_Main[Loại] = "Xuất") *
(Table_Main[Ngày xuất nhập] &gt;=Table_TonKho[[#This Row],[Kỳ]]) *
(Table_Main[Ngày xuất nhập] &lt; DATE(Table_TonKho[[#This Row],[Năm]],Table_TonKho[[#This Row],[Tháng]]+1,1))
)),0))</f>
        <v>1425692.7462686561</v>
      </c>
      <c r="AJ37" s="8" cm="1">
        <f t="array" ref="AJ37" xml:space="preserve">
IFERROR(
IF( ISBLANK(Table_TonKho[[#This Row],[Thành phẩm]]),
Table_TonKho[[#This Row],[Giá trị xuất]]*
SUM(_xlfn._xlws.FILTER(Table_TonKho[SL xuất],
(Table_TonKho[Sản xuất]&lt;&gt;0)*
(Table_TonKho[Kỳ] = Table_TonKho[[#This Row],[Kỳ]]))) /
SUM(_xlfn._xlws.FILTER(Table_TonKho[Sản xuất],
(Table_TonKho[Sản xuất]&lt;&gt;0)*
(Table_TonKho[Kỳ] = Table_TonKho[[#This Row],[Kỳ]]))),Table_TonKho[[#This Row],[Giá trị xuất]]),0)</f>
        <v>3349246.4515517638</v>
      </c>
      <c r="AK37" s="8" cm="1">
        <f t="array" ref="AK37"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"Xuất") *
(Table_Main[Ngày xuất nhập] &lt; DATE(Table_TonKho[[#This Row],[Năm]],Table_TonKho[[#This Row],[Tháng]]+1,1))
)),0)</f>
        <v>6022420.7462686561</v>
      </c>
      <c r="AL37" s="8">
        <f>+Table_TonKho[[#This Row],[Tổng giá trị cuối kỳ]]-Table_TonKho[[#This Row],[Tồn kho cuối kỳ]]</f>
        <v>2962678.3607745636</v>
      </c>
      <c r="AM37" s="8" cm="1">
        <f t="array" ref="AM37" xml:space="preserve">
IFERROR(SUM(_xlfn._xlws.FILTER(Table_Main[Giá trị hàng nhập],
(Table_Main[Mặt hàng] = Table_TonKho[[#This Row],[Thành phẩm]]) *
(NOT(ISBLANK(Table_Main[Mặt hàng]))) *
(Table_Main[Mặt hàng] &lt;&gt; "") *
(Table_Main[Loại] = "Nhập") *
(Table_Main[Ngày xuất nhập] &lt; DATE(Table_TonKho[[#This Row],[Năm]],Table_TonKho[[#This Row],[Tháng]]+1,1))
)),0)
- IFERROR(SUM(_xlfn._xlws.FILTER(Table_Main[Giá trị hàng nhập],
(Table_Main[Mặt hàng] = Table_TonKho[[#This Row],[Thành phẩm]]) *
(NOT(ISBLANK(Table_Main[Mặt hàng]))) *
(Table_Main[Mặt hàng] &lt;&gt; "") *
(Table_Main[Loại] = "Xuất") *
(Table_Main[Ngày xuất nhập] &lt; DATE(Table_TonKho[[#This Row],[Năm]],Table_TonKho[[#This Row],[Tháng]]+1,1))
)),0)
+ IFERROR(SUM(_xlfn._xlws.FILTER(Table_Main[Giá trị hàng nhập],
(Table_Main[Mặt hàng] = Table_TonKho[[#This Row],[Hàng hóa / NL]]) *
(NOT(ISBLANK(Table_Main[Mặt hàng]))) *
(Table_Main[Mặt hàng] &lt;&gt; "") *
(Table_Main[Loại] = "Nhập") *
(Table_Main[Ngày xuất nhập] &lt; DATE(Table_TonKho[[#This Row],[Năm]],Table_TonKho[[#This Row],[Tháng]]+1,1))
)),0)
-IFERROR(SUM(_xlfn._xlws.FILTER(Table_TonKho[Chi phí ghi nhận],
(ISBLANK(Table_TonKho[Thành phẩm]))*
(Table_TonKho[Hàng hóa / NL]=Table_TonKho[[#This Row],[Hàng hóa / NL]])*
(Table_TonKho[Kỳ]&lt;=Table_TonKho[[#This Row],[Kỳ]])
)),0)</f>
        <v>8985099.1070432197</v>
      </c>
      <c r="AO37" s="37" t="s">
        <v>52</v>
      </c>
      <c r="AP37" s="30">
        <v>45808</v>
      </c>
      <c r="AQ37" s="22" t="s">
        <v>47</v>
      </c>
      <c r="AR37" s="34">
        <v>23</v>
      </c>
      <c r="AS37" s="35"/>
      <c r="AT37" s="42" cm="1">
        <f t="array" ref="AT3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v>
      </c>
      <c r="AU37" s="42" cm="1">
        <f t="array" ref="AU3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37" s="42">
        <f>IFERROR(Table_Main[[#This Row],[Giá trị tồn đầu ngày]]/Table_Main[[#This Row],[Tồn kho đầu ngày]],0)</f>
        <v>0</v>
      </c>
      <c r="AW37" s="5">
        <f xml:space="preserve">
IF(Table_Main[[#This Row],[Loại]]="Nhập",Table_Main[[#This Row],[Số lượng]]*Table_Main[[#This Row],[Đơn giá nhập]],Table_Main[[#This Row],[Số lượng]]*Table_Main[[#This Row],[Giá trị bình quân đầu ngày]])</f>
        <v>0</v>
      </c>
      <c r="AX37" s="1"/>
      <c r="AY37" s="1"/>
    </row>
    <row r="38" spans="2:51" ht="16.5" x14ac:dyDescent="0.3">
      <c r="B38"/>
      <c r="C38"/>
      <c r="D38"/>
      <c r="S38"/>
      <c r="T38"/>
      <c r="V38"/>
      <c r="W38"/>
      <c r="AO38" s="37" t="s">
        <v>51</v>
      </c>
      <c r="AP38" s="30">
        <v>45808</v>
      </c>
      <c r="AQ38" s="22" t="s">
        <v>50</v>
      </c>
      <c r="AR38" s="34">
        <v>19</v>
      </c>
      <c r="AS38" s="35"/>
      <c r="AT38" s="42" cm="1">
        <f t="array" ref="AT3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85</v>
      </c>
      <c r="AU38" s="42" cm="1">
        <f t="array" ref="AU3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38" s="42">
        <f>IFERROR(Table_Main[[#This Row],[Giá trị tồn đầu ngày]]/Table_Main[[#This Row],[Tồn kho đầu ngày]],0)</f>
        <v>0</v>
      </c>
      <c r="AW38" s="5">
        <f xml:space="preserve">
IF(Table_Main[[#This Row],[Loại]]="Nhập",Table_Main[[#This Row],[Số lượng]]*Table_Main[[#This Row],[Đơn giá nhập]],Table_Main[[#This Row],[Số lượng]]*Table_Main[[#This Row],[Giá trị bình quân đầu ngày]])</f>
        <v>0</v>
      </c>
      <c r="AX38" s="1"/>
      <c r="AY38" s="1"/>
    </row>
    <row r="39" spans="2:51" ht="16.5" x14ac:dyDescent="0.3">
      <c r="B39"/>
      <c r="C39"/>
      <c r="D39"/>
      <c r="S39"/>
      <c r="T39"/>
      <c r="V39"/>
      <c r="W39"/>
      <c r="AI39" s="1"/>
      <c r="AJ39" s="2"/>
      <c r="AK39" s="2"/>
      <c r="AL39" s="2"/>
      <c r="AM39" s="2"/>
      <c r="AO39" s="33" t="s">
        <v>46</v>
      </c>
      <c r="AP39" s="30">
        <v>45807</v>
      </c>
      <c r="AQ39" s="22" t="s">
        <v>50</v>
      </c>
      <c r="AR39" s="34">
        <v>7</v>
      </c>
      <c r="AS39" s="35"/>
      <c r="AT39" s="42" cm="1">
        <f t="array" ref="AT3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176</v>
      </c>
      <c r="AU39" s="42" cm="1">
        <f t="array" ref="AU3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18693607.469611529</v>
      </c>
      <c r="AV39" s="42">
        <f>IFERROR(Table_Main[[#This Row],[Giá trị tồn đầu ngày]]/Table_Main[[#This Row],[Tồn kho đầu ngày]],0)</f>
        <v>106213.67880461096</v>
      </c>
      <c r="AW39" s="5">
        <f xml:space="preserve">
IF(Table_Main[[#This Row],[Loại]]="Nhập",Table_Main[[#This Row],[Số lượng]]*Table_Main[[#This Row],[Đơn giá nhập]],Table_Main[[#This Row],[Số lượng]]*Table_Main[[#This Row],[Giá trị bình quân đầu ngày]])</f>
        <v>743495.75163227669</v>
      </c>
      <c r="AX39" s="1"/>
      <c r="AY39" s="1"/>
    </row>
    <row r="40" spans="2:51" ht="16.5" x14ac:dyDescent="0.3">
      <c r="S40"/>
      <c r="T40"/>
      <c r="V40"/>
      <c r="W40"/>
      <c r="AI40" s="1"/>
      <c r="AJ40" s="2"/>
      <c r="AK40" s="2"/>
      <c r="AL40" s="2"/>
      <c r="AM40" s="2"/>
      <c r="AO40" s="37" t="s">
        <v>51</v>
      </c>
      <c r="AP40" s="30">
        <v>45806</v>
      </c>
      <c r="AQ40" s="22" t="s">
        <v>47</v>
      </c>
      <c r="AR40" s="34">
        <v>6</v>
      </c>
      <c r="AS40" s="35"/>
      <c r="AT40" s="42" cm="1">
        <f t="array" ref="AT4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79</v>
      </c>
      <c r="AU40" s="42" cm="1">
        <f t="array" ref="AU4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40" s="42">
        <f>IFERROR(Table_Main[[#This Row],[Giá trị tồn đầu ngày]]/Table_Main[[#This Row],[Tồn kho đầu ngày]],0)</f>
        <v>0</v>
      </c>
      <c r="AW40" s="5">
        <f xml:space="preserve">
IF(Table_Main[[#This Row],[Loại]]="Nhập",Table_Main[[#This Row],[Số lượng]]*Table_Main[[#This Row],[Đơn giá nhập]],Table_Main[[#This Row],[Số lượng]]*Table_Main[[#This Row],[Giá trị bình quân đầu ngày]])</f>
        <v>0</v>
      </c>
      <c r="AX40" s="1"/>
      <c r="AY40" s="1"/>
    </row>
    <row r="41" spans="2:51" ht="18" customHeight="1" x14ac:dyDescent="0.3">
      <c r="AO41" s="33" t="s">
        <v>48</v>
      </c>
      <c r="AP41" s="30">
        <v>45805</v>
      </c>
      <c r="AQ41" s="22" t="s">
        <v>50</v>
      </c>
      <c r="AR41" s="34">
        <v>20</v>
      </c>
      <c r="AS41" s="35"/>
      <c r="AT41" s="42" cm="1">
        <f t="array" ref="AT4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80</v>
      </c>
      <c r="AU41" s="42" cm="1">
        <f t="array" ref="AU4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9557180.0989318527</v>
      </c>
      <c r="AV41" s="42">
        <f>IFERROR(Table_Main[[#This Row],[Giá trị tồn đầu ngày]]/Table_Main[[#This Row],[Tồn kho đầu ngày]],0)</f>
        <v>119464.75123664815</v>
      </c>
      <c r="AW41" s="5">
        <f xml:space="preserve">
IF(Table_Main[[#This Row],[Loại]]="Nhập",Table_Main[[#This Row],[Số lượng]]*Table_Main[[#This Row],[Đơn giá nhập]],Table_Main[[#This Row],[Số lượng]]*Table_Main[[#This Row],[Giá trị bình quân đầu ngày]])</f>
        <v>2389295.0247329632</v>
      </c>
      <c r="AX41" s="1"/>
      <c r="AY41" s="1"/>
    </row>
    <row r="42" spans="2:51" ht="18" customHeight="1" x14ac:dyDescent="0.3">
      <c r="AO42" s="33" t="s">
        <v>48</v>
      </c>
      <c r="AP42" s="30">
        <v>45805</v>
      </c>
      <c r="AQ42" s="22" t="s">
        <v>47</v>
      </c>
      <c r="AR42" s="34">
        <v>28</v>
      </c>
      <c r="AS42" s="35">
        <v>149711</v>
      </c>
      <c r="AT42" s="42" cm="1">
        <f t="array" ref="AT4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80</v>
      </c>
      <c r="AU42" s="42" cm="1">
        <f t="array" ref="AU4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9557180.0989318527</v>
      </c>
      <c r="AV42" s="42">
        <f>IFERROR(Table_Main[[#This Row],[Giá trị tồn đầu ngày]]/Table_Main[[#This Row],[Tồn kho đầu ngày]],0)</f>
        <v>119464.75123664815</v>
      </c>
      <c r="AW42" s="5">
        <f xml:space="preserve">
IF(Table_Main[[#This Row],[Loại]]="Nhập",Table_Main[[#This Row],[Số lượng]]*Table_Main[[#This Row],[Đơn giá nhập]],Table_Main[[#This Row],[Số lượng]]*Table_Main[[#This Row],[Giá trị bình quân đầu ngày]])</f>
        <v>4191908</v>
      </c>
      <c r="AX42" s="1"/>
      <c r="AY42" s="1"/>
    </row>
    <row r="43" spans="2:51" ht="18" customHeight="1" x14ac:dyDescent="0.3">
      <c r="AO43" s="33" t="s">
        <v>48</v>
      </c>
      <c r="AP43" s="30">
        <v>45804</v>
      </c>
      <c r="AQ43" s="22" t="s">
        <v>50</v>
      </c>
      <c r="AR43" s="34">
        <v>23</v>
      </c>
      <c r="AS43" s="35"/>
      <c r="AT43" s="42" cm="1">
        <f t="array" ref="AT4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103</v>
      </c>
      <c r="AU43" s="42" cm="1">
        <f t="array" ref="AU4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12304869.377374761</v>
      </c>
      <c r="AV43" s="42">
        <f>IFERROR(Table_Main[[#This Row],[Giá trị tồn đầu ngày]]/Table_Main[[#This Row],[Tồn kho đầu ngày]],0)</f>
        <v>119464.75123664817</v>
      </c>
      <c r="AW43" s="5">
        <f xml:space="preserve">
IF(Table_Main[[#This Row],[Loại]]="Nhập",Table_Main[[#This Row],[Số lượng]]*Table_Main[[#This Row],[Đơn giá nhập]],Table_Main[[#This Row],[Số lượng]]*Table_Main[[#This Row],[Giá trị bình quân đầu ngày]])</f>
        <v>2747689.2784429081</v>
      </c>
      <c r="AX43" s="1"/>
      <c r="AY43" s="1"/>
    </row>
    <row r="44" spans="2:51" ht="18" customHeight="1" x14ac:dyDescent="0.3">
      <c r="AO44" s="33" t="s">
        <v>48</v>
      </c>
      <c r="AP44" s="30">
        <v>45800</v>
      </c>
      <c r="AQ44" s="22" t="s">
        <v>47</v>
      </c>
      <c r="AR44" s="34">
        <v>24</v>
      </c>
      <c r="AS44" s="35">
        <v>99528</v>
      </c>
      <c r="AT44" s="42" cm="1">
        <f t="array" ref="AT4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79</v>
      </c>
      <c r="AU44" s="42" cm="1">
        <f t="array" ref="AU4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9916197.3773747608</v>
      </c>
      <c r="AV44" s="42">
        <f>IFERROR(Table_Main[[#This Row],[Giá trị tồn đầu ngày]]/Table_Main[[#This Row],[Tồn kho đầu ngày]],0)</f>
        <v>125521.48578955393</v>
      </c>
      <c r="AW44" s="5">
        <f xml:space="preserve">
IF(Table_Main[[#This Row],[Loại]]="Nhập",Table_Main[[#This Row],[Số lượng]]*Table_Main[[#This Row],[Đơn giá nhập]],Table_Main[[#This Row],[Số lượng]]*Table_Main[[#This Row],[Giá trị bình quân đầu ngày]])</f>
        <v>2388672</v>
      </c>
      <c r="AX44" s="1"/>
      <c r="AY44" s="1"/>
    </row>
    <row r="45" spans="2:51" ht="18" customHeight="1" x14ac:dyDescent="0.3">
      <c r="AO45" s="33" t="s">
        <v>46</v>
      </c>
      <c r="AP45" s="30">
        <v>45797</v>
      </c>
      <c r="AQ45" s="22" t="s">
        <v>47</v>
      </c>
      <c r="AR45" s="34">
        <v>35</v>
      </c>
      <c r="AS45" s="35">
        <v>142298</v>
      </c>
      <c r="AT45" s="42" cm="1">
        <f t="array" ref="AT4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141</v>
      </c>
      <c r="AU45" s="42" cm="1">
        <f t="array" ref="AU4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13713177.469611529</v>
      </c>
      <c r="AV45" s="42">
        <f>IFERROR(Table_Main[[#This Row],[Giá trị tồn đầu ngày]]/Table_Main[[#This Row],[Tồn kho đầu ngày]],0)</f>
        <v>97256.577798663333</v>
      </c>
      <c r="AW45" s="5">
        <f xml:space="preserve">
IF(Table_Main[[#This Row],[Loại]]="Nhập",Table_Main[[#This Row],[Số lượng]]*Table_Main[[#This Row],[Đơn giá nhập]],Table_Main[[#This Row],[Số lượng]]*Table_Main[[#This Row],[Giá trị bình quân đầu ngày]])</f>
        <v>4980430</v>
      </c>
      <c r="AX45" s="1"/>
      <c r="AY45" s="1"/>
    </row>
    <row r="46" spans="2:51" ht="18" customHeight="1" x14ac:dyDescent="0.3">
      <c r="AO46" s="37" t="s">
        <v>51</v>
      </c>
      <c r="AP46" s="30">
        <v>45796</v>
      </c>
      <c r="AQ46" s="22" t="s">
        <v>50</v>
      </c>
      <c r="AR46" s="34">
        <v>34</v>
      </c>
      <c r="AS46" s="35"/>
      <c r="AT46" s="42" cm="1">
        <f t="array" ref="AT4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113</v>
      </c>
      <c r="AU46" s="42" cm="1">
        <f t="array" ref="AU4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46" s="42">
        <f>IFERROR(Table_Main[[#This Row],[Giá trị tồn đầu ngày]]/Table_Main[[#This Row],[Tồn kho đầu ngày]],0)</f>
        <v>0</v>
      </c>
      <c r="AW46" s="5">
        <f xml:space="preserve">
IF(Table_Main[[#This Row],[Loại]]="Nhập",Table_Main[[#This Row],[Số lượng]]*Table_Main[[#This Row],[Đơn giá nhập]],Table_Main[[#This Row],[Số lượng]]*Table_Main[[#This Row],[Giá trị bình quân đầu ngày]])</f>
        <v>0</v>
      </c>
      <c r="AX46" s="1"/>
      <c r="AY46" s="1"/>
    </row>
    <row r="47" spans="2:51" ht="18" customHeight="1" x14ac:dyDescent="0.3">
      <c r="AO47" s="37" t="s">
        <v>52</v>
      </c>
      <c r="AP47" s="30">
        <v>45789</v>
      </c>
      <c r="AQ47" s="22" t="s">
        <v>50</v>
      </c>
      <c r="AR47" s="34">
        <v>15</v>
      </c>
      <c r="AS47" s="35"/>
      <c r="AT47" s="42" cm="1">
        <f t="array" ref="AT4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v>
      </c>
      <c r="AU47" s="42" cm="1">
        <f t="array" ref="AU4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47" s="42">
        <f>IFERROR(Table_Main[[#This Row],[Giá trị tồn đầu ngày]]/Table_Main[[#This Row],[Tồn kho đầu ngày]],0)</f>
        <v>0</v>
      </c>
      <c r="AW47" s="5">
        <f xml:space="preserve">
IF(Table_Main[[#This Row],[Loại]]="Nhập",Table_Main[[#This Row],[Số lượng]]*Table_Main[[#This Row],[Đơn giá nhập]],Table_Main[[#This Row],[Số lượng]]*Table_Main[[#This Row],[Giá trị bình quân đầu ngày]])</f>
        <v>0</v>
      </c>
      <c r="AX47" s="1"/>
      <c r="AY47" s="1"/>
    </row>
    <row r="48" spans="2:51" ht="18" customHeight="1" x14ac:dyDescent="0.3">
      <c r="AO48" s="33" t="s">
        <v>46</v>
      </c>
      <c r="AP48" s="30">
        <v>45788</v>
      </c>
      <c r="AQ48" s="22" t="s">
        <v>50</v>
      </c>
      <c r="AR48" s="34">
        <v>27</v>
      </c>
      <c r="AS48" s="35"/>
      <c r="AT48" s="42" cm="1">
        <f t="array" ref="AT4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168</v>
      </c>
      <c r="AU48" s="42" cm="1">
        <f t="array" ref="AU4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16339105.070175439</v>
      </c>
      <c r="AV48" s="42">
        <f>IFERROR(Table_Main[[#This Row],[Giá trị tồn đầu ngày]]/Table_Main[[#This Row],[Tồn kho đầu ngày]],0)</f>
        <v>97256.577798663333</v>
      </c>
      <c r="AW48" s="5">
        <f xml:space="preserve">
IF(Table_Main[[#This Row],[Loại]]="Nhập",Table_Main[[#This Row],[Số lượng]]*Table_Main[[#This Row],[Đơn giá nhập]],Table_Main[[#This Row],[Số lượng]]*Table_Main[[#This Row],[Giá trị bình quân đầu ngày]])</f>
        <v>2625927.6005639099</v>
      </c>
      <c r="AX48" s="1"/>
      <c r="AY48" s="1"/>
    </row>
    <row r="49" spans="41:51" ht="18" customHeight="1" x14ac:dyDescent="0.3">
      <c r="AO49" s="33" t="s">
        <v>48</v>
      </c>
      <c r="AP49" s="30">
        <v>45788</v>
      </c>
      <c r="AQ49" s="22" t="s">
        <v>47</v>
      </c>
      <c r="AR49" s="34">
        <v>4</v>
      </c>
      <c r="AS49" s="35">
        <v>135156</v>
      </c>
      <c r="AT49" s="42" cm="1">
        <f t="array" ref="AT4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75</v>
      </c>
      <c r="AU49" s="42" cm="1">
        <f t="array" ref="AU4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9375573.3773747608</v>
      </c>
      <c r="AV49" s="42">
        <f>IFERROR(Table_Main[[#This Row],[Giá trị tồn đầu ngày]]/Table_Main[[#This Row],[Tồn kho đầu ngày]],0)</f>
        <v>125007.64503166347</v>
      </c>
      <c r="AW49" s="5">
        <f xml:space="preserve">
IF(Table_Main[[#This Row],[Loại]]="Nhập",Table_Main[[#This Row],[Số lượng]]*Table_Main[[#This Row],[Đơn giá nhập]],Table_Main[[#This Row],[Số lượng]]*Table_Main[[#This Row],[Giá trị bình quân đầu ngày]])</f>
        <v>540624</v>
      </c>
      <c r="AX49" s="1"/>
      <c r="AY49" s="1"/>
    </row>
    <row r="50" spans="41:51" ht="18" customHeight="1" x14ac:dyDescent="0.3">
      <c r="AO50" s="37" t="s">
        <v>51</v>
      </c>
      <c r="AP50" s="30">
        <v>45786</v>
      </c>
      <c r="AQ50" s="22" t="s">
        <v>50</v>
      </c>
      <c r="AR50" s="34">
        <v>22</v>
      </c>
      <c r="AS50" s="35"/>
      <c r="AT50" s="42" cm="1">
        <f t="array" ref="AT5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135</v>
      </c>
      <c r="AU50" s="42" cm="1">
        <f t="array" ref="AU5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0" s="42">
        <f>IFERROR(Table_Main[[#This Row],[Giá trị tồn đầu ngày]]/Table_Main[[#This Row],[Tồn kho đầu ngày]],0)</f>
        <v>0</v>
      </c>
      <c r="AW50" s="5">
        <f xml:space="preserve">
IF(Table_Main[[#This Row],[Loại]]="Nhập",Table_Main[[#This Row],[Số lượng]]*Table_Main[[#This Row],[Đơn giá nhập]],Table_Main[[#This Row],[Số lượng]]*Table_Main[[#This Row],[Giá trị bình quân đầu ngày]])</f>
        <v>0</v>
      </c>
      <c r="AX50" s="1"/>
      <c r="AY50" s="1"/>
    </row>
    <row r="51" spans="41:51" ht="18" customHeight="1" x14ac:dyDescent="0.3">
      <c r="AO51" s="37" t="s">
        <v>52</v>
      </c>
      <c r="AP51" s="30">
        <v>45786</v>
      </c>
      <c r="AQ51" s="22" t="s">
        <v>50</v>
      </c>
      <c r="AR51" s="34">
        <v>8</v>
      </c>
      <c r="AS51" s="35"/>
      <c r="AT51" s="42" cm="1">
        <f t="array" ref="AT5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v>
      </c>
      <c r="AU51" s="42" cm="1">
        <f t="array" ref="AU5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1" s="42">
        <f>IFERROR(Table_Main[[#This Row],[Giá trị tồn đầu ngày]]/Table_Main[[#This Row],[Tồn kho đầu ngày]],0)</f>
        <v>0</v>
      </c>
      <c r="AW51" s="5">
        <f xml:space="preserve">
IF(Table_Main[[#This Row],[Loại]]="Nhập",Table_Main[[#This Row],[Số lượng]]*Table_Main[[#This Row],[Đơn giá nhập]],Table_Main[[#This Row],[Số lượng]]*Table_Main[[#This Row],[Giá trị bình quân đầu ngày]])</f>
        <v>0</v>
      </c>
      <c r="AX51" s="1"/>
      <c r="AY51" s="1"/>
    </row>
    <row r="52" spans="41:51" ht="18" customHeight="1" x14ac:dyDescent="0.3">
      <c r="AO52" s="37" t="s">
        <v>52</v>
      </c>
      <c r="AP52" s="30">
        <v>45784</v>
      </c>
      <c r="AQ52" s="22" t="s">
        <v>50</v>
      </c>
      <c r="AR52" s="34">
        <v>34</v>
      </c>
      <c r="AS52" s="35"/>
      <c r="AT52" s="42" cm="1">
        <f t="array" ref="AT5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49</v>
      </c>
      <c r="AU52" s="42" cm="1">
        <f t="array" ref="AU5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2" s="42">
        <f>IFERROR(Table_Main[[#This Row],[Giá trị tồn đầu ngày]]/Table_Main[[#This Row],[Tồn kho đầu ngày]],0)</f>
        <v>0</v>
      </c>
      <c r="AW52" s="5">
        <f xml:space="preserve">
IF(Table_Main[[#This Row],[Loại]]="Nhập",Table_Main[[#This Row],[Số lượng]]*Table_Main[[#This Row],[Đơn giá nhập]],Table_Main[[#This Row],[Số lượng]]*Table_Main[[#This Row],[Giá trị bình quân đầu ngày]])</f>
        <v>0</v>
      </c>
      <c r="AX52" s="1"/>
      <c r="AY52" s="1"/>
    </row>
    <row r="53" spans="41:51" ht="18" customHeight="1" x14ac:dyDescent="0.3">
      <c r="AO53" s="37" t="s">
        <v>51</v>
      </c>
      <c r="AP53" s="30">
        <v>45782</v>
      </c>
      <c r="AQ53" s="22" t="s">
        <v>47</v>
      </c>
      <c r="AR53" s="34">
        <v>5</v>
      </c>
      <c r="AS53" s="35"/>
      <c r="AT53" s="42" cm="1">
        <f t="array" ref="AT5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130</v>
      </c>
      <c r="AU53" s="42" cm="1">
        <f t="array" ref="AU5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3" s="42">
        <f>IFERROR(Table_Main[[#This Row],[Giá trị tồn đầu ngày]]/Table_Main[[#This Row],[Tồn kho đầu ngày]],0)</f>
        <v>0</v>
      </c>
      <c r="AW53" s="5">
        <f xml:space="preserve">
IF(Table_Main[[#This Row],[Loại]]="Nhập",Table_Main[[#This Row],[Số lượng]]*Table_Main[[#This Row],[Đơn giá nhập]],Table_Main[[#This Row],[Số lượng]]*Table_Main[[#This Row],[Giá trị bình quân đầu ngày]])</f>
        <v>0</v>
      </c>
      <c r="AX53" s="1"/>
      <c r="AY53" s="1"/>
    </row>
    <row r="54" spans="41:51" ht="18" customHeight="1" x14ac:dyDescent="0.3">
      <c r="AO54" s="37" t="s">
        <v>51</v>
      </c>
      <c r="AP54" s="30">
        <v>45779</v>
      </c>
      <c r="AQ54" s="22" t="s">
        <v>50</v>
      </c>
      <c r="AR54" s="34">
        <v>16</v>
      </c>
      <c r="AS54" s="35"/>
      <c r="AT54" s="42" cm="1">
        <f t="array" ref="AT5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146</v>
      </c>
      <c r="AU54" s="42" cm="1">
        <f t="array" ref="AU5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4" s="42">
        <f>IFERROR(Table_Main[[#This Row],[Giá trị tồn đầu ngày]]/Table_Main[[#This Row],[Tồn kho đầu ngày]],0)</f>
        <v>0</v>
      </c>
      <c r="AW54" s="5">
        <f xml:space="preserve">
IF(Table_Main[[#This Row],[Loại]]="Nhập",Table_Main[[#This Row],[Số lượng]]*Table_Main[[#This Row],[Đơn giá nhập]],Table_Main[[#This Row],[Số lượng]]*Table_Main[[#This Row],[Giá trị bình quân đầu ngày]])</f>
        <v>0</v>
      </c>
      <c r="AX54" s="1"/>
      <c r="AY54" s="1"/>
    </row>
    <row r="55" spans="41:51" ht="18" customHeight="1" x14ac:dyDescent="0.3">
      <c r="AO55" s="37" t="s">
        <v>52</v>
      </c>
      <c r="AP55" s="30">
        <v>45778</v>
      </c>
      <c r="AQ55" s="22" t="s">
        <v>47</v>
      </c>
      <c r="AR55" s="34">
        <v>29</v>
      </c>
      <c r="AS55" s="35"/>
      <c r="AT55" s="42" cm="1">
        <f t="array" ref="AT5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20</v>
      </c>
      <c r="AU55" s="42" cm="1">
        <f t="array" ref="AU5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5" s="42">
        <f>IFERROR(Table_Main[[#This Row],[Giá trị tồn đầu ngày]]/Table_Main[[#This Row],[Tồn kho đầu ngày]],0)</f>
        <v>0</v>
      </c>
      <c r="AW55" s="5">
        <f xml:space="preserve">
IF(Table_Main[[#This Row],[Loại]]="Nhập",Table_Main[[#This Row],[Số lượng]]*Table_Main[[#This Row],[Đơn giá nhập]],Table_Main[[#This Row],[Số lượng]]*Table_Main[[#This Row],[Giá trị bình quân đầu ngày]])</f>
        <v>0</v>
      </c>
      <c r="AX55" s="1"/>
      <c r="AY55" s="1"/>
    </row>
    <row r="56" spans="41:51" ht="18" customHeight="1" x14ac:dyDescent="0.3">
      <c r="AO56" s="33" t="s">
        <v>46</v>
      </c>
      <c r="AP56" s="30">
        <v>45778</v>
      </c>
      <c r="AQ56" s="22" t="s">
        <v>47</v>
      </c>
      <c r="AR56" s="34">
        <v>16</v>
      </c>
      <c r="AS56" s="35">
        <v>85458</v>
      </c>
      <c r="AT56" s="42" cm="1">
        <f t="array" ref="AT5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152</v>
      </c>
      <c r="AU56" s="42" cm="1">
        <f t="array" ref="AU5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14971777.070175439</v>
      </c>
      <c r="AV56" s="42">
        <f>IFERROR(Table_Main[[#This Row],[Giá trị tồn đầu ngày]]/Table_Main[[#This Row],[Tồn kho đầu ngày]],0)</f>
        <v>98498.533356417363</v>
      </c>
      <c r="AW56" s="5">
        <f xml:space="preserve">
IF(Table_Main[[#This Row],[Loại]]="Nhập",Table_Main[[#This Row],[Số lượng]]*Table_Main[[#This Row],[Đơn giá nhập]],Table_Main[[#This Row],[Số lượng]]*Table_Main[[#This Row],[Giá trị bình quân đầu ngày]])</f>
        <v>1367328</v>
      </c>
      <c r="AX56" s="1"/>
      <c r="AY56" s="1"/>
    </row>
    <row r="57" spans="41:51" ht="18" customHeight="1" x14ac:dyDescent="0.3">
      <c r="AO57" s="37" t="s">
        <v>52</v>
      </c>
      <c r="AP57" s="30">
        <v>45777</v>
      </c>
      <c r="AQ57" s="22" t="s">
        <v>50</v>
      </c>
      <c r="AR57" s="34">
        <v>39</v>
      </c>
      <c r="AS57" s="35"/>
      <c r="AT57" s="42" cm="1">
        <f t="array" ref="AT5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59</v>
      </c>
      <c r="AU57" s="42" cm="1">
        <f t="array" ref="AU5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7" s="42">
        <f>IFERROR(Table_Main[[#This Row],[Giá trị tồn đầu ngày]]/Table_Main[[#This Row],[Tồn kho đầu ngày]],0)</f>
        <v>0</v>
      </c>
      <c r="AW57" s="5">
        <f xml:space="preserve">
IF(Table_Main[[#This Row],[Loại]]="Nhập",Table_Main[[#This Row],[Số lượng]]*Table_Main[[#This Row],[Đơn giá nhập]],Table_Main[[#This Row],[Số lượng]]*Table_Main[[#This Row],[Giá trị bình quân đầu ngày]])</f>
        <v>0</v>
      </c>
      <c r="AX57" s="1"/>
      <c r="AY57" s="1"/>
    </row>
    <row r="58" spans="41:51" ht="18" customHeight="1" x14ac:dyDescent="0.3">
      <c r="AO58" s="37" t="s">
        <v>52</v>
      </c>
      <c r="AP58" s="30">
        <v>45776</v>
      </c>
      <c r="AQ58" s="22" t="s">
        <v>50</v>
      </c>
      <c r="AR58" s="34">
        <v>21</v>
      </c>
      <c r="AS58" s="35"/>
      <c r="AT58" s="42" cm="1">
        <f t="array" ref="AT5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80</v>
      </c>
      <c r="AU58" s="42" cm="1">
        <f t="array" ref="AU5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58" s="42">
        <f>IFERROR(Table_Main[[#This Row],[Giá trị tồn đầu ngày]]/Table_Main[[#This Row],[Tồn kho đầu ngày]],0)</f>
        <v>0</v>
      </c>
      <c r="AW58" s="5">
        <f xml:space="preserve">
IF(Table_Main[[#This Row],[Loại]]="Nhập",Table_Main[[#This Row],[Số lượng]]*Table_Main[[#This Row],[Đơn giá nhập]],Table_Main[[#This Row],[Số lượng]]*Table_Main[[#This Row],[Giá trị bình quân đầu ngày]])</f>
        <v>0</v>
      </c>
      <c r="AX58" s="1"/>
      <c r="AY58" s="1"/>
    </row>
    <row r="59" spans="41:51" ht="18" customHeight="1" x14ac:dyDescent="0.3">
      <c r="AO59" s="33" t="s">
        <v>46</v>
      </c>
      <c r="AP59" s="30">
        <v>45775</v>
      </c>
      <c r="AQ59" s="22" t="s">
        <v>47</v>
      </c>
      <c r="AR59" s="34">
        <v>15</v>
      </c>
      <c r="AS59" s="35">
        <v>63209</v>
      </c>
      <c r="AT59" s="42" cm="1">
        <f t="array" ref="AT5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137</v>
      </c>
      <c r="AU59" s="42" cm="1">
        <f t="array" ref="AU5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14023642.070175439</v>
      </c>
      <c r="AV59" s="42">
        <f>IFERROR(Table_Main[[#This Row],[Giá trị tồn đầu ngày]]/Table_Main[[#This Row],[Tồn kho đầu ngày]],0)</f>
        <v>102362.35087719299</v>
      </c>
      <c r="AW59" s="5">
        <f xml:space="preserve">
IF(Table_Main[[#This Row],[Loại]]="Nhập",Table_Main[[#This Row],[Số lượng]]*Table_Main[[#This Row],[Đơn giá nhập]],Table_Main[[#This Row],[Số lượng]]*Table_Main[[#This Row],[Giá trị bình quân đầu ngày]])</f>
        <v>948135</v>
      </c>
      <c r="AX59" s="1"/>
      <c r="AY59" s="1"/>
    </row>
    <row r="60" spans="41:51" ht="18" customHeight="1" x14ac:dyDescent="0.3">
      <c r="AO60" s="37" t="s">
        <v>51</v>
      </c>
      <c r="AP60" s="30">
        <v>45774</v>
      </c>
      <c r="AQ60" s="22" t="s">
        <v>50</v>
      </c>
      <c r="AR60" s="34">
        <v>28</v>
      </c>
      <c r="AS60" s="35"/>
      <c r="AT60" s="42" cm="1">
        <f t="array" ref="AT6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174</v>
      </c>
      <c r="AU60" s="42" cm="1">
        <f t="array" ref="AU6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60" s="42">
        <f>IFERROR(Table_Main[[#This Row],[Giá trị tồn đầu ngày]]/Table_Main[[#This Row],[Tồn kho đầu ngày]],0)</f>
        <v>0</v>
      </c>
      <c r="AW60" s="5">
        <f xml:space="preserve">
IF(Table_Main[[#This Row],[Loại]]="Nhập",Table_Main[[#This Row],[Số lượng]]*Table_Main[[#This Row],[Đơn giá nhập]],Table_Main[[#This Row],[Số lượng]]*Table_Main[[#This Row],[Giá trị bình quân đầu ngày]])</f>
        <v>0</v>
      </c>
      <c r="AX60" s="1"/>
      <c r="AY60" s="1"/>
    </row>
    <row r="61" spans="41:51" ht="18" customHeight="1" x14ac:dyDescent="0.3">
      <c r="AO61" s="33" t="s">
        <v>46</v>
      </c>
      <c r="AP61" s="30">
        <v>45774</v>
      </c>
      <c r="AQ61" s="22" t="s">
        <v>50</v>
      </c>
      <c r="AR61" s="34">
        <v>34</v>
      </c>
      <c r="AS61" s="35"/>
      <c r="AT61" s="42" cm="1">
        <f t="array" ref="AT6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171</v>
      </c>
      <c r="AU61" s="42" cm="1">
        <f t="array" ref="AU6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17503962</v>
      </c>
      <c r="AV61" s="42">
        <f>IFERROR(Table_Main[[#This Row],[Giá trị tồn đầu ngày]]/Table_Main[[#This Row],[Tồn kho đầu ngày]],0)</f>
        <v>102362.35087719298</v>
      </c>
      <c r="AW61" s="5">
        <f xml:space="preserve">
IF(Table_Main[[#This Row],[Loại]]="Nhập",Table_Main[[#This Row],[Số lượng]]*Table_Main[[#This Row],[Đơn giá nhập]],Table_Main[[#This Row],[Số lượng]]*Table_Main[[#This Row],[Giá trị bình quân đầu ngày]])</f>
        <v>3480319.9298245613</v>
      </c>
      <c r="AX61" s="1"/>
      <c r="AY61" s="1"/>
    </row>
    <row r="62" spans="41:51" ht="18" customHeight="1" x14ac:dyDescent="0.3">
      <c r="AO62" s="37" t="s">
        <v>51</v>
      </c>
      <c r="AP62" s="30">
        <v>45773</v>
      </c>
      <c r="AQ62" s="22" t="s">
        <v>47</v>
      </c>
      <c r="AR62" s="34">
        <v>32</v>
      </c>
      <c r="AS62" s="35"/>
      <c r="AT62" s="42" cm="1">
        <f t="array" ref="AT6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142</v>
      </c>
      <c r="AU62" s="42" cm="1">
        <f t="array" ref="AU6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62" s="42">
        <f>IFERROR(Table_Main[[#This Row],[Giá trị tồn đầu ngày]]/Table_Main[[#This Row],[Tồn kho đầu ngày]],0)</f>
        <v>0</v>
      </c>
      <c r="AW62" s="5">
        <f xml:space="preserve">
IF(Table_Main[[#This Row],[Loại]]="Nhập",Table_Main[[#This Row],[Số lượng]]*Table_Main[[#This Row],[Đơn giá nhập]],Table_Main[[#This Row],[Số lượng]]*Table_Main[[#This Row],[Giá trị bình quân đầu ngày]])</f>
        <v>0</v>
      </c>
      <c r="AX62" s="1"/>
      <c r="AY62" s="1"/>
    </row>
    <row r="63" spans="41:51" ht="18" customHeight="1" x14ac:dyDescent="0.3">
      <c r="AO63" s="37" t="s">
        <v>51</v>
      </c>
      <c r="AP63" s="30">
        <v>45772</v>
      </c>
      <c r="AQ63" s="22" t="s">
        <v>47</v>
      </c>
      <c r="AR63" s="34">
        <v>21</v>
      </c>
      <c r="AS63" s="35"/>
      <c r="AT63" s="42" cm="1">
        <f t="array" ref="AT6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121</v>
      </c>
      <c r="AU63" s="42" cm="1">
        <f t="array" ref="AU6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63" s="42">
        <f>IFERROR(Table_Main[[#This Row],[Giá trị tồn đầu ngày]]/Table_Main[[#This Row],[Tồn kho đầu ngày]],0)</f>
        <v>0</v>
      </c>
      <c r="AW63" s="5">
        <f xml:space="preserve">
IF(Table_Main[[#This Row],[Loại]]="Nhập",Table_Main[[#This Row],[Số lượng]]*Table_Main[[#This Row],[Đơn giá nhập]],Table_Main[[#This Row],[Số lượng]]*Table_Main[[#This Row],[Giá trị bình quân đầu ngày]])</f>
        <v>0</v>
      </c>
      <c r="AX63" s="1"/>
      <c r="AY63" s="1"/>
    </row>
    <row r="64" spans="41:51" ht="18" customHeight="1" x14ac:dyDescent="0.3">
      <c r="AO64" s="33" t="s">
        <v>48</v>
      </c>
      <c r="AP64" s="30">
        <v>45772</v>
      </c>
      <c r="AQ64" s="22" t="s">
        <v>50</v>
      </c>
      <c r="AR64" s="34">
        <v>11</v>
      </c>
      <c r="AS64" s="35"/>
      <c r="AT64" s="42" cm="1">
        <f t="array" ref="AT6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61</v>
      </c>
      <c r="AU64" s="42" cm="1">
        <f t="array" ref="AU6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6958512.0203972086</v>
      </c>
      <c r="AV64" s="42">
        <f>IFERROR(Table_Main[[#This Row],[Giá trị tồn đầu ngày]]/Table_Main[[#This Row],[Tồn kho đầu ngày]],0)</f>
        <v>114073.96754749522</v>
      </c>
      <c r="AW64" s="5">
        <f xml:space="preserve">
IF(Table_Main[[#This Row],[Loại]]="Nhập",Table_Main[[#This Row],[Số lượng]]*Table_Main[[#This Row],[Đơn giá nhập]],Table_Main[[#This Row],[Số lượng]]*Table_Main[[#This Row],[Giá trị bình quân đầu ngày]])</f>
        <v>1254813.6430224474</v>
      </c>
    </row>
    <row r="65" spans="41:49" ht="18" customHeight="1" x14ac:dyDescent="0.3">
      <c r="AO65" s="33" t="s">
        <v>48</v>
      </c>
      <c r="AP65" s="30">
        <v>45772</v>
      </c>
      <c r="AQ65" s="22" t="s">
        <v>47</v>
      </c>
      <c r="AR65" s="34">
        <v>25</v>
      </c>
      <c r="AS65" s="35">
        <v>146875</v>
      </c>
      <c r="AT65" s="42" cm="1">
        <f t="array" ref="AT6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61</v>
      </c>
      <c r="AU65" s="42" cm="1">
        <f t="array" ref="AU6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6958512.0203972086</v>
      </c>
      <c r="AV65" s="42">
        <f>IFERROR(Table_Main[[#This Row],[Giá trị tồn đầu ngày]]/Table_Main[[#This Row],[Tồn kho đầu ngày]],0)</f>
        <v>114073.96754749522</v>
      </c>
      <c r="AW65" s="5">
        <f xml:space="preserve">
IF(Table_Main[[#This Row],[Loại]]="Nhập",Table_Main[[#This Row],[Số lượng]]*Table_Main[[#This Row],[Đơn giá nhập]],Table_Main[[#This Row],[Số lượng]]*Table_Main[[#This Row],[Giá trị bình quân đầu ngày]])</f>
        <v>3671875</v>
      </c>
    </row>
    <row r="66" spans="41:49" ht="18" customHeight="1" x14ac:dyDescent="0.3">
      <c r="AO66" s="37" t="s">
        <v>51</v>
      </c>
      <c r="AP66" s="30">
        <v>45771</v>
      </c>
      <c r="AQ66" s="22" t="s">
        <v>50</v>
      </c>
      <c r="AR66" s="34">
        <v>18</v>
      </c>
      <c r="AS66" s="35"/>
      <c r="AT66" s="42" cm="1">
        <f t="array" ref="AT6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139</v>
      </c>
      <c r="AU66" s="42" cm="1">
        <f t="array" ref="AU6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66" s="42">
        <f>IFERROR(Table_Main[[#This Row],[Giá trị tồn đầu ngày]]/Table_Main[[#This Row],[Tồn kho đầu ngày]],0)</f>
        <v>0</v>
      </c>
      <c r="AW66" s="5">
        <f xml:space="preserve">
IF(Table_Main[[#This Row],[Loại]]="Nhập",Table_Main[[#This Row],[Số lượng]]*Table_Main[[#This Row],[Đơn giá nhập]],Table_Main[[#This Row],[Số lượng]]*Table_Main[[#This Row],[Giá trị bình quân đầu ngày]])</f>
        <v>0</v>
      </c>
    </row>
    <row r="67" spans="41:49" ht="18" customHeight="1" x14ac:dyDescent="0.3">
      <c r="AO67" s="33" t="s">
        <v>48</v>
      </c>
      <c r="AP67" s="30">
        <v>45767</v>
      </c>
      <c r="AQ67" s="22" t="s">
        <v>47</v>
      </c>
      <c r="AR67" s="34">
        <v>23</v>
      </c>
      <c r="AS67" s="35">
        <v>68882</v>
      </c>
      <c r="AT67" s="42" cm="1">
        <f t="array" ref="AT6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38</v>
      </c>
      <c r="AU67" s="42" cm="1">
        <f t="array" ref="AU6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5374226.0203972086</v>
      </c>
      <c r="AV67" s="42">
        <f>IFERROR(Table_Main[[#This Row],[Giá trị tồn đầu ngày]]/Table_Main[[#This Row],[Tồn kho đầu ngày]],0)</f>
        <v>141427.00053676864</v>
      </c>
      <c r="AW67" s="5">
        <f xml:space="preserve">
IF(Table_Main[[#This Row],[Loại]]="Nhập",Table_Main[[#This Row],[Số lượng]]*Table_Main[[#This Row],[Đơn giá nhập]],Table_Main[[#This Row],[Số lượng]]*Table_Main[[#This Row],[Giá trị bình quân đầu ngày]])</f>
        <v>1584286</v>
      </c>
    </row>
    <row r="68" spans="41:49" ht="18" customHeight="1" x14ac:dyDescent="0.3">
      <c r="AO68" s="37" t="s">
        <v>51</v>
      </c>
      <c r="AP68" s="30">
        <v>45762</v>
      </c>
      <c r="AQ68" s="22" t="s">
        <v>50</v>
      </c>
      <c r="AR68" s="34">
        <v>11</v>
      </c>
      <c r="AS68" s="35"/>
      <c r="AT68" s="42" cm="1">
        <f t="array" ref="AT6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150</v>
      </c>
      <c r="AU68" s="42" cm="1">
        <f t="array" ref="AU6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68" s="42">
        <f>IFERROR(Table_Main[[#This Row],[Giá trị tồn đầu ngày]]/Table_Main[[#This Row],[Tồn kho đầu ngày]],0)</f>
        <v>0</v>
      </c>
      <c r="AW68" s="5">
        <f xml:space="preserve">
IF(Table_Main[[#This Row],[Loại]]="Nhập",Table_Main[[#This Row],[Số lượng]]*Table_Main[[#This Row],[Đơn giá nhập]],Table_Main[[#This Row],[Số lượng]]*Table_Main[[#This Row],[Giá trị bình quân đầu ngày]])</f>
        <v>0</v>
      </c>
    </row>
    <row r="69" spans="41:49" ht="18" customHeight="1" x14ac:dyDescent="0.3">
      <c r="AO69" s="23" t="s">
        <v>48</v>
      </c>
      <c r="AP69" s="30">
        <v>45761</v>
      </c>
      <c r="AQ69" s="1" t="s">
        <v>50</v>
      </c>
      <c r="AR69" s="31">
        <v>35</v>
      </c>
      <c r="AS69" s="32"/>
      <c r="AT69" s="43" cm="1">
        <f t="array" ref="AT6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73</v>
      </c>
      <c r="AU69" s="43" cm="1">
        <f t="array" ref="AU6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10324171.039184112</v>
      </c>
      <c r="AV69" s="43">
        <f>IFERROR(Table_Main[[#This Row],[Giá trị tồn đầu ngày]]/Table_Main[[#This Row],[Tồn kho đầu ngày]],0)</f>
        <v>141427.00053676867</v>
      </c>
      <c r="AW69" s="5">
        <f xml:space="preserve">
IF(Table_Main[[#This Row],[Loại]]="Nhập",Table_Main[[#This Row],[Số lượng]]*Table_Main[[#This Row],[Đơn giá nhập]],Table_Main[[#This Row],[Số lượng]]*Table_Main[[#This Row],[Giá trị bình quân đầu ngày]])</f>
        <v>4949945.0187869035</v>
      </c>
    </row>
    <row r="70" spans="41:49" ht="18" customHeight="1" x14ac:dyDescent="0.3">
      <c r="AO70" s="37" t="s">
        <v>52</v>
      </c>
      <c r="AP70" s="30">
        <v>45759</v>
      </c>
      <c r="AQ70" s="1" t="s">
        <v>47</v>
      </c>
      <c r="AR70" s="34">
        <v>45</v>
      </c>
      <c r="AS70" s="35"/>
      <c r="AT70" s="44" cm="1">
        <f t="array" ref="AT7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35</v>
      </c>
      <c r="AU70" s="44" cm="1">
        <f t="array" ref="AU7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0" s="44">
        <f>IFERROR(Table_Main[[#This Row],[Giá trị tồn đầu ngày]]/Table_Main[[#This Row],[Tồn kho đầu ngày]],0)</f>
        <v>0</v>
      </c>
      <c r="AW70" s="5">
        <f xml:space="preserve">
IF(Table_Main[[#This Row],[Loại]]="Nhập",Table_Main[[#This Row],[Số lượng]]*Table_Main[[#This Row],[Đơn giá nhập]],Table_Main[[#This Row],[Số lượng]]*Table_Main[[#This Row],[Giá trị bình quân đầu ngày]])</f>
        <v>0</v>
      </c>
    </row>
    <row r="71" spans="41:49" ht="18" customHeight="1" x14ac:dyDescent="0.3">
      <c r="AO71" s="37" t="s">
        <v>51</v>
      </c>
      <c r="AP71" s="30">
        <v>45756</v>
      </c>
      <c r="AQ71" s="1" t="s">
        <v>50</v>
      </c>
      <c r="AR71" s="34">
        <v>14</v>
      </c>
      <c r="AS71" s="35"/>
      <c r="AT71" s="44" cm="1">
        <f t="array" ref="AT7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136</v>
      </c>
      <c r="AU71" s="44" cm="1">
        <f t="array" ref="AU7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1" s="44">
        <f>IFERROR(Table_Main[[#This Row],[Giá trị tồn đầu ngày]]/Table_Main[[#This Row],[Tồn kho đầu ngày]],0)</f>
        <v>0</v>
      </c>
      <c r="AW71" s="5">
        <f xml:space="preserve">
IF(Table_Main[[#This Row],[Loại]]="Nhập",Table_Main[[#This Row],[Số lượng]]*Table_Main[[#This Row],[Đơn giá nhập]],Table_Main[[#This Row],[Số lượng]]*Table_Main[[#This Row],[Giá trị bình quân đầu ngày]])</f>
        <v>0</v>
      </c>
    </row>
    <row r="72" spans="41:49" ht="18" customHeight="1" x14ac:dyDescent="0.3">
      <c r="AO72" s="37" t="s">
        <v>51</v>
      </c>
      <c r="AP72" s="30">
        <v>45756</v>
      </c>
      <c r="AQ72" s="22" t="s">
        <v>47</v>
      </c>
      <c r="AR72" s="34">
        <v>28</v>
      </c>
      <c r="AS72" s="35"/>
      <c r="AT72" s="44" cm="1">
        <f t="array" ref="AT7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136</v>
      </c>
      <c r="AU72" s="44" cm="1">
        <f t="array" ref="AU7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2" s="44">
        <f>IFERROR(Table_Main[[#This Row],[Giá trị tồn đầu ngày]]/Table_Main[[#This Row],[Tồn kho đầu ngày]],0)</f>
        <v>0</v>
      </c>
      <c r="AW72" s="5">
        <f xml:space="preserve">
IF(Table_Main[[#This Row],[Loại]]="Nhập",Table_Main[[#This Row],[Số lượng]]*Table_Main[[#This Row],[Đơn giá nhập]],Table_Main[[#This Row],[Số lượng]]*Table_Main[[#This Row],[Giá trị bình quân đầu ngày]])</f>
        <v>0</v>
      </c>
    </row>
    <row r="73" spans="41:49" ht="18" customHeight="1" x14ac:dyDescent="0.3">
      <c r="AO73" s="33" t="s">
        <v>48</v>
      </c>
      <c r="AP73" s="30">
        <v>45755</v>
      </c>
      <c r="AQ73" s="22" t="s">
        <v>50</v>
      </c>
      <c r="AR73" s="34">
        <v>15</v>
      </c>
      <c r="AS73" s="35"/>
      <c r="AT73" s="43" cm="1">
        <f t="array" ref="AT7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88</v>
      </c>
      <c r="AU73" s="43" cm="1">
        <f t="array" ref="AU7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12445576.047235642</v>
      </c>
      <c r="AV73" s="43">
        <f>IFERROR(Table_Main[[#This Row],[Giá trị tồn đầu ngày]]/Table_Main[[#This Row],[Tồn kho đầu ngày]],0)</f>
        <v>141427.00053676867</v>
      </c>
      <c r="AW73" s="5">
        <f xml:space="preserve">
IF(Table_Main[[#This Row],[Loại]]="Nhập",Table_Main[[#This Row],[Số lượng]]*Table_Main[[#This Row],[Đơn giá nhập]],Table_Main[[#This Row],[Số lượng]]*Table_Main[[#This Row],[Giá trị bình quân đầu ngày]])</f>
        <v>2121405.00805153</v>
      </c>
    </row>
    <row r="74" spans="41:49" ht="18" customHeight="1" x14ac:dyDescent="0.3">
      <c r="AO74" s="37" t="s">
        <v>51</v>
      </c>
      <c r="AP74" s="30">
        <v>45754</v>
      </c>
      <c r="AQ74" s="1" t="s">
        <v>47</v>
      </c>
      <c r="AR74" s="34">
        <v>30</v>
      </c>
      <c r="AS74" s="35"/>
      <c r="AT74" s="44" cm="1">
        <f t="array" ref="AT7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106</v>
      </c>
      <c r="AU74" s="44" cm="1">
        <f t="array" ref="AU7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4" s="44">
        <f>IFERROR(Table_Main[[#This Row],[Giá trị tồn đầu ngày]]/Table_Main[[#This Row],[Tồn kho đầu ngày]],0)</f>
        <v>0</v>
      </c>
      <c r="AW74" s="5">
        <f xml:space="preserve">
IF(Table_Main[[#This Row],[Loại]]="Nhập",Table_Main[[#This Row],[Số lượng]]*Table_Main[[#This Row],[Đơn giá nhập]],Table_Main[[#This Row],[Số lượng]]*Table_Main[[#This Row],[Giá trị bình quân đầu ngày]])</f>
        <v>0</v>
      </c>
    </row>
    <row r="75" spans="41:49" ht="18" customHeight="1" x14ac:dyDescent="0.3">
      <c r="AO75" s="37" t="s">
        <v>51</v>
      </c>
      <c r="AP75" s="30">
        <v>45753</v>
      </c>
      <c r="AQ75" s="1" t="s">
        <v>47</v>
      </c>
      <c r="AR75" s="34">
        <v>28</v>
      </c>
      <c r="AS75" s="35"/>
      <c r="AT75" s="44" cm="1">
        <f t="array" ref="AT7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78</v>
      </c>
      <c r="AU75" s="44" cm="1">
        <f t="array" ref="AU7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5" s="44">
        <f>IFERROR(Table_Main[[#This Row],[Giá trị tồn đầu ngày]]/Table_Main[[#This Row],[Tồn kho đầu ngày]],0)</f>
        <v>0</v>
      </c>
      <c r="AW75" s="5">
        <f xml:space="preserve">
IF(Table_Main[[#This Row],[Loại]]="Nhập",Table_Main[[#This Row],[Số lượng]]*Table_Main[[#This Row],[Đơn giá nhập]],Table_Main[[#This Row],[Số lượng]]*Table_Main[[#This Row],[Giá trị bình quân đầu ngày]])</f>
        <v>0</v>
      </c>
    </row>
    <row r="76" spans="41:49" ht="18" customHeight="1" x14ac:dyDescent="0.3">
      <c r="AO76" s="33" t="s">
        <v>48</v>
      </c>
      <c r="AP76" s="30">
        <v>45751</v>
      </c>
      <c r="AQ76" s="22" t="s">
        <v>50</v>
      </c>
      <c r="AR76" s="34">
        <v>50</v>
      </c>
      <c r="AS76" s="35"/>
      <c r="AT76" s="43" cm="1">
        <f t="array" ref="AT7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138</v>
      </c>
      <c r="AU76" s="43" cm="1">
        <f t="array" ref="AU7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19516926.074074075</v>
      </c>
      <c r="AV76" s="43">
        <f>IFERROR(Table_Main[[#This Row],[Giá trị tồn đầu ngày]]/Table_Main[[#This Row],[Tồn kho đầu ngày]],0)</f>
        <v>141427.00053676867</v>
      </c>
      <c r="AW76" s="5">
        <f xml:space="preserve">
IF(Table_Main[[#This Row],[Loại]]="Nhập",Table_Main[[#This Row],[Số lượng]]*Table_Main[[#This Row],[Đơn giá nhập]],Table_Main[[#This Row],[Số lượng]]*Table_Main[[#This Row],[Giá trị bình quân đầu ngày]])</f>
        <v>7071350.026838433</v>
      </c>
    </row>
    <row r="77" spans="41:49" ht="18" customHeight="1" x14ac:dyDescent="0.3">
      <c r="AO77" s="37" t="s">
        <v>51</v>
      </c>
      <c r="AP77" s="30">
        <v>45750</v>
      </c>
      <c r="AQ77" s="22" t="s">
        <v>50</v>
      </c>
      <c r="AR77" s="34">
        <v>28</v>
      </c>
      <c r="AS77" s="35"/>
      <c r="AT77" s="44" cm="1">
        <f t="array" ref="AT7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106</v>
      </c>
      <c r="AU77" s="44" cm="1">
        <f t="array" ref="AU7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7" s="44">
        <f>IFERROR(Table_Main[[#This Row],[Giá trị tồn đầu ngày]]/Table_Main[[#This Row],[Tồn kho đầu ngày]],0)</f>
        <v>0</v>
      </c>
      <c r="AW77" s="5">
        <f xml:space="preserve">
IF(Table_Main[[#This Row],[Loại]]="Nhập",Table_Main[[#This Row],[Số lượng]]*Table_Main[[#This Row],[Đơn giá nhập]],Table_Main[[#This Row],[Số lượng]]*Table_Main[[#This Row],[Giá trị bình quân đầu ngày]])</f>
        <v>0</v>
      </c>
    </row>
    <row r="78" spans="41:49" ht="18" customHeight="1" x14ac:dyDescent="0.3">
      <c r="AO78" s="37" t="s">
        <v>52</v>
      </c>
      <c r="AP78" s="30">
        <v>45746</v>
      </c>
      <c r="AQ78" s="22" t="s">
        <v>50</v>
      </c>
      <c r="AR78" s="34">
        <v>31</v>
      </c>
      <c r="AS78" s="35"/>
      <c r="AT78" s="44" cm="1">
        <f t="array" ref="AT7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66</v>
      </c>
      <c r="AU78" s="44" cm="1">
        <f t="array" ref="AU7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78" s="44">
        <f>IFERROR(Table_Main[[#This Row],[Giá trị tồn đầu ngày]]/Table_Main[[#This Row],[Tồn kho đầu ngày]],0)</f>
        <v>0</v>
      </c>
      <c r="AW78" s="5">
        <f xml:space="preserve">
IF(Table_Main[[#This Row],[Loại]]="Nhập",Table_Main[[#This Row],[Số lượng]]*Table_Main[[#This Row],[Đơn giá nhập]],Table_Main[[#This Row],[Số lượng]]*Table_Main[[#This Row],[Giá trị bình quân đầu ngày]])</f>
        <v>0</v>
      </c>
    </row>
    <row r="79" spans="41:49" ht="18" customHeight="1" x14ac:dyDescent="0.3">
      <c r="AO79" s="33" t="s">
        <v>46</v>
      </c>
      <c r="AP79" s="30">
        <v>45744</v>
      </c>
      <c r="AQ79" s="22" t="s">
        <v>47</v>
      </c>
      <c r="AR79" s="34">
        <v>6</v>
      </c>
      <c r="AS79" s="35">
        <v>147566</v>
      </c>
      <c r="AT79" s="43" cm="1">
        <f t="array" ref="AT7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165</v>
      </c>
      <c r="AU79" s="43" cm="1">
        <f t="array" ref="AU7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16618566</v>
      </c>
      <c r="AV79" s="43">
        <f>IFERROR(Table_Main[[#This Row],[Giá trị tồn đầu ngày]]/Table_Main[[#This Row],[Tồn kho đầu ngày]],0)</f>
        <v>100718.58181818182</v>
      </c>
      <c r="AW79" s="5">
        <f xml:space="preserve">
IF(Table_Main[[#This Row],[Loại]]="Nhập",Table_Main[[#This Row],[Số lượng]]*Table_Main[[#This Row],[Đơn giá nhập]],Table_Main[[#This Row],[Số lượng]]*Table_Main[[#This Row],[Giá trị bình quân đầu ngày]])</f>
        <v>885396</v>
      </c>
    </row>
    <row r="80" spans="41:49" ht="18" customHeight="1" x14ac:dyDescent="0.3">
      <c r="AO80" s="37" t="s">
        <v>51</v>
      </c>
      <c r="AP80" s="30">
        <v>45743</v>
      </c>
      <c r="AQ80" s="22" t="s">
        <v>50</v>
      </c>
      <c r="AR80" s="34">
        <v>14</v>
      </c>
      <c r="AS80" s="35"/>
      <c r="AT80" s="44" cm="1">
        <f t="array" ref="AT8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120</v>
      </c>
      <c r="AU80" s="44" cm="1">
        <f t="array" ref="AU8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0" s="44">
        <f>IFERROR(Table_Main[[#This Row],[Giá trị tồn đầu ngày]]/Table_Main[[#This Row],[Tồn kho đầu ngày]],0)</f>
        <v>0</v>
      </c>
      <c r="AW80" s="5">
        <f xml:space="preserve">
IF(Table_Main[[#This Row],[Loại]]="Nhập",Table_Main[[#This Row],[Số lượng]]*Table_Main[[#This Row],[Đơn giá nhập]],Table_Main[[#This Row],[Số lượng]]*Table_Main[[#This Row],[Giá trị bình quân đầu ngày]])</f>
        <v>0</v>
      </c>
    </row>
    <row r="81" spans="41:49" ht="18" customHeight="1" x14ac:dyDescent="0.3">
      <c r="AO81" s="37" t="s">
        <v>51</v>
      </c>
      <c r="AP81" s="30">
        <v>45742</v>
      </c>
      <c r="AQ81" s="22" t="s">
        <v>47</v>
      </c>
      <c r="AR81" s="34">
        <v>29</v>
      </c>
      <c r="AS81" s="35"/>
      <c r="AT81" s="44" cm="1">
        <f t="array" ref="AT8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91</v>
      </c>
      <c r="AU81" s="44" cm="1">
        <f t="array" ref="AU8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1" s="44">
        <f>IFERROR(Table_Main[[#This Row],[Giá trị tồn đầu ngày]]/Table_Main[[#This Row],[Tồn kho đầu ngày]],0)</f>
        <v>0</v>
      </c>
      <c r="AW81" s="5">
        <f xml:space="preserve">
IF(Table_Main[[#This Row],[Loại]]="Nhập",Table_Main[[#This Row],[Số lượng]]*Table_Main[[#This Row],[Đơn giá nhập]],Table_Main[[#This Row],[Số lượng]]*Table_Main[[#This Row],[Giá trị bình quân đầu ngày]])</f>
        <v>0</v>
      </c>
    </row>
    <row r="82" spans="41:49" ht="18" customHeight="1" x14ac:dyDescent="0.3">
      <c r="AO82" s="37" t="s">
        <v>52</v>
      </c>
      <c r="AP82" s="30">
        <v>45742</v>
      </c>
      <c r="AQ82" s="1" t="s">
        <v>47</v>
      </c>
      <c r="AR82" s="34">
        <v>38</v>
      </c>
      <c r="AS82" s="35"/>
      <c r="AT82" s="44" cm="1">
        <f t="array" ref="AT8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28</v>
      </c>
      <c r="AU82" s="44" cm="1">
        <f t="array" ref="AU8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2" s="44">
        <f>IFERROR(Table_Main[[#This Row],[Giá trị tồn đầu ngày]]/Table_Main[[#This Row],[Tồn kho đầu ngày]],0)</f>
        <v>0</v>
      </c>
      <c r="AW82" s="5">
        <f xml:space="preserve">
IF(Table_Main[[#This Row],[Loại]]="Nhập",Table_Main[[#This Row],[Số lượng]]*Table_Main[[#This Row],[Đơn giá nhập]],Table_Main[[#This Row],[Số lượng]]*Table_Main[[#This Row],[Giá trị bình quân đầu ngày]])</f>
        <v>0</v>
      </c>
    </row>
    <row r="83" spans="41:49" ht="18" customHeight="1" x14ac:dyDescent="0.3">
      <c r="AO83" s="33" t="s">
        <v>48</v>
      </c>
      <c r="AP83" s="30">
        <v>45737</v>
      </c>
      <c r="AQ83" s="22" t="s">
        <v>47</v>
      </c>
      <c r="AR83" s="34">
        <v>8</v>
      </c>
      <c r="AS83" s="35">
        <v>98784</v>
      </c>
      <c r="AT83" s="43" cm="1">
        <f t="array" ref="AT8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130</v>
      </c>
      <c r="AU83" s="43" cm="1">
        <f t="array" ref="AU8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18726654.074074075</v>
      </c>
      <c r="AV83" s="43">
        <f>IFERROR(Table_Main[[#This Row],[Giá trị tồn đầu ngày]]/Table_Main[[#This Row],[Tồn kho đầu ngày]],0)</f>
        <v>144051.1851851852</v>
      </c>
      <c r="AW83" s="5">
        <f xml:space="preserve">
IF(Table_Main[[#This Row],[Loại]]="Nhập",Table_Main[[#This Row],[Số lượng]]*Table_Main[[#This Row],[Đơn giá nhập]],Table_Main[[#This Row],[Số lượng]]*Table_Main[[#This Row],[Giá trị bình quân đầu ngày]])</f>
        <v>790272</v>
      </c>
    </row>
    <row r="84" spans="41:49" ht="18" customHeight="1" x14ac:dyDescent="0.3">
      <c r="AO84" s="37" t="s">
        <v>52</v>
      </c>
      <c r="AP84" s="30">
        <v>45735</v>
      </c>
      <c r="AQ84" s="22" t="s">
        <v>50</v>
      </c>
      <c r="AR84" s="34">
        <v>48</v>
      </c>
      <c r="AS84" s="35"/>
      <c r="AT84" s="44" cm="1">
        <f t="array" ref="AT8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76</v>
      </c>
      <c r="AU84" s="44" cm="1">
        <f t="array" ref="AU8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4" s="44">
        <f>IFERROR(Table_Main[[#This Row],[Giá trị tồn đầu ngày]]/Table_Main[[#This Row],[Tồn kho đầu ngày]],0)</f>
        <v>0</v>
      </c>
      <c r="AW84" s="5">
        <f xml:space="preserve">
IF(Table_Main[[#This Row],[Loại]]="Nhập",Table_Main[[#This Row],[Số lượng]]*Table_Main[[#This Row],[Đơn giá nhập]],Table_Main[[#This Row],[Số lượng]]*Table_Main[[#This Row],[Giá trị bình quân đầu ngày]])</f>
        <v>0</v>
      </c>
    </row>
    <row r="85" spans="41:49" ht="18" customHeight="1" x14ac:dyDescent="0.3">
      <c r="AO85" s="37" t="s">
        <v>51</v>
      </c>
      <c r="AP85" s="30">
        <v>45734</v>
      </c>
      <c r="AQ85" s="22" t="s">
        <v>47</v>
      </c>
      <c r="AR85" s="34">
        <v>23</v>
      </c>
      <c r="AS85" s="35"/>
      <c r="AT85" s="44" cm="1">
        <f t="array" ref="AT8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68</v>
      </c>
      <c r="AU85" s="44" cm="1">
        <f t="array" ref="AU8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5" s="44">
        <f>IFERROR(Table_Main[[#This Row],[Giá trị tồn đầu ngày]]/Table_Main[[#This Row],[Tồn kho đầu ngày]],0)</f>
        <v>0</v>
      </c>
      <c r="AW85" s="5">
        <f xml:space="preserve">
IF(Table_Main[[#This Row],[Loại]]="Nhập",Table_Main[[#This Row],[Số lượng]]*Table_Main[[#This Row],[Đơn giá nhập]],Table_Main[[#This Row],[Số lượng]]*Table_Main[[#This Row],[Giá trị bình quân đầu ngày]])</f>
        <v>0</v>
      </c>
    </row>
    <row r="86" spans="41:49" ht="18" customHeight="1" x14ac:dyDescent="0.3">
      <c r="AO86" s="37" t="s">
        <v>51</v>
      </c>
      <c r="AP86" s="30">
        <v>45733</v>
      </c>
      <c r="AQ86" s="22" t="s">
        <v>47</v>
      </c>
      <c r="AR86" s="34">
        <v>33</v>
      </c>
      <c r="AS86" s="35"/>
      <c r="AT86" s="44" cm="1">
        <f t="array" ref="AT8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35</v>
      </c>
      <c r="AU86" s="44" cm="1">
        <f t="array" ref="AU8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6" s="44">
        <f>IFERROR(Table_Main[[#This Row],[Giá trị tồn đầu ngày]]/Table_Main[[#This Row],[Tồn kho đầu ngày]],0)</f>
        <v>0</v>
      </c>
      <c r="AW86" s="5">
        <f xml:space="preserve">
IF(Table_Main[[#This Row],[Loại]]="Nhập",Table_Main[[#This Row],[Số lượng]]*Table_Main[[#This Row],[Đơn giá nhập]],Table_Main[[#This Row],[Số lượng]]*Table_Main[[#This Row],[Giá trị bình quân đầu ngày]])</f>
        <v>0</v>
      </c>
    </row>
    <row r="87" spans="41:49" ht="18" customHeight="1" x14ac:dyDescent="0.3">
      <c r="AO87" s="33" t="s">
        <v>48</v>
      </c>
      <c r="AP87" s="30">
        <v>45730</v>
      </c>
      <c r="AQ87" s="22" t="s">
        <v>50</v>
      </c>
      <c r="AR87" s="34">
        <v>32</v>
      </c>
      <c r="AS87" s="35"/>
      <c r="AT87" s="43" cm="1">
        <f t="array" ref="AT8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162</v>
      </c>
      <c r="AU87" s="43" cm="1">
        <f t="array" ref="AU8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23336292</v>
      </c>
      <c r="AV87" s="43">
        <f>IFERROR(Table_Main[[#This Row],[Giá trị tồn đầu ngày]]/Table_Main[[#This Row],[Tồn kho đầu ngày]],0)</f>
        <v>144051.1851851852</v>
      </c>
      <c r="AW87" s="5">
        <f xml:space="preserve">
IF(Table_Main[[#This Row],[Loại]]="Nhập",Table_Main[[#This Row],[Số lượng]]*Table_Main[[#This Row],[Đơn giá nhập]],Table_Main[[#This Row],[Số lượng]]*Table_Main[[#This Row],[Giá trị bình quân đầu ngày]])</f>
        <v>4609637.9259259263</v>
      </c>
    </row>
    <row r="88" spans="41:49" ht="18" customHeight="1" x14ac:dyDescent="0.3">
      <c r="AO88" s="33" t="s">
        <v>46</v>
      </c>
      <c r="AP88" s="30">
        <v>45730</v>
      </c>
      <c r="AQ88" s="22" t="s">
        <v>47</v>
      </c>
      <c r="AR88" s="34">
        <v>14</v>
      </c>
      <c r="AS88" s="35">
        <v>108469</v>
      </c>
      <c r="AT88" s="43" cm="1">
        <f t="array" ref="AT8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151</v>
      </c>
      <c r="AU88" s="43" cm="1">
        <f t="array" ref="AU8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15100000</v>
      </c>
      <c r="AV88" s="43">
        <f>IFERROR(Table_Main[[#This Row],[Giá trị tồn đầu ngày]]/Table_Main[[#This Row],[Tồn kho đầu ngày]],0)</f>
        <v>100000</v>
      </c>
      <c r="AW88" s="5">
        <f xml:space="preserve">
IF(Table_Main[[#This Row],[Loại]]="Nhập",Table_Main[[#This Row],[Số lượng]]*Table_Main[[#This Row],[Đơn giá nhập]],Table_Main[[#This Row],[Số lượng]]*Table_Main[[#This Row],[Giá trị bình quân đầu ngày]])</f>
        <v>1518566</v>
      </c>
    </row>
    <row r="89" spans="41:49" ht="18" customHeight="1" x14ac:dyDescent="0.3">
      <c r="AO89" s="37" t="s">
        <v>52</v>
      </c>
      <c r="AP89" s="30">
        <v>45729</v>
      </c>
      <c r="AQ89" s="1" t="s">
        <v>47</v>
      </c>
      <c r="AR89" s="34">
        <v>31</v>
      </c>
      <c r="AS89" s="35"/>
      <c r="AT89" s="44" cm="1">
        <f t="array" ref="AT89"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45</v>
      </c>
      <c r="AU89" s="44" cm="1">
        <f t="array" ref="AU89"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89" s="44">
        <f>IFERROR(Table_Main[[#This Row],[Giá trị tồn đầu ngày]]/Table_Main[[#This Row],[Tồn kho đầu ngày]],0)</f>
        <v>0</v>
      </c>
      <c r="AW89" s="5">
        <f xml:space="preserve">
IF(Table_Main[[#This Row],[Loại]]="Nhập",Table_Main[[#This Row],[Số lượng]]*Table_Main[[#This Row],[Đơn giá nhập]],Table_Main[[#This Row],[Số lượng]]*Table_Main[[#This Row],[Giá trị bình quân đầu ngày]])</f>
        <v>0</v>
      </c>
    </row>
    <row r="90" spans="41:49" ht="18" customHeight="1" x14ac:dyDescent="0.3">
      <c r="AO90" s="33" t="s">
        <v>46</v>
      </c>
      <c r="AP90" s="30">
        <v>45728</v>
      </c>
      <c r="AQ90" s="22" t="s">
        <v>50</v>
      </c>
      <c r="AR90" s="34">
        <v>49</v>
      </c>
      <c r="AS90" s="35"/>
      <c r="AT90" s="43" cm="1">
        <f t="array" ref="AT90"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200</v>
      </c>
      <c r="AU90" s="43" cm="1">
        <f t="array" ref="AU90"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20000000</v>
      </c>
      <c r="AV90" s="43">
        <f>IFERROR(Table_Main[[#This Row],[Giá trị tồn đầu ngày]]/Table_Main[[#This Row],[Tồn kho đầu ngày]],0)</f>
        <v>100000</v>
      </c>
      <c r="AW90" s="5">
        <f xml:space="preserve">
IF(Table_Main[[#This Row],[Loại]]="Nhập",Table_Main[[#This Row],[Số lượng]]*Table_Main[[#This Row],[Đơn giá nhập]],Table_Main[[#This Row],[Số lượng]]*Table_Main[[#This Row],[Giá trị bình quân đầu ngày]])</f>
        <v>4900000</v>
      </c>
    </row>
    <row r="91" spans="41:49" ht="18" customHeight="1" x14ac:dyDescent="0.3">
      <c r="AO91" s="33" t="s">
        <v>48</v>
      </c>
      <c r="AP91" s="30">
        <v>45728</v>
      </c>
      <c r="AQ91" s="22" t="s">
        <v>47</v>
      </c>
      <c r="AR91" s="34">
        <v>12</v>
      </c>
      <c r="AS91" s="35">
        <v>69691</v>
      </c>
      <c r="AT91" s="43" cm="1">
        <f t="array" ref="AT91"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150</v>
      </c>
      <c r="AU91" s="43" cm="1">
        <f t="array" ref="AU91"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22500000</v>
      </c>
      <c r="AV91" s="43">
        <f>IFERROR(Table_Main[[#This Row],[Giá trị tồn đầu ngày]]/Table_Main[[#This Row],[Tồn kho đầu ngày]],0)</f>
        <v>150000</v>
      </c>
      <c r="AW91" s="5">
        <f xml:space="preserve">
IF(Table_Main[[#This Row],[Loại]]="Nhập",Table_Main[[#This Row],[Số lượng]]*Table_Main[[#This Row],[Đơn giá nhập]],Table_Main[[#This Row],[Số lượng]]*Table_Main[[#This Row],[Giá trị bình quân đầu ngày]])</f>
        <v>836292</v>
      </c>
    </row>
    <row r="92" spans="41:49" ht="18" customHeight="1" x14ac:dyDescent="0.3">
      <c r="AO92" s="38" t="s">
        <v>51</v>
      </c>
      <c r="AP92" s="30">
        <v>45726</v>
      </c>
      <c r="AQ92" s="1" t="s">
        <v>47</v>
      </c>
      <c r="AR92" s="39">
        <v>35</v>
      </c>
      <c r="AS92" s="40"/>
      <c r="AT92" s="43" cm="1">
        <f t="array" ref="AT92"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U92" s="43" cm="1">
        <f t="array" ref="AU92"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92" s="43">
        <f>IFERROR(Table_Main[[#This Row],[Giá trị tồn đầu ngày]]/Table_Main[[#This Row],[Tồn kho đầu ngày]],0)</f>
        <v>0</v>
      </c>
      <c r="AW92" s="5">
        <f xml:space="preserve">
IF(Table_Main[[#This Row],[Loại]]="Nhập",Table_Main[[#This Row],[Số lượng]]*Table_Main[[#This Row],[Đơn giá nhập]],Table_Main[[#This Row],[Số lượng]]*Table_Main[[#This Row],[Giá trị bình quân đầu ngày]])</f>
        <v>0</v>
      </c>
    </row>
    <row r="93" spans="41:49" ht="18" customHeight="1" x14ac:dyDescent="0.3">
      <c r="AO93" s="33" t="s">
        <v>52</v>
      </c>
      <c r="AP93" s="30">
        <v>45726</v>
      </c>
      <c r="AQ93" s="1" t="s">
        <v>47</v>
      </c>
      <c r="AR93" s="34">
        <v>45</v>
      </c>
      <c r="AS93" s="35"/>
      <c r="AT93" s="43" cm="1">
        <f t="array" ref="AT93"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U93" s="43" cm="1">
        <f t="array" ref="AU93"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93" s="43">
        <f>IFERROR(Table_Main[[#This Row],[Giá trị tồn đầu ngày]]/Table_Main[[#This Row],[Tồn kho đầu ngày]],0)</f>
        <v>0</v>
      </c>
      <c r="AW93" s="5">
        <f xml:space="preserve">
IF(Table_Main[[#This Row],[Loại]]="Nhập",Table_Main[[#This Row],[Số lượng]]*Table_Main[[#This Row],[Đơn giá nhập]],Table_Main[[#This Row],[Số lượng]]*Table_Main[[#This Row],[Giá trị bình quân đầu ngày]])</f>
        <v>0</v>
      </c>
    </row>
    <row r="94" spans="41:49" ht="18" customHeight="1" x14ac:dyDescent="0.3">
      <c r="AO94" s="33" t="s">
        <v>46</v>
      </c>
      <c r="AP94" s="30">
        <v>45724</v>
      </c>
      <c r="AQ94" s="1" t="s">
        <v>50</v>
      </c>
      <c r="AR94" s="34">
        <v>100</v>
      </c>
      <c r="AS94" s="35"/>
      <c r="AT94" s="43" cm="1">
        <f t="array" ref="AT94"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300</v>
      </c>
      <c r="AU94" s="43" cm="1">
        <f t="array" ref="AU94"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30000000</v>
      </c>
      <c r="AV94" s="43">
        <f>IFERROR(Table_Main[[#This Row],[Giá trị tồn đầu ngày]]/Table_Main[[#This Row],[Tồn kho đầu ngày]],0)</f>
        <v>100000</v>
      </c>
      <c r="AW94" s="5">
        <f xml:space="preserve">
IF(Table_Main[[#This Row],[Loại]]="Nhập",Table_Main[[#This Row],[Số lượng]]*Table_Main[[#This Row],[Đơn giá nhập]],Table_Main[[#This Row],[Số lượng]]*Table_Main[[#This Row],[Giá trị bình quân đầu ngày]])</f>
        <v>10000000</v>
      </c>
    </row>
    <row r="95" spans="41:49" ht="18" customHeight="1" x14ac:dyDescent="0.3">
      <c r="AO95" s="33" t="s">
        <v>48</v>
      </c>
      <c r="AP95" s="30">
        <v>45724</v>
      </c>
      <c r="AQ95" s="22" t="s">
        <v>50</v>
      </c>
      <c r="AR95" s="34">
        <v>50</v>
      </c>
      <c r="AS95" s="35"/>
      <c r="AT95" s="43" cm="1">
        <f t="array" ref="AT95"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200</v>
      </c>
      <c r="AU95" s="43" cm="1">
        <f t="array" ref="AU95"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30000000</v>
      </c>
      <c r="AV95" s="43">
        <f>IFERROR(Table_Main[[#This Row],[Giá trị tồn đầu ngày]]/Table_Main[[#This Row],[Tồn kho đầu ngày]],0)</f>
        <v>150000</v>
      </c>
      <c r="AW95" s="5">
        <f xml:space="preserve">
IF(Table_Main[[#This Row],[Loại]]="Nhập",Table_Main[[#This Row],[Số lượng]]*Table_Main[[#This Row],[Đơn giá nhập]],Table_Main[[#This Row],[Số lượng]]*Table_Main[[#This Row],[Giá trị bình quân đầu ngày]])</f>
        <v>7500000</v>
      </c>
    </row>
    <row r="96" spans="41:49" ht="18" customHeight="1" x14ac:dyDescent="0.3">
      <c r="AO96" s="33" t="s">
        <v>48</v>
      </c>
      <c r="AP96" s="30">
        <v>45722</v>
      </c>
      <c r="AQ96" s="22" t="s">
        <v>47</v>
      </c>
      <c r="AR96" s="34">
        <v>200</v>
      </c>
      <c r="AS96" s="35">
        <v>150000</v>
      </c>
      <c r="AT96" s="43" cm="1">
        <f t="array" ref="AT96"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U96" s="43" cm="1">
        <f t="array" ref="AU96"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96" s="43">
        <f>IFERROR(Table_Main[[#This Row],[Giá trị tồn đầu ngày]]/Table_Main[[#This Row],[Tồn kho đầu ngày]],0)</f>
        <v>0</v>
      </c>
      <c r="AW96" s="5">
        <f xml:space="preserve">
IF(Table_Main[[#This Row],[Loại]]="Nhập",Table_Main[[#This Row],[Số lượng]]*Table_Main[[#This Row],[Đơn giá nhập]],Table_Main[[#This Row],[Số lượng]]*Table_Main[[#This Row],[Giá trị bình quân đầu ngày]])</f>
        <v>30000000</v>
      </c>
    </row>
    <row r="97" spans="41:49" ht="18" customHeight="1" x14ac:dyDescent="0.3">
      <c r="AO97" s="33" t="s">
        <v>49</v>
      </c>
      <c r="AP97" s="30">
        <v>45722</v>
      </c>
      <c r="AQ97" s="1" t="s">
        <v>47</v>
      </c>
      <c r="AR97" s="34">
        <v>150</v>
      </c>
      <c r="AS97" s="35">
        <v>80000</v>
      </c>
      <c r="AT97" s="43" cm="1">
        <f t="array" ref="AT97"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U97" s="43" cm="1">
        <f t="array" ref="AU97"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97" s="43">
        <f>IFERROR(Table_Main[[#This Row],[Giá trị tồn đầu ngày]]/Table_Main[[#This Row],[Tồn kho đầu ngày]],0)</f>
        <v>0</v>
      </c>
      <c r="AW97" s="5">
        <f xml:space="preserve">
IF(Table_Main[[#This Row],[Loại]]="Nhập",Table_Main[[#This Row],[Số lượng]]*Table_Main[[#This Row],[Đơn giá nhập]],Table_Main[[#This Row],[Số lượng]]*Table_Main[[#This Row],[Giá trị bình quân đầu ngày]])</f>
        <v>12000000</v>
      </c>
    </row>
    <row r="98" spans="41:49" ht="18" customHeight="1" x14ac:dyDescent="0.3">
      <c r="AO98" s="33" t="s">
        <v>46</v>
      </c>
      <c r="AP98" s="30">
        <v>45720</v>
      </c>
      <c r="AQ98" s="1" t="s">
        <v>47</v>
      </c>
      <c r="AR98" s="34">
        <v>300</v>
      </c>
      <c r="AS98" s="35">
        <v>100000</v>
      </c>
      <c r="AT98" s="43" cm="1">
        <f t="array" ref="AT98" xml:space="preserve">
IFERROR(
SUM(_xlfn._xlws.FILTER(Table_Main[Số lượng],
(Table_Main[Loại] = "Nhập")*
(Table_Main[Mặt hàng] = Table_Main[[#This Row],[Mặt hàng]])*
(Table_Main[Mặt hàng] &lt;&gt; "")*
NOT(ISBLANK(Table_Main[[#This Row],[Mặt hàng]]))*
(Table_Main[Ngày xuất nhập] &lt; Table_Main[[#This Row],[Ngày xuất nhập]])
)),0)
- IFERROR(
SUM(_xlfn._xlws.FILTER(Table_Main[Số lượng],
(Table_Main[Loại] = "Xuất")*
(Table_Main[Mặt hàng] = Table_Main[[#This Row],[Mặt hàng]])*
(Table_Main[Mặt hàng] &lt;&gt; "")*
NOT(ISBLANK(Table_Main[[#This Row],[Mặt hàng]]))*
(Table_Main[Ngày xuất nhập] &lt; Table_Main[[#This Row],[Ngày xuất nhập]])
)),0)</f>
        <v>0</v>
      </c>
      <c r="AU98" s="43" cm="1">
        <f t="array" ref="AU98" xml:space="preserve">
IFERROR(
SUM(_xlfn._xlws.FILTER(Table_Main[Giá trị hàng nhập],
(Table_Main[Loại] = "Nhập")*
(Table_Main[Mặt hàng] = Table_Main[[#This Row],[Mặt hàng]])*
(Table_Main[Mặt hàng] &lt;&gt; "")*
NOT(ISBLANK(Table_Main[[#This Row],[Mặt hàng]]))*
(Table_Main[Ngày xuất nhập] &lt;Table_Main[[#This Row],[Ngày xuất nhập]])
)),0)
- IFERROR(
SUM(_xlfn._xlws.FILTER(Table_Main[Giá trị hàng nhập],
(Table_Main[Loại] = "Xuất")*
(Table_Main[Mặt hàng] = Table_Main[[#This Row],[Mặt hàng]])*
(Table_Main[Mặt hàng] &lt;&gt; "")*
NOT(ISBLANK(Table_Main[[#This Row],[Mặt hàng]]))*
(Table_Main[Ngày xuất nhập] &lt;Table_Main[[#This Row],[Ngày xuất nhập]])
)),0)</f>
        <v>0</v>
      </c>
      <c r="AV98" s="43">
        <f>IFERROR(Table_Main[[#This Row],[Giá trị tồn đầu ngày]]/Table_Main[[#This Row],[Tồn kho đầu ngày]],0)</f>
        <v>0</v>
      </c>
      <c r="AW98" s="5">
        <f xml:space="preserve">
IF(Table_Main[[#This Row],[Loại]]="Nhập",Table_Main[[#This Row],[Số lượng]]*Table_Main[[#This Row],[Đơn giá nhập]],Table_Main[[#This Row],[Số lượng]]*Table_Main[[#This Row],[Giá trị bình quân đầu ngày]])</f>
        <v>30000000</v>
      </c>
    </row>
  </sheetData>
  <sheetProtection algorithmName="SHA-512" hashValue="GSxC0lFuZcU1EqdoWinitL+0KKtbFayeEtEKuYRM2d+xmfI91S7fF2NoLPLC/oW3Xu9M6LWaMhJJkBG3ZzrJJw==" saltValue="w6Caeomg4uAB5jsPiO7dBA==" spinCount="100000" sheet="1" scenarios="1" formatColumns="0" formatRows="0" autoFilter="0" pivotTables="0"/>
  <protectedRanges>
    <protectedRange sqref="AT69:AW73 AT92:AW96 AO69:AO98 AP22:AS68" name="Range1"/>
    <protectedRange sqref="AW22:AW68" name="Range1_3"/>
    <protectedRange sqref="AP69:AP73 AP92:AP96" name="Range1_5"/>
    <protectedRange sqref="AQ92:AQ98 AQ89 AQ82 AQ69:AQ75" name="Range1_7"/>
    <protectedRange sqref="AR69:AR73 AR92:AR96" name="Range1_8"/>
    <protectedRange sqref="AT22:AV68" name="Range1_10"/>
    <protectedRange sqref="AO22:AO68" name="Range1_1_1"/>
  </protectedRanges>
  <phoneticPr fontId="6" type="noConversion"/>
  <dataValidations disablePrompts="1" count="1">
    <dataValidation type="list" allowBlank="1" showInputMessage="1" showErrorMessage="1" sqref="AQ23:AQ98" xr:uid="{4274B77D-3573-4003-B01A-ECACB3DEC570}">
      <formula1>"Nhập, Xuất"</formula1>
    </dataValidation>
  </dataValidations>
  <pageMargins left="0.7" right="0.7" top="0.75" bottom="0.75"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59399" r:id="rId7" name="Option Button 7">
              <controlPr defaultSize="0" autoFill="0" autoLine="0" autoPict="0" macro="[0]!DoiDonViHienThi">
                <anchor moveWithCells="1">
                  <from>
                    <xdr:col>27</xdr:col>
                    <xdr:colOff>57150</xdr:colOff>
                    <xdr:row>0</xdr:row>
                    <xdr:rowOff>142875</xdr:rowOff>
                  </from>
                  <to>
                    <xdr:col>27</xdr:col>
                    <xdr:colOff>647700</xdr:colOff>
                    <xdr:row>1</xdr:row>
                    <xdr:rowOff>190500</xdr:rowOff>
                  </to>
                </anchor>
              </controlPr>
            </control>
          </mc:Choice>
        </mc:AlternateContent>
        <mc:AlternateContent xmlns:mc="http://schemas.openxmlformats.org/markup-compatibility/2006">
          <mc:Choice Requires="x14">
            <control shapeId="59400" r:id="rId8" name="Option Button 8">
              <controlPr defaultSize="0" autoFill="0" autoLine="0" autoPict="0" macro="[0]!DoiDonViHienThi">
                <anchor moveWithCells="1">
                  <from>
                    <xdr:col>27</xdr:col>
                    <xdr:colOff>523875</xdr:colOff>
                    <xdr:row>0</xdr:row>
                    <xdr:rowOff>142875</xdr:rowOff>
                  </from>
                  <to>
                    <xdr:col>28</xdr:col>
                    <xdr:colOff>428625</xdr:colOff>
                    <xdr:row>1</xdr:row>
                    <xdr:rowOff>190500</xdr:rowOff>
                  </to>
                </anchor>
              </controlPr>
            </control>
          </mc:Choice>
        </mc:AlternateContent>
        <mc:AlternateContent xmlns:mc="http://schemas.openxmlformats.org/markup-compatibility/2006">
          <mc:Choice Requires="x14">
            <control shapeId="59401" r:id="rId9" name="Option Button 9">
              <controlPr defaultSize="0" autoFill="0" autoLine="0" autoPict="0" macro="[0]!DoiDonViHienThi">
                <anchor moveWithCells="1">
                  <from>
                    <xdr:col>28</xdr:col>
                    <xdr:colOff>304800</xdr:colOff>
                    <xdr:row>0</xdr:row>
                    <xdr:rowOff>142875</xdr:rowOff>
                  </from>
                  <to>
                    <xdr:col>29</xdr:col>
                    <xdr:colOff>171450</xdr:colOff>
                    <xdr:row>1</xdr:row>
                    <xdr:rowOff>190500</xdr:rowOff>
                  </to>
                </anchor>
              </controlPr>
            </control>
          </mc:Choice>
        </mc:AlternateContent>
        <mc:AlternateContent xmlns:mc="http://schemas.openxmlformats.org/markup-compatibility/2006">
          <mc:Choice Requires="x14">
            <control shapeId="59402" r:id="rId10" name="Option Button 10">
              <controlPr defaultSize="0" autoFill="0" autoLine="0" autoPict="0" macro="[0]!DoiDonViHienThi">
                <anchor moveWithCells="1">
                  <from>
                    <xdr:col>29</xdr:col>
                    <xdr:colOff>57150</xdr:colOff>
                    <xdr:row>0</xdr:row>
                    <xdr:rowOff>142875</xdr:rowOff>
                  </from>
                  <to>
                    <xdr:col>29</xdr:col>
                    <xdr:colOff>409575</xdr:colOff>
                    <xdr:row>1</xdr:row>
                    <xdr:rowOff>190500</xdr:rowOff>
                  </to>
                </anchor>
              </controlPr>
            </control>
          </mc:Choice>
        </mc:AlternateContent>
        <mc:AlternateContent xmlns:mc="http://schemas.openxmlformats.org/markup-compatibility/2006">
          <mc:Choice Requires="x14">
            <control shapeId="59403" r:id="rId11" name="Group Box 11">
              <controlPr defaultSize="0" autoFill="0" autoPict="0">
                <anchor moveWithCells="1">
                  <from>
                    <xdr:col>26</xdr:col>
                    <xdr:colOff>609600</xdr:colOff>
                    <xdr:row>0</xdr:row>
                    <xdr:rowOff>95250</xdr:rowOff>
                  </from>
                  <to>
                    <xdr:col>29</xdr:col>
                    <xdr:colOff>523875</xdr:colOff>
                    <xdr:row>2</xdr:row>
                    <xdr:rowOff>0</xdr:rowOff>
                  </to>
                </anchor>
              </controlPr>
            </control>
          </mc:Choice>
        </mc:AlternateContent>
        <mc:AlternateContent xmlns:mc="http://schemas.openxmlformats.org/markup-compatibility/2006">
          <mc:Choice Requires="x14">
            <control shapeId="59404" r:id="rId12" name="Group Box 12">
              <controlPr defaultSize="0" autoFill="0" autoPict="0">
                <anchor moveWithCells="1">
                  <from>
                    <xdr:col>24</xdr:col>
                    <xdr:colOff>76200</xdr:colOff>
                    <xdr:row>0</xdr:row>
                    <xdr:rowOff>95250</xdr:rowOff>
                  </from>
                  <to>
                    <xdr:col>26</xdr:col>
                    <xdr:colOff>561975</xdr:colOff>
                    <xdr:row>2</xdr:row>
                    <xdr:rowOff>0</xdr:rowOff>
                  </to>
                </anchor>
              </controlPr>
            </control>
          </mc:Choice>
        </mc:AlternateContent>
        <mc:AlternateContent xmlns:mc="http://schemas.openxmlformats.org/markup-compatibility/2006">
          <mc:Choice Requires="x14">
            <control shapeId="59405" r:id="rId13" name="Button 13">
              <controlPr defaultSize="0" autoFill="0" autoPict="0" macro="[0]!NhanNghin">
                <anchor moveWithCells="1">
                  <from>
                    <xdr:col>24</xdr:col>
                    <xdr:colOff>161925</xdr:colOff>
                    <xdr:row>0</xdr:row>
                    <xdr:rowOff>190500</xdr:rowOff>
                  </from>
                  <to>
                    <xdr:col>24</xdr:col>
                    <xdr:colOff>628650</xdr:colOff>
                    <xdr:row>1</xdr:row>
                    <xdr:rowOff>133350</xdr:rowOff>
                  </to>
                </anchor>
              </controlPr>
            </control>
          </mc:Choice>
        </mc:AlternateContent>
        <mc:AlternateContent xmlns:mc="http://schemas.openxmlformats.org/markup-compatibility/2006">
          <mc:Choice Requires="x14">
            <control shapeId="59406" r:id="rId14" name="Button 14">
              <controlPr defaultSize="0" autoFill="0" autoPict="0" macro="[0]!NhanTrieu">
                <anchor moveWithCells="1">
                  <from>
                    <xdr:col>25</xdr:col>
                    <xdr:colOff>9525</xdr:colOff>
                    <xdr:row>0</xdr:row>
                    <xdr:rowOff>190500</xdr:rowOff>
                  </from>
                  <to>
                    <xdr:col>25</xdr:col>
                    <xdr:colOff>476250</xdr:colOff>
                    <xdr:row>1</xdr:row>
                    <xdr:rowOff>133350</xdr:rowOff>
                  </to>
                </anchor>
              </controlPr>
            </control>
          </mc:Choice>
        </mc:AlternateContent>
        <mc:AlternateContent xmlns:mc="http://schemas.openxmlformats.org/markup-compatibility/2006">
          <mc:Choice Requires="x14">
            <control shapeId="59407" r:id="rId15" name="Button 15">
              <controlPr defaultSize="0" autoFill="0" autoPict="0" macro="[0]!NhanTy">
                <anchor moveWithCells="1">
                  <from>
                    <xdr:col>26</xdr:col>
                    <xdr:colOff>19050</xdr:colOff>
                    <xdr:row>0</xdr:row>
                    <xdr:rowOff>190500</xdr:rowOff>
                  </from>
                  <to>
                    <xdr:col>26</xdr:col>
                    <xdr:colOff>485775</xdr:colOff>
                    <xdr:row>1</xdr:row>
                    <xdr:rowOff>133350</xdr:rowOff>
                  </to>
                </anchor>
              </controlPr>
            </control>
          </mc:Choice>
        </mc:AlternateContent>
        <mc:AlternateContent xmlns:mc="http://schemas.openxmlformats.org/markup-compatibility/2006">
          <mc:Choice Requires="x14">
            <control shapeId="59408" r:id="rId16" name="Button 16">
              <controlPr defaultSize="0" print="0" autoFill="0" autoPict="0" macro="[0]!AddRow">
                <anchor moveWithCells="1">
                  <from>
                    <xdr:col>30</xdr:col>
                    <xdr:colOff>85725</xdr:colOff>
                    <xdr:row>0</xdr:row>
                    <xdr:rowOff>104775</xdr:rowOff>
                  </from>
                  <to>
                    <xdr:col>30</xdr:col>
                    <xdr:colOff>561975</xdr:colOff>
                    <xdr:row>1</xdr:row>
                    <xdr:rowOff>133350</xdr:rowOff>
                  </to>
                </anchor>
              </controlPr>
            </control>
          </mc:Choice>
        </mc:AlternateContent>
        <mc:AlternateContent xmlns:mc="http://schemas.openxmlformats.org/markup-compatibility/2006">
          <mc:Choice Requires="x14">
            <control shapeId="59409" r:id="rId17" name="Button 17">
              <controlPr defaultSize="0" print="0" autoFill="0" autoPict="0" macro="[0]!DeleteRow">
                <anchor moveWithCells="1">
                  <from>
                    <xdr:col>30</xdr:col>
                    <xdr:colOff>600075</xdr:colOff>
                    <xdr:row>0</xdr:row>
                    <xdr:rowOff>104775</xdr:rowOff>
                  </from>
                  <to>
                    <xdr:col>31</xdr:col>
                    <xdr:colOff>390525</xdr:colOff>
                    <xdr:row>1</xdr:row>
                    <xdr:rowOff>133350</xdr:rowOff>
                  </to>
                </anchor>
              </controlPr>
            </control>
          </mc:Choice>
        </mc:AlternateContent>
        <mc:AlternateContent xmlns:mc="http://schemas.openxmlformats.org/markup-compatibility/2006">
          <mc:Choice Requires="x14">
            <control shapeId="59413" r:id="rId18" name="Button 21">
              <controlPr defaultSize="0" print="0" autoFill="0" autoPict="0" macro="[0]!RefreshTables">
                <anchor moveWithCells="1">
                  <from>
                    <xdr:col>36</xdr:col>
                    <xdr:colOff>219075</xdr:colOff>
                    <xdr:row>0</xdr:row>
                    <xdr:rowOff>114300</xdr:rowOff>
                  </from>
                  <to>
                    <xdr:col>36</xdr:col>
                    <xdr:colOff>809625</xdr:colOff>
                    <xdr:row>1</xdr:row>
                    <xdr:rowOff>142875</xdr:rowOff>
                  </to>
                </anchor>
              </controlPr>
            </control>
          </mc:Choice>
        </mc:AlternateContent>
      </controls>
    </mc:Choice>
  </mc:AlternateContent>
  <tableParts count="2">
    <tablePart r:id="rId19"/>
    <tablePart r:id="rId20"/>
  </tableParts>
  <extLst>
    <ext xmlns:x14="http://schemas.microsoft.com/office/spreadsheetml/2009/9/main" uri="{78C0D931-6437-407d-A8EE-F0AAD7539E65}">
      <x14:conditionalFormattings>
        <x14:conditionalFormatting xmlns:xm="http://schemas.microsoft.com/office/excel/2006/main">
          <x14:cfRule type="expression" priority="7" id="{32D3BEA5-FFBB-4C2B-AF50-AB69C29144D2}">
            <xm:f>Security!$A$1="NO VBA"</xm:f>
            <x14:dxf>
              <font>
                <color theme="0"/>
              </font>
              <border>
                <vertical/>
                <horizontal/>
              </border>
            </x14:dxf>
          </x14:cfRule>
          <xm:sqref>AP83:AQ84 AT83:AW84 AN1:AO21 AS99:AW1048576 AO69:AO1048576 AP85:AW98 AX23:XFD1048576 AE24:AN1048576 AP23:AW82 X1:AC1048576 AD1:AM20 AD22:AN23 AD21:AL21 AP1:XFD22</xm:sqref>
        </x14:conditionalFormatting>
        <x14:conditionalFormatting xmlns:xm="http://schemas.microsoft.com/office/excel/2006/main">
          <x14:cfRule type="expression" priority="3" id="{DF5088B0-85FC-4332-B480-2953E88B416D}">
            <xm:f>Security!$A$1="NO VBA"</xm:f>
            <x14:dxf>
              <font>
                <color theme="0"/>
              </font>
              <border>
                <vertical/>
                <horizontal/>
              </border>
            </x14:dxf>
          </x14:cfRule>
          <xm:sqref>H1:R1048576</xm:sqref>
        </x14:conditionalFormatting>
        <x14:conditionalFormatting xmlns:xm="http://schemas.microsoft.com/office/excel/2006/main">
          <x14:cfRule type="expression" priority="2" id="{1ECBEFD0-768D-47F4-A056-C2C10641BFBE}">
            <xm:f>Security!$A$1="NO VBA"</xm:f>
            <x14:dxf>
              <font>
                <color theme="0"/>
              </font>
              <border>
                <vertical/>
                <horizontal/>
              </border>
            </x14:dxf>
          </x14:cfRule>
          <xm:sqref>U1:U1048576</xm:sqref>
        </x14:conditionalFormatting>
        <x14:conditionalFormatting xmlns:xm="http://schemas.microsoft.com/office/excel/2006/main">
          <x14:cfRule type="expression" priority="1" id="{7D3F6211-BE85-4D19-B2DB-6534FBE22CD8}">
            <xm:f>Security!$A$1="NO VBA"</xm:f>
            <x14:dxf>
              <font>
                <color theme="0"/>
              </font>
              <border>
                <vertical/>
                <horizontal/>
              </border>
            </x14:dxf>
          </x14:cfRule>
          <xm:sqref>A1:A1048576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item1.xml>��   
</file>

<file path=customXml/item2.xml>��   
</file>

<file path=customXml/item3.xml>�� � � � �  l �� � � � � �  t �n   � � � � � � � � � �  l �� � � � � �  t �n   � � � � � � 
</file>

<file path=customXml/item4.xml>�� �  � � � � � �  x u � � �  c u �i   k � � � �  � � � � � �  x u � � �  c u �i   k � � � 
</file>

<file path=customXml/item5.xml>��   
</file>

<file path=customXml/item6.xml>�� �� �i   t �� � �� �t   � � �  l � � �  l �� �  t � � �� �i   t �� � �� �t   � � �  l � � �  l �� �  t � � 
</file>

<file path=customXml/item7.xml>�� � � � � 
</file>

<file path=customXml/item8.xml>�� �c   n  �c   n  
</file>

<file path=customXml/item9.xml>�� � � � i � �  d � i �m   s �  d � �� �  l � � � � � �n   c � � � � � �  l � � � � �p     �  �  �  �  l ��  �  � � � � � �  l �� � � � � �  t �n   � � � � � �  � � � � � �  x u � � �  c u �i   k � 
</file>

<file path=customXml/item10.xml>��   
</file>

<file path=customXml/item11.xml>��   
</file>

<file path=customXml/item12.xml>�� 
</file>

<file path=customXml/item13.xml>�� 
</file>

<file path=customXml/item14.xml>��   
</file>

<file path=customXml/item15.xml>�� 
</file>

<file path=customXml/item16.xml>�� �n   �u   t � �n   �u   t � �  �u   t � �i   h � �  �  �u   t � �   � �n   �u   t � �n   �u   t � �  �u   t � �i   h � �  �  �u   t � �   � 
</file>

<file path=customXml/item17.xml>��   
</file>

<file path=customXml/item18.xml>�� � � � �� �  l � � � � i �m   s �  d � � �n   c � � �p    � � � � i � �  d �  �  �  �  �  l ��  �  � �  l � � � � � � �� �  l � � � � i �m   s �  d � � �n   c � � �p    � � � � i � �  d �  �  �  �  �  l ��  �  � �  l � � � 
</file>

<file path=customXml/item19.xml>��   
</file>

<file path=customXml/item20.xml>�� �  p h � �c   n  � �� � � �  p h � �c   n  � �� � � 
</file>

<file path=customXml/item21.xml>��   
</file>

<file path=customXml/item22.xml>��   
</file>

<file path=customXml/item23.xml>�� � � �n   v � �  s u � �  l � � � � �n   v � �  s u � �  l � � 
</file>

<file path=customXml/item24.xml>�� �  �  
</file>

<file path=customXml/itemProps1.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2.xml><?xml version="1.0" encoding="utf-8"?>
<ds:datastoreItem xmlns:ds="http://schemas.openxmlformats.org/officeDocument/2006/customXml" ds:itemID="{339EBD31-34FE-48FA-B11C-5697D02F64AC}">
  <ds:schemaRefs/>
</ds:datastoreItem>
</file>

<file path=customXml/itemProps3.xml><?xml version="1.0" encoding="utf-8"?>
<ds:datastoreItem xmlns:ds="http://schemas.openxmlformats.org/officeDocument/2006/customXml" ds:itemID="{F5ADC031-157E-4378-875D-8E8E1222ACB2}">
  <ds:schemaRefs/>
</ds:datastoreItem>
</file>

<file path=customXml/itemProps4.xml><?xml version="1.0" encoding="utf-8"?>
<ds:datastoreItem xmlns:ds="http://schemas.openxmlformats.org/officeDocument/2006/customXml" ds:itemID="{B51F78E4-22A0-4BA3-B9EA-89E931139611}">
  <ds:schemaRefs/>
</ds:datastoreItem>
</file>

<file path=customXml/itemProps5.xml><?xml version="1.0" encoding="utf-8"?>
<ds:datastoreItem xmlns:ds="http://schemas.openxmlformats.org/officeDocument/2006/customXml" ds:itemID="{104A6CAF-8CC0-4F12-8051-31E2340CC4C2}">
  <ds:schemaRefs/>
</ds:datastoreItem>
</file>

<file path=customXml/itemProps6.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7.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8.xml><?xml version="1.0" encoding="utf-8"?>
<ds:datastoreItem xmlns:ds="http://schemas.openxmlformats.org/officeDocument/2006/customXml" ds:itemID="{A6D0F6C4-9EB7-4062-86F8-715E8F5BF469}">
  <ds:schemaRefs/>
</ds:datastoreItem>
</file>

<file path=customXml/itemProps9.xml><?xml version="1.0" encoding="utf-8"?>
<ds:datastoreItem xmlns:ds="http://schemas.openxmlformats.org/officeDocument/2006/customXml" ds:itemID="{7AA71707-566C-42B7-B334-F9E063599338}">
  <ds:schemaRefs/>
</ds:datastoreItem>
</file>

<file path=customXml/itemProps10.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11.xml><?xml version="1.0" encoding="utf-8"?>
<ds:datastoreItem xmlns:ds="http://schemas.openxmlformats.org/officeDocument/2006/customXml" ds:itemID="{0B9C3544-1C46-45A4-BEB6-1CE4D6559900}">
  <ds:schemaRefs/>
</ds:datastoreItem>
</file>

<file path=customXml/itemProps12.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13.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14.xml><?xml version="1.0" encoding="utf-8"?>
<ds:datastoreItem xmlns:ds="http://schemas.openxmlformats.org/officeDocument/2006/customXml" ds:itemID="{A849B9D7-188B-48DA-AB5B-54583621621D}">
  <ds:schemaRefs/>
</ds:datastoreItem>
</file>

<file path=customXml/itemProps15.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16.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17.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18.xml><?xml version="1.0" encoding="utf-8"?>
<ds:datastoreItem xmlns:ds="http://schemas.openxmlformats.org/officeDocument/2006/customXml" ds:itemID="{CCFAB5FF-26AB-4CB9-BA2C-5A121007B041}">
  <ds:schemaRefs/>
</ds:datastoreItem>
</file>

<file path=customXml/itemProps19.xml><?xml version="1.0" encoding="utf-8"?>
<ds:datastoreItem xmlns:ds="http://schemas.openxmlformats.org/officeDocument/2006/customXml" ds:itemID="{4BA9E5F1-90AC-490B-B178-7C8B339E1A47}">
  <ds:schemaRefs/>
</ds:datastoreItem>
</file>

<file path=customXml/itemProps20.xml><?xml version="1.0" encoding="utf-8"?>
<ds:datastoreItem xmlns:ds="http://schemas.openxmlformats.org/officeDocument/2006/customXml" ds:itemID="{7D64D66F-1898-49BE-A788-6FA781CEE8F3}">
  <ds:schemaRefs/>
</ds:datastoreItem>
</file>

<file path=customXml/itemProps21.xml><?xml version="1.0" encoding="utf-8"?>
<ds:datastoreItem xmlns:ds="http://schemas.openxmlformats.org/officeDocument/2006/customXml" ds:itemID="{15A5E9E7-8554-4C17-8FCE-88C5899190B5}">
  <ds:schemaRefs/>
</ds:datastoreItem>
</file>

<file path=customXml/itemProps22.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23.xml><?xml version="1.0" encoding="utf-8"?>
<ds:datastoreItem xmlns:ds="http://schemas.openxmlformats.org/officeDocument/2006/customXml" ds:itemID="{19BA8129-97AB-4694-BBC1-89CB3D2043B0}">
  <ds:schemaRefs/>
</ds:datastoreItem>
</file>

<file path=customXml/itemProps24.xml><?xml version="1.0" encoding="utf-8"?>
<ds:datastoreItem xmlns:ds="http://schemas.openxmlformats.org/officeDocument/2006/customXml" ds:itemID="{78A37B94-33CC-4B68-8B4E-D0CE59CB8695}">
  <ds:schemaRefs>
    <ds:schemaRef ds:uri="http://gemini/pivotcustomization/TableXML_Ref_Period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EULA</vt:lpstr>
      <vt:lpstr>Phân bổ giá vốn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2025-06-03T09:45:23Z</dcterms:modified>
  <cp:category/>
  <cp:contentStatus/>
</cp:coreProperties>
</file>