
<file path=[Content_Types].xml><?xml version="1.0" encoding="utf-8"?>
<Types xmlns="http://schemas.openxmlformats.org/package/2006/content-types">
  <Default Extension="bin" ContentType="application/vnd.openxmlformats-officedocument.spreadsheetml.printerSettings"/>
  <Default Extension="png" ContentType="image/png"/>
  <Default Extension="rels" ContentType="application/vnd.openxmlformats-package.relationships+xml"/>
  <Default Extension="vml" ContentType="application/vnd.openxmlformats-officedocument.vmlDrawing"/>
  <Default Extension="xml" ContentType="application/xml"/>
  <Override PartName="/xl/workbook.xml" ContentType="application/vnd.ms-excel.sheet.macroEnabled.main+xml"/>
  <Override PartName="/xl/worksheets/sheet1.xml" ContentType="application/vnd.openxmlformats-officedocument.spreadsheetml.worksheet+xml"/>
  <Override PartName="/xl/worksheets/sheet2.xml" ContentType="application/vnd.openxmlformats-officedocument.spreadsheetml.worksheet+xml"/>
  <Override PartName="/xl/worksheets/sheet3.xml" ContentType="application/vnd.openxmlformats-officedocument.spreadsheetml.worksheet+xml"/>
  <Override PartName="/xl/pivotCache/pivotCacheDefinition1.xml" ContentType="application/vnd.openxmlformats-officedocument.spreadsheetml.pivotCacheDefinition+xml"/>
  <Override PartName="/xl/pivotCache/pivotCacheRecords1.xml" ContentType="application/vnd.openxmlformats-officedocument.spreadsheetml.pivotCacheRecords+xml"/>
  <Override PartName="/xl/theme/theme1.xml" ContentType="application/vnd.openxmlformats-officedocument.theme+xml"/>
  <Override PartName="/xl/connections.xml" ContentType="application/vnd.openxmlformats-officedocument.spreadsheetml.connections+xml"/>
  <Override PartName="/xl/styles.xml" ContentType="application/vnd.openxmlformats-officedocument.spreadsheetml.styles+xml"/>
  <Override PartName="/xl/sharedStrings.xml" ContentType="application/vnd.openxmlformats-officedocument.spreadsheetml.sharedStrings+xml"/>
  <Override PartName="/xl/metadata.xml" ContentType="application/vnd.openxmlformats-officedocument.spreadsheetml.sheetMetadata+xml"/>
  <Override PartName="/xl/drawings/drawing1.xml" ContentType="application/vnd.openxmlformats-officedocument.drawing+xml"/>
  <Override PartName="/xl/ctrlProps/ctrlProp1.xml" ContentType="application/vnd.ms-excel.controlproperties+xml"/>
  <Override PartName="/xl/pivotTables/pivotTable1.xml" ContentType="application/vnd.openxmlformats-officedocument.spreadsheetml.pivotTable+xml"/>
  <Override PartName="/xl/pivotTables/pivotTable2.xml" ContentType="application/vnd.openxmlformats-officedocument.spreadsheetml.pivotTable+xml"/>
  <Override PartName="/xl/drawings/drawing2.xml" ContentType="application/vnd.openxmlformats-officedocument.drawing+xml"/>
  <Override PartName="/xl/ctrlProps/ctrlProp2.xml" ContentType="application/vnd.ms-excel.controlproperties+xml"/>
  <Override PartName="/xl/ctrlProps/ctrlProp3.xml" ContentType="application/vnd.ms-excel.controlproperties+xml"/>
  <Override PartName="/xl/ctrlProps/ctrlProp4.xml" ContentType="application/vnd.ms-excel.controlproperties+xml"/>
  <Override PartName="/xl/ctrlProps/ctrlProp5.xml" ContentType="application/vnd.ms-excel.controlproperties+xml"/>
  <Override PartName="/xl/ctrlProps/ctrlProp6.xml" ContentType="application/vnd.ms-excel.controlproperties+xml"/>
  <Override PartName="/xl/ctrlProps/ctrlProp7.xml" ContentType="application/vnd.ms-excel.controlproperties+xml"/>
  <Override PartName="/xl/ctrlProps/ctrlProp8.xml" ContentType="application/vnd.ms-excel.controlproperties+xml"/>
  <Override PartName="/xl/ctrlProps/ctrlProp9.xml" ContentType="application/vnd.ms-excel.controlproperties+xml"/>
  <Override PartName="/xl/ctrlProps/ctrlProp10.xml" ContentType="application/vnd.ms-excel.controlproperties+xml"/>
  <Override PartName="/xl/ctrlProps/ctrlProp11.xml" ContentType="application/vnd.ms-excel.controlproperties+xml"/>
  <Override PartName="/xl/ctrlProps/ctrlProp12.xml" ContentType="application/vnd.ms-excel.controlproperties+xml"/>
  <Override PartName="/xl/ctrlProps/ctrlProp13.xml" ContentType="application/vnd.ms-excel.controlproperties+xml"/>
  <Override PartName="/xl/tables/table1.xml" ContentType="application/vnd.openxmlformats-officedocument.spreadsheetml.table+xml"/>
  <Override PartName="/xl/tables/table2.xml" ContentType="application/vnd.openxmlformats-officedocument.spreadsheetml.table+xml"/>
  <Override PartName="/xl/tables/table3.xml" ContentType="application/vnd.openxmlformats-officedocument.spreadsheetml.table+xml"/>
  <Override PartName="/xl/tables/table4.xml" ContentType="application/vnd.openxmlformats-officedocument.spreadsheetml.table+xml"/>
  <Override PartName="/xl/charts/chart1.xml" ContentType="application/vnd.openxmlformats-officedocument.drawingml.chart+xml"/>
  <Override PartName="/xl/charts/style1.xml" ContentType="application/vnd.ms-office.chartstyle+xml"/>
  <Override PartName="/xl/charts/colors1.xml" ContentType="application/vnd.ms-office.chartcolorstyle+xml"/>
  <Override PartName="/xl/charts/chart2.xml" ContentType="application/vnd.openxmlformats-officedocument.drawingml.chart+xml"/>
  <Override PartName="/xl/charts/style2.xml" ContentType="application/vnd.ms-office.chartstyle+xml"/>
  <Override PartName="/xl/charts/colors2.xml" ContentType="application/vnd.ms-office.chartcolorstyle+xml"/>
  <Override PartName="/xl/calcChain.xml" ContentType="application/vnd.openxmlformats-officedocument.spreadsheetml.calcChain+xml"/>
  <Override PartName="/customXml/itemProps1.xml" ContentType="application/vnd.openxmlformats-officedocument.customXmlProperties+xml"/>
  <Override PartName="/customXml/itemProps2.xml" ContentType="application/vnd.openxmlformats-officedocument.customXmlProperties+xml"/>
  <Override PartName="/customXml/itemProps3.xml" ContentType="application/vnd.openxmlformats-officedocument.customXmlProperties+xml"/>
  <Override PartName="/customXml/itemProps4.xml" ContentType="application/vnd.openxmlformats-officedocument.customXmlProperties+xml"/>
  <Override PartName="/customXml/itemProps5.xml" ContentType="application/vnd.openxmlformats-officedocument.customXmlProperties+xml"/>
  <Override PartName="/customXml/itemProps6.xml" ContentType="application/vnd.openxmlformats-officedocument.customXmlProperties+xml"/>
  <Override PartName="/customXml/itemProps7.xml" ContentType="application/vnd.openxmlformats-officedocument.customXmlProperties+xml"/>
  <Override PartName="/customXml/itemProps8.xml" ContentType="application/vnd.openxmlformats-officedocument.customXmlProperties+xml"/>
  <Override PartName="/customXml/itemProps9.xml" ContentType="application/vnd.openxmlformats-officedocument.customXmlProperties+xml"/>
  <Override PartName="/customXml/itemProps10.xml" ContentType="application/vnd.openxmlformats-officedocument.customXmlProperties+xml"/>
  <Override PartName="/customXml/itemProps11.xml" ContentType="application/vnd.openxmlformats-officedocument.customXmlProperties+xml"/>
  <Override PartName="/customXml/itemProps12.xml" ContentType="application/vnd.openxmlformats-officedocument.customXmlProperties+xml"/>
  <Override PartName="/customXml/itemProps13.xml" ContentType="application/vnd.openxmlformats-officedocument.customXmlProperties+xml"/>
  <Override PartName="/customXml/itemProps14.xml" ContentType="application/vnd.openxmlformats-officedocument.customXmlProperties+xml"/>
  <Override PartName="/customXml/itemProps15.xml" ContentType="application/vnd.openxmlformats-officedocument.customXmlProperties+xml"/>
  <Override PartName="/customXml/itemProps16.xml" ContentType="application/vnd.openxmlformats-officedocument.customXmlProperties+xml"/>
  <Override PartName="/customXml/itemProps17.xml" ContentType="application/vnd.openxmlformats-officedocument.customXmlProperties+xml"/>
  <Override PartName="/customXml/itemProps18.xml" ContentType="application/vnd.openxmlformats-officedocument.customXmlProperties+xml"/>
  <Override PartName="/customXml/itemProps19.xml" ContentType="application/vnd.openxmlformats-officedocument.customXmlProperties+xml"/>
  <Override PartName="/customXml/itemProps20.xml" ContentType="application/vnd.openxmlformats-officedocument.customXmlProperties+xml"/>
  <Override PartName="/customXml/itemProps21.xml" ContentType="application/vnd.openxmlformats-officedocument.customXmlProperties+xml"/>
  <Override PartName="/customXml/itemProps22.xml" ContentType="application/vnd.openxmlformats-officedocument.customXmlProperties+xml"/>
  <Override PartName="/customXml/itemProps23.xml" ContentType="application/vnd.openxmlformats-officedocument.customXmlProperties+xml"/>
  <Override PartName="/xl/vbaProject.bin" ContentType="application/vnd.ms-office.vbaProject"/>
  <Override PartName="/xl/webextensions/taskpanes.xml" ContentType="application/vnd.ms-office.webextensiontaskpanes+xml"/>
  <Override PartName="/xl/webextensions/webextension1.xml" ContentType="application/vnd.ms-office.webextension+xml"/>
  <Override PartName="/docProps/core.xml" ContentType="application/vnd.openxmlformats-package.core-properties+xml"/>
  <Override PartName="/docProps/app.xml" ContentType="application/vnd.openxmlformats-officedocument.extended-properties+xml"/>
</Types>
</file>

<file path=_rels/.rels><?xml version="1.0" encoding="UTF-8" standalone="yes"?>
<Relationships xmlns="http://schemas.openxmlformats.org/package/2006/relationships"><Relationship Id="rId3" Type="http://schemas.openxmlformats.org/package/2006/relationships/metadata/core-properties" Target="docProps/core.xml"/><Relationship Id="rId2" Type="http://schemas.microsoft.com/office/2011/relationships/webextensiontaskpanes" Target="xl/webextensions/taskpanes.xml"/><Relationship Id="rId1" Type="http://schemas.openxmlformats.org/officeDocument/2006/relationships/officeDocument" Target="xl/workbook.xml"/><Relationship Id="rId4" Type="http://schemas.openxmlformats.org/officeDocument/2006/relationships/extended-properties" Target="docProps/app.xml"/></Relationships>
</file>

<file path=xl/workbook.xml><?xml version="1.0" encoding="utf-8"?>
<workbook xmlns="http://schemas.openxmlformats.org/spreadsheetml/2006/main" xmlns:r="http://schemas.openxmlformats.org/officeDocument/2006/relationships" xmlns:mc="http://schemas.openxmlformats.org/markup-compatibility/2006" xmlns:x15="http://schemas.microsoft.com/office/spreadsheetml/2010/11/main" xmlns:xr="http://schemas.microsoft.com/office/spreadsheetml/2014/revision" xmlns:xr6="http://schemas.microsoft.com/office/spreadsheetml/2016/revision6" xmlns:xr10="http://schemas.microsoft.com/office/spreadsheetml/2016/revision10" xmlns:xr2="http://schemas.microsoft.com/office/spreadsheetml/2015/revision2" mc:Ignorable="x15 xr xr6 xr10 xr2">
  <fileVersion appName="xl" lastEdited="7" lowestEdited="7" rupBuild="28827" codeName="{0730EB3F-75F1-03CD-C966-41DC9FD4AD36}"/>
  <workbookPr codeName="ThisWorkbook"/>
  <mc:AlternateContent xmlns:mc="http://schemas.openxmlformats.org/markup-compatibility/2006">
    <mc:Choice Requires="x15">
      <x15ac:absPath xmlns:x15ac="http://schemas.microsoft.com/office/spreadsheetml/2010/11/ac" url="C:\Users\Hyosung\Desktop\New folder\"/>
    </mc:Choice>
  </mc:AlternateContent>
  <xr:revisionPtr revIDLastSave="0" documentId="8_{C200C21E-E1F3-4F93-8732-EC602A1AA3FF}" xr6:coauthVersionLast="47" xr6:coauthVersionMax="47" xr10:uidLastSave="{00000000-0000-0000-0000-000000000000}"/>
  <bookViews>
    <workbookView xWindow="15" yWindow="30" windowWidth="28785" windowHeight="15450" tabRatio="717" firstSheet="1" activeTab="1" xr2:uid="{B2DA85E2-969C-4F09-941C-CE16CCFE9D56}"/>
  </bookViews>
  <sheets>
    <sheet name="Security" sheetId="79" state="veryHidden" r:id="rId1"/>
    <sheet name="EULA" sheetId="77" r:id="rId2"/>
    <sheet name="Dự phòng phải thu" sheetId="49" r:id="rId3"/>
  </sheets>
  <functionGroups builtInGroupCount="19"/>
  <definedNames>
    <definedName name="_xleta.N" hidden="1" xlm="1">#NAME?</definedName>
    <definedName name="_xleta.PHI" hidden="1" xlm="1">#NAME?</definedName>
    <definedName name="BangLuong_Nam">#REF!</definedName>
    <definedName name="BangLuong_Thang">#REF!</definedName>
    <definedName name="BCQT_BatDau">#REF!</definedName>
    <definedName name="BCQT_KetThuc">#REF!</definedName>
    <definedName name="BCTC_BatDau">#REF!</definedName>
    <definedName name="BCTC_Nam">#REF!</definedName>
    <definedName name="BCTC_Thang">#REF!</definedName>
    <definedName name="BHTN_LuongMax">#REF!</definedName>
    <definedName name="BHTN_TyLeDN">#REF!</definedName>
    <definedName name="BHTN_TyLeNV">#REF!</definedName>
    <definedName name="BHXH_LuongMax">#REF!</definedName>
    <definedName name="BHXH_TyLeDN">#REF!</definedName>
    <definedName name="BHXH_TyLeNV">#REF!</definedName>
    <definedName name="BHYT_LuongMax">#REF!</definedName>
    <definedName name="BHYT_TyLeDN">#REF!</definedName>
    <definedName name="BHYT_TyLeNV">#REF!</definedName>
    <definedName name="ChamCong_DonViGio">#REF!</definedName>
    <definedName name="ChamCong_GioTieuChuan">#REF!</definedName>
    <definedName name="ChamCong_LuongHD">#REF!</definedName>
    <definedName name="ChamCong_LuongTT">#REF!</definedName>
    <definedName name="ChamCong_MienThueOT">#REF!</definedName>
    <definedName name="ChamCong_NopHoBaoHiem">#REF!</definedName>
    <definedName name="ChiPhiNV_GiamTruBanThan">#REF!</definedName>
    <definedName name="ChiPhiNV_GiamTruPhuThuoc">#REF!</definedName>
    <definedName name="Dashboard_ChuongTrinh_Ma">#REF!</definedName>
    <definedName name="DatHang_NgayBatDau">#REF!</definedName>
    <definedName name="DatHang_NgayKetThuc">#REF!</definedName>
    <definedName name="DatHang_NgayTheoDoi">#REF!</definedName>
    <definedName name="DatHang_SoNgayThamChieu">#REF!</definedName>
    <definedName name="DiemHoaVon_NamKeHoach">#REF!</definedName>
    <definedName name="HieuQuaSX_MucTieu">#REF!</definedName>
    <definedName name="HieuQuaSX_Ngay">#REF!</definedName>
    <definedName name="HieuQuaSX_SKU">#REF!</definedName>
    <definedName name="KHThanThiet_SoNgay">#REF!</definedName>
    <definedName name="Ma_SKU">#REF!</definedName>
    <definedName name="MaChuongTrinh">#REF!</definedName>
    <definedName name="MaCoDong">#REF!</definedName>
    <definedName name="MaDauTu">#REF!</definedName>
    <definedName name="MaDonBan">#REF!</definedName>
    <definedName name="MaDonMua">#REF!</definedName>
    <definedName name="MaIn">#REF!</definedName>
    <definedName name="MaKenh">#REF!</definedName>
    <definedName name="MaKhachHang">#REF!</definedName>
    <definedName name="MaKho">#REF!</definedName>
    <definedName name="MaKhoanVay">#REF!</definedName>
    <definedName name="MaNguyenLieu">#REF!</definedName>
    <definedName name="MaNhaCungCap">#REF!</definedName>
    <definedName name="MaNhanVien">#REF!</definedName>
    <definedName name="MaTaiKhoan">#REF!</definedName>
    <definedName name="MaTaiSan">#REF!</definedName>
    <definedName name="MaThuChi">#REF!</definedName>
    <definedName name="MaVanDon">#REF!</definedName>
    <definedName name="MaViTri">#REF!</definedName>
    <definedName name="NhomChiPhi">#REF!</definedName>
    <definedName name="NoiDungGDKD">#REF!</definedName>
    <definedName name="NoiDungGDTC">#REF!</definedName>
    <definedName name="NoXau_MaKH">'Dự phòng phải thu'!$AT$2</definedName>
    <definedName name="NoXau_MaNCC">'Dự phòng phải thu'!#REF!</definedName>
    <definedName name="NoXau_NgayTheoDoi">'Dự phòng phải thu'!$AT$1</definedName>
    <definedName name="NoXau_NhanCungUng">'Dự phòng phải thu'!#REF!</definedName>
    <definedName name="NoXau_NhanThanhToan">'Dự phòng phải thu'!$AP$1</definedName>
    <definedName name="Pivot_Ctr_CKDon">OFFSET(#REF!,0,0,COUNTA(#REF!)-3,1)</definedName>
    <definedName name="Pivot_Ctr_CKSKU">OFFSET(#REF!,0,0,COUNTA(#REF!)-3,1)</definedName>
    <definedName name="Pivot_Ctr_CtrDon">OFFSET(#REF!,0,0,COUNTA(#REF!)-3,1)</definedName>
    <definedName name="Pivot_Ctr_CtrSKU">OFFSET(#REF!,0,0,COUNTA(#REF!)-3,1)</definedName>
    <definedName name="Pivot_Ctr_DthuDon">OFFSET(#REF!,0,0,COUNTA(#REF!)-3,1)</definedName>
    <definedName name="Pivot_Ctr_DthuSKU">OFFSET(#REF!,0,0,COUNTA(#REF!)-3,1)</definedName>
    <definedName name="Pivot_Ctr_Kenh">OFFSET(#REF!,0,0,COUNTA(#REF!)-3,1)</definedName>
    <definedName name="Pivot_Ctr_Khach">OFFSET(#REF!,0,0,COUNTA(#REF!)-3,1)</definedName>
    <definedName name="Pivot_Ctr_Ngay">OFFSET(#REF!,0,0,COUNTA(#REF!)-3,1)</definedName>
    <definedName name="Pivot_Ctr_NhanVien">OFFSET(#REF!,0,0,COUNTA(#REF!)-3,1)</definedName>
    <definedName name="Pivot_Ctr_PhanKhuc">OFFSET(#REF!,0,0,COUNTA(#REF!)-3,1)</definedName>
    <definedName name="Pivot_Ctr_PhanNhom">OFFSET(#REF!,0,0,COUNTA(#REF!)-3,1)</definedName>
    <definedName name="Pivot_Ctr_SKU">OFFSET(#REF!,0,0,COUNTA(#REF!)-3,1)</definedName>
    <definedName name="Pivot_Ctr_TTKhach">OFFSET(#REF!,0,0,COUNTA(#REF!)-3,1)</definedName>
    <definedName name="Pivot_KPI_DthuCP">OFFSET(#REF!,0,0,COUNTA(#REF!)-3,1)</definedName>
    <definedName name="Pivot_KPI_DthuDon">OFFSET(#REF!,0,0,COUNTA(#REF!)-3,1)</definedName>
    <definedName name="Pivot_KPI_DthuSKU">OFFSET(#REF!,0,0,COUNTA(#REF!)-3,1)</definedName>
    <definedName name="Pivot_KPI_Kenh">OFFSET(#REF!,0,0,COUNTA(#REF!)-3,1)</definedName>
    <definedName name="Pivot_KPI_KenhCP">OFFSET(#REF!,0,0,COUNTA(#REF!)-3,1)</definedName>
    <definedName name="Pivot_KPI_KPICP">OFFSET(#REF!,0,0,COUNTA(#REF!)-3,1)</definedName>
    <definedName name="Pivot_KPI_NamCP">OFFSET(#REF!,0,0,COUNTA(#REF!)-3,1)</definedName>
    <definedName name="Pivot_KPI_Ngay">OFFSET(#REF!,0,0,COUNTA(#REF!)-3,1)</definedName>
    <definedName name="Pivot_KPI_NhanVien">OFFSET(#REF!,0,0,COUNTA(#REF!)-3,1)</definedName>
    <definedName name="Pivot_KPI_NhanVienCP">OFFSET(#REF!,0,0,COUNTA(#REF!)-3,1)</definedName>
    <definedName name="Pivot_KPI_PhanKhuc">OFFSET(#REF!,0,0,COUNTA(#REF!)-3,1)</definedName>
    <definedName name="Pivot_KPI_PhanNhom">OFFSET(#REF!,0,0,COUNTA(#REF!)-3,1)</definedName>
    <definedName name="PIvot_KPI_ThangCP">OFFSET(#REF!,0,0,COUNTA(#REF!)-3,1)</definedName>
    <definedName name="Pivot_KPI_TyLeCP">OFFSET(#REF!,0,0,COUNTA(#REF!)-3,1)</definedName>
    <definedName name="Pivot_SanPham_DoanhThu">OFFSET(#REF!,0,0,COUNTA(#REF!)-3,1)</definedName>
    <definedName name="Pivot_SanPham_Loai">OFFSET(#REF!,0,0,COUNTA(#REF!)-3,1)</definedName>
    <definedName name="Pivot_SanPham_MaDon">OFFSET(#REF!,0,0,COUNTA(#REF!)-3,1)</definedName>
    <definedName name="Pivot_SanPham_Ngay">OFFSET(#REF!,0,0,COUNTA(#REF!)-3,1)</definedName>
    <definedName name="Pivot_SanPham_Nhom">OFFSET(#REF!,0,0,COUNTA(#REF!)-3,1)</definedName>
    <definedName name="Pivot_SanPham_PhanKhuc">OFFSET(#REF!,0,0,COUNTA(#REF!)-3,1)</definedName>
    <definedName name="Pivot_SanPham_SKU">OFFSET(#REF!,0,0,COUNTA(#REF!)-3,1)</definedName>
    <definedName name="Pivot_SanPham_SoLuong">OFFSET(#REF!,0,0,COUNTA(#REF!)-3,1)</definedName>
    <definedName name="Pivot_SanPham_TinhThanh">OFFSET(#REF!,0,0,COUNTA(#REF!)-3,1)</definedName>
    <definedName name="Pivot_ThiTruong_DoanhThu">OFFSET(#REF!,0,0,COUNTA(#REF!)-3,1)</definedName>
    <definedName name="Pivot_ThiTruong_MaDon">OFFSET(#REF!,0,0,COUNTA(#REF!)-3,1)</definedName>
    <definedName name="Pivot_ThiTruong_MaKhach">OFFSET(#REF!,0,0,COUNTA(#REF!)-3,1)</definedName>
    <definedName name="Pivot_ThiTruong_Ngay">OFFSET(#REF!,0,0,COUNTA(#REF!)-3,1)</definedName>
    <definedName name="Pivot_ThiTruong_NhomSP">OFFSET(#REF!,0,0,COUNTA(#REF!)-3,1)</definedName>
    <definedName name="PIvot_ThiTruong_SoLuongSP">OFFSET(#REF!,0,0,COUNTA(#REF!)-3,1)</definedName>
    <definedName name="Pivot_ThiTruong_TtDon">OFFSET(#REF!,0,0,COUNTA(#REF!)-3,1)</definedName>
    <definedName name="SKU_Nhom1">#REF!</definedName>
    <definedName name="SKU_Nhom2">#REF!</definedName>
    <definedName name="SKU_Nhom3">#REF!</definedName>
    <definedName name="ThanhPham_Nhom">#REF!</definedName>
    <definedName name="ThanhPham_PhanLoai">#REF!</definedName>
    <definedName name="ThanhPham_PhanNhom">#REF!</definedName>
    <definedName name="TonKho_GTXuat">#REF!</definedName>
    <definedName name="TonKho_Kho">#REF!</definedName>
    <definedName name="TonKho_MaHang">#REF!</definedName>
    <definedName name="TonKho_NgayTheoDoi">#REF!</definedName>
    <definedName name="TonKho_TieuThu">#REF!</definedName>
  </definedNames>
  <calcPr calcId="191029"/>
  <pivotCaches>
    <pivotCache cacheId="0" r:id="rId4"/>
  </pivotCaches>
  <extLst>
    <ext xmlns:x15="http://schemas.microsoft.com/office/spreadsheetml/2010/11/main" uri="{140A7094-0E35-4892-8432-C4D2E57EDEB5}">
      <x15:workbookPr chartTrackingRefBase="1"/>
    </ext>
    <ext xmlns:xcalcf="http://schemas.microsoft.com/office/spreadsheetml/2018/calcfeatures" uri="{B58B0392-4F1F-4190-BB64-5DF3571DCE5F}">
      <xcalcf:calcFeatures>
        <xcalcf:feature name="microsoft.com:RD"/>
        <xcalcf:feature name="microsoft.com:Single"/>
        <xcalcf:feature name="microsoft.com:FV"/>
        <xcalcf:feature name="microsoft.com:CNMTM"/>
        <xcalcf:feature name="microsoft.com:LET_WF"/>
      </xcalcf:calcFeatures>
    </ext>
  </extLst>
</workbook>
</file>

<file path=xl/calcChain.xml><?xml version="1.0" encoding="utf-8"?>
<calcChain xmlns="http://schemas.openxmlformats.org/spreadsheetml/2006/main">
  <c r="AU23" i="49" l="1" a="1"/>
  <c r="AU23" i="49" s="1"/>
  <c r="AW23" i="49" s="1"/>
  <c r="AU24" i="49" a="1"/>
  <c r="AU24" i="49" s="1"/>
  <c r="AW24" i="49" s="1"/>
  <c r="AU25" i="49" a="1"/>
  <c r="AU25" i="49" s="1"/>
  <c r="AW25" i="49" s="1"/>
  <c r="AU26" i="49" a="1"/>
  <c r="AU26" i="49" s="1"/>
  <c r="AW26" i="49" s="1"/>
  <c r="AU32" i="49" a="1"/>
  <c r="AU32" i="49" s="1"/>
  <c r="AW32" i="49" s="1"/>
  <c r="AU33" i="49" a="1"/>
  <c r="AU33" i="49" s="1"/>
  <c r="AW33" i="49" s="1"/>
  <c r="AU34" i="49" a="1"/>
  <c r="AU34" i="49" s="1"/>
  <c r="AW34" i="49" s="1"/>
  <c r="AU31" i="49" a="1"/>
  <c r="AU31" i="49" s="1"/>
  <c r="AW31" i="49" s="1"/>
  <c r="AN23" i="49" a="1"/>
  <c r="AN23" i="49" s="1"/>
  <c r="AU27" i="49" a="1"/>
  <c r="AU27" i="49" s="1"/>
  <c r="AW27" i="49" s="1"/>
  <c r="AU28" i="49" a="1"/>
  <c r="AU28" i="49" s="1"/>
  <c r="AW28" i="49" s="1"/>
  <c r="AU29" i="49" a="1"/>
  <c r="AU29" i="49" s="1"/>
  <c r="AW29" i="49" s="1"/>
  <c r="AU30" i="49" a="1"/>
  <c r="AU30" i="49" s="1"/>
  <c r="AW30" i="49" s="1"/>
  <c r="AP1" i="49" l="1" a="1"/>
  <c r="AP1" i="49" s="1"/>
  <c r="AP29" i="49" s="1" a="1"/>
  <c r="AP29" i="49" s="1"/>
  <c r="AQ29" i="49" s="1"/>
  <c r="AP23" i="49" l="1" a="1"/>
  <c r="AP23" i="49" s="1"/>
  <c r="AQ23" i="49" s="1"/>
  <c r="AP24" i="49" a="1"/>
  <c r="AP24" i="49" s="1"/>
  <c r="AQ24" i="49" s="1"/>
  <c r="AP25" i="49" a="1"/>
  <c r="AP25" i="49" s="1"/>
  <c r="AQ25" i="49" s="1"/>
  <c r="AP26" i="49" a="1"/>
  <c r="AP26" i="49" s="1"/>
  <c r="AQ26" i="49" s="1"/>
  <c r="AP27" i="49" a="1"/>
  <c r="AP27" i="49" s="1"/>
  <c r="AQ27" i="49" s="1"/>
  <c r="AP28" i="49" a="1"/>
  <c r="AP28" i="49" s="1"/>
  <c r="AQ28" i="49" s="1"/>
  <c r="AL23" i="49" l="1" a="1"/>
  <c r="AL23" i="49" s="1"/>
  <c r="AL24" i="49" a="1"/>
  <c r="AL24" i="49" s="1"/>
  <c r="AL25" i="49" a="1"/>
  <c r="AL25" i="49" s="1"/>
  <c r="AL26" i="49" a="1"/>
  <c r="AL26" i="49" s="1"/>
  <c r="AL21" i="49" l="1"/>
</calcChain>
</file>

<file path=xl/connections.xml><?xml version="1.0" encoding="utf-8"?>
<connections xmlns="http://schemas.openxmlformats.org/spreadsheetml/2006/main" xmlns:mc="http://schemas.openxmlformats.org/markup-compatibility/2006" xmlns:xr16="http://schemas.microsoft.com/office/spreadsheetml/2017/revision16" mc:Ignorable="xr16">
  <connection id="1" xr16:uid="{D133CF15-8F9F-4FB4-B869-F8FFCFFC8D76}" keepAlive="1" name="ThisWorkbookDataModel" description="Data Model" type="5" refreshedVersion="8" minRefreshableVersion="5" background="1">
    <dbPr connection="Data Model Connection" command="Model" commandType="1"/>
    <olapPr sendLocale="1" rowDrillCount="1000"/>
    <extLst>
      <ext xmlns:x15="http://schemas.microsoft.com/office/spreadsheetml/2010/11/main" uri="{DE250136-89BD-433C-8126-D09CA5730AF9}">
        <x15:connection id="" model="1"/>
      </ext>
    </extLst>
  </connection>
</connections>
</file>

<file path=xl/metadata.xml><?xml version="1.0" encoding="utf-8"?>
<metadata xmlns="http://schemas.openxmlformats.org/spreadsheetml/2006/main" xmlns:xda="http://schemas.microsoft.com/office/spreadsheetml/2017/dynamicarray">
  <metadataTypes count="1">
    <metadataType name="XLDAPR" minSupportedVersion="120000" copy="1" pasteAll="1" pasteValues="1" merge="1" splitFirst="1" rowColShift="1" clearFormats="1" clearComments="1" assign="1" coerce="1" cellMeta="1"/>
  </metadataTypes>
  <futureMetadata name="XLDAPR" count="1">
    <bk>
      <extLst>
        <ext uri="{bdbb8cdc-fa1e-496e-a857-3c3f30c029c3}">
          <xda:dynamicArrayProperties fDynamic="1" fCollapsed="0"/>
        </ext>
      </extLst>
    </bk>
  </futureMetadata>
  <cellMetadata count="1">
    <bk>
      <rc t="1" v="0"/>
    </bk>
  </cellMetadata>
</metadata>
</file>

<file path=xl/sharedStrings.xml><?xml version="1.0" encoding="utf-8"?>
<sst xmlns="http://schemas.openxmlformats.org/spreadsheetml/2006/main" count="161" uniqueCount="63">
  <si>
    <t>Bên A</t>
  </si>
  <si>
    <t>Công ty TNHH Tư vấn Quản trị FIRM</t>
  </si>
  <si>
    <t>[Địa chỉ]</t>
  </si>
  <si>
    <t>[Mã số thuế]</t>
  </si>
  <si>
    <t>[SĐT - Fax]</t>
  </si>
  <si>
    <t>[Website - Page]</t>
  </si>
  <si>
    <t>[STK - Ngân hàng]</t>
  </si>
  <si>
    <t>Bên B</t>
  </si>
  <si>
    <t>Công ty ABC XYZ</t>
  </si>
  <si>
    <t>ID</t>
  </si>
  <si>
    <t>License</t>
  </si>
  <si>
    <t>Tuổi nợ min</t>
  </si>
  <si>
    <t>Tuổi nợ max</t>
  </si>
  <si>
    <t>Tỷ lệ dự phòng</t>
  </si>
  <si>
    <t>Tuổi nợ</t>
  </si>
  <si>
    <t>Mã đối tác</t>
  </si>
  <si>
    <t>Đối tác</t>
  </si>
  <si>
    <t>Ngày dự phòng</t>
  </si>
  <si>
    <t>Ngày GD</t>
  </si>
  <si>
    <t>Loại GD</t>
  </si>
  <si>
    <t>Giá trị GD</t>
  </si>
  <si>
    <t>Prdt</t>
  </si>
  <si>
    <t>Date_Pmt</t>
  </si>
  <si>
    <t>Date_Exp</t>
  </si>
  <si>
    <t>Period</t>
  </si>
  <si>
    <t>All</t>
  </si>
  <si>
    <t>QuanTri</t>
  </si>
  <si>
    <t>BanHang</t>
  </si>
  <si>
    <t>LuuKho</t>
  </si>
  <si>
    <t>ChiPhi</t>
  </si>
  <si>
    <t>GiaoDich</t>
  </si>
  <si>
    <t>Khac</t>
  </si>
  <si>
    <r>
      <t>[MST]</t>
    </r>
    <r>
      <rPr>
        <sz val="12"/>
        <color theme="1"/>
        <rFont val="Segoe UI Light"/>
        <family val="2"/>
        <scheme val="minor"/>
      </rPr>
      <t xml:space="preserve"> 0318908160</t>
    </r>
  </si>
  <si>
    <t>LEAnh@4404$LEKhanh!3696)LEHuyen!3200(LEWives(3448$LEFam</t>
  </si>
  <si>
    <t>X</t>
  </si>
  <si>
    <r>
      <t>[Đ/c]</t>
    </r>
    <r>
      <rPr>
        <sz val="12"/>
        <color theme="1"/>
        <rFont val="Segoe UI Light"/>
        <family val="2"/>
        <scheme val="minor"/>
      </rPr>
      <t xml:space="preserve"> 39A đường 149C, phường Long Trường, Tp.HCM</t>
    </r>
  </si>
  <si>
    <r>
      <t xml:space="preserve">[SĐT] </t>
    </r>
    <r>
      <rPr>
        <sz val="12"/>
        <color theme="1"/>
        <rFont val="Segoe UI Light"/>
        <family val="2"/>
        <scheme val="minor"/>
      </rPr>
      <t>0344048220</t>
    </r>
  </si>
  <si>
    <r>
      <t>[Web]</t>
    </r>
    <r>
      <rPr>
        <sz val="12"/>
        <color theme="1"/>
        <rFont val="Segoe UI Light"/>
        <family val="2"/>
        <scheme val="minor"/>
      </rPr>
      <t xml:space="preserve"> </t>
    </r>
    <r>
      <rPr>
        <u/>
        <sz val="12"/>
        <color theme="1"/>
        <rFont val="Segoe UI Light"/>
        <family val="2"/>
        <scheme val="minor"/>
      </rPr>
      <t>https://firmmcco.wixsite.com/easyquantri</t>
    </r>
  </si>
  <si>
    <r>
      <t xml:space="preserve">[STK] </t>
    </r>
    <r>
      <rPr>
        <sz val="12"/>
        <color theme="1"/>
        <rFont val="Segoe UI Light"/>
        <family val="2"/>
        <scheme val="minor"/>
      </rPr>
      <t>44048220 - MBBank</t>
    </r>
  </si>
  <si>
    <t>Giá trị dự phòng</t>
  </si>
  <si>
    <t>Giá trị nợ</t>
  </si>
  <si>
    <t>Dự phòng</t>
  </si>
  <si>
    <t>Phát sinh phải thu / Chi tiền</t>
  </si>
  <si>
    <t>Tỷ lệ</t>
  </si>
  <si>
    <t>Ngày phát sinh</t>
  </si>
  <si>
    <t>Phát sinh phải trả / Thu tiền</t>
  </si>
  <si>
    <t>DT2</t>
  </si>
  <si>
    <t>DT3</t>
  </si>
  <si>
    <t>DT4</t>
  </si>
  <si>
    <t>DT1</t>
  </si>
  <si>
    <t>Row Labels</t>
  </si>
  <si>
    <t>Grand Total</t>
  </si>
  <si>
    <t>Column Labels</t>
  </si>
  <si>
    <t xml:space="preserve">Dự phòng </t>
  </si>
  <si>
    <t>4C68A711-89BE-412A-BD2D-CB33771CC62D</t>
  </si>
  <si>
    <t>EASY-33329183463</t>
  </si>
  <si>
    <t>TC03</t>
  </si>
  <si>
    <t>Red</t>
  </si>
  <si>
    <t>Green</t>
  </si>
  <si>
    <t>Blue</t>
  </si>
  <si>
    <t>Gray</t>
  </si>
  <si>
    <t>Brown</t>
  </si>
  <si>
    <t>PIybEyHvvhO7Rf2wifv7O0bHv5bzw64DdDUJ</t>
  </si>
</sst>
</file>

<file path=xl/styles.xml><?xml version="1.0" encoding="utf-8"?>
<styleSheet xmlns="http://schemas.openxmlformats.org/spreadsheetml/2006/main" xmlns:mc="http://schemas.openxmlformats.org/markup-compatibility/2006" xmlns:x14ac="http://schemas.microsoft.com/office/spreadsheetml/2009/9/ac" xmlns:x16r2="http://schemas.microsoft.com/office/spreadsheetml/2015/02/main" xmlns:xr="http://schemas.microsoft.com/office/spreadsheetml/2014/revision" xmlns:xr9="http://schemas.microsoft.com/office/spreadsheetml/2016/revision9" mc:Ignorable="x14ac x16r2 xr xr9">
  <numFmts count="7">
    <numFmt numFmtId="43" formatCode="_(* #,##0.00_);_(* \(#,##0.00\);_(* &quot;-&quot;??_);_(@_)"/>
    <numFmt numFmtId="164" formatCode="_(* #,##0_);_(* \(#,##0\);_(* &quot;-&quot;??_);_(@_)"/>
    <numFmt numFmtId="165" formatCode="mm\-yyyy"/>
    <numFmt numFmtId="166" formatCode="[$-1010000]d/m/yyyy;@"/>
    <numFmt numFmtId="167" formatCode="_(#,##0_);_(\(#,##0\);_(\-_);_(@_)"/>
    <numFmt numFmtId="168" formatCode="dd/mm/yyyy"/>
    <numFmt numFmtId="169" formatCode="0.0%"/>
  </numFmts>
  <fonts count="20" x14ac:knownFonts="1">
    <font>
      <sz val="11"/>
      <color theme="1"/>
      <name val="Segoe UI Light"/>
      <family val="2"/>
      <scheme val="minor"/>
    </font>
    <font>
      <sz val="11"/>
      <color theme="1"/>
      <name val="Segoe UI Light"/>
      <family val="2"/>
      <scheme val="minor"/>
    </font>
    <font>
      <sz val="12"/>
      <color theme="1"/>
      <name val="Segoe UI Light"/>
      <family val="2"/>
      <scheme val="minor"/>
    </font>
    <font>
      <b/>
      <sz val="12"/>
      <color theme="1"/>
      <name val="Segoe UI Light"/>
      <family val="2"/>
      <scheme val="minor"/>
    </font>
    <font>
      <sz val="24"/>
      <color theme="8"/>
      <name val="Segoe UI"/>
      <family val="2"/>
      <scheme val="major"/>
    </font>
    <font>
      <sz val="8"/>
      <color theme="1"/>
      <name val="Segoe UI Light"/>
      <family val="2"/>
      <scheme val="minor"/>
    </font>
    <font>
      <sz val="8"/>
      <name val="Segoe UI Light"/>
      <family val="2"/>
      <scheme val="minor"/>
    </font>
    <font>
      <b/>
      <sz val="8"/>
      <color theme="1"/>
      <name val="Segoe UI Light"/>
      <family val="2"/>
      <scheme val="minor"/>
    </font>
    <font>
      <b/>
      <sz val="8"/>
      <color theme="9"/>
      <name val="Segoe UI Light"/>
      <family val="2"/>
      <scheme val="minor"/>
    </font>
    <font>
      <sz val="8"/>
      <color theme="9"/>
      <name val="Segoe UI Light"/>
      <family val="2"/>
      <scheme val="minor"/>
    </font>
    <font>
      <sz val="8"/>
      <color theme="0"/>
      <name val="Segoe UI Light"/>
      <family val="2"/>
      <scheme val="minor"/>
    </font>
    <font>
      <b/>
      <sz val="8"/>
      <color theme="8"/>
      <name val="Segoe UI Light"/>
      <family val="2"/>
      <scheme val="minor"/>
    </font>
    <font>
      <b/>
      <sz val="11"/>
      <color theme="1"/>
      <name val="Segoe UI Light"/>
      <family val="2"/>
      <scheme val="minor"/>
    </font>
    <font>
      <sz val="11"/>
      <name val="Segoe UI Light"/>
      <family val="2"/>
      <scheme val="minor"/>
    </font>
    <font>
      <b/>
      <sz val="11"/>
      <color theme="8"/>
      <name val="Segoe UI Light"/>
      <family val="2"/>
      <scheme val="minor"/>
    </font>
    <font>
      <sz val="8"/>
      <color rgb="FF000000"/>
      <name val="Segoe UI"/>
      <family val="2"/>
    </font>
    <font>
      <b/>
      <sz val="8"/>
      <color rgb="FF000000"/>
      <name val="Segoe UI Light"/>
      <family val="2"/>
    </font>
    <font>
      <u/>
      <sz val="12"/>
      <color theme="1"/>
      <name val="Segoe UI Light"/>
      <family val="2"/>
      <scheme val="minor"/>
    </font>
    <font>
      <b/>
      <sz val="8"/>
      <color theme="9" tint="-0.499984740745262"/>
      <name val="Segoe UI Light"/>
      <family val="2"/>
      <scheme val="minor"/>
    </font>
    <font>
      <sz val="11"/>
      <color theme="0"/>
      <name val="Segoe UI Light"/>
      <family val="2"/>
      <scheme val="minor"/>
    </font>
  </fonts>
  <fills count="4">
    <fill>
      <patternFill patternType="none"/>
    </fill>
    <fill>
      <patternFill patternType="gray125"/>
    </fill>
    <fill>
      <patternFill patternType="solid">
        <fgColor theme="9" tint="0.79998168889431442"/>
        <bgColor indexed="64"/>
      </patternFill>
    </fill>
    <fill>
      <patternFill patternType="solid">
        <fgColor theme="9" tint="0.79998168889431442"/>
        <bgColor theme="5" tint="0.79998168889431442"/>
      </patternFill>
    </fill>
  </fills>
  <borders count="3">
    <border>
      <left/>
      <right/>
      <top/>
      <bottom/>
      <diagonal/>
    </border>
    <border>
      <left/>
      <right/>
      <top/>
      <bottom style="thin">
        <color theme="5" tint="0.39997558519241921"/>
      </bottom>
      <diagonal/>
    </border>
    <border>
      <left/>
      <right/>
      <top style="thin">
        <color theme="5" tint="0.39997558519241921"/>
      </top>
      <bottom style="thin">
        <color theme="5" tint="0.39997558519241921"/>
      </bottom>
      <diagonal/>
    </border>
  </borders>
  <cellStyleXfs count="3">
    <xf numFmtId="0" fontId="0" fillId="0" borderId="0"/>
    <xf numFmtId="43" fontId="1" fillId="0" borderId="0" applyFont="0" applyFill="0" applyBorder="0" applyAlignment="0" applyProtection="0"/>
    <xf numFmtId="9" fontId="1" fillId="0" borderId="0" applyFont="0" applyFill="0" applyBorder="0" applyAlignment="0" applyProtection="0"/>
  </cellStyleXfs>
  <cellXfs count="48">
    <xf numFmtId="0" fontId="0" fillId="0" borderId="0" xfId="0"/>
    <xf numFmtId="0" fontId="5" fillId="0" borderId="0" xfId="0" applyFont="1" applyAlignment="1" applyProtection="1">
      <alignment vertical="center"/>
      <protection locked="0" hidden="1"/>
    </xf>
    <xf numFmtId="0" fontId="5" fillId="0" borderId="0" xfId="0" applyFont="1" applyAlignment="1" applyProtection="1">
      <alignment horizontal="center" vertical="center"/>
      <protection locked="0" hidden="1"/>
    </xf>
    <xf numFmtId="164" fontId="5" fillId="0" borderId="0" xfId="1" applyNumberFormat="1" applyFont="1" applyAlignment="1" applyProtection="1">
      <alignment vertical="center"/>
      <protection locked="0" hidden="1"/>
    </xf>
    <xf numFmtId="164" fontId="9" fillId="0" borderId="0" xfId="1" applyNumberFormat="1" applyFont="1" applyAlignment="1" applyProtection="1">
      <alignment vertical="center"/>
      <protection locked="0" hidden="1"/>
    </xf>
    <xf numFmtId="0" fontId="0" fillId="0" borderId="0" xfId="0" applyProtection="1">
      <protection locked="0" hidden="1"/>
    </xf>
    <xf numFmtId="0" fontId="10" fillId="0" borderId="0" xfId="0" applyFont="1" applyAlignment="1" applyProtection="1">
      <alignment vertical="center"/>
      <protection locked="0" hidden="1"/>
    </xf>
    <xf numFmtId="0" fontId="0" fillId="0" borderId="0" xfId="0" applyAlignment="1">
      <alignment horizontal="left"/>
    </xf>
    <xf numFmtId="0" fontId="0" fillId="0" borderId="0" xfId="0" applyAlignment="1" applyProtection="1">
      <alignment vertical="center"/>
      <protection locked="0"/>
    </xf>
    <xf numFmtId="49" fontId="2" fillId="0" borderId="0" xfId="0" applyNumberFormat="1" applyFont="1" applyAlignment="1" applyProtection="1">
      <alignment vertical="center"/>
      <protection locked="0"/>
    </xf>
    <xf numFmtId="49" fontId="2" fillId="0" borderId="0" xfId="0" applyNumberFormat="1" applyFont="1" applyAlignment="1" applyProtection="1">
      <alignment horizontal="left" vertical="center"/>
      <protection locked="0"/>
    </xf>
    <xf numFmtId="49" fontId="4" fillId="0" borderId="0" xfId="0" applyNumberFormat="1" applyFont="1" applyAlignment="1" applyProtection="1">
      <alignment vertical="center"/>
      <protection locked="0"/>
    </xf>
    <xf numFmtId="0" fontId="14" fillId="0" borderId="0" xfId="0" applyFont="1" applyAlignment="1" applyProtection="1">
      <alignment horizontal="right" vertical="center"/>
      <protection locked="0"/>
    </xf>
    <xf numFmtId="0" fontId="1" fillId="0" borderId="0" xfId="0" applyFont="1" applyAlignment="1">
      <alignment horizontal="left" vertical="center"/>
    </xf>
    <xf numFmtId="0" fontId="13" fillId="0" borderId="0" xfId="0" applyFont="1" applyAlignment="1">
      <alignment horizontal="left" vertical="center"/>
    </xf>
    <xf numFmtId="49" fontId="1" fillId="0" borderId="0" xfId="0" applyNumberFormat="1" applyFont="1" applyAlignment="1">
      <alignment horizontal="left" vertical="center"/>
    </xf>
    <xf numFmtId="0" fontId="0" fillId="0" borderId="0" xfId="0" applyAlignment="1">
      <alignment horizontal="left" vertical="center"/>
    </xf>
    <xf numFmtId="166" fontId="1" fillId="0" borderId="0" xfId="0" applyNumberFormat="1" applyFont="1" applyAlignment="1">
      <alignment horizontal="left" vertical="center"/>
    </xf>
    <xf numFmtId="166" fontId="0" fillId="0" borderId="0" xfId="0" applyNumberFormat="1" applyAlignment="1">
      <alignment horizontal="left"/>
    </xf>
    <xf numFmtId="49" fontId="3" fillId="0" borderId="0" xfId="0" applyNumberFormat="1" applyFont="1" applyAlignment="1" applyProtection="1">
      <alignment vertical="center"/>
      <protection locked="0"/>
    </xf>
    <xf numFmtId="49" fontId="3" fillId="0" borderId="0" xfId="0" applyNumberFormat="1" applyFont="1" applyAlignment="1" applyProtection="1">
      <alignment horizontal="left" vertical="center"/>
      <protection locked="0"/>
    </xf>
    <xf numFmtId="0" fontId="7" fillId="2" borderId="0" xfId="0" applyFont="1" applyFill="1" applyAlignment="1" applyProtection="1">
      <alignment horizontal="center" vertical="center"/>
      <protection locked="0" hidden="1"/>
    </xf>
    <xf numFmtId="0" fontId="11" fillId="0" borderId="0" xfId="1" applyNumberFormat="1" applyFont="1" applyAlignment="1" applyProtection="1">
      <alignment horizontal="center" vertical="center"/>
      <protection locked="0" hidden="1"/>
    </xf>
    <xf numFmtId="0" fontId="8" fillId="0" borderId="0" xfId="1" applyNumberFormat="1" applyFont="1" applyAlignment="1" applyProtection="1">
      <alignment horizontal="center" vertical="center"/>
      <protection locked="0" hidden="1"/>
    </xf>
    <xf numFmtId="167" fontId="0" fillId="0" borderId="0" xfId="0" applyNumberFormat="1" applyAlignment="1" applyProtection="1">
      <alignment vertical="center"/>
      <protection locked="0"/>
    </xf>
    <xf numFmtId="167" fontId="12" fillId="0" borderId="0" xfId="0" applyNumberFormat="1" applyFont="1" applyProtection="1">
      <protection locked="0"/>
    </xf>
    <xf numFmtId="167" fontId="0" fillId="0" borderId="0" xfId="0" applyNumberFormat="1" applyProtection="1">
      <protection locked="0"/>
    </xf>
    <xf numFmtId="167" fontId="0" fillId="0" borderId="0" xfId="0" applyNumberFormat="1" applyAlignment="1" applyProtection="1">
      <alignment horizontal="left" vertical="center" indent="1"/>
      <protection locked="0"/>
    </xf>
    <xf numFmtId="167" fontId="12" fillId="0" borderId="0" xfId="0" applyNumberFormat="1" applyFont="1" applyAlignment="1" applyProtection="1">
      <alignment horizontal="left" vertical="center" indent="1"/>
      <protection locked="0"/>
    </xf>
    <xf numFmtId="167" fontId="0" fillId="0" borderId="0" xfId="0" applyNumberFormat="1" applyAlignment="1">
      <alignment horizontal="left"/>
    </xf>
    <xf numFmtId="168" fontId="6" fillId="0" borderId="2" xfId="0" applyNumberFormat="1" applyFont="1" applyBorder="1" applyAlignment="1" applyProtection="1">
      <alignment horizontal="right" vertical="center"/>
      <protection locked="0" hidden="1"/>
    </xf>
    <xf numFmtId="165" fontId="6" fillId="0" borderId="0" xfId="0" applyNumberFormat="1" applyFont="1" applyAlignment="1" applyProtection="1">
      <alignment vertical="center"/>
      <protection locked="0" hidden="1"/>
    </xf>
    <xf numFmtId="9" fontId="5" fillId="0" borderId="0" xfId="0" applyNumberFormat="1" applyFont="1" applyAlignment="1" applyProtection="1">
      <alignment vertical="center"/>
      <protection locked="0" hidden="1"/>
    </xf>
    <xf numFmtId="164" fontId="5" fillId="0" borderId="2" xfId="1" applyNumberFormat="1" applyFont="1" applyBorder="1" applyAlignment="1" applyProtection="1">
      <alignment vertical="center"/>
      <protection locked="0" hidden="1"/>
    </xf>
    <xf numFmtId="14" fontId="5" fillId="0" borderId="0" xfId="0" applyNumberFormat="1" applyFont="1" applyAlignment="1" applyProtection="1">
      <alignment horizontal="center" vertical="center"/>
      <protection locked="0" hidden="1"/>
    </xf>
    <xf numFmtId="167" fontId="5" fillId="0" borderId="2" xfId="0" applyNumberFormat="1" applyFont="1" applyBorder="1" applyAlignment="1" applyProtection="1">
      <alignment vertical="center"/>
      <protection locked="0" hidden="1"/>
    </xf>
    <xf numFmtId="164" fontId="5" fillId="0" borderId="2" xfId="1" applyNumberFormat="1" applyFont="1" applyFill="1" applyBorder="1" applyAlignment="1" applyProtection="1">
      <alignment vertical="center"/>
      <protection locked="0" hidden="1"/>
    </xf>
    <xf numFmtId="167" fontId="5" fillId="0" borderId="0" xfId="0" applyNumberFormat="1" applyFont="1" applyAlignment="1" applyProtection="1">
      <alignment vertical="center"/>
      <protection locked="0" hidden="1"/>
    </xf>
    <xf numFmtId="164" fontId="5" fillId="0" borderId="0" xfId="1" applyNumberFormat="1" applyFont="1" applyFill="1" applyBorder="1" applyAlignment="1" applyProtection="1">
      <alignment vertical="center"/>
      <protection locked="0" hidden="1"/>
    </xf>
    <xf numFmtId="168" fontId="18" fillId="3" borderId="1" xfId="0" applyNumberFormat="1" applyFont="1" applyFill="1" applyBorder="1" applyAlignment="1" applyProtection="1">
      <alignment horizontal="center" vertical="center"/>
      <protection locked="0"/>
    </xf>
    <xf numFmtId="164" fontId="9" fillId="0" borderId="0" xfId="0" applyNumberFormat="1" applyFont="1" applyAlignment="1" applyProtection="1">
      <alignment vertical="center"/>
      <protection locked="0" hidden="1"/>
    </xf>
    <xf numFmtId="166" fontId="5" fillId="0" borderId="0" xfId="0" applyNumberFormat="1" applyFont="1" applyAlignment="1" applyProtection="1">
      <alignment vertical="center"/>
      <protection locked="0" hidden="1"/>
    </xf>
    <xf numFmtId="169" fontId="9" fillId="0" borderId="0" xfId="2" applyNumberFormat="1" applyFont="1" applyAlignment="1" applyProtection="1">
      <alignment vertical="center"/>
      <protection locked="0" hidden="1"/>
    </xf>
    <xf numFmtId="0" fontId="0" fillId="0" borderId="0" xfId="0" pivotButton="1"/>
    <xf numFmtId="165" fontId="0" fillId="0" borderId="0" xfId="0" applyNumberFormat="1" applyAlignment="1">
      <alignment horizontal="left"/>
    </xf>
    <xf numFmtId="169" fontId="0" fillId="0" borderId="0" xfId="0" applyNumberFormat="1"/>
    <xf numFmtId="166" fontId="5" fillId="0" borderId="0" xfId="0" applyNumberFormat="1" applyFont="1" applyAlignment="1" applyProtection="1">
      <alignment horizontal="center" vertical="center"/>
      <protection locked="0" hidden="1"/>
    </xf>
    <xf numFmtId="0" fontId="19" fillId="0" borderId="0" xfId="0" applyFont="1" applyAlignment="1" applyProtection="1">
      <alignment vertical="center"/>
      <protection locked="0"/>
    </xf>
  </cellXfs>
  <cellStyles count="3">
    <cellStyle name="Comma" xfId="1" builtinId="3"/>
    <cellStyle name="Normal" xfId="0" builtinId="0"/>
    <cellStyle name="Percent" xfId="2" builtinId="5"/>
  </cellStyles>
  <dxfs count="36">
    <dxf>
      <font>
        <strike val="0"/>
        <outline val="0"/>
        <shadow val="0"/>
        <u val="none"/>
        <vertAlign val="baseline"/>
        <sz val="8"/>
        <color theme="1"/>
        <name val="Segoe UI Light"/>
        <family val="2"/>
        <scheme val="minor"/>
      </font>
      <numFmt numFmtId="164" formatCode="_(* #,##0_);_(* \(#,##0\);_(* &quot;-&quot;??_);_(@_)"/>
      <fill>
        <patternFill patternType="none">
          <fgColor indexed="64"/>
          <bgColor indexed="65"/>
        </patternFill>
      </fill>
      <alignment horizontal="general" vertical="center" textRotation="0" wrapText="0" indent="0" justifyLastLine="0" shrinkToFit="0" readingOrder="0"/>
      <border diagonalUp="0" diagonalDown="0" outline="0">
        <left/>
        <right/>
        <top style="thin">
          <color theme="5" tint="0.39997558519241921"/>
        </top>
        <bottom style="thin">
          <color theme="5" tint="0.39997558519241921"/>
        </bottom>
      </border>
      <protection locked="0" hidden="1"/>
    </dxf>
    <dxf>
      <font>
        <strike val="0"/>
        <outline val="0"/>
        <shadow val="0"/>
        <u val="none"/>
        <vertAlign val="baseline"/>
        <sz val="8"/>
        <color theme="1"/>
        <name val="Segoe UI Light"/>
        <family val="2"/>
        <scheme val="minor"/>
      </font>
      <numFmt numFmtId="167" formatCode="_(#,##0_);_(\(#,##0\);_(\-_);_(@_)"/>
      <alignment horizontal="general" vertical="center" textRotation="0" wrapText="0" indent="0" justifyLastLine="0" shrinkToFit="0" readingOrder="0"/>
      <border diagonalUp="0" diagonalDown="0" outline="0">
        <left/>
        <right/>
        <top style="thin">
          <color theme="5" tint="0.39997558519241921"/>
        </top>
        <bottom style="thin">
          <color theme="5" tint="0.39997558519241921"/>
        </bottom>
      </border>
      <protection locked="0" hidden="1"/>
    </dxf>
    <dxf>
      <font>
        <b val="0"/>
        <i val="0"/>
        <strike val="0"/>
        <condense val="0"/>
        <extend val="0"/>
        <outline val="0"/>
        <shadow val="0"/>
        <u val="none"/>
        <vertAlign val="baseline"/>
        <sz val="8"/>
        <color theme="1"/>
        <name val="Segoe UI Light"/>
        <family val="2"/>
        <scheme val="minor"/>
      </font>
      <numFmt numFmtId="167" formatCode="_(#,##0_);_(\(#,##0\);_(\-_);_(@_)"/>
      <alignment horizontal="general" vertical="center" textRotation="0" wrapText="0" indent="0" justifyLastLine="0" shrinkToFit="0" readingOrder="0"/>
      <border diagonalUp="0" diagonalDown="0" outline="0">
        <left/>
        <right/>
        <top style="thin">
          <color theme="5" tint="0.39997558519241921"/>
        </top>
        <bottom style="thin">
          <color theme="5" tint="0.39997558519241921"/>
        </bottom>
      </border>
      <protection locked="0" hidden="1"/>
    </dxf>
    <dxf>
      <font>
        <strike val="0"/>
        <outline val="0"/>
        <shadow val="0"/>
        <u val="none"/>
        <vertAlign val="baseline"/>
        <sz val="8"/>
        <color auto="1"/>
        <name val="Segoe UI Light"/>
        <family val="2"/>
        <scheme val="minor"/>
      </font>
      <numFmt numFmtId="168" formatCode="dd/mm/yyyy"/>
      <alignment horizontal="right" vertical="center" textRotation="0" wrapText="0" indent="0" justifyLastLine="0" shrinkToFit="0" readingOrder="0"/>
      <border diagonalUp="0" diagonalDown="0">
        <left/>
        <right/>
        <top style="thin">
          <color theme="5" tint="0.39997558519241921"/>
        </top>
        <bottom style="thin">
          <color theme="5" tint="0.39997558519241921"/>
        </bottom>
        <vertical/>
        <horizontal/>
      </border>
      <protection locked="0" hidden="1"/>
    </dxf>
    <dxf>
      <protection locked="0" hidden="1"/>
    </dxf>
    <dxf>
      <font>
        <strike val="0"/>
        <outline val="0"/>
        <shadow val="0"/>
        <u val="none"/>
        <vertAlign val="baseline"/>
        <sz val="8"/>
        <color theme="0"/>
        <name val="Segoe UI Light"/>
        <family val="2"/>
        <scheme val="minor"/>
      </font>
      <alignment horizontal="general" vertical="center" textRotation="0" wrapText="0" indent="0" justifyLastLine="0" shrinkToFit="0" readingOrder="0"/>
      <protection locked="0" hidden="1"/>
    </dxf>
    <dxf>
      <font>
        <i val="0"/>
        <strike val="0"/>
        <outline val="0"/>
        <shadow val="0"/>
        <u val="none"/>
        <vertAlign val="baseline"/>
        <sz val="8"/>
        <color theme="9"/>
        <name val="Segoe UI Light"/>
        <family val="2"/>
        <scheme val="minor"/>
      </font>
      <numFmt numFmtId="169" formatCode="0.0%"/>
      <alignment vertical="center" textRotation="0" wrapText="0" indent="0" justifyLastLine="0" shrinkToFit="0" readingOrder="0"/>
      <protection locked="0" hidden="1"/>
    </dxf>
    <dxf>
      <font>
        <i val="0"/>
        <strike val="0"/>
        <outline val="0"/>
        <shadow val="0"/>
        <u val="none"/>
        <vertAlign val="baseline"/>
        <sz val="8"/>
        <color theme="1"/>
        <name val="Segoe UI Light"/>
        <family val="2"/>
        <scheme val="minor"/>
      </font>
      <numFmt numFmtId="164" formatCode="_(* #,##0_);_(* \(#,##0\);_(* &quot;-&quot;??_);_(@_)"/>
      <alignment vertical="center" textRotation="0" wrapText="0" indent="0" justifyLastLine="0" shrinkToFit="0" readingOrder="0"/>
      <protection locked="0" hidden="1"/>
    </dxf>
    <dxf>
      <font>
        <b val="0"/>
        <i val="0"/>
        <strike val="0"/>
        <condense val="0"/>
        <extend val="0"/>
        <outline val="0"/>
        <shadow val="0"/>
        <u val="none"/>
        <vertAlign val="baseline"/>
        <sz val="8"/>
        <color theme="9"/>
        <name val="Segoe UI Light"/>
        <family val="2"/>
        <scheme val="minor"/>
      </font>
      <numFmt numFmtId="164" formatCode="_(* #,##0_);_(* \(#,##0\);_(* &quot;-&quot;??_);_(@_)"/>
      <alignment horizontal="general" vertical="center" textRotation="0" wrapText="0" indent="0" justifyLastLine="0" shrinkToFit="0" readingOrder="0"/>
      <protection locked="0" hidden="1"/>
    </dxf>
    <dxf>
      <font>
        <i val="0"/>
        <strike val="0"/>
        <outline val="0"/>
        <shadow val="0"/>
        <u val="none"/>
        <vertAlign val="baseline"/>
        <sz val="8"/>
        <color theme="1"/>
        <name val="Segoe UI Light"/>
        <family val="2"/>
        <scheme val="minor"/>
      </font>
      <numFmt numFmtId="0" formatCode="General"/>
      <alignment vertical="center" textRotation="0" wrapText="0" indent="0" justifyLastLine="0" shrinkToFit="0" readingOrder="0"/>
      <protection locked="0" hidden="1"/>
    </dxf>
    <dxf>
      <font>
        <i val="0"/>
        <strike val="0"/>
        <outline val="0"/>
        <shadow val="0"/>
        <u val="none"/>
        <vertAlign val="baseline"/>
        <sz val="8"/>
        <color auto="1"/>
        <name val="Segoe UI Light"/>
        <family val="2"/>
        <scheme val="minor"/>
      </font>
      <numFmt numFmtId="165" formatCode="mm\-yyyy"/>
      <alignment horizontal="general" vertical="center" textRotation="0" wrapText="0" indent="0" justifyLastLine="0" shrinkToFit="0" readingOrder="0"/>
      <protection locked="0" hidden="1"/>
    </dxf>
    <dxf>
      <font>
        <i val="0"/>
        <strike val="0"/>
        <outline val="0"/>
        <shadow val="0"/>
        <u val="none"/>
        <vertAlign val="baseline"/>
        <sz val="8"/>
        <color theme="1"/>
        <name val="Segoe UI Light"/>
        <family val="2"/>
        <scheme val="minor"/>
      </font>
      <alignment vertical="center" textRotation="0" wrapText="0" indent="0" justifyLastLine="0" shrinkToFit="0" readingOrder="0"/>
      <protection locked="0" hidden="1"/>
    </dxf>
    <dxf>
      <font>
        <i val="0"/>
        <strike val="0"/>
        <outline val="0"/>
        <shadow val="0"/>
        <u val="none"/>
        <vertAlign val="baseline"/>
        <sz val="8"/>
        <color theme="1"/>
        <name val="Segoe UI Light"/>
        <family val="2"/>
        <scheme val="minor"/>
      </font>
      <alignment vertical="center" textRotation="0" wrapText="0" indent="0" justifyLastLine="0" shrinkToFit="0" readingOrder="0"/>
      <protection locked="0" hidden="1"/>
    </dxf>
    <dxf>
      <font>
        <b val="0"/>
        <i val="0"/>
        <strike val="0"/>
        <condense val="0"/>
        <extend val="0"/>
        <outline val="0"/>
        <shadow val="0"/>
        <u val="none"/>
        <vertAlign val="baseline"/>
        <sz val="8"/>
        <color theme="9"/>
        <name val="Segoe UI Light"/>
        <family val="2"/>
        <scheme val="minor"/>
      </font>
      <numFmt numFmtId="164" formatCode="_(* #,##0_);_(* \(#,##0\);_(* &quot;-&quot;??_);_(@_)"/>
      <alignment horizontal="general" vertical="center" textRotation="0" wrapText="0" indent="0" justifyLastLine="0" shrinkToFit="0" readingOrder="0"/>
      <protection locked="0" hidden="1"/>
    </dxf>
    <dxf>
      <font>
        <b val="0"/>
        <i val="0"/>
        <strike val="0"/>
        <condense val="0"/>
        <extend val="0"/>
        <outline val="0"/>
        <shadow val="0"/>
        <u val="none"/>
        <vertAlign val="baseline"/>
        <sz val="8"/>
        <color theme="1"/>
        <name val="Segoe UI Light"/>
        <family val="2"/>
        <scheme val="minor"/>
      </font>
      <numFmt numFmtId="13" formatCode="0%"/>
      <alignment horizontal="general" vertical="center" textRotation="0" wrapText="0" indent="0" justifyLastLine="0" shrinkToFit="0" readingOrder="0"/>
      <protection locked="0" hidden="1"/>
    </dxf>
    <dxf>
      <font>
        <b val="0"/>
        <i val="0"/>
        <strike val="0"/>
        <condense val="0"/>
        <extend val="0"/>
        <outline val="0"/>
        <shadow val="0"/>
        <u val="none"/>
        <vertAlign val="baseline"/>
        <sz val="8"/>
        <color theme="1"/>
        <name val="Segoe UI Light"/>
        <family val="2"/>
        <scheme val="minor"/>
      </font>
      <numFmt numFmtId="164" formatCode="_(* #,##0_);_(* \(#,##0\);_(* &quot;-&quot;??_);_(@_)"/>
      <alignment horizontal="general" vertical="center" textRotation="0" wrapText="0" indent="0" justifyLastLine="0" shrinkToFit="0" readingOrder="0"/>
      <protection locked="0" hidden="1"/>
    </dxf>
    <dxf>
      <font>
        <b val="0"/>
        <i val="0"/>
        <strike val="0"/>
        <condense val="0"/>
        <extend val="0"/>
        <outline val="0"/>
        <shadow val="0"/>
        <u val="none"/>
        <vertAlign val="baseline"/>
        <sz val="8"/>
        <color theme="1"/>
        <name val="Segoe UI Light"/>
        <family val="2"/>
        <scheme val="minor"/>
      </font>
      <numFmt numFmtId="164" formatCode="_(* #,##0_);_(* \(#,##0\);_(* &quot;-&quot;??_);_(@_)"/>
      <alignment horizontal="general" vertical="center" textRotation="0" wrapText="0" indent="0" justifyLastLine="0" shrinkToFit="0" readingOrder="0"/>
      <protection locked="0" hidden="1"/>
    </dxf>
    <dxf>
      <font>
        <i val="0"/>
        <strike val="0"/>
        <outline val="0"/>
        <shadow val="0"/>
        <u val="none"/>
        <vertAlign val="baseline"/>
        <sz val="8"/>
        <color theme="1"/>
        <name val="Segoe UI Light"/>
        <family val="2"/>
        <scheme val="minor"/>
      </font>
      <alignment vertical="center" textRotation="0" wrapText="0" indent="0" justifyLastLine="0" shrinkToFit="0" readingOrder="0"/>
      <protection locked="0" hidden="1"/>
    </dxf>
    <dxf>
      <font>
        <i val="0"/>
        <strike val="0"/>
        <outline val="0"/>
        <shadow val="0"/>
        <u val="none"/>
        <vertAlign val="baseline"/>
        <sz val="8"/>
        <color theme="1"/>
        <name val="Segoe UI Light"/>
        <family val="2"/>
        <scheme val="minor"/>
      </font>
      <alignment vertical="center" textRotation="0" wrapText="0" indent="0" justifyLastLine="0" shrinkToFit="0" readingOrder="0"/>
      <protection locked="0" hidden="1"/>
    </dxf>
    <dxf>
      <font>
        <b val="0"/>
        <i val="0"/>
        <strike val="0"/>
        <condense val="0"/>
        <extend val="0"/>
        <outline val="0"/>
        <shadow val="0"/>
        <u val="none"/>
        <vertAlign val="baseline"/>
        <sz val="8"/>
        <color theme="9"/>
        <name val="Segoe UI Light"/>
        <family val="2"/>
        <scheme val="minor"/>
      </font>
      <numFmt numFmtId="164" formatCode="_(* #,##0_);_(* \(#,##0\);_(* &quot;-&quot;??_);_(@_)"/>
      <alignment horizontal="general" vertical="center" textRotation="0" wrapText="0" indent="0" justifyLastLine="0" shrinkToFit="0" readingOrder="0"/>
      <protection locked="0" hidden="1"/>
    </dxf>
    <dxf>
      <font>
        <b val="0"/>
        <i val="0"/>
        <strike val="0"/>
        <condense val="0"/>
        <extend val="0"/>
        <outline val="0"/>
        <shadow val="0"/>
        <u val="none"/>
        <vertAlign val="baseline"/>
        <sz val="8"/>
        <color theme="9"/>
        <name val="Segoe UI Light"/>
        <family val="2"/>
        <scheme val="minor"/>
      </font>
      <numFmt numFmtId="164" formatCode="_(* #,##0_);_(* \(#,##0\);_(* &quot;-&quot;??_);_(@_)"/>
      <alignment horizontal="general" vertical="center" textRotation="0" wrapText="0" indent="0" justifyLastLine="0" shrinkToFit="0" readingOrder="0"/>
      <protection locked="0" hidden="1"/>
    </dxf>
    <dxf>
      <font>
        <b val="0"/>
        <i val="0"/>
        <strike val="0"/>
        <condense val="0"/>
        <extend val="0"/>
        <outline val="0"/>
        <shadow val="0"/>
        <u val="none"/>
        <vertAlign val="baseline"/>
        <sz val="8"/>
        <color auto="1"/>
        <name val="Segoe UI Light"/>
        <family val="2"/>
        <scheme val="minor"/>
      </font>
      <numFmt numFmtId="168" formatCode="dd/mm/yyyy"/>
      <alignment horizontal="right" vertical="center" textRotation="0" wrapText="0" indent="0" justifyLastLine="0" shrinkToFit="0" readingOrder="0"/>
      <border diagonalUp="0" diagonalDown="0">
        <left/>
        <right/>
        <top style="thin">
          <color theme="5" tint="0.39997558519241921"/>
        </top>
        <bottom style="thin">
          <color theme="5" tint="0.39997558519241921"/>
        </bottom>
        <vertical/>
        <horizontal/>
      </border>
      <protection locked="0" hidden="1"/>
    </dxf>
    <dxf>
      <font>
        <b val="0"/>
        <i val="0"/>
        <strike val="0"/>
        <condense val="0"/>
        <extend val="0"/>
        <outline val="0"/>
        <shadow val="0"/>
        <u val="none"/>
        <vertAlign val="baseline"/>
        <sz val="8"/>
        <color theme="1"/>
        <name val="Segoe UI Light"/>
        <family val="2"/>
        <scheme val="minor"/>
      </font>
      <alignment horizontal="general" vertical="center" textRotation="0" wrapText="0" indent="0" justifyLastLine="0" shrinkToFit="0" readingOrder="0"/>
      <protection locked="0" hidden="1"/>
    </dxf>
    <dxf>
      <font>
        <b val="0"/>
        <i val="0"/>
        <strike val="0"/>
        <condense val="0"/>
        <extend val="0"/>
        <outline val="0"/>
        <shadow val="0"/>
        <u val="none"/>
        <vertAlign val="baseline"/>
        <sz val="8"/>
        <color theme="1"/>
        <name val="Segoe UI Light"/>
        <family val="2"/>
        <scheme val="minor"/>
      </font>
      <alignment horizontal="general" vertical="center" textRotation="0" wrapText="0" indent="0" justifyLastLine="0" shrinkToFit="0" readingOrder="0"/>
      <protection locked="0" hidden="1"/>
    </dxf>
    <dxf>
      <font>
        <color theme="0"/>
      </font>
      <border>
        <vertical/>
        <horizontal/>
      </border>
    </dxf>
    <dxf>
      <font>
        <color theme="0"/>
      </font>
      <border>
        <vertical/>
        <horizontal/>
      </border>
    </dxf>
    <dxf>
      <font>
        <color theme="0"/>
      </font>
      <border>
        <vertical/>
        <horizontal/>
      </border>
    </dxf>
    <dxf>
      <font>
        <color theme="0"/>
      </font>
      <border>
        <vertical/>
        <horizontal/>
      </border>
    </dxf>
    <dxf>
      <font>
        <color theme="0"/>
      </font>
      <border>
        <vertical/>
        <horizontal/>
      </border>
    </dxf>
    <dxf>
      <font>
        <color theme="0"/>
      </font>
      <border>
        <vertical/>
        <horizontal/>
      </border>
    </dxf>
    <dxf>
      <font>
        <b/>
        <sz val="11"/>
        <color theme="1"/>
      </font>
      <border>
        <vertical/>
        <horizontal/>
      </border>
    </dxf>
    <dxf>
      <font>
        <color theme="1"/>
      </font>
      <fill>
        <patternFill>
          <bgColor theme="6" tint="0.79998168889431442"/>
        </patternFill>
      </fill>
      <border diagonalUp="0" diagonalDown="0">
        <left/>
        <right/>
        <top/>
        <bottom/>
        <vertical/>
        <horizontal/>
      </border>
    </dxf>
    <dxf>
      <font>
        <b/>
        <color theme="1"/>
      </font>
      <border>
        <bottom style="thin">
          <color theme="4"/>
        </bottom>
        <vertical/>
        <horizontal/>
      </border>
    </dxf>
    <dxf>
      <font>
        <color theme="1"/>
      </font>
      <fill>
        <patternFill>
          <bgColor theme="6" tint="0.79998168889431442"/>
        </patternFill>
      </fill>
      <border>
        <left/>
        <right/>
        <top/>
        <bottom/>
        <vertical/>
        <horizontal/>
      </border>
    </dxf>
    <dxf>
      <font>
        <b/>
        <color theme="1"/>
      </font>
      <border>
        <bottom style="thin">
          <color theme="4"/>
        </bottom>
        <vertical/>
        <horizontal/>
      </border>
    </dxf>
    <dxf>
      <font>
        <color theme="1"/>
      </font>
      <fill>
        <patternFill>
          <bgColor theme="6" tint="0.79998168889431442"/>
        </patternFill>
      </fill>
      <border>
        <left/>
        <right/>
        <top/>
        <bottom/>
        <vertical/>
        <horizontal/>
      </border>
    </dxf>
  </dxfs>
  <tableStyles count="3" defaultTableStyle="TableStyleMedium2" defaultPivotStyle="PivotStyleLight16">
    <tableStyle name="SlicerStyleLight1 2" pivot="0" table="0" count="10" xr9:uid="{DB9C5353-83DD-4812-B508-5E967EF69B50}">
      <tableStyleElement type="wholeTable" dxfId="35"/>
      <tableStyleElement type="headerRow" dxfId="34"/>
    </tableStyle>
    <tableStyle name="SlicerStyleLight1 2 2" pivot="0" table="0" count="10" xr9:uid="{9DB8D611-4D15-4128-AF8D-E3329BCC5BCE}">
      <tableStyleElement type="wholeTable" dxfId="33"/>
      <tableStyleElement type="headerRow" dxfId="32"/>
    </tableStyle>
    <tableStyle name="TimeSlicerStyleLight1 2" pivot="0" table="0" count="9" xr9:uid="{58382D9D-B456-41C4-B229-09D2A872184E}">
      <tableStyleElement type="wholeTable" dxfId="31"/>
      <tableStyleElement type="headerRow" dxfId="30"/>
    </tableStyle>
  </tableStyles>
  <colors>
    <mruColors>
      <color rgb="FFFF7C80"/>
    </mruColors>
  </colors>
  <extLst>
    <ext xmlns:x14="http://schemas.microsoft.com/office/spreadsheetml/2009/9/main" uri="{46F421CA-312F-682f-3DD2-61675219B42D}">
      <x14:dxfs count="16">
        <dxf>
          <font>
            <sz val="8"/>
            <color rgb="FF000000"/>
          </font>
          <fill>
            <gradientFill degree="90">
              <stop position="0">
                <color rgb="FFF8E162"/>
              </stop>
              <stop position="1">
                <color rgb="FFFCF7E0"/>
              </stop>
            </gradientFill>
          </fill>
          <border>
            <left style="thin">
              <color rgb="FF999999"/>
            </left>
            <right style="thin">
              <color rgb="FF999999"/>
            </right>
            <top style="thin">
              <color rgb="FF999999"/>
            </top>
            <bottom style="thin">
              <color rgb="FF999999"/>
            </bottom>
            <vertical/>
            <horizontal/>
          </border>
        </dxf>
        <dxf>
          <font>
            <color rgb="FF000000"/>
          </font>
          <fill>
            <gradientFill degree="90">
              <stop position="0">
                <color rgb="FFF8E162"/>
              </stop>
              <stop position="1">
                <color rgb="FFFCF7E0"/>
              </stop>
            </gradientFill>
          </fill>
          <border>
            <left style="thin">
              <color rgb="FF999999"/>
            </left>
            <right style="thin">
              <color rgb="FF999999"/>
            </right>
            <top style="thin">
              <color rgb="FF999999"/>
            </top>
            <bottom style="thin">
              <color rgb="FF999999"/>
            </bottom>
            <vertical/>
            <horizontal/>
          </border>
        </dxf>
        <dxf>
          <font>
            <sz val="8"/>
            <color rgb="FF000000"/>
          </font>
          <fill>
            <patternFill patternType="solid">
              <fgColor auto="1"/>
              <bgColor theme="9"/>
            </patternFill>
          </fill>
          <border>
            <left style="thin">
              <color rgb="FF999999"/>
            </left>
            <right style="thin">
              <color rgb="FF999999"/>
            </right>
            <top style="thin">
              <color rgb="FF999999"/>
            </top>
            <bottom style="thin">
              <color rgb="FF999999"/>
            </bottom>
            <vertical/>
            <horizontal/>
          </border>
        </dxf>
        <dxf>
          <font>
            <sz val="8"/>
            <color rgb="FF000000"/>
          </font>
          <fill>
            <patternFill patternType="solid">
              <fgColor auto="1"/>
              <bgColor theme="6"/>
            </patternFill>
          </fill>
          <border>
            <left style="thin">
              <color rgb="FF999999"/>
            </left>
            <right style="thin">
              <color rgb="FF999999"/>
            </right>
            <top style="thin">
              <color rgb="FF999999"/>
            </top>
            <bottom style="thin">
              <color rgb="FF999999"/>
            </bottom>
            <vertical/>
            <horizontal/>
          </border>
        </dxf>
        <dxf>
          <font>
            <color rgb="FF828282"/>
          </font>
          <fill>
            <patternFill patternType="solid">
              <fgColor theme="4" tint="0.79998168889431442"/>
              <bgColor theme="4" tint="0.79998168889431442"/>
            </patternFill>
          </fill>
          <border>
            <left style="thin">
              <color rgb="FFCCCCCC"/>
            </left>
            <right style="thin">
              <color rgb="FFCCCCCC"/>
            </right>
            <top style="thin">
              <color rgb="FFCCCCCC"/>
            </top>
            <bottom style="thin">
              <color rgb="FFCCCCCC"/>
            </bottom>
            <vertical/>
            <horizontal/>
          </border>
        </dxf>
        <dxf>
          <font>
            <b/>
            <i val="0"/>
            <sz val="8"/>
            <color theme="9"/>
          </font>
          <fill>
            <patternFill patternType="solid">
              <fgColor theme="4" tint="0.59999389629810485"/>
              <bgColor theme="9" tint="0.79998168889431442"/>
            </patternFill>
          </fill>
          <border>
            <left style="thin">
              <color rgb="FF999999"/>
            </left>
            <right style="thin">
              <color rgb="FF999999"/>
            </right>
            <top style="thin">
              <color rgb="FF999999"/>
            </top>
            <bottom style="thin">
              <color rgb="FF999999"/>
            </bottom>
            <vertical/>
            <horizontal/>
          </border>
        </dxf>
        <dxf>
          <font>
            <color rgb="FF828282"/>
          </font>
          <fill>
            <patternFill patternType="solid">
              <fgColor rgb="FFFFFFFF"/>
              <bgColor rgb="FFFFFFFF"/>
            </patternFill>
          </fill>
          <border>
            <left style="thin">
              <color rgb="FFE0E0E0"/>
            </left>
            <right style="thin">
              <color rgb="FFE0E0E0"/>
            </right>
            <top style="thin">
              <color rgb="FFE0E0E0"/>
            </top>
            <bottom style="thin">
              <color rgb="FFE0E0E0"/>
            </bottom>
            <vertical/>
            <horizontal/>
          </border>
        </dxf>
        <dxf>
          <font>
            <sz val="8"/>
            <color rgb="FF000000"/>
          </font>
          <fill>
            <patternFill patternType="solid">
              <fgColor rgb="FFFFFFFF"/>
              <bgColor theme="6" tint="0.79998168889431442"/>
            </patternFill>
          </fill>
          <border>
            <left style="thin">
              <color rgb="FFCCCCCC"/>
            </left>
            <right style="thin">
              <color rgb="FFCCCCCC"/>
            </right>
            <top style="thin">
              <color rgb="FFCCCCCC"/>
            </top>
            <bottom style="thin">
              <color rgb="FFCCCCCC"/>
            </bottom>
            <vertical/>
            <horizontal/>
          </border>
        </dxf>
        <dxf>
          <font>
            <color rgb="FF000000"/>
          </font>
          <fill>
            <gradientFill degree="90">
              <stop position="0">
                <color rgb="FFF8E162"/>
              </stop>
              <stop position="1">
                <color rgb="FFFCF7E0"/>
              </stop>
            </gradientFill>
          </fill>
          <border>
            <left style="thin">
              <color rgb="FF999999"/>
            </left>
            <right style="thin">
              <color rgb="FF999999"/>
            </right>
            <top style="thin">
              <color rgb="FF999999"/>
            </top>
            <bottom style="thin">
              <color rgb="FF999999"/>
            </bottom>
            <vertical/>
            <horizontal/>
          </border>
        </dxf>
        <dxf>
          <font>
            <color rgb="FF000000"/>
          </font>
          <fill>
            <gradientFill degree="90">
              <stop position="0">
                <color rgb="FFF8E162"/>
              </stop>
              <stop position="1">
                <color rgb="FFFCF7E0"/>
              </stop>
            </gradientFill>
          </fill>
          <border>
            <left style="thin">
              <color rgb="FF999999"/>
            </left>
            <right style="thin">
              <color rgb="FF999999"/>
            </right>
            <top style="thin">
              <color rgb="FF999999"/>
            </top>
            <bottom style="thin">
              <color rgb="FF999999"/>
            </bottom>
            <vertical/>
            <horizontal/>
          </border>
        </dxf>
        <dxf>
          <font>
            <b/>
            <i val="0"/>
            <color theme="1"/>
          </font>
          <fill>
            <patternFill patternType="solid">
              <fgColor auto="1"/>
              <bgColor theme="9"/>
            </patternFill>
          </fill>
          <border>
            <left style="thin">
              <color rgb="FF999999"/>
            </left>
            <right style="thin">
              <color rgb="FF999999"/>
            </right>
            <top style="thin">
              <color rgb="FF999999"/>
            </top>
            <bottom style="thin">
              <color rgb="FF999999"/>
            </bottom>
            <vertical/>
            <horizontal/>
          </border>
        </dxf>
        <dxf>
          <font>
            <color rgb="FF000000"/>
          </font>
          <fill>
            <patternFill patternType="solid">
              <fgColor auto="1"/>
              <bgColor theme="6"/>
            </patternFill>
          </fill>
          <border>
            <left style="thin">
              <color rgb="FF999999"/>
            </left>
            <right style="thin">
              <color rgb="FF999999"/>
            </right>
            <top style="thin">
              <color rgb="FF999999"/>
            </top>
            <bottom style="thin">
              <color rgb="FF999999"/>
            </bottom>
            <vertical/>
            <horizontal/>
          </border>
        </dxf>
        <dxf>
          <font>
            <color rgb="FF828282"/>
          </font>
          <fill>
            <patternFill patternType="solid">
              <fgColor theme="4" tint="0.79998168889431442"/>
              <bgColor theme="4" tint="0.79998168889431442"/>
            </patternFill>
          </fill>
          <border>
            <left style="thin">
              <color rgb="FFCCCCCC"/>
            </left>
            <right style="thin">
              <color rgb="FFCCCCCC"/>
            </right>
            <top style="thin">
              <color rgb="FFCCCCCC"/>
            </top>
            <bottom style="thin">
              <color rgb="FFCCCCCC"/>
            </bottom>
            <vertical/>
            <horizontal/>
          </border>
        </dxf>
        <dxf>
          <font>
            <b/>
            <i val="0"/>
            <color theme="9"/>
          </font>
          <fill>
            <patternFill patternType="solid">
              <fgColor theme="4" tint="0.59999389629810485"/>
              <bgColor theme="9" tint="0.79998168889431442"/>
            </patternFill>
          </fill>
          <border>
            <left style="thin">
              <color rgb="FF999999"/>
            </left>
            <right style="thin">
              <color rgb="FF999999"/>
            </right>
            <top style="thin">
              <color rgb="FF999999"/>
            </top>
            <bottom style="thin">
              <color rgb="FF999999"/>
            </bottom>
            <vertical/>
            <horizontal/>
          </border>
        </dxf>
        <dxf>
          <font>
            <color rgb="FF828282"/>
          </font>
          <fill>
            <patternFill patternType="solid">
              <fgColor rgb="FFFFFFFF"/>
              <bgColor rgb="FFFFFFFF"/>
            </patternFill>
          </fill>
          <border>
            <left style="thin">
              <color rgb="FFE0E0E0"/>
            </left>
            <right style="thin">
              <color rgb="FFE0E0E0"/>
            </right>
            <top style="thin">
              <color rgb="FFE0E0E0"/>
            </top>
            <bottom style="thin">
              <color rgb="FFE0E0E0"/>
            </bottom>
            <vertical/>
            <horizontal/>
          </border>
        </dxf>
        <dxf>
          <font>
            <color rgb="FF000000"/>
          </font>
          <fill>
            <patternFill patternType="solid">
              <fgColor rgb="FFFFFFFF"/>
              <bgColor theme="6" tint="0.79998168889431442"/>
            </patternFill>
          </fill>
          <border>
            <left style="thin">
              <color rgb="FFCCCCCC"/>
            </left>
            <right style="thin">
              <color rgb="FFCCCCCC"/>
            </right>
            <top style="thin">
              <color rgb="FFCCCCCC"/>
            </top>
            <bottom style="thin">
              <color rgb="FFCCCCCC"/>
            </bottom>
            <vertical/>
            <horizontal/>
          </border>
        </dxf>
      </x14:dxfs>
    </ext>
    <ext xmlns:x14="http://schemas.microsoft.com/office/spreadsheetml/2009/9/main" uri="{EB79DEF2-80B8-43e5-95BD-54CBDDF9020C}">
      <x14:slicerStyles defaultSlicerStyle="SlicerStyleLight1 2">
        <x14:slicerStyle name="SlicerStyleLight1 2">
          <x14:slicerStyleElements>
            <x14:slicerStyleElement type="unselectedItemWithData" dxfId="15"/>
            <x14:slicerStyleElement type="unselectedItemWithNoData" dxfId="14"/>
            <x14:slicerStyleElement type="selectedItemWithData" dxfId="13"/>
            <x14:slicerStyleElement type="selectedItemWithNoData" dxfId="12"/>
            <x14:slicerStyleElement type="hoveredUnselectedItemWithData" dxfId="11"/>
            <x14:slicerStyleElement type="hoveredSelectedItemWithData" dxfId="10"/>
            <x14:slicerStyleElement type="hoveredUnselectedItemWithNoData" dxfId="9"/>
            <x14:slicerStyleElement type="hoveredSelectedItemWithNoData" dxfId="8"/>
          </x14:slicerStyleElements>
        </x14:slicerStyle>
        <x14:slicerStyle name="SlicerStyleLight1 2 2">
          <x14:slicerStyleElements>
            <x14:slicerStyleElement type="unselectedItemWithData" dxfId="7"/>
            <x14:slicerStyleElement type="unselectedItemWithNoData" dxfId="6"/>
            <x14:slicerStyleElement type="selectedItemWithData" dxfId="5"/>
            <x14:slicerStyleElement type="selectedItemWithNoData" dxfId="4"/>
            <x14:slicerStyleElement type="hoveredUnselectedItemWithData" dxfId="3"/>
            <x14:slicerStyleElement type="hoveredSelectedItemWithData" dxfId="2"/>
            <x14:slicerStyleElement type="hoveredUnselectedItemWithNoData" dxfId="1"/>
            <x14:slicerStyleElement type="hoveredSelectedItemWithNoData" dxfId="0"/>
          </x14:slicerStyleElements>
        </x14:slicerStyle>
      </x14:slicerStyles>
    </ext>
    <ext xmlns:x15="http://schemas.microsoft.com/office/spreadsheetml/2010/11/main" uri="{A0A4C193-F2C1-4fcb-8827-314CF55A85BB}">
      <x15:dxfs count="7">
        <dxf>
          <fill>
            <patternFill patternType="solid">
              <fgColor theme="4" tint="0.39997558519241921"/>
              <bgColor theme="4" tint="0.39997558519241921"/>
            </patternFill>
          </fill>
          <border>
            <vertical/>
            <horizontal/>
          </border>
        </dxf>
        <dxf>
          <fill>
            <patternFill patternType="solid">
              <fgColor auto="1"/>
              <bgColor theme="7" tint="0.79998168889431442"/>
            </patternFill>
          </fill>
          <border>
            <vertical/>
            <horizontal/>
          </border>
        </dxf>
        <dxf>
          <fill>
            <patternFill patternType="solid">
              <fgColor auto="1"/>
              <bgColor theme="9"/>
            </patternFill>
          </fill>
          <border>
            <vertical/>
            <horizontal/>
          </border>
        </dxf>
        <dxf>
          <font>
            <sz val="9"/>
            <color theme="1" tint="0.499984740745262"/>
          </font>
          <border>
            <left/>
            <right/>
            <top/>
            <bottom/>
            <vertical/>
            <horizontal/>
          </border>
        </dxf>
        <dxf>
          <font>
            <sz val="9"/>
            <color theme="1" tint="0.499984740745262"/>
          </font>
          <border>
            <left/>
            <right/>
            <top/>
            <bottom/>
            <vertical/>
            <horizontal/>
          </border>
        </dxf>
        <dxf>
          <font>
            <sz val="9"/>
            <color theme="1" tint="0.499984740745262"/>
          </font>
          <border>
            <left/>
            <right/>
            <top/>
            <bottom/>
            <vertical/>
            <horizontal/>
          </border>
        </dxf>
        <dxf>
          <font>
            <sz val="10"/>
            <color theme="4" tint="-0.249977111117893"/>
          </font>
          <border>
            <left/>
            <right/>
            <top/>
            <bottom/>
            <vertical/>
            <horizontal/>
          </border>
        </dxf>
      </x15:dxfs>
    </ext>
    <ext xmlns:x15="http://schemas.microsoft.com/office/spreadsheetml/2010/11/main" uri="{9260A510-F301-46a8-8635-F512D64BE5F5}">
      <x15:timelineStyles defaultTimelineStyle="TimeSlicerStyleLight1">
        <x15:timelineStyle name="TimeSlicerStyleLight1 2">
          <x15:timelineStyleElements>
            <x15:timelineStyleElement type="selectionLabel" dxfId="6"/>
            <x15:timelineStyleElement type="timeLevel" dxfId="5"/>
            <x15:timelineStyleElement type="periodLabel1" dxfId="4"/>
            <x15:timelineStyleElement type="periodLabel2" dxfId="3"/>
            <x15:timelineStyleElement type="selectedTimeBlock" dxfId="2"/>
            <x15:timelineStyleElement type="unselectedTimeBlock" dxfId="1"/>
            <x15:timelineStyleElement type="selectedTimeBlockSpace" dxfId="0"/>
          </x15:timelineStyleElements>
        </x15:timelineStyle>
      </x15:timelineStyles>
    </ext>
  </extLst>
</styleSheet>
</file>

<file path=xl/_rels/workbook.xml.rels><?xml version="1.0" encoding="UTF-8" standalone="yes"?>
<Relationships xmlns="http://schemas.openxmlformats.org/package/2006/relationships"><Relationship Id="rId13" Type="http://schemas.openxmlformats.org/officeDocument/2006/relationships/customXml" Target="../customXml/item3.xml"/><Relationship Id="rId18" Type="http://schemas.openxmlformats.org/officeDocument/2006/relationships/customXml" Target="../customXml/item8.xml"/><Relationship Id="rId26" Type="http://schemas.openxmlformats.org/officeDocument/2006/relationships/customXml" Target="../customXml/item16.xml"/><Relationship Id="rId3" Type="http://schemas.openxmlformats.org/officeDocument/2006/relationships/worksheet" Target="worksheets/sheet3.xml"/><Relationship Id="rId21" Type="http://schemas.openxmlformats.org/officeDocument/2006/relationships/customXml" Target="../customXml/item11.xml"/><Relationship Id="rId34" Type="http://schemas.microsoft.com/office/2006/relationships/vbaProject" Target="vbaProject.bin"/><Relationship Id="rId7" Type="http://schemas.openxmlformats.org/officeDocument/2006/relationships/styles" Target="styles.xml"/><Relationship Id="rId12" Type="http://schemas.openxmlformats.org/officeDocument/2006/relationships/customXml" Target="../customXml/item2.xml"/><Relationship Id="rId17" Type="http://schemas.openxmlformats.org/officeDocument/2006/relationships/customXml" Target="../customXml/item7.xml"/><Relationship Id="rId25" Type="http://schemas.openxmlformats.org/officeDocument/2006/relationships/customXml" Target="../customXml/item15.xml"/><Relationship Id="rId33" Type="http://schemas.openxmlformats.org/officeDocument/2006/relationships/customXml" Target="../customXml/item23.xml"/><Relationship Id="rId2" Type="http://schemas.openxmlformats.org/officeDocument/2006/relationships/worksheet" Target="worksheets/sheet2.xml"/><Relationship Id="rId16" Type="http://schemas.openxmlformats.org/officeDocument/2006/relationships/customXml" Target="../customXml/item6.xml"/><Relationship Id="rId20" Type="http://schemas.openxmlformats.org/officeDocument/2006/relationships/customXml" Target="../customXml/item10.xml"/><Relationship Id="rId29" Type="http://schemas.openxmlformats.org/officeDocument/2006/relationships/customXml" Target="../customXml/item19.xml"/><Relationship Id="rId1" Type="http://schemas.openxmlformats.org/officeDocument/2006/relationships/worksheet" Target="worksheets/sheet1.xml"/><Relationship Id="rId6" Type="http://schemas.openxmlformats.org/officeDocument/2006/relationships/connections" Target="connections.xml"/><Relationship Id="rId11" Type="http://schemas.openxmlformats.org/officeDocument/2006/relationships/customXml" Target="../customXml/item1.xml"/><Relationship Id="rId24" Type="http://schemas.openxmlformats.org/officeDocument/2006/relationships/customXml" Target="../customXml/item14.xml"/><Relationship Id="rId32" Type="http://schemas.openxmlformats.org/officeDocument/2006/relationships/customXml" Target="../customXml/item22.xml"/><Relationship Id="rId5" Type="http://schemas.openxmlformats.org/officeDocument/2006/relationships/theme" Target="theme/theme1.xml"/><Relationship Id="rId15" Type="http://schemas.openxmlformats.org/officeDocument/2006/relationships/customXml" Target="../customXml/item5.xml"/><Relationship Id="rId23" Type="http://schemas.openxmlformats.org/officeDocument/2006/relationships/customXml" Target="../customXml/item13.xml"/><Relationship Id="rId28" Type="http://schemas.openxmlformats.org/officeDocument/2006/relationships/customXml" Target="../customXml/item18.xml"/><Relationship Id="rId10" Type="http://schemas.openxmlformats.org/officeDocument/2006/relationships/calcChain" Target="calcChain.xml"/><Relationship Id="rId19" Type="http://schemas.openxmlformats.org/officeDocument/2006/relationships/customXml" Target="../customXml/item9.xml"/><Relationship Id="rId31" Type="http://schemas.openxmlformats.org/officeDocument/2006/relationships/customXml" Target="../customXml/item21.xml"/><Relationship Id="rId4" Type="http://schemas.openxmlformats.org/officeDocument/2006/relationships/pivotCacheDefinition" Target="pivotCache/pivotCacheDefinition1.xml"/><Relationship Id="rId9" Type="http://schemas.openxmlformats.org/officeDocument/2006/relationships/sheetMetadata" Target="metadata.xml"/><Relationship Id="rId14" Type="http://schemas.openxmlformats.org/officeDocument/2006/relationships/customXml" Target="../customXml/item4.xml"/><Relationship Id="rId22" Type="http://schemas.openxmlformats.org/officeDocument/2006/relationships/customXml" Target="../customXml/item12.xml"/><Relationship Id="rId27" Type="http://schemas.openxmlformats.org/officeDocument/2006/relationships/customXml" Target="../customXml/item17.xml"/><Relationship Id="rId30" Type="http://schemas.openxmlformats.org/officeDocument/2006/relationships/customXml" Target="../customXml/item20.xml"/><Relationship Id="rId8" Type="http://schemas.openxmlformats.org/officeDocument/2006/relationships/sharedStrings" Target="sharedStrings.xml"/></Relationships>
</file>

<file path=xl/charts/_rels/chart1.xml.rels><?xml version="1.0" encoding="UTF-8" standalone="yes"?>
<Relationships xmlns="http://schemas.openxmlformats.org/package/2006/relationships"><Relationship Id="rId2" Type="http://schemas.microsoft.com/office/2011/relationships/chartColorStyle" Target="colors1.xml"/><Relationship Id="rId1" Type="http://schemas.microsoft.com/office/2011/relationships/chartStyle" Target="style1.xml"/></Relationships>
</file>

<file path=xl/charts/_rels/chart2.xml.rels><?xml version="1.0" encoding="UTF-8" standalone="yes"?>
<Relationships xmlns="http://schemas.openxmlformats.org/package/2006/relationships"><Relationship Id="rId2" Type="http://schemas.microsoft.com/office/2011/relationships/chartColorStyle" Target="colors2.xml"/><Relationship Id="rId1" Type="http://schemas.microsoft.com/office/2011/relationships/chartStyle" Target="style2.xml"/></Relationships>
</file>

<file path=xl/charts/chart1.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pivotSource>
    <c:name>[13. EASY-TC03 - Dự phòng nợ xấu.xlsm]Dự phòng phải thu!PivotTable5</c:name>
    <c:fmtId val="0"/>
  </c:pivotSource>
  <c:chart>
    <c:autoTitleDeleted val="0"/>
    <c:pivotFmts>
      <c:pivotFmt>
        <c:idx val="0"/>
        <c:dLbl>
          <c:idx val="0"/>
          <c:dLblPos val="ctr"/>
          <c:showLegendKey val="0"/>
          <c:showVal val="1"/>
          <c:showCatName val="0"/>
          <c:showSerName val="1"/>
          <c:showPercent val="0"/>
          <c:showBubbleSize val="0"/>
          <c:extLst>
            <c:ext xmlns:c15="http://schemas.microsoft.com/office/drawing/2012/chart" uri="{CE6537A1-D6FC-4f65-9D91-7224C49458BB}"/>
          </c:extLst>
        </c:dLbl>
      </c:pivotFmt>
      <c:pivotFmt>
        <c:idx val="1"/>
        <c:spPr>
          <a:solidFill>
            <a:schemeClr val="accent1">
              <a:alpha val="85000"/>
            </a:schemeClr>
          </a:solidFill>
          <a:ln w="9525" cap="flat" cmpd="sng" algn="ctr">
            <a:solidFill>
              <a:schemeClr val="lt1">
                <a:alpha val="50000"/>
              </a:schemeClr>
            </a:solidFill>
            <a:round/>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1" i="0" u="none" strike="noStrike" kern="1200" baseline="0">
                  <a:solidFill>
                    <a:schemeClr val="lt1"/>
                  </a:solidFill>
                  <a:latin typeface="+mn-lt"/>
                  <a:ea typeface="+mn-ea"/>
                  <a:cs typeface="+mn-cs"/>
                </a:defRPr>
              </a:pPr>
              <a:endParaRPr lang="vi-VN"/>
            </a:p>
          </c:txPr>
          <c:dLblPos val="ctr"/>
          <c:showLegendKey val="0"/>
          <c:showVal val="1"/>
          <c:showCatName val="0"/>
          <c:showSerName val="1"/>
          <c:showPercent val="0"/>
          <c:showBubbleSize val="0"/>
          <c:extLst>
            <c:ext xmlns:c15="http://schemas.microsoft.com/office/drawing/2012/chart" uri="{CE6537A1-D6FC-4f65-9D91-7224C49458BB}"/>
          </c:extLst>
        </c:dLbl>
      </c:pivotFmt>
      <c:pivotFmt>
        <c:idx val="2"/>
        <c:spPr>
          <a:solidFill>
            <a:schemeClr val="accent1">
              <a:alpha val="85000"/>
            </a:schemeClr>
          </a:solidFill>
          <a:ln w="9525" cap="flat" cmpd="sng" algn="ctr">
            <a:solidFill>
              <a:schemeClr val="lt1">
                <a:alpha val="50000"/>
              </a:schemeClr>
            </a:solidFill>
            <a:round/>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1" i="0" u="none" strike="noStrike" kern="1200" baseline="0">
                  <a:solidFill>
                    <a:schemeClr val="lt1"/>
                  </a:solidFill>
                  <a:latin typeface="+mn-lt"/>
                  <a:ea typeface="+mn-ea"/>
                  <a:cs typeface="+mn-cs"/>
                </a:defRPr>
              </a:pPr>
              <a:endParaRPr lang="vi-VN"/>
            </a:p>
          </c:txPr>
          <c:dLblPos val="ctr"/>
          <c:showLegendKey val="0"/>
          <c:showVal val="1"/>
          <c:showCatName val="0"/>
          <c:showSerName val="1"/>
          <c:showPercent val="0"/>
          <c:showBubbleSize val="0"/>
          <c:extLst>
            <c:ext xmlns:c15="http://schemas.microsoft.com/office/drawing/2012/chart" uri="{CE6537A1-D6FC-4f65-9D91-7224C49458BB}"/>
          </c:extLst>
        </c:dLbl>
      </c:pivotFmt>
      <c:pivotFmt>
        <c:idx val="3"/>
        <c:spPr>
          <a:solidFill>
            <a:schemeClr val="accent1">
              <a:alpha val="85000"/>
            </a:schemeClr>
          </a:solidFill>
          <a:ln w="9525" cap="flat" cmpd="sng" algn="ctr">
            <a:solidFill>
              <a:schemeClr val="lt1">
                <a:alpha val="50000"/>
              </a:schemeClr>
            </a:solidFill>
            <a:round/>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1" i="0" u="none" strike="noStrike" kern="1200" baseline="0">
                  <a:solidFill>
                    <a:schemeClr val="lt1"/>
                  </a:solidFill>
                  <a:latin typeface="+mn-lt"/>
                  <a:ea typeface="+mn-ea"/>
                  <a:cs typeface="+mn-cs"/>
                </a:defRPr>
              </a:pPr>
              <a:endParaRPr lang="vi-VN"/>
            </a:p>
          </c:txPr>
          <c:dLblPos val="ctr"/>
          <c:showLegendKey val="0"/>
          <c:showVal val="1"/>
          <c:showCatName val="0"/>
          <c:showSerName val="1"/>
          <c:showPercent val="0"/>
          <c:showBubbleSize val="0"/>
          <c:extLst>
            <c:ext xmlns:c15="http://schemas.microsoft.com/office/drawing/2012/chart" uri="{CE6537A1-D6FC-4f65-9D91-7224C49458BB}"/>
          </c:extLst>
        </c:dLbl>
      </c:pivotFmt>
      <c:pivotFmt>
        <c:idx val="4"/>
        <c:spPr>
          <a:solidFill>
            <a:schemeClr val="accent1">
              <a:alpha val="85000"/>
            </a:schemeClr>
          </a:solidFill>
          <a:ln w="9525" cap="flat" cmpd="sng" algn="ctr">
            <a:solidFill>
              <a:schemeClr val="lt1">
                <a:alpha val="50000"/>
              </a:schemeClr>
            </a:solidFill>
            <a:round/>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1" i="0" u="none" strike="noStrike" kern="1200" baseline="0">
                  <a:solidFill>
                    <a:schemeClr val="lt1"/>
                  </a:solidFill>
                  <a:latin typeface="+mn-lt"/>
                  <a:ea typeface="+mn-ea"/>
                  <a:cs typeface="+mn-cs"/>
                </a:defRPr>
              </a:pPr>
              <a:endParaRPr lang="vi-VN"/>
            </a:p>
          </c:txPr>
          <c:dLblPos val="ctr"/>
          <c:showLegendKey val="0"/>
          <c:showVal val="1"/>
          <c:showCatName val="0"/>
          <c:showSerName val="1"/>
          <c:showPercent val="0"/>
          <c:showBubbleSize val="0"/>
          <c:extLst>
            <c:ext xmlns:c15="http://schemas.microsoft.com/office/drawing/2012/chart" uri="{CE6537A1-D6FC-4f65-9D91-7224C49458BB}"/>
          </c:extLst>
        </c:dLbl>
      </c:pivotFmt>
    </c:pivotFmts>
    <c:plotArea>
      <c:layout/>
      <c:barChart>
        <c:barDir val="col"/>
        <c:grouping val="stacked"/>
        <c:varyColors val="0"/>
        <c:ser>
          <c:idx val="0"/>
          <c:order val="0"/>
          <c:tx>
            <c:strRef>
              <c:f>'Dự phòng phải thu'!$C$22:$C$23</c:f>
              <c:strCache>
                <c:ptCount val="1"/>
                <c:pt idx="0">
                  <c:v>DT1</c:v>
                </c:pt>
              </c:strCache>
            </c:strRef>
          </c:tx>
          <c:spPr>
            <a:solidFill>
              <a:schemeClr val="accent1">
                <a:alpha val="85000"/>
              </a:schemeClr>
            </a:solidFill>
            <a:ln w="9525" cap="flat" cmpd="sng" algn="ctr">
              <a:solidFill>
                <a:schemeClr val="lt1">
                  <a:alpha val="50000"/>
                </a:schemeClr>
              </a:solidFill>
              <a:round/>
            </a:ln>
            <a:effectLst/>
          </c:spPr>
          <c:invertIfNegative val="0"/>
          <c:dLbls>
            <c:spPr>
              <a:noFill/>
              <a:ln>
                <a:noFill/>
              </a:ln>
              <a:effectLst/>
            </c:spPr>
            <c:txPr>
              <a:bodyPr rot="0" spcFirstLastPara="1" vertOverflow="ellipsis" vert="horz" wrap="square" lIns="38100" tIns="19050" rIns="38100" bIns="19050" anchor="ctr" anchorCtr="1">
                <a:spAutoFit/>
              </a:bodyPr>
              <a:lstStyle/>
              <a:p>
                <a:pPr>
                  <a:defRPr sz="900" b="1" i="0" u="none" strike="noStrike" kern="1200" baseline="0">
                    <a:solidFill>
                      <a:schemeClr val="lt1"/>
                    </a:solidFill>
                    <a:latin typeface="+mn-lt"/>
                    <a:ea typeface="+mn-ea"/>
                    <a:cs typeface="+mn-cs"/>
                  </a:defRPr>
                </a:pPr>
                <a:endParaRPr lang="vi-VN"/>
              </a:p>
            </c:txPr>
            <c:dLblPos val="ctr"/>
            <c:showLegendKey val="0"/>
            <c:showVal val="1"/>
            <c:showCatName val="0"/>
            <c:showSerName val="1"/>
            <c:showPercent val="0"/>
            <c:showBubbleSize val="0"/>
            <c:showLeaderLines val="0"/>
            <c:extLst>
              <c:ext xmlns:c15="http://schemas.microsoft.com/office/drawing/2012/chart" uri="{CE6537A1-D6FC-4f65-9D91-7224C49458BB}">
                <c15:showLeaderLines val="1"/>
                <c15:leaderLines>
                  <c:spPr>
                    <a:ln w="9525">
                      <a:solidFill>
                        <a:schemeClr val="dk1">
                          <a:lumMod val="50000"/>
                          <a:lumOff val="50000"/>
                        </a:schemeClr>
                      </a:solidFill>
                    </a:ln>
                    <a:effectLst/>
                  </c:spPr>
                </c15:leaderLines>
              </c:ext>
            </c:extLst>
          </c:dLbls>
          <c:cat>
            <c:strRef>
              <c:f>'Dự phòng phải thu'!$B$24:$B$27</c:f>
              <c:strCache>
                <c:ptCount val="3"/>
                <c:pt idx="0">
                  <c:v>03-2025</c:v>
                </c:pt>
                <c:pt idx="1">
                  <c:v>04-2025</c:v>
                </c:pt>
                <c:pt idx="2">
                  <c:v>05-2025</c:v>
                </c:pt>
              </c:strCache>
            </c:strRef>
          </c:cat>
          <c:val>
            <c:numRef>
              <c:f>'Dự phòng phải thu'!$C$24:$C$27</c:f>
              <c:numCache>
                <c:formatCode>General</c:formatCode>
                <c:ptCount val="3"/>
                <c:pt idx="0">
                  <c:v>100120.85</c:v>
                </c:pt>
                <c:pt idx="1">
                  <c:v>308313.05000000005</c:v>
                </c:pt>
                <c:pt idx="2">
                  <c:v>295334.45</c:v>
                </c:pt>
              </c:numCache>
            </c:numRef>
          </c:val>
          <c:extLst>
            <c:ext xmlns:c16="http://schemas.microsoft.com/office/drawing/2014/chart" uri="{C3380CC4-5D6E-409C-BE32-E72D297353CC}">
              <c16:uniqueId val="{00000000-94F6-4A42-ADED-8284FF692F5C}"/>
            </c:ext>
          </c:extLst>
        </c:ser>
        <c:ser>
          <c:idx val="1"/>
          <c:order val="1"/>
          <c:tx>
            <c:strRef>
              <c:f>'Dự phòng phải thu'!$D$22:$D$23</c:f>
              <c:strCache>
                <c:ptCount val="1"/>
                <c:pt idx="0">
                  <c:v>DT2</c:v>
                </c:pt>
              </c:strCache>
            </c:strRef>
          </c:tx>
          <c:spPr>
            <a:solidFill>
              <a:schemeClr val="accent2">
                <a:alpha val="85000"/>
              </a:schemeClr>
            </a:solidFill>
            <a:ln w="9525" cap="flat" cmpd="sng" algn="ctr">
              <a:solidFill>
                <a:schemeClr val="lt1">
                  <a:alpha val="50000"/>
                </a:schemeClr>
              </a:solidFill>
              <a:round/>
            </a:ln>
            <a:effectLst/>
          </c:spPr>
          <c:invertIfNegative val="0"/>
          <c:dLbls>
            <c:spPr>
              <a:noFill/>
              <a:ln>
                <a:noFill/>
              </a:ln>
              <a:effectLst/>
            </c:spPr>
            <c:txPr>
              <a:bodyPr rot="0" spcFirstLastPara="1" vertOverflow="ellipsis" vert="horz" wrap="square" lIns="38100" tIns="19050" rIns="38100" bIns="19050" anchor="ctr" anchorCtr="1">
                <a:spAutoFit/>
              </a:bodyPr>
              <a:lstStyle/>
              <a:p>
                <a:pPr>
                  <a:defRPr sz="900" b="1" i="0" u="none" strike="noStrike" kern="1200" baseline="0">
                    <a:solidFill>
                      <a:schemeClr val="lt1"/>
                    </a:solidFill>
                    <a:latin typeface="+mn-lt"/>
                    <a:ea typeface="+mn-ea"/>
                    <a:cs typeface="+mn-cs"/>
                  </a:defRPr>
                </a:pPr>
                <a:endParaRPr lang="vi-VN"/>
              </a:p>
            </c:txPr>
            <c:dLblPos val="ctr"/>
            <c:showLegendKey val="0"/>
            <c:showVal val="1"/>
            <c:showCatName val="0"/>
            <c:showSerName val="1"/>
            <c:showPercent val="0"/>
            <c:showBubbleSize val="0"/>
            <c:showLeaderLines val="0"/>
            <c:extLst>
              <c:ext xmlns:c15="http://schemas.microsoft.com/office/drawing/2012/chart" uri="{CE6537A1-D6FC-4f65-9D91-7224C49458BB}">
                <c15:showLeaderLines val="1"/>
                <c15:leaderLines>
                  <c:spPr>
                    <a:ln w="9525">
                      <a:solidFill>
                        <a:schemeClr val="dk1">
                          <a:lumMod val="50000"/>
                          <a:lumOff val="50000"/>
                        </a:schemeClr>
                      </a:solidFill>
                    </a:ln>
                    <a:effectLst/>
                  </c:spPr>
                </c15:leaderLines>
              </c:ext>
            </c:extLst>
          </c:dLbls>
          <c:cat>
            <c:strRef>
              <c:f>'Dự phòng phải thu'!$B$24:$B$27</c:f>
              <c:strCache>
                <c:ptCount val="3"/>
                <c:pt idx="0">
                  <c:v>03-2025</c:v>
                </c:pt>
                <c:pt idx="1">
                  <c:v>04-2025</c:v>
                </c:pt>
                <c:pt idx="2">
                  <c:v>05-2025</c:v>
                </c:pt>
              </c:strCache>
            </c:strRef>
          </c:cat>
          <c:val>
            <c:numRef>
              <c:f>'Dự phòng phải thu'!$D$24:$D$27</c:f>
              <c:numCache>
                <c:formatCode>General</c:formatCode>
                <c:ptCount val="3"/>
                <c:pt idx="1">
                  <c:v>255621.30000000002</c:v>
                </c:pt>
                <c:pt idx="2">
                  <c:v>50476.35</c:v>
                </c:pt>
              </c:numCache>
            </c:numRef>
          </c:val>
          <c:extLst>
            <c:ext xmlns:c16="http://schemas.microsoft.com/office/drawing/2014/chart" uri="{C3380CC4-5D6E-409C-BE32-E72D297353CC}">
              <c16:uniqueId val="{00000002-94F6-4A42-ADED-8284FF692F5C}"/>
            </c:ext>
          </c:extLst>
        </c:ser>
        <c:ser>
          <c:idx val="2"/>
          <c:order val="2"/>
          <c:tx>
            <c:strRef>
              <c:f>'Dự phòng phải thu'!$E$22:$E$23</c:f>
              <c:strCache>
                <c:ptCount val="1"/>
                <c:pt idx="0">
                  <c:v>DT3</c:v>
                </c:pt>
              </c:strCache>
            </c:strRef>
          </c:tx>
          <c:spPr>
            <a:solidFill>
              <a:schemeClr val="accent3">
                <a:alpha val="85000"/>
              </a:schemeClr>
            </a:solidFill>
            <a:ln w="9525" cap="flat" cmpd="sng" algn="ctr">
              <a:solidFill>
                <a:schemeClr val="lt1">
                  <a:alpha val="50000"/>
                </a:schemeClr>
              </a:solidFill>
              <a:round/>
            </a:ln>
            <a:effectLst/>
          </c:spPr>
          <c:invertIfNegative val="0"/>
          <c:dLbls>
            <c:spPr>
              <a:noFill/>
              <a:ln>
                <a:noFill/>
              </a:ln>
              <a:effectLst/>
            </c:spPr>
            <c:txPr>
              <a:bodyPr rot="0" spcFirstLastPara="1" vertOverflow="ellipsis" vert="horz" wrap="square" lIns="38100" tIns="19050" rIns="38100" bIns="19050" anchor="ctr" anchorCtr="1">
                <a:spAutoFit/>
              </a:bodyPr>
              <a:lstStyle/>
              <a:p>
                <a:pPr>
                  <a:defRPr sz="900" b="1" i="0" u="none" strike="noStrike" kern="1200" baseline="0">
                    <a:solidFill>
                      <a:schemeClr val="lt1"/>
                    </a:solidFill>
                    <a:latin typeface="+mn-lt"/>
                    <a:ea typeface="+mn-ea"/>
                    <a:cs typeface="+mn-cs"/>
                  </a:defRPr>
                </a:pPr>
                <a:endParaRPr lang="vi-VN"/>
              </a:p>
            </c:txPr>
            <c:dLblPos val="ctr"/>
            <c:showLegendKey val="0"/>
            <c:showVal val="1"/>
            <c:showCatName val="0"/>
            <c:showSerName val="1"/>
            <c:showPercent val="0"/>
            <c:showBubbleSize val="0"/>
            <c:showLeaderLines val="0"/>
            <c:extLst>
              <c:ext xmlns:c15="http://schemas.microsoft.com/office/drawing/2012/chart" uri="{CE6537A1-D6FC-4f65-9D91-7224C49458BB}">
                <c15:showLeaderLines val="1"/>
                <c15:leaderLines>
                  <c:spPr>
                    <a:ln w="9525">
                      <a:solidFill>
                        <a:schemeClr val="dk1">
                          <a:lumMod val="50000"/>
                          <a:lumOff val="50000"/>
                        </a:schemeClr>
                      </a:solidFill>
                    </a:ln>
                    <a:effectLst/>
                  </c:spPr>
                </c15:leaderLines>
              </c:ext>
            </c:extLst>
          </c:dLbls>
          <c:cat>
            <c:strRef>
              <c:f>'Dự phòng phải thu'!$B$24:$B$27</c:f>
              <c:strCache>
                <c:ptCount val="3"/>
                <c:pt idx="0">
                  <c:v>03-2025</c:v>
                </c:pt>
                <c:pt idx="1">
                  <c:v>04-2025</c:v>
                </c:pt>
                <c:pt idx="2">
                  <c:v>05-2025</c:v>
                </c:pt>
              </c:strCache>
            </c:strRef>
          </c:cat>
          <c:val>
            <c:numRef>
              <c:f>'Dự phòng phải thu'!$E$24:$E$27</c:f>
              <c:numCache>
                <c:formatCode>General</c:formatCode>
                <c:ptCount val="3"/>
                <c:pt idx="0">
                  <c:v>15956</c:v>
                </c:pt>
                <c:pt idx="1">
                  <c:v>0</c:v>
                </c:pt>
                <c:pt idx="2">
                  <c:v>146809.5</c:v>
                </c:pt>
              </c:numCache>
            </c:numRef>
          </c:val>
          <c:extLst>
            <c:ext xmlns:c16="http://schemas.microsoft.com/office/drawing/2014/chart" uri="{C3380CC4-5D6E-409C-BE32-E72D297353CC}">
              <c16:uniqueId val="{00000003-94F6-4A42-ADED-8284FF692F5C}"/>
            </c:ext>
          </c:extLst>
        </c:ser>
        <c:ser>
          <c:idx val="3"/>
          <c:order val="3"/>
          <c:tx>
            <c:strRef>
              <c:f>'Dự phòng phải thu'!$F$22:$F$23</c:f>
              <c:strCache>
                <c:ptCount val="1"/>
                <c:pt idx="0">
                  <c:v>DT4</c:v>
                </c:pt>
              </c:strCache>
            </c:strRef>
          </c:tx>
          <c:spPr>
            <a:solidFill>
              <a:schemeClr val="accent4">
                <a:alpha val="85000"/>
              </a:schemeClr>
            </a:solidFill>
            <a:ln w="9525" cap="flat" cmpd="sng" algn="ctr">
              <a:solidFill>
                <a:schemeClr val="lt1">
                  <a:alpha val="50000"/>
                </a:schemeClr>
              </a:solidFill>
              <a:round/>
            </a:ln>
            <a:effectLst/>
          </c:spPr>
          <c:invertIfNegative val="0"/>
          <c:dLbls>
            <c:spPr>
              <a:noFill/>
              <a:ln>
                <a:noFill/>
              </a:ln>
              <a:effectLst/>
            </c:spPr>
            <c:txPr>
              <a:bodyPr rot="0" spcFirstLastPara="1" vertOverflow="ellipsis" vert="horz" wrap="square" lIns="38100" tIns="19050" rIns="38100" bIns="19050" anchor="ctr" anchorCtr="1">
                <a:spAutoFit/>
              </a:bodyPr>
              <a:lstStyle/>
              <a:p>
                <a:pPr>
                  <a:defRPr sz="900" b="1" i="0" u="none" strike="noStrike" kern="1200" baseline="0">
                    <a:solidFill>
                      <a:schemeClr val="lt1"/>
                    </a:solidFill>
                    <a:latin typeface="+mn-lt"/>
                    <a:ea typeface="+mn-ea"/>
                    <a:cs typeface="+mn-cs"/>
                  </a:defRPr>
                </a:pPr>
                <a:endParaRPr lang="vi-VN"/>
              </a:p>
            </c:txPr>
            <c:dLblPos val="ctr"/>
            <c:showLegendKey val="0"/>
            <c:showVal val="1"/>
            <c:showCatName val="0"/>
            <c:showSerName val="1"/>
            <c:showPercent val="0"/>
            <c:showBubbleSize val="0"/>
            <c:showLeaderLines val="0"/>
            <c:extLst>
              <c:ext xmlns:c15="http://schemas.microsoft.com/office/drawing/2012/chart" uri="{CE6537A1-D6FC-4f65-9D91-7224C49458BB}">
                <c15:showLeaderLines val="1"/>
                <c15:leaderLines>
                  <c:spPr>
                    <a:ln w="9525">
                      <a:solidFill>
                        <a:schemeClr val="dk1">
                          <a:lumMod val="50000"/>
                          <a:lumOff val="50000"/>
                        </a:schemeClr>
                      </a:solidFill>
                    </a:ln>
                    <a:effectLst/>
                  </c:spPr>
                </c15:leaderLines>
              </c:ext>
            </c:extLst>
          </c:dLbls>
          <c:cat>
            <c:strRef>
              <c:f>'Dự phòng phải thu'!$B$24:$B$27</c:f>
              <c:strCache>
                <c:ptCount val="3"/>
                <c:pt idx="0">
                  <c:v>03-2025</c:v>
                </c:pt>
                <c:pt idx="1">
                  <c:v>04-2025</c:v>
                </c:pt>
                <c:pt idx="2">
                  <c:v>05-2025</c:v>
                </c:pt>
              </c:strCache>
            </c:strRef>
          </c:cat>
          <c:val>
            <c:numRef>
              <c:f>'Dự phòng phải thu'!$F$24:$F$27</c:f>
              <c:numCache>
                <c:formatCode>General</c:formatCode>
                <c:ptCount val="3"/>
                <c:pt idx="0">
                  <c:v>39252.400000000001</c:v>
                </c:pt>
                <c:pt idx="1">
                  <c:v>403598.5</c:v>
                </c:pt>
                <c:pt idx="2">
                  <c:v>833032.05</c:v>
                </c:pt>
              </c:numCache>
            </c:numRef>
          </c:val>
          <c:extLst>
            <c:ext xmlns:c16="http://schemas.microsoft.com/office/drawing/2014/chart" uri="{C3380CC4-5D6E-409C-BE32-E72D297353CC}">
              <c16:uniqueId val="{00000004-94F6-4A42-ADED-8284FF692F5C}"/>
            </c:ext>
          </c:extLst>
        </c:ser>
        <c:dLbls>
          <c:dLblPos val="ctr"/>
          <c:showLegendKey val="0"/>
          <c:showVal val="1"/>
          <c:showCatName val="0"/>
          <c:showSerName val="0"/>
          <c:showPercent val="0"/>
          <c:showBubbleSize val="0"/>
        </c:dLbls>
        <c:gapWidth val="150"/>
        <c:overlap val="100"/>
        <c:axId val="915661904"/>
        <c:axId val="915678704"/>
      </c:barChart>
      <c:catAx>
        <c:axId val="915661904"/>
        <c:scaling>
          <c:orientation val="minMax"/>
        </c:scaling>
        <c:delete val="0"/>
        <c:axPos val="b"/>
        <c:numFmt formatCode="General" sourceLinked="1"/>
        <c:majorTickMark val="none"/>
        <c:minorTickMark val="none"/>
        <c:tickLblPos val="nextTo"/>
        <c:spPr>
          <a:noFill/>
          <a:ln w="19050" cap="flat" cmpd="sng" algn="ctr">
            <a:solidFill>
              <a:schemeClr val="dk1">
                <a:lumMod val="75000"/>
                <a:lumOff val="25000"/>
              </a:schemeClr>
            </a:solidFill>
            <a:round/>
          </a:ln>
          <a:effectLst/>
        </c:spPr>
        <c:txPr>
          <a:bodyPr rot="-60000000" spcFirstLastPara="1" vertOverflow="ellipsis" vert="horz" wrap="square" anchor="ctr" anchorCtr="1"/>
          <a:lstStyle/>
          <a:p>
            <a:pPr>
              <a:defRPr sz="900" b="0" i="0" u="none" strike="noStrike" kern="1200" cap="all" baseline="0">
                <a:solidFill>
                  <a:schemeClr val="dk1">
                    <a:lumMod val="75000"/>
                    <a:lumOff val="25000"/>
                  </a:schemeClr>
                </a:solidFill>
                <a:latin typeface="+mn-lt"/>
                <a:ea typeface="+mn-ea"/>
                <a:cs typeface="+mn-cs"/>
              </a:defRPr>
            </a:pPr>
            <a:endParaRPr lang="vi-VN"/>
          </a:p>
        </c:txPr>
        <c:crossAx val="915678704"/>
        <c:crosses val="autoZero"/>
        <c:auto val="1"/>
        <c:lblAlgn val="ctr"/>
        <c:lblOffset val="100"/>
        <c:noMultiLvlLbl val="0"/>
      </c:catAx>
      <c:valAx>
        <c:axId val="915678704"/>
        <c:scaling>
          <c:orientation val="minMax"/>
        </c:scaling>
        <c:delete val="1"/>
        <c:axPos val="l"/>
        <c:numFmt formatCode="General" sourceLinked="1"/>
        <c:majorTickMark val="none"/>
        <c:minorTickMark val="none"/>
        <c:tickLblPos val="nextTo"/>
        <c:crossAx val="915661904"/>
        <c:crosses val="autoZero"/>
        <c:crossBetween val="between"/>
      </c:valAx>
      <c:spPr>
        <a:solidFill>
          <a:schemeClr val="accent3">
            <a:lumMod val="20000"/>
            <a:lumOff val="80000"/>
          </a:schemeClr>
        </a:solidFill>
        <a:ln>
          <a:noFill/>
        </a:ln>
        <a:effectLst/>
      </c:spPr>
    </c:plotArea>
    <c:legend>
      <c:legendPos val="r"/>
      <c:overlay val="0"/>
      <c:spPr>
        <a:solidFill>
          <a:schemeClr val="lt1">
            <a:lumMod val="95000"/>
            <a:alpha val="39000"/>
          </a:schemeClr>
        </a:solidFill>
        <a:ln>
          <a:noFill/>
        </a:ln>
        <a:effectLst/>
      </c:spPr>
      <c:txPr>
        <a:bodyPr rot="0" spcFirstLastPara="1" vertOverflow="ellipsis" vert="horz" wrap="square" anchor="ctr" anchorCtr="1"/>
        <a:lstStyle/>
        <a:p>
          <a:pPr>
            <a:defRPr sz="900" b="0" i="0" u="none" strike="noStrike" kern="1200" baseline="0">
              <a:solidFill>
                <a:schemeClr val="dk1">
                  <a:lumMod val="75000"/>
                  <a:lumOff val="25000"/>
                </a:schemeClr>
              </a:solidFill>
              <a:latin typeface="+mn-lt"/>
              <a:ea typeface="+mn-ea"/>
              <a:cs typeface="+mn-cs"/>
            </a:defRPr>
          </a:pPr>
          <a:endParaRPr lang="vi-VN"/>
        </a:p>
      </c:txPr>
    </c:legend>
    <c:plotVisOnly val="1"/>
    <c:dispBlanksAs val="gap"/>
    <c:extLst>
      <c:ext xmlns:c16r3="http://schemas.microsoft.com/office/drawing/2017/03/chart" uri="{56B9EC1D-385E-4148-901F-78D8002777C0}">
        <c16r3:dataDisplayOptions16>
          <c16r3:dispNaAsBlank val="1"/>
        </c16r3:dataDisplayOptions16>
      </c:ext>
    </c:extLst>
    <c:showDLblsOverMax val="0"/>
  </c:chart>
  <c:spPr>
    <a:solidFill>
      <a:schemeClr val="accent3">
        <a:lumMod val="20000"/>
        <a:lumOff val="80000"/>
      </a:schemeClr>
    </a:solidFill>
    <a:ln w="9525" cap="flat" cmpd="sng" algn="ctr">
      <a:solidFill>
        <a:schemeClr val="dk1">
          <a:lumMod val="25000"/>
          <a:lumOff val="75000"/>
        </a:schemeClr>
      </a:solidFill>
      <a:round/>
    </a:ln>
    <a:effectLst/>
  </c:spPr>
  <c:txPr>
    <a:bodyPr/>
    <a:lstStyle/>
    <a:p>
      <a:pPr>
        <a:defRPr/>
      </a:pPr>
      <a:endParaRPr lang="vi-VN"/>
    </a:p>
  </c:txPr>
  <c:printSettings>
    <c:headerFooter/>
    <c:pageMargins b="0.75" l="0.7" r="0.7" t="0.75" header="0.3" footer="0.3"/>
    <c:pageSetup/>
  </c:printSettings>
  <c:extLst>
    <c:ext xmlns:c14="http://schemas.microsoft.com/office/drawing/2007/8/2/chart" uri="{781A3756-C4B2-4CAC-9D66-4F8BD8637D16}">
      <c14:pivotOptions>
        <c14:dropZoneFilter val="1"/>
        <c14:dropZoneCategories val="1"/>
        <c14:dropZoneData val="1"/>
        <c14:dropZoneSeries val="1"/>
        <c14:dropZonesVisible val="1"/>
      </c14:pivotOptions>
    </c:ext>
    <c:ext xmlns:c16="http://schemas.microsoft.com/office/drawing/2014/chart" uri="{E28EC0CA-F0BB-4C9C-879D-F8772B89E7AC}">
      <c16:pivotOptions16>
        <c16:showExpandCollapseFieldButtons val="1"/>
      </c16:pivotOptions16>
    </c:ext>
  </c:extLst>
</c:chartSpace>
</file>

<file path=xl/charts/chart2.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pivotSource>
    <c:name>[13. EASY-TC03 - Dự phòng nợ xấu.xlsm]Dự phòng phải thu!PivotTable6</c:name>
    <c:fmtId val="0"/>
  </c:pivotSource>
  <c:chart>
    <c:autoTitleDeleted val="0"/>
    <c:pivotFmts>
      <c:pivotFmt>
        <c:idx val="0"/>
        <c:spPr>
          <a:solidFill>
            <a:schemeClr val="accent1"/>
          </a:solidFill>
          <a:ln>
            <a:noFill/>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vi-VN"/>
            </a:p>
          </c:txPr>
          <c:showLegendKey val="0"/>
          <c:showVal val="1"/>
          <c:showCatName val="0"/>
          <c:showSerName val="0"/>
          <c:showPercent val="0"/>
          <c:showBubbleSize val="0"/>
          <c:extLst>
            <c:ext xmlns:c15="http://schemas.microsoft.com/office/drawing/2012/chart" uri="{CE6537A1-D6FC-4f65-9D91-7224C49458BB}"/>
          </c:extLst>
        </c:dLbl>
      </c:pivotFmt>
      <c:pivotFmt>
        <c:idx val="1"/>
        <c:spPr>
          <a:ln w="28575" cap="rnd">
            <a:solidFill>
              <a:schemeClr val="accent1"/>
            </a:solidFill>
            <a:round/>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vi-VN"/>
            </a:p>
          </c:txPr>
          <c:showLegendKey val="0"/>
          <c:showVal val="1"/>
          <c:showCatName val="0"/>
          <c:showSerName val="0"/>
          <c:showPercent val="0"/>
          <c:showBubbleSize val="0"/>
          <c:extLst>
            <c:ext xmlns:c15="http://schemas.microsoft.com/office/drawing/2012/chart" uri="{CE6537A1-D6FC-4f65-9D91-7224C49458BB}"/>
          </c:extLst>
        </c:dLbl>
      </c:pivotFmt>
      <c:pivotFmt>
        <c:idx val="2"/>
        <c:spPr>
          <a:ln w="28575" cap="rnd">
            <a:solidFill>
              <a:schemeClr val="accent1"/>
            </a:solidFill>
            <a:round/>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vi-VN"/>
            </a:p>
          </c:txPr>
          <c:showLegendKey val="0"/>
          <c:showVal val="1"/>
          <c:showCatName val="0"/>
          <c:showSerName val="0"/>
          <c:showPercent val="0"/>
          <c:showBubbleSize val="0"/>
          <c:extLst>
            <c:ext xmlns:c15="http://schemas.microsoft.com/office/drawing/2012/chart" uri="{CE6537A1-D6FC-4f65-9D91-7224C49458BB}"/>
          </c:extLst>
        </c:dLbl>
      </c:pivotFmt>
      <c:pivotFmt>
        <c:idx val="3"/>
        <c:spPr>
          <a:ln w="28575" cap="rnd">
            <a:solidFill>
              <a:schemeClr val="accent1"/>
            </a:solidFill>
            <a:round/>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vi-VN"/>
            </a:p>
          </c:txPr>
          <c:showLegendKey val="0"/>
          <c:showVal val="1"/>
          <c:showCatName val="0"/>
          <c:showSerName val="0"/>
          <c:showPercent val="0"/>
          <c:showBubbleSize val="0"/>
          <c:extLst>
            <c:ext xmlns:c15="http://schemas.microsoft.com/office/drawing/2012/chart" uri="{CE6537A1-D6FC-4f65-9D91-7224C49458BB}"/>
          </c:extLst>
        </c:dLbl>
      </c:pivotFmt>
      <c:pivotFmt>
        <c:idx val="4"/>
        <c:spPr>
          <a:ln w="28575" cap="rnd">
            <a:solidFill>
              <a:schemeClr val="accent1"/>
            </a:solidFill>
            <a:round/>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n-US"/>
            </a:p>
          </c:txPr>
          <c:showLegendKey val="0"/>
          <c:showVal val="0"/>
          <c:showCatName val="0"/>
          <c:showSerName val="0"/>
          <c:showPercent val="0"/>
          <c:showBubbleSize val="0"/>
          <c:extLst>
            <c:ext xmlns:c15="http://schemas.microsoft.com/office/drawing/2012/chart" uri="{CE6537A1-D6FC-4f65-9D91-7224C49458BB}"/>
          </c:extLst>
        </c:dLbl>
      </c:pivotFmt>
    </c:pivotFmts>
    <c:plotArea>
      <c:layout/>
      <c:lineChart>
        <c:grouping val="standard"/>
        <c:varyColors val="0"/>
        <c:ser>
          <c:idx val="0"/>
          <c:order val="0"/>
          <c:tx>
            <c:strRef>
              <c:f>'Dự phòng phải thu'!$S$23:$S$24</c:f>
              <c:strCache>
                <c:ptCount val="1"/>
                <c:pt idx="0">
                  <c:v>DT1</c:v>
                </c:pt>
              </c:strCache>
            </c:strRef>
          </c:tx>
          <c:spPr>
            <a:ln w="28575" cap="rnd">
              <a:solidFill>
                <a:schemeClr val="accent1"/>
              </a:solidFill>
              <a:round/>
            </a:ln>
            <a:effectLst/>
          </c:spPr>
          <c:marker>
            <c:symbol val="none"/>
          </c:marker>
          <c:cat>
            <c:strRef>
              <c:f>'Dự phòng phải thu'!$R$25:$R$28</c:f>
              <c:strCache>
                <c:ptCount val="3"/>
                <c:pt idx="0">
                  <c:v>03-2025</c:v>
                </c:pt>
                <c:pt idx="1">
                  <c:v>04-2025</c:v>
                </c:pt>
                <c:pt idx="2">
                  <c:v>05-2025</c:v>
                </c:pt>
              </c:strCache>
            </c:strRef>
          </c:cat>
          <c:val>
            <c:numRef>
              <c:f>'Dự phòng phải thu'!$S$25:$S$28</c:f>
              <c:numCache>
                <c:formatCode>0.0%</c:formatCode>
                <c:ptCount val="3"/>
                <c:pt idx="0">
                  <c:v>7.1944297535864066E-2</c:v>
                </c:pt>
                <c:pt idx="1">
                  <c:v>0.1263039211549499</c:v>
                </c:pt>
                <c:pt idx="2">
                  <c:v>0.1227447095637024</c:v>
                </c:pt>
              </c:numCache>
            </c:numRef>
          </c:val>
          <c:smooth val="0"/>
          <c:extLst>
            <c:ext xmlns:c16="http://schemas.microsoft.com/office/drawing/2014/chart" uri="{C3380CC4-5D6E-409C-BE32-E72D297353CC}">
              <c16:uniqueId val="{00000000-31A0-41CB-B366-7D0110CB6F5E}"/>
            </c:ext>
          </c:extLst>
        </c:ser>
        <c:ser>
          <c:idx val="1"/>
          <c:order val="1"/>
          <c:tx>
            <c:strRef>
              <c:f>'Dự phòng phải thu'!$T$23:$T$24</c:f>
              <c:strCache>
                <c:ptCount val="1"/>
                <c:pt idx="0">
                  <c:v>DT2</c:v>
                </c:pt>
              </c:strCache>
            </c:strRef>
          </c:tx>
          <c:spPr>
            <a:ln w="28575" cap="rnd">
              <a:solidFill>
                <a:schemeClr val="accent2"/>
              </a:solidFill>
              <a:round/>
            </a:ln>
            <a:effectLst/>
          </c:spPr>
          <c:marker>
            <c:symbol val="none"/>
          </c:marker>
          <c:dLbls>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vi-VN"/>
              </a:p>
            </c:txPr>
            <c:showLegendKey val="0"/>
            <c:showVal val="1"/>
            <c:showCatName val="0"/>
            <c:showSerName val="0"/>
            <c:showPercent val="0"/>
            <c:showBubbleSize val="0"/>
            <c:showLeaderLines val="0"/>
            <c:extLst>
              <c:ext xmlns:c15="http://schemas.microsoft.com/office/drawing/2012/chart" uri="{CE6537A1-D6FC-4f65-9D91-7224C49458BB}">
                <c15:showLeaderLines val="1"/>
                <c15:leaderLines>
                  <c:spPr>
                    <a:ln w="9525" cap="flat" cmpd="sng" algn="ctr">
                      <a:solidFill>
                        <a:schemeClr val="tx1">
                          <a:lumMod val="35000"/>
                          <a:lumOff val="65000"/>
                        </a:schemeClr>
                      </a:solidFill>
                      <a:round/>
                    </a:ln>
                    <a:effectLst/>
                  </c:spPr>
                </c15:leaderLines>
              </c:ext>
            </c:extLst>
          </c:dLbls>
          <c:cat>
            <c:strRef>
              <c:f>'Dự phòng phải thu'!$R$25:$R$28</c:f>
              <c:strCache>
                <c:ptCount val="3"/>
                <c:pt idx="0">
                  <c:v>03-2025</c:v>
                </c:pt>
                <c:pt idx="1">
                  <c:v>04-2025</c:v>
                </c:pt>
                <c:pt idx="2">
                  <c:v>05-2025</c:v>
                </c:pt>
              </c:strCache>
            </c:strRef>
          </c:cat>
          <c:val>
            <c:numRef>
              <c:f>'Dự phòng phải thu'!$T$25:$T$28</c:f>
              <c:numCache>
                <c:formatCode>0.0%</c:formatCode>
                <c:ptCount val="3"/>
                <c:pt idx="0">
                  <c:v>0</c:v>
                </c:pt>
                <c:pt idx="1">
                  <c:v>0.1816401678397209</c:v>
                </c:pt>
                <c:pt idx="2">
                  <c:v>0.15</c:v>
                </c:pt>
              </c:numCache>
            </c:numRef>
          </c:val>
          <c:smooth val="0"/>
          <c:extLst>
            <c:ext xmlns:c16="http://schemas.microsoft.com/office/drawing/2014/chart" uri="{C3380CC4-5D6E-409C-BE32-E72D297353CC}">
              <c16:uniqueId val="{00000002-31A0-41CB-B366-7D0110CB6F5E}"/>
            </c:ext>
          </c:extLst>
        </c:ser>
        <c:ser>
          <c:idx val="2"/>
          <c:order val="2"/>
          <c:tx>
            <c:strRef>
              <c:f>'Dự phòng phải thu'!$U$23:$U$24</c:f>
              <c:strCache>
                <c:ptCount val="1"/>
                <c:pt idx="0">
                  <c:v>DT3</c:v>
                </c:pt>
              </c:strCache>
            </c:strRef>
          </c:tx>
          <c:spPr>
            <a:ln w="28575" cap="rnd">
              <a:solidFill>
                <a:schemeClr val="accent3"/>
              </a:solidFill>
              <a:round/>
            </a:ln>
            <a:effectLst/>
          </c:spPr>
          <c:marker>
            <c:symbol val="none"/>
          </c:marker>
          <c:dLbls>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vi-VN"/>
              </a:p>
            </c:txPr>
            <c:showLegendKey val="0"/>
            <c:showVal val="1"/>
            <c:showCatName val="0"/>
            <c:showSerName val="0"/>
            <c:showPercent val="0"/>
            <c:showBubbleSize val="0"/>
            <c:showLeaderLines val="0"/>
            <c:extLst>
              <c:ext xmlns:c15="http://schemas.microsoft.com/office/drawing/2012/chart" uri="{CE6537A1-D6FC-4f65-9D91-7224C49458BB}">
                <c15:showLeaderLines val="1"/>
                <c15:leaderLines>
                  <c:spPr>
                    <a:ln w="9525" cap="flat" cmpd="sng" algn="ctr">
                      <a:solidFill>
                        <a:schemeClr val="tx1">
                          <a:lumMod val="35000"/>
                          <a:lumOff val="65000"/>
                        </a:schemeClr>
                      </a:solidFill>
                      <a:round/>
                    </a:ln>
                    <a:effectLst/>
                  </c:spPr>
                </c15:leaderLines>
              </c:ext>
            </c:extLst>
          </c:dLbls>
          <c:cat>
            <c:strRef>
              <c:f>'Dự phòng phải thu'!$R$25:$R$28</c:f>
              <c:strCache>
                <c:ptCount val="3"/>
                <c:pt idx="0">
                  <c:v>03-2025</c:v>
                </c:pt>
                <c:pt idx="1">
                  <c:v>04-2025</c:v>
                </c:pt>
                <c:pt idx="2">
                  <c:v>05-2025</c:v>
                </c:pt>
              </c:strCache>
            </c:strRef>
          </c:cat>
          <c:val>
            <c:numRef>
              <c:f>'Dự phòng phải thu'!$U$25:$U$28</c:f>
              <c:numCache>
                <c:formatCode>0.0%</c:formatCode>
                <c:ptCount val="3"/>
                <c:pt idx="0">
                  <c:v>1.9116216436399883E-2</c:v>
                </c:pt>
                <c:pt idx="1">
                  <c:v>0</c:v>
                </c:pt>
                <c:pt idx="2">
                  <c:v>8.488747932880783E-2</c:v>
                </c:pt>
              </c:numCache>
            </c:numRef>
          </c:val>
          <c:smooth val="0"/>
          <c:extLst>
            <c:ext xmlns:c16="http://schemas.microsoft.com/office/drawing/2014/chart" uri="{C3380CC4-5D6E-409C-BE32-E72D297353CC}">
              <c16:uniqueId val="{00000003-31A0-41CB-B366-7D0110CB6F5E}"/>
            </c:ext>
          </c:extLst>
        </c:ser>
        <c:ser>
          <c:idx val="3"/>
          <c:order val="3"/>
          <c:tx>
            <c:strRef>
              <c:f>'Dự phòng phải thu'!$V$23:$V$24</c:f>
              <c:strCache>
                <c:ptCount val="1"/>
                <c:pt idx="0">
                  <c:v>DT4</c:v>
                </c:pt>
              </c:strCache>
            </c:strRef>
          </c:tx>
          <c:spPr>
            <a:ln w="28575" cap="rnd">
              <a:solidFill>
                <a:schemeClr val="accent4"/>
              </a:solidFill>
              <a:round/>
            </a:ln>
            <a:effectLst/>
          </c:spPr>
          <c:marker>
            <c:symbol val="none"/>
          </c:marker>
          <c:dLbls>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vi-VN"/>
              </a:p>
            </c:txPr>
            <c:showLegendKey val="0"/>
            <c:showVal val="1"/>
            <c:showCatName val="0"/>
            <c:showSerName val="0"/>
            <c:showPercent val="0"/>
            <c:showBubbleSize val="0"/>
            <c:showLeaderLines val="0"/>
            <c:extLst>
              <c:ext xmlns:c15="http://schemas.microsoft.com/office/drawing/2012/chart" uri="{CE6537A1-D6FC-4f65-9D91-7224C49458BB}">
                <c15:showLeaderLines val="1"/>
                <c15:leaderLines>
                  <c:spPr>
                    <a:ln w="9525" cap="flat" cmpd="sng" algn="ctr">
                      <a:solidFill>
                        <a:schemeClr val="tx1">
                          <a:lumMod val="35000"/>
                          <a:lumOff val="65000"/>
                        </a:schemeClr>
                      </a:solidFill>
                      <a:round/>
                    </a:ln>
                    <a:effectLst/>
                  </c:spPr>
                </c15:leaderLines>
              </c:ext>
            </c:extLst>
          </c:dLbls>
          <c:cat>
            <c:strRef>
              <c:f>'Dự phòng phải thu'!$R$25:$R$28</c:f>
              <c:strCache>
                <c:ptCount val="3"/>
                <c:pt idx="0">
                  <c:v>03-2025</c:v>
                </c:pt>
                <c:pt idx="1">
                  <c:v>04-2025</c:v>
                </c:pt>
                <c:pt idx="2">
                  <c:v>05-2025</c:v>
                </c:pt>
              </c:strCache>
            </c:strRef>
          </c:cat>
          <c:val>
            <c:numRef>
              <c:f>'Dự phòng phải thu'!$V$25:$V$28</c:f>
              <c:numCache>
                <c:formatCode>0.0%</c:formatCode>
                <c:ptCount val="3"/>
                <c:pt idx="0">
                  <c:v>1.8900296319265954E-2</c:v>
                </c:pt>
                <c:pt idx="1">
                  <c:v>0.17730126786692516</c:v>
                </c:pt>
                <c:pt idx="2">
                  <c:v>0.21440290701654777</c:v>
                </c:pt>
              </c:numCache>
            </c:numRef>
          </c:val>
          <c:smooth val="0"/>
          <c:extLst>
            <c:ext xmlns:c16="http://schemas.microsoft.com/office/drawing/2014/chart" uri="{C3380CC4-5D6E-409C-BE32-E72D297353CC}">
              <c16:uniqueId val="{00000004-31A0-41CB-B366-7D0110CB6F5E}"/>
            </c:ext>
          </c:extLst>
        </c:ser>
        <c:dLbls>
          <c:showLegendKey val="0"/>
          <c:showVal val="0"/>
          <c:showCatName val="0"/>
          <c:showSerName val="0"/>
          <c:showPercent val="0"/>
          <c:showBubbleSize val="0"/>
        </c:dLbls>
        <c:smooth val="0"/>
        <c:axId val="915709424"/>
        <c:axId val="915693104"/>
      </c:lineChart>
      <c:catAx>
        <c:axId val="915709424"/>
        <c:scaling>
          <c:orientation val="minMax"/>
        </c:scaling>
        <c:delete val="0"/>
        <c:axPos val="b"/>
        <c:numFmt formatCode="General" sourceLinked="1"/>
        <c:majorTickMark val="none"/>
        <c:minorTickMark val="none"/>
        <c:tickLblPos val="nextTo"/>
        <c:spPr>
          <a:noFill/>
          <a:ln w="9525" cap="flat" cmpd="sng" algn="ctr">
            <a:solidFill>
              <a:schemeClr val="tx1">
                <a:lumMod val="15000"/>
                <a:lumOff val="85000"/>
              </a:schemeClr>
            </a:solidFill>
            <a:round/>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vi-VN"/>
          </a:p>
        </c:txPr>
        <c:crossAx val="915693104"/>
        <c:crosses val="autoZero"/>
        <c:auto val="1"/>
        <c:lblAlgn val="ctr"/>
        <c:lblOffset val="100"/>
        <c:noMultiLvlLbl val="0"/>
      </c:catAx>
      <c:valAx>
        <c:axId val="915693104"/>
        <c:scaling>
          <c:orientation val="minMax"/>
        </c:scaling>
        <c:delete val="1"/>
        <c:axPos val="l"/>
        <c:numFmt formatCode="0.0%" sourceLinked="1"/>
        <c:majorTickMark val="none"/>
        <c:minorTickMark val="none"/>
        <c:tickLblPos val="nextTo"/>
        <c:crossAx val="915709424"/>
        <c:crosses val="autoZero"/>
        <c:crossBetween val="between"/>
      </c:valAx>
      <c:spPr>
        <a:noFill/>
        <a:ln w="25400">
          <a:noFill/>
        </a:ln>
        <a:effectLst/>
      </c:spPr>
    </c:plotArea>
    <c:plotVisOnly val="1"/>
    <c:dispBlanksAs val="gap"/>
    <c:extLst>
      <c:ext xmlns:c16r3="http://schemas.microsoft.com/office/drawing/2017/03/chart" uri="{56B9EC1D-385E-4148-901F-78D8002777C0}">
        <c16r3:dataDisplayOptions16>
          <c16r3:dispNaAsBlank val="1"/>
        </c16r3:dataDisplayOptions16>
      </c:ext>
    </c:extLst>
    <c:showDLblsOverMax val="0"/>
  </c:chart>
  <c:spPr>
    <a:solidFill>
      <a:schemeClr val="accent3">
        <a:lumMod val="20000"/>
        <a:lumOff val="80000"/>
      </a:schemeClr>
    </a:solidFill>
    <a:ln w="9525" cap="flat" cmpd="sng" algn="ctr">
      <a:solidFill>
        <a:schemeClr val="tx1">
          <a:lumMod val="15000"/>
          <a:lumOff val="85000"/>
        </a:schemeClr>
      </a:solidFill>
      <a:round/>
    </a:ln>
    <a:effectLst/>
  </c:spPr>
  <c:txPr>
    <a:bodyPr/>
    <a:lstStyle/>
    <a:p>
      <a:pPr>
        <a:defRPr/>
      </a:pPr>
      <a:endParaRPr lang="vi-VN"/>
    </a:p>
  </c:txPr>
  <c:printSettings>
    <c:headerFooter/>
    <c:pageMargins b="0.75" l="0.7" r="0.7" t="0.75" header="0.3" footer="0.3"/>
    <c:pageSetup/>
  </c:printSettings>
  <c:extLst>
    <c:ext xmlns:c14="http://schemas.microsoft.com/office/drawing/2007/8/2/chart" uri="{781A3756-C4B2-4CAC-9D66-4F8BD8637D16}">
      <c14:pivotOptions>
        <c14:dropZoneFilter val="1"/>
        <c14:dropZoneCategories val="1"/>
        <c14:dropZoneData val="1"/>
        <c14:dropZonesVisible val="1"/>
      </c14:pivotOptions>
    </c:ext>
    <c:ext xmlns:c16="http://schemas.microsoft.com/office/drawing/2014/chart" uri="{E28EC0CA-F0BB-4C9C-879D-F8772B89E7AC}">
      <c16:pivotOptions16>
        <c16:showExpandCollapseFieldButtons val="1"/>
      </c16:pivotOptions16>
    </c:ext>
  </c:extLst>
</c:chartSpace>
</file>

<file path=xl/charts/colors1.xml><?xml version="1.0" encoding="utf-8"?>
<cs:colorStyle xmlns:cs="http://schemas.microsoft.com/office/drawing/2012/chartStyle" xmlns:a="http://schemas.openxmlformats.org/drawingml/2006/main" meth="cycle" id="10">
  <a:schemeClr val="accent1"/>
  <a:schemeClr val="accent2"/>
  <a:schemeClr val="accent3"/>
  <a:schemeClr val="accent4"/>
  <a:schemeClr val="accent5"/>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colors2.xml><?xml version="1.0" encoding="utf-8"?>
<cs:colorStyle xmlns:cs="http://schemas.microsoft.com/office/drawing/2012/chartStyle" xmlns:a="http://schemas.openxmlformats.org/drawingml/2006/main" meth="cycle" id="10">
  <a:schemeClr val="accent1"/>
  <a:schemeClr val="accent2"/>
  <a:schemeClr val="accent3"/>
  <a:schemeClr val="accent4"/>
  <a:schemeClr val="accent5"/>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style1.xml><?xml version="1.0" encoding="utf-8"?>
<cs:chartStyle xmlns:cs="http://schemas.microsoft.com/office/drawing/2012/chartStyle" xmlns:a="http://schemas.openxmlformats.org/drawingml/2006/main" id="300">
  <cs:axisTitle>
    <cs:lnRef idx="0"/>
    <cs:fillRef idx="0"/>
    <cs:effectRef idx="0"/>
    <cs:fontRef idx="minor">
      <a:schemeClr val="dk1">
        <a:lumMod val="75000"/>
        <a:lumOff val="25000"/>
      </a:schemeClr>
    </cs:fontRef>
    <cs:defRPr sz="900" b="1" kern="1200"/>
  </cs:axisTitle>
  <cs:categoryAxis>
    <cs:lnRef idx="0"/>
    <cs:fillRef idx="0"/>
    <cs:effectRef idx="0"/>
    <cs:fontRef idx="minor">
      <a:schemeClr val="dk1">
        <a:lumMod val="75000"/>
        <a:lumOff val="25000"/>
      </a:schemeClr>
    </cs:fontRef>
    <cs:spPr>
      <a:ln w="19050" cap="flat" cmpd="sng" algn="ctr">
        <a:solidFill>
          <a:schemeClr val="dk1">
            <a:lumMod val="75000"/>
            <a:lumOff val="25000"/>
          </a:schemeClr>
        </a:solidFill>
        <a:round/>
      </a:ln>
    </cs:spPr>
    <cs:defRPr sz="900" kern="1200" cap="all" baseline="0"/>
  </cs:categoryAxis>
  <cs:chartArea>
    <cs:lnRef idx="0"/>
    <cs:fillRef idx="0"/>
    <cs:effectRef idx="0"/>
    <cs:fontRef idx="minor">
      <a:schemeClr val="dk1"/>
    </cs:fontRef>
    <cs:spPr>
      <a:gradFill flip="none" rotWithShape="1">
        <a:gsLst>
          <a:gs pos="0">
            <a:schemeClr val="lt1"/>
          </a:gs>
          <a:gs pos="39000">
            <a:schemeClr val="lt1"/>
          </a:gs>
          <a:gs pos="100000">
            <a:schemeClr val="lt1">
              <a:lumMod val="75000"/>
            </a:schemeClr>
          </a:gs>
        </a:gsLst>
        <a:path path="circle">
          <a:fillToRect l="50000" t="-80000" r="50000" b="180000"/>
        </a:path>
        <a:tileRect/>
      </a:gradFill>
      <a:ln w="9525" cap="flat" cmpd="sng" algn="ctr">
        <a:solidFill>
          <a:schemeClr val="dk1">
            <a:lumMod val="25000"/>
            <a:lumOff val="75000"/>
          </a:schemeClr>
        </a:solidFill>
        <a:round/>
      </a:ln>
    </cs:spPr>
    <cs:defRPr sz="900" kern="1200"/>
  </cs:chartArea>
  <cs:dataLabel>
    <cs:lnRef idx="0"/>
    <cs:fillRef idx="0"/>
    <cs:effectRef idx="0"/>
    <cs:fontRef idx="minor">
      <a:schemeClr val="lt1"/>
    </cs:fontRef>
    <cs:defRPr sz="900" b="1" i="0" u="none" strike="noStrike" kern="1200" baseline="0"/>
  </cs:dataLabel>
  <cs:dataLabelCallout>
    <cs:lnRef idx="0"/>
    <cs:fillRef idx="0"/>
    <cs:effectRef idx="0"/>
    <cs:fontRef idx="minor">
      <a:schemeClr val="lt1"/>
    </cs:fontRef>
    <cs:spPr>
      <a:solidFill>
        <a:schemeClr val="dk1">
          <a:lumMod val="65000"/>
          <a:lumOff val="35000"/>
          <a:alpha val="75000"/>
        </a:schemeClr>
      </a:solidFill>
    </cs:spPr>
    <cs:defRPr sz="900" b="1" kern="1200"/>
    <cs:bodyPr rot="0" spcFirstLastPara="1" vertOverflow="clip" horzOverflow="clip" vert="horz" wrap="square" lIns="36576" tIns="18288" rIns="36576" bIns="18288" anchor="ctr" anchorCtr="1">
      <a:spAutoFit/>
    </cs:bodyPr>
  </cs:dataLabelCallout>
  <cs:dataPoint>
    <cs:lnRef idx="0"/>
    <cs:fillRef idx="0">
      <cs:styleClr val="auto"/>
    </cs:fillRef>
    <cs:effectRef idx="0"/>
    <cs:fontRef idx="minor">
      <a:schemeClr val="dk1"/>
    </cs:fontRef>
    <cs:spPr>
      <a:solidFill>
        <a:schemeClr val="phClr">
          <a:alpha val="85000"/>
        </a:schemeClr>
      </a:solidFill>
      <a:ln w="9525" cap="flat" cmpd="sng" algn="ctr">
        <a:solidFill>
          <a:schemeClr val="lt1">
            <a:alpha val="50000"/>
          </a:schemeClr>
        </a:solidFill>
        <a:round/>
      </a:ln>
    </cs:spPr>
  </cs:dataPoint>
  <cs:dataPoint3D>
    <cs:lnRef idx="0"/>
    <cs:fillRef idx="0">
      <cs:styleClr val="auto"/>
    </cs:fillRef>
    <cs:effectRef idx="0"/>
    <cs:fontRef idx="minor">
      <a:schemeClr val="dk1"/>
    </cs:fontRef>
    <cs:spPr>
      <a:solidFill>
        <a:schemeClr val="phClr">
          <a:alpha val="85000"/>
        </a:schemeClr>
      </a:solidFill>
      <a:ln w="9525" cap="flat" cmpd="sng" algn="ctr">
        <a:solidFill>
          <a:schemeClr val="lt1">
            <a:alpha val="50000"/>
          </a:schemeClr>
        </a:solidFill>
        <a:round/>
      </a:ln>
    </cs:spPr>
  </cs:dataPoint3D>
  <cs:dataPointLine>
    <cs:lnRef idx="0">
      <cs:styleClr val="auto"/>
    </cs:lnRef>
    <cs:fillRef idx="0"/>
    <cs:effectRef idx="0"/>
    <cs:fontRef idx="minor">
      <a:schemeClr val="dk1"/>
    </cs:fontRef>
    <cs:spPr>
      <a:ln w="31750" cap="rnd">
        <a:solidFill>
          <a:schemeClr val="phClr">
            <a:alpha val="85000"/>
          </a:schemeClr>
        </a:solidFill>
        <a:round/>
      </a:ln>
    </cs:spPr>
  </cs:dataPointLine>
  <cs:dataPointMarker>
    <cs:lnRef idx="0"/>
    <cs:fillRef idx="0">
      <cs:styleClr val="auto"/>
    </cs:fillRef>
    <cs:effectRef idx="0"/>
    <cs:fontRef idx="minor">
      <a:schemeClr val="dk1"/>
    </cs:fontRef>
    <cs:spPr>
      <a:solidFill>
        <a:schemeClr val="phClr">
          <a:alpha val="85000"/>
        </a:schemeClr>
      </a:solidFill>
    </cs:spPr>
  </cs:dataPointMarker>
  <cs:dataPointMarkerLayout symbol="circle" size="6"/>
  <cs:dataPointWireframe>
    <cs:lnRef idx="0">
      <cs:styleClr val="auto"/>
    </cs:lnRef>
    <cs:fillRef idx="0"/>
    <cs:effectRef idx="0"/>
    <cs:fontRef idx="minor">
      <a:schemeClr val="dk1"/>
    </cs:fontRef>
    <cs:spPr>
      <a:ln w="9525" cap="rnd">
        <a:solidFill>
          <a:schemeClr val="phClr"/>
        </a:solidFill>
        <a:round/>
      </a:ln>
    </cs:spPr>
  </cs:dataPointWireframe>
  <cs:dataTable>
    <cs:lnRef idx="0"/>
    <cs:fillRef idx="0"/>
    <cs:effectRef idx="0"/>
    <cs:fontRef idx="minor">
      <a:schemeClr val="dk1">
        <a:lumMod val="75000"/>
        <a:lumOff val="25000"/>
      </a:schemeClr>
    </cs:fontRef>
    <cs:spPr>
      <a:ln w="9525">
        <a:solidFill>
          <a:schemeClr val="dk1">
            <a:lumMod val="35000"/>
            <a:lumOff val="65000"/>
          </a:schemeClr>
        </a:solidFill>
      </a:ln>
    </cs:spPr>
    <cs:defRPr sz="900" kern="1200"/>
  </cs:dataTable>
  <cs:downBar>
    <cs:lnRef idx="0"/>
    <cs:fillRef idx="0"/>
    <cs:effectRef idx="0"/>
    <cs:fontRef idx="minor">
      <a:schemeClr val="dk1"/>
    </cs:fontRef>
    <cs:spPr>
      <a:solidFill>
        <a:schemeClr val="dk1">
          <a:lumMod val="50000"/>
          <a:lumOff val="50000"/>
        </a:schemeClr>
      </a:solidFill>
      <a:ln w="9525">
        <a:solidFill>
          <a:schemeClr val="dk1">
            <a:lumMod val="65000"/>
            <a:lumOff val="35000"/>
          </a:schemeClr>
        </a:solidFill>
      </a:ln>
    </cs:spPr>
  </cs:downBar>
  <cs:dropLine>
    <cs:lnRef idx="0"/>
    <cs:fillRef idx="0"/>
    <cs:effectRef idx="0"/>
    <cs:fontRef idx="minor">
      <a:schemeClr val="dk1"/>
    </cs:fontRef>
    <cs:spPr>
      <a:ln w="9525">
        <a:solidFill>
          <a:schemeClr val="dk1">
            <a:lumMod val="35000"/>
            <a:lumOff val="65000"/>
          </a:schemeClr>
        </a:solidFill>
        <a:prstDash val="dash"/>
      </a:ln>
    </cs:spPr>
  </cs:dropLine>
  <cs:errorBar>
    <cs:lnRef idx="0"/>
    <cs:fillRef idx="0"/>
    <cs:effectRef idx="0"/>
    <cs:fontRef idx="minor">
      <a:schemeClr val="dk1"/>
    </cs:fontRef>
    <cs:spPr>
      <a:ln w="9525">
        <a:solidFill>
          <a:schemeClr val="dk1">
            <a:lumMod val="65000"/>
            <a:lumOff val="35000"/>
          </a:schemeClr>
        </a:solidFill>
        <a:round/>
      </a:ln>
    </cs:spPr>
  </cs:errorBar>
  <cs:floor>
    <cs:lnRef idx="0"/>
    <cs:fillRef idx="0"/>
    <cs:effectRef idx="0"/>
    <cs:fontRef idx="minor">
      <a:schemeClr val="dk1"/>
    </cs:fontRef>
  </cs:floor>
  <cs:gridlineMajor>
    <cs:lnRef idx="0"/>
    <cs:fillRef idx="0"/>
    <cs:effectRef idx="0"/>
    <cs:fontRef idx="minor">
      <a:schemeClr val="dk1"/>
    </cs:fontRef>
    <cs:spPr>
      <a:ln w="9525" cap="flat" cmpd="sng" algn="ctr">
        <a:gradFill>
          <a:gsLst>
            <a:gs pos="100000">
              <a:schemeClr val="dk1">
                <a:lumMod val="95000"/>
                <a:lumOff val="5000"/>
                <a:alpha val="42000"/>
              </a:schemeClr>
            </a:gs>
            <a:gs pos="0">
              <a:schemeClr val="lt1">
                <a:lumMod val="75000"/>
                <a:alpha val="36000"/>
              </a:schemeClr>
            </a:gs>
          </a:gsLst>
          <a:lin ang="5400000" scaled="0"/>
        </a:gradFill>
        <a:round/>
      </a:ln>
    </cs:spPr>
  </cs:gridlineMajor>
  <cs:gridlineMinor>
    <cs:lnRef idx="0"/>
    <cs:fillRef idx="0"/>
    <cs:effectRef idx="0"/>
    <cs:fontRef idx="minor">
      <a:schemeClr val="dk1"/>
    </cs:fontRef>
    <cs:spPr>
      <a:ln>
        <a:gradFill>
          <a:gsLst>
            <a:gs pos="100000">
              <a:schemeClr val="dk1">
                <a:lumMod val="95000"/>
                <a:lumOff val="5000"/>
                <a:alpha val="42000"/>
              </a:schemeClr>
            </a:gs>
            <a:gs pos="0">
              <a:schemeClr val="lt1">
                <a:lumMod val="75000"/>
                <a:alpha val="36000"/>
              </a:schemeClr>
            </a:gs>
          </a:gsLst>
          <a:lin ang="5400000" scaled="0"/>
        </a:gradFill>
      </a:ln>
    </cs:spPr>
  </cs:gridlineMinor>
  <cs:hiLoLine>
    <cs:lnRef idx="0"/>
    <cs:fillRef idx="0"/>
    <cs:effectRef idx="0"/>
    <cs:fontRef idx="minor">
      <a:schemeClr val="dk1"/>
    </cs:fontRef>
    <cs:spPr>
      <a:ln w="9525">
        <a:solidFill>
          <a:schemeClr val="dk1">
            <a:lumMod val="35000"/>
            <a:lumOff val="65000"/>
          </a:schemeClr>
        </a:solidFill>
        <a:prstDash val="dash"/>
      </a:ln>
    </cs:spPr>
  </cs:hiLoLine>
  <cs:leaderLine>
    <cs:lnRef idx="0"/>
    <cs:fillRef idx="0"/>
    <cs:effectRef idx="0"/>
    <cs:fontRef idx="minor">
      <a:schemeClr val="dk1"/>
    </cs:fontRef>
    <cs:spPr>
      <a:ln w="9525">
        <a:solidFill>
          <a:schemeClr val="dk1">
            <a:lumMod val="50000"/>
            <a:lumOff val="50000"/>
          </a:schemeClr>
        </a:solidFill>
      </a:ln>
    </cs:spPr>
  </cs:leaderLine>
  <cs:legend>
    <cs:lnRef idx="0"/>
    <cs:fillRef idx="0"/>
    <cs:effectRef idx="0"/>
    <cs:fontRef idx="minor">
      <a:schemeClr val="dk1">
        <a:lumMod val="75000"/>
        <a:lumOff val="25000"/>
      </a:schemeClr>
    </cs:fontRef>
    <cs:spPr>
      <a:solidFill>
        <a:schemeClr val="lt1">
          <a:lumMod val="95000"/>
          <a:alpha val="39000"/>
        </a:schemeClr>
      </a:solidFill>
    </cs:spPr>
    <cs:defRPr sz="900" kern="1200"/>
  </cs:legend>
  <cs:plotArea>
    <cs:lnRef idx="0"/>
    <cs:fillRef idx="0"/>
    <cs:effectRef idx="0"/>
    <cs:fontRef idx="minor">
      <a:schemeClr val="dk1"/>
    </cs:fontRef>
  </cs:plotArea>
  <cs:plotArea3D>
    <cs:lnRef idx="0"/>
    <cs:fillRef idx="0"/>
    <cs:effectRef idx="0"/>
    <cs:fontRef idx="minor">
      <a:schemeClr val="dk1"/>
    </cs:fontRef>
  </cs:plotArea3D>
  <cs:seriesAxis>
    <cs:lnRef idx="0"/>
    <cs:fillRef idx="0"/>
    <cs:effectRef idx="0"/>
    <cs:fontRef idx="minor">
      <a:schemeClr val="dk1">
        <a:lumMod val="75000"/>
        <a:lumOff val="25000"/>
      </a:schemeClr>
    </cs:fontRef>
    <cs:spPr>
      <a:ln w="31750" cap="flat" cmpd="sng" algn="ctr">
        <a:solidFill>
          <a:schemeClr val="dk1">
            <a:lumMod val="75000"/>
            <a:lumOff val="25000"/>
          </a:schemeClr>
        </a:solidFill>
        <a:round/>
      </a:ln>
    </cs:spPr>
    <cs:defRPr sz="900" kern="1200"/>
  </cs:seriesAxis>
  <cs:seriesLine>
    <cs:lnRef idx="0"/>
    <cs:fillRef idx="0"/>
    <cs:effectRef idx="0"/>
    <cs:fontRef idx="minor">
      <a:schemeClr val="dk1"/>
    </cs:fontRef>
    <cs:spPr>
      <a:ln w="9525">
        <a:solidFill>
          <a:schemeClr val="dk1">
            <a:lumMod val="50000"/>
            <a:lumOff val="50000"/>
          </a:schemeClr>
        </a:solidFill>
        <a:round/>
      </a:ln>
    </cs:spPr>
  </cs:seriesLine>
  <cs:title>
    <cs:lnRef idx="0"/>
    <cs:fillRef idx="0"/>
    <cs:effectRef idx="0"/>
    <cs:fontRef idx="minor">
      <a:schemeClr val="dk1">
        <a:lumMod val="75000"/>
        <a:lumOff val="25000"/>
      </a:schemeClr>
    </cs:fontRef>
    <cs:defRPr sz="1800" b="1" kern="1200" baseline="0"/>
  </cs:title>
  <cs:trendline>
    <cs:lnRef idx="0">
      <cs:styleClr val="auto"/>
    </cs:lnRef>
    <cs:fillRef idx="0"/>
    <cs:effectRef idx="0"/>
    <cs:fontRef idx="minor">
      <a:schemeClr val="dk1"/>
    </cs:fontRef>
    <cs:spPr>
      <a:ln w="19050" cap="rnd">
        <a:solidFill>
          <a:schemeClr val="phClr"/>
        </a:solidFill>
      </a:ln>
    </cs:spPr>
  </cs:trendline>
  <cs:trendlineLabel>
    <cs:lnRef idx="0"/>
    <cs:fillRef idx="0"/>
    <cs:effectRef idx="0"/>
    <cs:fontRef idx="minor">
      <a:schemeClr val="dk1">
        <a:lumMod val="75000"/>
        <a:lumOff val="25000"/>
      </a:schemeClr>
    </cs:fontRef>
    <cs:defRPr sz="900" kern="1200"/>
  </cs:trendlineLabel>
  <cs:upBar>
    <cs:lnRef idx="0"/>
    <cs:fillRef idx="0"/>
    <cs:effectRef idx="0"/>
    <cs:fontRef idx="minor">
      <a:schemeClr val="dk1"/>
    </cs:fontRef>
    <cs:spPr>
      <a:solidFill>
        <a:schemeClr val="lt1"/>
      </a:solidFill>
      <a:ln w="9525">
        <a:solidFill>
          <a:schemeClr val="dk1">
            <a:lumMod val="65000"/>
            <a:lumOff val="35000"/>
          </a:schemeClr>
        </a:solidFill>
      </a:ln>
    </cs:spPr>
  </cs:upBar>
  <cs:valueAxis>
    <cs:lnRef idx="0"/>
    <cs:fillRef idx="0"/>
    <cs:effectRef idx="0"/>
    <cs:fontRef idx="minor">
      <a:schemeClr val="dk1">
        <a:lumMod val="75000"/>
        <a:lumOff val="25000"/>
      </a:schemeClr>
    </cs:fontRef>
    <cs:spPr>
      <a:ln>
        <a:noFill/>
      </a:ln>
    </cs:spPr>
    <cs:defRPr sz="900" kern="1200"/>
  </cs:valueAxis>
  <cs:wall>
    <cs:lnRef idx="0"/>
    <cs:fillRef idx="0"/>
    <cs:effectRef idx="0"/>
    <cs:fontRef idx="minor">
      <a:schemeClr val="dk1"/>
    </cs:fontRef>
  </cs:wall>
</cs:chartStyle>
</file>

<file path=xl/charts/style2.xml><?xml version="1.0" encoding="utf-8"?>
<cs:chartStyle xmlns:cs="http://schemas.microsoft.com/office/drawing/2012/chartStyle" xmlns:a="http://schemas.openxmlformats.org/drawingml/2006/main" id="201">
  <cs:axisTitle>
    <cs:lnRef idx="0"/>
    <cs:fillRef idx="0"/>
    <cs:effectRef idx="0"/>
    <cs:fontRef idx="minor">
      <a:schemeClr val="tx1">
        <a:lumMod val="65000"/>
        <a:lumOff val="35000"/>
      </a:schemeClr>
    </cs:fontRef>
    <cs:defRPr sz="1000" kern="1200"/>
  </cs:axisTitle>
  <cs:categoryAxis>
    <cs:lnRef idx="0"/>
    <cs:fillRef idx="0"/>
    <cs:effectRef idx="0"/>
    <cs:fontRef idx="minor">
      <a:schemeClr val="tx1">
        <a:lumMod val="65000"/>
        <a:lumOff val="35000"/>
      </a:schemeClr>
    </cs:fontRef>
    <cs:spPr>
      <a:ln w="9525" cap="flat" cmpd="sng" algn="ctr">
        <a:solidFill>
          <a:schemeClr val="tx1">
            <a:lumMod val="15000"/>
            <a:lumOff val="85000"/>
          </a:schemeClr>
        </a:solidFill>
        <a:round/>
      </a:ln>
    </cs:spPr>
    <cs:defRPr sz="900" kern="1200"/>
  </cs:categoryAxis>
  <cs:chartArea mods="allowNoFillOverride allowNoLineOverride">
    <cs:lnRef idx="0"/>
    <cs:fillRef idx="0"/>
    <cs:effectRef idx="0"/>
    <cs:fontRef idx="minor">
      <a:schemeClr val="tx1"/>
    </cs:fontRef>
    <cs:spPr>
      <a:solidFill>
        <a:schemeClr val="bg1"/>
      </a:solidFill>
      <a:ln w="9525" cap="flat" cmpd="sng" algn="ctr">
        <a:solidFill>
          <a:schemeClr val="tx1">
            <a:lumMod val="15000"/>
            <a:lumOff val="85000"/>
          </a:schemeClr>
        </a:solidFill>
        <a:round/>
      </a:ln>
    </cs:spPr>
    <cs:defRPr sz="1000" kern="1200"/>
  </cs:chartArea>
  <cs:dataLabel>
    <cs:lnRef idx="0"/>
    <cs:fillRef idx="0"/>
    <cs:effectRef idx="0"/>
    <cs:fontRef idx="minor">
      <a:schemeClr val="tx1">
        <a:lumMod val="75000"/>
        <a:lumOff val="25000"/>
      </a:schemeClr>
    </cs:fontRef>
    <cs:defRPr sz="900" kern="1200"/>
  </cs:dataLabel>
  <cs:dataLabelCallout>
    <cs:lnRef idx="0"/>
    <cs:fillRef idx="0"/>
    <cs:effectRef idx="0"/>
    <cs:fontRef idx="minor">
      <a:schemeClr val="dk1">
        <a:lumMod val="65000"/>
        <a:lumOff val="35000"/>
      </a:schemeClr>
    </cs:fontRef>
    <cs:spPr>
      <a:solidFill>
        <a:schemeClr val="lt1"/>
      </a:solidFill>
      <a:ln>
        <a:solidFill>
          <a:schemeClr val="dk1">
            <a:lumMod val="25000"/>
            <a:lumOff val="75000"/>
          </a:schemeClr>
        </a:solidFill>
      </a:ln>
    </cs:spPr>
    <cs:defRPr sz="900" kern="1200"/>
    <cs:bodyPr rot="0" spcFirstLastPara="1" vertOverflow="clip" horzOverflow="clip" vert="horz" wrap="square" lIns="36576" tIns="18288" rIns="36576" bIns="18288" anchor="ctr" anchorCtr="1">
      <a:spAutoFit/>
    </cs:bodyPr>
  </cs:dataLabelCallout>
  <cs:dataPoint>
    <cs:lnRef idx="0"/>
    <cs:fillRef idx="1">
      <cs:styleClr val="auto"/>
    </cs:fillRef>
    <cs:effectRef idx="0"/>
    <cs:fontRef idx="minor">
      <a:schemeClr val="tx1"/>
    </cs:fontRef>
  </cs:dataPoint>
  <cs:dataPoint3D>
    <cs:lnRef idx="0"/>
    <cs:fillRef idx="1">
      <cs:styleClr val="auto"/>
    </cs:fillRef>
    <cs:effectRef idx="0"/>
    <cs:fontRef idx="minor">
      <a:schemeClr val="tx1"/>
    </cs:fontRef>
  </cs:dataPoint3D>
  <cs:dataPointLine>
    <cs:lnRef idx="0">
      <cs:styleClr val="auto"/>
    </cs:lnRef>
    <cs:fillRef idx="1"/>
    <cs:effectRef idx="0"/>
    <cs:fontRef idx="minor">
      <a:schemeClr val="tx1"/>
    </cs:fontRef>
    <cs:spPr>
      <a:ln w="28575" cap="rnd">
        <a:solidFill>
          <a:schemeClr val="phClr"/>
        </a:solidFill>
        <a:round/>
      </a:ln>
    </cs:spPr>
  </cs:dataPointLine>
  <cs:dataPointMarker>
    <cs:lnRef idx="0">
      <cs:styleClr val="auto"/>
    </cs:lnRef>
    <cs:fillRef idx="1">
      <cs:styleClr val="auto"/>
    </cs:fillRef>
    <cs:effectRef idx="0"/>
    <cs:fontRef idx="minor">
      <a:schemeClr val="tx1"/>
    </cs:fontRef>
    <cs:spPr>
      <a:ln w="9525">
        <a:solidFill>
          <a:schemeClr val="phClr"/>
        </a:solidFill>
      </a:ln>
    </cs:spPr>
  </cs:dataPointMarker>
  <cs:dataPointMarkerLayout symbol="circle" size="5"/>
  <cs:dataPointWireframe>
    <cs:lnRef idx="0">
      <cs:styleClr val="auto"/>
    </cs:lnRef>
    <cs:fillRef idx="1"/>
    <cs:effectRef idx="0"/>
    <cs:fontRef idx="minor">
      <a:schemeClr val="tx1"/>
    </cs:fontRef>
    <cs:spPr>
      <a:ln w="9525" cap="rnd">
        <a:solidFill>
          <a:schemeClr val="phClr"/>
        </a:solidFill>
        <a:round/>
      </a:ln>
    </cs:spPr>
  </cs:dataPointWireframe>
  <cs:dataTable>
    <cs:lnRef idx="0"/>
    <cs:fillRef idx="0"/>
    <cs:effectRef idx="0"/>
    <cs:fontRef idx="minor">
      <a:schemeClr val="tx1">
        <a:lumMod val="65000"/>
        <a:lumOff val="35000"/>
      </a:schemeClr>
    </cs:fontRef>
    <cs:spPr>
      <a:noFill/>
      <a:ln w="9525" cap="flat" cmpd="sng" algn="ctr">
        <a:solidFill>
          <a:schemeClr val="tx1">
            <a:lumMod val="15000"/>
            <a:lumOff val="85000"/>
          </a:schemeClr>
        </a:solidFill>
        <a:round/>
      </a:ln>
    </cs:spPr>
    <cs:defRPr sz="900" kern="1200"/>
  </cs:dataTable>
  <cs:downBar>
    <cs:lnRef idx="0"/>
    <cs:fillRef idx="0"/>
    <cs:effectRef idx="0"/>
    <cs:fontRef idx="minor">
      <a:schemeClr val="dk1"/>
    </cs:fontRef>
    <cs:spPr>
      <a:solidFill>
        <a:schemeClr val="dk1">
          <a:lumMod val="65000"/>
          <a:lumOff val="35000"/>
        </a:schemeClr>
      </a:solidFill>
      <a:ln w="9525">
        <a:solidFill>
          <a:schemeClr val="tx1">
            <a:lumMod val="65000"/>
            <a:lumOff val="35000"/>
          </a:schemeClr>
        </a:solidFill>
      </a:ln>
    </cs:spPr>
  </cs:downBar>
  <cs:dropLine>
    <cs:lnRef idx="0"/>
    <cs:fillRef idx="0"/>
    <cs:effectRef idx="0"/>
    <cs:fontRef idx="minor">
      <a:schemeClr val="tx1"/>
    </cs:fontRef>
    <cs:spPr>
      <a:ln w="9525" cap="flat" cmpd="sng" algn="ctr">
        <a:solidFill>
          <a:schemeClr val="tx1">
            <a:lumMod val="35000"/>
            <a:lumOff val="65000"/>
          </a:schemeClr>
        </a:solidFill>
        <a:round/>
      </a:ln>
    </cs:spPr>
  </cs:dropLine>
  <cs:errorBar>
    <cs:lnRef idx="0"/>
    <cs:fillRef idx="0"/>
    <cs:effectRef idx="0"/>
    <cs:fontRef idx="minor">
      <a:schemeClr val="tx1"/>
    </cs:fontRef>
    <cs:spPr>
      <a:ln w="9525" cap="flat" cmpd="sng" algn="ctr">
        <a:solidFill>
          <a:schemeClr val="tx1">
            <a:lumMod val="65000"/>
            <a:lumOff val="35000"/>
          </a:schemeClr>
        </a:solidFill>
        <a:round/>
      </a:ln>
    </cs:spPr>
  </cs:errorBar>
  <cs:floor>
    <cs:lnRef idx="0"/>
    <cs:fillRef idx="0"/>
    <cs:effectRef idx="0"/>
    <cs:fontRef idx="minor">
      <a:schemeClr val="tx1"/>
    </cs:fontRef>
    <cs:spPr>
      <a:noFill/>
      <a:ln>
        <a:noFill/>
      </a:ln>
    </cs:spPr>
  </cs:floor>
  <cs:gridlineMajor>
    <cs:lnRef idx="0"/>
    <cs:fillRef idx="0"/>
    <cs:effectRef idx="0"/>
    <cs:fontRef idx="minor">
      <a:schemeClr val="tx1"/>
    </cs:fontRef>
    <cs:spPr>
      <a:ln w="9525" cap="flat" cmpd="sng" algn="ctr">
        <a:solidFill>
          <a:schemeClr val="tx1">
            <a:lumMod val="15000"/>
            <a:lumOff val="85000"/>
          </a:schemeClr>
        </a:solidFill>
        <a:round/>
      </a:ln>
    </cs:spPr>
  </cs:gridlineMajor>
  <cs:gridlineMinor>
    <cs:lnRef idx="0"/>
    <cs:fillRef idx="0"/>
    <cs:effectRef idx="0"/>
    <cs:fontRef idx="minor">
      <a:schemeClr val="tx1"/>
    </cs:fontRef>
    <cs:spPr>
      <a:ln w="9525" cap="flat" cmpd="sng" algn="ctr">
        <a:solidFill>
          <a:schemeClr val="tx1">
            <a:lumMod val="5000"/>
            <a:lumOff val="95000"/>
          </a:schemeClr>
        </a:solidFill>
        <a:round/>
      </a:ln>
    </cs:spPr>
  </cs:gridlineMinor>
  <cs:hiLoLine>
    <cs:lnRef idx="0"/>
    <cs:fillRef idx="0"/>
    <cs:effectRef idx="0"/>
    <cs:fontRef idx="minor">
      <a:schemeClr val="tx1"/>
    </cs:fontRef>
    <cs:spPr>
      <a:ln w="9525" cap="flat" cmpd="sng" algn="ctr">
        <a:solidFill>
          <a:schemeClr val="tx1">
            <a:lumMod val="75000"/>
            <a:lumOff val="25000"/>
          </a:schemeClr>
        </a:solidFill>
        <a:round/>
      </a:ln>
    </cs:spPr>
  </cs:hiLoLine>
  <cs:leaderLine>
    <cs:lnRef idx="0"/>
    <cs:fillRef idx="0"/>
    <cs:effectRef idx="0"/>
    <cs:fontRef idx="minor">
      <a:schemeClr val="tx1"/>
    </cs:fontRef>
    <cs:spPr>
      <a:ln w="9525" cap="flat" cmpd="sng" algn="ctr">
        <a:solidFill>
          <a:schemeClr val="tx1">
            <a:lumMod val="35000"/>
            <a:lumOff val="65000"/>
          </a:schemeClr>
        </a:solidFill>
        <a:round/>
      </a:ln>
    </cs:spPr>
  </cs:leaderLine>
  <cs:legend>
    <cs:lnRef idx="0"/>
    <cs:fillRef idx="0"/>
    <cs:effectRef idx="0"/>
    <cs:fontRef idx="minor">
      <a:schemeClr val="tx1">
        <a:lumMod val="65000"/>
        <a:lumOff val="35000"/>
      </a:schemeClr>
    </cs:fontRef>
    <cs:defRPr sz="900" kern="1200"/>
  </cs:legend>
  <cs:plotArea mods="allowNoFillOverride allowNoLineOverride">
    <cs:lnRef idx="0"/>
    <cs:fillRef idx="0"/>
    <cs:effectRef idx="0"/>
    <cs:fontRef idx="minor">
      <a:schemeClr val="tx1"/>
    </cs:fontRef>
  </cs:plotArea>
  <cs:plotArea3D mods="allowNoFillOverride allowNoLineOverride">
    <cs:lnRef idx="0"/>
    <cs:fillRef idx="0"/>
    <cs:effectRef idx="0"/>
    <cs:fontRef idx="minor">
      <a:schemeClr val="tx1"/>
    </cs:fontRef>
  </cs:plotArea3D>
  <cs:seriesAxis>
    <cs:lnRef idx="0"/>
    <cs:fillRef idx="0"/>
    <cs:effectRef idx="0"/>
    <cs:fontRef idx="minor">
      <a:schemeClr val="tx1">
        <a:lumMod val="65000"/>
        <a:lumOff val="35000"/>
      </a:schemeClr>
    </cs:fontRef>
    <cs:defRPr sz="900" kern="1200"/>
  </cs:seriesAxis>
  <cs:seriesLine>
    <cs:lnRef idx="0"/>
    <cs:fillRef idx="0"/>
    <cs:effectRef idx="0"/>
    <cs:fontRef idx="minor">
      <a:schemeClr val="tx1"/>
    </cs:fontRef>
    <cs:spPr>
      <a:ln w="9525" cap="flat" cmpd="sng" algn="ctr">
        <a:solidFill>
          <a:schemeClr val="tx1">
            <a:lumMod val="35000"/>
            <a:lumOff val="65000"/>
          </a:schemeClr>
        </a:solidFill>
        <a:round/>
      </a:ln>
    </cs:spPr>
  </cs:seriesLine>
  <cs:title>
    <cs:lnRef idx="0"/>
    <cs:fillRef idx="0"/>
    <cs:effectRef idx="0"/>
    <cs:fontRef idx="minor">
      <a:schemeClr val="tx1">
        <a:lumMod val="65000"/>
        <a:lumOff val="35000"/>
      </a:schemeClr>
    </cs:fontRef>
    <cs:defRPr sz="1400" b="0" kern="1200" spc="0" baseline="0"/>
  </cs:title>
  <cs:trendline>
    <cs:lnRef idx="0">
      <cs:styleClr val="auto"/>
    </cs:lnRef>
    <cs:fillRef idx="0"/>
    <cs:effectRef idx="0"/>
    <cs:fontRef idx="minor">
      <a:schemeClr val="tx1"/>
    </cs:fontRef>
    <cs:spPr>
      <a:ln w="19050" cap="rnd">
        <a:solidFill>
          <a:schemeClr val="phClr"/>
        </a:solidFill>
        <a:prstDash val="sysDot"/>
      </a:ln>
    </cs:spPr>
  </cs:trendline>
  <cs:trendlineLabel>
    <cs:lnRef idx="0"/>
    <cs:fillRef idx="0"/>
    <cs:effectRef idx="0"/>
    <cs:fontRef idx="minor">
      <a:schemeClr val="tx1">
        <a:lumMod val="65000"/>
        <a:lumOff val="35000"/>
      </a:schemeClr>
    </cs:fontRef>
    <cs:defRPr sz="900" kern="1200"/>
  </cs:trendlineLabel>
  <cs:upBar>
    <cs:lnRef idx="0"/>
    <cs:fillRef idx="0"/>
    <cs:effectRef idx="0"/>
    <cs:fontRef idx="minor">
      <a:schemeClr val="dk1"/>
    </cs:fontRef>
    <cs:spPr>
      <a:solidFill>
        <a:schemeClr val="lt1"/>
      </a:solidFill>
      <a:ln w="9525">
        <a:solidFill>
          <a:schemeClr val="tx1">
            <a:lumMod val="15000"/>
            <a:lumOff val="85000"/>
          </a:schemeClr>
        </a:solidFill>
      </a:ln>
    </cs:spPr>
  </cs:upBar>
  <cs:valueAxis>
    <cs:lnRef idx="0"/>
    <cs:fillRef idx="0"/>
    <cs:effectRef idx="0"/>
    <cs:fontRef idx="minor">
      <a:schemeClr val="tx1">
        <a:lumMod val="65000"/>
        <a:lumOff val="35000"/>
      </a:schemeClr>
    </cs:fontRef>
    <cs:defRPr sz="900" kern="1200"/>
  </cs:valueAxis>
  <cs:wall>
    <cs:lnRef idx="0"/>
    <cs:fillRef idx="0"/>
    <cs:effectRef idx="0"/>
    <cs:fontRef idx="minor">
      <a:schemeClr val="tx1"/>
    </cs:fontRef>
    <cs:spPr>
      <a:noFill/>
      <a:ln>
        <a:noFill/>
      </a:ln>
    </cs:spPr>
  </cs:wall>
</cs:chartStyle>
</file>

<file path=xl/ctrlProps/ctrlProp1.xml><?xml version="1.0" encoding="utf-8"?>
<formControlPr xmlns="http://schemas.microsoft.com/office/spreadsheetml/2009/9/main" objectType="Drop" dropStyle="combo" dx="22" fmlaLink="$K$1" fmlaRange="$L$1:$L$5" noThreeD="1" sel="1" val="0"/>
</file>

<file path=xl/ctrlProps/ctrlProp2.xml><?xml version="1.0" encoding="utf-8"?>
<formControlPr xmlns="http://schemas.microsoft.com/office/spreadsheetml/2009/9/main" objectType="Radio" firstButton="1" fmlaLink="EULA!$A$1" lockText="1" noThreeD="1"/>
</file>

<file path=xl/ctrlProps/ctrlProp3.xml><?xml version="1.0" encoding="utf-8"?>
<formControlPr xmlns="http://schemas.microsoft.com/office/spreadsheetml/2009/9/main" objectType="Radio" lockText="1" noThreeD="1"/>
</file>

<file path=xl/ctrlProps/ctrlProp4.xml><?xml version="1.0" encoding="utf-8"?>
<formControlPr xmlns="http://schemas.microsoft.com/office/spreadsheetml/2009/9/main" objectType="Radio" lockText="1" noThreeD="1"/>
</file>

<file path=xl/ctrlProps/ctrlProp5.xml><?xml version="1.0" encoding="utf-8"?>
<formControlPr xmlns="http://schemas.microsoft.com/office/spreadsheetml/2009/9/main" objectType="Radio" lockText="1" noThreeD="1"/>
</file>

<file path=xl/ctrlProps/ctrlProp6.xml><?xml version="1.0" encoding="utf-8"?>
<formControlPr xmlns="http://schemas.microsoft.com/office/spreadsheetml/2009/9/main" objectType="GBox" noThreeD="1"/>
</file>

<file path=xl/ctrlProps/ctrlProp7.xml><?xml version="1.0" encoding="utf-8"?>
<formControlPr xmlns="http://schemas.microsoft.com/office/spreadsheetml/2009/9/main" objectType="GBox" noThreeD="1"/>
</file>

<file path=xl/ctrlProps/ctrlProp8.xml><?xml version="1.0" encoding="utf-8"?>
<formControlPr xmlns="http://schemas.microsoft.com/office/spreadsheetml/2009/9/main" objectType="Button" lockText="1"/>
</file>

<file path=xl/ctrlProps/ctrlProp9.xml><?xml version="1.0" encoding="utf-8"?>
<formControlPr xmlns="http://schemas.microsoft.com/office/spreadsheetml/2009/9/main" objectType="Button" lockText="1"/>
</file>

<file path=xl/ctrlProps/ctrlProp10.xml><?xml version="1.0" encoding="utf-8"?>
<formControlPr xmlns="http://schemas.microsoft.com/office/spreadsheetml/2009/9/main" objectType="Button" lockText="1"/>
</file>

<file path=xl/ctrlProps/ctrlProp11.xml><?xml version="1.0" encoding="utf-8"?>
<formControlPr xmlns="http://schemas.microsoft.com/office/spreadsheetml/2009/9/main" objectType="Button" lockText="1"/>
</file>

<file path=xl/ctrlProps/ctrlProp12.xml><?xml version="1.0" encoding="utf-8"?>
<formControlPr xmlns="http://schemas.microsoft.com/office/spreadsheetml/2009/9/main" objectType="Button" lockText="1"/>
</file>

<file path=xl/ctrlProps/ctrlProp13.xml><?xml version="1.0" encoding="utf-8"?>
<formControlPr xmlns="http://schemas.microsoft.com/office/spreadsheetml/2009/9/main" objectType="Button" lockText="1"/>
</file>

<file path=xl/drawings/_rels/drawing1.xml.rels><?xml version="1.0" encoding="UTF-8" standalone="yes"?>
<Relationships xmlns="http://schemas.openxmlformats.org/package/2006/relationships"><Relationship Id="rId1" Type="http://schemas.openxmlformats.org/officeDocument/2006/relationships/image" Target="../media/image1.png"/></Relationships>
</file>

<file path=xl/drawings/_rels/drawing2.xml.rels><?xml version="1.0" encoding="UTF-8" standalone="yes"?>
<Relationships xmlns="http://schemas.openxmlformats.org/package/2006/relationships"><Relationship Id="rId2" Type="http://schemas.openxmlformats.org/officeDocument/2006/relationships/chart" Target="../charts/chart2.xml"/><Relationship Id="rId1" Type="http://schemas.openxmlformats.org/officeDocument/2006/relationships/chart" Target="../charts/chart1.xml"/></Relationships>
</file>

<file path=xl/drawings/drawing1.xml><?xml version="1.0" encoding="utf-8"?>
<xdr:wsDr xmlns:xdr="http://schemas.openxmlformats.org/drawingml/2006/spreadsheetDrawing" xmlns:a="http://schemas.openxmlformats.org/drawingml/2006/main">
  <xdr:twoCellAnchor>
    <xdr:from>
      <xdr:col>12</xdr:col>
      <xdr:colOff>66675</xdr:colOff>
      <xdr:row>0</xdr:row>
      <xdr:rowOff>76199</xdr:rowOff>
    </xdr:from>
    <xdr:to>
      <xdr:col>23</xdr:col>
      <xdr:colOff>82875</xdr:colOff>
      <xdr:row>48</xdr:row>
      <xdr:rowOff>128774</xdr:rowOff>
    </xdr:to>
    <xdr:sp macro="" textlink="">
      <xdr:nvSpPr>
        <xdr:cNvPr id="2" name="Rectangle 1">
          <a:extLst>
            <a:ext uri="{FF2B5EF4-FFF2-40B4-BE49-F238E27FC236}">
              <a16:creationId xmlns:a16="http://schemas.microsoft.com/office/drawing/2014/main" id="{00000000-0008-0000-0200-000002000000}"/>
            </a:ext>
          </a:extLst>
        </xdr:cNvPr>
        <xdr:cNvSpPr/>
      </xdr:nvSpPr>
      <xdr:spPr>
        <a:xfrm>
          <a:off x="4381500" y="76199"/>
          <a:ext cx="7560000" cy="10692000"/>
        </a:xfrm>
        <a:prstGeom prst="rect">
          <a:avLst/>
        </a:prstGeom>
        <a:noFill/>
        <a:ln>
          <a:solidFill>
            <a:schemeClr val="accent1"/>
          </a:solidFill>
        </a:ln>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t"/>
        <a:lstStyle/>
        <a:p>
          <a:pPr algn="l"/>
          <a:r>
            <a:rPr lang="vi-VN" sz="1800" b="1">
              <a:solidFill>
                <a:sysClr val="windowText" lastClr="000000"/>
              </a:solidFill>
            </a:rPr>
            <a:t>THỎA THUẬN CẤP PHÉP NGƯỜI DÙNG CUỐI (EULA)</a:t>
          </a:r>
          <a:endParaRPr lang="vi-VN" sz="1800">
            <a:solidFill>
              <a:sysClr val="windowText" lastClr="000000"/>
            </a:solidFill>
          </a:endParaRPr>
        </a:p>
        <a:p>
          <a:pPr>
            <a:lnSpc>
              <a:spcPct val="150000"/>
            </a:lnSpc>
            <a:spcBef>
              <a:spcPts val="600"/>
            </a:spcBef>
          </a:pPr>
          <a:r>
            <a:rPr lang="vi-VN" b="1">
              <a:solidFill>
                <a:sysClr val="windowText" lastClr="000000"/>
              </a:solidFill>
            </a:rPr>
            <a:t>1. GIỚI THIỆU</a:t>
          </a:r>
          <a:br>
            <a:rPr lang="vi-VN">
              <a:solidFill>
                <a:sysClr val="windowText" lastClr="000000"/>
              </a:solidFill>
            </a:rPr>
          </a:br>
          <a:r>
            <a:rPr lang="vi-VN">
              <a:solidFill>
                <a:sysClr val="windowText" lastClr="000000"/>
              </a:solidFill>
            </a:rPr>
            <a:t>Đây là Thỏa thuận Cấp phép Người dùng Cuối ("Thỏa thuận"), được ký kết giữa </a:t>
          </a:r>
          <a:r>
            <a:rPr lang="en-US" b="1">
              <a:solidFill>
                <a:sysClr val="windowText" lastClr="000000"/>
              </a:solidFill>
            </a:rPr>
            <a:t>Bên</a:t>
          </a:r>
          <a:r>
            <a:rPr lang="en-US" b="1" baseline="0">
              <a:solidFill>
                <a:sysClr val="windowText" lastClr="000000"/>
              </a:solidFill>
            </a:rPr>
            <a:t> A </a:t>
          </a:r>
          <a:r>
            <a:rPr lang="vi-VN" b="1">
              <a:solidFill>
                <a:sysClr val="windowText" lastClr="000000"/>
              </a:solidFill>
            </a:rPr>
            <a:t>(Bên Cấp phép)</a:t>
          </a:r>
          <a:r>
            <a:rPr lang="vi-VN">
              <a:solidFill>
                <a:sysClr val="windowText" lastClr="000000"/>
              </a:solidFill>
            </a:rPr>
            <a:t> và </a:t>
          </a:r>
          <a:r>
            <a:rPr lang="en-US" b="1">
              <a:solidFill>
                <a:sysClr val="windowText" lastClr="000000"/>
              </a:solidFill>
            </a:rPr>
            <a:t>Bên</a:t>
          </a:r>
          <a:r>
            <a:rPr lang="en-US" b="1" baseline="0">
              <a:solidFill>
                <a:sysClr val="windowText" lastClr="000000"/>
              </a:solidFill>
            </a:rPr>
            <a:t> B (Người dùng)</a:t>
          </a:r>
          <a:r>
            <a:rPr lang="vi-VN">
              <a:solidFill>
                <a:sysClr val="windowText" lastClr="000000"/>
              </a:solidFill>
            </a:rPr>
            <a:t> về việc sử dụng </a:t>
          </a:r>
          <a:r>
            <a:rPr lang="vi-VN" b="1">
              <a:solidFill>
                <a:sysClr val="windowText" lastClr="000000"/>
              </a:solidFill>
            </a:rPr>
            <a:t>phần mềm quản lý doanh nghiệp dưới dạng file Excel</a:t>
          </a:r>
          <a:r>
            <a:rPr lang="en-US" b="1">
              <a:solidFill>
                <a:sysClr val="windowText" lastClr="000000"/>
              </a:solidFill>
            </a:rPr>
            <a:t> Easy Quản</a:t>
          </a:r>
          <a:r>
            <a:rPr lang="en-US" b="1" baseline="0">
              <a:solidFill>
                <a:sysClr val="windowText" lastClr="000000"/>
              </a:solidFill>
            </a:rPr>
            <a:t> trị</a:t>
          </a:r>
          <a:r>
            <a:rPr lang="vi-VN" b="1">
              <a:solidFill>
                <a:sysClr val="windowText" lastClr="000000"/>
              </a:solidFill>
            </a:rPr>
            <a:t> (</a:t>
          </a:r>
          <a:r>
            <a:rPr lang="en-US" b="1">
              <a:solidFill>
                <a:sysClr val="windowText" lastClr="000000"/>
              </a:solidFill>
            </a:rPr>
            <a:t>Phần</a:t>
          </a:r>
          <a:r>
            <a:rPr lang="en-US" b="1" baseline="0">
              <a:solidFill>
                <a:sysClr val="windowText" lastClr="000000"/>
              </a:solidFill>
            </a:rPr>
            <a:t> mềm</a:t>
          </a:r>
          <a:r>
            <a:rPr lang="vi-VN" b="1">
              <a:solidFill>
                <a:sysClr val="windowText" lastClr="000000"/>
              </a:solidFill>
            </a:rPr>
            <a:t>)</a:t>
          </a:r>
          <a:r>
            <a:rPr lang="vi-VN">
              <a:solidFill>
                <a:sysClr val="windowText" lastClr="000000"/>
              </a:solidFill>
            </a:rPr>
            <a:t>. Bằng việc tải xuống, cài đặt hoặc sử dụng Phần mềm, bạn đồng ý bị ràng buộc bởi các điều khoản dưới đây.</a:t>
          </a:r>
        </a:p>
        <a:p>
          <a:pPr>
            <a:lnSpc>
              <a:spcPct val="150000"/>
            </a:lnSpc>
            <a:spcBef>
              <a:spcPts val="600"/>
            </a:spcBef>
          </a:pPr>
          <a:r>
            <a:rPr lang="vi-VN" b="1">
              <a:solidFill>
                <a:sysClr val="windowText" lastClr="000000"/>
              </a:solidFill>
            </a:rPr>
            <a:t>2. CẤP PHÉP SỬ DỤNG</a:t>
          </a:r>
          <a:br>
            <a:rPr lang="vi-VN">
              <a:solidFill>
                <a:sysClr val="windowText" lastClr="000000"/>
              </a:solidFill>
            </a:rPr>
          </a:br>
          <a:r>
            <a:rPr lang="vi-VN">
              <a:solidFill>
                <a:sysClr val="windowText" lastClr="000000"/>
              </a:solidFill>
            </a:rPr>
            <a:t>Bên Cấp phép cấp cho Người dùng một </a:t>
          </a:r>
          <a:r>
            <a:rPr lang="vi-VN" b="1">
              <a:solidFill>
                <a:sysClr val="windowText" lastClr="000000"/>
              </a:solidFill>
            </a:rPr>
            <a:t>quyền sử dụng có giới hạn, không độc quyền, không thể chuyển nhượng</a:t>
          </a:r>
          <a:r>
            <a:rPr lang="vi-VN">
              <a:solidFill>
                <a:sysClr val="windowText" lastClr="000000"/>
              </a:solidFill>
            </a:rPr>
            <a:t> đối với Phần mềm này, chỉ dùng cho mục đích cá nhân hoặc nội bộ doanh nghiệp, không vì mục đích thương mại</a:t>
          </a:r>
          <a:r>
            <a:rPr lang="en-US">
              <a:solidFill>
                <a:sysClr val="windowText" lastClr="000000"/>
              </a:solidFill>
            </a:rPr>
            <a:t>,</a:t>
          </a:r>
          <a:r>
            <a:rPr lang="en-US" baseline="0">
              <a:solidFill>
                <a:sysClr val="windowText" lastClr="000000"/>
              </a:solidFill>
            </a:rPr>
            <a:t> </a:t>
          </a:r>
          <a:r>
            <a:rPr lang="vi-VN">
              <a:solidFill>
                <a:sysClr val="windowText" lastClr="000000"/>
              </a:solidFill>
            </a:rPr>
            <a:t> tái phân phối</a:t>
          </a:r>
          <a:r>
            <a:rPr lang="en-US">
              <a:solidFill>
                <a:sysClr val="windowText" lastClr="000000"/>
              </a:solidFill>
            </a:rPr>
            <a:t> hoặc</a:t>
          </a:r>
          <a:r>
            <a:rPr lang="en-US" baseline="0">
              <a:solidFill>
                <a:sysClr val="windowText" lastClr="000000"/>
              </a:solidFill>
            </a:rPr>
            <a:t> chia sẻ cộng đồng</a:t>
          </a:r>
          <a:r>
            <a:rPr lang="vi-VN">
              <a:solidFill>
                <a:sysClr val="windowText" lastClr="000000"/>
              </a:solidFill>
            </a:rPr>
            <a:t>.</a:t>
          </a:r>
        </a:p>
        <a:p>
          <a:pPr>
            <a:lnSpc>
              <a:spcPct val="150000"/>
            </a:lnSpc>
            <a:spcBef>
              <a:spcPts val="600"/>
            </a:spcBef>
          </a:pPr>
          <a:r>
            <a:rPr lang="vi-VN" b="1">
              <a:solidFill>
                <a:sysClr val="windowText" lastClr="000000"/>
              </a:solidFill>
            </a:rPr>
            <a:t>3. HẠN CHẾ SỬ DỤNG</a:t>
          </a:r>
          <a:r>
            <a:rPr lang="vi-VN">
              <a:solidFill>
                <a:sysClr val="windowText" lastClr="000000"/>
              </a:solidFill>
            </a:rPr>
            <a:t> Người dùng </a:t>
          </a:r>
          <a:r>
            <a:rPr lang="vi-VN" b="1">
              <a:solidFill>
                <a:sysClr val="windowText" lastClr="000000"/>
              </a:solidFill>
            </a:rPr>
            <a:t>không được thực hiện</a:t>
          </a:r>
          <a:r>
            <a:rPr lang="vi-VN">
              <a:solidFill>
                <a:sysClr val="windowText" lastClr="000000"/>
              </a:solidFill>
            </a:rPr>
            <a:t> các hành vi sau:</a:t>
          </a:r>
        </a:p>
        <a:p>
          <a:pPr>
            <a:lnSpc>
              <a:spcPct val="150000"/>
            </a:lnSpc>
            <a:spcBef>
              <a:spcPts val="600"/>
            </a:spcBef>
          </a:pPr>
          <a:r>
            <a:rPr lang="vi-VN" b="1">
              <a:solidFill>
                <a:sysClr val="windowText" lastClr="000000"/>
              </a:solidFill>
            </a:rPr>
            <a:t>Sao chép, chỉnh sửa, tái phân phối, bán hoặc cấp phép lại</a:t>
          </a:r>
          <a:r>
            <a:rPr lang="vi-VN">
              <a:solidFill>
                <a:sysClr val="windowText" lastClr="000000"/>
              </a:solidFill>
            </a:rPr>
            <a:t> Phần mềm dưới bất kỳ hình thức nào.</a:t>
          </a:r>
        </a:p>
        <a:p>
          <a:pPr marL="0" marR="0" lvl="0" indent="0" defTabSz="914400" eaLnBrk="1" fontAlgn="auto" latinLnBrk="0" hangingPunct="1">
            <a:lnSpc>
              <a:spcPct val="150000"/>
            </a:lnSpc>
            <a:spcBef>
              <a:spcPts val="600"/>
            </a:spcBef>
            <a:spcAft>
              <a:spcPts val="0"/>
            </a:spcAft>
            <a:buClrTx/>
            <a:buSzTx/>
            <a:buFontTx/>
            <a:buNone/>
            <a:tabLst/>
            <a:defRPr/>
          </a:pPr>
          <a:r>
            <a:rPr lang="vi-VN" sz="1100" b="1">
              <a:solidFill>
                <a:sysClr val="windowText" lastClr="000000"/>
              </a:solidFill>
              <a:effectLst/>
              <a:latin typeface="+mn-lt"/>
              <a:ea typeface="+mn-ea"/>
              <a:cs typeface="+mn-cs"/>
            </a:rPr>
            <a:t>Chia sẻ hoặc cung cấp Phần mềm cho bên thứ ba</a:t>
          </a:r>
          <a:r>
            <a:rPr lang="vi-VN" sz="1100">
              <a:solidFill>
                <a:sysClr val="windowText" lastClr="000000"/>
              </a:solidFill>
              <a:effectLst/>
              <a:latin typeface="+mn-lt"/>
              <a:ea typeface="+mn-ea"/>
              <a:cs typeface="+mn-cs"/>
            </a:rPr>
            <a:t> nếu không có sự đồng ý bằng văn bản từ Bên Cấp phép.</a:t>
          </a:r>
          <a:endParaRPr lang="en-US" sz="1100">
            <a:solidFill>
              <a:sysClr val="windowText" lastClr="000000"/>
            </a:solidFill>
            <a:effectLst/>
            <a:latin typeface="+mn-lt"/>
            <a:ea typeface="+mn-ea"/>
            <a:cs typeface="+mn-cs"/>
          </a:endParaRPr>
        </a:p>
        <a:p>
          <a:pPr marL="0" marR="0" lvl="0" indent="0" defTabSz="914400" eaLnBrk="1" fontAlgn="auto" latinLnBrk="0" hangingPunct="1">
            <a:lnSpc>
              <a:spcPct val="150000"/>
            </a:lnSpc>
            <a:spcBef>
              <a:spcPts val="600"/>
            </a:spcBef>
            <a:spcAft>
              <a:spcPts val="0"/>
            </a:spcAft>
            <a:buClrTx/>
            <a:buSzTx/>
            <a:buFontTx/>
            <a:buNone/>
            <a:tabLst/>
            <a:defRPr/>
          </a:pPr>
          <a:r>
            <a:rPr lang="en-US" sz="1100" b="1">
              <a:solidFill>
                <a:sysClr val="windowText" lastClr="000000"/>
              </a:solidFill>
              <a:effectLst/>
              <a:latin typeface="+mn-lt"/>
              <a:ea typeface="+mn-ea"/>
              <a:cs typeface="+mn-cs"/>
            </a:rPr>
            <a:t>Cho</a:t>
          </a:r>
          <a:r>
            <a:rPr lang="en-US" sz="1100" b="1" baseline="0">
              <a:solidFill>
                <a:sysClr val="windowText" lastClr="000000"/>
              </a:solidFill>
              <a:effectLst/>
              <a:latin typeface="+mn-lt"/>
              <a:ea typeface="+mn-ea"/>
              <a:cs typeface="+mn-cs"/>
            </a:rPr>
            <a:t> phép truy cập và tải về công cộng khi lưu trữ trên các công cụ điện toán đám mây </a:t>
          </a:r>
          <a:r>
            <a:rPr lang="en-US" sz="1100" b="0" baseline="0">
              <a:solidFill>
                <a:sysClr val="windowText" lastClr="000000"/>
              </a:solidFill>
              <a:effectLst/>
              <a:latin typeface="+mn-lt"/>
              <a:ea typeface="+mn-ea"/>
              <a:cs typeface="+mn-cs"/>
            </a:rPr>
            <a:t>(như Google Drive, OneDrive,...) </a:t>
          </a:r>
        </a:p>
        <a:p>
          <a:pPr marL="0" marR="0" lvl="0" indent="0" defTabSz="914400" eaLnBrk="1" fontAlgn="auto" latinLnBrk="0" hangingPunct="1">
            <a:lnSpc>
              <a:spcPct val="150000"/>
            </a:lnSpc>
            <a:spcBef>
              <a:spcPts val="600"/>
            </a:spcBef>
            <a:spcAft>
              <a:spcPts val="0"/>
            </a:spcAft>
            <a:buClrTx/>
            <a:buSzTx/>
            <a:buFontTx/>
            <a:buNone/>
            <a:tabLst/>
            <a:defRPr/>
          </a:pPr>
          <a:r>
            <a:rPr lang="vi-VN" b="1">
              <a:solidFill>
                <a:sysClr val="windowText" lastClr="000000"/>
              </a:solidFill>
            </a:rPr>
            <a:t>Giải mã, tháo gỡ, hoặc </a:t>
          </a:r>
          <a:r>
            <a:rPr lang="en-US" sz="1100" b="1">
              <a:solidFill>
                <a:sysClr val="windowText" lastClr="000000"/>
              </a:solidFill>
              <a:effectLst/>
              <a:latin typeface="+mn-lt"/>
              <a:ea typeface="+mn-ea"/>
              <a:cs typeface="+mn-cs"/>
            </a:rPr>
            <a:t>c</a:t>
          </a:r>
          <a:r>
            <a:rPr lang="vi-VN" sz="1100" b="1">
              <a:solidFill>
                <a:sysClr val="windowText" lastClr="000000"/>
              </a:solidFill>
              <a:effectLst/>
              <a:latin typeface="+mn-lt"/>
              <a:ea typeface="+mn-ea"/>
              <a:cs typeface="+mn-cs"/>
            </a:rPr>
            <a:t>hỉnh sửa, biến đổi</a:t>
          </a:r>
          <a:r>
            <a:rPr lang="en-US" sz="1100" b="1">
              <a:solidFill>
                <a:sysClr val="windowText" lastClr="000000"/>
              </a:solidFill>
              <a:effectLst/>
              <a:latin typeface="+mn-lt"/>
              <a:ea typeface="+mn-ea"/>
              <a:cs typeface="+mn-cs"/>
            </a:rPr>
            <a:t>,</a:t>
          </a:r>
          <a:r>
            <a:rPr lang="vi-VN" sz="1100" b="1">
              <a:solidFill>
                <a:sysClr val="windowText" lastClr="000000"/>
              </a:solidFill>
              <a:effectLst/>
              <a:latin typeface="+mn-lt"/>
              <a:ea typeface="+mn-ea"/>
              <a:cs typeface="+mn-cs"/>
            </a:rPr>
            <a:t> thay đổi một phần nhỏ của Phần mềm </a:t>
          </a:r>
          <a:r>
            <a:rPr lang="en-US" sz="1100" b="1">
              <a:solidFill>
                <a:sysClr val="windowText" lastClr="000000"/>
              </a:solidFill>
              <a:effectLst/>
              <a:latin typeface="+mn-lt"/>
              <a:ea typeface="+mn-ea"/>
              <a:cs typeface="+mn-cs"/>
            </a:rPr>
            <a:t>(giao diện,</a:t>
          </a:r>
          <a:r>
            <a:rPr lang="vi-VN" sz="1100" b="1">
              <a:solidFill>
                <a:sysClr val="windowText" lastClr="000000"/>
              </a:solidFill>
              <a:effectLst/>
              <a:latin typeface="+mn-lt"/>
              <a:ea typeface="+mn-ea"/>
              <a:cs typeface="+mn-cs"/>
            </a:rPr>
            <a:t> mã nguồn, công thức, cấu trúc</a:t>
          </a:r>
          <a:r>
            <a:rPr lang="en-US" sz="1100" b="0">
              <a:solidFill>
                <a:sysClr val="windowText" lastClr="000000"/>
              </a:solidFill>
              <a:effectLst/>
              <a:latin typeface="+mn-lt"/>
              <a:ea typeface="+mn-ea"/>
              <a:cs typeface="+mn-cs"/>
            </a:rPr>
            <a:t>) </a:t>
          </a:r>
          <a:r>
            <a:rPr lang="vi-VN" sz="1100" b="1">
              <a:solidFill>
                <a:sysClr val="windowText" lastClr="000000"/>
              </a:solidFill>
              <a:effectLst/>
              <a:latin typeface="+mn-lt"/>
              <a:ea typeface="+mn-ea"/>
              <a:cs typeface="+mn-cs"/>
            </a:rPr>
            <a:t>để đăng ký bản quyền như một tác phẩm mới</a:t>
          </a:r>
          <a:r>
            <a:rPr lang="vi-VN" sz="1100">
              <a:solidFill>
                <a:sysClr val="windowText" lastClr="000000"/>
              </a:solidFill>
              <a:effectLst/>
              <a:latin typeface="+mn-lt"/>
              <a:ea typeface="+mn-ea"/>
              <a:cs typeface="+mn-cs"/>
            </a:rPr>
            <a:t> dưới bất kỳ hình thức nào đều bị nghiêm cấm và không làm mất hiệu lực bản quyền gốc của Bên Cấp phép.</a:t>
          </a:r>
          <a:endParaRPr lang="vi-VN">
            <a:solidFill>
              <a:sysClr val="windowText" lastClr="000000"/>
            </a:solidFill>
            <a:effectLst/>
          </a:endParaRPr>
        </a:p>
        <a:p>
          <a:pPr>
            <a:lnSpc>
              <a:spcPct val="150000"/>
            </a:lnSpc>
            <a:spcBef>
              <a:spcPts val="600"/>
            </a:spcBef>
          </a:pPr>
          <a:r>
            <a:rPr lang="vi-VN" b="1">
              <a:solidFill>
                <a:sysClr val="windowText" lastClr="000000"/>
              </a:solidFill>
            </a:rPr>
            <a:t>Sử dụng Phần mềm để tạo sản phẩm tương tự hoặc cạnh tranh</a:t>
          </a:r>
          <a:r>
            <a:rPr lang="vi-VN">
              <a:solidFill>
                <a:sysClr val="windowText" lastClr="000000"/>
              </a:solidFill>
            </a:rPr>
            <a:t>.</a:t>
          </a:r>
        </a:p>
        <a:p>
          <a:pPr>
            <a:lnSpc>
              <a:spcPct val="150000"/>
            </a:lnSpc>
            <a:spcBef>
              <a:spcPts val="600"/>
            </a:spcBef>
          </a:pPr>
          <a:r>
            <a:rPr lang="vi-VN" b="1">
              <a:solidFill>
                <a:sysClr val="windowText" lastClr="000000"/>
              </a:solidFill>
            </a:rPr>
            <a:t>4. QUYỀN SỞ HỮU TRÍ TUỆ</a:t>
          </a:r>
          <a:br>
            <a:rPr lang="vi-VN">
              <a:solidFill>
                <a:sysClr val="windowText" lastClr="000000"/>
              </a:solidFill>
            </a:rPr>
          </a:br>
          <a:r>
            <a:rPr lang="vi-VN">
              <a:solidFill>
                <a:sysClr val="windowText" lastClr="000000"/>
              </a:solidFill>
            </a:rPr>
            <a:t>Phần mềm và toàn bộ nội dung liên quan đều thuộc quyền sở hữu của Bên Cấp phép, bao gồm mọi phiên bản, sửa đổi hoặc tùy biến, và bất kỳ thay đổi nào cũng không làm mất hiệu lực của bản quyền gốc được bảo vệ theo </a:t>
          </a:r>
          <a:r>
            <a:rPr lang="vi-VN" b="1">
              <a:solidFill>
                <a:sysClr val="windowText" lastClr="000000"/>
              </a:solidFill>
            </a:rPr>
            <a:t>Luật Sở hữu trí tuệ và bản quyền Việt Nam và quốc tế</a:t>
          </a:r>
          <a:r>
            <a:rPr lang="vi-VN">
              <a:solidFill>
                <a:sysClr val="windowText" lastClr="000000"/>
              </a:solidFill>
            </a:rPr>
            <a:t>. Người dùng không có quyền sở hữu đối với Phần mềm mà chỉ có quyền sử dụng theo phạm vi được cấp phép.</a:t>
          </a:r>
        </a:p>
        <a:p>
          <a:pPr>
            <a:lnSpc>
              <a:spcPct val="150000"/>
            </a:lnSpc>
            <a:spcBef>
              <a:spcPts val="600"/>
            </a:spcBef>
          </a:pPr>
          <a:r>
            <a:rPr lang="vi-VN" b="1">
              <a:solidFill>
                <a:sysClr val="windowText" lastClr="000000"/>
              </a:solidFill>
            </a:rPr>
            <a:t>5. TRÁCH NHIỆM VÀ GIỚI HẠN TRÁCH NHIỆM</a:t>
          </a:r>
          <a:endParaRPr lang="vi-VN">
            <a:solidFill>
              <a:sysClr val="windowText" lastClr="000000"/>
            </a:solidFill>
          </a:endParaRPr>
        </a:p>
        <a:p>
          <a:pPr>
            <a:lnSpc>
              <a:spcPct val="150000"/>
            </a:lnSpc>
            <a:spcBef>
              <a:spcPts val="600"/>
            </a:spcBef>
          </a:pPr>
          <a:r>
            <a:rPr lang="vi-VN">
              <a:solidFill>
                <a:sysClr val="windowText" lastClr="000000"/>
              </a:solidFill>
            </a:rPr>
            <a:t>Bên Cấp phép không chịu trách nhiệm về bất kỳ thiệt hại gián tiếp, đặc biệt, ngẫu nhiên hoặc hệ quả nào phát sinh từ việc sử dụng</a:t>
          </a:r>
          <a:r>
            <a:rPr lang="en-US">
              <a:solidFill>
                <a:sysClr val="windowText" lastClr="000000"/>
              </a:solidFill>
            </a:rPr>
            <a:t> không</a:t>
          </a:r>
          <a:r>
            <a:rPr lang="en-US" baseline="0">
              <a:solidFill>
                <a:sysClr val="windowText" lastClr="000000"/>
              </a:solidFill>
            </a:rPr>
            <a:t> đúng hướng dẫn</a:t>
          </a:r>
          <a:r>
            <a:rPr lang="en-US">
              <a:solidFill>
                <a:sysClr val="windowText" lastClr="000000"/>
              </a:solidFill>
            </a:rPr>
            <a:t> </a:t>
          </a:r>
          <a:r>
            <a:rPr lang="vi-VN">
              <a:solidFill>
                <a:sysClr val="windowText" lastClr="000000"/>
              </a:solidFill>
            </a:rPr>
            <a:t>hoặc không thể sử dụng Phần mềm</a:t>
          </a:r>
        </a:p>
        <a:p>
          <a:pPr>
            <a:lnSpc>
              <a:spcPct val="150000"/>
            </a:lnSpc>
            <a:spcBef>
              <a:spcPts val="600"/>
            </a:spcBef>
          </a:pPr>
          <a:r>
            <a:rPr lang="vi-VN" b="1">
              <a:solidFill>
                <a:sysClr val="windowText" lastClr="000000"/>
              </a:solidFill>
            </a:rPr>
            <a:t>6. CHẤM DỨT THỎA THUẬN</a:t>
          </a:r>
          <a:br>
            <a:rPr lang="vi-VN">
              <a:solidFill>
                <a:sysClr val="windowText" lastClr="000000"/>
              </a:solidFill>
            </a:rPr>
          </a:br>
          <a:r>
            <a:rPr lang="vi-VN">
              <a:solidFill>
                <a:sysClr val="windowText" lastClr="000000"/>
              </a:solidFill>
            </a:rPr>
            <a:t>Thỏa thuận này sẽ tự động chấm dứt nếu Người dùng vi phạm bất kỳ điều khoản nào. Khi thỏa thuận bị chấm dứt, Người dùng phải xóa và ngừng sử dụng Phần mềm ngay lập tức.</a:t>
          </a:r>
        </a:p>
        <a:p>
          <a:pPr>
            <a:lnSpc>
              <a:spcPct val="150000"/>
            </a:lnSpc>
            <a:spcBef>
              <a:spcPts val="600"/>
            </a:spcBef>
          </a:pPr>
          <a:r>
            <a:rPr lang="vi-VN" b="1">
              <a:solidFill>
                <a:sysClr val="windowText" lastClr="000000"/>
              </a:solidFill>
            </a:rPr>
            <a:t>7. ĐIỀU KHOẢN CHUNG</a:t>
          </a:r>
          <a:endParaRPr lang="vi-VN">
            <a:solidFill>
              <a:sysClr val="windowText" lastClr="000000"/>
            </a:solidFill>
          </a:endParaRPr>
        </a:p>
        <a:p>
          <a:pPr>
            <a:lnSpc>
              <a:spcPct val="150000"/>
            </a:lnSpc>
            <a:spcBef>
              <a:spcPts val="600"/>
            </a:spcBef>
          </a:pPr>
          <a:r>
            <a:rPr lang="vi-VN">
              <a:solidFill>
                <a:sysClr val="windowText" lastClr="000000"/>
              </a:solidFill>
            </a:rPr>
            <a:t>Thỏa thuận này chịu sự điều chỉnh của </a:t>
          </a:r>
          <a:r>
            <a:rPr lang="vi-VN" b="1">
              <a:solidFill>
                <a:sysClr val="windowText" lastClr="000000"/>
              </a:solidFill>
            </a:rPr>
            <a:t>pháp luật Việt Nam</a:t>
          </a:r>
          <a:r>
            <a:rPr lang="vi-VN">
              <a:solidFill>
                <a:sysClr val="windowText" lastClr="000000"/>
              </a:solidFill>
            </a:rPr>
            <a:t>.</a:t>
          </a:r>
          <a:r>
            <a:rPr lang="en-US" baseline="0">
              <a:solidFill>
                <a:sysClr val="windowText" lastClr="000000"/>
              </a:solidFill>
            </a:rPr>
            <a:t> </a:t>
          </a:r>
          <a:r>
            <a:rPr lang="vi-VN">
              <a:solidFill>
                <a:sysClr val="windowText" lastClr="000000"/>
              </a:solidFill>
            </a:rPr>
            <a:t>Bất kỳ tranh chấp nào phát sinh sẽ được giải quyết thông qua </a:t>
          </a:r>
          <a:r>
            <a:rPr lang="vi-VN" b="1">
              <a:solidFill>
                <a:sysClr val="windowText" lastClr="000000"/>
              </a:solidFill>
            </a:rPr>
            <a:t>thương lượng</a:t>
          </a:r>
          <a:r>
            <a:rPr lang="vi-VN">
              <a:solidFill>
                <a:sysClr val="windowText" lastClr="000000"/>
              </a:solidFill>
            </a:rPr>
            <a:t> trước khi đưa ra </a:t>
          </a:r>
          <a:r>
            <a:rPr lang="vi-VN" b="1">
              <a:solidFill>
                <a:sysClr val="windowText" lastClr="000000"/>
              </a:solidFill>
            </a:rPr>
            <a:t>tòa án có thẩm quyền</a:t>
          </a:r>
          <a:r>
            <a:rPr lang="vi-VN">
              <a:solidFill>
                <a:sysClr val="windowText" lastClr="000000"/>
              </a:solidFill>
            </a:rPr>
            <a:t> tại Việt Nam.</a:t>
          </a:r>
        </a:p>
        <a:p>
          <a:pPr>
            <a:lnSpc>
              <a:spcPct val="150000"/>
            </a:lnSpc>
            <a:spcBef>
              <a:spcPts val="600"/>
            </a:spcBef>
          </a:pPr>
          <a:r>
            <a:rPr lang="vi-VN">
              <a:solidFill>
                <a:sysClr val="windowText" lastClr="000000"/>
              </a:solidFill>
            </a:rPr>
            <a:t>Nếu một điều khoản nào đó bị tuyên vô hiệu, các điều khoản còn lại vẫn có hiệu lực.</a:t>
          </a:r>
        </a:p>
        <a:p>
          <a:pPr>
            <a:lnSpc>
              <a:spcPct val="150000"/>
            </a:lnSpc>
            <a:spcBef>
              <a:spcPts val="600"/>
            </a:spcBef>
          </a:pPr>
          <a:r>
            <a:rPr lang="vi-VN" b="1">
              <a:solidFill>
                <a:sysClr val="windowText" lastClr="000000"/>
              </a:solidFill>
            </a:rPr>
            <a:t>Bằng việc sử dụng Phần mềm, bạn xác nhận rằng đã đọc, hiểu và đồng ý với các điều khoản của Thỏa thuận này.</a:t>
          </a:r>
          <a:endParaRPr lang="vi-VN">
            <a:solidFill>
              <a:sysClr val="windowText" lastClr="000000"/>
            </a:solidFill>
          </a:endParaRPr>
        </a:p>
        <a:p>
          <a:pPr algn="l"/>
          <a:endParaRPr lang="vi-VN" sz="1100">
            <a:solidFill>
              <a:sysClr val="windowText" lastClr="000000"/>
            </a:solidFill>
          </a:endParaRPr>
        </a:p>
      </xdr:txBody>
    </xdr:sp>
    <xdr:clientData/>
  </xdr:twoCellAnchor>
  <xdr:twoCellAnchor>
    <xdr:from>
      <xdr:col>23</xdr:col>
      <xdr:colOff>170792</xdr:colOff>
      <xdr:row>0</xdr:row>
      <xdr:rowOff>76199</xdr:rowOff>
    </xdr:from>
    <xdr:to>
      <xdr:col>34</xdr:col>
      <xdr:colOff>186992</xdr:colOff>
      <xdr:row>48</xdr:row>
      <xdr:rowOff>128774</xdr:rowOff>
    </xdr:to>
    <xdr:sp macro="" textlink="">
      <xdr:nvSpPr>
        <xdr:cNvPr id="3" name="Rectangle 2">
          <a:extLst>
            <a:ext uri="{FF2B5EF4-FFF2-40B4-BE49-F238E27FC236}">
              <a16:creationId xmlns:a16="http://schemas.microsoft.com/office/drawing/2014/main" id="{00000000-0008-0000-0200-000003000000}"/>
            </a:ext>
          </a:extLst>
        </xdr:cNvPr>
        <xdr:cNvSpPr/>
      </xdr:nvSpPr>
      <xdr:spPr>
        <a:xfrm>
          <a:off x="11988361" y="76199"/>
          <a:ext cx="7531097" cy="10714006"/>
        </a:xfrm>
        <a:prstGeom prst="rect">
          <a:avLst/>
        </a:prstGeom>
        <a:noFill/>
        <a:ln>
          <a:solidFill>
            <a:schemeClr val="accent1"/>
          </a:solidFill>
        </a:ln>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t"/>
        <a:lstStyle/>
        <a:p>
          <a:r>
            <a:rPr lang="vi-VN" sz="1800" b="1">
              <a:solidFill>
                <a:sysClr val="windowText" lastClr="000000"/>
              </a:solidFill>
            </a:rPr>
            <a:t>END USER LICENSE AGREEMENT (EULA)</a:t>
          </a:r>
          <a:endParaRPr lang="vi-VN" sz="1800">
            <a:solidFill>
              <a:sysClr val="windowText" lastClr="000000"/>
            </a:solidFill>
          </a:endParaRPr>
        </a:p>
        <a:p>
          <a:pPr>
            <a:lnSpc>
              <a:spcPct val="150000"/>
            </a:lnSpc>
            <a:spcBef>
              <a:spcPts val="600"/>
            </a:spcBef>
          </a:pPr>
          <a:r>
            <a:rPr lang="vi-VN" sz="1100" b="1">
              <a:solidFill>
                <a:sysClr val="windowText" lastClr="000000"/>
              </a:solidFill>
            </a:rPr>
            <a:t>1. INTRODUCTION</a:t>
          </a:r>
          <a:br>
            <a:rPr lang="vi-VN" sz="1100">
              <a:solidFill>
                <a:sysClr val="windowText" lastClr="000000"/>
              </a:solidFill>
            </a:rPr>
          </a:br>
          <a:r>
            <a:rPr lang="vi-VN" sz="1100">
              <a:solidFill>
                <a:sysClr val="windowText" lastClr="000000"/>
              </a:solidFill>
            </a:rPr>
            <a:t>This End User License Agreement ("Agreement") is entered into between </a:t>
          </a:r>
          <a:r>
            <a:rPr lang="vi-VN" sz="1100" b="1">
              <a:solidFill>
                <a:sysClr val="windowText" lastClr="000000"/>
              </a:solidFill>
            </a:rPr>
            <a:t>Party A (Licensor) </a:t>
          </a:r>
          <a:r>
            <a:rPr lang="vi-VN" sz="1100">
              <a:solidFill>
                <a:sysClr val="windowText" lastClr="000000"/>
              </a:solidFill>
            </a:rPr>
            <a:t>and </a:t>
          </a:r>
          <a:r>
            <a:rPr lang="vi-VN" sz="1100" b="1">
              <a:solidFill>
                <a:sysClr val="windowText" lastClr="000000"/>
              </a:solidFill>
            </a:rPr>
            <a:t>Party B (User) </a:t>
          </a:r>
          <a:r>
            <a:rPr lang="vi-VN" sz="1100">
              <a:solidFill>
                <a:sysClr val="windowText" lastClr="000000"/>
              </a:solidFill>
            </a:rPr>
            <a:t>regarding the use of the </a:t>
          </a:r>
          <a:r>
            <a:rPr lang="vi-VN" sz="1100" b="1">
              <a:solidFill>
                <a:sysClr val="windowText" lastClr="000000"/>
              </a:solidFill>
            </a:rPr>
            <a:t>business management software in the form of the Easy Quản Trị Excel file (Software</a:t>
          </a:r>
          <a:r>
            <a:rPr lang="en-US" sz="1100" b="1">
              <a:solidFill>
                <a:sysClr val="windowText" lastClr="000000"/>
              </a:solidFill>
            </a:rPr>
            <a:t>)</a:t>
          </a:r>
          <a:r>
            <a:rPr lang="vi-VN" sz="1100">
              <a:solidFill>
                <a:sysClr val="windowText" lastClr="000000"/>
              </a:solidFill>
            </a:rPr>
            <a:t>. By downloading, installing, or using the Software, you agree to be bound by the following terms and conditions.</a:t>
          </a:r>
        </a:p>
        <a:p>
          <a:pPr>
            <a:lnSpc>
              <a:spcPct val="150000"/>
            </a:lnSpc>
            <a:spcBef>
              <a:spcPts val="600"/>
            </a:spcBef>
          </a:pPr>
          <a:r>
            <a:rPr lang="vi-VN" sz="1100" b="1">
              <a:solidFill>
                <a:sysClr val="windowText" lastClr="000000"/>
              </a:solidFill>
            </a:rPr>
            <a:t>2. LICENSE GRANT</a:t>
          </a:r>
          <a:br>
            <a:rPr lang="vi-VN" sz="1100">
              <a:solidFill>
                <a:sysClr val="windowText" lastClr="000000"/>
              </a:solidFill>
            </a:rPr>
          </a:br>
          <a:r>
            <a:rPr lang="vi-VN" sz="1100">
              <a:solidFill>
                <a:sysClr val="windowText" lastClr="000000"/>
              </a:solidFill>
            </a:rPr>
            <a:t>The Licensor grants the User a </a:t>
          </a:r>
          <a:r>
            <a:rPr lang="vi-VN" sz="1100" b="1">
              <a:solidFill>
                <a:sysClr val="windowText" lastClr="000000"/>
              </a:solidFill>
            </a:rPr>
            <a:t>limited, non-exclusive, non-transferable</a:t>
          </a:r>
          <a:r>
            <a:rPr lang="vi-VN" sz="1100">
              <a:solidFill>
                <a:sysClr val="windowText" lastClr="000000"/>
              </a:solidFill>
            </a:rPr>
            <a:t> right to use the Software solely for personal or internal business purposes, and not for commercial use, redistribution, or public sharing.</a:t>
          </a:r>
        </a:p>
        <a:p>
          <a:pPr>
            <a:lnSpc>
              <a:spcPct val="150000"/>
            </a:lnSpc>
            <a:spcBef>
              <a:spcPts val="600"/>
            </a:spcBef>
          </a:pPr>
          <a:r>
            <a:rPr lang="vi-VN" sz="1100" b="1">
              <a:solidFill>
                <a:sysClr val="windowText" lastClr="000000"/>
              </a:solidFill>
            </a:rPr>
            <a:t>3. RESTRICTIONS ON USE</a:t>
          </a:r>
          <a:r>
            <a:rPr lang="en-US" sz="1100" b="0">
              <a:solidFill>
                <a:sysClr val="windowText" lastClr="000000"/>
              </a:solidFill>
            </a:rPr>
            <a:t>:</a:t>
          </a:r>
          <a:r>
            <a:rPr lang="en-US" sz="1100" b="0" baseline="0">
              <a:solidFill>
                <a:sysClr val="windowText" lastClr="000000"/>
              </a:solidFill>
            </a:rPr>
            <a:t> </a:t>
          </a:r>
          <a:r>
            <a:rPr lang="vi-VN" sz="1100">
              <a:solidFill>
                <a:sysClr val="windowText" lastClr="000000"/>
              </a:solidFill>
            </a:rPr>
            <a:t>The User is </a:t>
          </a:r>
          <a:r>
            <a:rPr lang="vi-VN" sz="1100" b="1">
              <a:solidFill>
                <a:sysClr val="windowText" lastClr="000000"/>
              </a:solidFill>
            </a:rPr>
            <a:t>not permitted </a:t>
          </a:r>
          <a:r>
            <a:rPr lang="vi-VN" sz="1100">
              <a:solidFill>
                <a:sysClr val="windowText" lastClr="000000"/>
              </a:solidFill>
            </a:rPr>
            <a:t>to:</a:t>
          </a:r>
        </a:p>
        <a:p>
          <a:pPr>
            <a:lnSpc>
              <a:spcPct val="150000"/>
            </a:lnSpc>
            <a:spcBef>
              <a:spcPts val="600"/>
            </a:spcBef>
          </a:pPr>
          <a:r>
            <a:rPr lang="vi-VN" sz="1100" b="1">
              <a:solidFill>
                <a:sysClr val="windowText" lastClr="000000"/>
              </a:solidFill>
            </a:rPr>
            <a:t>Copy, modify, redistribute, sell, or sublicense</a:t>
          </a:r>
          <a:r>
            <a:rPr lang="vi-VN" sz="1100">
              <a:solidFill>
                <a:sysClr val="windowText" lastClr="000000"/>
              </a:solidFill>
            </a:rPr>
            <a:t> the Software in any form.</a:t>
          </a:r>
        </a:p>
        <a:p>
          <a:pPr>
            <a:lnSpc>
              <a:spcPct val="150000"/>
            </a:lnSpc>
            <a:spcBef>
              <a:spcPts val="600"/>
            </a:spcBef>
          </a:pPr>
          <a:r>
            <a:rPr lang="vi-VN" sz="1100" b="1">
              <a:solidFill>
                <a:sysClr val="windowText" lastClr="000000"/>
              </a:solidFill>
            </a:rPr>
            <a:t>Share or provide the Software to any third party</a:t>
          </a:r>
          <a:r>
            <a:rPr lang="vi-VN" sz="1100">
              <a:solidFill>
                <a:sysClr val="windowText" lastClr="000000"/>
              </a:solidFill>
            </a:rPr>
            <a:t> without the Licensor’s written consent.</a:t>
          </a:r>
        </a:p>
        <a:p>
          <a:pPr>
            <a:lnSpc>
              <a:spcPct val="150000"/>
            </a:lnSpc>
            <a:spcBef>
              <a:spcPts val="600"/>
            </a:spcBef>
          </a:pPr>
          <a:r>
            <a:rPr lang="vi-VN" sz="1100" b="1">
              <a:solidFill>
                <a:sysClr val="windowText" lastClr="000000"/>
              </a:solidFill>
            </a:rPr>
            <a:t>Allow public access or downloading when storing the Software on cloud computing services</a:t>
          </a:r>
          <a:r>
            <a:rPr lang="vi-VN" sz="1100">
              <a:solidFill>
                <a:sysClr val="windowText" lastClr="000000"/>
              </a:solidFill>
            </a:rPr>
            <a:t> (such as Google Drive, OneDrive, etc.).</a:t>
          </a:r>
        </a:p>
        <a:p>
          <a:pPr>
            <a:lnSpc>
              <a:spcPct val="150000"/>
            </a:lnSpc>
            <a:spcBef>
              <a:spcPts val="600"/>
            </a:spcBef>
          </a:pPr>
          <a:r>
            <a:rPr lang="vi-VN" sz="1100" b="1">
              <a:solidFill>
                <a:sysClr val="windowText" lastClr="000000"/>
              </a:solidFill>
            </a:rPr>
            <a:t>Reverse-engineer, disassemble, modify, alter, or make minor changes to the Software (interface, source code, formulas, structure) to register a new copyright </a:t>
          </a:r>
          <a:r>
            <a:rPr lang="vi-VN" sz="1100">
              <a:solidFill>
                <a:sysClr val="windowText" lastClr="000000"/>
              </a:solidFill>
            </a:rPr>
            <a:t>under any form, as this is strictly prohibited and does not invalidate the Licensor’s original copyright.</a:t>
          </a:r>
        </a:p>
        <a:p>
          <a:pPr>
            <a:lnSpc>
              <a:spcPct val="150000"/>
            </a:lnSpc>
            <a:spcBef>
              <a:spcPts val="600"/>
            </a:spcBef>
          </a:pPr>
          <a:r>
            <a:rPr lang="vi-VN" sz="1100" b="1">
              <a:solidFill>
                <a:sysClr val="windowText" lastClr="000000"/>
              </a:solidFill>
            </a:rPr>
            <a:t>Use the Software to create similar or competing products.</a:t>
          </a:r>
        </a:p>
        <a:p>
          <a:pPr>
            <a:lnSpc>
              <a:spcPct val="150000"/>
            </a:lnSpc>
            <a:spcBef>
              <a:spcPts val="600"/>
            </a:spcBef>
          </a:pPr>
          <a:r>
            <a:rPr lang="vi-VN" sz="1100" b="1">
              <a:solidFill>
                <a:sysClr val="windowText" lastClr="000000"/>
              </a:solidFill>
            </a:rPr>
            <a:t>4. INTELLECTUAL PROPERTY RIGHTS</a:t>
          </a:r>
          <a:br>
            <a:rPr lang="vi-VN" sz="1100">
              <a:solidFill>
                <a:sysClr val="windowText" lastClr="000000"/>
              </a:solidFill>
            </a:rPr>
          </a:br>
          <a:r>
            <a:rPr lang="vi-VN" sz="1100">
              <a:solidFill>
                <a:sysClr val="windowText" lastClr="000000"/>
              </a:solidFill>
            </a:rPr>
            <a:t>The Software and all related content are the property of the Licensor, including all versions, modifications, or customizations. Any changes made do not invalidate the original copyright, which is protected under </a:t>
          </a:r>
          <a:r>
            <a:rPr lang="vi-VN" sz="1100" b="1">
              <a:solidFill>
                <a:sysClr val="windowText" lastClr="000000"/>
              </a:solidFill>
            </a:rPr>
            <a:t>Vietnamese and international intellectual property and copyright laws</a:t>
          </a:r>
          <a:r>
            <a:rPr lang="vi-VN" sz="1100">
              <a:solidFill>
                <a:sysClr val="windowText" lastClr="000000"/>
              </a:solidFill>
            </a:rPr>
            <a:t>. The User has no ownership rights over the Software and is only granted a license for use within the permitted scope.</a:t>
          </a:r>
        </a:p>
        <a:p>
          <a:pPr>
            <a:lnSpc>
              <a:spcPct val="150000"/>
            </a:lnSpc>
            <a:spcBef>
              <a:spcPts val="600"/>
            </a:spcBef>
          </a:pPr>
          <a:r>
            <a:rPr lang="vi-VN" sz="1100" b="1">
              <a:solidFill>
                <a:sysClr val="windowText" lastClr="000000"/>
              </a:solidFill>
            </a:rPr>
            <a:t>5. LIABILITY AND LIMITATION OF LIABILITY</a:t>
          </a:r>
          <a:endParaRPr lang="vi-VN" sz="1100">
            <a:solidFill>
              <a:sysClr val="windowText" lastClr="000000"/>
            </a:solidFill>
          </a:endParaRPr>
        </a:p>
        <a:p>
          <a:pPr>
            <a:lnSpc>
              <a:spcPct val="150000"/>
            </a:lnSpc>
            <a:spcBef>
              <a:spcPts val="600"/>
            </a:spcBef>
          </a:pPr>
          <a:r>
            <a:rPr lang="vi-VN" sz="1100">
              <a:solidFill>
                <a:sysClr val="windowText" lastClr="000000"/>
              </a:solidFill>
            </a:rPr>
            <a:t>The Licensor is not liable for any </a:t>
          </a:r>
          <a:r>
            <a:rPr lang="vi-VN" sz="1100" b="1">
              <a:solidFill>
                <a:sysClr val="windowText" lastClr="000000"/>
              </a:solidFill>
            </a:rPr>
            <a:t>indirect, special, incidental, or consequential damages</a:t>
          </a:r>
          <a:r>
            <a:rPr lang="vi-VN" sz="1100">
              <a:solidFill>
                <a:sysClr val="windowText" lastClr="000000"/>
              </a:solidFill>
            </a:rPr>
            <a:t> arising from the misuse or inability to use the Software.</a:t>
          </a:r>
        </a:p>
        <a:p>
          <a:pPr>
            <a:lnSpc>
              <a:spcPct val="150000"/>
            </a:lnSpc>
            <a:spcBef>
              <a:spcPts val="600"/>
            </a:spcBef>
          </a:pPr>
          <a:r>
            <a:rPr lang="vi-VN" sz="1100" b="1">
              <a:solidFill>
                <a:sysClr val="windowText" lastClr="000000"/>
              </a:solidFill>
            </a:rPr>
            <a:t>6. TERMINATION OF AGREEMENT</a:t>
          </a:r>
          <a:br>
            <a:rPr lang="vi-VN" sz="1100">
              <a:solidFill>
                <a:sysClr val="windowText" lastClr="000000"/>
              </a:solidFill>
            </a:rPr>
          </a:br>
          <a:r>
            <a:rPr lang="vi-VN" sz="1100">
              <a:solidFill>
                <a:sysClr val="windowText" lastClr="000000"/>
              </a:solidFill>
            </a:rPr>
            <a:t>This Agreement will automatically terminate if the User violates any of its terms. Upon termination, the User must delete and cease using the Software immediately.</a:t>
          </a:r>
        </a:p>
        <a:p>
          <a:pPr>
            <a:lnSpc>
              <a:spcPct val="150000"/>
            </a:lnSpc>
            <a:spcBef>
              <a:spcPts val="600"/>
            </a:spcBef>
          </a:pPr>
          <a:r>
            <a:rPr lang="vi-VN" sz="1100" b="1">
              <a:solidFill>
                <a:sysClr val="windowText" lastClr="000000"/>
              </a:solidFill>
            </a:rPr>
            <a:t>7. GENERAL TERMS</a:t>
          </a:r>
          <a:endParaRPr lang="vi-VN" sz="1100">
            <a:solidFill>
              <a:sysClr val="windowText" lastClr="000000"/>
            </a:solidFill>
          </a:endParaRPr>
        </a:p>
        <a:p>
          <a:pPr>
            <a:lnSpc>
              <a:spcPct val="150000"/>
            </a:lnSpc>
            <a:spcBef>
              <a:spcPts val="600"/>
            </a:spcBef>
          </a:pPr>
          <a:r>
            <a:rPr lang="vi-VN" sz="1100">
              <a:solidFill>
                <a:sysClr val="windowText" lastClr="000000"/>
              </a:solidFill>
            </a:rPr>
            <a:t>This Agreement is governed by </a:t>
          </a:r>
          <a:r>
            <a:rPr lang="vi-VN" sz="1100" b="1">
              <a:solidFill>
                <a:sysClr val="windowText" lastClr="000000"/>
              </a:solidFill>
            </a:rPr>
            <a:t>Vietnamese law</a:t>
          </a:r>
          <a:r>
            <a:rPr lang="vi-VN" sz="1100">
              <a:solidFill>
                <a:sysClr val="windowText" lastClr="000000"/>
              </a:solidFill>
            </a:rPr>
            <a:t>.</a:t>
          </a:r>
          <a:r>
            <a:rPr lang="en-US" sz="1100" baseline="0">
              <a:solidFill>
                <a:sysClr val="windowText" lastClr="000000"/>
              </a:solidFill>
            </a:rPr>
            <a:t> </a:t>
          </a:r>
          <a:r>
            <a:rPr lang="vi-VN" sz="1100">
              <a:solidFill>
                <a:sysClr val="windowText" lastClr="000000"/>
              </a:solidFill>
            </a:rPr>
            <a:t>Any disputes arising will be resolved through </a:t>
          </a:r>
          <a:r>
            <a:rPr lang="vi-VN" sz="1100" b="1">
              <a:solidFill>
                <a:sysClr val="windowText" lastClr="000000"/>
              </a:solidFill>
            </a:rPr>
            <a:t>negotiation</a:t>
          </a:r>
          <a:r>
            <a:rPr lang="vi-VN" sz="1100">
              <a:solidFill>
                <a:sysClr val="windowText" lastClr="000000"/>
              </a:solidFill>
            </a:rPr>
            <a:t> before being submitted to the competent </a:t>
          </a:r>
          <a:r>
            <a:rPr lang="vi-VN" sz="1100" b="1">
              <a:solidFill>
                <a:sysClr val="windowText" lastClr="000000"/>
              </a:solidFill>
            </a:rPr>
            <a:t>court in Vietnam</a:t>
          </a:r>
          <a:r>
            <a:rPr lang="vi-VN" sz="1100">
              <a:solidFill>
                <a:sysClr val="windowText" lastClr="000000"/>
              </a:solidFill>
            </a:rPr>
            <a:t>.</a:t>
          </a:r>
        </a:p>
        <a:p>
          <a:pPr>
            <a:lnSpc>
              <a:spcPct val="150000"/>
            </a:lnSpc>
            <a:spcBef>
              <a:spcPts val="600"/>
            </a:spcBef>
          </a:pPr>
          <a:r>
            <a:rPr lang="vi-VN" sz="1100">
              <a:solidFill>
                <a:sysClr val="windowText" lastClr="000000"/>
              </a:solidFill>
            </a:rPr>
            <a:t>If any provision of this Agreement is declared invalid, the remaining provisions shall remain in effect.</a:t>
          </a:r>
        </a:p>
        <a:p>
          <a:pPr>
            <a:lnSpc>
              <a:spcPct val="150000"/>
            </a:lnSpc>
            <a:spcBef>
              <a:spcPts val="600"/>
            </a:spcBef>
          </a:pPr>
          <a:r>
            <a:rPr lang="vi-VN" sz="1100" b="1">
              <a:solidFill>
                <a:sysClr val="windowText" lastClr="000000"/>
              </a:solidFill>
            </a:rPr>
            <a:t>By using the Software, you acknowledge that you have read, understood, and agreed to the terms of this Agreement.</a:t>
          </a:r>
        </a:p>
      </xdr:txBody>
    </xdr:sp>
    <xdr:clientData/>
  </xdr:twoCellAnchor>
  <xdr:twoCellAnchor editAs="oneCell">
    <xdr:from>
      <xdr:col>20</xdr:col>
      <xdr:colOff>400051</xdr:colOff>
      <xdr:row>0</xdr:row>
      <xdr:rowOff>133350</xdr:rowOff>
    </xdr:from>
    <xdr:to>
      <xdr:col>22</xdr:col>
      <xdr:colOff>571501</xdr:colOff>
      <xdr:row>3</xdr:row>
      <xdr:rowOff>116059</xdr:rowOff>
    </xdr:to>
    <xdr:pic>
      <xdr:nvPicPr>
        <xdr:cNvPr id="6" name="Picture 5">
          <a:extLst>
            <a:ext uri="{FF2B5EF4-FFF2-40B4-BE49-F238E27FC236}">
              <a16:creationId xmlns:a16="http://schemas.microsoft.com/office/drawing/2014/main" id="{00000000-0008-0000-0200-000006000000}"/>
            </a:ext>
          </a:extLst>
        </xdr:cNvPr>
        <xdr:cNvPicPr>
          <a:picLocks noChangeAspect="1" noChangeArrowheads="1"/>
        </xdr:cNvPicPr>
      </xdr:nvPicPr>
      <xdr:blipFill>
        <a:blip xmlns:r="http://schemas.openxmlformats.org/officeDocument/2006/relationships" r:embed="rId1" cstate="print">
          <a:extLst>
            <a:ext uri="{28A0092B-C50C-407E-A947-70E740481C1C}">
              <a14:useLocalDpi xmlns:a14="http://schemas.microsoft.com/office/drawing/2010/main" val="0"/>
            </a:ext>
          </a:extLst>
        </a:blip>
        <a:srcRect/>
        <a:stretch>
          <a:fillRect/>
        </a:stretch>
      </xdr:blipFill>
      <xdr:spPr bwMode="auto">
        <a:xfrm>
          <a:off x="10201276" y="133350"/>
          <a:ext cx="1543050" cy="617220"/>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31</xdr:col>
      <xdr:colOff>485776</xdr:colOff>
      <xdr:row>0</xdr:row>
      <xdr:rowOff>152400</xdr:rowOff>
    </xdr:from>
    <xdr:to>
      <xdr:col>33</xdr:col>
      <xdr:colOff>657226</xdr:colOff>
      <xdr:row>3</xdr:row>
      <xdr:rowOff>135109</xdr:rowOff>
    </xdr:to>
    <xdr:pic>
      <xdr:nvPicPr>
        <xdr:cNvPr id="7" name="Picture 6">
          <a:extLst>
            <a:ext uri="{FF2B5EF4-FFF2-40B4-BE49-F238E27FC236}">
              <a16:creationId xmlns:a16="http://schemas.microsoft.com/office/drawing/2014/main" id="{00000000-0008-0000-0200-000007000000}"/>
            </a:ext>
          </a:extLst>
        </xdr:cNvPr>
        <xdr:cNvPicPr>
          <a:picLocks noChangeAspect="1" noChangeArrowheads="1"/>
        </xdr:cNvPicPr>
      </xdr:nvPicPr>
      <xdr:blipFill>
        <a:blip xmlns:r="http://schemas.openxmlformats.org/officeDocument/2006/relationships" r:embed="rId1" cstate="print">
          <a:extLst>
            <a:ext uri="{28A0092B-C50C-407E-A947-70E740481C1C}">
              <a14:useLocalDpi xmlns:a14="http://schemas.microsoft.com/office/drawing/2010/main" val="0"/>
            </a:ext>
          </a:extLst>
        </a:blip>
        <a:srcRect/>
        <a:stretch>
          <a:fillRect/>
        </a:stretch>
      </xdr:blipFill>
      <xdr:spPr bwMode="auto">
        <a:xfrm>
          <a:off x="17830801" y="152400"/>
          <a:ext cx="1543050" cy="617220"/>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0</xdr:col>
      <xdr:colOff>58615</xdr:colOff>
      <xdr:row>0</xdr:row>
      <xdr:rowOff>28575</xdr:rowOff>
    </xdr:from>
    <xdr:to>
      <xdr:col>2</xdr:col>
      <xdr:colOff>32239</xdr:colOff>
      <xdr:row>3</xdr:row>
      <xdr:rowOff>11284</xdr:rowOff>
    </xdr:to>
    <xdr:pic>
      <xdr:nvPicPr>
        <xdr:cNvPr id="4" name="Picture 3">
          <a:extLst>
            <a:ext uri="{FF2B5EF4-FFF2-40B4-BE49-F238E27FC236}">
              <a16:creationId xmlns:a16="http://schemas.microsoft.com/office/drawing/2014/main" id="{00000000-0008-0000-0200-000004000000}"/>
            </a:ext>
          </a:extLst>
        </xdr:cNvPr>
        <xdr:cNvPicPr>
          <a:picLocks noChangeAspect="1" noChangeArrowheads="1"/>
        </xdr:cNvPicPr>
      </xdr:nvPicPr>
      <xdr:blipFill>
        <a:blip xmlns:r="http://schemas.openxmlformats.org/officeDocument/2006/relationships" r:embed="rId1" cstate="print">
          <a:extLst>
            <a:ext uri="{28A0092B-C50C-407E-A947-70E740481C1C}">
              <a14:useLocalDpi xmlns:a14="http://schemas.microsoft.com/office/drawing/2010/main" val="0"/>
            </a:ext>
          </a:extLst>
        </a:blip>
        <a:srcRect/>
        <a:stretch>
          <a:fillRect/>
        </a:stretch>
      </xdr:blipFill>
      <xdr:spPr bwMode="auto">
        <a:xfrm>
          <a:off x="58615" y="28575"/>
          <a:ext cx="1548912" cy="620151"/>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xdr:from>
      <xdr:col>0</xdr:col>
      <xdr:colOff>485774</xdr:colOff>
      <xdr:row>18</xdr:row>
      <xdr:rowOff>200024</xdr:rowOff>
    </xdr:from>
    <xdr:to>
      <xdr:col>11</xdr:col>
      <xdr:colOff>676275</xdr:colOff>
      <xdr:row>48</xdr:row>
      <xdr:rowOff>152400</xdr:rowOff>
    </xdr:to>
    <xdr:sp macro="" textlink="">
      <xdr:nvSpPr>
        <xdr:cNvPr id="5" name="Rectangle 4">
          <a:extLst>
            <a:ext uri="{FF2B5EF4-FFF2-40B4-BE49-F238E27FC236}">
              <a16:creationId xmlns:a16="http://schemas.microsoft.com/office/drawing/2014/main" id="{00000000-0008-0000-0200-000005000000}"/>
            </a:ext>
          </a:extLst>
        </xdr:cNvPr>
        <xdr:cNvSpPr/>
      </xdr:nvSpPr>
      <xdr:spPr>
        <a:xfrm>
          <a:off x="485774" y="4600574"/>
          <a:ext cx="7934326" cy="6238876"/>
        </a:xfrm>
        <a:prstGeom prst="rect">
          <a:avLst/>
        </a:prstGeom>
        <a:noFill/>
        <a:ln>
          <a:solidFill>
            <a:schemeClr val="accent1"/>
          </a:solidFill>
        </a:ln>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t"/>
        <a:lstStyle/>
        <a:p>
          <a:r>
            <a:rPr lang="vi-VN" sz="1800" b="1">
              <a:solidFill>
                <a:sysClr val="windowText" lastClr="000000"/>
              </a:solidFill>
            </a:rPr>
            <a:t>TUYÊN BỐ BẢN QUYỀN VÀ QUYỀN SỞ HỮU THƯƠNG HIỆU</a:t>
          </a:r>
          <a:endParaRPr lang="vi-VN" sz="1800">
            <a:solidFill>
              <a:sysClr val="windowText" lastClr="000000"/>
            </a:solidFill>
          </a:endParaRPr>
        </a:p>
        <a:p>
          <a:pPr>
            <a:lnSpc>
              <a:spcPct val="100000"/>
            </a:lnSpc>
            <a:spcBef>
              <a:spcPts val="600"/>
            </a:spcBef>
          </a:pPr>
          <a:r>
            <a:rPr lang="vi-VN" sz="1100" b="1">
              <a:solidFill>
                <a:sysClr val="windowText" lastClr="000000"/>
              </a:solidFill>
            </a:rPr>
            <a:t>Phần mềm Easy Quản Trị</a:t>
          </a:r>
          <a:r>
            <a:rPr lang="vi-VN" sz="1100" b="1">
              <a:solidFill>
                <a:sysClr val="windowText" lastClr="000000"/>
              </a:solidFill>
              <a:effectLst/>
              <a:latin typeface="+mn-lt"/>
              <a:ea typeface="+mn-ea"/>
              <a:cs typeface="+mn-cs"/>
            </a:rPr>
            <a:t>©</a:t>
          </a:r>
          <a:r>
            <a:rPr lang="en-US" sz="1100" b="1">
              <a:solidFill>
                <a:sysClr val="windowText" lastClr="000000"/>
              </a:solidFill>
            </a:rPr>
            <a:t> </a:t>
          </a:r>
          <a:r>
            <a:rPr lang="en-US" sz="1100">
              <a:solidFill>
                <a:sysClr val="windowText" lastClr="000000"/>
              </a:solidFill>
            </a:rPr>
            <a:t>(Phần</a:t>
          </a:r>
          <a:r>
            <a:rPr lang="en-US" sz="1100" baseline="0">
              <a:solidFill>
                <a:sysClr val="windowText" lastClr="000000"/>
              </a:solidFill>
            </a:rPr>
            <a:t> mềm)</a:t>
          </a:r>
          <a:r>
            <a:rPr lang="vi-VN" sz="1100">
              <a:solidFill>
                <a:sysClr val="windowText" lastClr="000000"/>
              </a:solidFill>
            </a:rPr>
            <a:t>, bao gồm nhưng không giới hạn ở nội dung, cấu trúc, thiết kế, mô hình dữ liệu, công thức, chức năng, giao diện, tài liệu hướng dẫn và tất cả các tài liệu liên quan, </a:t>
          </a:r>
          <a:r>
            <a:rPr lang="vi-VN" sz="1100" b="1">
              <a:solidFill>
                <a:sysClr val="windowText" lastClr="000000"/>
              </a:solidFill>
            </a:rPr>
            <a:t>là tài sản trí tuệ thuộc sở hữu của </a:t>
          </a:r>
          <a:r>
            <a:rPr lang="en-US" sz="1100" b="1">
              <a:solidFill>
                <a:sysClr val="windowText" lastClr="000000"/>
              </a:solidFill>
            </a:rPr>
            <a:t>Ông</a:t>
          </a:r>
          <a:r>
            <a:rPr lang="en-US" sz="1100" b="1" baseline="0">
              <a:solidFill>
                <a:sysClr val="windowText" lastClr="000000"/>
              </a:solidFill>
            </a:rPr>
            <a:t> Lê Đức Anh</a:t>
          </a:r>
          <a:r>
            <a:rPr lang="vi-VN" sz="1100" b="1">
              <a:solidFill>
                <a:sysClr val="windowText" lastClr="000000"/>
              </a:solidFill>
            </a:rPr>
            <a:t> </a:t>
          </a:r>
          <a:r>
            <a:rPr lang="vi-VN" sz="1100">
              <a:solidFill>
                <a:sysClr val="windowText" lastClr="000000"/>
              </a:solidFill>
            </a:rPr>
            <a:t>(Chủ </a:t>
          </a:r>
          <a:r>
            <a:rPr lang="en-US" sz="1100">
              <a:solidFill>
                <a:sysClr val="windowText" lastClr="000000"/>
              </a:solidFill>
            </a:rPr>
            <a:t>s</a:t>
          </a:r>
          <a:r>
            <a:rPr lang="vi-VN" sz="1100">
              <a:solidFill>
                <a:sysClr val="windowText" lastClr="000000"/>
              </a:solidFill>
            </a:rPr>
            <a:t>ở </a:t>
          </a:r>
          <a:r>
            <a:rPr lang="en-US" sz="1100">
              <a:solidFill>
                <a:sysClr val="windowText" lastClr="000000"/>
              </a:solidFill>
            </a:rPr>
            <a:t>h</a:t>
          </a:r>
          <a:r>
            <a:rPr lang="vi-VN" sz="1100">
              <a:solidFill>
                <a:sysClr val="windowText" lastClr="000000"/>
              </a:solidFill>
            </a:rPr>
            <a:t>ữu)</a:t>
          </a:r>
          <a:r>
            <a:rPr lang="en-US" sz="1100" baseline="0">
              <a:solidFill>
                <a:sysClr val="windowText" lastClr="000000"/>
              </a:solidFill>
            </a:rPr>
            <a:t> - người sáng lập và giám đốc Công ty TNHH Tư vấn Quản trị FIRM (FIRMMC Co.,), </a:t>
          </a:r>
          <a:r>
            <a:rPr lang="en-US" sz="1100" b="1" baseline="0">
              <a:solidFill>
                <a:sysClr val="windowText" lastClr="000000"/>
              </a:solidFill>
            </a:rPr>
            <a:t>đã cấp quyền cho FIRMMC Co., khai thác thương mại</a:t>
          </a:r>
          <a:r>
            <a:rPr lang="en-US" sz="1100" baseline="0">
              <a:solidFill>
                <a:sysClr val="windowText" lastClr="000000"/>
              </a:solidFill>
            </a:rPr>
            <a:t> Phần mềm bằng Hợp đồng Thương mại số HĐTM/FIRMMC/2025-01</a:t>
          </a:r>
          <a:endParaRPr lang="vi-VN" sz="1100">
            <a:solidFill>
              <a:sysClr val="windowText" lastClr="000000"/>
            </a:solidFill>
          </a:endParaRPr>
        </a:p>
        <a:p>
          <a:pPr>
            <a:lnSpc>
              <a:spcPct val="100000"/>
            </a:lnSpc>
            <a:spcBef>
              <a:spcPts val="600"/>
            </a:spcBef>
          </a:pPr>
          <a:r>
            <a:rPr lang="vi-VN" sz="1100">
              <a:solidFill>
                <a:sysClr val="windowText" lastClr="000000"/>
              </a:solidFill>
            </a:rPr>
            <a:t>Mọi quyền được bảo lưu. </a:t>
          </a:r>
          <a:r>
            <a:rPr lang="vi-VN" sz="1100" b="1">
              <a:solidFill>
                <a:sysClr val="windowText" lastClr="000000"/>
              </a:solidFill>
            </a:rPr>
            <a:t>Nghiêm cấm sao chép, tái sản xuất, chỉnh sửa, phân phối hoặc sử dụng cho mục đích thương mại bất kỳ phần nào của sản phẩm này</a:t>
          </a:r>
          <a:r>
            <a:rPr lang="vi-VN" sz="1100">
              <a:solidFill>
                <a:sysClr val="windowText" lastClr="000000"/>
              </a:solidFill>
            </a:rPr>
            <a:t> khi chưa có sự đồng ý bằng văn bản của Chủ Sở Hữu.</a:t>
          </a:r>
        </a:p>
        <a:p>
          <a:pPr>
            <a:lnSpc>
              <a:spcPct val="100000"/>
            </a:lnSpc>
            <a:spcBef>
              <a:spcPts val="600"/>
            </a:spcBef>
          </a:pPr>
          <a:r>
            <a:rPr lang="vi-VN" sz="1100" b="1">
              <a:solidFill>
                <a:sysClr val="windowText" lastClr="000000"/>
              </a:solidFill>
            </a:rPr>
            <a:t>"Easy Quản Trị" và các biểu tượng, logo, khẩu hiệu, thiết kế liên quan đều là thương hiệu độc quyền của Chủ Sở Hữu</a:t>
          </a:r>
          <a:r>
            <a:rPr lang="vi-VN" sz="1100">
              <a:solidFill>
                <a:sysClr val="windowText" lastClr="000000"/>
              </a:solidFill>
            </a:rPr>
            <a:t>. Bất kỳ hành vi sử dụng trái phép, sao chép hoặc khai thác thương hiệu đều bị nghiêm cấm và có thể dẫn đến các hành động pháp lý.</a:t>
          </a:r>
        </a:p>
        <a:p>
          <a:pPr>
            <a:lnSpc>
              <a:spcPct val="100000"/>
            </a:lnSpc>
            <a:spcBef>
              <a:spcPts val="600"/>
            </a:spcBef>
          </a:pPr>
          <a:r>
            <a:rPr lang="vi-VN" sz="1100">
              <a:solidFill>
                <a:sysClr val="windowText" lastClr="000000"/>
              </a:solidFill>
            </a:rPr>
            <a:t>Sản phẩm này được </a:t>
          </a:r>
          <a:r>
            <a:rPr lang="vi-VN" sz="1100" b="1">
              <a:solidFill>
                <a:sysClr val="windowText" lastClr="000000"/>
              </a:solidFill>
            </a:rPr>
            <a:t>bảo vệ bởi Luật Sở hữu trí tuệ Việt Nam và các hiệp ước quốc tế về bản quyền liên quan</a:t>
          </a:r>
          <a:r>
            <a:rPr lang="vi-VN" sz="1100">
              <a:solidFill>
                <a:sysClr val="windowText" lastClr="000000"/>
              </a:solidFill>
            </a:rPr>
            <a:t>.</a:t>
          </a:r>
        </a:p>
        <a:p>
          <a:pPr>
            <a:lnSpc>
              <a:spcPct val="100000"/>
            </a:lnSpc>
            <a:spcBef>
              <a:spcPts val="600"/>
            </a:spcBef>
          </a:pPr>
          <a:r>
            <a:rPr lang="vi-VN" sz="1100">
              <a:solidFill>
                <a:sysClr val="windowText" lastClr="000000"/>
              </a:solidFill>
            </a:rPr>
            <a:t>© </a:t>
          </a:r>
          <a:r>
            <a:rPr lang="en-US" sz="1100">
              <a:solidFill>
                <a:sysClr val="windowText" lastClr="000000"/>
              </a:solidFill>
            </a:rPr>
            <a:t>2025 Lê</a:t>
          </a:r>
          <a:r>
            <a:rPr lang="en-US" sz="1100" baseline="0">
              <a:solidFill>
                <a:sysClr val="windowText" lastClr="000000"/>
              </a:solidFill>
            </a:rPr>
            <a:t> Đức Anh</a:t>
          </a:r>
          <a:r>
            <a:rPr lang="vi-VN" sz="1100">
              <a:solidFill>
                <a:sysClr val="windowText" lastClr="000000"/>
              </a:solidFill>
            </a:rPr>
            <a:t>. Bảo lưu mọi quyền.</a:t>
          </a:r>
          <a:endParaRPr lang="en-US" sz="1100">
            <a:solidFill>
              <a:sysClr val="windowText" lastClr="000000"/>
            </a:solidFill>
          </a:endParaRPr>
        </a:p>
        <a:p>
          <a:pPr>
            <a:lnSpc>
              <a:spcPct val="150000"/>
            </a:lnSpc>
            <a:spcBef>
              <a:spcPts val="600"/>
            </a:spcBef>
          </a:pPr>
          <a:endParaRPr lang="en-US" sz="1100">
            <a:solidFill>
              <a:sysClr val="windowText" lastClr="000000"/>
            </a:solidFill>
          </a:endParaRPr>
        </a:p>
        <a:p>
          <a:r>
            <a:rPr lang="vi-VN" sz="1800" b="1">
              <a:solidFill>
                <a:sysClr val="windowText" lastClr="000000"/>
              </a:solidFill>
            </a:rPr>
            <a:t>COPYRIGHT AND TRADEMARK OWNERSHIP STATEMENT</a:t>
          </a:r>
          <a:endParaRPr lang="vi-VN" sz="1800">
            <a:solidFill>
              <a:sysClr val="windowText" lastClr="000000"/>
            </a:solidFill>
          </a:endParaRPr>
        </a:p>
        <a:p>
          <a:pPr>
            <a:spcBef>
              <a:spcPts val="600"/>
            </a:spcBef>
          </a:pPr>
          <a:r>
            <a:rPr lang="vi-VN" sz="1100" b="1" baseline="0">
              <a:solidFill>
                <a:sysClr val="windowText" lastClr="000000"/>
              </a:solidFill>
              <a:latin typeface="+mn-lt"/>
              <a:ea typeface="+mn-ea"/>
              <a:cs typeface="+mn-cs"/>
            </a:rPr>
            <a:t>The Easy Quản Trị software©</a:t>
          </a:r>
          <a:r>
            <a:rPr lang="vi-VN" sz="1100" baseline="0">
              <a:solidFill>
                <a:sysClr val="windowText" lastClr="000000"/>
              </a:solidFill>
              <a:latin typeface="+mn-lt"/>
              <a:ea typeface="+mn-ea"/>
              <a:cs typeface="+mn-cs"/>
            </a:rPr>
            <a:t> (</a:t>
          </a:r>
          <a:r>
            <a:rPr lang="en-US" sz="1100" baseline="0">
              <a:solidFill>
                <a:sysClr val="windowText" lastClr="000000"/>
              </a:solidFill>
              <a:latin typeface="+mn-lt"/>
              <a:ea typeface="+mn-ea"/>
              <a:cs typeface="+mn-cs"/>
            </a:rPr>
            <a:t>Software</a:t>
          </a:r>
          <a:r>
            <a:rPr lang="vi-VN" sz="1100" baseline="0">
              <a:solidFill>
                <a:sysClr val="windowText" lastClr="000000"/>
              </a:solidFill>
              <a:latin typeface="+mn-lt"/>
              <a:ea typeface="+mn-ea"/>
              <a:cs typeface="+mn-cs"/>
            </a:rPr>
            <a:t>), including but not limited to its content, structure, design, data models, formulas, functions, interfaces, documentation, and all related materials, </a:t>
          </a:r>
          <a:r>
            <a:rPr lang="vi-VN" sz="1100" b="1" baseline="0">
              <a:solidFill>
                <a:sysClr val="windowText" lastClr="000000"/>
              </a:solidFill>
              <a:latin typeface="+mn-lt"/>
              <a:ea typeface="+mn-ea"/>
              <a:cs typeface="+mn-cs"/>
            </a:rPr>
            <a:t>is the intellectual property o</a:t>
          </a:r>
          <a:r>
            <a:rPr lang="en-US" sz="1100" b="1" baseline="0">
              <a:solidFill>
                <a:sysClr val="windowText" lastClr="000000"/>
              </a:solidFill>
              <a:latin typeface="+mn-lt"/>
              <a:ea typeface="+mn-ea"/>
              <a:cs typeface="+mn-cs"/>
            </a:rPr>
            <a:t>wned by Mr. Le Duc Anh</a:t>
          </a:r>
          <a:r>
            <a:rPr lang="vi-VN" sz="1100" baseline="0">
              <a:solidFill>
                <a:sysClr val="windowText" lastClr="000000"/>
              </a:solidFill>
              <a:latin typeface="+mn-lt"/>
              <a:ea typeface="+mn-ea"/>
              <a:cs typeface="+mn-cs"/>
            </a:rPr>
            <a:t> (Owner)</a:t>
          </a:r>
          <a:r>
            <a:rPr lang="en-US" sz="1100" baseline="0">
              <a:solidFill>
                <a:sysClr val="windowText" lastClr="000000"/>
              </a:solidFill>
              <a:latin typeface="+mn-lt"/>
              <a:ea typeface="+mn-ea"/>
              <a:cs typeface="+mn-cs"/>
            </a:rPr>
            <a:t> - the founder and director of FIRM Management Consulting Co., Ltd (FIRMMC Co.,), who has </a:t>
          </a:r>
          <a:r>
            <a:rPr lang="en-US" sz="1100" b="1" baseline="0">
              <a:solidFill>
                <a:sysClr val="windowText" lastClr="000000"/>
              </a:solidFill>
              <a:latin typeface="+mn-lt"/>
              <a:ea typeface="+mn-ea"/>
              <a:cs typeface="+mn-cs"/>
            </a:rPr>
            <a:t>authorized FIRMMC Co., to commercially exploit the Software </a:t>
          </a:r>
          <a:r>
            <a:rPr lang="en-US" sz="1100" baseline="0">
              <a:solidFill>
                <a:sysClr val="windowText" lastClr="000000"/>
              </a:solidFill>
              <a:latin typeface="+mn-lt"/>
              <a:ea typeface="+mn-ea"/>
              <a:cs typeface="+mn-cs"/>
            </a:rPr>
            <a:t>under Commercial Contract No. HĐTM/FIRMMC/2025-01</a:t>
          </a:r>
          <a:endParaRPr lang="vi-VN" sz="1100" baseline="0">
            <a:solidFill>
              <a:sysClr val="windowText" lastClr="000000"/>
            </a:solidFill>
            <a:latin typeface="+mn-lt"/>
            <a:ea typeface="+mn-ea"/>
            <a:cs typeface="+mn-cs"/>
          </a:endParaRPr>
        </a:p>
        <a:p>
          <a:pPr>
            <a:spcBef>
              <a:spcPts val="600"/>
            </a:spcBef>
          </a:pPr>
          <a:r>
            <a:rPr lang="vi-VN" sz="1100" baseline="0">
              <a:solidFill>
                <a:sysClr val="windowText" lastClr="000000"/>
              </a:solidFill>
              <a:latin typeface="+mn-lt"/>
              <a:ea typeface="+mn-ea"/>
              <a:cs typeface="+mn-cs"/>
            </a:rPr>
            <a:t>All rights are reserved. </a:t>
          </a:r>
          <a:r>
            <a:rPr lang="vi-VN" sz="1100" b="1" baseline="0">
              <a:solidFill>
                <a:sysClr val="windowText" lastClr="000000"/>
              </a:solidFill>
              <a:latin typeface="+mn-lt"/>
              <a:ea typeface="+mn-ea"/>
              <a:cs typeface="+mn-cs"/>
            </a:rPr>
            <a:t>Unauthorized copying, reproduction, modification, distribution, or commercial use of any part of this product </a:t>
          </a:r>
          <a:r>
            <a:rPr lang="vi-VN" sz="1100" baseline="0">
              <a:solidFill>
                <a:sysClr val="windowText" lastClr="000000"/>
              </a:solidFill>
              <a:latin typeface="+mn-lt"/>
              <a:ea typeface="+mn-ea"/>
              <a:cs typeface="+mn-cs"/>
            </a:rPr>
            <a:t>without prior written consent from the Owner </a:t>
          </a:r>
          <a:r>
            <a:rPr lang="vi-VN" sz="1100" b="1" baseline="0">
              <a:solidFill>
                <a:sysClr val="windowText" lastClr="000000"/>
              </a:solidFill>
              <a:latin typeface="+mn-lt"/>
              <a:ea typeface="+mn-ea"/>
              <a:cs typeface="+mn-cs"/>
            </a:rPr>
            <a:t>is strictly prohibited and constitutes a violation of copyright law</a:t>
          </a:r>
          <a:r>
            <a:rPr lang="vi-VN" sz="1100" baseline="0">
              <a:solidFill>
                <a:sysClr val="windowText" lastClr="000000"/>
              </a:solidFill>
              <a:latin typeface="+mn-lt"/>
              <a:ea typeface="+mn-ea"/>
              <a:cs typeface="+mn-cs"/>
            </a:rPr>
            <a:t>.</a:t>
          </a:r>
        </a:p>
        <a:p>
          <a:pPr>
            <a:spcBef>
              <a:spcPts val="600"/>
            </a:spcBef>
          </a:pPr>
          <a:r>
            <a:rPr lang="vi-VN" sz="1100" baseline="0">
              <a:solidFill>
                <a:sysClr val="windowText" lastClr="000000"/>
              </a:solidFill>
              <a:latin typeface="+mn-lt"/>
              <a:ea typeface="+mn-ea"/>
              <a:cs typeface="+mn-cs"/>
            </a:rPr>
            <a:t>"</a:t>
          </a:r>
          <a:r>
            <a:rPr lang="vi-VN" sz="1100" b="1" baseline="0">
              <a:solidFill>
                <a:sysClr val="windowText" lastClr="000000"/>
              </a:solidFill>
              <a:latin typeface="+mn-lt"/>
              <a:ea typeface="+mn-ea"/>
              <a:cs typeface="+mn-cs"/>
            </a:rPr>
            <a:t>Easy Quản Trị" and any associated logos, icons, slogans, or designs are proprietary trademarks owned by the Owner</a:t>
          </a:r>
          <a:r>
            <a:rPr lang="vi-VN" sz="1100" baseline="0">
              <a:solidFill>
                <a:sysClr val="windowText" lastClr="000000"/>
              </a:solidFill>
              <a:latin typeface="+mn-lt"/>
              <a:ea typeface="+mn-ea"/>
              <a:cs typeface="+mn-cs"/>
            </a:rPr>
            <a:t>. Any unauthorized use, imitation, or exploitation of these trademarks is strictly prohibited and may result in legal action.</a:t>
          </a:r>
        </a:p>
        <a:p>
          <a:pPr>
            <a:spcBef>
              <a:spcPts val="600"/>
            </a:spcBef>
          </a:pPr>
          <a:r>
            <a:rPr lang="vi-VN" sz="1100" baseline="0">
              <a:solidFill>
                <a:sysClr val="windowText" lastClr="000000"/>
              </a:solidFill>
              <a:latin typeface="+mn-lt"/>
              <a:ea typeface="+mn-ea"/>
              <a:cs typeface="+mn-cs"/>
            </a:rPr>
            <a:t>This product is </a:t>
          </a:r>
          <a:r>
            <a:rPr lang="vi-VN" sz="1100" b="1" baseline="0">
              <a:solidFill>
                <a:sysClr val="windowText" lastClr="000000"/>
              </a:solidFill>
              <a:latin typeface="+mn-lt"/>
              <a:ea typeface="+mn-ea"/>
              <a:cs typeface="+mn-cs"/>
            </a:rPr>
            <a:t>protected by Vietnamese Intellectual Property Law and applicable international copyright treaties</a:t>
          </a:r>
          <a:r>
            <a:rPr lang="vi-VN" sz="1100" baseline="0">
              <a:solidFill>
                <a:sysClr val="windowText" lastClr="000000"/>
              </a:solidFill>
              <a:latin typeface="+mn-lt"/>
              <a:ea typeface="+mn-ea"/>
              <a:cs typeface="+mn-cs"/>
            </a:rPr>
            <a:t>.</a:t>
          </a:r>
        </a:p>
        <a:p>
          <a:pPr>
            <a:spcBef>
              <a:spcPts val="600"/>
            </a:spcBef>
          </a:pPr>
          <a:r>
            <a:rPr lang="vi-VN" sz="1100" baseline="0">
              <a:solidFill>
                <a:sysClr val="windowText" lastClr="000000"/>
              </a:solidFill>
              <a:latin typeface="+mn-lt"/>
              <a:ea typeface="+mn-ea"/>
              <a:cs typeface="+mn-cs"/>
            </a:rPr>
            <a:t>© </a:t>
          </a:r>
          <a:r>
            <a:rPr lang="en-US" sz="1100" baseline="0">
              <a:solidFill>
                <a:sysClr val="windowText" lastClr="000000"/>
              </a:solidFill>
              <a:latin typeface="+mn-lt"/>
              <a:ea typeface="+mn-ea"/>
              <a:cs typeface="+mn-cs"/>
            </a:rPr>
            <a:t>2025 Le Duc Anh. </a:t>
          </a:r>
          <a:r>
            <a:rPr lang="vi-VN" sz="1100" baseline="0">
              <a:solidFill>
                <a:sysClr val="windowText" lastClr="000000"/>
              </a:solidFill>
              <a:latin typeface="+mn-lt"/>
              <a:ea typeface="+mn-ea"/>
              <a:cs typeface="+mn-cs"/>
            </a:rPr>
            <a:t>All rights reserved.</a:t>
          </a:r>
        </a:p>
        <a:p>
          <a:pPr>
            <a:lnSpc>
              <a:spcPct val="150000"/>
            </a:lnSpc>
            <a:spcBef>
              <a:spcPts val="600"/>
            </a:spcBef>
          </a:pPr>
          <a:endParaRPr lang="vi-VN" sz="1100">
            <a:solidFill>
              <a:sysClr val="windowText" lastClr="000000"/>
            </a:solidFill>
          </a:endParaRPr>
        </a:p>
      </xdr:txBody>
    </xdr:sp>
    <xdr:clientData/>
  </xdr:twoCellAnchor>
  <mc:AlternateContent xmlns:mc="http://schemas.openxmlformats.org/markup-compatibility/2006">
    <mc:Choice xmlns:a14="http://schemas.microsoft.com/office/drawing/2010/main" Requires="a14">
      <xdr:twoCellAnchor editAs="oneCell">
        <xdr:from>
          <xdr:col>9</xdr:col>
          <xdr:colOff>571500</xdr:colOff>
          <xdr:row>0</xdr:row>
          <xdr:rowOff>123825</xdr:rowOff>
        </xdr:from>
        <xdr:to>
          <xdr:col>12</xdr:col>
          <xdr:colOff>47625</xdr:colOff>
          <xdr:row>1</xdr:row>
          <xdr:rowOff>161925</xdr:rowOff>
        </xdr:to>
        <xdr:sp macro="" textlink="">
          <xdr:nvSpPr>
            <xdr:cNvPr id="1025" name="ThemeSelector" hidden="1">
              <a:extLst>
                <a:ext uri="{63B3BB69-23CF-44E3-9099-C40C66FF867C}">
                  <a14:compatExt spid="_x0000_s1025"/>
                </a:ext>
                <a:ext uri="{FF2B5EF4-FFF2-40B4-BE49-F238E27FC236}">
                  <a16:creationId xmlns:a16="http://schemas.microsoft.com/office/drawing/2014/main" id="{00000000-0008-0000-0100-0000010400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xdr:wsDr>
</file>

<file path=xl/drawings/drawing2.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xdr:from>
          <xdr:col>34</xdr:col>
          <xdr:colOff>9526</xdr:colOff>
          <xdr:row>0</xdr:row>
          <xdr:rowOff>66675</xdr:rowOff>
        </xdr:from>
        <xdr:to>
          <xdr:col>37</xdr:col>
          <xdr:colOff>762000</xdr:colOff>
          <xdr:row>1</xdr:row>
          <xdr:rowOff>200025</xdr:rowOff>
        </xdr:to>
        <xdr:grpSp>
          <xdr:nvGrpSpPr>
            <xdr:cNvPr id="5" name="Group 4">
              <a:extLst>
                <a:ext uri="{FF2B5EF4-FFF2-40B4-BE49-F238E27FC236}">
                  <a16:creationId xmlns:a16="http://schemas.microsoft.com/office/drawing/2014/main" id="{00000000-0008-0000-0D00-000005000000}"/>
                </a:ext>
              </a:extLst>
            </xdr:cNvPr>
            <xdr:cNvGrpSpPr/>
          </xdr:nvGrpSpPr>
          <xdr:grpSpPr>
            <a:xfrm>
              <a:off x="200026" y="66675"/>
              <a:ext cx="3695699" cy="361950"/>
              <a:chOff x="6162676" y="3409950"/>
              <a:chExt cx="3695699" cy="361950"/>
            </a:xfrm>
          </xdr:grpSpPr>
          <xdr:grpSp>
            <xdr:nvGrpSpPr>
              <xdr:cNvPr id="6" name="Group 5">
                <a:extLst>
                  <a:ext uri="{FF2B5EF4-FFF2-40B4-BE49-F238E27FC236}">
                    <a16:creationId xmlns:a16="http://schemas.microsoft.com/office/drawing/2014/main" id="{00000000-0008-0000-0D00-000006000000}"/>
                  </a:ext>
                </a:extLst>
              </xdr:cNvPr>
              <xdr:cNvGrpSpPr/>
            </xdr:nvGrpSpPr>
            <xdr:grpSpPr>
              <a:xfrm>
                <a:off x="7867650" y="3409950"/>
                <a:ext cx="1990725" cy="361950"/>
                <a:chOff x="8191500" y="3409950"/>
                <a:chExt cx="1990725" cy="361950"/>
              </a:xfrm>
            </xdr:grpSpPr>
            <xdr:grpSp>
              <xdr:nvGrpSpPr>
                <xdr:cNvPr id="10" name="Group 9">
                  <a:extLst>
                    <a:ext uri="{FF2B5EF4-FFF2-40B4-BE49-F238E27FC236}">
                      <a16:creationId xmlns:a16="http://schemas.microsoft.com/office/drawing/2014/main" id="{00000000-0008-0000-0D00-00000A000000}"/>
                    </a:ext>
                  </a:extLst>
                </xdr:cNvPr>
                <xdr:cNvGrpSpPr/>
              </xdr:nvGrpSpPr>
              <xdr:grpSpPr>
                <a:xfrm>
                  <a:off x="8302013" y="3452813"/>
                  <a:ext cx="1769699" cy="276225"/>
                  <a:chOff x="8305801" y="3457575"/>
                  <a:chExt cx="1769699" cy="276225"/>
                </a:xfrm>
              </xdr:grpSpPr>
              <xdr:sp macro="" textlink="">
                <xdr:nvSpPr>
                  <xdr:cNvPr id="53268" name="Option Button 20" hidden="1">
                    <a:extLst>
                      <a:ext uri="{63B3BB69-23CF-44E3-9099-C40C66FF867C}">
                        <a14:compatExt spid="_x0000_s53268"/>
                      </a:ext>
                      <a:ext uri="{FF2B5EF4-FFF2-40B4-BE49-F238E27FC236}">
                        <a16:creationId xmlns:a16="http://schemas.microsoft.com/office/drawing/2014/main" id="{00000000-0008-0000-0200-000014D00000}"/>
                      </a:ext>
                    </a:extLst>
                  </xdr:cNvPr>
                  <xdr:cNvSpPr/>
                </xdr:nvSpPr>
                <xdr:spPr bwMode="auto">
                  <a:xfrm>
                    <a:off x="8305801" y="3457575"/>
                    <a:ext cx="590550" cy="276225"/>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txBody>
                  <a:bodyPr vertOverflow="clip" wrap="square" lIns="27432" tIns="18288" rIns="0" bIns="18288" anchor="ctr" upright="1"/>
                  <a:lstStyle/>
                  <a:p>
                    <a:pPr algn="l" rtl="0">
                      <a:defRPr sz="1000"/>
                    </a:pPr>
                    <a:r>
                      <a:rPr lang="en-US" sz="800" b="0" i="0" u="none" strike="noStrike" baseline="0">
                        <a:solidFill>
                          <a:srgbClr val="000000"/>
                        </a:solidFill>
                        <a:latin typeface="Segoe UI"/>
                        <a:cs typeface="Segoe UI"/>
                      </a:rPr>
                      <a:t>Không</a:t>
                    </a:r>
                  </a:p>
                </xdr:txBody>
              </xdr:sp>
              <xdr:sp macro="" textlink="">
                <xdr:nvSpPr>
                  <xdr:cNvPr id="53269" name="Option Button 21" hidden="1">
                    <a:extLst>
                      <a:ext uri="{63B3BB69-23CF-44E3-9099-C40C66FF867C}">
                        <a14:compatExt spid="_x0000_s53269"/>
                      </a:ext>
                      <a:ext uri="{FF2B5EF4-FFF2-40B4-BE49-F238E27FC236}">
                        <a16:creationId xmlns:a16="http://schemas.microsoft.com/office/drawing/2014/main" id="{00000000-0008-0000-0200-000015D00000}"/>
                      </a:ext>
                    </a:extLst>
                  </xdr:cNvPr>
                  <xdr:cNvSpPr/>
                </xdr:nvSpPr>
                <xdr:spPr bwMode="auto">
                  <a:xfrm>
                    <a:off x="8775701" y="3457575"/>
                    <a:ext cx="590550" cy="276225"/>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txBody>
                  <a:bodyPr vertOverflow="clip" wrap="square" lIns="27432" tIns="18288" rIns="0" bIns="18288" anchor="ctr" upright="1"/>
                  <a:lstStyle/>
                  <a:p>
                    <a:pPr algn="l" rtl="0">
                      <a:defRPr sz="1000"/>
                    </a:pPr>
                    <a:r>
                      <a:rPr lang="en-US" sz="800" b="0" i="0" u="none" strike="noStrike" baseline="0">
                        <a:solidFill>
                          <a:srgbClr val="000000"/>
                        </a:solidFill>
                        <a:latin typeface="Segoe UI"/>
                        <a:cs typeface="Segoe UI"/>
                      </a:rPr>
                      <a:t>Nghìn</a:t>
                    </a:r>
                  </a:p>
                </xdr:txBody>
              </xdr:sp>
              <xdr:sp macro="" textlink="">
                <xdr:nvSpPr>
                  <xdr:cNvPr id="53270" name="Option Button 22" hidden="1">
                    <a:extLst>
                      <a:ext uri="{63B3BB69-23CF-44E3-9099-C40C66FF867C}">
                        <a14:compatExt spid="_x0000_s53270"/>
                      </a:ext>
                      <a:ext uri="{FF2B5EF4-FFF2-40B4-BE49-F238E27FC236}">
                        <a16:creationId xmlns:a16="http://schemas.microsoft.com/office/drawing/2014/main" id="{00000000-0008-0000-0200-000016D00000}"/>
                      </a:ext>
                    </a:extLst>
                  </xdr:cNvPr>
                  <xdr:cNvSpPr/>
                </xdr:nvSpPr>
                <xdr:spPr bwMode="auto">
                  <a:xfrm>
                    <a:off x="9245601" y="3457575"/>
                    <a:ext cx="590550" cy="276225"/>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txBody>
                  <a:bodyPr vertOverflow="clip" wrap="square" lIns="27432" tIns="18288" rIns="0" bIns="18288" anchor="ctr" upright="1"/>
                  <a:lstStyle/>
                  <a:p>
                    <a:pPr algn="l" rtl="0">
                      <a:defRPr sz="1000"/>
                    </a:pPr>
                    <a:r>
                      <a:rPr lang="en-US" sz="800" b="0" i="0" u="none" strike="noStrike" baseline="0">
                        <a:solidFill>
                          <a:srgbClr val="000000"/>
                        </a:solidFill>
                        <a:latin typeface="Segoe UI"/>
                        <a:cs typeface="Segoe UI"/>
                      </a:rPr>
                      <a:t>Triệu</a:t>
                    </a:r>
                  </a:p>
                </xdr:txBody>
              </xdr:sp>
              <xdr:sp macro="" textlink="">
                <xdr:nvSpPr>
                  <xdr:cNvPr id="53271" name="Option Button 23" hidden="1">
                    <a:extLst>
                      <a:ext uri="{63B3BB69-23CF-44E3-9099-C40C66FF867C}">
                        <a14:compatExt spid="_x0000_s53271"/>
                      </a:ext>
                      <a:ext uri="{FF2B5EF4-FFF2-40B4-BE49-F238E27FC236}">
                        <a16:creationId xmlns:a16="http://schemas.microsoft.com/office/drawing/2014/main" id="{00000000-0008-0000-0200-000017D00000}"/>
                      </a:ext>
                    </a:extLst>
                  </xdr:cNvPr>
                  <xdr:cNvSpPr/>
                </xdr:nvSpPr>
                <xdr:spPr bwMode="auto">
                  <a:xfrm>
                    <a:off x="9715500" y="3457575"/>
                    <a:ext cx="360000" cy="276225"/>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txBody>
                  <a:bodyPr vertOverflow="clip" wrap="square" lIns="27432" tIns="18288" rIns="0" bIns="18288" anchor="ctr" upright="1"/>
                  <a:lstStyle/>
                  <a:p>
                    <a:pPr algn="l" rtl="0">
                      <a:defRPr sz="1000"/>
                    </a:pPr>
                    <a:r>
                      <a:rPr lang="en-US" sz="800" b="0" i="0" u="none" strike="noStrike" baseline="0">
                        <a:solidFill>
                          <a:srgbClr val="000000"/>
                        </a:solidFill>
                        <a:latin typeface="Segoe UI"/>
                        <a:cs typeface="Segoe UI"/>
                      </a:rPr>
                      <a:t>Tỷ</a:t>
                    </a:r>
                  </a:p>
                </xdr:txBody>
              </xdr:sp>
            </xdr:grpSp>
            <xdr:sp macro="" textlink="">
              <xdr:nvSpPr>
                <xdr:cNvPr id="53272" name="Group Box 24" hidden="1">
                  <a:extLst>
                    <a:ext uri="{63B3BB69-23CF-44E3-9099-C40C66FF867C}">
                      <a14:compatExt spid="_x0000_s53272"/>
                    </a:ext>
                    <a:ext uri="{FF2B5EF4-FFF2-40B4-BE49-F238E27FC236}">
                      <a16:creationId xmlns:a16="http://schemas.microsoft.com/office/drawing/2014/main" id="{00000000-0008-0000-0200-000018D00000}"/>
                    </a:ext>
                  </a:extLst>
                </xdr:cNvPr>
                <xdr:cNvSpPr/>
              </xdr:nvSpPr>
              <xdr:spPr bwMode="auto">
                <a:xfrm>
                  <a:off x="8191500" y="3409950"/>
                  <a:ext cx="1990725" cy="361950"/>
                </a:xfrm>
                <a:prstGeom prst="rect">
                  <a:avLst/>
                </a:prstGeom>
                <a:noFill/>
                <a:ln w="9525">
                  <a:miter lim="800000"/>
                  <a:headEnd/>
                  <a:tailEnd/>
                </a:ln>
                <a:extLst>
                  <a:ext uri="{909E8E84-426E-40DD-AFC4-6F175D3DCCD1}">
                    <a14:hiddenFill>
                      <a:noFill/>
                    </a14:hiddenFill>
                  </a:ext>
                </a:extLst>
              </xdr:spPr>
              <xdr:txBody>
                <a:bodyPr vertOverflow="clip" wrap="none" lIns="27432" tIns="18288" rIns="0" bIns="0" anchor="t" upright="1"/>
                <a:lstStyle/>
                <a:p>
                  <a:pPr algn="l" rtl="0">
                    <a:defRPr sz="1000"/>
                  </a:pPr>
                  <a:r>
                    <a:rPr lang="en-US" sz="800" b="0" i="0" u="none" strike="noStrike" baseline="0">
                      <a:solidFill>
                        <a:srgbClr val="000000"/>
                      </a:solidFill>
                      <a:latin typeface="Segoe UI"/>
                      <a:cs typeface="Segoe UI"/>
                    </a:rPr>
                    <a:t>Hiển thị đơn vị</a:t>
                  </a:r>
                </a:p>
              </xdr:txBody>
            </xdr:sp>
          </xdr:grpSp>
          <xdr:grpSp>
            <xdr:nvGrpSpPr>
              <xdr:cNvPr id="8" name="Group 7">
                <a:extLst>
                  <a:ext uri="{FF2B5EF4-FFF2-40B4-BE49-F238E27FC236}">
                    <a16:creationId xmlns:a16="http://schemas.microsoft.com/office/drawing/2014/main" id="{00000000-0008-0000-0D00-000008000000}"/>
                  </a:ext>
                </a:extLst>
              </xdr:cNvPr>
              <xdr:cNvGrpSpPr/>
            </xdr:nvGrpSpPr>
            <xdr:grpSpPr>
              <a:xfrm>
                <a:off x="6162676" y="3409950"/>
                <a:ext cx="1657350" cy="361950"/>
                <a:chOff x="6162676" y="3409950"/>
                <a:chExt cx="1657350" cy="361950"/>
              </a:xfrm>
            </xdr:grpSpPr>
            <xdr:sp macro="" textlink="">
              <xdr:nvSpPr>
                <xdr:cNvPr id="53273" name="Group Box 25" hidden="1">
                  <a:extLst>
                    <a:ext uri="{63B3BB69-23CF-44E3-9099-C40C66FF867C}">
                      <a14:compatExt spid="_x0000_s53273"/>
                    </a:ext>
                    <a:ext uri="{FF2B5EF4-FFF2-40B4-BE49-F238E27FC236}">
                      <a16:creationId xmlns:a16="http://schemas.microsoft.com/office/drawing/2014/main" id="{00000000-0008-0000-0200-000019D00000}"/>
                    </a:ext>
                  </a:extLst>
                </xdr:cNvPr>
                <xdr:cNvSpPr/>
              </xdr:nvSpPr>
              <xdr:spPr bwMode="auto">
                <a:xfrm>
                  <a:off x="6162676" y="3409950"/>
                  <a:ext cx="1657350" cy="361950"/>
                </a:xfrm>
                <a:prstGeom prst="rect">
                  <a:avLst/>
                </a:prstGeom>
                <a:noFill/>
                <a:ln w="9525">
                  <a:miter lim="800000"/>
                  <a:headEnd/>
                  <a:tailEnd/>
                </a:ln>
                <a:extLst>
                  <a:ext uri="{909E8E84-426E-40DD-AFC4-6F175D3DCCD1}">
                    <a14:hiddenFill>
                      <a:noFill/>
                    </a14:hiddenFill>
                  </a:ext>
                </a:extLst>
              </xdr:spPr>
              <xdr:txBody>
                <a:bodyPr vertOverflow="clip" wrap="none" lIns="27432" tIns="18288" rIns="0" bIns="0" anchor="t" upright="1"/>
                <a:lstStyle/>
                <a:p>
                  <a:pPr algn="l" rtl="0">
                    <a:defRPr sz="1000"/>
                  </a:pPr>
                  <a:r>
                    <a:rPr lang="en-US" sz="800" b="0" i="0" u="none" strike="noStrike" baseline="0">
                      <a:solidFill>
                        <a:srgbClr val="000000"/>
                      </a:solidFill>
                      <a:latin typeface="Segoe UI"/>
                      <a:cs typeface="Segoe UI"/>
                    </a:rPr>
                    <a:t>Đổi đơn vị</a:t>
                  </a:r>
                </a:p>
              </xdr:txBody>
            </xdr:sp>
            <xdr:grpSp>
              <xdr:nvGrpSpPr>
                <xdr:cNvPr id="9" name="Group 8">
                  <a:extLst>
                    <a:ext uri="{FF2B5EF4-FFF2-40B4-BE49-F238E27FC236}">
                      <a16:creationId xmlns:a16="http://schemas.microsoft.com/office/drawing/2014/main" id="{00000000-0008-0000-0D00-000009000000}"/>
                    </a:ext>
                  </a:extLst>
                </xdr:cNvPr>
                <xdr:cNvGrpSpPr/>
              </xdr:nvGrpSpPr>
              <xdr:grpSpPr>
                <a:xfrm>
                  <a:off x="6243639" y="3500925"/>
                  <a:ext cx="1495425" cy="180000"/>
                  <a:chOff x="6029325" y="4257675"/>
                  <a:chExt cx="1495425" cy="257175"/>
                </a:xfrm>
              </xdr:grpSpPr>
              <xdr:sp macro="" textlink="">
                <xdr:nvSpPr>
                  <xdr:cNvPr id="53274" name="Button 26" hidden="1">
                    <a:extLst>
                      <a:ext uri="{63B3BB69-23CF-44E3-9099-C40C66FF867C}">
                        <a14:compatExt spid="_x0000_s53274"/>
                      </a:ext>
                      <a:ext uri="{FF2B5EF4-FFF2-40B4-BE49-F238E27FC236}">
                        <a16:creationId xmlns:a16="http://schemas.microsoft.com/office/drawing/2014/main" id="{00000000-0008-0000-0200-00001AD00000}"/>
                      </a:ext>
                    </a:extLst>
                  </xdr:cNvPr>
                  <xdr:cNvSpPr/>
                </xdr:nvSpPr>
                <xdr:spPr bwMode="auto">
                  <a:xfrm>
                    <a:off x="6029325" y="4257675"/>
                    <a:ext cx="468000" cy="257175"/>
                  </a:xfrm>
                  <a:prstGeom prst="rect">
                    <a:avLst/>
                  </a:prstGeom>
                  <a:noFill/>
                  <a:ln w="9525">
                    <a:miter lim="800000"/>
                    <a:headEnd/>
                    <a:tailEnd/>
                  </a:ln>
                </xdr:spPr>
                <xdr:txBody>
                  <a:bodyPr vertOverflow="clip" wrap="square" lIns="27432" tIns="18288" rIns="27432" bIns="18288" anchor="ctr" upright="1"/>
                  <a:lstStyle/>
                  <a:p>
                    <a:pPr algn="ctr" rtl="0">
                      <a:defRPr sz="1000"/>
                    </a:pPr>
                    <a:r>
                      <a:rPr lang="en-US" sz="800" b="1" i="0" u="none" strike="noStrike" baseline="0">
                        <a:solidFill>
                          <a:srgbClr val="000000"/>
                        </a:solidFill>
                        <a:latin typeface="Segoe UI Light"/>
                        <a:cs typeface="Segoe UI Light"/>
                      </a:rPr>
                      <a:t>Nghìn</a:t>
                    </a:r>
                  </a:p>
                </xdr:txBody>
              </xdr:sp>
              <xdr:sp macro="" textlink="">
                <xdr:nvSpPr>
                  <xdr:cNvPr id="53275" name="Button 27" hidden="1">
                    <a:extLst>
                      <a:ext uri="{63B3BB69-23CF-44E3-9099-C40C66FF867C}">
                        <a14:compatExt spid="_x0000_s53275"/>
                      </a:ext>
                      <a:ext uri="{FF2B5EF4-FFF2-40B4-BE49-F238E27FC236}">
                        <a16:creationId xmlns:a16="http://schemas.microsoft.com/office/drawing/2014/main" id="{00000000-0008-0000-0200-00001BD00000}"/>
                      </a:ext>
                    </a:extLst>
                  </xdr:cNvPr>
                  <xdr:cNvSpPr/>
                </xdr:nvSpPr>
                <xdr:spPr bwMode="auto">
                  <a:xfrm>
                    <a:off x="6544313" y="4257675"/>
                    <a:ext cx="466725" cy="257175"/>
                  </a:xfrm>
                  <a:prstGeom prst="rect">
                    <a:avLst/>
                  </a:prstGeom>
                  <a:noFill/>
                  <a:ln w="9525">
                    <a:miter lim="800000"/>
                    <a:headEnd/>
                    <a:tailEnd/>
                  </a:ln>
                </xdr:spPr>
                <xdr:txBody>
                  <a:bodyPr vertOverflow="clip" wrap="square" lIns="27432" tIns="18288" rIns="27432" bIns="18288" anchor="ctr" upright="1"/>
                  <a:lstStyle/>
                  <a:p>
                    <a:pPr algn="ctr" rtl="0">
                      <a:defRPr sz="1000"/>
                    </a:pPr>
                    <a:r>
                      <a:rPr lang="en-US" sz="800" b="1" i="0" u="none" strike="noStrike" baseline="0">
                        <a:solidFill>
                          <a:srgbClr val="000000"/>
                        </a:solidFill>
                        <a:latin typeface="Segoe UI Light"/>
                        <a:cs typeface="Segoe UI Light"/>
                      </a:rPr>
                      <a:t>Triệu</a:t>
                    </a:r>
                  </a:p>
                </xdr:txBody>
              </xdr:sp>
              <xdr:sp macro="" textlink="">
                <xdr:nvSpPr>
                  <xdr:cNvPr id="53276" name="Button 28" hidden="1">
                    <a:extLst>
                      <a:ext uri="{63B3BB69-23CF-44E3-9099-C40C66FF867C}">
                        <a14:compatExt spid="_x0000_s53276"/>
                      </a:ext>
                      <a:ext uri="{FF2B5EF4-FFF2-40B4-BE49-F238E27FC236}">
                        <a16:creationId xmlns:a16="http://schemas.microsoft.com/office/drawing/2014/main" id="{00000000-0008-0000-0200-00001CD00000}"/>
                      </a:ext>
                    </a:extLst>
                  </xdr:cNvPr>
                  <xdr:cNvSpPr/>
                </xdr:nvSpPr>
                <xdr:spPr bwMode="auto">
                  <a:xfrm>
                    <a:off x="7058025" y="4257675"/>
                    <a:ext cx="466725" cy="257175"/>
                  </a:xfrm>
                  <a:prstGeom prst="rect">
                    <a:avLst/>
                  </a:prstGeom>
                  <a:noFill/>
                  <a:ln w="9525">
                    <a:miter lim="800000"/>
                    <a:headEnd/>
                    <a:tailEnd/>
                  </a:ln>
                </xdr:spPr>
                <xdr:txBody>
                  <a:bodyPr vertOverflow="clip" wrap="square" lIns="27432" tIns="18288" rIns="27432" bIns="18288" anchor="ctr" upright="1"/>
                  <a:lstStyle/>
                  <a:p>
                    <a:pPr algn="ctr" rtl="0">
                      <a:defRPr sz="1000"/>
                    </a:pPr>
                    <a:r>
                      <a:rPr lang="en-US" sz="800" b="1" i="0" u="none" strike="noStrike" baseline="0">
                        <a:solidFill>
                          <a:srgbClr val="000000"/>
                        </a:solidFill>
                        <a:latin typeface="Segoe UI Light"/>
                        <a:cs typeface="Segoe UI Light"/>
                      </a:rPr>
                      <a:t>Tỷ</a:t>
                    </a:r>
                  </a:p>
                </xdr:txBody>
              </xdr:sp>
            </xdr:grpSp>
          </xdr:grpSp>
        </xdr:grpSp>
        <xdr:clientData/>
      </xdr:twoCellAnchor>
    </mc:Choice>
    <mc:Fallback/>
  </mc:AlternateContent>
  <mc:AlternateContent xmlns:mc="http://schemas.openxmlformats.org/markup-compatibility/2006">
    <mc:Choice xmlns:a14="http://schemas.microsoft.com/office/drawing/2010/main" Requires="a14">
      <xdr:twoCellAnchor>
        <xdr:from>
          <xdr:col>40</xdr:col>
          <xdr:colOff>85725</xdr:colOff>
          <xdr:row>0</xdr:row>
          <xdr:rowOff>114300</xdr:rowOff>
        </xdr:from>
        <xdr:to>
          <xdr:col>40</xdr:col>
          <xdr:colOff>1076325</xdr:colOff>
          <xdr:row>1</xdr:row>
          <xdr:rowOff>142875</xdr:rowOff>
        </xdr:to>
        <xdr:grpSp>
          <xdr:nvGrpSpPr>
            <xdr:cNvPr id="30" name="Group 29">
              <a:extLst>
                <a:ext uri="{FF2B5EF4-FFF2-40B4-BE49-F238E27FC236}">
                  <a16:creationId xmlns:a16="http://schemas.microsoft.com/office/drawing/2014/main" id="{00000000-0008-0000-0D00-00001E000000}"/>
                </a:ext>
              </a:extLst>
            </xdr:cNvPr>
            <xdr:cNvGrpSpPr/>
          </xdr:nvGrpSpPr>
          <xdr:grpSpPr>
            <a:xfrm>
              <a:off x="5057775" y="114300"/>
              <a:ext cx="904875" cy="257175"/>
              <a:chOff x="771525" y="1314450"/>
              <a:chExt cx="990600" cy="257175"/>
            </a:xfrm>
          </xdr:grpSpPr>
          <xdr:sp macro="" textlink="">
            <xdr:nvSpPr>
              <xdr:cNvPr id="53277" name="Button 29" hidden="1">
                <a:extLst>
                  <a:ext uri="{63B3BB69-23CF-44E3-9099-C40C66FF867C}">
                    <a14:compatExt spid="_x0000_s53277"/>
                  </a:ext>
                  <a:ext uri="{FF2B5EF4-FFF2-40B4-BE49-F238E27FC236}">
                    <a16:creationId xmlns:a16="http://schemas.microsoft.com/office/drawing/2014/main" id="{00000000-0008-0000-0200-00001DD00000}"/>
                  </a:ext>
                </a:extLst>
              </xdr:cNvPr>
              <xdr:cNvSpPr/>
            </xdr:nvSpPr>
            <xdr:spPr bwMode="auto">
              <a:xfrm>
                <a:off x="771525" y="1314450"/>
                <a:ext cx="476250" cy="257175"/>
              </a:xfrm>
              <a:prstGeom prst="rect">
                <a:avLst/>
              </a:prstGeom>
              <a:noFill/>
              <a:ln w="9525">
                <a:miter lim="800000"/>
                <a:headEnd/>
                <a:tailEnd/>
              </a:ln>
            </xdr:spPr>
            <xdr:txBody>
              <a:bodyPr vertOverflow="clip" wrap="square" lIns="27432" tIns="18288" rIns="27432" bIns="18288" anchor="ctr" upright="1"/>
              <a:lstStyle/>
              <a:p>
                <a:pPr algn="ctr" rtl="0">
                  <a:defRPr sz="1000"/>
                </a:pPr>
                <a:r>
                  <a:rPr lang="en-US" sz="800" b="0" i="0" u="none" strike="noStrike" baseline="0">
                    <a:solidFill>
                      <a:srgbClr val="000000"/>
                    </a:solidFill>
                    <a:latin typeface="Segoe UI"/>
                    <a:cs typeface="Segoe UI"/>
                  </a:rPr>
                  <a:t>+ Dòng</a:t>
                </a:r>
              </a:p>
            </xdr:txBody>
          </xdr:sp>
          <xdr:sp macro="" textlink="">
            <xdr:nvSpPr>
              <xdr:cNvPr id="53278" name="Button 30" hidden="1">
                <a:extLst>
                  <a:ext uri="{63B3BB69-23CF-44E3-9099-C40C66FF867C}">
                    <a14:compatExt spid="_x0000_s53278"/>
                  </a:ext>
                  <a:ext uri="{FF2B5EF4-FFF2-40B4-BE49-F238E27FC236}">
                    <a16:creationId xmlns:a16="http://schemas.microsoft.com/office/drawing/2014/main" id="{00000000-0008-0000-0200-00001ED00000}"/>
                  </a:ext>
                </a:extLst>
              </xdr:cNvPr>
              <xdr:cNvSpPr/>
            </xdr:nvSpPr>
            <xdr:spPr bwMode="auto">
              <a:xfrm>
                <a:off x="1285875" y="1314450"/>
                <a:ext cx="476250" cy="257175"/>
              </a:xfrm>
              <a:prstGeom prst="rect">
                <a:avLst/>
              </a:prstGeom>
              <a:noFill/>
              <a:ln w="9525">
                <a:miter lim="800000"/>
                <a:headEnd/>
                <a:tailEnd/>
              </a:ln>
            </xdr:spPr>
            <xdr:txBody>
              <a:bodyPr vertOverflow="clip" wrap="square" lIns="27432" tIns="18288" rIns="27432" bIns="18288" anchor="ctr" upright="1"/>
              <a:lstStyle/>
              <a:p>
                <a:pPr algn="ctr" rtl="0">
                  <a:defRPr sz="1000"/>
                </a:pPr>
                <a:r>
                  <a:rPr lang="en-US" sz="800" b="0" i="0" u="none" strike="noStrike" baseline="0">
                    <a:solidFill>
                      <a:srgbClr val="000000"/>
                    </a:solidFill>
                    <a:latin typeface="Segoe UI"/>
                    <a:cs typeface="Segoe UI"/>
                  </a:rPr>
                  <a:t>- Dòng</a:t>
                </a:r>
              </a:p>
            </xdr:txBody>
          </xdr:sp>
        </xdr:grpSp>
        <xdr:clientData/>
      </xdr:twoCellAnchor>
    </mc:Choice>
    <mc:Fallback/>
  </mc:AlternateContent>
  <xdr:twoCellAnchor>
    <xdr:from>
      <xdr:col>34</xdr:col>
      <xdr:colOff>23812</xdr:colOff>
      <xdr:row>2</xdr:row>
      <xdr:rowOff>33337</xdr:rowOff>
    </xdr:from>
    <xdr:to>
      <xdr:col>42</xdr:col>
      <xdr:colOff>527737</xdr:colOff>
      <xdr:row>19</xdr:row>
      <xdr:rowOff>107137</xdr:rowOff>
    </xdr:to>
    <xdr:graphicFrame macro="">
      <xdr:nvGraphicFramePr>
        <xdr:cNvPr id="2" name="Chart 1">
          <a:extLst>
            <a:ext uri="{FF2B5EF4-FFF2-40B4-BE49-F238E27FC236}">
              <a16:creationId xmlns:a16="http://schemas.microsoft.com/office/drawing/2014/main" id="{89F88A3B-87FE-0516-AFC1-195B20EB0E7A}"/>
            </a:ext>
          </a:extLst>
        </xdr:cNvPr>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1"/>
        </a:graphicData>
      </a:graphic>
    </xdr:graphicFrame>
    <xdr:clientData/>
  </xdr:twoCellAnchor>
  <xdr:twoCellAnchor>
    <xdr:from>
      <xdr:col>42</xdr:col>
      <xdr:colOff>590550</xdr:colOff>
      <xdr:row>2</xdr:row>
      <xdr:rowOff>33337</xdr:rowOff>
    </xdr:from>
    <xdr:to>
      <xdr:col>51</xdr:col>
      <xdr:colOff>1094475</xdr:colOff>
      <xdr:row>19</xdr:row>
      <xdr:rowOff>107137</xdr:rowOff>
    </xdr:to>
    <xdr:graphicFrame macro="">
      <xdr:nvGraphicFramePr>
        <xdr:cNvPr id="3" name="Chart 2">
          <a:extLst>
            <a:ext uri="{FF2B5EF4-FFF2-40B4-BE49-F238E27FC236}">
              <a16:creationId xmlns:a16="http://schemas.microsoft.com/office/drawing/2014/main" id="{1320FCA5-FF70-2C2F-3FC5-3C897B54A7AA}"/>
            </a:ext>
          </a:extLst>
        </xdr:cNvPr>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2"/>
        </a:graphicData>
      </a:graphic>
    </xdr:graphicFrame>
    <xdr:clientData/>
  </xdr:twoCellAnchor>
  <mc:AlternateContent xmlns:mc="http://schemas.openxmlformats.org/markup-compatibility/2006">
    <mc:Choice xmlns:a14="http://schemas.microsoft.com/office/drawing/2010/main" Requires="a14">
      <xdr:twoCellAnchor editAs="oneCell">
        <xdr:from>
          <xdr:col>50</xdr:col>
          <xdr:colOff>200025</xdr:colOff>
          <xdr:row>0</xdr:row>
          <xdr:rowOff>57150</xdr:rowOff>
        </xdr:from>
        <xdr:to>
          <xdr:col>50</xdr:col>
          <xdr:colOff>819150</xdr:colOff>
          <xdr:row>1</xdr:row>
          <xdr:rowOff>85725</xdr:rowOff>
        </xdr:to>
        <xdr:sp macro="" textlink="">
          <xdr:nvSpPr>
            <xdr:cNvPr id="53281" name="Button 33" hidden="1">
              <a:extLst>
                <a:ext uri="{63B3BB69-23CF-44E3-9099-C40C66FF867C}">
                  <a14:compatExt spid="_x0000_s53281"/>
                </a:ext>
                <a:ext uri="{FF2B5EF4-FFF2-40B4-BE49-F238E27FC236}">
                  <a16:creationId xmlns:a16="http://schemas.microsoft.com/office/drawing/2014/main" id="{00000000-0008-0000-0200-000021D00000}"/>
                </a:ext>
              </a:extLst>
            </xdr:cNvPr>
            <xdr:cNvSpPr/>
          </xdr:nvSpPr>
          <xdr:spPr bwMode="auto">
            <a:xfrm>
              <a:off x="0" y="0"/>
              <a:ext cx="0" cy="0"/>
            </a:xfrm>
            <a:prstGeom prst="rect">
              <a:avLst/>
            </a:prstGeom>
            <a:noFill/>
            <a:ln w="9525">
              <a:miter lim="800000"/>
              <a:headEnd/>
              <a:tailEnd/>
            </a:ln>
          </xdr:spPr>
          <xdr:txBody>
            <a:bodyPr vertOverflow="clip" wrap="square" lIns="27432" tIns="18288" rIns="27432" bIns="18288" anchor="ctr" upright="1"/>
            <a:lstStyle/>
            <a:p>
              <a:pPr algn="ctr" rtl="0">
                <a:defRPr sz="1000"/>
              </a:pPr>
              <a:r>
                <a:rPr lang="en-US" sz="800" b="1" i="0" u="none" strike="noStrike" baseline="0">
                  <a:solidFill>
                    <a:srgbClr val="000000"/>
                  </a:solidFill>
                  <a:latin typeface="Segoe UI Light"/>
                  <a:cs typeface="Segoe UI Light"/>
                </a:rPr>
                <a:t>Cập nhật</a:t>
              </a:r>
            </a:p>
          </xdr:txBody>
        </xdr:sp>
        <xdr:clientData fPrintsWithSheet="0"/>
      </xdr:twoCellAnchor>
    </mc:Choice>
    <mc:Fallback/>
  </mc:AlternateContent>
</xdr:wsDr>
</file>

<file path=xl/pivotCache/_rels/pivotCacheDefinition1.xml.rels><?xml version="1.0" encoding="UTF-8" standalone="yes"?>
<Relationships xmlns="http://schemas.openxmlformats.org/package/2006/relationships"><Relationship Id="rId1" Type="http://schemas.openxmlformats.org/officeDocument/2006/relationships/pivotCacheRecords" Target="pivotCacheRecords1.xml"/></Relationships>
</file>

<file path=xl/pivotCache/pivotCacheDefinition1.xml><?xml version="1.0" encoding="utf-8"?>
<pivotCacheDefinition xmlns="http://schemas.openxmlformats.org/spreadsheetml/2006/main" xmlns:r="http://schemas.openxmlformats.org/officeDocument/2006/relationships" xmlns:mc="http://schemas.openxmlformats.org/markup-compatibility/2006" xmlns:xr="http://schemas.microsoft.com/office/spreadsheetml/2014/revision" mc:Ignorable="xr" r:id="rId1" refreshedBy="LeAnh" refreshedDate="45806.990744212962" createdVersion="8" refreshedVersion="8" minRefreshableVersion="3" recordCount="12" xr:uid="{A3630FD2-6B39-466B-A7E2-E085B0B62042}">
  <cacheSource type="worksheet">
    <worksheetSource name="Table_DuPhong"/>
  </cacheSource>
  <cacheFields count="7">
    <cacheField name="Ngày dự phòng" numFmtId="165">
      <sharedItems containsSemiMixedTypes="0" containsNonDate="0" containsDate="1" containsString="0" minDate="2025-03-31T00:00:00" maxDate="2025-06-01T00:00:00" count="3">
        <d v="2025-03-31T00:00:00"/>
        <d v="2025-04-30T00:00:00"/>
        <d v="2025-05-31T00:00:00"/>
      </sharedItems>
      <fieldGroup par="6"/>
    </cacheField>
    <cacheField name="Đối tác" numFmtId="0">
      <sharedItems count="4">
        <s v="DT1"/>
        <s v="DT2"/>
        <s v="DT3"/>
        <s v="DT4"/>
      </sharedItems>
    </cacheField>
    <cacheField name="Giá trị nợ" numFmtId="164">
      <sharedItems containsSemiMixedTypes="0" containsString="0" containsNumber="1" containsInteger="1" minValue="336509" maxValue="3885358"/>
    </cacheField>
    <cacheField name="Dự phòng" numFmtId="164">
      <sharedItems containsString="0" containsBlank="1" containsNumber="1" minValue="0" maxValue="833032.05"/>
    </cacheField>
    <cacheField name="Tỷ lệ" numFmtId="169">
      <sharedItems containsSemiMixedTypes="0" containsString="0" containsNumber="1" minValue="0" maxValue="0.21440290701654777"/>
    </cacheField>
    <cacheField name="Days (Ngày dự phòng)" numFmtId="0" databaseField="0">
      <fieldGroup base="0">
        <rangePr groupBy="days" startDate="2025-03-31T00:00:00" endDate="2025-06-01T00:00:00"/>
        <groupItems count="368">
          <s v="&lt;31-03-25"/>
          <s v="01-Jan"/>
          <s v="02-Jan"/>
          <s v="03-Jan"/>
          <s v="04-Jan"/>
          <s v="05-Jan"/>
          <s v="06-Jan"/>
          <s v="07-Jan"/>
          <s v="08-Jan"/>
          <s v="09-Jan"/>
          <s v="10-Jan"/>
          <s v="11-Jan"/>
          <s v="12-Jan"/>
          <s v="13-Jan"/>
          <s v="14-Jan"/>
          <s v="15-Jan"/>
          <s v="16-Jan"/>
          <s v="17-Jan"/>
          <s v="18-Jan"/>
          <s v="19-Jan"/>
          <s v="20-Jan"/>
          <s v="21-Jan"/>
          <s v="22-Jan"/>
          <s v="23-Jan"/>
          <s v="24-Jan"/>
          <s v="25-Jan"/>
          <s v="26-Jan"/>
          <s v="27-Jan"/>
          <s v="28-Jan"/>
          <s v="29-Jan"/>
          <s v="30-Jan"/>
          <s v="31-Jan"/>
          <s v="01-Feb"/>
          <s v="02-Feb"/>
          <s v="03-Feb"/>
          <s v="04-Feb"/>
          <s v="05-Feb"/>
          <s v="06-Feb"/>
          <s v="07-Feb"/>
          <s v="08-Feb"/>
          <s v="09-Feb"/>
          <s v="10-Feb"/>
          <s v="11-Feb"/>
          <s v="12-Feb"/>
          <s v="13-Feb"/>
          <s v="14-Feb"/>
          <s v="15-Feb"/>
          <s v="16-Feb"/>
          <s v="17-Feb"/>
          <s v="18-Feb"/>
          <s v="19-Feb"/>
          <s v="20-Feb"/>
          <s v="21-Feb"/>
          <s v="22-Feb"/>
          <s v="23-Feb"/>
          <s v="24-Feb"/>
          <s v="25-Feb"/>
          <s v="26-Feb"/>
          <s v="27-Feb"/>
          <s v="28-Feb"/>
          <s v="29-Feb"/>
          <s v="01-Mar"/>
          <s v="02-Mar"/>
          <s v="03-Mar"/>
          <s v="04-Mar"/>
          <s v="05-Mar"/>
          <s v="06-Mar"/>
          <s v="07-Mar"/>
          <s v="08-Mar"/>
          <s v="09-Mar"/>
          <s v="10-Mar"/>
          <s v="11-Mar"/>
          <s v="12-Mar"/>
          <s v="13-Mar"/>
          <s v="14-Mar"/>
          <s v="15-Mar"/>
          <s v="16-Mar"/>
          <s v="17-Mar"/>
          <s v="18-Mar"/>
          <s v="19-Mar"/>
          <s v="20-Mar"/>
          <s v="21-Mar"/>
          <s v="22-Mar"/>
          <s v="23-Mar"/>
          <s v="24-Mar"/>
          <s v="25-Mar"/>
          <s v="26-Mar"/>
          <s v="27-Mar"/>
          <s v="28-Mar"/>
          <s v="29-Mar"/>
          <s v="30-Mar"/>
          <s v="31-Mar"/>
          <s v="01-Apr"/>
          <s v="02-Apr"/>
          <s v="03-Apr"/>
          <s v="04-Apr"/>
          <s v="05-Apr"/>
          <s v="06-Apr"/>
          <s v="07-Apr"/>
          <s v="08-Apr"/>
          <s v="09-Apr"/>
          <s v="10-Apr"/>
          <s v="11-Apr"/>
          <s v="12-Apr"/>
          <s v="13-Apr"/>
          <s v="14-Apr"/>
          <s v="15-Apr"/>
          <s v="16-Apr"/>
          <s v="17-Apr"/>
          <s v="18-Apr"/>
          <s v="19-Apr"/>
          <s v="20-Apr"/>
          <s v="21-Apr"/>
          <s v="22-Apr"/>
          <s v="23-Apr"/>
          <s v="24-Apr"/>
          <s v="25-Apr"/>
          <s v="26-Apr"/>
          <s v="27-Apr"/>
          <s v="28-Apr"/>
          <s v="29-Apr"/>
          <s v="30-Apr"/>
          <s v="01-May"/>
          <s v="02-May"/>
          <s v="03-May"/>
          <s v="04-May"/>
          <s v="05-May"/>
          <s v="06-May"/>
          <s v="07-May"/>
          <s v="08-May"/>
          <s v="09-May"/>
          <s v="10-May"/>
          <s v="11-May"/>
          <s v="12-May"/>
          <s v="13-May"/>
          <s v="14-May"/>
          <s v="15-May"/>
          <s v="16-May"/>
          <s v="17-May"/>
          <s v="18-May"/>
          <s v="19-May"/>
          <s v="20-May"/>
          <s v="21-May"/>
          <s v="22-May"/>
          <s v="23-May"/>
          <s v="24-May"/>
          <s v="25-May"/>
          <s v="26-May"/>
          <s v="27-May"/>
          <s v="28-May"/>
          <s v="29-May"/>
          <s v="30-May"/>
          <s v="31-May"/>
          <s v="01-Jun"/>
          <s v="02-Jun"/>
          <s v="03-Jun"/>
          <s v="04-Jun"/>
          <s v="05-Jun"/>
          <s v="06-Jun"/>
          <s v="07-Jun"/>
          <s v="08-Jun"/>
          <s v="09-Jun"/>
          <s v="10-Jun"/>
          <s v="11-Jun"/>
          <s v="12-Jun"/>
          <s v="13-Jun"/>
          <s v="14-Jun"/>
          <s v="15-Jun"/>
          <s v="16-Jun"/>
          <s v="17-Jun"/>
          <s v="18-Jun"/>
          <s v="19-Jun"/>
          <s v="20-Jun"/>
          <s v="21-Jun"/>
          <s v="22-Jun"/>
          <s v="23-Jun"/>
          <s v="24-Jun"/>
          <s v="25-Jun"/>
          <s v="26-Jun"/>
          <s v="27-Jun"/>
          <s v="28-Jun"/>
          <s v="29-Jun"/>
          <s v="30-Jun"/>
          <s v="01-Jul"/>
          <s v="02-Jul"/>
          <s v="03-Jul"/>
          <s v="04-Jul"/>
          <s v="05-Jul"/>
          <s v="06-Jul"/>
          <s v="07-Jul"/>
          <s v="08-Jul"/>
          <s v="09-Jul"/>
          <s v="10-Jul"/>
          <s v="11-Jul"/>
          <s v="12-Jul"/>
          <s v="13-Jul"/>
          <s v="14-Jul"/>
          <s v="15-Jul"/>
          <s v="16-Jul"/>
          <s v="17-Jul"/>
          <s v="18-Jul"/>
          <s v="19-Jul"/>
          <s v="20-Jul"/>
          <s v="21-Jul"/>
          <s v="22-Jul"/>
          <s v="23-Jul"/>
          <s v="24-Jul"/>
          <s v="25-Jul"/>
          <s v="26-Jul"/>
          <s v="27-Jul"/>
          <s v="28-Jul"/>
          <s v="29-Jul"/>
          <s v="30-Jul"/>
          <s v="31-Jul"/>
          <s v="01-Aug"/>
          <s v="02-Aug"/>
          <s v="03-Aug"/>
          <s v="04-Aug"/>
          <s v="05-Aug"/>
          <s v="06-Aug"/>
          <s v="07-Aug"/>
          <s v="08-Aug"/>
          <s v="09-Aug"/>
          <s v="10-Aug"/>
          <s v="11-Aug"/>
          <s v="12-Aug"/>
          <s v="13-Aug"/>
          <s v="14-Aug"/>
          <s v="15-Aug"/>
          <s v="16-Aug"/>
          <s v="17-Aug"/>
          <s v="18-Aug"/>
          <s v="19-Aug"/>
          <s v="20-Aug"/>
          <s v="21-Aug"/>
          <s v="22-Aug"/>
          <s v="23-Aug"/>
          <s v="24-Aug"/>
          <s v="25-Aug"/>
          <s v="26-Aug"/>
          <s v="27-Aug"/>
          <s v="28-Aug"/>
          <s v="29-Aug"/>
          <s v="30-Aug"/>
          <s v="31-Aug"/>
          <s v="01-Sep"/>
          <s v="02-Sep"/>
          <s v="03-Sep"/>
          <s v="04-Sep"/>
          <s v="05-Sep"/>
          <s v="06-Sep"/>
          <s v="07-Sep"/>
          <s v="08-Sep"/>
          <s v="09-Sep"/>
          <s v="10-Sep"/>
          <s v="11-Sep"/>
          <s v="12-Sep"/>
          <s v="13-Sep"/>
          <s v="14-Sep"/>
          <s v="15-Sep"/>
          <s v="16-Sep"/>
          <s v="17-Sep"/>
          <s v="18-Sep"/>
          <s v="19-Sep"/>
          <s v="20-Sep"/>
          <s v="21-Sep"/>
          <s v="22-Sep"/>
          <s v="23-Sep"/>
          <s v="24-Sep"/>
          <s v="25-Sep"/>
          <s v="26-Sep"/>
          <s v="27-Sep"/>
          <s v="28-Sep"/>
          <s v="29-Sep"/>
          <s v="30-Sep"/>
          <s v="01-Oct"/>
          <s v="02-Oct"/>
          <s v="03-Oct"/>
          <s v="04-Oct"/>
          <s v="05-Oct"/>
          <s v="06-Oct"/>
          <s v="07-Oct"/>
          <s v="08-Oct"/>
          <s v="09-Oct"/>
          <s v="10-Oct"/>
          <s v="11-Oct"/>
          <s v="12-Oct"/>
          <s v="13-Oct"/>
          <s v="14-Oct"/>
          <s v="15-Oct"/>
          <s v="16-Oct"/>
          <s v="17-Oct"/>
          <s v="18-Oct"/>
          <s v="19-Oct"/>
          <s v="20-Oct"/>
          <s v="21-Oct"/>
          <s v="22-Oct"/>
          <s v="23-Oct"/>
          <s v="24-Oct"/>
          <s v="25-Oct"/>
          <s v="26-Oct"/>
          <s v="27-Oct"/>
          <s v="28-Oct"/>
          <s v="29-Oct"/>
          <s v="30-Oct"/>
          <s v="31-Oct"/>
          <s v="01-Nov"/>
          <s v="02-Nov"/>
          <s v="03-Nov"/>
          <s v="04-Nov"/>
          <s v="05-Nov"/>
          <s v="06-Nov"/>
          <s v="07-Nov"/>
          <s v="08-Nov"/>
          <s v="09-Nov"/>
          <s v="10-Nov"/>
          <s v="11-Nov"/>
          <s v="12-Nov"/>
          <s v="13-Nov"/>
          <s v="14-Nov"/>
          <s v="15-Nov"/>
          <s v="16-Nov"/>
          <s v="17-Nov"/>
          <s v="18-Nov"/>
          <s v="19-Nov"/>
          <s v="20-Nov"/>
          <s v="21-Nov"/>
          <s v="22-Nov"/>
          <s v="23-Nov"/>
          <s v="24-Nov"/>
          <s v="25-Nov"/>
          <s v="26-Nov"/>
          <s v="27-Nov"/>
          <s v="28-Nov"/>
          <s v="29-Nov"/>
          <s v="30-Nov"/>
          <s v="01-Dec"/>
          <s v="02-Dec"/>
          <s v="03-Dec"/>
          <s v="04-Dec"/>
          <s v="05-Dec"/>
          <s v="06-Dec"/>
          <s v="07-Dec"/>
          <s v="08-Dec"/>
          <s v="09-Dec"/>
          <s v="10-Dec"/>
          <s v="11-Dec"/>
          <s v="12-Dec"/>
          <s v="13-Dec"/>
          <s v="14-Dec"/>
          <s v="15-Dec"/>
          <s v="16-Dec"/>
          <s v="17-Dec"/>
          <s v="18-Dec"/>
          <s v="19-Dec"/>
          <s v="20-Dec"/>
          <s v="21-Dec"/>
          <s v="22-Dec"/>
          <s v="23-Dec"/>
          <s v="24-Dec"/>
          <s v="25-Dec"/>
          <s v="26-Dec"/>
          <s v="27-Dec"/>
          <s v="28-Dec"/>
          <s v="29-Dec"/>
          <s v="30-Dec"/>
          <s v="31-Dec"/>
          <s v="&gt;01-06-25"/>
        </groupItems>
      </fieldGroup>
    </cacheField>
    <cacheField name="Months (Ngày dự phòng)" numFmtId="0" databaseField="0">
      <fieldGroup base="0">
        <rangePr groupBy="months" startDate="2025-03-31T00:00:00" endDate="2025-06-01T00:00:00"/>
        <groupItems count="14">
          <s v="&lt;31-03-25"/>
          <s v="Jan"/>
          <s v="Feb"/>
          <s v="Mar"/>
          <s v="Apr"/>
          <s v="May"/>
          <s v="Jun"/>
          <s v="Jul"/>
          <s v="Aug"/>
          <s v="Sep"/>
          <s v="Oct"/>
          <s v="Nov"/>
          <s v="Dec"/>
          <s v="&gt;01-06-25"/>
        </groupItems>
      </fieldGroup>
    </cacheField>
  </cacheFields>
  <extLst>
    <ext xmlns:x14="http://schemas.microsoft.com/office/spreadsheetml/2009/9/main" uri="{725AE2AE-9491-48be-B2B4-4EB974FC3084}">
      <x14:pivotCacheDefinition/>
    </ext>
  </extLst>
</pivotCacheDefinition>
</file>

<file path=xl/pivotCache/pivotCacheRecords1.xml><?xml version="1.0" encoding="utf-8"?>
<pivotCacheRecords xmlns="http://schemas.openxmlformats.org/spreadsheetml/2006/main" xmlns:r="http://schemas.openxmlformats.org/officeDocument/2006/relationships" xmlns:mc="http://schemas.openxmlformats.org/markup-compatibility/2006" xmlns:xr="http://schemas.microsoft.com/office/spreadsheetml/2014/revision" mc:Ignorable="xr" count="12">
  <r>
    <x v="0"/>
    <x v="0"/>
    <n v="1391644"/>
    <n v="100120.85"/>
    <n v="7.1944297535864066E-2"/>
  </r>
  <r>
    <x v="0"/>
    <x v="1"/>
    <n v="1934814"/>
    <m/>
    <n v="0"/>
  </r>
  <r>
    <x v="0"/>
    <x v="2"/>
    <n v="834684"/>
    <n v="15956"/>
    <n v="1.9116216436399883E-2"/>
  </r>
  <r>
    <x v="0"/>
    <x v="3"/>
    <n v="2076814"/>
    <n v="39252.400000000001"/>
    <n v="1.8900296319265954E-2"/>
  </r>
  <r>
    <x v="1"/>
    <x v="0"/>
    <n v="2441041"/>
    <n v="308313.05000000005"/>
    <n v="0.1263039211549499"/>
  </r>
  <r>
    <x v="1"/>
    <x v="1"/>
    <n v="1407295"/>
    <n v="255621.30000000002"/>
    <n v="0.1816401678397209"/>
  </r>
  <r>
    <x v="1"/>
    <x v="2"/>
    <n v="1918396"/>
    <n v="0"/>
    <n v="0"/>
  </r>
  <r>
    <x v="1"/>
    <x v="3"/>
    <n v="2276343"/>
    <n v="403598.5"/>
    <n v="0.17730126786692516"/>
  </r>
  <r>
    <x v="2"/>
    <x v="0"/>
    <n v="2406087"/>
    <n v="295334.45"/>
    <n v="0.1227447095637024"/>
  </r>
  <r>
    <x v="2"/>
    <x v="1"/>
    <n v="336509"/>
    <n v="50476.35"/>
    <n v="0.15"/>
  </r>
  <r>
    <x v="2"/>
    <x v="2"/>
    <n v="1729460"/>
    <n v="146809.5"/>
    <n v="8.488747932880783E-2"/>
  </r>
  <r>
    <x v="2"/>
    <x v="3"/>
    <n v="3885358"/>
    <n v="833032.05"/>
    <n v="0.21440290701654777"/>
  </r>
</pivotCacheRecords>
</file>

<file path=xl/pivotTables/_rels/pivotTable1.xml.rels><?xml version="1.0" encoding="UTF-8" standalone="yes"?>
<Relationships xmlns="http://schemas.openxmlformats.org/package/2006/relationships"><Relationship Id="rId1" Type="http://schemas.openxmlformats.org/officeDocument/2006/relationships/pivotCacheDefinition" Target="../pivotCache/pivotCacheDefinition1.xml"/></Relationships>
</file>

<file path=xl/pivotTables/_rels/pivotTable2.xml.rels><?xml version="1.0" encoding="UTF-8" standalone="yes"?>
<Relationships xmlns="http://schemas.openxmlformats.org/package/2006/relationships"><Relationship Id="rId1" Type="http://schemas.openxmlformats.org/officeDocument/2006/relationships/pivotCacheDefinition" Target="../pivotCache/pivotCacheDefinition1.xml"/></Relationships>
</file>

<file path=xl/pivotTables/pivotTable1.xml><?xml version="1.0" encoding="utf-8"?>
<pivotTableDefinition xmlns="http://schemas.openxmlformats.org/spreadsheetml/2006/main" xmlns:mc="http://schemas.openxmlformats.org/markup-compatibility/2006" xmlns:xr="http://schemas.microsoft.com/office/spreadsheetml/2014/revision" mc:Ignorable="xr" xr:uid="{0FF2DDA6-686F-44C1-AD4F-9364FBF86934}" name="PivotTable5" cacheId="0" applyNumberFormats="0" applyBorderFormats="0" applyFontFormats="0" applyPatternFormats="0" applyAlignmentFormats="0" applyWidthHeightFormats="1" dataCaption="Values" updatedVersion="8" minRefreshableVersion="3" useAutoFormatting="1" colGrandTotals="0" itemPrintTitles="1" createdVersion="8" indent="0" outline="1" outlineData="1" multipleFieldFilters="0" chartFormat="4">
  <location ref="B22:F27" firstHeaderRow="1" firstDataRow="2" firstDataCol="1"/>
  <pivotFields count="7">
    <pivotField axis="axisRow" numFmtId="165" showAll="0">
      <items count="4">
        <item x="0"/>
        <item x="1"/>
        <item x="2"/>
        <item t="default"/>
      </items>
    </pivotField>
    <pivotField axis="axisCol" showAll="0">
      <items count="5">
        <item x="0"/>
        <item x="1"/>
        <item x="2"/>
        <item x="3"/>
        <item t="default"/>
      </items>
    </pivotField>
    <pivotField numFmtId="164" showAll="0"/>
    <pivotField dataField="1" showAll="0"/>
    <pivotField numFmtId="169" showAll="0"/>
    <pivotField showAll="0">
      <items count="369">
        <item sd="0" x="0"/>
        <item sd="0" x="1"/>
        <item sd="0" x="2"/>
        <item sd="0" x="3"/>
        <item sd="0" x="4"/>
        <item sd="0" x="5"/>
        <item sd="0" x="6"/>
        <item sd="0" x="7"/>
        <item sd="0" x="8"/>
        <item sd="0" x="9"/>
        <item sd="0" x="10"/>
        <item sd="0" x="11"/>
        <item sd="0" x="12"/>
        <item sd="0" x="13"/>
        <item sd="0" x="14"/>
        <item sd="0" x="15"/>
        <item sd="0" x="16"/>
        <item sd="0" x="17"/>
        <item sd="0" x="18"/>
        <item sd="0" x="19"/>
        <item sd="0" x="20"/>
        <item sd="0" x="21"/>
        <item sd="0" x="22"/>
        <item sd="0" x="23"/>
        <item sd="0" x="24"/>
        <item sd="0" x="25"/>
        <item sd="0" x="26"/>
        <item sd="0" x="27"/>
        <item sd="0" x="28"/>
        <item sd="0" x="29"/>
        <item sd="0" x="30"/>
        <item sd="0" x="31"/>
        <item sd="0" x="32"/>
        <item sd="0" x="33"/>
        <item sd="0" x="34"/>
        <item sd="0" x="35"/>
        <item sd="0" x="36"/>
        <item sd="0" x="37"/>
        <item sd="0" x="38"/>
        <item sd="0" x="39"/>
        <item sd="0" x="40"/>
        <item sd="0" x="41"/>
        <item sd="0" x="42"/>
        <item sd="0" x="43"/>
        <item sd="0" x="44"/>
        <item sd="0" x="45"/>
        <item sd="0" x="46"/>
        <item sd="0" x="47"/>
        <item sd="0" x="48"/>
        <item sd="0" x="49"/>
        <item sd="0" x="50"/>
        <item sd="0" x="51"/>
        <item sd="0" x="52"/>
        <item sd="0" x="53"/>
        <item sd="0" x="54"/>
        <item sd="0" x="55"/>
        <item sd="0" x="56"/>
        <item sd="0" x="57"/>
        <item sd="0" x="58"/>
        <item sd="0" x="59"/>
        <item sd="0" x="60"/>
        <item sd="0" x="61"/>
        <item sd="0" x="62"/>
        <item sd="0" x="63"/>
        <item sd="0" x="64"/>
        <item sd="0" x="65"/>
        <item sd="0" x="66"/>
        <item sd="0" x="67"/>
        <item sd="0" x="68"/>
        <item sd="0" x="69"/>
        <item sd="0" x="70"/>
        <item sd="0" x="71"/>
        <item sd="0" x="72"/>
        <item sd="0" x="73"/>
        <item sd="0" x="74"/>
        <item sd="0" x="75"/>
        <item sd="0" x="76"/>
        <item sd="0" x="77"/>
        <item sd="0" x="78"/>
        <item sd="0" x="79"/>
        <item sd="0" x="80"/>
        <item sd="0" x="81"/>
        <item sd="0" x="82"/>
        <item sd="0" x="83"/>
        <item sd="0" x="84"/>
        <item sd="0" x="85"/>
        <item sd="0" x="86"/>
        <item sd="0" x="87"/>
        <item sd="0" x="88"/>
        <item sd="0" x="89"/>
        <item sd="0" x="90"/>
        <item sd="0" x="91"/>
        <item sd="0" x="92"/>
        <item sd="0" x="93"/>
        <item sd="0" x="94"/>
        <item sd="0" x="95"/>
        <item sd="0" x="96"/>
        <item sd="0" x="97"/>
        <item sd="0" x="98"/>
        <item sd="0" x="99"/>
        <item sd="0" x="100"/>
        <item sd="0" x="101"/>
        <item sd="0" x="102"/>
        <item sd="0" x="103"/>
        <item sd="0" x="104"/>
        <item sd="0" x="105"/>
        <item sd="0" x="106"/>
        <item sd="0" x="107"/>
        <item sd="0" x="108"/>
        <item sd="0" x="109"/>
        <item sd="0" x="110"/>
        <item sd="0" x="111"/>
        <item sd="0" x="112"/>
        <item sd="0" x="113"/>
        <item sd="0" x="114"/>
        <item sd="0" x="115"/>
        <item sd="0" x="116"/>
        <item sd="0" x="117"/>
        <item sd="0" x="118"/>
        <item sd="0" x="119"/>
        <item sd="0" x="120"/>
        <item sd="0" x="121"/>
        <item sd="0" x="122"/>
        <item sd="0" x="123"/>
        <item sd="0" x="124"/>
        <item sd="0" x="125"/>
        <item sd="0" x="126"/>
        <item sd="0" x="127"/>
        <item sd="0" x="128"/>
        <item sd="0" x="129"/>
        <item sd="0" x="130"/>
        <item sd="0" x="131"/>
        <item sd="0" x="132"/>
        <item sd="0" x="133"/>
        <item sd="0" x="134"/>
        <item sd="0" x="135"/>
        <item sd="0" x="136"/>
        <item sd="0" x="137"/>
        <item sd="0" x="138"/>
        <item sd="0" x="139"/>
        <item sd="0" x="140"/>
        <item sd="0" x="141"/>
        <item sd="0" x="142"/>
        <item sd="0" x="143"/>
        <item sd="0" x="144"/>
        <item sd="0" x="145"/>
        <item sd="0" x="146"/>
        <item sd="0" x="147"/>
        <item sd="0" x="148"/>
        <item sd="0" x="149"/>
        <item sd="0" x="150"/>
        <item sd="0" x="151"/>
        <item sd="0" x="152"/>
        <item sd="0" x="153"/>
        <item sd="0" x="154"/>
        <item sd="0" x="155"/>
        <item sd="0" x="156"/>
        <item sd="0" x="157"/>
        <item sd="0" x="158"/>
        <item sd="0" x="159"/>
        <item sd="0" x="160"/>
        <item sd="0" x="161"/>
        <item sd="0" x="162"/>
        <item sd="0" x="163"/>
        <item sd="0" x="164"/>
        <item sd="0" x="165"/>
        <item sd="0" x="166"/>
        <item sd="0" x="167"/>
        <item sd="0" x="168"/>
        <item sd="0" x="169"/>
        <item sd="0" x="170"/>
        <item sd="0" x="171"/>
        <item sd="0" x="172"/>
        <item sd="0" x="173"/>
        <item sd="0" x="174"/>
        <item sd="0" x="175"/>
        <item sd="0" x="176"/>
        <item sd="0" x="177"/>
        <item sd="0" x="178"/>
        <item sd="0" x="179"/>
        <item sd="0" x="180"/>
        <item sd="0" x="181"/>
        <item sd="0" x="182"/>
        <item sd="0" x="183"/>
        <item sd="0" x="184"/>
        <item sd="0" x="185"/>
        <item sd="0" x="186"/>
        <item sd="0" x="187"/>
        <item sd="0" x="188"/>
        <item sd="0" x="189"/>
        <item sd="0" x="190"/>
        <item sd="0" x="191"/>
        <item sd="0" x="192"/>
        <item sd="0" x="193"/>
        <item sd="0" x="194"/>
        <item sd="0" x="195"/>
        <item sd="0" x="196"/>
        <item sd="0" x="197"/>
        <item sd="0" x="198"/>
        <item sd="0" x="199"/>
        <item sd="0" x="200"/>
        <item sd="0" x="201"/>
        <item sd="0" x="202"/>
        <item sd="0" x="203"/>
        <item sd="0" x="204"/>
        <item sd="0" x="205"/>
        <item sd="0" x="206"/>
        <item sd="0" x="207"/>
        <item sd="0" x="208"/>
        <item sd="0" x="209"/>
        <item sd="0" x="210"/>
        <item sd="0" x="211"/>
        <item sd="0" x="212"/>
        <item sd="0" x="213"/>
        <item sd="0" x="214"/>
        <item sd="0" x="215"/>
        <item sd="0" x="216"/>
        <item sd="0" x="217"/>
        <item sd="0" x="218"/>
        <item sd="0" x="219"/>
        <item sd="0" x="220"/>
        <item sd="0" x="221"/>
        <item sd="0" x="222"/>
        <item sd="0" x="223"/>
        <item sd="0" x="224"/>
        <item sd="0" x="225"/>
        <item sd="0" x="226"/>
        <item sd="0" x="227"/>
        <item sd="0" x="228"/>
        <item sd="0" x="229"/>
        <item sd="0" x="230"/>
        <item sd="0" x="231"/>
        <item sd="0" x="232"/>
        <item sd="0" x="233"/>
        <item sd="0" x="234"/>
        <item sd="0" x="235"/>
        <item sd="0" x="236"/>
        <item sd="0" x="237"/>
        <item sd="0" x="238"/>
        <item sd="0" x="239"/>
        <item sd="0" x="240"/>
        <item sd="0" x="241"/>
        <item sd="0" x="242"/>
        <item sd="0" x="243"/>
        <item sd="0" x="244"/>
        <item sd="0" x="245"/>
        <item sd="0" x="246"/>
        <item sd="0" x="247"/>
        <item sd="0" x="248"/>
        <item sd="0" x="249"/>
        <item sd="0" x="250"/>
        <item sd="0" x="251"/>
        <item sd="0" x="252"/>
        <item sd="0" x="253"/>
        <item sd="0" x="254"/>
        <item sd="0" x="255"/>
        <item sd="0" x="256"/>
        <item sd="0" x="257"/>
        <item sd="0" x="258"/>
        <item sd="0" x="259"/>
        <item sd="0" x="260"/>
        <item sd="0" x="261"/>
        <item sd="0" x="262"/>
        <item sd="0" x="263"/>
        <item sd="0" x="264"/>
        <item sd="0" x="265"/>
        <item sd="0" x="266"/>
        <item sd="0" x="267"/>
        <item sd="0" x="268"/>
        <item sd="0" x="269"/>
        <item sd="0" x="270"/>
        <item sd="0" x="271"/>
        <item sd="0" x="272"/>
        <item sd="0" x="273"/>
        <item sd="0" x="274"/>
        <item sd="0" x="275"/>
        <item sd="0" x="276"/>
        <item sd="0" x="277"/>
        <item sd="0" x="278"/>
        <item sd="0" x="279"/>
        <item sd="0" x="280"/>
        <item sd="0" x="281"/>
        <item sd="0" x="282"/>
        <item sd="0" x="283"/>
        <item sd="0" x="284"/>
        <item sd="0" x="285"/>
        <item sd="0" x="286"/>
        <item sd="0" x="287"/>
        <item sd="0" x="288"/>
        <item sd="0" x="289"/>
        <item sd="0" x="290"/>
        <item sd="0" x="291"/>
        <item sd="0" x="292"/>
        <item sd="0" x="293"/>
        <item sd="0" x="294"/>
        <item sd="0" x="295"/>
        <item sd="0" x="296"/>
        <item sd="0" x="297"/>
        <item sd="0" x="298"/>
        <item sd="0" x="299"/>
        <item sd="0" x="300"/>
        <item sd="0" x="301"/>
        <item sd="0" x="302"/>
        <item sd="0" x="303"/>
        <item sd="0" x="304"/>
        <item sd="0" x="305"/>
        <item sd="0" x="306"/>
        <item sd="0" x="307"/>
        <item sd="0" x="308"/>
        <item sd="0" x="309"/>
        <item sd="0" x="310"/>
        <item sd="0" x="311"/>
        <item sd="0" x="312"/>
        <item sd="0" x="313"/>
        <item sd="0" x="314"/>
        <item sd="0" x="315"/>
        <item sd="0" x="316"/>
        <item sd="0" x="317"/>
        <item sd="0" x="318"/>
        <item sd="0" x="319"/>
        <item sd="0" x="320"/>
        <item sd="0" x="321"/>
        <item sd="0" x="322"/>
        <item sd="0" x="323"/>
        <item sd="0" x="324"/>
        <item sd="0" x="325"/>
        <item sd="0" x="326"/>
        <item sd="0" x="327"/>
        <item sd="0" x="328"/>
        <item sd="0" x="329"/>
        <item sd="0" x="330"/>
        <item sd="0" x="331"/>
        <item sd="0" x="332"/>
        <item sd="0" x="333"/>
        <item sd="0" x="334"/>
        <item sd="0" x="335"/>
        <item sd="0" x="336"/>
        <item sd="0" x="337"/>
        <item sd="0" x="338"/>
        <item sd="0" x="339"/>
        <item sd="0" x="340"/>
        <item sd="0" x="341"/>
        <item sd="0" x="342"/>
        <item sd="0" x="343"/>
        <item sd="0" x="344"/>
        <item sd="0" x="345"/>
        <item sd="0" x="346"/>
        <item sd="0" x="347"/>
        <item sd="0" x="348"/>
        <item sd="0" x="349"/>
        <item sd="0" x="350"/>
        <item sd="0" x="351"/>
        <item sd="0" x="352"/>
        <item sd="0" x="353"/>
        <item sd="0" x="354"/>
        <item sd="0" x="355"/>
        <item sd="0" x="356"/>
        <item sd="0" x="357"/>
        <item sd="0" x="358"/>
        <item sd="0" x="359"/>
        <item sd="0" x="360"/>
        <item sd="0" x="361"/>
        <item sd="0" x="362"/>
        <item sd="0" x="363"/>
        <item sd="0" x="364"/>
        <item sd="0" x="365"/>
        <item sd="0" x="366"/>
        <item sd="0" x="367"/>
        <item t="default"/>
      </items>
    </pivotField>
    <pivotField showAll="0">
      <items count="15">
        <item sd="0" x="0"/>
        <item sd="0" x="1"/>
        <item sd="0" x="2"/>
        <item sd="0" x="3"/>
        <item sd="0" x="4"/>
        <item sd="0" x="5"/>
        <item sd="0" x="6"/>
        <item sd="0" x="7"/>
        <item sd="0" x="8"/>
        <item sd="0" x="9"/>
        <item sd="0" x="10"/>
        <item sd="0" x="11"/>
        <item sd="0" x="12"/>
        <item sd="0" x="13"/>
        <item t="default"/>
      </items>
    </pivotField>
  </pivotFields>
  <rowFields count="1">
    <field x="0"/>
  </rowFields>
  <rowItems count="4">
    <i>
      <x/>
    </i>
    <i>
      <x v="1"/>
    </i>
    <i>
      <x v="2"/>
    </i>
    <i t="grand">
      <x/>
    </i>
  </rowItems>
  <colFields count="1">
    <field x="1"/>
  </colFields>
  <colItems count="4">
    <i>
      <x/>
    </i>
    <i>
      <x v="1"/>
    </i>
    <i>
      <x v="2"/>
    </i>
    <i>
      <x v="3"/>
    </i>
  </colItems>
  <dataFields count="1">
    <dataField name="Dự phòng " fld="3" baseField="0" baseItem="0"/>
  </dataFields>
  <chartFormats count="5">
    <chartFormat chart="0" format="0" series="1">
      <pivotArea type="data" outline="0" fieldPosition="0">
        <references count="1">
          <reference field="4294967294" count="1" selected="0">
            <x v="0"/>
          </reference>
        </references>
      </pivotArea>
    </chartFormat>
    <chartFormat chart="0" format="1" series="1">
      <pivotArea type="data" outline="0" fieldPosition="0">
        <references count="2">
          <reference field="4294967294" count="1" selected="0">
            <x v="0"/>
          </reference>
          <reference field="1" count="1" selected="0">
            <x v="1"/>
          </reference>
        </references>
      </pivotArea>
    </chartFormat>
    <chartFormat chart="0" format="2" series="1">
      <pivotArea type="data" outline="0" fieldPosition="0">
        <references count="2">
          <reference field="4294967294" count="1" selected="0">
            <x v="0"/>
          </reference>
          <reference field="1" count="1" selected="0">
            <x v="2"/>
          </reference>
        </references>
      </pivotArea>
    </chartFormat>
    <chartFormat chart="0" format="3" series="1">
      <pivotArea type="data" outline="0" fieldPosition="0">
        <references count="2">
          <reference field="4294967294" count="1" selected="0">
            <x v="0"/>
          </reference>
          <reference field="1" count="1" selected="0">
            <x v="3"/>
          </reference>
        </references>
      </pivotArea>
    </chartFormat>
    <chartFormat chart="0" format="4" series="1">
      <pivotArea type="data" outline="0" fieldPosition="0">
        <references count="2">
          <reference field="4294967294" count="1" selected="0">
            <x v="0"/>
          </reference>
          <reference field="1" count="1" selected="0">
            <x v="0"/>
          </reference>
        </references>
      </pivotArea>
    </chartFormat>
  </chartFormats>
  <pivotTableStyleInfo name="PivotStyleLight16" showRowHeaders="1" showColHeaders="1" showRowStripes="0" showColStripes="0" showLastColumn="1"/>
  <extLst>
    <ext xmlns:x14="http://schemas.microsoft.com/office/spreadsheetml/2009/9/main" uri="{962EF5D1-5CA2-4c93-8EF4-DBF5C05439D2}">
      <x14:pivotTableDefinition xmlns:xm="http://schemas.microsoft.com/office/excel/2006/main" hideValuesRow="1"/>
    </ext>
    <ext xmlns:xpdl="http://schemas.microsoft.com/office/spreadsheetml/2016/pivotdefaultlayout" uri="{747A6164-185A-40DC-8AA5-F01512510D54}">
      <xpdl:pivotTableDefinition16/>
    </ext>
  </extLst>
</pivotTableDefinition>
</file>

<file path=xl/pivotTables/pivotTable2.xml><?xml version="1.0" encoding="utf-8"?>
<pivotTableDefinition xmlns="http://schemas.openxmlformats.org/spreadsheetml/2006/main" xmlns:mc="http://schemas.openxmlformats.org/markup-compatibility/2006" xmlns:xr="http://schemas.microsoft.com/office/spreadsheetml/2014/revision" mc:Ignorable="xr" xr:uid="{826C99EC-C409-46FE-8EF9-08CB9C706624}" name="PivotTable6" cacheId="0" applyNumberFormats="0" applyBorderFormats="0" applyFontFormats="0" applyPatternFormats="0" applyAlignmentFormats="0" applyWidthHeightFormats="1" dataCaption="Values" updatedVersion="8" minRefreshableVersion="3" useAutoFormatting="1" colGrandTotals="0" itemPrintTitles="1" createdVersion="8" indent="0" outline="1" outlineData="1" multipleFieldFilters="0" chartFormat="3">
  <location ref="R23:V28" firstHeaderRow="1" firstDataRow="2" firstDataCol="1"/>
  <pivotFields count="7">
    <pivotField axis="axisRow" numFmtId="165" showAll="0">
      <items count="4">
        <item x="0"/>
        <item x="1"/>
        <item x="2"/>
        <item t="default"/>
      </items>
    </pivotField>
    <pivotField axis="axisCol" showAll="0">
      <items count="5">
        <item x="0"/>
        <item x="1"/>
        <item x="2"/>
        <item x="3"/>
        <item t="default"/>
      </items>
    </pivotField>
    <pivotField numFmtId="164" showAll="0"/>
    <pivotField showAll="0"/>
    <pivotField dataField="1" numFmtId="169" showAll="0"/>
    <pivotField showAll="0" defaultSubtotal="0">
      <items count="368">
        <item sd="0" x="0"/>
        <item sd="0" x="1"/>
        <item sd="0" x="2"/>
        <item sd="0" x="3"/>
        <item sd="0" x="4"/>
        <item sd="0" x="5"/>
        <item sd="0" x="6"/>
        <item sd="0" x="7"/>
        <item sd="0" x="8"/>
        <item sd="0" x="9"/>
        <item sd="0" x="10"/>
        <item sd="0" x="11"/>
        <item sd="0" x="12"/>
        <item sd="0" x="13"/>
        <item sd="0" x="14"/>
        <item sd="0" x="15"/>
        <item sd="0" x="16"/>
        <item sd="0" x="17"/>
        <item sd="0" x="18"/>
        <item sd="0" x="19"/>
        <item sd="0" x="20"/>
        <item sd="0" x="21"/>
        <item sd="0" x="22"/>
        <item sd="0" x="23"/>
        <item sd="0" x="24"/>
        <item sd="0" x="25"/>
        <item sd="0" x="26"/>
        <item sd="0" x="27"/>
        <item sd="0" x="28"/>
        <item sd="0" x="29"/>
        <item sd="0" x="30"/>
        <item sd="0" x="31"/>
        <item sd="0" x="32"/>
        <item sd="0" x="33"/>
        <item sd="0" x="34"/>
        <item sd="0" x="35"/>
        <item sd="0" x="36"/>
        <item sd="0" x="37"/>
        <item sd="0" x="38"/>
        <item sd="0" x="39"/>
        <item sd="0" x="40"/>
        <item sd="0" x="41"/>
        <item sd="0" x="42"/>
        <item sd="0" x="43"/>
        <item sd="0" x="44"/>
        <item sd="0" x="45"/>
        <item sd="0" x="46"/>
        <item sd="0" x="47"/>
        <item sd="0" x="48"/>
        <item sd="0" x="49"/>
        <item sd="0" x="50"/>
        <item sd="0" x="51"/>
        <item sd="0" x="52"/>
        <item sd="0" x="53"/>
        <item sd="0" x="54"/>
        <item sd="0" x="55"/>
        <item sd="0" x="56"/>
        <item sd="0" x="57"/>
        <item sd="0" x="58"/>
        <item sd="0" x="59"/>
        <item sd="0" x="60"/>
        <item sd="0" x="61"/>
        <item sd="0" x="62"/>
        <item sd="0" x="63"/>
        <item sd="0" x="64"/>
        <item sd="0" x="65"/>
        <item sd="0" x="66"/>
        <item sd="0" x="67"/>
        <item sd="0" x="68"/>
        <item sd="0" x="69"/>
        <item sd="0" x="70"/>
        <item sd="0" x="71"/>
        <item sd="0" x="72"/>
        <item sd="0" x="73"/>
        <item sd="0" x="74"/>
        <item sd="0" x="75"/>
        <item sd="0" x="76"/>
        <item sd="0" x="77"/>
        <item sd="0" x="78"/>
        <item sd="0" x="79"/>
        <item sd="0" x="80"/>
        <item sd="0" x="81"/>
        <item sd="0" x="82"/>
        <item sd="0" x="83"/>
        <item sd="0" x="84"/>
        <item sd="0" x="85"/>
        <item sd="0" x="86"/>
        <item sd="0" x="87"/>
        <item sd="0" x="88"/>
        <item sd="0" x="89"/>
        <item sd="0" x="90"/>
        <item sd="0" x="91"/>
        <item sd="0" x="92"/>
        <item sd="0" x="93"/>
        <item sd="0" x="94"/>
        <item sd="0" x="95"/>
        <item sd="0" x="96"/>
        <item sd="0" x="97"/>
        <item sd="0" x="98"/>
        <item sd="0" x="99"/>
        <item sd="0" x="100"/>
        <item sd="0" x="101"/>
        <item sd="0" x="102"/>
        <item sd="0" x="103"/>
        <item sd="0" x="104"/>
        <item sd="0" x="105"/>
        <item sd="0" x="106"/>
        <item sd="0" x="107"/>
        <item sd="0" x="108"/>
        <item sd="0" x="109"/>
        <item sd="0" x="110"/>
        <item sd="0" x="111"/>
        <item sd="0" x="112"/>
        <item sd="0" x="113"/>
        <item sd="0" x="114"/>
        <item sd="0" x="115"/>
        <item sd="0" x="116"/>
        <item sd="0" x="117"/>
        <item sd="0" x="118"/>
        <item sd="0" x="119"/>
        <item sd="0" x="120"/>
        <item sd="0" x="121"/>
        <item sd="0" x="122"/>
        <item sd="0" x="123"/>
        <item sd="0" x="124"/>
        <item sd="0" x="125"/>
        <item sd="0" x="126"/>
        <item sd="0" x="127"/>
        <item sd="0" x="128"/>
        <item sd="0" x="129"/>
        <item sd="0" x="130"/>
        <item sd="0" x="131"/>
        <item sd="0" x="132"/>
        <item sd="0" x="133"/>
        <item sd="0" x="134"/>
        <item sd="0" x="135"/>
        <item sd="0" x="136"/>
        <item sd="0" x="137"/>
        <item sd="0" x="138"/>
        <item sd="0" x="139"/>
        <item sd="0" x="140"/>
        <item sd="0" x="141"/>
        <item sd="0" x="142"/>
        <item sd="0" x="143"/>
        <item sd="0" x="144"/>
        <item sd="0" x="145"/>
        <item sd="0" x="146"/>
        <item sd="0" x="147"/>
        <item sd="0" x="148"/>
        <item sd="0" x="149"/>
        <item sd="0" x="150"/>
        <item sd="0" x="151"/>
        <item sd="0" x="152"/>
        <item sd="0" x="153"/>
        <item sd="0" x="154"/>
        <item sd="0" x="155"/>
        <item sd="0" x="156"/>
        <item sd="0" x="157"/>
        <item sd="0" x="158"/>
        <item sd="0" x="159"/>
        <item sd="0" x="160"/>
        <item sd="0" x="161"/>
        <item sd="0" x="162"/>
        <item sd="0" x="163"/>
        <item sd="0" x="164"/>
        <item sd="0" x="165"/>
        <item sd="0" x="166"/>
        <item sd="0" x="167"/>
        <item sd="0" x="168"/>
        <item sd="0" x="169"/>
        <item sd="0" x="170"/>
        <item sd="0" x="171"/>
        <item sd="0" x="172"/>
        <item sd="0" x="173"/>
        <item sd="0" x="174"/>
        <item sd="0" x="175"/>
        <item sd="0" x="176"/>
        <item sd="0" x="177"/>
        <item sd="0" x="178"/>
        <item sd="0" x="179"/>
        <item sd="0" x="180"/>
        <item sd="0" x="181"/>
        <item sd="0" x="182"/>
        <item sd="0" x="183"/>
        <item sd="0" x="184"/>
        <item sd="0" x="185"/>
        <item sd="0" x="186"/>
        <item sd="0" x="187"/>
        <item sd="0" x="188"/>
        <item sd="0" x="189"/>
        <item sd="0" x="190"/>
        <item sd="0" x="191"/>
        <item sd="0" x="192"/>
        <item sd="0" x="193"/>
        <item sd="0" x="194"/>
        <item sd="0" x="195"/>
        <item sd="0" x="196"/>
        <item sd="0" x="197"/>
        <item sd="0" x="198"/>
        <item sd="0" x="199"/>
        <item sd="0" x="200"/>
        <item sd="0" x="201"/>
        <item sd="0" x="202"/>
        <item sd="0" x="203"/>
        <item sd="0" x="204"/>
        <item sd="0" x="205"/>
        <item sd="0" x="206"/>
        <item sd="0" x="207"/>
        <item sd="0" x="208"/>
        <item sd="0" x="209"/>
        <item sd="0" x="210"/>
        <item sd="0" x="211"/>
        <item sd="0" x="212"/>
        <item sd="0" x="213"/>
        <item sd="0" x="214"/>
        <item sd="0" x="215"/>
        <item sd="0" x="216"/>
        <item sd="0" x="217"/>
        <item sd="0" x="218"/>
        <item sd="0" x="219"/>
        <item sd="0" x="220"/>
        <item sd="0" x="221"/>
        <item sd="0" x="222"/>
        <item sd="0" x="223"/>
        <item sd="0" x="224"/>
        <item sd="0" x="225"/>
        <item sd="0" x="226"/>
        <item sd="0" x="227"/>
        <item sd="0" x="228"/>
        <item sd="0" x="229"/>
        <item sd="0" x="230"/>
        <item sd="0" x="231"/>
        <item sd="0" x="232"/>
        <item sd="0" x="233"/>
        <item sd="0" x="234"/>
        <item sd="0" x="235"/>
        <item sd="0" x="236"/>
        <item sd="0" x="237"/>
        <item sd="0" x="238"/>
        <item sd="0" x="239"/>
        <item sd="0" x="240"/>
        <item sd="0" x="241"/>
        <item sd="0" x="242"/>
        <item sd="0" x="243"/>
        <item sd="0" x="244"/>
        <item sd="0" x="245"/>
        <item sd="0" x="246"/>
        <item sd="0" x="247"/>
        <item sd="0" x="248"/>
        <item sd="0" x="249"/>
        <item sd="0" x="250"/>
        <item sd="0" x="251"/>
        <item sd="0" x="252"/>
        <item sd="0" x="253"/>
        <item sd="0" x="254"/>
        <item sd="0" x="255"/>
        <item sd="0" x="256"/>
        <item sd="0" x="257"/>
        <item sd="0" x="258"/>
        <item sd="0" x="259"/>
        <item sd="0" x="260"/>
        <item sd="0" x="261"/>
        <item sd="0" x="262"/>
        <item sd="0" x="263"/>
        <item sd="0" x="264"/>
        <item sd="0" x="265"/>
        <item sd="0" x="266"/>
        <item sd="0" x="267"/>
        <item sd="0" x="268"/>
        <item sd="0" x="269"/>
        <item sd="0" x="270"/>
        <item sd="0" x="271"/>
        <item sd="0" x="272"/>
        <item sd="0" x="273"/>
        <item sd="0" x="274"/>
        <item sd="0" x="275"/>
        <item sd="0" x="276"/>
        <item sd="0" x="277"/>
        <item sd="0" x="278"/>
        <item sd="0" x="279"/>
        <item sd="0" x="280"/>
        <item sd="0" x="281"/>
        <item sd="0" x="282"/>
        <item sd="0" x="283"/>
        <item sd="0" x="284"/>
        <item sd="0" x="285"/>
        <item sd="0" x="286"/>
        <item sd="0" x="287"/>
        <item sd="0" x="288"/>
        <item sd="0" x="289"/>
        <item sd="0" x="290"/>
        <item sd="0" x="291"/>
        <item sd="0" x="292"/>
        <item sd="0" x="293"/>
        <item sd="0" x="294"/>
        <item sd="0" x="295"/>
        <item sd="0" x="296"/>
        <item sd="0" x="297"/>
        <item sd="0" x="298"/>
        <item sd="0" x="299"/>
        <item sd="0" x="300"/>
        <item sd="0" x="301"/>
        <item sd="0" x="302"/>
        <item sd="0" x="303"/>
        <item sd="0" x="304"/>
        <item sd="0" x="305"/>
        <item sd="0" x="306"/>
        <item sd="0" x="307"/>
        <item sd="0" x="308"/>
        <item sd="0" x="309"/>
        <item sd="0" x="310"/>
        <item sd="0" x="311"/>
        <item sd="0" x="312"/>
        <item sd="0" x="313"/>
        <item sd="0" x="314"/>
        <item sd="0" x="315"/>
        <item sd="0" x="316"/>
        <item sd="0" x="317"/>
        <item sd="0" x="318"/>
        <item sd="0" x="319"/>
        <item sd="0" x="320"/>
        <item sd="0" x="321"/>
        <item sd="0" x="322"/>
        <item sd="0" x="323"/>
        <item sd="0" x="324"/>
        <item sd="0" x="325"/>
        <item sd="0" x="326"/>
        <item sd="0" x="327"/>
        <item sd="0" x="328"/>
        <item sd="0" x="329"/>
        <item sd="0" x="330"/>
        <item sd="0" x="331"/>
        <item sd="0" x="332"/>
        <item sd="0" x="333"/>
        <item sd="0" x="334"/>
        <item sd="0" x="335"/>
        <item sd="0" x="336"/>
        <item sd="0" x="337"/>
        <item sd="0" x="338"/>
        <item sd="0" x="339"/>
        <item sd="0" x="340"/>
        <item sd="0" x="341"/>
        <item sd="0" x="342"/>
        <item sd="0" x="343"/>
        <item sd="0" x="344"/>
        <item sd="0" x="345"/>
        <item sd="0" x="346"/>
        <item sd="0" x="347"/>
        <item sd="0" x="348"/>
        <item sd="0" x="349"/>
        <item sd="0" x="350"/>
        <item sd="0" x="351"/>
        <item sd="0" x="352"/>
        <item sd="0" x="353"/>
        <item sd="0" x="354"/>
        <item sd="0" x="355"/>
        <item sd="0" x="356"/>
        <item sd="0" x="357"/>
        <item sd="0" x="358"/>
        <item sd="0" x="359"/>
        <item sd="0" x="360"/>
        <item sd="0" x="361"/>
        <item sd="0" x="362"/>
        <item sd="0" x="363"/>
        <item sd="0" x="364"/>
        <item sd="0" x="365"/>
        <item sd="0" x="366"/>
        <item sd="0" x="367"/>
      </items>
    </pivotField>
    <pivotField showAll="0" defaultSubtotal="0">
      <items count="14">
        <item sd="0" x="0"/>
        <item sd="0" x="1"/>
        <item sd="0" x="2"/>
        <item sd="0" x="3"/>
        <item sd="0" x="4"/>
        <item sd="0" x="5"/>
        <item sd="0" x="6"/>
        <item sd="0" x="7"/>
        <item sd="0" x="8"/>
        <item sd="0" x="9"/>
        <item sd="0" x="10"/>
        <item sd="0" x="11"/>
        <item sd="0" x="12"/>
        <item sd="0" x="13"/>
      </items>
    </pivotField>
  </pivotFields>
  <rowFields count="1">
    <field x="0"/>
  </rowFields>
  <rowItems count="4">
    <i>
      <x/>
    </i>
    <i>
      <x v="1"/>
    </i>
    <i>
      <x v="2"/>
    </i>
    <i t="grand">
      <x/>
    </i>
  </rowItems>
  <colFields count="1">
    <field x="1"/>
  </colFields>
  <colItems count="4">
    <i>
      <x/>
    </i>
    <i>
      <x v="1"/>
    </i>
    <i>
      <x v="2"/>
    </i>
    <i>
      <x v="3"/>
    </i>
  </colItems>
  <dataFields count="1">
    <dataField name="Tỷ lệ dự phòng" fld="4" baseField="0" baseItem="0" numFmtId="169"/>
  </dataFields>
  <chartFormats count="5">
    <chartFormat chart="0" format="0" series="1">
      <pivotArea type="data" outline="0" fieldPosition="0">
        <references count="1">
          <reference field="4294967294" count="1" selected="0">
            <x v="0"/>
          </reference>
        </references>
      </pivotArea>
    </chartFormat>
    <chartFormat chart="0" format="1" series="1">
      <pivotArea type="data" outline="0" fieldPosition="0">
        <references count="2">
          <reference field="4294967294" count="1" selected="0">
            <x v="0"/>
          </reference>
          <reference field="1" count="1" selected="0">
            <x v="1"/>
          </reference>
        </references>
      </pivotArea>
    </chartFormat>
    <chartFormat chart="0" format="2" series="1">
      <pivotArea type="data" outline="0" fieldPosition="0">
        <references count="2">
          <reference field="4294967294" count="1" selected="0">
            <x v="0"/>
          </reference>
          <reference field="1" count="1" selected="0">
            <x v="2"/>
          </reference>
        </references>
      </pivotArea>
    </chartFormat>
    <chartFormat chart="0" format="3" series="1">
      <pivotArea type="data" outline="0" fieldPosition="0">
        <references count="2">
          <reference field="4294967294" count="1" selected="0">
            <x v="0"/>
          </reference>
          <reference field="1" count="1" selected="0">
            <x v="3"/>
          </reference>
        </references>
      </pivotArea>
    </chartFormat>
    <chartFormat chart="0" format="4" series="1">
      <pivotArea type="data" outline="0" fieldPosition="0">
        <references count="2">
          <reference field="4294967294" count="1" selected="0">
            <x v="0"/>
          </reference>
          <reference field="1" count="1" selected="0">
            <x v="0"/>
          </reference>
        </references>
      </pivotArea>
    </chartFormat>
  </chartFormats>
  <pivotTableStyleInfo name="PivotStyleLight16" showRowHeaders="1" showColHeaders="1" showRowStripes="0" showColStripes="0" showLastColumn="1"/>
  <extLst>
    <ext xmlns:x14="http://schemas.microsoft.com/office/spreadsheetml/2009/9/main" uri="{962EF5D1-5CA2-4c93-8EF4-DBF5C05439D2}">
      <x14:pivotTableDefinition xmlns:xm="http://schemas.microsoft.com/office/excel/2006/main" hideValuesRow="1"/>
    </ext>
    <ext xmlns:xpdl="http://schemas.microsoft.com/office/spreadsheetml/2016/pivotdefaultlayout" uri="{747A6164-185A-40DC-8AA5-F01512510D54}">
      <xpdl:pivotTableDefinition16/>
    </ext>
  </extLst>
</pivotTableDefinition>
</file>

<file path=xl/tables/table1.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110" xr:uid="{816E18EB-DD5B-4530-8FB2-641A17DF6321}" name="Table_PhaiThu_TuoiNoKH" displayName="Table_PhaiThu_TuoiNoKH" ref="AO22:AQ29" totalsRowShown="0" headerRowDxfId="23" dataDxfId="22">
  <autoFilter ref="AO22:AQ29" xr:uid="{816E18EB-DD5B-4530-8FB2-641A17DF6321}"/>
  <tableColumns count="3">
    <tableColumn id="1" xr3:uid="{6665C849-493D-497D-BB00-131408145B34}" name="Ngày phát sinh" dataDxfId="21"/>
    <tableColumn id="2" xr3:uid="{417CEACE-3018-4C1D-AB51-9B2FB2C2DAC3}" name="Giá trị nợ" dataDxfId="20" dataCellStyle="Comma">
      <calculatedColumnFormula array="1" xml:space="preserve">
IF(Table_PhaiThu_TuoiNoKH[[#This Row],[Ngày phát sinh]]&gt;NoXau_NgayTheoDoi,0,
MAX(0,
IFERROR(
SUM(_xlfn._xlws.FILTER(Table_ThuChiKD[Giá trị GD],
(Table_ThuChiKD[Đối tác] = NoXau_MaKH) *
(Table_ThuChiKD[Loại GD] = "Phát sinh phải thu / Chi tiền")*
(Table_ThuChiKD[Ngày GD] &lt;= Table_PhaiThu_TuoiNoKH[[#This Row],[Ngày phát sinh]])
))- NoXau_NhanThanhToan,0)))</calculatedColumnFormula>
    </tableColumn>
    <tableColumn id="3" xr3:uid="{7AE36EE8-E8C4-4713-A391-0E09E8C1F55C}" name="Tuổi nợ" dataDxfId="19" dataCellStyle="Comma">
      <calculatedColumnFormula>IF(Table_PhaiThu_TuoiNoKH[[#This Row],[Giá trị nợ]] =0, 0, NoXau_NgayTheoDoi-Table_PhaiThu_TuoiNoKH[[#This Row],[Ngày phát sinh]])</calculatedColumnFormula>
    </tableColumn>
  </tableColumns>
  <tableStyleInfo name="TableStyleMedium3" showFirstColumn="0" showLastColumn="0" showRowStripes="1" showColumnStripes="0"/>
</table>
</file>

<file path=xl/tables/table2.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111" xr:uid="{7A27FC43-910A-457B-805C-D46DCCD5E66C}" name="Table_PhaiThu_DuPhong" displayName="Table_PhaiThu_DuPhong" ref="AI22:AL26" totalsRowShown="0" headerRowDxfId="18" dataDxfId="17">
  <autoFilter ref="AI22:AL26" xr:uid="{7A27FC43-910A-457B-805C-D46DCCD5E66C}"/>
  <tableColumns count="4">
    <tableColumn id="6" xr3:uid="{0EE4CA27-15CF-4AE5-9AFD-0DBACDB7AC4D}" name="Tuổi nợ min" dataDxfId="16" dataCellStyle="Comma"/>
    <tableColumn id="1" xr3:uid="{5EBDDF4C-7F69-4DEA-92AA-912BB746F731}" name="Tuổi nợ max" dataDxfId="15" dataCellStyle="Comma"/>
    <tableColumn id="2" xr3:uid="{28C4EA9F-A79D-442E-A06D-4A07A80FFC40}" name="Tỷ lệ dự phòng" dataDxfId="14" dataCellStyle="Percent"/>
    <tableColumn id="3" xr3:uid="{21C05676-D8D6-4426-91D8-FCF3582641C4}" name="Giá trị dự phòng" dataDxfId="13" dataCellStyle="Comma">
      <calculatedColumnFormula array="1" xml:space="preserve">
IF(ISBLANK(Table_PhaiThu_DuPhong[[#This Row],[Tuổi nợ max]]),
IFERROR(
SUM(_xlfn._xlws.FILTER(Table_PhaiThu_TuoiNoKH[Giá trị nợ],
(Table_PhaiThu_TuoiNoKH[Tuổi nợ]&gt;Table_PhaiThu_DuPhong[[#This Row],[Tuổi nợ min]])
)),0)*Table_PhaiThu_DuPhong[[#This Row],[Tỷ lệ dự phòng]],
IFERROR(
SUM(_xlfn._xlws.FILTER(Table_PhaiThu_TuoiNoKH[Giá trị nợ],
(Table_PhaiThu_TuoiNoKH[Tuổi nợ]&gt;Table_PhaiThu_DuPhong[[#This Row],[Tuổi nợ min]]) *
(Table_PhaiThu_TuoiNoKH[Tuổi nợ]&lt;=Table_PhaiThu_DuPhong[[#This Row],[Tuổi nợ max]])
)),0)*Table_PhaiThu_DuPhong[[#This Row],[Tỷ lệ dự phòng]])</calculatedColumnFormula>
    </tableColumn>
  </tableColumns>
  <tableStyleInfo name="TableStyleMedium3" showFirstColumn="0" showLastColumn="0" showRowStripes="1" showColumnStripes="0"/>
</table>
</file>

<file path=xl/tables/table3.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112" xr:uid="{F34E1FD4-2D19-4D23-B4A7-1AA3B8DAD6B1}" name="Table_DuPhong" displayName="Table_DuPhong" ref="AS22:AW34" totalsRowShown="0" headerRowDxfId="12" dataDxfId="11">
  <autoFilter ref="AS22:AW34" xr:uid="{F34E1FD4-2D19-4D23-B4A7-1AA3B8DAD6B1}"/>
  <tableColumns count="5">
    <tableColumn id="1" xr3:uid="{7037269D-0955-488E-AB4D-E864778EA0EF}" name="Ngày dự phòng" dataDxfId="10"/>
    <tableColumn id="2" xr3:uid="{4D0A059D-BE97-475F-969C-DF6CEB206B2D}" name="Đối tác" dataDxfId="9"/>
    <tableColumn id="6" xr3:uid="{E06FBEFB-AE77-4D1B-AAEB-FCA3817607A8}" name="Giá trị nợ" dataDxfId="8">
      <calculatedColumnFormula array="1">IFERROR(
SUM(_xlfn._xlws.FILTER(Table_ThuChiKD[Giá trị GD],
(Table_ThuChiKD[Đối tác]=Table_DuPhong[[#This Row],[Đối tác]])*
(Table_ThuChiKD[Loại GD]="Phát sinh phải thu / Chi tiền")*
(Table_ThuChiKD[Ngày GD]&lt;=Table_DuPhong[[#This Row],[Ngày dự phòng]])
)),0)
-IFERROR(
SUM(_xlfn._xlws.FILTER(Table_ThuChiKD[Giá trị GD],
(Table_ThuChiKD[Đối tác]=Table_DuPhong[[#This Row],[Đối tác]])*
(Table_ThuChiKD[Loại GD]="Phát sinh phải trả / Thu tiền")*
(Table_ThuChiKD[Ngày GD]&lt;=Table_DuPhong[[#This Row],[Ngày dự phòng]])
)),0)</calculatedColumnFormula>
    </tableColumn>
    <tableColumn id="3" xr3:uid="{464D14DA-2C8B-4736-B46F-63E7EAFD2FA0}" name="Dự phòng" dataDxfId="7" dataCellStyle="Comma"/>
    <tableColumn id="5" xr3:uid="{F7C01699-9BAD-4F06-8DEC-80168BE37100}" name="Tỷ lệ" dataDxfId="6" dataCellStyle="Percent">
      <calculatedColumnFormula>Table_DuPhong[[#This Row],[Dự phòng]]/Table_DuPhong[[#This Row],[Giá trị nợ]]</calculatedColumnFormula>
    </tableColumn>
  </tableColumns>
  <tableStyleInfo name="TableStyleMedium3" showFirstColumn="0" showLastColumn="0" showRowStripes="1" showColumnStripes="0"/>
</table>
</file>

<file path=xl/tables/table4.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11" xr:uid="{A6B1C031-348A-44B9-8D33-5EE5EC82DEAF}" name="Table_ThuChiKD" displayName="Table_ThuChiKD" ref="AY22:BB58" totalsRowShown="0" headerRowDxfId="5" dataDxfId="4">
  <autoFilter ref="AY22:BB58" xr:uid="{A6B1C031-348A-44B9-8D33-5EE5EC82DEAF}"/>
  <sortState xmlns:xlrd2="http://schemas.microsoft.com/office/spreadsheetml/2017/richdata2" ref="AY23:BB58">
    <sortCondition descending="1" ref="AY22:AY58"/>
  </sortState>
  <tableColumns count="4">
    <tableColumn id="2" xr3:uid="{491FCAFA-B1AD-46FB-8647-AA401FFD2AAA}" name="Ngày GD" dataDxfId="3"/>
    <tableColumn id="3" xr3:uid="{B9BD7AA2-C1D5-4E64-8D16-409D287CC48C}" name="Loại GD" dataDxfId="2"/>
    <tableColumn id="5" xr3:uid="{49A47456-4C51-4447-84B0-C657FFDF4DD6}" name="Đối tác" dataDxfId="1"/>
    <tableColumn id="7" xr3:uid="{4E5E42A3-26F6-4DBE-8D74-7F5305C9516A}" name="Giá trị GD" dataDxfId="0" dataCellStyle="Comma"/>
  </tableColumns>
  <tableStyleInfo name="TableStyleMedium3" showFirstColumn="0" showLastColumn="0" showRowStripes="1" showColumnStripes="0"/>
</table>
</file>

<file path=xl/theme/theme1.xml><?xml version="1.0" encoding="utf-8"?>
<a:theme xmlns:a="http://schemas.openxmlformats.org/drawingml/2006/main" name="Office Theme">
  <a:themeElements>
    <a:clrScheme name="Hoa">
      <a:dk1>
        <a:srgbClr val="000000"/>
      </a:dk1>
      <a:lt1>
        <a:srgbClr val="FFFFFF"/>
      </a:lt1>
      <a:dk2>
        <a:srgbClr val="500000"/>
      </a:dk2>
      <a:lt2>
        <a:srgbClr val="FFF0F0"/>
      </a:lt2>
      <a:accent1>
        <a:srgbClr val="FFCCCC"/>
      </a:accent1>
      <a:accent2>
        <a:srgbClr val="FF9999"/>
      </a:accent2>
      <a:accent3>
        <a:srgbClr val="FF7C80"/>
      </a:accent3>
      <a:accent4>
        <a:srgbClr val="FF5050"/>
      </a:accent4>
      <a:accent5>
        <a:srgbClr val="CC0000"/>
      </a:accent5>
      <a:accent6>
        <a:srgbClr val="00B050"/>
      </a:accent6>
      <a:hlink>
        <a:srgbClr val="00B050"/>
      </a:hlink>
      <a:folHlink>
        <a:srgbClr val="CC0000"/>
      </a:folHlink>
    </a:clrScheme>
    <a:fontScheme name="Custom 1">
      <a:majorFont>
        <a:latin typeface="Segoe UI"/>
        <a:ea typeface=""/>
        <a:cs typeface=""/>
      </a:majorFont>
      <a:minorFont>
        <a:latin typeface="Segoe UI Light"/>
        <a:ea typeface=""/>
        <a:cs typeface=""/>
      </a:minorFont>
    </a:fontScheme>
    <a:fmtScheme name="Office">
      <a:fillStyleLst>
        <a:solidFill>
          <a:schemeClr val="phClr"/>
        </a:solidFill>
        <a:gradFill rotWithShape="1">
          <a:gsLst>
            <a:gs pos="0">
              <a:schemeClr val="phClr">
                <a:lumMod val="110000"/>
                <a:satMod val="105000"/>
                <a:tint val="67000"/>
              </a:schemeClr>
            </a:gs>
            <a:gs pos="50000">
              <a:schemeClr val="phClr">
                <a:lumMod val="105000"/>
                <a:satMod val="103000"/>
                <a:tint val="73000"/>
              </a:schemeClr>
            </a:gs>
            <a:gs pos="100000">
              <a:schemeClr val="phClr">
                <a:lumMod val="105000"/>
                <a:satMod val="109000"/>
                <a:tint val="81000"/>
              </a:schemeClr>
            </a:gs>
          </a:gsLst>
          <a:lin ang="5400000" scaled="0"/>
        </a:gradFill>
        <a:gradFill rotWithShape="1">
          <a:gsLst>
            <a:gs pos="0">
              <a:schemeClr val="phClr">
                <a:satMod val="103000"/>
                <a:lumMod val="102000"/>
                <a:tint val="94000"/>
              </a:schemeClr>
            </a:gs>
            <a:gs pos="50000">
              <a:schemeClr val="phClr">
                <a:satMod val="110000"/>
                <a:lumMod val="100000"/>
                <a:shade val="100000"/>
              </a:schemeClr>
            </a:gs>
            <a:gs pos="100000">
              <a:schemeClr val="phClr">
                <a:lumMod val="99000"/>
                <a:satMod val="120000"/>
                <a:shade val="78000"/>
              </a:schemeClr>
            </a:gs>
          </a:gsLst>
          <a:lin ang="5400000" scaled="0"/>
        </a:gradFill>
      </a:fillStyleLst>
      <a:lnStyleLst>
        <a:ln w="6350" cap="flat" cmpd="sng" algn="ctr">
          <a:solidFill>
            <a:schemeClr val="phClr"/>
          </a:solidFill>
          <a:prstDash val="solid"/>
          <a:miter lim="800000"/>
        </a:ln>
        <a:ln w="12700" cap="flat" cmpd="sng" algn="ctr">
          <a:solidFill>
            <a:schemeClr val="phClr"/>
          </a:solidFill>
          <a:prstDash val="solid"/>
          <a:miter lim="800000"/>
        </a:ln>
        <a:ln w="19050" cap="flat" cmpd="sng" algn="ctr">
          <a:solidFill>
            <a:schemeClr val="phClr"/>
          </a:solidFill>
          <a:prstDash val="solid"/>
          <a:miter lim="800000"/>
        </a:ln>
      </a:lnStyleLst>
      <a:effectStyleLst>
        <a:effectStyle>
          <a:effectLst/>
        </a:effectStyle>
        <a:effectStyle>
          <a:effectLst/>
        </a:effectStyle>
        <a:effectStyle>
          <a:effectLst>
            <a:outerShdw blurRad="57150" dist="19050" dir="5400000" algn="ctr" rotWithShape="0">
              <a:srgbClr val="000000">
                <a:alpha val="63000"/>
              </a:srgbClr>
            </a:outerShdw>
          </a:effectLst>
        </a:effectStyle>
      </a:effectStyleLst>
      <a:bgFillStyleLst>
        <a:solidFill>
          <a:schemeClr val="phClr"/>
        </a:solidFill>
        <a:solidFill>
          <a:schemeClr val="phClr">
            <a:tint val="95000"/>
            <a:satMod val="170000"/>
          </a:schemeClr>
        </a:solidFill>
        <a:gradFill rotWithShape="1">
          <a:gsLst>
            <a:gs pos="0">
              <a:schemeClr val="phClr">
                <a:tint val="93000"/>
                <a:satMod val="150000"/>
                <a:shade val="98000"/>
                <a:lumMod val="102000"/>
              </a:schemeClr>
            </a:gs>
            <a:gs pos="50000">
              <a:schemeClr val="phClr">
                <a:tint val="98000"/>
                <a:satMod val="130000"/>
                <a:shade val="90000"/>
                <a:lumMod val="103000"/>
              </a:schemeClr>
            </a:gs>
            <a:gs pos="100000">
              <a:schemeClr val="phClr">
                <a:shade val="63000"/>
                <a:satMod val="120000"/>
              </a:schemeClr>
            </a:gs>
          </a:gsLst>
          <a:lin ang="5400000" scaled="0"/>
        </a:gradFill>
      </a:bgFillStyleLst>
    </a:fmtScheme>
  </a:themeElements>
  <a:objectDefaults/>
  <a:extraClrSchemeLst/>
  <a:extLst>
    <a:ext uri="{05A4C25C-085E-4340-85A3-A5531E510DB2}">
      <thm15:themeFamily xmlns:thm15="http://schemas.microsoft.com/office/thememl/2012/main" name="Office Theme" id="{62F939B6-93AF-4DB8-9C6B-D6C7DFDC589F}" vid="{4A3C46E8-61CC-4603-A589-7422A47A8E4A}"/>
    </a:ext>
  </a:extLst>
</a:theme>
</file>

<file path=xl/webextensions/_rels/taskpanes.xml.rels><?xml version="1.0" encoding="UTF-8" standalone="yes"?>
<Relationships xmlns="http://schemas.openxmlformats.org/package/2006/relationships"><Relationship Id="rId1" Type="http://schemas.microsoft.com/office/2011/relationships/webextension" Target="webextension1.xml"/></Relationships>
</file>

<file path=xl/webextensions/taskpanes.xml><?xml version="1.0" encoding="utf-8"?>
<wetp:taskpanes xmlns:wetp="http://schemas.microsoft.com/office/webextensions/taskpanes/2010/11">
  <wetp:taskpane dockstate="right" visibility="0" width="272" row="7">
    <wetp:webextensionref xmlns:r="http://schemas.openxmlformats.org/officeDocument/2006/relationships" r:id="rId1"/>
  </wetp:taskpane>
</wetp:taskpanes>
</file>

<file path=xl/webextensions/webextension1.xml><?xml version="1.0" encoding="utf-8"?>
<we:webextension xmlns:we="http://schemas.microsoft.com/office/webextensions/webextension/2010/11" id="{04248AD1-3F33-46F9-8E5F-449BE98FFA2D}">
  <we:reference id="wa104051163" version="1.2.0.3" store="en-US" storeType="OMEX"/>
  <we:alternateReferences>
    <we:reference id="wa104051163" version="1.2.0.3" store="wa104051163" storeType="OMEX"/>
  </we:alternateReferences>
  <we:properties/>
  <we:bindings/>
  <we:snapshot xmlns:r="http://schemas.openxmlformats.org/officeDocument/2006/relationships"/>
</we:webextension>
</file>

<file path=xl/worksheets/_rels/sheet2.xml.rels><?xml version="1.0" encoding="UTF-8" standalone="yes"?>
<Relationships xmlns="http://schemas.openxmlformats.org/package/2006/relationships"><Relationship Id="rId3" Type="http://schemas.openxmlformats.org/officeDocument/2006/relationships/ctrlProp" Target="../ctrlProps/ctrlProp1.xml"/><Relationship Id="rId2" Type="http://schemas.openxmlformats.org/officeDocument/2006/relationships/vmlDrawing" Target="../drawings/vmlDrawing1.vml"/><Relationship Id="rId1" Type="http://schemas.openxmlformats.org/officeDocument/2006/relationships/drawing" Target="../drawings/drawing1.xml"/></Relationships>
</file>

<file path=xl/worksheets/_rels/sheet3.xml.rels><?xml version="1.0" encoding="UTF-8" standalone="yes"?>
<Relationships xmlns="http://schemas.openxmlformats.org/package/2006/relationships"><Relationship Id="rId8" Type="http://schemas.openxmlformats.org/officeDocument/2006/relationships/ctrlProp" Target="../ctrlProps/ctrlProp4.xml"/><Relationship Id="rId13" Type="http://schemas.openxmlformats.org/officeDocument/2006/relationships/ctrlProp" Target="../ctrlProps/ctrlProp9.xml"/><Relationship Id="rId18" Type="http://schemas.openxmlformats.org/officeDocument/2006/relationships/table" Target="../tables/table1.xml"/><Relationship Id="rId3" Type="http://schemas.openxmlformats.org/officeDocument/2006/relationships/printerSettings" Target="../printerSettings/printerSettings1.bin"/><Relationship Id="rId21" Type="http://schemas.openxmlformats.org/officeDocument/2006/relationships/table" Target="../tables/table4.xml"/><Relationship Id="rId7" Type="http://schemas.openxmlformats.org/officeDocument/2006/relationships/ctrlProp" Target="../ctrlProps/ctrlProp3.xml"/><Relationship Id="rId12" Type="http://schemas.openxmlformats.org/officeDocument/2006/relationships/ctrlProp" Target="../ctrlProps/ctrlProp8.xml"/><Relationship Id="rId17" Type="http://schemas.openxmlformats.org/officeDocument/2006/relationships/ctrlProp" Target="../ctrlProps/ctrlProp13.xml"/><Relationship Id="rId2" Type="http://schemas.openxmlformats.org/officeDocument/2006/relationships/pivotTable" Target="../pivotTables/pivotTable2.xml"/><Relationship Id="rId16" Type="http://schemas.openxmlformats.org/officeDocument/2006/relationships/ctrlProp" Target="../ctrlProps/ctrlProp12.xml"/><Relationship Id="rId20" Type="http://schemas.openxmlformats.org/officeDocument/2006/relationships/table" Target="../tables/table3.xml"/><Relationship Id="rId1" Type="http://schemas.openxmlformats.org/officeDocument/2006/relationships/pivotTable" Target="../pivotTables/pivotTable1.xml"/><Relationship Id="rId6" Type="http://schemas.openxmlformats.org/officeDocument/2006/relationships/ctrlProp" Target="../ctrlProps/ctrlProp2.xml"/><Relationship Id="rId11" Type="http://schemas.openxmlformats.org/officeDocument/2006/relationships/ctrlProp" Target="../ctrlProps/ctrlProp7.xml"/><Relationship Id="rId5" Type="http://schemas.openxmlformats.org/officeDocument/2006/relationships/vmlDrawing" Target="../drawings/vmlDrawing2.vml"/><Relationship Id="rId15" Type="http://schemas.openxmlformats.org/officeDocument/2006/relationships/ctrlProp" Target="../ctrlProps/ctrlProp11.xml"/><Relationship Id="rId10" Type="http://schemas.openxmlformats.org/officeDocument/2006/relationships/ctrlProp" Target="../ctrlProps/ctrlProp6.xml"/><Relationship Id="rId19" Type="http://schemas.openxmlformats.org/officeDocument/2006/relationships/table" Target="../tables/table2.xml"/><Relationship Id="rId4" Type="http://schemas.openxmlformats.org/officeDocument/2006/relationships/drawing" Target="../drawings/drawing2.xml"/><Relationship Id="rId9" Type="http://schemas.openxmlformats.org/officeDocument/2006/relationships/ctrlProp" Target="../ctrlProps/ctrlProp5.xml"/><Relationship Id="rId14" Type="http://schemas.openxmlformats.org/officeDocument/2006/relationships/ctrlProp" Target="../ctrlProps/ctrlProp10.xml"/></Relationships>
</file>

<file path=xl/worksheets/sheet1.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F22403A2-CF52-43E4-ADEA-998B97CD0F94}">
  <sheetPr codeName="Sheet51"/>
  <dimension ref="A1:Z2"/>
  <sheetViews>
    <sheetView showGridLines="0" workbookViewId="0">
      <selection activeCell="A2" sqref="A2:C2"/>
    </sheetView>
  </sheetViews>
  <sheetFormatPr defaultRowHeight="16.5" x14ac:dyDescent="0.3"/>
  <cols>
    <col min="1" max="1" width="10.5" style="7" bestFit="1" customWidth="1"/>
    <col min="2" max="2" width="36.25" style="7" bestFit="1" customWidth="1"/>
    <col min="3" max="3" width="16.125" style="7" bestFit="1" customWidth="1"/>
    <col min="4" max="5" width="14.375" style="18" bestFit="1" customWidth="1"/>
    <col min="6" max="25" width="9" style="7"/>
    <col min="26" max="26" width="9" style="7" hidden="1" customWidth="1"/>
    <col min="27" max="16384" width="9" style="7"/>
  </cols>
  <sheetData>
    <row r="1" spans="1:26" x14ac:dyDescent="0.3">
      <c r="A1" s="13" t="s">
        <v>21</v>
      </c>
      <c r="B1" s="14" t="s">
        <v>9</v>
      </c>
      <c r="C1" s="15" t="s">
        <v>10</v>
      </c>
      <c r="D1" s="17" t="s">
        <v>22</v>
      </c>
      <c r="E1" s="17" t="s">
        <v>23</v>
      </c>
      <c r="F1" s="13" t="s">
        <v>24</v>
      </c>
      <c r="G1" s="16" t="s">
        <v>25</v>
      </c>
      <c r="H1" s="13" t="s">
        <v>26</v>
      </c>
      <c r="I1" s="13" t="s">
        <v>27</v>
      </c>
      <c r="J1" s="16" t="s">
        <v>28</v>
      </c>
      <c r="K1" s="16" t="s">
        <v>29</v>
      </c>
      <c r="L1" s="16" t="s">
        <v>30</v>
      </c>
      <c r="M1" s="16" t="s">
        <v>31</v>
      </c>
      <c r="N1" s="29"/>
      <c r="O1" s="29"/>
      <c r="P1" s="29"/>
      <c r="Q1" s="29"/>
      <c r="R1" s="29"/>
      <c r="S1" s="29"/>
      <c r="T1" s="29"/>
      <c r="U1" s="29"/>
      <c r="V1" s="29"/>
      <c r="W1" s="29"/>
      <c r="X1" s="29"/>
      <c r="Y1" s="29"/>
      <c r="Z1" s="7" t="s">
        <v>33</v>
      </c>
    </row>
    <row r="2" spans="1:26" x14ac:dyDescent="0.3">
      <c r="A2" s="29"/>
      <c r="B2" s="7" t="s">
        <v>54</v>
      </c>
      <c r="C2" s="7" t="s">
        <v>55</v>
      </c>
      <c r="D2" s="18">
        <v>45748</v>
      </c>
      <c r="E2" s="18">
        <v>46113</v>
      </c>
      <c r="F2" s="29">
        <v>365</v>
      </c>
      <c r="G2" s="7" t="s">
        <v>34</v>
      </c>
      <c r="H2" s="29"/>
      <c r="I2" s="29"/>
      <c r="J2" s="29"/>
      <c r="K2" s="29"/>
      <c r="L2" s="29"/>
      <c r="M2" s="29"/>
      <c r="N2" s="29"/>
      <c r="O2" s="29"/>
      <c r="P2" s="29"/>
      <c r="Q2" s="29"/>
      <c r="R2" s="29"/>
      <c r="S2" s="29"/>
      <c r="T2" s="29"/>
      <c r="U2" s="29"/>
      <c r="V2" s="29"/>
      <c r="W2" s="29"/>
      <c r="X2" s="29"/>
      <c r="Y2" s="29"/>
      <c r="Z2" s="29" t="s">
        <v>62</v>
      </c>
    </row>
  </sheetData>
  <pageMargins left="0.7" right="0.7" top="0.75" bottom="0.75" header="0.3" footer="0.3"/>
</worksheet>
</file>

<file path=xl/worksheets/sheet2.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F7062703-3C8F-4D1F-8F14-BCBCE29E96A2}">
  <sheetPr codeName="Sheet2"/>
  <dimension ref="A1:L76"/>
  <sheetViews>
    <sheetView showGridLines="0" tabSelected="1" zoomScaleNormal="100" workbookViewId="0">
      <selection activeCell="I10" sqref="I10"/>
    </sheetView>
  </sheetViews>
  <sheetFormatPr defaultRowHeight="16.5" x14ac:dyDescent="0.3"/>
  <cols>
    <col min="1" max="1" width="11.625" style="8" bestFit="1" customWidth="1"/>
    <col min="2" max="16384" width="9" style="8"/>
  </cols>
  <sheetData>
    <row r="1" spans="1:12" x14ac:dyDescent="0.3">
      <c r="K1" s="47">
        <v>1</v>
      </c>
      <c r="L1" s="47" t="s">
        <v>57</v>
      </c>
    </row>
    <row r="2" spans="1:12" x14ac:dyDescent="0.3">
      <c r="A2" s="8" t="s">
        <v>56</v>
      </c>
      <c r="L2" s="47" t="s">
        <v>58</v>
      </c>
    </row>
    <row r="3" spans="1:12" x14ac:dyDescent="0.3">
      <c r="L3" s="47" t="s">
        <v>59</v>
      </c>
    </row>
    <row r="4" spans="1:12" ht="37.5" x14ac:dyDescent="0.3">
      <c r="A4" s="11" t="s">
        <v>0</v>
      </c>
      <c r="B4" s="11" t="s">
        <v>1</v>
      </c>
      <c r="L4" s="47" t="s">
        <v>60</v>
      </c>
    </row>
    <row r="5" spans="1:12" ht="17.25" x14ac:dyDescent="0.3">
      <c r="A5" s="24"/>
      <c r="B5" s="19" t="s">
        <v>35</v>
      </c>
      <c r="L5" s="47" t="s">
        <v>61</v>
      </c>
    </row>
    <row r="6" spans="1:12" ht="17.25" x14ac:dyDescent="0.3">
      <c r="A6" s="24"/>
      <c r="B6" s="19" t="s">
        <v>32</v>
      </c>
    </row>
    <row r="7" spans="1:12" ht="17.25" x14ac:dyDescent="0.3">
      <c r="A7" s="24"/>
      <c r="B7" s="19" t="s">
        <v>36</v>
      </c>
    </row>
    <row r="8" spans="1:12" ht="17.25" x14ac:dyDescent="0.3">
      <c r="A8" s="24"/>
      <c r="B8" s="19" t="s">
        <v>37</v>
      </c>
    </row>
    <row r="9" spans="1:12" ht="17.25" x14ac:dyDescent="0.3">
      <c r="A9" s="24"/>
      <c r="B9" s="20" t="s">
        <v>38</v>
      </c>
    </row>
    <row r="10" spans="1:12" x14ac:dyDescent="0.3">
      <c r="A10" s="24"/>
      <c r="B10" s="24"/>
    </row>
    <row r="11" spans="1:12" ht="37.5" x14ac:dyDescent="0.3">
      <c r="A11" s="11" t="s">
        <v>7</v>
      </c>
      <c r="B11" s="11" t="s">
        <v>8</v>
      </c>
    </row>
    <row r="12" spans="1:12" x14ac:dyDescent="0.3">
      <c r="A12" s="12" t="s">
        <v>9</v>
      </c>
      <c r="B12" s="8" t="s">
        <v>54</v>
      </c>
    </row>
    <row r="13" spans="1:12" x14ac:dyDescent="0.3">
      <c r="A13" s="12" t="s">
        <v>10</v>
      </c>
      <c r="B13" s="8" t="s">
        <v>55</v>
      </c>
    </row>
    <row r="14" spans="1:12" ht="17.25" x14ac:dyDescent="0.3">
      <c r="A14" s="24"/>
      <c r="B14" s="9" t="s">
        <v>2</v>
      </c>
    </row>
    <row r="15" spans="1:12" ht="17.25" x14ac:dyDescent="0.3">
      <c r="A15" s="24"/>
      <c r="B15" s="9" t="s">
        <v>3</v>
      </c>
    </row>
    <row r="16" spans="1:12" ht="17.25" x14ac:dyDescent="0.3">
      <c r="A16" s="24"/>
      <c r="B16" s="9" t="s">
        <v>4</v>
      </c>
    </row>
    <row r="17" spans="1:2" ht="17.25" x14ac:dyDescent="0.3">
      <c r="A17" s="24"/>
      <c r="B17" s="9" t="s">
        <v>5</v>
      </c>
    </row>
    <row r="18" spans="1:2" ht="17.25" x14ac:dyDescent="0.3">
      <c r="A18" s="24"/>
      <c r="B18" s="10" t="s">
        <v>6</v>
      </c>
    </row>
    <row r="19" spans="1:2" x14ac:dyDescent="0.3">
      <c r="A19" s="24"/>
      <c r="B19" s="24"/>
    </row>
    <row r="20" spans="1:2" x14ac:dyDescent="0.3">
      <c r="A20" s="24"/>
      <c r="B20" s="24"/>
    </row>
    <row r="21" spans="1:2" x14ac:dyDescent="0.3">
      <c r="A21" s="24"/>
      <c r="B21" s="24"/>
    </row>
    <row r="22" spans="1:2" x14ac:dyDescent="0.3">
      <c r="A22" s="24"/>
      <c r="B22" s="24"/>
    </row>
    <row r="23" spans="1:2" x14ac:dyDescent="0.3">
      <c r="A23" s="24"/>
      <c r="B23" s="24"/>
    </row>
    <row r="24" spans="1:2" x14ac:dyDescent="0.3">
      <c r="A24" s="25"/>
      <c r="B24" s="24"/>
    </row>
    <row r="25" spans="1:2" x14ac:dyDescent="0.3">
      <c r="A25" s="26"/>
      <c r="B25" s="24"/>
    </row>
    <row r="26" spans="1:2" x14ac:dyDescent="0.3">
      <c r="A26" s="25"/>
      <c r="B26" s="24"/>
    </row>
    <row r="27" spans="1:2" x14ac:dyDescent="0.3">
      <c r="A27" s="26"/>
      <c r="B27" s="24"/>
    </row>
    <row r="28" spans="1:2" x14ac:dyDescent="0.3">
      <c r="A28" s="26"/>
      <c r="B28" s="24"/>
    </row>
    <row r="29" spans="1:2" x14ac:dyDescent="0.3">
      <c r="A29" s="26"/>
      <c r="B29" s="24"/>
    </row>
    <row r="30" spans="1:2" x14ac:dyDescent="0.3">
      <c r="A30" s="26"/>
      <c r="B30" s="24"/>
    </row>
    <row r="31" spans="1:2" x14ac:dyDescent="0.3">
      <c r="A31" s="25"/>
      <c r="B31" s="24"/>
    </row>
    <row r="32" spans="1:2" x14ac:dyDescent="0.3">
      <c r="A32" s="26"/>
      <c r="B32" s="24"/>
    </row>
    <row r="33" spans="1:2" x14ac:dyDescent="0.3">
      <c r="A33" s="26"/>
      <c r="B33" s="24"/>
    </row>
    <row r="34" spans="1:2" x14ac:dyDescent="0.3">
      <c r="A34" s="26"/>
      <c r="B34" s="24"/>
    </row>
    <row r="35" spans="1:2" x14ac:dyDescent="0.3">
      <c r="A35" s="26"/>
      <c r="B35" s="24"/>
    </row>
    <row r="36" spans="1:2" x14ac:dyDescent="0.3">
      <c r="A36" s="25"/>
      <c r="B36" s="24"/>
    </row>
    <row r="37" spans="1:2" x14ac:dyDescent="0.3">
      <c r="A37" s="27"/>
      <c r="B37" s="24"/>
    </row>
    <row r="38" spans="1:2" x14ac:dyDescent="0.3">
      <c r="A38" s="28"/>
      <c r="B38" s="24"/>
    </row>
    <row r="39" spans="1:2" x14ac:dyDescent="0.3">
      <c r="A39" s="27"/>
      <c r="B39" s="24"/>
    </row>
    <row r="40" spans="1:2" x14ac:dyDescent="0.3">
      <c r="A40" s="28"/>
      <c r="B40" s="24"/>
    </row>
    <row r="41" spans="1:2" x14ac:dyDescent="0.3">
      <c r="A41" s="27"/>
      <c r="B41" s="24"/>
    </row>
    <row r="42" spans="1:2" x14ac:dyDescent="0.3">
      <c r="A42" s="28"/>
      <c r="B42" s="24"/>
    </row>
    <row r="43" spans="1:2" x14ac:dyDescent="0.3">
      <c r="A43" s="27"/>
      <c r="B43" s="24"/>
    </row>
    <row r="44" spans="1:2" x14ac:dyDescent="0.3">
      <c r="A44" s="28"/>
      <c r="B44" s="24"/>
    </row>
    <row r="45" spans="1:2" x14ac:dyDescent="0.3">
      <c r="A45" s="27"/>
      <c r="B45" s="24"/>
    </row>
    <row r="46" spans="1:2" x14ac:dyDescent="0.3">
      <c r="A46" s="28"/>
      <c r="B46" s="24"/>
    </row>
    <row r="47" spans="1:2" x14ac:dyDescent="0.3">
      <c r="A47" s="26"/>
      <c r="B47" s="24"/>
    </row>
    <row r="48" spans="1:2" x14ac:dyDescent="0.3">
      <c r="A48" s="26"/>
      <c r="B48" s="24"/>
    </row>
    <row r="49" spans="1:2" x14ac:dyDescent="0.3">
      <c r="A49" s="26"/>
      <c r="B49" s="24"/>
    </row>
    <row r="50" spans="1:2" x14ac:dyDescent="0.3">
      <c r="A50" s="25"/>
      <c r="B50" s="24"/>
    </row>
    <row r="51" spans="1:2" x14ac:dyDescent="0.3">
      <c r="A51" s="26"/>
      <c r="B51" s="24"/>
    </row>
    <row r="52" spans="1:2" x14ac:dyDescent="0.3">
      <c r="A52" s="26"/>
      <c r="B52" s="24"/>
    </row>
    <row r="53" spans="1:2" x14ac:dyDescent="0.3">
      <c r="A53" s="26"/>
      <c r="B53" s="24"/>
    </row>
    <row r="54" spans="1:2" x14ac:dyDescent="0.3">
      <c r="A54" s="26"/>
      <c r="B54" s="24"/>
    </row>
    <row r="55" spans="1:2" x14ac:dyDescent="0.3">
      <c r="A55" s="25"/>
      <c r="B55" s="24"/>
    </row>
    <row r="56" spans="1:2" x14ac:dyDescent="0.3">
      <c r="A56" s="27"/>
      <c r="B56" s="24"/>
    </row>
    <row r="57" spans="1:2" x14ac:dyDescent="0.3">
      <c r="A57" s="27"/>
      <c r="B57" s="24"/>
    </row>
    <row r="58" spans="1:2" x14ac:dyDescent="0.3">
      <c r="A58" s="27"/>
      <c r="B58" s="24"/>
    </row>
    <row r="59" spans="1:2" x14ac:dyDescent="0.3">
      <c r="A59" s="27"/>
      <c r="B59" s="24"/>
    </row>
    <row r="60" spans="1:2" x14ac:dyDescent="0.3">
      <c r="A60" s="26"/>
      <c r="B60" s="24"/>
    </row>
    <row r="61" spans="1:2" x14ac:dyDescent="0.3">
      <c r="A61" s="26"/>
      <c r="B61" s="24"/>
    </row>
    <row r="62" spans="1:2" x14ac:dyDescent="0.3">
      <c r="A62" s="26"/>
      <c r="B62" s="24"/>
    </row>
    <row r="63" spans="1:2" x14ac:dyDescent="0.3">
      <c r="A63" s="25"/>
      <c r="B63" s="24"/>
    </row>
    <row r="64" spans="1:2" x14ac:dyDescent="0.3">
      <c r="A64" s="26"/>
      <c r="B64" s="24"/>
    </row>
    <row r="65" spans="1:2" x14ac:dyDescent="0.3">
      <c r="A65" s="26"/>
      <c r="B65" s="24"/>
    </row>
    <row r="66" spans="1:2" x14ac:dyDescent="0.3">
      <c r="A66" s="26"/>
      <c r="B66" s="24"/>
    </row>
    <row r="67" spans="1:2" x14ac:dyDescent="0.3">
      <c r="A67" s="26"/>
      <c r="B67" s="24"/>
    </row>
    <row r="68" spans="1:2" x14ac:dyDescent="0.3">
      <c r="A68" s="25"/>
      <c r="B68" s="24"/>
    </row>
    <row r="69" spans="1:2" x14ac:dyDescent="0.3">
      <c r="A69" s="27"/>
      <c r="B69" s="24"/>
    </row>
    <row r="70" spans="1:2" x14ac:dyDescent="0.3">
      <c r="A70" s="27"/>
      <c r="B70" s="24"/>
    </row>
    <row r="71" spans="1:2" x14ac:dyDescent="0.3">
      <c r="A71" s="27"/>
      <c r="B71" s="24"/>
    </row>
    <row r="72" spans="1:2" x14ac:dyDescent="0.3">
      <c r="A72" s="27"/>
      <c r="B72" s="24"/>
    </row>
    <row r="73" spans="1:2" x14ac:dyDescent="0.3">
      <c r="A73" s="27"/>
      <c r="B73" s="24"/>
    </row>
    <row r="74" spans="1:2" x14ac:dyDescent="0.3">
      <c r="A74" s="27"/>
      <c r="B74" s="24"/>
    </row>
    <row r="75" spans="1:2" x14ac:dyDescent="0.3">
      <c r="A75" s="26"/>
      <c r="B75" s="24"/>
    </row>
    <row r="76" spans="1:2" x14ac:dyDescent="0.3">
      <c r="A76" s="25"/>
      <c r="B76" s="24"/>
    </row>
  </sheetData>
  <sheetProtection formatCells="0" formatColumns="0" formatRows="0" insertColumns="0" insertRows="0" deleteColumns="0" deleteRows="0" sort="0" autoFilter="0" pivotTables="0"/>
  <pageMargins left="0.7" right="0.7" top="0.75" bottom="0.75" header="0.3" footer="0.3"/>
  <drawing r:id="rId1"/>
  <legacyDrawing r:id="rId2"/>
  <mc:AlternateContent xmlns:mc="http://schemas.openxmlformats.org/markup-compatibility/2006">
    <mc:Choice Requires="x14">
      <controls>
        <mc:AlternateContent xmlns:mc="http://schemas.openxmlformats.org/markup-compatibility/2006">
          <mc:Choice Requires="x14">
            <control shapeId="1025" r:id="rId3" name="ThemeSelector">
              <controlPr defaultSize="0" autoLine="0" autoPict="0" macro="[0]!ThemeSelector">
                <anchor moveWithCells="1">
                  <from>
                    <xdr:col>9</xdr:col>
                    <xdr:colOff>571500</xdr:colOff>
                    <xdr:row>0</xdr:row>
                    <xdr:rowOff>123825</xdr:rowOff>
                  </from>
                  <to>
                    <xdr:col>12</xdr:col>
                    <xdr:colOff>47625</xdr:colOff>
                    <xdr:row>1</xdr:row>
                    <xdr:rowOff>161925</xdr:rowOff>
                  </to>
                </anchor>
              </controlPr>
            </control>
          </mc:Choice>
        </mc:AlternateContent>
      </controls>
    </mc:Choice>
  </mc:AlternateContent>
  <extLst>
    <ext xmlns:x14="http://schemas.microsoft.com/office/spreadsheetml/2009/9/main" uri="{78C0D931-6437-407d-A8EE-F0AAD7539E65}">
      <x14:conditionalFormattings>
        <x14:conditionalFormatting xmlns:xm="http://schemas.microsoft.com/office/excel/2006/main">
          <x14:cfRule type="expression" priority="2" id="{D1703B8A-65F2-490C-AC6A-48B5624E207A}">
            <xm:f>Security!$A$1="NO VBA"</xm:f>
            <x14:dxf>
              <font>
                <color theme="0"/>
              </font>
              <border>
                <vertical/>
                <horizontal/>
              </border>
            </x14:dxf>
          </x14:cfRule>
          <xm:sqref>B10:D10 C9:D9</xm:sqref>
        </x14:conditionalFormatting>
        <x14:conditionalFormatting xmlns:xm="http://schemas.microsoft.com/office/excel/2006/main">
          <x14:cfRule type="expression" priority="1" id="{ED3CAF53-C68B-49C7-BA59-FE71E12FA704}">
            <xm:f>Security!$A$1="NO VBA"</xm:f>
            <x14:dxf>
              <font>
                <color theme="0"/>
              </font>
              <border>
                <vertical/>
                <horizontal/>
              </border>
            </x14:dxf>
          </x14:cfRule>
          <xm:sqref>E9:E10</xm:sqref>
        </x14:conditionalFormatting>
      </x14:conditionalFormattings>
    </ext>
  </extLst>
</worksheet>
</file>

<file path=xl/worksheets/sheet3.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8B0D10BB-DCE2-421A-ABC1-F0186164F383}">
  <sheetPr codeName="Sheet10">
    <tabColor theme="9" tint="0.79998168889431442"/>
    <outlinePr summaryRight="0"/>
  </sheetPr>
  <dimension ref="A1:BB58"/>
  <sheetViews>
    <sheetView showGridLines="0" zoomScaleNormal="100" workbookViewId="0">
      <selection activeCell="AP32" sqref="AP32"/>
    </sheetView>
  </sheetViews>
  <sheetFormatPr defaultRowHeight="18" customHeight="1" outlineLevelRow="1" outlineLevelCol="1" x14ac:dyDescent="0.3"/>
  <cols>
    <col min="1" max="1" width="1.25" style="1" customWidth="1" collapsed="1"/>
    <col min="2" max="2" width="12.875" style="1" hidden="1" customWidth="1" outlineLevel="1"/>
    <col min="3" max="3" width="16.125" style="1" hidden="1" customWidth="1" outlineLevel="1"/>
    <col min="4" max="4" width="11.25" style="1" hidden="1" customWidth="1" outlineLevel="1"/>
    <col min="5" max="5" width="10.125" style="1" hidden="1" customWidth="1" outlineLevel="1"/>
    <col min="6" max="6" width="12.375" style="1" hidden="1" customWidth="1" outlineLevel="1"/>
    <col min="7" max="17" width="1.25" style="1" hidden="1" customWidth="1" outlineLevel="1"/>
    <col min="18" max="18" width="14.75" style="1" hidden="1" customWidth="1" outlineLevel="1"/>
    <col min="19" max="19" width="16.125" style="1" hidden="1" customWidth="1" outlineLevel="1"/>
    <col min="20" max="20" width="6.625" style="1" hidden="1" customWidth="1" outlineLevel="1"/>
    <col min="21" max="21" width="6.25" style="1" hidden="1" customWidth="1" outlineLevel="1"/>
    <col min="22" max="22" width="5.875" style="1" hidden="1" customWidth="1" outlineLevel="1"/>
    <col min="23" max="23" width="11.5" style="1" hidden="1" customWidth="1" outlineLevel="1"/>
    <col min="24" max="33" width="1.25" style="1" hidden="1" customWidth="1" outlineLevel="1"/>
    <col min="34" max="34" width="1.25" style="1" customWidth="1"/>
    <col min="35" max="35" width="13.875" style="5" customWidth="1"/>
    <col min="36" max="36" width="11.375" style="1" bestFit="1" customWidth="1"/>
    <col min="37" max="38" width="13.375" style="1" bestFit="1" customWidth="1"/>
    <col min="39" max="39" width="1.25" style="1" customWidth="1"/>
    <col min="40" max="40" width="9.5" style="41" customWidth="1"/>
    <col min="41" max="41" width="13" style="1" bestFit="1" customWidth="1"/>
    <col min="42" max="42" width="12.125" style="1" customWidth="1" collapsed="1"/>
    <col min="43" max="43" width="11.875" style="1" customWidth="1"/>
    <col min="44" max="44" width="1.25" style="1" customWidth="1"/>
    <col min="45" max="45" width="13.5" style="1" bestFit="1" customWidth="1"/>
    <col min="46" max="46" width="10" style="1" bestFit="1" customWidth="1"/>
    <col min="47" max="47" width="10" style="1" customWidth="1"/>
    <col min="48" max="48" width="14.25" style="5" bestFit="1" customWidth="1"/>
    <col min="49" max="49" width="14.25" style="5" customWidth="1"/>
    <col min="50" max="50" width="1.25" style="1" customWidth="1"/>
    <col min="51" max="51" width="11.5" style="1" customWidth="1"/>
    <col min="52" max="52" width="22.25" style="1" customWidth="1"/>
    <col min="53" max="16384" width="9" style="1"/>
  </cols>
  <sheetData>
    <row r="1" spans="40:47" ht="18" customHeight="1" x14ac:dyDescent="0.3">
      <c r="AP1" s="23" cm="1">
        <f t="array" ref="AP1" xml:space="preserve">
IFERROR(
SUM(_xlfn._xlws.FILTER(Table_ThuChiKD[Giá trị GD],
(Table_ThuChiKD[Đối tác] = NoXau_MaKH) *
(Table_ThuChiKD[Loại GD] = "Phát sinh phải trả / Thu tiền") *
(Table_ThuChiKD[Ngày GD] &lt;= NoXau_NgayTheoDoi)
)),0)</f>
        <v>252262</v>
      </c>
      <c r="AS1" s="2" t="s">
        <v>17</v>
      </c>
      <c r="AT1" s="39">
        <v>45777</v>
      </c>
    </row>
    <row r="2" spans="40:47" ht="18" customHeight="1" x14ac:dyDescent="0.3">
      <c r="AQ2" s="2"/>
      <c r="AS2" s="2" t="s">
        <v>15</v>
      </c>
      <c r="AT2" s="21" t="s">
        <v>49</v>
      </c>
    </row>
    <row r="3" spans="40:47" s="2" customFormat="1" ht="18" customHeight="1" outlineLevel="1" x14ac:dyDescent="0.3">
      <c r="AN3" s="46"/>
      <c r="AS3" s="1"/>
      <c r="AT3" s="1"/>
      <c r="AU3" s="1"/>
    </row>
    <row r="4" spans="40:47" s="2" customFormat="1" ht="18" customHeight="1" outlineLevel="1" x14ac:dyDescent="0.3">
      <c r="AN4" s="46"/>
      <c r="AS4" s="1"/>
      <c r="AT4" s="1"/>
      <c r="AU4" s="1"/>
    </row>
    <row r="5" spans="40:47" s="2" customFormat="1" ht="18" customHeight="1" outlineLevel="1" x14ac:dyDescent="0.3">
      <c r="AN5" s="46"/>
      <c r="AS5" s="1"/>
      <c r="AT5" s="1"/>
      <c r="AU5" s="1"/>
    </row>
    <row r="6" spans="40:47" s="2" customFormat="1" ht="18" customHeight="1" outlineLevel="1" x14ac:dyDescent="0.3">
      <c r="AN6" s="46"/>
      <c r="AS6" s="1"/>
      <c r="AT6" s="1"/>
      <c r="AU6" s="1"/>
    </row>
    <row r="7" spans="40:47" s="2" customFormat="1" ht="18" customHeight="1" outlineLevel="1" x14ac:dyDescent="0.3">
      <c r="AN7" s="46"/>
      <c r="AS7" s="1"/>
      <c r="AT7" s="1"/>
      <c r="AU7" s="1"/>
    </row>
    <row r="8" spans="40:47" s="2" customFormat="1" ht="18" customHeight="1" outlineLevel="1" x14ac:dyDescent="0.3">
      <c r="AN8" s="46"/>
      <c r="AS8" s="1"/>
      <c r="AT8" s="1"/>
      <c r="AU8" s="1"/>
    </row>
    <row r="9" spans="40:47" s="2" customFormat="1" ht="18" customHeight="1" outlineLevel="1" x14ac:dyDescent="0.3">
      <c r="AN9" s="46"/>
      <c r="AS9" s="1"/>
      <c r="AT9" s="1"/>
      <c r="AU9" s="1"/>
    </row>
    <row r="10" spans="40:47" s="2" customFormat="1" ht="18" customHeight="1" outlineLevel="1" x14ac:dyDescent="0.3">
      <c r="AN10" s="46"/>
      <c r="AS10" s="1"/>
      <c r="AT10" s="1"/>
      <c r="AU10" s="1"/>
    </row>
    <row r="11" spans="40:47" s="2" customFormat="1" ht="18" customHeight="1" outlineLevel="1" x14ac:dyDescent="0.3">
      <c r="AN11" s="46"/>
      <c r="AS11" s="1"/>
      <c r="AT11" s="1"/>
      <c r="AU11" s="1"/>
    </row>
    <row r="12" spans="40:47" s="2" customFormat="1" ht="18" customHeight="1" outlineLevel="1" x14ac:dyDescent="0.3">
      <c r="AN12" s="46"/>
      <c r="AS12" s="1"/>
      <c r="AT12" s="1"/>
      <c r="AU12" s="1"/>
    </row>
    <row r="13" spans="40:47" s="2" customFormat="1" ht="18" customHeight="1" outlineLevel="1" x14ac:dyDescent="0.3">
      <c r="AN13" s="46"/>
      <c r="AS13" s="1"/>
      <c r="AT13" s="1"/>
      <c r="AU13" s="1"/>
    </row>
    <row r="14" spans="40:47" s="2" customFormat="1" ht="18" customHeight="1" outlineLevel="1" x14ac:dyDescent="0.3">
      <c r="AN14" s="46"/>
      <c r="AS14" s="1"/>
      <c r="AT14" s="1"/>
      <c r="AU14" s="1"/>
    </row>
    <row r="15" spans="40:47" s="2" customFormat="1" ht="18" customHeight="1" outlineLevel="1" x14ac:dyDescent="0.3">
      <c r="AN15" s="46"/>
      <c r="AS15" s="1"/>
      <c r="AT15" s="1"/>
      <c r="AU15" s="1"/>
    </row>
    <row r="16" spans="40:47" s="2" customFormat="1" ht="18" customHeight="1" outlineLevel="1" x14ac:dyDescent="0.3">
      <c r="AN16" s="46"/>
      <c r="AS16" s="1"/>
      <c r="AT16" s="1"/>
      <c r="AU16" s="1"/>
    </row>
    <row r="17" spans="2:54" s="2" customFormat="1" ht="18" customHeight="1" outlineLevel="1" x14ac:dyDescent="0.3">
      <c r="AN17" s="46"/>
      <c r="AS17" s="1"/>
      <c r="AT17" s="1"/>
      <c r="AU17" s="1"/>
    </row>
    <row r="18" spans="2:54" s="2" customFormat="1" ht="18" customHeight="1" outlineLevel="1" x14ac:dyDescent="0.3">
      <c r="AN18" s="46"/>
      <c r="AS18" s="1"/>
      <c r="AT18" s="1"/>
      <c r="AU18" s="1"/>
    </row>
    <row r="19" spans="2:54" s="2" customFormat="1" ht="18" customHeight="1" outlineLevel="1" x14ac:dyDescent="0.3">
      <c r="AN19" s="46"/>
      <c r="AS19" s="1"/>
      <c r="AT19" s="1"/>
      <c r="AU19" s="1"/>
    </row>
    <row r="20" spans="2:54" s="2" customFormat="1" ht="18" customHeight="1" outlineLevel="1" x14ac:dyDescent="0.3">
      <c r="AN20" s="46"/>
      <c r="AS20" s="1"/>
      <c r="AT20" s="1"/>
      <c r="AU20" s="1"/>
      <c r="AY20" s="34"/>
    </row>
    <row r="21" spans="2:54" ht="18" customHeight="1" x14ac:dyDescent="0.3">
      <c r="AK21" s="2"/>
      <c r="AL21" s="22">
        <f>SUM(Table_PhaiThu_DuPhong[Giá trị dự phòng])</f>
        <v>308313.05000000005</v>
      </c>
      <c r="AV21" s="22"/>
      <c r="AW21" s="22"/>
    </row>
    <row r="22" spans="2:54" ht="16.5" x14ac:dyDescent="0.3">
      <c r="B22" s="43" t="s">
        <v>53</v>
      </c>
      <c r="C22" s="43" t="s">
        <v>52</v>
      </c>
      <c r="D22"/>
      <c r="E22"/>
      <c r="F22"/>
      <c r="AI22" s="1" t="s">
        <v>11</v>
      </c>
      <c r="AJ22" s="1" t="s">
        <v>12</v>
      </c>
      <c r="AK22" s="1" t="s">
        <v>13</v>
      </c>
      <c r="AL22" s="1" t="s">
        <v>39</v>
      </c>
      <c r="AO22" s="1" t="s">
        <v>44</v>
      </c>
      <c r="AP22" s="1" t="s">
        <v>40</v>
      </c>
      <c r="AQ22" s="1" t="s">
        <v>14</v>
      </c>
      <c r="AS22" s="6" t="s">
        <v>17</v>
      </c>
      <c r="AT22" s="1" t="s">
        <v>16</v>
      </c>
      <c r="AU22" s="1" t="s">
        <v>40</v>
      </c>
      <c r="AV22" s="1" t="s">
        <v>41</v>
      </c>
      <c r="AW22" s="1" t="s">
        <v>43</v>
      </c>
      <c r="AY22" s="6" t="s">
        <v>18</v>
      </c>
      <c r="AZ22" s="6" t="s">
        <v>19</v>
      </c>
      <c r="BA22" s="6" t="s">
        <v>16</v>
      </c>
      <c r="BB22" s="6" t="s">
        <v>20</v>
      </c>
    </row>
    <row r="23" spans="2:54" ht="16.5" x14ac:dyDescent="0.3">
      <c r="B23" s="43" t="s">
        <v>50</v>
      </c>
      <c r="C23" t="s">
        <v>49</v>
      </c>
      <c r="D23" t="s">
        <v>46</v>
      </c>
      <c r="E23" t="s">
        <v>47</v>
      </c>
      <c r="F23" t="s">
        <v>48</v>
      </c>
      <c r="R23" s="43" t="s">
        <v>13</v>
      </c>
      <c r="S23" s="43" t="s">
        <v>52</v>
      </c>
      <c r="T23"/>
      <c r="U23"/>
      <c r="V23"/>
      <c r="W23"/>
      <c r="X23"/>
      <c r="Y23"/>
      <c r="Z23"/>
      <c r="AA23"/>
      <c r="AB23"/>
      <c r="AC23"/>
      <c r="AD23"/>
      <c r="AE23"/>
      <c r="AF23"/>
      <c r="AG23"/>
      <c r="AI23" s="3">
        <v>0</v>
      </c>
      <c r="AJ23" s="3">
        <v>15</v>
      </c>
      <c r="AK23" s="32">
        <v>0</v>
      </c>
      <c r="AL23" s="4" cm="1">
        <f t="array" ref="AL23" xml:space="preserve">
IF(ISBLANK(Table_PhaiThu_DuPhong[[#This Row],[Tuổi nợ max]]),
IFERROR(
SUM(_xlfn._xlws.FILTER(Table_PhaiThu_TuoiNoKH[Giá trị nợ],
(Table_PhaiThu_TuoiNoKH[Tuổi nợ]&gt;Table_PhaiThu_DuPhong[[#This Row],[Tuổi nợ min]])
)),0)*Table_PhaiThu_DuPhong[[#This Row],[Tỷ lệ dự phòng]],
IFERROR(
SUM(_xlfn._xlws.FILTER(Table_PhaiThu_TuoiNoKH[Giá trị nợ],
(Table_PhaiThu_TuoiNoKH[Tuổi nợ]&gt;Table_PhaiThu_DuPhong[[#This Row],[Tuổi nợ min]]) *
(Table_PhaiThu_TuoiNoKH[Tuổi nợ]&lt;=Table_PhaiThu_DuPhong[[#This Row],[Tuổi nợ max]])
)),0)*Table_PhaiThu_DuPhong[[#This Row],[Tỷ lệ dự phòng]])</f>
        <v>0</v>
      </c>
      <c r="AN23" s="41" cm="1">
        <f t="array" ref="AN23:AN28">_xlfn.UNIQUE(
_xlfn._xlws.FILTER(Table_ThuChiKD[Ngày GD],
(Table_ThuChiKD[Loại GD]="Phát sinh phải thu / Chi tiền")*
(Table_ThuChiKD[Đối tác]=NoXau_MaKH)
))</f>
        <v>45807</v>
      </c>
      <c r="AO23" s="30">
        <v>45807</v>
      </c>
      <c r="AP23" s="4" cm="1">
        <f t="array" ref="AP23" xml:space="preserve">
IF(Table_PhaiThu_TuoiNoKH[[#This Row],[Ngày phát sinh]]&gt;NoXau_NgayTheoDoi,0,
MAX(0,
IFERROR(
SUM(_xlfn._xlws.FILTER(Table_ThuChiKD[Giá trị GD],
(Table_ThuChiKD[Đối tác] = NoXau_MaKH) *
(Table_ThuChiKD[Loại GD] = "Phát sinh phải thu / Chi tiền")*
(Table_ThuChiKD[Ngày GD] &lt;= Table_PhaiThu_TuoiNoKH[[#This Row],[Ngày phát sinh]])
))- NoXau_NhanThanhToan,0)))</f>
        <v>0</v>
      </c>
      <c r="AQ23" s="4">
        <f>IF(Table_PhaiThu_TuoiNoKH[[#This Row],[Giá trị nợ]] =0, 0, NoXau_NgayTheoDoi-Table_PhaiThu_TuoiNoKH[[#This Row],[Ngày phát sinh]])</f>
        <v>0</v>
      </c>
      <c r="AS23" s="31">
        <v>45747</v>
      </c>
      <c r="AT23" s="1" t="s">
        <v>49</v>
      </c>
      <c r="AU23" s="40" cm="1">
        <f t="array" ref="AU23">IFERROR(
SUM(_xlfn._xlws.FILTER(Table_ThuChiKD[Giá trị GD],
(Table_ThuChiKD[Đối tác]=Table_DuPhong[[#This Row],[Đối tác]])*
(Table_ThuChiKD[Loại GD]="Phát sinh phải thu / Chi tiền")*
(Table_ThuChiKD[Ngày GD]&lt;=Table_DuPhong[[#This Row],[Ngày dự phòng]])
)),0)
-IFERROR(
SUM(_xlfn._xlws.FILTER(Table_ThuChiKD[Giá trị GD],
(Table_ThuChiKD[Đối tác]=Table_DuPhong[[#This Row],[Đối tác]])*
(Table_ThuChiKD[Loại GD]="Phát sinh phải trả / Thu tiền")*
(Table_ThuChiKD[Ngày GD]&lt;=Table_DuPhong[[#This Row],[Ngày dự phòng]])
)),0)</f>
        <v>1391644</v>
      </c>
      <c r="AV23" s="3">
        <v>100120.85</v>
      </c>
      <c r="AW23" s="42">
        <f>Table_DuPhong[[#This Row],[Dự phòng]]/Table_DuPhong[[#This Row],[Giá trị nợ]]</f>
        <v>7.1944297535864066E-2</v>
      </c>
      <c r="AY23" s="30">
        <v>45808</v>
      </c>
      <c r="AZ23" s="37" t="s">
        <v>45</v>
      </c>
      <c r="BA23" s="37" t="s">
        <v>46</v>
      </c>
      <c r="BB23" s="38">
        <v>187723</v>
      </c>
    </row>
    <row r="24" spans="2:54" ht="16.5" x14ac:dyDescent="0.3">
      <c r="B24" s="44">
        <v>45747</v>
      </c>
      <c r="C24">
        <v>100120.85</v>
      </c>
      <c r="D24"/>
      <c r="E24">
        <v>15956</v>
      </c>
      <c r="F24">
        <v>39252.400000000001</v>
      </c>
      <c r="R24" s="43" t="s">
        <v>50</v>
      </c>
      <c r="S24" t="s">
        <v>49</v>
      </c>
      <c r="T24" t="s">
        <v>46</v>
      </c>
      <c r="U24" t="s">
        <v>47</v>
      </c>
      <c r="V24" t="s">
        <v>48</v>
      </c>
      <c r="W24"/>
      <c r="X24"/>
      <c r="Y24"/>
      <c r="Z24"/>
      <c r="AA24"/>
      <c r="AB24"/>
      <c r="AC24"/>
      <c r="AD24"/>
      <c r="AE24"/>
      <c r="AF24"/>
      <c r="AG24"/>
      <c r="AI24" s="3">
        <v>15</v>
      </c>
      <c r="AJ24" s="3">
        <v>30</v>
      </c>
      <c r="AK24" s="32">
        <v>0.05</v>
      </c>
      <c r="AL24" s="4" cm="1">
        <f t="array" ref="AL24" xml:space="preserve">
IF(ISBLANK(Table_PhaiThu_DuPhong[[#This Row],[Tuổi nợ max]]),
IFERROR(
SUM(_xlfn._xlws.FILTER(Table_PhaiThu_TuoiNoKH[Giá trị nợ],
(Table_PhaiThu_TuoiNoKH[Tuổi nợ]&gt;Table_PhaiThu_DuPhong[[#This Row],[Tuổi nợ min]])
)),0)*Table_PhaiThu_DuPhong[[#This Row],[Tỷ lệ dự phòng]],
IFERROR(
SUM(_xlfn._xlws.FILTER(Table_PhaiThu_TuoiNoKH[Giá trị nợ],
(Table_PhaiThu_TuoiNoKH[Tuổi nợ]&gt;Table_PhaiThu_DuPhong[[#This Row],[Tuổi nợ min]]) *
(Table_PhaiThu_TuoiNoKH[Tuổi nợ]&lt;=Table_PhaiThu_DuPhong[[#This Row],[Tuổi nợ max]])
)),0)*Table_PhaiThu_DuPhong[[#This Row],[Tỷ lệ dự phòng]])</f>
        <v>108071.35</v>
      </c>
      <c r="AN24" s="41">
        <v>45796</v>
      </c>
      <c r="AO24" s="30">
        <v>45796</v>
      </c>
      <c r="AP24" s="4" cm="1">
        <f t="array" ref="AP24" xml:space="preserve">
IF(Table_PhaiThu_TuoiNoKH[[#This Row],[Ngày phát sinh]]&gt;NoXau_NgayTheoDoi,0,
MAX(0,
IFERROR(
SUM(_xlfn._xlws.FILTER(Table_ThuChiKD[Giá trị GD],
(Table_ThuChiKD[Đối tác] = NoXau_MaKH) *
(Table_ThuChiKD[Loại GD] = "Phát sinh phải thu / Chi tiền")*
(Table_ThuChiKD[Ngày GD] &lt;= Table_PhaiThu_TuoiNoKH[[#This Row],[Ngày phát sinh]])
))- NoXau_NhanThanhToan,0)))</f>
        <v>0</v>
      </c>
      <c r="AQ24" s="4">
        <f>IF(Table_PhaiThu_TuoiNoKH[[#This Row],[Giá trị nợ]] =0, 0, NoXau_NgayTheoDoi-Table_PhaiThu_TuoiNoKH[[#This Row],[Ngày phát sinh]])</f>
        <v>0</v>
      </c>
      <c r="AS24" s="31">
        <v>45747</v>
      </c>
      <c r="AT24" s="1" t="s">
        <v>46</v>
      </c>
      <c r="AU24" s="40" cm="1">
        <f t="array" ref="AU24">IFERROR(
SUM(_xlfn._xlws.FILTER(Table_ThuChiKD[Giá trị GD],
(Table_ThuChiKD[Đối tác]=Table_DuPhong[[#This Row],[Đối tác]])*
(Table_ThuChiKD[Loại GD]="Phát sinh phải thu / Chi tiền")*
(Table_ThuChiKD[Ngày GD]&lt;=Table_DuPhong[[#This Row],[Ngày dự phòng]])
)),0)
-IFERROR(
SUM(_xlfn._xlws.FILTER(Table_ThuChiKD[Giá trị GD],
(Table_ThuChiKD[Đối tác]=Table_DuPhong[[#This Row],[Đối tác]])*
(Table_ThuChiKD[Loại GD]="Phát sinh phải trả / Thu tiền")*
(Table_ThuChiKD[Ngày GD]&lt;=Table_DuPhong[[#This Row],[Ngày dự phòng]])
)),0)</f>
        <v>1934814</v>
      </c>
      <c r="AV24" s="3"/>
      <c r="AW24" s="42">
        <f>Table_DuPhong[[#This Row],[Dự phòng]]/Table_DuPhong[[#This Row],[Giá trị nợ]]</f>
        <v>0</v>
      </c>
      <c r="AY24" s="30">
        <v>45807</v>
      </c>
      <c r="AZ24" s="35" t="s">
        <v>42</v>
      </c>
      <c r="BA24" s="35" t="s">
        <v>49</v>
      </c>
      <c r="BB24" s="36">
        <v>348662</v>
      </c>
    </row>
    <row r="25" spans="2:54" ht="16.5" x14ac:dyDescent="0.3">
      <c r="B25" s="44">
        <v>45777</v>
      </c>
      <c r="C25">
        <v>308313.05000000005</v>
      </c>
      <c r="D25">
        <v>255621.30000000002</v>
      </c>
      <c r="E25">
        <v>0</v>
      </c>
      <c r="F25">
        <v>403598.5</v>
      </c>
      <c r="R25" s="44">
        <v>45747</v>
      </c>
      <c r="S25" s="45">
        <v>7.1944297535864066E-2</v>
      </c>
      <c r="T25" s="45">
        <v>0</v>
      </c>
      <c r="U25" s="45">
        <v>1.9116216436399883E-2</v>
      </c>
      <c r="V25" s="45">
        <v>1.8900296319265954E-2</v>
      </c>
      <c r="W25"/>
      <c r="X25" s="45"/>
      <c r="Y25" s="45"/>
      <c r="Z25" s="45"/>
      <c r="AA25" s="45"/>
      <c r="AB25" s="45"/>
      <c r="AC25" s="45"/>
      <c r="AD25" s="45"/>
      <c r="AE25" s="45"/>
      <c r="AF25" s="45"/>
      <c r="AG25" s="45"/>
      <c r="AI25" s="3">
        <v>30</v>
      </c>
      <c r="AJ25" s="3">
        <v>60</v>
      </c>
      <c r="AK25" s="32">
        <v>0.1</v>
      </c>
      <c r="AL25" s="4" cm="1">
        <f t="array" ref="AL25" xml:space="preserve">
IF(ISBLANK(Table_PhaiThu_DuPhong[[#This Row],[Tuổi nợ max]]),
IFERROR(
SUM(_xlfn._xlws.FILTER(Table_PhaiThu_TuoiNoKH[Giá trị nợ],
(Table_PhaiThu_TuoiNoKH[Tuổi nợ]&gt;Table_PhaiThu_DuPhong[[#This Row],[Tuổi nợ min]])
)),0)*Table_PhaiThu_DuPhong[[#This Row],[Tỷ lệ dự phòng]],
IFERROR(
SUM(_xlfn._xlws.FILTER(Table_PhaiThu_TuoiNoKH[Giá trị nợ],
(Table_PhaiThu_TuoiNoKH[Tuổi nợ]&gt;Table_PhaiThu_DuPhong[[#This Row],[Tuổi nợ min]]) *
(Table_PhaiThu_TuoiNoKH[Tuổi nợ]&lt;=Table_PhaiThu_DuPhong[[#This Row],[Tuổi nợ max]])
)),0)*Table_PhaiThu_DuPhong[[#This Row],[Tỷ lệ dự phòng]])</f>
        <v>200241.7</v>
      </c>
      <c r="AN25" s="41">
        <v>45772</v>
      </c>
      <c r="AO25" s="30">
        <v>45772</v>
      </c>
      <c r="AP25" s="4" cm="1">
        <f t="array" ref="AP25" xml:space="preserve">
IF(Table_PhaiThu_TuoiNoKH[[#This Row],[Ngày phát sinh]]&gt;NoXau_NgayTheoDoi,0,
MAX(0,
IFERROR(
SUM(_xlfn._xlws.FILTER(Table_ThuChiKD[Giá trị GD],
(Table_ThuChiKD[Đối tác] = NoXau_MaKH) *
(Table_ThuChiKD[Loại GD] = "Phát sinh phải thu / Chi tiền")*
(Table_ThuChiKD[Ngày GD] &lt;= Table_PhaiThu_TuoiNoKH[[#This Row],[Ngày phát sinh]])
))- NoXau_NhanThanhToan,0)))</f>
        <v>2441041</v>
      </c>
      <c r="AQ25" s="4">
        <f>IF(Table_PhaiThu_TuoiNoKH[[#This Row],[Giá trị nợ]] =0, 0, NoXau_NgayTheoDoi-Table_PhaiThu_TuoiNoKH[[#This Row],[Ngày phát sinh]])</f>
        <v>5</v>
      </c>
      <c r="AS25" s="31">
        <v>45747</v>
      </c>
      <c r="AT25" s="1" t="s">
        <v>47</v>
      </c>
      <c r="AU25" s="40" cm="1">
        <f t="array" ref="AU25">IFERROR(
SUM(_xlfn._xlws.FILTER(Table_ThuChiKD[Giá trị GD],
(Table_ThuChiKD[Đối tác]=Table_DuPhong[[#This Row],[Đối tác]])*
(Table_ThuChiKD[Loại GD]="Phát sinh phải thu / Chi tiền")*
(Table_ThuChiKD[Ngày GD]&lt;=Table_DuPhong[[#This Row],[Ngày dự phòng]])
)),0)
-IFERROR(
SUM(_xlfn._xlws.FILTER(Table_ThuChiKD[Giá trị GD],
(Table_ThuChiKD[Đối tác]=Table_DuPhong[[#This Row],[Đối tác]])*
(Table_ThuChiKD[Loại GD]="Phát sinh phải trả / Thu tiền")*
(Table_ThuChiKD[Ngày GD]&lt;=Table_DuPhong[[#This Row],[Ngày dự phòng]])
)),0)</f>
        <v>834684</v>
      </c>
      <c r="AV25" s="3">
        <v>15956</v>
      </c>
      <c r="AW25" s="42">
        <f>Table_DuPhong[[#This Row],[Dự phòng]]/Table_DuPhong[[#This Row],[Giá trị nợ]]</f>
        <v>1.9116216436399883E-2</v>
      </c>
      <c r="AY25" s="30">
        <v>45806</v>
      </c>
      <c r="AZ25" s="35" t="s">
        <v>45</v>
      </c>
      <c r="BA25" s="35" t="s">
        <v>46</v>
      </c>
      <c r="BB25" s="36">
        <v>883063</v>
      </c>
    </row>
    <row r="26" spans="2:54" ht="16.5" x14ac:dyDescent="0.3">
      <c r="B26" s="44">
        <v>45808</v>
      </c>
      <c r="C26">
        <v>295334.45</v>
      </c>
      <c r="D26">
        <v>50476.35</v>
      </c>
      <c r="E26">
        <v>146809.5</v>
      </c>
      <c r="F26">
        <v>833032.05</v>
      </c>
      <c r="R26" s="44">
        <v>45777</v>
      </c>
      <c r="S26" s="45">
        <v>0.1263039211549499</v>
      </c>
      <c r="T26" s="45">
        <v>0.1816401678397209</v>
      </c>
      <c r="U26" s="45">
        <v>0</v>
      </c>
      <c r="V26" s="45">
        <v>0.17730126786692516</v>
      </c>
      <c r="W26"/>
      <c r="X26" s="45"/>
      <c r="Y26" s="45"/>
      <c r="Z26" s="45"/>
      <c r="AA26" s="45"/>
      <c r="AB26" s="45"/>
      <c r="AC26" s="45"/>
      <c r="AD26" s="45"/>
      <c r="AE26" s="45"/>
      <c r="AF26" s="45"/>
      <c r="AG26" s="45"/>
      <c r="AI26" s="3">
        <v>60</v>
      </c>
      <c r="AJ26" s="3"/>
      <c r="AK26" s="32">
        <v>0.15</v>
      </c>
      <c r="AL26" s="4" cm="1">
        <f t="array" ref="AL26" xml:space="preserve">
IF(ISBLANK(Table_PhaiThu_DuPhong[[#This Row],[Tuổi nợ max]]),
IFERROR(
SUM(_xlfn._xlws.FILTER(Table_PhaiThu_TuoiNoKH[Giá trị nợ],
(Table_PhaiThu_TuoiNoKH[Tuổi nợ]&gt;Table_PhaiThu_DuPhong[[#This Row],[Tuổi nợ min]])
)),0)*Table_PhaiThu_DuPhong[[#This Row],[Tỷ lệ dự phòng]],
IFERROR(
SUM(_xlfn._xlws.FILTER(Table_PhaiThu_TuoiNoKH[Giá trị nợ],
(Table_PhaiThu_TuoiNoKH[Tuổi nợ]&gt;Table_PhaiThu_DuPhong[[#This Row],[Tuổi nợ min]]) *
(Table_PhaiThu_TuoiNoKH[Tuổi nợ]&lt;=Table_PhaiThu_DuPhong[[#This Row],[Tuổi nợ max]])
)),0)*Table_PhaiThu_DuPhong[[#This Row],[Tỷ lệ dự phòng]])</f>
        <v>0</v>
      </c>
      <c r="AN26" s="41">
        <v>45748</v>
      </c>
      <c r="AO26" s="30">
        <v>45748</v>
      </c>
      <c r="AP26" s="4" cm="1">
        <f t="array" ref="AP26" xml:space="preserve">
IF(Table_PhaiThu_TuoiNoKH[[#This Row],[Ngày phát sinh]]&gt;NoXau_NgayTheoDoi,0,
MAX(0,
IFERROR(
SUM(_xlfn._xlws.FILTER(Table_ThuChiKD[Giá trị GD],
(Table_ThuChiKD[Đối tác] = NoXau_MaKH) *
(Table_ThuChiKD[Loại GD] = "Phát sinh phải thu / Chi tiền")*
(Table_ThuChiKD[Ngày GD] &lt;= Table_PhaiThu_TuoiNoKH[[#This Row],[Ngày phát sinh]])
))- NoXau_NhanThanhToan,0)))</f>
        <v>2161427</v>
      </c>
      <c r="AQ26" s="4">
        <f>IF(Table_PhaiThu_TuoiNoKH[[#This Row],[Giá trị nợ]] =0, 0, NoXau_NgayTheoDoi-Table_PhaiThu_TuoiNoKH[[#This Row],[Ngày phát sinh]])</f>
        <v>29</v>
      </c>
      <c r="AS26" s="31">
        <v>45747</v>
      </c>
      <c r="AT26" s="1" t="s">
        <v>48</v>
      </c>
      <c r="AU26" s="40" cm="1">
        <f t="array" ref="AU26">IFERROR(
SUM(_xlfn._xlws.FILTER(Table_ThuChiKD[Giá trị GD],
(Table_ThuChiKD[Đối tác]=Table_DuPhong[[#This Row],[Đối tác]])*
(Table_ThuChiKD[Loại GD]="Phát sinh phải thu / Chi tiền")*
(Table_ThuChiKD[Ngày GD]&lt;=Table_DuPhong[[#This Row],[Ngày dự phòng]])
)),0)
-IFERROR(
SUM(_xlfn._xlws.FILTER(Table_ThuChiKD[Giá trị GD],
(Table_ThuChiKD[Đối tác]=Table_DuPhong[[#This Row],[Đối tác]])*
(Table_ThuChiKD[Loại GD]="Phát sinh phải trả / Thu tiền")*
(Table_ThuChiKD[Ngày GD]&lt;=Table_DuPhong[[#This Row],[Ngày dự phòng]])
)),0)</f>
        <v>2076814</v>
      </c>
      <c r="AV26" s="3">
        <v>39252.400000000001</v>
      </c>
      <c r="AW26" s="42">
        <f>Table_DuPhong[[#This Row],[Dự phòng]]/Table_DuPhong[[#This Row],[Giá trị nợ]]</f>
        <v>1.8900296319265954E-2</v>
      </c>
      <c r="AY26" s="30">
        <v>45806</v>
      </c>
      <c r="AZ26" s="35" t="s">
        <v>42</v>
      </c>
      <c r="BA26" s="35" t="s">
        <v>48</v>
      </c>
      <c r="BB26" s="36">
        <v>755210</v>
      </c>
    </row>
    <row r="27" spans="2:54" ht="16.5" x14ac:dyDescent="0.3">
      <c r="B27" s="44" t="s">
        <v>51</v>
      </c>
      <c r="C27">
        <v>703768.35000000009</v>
      </c>
      <c r="D27">
        <v>306097.65000000002</v>
      </c>
      <c r="E27">
        <v>162765.5</v>
      </c>
      <c r="F27">
        <v>1275882.9500000002</v>
      </c>
      <c r="R27" s="44">
        <v>45808</v>
      </c>
      <c r="S27" s="45">
        <v>0.1227447095637024</v>
      </c>
      <c r="T27" s="45">
        <v>0.15</v>
      </c>
      <c r="U27" s="45">
        <v>8.488747932880783E-2</v>
      </c>
      <c r="V27" s="45">
        <v>0.21440290701654777</v>
      </c>
      <c r="W27"/>
      <c r="X27" s="45"/>
      <c r="Y27" s="45"/>
      <c r="Z27" s="45"/>
      <c r="AA27" s="45"/>
      <c r="AB27" s="45"/>
      <c r="AC27" s="45"/>
      <c r="AD27" s="45"/>
      <c r="AE27" s="45"/>
      <c r="AF27" s="45"/>
      <c r="AG27" s="45"/>
      <c r="AN27" s="41">
        <v>45728</v>
      </c>
      <c r="AO27" s="30">
        <v>45728</v>
      </c>
      <c r="AP27" s="4" cm="1">
        <f t="array" ref="AP27" xml:space="preserve">
IF(Table_PhaiThu_TuoiNoKH[[#This Row],[Ngày phát sinh]]&gt;NoXau_NgayTheoDoi,0,
MAX(0,
IFERROR(
SUM(_xlfn._xlws.FILTER(Table_ThuChiKD[Giá trị GD],
(Table_ThuChiKD[Đối tác] = NoXau_MaKH) *
(Table_ThuChiKD[Loại GD] = "Phát sinh phải thu / Chi tiền")*
(Table_ThuChiKD[Ngày GD] &lt;= Table_PhaiThu_TuoiNoKH[[#This Row],[Ngày phát sinh]])
))- NoXau_NhanThanhToan,0)))</f>
        <v>1391644</v>
      </c>
      <c r="AQ27" s="4">
        <f>IF(Table_PhaiThu_TuoiNoKH[[#This Row],[Giá trị nợ]] =0, 0, NoXau_NgayTheoDoi-Table_PhaiThu_TuoiNoKH[[#This Row],[Ngày phát sinh]])</f>
        <v>49</v>
      </c>
      <c r="AS27" s="31">
        <v>45777</v>
      </c>
      <c r="AT27" s="1" t="s">
        <v>49</v>
      </c>
      <c r="AU27" s="40" cm="1">
        <f t="array" ref="AU27">IFERROR(
SUM(_xlfn._xlws.FILTER(Table_ThuChiKD[Giá trị GD],
(Table_ThuChiKD[Đối tác]=Table_DuPhong[[#This Row],[Đối tác]])*
(Table_ThuChiKD[Loại GD]="Phát sinh phải thu / Chi tiền")*
(Table_ThuChiKD[Ngày GD]&lt;=Table_DuPhong[[#This Row],[Ngày dự phòng]])
)),0)
-IFERROR(
SUM(_xlfn._xlws.FILTER(Table_ThuChiKD[Giá trị GD],
(Table_ThuChiKD[Đối tác]=Table_DuPhong[[#This Row],[Đối tác]])*
(Table_ThuChiKD[Loại GD]="Phát sinh phải trả / Thu tiền")*
(Table_ThuChiKD[Ngày GD]&lt;=Table_DuPhong[[#This Row],[Ngày dự phòng]])
)),0)</f>
        <v>2441041</v>
      </c>
      <c r="AV27" s="3">
        <v>308313.05000000005</v>
      </c>
      <c r="AW27" s="42">
        <f>Table_DuPhong[[#This Row],[Dự phòng]]/Table_DuPhong[[#This Row],[Giá trị nợ]]</f>
        <v>0.1263039211549499</v>
      </c>
      <c r="AY27" s="30">
        <v>45802</v>
      </c>
      <c r="AZ27" s="35" t="s">
        <v>45</v>
      </c>
      <c r="BA27" s="35" t="s">
        <v>49</v>
      </c>
      <c r="BB27" s="36">
        <v>870450</v>
      </c>
    </row>
    <row r="28" spans="2:54" ht="16.5" x14ac:dyDescent="0.3">
      <c r="B28"/>
      <c r="C28"/>
      <c r="D28"/>
      <c r="R28" s="44" t="s">
        <v>51</v>
      </c>
      <c r="S28" s="45">
        <v>0.32099292825451636</v>
      </c>
      <c r="T28" s="45">
        <v>0.33164016783972089</v>
      </c>
      <c r="U28" s="45">
        <v>0.10400369576520771</v>
      </c>
      <c r="V28" s="45">
        <v>0.41060447120273891</v>
      </c>
      <c r="W28"/>
      <c r="X28" s="45"/>
      <c r="Y28" s="45"/>
      <c r="Z28" s="45"/>
      <c r="AA28" s="45"/>
      <c r="AB28" s="45"/>
      <c r="AC28" s="45"/>
      <c r="AD28" s="45"/>
      <c r="AE28" s="45"/>
      <c r="AF28" s="45"/>
      <c r="AG28" s="45"/>
      <c r="AN28" s="41">
        <v>45720</v>
      </c>
      <c r="AO28" s="30">
        <v>45720</v>
      </c>
      <c r="AP28" s="4" cm="1">
        <f t="array" ref="AP28" xml:space="preserve">
IF(Table_PhaiThu_TuoiNoKH[[#This Row],[Ngày phát sinh]]&gt;NoXau_NgayTheoDoi,0,
MAX(0,
IFERROR(
SUM(_xlfn._xlws.FILTER(Table_ThuChiKD[Giá trị GD],
(Table_ThuChiKD[Đối tác] = NoXau_MaKH) *
(Table_ThuChiKD[Loại GD] = "Phát sinh phải thu / Chi tiền")*
(Table_ThuChiKD[Ngày GD] &lt;= Table_PhaiThu_TuoiNoKH[[#This Row],[Ngày phát sinh]])
))- NoXau_NhanThanhToan,0)))</f>
        <v>610773</v>
      </c>
      <c r="AQ28" s="4">
        <f>IF(Table_PhaiThu_TuoiNoKH[[#This Row],[Giá trị nợ]] =0, 0, NoXau_NgayTheoDoi-Table_PhaiThu_TuoiNoKH[[#This Row],[Ngày phát sinh]])</f>
        <v>57</v>
      </c>
      <c r="AS28" s="31">
        <v>45777</v>
      </c>
      <c r="AT28" s="1" t="s">
        <v>46</v>
      </c>
      <c r="AU28" s="40" cm="1">
        <f t="array" ref="AU28">IFERROR(
SUM(_xlfn._xlws.FILTER(Table_ThuChiKD[Giá trị GD],
(Table_ThuChiKD[Đối tác]=Table_DuPhong[[#This Row],[Đối tác]])*
(Table_ThuChiKD[Loại GD]="Phát sinh phải thu / Chi tiền")*
(Table_ThuChiKD[Ngày GD]&lt;=Table_DuPhong[[#This Row],[Ngày dự phòng]])
)),0)
-IFERROR(
SUM(_xlfn._xlws.FILTER(Table_ThuChiKD[Giá trị GD],
(Table_ThuChiKD[Đối tác]=Table_DuPhong[[#This Row],[Đối tác]])*
(Table_ThuChiKD[Loại GD]="Phát sinh phải trả / Thu tiền")*
(Table_ThuChiKD[Ngày GD]&lt;=Table_DuPhong[[#This Row],[Ngày dự phòng]])
)),0)</f>
        <v>1407295</v>
      </c>
      <c r="AV28" s="3">
        <v>255621.30000000002</v>
      </c>
      <c r="AW28" s="42">
        <f>Table_DuPhong[[#This Row],[Dự phòng]]/Table_DuPhong[[#This Row],[Giá trị nợ]]</f>
        <v>0.1816401678397209</v>
      </c>
      <c r="AY28" s="30">
        <v>45801</v>
      </c>
      <c r="AZ28" s="35" t="s">
        <v>45</v>
      </c>
      <c r="BA28" s="35" t="s">
        <v>49</v>
      </c>
      <c r="BB28" s="36">
        <v>197147</v>
      </c>
    </row>
    <row r="29" spans="2:54" ht="16.5" x14ac:dyDescent="0.3">
      <c r="B29"/>
      <c r="C29"/>
      <c r="D29"/>
      <c r="R29"/>
      <c r="S29"/>
      <c r="T29"/>
      <c r="AO29" s="30"/>
      <c r="AP29" s="4" cm="1">
        <f t="array" ref="AP29" xml:space="preserve">
IF(Table_PhaiThu_TuoiNoKH[[#This Row],[Ngày phát sinh]]&gt;NoXau_NgayTheoDoi,0,
MAX(0,
IFERROR(
SUM(_xlfn._xlws.FILTER(Table_ThuChiKD[Giá trị GD],
(Table_ThuChiKD[Đối tác] = NoXau_MaKH) *
(Table_ThuChiKD[Loại GD] = "Phát sinh phải thu / Chi tiền")*
(Table_ThuChiKD[Ngày GD] &lt;= Table_PhaiThu_TuoiNoKH[[#This Row],[Ngày phát sinh]])
))- NoXau_NhanThanhToan,0)))</f>
        <v>0</v>
      </c>
      <c r="AQ29" s="4">
        <f>IF(Table_PhaiThu_TuoiNoKH[[#This Row],[Giá trị nợ]] =0, 0, NoXau_NgayTheoDoi-Table_PhaiThu_TuoiNoKH[[#This Row],[Ngày phát sinh]])</f>
        <v>0</v>
      </c>
      <c r="AS29" s="31">
        <v>45777</v>
      </c>
      <c r="AT29" s="1" t="s">
        <v>47</v>
      </c>
      <c r="AU29" s="40" cm="1">
        <f t="array" ref="AU29">IFERROR(
SUM(_xlfn._xlws.FILTER(Table_ThuChiKD[Giá trị GD],
(Table_ThuChiKD[Đối tác]=Table_DuPhong[[#This Row],[Đối tác]])*
(Table_ThuChiKD[Loại GD]="Phát sinh phải thu / Chi tiền")*
(Table_ThuChiKD[Ngày GD]&lt;=Table_DuPhong[[#This Row],[Ngày dự phòng]])
)),0)
-IFERROR(
SUM(_xlfn._xlws.FILTER(Table_ThuChiKD[Giá trị GD],
(Table_ThuChiKD[Đối tác]=Table_DuPhong[[#This Row],[Đối tác]])*
(Table_ThuChiKD[Loại GD]="Phát sinh phải trả / Thu tiền")*
(Table_ThuChiKD[Ngày GD]&lt;=Table_DuPhong[[#This Row],[Ngày dự phòng]])
)),0)</f>
        <v>1918396</v>
      </c>
      <c r="AV29" s="3">
        <v>0</v>
      </c>
      <c r="AW29" s="42">
        <f>Table_DuPhong[[#This Row],[Dự phòng]]/Table_DuPhong[[#This Row],[Giá trị nợ]]</f>
        <v>0</v>
      </c>
      <c r="AY29" s="30">
        <v>45799</v>
      </c>
      <c r="AZ29" s="35" t="s">
        <v>45</v>
      </c>
      <c r="BA29" s="35" t="s">
        <v>47</v>
      </c>
      <c r="BB29" s="36">
        <v>243906</v>
      </c>
    </row>
    <row r="30" spans="2:54" ht="16.5" x14ac:dyDescent="0.3">
      <c r="B30"/>
      <c r="C30"/>
      <c r="D30"/>
      <c r="R30"/>
      <c r="S30"/>
      <c r="T30"/>
      <c r="AS30" s="31">
        <v>45777</v>
      </c>
      <c r="AT30" s="1" t="s">
        <v>48</v>
      </c>
      <c r="AU30" s="40" cm="1">
        <f t="array" ref="AU30">IFERROR(
SUM(_xlfn._xlws.FILTER(Table_ThuChiKD[Giá trị GD],
(Table_ThuChiKD[Đối tác]=Table_DuPhong[[#This Row],[Đối tác]])*
(Table_ThuChiKD[Loại GD]="Phát sinh phải thu / Chi tiền")*
(Table_ThuChiKD[Ngày GD]&lt;=Table_DuPhong[[#This Row],[Ngày dự phòng]])
)),0)
-IFERROR(
SUM(_xlfn._xlws.FILTER(Table_ThuChiKD[Giá trị GD],
(Table_ThuChiKD[Đối tác]=Table_DuPhong[[#This Row],[Đối tác]])*
(Table_ThuChiKD[Loại GD]="Phát sinh phải trả / Thu tiền")*
(Table_ThuChiKD[Ngày GD]&lt;=Table_DuPhong[[#This Row],[Ngày dự phòng]])
)),0)</f>
        <v>2276343</v>
      </c>
      <c r="AV30" s="3">
        <v>403598.5</v>
      </c>
      <c r="AW30" s="42">
        <f>Table_DuPhong[[#This Row],[Dự phòng]]/Table_DuPhong[[#This Row],[Giá trị nợ]]</f>
        <v>0.17730126786692516</v>
      </c>
      <c r="AY30" s="30">
        <v>45799</v>
      </c>
      <c r="AZ30" s="35" t="s">
        <v>42</v>
      </c>
      <c r="BA30" s="35" t="s">
        <v>47</v>
      </c>
      <c r="BB30" s="36">
        <v>504868</v>
      </c>
    </row>
    <row r="31" spans="2:54" ht="16.5" x14ac:dyDescent="0.3">
      <c r="B31"/>
      <c r="C31"/>
      <c r="D31"/>
      <c r="R31"/>
      <c r="S31"/>
      <c r="T31"/>
      <c r="AS31" s="31">
        <v>45808</v>
      </c>
      <c r="AT31" s="1" t="s">
        <v>49</v>
      </c>
      <c r="AU31" s="40" cm="1">
        <f t="array" ref="AU31">IFERROR(
SUM(_xlfn._xlws.FILTER(Table_ThuChiKD[Giá trị GD],
(Table_ThuChiKD[Đối tác]=Table_DuPhong[[#This Row],[Đối tác]])*
(Table_ThuChiKD[Loại GD]="Phát sinh phải thu / Chi tiền")*
(Table_ThuChiKD[Ngày GD]&lt;=Table_DuPhong[[#This Row],[Ngày dự phòng]])
)),0)
-IFERROR(
SUM(_xlfn._xlws.FILTER(Table_ThuChiKD[Giá trị GD],
(Table_ThuChiKD[Đối tác]=Table_DuPhong[[#This Row],[Đối tác]])*
(Table_ThuChiKD[Loại GD]="Phát sinh phải trả / Thu tiền")*
(Table_ThuChiKD[Ngày GD]&lt;=Table_DuPhong[[#This Row],[Ngày dự phòng]])
)),0)</f>
        <v>2406087</v>
      </c>
      <c r="AV31" s="3">
        <v>295334.45</v>
      </c>
      <c r="AW31" s="42">
        <f>Table_DuPhong[[#This Row],[Dự phòng]]/Table_DuPhong[[#This Row],[Giá trị nợ]]</f>
        <v>0.1227447095637024</v>
      </c>
      <c r="AY31" s="30">
        <v>45797</v>
      </c>
      <c r="AZ31" s="35" t="s">
        <v>45</v>
      </c>
      <c r="BA31" s="35" t="s">
        <v>47</v>
      </c>
      <c r="BB31" s="36">
        <v>449898</v>
      </c>
    </row>
    <row r="32" spans="2:54" ht="16.5" x14ac:dyDescent="0.3">
      <c r="B32"/>
      <c r="C32"/>
      <c r="D32"/>
      <c r="R32"/>
      <c r="S32"/>
      <c r="T32"/>
      <c r="AS32" s="31">
        <v>45808</v>
      </c>
      <c r="AT32" s="1" t="s">
        <v>46</v>
      </c>
      <c r="AU32" s="40" cm="1">
        <f t="array" ref="AU32">IFERROR(
SUM(_xlfn._xlws.FILTER(Table_ThuChiKD[Giá trị GD],
(Table_ThuChiKD[Đối tác]=Table_DuPhong[[#This Row],[Đối tác]])*
(Table_ThuChiKD[Loại GD]="Phát sinh phải thu / Chi tiền")*
(Table_ThuChiKD[Ngày GD]&lt;=Table_DuPhong[[#This Row],[Ngày dự phòng]])
)),0)
-IFERROR(
SUM(_xlfn._xlws.FILTER(Table_ThuChiKD[Giá trị GD],
(Table_ThuChiKD[Đối tác]=Table_DuPhong[[#This Row],[Đối tác]])*
(Table_ThuChiKD[Loại GD]="Phát sinh phải trả / Thu tiền")*
(Table_ThuChiKD[Ngày GD]&lt;=Table_DuPhong[[#This Row],[Ngày dự phòng]])
)),0)</f>
        <v>336509</v>
      </c>
      <c r="AV32" s="3">
        <v>50476.35</v>
      </c>
      <c r="AW32" s="42">
        <f>Table_DuPhong[[#This Row],[Dự phòng]]/Table_DuPhong[[#This Row],[Giá trị nợ]]</f>
        <v>0.15</v>
      </c>
      <c r="AY32" s="30">
        <v>45796</v>
      </c>
      <c r="AZ32" s="35" t="s">
        <v>42</v>
      </c>
      <c r="BA32" s="35" t="s">
        <v>49</v>
      </c>
      <c r="BB32" s="36">
        <v>683981</v>
      </c>
    </row>
    <row r="33" spans="2:54" ht="16.5" x14ac:dyDescent="0.3">
      <c r="B33"/>
      <c r="C33"/>
      <c r="D33"/>
      <c r="R33"/>
      <c r="S33"/>
      <c r="T33"/>
      <c r="AS33" s="31">
        <v>45808</v>
      </c>
      <c r="AT33" s="1" t="s">
        <v>47</v>
      </c>
      <c r="AU33" s="40" cm="1">
        <f t="array" ref="AU33">IFERROR(
SUM(_xlfn._xlws.FILTER(Table_ThuChiKD[Giá trị GD],
(Table_ThuChiKD[Đối tác]=Table_DuPhong[[#This Row],[Đối tác]])*
(Table_ThuChiKD[Loại GD]="Phát sinh phải thu / Chi tiền")*
(Table_ThuChiKD[Ngày GD]&lt;=Table_DuPhong[[#This Row],[Ngày dự phòng]])
)),0)
-IFERROR(
SUM(_xlfn._xlws.FILTER(Table_ThuChiKD[Giá trị GD],
(Table_ThuChiKD[Đối tác]=Table_DuPhong[[#This Row],[Đối tác]])*
(Table_ThuChiKD[Loại GD]="Phát sinh phải trả / Thu tiền")*
(Table_ThuChiKD[Ngày GD]&lt;=Table_DuPhong[[#This Row],[Ngày dự phòng]])
)),0)</f>
        <v>1729460</v>
      </c>
      <c r="AV33" s="3">
        <v>146809.5</v>
      </c>
      <c r="AW33" s="42">
        <f>Table_DuPhong[[#This Row],[Dự phòng]]/Table_DuPhong[[#This Row],[Giá trị nợ]]</f>
        <v>8.488747932880783E-2</v>
      </c>
      <c r="AY33" s="30">
        <v>45793</v>
      </c>
      <c r="AZ33" s="35" t="s">
        <v>42</v>
      </c>
      <c r="BA33" s="35" t="s">
        <v>48</v>
      </c>
      <c r="BB33" s="36">
        <v>853805</v>
      </c>
    </row>
    <row r="34" spans="2:54" ht="16.5" x14ac:dyDescent="0.3">
      <c r="B34"/>
      <c r="C34"/>
      <c r="D34"/>
      <c r="R34"/>
      <c r="S34"/>
      <c r="T34"/>
      <c r="AS34" s="31">
        <v>45808</v>
      </c>
      <c r="AT34" s="1" t="s">
        <v>48</v>
      </c>
      <c r="AU34" s="40" cm="1">
        <f t="array" ref="AU34">IFERROR(
SUM(_xlfn._xlws.FILTER(Table_ThuChiKD[Giá trị GD],
(Table_ThuChiKD[Đối tác]=Table_DuPhong[[#This Row],[Đối tác]])*
(Table_ThuChiKD[Loại GD]="Phát sinh phải thu / Chi tiền")*
(Table_ThuChiKD[Ngày GD]&lt;=Table_DuPhong[[#This Row],[Ngày dự phòng]])
)),0)
-IFERROR(
SUM(_xlfn._xlws.FILTER(Table_ThuChiKD[Giá trị GD],
(Table_ThuChiKD[Đối tác]=Table_DuPhong[[#This Row],[Đối tác]])*
(Table_ThuChiKD[Loại GD]="Phát sinh phải trả / Thu tiền")*
(Table_ThuChiKD[Ngày GD]&lt;=Table_DuPhong[[#This Row],[Ngày dự phòng]])
)),0)</f>
        <v>3885358</v>
      </c>
      <c r="AV34" s="3">
        <v>833032.05</v>
      </c>
      <c r="AW34" s="42">
        <f>Table_DuPhong[[#This Row],[Dự phòng]]/Table_DuPhong[[#This Row],[Giá trị nợ]]</f>
        <v>0.21440290701654777</v>
      </c>
      <c r="AY34" s="30">
        <v>45777</v>
      </c>
      <c r="AZ34" s="35" t="s">
        <v>45</v>
      </c>
      <c r="BA34" s="35" t="s">
        <v>46</v>
      </c>
      <c r="BB34" s="36">
        <v>527519</v>
      </c>
    </row>
    <row r="35" spans="2:54" ht="16.5" x14ac:dyDescent="0.3">
      <c r="B35"/>
      <c r="C35"/>
      <c r="D35"/>
      <c r="R35"/>
      <c r="S35"/>
      <c r="T35"/>
      <c r="AY35" s="30">
        <v>45774</v>
      </c>
      <c r="AZ35" s="35" t="s">
        <v>42</v>
      </c>
      <c r="BA35" s="35" t="s">
        <v>47</v>
      </c>
      <c r="BB35" s="36">
        <v>981089</v>
      </c>
    </row>
    <row r="36" spans="2:54" ht="16.5" x14ac:dyDescent="0.3">
      <c r="B36"/>
      <c r="C36"/>
      <c r="D36"/>
      <c r="R36"/>
      <c r="S36"/>
      <c r="T36"/>
      <c r="AY36" s="30">
        <v>45773</v>
      </c>
      <c r="AZ36" s="35" t="s">
        <v>45</v>
      </c>
      <c r="BA36" s="35" t="s">
        <v>47</v>
      </c>
      <c r="BB36" s="36">
        <v>621625</v>
      </c>
    </row>
    <row r="37" spans="2:54" ht="16.5" x14ac:dyDescent="0.3">
      <c r="B37"/>
      <c r="C37"/>
      <c r="D37"/>
      <c r="R37"/>
      <c r="S37"/>
      <c r="T37"/>
      <c r="AY37" s="30">
        <v>45772</v>
      </c>
      <c r="AZ37" s="35" t="s">
        <v>42</v>
      </c>
      <c r="BA37" s="35" t="s">
        <v>49</v>
      </c>
      <c r="BB37" s="36">
        <v>279614</v>
      </c>
    </row>
    <row r="38" spans="2:54" ht="16.5" x14ac:dyDescent="0.3">
      <c r="B38"/>
      <c r="C38"/>
      <c r="D38"/>
      <c r="R38"/>
      <c r="S38"/>
      <c r="T38"/>
      <c r="AY38" s="30">
        <v>45772</v>
      </c>
      <c r="AZ38" s="35" t="s">
        <v>42</v>
      </c>
      <c r="BA38" s="35" t="s">
        <v>48</v>
      </c>
      <c r="BB38" s="36">
        <v>199529</v>
      </c>
    </row>
    <row r="39" spans="2:54" ht="16.5" x14ac:dyDescent="0.3">
      <c r="B39"/>
      <c r="C39"/>
      <c r="D39"/>
      <c r="R39"/>
      <c r="S39"/>
      <c r="T39"/>
      <c r="AY39" s="30">
        <v>45770</v>
      </c>
      <c r="AZ39" s="35" t="s">
        <v>42</v>
      </c>
      <c r="BA39" s="35" t="s">
        <v>47</v>
      </c>
      <c r="BB39" s="36">
        <v>753273</v>
      </c>
    </row>
    <row r="40" spans="2:54" ht="16.5" x14ac:dyDescent="0.3">
      <c r="R40"/>
      <c r="S40"/>
      <c r="T40"/>
      <c r="AY40" s="30">
        <v>45765</v>
      </c>
      <c r="AZ40" s="35" t="s">
        <v>42</v>
      </c>
      <c r="BA40" s="35" t="s">
        <v>47</v>
      </c>
      <c r="BB40" s="36">
        <v>344836</v>
      </c>
    </row>
    <row r="41" spans="2:54" ht="18" customHeight="1" x14ac:dyDescent="0.3">
      <c r="AY41" s="30">
        <v>45751</v>
      </c>
      <c r="AZ41" s="35" t="s">
        <v>45</v>
      </c>
      <c r="BA41" s="35" t="s">
        <v>47</v>
      </c>
      <c r="BB41" s="36">
        <v>373861</v>
      </c>
    </row>
    <row r="42" spans="2:54" ht="18" customHeight="1" x14ac:dyDescent="0.3">
      <c r="AY42" s="30">
        <v>45748</v>
      </c>
      <c r="AZ42" s="35" t="s">
        <v>42</v>
      </c>
      <c r="BA42" s="35" t="s">
        <v>49</v>
      </c>
      <c r="BB42" s="36">
        <v>769783</v>
      </c>
    </row>
    <row r="43" spans="2:54" ht="18" customHeight="1" x14ac:dyDescent="0.3">
      <c r="AY43" s="30">
        <v>45746</v>
      </c>
      <c r="AZ43" s="35" t="s">
        <v>42</v>
      </c>
      <c r="BA43" s="35" t="s">
        <v>46</v>
      </c>
      <c r="BB43" s="33">
        <v>449785</v>
      </c>
    </row>
    <row r="44" spans="2:54" ht="18" customHeight="1" x14ac:dyDescent="0.3">
      <c r="AY44" s="30">
        <v>45746</v>
      </c>
      <c r="AZ44" s="35" t="s">
        <v>42</v>
      </c>
      <c r="BA44" s="35" t="s">
        <v>48</v>
      </c>
      <c r="BB44" s="36">
        <v>902691</v>
      </c>
    </row>
    <row r="45" spans="2:54" ht="18" customHeight="1" x14ac:dyDescent="0.3">
      <c r="AY45" s="30">
        <v>45744</v>
      </c>
      <c r="AZ45" s="35" t="s">
        <v>45</v>
      </c>
      <c r="BA45" s="35" t="s">
        <v>46</v>
      </c>
      <c r="BB45" s="36">
        <v>516402</v>
      </c>
    </row>
    <row r="46" spans="2:54" ht="18" customHeight="1" x14ac:dyDescent="0.3">
      <c r="AY46" s="30">
        <v>45739</v>
      </c>
      <c r="AZ46" s="35" t="s">
        <v>42</v>
      </c>
      <c r="BA46" s="35" t="s">
        <v>47</v>
      </c>
      <c r="BB46" s="36">
        <v>515564</v>
      </c>
    </row>
    <row r="47" spans="2:54" ht="18" customHeight="1" x14ac:dyDescent="0.3">
      <c r="AY47" s="30">
        <v>45737</v>
      </c>
      <c r="AZ47" s="35" t="s">
        <v>42</v>
      </c>
      <c r="BA47" s="35" t="s">
        <v>46</v>
      </c>
      <c r="BB47" s="36">
        <v>766102</v>
      </c>
    </row>
    <row r="48" spans="2:54" ht="18" customHeight="1" x14ac:dyDescent="0.3">
      <c r="AY48" s="30">
        <v>45735</v>
      </c>
      <c r="AZ48" s="35" t="s">
        <v>42</v>
      </c>
      <c r="BA48" s="35" t="s">
        <v>46</v>
      </c>
      <c r="BB48" s="36">
        <v>791981</v>
      </c>
    </row>
    <row r="49" spans="51:54" ht="18" customHeight="1" x14ac:dyDescent="0.3">
      <c r="AY49" s="30">
        <v>45732</v>
      </c>
      <c r="AZ49" s="35" t="s">
        <v>42</v>
      </c>
      <c r="BA49" s="35" t="s">
        <v>48</v>
      </c>
      <c r="BB49" s="36">
        <v>389075</v>
      </c>
    </row>
    <row r="50" spans="51:54" ht="18" customHeight="1" x14ac:dyDescent="0.3">
      <c r="AY50" s="30">
        <v>45728</v>
      </c>
      <c r="AZ50" s="35" t="s">
        <v>42</v>
      </c>
      <c r="BA50" s="35" t="s">
        <v>49</v>
      </c>
      <c r="BB50" s="36">
        <v>780871</v>
      </c>
    </row>
    <row r="51" spans="51:54" ht="18" customHeight="1" x14ac:dyDescent="0.3">
      <c r="AY51" s="30">
        <v>45723</v>
      </c>
      <c r="AZ51" s="35" t="s">
        <v>42</v>
      </c>
      <c r="BA51" s="35" t="s">
        <v>46</v>
      </c>
      <c r="BB51" s="36">
        <v>852213</v>
      </c>
    </row>
    <row r="52" spans="51:54" ht="18" customHeight="1" x14ac:dyDescent="0.3">
      <c r="AY52" s="30">
        <v>45723</v>
      </c>
      <c r="AZ52" s="35" t="s">
        <v>42</v>
      </c>
      <c r="BA52" s="35" t="s">
        <v>48</v>
      </c>
      <c r="BB52" s="36">
        <v>888580</v>
      </c>
    </row>
    <row r="53" spans="51:54" ht="18" customHeight="1" x14ac:dyDescent="0.3">
      <c r="AY53" s="30">
        <v>45722</v>
      </c>
      <c r="AZ53" s="35" t="s">
        <v>42</v>
      </c>
      <c r="BA53" s="35" t="s">
        <v>47</v>
      </c>
      <c r="BB53" s="36">
        <v>319120</v>
      </c>
    </row>
    <row r="54" spans="51:54" ht="18" customHeight="1" x14ac:dyDescent="0.3">
      <c r="AY54" s="30">
        <v>45721</v>
      </c>
      <c r="AZ54" s="35" t="s">
        <v>45</v>
      </c>
      <c r="BA54" s="35" t="s">
        <v>48</v>
      </c>
      <c r="BB54" s="36">
        <v>366792</v>
      </c>
    </row>
    <row r="55" spans="51:54" ht="18" customHeight="1" x14ac:dyDescent="0.3">
      <c r="AY55" s="30">
        <v>45721</v>
      </c>
      <c r="AZ55" s="35" t="s">
        <v>45</v>
      </c>
      <c r="BA55" s="35" t="s">
        <v>46</v>
      </c>
      <c r="BB55" s="36">
        <v>408865</v>
      </c>
    </row>
    <row r="56" spans="51:54" ht="18" customHeight="1" x14ac:dyDescent="0.3">
      <c r="AY56" s="30">
        <v>45721</v>
      </c>
      <c r="AZ56" s="35" t="s">
        <v>45</v>
      </c>
      <c r="BA56" s="35" t="s">
        <v>49</v>
      </c>
      <c r="BB56" s="36">
        <v>252262</v>
      </c>
    </row>
    <row r="57" spans="51:54" ht="18" customHeight="1" x14ac:dyDescent="0.3">
      <c r="AY57" s="30">
        <v>45720</v>
      </c>
      <c r="AZ57" s="35" t="s">
        <v>42</v>
      </c>
      <c r="BA57" s="35" t="s">
        <v>49</v>
      </c>
      <c r="BB57" s="36">
        <v>863035</v>
      </c>
    </row>
    <row r="58" spans="51:54" ht="18" customHeight="1" x14ac:dyDescent="0.3">
      <c r="AY58" s="30">
        <v>45719</v>
      </c>
      <c r="AZ58" s="35" t="s">
        <v>42</v>
      </c>
      <c r="BA58" s="35" t="s">
        <v>48</v>
      </c>
      <c r="BB58" s="36">
        <v>263260</v>
      </c>
    </row>
  </sheetData>
  <sheetProtection algorithmName="SHA-512" hashValue="EYpvkUKqFNeVXxsy6BLPKfjyXIv38+bbbSGvg48SxXTp40Ox5DbMIJ2z7Fmas99dAY5+e2AIblfeNBhPkuhufg==" saltValue="VQ5+yeg0HluK/UTFugFkZg==" spinCount="100000" sheet="1" scenarios="1" formatCells="0" formatColumns="0" formatRows="0" autoFilter="0" pivotTables="0"/>
  <protectedRanges>
    <protectedRange sqref="AY22:BB23 AY24:AY58" name="Range1"/>
  </protectedRanges>
  <dataValidations count="2">
    <dataValidation type="list" errorStyle="warning" allowBlank="1" showInputMessage="1" sqref="BA23:BA58" xr:uid="{0C427107-9B71-4A30-BD23-D08FDBBAB6D1}">
      <formula1>_xlfn.ANCHORARRAY(#REF!)</formula1>
    </dataValidation>
    <dataValidation type="list" allowBlank="1" showInputMessage="1" showErrorMessage="1" sqref="AZ23:AZ58" xr:uid="{691D3E39-A59A-401F-8C2A-B74E0B3196AE}">
      <formula1>"Phát sinh phải thu / Chi tiền, Phát sinh phải trả / Thu tiền"</formula1>
    </dataValidation>
  </dataValidations>
  <pageMargins left="0.7" right="0.7" top="0.75" bottom="0.75" header="0.3" footer="0.3"/>
  <pageSetup paperSize="9" orientation="portrait" r:id="rId3"/>
  <drawing r:id="rId4"/>
  <legacyDrawing r:id="rId5"/>
  <mc:AlternateContent xmlns:mc="http://schemas.openxmlformats.org/markup-compatibility/2006">
    <mc:Choice Requires="x14">
      <controls>
        <mc:AlternateContent xmlns:mc="http://schemas.openxmlformats.org/markup-compatibility/2006">
          <mc:Choice Requires="x14">
            <control shapeId="53268" r:id="rId6" name="Option Button 20">
              <controlPr defaultSize="0" autoFill="0" autoLine="0" autoPict="0" macro="[0]!DoiDonViHienThi">
                <anchor moveWithCells="1">
                  <from>
                    <xdr:col>35</xdr:col>
                    <xdr:colOff>771525</xdr:colOff>
                    <xdr:row>0</xdr:row>
                    <xdr:rowOff>114300</xdr:rowOff>
                  </from>
                  <to>
                    <xdr:col>36</xdr:col>
                    <xdr:colOff>495300</xdr:colOff>
                    <xdr:row>1</xdr:row>
                    <xdr:rowOff>161925</xdr:rowOff>
                  </to>
                </anchor>
              </controlPr>
            </control>
          </mc:Choice>
        </mc:AlternateContent>
        <mc:AlternateContent xmlns:mc="http://schemas.openxmlformats.org/markup-compatibility/2006">
          <mc:Choice Requires="x14">
            <control shapeId="53269" r:id="rId7" name="Option Button 21">
              <controlPr defaultSize="0" autoFill="0" autoLine="0" autoPict="0" macro="[0]!DoiDonViHienThi">
                <anchor moveWithCells="1">
                  <from>
                    <xdr:col>36</xdr:col>
                    <xdr:colOff>371475</xdr:colOff>
                    <xdr:row>0</xdr:row>
                    <xdr:rowOff>114300</xdr:rowOff>
                  </from>
                  <to>
                    <xdr:col>36</xdr:col>
                    <xdr:colOff>962025</xdr:colOff>
                    <xdr:row>1</xdr:row>
                    <xdr:rowOff>161925</xdr:rowOff>
                  </to>
                </anchor>
              </controlPr>
            </control>
          </mc:Choice>
        </mc:AlternateContent>
        <mc:AlternateContent xmlns:mc="http://schemas.openxmlformats.org/markup-compatibility/2006">
          <mc:Choice Requires="x14">
            <control shapeId="53270" r:id="rId8" name="Option Button 22">
              <controlPr defaultSize="0" autoFill="0" autoLine="0" autoPict="0" macro="[0]!DoiDonViHienThi">
                <anchor moveWithCells="1">
                  <from>
                    <xdr:col>36</xdr:col>
                    <xdr:colOff>838200</xdr:colOff>
                    <xdr:row>0</xdr:row>
                    <xdr:rowOff>114300</xdr:rowOff>
                  </from>
                  <to>
                    <xdr:col>37</xdr:col>
                    <xdr:colOff>409575</xdr:colOff>
                    <xdr:row>1</xdr:row>
                    <xdr:rowOff>161925</xdr:rowOff>
                  </to>
                </anchor>
              </controlPr>
            </control>
          </mc:Choice>
        </mc:AlternateContent>
        <mc:AlternateContent xmlns:mc="http://schemas.openxmlformats.org/markup-compatibility/2006">
          <mc:Choice Requires="x14">
            <control shapeId="53271" r:id="rId9" name="Option Button 23">
              <controlPr defaultSize="0" autoFill="0" autoLine="0" autoPict="0" macro="[0]!DoiDonViHienThi">
                <anchor moveWithCells="1">
                  <from>
                    <xdr:col>37</xdr:col>
                    <xdr:colOff>295275</xdr:colOff>
                    <xdr:row>0</xdr:row>
                    <xdr:rowOff>114300</xdr:rowOff>
                  </from>
                  <to>
                    <xdr:col>37</xdr:col>
                    <xdr:colOff>647700</xdr:colOff>
                    <xdr:row>1</xdr:row>
                    <xdr:rowOff>161925</xdr:rowOff>
                  </to>
                </anchor>
              </controlPr>
            </control>
          </mc:Choice>
        </mc:AlternateContent>
        <mc:AlternateContent xmlns:mc="http://schemas.openxmlformats.org/markup-compatibility/2006">
          <mc:Choice Requires="x14">
            <control shapeId="53272" r:id="rId10" name="Group Box 24">
              <controlPr defaultSize="0" autoFill="0" autoPict="0">
                <anchor moveWithCells="1">
                  <from>
                    <xdr:col>35</xdr:col>
                    <xdr:colOff>657225</xdr:colOff>
                    <xdr:row>0</xdr:row>
                    <xdr:rowOff>66675</xdr:rowOff>
                  </from>
                  <to>
                    <xdr:col>37</xdr:col>
                    <xdr:colOff>762000</xdr:colOff>
                    <xdr:row>1</xdr:row>
                    <xdr:rowOff>200025</xdr:rowOff>
                  </to>
                </anchor>
              </controlPr>
            </control>
          </mc:Choice>
        </mc:AlternateContent>
        <mc:AlternateContent xmlns:mc="http://schemas.openxmlformats.org/markup-compatibility/2006">
          <mc:Choice Requires="x14">
            <control shapeId="53273" r:id="rId11" name="Group Box 25">
              <controlPr defaultSize="0" autoFill="0" autoPict="0">
                <anchor moveWithCells="1">
                  <from>
                    <xdr:col>34</xdr:col>
                    <xdr:colOff>9525</xdr:colOff>
                    <xdr:row>0</xdr:row>
                    <xdr:rowOff>66675</xdr:rowOff>
                  </from>
                  <to>
                    <xdr:col>35</xdr:col>
                    <xdr:colOff>609600</xdr:colOff>
                    <xdr:row>1</xdr:row>
                    <xdr:rowOff>200025</xdr:rowOff>
                  </to>
                </anchor>
              </controlPr>
            </control>
          </mc:Choice>
        </mc:AlternateContent>
        <mc:AlternateContent xmlns:mc="http://schemas.openxmlformats.org/markup-compatibility/2006">
          <mc:Choice Requires="x14">
            <control shapeId="53274" r:id="rId12" name="Button 26">
              <controlPr defaultSize="0" autoFill="0" autoPict="0" macro="[0]!NhanNghin">
                <anchor moveWithCells="1">
                  <from>
                    <xdr:col>34</xdr:col>
                    <xdr:colOff>95250</xdr:colOff>
                    <xdr:row>0</xdr:row>
                    <xdr:rowOff>161925</xdr:rowOff>
                  </from>
                  <to>
                    <xdr:col>34</xdr:col>
                    <xdr:colOff>561975</xdr:colOff>
                    <xdr:row>1</xdr:row>
                    <xdr:rowOff>104775</xdr:rowOff>
                  </to>
                </anchor>
              </controlPr>
            </control>
          </mc:Choice>
        </mc:AlternateContent>
        <mc:AlternateContent xmlns:mc="http://schemas.openxmlformats.org/markup-compatibility/2006">
          <mc:Choice Requires="x14">
            <control shapeId="53275" r:id="rId13" name="Button 27">
              <controlPr defaultSize="0" autoFill="0" autoPict="0" macro="[0]!NhanTrieu">
                <anchor moveWithCells="1">
                  <from>
                    <xdr:col>34</xdr:col>
                    <xdr:colOff>609600</xdr:colOff>
                    <xdr:row>0</xdr:row>
                    <xdr:rowOff>161925</xdr:rowOff>
                  </from>
                  <to>
                    <xdr:col>35</xdr:col>
                    <xdr:colOff>19050</xdr:colOff>
                    <xdr:row>1</xdr:row>
                    <xdr:rowOff>104775</xdr:rowOff>
                  </to>
                </anchor>
              </controlPr>
            </control>
          </mc:Choice>
        </mc:AlternateContent>
        <mc:AlternateContent xmlns:mc="http://schemas.openxmlformats.org/markup-compatibility/2006">
          <mc:Choice Requires="x14">
            <control shapeId="53276" r:id="rId14" name="Button 28">
              <controlPr defaultSize="0" autoFill="0" autoPict="0" macro="[0]!NhanTy">
                <anchor moveWithCells="1">
                  <from>
                    <xdr:col>35</xdr:col>
                    <xdr:colOff>66675</xdr:colOff>
                    <xdr:row>0</xdr:row>
                    <xdr:rowOff>161925</xdr:rowOff>
                  </from>
                  <to>
                    <xdr:col>35</xdr:col>
                    <xdr:colOff>533400</xdr:colOff>
                    <xdr:row>1</xdr:row>
                    <xdr:rowOff>104775</xdr:rowOff>
                  </to>
                </anchor>
              </controlPr>
            </control>
          </mc:Choice>
        </mc:AlternateContent>
        <mc:AlternateContent xmlns:mc="http://schemas.openxmlformats.org/markup-compatibility/2006">
          <mc:Choice Requires="x14">
            <control shapeId="53277" r:id="rId15" name="Button 29">
              <controlPr defaultSize="0" print="0" autoFill="0" autoPict="0" macro="[0]!AddRow">
                <anchor moveWithCells="1">
                  <from>
                    <xdr:col>40</xdr:col>
                    <xdr:colOff>85725</xdr:colOff>
                    <xdr:row>0</xdr:row>
                    <xdr:rowOff>114300</xdr:rowOff>
                  </from>
                  <to>
                    <xdr:col>40</xdr:col>
                    <xdr:colOff>523875</xdr:colOff>
                    <xdr:row>1</xdr:row>
                    <xdr:rowOff>142875</xdr:rowOff>
                  </to>
                </anchor>
              </controlPr>
            </control>
          </mc:Choice>
        </mc:AlternateContent>
        <mc:AlternateContent xmlns:mc="http://schemas.openxmlformats.org/markup-compatibility/2006">
          <mc:Choice Requires="x14">
            <control shapeId="53278" r:id="rId16" name="Button 30">
              <controlPr defaultSize="0" print="0" autoFill="0" autoPict="0" macro="[0]!DeleteRow">
                <anchor moveWithCells="1">
                  <from>
                    <xdr:col>40</xdr:col>
                    <xdr:colOff>552450</xdr:colOff>
                    <xdr:row>0</xdr:row>
                    <xdr:rowOff>114300</xdr:rowOff>
                  </from>
                  <to>
                    <xdr:col>41</xdr:col>
                    <xdr:colOff>0</xdr:colOff>
                    <xdr:row>1</xdr:row>
                    <xdr:rowOff>142875</xdr:rowOff>
                  </to>
                </anchor>
              </controlPr>
            </control>
          </mc:Choice>
        </mc:AlternateContent>
        <mc:AlternateContent xmlns:mc="http://schemas.openxmlformats.org/markup-compatibility/2006">
          <mc:Choice Requires="x14">
            <control shapeId="53281" r:id="rId17" name="Button 33">
              <controlPr defaultSize="0" print="0" autoFill="0" autoPict="0" macro="[0]!RefreshTables">
                <anchor moveWithCells="1">
                  <from>
                    <xdr:col>50</xdr:col>
                    <xdr:colOff>200025</xdr:colOff>
                    <xdr:row>0</xdr:row>
                    <xdr:rowOff>57150</xdr:rowOff>
                  </from>
                  <to>
                    <xdr:col>50</xdr:col>
                    <xdr:colOff>819150</xdr:colOff>
                    <xdr:row>1</xdr:row>
                    <xdr:rowOff>85725</xdr:rowOff>
                  </to>
                </anchor>
              </controlPr>
            </control>
          </mc:Choice>
        </mc:AlternateContent>
      </controls>
    </mc:Choice>
  </mc:AlternateContent>
  <tableParts count="4">
    <tablePart r:id="rId18"/>
    <tablePart r:id="rId19"/>
    <tablePart r:id="rId20"/>
    <tablePart r:id="rId21"/>
  </tableParts>
  <extLst>
    <ext xmlns:x14="http://schemas.microsoft.com/office/spreadsheetml/2009/9/main" uri="{78C0D931-6437-407d-A8EE-F0AAD7539E65}">
      <x14:conditionalFormattings>
        <x14:conditionalFormatting xmlns:xm="http://schemas.microsoft.com/office/excel/2006/main">
          <x14:cfRule type="expression" priority="8" id="{42BC291F-022E-461D-935C-1310A28B6F2A}">
            <xm:f>Security!$A$1="NO VBA"</xm:f>
            <x14:dxf>
              <font>
                <color theme="0"/>
              </font>
              <border>
                <vertical/>
                <horizontal/>
              </border>
            </x14:dxf>
          </x14:cfRule>
          <xm:sqref>AQ2 AO3:AQ20 AP23:AQ29 AO22:AQ22 AS21:AW21 BC22:XFD23 AY22:BB22 AZ23:BB58 AX59:XFD1048576 W29:AG1048576 AL23:AL26 AQ21 AO1:AQ1 AS1:AW1 AS2:AU20 AX22:AX58 AZ24:XFD58 AO24:AQ1048576 AT22:AW22 AS23:AW1048576 AI27:AL1048576 AI22:AL22 AI1:AL1 AM1:AN1048576 AR1:AR1048576 W1:AG24 AK3:AL21 AX1:XFD21</xm:sqref>
        </x14:conditionalFormatting>
        <x14:conditionalFormatting xmlns:xm="http://schemas.microsoft.com/office/excel/2006/main">
          <x14:cfRule type="expression" priority="7" id="{63193F11-22C5-4531-89EE-3BC0F3127578}">
            <xm:f>Security!$A$1="NO VBA"</xm:f>
            <x14:dxf>
              <font>
                <color theme="0"/>
              </font>
              <border>
                <vertical/>
                <horizontal/>
              </border>
            </x14:dxf>
          </x14:cfRule>
          <xm:sqref>AO23:AO29</xm:sqref>
        </x14:conditionalFormatting>
        <x14:conditionalFormatting xmlns:xm="http://schemas.microsoft.com/office/excel/2006/main">
          <x14:cfRule type="expression" priority="5" id="{25628A2B-664C-4689-9DFA-57A0C85DAEEA}">
            <xm:f>Security!$A$1="NO VBA"</xm:f>
            <x14:dxf>
              <font>
                <color theme="0"/>
              </font>
              <border>
                <vertical/>
                <horizontal/>
              </border>
            </x14:dxf>
          </x14:cfRule>
          <xm:sqref>AT1</xm:sqref>
        </x14:conditionalFormatting>
        <x14:conditionalFormatting xmlns:xm="http://schemas.microsoft.com/office/excel/2006/main">
          <x14:cfRule type="expression" priority="1" id="{F335FE83-3D4F-4EEF-8AF1-E69EB62A5050}">
            <xm:f>Security!$A$1="NO VBA"</xm:f>
            <x14:dxf>
              <font>
                <color theme="0"/>
              </font>
              <border>
                <vertical/>
                <horizontal/>
              </border>
            </x14:dxf>
          </x14:cfRule>
          <xm:sqref>AY23:AY58</xm:sqref>
        </x14:conditionalFormatting>
      </x14:conditionalFormattings>
    </ext>
  </extLst>
</worksheet>
</file>

<file path=customXml/_rels/item1.xml.rels><?xml version="1.0" encoding="UTF-8" standalone="yes"?>
<Relationships xmlns="http://schemas.openxmlformats.org/package/2006/relationships"><Relationship Id="rId1" Type="http://schemas.openxmlformats.org/officeDocument/2006/relationships/customXmlProps" Target="itemProps1.xml"/></Relationships>
</file>

<file path=customXml/_rels/item2.xml.rels><?xml version="1.0" encoding="UTF-8" standalone="yes"?>
<Relationships xmlns="http://schemas.openxmlformats.org/package/2006/relationships"><Relationship Id="rId1" Type="http://schemas.openxmlformats.org/officeDocument/2006/relationships/customXmlProps" Target="itemProps2.xml"/></Relationships>
</file>

<file path=customXml/_rels/item3.xml.rels><?xml version="1.0" encoding="UTF-8" standalone="yes"?>
<Relationships xmlns="http://schemas.openxmlformats.org/package/2006/relationships"><Relationship Id="rId1" Type="http://schemas.openxmlformats.org/officeDocument/2006/relationships/customXmlProps" Target="itemProps3.xml"/></Relationships>
</file>

<file path=customXml/_rels/item4.xml.rels><?xml version="1.0" encoding="UTF-8" standalone="yes"?>
<Relationships xmlns="http://schemas.openxmlformats.org/package/2006/relationships"><Relationship Id="rId1" Type="http://schemas.openxmlformats.org/officeDocument/2006/relationships/customXmlProps" Target="itemProps4.xml"/></Relationships>
</file>

<file path=customXml/_rels/item5.xml.rels><?xml version="1.0" encoding="UTF-8" standalone="yes"?>
<Relationships xmlns="http://schemas.openxmlformats.org/package/2006/relationships"><Relationship Id="rId1" Type="http://schemas.openxmlformats.org/officeDocument/2006/relationships/customXmlProps" Target="itemProps5.xml"/></Relationships>
</file>

<file path=customXml/_rels/item6.xml.rels><?xml version="1.0" encoding="UTF-8" standalone="yes"?>
<Relationships xmlns="http://schemas.openxmlformats.org/package/2006/relationships"><Relationship Id="rId1" Type="http://schemas.openxmlformats.org/officeDocument/2006/relationships/customXmlProps" Target="itemProps6.xml"/></Relationships>
</file>

<file path=customXml/_rels/item7.xml.rels><?xml version="1.0" encoding="UTF-8" standalone="yes"?>
<Relationships xmlns="http://schemas.openxmlformats.org/package/2006/relationships"><Relationship Id="rId1" Type="http://schemas.openxmlformats.org/officeDocument/2006/relationships/customXmlProps" Target="itemProps7.xml"/></Relationships>
</file>

<file path=customXml/_rels/item8.xml.rels><?xml version="1.0" encoding="UTF-8" standalone="yes"?>
<Relationships xmlns="http://schemas.openxmlformats.org/package/2006/relationships"><Relationship Id="rId1" Type="http://schemas.openxmlformats.org/officeDocument/2006/relationships/customXmlProps" Target="itemProps8.xml"/></Relationships>
</file>

<file path=customXml/_rels/item9.xml.rels><?xml version="1.0" encoding="UTF-8" standalone="yes"?>
<Relationships xmlns="http://schemas.openxmlformats.org/package/2006/relationships"><Relationship Id="rId1" Type="http://schemas.openxmlformats.org/officeDocument/2006/relationships/customXmlProps" Target="itemProps9.xml"/></Relationships>
</file>

<file path=customXml/_rels/item10.xml.rels><?xml version="1.0" encoding="UTF-8" standalone="yes"?>
<Relationships xmlns="http://schemas.openxmlformats.org/package/2006/relationships"><Relationship Id="rId1" Type="http://schemas.openxmlformats.org/officeDocument/2006/relationships/customXmlProps" Target="itemProps10.xml"/></Relationships>
</file>

<file path=customXml/_rels/item11.xml.rels><?xml version="1.0" encoding="UTF-8" standalone="yes"?>
<Relationships xmlns="http://schemas.openxmlformats.org/package/2006/relationships"><Relationship Id="rId1" Type="http://schemas.openxmlformats.org/officeDocument/2006/relationships/customXmlProps" Target="itemProps11.xml"/></Relationships>
</file>

<file path=customXml/_rels/item12.xml.rels><?xml version="1.0" encoding="UTF-8" standalone="yes"?>
<Relationships xmlns="http://schemas.openxmlformats.org/package/2006/relationships"><Relationship Id="rId1" Type="http://schemas.openxmlformats.org/officeDocument/2006/relationships/customXmlProps" Target="itemProps12.xml"/></Relationships>
</file>

<file path=customXml/_rels/item13.xml.rels><?xml version="1.0" encoding="UTF-8" standalone="yes"?>
<Relationships xmlns="http://schemas.openxmlformats.org/package/2006/relationships"><Relationship Id="rId1" Type="http://schemas.openxmlformats.org/officeDocument/2006/relationships/customXmlProps" Target="itemProps13.xml"/></Relationships>
</file>

<file path=customXml/_rels/item14.xml.rels><?xml version="1.0" encoding="UTF-8" standalone="yes"?>
<Relationships xmlns="http://schemas.openxmlformats.org/package/2006/relationships"><Relationship Id="rId1" Type="http://schemas.openxmlformats.org/officeDocument/2006/relationships/customXmlProps" Target="itemProps14.xml"/></Relationships>
</file>

<file path=customXml/_rels/item15.xml.rels><?xml version="1.0" encoding="UTF-8" standalone="yes"?>
<Relationships xmlns="http://schemas.openxmlformats.org/package/2006/relationships"><Relationship Id="rId1" Type="http://schemas.openxmlformats.org/officeDocument/2006/relationships/customXmlProps" Target="itemProps15.xml"/></Relationships>
</file>

<file path=customXml/_rels/item16.xml.rels><?xml version="1.0" encoding="UTF-8" standalone="yes"?>
<Relationships xmlns="http://schemas.openxmlformats.org/package/2006/relationships"><Relationship Id="rId1" Type="http://schemas.openxmlformats.org/officeDocument/2006/relationships/customXmlProps" Target="itemProps16.xml"/></Relationships>
</file>

<file path=customXml/_rels/item17.xml.rels><?xml version="1.0" encoding="UTF-8" standalone="yes"?>
<Relationships xmlns="http://schemas.openxmlformats.org/package/2006/relationships"><Relationship Id="rId1" Type="http://schemas.openxmlformats.org/officeDocument/2006/relationships/customXmlProps" Target="itemProps17.xml"/></Relationships>
</file>

<file path=customXml/_rels/item18.xml.rels><?xml version="1.0" encoding="UTF-8" standalone="yes"?>
<Relationships xmlns="http://schemas.openxmlformats.org/package/2006/relationships"><Relationship Id="rId1" Type="http://schemas.openxmlformats.org/officeDocument/2006/relationships/customXmlProps" Target="itemProps18.xml"/></Relationships>
</file>

<file path=customXml/_rels/item19.xml.rels><?xml version="1.0" encoding="UTF-8" standalone="yes"?>
<Relationships xmlns="http://schemas.openxmlformats.org/package/2006/relationships"><Relationship Id="rId1" Type="http://schemas.openxmlformats.org/officeDocument/2006/relationships/customXmlProps" Target="itemProps19.xml"/></Relationships>
</file>

<file path=customXml/_rels/item20.xml.rels><?xml version="1.0" encoding="UTF-8" standalone="yes"?>
<Relationships xmlns="http://schemas.openxmlformats.org/package/2006/relationships"><Relationship Id="rId1" Type="http://schemas.openxmlformats.org/officeDocument/2006/relationships/customXmlProps" Target="itemProps20.xml"/></Relationships>
</file>

<file path=customXml/_rels/item21.xml.rels><?xml version="1.0" encoding="UTF-8" standalone="yes"?>
<Relationships xmlns="http://schemas.openxmlformats.org/package/2006/relationships"><Relationship Id="rId1" Type="http://schemas.openxmlformats.org/officeDocument/2006/relationships/customXmlProps" Target="itemProps21.xml"/></Relationships>
</file>

<file path=customXml/_rels/item22.xml.rels><?xml version="1.0" encoding="UTF-8" standalone="yes"?>
<Relationships xmlns="http://schemas.openxmlformats.org/package/2006/relationships"><Relationship Id="rId1" Type="http://schemas.openxmlformats.org/officeDocument/2006/relationships/customXmlProps" Target="itemProps22.xml"/></Relationships>
</file>

<file path=customXml/_rels/item23.xml.rels><?xml version="1.0" encoding="UTF-8" standalone="yes"?>
<Relationships xmlns="http://schemas.openxmlformats.org/package/2006/relationships"><Relationship Id="rId1" Type="http://schemas.openxmlformats.org/officeDocument/2006/relationships/customXmlProps" Target="itemProps23.xml"/></Relationships>
</file>

<file path=customXml/item1.xml>�� � � � �� �  l � � � � i �m   s �  d � � �n   c � � �p    � � � � i � �  d �  �  �  �  �  l ��  �  � �  l � � � � � � �� �  l � � � � i �m   s �  d � � �n   c � � �p    � � � � i � �  d �  �  �  �  �  l ��  �  � �  l � � � 
</file>

<file path=customXml/item2.xml>�� � � � � �  t �n   � �  t � � � � � � � � � � � �  t �n   � �  t � � � � � � � � � � � �  l �� � � � � � �  s u � � � � � � � � � �� �  l � � � �� �  l � � � �  l � �n   � � �n   s �  b � � �p     �  �  �  �  l ��  �  � � � � � �  t �n   � �  t � � � � � � � � � � � �  t �n   � �  t � � � � � � � � � � � �  l �� � � � � � �  s u � � � � � � � � � �� �  l � � � �� �  l � � � �  l � �n   � � �n   s �  b � � �p     �  �  �  �  l ��  �  � 
</file>

<file path=customXml/item3.xml>��   
</file>

<file path=customXml/item4.xml>��   
</file>

<file path=customXml/item5.xml>��   
</file>

<file path=customXml/item6.xml>��   
</file>

<file path=customXml/item7.xml>��   
</file>

<file path=customXml/item8.xml>�� 
</file>

<file path=customXml/item9.xml>�� � � � � 
</file>

<file path=customXml/item10.xml>�� � � �n   v � �  s u � �  l � � � � �n   v � �  s u � �  l � � 
</file>

<file path=customXml/item11.xml>�� 
</file>

<file path=customXml/item12.xml>��   
</file>

<file path=customXml/item13.xml>��   
</file>

<file path=customXml/item14.xml>�� 
</file>

<file path=customXml/item15.xml>�� � � � i � �  d � i �m   s �  d � �� �  l � � � � � �n   c � � � � � �  l � � � � �p     �  �  �  �  l ��  �  � 
</file>

<file path=customXml/item16.xml>��   
</file>

<file path=customXml/item17.xml>�� �c   n  �c   n  
</file>

<file path=customXml/item18.xml>�� �n   �u   t � �n   �u   t � �  �u   t � �i   h � �  �  �u   t � �   � �n   �u   t � �n   �u   t � �  �u   t � �i   h � �  �  �u   t � �   � 
</file>

<file path=customXml/item19.xml>�� �� �i   t �� � �� �t   � � �  l � � �  l �� �  t � � �� �i   t �� � �� �t   � � �  l � � �  l �� �  t � � 
</file>

<file path=customXml/item20.xml>��   
</file>

<file path=customXml/item21.xml>�� �  p h � �c   n  � �� � � �  p h � �c   n  � �� � � 
</file>

<file path=customXml/item22.xml>��   
</file>

<file path=customXml/item23.xml>�� �  �  
</file>

<file path=customXml/itemProps1.xml><?xml version="1.0" encoding="utf-8"?>
<ds:datastoreItem xmlns:ds="http://schemas.openxmlformats.org/officeDocument/2006/customXml" ds:itemID="{CCFAB5FF-26AB-4CB9-BA2C-5A121007B041}">
  <ds:schemaRefs/>
</ds:datastoreItem>
</file>

<file path=customXml/itemProps2.xml><?xml version="1.0" encoding="utf-8"?>
<ds:datastoreItem xmlns:ds="http://schemas.openxmlformats.org/officeDocument/2006/customXml" ds:itemID="{2BF00A03-70FC-4137-967C-82A1B61F0E08}">
  <ds:schemaRefs/>
</ds:datastoreItem>
</file>

<file path=customXml/itemProps3.xml><?xml version="1.0" encoding="utf-8"?>
<ds:datastoreItem xmlns:ds="http://schemas.openxmlformats.org/officeDocument/2006/customXml" ds:itemID="{15A5E9E7-8554-4C17-8FCE-88C5899190B5}">
  <ds:schemaRefs/>
</ds:datastoreItem>
</file>

<file path=customXml/itemProps4.xml><?xml version="1.0" encoding="utf-8"?>
<ds:datastoreItem xmlns:ds="http://schemas.openxmlformats.org/officeDocument/2006/customXml" ds:itemID="{E485F590-5987-4C80-AB5A-11640863CA4B}">
  <ds:schemaRefs>
    <ds:schemaRef ds:uri="http://gemini/pivotcustomization/12ce26d9-c6aa-4c34-8652-e6c119fef0fa"/>
  </ds:schemaRefs>
</ds:datastoreItem>
</file>

<file path=customXml/itemProps5.xml><?xml version="1.0" encoding="utf-8"?>
<ds:datastoreItem xmlns:ds="http://schemas.openxmlformats.org/officeDocument/2006/customXml" ds:itemID="{19017731-72F7-42EB-AFF0-00D75C27CB84}">
  <ds:schemaRefs>
    <ds:schemaRef ds:uri="http://gemini/pivotcustomization/8055471d-593c-46d4-a7c5-f20424539526"/>
  </ds:schemaRefs>
</ds:datastoreItem>
</file>

<file path=customXml/itemProps6.xml><?xml version="1.0" encoding="utf-8"?>
<ds:datastoreItem xmlns:ds="http://schemas.openxmlformats.org/officeDocument/2006/customXml" ds:itemID="{4BA9E5F1-90AC-490B-B178-7C8B339E1A47}">
  <ds:schemaRefs/>
</ds:datastoreItem>
</file>

<file path=customXml/itemProps7.xml><?xml version="1.0" encoding="utf-8"?>
<ds:datastoreItem xmlns:ds="http://schemas.openxmlformats.org/officeDocument/2006/customXml" ds:itemID="{339EBD31-34FE-48FA-B11C-5697D02F64AC}">
  <ds:schemaRefs/>
</ds:datastoreItem>
</file>

<file path=customXml/itemProps8.xml><?xml version="1.0" encoding="utf-8"?>
<ds:datastoreItem xmlns:ds="http://schemas.openxmlformats.org/officeDocument/2006/customXml" ds:itemID="{049A5268-B7E8-41F6-B049-79C42814D937}">
  <ds:schemaRefs>
    <ds:schemaRef ds:uri="http://www.w3.org/2001/XMLSchema"/>
    <ds:schemaRef ds:uri="http://microsoft.data.visualization.Client.Excel.LState/1.0"/>
  </ds:schemaRefs>
</ds:datastoreItem>
</file>

<file path=customXml/itemProps9.xml><?xml version="1.0" encoding="utf-8"?>
<ds:datastoreItem xmlns:ds="http://schemas.openxmlformats.org/officeDocument/2006/customXml" ds:itemID="{6F81FD08-C40B-4CE8-BA0F-774B60FBD3DB}">
  <ds:schemaRefs>
    <ds:schemaRef ds:uri="http://www.w3.org/2001/XMLSchema"/>
    <ds:schemaRef ds:uri="http://microsoft.data.visualization.engine.tours/1.0"/>
  </ds:schemaRefs>
</ds:datastoreItem>
</file>

<file path=customXml/itemProps10.xml><?xml version="1.0" encoding="utf-8"?>
<ds:datastoreItem xmlns:ds="http://schemas.openxmlformats.org/officeDocument/2006/customXml" ds:itemID="{19BA8129-97AB-4694-BBC1-89CB3D2043B0}">
  <ds:schemaRefs/>
</ds:datastoreItem>
</file>

<file path=customXml/itemProps11.xml><?xml version="1.0" encoding="utf-8"?>
<ds:datastoreItem xmlns:ds="http://schemas.openxmlformats.org/officeDocument/2006/customXml" ds:itemID="{8FD280FB-0EB8-4D91-8ABB-4113201DEE59}">
  <ds:schemaRefs>
    <ds:schemaRef ds:uri="http://gemini/pivotcustomization/FormulaBarState"/>
  </ds:schemaRefs>
</ds:datastoreItem>
</file>

<file path=customXml/itemProps12.xml><?xml version="1.0" encoding="utf-8"?>
<ds:datastoreItem xmlns:ds="http://schemas.openxmlformats.org/officeDocument/2006/customXml" ds:itemID="{5D7BFC62-A7B0-4863-8C91-D5C38B1B0CB7}">
  <ds:schemaRefs>
    <ds:schemaRef ds:uri="http://gemini/pivotcustomization/27a7f318-32b6-40dc-83af-0fddbb83a1d4"/>
  </ds:schemaRefs>
</ds:datastoreItem>
</file>

<file path=customXml/itemProps13.xml><?xml version="1.0" encoding="utf-8"?>
<ds:datastoreItem xmlns:ds="http://schemas.openxmlformats.org/officeDocument/2006/customXml" ds:itemID="{A849B9D7-188B-48DA-AB5B-54583621621D}">
  <ds:schemaRefs/>
</ds:datastoreItem>
</file>

<file path=customXml/itemProps14.xml><?xml version="1.0" encoding="utf-8"?>
<ds:datastoreItem xmlns:ds="http://schemas.openxmlformats.org/officeDocument/2006/customXml" ds:itemID="{51D8F1A2-1C62-4ED5-A688-CB699D0D9C83}">
  <ds:schemaRefs>
    <ds:schemaRef ds:uri="http://www.w3.org/2001/XMLSchema"/>
    <ds:schemaRef ds:uri="http://microsoft.data.visualization.Client.Excel/1.0"/>
  </ds:schemaRefs>
</ds:datastoreItem>
</file>

<file path=customXml/itemProps15.xml><?xml version="1.0" encoding="utf-8"?>
<ds:datastoreItem xmlns:ds="http://schemas.openxmlformats.org/officeDocument/2006/customXml" ds:itemID="{4F023B59-6671-4442-B15F-D8D1F04CE43F}">
  <ds:schemaRefs/>
</ds:datastoreItem>
</file>

<file path=customXml/itemProps16.xml><?xml version="1.0" encoding="utf-8"?>
<ds:datastoreItem xmlns:ds="http://schemas.openxmlformats.org/officeDocument/2006/customXml" ds:itemID="{24D14929-D523-406C-85AB-622E1058421A}">
  <ds:schemaRefs>
    <ds:schemaRef ds:uri="http://gemini/pivotcustomization/98cd0469-6e20-49ed-99db-af80f09560d4"/>
  </ds:schemaRefs>
</ds:datastoreItem>
</file>

<file path=customXml/itemProps17.xml><?xml version="1.0" encoding="utf-8"?>
<ds:datastoreItem xmlns:ds="http://schemas.openxmlformats.org/officeDocument/2006/customXml" ds:itemID="{A6D0F6C4-9EB7-4062-86F8-715E8F5BF469}">
  <ds:schemaRefs/>
</ds:datastoreItem>
</file>

<file path=customXml/itemProps18.xml><?xml version="1.0" encoding="utf-8"?>
<ds:datastoreItem xmlns:ds="http://schemas.openxmlformats.org/officeDocument/2006/customXml" ds:itemID="{2458A1B8-FCD1-4F09-B20A-C75300C0B5F2}">
  <ds:schemaRefs>
    <ds:schemaRef ds:uri="http://gemini/pivotcustomization/TableXML_Table_DauTu"/>
  </ds:schemaRefs>
</ds:datastoreItem>
</file>

<file path=customXml/itemProps19.xml><?xml version="1.0" encoding="utf-8"?>
<ds:datastoreItem xmlns:ds="http://schemas.openxmlformats.org/officeDocument/2006/customXml" ds:itemID="{86BCE4C3-7D25-4C79-A314-DED47A05E001}">
  <ds:schemaRefs>
    <ds:schemaRef ds:uri="http://gemini/pivotcustomization/TableXML_Table_ChuongTrinh"/>
  </ds:schemaRefs>
</ds:datastoreItem>
</file>

<file path=customXml/itemProps20.xml><?xml version="1.0" encoding="utf-8"?>
<ds:datastoreItem xmlns:ds="http://schemas.openxmlformats.org/officeDocument/2006/customXml" ds:itemID="{104A6CAF-8CC0-4F12-8051-31E2340CC4C2}">
  <ds:schemaRefs/>
</ds:datastoreItem>
</file>

<file path=customXml/itemProps21.xml><?xml version="1.0" encoding="utf-8"?>
<ds:datastoreItem xmlns:ds="http://schemas.openxmlformats.org/officeDocument/2006/customXml" ds:itemID="{7D64D66F-1898-49BE-A788-6FA781CEE8F3}">
  <ds:schemaRefs/>
</ds:datastoreItem>
</file>

<file path=customXml/itemProps22.xml><?xml version="1.0" encoding="utf-8"?>
<ds:datastoreItem xmlns:ds="http://schemas.openxmlformats.org/officeDocument/2006/customXml" ds:itemID="{0B9C3544-1C46-45A4-BEB6-1CE4D6559900}">
  <ds:schemaRefs/>
</ds:datastoreItem>
</file>

<file path=customXml/itemProps23.xml><?xml version="1.0" encoding="utf-8"?>
<ds:datastoreItem xmlns:ds="http://schemas.openxmlformats.org/officeDocument/2006/customXml" ds:itemID="{78A37B94-33CC-4B68-8B4E-D0CE59CB8695}">
  <ds:schemaRefs>
    <ds:schemaRef ds:uri="http://gemini/pivotcustomization/TableXML_Ref_Periods"/>
  </ds:schemaRefs>
</ds:datastoreItem>
</file>

<file path=docProps/app.xml><?xml version="1.0" encoding="utf-8"?>
<Properties xmlns="http://schemas.openxmlformats.org/officeDocument/2006/extended-properties" xmlns:vt="http://schemas.openxmlformats.org/officeDocument/2006/docPropsVTypes">
  <Application>Microsoft Excel</Application>
  <DocSecurity>0</DocSecurity>
  <ScaleCrop>false</ScaleCrop>
  <HeadingPairs>
    <vt:vector size="4" baseType="variant">
      <vt:variant>
        <vt:lpstr>Worksheets</vt:lpstr>
      </vt:variant>
      <vt:variant>
        <vt:i4>2</vt:i4>
      </vt:variant>
      <vt:variant>
        <vt:lpstr>Named Ranges</vt:lpstr>
      </vt:variant>
      <vt:variant>
        <vt:i4>3</vt:i4>
      </vt:variant>
    </vt:vector>
  </HeadingPairs>
  <TitlesOfParts>
    <vt:vector size="5" baseType="lpstr">
      <vt:lpstr>EULA</vt:lpstr>
      <vt:lpstr>Dự phòng phải thu</vt:lpstr>
      <vt:lpstr>NoXau_MaKH</vt:lpstr>
      <vt:lpstr>NoXau_NgayTheoDoi</vt:lpstr>
      <vt:lpstr>NoXau_NhanThanhToan</vt:lpstr>
    </vt:vector>
  </TitlesOfParts>
  <Manager/>
  <Company/>
  <LinksUpToDate>false</LinksUpToDate>
  <SharedDoc>false</SharedDoc>
  <HyperlinkBase/>
  <HyperlinksChanged>false</HyperlinksChanged>
  <AppVersion>16.0300</AppVersion>
</Properties>
</file>

<file path=docProps/core.xml><?xml version="1.0" encoding="utf-8"?>
<cp:coreProperties xmlns:cp="http://schemas.openxmlformats.org/package/2006/metadata/core-properties" xmlns:dc="http://purl.org/dc/elements/1.1/" xmlns:dcterms="http://purl.org/dc/terms/" xmlns:dcmitype="http://purl.org/dc/dcmitype/" xmlns:xsi="http://www.w3.org/2001/XMLSchema-instance">
  <dc:title/>
  <dc:subject/>
  <dc:creator>Anh Le</dc:creator>
  <cp:keywords/>
  <dc:description/>
  <cp:lastModifiedBy>Anh Le</cp:lastModifiedBy>
  <cp:revision/>
  <cp:lastPrinted>2025-05-15T23:41:39Z</cp:lastPrinted>
  <dcterms:created xsi:type="dcterms:W3CDTF">2024-12-23T06:08:32Z</dcterms:created>
  <dcterms:modified xsi:type="dcterms:W3CDTF">2025-06-10T04:05:26Z</dcterms:modified>
  <cp:category/>
  <cp:contentStatus/>
</cp:coreProperties>
</file>