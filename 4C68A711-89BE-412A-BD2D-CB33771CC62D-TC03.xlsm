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9C8A352E-61E1-4F82-A68A-A4001428CF67}"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Dự phòng phải thu" sheetId="49"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'Dự phòng phải thu'!$AT$2</definedName>
    <definedName name="NoXau_MaNCC">'Dự phòng phải thu'!#REF!</definedName>
    <definedName name="NoXau_NgayTheoDoi">'Dự phòng phải thu'!$AT$1</definedName>
    <definedName name="NoXau_NhanCungUng">'Dự phòng phải thu'!#REF!</definedName>
    <definedName name="NoXau_NhanThanhToan">'Dự phòng phải thu'!$AP$1</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23" i="49" l="1" a="1"/>
  <c r="AU23" i="49" s="1"/>
  <c r="AW23" i="49" s="1"/>
  <c r="AU24" i="49" a="1"/>
  <c r="AU24" i="49" s="1"/>
  <c r="AW24" i="49" s="1"/>
  <c r="AU25" i="49" a="1"/>
  <c r="AU25" i="49" s="1"/>
  <c r="AW25" i="49" s="1"/>
  <c r="AU26" i="49" a="1"/>
  <c r="AU26" i="49" s="1"/>
  <c r="AW26" i="49" s="1"/>
  <c r="AU32" i="49" a="1"/>
  <c r="AU32" i="49" s="1"/>
  <c r="AW32" i="49" s="1"/>
  <c r="AU33" i="49" a="1"/>
  <c r="AU33" i="49" s="1"/>
  <c r="AW33" i="49" s="1"/>
  <c r="AU34" i="49" a="1"/>
  <c r="AU34" i="49" s="1"/>
  <c r="AW34" i="49" s="1"/>
  <c r="AU31" i="49" a="1"/>
  <c r="AU31" i="49" s="1"/>
  <c r="AW31" i="49" s="1"/>
  <c r="AN23" i="49" a="1"/>
  <c r="AN23" i="49" s="1"/>
  <c r="AU27" i="49" a="1"/>
  <c r="AU27" i="49" s="1"/>
  <c r="AW27" i="49" s="1"/>
  <c r="AU28" i="49" a="1"/>
  <c r="AU28" i="49" s="1"/>
  <c r="AW28" i="49" s="1"/>
  <c r="AU29" i="49" a="1"/>
  <c r="AU29" i="49" s="1"/>
  <c r="AW29" i="49" s="1"/>
  <c r="AU30" i="49" a="1"/>
  <c r="AU30" i="49" s="1"/>
  <c r="AW30" i="49" s="1"/>
  <c r="AP1" i="49" l="1" a="1"/>
  <c r="AP1" i="49" s="1"/>
  <c r="AP29" i="49" s="1" a="1"/>
  <c r="AP29" i="49" s="1"/>
  <c r="AQ29" i="49" s="1"/>
  <c r="AP23" i="49" l="1" a="1"/>
  <c r="AP23" i="49" s="1"/>
  <c r="AQ23" i="49" s="1"/>
  <c r="AP24" i="49" a="1"/>
  <c r="AP24" i="49" s="1"/>
  <c r="AQ24" i="49" s="1"/>
  <c r="AP25" i="49" a="1"/>
  <c r="AP25" i="49" s="1"/>
  <c r="AQ25" i="49" s="1"/>
  <c r="AP26" i="49" a="1"/>
  <c r="AP26" i="49" s="1"/>
  <c r="AQ26" i="49" s="1"/>
  <c r="AP27" i="49" a="1"/>
  <c r="AP27" i="49" s="1"/>
  <c r="AQ27" i="49" s="1"/>
  <c r="AP28" i="49" a="1"/>
  <c r="AP28" i="49" s="1"/>
  <c r="AQ28" i="49" s="1"/>
  <c r="AL23" i="49" l="1" a="1"/>
  <c r="AL23" i="49" s="1"/>
  <c r="AL24" i="49" a="1"/>
  <c r="AL24" i="49" s="1"/>
  <c r="AL25" i="49" a="1"/>
  <c r="AL25" i="49" s="1"/>
  <c r="AL26" i="49" a="1"/>
  <c r="AL26" i="49" s="1"/>
  <c r="AL21" i="4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<sst xmlns="http://schemas.openxmlformats.org/spreadsheetml/2006/main" count="156" uniqueCount="58">
  <si>
    <t>Bên A</t>
  </si>
  <si>
    <t>Công ty TNHH Tư vấn Quản trị FIRM</t>
  </si>
  <si>
    <t>[Địa chỉ]</t>
  </si>
  <si>
    <t>[Mã số thuế]</t>
  </si>
  <si>
    <t>[SĐT - Fax]</t>
  </si>
  <si>
    <t>[Website - Page]</t>
  </si>
  <si>
    <t>[STK - Ngân hàng]</t>
  </si>
  <si>
    <t>Bên B</t>
  </si>
  <si>
    <t>Công ty ABC XYZ</t>
  </si>
  <si>
    <t>ID</t>
  </si>
  <si>
    <t>License</t>
  </si>
  <si>
    <t>Tuổi nợ min</t>
  </si>
  <si>
    <t>Tuổi nợ max</t>
  </si>
  <si>
    <t>Tỷ lệ dự phòng</t>
  </si>
  <si>
    <t>Tuổi nợ</t>
  </si>
  <si>
    <t>Mã đối tác</t>
  </si>
  <si>
    <t>Đối tác</t>
  </si>
  <si>
    <t>Ngày dự phòng</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</si>
  <si>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</si>
  <si>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</si>
  <si>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</si>
  <si>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</si>
  <si>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</si>
  <si>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</si>
  <si>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</si>
  <si>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</si>
  <si>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</si>
  <si>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</si>
  <si>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</si>
  <si>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</si>
  <si>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</si>
  <si>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</si>
  <si>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</si>
  <si>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</si>
  <si>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</si>
  <si>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</si>
  <si>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</si>
  <si>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</si>
  <si>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</si>
  <si>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</si>
  <si>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Giá trị dự phòng</t>
  </si>
  <si>
    <t>Giá trị nợ</t>
  </si>
  <si>
    <t>Dự phòng</t>
  </si>
  <si>
    <t>Phát sinh phải thu / Chi tiền</t>
  </si>
  <si>
    <t>Tỷ lệ</t>
  </si>
  <si>
    <t>Ngày phát sinh</t>
  </si>
  <si>
    <t>Phát sinh phải trả / Thu tiền</t>
  </si>
  <si>
    <t>DT2</t>
  </si>
  <si>
    <t>DT3</t>
  </si>
  <si>
    <t>DT4</t>
  </si>
  <si>
    <t>DT1</t>
  </si>
  <si>
    <t>Row Labels</t>
  </si>
  <si>
    <t>Grand Total</t>
  </si>
  <si>
    <t>Column Labels</t>
  </si>
  <si>
    <t xml:space="preserve">Dự phòng </t>
  </si>
  <si>
    <t>4C68A711-89BE-412A-BD2D-CB33771CC62D</t>
  </si>
  <si>
    <t>EASY-33329183463</t>
  </si>
  <si>
    <t>TC03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</si>
</sst>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0.0%"/>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9" tint="-0.499984740745262"/>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9" tint="0.79998168889431442"/>
        <bgColor theme="5" tint="0.79998168889431442"/>
      </patternFill>
    </fill>
  </fills>
  <borders count="3">
    <border>
      <left/>
      <right/>
      <top/>
      <bottom/>
      <diagonal/>
    </border>
    <border>
      <left/>
      <right/>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7">
    <xf numFmtId="0" fontId="0" fillId="0" borderId="0" xfId="0"/>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0" fontId="0" fillId="0" borderId="0" xfId="0" applyProtection="1">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7" fillId="2" borderId="0" xfId="0" applyFont="1" applyFill="1" applyAlignment="1" applyProtection="1">
      <alignment horizontal="center" vertical="center"/>
      <protection locked="0" hidden="1"/>
    </xf>
    <xf numFmtId="0" fontId="11" fillId="0" borderId="0" xfId="1" applyNumberFormat="1" applyFont="1" applyAlignment="1" applyProtection="1">
      <alignment horizontal="center" vertical="center"/>
      <protection locked="0" hidden="1"/>
    </xf>
    <xf numFmtId="0" fontId="8" fillId="0" borderId="0" xfId="1" applyNumberFormat="1" applyFont="1" applyAlignment="1" applyProtection="1">
      <alignment horizontal="center"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2" xfId="0" applyNumberFormat="1" applyFont="1" applyBorder="1" applyAlignment="1" applyProtection="1">
      <alignment horizontal="right" vertical="center"/>
      <protection locked="0" hidden="1"/>
    </xf>
    <xf numFmtId="165" fontId="6"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4" fontId="5" fillId="0" borderId="0" xfId="0" applyNumberFormat="1" applyFont="1" applyAlignment="1" applyProtection="1">
      <alignment horizontal="center"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8" fontId="18" fillId="3" borderId="1" xfId="0" applyNumberFormat="1" applyFont="1" applyFill="1" applyBorder="1" applyAlignment="1" applyProtection="1">
      <alignment horizontal="center" vertical="center"/>
      <protection locked="0"/>
    </xf>
    <xf numFmtId="164" fontId="9" fillId="0" borderId="0" xfId="0" applyNumberFormat="1" applyFont="1" applyAlignment="1" applyProtection="1">
      <alignment vertical="center"/>
      <protection locked="0" hidden="1"/>
    </xf>
    <xf numFmtId="166" fontId="5" fillId="0" borderId="0" xfId="0" applyNumberFormat="1" applyFont="1" applyAlignment="1" applyProtection="1">
      <alignment vertical="center"/>
      <protection locked="0" hidden="1"/>
    </xf>
    <xf numFmtId="169" fontId="9" fillId="0" borderId="0" xfId="2"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9" fontId="0" fillId="0" borderId="0" xfId="0" applyNumberFormat="1"/>
    <xf numFmtId="166" fontId="5" fillId="0" borderId="0" xfId="0" applyNumberFormat="1" applyFont="1" applyAlignment="1" applyProtection="1">
      <alignment horizontal="center" vertical="center"/>
      <protection locked="0" hidden="1"/>
    </xf>
  </cellXfs>
  <cellStyles count="3">
    <cellStyle name="Comma" xfId="1" builtinId="3"/>
    <cellStyle name="Normal" xfId="0" builtinId="0"/>
    <cellStyle name="Percent" xfId="2" builtinId="5"/>
  </cellStyles>
  <dxfs count="36">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9" formatCode="0.0%"/>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5"/>
      <tableStyleElement type="headerRow" dxfId="34"/>
    </tableStyle>
    <tableStyle name="SlicerStyleLight1 2 2" pivot="0" table="0" count="10" xr9:uid="{9DB8D611-4D15-4128-AF8D-E3329BCC5BCE}">
      <tableStyleElement type="wholeTable" dxfId="33"/>
      <tableStyleElement type="headerRow" dxfId="32"/>
    </tableStyle>
    <tableStyle name="TimeSlicerStyleLight1 2" pivot="0" table="0" count="9" xr9:uid="{58382D9D-B456-41C4-B229-09D2A872184E}">
      <tableStyleElement type="wholeTable" dxfId="31"/>
      <tableStyleElement type="headerRow" dxfId="3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thu!PivotTable5</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phải thu'!$C$22:$C$23</c:f>
              <c:strCache>
                <c:ptCount val="1"/>
                <c:pt idx="0">
                  <c:v>DT1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thu'!$C$24:$C$27</c:f>
              <c:numCache>
                <c:formatCode>General</c:formatCode>
                <c:ptCount val="3"/>
                <c:pt idx="0">
                  <c:v>100120.85</c:v>
                </c:pt>
                <c:pt idx="1">
                  <c:v>308313.05000000005</c:v>
                </c:pt>
                <c:pt idx="2">
                  <c:v>295334.45</c:v>
                </c:pt>
              </c:numCache>
            </c:numRef>
          </c:val>
          <c:extLst>
            <c:ext xmlns:c16="http://schemas.microsoft.com/office/drawing/2014/chart" uri="{C3380CC4-5D6E-409C-BE32-E72D297353CC}">
              <c16:uniqueId val="{00000000-94F6-4A42-ADED-8284FF692F5C}"/>
            </c:ext>
          </c:extLst>
        </c:ser>
        <c:ser>
          <c:idx val="1"/>
          <c:order val="1"/>
          <c:tx>
            <c:strRef>
              <c:f>'Dự phòng phải thu'!$D$22:$D$23</c:f>
              <c:strCache>
                <c:ptCount val="1"/>
                <c:pt idx="0">
                  <c:v>DT2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thu'!$D$24:$D$27</c:f>
              <c:numCache>
                <c:formatCode>General</c:formatCode>
                <c:ptCount val="3"/>
                <c:pt idx="1">
                  <c:v>255621.30000000002</c:v>
                </c:pt>
                <c:pt idx="2">
                  <c:v>50476.35</c:v>
                </c:pt>
              </c:numCache>
            </c:numRef>
          </c:val>
          <c:extLst>
            <c:ext xmlns:c16="http://schemas.microsoft.com/office/drawing/2014/chart" uri="{C3380CC4-5D6E-409C-BE32-E72D297353CC}">
              <c16:uniqueId val="{00000002-94F6-4A42-ADED-8284FF692F5C}"/>
            </c:ext>
          </c:extLst>
        </c:ser>
        <c:ser>
          <c:idx val="2"/>
          <c:order val="2"/>
          <c:tx>
            <c:strRef>
              <c:f>'Dự phòng phải thu'!$E$22:$E$23</c:f>
              <c:strCache>
                <c:ptCount val="1"/>
                <c:pt idx="0">
                  <c:v>DT3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thu'!$E$24:$E$27</c:f>
              <c:numCache>
                <c:formatCode>General</c:formatCode>
                <c:ptCount val="3"/>
                <c:pt idx="0">
                  <c:v>15956</c:v>
                </c:pt>
                <c:pt idx="1">
                  <c:v>0</c:v>
                </c:pt>
                <c:pt idx="2">
                  <c:v>146809.5</c:v>
                </c:pt>
              </c:numCache>
            </c:numRef>
          </c:val>
          <c:extLst>
            <c:ext xmlns:c16="http://schemas.microsoft.com/office/drawing/2014/chart" uri="{C3380CC4-5D6E-409C-BE32-E72D297353CC}">
              <c16:uniqueId val="{00000003-94F6-4A42-ADED-8284FF692F5C}"/>
            </c:ext>
          </c:extLst>
        </c:ser>
        <c:ser>
          <c:idx val="3"/>
          <c:order val="3"/>
          <c:tx>
            <c:strRef>
              <c:f>'Dự phòng phải thu'!$F$22:$F$23</c:f>
              <c:strCache>
                <c:ptCount val="1"/>
                <c:pt idx="0">
                  <c:v>DT4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thu'!$F$24:$F$27</c:f>
              <c:numCache>
                <c:formatCode>General</c:formatCode>
                <c:ptCount val="3"/>
                <c:pt idx="0">
                  <c:v>39252.400000000001</c:v>
                </c:pt>
                <c:pt idx="1">
                  <c:v>403598.5</c:v>
                </c:pt>
                <c:pt idx="2">
                  <c:v>833032.05</c:v>
                </c:pt>
              </c:numCache>
            </c:numRef>
          </c:val>
          <c:extLst>
            <c:ext xmlns:c16="http://schemas.microsoft.com/office/drawing/2014/chart" uri="{C3380CC4-5D6E-409C-BE32-E72D297353CC}">
              <c16:uniqueId val="{00000004-94F6-4A42-ADED-8284FF692F5C}"/>
            </c:ext>
          </c:extLst>
        </c:ser>
        <c:dLbls>
          <c:dLblPos val="ctr"/>
          <c:showLegendKey val="0"/>
          <c:showVal val="1"/>
          <c:showCatName val="0"/>
          <c:showSerName val="0"/>
          <c:showPercent val="0"/>
          <c:showBubbleSize val="0"/>
        </c:dLbls>
        <c:gapWidth val="150"/>
        <c:overlap val="100"/>
        <c:axId val="915661904"/>
        <c:axId val="915678704"/>
      </c:barChart>
      <c:catAx>
        <c:axId val="9156619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vi-VN"/>
          </a:p>
        </c:txPr>
        <c:crossAx val="915678704"/>
        <c:crosses val="autoZero"/>
        <c:auto val="1"/>
        <c:lblAlgn val="ctr"/>
        <c:lblOffset val="100"/>
        <c:noMultiLvlLbl val="0"/>
      </c:catAx>
      <c:valAx>
        <c:axId val="915678704"/>
        <c:scaling>
          <c:orientation val="minMax"/>
        </c:scaling>
        <c:delete val="1"/>
        <c:axPos val="l"/>
        <c:numFmt formatCode="General" sourceLinked="1"/>
        <c:majorTickMark val="none"/>
        <c:minorTickMark val="none"/>
        <c:tickLblPos val="nextTo"/>
        <c:crossAx val="915661904"/>
        <c:crosses val="autoZero"/>
        <c:crossBetween val="between"/>
      </c:valAx>
      <c:spPr>
        <a:solidFill>
          <a:schemeClr val="accent3">
            <a:lumMod val="20000"/>
            <a:lumOff val="80000"/>
          </a:schemeClr>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phải thu'!$S$23:$S$24</c:f>
              <c:strCache>
                <c:ptCount val="1"/>
                <c:pt idx="0">
                  <c:v>DT1</c:v>
                </c:pt>
              </c:strCache>
            </c:strRef>
          </c:tx>
          <c:spPr>
            <a:ln w="28575" cap="rnd">
              <a:solidFill>
                <a:schemeClr val="accent1"/>
              </a:solidFill>
              <a:round/>
            </a:ln>
            <a:effectLst/>
          </c:spPr>
          <c:marker>
            <c:symbol val="none"/>
          </c:marker>
          <c:cat>
            <c:strRef>
              <c:f>'Dự phòng phải thu'!$R$25:$R$28</c:f>
              <c:strCache>
                <c:ptCount val="3"/>
                <c:pt idx="0">
                  <c:v>03-2025</c:v>
                </c:pt>
                <c:pt idx="1">
                  <c:v>04-2025</c:v>
                </c:pt>
                <c:pt idx="2">
                  <c:v>05-2025</c:v>
                </c:pt>
              </c:strCache>
            </c:strRef>
          </c:cat>
          <c:val>
            <c:numRef>
              <c:f>'Dự phòng phải thu'!$S$25:$S$28</c:f>
              <c:numCache>
                <c:formatCode>0.0%</c:formatCode>
                <c:ptCount val="3"/>
                <c:pt idx="0">
                  <c:v>7.1944297535864066E-2</c:v>
                </c:pt>
                <c:pt idx="1">
                  <c:v>0.1263039211549499</c:v>
                </c:pt>
                <c:pt idx="2">
                  <c:v>0.1227447095637024</c:v>
                </c:pt>
              </c:numCache>
            </c:numRef>
          </c:val>
          <c:smooth val="0"/>
          <c:extLst>
            <c:ext xmlns:c16="http://schemas.microsoft.com/office/drawing/2014/chart" uri="{C3380CC4-5D6E-409C-BE32-E72D297353CC}">
              <c16:uniqueId val="{00000000-31A0-41CB-B366-7D0110CB6F5E}"/>
            </c:ext>
          </c:extLst>
        </c:ser>
        <c:ser>
          <c:idx val="1"/>
          <c:order val="1"/>
          <c:tx>
            <c:strRef>
              <c:f>'Dự phòng phải thu'!$T$23:$T$24</c:f>
              <c:strCache>
                <c:ptCount val="1"/>
                <c:pt idx="0">
                  <c:v>DT2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thu'!$T$25:$T$28</c:f>
              <c:numCache>
                <c:formatCode>0.0%</c:formatCode>
                <c:ptCount val="3"/>
                <c:pt idx="0">
                  <c:v>0</c:v>
                </c:pt>
                <c:pt idx="1">
                  <c:v>0.1816401678397209</c:v>
                </c:pt>
                <c:pt idx="2">
                  <c:v>0.15</c:v>
                </c:pt>
              </c:numCache>
            </c:numRef>
          </c:val>
          <c:smooth val="0"/>
          <c:extLst>
            <c:ext xmlns:c16="http://schemas.microsoft.com/office/drawing/2014/chart" uri="{C3380CC4-5D6E-409C-BE32-E72D297353CC}">
              <c16:uniqueId val="{00000002-31A0-41CB-B366-7D0110CB6F5E}"/>
            </c:ext>
          </c:extLst>
        </c:ser>
        <c:ser>
          <c:idx val="2"/>
          <c:order val="2"/>
          <c:tx>
            <c:strRef>
              <c:f>'Dự phòng phải thu'!$U$23:$U$24</c:f>
              <c:strCache>
                <c:ptCount val="1"/>
                <c:pt idx="0">
                  <c:v>DT3</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thu'!$U$25:$U$28</c:f>
              <c:numCache>
                <c:formatCode>0.0%</c:formatCode>
                <c:ptCount val="3"/>
                <c:pt idx="0">
                  <c:v>1.9116216436399883E-2</c:v>
                </c:pt>
                <c:pt idx="1">
                  <c:v>0</c:v>
                </c:pt>
                <c:pt idx="2">
                  <c:v>8.488747932880783E-2</c:v>
                </c:pt>
              </c:numCache>
            </c:numRef>
          </c:val>
          <c:smooth val="0"/>
          <c:extLst>
            <c:ext xmlns:c16="http://schemas.microsoft.com/office/drawing/2014/chart" uri="{C3380CC4-5D6E-409C-BE32-E72D297353CC}">
              <c16:uniqueId val="{00000003-31A0-41CB-B366-7D0110CB6F5E}"/>
            </c:ext>
          </c:extLst>
        </c:ser>
        <c:ser>
          <c:idx val="3"/>
          <c:order val="3"/>
          <c:tx>
            <c:strRef>
              <c:f>'Dự phòng phải thu'!$V$23:$V$24</c:f>
              <c:strCache>
                <c:ptCount val="1"/>
                <c:pt idx="0">
                  <c:v>DT4</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thu'!$V$25:$V$28</c:f>
              <c:numCache>
                <c:formatCode>0.0%</c:formatCode>
                <c:ptCount val="3"/>
                <c:pt idx="0">
                  <c:v>1.8900296319265954E-2</c:v>
                </c:pt>
                <c:pt idx="1">
                  <c:v>0.17730126786692516</c:v>
                </c:pt>
                <c:pt idx="2">
                  <c:v>0.21440290701654777</c:v>
                </c:pt>
              </c:numCache>
            </c:numRef>
          </c:val>
          <c:smooth val="0"/>
          <c:extLst>
            <c:ext xmlns:c16="http://schemas.microsoft.com/office/drawing/2014/chart" uri="{C3380CC4-5D6E-409C-BE32-E72D297353CC}">
              <c16:uniqueId val="{00000004-31A0-41CB-B366-7D0110CB6F5E}"/>
            </c:ext>
          </c:extLst>
        </c:ser>
        <c:dLbls>
          <c:showLegendKey val="0"/>
          <c:showVal val="0"/>
          <c:showCatName val="0"/>
          <c:showSerName val="0"/>
          <c:showPercent val="0"/>
          <c:showBubbleSize val="0"/>
        </c:dLbls>
        <c:smooth val="0"/>
        <c:axId val="915709424"/>
        <c:axId val="915693104"/>
      </c:lineChart>
      <c:catAx>
        <c:axId val="91570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915693104"/>
        <c:crosses val="autoZero"/>
        <c:auto val="1"/>
        <c:lblAlgn val="ctr"/>
        <c:lblOffset val="100"/>
        <c:noMultiLvlLbl val="0"/>
      </c:catAx>
      <c:valAx>
        <c:axId val="915693104"/>
        <c:scaling>
          <c:orientation val="minMax"/>
        </c:scaling>
        <c:delete val="1"/>
        <c:axPos val="l"/>
        <c:numFmt formatCode="0.0%" sourceLinked="1"/>
        <c:majorTickMark val="none"/>
        <c:minorTickMark val="none"/>
        <c:tickLblPos val="nextTo"/>
        <c:crossAx val="915709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9526</xdr:colOff>
          <xdr:row>0</xdr:row>
          <xdr:rowOff>66675</xdr:rowOff>
        </xdr:from>
        <xdr:to>
          <xdr:col>37</xdr:col>
          <xdr:colOff>762000</xdr:colOff>
          <xdr:row>1</xdr:row>
          <xdr:rowOff>200025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200026" y="666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2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2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2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2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2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2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2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2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2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85725</xdr:colOff>
          <xdr:row>0</xdr:row>
          <xdr:rowOff>114300</xdr:rowOff>
        </xdr:from>
        <xdr:to>
          <xdr:col>40</xdr:col>
          <xdr:colOff>1076325</xdr:colOff>
          <xdr:row>1</xdr:row>
          <xdr:rowOff>142875</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5057775" y="114300"/>
              <a:ext cx="904875"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2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2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34</xdr:col>
      <xdr:colOff>23812</xdr:colOff>
      <xdr:row>2</xdr:row>
      <xdr:rowOff>33337</xdr:rowOff>
    </xdr:from>
    <xdr:to>
      <xdr:col>42</xdr:col>
      <xdr:colOff>527737</xdr:colOff>
      <xdr:row>19</xdr:row>
      <xdr:rowOff>107137</xdr:rowOff>
    </xdr:to>
    <xdr:graphicFrame macro="">
      <xdr:nvGraphicFramePr>
        <xdr:cNvPr id="2" name="Chart 1">
          <a:extLst>
            <a:ext uri="{FF2B5EF4-FFF2-40B4-BE49-F238E27FC236}">
              <a16:creationId xmlns:a16="http://schemas.microsoft.com/office/drawing/2014/main" id="{89F88A3B-87FE-0516-AFC1-195B20EB0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590550</xdr:colOff>
      <xdr:row>2</xdr:row>
      <xdr:rowOff>33337</xdr:rowOff>
    </xdr:from>
    <xdr:to>
      <xdr:col>51</xdr:col>
      <xdr:colOff>1094475</xdr:colOff>
      <xdr:row>19</xdr:row>
      <xdr:rowOff>107137</xdr:rowOff>
    </xdr:to>
    <xdr:graphicFrame macro="">
      <xdr:nvGraphicFramePr>
        <xdr:cNvPr id="3" name="Chart 2">
          <a:extLst>
            <a:ext uri="{FF2B5EF4-FFF2-40B4-BE49-F238E27FC236}">
              <a16:creationId xmlns:a16="http://schemas.microsoft.com/office/drawing/2014/main" id="{1320FCA5-FF70-2C2F-3FC5-3C897B54A7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200025</xdr:colOff>
          <xdr:row>0</xdr:row>
          <xdr:rowOff>57150</xdr:rowOff>
        </xdr:from>
        <xdr:to>
          <xdr:col>50</xdr:col>
          <xdr:colOff>819150</xdr:colOff>
          <xdr:row>1</xdr:row>
          <xdr:rowOff>85725</xdr:rowOff>
        </xdr:to>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200-00002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990744212962" createdVersion="8" refreshedVersion="8" minRefreshableVersion="3" recordCount="12" xr:uid="{A3630FD2-6B39-466B-A7E2-E085B0B62042}">
  <cacheSource type="worksheet">
    <worksheetSource name="Table_DuPhong"/>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Đối tác" numFmtId="0">
      <sharedItems count="4">
        <s v="DT1"/>
        <s v="DT2"/>
        <s v="DT3"/>
        <s v="DT4"/>
      </sharedItems>
    </cacheField>
    <cacheField name="Giá trị nợ" numFmtId="164">
      <sharedItems containsSemiMixedTypes="0" containsString="0" containsNumber="1" containsInteger="1" minValue="336509" maxValue="3885358"/>
    </cacheField>
    <cacheField name="Dự phòng" numFmtId="164">
      <sharedItems containsString="0" containsBlank="1" containsNumber="1" minValue="0" maxValue="833032.05"/>
    </cacheField>
    <cacheField name="Tỷ lệ" numFmtId="169">
      <sharedItems containsSemiMixedTypes="0" containsString="0" containsNumber="1" minValue="0" maxValue="0.21440290701654777"/>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1391644"/>
    <n v="100120.85"/>
    <n v="7.1944297535864066E-2"/>
  </r>
  <r>
    <x v="0"/>
    <x v="1"/>
    <n v="1934814"/>
    <m/>
    <n v="0"/>
  </r>
  <r>
    <x v="0"/>
    <x v="2"/>
    <n v="834684"/>
    <n v="15956"/>
    <n v="1.9116216436399883E-2"/>
  </r>
  <r>
    <x v="0"/>
    <x v="3"/>
    <n v="2076814"/>
    <n v="39252.400000000001"/>
    <n v="1.8900296319265954E-2"/>
  </r>
  <r>
    <x v="1"/>
    <x v="0"/>
    <n v="2441041"/>
    <n v="308313.05000000005"/>
    <n v="0.1263039211549499"/>
  </r>
  <r>
    <x v="1"/>
    <x v="1"/>
    <n v="1407295"/>
    <n v="255621.30000000002"/>
    <n v="0.1816401678397209"/>
  </r>
  <r>
    <x v="1"/>
    <x v="2"/>
    <n v="1918396"/>
    <n v="0"/>
    <n v="0"/>
  </r>
  <r>
    <x v="1"/>
    <x v="3"/>
    <n v="2276343"/>
    <n v="403598.5"/>
    <n v="0.17730126786692516"/>
  </r>
  <r>
    <x v="2"/>
    <x v="0"/>
    <n v="2406087"/>
    <n v="295334.45"/>
    <n v="0.1227447095637024"/>
  </r>
  <r>
    <x v="2"/>
    <x v="1"/>
    <n v="336509"/>
    <n v="50476.35"/>
    <n v="0.15"/>
  </r>
  <r>
    <x v="2"/>
    <x v="2"/>
    <n v="1729460"/>
    <n v="146809.5"/>
    <n v="8.488747932880783E-2"/>
  </r>
  <r>
    <x v="2"/>
    <x v="3"/>
    <n v="3885358"/>
    <n v="833032.05"/>
    <n v="0.214402907016547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6C99EC-C409-46FE-8EF9-08CB9C706624}" name="PivotTable6"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R23:V28"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showAll="0"/>
    <pivotField dataField="1" numFmtId="16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4">
    <i>
      <x/>
    </i>
    <i>
      <x v="1"/>
    </i>
    <i>
      <x v="2"/>
    </i>
    <i>
      <x v="3"/>
    </i>
  </colItems>
  <dataFields count="1">
    <dataField name="Tỷ lệ dự phòng" fld="4" baseField="0" baseItem="0" numFmtId="169"/>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F2DDA6-686F-44C1-AD4F-9364FBF86934}" name="PivotTable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B22:F27"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dataField="1" showAll="0"/>
    <pivotField numFmtId="16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4">
    <i>
      <x/>
    </i>
    <i>
      <x v="1"/>
    </i>
    <i>
      <x v="2"/>
    </i>
    <i>
      <x v="3"/>
    </i>
  </colItems>
  <dataFields count="1">
    <dataField name="Dự phòng " fld="3"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AO22:AQ29" totalsRowShown="0" headerRowDxfId="23" dataDxfId="22">
  <autoFilter ref="AO22:AQ29" xr:uid="{816E18EB-DD5B-4530-8FB2-641A17DF6321}"/>
  <tableColumns count="3">
    <tableColumn id="1" xr3:uid="{6665C849-493D-497D-BB00-131408145B34}" name="Ngày phát sinh" dataDxfId="21"/>
    <tableColumn id="2" xr3:uid="{417CEACE-3018-4C1D-AB51-9B2FB2C2DAC3}" name="Giá trị nợ" dataDxfId="20" dataCellStyle="Comma">
      <calculatedColumnFormula array="1"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calculatedColumnFormula>
    </tableColumn>
    <tableColumn id="3" xr3:uid="{7AE36EE8-E8C4-4713-A391-0E09E8C1F55C}" name="Tuổi nợ" dataDxfId="19" dataCellStyle="Comma">
      <calculatedColumnFormula>IF(Table_PhaiThu_TuoiNoKH[[#This Row],[Giá trị nợ]] =0, 0, NoXau_NgayTheoDoi-Table_PhaiThu_TuoiNoKH[[#This Row],[Ngày phát sinh]])</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AI22:AL26" totalsRowShown="0" headerRowDxfId="18" dataDxfId="17">
  <autoFilter ref="AI22:AL26" xr:uid="{7A27FC43-910A-457B-805C-D46DCCD5E66C}"/>
  <tableColumns count="4">
    <tableColumn id="6" xr3:uid="{0EE4CA27-15CF-4AE5-9AFD-0DBACDB7AC4D}" name="Tuổi nợ min" dataDxfId="16" dataCellStyle="Comma"/>
    <tableColumn id="1" xr3:uid="{5EBDDF4C-7F69-4DEA-92AA-912BB746F731}" name="Tuổi nợ max" dataDxfId="15" dataCellStyle="Comma"/>
    <tableColumn id="2" xr3:uid="{28C4EA9F-A79D-442E-A06D-4A07A80FFC40}" name="Tỷ lệ dự phòng" dataDxfId="14" dataCellStyle="Percent"/>
    <tableColumn id="3" xr3:uid="{21C05676-D8D6-4426-91D8-FCF3582641C4}" name="Giá trị dự phòng" dataDxfId="13" dataCellStyle="Comma">
      <calculatedColumnFormula array="1"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S22:AW34" totalsRowShown="0" headerRowDxfId="12" dataDxfId="11">
  <autoFilter ref="AS22:AW34" xr:uid="{F34E1FD4-2D19-4D23-B4A7-1AA3B8DAD6B1}"/>
  <tableColumns count="5">
    <tableColumn id="1" xr3:uid="{7037269D-0955-488E-AB4D-E864778EA0EF}" name="Ngày dự phòng" dataDxfId="10"/>
    <tableColumn id="2" xr3:uid="{4D0A059D-BE97-475F-969C-DF6CEB206B2D}" name="Đối tác" dataDxfId="9"/>
    <tableColumn id="6" xr3:uid="{E06FBEFB-AE77-4D1B-AAEB-FCA3817607A8}" name="Giá trị nợ" dataDxfId="8">
      <calculatedColumnFormula array="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calculatedColumnFormula>
    </tableColumn>
    <tableColumn id="3" xr3:uid="{464D14DA-2C8B-4736-B46F-63E7EAFD2FA0}" name="Dự phòng" dataDxfId="7" dataCellStyle="Comma"/>
    <tableColumn id="5" xr3:uid="{F7C01699-9BAD-4F06-8DEC-80168BE37100}" name="Tỷ lệ" dataDxfId="6" dataCellStyle="Percent">
      <calculatedColumnFormula>Table_DuPhong[[#This Row],[Dự phòng]]/Table_DuPhong[[#This Row],[Giá trị nợ]]</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AY22:BB58" totalsRowShown="0" headerRowDxfId="5" dataDxfId="4">
  <autoFilter ref="AY22:BB58" xr:uid="{A6B1C031-348A-44B9-8D33-5EE5EC82DEAF}"/>
  <sortState xmlns:xlrd2="http://schemas.microsoft.com/office/spreadsheetml/2017/richdata2" ref="AY23:BB58">
    <sortCondition descending="1" ref="AY22:AY58"/>
  </sortState>
  <tableColumns count="4">
    <tableColumn id="2" xr3:uid="{491FCAFA-B1AD-46FB-8647-AA401FFD2AAA}" name="Ngày GD" dataDxfId="3"/>
    <tableColumn id="3" xr3:uid="{B9BD7AA2-C1D5-4E64-8D16-409D287CC48C}" name="Loại GD" dataDxfId="2"/>
    <tableColumn id="5" xr3:uid="{49A47456-4C51-4447-84B0-C657FFDF4DD6}" name="Đối tác" dataDxfId="1"/>
    <tableColumn id="7" xr3:uid="{4E5E42A3-26F6-4DBE-8D74-7F5305C9516A}" name="Giá trị GD"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table" Target="../tables/table1.xml"/><Relationship Id="rId3" Type="http://schemas.openxmlformats.org/officeDocument/2006/relationships/printerSettings" Target="../printerSettings/printerSettings1.bin"/><Relationship Id="rId21" Type="http://schemas.openxmlformats.org/officeDocument/2006/relationships/table" Target="../tables/table4.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hidden="1" customWidth="1"/>
    <col min="27" max="16384" width="9" style="7"/>
  </cols>
  <sheetData>
    <row r="1" spans="1:26" x14ac:dyDescent="0.3">
      <c r="A1" s="13" t="s">
        <v>21</v>
      </c>
      <c r="B1" s="14" t="s">
        <v>9</v>
      </c>
      <c r="C1" s="15" t="s">
        <v>10</v>
      </c>
      <c r="D1" s="17" t="s">
        <v>22</v>
      </c>
      <c r="E1" s="17" t="s">
        <v>23</v>
      </c>
      <c r="F1" s="13" t="s">
        <v>24</v>
      </c>
      <c r="G1" s="16" t="s">
        <v>25</v>
      </c>
      <c r="H1" s="13" t="s">
        <v>26</v>
      </c>
      <c r="I1" s="13" t="s">
        <v>27</v>
      </c>
      <c r="J1" s="16" t="s">
        <v>28</v>
      </c>
      <c r="K1" s="16" t="s">
        <v>29</v>
      </c>
      <c r="L1" s="16" t="s">
        <v>30</v>
      </c>
      <c r="M1" s="16" t="s">
        <v>31</v>
      </c>
      <c r="N1" s="29"/>
      <c r="O1" s="29"/>
      <c r="P1" s="29"/>
      <c r="Q1" s="29"/>
      <c r="R1" s="29"/>
      <c r="S1" s="29"/>
      <c r="T1" s="29"/>
      <c r="U1" s="29"/>
      <c r="V1" s="29"/>
      <c r="W1" s="29"/>
      <c r="X1" s="29"/>
      <c r="Y1" s="29"/>
      <c r="Z1" s="7" t="s">
        <v>33</v>
      </c>
    </row>
    <row r="2" spans="1:26" x14ac:dyDescent="0.3">
      <c r="A2" s="29"/>
      <c r="B2" s="7" t="s">
        <v>55</v>
      </c>
      <c r="C2" s="7" t="s">
        <v>56</v>
      </c>
      <c r="D2" s="18">
        <v>45748</v>
      </c>
      <c r="E2" s="18">
        <v>46113</v>
      </c>
      <c r="F2" s="29">
        <v>365</v>
      </c>
      <c r="G2" s="7" t="s">
        <v>35</v>
      </c>
      <c r="H2" s="29"/>
      <c r="I2" s="29"/>
      <c r="J2" s="29"/>
      <c r="K2" s="29"/>
      <c r="L2" s="29"/>
      <c r="M2" s="29"/>
      <c r="N2" s="29"/>
      <c r="O2" s="29"/>
      <c r="P2" s="29"/>
      <c r="Q2" s="29"/>
      <c r="R2" s="29"/>
      <c r="S2" s="29"/>
      <c r="T2" s="29"/>
      <c r="U2" s="29"/>
      <c r="V2" s="29"/>
      <c r="W2" s="29"/>
      <c r="X2" s="29"/>
      <c r="Y2" s="29"/>
      <c r="Z2" s="2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8" bestFit="1" customWidth="1"/>
    <col min="2" max="16384" width="9" style="8"/>
  </cols>
  <sheetData>
    <row r="2" spans="1:2" x14ac:dyDescent="0.3">
      <c r="A2" s="8" t="s">
        <v>57</v>
      </c>
    </row>
    <row r="4" spans="1:2" ht="37.5" x14ac:dyDescent="0.3">
      <c r="A4" s="11" t="s">
        <v>0</v>
      </c>
      <c r="B4" s="11" t="s">
        <v>1</v>
      </c>
    </row>
    <row r="5" spans="1:2" ht="17.25" x14ac:dyDescent="0.3">
      <c r="A5" s="24"/>
      <c r="B5" s="19" t="s">
        <v>36</v>
      </c>
    </row>
    <row r="6" spans="1:2" ht="17.25" x14ac:dyDescent="0.3">
      <c r="A6" s="24"/>
      <c r="B6" s="19" t="s">
        <v>32</v>
      </c>
    </row>
    <row r="7" spans="1:2" ht="17.25" x14ac:dyDescent="0.3">
      <c r="A7" s="24"/>
      <c r="B7" s="19" t="s">
        <v>37</v>
      </c>
    </row>
    <row r="8" spans="1:2" ht="17.25" x14ac:dyDescent="0.3">
      <c r="A8" s="24"/>
      <c r="B8" s="19" t="s">
        <v>38</v>
      </c>
    </row>
    <row r="9" spans="1:2" ht="17.25" x14ac:dyDescent="0.3">
      <c r="A9" s="24"/>
      <c r="B9" s="20" t="s">
        <v>39</v>
      </c>
    </row>
    <row r="10" spans="1:2" x14ac:dyDescent="0.3">
      <c r="A10" s="24"/>
      <c r="B10" s="24"/>
    </row>
    <row r="11" spans="1:2" ht="37.5" x14ac:dyDescent="0.3">
      <c r="A11" s="11" t="s">
        <v>7</v>
      </c>
      <c r="B11" s="11" t="s">
        <v>8</v>
      </c>
    </row>
    <row r="12" spans="1:2" x14ac:dyDescent="0.3">
      <c r="A12" s="12" t="s">
        <v>9</v>
      </c>
      <c r="B12" s="8" t="s">
        <v>55</v>
      </c>
    </row>
    <row r="13" spans="1:2" x14ac:dyDescent="0.3">
      <c r="A13" s="12" t="s">
        <v>10</v>
      </c>
      <c r="B13" s="8" t="s">
        <v>56</v>
      </c>
    </row>
    <row r="14" spans="1:2" ht="17.25" x14ac:dyDescent="0.3">
      <c r="A14" s="24"/>
      <c r="B14" s="9" t="s">
        <v>2</v>
      </c>
    </row>
    <row r="15" spans="1:2" ht="17.25" x14ac:dyDescent="0.3">
      <c r="A15" s="24"/>
      <c r="B15" s="9" t="s">
        <v>3</v>
      </c>
    </row>
    <row r="16" spans="1:2" ht="17.25" x14ac:dyDescent="0.3">
      <c r="A16" s="24"/>
      <c r="B16" s="9" t="s">
        <v>4</v>
      </c>
    </row>
    <row r="17" spans="1:2" ht="17.25" x14ac:dyDescent="0.3">
      <c r="A17" s="24"/>
      <c r="B17" s="9" t="s">
        <v>5</v>
      </c>
    </row>
    <row r="18" spans="1:2" ht="17.25" x14ac:dyDescent="0.3">
      <c r="A18" s="24"/>
      <c r="B18" s="10" t="s">
        <v>6</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tint="0.79998168889431442"/>
    <outlinePr summaryRight="0"/>
  </sheetPr>
  <dimension ref="A1:BB58"/>
  <sheetViews>
    <sheetView showGridLines="0" zoomScaleNormal="100" workbookViewId="0">
      <selection activeCell="AP32" sqref="AP32"/>
    </sheetView>
  </sheetViews>
  <sheetFormatPr defaultRowHeight="18" customHeight="1" outlineLevelRow="1" outlineLevelCol="1" x14ac:dyDescent="0.3"/>
  <cols>
    <col min="1" max="1" width="1.25" style="1" customWidth="1" collapsed="1"/>
    <col min="2" max="2" width="12.875" style="1" hidden="1" customWidth="1" outlineLevel="1"/>
    <col min="3" max="3" width="16.125" style="1" hidden="1" customWidth="1" outlineLevel="1"/>
    <col min="4" max="4" width="11.25" style="1" hidden="1" customWidth="1" outlineLevel="1"/>
    <col min="5" max="5" width="10.125" style="1" hidden="1" customWidth="1" outlineLevel="1"/>
    <col min="6" max="6" width="12.375" style="1" hidden="1" customWidth="1" outlineLevel="1"/>
    <col min="7" max="17" width="1.25" style="1" hidden="1" customWidth="1" outlineLevel="1"/>
    <col min="18" max="18" width="14.75" style="1" hidden="1" customWidth="1" outlineLevel="1"/>
    <col min="19" max="19" width="16.125" style="1" hidden="1" customWidth="1" outlineLevel="1"/>
    <col min="20" max="20" width="6.625" style="1" hidden="1" customWidth="1" outlineLevel="1"/>
    <col min="21" max="21" width="6.25" style="1" hidden="1" customWidth="1" outlineLevel="1"/>
    <col min="22" max="22" width="5.875" style="1" hidden="1" customWidth="1" outlineLevel="1"/>
    <col min="23" max="23" width="11.5" style="1" hidden="1" customWidth="1" outlineLevel="1"/>
    <col min="24" max="33" width="1.25" style="1" hidden="1" customWidth="1" outlineLevel="1"/>
    <col min="34" max="34" width="1.25" style="1" customWidth="1"/>
    <col min="35" max="35" width="13.875" style="5" customWidth="1"/>
    <col min="36" max="36" width="11.375" style="1" bestFit="1" customWidth="1"/>
    <col min="37" max="38" width="13.375" style="1" bestFit="1" customWidth="1"/>
    <col min="39" max="39" width="1.25" style="1" customWidth="1"/>
    <col min="40" max="40" width="9.5" style="41" customWidth="1"/>
    <col min="41" max="41" width="13" style="1" bestFit="1" customWidth="1"/>
    <col min="42" max="42" width="12.125" style="1" customWidth="1" collapsed="1"/>
    <col min="43" max="43" width="11.875" style="1" customWidth="1"/>
    <col min="44" max="44" width="1.25" style="1" customWidth="1"/>
    <col min="45" max="45" width="13.5" style="1" bestFit="1" customWidth="1"/>
    <col min="46" max="46" width="10" style="1" bestFit="1" customWidth="1"/>
    <col min="47" max="47" width="10" style="1" customWidth="1"/>
    <col min="48" max="48" width="14.25" style="5" bestFit="1" customWidth="1"/>
    <col min="49" max="49" width="14.25" style="5" customWidth="1"/>
    <col min="50" max="50" width="1.25" style="1" customWidth="1"/>
    <col min="51" max="51" width="11.5" style="1" customWidth="1"/>
    <col min="52" max="52" width="22.25" style="1" customWidth="1"/>
    <col min="53" max="16384" width="9" style="1"/>
  </cols>
  <sheetData>
    <row r="1" spans="40:47" ht="18" customHeight="1" x14ac:dyDescent="0.3">
      <c r="AP1" s="23" cm="1">
        <f t="array" ref="AP1" xml:space="preserve">
IFERROR(
SUM(_xlfn._xlws.FILTER(Table_ThuChiKD[Giá trị GD],
(Table_ThuChiKD[Đối tác] = NoXau_MaKH) *
(Table_ThuChiKD[Loại GD] = "Phát sinh phải trả / Thu tiền") *
(Table_ThuChiKD[Ngày GD] &lt;= NoXau_NgayTheoDoi)
)),0)</f>
        <v>252262</v>
      </c>
      <c r="AS1" s="2" t="s">
        <v>17</v>
      </c>
      <c r="AT1" s="39">
        <v>45777</v>
      </c>
    </row>
    <row r="2" spans="40:47" ht="18" customHeight="1" x14ac:dyDescent="0.3">
      <c r="AQ2" s="2"/>
      <c r="AS2" s="2" t="s">
        <v>15</v>
      </c>
      <c r="AT2" s="21" t="s">
        <v>50</v>
      </c>
    </row>
    <row r="3" spans="40:47" s="2" customFormat="1" ht="18" customHeight="1" outlineLevel="1" x14ac:dyDescent="0.3">
      <c r="AN3" s="46"/>
      <c r="AS3" s="1"/>
      <c r="AT3" s="1"/>
      <c r="AU3" s="1"/>
    </row>
    <row r="4" spans="40:47" s="2" customFormat="1" ht="18" customHeight="1" outlineLevel="1" x14ac:dyDescent="0.3">
      <c r="AN4" s="46"/>
      <c r="AS4" s="1"/>
      <c r="AT4" s="1"/>
      <c r="AU4" s="1"/>
    </row>
    <row r="5" spans="40:47" s="2" customFormat="1" ht="18" customHeight="1" outlineLevel="1" x14ac:dyDescent="0.3">
      <c r="AN5" s="46"/>
      <c r="AS5" s="1"/>
      <c r="AT5" s="1"/>
      <c r="AU5" s="1"/>
    </row>
    <row r="6" spans="40:47" s="2" customFormat="1" ht="18" customHeight="1" outlineLevel="1" x14ac:dyDescent="0.3">
      <c r="AN6" s="46"/>
      <c r="AS6" s="1"/>
      <c r="AT6" s="1"/>
      <c r="AU6" s="1"/>
    </row>
    <row r="7" spans="40:47" s="2" customFormat="1" ht="18" customHeight="1" outlineLevel="1" x14ac:dyDescent="0.3">
      <c r="AN7" s="46"/>
      <c r="AS7" s="1"/>
      <c r="AT7" s="1"/>
      <c r="AU7" s="1"/>
    </row>
    <row r="8" spans="40:47" s="2" customFormat="1" ht="18" customHeight="1" outlineLevel="1" x14ac:dyDescent="0.3">
      <c r="AN8" s="46"/>
      <c r="AS8" s="1"/>
      <c r="AT8" s="1"/>
      <c r="AU8" s="1"/>
    </row>
    <row r="9" spans="40:47" s="2" customFormat="1" ht="18" customHeight="1" outlineLevel="1" x14ac:dyDescent="0.3">
      <c r="AN9" s="46"/>
      <c r="AS9" s="1"/>
      <c r="AT9" s="1"/>
      <c r="AU9" s="1"/>
    </row>
    <row r="10" spans="40:47" s="2" customFormat="1" ht="18" customHeight="1" outlineLevel="1" x14ac:dyDescent="0.3">
      <c r="AN10" s="46"/>
      <c r="AS10" s="1"/>
      <c r="AT10" s="1"/>
      <c r="AU10" s="1"/>
    </row>
    <row r="11" spans="40:47" s="2" customFormat="1" ht="18" customHeight="1" outlineLevel="1" x14ac:dyDescent="0.3">
      <c r="AN11" s="46"/>
      <c r="AS11" s="1"/>
      <c r="AT11" s="1"/>
      <c r="AU11" s="1"/>
    </row>
    <row r="12" spans="40:47" s="2" customFormat="1" ht="18" customHeight="1" outlineLevel="1" x14ac:dyDescent="0.3">
      <c r="AN12" s="46"/>
      <c r="AS12" s="1"/>
      <c r="AT12" s="1"/>
      <c r="AU12" s="1"/>
    </row>
    <row r="13" spans="40:47" s="2" customFormat="1" ht="18" customHeight="1" outlineLevel="1" x14ac:dyDescent="0.3">
      <c r="AN13" s="46"/>
      <c r="AS13" s="1"/>
      <c r="AT13" s="1"/>
      <c r="AU13" s="1"/>
    </row>
    <row r="14" spans="40:47" s="2" customFormat="1" ht="18" customHeight="1" outlineLevel="1" x14ac:dyDescent="0.3">
      <c r="AN14" s="46"/>
      <c r="AS14" s="1"/>
      <c r="AT14" s="1"/>
      <c r="AU14" s="1"/>
    </row>
    <row r="15" spans="40:47" s="2" customFormat="1" ht="18" customHeight="1" outlineLevel="1" x14ac:dyDescent="0.3">
      <c r="AN15" s="46"/>
      <c r="AS15" s="1"/>
      <c r="AT15" s="1"/>
      <c r="AU15" s="1"/>
    </row>
    <row r="16" spans="40:47" s="2" customFormat="1" ht="18" customHeight="1" outlineLevel="1" x14ac:dyDescent="0.3">
      <c r="AN16" s="46"/>
      <c r="AS16" s="1"/>
      <c r="AT16" s="1"/>
      <c r="AU16" s="1"/>
    </row>
    <row r="17" spans="2:54" s="2" customFormat="1" ht="18" customHeight="1" outlineLevel="1" x14ac:dyDescent="0.3">
      <c r="AN17" s="46"/>
      <c r="AS17" s="1"/>
      <c r="AT17" s="1"/>
      <c r="AU17" s="1"/>
    </row>
    <row r="18" spans="2:54" s="2" customFormat="1" ht="18" customHeight="1" outlineLevel="1" x14ac:dyDescent="0.3">
      <c r="AN18" s="46"/>
      <c r="AS18" s="1"/>
      <c r="AT18" s="1"/>
      <c r="AU18" s="1"/>
    </row>
    <row r="19" spans="2:54" s="2" customFormat="1" ht="18" customHeight="1" outlineLevel="1" x14ac:dyDescent="0.3">
      <c r="AN19" s="46"/>
      <c r="AS19" s="1"/>
      <c r="AT19" s="1"/>
      <c r="AU19" s="1"/>
    </row>
    <row r="20" spans="2:54" s="2" customFormat="1" ht="18" customHeight="1" outlineLevel="1" x14ac:dyDescent="0.3">
      <c r="AN20" s="46"/>
      <c r="AS20" s="1"/>
      <c r="AT20" s="1"/>
      <c r="AU20" s="1"/>
      <c r="AY20" s="34"/>
    </row>
    <row r="21" spans="2:54" ht="18" customHeight="1" x14ac:dyDescent="0.3">
      <c r="AK21" s="2"/>
      <c r="AL21" s="22">
        <f>SUM(Table_PhaiThu_DuPhong[Giá trị dự phòng])</f>
        <v>308313.05000000005</v>
      </c>
      <c r="AV21" s="22"/>
      <c r="AW21" s="22"/>
    </row>
    <row r="22" spans="2:54" ht="16.5" x14ac:dyDescent="0.3">
      <c r="B22" s="43" t="s">
        <v>54</v>
      </c>
      <c r="C22" s="43" t="s">
        <v>53</v>
      </c>
      <c r="D22"/>
      <c r="E22"/>
      <c r="F22"/>
      <c r="AI22" s="1" t="s">
        <v>11</v>
      </c>
      <c r="AJ22" s="1" t="s">
        <v>12</v>
      </c>
      <c r="AK22" s="1" t="s">
        <v>13</v>
      </c>
      <c r="AL22" s="1" t="s">
        <v>40</v>
      </c>
      <c r="AO22" s="1" t="s">
        <v>45</v>
      </c>
      <c r="AP22" s="1" t="s">
        <v>41</v>
      </c>
      <c r="AQ22" s="1" t="s">
        <v>14</v>
      </c>
      <c r="AS22" s="6" t="s">
        <v>17</v>
      </c>
      <c r="AT22" s="1" t="s">
        <v>16</v>
      </c>
      <c r="AU22" s="1" t="s">
        <v>41</v>
      </c>
      <c r="AV22" s="1" t="s">
        <v>42</v>
      </c>
      <c r="AW22" s="1" t="s">
        <v>44</v>
      </c>
      <c r="AY22" s="6" t="s">
        <v>18</v>
      </c>
      <c r="AZ22" s="6" t="s">
        <v>19</v>
      </c>
      <c r="BA22" s="6" t="s">
        <v>16</v>
      </c>
      <c r="BB22" s="6" t="s">
        <v>20</v>
      </c>
    </row>
    <row r="23" spans="2:54" ht="16.5" x14ac:dyDescent="0.3">
      <c r="B23" s="43" t="s">
        <v>51</v>
      </c>
      <c r="C23" t="s">
        <v>50</v>
      </c>
      <c r="D23" t="s">
        <v>47</v>
      </c>
      <c r="E23" t="s">
        <v>48</v>
      </c>
      <c r="F23" t="s">
        <v>49</v>
      </c>
      <c r="R23" s="43" t="s">
        <v>13</v>
      </c>
      <c r="S23" s="43" t="s">
        <v>53</v>
      </c>
      <c r="T23"/>
      <c r="U23"/>
      <c r="V23"/>
      <c r="W23"/>
      <c r="X23"/>
      <c r="Y23"/>
      <c r="Z23"/>
      <c r="AA23"/>
      <c r="AB23"/>
      <c r="AC23"/>
      <c r="AD23"/>
      <c r="AE23"/>
      <c r="AF23"/>
      <c r="AG23"/>
      <c r="AI23" s="3">
        <v>0</v>
      </c>
      <c r="AJ23" s="3">
        <v>15</v>
      </c>
      <c r="AK23" s="32">
        <v>0</v>
      </c>
      <c r="AL23" s="4" cm="1">
        <f t="array" ref="AL23"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3" s="41" cm="1">
        <f t="array" ref="AN23:AN28">_xlfn.UNIQUE(
_xlfn._xlws.FILTER(Table_ThuChiKD[Ngày GD],
(Table_ThuChiKD[Loại GD]="Phát sinh phải thu / Chi tiền")*
(Table_ThuChiKD[Đối tác]=NoXau_MaKH)
))</f>
        <v>45807</v>
      </c>
      <c r="AO23" s="30">
        <v>45807</v>
      </c>
      <c r="AP23" s="4" cm="1">
        <f t="array" ref="AP23"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3" s="4">
        <f>IF(Table_PhaiThu_TuoiNoKH[[#This Row],[Giá trị nợ]] =0, 0, NoXau_NgayTheoDoi-Table_PhaiThu_TuoiNoKH[[#This Row],[Ngày phát sinh]])</f>
        <v>0</v>
      </c>
      <c r="AS23" s="31">
        <v>45747</v>
      </c>
      <c r="AT23" s="1" t="s">
        <v>50</v>
      </c>
      <c r="AU23" s="40" cm="1">
        <f t="array" ref="AU2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1391644</v>
      </c>
      <c r="AV23" s="3">
        <v>100120.85</v>
      </c>
      <c r="AW23" s="42">
        <f>Table_DuPhong[[#This Row],[Dự phòng]]/Table_DuPhong[[#This Row],[Giá trị nợ]]</f>
        <v>7.1944297535864066E-2</v>
      </c>
      <c r="AY23" s="30">
        <v>45808</v>
      </c>
      <c r="AZ23" s="37" t="s">
        <v>46</v>
      </c>
      <c r="BA23" s="37" t="s">
        <v>47</v>
      </c>
      <c r="BB23" s="38">
        <v>187723</v>
      </c>
    </row>
    <row r="24" spans="2:54" ht="16.5" x14ac:dyDescent="0.3">
      <c r="B24" s="44">
        <v>45747</v>
      </c>
      <c r="C24">
        <v>100120.85</v>
      </c>
      <c r="D24"/>
      <c r="E24">
        <v>15956</v>
      </c>
      <c r="F24">
        <v>39252.400000000001</v>
      </c>
      <c r="R24" s="43" t="s">
        <v>51</v>
      </c>
      <c r="S24" t="s">
        <v>50</v>
      </c>
      <c r="T24" t="s">
        <v>47</v>
      </c>
      <c r="U24" t="s">
        <v>48</v>
      </c>
      <c r="V24" t="s">
        <v>49</v>
      </c>
      <c r="W24"/>
      <c r="X24"/>
      <c r="Y24"/>
      <c r="Z24"/>
      <c r="AA24"/>
      <c r="AB24"/>
      <c r="AC24"/>
      <c r="AD24"/>
      <c r="AE24"/>
      <c r="AF24"/>
      <c r="AG24"/>
      <c r="AI24" s="3">
        <v>15</v>
      </c>
      <c r="AJ24" s="3">
        <v>30</v>
      </c>
      <c r="AK24" s="32">
        <v>0.05</v>
      </c>
      <c r="AL24" s="4" cm="1">
        <f t="array" ref="AL24"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108071.35</v>
      </c>
      <c r="AN24" s="41">
        <v>45796</v>
      </c>
      <c r="AO24" s="30">
        <v>45796</v>
      </c>
      <c r="AP24" s="4" cm="1">
        <f t="array" ref="AP24"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4" s="4">
        <f>IF(Table_PhaiThu_TuoiNoKH[[#This Row],[Giá trị nợ]] =0, 0, NoXau_NgayTheoDoi-Table_PhaiThu_TuoiNoKH[[#This Row],[Ngày phát sinh]])</f>
        <v>0</v>
      </c>
      <c r="AS24" s="31">
        <v>45747</v>
      </c>
      <c r="AT24" s="1" t="s">
        <v>47</v>
      </c>
      <c r="AU24" s="40" cm="1">
        <f t="array" ref="AU2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1934814</v>
      </c>
      <c r="AV24" s="3"/>
      <c r="AW24" s="42">
        <f>Table_DuPhong[[#This Row],[Dự phòng]]/Table_DuPhong[[#This Row],[Giá trị nợ]]</f>
        <v>0</v>
      </c>
      <c r="AY24" s="30">
        <v>45807</v>
      </c>
      <c r="AZ24" s="35" t="s">
        <v>43</v>
      </c>
      <c r="BA24" s="35" t="s">
        <v>50</v>
      </c>
      <c r="BB24" s="36">
        <v>348662</v>
      </c>
    </row>
    <row r="25" spans="2:54" ht="16.5" x14ac:dyDescent="0.3">
      <c r="B25" s="44">
        <v>45777</v>
      </c>
      <c r="C25">
        <v>308313.05000000005</v>
      </c>
      <c r="D25">
        <v>255621.30000000002</v>
      </c>
      <c r="E25">
        <v>0</v>
      </c>
      <c r="F25">
        <v>403598.5</v>
      </c>
      <c r="R25" s="44">
        <v>45747</v>
      </c>
      <c r="S25" s="45">
        <v>7.1944297535864066E-2</v>
      </c>
      <c r="T25" s="45">
        <v>0</v>
      </c>
      <c r="U25" s="45">
        <v>1.9116216436399883E-2</v>
      </c>
      <c r="V25" s="45">
        <v>1.8900296319265954E-2</v>
      </c>
      <c r="W25"/>
      <c r="X25" s="45"/>
      <c r="Y25" s="45"/>
      <c r="Z25" s="45"/>
      <c r="AA25" s="45"/>
      <c r="AB25" s="45"/>
      <c r="AC25" s="45"/>
      <c r="AD25" s="45"/>
      <c r="AE25" s="45"/>
      <c r="AF25" s="45"/>
      <c r="AG25" s="45"/>
      <c r="AI25" s="3">
        <v>30</v>
      </c>
      <c r="AJ25" s="3">
        <v>60</v>
      </c>
      <c r="AK25" s="32">
        <v>0.1</v>
      </c>
      <c r="AL25" s="4" cm="1">
        <f t="array" ref="AL25"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200241.7</v>
      </c>
      <c r="AN25" s="41">
        <v>45772</v>
      </c>
      <c r="AO25" s="30">
        <v>45772</v>
      </c>
      <c r="AP25" s="4" cm="1">
        <f t="array" ref="AP25"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2441041</v>
      </c>
      <c r="AQ25" s="4">
        <f>IF(Table_PhaiThu_TuoiNoKH[[#This Row],[Giá trị nợ]] =0, 0, NoXau_NgayTheoDoi-Table_PhaiThu_TuoiNoKH[[#This Row],[Ngày phát sinh]])</f>
        <v>5</v>
      </c>
      <c r="AS25" s="31">
        <v>45747</v>
      </c>
      <c r="AT25" s="1" t="s">
        <v>48</v>
      </c>
      <c r="AU25" s="40" cm="1">
        <f t="array" ref="AU25">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834684</v>
      </c>
      <c r="AV25" s="3">
        <v>15956</v>
      </c>
      <c r="AW25" s="42">
        <f>Table_DuPhong[[#This Row],[Dự phòng]]/Table_DuPhong[[#This Row],[Giá trị nợ]]</f>
        <v>1.9116216436399883E-2</v>
      </c>
      <c r="AY25" s="30">
        <v>45806</v>
      </c>
      <c r="AZ25" s="35" t="s">
        <v>46</v>
      </c>
      <c r="BA25" s="35" t="s">
        <v>47</v>
      </c>
      <c r="BB25" s="36">
        <v>883063</v>
      </c>
    </row>
    <row r="26" spans="2:54" ht="16.5" x14ac:dyDescent="0.3">
      <c r="B26" s="44">
        <v>45808</v>
      </c>
      <c r="C26">
        <v>295334.45</v>
      </c>
      <c r="D26">
        <v>50476.35</v>
      </c>
      <c r="E26">
        <v>146809.5</v>
      </c>
      <c r="F26">
        <v>833032.05</v>
      </c>
      <c r="R26" s="44">
        <v>45777</v>
      </c>
      <c r="S26" s="45">
        <v>0.1263039211549499</v>
      </c>
      <c r="T26" s="45">
        <v>0.1816401678397209</v>
      </c>
      <c r="U26" s="45">
        <v>0</v>
      </c>
      <c r="V26" s="45">
        <v>0.17730126786692516</v>
      </c>
      <c r="W26"/>
      <c r="X26" s="45"/>
      <c r="Y26" s="45"/>
      <c r="Z26" s="45"/>
      <c r="AA26" s="45"/>
      <c r="AB26" s="45"/>
      <c r="AC26" s="45"/>
      <c r="AD26" s="45"/>
      <c r="AE26" s="45"/>
      <c r="AF26" s="45"/>
      <c r="AG26" s="45"/>
      <c r="AI26" s="3">
        <v>60</v>
      </c>
      <c r="AJ26" s="3"/>
      <c r="AK26" s="32">
        <v>0.15</v>
      </c>
      <c r="AL26" s="4" cm="1">
        <f t="array" ref="AL26"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6" s="41">
        <v>45748</v>
      </c>
      <c r="AO26" s="30">
        <v>45748</v>
      </c>
      <c r="AP26" s="4" cm="1">
        <f t="array" ref="AP26"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2161427</v>
      </c>
      <c r="AQ26" s="4">
        <f>IF(Table_PhaiThu_TuoiNoKH[[#This Row],[Giá trị nợ]] =0, 0, NoXau_NgayTheoDoi-Table_PhaiThu_TuoiNoKH[[#This Row],[Ngày phát sinh]])</f>
        <v>29</v>
      </c>
      <c r="AS26" s="31">
        <v>45747</v>
      </c>
      <c r="AT26" s="1" t="s">
        <v>49</v>
      </c>
      <c r="AU26" s="40" cm="1">
        <f t="array" ref="AU26">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2076814</v>
      </c>
      <c r="AV26" s="3">
        <v>39252.400000000001</v>
      </c>
      <c r="AW26" s="42">
        <f>Table_DuPhong[[#This Row],[Dự phòng]]/Table_DuPhong[[#This Row],[Giá trị nợ]]</f>
        <v>1.8900296319265954E-2</v>
      </c>
      <c r="AY26" s="30">
        <v>45806</v>
      </c>
      <c r="AZ26" s="35" t="s">
        <v>43</v>
      </c>
      <c r="BA26" s="35" t="s">
        <v>49</v>
      </c>
      <c r="BB26" s="36">
        <v>755210</v>
      </c>
    </row>
    <row r="27" spans="2:54" ht="16.5" x14ac:dyDescent="0.3">
      <c r="B27" s="44" t="s">
        <v>52</v>
      </c>
      <c r="C27">
        <v>703768.35000000009</v>
      </c>
      <c r="D27">
        <v>306097.65000000002</v>
      </c>
      <c r="E27">
        <v>162765.5</v>
      </c>
      <c r="F27">
        <v>1275882.9500000002</v>
      </c>
      <c r="R27" s="44">
        <v>45808</v>
      </c>
      <c r="S27" s="45">
        <v>0.1227447095637024</v>
      </c>
      <c r="T27" s="45">
        <v>0.15</v>
      </c>
      <c r="U27" s="45">
        <v>8.488747932880783E-2</v>
      </c>
      <c r="V27" s="45">
        <v>0.21440290701654777</v>
      </c>
      <c r="W27"/>
      <c r="X27" s="45"/>
      <c r="Y27" s="45"/>
      <c r="Z27" s="45"/>
      <c r="AA27" s="45"/>
      <c r="AB27" s="45"/>
      <c r="AC27" s="45"/>
      <c r="AD27" s="45"/>
      <c r="AE27" s="45"/>
      <c r="AF27" s="45"/>
      <c r="AG27" s="45"/>
      <c r="AN27" s="41">
        <v>45728</v>
      </c>
      <c r="AO27" s="30">
        <v>45728</v>
      </c>
      <c r="AP27" s="4" cm="1">
        <f t="array" ref="AP27"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1391644</v>
      </c>
      <c r="AQ27" s="4">
        <f>IF(Table_PhaiThu_TuoiNoKH[[#This Row],[Giá trị nợ]] =0, 0, NoXau_NgayTheoDoi-Table_PhaiThu_TuoiNoKH[[#This Row],[Ngày phát sinh]])</f>
        <v>49</v>
      </c>
      <c r="AS27" s="31">
        <v>45777</v>
      </c>
      <c r="AT27" s="1" t="s">
        <v>50</v>
      </c>
      <c r="AU27" s="40" cm="1">
        <f t="array" ref="AU27">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2441041</v>
      </c>
      <c r="AV27" s="3">
        <v>308313.05000000005</v>
      </c>
      <c r="AW27" s="42">
        <f>Table_DuPhong[[#This Row],[Dự phòng]]/Table_DuPhong[[#This Row],[Giá trị nợ]]</f>
        <v>0.1263039211549499</v>
      </c>
      <c r="AY27" s="30">
        <v>45802</v>
      </c>
      <c r="AZ27" s="35" t="s">
        <v>46</v>
      </c>
      <c r="BA27" s="35" t="s">
        <v>50</v>
      </c>
      <c r="BB27" s="36">
        <v>870450</v>
      </c>
    </row>
    <row r="28" spans="2:54" ht="16.5" x14ac:dyDescent="0.3">
      <c r="B28"/>
      <c r="C28"/>
      <c r="D28"/>
      <c r="R28" s="44" t="s">
        <v>52</v>
      </c>
      <c r="S28" s="45">
        <v>0.32099292825451636</v>
      </c>
      <c r="T28" s="45">
        <v>0.33164016783972089</v>
      </c>
      <c r="U28" s="45">
        <v>0.10400369576520771</v>
      </c>
      <c r="V28" s="45">
        <v>0.41060447120273891</v>
      </c>
      <c r="W28"/>
      <c r="X28" s="45"/>
      <c r="Y28" s="45"/>
      <c r="Z28" s="45"/>
      <c r="AA28" s="45"/>
      <c r="AB28" s="45"/>
      <c r="AC28" s="45"/>
      <c r="AD28" s="45"/>
      <c r="AE28" s="45"/>
      <c r="AF28" s="45"/>
      <c r="AG28" s="45"/>
      <c r="AN28" s="41">
        <v>45720</v>
      </c>
      <c r="AO28" s="30">
        <v>45720</v>
      </c>
      <c r="AP28" s="4" cm="1">
        <f t="array" ref="AP28"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610773</v>
      </c>
      <c r="AQ28" s="4">
        <f>IF(Table_PhaiThu_TuoiNoKH[[#This Row],[Giá trị nợ]] =0, 0, NoXau_NgayTheoDoi-Table_PhaiThu_TuoiNoKH[[#This Row],[Ngày phát sinh]])</f>
        <v>57</v>
      </c>
      <c r="AS28" s="31">
        <v>45777</v>
      </c>
      <c r="AT28" s="1" t="s">
        <v>47</v>
      </c>
      <c r="AU28" s="40" cm="1">
        <f t="array" ref="AU28">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1407295</v>
      </c>
      <c r="AV28" s="3">
        <v>255621.30000000002</v>
      </c>
      <c r="AW28" s="42">
        <f>Table_DuPhong[[#This Row],[Dự phòng]]/Table_DuPhong[[#This Row],[Giá trị nợ]]</f>
        <v>0.1816401678397209</v>
      </c>
      <c r="AY28" s="30">
        <v>45801</v>
      </c>
      <c r="AZ28" s="35" t="s">
        <v>46</v>
      </c>
      <c r="BA28" s="35" t="s">
        <v>50</v>
      </c>
      <c r="BB28" s="36">
        <v>197147</v>
      </c>
    </row>
    <row r="29" spans="2:54" ht="16.5" x14ac:dyDescent="0.3">
      <c r="B29"/>
      <c r="C29"/>
      <c r="D29"/>
      <c r="R29"/>
      <c r="S29"/>
      <c r="T29"/>
      <c r="AO29" s="30"/>
      <c r="AP29" s="4" cm="1">
        <f t="array" ref="AP29"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9" s="4">
        <f>IF(Table_PhaiThu_TuoiNoKH[[#This Row],[Giá trị nợ]] =0, 0, NoXau_NgayTheoDoi-Table_PhaiThu_TuoiNoKH[[#This Row],[Ngày phát sinh]])</f>
        <v>0</v>
      </c>
      <c r="AS29" s="31">
        <v>45777</v>
      </c>
      <c r="AT29" s="1" t="s">
        <v>48</v>
      </c>
      <c r="AU29" s="40" cm="1">
        <f t="array" ref="AU29">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1918396</v>
      </c>
      <c r="AV29" s="3">
        <v>0</v>
      </c>
      <c r="AW29" s="42">
        <f>Table_DuPhong[[#This Row],[Dự phòng]]/Table_DuPhong[[#This Row],[Giá trị nợ]]</f>
        <v>0</v>
      </c>
      <c r="AY29" s="30">
        <v>45799</v>
      </c>
      <c r="AZ29" s="35" t="s">
        <v>46</v>
      </c>
      <c r="BA29" s="35" t="s">
        <v>48</v>
      </c>
      <c r="BB29" s="36">
        <v>243906</v>
      </c>
    </row>
    <row r="30" spans="2:54" ht="16.5" x14ac:dyDescent="0.3">
      <c r="B30"/>
      <c r="C30"/>
      <c r="D30"/>
      <c r="R30"/>
      <c r="S30"/>
      <c r="T30"/>
      <c r="AS30" s="31">
        <v>45777</v>
      </c>
      <c r="AT30" s="1" t="s">
        <v>49</v>
      </c>
      <c r="AU30" s="40" cm="1">
        <f t="array" ref="AU30">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2276343</v>
      </c>
      <c r="AV30" s="3">
        <v>403598.5</v>
      </c>
      <c r="AW30" s="42">
        <f>Table_DuPhong[[#This Row],[Dự phòng]]/Table_DuPhong[[#This Row],[Giá trị nợ]]</f>
        <v>0.17730126786692516</v>
      </c>
      <c r="AY30" s="30">
        <v>45799</v>
      </c>
      <c r="AZ30" s="35" t="s">
        <v>43</v>
      </c>
      <c r="BA30" s="35" t="s">
        <v>48</v>
      </c>
      <c r="BB30" s="36">
        <v>504868</v>
      </c>
    </row>
    <row r="31" spans="2:54" ht="16.5" x14ac:dyDescent="0.3">
      <c r="B31"/>
      <c r="C31"/>
      <c r="D31"/>
      <c r="R31"/>
      <c r="S31"/>
      <c r="T31"/>
      <c r="AS31" s="31">
        <v>45808</v>
      </c>
      <c r="AT31" s="1" t="s">
        <v>50</v>
      </c>
      <c r="AU31" s="40" cm="1">
        <f t="array" ref="AU3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2406087</v>
      </c>
      <c r="AV31" s="3">
        <v>295334.45</v>
      </c>
      <c r="AW31" s="42">
        <f>Table_DuPhong[[#This Row],[Dự phòng]]/Table_DuPhong[[#This Row],[Giá trị nợ]]</f>
        <v>0.1227447095637024</v>
      </c>
      <c r="AY31" s="30">
        <v>45797</v>
      </c>
      <c r="AZ31" s="35" t="s">
        <v>46</v>
      </c>
      <c r="BA31" s="35" t="s">
        <v>48</v>
      </c>
      <c r="BB31" s="36">
        <v>449898</v>
      </c>
    </row>
    <row r="32" spans="2:54" ht="16.5" x14ac:dyDescent="0.3">
      <c r="B32"/>
      <c r="C32"/>
      <c r="D32"/>
      <c r="R32"/>
      <c r="S32"/>
      <c r="T32"/>
      <c r="AS32" s="31">
        <v>45808</v>
      </c>
      <c r="AT32" s="1" t="s">
        <v>47</v>
      </c>
      <c r="AU32" s="40" cm="1">
        <f t="array" ref="AU32">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336509</v>
      </c>
      <c r="AV32" s="3">
        <v>50476.35</v>
      </c>
      <c r="AW32" s="42">
        <f>Table_DuPhong[[#This Row],[Dự phòng]]/Table_DuPhong[[#This Row],[Giá trị nợ]]</f>
        <v>0.15</v>
      </c>
      <c r="AY32" s="30">
        <v>45796</v>
      </c>
      <c r="AZ32" s="35" t="s">
        <v>43</v>
      </c>
      <c r="BA32" s="35" t="s">
        <v>50</v>
      </c>
      <c r="BB32" s="36">
        <v>683981</v>
      </c>
    </row>
    <row r="33" spans="2:54" ht="16.5" x14ac:dyDescent="0.3">
      <c r="B33"/>
      <c r="C33"/>
      <c r="D33"/>
      <c r="R33"/>
      <c r="S33"/>
      <c r="T33"/>
      <c r="AS33" s="31">
        <v>45808</v>
      </c>
      <c r="AT33" s="1" t="s">
        <v>48</v>
      </c>
      <c r="AU33" s="40" cm="1">
        <f t="array" ref="AU3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1729460</v>
      </c>
      <c r="AV33" s="3">
        <v>146809.5</v>
      </c>
      <c r="AW33" s="42">
        <f>Table_DuPhong[[#This Row],[Dự phòng]]/Table_DuPhong[[#This Row],[Giá trị nợ]]</f>
        <v>8.488747932880783E-2</v>
      </c>
      <c r="AY33" s="30">
        <v>45793</v>
      </c>
      <c r="AZ33" s="35" t="s">
        <v>43</v>
      </c>
      <c r="BA33" s="35" t="s">
        <v>49</v>
      </c>
      <c r="BB33" s="36">
        <v>853805</v>
      </c>
    </row>
    <row r="34" spans="2:54" ht="16.5" x14ac:dyDescent="0.3">
      <c r="B34"/>
      <c r="C34"/>
      <c r="D34"/>
      <c r="R34"/>
      <c r="S34"/>
      <c r="T34"/>
      <c r="AS34" s="31">
        <v>45808</v>
      </c>
      <c r="AT34" s="1" t="s">
        <v>49</v>
      </c>
      <c r="AU34" s="40" cm="1">
        <f t="array" ref="AU3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3885358</v>
      </c>
      <c r="AV34" s="3">
        <v>833032.05</v>
      </c>
      <c r="AW34" s="42">
        <f>Table_DuPhong[[#This Row],[Dự phòng]]/Table_DuPhong[[#This Row],[Giá trị nợ]]</f>
        <v>0.21440290701654777</v>
      </c>
      <c r="AY34" s="30">
        <v>45777</v>
      </c>
      <c r="AZ34" s="35" t="s">
        <v>46</v>
      </c>
      <c r="BA34" s="35" t="s">
        <v>47</v>
      </c>
      <c r="BB34" s="36">
        <v>527519</v>
      </c>
    </row>
    <row r="35" spans="2:54" ht="16.5" x14ac:dyDescent="0.3">
      <c r="B35"/>
      <c r="C35"/>
      <c r="D35"/>
      <c r="R35"/>
      <c r="S35"/>
      <c r="T35"/>
      <c r="AY35" s="30">
        <v>45774</v>
      </c>
      <c r="AZ35" s="35" t="s">
        <v>43</v>
      </c>
      <c r="BA35" s="35" t="s">
        <v>48</v>
      </c>
      <c r="BB35" s="36">
        <v>981089</v>
      </c>
    </row>
    <row r="36" spans="2:54" ht="16.5" x14ac:dyDescent="0.3">
      <c r="B36"/>
      <c r="C36"/>
      <c r="D36"/>
      <c r="R36"/>
      <c r="S36"/>
      <c r="T36"/>
      <c r="AY36" s="30">
        <v>45773</v>
      </c>
      <c r="AZ36" s="35" t="s">
        <v>46</v>
      </c>
      <c r="BA36" s="35" t="s">
        <v>48</v>
      </c>
      <c r="BB36" s="36">
        <v>621625</v>
      </c>
    </row>
    <row r="37" spans="2:54" ht="16.5" x14ac:dyDescent="0.3">
      <c r="B37"/>
      <c r="C37"/>
      <c r="D37"/>
      <c r="R37"/>
      <c r="S37"/>
      <c r="T37"/>
      <c r="AY37" s="30">
        <v>45772</v>
      </c>
      <c r="AZ37" s="35" t="s">
        <v>43</v>
      </c>
      <c r="BA37" s="35" t="s">
        <v>50</v>
      </c>
      <c r="BB37" s="36">
        <v>279614</v>
      </c>
    </row>
    <row r="38" spans="2:54" ht="16.5" x14ac:dyDescent="0.3">
      <c r="B38"/>
      <c r="C38"/>
      <c r="D38"/>
      <c r="R38"/>
      <c r="S38"/>
      <c r="T38"/>
      <c r="AY38" s="30">
        <v>45772</v>
      </c>
      <c r="AZ38" s="35" t="s">
        <v>43</v>
      </c>
      <c r="BA38" s="35" t="s">
        <v>49</v>
      </c>
      <c r="BB38" s="36">
        <v>199529</v>
      </c>
    </row>
    <row r="39" spans="2:54" ht="16.5" x14ac:dyDescent="0.3">
      <c r="B39"/>
      <c r="C39"/>
      <c r="D39"/>
      <c r="R39"/>
      <c r="S39"/>
      <c r="T39"/>
      <c r="AY39" s="30">
        <v>45770</v>
      </c>
      <c r="AZ39" s="35" t="s">
        <v>43</v>
      </c>
      <c r="BA39" s="35" t="s">
        <v>48</v>
      </c>
      <c r="BB39" s="36">
        <v>753273</v>
      </c>
    </row>
    <row r="40" spans="2:54" ht="16.5" x14ac:dyDescent="0.3">
      <c r="R40"/>
      <c r="S40"/>
      <c r="T40"/>
      <c r="AY40" s="30">
        <v>45765</v>
      </c>
      <c r="AZ40" s="35" t="s">
        <v>43</v>
      </c>
      <c r="BA40" s="35" t="s">
        <v>48</v>
      </c>
      <c r="BB40" s="36">
        <v>344836</v>
      </c>
    </row>
    <row r="41" spans="2:54" ht="18" customHeight="1" x14ac:dyDescent="0.3">
      <c r="AY41" s="30">
        <v>45751</v>
      </c>
      <c r="AZ41" s="35" t="s">
        <v>46</v>
      </c>
      <c r="BA41" s="35" t="s">
        <v>48</v>
      </c>
      <c r="BB41" s="36">
        <v>373861</v>
      </c>
    </row>
    <row r="42" spans="2:54" ht="18" customHeight="1" x14ac:dyDescent="0.3">
      <c r="AY42" s="30">
        <v>45748</v>
      </c>
      <c r="AZ42" s="35" t="s">
        <v>43</v>
      </c>
      <c r="BA42" s="35" t="s">
        <v>50</v>
      </c>
      <c r="BB42" s="36">
        <v>769783</v>
      </c>
    </row>
    <row r="43" spans="2:54" ht="18" customHeight="1" x14ac:dyDescent="0.3">
      <c r="AY43" s="30">
        <v>45746</v>
      </c>
      <c r="AZ43" s="35" t="s">
        <v>43</v>
      </c>
      <c r="BA43" s="35" t="s">
        <v>47</v>
      </c>
      <c r="BB43" s="33">
        <v>449785</v>
      </c>
    </row>
    <row r="44" spans="2:54" ht="18" customHeight="1" x14ac:dyDescent="0.3">
      <c r="AY44" s="30">
        <v>45746</v>
      </c>
      <c r="AZ44" s="35" t="s">
        <v>43</v>
      </c>
      <c r="BA44" s="35" t="s">
        <v>49</v>
      </c>
      <c r="BB44" s="36">
        <v>902691</v>
      </c>
    </row>
    <row r="45" spans="2:54" ht="18" customHeight="1" x14ac:dyDescent="0.3">
      <c r="AY45" s="30">
        <v>45744</v>
      </c>
      <c r="AZ45" s="35" t="s">
        <v>46</v>
      </c>
      <c r="BA45" s="35" t="s">
        <v>47</v>
      </c>
      <c r="BB45" s="36">
        <v>516402</v>
      </c>
    </row>
    <row r="46" spans="2:54" ht="18" customHeight="1" x14ac:dyDescent="0.3">
      <c r="AY46" s="30">
        <v>45739</v>
      </c>
      <c r="AZ46" s="35" t="s">
        <v>43</v>
      </c>
      <c r="BA46" s="35" t="s">
        <v>48</v>
      </c>
      <c r="BB46" s="36">
        <v>515564</v>
      </c>
    </row>
    <row r="47" spans="2:54" ht="18" customHeight="1" x14ac:dyDescent="0.3">
      <c r="AY47" s="30">
        <v>45737</v>
      </c>
      <c r="AZ47" s="35" t="s">
        <v>43</v>
      </c>
      <c r="BA47" s="35" t="s">
        <v>47</v>
      </c>
      <c r="BB47" s="36">
        <v>766102</v>
      </c>
    </row>
    <row r="48" spans="2:54" ht="18" customHeight="1" x14ac:dyDescent="0.3">
      <c r="AY48" s="30">
        <v>45735</v>
      </c>
      <c r="AZ48" s="35" t="s">
        <v>43</v>
      </c>
      <c r="BA48" s="35" t="s">
        <v>47</v>
      </c>
      <c r="BB48" s="36">
        <v>791981</v>
      </c>
    </row>
    <row r="49" spans="51:54" ht="18" customHeight="1" x14ac:dyDescent="0.3">
      <c r="AY49" s="30">
        <v>45732</v>
      </c>
      <c r="AZ49" s="35" t="s">
        <v>43</v>
      </c>
      <c r="BA49" s="35" t="s">
        <v>49</v>
      </c>
      <c r="BB49" s="36">
        <v>389075</v>
      </c>
    </row>
    <row r="50" spans="51:54" ht="18" customHeight="1" x14ac:dyDescent="0.3">
      <c r="AY50" s="30">
        <v>45728</v>
      </c>
      <c r="AZ50" s="35" t="s">
        <v>43</v>
      </c>
      <c r="BA50" s="35" t="s">
        <v>50</v>
      </c>
      <c r="BB50" s="36">
        <v>780871</v>
      </c>
    </row>
    <row r="51" spans="51:54" ht="18" customHeight="1" x14ac:dyDescent="0.3">
      <c r="AY51" s="30">
        <v>45723</v>
      </c>
      <c r="AZ51" s="35" t="s">
        <v>43</v>
      </c>
      <c r="BA51" s="35" t="s">
        <v>47</v>
      </c>
      <c r="BB51" s="36">
        <v>852213</v>
      </c>
    </row>
    <row r="52" spans="51:54" ht="18" customHeight="1" x14ac:dyDescent="0.3">
      <c r="AY52" s="30">
        <v>45723</v>
      </c>
      <c r="AZ52" s="35" t="s">
        <v>43</v>
      </c>
      <c r="BA52" s="35" t="s">
        <v>49</v>
      </c>
      <c r="BB52" s="36">
        <v>888580</v>
      </c>
    </row>
    <row r="53" spans="51:54" ht="18" customHeight="1" x14ac:dyDescent="0.3">
      <c r="AY53" s="30">
        <v>45722</v>
      </c>
      <c r="AZ53" s="35" t="s">
        <v>43</v>
      </c>
      <c r="BA53" s="35" t="s">
        <v>48</v>
      </c>
      <c r="BB53" s="36">
        <v>319120</v>
      </c>
    </row>
    <row r="54" spans="51:54" ht="18" customHeight="1" x14ac:dyDescent="0.3">
      <c r="AY54" s="30">
        <v>45721</v>
      </c>
      <c r="AZ54" s="35" t="s">
        <v>46</v>
      </c>
      <c r="BA54" s="35" t="s">
        <v>49</v>
      </c>
      <c r="BB54" s="36">
        <v>366792</v>
      </c>
    </row>
    <row r="55" spans="51:54" ht="18" customHeight="1" x14ac:dyDescent="0.3">
      <c r="AY55" s="30">
        <v>45721</v>
      </c>
      <c r="AZ55" s="35" t="s">
        <v>46</v>
      </c>
      <c r="BA55" s="35" t="s">
        <v>47</v>
      </c>
      <c r="BB55" s="36">
        <v>408865</v>
      </c>
    </row>
    <row r="56" spans="51:54" ht="18" customHeight="1" x14ac:dyDescent="0.3">
      <c r="AY56" s="30">
        <v>45721</v>
      </c>
      <c r="AZ56" s="35" t="s">
        <v>46</v>
      </c>
      <c r="BA56" s="35" t="s">
        <v>50</v>
      </c>
      <c r="BB56" s="36">
        <v>252262</v>
      </c>
    </row>
    <row r="57" spans="51:54" ht="18" customHeight="1" x14ac:dyDescent="0.3">
      <c r="AY57" s="30">
        <v>45720</v>
      </c>
      <c r="AZ57" s="35" t="s">
        <v>43</v>
      </c>
      <c r="BA57" s="35" t="s">
        <v>50</v>
      </c>
      <c r="BB57" s="36">
        <v>863035</v>
      </c>
    </row>
    <row r="58" spans="51:54" ht="18" customHeight="1" x14ac:dyDescent="0.3">
      <c r="AY58" s="30">
        <v>45719</v>
      </c>
      <c r="AZ58" s="35" t="s">
        <v>43</v>
      </c>
      <c r="BA58" s="35" t="s">
        <v>49</v>
      </c>
      <c r="BB58" s="36">
        <v>263260</v>
      </c>
    </row>
  </sheetData>
  <sheetProtection algorithmName="SHA-512" hashValue="qqkY19+rrawCM2WZ0yZMjng/XOrIMurTc3Dfb4k3gkjTaT/JAfhhk3NHKngwmNjHGz0ABrTluPNnUaAcwogETA==" saltValue="hhky3vZYevY4T+FvOYqsAA==" spinCount="100000" sheet="1" scenarios="1" formatColumns="0" formatRows="0" autoFilter="0" pivotTables="0"/>
  <protectedRanges>
    <protectedRange sqref="AY22:BB23 AY24:AY58" name="Range1"/>
  </protectedRanges>
  <dataValidations count="2">
    <dataValidation type="list" errorStyle="warning" allowBlank="1" showInputMessage="1" sqref="BA23:BA58" xr:uid="{0C427107-9B71-4A30-BD23-D08FDBBAB6D1}">
      <formula1>_xlfn.ANCHORARRAY(#REF!)</formula1>
    </dataValidation>
    <dataValidation type="list" allowBlank="1" showInputMessage="1" showErrorMessage="1" sqref="AZ23:AZ58" xr:uid="{691D3E39-A59A-401F-8C2A-B74E0B3196AE}">
      <formula1>"Phát sinh phải thu / Chi tiền, Phát sinh phải trả / Thu tiền"</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3268" r:id="rId6" name="Option Button 20">
              <controlPr defaultSize="0" autoFill="0" autoLine="0" autoPict="0" macro="[0]!DoiDonViHienThi">
                <anchor moveWithCells="1">
                  <from>
                    <xdr:col>35</xdr:col>
                    <xdr:colOff>771525</xdr:colOff>
                    <xdr:row>0</xdr:row>
                    <xdr:rowOff>114300</xdr:rowOff>
                  </from>
                  <to>
                    <xdr:col>36</xdr:col>
                    <xdr:colOff>495300</xdr:colOff>
                    <xdr:row>1</xdr:row>
                    <xdr:rowOff>161925</xdr:rowOff>
                  </to>
                </anchor>
              </controlPr>
            </control>
          </mc:Choice>
        </mc:AlternateContent>
        <mc:AlternateContent xmlns:mc="http://schemas.openxmlformats.org/markup-compatibility/2006">
          <mc:Choice Requires="x14">
            <control shapeId="53269" r:id="rId7" name="Option Button 21">
              <controlPr defaultSize="0" autoFill="0" autoLine="0" autoPict="0" macro="[0]!DoiDonViHienThi">
                <anchor moveWithCells="1">
                  <from>
                    <xdr:col>36</xdr:col>
                    <xdr:colOff>371475</xdr:colOff>
                    <xdr:row>0</xdr:row>
                    <xdr:rowOff>114300</xdr:rowOff>
                  </from>
                  <to>
                    <xdr:col>36</xdr:col>
                    <xdr:colOff>962025</xdr:colOff>
                    <xdr:row>1</xdr:row>
                    <xdr:rowOff>161925</xdr:rowOff>
                  </to>
                </anchor>
              </controlPr>
            </control>
          </mc:Choice>
        </mc:AlternateContent>
        <mc:AlternateContent xmlns:mc="http://schemas.openxmlformats.org/markup-compatibility/2006">
          <mc:Choice Requires="x14">
            <control shapeId="53270" r:id="rId8" name="Option Button 22">
              <controlPr defaultSize="0" autoFill="0" autoLine="0" autoPict="0" macro="[0]!DoiDonViHienThi">
                <anchor moveWithCells="1">
                  <from>
                    <xdr:col>36</xdr:col>
                    <xdr:colOff>838200</xdr:colOff>
                    <xdr:row>0</xdr:row>
                    <xdr:rowOff>114300</xdr:rowOff>
                  </from>
                  <to>
                    <xdr:col>37</xdr:col>
                    <xdr:colOff>409575</xdr:colOff>
                    <xdr:row>1</xdr:row>
                    <xdr:rowOff>161925</xdr:rowOff>
                  </to>
                </anchor>
              </controlPr>
            </control>
          </mc:Choice>
        </mc:AlternateContent>
        <mc:AlternateContent xmlns:mc="http://schemas.openxmlformats.org/markup-compatibility/2006">
          <mc:Choice Requires="x14">
            <control shapeId="53271" r:id="rId9" name="Option Button 23">
              <controlPr defaultSize="0" autoFill="0" autoLine="0" autoPict="0" macro="[0]!DoiDonViHienThi">
                <anchor moveWithCells="1">
                  <from>
                    <xdr:col>37</xdr:col>
                    <xdr:colOff>295275</xdr:colOff>
                    <xdr:row>0</xdr:row>
                    <xdr:rowOff>114300</xdr:rowOff>
                  </from>
                  <to>
                    <xdr:col>37</xdr:col>
                    <xdr:colOff>647700</xdr:colOff>
                    <xdr:row>1</xdr:row>
                    <xdr:rowOff>161925</xdr:rowOff>
                  </to>
                </anchor>
              </controlPr>
            </control>
          </mc:Choice>
        </mc:AlternateContent>
        <mc:AlternateContent xmlns:mc="http://schemas.openxmlformats.org/markup-compatibility/2006">
          <mc:Choice Requires="x14">
            <control shapeId="53272" r:id="rId10" name="Group Box 24">
              <controlPr defaultSize="0" autoFill="0" autoPict="0">
                <anchor moveWithCells="1">
                  <from>
                    <xdr:col>35</xdr:col>
                    <xdr:colOff>657225</xdr:colOff>
                    <xdr:row>0</xdr:row>
                    <xdr:rowOff>66675</xdr:rowOff>
                  </from>
                  <to>
                    <xdr:col>37</xdr:col>
                    <xdr:colOff>762000</xdr:colOff>
                    <xdr:row>1</xdr:row>
                    <xdr:rowOff>200025</xdr:rowOff>
                  </to>
                </anchor>
              </controlPr>
            </control>
          </mc:Choice>
        </mc:AlternateContent>
        <mc:AlternateContent xmlns:mc="http://schemas.openxmlformats.org/markup-compatibility/2006">
          <mc:Choice Requires="x14">
            <control shapeId="53273" r:id="rId11" name="Group Box 25">
              <controlPr defaultSize="0" autoFill="0" autoPict="0">
                <anchor moveWithCells="1">
                  <from>
                    <xdr:col>34</xdr:col>
                    <xdr:colOff>9525</xdr:colOff>
                    <xdr:row>0</xdr:row>
                    <xdr:rowOff>66675</xdr:rowOff>
                  </from>
                  <to>
                    <xdr:col>35</xdr:col>
                    <xdr:colOff>609600</xdr:colOff>
                    <xdr:row>1</xdr:row>
                    <xdr:rowOff>200025</xdr:rowOff>
                  </to>
                </anchor>
              </controlPr>
            </control>
          </mc:Choice>
        </mc:AlternateContent>
        <mc:AlternateContent xmlns:mc="http://schemas.openxmlformats.org/markup-compatibility/2006">
          <mc:Choice Requires="x14">
            <control shapeId="53274" r:id="rId12" name="Button 26">
              <controlPr defaultSize="0" autoFill="0" autoPict="0" macro="[0]!NhanNghin">
                <anchor moveWithCells="1">
                  <from>
                    <xdr:col>34</xdr:col>
                    <xdr:colOff>95250</xdr:colOff>
                    <xdr:row>0</xdr:row>
                    <xdr:rowOff>161925</xdr:rowOff>
                  </from>
                  <to>
                    <xdr:col>34</xdr:col>
                    <xdr:colOff>561975</xdr:colOff>
                    <xdr:row>1</xdr:row>
                    <xdr:rowOff>104775</xdr:rowOff>
                  </to>
                </anchor>
              </controlPr>
            </control>
          </mc:Choice>
        </mc:AlternateContent>
        <mc:AlternateContent xmlns:mc="http://schemas.openxmlformats.org/markup-compatibility/2006">
          <mc:Choice Requires="x14">
            <control shapeId="53275" r:id="rId13" name="Button 27">
              <controlPr defaultSize="0" autoFill="0" autoPict="0" macro="[0]!NhanTrieu">
                <anchor moveWithCells="1">
                  <from>
                    <xdr:col>34</xdr:col>
                    <xdr:colOff>609600</xdr:colOff>
                    <xdr:row>0</xdr:row>
                    <xdr:rowOff>161925</xdr:rowOff>
                  </from>
                  <to>
                    <xdr:col>35</xdr:col>
                    <xdr:colOff>19050</xdr:colOff>
                    <xdr:row>1</xdr:row>
                    <xdr:rowOff>104775</xdr:rowOff>
                  </to>
                </anchor>
              </controlPr>
            </control>
          </mc:Choice>
        </mc:AlternateContent>
        <mc:AlternateContent xmlns:mc="http://schemas.openxmlformats.org/markup-compatibility/2006">
          <mc:Choice Requires="x14">
            <control shapeId="53276" r:id="rId14" name="Button 28">
              <controlPr defaultSize="0" autoFill="0" autoPict="0" macro="[0]!NhanTy">
                <anchor moveWithCells="1">
                  <from>
                    <xdr:col>35</xdr:col>
                    <xdr:colOff>66675</xdr:colOff>
                    <xdr:row>0</xdr:row>
                    <xdr:rowOff>161925</xdr:rowOff>
                  </from>
                  <to>
                    <xdr:col>35</xdr:col>
                    <xdr:colOff>533400</xdr:colOff>
                    <xdr:row>1</xdr:row>
                    <xdr:rowOff>104775</xdr:rowOff>
                  </to>
                </anchor>
              </controlPr>
            </control>
          </mc:Choice>
        </mc:AlternateContent>
        <mc:AlternateContent xmlns:mc="http://schemas.openxmlformats.org/markup-compatibility/2006">
          <mc:Choice Requires="x14">
            <control shapeId="53277" r:id="rId15" name="Button 29">
              <controlPr defaultSize="0" print="0" autoFill="0" autoPict="0" macro="[0]!AddRow">
                <anchor moveWithCells="1">
                  <from>
                    <xdr:col>40</xdr:col>
                    <xdr:colOff>85725</xdr:colOff>
                    <xdr:row>0</xdr:row>
                    <xdr:rowOff>114300</xdr:rowOff>
                  </from>
                  <to>
                    <xdr:col>40</xdr:col>
                    <xdr:colOff>523875</xdr:colOff>
                    <xdr:row>1</xdr:row>
                    <xdr:rowOff>142875</xdr:rowOff>
                  </to>
                </anchor>
              </controlPr>
            </control>
          </mc:Choice>
        </mc:AlternateContent>
        <mc:AlternateContent xmlns:mc="http://schemas.openxmlformats.org/markup-compatibility/2006">
          <mc:Choice Requires="x14">
            <control shapeId="53278" r:id="rId16" name="Button 30">
              <controlPr defaultSize="0" print="0" autoFill="0" autoPict="0" macro="[0]!DeleteRow">
                <anchor moveWithCells="1">
                  <from>
                    <xdr:col>40</xdr:col>
                    <xdr:colOff>552450</xdr:colOff>
                    <xdr:row>0</xdr:row>
                    <xdr:rowOff>114300</xdr:rowOff>
                  </from>
                  <to>
                    <xdr:col>41</xdr:col>
                    <xdr:colOff>0</xdr:colOff>
                    <xdr:row>1</xdr:row>
                    <xdr:rowOff>142875</xdr:rowOff>
                  </to>
                </anchor>
              </controlPr>
            </control>
          </mc:Choice>
        </mc:AlternateContent>
        <mc:AlternateContent xmlns:mc="http://schemas.openxmlformats.org/markup-compatibility/2006">
          <mc:Choice Requires="x14">
            <control shapeId="53281" r:id="rId17" name="Button 33">
              <controlPr defaultSize="0" print="0" autoFill="0" autoPict="0" macro="[0]!RefreshTables">
                <anchor moveWithCells="1">
                  <from>
                    <xdr:col>50</xdr:col>
                    <xdr:colOff>200025</xdr:colOff>
                    <xdr:row>0</xdr:row>
                    <xdr:rowOff>57150</xdr:rowOff>
                  </from>
                  <to>
                    <xdr:col>50</xdr:col>
                    <xdr:colOff>819150</xdr:colOff>
                    <xdr:row>1</xdr:row>
                    <xdr:rowOff>85725</xdr:rowOff>
                  </to>
                </anchor>
              </controlPr>
            </control>
          </mc:Choice>
        </mc:AlternateContent>
      </controls>
    </mc:Choice>
  </mc:AlternateContent>
  <tableParts count="4">
    <tablePart r:id="rId18"/>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8" id="{42BC291F-022E-461D-935C-1310A28B6F2A}">
            <xm:f>Security!$A$1="NO VBA"</xm:f>
            <x14:dxf>
              <font>
                <color theme="0"/>
              </font>
              <border>
                <vertical/>
                <horizontal/>
              </border>
            </x14:dxf>
          </x14:cfRule>
          <xm:sqref>AQ2 AO3:AQ20 AP23:AQ29 AO22:AQ22 AS21:AW21 BC22:XFD23 AY22:BB22 AZ23:BB58 AX59:XFD1048576 W29:AG1048576 AL23:AL26 AQ21 AO1:AQ1 AS1:AW1 AS2:AU20 AX22:AX58 AZ24:XFD58 AO24:AQ1048576 AT22:AW22 AS23:AW1048576 AI27:AL1048576 AI22:AL22 AI1:AL1 AM1:AN1048576 AR1:AR1048576 W1:AG24 AK3:AL21 AX1:XFD21</xm:sqref>
        </x14:conditionalFormatting>
        <x14:conditionalFormatting xmlns:xm="http://schemas.microsoft.com/office/excel/2006/main">
          <x14:cfRule type="expression" priority="7" id="{63193F11-22C5-4531-89EE-3BC0F3127578}">
            <xm:f>Security!$A$1="NO VBA"</xm:f>
            <x14:dxf>
              <font>
                <color theme="0"/>
              </font>
              <border>
                <vertical/>
                <horizontal/>
              </border>
            </x14:dxf>
          </x14:cfRule>
          <xm:sqref>AO23:AO29</xm:sqref>
        </x14:conditionalFormatting>
        <x14:conditionalFormatting xmlns:xm="http://schemas.microsoft.com/office/excel/2006/main">
          <x14:cfRule type="expression" priority="5" id="{25628A2B-664C-4689-9DFA-57A0C85DAEEA}">
            <xm:f>Security!$A$1="NO VBA"</xm:f>
            <x14:dxf>
              <font>
                <color theme="0"/>
              </font>
              <border>
                <vertical/>
                <horizontal/>
              </border>
            </x14:dxf>
          </x14:cfRule>
          <xm:sqref>AT1</xm:sqref>
        </x14:conditionalFormatting>
        <x14:conditionalFormatting xmlns:xm="http://schemas.microsoft.com/office/excel/2006/main">
          <x14:cfRule type="expression" priority="1" id="{F335FE83-3D4F-4EEF-8AF1-E69EB62A5050}">
            <xm:f>Security!$A$1="NO VBA"</xm:f>
            <x14:dxf>
              <font>
                <color theme="0"/>
              </font>
              <border>
                <vertical/>
                <horizontal/>
              </border>
            </x14:dxf>
          </x14:cfRule>
          <xm:sqref>AY23:AY58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�  l � � � � i �m   s �  d � � �n   c � � �p    � � � � i � �  d �  �  �  �  �  l ��  �  � �  l � � � � � � �� �  l � � � � i �m   s �  d � � �n   c � � �p    � � � � i � �  d �  �  �  �  �  l ��  �  � �  l � � � 
</file>

<file path=customXml/item2.xml>��  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  
</file>

<file path=customXml/item5.xml>��   
</file>

<file path=customXml/item6.xml>�� �n   �u   t � �n   �u   t � �  �u   t � �i   h � �  �  �u   t � �   � �n   �u   t � �n   �u   t � �  �u   t � �i   h � �  �  �u   t � �   � 
</file>

<file path=customXml/item7.xml>�� � � � � 
</file>

<file path=customXml/item8.xml>�� �  p h � �c   n  � �� � � �  p h � �c   n  � �� � � 
</file>

<file path=customXml/item9.xml>��   
</file>

<file path=customXml/item10.xml>�� � � �n   v � �  s u � �  l � � � � �n   v � �  s u � �  l � � 
</file>

<file path=customXml/item11.xml>��   
</file>

<file path=customXml/item12.xml>��   
</file>

<file path=customXml/item13.xml>�� �� �i   t �� � �� �t   � � �  l � � �  l �� �  t � � �� �i   t �� � �� �t   � � �  l � � �  l �� �  t � � 
</file>

<file path=customXml/item14.xml>�� 
</file>

<file path=customXml/item15.xml>��   
</file>

<file path=customXml/item16.xml>�� �c   n  �c   n  
</file>

<file path=customXml/item17.xml>��   
</file>

<file path=customXml/item18.xml>��   
</file>

<file path=customXml/item19.xml>�� 
</file>

<file path=customXml/item20.xml>�� � � � i � �  d � i �m   s �  d � �� �  l � � � � � �n   c � � � � � �  l � � � � �p     �  �  �  �  l ��  �  � 
</file>

<file path=customXml/item21.xml>�� 
</file>

<file path=customXml/item22.xml>�� �  �  
</file>

<file path=customXml/item23.xml>��   
</file>

<file path=customXml/itemProps1.xml><?xml version="1.0" encoding="utf-8"?>
<ds:datastoreItem xmlns:ds="http://schemas.openxmlformats.org/officeDocument/2006/customXml" ds:itemID="{CCFAB5FF-26AB-4CB9-BA2C-5A121007B041}">
  <ds:schemaRefs/>
</ds:datastoreItem>
</file>

<file path=customXml/itemProps2.xml><?xml version="1.0" encoding="utf-8"?>
<ds:datastoreItem xmlns:ds="http://schemas.openxmlformats.org/officeDocument/2006/customXml" ds:itemID="{A849B9D7-188B-48DA-AB5B-54583621621D}">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8.xml><?xml version="1.0" encoding="utf-8"?>
<ds:datastoreItem xmlns:ds="http://schemas.openxmlformats.org/officeDocument/2006/customXml" ds:itemID="{7D64D66F-1898-49BE-A788-6FA781CEE8F3}">
  <ds:schemaRefs/>
</ds:datastoreItem>
</file>

<file path=customXml/itemProps9.xml><?xml version="1.0" encoding="utf-8"?>
<ds:datastoreItem xmlns:ds="http://schemas.openxmlformats.org/officeDocument/2006/customXml" ds:itemID="{339EBD31-34FE-48FA-B11C-5697D02F64AC}">
  <ds:schemaRefs/>
</ds:datastoreItem>
</file>

<file path=customXml/itemProps10.xml><?xml version="1.0" encoding="utf-8"?>
<ds:datastoreItem xmlns:ds="http://schemas.openxmlformats.org/officeDocument/2006/customXml" ds:itemID="{19BA8129-97AB-4694-BBC1-89CB3D2043B0}">
  <ds:schemaRefs/>
</ds:datastoreItem>
</file>

<file path=customXml/itemProps1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2.xml><?xml version="1.0" encoding="utf-8"?>
<ds:datastoreItem xmlns:ds="http://schemas.openxmlformats.org/officeDocument/2006/customXml" ds:itemID="{104A6CAF-8CC0-4F12-8051-31E2340CC4C2}">
  <ds:schemaRefs/>
</ds:datastoreItem>
</file>

<file path=customXml/itemProps13.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4BA9E5F1-90AC-490B-B178-7C8B339E1A47}">
  <ds:schemaRefs/>
</ds:datastoreItem>
</file>

<file path=customXml/itemProps16.xml><?xml version="1.0" encoding="utf-8"?>
<ds:datastoreItem xmlns:ds="http://schemas.openxmlformats.org/officeDocument/2006/customXml" ds:itemID="{A6D0F6C4-9EB7-4062-86F8-715E8F5BF469}">
  <ds:schemaRefs/>
</ds:datastoreItem>
</file>

<file path=customXml/itemProps17.xml><?xml version="1.0" encoding="utf-8"?>
<ds:datastoreItem xmlns:ds="http://schemas.openxmlformats.org/officeDocument/2006/customXml" ds:itemID="{15A5E9E7-8554-4C17-8FCE-88C5899190B5}">
  <ds:schemaRefs/>
</ds:datastoreItem>
</file>

<file path=customXml/itemProps18.xml><?xml version="1.0" encoding="utf-8"?>
<ds:datastoreItem xmlns:ds="http://schemas.openxmlformats.org/officeDocument/2006/customXml" ds:itemID="{0B9C3544-1C46-45A4-BEB6-1CE4D6559900}">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4F023B59-6671-4442-B15F-D8D1F04CE43F}">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EULA</vt:lpstr>
      <vt:lpstr>Dự phòng phải thu</vt:lpstr>
      <vt:lpstr>NoXau_MaKH</vt:lpstr>
      <vt:lpstr>NoXau_NgayTheoDoi</vt:lpstr>
      <vt:lpstr>NoXau_NhanThanhToan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2025-06-03T09:48:50Z</dcterms:modified>
  <cp:category/>
  <cp:contentStatus/>
</cp:coreProperties>
</file>