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C96F42BA-3873-45AD-9BD2-C2CB54D3C743}"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Kế hoạch &amp; Định giá" sheetId="40" state="veryHidden" r:id="rId3"/>
  </sheets>
  <functionGroups builtInGroupCount="19"/>
  <definedNames>
    <definedName name="_xleta.N" hidden="1" xlm="1">#NAME?</definedName>
    <definedName name="_xleta.PHI" hidden="1" xlm="1">#NAME?</definedName>
    <definedName name="_xleta.T" hidden="1" xlm="1">#NAME?</definedName>
    <definedName name="BangLuong_Nam">#REF!</definedName>
    <definedName name="BangLuong_Thang">#REF!</definedName>
    <definedName name="BCQT_BatDau">'Kế hoạch &amp; Định giá'!#REF!</definedName>
    <definedName name="BCQT_KetThuc">'Kế hoạch &amp; Định giá'!#REF!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'Kế hoạch &amp; Định giá'!$C$2</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gayLuuKho_Max">#REF!</definedName>
    <definedName name="NgayLuuKho_Min">#REF!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7" i="40" l="1"/>
  <c r="U37" i="40"/>
  <c r="T37" i="40"/>
  <c r="S37" i="40"/>
  <c r="R37" i="40"/>
  <c r="U34" i="40"/>
  <c r="T34" i="40"/>
  <c r="S34" i="40"/>
  <c r="R34" i="40"/>
  <c r="V22" i="40"/>
  <c r="U22" i="40"/>
  <c r="T22" i="40"/>
  <c r="S22" i="40"/>
  <c r="R22" i="40"/>
  <c r="V12" i="40"/>
  <c r="V11" i="40" s="1"/>
  <c r="U12" i="40"/>
  <c r="U11" i="40" s="1"/>
  <c r="T12" i="40"/>
  <c r="T11" i="40" s="1"/>
  <c r="S12" i="40"/>
  <c r="S11" i="40" s="1"/>
  <c r="Z9" i="40"/>
  <c r="Z8" i="40"/>
  <c r="Z7" i="40"/>
  <c r="Y7" i="40"/>
  <c r="Y8" i="40" s="1"/>
  <c r="Y9" i="40" s="1"/>
  <c r="T20" i="40" l="1"/>
  <c r="U20" i="40"/>
  <c r="V36" i="40"/>
  <c r="V33" i="40" s="1"/>
  <c r="V41" i="40" s="1"/>
  <c r="V21" i="40"/>
  <c r="V20" i="40"/>
  <c r="T21" i="40"/>
  <c r="U21" i="40"/>
  <c r="T46" i="40"/>
  <c r="S36" i="40"/>
  <c r="S33" i="40" s="1"/>
  <c r="S41" i="40" s="1"/>
  <c r="S20" i="40"/>
  <c r="S7" i="40" s="1"/>
  <c r="S46" i="40"/>
  <c r="U36" i="40"/>
  <c r="U46" i="40" s="1"/>
  <c r="V46" i="40" s="1"/>
  <c r="T36" i="40"/>
  <c r="U32" i="40"/>
  <c r="T32" i="40"/>
  <c r="S21" i="40"/>
  <c r="U8" i="40"/>
  <c r="U9" i="40" s="1"/>
  <c r="T8" i="40"/>
  <c r="T9" i="40" s="1"/>
  <c r="T7" i="40"/>
  <c r="U7" i="40"/>
  <c r="O35" i="40" a="1"/>
  <c r="O35" i="40" s="1"/>
  <c r="N35" i="40" a="1"/>
  <c r="N35" i="40" s="1"/>
  <c r="M35" i="40" a="1"/>
  <c r="M35" i="40" s="1"/>
  <c r="L35" i="40" a="1"/>
  <c r="L35" i="40" s="1"/>
  <c r="K35" i="40" a="1"/>
  <c r="K35" i="40" s="1"/>
  <c r="J35" i="40" a="1"/>
  <c r="J35" i="40" s="1"/>
  <c r="I35" i="40" a="1"/>
  <c r="I35" i="40" s="1"/>
  <c r="H35" i="40" a="1"/>
  <c r="H35" i="40" s="1"/>
  <c r="G35" i="40" a="1"/>
  <c r="G35" i="40" s="1"/>
  <c r="F35" i="40" a="1"/>
  <c r="F35" i="40" s="1"/>
  <c r="E35" i="40" a="1"/>
  <c r="E35" i="40" s="1"/>
  <c r="D35" i="40" a="1"/>
  <c r="D35" i="40" s="1"/>
  <c r="E151" i="40"/>
  <c r="F151" i="40"/>
  <c r="G151" i="40"/>
  <c r="H151" i="40"/>
  <c r="I151" i="40"/>
  <c r="J151" i="40"/>
  <c r="K151" i="40"/>
  <c r="L151" i="40"/>
  <c r="M151" i="40"/>
  <c r="N151" i="40"/>
  <c r="O151" i="40"/>
  <c r="D151" i="40"/>
  <c r="E31" i="40" s="1"/>
  <c r="V32" i="40" l="1"/>
  <c r="V8" i="40"/>
  <c r="V9" i="40" s="1"/>
  <c r="V7" i="40"/>
  <c r="S32" i="40"/>
  <c r="S8" i="40"/>
  <c r="S9" i="40" s="1"/>
  <c r="U33" i="40"/>
  <c r="U41" i="40" s="1"/>
  <c r="T33" i="40"/>
  <c r="T41" i="40" s="1"/>
  <c r="M31" i="40"/>
  <c r="F31" i="40"/>
  <c r="J31" i="40"/>
  <c r="G31" i="40"/>
  <c r="H31" i="40"/>
  <c r="I31" i="40"/>
  <c r="L31" i="40"/>
  <c r="K31" i="40"/>
  <c r="N31" i="40"/>
  <c r="O31" i="40"/>
  <c r="D31" i="40"/>
  <c r="E159" i="40" l="1"/>
  <c r="F159" i="40"/>
  <c r="G159" i="40"/>
  <c r="H159" i="40"/>
  <c r="I159" i="40"/>
  <c r="J159" i="40"/>
  <c r="K159" i="40"/>
  <c r="L159" i="40"/>
  <c r="M159" i="40"/>
  <c r="N159" i="40"/>
  <c r="O159" i="40"/>
  <c r="D159" i="40"/>
  <c r="O25" i="40" l="1"/>
  <c r="N25" i="40"/>
  <c r="M25" i="40"/>
  <c r="L25" i="40"/>
  <c r="K25" i="40"/>
  <c r="J25" i="40"/>
  <c r="I25" i="40"/>
  <c r="H25" i="40"/>
  <c r="G25" i="40"/>
  <c r="F25" i="40"/>
  <c r="E25" i="40"/>
  <c r="D25" i="40"/>
  <c r="O26" i="40"/>
  <c r="N26" i="40"/>
  <c r="M26" i="40"/>
  <c r="L26" i="40"/>
  <c r="K26" i="40"/>
  <c r="J26" i="40"/>
  <c r="I26" i="40"/>
  <c r="H26" i="40"/>
  <c r="G26" i="40"/>
  <c r="F26" i="40"/>
  <c r="E26" i="40"/>
  <c r="D26" i="40"/>
  <c r="C25" i="40" l="1"/>
  <c r="O73" i="40" l="1"/>
  <c r="N73" i="40"/>
  <c r="M73" i="40"/>
  <c r="L73" i="40"/>
  <c r="K73" i="40"/>
  <c r="J73" i="40"/>
  <c r="I73" i="40"/>
  <c r="H73" i="40"/>
  <c r="G73" i="40"/>
  <c r="F73" i="40"/>
  <c r="E73" i="40"/>
  <c r="O59" i="40"/>
  <c r="N59" i="40"/>
  <c r="M59" i="40"/>
  <c r="L59" i="40"/>
  <c r="K59" i="40"/>
  <c r="J59" i="40"/>
  <c r="I59" i="40"/>
  <c r="H59" i="40"/>
  <c r="G59" i="40"/>
  <c r="F59" i="40"/>
  <c r="E59" i="40"/>
  <c r="O51" i="40"/>
  <c r="N51" i="40"/>
  <c r="M51" i="40"/>
  <c r="L51" i="40"/>
  <c r="K51" i="40"/>
  <c r="J51" i="40"/>
  <c r="I51" i="40"/>
  <c r="H51" i="40"/>
  <c r="G51" i="40"/>
  <c r="F51" i="40"/>
  <c r="E51" i="40"/>
  <c r="C45" i="40"/>
  <c r="C44" i="40"/>
  <c r="C43" i="40"/>
  <c r="C42" i="40"/>
  <c r="C40" i="40"/>
  <c r="C39" i="40"/>
  <c r="C31" i="40"/>
  <c r="O27" i="40"/>
  <c r="N27" i="40"/>
  <c r="M27" i="40"/>
  <c r="L27" i="40"/>
  <c r="K27" i="40"/>
  <c r="J27" i="40"/>
  <c r="I27" i="40"/>
  <c r="H27" i="40"/>
  <c r="G27" i="40"/>
  <c r="F27" i="40"/>
  <c r="E27" i="40"/>
  <c r="D27" i="40"/>
  <c r="O24" i="40"/>
  <c r="N24" i="40"/>
  <c r="M24" i="40"/>
  <c r="L24" i="40"/>
  <c r="K24" i="40"/>
  <c r="J24" i="40"/>
  <c r="I24" i="40"/>
  <c r="H24" i="40"/>
  <c r="G24" i="40"/>
  <c r="F24" i="40"/>
  <c r="E24" i="40"/>
  <c r="D24" i="40"/>
  <c r="O17" i="40"/>
  <c r="N17" i="40"/>
  <c r="M17" i="40"/>
  <c r="L17" i="40"/>
  <c r="K17" i="40"/>
  <c r="J17" i="40"/>
  <c r="I17" i="40"/>
  <c r="H17" i="40"/>
  <c r="G17" i="40"/>
  <c r="F17" i="40"/>
  <c r="E17" i="40"/>
  <c r="D17" i="40"/>
  <c r="O15" i="40"/>
  <c r="N15" i="40"/>
  <c r="M15" i="40"/>
  <c r="L15" i="40"/>
  <c r="K15" i="40"/>
  <c r="J15" i="40"/>
  <c r="I15" i="40"/>
  <c r="H15" i="40"/>
  <c r="G15" i="40"/>
  <c r="F15" i="40"/>
  <c r="E15" i="40"/>
  <c r="O6" i="40"/>
  <c r="N6" i="40"/>
  <c r="M6" i="40"/>
  <c r="L6" i="40"/>
  <c r="K6" i="40"/>
  <c r="J6" i="40"/>
  <c r="I6" i="40"/>
  <c r="H6" i="40"/>
  <c r="G6" i="40"/>
  <c r="F6" i="40"/>
  <c r="E6" i="40"/>
  <c r="O2" i="40"/>
  <c r="N2" i="40"/>
  <c r="M2" i="40"/>
  <c r="L2" i="40"/>
  <c r="K2" i="40"/>
  <c r="J2" i="40"/>
  <c r="I2" i="40"/>
  <c r="H2" i="40"/>
  <c r="G2" i="40"/>
  <c r="F2" i="40"/>
  <c r="E2" i="40"/>
  <c r="D2" i="40"/>
  <c r="E1" i="40"/>
  <c r="F1" i="40" s="1"/>
  <c r="I93" i="40" l="1"/>
  <c r="I16" i="40" s="1"/>
  <c r="K93" i="40"/>
  <c r="K16" i="40" s="1"/>
  <c r="O93" i="40"/>
  <c r="O16" i="40" s="1"/>
  <c r="J93" i="40"/>
  <c r="J16" i="40" s="1"/>
  <c r="L93" i="40"/>
  <c r="L16" i="40" s="1"/>
  <c r="N93" i="40"/>
  <c r="N16" i="40" s="1"/>
  <c r="E93" i="40"/>
  <c r="E16" i="40" s="1"/>
  <c r="H118" i="40"/>
  <c r="G118" i="40"/>
  <c r="F118" i="40"/>
  <c r="O118" i="40"/>
  <c r="E118" i="40"/>
  <c r="D118" i="40"/>
  <c r="N118" i="40"/>
  <c r="I118" i="40"/>
  <c r="M118" i="40"/>
  <c r="L118" i="40"/>
  <c r="K118" i="40"/>
  <c r="J118" i="40"/>
  <c r="C26" i="40"/>
  <c r="I14" i="40"/>
  <c r="N14" i="40"/>
  <c r="K14" i="40"/>
  <c r="F10" i="40"/>
  <c r="F34" i="40" s="1"/>
  <c r="G14" i="40"/>
  <c r="E14" i="40"/>
  <c r="J14" i="40"/>
  <c r="M14" i="40"/>
  <c r="H93" i="40"/>
  <c r="H16" i="40" s="1"/>
  <c r="H10" i="40"/>
  <c r="H34" i="40" s="1"/>
  <c r="G10" i="40"/>
  <c r="G34" i="40" s="1"/>
  <c r="E10" i="40"/>
  <c r="E34" i="40" s="1"/>
  <c r="G60" i="40"/>
  <c r="G65" i="40" s="1"/>
  <c r="G93" i="40"/>
  <c r="G16" i="40" s="1"/>
  <c r="E60" i="40"/>
  <c r="E65" i="40" s="1"/>
  <c r="L14" i="40"/>
  <c r="F14" i="40"/>
  <c r="H14" i="40"/>
  <c r="L10" i="40"/>
  <c r="L34" i="40" s="1"/>
  <c r="O10" i="40"/>
  <c r="I10" i="40"/>
  <c r="J60" i="40"/>
  <c r="J65" i="40" s="1"/>
  <c r="M10" i="40"/>
  <c r="M93" i="40"/>
  <c r="M16" i="40" s="1"/>
  <c r="M60" i="40"/>
  <c r="M65" i="40" s="1"/>
  <c r="K60" i="40"/>
  <c r="K65" i="40" s="1"/>
  <c r="C24" i="40"/>
  <c r="O60" i="40"/>
  <c r="O65" i="40" s="1"/>
  <c r="G1" i="40"/>
  <c r="N10" i="40"/>
  <c r="N60" i="40"/>
  <c r="N65" i="40" s="1"/>
  <c r="F60" i="40"/>
  <c r="F65" i="40" s="1"/>
  <c r="F93" i="40"/>
  <c r="F16" i="40" s="1"/>
  <c r="K10" i="40"/>
  <c r="I60" i="40"/>
  <c r="I65" i="40" s="1"/>
  <c r="C17" i="40"/>
  <c r="H60" i="40"/>
  <c r="H65" i="40" s="1"/>
  <c r="C27" i="40"/>
  <c r="L60" i="40"/>
  <c r="L65" i="40" s="1"/>
  <c r="J10" i="40"/>
  <c r="O14" i="40"/>
  <c r="M28" i="40" l="1"/>
  <c r="G28" i="40"/>
  <c r="O28" i="40"/>
  <c r="D28" i="40"/>
  <c r="L28" i="40"/>
  <c r="E28" i="40"/>
  <c r="H28" i="40"/>
  <c r="F28" i="40"/>
  <c r="N28" i="40"/>
  <c r="K28" i="40"/>
  <c r="J28" i="40"/>
  <c r="I28" i="40"/>
  <c r="L23" i="40"/>
  <c r="G23" i="40"/>
  <c r="E23" i="40"/>
  <c r="M23" i="40"/>
  <c r="K23" i="40"/>
  <c r="F23" i="40"/>
  <c r="D23" i="40"/>
  <c r="J23" i="40"/>
  <c r="I23" i="40"/>
  <c r="H23" i="40"/>
  <c r="N23" i="40"/>
  <c r="O23" i="40"/>
  <c r="G105" i="40"/>
  <c r="G110" i="40"/>
  <c r="G19" i="40" s="1"/>
  <c r="E105" i="40"/>
  <c r="E110" i="40"/>
  <c r="E19" i="40" s="1"/>
  <c r="F110" i="40"/>
  <c r="F19" i="40" s="1"/>
  <c r="F105" i="40"/>
  <c r="H1" i="40"/>
  <c r="M110" i="40"/>
  <c r="M19" i="40" s="1"/>
  <c r="M105" i="40"/>
  <c r="J105" i="40"/>
  <c r="J110" i="40"/>
  <c r="J19" i="40" s="1"/>
  <c r="O105" i="40"/>
  <c r="O110" i="40"/>
  <c r="O19" i="40" s="1"/>
  <c r="I34" i="40"/>
  <c r="L110" i="40"/>
  <c r="L19" i="40" s="1"/>
  <c r="L105" i="40"/>
  <c r="M34" i="40"/>
  <c r="O34" i="40"/>
  <c r="H105" i="40"/>
  <c r="H110" i="40"/>
  <c r="H19" i="40" s="1"/>
  <c r="N110" i="40"/>
  <c r="N19" i="40" s="1"/>
  <c r="N105" i="40"/>
  <c r="J34" i="40"/>
  <c r="N34" i="40"/>
  <c r="I110" i="40"/>
  <c r="I19" i="40" s="1"/>
  <c r="I105" i="40"/>
  <c r="K34" i="40"/>
  <c r="K105" i="40"/>
  <c r="K110" i="40"/>
  <c r="K19" i="40" s="1"/>
  <c r="C28" i="40" l="1"/>
  <c r="E18" i="40"/>
  <c r="C23" i="40"/>
  <c r="G18" i="40"/>
  <c r="O18" i="40"/>
  <c r="L18" i="40"/>
  <c r="K18" i="40"/>
  <c r="M18" i="40"/>
  <c r="I1" i="40"/>
  <c r="I18" i="40"/>
  <c r="H18" i="40"/>
  <c r="N18" i="40"/>
  <c r="F18" i="40"/>
  <c r="J18" i="40"/>
  <c r="J1" i="40" l="1"/>
  <c r="G38" i="40"/>
  <c r="G37" i="40" s="1"/>
  <c r="G29" i="40"/>
  <c r="D59" i="40"/>
  <c r="D51" i="40"/>
  <c r="D73" i="40"/>
  <c r="D6" i="40"/>
  <c r="G22" i="40" l="1"/>
  <c r="E38" i="40"/>
  <c r="E37" i="40" s="1"/>
  <c r="E29" i="40"/>
  <c r="M38" i="40"/>
  <c r="M37" i="40" s="1"/>
  <c r="M29" i="40"/>
  <c r="C6" i="40"/>
  <c r="H38" i="40"/>
  <c r="H37" i="40" s="1"/>
  <c r="H29" i="40"/>
  <c r="D93" i="40"/>
  <c r="D16" i="40" s="1"/>
  <c r="C16" i="40" s="1"/>
  <c r="D60" i="40"/>
  <c r="D64" i="40" s="1"/>
  <c r="D65" i="40" s="1"/>
  <c r="D10" i="40"/>
  <c r="K38" i="40"/>
  <c r="K37" i="40" s="1"/>
  <c r="K29" i="40"/>
  <c r="N38" i="40"/>
  <c r="N37" i="40" s="1"/>
  <c r="N29" i="40"/>
  <c r="I29" i="40"/>
  <c r="I38" i="40"/>
  <c r="I37" i="40" s="1"/>
  <c r="D38" i="40"/>
  <c r="D29" i="40"/>
  <c r="L38" i="40"/>
  <c r="L37" i="40" s="1"/>
  <c r="L29" i="40"/>
  <c r="F38" i="40"/>
  <c r="F37" i="40" s="1"/>
  <c r="F29" i="40"/>
  <c r="O38" i="40"/>
  <c r="O37" i="40" s="1"/>
  <c r="O29" i="40"/>
  <c r="J38" i="40"/>
  <c r="J37" i="40" s="1"/>
  <c r="J29" i="40"/>
  <c r="K1" i="40"/>
  <c r="D13" i="40" l="1"/>
  <c r="F22" i="40"/>
  <c r="H22" i="40"/>
  <c r="M22" i="40"/>
  <c r="I22" i="40"/>
  <c r="J22" i="40"/>
  <c r="N22" i="40"/>
  <c r="E22" i="40"/>
  <c r="L22" i="40"/>
  <c r="O22" i="40"/>
  <c r="K22" i="40"/>
  <c r="E13" i="40"/>
  <c r="E12" i="40" s="1"/>
  <c r="F13" i="40"/>
  <c r="F12" i="40" s="1"/>
  <c r="G13" i="40"/>
  <c r="G12" i="40" s="1"/>
  <c r="H13" i="40"/>
  <c r="H12" i="40" s="1"/>
  <c r="I13" i="40"/>
  <c r="I12" i="40" s="1"/>
  <c r="J13" i="40"/>
  <c r="J12" i="40" s="1"/>
  <c r="K13" i="40"/>
  <c r="K12" i="40" s="1"/>
  <c r="L13" i="40"/>
  <c r="L12" i="40" s="1"/>
  <c r="M13" i="40"/>
  <c r="M12" i="40" s="1"/>
  <c r="N13" i="40"/>
  <c r="N12" i="40" s="1"/>
  <c r="O13" i="40"/>
  <c r="O12" i="40" s="1"/>
  <c r="L1" i="40"/>
  <c r="D34" i="40"/>
  <c r="C10" i="40"/>
  <c r="D105" i="40"/>
  <c r="D110" i="40"/>
  <c r="D19" i="40" s="1"/>
  <c r="C19" i="40" s="1"/>
  <c r="C29" i="40"/>
  <c r="D22" i="40"/>
  <c r="C38" i="40"/>
  <c r="C37" i="40" s="1"/>
  <c r="D37" i="40"/>
  <c r="M21" i="40" l="1"/>
  <c r="I21" i="40"/>
  <c r="L21" i="40"/>
  <c r="O21" i="40"/>
  <c r="H21" i="40"/>
  <c r="E21" i="40"/>
  <c r="N21" i="40"/>
  <c r="J21" i="40"/>
  <c r="D18" i="40"/>
  <c r="C18" i="40" s="1"/>
  <c r="J36" i="40"/>
  <c r="J33" i="40" s="1"/>
  <c r="J11" i="40"/>
  <c r="J20" i="40"/>
  <c r="J145" i="40" s="1"/>
  <c r="M36" i="40"/>
  <c r="M33" i="40" s="1"/>
  <c r="M11" i="40"/>
  <c r="M20" i="40"/>
  <c r="M145" i="40" s="1"/>
  <c r="N36" i="40"/>
  <c r="N33" i="40" s="1"/>
  <c r="N20" i="40"/>
  <c r="N145" i="40" s="1"/>
  <c r="N11" i="40"/>
  <c r="E36" i="40"/>
  <c r="E33" i="40" s="1"/>
  <c r="E11" i="40"/>
  <c r="E20" i="40"/>
  <c r="E145" i="40" s="1"/>
  <c r="M1" i="40"/>
  <c r="C13" i="40"/>
  <c r="G11" i="40"/>
  <c r="G36" i="40"/>
  <c r="G33" i="40" s="1"/>
  <c r="G20" i="40"/>
  <c r="G145" i="40" s="1"/>
  <c r="G21" i="40"/>
  <c r="F36" i="40"/>
  <c r="F33" i="40" s="1"/>
  <c r="F20" i="40"/>
  <c r="F145" i="40" s="1"/>
  <c r="F11" i="40"/>
  <c r="K36" i="40"/>
  <c r="K33" i="40" s="1"/>
  <c r="K11" i="40"/>
  <c r="K20" i="40"/>
  <c r="K145" i="40" s="1"/>
  <c r="O36" i="40"/>
  <c r="O33" i="40" s="1"/>
  <c r="O20" i="40"/>
  <c r="O145" i="40" s="1"/>
  <c r="O11" i="40"/>
  <c r="C34" i="40"/>
  <c r="H20" i="40"/>
  <c r="H145" i="40" s="1"/>
  <c r="H36" i="40"/>
  <c r="H33" i="40" s="1"/>
  <c r="H11" i="40"/>
  <c r="L36" i="40"/>
  <c r="L33" i="40" s="1"/>
  <c r="L20" i="40"/>
  <c r="L145" i="40" s="1"/>
  <c r="L11" i="40"/>
  <c r="C22" i="40"/>
  <c r="I36" i="40"/>
  <c r="I33" i="40" s="1"/>
  <c r="I11" i="40"/>
  <c r="I20" i="40"/>
  <c r="I145" i="40" s="1"/>
  <c r="D15" i="40"/>
  <c r="C15" i="40" s="1"/>
  <c r="F21" i="40"/>
  <c r="K21" i="40"/>
  <c r="L41" i="40" l="1"/>
  <c r="F41" i="40"/>
  <c r="F146" i="40"/>
  <c r="I41" i="40"/>
  <c r="J41" i="40"/>
  <c r="H41" i="40"/>
  <c r="H146" i="40"/>
  <c r="N41" i="40"/>
  <c r="N146" i="40"/>
  <c r="G41" i="40"/>
  <c r="M41" i="40"/>
  <c r="M146" i="40"/>
  <c r="O41" i="40"/>
  <c r="K41" i="40"/>
  <c r="K146" i="40"/>
  <c r="E41" i="40"/>
  <c r="E146" i="40"/>
  <c r="I32" i="40"/>
  <c r="I146" i="40" s="1"/>
  <c r="I7" i="40"/>
  <c r="I8" i="40" s="1"/>
  <c r="I9" i="40" s="1"/>
  <c r="F32" i="40"/>
  <c r="F7" i="40"/>
  <c r="F8" i="40" s="1"/>
  <c r="F9" i="40" s="1"/>
  <c r="E32" i="40"/>
  <c r="E7" i="40"/>
  <c r="E8" i="40" s="1"/>
  <c r="E9" i="40" s="1"/>
  <c r="N1" i="40"/>
  <c r="L32" i="40"/>
  <c r="L146" i="40" s="1"/>
  <c r="L7" i="40"/>
  <c r="L8" i="40" s="1"/>
  <c r="L9" i="40" s="1"/>
  <c r="O32" i="40"/>
  <c r="O146" i="40" s="1"/>
  <c r="O7" i="40"/>
  <c r="O8" i="40" s="1"/>
  <c r="O9" i="40" s="1"/>
  <c r="G32" i="40"/>
  <c r="G146" i="40" s="1"/>
  <c r="G7" i="40"/>
  <c r="G8" i="40" s="1"/>
  <c r="G9" i="40" s="1"/>
  <c r="M32" i="40"/>
  <c r="M7" i="40"/>
  <c r="M8" i="40" s="1"/>
  <c r="M9" i="40" s="1"/>
  <c r="H32" i="40"/>
  <c r="H7" i="40"/>
  <c r="H8" i="40" s="1"/>
  <c r="H9" i="40" s="1"/>
  <c r="K32" i="40"/>
  <c r="K7" i="40"/>
  <c r="K8" i="40" s="1"/>
  <c r="K9" i="40" s="1"/>
  <c r="N32" i="40"/>
  <c r="N7" i="40"/>
  <c r="N8" i="40" s="1"/>
  <c r="N9" i="40" s="1"/>
  <c r="J32" i="40"/>
  <c r="J146" i="40" s="1"/>
  <c r="J7" i="40"/>
  <c r="J8" i="40" s="1"/>
  <c r="J9" i="40" s="1"/>
  <c r="O1" i="40" l="1"/>
  <c r="D14" i="40" l="1"/>
  <c r="D12" i="40" l="1"/>
  <c r="D36" i="40" s="1"/>
  <c r="D33" i="40" s="1"/>
  <c r="C14" i="40"/>
  <c r="D11" i="40" l="1"/>
  <c r="C12" i="40"/>
  <c r="D20" i="40"/>
  <c r="D145" i="40" s="1"/>
  <c r="D21" i="40"/>
  <c r="D41" i="40" l="1"/>
  <c r="O46" i="40" s="1"/>
  <c r="C21" i="40"/>
  <c r="C11" i="40"/>
  <c r="C36" i="40"/>
  <c r="C20" i="40"/>
  <c r="D7" i="40"/>
  <c r="D8" i="40" s="1"/>
  <c r="D9" i="40" s="1"/>
  <c r="D32" i="40"/>
  <c r="D146" i="40" s="1"/>
  <c r="C33" i="40" l="1"/>
  <c r="C41" i="40" s="1"/>
  <c r="H46" i="40"/>
  <c r="N30" i="40"/>
  <c r="M30" i="40"/>
  <c r="L30" i="40"/>
  <c r="K30" i="40"/>
  <c r="J30" i="40"/>
  <c r="I30" i="40"/>
  <c r="H30" i="40"/>
  <c r="G30" i="40"/>
  <c r="F30" i="40"/>
  <c r="E30" i="40"/>
  <c r="D30" i="40"/>
  <c r="C30" i="40" s="1"/>
  <c r="O30" i="40"/>
  <c r="E46" i="40"/>
  <c r="F46" i="40"/>
  <c r="D46" i="40"/>
  <c r="I46" i="40"/>
  <c r="J46" i="40"/>
  <c r="N46" i="40"/>
  <c r="G46" i="40"/>
  <c r="L46" i="40"/>
  <c r="K46" i="40"/>
  <c r="M46" i="40"/>
  <c r="C8" i="40"/>
  <c r="C9" i="40" s="1"/>
  <c r="C7" i="40"/>
  <c r="C32" i="40"/>
  <c r="R12" i="40"/>
  <c r="R20" i="40" s="1"/>
  <c r="R8" i="40" l="1"/>
  <c r="R9" i="40" s="1"/>
  <c r="R32" i="40"/>
  <c r="R7" i="40"/>
  <c r="R21" i="40"/>
  <c r="R11" i="40"/>
  <c r="R36" i="40"/>
  <c r="R33" i="40" l="1"/>
  <c r="R41" i="40" s="1"/>
  <c r="R46" i="40"/>
  <c r="R3" i="40" l="1"/>
  <c r="R4" i="4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<sst xmlns="http://schemas.openxmlformats.org/spreadsheetml/2006/main" count="590" uniqueCount="171">
  <si>
    <t>Tháng</t>
  </si>
  <si>
    <t>Năm</t>
  </si>
  <si>
    <t>Bên A</t>
  </si>
  <si>
    <t>Công ty TNHH Tư vấn Quản trị FIRM</t>
  </si>
  <si>
    <t>[Địa chỉ]</t>
  </si>
  <si>
    <t>[Mã số thuế]</t>
  </si>
  <si>
    <t>[SĐT - Fax]</t>
  </si>
  <si>
    <t>[Website - Page]</t>
  </si>
  <si>
    <t>[STK - Ngân hàng]</t>
  </si>
  <si>
    <t>Bên B</t>
  </si>
  <si>
    <t>Công ty ABC XYZ</t>
  </si>
  <si>
    <t>ID</t>
  </si>
  <si>
    <t>License</t>
  </si>
  <si>
    <t>Doanh thu</t>
  </si>
  <si>
    <t>Tổng</t>
  </si>
  <si>
    <t>Sản lượng</t>
  </si>
  <si>
    <t>Tỷ lệ hòa vốn</t>
  </si>
  <si>
    <t>Chi phí biến đổi</t>
  </si>
  <si>
    <t>Lợi nhuận biến đổi</t>
  </si>
  <si>
    <t>Chi phí cố định</t>
  </si>
  <si>
    <t>Dòng tiền kinh doanh</t>
  </si>
  <si>
    <t>Tỷ lệ nợ trên doanh thu</t>
  </si>
  <si>
    <t>Huy động vốn vay</t>
  </si>
  <si>
    <t>Trả cổ tức</t>
  </si>
  <si>
    <t>Chi phí</t>
  </si>
  <si>
    <t>Tỷ lệ</t>
  </si>
  <si>
    <t>Năm kế hoạch</t>
  </si>
  <si>
    <t>Tham chiếu</t>
  </si>
  <si>
    <t>Tháng 1</t>
  </si>
  <si>
    <t>Tháng 2</t>
  </si>
  <si>
    <t>Tháng 3</t>
  </si>
  <si>
    <t>Tháng 4</t>
  </si>
  <si>
    <t>Tháng 5</t>
  </si>
  <si>
    <t>Tháng 6</t>
  </si>
  <si>
    <t>Tháng 7</t>
  </si>
  <si>
    <t>Tháng 8</t>
  </si>
  <si>
    <t>Tháng 9</t>
  </si>
  <si>
    <t>Tháng 10</t>
  </si>
  <si>
    <t>Tháng 11</t>
  </si>
  <si>
    <t>Tháng 12</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</si>
  <si>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</si>
  <si>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</si>
  <si>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</si>
  <si>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</si>
  <si>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</si>
  <si>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</si>
  <si>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</si>
  <si>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</si>
  <si>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</si>
  <si>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</si>
  <si>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</si>
  <si>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</si>
  <si>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</si>
  <si>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</si>
  <si>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</si>
  <si>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</si>
  <si>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</si>
  <si>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</si>
  <si>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</si>
  <si>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</si>
  <si>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Tiền bán hàng &amp; cung cấp dịch vụ</t>
  </si>
  <si>
    <t>Tiền chi trả chi phí kinh doanh</t>
  </si>
  <si>
    <t>Dòng tiền thanh toán nợ &amp; đầu tư</t>
  </si>
  <si>
    <t>Trả gốc &amp; lãi vay</t>
  </si>
  <si>
    <t>Biến động đầu tư tài sản cố định</t>
  </si>
  <si>
    <t>Biến động đầu tư tài chính</t>
  </si>
  <si>
    <t>Dòng tiền từ vận hành kinh doanh</t>
  </si>
  <si>
    <t>Tiền lời từ đầu tư tài chính</t>
  </si>
  <si>
    <t>Biến động vốn góp</t>
  </si>
  <si>
    <t>Tiền mặt ròng</t>
  </si>
  <si>
    <t>Đơn vị</t>
  </si>
  <si>
    <t>Kế hoạch sản lượng</t>
  </si>
  <si>
    <t>Kế hoạch giá niêm yết thành phẩm</t>
  </si>
  <si>
    <t>Kế hoạch doanh thu</t>
  </si>
  <si>
    <t>Kế hoạch chiết khấu thương mại</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</si>
  <si>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</si>
  <si>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</si>
  <si>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</si>
  <si>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</si>
  <si>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</si>
  <si>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</si>
  <si>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</si>
  <si>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</si>
  <si>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</si>
  <si>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</si>
  <si>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</si>
  <si>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</si>
  <si>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</si>
  <si>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chi phí nhân sự</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</si>
  <si>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</si>
  <si>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</si>
  <si>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</si>
  <si>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</si>
  <si>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</si>
  <si>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</si>
  <si>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</si>
  <si>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</si>
  <si>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</si>
  <si>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</si>
  <si>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Chi phí Vận hành Kênh phân phối</t>
  </si>
  <si>
    <t>Thuế TNDN</t>
  </si>
  <si>
    <t>Thuế suất TNDN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</si>
  <si>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</si>
  <si>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</si>
  <si>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</si>
  <si>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</si>
  <si>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</si>
  <si>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</si>
  <si>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</si>
  <si>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</si>
  <si>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</si>
  <si>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</si>
  <si>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</si>
  <si>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</si>
  <si>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</si>
  <si>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</si>
  <si>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</si>
  <si>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link server</t>
  </si>
  <si>
    <t>Kế hoạch cổ tức</t>
  </si>
  <si>
    <t>Tỷ lệ lợi ích</t>
  </si>
  <si>
    <t>X</t>
  </si>
  <si>
    <t>Thuế phí nộp NS</t>
  </si>
  <si>
    <t>Lệ phí môn bài</t>
  </si>
  <si>
    <t>Thuế phí khác</t>
  </si>
  <si>
    <t>Total</t>
  </si>
  <si>
    <t>Column1</t>
  </si>
  <si>
    <t>Dòng tiền ròng - FCFE</t>
  </si>
  <si>
    <t>NPV Vốn chủ đầu tư</t>
  </si>
  <si>
    <t>IRR Vốn chủ đầu tư</t>
  </si>
  <si>
    <t>Dự kiến tỷ lệ giá trị chiết khấu, giảm giá, khuyến mãi trung bình trên doanh thu tổng</t>
  </si>
  <si>
    <t>Liệt kê danh sách sản phẩm (hàng hóa, thành phẩm, dịch vụ kinh doanh) &amp; dự kiến sản lượng bán từng đơn vị sản phẩm từng tháng trong năm</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</si>
  <si>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</si>
  <si>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</si>
  <si>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</si>
  <si>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</si>
  <si>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</si>
  <si>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</si>
  <si>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</si>
  <si>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Tỷ lệ chiết khấu giảm giá</t>
  </si>
  <si>
    <t>Liệt kê danh sách sản phẩm (hoặc nhân sự, kênh phân phối, phù hợp nhu cầu quản lý đặc thù của doanh nghiệp) và tỷ lệ hoa hồng áp dụng cho từng đơn vị được áp dụng</t>
  </si>
  <si>
    <t>Liệt kê danh sách sản phẩm (hoặc nhân sự, kênh phân phối, phù hợp nhu cầu quản lý đặc thù của doanh nghiệp)</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</si>
  <si>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</si>
  <si>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</si>
  <si>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</si>
  <si>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</si>
  <si>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</si>
  <si>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</si>
  <si>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</si>
  <si>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</si>
  <si>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</si>
  <si>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</si>
  <si>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</si>
  <si>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</si>
  <si>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Liệt kê danh sách cổ đông và tỷ lệ lợi ích (tỷ lệ chia cổ tức) cho từng cổ đông</t>
  </si>
  <si>
    <t>2025</t>
  </si>
  <si>
    <t>2026</t>
  </si>
  <si>
    <t>2027</t>
  </si>
  <si>
    <t>2028</t>
  </si>
  <si>
    <t>Tỷ suất lợi nhuận - Tăng trưởng kỳ vọng</t>
  </si>
  <si>
    <t>QT02</t>
  </si>
  <si>
    <t>4C68A711-89BE-412A-BD2D-CB33771CC62D</t>
  </si>
  <si>
    <t>EASY-33329183463</t>
  </si>
  <si>
    <t>Red</t>
  </si>
  <si>
    <t>Green</t>
  </si>
  <si>
    <t>Blue</t>
  </si>
  <si>
    <t>Gray</t>
  </si>
  <si>
    <t>Brown</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</si>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</sst>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mm\-yyyy"/>
    <numFmt numFmtId="167" formatCode="m/yyyy"/>
    <numFmt numFmtId="168" formatCode="[$-1010000]d/m/yyyy;@"/>
    <numFmt numFmtId="169" formatCode="_(#,##0_);_(\(#,##0\);_(\-_);_(@_)"/>
  </numFmts>
  <fonts count="3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b/>
      <sz val="8"/>
      <color theme="8"/>
      <name val="Segoe UI Light"/>
      <family val="2"/>
      <scheme val="minor"/>
    </font>
    <font>
      <b/>
      <i/>
      <sz val="8"/>
      <color theme="1"/>
      <name val="Segoe UI Light"/>
      <family val="2"/>
      <scheme val="minor"/>
    </font>
    <font>
      <b/>
      <i/>
      <sz val="8"/>
      <color theme="8"/>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i/>
      <sz val="8"/>
      <color theme="9"/>
      <name val="Segoe UI Light"/>
      <family val="2"/>
    </font>
    <font>
      <b/>
      <i/>
      <sz val="8"/>
      <color theme="9"/>
      <name val="Segoe UI Light"/>
      <family val="2"/>
    </font>
    <font>
      <b/>
      <sz val="8"/>
      <color theme="9" tint="-0.499984740745262"/>
      <name val="Segoe UI Light"/>
      <family val="2"/>
      <scheme val="minor"/>
    </font>
    <font>
      <sz val="11"/>
      <color theme="0"/>
      <name val="Segoe UI Light"/>
      <family val="2"/>
      <scheme val="minor"/>
    </font>
    <font>
      <u/>
      <sz val="12"/>
      <color theme="1"/>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right/>
      <top/>
      <bottom style="thin">
        <color theme="5" tint="0.39997558519241921"/>
      </bottom>
      <diagonal/>
    </border>
    <border>
      <left/>
      <right/>
      <top style="thin">
        <color theme="5" tint="0.39997558519241921"/>
      </top>
      <bottom/>
      <diagonal/>
    </border>
    <border>
      <left style="thin">
        <color theme="5" tint="0.39997558519241921"/>
      </left>
      <right/>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12">
    <xf numFmtId="0" fontId="0" fillId="0" borderId="0" xfId="0"/>
    <xf numFmtId="0" fontId="8"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7" fontId="5" fillId="0" borderId="0" xfId="0" applyNumberFormat="1" applyFont="1" applyAlignment="1" applyProtection="1">
      <alignment horizontal="center" vertical="center"/>
      <protection locked="0" hidden="1"/>
    </xf>
    <xf numFmtId="164" fontId="10" fillId="0" borderId="0" xfId="1" applyNumberFormat="1" applyFont="1" applyFill="1" applyAlignment="1" applyProtection="1">
      <alignment vertical="center"/>
      <protection locked="0" hidden="1"/>
    </xf>
    <xf numFmtId="164" fontId="10"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5" fillId="0" borderId="0" xfId="0"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0" fontId="10" fillId="0" borderId="0" xfId="0" applyFont="1" applyAlignment="1" applyProtection="1">
      <alignment vertical="center"/>
      <protection locked="0" hidden="1"/>
    </xf>
    <xf numFmtId="164" fontId="10" fillId="0" borderId="0" xfId="0"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8" fillId="0" borderId="0" xfId="0" applyFont="1" applyAlignment="1" applyProtection="1">
      <alignment vertical="center"/>
      <protection locked="0" hidden="1"/>
    </xf>
    <xf numFmtId="0" fontId="5" fillId="0" borderId="2" xfId="0" applyFont="1" applyBorder="1" applyAlignment="1" applyProtection="1">
      <alignment vertical="center"/>
      <protection locked="0" hidden="1"/>
    </xf>
    <xf numFmtId="9" fontId="5" fillId="0" borderId="0" xfId="2" applyFont="1" applyAlignment="1" applyProtection="1">
      <alignment vertical="center"/>
      <protection locked="0" hidden="1"/>
    </xf>
    <xf numFmtId="0" fontId="13" fillId="0" borderId="0" xfId="0" applyFont="1" applyAlignment="1" applyProtection="1">
      <alignment vertical="center"/>
      <protection locked="0" hidden="1"/>
    </xf>
    <xf numFmtId="0" fontId="9"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0" fillId="0" borderId="2" xfId="0" applyFont="1" applyBorder="1" applyAlignment="1" applyProtection="1">
      <alignment vertical="center"/>
      <protection locked="0" hidden="1"/>
    </xf>
    <xf numFmtId="9" fontId="7" fillId="0" borderId="0" xfId="2" applyFont="1" applyAlignment="1" applyProtection="1">
      <alignment vertical="center"/>
      <protection locked="0" hidden="1"/>
    </xf>
    <xf numFmtId="0" fontId="16" fillId="0" borderId="0" xfId="0" applyFont="1" applyAlignment="1" applyProtection="1">
      <alignment vertical="center"/>
      <protection locked="0" hidden="1"/>
    </xf>
    <xf numFmtId="0" fontId="5" fillId="0" borderId="0" xfId="0" applyFont="1" applyAlignment="1" applyProtection="1">
      <alignment horizontal="left" vertical="center" indent="2"/>
      <protection locked="0" hidden="1"/>
    </xf>
    <xf numFmtId="0" fontId="8" fillId="0" borderId="0" xfId="0" applyFont="1" applyAlignment="1" applyProtection="1">
      <alignment horizontal="left" vertical="center"/>
      <protection locked="0" hidden="1"/>
    </xf>
    <xf numFmtId="0" fontId="7" fillId="2" borderId="0" xfId="1" applyNumberFormat="1" applyFont="1" applyFill="1" applyAlignment="1" applyProtection="1">
      <alignment horizontal="center" vertical="center"/>
      <protection locked="0" hidden="1"/>
    </xf>
    <xf numFmtId="166" fontId="5" fillId="0" borderId="0" xfId="0" applyNumberFormat="1" applyFont="1" applyAlignment="1" applyProtection="1">
      <alignment horizontal="center" vertical="center"/>
      <protection locked="0" hidden="1"/>
    </xf>
    <xf numFmtId="43" fontId="10" fillId="0" borderId="0" xfId="0" applyNumberFormat="1" applyFont="1" applyAlignment="1" applyProtection="1">
      <alignment vertical="center"/>
      <protection locked="0" hidden="1"/>
    </xf>
    <xf numFmtId="164" fontId="9" fillId="0" borderId="0" xfId="0" applyNumberFormat="1" applyFont="1" applyAlignment="1" applyProtection="1">
      <alignment vertical="center"/>
      <protection locked="0" hidden="1"/>
    </xf>
    <xf numFmtId="43" fontId="5" fillId="0" borderId="0" xfId="0" applyNumberFormat="1" applyFont="1" applyAlignment="1" applyProtection="1">
      <alignment vertical="center"/>
      <protection locked="0" hidden="1"/>
    </xf>
    <xf numFmtId="165" fontId="7" fillId="0" borderId="0" xfId="2" applyNumberFormat="1" applyFont="1" applyAlignment="1" applyProtection="1">
      <alignment vertical="center"/>
      <protection locked="0" hidden="1"/>
    </xf>
    <xf numFmtId="10" fontId="7" fillId="0" borderId="0" xfId="2" applyNumberFormat="1" applyFont="1" applyAlignment="1" applyProtection="1">
      <alignment vertical="center"/>
      <protection locked="0" hidden="1"/>
    </xf>
    <xf numFmtId="0" fontId="15" fillId="0" borderId="0" xfId="0" applyFont="1" applyAlignment="1" applyProtection="1">
      <alignment horizontal="left" vertical="center"/>
      <protection locked="0" hidden="1"/>
    </xf>
    <xf numFmtId="0" fontId="17" fillId="0" borderId="0" xfId="0" applyFont="1" applyAlignment="1" applyProtection="1">
      <alignment vertical="center"/>
      <protection locked="0" hidden="1"/>
    </xf>
    <xf numFmtId="0" fontId="0" fillId="0" borderId="0" xfId="0" applyAlignment="1">
      <alignment horizontal="left"/>
    </xf>
    <xf numFmtId="9" fontId="11" fillId="0" borderId="0" xfId="2" applyFont="1" applyAlignment="1" applyProtection="1">
      <alignment horizontal="left" vertical="center" indent="2"/>
      <protection locked="0" hidden="1"/>
    </xf>
    <xf numFmtId="9" fontId="11" fillId="0" borderId="0" xfId="2" applyFont="1" applyAlignment="1" applyProtection="1">
      <alignment vertical="center"/>
      <protection locked="0" hidden="1"/>
    </xf>
    <xf numFmtId="9" fontId="5" fillId="0" borderId="0" xfId="2" applyFont="1" applyFill="1" applyAlignment="1" applyProtection="1">
      <alignment horizontal="right" vertical="center"/>
      <protection locked="0" hidden="1"/>
    </xf>
    <xf numFmtId="164" fontId="5" fillId="0" borderId="0" xfId="1" applyNumberFormat="1" applyFont="1" applyFill="1" applyAlignment="1" applyProtection="1">
      <alignment horizontal="right" vertical="center"/>
      <protection locked="0" hidden="1"/>
    </xf>
    <xf numFmtId="164" fontId="8" fillId="0" borderId="0" xfId="1" applyNumberFormat="1" applyFont="1" applyFill="1" applyBorder="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0" fillId="0" borderId="0" xfId="0" applyFont="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164" fontId="12" fillId="0" borderId="0" xfId="1" applyNumberFormat="1" applyFont="1" applyFill="1" applyBorder="1" applyAlignment="1" applyProtection="1">
      <alignment horizontal="right" vertical="center"/>
      <protection locked="0" hidden="1"/>
    </xf>
    <xf numFmtId="9" fontId="11" fillId="0" borderId="0" xfId="2" applyFont="1" applyAlignment="1" applyProtection="1">
      <alignment horizontal="right" vertical="center"/>
      <protection locked="0" hidden="1"/>
    </xf>
    <xf numFmtId="9" fontId="15" fillId="0" borderId="0" xfId="2" applyFont="1" applyFill="1" applyAlignment="1" applyProtection="1">
      <alignment horizontal="right" vertical="center"/>
      <protection locked="0" hidden="1"/>
    </xf>
    <xf numFmtId="10" fontId="19"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0" fontId="14" fillId="0" borderId="0" xfId="0" applyFont="1" applyAlignment="1" applyProtection="1">
      <alignment horizontal="left" vertical="center"/>
      <protection locked="0" hidden="1"/>
    </xf>
    <xf numFmtId="164" fontId="14" fillId="0" borderId="0" xfId="1" applyNumberFormat="1" applyFont="1" applyFill="1" applyAlignment="1" applyProtection="1">
      <alignment horizontal="right" vertical="center"/>
      <protection locked="0" hidden="1"/>
    </xf>
    <xf numFmtId="10" fontId="15" fillId="0" borderId="0" xfId="2" applyNumberFormat="1" applyFont="1" applyFill="1" applyAlignment="1" applyProtection="1">
      <alignment horizontal="right" vertical="center"/>
      <protection locked="0" hidden="1"/>
    </xf>
    <xf numFmtId="165" fontId="5" fillId="0" borderId="0" xfId="2" applyNumberFormat="1" applyFont="1" applyAlignment="1" applyProtection="1">
      <alignment vertical="center"/>
      <protection locked="0" hidden="1"/>
    </xf>
    <xf numFmtId="165" fontId="10" fillId="0" borderId="0" xfId="2" applyNumberFormat="1" applyFont="1" applyAlignment="1" applyProtection="1">
      <alignment vertical="center"/>
      <protection locked="0" hidden="1"/>
    </xf>
    <xf numFmtId="43" fontId="7" fillId="0" borderId="0" xfId="2" applyNumberFormat="1" applyFont="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2" fillId="0" borderId="0" xfId="0" applyFont="1" applyAlignment="1" applyProtection="1">
      <alignment horizontal="right" vertical="center"/>
      <protection locked="0"/>
    </xf>
    <xf numFmtId="0" fontId="1" fillId="0" borderId="0" xfId="0" applyFont="1" applyAlignment="1">
      <alignment horizontal="left" vertical="center"/>
    </xf>
    <xf numFmtId="0" fontId="2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8" fontId="1" fillId="0" borderId="0" xfId="0" applyNumberFormat="1" applyFont="1" applyAlignment="1">
      <alignment horizontal="left" vertical="center"/>
    </xf>
    <xf numFmtId="168"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0" xfId="1" applyNumberFormat="1" applyFont="1" applyFill="1" applyAlignment="1" applyProtection="1">
      <alignment horizontal="right" vertical="center"/>
      <protection locked="0" hidden="1"/>
    </xf>
    <xf numFmtId="0" fontId="8" fillId="0" borderId="0" xfId="1" applyNumberFormat="1" applyFont="1" applyFill="1" applyAlignment="1" applyProtection="1">
      <alignment horizontal="right" vertical="center"/>
      <protection locked="0" hidden="1"/>
    </xf>
    <xf numFmtId="0" fontId="20" fillId="0" borderId="0" xfId="1" applyNumberFormat="1" applyFont="1" applyFill="1" applyAlignment="1" applyProtection="1">
      <alignment horizontal="right" vertical="center"/>
      <protection locked="0" hidden="1"/>
    </xf>
    <xf numFmtId="0" fontId="5" fillId="0" borderId="0" xfId="1" applyNumberFormat="1" applyFont="1" applyFill="1" applyBorder="1" applyAlignment="1" applyProtection="1">
      <alignment horizontal="right" vertical="center"/>
      <protection locked="0" hidden="1"/>
    </xf>
    <xf numFmtId="0" fontId="12" fillId="0" borderId="0" xfId="1" applyNumberFormat="1" applyFont="1" applyFill="1" applyBorder="1" applyAlignment="1" applyProtection="1">
      <alignment horizontal="right" vertical="center"/>
      <protection locked="0" hidden="1"/>
    </xf>
    <xf numFmtId="0" fontId="8" fillId="0" borderId="0" xfId="1" applyNumberFormat="1" applyFont="1" applyFill="1" applyBorder="1" applyAlignment="1" applyProtection="1">
      <alignment horizontal="right" vertical="center"/>
      <protection locked="0" hidden="1"/>
    </xf>
    <xf numFmtId="0" fontId="5" fillId="0" borderId="0" xfId="0" applyFont="1" applyAlignment="1" applyProtection="1">
      <alignment vertical="center" wrapText="1"/>
      <protection locked="0" hidden="1"/>
    </xf>
    <xf numFmtId="0" fontId="5" fillId="0" borderId="0" xfId="1" applyNumberFormat="1" applyFont="1" applyAlignment="1" applyProtection="1">
      <alignment vertical="center"/>
      <protection locked="0" hidden="1"/>
    </xf>
    <xf numFmtId="0" fontId="10" fillId="0" borderId="0" xfId="1" applyNumberFormat="1" applyFont="1" applyAlignment="1" applyProtection="1">
      <alignment vertical="center"/>
      <protection locked="0" hidden="1"/>
    </xf>
    <xf numFmtId="0" fontId="7" fillId="0" borderId="0" xfId="1" applyNumberFormat="1" applyFont="1" applyFill="1" applyAlignment="1" applyProtection="1">
      <alignment vertical="center"/>
      <protection locked="0" hidden="1"/>
    </xf>
    <xf numFmtId="0" fontId="10" fillId="0" borderId="0" xfId="1" applyNumberFormat="1" applyFont="1" applyFill="1" applyAlignment="1" applyProtection="1">
      <alignment vertical="center"/>
      <protection locked="0" hidden="1"/>
    </xf>
    <xf numFmtId="0" fontId="7" fillId="0" borderId="2" xfId="0" applyFont="1" applyBorder="1" applyAlignment="1" applyProtection="1">
      <alignment vertical="center"/>
      <protection locked="0" hidden="1"/>
    </xf>
    <xf numFmtId="0" fontId="7" fillId="0" borderId="0" xfId="1" applyNumberFormat="1" applyFont="1" applyAlignment="1" applyProtection="1">
      <alignment vertical="center"/>
      <protection locked="0" hidden="1"/>
    </xf>
    <xf numFmtId="0" fontId="5" fillId="2" borderId="0" xfId="0" applyFont="1" applyFill="1" applyAlignment="1" applyProtection="1">
      <alignment vertical="center"/>
      <protection locked="0" hidden="1"/>
    </xf>
    <xf numFmtId="169" fontId="0" fillId="0" borderId="0" xfId="0" applyNumberFormat="1" applyAlignment="1" applyProtection="1">
      <alignment vertical="center"/>
      <protection locked="0"/>
    </xf>
    <xf numFmtId="169" fontId="18" fillId="0" borderId="0" xfId="0" applyNumberFormat="1" applyFont="1" applyProtection="1">
      <protection locked="0"/>
    </xf>
    <xf numFmtId="169" fontId="0" fillId="0" borderId="0" xfId="0" applyNumberFormat="1" applyProtection="1">
      <protection locked="0"/>
    </xf>
    <xf numFmtId="169" fontId="0" fillId="0" borderId="0" xfId="0" applyNumberFormat="1" applyAlignment="1" applyProtection="1">
      <alignment horizontal="left" vertical="center" indent="1"/>
      <protection locked="0"/>
    </xf>
    <xf numFmtId="169" fontId="18" fillId="0" borderId="0" xfId="0" applyNumberFormat="1" applyFont="1" applyAlignment="1" applyProtection="1">
      <alignment horizontal="left" vertical="center" indent="1"/>
      <protection locked="0"/>
    </xf>
    <xf numFmtId="169" fontId="0" fillId="0" borderId="0" xfId="0" applyNumberFormat="1" applyAlignment="1">
      <alignment horizontal="left"/>
    </xf>
    <xf numFmtId="169" fontId="5" fillId="0" borderId="0" xfId="1" applyNumberFormat="1" applyFont="1" applyFill="1" applyAlignment="1" applyProtection="1">
      <alignment horizontal="right" vertical="center"/>
      <protection locked="0" hidden="1"/>
    </xf>
    <xf numFmtId="169" fontId="8" fillId="0" borderId="0" xfId="1" applyNumberFormat="1" applyFont="1" applyFill="1" applyAlignment="1" applyProtection="1">
      <alignment horizontal="right" vertical="center"/>
      <protection locked="0" hidden="1"/>
    </xf>
    <xf numFmtId="169" fontId="8" fillId="0" borderId="0" xfId="1" applyNumberFormat="1" applyFont="1" applyFill="1" applyBorder="1" applyAlignment="1" applyProtection="1">
      <alignment horizontal="right" vertical="center"/>
      <protection locked="0" hidden="1"/>
    </xf>
    <xf numFmtId="169" fontId="5" fillId="0" borderId="0" xfId="1" applyNumberFormat="1" applyFont="1" applyFill="1" applyBorder="1" applyAlignment="1" applyProtection="1">
      <alignment horizontal="right" vertical="center"/>
      <protection locked="0" hidden="1"/>
    </xf>
    <xf numFmtId="169" fontId="15" fillId="0" borderId="0" xfId="1" applyNumberFormat="1" applyFont="1" applyFill="1" applyAlignment="1" applyProtection="1">
      <alignment horizontal="right" vertical="center"/>
      <protection locked="0" hidden="1"/>
    </xf>
    <xf numFmtId="169" fontId="14" fillId="0" borderId="0" xfId="1" applyNumberFormat="1" applyFont="1" applyFill="1" applyAlignment="1" applyProtection="1">
      <alignment horizontal="right" vertical="center"/>
      <protection locked="0" hidden="1"/>
    </xf>
    <xf numFmtId="164" fontId="5" fillId="0" borderId="0" xfId="2" applyNumberFormat="1" applyFont="1" applyAlignment="1" applyProtection="1">
      <alignment vertical="center"/>
      <protection locked="0" hidden="1"/>
    </xf>
    <xf numFmtId="164" fontId="19" fillId="0" borderId="0" xfId="1" applyNumberFormat="1" applyFont="1" applyFill="1" applyBorder="1" applyAlignment="1" applyProtection="1">
      <alignment horizontal="right" vertical="center"/>
      <protection locked="0" hidden="1"/>
    </xf>
    <xf numFmtId="0" fontId="6" fillId="0" borderId="3" xfId="0" applyFont="1" applyBorder="1" applyAlignment="1">
      <alignment vertical="center"/>
    </xf>
    <xf numFmtId="0" fontId="6" fillId="0" borderId="1" xfId="0" applyFont="1" applyBorder="1" applyAlignment="1">
      <alignment horizontal="center" vertical="center"/>
    </xf>
    <xf numFmtId="167" fontId="6" fillId="0" borderId="1" xfId="0" applyNumberFormat="1" applyFont="1" applyBorder="1" applyAlignment="1">
      <alignment horizontal="center" vertical="center"/>
    </xf>
    <xf numFmtId="0" fontId="15" fillId="2" borderId="0" xfId="1" applyNumberFormat="1" applyFont="1" applyFill="1" applyAlignment="1" applyProtection="1">
      <alignment horizontal="right" vertical="center"/>
      <protection locked="0" hidden="1"/>
    </xf>
    <xf numFmtId="9" fontId="5" fillId="0" borderId="0" xfId="0" applyNumberFormat="1" applyFont="1" applyAlignment="1" applyProtection="1">
      <alignment horizontal="right" vertical="center"/>
      <protection locked="0" hidden="1"/>
    </xf>
    <xf numFmtId="164" fontId="10" fillId="0" borderId="0" xfId="2" applyNumberFormat="1" applyFont="1" applyAlignment="1" applyProtection="1">
      <alignment horizontal="right" vertical="center"/>
      <protection locked="0" hidden="1"/>
    </xf>
    <xf numFmtId="167" fontId="6" fillId="0" borderId="0" xfId="0" applyNumberFormat="1" applyFont="1" applyAlignment="1">
      <alignment horizontal="center" vertical="center"/>
    </xf>
    <xf numFmtId="168" fontId="5" fillId="2" borderId="0" xfId="0" applyNumberFormat="1" applyFont="1" applyFill="1" applyAlignment="1" applyProtection="1">
      <alignment vertical="center"/>
      <protection locked="0" hidden="1"/>
    </xf>
    <xf numFmtId="164" fontId="25" fillId="0" borderId="0" xfId="0" applyNumberFormat="1" applyFont="1" applyAlignment="1" applyProtection="1">
      <alignment horizontal="right" vertical="center"/>
      <protection locked="0" hidden="1"/>
    </xf>
    <xf numFmtId="9" fontId="5" fillId="2" borderId="0" xfId="2" applyFont="1" applyFill="1" applyAlignment="1" applyProtection="1">
      <alignment vertical="center"/>
      <protection locked="0" hidden="1"/>
    </xf>
    <xf numFmtId="164" fontId="5" fillId="0" borderId="0" xfId="0" applyNumberFormat="1" applyFont="1" applyAlignment="1" applyProtection="1">
      <alignment horizontal="center" vertical="center"/>
      <protection locked="0" hidden="1"/>
    </xf>
    <xf numFmtId="164" fontId="26" fillId="0" borderId="0" xfId="0" applyNumberFormat="1" applyFont="1" applyAlignment="1" applyProtection="1">
      <alignment horizontal="right" vertical="center"/>
      <protection locked="0" hidden="1"/>
    </xf>
    <xf numFmtId="164" fontId="9" fillId="0" borderId="0" xfId="1" applyNumberFormat="1" applyFont="1" applyAlignment="1" applyProtection="1">
      <alignment horizontal="center" vertical="center"/>
      <protection locked="0" hidden="1"/>
    </xf>
    <xf numFmtId="9" fontId="9" fillId="0" borderId="0" xfId="2" applyFont="1" applyAlignment="1" applyProtection="1">
      <alignment horizontal="center" vertical="center"/>
      <protection locked="0" hidden="1"/>
    </xf>
    <xf numFmtId="9" fontId="27" fillId="2" borderId="0" xfId="2" applyFont="1" applyFill="1" applyAlignment="1" applyProtection="1">
      <alignment horizontal="center" vertical="center"/>
      <protection locked="0" hidden="1"/>
    </xf>
    <xf numFmtId="0" fontId="28" fillId="0" borderId="0" xfId="0" applyFont="1" applyAlignment="1" applyProtection="1">
      <alignment vertical="center"/>
      <protection locked="0"/>
    </xf>
  </cellXfs>
  <cellStyles count="3">
    <cellStyle name="Comma" xfId="1" builtinId="3"/>
    <cellStyle name="Normal" xfId="0" builtinId="0"/>
    <cellStyle name="Percent" xfId="2" builtinId="5"/>
  </cellStyles>
  <dxfs count="630">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m/yyyy"/>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7"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7" formatCode="m/yyyy"/>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border diagonalUp="0" diagonalDown="0">
        <left/>
        <right/>
        <top style="thin">
          <color theme="5" tint="0.39997558519241921"/>
        </top>
        <bottom/>
      </border>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auto="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629"/>
      <tableStyleElement type="headerRow" dxfId="628"/>
    </tableStyle>
    <tableStyle name="SlicerStyleLight1 2 2" pivot="0" table="0" count="10" xr9:uid="{9DB8D611-4D15-4128-AF8D-E3329BCC5BCE}">
      <tableStyleElement type="wholeTable" dxfId="627"/>
      <tableStyleElement type="headerRow" dxfId="626"/>
    </tableStyle>
    <tableStyle name="TimeSlicerStyleLight1 2" pivot="0" table="0" count="9" xr9:uid="{58382D9D-B456-41C4-B229-09D2A872184E}">
      <tableStyleElement type="wholeTable" dxfId="625"/>
      <tableStyleElement type="headerRow" dxfId="62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18" Type="http://schemas.openxmlformats.org/officeDocument/2006/relationships/customXml" Target="../customXml/item10.xml"/><Relationship Id="rId26" Type="http://schemas.openxmlformats.org/officeDocument/2006/relationships/customXml" Target="../customXml/item18.xml"/><Relationship Id="rId3" Type="http://schemas.openxmlformats.org/officeDocument/2006/relationships/worksheet" Target="worksheets/sheet3.xml"/><Relationship Id="rId21" Type="http://schemas.openxmlformats.org/officeDocument/2006/relationships/customXml" Target="../customXml/item13.xml"/><Relationship Id="rId7" Type="http://schemas.openxmlformats.org/officeDocument/2006/relationships/sheetMetadata" Target="metadata.xml"/><Relationship Id="rId12" Type="http://schemas.openxmlformats.org/officeDocument/2006/relationships/customXml" Target="../customXml/item4.xml"/><Relationship Id="rId17" Type="http://schemas.openxmlformats.org/officeDocument/2006/relationships/customXml" Target="../customXml/item9.xml"/><Relationship Id="rId25"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ustomXml" Target="../customXml/item8.xml"/><Relationship Id="rId20" Type="http://schemas.openxmlformats.org/officeDocument/2006/relationships/customXml" Target="../customXml/item12.xml"/><Relationship Id="rId29"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24" Type="http://schemas.openxmlformats.org/officeDocument/2006/relationships/customXml" Target="../customXml/item16.xml"/><Relationship Id="rId5" Type="http://schemas.openxmlformats.org/officeDocument/2006/relationships/styles" Target="styles.xml"/><Relationship Id="rId15" Type="http://schemas.openxmlformats.org/officeDocument/2006/relationships/customXml" Target="../customXml/item7.xml"/><Relationship Id="rId23" Type="http://schemas.openxmlformats.org/officeDocument/2006/relationships/customXml" Target="../customXml/item15.xml"/><Relationship Id="rId28" Type="http://schemas.openxmlformats.org/officeDocument/2006/relationships/customXml" Target="../customXml/item20.xml"/><Relationship Id="rId10" Type="http://schemas.openxmlformats.org/officeDocument/2006/relationships/customXml" Target="../customXml/item2.xml"/><Relationship Id="rId19" Type="http://schemas.openxmlformats.org/officeDocument/2006/relationships/customXml" Target="../customXml/item11.xml"/><Relationship Id="rId4" Type="http://schemas.openxmlformats.org/officeDocument/2006/relationships/theme" Target="theme/theme1.xml"/><Relationship Id="rId9" Type="http://schemas.openxmlformats.org/officeDocument/2006/relationships/customXml" Target="../customXml/item1.xml"/><Relationship Id="rId14" Type="http://schemas.openxmlformats.org/officeDocument/2006/relationships/customXml" Target="../customXml/item6.xml"/><Relationship Id="rId22" Type="http://schemas.openxmlformats.org/officeDocument/2006/relationships/customXml" Target="../customXml/item14.xml"/><Relationship Id="rId27" Type="http://schemas.openxmlformats.org/officeDocument/2006/relationships/customXml" Target="../customXml/item19.xml"/><Relationship Id="rId30" Type="http://schemas.microsoft.com/office/2006/relationships/vbaProject" Target="vbaProject.bin"/></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142874</xdr:colOff>
          <xdr:row>2</xdr:row>
          <xdr:rowOff>47625</xdr:rowOff>
        </xdr:from>
        <xdr:to>
          <xdr:col>1</xdr:col>
          <xdr:colOff>2133599</xdr:colOff>
          <xdr:row>3</xdr:row>
          <xdr:rowOff>180975</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876299" y="504825"/>
              <a:ext cx="1990725" cy="361950"/>
              <a:chOff x="8191500" y="3409950"/>
              <a:chExt cx="1990725" cy="361950"/>
            </a:xfrm>
          </xdr:grpSpPr>
          <xdr:grpSp>
            <xdr:nvGrpSpPr>
              <xdr:cNvPr id="13" name="Group 12">
                <a:extLst>
                  <a:ext uri="{FF2B5EF4-FFF2-40B4-BE49-F238E27FC236}">
                    <a16:creationId xmlns:a16="http://schemas.microsoft.com/office/drawing/2014/main" id="{00000000-0008-0000-03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2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2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2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2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2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0</xdr:row>
          <xdr:rowOff>76200</xdr:rowOff>
        </xdr:from>
        <xdr:to>
          <xdr:col>1</xdr:col>
          <xdr:colOff>1971675</xdr:colOff>
          <xdr:row>1</xdr:row>
          <xdr:rowOff>209550</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1047750" y="7620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2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3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2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2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2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47625</xdr:colOff>
          <xdr:row>0</xdr:row>
          <xdr:rowOff>190500</xdr:rowOff>
        </xdr:from>
        <xdr:to>
          <xdr:col>23</xdr:col>
          <xdr:colOff>9525</xdr:colOff>
          <xdr:row>3</xdr:row>
          <xdr:rowOff>66675</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13382625" y="190500"/>
              <a:ext cx="590550" cy="561975"/>
              <a:chOff x="14658975" y="866775"/>
              <a:chExt cx="590550" cy="561975"/>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200-000012C40000}"/>
                  </a:ext>
                </a:extLst>
              </xdr:cNvPr>
              <xdr:cNvSpPr/>
            </xdr:nvSpPr>
            <xdr:spPr bwMode="auto">
              <a:xfrm>
                <a:off x="14658975" y="866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200-000013C40000}"/>
                  </a:ext>
                </a:extLst>
              </xdr:cNvPr>
              <xdr:cNvSpPr/>
            </xdr:nvSpPr>
            <xdr:spPr bwMode="auto">
              <a:xfrm>
                <a:off x="14658975" y="11715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57150</xdr:colOff>
          <xdr:row>1</xdr:row>
          <xdr:rowOff>0</xdr:rowOff>
        </xdr:from>
        <xdr:to>
          <xdr:col>26</xdr:col>
          <xdr:colOff>647700</xdr:colOff>
          <xdr:row>3</xdr:row>
          <xdr:rowOff>104775</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17611725" y="228600"/>
              <a:ext cx="590550" cy="561975"/>
              <a:chOff x="14658975" y="866775"/>
              <a:chExt cx="590550" cy="561975"/>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200-000014C40000}"/>
                  </a:ext>
                </a:extLst>
              </xdr:cNvPr>
              <xdr:cNvSpPr/>
            </xdr:nvSpPr>
            <xdr:spPr bwMode="auto">
              <a:xfrm>
                <a:off x="14658975" y="866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200-000015C40000}"/>
                  </a:ext>
                </a:extLst>
              </xdr:cNvPr>
              <xdr:cNvSpPr/>
            </xdr:nvSpPr>
            <xdr:spPr bwMode="auto">
              <a:xfrm>
                <a:off x="14658975" y="11715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47</xdr:row>
          <xdr:rowOff>38100</xdr:rowOff>
        </xdr:from>
        <xdr:to>
          <xdr:col>0</xdr:col>
          <xdr:colOff>685800</xdr:colOff>
          <xdr:row>49</xdr:row>
          <xdr:rowOff>133350</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66675" y="10782300"/>
              <a:ext cx="619125" cy="552450"/>
              <a:chOff x="342900" y="11725275"/>
              <a:chExt cx="619125" cy="552450"/>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200-00001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200-00001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51</xdr:row>
          <xdr:rowOff>95250</xdr:rowOff>
        </xdr:from>
        <xdr:to>
          <xdr:col>0</xdr:col>
          <xdr:colOff>685800</xdr:colOff>
          <xdr:row>53</xdr:row>
          <xdr:rowOff>190500</xdr:rowOff>
        </xdr:to>
        <xdr:grpSp>
          <xdr:nvGrpSpPr>
            <xdr:cNvPr id="10" name="Group 9">
              <a:extLst>
                <a:ext uri="{FF2B5EF4-FFF2-40B4-BE49-F238E27FC236}">
                  <a16:creationId xmlns:a16="http://schemas.microsoft.com/office/drawing/2014/main" id="{00000000-0008-0000-0300-00000A000000}"/>
                </a:ext>
              </a:extLst>
            </xdr:cNvPr>
            <xdr:cNvGrpSpPr/>
          </xdr:nvGrpSpPr>
          <xdr:grpSpPr>
            <a:xfrm>
              <a:off x="66675" y="11753850"/>
              <a:ext cx="619125" cy="552450"/>
              <a:chOff x="342900" y="11725275"/>
              <a:chExt cx="619125" cy="552450"/>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200-00001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200-00001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55</xdr:row>
          <xdr:rowOff>66675</xdr:rowOff>
        </xdr:from>
        <xdr:to>
          <xdr:col>0</xdr:col>
          <xdr:colOff>685800</xdr:colOff>
          <xdr:row>57</xdr:row>
          <xdr:rowOff>161925</xdr:rowOff>
        </xdr:to>
        <xdr:grpSp>
          <xdr:nvGrpSpPr>
            <xdr:cNvPr id="11" name="Group 10">
              <a:extLst>
                <a:ext uri="{FF2B5EF4-FFF2-40B4-BE49-F238E27FC236}">
                  <a16:creationId xmlns:a16="http://schemas.microsoft.com/office/drawing/2014/main" id="{00000000-0008-0000-0300-00000B000000}"/>
                </a:ext>
              </a:extLst>
            </xdr:cNvPr>
            <xdr:cNvGrpSpPr/>
          </xdr:nvGrpSpPr>
          <xdr:grpSpPr>
            <a:xfrm>
              <a:off x="66675" y="12639675"/>
              <a:ext cx="619125" cy="552450"/>
              <a:chOff x="342900" y="11725275"/>
              <a:chExt cx="619125" cy="552450"/>
            </a:xfrm>
          </xdr:grpSpPr>
          <xdr:sp macro="" textlink="">
            <xdr:nvSpPr>
              <xdr:cNvPr id="50202" name="Button 26" hidden="1">
                <a:extLst>
                  <a:ext uri="{63B3BB69-23CF-44E3-9099-C40C66FF867C}">
                    <a14:compatExt spid="_x0000_s50202"/>
                  </a:ext>
                  <a:ext uri="{FF2B5EF4-FFF2-40B4-BE49-F238E27FC236}">
                    <a16:creationId xmlns:a16="http://schemas.microsoft.com/office/drawing/2014/main" id="{00000000-0008-0000-0200-00001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3" name="Button 27" hidden="1">
                <a:extLst>
                  <a:ext uri="{63B3BB69-23CF-44E3-9099-C40C66FF867C}">
                    <a14:compatExt spid="_x0000_s50203"/>
                  </a:ext>
                  <a:ext uri="{FF2B5EF4-FFF2-40B4-BE49-F238E27FC236}">
                    <a16:creationId xmlns:a16="http://schemas.microsoft.com/office/drawing/2014/main" id="{00000000-0008-0000-0200-00001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60</xdr:row>
          <xdr:rowOff>76200</xdr:rowOff>
        </xdr:from>
        <xdr:to>
          <xdr:col>0</xdr:col>
          <xdr:colOff>685800</xdr:colOff>
          <xdr:row>62</xdr:row>
          <xdr:rowOff>171450</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66675" y="13792200"/>
              <a:ext cx="619125" cy="552450"/>
              <a:chOff x="342900" y="11725275"/>
              <a:chExt cx="619125" cy="552450"/>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200-00001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200-00001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65</xdr:row>
          <xdr:rowOff>38100</xdr:rowOff>
        </xdr:from>
        <xdr:to>
          <xdr:col>0</xdr:col>
          <xdr:colOff>685800</xdr:colOff>
          <xdr:row>67</xdr:row>
          <xdr:rowOff>133350</xdr:rowOff>
        </xdr:to>
        <xdr:grpSp>
          <xdr:nvGrpSpPr>
            <xdr:cNvPr id="15" name="Group 14">
              <a:extLst>
                <a:ext uri="{FF2B5EF4-FFF2-40B4-BE49-F238E27FC236}">
                  <a16:creationId xmlns:a16="http://schemas.microsoft.com/office/drawing/2014/main" id="{00000000-0008-0000-0300-00000F000000}"/>
                </a:ext>
              </a:extLst>
            </xdr:cNvPr>
            <xdr:cNvGrpSpPr/>
          </xdr:nvGrpSpPr>
          <xdr:grpSpPr>
            <a:xfrm>
              <a:off x="66675" y="14897100"/>
              <a:ext cx="619125" cy="552450"/>
              <a:chOff x="342900" y="11725275"/>
              <a:chExt cx="619125" cy="552450"/>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200-00001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200-00001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69</xdr:row>
          <xdr:rowOff>95250</xdr:rowOff>
        </xdr:from>
        <xdr:to>
          <xdr:col>0</xdr:col>
          <xdr:colOff>685800</xdr:colOff>
          <xdr:row>71</xdr:row>
          <xdr:rowOff>190500</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66675" y="15868650"/>
              <a:ext cx="619125" cy="552450"/>
              <a:chOff x="342900" y="11725275"/>
              <a:chExt cx="619125" cy="552450"/>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200-00002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200-00002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73</xdr:row>
          <xdr:rowOff>123825</xdr:rowOff>
        </xdr:from>
        <xdr:to>
          <xdr:col>0</xdr:col>
          <xdr:colOff>685800</xdr:colOff>
          <xdr:row>75</xdr:row>
          <xdr:rowOff>219075</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66675" y="16811625"/>
              <a:ext cx="619125" cy="552450"/>
              <a:chOff x="342900" y="11725275"/>
              <a:chExt cx="619125" cy="552450"/>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200-00002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200-00002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77</xdr:row>
          <xdr:rowOff>66675</xdr:rowOff>
        </xdr:from>
        <xdr:to>
          <xdr:col>0</xdr:col>
          <xdr:colOff>685800</xdr:colOff>
          <xdr:row>79</xdr:row>
          <xdr:rowOff>161925</xdr:rowOff>
        </xdr:to>
        <xdr:grpSp>
          <xdr:nvGrpSpPr>
            <xdr:cNvPr id="18" name="Group 17">
              <a:extLst>
                <a:ext uri="{FF2B5EF4-FFF2-40B4-BE49-F238E27FC236}">
                  <a16:creationId xmlns:a16="http://schemas.microsoft.com/office/drawing/2014/main" id="{00000000-0008-0000-0300-000012000000}"/>
                </a:ext>
              </a:extLst>
            </xdr:cNvPr>
            <xdr:cNvGrpSpPr/>
          </xdr:nvGrpSpPr>
          <xdr:grpSpPr>
            <a:xfrm>
              <a:off x="66675" y="17668875"/>
              <a:ext cx="619125" cy="552450"/>
              <a:chOff x="342900" y="11725275"/>
              <a:chExt cx="619125" cy="552450"/>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200-00002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200-00002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81</xdr:row>
          <xdr:rowOff>114300</xdr:rowOff>
        </xdr:from>
        <xdr:to>
          <xdr:col>0</xdr:col>
          <xdr:colOff>685800</xdr:colOff>
          <xdr:row>83</xdr:row>
          <xdr:rowOff>209550</xdr:rowOff>
        </xdr:to>
        <xdr:grpSp>
          <xdr:nvGrpSpPr>
            <xdr:cNvPr id="19" name="Group 18">
              <a:extLst>
                <a:ext uri="{FF2B5EF4-FFF2-40B4-BE49-F238E27FC236}">
                  <a16:creationId xmlns:a16="http://schemas.microsoft.com/office/drawing/2014/main" id="{00000000-0008-0000-0300-000013000000}"/>
                </a:ext>
              </a:extLst>
            </xdr:cNvPr>
            <xdr:cNvGrpSpPr/>
          </xdr:nvGrpSpPr>
          <xdr:grpSpPr>
            <a:xfrm>
              <a:off x="66675" y="18630900"/>
              <a:ext cx="619125" cy="552450"/>
              <a:chOff x="342900" y="11725275"/>
              <a:chExt cx="619125" cy="552450"/>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200-00002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200-00002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85</xdr:row>
          <xdr:rowOff>114300</xdr:rowOff>
        </xdr:from>
        <xdr:to>
          <xdr:col>0</xdr:col>
          <xdr:colOff>685800</xdr:colOff>
          <xdr:row>87</xdr:row>
          <xdr:rowOff>209550</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66675" y="19545300"/>
              <a:ext cx="619125" cy="552450"/>
              <a:chOff x="342900" y="11725275"/>
              <a:chExt cx="619125" cy="552450"/>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200-00002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200-00002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89</xdr:row>
          <xdr:rowOff>95250</xdr:rowOff>
        </xdr:from>
        <xdr:to>
          <xdr:col>0</xdr:col>
          <xdr:colOff>685800</xdr:colOff>
          <xdr:row>91</xdr:row>
          <xdr:rowOff>190500</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66675" y="20440650"/>
              <a:ext cx="619125" cy="552450"/>
              <a:chOff x="342900" y="11725275"/>
              <a:chExt cx="619125" cy="552450"/>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200-00002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200-00002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93</xdr:row>
          <xdr:rowOff>57150</xdr:rowOff>
        </xdr:from>
        <xdr:to>
          <xdr:col>0</xdr:col>
          <xdr:colOff>685800</xdr:colOff>
          <xdr:row>95</xdr:row>
          <xdr:rowOff>152400</xdr:rowOff>
        </xdr:to>
        <xdr:grpSp>
          <xdr:nvGrpSpPr>
            <xdr:cNvPr id="22" name="Group 21">
              <a:extLst>
                <a:ext uri="{FF2B5EF4-FFF2-40B4-BE49-F238E27FC236}">
                  <a16:creationId xmlns:a16="http://schemas.microsoft.com/office/drawing/2014/main" id="{00000000-0008-0000-0300-000016000000}"/>
                </a:ext>
              </a:extLst>
            </xdr:cNvPr>
            <xdr:cNvGrpSpPr/>
          </xdr:nvGrpSpPr>
          <xdr:grpSpPr>
            <a:xfrm>
              <a:off x="66675" y="21316950"/>
              <a:ext cx="619125" cy="552450"/>
              <a:chOff x="342900" y="11725275"/>
              <a:chExt cx="619125" cy="552450"/>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200-00002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200-00002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97</xdr:row>
          <xdr:rowOff>95250</xdr:rowOff>
        </xdr:from>
        <xdr:to>
          <xdr:col>0</xdr:col>
          <xdr:colOff>685800</xdr:colOff>
          <xdr:row>99</xdr:row>
          <xdr:rowOff>190500</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66675" y="22269450"/>
              <a:ext cx="619125" cy="552450"/>
              <a:chOff x="342900" y="11725275"/>
              <a:chExt cx="619125" cy="552450"/>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200-00002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200-00002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101</xdr:row>
          <xdr:rowOff>85725</xdr:rowOff>
        </xdr:from>
        <xdr:to>
          <xdr:col>0</xdr:col>
          <xdr:colOff>685800</xdr:colOff>
          <xdr:row>103</xdr:row>
          <xdr:rowOff>180975</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66675" y="23174325"/>
              <a:ext cx="619125" cy="552450"/>
              <a:chOff x="342900" y="11725275"/>
              <a:chExt cx="619125" cy="552450"/>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200-00003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200-00003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105</xdr:row>
          <xdr:rowOff>95250</xdr:rowOff>
        </xdr:from>
        <xdr:to>
          <xdr:col>0</xdr:col>
          <xdr:colOff>685800</xdr:colOff>
          <xdr:row>107</xdr:row>
          <xdr:rowOff>190500</xdr:rowOff>
        </xdr:to>
        <xdr:grpSp>
          <xdr:nvGrpSpPr>
            <xdr:cNvPr id="25" name="Group 24">
              <a:extLst>
                <a:ext uri="{FF2B5EF4-FFF2-40B4-BE49-F238E27FC236}">
                  <a16:creationId xmlns:a16="http://schemas.microsoft.com/office/drawing/2014/main" id="{00000000-0008-0000-0300-000019000000}"/>
                </a:ext>
              </a:extLst>
            </xdr:cNvPr>
            <xdr:cNvGrpSpPr/>
          </xdr:nvGrpSpPr>
          <xdr:grpSpPr>
            <a:xfrm>
              <a:off x="66675" y="24098250"/>
              <a:ext cx="619125" cy="552450"/>
              <a:chOff x="342900" y="11725275"/>
              <a:chExt cx="619125" cy="552450"/>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200-00003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200-00003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110</xdr:row>
          <xdr:rowOff>95250</xdr:rowOff>
        </xdr:from>
        <xdr:to>
          <xdr:col>0</xdr:col>
          <xdr:colOff>685800</xdr:colOff>
          <xdr:row>112</xdr:row>
          <xdr:rowOff>190500</xdr:rowOff>
        </xdr:to>
        <xdr:grpSp>
          <xdr:nvGrpSpPr>
            <xdr:cNvPr id="26" name="Group 25">
              <a:extLst>
                <a:ext uri="{FF2B5EF4-FFF2-40B4-BE49-F238E27FC236}">
                  <a16:creationId xmlns:a16="http://schemas.microsoft.com/office/drawing/2014/main" id="{00000000-0008-0000-0300-00001A000000}"/>
                </a:ext>
              </a:extLst>
            </xdr:cNvPr>
            <xdr:cNvGrpSpPr/>
          </xdr:nvGrpSpPr>
          <xdr:grpSpPr>
            <a:xfrm>
              <a:off x="66675" y="25241250"/>
              <a:ext cx="619125" cy="552450"/>
              <a:chOff x="342900" y="11725275"/>
              <a:chExt cx="619125" cy="552450"/>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200-00003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200-00003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114</xdr:row>
          <xdr:rowOff>114300</xdr:rowOff>
        </xdr:from>
        <xdr:to>
          <xdr:col>0</xdr:col>
          <xdr:colOff>685800</xdr:colOff>
          <xdr:row>116</xdr:row>
          <xdr:rowOff>209550</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66675" y="26174700"/>
              <a:ext cx="619125" cy="552450"/>
              <a:chOff x="342900" y="11725275"/>
              <a:chExt cx="619125" cy="552450"/>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200-00003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200-00003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118</xdr:row>
          <xdr:rowOff>104775</xdr:rowOff>
        </xdr:from>
        <xdr:to>
          <xdr:col>0</xdr:col>
          <xdr:colOff>685800</xdr:colOff>
          <xdr:row>120</xdr:row>
          <xdr:rowOff>200025</xdr:rowOff>
        </xdr:to>
        <xdr:grpSp>
          <xdr:nvGrpSpPr>
            <xdr:cNvPr id="28" name="Group 27">
              <a:extLst>
                <a:ext uri="{FF2B5EF4-FFF2-40B4-BE49-F238E27FC236}">
                  <a16:creationId xmlns:a16="http://schemas.microsoft.com/office/drawing/2014/main" id="{00000000-0008-0000-0300-00001C000000}"/>
                </a:ext>
              </a:extLst>
            </xdr:cNvPr>
            <xdr:cNvGrpSpPr/>
          </xdr:nvGrpSpPr>
          <xdr:grpSpPr>
            <a:xfrm>
              <a:off x="66675" y="27079575"/>
              <a:ext cx="619125" cy="552450"/>
              <a:chOff x="342900" y="11725275"/>
              <a:chExt cx="619125" cy="552450"/>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200-00003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200-00003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122</xdr:row>
          <xdr:rowOff>85725</xdr:rowOff>
        </xdr:from>
        <xdr:to>
          <xdr:col>0</xdr:col>
          <xdr:colOff>685800</xdr:colOff>
          <xdr:row>124</xdr:row>
          <xdr:rowOff>180975</xdr:rowOff>
        </xdr:to>
        <xdr:grpSp>
          <xdr:nvGrpSpPr>
            <xdr:cNvPr id="29" name="Group 28">
              <a:extLst>
                <a:ext uri="{FF2B5EF4-FFF2-40B4-BE49-F238E27FC236}">
                  <a16:creationId xmlns:a16="http://schemas.microsoft.com/office/drawing/2014/main" id="{00000000-0008-0000-0300-00001D000000}"/>
                </a:ext>
              </a:extLst>
            </xdr:cNvPr>
            <xdr:cNvGrpSpPr/>
          </xdr:nvGrpSpPr>
          <xdr:grpSpPr>
            <a:xfrm>
              <a:off x="66675" y="27974925"/>
              <a:ext cx="619125" cy="552450"/>
              <a:chOff x="342900" y="11725275"/>
              <a:chExt cx="619125" cy="552450"/>
            </a:xfrm>
          </xdr:grpSpPr>
          <xdr:sp macro="" textlink="">
            <xdr:nvSpPr>
              <xdr:cNvPr id="50234" name="Button 58" hidden="1">
                <a:extLst>
                  <a:ext uri="{63B3BB69-23CF-44E3-9099-C40C66FF867C}">
                    <a14:compatExt spid="_x0000_s50234"/>
                  </a:ext>
                  <a:ext uri="{FF2B5EF4-FFF2-40B4-BE49-F238E27FC236}">
                    <a16:creationId xmlns:a16="http://schemas.microsoft.com/office/drawing/2014/main" id="{00000000-0008-0000-0200-00003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5" name="Button 59" hidden="1">
                <a:extLst>
                  <a:ext uri="{63B3BB69-23CF-44E3-9099-C40C66FF867C}">
                    <a14:compatExt spid="_x0000_s50235"/>
                  </a:ext>
                  <a:ext uri="{FF2B5EF4-FFF2-40B4-BE49-F238E27FC236}">
                    <a16:creationId xmlns:a16="http://schemas.microsoft.com/office/drawing/2014/main" id="{00000000-0008-0000-0200-00003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128</xdr:row>
          <xdr:rowOff>104775</xdr:rowOff>
        </xdr:from>
        <xdr:to>
          <xdr:col>0</xdr:col>
          <xdr:colOff>685800</xdr:colOff>
          <xdr:row>130</xdr:row>
          <xdr:rowOff>200025</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66675" y="29365575"/>
              <a:ext cx="619125" cy="552450"/>
              <a:chOff x="342900" y="11725275"/>
              <a:chExt cx="619125" cy="552450"/>
            </a:xfrm>
          </xdr:grpSpPr>
          <xdr:sp macro="" textlink="">
            <xdr:nvSpPr>
              <xdr:cNvPr id="50240" name="Button 64" hidden="1">
                <a:extLst>
                  <a:ext uri="{63B3BB69-23CF-44E3-9099-C40C66FF867C}">
                    <a14:compatExt spid="_x0000_s50240"/>
                  </a:ext>
                  <a:ext uri="{FF2B5EF4-FFF2-40B4-BE49-F238E27FC236}">
                    <a16:creationId xmlns:a16="http://schemas.microsoft.com/office/drawing/2014/main" id="{00000000-0008-0000-0200-00004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1" name="Button 65" hidden="1">
                <a:extLst>
                  <a:ext uri="{63B3BB69-23CF-44E3-9099-C40C66FF867C}">
                    <a14:compatExt spid="_x0000_s50241"/>
                  </a:ext>
                  <a:ext uri="{FF2B5EF4-FFF2-40B4-BE49-F238E27FC236}">
                    <a16:creationId xmlns:a16="http://schemas.microsoft.com/office/drawing/2014/main" id="{00000000-0008-0000-0200-00004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133</xdr:row>
          <xdr:rowOff>47625</xdr:rowOff>
        </xdr:from>
        <xdr:to>
          <xdr:col>0</xdr:col>
          <xdr:colOff>685800</xdr:colOff>
          <xdr:row>135</xdr:row>
          <xdr:rowOff>142875</xdr:rowOff>
        </xdr:to>
        <xdr:grpSp>
          <xdr:nvGrpSpPr>
            <xdr:cNvPr id="33" name="Group 32">
              <a:extLst>
                <a:ext uri="{FF2B5EF4-FFF2-40B4-BE49-F238E27FC236}">
                  <a16:creationId xmlns:a16="http://schemas.microsoft.com/office/drawing/2014/main" id="{00000000-0008-0000-0300-000021000000}"/>
                </a:ext>
              </a:extLst>
            </xdr:cNvPr>
            <xdr:cNvGrpSpPr/>
          </xdr:nvGrpSpPr>
          <xdr:grpSpPr>
            <a:xfrm>
              <a:off x="66675" y="30451425"/>
              <a:ext cx="619125" cy="552450"/>
              <a:chOff x="342900" y="11725275"/>
              <a:chExt cx="619125" cy="552450"/>
            </a:xfrm>
          </xdr:grpSpPr>
          <xdr:sp macro="" textlink="">
            <xdr:nvSpPr>
              <xdr:cNvPr id="50242" name="Button 66" hidden="1">
                <a:extLst>
                  <a:ext uri="{63B3BB69-23CF-44E3-9099-C40C66FF867C}">
                    <a14:compatExt spid="_x0000_s50242"/>
                  </a:ext>
                  <a:ext uri="{FF2B5EF4-FFF2-40B4-BE49-F238E27FC236}">
                    <a16:creationId xmlns:a16="http://schemas.microsoft.com/office/drawing/2014/main" id="{00000000-0008-0000-0200-00004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3" name="Button 67" hidden="1">
                <a:extLst>
                  <a:ext uri="{63B3BB69-23CF-44E3-9099-C40C66FF867C}">
                    <a14:compatExt spid="_x0000_s50243"/>
                  </a:ext>
                  <a:ext uri="{FF2B5EF4-FFF2-40B4-BE49-F238E27FC236}">
                    <a16:creationId xmlns:a16="http://schemas.microsoft.com/office/drawing/2014/main" id="{00000000-0008-0000-0200-00004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139</xdr:row>
          <xdr:rowOff>57150</xdr:rowOff>
        </xdr:from>
        <xdr:to>
          <xdr:col>0</xdr:col>
          <xdr:colOff>685800</xdr:colOff>
          <xdr:row>141</xdr:row>
          <xdr:rowOff>152400</xdr:rowOff>
        </xdr:to>
        <xdr:grpSp>
          <xdr:nvGrpSpPr>
            <xdr:cNvPr id="34" name="Group 33">
              <a:extLst>
                <a:ext uri="{FF2B5EF4-FFF2-40B4-BE49-F238E27FC236}">
                  <a16:creationId xmlns:a16="http://schemas.microsoft.com/office/drawing/2014/main" id="{00000000-0008-0000-0300-000022000000}"/>
                </a:ext>
              </a:extLst>
            </xdr:cNvPr>
            <xdr:cNvGrpSpPr/>
          </xdr:nvGrpSpPr>
          <xdr:grpSpPr>
            <a:xfrm>
              <a:off x="66675" y="31832550"/>
              <a:ext cx="619125" cy="552450"/>
              <a:chOff x="342900" y="11725275"/>
              <a:chExt cx="619125" cy="552450"/>
            </a:xfrm>
          </xdr:grpSpPr>
          <xdr:sp macro="" textlink="">
            <xdr:nvSpPr>
              <xdr:cNvPr id="50244" name="Button 68" hidden="1">
                <a:extLst>
                  <a:ext uri="{63B3BB69-23CF-44E3-9099-C40C66FF867C}">
                    <a14:compatExt spid="_x0000_s50244"/>
                  </a:ext>
                  <a:ext uri="{FF2B5EF4-FFF2-40B4-BE49-F238E27FC236}">
                    <a16:creationId xmlns:a16="http://schemas.microsoft.com/office/drawing/2014/main" id="{00000000-0008-0000-0200-00004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5" name="Button 69" hidden="1">
                <a:extLst>
                  <a:ext uri="{63B3BB69-23CF-44E3-9099-C40C66FF867C}">
                    <a14:compatExt spid="_x0000_s50245"/>
                  </a:ext>
                  <a:ext uri="{FF2B5EF4-FFF2-40B4-BE49-F238E27FC236}">
                    <a16:creationId xmlns:a16="http://schemas.microsoft.com/office/drawing/2014/main" id="{00000000-0008-0000-0200-00004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146</xdr:row>
          <xdr:rowOff>38100</xdr:rowOff>
        </xdr:from>
        <xdr:to>
          <xdr:col>0</xdr:col>
          <xdr:colOff>685800</xdr:colOff>
          <xdr:row>148</xdr:row>
          <xdr:rowOff>133350</xdr:rowOff>
        </xdr:to>
        <xdr:grpSp>
          <xdr:nvGrpSpPr>
            <xdr:cNvPr id="35" name="Group 34">
              <a:extLst>
                <a:ext uri="{FF2B5EF4-FFF2-40B4-BE49-F238E27FC236}">
                  <a16:creationId xmlns:a16="http://schemas.microsoft.com/office/drawing/2014/main" id="{00000000-0008-0000-0300-000023000000}"/>
                </a:ext>
              </a:extLst>
            </xdr:cNvPr>
            <xdr:cNvGrpSpPr/>
          </xdr:nvGrpSpPr>
          <xdr:grpSpPr>
            <a:xfrm>
              <a:off x="66675" y="33413700"/>
              <a:ext cx="619125" cy="552450"/>
              <a:chOff x="342900" y="11725275"/>
              <a:chExt cx="619125" cy="552450"/>
            </a:xfrm>
          </xdr:grpSpPr>
          <xdr:sp macro="" textlink="">
            <xdr:nvSpPr>
              <xdr:cNvPr id="50246" name="Button 70" hidden="1">
                <a:extLst>
                  <a:ext uri="{63B3BB69-23CF-44E3-9099-C40C66FF867C}">
                    <a14:compatExt spid="_x0000_s50246"/>
                  </a:ext>
                  <a:ext uri="{FF2B5EF4-FFF2-40B4-BE49-F238E27FC236}">
                    <a16:creationId xmlns:a16="http://schemas.microsoft.com/office/drawing/2014/main" id="{00000000-0008-0000-0200-00004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7" name="Button 71" hidden="1">
                <a:extLst>
                  <a:ext uri="{63B3BB69-23CF-44E3-9099-C40C66FF867C}">
                    <a14:compatExt spid="_x0000_s50247"/>
                  </a:ext>
                  <a:ext uri="{FF2B5EF4-FFF2-40B4-BE49-F238E27FC236}">
                    <a16:creationId xmlns:a16="http://schemas.microsoft.com/office/drawing/2014/main" id="{00000000-0008-0000-0200-00004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151</xdr:row>
          <xdr:rowOff>66675</xdr:rowOff>
        </xdr:from>
        <xdr:to>
          <xdr:col>0</xdr:col>
          <xdr:colOff>685800</xdr:colOff>
          <xdr:row>153</xdr:row>
          <xdr:rowOff>161925</xdr:rowOff>
        </xdr:to>
        <xdr:grpSp>
          <xdr:nvGrpSpPr>
            <xdr:cNvPr id="36" name="Group 35">
              <a:extLst>
                <a:ext uri="{FF2B5EF4-FFF2-40B4-BE49-F238E27FC236}">
                  <a16:creationId xmlns:a16="http://schemas.microsoft.com/office/drawing/2014/main" id="{00000000-0008-0000-0300-000024000000}"/>
                </a:ext>
              </a:extLst>
            </xdr:cNvPr>
            <xdr:cNvGrpSpPr/>
          </xdr:nvGrpSpPr>
          <xdr:grpSpPr>
            <a:xfrm>
              <a:off x="66675" y="34585275"/>
              <a:ext cx="619125" cy="552450"/>
              <a:chOff x="342900" y="11725275"/>
              <a:chExt cx="619125" cy="552450"/>
            </a:xfrm>
          </xdr:grpSpPr>
          <xdr:sp macro="" textlink="">
            <xdr:nvSpPr>
              <xdr:cNvPr id="50248" name="Button 72" hidden="1">
                <a:extLst>
                  <a:ext uri="{63B3BB69-23CF-44E3-9099-C40C66FF867C}">
                    <a14:compatExt spid="_x0000_s50248"/>
                  </a:ext>
                  <a:ext uri="{FF2B5EF4-FFF2-40B4-BE49-F238E27FC236}">
                    <a16:creationId xmlns:a16="http://schemas.microsoft.com/office/drawing/2014/main" id="{00000000-0008-0000-0200-00004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9" name="Button 73" hidden="1">
                <a:extLst>
                  <a:ext uri="{63B3BB69-23CF-44E3-9099-C40C66FF867C}">
                    <a14:compatExt spid="_x0000_s50249"/>
                  </a:ext>
                  <a:ext uri="{FF2B5EF4-FFF2-40B4-BE49-F238E27FC236}">
                    <a16:creationId xmlns:a16="http://schemas.microsoft.com/office/drawing/2014/main" id="{00000000-0008-0000-0200-00004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155</xdr:row>
          <xdr:rowOff>114300</xdr:rowOff>
        </xdr:from>
        <xdr:to>
          <xdr:col>0</xdr:col>
          <xdr:colOff>685800</xdr:colOff>
          <xdr:row>157</xdr:row>
          <xdr:rowOff>209550</xdr:rowOff>
        </xdr:to>
        <xdr:grpSp>
          <xdr:nvGrpSpPr>
            <xdr:cNvPr id="37" name="Group 36">
              <a:extLst>
                <a:ext uri="{FF2B5EF4-FFF2-40B4-BE49-F238E27FC236}">
                  <a16:creationId xmlns:a16="http://schemas.microsoft.com/office/drawing/2014/main" id="{00000000-0008-0000-0300-000025000000}"/>
                </a:ext>
              </a:extLst>
            </xdr:cNvPr>
            <xdr:cNvGrpSpPr/>
          </xdr:nvGrpSpPr>
          <xdr:grpSpPr>
            <a:xfrm>
              <a:off x="66675" y="35547300"/>
              <a:ext cx="619125" cy="552450"/>
              <a:chOff x="342900" y="11725275"/>
              <a:chExt cx="619125" cy="552450"/>
            </a:xfrm>
          </xdr:grpSpPr>
          <xdr:sp macro="" textlink="">
            <xdr:nvSpPr>
              <xdr:cNvPr id="50250" name="Button 74" hidden="1">
                <a:extLst>
                  <a:ext uri="{63B3BB69-23CF-44E3-9099-C40C66FF867C}">
                    <a14:compatExt spid="_x0000_s50250"/>
                  </a:ext>
                  <a:ext uri="{FF2B5EF4-FFF2-40B4-BE49-F238E27FC236}">
                    <a16:creationId xmlns:a16="http://schemas.microsoft.com/office/drawing/2014/main" id="{00000000-0008-0000-0200-00004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51" name="Button 75" hidden="1">
                <a:extLst>
                  <a:ext uri="{63B3BB69-23CF-44E3-9099-C40C66FF867C}">
                    <a14:compatExt spid="_x0000_s50251"/>
                  </a:ext>
                  <a:ext uri="{FF2B5EF4-FFF2-40B4-BE49-F238E27FC236}">
                    <a16:creationId xmlns:a16="http://schemas.microsoft.com/office/drawing/2014/main" id="{00000000-0008-0000-0200-00004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5:O46" totalsRowShown="0" headerRowDxfId="611" dataDxfId="610">
  <autoFilter ref="B5:O46" xr:uid="{822B9D44-8197-4B45-BA58-5B50DB6A72B5}"/>
  <tableColumns count="14">
    <tableColumn id="1" xr3:uid="{656412B0-12BB-4819-9C73-49C79DEB4E6A}" name="Gtri" dataDxfId="609"/>
    <tableColumn id="4" xr3:uid="{09162BA7-3630-4B4C-95DE-4A93C54903A8}" name="Năm" dataDxfId="608"/>
    <tableColumn id="2" xr3:uid="{FB83258E-0BE8-455A-9DCB-4F9C3FA390D0}" name="Tháng 1" dataDxfId="607"/>
    <tableColumn id="3" xr3:uid="{641B1B86-10DE-4F0C-A502-11DEA59DF958}" name="Tháng 2" dataDxfId="606"/>
    <tableColumn id="5" xr3:uid="{754DA001-F6FD-443E-A174-CD7E0B1F5D17}" name="Tháng 3" dataDxfId="605"/>
    <tableColumn id="6" xr3:uid="{6FA9767F-3C52-4564-9992-686AC7EBEB3E}" name="Tháng 4" dataDxfId="604"/>
    <tableColumn id="7" xr3:uid="{F6BD0B78-CBC0-4377-A58A-555958C799E1}" name="Tháng 5" dataDxfId="603"/>
    <tableColumn id="8" xr3:uid="{75E88C8C-617B-475C-B72F-31798F0DD844}" name="Tháng 6" dataDxfId="602"/>
    <tableColumn id="9" xr3:uid="{20F2A264-1A70-4F0C-8BB9-D0162B0123E8}" name="Tháng 7" dataDxfId="601"/>
    <tableColumn id="10" xr3:uid="{9E5110B6-B694-4D70-8064-B95CECFFF716}" name="Tháng 8" dataDxfId="600"/>
    <tableColumn id="11" xr3:uid="{B3CA4AC5-536E-4D62-A03D-6901B8958F54}" name="Tháng 9" dataDxfId="599"/>
    <tableColumn id="12" xr3:uid="{51C600F4-235F-4505-A24C-F4DF37840B37}" name="Tháng 10" dataDxfId="598"/>
    <tableColumn id="13" xr3:uid="{2DFC94EE-8346-42BC-ADC0-510190C07656}" name="Tháng 11" dataDxfId="597"/>
    <tableColumn id="14" xr3:uid="{28C613C3-C209-4F7A-82BF-B2F301134772}" name="Tháng 12" dataDxfId="596"/>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49:O51" totalsRowCount="1" headerRowDxfId="595" dataDxfId="594">
  <autoFilter ref="B49:O50" xr:uid="{D31941DA-BE1B-4021-9B31-FDF3E083BB86}"/>
  <tableColumns count="14">
    <tableColumn id="1" xr3:uid="{82FAE5A8-DBFB-4E79-822D-469B63D66705}" name="Kế hoạch sản lượng" totalsRowLabel="Tổng" dataDxfId="593" totalsRowDxfId="592"/>
    <tableColumn id="4" xr3:uid="{6B311055-99D3-4F69-B4DB-48A1AB894484}" name="Đơn vị" dataDxfId="591" totalsRowDxfId="590"/>
    <tableColumn id="29" xr3:uid="{C9D35E4E-90E4-4E68-AA1B-3453F8A03048}" name="Tháng 1" totalsRowFunction="custom" dataDxfId="589" totalsRowDxfId="588">
      <totalsRowFormula>SUM(Table_KeHoach_SanLuong[Tháng 1])</totalsRowFormula>
    </tableColumn>
    <tableColumn id="30" xr3:uid="{70694902-0D86-4550-8978-6631221B1110}" name="Tháng 2" totalsRowFunction="custom" dataDxfId="587" totalsRowDxfId="586">
      <totalsRowFormula>SUM(Table_KeHoach_SanLuong[Tháng 2])</totalsRowFormula>
    </tableColumn>
    <tableColumn id="31" xr3:uid="{C1E724A7-9693-46FC-8A7A-304F00161DBE}" name="Tháng 3" totalsRowFunction="custom" dataDxfId="585" totalsRowDxfId="584">
      <totalsRowFormula>SUM(Table_KeHoach_SanLuong[Tháng 3])</totalsRowFormula>
    </tableColumn>
    <tableColumn id="32" xr3:uid="{7221CCF4-72B1-44F8-BEEB-AAD846AA595F}" name="Tháng 4" totalsRowFunction="custom" dataDxfId="583" totalsRowDxfId="582">
      <totalsRowFormula>SUM(Table_KeHoach_SanLuong[Tháng 4])</totalsRowFormula>
    </tableColumn>
    <tableColumn id="33" xr3:uid="{0E67CAE7-0D32-49F3-BD50-A158C644B1BD}" name="Tháng 5" totalsRowFunction="custom" dataDxfId="581" totalsRowDxfId="580">
      <totalsRowFormula>SUM(Table_KeHoach_SanLuong[Tháng 5])</totalsRowFormula>
    </tableColumn>
    <tableColumn id="34" xr3:uid="{1918CD14-C8BB-4831-A685-D18D5461986C}" name="Tháng 6" totalsRowFunction="custom" dataDxfId="579" totalsRowDxfId="578">
      <totalsRowFormula>SUM(Table_KeHoach_SanLuong[Tháng 6])</totalsRowFormula>
    </tableColumn>
    <tableColumn id="35" xr3:uid="{15CFC91E-B8B9-42A1-8A2B-87E661BF4084}" name="Tháng 7" totalsRowFunction="custom" dataDxfId="577" totalsRowDxfId="576">
      <totalsRowFormula>SUM(Table_KeHoach_SanLuong[Tháng 7])</totalsRowFormula>
    </tableColumn>
    <tableColumn id="36" xr3:uid="{DEAE018A-5B97-4FF8-B5C6-524BBD8A8553}" name="Tháng 8" totalsRowFunction="custom" dataDxfId="575" totalsRowDxfId="574">
      <totalsRowFormula>SUM(Table_KeHoach_SanLuong[Tháng 8])</totalsRowFormula>
    </tableColumn>
    <tableColumn id="37" xr3:uid="{69090A1D-A073-4FD8-889C-ADBE6A9D7DB8}" name="Tháng 9" totalsRowFunction="custom" dataDxfId="573" totalsRowDxfId="572">
      <totalsRowFormula>SUM(Table_KeHoach_SanLuong[Tháng 9])</totalsRowFormula>
    </tableColumn>
    <tableColumn id="38" xr3:uid="{11A81D84-C3DD-47F7-AF28-E389CC9FF3CB}" name="Tháng 10" totalsRowFunction="custom" dataDxfId="571" totalsRowDxfId="570">
      <totalsRowFormula>SUM(Table_KeHoach_SanLuong[Tháng 10])</totalsRowFormula>
    </tableColumn>
    <tableColumn id="39" xr3:uid="{14A6A2F5-5E15-4169-86A9-3229B946B250}" name="Tháng 11" totalsRowFunction="custom" dataDxfId="569" totalsRowDxfId="568">
      <totalsRowFormula>SUM(Table_KeHoach_SanLuong[Tháng 11])</totalsRowFormula>
    </tableColumn>
    <tableColumn id="40" xr3:uid="{7C1CB8B1-00D4-4FA9-A290-F043A0FA9307}" name="Tháng 12" totalsRowFunction="custom" dataDxfId="567" totalsRowDxfId="566">
      <totalsRowFormula>SUM(Table_KeHoach_SanLuong[Tháng 12])</totalsRow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4:O55" insertRow="1" totalsRowShown="0" headerRowDxfId="565" dataDxfId="564">
  <autoFilter ref="B54:O55" xr:uid="{8A426214-1C38-4C4E-9C2C-D253B8886748}"/>
  <tableColumns count="14">
    <tableColumn id="1" xr3:uid="{EBDC21DB-0978-43FF-8F49-EB0A63ACFFC6}" name="Kế hoạch giá niêm yết thành phẩm" dataDxfId="563" totalsRowDxfId="562"/>
    <tableColumn id="3" xr3:uid="{425153B2-5062-4C16-A6F6-F47683DA3B49}" name="Đơn vị" dataDxfId="561" totalsRowDxfId="560"/>
    <tableColumn id="29" xr3:uid="{669CACBE-1D77-46AC-A978-B8FF66B671BB}" name="Tháng 1" dataDxfId="559" totalsRowDxfId="558"/>
    <tableColumn id="30" xr3:uid="{CF8A322E-866F-494C-966A-830B3ADA2CD2}" name="Tháng 2" dataDxfId="557" totalsRowDxfId="556"/>
    <tableColumn id="31" xr3:uid="{6B66BA70-F0F0-4B4E-87CF-79B7E1D3B29C}" name="Tháng 3" dataDxfId="555" totalsRowDxfId="554"/>
    <tableColumn id="32" xr3:uid="{5B3CE899-C52C-4E1C-A688-5D6030E82F01}" name="Tháng 4" dataDxfId="553" totalsRowDxfId="552"/>
    <tableColumn id="33" xr3:uid="{C034F888-AFFA-4740-B3BA-F4654FB405CF}" name="Tháng 5" dataDxfId="551" totalsRowDxfId="550"/>
    <tableColumn id="34" xr3:uid="{07693A9D-90BE-477A-BB72-83DE0C3434DF}" name="Tháng 6" dataDxfId="549" totalsRowDxfId="548"/>
    <tableColumn id="35" xr3:uid="{B0AE6993-599A-4E49-BDB1-73ABDD7A437B}" name="Tháng 7" dataDxfId="547" totalsRowDxfId="546"/>
    <tableColumn id="36" xr3:uid="{D49868AC-F67A-41A1-A3C9-45781D2C20F8}" name="Tháng 8" dataDxfId="545" totalsRowDxfId="544"/>
    <tableColumn id="37" xr3:uid="{468EF536-F826-42F5-9301-BAFFFD24E104}" name="Tháng 9" dataDxfId="543" totalsRowDxfId="542"/>
    <tableColumn id="38" xr3:uid="{70CE9CF4-C007-4692-8311-0BC64B9F3395}" name="Tháng 10" dataDxfId="541" totalsRowDxfId="540"/>
    <tableColumn id="39" xr3:uid="{04E84556-5D4C-4DA4-B749-C98FB45C0BAF}" name="Tháng 11" dataDxfId="539" totalsRowDxfId="538"/>
    <tableColumn id="40" xr3:uid="{68F1F4EB-3B1D-42A1-AC0E-1DCF48610F1E}" name="Tháng 12" dataDxfId="537" totalsRowDxfId="536"/>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58:O60" totalsRowCount="1" headerRowDxfId="535" dataDxfId="534" totalsRowDxfId="533">
  <autoFilter ref="B58:O59" xr:uid="{711209EA-EEC6-4FC4-BAC5-C6E63F6E3A21}"/>
  <tableColumns count="14">
    <tableColumn id="1" xr3:uid="{F22794FE-2FF3-4CE4-82EB-81614189B352}" name="Kế hoạch doanh thu" totalsRowLabel="Tổng" dataDxfId="532" totalsRowDxfId="531"/>
    <tableColumn id="3" xr3:uid="{76F75EB8-7687-48A4-A860-C3AABF1EACB2}" name="Đơn vị" dataDxfId="530" totalsRowDxfId="529"/>
    <tableColumn id="29" xr3:uid="{50184772-8DC7-4AF1-AAC3-18E289C04F3E}" name="Tháng 1" totalsRowFunction="custom" dataDxfId="528" totalsRowDxfId="527">
      <calculatedColumnFormula xml:space="preserve">
INDEX(Table_KeHoach_SanLuong[[#Headers],[#Data]],
MATCH(Table_KeHoach_DoanhThu[[#This Row],[Kế hoạch doanh thu]],Table_KeHoach_SanLuong[[#Headers],[#Data],[Kế hoạch sản lượng]],0),
MATCH(D$49,Table_KeHoach_SanLuong[#Headers],0)) *
INDEX(Table_KeHoach_Gia[#All],
MATCH(Table_KeHoach_DoanhThu[[#This Row],[Kế hoạch doanh thu]],Table_KeHoach_Gia[[#All],[Kế hoạch giá niêm yết thành phẩm]],0),
MATCH(D$58,Table_KeHoach_Gia[#Headers],0))</calculatedColumnFormula>
      <totalsRowFormula>SUM(Table_KeHoach_DoanhThu[Tháng 1])</totalsRowFormula>
    </tableColumn>
    <tableColumn id="30" xr3:uid="{7A212235-4EA0-4179-B870-D606FE76B216}" name="Tháng 2" totalsRowFunction="custom" dataDxfId="526" totalsRowDxfId="525">
      <calculatedColumnFormula xml:space="preserve">
INDEX(Table_KeHoach_SanLuong[[#Headers],[#Data]],
MATCH(Table_KeHoach_DoanhThu[[#This Row],[Kế hoạch doanh thu]],Table_KeHoach_SanLuong[[#Headers],[#Data],[Kế hoạch sản lượng]],0),
MATCH(E$49,Table_KeHoach_SanLuong[#Headers],0)) *
INDEX(Table_KeHoach_Gia[#All],
MATCH(Table_KeHoach_DoanhThu[[#This Row],[Kế hoạch doanh thu]],Table_KeHoach_Gia[[#All],[Kế hoạch giá niêm yết thành phẩm]],0),
MATCH(E$58,Table_KeHoach_Gia[#Headers],0))</calculatedColumnFormula>
      <totalsRowFormula>SUM(Table_KeHoach_DoanhThu[Tháng 2])</totalsRowFormula>
    </tableColumn>
    <tableColumn id="31" xr3:uid="{D9825A39-9B19-4658-8560-DDDD891E0205}" name="Tháng 3" totalsRowFunction="custom" dataDxfId="524" totalsRowDxfId="523">
      <calculatedColumnFormula xml:space="preserve">
INDEX(Table_KeHoach_SanLuong[[#Headers],[#Data]],
MATCH(Table_KeHoach_DoanhThu[[#This Row],[Kế hoạch doanh thu]],Table_KeHoach_SanLuong[[#Headers],[#Data],[Kế hoạch sản lượng]],0),
MATCH(F$49,Table_KeHoach_SanLuong[#Headers],0)) *
INDEX(Table_KeHoach_Gia[#All],
MATCH(Table_KeHoach_DoanhThu[[#This Row],[Kế hoạch doanh thu]],Table_KeHoach_Gia[[#All],[Kế hoạch giá niêm yết thành phẩm]],0),
MATCH(F$58,Table_KeHoach_Gia[#Headers],0))</calculatedColumnFormula>
      <totalsRowFormula>SUM(Table_KeHoach_DoanhThu[Tháng 3])</totalsRowFormula>
    </tableColumn>
    <tableColumn id="32" xr3:uid="{CF1D56F3-AD70-4276-BB0C-AD1DB6B57C66}" name="Tháng 4" totalsRowFunction="custom" dataDxfId="522" totalsRowDxfId="521">
      <calculatedColumnFormula xml:space="preserve">
INDEX(Table_KeHoach_SanLuong[[#Headers],[#Data]],
MATCH(Table_KeHoach_DoanhThu[[#This Row],[Kế hoạch doanh thu]],Table_KeHoach_SanLuong[[#Headers],[#Data],[Kế hoạch sản lượng]],0),
MATCH(G$49,Table_KeHoach_SanLuong[#Headers],0)) *
INDEX(Table_KeHoach_Gia[#All],
MATCH(Table_KeHoach_DoanhThu[[#This Row],[Kế hoạch doanh thu]],Table_KeHoach_Gia[[#All],[Kế hoạch giá niêm yết thành phẩm]],0),
MATCH(G$58,Table_KeHoach_Gia[#Headers],0))</calculatedColumnFormula>
      <totalsRowFormula>SUM(Table_KeHoach_DoanhThu[Tháng 4])</totalsRowFormula>
    </tableColumn>
    <tableColumn id="33" xr3:uid="{00880281-B1E6-4212-96C1-4D19F388A28B}" name="Tháng 5" totalsRowFunction="custom" dataDxfId="520" totalsRowDxfId="519">
      <calculatedColumnFormula xml:space="preserve">
INDEX(Table_KeHoach_SanLuong[[#Headers],[#Data]],
MATCH(Table_KeHoach_DoanhThu[[#This Row],[Kế hoạch doanh thu]],Table_KeHoach_SanLuong[[#Headers],[#Data],[Kế hoạch sản lượng]],0),
MATCH(H$49,Table_KeHoach_SanLuong[#Headers],0)) *
INDEX(Table_KeHoach_Gia[#All],
MATCH(Table_KeHoach_DoanhThu[[#This Row],[Kế hoạch doanh thu]],Table_KeHoach_Gia[[#All],[Kế hoạch giá niêm yết thành phẩm]],0),
MATCH(H$58,Table_KeHoach_Gia[#Headers],0))</calculatedColumnFormula>
      <totalsRowFormula>SUM(Table_KeHoach_DoanhThu[Tháng 5])</totalsRowFormula>
    </tableColumn>
    <tableColumn id="34" xr3:uid="{0C65B697-F7AA-4DE3-ADAE-0ADCA8351B2F}" name="Tháng 6" totalsRowFunction="custom" dataDxfId="518" totalsRowDxfId="517">
      <calculatedColumnFormula xml:space="preserve">
INDEX(Table_KeHoach_SanLuong[[#Headers],[#Data]],
MATCH(Table_KeHoach_DoanhThu[[#This Row],[Kế hoạch doanh thu]],Table_KeHoach_SanLuong[[#Headers],[#Data],[Kế hoạch sản lượng]],0),
MATCH(I$49,Table_KeHoach_SanLuong[#Headers],0)) *
INDEX(Table_KeHoach_Gia[#All],
MATCH(Table_KeHoach_DoanhThu[[#This Row],[Kế hoạch doanh thu]],Table_KeHoach_Gia[[#All],[Kế hoạch giá niêm yết thành phẩm]],0),
MATCH(I$58,Table_KeHoach_Gia[#Headers],0))</calculatedColumnFormula>
      <totalsRowFormula>SUM(Table_KeHoach_DoanhThu[Tháng 6])</totalsRowFormula>
    </tableColumn>
    <tableColumn id="35" xr3:uid="{FD5FC443-FABD-40AE-A1B2-AF43E5583B4A}" name="Tháng 7" totalsRowFunction="custom" dataDxfId="516" totalsRowDxfId="515">
      <calculatedColumnFormula xml:space="preserve">
INDEX(Table_KeHoach_SanLuong[[#Headers],[#Data]],
MATCH(Table_KeHoach_DoanhThu[[#This Row],[Kế hoạch doanh thu]],Table_KeHoach_SanLuong[[#Headers],[#Data],[Kế hoạch sản lượng]],0),
MATCH(J$49,Table_KeHoach_SanLuong[#Headers],0)) *
INDEX(Table_KeHoach_Gia[#All],
MATCH(Table_KeHoach_DoanhThu[[#This Row],[Kế hoạch doanh thu]],Table_KeHoach_Gia[[#All],[Kế hoạch giá niêm yết thành phẩm]],0),
MATCH(J$58,Table_KeHoach_Gia[#Headers],0))</calculatedColumnFormula>
      <totalsRowFormula>SUM(Table_KeHoach_DoanhThu[Tháng 7])</totalsRowFormula>
    </tableColumn>
    <tableColumn id="36" xr3:uid="{F5D51FF9-EFB8-4B10-BD35-9DFB587A52C7}" name="Tháng 8" totalsRowFunction="custom" dataDxfId="514" totalsRowDxfId="513">
      <calculatedColumnFormula xml:space="preserve">
INDEX(Table_KeHoach_SanLuong[[#Headers],[#Data]],
MATCH(Table_KeHoach_DoanhThu[[#This Row],[Kế hoạch doanh thu]],Table_KeHoach_SanLuong[[#Headers],[#Data],[Kế hoạch sản lượng]],0),
MATCH(K$49,Table_KeHoach_SanLuong[#Headers],0)) *
INDEX(Table_KeHoach_Gia[#All],
MATCH(Table_KeHoach_DoanhThu[[#This Row],[Kế hoạch doanh thu]],Table_KeHoach_Gia[[#All],[Kế hoạch giá niêm yết thành phẩm]],0),
MATCH(K$58,Table_KeHoach_Gia[#Headers],0))</calculatedColumnFormula>
      <totalsRowFormula>SUM(Table_KeHoach_DoanhThu[Tháng 8])</totalsRowFormula>
    </tableColumn>
    <tableColumn id="37" xr3:uid="{C6C15622-E8E9-487A-959D-8C220B56DE76}" name="Tháng 9" totalsRowFunction="custom" dataDxfId="512" totalsRowDxfId="511">
      <calculatedColumnFormula xml:space="preserve">
INDEX(Table_KeHoach_SanLuong[[#Headers],[#Data]],
MATCH(Table_KeHoach_DoanhThu[[#This Row],[Kế hoạch doanh thu]],Table_KeHoach_SanLuong[[#Headers],[#Data],[Kế hoạch sản lượng]],0),
MATCH(L$49,Table_KeHoach_SanLuong[#Headers],0)) *
INDEX(Table_KeHoach_Gia[#All],
MATCH(Table_KeHoach_DoanhThu[[#This Row],[Kế hoạch doanh thu]],Table_KeHoach_Gia[[#All],[Kế hoạch giá niêm yết thành phẩm]],0),
MATCH(L$58,Table_KeHoach_Gia[#Headers],0))</calculatedColumnFormula>
      <totalsRowFormula>SUM(Table_KeHoach_DoanhThu[Tháng 9])</totalsRowFormula>
    </tableColumn>
    <tableColumn id="38" xr3:uid="{7BFC1C3B-6EF3-4CF7-A300-C11AEEBB0E1A}" name="Tháng 10" totalsRowFunction="custom" dataDxfId="510" totalsRowDxfId="509">
      <calculatedColumnFormula xml:space="preserve">
INDEX(Table_KeHoach_SanLuong[[#Headers],[#Data]],
MATCH(Table_KeHoach_DoanhThu[[#This Row],[Kế hoạch doanh thu]],Table_KeHoach_SanLuong[[#Headers],[#Data],[Kế hoạch sản lượng]],0),
MATCH(M$49,Table_KeHoach_SanLuong[#Headers],0)) *
INDEX(Table_KeHoach_Gia[#All],
MATCH(Table_KeHoach_DoanhThu[[#This Row],[Kế hoạch doanh thu]],Table_KeHoach_Gia[[#All],[Kế hoạch giá niêm yết thành phẩm]],0),
MATCH(M$58,Table_KeHoach_Gia[#Headers],0))</calculatedColumnFormula>
      <totalsRowFormula>SUM(Table_KeHoach_DoanhThu[Tháng 10])</totalsRowFormula>
    </tableColumn>
    <tableColumn id="39" xr3:uid="{4D0CAB13-02F5-4D43-93DB-79792960CDFB}" name="Tháng 11" totalsRowFunction="custom" dataDxfId="508" totalsRowDxfId="507">
      <calculatedColumnFormula xml:space="preserve">
INDEX(Table_KeHoach_SanLuong[[#Headers],[#Data]],
MATCH(Table_KeHoach_DoanhThu[[#This Row],[Kế hoạch doanh thu]],Table_KeHoach_SanLuong[[#Headers],[#Data],[Kế hoạch sản lượng]],0),
MATCH(N$49,Table_KeHoach_SanLuong[#Headers],0)) *
INDEX(Table_KeHoach_Gia[#All],
MATCH(Table_KeHoach_DoanhThu[[#This Row],[Kế hoạch doanh thu]],Table_KeHoach_Gia[[#All],[Kế hoạch giá niêm yết thành phẩm]],0),
MATCH(N$58,Table_KeHoach_Gia[#Headers],0))</calculatedColumnFormula>
      <totalsRowFormula>SUM(Table_KeHoach_DoanhThu[Tháng 11])</totalsRowFormula>
    </tableColumn>
    <tableColumn id="40" xr3:uid="{784CDCAA-C9FB-447F-AAED-DD0A17FEAB77}" name="Tháng 12" totalsRowFunction="custom" dataDxfId="506" totalsRowDxfId="505">
      <calculatedColumnFormula xml:space="preserve">
INDEX(Table_KeHoach_SanLuong[[#Headers],[#Data]],
MATCH(Table_KeHoach_DoanhThu[[#This Row],[Kế hoạch doanh thu]],Table_KeHoach_SanLuong[[#Headers],[#Data],[Kế hoạch sản lượng]],0),
MATCH(O$49,Table_KeHoach_SanLuong[#Headers],0)) *
INDEX(Table_KeHoach_Gia[#All],
MATCH(Table_KeHoach_DoanhThu[[#This Row],[Kế hoạch doanh thu]],Table_KeHoach_Gia[[#All],[Kế hoạch giá niêm yết thành phẩm]],0),
MATCH(O$58,Table_KeHoach_Gia[#Headers],0))</calculatedColumnFormula>
      <totalsRowFormula>SUM(Table_KeHoach_DoanhThu[Tháng 12])</totalsRow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68:O69" totalsRowShown="0" headerRowDxfId="504" dataDxfId="503">
  <autoFilter ref="B68:O69" xr:uid="{50D75140-F33D-450B-ACC0-7F92B177C57D}"/>
  <tableColumns count="14">
    <tableColumn id="1" xr3:uid="{C9B9741A-9357-40AD-8883-2D1E650453F5}" name="Kế hoạch giá nhập hàng hóa" dataDxfId="502" totalsRowDxfId="501"/>
    <tableColumn id="3" xr3:uid="{28B2834A-7CE4-43D5-ACA9-8317F7A289D2}" name="Đơn vị" dataDxfId="500" totalsRowDxfId="499"/>
    <tableColumn id="29" xr3:uid="{019E5F1B-DE2D-464D-8063-064C5116CFCC}" name="Tháng 1" dataDxfId="498"/>
    <tableColumn id="30" xr3:uid="{90AFC99B-1620-4C46-BD12-553A1C3FFDD8}" name="Tháng 2" dataDxfId="497"/>
    <tableColumn id="31" xr3:uid="{FBF2D68D-F4EB-4171-BD9D-E76539DF938C}" name="Tháng 3" dataDxfId="496"/>
    <tableColumn id="32" xr3:uid="{F41B1887-7A08-4DC9-BDE9-E43ABE4AE1BE}" name="Tháng 4" dataDxfId="495"/>
    <tableColumn id="33" xr3:uid="{D369E62A-3CDD-4B01-A431-C39C2CBE1293}" name="Tháng 5" dataDxfId="494"/>
    <tableColumn id="34" xr3:uid="{F0115D72-64F0-4CBC-A8C5-6835DCA86A12}" name="Tháng 6" dataDxfId="493"/>
    <tableColumn id="35" xr3:uid="{4AEC4DCF-162D-499F-A186-5800A521A71B}" name="Tháng 7" dataDxfId="492"/>
    <tableColumn id="36" xr3:uid="{5A6B4CEF-0269-4C8A-B8D5-9CB34819A8C8}" name="Tháng 8" dataDxfId="491"/>
    <tableColumn id="37" xr3:uid="{15EBC225-23BE-414B-B8C6-FF6D2C2DA707}" name="Tháng 9" dataDxfId="490"/>
    <tableColumn id="38" xr3:uid="{68785765-EC8D-400C-A53D-C098BAEB2867}" name="Tháng 10" dataDxfId="489"/>
    <tableColumn id="39" xr3:uid="{FE6CAAF6-4E91-48E9-BE30-736B71AE2517}" name="Tháng 11" dataDxfId="488"/>
    <tableColumn id="40" xr3:uid="{9B1D1B2C-78EE-4936-BA9C-70DE6FAEB0D5}" name="Tháng 12" dataDxfId="487"/>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2:O73" totalsRowShown="0" headerRowDxfId="486" dataDxfId="485" totalsRowDxfId="484">
  <autoFilter ref="B72:O73" xr:uid="{673B555B-AF75-419C-8864-7B66DF2C2C6F}"/>
  <tableColumns count="14">
    <tableColumn id="1" xr3:uid="{91AE107E-7E90-4FD8-9894-89A53DE58960}" name="Kế hoạch chi phí hàng hóa" dataDxfId="483" totalsRowDxfId="482"/>
    <tableColumn id="3" xr3:uid="{89E2E365-2517-477F-B95E-6FD048EFFFF0}" name="Đơn vị" dataDxfId="481" totalsRowDxfId="480"/>
    <tableColumn id="29" xr3:uid="{F85F740B-EE9D-4A38-AED0-D66B55D25ADB}" name="Tháng 1" dataDxfId="479">
      <calculatedColumnFormula xml:space="preserve">
-IFERROR(
INDEX(Table_KeHoach_SanLuong[[#Headers],[#Data]],
MATCH(Table_KeHoach_ChiPhiSKU[[#This Row],[Kế hoạch chi phí hàng hóa]],Table_KeHoach_SanLuong[[#Headers],[#Data],[Kế hoạch sản lượng]],0),
MATCH(D$72,Table_KeHoach_SanLuong[#Headers],0)) *
INDEX(Table_KeHoach_GiaNhápKU[#All],
MATCH(Table_KeHoach_ChiPhiSKU[[#This Row],[Kế hoạch chi phí hàng hóa]],Table_KeHoach_GiaNhápKU[[#All],[Kế hoạch giá nhập hàng hóa]],0),
MATCH(D$72, Table_KeHoach_GiaNhápKU[#Headers],0)),0)</calculatedColumnFormula>
    </tableColumn>
    <tableColumn id="30" xr3:uid="{37F68F66-8DC6-4721-995B-A9C565EDC074}" name="Tháng 2" dataDxfId="478">
      <calculatedColumnFormula xml:space="preserve">
-IFERROR(
INDEX(Table_KeHoach_SanLuong[[#Headers],[#Data]],
MATCH(Table_KeHoach_ChiPhiSKU[[#This Row],[Kế hoạch chi phí hàng hóa]],Table_KeHoach_SanLuong[[#Headers],[#Data],[Kế hoạch sản lượng]],0),
MATCH(E$72,Table_KeHoach_SanLuong[#Headers],0)) *
INDEX(Table_KeHoach_GiaNhápKU[#All],
MATCH(Table_KeHoach_ChiPhiSKU[[#This Row],[Kế hoạch chi phí hàng hóa]],Table_KeHoach_GiaNhápKU[[#All],[Kế hoạch giá nhập hàng hóa]],0),
MATCH(E$72, Table_KeHoach_GiaNhápKU[#Headers],0)),0)</calculatedColumnFormula>
    </tableColumn>
    <tableColumn id="31" xr3:uid="{2BC7CA73-4BD0-470B-9B0D-9F76DAA6E07C}" name="Tháng 3" dataDxfId="477">
      <calculatedColumnFormula xml:space="preserve">
-IFERROR(
INDEX(Table_KeHoach_SanLuong[[#Headers],[#Data]],
MATCH(Table_KeHoach_ChiPhiSKU[[#This Row],[Kế hoạch chi phí hàng hóa]],Table_KeHoach_SanLuong[[#Headers],[#Data],[Kế hoạch sản lượng]],0),
MATCH(F$72,Table_KeHoach_SanLuong[#Headers],0)) *
INDEX(Table_KeHoach_GiaNhápKU[#All],
MATCH(Table_KeHoach_ChiPhiSKU[[#This Row],[Kế hoạch chi phí hàng hóa]],Table_KeHoach_GiaNhápKU[[#All],[Kế hoạch giá nhập hàng hóa]],0),
MATCH(F$72, Table_KeHoach_GiaNhápKU[#Headers],0)),0)</calculatedColumnFormula>
    </tableColumn>
    <tableColumn id="32" xr3:uid="{5644AD1C-3FFA-42FB-9ADE-2E483592E846}" name="Tháng 4" dataDxfId="476">
      <calculatedColumnFormula xml:space="preserve">
-IFERROR(
INDEX(Table_KeHoach_SanLuong[[#Headers],[#Data]],
MATCH(Table_KeHoach_ChiPhiSKU[[#This Row],[Kế hoạch chi phí hàng hóa]],Table_KeHoach_SanLuong[[#Headers],[#Data],[Kế hoạch sản lượng]],0),
MATCH(G$72,Table_KeHoach_SanLuong[#Headers],0)) *
INDEX(Table_KeHoach_GiaNhápKU[#All],
MATCH(Table_KeHoach_ChiPhiSKU[[#This Row],[Kế hoạch chi phí hàng hóa]],Table_KeHoach_GiaNhápKU[[#All],[Kế hoạch giá nhập hàng hóa]],0),
MATCH(G$72, Table_KeHoach_GiaNhápKU[#Headers],0)),0)</calculatedColumnFormula>
    </tableColumn>
    <tableColumn id="33" xr3:uid="{2FFF0947-01AC-41E7-ACDF-FAC1A6DA515C}" name="Tháng 5" dataDxfId="475">
      <calculatedColumnFormula xml:space="preserve">
-IFERROR(
INDEX(Table_KeHoach_SanLuong[[#Headers],[#Data]],
MATCH(Table_KeHoach_ChiPhiSKU[[#This Row],[Kế hoạch chi phí hàng hóa]],Table_KeHoach_SanLuong[[#Headers],[#Data],[Kế hoạch sản lượng]],0),
MATCH(H$72,Table_KeHoach_SanLuong[#Headers],0)) *
INDEX(Table_KeHoach_GiaNhápKU[#All],
MATCH(Table_KeHoach_ChiPhiSKU[[#This Row],[Kế hoạch chi phí hàng hóa]],Table_KeHoach_GiaNhápKU[[#All],[Kế hoạch giá nhập hàng hóa]],0),
MATCH(H$72, Table_KeHoach_GiaNhápKU[#Headers],0)),0)</calculatedColumnFormula>
    </tableColumn>
    <tableColumn id="34" xr3:uid="{5750EFE5-25E1-499F-A818-F1A750D13220}" name="Tháng 6" dataDxfId="474">
      <calculatedColumnFormula xml:space="preserve">
-IFERROR(
INDEX(Table_KeHoach_SanLuong[[#Headers],[#Data]],
MATCH(Table_KeHoach_ChiPhiSKU[[#This Row],[Kế hoạch chi phí hàng hóa]],Table_KeHoach_SanLuong[[#Headers],[#Data],[Kế hoạch sản lượng]],0),
MATCH(I$72,Table_KeHoach_SanLuong[#Headers],0)) *
INDEX(Table_KeHoach_GiaNhápKU[#All],
MATCH(Table_KeHoach_ChiPhiSKU[[#This Row],[Kế hoạch chi phí hàng hóa]],Table_KeHoach_GiaNhápKU[[#All],[Kế hoạch giá nhập hàng hóa]],0),
MATCH(I$72, Table_KeHoach_GiaNhápKU[#Headers],0)),0)</calculatedColumnFormula>
    </tableColumn>
    <tableColumn id="35" xr3:uid="{A4D3AFA5-70E9-450C-8894-1DE0C94FD9C1}" name="Tháng 7" dataDxfId="473">
      <calculatedColumnFormula xml:space="preserve">
-IFERROR(
INDEX(Table_KeHoach_SanLuong[[#Headers],[#Data]],
MATCH(Table_KeHoach_ChiPhiSKU[[#This Row],[Kế hoạch chi phí hàng hóa]],Table_KeHoach_SanLuong[[#Headers],[#Data],[Kế hoạch sản lượng]],0),
MATCH(J$72,Table_KeHoach_SanLuong[#Headers],0)) *
INDEX(Table_KeHoach_GiaNhápKU[#All],
MATCH(Table_KeHoach_ChiPhiSKU[[#This Row],[Kế hoạch chi phí hàng hóa]],Table_KeHoach_GiaNhápKU[[#All],[Kế hoạch giá nhập hàng hóa]],0),
MATCH(J$72, Table_KeHoach_GiaNhápKU[#Headers],0)),0)</calculatedColumnFormula>
    </tableColumn>
    <tableColumn id="36" xr3:uid="{0098CC1D-55DA-4BE3-AF11-DC348343C5FD}" name="Tháng 8" dataDxfId="472">
      <calculatedColumnFormula xml:space="preserve">
-IFERROR(
INDEX(Table_KeHoach_SanLuong[[#Headers],[#Data]],
MATCH(Table_KeHoach_ChiPhiSKU[[#This Row],[Kế hoạch chi phí hàng hóa]],Table_KeHoach_SanLuong[[#Headers],[#Data],[Kế hoạch sản lượng]],0),
MATCH(K$72,Table_KeHoach_SanLuong[#Headers],0)) *
INDEX(Table_KeHoach_GiaNhápKU[#All],
MATCH(Table_KeHoach_ChiPhiSKU[[#This Row],[Kế hoạch chi phí hàng hóa]],Table_KeHoach_GiaNhápKU[[#All],[Kế hoạch giá nhập hàng hóa]],0),
MATCH(K$72, Table_KeHoach_GiaNhápKU[#Headers],0)),0)</calculatedColumnFormula>
    </tableColumn>
    <tableColumn id="37" xr3:uid="{92521C97-0D88-45E6-AABC-A297D3839A8E}" name="Tháng 9" dataDxfId="471">
      <calculatedColumnFormula xml:space="preserve">
-IFERROR(
INDEX(Table_KeHoach_SanLuong[[#Headers],[#Data]],
MATCH(Table_KeHoach_ChiPhiSKU[[#This Row],[Kế hoạch chi phí hàng hóa]],Table_KeHoach_SanLuong[[#Headers],[#Data],[Kế hoạch sản lượng]],0),
MATCH(L$72,Table_KeHoach_SanLuong[#Headers],0)) *
INDEX(Table_KeHoach_GiaNhápKU[#All],
MATCH(Table_KeHoach_ChiPhiSKU[[#This Row],[Kế hoạch chi phí hàng hóa]],Table_KeHoach_GiaNhápKU[[#All],[Kế hoạch giá nhập hàng hóa]],0),
MATCH(L$72, Table_KeHoach_GiaNhápKU[#Headers],0)),0)</calculatedColumnFormula>
    </tableColumn>
    <tableColumn id="38" xr3:uid="{89D3235E-1CED-47EE-8B5A-44E67EFFB28C}" name="Tháng 10" dataDxfId="470">
      <calculatedColumnFormula xml:space="preserve">
-IFERROR(
INDEX(Table_KeHoach_SanLuong[[#Headers],[#Data]],
MATCH(Table_KeHoach_ChiPhiSKU[[#This Row],[Kế hoạch chi phí hàng hóa]],Table_KeHoach_SanLuong[[#Headers],[#Data],[Kế hoạch sản lượng]],0),
MATCH(M$72,Table_KeHoach_SanLuong[#Headers],0)) *
INDEX(Table_KeHoach_GiaNhápKU[#All],
MATCH(Table_KeHoach_ChiPhiSKU[[#This Row],[Kế hoạch chi phí hàng hóa]],Table_KeHoach_GiaNhápKU[[#All],[Kế hoạch giá nhập hàng hóa]],0),
MATCH(M$72, Table_KeHoach_GiaNhápKU[#Headers],0)),0)</calculatedColumnFormula>
    </tableColumn>
    <tableColumn id="39" xr3:uid="{15B70680-6B84-4E74-9D09-80A9E804313E}" name="Tháng 11" dataDxfId="469">
      <calculatedColumnFormula xml:space="preserve">
-IFERROR(
INDEX(Table_KeHoach_SanLuong[[#Headers],[#Data]],
MATCH(Table_KeHoach_ChiPhiSKU[[#This Row],[Kế hoạch chi phí hàng hóa]],Table_KeHoach_SanLuong[[#Headers],[#Data],[Kế hoạch sản lượng]],0),
MATCH(N$72,Table_KeHoach_SanLuong[#Headers],0)) *
INDEX(Table_KeHoach_GiaNhápKU[#All],
MATCH(Table_KeHoach_ChiPhiSKU[[#This Row],[Kế hoạch chi phí hàng hóa]],Table_KeHoach_GiaNhápKU[[#All],[Kế hoạch giá nhập hàng hóa]],0),
MATCH(N$72, Table_KeHoach_GiaNhápKU[#Headers],0)),0)</calculatedColumnFormula>
    </tableColumn>
    <tableColumn id="40" xr3:uid="{AA453F5D-621A-48ED-AE68-1464823DFBED}" name="Tháng 12" dataDxfId="468">
      <calculatedColumnFormula xml:space="preserve">
-IFERROR(
INDEX(Table_KeHoach_SanLuong[[#Headers],[#Data]],
MATCH(Table_KeHoach_ChiPhiSKU[[#This Row],[Kế hoạch chi phí hàng hóa]],Table_KeHoach_SanLuong[[#Headers],[#Data],[Kế hoạch sản lượng]],0),
MATCH(O$72,Table_KeHoach_SanLuong[#Headers],0)) *
INDEX(Table_KeHoach_GiaNhápKU[#All],
MATCH(Table_KeHoach_ChiPhiSKU[[#This Row],[Kế hoạch chi phí hàng hóa]],Table_KeHoach_GiaNhápKU[[#All],[Kế hoạch giá nhập hàng hóa]],0),
MATCH(O$72, Table_KeHoach_GiaNhápKU[#Headers],0)),0)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88:O89" totalsRowShown="0" headerRowDxfId="467" dataDxfId="466">
  <autoFilter ref="B88:O89" xr:uid="{571A7629-CD3D-4301-B87F-F24F63AD2A81}"/>
  <tableColumns count="14">
    <tableColumn id="1" xr3:uid="{89CE5103-5F2F-473A-8285-61F7E158BE32}" name="Kế hoạch tỷ lệ hoa hồng" dataDxfId="465" totalsRowDxfId="464"/>
    <tableColumn id="3" xr3:uid="{A1C5A2FF-BE5E-4865-9699-E09EA6B78869}" name="Column1" dataDxfId="463" totalsRowDxfId="462"/>
    <tableColumn id="29" xr3:uid="{42CEEF9C-84DE-45DF-BFFB-8E1D0BC996A0}" name="Tháng 1" dataDxfId="461"/>
    <tableColumn id="30" xr3:uid="{B17D0FDB-5B56-4429-9BF8-633417993FBB}" name="Tháng 2" dataDxfId="460"/>
    <tableColumn id="31" xr3:uid="{7F3739EE-012B-4AB4-ACE1-CBC110526F9D}" name="Tháng 3" dataDxfId="459"/>
    <tableColumn id="32" xr3:uid="{6103A08B-5854-4BEB-B0F6-AF7602FCE44A}" name="Tháng 4" dataDxfId="458"/>
    <tableColumn id="33" xr3:uid="{EE55A315-C233-4CC6-B5AF-32C405AB383B}" name="Tháng 5" dataDxfId="457"/>
    <tableColumn id="34" xr3:uid="{12B659E6-642C-4140-AA0D-2D84AB9B6125}" name="Tháng 6" dataDxfId="456"/>
    <tableColumn id="35" xr3:uid="{A00D81B6-DF88-4E88-8CFC-8C7C28D732F7}" name="Tháng 7" dataDxfId="455"/>
    <tableColumn id="36" xr3:uid="{211F463D-5EDA-41F3-803D-F665490CFE40}" name="Tháng 8" dataDxfId="454"/>
    <tableColumn id="37" xr3:uid="{B4EC8197-3C1F-43AB-A435-36D6AD6B3E13}" name="Tháng 9" dataDxfId="453"/>
    <tableColumn id="38" xr3:uid="{7C84B51B-A957-4A53-AC29-4A036ABA4C20}" name="Tháng 10" dataDxfId="452"/>
    <tableColumn id="39" xr3:uid="{E5FAA999-8C52-4A9F-B6FA-CA39A6D759DA}" name="Tháng 11" dataDxfId="451"/>
    <tableColumn id="40" xr3:uid="{5936866B-F994-4BD4-9014-345AD0715655}" name="Tháng 12" dataDxfId="450"/>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92:O93" totalsRowShown="0" headerRowDxfId="449" dataDxfId="448" totalsRowDxfId="447">
  <autoFilter ref="B92:O93" xr:uid="{917CE6FA-BA76-44BB-B776-281155435948}"/>
  <tableColumns count="14">
    <tableColumn id="1" xr3:uid="{B069FC19-6704-4041-B913-34A9A708A151}" name="Kế hoạch chi phí hoa hồng" dataDxfId="446" totalsRowDxfId="445"/>
    <tableColumn id="3" xr3:uid="{45A81392-9858-4624-9F4F-3DB6DC54E1DD}" name="Column1" dataDxfId="444"/>
    <tableColumn id="29" xr3:uid="{44FF01A0-EDB3-4A6A-92FD-1674BC0087AE}" name="Tháng 1" dataDxfId="443" totalsRowDxfId="442">
      <calculatedColumnFormula>-
INDEX(Table_KeHoach_TyleHoaHong[#All],
MATCH(Table_KeHoach_ChiPhiHoaHong[[#This Row],[Kế hoạch chi phí hoa hồng]],Table_KeHoach_TyleHoaHong[[#All],[Kế hoạch tỷ lệ hoa hồng]],0),
MATCH(D$92,Table_KeHoach_TyleHoaHong[#Headers],0)) *
INDEX(Table_KeHoach_DoanhThu[[#Headers],[#Data]],
MATCH(Table_KeHoach_ChiPhiHoaHong[[#This Row],[Kế hoạch chi phí hoa hồng]],Table_KeHoach_DoanhThu[[#Headers],[#Data],[Kế hoạch doanh thu]],0),
MATCH(D$92, Table_KeHoach_DoanhThu[#Headers],0))</calculatedColumnFormula>
    </tableColumn>
    <tableColumn id="30" xr3:uid="{AA758440-3D9D-4EED-984C-92AC297C6E87}" name="Tháng 2" dataDxfId="441" totalsRowDxfId="440">
      <calculatedColumnFormula>-
INDEX(Table_KeHoach_TyleHoaHong[#All],
MATCH(Table_KeHoach_ChiPhiHoaHong[[#This Row],[Kế hoạch chi phí hoa hồng]],Table_KeHoach_TyleHoaHong[[#All],[Kế hoạch tỷ lệ hoa hồng]],0),
MATCH(E$92,Table_KeHoach_TyleHoaHong[#Headers],0)) *
INDEX(Table_KeHoach_DoanhThu[[#Headers],[#Data]],
MATCH(Table_KeHoach_ChiPhiHoaHong[[#This Row],[Kế hoạch chi phí hoa hồng]],Table_KeHoach_DoanhThu[[#Headers],[#Data],[Kế hoạch doanh thu]],0),
MATCH(E$92, Table_KeHoach_DoanhThu[#Headers],0))</calculatedColumnFormula>
    </tableColumn>
    <tableColumn id="31" xr3:uid="{F07668AE-AD66-4052-9593-D1A9368E6169}" name="Tháng 3" dataDxfId="439" totalsRowDxfId="438">
      <calculatedColumnFormula>-
INDEX(Table_KeHoach_TyleHoaHong[#All],
MATCH(Table_KeHoach_ChiPhiHoaHong[[#This Row],[Kế hoạch chi phí hoa hồng]],Table_KeHoach_TyleHoaHong[[#All],[Kế hoạch tỷ lệ hoa hồng]],0),
MATCH(F$92,Table_KeHoach_TyleHoaHong[#Headers],0)) *
INDEX(Table_KeHoach_DoanhThu[[#Headers],[#Data]],
MATCH(Table_KeHoach_ChiPhiHoaHong[[#This Row],[Kế hoạch chi phí hoa hồng]],Table_KeHoach_DoanhThu[[#Headers],[#Data],[Kế hoạch doanh thu]],0),
MATCH(F$92, Table_KeHoach_DoanhThu[#Headers],0))</calculatedColumnFormula>
    </tableColumn>
    <tableColumn id="32" xr3:uid="{019F83CA-1D86-4894-9E1C-B97411E02CE3}" name="Tháng 4" dataDxfId="437" totalsRowDxfId="436">
      <calculatedColumnFormula>-
INDEX(Table_KeHoach_TyleHoaHong[#All],
MATCH(Table_KeHoach_ChiPhiHoaHong[[#This Row],[Kế hoạch chi phí hoa hồng]],Table_KeHoach_TyleHoaHong[[#All],[Kế hoạch tỷ lệ hoa hồng]],0),
MATCH(G$92,Table_KeHoach_TyleHoaHong[#Headers],0)) *
INDEX(Table_KeHoach_DoanhThu[[#Headers],[#Data]],
MATCH(Table_KeHoach_ChiPhiHoaHong[[#This Row],[Kế hoạch chi phí hoa hồng]],Table_KeHoach_DoanhThu[[#Headers],[#Data],[Kế hoạch doanh thu]],0),
MATCH(G$92, Table_KeHoach_DoanhThu[#Headers],0))</calculatedColumnFormula>
    </tableColumn>
    <tableColumn id="33" xr3:uid="{98A21E41-7307-4A31-8516-C3BAAF1B6A71}" name="Tháng 5" dataDxfId="435" totalsRowDxfId="434">
      <calculatedColumnFormula>-
INDEX(Table_KeHoach_TyleHoaHong[#All],
MATCH(Table_KeHoach_ChiPhiHoaHong[[#This Row],[Kế hoạch chi phí hoa hồng]],Table_KeHoach_TyleHoaHong[[#All],[Kế hoạch tỷ lệ hoa hồng]],0),
MATCH(H$92,Table_KeHoach_TyleHoaHong[#Headers],0)) *
INDEX(Table_KeHoach_DoanhThu[[#Headers],[#Data]],
MATCH(Table_KeHoach_ChiPhiHoaHong[[#This Row],[Kế hoạch chi phí hoa hồng]],Table_KeHoach_DoanhThu[[#Headers],[#Data],[Kế hoạch doanh thu]],0),
MATCH(H$92, Table_KeHoach_DoanhThu[#Headers],0))</calculatedColumnFormula>
    </tableColumn>
    <tableColumn id="34" xr3:uid="{A35D5DAD-05B9-47A1-BE73-C5B4D7AC14D2}" name="Tháng 6" dataDxfId="433" totalsRowDxfId="432">
      <calculatedColumnFormula>-
INDEX(Table_KeHoach_TyleHoaHong[#All],
MATCH(Table_KeHoach_ChiPhiHoaHong[[#This Row],[Kế hoạch chi phí hoa hồng]],Table_KeHoach_TyleHoaHong[[#All],[Kế hoạch tỷ lệ hoa hồng]],0),
MATCH(I$92,Table_KeHoach_TyleHoaHong[#Headers],0)) *
INDEX(Table_KeHoach_DoanhThu[[#Headers],[#Data]],
MATCH(Table_KeHoach_ChiPhiHoaHong[[#This Row],[Kế hoạch chi phí hoa hồng]],Table_KeHoach_DoanhThu[[#Headers],[#Data],[Kế hoạch doanh thu]],0),
MATCH(I$92, Table_KeHoach_DoanhThu[#Headers],0))</calculatedColumnFormula>
    </tableColumn>
    <tableColumn id="35" xr3:uid="{DB88872F-43F3-4B29-B6D2-7C307941341D}" name="Tháng 7" dataDxfId="431" totalsRowDxfId="430">
      <calculatedColumnFormula>-
INDEX(Table_KeHoach_TyleHoaHong[#All],
MATCH(Table_KeHoach_ChiPhiHoaHong[[#This Row],[Kế hoạch chi phí hoa hồng]],Table_KeHoach_TyleHoaHong[[#All],[Kế hoạch tỷ lệ hoa hồng]],0),
MATCH(J$92,Table_KeHoach_TyleHoaHong[#Headers],0)) *
INDEX(Table_KeHoach_DoanhThu[[#Headers],[#Data]],
MATCH(Table_KeHoach_ChiPhiHoaHong[[#This Row],[Kế hoạch chi phí hoa hồng]],Table_KeHoach_DoanhThu[[#Headers],[#Data],[Kế hoạch doanh thu]],0),
MATCH(J$92, Table_KeHoach_DoanhThu[#Headers],0))</calculatedColumnFormula>
    </tableColumn>
    <tableColumn id="36" xr3:uid="{4293C101-8A6A-48CA-BB50-59282E2317CE}" name="Tháng 8" dataDxfId="429" totalsRowDxfId="428">
      <calculatedColumnFormula>-
INDEX(Table_KeHoach_TyleHoaHong[#All],
MATCH(Table_KeHoach_ChiPhiHoaHong[[#This Row],[Kế hoạch chi phí hoa hồng]],Table_KeHoach_TyleHoaHong[[#All],[Kế hoạch tỷ lệ hoa hồng]],0),
MATCH(K$92,Table_KeHoach_TyleHoaHong[#Headers],0)) *
INDEX(Table_KeHoach_DoanhThu[[#Headers],[#Data]],
MATCH(Table_KeHoach_ChiPhiHoaHong[[#This Row],[Kế hoạch chi phí hoa hồng]],Table_KeHoach_DoanhThu[[#Headers],[#Data],[Kế hoạch doanh thu]],0),
MATCH(K$92, Table_KeHoach_DoanhThu[#Headers],0))</calculatedColumnFormula>
    </tableColumn>
    <tableColumn id="37" xr3:uid="{95FBAF24-EB51-44D8-B651-26FE188B4B40}" name="Tháng 9" dataDxfId="427" totalsRowDxfId="426">
      <calculatedColumnFormula>-
INDEX(Table_KeHoach_TyleHoaHong[#All],
MATCH(Table_KeHoach_ChiPhiHoaHong[[#This Row],[Kế hoạch chi phí hoa hồng]],Table_KeHoach_TyleHoaHong[[#All],[Kế hoạch tỷ lệ hoa hồng]],0),
MATCH(L$92,Table_KeHoach_TyleHoaHong[#Headers],0)) *
INDEX(Table_KeHoach_DoanhThu[[#Headers],[#Data]],
MATCH(Table_KeHoach_ChiPhiHoaHong[[#This Row],[Kế hoạch chi phí hoa hồng]],Table_KeHoach_DoanhThu[[#Headers],[#Data],[Kế hoạch doanh thu]],0),
MATCH(L$92, Table_KeHoach_DoanhThu[#Headers],0))</calculatedColumnFormula>
    </tableColumn>
    <tableColumn id="38" xr3:uid="{E4FFC353-4C31-4E0A-ABD0-521861BA3766}" name="Tháng 10" dataDxfId="425" totalsRowDxfId="424">
      <calculatedColumnFormula>-
INDEX(Table_KeHoach_TyleHoaHong[#All],
MATCH(Table_KeHoach_ChiPhiHoaHong[[#This Row],[Kế hoạch chi phí hoa hồng]],Table_KeHoach_TyleHoaHong[[#All],[Kế hoạch tỷ lệ hoa hồng]],0),
MATCH(M$92,Table_KeHoach_TyleHoaHong[#Headers],0)) *
INDEX(Table_KeHoach_DoanhThu[[#Headers],[#Data]],
MATCH(Table_KeHoach_ChiPhiHoaHong[[#This Row],[Kế hoạch chi phí hoa hồng]],Table_KeHoach_DoanhThu[[#Headers],[#Data],[Kế hoạch doanh thu]],0),
MATCH(M$92, Table_KeHoach_DoanhThu[#Headers],0))</calculatedColumnFormula>
    </tableColumn>
    <tableColumn id="39" xr3:uid="{1176195A-F2D0-491F-ADAF-FEE4B331168F}" name="Tháng 11" dataDxfId="423" totalsRowDxfId="422">
      <calculatedColumnFormula>-
INDEX(Table_KeHoach_TyleHoaHong[#All],
MATCH(Table_KeHoach_ChiPhiHoaHong[[#This Row],[Kế hoạch chi phí hoa hồng]],Table_KeHoach_TyleHoaHong[[#All],[Kế hoạch tỷ lệ hoa hồng]],0),
MATCH(N$92,Table_KeHoach_TyleHoaHong[#Headers],0)) *
INDEX(Table_KeHoach_DoanhThu[[#Headers],[#Data]],
MATCH(Table_KeHoach_ChiPhiHoaHong[[#This Row],[Kế hoạch chi phí hoa hồng]],Table_KeHoach_DoanhThu[[#Headers],[#Data],[Kế hoạch doanh thu]],0),
MATCH(N$92, Table_KeHoach_DoanhThu[#Headers],0))</calculatedColumnFormula>
    </tableColumn>
    <tableColumn id="40" xr3:uid="{F7A3A82A-D538-4F76-8571-151155BB1E03}" name="Tháng 12" dataDxfId="421" totalsRowDxfId="420">
      <calculatedColumnFormula>-
INDEX(Table_KeHoach_TyleHoaHong[#All],
MATCH(Table_KeHoach_ChiPhiHoaHong[[#This Row],[Kế hoạch chi phí hoa hồng]],Table_KeHoach_TyleHoaHong[[#All],[Kế hoạch tỷ lệ hoa hồng]],0),
MATCH(O$92,Table_KeHoach_TyleHoaHong[#Headers],0)) *
INDEX(Table_KeHoach_DoanhThu[[#Headers],[#Data]],
MATCH(Table_KeHoach_ChiPhiHoaHong[[#This Row],[Kế hoạch chi phí hoa hồng]],Table_KeHoach_DoanhThu[[#Headers],[#Data],[Kế hoạch doanh thu]],0),
MATCH(O$92, Table_KeHoach_DoanhThu[#Headers],0))</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08:O110" totalsRowShown="0" headerRowDxfId="419" dataDxfId="418">
  <autoFilter ref="B108:O110" xr:uid="{908E4510-1D66-4B62-BD4E-8366A63DB2D9}"/>
  <tableColumns count="14">
    <tableColumn id="1" xr3:uid="{4974AA81-EDE8-48A1-972A-BD6B8748ED4C}" name="Kế hoạch chi phí ship" dataDxfId="417" totalsRowDxfId="416"/>
    <tableColumn id="3" xr3:uid="{B298E000-F4DB-4ECC-9D0C-FCA782A86771}" name="Column1" dataDxfId="415"/>
    <tableColumn id="29" xr3:uid="{0E8CCF25-9538-4858-B4EB-66D14E65C5E6}" name="Tháng 1" dataDxfId="414">
      <calculatedColumnFormula>VLOOKUP(Table_KeHoach_ChiPhiShip[[#This Row],[Kế hoạch chi phí ship]],#REF!,#REF!,0)</calculatedColumnFormula>
    </tableColumn>
    <tableColumn id="30" xr3:uid="{AF72C6DF-EB35-4A98-ABEC-099350C31E27}" name="Tháng 2" dataDxfId="413">
      <calculatedColumnFormula>VLOOKUP(Table_KeHoach_ChiPhiShip[[#This Row],[Kế hoạch chi phí ship]],#REF!,#REF!,0)</calculatedColumnFormula>
    </tableColumn>
    <tableColumn id="31" xr3:uid="{3EAF95EE-2F6B-43B3-9D13-5D7C0429B475}" name="Tháng 3" dataDxfId="412">
      <calculatedColumnFormula>VLOOKUP(Table_KeHoach_ChiPhiShip[[#This Row],[Kế hoạch chi phí ship]],#REF!,#REF!,0)</calculatedColumnFormula>
    </tableColumn>
    <tableColumn id="32" xr3:uid="{D96EEB51-7417-4655-BDDC-D0E338E941FB}" name="Tháng 4" dataDxfId="411">
      <calculatedColumnFormula>VLOOKUP(Table_KeHoach_ChiPhiShip[[#This Row],[Kế hoạch chi phí ship]],#REF!,#REF!,0)</calculatedColumnFormula>
    </tableColumn>
    <tableColumn id="33" xr3:uid="{257E62C8-5051-48B2-85A8-3358E9656E87}" name="Tháng 5" dataDxfId="410">
      <calculatedColumnFormula>VLOOKUP(Table_KeHoach_ChiPhiShip[[#This Row],[Kế hoạch chi phí ship]],#REF!,#REF!,0)</calculatedColumnFormula>
    </tableColumn>
    <tableColumn id="34" xr3:uid="{0E06FA86-8BB1-4A39-B5C1-0D5C45891AD0}" name="Tháng 6" dataDxfId="409">
      <calculatedColumnFormula>VLOOKUP(Table_KeHoach_ChiPhiShip[[#This Row],[Kế hoạch chi phí ship]],#REF!,#REF!,0)</calculatedColumnFormula>
    </tableColumn>
    <tableColumn id="35" xr3:uid="{9F9131FD-5E00-446F-BB5F-FA90CC9D32D8}" name="Tháng 7" dataDxfId="408">
      <calculatedColumnFormula>VLOOKUP(Table_KeHoach_ChiPhiShip[[#This Row],[Kế hoạch chi phí ship]],#REF!,#REF!,0)</calculatedColumnFormula>
    </tableColumn>
    <tableColumn id="36" xr3:uid="{780160DC-AD91-4578-974A-DAA46A0EFA55}" name="Tháng 8" dataDxfId="407">
      <calculatedColumnFormula>VLOOKUP(Table_KeHoach_ChiPhiShip[[#This Row],[Kế hoạch chi phí ship]],#REF!,#REF!,0)</calculatedColumnFormula>
    </tableColumn>
    <tableColumn id="37" xr3:uid="{8F0619B7-DD39-44BB-919F-7190F8C66661}" name="Tháng 9" dataDxfId="406">
      <calculatedColumnFormula>VLOOKUP(Table_KeHoach_ChiPhiShip[[#This Row],[Kế hoạch chi phí ship]],#REF!,#REF!,0)</calculatedColumnFormula>
    </tableColumn>
    <tableColumn id="38" xr3:uid="{85E0E657-1656-49DE-ACC4-ECD2C5A8BD77}" name="Tháng 10" dataDxfId="405">
      <calculatedColumnFormula>VLOOKUP(Table_KeHoach_ChiPhiShip[[#This Row],[Kế hoạch chi phí ship]],#REF!,#REF!,0)</calculatedColumnFormula>
    </tableColumn>
    <tableColumn id="39" xr3:uid="{871494F5-3229-4D50-A00E-F79B1EC4C89C}" name="Tháng 11" dataDxfId="404">
      <calculatedColumnFormula>VLOOKUP(Table_KeHoach_ChiPhiShip[[#This Row],[Kế hoạch chi phí ship]],#REF!,#REF!,0)</calculatedColumnFormula>
    </tableColumn>
    <tableColumn id="40" xr3:uid="{93DF0D7F-F948-4D01-9B0F-5A68A405CC28}" name="Tháng 12" dataDxfId="403">
      <calculatedColumnFormula>VLOOKUP(Table_KeHoach_ChiPhiShip[[#This Row],[Kế hoạch chi phí ship]],#REF!,#REF!,0)</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13:O114" totalsRowShown="0" headerRowDxfId="402" dataDxfId="401">
  <autoFilter ref="B113:O114" xr:uid="{3AA81467-7CA1-47A8-90EC-3D38BDD54257}"/>
  <tableColumns count="14">
    <tableColumn id="1" xr3:uid="{3C4D3BE7-FFE8-4AA6-9046-2E900FEAAF24}" name="Kế hoạch lương gross" dataDxfId="400" totalsRowDxfId="399"/>
    <tableColumn id="3" xr3:uid="{5406D85A-8CE2-4CC8-8623-275C8DAC4DB0}" name="Column1" dataDxfId="398" totalsRowDxfId="397"/>
    <tableColumn id="29" xr3:uid="{22CFBB3B-BFA7-42CB-BA20-AC6D1269A08E}" name="Tháng 1" dataDxfId="396" totalsRowDxfId="395"/>
    <tableColumn id="30" xr3:uid="{3C7E21A7-1D02-40CC-B621-9BA1EE2F5AF0}" name="Tháng 2" dataDxfId="394" totalsRowDxfId="393"/>
    <tableColumn id="31" xr3:uid="{0EA71E79-00ED-47C7-9E3F-25D06EA1FE91}" name="Tháng 3" dataDxfId="392" totalsRowDxfId="391"/>
    <tableColumn id="32" xr3:uid="{BC596114-217F-4B94-AD95-C681D74C7AEE}" name="Tháng 4" dataDxfId="390" totalsRowDxfId="389"/>
    <tableColumn id="33" xr3:uid="{4D50F754-44AB-4EA0-8411-B3DA58FA9F77}" name="Tháng 5" dataDxfId="388" totalsRowDxfId="387"/>
    <tableColumn id="34" xr3:uid="{095DA541-8FFF-4D4A-B0B1-0F628DFE99D0}" name="Tháng 6" dataDxfId="386"/>
    <tableColumn id="35" xr3:uid="{D3E05F56-0880-4153-91D3-D886DE1340C5}" name="Tháng 7" dataDxfId="385"/>
    <tableColumn id="36" xr3:uid="{D1923F54-11DB-4249-B122-FA71BE50ED0F}" name="Tháng 8" dataDxfId="384"/>
    <tableColumn id="37" xr3:uid="{01190BA1-8776-41CD-8213-306DC9E72917}" name="Tháng 9" dataDxfId="383"/>
    <tableColumn id="38" xr3:uid="{D4E78B4D-AEFC-4A5A-90AA-D2B0186513FD}" name="Tháng 10" dataDxfId="382"/>
    <tableColumn id="39" xr3:uid="{39541C43-C729-4B8C-A2DF-8B46DB19934F}" name="Tháng 11" dataDxfId="381"/>
    <tableColumn id="40" xr3:uid="{B507645B-A83E-40A1-8131-DC22121E7942}" name="Tháng 12" dataDxfId="380"/>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17:O118" totalsRowShown="0" headerRowDxfId="379" dataDxfId="378" totalsRowDxfId="377">
  <autoFilter ref="B117:O118" xr:uid="{91BBA9C3-FC15-4CD7-9733-B5B5DB650110}"/>
  <tableColumns count="14">
    <tableColumn id="1" xr3:uid="{2E43917D-C813-4D56-BD16-1D4A8D96F05A}" name="Kế hoạch chi phí nhân sự" dataDxfId="376" totalsRowDxfId="375"/>
    <tableColumn id="3" xr3:uid="{A57E4123-9FD6-4DF6-9D3E-62EF299F2B98}" name="Column1" dataDxfId="374" totalsRowDxfId="373"/>
    <tableColumn id="29" xr3:uid="{B2E2777D-DFCF-4D07-B498-2CCCF122CEE7}" name="Tháng 1" dataDxfId="372" totalsRowDxfId="371">
      <calculatedColumnFormula>-
INDEX(Table_KeHoach_LuongNet[#All],
MATCH(Table_KeHoach_LuongGross[[#This Row],[Kế hoạch chi phí nhân sự]],Table_KeHoach_LuongNet[[#All],[Kế hoạch lương gross]],0),
MATCH(D$117,Table_KeHoach_LuongNet[#Headers],0))
-IF(
INDEX(Table_KeHoach_LuongNet[#All],
MATCH(Table_KeHoach_LuongGross[[#This Row],[Kế hoạch chi phí nhân sự]],Table_KeHoach_LuongNet[[#All],[Kế hoạch lương gross]],0),
MATCH(D$117,Table_KeHoach_LuongNet[#Headers],0))
 &lt; INDEX(#REF!,
MATCH("Lương tối đa",#REF!,0),
MATCH("BHXH",#REF!,0)),
INDEX(Table_KeHoach_LuongNet[#All],
MATCH(Table_KeHoach_LuongGross[[#This Row],[Kế hoạch chi phí nhân sự]],Table_KeHoach_LuongNet[[#All],[Kế hoạch lương gross]],0),
MATCH(D$117,Table_KeHoach_LuongNet[#Headers],0))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MATCH(D$117,Table_KeHoach_LuongNet[#Headers],0))
 &lt; INDEX(#REF!,
MATCH("Lương tối đa",#REF!,0),
MATCH("BHYT",#REF!,0)),
INDEX(Table_KeHoach_LuongNet[#All],
MATCH(Table_KeHoach_LuongGross[[#This Row],[Kế hoạch chi phí nhân sự]],Table_KeHoach_LuongNet[[#All],[Kế hoạch lương gross]],0),
MATCH(D$117,Table_KeHoach_LuongNet[#Headers],0))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MATCH(D$117,Table_KeHoach_LuongNet[#Headers],0))
 &lt; INDEX(#REF!,
MATCH("Lương tối đa",#REF!,0),
MATCH("BHTN",#REF!,0)),
INDEX(Table_KeHoach_LuongNet[#All],
MATCH(Table_KeHoach_LuongGross[[#This Row],[Kế hoạch chi phí nhân sự]],Table_KeHoach_LuongNet[[#All],[Kế hoạch lương gross]],0),
MATCH(D$117,Table_KeHoach_LuongNet[#Headers],0)) *
INDEX(#REF!,
MATCH("Tỷ lệ bảo hiểm với DN",#REF!,0),
MATCH("BHTN",#REF!,0)),
INDEX(#REF!,
MATCH("Lương tối đa",#REF!,0),
MATCH("BHTN",#REF!,0)) *
INDEX(#REF!,
MATCH("Tỷ lệ bảo hiểm với DN",#REF!,0),
MATCH("BHTN",#REF!,0)))</calculatedColumnFormula>
    </tableColumn>
    <tableColumn id="30" xr3:uid="{30A364DF-C3BF-441E-95BE-2636E496ACC9}" name="Tháng 2" dataDxfId="370" totalsRowDxfId="369">
      <calculatedColumnFormula>-
INDEX(Table_KeHoach_LuongNet[#All],
MATCH(Table_KeHoach_LuongGross[[#This Row],[Kế hoạch chi phí nhân sự]],Table_KeHoach_LuongNet[[#All],[Kế hoạch lương gross]],0),
MATCH(E$117,Table_KeHoach_LuongNet[#Headers],0))
-IF(
INDEX(Table_KeHoach_LuongNet[#All],
MATCH(Table_KeHoach_LuongGross[[#This Row],[Kế hoạch chi phí nhân sự]],Table_KeHoach_LuongNet[[#All],[Kế hoạch lương gross]],0),
MATCH(E$117,Table_KeHoach_LuongNet[#Headers],0))
 &lt; INDEX(#REF!,
MATCH("Lương tối đa",#REF!,0),
MATCH("BHXH",#REF!,0)),
INDEX(Table_KeHoach_LuongNet[#All],
MATCH(Table_KeHoach_LuongGross[[#This Row],[Kế hoạch chi phí nhân sự]],Table_KeHoach_LuongNet[[#All],[Kế hoạch lương gross]],0),
MATCH(E$117,Table_KeHoach_LuongNet[#Headers],0))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MATCH(E$117,Table_KeHoach_LuongNet[#Headers],0))
 &lt; INDEX(#REF!,
MATCH("Lương tối đa",#REF!,0),
MATCH("BHYT",#REF!,0)),
INDEX(Table_KeHoach_LuongNet[#All],
MATCH(Table_KeHoach_LuongGross[[#This Row],[Kế hoạch chi phí nhân sự]],Table_KeHoach_LuongNet[[#All],[Kế hoạch lương gross]],0),
MATCH(E$117,Table_KeHoach_LuongNet[#Headers],0))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MATCH(E$117,Table_KeHoach_LuongNet[#Headers],0))
 &lt; INDEX(#REF!,
MATCH("Lương tối đa",#REF!,0),
MATCH("BHTN",#REF!,0)),
INDEX(Table_KeHoach_LuongNet[#All],
MATCH(Table_KeHoach_LuongGross[[#This Row],[Kế hoạch chi phí nhân sự]],Table_KeHoach_LuongNet[[#All],[Kế hoạch lương gross]],0),
MATCH(E$117,Table_KeHoach_LuongNet[#Headers],0)) *
INDEX(#REF!,
MATCH("Tỷ lệ bảo hiểm với DN",#REF!,0),
MATCH("BHTN",#REF!,0)),
INDEX(#REF!,
MATCH("Lương tối đa",#REF!,0),
MATCH("BHTN",#REF!,0)) *
INDEX(#REF!,
MATCH("Tỷ lệ bảo hiểm với DN",#REF!,0),
MATCH("BHTN",#REF!,0)))</calculatedColumnFormula>
    </tableColumn>
    <tableColumn id="31" xr3:uid="{F79E7C83-DE64-4D3F-A770-8721FA722A0B}" name="Tháng 3" dataDxfId="368" totalsRowDxfId="367">
      <calculatedColumnFormula>-
INDEX(Table_KeHoach_LuongNet[#All],
MATCH(Table_KeHoach_LuongGross[[#This Row],[Kế hoạch chi phí nhân sự]],Table_KeHoach_LuongNet[[#All],[Kế hoạch lương gross]],0),
MATCH(F$117,Table_KeHoach_LuongNet[#Headers],0))
-IF(
INDEX(Table_KeHoach_LuongNet[#All],
MATCH(Table_KeHoach_LuongGross[[#This Row],[Kế hoạch chi phí nhân sự]],Table_KeHoach_LuongNet[[#All],[Kế hoạch lương gross]],0),
MATCH(F$117,Table_KeHoach_LuongNet[#Headers],0))
 &lt; INDEX(#REF!,
MATCH("Lương tối đa",#REF!,0),
MATCH("BHXH",#REF!,0)),
INDEX(Table_KeHoach_LuongNet[#All],
MATCH(Table_KeHoach_LuongGross[[#This Row],[Kế hoạch chi phí nhân sự]],Table_KeHoach_LuongNet[[#All],[Kế hoạch lương gross]],0),
MATCH(F$117,Table_KeHoach_LuongNet[#Headers],0))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MATCH(F$117,Table_KeHoach_LuongNet[#Headers],0))
 &lt; INDEX(#REF!,
MATCH("Lương tối đa",#REF!,0),
MATCH("BHYT",#REF!,0)),
INDEX(Table_KeHoach_LuongNet[#All],
MATCH(Table_KeHoach_LuongGross[[#This Row],[Kế hoạch chi phí nhân sự]],Table_KeHoach_LuongNet[[#All],[Kế hoạch lương gross]],0),
MATCH(F$117,Table_KeHoach_LuongNet[#Headers],0))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MATCH(F$117,Table_KeHoach_LuongNet[#Headers],0))
 &lt; INDEX(#REF!,
MATCH("Lương tối đa",#REF!,0),
MATCH("BHTN",#REF!,0)),
INDEX(Table_KeHoach_LuongNet[#All],
MATCH(Table_KeHoach_LuongGross[[#This Row],[Kế hoạch chi phí nhân sự]],Table_KeHoach_LuongNet[[#All],[Kế hoạch lương gross]],0),
MATCH(F$117,Table_KeHoach_LuongNet[#Headers],0)) *
INDEX(#REF!,
MATCH("Tỷ lệ bảo hiểm với DN",#REF!,0),
MATCH("BHTN",#REF!,0)),
INDEX(#REF!,
MATCH("Lương tối đa",#REF!,0),
MATCH("BHTN",#REF!,0)) *
INDEX(#REF!,
MATCH("Tỷ lệ bảo hiểm với DN",#REF!,0),
MATCH("BHTN",#REF!,0)))</calculatedColumnFormula>
    </tableColumn>
    <tableColumn id="32" xr3:uid="{12CDFC08-D112-49FB-BA4C-3889A6F962C8}" name="Tháng 4" dataDxfId="366" totalsRowDxfId="365">
      <calculatedColumnFormula>-
INDEX(Table_KeHoach_LuongNet[#All],
MATCH(Table_KeHoach_LuongGross[[#This Row],[Kế hoạch chi phí nhân sự]],Table_KeHoach_LuongNet[[#All],[Kế hoạch lương gross]],0),
MATCH(G$117,Table_KeHoach_LuongNet[#Headers],0))
-IF(
INDEX(Table_KeHoach_LuongNet[#All],
MATCH(Table_KeHoach_LuongGross[[#This Row],[Kế hoạch chi phí nhân sự]],Table_KeHoach_LuongNet[[#All],[Kế hoạch lương gross]],0),
MATCH(G$117,Table_KeHoach_LuongNet[#Headers],0))
 &lt; INDEX(#REF!,
MATCH("Lương tối đa",#REF!,0),
MATCH("BHXH",#REF!,0)),
INDEX(Table_KeHoach_LuongNet[#All],
MATCH(Table_KeHoach_LuongGross[[#This Row],[Kế hoạch chi phí nhân sự]],Table_KeHoach_LuongNet[[#All],[Kế hoạch lương gross]],0),
MATCH(G$117,Table_KeHoach_LuongNet[#Headers],0))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MATCH(G$117,Table_KeHoach_LuongNet[#Headers],0))
 &lt; INDEX(#REF!,
MATCH("Lương tối đa",#REF!,0),
MATCH("BHYT",#REF!,0)),
INDEX(Table_KeHoach_LuongNet[#All],
MATCH(Table_KeHoach_LuongGross[[#This Row],[Kế hoạch chi phí nhân sự]],Table_KeHoach_LuongNet[[#All],[Kế hoạch lương gross]],0),
MATCH(G$117,Table_KeHoach_LuongNet[#Headers],0))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MATCH(G$117,Table_KeHoach_LuongNet[#Headers],0))
 &lt; INDEX(#REF!,
MATCH("Lương tối đa",#REF!,0),
MATCH("BHTN",#REF!,0)),
INDEX(Table_KeHoach_LuongNet[#All],
MATCH(Table_KeHoach_LuongGross[[#This Row],[Kế hoạch chi phí nhân sự]],Table_KeHoach_LuongNet[[#All],[Kế hoạch lương gross]],0),
MATCH(G$117,Table_KeHoach_LuongNet[#Headers],0)) *
INDEX(#REF!,
MATCH("Tỷ lệ bảo hiểm với DN",#REF!,0),
MATCH("BHTN",#REF!,0)),
INDEX(#REF!,
MATCH("Lương tối đa",#REF!,0),
MATCH("BHTN",#REF!,0)) *
INDEX(#REF!,
MATCH("Tỷ lệ bảo hiểm với DN",#REF!,0),
MATCH("BHTN",#REF!,0)))</calculatedColumnFormula>
    </tableColumn>
    <tableColumn id="33" xr3:uid="{BA17BEBB-819B-4DA5-8ECA-94C0F9F54D1E}" name="Tháng 5" dataDxfId="364" totalsRowDxfId="363">
      <calculatedColumnFormula>-
INDEX(Table_KeHoach_LuongNet[#All],
MATCH(Table_KeHoach_LuongGross[[#This Row],[Kế hoạch chi phí nhân sự]],Table_KeHoach_LuongNet[[#All],[Kế hoạch lương gross]],0),
MATCH(H$117,Table_KeHoach_LuongNet[#Headers],0))
-IF(
INDEX(Table_KeHoach_LuongNet[#All],
MATCH(Table_KeHoach_LuongGross[[#This Row],[Kế hoạch chi phí nhân sự]],Table_KeHoach_LuongNet[[#All],[Kế hoạch lương gross]],0),
MATCH(H$117,Table_KeHoach_LuongNet[#Headers],0))
 &lt; INDEX(#REF!,
MATCH("Lương tối đa",#REF!,0),
MATCH("BHXH",#REF!,0)),
INDEX(Table_KeHoach_LuongNet[#All],
MATCH(Table_KeHoach_LuongGross[[#This Row],[Kế hoạch chi phí nhân sự]],Table_KeHoach_LuongNet[[#All],[Kế hoạch lương gross]],0),
MATCH(H$117,Table_KeHoach_LuongNet[#Headers],0))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MATCH(H$117,Table_KeHoach_LuongNet[#Headers],0))
 &lt; INDEX(#REF!,
MATCH("Lương tối đa",#REF!,0),
MATCH("BHYT",#REF!,0)),
INDEX(Table_KeHoach_LuongNet[#All],
MATCH(Table_KeHoach_LuongGross[[#This Row],[Kế hoạch chi phí nhân sự]],Table_KeHoach_LuongNet[[#All],[Kế hoạch lương gross]],0),
MATCH(H$117,Table_KeHoach_LuongNet[#Headers],0))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MATCH(H$117,Table_KeHoach_LuongNet[#Headers],0))
 &lt; INDEX(#REF!,
MATCH("Lương tối đa",#REF!,0),
MATCH("BHTN",#REF!,0)),
INDEX(Table_KeHoach_LuongNet[#All],
MATCH(Table_KeHoach_LuongGross[[#This Row],[Kế hoạch chi phí nhân sự]],Table_KeHoach_LuongNet[[#All],[Kế hoạch lương gross]],0),
MATCH(H$117,Table_KeHoach_LuongNet[#Headers],0)) *
INDEX(#REF!,
MATCH("Tỷ lệ bảo hiểm với DN",#REF!,0),
MATCH("BHTN",#REF!,0)),
INDEX(#REF!,
MATCH("Lương tối đa",#REF!,0),
MATCH("BHTN",#REF!,0)) *
INDEX(#REF!,
MATCH("Tỷ lệ bảo hiểm với DN",#REF!,0),
MATCH("BHTN",#REF!,0)))</calculatedColumnFormula>
    </tableColumn>
    <tableColumn id="34" xr3:uid="{006080A1-D98E-4C4E-8496-FC8D3C3FACBE}" name="Tháng 6" dataDxfId="362" totalsRowDxfId="361">
      <calculatedColumnFormula>-
INDEX(Table_KeHoach_LuongNet[#All],
MATCH(Table_KeHoach_LuongGross[[#This Row],[Kế hoạch chi phí nhân sự]],Table_KeHoach_LuongNet[[#All],[Kế hoạch lương gross]],0),
MATCH(I$117,Table_KeHoach_LuongNet[#Headers],0))
-IF(
INDEX(Table_KeHoach_LuongNet[#All],
MATCH(Table_KeHoach_LuongGross[[#This Row],[Kế hoạch chi phí nhân sự]],Table_KeHoach_LuongNet[[#All],[Kế hoạch lương gross]],0),
MATCH(I$117,Table_KeHoach_LuongNet[#Headers],0))
 &lt; INDEX(#REF!,
MATCH("Lương tối đa",#REF!,0),
MATCH("BHXH",#REF!,0)),
INDEX(Table_KeHoach_LuongNet[#All],
MATCH(Table_KeHoach_LuongGross[[#This Row],[Kế hoạch chi phí nhân sự]],Table_KeHoach_LuongNet[[#All],[Kế hoạch lương gross]],0),
MATCH(I$117,Table_KeHoach_LuongNet[#Headers],0))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MATCH(I$117,Table_KeHoach_LuongNet[#Headers],0))
 &lt; INDEX(#REF!,
MATCH("Lương tối đa",#REF!,0),
MATCH("BHYT",#REF!,0)),
INDEX(Table_KeHoach_LuongNet[#All],
MATCH(Table_KeHoach_LuongGross[[#This Row],[Kế hoạch chi phí nhân sự]],Table_KeHoach_LuongNet[[#All],[Kế hoạch lương gross]],0),
MATCH(I$117,Table_KeHoach_LuongNet[#Headers],0))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MATCH(I$117,Table_KeHoach_LuongNet[#Headers],0))
 &lt; INDEX(#REF!,
MATCH("Lương tối đa",#REF!,0),
MATCH("BHTN",#REF!,0)),
INDEX(Table_KeHoach_LuongNet[#All],
MATCH(Table_KeHoach_LuongGross[[#This Row],[Kế hoạch chi phí nhân sự]],Table_KeHoach_LuongNet[[#All],[Kế hoạch lương gross]],0),
MATCH(I$117,Table_KeHoach_LuongNet[#Headers],0)) *
INDEX(#REF!,
MATCH("Tỷ lệ bảo hiểm với DN",#REF!,0),
MATCH("BHTN",#REF!,0)),
INDEX(#REF!,
MATCH("Lương tối đa",#REF!,0),
MATCH("BHTN",#REF!,0)) *
INDEX(#REF!,
MATCH("Tỷ lệ bảo hiểm với DN",#REF!,0),
MATCH("BHTN",#REF!,0)))</calculatedColumnFormula>
    </tableColumn>
    <tableColumn id="35" xr3:uid="{15395AAC-B928-47CE-B742-B4EF8F476198}" name="Tháng 7" dataDxfId="360" totalsRowDxfId="359">
      <calculatedColumnFormula>-
INDEX(Table_KeHoach_LuongNet[#All],
MATCH(Table_KeHoach_LuongGross[[#This Row],[Kế hoạch chi phí nhân sự]],Table_KeHoach_LuongNet[[#All],[Kế hoạch lương gross]],0),
MATCH(J$117,Table_KeHoach_LuongNet[#Headers],0))
-IF(
INDEX(Table_KeHoach_LuongNet[#All],
MATCH(Table_KeHoach_LuongGross[[#This Row],[Kế hoạch chi phí nhân sự]],Table_KeHoach_LuongNet[[#All],[Kế hoạch lương gross]],0),
MATCH(J$117,Table_KeHoach_LuongNet[#Headers],0))
 &lt; INDEX(#REF!,
MATCH("Lương tối đa",#REF!,0),
MATCH("BHXH",#REF!,0)),
INDEX(Table_KeHoach_LuongNet[#All],
MATCH(Table_KeHoach_LuongGross[[#This Row],[Kế hoạch chi phí nhân sự]],Table_KeHoach_LuongNet[[#All],[Kế hoạch lương gross]],0),
MATCH(J$117,Table_KeHoach_LuongNet[#Headers],0))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MATCH(J$117,Table_KeHoach_LuongNet[#Headers],0))
 &lt; INDEX(#REF!,
MATCH("Lương tối đa",#REF!,0),
MATCH("BHYT",#REF!,0)),
INDEX(Table_KeHoach_LuongNet[#All],
MATCH(Table_KeHoach_LuongGross[[#This Row],[Kế hoạch chi phí nhân sự]],Table_KeHoach_LuongNet[[#All],[Kế hoạch lương gross]],0),
MATCH(J$117,Table_KeHoach_LuongNet[#Headers],0))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MATCH(J$117,Table_KeHoach_LuongNet[#Headers],0))
 &lt; INDEX(#REF!,
MATCH("Lương tối đa",#REF!,0),
MATCH("BHTN",#REF!,0)),
INDEX(Table_KeHoach_LuongNet[#All],
MATCH(Table_KeHoach_LuongGross[[#This Row],[Kế hoạch chi phí nhân sự]],Table_KeHoach_LuongNet[[#All],[Kế hoạch lương gross]],0),
MATCH(J$117,Table_KeHoach_LuongNet[#Headers],0)) *
INDEX(#REF!,
MATCH("Tỷ lệ bảo hiểm với DN",#REF!,0),
MATCH("BHTN",#REF!,0)),
INDEX(#REF!,
MATCH("Lương tối đa",#REF!,0),
MATCH("BHTN",#REF!,0)) *
INDEX(#REF!,
MATCH("Tỷ lệ bảo hiểm với DN",#REF!,0),
MATCH("BHTN",#REF!,0)))</calculatedColumnFormula>
    </tableColumn>
    <tableColumn id="36" xr3:uid="{81FF2137-1BA7-4AE8-B8C0-29D2D9FB6360}" name="Tháng 8" dataDxfId="358" totalsRowDxfId="357">
      <calculatedColumnFormula>-
INDEX(Table_KeHoach_LuongNet[#All],
MATCH(Table_KeHoach_LuongGross[[#This Row],[Kế hoạch chi phí nhân sự]],Table_KeHoach_LuongNet[[#All],[Kế hoạch lương gross]],0),
MATCH(K$117,Table_KeHoach_LuongNet[#Headers],0))
-IF(
INDEX(Table_KeHoach_LuongNet[#All],
MATCH(Table_KeHoach_LuongGross[[#This Row],[Kế hoạch chi phí nhân sự]],Table_KeHoach_LuongNet[[#All],[Kế hoạch lương gross]],0),
MATCH(K$117,Table_KeHoach_LuongNet[#Headers],0))
 &lt; INDEX(#REF!,
MATCH("Lương tối đa",#REF!,0),
MATCH("BHXH",#REF!,0)),
INDEX(Table_KeHoach_LuongNet[#All],
MATCH(Table_KeHoach_LuongGross[[#This Row],[Kế hoạch chi phí nhân sự]],Table_KeHoach_LuongNet[[#All],[Kế hoạch lương gross]],0),
MATCH(K$117,Table_KeHoach_LuongNet[#Headers],0))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MATCH(K$117,Table_KeHoach_LuongNet[#Headers],0))
 &lt; INDEX(#REF!,
MATCH("Lương tối đa",#REF!,0),
MATCH("BHYT",#REF!,0)),
INDEX(Table_KeHoach_LuongNet[#All],
MATCH(Table_KeHoach_LuongGross[[#This Row],[Kế hoạch chi phí nhân sự]],Table_KeHoach_LuongNet[[#All],[Kế hoạch lương gross]],0),
MATCH(K$117,Table_KeHoach_LuongNet[#Headers],0))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MATCH(K$117,Table_KeHoach_LuongNet[#Headers],0))
 &lt; INDEX(#REF!,
MATCH("Lương tối đa",#REF!,0),
MATCH("BHTN",#REF!,0)),
INDEX(Table_KeHoach_LuongNet[#All],
MATCH(Table_KeHoach_LuongGross[[#This Row],[Kế hoạch chi phí nhân sự]],Table_KeHoach_LuongNet[[#All],[Kế hoạch lương gross]],0),
MATCH(K$117,Table_KeHoach_LuongNet[#Headers],0)) *
INDEX(#REF!,
MATCH("Tỷ lệ bảo hiểm với DN",#REF!,0),
MATCH("BHTN",#REF!,0)),
INDEX(#REF!,
MATCH("Lương tối đa",#REF!,0),
MATCH("BHTN",#REF!,0)) *
INDEX(#REF!,
MATCH("Tỷ lệ bảo hiểm với DN",#REF!,0),
MATCH("BHTN",#REF!,0)))</calculatedColumnFormula>
    </tableColumn>
    <tableColumn id="37" xr3:uid="{E242B3E5-8EE2-4684-B5A4-EC975FBCAD0D}" name="Tháng 9" dataDxfId="356" totalsRowDxfId="355">
      <calculatedColumnFormula>-
INDEX(Table_KeHoach_LuongNet[#All],
MATCH(Table_KeHoach_LuongGross[[#This Row],[Kế hoạch chi phí nhân sự]],Table_KeHoach_LuongNet[[#All],[Kế hoạch lương gross]],0),
MATCH(L$117,Table_KeHoach_LuongNet[#Headers],0))
-IF(
INDEX(Table_KeHoach_LuongNet[#All],
MATCH(Table_KeHoach_LuongGross[[#This Row],[Kế hoạch chi phí nhân sự]],Table_KeHoach_LuongNet[[#All],[Kế hoạch lương gross]],0),
MATCH(L$117,Table_KeHoach_LuongNet[#Headers],0))
 &lt; INDEX(#REF!,
MATCH("Lương tối đa",#REF!,0),
MATCH("BHXH",#REF!,0)),
INDEX(Table_KeHoach_LuongNet[#All],
MATCH(Table_KeHoach_LuongGross[[#This Row],[Kế hoạch chi phí nhân sự]],Table_KeHoach_LuongNet[[#All],[Kế hoạch lương gross]],0),
MATCH(L$117,Table_KeHoach_LuongNet[#Headers],0))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MATCH(L$117,Table_KeHoach_LuongNet[#Headers],0))
 &lt; INDEX(#REF!,
MATCH("Lương tối đa",#REF!,0),
MATCH("BHYT",#REF!,0)),
INDEX(Table_KeHoach_LuongNet[#All],
MATCH(Table_KeHoach_LuongGross[[#This Row],[Kế hoạch chi phí nhân sự]],Table_KeHoach_LuongNet[[#All],[Kế hoạch lương gross]],0),
MATCH(L$117,Table_KeHoach_LuongNet[#Headers],0))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MATCH(L$117,Table_KeHoach_LuongNet[#Headers],0))
 &lt; INDEX(#REF!,
MATCH("Lương tối đa",#REF!,0),
MATCH("BHTN",#REF!,0)),
INDEX(Table_KeHoach_LuongNet[#All],
MATCH(Table_KeHoach_LuongGross[[#This Row],[Kế hoạch chi phí nhân sự]],Table_KeHoach_LuongNet[[#All],[Kế hoạch lương gross]],0),
MATCH(L$117,Table_KeHoach_LuongNet[#Headers],0)) *
INDEX(#REF!,
MATCH("Tỷ lệ bảo hiểm với DN",#REF!,0),
MATCH("BHTN",#REF!,0)),
INDEX(#REF!,
MATCH("Lương tối đa",#REF!,0),
MATCH("BHTN",#REF!,0)) *
INDEX(#REF!,
MATCH("Tỷ lệ bảo hiểm với DN",#REF!,0),
MATCH("BHTN",#REF!,0)))</calculatedColumnFormula>
    </tableColumn>
    <tableColumn id="38" xr3:uid="{4A471B8A-96F3-4C18-B153-5501384DE608}" name="Tháng 10" dataDxfId="354" totalsRowDxfId="353">
      <calculatedColumnFormula>-
INDEX(Table_KeHoach_LuongNet[#All],
MATCH(Table_KeHoach_LuongGross[[#This Row],[Kế hoạch chi phí nhân sự]],Table_KeHoach_LuongNet[[#All],[Kế hoạch lương gross]],0),
MATCH(M$117,Table_KeHoach_LuongNet[#Headers],0))
-IF(
INDEX(Table_KeHoach_LuongNet[#All],
MATCH(Table_KeHoach_LuongGross[[#This Row],[Kế hoạch chi phí nhân sự]],Table_KeHoach_LuongNet[[#All],[Kế hoạch lương gross]],0),
MATCH(M$117,Table_KeHoach_LuongNet[#Headers],0))
 &lt; INDEX(#REF!,
MATCH("Lương tối đa",#REF!,0),
MATCH("BHXH",#REF!,0)),
INDEX(Table_KeHoach_LuongNet[#All],
MATCH(Table_KeHoach_LuongGross[[#This Row],[Kế hoạch chi phí nhân sự]],Table_KeHoach_LuongNet[[#All],[Kế hoạch lương gross]],0),
MATCH(M$117,Table_KeHoach_LuongNet[#Headers],0))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MATCH(M$117,Table_KeHoach_LuongNet[#Headers],0))
 &lt; INDEX(#REF!,
MATCH("Lương tối đa",#REF!,0),
MATCH("BHYT",#REF!,0)),
INDEX(Table_KeHoach_LuongNet[#All],
MATCH(Table_KeHoach_LuongGross[[#This Row],[Kế hoạch chi phí nhân sự]],Table_KeHoach_LuongNet[[#All],[Kế hoạch lương gross]],0),
MATCH(M$117,Table_KeHoach_LuongNet[#Headers],0))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MATCH(M$117,Table_KeHoach_LuongNet[#Headers],0))
 &lt; INDEX(#REF!,
MATCH("Lương tối đa",#REF!,0),
MATCH("BHTN",#REF!,0)),
INDEX(Table_KeHoach_LuongNet[#All],
MATCH(Table_KeHoach_LuongGross[[#This Row],[Kế hoạch chi phí nhân sự]],Table_KeHoach_LuongNet[[#All],[Kế hoạch lương gross]],0),
MATCH(M$117,Table_KeHoach_LuongNet[#Headers],0)) *
INDEX(#REF!,
MATCH("Tỷ lệ bảo hiểm với DN",#REF!,0),
MATCH("BHTN",#REF!,0)),
INDEX(#REF!,
MATCH("Lương tối đa",#REF!,0),
MATCH("BHTN",#REF!,0)) *
INDEX(#REF!,
MATCH("Tỷ lệ bảo hiểm với DN",#REF!,0),
MATCH("BHTN",#REF!,0)))</calculatedColumnFormula>
    </tableColumn>
    <tableColumn id="39" xr3:uid="{7033B668-BF4D-42C6-8569-E47101B12BC8}" name="Tháng 11" dataDxfId="352" totalsRowDxfId="351">
      <calculatedColumnFormula>-
INDEX(Table_KeHoach_LuongNet[#All],
MATCH(Table_KeHoach_LuongGross[[#This Row],[Kế hoạch chi phí nhân sự]],Table_KeHoach_LuongNet[[#All],[Kế hoạch lương gross]],0),
MATCH(N$117,Table_KeHoach_LuongNet[#Headers],0))
-IF(
INDEX(Table_KeHoach_LuongNet[#All],
MATCH(Table_KeHoach_LuongGross[[#This Row],[Kế hoạch chi phí nhân sự]],Table_KeHoach_LuongNet[[#All],[Kế hoạch lương gross]],0),
MATCH(N$117,Table_KeHoach_LuongNet[#Headers],0))
 &lt; INDEX(#REF!,
MATCH("Lương tối đa",#REF!,0),
MATCH("BHXH",#REF!,0)),
INDEX(Table_KeHoach_LuongNet[#All],
MATCH(Table_KeHoach_LuongGross[[#This Row],[Kế hoạch chi phí nhân sự]],Table_KeHoach_LuongNet[[#All],[Kế hoạch lương gross]],0),
MATCH(N$117,Table_KeHoach_LuongNet[#Headers],0))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MATCH(N$117,Table_KeHoach_LuongNet[#Headers],0))
 &lt; INDEX(#REF!,
MATCH("Lương tối đa",#REF!,0),
MATCH("BHYT",#REF!,0)),
INDEX(Table_KeHoach_LuongNet[#All],
MATCH(Table_KeHoach_LuongGross[[#This Row],[Kế hoạch chi phí nhân sự]],Table_KeHoach_LuongNet[[#All],[Kế hoạch lương gross]],0),
MATCH(N$117,Table_KeHoach_LuongNet[#Headers],0))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MATCH(N$117,Table_KeHoach_LuongNet[#Headers],0))
 &lt; INDEX(#REF!,
MATCH("Lương tối đa",#REF!,0),
MATCH("BHTN",#REF!,0)),
INDEX(Table_KeHoach_LuongNet[#All],
MATCH(Table_KeHoach_LuongGross[[#This Row],[Kế hoạch chi phí nhân sự]],Table_KeHoach_LuongNet[[#All],[Kế hoạch lương gross]],0),
MATCH(N$117,Table_KeHoach_LuongNet[#Headers],0)) *
INDEX(#REF!,
MATCH("Tỷ lệ bảo hiểm với DN",#REF!,0),
MATCH("BHTN",#REF!,0)),
INDEX(#REF!,
MATCH("Lương tối đa",#REF!,0),
MATCH("BHTN",#REF!,0)) *
INDEX(#REF!,
MATCH("Tỷ lệ bảo hiểm với DN",#REF!,0),
MATCH("BHTN",#REF!,0)))</calculatedColumnFormula>
    </tableColumn>
    <tableColumn id="40" xr3:uid="{A0BF1392-5881-4F1A-8B3E-2CFBA566D9AB}" name="Tháng 12" dataDxfId="350" totalsRowDxfId="349">
      <calculatedColumnFormula>-
INDEX(Table_KeHoach_LuongNet[#All],
MATCH(Table_KeHoach_LuongGross[[#This Row],[Kế hoạch chi phí nhân sự]],Table_KeHoach_LuongNet[[#All],[Kế hoạch lương gross]],0),
MATCH(O$117,Table_KeHoach_LuongNet[#Headers],0))
-IF(
INDEX(Table_KeHoach_LuongNet[#All],
MATCH(Table_KeHoach_LuongGross[[#This Row],[Kế hoạch chi phí nhân sự]],Table_KeHoach_LuongNet[[#All],[Kế hoạch lương gross]],0),
MATCH(O$117,Table_KeHoach_LuongNet[#Headers],0))
 &lt; INDEX(#REF!,
MATCH("Lương tối đa",#REF!,0),
MATCH("BHXH",#REF!,0)),
INDEX(Table_KeHoach_LuongNet[#All],
MATCH(Table_KeHoach_LuongGross[[#This Row],[Kế hoạch chi phí nhân sự]],Table_KeHoach_LuongNet[[#All],[Kế hoạch lương gross]],0),
MATCH(O$117,Table_KeHoach_LuongNet[#Headers],0))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MATCH(O$117,Table_KeHoach_LuongNet[#Headers],0))
 &lt; INDEX(#REF!,
MATCH("Lương tối đa",#REF!,0),
MATCH("BHYT",#REF!,0)),
INDEX(Table_KeHoach_LuongNet[#All],
MATCH(Table_KeHoach_LuongGross[[#This Row],[Kế hoạch chi phí nhân sự]],Table_KeHoach_LuongNet[[#All],[Kế hoạch lương gross]],0),
MATCH(O$117,Table_KeHoach_LuongNet[#Headers],0))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MATCH(O$117,Table_KeHoach_LuongNet[#Headers],0))
 &lt; INDEX(#REF!,
MATCH("Lương tối đa",#REF!,0),
MATCH("BHTN",#REF!,0)),
INDEX(Table_KeHoach_LuongNet[#All],
MATCH(Table_KeHoach_LuongGross[[#This Row],[Kế hoạch chi phí nhân sự]],Table_KeHoach_LuongNet[[#All],[Kế hoạch lương gross]],0),
MATCH(O$117,Table_KeHoach_LuongNet[#Headers],0)) *
INDEX(#REF!,
MATCH("Tỷ lệ bảo hiểm với DN",#REF!,0),
MATCH("BHTN",#REF!,0)),
INDEX(#REF!,
MATCH("Lương tối đa",#REF!,0),
MATCH("BHTN",#REF!,0)) *
INDEX(#REF!,
MATCH("Tỷ lệ bảo hiểm với DN",#REF!,0),
MATCH("BHTN",#REF!,0)))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21:O122" totalsRowShown="0" headerRowDxfId="348" dataDxfId="347" totalsRowDxfId="346">
  <autoFilter ref="B121:O122" xr:uid="{51C1DF05-35B2-4BFD-8DF4-9018A45F6CC9}"/>
  <tableColumns count="14">
    <tableColumn id="1" xr3:uid="{DE902550-E20E-4920-9A1F-69869534EED6}" name="Kế hoạch thưởng KPI" dataDxfId="345" totalsRowDxfId="344"/>
    <tableColumn id="3" xr3:uid="{23B56988-FA74-49DE-860C-652B89832633}" name="Column1" dataDxfId="343" totalsRowDxfId="342"/>
    <tableColumn id="29" xr3:uid="{218C951F-2A25-4221-8C6F-BC60515EF8B8}" name="Tháng 1" dataDxfId="341" totalsRowDxfId="340"/>
    <tableColumn id="30" xr3:uid="{79562E96-A57B-4C97-B581-1FC0ECDC0E76}" name="Tháng 2" dataDxfId="339" totalsRowDxfId="338"/>
    <tableColumn id="31" xr3:uid="{0A4730AF-73B6-4A07-958A-C8FF52EC6A41}" name="Tháng 3" dataDxfId="337" totalsRowDxfId="336"/>
    <tableColumn id="32" xr3:uid="{F0F88703-DBDC-407F-8F7E-4483AECA0242}" name="Tháng 4" dataDxfId="335" totalsRowDxfId="334"/>
    <tableColumn id="33" xr3:uid="{D10E704C-0465-4AE8-BCD8-36942ABB8208}" name="Tháng 5" dataDxfId="333" totalsRowDxfId="332"/>
    <tableColumn id="34" xr3:uid="{D8F6CCAA-AFE4-4EC1-AE0D-510FB5B92FB5}" name="Tháng 6" dataDxfId="331" totalsRowDxfId="330"/>
    <tableColumn id="35" xr3:uid="{678187C6-1705-4738-B037-28706C93C220}" name="Tháng 7" dataDxfId="329" totalsRowDxfId="328"/>
    <tableColumn id="36" xr3:uid="{D79FF401-459B-4FD8-8631-FD8F00B21CE3}" name="Tháng 8" dataDxfId="327" totalsRowDxfId="326"/>
    <tableColumn id="37" xr3:uid="{36801A4E-98B6-4028-8EBF-B03919843482}" name="Tháng 9" dataDxfId="325" totalsRowDxfId="324"/>
    <tableColumn id="38" xr3:uid="{30753DC8-004B-477F-B388-CBD4F9EF4ECE}" name="Tháng 10" dataDxfId="323" totalsRowDxfId="322"/>
    <tableColumn id="39" xr3:uid="{638B4AF6-6F7F-43EC-A0CE-20762E3E036D}" name="Tháng 11" dataDxfId="321" totalsRowDxfId="320"/>
    <tableColumn id="40" xr3:uid="{2C7C1BC1-E77A-4FA3-9C3B-873B2BA91660}" name="Tháng 12" dataDxfId="319" totalsRowDxfId="318"/>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84:O85" totalsRowShown="0" headerRowDxfId="317" dataDxfId="316" totalsRowDxfId="315">
  <autoFilter ref="B84:O85" xr:uid="{65310F32-2FD4-490F-884B-1AA81C582DF4}"/>
  <tableColumns count="14">
    <tableColumn id="1" xr3:uid="{BE423CEE-B6E7-4111-8870-82E3FE033021}" name="Kế hoạch chi phí vật tư &amp; tiện ích văn phòng" dataDxfId="314" totalsRowDxfId="313"/>
    <tableColumn id="3" xr3:uid="{EBB8A3FA-398D-4A82-9B88-93A338431418}" name="Column1" dataDxfId="312" totalsRowDxfId="311"/>
    <tableColumn id="29" xr3:uid="{18458E08-BB69-483A-BFF6-CC58414AD0D7}" name="Tháng 1" dataDxfId="310"/>
    <tableColumn id="30" xr3:uid="{7FD75624-7DC6-49A7-8E05-A71039153BF1}" name="Tháng 2" dataDxfId="309"/>
    <tableColumn id="31" xr3:uid="{42CB0602-6C2C-429F-9B84-98C757C5C5E4}" name="Tháng 3" dataDxfId="308"/>
    <tableColumn id="32" xr3:uid="{01087BC2-EBDB-4095-8A4A-732B0A6FE87E}" name="Tháng 4" dataDxfId="307"/>
    <tableColumn id="33" xr3:uid="{304B7945-3140-472A-AD9E-868515C0D16C}" name="Tháng 5" dataDxfId="306"/>
    <tableColumn id="34" xr3:uid="{3261FDF8-4E8D-44A5-9B23-D773F0C7B65B}" name="Tháng 6" dataDxfId="305"/>
    <tableColumn id="35" xr3:uid="{C2668BA7-C9F7-4559-90D2-274692CC68BA}" name="Tháng 7" dataDxfId="304"/>
    <tableColumn id="36" xr3:uid="{B8B3836E-E188-4747-8152-C6E22B15EA27}" name="Tháng 8" dataDxfId="303"/>
    <tableColumn id="37" xr3:uid="{4124E7A8-F80D-4B28-A7AF-3D2F53163B04}" name="Tháng 9" dataDxfId="302"/>
    <tableColumn id="38" xr3:uid="{4E61618F-7E56-433A-9F3D-A7BEF1423B52}" name="Tháng 10" dataDxfId="301"/>
    <tableColumn id="39" xr3:uid="{42F0304F-0136-47F5-A156-67D1C6D5A0F8}" name="Tháng 11" dataDxfId="300"/>
    <tableColumn id="40" xr3:uid="{32AC9F09-DE67-48F6-8C67-9DC92EE4D4CC}" name="Tháng 12" dataDxfId="299"/>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25:O128" totalsRowShown="0" headerRowDxfId="298" dataDxfId="297" totalsRowDxfId="296">
  <autoFilter ref="B125:O128" xr:uid="{3D0FA759-8479-488D-839B-1BE0075A8A6C}"/>
  <tableColumns count="14">
    <tableColumn id="1" xr3:uid="{A3A5B59D-65BE-4BDD-8D15-A6692B89122C}" name="Kế hoạch ngân sách" dataDxfId="295" totalsRowDxfId="294"/>
    <tableColumn id="3" xr3:uid="{9A361F38-A974-4042-8B26-AC09A6AC678E}" name="Column1" dataDxfId="293"/>
    <tableColumn id="29" xr3:uid="{814D5643-16CD-47F4-A1E0-208A06B8A9D3}" name="Tháng 1" dataDxfId="292" totalsRowDxfId="291"/>
    <tableColumn id="30" xr3:uid="{7A393414-42CB-443D-9D95-3533718E1A1D}" name="Tháng 2" dataDxfId="290" totalsRowDxfId="289"/>
    <tableColumn id="31" xr3:uid="{1547A942-2141-4B1A-981E-FAFA34800349}" name="Tháng 3" dataDxfId="288" totalsRowDxfId="287"/>
    <tableColumn id="32" xr3:uid="{4BA2A346-C5A9-4F66-B866-D24B20A9F657}" name="Tháng 4" dataDxfId="286" totalsRowDxfId="285"/>
    <tableColumn id="33" xr3:uid="{72D605EF-2B61-4603-BCEA-EDBA2E24899C}" name="Tháng 5" dataDxfId="284" totalsRowDxfId="283"/>
    <tableColumn id="34" xr3:uid="{D875344A-BA11-4CC1-BB3B-8739F71AC936}" name="Tháng 6" dataDxfId="282" totalsRowDxfId="281"/>
    <tableColumn id="35" xr3:uid="{8B9B1D70-3FB2-4F52-B888-826982A5B247}" name="Tháng 7" dataDxfId="280" totalsRowDxfId="279"/>
    <tableColumn id="36" xr3:uid="{0B8202AD-3A51-404D-9F3F-05D009961822}" name="Tháng 8" dataDxfId="278" totalsRowDxfId="277"/>
    <tableColumn id="37" xr3:uid="{C122372F-CA84-4684-9337-528B16AB5609}" name="Tháng 9" dataDxfId="276" totalsRowDxfId="275"/>
    <tableColumn id="38" xr3:uid="{62E64D4F-8F5D-45B9-B48B-B5ADDCB026D3}" name="Tháng 10" dataDxfId="274" totalsRowDxfId="273"/>
    <tableColumn id="39" xr3:uid="{ECACEED0-E3A6-411F-9422-7CEA08BA2E8D}" name="Tháng 11" dataDxfId="272" totalsRowDxfId="271"/>
    <tableColumn id="40" xr3:uid="{9697E292-6880-42E7-A8AE-EE172DE9F15A}" name="Tháng 12" dataDxfId="270" totalsRowDxfId="269"/>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36:O139" totalsRowShown="0" headerRowDxfId="268" dataDxfId="267">
  <autoFilter ref="B136:O139" xr:uid="{97E71E07-08C3-4D75-87B9-575C55B5318E}"/>
  <tableColumns count="14">
    <tableColumn id="1" xr3:uid="{8C61939D-D1D3-4AA6-B8EC-9BF9733718F4}" name="Lịch khấu hao &amp; lãi vay" dataDxfId="266" totalsRowDxfId="265"/>
    <tableColumn id="3" xr3:uid="{EDAC3FF8-E543-464D-9B08-967E5E55A4FA}" name="Tham chiếu" dataDxfId="264"/>
    <tableColumn id="29" xr3:uid="{B71573E4-B697-46AB-9AAD-919DBC8C2FE4}" name="Tháng 1" dataDxfId="263"/>
    <tableColumn id="30" xr3:uid="{BB6EF50D-0D28-463F-A546-0322F2AA023F}" name="Tháng 2" dataDxfId="262"/>
    <tableColumn id="31" xr3:uid="{BEEDA225-F934-4EC8-A044-EF51D67FFEA6}" name="Tháng 3" dataDxfId="261"/>
    <tableColumn id="32" xr3:uid="{B6239208-B5A0-4BB3-876A-5D5156EDB6DD}" name="Tháng 4" dataDxfId="260"/>
    <tableColumn id="33" xr3:uid="{7E493B9B-A5A9-4C91-9CC4-83B34E29EE50}" name="Tháng 5" dataDxfId="259"/>
    <tableColumn id="34" xr3:uid="{37ACC2D8-4DEE-4789-AFB8-5D6B17420595}" name="Tháng 6" dataDxfId="258"/>
    <tableColumn id="35" xr3:uid="{C38990B5-9F3B-4DB4-9798-79782F699076}" name="Tháng 7" dataDxfId="257"/>
    <tableColumn id="36" xr3:uid="{11218192-6632-468B-9EE7-26F36E3398AE}" name="Tháng 8" dataDxfId="256"/>
    <tableColumn id="37" xr3:uid="{CFC4D188-33E2-4A7B-A9BD-E10A0C069D17}" name="Tháng 9" dataDxfId="255"/>
    <tableColumn id="38" xr3:uid="{98901CFD-0E90-426A-B1AE-8391DAC8D976}" name="Tháng 10" dataDxfId="254"/>
    <tableColumn id="39" xr3:uid="{1F566442-3E89-4C65-9077-775BF6EF3FB6}" name="Tháng 11" dataDxfId="253"/>
    <tableColumn id="40" xr3:uid="{58E047CC-369A-45E9-970B-69863F3C0B10}" name="Tháng 12" dataDxfId="252"/>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31:O133" totalsRowShown="0" headerRowDxfId="251" dataDxfId="250" totalsRowDxfId="249">
  <autoFilter ref="B131:O133" xr:uid="{9E645D46-1A44-4F2B-8728-BC01BC6E8461}"/>
  <tableColumns count="14">
    <tableColumn id="1" xr3:uid="{5AA33CFF-2395-41B5-BF4C-27903568360B}" name="Kế hoạch ngân sách" dataDxfId="248" totalsRowDxfId="247"/>
    <tableColumn id="3" xr3:uid="{DAE9A5E1-2CB3-4173-B33F-044FDCA10A62}" name="Column1" dataDxfId="246" totalsRowDxfId="245"/>
    <tableColumn id="29" xr3:uid="{89D89AB7-BC0F-4F78-B5ED-5E36151E42EB}" name="Tháng 1" dataDxfId="244" totalsRowDxfId="243"/>
    <tableColumn id="30" xr3:uid="{34C4D473-7E36-46F9-9EBA-E56D5FD0E172}" name="Tháng 2" dataDxfId="242" totalsRowDxfId="241"/>
    <tableColumn id="31" xr3:uid="{20ECC82F-669A-4503-8155-4E0BD0CD521E}" name="Tháng 3" dataDxfId="240" totalsRowDxfId="239"/>
    <tableColumn id="32" xr3:uid="{D7DF4C08-EF0D-459E-A993-EC17AB53D1BF}" name="Tháng 4" dataDxfId="238" totalsRowDxfId="237"/>
    <tableColumn id="33" xr3:uid="{508CE090-5BF6-43D6-9AA3-7D2F39531309}" name="Tháng 5" dataDxfId="236" totalsRowDxfId="235"/>
    <tableColumn id="34" xr3:uid="{6E7DB939-A67C-4B62-A246-94DEF021C7FA}" name="Tháng 6" dataDxfId="234" totalsRowDxfId="233"/>
    <tableColumn id="35" xr3:uid="{E8F31322-4527-4EB4-8EBD-8E8CFD5F5E16}" name="Tháng 7" dataDxfId="232" totalsRowDxfId="231"/>
    <tableColumn id="36" xr3:uid="{749398F3-9AB9-41DA-86BA-A41AB260C8A0}" name="Tháng 8" dataDxfId="230" totalsRowDxfId="229"/>
    <tableColumn id="37" xr3:uid="{679E67DA-BE73-4F1E-904E-D4BAB51D59D2}" name="Tháng 9" dataDxfId="228" totalsRowDxfId="227"/>
    <tableColumn id="38" xr3:uid="{C8B5B370-BD7A-42F4-ACA7-19D7B1064E9D}" name="Tháng 10" dataDxfId="226" totalsRowDxfId="225"/>
    <tableColumn id="39" xr3:uid="{00FB2879-3329-4378-ACCB-05253AA210A9}" name="Tháng 11" dataDxfId="224" totalsRowDxfId="223"/>
    <tableColumn id="40" xr3:uid="{EF5EC11B-262C-449B-BCD4-40B6D08C6A4E}" name="Tháng 12" dataDxfId="222" totalsRowDxfId="221"/>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76:O77" totalsRowShown="0" headerRowDxfId="220" dataDxfId="219">
  <autoFilter ref="B76:O77" xr:uid="{90CB3F43-228B-42C8-8033-82A9C464218A}"/>
  <tableColumns count="14">
    <tableColumn id="1" xr3:uid="{3372742A-D250-4646-8967-F0313A30B44F}" name="Kế hoạch chi phí nguyên liệu, vật tư" dataDxfId="218" totalsRowDxfId="217"/>
    <tableColumn id="3" xr3:uid="{44871731-2E3E-470C-8662-4B271913AE86}" name="Column1" dataDxfId="216" totalsRowDxfId="215"/>
    <tableColumn id="27" xr3:uid="{8ED96F53-513C-4E33-A5C5-182322C75381}" name="Tháng 1" dataDxfId="214"/>
    <tableColumn id="28" xr3:uid="{EB268450-C92C-4EF4-B250-D1327E4DB0DD}" name="Tháng 2" dataDxfId="213"/>
    <tableColumn id="29" xr3:uid="{9F8929A2-D8E6-4D5D-85C6-982E5C57DFB2}" name="Tháng 3" dataDxfId="212"/>
    <tableColumn id="30" xr3:uid="{3B0680D1-6885-4501-8FDB-F1318F6CB0D8}" name="Tháng 4" dataDxfId="211"/>
    <tableColumn id="31" xr3:uid="{BBAA5574-2400-46B0-9AF9-20B2BFDBD9DF}" name="Tháng 5" dataDxfId="210"/>
    <tableColumn id="32" xr3:uid="{25BFBF1C-5AF4-49AE-8773-D775BD10541C}" name="Tháng 6" dataDxfId="209"/>
    <tableColumn id="33" xr3:uid="{9DD9B0AB-9ADC-404B-A15A-150336570D6B}" name="Tháng 7" dataDxfId="208"/>
    <tableColumn id="34" xr3:uid="{DB26B895-DA94-430D-B8B1-C4810F234A02}" name="Tháng 8" dataDxfId="207"/>
    <tableColumn id="35" xr3:uid="{B41AAD7F-0471-425C-9C94-E0F57D8A3FD4}" name="Tháng 9" dataDxfId="206"/>
    <tableColumn id="36" xr3:uid="{3C7456A8-64D5-4793-A017-A86820EA5328}" name="Tháng 10" dataDxfId="205"/>
    <tableColumn id="37" xr3:uid="{4A752FBB-A857-49FA-9DFF-0746C4B7C7B3}" name="Tháng 11" dataDxfId="204"/>
    <tableColumn id="38" xr3:uid="{25FB919C-492A-46B1-B521-987406C79B89}" name="Tháng 12" dataDxfId="203"/>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0:O81" totalsRowShown="0" headerRowDxfId="202" dataDxfId="201">
  <autoFilter ref="B80:O81" xr:uid="{221B0537-5FEB-4DED-A19F-3E6B77DA9996}"/>
  <tableColumns count="14">
    <tableColumn id="1" xr3:uid="{17A55D1D-8A7F-46C4-A78E-E6D88609A0ED}" name="Kế hoạch chi phí tiện ích sản xuất" dataDxfId="200" totalsRowDxfId="199"/>
    <tableColumn id="3" xr3:uid="{03133537-8970-47C4-9CB1-F57A233D5355}" name="Column1" dataDxfId="198" totalsRowDxfId="197"/>
    <tableColumn id="27" xr3:uid="{0E5F53FE-DD99-49BB-956B-C5B039632FC3}" name="Tháng 1" dataDxfId="196"/>
    <tableColumn id="28" xr3:uid="{408F329E-A3BD-4780-A836-586D06F3F5F6}" name="Tháng 2" dataDxfId="195"/>
    <tableColumn id="29" xr3:uid="{93B60ABC-5251-432D-8B09-2C62360426B9}" name="Tháng 3" dataDxfId="194"/>
    <tableColumn id="30" xr3:uid="{8CA584FC-B8D9-4903-8138-100091B50430}" name="Tháng 4" dataDxfId="193"/>
    <tableColumn id="31" xr3:uid="{D7148F32-51F6-407D-BA56-EEF0BAAFF045}" name="Tháng 5" dataDxfId="192"/>
    <tableColumn id="32" xr3:uid="{E4B3771C-3F5D-4E1B-B8C5-F0AB7A779F31}" name="Tháng 6" dataDxfId="191"/>
    <tableColumn id="33" xr3:uid="{BB5112F1-DF2B-46EF-A759-0B8526A16202}" name="Tháng 7" dataDxfId="190"/>
    <tableColumn id="34" xr3:uid="{53491907-D6B4-44B1-B631-825C9AB3EAC9}" name="Tháng 8" dataDxfId="189"/>
    <tableColumn id="35" xr3:uid="{DBD3DFBF-CB4A-4279-B26F-2294BD4221B8}" name="Tháng 9" dataDxfId="188"/>
    <tableColumn id="36" xr3:uid="{99835027-2C0C-4E07-8D04-B5AEE2FCAED3}" name="Tháng 10" dataDxfId="187"/>
    <tableColumn id="37" xr3:uid="{E54489E3-CF50-4AF1-8114-420E4169CF1C}" name="Tháng 11" dataDxfId="186"/>
    <tableColumn id="38" xr3:uid="{81D93D54-7809-486C-8C6D-B20D35EC3603}" name="Tháng 12" dataDxfId="185"/>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96:O97" totalsRowShown="0" headerRowDxfId="184" dataDxfId="183">
  <autoFilter ref="B96:O97" xr:uid="{6F4378BF-C48C-4BF7-978E-B05133837A9C}"/>
  <tableColumns count="14">
    <tableColumn id="1" xr3:uid="{0AB704CD-6E77-4A19-8A14-44B491ED44A9}" name="Kế hoạch tỷ lệ CK thanh toán" dataDxfId="182"/>
    <tableColumn id="3" xr3:uid="{2D2F2141-648C-44C4-A38F-63B74B7ADD09}" name="Column1" dataDxfId="181"/>
    <tableColumn id="27" xr3:uid="{8572BB42-B998-4847-BD79-619E9E413158}" name="Tháng 1" dataDxfId="180"/>
    <tableColumn id="28" xr3:uid="{84EE1221-DEC1-4F70-9345-67F537D90FF1}" name="Tháng 2" dataDxfId="179"/>
    <tableColumn id="29" xr3:uid="{529C4CF1-0CD0-4188-9775-240208D63558}" name="Tháng 3" dataDxfId="178"/>
    <tableColumn id="30" xr3:uid="{388C03E3-701B-43CD-98FF-FB59C839699F}" name="Tháng 4" dataDxfId="177"/>
    <tableColumn id="31" xr3:uid="{A27FB24F-7DB3-45CA-9BB7-26DE3660DD4A}" name="Tháng 5" dataDxfId="176"/>
    <tableColumn id="32" xr3:uid="{CDFB964C-256B-4671-9E9A-6736F6E35215}" name="Tháng 6" dataDxfId="175"/>
    <tableColumn id="33" xr3:uid="{9F5978D1-9D0F-435B-B981-77F26AB879EC}" name="Tháng 7" dataDxfId="174"/>
    <tableColumn id="34" xr3:uid="{9C76757D-0A13-4B88-A3E0-8FB691A90FD6}" name="Tháng 8" dataDxfId="173"/>
    <tableColumn id="35" xr3:uid="{42FBE347-EDDD-4577-A72B-093288F992EA}" name="Tháng 9" dataDxfId="172"/>
    <tableColumn id="36" xr3:uid="{C10786ED-D15A-4048-B931-CE8FE052E0BB}" name="Tháng 10" dataDxfId="171"/>
    <tableColumn id="37" xr3:uid="{E0E1F05E-4DF9-48A2-A327-71B98B576B04}" name="Tháng 11" dataDxfId="170"/>
    <tableColumn id="38" xr3:uid="{1B2BC369-8B67-4EA4-B6B1-78066DCB5241}" name="Tháng 12" dataDxfId="169"/>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00:O101" totalsRowShown="0" headerRowDxfId="168" dataDxfId="167">
  <autoFilter ref="B100:O101" xr:uid="{4DB4E945-1A05-4874-A72A-EEAF59322C13}"/>
  <tableColumns count="14">
    <tableColumn id="1" xr3:uid="{EBB5E7C6-D939-4589-8704-A0CFFC685DB4}" name="Kế hoạch tỷ trọng doanh thu" dataDxfId="166"/>
    <tableColumn id="3" xr3:uid="{F510D5AB-1223-433A-9DD7-BB949C5603C7}" name="Column1" dataDxfId="165"/>
    <tableColumn id="27" xr3:uid="{DFF02D24-4281-4ED6-A6C5-733B4AECC52A}" name="Tháng 1" dataDxfId="164"/>
    <tableColumn id="28" xr3:uid="{AC15DDAC-1488-496D-A1FD-755A17C1765C}" name="Tháng 2" dataDxfId="163"/>
    <tableColumn id="29" xr3:uid="{8F89C81C-9306-4476-9065-1C9055D23101}" name="Tháng 3" dataDxfId="162"/>
    <tableColumn id="30" xr3:uid="{FB51BEB5-3EBC-4225-AFA9-1582A2D0E694}" name="Tháng 4" dataDxfId="161"/>
    <tableColumn id="31" xr3:uid="{D59A1D80-6E2A-4F74-B9B2-3CB8EE5D48AC}" name="Tháng 5" dataDxfId="160"/>
    <tableColumn id="32" xr3:uid="{B5BA3823-4DA6-4052-877C-67FB19C2D153}" name="Tháng 6" dataDxfId="159"/>
    <tableColumn id="33" xr3:uid="{87A57697-B2D6-4D67-AF6D-87B1A2F2031D}" name="Tháng 7" dataDxfId="158"/>
    <tableColumn id="34" xr3:uid="{52576BFB-2F7A-44B4-BE29-972875199C82}" name="Tháng 8" dataDxfId="157"/>
    <tableColumn id="35" xr3:uid="{60667DE0-46F3-41A5-B737-276C5E83E46B}" name="Tháng 9" dataDxfId="156"/>
    <tableColumn id="36" xr3:uid="{79D79A59-26BF-4C3B-BAB3-FCDB2B9DBFA0}" name="Tháng 10" dataDxfId="155"/>
    <tableColumn id="37" xr3:uid="{EE95E868-2995-43EE-8E53-035105D694A9}" name="Tháng 11" dataDxfId="154"/>
    <tableColumn id="38" xr3:uid="{1C4C6182-AF5E-42F6-A7FF-40D2E44EBD89}" name="Tháng 12" dataDxfId="153"/>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04:O105" totalsRowShown="0" headerRowDxfId="152" dataDxfId="151">
  <autoFilter ref="B104:O105" xr:uid="{4E79D7EF-FE20-446B-8CC3-46D2CC3EA444}"/>
  <tableColumns count="14">
    <tableColumn id="1" xr3:uid="{26A35DC7-8E8B-45E3-BB3A-C37DFD8EE114}" name="Kế hoạch chi phí thanh toán" dataDxfId="150" totalsRowDxfId="149"/>
    <tableColumn id="3" xr3:uid="{57AF8CD3-7273-4172-8B35-08BB4E2A0CEF}" name="Column1" dataDxfId="148" totalsRowDxfId="147"/>
    <tableColumn id="27" xr3:uid="{86C37662-7BBE-4106-9E4A-7220856970C4}" name="Tháng 1" dataDxfId="146" totalsRowDxfId="145">
      <calculatedColumnFormula>-
INDEX(Table_KeHoach_DoanhThuTaiKhoan[#All],
MATCH(Table_KeHoach_ChiPhiThanhToan[[#This Row],[Kế hoạch chi phí thanh toán]],Table_KeHoach_DoanhThuTaiKhoan[[#All],[Kế hoạch tỷ trọng doanh thu]],0),
MATCH(D$104,Table_KeHoach_DoanhThuTaiKhoan[#Headers],0)) *
INDEX(Table_KeHoach_ChietKhauThanToan[#All],
MATCH(Table_KeHoach_ChiPhiThanhToan[[#This Row],[Kế hoạch chi phí thanh toán]],Table_KeHoach_ChietKhauThanToan[[#All],[Kế hoạch tỷ lệ CK thanh toán]],0),
MATCH(D$104,Table_KeHoach_ChietKhauThanToan[#Headers],0)) *
HLOOKUP(D$104,Table_KeHoach_DoanhThu[#All],COUNTA(Table_KeHoach_DoanhThu[[#All],[Kế hoạch doanh thu]]),0)</calculatedColumnFormula>
    </tableColumn>
    <tableColumn id="28" xr3:uid="{3C1FD459-BE52-476C-A231-93612BDC781D}" name="Tháng 2" dataDxfId="144" totalsRowDxfId="143">
      <calculatedColumnFormula>-
INDEX(Table_KeHoach_DoanhThuTaiKhoan[#All],
MATCH(Table_KeHoach_ChiPhiThanhToan[[#This Row],[Kế hoạch chi phí thanh toán]],Table_KeHoach_DoanhThuTaiKhoan[[#All],[Kế hoạch tỷ trọng doanh thu]],0),
MATCH(E$104,Table_KeHoach_DoanhThuTaiKhoan[#Headers],0)) *
INDEX(Table_KeHoach_ChietKhauThanToan[#All],
MATCH(Table_KeHoach_ChiPhiThanhToan[[#This Row],[Kế hoạch chi phí thanh toán]],Table_KeHoach_ChietKhauThanToan[[#All],[Kế hoạch tỷ lệ CK thanh toán]],0),
MATCH(E$104,Table_KeHoach_ChietKhauThanToan[#Headers],0)) *
HLOOKUP(E$104,Table_KeHoach_DoanhThu[#All],COUNTA(Table_KeHoach_DoanhThu[[#All],[Kế hoạch doanh thu]]),0)</calculatedColumnFormula>
    </tableColumn>
    <tableColumn id="29" xr3:uid="{44E99AC0-CE1E-4FEA-B1EC-56FE319B7BDB}" name="Tháng 3" dataDxfId="142" totalsRowDxfId="141">
      <calculatedColumnFormula>-
INDEX(Table_KeHoach_DoanhThuTaiKhoan[#All],
MATCH(Table_KeHoach_ChiPhiThanhToan[[#This Row],[Kế hoạch chi phí thanh toán]],Table_KeHoach_DoanhThuTaiKhoan[[#All],[Kế hoạch tỷ trọng doanh thu]],0),
MATCH(F$104,Table_KeHoach_DoanhThuTaiKhoan[#Headers],0)) *
INDEX(Table_KeHoach_ChietKhauThanToan[#All],
MATCH(Table_KeHoach_ChiPhiThanhToan[[#This Row],[Kế hoạch chi phí thanh toán]],Table_KeHoach_ChietKhauThanToan[[#All],[Kế hoạch tỷ lệ CK thanh toán]],0),
MATCH(F$104,Table_KeHoach_ChietKhauThanToan[#Headers],0)) *
HLOOKUP(F$104,Table_KeHoach_DoanhThu[#All],COUNTA(Table_KeHoach_DoanhThu[[#All],[Kế hoạch doanh thu]]),0)</calculatedColumnFormula>
    </tableColumn>
    <tableColumn id="30" xr3:uid="{96C0360B-2A89-485D-AF92-3B6FF178430A}" name="Tháng 4" dataDxfId="140" totalsRowDxfId="139">
      <calculatedColumnFormula>-
INDEX(Table_KeHoach_DoanhThuTaiKhoan[#All],
MATCH(Table_KeHoach_ChiPhiThanhToan[[#This Row],[Kế hoạch chi phí thanh toán]],Table_KeHoach_DoanhThuTaiKhoan[[#All],[Kế hoạch tỷ trọng doanh thu]],0),
MATCH(G$104,Table_KeHoach_DoanhThuTaiKhoan[#Headers],0)) *
INDEX(Table_KeHoach_ChietKhauThanToan[#All],
MATCH(Table_KeHoach_ChiPhiThanhToan[[#This Row],[Kế hoạch chi phí thanh toán]],Table_KeHoach_ChietKhauThanToan[[#All],[Kế hoạch tỷ lệ CK thanh toán]],0),
MATCH(G$104,Table_KeHoach_ChietKhauThanToan[#Headers],0)) *
HLOOKUP(G$104,Table_KeHoach_DoanhThu[#All],COUNTA(Table_KeHoach_DoanhThu[[#All],[Kế hoạch doanh thu]]),0)</calculatedColumnFormula>
    </tableColumn>
    <tableColumn id="31" xr3:uid="{42586720-5824-4FE3-A8DF-B80FDE5EF3D4}" name="Tháng 5" dataDxfId="138" totalsRowDxfId="137">
      <calculatedColumnFormula>-
INDEX(Table_KeHoach_DoanhThuTaiKhoan[#All],
MATCH(Table_KeHoach_ChiPhiThanhToan[[#This Row],[Kế hoạch chi phí thanh toán]],Table_KeHoach_DoanhThuTaiKhoan[[#All],[Kế hoạch tỷ trọng doanh thu]],0),
MATCH(H$104,Table_KeHoach_DoanhThuTaiKhoan[#Headers],0)) *
INDEX(Table_KeHoach_ChietKhauThanToan[#All],
MATCH(Table_KeHoach_ChiPhiThanhToan[[#This Row],[Kế hoạch chi phí thanh toán]],Table_KeHoach_ChietKhauThanToan[[#All],[Kế hoạch tỷ lệ CK thanh toán]],0),
MATCH(H$104,Table_KeHoach_ChietKhauThanToan[#Headers],0)) *
HLOOKUP(H$104,Table_KeHoach_DoanhThu[#All],COUNTA(Table_KeHoach_DoanhThu[[#All],[Kế hoạch doanh thu]]),0)</calculatedColumnFormula>
    </tableColumn>
    <tableColumn id="32" xr3:uid="{07F0297E-062C-4051-8E96-4FA401FF61A4}" name="Tháng 6" dataDxfId="136" totalsRowDxfId="135">
      <calculatedColumnFormula>-
INDEX(Table_KeHoach_DoanhThuTaiKhoan[#All],
MATCH(Table_KeHoach_ChiPhiThanhToan[[#This Row],[Kế hoạch chi phí thanh toán]],Table_KeHoach_DoanhThuTaiKhoan[[#All],[Kế hoạch tỷ trọng doanh thu]],0),
MATCH(I$104,Table_KeHoach_DoanhThuTaiKhoan[#Headers],0)) *
INDEX(Table_KeHoach_ChietKhauThanToan[#All],
MATCH(Table_KeHoach_ChiPhiThanhToan[[#This Row],[Kế hoạch chi phí thanh toán]],Table_KeHoach_ChietKhauThanToan[[#All],[Kế hoạch tỷ lệ CK thanh toán]],0),
MATCH(I$104,Table_KeHoach_ChietKhauThanToan[#Headers],0)) *
HLOOKUP(I$104,Table_KeHoach_DoanhThu[#All],COUNTA(Table_KeHoach_DoanhThu[[#All],[Kế hoạch doanh thu]]),0)</calculatedColumnFormula>
    </tableColumn>
    <tableColumn id="33" xr3:uid="{B905C123-8F78-469A-881C-7FF04EC6AA39}" name="Tháng 7" dataDxfId="134" totalsRowDxfId="133">
      <calculatedColumnFormula>-
INDEX(Table_KeHoach_DoanhThuTaiKhoan[#All],
MATCH(Table_KeHoach_ChiPhiThanhToan[[#This Row],[Kế hoạch chi phí thanh toán]],Table_KeHoach_DoanhThuTaiKhoan[[#All],[Kế hoạch tỷ trọng doanh thu]],0),
MATCH(J$104,Table_KeHoach_DoanhThuTaiKhoan[#Headers],0)) *
INDEX(Table_KeHoach_ChietKhauThanToan[#All],
MATCH(Table_KeHoach_ChiPhiThanhToan[[#This Row],[Kế hoạch chi phí thanh toán]],Table_KeHoach_ChietKhauThanToan[[#All],[Kế hoạch tỷ lệ CK thanh toán]],0),
MATCH(J$104,Table_KeHoach_ChietKhauThanToan[#Headers],0)) *
HLOOKUP(J$104,Table_KeHoach_DoanhThu[#All],COUNTA(Table_KeHoach_DoanhThu[[#All],[Kế hoạch doanh thu]]),0)</calculatedColumnFormula>
    </tableColumn>
    <tableColumn id="34" xr3:uid="{7F55150A-0CF2-4CFB-BFE1-2A95E9D95074}" name="Tháng 8" dataDxfId="132" totalsRowDxfId="131">
      <calculatedColumnFormula>-
INDEX(Table_KeHoach_DoanhThuTaiKhoan[#All],
MATCH(Table_KeHoach_ChiPhiThanhToan[[#This Row],[Kế hoạch chi phí thanh toán]],Table_KeHoach_DoanhThuTaiKhoan[[#All],[Kế hoạch tỷ trọng doanh thu]],0),
MATCH(K$104,Table_KeHoach_DoanhThuTaiKhoan[#Headers],0)) *
INDEX(Table_KeHoach_ChietKhauThanToan[#All],
MATCH(Table_KeHoach_ChiPhiThanhToan[[#This Row],[Kế hoạch chi phí thanh toán]],Table_KeHoach_ChietKhauThanToan[[#All],[Kế hoạch tỷ lệ CK thanh toán]],0),
MATCH(K$104,Table_KeHoach_ChietKhauThanToan[#Headers],0)) *
HLOOKUP(K$104,Table_KeHoach_DoanhThu[#All],COUNTA(Table_KeHoach_DoanhThu[[#All],[Kế hoạch doanh thu]]),0)</calculatedColumnFormula>
    </tableColumn>
    <tableColumn id="35" xr3:uid="{73FA5353-45C9-4ED4-999D-14E70B99E824}" name="Tháng 9" dataDxfId="130" totalsRowDxfId="129">
      <calculatedColumnFormula>-
INDEX(Table_KeHoach_DoanhThuTaiKhoan[#All],
MATCH(Table_KeHoach_ChiPhiThanhToan[[#This Row],[Kế hoạch chi phí thanh toán]],Table_KeHoach_DoanhThuTaiKhoan[[#All],[Kế hoạch tỷ trọng doanh thu]],0),
MATCH(L$104,Table_KeHoach_DoanhThuTaiKhoan[#Headers],0)) *
INDEX(Table_KeHoach_ChietKhauThanToan[#All],
MATCH(Table_KeHoach_ChiPhiThanhToan[[#This Row],[Kế hoạch chi phí thanh toán]],Table_KeHoach_ChietKhauThanToan[[#All],[Kế hoạch tỷ lệ CK thanh toán]],0),
MATCH(L$104,Table_KeHoach_ChietKhauThanToan[#Headers],0)) *
HLOOKUP(L$104,Table_KeHoach_DoanhThu[#All],COUNTA(Table_KeHoach_DoanhThu[[#All],[Kế hoạch doanh thu]]),0)</calculatedColumnFormula>
    </tableColumn>
    <tableColumn id="36" xr3:uid="{D4791067-9357-49C2-84E1-DFAC0F17A84F}" name="Tháng 10" dataDxfId="128" totalsRowDxfId="127">
      <calculatedColumnFormula>-
INDEX(Table_KeHoach_DoanhThuTaiKhoan[#All],
MATCH(Table_KeHoach_ChiPhiThanhToan[[#This Row],[Kế hoạch chi phí thanh toán]],Table_KeHoach_DoanhThuTaiKhoan[[#All],[Kế hoạch tỷ trọng doanh thu]],0),
MATCH(M$104,Table_KeHoach_DoanhThuTaiKhoan[#Headers],0)) *
INDEX(Table_KeHoach_ChietKhauThanToan[#All],
MATCH(Table_KeHoach_ChiPhiThanhToan[[#This Row],[Kế hoạch chi phí thanh toán]],Table_KeHoach_ChietKhauThanToan[[#All],[Kế hoạch tỷ lệ CK thanh toán]],0),
MATCH(M$104,Table_KeHoach_ChietKhauThanToan[#Headers],0)) *
HLOOKUP(M$104,Table_KeHoach_DoanhThu[#All],COUNTA(Table_KeHoach_DoanhThu[[#All],[Kế hoạch doanh thu]]),0)</calculatedColumnFormula>
    </tableColumn>
    <tableColumn id="37" xr3:uid="{5611D5E6-8D29-43D1-9B81-864F4CE55C4C}" name="Tháng 11" dataDxfId="126" totalsRowDxfId="125">
      <calculatedColumnFormula>-
INDEX(Table_KeHoach_DoanhThuTaiKhoan[#All],
MATCH(Table_KeHoach_ChiPhiThanhToan[[#This Row],[Kế hoạch chi phí thanh toán]],Table_KeHoach_DoanhThuTaiKhoan[[#All],[Kế hoạch tỷ trọng doanh thu]],0),
MATCH(N$104,Table_KeHoach_DoanhThuTaiKhoan[#Headers],0)) *
INDEX(Table_KeHoach_ChietKhauThanToan[#All],
MATCH(Table_KeHoach_ChiPhiThanhToan[[#This Row],[Kế hoạch chi phí thanh toán]],Table_KeHoach_ChietKhauThanToan[[#All],[Kế hoạch tỷ lệ CK thanh toán]],0),
MATCH(N$104,Table_KeHoach_ChietKhauThanToan[#Headers],0)) *
HLOOKUP(N$104,Table_KeHoach_DoanhThu[#All],COUNTA(Table_KeHoach_DoanhThu[[#All],[Kế hoạch doanh thu]]),0)</calculatedColumnFormula>
    </tableColumn>
    <tableColumn id="38" xr3:uid="{8181C98D-3CAA-4B60-8AD7-1538621D71FC}" name="Tháng 12" dataDxfId="124" totalsRowDxfId="123">
      <calculatedColumnFormula>-
INDEX(Table_KeHoach_DoanhThuTaiKhoan[#All],
MATCH(Table_KeHoach_ChiPhiThanhToan[[#This Row],[Kế hoạch chi phí thanh toán]],Table_KeHoach_DoanhThuTaiKhoan[[#All],[Kế hoạch tỷ trọng doanh thu]],0),
MATCH(O$104,Table_KeHoach_DoanhThuTaiKhoan[#Headers],0)) *
INDEX(Table_KeHoach_ChietKhauThanToan[#All],
MATCH(Table_KeHoach_ChiPhiThanhToan[[#This Row],[Kế hoạch chi phí thanh toán]],Table_KeHoach_ChietKhauThanToan[[#All],[Kế hoạch tỷ lệ CK thanh toán]],0),
MATCH(O$104,Table_KeHoach_ChietKhauThanToan[#Headers],0)) *
HLOOKUP(O$104,Table_KeHoach_DoanhThu[#All],COUNTA(Table_KeHoach_DoanhThu[[#All],[Kế hoạch doanh thu]]),0)</calculatedColumnFormula>
    </tableColumn>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3:O65" totalsRowShown="0" headerRowDxfId="122" dataDxfId="121">
  <autoFilter ref="B63:O65" xr:uid="{0C63FCA5-374F-45E9-B948-7D48CC19EBA8}"/>
  <tableColumns count="14">
    <tableColumn id="1" xr3:uid="{76415C8B-364D-4D08-A827-14CA674598A8}" name="Kế hoạch chiết khấu thương mại" dataDxfId="120"/>
    <tableColumn id="3" xr3:uid="{2D1F0164-FE3F-4FC6-81B1-670A52FB817F}" name="Column1" dataDxfId="119"/>
    <tableColumn id="27" xr3:uid="{F4421827-F4C5-411A-96EC-B157E5401B70}" name="Tháng 1" dataDxfId="118">
      <calculatedColumnFormula>IFERROR(-D63*Table_KeHoach_DoanhThu[[#Totals],[Tháng 1]],0)</calculatedColumnFormula>
    </tableColumn>
    <tableColumn id="28" xr3:uid="{3D5D0C1B-0AF8-4F92-BBAC-01DC57CAA70C}" name="Tháng 2" dataDxfId="117">
      <calculatedColumnFormula>IFERROR(-$C$64*Table_KeHoach_DoanhThu[[#Totals],[Tháng 2]],0)</calculatedColumnFormula>
    </tableColumn>
    <tableColumn id="29" xr3:uid="{2184DEE7-0896-49DE-836E-27156D3DB4E3}" name="Tháng 3" dataDxfId="116">
      <calculatedColumnFormula>IFERROR(-$C$64*Table_KeHoach_DoanhThu[[#Totals],[Tháng 3]],0)</calculatedColumnFormula>
    </tableColumn>
    <tableColumn id="30" xr3:uid="{C24C7C88-ED1E-45EC-A3F8-182C13247E9C}" name="Tháng 4" dataDxfId="115">
      <calculatedColumnFormula>IFERROR(-$C$64*Table_KeHoach_DoanhThu[[#Totals],[Tháng 4]],0)</calculatedColumnFormula>
    </tableColumn>
    <tableColumn id="31" xr3:uid="{BB7AD995-EE6B-4BF7-A5F7-FCADABCEA453}" name="Tháng 5" dataDxfId="114">
      <calculatedColumnFormula>IFERROR(-$C$64*Table_KeHoach_DoanhThu[[#Totals],[Tháng 5]],0)</calculatedColumnFormula>
    </tableColumn>
    <tableColumn id="32" xr3:uid="{76BFFA42-73D8-439A-9CD4-3BBB1077ADC8}" name="Tháng 6" dataDxfId="113">
      <calculatedColumnFormula>IFERROR(-$C$64*Table_KeHoach_DoanhThu[[#Totals],[Tháng 6]],0)</calculatedColumnFormula>
    </tableColumn>
    <tableColumn id="33" xr3:uid="{32662CD6-B520-4DC0-9AD1-2C6240AFB0B2}" name="Tháng 7" dataDxfId="112">
      <calculatedColumnFormula>IFERROR(-$C$64*Table_KeHoach_DoanhThu[[#Totals],[Tháng 7]],0)</calculatedColumnFormula>
    </tableColumn>
    <tableColumn id="34" xr3:uid="{2E0AEA39-18D9-4BA8-AFDD-957A02179027}" name="Tháng 8" dataDxfId="111">
      <calculatedColumnFormula>IFERROR(-$C$64*Table_KeHoach_DoanhThu[[#Totals],[Tháng 8]],0)</calculatedColumnFormula>
    </tableColumn>
    <tableColumn id="35" xr3:uid="{D0234ED1-E665-4A9E-BB14-46DADF752A7F}" name="Tháng 9" dataDxfId="110">
      <calculatedColumnFormula>IFERROR(-$C$64*Table_KeHoach_DoanhThu[[#Totals],[Tháng 9]],0)</calculatedColumnFormula>
    </tableColumn>
    <tableColumn id="36" xr3:uid="{AD609898-BC6C-4B43-B083-24250902B7C3}" name="Tháng 10" dataDxfId="109">
      <calculatedColumnFormula>IFERROR(-$C$64*Table_KeHoach_DoanhThu[[#Totals],[Tháng 10]],0)</calculatedColumnFormula>
    </tableColumn>
    <tableColumn id="37" xr3:uid="{BAAC8AB2-3DB4-4465-A261-52A69FB1BEF0}" name="Tháng 11" dataDxfId="108">
      <calculatedColumnFormula>IFERROR(-$C$64*Table_KeHoach_DoanhThu[[#Totals],[Tháng 11]],0)</calculatedColumnFormula>
    </tableColumn>
    <tableColumn id="38" xr3:uid="{BC8D763A-019F-43F4-BDD8-DB95305BE6E2}" name="Tháng 12" dataDxfId="107">
      <calculatedColumnFormula>IFERROR(-$C$64*Table_KeHoach_DoanhThu[[#Totals],[Tháng 12]],0)</calculatedColumnFormula>
    </tableColumn>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Q5:V46" totalsRowShown="0" headerRowDxfId="106" dataDxfId="105">
  <autoFilter ref="Q5:V46" xr:uid="{1035B389-90D7-47BF-AE83-78827CD02611}"/>
  <tableColumns count="6">
    <tableColumn id="1" xr3:uid="{D1EA0B06-F776-4AE7-AFFA-8DDC0BEBB2C7}" name="Gtri" dataDxfId="104"/>
    <tableColumn id="2" xr3:uid="{190F32B2-23F3-48B5-96C2-FCA536CD7DDE}" name="2025" dataDxfId="103" dataCellStyle="Comma"/>
    <tableColumn id="3" xr3:uid="{780DE01B-FDE7-4083-9A9B-C3BB1D01BF65}" name="2026" dataDxfId="102" dataCellStyle="Comma"/>
    <tableColumn id="4" xr3:uid="{A8900383-F6F4-486B-BE13-AF173052E2A1}" name="2027" dataDxfId="101" dataCellStyle="Comma"/>
    <tableColumn id="5" xr3:uid="{23DFDA4F-9AEB-416E-ADB2-4BD4472BC4DE}" name="2028" dataDxfId="100" dataCellStyle="Comma"/>
    <tableColumn id="15" xr3:uid="{0A76CFCF-213F-4B57-ACE5-C49B82D60DF1}" name="Add" dataDxfId="99"/>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58:O159" totalsRowShown="0" headerRowDxfId="98" dataDxfId="96" headerRowBorderDxfId="97" tableBorderDxfId="95">
  <autoFilter ref="B158:O159" xr:uid="{808A2169-8554-4C17-96AC-814597A28FCD}"/>
  <tableColumns count="14">
    <tableColumn id="1" xr3:uid="{49D0F695-8A6B-4F93-8F8B-468B99DE390C}" name="Kế hoạch cổ tức" dataDxfId="94"/>
    <tableColumn id="2" xr3:uid="{DD60580E-24DA-42B0-B365-15B56EFBD16B}" name="Tỷ lệ lợi ích" dataDxfId="93"/>
    <tableColumn id="3" xr3:uid="{A86E0184-D6A9-4F55-9781-6D86B31090DF}" name="Tháng 1" dataDxfId="92">
      <calculatedColumnFormula>Table_KeHoach_CoTuc[[#This Row],[Tỷ lệ lợi ích]]*D$45</calculatedColumnFormula>
    </tableColumn>
    <tableColumn id="4" xr3:uid="{1E3DF815-1A4A-43CB-9723-2E250B7B2039}" name="Tháng 2" dataDxfId="91">
      <calculatedColumnFormula>Table_KeHoach_CoTuc[[#This Row],[Tỷ lệ lợi ích]]*E$45</calculatedColumnFormula>
    </tableColumn>
    <tableColumn id="5" xr3:uid="{798EBA13-5C1C-4B3B-886D-7B42854CD1DE}" name="Tháng 3" dataDxfId="90">
      <calculatedColumnFormula>Table_KeHoach_CoTuc[[#This Row],[Tỷ lệ lợi ích]]*F$45</calculatedColumnFormula>
    </tableColumn>
    <tableColumn id="6" xr3:uid="{8830216C-BA41-42D5-876B-AE721F398DED}" name="Tháng 4" dataDxfId="89">
      <calculatedColumnFormula>Table_KeHoach_CoTuc[[#This Row],[Tỷ lệ lợi ích]]*G$45</calculatedColumnFormula>
    </tableColumn>
    <tableColumn id="7" xr3:uid="{CFBE895E-3AF4-435F-A0A6-AD782E142082}" name="Tháng 5" dataDxfId="88">
      <calculatedColumnFormula>Table_KeHoach_CoTuc[[#This Row],[Tỷ lệ lợi ích]]*H$45</calculatedColumnFormula>
    </tableColumn>
    <tableColumn id="8" xr3:uid="{6AF681AF-ADB8-4ED1-A741-AB1B95CE411B}" name="Tháng 6" dataDxfId="87">
      <calculatedColumnFormula>Table_KeHoach_CoTuc[[#This Row],[Tỷ lệ lợi ích]]*I$45</calculatedColumnFormula>
    </tableColumn>
    <tableColumn id="9" xr3:uid="{2859DA0C-AB7B-4D95-A27B-C0F30E1235A6}" name="Tháng 7" dataDxfId="86">
      <calculatedColumnFormula>Table_KeHoach_CoTuc[[#This Row],[Tỷ lệ lợi ích]]*J$45</calculatedColumnFormula>
    </tableColumn>
    <tableColumn id="10" xr3:uid="{276E9A06-AFA5-4E42-BF42-CD0D2D891F37}" name="Tháng 8" dataDxfId="85">
      <calculatedColumnFormula>Table_KeHoach_CoTuc[[#This Row],[Tỷ lệ lợi ích]]*K$45</calculatedColumnFormula>
    </tableColumn>
    <tableColumn id="11" xr3:uid="{E6C25EAF-8AD9-4321-9B36-672D987AE47D}" name="Tháng 9" dataDxfId="84">
      <calculatedColumnFormula>Table_KeHoach_CoTuc[[#This Row],[Tỷ lệ lợi ích]]*L$45</calculatedColumnFormula>
    </tableColumn>
    <tableColumn id="12" xr3:uid="{A4509611-8DC1-4631-AD16-64AAC808B76D}" name="Tháng 10" dataDxfId="83">
      <calculatedColumnFormula>Table_KeHoach_CoTuc[[#This Row],[Tỷ lệ lợi ích]]*M$45</calculatedColumnFormula>
    </tableColumn>
    <tableColumn id="13" xr3:uid="{94D4291B-9242-43C1-90C3-C2A12092243B}" name="Tháng 11" dataDxfId="82">
      <calculatedColumnFormula>Table_KeHoach_CoTuc[[#This Row],[Tỷ lệ lợi ích]]*N$45</calculatedColumnFormula>
    </tableColumn>
    <tableColumn id="14" xr3:uid="{F3EBB3AF-1773-483A-8741-1AFC969F4F19}" name="Tháng 12" dataDxfId="81">
      <calculatedColumnFormula>Table_KeHoach_CoTuc[[#This Row],[Tỷ lệ lợi ích]]*O$45</calculatedColumnFormula>
    </tableColumn>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8F14B1-111A-413B-A67F-CF2B5D205696}" name="Table_KeHoach_ThuePhi" displayName="Table_KeHoach_ThuePhi" ref="B142:O146" totalsRowCount="1" headerRowDxfId="80" dataDxfId="79">
  <autoFilter ref="B142:O145" xr:uid="{8A8F14B1-111A-413B-A67F-CF2B5D205696}"/>
  <tableColumns count="14">
    <tableColumn id="1" xr3:uid="{E1B4FD86-CE22-490C-85A3-15FE4154DBCD}" name="Thuế phí nộp NS" totalsRowLabel="Total" dataDxfId="78" totalsRowDxfId="77"/>
    <tableColumn id="2" xr3:uid="{D53202FB-2655-4012-857A-E01506606BE1}" name="Thuế suất TNDN" dataDxfId="76" totalsRowDxfId="75"/>
    <tableColumn id="3" xr3:uid="{65637690-DDDE-46C4-99F5-B081E93AECFE}" name="Tháng 1" totalsRowFunction="sum" dataDxfId="74" totalsRowDxfId="73">
      <calculatedColumnFormula>Table_KeHoach_ThuePhi[[#This Row],[Thuế suất TNDN]]*(D18-SUM(D21:D27)-D29-SUM(D140:D142))</calculatedColumnFormula>
    </tableColumn>
    <tableColumn id="4" xr3:uid="{8F1A8FD3-96CE-4482-B092-0AD925CBC846}" name="Tháng 2" totalsRowFunction="sum" dataDxfId="72" totalsRowDxfId="71">
      <calculatedColumnFormula>Table_KeHoach_ThuePhi[[#This Row],[Thuế suất TNDN]]*(E18-SUM(E21:E27)-E29-SUM(E140:E142))</calculatedColumnFormula>
    </tableColumn>
    <tableColumn id="5" xr3:uid="{6EA37890-682A-4634-8958-22A476BAF45E}" name="Tháng 3" totalsRowFunction="sum" dataDxfId="70" totalsRowDxfId="69">
      <calculatedColumnFormula>Table_KeHoach_ThuePhi[[#This Row],[Thuế suất TNDN]]*(F18-SUM(F21:F27)-F29-SUM(F140:F142))</calculatedColumnFormula>
    </tableColumn>
    <tableColumn id="6" xr3:uid="{760D7F1E-131D-4271-9D5B-0BE459EE774B}" name="Tháng 4" totalsRowFunction="sum" dataDxfId="68" totalsRowDxfId="67">
      <calculatedColumnFormula>Table_KeHoach_ThuePhi[[#This Row],[Thuế suất TNDN]]*(G18-SUM(G21:G27)-G29-SUM(G140:G142))</calculatedColumnFormula>
    </tableColumn>
    <tableColumn id="7" xr3:uid="{5542AD53-E67D-4BC2-8175-39371ECB670C}" name="Tháng 5" totalsRowFunction="sum" dataDxfId="66" totalsRowDxfId="65">
      <calculatedColumnFormula>Table_KeHoach_ThuePhi[[#This Row],[Thuế suất TNDN]]*(H18-SUM(H21:H27)-H29-SUM(H140:H142))</calculatedColumnFormula>
    </tableColumn>
    <tableColumn id="8" xr3:uid="{DF93FB31-5492-4303-8DD6-91C4803FCF04}" name="Tháng 6" totalsRowFunction="sum" dataDxfId="64" totalsRowDxfId="63">
      <calculatedColumnFormula>Table_KeHoach_ThuePhi[[#This Row],[Thuế suất TNDN]]*(I18-SUM(I21:I27)-I29-SUM(I140:I142))</calculatedColumnFormula>
    </tableColumn>
    <tableColumn id="9" xr3:uid="{9B41CE32-9491-48D6-A5EC-089D3738AA5D}" name="Tháng 7" totalsRowFunction="sum" dataDxfId="62" totalsRowDxfId="61">
      <calculatedColumnFormula>Table_KeHoach_ThuePhi[[#This Row],[Thuế suất TNDN]]*(J18-SUM(J21:J27)-J29-SUM(J140:J142))</calculatedColumnFormula>
    </tableColumn>
    <tableColumn id="10" xr3:uid="{8E7505FD-F3A2-4304-9321-60B6D8F3FD94}" name="Tháng 8" totalsRowFunction="sum" dataDxfId="60" totalsRowDxfId="59">
      <calculatedColumnFormula>Table_KeHoach_ThuePhi[[#This Row],[Thuế suất TNDN]]*(K18-SUM(K21:K27)-K29-SUM(K140:K142))</calculatedColumnFormula>
    </tableColumn>
    <tableColumn id="11" xr3:uid="{8681826C-DCC4-40FC-932C-32E16DD4DF57}" name="Tháng 9" totalsRowFunction="sum" dataDxfId="58" totalsRowDxfId="57">
      <calculatedColumnFormula>Table_KeHoach_ThuePhi[[#This Row],[Thuế suất TNDN]]*(L18-SUM(L21:L27)-L29-SUM(L140:L142))</calculatedColumnFormula>
    </tableColumn>
    <tableColumn id="12" xr3:uid="{9C798E64-E67C-478B-B93A-B9C6DA4FC7F9}" name="Tháng 10" totalsRowFunction="sum" dataDxfId="56" totalsRowDxfId="55">
      <calculatedColumnFormula>Table_KeHoach_ThuePhi[[#This Row],[Thuế suất TNDN]]*(M18-SUM(M21:M27)-M29-SUM(M140:M142))</calculatedColumnFormula>
    </tableColumn>
    <tableColumn id="13" xr3:uid="{9A368F42-0582-441C-9F84-BF9025C50EE3}" name="Tháng 11" totalsRowFunction="sum" dataDxfId="54" totalsRowDxfId="53">
      <calculatedColumnFormula>Table_KeHoach_ThuePhi[[#This Row],[Thuế suất TNDN]]*(N18-SUM(N21:N27)-N29-SUM(N140:N142))</calculatedColumnFormula>
    </tableColumn>
    <tableColumn id="14" xr3:uid="{DCA6B3CE-C59C-4E58-82C3-3ADBAF5B8485}" name="Tháng 12" totalsRowFunction="sum" dataDxfId="52" totalsRowDxfId="51">
      <calculatedColumnFormula>Table_KeHoach_ThuePhi[[#This Row],[Thuế suất TNDN]]*(O18-SUM(O21:O27)-O29-SUM(O140:O142))</calculatedColumnFormula>
    </tableColumn>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FD8BD8-B7E5-419E-8BB2-78218593F1B2}" name="Table_KeHoach_CPKhac" displayName="Table_KeHoach_CPKhac" ref="B149:O151" totalsRowCount="1" headerRowDxfId="50" dataDxfId="49">
  <autoFilter ref="B149:O150" xr:uid="{96FD8BD8-B7E5-419E-8BB2-78218593F1B2}"/>
  <tableColumns count="14">
    <tableColumn id="1" xr3:uid="{768FE315-31C0-4DB4-9021-2FE7E955FBF9}" name="Chi phí khác" totalsRowLabel="Total" dataDxfId="48" totalsRowDxfId="47"/>
    <tableColumn id="2" xr3:uid="{E76566A7-ACF6-4C07-9CA0-B6DE1AB3C1C2}" name="Column1" dataDxfId="46" totalsRowDxfId="45"/>
    <tableColumn id="3" xr3:uid="{4D99DE36-398C-49DD-8883-00CB9184DBFD}" name="Tháng 1" totalsRowFunction="sum" dataDxfId="44" totalsRowDxfId="43"/>
    <tableColumn id="4" xr3:uid="{C48CBD3E-92B2-4F67-9343-8D382630343C}" name="Tháng 2" totalsRowFunction="sum" dataDxfId="42" totalsRowDxfId="41"/>
    <tableColumn id="5" xr3:uid="{43FD04D6-46DF-46C1-9525-736694AB7D1F}" name="Tháng 3" totalsRowFunction="sum" dataDxfId="40" totalsRowDxfId="39"/>
    <tableColumn id="6" xr3:uid="{338911FA-A216-40BC-8FFD-0DA4F52200F4}" name="Tháng 4" totalsRowFunction="sum" dataDxfId="38" totalsRowDxfId="37"/>
    <tableColumn id="7" xr3:uid="{9625CA5C-45E0-4828-8EC3-E1DD30D29CF5}" name="Tháng 5" totalsRowFunction="sum" dataDxfId="36" totalsRowDxfId="35"/>
    <tableColumn id="8" xr3:uid="{22690AF8-CB46-4424-82B9-90A9ACEDF7C9}" name="Tháng 6" totalsRowFunction="sum" dataDxfId="34" totalsRowDxfId="33"/>
    <tableColumn id="9" xr3:uid="{46B20350-B1F2-444D-8280-E74F5AFB7623}" name="Tháng 7" totalsRowFunction="sum" dataDxfId="32" totalsRowDxfId="31"/>
    <tableColumn id="10" xr3:uid="{DED24CC5-90EB-41BE-A611-942287018FC7}" name="Tháng 8" totalsRowFunction="sum" dataDxfId="30" totalsRowDxfId="29"/>
    <tableColumn id="11" xr3:uid="{B7F3D681-D599-4B53-90CB-2DDA2EF51765}" name="Tháng 9" totalsRowFunction="sum" dataDxfId="28" totalsRowDxfId="27"/>
    <tableColumn id="12" xr3:uid="{DE9129F3-515D-41CD-AA67-CF85B3FE4214}" name="Tháng 10" totalsRowFunction="sum" dataDxfId="26" totalsRowDxfId="25"/>
    <tableColumn id="13" xr3:uid="{8CCD98CF-960C-45F0-A381-B894F5A1ECB2}" name="Tháng 11" totalsRowFunction="sum" dataDxfId="24" totalsRowDxfId="23"/>
    <tableColumn id="14" xr3:uid="{51557357-AFF3-40C6-9B8D-4A1DF3076586}" name="Tháng 12" totalsRowFunction="sum" dataDxfId="22" totalsRowDxfId="21"/>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886034-4997-42ED-9CB6-13B61DBCED3D}" name="Table_KeHoach_TyLeNo" displayName="Table_KeHoach_TyLeNo" ref="B154:O155" totalsRowShown="0" headerRowDxfId="20" dataDxfId="19">
  <autoFilter ref="B154:O155" xr:uid="{2F886034-4997-42ED-9CB6-13B61DBCED3D}"/>
  <tableColumns count="14">
    <tableColumn id="1" xr3:uid="{5D6511A4-A82D-4138-A154-BBC13B2D9890}" name="Tỷ lệ nợ trên doanh thu" dataDxfId="18"/>
    <tableColumn id="2" xr3:uid="{4C8AFAD8-1B43-4BC9-9A80-8D046B836805}" name="Column1" dataDxfId="17" dataCellStyle="Percent"/>
    <tableColumn id="3" xr3:uid="{F6E6C07B-61B7-44DA-8A34-52D0EBF9B536}" name="Tháng 1" dataDxfId="16" dataCellStyle="Percent"/>
    <tableColumn id="4" xr3:uid="{F76896B2-FEA9-4271-B1C1-22ACB50F70B8}" name="Tháng 2" dataDxfId="15" dataCellStyle="Percent"/>
    <tableColumn id="5" xr3:uid="{4361CE05-549B-4EDB-AD1D-EB6473142EEF}" name="Tháng 3" dataDxfId="14" dataCellStyle="Percent"/>
    <tableColumn id="6" xr3:uid="{5BFE392B-7CD8-4B2F-87CA-CA1FDAAE4E7C}" name="Tháng 4" dataDxfId="13" dataCellStyle="Percent"/>
    <tableColumn id="7" xr3:uid="{34FC78E8-465C-4D01-85BB-A6CFBBC8FD9F}" name="Tháng 5" dataDxfId="12" dataCellStyle="Percent"/>
    <tableColumn id="8" xr3:uid="{8529FBB6-A405-40C0-92DF-9EAE442DFA82}" name="Tháng 6" dataDxfId="11" dataCellStyle="Percent"/>
    <tableColumn id="9" xr3:uid="{8657A63F-D963-4E70-8916-C7EE689A35F3}" name="Tháng 7" dataDxfId="10" dataCellStyle="Percent"/>
    <tableColumn id="10" xr3:uid="{B05A8636-3DD2-420A-9889-E9A5E4CDD776}" name="Tháng 8" dataDxfId="9" dataCellStyle="Percent"/>
    <tableColumn id="11" xr3:uid="{50925FC6-05BE-416A-A989-A4D3168D72B5}" name="Tháng 9" dataDxfId="8" dataCellStyle="Percent"/>
    <tableColumn id="12" xr3:uid="{786D6859-7458-4381-A34E-1697DF5BA2F6}" name="Tháng 10" dataDxfId="7" dataCellStyle="Percent"/>
    <tableColumn id="13" xr3:uid="{1AAC06D0-E615-4C60-A136-A838C3C27029}" name="Tháng 11" dataDxfId="6" dataCellStyle="Percent"/>
    <tableColumn id="14" xr3:uid="{30CD70F2-9EEE-43A3-A6E2-DD6A7C586936}" name="Tháng 12" dataDxfId="5" dataCellStyle="Percent"/>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X5:Z46" totalsRowShown="0" headerRowDxfId="4" dataDxfId="3">
  <autoFilter ref="X5:Z46" xr:uid="{F0D1B767-E383-406E-8FDE-2130594FDFAA}"/>
  <tableColumns count="3">
    <tableColumn id="1" xr3:uid="{E01F3758-F6DC-4D50-BA14-C5C056EB4B41}" name="Gtri" dataDxfId="2"/>
    <tableColumn id="2" xr3:uid="{CA485F36-BEC3-42D6-94EC-451FEC0F99D9}" name="Tháng" dataDxfId="1" dataCellStyle="Comma"/>
    <tableColumn id="15" xr3:uid="{4E548353-44A3-44DF-A1B7-3D2C4835FE97}" name="Add"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table" Target="../tables/table2.xml"/><Relationship Id="rId84" Type="http://schemas.openxmlformats.org/officeDocument/2006/relationships/table" Target="../tables/table18.xml"/><Relationship Id="rId89" Type="http://schemas.openxmlformats.org/officeDocument/2006/relationships/table" Target="../tables/table23.xml"/><Relationship Id="rId16" Type="http://schemas.openxmlformats.org/officeDocument/2006/relationships/ctrlProp" Target="../ctrlProps/ctrlProp14.xml"/><Relationship Id="rId11" Type="http://schemas.openxmlformats.org/officeDocument/2006/relationships/ctrlProp" Target="../ctrlProps/ctrlProp9.xml"/><Relationship Id="rId32" Type="http://schemas.openxmlformats.org/officeDocument/2006/relationships/ctrlProp" Target="../ctrlProps/ctrlProp30.xml"/><Relationship Id="rId37" Type="http://schemas.openxmlformats.org/officeDocument/2006/relationships/ctrlProp" Target="../ctrlProps/ctrlProp35.xml"/><Relationship Id="rId53" Type="http://schemas.openxmlformats.org/officeDocument/2006/relationships/ctrlProp" Target="../ctrlProps/ctrlProp51.xml"/><Relationship Id="rId58" Type="http://schemas.openxmlformats.org/officeDocument/2006/relationships/ctrlProp" Target="../ctrlProps/ctrlProp56.xml"/><Relationship Id="rId74" Type="http://schemas.openxmlformats.org/officeDocument/2006/relationships/table" Target="../tables/table8.xml"/><Relationship Id="rId79" Type="http://schemas.openxmlformats.org/officeDocument/2006/relationships/table" Target="../tables/table13.xml"/><Relationship Id="rId5" Type="http://schemas.openxmlformats.org/officeDocument/2006/relationships/ctrlProp" Target="../ctrlProps/ctrlProp3.xml"/><Relationship Id="rId90" Type="http://schemas.openxmlformats.org/officeDocument/2006/relationships/table" Target="../tables/table24.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table" Target="../tables/table3.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table" Target="../tables/table6.xml"/><Relationship Id="rId80" Type="http://schemas.openxmlformats.org/officeDocument/2006/relationships/table" Target="../tables/table14.xml"/><Relationship Id="rId85" Type="http://schemas.openxmlformats.org/officeDocument/2006/relationships/table" Target="../tables/table19.xml"/><Relationship Id="rId93" Type="http://schemas.openxmlformats.org/officeDocument/2006/relationships/table" Target="../tables/table27.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ctrlProp" Target="../ctrlProps/ctrlProp57.xml"/><Relationship Id="rId67" Type="http://schemas.openxmlformats.org/officeDocument/2006/relationships/table" Target="../tables/table1.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62" Type="http://schemas.openxmlformats.org/officeDocument/2006/relationships/ctrlProp" Target="../ctrlProps/ctrlProp60.xml"/><Relationship Id="rId70" Type="http://schemas.openxmlformats.org/officeDocument/2006/relationships/table" Target="../tables/table4.xml"/><Relationship Id="rId75" Type="http://schemas.openxmlformats.org/officeDocument/2006/relationships/table" Target="../tables/table9.xml"/><Relationship Id="rId83" Type="http://schemas.openxmlformats.org/officeDocument/2006/relationships/table" Target="../tables/table17.xml"/><Relationship Id="rId88" Type="http://schemas.openxmlformats.org/officeDocument/2006/relationships/table" Target="../tables/table22.xml"/><Relationship Id="rId91" Type="http://schemas.openxmlformats.org/officeDocument/2006/relationships/table" Target="../tables/table25.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table" Target="../tables/table7.xml"/><Relationship Id="rId78" Type="http://schemas.openxmlformats.org/officeDocument/2006/relationships/table" Target="../tables/table12.xml"/><Relationship Id="rId81" Type="http://schemas.openxmlformats.org/officeDocument/2006/relationships/table" Target="../tables/table15.xml"/><Relationship Id="rId86" Type="http://schemas.openxmlformats.org/officeDocument/2006/relationships/table" Target="../tables/table20.xml"/><Relationship Id="rId94" Type="http://schemas.openxmlformats.org/officeDocument/2006/relationships/table" Target="../tables/table28.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table" Target="../tables/table10.xml"/><Relationship Id="rId7" Type="http://schemas.openxmlformats.org/officeDocument/2006/relationships/ctrlProp" Target="../ctrlProps/ctrlProp5.xml"/><Relationship Id="rId71" Type="http://schemas.openxmlformats.org/officeDocument/2006/relationships/table" Target="../tables/table5.xml"/><Relationship Id="rId92" Type="http://schemas.openxmlformats.org/officeDocument/2006/relationships/table" Target="../tables/table26.xml"/><Relationship Id="rId2" Type="http://schemas.openxmlformats.org/officeDocument/2006/relationships/drawing" Target="../drawings/drawing2.x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table" Target="../tables/table21.xml"/><Relationship Id="rId61" Type="http://schemas.openxmlformats.org/officeDocument/2006/relationships/ctrlProp" Target="../ctrlProps/ctrlProp59.xml"/><Relationship Id="rId82" Type="http://schemas.openxmlformats.org/officeDocument/2006/relationships/table" Target="../tables/table16.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35" bestFit="1" customWidth="1"/>
    <col min="2" max="2" width="36.25" style="35" bestFit="1" customWidth="1"/>
    <col min="3" max="3" width="16.125" style="35" bestFit="1" customWidth="1"/>
    <col min="4" max="5" width="14.375" style="65" bestFit="1" customWidth="1"/>
    <col min="6" max="25" width="9" style="35"/>
    <col min="26" max="26" width="9" style="35" hidden="1" customWidth="1"/>
    <col min="27" max="16384" width="9" style="35"/>
  </cols>
  <sheetData>
    <row r="1" spans="1:26" x14ac:dyDescent="0.3">
      <c r="A1" s="60" t="s">
        <v>102</v>
      </c>
      <c r="B1" s="61" t="s">
        <v>11</v>
      </c>
      <c r="C1" s="62" t="s">
        <v>12</v>
      </c>
      <c r="D1" s="64" t="s">
        <v>103</v>
      </c>
      <c r="E1" s="64" t="s">
        <v>104</v>
      </c>
      <c r="F1" s="60" t="s">
        <v>105</v>
      </c>
      <c r="G1" s="63" t="s">
        <v>106</v>
      </c>
      <c r="H1" s="60" t="s">
        <v>107</v>
      </c>
      <c r="I1" s="60" t="s">
        <v>108</v>
      </c>
      <c r="J1" s="63" t="s">
        <v>109</v>
      </c>
      <c r="K1" s="63" t="s">
        <v>110</v>
      </c>
      <c r="L1" s="63" t="s">
        <v>111</v>
      </c>
      <c r="M1" s="63" t="s">
        <v>112</v>
      </c>
      <c r="N1" s="87"/>
      <c r="O1" s="87"/>
      <c r="P1" s="87"/>
      <c r="Q1" s="87"/>
      <c r="R1" s="87"/>
      <c r="S1" s="87"/>
      <c r="T1" s="87"/>
      <c r="U1" s="87"/>
      <c r="V1" s="87"/>
      <c r="W1" s="87"/>
      <c r="X1" s="87"/>
      <c r="Y1" s="87"/>
      <c r="Z1" s="35" t="s">
        <v>114</v>
      </c>
    </row>
    <row r="2" spans="1:26" x14ac:dyDescent="0.3">
      <c r="A2" s="87"/>
      <c r="B2" s="35" t="s">
        <v>160</v>
      </c>
      <c r="C2" s="35" t="s">
        <v>161</v>
      </c>
      <c r="D2" s="65">
        <v>45785</v>
      </c>
      <c r="E2" s="65">
        <v>46150</v>
      </c>
      <c r="F2" s="87">
        <v>365</v>
      </c>
      <c r="G2" s="35" t="s">
        <v>120</v>
      </c>
      <c r="H2" s="87"/>
      <c r="I2" s="87"/>
      <c r="J2" s="87"/>
      <c r="K2" s="87"/>
      <c r="L2" s="87"/>
      <c r="M2" s="87"/>
      <c r="N2" s="87"/>
      <c r="O2" s="87"/>
      <c r="P2" s="87"/>
      <c r="Q2" s="87"/>
      <c r="R2" s="87"/>
      <c r="S2" s="87"/>
      <c r="T2" s="87"/>
      <c r="U2" s="87"/>
      <c r="V2" s="87"/>
      <c r="W2" s="87"/>
      <c r="X2" s="87"/>
      <c r="Y2" s="87"/>
      <c r="Z2" s="87" t="s">
        <v>117</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B5" sqref="B5:C9"/>
    </sheetView>
  </sheetViews>
  <sheetFormatPr defaultRowHeight="16.5" x14ac:dyDescent="0.3"/>
  <cols>
    <col min="1" max="1" width="11.625" style="55" bestFit="1" customWidth="1"/>
    <col min="2" max="16384" width="9" style="55"/>
  </cols>
  <sheetData>
    <row r="1" spans="1:12" x14ac:dyDescent="0.3">
      <c r="K1" s="111">
        <v>1</v>
      </c>
      <c r="L1" s="111" t="s">
        <v>162</v>
      </c>
    </row>
    <row r="2" spans="1:12" x14ac:dyDescent="0.3">
      <c r="A2" s="55" t="s">
        <v>159</v>
      </c>
      <c r="L2" s="111" t="s">
        <v>163</v>
      </c>
    </row>
    <row r="3" spans="1:12" x14ac:dyDescent="0.3">
      <c r="L3" s="111" t="s">
        <v>164</v>
      </c>
    </row>
    <row r="4" spans="1:12" ht="37.5" x14ac:dyDescent="0.3">
      <c r="A4" s="58" t="s">
        <v>2</v>
      </c>
      <c r="B4" s="58" t="s">
        <v>3</v>
      </c>
      <c r="L4" s="111" t="s">
        <v>165</v>
      </c>
    </row>
    <row r="5" spans="1:12" ht="17.25" x14ac:dyDescent="0.3">
      <c r="A5" s="82"/>
      <c r="B5" s="66" t="s">
        <v>167</v>
      </c>
      <c r="L5" s="111" t="s">
        <v>166</v>
      </c>
    </row>
    <row r="6" spans="1:12" ht="17.25" x14ac:dyDescent="0.3">
      <c r="A6" s="82"/>
      <c r="B6" s="66" t="s">
        <v>113</v>
      </c>
    </row>
    <row r="7" spans="1:12" ht="17.25" x14ac:dyDescent="0.3">
      <c r="A7" s="82"/>
      <c r="B7" s="66" t="s">
        <v>168</v>
      </c>
    </row>
    <row r="8" spans="1:12" ht="17.25" x14ac:dyDescent="0.3">
      <c r="A8" s="82"/>
      <c r="B8" s="66" t="s">
        <v>169</v>
      </c>
    </row>
    <row r="9" spans="1:12" ht="17.25" x14ac:dyDescent="0.3">
      <c r="A9" s="82"/>
      <c r="B9" s="67" t="s">
        <v>170</v>
      </c>
    </row>
    <row r="10" spans="1:12" x14ac:dyDescent="0.3">
      <c r="A10" s="82"/>
      <c r="B10" s="82"/>
    </row>
    <row r="11" spans="1:12" ht="37.5" x14ac:dyDescent="0.3">
      <c r="A11" s="58" t="s">
        <v>9</v>
      </c>
      <c r="B11" s="58" t="s">
        <v>10</v>
      </c>
    </row>
    <row r="12" spans="1:12" x14ac:dyDescent="0.3">
      <c r="A12" s="59" t="s">
        <v>11</v>
      </c>
      <c r="B12" s="55" t="s">
        <v>160</v>
      </c>
    </row>
    <row r="13" spans="1:12" x14ac:dyDescent="0.3">
      <c r="A13" s="59" t="s">
        <v>12</v>
      </c>
      <c r="B13" s="55" t="s">
        <v>161</v>
      </c>
    </row>
    <row r="14" spans="1:12" ht="17.25" x14ac:dyDescent="0.3">
      <c r="A14" s="82"/>
      <c r="B14" s="56" t="s">
        <v>4</v>
      </c>
    </row>
    <row r="15" spans="1:12" ht="17.25" x14ac:dyDescent="0.3">
      <c r="A15" s="82"/>
      <c r="B15" s="56" t="s">
        <v>5</v>
      </c>
    </row>
    <row r="16" spans="1:12" ht="17.25" x14ac:dyDescent="0.3">
      <c r="A16" s="82"/>
      <c r="B16" s="56" t="s">
        <v>6</v>
      </c>
    </row>
    <row r="17" spans="1:2" ht="17.25" x14ac:dyDescent="0.3">
      <c r="A17" s="82"/>
      <c r="B17" s="56" t="s">
        <v>7</v>
      </c>
    </row>
    <row r="18" spans="1:2" ht="17.25" x14ac:dyDescent="0.3">
      <c r="A18" s="82"/>
      <c r="B18" s="57" t="s">
        <v>8</v>
      </c>
    </row>
    <row r="19" spans="1:2" x14ac:dyDescent="0.3">
      <c r="A19" s="82"/>
      <c r="B19" s="82"/>
    </row>
    <row r="20" spans="1:2" x14ac:dyDescent="0.3">
      <c r="A20" s="82"/>
      <c r="B20" s="82"/>
    </row>
    <row r="21" spans="1:2" x14ac:dyDescent="0.3">
      <c r="A21" s="82"/>
      <c r="B21" s="82"/>
    </row>
    <row r="22" spans="1:2" x14ac:dyDescent="0.3">
      <c r="A22" s="82"/>
      <c r="B22" s="82"/>
    </row>
    <row r="23" spans="1:2" x14ac:dyDescent="0.3">
      <c r="A23" s="82"/>
      <c r="B23" s="82"/>
    </row>
    <row r="24" spans="1:2" x14ac:dyDescent="0.3">
      <c r="A24" s="83"/>
      <c r="B24" s="82"/>
    </row>
    <row r="25" spans="1:2" x14ac:dyDescent="0.3">
      <c r="A25" s="84"/>
      <c r="B25" s="82"/>
    </row>
    <row r="26" spans="1:2" x14ac:dyDescent="0.3">
      <c r="A26" s="83"/>
      <c r="B26" s="82"/>
    </row>
    <row r="27" spans="1:2" x14ac:dyDescent="0.3">
      <c r="A27" s="84"/>
      <c r="B27" s="82"/>
    </row>
    <row r="28" spans="1:2" x14ac:dyDescent="0.3">
      <c r="A28" s="84"/>
      <c r="B28" s="82"/>
    </row>
    <row r="29" spans="1:2" x14ac:dyDescent="0.3">
      <c r="A29" s="84"/>
      <c r="B29" s="82"/>
    </row>
    <row r="30" spans="1:2" x14ac:dyDescent="0.3">
      <c r="A30" s="84"/>
      <c r="B30" s="82"/>
    </row>
    <row r="31" spans="1:2" x14ac:dyDescent="0.3">
      <c r="A31" s="83"/>
      <c r="B31" s="82"/>
    </row>
    <row r="32" spans="1:2" x14ac:dyDescent="0.3">
      <c r="A32" s="84"/>
      <c r="B32" s="82"/>
    </row>
    <row r="33" spans="1:2" x14ac:dyDescent="0.3">
      <c r="A33" s="84"/>
      <c r="B33" s="82"/>
    </row>
    <row r="34" spans="1:2" x14ac:dyDescent="0.3">
      <c r="A34" s="84"/>
      <c r="B34" s="82"/>
    </row>
    <row r="35" spans="1:2" x14ac:dyDescent="0.3">
      <c r="A35" s="84"/>
      <c r="B35" s="82"/>
    </row>
    <row r="36" spans="1:2" x14ac:dyDescent="0.3">
      <c r="A36" s="83"/>
      <c r="B36" s="82"/>
    </row>
    <row r="37" spans="1:2" x14ac:dyDescent="0.3">
      <c r="A37" s="85"/>
      <c r="B37" s="82"/>
    </row>
    <row r="38" spans="1:2" x14ac:dyDescent="0.3">
      <c r="A38" s="86"/>
      <c r="B38" s="82"/>
    </row>
    <row r="39" spans="1:2" x14ac:dyDescent="0.3">
      <c r="A39" s="85"/>
      <c r="B39" s="82"/>
    </row>
    <row r="40" spans="1:2" x14ac:dyDescent="0.3">
      <c r="A40" s="86"/>
      <c r="B40" s="82"/>
    </row>
    <row r="41" spans="1:2" x14ac:dyDescent="0.3">
      <c r="A41" s="85"/>
      <c r="B41" s="82"/>
    </row>
    <row r="42" spans="1:2" x14ac:dyDescent="0.3">
      <c r="A42" s="86"/>
      <c r="B42" s="82"/>
    </row>
    <row r="43" spans="1:2" x14ac:dyDescent="0.3">
      <c r="A43" s="85"/>
      <c r="B43" s="82"/>
    </row>
    <row r="44" spans="1:2" x14ac:dyDescent="0.3">
      <c r="A44" s="86"/>
      <c r="B44" s="82"/>
    </row>
    <row r="45" spans="1:2" x14ac:dyDescent="0.3">
      <c r="A45" s="85"/>
      <c r="B45" s="82"/>
    </row>
    <row r="46" spans="1:2" x14ac:dyDescent="0.3">
      <c r="A46" s="86"/>
      <c r="B46" s="82"/>
    </row>
    <row r="47" spans="1:2" x14ac:dyDescent="0.3">
      <c r="A47" s="84"/>
      <c r="B47" s="82"/>
    </row>
    <row r="48" spans="1:2" x14ac:dyDescent="0.3">
      <c r="A48" s="84"/>
      <c r="B48" s="82"/>
    </row>
    <row r="49" spans="1:2" x14ac:dyDescent="0.3">
      <c r="A49" s="84"/>
      <c r="B49" s="82"/>
    </row>
    <row r="50" spans="1:2" x14ac:dyDescent="0.3">
      <c r="A50" s="83"/>
      <c r="B50" s="82"/>
    </row>
    <row r="51" spans="1:2" x14ac:dyDescent="0.3">
      <c r="A51" s="84"/>
      <c r="B51" s="82"/>
    </row>
    <row r="52" spans="1:2" x14ac:dyDescent="0.3">
      <c r="A52" s="84"/>
      <c r="B52" s="82"/>
    </row>
    <row r="53" spans="1:2" x14ac:dyDescent="0.3">
      <c r="A53" s="84"/>
      <c r="B53" s="82"/>
    </row>
    <row r="54" spans="1:2" x14ac:dyDescent="0.3">
      <c r="A54" s="84"/>
      <c r="B54" s="82"/>
    </row>
    <row r="55" spans="1:2" x14ac:dyDescent="0.3">
      <c r="A55" s="83"/>
      <c r="B55" s="82"/>
    </row>
    <row r="56" spans="1:2" x14ac:dyDescent="0.3">
      <c r="A56" s="85"/>
      <c r="B56" s="82"/>
    </row>
    <row r="57" spans="1:2" x14ac:dyDescent="0.3">
      <c r="A57" s="85"/>
      <c r="B57" s="82"/>
    </row>
    <row r="58" spans="1:2" x14ac:dyDescent="0.3">
      <c r="A58" s="85"/>
      <c r="B58" s="82"/>
    </row>
    <row r="59" spans="1:2" x14ac:dyDescent="0.3">
      <c r="A59" s="85"/>
      <c r="B59" s="82"/>
    </row>
    <row r="60" spans="1:2" x14ac:dyDescent="0.3">
      <c r="A60" s="84"/>
      <c r="B60" s="82"/>
    </row>
    <row r="61" spans="1:2" x14ac:dyDescent="0.3">
      <c r="A61" s="84"/>
      <c r="B61" s="82"/>
    </row>
    <row r="62" spans="1:2" x14ac:dyDescent="0.3">
      <c r="A62" s="84"/>
      <c r="B62" s="82"/>
    </row>
    <row r="63" spans="1:2" x14ac:dyDescent="0.3">
      <c r="A63" s="83"/>
      <c r="B63" s="82"/>
    </row>
    <row r="64" spans="1:2" x14ac:dyDescent="0.3">
      <c r="A64" s="84"/>
      <c r="B64" s="82"/>
    </row>
    <row r="65" spans="1:2" x14ac:dyDescent="0.3">
      <c r="A65" s="84"/>
      <c r="B65" s="82"/>
    </row>
    <row r="66" spans="1:2" x14ac:dyDescent="0.3">
      <c r="A66" s="84"/>
      <c r="B66" s="82"/>
    </row>
    <row r="67" spans="1:2" x14ac:dyDescent="0.3">
      <c r="A67" s="84"/>
      <c r="B67" s="82"/>
    </row>
    <row r="68" spans="1:2" x14ac:dyDescent="0.3">
      <c r="A68" s="83"/>
      <c r="B68" s="82"/>
    </row>
    <row r="69" spans="1:2" x14ac:dyDescent="0.3">
      <c r="A69" s="85"/>
      <c r="B69" s="82"/>
    </row>
    <row r="70" spans="1:2" x14ac:dyDescent="0.3">
      <c r="A70" s="85"/>
      <c r="B70" s="82"/>
    </row>
    <row r="71" spans="1:2" x14ac:dyDescent="0.3">
      <c r="A71" s="85"/>
      <c r="B71" s="82"/>
    </row>
    <row r="72" spans="1:2" x14ac:dyDescent="0.3">
      <c r="A72" s="85"/>
      <c r="B72" s="82"/>
    </row>
    <row r="73" spans="1:2" x14ac:dyDescent="0.3">
      <c r="A73" s="85"/>
      <c r="B73" s="82"/>
    </row>
    <row r="74" spans="1:2" x14ac:dyDescent="0.3">
      <c r="A74" s="85"/>
      <c r="B74" s="82"/>
    </row>
    <row r="75" spans="1:2" x14ac:dyDescent="0.3">
      <c r="A75" s="84"/>
      <c r="B75" s="82"/>
    </row>
    <row r="76" spans="1:2" x14ac:dyDescent="0.3">
      <c r="A76" s="83"/>
      <c r="B76" s="8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79998168889431442"/>
    <outlinePr summaryBelow="0" summaryRight="0"/>
  </sheetPr>
  <dimension ref="A1:AB164"/>
  <sheetViews>
    <sheetView showGridLines="0" topLeftCell="P1" zoomScaleNormal="100" workbookViewId="0">
      <selection activeCell="P12" sqref="P12"/>
    </sheetView>
  </sheetViews>
  <sheetFormatPr defaultRowHeight="18" customHeight="1" outlineLevelRow="2" outlineLevelCol="1" x14ac:dyDescent="0.3"/>
  <cols>
    <col min="1" max="1" width="9.625" style="2" customWidth="1"/>
    <col min="2" max="2" width="29.625" style="2" customWidth="1"/>
    <col min="3" max="3" width="16.125" style="10" bestFit="1" customWidth="1"/>
    <col min="4" max="4" width="13.75" style="2" bestFit="1" customWidth="1" collapsed="1"/>
    <col min="5" max="5" width="11.375" style="2" hidden="1" customWidth="1" outlineLevel="1"/>
    <col min="6" max="6" width="10.875" style="2" hidden="1" customWidth="1" outlineLevel="1"/>
    <col min="7" max="7" width="10.75" style="2" hidden="1" customWidth="1" outlineLevel="1"/>
    <col min="8" max="10" width="11" style="2" hidden="1" customWidth="1" outlineLevel="1"/>
    <col min="11" max="11" width="10.875" style="2" hidden="1" customWidth="1" outlineLevel="1"/>
    <col min="12" max="13" width="10.5" style="2" hidden="1" customWidth="1" outlineLevel="1"/>
    <col min="14" max="14" width="10.875" style="2" hidden="1" customWidth="1" outlineLevel="1"/>
    <col min="15" max="15" width="10.625" style="2" hidden="1" customWidth="1" outlineLevel="1"/>
    <col min="16" max="16" width="10.625" style="2" customWidth="1"/>
    <col min="17" max="17" width="29.125" style="2" bestFit="1" customWidth="1"/>
    <col min="18" max="18" width="14.5" style="2" bestFit="1" customWidth="1"/>
    <col min="19" max="20" width="13.125" style="2" bestFit="1" customWidth="1"/>
    <col min="21" max="21" width="13.25" style="2" bestFit="1" customWidth="1"/>
    <col min="22" max="22" width="12.125" style="2" bestFit="1" customWidth="1"/>
    <col min="23" max="23" width="8.25" style="2" customWidth="1"/>
    <col min="24" max="24" width="27.375" style="2" bestFit="1" customWidth="1"/>
    <col min="25" max="25" width="10.75" style="2" bestFit="1" customWidth="1"/>
    <col min="26" max="26" width="9" style="2"/>
    <col min="27" max="27" width="9.875" style="2" customWidth="1"/>
    <col min="28" max="16384" width="9" style="2"/>
  </cols>
  <sheetData>
    <row r="1" spans="1:26" ht="18" customHeight="1" x14ac:dyDescent="0.3">
      <c r="B1" s="23"/>
      <c r="C1" s="3" t="s">
        <v>26</v>
      </c>
      <c r="D1" s="2">
        <v>1</v>
      </c>
      <c r="E1" s="2">
        <f>+D1+1</f>
        <v>2</v>
      </c>
      <c r="F1" s="2">
        <f t="shared" ref="F1:O1" si="0">+E1+1</f>
        <v>3</v>
      </c>
      <c r="G1" s="2">
        <f t="shared" si="0"/>
        <v>4</v>
      </c>
      <c r="H1" s="2">
        <f t="shared" si="0"/>
        <v>5</v>
      </c>
      <c r="I1" s="2">
        <f t="shared" si="0"/>
        <v>6</v>
      </c>
      <c r="J1" s="2">
        <f t="shared" si="0"/>
        <v>7</v>
      </c>
      <c r="K1" s="2">
        <f t="shared" si="0"/>
        <v>8</v>
      </c>
      <c r="L1" s="2">
        <f t="shared" si="0"/>
        <v>9</v>
      </c>
      <c r="M1" s="2">
        <f t="shared" si="0"/>
        <v>10</v>
      </c>
      <c r="N1" s="2">
        <f t="shared" si="0"/>
        <v>11</v>
      </c>
      <c r="O1" s="2">
        <f t="shared" si="0"/>
        <v>12</v>
      </c>
      <c r="Q1" s="2" t="s">
        <v>1</v>
      </c>
      <c r="R1" s="81">
        <v>2022</v>
      </c>
      <c r="S1" s="81">
        <v>2023</v>
      </c>
      <c r="T1" s="81">
        <v>2024</v>
      </c>
      <c r="U1" s="81">
        <v>2025</v>
      </c>
      <c r="V1" s="81"/>
      <c r="X1" s="2" t="s">
        <v>0</v>
      </c>
      <c r="Y1" s="103"/>
      <c r="Z1" s="103"/>
    </row>
    <row r="2" spans="1:26" ht="18" customHeight="1" x14ac:dyDescent="0.3">
      <c r="B2" s="23"/>
      <c r="C2" s="26"/>
      <c r="D2" s="27">
        <f>DATE(DiemHoaVon_NamKeHoach,COUNTA($D$49:D49),1)</f>
        <v>1</v>
      </c>
      <c r="E2" s="27">
        <f>DATE(DiemHoaVon_NamKeHoach,COUNTA($D$49:E49),1)</f>
        <v>32</v>
      </c>
      <c r="F2" s="27">
        <f>DATE(DiemHoaVon_NamKeHoach,COUNTA($D$49:F49),1)</f>
        <v>61</v>
      </c>
      <c r="G2" s="27">
        <f>DATE(DiemHoaVon_NamKeHoach,COUNTA($D$49:G49),1)</f>
        <v>92</v>
      </c>
      <c r="H2" s="27">
        <f>DATE(DiemHoaVon_NamKeHoach,COUNTA($D$49:H49),1)</f>
        <v>122</v>
      </c>
      <c r="I2" s="27">
        <f>DATE(DiemHoaVon_NamKeHoach,COUNTA($D$49:I49),1)</f>
        <v>153</v>
      </c>
      <c r="J2" s="27">
        <f>DATE(DiemHoaVon_NamKeHoach,COUNTA($D$49:J49),1)</f>
        <v>183</v>
      </c>
      <c r="K2" s="27">
        <f>DATE(DiemHoaVon_NamKeHoach,COUNTA($D$49:K49),1)</f>
        <v>214</v>
      </c>
      <c r="L2" s="27">
        <f>DATE(DiemHoaVon_NamKeHoach,COUNTA($D$49:L49),1)</f>
        <v>245</v>
      </c>
      <c r="M2" s="27">
        <f>DATE(DiemHoaVon_NamKeHoach,COUNTA($D$49:M49),1)</f>
        <v>275</v>
      </c>
      <c r="N2" s="27">
        <f>DATE(DiemHoaVon_NamKeHoach,COUNTA($D$49:N49),1)</f>
        <v>306</v>
      </c>
      <c r="O2" s="27">
        <f>DATE(DiemHoaVon_NamKeHoach,COUNTA($D$49:O49),1)</f>
        <v>336</v>
      </c>
      <c r="P2" s="27"/>
      <c r="Q2" s="14" t="s">
        <v>158</v>
      </c>
      <c r="R2" s="110">
        <v>0.15</v>
      </c>
      <c r="V2" s="105">
        <v>0.03</v>
      </c>
    </row>
    <row r="3" spans="1:26" ht="18" customHeight="1" x14ac:dyDescent="0.3">
      <c r="B3" s="23"/>
      <c r="C3" s="27"/>
      <c r="D3" s="27"/>
      <c r="E3" s="27"/>
      <c r="F3" s="27"/>
      <c r="G3" s="27"/>
      <c r="H3" s="27"/>
      <c r="I3" s="27"/>
      <c r="J3" s="27"/>
      <c r="K3" s="27"/>
      <c r="L3" s="27"/>
      <c r="M3" s="27"/>
      <c r="N3" s="27"/>
      <c r="O3" s="27"/>
      <c r="P3" s="27"/>
      <c r="Q3" s="14" t="s">
        <v>127</v>
      </c>
      <c r="R3" s="108">
        <f>NPV(R2,R46:V46)</f>
        <v>1277547048.0675142</v>
      </c>
    </row>
    <row r="4" spans="1:26" ht="18" customHeight="1" x14ac:dyDescent="0.3">
      <c r="B4" s="23"/>
      <c r="C4" s="27"/>
      <c r="D4" s="27"/>
      <c r="E4" s="27"/>
      <c r="F4" s="27"/>
      <c r="G4" s="27"/>
      <c r="H4" s="27"/>
      <c r="I4" s="27"/>
      <c r="J4" s="27"/>
      <c r="K4" s="27"/>
      <c r="L4" s="27"/>
      <c r="M4" s="27"/>
      <c r="N4" s="27"/>
      <c r="O4" s="27"/>
      <c r="P4" s="27"/>
      <c r="Q4" s="14" t="s">
        <v>128</v>
      </c>
      <c r="R4" s="109">
        <f>IRR(R46:V46)</f>
        <v>0.2780254864377385</v>
      </c>
    </row>
    <row r="5" spans="1:26" s="3" customFormat="1" ht="18" customHeight="1" x14ac:dyDescent="0.3">
      <c r="B5" s="1" t="s">
        <v>116</v>
      </c>
      <c r="C5" s="1" t="s">
        <v>1</v>
      </c>
      <c r="D5" s="5" t="s">
        <v>28</v>
      </c>
      <c r="E5" s="5" t="s">
        <v>29</v>
      </c>
      <c r="F5" s="5" t="s">
        <v>30</v>
      </c>
      <c r="G5" s="5" t="s">
        <v>31</v>
      </c>
      <c r="H5" s="5" t="s">
        <v>32</v>
      </c>
      <c r="I5" s="5" t="s">
        <v>33</v>
      </c>
      <c r="J5" s="5" t="s">
        <v>34</v>
      </c>
      <c r="K5" s="5" t="s">
        <v>35</v>
      </c>
      <c r="L5" s="5" t="s">
        <v>36</v>
      </c>
      <c r="M5" s="5" t="s">
        <v>37</v>
      </c>
      <c r="N5" s="5" t="s">
        <v>38</v>
      </c>
      <c r="O5" s="5" t="s">
        <v>39</v>
      </c>
      <c r="P5" s="5"/>
      <c r="Q5" s="1" t="s">
        <v>116</v>
      </c>
      <c r="R5" s="1" t="s">
        <v>154</v>
      </c>
      <c r="S5" s="1" t="s">
        <v>155</v>
      </c>
      <c r="T5" s="1" t="s">
        <v>156</v>
      </c>
      <c r="U5" s="1" t="s">
        <v>157</v>
      </c>
      <c r="V5" s="1" t="s">
        <v>115</v>
      </c>
      <c r="X5" s="1" t="s">
        <v>116</v>
      </c>
      <c r="Y5" s="1" t="s">
        <v>0</v>
      </c>
      <c r="Z5" s="1" t="s">
        <v>115</v>
      </c>
    </row>
    <row r="6" spans="1:26" s="3" customFormat="1" ht="18" customHeight="1" x14ac:dyDescent="0.3">
      <c r="B6" s="25" t="s">
        <v>15</v>
      </c>
      <c r="C6" s="69">
        <f>SUM(Table_KeHoach_TuDong[[#This Row],[Tháng 1]:[Tháng 12]])</f>
        <v>0</v>
      </c>
      <c r="D6" s="69">
        <f>+SUM(Table_KeHoach_SanLuong[Tháng 1])</f>
        <v>0</v>
      </c>
      <c r="E6" s="69">
        <f>+SUM(Table_KeHoach_SanLuong[Tháng 2])</f>
        <v>0</v>
      </c>
      <c r="F6" s="69">
        <f>+SUM(Table_KeHoach_SanLuong[Tháng 3])</f>
        <v>0</v>
      </c>
      <c r="G6" s="69">
        <f>+SUM(Table_KeHoach_SanLuong[Tháng 4])</f>
        <v>0</v>
      </c>
      <c r="H6" s="69">
        <f>+SUM(Table_KeHoach_SanLuong[Tháng 5])</f>
        <v>0</v>
      </c>
      <c r="I6" s="69">
        <f>+SUM(Table_KeHoach_SanLuong[Tháng 6])</f>
        <v>0</v>
      </c>
      <c r="J6" s="69">
        <f>+SUM(Table_KeHoach_SanLuong[Tháng 7])</f>
        <v>0</v>
      </c>
      <c r="K6" s="69">
        <f>+SUM(Table_KeHoach_SanLuong[Tháng 8])</f>
        <v>0</v>
      </c>
      <c r="L6" s="69">
        <f>+SUM(Table_KeHoach_SanLuong[Tháng 9])</f>
        <v>0</v>
      </c>
      <c r="M6" s="69">
        <f>+SUM(Table_KeHoach_SanLuong[Tháng 10])</f>
        <v>0</v>
      </c>
      <c r="N6" s="69">
        <f>+SUM(Table_KeHoach_SanLuong[Tháng 11])</f>
        <v>0</v>
      </c>
      <c r="O6" s="69">
        <f>+SUM(Table_KeHoach_SanLuong[Tháng 12])</f>
        <v>0</v>
      </c>
      <c r="P6" s="69"/>
      <c r="Q6" s="25" t="s">
        <v>15</v>
      </c>
      <c r="R6" s="89"/>
      <c r="S6" s="89"/>
      <c r="T6" s="89"/>
      <c r="U6" s="89"/>
      <c r="V6" s="89"/>
      <c r="X6" s="25" t="s">
        <v>15</v>
      </c>
      <c r="Y6" s="89"/>
      <c r="Z6" s="89"/>
    </row>
    <row r="7" spans="1:26" ht="18" customHeight="1" outlineLevel="1" x14ac:dyDescent="0.3">
      <c r="B7" s="33" t="s">
        <v>40</v>
      </c>
      <c r="C7" s="41" t="e">
        <f>(-C22/(C20/C6))/12</f>
        <v>#N/A</v>
      </c>
      <c r="D7" s="41" t="e">
        <f t="shared" ref="D7:O7" si="1">(-D22/(D20/D6))</f>
        <v>#N/A</v>
      </c>
      <c r="E7" s="41" t="e">
        <f t="shared" si="1"/>
        <v>#N/A</v>
      </c>
      <c r="F7" s="41" t="e">
        <f t="shared" si="1"/>
        <v>#N/A</v>
      </c>
      <c r="G7" s="41" t="e">
        <f t="shared" si="1"/>
        <v>#N/A</v>
      </c>
      <c r="H7" s="41" t="e">
        <f t="shared" si="1"/>
        <v>#N/A</v>
      </c>
      <c r="I7" s="41" t="e">
        <f t="shared" si="1"/>
        <v>#N/A</v>
      </c>
      <c r="J7" s="41" t="e">
        <f t="shared" si="1"/>
        <v>#N/A</v>
      </c>
      <c r="K7" s="41" t="e">
        <f t="shared" si="1"/>
        <v>#N/A</v>
      </c>
      <c r="L7" s="41" t="e">
        <f t="shared" si="1"/>
        <v>#N/A</v>
      </c>
      <c r="M7" s="41" t="e">
        <f t="shared" si="1"/>
        <v>#N/A</v>
      </c>
      <c r="N7" s="41" t="e">
        <f t="shared" si="1"/>
        <v>#N/A</v>
      </c>
      <c r="O7" s="41" t="e">
        <f t="shared" si="1"/>
        <v>#N/A</v>
      </c>
      <c r="P7" s="41"/>
      <c r="Q7" s="33" t="s">
        <v>40</v>
      </c>
      <c r="R7" s="41" t="e">
        <f t="shared" ref="R7:V7" si="2">(-R22/(R20/R6))/12</f>
        <v>#DIV/0!</v>
      </c>
      <c r="S7" s="41" t="e">
        <f t="shared" si="2"/>
        <v>#DIV/0!</v>
      </c>
      <c r="T7" s="41" t="e">
        <f t="shared" si="2"/>
        <v>#DIV/0!</v>
      </c>
      <c r="U7" s="41" t="e">
        <f t="shared" si="2"/>
        <v>#DIV/0!</v>
      </c>
      <c r="V7" s="41" t="e">
        <f t="shared" si="2"/>
        <v>#DIV/0!</v>
      </c>
      <c r="X7" s="33" t="s">
        <v>40</v>
      </c>
      <c r="Y7" s="41" t="e">
        <f t="shared" ref="Y7:Z7" si="3">(-Y22/(Y20/Y6))</f>
        <v>#DIV/0!</v>
      </c>
      <c r="Z7" s="41" t="e">
        <f t="shared" si="3"/>
        <v>#DIV/0!</v>
      </c>
    </row>
    <row r="8" spans="1:26" s="34" customFormat="1" ht="18" customHeight="1" outlineLevel="1" x14ac:dyDescent="0.3">
      <c r="A8" s="23"/>
      <c r="B8" s="33" t="s">
        <v>41</v>
      </c>
      <c r="C8" s="41" t="e">
        <f>(-C22/(C20/C6))/365</f>
        <v>#N/A</v>
      </c>
      <c r="D8" s="41" t="e">
        <f t="shared" ref="D8:O8" si="4">D7/_xlfn.DAYS(
DATE(YEAR(D$2),MONTH(D$2)+1,1),
DATE(YEAR(D$2),MONTH(D$2),1)
)</f>
        <v>#N/A</v>
      </c>
      <c r="E8" s="41" t="e">
        <f t="shared" si="4"/>
        <v>#N/A</v>
      </c>
      <c r="F8" s="41" t="e">
        <f t="shared" si="4"/>
        <v>#N/A</v>
      </c>
      <c r="G8" s="41" t="e">
        <f t="shared" si="4"/>
        <v>#N/A</v>
      </c>
      <c r="H8" s="41" t="e">
        <f t="shared" si="4"/>
        <v>#N/A</v>
      </c>
      <c r="I8" s="41" t="e">
        <f t="shared" si="4"/>
        <v>#N/A</v>
      </c>
      <c r="J8" s="41" t="e">
        <f t="shared" si="4"/>
        <v>#N/A</v>
      </c>
      <c r="K8" s="41" t="e">
        <f t="shared" si="4"/>
        <v>#N/A</v>
      </c>
      <c r="L8" s="41" t="e">
        <f t="shared" si="4"/>
        <v>#N/A</v>
      </c>
      <c r="M8" s="41" t="e">
        <f t="shared" si="4"/>
        <v>#N/A</v>
      </c>
      <c r="N8" s="41" t="e">
        <f t="shared" si="4"/>
        <v>#N/A</v>
      </c>
      <c r="O8" s="41" t="e">
        <f t="shared" si="4"/>
        <v>#N/A</v>
      </c>
      <c r="P8" s="41"/>
      <c r="Q8" s="33" t="s">
        <v>41</v>
      </c>
      <c r="R8" s="41" t="e">
        <f t="shared" ref="R8:V8" si="5">(-R22/(R20/R6))/365</f>
        <v>#DIV/0!</v>
      </c>
      <c r="S8" s="41" t="e">
        <f t="shared" si="5"/>
        <v>#DIV/0!</v>
      </c>
      <c r="T8" s="41" t="e">
        <f t="shared" si="5"/>
        <v>#DIV/0!</v>
      </c>
      <c r="U8" s="41" t="e">
        <f t="shared" si="5"/>
        <v>#DIV/0!</v>
      </c>
      <c r="V8" s="41" t="e">
        <f t="shared" si="5"/>
        <v>#DIV/0!</v>
      </c>
      <c r="X8" s="33" t="s">
        <v>41</v>
      </c>
      <c r="Y8" s="41" t="e">
        <f t="shared" ref="Y8" si="6">Y7/_xlfn.DAYS(
DATE(YEAR(Y$2),MONTH(Y$2)+1,1),
DATE(YEAR(Y$2),MONTH(Y$2),1)
)</f>
        <v>#DIV/0!</v>
      </c>
      <c r="Z8" s="41" t="e">
        <f t="shared" ref="Z8" si="7">Z7/_xlfn.DAYS(
DATE(YEAR(Z$2),MONTH(Z$2)+1,1),
DATE(YEAR(Z$2),MONTH(Z$2),1)
)</f>
        <v>#DIV/0!</v>
      </c>
    </row>
    <row r="9" spans="1:26" s="34" customFormat="1" ht="18" customHeight="1" outlineLevel="1" x14ac:dyDescent="0.3">
      <c r="A9" s="23"/>
      <c r="B9" s="20" t="s">
        <v>16</v>
      </c>
      <c r="C9" s="38" t="e">
        <f>(C6/365)/C8-1</f>
        <v>#N/A</v>
      </c>
      <c r="D9" s="38" t="e">
        <f t="shared" ref="D9:O9" si="8">(D6/_xlfn.DAYS(
DATE(YEAR(D$2),MONTH(D$2)+1,1),
DATE(YEAR(D$2),MONTH(D$2),1)))/D8-1</f>
        <v>#N/A</v>
      </c>
      <c r="E9" s="38" t="e">
        <f t="shared" si="8"/>
        <v>#N/A</v>
      </c>
      <c r="F9" s="38" t="e">
        <f t="shared" si="8"/>
        <v>#N/A</v>
      </c>
      <c r="G9" s="38" t="e">
        <f t="shared" si="8"/>
        <v>#N/A</v>
      </c>
      <c r="H9" s="38" t="e">
        <f t="shared" si="8"/>
        <v>#N/A</v>
      </c>
      <c r="I9" s="38" t="e">
        <f t="shared" si="8"/>
        <v>#N/A</v>
      </c>
      <c r="J9" s="38" t="e">
        <f t="shared" si="8"/>
        <v>#N/A</v>
      </c>
      <c r="K9" s="38" t="e">
        <f t="shared" si="8"/>
        <v>#N/A</v>
      </c>
      <c r="L9" s="38" t="e">
        <f t="shared" si="8"/>
        <v>#N/A</v>
      </c>
      <c r="M9" s="38" t="e">
        <f t="shared" si="8"/>
        <v>#N/A</v>
      </c>
      <c r="N9" s="38" t="e">
        <f t="shared" si="8"/>
        <v>#N/A</v>
      </c>
      <c r="O9" s="38" t="e">
        <f t="shared" si="8"/>
        <v>#N/A</v>
      </c>
      <c r="P9" s="38"/>
      <c r="Q9" s="20" t="s">
        <v>16</v>
      </c>
      <c r="R9" s="38" t="e">
        <f t="shared" ref="R9:V9" si="9">(R6/365)/R8-1</f>
        <v>#DIV/0!</v>
      </c>
      <c r="S9" s="38" t="e">
        <f t="shared" si="9"/>
        <v>#DIV/0!</v>
      </c>
      <c r="T9" s="38" t="e">
        <f t="shared" si="9"/>
        <v>#DIV/0!</v>
      </c>
      <c r="U9" s="38" t="e">
        <f t="shared" si="9"/>
        <v>#DIV/0!</v>
      </c>
      <c r="V9" s="38" t="e">
        <f t="shared" si="9"/>
        <v>#DIV/0!</v>
      </c>
      <c r="X9" s="20" t="s">
        <v>16</v>
      </c>
      <c r="Y9" s="38" t="e">
        <f t="shared" ref="Y9" si="10">(Y6/_xlfn.DAYS(
DATE(YEAR(Y$2),MONTH(Y$2)+1,1),
DATE(YEAR(Y$2),MONTH(Y$2),1)))/Y8-1</f>
        <v>#DIV/0!</v>
      </c>
      <c r="Z9" s="38" t="e">
        <f t="shared" ref="Z9" si="11">(Z6/_xlfn.DAYS(
DATE(YEAR(Z$2),MONTH(Z$2)+1,1),
DATE(YEAR(Z$2),MONTH(Z$2),1)))/Z8-1</f>
        <v>#DIV/0!</v>
      </c>
    </row>
    <row r="10" spans="1:26" s="34" customFormat="1" ht="18" customHeight="1" outlineLevel="1" x14ac:dyDescent="0.3">
      <c r="A10" s="23"/>
      <c r="B10" s="25" t="s">
        <v>13</v>
      </c>
      <c r="C10" s="40" t="e">
        <f>SUM(Table_KeHoach_TuDong[[#This Row],[Tháng 1]:[Tháng 12]])</f>
        <v>#N/A</v>
      </c>
      <c r="D10" s="40" t="e">
        <f>+SUM(Table_KeHoach_DoanhThu[Tháng 1])</f>
        <v>#N/A</v>
      </c>
      <c r="E10" s="40" t="e">
        <f>+SUM(Table_KeHoach_DoanhThu[Tháng 2])</f>
        <v>#N/A</v>
      </c>
      <c r="F10" s="40" t="e">
        <f>+SUM(Table_KeHoach_DoanhThu[Tháng 3])</f>
        <v>#N/A</v>
      </c>
      <c r="G10" s="40" t="e">
        <f>+SUM(Table_KeHoach_DoanhThu[Tháng 4])</f>
        <v>#N/A</v>
      </c>
      <c r="H10" s="40" t="e">
        <f>+SUM(Table_KeHoach_DoanhThu[Tháng 5])</f>
        <v>#N/A</v>
      </c>
      <c r="I10" s="40" t="e">
        <f>+SUM(Table_KeHoach_DoanhThu[Tháng 6])</f>
        <v>#N/A</v>
      </c>
      <c r="J10" s="40" t="e">
        <f>+SUM(Table_KeHoach_DoanhThu[Tháng 7])</f>
        <v>#N/A</v>
      </c>
      <c r="K10" s="40" t="e">
        <f>+SUM(Table_KeHoach_DoanhThu[Tháng 8])</f>
        <v>#N/A</v>
      </c>
      <c r="L10" s="40" t="e">
        <f>+SUM(Table_KeHoach_DoanhThu[Tháng 9])</f>
        <v>#N/A</v>
      </c>
      <c r="M10" s="40" t="e">
        <f>+SUM(Table_KeHoach_DoanhThu[Tháng 10])</f>
        <v>#N/A</v>
      </c>
      <c r="N10" s="40" t="e">
        <f>+SUM(Table_KeHoach_DoanhThu[Tháng 11])</f>
        <v>#N/A</v>
      </c>
      <c r="O10" s="40" t="e">
        <f>+SUM(Table_KeHoach_DoanhThu[Tháng 12])</f>
        <v>#N/A</v>
      </c>
      <c r="P10" s="40"/>
      <c r="Q10" s="25" t="s">
        <v>13</v>
      </c>
      <c r="R10" s="90">
        <v>1000000000</v>
      </c>
      <c r="S10" s="90">
        <v>2000000000</v>
      </c>
      <c r="T10" s="90">
        <v>2500000000</v>
      </c>
      <c r="U10" s="90">
        <v>3000000000</v>
      </c>
      <c r="V10" s="90"/>
      <c r="X10" s="25" t="s">
        <v>13</v>
      </c>
      <c r="Y10" s="90"/>
      <c r="Z10" s="90"/>
    </row>
    <row r="11" spans="1:26" ht="18" customHeight="1" outlineLevel="1" x14ac:dyDescent="0.3">
      <c r="B11" s="36" t="s">
        <v>42</v>
      </c>
      <c r="C11" s="45">
        <f t="shared" ref="C11:O11" si="12">IFERROR((C10+C12)/C10,0)</f>
        <v>0</v>
      </c>
      <c r="D11" s="45">
        <f t="shared" si="12"/>
        <v>0</v>
      </c>
      <c r="E11" s="45">
        <f t="shared" si="12"/>
        <v>0</v>
      </c>
      <c r="F11" s="45">
        <f t="shared" si="12"/>
        <v>0</v>
      </c>
      <c r="G11" s="45">
        <f t="shared" si="12"/>
        <v>0</v>
      </c>
      <c r="H11" s="45">
        <f t="shared" si="12"/>
        <v>0</v>
      </c>
      <c r="I11" s="45">
        <f t="shared" si="12"/>
        <v>0</v>
      </c>
      <c r="J11" s="45">
        <f t="shared" si="12"/>
        <v>0</v>
      </c>
      <c r="K11" s="45">
        <f t="shared" si="12"/>
        <v>0</v>
      </c>
      <c r="L11" s="45">
        <f t="shared" si="12"/>
        <v>0</v>
      </c>
      <c r="M11" s="45">
        <f t="shared" si="12"/>
        <v>0</v>
      </c>
      <c r="N11" s="45">
        <f t="shared" si="12"/>
        <v>0</v>
      </c>
      <c r="O11" s="45">
        <f t="shared" si="12"/>
        <v>0</v>
      </c>
      <c r="P11" s="45"/>
      <c r="Q11" s="36" t="s">
        <v>42</v>
      </c>
      <c r="R11" s="45">
        <f t="shared" ref="R11:V11" si="13">IFERROR((R10+R12)/R10,0)</f>
        <v>0.6</v>
      </c>
      <c r="S11" s="45">
        <f t="shared" si="13"/>
        <v>0.61</v>
      </c>
      <c r="T11" s="45">
        <f t="shared" si="13"/>
        <v>0.60399999999999998</v>
      </c>
      <c r="U11" s="45">
        <f t="shared" si="13"/>
        <v>0.6</v>
      </c>
      <c r="V11" s="45">
        <f t="shared" si="13"/>
        <v>0</v>
      </c>
      <c r="X11" s="36" t="s">
        <v>42</v>
      </c>
      <c r="Y11" s="45"/>
      <c r="Z11" s="45"/>
    </row>
    <row r="12" spans="1:26" s="37" customFormat="1" ht="18" customHeight="1" outlineLevel="1" x14ac:dyDescent="0.3">
      <c r="B12" s="20" t="s">
        <v>17</v>
      </c>
      <c r="C12" s="39" t="e">
        <f>SUM(Table_KeHoach_TuDong[[#This Row],[Tháng 1]:[Tháng 12]])</f>
        <v>#N/A</v>
      </c>
      <c r="D12" s="39" t="e">
        <f t="shared" ref="D12:O12" si="14">SUM(D13:D19)</f>
        <v>#N/A</v>
      </c>
      <c r="E12" s="39" t="e">
        <f t="shared" si="14"/>
        <v>#N/A</v>
      </c>
      <c r="F12" s="39" t="e">
        <f t="shared" si="14"/>
        <v>#N/A</v>
      </c>
      <c r="G12" s="39" t="e">
        <f t="shared" si="14"/>
        <v>#N/A</v>
      </c>
      <c r="H12" s="39" t="e">
        <f t="shared" si="14"/>
        <v>#N/A</v>
      </c>
      <c r="I12" s="39" t="e">
        <f t="shared" si="14"/>
        <v>#N/A</v>
      </c>
      <c r="J12" s="39" t="e">
        <f t="shared" si="14"/>
        <v>#N/A</v>
      </c>
      <c r="K12" s="39" t="e">
        <f t="shared" si="14"/>
        <v>#N/A</v>
      </c>
      <c r="L12" s="39" t="e">
        <f t="shared" si="14"/>
        <v>#N/A</v>
      </c>
      <c r="M12" s="39" t="e">
        <f t="shared" si="14"/>
        <v>#N/A</v>
      </c>
      <c r="N12" s="39" t="e">
        <f t="shared" si="14"/>
        <v>#N/A</v>
      </c>
      <c r="O12" s="39" t="e">
        <f t="shared" si="14"/>
        <v>#N/A</v>
      </c>
      <c r="P12" s="39"/>
      <c r="Q12" s="20" t="s">
        <v>17</v>
      </c>
      <c r="R12" s="39">
        <f t="shared" ref="R12:V12" si="15">SUM(R13:R19)</f>
        <v>-400000000</v>
      </c>
      <c r="S12" s="39">
        <f t="shared" si="15"/>
        <v>-780000000</v>
      </c>
      <c r="T12" s="39">
        <f t="shared" si="15"/>
        <v>-990000000</v>
      </c>
      <c r="U12" s="39">
        <f t="shared" si="15"/>
        <v>-1200000000</v>
      </c>
      <c r="V12" s="39">
        <f t="shared" si="15"/>
        <v>0</v>
      </c>
      <c r="X12" s="20" t="s">
        <v>17</v>
      </c>
      <c r="Y12" s="39"/>
      <c r="Z12" s="88"/>
    </row>
    <row r="13" spans="1:26" ht="18" customHeight="1" outlineLevel="2" x14ac:dyDescent="0.3">
      <c r="B13" s="24" t="s">
        <v>43</v>
      </c>
      <c r="C13" s="71">
        <f>SUM(Table_KeHoach_TuDong[[#This Row],[Tháng 1]:[Tháng 12]])</f>
        <v>0</v>
      </c>
      <c r="D13" s="71">
        <f>INDEX(Table_KeHoach_ChietKhau[#All],
MATCH(Table_KeHoach_TuDong[[#This Row],[Gtri]],Table_KeHoach_ChietKhau[[#All],[Kế hoạch chiết khấu thương mại]],0),
MATCH(D$5,Table_KeHoach_ChietKhau[#Headers],0))</f>
        <v>0</v>
      </c>
      <c r="E13" s="71">
        <f>INDEX(Table_KeHoach_ChietKhau[#All],
MATCH(Table_KeHoach_TuDong[[#This Row],[Gtri]],Table_KeHoach_ChietKhau[[#All],[Kế hoạch chiết khấu thương mại]],0),
MATCH(E$5,Table_KeHoach_ChietKhau[#Headers],0))</f>
        <v>0</v>
      </c>
      <c r="F13" s="71">
        <f>INDEX(Table_KeHoach_ChietKhau[#All],
MATCH(Table_KeHoach_TuDong[[#This Row],[Gtri]],Table_KeHoach_ChietKhau[[#All],[Kế hoạch chiết khấu thương mại]],0),
MATCH(F$5,Table_KeHoach_ChietKhau[#Headers],0))</f>
        <v>0</v>
      </c>
      <c r="G13" s="71">
        <f>INDEX(Table_KeHoach_ChietKhau[#All],
MATCH(Table_KeHoach_TuDong[[#This Row],[Gtri]],Table_KeHoach_ChietKhau[[#All],[Kế hoạch chiết khấu thương mại]],0),
MATCH(G$5,Table_KeHoach_ChietKhau[#Headers],0))</f>
        <v>0</v>
      </c>
      <c r="H13" s="71">
        <f>INDEX(Table_KeHoach_ChietKhau[#All],
MATCH(Table_KeHoach_TuDong[[#This Row],[Gtri]],Table_KeHoach_ChietKhau[[#All],[Kế hoạch chiết khấu thương mại]],0),
MATCH(H$5,Table_KeHoach_ChietKhau[#Headers],0))</f>
        <v>0</v>
      </c>
      <c r="I13" s="71">
        <f>INDEX(Table_KeHoach_ChietKhau[#All],
MATCH(Table_KeHoach_TuDong[[#This Row],[Gtri]],Table_KeHoach_ChietKhau[[#All],[Kế hoạch chiết khấu thương mại]],0),
MATCH(I$5,Table_KeHoach_ChietKhau[#Headers],0))</f>
        <v>0</v>
      </c>
      <c r="J13" s="71">
        <f>INDEX(Table_KeHoach_ChietKhau[#All],
MATCH(Table_KeHoach_TuDong[[#This Row],[Gtri]],Table_KeHoach_ChietKhau[[#All],[Kế hoạch chiết khấu thương mại]],0),
MATCH(J$5,Table_KeHoach_ChietKhau[#Headers],0))</f>
        <v>0</v>
      </c>
      <c r="K13" s="71">
        <f>INDEX(Table_KeHoach_ChietKhau[#All],
MATCH(Table_KeHoach_TuDong[[#This Row],[Gtri]],Table_KeHoach_ChietKhau[[#All],[Kế hoạch chiết khấu thương mại]],0),
MATCH(K$5,Table_KeHoach_ChietKhau[#Headers],0))</f>
        <v>0</v>
      </c>
      <c r="L13" s="71">
        <f>INDEX(Table_KeHoach_ChietKhau[#All],
MATCH(Table_KeHoach_TuDong[[#This Row],[Gtri]],Table_KeHoach_ChietKhau[[#All],[Kế hoạch chiết khấu thương mại]],0),
MATCH(L$5,Table_KeHoach_ChietKhau[#Headers],0))</f>
        <v>0</v>
      </c>
      <c r="M13" s="71">
        <f>INDEX(Table_KeHoach_ChietKhau[#All],
MATCH(Table_KeHoach_TuDong[[#This Row],[Gtri]],Table_KeHoach_ChietKhau[[#All],[Kế hoạch chiết khấu thương mại]],0),
MATCH(M$5,Table_KeHoach_ChietKhau[#Headers],0))</f>
        <v>0</v>
      </c>
      <c r="N13" s="71">
        <f>INDEX(Table_KeHoach_ChietKhau[#All],
MATCH(Table_KeHoach_TuDong[[#This Row],[Gtri]],Table_KeHoach_ChietKhau[[#All],[Kế hoạch chiết khấu thương mại]],0),
MATCH(N$5,Table_KeHoach_ChietKhau[#Headers],0))</f>
        <v>0</v>
      </c>
      <c r="O13" s="71">
        <f>INDEX(Table_KeHoach_ChietKhau[#All],
MATCH(Table_KeHoach_TuDong[[#This Row],[Gtri]],Table_KeHoach_ChietKhau[[#All],[Kế hoạch chiết khấu thương mại]],0),
MATCH(O$5,Table_KeHoach_ChietKhau[#Headers],0))</f>
        <v>0</v>
      </c>
      <c r="P13" s="71"/>
      <c r="Q13" s="24" t="s">
        <v>43</v>
      </c>
      <c r="R13" s="39"/>
      <c r="S13" s="91"/>
      <c r="T13" s="91"/>
      <c r="U13" s="91"/>
      <c r="V13" s="91"/>
      <c r="X13" s="24" t="s">
        <v>43</v>
      </c>
      <c r="Y13" s="91"/>
      <c r="Z13" s="91"/>
    </row>
    <row r="14" spans="1:26" s="14" customFormat="1" ht="18" customHeight="1" outlineLevel="2" x14ac:dyDescent="0.3">
      <c r="B14" s="24" t="s">
        <v>44</v>
      </c>
      <c r="C14" s="71">
        <f>SUM(Table_KeHoach_TuDong[[#This Row],[Tháng 1]:[Tháng 12]])</f>
        <v>0</v>
      </c>
      <c r="D14" s="71">
        <f>+SUM(Table_KeHoach_ChiPhiSKU[Tháng 1])+SUM(Table_KeHoach_ChiPhiVatTuSX[Tháng 1])</f>
        <v>0</v>
      </c>
      <c r="E14" s="71">
        <f>+SUM(Table_KeHoach_ChiPhiSKU[Tháng 2])+SUM(Table_KeHoach_ChiPhiVatTuSX[Tháng 2])</f>
        <v>0</v>
      </c>
      <c r="F14" s="71">
        <f>+SUM(Table_KeHoach_ChiPhiSKU[Tháng 3])+SUM(Table_KeHoach_ChiPhiVatTuSX[Tháng 3])</f>
        <v>0</v>
      </c>
      <c r="G14" s="71">
        <f>+SUM(Table_KeHoach_ChiPhiSKU[Tháng 4])+SUM(Table_KeHoach_ChiPhiVatTuSX[Tháng 4])</f>
        <v>0</v>
      </c>
      <c r="H14" s="71">
        <f>+SUM(Table_KeHoach_ChiPhiSKU[Tháng 5])+SUM(Table_KeHoach_ChiPhiVatTuSX[Tháng 5])</f>
        <v>0</v>
      </c>
      <c r="I14" s="71">
        <f>+SUM(Table_KeHoach_ChiPhiSKU[Tháng 6])+SUM(Table_KeHoach_ChiPhiVatTuSX[Tháng 6])</f>
        <v>0</v>
      </c>
      <c r="J14" s="71">
        <f>+SUM(Table_KeHoach_ChiPhiSKU[Tháng 7])+SUM(Table_KeHoach_ChiPhiVatTuSX[Tháng 7])</f>
        <v>0</v>
      </c>
      <c r="K14" s="71">
        <f>+SUM(Table_KeHoach_ChiPhiSKU[Tháng 8])+SUM(Table_KeHoach_ChiPhiVatTuSX[Tháng 8])</f>
        <v>0</v>
      </c>
      <c r="L14" s="71">
        <f>+SUM(Table_KeHoach_ChiPhiSKU[Tháng 9])+SUM(Table_KeHoach_ChiPhiVatTuSX[Tháng 9])</f>
        <v>0</v>
      </c>
      <c r="M14" s="71">
        <f>+SUM(Table_KeHoach_ChiPhiSKU[Tháng 10])+SUM(Table_KeHoach_ChiPhiVatTuSX[Tháng 10])</f>
        <v>0</v>
      </c>
      <c r="N14" s="71">
        <f>+SUM(Table_KeHoach_ChiPhiSKU[Tháng 11])+SUM(Table_KeHoach_ChiPhiVatTuSX[Tháng 11])</f>
        <v>0</v>
      </c>
      <c r="O14" s="71">
        <f>+SUM(Table_KeHoach_ChiPhiSKU[Tháng 12])+SUM(Table_KeHoach_ChiPhiVatTuSX[Tháng 12])</f>
        <v>0</v>
      </c>
      <c r="P14" s="71"/>
      <c r="Q14" s="24" t="s">
        <v>44</v>
      </c>
      <c r="R14" s="91">
        <v>-300000000</v>
      </c>
      <c r="S14" s="91">
        <v>-500000000</v>
      </c>
      <c r="T14" s="91">
        <v>-600000000</v>
      </c>
      <c r="U14" s="91">
        <v>-700000000</v>
      </c>
      <c r="V14" s="91"/>
      <c r="X14" s="24" t="s">
        <v>44</v>
      </c>
      <c r="Y14" s="91"/>
      <c r="Z14" s="91"/>
    </row>
    <row r="15" spans="1:26" ht="18" customHeight="1" outlineLevel="2" x14ac:dyDescent="0.3">
      <c r="B15" s="24" t="s">
        <v>45</v>
      </c>
      <c r="C15" s="71">
        <f>SUM(Table_KeHoach_TuDong[[#This Row],[Tháng 1]:[Tháng 12]])</f>
        <v>0</v>
      </c>
      <c r="D15" s="72">
        <f>+SUM(Table_KeHoach_ChiPhiTienIchSX[Tháng 1])</f>
        <v>0</v>
      </c>
      <c r="E15" s="72">
        <f>+SUM(Table_KeHoach_ChiPhiTienIchSX[Tháng 2])</f>
        <v>0</v>
      </c>
      <c r="F15" s="72">
        <f>+SUM(Table_KeHoach_ChiPhiTienIchSX[Tháng 3])</f>
        <v>0</v>
      </c>
      <c r="G15" s="72">
        <f>+SUM(Table_KeHoach_ChiPhiTienIchSX[Tháng 4])</f>
        <v>0</v>
      </c>
      <c r="H15" s="72">
        <f>+SUM(Table_KeHoach_ChiPhiTienIchSX[Tháng 5])</f>
        <v>0</v>
      </c>
      <c r="I15" s="72">
        <f>+SUM(Table_KeHoach_ChiPhiTienIchSX[Tháng 6])</f>
        <v>0</v>
      </c>
      <c r="J15" s="72">
        <f>+SUM(Table_KeHoach_ChiPhiTienIchSX[Tháng 7])</f>
        <v>0</v>
      </c>
      <c r="K15" s="72">
        <f>+SUM(Table_KeHoach_ChiPhiTienIchSX[Tháng 8])</f>
        <v>0</v>
      </c>
      <c r="L15" s="72">
        <f>+SUM(Table_KeHoach_ChiPhiTienIchSX[Tháng 9])</f>
        <v>0</v>
      </c>
      <c r="M15" s="72">
        <f>+SUM(Table_KeHoach_ChiPhiTienIchSX[Tháng 10])</f>
        <v>0</v>
      </c>
      <c r="N15" s="72">
        <f>+SUM(Table_KeHoach_ChiPhiTienIchSX[Tháng 11])</f>
        <v>0</v>
      </c>
      <c r="O15" s="72">
        <f>+SUM(Table_KeHoach_ChiPhiTienIchSX[Tháng 12])</f>
        <v>0</v>
      </c>
      <c r="P15" s="72"/>
      <c r="Q15" s="24" t="s">
        <v>45</v>
      </c>
      <c r="R15" s="91">
        <v>-100000000</v>
      </c>
      <c r="S15" s="91">
        <v>-200000000</v>
      </c>
      <c r="T15" s="91">
        <v>-250000000</v>
      </c>
      <c r="U15" s="91">
        <v>-300000000</v>
      </c>
      <c r="V15" s="91"/>
      <c r="X15" s="24" t="s">
        <v>45</v>
      </c>
      <c r="Y15" s="91"/>
      <c r="Z15" s="91"/>
    </row>
    <row r="16" spans="1:26" ht="18" customHeight="1" outlineLevel="2" x14ac:dyDescent="0.3">
      <c r="B16" s="24" t="s">
        <v>46</v>
      </c>
      <c r="C16" s="43" t="e">
        <f>SUM(Table_KeHoach_TuDong[[#This Row],[Tháng 1]:[Tháng 12]])</f>
        <v>#N/A</v>
      </c>
      <c r="D16" s="43" t="e">
        <f>+SUM(Table_KeHoach_ChiPhiHoaHong[Tháng 1])</f>
        <v>#N/A</v>
      </c>
      <c r="E16" s="43" t="e">
        <f>+SUM(Table_KeHoach_ChiPhiHoaHong[Tháng 2])</f>
        <v>#N/A</v>
      </c>
      <c r="F16" s="43" t="e">
        <f>+SUM(Table_KeHoach_ChiPhiHoaHong[Tháng 3])</f>
        <v>#N/A</v>
      </c>
      <c r="G16" s="43" t="e">
        <f>+SUM(Table_KeHoach_ChiPhiHoaHong[Tháng 4])</f>
        <v>#N/A</v>
      </c>
      <c r="H16" s="43" t="e">
        <f>+SUM(Table_KeHoach_ChiPhiHoaHong[Tháng 5])</f>
        <v>#N/A</v>
      </c>
      <c r="I16" s="43" t="e">
        <f>+SUM(Table_KeHoach_ChiPhiHoaHong[Tháng 6])</f>
        <v>#N/A</v>
      </c>
      <c r="J16" s="43" t="e">
        <f>+SUM(Table_KeHoach_ChiPhiHoaHong[Tháng 7])</f>
        <v>#N/A</v>
      </c>
      <c r="K16" s="43" t="e">
        <f>+SUM(Table_KeHoach_ChiPhiHoaHong[Tháng 8])</f>
        <v>#N/A</v>
      </c>
      <c r="L16" s="43" t="e">
        <f>+SUM(Table_KeHoach_ChiPhiHoaHong[Tháng 9])</f>
        <v>#N/A</v>
      </c>
      <c r="M16" s="43" t="e">
        <f>+SUM(Table_KeHoach_ChiPhiHoaHong[Tháng 10])</f>
        <v>#N/A</v>
      </c>
      <c r="N16" s="43" t="e">
        <f>+SUM(Table_KeHoach_ChiPhiHoaHong[Tháng 11])</f>
        <v>#N/A</v>
      </c>
      <c r="O16" s="43" t="e">
        <f>+SUM(Table_KeHoach_ChiPhiHoaHong[Tháng 12])</f>
        <v>#N/A</v>
      </c>
      <c r="P16" s="43"/>
      <c r="Q16" s="24" t="s">
        <v>46</v>
      </c>
      <c r="R16" s="91"/>
      <c r="S16" s="91">
        <v>-50000000</v>
      </c>
      <c r="T16" s="91">
        <v>-100000000</v>
      </c>
      <c r="U16" s="91">
        <v>-150000000</v>
      </c>
      <c r="V16" s="91"/>
      <c r="X16" s="24" t="s">
        <v>46</v>
      </c>
      <c r="Y16" s="91"/>
      <c r="Z16" s="91"/>
    </row>
    <row r="17" spans="2:26" s="14" customFormat="1" ht="18" customHeight="1" outlineLevel="2" x14ac:dyDescent="0.3">
      <c r="B17" s="24" t="s">
        <v>47</v>
      </c>
      <c r="C17" s="71">
        <f>SUM(Table_KeHoach_TuDong[[#This Row],[Tháng 1]:[Tháng 12]])</f>
        <v>0</v>
      </c>
      <c r="D17" s="72">
        <f>+SUM(Table_KeHoach_ThuongNhanSu[Tháng 1])</f>
        <v>0</v>
      </c>
      <c r="E17" s="72">
        <f>+SUM(Table_KeHoach_ThuongNhanSu[Tháng 2])</f>
        <v>0</v>
      </c>
      <c r="F17" s="72">
        <f>+SUM(Table_KeHoach_ThuongNhanSu[Tháng 3])</f>
        <v>0</v>
      </c>
      <c r="G17" s="72">
        <f>+SUM(Table_KeHoach_ThuongNhanSu[Tháng 4])</f>
        <v>0</v>
      </c>
      <c r="H17" s="72">
        <f>+SUM(Table_KeHoach_ThuongNhanSu[Tháng 5])</f>
        <v>0</v>
      </c>
      <c r="I17" s="72">
        <f>+SUM(Table_KeHoach_ThuongNhanSu[Tháng 6])</f>
        <v>0</v>
      </c>
      <c r="J17" s="72">
        <f>+SUM(Table_KeHoach_ThuongNhanSu[Tháng 7])</f>
        <v>0</v>
      </c>
      <c r="K17" s="72">
        <f>+SUM(Table_KeHoach_ThuongNhanSu[Tháng 8])</f>
        <v>0</v>
      </c>
      <c r="L17" s="72">
        <f>+SUM(Table_KeHoach_ThuongNhanSu[Tháng 9])</f>
        <v>0</v>
      </c>
      <c r="M17" s="72">
        <f>+SUM(Table_KeHoach_ThuongNhanSu[Tháng 10])</f>
        <v>0</v>
      </c>
      <c r="N17" s="72">
        <f>+SUM(Table_KeHoach_ThuongNhanSu[Tháng 11])</f>
        <v>0</v>
      </c>
      <c r="O17" s="72">
        <f>+SUM(Table_KeHoach_ThuongNhanSu[Tháng 12])</f>
        <v>0</v>
      </c>
      <c r="P17" s="72"/>
      <c r="Q17" s="24" t="s">
        <v>47</v>
      </c>
      <c r="R17" s="91"/>
      <c r="S17" s="91"/>
      <c r="T17" s="91"/>
      <c r="U17" s="91"/>
      <c r="V17" s="91"/>
      <c r="X17" s="24" t="s">
        <v>47</v>
      </c>
      <c r="Y17" s="91"/>
      <c r="Z17" s="91"/>
    </row>
    <row r="18" spans="2:26" ht="18" customHeight="1" outlineLevel="2" x14ac:dyDescent="0.3">
      <c r="B18" s="24" t="s">
        <v>48</v>
      </c>
      <c r="C18" s="43" t="e">
        <f>SUM(Table_KeHoach_TuDong[[#This Row],[Tháng 1]:[Tháng 12]])</f>
        <v>#N/A</v>
      </c>
      <c r="D18" s="44" t="e">
        <f>SUM(Table_KeHoach_ChiPhiThanhToan[Tháng 1])</f>
        <v>#N/A</v>
      </c>
      <c r="E18" s="44" t="e">
        <f>SUM(Table_KeHoach_ChiPhiThanhToan[Tháng 2])</f>
        <v>#N/A</v>
      </c>
      <c r="F18" s="44" t="e">
        <f>SUM(Table_KeHoach_ChiPhiThanhToan[Tháng 3])</f>
        <v>#N/A</v>
      </c>
      <c r="G18" s="44" t="e">
        <f>SUM(Table_KeHoach_ChiPhiThanhToan[Tháng 4])</f>
        <v>#N/A</v>
      </c>
      <c r="H18" s="44" t="e">
        <f>SUM(Table_KeHoach_ChiPhiThanhToan[Tháng 5])</f>
        <v>#N/A</v>
      </c>
      <c r="I18" s="44" t="e">
        <f>SUM(Table_KeHoach_ChiPhiThanhToan[Tháng 6])</f>
        <v>#N/A</v>
      </c>
      <c r="J18" s="44" t="e">
        <f>SUM(Table_KeHoach_ChiPhiThanhToan[Tháng 7])</f>
        <v>#N/A</v>
      </c>
      <c r="K18" s="44" t="e">
        <f>SUM(Table_KeHoach_ChiPhiThanhToan[Tháng 8])</f>
        <v>#N/A</v>
      </c>
      <c r="L18" s="44" t="e">
        <f>SUM(Table_KeHoach_ChiPhiThanhToan[Tháng 9])</f>
        <v>#N/A</v>
      </c>
      <c r="M18" s="44" t="e">
        <f>SUM(Table_KeHoach_ChiPhiThanhToan[Tháng 10])</f>
        <v>#N/A</v>
      </c>
      <c r="N18" s="44" t="e">
        <f>SUM(Table_KeHoach_ChiPhiThanhToan[Tháng 11])</f>
        <v>#N/A</v>
      </c>
      <c r="O18" s="44" t="e">
        <f>SUM(Table_KeHoach_ChiPhiThanhToan[Tháng 12])</f>
        <v>#N/A</v>
      </c>
      <c r="P18" s="44"/>
      <c r="Q18" s="24" t="s">
        <v>48</v>
      </c>
      <c r="R18" s="91"/>
      <c r="S18" s="91"/>
      <c r="T18" s="91"/>
      <c r="U18" s="91"/>
      <c r="V18" s="91"/>
      <c r="X18" s="24" t="s">
        <v>48</v>
      </c>
      <c r="Y18" s="91"/>
      <c r="Z18" s="91"/>
    </row>
    <row r="19" spans="2:26" ht="18" customHeight="1" outlineLevel="2" x14ac:dyDescent="0.3">
      <c r="B19" s="24" t="s">
        <v>49</v>
      </c>
      <c r="C19" s="43" t="e">
        <f>SUM(Table_KeHoach_TuDong[[#This Row],[Tháng 1]:[Tháng 12]])</f>
        <v>#N/A</v>
      </c>
      <c r="D19" s="43" t="e">
        <f>INDEX(Table_KeHoach_ChiPhiShip[#All],
MATCH(Table_KeHoach_TuDong[[#This Row],[Gtri]],Table_KeHoach_ChiPhiShip[[#All],[Kế hoạch chi phí ship]],0),
MATCH(D$5,Table_KeHoach_ChiPhiShip[#Headers],0))</f>
        <v>#N/A</v>
      </c>
      <c r="E19" s="43" t="e">
        <f>INDEX(Table_KeHoach_ChiPhiShip[#All],
MATCH(Table_KeHoach_TuDong[[#This Row],[Gtri]],Table_KeHoach_ChiPhiShip[[#All],[Kế hoạch chi phí ship]],0),
MATCH(E$5,Table_KeHoach_ChiPhiShip[#Headers],0))</f>
        <v>#N/A</v>
      </c>
      <c r="F19" s="43" t="e">
        <f>INDEX(Table_KeHoach_ChiPhiShip[#All],
MATCH(Table_KeHoach_TuDong[[#This Row],[Gtri]],Table_KeHoach_ChiPhiShip[[#All],[Kế hoạch chi phí ship]],0),
MATCH(F$5,Table_KeHoach_ChiPhiShip[#Headers],0))</f>
        <v>#N/A</v>
      </c>
      <c r="G19" s="43" t="e">
        <f>INDEX(Table_KeHoach_ChiPhiShip[#All],
MATCH(Table_KeHoach_TuDong[[#This Row],[Gtri]],Table_KeHoach_ChiPhiShip[[#All],[Kế hoạch chi phí ship]],0),
MATCH(G$5,Table_KeHoach_ChiPhiShip[#Headers],0))</f>
        <v>#N/A</v>
      </c>
      <c r="H19" s="43" t="e">
        <f>INDEX(Table_KeHoach_ChiPhiShip[#All],
MATCH(Table_KeHoach_TuDong[[#This Row],[Gtri]],Table_KeHoach_ChiPhiShip[[#All],[Kế hoạch chi phí ship]],0),
MATCH(H$5,Table_KeHoach_ChiPhiShip[#Headers],0))</f>
        <v>#N/A</v>
      </c>
      <c r="I19" s="43" t="e">
        <f>INDEX(Table_KeHoach_ChiPhiShip[#All],
MATCH(Table_KeHoach_TuDong[[#This Row],[Gtri]],Table_KeHoach_ChiPhiShip[[#All],[Kế hoạch chi phí ship]],0),
MATCH(I$5,Table_KeHoach_ChiPhiShip[#Headers],0))</f>
        <v>#N/A</v>
      </c>
      <c r="J19" s="43" t="e">
        <f>INDEX(Table_KeHoach_ChiPhiShip[#All],
MATCH(Table_KeHoach_TuDong[[#This Row],[Gtri]],Table_KeHoach_ChiPhiShip[[#All],[Kế hoạch chi phí ship]],0),
MATCH(J$5,Table_KeHoach_ChiPhiShip[#Headers],0))</f>
        <v>#N/A</v>
      </c>
      <c r="K19" s="43" t="e">
        <f>INDEX(Table_KeHoach_ChiPhiShip[#All],
MATCH(Table_KeHoach_TuDong[[#This Row],[Gtri]],Table_KeHoach_ChiPhiShip[[#All],[Kế hoạch chi phí ship]],0),
MATCH(K$5,Table_KeHoach_ChiPhiShip[#Headers],0))</f>
        <v>#N/A</v>
      </c>
      <c r="L19" s="43" t="e">
        <f>INDEX(Table_KeHoach_ChiPhiShip[#All],
MATCH(Table_KeHoach_TuDong[[#This Row],[Gtri]],Table_KeHoach_ChiPhiShip[[#All],[Kế hoạch chi phí ship]],0),
MATCH(L$5,Table_KeHoach_ChiPhiShip[#Headers],0))</f>
        <v>#N/A</v>
      </c>
      <c r="M19" s="43" t="e">
        <f>INDEX(Table_KeHoach_ChiPhiShip[#All],
MATCH(Table_KeHoach_TuDong[[#This Row],[Gtri]],Table_KeHoach_ChiPhiShip[[#All],[Kế hoạch chi phí ship]],0),
MATCH(M$5,Table_KeHoach_ChiPhiShip[#Headers],0))</f>
        <v>#N/A</v>
      </c>
      <c r="N19" s="43" t="e">
        <f>INDEX(Table_KeHoach_ChiPhiShip[#All],
MATCH(Table_KeHoach_TuDong[[#This Row],[Gtri]],Table_KeHoach_ChiPhiShip[[#All],[Kế hoạch chi phí ship]],0),
MATCH(N$5,Table_KeHoach_ChiPhiShip[#Headers],0))</f>
        <v>#N/A</v>
      </c>
      <c r="O19" s="43" t="e">
        <f>INDEX(Table_KeHoach_ChiPhiShip[#All],
MATCH(Table_KeHoach_TuDong[[#This Row],[Gtri]],Table_KeHoach_ChiPhiShip[[#All],[Kế hoạch chi phí ship]],0),
MATCH(O$5,Table_KeHoach_ChiPhiShip[#Headers],0))</f>
        <v>#N/A</v>
      </c>
      <c r="P19" s="43"/>
      <c r="Q19" s="24" t="s">
        <v>49</v>
      </c>
      <c r="R19" s="91"/>
      <c r="S19" s="91">
        <v>-30000000</v>
      </c>
      <c r="T19" s="91">
        <v>-40000000</v>
      </c>
      <c r="U19" s="91">
        <v>-50000000</v>
      </c>
      <c r="V19" s="91"/>
      <c r="X19" s="24" t="s">
        <v>49</v>
      </c>
      <c r="Y19" s="91"/>
      <c r="Z19" s="91"/>
    </row>
    <row r="20" spans="2:26" ht="18" customHeight="1" outlineLevel="1" x14ac:dyDescent="0.3">
      <c r="B20" s="25" t="s">
        <v>18</v>
      </c>
      <c r="C20" s="40" t="e">
        <f>SUM(Table_KeHoach_TuDong[[#This Row],[Tháng 1]:[Tháng 12]])</f>
        <v>#N/A</v>
      </c>
      <c r="D20" s="40" t="e">
        <f t="shared" ref="D20:O20" si="16">+D10+D12</f>
        <v>#N/A</v>
      </c>
      <c r="E20" s="40" t="e">
        <f t="shared" si="16"/>
        <v>#N/A</v>
      </c>
      <c r="F20" s="40" t="e">
        <f t="shared" si="16"/>
        <v>#N/A</v>
      </c>
      <c r="G20" s="40" t="e">
        <f t="shared" si="16"/>
        <v>#N/A</v>
      </c>
      <c r="H20" s="40" t="e">
        <f t="shared" si="16"/>
        <v>#N/A</v>
      </c>
      <c r="I20" s="40" t="e">
        <f t="shared" si="16"/>
        <v>#N/A</v>
      </c>
      <c r="J20" s="40" t="e">
        <f t="shared" si="16"/>
        <v>#N/A</v>
      </c>
      <c r="K20" s="40" t="e">
        <f t="shared" si="16"/>
        <v>#N/A</v>
      </c>
      <c r="L20" s="40" t="e">
        <f t="shared" si="16"/>
        <v>#N/A</v>
      </c>
      <c r="M20" s="40" t="e">
        <f t="shared" si="16"/>
        <v>#N/A</v>
      </c>
      <c r="N20" s="40" t="e">
        <f t="shared" si="16"/>
        <v>#N/A</v>
      </c>
      <c r="O20" s="40" t="e">
        <f t="shared" si="16"/>
        <v>#N/A</v>
      </c>
      <c r="P20" s="40"/>
      <c r="Q20" s="25" t="s">
        <v>18</v>
      </c>
      <c r="R20" s="40">
        <f t="shared" ref="R20:V20" si="17">+R10+R12</f>
        <v>600000000</v>
      </c>
      <c r="S20" s="40">
        <f t="shared" si="17"/>
        <v>1220000000</v>
      </c>
      <c r="T20" s="40">
        <f t="shared" si="17"/>
        <v>1510000000</v>
      </c>
      <c r="U20" s="40">
        <f t="shared" si="17"/>
        <v>1800000000</v>
      </c>
      <c r="V20" s="40">
        <f t="shared" si="17"/>
        <v>0</v>
      </c>
      <c r="X20" s="25" t="s">
        <v>18</v>
      </c>
      <c r="Y20" s="40"/>
      <c r="Z20" s="90"/>
    </row>
    <row r="21" spans="2:26" s="19" customFormat="1" ht="18" customHeight="1" outlineLevel="1" x14ac:dyDescent="0.3">
      <c r="B21" s="36" t="s">
        <v>50</v>
      </c>
      <c r="C21" s="45">
        <f t="shared" ref="C21:O21" si="18">IFERROR(C22/(C22+C12),0)</f>
        <v>0</v>
      </c>
      <c r="D21" s="45">
        <f t="shared" si="18"/>
        <v>0</v>
      </c>
      <c r="E21" s="45">
        <f t="shared" si="18"/>
        <v>0</v>
      </c>
      <c r="F21" s="45">
        <f t="shared" si="18"/>
        <v>0</v>
      </c>
      <c r="G21" s="45">
        <f t="shared" si="18"/>
        <v>0</v>
      </c>
      <c r="H21" s="45">
        <f t="shared" si="18"/>
        <v>0</v>
      </c>
      <c r="I21" s="45">
        <f t="shared" si="18"/>
        <v>0</v>
      </c>
      <c r="J21" s="45">
        <f t="shared" si="18"/>
        <v>0</v>
      </c>
      <c r="K21" s="45">
        <f t="shared" si="18"/>
        <v>0</v>
      </c>
      <c r="L21" s="45">
        <f t="shared" si="18"/>
        <v>0</v>
      </c>
      <c r="M21" s="45">
        <f t="shared" si="18"/>
        <v>0</v>
      </c>
      <c r="N21" s="45">
        <f t="shared" si="18"/>
        <v>0</v>
      </c>
      <c r="O21" s="45">
        <f t="shared" si="18"/>
        <v>0</v>
      </c>
      <c r="P21" s="45"/>
      <c r="Q21" s="36" t="s">
        <v>50</v>
      </c>
      <c r="R21" s="45">
        <f t="shared" ref="R21:V21" si="19">IFERROR(R22/(R22+R12),0)</f>
        <v>0.61165048543689315</v>
      </c>
      <c r="S21" s="45">
        <f t="shared" si="19"/>
        <v>0.54385964912280704</v>
      </c>
      <c r="T21" s="45">
        <f t="shared" si="19"/>
        <v>0.54897494305239181</v>
      </c>
      <c r="U21" s="45">
        <f t="shared" si="19"/>
        <v>0.550561797752809</v>
      </c>
      <c r="V21" s="45">
        <f t="shared" si="19"/>
        <v>0</v>
      </c>
      <c r="X21" s="36" t="s">
        <v>50</v>
      </c>
      <c r="Y21" s="45"/>
      <c r="Z21" s="45"/>
    </row>
    <row r="22" spans="2:26" s="19" customFormat="1" ht="18" customHeight="1" outlineLevel="1" x14ac:dyDescent="0.3">
      <c r="B22" s="20" t="s">
        <v>19</v>
      </c>
      <c r="C22" s="39" t="e">
        <f>SUM(Table_KeHoach_TuDong[[#This Row],[Tháng 1]:[Tháng 12]])</f>
        <v>#N/A</v>
      </c>
      <c r="D22" s="39" t="e">
        <f t="shared" ref="D22:O22" si="20">+SUM(D23:D31)</f>
        <v>#N/A</v>
      </c>
      <c r="E22" s="39" t="e">
        <f t="shared" si="20"/>
        <v>#N/A</v>
      </c>
      <c r="F22" s="39" t="e">
        <f t="shared" si="20"/>
        <v>#N/A</v>
      </c>
      <c r="G22" s="39" t="e">
        <f t="shared" si="20"/>
        <v>#N/A</v>
      </c>
      <c r="H22" s="39" t="e">
        <f t="shared" si="20"/>
        <v>#N/A</v>
      </c>
      <c r="I22" s="39" t="e">
        <f t="shared" si="20"/>
        <v>#N/A</v>
      </c>
      <c r="J22" s="39" t="e">
        <f t="shared" si="20"/>
        <v>#N/A</v>
      </c>
      <c r="K22" s="39" t="e">
        <f t="shared" si="20"/>
        <v>#N/A</v>
      </c>
      <c r="L22" s="39" t="e">
        <f t="shared" si="20"/>
        <v>#N/A</v>
      </c>
      <c r="M22" s="39" t="e">
        <f t="shared" si="20"/>
        <v>#N/A</v>
      </c>
      <c r="N22" s="39" t="e">
        <f t="shared" si="20"/>
        <v>#N/A</v>
      </c>
      <c r="O22" s="39" t="e">
        <f t="shared" si="20"/>
        <v>#N/A</v>
      </c>
      <c r="P22" s="39"/>
      <c r="Q22" s="20" t="s">
        <v>19</v>
      </c>
      <c r="R22" s="39">
        <f t="shared" ref="R22:V22" si="21">+SUM(R23:R31)</f>
        <v>-630000000</v>
      </c>
      <c r="S22" s="39">
        <f t="shared" si="21"/>
        <v>-930000000</v>
      </c>
      <c r="T22" s="39">
        <f t="shared" si="21"/>
        <v>-1205000000</v>
      </c>
      <c r="U22" s="39">
        <f t="shared" si="21"/>
        <v>-1470000000</v>
      </c>
      <c r="V22" s="39">
        <f t="shared" si="21"/>
        <v>0</v>
      </c>
      <c r="X22" s="20" t="s">
        <v>19</v>
      </c>
      <c r="Y22" s="39"/>
      <c r="Z22" s="88"/>
    </row>
    <row r="23" spans="2:26" s="37" customFormat="1" ht="18" customHeight="1" outlineLevel="2" x14ac:dyDescent="0.3">
      <c r="B23" s="24" t="s">
        <v>51</v>
      </c>
      <c r="C23" s="43" t="e">
        <f>SUM(Table_KeHoach_TuDong[[#This Row],[Tháng 1]:[Tháng 12]])</f>
        <v>#N/A</v>
      </c>
      <c r="D23" s="43" t="e">
        <f>+SUM(Table_KeHoach_LuongGross[Tháng 1])</f>
        <v>#N/A</v>
      </c>
      <c r="E23" s="43" t="e">
        <f>+SUM(Table_KeHoach_LuongGross[Tháng 2])</f>
        <v>#N/A</v>
      </c>
      <c r="F23" s="43" t="e">
        <f>+SUM(Table_KeHoach_LuongGross[Tháng 3])</f>
        <v>#N/A</v>
      </c>
      <c r="G23" s="43" t="e">
        <f>+SUM(Table_KeHoach_LuongGross[Tháng 4])</f>
        <v>#N/A</v>
      </c>
      <c r="H23" s="43" t="e">
        <f>+SUM(Table_KeHoach_LuongGross[Tháng 5])</f>
        <v>#N/A</v>
      </c>
      <c r="I23" s="43" t="e">
        <f>+SUM(Table_KeHoach_LuongGross[Tháng 6])</f>
        <v>#N/A</v>
      </c>
      <c r="J23" s="43" t="e">
        <f>+SUM(Table_KeHoach_LuongGross[Tháng 7])</f>
        <v>#N/A</v>
      </c>
      <c r="K23" s="43" t="e">
        <f>+SUM(Table_KeHoach_LuongGross[Tháng 8])</f>
        <v>#N/A</v>
      </c>
      <c r="L23" s="43" t="e">
        <f>+SUM(Table_KeHoach_LuongGross[Tháng 9])</f>
        <v>#N/A</v>
      </c>
      <c r="M23" s="43" t="e">
        <f>+SUM(Table_KeHoach_LuongGross[Tháng 10])</f>
        <v>#N/A</v>
      </c>
      <c r="N23" s="43" t="e">
        <f>+SUM(Table_KeHoach_LuongGross[Tháng 11])</f>
        <v>#N/A</v>
      </c>
      <c r="O23" s="43" t="e">
        <f>+SUM(Table_KeHoach_LuongGross[Tháng 12])</f>
        <v>#N/A</v>
      </c>
      <c r="P23" s="43"/>
      <c r="Q23" s="24" t="s">
        <v>51</v>
      </c>
      <c r="R23" s="91">
        <v>-100000000</v>
      </c>
      <c r="S23" s="91">
        <v>-200000000</v>
      </c>
      <c r="T23" s="91">
        <v>-300000000</v>
      </c>
      <c r="U23" s="91">
        <v>-400000000</v>
      </c>
      <c r="V23" s="91"/>
      <c r="X23" s="24" t="s">
        <v>51</v>
      </c>
      <c r="Y23" s="91"/>
      <c r="Z23" s="91"/>
    </row>
    <row r="24" spans="2:26" s="19" customFormat="1" ht="18" customHeight="1" outlineLevel="2" x14ac:dyDescent="0.3">
      <c r="B24" s="24" t="s">
        <v>52</v>
      </c>
      <c r="C24" s="71">
        <f>SUM(Table_KeHoach_TuDong[[#This Row],[Tháng 1]:[Tháng 12]])</f>
        <v>0</v>
      </c>
      <c r="D24" s="71">
        <f>+SUM(Table_KeHoach_ChiPhiVatTuVP[Tháng 1])</f>
        <v>0</v>
      </c>
      <c r="E24" s="71">
        <f>+SUM(Table_KeHoach_ChiPhiVatTuVP[Tháng 2])</f>
        <v>0</v>
      </c>
      <c r="F24" s="71">
        <f>+SUM(Table_KeHoach_ChiPhiVatTuVP[Tháng 3])</f>
        <v>0</v>
      </c>
      <c r="G24" s="71">
        <f>+SUM(Table_KeHoach_ChiPhiVatTuVP[Tháng 4])</f>
        <v>0</v>
      </c>
      <c r="H24" s="71">
        <f>+SUM(Table_KeHoach_ChiPhiVatTuVP[Tháng 5])</f>
        <v>0</v>
      </c>
      <c r="I24" s="71">
        <f>+SUM(Table_KeHoach_ChiPhiVatTuVP[Tháng 6])</f>
        <v>0</v>
      </c>
      <c r="J24" s="71">
        <f>+SUM(Table_KeHoach_ChiPhiVatTuVP[Tháng 7])</f>
        <v>0</v>
      </c>
      <c r="K24" s="71">
        <f>+SUM(Table_KeHoach_ChiPhiVatTuVP[Tháng 8])</f>
        <v>0</v>
      </c>
      <c r="L24" s="71">
        <f>+SUM(Table_KeHoach_ChiPhiVatTuVP[Tháng 9])</f>
        <v>0</v>
      </c>
      <c r="M24" s="71">
        <f>+SUM(Table_KeHoach_ChiPhiVatTuVP[Tháng 10])</f>
        <v>0</v>
      </c>
      <c r="N24" s="71">
        <f>+SUM(Table_KeHoach_ChiPhiVatTuVP[Tháng 11])</f>
        <v>0</v>
      </c>
      <c r="O24" s="71">
        <f>+SUM(Table_KeHoach_ChiPhiVatTuVP[Tháng 12])</f>
        <v>0</v>
      </c>
      <c r="P24" s="71"/>
      <c r="Q24" s="24" t="s">
        <v>52</v>
      </c>
      <c r="R24" s="91">
        <v>-30000000</v>
      </c>
      <c r="S24" s="91">
        <v>-40000000</v>
      </c>
      <c r="T24" s="91">
        <v>-45000000</v>
      </c>
      <c r="U24" s="91">
        <v>-50000000</v>
      </c>
      <c r="V24" s="91"/>
      <c r="X24" s="24" t="s">
        <v>52</v>
      </c>
      <c r="Y24" s="91"/>
      <c r="Z24" s="91"/>
    </row>
    <row r="25" spans="2:26" ht="18" customHeight="1" outlineLevel="2" x14ac:dyDescent="0.3">
      <c r="B25" s="24" t="s">
        <v>99</v>
      </c>
      <c r="C25" s="71">
        <f>SUM(Table_KeHoach_TuDong[[#This Row],[Tháng 1]:[Tháng 12]])</f>
        <v>0</v>
      </c>
      <c r="D25" s="95">
        <f t="shared" ref="D25:O25" si="22">+D126</f>
        <v>0</v>
      </c>
      <c r="E25" s="95">
        <f t="shared" si="22"/>
        <v>0</v>
      </c>
      <c r="F25" s="95">
        <f t="shared" si="22"/>
        <v>0</v>
      </c>
      <c r="G25" s="95">
        <f t="shared" si="22"/>
        <v>0</v>
      </c>
      <c r="H25" s="95">
        <f t="shared" si="22"/>
        <v>0</v>
      </c>
      <c r="I25" s="95">
        <f t="shared" si="22"/>
        <v>0</v>
      </c>
      <c r="J25" s="95">
        <f t="shared" si="22"/>
        <v>0</v>
      </c>
      <c r="K25" s="95">
        <f t="shared" si="22"/>
        <v>0</v>
      </c>
      <c r="L25" s="95">
        <f t="shared" si="22"/>
        <v>0</v>
      </c>
      <c r="M25" s="95">
        <f t="shared" si="22"/>
        <v>0</v>
      </c>
      <c r="N25" s="95">
        <f t="shared" si="22"/>
        <v>0</v>
      </c>
      <c r="O25" s="95">
        <f t="shared" si="22"/>
        <v>0</v>
      </c>
      <c r="P25" s="95"/>
      <c r="Q25" s="24" t="s">
        <v>99</v>
      </c>
      <c r="R25" s="91"/>
      <c r="S25" s="91"/>
      <c r="T25" s="91"/>
      <c r="U25" s="91"/>
      <c r="V25" s="91"/>
      <c r="X25" s="24" t="s">
        <v>99</v>
      </c>
      <c r="Y25" s="91"/>
      <c r="Z25" s="91"/>
    </row>
    <row r="26" spans="2:26" ht="18" customHeight="1" outlineLevel="2" x14ac:dyDescent="0.3">
      <c r="B26" s="24" t="s">
        <v>53</v>
      </c>
      <c r="C26" s="71">
        <f>SUM(Table_KeHoach_TuDong[[#This Row],[Tháng 1]:[Tháng 12]])</f>
        <v>0</v>
      </c>
      <c r="D26" s="71">
        <f t="shared" ref="D26:O26" si="23">+SUM(D127:D128)</f>
        <v>0</v>
      </c>
      <c r="E26" s="71">
        <f t="shared" si="23"/>
        <v>0</v>
      </c>
      <c r="F26" s="71">
        <f t="shared" si="23"/>
        <v>0</v>
      </c>
      <c r="G26" s="71">
        <f t="shared" si="23"/>
        <v>0</v>
      </c>
      <c r="H26" s="71">
        <f t="shared" si="23"/>
        <v>0</v>
      </c>
      <c r="I26" s="71">
        <f t="shared" si="23"/>
        <v>0</v>
      </c>
      <c r="J26" s="71">
        <f t="shared" si="23"/>
        <v>0</v>
      </c>
      <c r="K26" s="71">
        <f t="shared" si="23"/>
        <v>0</v>
      </c>
      <c r="L26" s="71">
        <f t="shared" si="23"/>
        <v>0</v>
      </c>
      <c r="M26" s="71">
        <f t="shared" si="23"/>
        <v>0</v>
      </c>
      <c r="N26" s="71">
        <f t="shared" si="23"/>
        <v>0</v>
      </c>
      <c r="O26" s="71">
        <f t="shared" si="23"/>
        <v>0</v>
      </c>
      <c r="P26" s="71"/>
      <c r="Q26" s="24" t="s">
        <v>53</v>
      </c>
      <c r="R26" s="91">
        <v>-50000000</v>
      </c>
      <c r="S26" s="91">
        <v>-100000000</v>
      </c>
      <c r="T26" s="91">
        <v>-200000000</v>
      </c>
      <c r="U26" s="91">
        <v>-300000000</v>
      </c>
      <c r="V26" s="91"/>
      <c r="X26" s="24" t="s">
        <v>53</v>
      </c>
      <c r="Y26" s="91"/>
      <c r="Z26" s="91"/>
    </row>
    <row r="27" spans="2:26" ht="18" customHeight="1" outlineLevel="2" x14ac:dyDescent="0.3">
      <c r="B27" s="24" t="s">
        <v>54</v>
      </c>
      <c r="C27" s="71">
        <f>SUM(Table_KeHoach_TuDong[[#This Row],[Tháng 1]:[Tháng 12]])</f>
        <v>0</v>
      </c>
      <c r="D27" s="71">
        <f>+SUM(Table_KeHoach_ChiPhiKhac[Tháng 1])</f>
        <v>0</v>
      </c>
      <c r="E27" s="71">
        <f>+SUM(Table_KeHoach_ChiPhiKhac[Tháng 2])</f>
        <v>0</v>
      </c>
      <c r="F27" s="71">
        <f>+SUM(Table_KeHoach_ChiPhiKhac[Tháng 3])</f>
        <v>0</v>
      </c>
      <c r="G27" s="71">
        <f>+SUM(Table_KeHoach_ChiPhiKhac[Tháng 4])</f>
        <v>0</v>
      </c>
      <c r="H27" s="71">
        <f>+SUM(Table_KeHoach_ChiPhiKhac[Tháng 5])</f>
        <v>0</v>
      </c>
      <c r="I27" s="71">
        <f>+SUM(Table_KeHoach_ChiPhiKhac[Tháng 6])</f>
        <v>0</v>
      </c>
      <c r="J27" s="71">
        <f>+SUM(Table_KeHoach_ChiPhiKhac[Tháng 7])</f>
        <v>0</v>
      </c>
      <c r="K27" s="71">
        <f>+SUM(Table_KeHoach_ChiPhiKhac[Tháng 8])</f>
        <v>0</v>
      </c>
      <c r="L27" s="71">
        <f>+SUM(Table_KeHoach_ChiPhiKhac[Tháng 9])</f>
        <v>0</v>
      </c>
      <c r="M27" s="71">
        <f>+SUM(Table_KeHoach_ChiPhiKhac[Tháng 10])</f>
        <v>0</v>
      </c>
      <c r="N27" s="71">
        <f>+SUM(Table_KeHoach_ChiPhiKhac[Tháng 11])</f>
        <v>0</v>
      </c>
      <c r="O27" s="71">
        <f>+SUM(Table_KeHoach_ChiPhiKhac[Tháng 12])</f>
        <v>0</v>
      </c>
      <c r="P27" s="71"/>
      <c r="Q27" s="24" t="s">
        <v>54</v>
      </c>
      <c r="R27" s="91">
        <v>-100000000</v>
      </c>
      <c r="S27" s="91">
        <v>-150000000</v>
      </c>
      <c r="T27" s="91">
        <v>-200000000</v>
      </c>
      <c r="U27" s="91">
        <v>-250000000</v>
      </c>
      <c r="V27" s="91"/>
      <c r="X27" s="24" t="s">
        <v>54</v>
      </c>
      <c r="Y27" s="91"/>
      <c r="Z27" s="91"/>
    </row>
    <row r="28" spans="2:26" s="14" customFormat="1" ht="18" customHeight="1" outlineLevel="2" x14ac:dyDescent="0.3">
      <c r="B28" s="24" t="s">
        <v>55</v>
      </c>
      <c r="C28" s="71">
        <f>SUM(Table_KeHoach_TuDong[[#This Row],[Tháng 1]:[Tháng 12]])</f>
        <v>0</v>
      </c>
      <c r="D28" s="71">
        <f>+D137</f>
        <v>0</v>
      </c>
      <c r="E28" s="71">
        <f t="shared" ref="E28:O28" si="24">+E137</f>
        <v>0</v>
      </c>
      <c r="F28" s="71">
        <f t="shared" si="24"/>
        <v>0</v>
      </c>
      <c r="G28" s="71">
        <f t="shared" si="24"/>
        <v>0</v>
      </c>
      <c r="H28" s="71">
        <f t="shared" si="24"/>
        <v>0</v>
      </c>
      <c r="I28" s="71">
        <f t="shared" si="24"/>
        <v>0</v>
      </c>
      <c r="J28" s="71">
        <f t="shared" si="24"/>
        <v>0</v>
      </c>
      <c r="K28" s="71">
        <f t="shared" si="24"/>
        <v>0</v>
      </c>
      <c r="L28" s="71">
        <f t="shared" si="24"/>
        <v>0</v>
      </c>
      <c r="M28" s="71">
        <f t="shared" si="24"/>
        <v>0</v>
      </c>
      <c r="N28" s="71">
        <f t="shared" si="24"/>
        <v>0</v>
      </c>
      <c r="O28" s="71">
        <f t="shared" si="24"/>
        <v>0</v>
      </c>
      <c r="P28" s="71"/>
      <c r="Q28" s="24" t="s">
        <v>55</v>
      </c>
      <c r="R28" s="91">
        <v>-200000000</v>
      </c>
      <c r="S28" s="91">
        <v>-200000000</v>
      </c>
      <c r="T28" s="91">
        <v>-200000000</v>
      </c>
      <c r="U28" s="91">
        <v>-200000000</v>
      </c>
      <c r="V28" s="91"/>
      <c r="X28" s="24" t="s">
        <v>55</v>
      </c>
      <c r="Y28" s="91"/>
      <c r="Z28" s="91"/>
    </row>
    <row r="29" spans="2:26" ht="18" customHeight="1" outlineLevel="2" x14ac:dyDescent="0.3">
      <c r="B29" s="24" t="s">
        <v>56</v>
      </c>
      <c r="C29" s="71">
        <f>SUM(Table_KeHoach_TuDong[[#This Row],[Tháng 1]:[Tháng 12]])</f>
        <v>0</v>
      </c>
      <c r="D29" s="71">
        <f>+D138</f>
        <v>0</v>
      </c>
      <c r="E29" s="71">
        <f t="shared" ref="E29:O29" si="25">+E138</f>
        <v>0</v>
      </c>
      <c r="F29" s="71">
        <f t="shared" si="25"/>
        <v>0</v>
      </c>
      <c r="G29" s="71">
        <f t="shared" si="25"/>
        <v>0</v>
      </c>
      <c r="H29" s="71">
        <f t="shared" si="25"/>
        <v>0</v>
      </c>
      <c r="I29" s="71">
        <f t="shared" si="25"/>
        <v>0</v>
      </c>
      <c r="J29" s="71">
        <f t="shared" si="25"/>
        <v>0</v>
      </c>
      <c r="K29" s="71">
        <f t="shared" si="25"/>
        <v>0</v>
      </c>
      <c r="L29" s="71">
        <f t="shared" si="25"/>
        <v>0</v>
      </c>
      <c r="M29" s="71">
        <f t="shared" si="25"/>
        <v>0</v>
      </c>
      <c r="N29" s="71">
        <f t="shared" si="25"/>
        <v>0</v>
      </c>
      <c r="O29" s="71">
        <f t="shared" si="25"/>
        <v>0</v>
      </c>
      <c r="P29" s="71"/>
      <c r="Q29" s="24" t="s">
        <v>56</v>
      </c>
      <c r="R29" s="91">
        <v>-100000000</v>
      </c>
      <c r="S29" s="91">
        <v>-90000000</v>
      </c>
      <c r="T29" s="91">
        <v>-80000000</v>
      </c>
      <c r="U29" s="91">
        <v>-70000000</v>
      </c>
      <c r="V29" s="91"/>
      <c r="X29" s="24" t="s">
        <v>56</v>
      </c>
      <c r="Y29" s="91"/>
      <c r="Z29" s="91"/>
    </row>
    <row r="30" spans="2:26" ht="18" customHeight="1" outlineLevel="2" x14ac:dyDescent="0.3">
      <c r="B30" s="24" t="s">
        <v>58</v>
      </c>
      <c r="C30" s="71" t="e">
        <f>SUM(Table_KeHoach_TuDong[[#This Row],[Tháng 1]:[Tháng 12]])</f>
        <v>#N/A</v>
      </c>
      <c r="D30" s="71" t="e">
        <f>+Table_KeHoach_ThuePhi[[#Totals],[Tháng 1]]</f>
        <v>#N/A</v>
      </c>
      <c r="E30" s="71" t="e">
        <f>+Table_KeHoach_ThuePhi[[#Totals],[Tháng 1]]</f>
        <v>#N/A</v>
      </c>
      <c r="F30" s="71" t="e">
        <f>+Table_KeHoach_ThuePhi[[#Totals],[Tháng 1]]</f>
        <v>#N/A</v>
      </c>
      <c r="G30" s="71" t="e">
        <f>+Table_KeHoach_ThuePhi[[#Totals],[Tháng 1]]</f>
        <v>#N/A</v>
      </c>
      <c r="H30" s="71" t="e">
        <f>+Table_KeHoach_ThuePhi[[#Totals],[Tháng 1]]</f>
        <v>#N/A</v>
      </c>
      <c r="I30" s="71" t="e">
        <f>+Table_KeHoach_ThuePhi[[#Totals],[Tháng 1]]</f>
        <v>#N/A</v>
      </c>
      <c r="J30" s="71" t="e">
        <f>+Table_KeHoach_ThuePhi[[#Totals],[Tháng 1]]</f>
        <v>#N/A</v>
      </c>
      <c r="K30" s="71" t="e">
        <f>+Table_KeHoach_ThuePhi[[#Totals],[Tháng 1]]</f>
        <v>#N/A</v>
      </c>
      <c r="L30" s="71" t="e">
        <f>+Table_KeHoach_ThuePhi[[#Totals],[Tháng 1]]</f>
        <v>#N/A</v>
      </c>
      <c r="M30" s="71" t="e">
        <f>+Table_KeHoach_ThuePhi[[#Totals],[Tháng 1]]</f>
        <v>#N/A</v>
      </c>
      <c r="N30" s="71" t="e">
        <f>+Table_KeHoach_ThuePhi[[#Totals],[Tháng 1]]</f>
        <v>#N/A</v>
      </c>
      <c r="O30" s="71" t="e">
        <f>+Table_KeHoach_ThuePhi[[#Totals],[Tháng 1]]</f>
        <v>#N/A</v>
      </c>
      <c r="P30" s="71"/>
      <c r="Q30" s="24" t="s">
        <v>58</v>
      </c>
      <c r="R30" s="91">
        <v>-50000000</v>
      </c>
      <c r="S30" s="91">
        <v>-150000000</v>
      </c>
      <c r="T30" s="91">
        <v>-180000000</v>
      </c>
      <c r="U30" s="91">
        <v>-200000000</v>
      </c>
      <c r="V30" s="91"/>
      <c r="X30" s="24" t="s">
        <v>58</v>
      </c>
      <c r="Y30" s="91"/>
      <c r="Z30" s="91"/>
    </row>
    <row r="31" spans="2:26" ht="18" customHeight="1" outlineLevel="2" x14ac:dyDescent="0.3">
      <c r="B31" s="24" t="s">
        <v>57</v>
      </c>
      <c r="C31" s="71">
        <f>SUM(Table_KeHoach_TuDong[[#This Row],[Tháng 1]:[Tháng 12]])</f>
        <v>0</v>
      </c>
      <c r="D31" s="71">
        <f>+Table_KeHoach_CPKhac[[#Totals],[Tháng 1]]</f>
        <v>0</v>
      </c>
      <c r="E31" s="71">
        <f>+Table_KeHoach_CPKhac[[#Totals],[Tháng 1]]</f>
        <v>0</v>
      </c>
      <c r="F31" s="71">
        <f>+Table_KeHoach_CPKhac[[#Totals],[Tháng 1]]</f>
        <v>0</v>
      </c>
      <c r="G31" s="71">
        <f>+Table_KeHoach_CPKhac[[#Totals],[Tháng 1]]</f>
        <v>0</v>
      </c>
      <c r="H31" s="71">
        <f>+Table_KeHoach_CPKhac[[#Totals],[Tháng 1]]</f>
        <v>0</v>
      </c>
      <c r="I31" s="71">
        <f>+Table_KeHoach_CPKhac[[#Totals],[Tháng 1]]</f>
        <v>0</v>
      </c>
      <c r="J31" s="71">
        <f>+Table_KeHoach_CPKhac[[#Totals],[Tháng 1]]</f>
        <v>0</v>
      </c>
      <c r="K31" s="71">
        <f>+Table_KeHoach_CPKhac[[#Totals],[Tháng 1]]</f>
        <v>0</v>
      </c>
      <c r="L31" s="71">
        <f>+Table_KeHoach_CPKhac[[#Totals],[Tháng 1]]</f>
        <v>0</v>
      </c>
      <c r="M31" s="71">
        <f>+Table_KeHoach_CPKhac[[#Totals],[Tháng 1]]</f>
        <v>0</v>
      </c>
      <c r="N31" s="71">
        <f>+Table_KeHoach_CPKhac[[#Totals],[Tháng 1]]</f>
        <v>0</v>
      </c>
      <c r="O31" s="71">
        <f>+Table_KeHoach_CPKhac[[#Totals],[Tháng 1]]</f>
        <v>0</v>
      </c>
      <c r="P31" s="71"/>
      <c r="Q31" s="24" t="s">
        <v>57</v>
      </c>
      <c r="R31" s="91"/>
      <c r="S31" s="91"/>
      <c r="T31" s="91"/>
      <c r="U31" s="91"/>
      <c r="V31" s="91"/>
      <c r="X31" s="24" t="s">
        <v>57</v>
      </c>
      <c r="Y31" s="91"/>
      <c r="Z31" s="91"/>
    </row>
    <row r="32" spans="2:26" ht="18" customHeight="1" outlineLevel="1" x14ac:dyDescent="0.3">
      <c r="B32" s="33" t="s">
        <v>59</v>
      </c>
      <c r="C32" s="41" t="e">
        <f t="shared" ref="C32:O32" si="26">+C20+C22</f>
        <v>#N/A</v>
      </c>
      <c r="D32" s="41" t="e">
        <f t="shared" si="26"/>
        <v>#N/A</v>
      </c>
      <c r="E32" s="41" t="e">
        <f t="shared" si="26"/>
        <v>#N/A</v>
      </c>
      <c r="F32" s="41" t="e">
        <f t="shared" si="26"/>
        <v>#N/A</v>
      </c>
      <c r="G32" s="41" t="e">
        <f t="shared" si="26"/>
        <v>#N/A</v>
      </c>
      <c r="H32" s="41" t="e">
        <f t="shared" si="26"/>
        <v>#N/A</v>
      </c>
      <c r="I32" s="41" t="e">
        <f t="shared" si="26"/>
        <v>#N/A</v>
      </c>
      <c r="J32" s="41" t="e">
        <f t="shared" si="26"/>
        <v>#N/A</v>
      </c>
      <c r="K32" s="41" t="e">
        <f t="shared" si="26"/>
        <v>#N/A</v>
      </c>
      <c r="L32" s="41" t="e">
        <f t="shared" si="26"/>
        <v>#N/A</v>
      </c>
      <c r="M32" s="41" t="e">
        <f t="shared" si="26"/>
        <v>#N/A</v>
      </c>
      <c r="N32" s="41" t="e">
        <f t="shared" si="26"/>
        <v>#N/A</v>
      </c>
      <c r="O32" s="41" t="e">
        <f t="shared" si="26"/>
        <v>#N/A</v>
      </c>
      <c r="P32" s="41"/>
      <c r="Q32" s="33" t="s">
        <v>59</v>
      </c>
      <c r="R32" s="41">
        <f t="shared" ref="R32:V32" si="27">+R20+R22</f>
        <v>-30000000</v>
      </c>
      <c r="S32" s="41">
        <f t="shared" si="27"/>
        <v>290000000</v>
      </c>
      <c r="T32" s="41">
        <f t="shared" si="27"/>
        <v>305000000</v>
      </c>
      <c r="U32" s="41">
        <f t="shared" si="27"/>
        <v>330000000</v>
      </c>
      <c r="V32" s="41">
        <f t="shared" si="27"/>
        <v>0</v>
      </c>
      <c r="X32" s="33" t="s">
        <v>59</v>
      </c>
      <c r="Y32" s="92"/>
      <c r="Z32" s="92"/>
    </row>
    <row r="33" spans="2:26" s="19" customFormat="1" ht="18" customHeight="1" outlineLevel="1" x14ac:dyDescent="0.3">
      <c r="B33" s="49" t="s">
        <v>20</v>
      </c>
      <c r="C33" s="50" t="e">
        <f>+C34+C36</f>
        <v>#N/A</v>
      </c>
      <c r="D33" s="50" t="e">
        <f t="shared" ref="D33:O33" si="28">+D34+D36</f>
        <v>#N/A</v>
      </c>
      <c r="E33" s="50" t="e">
        <f t="shared" si="28"/>
        <v>#N/A</v>
      </c>
      <c r="F33" s="50" t="e">
        <f t="shared" si="28"/>
        <v>#N/A</v>
      </c>
      <c r="G33" s="50" t="e">
        <f t="shared" si="28"/>
        <v>#N/A</v>
      </c>
      <c r="H33" s="50" t="e">
        <f t="shared" si="28"/>
        <v>#N/A</v>
      </c>
      <c r="I33" s="50" t="e">
        <f t="shared" si="28"/>
        <v>#N/A</v>
      </c>
      <c r="J33" s="50" t="e">
        <f t="shared" si="28"/>
        <v>#N/A</v>
      </c>
      <c r="K33" s="50" t="e">
        <f t="shared" si="28"/>
        <v>#N/A</v>
      </c>
      <c r="L33" s="50" t="e">
        <f t="shared" si="28"/>
        <v>#N/A</v>
      </c>
      <c r="M33" s="50" t="e">
        <f t="shared" si="28"/>
        <v>#N/A</v>
      </c>
      <c r="N33" s="50" t="e">
        <f>+N34+N36</f>
        <v>#N/A</v>
      </c>
      <c r="O33" s="50" t="e">
        <f t="shared" si="28"/>
        <v>#N/A</v>
      </c>
      <c r="P33" s="46"/>
      <c r="Q33" s="49" t="s">
        <v>20</v>
      </c>
      <c r="R33" s="50">
        <f t="shared" ref="R33:V33" si="29">+R34+R36</f>
        <v>150000000</v>
      </c>
      <c r="S33" s="50">
        <f t="shared" si="29"/>
        <v>430000000</v>
      </c>
      <c r="T33" s="50">
        <f t="shared" si="29"/>
        <v>405000000</v>
      </c>
      <c r="U33" s="50">
        <f t="shared" si="29"/>
        <v>380000000</v>
      </c>
      <c r="V33" s="50">
        <f t="shared" si="29"/>
        <v>0</v>
      </c>
      <c r="X33" s="49" t="s">
        <v>20</v>
      </c>
      <c r="Y33" s="93"/>
      <c r="Z33" s="93"/>
    </row>
    <row r="34" spans="2:26" s="19" customFormat="1" ht="18" customHeight="1" outlineLevel="2" x14ac:dyDescent="0.3">
      <c r="B34" s="20" t="s">
        <v>60</v>
      </c>
      <c r="C34" s="39" t="e">
        <f t="shared" ref="C34:O34" si="30">C10*(1-C35)</f>
        <v>#N/A</v>
      </c>
      <c r="D34" s="39" t="e">
        <f t="shared" si="30"/>
        <v>#N/A</v>
      </c>
      <c r="E34" s="39" t="e">
        <f t="shared" si="30"/>
        <v>#N/A</v>
      </c>
      <c r="F34" s="39" t="e">
        <f t="shared" si="30"/>
        <v>#N/A</v>
      </c>
      <c r="G34" s="39" t="e">
        <f t="shared" si="30"/>
        <v>#N/A</v>
      </c>
      <c r="H34" s="39" t="e">
        <f t="shared" si="30"/>
        <v>#N/A</v>
      </c>
      <c r="I34" s="39" t="e">
        <f t="shared" si="30"/>
        <v>#N/A</v>
      </c>
      <c r="J34" s="39" t="e">
        <f t="shared" si="30"/>
        <v>#N/A</v>
      </c>
      <c r="K34" s="39" t="e">
        <f t="shared" si="30"/>
        <v>#N/A</v>
      </c>
      <c r="L34" s="39" t="e">
        <f t="shared" si="30"/>
        <v>#N/A</v>
      </c>
      <c r="M34" s="39" t="e">
        <f t="shared" si="30"/>
        <v>#N/A</v>
      </c>
      <c r="N34" s="39" t="e">
        <f t="shared" si="30"/>
        <v>#N/A</v>
      </c>
      <c r="O34" s="39" t="e">
        <f t="shared" si="30"/>
        <v>#N/A</v>
      </c>
      <c r="P34" s="50"/>
      <c r="Q34" s="20" t="s">
        <v>60</v>
      </c>
      <c r="R34" s="91">
        <f>R35*R10</f>
        <v>980000000</v>
      </c>
      <c r="S34" s="91">
        <f t="shared" ref="S34:U34" si="31">S35*S10</f>
        <v>1940000000</v>
      </c>
      <c r="T34" s="91">
        <f t="shared" si="31"/>
        <v>2400000000</v>
      </c>
      <c r="U34" s="91">
        <f t="shared" si="31"/>
        <v>2850000000</v>
      </c>
      <c r="V34" s="91"/>
      <c r="X34" s="20" t="s">
        <v>60</v>
      </c>
      <c r="Y34" s="91"/>
      <c r="Z34" s="91"/>
    </row>
    <row r="35" spans="2:26" s="19" customFormat="1" ht="18" customHeight="1" outlineLevel="2" x14ac:dyDescent="0.3">
      <c r="B35" s="36" t="s">
        <v>21</v>
      </c>
      <c r="C35" s="47"/>
      <c r="D35" s="47" cm="1">
        <f t="array" ref="D35">+Table_KeHoach_TyLeNo[Tháng 1]</f>
        <v>0</v>
      </c>
      <c r="E35" s="47" cm="1">
        <f t="array" ref="E35">+Table_KeHoach_TyLeNo[Tháng 1]</f>
        <v>0</v>
      </c>
      <c r="F35" s="47" cm="1">
        <f t="array" ref="F35">+Table_KeHoach_TyLeNo[Tháng 1]</f>
        <v>0</v>
      </c>
      <c r="G35" s="47" cm="1">
        <f t="array" ref="G35">+Table_KeHoach_TyLeNo[Tháng 1]</f>
        <v>0</v>
      </c>
      <c r="H35" s="47" cm="1">
        <f t="array" ref="H35">+Table_KeHoach_TyLeNo[Tháng 1]</f>
        <v>0</v>
      </c>
      <c r="I35" s="47" cm="1">
        <f t="array" ref="I35">+Table_KeHoach_TyLeNo[Tháng 1]</f>
        <v>0</v>
      </c>
      <c r="J35" s="47" cm="1">
        <f t="array" ref="J35">+Table_KeHoach_TyLeNo[Tháng 1]</f>
        <v>0</v>
      </c>
      <c r="K35" s="47" cm="1">
        <f t="array" ref="K35">+Table_KeHoach_TyLeNo[Tháng 1]</f>
        <v>0</v>
      </c>
      <c r="L35" s="47" cm="1">
        <f t="array" ref="L35">+Table_KeHoach_TyLeNo[Tháng 1]</f>
        <v>0</v>
      </c>
      <c r="M35" s="47" cm="1">
        <f t="array" ref="M35">+Table_KeHoach_TyLeNo[Tháng 1]</f>
        <v>0</v>
      </c>
      <c r="N35" s="47" cm="1">
        <f t="array" ref="N35">+Table_KeHoach_TyLeNo[Tháng 1]</f>
        <v>0</v>
      </c>
      <c r="O35" s="47" cm="1">
        <f t="array" ref="O35">+Table_KeHoach_TyLeNo[Tháng 1]</f>
        <v>0</v>
      </c>
      <c r="P35" s="39"/>
      <c r="Q35" s="36" t="s">
        <v>21</v>
      </c>
      <c r="R35" s="47">
        <v>0.98</v>
      </c>
      <c r="S35" s="47">
        <v>0.97</v>
      </c>
      <c r="T35" s="47">
        <v>0.96</v>
      </c>
      <c r="U35" s="47">
        <v>0.95</v>
      </c>
      <c r="V35" s="47"/>
      <c r="X35" s="36" t="s">
        <v>21</v>
      </c>
      <c r="Y35" s="47"/>
      <c r="Z35" s="47"/>
    </row>
    <row r="36" spans="2:26" s="19" customFormat="1" ht="18" customHeight="1" outlineLevel="2" x14ac:dyDescent="0.3">
      <c r="B36" s="48" t="s">
        <v>61</v>
      </c>
      <c r="C36" s="39" t="e">
        <f t="shared" ref="C36:O36" si="32">+C12+C22-C28</f>
        <v>#N/A</v>
      </c>
      <c r="D36" s="39" t="e">
        <f t="shared" si="32"/>
        <v>#N/A</v>
      </c>
      <c r="E36" s="39" t="e">
        <f t="shared" si="32"/>
        <v>#N/A</v>
      </c>
      <c r="F36" s="39" t="e">
        <f t="shared" si="32"/>
        <v>#N/A</v>
      </c>
      <c r="G36" s="39" t="e">
        <f t="shared" si="32"/>
        <v>#N/A</v>
      </c>
      <c r="H36" s="39" t="e">
        <f t="shared" si="32"/>
        <v>#N/A</v>
      </c>
      <c r="I36" s="39" t="e">
        <f t="shared" si="32"/>
        <v>#N/A</v>
      </c>
      <c r="J36" s="39" t="e">
        <f t="shared" si="32"/>
        <v>#N/A</v>
      </c>
      <c r="K36" s="39" t="e">
        <f t="shared" si="32"/>
        <v>#N/A</v>
      </c>
      <c r="L36" s="39" t="e">
        <f t="shared" si="32"/>
        <v>#N/A</v>
      </c>
      <c r="M36" s="39" t="e">
        <f t="shared" si="32"/>
        <v>#N/A</v>
      </c>
      <c r="N36" s="39" t="e">
        <f t="shared" si="32"/>
        <v>#N/A</v>
      </c>
      <c r="O36" s="39" t="e">
        <f t="shared" si="32"/>
        <v>#N/A</v>
      </c>
      <c r="P36" s="47"/>
      <c r="Q36" s="48" t="s">
        <v>61</v>
      </c>
      <c r="R36" s="39">
        <f t="shared" ref="R36:V36" si="33">+R12+R22-R28</f>
        <v>-830000000</v>
      </c>
      <c r="S36" s="39">
        <f t="shared" si="33"/>
        <v>-1510000000</v>
      </c>
      <c r="T36" s="39">
        <f t="shared" si="33"/>
        <v>-1995000000</v>
      </c>
      <c r="U36" s="39">
        <f t="shared" si="33"/>
        <v>-2470000000</v>
      </c>
      <c r="V36" s="39">
        <f t="shared" si="33"/>
        <v>0</v>
      </c>
      <c r="X36" s="48" t="s">
        <v>61</v>
      </c>
      <c r="Y36" s="91"/>
      <c r="Z36" s="91"/>
    </row>
    <row r="37" spans="2:26" s="19" customFormat="1" ht="18" customHeight="1" outlineLevel="1" x14ac:dyDescent="0.3">
      <c r="B37" s="25" t="s">
        <v>62</v>
      </c>
      <c r="C37" s="73">
        <f t="shared" ref="C37:O37" si="34">+SUM(C38:C40)</f>
        <v>0</v>
      </c>
      <c r="D37" s="73">
        <f t="shared" si="34"/>
        <v>0</v>
      </c>
      <c r="E37" s="73">
        <f t="shared" si="34"/>
        <v>0</v>
      </c>
      <c r="F37" s="73">
        <f t="shared" si="34"/>
        <v>0</v>
      </c>
      <c r="G37" s="73">
        <f t="shared" si="34"/>
        <v>0</v>
      </c>
      <c r="H37" s="73">
        <f t="shared" si="34"/>
        <v>0</v>
      </c>
      <c r="I37" s="73">
        <f t="shared" si="34"/>
        <v>0</v>
      </c>
      <c r="J37" s="73">
        <f t="shared" si="34"/>
        <v>0</v>
      </c>
      <c r="K37" s="73">
        <f t="shared" si="34"/>
        <v>0</v>
      </c>
      <c r="L37" s="73">
        <f t="shared" si="34"/>
        <v>0</v>
      </c>
      <c r="M37" s="73">
        <f t="shared" si="34"/>
        <v>0</v>
      </c>
      <c r="N37" s="73">
        <f t="shared" si="34"/>
        <v>0</v>
      </c>
      <c r="O37" s="73">
        <f t="shared" si="34"/>
        <v>0</v>
      </c>
      <c r="P37" s="39"/>
      <c r="Q37" s="25" t="s">
        <v>62</v>
      </c>
      <c r="R37" s="40">
        <f t="shared" ref="R37:V37" si="35">+SUM(R38:R40)</f>
        <v>-4200000000</v>
      </c>
      <c r="S37" s="40">
        <f t="shared" si="35"/>
        <v>-190000000</v>
      </c>
      <c r="T37" s="40">
        <f t="shared" si="35"/>
        <v>-180000000</v>
      </c>
      <c r="U37" s="40">
        <f t="shared" si="35"/>
        <v>-170000000</v>
      </c>
      <c r="V37" s="40">
        <f t="shared" si="35"/>
        <v>0</v>
      </c>
      <c r="X37" s="25" t="s">
        <v>62</v>
      </c>
      <c r="Y37" s="89"/>
      <c r="Z37" s="89"/>
    </row>
    <row r="38" spans="2:26" s="19" customFormat="1" ht="18" customHeight="1" outlineLevel="2" x14ac:dyDescent="0.3">
      <c r="B38" s="24" t="s">
        <v>63</v>
      </c>
      <c r="C38" s="71">
        <f>SUM(Table_KeHoach_TuDong[[#This Row],[Tháng 1]:[Tháng 12]])</f>
        <v>0</v>
      </c>
      <c r="D38" s="71">
        <f>+D138+D139</f>
        <v>0</v>
      </c>
      <c r="E38" s="71">
        <f t="shared" ref="E38:O38" si="36">+E138+E139</f>
        <v>0</v>
      </c>
      <c r="F38" s="71">
        <f t="shared" si="36"/>
        <v>0</v>
      </c>
      <c r="G38" s="71">
        <f t="shared" si="36"/>
        <v>0</v>
      </c>
      <c r="H38" s="71">
        <f t="shared" si="36"/>
        <v>0</v>
      </c>
      <c r="I38" s="71">
        <f t="shared" si="36"/>
        <v>0</v>
      </c>
      <c r="J38" s="71">
        <f t="shared" si="36"/>
        <v>0</v>
      </c>
      <c r="K38" s="71">
        <f t="shared" si="36"/>
        <v>0</v>
      </c>
      <c r="L38" s="71">
        <f t="shared" si="36"/>
        <v>0</v>
      </c>
      <c r="M38" s="71">
        <f t="shared" si="36"/>
        <v>0</v>
      </c>
      <c r="N38" s="71">
        <f t="shared" si="36"/>
        <v>0</v>
      </c>
      <c r="O38" s="71">
        <f t="shared" si="36"/>
        <v>0</v>
      </c>
      <c r="P38" s="73"/>
      <c r="Q38" s="24" t="s">
        <v>63</v>
      </c>
      <c r="R38" s="91">
        <v>-200000000</v>
      </c>
      <c r="S38" s="91">
        <v>-190000000</v>
      </c>
      <c r="T38" s="91">
        <v>-180000000</v>
      </c>
      <c r="U38" s="91">
        <v>-170000000</v>
      </c>
      <c r="V38" s="91"/>
      <c r="X38" s="24" t="s">
        <v>63</v>
      </c>
      <c r="Y38" s="91"/>
      <c r="Z38" s="91"/>
    </row>
    <row r="39" spans="2:26" s="19" customFormat="1" ht="18" customHeight="1" outlineLevel="2" x14ac:dyDescent="0.3">
      <c r="B39" s="24" t="s">
        <v>64</v>
      </c>
      <c r="C39" s="71">
        <f>SUM(Table_KeHoach_TuDong[[#This Row],[Tháng 1]:[Tháng 12]])</f>
        <v>0</v>
      </c>
      <c r="D39" s="71"/>
      <c r="E39" s="71"/>
      <c r="F39" s="71"/>
      <c r="G39" s="71"/>
      <c r="H39" s="71"/>
      <c r="I39" s="71"/>
      <c r="J39" s="71"/>
      <c r="K39" s="71"/>
      <c r="L39" s="71"/>
      <c r="M39" s="71"/>
      <c r="N39" s="71"/>
      <c r="O39" s="71"/>
      <c r="P39" s="71"/>
      <c r="Q39" s="24" t="s">
        <v>64</v>
      </c>
      <c r="R39" s="91">
        <v>-4000000000</v>
      </c>
      <c r="S39" s="91"/>
      <c r="T39" s="91"/>
      <c r="U39" s="91"/>
      <c r="V39" s="91"/>
      <c r="X39" s="24" t="s">
        <v>64</v>
      </c>
      <c r="Y39" s="91"/>
      <c r="Z39" s="91"/>
    </row>
    <row r="40" spans="2:26" s="19" customFormat="1" ht="18" customHeight="1" outlineLevel="2" x14ac:dyDescent="0.3">
      <c r="B40" s="24" t="s">
        <v>65</v>
      </c>
      <c r="C40" s="71">
        <f>SUM(Table_KeHoach_TuDong[[#This Row],[Tháng 1]:[Tháng 12]])</f>
        <v>0</v>
      </c>
      <c r="D40" s="71"/>
      <c r="E40" s="71"/>
      <c r="F40" s="71"/>
      <c r="G40" s="71"/>
      <c r="H40" s="71"/>
      <c r="I40" s="71"/>
      <c r="J40" s="71"/>
      <c r="K40" s="71"/>
      <c r="L40" s="71"/>
      <c r="M40" s="71"/>
      <c r="N40" s="71"/>
      <c r="O40" s="71"/>
      <c r="P40" s="71"/>
      <c r="Q40" s="24" t="s">
        <v>65</v>
      </c>
      <c r="R40" s="91"/>
      <c r="S40" s="91"/>
      <c r="T40" s="91"/>
      <c r="U40" s="91"/>
      <c r="V40" s="91"/>
      <c r="X40" s="24" t="s">
        <v>65</v>
      </c>
      <c r="Y40" s="91"/>
      <c r="Z40" s="91"/>
    </row>
    <row r="41" spans="2:26" s="19" customFormat="1" ht="18" customHeight="1" outlineLevel="1" x14ac:dyDescent="0.3">
      <c r="B41" s="33" t="s">
        <v>66</v>
      </c>
      <c r="C41" s="41" t="e">
        <f t="shared" ref="C41:O41" si="37">+C33+C38</f>
        <v>#N/A</v>
      </c>
      <c r="D41" s="41" t="e">
        <f t="shared" si="37"/>
        <v>#N/A</v>
      </c>
      <c r="E41" s="41" t="e">
        <f t="shared" si="37"/>
        <v>#N/A</v>
      </c>
      <c r="F41" s="41" t="e">
        <f t="shared" si="37"/>
        <v>#N/A</v>
      </c>
      <c r="G41" s="41" t="e">
        <f t="shared" si="37"/>
        <v>#N/A</v>
      </c>
      <c r="H41" s="41" t="e">
        <f t="shared" si="37"/>
        <v>#N/A</v>
      </c>
      <c r="I41" s="41" t="e">
        <f t="shared" si="37"/>
        <v>#N/A</v>
      </c>
      <c r="J41" s="41" t="e">
        <f t="shared" si="37"/>
        <v>#N/A</v>
      </c>
      <c r="K41" s="41" t="e">
        <f t="shared" si="37"/>
        <v>#N/A</v>
      </c>
      <c r="L41" s="41" t="e">
        <f t="shared" si="37"/>
        <v>#N/A</v>
      </c>
      <c r="M41" s="41" t="e">
        <f t="shared" si="37"/>
        <v>#N/A</v>
      </c>
      <c r="N41" s="41" t="e">
        <f t="shared" si="37"/>
        <v>#N/A</v>
      </c>
      <c r="O41" s="41" t="e">
        <f t="shared" si="37"/>
        <v>#N/A</v>
      </c>
      <c r="P41" s="71"/>
      <c r="Q41" s="33" t="s">
        <v>66</v>
      </c>
      <c r="R41" s="41">
        <f t="shared" ref="R41:V41" si="38">+R33+R38</f>
        <v>-50000000</v>
      </c>
      <c r="S41" s="41">
        <f t="shared" si="38"/>
        <v>240000000</v>
      </c>
      <c r="T41" s="41">
        <f t="shared" si="38"/>
        <v>225000000</v>
      </c>
      <c r="U41" s="41">
        <f t="shared" si="38"/>
        <v>210000000</v>
      </c>
      <c r="V41" s="41">
        <f t="shared" si="38"/>
        <v>0</v>
      </c>
      <c r="X41" s="33" t="s">
        <v>66</v>
      </c>
      <c r="Y41" s="92"/>
      <c r="Z41" s="92"/>
    </row>
    <row r="42" spans="2:26" s="19" customFormat="1" ht="18" customHeight="1" outlineLevel="2" x14ac:dyDescent="0.3">
      <c r="B42" s="24" t="s">
        <v>67</v>
      </c>
      <c r="C42" s="68">
        <f>SUM(Table_KeHoach_TuDong[[#This Row],[Tháng 1]:[Tháng 12]])</f>
        <v>0</v>
      </c>
      <c r="D42" s="70"/>
      <c r="E42" s="70"/>
      <c r="F42" s="70"/>
      <c r="G42" s="70"/>
      <c r="H42" s="70"/>
      <c r="I42" s="70"/>
      <c r="J42" s="70"/>
      <c r="K42" s="70"/>
      <c r="L42" s="70"/>
      <c r="M42" s="70"/>
      <c r="N42" s="70"/>
      <c r="O42" s="70"/>
      <c r="P42" s="41"/>
      <c r="Q42" s="24" t="s">
        <v>67</v>
      </c>
      <c r="R42" s="91"/>
      <c r="S42" s="91"/>
      <c r="T42" s="91"/>
      <c r="U42" s="91"/>
      <c r="V42" s="91"/>
      <c r="X42" s="24" t="s">
        <v>67</v>
      </c>
      <c r="Y42" s="91"/>
      <c r="Z42" s="91"/>
    </row>
    <row r="43" spans="2:26" s="19" customFormat="1" ht="18" customHeight="1" outlineLevel="2" x14ac:dyDescent="0.3">
      <c r="B43" s="24" t="s">
        <v>22</v>
      </c>
      <c r="C43" s="68">
        <f>SUM(Table_KeHoach_TuDong[[#This Row],[Tháng 1]:[Tháng 12]])</f>
        <v>0</v>
      </c>
      <c r="D43" s="70"/>
      <c r="E43" s="70"/>
      <c r="F43" s="70"/>
      <c r="G43" s="70"/>
      <c r="H43" s="70"/>
      <c r="I43" s="70"/>
      <c r="J43" s="70"/>
      <c r="K43" s="70"/>
      <c r="L43" s="70"/>
      <c r="M43" s="70"/>
      <c r="N43" s="70"/>
      <c r="O43" s="70"/>
      <c r="P43" s="51"/>
      <c r="Q43" s="24" t="s">
        <v>22</v>
      </c>
      <c r="R43" s="91">
        <v>1000000000</v>
      </c>
      <c r="S43" s="91"/>
      <c r="T43" s="91"/>
      <c r="U43" s="91"/>
      <c r="V43" s="91"/>
      <c r="X43" s="24" t="s">
        <v>22</v>
      </c>
      <c r="Y43" s="91"/>
      <c r="Z43" s="91"/>
    </row>
    <row r="44" spans="2:26" s="19" customFormat="1" ht="18" customHeight="1" outlineLevel="2" x14ac:dyDescent="0.3">
      <c r="B44" s="24" t="s">
        <v>68</v>
      </c>
      <c r="C44" s="68">
        <f>SUM(Table_KeHoach_TuDong[[#This Row],[Tháng 1]:[Tháng 12]])</f>
        <v>0</v>
      </c>
      <c r="D44" s="70"/>
      <c r="E44" s="70"/>
      <c r="F44" s="70"/>
      <c r="G44" s="70"/>
      <c r="H44" s="70"/>
      <c r="I44" s="70"/>
      <c r="J44" s="70"/>
      <c r="K44" s="70"/>
      <c r="L44" s="70"/>
      <c r="M44" s="70"/>
      <c r="N44" s="70"/>
      <c r="O44" s="70"/>
      <c r="P44" s="40"/>
      <c r="Q44" s="24" t="s">
        <v>68</v>
      </c>
      <c r="R44" s="91">
        <v>4000000000</v>
      </c>
      <c r="S44" s="91"/>
      <c r="T44" s="91"/>
      <c r="U44" s="91"/>
      <c r="V44" s="91"/>
      <c r="X44" s="24" t="s">
        <v>68</v>
      </c>
      <c r="Y44" s="91"/>
      <c r="Z44" s="91"/>
    </row>
    <row r="45" spans="2:26" ht="18" customHeight="1" outlineLevel="2" x14ac:dyDescent="0.3">
      <c r="B45" s="24" t="s">
        <v>23</v>
      </c>
      <c r="C45" s="71">
        <f>SUM(Table_KeHoach_TuDong[[#This Row],[Tháng 1]:[Tháng 12]])</f>
        <v>0</v>
      </c>
      <c r="D45" s="71"/>
      <c r="E45" s="71"/>
      <c r="F45" s="71"/>
      <c r="G45" s="71"/>
      <c r="H45" s="71"/>
      <c r="I45" s="71"/>
      <c r="J45" s="71"/>
      <c r="K45" s="71"/>
      <c r="L45" s="71"/>
      <c r="M45" s="71"/>
      <c r="N45" s="71"/>
      <c r="O45" s="71"/>
      <c r="P45" s="70"/>
      <c r="Q45" s="24" t="s">
        <v>23</v>
      </c>
      <c r="R45" s="91"/>
      <c r="S45" s="91"/>
      <c r="T45" s="91"/>
      <c r="U45" s="91"/>
      <c r="V45" s="91"/>
      <c r="X45" s="24" t="s">
        <v>23</v>
      </c>
      <c r="Y45" s="91"/>
      <c r="Z45" s="91"/>
    </row>
    <row r="46" spans="2:26" s="19" customFormat="1" ht="18" customHeight="1" outlineLevel="1" x14ac:dyDescent="0.3">
      <c r="B46" s="33" t="s">
        <v>69</v>
      </c>
      <c r="C46" s="99"/>
      <c r="D46" s="41" t="e">
        <f>$C$46+SUM($D$41:D41)+SUM($D$39:D40)+SUM($D$42:D44)+SUM($D$45:D45)</f>
        <v>#N/A</v>
      </c>
      <c r="E46" s="41" t="e">
        <f>$C$46+SUM($D$41:E41)+SUM($D$39:E40)+SUM($D$42:E44)+SUM($D$45:E45)</f>
        <v>#N/A</v>
      </c>
      <c r="F46" s="41" t="e">
        <f>$C$46+SUM($D$41:F41)+SUM($D$39:F40)+SUM($D$42:F44)+SUM($D$45:F45)</f>
        <v>#N/A</v>
      </c>
      <c r="G46" s="41" t="e">
        <f>$C$46+SUM($D$41:G41)+SUM($D$39:G40)+SUM($D$42:G44)+SUM($D$45:G45)</f>
        <v>#N/A</v>
      </c>
      <c r="H46" s="41" t="e">
        <f>$C$46+SUM($D$41:H41)+SUM($D$39:H40)+SUM($D$42:H44)+SUM($D$45:H45)</f>
        <v>#N/A</v>
      </c>
      <c r="I46" s="41" t="e">
        <f>$C$46+SUM($D$41:I41)+SUM($D$39:I40)+SUM($D$42:I44)+SUM($D$45:I45)</f>
        <v>#N/A</v>
      </c>
      <c r="J46" s="41" t="e">
        <f>$C$46+SUM($D$41:J41)+SUM($D$39:J40)+SUM($D$42:J44)+SUM($D$45:J45)</f>
        <v>#N/A</v>
      </c>
      <c r="K46" s="41" t="e">
        <f>$C$46+SUM($D$41:K41)+SUM($D$39:K40)+SUM($D$42:K44)+SUM($D$45:K45)</f>
        <v>#N/A</v>
      </c>
      <c r="L46" s="41" t="e">
        <f>$C$46+SUM($D$41:L41)+SUM($D$39:L40)+SUM($D$42:L44)+SUM($D$45:L45)</f>
        <v>#N/A</v>
      </c>
      <c r="M46" s="41" t="e">
        <f>$C$46+SUM($D$41:M41)+SUM($D$39:M40)+SUM($D$42:M44)+SUM($D$45:M45)</f>
        <v>#N/A</v>
      </c>
      <c r="N46" s="41" t="e">
        <f>$C$46+SUM($D$41:N41)+SUM($D$39:N40)+SUM($D$42:N44)+SUM($D$45:N45)</f>
        <v>#N/A</v>
      </c>
      <c r="O46" s="41" t="e">
        <f>$C$46+SUM($D$41:O41)+SUM($D$39:O40)+SUM($D$42:O44)+SUM($D$45:O45)</f>
        <v>#N/A</v>
      </c>
      <c r="P46" s="70"/>
      <c r="Q46" s="33" t="s">
        <v>126</v>
      </c>
      <c r="R46" s="107">
        <f>+R34+R36+SUM(R38:R40)+SUM(R42:R43)</f>
        <v>-3050000000</v>
      </c>
      <c r="S46" s="107">
        <f t="shared" ref="S46:U46" si="39">+S34+S36+SUM(S38:S40)+SUM(S42:S43)</f>
        <v>240000000</v>
      </c>
      <c r="T46" s="107">
        <f t="shared" si="39"/>
        <v>225000000</v>
      </c>
      <c r="U46" s="107">
        <f t="shared" si="39"/>
        <v>210000000</v>
      </c>
      <c r="V46" s="107">
        <f>Table_KeHoach_Nam[[#This Row],[2028]]/V2</f>
        <v>7000000000</v>
      </c>
      <c r="X46" s="33" t="s">
        <v>69</v>
      </c>
      <c r="Y46" s="104"/>
      <c r="Z46" s="92"/>
    </row>
    <row r="47" spans="2:26" s="19" customFormat="1" ht="18" customHeight="1" x14ac:dyDescent="0.3">
      <c r="B47" s="2"/>
      <c r="C47" s="10"/>
      <c r="D47" s="2"/>
      <c r="E47" s="2"/>
      <c r="F47" s="2"/>
      <c r="G47" s="2"/>
      <c r="H47" s="2"/>
      <c r="I47" s="2"/>
      <c r="J47" s="2"/>
      <c r="K47" s="2"/>
      <c r="L47" s="2"/>
      <c r="M47" s="2"/>
      <c r="N47" s="2"/>
      <c r="O47" s="2"/>
      <c r="P47" s="70"/>
      <c r="Q47" s="3"/>
      <c r="R47" s="3"/>
      <c r="S47" s="3"/>
      <c r="T47" s="3"/>
      <c r="U47" s="3"/>
      <c r="V47" s="3"/>
      <c r="X47" s="2"/>
      <c r="Y47" s="2"/>
    </row>
    <row r="48" spans="2:26" s="19" customFormat="1" ht="18" customHeight="1" x14ac:dyDescent="0.3">
      <c r="B48" s="2" t="s">
        <v>130</v>
      </c>
      <c r="C48" s="10"/>
      <c r="D48" s="2"/>
      <c r="E48" s="2"/>
      <c r="F48" s="2"/>
      <c r="G48" s="2"/>
      <c r="H48" s="2"/>
      <c r="I48" s="2"/>
      <c r="J48" s="2"/>
      <c r="K48" s="2"/>
      <c r="L48" s="2"/>
      <c r="M48" s="2"/>
      <c r="N48" s="2"/>
      <c r="O48" s="2"/>
      <c r="P48" s="70"/>
      <c r="Q48" s="3"/>
      <c r="R48" s="3"/>
      <c r="S48" s="3"/>
      <c r="T48" s="3"/>
      <c r="U48" s="3"/>
      <c r="V48" s="3"/>
      <c r="X48" s="2"/>
      <c r="Y48" s="2"/>
    </row>
    <row r="49" spans="1:28" ht="18" customHeight="1" x14ac:dyDescent="0.3">
      <c r="B49" s="3" t="s">
        <v>71</v>
      </c>
      <c r="C49" s="3" t="s">
        <v>70</v>
      </c>
      <c r="D49" s="5" t="s">
        <v>28</v>
      </c>
      <c r="E49" s="5" t="s">
        <v>29</v>
      </c>
      <c r="F49" s="5" t="s">
        <v>30</v>
      </c>
      <c r="G49" s="5" t="s">
        <v>31</v>
      </c>
      <c r="H49" s="5" t="s">
        <v>32</v>
      </c>
      <c r="I49" s="5" t="s">
        <v>33</v>
      </c>
      <c r="J49" s="5" t="s">
        <v>34</v>
      </c>
      <c r="K49" s="5" t="s">
        <v>35</v>
      </c>
      <c r="L49" s="5" t="s">
        <v>36</v>
      </c>
      <c r="M49" s="5" t="s">
        <v>37</v>
      </c>
      <c r="N49" s="5" t="s">
        <v>38</v>
      </c>
      <c r="O49" s="5" t="s">
        <v>39</v>
      </c>
      <c r="X49" s="3"/>
      <c r="Y49" s="3"/>
      <c r="Z49" s="3"/>
    </row>
    <row r="50" spans="1:28" s="19" customFormat="1" ht="18" customHeight="1" x14ac:dyDescent="0.3">
      <c r="B50" s="2"/>
      <c r="C50" s="9"/>
      <c r="D50" s="2"/>
      <c r="E50" s="2"/>
      <c r="F50" s="2"/>
      <c r="G50" s="2"/>
      <c r="H50" s="2"/>
      <c r="I50" s="2"/>
      <c r="J50" s="2"/>
      <c r="K50" s="2"/>
      <c r="L50" s="2"/>
      <c r="M50" s="2"/>
      <c r="N50" s="2"/>
      <c r="O50" s="2"/>
      <c r="P50" s="5"/>
      <c r="Q50" s="2"/>
      <c r="R50" s="2"/>
      <c r="S50" s="2"/>
      <c r="T50" s="2"/>
      <c r="U50" s="2"/>
      <c r="V50" s="2"/>
      <c r="X50" s="2"/>
      <c r="Y50" s="2"/>
      <c r="Z50" s="2"/>
    </row>
    <row r="51" spans="1:28" s="19" customFormat="1" ht="18" customHeight="1" x14ac:dyDescent="0.3">
      <c r="B51" s="2" t="s">
        <v>14</v>
      </c>
      <c r="C51" s="9"/>
      <c r="D51" s="2">
        <f>SUM(Table_KeHoach_SanLuong[Tháng 1])</f>
        <v>0</v>
      </c>
      <c r="E51" s="2">
        <f>SUM(Table_KeHoach_SanLuong[Tháng 2])</f>
        <v>0</v>
      </c>
      <c r="F51" s="2">
        <f>SUM(Table_KeHoach_SanLuong[Tháng 3])</f>
        <v>0</v>
      </c>
      <c r="G51" s="2">
        <f>SUM(Table_KeHoach_SanLuong[Tháng 4])</f>
        <v>0</v>
      </c>
      <c r="H51" s="2">
        <f>SUM(Table_KeHoach_SanLuong[Tháng 5])</f>
        <v>0</v>
      </c>
      <c r="I51" s="2">
        <f>SUM(Table_KeHoach_SanLuong[Tháng 6])</f>
        <v>0</v>
      </c>
      <c r="J51" s="2">
        <f>SUM(Table_KeHoach_SanLuong[Tháng 7])</f>
        <v>0</v>
      </c>
      <c r="K51" s="2">
        <f>SUM(Table_KeHoach_SanLuong[Tháng 8])</f>
        <v>0</v>
      </c>
      <c r="L51" s="2">
        <f>SUM(Table_KeHoach_SanLuong[Tháng 9])</f>
        <v>0</v>
      </c>
      <c r="M51" s="2">
        <f>SUM(Table_KeHoach_SanLuong[Tháng 10])</f>
        <v>0</v>
      </c>
      <c r="N51" s="2">
        <f>SUM(Table_KeHoach_SanLuong[Tháng 11])</f>
        <v>0</v>
      </c>
      <c r="O51" s="2">
        <f>SUM(Table_KeHoach_SanLuong[Tháng 12])</f>
        <v>0</v>
      </c>
      <c r="P51" s="53"/>
      <c r="V51" s="3"/>
      <c r="X51" s="2"/>
      <c r="Y51" s="2"/>
      <c r="Z51" s="2"/>
    </row>
    <row r="52" spans="1:28" s="19" customFormat="1" ht="18" customHeight="1" x14ac:dyDescent="0.3">
      <c r="B52" s="2"/>
      <c r="C52" s="9"/>
      <c r="D52" s="2"/>
      <c r="E52" s="2"/>
      <c r="F52" s="2"/>
      <c r="G52" s="2"/>
      <c r="H52" s="2"/>
      <c r="I52" s="2"/>
      <c r="J52" s="2"/>
      <c r="K52" s="2"/>
      <c r="L52" s="2"/>
      <c r="M52" s="2"/>
      <c r="N52" s="2"/>
      <c r="O52" s="2"/>
      <c r="P52" s="53"/>
      <c r="V52" s="3"/>
      <c r="X52" s="2"/>
      <c r="Y52" s="2"/>
      <c r="Z52" s="2"/>
    </row>
    <row r="53" spans="1:28" s="19" customFormat="1" ht="18" customHeight="1" x14ac:dyDescent="0.3">
      <c r="B53" s="2" t="s">
        <v>131</v>
      </c>
      <c r="C53" s="10"/>
      <c r="D53" s="2"/>
      <c r="E53" s="2"/>
      <c r="F53" s="2"/>
      <c r="G53" s="2"/>
      <c r="H53" s="2"/>
      <c r="I53" s="2"/>
      <c r="J53" s="2"/>
      <c r="K53" s="2"/>
      <c r="L53" s="2"/>
      <c r="M53" s="2"/>
      <c r="N53" s="2"/>
      <c r="O53" s="2"/>
      <c r="P53" s="2"/>
      <c r="Q53" s="2"/>
      <c r="R53" s="2"/>
      <c r="S53" s="2"/>
      <c r="T53" s="2"/>
      <c r="U53" s="2"/>
      <c r="V53" s="2"/>
      <c r="W53" s="3"/>
      <c r="X53" s="2"/>
      <c r="Y53" s="2"/>
      <c r="AA53" s="3"/>
    </row>
    <row r="54" spans="1:28" s="19" customFormat="1" ht="18" customHeight="1" x14ac:dyDescent="0.3">
      <c r="B54" s="2" t="s">
        <v>72</v>
      </c>
      <c r="C54" s="3" t="s">
        <v>70</v>
      </c>
      <c r="D54" s="5" t="s">
        <v>28</v>
      </c>
      <c r="E54" s="5" t="s">
        <v>29</v>
      </c>
      <c r="F54" s="5" t="s">
        <v>30</v>
      </c>
      <c r="G54" s="5" t="s">
        <v>31</v>
      </c>
      <c r="H54" s="5" t="s">
        <v>32</v>
      </c>
      <c r="I54" s="5" t="s">
        <v>33</v>
      </c>
      <c r="J54" s="5" t="s">
        <v>34</v>
      </c>
      <c r="K54" s="5" t="s">
        <v>35</v>
      </c>
      <c r="L54" s="5" t="s">
        <v>36</v>
      </c>
      <c r="M54" s="5" t="s">
        <v>37</v>
      </c>
      <c r="N54" s="5" t="s">
        <v>38</v>
      </c>
      <c r="O54" s="5" t="s">
        <v>39</v>
      </c>
      <c r="P54" s="5"/>
      <c r="Q54" s="2"/>
      <c r="R54" s="2"/>
      <c r="S54" s="2"/>
      <c r="T54" s="2"/>
      <c r="U54" s="2"/>
      <c r="V54" s="2"/>
      <c r="X54" s="2"/>
      <c r="Y54" s="2"/>
      <c r="Z54" s="2"/>
    </row>
    <row r="55" spans="1:28" ht="18" customHeight="1" x14ac:dyDescent="0.3">
      <c r="C55" s="75"/>
      <c r="D55" s="75"/>
      <c r="E55" s="75"/>
      <c r="F55" s="75"/>
      <c r="G55" s="75"/>
      <c r="H55" s="75"/>
      <c r="I55" s="75"/>
      <c r="J55" s="75"/>
      <c r="K55" s="75"/>
      <c r="L55" s="75"/>
      <c r="M55" s="75"/>
      <c r="N55" s="75"/>
      <c r="O55" s="75"/>
    </row>
    <row r="56" spans="1:28" ht="18" customHeight="1" x14ac:dyDescent="0.3">
      <c r="C56" s="75"/>
      <c r="D56" s="75"/>
      <c r="E56" s="75"/>
      <c r="F56" s="75"/>
      <c r="G56" s="75"/>
      <c r="H56" s="75"/>
      <c r="I56" s="75"/>
      <c r="J56" s="75"/>
      <c r="K56" s="75"/>
      <c r="L56" s="75"/>
      <c r="M56" s="75"/>
      <c r="N56" s="75"/>
      <c r="O56" s="75"/>
    </row>
    <row r="57" spans="1:28" s="19" customFormat="1" ht="18" customHeight="1" x14ac:dyDescent="0.3">
      <c r="B57" s="2" t="s">
        <v>132</v>
      </c>
      <c r="C57" s="2"/>
      <c r="D57" s="2"/>
      <c r="E57" s="2"/>
      <c r="F57" s="2"/>
      <c r="G57" s="2"/>
      <c r="H57" s="2"/>
      <c r="I57" s="2"/>
      <c r="J57" s="2"/>
      <c r="K57" s="2"/>
      <c r="L57" s="2"/>
      <c r="M57" s="2"/>
      <c r="N57" s="2"/>
      <c r="O57" s="2"/>
      <c r="P57" s="2"/>
      <c r="Q57" s="2"/>
      <c r="R57" s="2"/>
      <c r="S57" s="2"/>
      <c r="T57" s="2"/>
      <c r="U57" s="2"/>
      <c r="V57" s="2"/>
      <c r="X57" s="3"/>
      <c r="Y57" s="3"/>
      <c r="Z57" s="3"/>
    </row>
    <row r="58" spans="1:28" s="19" customFormat="1" ht="18" customHeight="1" x14ac:dyDescent="0.3">
      <c r="B58" s="17" t="s">
        <v>73</v>
      </c>
      <c r="C58" s="3" t="s">
        <v>70</v>
      </c>
      <c r="D58" s="5" t="s">
        <v>28</v>
      </c>
      <c r="E58" s="5" t="s">
        <v>29</v>
      </c>
      <c r="F58" s="5" t="s">
        <v>30</v>
      </c>
      <c r="G58" s="5" t="s">
        <v>31</v>
      </c>
      <c r="H58" s="5" t="s">
        <v>32</v>
      </c>
      <c r="I58" s="5" t="s">
        <v>33</v>
      </c>
      <c r="J58" s="5" t="s">
        <v>34</v>
      </c>
      <c r="K58" s="5" t="s">
        <v>35</v>
      </c>
      <c r="L58" s="5" t="s">
        <v>36</v>
      </c>
      <c r="M58" s="5" t="s">
        <v>37</v>
      </c>
      <c r="N58" s="5" t="s">
        <v>38</v>
      </c>
      <c r="O58" s="5" t="s">
        <v>39</v>
      </c>
      <c r="P58" s="2"/>
      <c r="Q58" s="2"/>
      <c r="R58" s="2"/>
      <c r="S58" s="2"/>
      <c r="T58" s="2"/>
      <c r="U58" s="2"/>
      <c r="V58" s="2"/>
      <c r="W58" s="2"/>
      <c r="X58" s="2"/>
      <c r="Y58" s="2"/>
      <c r="Z58" s="2"/>
      <c r="AA58" s="2"/>
      <c r="AB58" s="2"/>
    </row>
    <row r="59" spans="1:28" s="19" customFormat="1" ht="18" customHeight="1" x14ac:dyDescent="0.3">
      <c r="B59" s="2"/>
      <c r="C59" s="28"/>
      <c r="D59" s="28" t="e">
        <f xml:space="preserve">
INDEX(Table_KeHoach_SanLuong[[#Headers],[#Data]],
MATCH(Table_KeHoach_DoanhThu[[#This Row],[Kế hoạch doanh thu]],Table_KeHoach_SanLuong[[#Headers],[#Data],[Kế hoạch sản lượng]],0),
MATCH(D$49,Table_KeHoach_SanLuong[#Headers],0)) *
INDEX(Table_KeHoach_Gia[#All],
MATCH(Table_KeHoach_DoanhThu[[#This Row],[Kế hoạch doanh thu]],Table_KeHoach_Gia[[#All],[Kế hoạch giá niêm yết thành phẩm]],0),
MATCH(D$58,Table_KeHoach_Gia[#Headers],0))</f>
        <v>#N/A</v>
      </c>
      <c r="E59" s="28" t="e">
        <f xml:space="preserve">
INDEX(Table_KeHoach_SanLuong[[#Headers],[#Data]],
MATCH(Table_KeHoach_DoanhThu[[#This Row],[Kế hoạch doanh thu]],Table_KeHoach_SanLuong[[#Headers],[#Data],[Kế hoạch sản lượng]],0),
MATCH(E$49,Table_KeHoach_SanLuong[#Headers],0)) *
INDEX(Table_KeHoach_Gia[#All],
MATCH(Table_KeHoach_DoanhThu[[#This Row],[Kế hoạch doanh thu]],Table_KeHoach_Gia[[#All],[Kế hoạch giá niêm yết thành phẩm]],0),
MATCH(E$58,Table_KeHoach_Gia[#Headers],0))</f>
        <v>#N/A</v>
      </c>
      <c r="F59" s="28" t="e">
        <f xml:space="preserve">
INDEX(Table_KeHoach_SanLuong[[#Headers],[#Data]],
MATCH(Table_KeHoach_DoanhThu[[#This Row],[Kế hoạch doanh thu]],Table_KeHoach_SanLuong[[#Headers],[#Data],[Kế hoạch sản lượng]],0),
MATCH(F$49,Table_KeHoach_SanLuong[#Headers],0)) *
INDEX(Table_KeHoach_Gia[#All],
MATCH(Table_KeHoach_DoanhThu[[#This Row],[Kế hoạch doanh thu]],Table_KeHoach_Gia[[#All],[Kế hoạch giá niêm yết thành phẩm]],0),
MATCH(F$58,Table_KeHoach_Gia[#Headers],0))</f>
        <v>#N/A</v>
      </c>
      <c r="G59" s="28" t="e">
        <f xml:space="preserve">
INDEX(Table_KeHoach_SanLuong[[#Headers],[#Data]],
MATCH(Table_KeHoach_DoanhThu[[#This Row],[Kế hoạch doanh thu]],Table_KeHoach_SanLuong[[#Headers],[#Data],[Kế hoạch sản lượng]],0),
MATCH(G$49,Table_KeHoach_SanLuong[#Headers],0)) *
INDEX(Table_KeHoach_Gia[#All],
MATCH(Table_KeHoach_DoanhThu[[#This Row],[Kế hoạch doanh thu]],Table_KeHoach_Gia[[#All],[Kế hoạch giá niêm yết thành phẩm]],0),
MATCH(G$58,Table_KeHoach_Gia[#Headers],0))</f>
        <v>#N/A</v>
      </c>
      <c r="H59" s="28" t="e">
        <f xml:space="preserve">
INDEX(Table_KeHoach_SanLuong[[#Headers],[#Data]],
MATCH(Table_KeHoach_DoanhThu[[#This Row],[Kế hoạch doanh thu]],Table_KeHoach_SanLuong[[#Headers],[#Data],[Kế hoạch sản lượng]],0),
MATCH(H$49,Table_KeHoach_SanLuong[#Headers],0)) *
INDEX(Table_KeHoach_Gia[#All],
MATCH(Table_KeHoach_DoanhThu[[#This Row],[Kế hoạch doanh thu]],Table_KeHoach_Gia[[#All],[Kế hoạch giá niêm yết thành phẩm]],0),
MATCH(H$58,Table_KeHoach_Gia[#Headers],0))</f>
        <v>#N/A</v>
      </c>
      <c r="I59" s="28" t="e">
        <f xml:space="preserve">
INDEX(Table_KeHoach_SanLuong[[#Headers],[#Data]],
MATCH(Table_KeHoach_DoanhThu[[#This Row],[Kế hoạch doanh thu]],Table_KeHoach_SanLuong[[#Headers],[#Data],[Kế hoạch sản lượng]],0),
MATCH(I$49,Table_KeHoach_SanLuong[#Headers],0)) *
INDEX(Table_KeHoach_Gia[#All],
MATCH(Table_KeHoach_DoanhThu[[#This Row],[Kế hoạch doanh thu]],Table_KeHoach_Gia[[#All],[Kế hoạch giá niêm yết thành phẩm]],0),
MATCH(I$58,Table_KeHoach_Gia[#Headers],0))</f>
        <v>#N/A</v>
      </c>
      <c r="J59" s="28" t="e">
        <f xml:space="preserve">
INDEX(Table_KeHoach_SanLuong[[#Headers],[#Data]],
MATCH(Table_KeHoach_DoanhThu[[#This Row],[Kế hoạch doanh thu]],Table_KeHoach_SanLuong[[#Headers],[#Data],[Kế hoạch sản lượng]],0),
MATCH(J$49,Table_KeHoach_SanLuong[#Headers],0)) *
INDEX(Table_KeHoach_Gia[#All],
MATCH(Table_KeHoach_DoanhThu[[#This Row],[Kế hoạch doanh thu]],Table_KeHoach_Gia[[#All],[Kế hoạch giá niêm yết thành phẩm]],0),
MATCH(J$58,Table_KeHoach_Gia[#Headers],0))</f>
        <v>#N/A</v>
      </c>
      <c r="K59" s="28" t="e">
        <f xml:space="preserve">
INDEX(Table_KeHoach_SanLuong[[#Headers],[#Data]],
MATCH(Table_KeHoach_DoanhThu[[#This Row],[Kế hoạch doanh thu]],Table_KeHoach_SanLuong[[#Headers],[#Data],[Kế hoạch sản lượng]],0),
MATCH(K$49,Table_KeHoach_SanLuong[#Headers],0)) *
INDEX(Table_KeHoach_Gia[#All],
MATCH(Table_KeHoach_DoanhThu[[#This Row],[Kế hoạch doanh thu]],Table_KeHoach_Gia[[#All],[Kế hoạch giá niêm yết thành phẩm]],0),
MATCH(K$58,Table_KeHoach_Gia[#Headers],0))</f>
        <v>#N/A</v>
      </c>
      <c r="L59" s="28" t="e">
        <f xml:space="preserve">
INDEX(Table_KeHoach_SanLuong[[#Headers],[#Data]],
MATCH(Table_KeHoach_DoanhThu[[#This Row],[Kế hoạch doanh thu]],Table_KeHoach_SanLuong[[#Headers],[#Data],[Kế hoạch sản lượng]],0),
MATCH(L$49,Table_KeHoach_SanLuong[#Headers],0)) *
INDEX(Table_KeHoach_Gia[#All],
MATCH(Table_KeHoach_DoanhThu[[#This Row],[Kế hoạch doanh thu]],Table_KeHoach_Gia[[#All],[Kế hoạch giá niêm yết thành phẩm]],0),
MATCH(L$58,Table_KeHoach_Gia[#Headers],0))</f>
        <v>#N/A</v>
      </c>
      <c r="M59" s="28" t="e">
        <f xml:space="preserve">
INDEX(Table_KeHoach_SanLuong[[#Headers],[#Data]],
MATCH(Table_KeHoach_DoanhThu[[#This Row],[Kế hoạch doanh thu]],Table_KeHoach_SanLuong[[#Headers],[#Data],[Kế hoạch sản lượng]],0),
MATCH(M$49,Table_KeHoach_SanLuong[#Headers],0)) *
INDEX(Table_KeHoach_Gia[#All],
MATCH(Table_KeHoach_DoanhThu[[#This Row],[Kế hoạch doanh thu]],Table_KeHoach_Gia[[#All],[Kế hoạch giá niêm yết thành phẩm]],0),
MATCH(M$58,Table_KeHoach_Gia[#Headers],0))</f>
        <v>#N/A</v>
      </c>
      <c r="N59" s="28" t="e">
        <f xml:space="preserve">
INDEX(Table_KeHoach_SanLuong[[#Headers],[#Data]],
MATCH(Table_KeHoach_DoanhThu[[#This Row],[Kế hoạch doanh thu]],Table_KeHoach_SanLuong[[#Headers],[#Data],[Kế hoạch sản lượng]],0),
MATCH(N$49,Table_KeHoach_SanLuong[#Headers],0)) *
INDEX(Table_KeHoach_Gia[#All],
MATCH(Table_KeHoach_DoanhThu[[#This Row],[Kế hoạch doanh thu]],Table_KeHoach_Gia[[#All],[Kế hoạch giá niêm yết thành phẩm]],0),
MATCH(N$58,Table_KeHoach_Gia[#Headers],0))</f>
        <v>#N/A</v>
      </c>
      <c r="O59" s="28" t="e">
        <f xml:space="preserve">
INDEX(Table_KeHoach_SanLuong[[#Headers],[#Data]],
MATCH(Table_KeHoach_DoanhThu[[#This Row],[Kế hoạch doanh thu]],Table_KeHoach_SanLuong[[#Headers],[#Data],[Kế hoạch sản lượng]],0),
MATCH(O$49,Table_KeHoach_SanLuong[#Headers],0)) *
INDEX(Table_KeHoach_Gia[#All],
MATCH(Table_KeHoach_DoanhThu[[#This Row],[Kế hoạch doanh thu]],Table_KeHoach_Gia[[#All],[Kế hoạch giá niêm yết thành phẩm]],0),
MATCH(O$58,Table_KeHoach_Gia[#Headers],0))</f>
        <v>#N/A</v>
      </c>
      <c r="P59" s="5"/>
      <c r="Q59" s="2"/>
      <c r="R59" s="2"/>
      <c r="S59" s="2"/>
      <c r="T59" s="2"/>
      <c r="U59" s="2"/>
      <c r="V59" s="2"/>
      <c r="X59" s="2"/>
      <c r="Y59" s="2"/>
      <c r="Z59" s="2"/>
    </row>
    <row r="60" spans="1:28" s="3" customFormat="1" ht="18" customHeight="1" x14ac:dyDescent="0.3">
      <c r="B60" s="2" t="s">
        <v>14</v>
      </c>
      <c r="C60" s="12"/>
      <c r="D60" s="12" t="e">
        <f>SUM(Table_KeHoach_DoanhThu[Tháng 1])</f>
        <v>#N/A</v>
      </c>
      <c r="E60" s="12" t="e">
        <f>SUM(Table_KeHoach_DoanhThu[Tháng 2])</f>
        <v>#N/A</v>
      </c>
      <c r="F60" s="12" t="e">
        <f>SUM(Table_KeHoach_DoanhThu[Tháng 3])</f>
        <v>#N/A</v>
      </c>
      <c r="G60" s="12" t="e">
        <f>SUM(Table_KeHoach_DoanhThu[Tháng 4])</f>
        <v>#N/A</v>
      </c>
      <c r="H60" s="12" t="e">
        <f>SUM(Table_KeHoach_DoanhThu[Tháng 5])</f>
        <v>#N/A</v>
      </c>
      <c r="I60" s="12" t="e">
        <f>SUM(Table_KeHoach_DoanhThu[Tháng 6])</f>
        <v>#N/A</v>
      </c>
      <c r="J60" s="12" t="e">
        <f>SUM(Table_KeHoach_DoanhThu[Tháng 7])</f>
        <v>#N/A</v>
      </c>
      <c r="K60" s="12" t="e">
        <f>SUM(Table_KeHoach_DoanhThu[Tháng 8])</f>
        <v>#N/A</v>
      </c>
      <c r="L60" s="12" t="e">
        <f>SUM(Table_KeHoach_DoanhThu[Tháng 9])</f>
        <v>#N/A</v>
      </c>
      <c r="M60" s="12" t="e">
        <f>SUM(Table_KeHoach_DoanhThu[Tháng 10])</f>
        <v>#N/A</v>
      </c>
      <c r="N60" s="12" t="e">
        <f>SUM(Table_KeHoach_DoanhThu[Tháng 11])</f>
        <v>#N/A</v>
      </c>
      <c r="O60" s="12" t="e">
        <f>SUM(Table_KeHoach_DoanhThu[Tháng 12])</f>
        <v>#N/A</v>
      </c>
      <c r="P60" s="75"/>
      <c r="Q60" s="2"/>
      <c r="R60" s="2"/>
      <c r="S60" s="2"/>
      <c r="T60" s="2"/>
      <c r="U60" s="2"/>
      <c r="V60" s="2"/>
      <c r="X60" s="2"/>
      <c r="Y60" s="2"/>
      <c r="Z60" s="2"/>
    </row>
    <row r="61" spans="1:28" s="3" customFormat="1" ht="18" customHeight="1" x14ac:dyDescent="0.3">
      <c r="B61" s="2"/>
      <c r="C61" s="10"/>
      <c r="D61" s="2"/>
      <c r="E61" s="2"/>
      <c r="F61" s="2"/>
      <c r="G61" s="2"/>
      <c r="H61" s="2"/>
      <c r="I61" s="2"/>
      <c r="J61" s="2"/>
      <c r="K61" s="2"/>
      <c r="L61" s="2"/>
      <c r="M61" s="2"/>
      <c r="N61" s="2"/>
      <c r="O61" s="2"/>
      <c r="P61" s="2"/>
      <c r="Q61" s="2"/>
      <c r="R61" s="2"/>
      <c r="S61" s="2"/>
      <c r="T61" s="2"/>
      <c r="U61" s="2"/>
      <c r="V61" s="2"/>
      <c r="W61" s="2"/>
      <c r="X61" s="2"/>
      <c r="Y61" s="2"/>
      <c r="Z61" s="2"/>
      <c r="AA61" s="2"/>
    </row>
    <row r="62" spans="1:28" s="3" customFormat="1" ht="18" customHeight="1" x14ac:dyDescent="0.3">
      <c r="B62" s="2" t="s">
        <v>129</v>
      </c>
      <c r="C62" s="10"/>
      <c r="D62" s="2"/>
      <c r="E62" s="2"/>
      <c r="F62" s="2"/>
      <c r="G62" s="2"/>
      <c r="H62" s="2"/>
      <c r="I62" s="2"/>
      <c r="J62" s="2"/>
      <c r="K62" s="2"/>
      <c r="L62" s="2"/>
      <c r="M62" s="2"/>
      <c r="N62" s="2"/>
      <c r="O62" s="2"/>
      <c r="P62" s="2"/>
      <c r="Q62" s="2"/>
      <c r="R62" s="2"/>
      <c r="S62" s="2"/>
      <c r="T62" s="2"/>
      <c r="U62" s="2"/>
      <c r="V62" s="2"/>
      <c r="W62" s="2"/>
      <c r="X62" s="2"/>
      <c r="Y62" s="2"/>
      <c r="Z62" s="2"/>
      <c r="AA62" s="2"/>
    </row>
    <row r="63" spans="1:28" s="3" customFormat="1" ht="18" customHeight="1" x14ac:dyDescent="0.3">
      <c r="B63" s="2" t="s">
        <v>74</v>
      </c>
      <c r="C63" s="3" t="s">
        <v>125</v>
      </c>
      <c r="D63" s="5" t="s">
        <v>28</v>
      </c>
      <c r="E63" s="5" t="s">
        <v>29</v>
      </c>
      <c r="F63" s="5" t="s">
        <v>30</v>
      </c>
      <c r="G63" s="5" t="s">
        <v>31</v>
      </c>
      <c r="H63" s="5" t="s">
        <v>32</v>
      </c>
      <c r="I63" s="5" t="s">
        <v>33</v>
      </c>
      <c r="J63" s="5" t="s">
        <v>34</v>
      </c>
      <c r="K63" s="5" t="s">
        <v>35</v>
      </c>
      <c r="L63" s="5" t="s">
        <v>36</v>
      </c>
      <c r="M63" s="5" t="s">
        <v>37</v>
      </c>
      <c r="N63" s="5" t="s">
        <v>38</v>
      </c>
      <c r="O63" s="5" t="s">
        <v>39</v>
      </c>
      <c r="P63" s="5"/>
      <c r="Q63" s="2"/>
      <c r="R63" s="2"/>
      <c r="S63" s="2"/>
      <c r="T63" s="2"/>
      <c r="U63" s="2"/>
      <c r="V63" s="2"/>
      <c r="X63" s="2"/>
      <c r="Y63" s="2"/>
      <c r="Z63" s="2"/>
    </row>
    <row r="64" spans="1:28" ht="18" customHeight="1" x14ac:dyDescent="0.3">
      <c r="A64" s="74"/>
      <c r="B64" s="2" t="s">
        <v>138</v>
      </c>
      <c r="C64" s="106"/>
      <c r="D64" s="18">
        <f>IFERROR(-D63*Table_KeHoach_DoanhThu[[#Totals],[Tháng 1]],0)</f>
        <v>0</v>
      </c>
      <c r="E64" s="29"/>
      <c r="F64" s="29"/>
      <c r="G64" s="29"/>
      <c r="H64" s="29"/>
      <c r="I64" s="29"/>
      <c r="J64" s="29"/>
      <c r="K64" s="29"/>
      <c r="L64" s="29"/>
      <c r="M64" s="29"/>
      <c r="N64" s="29"/>
      <c r="O64" s="29"/>
      <c r="P64" s="28"/>
    </row>
    <row r="65" spans="2:28" ht="18" customHeight="1" x14ac:dyDescent="0.3">
      <c r="B65" s="18" t="s">
        <v>43</v>
      </c>
      <c r="C65" s="29"/>
      <c r="D65" s="18">
        <f>IFERROR(-D64*Table_KeHoach_DoanhThu[[#Totals],[Tháng 1]],0)</f>
        <v>0</v>
      </c>
      <c r="E65" s="18">
        <f>IFERROR(-E64*Table_KeHoach_DoanhThu[[#Totals],[Tháng 2]],0)</f>
        <v>0</v>
      </c>
      <c r="F65" s="18">
        <f>IFERROR(-F64*Table_KeHoach_DoanhThu[[#Totals],[Tháng 3]],0)</f>
        <v>0</v>
      </c>
      <c r="G65" s="18">
        <f>IFERROR(-G64*Table_KeHoach_DoanhThu[[#Totals],[Tháng 4]],0)</f>
        <v>0</v>
      </c>
      <c r="H65" s="18">
        <f>IFERROR(-H64*Table_KeHoach_DoanhThu[[#Totals],[Tháng 5]],0)</f>
        <v>0</v>
      </c>
      <c r="I65" s="18">
        <f>IFERROR(-I64*Table_KeHoach_DoanhThu[[#Totals],[Tháng 6]],0)</f>
        <v>0</v>
      </c>
      <c r="J65" s="18">
        <f>IFERROR(-J64*Table_KeHoach_DoanhThu[[#Totals],[Tháng 7]],0)</f>
        <v>0</v>
      </c>
      <c r="K65" s="18">
        <f>IFERROR(-K64*Table_KeHoach_DoanhThu[[#Totals],[Tháng 8]],0)</f>
        <v>0</v>
      </c>
      <c r="L65" s="18">
        <f>IFERROR(-L64*Table_KeHoach_DoanhThu[[#Totals],[Tháng 9]],0)</f>
        <v>0</v>
      </c>
      <c r="M65" s="18">
        <f>IFERROR(-M64*Table_KeHoach_DoanhThu[[#Totals],[Tháng 10]],0)</f>
        <v>0</v>
      </c>
      <c r="N65" s="18">
        <f>IFERROR(-N64*Table_KeHoach_DoanhThu[[#Totals],[Tháng 11]],0)</f>
        <v>0</v>
      </c>
      <c r="O65" s="18">
        <f>IFERROR(-O64*Table_KeHoach_DoanhThu[[#Totals],[Tháng 12]],0)</f>
        <v>0</v>
      </c>
      <c r="P65" s="12"/>
    </row>
    <row r="66" spans="2:28" s="19" customFormat="1" ht="18" customHeight="1" x14ac:dyDescent="0.3">
      <c r="B66" s="2"/>
      <c r="C66" s="10"/>
      <c r="D66" s="2"/>
      <c r="E66" s="2"/>
      <c r="F66" s="2"/>
      <c r="G66" s="2"/>
      <c r="H66" s="2"/>
      <c r="I66" s="2"/>
      <c r="J66" s="2"/>
      <c r="K66" s="2"/>
      <c r="L66" s="2"/>
      <c r="M66" s="2"/>
      <c r="N66" s="2"/>
      <c r="O66" s="2"/>
      <c r="P66" s="2"/>
      <c r="Q66" s="2"/>
      <c r="R66" s="2"/>
      <c r="S66" s="2"/>
      <c r="T66" s="2"/>
      <c r="U66" s="2"/>
      <c r="V66" s="2"/>
      <c r="W66" s="2"/>
      <c r="X66" s="2"/>
      <c r="Y66" s="2"/>
      <c r="Z66" s="2"/>
      <c r="AA66" s="2"/>
      <c r="AB66" s="2"/>
    </row>
    <row r="67" spans="2:28" s="19" customFormat="1" ht="18" customHeight="1" x14ac:dyDescent="0.3">
      <c r="B67" s="2" t="s">
        <v>133</v>
      </c>
      <c r="C67" s="10"/>
      <c r="D67" s="2"/>
      <c r="E67" s="2"/>
      <c r="F67" s="2"/>
      <c r="G67" s="2"/>
      <c r="H67" s="2"/>
      <c r="I67" s="2"/>
      <c r="J67" s="2"/>
      <c r="K67" s="2"/>
      <c r="L67" s="2"/>
      <c r="M67" s="2"/>
      <c r="N67" s="2"/>
      <c r="O67" s="2"/>
      <c r="P67" s="2"/>
      <c r="Q67" s="2"/>
      <c r="R67" s="2"/>
      <c r="S67" s="2"/>
      <c r="T67" s="2"/>
      <c r="U67" s="2"/>
      <c r="V67" s="2"/>
      <c r="W67" s="2"/>
      <c r="X67" s="2"/>
      <c r="Y67" s="2"/>
      <c r="Z67" s="2"/>
      <c r="AA67" s="2"/>
      <c r="AB67" s="2"/>
    </row>
    <row r="68" spans="2:28" s="3" customFormat="1" ht="18" customHeight="1" x14ac:dyDescent="0.3">
      <c r="B68" s="2" t="s">
        <v>75</v>
      </c>
      <c r="C68" s="3" t="s">
        <v>70</v>
      </c>
      <c r="D68" s="5" t="s">
        <v>28</v>
      </c>
      <c r="E68" s="5" t="s">
        <v>29</v>
      </c>
      <c r="F68" s="5" t="s">
        <v>30</v>
      </c>
      <c r="G68" s="5" t="s">
        <v>31</v>
      </c>
      <c r="H68" s="5" t="s">
        <v>32</v>
      </c>
      <c r="I68" s="5" t="s">
        <v>33</v>
      </c>
      <c r="J68" s="5" t="s">
        <v>34</v>
      </c>
      <c r="K68" s="5" t="s">
        <v>35</v>
      </c>
      <c r="L68" s="5" t="s">
        <v>36</v>
      </c>
      <c r="M68" s="5" t="s">
        <v>37</v>
      </c>
      <c r="N68" s="5" t="s">
        <v>38</v>
      </c>
      <c r="O68" s="5" t="s">
        <v>39</v>
      </c>
      <c r="P68" s="5"/>
      <c r="Q68" s="2"/>
      <c r="R68" s="2"/>
      <c r="S68" s="2"/>
      <c r="T68" s="2"/>
      <c r="U68" s="2"/>
      <c r="V68" s="2"/>
      <c r="X68" s="2"/>
      <c r="Y68" s="2"/>
      <c r="Z68" s="2"/>
    </row>
    <row r="69" spans="2:28" s="3" customFormat="1" ht="18" customHeight="1" x14ac:dyDescent="0.3">
      <c r="B69" s="2"/>
      <c r="C69" s="75"/>
      <c r="D69" s="75"/>
      <c r="E69" s="75"/>
      <c r="F69" s="75"/>
      <c r="G69" s="75"/>
      <c r="H69" s="75"/>
      <c r="I69" s="75"/>
      <c r="J69" s="75"/>
      <c r="K69" s="75"/>
      <c r="L69" s="75"/>
      <c r="M69" s="75"/>
      <c r="N69" s="75"/>
      <c r="O69" s="75"/>
      <c r="P69" s="52"/>
      <c r="Q69" s="2"/>
      <c r="R69" s="2"/>
      <c r="S69" s="2"/>
      <c r="T69" s="2"/>
      <c r="U69" s="2"/>
      <c r="V69" s="2"/>
      <c r="X69" s="2"/>
      <c r="Y69" s="2"/>
      <c r="Z69" s="2"/>
    </row>
    <row r="70" spans="2:28" s="3" customFormat="1" ht="18" customHeight="1" x14ac:dyDescent="0.3">
      <c r="B70" s="2"/>
      <c r="C70" s="10"/>
      <c r="D70" s="2"/>
      <c r="E70" s="2"/>
      <c r="F70" s="2"/>
      <c r="G70" s="2"/>
      <c r="H70" s="2"/>
      <c r="I70" s="2"/>
      <c r="J70" s="2"/>
      <c r="K70" s="2"/>
      <c r="L70" s="2"/>
      <c r="M70" s="2"/>
      <c r="N70" s="2"/>
      <c r="O70" s="2"/>
      <c r="P70" s="52"/>
      <c r="Q70" s="2"/>
      <c r="R70" s="2"/>
      <c r="S70" s="2"/>
      <c r="T70" s="2"/>
      <c r="U70" s="2"/>
      <c r="V70" s="2"/>
      <c r="X70" s="2"/>
      <c r="Y70" s="2"/>
      <c r="Z70" s="2"/>
    </row>
    <row r="71" spans="2:28" s="3" customFormat="1" ht="18" customHeight="1" x14ac:dyDescent="0.3">
      <c r="B71" s="2" t="s">
        <v>134</v>
      </c>
      <c r="C71" s="10"/>
      <c r="D71" s="2"/>
      <c r="E71" s="2"/>
      <c r="F71" s="2"/>
      <c r="G71" s="2"/>
      <c r="H71" s="2"/>
      <c r="I71" s="2"/>
      <c r="J71" s="2"/>
      <c r="K71" s="2"/>
      <c r="L71" s="2"/>
      <c r="M71" s="2"/>
      <c r="N71" s="2"/>
      <c r="O71" s="2"/>
      <c r="P71" s="18"/>
      <c r="Q71" s="2"/>
      <c r="R71" s="2"/>
      <c r="S71" s="2"/>
      <c r="T71" s="2"/>
      <c r="U71" s="2"/>
      <c r="V71" s="2"/>
      <c r="W71" s="2"/>
      <c r="X71" s="2"/>
      <c r="Y71" s="2"/>
      <c r="Z71" s="2"/>
      <c r="AA71" s="2"/>
    </row>
    <row r="72" spans="2:28" ht="18" customHeight="1" x14ac:dyDescent="0.3">
      <c r="B72" s="17" t="s">
        <v>76</v>
      </c>
      <c r="C72" s="3" t="s">
        <v>70</v>
      </c>
      <c r="D72" s="5" t="s">
        <v>28</v>
      </c>
      <c r="E72" s="5" t="s">
        <v>29</v>
      </c>
      <c r="F72" s="5" t="s">
        <v>30</v>
      </c>
      <c r="G72" s="5" t="s">
        <v>31</v>
      </c>
      <c r="H72" s="5" t="s">
        <v>32</v>
      </c>
      <c r="I72" s="5" t="s">
        <v>33</v>
      </c>
      <c r="J72" s="5" t="s">
        <v>34</v>
      </c>
      <c r="K72" s="5" t="s">
        <v>35</v>
      </c>
      <c r="L72" s="5" t="s">
        <v>36</v>
      </c>
      <c r="M72" s="5" t="s">
        <v>37</v>
      </c>
      <c r="N72" s="5" t="s">
        <v>38</v>
      </c>
      <c r="O72" s="5" t="s">
        <v>39</v>
      </c>
    </row>
    <row r="73" spans="2:28" ht="18" customHeight="1" x14ac:dyDescent="0.3">
      <c r="C73" s="7"/>
      <c r="D73" s="76">
        <f xml:space="preserve">
-IFERROR(
INDEX(Table_KeHoach_SanLuong[[#Headers],[#Data]],
MATCH(Table_KeHoach_ChiPhiSKU[[#This Row],[Kế hoạch chi phí hàng hóa]],Table_KeHoach_SanLuong[[#Headers],[#Data],[Kế hoạch sản lượng]],0),
MATCH(D$72,Table_KeHoach_SanLuong[#Headers],0)) *
INDEX(Table_KeHoach_GiaNhápKU[#All],
MATCH(Table_KeHoach_ChiPhiSKU[[#This Row],[Kế hoạch chi phí hàng hóa]],Table_KeHoach_GiaNhápKU[[#All],[Kế hoạch giá nhập hàng hóa]],0),
MATCH(D$72, Table_KeHoach_GiaNhápKU[#Headers],0)),0)</f>
        <v>0</v>
      </c>
      <c r="E73" s="76">
        <f xml:space="preserve">
-IFERROR(
INDEX(Table_KeHoach_SanLuong[[#Headers],[#Data]],
MATCH(Table_KeHoach_ChiPhiSKU[[#This Row],[Kế hoạch chi phí hàng hóa]],Table_KeHoach_SanLuong[[#Headers],[#Data],[Kế hoạch sản lượng]],0),
MATCH(E$72,Table_KeHoach_SanLuong[#Headers],0)) *
INDEX(Table_KeHoach_GiaNhápKU[#All],
MATCH(Table_KeHoach_ChiPhiSKU[[#This Row],[Kế hoạch chi phí hàng hóa]],Table_KeHoach_GiaNhápKU[[#All],[Kế hoạch giá nhập hàng hóa]],0),
MATCH(E$72, Table_KeHoach_GiaNhápKU[#Headers],0)),0)</f>
        <v>0</v>
      </c>
      <c r="F73" s="76">
        <f xml:space="preserve">
-IFERROR(
INDEX(Table_KeHoach_SanLuong[[#Headers],[#Data]],
MATCH(Table_KeHoach_ChiPhiSKU[[#This Row],[Kế hoạch chi phí hàng hóa]],Table_KeHoach_SanLuong[[#Headers],[#Data],[Kế hoạch sản lượng]],0),
MATCH(F$72,Table_KeHoach_SanLuong[#Headers],0)) *
INDEX(Table_KeHoach_GiaNhápKU[#All],
MATCH(Table_KeHoach_ChiPhiSKU[[#This Row],[Kế hoạch chi phí hàng hóa]],Table_KeHoach_GiaNhápKU[[#All],[Kế hoạch giá nhập hàng hóa]],0),
MATCH(F$72, Table_KeHoach_GiaNhápKU[#Headers],0)),0)</f>
        <v>0</v>
      </c>
      <c r="G73" s="76">
        <f xml:space="preserve">
-IFERROR(
INDEX(Table_KeHoach_SanLuong[[#Headers],[#Data]],
MATCH(Table_KeHoach_ChiPhiSKU[[#This Row],[Kế hoạch chi phí hàng hóa]],Table_KeHoach_SanLuong[[#Headers],[#Data],[Kế hoạch sản lượng]],0),
MATCH(G$72,Table_KeHoach_SanLuong[#Headers],0)) *
INDEX(Table_KeHoach_GiaNhápKU[#All],
MATCH(Table_KeHoach_ChiPhiSKU[[#This Row],[Kế hoạch chi phí hàng hóa]],Table_KeHoach_GiaNhápKU[[#All],[Kế hoạch giá nhập hàng hóa]],0),
MATCH(G$72, Table_KeHoach_GiaNhápKU[#Headers],0)),0)</f>
        <v>0</v>
      </c>
      <c r="H73" s="76">
        <f xml:space="preserve">
-IFERROR(
INDEX(Table_KeHoach_SanLuong[[#Headers],[#Data]],
MATCH(Table_KeHoach_ChiPhiSKU[[#This Row],[Kế hoạch chi phí hàng hóa]],Table_KeHoach_SanLuong[[#Headers],[#Data],[Kế hoạch sản lượng]],0),
MATCH(H$72,Table_KeHoach_SanLuong[#Headers],0)) *
INDEX(Table_KeHoach_GiaNhápKU[#All],
MATCH(Table_KeHoach_ChiPhiSKU[[#This Row],[Kế hoạch chi phí hàng hóa]],Table_KeHoach_GiaNhápKU[[#All],[Kế hoạch giá nhập hàng hóa]],0),
MATCH(H$72, Table_KeHoach_GiaNhápKU[#Headers],0)),0)</f>
        <v>0</v>
      </c>
      <c r="I73" s="76">
        <f xml:space="preserve">
-IFERROR(
INDEX(Table_KeHoach_SanLuong[[#Headers],[#Data]],
MATCH(Table_KeHoach_ChiPhiSKU[[#This Row],[Kế hoạch chi phí hàng hóa]],Table_KeHoach_SanLuong[[#Headers],[#Data],[Kế hoạch sản lượng]],0),
MATCH(I$72,Table_KeHoach_SanLuong[#Headers],0)) *
INDEX(Table_KeHoach_GiaNhápKU[#All],
MATCH(Table_KeHoach_ChiPhiSKU[[#This Row],[Kế hoạch chi phí hàng hóa]],Table_KeHoach_GiaNhápKU[[#All],[Kế hoạch giá nhập hàng hóa]],0),
MATCH(I$72, Table_KeHoach_GiaNhápKU[#Headers],0)),0)</f>
        <v>0</v>
      </c>
      <c r="J73" s="76">
        <f xml:space="preserve">
-IFERROR(
INDEX(Table_KeHoach_SanLuong[[#Headers],[#Data]],
MATCH(Table_KeHoach_ChiPhiSKU[[#This Row],[Kế hoạch chi phí hàng hóa]],Table_KeHoach_SanLuong[[#Headers],[#Data],[Kế hoạch sản lượng]],0),
MATCH(J$72,Table_KeHoach_SanLuong[#Headers],0)) *
INDEX(Table_KeHoach_GiaNhápKU[#All],
MATCH(Table_KeHoach_ChiPhiSKU[[#This Row],[Kế hoạch chi phí hàng hóa]],Table_KeHoach_GiaNhápKU[[#All],[Kế hoạch giá nhập hàng hóa]],0),
MATCH(J$72, Table_KeHoach_GiaNhápKU[#Headers],0)),0)</f>
        <v>0</v>
      </c>
      <c r="K73" s="76">
        <f xml:space="preserve">
-IFERROR(
INDEX(Table_KeHoach_SanLuong[[#Headers],[#Data]],
MATCH(Table_KeHoach_ChiPhiSKU[[#This Row],[Kế hoạch chi phí hàng hóa]],Table_KeHoach_SanLuong[[#Headers],[#Data],[Kế hoạch sản lượng]],0),
MATCH(K$72,Table_KeHoach_SanLuong[#Headers],0)) *
INDEX(Table_KeHoach_GiaNhápKU[#All],
MATCH(Table_KeHoach_ChiPhiSKU[[#This Row],[Kế hoạch chi phí hàng hóa]],Table_KeHoach_GiaNhápKU[[#All],[Kế hoạch giá nhập hàng hóa]],0),
MATCH(K$72, Table_KeHoach_GiaNhápKU[#Headers],0)),0)</f>
        <v>0</v>
      </c>
      <c r="L73" s="76">
        <f xml:space="preserve">
-IFERROR(
INDEX(Table_KeHoach_SanLuong[[#Headers],[#Data]],
MATCH(Table_KeHoach_ChiPhiSKU[[#This Row],[Kế hoạch chi phí hàng hóa]],Table_KeHoach_SanLuong[[#Headers],[#Data],[Kế hoạch sản lượng]],0),
MATCH(L$72,Table_KeHoach_SanLuong[#Headers],0)) *
INDEX(Table_KeHoach_GiaNhápKU[#All],
MATCH(Table_KeHoach_ChiPhiSKU[[#This Row],[Kế hoạch chi phí hàng hóa]],Table_KeHoach_GiaNhápKU[[#All],[Kế hoạch giá nhập hàng hóa]],0),
MATCH(L$72, Table_KeHoach_GiaNhápKU[#Headers],0)),0)</f>
        <v>0</v>
      </c>
      <c r="M73" s="76">
        <f xml:space="preserve">
-IFERROR(
INDEX(Table_KeHoach_SanLuong[[#Headers],[#Data]],
MATCH(Table_KeHoach_ChiPhiSKU[[#This Row],[Kế hoạch chi phí hàng hóa]],Table_KeHoach_SanLuong[[#Headers],[#Data],[Kế hoạch sản lượng]],0),
MATCH(M$72,Table_KeHoach_SanLuong[#Headers],0)) *
INDEX(Table_KeHoach_GiaNhápKU[#All],
MATCH(Table_KeHoach_ChiPhiSKU[[#This Row],[Kế hoạch chi phí hàng hóa]],Table_KeHoach_GiaNhápKU[[#All],[Kế hoạch giá nhập hàng hóa]],0),
MATCH(M$72, Table_KeHoach_GiaNhápKU[#Headers],0)),0)</f>
        <v>0</v>
      </c>
      <c r="N73" s="76">
        <f xml:space="preserve">
-IFERROR(
INDEX(Table_KeHoach_SanLuong[[#Headers],[#Data]],
MATCH(Table_KeHoach_ChiPhiSKU[[#This Row],[Kế hoạch chi phí hàng hóa]],Table_KeHoach_SanLuong[[#Headers],[#Data],[Kế hoạch sản lượng]],0),
MATCH(N$72,Table_KeHoach_SanLuong[#Headers],0)) *
INDEX(Table_KeHoach_GiaNhápKU[#All],
MATCH(Table_KeHoach_ChiPhiSKU[[#This Row],[Kế hoạch chi phí hàng hóa]],Table_KeHoach_GiaNhápKU[[#All],[Kế hoạch giá nhập hàng hóa]],0),
MATCH(N$72, Table_KeHoach_GiaNhápKU[#Headers],0)),0)</f>
        <v>0</v>
      </c>
      <c r="O73" s="76">
        <f xml:space="preserve">
-IFERROR(
INDEX(Table_KeHoach_SanLuong[[#Headers],[#Data]],
MATCH(Table_KeHoach_ChiPhiSKU[[#This Row],[Kế hoạch chi phí hàng hóa]],Table_KeHoach_SanLuong[[#Headers],[#Data],[Kế hoạch sản lượng]],0),
MATCH(O$72,Table_KeHoach_SanLuong[#Headers],0)) *
INDEX(Table_KeHoach_GiaNhápKU[#All],
MATCH(Table_KeHoach_ChiPhiSKU[[#This Row],[Kế hoạch chi phí hàng hóa]],Table_KeHoach_GiaNhápKU[[#All],[Kế hoạch giá nhập hàng hóa]],0),
MATCH(O$72, Table_KeHoach_GiaNhápKU[#Headers],0)),0)</f>
        <v>0</v>
      </c>
      <c r="P73" s="5"/>
    </row>
    <row r="74" spans="2:28" ht="18" customHeight="1" x14ac:dyDescent="0.3">
      <c r="B74" s="11"/>
      <c r="C74" s="42"/>
      <c r="D74" s="11"/>
      <c r="E74" s="11"/>
      <c r="F74" s="11"/>
      <c r="G74" s="11"/>
      <c r="H74" s="11"/>
      <c r="I74" s="11"/>
      <c r="J74" s="11"/>
      <c r="K74" s="11"/>
      <c r="L74" s="11"/>
      <c r="M74" s="11"/>
      <c r="N74" s="11"/>
      <c r="O74" s="11"/>
      <c r="P74" s="5"/>
    </row>
    <row r="75" spans="2:28" ht="18" customHeight="1" x14ac:dyDescent="0.3">
      <c r="B75" s="2" t="s">
        <v>135</v>
      </c>
      <c r="C75" s="42"/>
      <c r="D75" s="11"/>
      <c r="E75" s="11"/>
      <c r="F75" s="11"/>
      <c r="G75" s="11"/>
      <c r="H75" s="11"/>
      <c r="I75" s="11"/>
      <c r="J75" s="11"/>
      <c r="K75" s="11"/>
      <c r="L75" s="11"/>
      <c r="M75" s="11"/>
      <c r="N75" s="11"/>
      <c r="O75" s="11"/>
      <c r="P75" s="75"/>
    </row>
    <row r="76" spans="2:28" ht="18" customHeight="1" x14ac:dyDescent="0.3">
      <c r="B76" s="17" t="s">
        <v>77</v>
      </c>
      <c r="C76" s="3" t="s">
        <v>125</v>
      </c>
      <c r="D76" s="5" t="s">
        <v>28</v>
      </c>
      <c r="E76" s="5" t="s">
        <v>29</v>
      </c>
      <c r="F76" s="5" t="s">
        <v>30</v>
      </c>
      <c r="G76" s="5" t="s">
        <v>31</v>
      </c>
      <c r="H76" s="5" t="s">
        <v>32</v>
      </c>
      <c r="I76" s="5" t="s">
        <v>33</v>
      </c>
      <c r="J76" s="5" t="s">
        <v>34</v>
      </c>
      <c r="K76" s="5" t="s">
        <v>35</v>
      </c>
      <c r="L76" s="5" t="s">
        <v>36</v>
      </c>
      <c r="M76" s="5" t="s">
        <v>37</v>
      </c>
      <c r="N76" s="5" t="s">
        <v>38</v>
      </c>
      <c r="O76" s="5" t="s">
        <v>39</v>
      </c>
    </row>
    <row r="77" spans="2:28" ht="18" customHeight="1" x14ac:dyDescent="0.3">
      <c r="B77" s="11"/>
      <c r="C77" s="6"/>
      <c r="D77" s="77"/>
      <c r="E77" s="77"/>
      <c r="F77" s="77"/>
      <c r="G77" s="77"/>
      <c r="H77" s="77"/>
      <c r="I77" s="77"/>
      <c r="J77" s="77"/>
      <c r="K77" s="77"/>
      <c r="L77" s="77"/>
      <c r="M77" s="77"/>
      <c r="N77" s="77"/>
      <c r="O77" s="77"/>
      <c r="P77" s="5"/>
    </row>
    <row r="78" spans="2:28" ht="18" customHeight="1" x14ac:dyDescent="0.3">
      <c r="B78" s="11"/>
      <c r="C78" s="42"/>
      <c r="D78" s="78"/>
      <c r="E78" s="77"/>
      <c r="F78" s="77"/>
      <c r="G78" s="77"/>
      <c r="H78" s="77"/>
      <c r="I78" s="77"/>
      <c r="J78" s="77"/>
      <c r="K78" s="77"/>
      <c r="L78" s="77"/>
      <c r="M78" s="77"/>
      <c r="N78" s="77"/>
      <c r="O78" s="77"/>
      <c r="P78" s="5"/>
    </row>
    <row r="79" spans="2:28" ht="18" customHeight="1" x14ac:dyDescent="0.3">
      <c r="B79" s="2" t="s">
        <v>136</v>
      </c>
      <c r="C79" s="42"/>
      <c r="D79" s="78"/>
      <c r="E79" s="77"/>
      <c r="F79" s="77"/>
      <c r="G79" s="77"/>
      <c r="H79" s="77"/>
      <c r="I79" s="77"/>
      <c r="J79" s="77"/>
      <c r="K79" s="77"/>
      <c r="L79" s="77"/>
      <c r="M79" s="77"/>
      <c r="N79" s="77"/>
      <c r="O79" s="77"/>
      <c r="P79" s="76"/>
    </row>
    <row r="80" spans="2:28" ht="18" customHeight="1" x14ac:dyDescent="0.3">
      <c r="B80" s="17" t="s">
        <v>78</v>
      </c>
      <c r="C80" s="3" t="s">
        <v>125</v>
      </c>
      <c r="D80" s="5" t="s">
        <v>28</v>
      </c>
      <c r="E80" s="5" t="s">
        <v>29</v>
      </c>
      <c r="F80" s="5" t="s">
        <v>30</v>
      </c>
      <c r="G80" s="5" t="s">
        <v>31</v>
      </c>
      <c r="H80" s="5" t="s">
        <v>32</v>
      </c>
      <c r="I80" s="5" t="s">
        <v>33</v>
      </c>
      <c r="J80" s="5" t="s">
        <v>34</v>
      </c>
      <c r="K80" s="5" t="s">
        <v>35</v>
      </c>
      <c r="L80" s="5" t="s">
        <v>36</v>
      </c>
      <c r="M80" s="5" t="s">
        <v>37</v>
      </c>
      <c r="N80" s="5" t="s">
        <v>38</v>
      </c>
      <c r="O80" s="5" t="s">
        <v>39</v>
      </c>
      <c r="P80" s="11"/>
    </row>
    <row r="81" spans="2:16" ht="18" customHeight="1" x14ac:dyDescent="0.3">
      <c r="B81" s="79"/>
      <c r="C81" s="7"/>
      <c r="D81" s="77"/>
      <c r="E81" s="77"/>
      <c r="F81" s="77"/>
      <c r="G81" s="77"/>
      <c r="H81" s="77"/>
      <c r="I81" s="77"/>
      <c r="J81" s="77"/>
      <c r="K81" s="77"/>
      <c r="L81" s="77"/>
      <c r="M81" s="77"/>
      <c r="N81" s="77"/>
      <c r="O81" s="77"/>
      <c r="P81" s="5"/>
    </row>
    <row r="82" spans="2:16" ht="18" customHeight="1" x14ac:dyDescent="0.3">
      <c r="P82" s="5"/>
    </row>
    <row r="83" spans="2:16" ht="18" customHeight="1" x14ac:dyDescent="0.3">
      <c r="B83" s="2" t="s">
        <v>137</v>
      </c>
      <c r="P83" s="77"/>
    </row>
    <row r="84" spans="2:16" ht="18" customHeight="1" x14ac:dyDescent="0.3">
      <c r="B84" s="17" t="s">
        <v>79</v>
      </c>
      <c r="C84" s="3" t="s">
        <v>125</v>
      </c>
      <c r="D84" s="5" t="s">
        <v>28</v>
      </c>
      <c r="E84" s="5" t="s">
        <v>29</v>
      </c>
      <c r="F84" s="5" t="s">
        <v>30</v>
      </c>
      <c r="G84" s="5" t="s">
        <v>31</v>
      </c>
      <c r="H84" s="5" t="s">
        <v>32</v>
      </c>
      <c r="I84" s="5" t="s">
        <v>33</v>
      </c>
      <c r="J84" s="5" t="s">
        <v>34</v>
      </c>
      <c r="K84" s="5" t="s">
        <v>35</v>
      </c>
      <c r="L84" s="5" t="s">
        <v>36</v>
      </c>
      <c r="M84" s="5" t="s">
        <v>37</v>
      </c>
      <c r="N84" s="5" t="s">
        <v>38</v>
      </c>
      <c r="O84" s="5" t="s">
        <v>39</v>
      </c>
      <c r="P84" s="77"/>
    </row>
    <row r="85" spans="2:16" ht="18" customHeight="1" x14ac:dyDescent="0.3">
      <c r="B85" s="8"/>
      <c r="C85" s="13"/>
      <c r="D85" s="80"/>
      <c r="E85" s="80"/>
      <c r="F85" s="80"/>
      <c r="G85" s="80"/>
      <c r="H85" s="80"/>
      <c r="I85" s="80"/>
      <c r="J85" s="80"/>
      <c r="K85" s="80"/>
      <c r="L85" s="80"/>
      <c r="M85" s="80"/>
      <c r="N85" s="80"/>
      <c r="O85" s="80"/>
      <c r="P85" s="5"/>
    </row>
    <row r="86" spans="2:16" ht="18" customHeight="1" x14ac:dyDescent="0.3">
      <c r="B86" s="11"/>
      <c r="C86" s="42"/>
      <c r="D86" s="11"/>
      <c r="E86" s="11"/>
      <c r="F86" s="11"/>
      <c r="G86" s="11"/>
      <c r="H86" s="11"/>
      <c r="I86" s="11"/>
      <c r="J86" s="11"/>
      <c r="K86" s="11"/>
      <c r="L86" s="11"/>
      <c r="M86" s="11"/>
      <c r="N86" s="11"/>
      <c r="O86" s="11"/>
      <c r="P86" s="5"/>
    </row>
    <row r="87" spans="2:16" ht="18" customHeight="1" x14ac:dyDescent="0.3">
      <c r="B87" s="2" t="s">
        <v>139</v>
      </c>
      <c r="C87" s="42"/>
      <c r="D87" s="11"/>
      <c r="E87" s="11"/>
      <c r="F87" s="11"/>
      <c r="G87" s="11"/>
      <c r="H87" s="11"/>
      <c r="I87" s="11"/>
      <c r="J87" s="11"/>
      <c r="K87" s="11"/>
      <c r="L87" s="11"/>
      <c r="M87" s="11"/>
      <c r="N87" s="11"/>
      <c r="O87" s="11"/>
      <c r="P87" s="77"/>
    </row>
    <row r="88" spans="2:16" ht="18" customHeight="1" x14ac:dyDescent="0.3">
      <c r="B88" s="2" t="s">
        <v>80</v>
      </c>
      <c r="C88" s="3" t="s">
        <v>125</v>
      </c>
      <c r="D88" s="5" t="s">
        <v>28</v>
      </c>
      <c r="E88" s="5" t="s">
        <v>29</v>
      </c>
      <c r="F88" s="5" t="s">
        <v>30</v>
      </c>
      <c r="G88" s="5" t="s">
        <v>31</v>
      </c>
      <c r="H88" s="5" t="s">
        <v>32</v>
      </c>
      <c r="I88" s="5" t="s">
        <v>33</v>
      </c>
      <c r="J88" s="5" t="s">
        <v>34</v>
      </c>
      <c r="K88" s="5" t="s">
        <v>35</v>
      </c>
      <c r="L88" s="5" t="s">
        <v>36</v>
      </c>
      <c r="M88" s="5" t="s">
        <v>37</v>
      </c>
      <c r="N88" s="5" t="s">
        <v>38</v>
      </c>
      <c r="O88" s="5" t="s">
        <v>39</v>
      </c>
    </row>
    <row r="89" spans="2:16" ht="18" customHeight="1" x14ac:dyDescent="0.3">
      <c r="C89" s="94"/>
      <c r="D89" s="16"/>
      <c r="E89" s="16"/>
      <c r="F89" s="16"/>
      <c r="G89" s="16"/>
      <c r="H89" s="16"/>
      <c r="I89" s="16"/>
      <c r="J89" s="16"/>
      <c r="K89" s="16"/>
      <c r="L89" s="16"/>
      <c r="M89" s="16"/>
      <c r="N89" s="16"/>
      <c r="O89" s="16"/>
      <c r="P89" s="5"/>
    </row>
    <row r="90" spans="2:16" ht="18" customHeight="1" x14ac:dyDescent="0.3">
      <c r="P90" s="80"/>
    </row>
    <row r="91" spans="2:16" ht="18" customHeight="1" x14ac:dyDescent="0.3">
      <c r="B91" s="2" t="s">
        <v>140</v>
      </c>
      <c r="P91" s="80"/>
    </row>
    <row r="92" spans="2:16" ht="18" customHeight="1" x14ac:dyDescent="0.3">
      <c r="B92" s="17" t="s">
        <v>81</v>
      </c>
      <c r="C92" s="3" t="s">
        <v>125</v>
      </c>
      <c r="D92" s="5" t="s">
        <v>28</v>
      </c>
      <c r="E92" s="5" t="s">
        <v>29</v>
      </c>
      <c r="F92" s="5" t="s">
        <v>30</v>
      </c>
      <c r="G92" s="5" t="s">
        <v>31</v>
      </c>
      <c r="H92" s="5" t="s">
        <v>32</v>
      </c>
      <c r="I92" s="5" t="s">
        <v>33</v>
      </c>
      <c r="J92" s="5" t="s">
        <v>34</v>
      </c>
      <c r="K92" s="5" t="s">
        <v>35</v>
      </c>
      <c r="L92" s="5" t="s">
        <v>36</v>
      </c>
      <c r="M92" s="5" t="s">
        <v>37</v>
      </c>
      <c r="N92" s="5" t="s">
        <v>38</v>
      </c>
      <c r="O92" s="5" t="s">
        <v>39</v>
      </c>
      <c r="P92" s="11"/>
    </row>
    <row r="93" spans="2:16" ht="18" customHeight="1" x14ac:dyDescent="0.3">
      <c r="C93" s="7"/>
      <c r="D93" s="7" t="e">
        <f>-
INDEX(Table_KeHoach_TyleHoaHong[#All],
MATCH(Table_KeHoach_ChiPhiHoaHong[[#This Row],[Kế hoạch chi phí hoa hồng]],Table_KeHoach_TyleHoaHong[[#All],[Kế hoạch tỷ lệ hoa hồng]],0),
MATCH(D$92,Table_KeHoach_TyleHoaHong[#Headers],0)) *
INDEX(Table_KeHoach_DoanhThu[[#Headers],[#Data]],
MATCH(Table_KeHoach_ChiPhiHoaHong[[#This Row],[Kế hoạch chi phí hoa hồng]],Table_KeHoach_DoanhThu[[#Headers],[#Data],[Kế hoạch doanh thu]],0),
MATCH(D$92, Table_KeHoach_DoanhThu[#Headers],0))</f>
        <v>#N/A</v>
      </c>
      <c r="E93" s="7" t="e">
        <f>-
INDEX(Table_KeHoach_TyleHoaHong[#All],
MATCH(Table_KeHoach_ChiPhiHoaHong[[#This Row],[Kế hoạch chi phí hoa hồng]],Table_KeHoach_TyleHoaHong[[#All],[Kế hoạch tỷ lệ hoa hồng]],0),
MATCH(E$92,Table_KeHoach_TyleHoaHong[#Headers],0)) *
INDEX(Table_KeHoach_DoanhThu[[#Headers],[#Data]],
MATCH(Table_KeHoach_ChiPhiHoaHong[[#This Row],[Kế hoạch chi phí hoa hồng]],Table_KeHoach_DoanhThu[[#Headers],[#Data],[Kế hoạch doanh thu]],0),
MATCH(E$92, Table_KeHoach_DoanhThu[#Headers],0))</f>
        <v>#N/A</v>
      </c>
      <c r="F93" s="7" t="e">
        <f>-
INDEX(Table_KeHoach_TyleHoaHong[#All],
MATCH(Table_KeHoach_ChiPhiHoaHong[[#This Row],[Kế hoạch chi phí hoa hồng]],Table_KeHoach_TyleHoaHong[[#All],[Kế hoạch tỷ lệ hoa hồng]],0),
MATCH(F$92,Table_KeHoach_TyleHoaHong[#Headers],0)) *
INDEX(Table_KeHoach_DoanhThu[[#Headers],[#Data]],
MATCH(Table_KeHoach_ChiPhiHoaHong[[#This Row],[Kế hoạch chi phí hoa hồng]],Table_KeHoach_DoanhThu[[#Headers],[#Data],[Kế hoạch doanh thu]],0),
MATCH(F$92, Table_KeHoach_DoanhThu[#Headers],0))</f>
        <v>#N/A</v>
      </c>
      <c r="G93" s="7" t="e">
        <f>-
INDEX(Table_KeHoach_TyleHoaHong[#All],
MATCH(Table_KeHoach_ChiPhiHoaHong[[#This Row],[Kế hoạch chi phí hoa hồng]],Table_KeHoach_TyleHoaHong[[#All],[Kế hoạch tỷ lệ hoa hồng]],0),
MATCH(G$92,Table_KeHoach_TyleHoaHong[#Headers],0)) *
INDEX(Table_KeHoach_DoanhThu[[#Headers],[#Data]],
MATCH(Table_KeHoach_ChiPhiHoaHong[[#This Row],[Kế hoạch chi phí hoa hồng]],Table_KeHoach_DoanhThu[[#Headers],[#Data],[Kế hoạch doanh thu]],0),
MATCH(G$92, Table_KeHoach_DoanhThu[#Headers],0))</f>
        <v>#N/A</v>
      </c>
      <c r="H93" s="7" t="e">
        <f>-
INDEX(Table_KeHoach_TyleHoaHong[#All],
MATCH(Table_KeHoach_ChiPhiHoaHong[[#This Row],[Kế hoạch chi phí hoa hồng]],Table_KeHoach_TyleHoaHong[[#All],[Kế hoạch tỷ lệ hoa hồng]],0),
MATCH(H$92,Table_KeHoach_TyleHoaHong[#Headers],0)) *
INDEX(Table_KeHoach_DoanhThu[[#Headers],[#Data]],
MATCH(Table_KeHoach_ChiPhiHoaHong[[#This Row],[Kế hoạch chi phí hoa hồng]],Table_KeHoach_DoanhThu[[#Headers],[#Data],[Kế hoạch doanh thu]],0),
MATCH(H$92, Table_KeHoach_DoanhThu[#Headers],0))</f>
        <v>#N/A</v>
      </c>
      <c r="I93" s="7" t="e">
        <f>-
INDEX(Table_KeHoach_TyleHoaHong[#All],
MATCH(Table_KeHoach_ChiPhiHoaHong[[#This Row],[Kế hoạch chi phí hoa hồng]],Table_KeHoach_TyleHoaHong[[#All],[Kế hoạch tỷ lệ hoa hồng]],0),
MATCH(I$92,Table_KeHoach_TyleHoaHong[#Headers],0)) *
INDEX(Table_KeHoach_DoanhThu[[#Headers],[#Data]],
MATCH(Table_KeHoach_ChiPhiHoaHong[[#This Row],[Kế hoạch chi phí hoa hồng]],Table_KeHoach_DoanhThu[[#Headers],[#Data],[Kế hoạch doanh thu]],0),
MATCH(I$92, Table_KeHoach_DoanhThu[#Headers],0))</f>
        <v>#N/A</v>
      </c>
      <c r="J93" s="7" t="e">
        <f>-
INDEX(Table_KeHoach_TyleHoaHong[#All],
MATCH(Table_KeHoach_ChiPhiHoaHong[[#This Row],[Kế hoạch chi phí hoa hồng]],Table_KeHoach_TyleHoaHong[[#All],[Kế hoạch tỷ lệ hoa hồng]],0),
MATCH(J$92,Table_KeHoach_TyleHoaHong[#Headers],0)) *
INDEX(Table_KeHoach_DoanhThu[[#Headers],[#Data]],
MATCH(Table_KeHoach_ChiPhiHoaHong[[#This Row],[Kế hoạch chi phí hoa hồng]],Table_KeHoach_DoanhThu[[#Headers],[#Data],[Kế hoạch doanh thu]],0),
MATCH(J$92, Table_KeHoach_DoanhThu[#Headers],0))</f>
        <v>#N/A</v>
      </c>
      <c r="K93" s="7" t="e">
        <f>-
INDEX(Table_KeHoach_TyleHoaHong[#All],
MATCH(Table_KeHoach_ChiPhiHoaHong[[#This Row],[Kế hoạch chi phí hoa hồng]],Table_KeHoach_TyleHoaHong[[#All],[Kế hoạch tỷ lệ hoa hồng]],0),
MATCH(K$92,Table_KeHoach_TyleHoaHong[#Headers],0)) *
INDEX(Table_KeHoach_DoanhThu[[#Headers],[#Data]],
MATCH(Table_KeHoach_ChiPhiHoaHong[[#This Row],[Kế hoạch chi phí hoa hồng]],Table_KeHoach_DoanhThu[[#Headers],[#Data],[Kế hoạch doanh thu]],0),
MATCH(K$92, Table_KeHoach_DoanhThu[#Headers],0))</f>
        <v>#N/A</v>
      </c>
      <c r="L93" s="7" t="e">
        <f>-
INDEX(Table_KeHoach_TyleHoaHong[#All],
MATCH(Table_KeHoach_ChiPhiHoaHong[[#This Row],[Kế hoạch chi phí hoa hồng]],Table_KeHoach_TyleHoaHong[[#All],[Kế hoạch tỷ lệ hoa hồng]],0),
MATCH(L$92,Table_KeHoach_TyleHoaHong[#Headers],0)) *
INDEX(Table_KeHoach_DoanhThu[[#Headers],[#Data]],
MATCH(Table_KeHoach_ChiPhiHoaHong[[#This Row],[Kế hoạch chi phí hoa hồng]],Table_KeHoach_DoanhThu[[#Headers],[#Data],[Kế hoạch doanh thu]],0),
MATCH(L$92, Table_KeHoach_DoanhThu[#Headers],0))</f>
        <v>#N/A</v>
      </c>
      <c r="M93" s="7" t="e">
        <f>-
INDEX(Table_KeHoach_TyleHoaHong[#All],
MATCH(Table_KeHoach_ChiPhiHoaHong[[#This Row],[Kế hoạch chi phí hoa hồng]],Table_KeHoach_TyleHoaHong[[#All],[Kế hoạch tỷ lệ hoa hồng]],0),
MATCH(M$92,Table_KeHoach_TyleHoaHong[#Headers],0)) *
INDEX(Table_KeHoach_DoanhThu[[#Headers],[#Data]],
MATCH(Table_KeHoach_ChiPhiHoaHong[[#This Row],[Kế hoạch chi phí hoa hồng]],Table_KeHoach_DoanhThu[[#Headers],[#Data],[Kế hoạch doanh thu]],0),
MATCH(M$92, Table_KeHoach_DoanhThu[#Headers],0))</f>
        <v>#N/A</v>
      </c>
      <c r="N93" s="7" t="e">
        <f>-
INDEX(Table_KeHoach_TyleHoaHong[#All],
MATCH(Table_KeHoach_ChiPhiHoaHong[[#This Row],[Kế hoạch chi phí hoa hồng]],Table_KeHoach_TyleHoaHong[[#All],[Kế hoạch tỷ lệ hoa hồng]],0),
MATCH(N$92,Table_KeHoach_TyleHoaHong[#Headers],0)) *
INDEX(Table_KeHoach_DoanhThu[[#Headers],[#Data]],
MATCH(Table_KeHoach_ChiPhiHoaHong[[#This Row],[Kế hoạch chi phí hoa hồng]],Table_KeHoach_DoanhThu[[#Headers],[#Data],[Kế hoạch doanh thu]],0),
MATCH(N$92, Table_KeHoach_DoanhThu[#Headers],0))</f>
        <v>#N/A</v>
      </c>
      <c r="O93" s="7" t="e">
        <f>-
INDEX(Table_KeHoach_TyleHoaHong[#All],
MATCH(Table_KeHoach_ChiPhiHoaHong[[#This Row],[Kế hoạch chi phí hoa hồng]],Table_KeHoach_TyleHoaHong[[#All],[Kế hoạch tỷ lệ hoa hồng]],0),
MATCH(O$92,Table_KeHoach_TyleHoaHong[#Headers],0)) *
INDEX(Table_KeHoach_DoanhThu[[#Headers],[#Data]],
MATCH(Table_KeHoach_ChiPhiHoaHong[[#This Row],[Kế hoạch chi phí hoa hồng]],Table_KeHoach_DoanhThu[[#Headers],[#Data],[Kế hoạch doanh thu]],0),
MATCH(O$92, Table_KeHoach_DoanhThu[#Headers],0))</f>
        <v>#N/A</v>
      </c>
      <c r="P93" s="5"/>
    </row>
    <row r="94" spans="2:16" ht="18" customHeight="1" x14ac:dyDescent="0.3">
      <c r="P94" s="16"/>
    </row>
    <row r="95" spans="2:16" ht="18" customHeight="1" x14ac:dyDescent="0.3">
      <c r="B95" s="2" t="s">
        <v>141</v>
      </c>
      <c r="P95" s="16"/>
    </row>
    <row r="96" spans="2:16" ht="18" customHeight="1" x14ac:dyDescent="0.3">
      <c r="B96" s="17" t="s">
        <v>83</v>
      </c>
      <c r="C96" s="3" t="s">
        <v>125</v>
      </c>
      <c r="D96" s="5" t="s">
        <v>28</v>
      </c>
      <c r="E96" s="5" t="s">
        <v>29</v>
      </c>
      <c r="F96" s="5" t="s">
        <v>30</v>
      </c>
      <c r="G96" s="5" t="s">
        <v>31</v>
      </c>
      <c r="H96" s="5" t="s">
        <v>32</v>
      </c>
      <c r="I96" s="5" t="s">
        <v>33</v>
      </c>
      <c r="J96" s="5" t="s">
        <v>34</v>
      </c>
      <c r="K96" s="5" t="s">
        <v>35</v>
      </c>
      <c r="L96" s="5" t="s">
        <v>36</v>
      </c>
      <c r="M96" s="5" t="s">
        <v>37</v>
      </c>
      <c r="N96" s="5" t="s">
        <v>38</v>
      </c>
      <c r="O96" s="5" t="s">
        <v>39</v>
      </c>
    </row>
    <row r="97" spans="2:16" ht="18" customHeight="1" x14ac:dyDescent="0.3">
      <c r="C97" s="31"/>
      <c r="D97" s="31"/>
      <c r="E97" s="31"/>
      <c r="F97" s="31"/>
      <c r="G97" s="31"/>
      <c r="H97" s="31"/>
      <c r="I97" s="31"/>
      <c r="J97" s="31"/>
      <c r="K97" s="31"/>
      <c r="L97" s="31"/>
      <c r="M97" s="31"/>
      <c r="N97" s="31"/>
      <c r="O97" s="31"/>
      <c r="P97" s="5"/>
    </row>
    <row r="98" spans="2:16" ht="18" customHeight="1" x14ac:dyDescent="0.3">
      <c r="B98" s="11"/>
      <c r="C98" s="42"/>
      <c r="D98" s="11"/>
      <c r="E98" s="11"/>
      <c r="F98" s="11"/>
      <c r="G98" s="11"/>
      <c r="H98" s="11"/>
      <c r="I98" s="11"/>
      <c r="J98" s="11"/>
      <c r="K98" s="11"/>
      <c r="L98" s="11"/>
      <c r="M98" s="11"/>
      <c r="N98" s="11"/>
      <c r="O98" s="11"/>
      <c r="P98" s="7"/>
    </row>
    <row r="99" spans="2:16" ht="18" customHeight="1" x14ac:dyDescent="0.3">
      <c r="B99" s="2" t="s">
        <v>142</v>
      </c>
      <c r="C99" s="42"/>
      <c r="D99" s="11"/>
      <c r="E99" s="11"/>
      <c r="F99" s="11"/>
      <c r="G99" s="11"/>
      <c r="H99" s="11"/>
      <c r="I99" s="11"/>
      <c r="J99" s="11"/>
      <c r="K99" s="11"/>
      <c r="L99" s="11"/>
      <c r="M99" s="11"/>
      <c r="N99" s="11"/>
      <c r="O99" s="11"/>
      <c r="P99" s="7"/>
    </row>
    <row r="100" spans="2:16" ht="18" customHeight="1" x14ac:dyDescent="0.3">
      <c r="B100" s="2" t="s">
        <v>82</v>
      </c>
      <c r="C100" s="3" t="s">
        <v>125</v>
      </c>
      <c r="D100" s="5" t="s">
        <v>28</v>
      </c>
      <c r="E100" s="5" t="s">
        <v>29</v>
      </c>
      <c r="F100" s="5" t="s">
        <v>30</v>
      </c>
      <c r="G100" s="5" t="s">
        <v>31</v>
      </c>
      <c r="H100" s="5" t="s">
        <v>32</v>
      </c>
      <c r="I100" s="5" t="s">
        <v>33</v>
      </c>
      <c r="J100" s="5" t="s">
        <v>34</v>
      </c>
      <c r="K100" s="5" t="s">
        <v>35</v>
      </c>
      <c r="L100" s="5" t="s">
        <v>36</v>
      </c>
      <c r="M100" s="5" t="s">
        <v>37</v>
      </c>
      <c r="N100" s="5" t="s">
        <v>38</v>
      </c>
      <c r="O100" s="5" t="s">
        <v>39</v>
      </c>
    </row>
    <row r="101" spans="2:16" ht="18" customHeight="1" x14ac:dyDescent="0.3">
      <c r="C101" s="22"/>
      <c r="D101" s="22"/>
      <c r="E101" s="22"/>
      <c r="F101" s="22"/>
      <c r="G101" s="22"/>
      <c r="H101" s="22"/>
      <c r="I101" s="22"/>
      <c r="J101" s="22"/>
      <c r="K101" s="22"/>
      <c r="L101" s="22"/>
      <c r="M101" s="22"/>
      <c r="N101" s="22"/>
      <c r="O101" s="22"/>
      <c r="P101" s="5"/>
    </row>
    <row r="102" spans="2:16" ht="18" customHeight="1" x14ac:dyDescent="0.3">
      <c r="B102" s="11"/>
      <c r="C102" s="42"/>
      <c r="D102" s="11"/>
      <c r="E102" s="11"/>
      <c r="F102" s="11"/>
      <c r="G102" s="11"/>
      <c r="H102" s="11"/>
      <c r="I102" s="11"/>
      <c r="J102" s="11"/>
      <c r="K102" s="11"/>
      <c r="L102" s="11"/>
      <c r="M102" s="11"/>
      <c r="N102" s="11"/>
      <c r="P102" s="31"/>
    </row>
    <row r="103" spans="2:16" ht="18" customHeight="1" x14ac:dyDescent="0.3">
      <c r="B103" s="8" t="s">
        <v>143</v>
      </c>
      <c r="C103" s="42"/>
      <c r="D103" s="11"/>
      <c r="E103" s="11"/>
      <c r="F103" s="11"/>
      <c r="G103" s="11"/>
      <c r="H103" s="11"/>
      <c r="I103" s="11"/>
      <c r="J103" s="11"/>
      <c r="K103" s="11"/>
      <c r="L103" s="11"/>
      <c r="M103" s="11"/>
      <c r="N103" s="11"/>
      <c r="P103" s="31"/>
    </row>
    <row r="104" spans="2:16" ht="18" customHeight="1" x14ac:dyDescent="0.3">
      <c r="B104" s="17" t="s">
        <v>84</v>
      </c>
      <c r="C104" s="3" t="s">
        <v>125</v>
      </c>
      <c r="D104" s="5" t="s">
        <v>28</v>
      </c>
      <c r="E104" s="5" t="s">
        <v>29</v>
      </c>
      <c r="F104" s="5" t="s">
        <v>30</v>
      </c>
      <c r="G104" s="5" t="s">
        <v>31</v>
      </c>
      <c r="H104" s="5" t="s">
        <v>32</v>
      </c>
      <c r="I104" s="5" t="s">
        <v>33</v>
      </c>
      <c r="J104" s="5" t="s">
        <v>34</v>
      </c>
      <c r="K104" s="5" t="s">
        <v>35</v>
      </c>
      <c r="L104" s="5" t="s">
        <v>36</v>
      </c>
      <c r="M104" s="5" t="s">
        <v>37</v>
      </c>
      <c r="N104" s="5" t="s">
        <v>38</v>
      </c>
      <c r="O104" s="5" t="s">
        <v>39</v>
      </c>
      <c r="P104" s="11"/>
    </row>
    <row r="105" spans="2:16" ht="18" customHeight="1" x14ac:dyDescent="0.3">
      <c r="C105" s="7"/>
      <c r="D105" s="7" t="e">
        <f>-
INDEX(Table_KeHoach_DoanhThuTaiKhoan[#All],
MATCH(Table_KeHoach_ChiPhiThanhToan[[#This Row],[Kế hoạch chi phí thanh toán]],Table_KeHoach_DoanhThuTaiKhoan[[#All],[Kế hoạch tỷ trọng doanh thu]],0),
MATCH(D$104,Table_KeHoach_DoanhThuTaiKhoan[#Headers],0)) *
INDEX(Table_KeHoach_ChietKhauThanToan[#All],
MATCH(Table_KeHoach_ChiPhiThanhToan[[#This Row],[Kế hoạch chi phí thanh toán]],Table_KeHoach_ChietKhauThanToan[[#All],[Kế hoạch tỷ lệ CK thanh toán]],0),
MATCH(D$104,Table_KeHoach_ChietKhauThanToan[#Headers],0)) *
HLOOKUP(D$104,Table_KeHoach_DoanhThu[#All],COUNTA(Table_KeHoach_DoanhThu[[#All],[Kế hoạch doanh thu]]),0)</f>
        <v>#N/A</v>
      </c>
      <c r="E105" s="7" t="e">
        <f>-
INDEX(Table_KeHoach_DoanhThuTaiKhoan[#All],
MATCH(Table_KeHoach_ChiPhiThanhToan[[#This Row],[Kế hoạch chi phí thanh toán]],Table_KeHoach_DoanhThuTaiKhoan[[#All],[Kế hoạch tỷ trọng doanh thu]],0),
MATCH(E$104,Table_KeHoach_DoanhThuTaiKhoan[#Headers],0)) *
INDEX(Table_KeHoach_ChietKhauThanToan[#All],
MATCH(Table_KeHoach_ChiPhiThanhToan[[#This Row],[Kế hoạch chi phí thanh toán]],Table_KeHoach_ChietKhauThanToan[[#All],[Kế hoạch tỷ lệ CK thanh toán]],0),
MATCH(E$104,Table_KeHoach_ChietKhauThanToan[#Headers],0)) *
HLOOKUP(E$104,Table_KeHoach_DoanhThu[#All],COUNTA(Table_KeHoach_DoanhThu[[#All],[Kế hoạch doanh thu]]),0)</f>
        <v>#N/A</v>
      </c>
      <c r="F105" s="7" t="e">
        <f>-
INDEX(Table_KeHoach_DoanhThuTaiKhoan[#All],
MATCH(Table_KeHoach_ChiPhiThanhToan[[#This Row],[Kế hoạch chi phí thanh toán]],Table_KeHoach_DoanhThuTaiKhoan[[#All],[Kế hoạch tỷ trọng doanh thu]],0),
MATCH(F$104,Table_KeHoach_DoanhThuTaiKhoan[#Headers],0)) *
INDEX(Table_KeHoach_ChietKhauThanToan[#All],
MATCH(Table_KeHoach_ChiPhiThanhToan[[#This Row],[Kế hoạch chi phí thanh toán]],Table_KeHoach_ChietKhauThanToan[[#All],[Kế hoạch tỷ lệ CK thanh toán]],0),
MATCH(F$104,Table_KeHoach_ChietKhauThanToan[#Headers],0)) *
HLOOKUP(F$104,Table_KeHoach_DoanhThu[#All],COUNTA(Table_KeHoach_DoanhThu[[#All],[Kế hoạch doanh thu]]),0)</f>
        <v>#N/A</v>
      </c>
      <c r="G105" s="7" t="e">
        <f>-
INDEX(Table_KeHoach_DoanhThuTaiKhoan[#All],
MATCH(Table_KeHoach_ChiPhiThanhToan[[#This Row],[Kế hoạch chi phí thanh toán]],Table_KeHoach_DoanhThuTaiKhoan[[#All],[Kế hoạch tỷ trọng doanh thu]],0),
MATCH(G$104,Table_KeHoach_DoanhThuTaiKhoan[#Headers],0)) *
INDEX(Table_KeHoach_ChietKhauThanToan[#All],
MATCH(Table_KeHoach_ChiPhiThanhToan[[#This Row],[Kế hoạch chi phí thanh toán]],Table_KeHoach_ChietKhauThanToan[[#All],[Kế hoạch tỷ lệ CK thanh toán]],0),
MATCH(G$104,Table_KeHoach_ChietKhauThanToan[#Headers],0)) *
HLOOKUP(G$104,Table_KeHoach_DoanhThu[#All],COUNTA(Table_KeHoach_DoanhThu[[#All],[Kế hoạch doanh thu]]),0)</f>
        <v>#N/A</v>
      </c>
      <c r="H105" s="7" t="e">
        <f>-
INDEX(Table_KeHoach_DoanhThuTaiKhoan[#All],
MATCH(Table_KeHoach_ChiPhiThanhToan[[#This Row],[Kế hoạch chi phí thanh toán]],Table_KeHoach_DoanhThuTaiKhoan[[#All],[Kế hoạch tỷ trọng doanh thu]],0),
MATCH(H$104,Table_KeHoach_DoanhThuTaiKhoan[#Headers],0)) *
INDEX(Table_KeHoach_ChietKhauThanToan[#All],
MATCH(Table_KeHoach_ChiPhiThanhToan[[#This Row],[Kế hoạch chi phí thanh toán]],Table_KeHoach_ChietKhauThanToan[[#All],[Kế hoạch tỷ lệ CK thanh toán]],0),
MATCH(H$104,Table_KeHoach_ChietKhauThanToan[#Headers],0)) *
HLOOKUP(H$104,Table_KeHoach_DoanhThu[#All],COUNTA(Table_KeHoach_DoanhThu[[#All],[Kế hoạch doanh thu]]),0)</f>
        <v>#N/A</v>
      </c>
      <c r="I105" s="7" t="e">
        <f>-
INDEX(Table_KeHoach_DoanhThuTaiKhoan[#All],
MATCH(Table_KeHoach_ChiPhiThanhToan[[#This Row],[Kế hoạch chi phí thanh toán]],Table_KeHoach_DoanhThuTaiKhoan[[#All],[Kế hoạch tỷ trọng doanh thu]],0),
MATCH(I$104,Table_KeHoach_DoanhThuTaiKhoan[#Headers],0)) *
INDEX(Table_KeHoach_ChietKhauThanToan[#All],
MATCH(Table_KeHoach_ChiPhiThanhToan[[#This Row],[Kế hoạch chi phí thanh toán]],Table_KeHoach_ChietKhauThanToan[[#All],[Kế hoạch tỷ lệ CK thanh toán]],0),
MATCH(I$104,Table_KeHoach_ChietKhauThanToan[#Headers],0)) *
HLOOKUP(I$104,Table_KeHoach_DoanhThu[#All],COUNTA(Table_KeHoach_DoanhThu[[#All],[Kế hoạch doanh thu]]),0)</f>
        <v>#N/A</v>
      </c>
      <c r="J105" s="7" t="e">
        <f>-
INDEX(Table_KeHoach_DoanhThuTaiKhoan[#All],
MATCH(Table_KeHoach_ChiPhiThanhToan[[#This Row],[Kế hoạch chi phí thanh toán]],Table_KeHoach_DoanhThuTaiKhoan[[#All],[Kế hoạch tỷ trọng doanh thu]],0),
MATCH(J$104,Table_KeHoach_DoanhThuTaiKhoan[#Headers],0)) *
INDEX(Table_KeHoach_ChietKhauThanToan[#All],
MATCH(Table_KeHoach_ChiPhiThanhToan[[#This Row],[Kế hoạch chi phí thanh toán]],Table_KeHoach_ChietKhauThanToan[[#All],[Kế hoạch tỷ lệ CK thanh toán]],0),
MATCH(J$104,Table_KeHoach_ChietKhauThanToan[#Headers],0)) *
HLOOKUP(J$104,Table_KeHoach_DoanhThu[#All],COUNTA(Table_KeHoach_DoanhThu[[#All],[Kế hoạch doanh thu]]),0)</f>
        <v>#N/A</v>
      </c>
      <c r="K105" s="7" t="e">
        <f>-
INDEX(Table_KeHoach_DoanhThuTaiKhoan[#All],
MATCH(Table_KeHoach_ChiPhiThanhToan[[#This Row],[Kế hoạch chi phí thanh toán]],Table_KeHoach_DoanhThuTaiKhoan[[#All],[Kế hoạch tỷ trọng doanh thu]],0),
MATCH(K$104,Table_KeHoach_DoanhThuTaiKhoan[#Headers],0)) *
INDEX(Table_KeHoach_ChietKhauThanToan[#All],
MATCH(Table_KeHoach_ChiPhiThanhToan[[#This Row],[Kế hoạch chi phí thanh toán]],Table_KeHoach_ChietKhauThanToan[[#All],[Kế hoạch tỷ lệ CK thanh toán]],0),
MATCH(K$104,Table_KeHoach_ChietKhauThanToan[#Headers],0)) *
HLOOKUP(K$104,Table_KeHoach_DoanhThu[#All],COUNTA(Table_KeHoach_DoanhThu[[#All],[Kế hoạch doanh thu]]),0)</f>
        <v>#N/A</v>
      </c>
      <c r="L105" s="7" t="e">
        <f>-
INDEX(Table_KeHoach_DoanhThuTaiKhoan[#All],
MATCH(Table_KeHoach_ChiPhiThanhToan[[#This Row],[Kế hoạch chi phí thanh toán]],Table_KeHoach_DoanhThuTaiKhoan[[#All],[Kế hoạch tỷ trọng doanh thu]],0),
MATCH(L$104,Table_KeHoach_DoanhThuTaiKhoan[#Headers],0)) *
INDEX(Table_KeHoach_ChietKhauThanToan[#All],
MATCH(Table_KeHoach_ChiPhiThanhToan[[#This Row],[Kế hoạch chi phí thanh toán]],Table_KeHoach_ChietKhauThanToan[[#All],[Kế hoạch tỷ lệ CK thanh toán]],0),
MATCH(L$104,Table_KeHoach_ChietKhauThanToan[#Headers],0)) *
HLOOKUP(L$104,Table_KeHoach_DoanhThu[#All],COUNTA(Table_KeHoach_DoanhThu[[#All],[Kế hoạch doanh thu]]),0)</f>
        <v>#N/A</v>
      </c>
      <c r="M105" s="7" t="e">
        <f>-
INDEX(Table_KeHoach_DoanhThuTaiKhoan[#All],
MATCH(Table_KeHoach_ChiPhiThanhToan[[#This Row],[Kế hoạch chi phí thanh toán]],Table_KeHoach_DoanhThuTaiKhoan[[#All],[Kế hoạch tỷ trọng doanh thu]],0),
MATCH(M$104,Table_KeHoach_DoanhThuTaiKhoan[#Headers],0)) *
INDEX(Table_KeHoach_ChietKhauThanToan[#All],
MATCH(Table_KeHoach_ChiPhiThanhToan[[#This Row],[Kế hoạch chi phí thanh toán]],Table_KeHoach_ChietKhauThanToan[[#All],[Kế hoạch tỷ lệ CK thanh toán]],0),
MATCH(M$104,Table_KeHoach_ChietKhauThanToan[#Headers],0)) *
HLOOKUP(M$104,Table_KeHoach_DoanhThu[#All],COUNTA(Table_KeHoach_DoanhThu[[#All],[Kế hoạch doanh thu]]),0)</f>
        <v>#N/A</v>
      </c>
      <c r="N105" s="7" t="e">
        <f>-
INDEX(Table_KeHoach_DoanhThuTaiKhoan[#All],
MATCH(Table_KeHoach_ChiPhiThanhToan[[#This Row],[Kế hoạch chi phí thanh toán]],Table_KeHoach_DoanhThuTaiKhoan[[#All],[Kế hoạch tỷ trọng doanh thu]],0),
MATCH(N$104,Table_KeHoach_DoanhThuTaiKhoan[#Headers],0)) *
INDEX(Table_KeHoach_ChietKhauThanToan[#All],
MATCH(Table_KeHoach_ChiPhiThanhToan[[#This Row],[Kế hoạch chi phí thanh toán]],Table_KeHoach_ChietKhauThanToan[[#All],[Kế hoạch tỷ lệ CK thanh toán]],0),
MATCH(N$104,Table_KeHoach_ChietKhauThanToan[#Headers],0)) *
HLOOKUP(N$104,Table_KeHoach_DoanhThu[#All],COUNTA(Table_KeHoach_DoanhThu[[#All],[Kế hoạch doanh thu]]),0)</f>
        <v>#N/A</v>
      </c>
      <c r="O105" s="7" t="e">
        <f>-
INDEX(Table_KeHoach_DoanhThuTaiKhoan[#All],
MATCH(Table_KeHoach_ChiPhiThanhToan[[#This Row],[Kế hoạch chi phí thanh toán]],Table_KeHoach_DoanhThuTaiKhoan[[#All],[Kế hoạch tỷ trọng doanh thu]],0),
MATCH(O$104,Table_KeHoach_DoanhThuTaiKhoan[#Headers],0)) *
INDEX(Table_KeHoach_ChietKhauThanToan[#All],
MATCH(Table_KeHoach_ChiPhiThanhToan[[#This Row],[Kế hoạch chi phí thanh toán]],Table_KeHoach_ChietKhauThanToan[[#All],[Kế hoạch tỷ lệ CK thanh toán]],0),
MATCH(O$104,Table_KeHoach_ChietKhauThanToan[#Headers],0)) *
HLOOKUP(O$104,Table_KeHoach_DoanhThu[#All],COUNTA(Table_KeHoach_DoanhThu[[#All],[Kế hoạch doanh thu]]),0)</f>
        <v>#N/A</v>
      </c>
      <c r="P105" s="5"/>
    </row>
    <row r="106" spans="2:16" ht="18" customHeight="1" x14ac:dyDescent="0.3">
      <c r="P106" s="22"/>
    </row>
    <row r="107" spans="2:16" ht="18" customHeight="1" x14ac:dyDescent="0.3">
      <c r="B107" s="2" t="s">
        <v>144</v>
      </c>
      <c r="P107" s="22"/>
    </row>
    <row r="108" spans="2:16" ht="18" customHeight="1" x14ac:dyDescent="0.3">
      <c r="B108" s="2" t="s">
        <v>85</v>
      </c>
      <c r="C108" s="3" t="s">
        <v>125</v>
      </c>
      <c r="D108" s="5" t="s">
        <v>28</v>
      </c>
      <c r="E108" s="5" t="s">
        <v>29</v>
      </c>
      <c r="F108" s="5" t="s">
        <v>30</v>
      </c>
      <c r="G108" s="5" t="s">
        <v>31</v>
      </c>
      <c r="H108" s="5" t="s">
        <v>32</v>
      </c>
      <c r="I108" s="5" t="s">
        <v>33</v>
      </c>
      <c r="J108" s="5" t="s">
        <v>34</v>
      </c>
      <c r="K108" s="5" t="s">
        <v>35</v>
      </c>
      <c r="L108" s="5" t="s">
        <v>36</v>
      </c>
      <c r="M108" s="5" t="s">
        <v>37</v>
      </c>
      <c r="N108" s="5" t="s">
        <v>38</v>
      </c>
      <c r="O108" s="5" t="s">
        <v>39</v>
      </c>
    </row>
    <row r="109" spans="2:16" ht="18" customHeight="1" x14ac:dyDescent="0.3">
      <c r="B109" s="2" t="s">
        <v>86</v>
      </c>
      <c r="C109" s="54"/>
      <c r="D109" s="32"/>
      <c r="E109" s="32"/>
      <c r="F109" s="32"/>
      <c r="G109" s="32"/>
      <c r="H109" s="32"/>
      <c r="I109" s="32"/>
      <c r="J109" s="32"/>
      <c r="K109" s="32"/>
      <c r="L109" s="32"/>
      <c r="M109" s="32"/>
      <c r="N109" s="32"/>
      <c r="O109" s="32"/>
      <c r="P109" s="5"/>
    </row>
    <row r="110" spans="2:16" ht="18" customHeight="1" x14ac:dyDescent="0.3">
      <c r="B110" s="18" t="s">
        <v>49</v>
      </c>
      <c r="C110" s="29"/>
      <c r="D110" s="29" t="e">
        <f>-D109*HLOOKUP(D$108,Table_KeHoach_DoanhThu[#All],COUNTA(Table_KeHoach_DoanhThu[[#All],[Kế hoạch doanh thu]]),0)</f>
        <v>#N/A</v>
      </c>
      <c r="E110" s="29" t="e">
        <f>-E109*HLOOKUP(E$108,Table_KeHoach_DoanhThu[#All],COUNTA(Table_KeHoach_DoanhThu[[#All],[Kế hoạch doanh thu]]),0)</f>
        <v>#N/A</v>
      </c>
      <c r="F110" s="29" t="e">
        <f>-F109*HLOOKUP(F$108,Table_KeHoach_DoanhThu[#All],COUNTA(Table_KeHoach_DoanhThu[[#All],[Kế hoạch doanh thu]]),0)</f>
        <v>#N/A</v>
      </c>
      <c r="G110" s="29" t="e">
        <f>-G109*HLOOKUP(G$108,Table_KeHoach_DoanhThu[#All],COUNTA(Table_KeHoach_DoanhThu[[#All],[Kế hoạch doanh thu]]),0)</f>
        <v>#N/A</v>
      </c>
      <c r="H110" s="29" t="e">
        <f>-H109*HLOOKUP(H$108,Table_KeHoach_DoanhThu[#All],COUNTA(Table_KeHoach_DoanhThu[[#All],[Kế hoạch doanh thu]]),0)</f>
        <v>#N/A</v>
      </c>
      <c r="I110" s="29" t="e">
        <f>-I109*HLOOKUP(I$108,Table_KeHoach_DoanhThu[#All],COUNTA(Table_KeHoach_DoanhThu[[#All],[Kế hoạch doanh thu]]),0)</f>
        <v>#N/A</v>
      </c>
      <c r="J110" s="29" t="e">
        <f>-J109*HLOOKUP(J$108,Table_KeHoach_DoanhThu[#All],COUNTA(Table_KeHoach_DoanhThu[[#All],[Kế hoạch doanh thu]]),0)</f>
        <v>#N/A</v>
      </c>
      <c r="K110" s="29" t="e">
        <f>-K109*HLOOKUP(K$108,Table_KeHoach_DoanhThu[#All],COUNTA(Table_KeHoach_DoanhThu[[#All],[Kế hoạch doanh thu]]),0)</f>
        <v>#N/A</v>
      </c>
      <c r="L110" s="29" t="e">
        <f>-L109*HLOOKUP(L$108,Table_KeHoach_DoanhThu[#All],COUNTA(Table_KeHoach_DoanhThu[[#All],[Kế hoạch doanh thu]]),0)</f>
        <v>#N/A</v>
      </c>
      <c r="M110" s="29" t="e">
        <f>-M109*HLOOKUP(M$108,Table_KeHoach_DoanhThu[#All],COUNTA(Table_KeHoach_DoanhThu[[#All],[Kế hoạch doanh thu]]),0)</f>
        <v>#N/A</v>
      </c>
      <c r="N110" s="29" t="e">
        <f>-N109*HLOOKUP(N$108,Table_KeHoach_DoanhThu[#All],COUNTA(Table_KeHoach_DoanhThu[[#All],[Kế hoạch doanh thu]]),0)</f>
        <v>#N/A</v>
      </c>
      <c r="O110" s="29" t="e">
        <f>-O109*HLOOKUP(O$108,Table_KeHoach_DoanhThu[#All],COUNTA(Table_KeHoach_DoanhThu[[#All],[Kế hoạch doanh thu]]),0)</f>
        <v>#N/A</v>
      </c>
      <c r="P110" s="7"/>
    </row>
    <row r="112" spans="2:16" ht="18" customHeight="1" x14ac:dyDescent="0.3">
      <c r="B112" s="2" t="s">
        <v>145</v>
      </c>
    </row>
    <row r="113" spans="2:16" ht="18" customHeight="1" x14ac:dyDescent="0.3">
      <c r="B113" s="2" t="s">
        <v>87</v>
      </c>
      <c r="C113" s="3" t="s">
        <v>125</v>
      </c>
      <c r="D113" s="5" t="s">
        <v>28</v>
      </c>
      <c r="E113" s="5" t="s">
        <v>29</v>
      </c>
      <c r="F113" s="5" t="s">
        <v>30</v>
      </c>
      <c r="G113" s="5" t="s">
        <v>31</v>
      </c>
      <c r="H113" s="5" t="s">
        <v>32</v>
      </c>
      <c r="I113" s="5" t="s">
        <v>33</v>
      </c>
      <c r="J113" s="5" t="s">
        <v>34</v>
      </c>
      <c r="K113" s="5" t="s">
        <v>35</v>
      </c>
      <c r="L113" s="5" t="s">
        <v>36</v>
      </c>
      <c r="M113" s="5" t="s">
        <v>37</v>
      </c>
      <c r="N113" s="5" t="s">
        <v>38</v>
      </c>
      <c r="O113" s="5" t="s">
        <v>39</v>
      </c>
      <c r="P113" s="5"/>
    </row>
    <row r="114" spans="2:16" ht="18" customHeight="1" x14ac:dyDescent="0.3">
      <c r="C114" s="4"/>
      <c r="D114" s="75"/>
      <c r="E114" s="75"/>
      <c r="F114" s="75"/>
      <c r="G114" s="75"/>
      <c r="H114" s="75"/>
      <c r="I114" s="75"/>
      <c r="J114" s="75"/>
      <c r="K114" s="75"/>
      <c r="L114" s="75"/>
      <c r="M114" s="75"/>
      <c r="N114" s="75"/>
      <c r="O114" s="75"/>
      <c r="P114" s="32"/>
    </row>
    <row r="115" spans="2:16" ht="18" customHeight="1" x14ac:dyDescent="0.3">
      <c r="P115" s="29"/>
    </row>
    <row r="116" spans="2:16" ht="18" customHeight="1" x14ac:dyDescent="0.3">
      <c r="B116" s="2" t="s">
        <v>146</v>
      </c>
      <c r="P116" s="29"/>
    </row>
    <row r="117" spans="2:16" ht="18" customHeight="1" x14ac:dyDescent="0.3">
      <c r="B117" s="17" t="s">
        <v>88</v>
      </c>
      <c r="C117" s="3" t="s">
        <v>125</v>
      </c>
      <c r="D117" s="5" t="s">
        <v>28</v>
      </c>
      <c r="E117" s="5" t="s">
        <v>29</v>
      </c>
      <c r="F117" s="5" t="s">
        <v>30</v>
      </c>
      <c r="G117" s="5" t="s">
        <v>31</v>
      </c>
      <c r="H117" s="5" t="s">
        <v>32</v>
      </c>
      <c r="I117" s="5" t="s">
        <v>33</v>
      </c>
      <c r="J117" s="5" t="s">
        <v>34</v>
      </c>
      <c r="K117" s="5" t="s">
        <v>35</v>
      </c>
      <c r="L117" s="5" t="s">
        <v>36</v>
      </c>
      <c r="M117" s="5" t="s">
        <v>37</v>
      </c>
      <c r="N117" s="5" t="s">
        <v>38</v>
      </c>
      <c r="O117" s="5" t="s">
        <v>39</v>
      </c>
    </row>
    <row r="118" spans="2:16" ht="18" customHeight="1" x14ac:dyDescent="0.3">
      <c r="C118" s="7"/>
      <c r="D118" s="7" t="e">
        <f>-
INDEX(Table_KeHoach_LuongNet[#All],
MATCH(Table_KeHoach_LuongGross[[#This Row],[Kế hoạch chi phí nhân sự]],Table_KeHoach_LuongNet[[#All],[Kế hoạch lương gross]],0),
MATCH(D$117,Table_KeHoach_LuongNet[#Headers],0))
-IF(
INDEX(Table_KeHoach_LuongNet[#All],
MATCH(Table_KeHoach_LuongGross[[#This Row],[Kế hoạch chi phí nhân sự]],Table_KeHoach_LuongNet[[#All],[Kế hoạch lương gross]],0),
MATCH(D$117,Table_KeHoach_LuongNet[#Headers],0))
 &lt; INDEX(#REF!,
MATCH("Lương tối đa",#REF!,0),
MATCH("BHXH",#REF!,0)),
INDEX(Table_KeHoach_LuongNet[#All],
MATCH(Table_KeHoach_LuongGross[[#This Row],[Kế hoạch chi phí nhân sự]],Table_KeHoach_LuongNet[[#All],[Kế hoạch lương gross]],0),
MATCH(D$117,Table_KeHoach_LuongNet[#Headers],0))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MATCH(D$117,Table_KeHoach_LuongNet[#Headers],0))
 &lt; INDEX(#REF!,
MATCH("Lương tối đa",#REF!,0),
MATCH("BHYT",#REF!,0)),
INDEX(Table_KeHoach_LuongNet[#All],
MATCH(Table_KeHoach_LuongGross[[#This Row],[Kế hoạch chi phí nhân sự]],Table_KeHoach_LuongNet[[#All],[Kế hoạch lương gross]],0),
MATCH(D$117,Table_KeHoach_LuongNet[#Headers],0))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MATCH(D$117,Table_KeHoach_LuongNet[#Headers],0))
 &lt; INDEX(#REF!,
MATCH("Lương tối đa",#REF!,0),
MATCH("BHTN",#REF!,0)),
INDEX(Table_KeHoach_LuongNet[#All],
MATCH(Table_KeHoach_LuongGross[[#This Row],[Kế hoạch chi phí nhân sự]],Table_KeHoach_LuongNet[[#All],[Kế hoạch lương gross]],0),
MATCH(D$117,Table_KeHoach_LuongNet[#Headers],0)) *
INDEX(#REF!,
MATCH("Tỷ lệ bảo hiểm với DN",#REF!,0),
MATCH("BHTN",#REF!,0)),
INDEX(#REF!,
MATCH("Lương tối đa",#REF!,0),
MATCH("BHTN",#REF!,0)) *
INDEX(#REF!,
MATCH("Tỷ lệ bảo hiểm với DN",#REF!,0),
MATCH("BHTN",#REF!,0)))</f>
        <v>#N/A</v>
      </c>
      <c r="E118" s="7" t="e">
        <f>-
INDEX(Table_KeHoach_LuongNet[#All],
MATCH(Table_KeHoach_LuongGross[[#This Row],[Kế hoạch chi phí nhân sự]],Table_KeHoach_LuongNet[[#All],[Kế hoạch lương gross]],0),
MATCH(E$117,Table_KeHoach_LuongNet[#Headers],0))
-IF(
INDEX(Table_KeHoach_LuongNet[#All],
MATCH(Table_KeHoach_LuongGross[[#This Row],[Kế hoạch chi phí nhân sự]],Table_KeHoach_LuongNet[[#All],[Kế hoạch lương gross]],0),
MATCH(E$117,Table_KeHoach_LuongNet[#Headers],0))
 &lt; INDEX(#REF!,
MATCH("Lương tối đa",#REF!,0),
MATCH("BHXH",#REF!,0)),
INDEX(Table_KeHoach_LuongNet[#All],
MATCH(Table_KeHoach_LuongGross[[#This Row],[Kế hoạch chi phí nhân sự]],Table_KeHoach_LuongNet[[#All],[Kế hoạch lương gross]],0),
MATCH(E$117,Table_KeHoach_LuongNet[#Headers],0))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MATCH(E$117,Table_KeHoach_LuongNet[#Headers],0))
 &lt; INDEX(#REF!,
MATCH("Lương tối đa",#REF!,0),
MATCH("BHYT",#REF!,0)),
INDEX(Table_KeHoach_LuongNet[#All],
MATCH(Table_KeHoach_LuongGross[[#This Row],[Kế hoạch chi phí nhân sự]],Table_KeHoach_LuongNet[[#All],[Kế hoạch lương gross]],0),
MATCH(E$117,Table_KeHoach_LuongNet[#Headers],0))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MATCH(E$117,Table_KeHoach_LuongNet[#Headers],0))
 &lt; INDEX(#REF!,
MATCH("Lương tối đa",#REF!,0),
MATCH("BHTN",#REF!,0)),
INDEX(Table_KeHoach_LuongNet[#All],
MATCH(Table_KeHoach_LuongGross[[#This Row],[Kế hoạch chi phí nhân sự]],Table_KeHoach_LuongNet[[#All],[Kế hoạch lương gross]],0),
MATCH(E$117,Table_KeHoach_LuongNet[#Headers],0)) *
INDEX(#REF!,
MATCH("Tỷ lệ bảo hiểm với DN",#REF!,0),
MATCH("BHTN",#REF!,0)),
INDEX(#REF!,
MATCH("Lương tối đa",#REF!,0),
MATCH("BHTN",#REF!,0)) *
INDEX(#REF!,
MATCH("Tỷ lệ bảo hiểm với DN",#REF!,0),
MATCH("BHTN",#REF!,0)))</f>
        <v>#N/A</v>
      </c>
      <c r="F118" s="7" t="e">
        <f>-
INDEX(Table_KeHoach_LuongNet[#All],
MATCH(Table_KeHoach_LuongGross[[#This Row],[Kế hoạch chi phí nhân sự]],Table_KeHoach_LuongNet[[#All],[Kế hoạch lương gross]],0),
MATCH(F$117,Table_KeHoach_LuongNet[#Headers],0))
-IF(
INDEX(Table_KeHoach_LuongNet[#All],
MATCH(Table_KeHoach_LuongGross[[#This Row],[Kế hoạch chi phí nhân sự]],Table_KeHoach_LuongNet[[#All],[Kế hoạch lương gross]],0),
MATCH(F$117,Table_KeHoach_LuongNet[#Headers],0))
 &lt; INDEX(#REF!,
MATCH("Lương tối đa",#REF!,0),
MATCH("BHXH",#REF!,0)),
INDEX(Table_KeHoach_LuongNet[#All],
MATCH(Table_KeHoach_LuongGross[[#This Row],[Kế hoạch chi phí nhân sự]],Table_KeHoach_LuongNet[[#All],[Kế hoạch lương gross]],0),
MATCH(F$117,Table_KeHoach_LuongNet[#Headers],0))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MATCH(F$117,Table_KeHoach_LuongNet[#Headers],0))
 &lt; INDEX(#REF!,
MATCH("Lương tối đa",#REF!,0),
MATCH("BHYT",#REF!,0)),
INDEX(Table_KeHoach_LuongNet[#All],
MATCH(Table_KeHoach_LuongGross[[#This Row],[Kế hoạch chi phí nhân sự]],Table_KeHoach_LuongNet[[#All],[Kế hoạch lương gross]],0),
MATCH(F$117,Table_KeHoach_LuongNet[#Headers],0))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MATCH(F$117,Table_KeHoach_LuongNet[#Headers],0))
 &lt; INDEX(#REF!,
MATCH("Lương tối đa",#REF!,0),
MATCH("BHTN",#REF!,0)),
INDEX(Table_KeHoach_LuongNet[#All],
MATCH(Table_KeHoach_LuongGross[[#This Row],[Kế hoạch chi phí nhân sự]],Table_KeHoach_LuongNet[[#All],[Kế hoạch lương gross]],0),
MATCH(F$117,Table_KeHoach_LuongNet[#Headers],0)) *
INDEX(#REF!,
MATCH("Tỷ lệ bảo hiểm với DN",#REF!,0),
MATCH("BHTN",#REF!,0)),
INDEX(#REF!,
MATCH("Lương tối đa",#REF!,0),
MATCH("BHTN",#REF!,0)) *
INDEX(#REF!,
MATCH("Tỷ lệ bảo hiểm với DN",#REF!,0),
MATCH("BHTN",#REF!,0)))</f>
        <v>#N/A</v>
      </c>
      <c r="G118" s="7" t="e">
        <f>-
INDEX(Table_KeHoach_LuongNet[#All],
MATCH(Table_KeHoach_LuongGross[[#This Row],[Kế hoạch chi phí nhân sự]],Table_KeHoach_LuongNet[[#All],[Kế hoạch lương gross]],0),
MATCH(G$117,Table_KeHoach_LuongNet[#Headers],0))
-IF(
INDEX(Table_KeHoach_LuongNet[#All],
MATCH(Table_KeHoach_LuongGross[[#This Row],[Kế hoạch chi phí nhân sự]],Table_KeHoach_LuongNet[[#All],[Kế hoạch lương gross]],0),
MATCH(G$117,Table_KeHoach_LuongNet[#Headers],0))
 &lt; INDEX(#REF!,
MATCH("Lương tối đa",#REF!,0),
MATCH("BHXH",#REF!,0)),
INDEX(Table_KeHoach_LuongNet[#All],
MATCH(Table_KeHoach_LuongGross[[#This Row],[Kế hoạch chi phí nhân sự]],Table_KeHoach_LuongNet[[#All],[Kế hoạch lương gross]],0),
MATCH(G$117,Table_KeHoach_LuongNet[#Headers],0))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MATCH(G$117,Table_KeHoach_LuongNet[#Headers],0))
 &lt; INDEX(#REF!,
MATCH("Lương tối đa",#REF!,0),
MATCH("BHYT",#REF!,0)),
INDEX(Table_KeHoach_LuongNet[#All],
MATCH(Table_KeHoach_LuongGross[[#This Row],[Kế hoạch chi phí nhân sự]],Table_KeHoach_LuongNet[[#All],[Kế hoạch lương gross]],0),
MATCH(G$117,Table_KeHoach_LuongNet[#Headers],0))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MATCH(G$117,Table_KeHoach_LuongNet[#Headers],0))
 &lt; INDEX(#REF!,
MATCH("Lương tối đa",#REF!,0),
MATCH("BHTN",#REF!,0)),
INDEX(Table_KeHoach_LuongNet[#All],
MATCH(Table_KeHoach_LuongGross[[#This Row],[Kế hoạch chi phí nhân sự]],Table_KeHoach_LuongNet[[#All],[Kế hoạch lương gross]],0),
MATCH(G$117,Table_KeHoach_LuongNet[#Headers],0)) *
INDEX(#REF!,
MATCH("Tỷ lệ bảo hiểm với DN",#REF!,0),
MATCH("BHTN",#REF!,0)),
INDEX(#REF!,
MATCH("Lương tối đa",#REF!,0),
MATCH("BHTN",#REF!,0)) *
INDEX(#REF!,
MATCH("Tỷ lệ bảo hiểm với DN",#REF!,0),
MATCH("BHTN",#REF!,0)))</f>
        <v>#N/A</v>
      </c>
      <c r="H118" s="7" t="e">
        <f>-
INDEX(Table_KeHoach_LuongNet[#All],
MATCH(Table_KeHoach_LuongGross[[#This Row],[Kế hoạch chi phí nhân sự]],Table_KeHoach_LuongNet[[#All],[Kế hoạch lương gross]],0),
MATCH(H$117,Table_KeHoach_LuongNet[#Headers],0))
-IF(
INDEX(Table_KeHoach_LuongNet[#All],
MATCH(Table_KeHoach_LuongGross[[#This Row],[Kế hoạch chi phí nhân sự]],Table_KeHoach_LuongNet[[#All],[Kế hoạch lương gross]],0),
MATCH(H$117,Table_KeHoach_LuongNet[#Headers],0))
 &lt; INDEX(#REF!,
MATCH("Lương tối đa",#REF!,0),
MATCH("BHXH",#REF!,0)),
INDEX(Table_KeHoach_LuongNet[#All],
MATCH(Table_KeHoach_LuongGross[[#This Row],[Kế hoạch chi phí nhân sự]],Table_KeHoach_LuongNet[[#All],[Kế hoạch lương gross]],0),
MATCH(H$117,Table_KeHoach_LuongNet[#Headers],0))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MATCH(H$117,Table_KeHoach_LuongNet[#Headers],0))
 &lt; INDEX(#REF!,
MATCH("Lương tối đa",#REF!,0),
MATCH("BHYT",#REF!,0)),
INDEX(Table_KeHoach_LuongNet[#All],
MATCH(Table_KeHoach_LuongGross[[#This Row],[Kế hoạch chi phí nhân sự]],Table_KeHoach_LuongNet[[#All],[Kế hoạch lương gross]],0),
MATCH(H$117,Table_KeHoach_LuongNet[#Headers],0))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MATCH(H$117,Table_KeHoach_LuongNet[#Headers],0))
 &lt; INDEX(#REF!,
MATCH("Lương tối đa",#REF!,0),
MATCH("BHTN",#REF!,0)),
INDEX(Table_KeHoach_LuongNet[#All],
MATCH(Table_KeHoach_LuongGross[[#This Row],[Kế hoạch chi phí nhân sự]],Table_KeHoach_LuongNet[[#All],[Kế hoạch lương gross]],0),
MATCH(H$117,Table_KeHoach_LuongNet[#Headers],0)) *
INDEX(#REF!,
MATCH("Tỷ lệ bảo hiểm với DN",#REF!,0),
MATCH("BHTN",#REF!,0)),
INDEX(#REF!,
MATCH("Lương tối đa",#REF!,0),
MATCH("BHTN",#REF!,0)) *
INDEX(#REF!,
MATCH("Tỷ lệ bảo hiểm với DN",#REF!,0),
MATCH("BHTN",#REF!,0)))</f>
        <v>#N/A</v>
      </c>
      <c r="I118" s="7" t="e">
        <f>-
INDEX(Table_KeHoach_LuongNet[#All],
MATCH(Table_KeHoach_LuongGross[[#This Row],[Kế hoạch chi phí nhân sự]],Table_KeHoach_LuongNet[[#All],[Kế hoạch lương gross]],0),
MATCH(I$117,Table_KeHoach_LuongNet[#Headers],0))
-IF(
INDEX(Table_KeHoach_LuongNet[#All],
MATCH(Table_KeHoach_LuongGross[[#This Row],[Kế hoạch chi phí nhân sự]],Table_KeHoach_LuongNet[[#All],[Kế hoạch lương gross]],0),
MATCH(I$117,Table_KeHoach_LuongNet[#Headers],0))
 &lt; INDEX(#REF!,
MATCH("Lương tối đa",#REF!,0),
MATCH("BHXH",#REF!,0)),
INDEX(Table_KeHoach_LuongNet[#All],
MATCH(Table_KeHoach_LuongGross[[#This Row],[Kế hoạch chi phí nhân sự]],Table_KeHoach_LuongNet[[#All],[Kế hoạch lương gross]],0),
MATCH(I$117,Table_KeHoach_LuongNet[#Headers],0))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MATCH(I$117,Table_KeHoach_LuongNet[#Headers],0))
 &lt; INDEX(#REF!,
MATCH("Lương tối đa",#REF!,0),
MATCH("BHYT",#REF!,0)),
INDEX(Table_KeHoach_LuongNet[#All],
MATCH(Table_KeHoach_LuongGross[[#This Row],[Kế hoạch chi phí nhân sự]],Table_KeHoach_LuongNet[[#All],[Kế hoạch lương gross]],0),
MATCH(I$117,Table_KeHoach_LuongNet[#Headers],0))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MATCH(I$117,Table_KeHoach_LuongNet[#Headers],0))
 &lt; INDEX(#REF!,
MATCH("Lương tối đa",#REF!,0),
MATCH("BHTN",#REF!,0)),
INDEX(Table_KeHoach_LuongNet[#All],
MATCH(Table_KeHoach_LuongGross[[#This Row],[Kế hoạch chi phí nhân sự]],Table_KeHoach_LuongNet[[#All],[Kế hoạch lương gross]],0),
MATCH(I$117,Table_KeHoach_LuongNet[#Headers],0)) *
INDEX(#REF!,
MATCH("Tỷ lệ bảo hiểm với DN",#REF!,0),
MATCH("BHTN",#REF!,0)),
INDEX(#REF!,
MATCH("Lương tối đa",#REF!,0),
MATCH("BHTN",#REF!,0)) *
INDEX(#REF!,
MATCH("Tỷ lệ bảo hiểm với DN",#REF!,0),
MATCH("BHTN",#REF!,0)))</f>
        <v>#N/A</v>
      </c>
      <c r="J118" s="7" t="e">
        <f>-
INDEX(Table_KeHoach_LuongNet[#All],
MATCH(Table_KeHoach_LuongGross[[#This Row],[Kế hoạch chi phí nhân sự]],Table_KeHoach_LuongNet[[#All],[Kế hoạch lương gross]],0),
MATCH(J$117,Table_KeHoach_LuongNet[#Headers],0))
-IF(
INDEX(Table_KeHoach_LuongNet[#All],
MATCH(Table_KeHoach_LuongGross[[#This Row],[Kế hoạch chi phí nhân sự]],Table_KeHoach_LuongNet[[#All],[Kế hoạch lương gross]],0),
MATCH(J$117,Table_KeHoach_LuongNet[#Headers],0))
 &lt; INDEX(#REF!,
MATCH("Lương tối đa",#REF!,0),
MATCH("BHXH",#REF!,0)),
INDEX(Table_KeHoach_LuongNet[#All],
MATCH(Table_KeHoach_LuongGross[[#This Row],[Kế hoạch chi phí nhân sự]],Table_KeHoach_LuongNet[[#All],[Kế hoạch lương gross]],0),
MATCH(J$117,Table_KeHoach_LuongNet[#Headers],0))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MATCH(J$117,Table_KeHoach_LuongNet[#Headers],0))
 &lt; INDEX(#REF!,
MATCH("Lương tối đa",#REF!,0),
MATCH("BHYT",#REF!,0)),
INDEX(Table_KeHoach_LuongNet[#All],
MATCH(Table_KeHoach_LuongGross[[#This Row],[Kế hoạch chi phí nhân sự]],Table_KeHoach_LuongNet[[#All],[Kế hoạch lương gross]],0),
MATCH(J$117,Table_KeHoach_LuongNet[#Headers],0))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MATCH(J$117,Table_KeHoach_LuongNet[#Headers],0))
 &lt; INDEX(#REF!,
MATCH("Lương tối đa",#REF!,0),
MATCH("BHTN",#REF!,0)),
INDEX(Table_KeHoach_LuongNet[#All],
MATCH(Table_KeHoach_LuongGross[[#This Row],[Kế hoạch chi phí nhân sự]],Table_KeHoach_LuongNet[[#All],[Kế hoạch lương gross]],0),
MATCH(J$117,Table_KeHoach_LuongNet[#Headers],0)) *
INDEX(#REF!,
MATCH("Tỷ lệ bảo hiểm với DN",#REF!,0),
MATCH("BHTN",#REF!,0)),
INDEX(#REF!,
MATCH("Lương tối đa",#REF!,0),
MATCH("BHTN",#REF!,0)) *
INDEX(#REF!,
MATCH("Tỷ lệ bảo hiểm với DN",#REF!,0),
MATCH("BHTN",#REF!,0)))</f>
        <v>#N/A</v>
      </c>
      <c r="K118" s="7" t="e">
        <f>-
INDEX(Table_KeHoach_LuongNet[#All],
MATCH(Table_KeHoach_LuongGross[[#This Row],[Kế hoạch chi phí nhân sự]],Table_KeHoach_LuongNet[[#All],[Kế hoạch lương gross]],0),
MATCH(K$117,Table_KeHoach_LuongNet[#Headers],0))
-IF(
INDEX(Table_KeHoach_LuongNet[#All],
MATCH(Table_KeHoach_LuongGross[[#This Row],[Kế hoạch chi phí nhân sự]],Table_KeHoach_LuongNet[[#All],[Kế hoạch lương gross]],0),
MATCH(K$117,Table_KeHoach_LuongNet[#Headers],0))
 &lt; INDEX(#REF!,
MATCH("Lương tối đa",#REF!,0),
MATCH("BHXH",#REF!,0)),
INDEX(Table_KeHoach_LuongNet[#All],
MATCH(Table_KeHoach_LuongGross[[#This Row],[Kế hoạch chi phí nhân sự]],Table_KeHoach_LuongNet[[#All],[Kế hoạch lương gross]],0),
MATCH(K$117,Table_KeHoach_LuongNet[#Headers],0))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MATCH(K$117,Table_KeHoach_LuongNet[#Headers],0))
 &lt; INDEX(#REF!,
MATCH("Lương tối đa",#REF!,0),
MATCH("BHYT",#REF!,0)),
INDEX(Table_KeHoach_LuongNet[#All],
MATCH(Table_KeHoach_LuongGross[[#This Row],[Kế hoạch chi phí nhân sự]],Table_KeHoach_LuongNet[[#All],[Kế hoạch lương gross]],0),
MATCH(K$117,Table_KeHoach_LuongNet[#Headers],0))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MATCH(K$117,Table_KeHoach_LuongNet[#Headers],0))
 &lt; INDEX(#REF!,
MATCH("Lương tối đa",#REF!,0),
MATCH("BHTN",#REF!,0)),
INDEX(Table_KeHoach_LuongNet[#All],
MATCH(Table_KeHoach_LuongGross[[#This Row],[Kế hoạch chi phí nhân sự]],Table_KeHoach_LuongNet[[#All],[Kế hoạch lương gross]],0),
MATCH(K$117,Table_KeHoach_LuongNet[#Headers],0)) *
INDEX(#REF!,
MATCH("Tỷ lệ bảo hiểm với DN",#REF!,0),
MATCH("BHTN",#REF!,0)),
INDEX(#REF!,
MATCH("Lương tối đa",#REF!,0),
MATCH("BHTN",#REF!,0)) *
INDEX(#REF!,
MATCH("Tỷ lệ bảo hiểm với DN",#REF!,0),
MATCH("BHTN",#REF!,0)))</f>
        <v>#N/A</v>
      </c>
      <c r="L118" s="7" t="e">
        <f>-
INDEX(Table_KeHoach_LuongNet[#All],
MATCH(Table_KeHoach_LuongGross[[#This Row],[Kế hoạch chi phí nhân sự]],Table_KeHoach_LuongNet[[#All],[Kế hoạch lương gross]],0),
MATCH(L$117,Table_KeHoach_LuongNet[#Headers],0))
-IF(
INDEX(Table_KeHoach_LuongNet[#All],
MATCH(Table_KeHoach_LuongGross[[#This Row],[Kế hoạch chi phí nhân sự]],Table_KeHoach_LuongNet[[#All],[Kế hoạch lương gross]],0),
MATCH(L$117,Table_KeHoach_LuongNet[#Headers],0))
 &lt; INDEX(#REF!,
MATCH("Lương tối đa",#REF!,0),
MATCH("BHXH",#REF!,0)),
INDEX(Table_KeHoach_LuongNet[#All],
MATCH(Table_KeHoach_LuongGross[[#This Row],[Kế hoạch chi phí nhân sự]],Table_KeHoach_LuongNet[[#All],[Kế hoạch lương gross]],0),
MATCH(L$117,Table_KeHoach_LuongNet[#Headers],0))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MATCH(L$117,Table_KeHoach_LuongNet[#Headers],0))
 &lt; INDEX(#REF!,
MATCH("Lương tối đa",#REF!,0),
MATCH("BHYT",#REF!,0)),
INDEX(Table_KeHoach_LuongNet[#All],
MATCH(Table_KeHoach_LuongGross[[#This Row],[Kế hoạch chi phí nhân sự]],Table_KeHoach_LuongNet[[#All],[Kế hoạch lương gross]],0),
MATCH(L$117,Table_KeHoach_LuongNet[#Headers],0))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MATCH(L$117,Table_KeHoach_LuongNet[#Headers],0))
 &lt; INDEX(#REF!,
MATCH("Lương tối đa",#REF!,0),
MATCH("BHTN",#REF!,0)),
INDEX(Table_KeHoach_LuongNet[#All],
MATCH(Table_KeHoach_LuongGross[[#This Row],[Kế hoạch chi phí nhân sự]],Table_KeHoach_LuongNet[[#All],[Kế hoạch lương gross]],0),
MATCH(L$117,Table_KeHoach_LuongNet[#Headers],0)) *
INDEX(#REF!,
MATCH("Tỷ lệ bảo hiểm với DN",#REF!,0),
MATCH("BHTN",#REF!,0)),
INDEX(#REF!,
MATCH("Lương tối đa",#REF!,0),
MATCH("BHTN",#REF!,0)) *
INDEX(#REF!,
MATCH("Tỷ lệ bảo hiểm với DN",#REF!,0),
MATCH("BHTN",#REF!,0)))</f>
        <v>#N/A</v>
      </c>
      <c r="M118" s="7" t="e">
        <f>-
INDEX(Table_KeHoach_LuongNet[#All],
MATCH(Table_KeHoach_LuongGross[[#This Row],[Kế hoạch chi phí nhân sự]],Table_KeHoach_LuongNet[[#All],[Kế hoạch lương gross]],0),
MATCH(M$117,Table_KeHoach_LuongNet[#Headers],0))
-IF(
INDEX(Table_KeHoach_LuongNet[#All],
MATCH(Table_KeHoach_LuongGross[[#This Row],[Kế hoạch chi phí nhân sự]],Table_KeHoach_LuongNet[[#All],[Kế hoạch lương gross]],0),
MATCH(M$117,Table_KeHoach_LuongNet[#Headers],0))
 &lt; INDEX(#REF!,
MATCH("Lương tối đa",#REF!,0),
MATCH("BHXH",#REF!,0)),
INDEX(Table_KeHoach_LuongNet[#All],
MATCH(Table_KeHoach_LuongGross[[#This Row],[Kế hoạch chi phí nhân sự]],Table_KeHoach_LuongNet[[#All],[Kế hoạch lương gross]],0),
MATCH(M$117,Table_KeHoach_LuongNet[#Headers],0))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MATCH(M$117,Table_KeHoach_LuongNet[#Headers],0))
 &lt; INDEX(#REF!,
MATCH("Lương tối đa",#REF!,0),
MATCH("BHYT",#REF!,0)),
INDEX(Table_KeHoach_LuongNet[#All],
MATCH(Table_KeHoach_LuongGross[[#This Row],[Kế hoạch chi phí nhân sự]],Table_KeHoach_LuongNet[[#All],[Kế hoạch lương gross]],0),
MATCH(M$117,Table_KeHoach_LuongNet[#Headers],0))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MATCH(M$117,Table_KeHoach_LuongNet[#Headers],0))
 &lt; INDEX(#REF!,
MATCH("Lương tối đa",#REF!,0),
MATCH("BHTN",#REF!,0)),
INDEX(Table_KeHoach_LuongNet[#All],
MATCH(Table_KeHoach_LuongGross[[#This Row],[Kế hoạch chi phí nhân sự]],Table_KeHoach_LuongNet[[#All],[Kế hoạch lương gross]],0),
MATCH(M$117,Table_KeHoach_LuongNet[#Headers],0)) *
INDEX(#REF!,
MATCH("Tỷ lệ bảo hiểm với DN",#REF!,0),
MATCH("BHTN",#REF!,0)),
INDEX(#REF!,
MATCH("Lương tối đa",#REF!,0),
MATCH("BHTN",#REF!,0)) *
INDEX(#REF!,
MATCH("Tỷ lệ bảo hiểm với DN",#REF!,0),
MATCH("BHTN",#REF!,0)))</f>
        <v>#N/A</v>
      </c>
      <c r="N118" s="7" t="e">
        <f>-
INDEX(Table_KeHoach_LuongNet[#All],
MATCH(Table_KeHoach_LuongGross[[#This Row],[Kế hoạch chi phí nhân sự]],Table_KeHoach_LuongNet[[#All],[Kế hoạch lương gross]],0),
MATCH(N$117,Table_KeHoach_LuongNet[#Headers],0))
-IF(
INDEX(Table_KeHoach_LuongNet[#All],
MATCH(Table_KeHoach_LuongGross[[#This Row],[Kế hoạch chi phí nhân sự]],Table_KeHoach_LuongNet[[#All],[Kế hoạch lương gross]],0),
MATCH(N$117,Table_KeHoach_LuongNet[#Headers],0))
 &lt; INDEX(#REF!,
MATCH("Lương tối đa",#REF!,0),
MATCH("BHXH",#REF!,0)),
INDEX(Table_KeHoach_LuongNet[#All],
MATCH(Table_KeHoach_LuongGross[[#This Row],[Kế hoạch chi phí nhân sự]],Table_KeHoach_LuongNet[[#All],[Kế hoạch lương gross]],0),
MATCH(N$117,Table_KeHoach_LuongNet[#Headers],0))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MATCH(N$117,Table_KeHoach_LuongNet[#Headers],0))
 &lt; INDEX(#REF!,
MATCH("Lương tối đa",#REF!,0),
MATCH("BHYT",#REF!,0)),
INDEX(Table_KeHoach_LuongNet[#All],
MATCH(Table_KeHoach_LuongGross[[#This Row],[Kế hoạch chi phí nhân sự]],Table_KeHoach_LuongNet[[#All],[Kế hoạch lương gross]],0),
MATCH(N$117,Table_KeHoach_LuongNet[#Headers],0))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MATCH(N$117,Table_KeHoach_LuongNet[#Headers],0))
 &lt; INDEX(#REF!,
MATCH("Lương tối đa",#REF!,0),
MATCH("BHTN",#REF!,0)),
INDEX(Table_KeHoach_LuongNet[#All],
MATCH(Table_KeHoach_LuongGross[[#This Row],[Kế hoạch chi phí nhân sự]],Table_KeHoach_LuongNet[[#All],[Kế hoạch lương gross]],0),
MATCH(N$117,Table_KeHoach_LuongNet[#Headers],0)) *
INDEX(#REF!,
MATCH("Tỷ lệ bảo hiểm với DN",#REF!,0),
MATCH("BHTN",#REF!,0)),
INDEX(#REF!,
MATCH("Lương tối đa",#REF!,0),
MATCH("BHTN",#REF!,0)) *
INDEX(#REF!,
MATCH("Tỷ lệ bảo hiểm với DN",#REF!,0),
MATCH("BHTN",#REF!,0)))</f>
        <v>#N/A</v>
      </c>
      <c r="O118" s="7" t="e">
        <f>-
INDEX(Table_KeHoach_LuongNet[#All],
MATCH(Table_KeHoach_LuongGross[[#This Row],[Kế hoạch chi phí nhân sự]],Table_KeHoach_LuongNet[[#All],[Kế hoạch lương gross]],0),
MATCH(O$117,Table_KeHoach_LuongNet[#Headers],0))
-IF(
INDEX(Table_KeHoach_LuongNet[#All],
MATCH(Table_KeHoach_LuongGross[[#This Row],[Kế hoạch chi phí nhân sự]],Table_KeHoach_LuongNet[[#All],[Kế hoạch lương gross]],0),
MATCH(O$117,Table_KeHoach_LuongNet[#Headers],0))
 &lt; INDEX(#REF!,
MATCH("Lương tối đa",#REF!,0),
MATCH("BHXH",#REF!,0)),
INDEX(Table_KeHoach_LuongNet[#All],
MATCH(Table_KeHoach_LuongGross[[#This Row],[Kế hoạch chi phí nhân sự]],Table_KeHoach_LuongNet[[#All],[Kế hoạch lương gross]],0),
MATCH(O$117,Table_KeHoach_LuongNet[#Headers],0))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MATCH(O$117,Table_KeHoach_LuongNet[#Headers],0))
 &lt; INDEX(#REF!,
MATCH("Lương tối đa",#REF!,0),
MATCH("BHYT",#REF!,0)),
INDEX(Table_KeHoach_LuongNet[#All],
MATCH(Table_KeHoach_LuongGross[[#This Row],[Kế hoạch chi phí nhân sự]],Table_KeHoach_LuongNet[[#All],[Kế hoạch lương gross]],0),
MATCH(O$117,Table_KeHoach_LuongNet[#Headers],0))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MATCH(O$117,Table_KeHoach_LuongNet[#Headers],0))
 &lt; INDEX(#REF!,
MATCH("Lương tối đa",#REF!,0),
MATCH("BHTN",#REF!,0)),
INDEX(Table_KeHoach_LuongNet[#All],
MATCH(Table_KeHoach_LuongGross[[#This Row],[Kế hoạch chi phí nhân sự]],Table_KeHoach_LuongNet[[#All],[Kế hoạch lương gross]],0),
MATCH(O$117,Table_KeHoach_LuongNet[#Headers],0)) *
INDEX(#REF!,
MATCH("Tỷ lệ bảo hiểm với DN",#REF!,0),
MATCH("BHTN",#REF!,0)),
INDEX(#REF!,
MATCH("Lương tối đa",#REF!,0),
MATCH("BHTN",#REF!,0)) *
INDEX(#REF!,
MATCH("Tỷ lệ bảo hiểm với DN",#REF!,0),
MATCH("BHTN",#REF!,0)))</f>
        <v>#N/A</v>
      </c>
      <c r="P118" s="5"/>
    </row>
    <row r="119" spans="2:16" ht="18" customHeight="1" x14ac:dyDescent="0.3">
      <c r="P119" s="75"/>
    </row>
    <row r="120" spans="2:16" ht="18" customHeight="1" x14ac:dyDescent="0.3">
      <c r="B120" s="2" t="s">
        <v>147</v>
      </c>
      <c r="P120" s="75"/>
    </row>
    <row r="121" spans="2:16" ht="18" customHeight="1" x14ac:dyDescent="0.3">
      <c r="B121" s="2" t="s">
        <v>89</v>
      </c>
      <c r="C121" s="3" t="s">
        <v>125</v>
      </c>
      <c r="D121" s="5" t="s">
        <v>28</v>
      </c>
      <c r="E121" s="5" t="s">
        <v>29</v>
      </c>
      <c r="F121" s="5" t="s">
        <v>30</v>
      </c>
      <c r="G121" s="5" t="s">
        <v>31</v>
      </c>
      <c r="H121" s="5" t="s">
        <v>32</v>
      </c>
      <c r="I121" s="5" t="s">
        <v>33</v>
      </c>
      <c r="J121" s="5" t="s">
        <v>34</v>
      </c>
      <c r="K121" s="5" t="s">
        <v>35</v>
      </c>
      <c r="L121" s="5" t="s">
        <v>36</v>
      </c>
      <c r="M121" s="5" t="s">
        <v>37</v>
      </c>
      <c r="N121" s="5" t="s">
        <v>38</v>
      </c>
      <c r="O121" s="5" t="s">
        <v>39</v>
      </c>
    </row>
    <row r="122" spans="2:16" ht="18" customHeight="1" x14ac:dyDescent="0.3">
      <c r="C122" s="9"/>
      <c r="D122" s="75"/>
      <c r="E122" s="75"/>
      <c r="F122" s="75"/>
      <c r="G122" s="75"/>
      <c r="H122" s="75"/>
      <c r="I122" s="75"/>
      <c r="J122" s="75"/>
      <c r="K122" s="75"/>
      <c r="L122" s="75"/>
      <c r="M122" s="75"/>
      <c r="N122" s="75"/>
      <c r="O122" s="75"/>
      <c r="P122" s="5"/>
    </row>
    <row r="123" spans="2:16" ht="18" customHeight="1" x14ac:dyDescent="0.3">
      <c r="P123" s="7"/>
    </row>
    <row r="124" spans="2:16" ht="18" customHeight="1" x14ac:dyDescent="0.3">
      <c r="B124" s="2" t="s">
        <v>148</v>
      </c>
      <c r="P124" s="7"/>
    </row>
    <row r="125" spans="2:16" ht="18" customHeight="1" x14ac:dyDescent="0.3">
      <c r="B125" s="2" t="s">
        <v>90</v>
      </c>
      <c r="C125" s="3" t="s">
        <v>125</v>
      </c>
      <c r="D125" s="5" t="s">
        <v>28</v>
      </c>
      <c r="E125" s="5" t="s">
        <v>29</v>
      </c>
      <c r="F125" s="5" t="s">
        <v>30</v>
      </c>
      <c r="G125" s="5" t="s">
        <v>31</v>
      </c>
      <c r="H125" s="5" t="s">
        <v>32</v>
      </c>
      <c r="I125" s="5" t="s">
        <v>33</v>
      </c>
      <c r="J125" s="5" t="s">
        <v>34</v>
      </c>
      <c r="K125" s="5" t="s">
        <v>35</v>
      </c>
      <c r="L125" s="5" t="s">
        <v>36</v>
      </c>
      <c r="M125" s="5" t="s">
        <v>37</v>
      </c>
      <c r="N125" s="5" t="s">
        <v>38</v>
      </c>
      <c r="O125" s="5" t="s">
        <v>39</v>
      </c>
    </row>
    <row r="126" spans="2:16" ht="18" customHeight="1" x14ac:dyDescent="0.3">
      <c r="B126" s="15" t="s">
        <v>91</v>
      </c>
      <c r="C126" s="9"/>
      <c r="P126" s="5"/>
    </row>
    <row r="127" spans="2:16" ht="18" customHeight="1" x14ac:dyDescent="0.3">
      <c r="B127" s="15" t="s">
        <v>92</v>
      </c>
      <c r="C127" s="9"/>
      <c r="P127" s="75"/>
    </row>
    <row r="128" spans="2:16" ht="18" customHeight="1" x14ac:dyDescent="0.3">
      <c r="B128" s="15" t="s">
        <v>93</v>
      </c>
      <c r="C128" s="9"/>
    </row>
    <row r="129" spans="2:16" ht="18" customHeight="1" x14ac:dyDescent="0.3">
      <c r="B129" s="11"/>
      <c r="C129" s="42"/>
      <c r="D129" s="11"/>
      <c r="E129" s="11"/>
      <c r="F129" s="11"/>
      <c r="G129" s="11"/>
      <c r="H129" s="11"/>
      <c r="I129" s="11"/>
      <c r="J129" s="11"/>
      <c r="K129" s="11"/>
      <c r="L129" s="11"/>
      <c r="M129" s="11"/>
      <c r="N129" s="11"/>
      <c r="O129" s="11"/>
      <c r="P129" s="5"/>
    </row>
    <row r="130" spans="2:16" ht="18" customHeight="1" x14ac:dyDescent="0.3">
      <c r="B130" s="2" t="s">
        <v>149</v>
      </c>
      <c r="C130" s="42"/>
      <c r="D130" s="11"/>
      <c r="E130" s="11"/>
      <c r="F130" s="11"/>
      <c r="G130" s="11"/>
      <c r="H130" s="11"/>
      <c r="I130" s="11"/>
      <c r="J130" s="11"/>
      <c r="K130" s="11"/>
      <c r="L130" s="11"/>
      <c r="M130" s="11"/>
      <c r="N130" s="11"/>
      <c r="O130" s="11"/>
      <c r="P130" s="5"/>
    </row>
    <row r="131" spans="2:16" ht="18" customHeight="1" x14ac:dyDescent="0.3">
      <c r="B131" s="2" t="s">
        <v>90</v>
      </c>
      <c r="C131" s="3" t="s">
        <v>125</v>
      </c>
      <c r="D131" s="5" t="s">
        <v>28</v>
      </c>
      <c r="E131" s="5" t="s">
        <v>29</v>
      </c>
      <c r="F131" s="5" t="s">
        <v>30</v>
      </c>
      <c r="G131" s="5" t="s">
        <v>31</v>
      </c>
      <c r="H131" s="5" t="s">
        <v>32</v>
      </c>
      <c r="I131" s="5" t="s">
        <v>33</v>
      </c>
      <c r="J131" s="5" t="s">
        <v>34</v>
      </c>
      <c r="K131" s="5" t="s">
        <v>35</v>
      </c>
      <c r="L131" s="5" t="s">
        <v>36</v>
      </c>
      <c r="M131" s="5" t="s">
        <v>37</v>
      </c>
      <c r="N131" s="5" t="s">
        <v>38</v>
      </c>
      <c r="O131" s="5" t="s">
        <v>39</v>
      </c>
    </row>
    <row r="132" spans="2:16" ht="18" customHeight="1" x14ac:dyDescent="0.3">
      <c r="B132" s="2" t="s">
        <v>94</v>
      </c>
      <c r="C132" s="30"/>
    </row>
    <row r="133" spans="2:16" ht="18" customHeight="1" x14ac:dyDescent="0.3">
      <c r="B133" s="15" t="s">
        <v>95</v>
      </c>
      <c r="C133" s="30"/>
    </row>
    <row r="134" spans="2:16" ht="18" customHeight="1" x14ac:dyDescent="0.3">
      <c r="P134" s="11"/>
    </row>
    <row r="135" spans="2:16" ht="18" customHeight="1" x14ac:dyDescent="0.3">
      <c r="B135" s="2" t="s">
        <v>149</v>
      </c>
      <c r="P135" s="5"/>
    </row>
    <row r="136" spans="2:16" ht="18" customHeight="1" x14ac:dyDescent="0.3">
      <c r="B136" s="17" t="s">
        <v>96</v>
      </c>
      <c r="C136" s="3" t="s">
        <v>27</v>
      </c>
      <c r="D136" s="5" t="s">
        <v>28</v>
      </c>
      <c r="E136" s="5" t="s">
        <v>29</v>
      </c>
      <c r="F136" s="5" t="s">
        <v>30</v>
      </c>
      <c r="G136" s="5" t="s">
        <v>31</v>
      </c>
      <c r="H136" s="5" t="s">
        <v>32</v>
      </c>
      <c r="I136" s="5" t="s">
        <v>33</v>
      </c>
      <c r="J136" s="5" t="s">
        <v>34</v>
      </c>
      <c r="K136" s="5" t="s">
        <v>35</v>
      </c>
      <c r="L136" s="5" t="s">
        <v>36</v>
      </c>
      <c r="M136" s="5" t="s">
        <v>37</v>
      </c>
      <c r="N136" s="5" t="s">
        <v>38</v>
      </c>
      <c r="O136" s="5" t="s">
        <v>39</v>
      </c>
      <c r="P136" s="5"/>
    </row>
    <row r="137" spans="2:16" ht="18" customHeight="1" x14ac:dyDescent="0.3">
      <c r="B137" s="21" t="s">
        <v>97</v>
      </c>
      <c r="C137" s="8"/>
      <c r="D137" s="80"/>
      <c r="E137" s="80"/>
      <c r="F137" s="80"/>
      <c r="G137" s="80"/>
      <c r="H137" s="80"/>
      <c r="I137" s="80"/>
      <c r="J137" s="80"/>
      <c r="K137" s="80"/>
      <c r="L137" s="80"/>
      <c r="M137" s="80"/>
      <c r="N137" s="80"/>
      <c r="O137" s="80"/>
    </row>
    <row r="138" spans="2:16" ht="18" customHeight="1" x14ac:dyDescent="0.3">
      <c r="B138" s="21" t="s">
        <v>56</v>
      </c>
      <c r="C138" s="8"/>
      <c r="D138" s="80"/>
      <c r="E138" s="80"/>
      <c r="F138" s="80"/>
      <c r="G138" s="80"/>
      <c r="H138" s="80"/>
      <c r="I138" s="80"/>
      <c r="J138" s="80"/>
      <c r="K138" s="80"/>
      <c r="L138" s="80"/>
      <c r="M138" s="80"/>
      <c r="N138" s="80"/>
      <c r="O138" s="80"/>
    </row>
    <row r="139" spans="2:16" ht="18" customHeight="1" x14ac:dyDescent="0.3">
      <c r="B139" s="11" t="s">
        <v>98</v>
      </c>
      <c r="C139" s="8"/>
      <c r="D139" s="80"/>
      <c r="E139" s="80"/>
      <c r="F139" s="80"/>
      <c r="G139" s="80"/>
      <c r="H139" s="80"/>
      <c r="I139" s="80"/>
      <c r="J139" s="80"/>
      <c r="K139" s="80"/>
      <c r="L139" s="80"/>
      <c r="M139" s="80"/>
      <c r="N139" s="80"/>
      <c r="O139" s="80"/>
    </row>
    <row r="141" spans="2:16" ht="18" customHeight="1" x14ac:dyDescent="0.3">
      <c r="B141" s="2" t="s">
        <v>150</v>
      </c>
    </row>
    <row r="142" spans="2:16" ht="18" customHeight="1" x14ac:dyDescent="0.3">
      <c r="B142" s="2" t="s">
        <v>121</v>
      </c>
      <c r="C142" s="3" t="s">
        <v>101</v>
      </c>
      <c r="D142" s="5" t="s">
        <v>28</v>
      </c>
      <c r="E142" s="5" t="s">
        <v>29</v>
      </c>
      <c r="F142" s="5" t="s">
        <v>30</v>
      </c>
      <c r="G142" s="5" t="s">
        <v>31</v>
      </c>
      <c r="H142" s="5" t="s">
        <v>32</v>
      </c>
      <c r="I142" s="5" t="s">
        <v>33</v>
      </c>
      <c r="J142" s="5" t="s">
        <v>34</v>
      </c>
      <c r="K142" s="5" t="s">
        <v>35</v>
      </c>
      <c r="L142" s="5" t="s">
        <v>36</v>
      </c>
      <c r="M142" s="5" t="s">
        <v>37</v>
      </c>
      <c r="N142" s="5" t="s">
        <v>38</v>
      </c>
      <c r="O142" s="5" t="s">
        <v>39</v>
      </c>
      <c r="P142" s="5"/>
    </row>
    <row r="143" spans="2:16" ht="18" customHeight="1" x14ac:dyDescent="0.3">
      <c r="B143" s="2" t="s">
        <v>122</v>
      </c>
      <c r="D143" s="9"/>
      <c r="E143" s="9"/>
      <c r="F143" s="9"/>
      <c r="G143" s="9"/>
      <c r="H143" s="9"/>
      <c r="I143" s="9"/>
      <c r="J143" s="9"/>
      <c r="K143" s="9"/>
      <c r="L143" s="9"/>
      <c r="M143" s="9"/>
      <c r="N143" s="9"/>
      <c r="O143" s="9"/>
      <c r="P143" s="76"/>
    </row>
    <row r="144" spans="2:16" ht="18" customHeight="1" x14ac:dyDescent="0.3">
      <c r="B144" s="2" t="s">
        <v>123</v>
      </c>
      <c r="D144" s="9"/>
      <c r="E144" s="9"/>
      <c r="F144" s="9"/>
      <c r="G144" s="9"/>
      <c r="H144" s="9"/>
      <c r="I144" s="9"/>
      <c r="J144" s="9"/>
      <c r="K144" s="9"/>
      <c r="L144" s="9"/>
      <c r="M144" s="9"/>
      <c r="N144" s="9"/>
      <c r="O144" s="9"/>
      <c r="P144" s="76"/>
    </row>
    <row r="145" spans="2:16" ht="18" customHeight="1" x14ac:dyDescent="0.3">
      <c r="B145" s="2" t="s">
        <v>100</v>
      </c>
      <c r="C145" s="100">
        <v>0.2</v>
      </c>
      <c r="D145" s="12" t="e">
        <f>Table_KeHoach_ThuePhi[[#This Row],[Thuế suất TNDN]]*(D20-SUM(D23:D29)-D31-SUM(D143:D144))</f>
        <v>#N/A</v>
      </c>
      <c r="E145" s="12" t="e">
        <f>Table_KeHoach_ThuePhi[[#This Row],[Thuế suất TNDN]]*(E20-SUM(E23:E29)-E31-SUM(E143:E144))</f>
        <v>#N/A</v>
      </c>
      <c r="F145" s="12" t="e">
        <f>Table_KeHoach_ThuePhi[[#This Row],[Thuế suất TNDN]]*(F20-SUM(F23:F29)-F31-SUM(F143:F144))</f>
        <v>#N/A</v>
      </c>
      <c r="G145" s="12" t="e">
        <f>Table_KeHoach_ThuePhi[[#This Row],[Thuế suất TNDN]]*(G20-SUM(G23:G29)-G31-SUM(G143:G144))</f>
        <v>#N/A</v>
      </c>
      <c r="H145" s="12" t="e">
        <f>Table_KeHoach_ThuePhi[[#This Row],[Thuế suất TNDN]]*(H20-SUM(H23:H29)-H31-SUM(H143:H144))</f>
        <v>#N/A</v>
      </c>
      <c r="I145" s="12" t="e">
        <f>Table_KeHoach_ThuePhi[[#This Row],[Thuế suất TNDN]]*(I20-SUM(I23:I29)-I31-SUM(I143:I144))</f>
        <v>#N/A</v>
      </c>
      <c r="J145" s="12" t="e">
        <f>Table_KeHoach_ThuePhi[[#This Row],[Thuế suất TNDN]]*(J20-SUM(J23:J29)-J31-SUM(J143:J144))</f>
        <v>#N/A</v>
      </c>
      <c r="K145" s="12" t="e">
        <f>Table_KeHoach_ThuePhi[[#This Row],[Thuế suất TNDN]]*(K20-SUM(K23:K29)-K31-SUM(K143:K144))</f>
        <v>#N/A</v>
      </c>
      <c r="L145" s="12" t="e">
        <f>Table_KeHoach_ThuePhi[[#This Row],[Thuế suất TNDN]]*(L20-SUM(L23:L29)-L31-SUM(L143:L144))</f>
        <v>#N/A</v>
      </c>
      <c r="M145" s="12" t="e">
        <f>Table_KeHoach_ThuePhi[[#This Row],[Thuế suất TNDN]]*(M20-SUM(M23:M29)-M31-SUM(M143:M144))</f>
        <v>#N/A</v>
      </c>
      <c r="N145" s="12" t="e">
        <f>Table_KeHoach_ThuePhi[[#This Row],[Thuế suất TNDN]]*(N20-SUM(N23:N29)-N31-SUM(N143:N144))</f>
        <v>#N/A</v>
      </c>
      <c r="O145" s="12" t="e">
        <f>Table_KeHoach_ThuePhi[[#This Row],[Thuế suất TNDN]]*(O20-SUM(O23:O29)-O31-SUM(O143:O144))</f>
        <v>#N/A</v>
      </c>
      <c r="P145" s="76"/>
    </row>
    <row r="146" spans="2:16" ht="18" customHeight="1" x14ac:dyDescent="0.3">
      <c r="B146" s="2" t="s">
        <v>124</v>
      </c>
      <c r="D146" s="11" t="e">
        <f>SUBTOTAL(109,Table_KeHoach_ThuePhi[Tháng 1])</f>
        <v>#N/A</v>
      </c>
      <c r="E146" s="11" t="e">
        <f>SUBTOTAL(109,Table_KeHoach_ThuePhi[Tháng 2])</f>
        <v>#N/A</v>
      </c>
      <c r="F146" s="11" t="e">
        <f>SUBTOTAL(109,Table_KeHoach_ThuePhi[Tháng 3])</f>
        <v>#N/A</v>
      </c>
      <c r="G146" s="11" t="e">
        <f>SUBTOTAL(109,Table_KeHoach_ThuePhi[Tháng 4])</f>
        <v>#N/A</v>
      </c>
      <c r="H146" s="11" t="e">
        <f>SUBTOTAL(109,Table_KeHoach_ThuePhi[Tháng 5])</f>
        <v>#N/A</v>
      </c>
      <c r="I146" s="11" t="e">
        <f>SUBTOTAL(109,Table_KeHoach_ThuePhi[Tháng 6])</f>
        <v>#N/A</v>
      </c>
      <c r="J146" s="11" t="e">
        <f>SUBTOTAL(109,Table_KeHoach_ThuePhi[Tháng 7])</f>
        <v>#N/A</v>
      </c>
      <c r="K146" s="11" t="e">
        <f>SUBTOTAL(109,Table_KeHoach_ThuePhi[Tháng 8])</f>
        <v>#N/A</v>
      </c>
      <c r="L146" s="11" t="e">
        <f>SUBTOTAL(109,Table_KeHoach_ThuePhi[Tháng 9])</f>
        <v>#N/A</v>
      </c>
      <c r="M146" s="11" t="e">
        <f>SUBTOTAL(109,Table_KeHoach_ThuePhi[Tháng 10])</f>
        <v>#N/A</v>
      </c>
      <c r="N146" s="11" t="e">
        <f>SUBTOTAL(109,Table_KeHoach_ThuePhi[Tháng 11])</f>
        <v>#N/A</v>
      </c>
      <c r="O146" s="11" t="e">
        <f>SUBTOTAL(109,Table_KeHoach_ThuePhi[Tháng 12])</f>
        <v>#N/A</v>
      </c>
    </row>
    <row r="147" spans="2:16" ht="18" customHeight="1" x14ac:dyDescent="0.3">
      <c r="D147" s="11"/>
      <c r="E147" s="11"/>
      <c r="F147" s="11"/>
      <c r="G147" s="11"/>
      <c r="H147" s="11"/>
      <c r="I147" s="11"/>
      <c r="J147" s="11"/>
      <c r="K147" s="11"/>
      <c r="L147" s="11"/>
      <c r="M147" s="11"/>
      <c r="N147" s="11"/>
      <c r="O147" s="11"/>
      <c r="P147" s="5"/>
    </row>
    <row r="148" spans="2:16" ht="18" customHeight="1" x14ac:dyDescent="0.3">
      <c r="B148" s="2" t="s">
        <v>151</v>
      </c>
      <c r="D148" s="11"/>
      <c r="E148" s="11"/>
      <c r="F148" s="11"/>
      <c r="G148" s="11"/>
      <c r="H148" s="11"/>
      <c r="I148" s="11"/>
      <c r="J148" s="11"/>
      <c r="K148" s="11"/>
      <c r="L148" s="11"/>
      <c r="M148" s="11"/>
      <c r="N148" s="11"/>
      <c r="O148" s="11"/>
      <c r="P148" s="5"/>
    </row>
    <row r="149" spans="2:16" ht="18" customHeight="1" x14ac:dyDescent="0.3">
      <c r="B149" s="2" t="s">
        <v>57</v>
      </c>
      <c r="C149" s="3" t="s">
        <v>125</v>
      </c>
      <c r="D149" s="5" t="s">
        <v>28</v>
      </c>
      <c r="E149" s="5" t="s">
        <v>29</v>
      </c>
      <c r="F149" s="5" t="s">
        <v>30</v>
      </c>
      <c r="G149" s="5" t="s">
        <v>31</v>
      </c>
      <c r="H149" s="5" t="s">
        <v>32</v>
      </c>
      <c r="I149" s="5" t="s">
        <v>33</v>
      </c>
      <c r="J149" s="5" t="s">
        <v>34</v>
      </c>
      <c r="K149" s="5" t="s">
        <v>35</v>
      </c>
      <c r="L149" s="5" t="s">
        <v>36</v>
      </c>
      <c r="M149" s="5" t="s">
        <v>37</v>
      </c>
      <c r="N149" s="5" t="s">
        <v>38</v>
      </c>
      <c r="O149" s="5" t="s">
        <v>39</v>
      </c>
      <c r="P149" s="9"/>
    </row>
    <row r="150" spans="2:16" ht="18" customHeight="1" x14ac:dyDescent="0.3">
      <c r="B150" s="2" t="s">
        <v>24</v>
      </c>
      <c r="P150" s="9"/>
    </row>
    <row r="151" spans="2:16" ht="18" customHeight="1" x14ac:dyDescent="0.3">
      <c r="B151" s="2" t="s">
        <v>124</v>
      </c>
      <c r="D151" s="2">
        <f>SUBTOTAL(109,Table_KeHoach_CPKhac[Tháng 1])</f>
        <v>0</v>
      </c>
      <c r="E151" s="2">
        <f>SUBTOTAL(109,Table_KeHoach_CPKhac[Tháng 2])</f>
        <v>0</v>
      </c>
      <c r="F151" s="2">
        <f>SUBTOTAL(109,Table_KeHoach_CPKhac[Tháng 3])</f>
        <v>0</v>
      </c>
      <c r="G151" s="2">
        <f>SUBTOTAL(109,Table_KeHoach_CPKhac[Tháng 4])</f>
        <v>0</v>
      </c>
      <c r="H151" s="2">
        <f>SUBTOTAL(109,Table_KeHoach_CPKhac[Tháng 5])</f>
        <v>0</v>
      </c>
      <c r="I151" s="2">
        <f>SUBTOTAL(109,Table_KeHoach_CPKhac[Tháng 6])</f>
        <v>0</v>
      </c>
      <c r="J151" s="2">
        <f>SUBTOTAL(109,Table_KeHoach_CPKhac[Tháng 7])</f>
        <v>0</v>
      </c>
      <c r="K151" s="2">
        <f>SUBTOTAL(109,Table_KeHoach_CPKhac[Tháng 8])</f>
        <v>0</v>
      </c>
      <c r="L151" s="2">
        <f>SUBTOTAL(109,Table_KeHoach_CPKhac[Tháng 9])</f>
        <v>0</v>
      </c>
      <c r="M151" s="2">
        <f>SUBTOTAL(109,Table_KeHoach_CPKhac[Tháng 10])</f>
        <v>0</v>
      </c>
      <c r="N151" s="2">
        <f>SUBTOTAL(109,Table_KeHoach_CPKhac[Tháng 11])</f>
        <v>0</v>
      </c>
      <c r="O151" s="2">
        <f>SUBTOTAL(109,Table_KeHoach_CPKhac[Tháng 12])</f>
        <v>0</v>
      </c>
      <c r="P151" s="12"/>
    </row>
    <row r="152" spans="2:16" ht="18" customHeight="1" collapsed="1" x14ac:dyDescent="0.3">
      <c r="P152" s="11"/>
    </row>
    <row r="153" spans="2:16" ht="18" customHeight="1" x14ac:dyDescent="0.3">
      <c r="B153" s="2" t="s">
        <v>152</v>
      </c>
      <c r="P153" s="11"/>
    </row>
    <row r="154" spans="2:16" ht="18" customHeight="1" x14ac:dyDescent="0.3">
      <c r="B154" s="2" t="s">
        <v>21</v>
      </c>
      <c r="C154" s="3" t="s">
        <v>125</v>
      </c>
      <c r="D154" s="5" t="s">
        <v>28</v>
      </c>
      <c r="E154" s="5" t="s">
        <v>29</v>
      </c>
      <c r="F154" s="5" t="s">
        <v>30</v>
      </c>
      <c r="G154" s="5" t="s">
        <v>31</v>
      </c>
      <c r="H154" s="5" t="s">
        <v>32</v>
      </c>
      <c r="I154" s="5" t="s">
        <v>33</v>
      </c>
      <c r="J154" s="5" t="s">
        <v>34</v>
      </c>
      <c r="K154" s="5" t="s">
        <v>35</v>
      </c>
      <c r="L154" s="5" t="s">
        <v>36</v>
      </c>
      <c r="M154" s="5" t="s">
        <v>37</v>
      </c>
      <c r="N154" s="5" t="s">
        <v>38</v>
      </c>
      <c r="O154" s="5" t="s">
        <v>39</v>
      </c>
      <c r="P154" s="11"/>
    </row>
    <row r="155" spans="2:16" ht="18" customHeight="1" x14ac:dyDescent="0.3">
      <c r="B155" s="2" t="s">
        <v>25</v>
      </c>
      <c r="C155" s="101"/>
      <c r="D155" s="16"/>
      <c r="E155" s="16"/>
      <c r="F155" s="16"/>
      <c r="G155" s="16"/>
      <c r="H155" s="16"/>
      <c r="I155" s="16"/>
      <c r="J155" s="16"/>
      <c r="K155" s="16"/>
      <c r="L155" s="16"/>
      <c r="M155" s="16"/>
      <c r="N155" s="16"/>
      <c r="O155" s="16"/>
      <c r="P155" s="5"/>
    </row>
    <row r="157" spans="2:16" ht="18" customHeight="1" x14ac:dyDescent="0.3">
      <c r="B157" s="2" t="s">
        <v>153</v>
      </c>
    </row>
    <row r="158" spans="2:16" ht="18" customHeight="1" x14ac:dyDescent="0.3">
      <c r="B158" s="96" t="s">
        <v>118</v>
      </c>
      <c r="C158" s="97" t="s">
        <v>119</v>
      </c>
      <c r="D158" s="98" t="s">
        <v>28</v>
      </c>
      <c r="E158" s="98" t="s">
        <v>29</v>
      </c>
      <c r="F158" s="98" t="s">
        <v>30</v>
      </c>
      <c r="G158" s="98" t="s">
        <v>31</v>
      </c>
      <c r="H158" s="98" t="s">
        <v>32</v>
      </c>
      <c r="I158" s="98" t="s">
        <v>33</v>
      </c>
      <c r="J158" s="98" t="s">
        <v>34</v>
      </c>
      <c r="K158" s="98" t="s">
        <v>35</v>
      </c>
      <c r="L158" s="98" t="s">
        <v>36</v>
      </c>
      <c r="M158" s="98" t="s">
        <v>37</v>
      </c>
      <c r="N158" s="98" t="s">
        <v>38</v>
      </c>
      <c r="O158" s="98" t="s">
        <v>39</v>
      </c>
    </row>
    <row r="159" spans="2:16" ht="18" customHeight="1" x14ac:dyDescent="0.3">
      <c r="C159" s="100"/>
      <c r="D159" s="11">
        <f>Table_KeHoach_CoTuc[[#This Row],[Tỷ lệ lợi ích]]*D$45</f>
        <v>0</v>
      </c>
      <c r="E159" s="11">
        <f>Table_KeHoach_CoTuc[[#This Row],[Tỷ lệ lợi ích]]*E$45</f>
        <v>0</v>
      </c>
      <c r="F159" s="11">
        <f>Table_KeHoach_CoTuc[[#This Row],[Tỷ lệ lợi ích]]*F$45</f>
        <v>0</v>
      </c>
      <c r="G159" s="11">
        <f>Table_KeHoach_CoTuc[[#This Row],[Tỷ lệ lợi ích]]*G$45</f>
        <v>0</v>
      </c>
      <c r="H159" s="11">
        <f>Table_KeHoach_CoTuc[[#This Row],[Tỷ lệ lợi ích]]*H$45</f>
        <v>0</v>
      </c>
      <c r="I159" s="11">
        <f>Table_KeHoach_CoTuc[[#This Row],[Tỷ lệ lợi ích]]*I$45</f>
        <v>0</v>
      </c>
      <c r="J159" s="11">
        <f>Table_KeHoach_CoTuc[[#This Row],[Tỷ lệ lợi ích]]*J$45</f>
        <v>0</v>
      </c>
      <c r="K159" s="11">
        <f>Table_KeHoach_CoTuc[[#This Row],[Tỷ lệ lợi ích]]*K$45</f>
        <v>0</v>
      </c>
      <c r="L159" s="11">
        <f>Table_KeHoach_CoTuc[[#This Row],[Tỷ lệ lợi ích]]*L$45</f>
        <v>0</v>
      </c>
      <c r="M159" s="11">
        <f>Table_KeHoach_CoTuc[[#This Row],[Tỷ lệ lợi ích]]*M$45</f>
        <v>0</v>
      </c>
      <c r="N159" s="11">
        <f>Table_KeHoach_CoTuc[[#This Row],[Tỷ lệ lợi ích]]*N$45</f>
        <v>0</v>
      </c>
      <c r="O159" s="11">
        <f>Table_KeHoach_CoTuc[[#This Row],[Tỷ lệ lợi ích]]*O$45</f>
        <v>0</v>
      </c>
      <c r="P159" s="5"/>
    </row>
    <row r="160" spans="2:16" ht="18" customHeight="1" x14ac:dyDescent="0.3">
      <c r="P160" s="16"/>
    </row>
    <row r="163" spans="16:16" ht="18" customHeight="1" x14ac:dyDescent="0.3">
      <c r="P163" s="102"/>
    </row>
    <row r="164" spans="16:16" ht="18" customHeight="1" x14ac:dyDescent="0.3">
      <c r="P164" s="11"/>
    </row>
  </sheetData>
  <sheetProtection algorithmName="SHA-512" hashValue="orgRyAgczX7hZ4IgHDd9OOCiC4/Lre2lnuVjGY0ZyAjuVuk/x/ObAfRdcIZoWI1JFQPRuf/GtSxkPrY9drYs3Q==" saltValue="fk2s3Jy784aNjV9QUr4Phg==" spinCount="100000" sheet="1" scenarios="1" formatCells="0" formatColumns="0" formatRows="0" autoFilter="0" pivotTables="0"/>
  <protectedRanges>
    <protectedRange sqref="B12 B22 B9 AA142:XFD145 W147:W153 W184:W1048576 AA184:AA1048576 AA89:XFD91 AB140:XFD141 V53:V56 AA73:XFD75 X135:Y136 B139:O140 AA85:XFD87 V71:V72 Z68:Z74 V83:V84 AB146:XFD146 V90:V92 W155:W160 AA113:XFD116 V98:V100 Q106:U107 Q110:U110 V108:V109 V111:V113 AB154:XFD154 V119:V124 Z149 AA135:XFD139 Z154 AA147:XFD153 AC171:XFD1048576 D159:O159 AA163:XFD164 X187:Y1048576 Z161:Z1048576 AB191:AB1048576 B159 V49:V50 B1:B4 W163:W164 A5:A1048576 V158:V1048576 Q65:U65 R1:W1 AB161:XFD162 AB49:XFD49 Y1:XFD1 Z50:Z56 X142:Y166 AB58:XFD58 Z58:Z60 AB165:XFD170 Q51:V52 AB61:XFD62 X57:Z57 X61:Z62 V63:V64 Q57:U57 AB66:XFD67 X66:Z67 V66:V68 AB72:XFD72 X71:Y71 AB76:XFD76 Z76:Z78 AB80:XFD80 X75:Z75 V75:V76 X79:Z79 V79:V80 AB84:XFD84 X83:Y83 AB88:XFD88 Z80:Z89 AB92:XFD92 X87:Y87 V87:V88 X90:Z91 AB96:XFD96 AB100:XFD100 X94:Z95 V94:V96 X98:Z99 AB104:XFD104 AB108:XFD108 X102:Z103 V102:V105 X106:Z107 AB111:XFD112 Z108:Z114 AB117:XFD117 X111:Y112 AB121:XFD121 X115:Z116 V115:V117 X119:Z120 AB125:XFD125 Z125:Z142 AB128:XFD128 X123:Z124 X129:Y130 AB134:XFD134 B47:O48 P49 B160:O1048576 P145:P146 X49:Z49 V132:V136 W126:W127 W113:W116 W105:W107 W97:W99 W89:W91 W85:W87 W77:W79 W73:W75 W68:W71 V5:V6 W59:W60 W142:W145 V126:V130 W122:W124 W118:W120 W109:W110 W101:W103 W93:W95 W81:W83 V58:V60 AA129:XFD133 Z121:Z122 Z117:Z118 AA109:XFD110 Z100:Z101 Z92:Z93 AA81:XFD83 Z63:XFD65 AA59:XFD60 AA50:XFD57 Z5:Z6 AA68:XFD71 AA126:XFD127 Z104:Z105 Z96:Z97 Z158 W53:Y53 Q161:U1048576 AA155:XFD160 AA97:XFD99 AA105:XFD107 AA93:XFD95 AA101:XFD103 AA118:XFD120 AA122:XFD124 AA77:XFD79 P53 W63:W65 Q47:V48 P164:P1048576 W129:W133 W135:W139 AA5:XFD48 B53 B57 B62 B67 B71 B75 B79 B83 B87 B91 B95 B99 C141:O141 V10 Z10:Z36 V13:V19 V23:V31 V34:V35 R46:V46 Q3:XFD4 R2:XFD2" name="Range1_63"/>
    <protectedRange sqref="D20:P20 B7:B8 D17:P17 C6 C10 X5:Y5 Q5:U5 C23:C29 C38 C31 C13:C20 B5:C5 B32 B34:B46 R20:V20" name="Range1_63_63_1"/>
    <protectedRange sqref="B20 C21:P21 C11:P11 R11:V11 R21:V21" name="Range1_5_1_3_1"/>
    <protectedRange sqref="B127:B128 B137:B138 B133" name="Range1_2_2"/>
    <protectedRange sqref="B18" name="Range1_5_1"/>
    <protectedRange sqref="B10" name="Range1_5_2"/>
    <protectedRange sqref="B6" name="Range1_5_3"/>
    <protectedRange sqref="B33" name="Range1_63_63_1_1"/>
    <protectedRange sqref="C30" name="Range1_63_63_1_3"/>
    <protectedRange sqref="Q12 Q22 Q9" name="Range1_63_1"/>
    <protectedRange sqref="Q41 Q37 Q7:Q8 Q32:Q33" name="Range1_63_63_1_6"/>
    <protectedRange sqref="Q20" name="Range1_5_1_3_1_2"/>
    <protectedRange sqref="Q18 S18:U18" name="Range1_5_1_1"/>
    <protectedRange sqref="Q6:U6" name="Range1_5_4"/>
    <protectedRange sqref="Q10:U10" name="Range1_5_2_1"/>
    <protectedRange sqref="X12:Y12 X22:Y22 X9" name="Range1_63_2"/>
    <protectedRange sqref="X46:Y46 X32:Y33 X37:Y37 X41:Y41 X7:X8" name="Range1_63_63_1_7"/>
    <protectedRange sqref="X20:Y20" name="Range1_5_1_3_1_2_1"/>
    <protectedRange sqref="X18:Y18" name="Range1_5_1_2"/>
    <protectedRange sqref="X6:Y6" name="Range1_5_5"/>
    <protectedRange sqref="X10:Y10" name="Range1_5_2_2"/>
    <protectedRange sqref="B142 B143:O147 C159 P149:P154 C148:O148" name="Range1_63_3"/>
    <protectedRange sqref="B149 P156:P158 B150:O153 P161:P162 B156:O157" name="Range1_63_4"/>
    <protectedRange sqref="B154 B155:O155 P160" name="Range1_63_6"/>
    <protectedRange sqref="Q46" name="Range1_63_3_1"/>
    <protectedRange sqref="Q1" name="Range1_63_5"/>
    <protectedRange sqref="X1" name="Range1_63_7"/>
    <protectedRange sqref="Q2" name="Range1_63_5_1"/>
  </protectedRanges>
  <dataConsolidate link="1"/>
  <phoneticPr fontId="7" type="noConversion"/>
  <conditionalFormatting sqref="B114">
    <cfRule type="duplicateValues" dxfId="621" priority="195"/>
  </conditionalFormatting>
  <conditionalFormatting sqref="B118">
    <cfRule type="duplicateValues" dxfId="620" priority="196"/>
  </conditionalFormatting>
  <conditionalFormatting sqref="B122">
    <cfRule type="duplicateValues" dxfId="619" priority="197"/>
  </conditionalFormatting>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xdr:col>
                    <xdr:colOff>257175</xdr:colOff>
                    <xdr:row>2</xdr:row>
                    <xdr:rowOff>95250</xdr:rowOff>
                  </from>
                  <to>
                    <xdr:col>1</xdr:col>
                    <xdr:colOff>847725</xdr:colOff>
                    <xdr:row>3</xdr:row>
                    <xdr:rowOff>142875</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xdr:col>
                    <xdr:colOff>723900</xdr:colOff>
                    <xdr:row>2</xdr:row>
                    <xdr:rowOff>95250</xdr:rowOff>
                  </from>
                  <to>
                    <xdr:col>1</xdr:col>
                    <xdr:colOff>1314450</xdr:colOff>
                    <xdr:row>3</xdr:row>
                    <xdr:rowOff>142875</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xdr:col>
                    <xdr:colOff>1190625</xdr:colOff>
                    <xdr:row>2</xdr:row>
                    <xdr:rowOff>95250</xdr:rowOff>
                  </from>
                  <to>
                    <xdr:col>1</xdr:col>
                    <xdr:colOff>1781175</xdr:colOff>
                    <xdr:row>3</xdr:row>
                    <xdr:rowOff>142875</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xdr:col>
                    <xdr:colOff>1666875</xdr:colOff>
                    <xdr:row>2</xdr:row>
                    <xdr:rowOff>95250</xdr:rowOff>
                  </from>
                  <to>
                    <xdr:col>1</xdr:col>
                    <xdr:colOff>2019300</xdr:colOff>
                    <xdr:row>3</xdr:row>
                    <xdr:rowOff>142875</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xdr:col>
                    <xdr:colOff>142875</xdr:colOff>
                    <xdr:row>2</xdr:row>
                    <xdr:rowOff>47625</xdr:rowOff>
                  </from>
                  <to>
                    <xdr:col>1</xdr:col>
                    <xdr:colOff>2133600</xdr:colOff>
                    <xdr:row>3</xdr:row>
                    <xdr:rowOff>180975</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xdr:col>
                    <xdr:colOff>314325</xdr:colOff>
                    <xdr:row>0</xdr:row>
                    <xdr:rowOff>76200</xdr:rowOff>
                  </from>
                  <to>
                    <xdr:col>1</xdr:col>
                    <xdr:colOff>1971675</xdr:colOff>
                    <xdr:row>1</xdr:row>
                    <xdr:rowOff>209550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xdr:col>
                    <xdr:colOff>400050</xdr:colOff>
                    <xdr:row>0</xdr:row>
                    <xdr:rowOff>171450</xdr:rowOff>
                  </from>
                  <to>
                    <xdr:col>1</xdr:col>
                    <xdr:colOff>866775</xdr:colOff>
                    <xdr:row>1</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xdr:col>
                    <xdr:colOff>914400</xdr:colOff>
                    <xdr:row>0</xdr:row>
                    <xdr:rowOff>171450</xdr:rowOff>
                  </from>
                  <to>
                    <xdr:col>1</xdr:col>
                    <xdr:colOff>1381125</xdr:colOff>
                    <xdr:row>1</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xdr:col>
                    <xdr:colOff>1428750</xdr:colOff>
                    <xdr:row>0</xdr:row>
                    <xdr:rowOff>171450</xdr:rowOff>
                  </from>
                  <to>
                    <xdr:col>1</xdr:col>
                    <xdr:colOff>1895475</xdr:colOff>
                    <xdr:row>1</xdr:row>
                    <xdr:rowOff>114300</xdr:rowOff>
                  </to>
                </anchor>
              </controlPr>
            </control>
          </mc:Choice>
        </mc:AlternateContent>
        <mc:AlternateContent xmlns:mc="http://schemas.openxmlformats.org/markup-compatibility/2006">
          <mc:Choice Requires="x14">
            <control shapeId="50194" r:id="rId13" name="Button 18">
              <controlPr defaultSize="0" print="0" autoFill="0" autoPict="0" macro="[0]!AddColumn">
                <anchor moveWithCells="1">
                  <from>
                    <xdr:col>22</xdr:col>
                    <xdr:colOff>47625</xdr:colOff>
                    <xdr:row>0</xdr:row>
                    <xdr:rowOff>190500</xdr:rowOff>
                  </from>
                  <to>
                    <xdr:col>23</xdr:col>
                    <xdr:colOff>9525</xdr:colOff>
                    <xdr:row>1</xdr:row>
                    <xdr:rowOff>219075</xdr:rowOff>
                  </to>
                </anchor>
              </controlPr>
            </control>
          </mc:Choice>
        </mc:AlternateContent>
        <mc:AlternateContent xmlns:mc="http://schemas.openxmlformats.org/markup-compatibility/2006">
          <mc:Choice Requires="x14">
            <control shapeId="50195" r:id="rId14" name="Button 19">
              <controlPr defaultSize="0" print="0" autoFill="0" autoPict="0" macro="[0]!DeleteColumn">
                <anchor moveWithCells="1">
                  <from>
                    <xdr:col>22</xdr:col>
                    <xdr:colOff>47625</xdr:colOff>
                    <xdr:row>2</xdr:row>
                    <xdr:rowOff>38100</xdr:rowOff>
                  </from>
                  <to>
                    <xdr:col>23</xdr:col>
                    <xdr:colOff>9525</xdr:colOff>
                    <xdr:row>3</xdr:row>
                    <xdr:rowOff>66675</xdr:rowOff>
                  </to>
                </anchor>
              </controlPr>
            </control>
          </mc:Choice>
        </mc:AlternateContent>
        <mc:AlternateContent xmlns:mc="http://schemas.openxmlformats.org/markup-compatibility/2006">
          <mc:Choice Requires="x14">
            <control shapeId="50196" r:id="rId15" name="Button 20">
              <controlPr defaultSize="0" print="0" autoFill="0" autoPict="0" macro="[0]!AddColumn">
                <anchor moveWithCells="1">
                  <from>
                    <xdr:col>26</xdr:col>
                    <xdr:colOff>57150</xdr:colOff>
                    <xdr:row>1</xdr:row>
                    <xdr:rowOff>0</xdr:rowOff>
                  </from>
                  <to>
                    <xdr:col>26</xdr:col>
                    <xdr:colOff>647700</xdr:colOff>
                    <xdr:row>2</xdr:row>
                    <xdr:rowOff>28575</xdr:rowOff>
                  </to>
                </anchor>
              </controlPr>
            </control>
          </mc:Choice>
        </mc:AlternateContent>
        <mc:AlternateContent xmlns:mc="http://schemas.openxmlformats.org/markup-compatibility/2006">
          <mc:Choice Requires="x14">
            <control shapeId="50197" r:id="rId16" name="Button 21">
              <controlPr defaultSize="0" print="0" autoFill="0" autoPict="0" macro="[0]!DeleteColumn">
                <anchor moveWithCells="1">
                  <from>
                    <xdr:col>26</xdr:col>
                    <xdr:colOff>57150</xdr:colOff>
                    <xdr:row>2</xdr:row>
                    <xdr:rowOff>76200</xdr:rowOff>
                  </from>
                  <to>
                    <xdr:col>26</xdr:col>
                    <xdr:colOff>647700</xdr:colOff>
                    <xdr:row>3</xdr:row>
                    <xdr:rowOff>104775</xdr:rowOff>
                  </to>
                </anchor>
              </controlPr>
            </control>
          </mc:Choice>
        </mc:AlternateContent>
        <mc:AlternateContent xmlns:mc="http://schemas.openxmlformats.org/markup-compatibility/2006">
          <mc:Choice Requires="x14">
            <control shapeId="50198" r:id="rId17" name="Button 22">
              <controlPr defaultSize="0" print="0" autoFill="0" autoPict="0" macro="[0]!AddRow">
                <anchor moveWithCells="1">
                  <from>
                    <xdr:col>0</xdr:col>
                    <xdr:colOff>66675</xdr:colOff>
                    <xdr:row>47</xdr:row>
                    <xdr:rowOff>38100</xdr:rowOff>
                  </from>
                  <to>
                    <xdr:col>0</xdr:col>
                    <xdr:colOff>685800</xdr:colOff>
                    <xdr:row>48</xdr:row>
                    <xdr:rowOff>66675</xdr:rowOff>
                  </to>
                </anchor>
              </controlPr>
            </control>
          </mc:Choice>
        </mc:AlternateContent>
        <mc:AlternateContent xmlns:mc="http://schemas.openxmlformats.org/markup-compatibility/2006">
          <mc:Choice Requires="x14">
            <control shapeId="50199" r:id="rId18" name="Button 23">
              <controlPr defaultSize="0" print="0" autoFill="0" autoPict="0" macro="[0]!DeleteRow">
                <anchor moveWithCells="1">
                  <from>
                    <xdr:col>0</xdr:col>
                    <xdr:colOff>66675</xdr:colOff>
                    <xdr:row>48</xdr:row>
                    <xdr:rowOff>104775</xdr:rowOff>
                  </from>
                  <to>
                    <xdr:col>0</xdr:col>
                    <xdr:colOff>685800</xdr:colOff>
                    <xdr:row>49</xdr:row>
                    <xdr:rowOff>133350</xdr:rowOff>
                  </to>
                </anchor>
              </controlPr>
            </control>
          </mc:Choice>
        </mc:AlternateContent>
        <mc:AlternateContent xmlns:mc="http://schemas.openxmlformats.org/markup-compatibility/2006">
          <mc:Choice Requires="x14">
            <control shapeId="50200" r:id="rId19" name="Button 24">
              <controlPr defaultSize="0" print="0" autoFill="0" autoPict="0" macro="[0]!AddRow">
                <anchor moveWithCells="1">
                  <from>
                    <xdr:col>0</xdr:col>
                    <xdr:colOff>66675</xdr:colOff>
                    <xdr:row>51</xdr:row>
                    <xdr:rowOff>95250</xdr:rowOff>
                  </from>
                  <to>
                    <xdr:col>0</xdr:col>
                    <xdr:colOff>685800</xdr:colOff>
                    <xdr:row>52</xdr:row>
                    <xdr:rowOff>123825</xdr:rowOff>
                  </to>
                </anchor>
              </controlPr>
            </control>
          </mc:Choice>
        </mc:AlternateContent>
        <mc:AlternateContent xmlns:mc="http://schemas.openxmlformats.org/markup-compatibility/2006">
          <mc:Choice Requires="x14">
            <control shapeId="50201" r:id="rId20" name="Button 25">
              <controlPr defaultSize="0" print="0" autoFill="0" autoPict="0" macro="[0]!DeleteRow">
                <anchor moveWithCells="1">
                  <from>
                    <xdr:col>0</xdr:col>
                    <xdr:colOff>66675</xdr:colOff>
                    <xdr:row>52</xdr:row>
                    <xdr:rowOff>161925</xdr:rowOff>
                  </from>
                  <to>
                    <xdr:col>0</xdr:col>
                    <xdr:colOff>685800</xdr:colOff>
                    <xdr:row>53</xdr:row>
                    <xdr:rowOff>190500</xdr:rowOff>
                  </to>
                </anchor>
              </controlPr>
            </control>
          </mc:Choice>
        </mc:AlternateContent>
        <mc:AlternateContent xmlns:mc="http://schemas.openxmlformats.org/markup-compatibility/2006">
          <mc:Choice Requires="x14">
            <control shapeId="50202" r:id="rId21" name="Button 26">
              <controlPr defaultSize="0" print="0" autoFill="0" autoPict="0" macro="[0]!AddRow">
                <anchor moveWithCells="1">
                  <from>
                    <xdr:col>0</xdr:col>
                    <xdr:colOff>66675</xdr:colOff>
                    <xdr:row>55</xdr:row>
                    <xdr:rowOff>66675</xdr:rowOff>
                  </from>
                  <to>
                    <xdr:col>0</xdr:col>
                    <xdr:colOff>685800</xdr:colOff>
                    <xdr:row>56</xdr:row>
                    <xdr:rowOff>95250</xdr:rowOff>
                  </to>
                </anchor>
              </controlPr>
            </control>
          </mc:Choice>
        </mc:AlternateContent>
        <mc:AlternateContent xmlns:mc="http://schemas.openxmlformats.org/markup-compatibility/2006">
          <mc:Choice Requires="x14">
            <control shapeId="50203" r:id="rId22" name="Button 27">
              <controlPr defaultSize="0" print="0" autoFill="0" autoPict="0" macro="[0]!DeleteRow">
                <anchor moveWithCells="1">
                  <from>
                    <xdr:col>0</xdr:col>
                    <xdr:colOff>66675</xdr:colOff>
                    <xdr:row>56</xdr:row>
                    <xdr:rowOff>133350</xdr:rowOff>
                  </from>
                  <to>
                    <xdr:col>0</xdr:col>
                    <xdr:colOff>685800</xdr:colOff>
                    <xdr:row>57</xdr:row>
                    <xdr:rowOff>161925</xdr:rowOff>
                  </to>
                </anchor>
              </controlPr>
            </control>
          </mc:Choice>
        </mc:AlternateContent>
        <mc:AlternateContent xmlns:mc="http://schemas.openxmlformats.org/markup-compatibility/2006">
          <mc:Choice Requires="x14">
            <control shapeId="50204" r:id="rId23" name="Button 28">
              <controlPr defaultSize="0" print="0" autoFill="0" autoPict="0" macro="[0]!AddRow">
                <anchor moveWithCells="1">
                  <from>
                    <xdr:col>0</xdr:col>
                    <xdr:colOff>66675</xdr:colOff>
                    <xdr:row>60</xdr:row>
                    <xdr:rowOff>76200</xdr:rowOff>
                  </from>
                  <to>
                    <xdr:col>0</xdr:col>
                    <xdr:colOff>685800</xdr:colOff>
                    <xdr:row>61</xdr:row>
                    <xdr:rowOff>104775</xdr:rowOff>
                  </to>
                </anchor>
              </controlPr>
            </control>
          </mc:Choice>
        </mc:AlternateContent>
        <mc:AlternateContent xmlns:mc="http://schemas.openxmlformats.org/markup-compatibility/2006">
          <mc:Choice Requires="x14">
            <control shapeId="50205" r:id="rId24" name="Button 29">
              <controlPr defaultSize="0" print="0" autoFill="0" autoPict="0" macro="[0]!DeleteRow">
                <anchor moveWithCells="1">
                  <from>
                    <xdr:col>0</xdr:col>
                    <xdr:colOff>66675</xdr:colOff>
                    <xdr:row>61</xdr:row>
                    <xdr:rowOff>142875</xdr:rowOff>
                  </from>
                  <to>
                    <xdr:col>0</xdr:col>
                    <xdr:colOff>685800</xdr:colOff>
                    <xdr:row>62</xdr:row>
                    <xdr:rowOff>171450</xdr:rowOff>
                  </to>
                </anchor>
              </controlPr>
            </control>
          </mc:Choice>
        </mc:AlternateContent>
        <mc:AlternateContent xmlns:mc="http://schemas.openxmlformats.org/markup-compatibility/2006">
          <mc:Choice Requires="x14">
            <control shapeId="50206" r:id="rId25" name="Button 30">
              <controlPr defaultSize="0" print="0" autoFill="0" autoPict="0" macro="[0]!AddRow">
                <anchor moveWithCells="1">
                  <from>
                    <xdr:col>0</xdr:col>
                    <xdr:colOff>66675</xdr:colOff>
                    <xdr:row>65</xdr:row>
                    <xdr:rowOff>38100</xdr:rowOff>
                  </from>
                  <to>
                    <xdr:col>0</xdr:col>
                    <xdr:colOff>685800</xdr:colOff>
                    <xdr:row>66</xdr:row>
                    <xdr:rowOff>66675</xdr:rowOff>
                  </to>
                </anchor>
              </controlPr>
            </control>
          </mc:Choice>
        </mc:AlternateContent>
        <mc:AlternateContent xmlns:mc="http://schemas.openxmlformats.org/markup-compatibility/2006">
          <mc:Choice Requires="x14">
            <control shapeId="50207" r:id="rId26" name="Button 31">
              <controlPr defaultSize="0" print="0" autoFill="0" autoPict="0" macro="[0]!DeleteRow">
                <anchor moveWithCells="1">
                  <from>
                    <xdr:col>0</xdr:col>
                    <xdr:colOff>66675</xdr:colOff>
                    <xdr:row>66</xdr:row>
                    <xdr:rowOff>104775</xdr:rowOff>
                  </from>
                  <to>
                    <xdr:col>0</xdr:col>
                    <xdr:colOff>685800</xdr:colOff>
                    <xdr:row>67</xdr:row>
                    <xdr:rowOff>133350</xdr:rowOff>
                  </to>
                </anchor>
              </controlPr>
            </control>
          </mc:Choice>
        </mc:AlternateContent>
        <mc:AlternateContent xmlns:mc="http://schemas.openxmlformats.org/markup-compatibility/2006">
          <mc:Choice Requires="x14">
            <control shapeId="50208" r:id="rId27" name="Button 32">
              <controlPr defaultSize="0" print="0" autoFill="0" autoPict="0" macro="[0]!AddRow">
                <anchor moveWithCells="1">
                  <from>
                    <xdr:col>0</xdr:col>
                    <xdr:colOff>66675</xdr:colOff>
                    <xdr:row>69</xdr:row>
                    <xdr:rowOff>95250</xdr:rowOff>
                  </from>
                  <to>
                    <xdr:col>0</xdr:col>
                    <xdr:colOff>685800</xdr:colOff>
                    <xdr:row>70</xdr:row>
                    <xdr:rowOff>123825</xdr:rowOff>
                  </to>
                </anchor>
              </controlPr>
            </control>
          </mc:Choice>
        </mc:AlternateContent>
        <mc:AlternateContent xmlns:mc="http://schemas.openxmlformats.org/markup-compatibility/2006">
          <mc:Choice Requires="x14">
            <control shapeId="50209" r:id="rId28" name="Button 33">
              <controlPr defaultSize="0" print="0" autoFill="0" autoPict="0" macro="[0]!DeleteRow">
                <anchor moveWithCells="1">
                  <from>
                    <xdr:col>0</xdr:col>
                    <xdr:colOff>66675</xdr:colOff>
                    <xdr:row>70</xdr:row>
                    <xdr:rowOff>161925</xdr:rowOff>
                  </from>
                  <to>
                    <xdr:col>0</xdr:col>
                    <xdr:colOff>685800</xdr:colOff>
                    <xdr:row>71</xdr:row>
                    <xdr:rowOff>190500</xdr:rowOff>
                  </to>
                </anchor>
              </controlPr>
            </control>
          </mc:Choice>
        </mc:AlternateContent>
        <mc:AlternateContent xmlns:mc="http://schemas.openxmlformats.org/markup-compatibility/2006">
          <mc:Choice Requires="x14">
            <control shapeId="50210" r:id="rId29" name="Button 34">
              <controlPr defaultSize="0" print="0" autoFill="0" autoPict="0" macro="[0]!AddRow">
                <anchor moveWithCells="1">
                  <from>
                    <xdr:col>0</xdr:col>
                    <xdr:colOff>66675</xdr:colOff>
                    <xdr:row>73</xdr:row>
                    <xdr:rowOff>123825</xdr:rowOff>
                  </from>
                  <to>
                    <xdr:col>0</xdr:col>
                    <xdr:colOff>685800</xdr:colOff>
                    <xdr:row>74</xdr:row>
                    <xdr:rowOff>152400</xdr:rowOff>
                  </to>
                </anchor>
              </controlPr>
            </control>
          </mc:Choice>
        </mc:AlternateContent>
        <mc:AlternateContent xmlns:mc="http://schemas.openxmlformats.org/markup-compatibility/2006">
          <mc:Choice Requires="x14">
            <control shapeId="50211" r:id="rId30" name="Button 35">
              <controlPr defaultSize="0" print="0" autoFill="0" autoPict="0" macro="[0]!DeleteRow">
                <anchor moveWithCells="1">
                  <from>
                    <xdr:col>0</xdr:col>
                    <xdr:colOff>66675</xdr:colOff>
                    <xdr:row>74</xdr:row>
                    <xdr:rowOff>190500</xdr:rowOff>
                  </from>
                  <to>
                    <xdr:col>0</xdr:col>
                    <xdr:colOff>685800</xdr:colOff>
                    <xdr:row>75</xdr:row>
                    <xdr:rowOff>219075</xdr:rowOff>
                  </to>
                </anchor>
              </controlPr>
            </control>
          </mc:Choice>
        </mc:AlternateContent>
        <mc:AlternateContent xmlns:mc="http://schemas.openxmlformats.org/markup-compatibility/2006">
          <mc:Choice Requires="x14">
            <control shapeId="50212" r:id="rId31" name="Button 36">
              <controlPr defaultSize="0" print="0" autoFill="0" autoPict="0" macro="[0]!AddRow">
                <anchor moveWithCells="1">
                  <from>
                    <xdr:col>0</xdr:col>
                    <xdr:colOff>66675</xdr:colOff>
                    <xdr:row>77</xdr:row>
                    <xdr:rowOff>66675</xdr:rowOff>
                  </from>
                  <to>
                    <xdr:col>0</xdr:col>
                    <xdr:colOff>685800</xdr:colOff>
                    <xdr:row>78</xdr:row>
                    <xdr:rowOff>95250</xdr:rowOff>
                  </to>
                </anchor>
              </controlPr>
            </control>
          </mc:Choice>
        </mc:AlternateContent>
        <mc:AlternateContent xmlns:mc="http://schemas.openxmlformats.org/markup-compatibility/2006">
          <mc:Choice Requires="x14">
            <control shapeId="50213" r:id="rId32" name="Button 37">
              <controlPr defaultSize="0" print="0" autoFill="0" autoPict="0" macro="[0]!DeleteRow">
                <anchor moveWithCells="1">
                  <from>
                    <xdr:col>0</xdr:col>
                    <xdr:colOff>66675</xdr:colOff>
                    <xdr:row>78</xdr:row>
                    <xdr:rowOff>133350</xdr:rowOff>
                  </from>
                  <to>
                    <xdr:col>0</xdr:col>
                    <xdr:colOff>685800</xdr:colOff>
                    <xdr:row>79</xdr:row>
                    <xdr:rowOff>161925</xdr:rowOff>
                  </to>
                </anchor>
              </controlPr>
            </control>
          </mc:Choice>
        </mc:AlternateContent>
        <mc:AlternateContent xmlns:mc="http://schemas.openxmlformats.org/markup-compatibility/2006">
          <mc:Choice Requires="x14">
            <control shapeId="50214" r:id="rId33" name="Button 38">
              <controlPr defaultSize="0" print="0" autoFill="0" autoPict="0" macro="[0]!AddRow">
                <anchor moveWithCells="1">
                  <from>
                    <xdr:col>0</xdr:col>
                    <xdr:colOff>66675</xdr:colOff>
                    <xdr:row>81</xdr:row>
                    <xdr:rowOff>114300</xdr:rowOff>
                  </from>
                  <to>
                    <xdr:col>0</xdr:col>
                    <xdr:colOff>685800</xdr:colOff>
                    <xdr:row>82</xdr:row>
                    <xdr:rowOff>142875</xdr:rowOff>
                  </to>
                </anchor>
              </controlPr>
            </control>
          </mc:Choice>
        </mc:AlternateContent>
        <mc:AlternateContent xmlns:mc="http://schemas.openxmlformats.org/markup-compatibility/2006">
          <mc:Choice Requires="x14">
            <control shapeId="50215" r:id="rId34" name="Button 39">
              <controlPr defaultSize="0" print="0" autoFill="0" autoPict="0" macro="[0]!DeleteRow">
                <anchor moveWithCells="1">
                  <from>
                    <xdr:col>0</xdr:col>
                    <xdr:colOff>66675</xdr:colOff>
                    <xdr:row>82</xdr:row>
                    <xdr:rowOff>180975</xdr:rowOff>
                  </from>
                  <to>
                    <xdr:col>0</xdr:col>
                    <xdr:colOff>685800</xdr:colOff>
                    <xdr:row>83</xdr:row>
                    <xdr:rowOff>209550</xdr:rowOff>
                  </to>
                </anchor>
              </controlPr>
            </control>
          </mc:Choice>
        </mc:AlternateContent>
        <mc:AlternateContent xmlns:mc="http://schemas.openxmlformats.org/markup-compatibility/2006">
          <mc:Choice Requires="x14">
            <control shapeId="50216" r:id="rId35" name="Button 40">
              <controlPr defaultSize="0" print="0" autoFill="0" autoPict="0" macro="[0]!AddRow">
                <anchor moveWithCells="1">
                  <from>
                    <xdr:col>0</xdr:col>
                    <xdr:colOff>66675</xdr:colOff>
                    <xdr:row>85</xdr:row>
                    <xdr:rowOff>114300</xdr:rowOff>
                  </from>
                  <to>
                    <xdr:col>0</xdr:col>
                    <xdr:colOff>685800</xdr:colOff>
                    <xdr:row>86</xdr:row>
                    <xdr:rowOff>142875</xdr:rowOff>
                  </to>
                </anchor>
              </controlPr>
            </control>
          </mc:Choice>
        </mc:AlternateContent>
        <mc:AlternateContent xmlns:mc="http://schemas.openxmlformats.org/markup-compatibility/2006">
          <mc:Choice Requires="x14">
            <control shapeId="50217" r:id="rId36" name="Button 41">
              <controlPr defaultSize="0" print="0" autoFill="0" autoPict="0" macro="[0]!DeleteRow">
                <anchor moveWithCells="1">
                  <from>
                    <xdr:col>0</xdr:col>
                    <xdr:colOff>66675</xdr:colOff>
                    <xdr:row>86</xdr:row>
                    <xdr:rowOff>180975</xdr:rowOff>
                  </from>
                  <to>
                    <xdr:col>0</xdr:col>
                    <xdr:colOff>685800</xdr:colOff>
                    <xdr:row>87</xdr:row>
                    <xdr:rowOff>209550</xdr:rowOff>
                  </to>
                </anchor>
              </controlPr>
            </control>
          </mc:Choice>
        </mc:AlternateContent>
        <mc:AlternateContent xmlns:mc="http://schemas.openxmlformats.org/markup-compatibility/2006">
          <mc:Choice Requires="x14">
            <control shapeId="50218" r:id="rId37" name="Button 42">
              <controlPr defaultSize="0" print="0" autoFill="0" autoPict="0" macro="[0]!AddRow">
                <anchor moveWithCells="1">
                  <from>
                    <xdr:col>0</xdr:col>
                    <xdr:colOff>66675</xdr:colOff>
                    <xdr:row>89</xdr:row>
                    <xdr:rowOff>95250</xdr:rowOff>
                  </from>
                  <to>
                    <xdr:col>0</xdr:col>
                    <xdr:colOff>685800</xdr:colOff>
                    <xdr:row>90</xdr:row>
                    <xdr:rowOff>123825</xdr:rowOff>
                  </to>
                </anchor>
              </controlPr>
            </control>
          </mc:Choice>
        </mc:AlternateContent>
        <mc:AlternateContent xmlns:mc="http://schemas.openxmlformats.org/markup-compatibility/2006">
          <mc:Choice Requires="x14">
            <control shapeId="50219" r:id="rId38" name="Button 43">
              <controlPr defaultSize="0" print="0" autoFill="0" autoPict="0" macro="[0]!DeleteRow">
                <anchor moveWithCells="1">
                  <from>
                    <xdr:col>0</xdr:col>
                    <xdr:colOff>66675</xdr:colOff>
                    <xdr:row>90</xdr:row>
                    <xdr:rowOff>161925</xdr:rowOff>
                  </from>
                  <to>
                    <xdr:col>0</xdr:col>
                    <xdr:colOff>685800</xdr:colOff>
                    <xdr:row>91</xdr:row>
                    <xdr:rowOff>190500</xdr:rowOff>
                  </to>
                </anchor>
              </controlPr>
            </control>
          </mc:Choice>
        </mc:AlternateContent>
        <mc:AlternateContent xmlns:mc="http://schemas.openxmlformats.org/markup-compatibility/2006">
          <mc:Choice Requires="x14">
            <control shapeId="50220" r:id="rId39" name="Button 44">
              <controlPr defaultSize="0" print="0" autoFill="0" autoPict="0" macro="[0]!AddRow">
                <anchor moveWithCells="1">
                  <from>
                    <xdr:col>0</xdr:col>
                    <xdr:colOff>66675</xdr:colOff>
                    <xdr:row>93</xdr:row>
                    <xdr:rowOff>57150</xdr:rowOff>
                  </from>
                  <to>
                    <xdr:col>0</xdr:col>
                    <xdr:colOff>685800</xdr:colOff>
                    <xdr:row>94</xdr:row>
                    <xdr:rowOff>85725</xdr:rowOff>
                  </to>
                </anchor>
              </controlPr>
            </control>
          </mc:Choice>
        </mc:AlternateContent>
        <mc:AlternateContent xmlns:mc="http://schemas.openxmlformats.org/markup-compatibility/2006">
          <mc:Choice Requires="x14">
            <control shapeId="50221" r:id="rId40" name="Button 45">
              <controlPr defaultSize="0" print="0" autoFill="0" autoPict="0" macro="[0]!DeleteRow">
                <anchor moveWithCells="1">
                  <from>
                    <xdr:col>0</xdr:col>
                    <xdr:colOff>66675</xdr:colOff>
                    <xdr:row>94</xdr:row>
                    <xdr:rowOff>123825</xdr:rowOff>
                  </from>
                  <to>
                    <xdr:col>0</xdr:col>
                    <xdr:colOff>685800</xdr:colOff>
                    <xdr:row>95</xdr:row>
                    <xdr:rowOff>152400</xdr:rowOff>
                  </to>
                </anchor>
              </controlPr>
            </control>
          </mc:Choice>
        </mc:AlternateContent>
        <mc:AlternateContent xmlns:mc="http://schemas.openxmlformats.org/markup-compatibility/2006">
          <mc:Choice Requires="x14">
            <control shapeId="50222" r:id="rId41" name="Button 46">
              <controlPr defaultSize="0" print="0" autoFill="0" autoPict="0" macro="[0]!AddRow">
                <anchor moveWithCells="1">
                  <from>
                    <xdr:col>0</xdr:col>
                    <xdr:colOff>66675</xdr:colOff>
                    <xdr:row>97</xdr:row>
                    <xdr:rowOff>95250</xdr:rowOff>
                  </from>
                  <to>
                    <xdr:col>0</xdr:col>
                    <xdr:colOff>685800</xdr:colOff>
                    <xdr:row>98</xdr:row>
                    <xdr:rowOff>123825</xdr:rowOff>
                  </to>
                </anchor>
              </controlPr>
            </control>
          </mc:Choice>
        </mc:AlternateContent>
        <mc:AlternateContent xmlns:mc="http://schemas.openxmlformats.org/markup-compatibility/2006">
          <mc:Choice Requires="x14">
            <control shapeId="50223" r:id="rId42" name="Button 47">
              <controlPr defaultSize="0" print="0" autoFill="0" autoPict="0" macro="[0]!DeleteRow">
                <anchor moveWithCells="1">
                  <from>
                    <xdr:col>0</xdr:col>
                    <xdr:colOff>66675</xdr:colOff>
                    <xdr:row>98</xdr:row>
                    <xdr:rowOff>161925</xdr:rowOff>
                  </from>
                  <to>
                    <xdr:col>0</xdr:col>
                    <xdr:colOff>685800</xdr:colOff>
                    <xdr:row>99</xdr:row>
                    <xdr:rowOff>190500</xdr:rowOff>
                  </to>
                </anchor>
              </controlPr>
            </control>
          </mc:Choice>
        </mc:AlternateContent>
        <mc:AlternateContent xmlns:mc="http://schemas.openxmlformats.org/markup-compatibility/2006">
          <mc:Choice Requires="x14">
            <control shapeId="50224" r:id="rId43" name="Button 48">
              <controlPr defaultSize="0" print="0" autoFill="0" autoPict="0" macro="[0]!AddRow">
                <anchor moveWithCells="1">
                  <from>
                    <xdr:col>0</xdr:col>
                    <xdr:colOff>66675</xdr:colOff>
                    <xdr:row>101</xdr:row>
                    <xdr:rowOff>85725</xdr:rowOff>
                  </from>
                  <to>
                    <xdr:col>0</xdr:col>
                    <xdr:colOff>685800</xdr:colOff>
                    <xdr:row>102</xdr:row>
                    <xdr:rowOff>114300</xdr:rowOff>
                  </to>
                </anchor>
              </controlPr>
            </control>
          </mc:Choice>
        </mc:AlternateContent>
        <mc:AlternateContent xmlns:mc="http://schemas.openxmlformats.org/markup-compatibility/2006">
          <mc:Choice Requires="x14">
            <control shapeId="50225" r:id="rId44" name="Button 49">
              <controlPr defaultSize="0" print="0" autoFill="0" autoPict="0" macro="[0]!DeleteRow">
                <anchor moveWithCells="1">
                  <from>
                    <xdr:col>0</xdr:col>
                    <xdr:colOff>66675</xdr:colOff>
                    <xdr:row>102</xdr:row>
                    <xdr:rowOff>152400</xdr:rowOff>
                  </from>
                  <to>
                    <xdr:col>0</xdr:col>
                    <xdr:colOff>685800</xdr:colOff>
                    <xdr:row>103</xdr:row>
                    <xdr:rowOff>180975</xdr:rowOff>
                  </to>
                </anchor>
              </controlPr>
            </control>
          </mc:Choice>
        </mc:AlternateContent>
        <mc:AlternateContent xmlns:mc="http://schemas.openxmlformats.org/markup-compatibility/2006">
          <mc:Choice Requires="x14">
            <control shapeId="50226" r:id="rId45" name="Button 50">
              <controlPr defaultSize="0" print="0" autoFill="0" autoPict="0" macro="[0]!AddRow">
                <anchor moveWithCells="1">
                  <from>
                    <xdr:col>0</xdr:col>
                    <xdr:colOff>66675</xdr:colOff>
                    <xdr:row>105</xdr:row>
                    <xdr:rowOff>95250</xdr:rowOff>
                  </from>
                  <to>
                    <xdr:col>0</xdr:col>
                    <xdr:colOff>685800</xdr:colOff>
                    <xdr:row>106</xdr:row>
                    <xdr:rowOff>123825</xdr:rowOff>
                  </to>
                </anchor>
              </controlPr>
            </control>
          </mc:Choice>
        </mc:AlternateContent>
        <mc:AlternateContent xmlns:mc="http://schemas.openxmlformats.org/markup-compatibility/2006">
          <mc:Choice Requires="x14">
            <control shapeId="50227" r:id="rId46" name="Button 51">
              <controlPr defaultSize="0" print="0" autoFill="0" autoPict="0" macro="[0]!DeleteRow">
                <anchor moveWithCells="1">
                  <from>
                    <xdr:col>0</xdr:col>
                    <xdr:colOff>66675</xdr:colOff>
                    <xdr:row>106</xdr:row>
                    <xdr:rowOff>161925</xdr:rowOff>
                  </from>
                  <to>
                    <xdr:col>0</xdr:col>
                    <xdr:colOff>685800</xdr:colOff>
                    <xdr:row>107</xdr:row>
                    <xdr:rowOff>190500</xdr:rowOff>
                  </to>
                </anchor>
              </controlPr>
            </control>
          </mc:Choice>
        </mc:AlternateContent>
        <mc:AlternateContent xmlns:mc="http://schemas.openxmlformats.org/markup-compatibility/2006">
          <mc:Choice Requires="x14">
            <control shapeId="50228" r:id="rId47" name="Button 52">
              <controlPr defaultSize="0" print="0" autoFill="0" autoPict="0" macro="[0]!AddRow">
                <anchor moveWithCells="1">
                  <from>
                    <xdr:col>0</xdr:col>
                    <xdr:colOff>66675</xdr:colOff>
                    <xdr:row>110</xdr:row>
                    <xdr:rowOff>95250</xdr:rowOff>
                  </from>
                  <to>
                    <xdr:col>0</xdr:col>
                    <xdr:colOff>685800</xdr:colOff>
                    <xdr:row>111</xdr:row>
                    <xdr:rowOff>123825</xdr:rowOff>
                  </to>
                </anchor>
              </controlPr>
            </control>
          </mc:Choice>
        </mc:AlternateContent>
        <mc:AlternateContent xmlns:mc="http://schemas.openxmlformats.org/markup-compatibility/2006">
          <mc:Choice Requires="x14">
            <control shapeId="50229" r:id="rId48" name="Button 53">
              <controlPr defaultSize="0" print="0" autoFill="0" autoPict="0" macro="[0]!DeleteRow">
                <anchor moveWithCells="1">
                  <from>
                    <xdr:col>0</xdr:col>
                    <xdr:colOff>66675</xdr:colOff>
                    <xdr:row>111</xdr:row>
                    <xdr:rowOff>161925</xdr:rowOff>
                  </from>
                  <to>
                    <xdr:col>0</xdr:col>
                    <xdr:colOff>685800</xdr:colOff>
                    <xdr:row>112</xdr:row>
                    <xdr:rowOff>190500</xdr:rowOff>
                  </to>
                </anchor>
              </controlPr>
            </control>
          </mc:Choice>
        </mc:AlternateContent>
        <mc:AlternateContent xmlns:mc="http://schemas.openxmlformats.org/markup-compatibility/2006">
          <mc:Choice Requires="x14">
            <control shapeId="50230" r:id="rId49" name="Button 54">
              <controlPr defaultSize="0" print="0" autoFill="0" autoPict="0" macro="[0]!AddRow">
                <anchor moveWithCells="1">
                  <from>
                    <xdr:col>0</xdr:col>
                    <xdr:colOff>66675</xdr:colOff>
                    <xdr:row>114</xdr:row>
                    <xdr:rowOff>114300</xdr:rowOff>
                  </from>
                  <to>
                    <xdr:col>0</xdr:col>
                    <xdr:colOff>685800</xdr:colOff>
                    <xdr:row>115</xdr:row>
                    <xdr:rowOff>142875</xdr:rowOff>
                  </to>
                </anchor>
              </controlPr>
            </control>
          </mc:Choice>
        </mc:AlternateContent>
        <mc:AlternateContent xmlns:mc="http://schemas.openxmlformats.org/markup-compatibility/2006">
          <mc:Choice Requires="x14">
            <control shapeId="50231" r:id="rId50" name="Button 55">
              <controlPr defaultSize="0" print="0" autoFill="0" autoPict="0" macro="[0]!DeleteRow">
                <anchor moveWithCells="1">
                  <from>
                    <xdr:col>0</xdr:col>
                    <xdr:colOff>66675</xdr:colOff>
                    <xdr:row>115</xdr:row>
                    <xdr:rowOff>180975</xdr:rowOff>
                  </from>
                  <to>
                    <xdr:col>0</xdr:col>
                    <xdr:colOff>685800</xdr:colOff>
                    <xdr:row>116</xdr:row>
                    <xdr:rowOff>209550</xdr:rowOff>
                  </to>
                </anchor>
              </controlPr>
            </control>
          </mc:Choice>
        </mc:AlternateContent>
        <mc:AlternateContent xmlns:mc="http://schemas.openxmlformats.org/markup-compatibility/2006">
          <mc:Choice Requires="x14">
            <control shapeId="50232" r:id="rId51" name="Button 56">
              <controlPr defaultSize="0" print="0" autoFill="0" autoPict="0" macro="[0]!AddRow">
                <anchor moveWithCells="1">
                  <from>
                    <xdr:col>0</xdr:col>
                    <xdr:colOff>66675</xdr:colOff>
                    <xdr:row>118</xdr:row>
                    <xdr:rowOff>104775</xdr:rowOff>
                  </from>
                  <to>
                    <xdr:col>0</xdr:col>
                    <xdr:colOff>685800</xdr:colOff>
                    <xdr:row>119</xdr:row>
                    <xdr:rowOff>133350</xdr:rowOff>
                  </to>
                </anchor>
              </controlPr>
            </control>
          </mc:Choice>
        </mc:AlternateContent>
        <mc:AlternateContent xmlns:mc="http://schemas.openxmlformats.org/markup-compatibility/2006">
          <mc:Choice Requires="x14">
            <control shapeId="50233" r:id="rId52" name="Button 57">
              <controlPr defaultSize="0" print="0" autoFill="0" autoPict="0" macro="[0]!DeleteRow">
                <anchor moveWithCells="1">
                  <from>
                    <xdr:col>0</xdr:col>
                    <xdr:colOff>66675</xdr:colOff>
                    <xdr:row>119</xdr:row>
                    <xdr:rowOff>171450</xdr:rowOff>
                  </from>
                  <to>
                    <xdr:col>0</xdr:col>
                    <xdr:colOff>685800</xdr:colOff>
                    <xdr:row>120</xdr:row>
                    <xdr:rowOff>200025</xdr:rowOff>
                  </to>
                </anchor>
              </controlPr>
            </control>
          </mc:Choice>
        </mc:AlternateContent>
        <mc:AlternateContent xmlns:mc="http://schemas.openxmlformats.org/markup-compatibility/2006">
          <mc:Choice Requires="x14">
            <control shapeId="50234" r:id="rId53" name="Button 58">
              <controlPr defaultSize="0" print="0" autoFill="0" autoPict="0" macro="[0]!AddRow">
                <anchor moveWithCells="1">
                  <from>
                    <xdr:col>0</xdr:col>
                    <xdr:colOff>66675</xdr:colOff>
                    <xdr:row>122</xdr:row>
                    <xdr:rowOff>85725</xdr:rowOff>
                  </from>
                  <to>
                    <xdr:col>0</xdr:col>
                    <xdr:colOff>685800</xdr:colOff>
                    <xdr:row>123</xdr:row>
                    <xdr:rowOff>114300</xdr:rowOff>
                  </to>
                </anchor>
              </controlPr>
            </control>
          </mc:Choice>
        </mc:AlternateContent>
        <mc:AlternateContent xmlns:mc="http://schemas.openxmlformats.org/markup-compatibility/2006">
          <mc:Choice Requires="x14">
            <control shapeId="50235" r:id="rId54" name="Button 59">
              <controlPr defaultSize="0" print="0" autoFill="0" autoPict="0" macro="[0]!DeleteRow">
                <anchor moveWithCells="1">
                  <from>
                    <xdr:col>0</xdr:col>
                    <xdr:colOff>66675</xdr:colOff>
                    <xdr:row>123</xdr:row>
                    <xdr:rowOff>152400</xdr:rowOff>
                  </from>
                  <to>
                    <xdr:col>0</xdr:col>
                    <xdr:colOff>685800</xdr:colOff>
                    <xdr:row>124</xdr:row>
                    <xdr:rowOff>180975</xdr:rowOff>
                  </to>
                </anchor>
              </controlPr>
            </control>
          </mc:Choice>
        </mc:AlternateContent>
        <mc:AlternateContent xmlns:mc="http://schemas.openxmlformats.org/markup-compatibility/2006">
          <mc:Choice Requires="x14">
            <control shapeId="50240" r:id="rId55" name="Button 64">
              <controlPr defaultSize="0" print="0" autoFill="0" autoPict="0" macro="[0]!AddRow">
                <anchor moveWithCells="1">
                  <from>
                    <xdr:col>0</xdr:col>
                    <xdr:colOff>66675</xdr:colOff>
                    <xdr:row>128</xdr:row>
                    <xdr:rowOff>104775</xdr:rowOff>
                  </from>
                  <to>
                    <xdr:col>0</xdr:col>
                    <xdr:colOff>685800</xdr:colOff>
                    <xdr:row>129</xdr:row>
                    <xdr:rowOff>133350</xdr:rowOff>
                  </to>
                </anchor>
              </controlPr>
            </control>
          </mc:Choice>
        </mc:AlternateContent>
        <mc:AlternateContent xmlns:mc="http://schemas.openxmlformats.org/markup-compatibility/2006">
          <mc:Choice Requires="x14">
            <control shapeId="50241" r:id="rId56" name="Button 65">
              <controlPr defaultSize="0" print="0" autoFill="0" autoPict="0" macro="[0]!DeleteRow">
                <anchor moveWithCells="1">
                  <from>
                    <xdr:col>0</xdr:col>
                    <xdr:colOff>66675</xdr:colOff>
                    <xdr:row>129</xdr:row>
                    <xdr:rowOff>171450</xdr:rowOff>
                  </from>
                  <to>
                    <xdr:col>0</xdr:col>
                    <xdr:colOff>685800</xdr:colOff>
                    <xdr:row>130</xdr:row>
                    <xdr:rowOff>200025</xdr:rowOff>
                  </to>
                </anchor>
              </controlPr>
            </control>
          </mc:Choice>
        </mc:AlternateContent>
        <mc:AlternateContent xmlns:mc="http://schemas.openxmlformats.org/markup-compatibility/2006">
          <mc:Choice Requires="x14">
            <control shapeId="50242" r:id="rId57" name="Button 66">
              <controlPr defaultSize="0" print="0" autoFill="0" autoPict="0" macro="[0]!AddRow">
                <anchor moveWithCells="1">
                  <from>
                    <xdr:col>0</xdr:col>
                    <xdr:colOff>66675</xdr:colOff>
                    <xdr:row>133</xdr:row>
                    <xdr:rowOff>47625</xdr:rowOff>
                  </from>
                  <to>
                    <xdr:col>0</xdr:col>
                    <xdr:colOff>685800</xdr:colOff>
                    <xdr:row>134</xdr:row>
                    <xdr:rowOff>76200</xdr:rowOff>
                  </to>
                </anchor>
              </controlPr>
            </control>
          </mc:Choice>
        </mc:AlternateContent>
        <mc:AlternateContent xmlns:mc="http://schemas.openxmlformats.org/markup-compatibility/2006">
          <mc:Choice Requires="x14">
            <control shapeId="50243" r:id="rId58" name="Button 67">
              <controlPr defaultSize="0" print="0" autoFill="0" autoPict="0" macro="[0]!DeleteRow">
                <anchor moveWithCells="1">
                  <from>
                    <xdr:col>0</xdr:col>
                    <xdr:colOff>66675</xdr:colOff>
                    <xdr:row>134</xdr:row>
                    <xdr:rowOff>114300</xdr:rowOff>
                  </from>
                  <to>
                    <xdr:col>0</xdr:col>
                    <xdr:colOff>685800</xdr:colOff>
                    <xdr:row>135</xdr:row>
                    <xdr:rowOff>142875</xdr:rowOff>
                  </to>
                </anchor>
              </controlPr>
            </control>
          </mc:Choice>
        </mc:AlternateContent>
        <mc:AlternateContent xmlns:mc="http://schemas.openxmlformats.org/markup-compatibility/2006">
          <mc:Choice Requires="x14">
            <control shapeId="50244" r:id="rId59" name="Button 68">
              <controlPr defaultSize="0" print="0" autoFill="0" autoPict="0" macro="[0]!AddRow">
                <anchor moveWithCells="1">
                  <from>
                    <xdr:col>0</xdr:col>
                    <xdr:colOff>66675</xdr:colOff>
                    <xdr:row>139</xdr:row>
                    <xdr:rowOff>57150</xdr:rowOff>
                  </from>
                  <to>
                    <xdr:col>0</xdr:col>
                    <xdr:colOff>685800</xdr:colOff>
                    <xdr:row>140</xdr:row>
                    <xdr:rowOff>85725</xdr:rowOff>
                  </to>
                </anchor>
              </controlPr>
            </control>
          </mc:Choice>
        </mc:AlternateContent>
        <mc:AlternateContent xmlns:mc="http://schemas.openxmlformats.org/markup-compatibility/2006">
          <mc:Choice Requires="x14">
            <control shapeId="50245" r:id="rId60" name="Button 69">
              <controlPr defaultSize="0" print="0" autoFill="0" autoPict="0" macro="[0]!DeleteRow">
                <anchor moveWithCells="1">
                  <from>
                    <xdr:col>0</xdr:col>
                    <xdr:colOff>66675</xdr:colOff>
                    <xdr:row>140</xdr:row>
                    <xdr:rowOff>123825</xdr:rowOff>
                  </from>
                  <to>
                    <xdr:col>0</xdr:col>
                    <xdr:colOff>685800</xdr:colOff>
                    <xdr:row>141</xdr:row>
                    <xdr:rowOff>152400</xdr:rowOff>
                  </to>
                </anchor>
              </controlPr>
            </control>
          </mc:Choice>
        </mc:AlternateContent>
        <mc:AlternateContent xmlns:mc="http://schemas.openxmlformats.org/markup-compatibility/2006">
          <mc:Choice Requires="x14">
            <control shapeId="50246" r:id="rId61" name="Button 70">
              <controlPr defaultSize="0" print="0" autoFill="0" autoPict="0" macro="[0]!AddRow">
                <anchor moveWithCells="1">
                  <from>
                    <xdr:col>0</xdr:col>
                    <xdr:colOff>66675</xdr:colOff>
                    <xdr:row>146</xdr:row>
                    <xdr:rowOff>38100</xdr:rowOff>
                  </from>
                  <to>
                    <xdr:col>0</xdr:col>
                    <xdr:colOff>685800</xdr:colOff>
                    <xdr:row>147</xdr:row>
                    <xdr:rowOff>66675</xdr:rowOff>
                  </to>
                </anchor>
              </controlPr>
            </control>
          </mc:Choice>
        </mc:AlternateContent>
        <mc:AlternateContent xmlns:mc="http://schemas.openxmlformats.org/markup-compatibility/2006">
          <mc:Choice Requires="x14">
            <control shapeId="50247" r:id="rId62" name="Button 71">
              <controlPr defaultSize="0" print="0" autoFill="0" autoPict="0" macro="[0]!DeleteRow">
                <anchor moveWithCells="1">
                  <from>
                    <xdr:col>0</xdr:col>
                    <xdr:colOff>66675</xdr:colOff>
                    <xdr:row>147</xdr:row>
                    <xdr:rowOff>104775</xdr:rowOff>
                  </from>
                  <to>
                    <xdr:col>0</xdr:col>
                    <xdr:colOff>685800</xdr:colOff>
                    <xdr:row>148</xdr:row>
                    <xdr:rowOff>133350</xdr:rowOff>
                  </to>
                </anchor>
              </controlPr>
            </control>
          </mc:Choice>
        </mc:AlternateContent>
        <mc:AlternateContent xmlns:mc="http://schemas.openxmlformats.org/markup-compatibility/2006">
          <mc:Choice Requires="x14">
            <control shapeId="50248" r:id="rId63" name="Button 72">
              <controlPr defaultSize="0" print="0" autoFill="0" autoPict="0" macro="[0]!AddRow">
                <anchor moveWithCells="1">
                  <from>
                    <xdr:col>0</xdr:col>
                    <xdr:colOff>66675</xdr:colOff>
                    <xdr:row>151</xdr:row>
                    <xdr:rowOff>66675</xdr:rowOff>
                  </from>
                  <to>
                    <xdr:col>0</xdr:col>
                    <xdr:colOff>685800</xdr:colOff>
                    <xdr:row>152</xdr:row>
                    <xdr:rowOff>95250</xdr:rowOff>
                  </to>
                </anchor>
              </controlPr>
            </control>
          </mc:Choice>
        </mc:AlternateContent>
        <mc:AlternateContent xmlns:mc="http://schemas.openxmlformats.org/markup-compatibility/2006">
          <mc:Choice Requires="x14">
            <control shapeId="50249" r:id="rId64" name="Button 73">
              <controlPr defaultSize="0" print="0" autoFill="0" autoPict="0" macro="[0]!DeleteRow">
                <anchor moveWithCells="1">
                  <from>
                    <xdr:col>0</xdr:col>
                    <xdr:colOff>66675</xdr:colOff>
                    <xdr:row>152</xdr:row>
                    <xdr:rowOff>133350</xdr:rowOff>
                  </from>
                  <to>
                    <xdr:col>0</xdr:col>
                    <xdr:colOff>685800</xdr:colOff>
                    <xdr:row>153</xdr:row>
                    <xdr:rowOff>161925</xdr:rowOff>
                  </to>
                </anchor>
              </controlPr>
            </control>
          </mc:Choice>
        </mc:AlternateContent>
        <mc:AlternateContent xmlns:mc="http://schemas.openxmlformats.org/markup-compatibility/2006">
          <mc:Choice Requires="x14">
            <control shapeId="50250" r:id="rId65" name="Button 74">
              <controlPr defaultSize="0" print="0" autoFill="0" autoPict="0" macro="[0]!AddRow">
                <anchor moveWithCells="1">
                  <from>
                    <xdr:col>0</xdr:col>
                    <xdr:colOff>66675</xdr:colOff>
                    <xdr:row>155</xdr:row>
                    <xdr:rowOff>114300</xdr:rowOff>
                  </from>
                  <to>
                    <xdr:col>0</xdr:col>
                    <xdr:colOff>685800</xdr:colOff>
                    <xdr:row>156</xdr:row>
                    <xdr:rowOff>142875</xdr:rowOff>
                  </to>
                </anchor>
              </controlPr>
            </control>
          </mc:Choice>
        </mc:AlternateContent>
        <mc:AlternateContent xmlns:mc="http://schemas.openxmlformats.org/markup-compatibility/2006">
          <mc:Choice Requires="x14">
            <control shapeId="50251" r:id="rId66" name="Button 75">
              <controlPr defaultSize="0" print="0" autoFill="0" autoPict="0" macro="[0]!DeleteRow">
                <anchor moveWithCells="1">
                  <from>
                    <xdr:col>0</xdr:col>
                    <xdr:colOff>66675</xdr:colOff>
                    <xdr:row>156</xdr:row>
                    <xdr:rowOff>180975</xdr:rowOff>
                  </from>
                  <to>
                    <xdr:col>0</xdr:col>
                    <xdr:colOff>685800</xdr:colOff>
                    <xdr:row>157</xdr:row>
                    <xdr:rowOff>209550</xdr:rowOff>
                  </to>
                </anchor>
              </controlPr>
            </control>
          </mc:Choice>
        </mc:AlternateContent>
      </controls>
    </mc:Choice>
  </mc:AlternateContent>
  <tableParts count="28">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s>
  <extLst>
    <ext xmlns:x14="http://schemas.microsoft.com/office/spreadsheetml/2009/9/main" uri="{78C0D931-6437-407d-A8EE-F0AAD7539E65}">
      <x14:conditionalFormattings>
        <x14:conditionalFormatting xmlns:xm="http://schemas.microsoft.com/office/excel/2006/main">
          <x14:cfRule type="expression" priority="17" id="{8FDBA642-DE3F-4297-8F37-5F29D79C75AB}">
            <xm:f>Security!$A$1="NO VBA"</xm:f>
            <x14:dxf>
              <font>
                <color theme="0"/>
              </font>
              <border>
                <vertical/>
                <horizontal/>
              </border>
            </x14:dxf>
          </x14:cfRule>
          <xm:sqref>C5:P5 B159 B158:O158 B6:P32 D159:O159 P163:P1048576 B160:O1048576 A3:R4 Y1:XFD1 P33:P146 A5:A1048576 W5:W1048576 AA5:XFD1048576 Q47:V1048576 B33:O141 V1:W1 S1:U4 Q6:Q45 X6:Z1048576 V2:XFD4 R6:V46 A1:P2 R1:R2</xm:sqref>
        </x14:conditionalFormatting>
        <x14:conditionalFormatting xmlns:xm="http://schemas.microsoft.com/office/excel/2006/main">
          <x14:cfRule type="expression" priority="12" id="{4DADBD3D-0766-4CE2-83A1-DE2AC3295260}">
            <xm:f>Security!$A$1="NO VBA"</xm:f>
            <x14:dxf>
              <font>
                <color theme="0"/>
              </font>
              <border>
                <vertical/>
                <horizontal/>
              </border>
            </x14:dxf>
          </x14:cfRule>
          <xm:sqref>V5</xm:sqref>
        </x14:conditionalFormatting>
        <x14:conditionalFormatting xmlns:xm="http://schemas.microsoft.com/office/excel/2006/main">
          <x14:cfRule type="expression" priority="11" id="{F8F177BC-0617-4B1D-865F-B06DFB944222}">
            <xm:f>Security!$A$1="NO VBA"</xm:f>
            <x14:dxf>
              <font>
                <color theme="0"/>
              </font>
              <border>
                <vertical/>
                <horizontal/>
              </border>
            </x14:dxf>
          </x14:cfRule>
          <xm:sqref>Z5</xm:sqref>
        </x14:conditionalFormatting>
        <x14:conditionalFormatting xmlns:xm="http://schemas.microsoft.com/office/excel/2006/main">
          <x14:cfRule type="expression" priority="10" id="{593DBDB1-6C15-4492-B086-A4D535D57A29}">
            <xm:f>Security!$A$1="NO VBA"</xm:f>
            <x14:dxf>
              <font>
                <color theme="0"/>
              </font>
              <border>
                <vertical/>
                <horizontal/>
              </border>
            </x14:dxf>
          </x14:cfRule>
          <xm:sqref>Q5:U5</xm:sqref>
        </x14:conditionalFormatting>
        <x14:conditionalFormatting xmlns:xm="http://schemas.microsoft.com/office/excel/2006/main">
          <x14:cfRule type="expression" priority="9" id="{A29D879D-8CAA-4F1B-8592-B0374AC2F983}">
            <xm:f>Security!$A$1="NO VBA"</xm:f>
            <x14:dxf>
              <font>
                <color theme="0"/>
              </font>
              <border>
                <vertical/>
                <horizontal/>
              </border>
            </x14:dxf>
          </x14:cfRule>
          <xm:sqref>X5:Y5</xm:sqref>
        </x14:conditionalFormatting>
        <x14:conditionalFormatting xmlns:xm="http://schemas.microsoft.com/office/excel/2006/main">
          <x14:cfRule type="expression" priority="8" id="{519DD428-B7D5-4326-87D4-6E6F4C519500}">
            <xm:f>Security!$A$1="NO VBA"</xm:f>
            <x14:dxf>
              <font>
                <color theme="0"/>
              </font>
              <border>
                <vertical/>
                <horizontal/>
              </border>
            </x14:dxf>
          </x14:cfRule>
          <xm:sqref>B5</xm:sqref>
        </x14:conditionalFormatting>
        <x14:conditionalFormatting xmlns:xm="http://schemas.microsoft.com/office/excel/2006/main">
          <x14:cfRule type="expression" priority="1" id="{C3FB88D9-121E-43F0-A3FA-2CD876A4778F}">
            <xm:f>Security!$A$1="NO VBA"</xm:f>
            <x14:dxf>
              <font>
                <color theme="0"/>
              </font>
              <border>
                <vertical/>
                <horizontal/>
              </border>
            </x14:dxf>
          </x14:cfRule>
          <xm:sqref>B148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  
</file>

<file path=customXml/item2.xml>�� � � � � 
</file>

<file path=customXml/item3.xml>�� 
</file>

<file path=customXml/item4.xml>��   
</file>

<file path=customXml/item5.xml>�� � � �n   v � �  s u � �  l � � � � �n   v � �  s u � �  l � � 
</file>

<file path=customXml/item6.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7.xml>�� �� �i   t �� � �� �t   � � �  l � � �  l �� �  t � � �� �i   t �� � �� �t   � � �  l � � �  l �� �  t � � 
</file>

<file path=customXml/item8.xml>�� 
</file>

<file path=customXml/item9.xml>��   
</file>

<file path=customXml/item10.xml>��   
</file>

<file path=customXml/item11.xml>�� �n   �u   t � �n   �u   t � �  �u   t � �i   h � �  �  �u   t � �   � �n   �u   t � �n   �u   t � �  �u   t � �i   h � �  �  �u   t � �   � 
</file>

<file path=customXml/item12.xml>��   
</file>

<file path=customXml/item13.xml>�� � � � �� �  l � � � � i �m   s �  d � � �n   c � � �p    � � � � i � �  d �  �  �  �  �  l ��  �  � �  l � � � � � � �� �  l � � � � i �m   s �  d � � �n   c � � �p    � � � � i � �  d �  �  �  �  �  l ��  �  � �  l � � � 
</file>

<file path=customXml/item14.xml>�� 
</file>

<file path=customXml/item15.xml>�� � � � � � � � � � � 
</file>

<file path=customXml/item16.xml>��   
</file>

<file path=customXml/item17.xml>��   
</file>

<file path=customXml/item18.xml>��   
</file>

<file path=customXml/item19.xml>��   
</file>

<file path=customXml/item20.xml>�� �  �� �i   t �� � �� �t   � � �  l � � �  l �� �  t � � � � �n   v � �  s u � �  l � � � � � i � �  d � i �m   s �  d � �� �  l � � � � � �n   c � � � � � �  l � � � � �p     �  �  �  �  l ��  �  � 
</file>

<file path=customXml/item21.xml>��   
</file>

<file path=customXml/itemProps1.xml><?xml version="1.0" encoding="utf-8"?>
<ds:datastoreItem xmlns:ds="http://schemas.openxmlformats.org/officeDocument/2006/customXml" ds:itemID="{0B9C3544-1C46-45A4-BEB6-1CE4D6559900}">
  <ds:schemaRefs/>
</ds:datastoreItem>
</file>

<file path=customXml/itemProps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5.xml><?xml version="1.0" encoding="utf-8"?>
<ds:datastoreItem xmlns:ds="http://schemas.openxmlformats.org/officeDocument/2006/customXml" ds:itemID="{584F28E9-849A-497A-B7B7-AE2BAA06EB0A}">
  <ds:schemaRefs/>
</ds:datastoreItem>
</file>

<file path=customXml/itemProps6.xml><?xml version="1.0" encoding="utf-8"?>
<ds:datastoreItem xmlns:ds="http://schemas.openxmlformats.org/officeDocument/2006/customXml" ds:itemID="{191B7BA9-1DA0-4A1F-92C6-58CED33D8FBA}">
  <ds:schemaRefs/>
</ds:datastoreItem>
</file>

<file path=customXml/itemProps7.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9.xml><?xml version="1.0" encoding="utf-8"?>
<ds:datastoreItem xmlns:ds="http://schemas.openxmlformats.org/officeDocument/2006/customXml" ds:itemID="{104A6CAF-8CC0-4F12-8051-31E2340CC4C2}">
  <ds:schemaRefs/>
</ds:datastoreItem>
</file>

<file path=customXml/itemProps10.xml><?xml version="1.0" encoding="utf-8"?>
<ds:datastoreItem xmlns:ds="http://schemas.openxmlformats.org/officeDocument/2006/customXml" ds:itemID="{9E94C942-6F7D-4A68-9432-23867B043DC6}">
  <ds:schemaRefs/>
</ds:datastoreItem>
</file>

<file path=customXml/itemProps11.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2.xml><?xml version="1.0" encoding="utf-8"?>
<ds:datastoreItem xmlns:ds="http://schemas.openxmlformats.org/officeDocument/2006/customXml" ds:itemID="{A849B9D7-188B-48DA-AB5B-54583621621D}">
  <ds:schemaRefs/>
</ds:datastoreItem>
</file>

<file path=customXml/itemProps13.xml><?xml version="1.0" encoding="utf-8"?>
<ds:datastoreItem xmlns:ds="http://schemas.openxmlformats.org/officeDocument/2006/customXml" ds:itemID="{1878C8EF-93C6-4493-B3A1-62EC837691DB}">
  <ds:schemaRefs/>
</ds:datastoreItem>
</file>

<file path=customXml/itemProps1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5.xml><?xml version="1.0" encoding="utf-8"?>
<ds:datastoreItem xmlns:ds="http://schemas.openxmlformats.org/officeDocument/2006/customXml" ds:itemID="{01740693-DF8D-48A7-957D-FF5E30362565}">
  <ds:schemaRefs/>
</ds:datastoreItem>
</file>

<file path=customXml/itemProps16.xml><?xml version="1.0" encoding="utf-8"?>
<ds:datastoreItem xmlns:ds="http://schemas.openxmlformats.org/officeDocument/2006/customXml" ds:itemID="{4BA9E5F1-90AC-490B-B178-7C8B339E1A47}">
  <ds:schemaRefs/>
</ds:datastoreItem>
</file>

<file path=customXml/itemProps17.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9.xml><?xml version="1.0" encoding="utf-8"?>
<ds:datastoreItem xmlns:ds="http://schemas.openxmlformats.org/officeDocument/2006/customXml" ds:itemID="{339EBD31-34FE-48FA-B11C-5697D02F64AC}">
  <ds:schemaRefs/>
</ds:datastoreItem>
</file>

<file path=customXml/itemProps20.xml><?xml version="1.0" encoding="utf-8"?>
<ds:datastoreItem xmlns:ds="http://schemas.openxmlformats.org/officeDocument/2006/customXml" ds:itemID="{06903EA6-24B6-482A-8718-123CC552769D}">
  <ds:schemaRefs/>
</ds:datastoreItem>
</file>

<file path=customXml/itemProps2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EULA</vt:lpstr>
      <vt:lpstr>DiemHoaVon_NamKeHoach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2025-06-02T15:35:30Z</cp:lastPrinted>
  <dcterms:created xsi:type="dcterms:W3CDTF">2024-12-23T06:08:32Z</dcterms:created>
  <dcterms:modified xsi:type="dcterms:W3CDTF">2025-06-04T03:50:03Z</dcterms:modified>
  <cp:category/>
  <cp:contentStatus/>
</cp:coreProperties>
</file>