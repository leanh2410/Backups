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8F5798A2-1DD4-498A-9D9D-704DC9482AB7}" xr6:coauthVersionLast="47" xr6:coauthVersionMax="47" xr10:uidLastSave="{00000000-0000-0000-0000-000000000000}"/>
  <bookViews>
    <workbookView xWindow="0" yWindow="30" windowWidth="28770" windowHeight="15450" tabRatio="717" firstSheet="1" activeTab="1" xr2:uid="{B2DA85E2-969C-4F09-941C-CE16CCFE9D56}"/>
  </bookViews>
  <sheets>
    <sheet name="Security" sheetId="79" state="veryHidden" r:id="rId1"/>
    <sheet name="EULA" sheetId="77" r:id="rId2"/>
    <sheet name="Quản lý bán hàng" sheetId="2" r:id="rId3"/>
  </sheets>
  <functionGroups builtInGroupCount="19"/>
  <definedNames>
    <definedName name="_xleta.AVERAGEIF"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Table_SKU[Mã Sản phẩm]</definedName>
    <definedName name="MaChuongTrinh">#REF!</definedName>
    <definedName name="MaCoDong">#REF!</definedName>
    <definedName name="MaDauTu">#REF!</definedName>
    <definedName name="MaDonBan">Table_DonBan[Mã đơn bán]</definedName>
    <definedName name="MaDonMua">#REF!</definedName>
    <definedName name="MaIn">#REF!</definedName>
    <definedName name="MaKenh">Table_Kenh[Kênh]</definedName>
    <definedName name="MaKhachHang">Table_KhachHang[Mã khách]</definedName>
    <definedName name="MaKho">#REF!</definedName>
    <definedName name="MaKhoanVay">#REF!</definedName>
    <definedName name="MaNguyenLieu">#REF!</definedName>
    <definedName name="MaNhaCungCap">#REF!</definedName>
    <definedName name="MaNhanVien">Table_NhanVien[Nhân viên]</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'Quản lý bán hàng'!$AP$32:$AP$1048576</definedName>
    <definedName name="ThanhPham_PhanLoai">'Quản lý bán hàng'!$AR$32:$AR$1048576</definedName>
    <definedName name="ThanhPham_PhanNhom">'Quản lý bán hàng'!#REF!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B33" i="2" l="1"/>
  <c r="BB34" i="2"/>
  <c r="BB35" i="2"/>
  <c r="BB36" i="2"/>
  <c r="BB37" i="2"/>
  <c r="BB38" i="2"/>
  <c r="BB39" i="2"/>
  <c r="BX33" i="2"/>
  <c r="BX34" i="2"/>
  <c r="BX35" i="2"/>
  <c r="BX36" i="2"/>
  <c r="BX37" i="2"/>
  <c r="BX38" i="2"/>
  <c r="BX39" i="2"/>
  <c r="BX40" i="2"/>
  <c r="BX41" i="2"/>
  <c r="BX42" i="2"/>
  <c r="BX43" i="2"/>
  <c r="BX44" i="2"/>
  <c r="BX45" i="2"/>
  <c r="BX46" i="2"/>
  <c r="BX47" i="2"/>
  <c r="BX48" i="2"/>
  <c r="BX49" i="2"/>
  <c r="BX50" i="2"/>
  <c r="BX51" i="2"/>
  <c r="BX52" i="2"/>
  <c r="BX53" i="2"/>
  <c r="BX54" i="2"/>
  <c r="BX55" i="2"/>
  <c r="BX56" i="2"/>
  <c r="BX57" i="2"/>
  <c r="BX58" i="2"/>
  <c r="BX59" i="2"/>
  <c r="BX60" i="2"/>
  <c r="BX61" i="2"/>
  <c r="BX62" i="2"/>
  <c r="BX63" i="2"/>
  <c r="BX64" i="2"/>
  <c r="BX65" i="2"/>
  <c r="BX66" i="2"/>
  <c r="BX67" i="2"/>
  <c r="BX68" i="2"/>
  <c r="BX69" i="2"/>
  <c r="BX70" i="2"/>
  <c r="BX71" i="2"/>
  <c r="BX72" i="2"/>
  <c r="BX73" i="2"/>
  <c r="BX74" i="2"/>
  <c r="BX75" i="2"/>
  <c r="BX76" i="2"/>
  <c r="BX77" i="2"/>
  <c r="BX78" i="2"/>
  <c r="BX79" i="2"/>
  <c r="BX80" i="2"/>
  <c r="BX81" i="2"/>
  <c r="BX82" i="2"/>
  <c r="BX83" i="2"/>
  <c r="BX84" i="2"/>
  <c r="BX85" i="2"/>
  <c r="BX86" i="2"/>
  <c r="BX87" i="2"/>
  <c r="BX88" i="2"/>
  <c r="BX89" i="2"/>
  <c r="BX90" i="2"/>
  <c r="BX91" i="2"/>
  <c r="BX92" i="2"/>
  <c r="BX93" i="2"/>
  <c r="BX94" i="2"/>
  <c r="BX95" i="2"/>
  <c r="BX96" i="2"/>
  <c r="BX97" i="2"/>
  <c r="BX98" i="2"/>
  <c r="BX99" i="2"/>
  <c r="BX100" i="2"/>
  <c r="BX101" i="2"/>
  <c r="BX102" i="2"/>
  <c r="BX103" i="2"/>
  <c r="BX104" i="2"/>
  <c r="BX105" i="2"/>
  <c r="BX106" i="2"/>
  <c r="BX107" i="2"/>
  <c r="BX108" i="2"/>
  <c r="BX109" i="2"/>
  <c r="BX110" i="2"/>
  <c r="BX111" i="2"/>
  <c r="BX112" i="2"/>
  <c r="BX113" i="2"/>
  <c r="BX114" i="2"/>
  <c r="BX115" i="2"/>
  <c r="BX116" i="2"/>
  <c r="BX117" i="2"/>
  <c r="BX118" i="2"/>
  <c r="BX119" i="2"/>
  <c r="BX120" i="2"/>
  <c r="BX121" i="2"/>
  <c r="BX122" i="2"/>
  <c r="BX123" i="2"/>
  <c r="BX124" i="2"/>
  <c r="BX125" i="2"/>
  <c r="BX126" i="2"/>
  <c r="BX127" i="2"/>
  <c r="BX128" i="2"/>
  <c r="BX129" i="2"/>
  <c r="BX130" i="2"/>
  <c r="BX131" i="2"/>
  <c r="BX132" i="2"/>
  <c r="BX133" i="2"/>
  <c r="BX134" i="2"/>
  <c r="BX135" i="2"/>
  <c r="BX136" i="2"/>
  <c r="BX137" i="2"/>
  <c r="BX138" i="2"/>
  <c r="BX139" i="2"/>
  <c r="BX140" i="2"/>
  <c r="BX141" i="2"/>
  <c r="BX142" i="2"/>
  <c r="BX143" i="2"/>
  <c r="BX144" i="2"/>
  <c r="BX145" i="2"/>
  <c r="BX146" i="2"/>
  <c r="BX147" i="2"/>
  <c r="BX148" i="2"/>
  <c r="BX149" i="2"/>
  <c r="BX150" i="2"/>
  <c r="BX151" i="2"/>
  <c r="BX152" i="2"/>
  <c r="BX153" i="2"/>
  <c r="BX154" i="2"/>
  <c r="BX155" i="2"/>
  <c r="BX156" i="2"/>
  <c r="BX157" i="2"/>
  <c r="BX158" i="2"/>
  <c r="BX159" i="2"/>
  <c r="BX160" i="2"/>
  <c r="BX161" i="2"/>
  <c r="BX162" i="2"/>
  <c r="BX163" i="2"/>
  <c r="BX164" i="2"/>
  <c r="BX165" i="2"/>
  <c r="BX166" i="2"/>
  <c r="BX167" i="2"/>
  <c r="BX168" i="2"/>
  <c r="BX169" i="2"/>
  <c r="BX170" i="2"/>
  <c r="BX171" i="2"/>
  <c r="BX172" i="2"/>
  <c r="BX173" i="2"/>
  <c r="BX174" i="2"/>
  <c r="BX175" i="2"/>
  <c r="BX176" i="2"/>
  <c r="BX177" i="2"/>
  <c r="BX178" i="2"/>
  <c r="BX179" i="2"/>
  <c r="BX180" i="2"/>
  <c r="BX181" i="2"/>
  <c r="BX182" i="2"/>
  <c r="BX183" i="2"/>
  <c r="BX184" i="2"/>
  <c r="BX185" i="2"/>
  <c r="BX186" i="2"/>
  <c r="BX187" i="2"/>
  <c r="BX188" i="2"/>
  <c r="BX189" i="2"/>
  <c r="BX190" i="2"/>
  <c r="BX191" i="2"/>
  <c r="BX192" i="2"/>
  <c r="BX193" i="2"/>
  <c r="BX194" i="2"/>
  <c r="BX195" i="2"/>
  <c r="BX196" i="2"/>
  <c r="BX197" i="2"/>
  <c r="BX198" i="2"/>
  <c r="BX199" i="2"/>
  <c r="BX200" i="2"/>
  <c r="BX201" i="2"/>
  <c r="BX202" i="2"/>
  <c r="BX203" i="2"/>
  <c r="BX204" i="2"/>
  <c r="BX205" i="2"/>
  <c r="BX206" i="2"/>
  <c r="BX207" i="2"/>
  <c r="BX208" i="2"/>
  <c r="BX209" i="2"/>
  <c r="BX210" i="2"/>
  <c r="BX211" i="2"/>
  <c r="BX212" i="2"/>
  <c r="BX213" i="2"/>
  <c r="BX214" i="2"/>
  <c r="BX215" i="2"/>
  <c r="BX216" i="2"/>
  <c r="BX217" i="2"/>
  <c r="BX218" i="2"/>
  <c r="BX219" i="2"/>
  <c r="BX220" i="2"/>
  <c r="BX221" i="2"/>
  <c r="BX222" i="2"/>
  <c r="BX223" i="2"/>
  <c r="BX224" i="2"/>
  <c r="BX225" i="2"/>
  <c r="BX226" i="2"/>
  <c r="BX227" i="2"/>
  <c r="BX228" i="2"/>
  <c r="BX229" i="2"/>
  <c r="BX230" i="2"/>
  <c r="BX231" i="2"/>
  <c r="BX232" i="2"/>
  <c r="BX233" i="2"/>
  <c r="BX234" i="2"/>
  <c r="BX235" i="2"/>
  <c r="BX236" i="2"/>
  <c r="BX237" i="2"/>
  <c r="BX238" i="2"/>
  <c r="BX239" i="2"/>
  <c r="BX240" i="2"/>
  <c r="BX241" i="2"/>
  <c r="BX242" i="2"/>
  <c r="BX243" i="2"/>
  <c r="CB241" i="2"/>
  <c r="CC241" i="2" s="1"/>
  <c r="CB242" i="2"/>
  <c r="CC242" i="2" s="1"/>
  <c r="CB243" i="2"/>
  <c r="CC243" i="2" s="1"/>
  <c r="CB238" i="2"/>
  <c r="CC238" i="2" s="1"/>
  <c r="CB239" i="2"/>
  <c r="CC239" i="2" s="1"/>
  <c r="CB240" i="2"/>
  <c r="CC240" i="2" s="1"/>
  <c r="CB235" i="2"/>
  <c r="CC235" i="2" s="1"/>
  <c r="CB236" i="2"/>
  <c r="CC236" i="2" s="1"/>
  <c r="CB237" i="2"/>
  <c r="CC237" i="2" s="1"/>
  <c r="CB232" i="2"/>
  <c r="CC232" i="2" s="1"/>
  <c r="CB233" i="2"/>
  <c r="CC233" i="2" s="1"/>
  <c r="CB234" i="2"/>
  <c r="CC234" i="2" s="1"/>
  <c r="CB229" i="2"/>
  <c r="CC229" i="2" s="1"/>
  <c r="CB230" i="2"/>
  <c r="CC230" i="2" s="1"/>
  <c r="CB231" i="2"/>
  <c r="CC231" i="2" s="1"/>
  <c r="CB226" i="2"/>
  <c r="CC226" i="2" s="1"/>
  <c r="CB227" i="2"/>
  <c r="CC227" i="2" s="1"/>
  <c r="CB228" i="2"/>
  <c r="CC228" i="2" s="1"/>
  <c r="CB223" i="2"/>
  <c r="CC223" i="2" s="1"/>
  <c r="CB224" i="2"/>
  <c r="CC224" i="2" s="1"/>
  <c r="CB225" i="2"/>
  <c r="CC225" i="2" s="1"/>
  <c r="CB220" i="2"/>
  <c r="CC220" i="2" s="1"/>
  <c r="CB221" i="2"/>
  <c r="CC221" i="2" s="1"/>
  <c r="CB222" i="2"/>
  <c r="CC222" i="2" s="1"/>
  <c r="CB217" i="2"/>
  <c r="CC217" i="2" s="1"/>
  <c r="CB218" i="2"/>
  <c r="CC218" i="2" s="1"/>
  <c r="CB219" i="2"/>
  <c r="CC219" i="2" s="1"/>
  <c r="CB214" i="2"/>
  <c r="CC214" i="2" s="1"/>
  <c r="CB215" i="2"/>
  <c r="CC215" i="2" s="1"/>
  <c r="CB216" i="2"/>
  <c r="CC216" i="2" s="1"/>
  <c r="CB211" i="2"/>
  <c r="CC211" i="2" s="1"/>
  <c r="CB212" i="2"/>
  <c r="CC212" i="2" s="1"/>
  <c r="CB213" i="2"/>
  <c r="CC213" i="2" s="1"/>
  <c r="CB208" i="2"/>
  <c r="CC208" i="2" s="1"/>
  <c r="CB209" i="2"/>
  <c r="CC209" i="2" s="1"/>
  <c r="CB210" i="2"/>
  <c r="CC210" i="2" s="1"/>
  <c r="CB205" i="2"/>
  <c r="CC205" i="2" s="1"/>
  <c r="CB206" i="2"/>
  <c r="CC206" i="2" s="1"/>
  <c r="CB207" i="2"/>
  <c r="CC207" i="2" s="1"/>
  <c r="CB202" i="2"/>
  <c r="CC202" i="2" s="1"/>
  <c r="CB203" i="2"/>
  <c r="CC203" i="2" s="1"/>
  <c r="CB204" i="2"/>
  <c r="CC204" i="2" s="1"/>
  <c r="CB199" i="2"/>
  <c r="CC199" i="2" s="1"/>
  <c r="CB200" i="2"/>
  <c r="CC200" i="2" s="1"/>
  <c r="CB201" i="2"/>
  <c r="CC201" i="2" s="1"/>
  <c r="CB196" i="2"/>
  <c r="CC196" i="2" s="1"/>
  <c r="CB197" i="2"/>
  <c r="CC197" i="2" s="1"/>
  <c r="CB198" i="2"/>
  <c r="CC198" i="2" s="1"/>
  <c r="CB193" i="2"/>
  <c r="CC193" i="2" s="1"/>
  <c r="CB194" i="2"/>
  <c r="CC194" i="2" s="1"/>
  <c r="CB195" i="2"/>
  <c r="CC195" i="2" s="1"/>
  <c r="CB190" i="2"/>
  <c r="CC190" i="2" s="1"/>
  <c r="CB191" i="2"/>
  <c r="CC191" i="2" s="1"/>
  <c r="CB192" i="2"/>
  <c r="CC192" i="2" s="1"/>
  <c r="CB187" i="2"/>
  <c r="CC187" i="2" s="1"/>
  <c r="CB188" i="2"/>
  <c r="CC188" i="2" s="1"/>
  <c r="CB189" i="2"/>
  <c r="CC189" i="2" s="1"/>
  <c r="CB184" i="2"/>
  <c r="CC184" i="2" s="1"/>
  <c r="CB185" i="2"/>
  <c r="CC185" i="2" s="1"/>
  <c r="CB186" i="2"/>
  <c r="CC186" i="2" s="1"/>
  <c r="CB181" i="2"/>
  <c r="CC181" i="2" s="1"/>
  <c r="CB182" i="2"/>
  <c r="CC182" i="2" s="1"/>
  <c r="CB183" i="2"/>
  <c r="CC183" i="2" s="1"/>
  <c r="CB178" i="2"/>
  <c r="CC178" i="2" s="1"/>
  <c r="CB179" i="2"/>
  <c r="CC179" i="2" s="1"/>
  <c r="CB180" i="2"/>
  <c r="CC180" i="2" s="1"/>
  <c r="CB175" i="2"/>
  <c r="CC175" i="2" s="1"/>
  <c r="CB176" i="2"/>
  <c r="CC176" i="2" s="1"/>
  <c r="CB177" i="2"/>
  <c r="CC177" i="2" s="1"/>
  <c r="CB172" i="2"/>
  <c r="CC172" i="2" s="1"/>
  <c r="CB173" i="2"/>
  <c r="CC173" i="2" s="1"/>
  <c r="CB174" i="2"/>
  <c r="CC174" i="2" s="1"/>
  <c r="CB168" i="2"/>
  <c r="CC168" i="2" s="1"/>
  <c r="CB169" i="2"/>
  <c r="CC169" i="2" s="1"/>
  <c r="CB170" i="2"/>
  <c r="CC170" i="2" s="1"/>
  <c r="CB165" i="2"/>
  <c r="CC165" i="2" s="1"/>
  <c r="CB166" i="2"/>
  <c r="CC166" i="2" s="1"/>
  <c r="CB167" i="2"/>
  <c r="CC167" i="2" s="1"/>
  <c r="CB171" i="2"/>
  <c r="CC171" i="2" s="1"/>
  <c r="CB162" i="2"/>
  <c r="CC162" i="2" s="1"/>
  <c r="CB163" i="2"/>
  <c r="CC163" i="2" s="1"/>
  <c r="CB164" i="2"/>
  <c r="CC164" i="2" s="1"/>
  <c r="CB159" i="2"/>
  <c r="CC159" i="2" s="1"/>
  <c r="CB160" i="2"/>
  <c r="CC160" i="2" s="1"/>
  <c r="CB161" i="2"/>
  <c r="CC161" i="2" s="1"/>
  <c r="CB156" i="2"/>
  <c r="CC156" i="2" s="1"/>
  <c r="CB157" i="2"/>
  <c r="CC157" i="2" s="1"/>
  <c r="CB158" i="2"/>
  <c r="CC158" i="2" s="1"/>
  <c r="CB153" i="2"/>
  <c r="CC153" i="2" s="1"/>
  <c r="CB154" i="2"/>
  <c r="CC154" i="2" s="1"/>
  <c r="CB155" i="2"/>
  <c r="CC155" i="2" s="1"/>
  <c r="CB150" i="2"/>
  <c r="CC150" i="2" s="1"/>
  <c r="CB151" i="2"/>
  <c r="CC151" i="2" s="1"/>
  <c r="CB152" i="2"/>
  <c r="CC152" i="2" s="1"/>
  <c r="CB147" i="2"/>
  <c r="CC147" i="2" s="1"/>
  <c r="CB148" i="2"/>
  <c r="CC148" i="2" s="1"/>
  <c r="CB149" i="2"/>
  <c r="CC149" i="2" s="1"/>
  <c r="CB144" i="2"/>
  <c r="CC144" i="2" s="1"/>
  <c r="CB145" i="2"/>
  <c r="CC145" i="2" s="1"/>
  <c r="CB146" i="2"/>
  <c r="CC146" i="2" s="1"/>
  <c r="CB141" i="2"/>
  <c r="CC141" i="2" s="1"/>
  <c r="CB142" i="2"/>
  <c r="CC142" i="2" s="1"/>
  <c r="CB143" i="2"/>
  <c r="CC143" i="2" s="1"/>
  <c r="CB138" i="2"/>
  <c r="CC138" i="2" s="1"/>
  <c r="CB139" i="2"/>
  <c r="CC139" i="2" s="1"/>
  <c r="CB140" i="2"/>
  <c r="CC140" i="2" s="1"/>
  <c r="CB135" i="2"/>
  <c r="CC135" i="2" s="1"/>
  <c r="CB136" i="2"/>
  <c r="CC136" i="2" s="1"/>
  <c r="CB137" i="2"/>
  <c r="CC137" i="2" s="1"/>
  <c r="CB132" i="2"/>
  <c r="CC132" i="2" s="1"/>
  <c r="CB133" i="2"/>
  <c r="CC133" i="2" s="1"/>
  <c r="CB134" i="2"/>
  <c r="CC134" i="2" s="1"/>
  <c r="CB129" i="2"/>
  <c r="CC129" i="2" s="1"/>
  <c r="CB130" i="2"/>
  <c r="CC130" i="2" s="1"/>
  <c r="CB131" i="2"/>
  <c r="CC131" i="2" s="1"/>
  <c r="CB126" i="2"/>
  <c r="CC126" i="2" s="1"/>
  <c r="CB127" i="2"/>
  <c r="CC127" i="2" s="1"/>
  <c r="CB128" i="2"/>
  <c r="CC128" i="2" s="1"/>
  <c r="CB123" i="2"/>
  <c r="CC123" i="2" s="1"/>
  <c r="CB124" i="2"/>
  <c r="CC124" i="2" s="1"/>
  <c r="CB125" i="2"/>
  <c r="CC125" i="2" s="1"/>
  <c r="CB120" i="2"/>
  <c r="CC120" i="2" s="1"/>
  <c r="CB121" i="2"/>
  <c r="CC121" i="2" s="1"/>
  <c r="CB122" i="2"/>
  <c r="CC122" i="2" s="1"/>
  <c r="CB117" i="2"/>
  <c r="CC117" i="2" s="1"/>
  <c r="CB118" i="2"/>
  <c r="CC118" i="2" s="1"/>
  <c r="CB119" i="2"/>
  <c r="CC119" i="2" s="1"/>
  <c r="CB114" i="2"/>
  <c r="CC114" i="2" s="1"/>
  <c r="CB115" i="2"/>
  <c r="CC115" i="2" s="1"/>
  <c r="CB116" i="2"/>
  <c r="CC116" i="2" s="1"/>
  <c r="CB111" i="2"/>
  <c r="CC111" i="2" s="1"/>
  <c r="CB112" i="2"/>
  <c r="CC112" i="2" s="1"/>
  <c r="CB113" i="2"/>
  <c r="CC113" i="2" s="1"/>
  <c r="CB108" i="2"/>
  <c r="CC108" i="2" s="1"/>
  <c r="CB109" i="2"/>
  <c r="CC109" i="2" s="1"/>
  <c r="CB110" i="2"/>
  <c r="CC110" i="2" s="1"/>
  <c r="CB105" i="2"/>
  <c r="CC105" i="2" s="1"/>
  <c r="CB106" i="2"/>
  <c r="CC106" i="2" s="1"/>
  <c r="CB107" i="2"/>
  <c r="CC107" i="2" s="1"/>
  <c r="CB102" i="2"/>
  <c r="CC102" i="2" s="1"/>
  <c r="CB103" i="2"/>
  <c r="CC103" i="2" s="1"/>
  <c r="CB104" i="2"/>
  <c r="CC104" i="2" s="1"/>
  <c r="CB99" i="2"/>
  <c r="CC99" i="2" s="1"/>
  <c r="CB100" i="2"/>
  <c r="CC100" i="2" s="1"/>
  <c r="CB101" i="2"/>
  <c r="CC101" i="2" s="1"/>
  <c r="CB96" i="2"/>
  <c r="CC96" i="2" s="1"/>
  <c r="CB97" i="2"/>
  <c r="CC97" i="2" s="1"/>
  <c r="CB98" i="2"/>
  <c r="CC98" i="2" s="1"/>
  <c r="CB93" i="2"/>
  <c r="CC93" i="2" s="1"/>
  <c r="CB94" i="2"/>
  <c r="CC94" i="2" s="1"/>
  <c r="CB95" i="2"/>
  <c r="CC95" i="2" s="1"/>
  <c r="CB90" i="2"/>
  <c r="CC90" i="2" s="1"/>
  <c r="CB91" i="2"/>
  <c r="CC91" i="2" s="1"/>
  <c r="CB92" i="2"/>
  <c r="CC92" i="2" s="1"/>
  <c r="CB87" i="2"/>
  <c r="CC87" i="2" s="1"/>
  <c r="CB88" i="2"/>
  <c r="CC88" i="2" s="1"/>
  <c r="CB89" i="2"/>
  <c r="CC89" i="2" s="1"/>
  <c r="CB84" i="2"/>
  <c r="CC84" i="2" s="1"/>
  <c r="CB85" i="2"/>
  <c r="CC85" i="2" s="1"/>
  <c r="CB86" i="2"/>
  <c r="CC86" i="2" s="1"/>
  <c r="CB81" i="2"/>
  <c r="CC81" i="2" s="1"/>
  <c r="CB82" i="2"/>
  <c r="CC82" i="2" s="1"/>
  <c r="CB83" i="2"/>
  <c r="CC83" i="2" s="1"/>
  <c r="CB78" i="2"/>
  <c r="CC78" i="2" s="1"/>
  <c r="CB79" i="2"/>
  <c r="CC79" i="2" s="1"/>
  <c r="CB80" i="2"/>
  <c r="CC80" i="2" s="1"/>
  <c r="CB75" i="2"/>
  <c r="CC75" i="2" s="1"/>
  <c r="CB76" i="2"/>
  <c r="CC76" i="2" s="1"/>
  <c r="CB77" i="2"/>
  <c r="CC77" i="2" s="1"/>
  <c r="CB72" i="2"/>
  <c r="CC72" i="2" s="1"/>
  <c r="CB73" i="2"/>
  <c r="CC73" i="2" s="1"/>
  <c r="CB74" i="2"/>
  <c r="CC74" i="2" s="1"/>
  <c r="CB69" i="2"/>
  <c r="CC69" i="2" s="1"/>
  <c r="CB70" i="2"/>
  <c r="CC70" i="2" s="1"/>
  <c r="CB71" i="2"/>
  <c r="CC71" i="2" s="1"/>
  <c r="CB66" i="2"/>
  <c r="CC66" i="2" s="1"/>
  <c r="CB67" i="2"/>
  <c r="CC67" i="2" s="1"/>
  <c r="CB68" i="2"/>
  <c r="CC68" i="2" s="1"/>
  <c r="CB63" i="2"/>
  <c r="CC63" i="2" s="1"/>
  <c r="CB64" i="2"/>
  <c r="CC64" i="2" s="1"/>
  <c r="CB65" i="2"/>
  <c r="CC65" i="2" s="1"/>
  <c r="CB60" i="2"/>
  <c r="CC60" i="2" s="1"/>
  <c r="CB61" i="2"/>
  <c r="CC61" i="2" s="1"/>
  <c r="CB62" i="2"/>
  <c r="CC62" i="2" s="1"/>
  <c r="CB57" i="2"/>
  <c r="CC57" i="2" s="1"/>
  <c r="CB58" i="2"/>
  <c r="CC58" i="2" s="1"/>
  <c r="CB59" i="2"/>
  <c r="CC59" i="2" s="1"/>
  <c r="CB54" i="2"/>
  <c r="CC54" i="2" s="1"/>
  <c r="CB55" i="2"/>
  <c r="CC55" i="2" s="1"/>
  <c r="CB56" i="2"/>
  <c r="CC56" i="2" s="1"/>
  <c r="CB51" i="2"/>
  <c r="CC51" i="2" s="1"/>
  <c r="CB52" i="2"/>
  <c r="CC52" i="2" s="1"/>
  <c r="CB53" i="2"/>
  <c r="CC53" i="2" s="1"/>
  <c r="CB48" i="2"/>
  <c r="CC48" i="2" s="1"/>
  <c r="CB49" i="2"/>
  <c r="CC49" i="2" s="1"/>
  <c r="CB50" i="2"/>
  <c r="CC50" i="2" s="1"/>
  <c r="CB45" i="2"/>
  <c r="CC45" i="2" s="1"/>
  <c r="CB46" i="2"/>
  <c r="CC46" i="2" s="1"/>
  <c r="CB47" i="2"/>
  <c r="CC47" i="2" s="1"/>
  <c r="CB42" i="2"/>
  <c r="CC42" i="2" s="1"/>
  <c r="CB43" i="2"/>
  <c r="CC43" i="2" s="1"/>
  <c r="CB44" i="2"/>
  <c r="CC44" i="2" s="1"/>
  <c r="CB39" i="2"/>
  <c r="CC39" i="2" s="1"/>
  <c r="CB40" i="2"/>
  <c r="CC40" i="2" s="1"/>
  <c r="CB41" i="2"/>
  <c r="CC41" i="2" s="1"/>
  <c r="CB36" i="2"/>
  <c r="CC36" i="2" s="1"/>
  <c r="CB37" i="2"/>
  <c r="CC37" i="2" s="1"/>
  <c r="CB38" i="2"/>
  <c r="CC38" i="2" s="1"/>
  <c r="CB35" i="2"/>
  <c r="CC35" i="2" s="1"/>
  <c r="CA241" i="2"/>
  <c r="CA242" i="2"/>
  <c r="CA243" i="2"/>
  <c r="CA238" i="2"/>
  <c r="CA239" i="2"/>
  <c r="CA240" i="2"/>
  <c r="CA235" i="2"/>
  <c r="CA236" i="2"/>
  <c r="CA237" i="2"/>
  <c r="CA232" i="2"/>
  <c r="CA233" i="2"/>
  <c r="CA234" i="2"/>
  <c r="CA229" i="2"/>
  <c r="CA230" i="2"/>
  <c r="CA231" i="2"/>
  <c r="CA226" i="2"/>
  <c r="CA227" i="2"/>
  <c r="CA228" i="2"/>
  <c r="CA223" i="2"/>
  <c r="CA224" i="2"/>
  <c r="CA225" i="2"/>
  <c r="CA220" i="2"/>
  <c r="CA221" i="2"/>
  <c r="CA222" i="2"/>
  <c r="CA217" i="2"/>
  <c r="CA218" i="2"/>
  <c r="CA219" i="2"/>
  <c r="CA214" i="2"/>
  <c r="CA215" i="2"/>
  <c r="CA216" i="2"/>
  <c r="CA211" i="2"/>
  <c r="CA212" i="2"/>
  <c r="CA213" i="2"/>
  <c r="CA208" i="2"/>
  <c r="CA209" i="2"/>
  <c r="CA210" i="2"/>
  <c r="CA205" i="2"/>
  <c r="CA206" i="2"/>
  <c r="CA207" i="2"/>
  <c r="CA202" i="2"/>
  <c r="CA203" i="2"/>
  <c r="CA204" i="2"/>
  <c r="CA199" i="2"/>
  <c r="CA200" i="2"/>
  <c r="CA201" i="2"/>
  <c r="CA196" i="2"/>
  <c r="CA197" i="2"/>
  <c r="CA198" i="2"/>
  <c r="CA193" i="2"/>
  <c r="CA194" i="2"/>
  <c r="CA195" i="2"/>
  <c r="CA190" i="2"/>
  <c r="CA191" i="2"/>
  <c r="CA192" i="2"/>
  <c r="CA187" i="2"/>
  <c r="CA188" i="2"/>
  <c r="CA189" i="2"/>
  <c r="CA184" i="2"/>
  <c r="CA185" i="2"/>
  <c r="CA186" i="2"/>
  <c r="CA181" i="2"/>
  <c r="CA182" i="2"/>
  <c r="CA183" i="2"/>
  <c r="CA178" i="2"/>
  <c r="CA179" i="2"/>
  <c r="CA180" i="2"/>
  <c r="CA175" i="2"/>
  <c r="CA176" i="2"/>
  <c r="CA177" i="2"/>
  <c r="CA172" i="2"/>
  <c r="CA173" i="2"/>
  <c r="CA174" i="2"/>
  <c r="CA168" i="2"/>
  <c r="CA169" i="2"/>
  <c r="CA170" i="2"/>
  <c r="CA165" i="2"/>
  <c r="CA166" i="2"/>
  <c r="CA167" i="2"/>
  <c r="CA171" i="2"/>
  <c r="CA162" i="2"/>
  <c r="CA163" i="2"/>
  <c r="CA164" i="2"/>
  <c r="CA159" i="2"/>
  <c r="CA160" i="2"/>
  <c r="CA161" i="2"/>
  <c r="CA156" i="2"/>
  <c r="CA157" i="2"/>
  <c r="CA158" i="2"/>
  <c r="CA153" i="2"/>
  <c r="CA154" i="2"/>
  <c r="CA155" i="2"/>
  <c r="CA150" i="2"/>
  <c r="CA151" i="2"/>
  <c r="CA152" i="2"/>
  <c r="CA147" i="2"/>
  <c r="CA148" i="2"/>
  <c r="CA149" i="2"/>
  <c r="CA144" i="2"/>
  <c r="CA145" i="2"/>
  <c r="CA146" i="2"/>
  <c r="CA141" i="2"/>
  <c r="CA142" i="2"/>
  <c r="CA143" i="2"/>
  <c r="CA138" i="2"/>
  <c r="CA139" i="2"/>
  <c r="CA140" i="2"/>
  <c r="CA135" i="2"/>
  <c r="CA136" i="2"/>
  <c r="CA137" i="2"/>
  <c r="CA132" i="2"/>
  <c r="CA133" i="2"/>
  <c r="CA134" i="2"/>
  <c r="CA129" i="2"/>
  <c r="CA130" i="2"/>
  <c r="CA131" i="2"/>
  <c r="CA126" i="2"/>
  <c r="CA127" i="2"/>
  <c r="CA128" i="2"/>
  <c r="CA123" i="2"/>
  <c r="CA124" i="2"/>
  <c r="CA125" i="2"/>
  <c r="CA120" i="2"/>
  <c r="CA121" i="2"/>
  <c r="CA122" i="2"/>
  <c r="CA117" i="2"/>
  <c r="CA118" i="2"/>
  <c r="CA119" i="2"/>
  <c r="CA114" i="2"/>
  <c r="CA115" i="2"/>
  <c r="CA116" i="2"/>
  <c r="CA111" i="2"/>
  <c r="CA112" i="2"/>
  <c r="CA113" i="2"/>
  <c r="CA108" i="2"/>
  <c r="CA109" i="2"/>
  <c r="CA110" i="2"/>
  <c r="CA105" i="2"/>
  <c r="CA106" i="2"/>
  <c r="CA107" i="2"/>
  <c r="CA102" i="2"/>
  <c r="CA103" i="2"/>
  <c r="CA104" i="2"/>
  <c r="CA99" i="2"/>
  <c r="CA100" i="2"/>
  <c r="CA101" i="2"/>
  <c r="CA96" i="2"/>
  <c r="CA97" i="2"/>
  <c r="CA98" i="2"/>
  <c r="CA93" i="2"/>
  <c r="CA94" i="2"/>
  <c r="CA95" i="2"/>
  <c r="CA90" i="2"/>
  <c r="CA91" i="2"/>
  <c r="CA92" i="2"/>
  <c r="CA87" i="2"/>
  <c r="CA88" i="2"/>
  <c r="CA89" i="2"/>
  <c r="CA84" i="2"/>
  <c r="CA85" i="2"/>
  <c r="CA86" i="2"/>
  <c r="CA81" i="2"/>
  <c r="CA82" i="2"/>
  <c r="CA83" i="2"/>
  <c r="CA78" i="2"/>
  <c r="CA79" i="2"/>
  <c r="CA80" i="2"/>
  <c r="CA75" i="2"/>
  <c r="CA76" i="2"/>
  <c r="CA77" i="2"/>
  <c r="CA72" i="2"/>
  <c r="CA73" i="2"/>
  <c r="CA74" i="2"/>
  <c r="CA69" i="2"/>
  <c r="CA70" i="2"/>
  <c r="CA71" i="2"/>
  <c r="CA66" i="2"/>
  <c r="CA67" i="2"/>
  <c r="CA68" i="2"/>
  <c r="CA63" i="2"/>
  <c r="CA64" i="2"/>
  <c r="CA65" i="2"/>
  <c r="CA60" i="2"/>
  <c r="CA61" i="2"/>
  <c r="CA62" i="2"/>
  <c r="CA57" i="2"/>
  <c r="CA58" i="2"/>
  <c r="CA59" i="2"/>
  <c r="CA54" i="2"/>
  <c r="CA55" i="2"/>
  <c r="CA56" i="2"/>
  <c r="CA51" i="2"/>
  <c r="CA52" i="2"/>
  <c r="CA53" i="2"/>
  <c r="CA48" i="2"/>
  <c r="CA49" i="2"/>
  <c r="CA50" i="2"/>
  <c r="CA45" i="2"/>
  <c r="CA46" i="2"/>
  <c r="CA47" i="2"/>
  <c r="CA42" i="2"/>
  <c r="CA43" i="2"/>
  <c r="CA44" i="2"/>
  <c r="CA39" i="2"/>
  <c r="CA40" i="2"/>
  <c r="CA41" i="2"/>
  <c r="CA36" i="2"/>
  <c r="CA37" i="2"/>
  <c r="CA38" i="2"/>
  <c r="CA35" i="2"/>
  <c r="BY241" i="2"/>
  <c r="BZ241" i="2" s="1"/>
  <c r="BY242" i="2"/>
  <c r="BZ242" i="2" s="1"/>
  <c r="BY243" i="2"/>
  <c r="BZ243" i="2" s="1"/>
  <c r="BY238" i="2"/>
  <c r="BZ238" i="2" s="1"/>
  <c r="BY239" i="2"/>
  <c r="BZ239" i="2" s="1"/>
  <c r="BY240" i="2"/>
  <c r="BZ240" i="2" s="1"/>
  <c r="BY235" i="2"/>
  <c r="BZ235" i="2" s="1"/>
  <c r="BY236" i="2"/>
  <c r="BZ236" i="2" s="1"/>
  <c r="BY237" i="2"/>
  <c r="BZ237" i="2" s="1"/>
  <c r="BY232" i="2"/>
  <c r="BZ232" i="2" s="1"/>
  <c r="BY233" i="2"/>
  <c r="BZ233" i="2" s="1"/>
  <c r="BY234" i="2"/>
  <c r="BZ234" i="2" s="1"/>
  <c r="BY229" i="2"/>
  <c r="BZ229" i="2" s="1"/>
  <c r="BY230" i="2"/>
  <c r="BZ230" i="2" s="1"/>
  <c r="BY231" i="2"/>
  <c r="BZ231" i="2" s="1"/>
  <c r="BY226" i="2"/>
  <c r="BZ226" i="2" s="1"/>
  <c r="BY227" i="2"/>
  <c r="BZ227" i="2" s="1"/>
  <c r="BY228" i="2"/>
  <c r="BZ228" i="2" s="1"/>
  <c r="BY223" i="2"/>
  <c r="BZ223" i="2" s="1"/>
  <c r="BY224" i="2"/>
  <c r="BZ224" i="2" s="1"/>
  <c r="BY225" i="2"/>
  <c r="BZ225" i="2" s="1"/>
  <c r="BY220" i="2"/>
  <c r="BZ220" i="2" s="1"/>
  <c r="BY221" i="2"/>
  <c r="BZ221" i="2" s="1"/>
  <c r="BY222" i="2"/>
  <c r="BZ222" i="2" s="1"/>
  <c r="BY217" i="2"/>
  <c r="BZ217" i="2" s="1"/>
  <c r="BY218" i="2"/>
  <c r="BZ218" i="2" s="1"/>
  <c r="BY219" i="2"/>
  <c r="BZ219" i="2" s="1"/>
  <c r="BY214" i="2"/>
  <c r="BZ214" i="2" s="1"/>
  <c r="BY215" i="2"/>
  <c r="BZ215" i="2" s="1"/>
  <c r="BY216" i="2"/>
  <c r="BZ216" i="2" s="1"/>
  <c r="BY211" i="2"/>
  <c r="BZ211" i="2" s="1"/>
  <c r="BY212" i="2"/>
  <c r="BZ212" i="2" s="1"/>
  <c r="BY213" i="2"/>
  <c r="BZ213" i="2" s="1"/>
  <c r="BY208" i="2"/>
  <c r="BZ208" i="2" s="1"/>
  <c r="BY209" i="2"/>
  <c r="BZ209" i="2" s="1"/>
  <c r="BY210" i="2"/>
  <c r="BZ210" i="2" s="1"/>
  <c r="BY205" i="2"/>
  <c r="BZ205" i="2" s="1"/>
  <c r="BY206" i="2"/>
  <c r="BZ206" i="2" s="1"/>
  <c r="BY207" i="2"/>
  <c r="BZ207" i="2" s="1"/>
  <c r="BY202" i="2"/>
  <c r="BZ202" i="2" s="1"/>
  <c r="BY203" i="2"/>
  <c r="BZ203" i="2" s="1"/>
  <c r="BY204" i="2"/>
  <c r="BZ204" i="2" s="1"/>
  <c r="BY199" i="2"/>
  <c r="BZ199" i="2" s="1"/>
  <c r="BY200" i="2"/>
  <c r="BZ200" i="2" s="1"/>
  <c r="BY201" i="2"/>
  <c r="BZ201" i="2" s="1"/>
  <c r="BY196" i="2"/>
  <c r="BZ196" i="2" s="1"/>
  <c r="BY197" i="2"/>
  <c r="BZ197" i="2" s="1"/>
  <c r="BY198" i="2"/>
  <c r="BZ198" i="2" s="1"/>
  <c r="BY193" i="2"/>
  <c r="BZ193" i="2" s="1"/>
  <c r="BY194" i="2"/>
  <c r="BZ194" i="2" s="1"/>
  <c r="BY195" i="2"/>
  <c r="BZ195" i="2" s="1"/>
  <c r="BY190" i="2"/>
  <c r="BZ190" i="2" s="1"/>
  <c r="BY191" i="2"/>
  <c r="BZ191" i="2" s="1"/>
  <c r="BY192" i="2"/>
  <c r="BZ192" i="2" s="1"/>
  <c r="BY187" i="2"/>
  <c r="BZ187" i="2" s="1"/>
  <c r="BY188" i="2"/>
  <c r="BZ188" i="2" s="1"/>
  <c r="BY189" i="2"/>
  <c r="BZ189" i="2" s="1"/>
  <c r="BY184" i="2"/>
  <c r="BZ184" i="2" s="1"/>
  <c r="BY185" i="2"/>
  <c r="BZ185" i="2" s="1"/>
  <c r="BY186" i="2"/>
  <c r="BZ186" i="2" s="1"/>
  <c r="BY181" i="2"/>
  <c r="BZ181" i="2" s="1"/>
  <c r="BY182" i="2"/>
  <c r="BZ182" i="2" s="1"/>
  <c r="BY183" i="2"/>
  <c r="BZ183" i="2" s="1"/>
  <c r="BY178" i="2"/>
  <c r="BZ178" i="2" s="1"/>
  <c r="BY179" i="2"/>
  <c r="BZ179" i="2" s="1"/>
  <c r="BY180" i="2"/>
  <c r="BZ180" i="2" s="1"/>
  <c r="BY175" i="2"/>
  <c r="BZ175" i="2" s="1"/>
  <c r="BY176" i="2"/>
  <c r="BZ176" i="2" s="1"/>
  <c r="BY177" i="2"/>
  <c r="BZ177" i="2" s="1"/>
  <c r="BY172" i="2"/>
  <c r="BZ172" i="2" s="1"/>
  <c r="BY173" i="2"/>
  <c r="BZ173" i="2" s="1"/>
  <c r="BY174" i="2"/>
  <c r="BZ174" i="2" s="1"/>
  <c r="BY168" i="2"/>
  <c r="BZ168" i="2" s="1"/>
  <c r="BY169" i="2"/>
  <c r="BZ169" i="2" s="1"/>
  <c r="BY170" i="2"/>
  <c r="BZ170" i="2" s="1"/>
  <c r="BY165" i="2"/>
  <c r="BZ165" i="2" s="1"/>
  <c r="BY166" i="2"/>
  <c r="BZ166" i="2" s="1"/>
  <c r="BY167" i="2"/>
  <c r="BZ167" i="2" s="1"/>
  <c r="BY171" i="2"/>
  <c r="BZ171" i="2" s="1"/>
  <c r="BY162" i="2"/>
  <c r="BZ162" i="2" s="1"/>
  <c r="BY163" i="2"/>
  <c r="BZ163" i="2" s="1"/>
  <c r="BY164" i="2"/>
  <c r="BZ164" i="2" s="1"/>
  <c r="BY159" i="2"/>
  <c r="BZ159" i="2" s="1"/>
  <c r="BY160" i="2"/>
  <c r="BZ160" i="2" s="1"/>
  <c r="BY161" i="2"/>
  <c r="BZ161" i="2" s="1"/>
  <c r="BY156" i="2"/>
  <c r="BZ156" i="2" s="1"/>
  <c r="BY157" i="2"/>
  <c r="BZ157" i="2" s="1"/>
  <c r="BY158" i="2"/>
  <c r="BZ158" i="2" s="1"/>
  <c r="BY153" i="2"/>
  <c r="BZ153" i="2" s="1"/>
  <c r="BY154" i="2"/>
  <c r="BZ154" i="2" s="1"/>
  <c r="BY155" i="2"/>
  <c r="BZ155" i="2" s="1"/>
  <c r="BY150" i="2"/>
  <c r="BZ150" i="2" s="1"/>
  <c r="BY151" i="2"/>
  <c r="BZ151" i="2" s="1"/>
  <c r="BY152" i="2"/>
  <c r="BZ152" i="2" s="1"/>
  <c r="BY147" i="2"/>
  <c r="BZ147" i="2" s="1"/>
  <c r="BY148" i="2"/>
  <c r="BZ148" i="2" s="1"/>
  <c r="BY149" i="2"/>
  <c r="BZ149" i="2" s="1"/>
  <c r="BY144" i="2"/>
  <c r="BZ144" i="2" s="1"/>
  <c r="BY145" i="2"/>
  <c r="BZ145" i="2" s="1"/>
  <c r="BY146" i="2"/>
  <c r="BZ146" i="2" s="1"/>
  <c r="BY141" i="2"/>
  <c r="BZ141" i="2" s="1"/>
  <c r="BY142" i="2"/>
  <c r="BZ142" i="2" s="1"/>
  <c r="BY143" i="2"/>
  <c r="BZ143" i="2" s="1"/>
  <c r="BY138" i="2"/>
  <c r="BZ138" i="2" s="1"/>
  <c r="BY139" i="2"/>
  <c r="BZ139" i="2" s="1"/>
  <c r="BY140" i="2"/>
  <c r="BZ140" i="2" s="1"/>
  <c r="BY135" i="2"/>
  <c r="BZ135" i="2" s="1"/>
  <c r="BY136" i="2"/>
  <c r="BZ136" i="2" s="1"/>
  <c r="BY137" i="2"/>
  <c r="BZ137" i="2" s="1"/>
  <c r="BY132" i="2"/>
  <c r="BZ132" i="2" s="1"/>
  <c r="BY133" i="2"/>
  <c r="BZ133" i="2" s="1"/>
  <c r="BY134" i="2"/>
  <c r="BZ134" i="2" s="1"/>
  <c r="BY129" i="2"/>
  <c r="BZ129" i="2" s="1"/>
  <c r="BY130" i="2"/>
  <c r="BZ130" i="2" s="1"/>
  <c r="BY131" i="2"/>
  <c r="BZ131" i="2" s="1"/>
  <c r="BY126" i="2"/>
  <c r="BZ126" i="2" s="1"/>
  <c r="BY127" i="2"/>
  <c r="BZ127" i="2" s="1"/>
  <c r="BY128" i="2"/>
  <c r="BZ128" i="2" s="1"/>
  <c r="BY123" i="2"/>
  <c r="BZ123" i="2" s="1"/>
  <c r="BY124" i="2"/>
  <c r="BZ124" i="2" s="1"/>
  <c r="BY125" i="2"/>
  <c r="BZ125" i="2" s="1"/>
  <c r="BY120" i="2"/>
  <c r="BZ120" i="2" s="1"/>
  <c r="BY121" i="2"/>
  <c r="BZ121" i="2" s="1"/>
  <c r="BY122" i="2"/>
  <c r="BZ122" i="2" s="1"/>
  <c r="BY117" i="2"/>
  <c r="BZ117" i="2" s="1"/>
  <c r="BY118" i="2"/>
  <c r="BZ118" i="2" s="1"/>
  <c r="BY119" i="2"/>
  <c r="BZ119" i="2" s="1"/>
  <c r="BY114" i="2"/>
  <c r="BZ114" i="2" s="1"/>
  <c r="BY115" i="2"/>
  <c r="BZ115" i="2" s="1"/>
  <c r="BY116" i="2"/>
  <c r="BZ116" i="2" s="1"/>
  <c r="BY111" i="2"/>
  <c r="BZ111" i="2" s="1"/>
  <c r="BY112" i="2"/>
  <c r="BZ112" i="2" s="1"/>
  <c r="BY113" i="2"/>
  <c r="BZ113" i="2" s="1"/>
  <c r="BY108" i="2"/>
  <c r="BZ108" i="2" s="1"/>
  <c r="BY109" i="2"/>
  <c r="BZ109" i="2" s="1"/>
  <c r="BY110" i="2"/>
  <c r="BZ110" i="2" s="1"/>
  <c r="BY105" i="2"/>
  <c r="BZ105" i="2" s="1"/>
  <c r="BY106" i="2"/>
  <c r="BZ106" i="2" s="1"/>
  <c r="BY107" i="2"/>
  <c r="BZ107" i="2" s="1"/>
  <c r="BY102" i="2"/>
  <c r="BZ102" i="2" s="1"/>
  <c r="BY103" i="2"/>
  <c r="BZ103" i="2" s="1"/>
  <c r="BY104" i="2"/>
  <c r="BZ104" i="2" s="1"/>
  <c r="BY99" i="2"/>
  <c r="BZ99" i="2" s="1"/>
  <c r="BY100" i="2"/>
  <c r="BZ100" i="2" s="1"/>
  <c r="BY101" i="2"/>
  <c r="BZ101" i="2" s="1"/>
  <c r="BY96" i="2"/>
  <c r="BZ96" i="2" s="1"/>
  <c r="BY97" i="2"/>
  <c r="BZ97" i="2" s="1"/>
  <c r="BY98" i="2"/>
  <c r="BZ98" i="2" s="1"/>
  <c r="BY93" i="2"/>
  <c r="BZ93" i="2" s="1"/>
  <c r="BY94" i="2"/>
  <c r="BZ94" i="2" s="1"/>
  <c r="BY95" i="2"/>
  <c r="BZ95" i="2" s="1"/>
  <c r="BY90" i="2"/>
  <c r="BZ90" i="2" s="1"/>
  <c r="BY91" i="2"/>
  <c r="BZ91" i="2" s="1"/>
  <c r="BY92" i="2"/>
  <c r="BZ92" i="2" s="1"/>
  <c r="BY87" i="2"/>
  <c r="BZ87" i="2" s="1"/>
  <c r="BY88" i="2"/>
  <c r="BZ88" i="2" s="1"/>
  <c r="BY89" i="2"/>
  <c r="BZ89" i="2" s="1"/>
  <c r="BY84" i="2"/>
  <c r="BZ84" i="2" s="1"/>
  <c r="BY85" i="2"/>
  <c r="BZ85" i="2" s="1"/>
  <c r="BY86" i="2"/>
  <c r="BZ86" i="2" s="1"/>
  <c r="BY81" i="2"/>
  <c r="BZ81" i="2" s="1"/>
  <c r="BY82" i="2"/>
  <c r="BZ82" i="2" s="1"/>
  <c r="BY83" i="2"/>
  <c r="BZ83" i="2" s="1"/>
  <c r="BY78" i="2"/>
  <c r="BZ78" i="2" s="1"/>
  <c r="BY79" i="2"/>
  <c r="BZ79" i="2" s="1"/>
  <c r="BY80" i="2"/>
  <c r="BZ80" i="2" s="1"/>
  <c r="BY75" i="2"/>
  <c r="BZ75" i="2" s="1"/>
  <c r="BY76" i="2"/>
  <c r="BZ76" i="2" s="1"/>
  <c r="BY77" i="2"/>
  <c r="BZ77" i="2" s="1"/>
  <c r="BY72" i="2"/>
  <c r="BZ72" i="2" s="1"/>
  <c r="BY73" i="2"/>
  <c r="BZ73" i="2" s="1"/>
  <c r="BY74" i="2"/>
  <c r="BZ74" i="2" s="1"/>
  <c r="BY69" i="2"/>
  <c r="BZ69" i="2" s="1"/>
  <c r="BY70" i="2"/>
  <c r="BZ70" i="2" s="1"/>
  <c r="BY71" i="2"/>
  <c r="BZ71" i="2" s="1"/>
  <c r="BY66" i="2"/>
  <c r="BZ66" i="2" s="1"/>
  <c r="BY67" i="2"/>
  <c r="BZ67" i="2" s="1"/>
  <c r="BY68" i="2"/>
  <c r="BZ68" i="2" s="1"/>
  <c r="BY63" i="2"/>
  <c r="BZ63" i="2" s="1"/>
  <c r="BY64" i="2"/>
  <c r="BZ64" i="2" s="1"/>
  <c r="BY65" i="2"/>
  <c r="BZ65" i="2" s="1"/>
  <c r="BY60" i="2"/>
  <c r="BZ60" i="2" s="1"/>
  <c r="BY61" i="2"/>
  <c r="BZ61" i="2" s="1"/>
  <c r="BY62" i="2"/>
  <c r="BZ62" i="2" s="1"/>
  <c r="BY57" i="2"/>
  <c r="BZ57" i="2" s="1"/>
  <c r="BY58" i="2"/>
  <c r="BZ58" i="2" s="1"/>
  <c r="BY59" i="2"/>
  <c r="BZ59" i="2" s="1"/>
  <c r="BY54" i="2"/>
  <c r="BZ54" i="2" s="1"/>
  <c r="BY55" i="2"/>
  <c r="BZ55" i="2" s="1"/>
  <c r="BY56" i="2"/>
  <c r="BZ56" i="2" s="1"/>
  <c r="BY51" i="2"/>
  <c r="BZ51" i="2" s="1"/>
  <c r="BY52" i="2"/>
  <c r="BZ52" i="2" s="1"/>
  <c r="BY53" i="2"/>
  <c r="BZ53" i="2" s="1"/>
  <c r="BY48" i="2"/>
  <c r="BZ48" i="2" s="1"/>
  <c r="BY49" i="2"/>
  <c r="BZ49" i="2" s="1"/>
  <c r="BY50" i="2"/>
  <c r="BZ50" i="2" s="1"/>
  <c r="BY45" i="2"/>
  <c r="BZ45" i="2" s="1"/>
  <c r="BY46" i="2"/>
  <c r="BZ46" i="2" s="1"/>
  <c r="BY47" i="2"/>
  <c r="BZ47" i="2" s="1"/>
  <c r="BY42" i="2"/>
  <c r="BZ42" i="2" s="1"/>
  <c r="BY43" i="2"/>
  <c r="BZ43" i="2" s="1"/>
  <c r="BY44" i="2"/>
  <c r="BZ44" i="2" s="1"/>
  <c r="BY39" i="2"/>
  <c r="BZ39" i="2" s="1"/>
  <c r="BY40" i="2"/>
  <c r="BZ40" i="2" s="1"/>
  <c r="BY41" i="2"/>
  <c r="BZ41" i="2" s="1"/>
  <c r="BY36" i="2"/>
  <c r="BZ36" i="2" s="1"/>
  <c r="BY37" i="2"/>
  <c r="BZ37" i="2" s="1"/>
  <c r="BY38" i="2"/>
  <c r="BZ38" i="2" s="1"/>
  <c r="BY35" i="2"/>
  <c r="BZ35" i="2" s="1"/>
  <c r="BV241" i="2"/>
  <c r="BV242" i="2"/>
  <c r="BW242" i="2" s="1"/>
  <c r="BV243" i="2"/>
  <c r="BW243" i="2" s="1"/>
  <c r="BV238" i="2"/>
  <c r="BW238" i="2" s="1"/>
  <c r="BV239" i="2"/>
  <c r="BW239" i="2" s="1"/>
  <c r="BV240" i="2"/>
  <c r="BW240" i="2" s="1"/>
  <c r="BV235" i="2"/>
  <c r="BW235" i="2" s="1"/>
  <c r="BV236" i="2"/>
  <c r="BW236" i="2" s="1"/>
  <c r="BV237" i="2"/>
  <c r="BW237" i="2" s="1"/>
  <c r="BV232" i="2"/>
  <c r="BW232" i="2" s="1"/>
  <c r="BV233" i="2"/>
  <c r="BW233" i="2" s="1"/>
  <c r="BV234" i="2"/>
  <c r="BW234" i="2" s="1"/>
  <c r="BV229" i="2"/>
  <c r="BW229" i="2" s="1"/>
  <c r="BV230" i="2"/>
  <c r="BW230" i="2" s="1"/>
  <c r="BV231" i="2"/>
  <c r="BW231" i="2" s="1"/>
  <c r="BV226" i="2"/>
  <c r="BW226" i="2" s="1"/>
  <c r="BV227" i="2"/>
  <c r="BW227" i="2" s="1"/>
  <c r="BV228" i="2"/>
  <c r="BW228" i="2" s="1"/>
  <c r="BV223" i="2"/>
  <c r="BW223" i="2" s="1"/>
  <c r="BV224" i="2"/>
  <c r="BW224" i="2" s="1"/>
  <c r="BV225" i="2"/>
  <c r="BW225" i="2" s="1"/>
  <c r="BV220" i="2"/>
  <c r="BW220" i="2" s="1"/>
  <c r="BV221" i="2"/>
  <c r="BW221" i="2" s="1"/>
  <c r="BV222" i="2"/>
  <c r="BW222" i="2" s="1"/>
  <c r="BV217" i="2"/>
  <c r="BW217" i="2" s="1"/>
  <c r="BV218" i="2"/>
  <c r="BW218" i="2" s="1"/>
  <c r="BV219" i="2"/>
  <c r="BW219" i="2" s="1"/>
  <c r="BV214" i="2"/>
  <c r="BW214" i="2" s="1"/>
  <c r="BV215" i="2"/>
  <c r="BW215" i="2" s="1"/>
  <c r="BV216" i="2"/>
  <c r="BW216" i="2" s="1"/>
  <c r="BV211" i="2"/>
  <c r="BW211" i="2" s="1"/>
  <c r="BV212" i="2"/>
  <c r="BW212" i="2" s="1"/>
  <c r="BV213" i="2"/>
  <c r="BW213" i="2" s="1"/>
  <c r="BV208" i="2"/>
  <c r="BW208" i="2" s="1"/>
  <c r="BV209" i="2"/>
  <c r="BW209" i="2" s="1"/>
  <c r="BV210" i="2"/>
  <c r="BW210" i="2" s="1"/>
  <c r="BV205" i="2"/>
  <c r="BW205" i="2" s="1"/>
  <c r="BV206" i="2"/>
  <c r="BW206" i="2" s="1"/>
  <c r="BV207" i="2"/>
  <c r="BW207" i="2" s="1"/>
  <c r="BV202" i="2"/>
  <c r="BW202" i="2" s="1"/>
  <c r="BV203" i="2"/>
  <c r="BW203" i="2" s="1"/>
  <c r="BV204" i="2"/>
  <c r="BW204" i="2" s="1"/>
  <c r="BV199" i="2"/>
  <c r="BW199" i="2" s="1"/>
  <c r="BV200" i="2"/>
  <c r="BW200" i="2" s="1"/>
  <c r="BV201" i="2"/>
  <c r="BW201" i="2" s="1"/>
  <c r="BV196" i="2"/>
  <c r="BW196" i="2" s="1"/>
  <c r="BV197" i="2"/>
  <c r="BW197" i="2" s="1"/>
  <c r="BV198" i="2"/>
  <c r="BW198" i="2" s="1"/>
  <c r="BV193" i="2"/>
  <c r="BW193" i="2" s="1"/>
  <c r="BV194" i="2"/>
  <c r="BW194" i="2" s="1"/>
  <c r="BV195" i="2"/>
  <c r="BW195" i="2" s="1"/>
  <c r="BV190" i="2"/>
  <c r="BW190" i="2" s="1"/>
  <c r="BV191" i="2"/>
  <c r="BW191" i="2" s="1"/>
  <c r="BV192" i="2"/>
  <c r="BW192" i="2" s="1"/>
  <c r="BV187" i="2"/>
  <c r="BW187" i="2" s="1"/>
  <c r="BV188" i="2"/>
  <c r="BW188" i="2" s="1"/>
  <c r="BV189" i="2"/>
  <c r="BW189" i="2" s="1"/>
  <c r="BV184" i="2"/>
  <c r="BW184" i="2" s="1"/>
  <c r="BV185" i="2"/>
  <c r="BW185" i="2" s="1"/>
  <c r="BV186" i="2"/>
  <c r="BW186" i="2" s="1"/>
  <c r="BV181" i="2"/>
  <c r="BW181" i="2" s="1"/>
  <c r="BV182" i="2"/>
  <c r="BW182" i="2" s="1"/>
  <c r="BV183" i="2"/>
  <c r="BW183" i="2" s="1"/>
  <c r="BV178" i="2"/>
  <c r="BW178" i="2" s="1"/>
  <c r="BV179" i="2"/>
  <c r="BW179" i="2" s="1"/>
  <c r="BV180" i="2"/>
  <c r="BW180" i="2" s="1"/>
  <c r="BV175" i="2"/>
  <c r="BW175" i="2" s="1"/>
  <c r="BV176" i="2"/>
  <c r="BW176" i="2" s="1"/>
  <c r="BV177" i="2"/>
  <c r="BW177" i="2" s="1"/>
  <c r="BV172" i="2"/>
  <c r="BW172" i="2" s="1"/>
  <c r="BV173" i="2"/>
  <c r="BW173" i="2" s="1"/>
  <c r="BV174" i="2"/>
  <c r="BW174" i="2" s="1"/>
  <c r="BV168" i="2"/>
  <c r="BW168" i="2" s="1"/>
  <c r="BV169" i="2"/>
  <c r="BW169" i="2" s="1"/>
  <c r="BV170" i="2"/>
  <c r="BW170" i="2" s="1"/>
  <c r="BV165" i="2"/>
  <c r="BW165" i="2" s="1"/>
  <c r="BV166" i="2"/>
  <c r="BW166" i="2" s="1"/>
  <c r="BV167" i="2"/>
  <c r="BW167" i="2" s="1"/>
  <c r="BV171" i="2"/>
  <c r="BW171" i="2" s="1"/>
  <c r="BV162" i="2"/>
  <c r="BW162" i="2" s="1"/>
  <c r="BV163" i="2"/>
  <c r="BW163" i="2" s="1"/>
  <c r="BV164" i="2"/>
  <c r="BW164" i="2" s="1"/>
  <c r="BV159" i="2"/>
  <c r="BW159" i="2" s="1"/>
  <c r="BV160" i="2"/>
  <c r="BW160" i="2" s="1"/>
  <c r="BV161" i="2"/>
  <c r="BW161" i="2" s="1"/>
  <c r="BV156" i="2"/>
  <c r="BW156" i="2" s="1"/>
  <c r="BV157" i="2"/>
  <c r="BW157" i="2" s="1"/>
  <c r="BV158" i="2"/>
  <c r="BW158" i="2" s="1"/>
  <c r="BV153" i="2"/>
  <c r="BW153" i="2" s="1"/>
  <c r="BV154" i="2"/>
  <c r="BW154" i="2" s="1"/>
  <c r="BV155" i="2"/>
  <c r="BW155" i="2" s="1"/>
  <c r="BV150" i="2"/>
  <c r="BW150" i="2" s="1"/>
  <c r="BV151" i="2"/>
  <c r="BW151" i="2" s="1"/>
  <c r="BV152" i="2"/>
  <c r="BW152" i="2" s="1"/>
  <c r="BV147" i="2"/>
  <c r="BW147" i="2" s="1"/>
  <c r="BV148" i="2"/>
  <c r="BW148" i="2" s="1"/>
  <c r="BV149" i="2"/>
  <c r="BW149" i="2" s="1"/>
  <c r="BV144" i="2"/>
  <c r="BW144" i="2" s="1"/>
  <c r="BV145" i="2"/>
  <c r="BW145" i="2" s="1"/>
  <c r="BV146" i="2"/>
  <c r="BW146" i="2" s="1"/>
  <c r="BV141" i="2"/>
  <c r="BW141" i="2" s="1"/>
  <c r="BV142" i="2"/>
  <c r="BW142" i="2" s="1"/>
  <c r="BV143" i="2"/>
  <c r="BW143" i="2" s="1"/>
  <c r="BV138" i="2"/>
  <c r="BW138" i="2" s="1"/>
  <c r="BV139" i="2"/>
  <c r="BW139" i="2" s="1"/>
  <c r="BV140" i="2"/>
  <c r="BW140" i="2" s="1"/>
  <c r="BV135" i="2"/>
  <c r="BW135" i="2" s="1"/>
  <c r="BV136" i="2"/>
  <c r="BW136" i="2" s="1"/>
  <c r="BV137" i="2"/>
  <c r="BW137" i="2" s="1"/>
  <c r="BV132" i="2"/>
  <c r="BW132" i="2" s="1"/>
  <c r="BV133" i="2"/>
  <c r="BW133" i="2" s="1"/>
  <c r="BV134" i="2"/>
  <c r="BW134" i="2" s="1"/>
  <c r="BV129" i="2"/>
  <c r="BW129" i="2" s="1"/>
  <c r="BV130" i="2"/>
  <c r="BW130" i="2" s="1"/>
  <c r="BV131" i="2"/>
  <c r="BW131" i="2" s="1"/>
  <c r="BV126" i="2"/>
  <c r="BW126" i="2" s="1"/>
  <c r="BV127" i="2"/>
  <c r="BW127" i="2" s="1"/>
  <c r="BV128" i="2"/>
  <c r="BW128" i="2" s="1"/>
  <c r="BV123" i="2"/>
  <c r="BW123" i="2" s="1"/>
  <c r="BV124" i="2"/>
  <c r="BW124" i="2" s="1"/>
  <c r="BV125" i="2"/>
  <c r="BW125" i="2" s="1"/>
  <c r="BV120" i="2"/>
  <c r="BW120" i="2" s="1"/>
  <c r="BV121" i="2"/>
  <c r="BW121" i="2" s="1"/>
  <c r="BV122" i="2"/>
  <c r="BW122" i="2" s="1"/>
  <c r="BV117" i="2"/>
  <c r="BW117" i="2" s="1"/>
  <c r="BV118" i="2"/>
  <c r="BW118" i="2" s="1"/>
  <c r="BV119" i="2"/>
  <c r="BW119" i="2" s="1"/>
  <c r="BV114" i="2"/>
  <c r="BW114" i="2" s="1"/>
  <c r="BV115" i="2"/>
  <c r="BW115" i="2" s="1"/>
  <c r="BV116" i="2"/>
  <c r="BW116" i="2" s="1"/>
  <c r="BV111" i="2"/>
  <c r="BW111" i="2" s="1"/>
  <c r="BV112" i="2"/>
  <c r="BW112" i="2" s="1"/>
  <c r="BV113" i="2"/>
  <c r="BW113" i="2" s="1"/>
  <c r="BV108" i="2"/>
  <c r="BW108" i="2" s="1"/>
  <c r="BV109" i="2"/>
  <c r="BW109" i="2" s="1"/>
  <c r="BV110" i="2"/>
  <c r="BW110" i="2" s="1"/>
  <c r="BV105" i="2"/>
  <c r="BW105" i="2" s="1"/>
  <c r="BV106" i="2"/>
  <c r="BW106" i="2" s="1"/>
  <c r="BV107" i="2"/>
  <c r="BW107" i="2" s="1"/>
  <c r="BV102" i="2"/>
  <c r="BW102" i="2" s="1"/>
  <c r="BV103" i="2"/>
  <c r="BW103" i="2" s="1"/>
  <c r="BV104" i="2"/>
  <c r="BW104" i="2" s="1"/>
  <c r="BV99" i="2"/>
  <c r="BW99" i="2" s="1"/>
  <c r="BV100" i="2"/>
  <c r="BW100" i="2" s="1"/>
  <c r="BV101" i="2"/>
  <c r="BW101" i="2" s="1"/>
  <c r="BV96" i="2"/>
  <c r="BW96" i="2" s="1"/>
  <c r="BV97" i="2"/>
  <c r="BW97" i="2" s="1"/>
  <c r="BV98" i="2"/>
  <c r="BW98" i="2" s="1"/>
  <c r="BV93" i="2"/>
  <c r="BW93" i="2" s="1"/>
  <c r="BV94" i="2"/>
  <c r="BW94" i="2" s="1"/>
  <c r="BV95" i="2"/>
  <c r="BW95" i="2" s="1"/>
  <c r="BV90" i="2"/>
  <c r="BW90" i="2" s="1"/>
  <c r="BV91" i="2"/>
  <c r="BW91" i="2" s="1"/>
  <c r="BV92" i="2"/>
  <c r="BW92" i="2" s="1"/>
  <c r="BV87" i="2"/>
  <c r="BW87" i="2" s="1"/>
  <c r="BV88" i="2"/>
  <c r="BW88" i="2" s="1"/>
  <c r="BV89" i="2"/>
  <c r="BW89" i="2" s="1"/>
  <c r="BV84" i="2"/>
  <c r="BW84" i="2" s="1"/>
  <c r="BV85" i="2"/>
  <c r="BW85" i="2" s="1"/>
  <c r="BV86" i="2"/>
  <c r="BW86" i="2" s="1"/>
  <c r="BV81" i="2"/>
  <c r="BW81" i="2" s="1"/>
  <c r="BV82" i="2"/>
  <c r="BW82" i="2" s="1"/>
  <c r="BV83" i="2"/>
  <c r="BW83" i="2" s="1"/>
  <c r="BV78" i="2"/>
  <c r="BW78" i="2" s="1"/>
  <c r="BV79" i="2"/>
  <c r="BW79" i="2" s="1"/>
  <c r="BV80" i="2"/>
  <c r="BW80" i="2" s="1"/>
  <c r="BV75" i="2"/>
  <c r="BW75" i="2" s="1"/>
  <c r="BV76" i="2"/>
  <c r="BW76" i="2" s="1"/>
  <c r="BV77" i="2"/>
  <c r="BW77" i="2" s="1"/>
  <c r="BV72" i="2"/>
  <c r="BW72" i="2" s="1"/>
  <c r="BV73" i="2"/>
  <c r="BW73" i="2" s="1"/>
  <c r="BV74" i="2"/>
  <c r="BW74" i="2" s="1"/>
  <c r="BV69" i="2"/>
  <c r="BW69" i="2" s="1"/>
  <c r="BV70" i="2"/>
  <c r="BW70" i="2" s="1"/>
  <c r="BV71" i="2"/>
  <c r="BW71" i="2" s="1"/>
  <c r="BV66" i="2"/>
  <c r="BW66" i="2" s="1"/>
  <c r="BV67" i="2"/>
  <c r="BW67" i="2" s="1"/>
  <c r="BV68" i="2"/>
  <c r="BW68" i="2" s="1"/>
  <c r="BV63" i="2"/>
  <c r="BW63" i="2" s="1"/>
  <c r="BV64" i="2"/>
  <c r="BW64" i="2" s="1"/>
  <c r="BV65" i="2"/>
  <c r="BW65" i="2" s="1"/>
  <c r="BV60" i="2"/>
  <c r="BW60" i="2" s="1"/>
  <c r="BV61" i="2"/>
  <c r="BW61" i="2" s="1"/>
  <c r="BV62" i="2"/>
  <c r="BW62" i="2" s="1"/>
  <c r="BV57" i="2"/>
  <c r="BW57" i="2" s="1"/>
  <c r="BV58" i="2"/>
  <c r="BW58" i="2" s="1"/>
  <c r="BV59" i="2"/>
  <c r="BW59" i="2" s="1"/>
  <c r="BV54" i="2"/>
  <c r="BW54" i="2" s="1"/>
  <c r="BV55" i="2"/>
  <c r="BW55" i="2" s="1"/>
  <c r="BV56" i="2"/>
  <c r="BW56" i="2" s="1"/>
  <c r="BV51" i="2"/>
  <c r="BW51" i="2" s="1"/>
  <c r="BV52" i="2"/>
  <c r="BW52" i="2" s="1"/>
  <c r="BV53" i="2"/>
  <c r="BW53" i="2" s="1"/>
  <c r="BV48" i="2"/>
  <c r="BW48" i="2" s="1"/>
  <c r="BV49" i="2"/>
  <c r="BW49" i="2" s="1"/>
  <c r="BV50" i="2"/>
  <c r="BW50" i="2" s="1"/>
  <c r="BV45" i="2"/>
  <c r="BW45" i="2" s="1"/>
  <c r="BV46" i="2"/>
  <c r="BW46" i="2" s="1"/>
  <c r="BV47" i="2"/>
  <c r="BW47" i="2" s="1"/>
  <c r="BV42" i="2"/>
  <c r="BW42" i="2" s="1"/>
  <c r="BV43" i="2"/>
  <c r="BW43" i="2" s="1"/>
  <c r="BV44" i="2"/>
  <c r="BW44" i="2" s="1"/>
  <c r="BV39" i="2"/>
  <c r="BW39" i="2" s="1"/>
  <c r="BV40" i="2"/>
  <c r="BW40" i="2" s="1"/>
  <c r="BV41" i="2"/>
  <c r="BW41" i="2" s="1"/>
  <c r="BV36" i="2"/>
  <c r="BW36" i="2" s="1"/>
  <c r="BV37" i="2"/>
  <c r="BW37" i="2" s="1"/>
  <c r="BV38" i="2"/>
  <c r="BW38" i="2" s="1"/>
  <c r="BV35" i="2"/>
  <c r="BW35" i="2" s="1"/>
  <c r="CF241" i="2"/>
  <c r="CG241" i="2" s="1"/>
  <c r="CI241" i="2" s="1"/>
  <c r="CF242" i="2"/>
  <c r="CG242" i="2" s="1"/>
  <c r="CI242" i="2" s="1"/>
  <c r="CF243" i="2"/>
  <c r="CG243" i="2" s="1"/>
  <c r="CI243" i="2" s="1"/>
  <c r="CF238" i="2"/>
  <c r="CG238" i="2" s="1"/>
  <c r="CI238" i="2" s="1"/>
  <c r="CF239" i="2"/>
  <c r="CG239" i="2" s="1"/>
  <c r="CI239" i="2" s="1"/>
  <c r="CF240" i="2"/>
  <c r="CG240" i="2" s="1"/>
  <c r="CI240" i="2" s="1"/>
  <c r="CF235" i="2"/>
  <c r="CG235" i="2" s="1"/>
  <c r="CI235" i="2" s="1"/>
  <c r="CF236" i="2"/>
  <c r="CG236" i="2" s="1"/>
  <c r="CI236" i="2" s="1"/>
  <c r="CF237" i="2"/>
  <c r="CG237" i="2" s="1"/>
  <c r="CI237" i="2" s="1"/>
  <c r="CF232" i="2"/>
  <c r="CG232" i="2" s="1"/>
  <c r="CI232" i="2" s="1"/>
  <c r="CF233" i="2"/>
  <c r="CG233" i="2" s="1"/>
  <c r="CI233" i="2" s="1"/>
  <c r="CF234" i="2"/>
  <c r="CG234" i="2" s="1"/>
  <c r="CI234" i="2" s="1"/>
  <c r="CF229" i="2"/>
  <c r="CG229" i="2" s="1"/>
  <c r="CI229" i="2" s="1"/>
  <c r="CF230" i="2"/>
  <c r="CG230" i="2" s="1"/>
  <c r="CI230" i="2" s="1"/>
  <c r="CF231" i="2"/>
  <c r="CG231" i="2" s="1"/>
  <c r="CI231" i="2" s="1"/>
  <c r="CF226" i="2"/>
  <c r="CG226" i="2" s="1"/>
  <c r="CI226" i="2" s="1"/>
  <c r="CF227" i="2"/>
  <c r="CG227" i="2" s="1"/>
  <c r="CI227" i="2" s="1"/>
  <c r="CF228" i="2"/>
  <c r="CG228" i="2" s="1"/>
  <c r="CI228" i="2" s="1"/>
  <c r="CF223" i="2"/>
  <c r="CG223" i="2" s="1"/>
  <c r="CI223" i="2" s="1"/>
  <c r="CF224" i="2"/>
  <c r="CG224" i="2" s="1"/>
  <c r="CI224" i="2" s="1"/>
  <c r="CF225" i="2"/>
  <c r="CG225" i="2" s="1"/>
  <c r="CI225" i="2" s="1"/>
  <c r="CF220" i="2"/>
  <c r="CG220" i="2" s="1"/>
  <c r="CI220" i="2" s="1"/>
  <c r="CF221" i="2"/>
  <c r="CG221" i="2" s="1"/>
  <c r="CI221" i="2" s="1"/>
  <c r="CF222" i="2"/>
  <c r="CG222" i="2" s="1"/>
  <c r="CI222" i="2" s="1"/>
  <c r="CF217" i="2"/>
  <c r="CG217" i="2" s="1"/>
  <c r="CI217" i="2" s="1"/>
  <c r="CF218" i="2"/>
  <c r="CG218" i="2" s="1"/>
  <c r="CI218" i="2" s="1"/>
  <c r="CF219" i="2"/>
  <c r="CG219" i="2" s="1"/>
  <c r="CI219" i="2" s="1"/>
  <c r="CF214" i="2"/>
  <c r="CG214" i="2" s="1"/>
  <c r="CI214" i="2" s="1"/>
  <c r="CF215" i="2"/>
  <c r="CG215" i="2" s="1"/>
  <c r="CI215" i="2" s="1"/>
  <c r="CF216" i="2"/>
  <c r="CG216" i="2" s="1"/>
  <c r="CI216" i="2" s="1"/>
  <c r="CF211" i="2"/>
  <c r="CG211" i="2" s="1"/>
  <c r="CI211" i="2" s="1"/>
  <c r="CF212" i="2"/>
  <c r="CG212" i="2" s="1"/>
  <c r="CI212" i="2" s="1"/>
  <c r="CF213" i="2"/>
  <c r="CG213" i="2" s="1"/>
  <c r="CI213" i="2" s="1"/>
  <c r="CF208" i="2"/>
  <c r="CG208" i="2" s="1"/>
  <c r="CI208" i="2" s="1"/>
  <c r="CF209" i="2"/>
  <c r="CG209" i="2" s="1"/>
  <c r="CI209" i="2" s="1"/>
  <c r="CF210" i="2"/>
  <c r="CG210" i="2" s="1"/>
  <c r="CI210" i="2" s="1"/>
  <c r="CF205" i="2"/>
  <c r="CG205" i="2" s="1"/>
  <c r="CI205" i="2" s="1"/>
  <c r="CF206" i="2"/>
  <c r="CG206" i="2" s="1"/>
  <c r="CI206" i="2" s="1"/>
  <c r="CF207" i="2"/>
  <c r="CG207" i="2" s="1"/>
  <c r="CI207" i="2" s="1"/>
  <c r="CF202" i="2"/>
  <c r="CG202" i="2" s="1"/>
  <c r="CI202" i="2" s="1"/>
  <c r="CF203" i="2"/>
  <c r="CG203" i="2" s="1"/>
  <c r="CI203" i="2" s="1"/>
  <c r="CF204" i="2"/>
  <c r="CG204" i="2" s="1"/>
  <c r="CI204" i="2" s="1"/>
  <c r="CF199" i="2"/>
  <c r="CG199" i="2" s="1"/>
  <c r="CI199" i="2" s="1"/>
  <c r="CF200" i="2"/>
  <c r="CG200" i="2" s="1"/>
  <c r="CI200" i="2" s="1"/>
  <c r="CF201" i="2"/>
  <c r="CG201" i="2" s="1"/>
  <c r="CI201" i="2" s="1"/>
  <c r="CF196" i="2"/>
  <c r="CG196" i="2" s="1"/>
  <c r="CI196" i="2" s="1"/>
  <c r="CF197" i="2"/>
  <c r="CG197" i="2" s="1"/>
  <c r="CI197" i="2" s="1"/>
  <c r="CF198" i="2"/>
  <c r="CG198" i="2" s="1"/>
  <c r="CI198" i="2" s="1"/>
  <c r="CF193" i="2"/>
  <c r="CG193" i="2" s="1"/>
  <c r="CI193" i="2" s="1"/>
  <c r="CF194" i="2"/>
  <c r="CG194" i="2" s="1"/>
  <c r="CI194" i="2" s="1"/>
  <c r="CF195" i="2"/>
  <c r="CG195" i="2" s="1"/>
  <c r="CI195" i="2" s="1"/>
  <c r="CF190" i="2"/>
  <c r="CG190" i="2" s="1"/>
  <c r="CI190" i="2" s="1"/>
  <c r="CF191" i="2"/>
  <c r="CG191" i="2" s="1"/>
  <c r="CI191" i="2" s="1"/>
  <c r="CF192" i="2"/>
  <c r="CG192" i="2" s="1"/>
  <c r="CI192" i="2" s="1"/>
  <c r="CF187" i="2"/>
  <c r="CG187" i="2" s="1"/>
  <c r="CI187" i="2" s="1"/>
  <c r="CF188" i="2"/>
  <c r="CG188" i="2" s="1"/>
  <c r="CI188" i="2" s="1"/>
  <c r="CF189" i="2"/>
  <c r="CG189" i="2" s="1"/>
  <c r="CI189" i="2" s="1"/>
  <c r="CF184" i="2"/>
  <c r="CG184" i="2" s="1"/>
  <c r="CI184" i="2" s="1"/>
  <c r="CF185" i="2"/>
  <c r="CG185" i="2" s="1"/>
  <c r="CI185" i="2" s="1"/>
  <c r="CF186" i="2"/>
  <c r="CG186" i="2" s="1"/>
  <c r="CI186" i="2" s="1"/>
  <c r="CF181" i="2"/>
  <c r="CG181" i="2" s="1"/>
  <c r="CI181" i="2" s="1"/>
  <c r="CF182" i="2"/>
  <c r="CG182" i="2" s="1"/>
  <c r="CI182" i="2" s="1"/>
  <c r="CF183" i="2"/>
  <c r="CG183" i="2" s="1"/>
  <c r="CI183" i="2" s="1"/>
  <c r="CF178" i="2"/>
  <c r="CG178" i="2" s="1"/>
  <c r="CI178" i="2" s="1"/>
  <c r="CF179" i="2"/>
  <c r="CG179" i="2" s="1"/>
  <c r="CI179" i="2" s="1"/>
  <c r="CF180" i="2"/>
  <c r="CG180" i="2" s="1"/>
  <c r="CI180" i="2" s="1"/>
  <c r="CF175" i="2"/>
  <c r="CG175" i="2" s="1"/>
  <c r="CI175" i="2" s="1"/>
  <c r="CF176" i="2"/>
  <c r="CG176" i="2" s="1"/>
  <c r="CI176" i="2" s="1"/>
  <c r="CF177" i="2"/>
  <c r="CG177" i="2" s="1"/>
  <c r="CI177" i="2" s="1"/>
  <c r="CF172" i="2"/>
  <c r="CG172" i="2" s="1"/>
  <c r="CI172" i="2" s="1"/>
  <c r="CF173" i="2"/>
  <c r="CG173" i="2" s="1"/>
  <c r="CI173" i="2" s="1"/>
  <c r="CF174" i="2"/>
  <c r="CG174" i="2" s="1"/>
  <c r="CI174" i="2" s="1"/>
  <c r="CF168" i="2"/>
  <c r="CG168" i="2" s="1"/>
  <c r="CI168" i="2" s="1"/>
  <c r="CF169" i="2"/>
  <c r="CG169" i="2" s="1"/>
  <c r="CI169" i="2" s="1"/>
  <c r="CF170" i="2"/>
  <c r="CG170" i="2" s="1"/>
  <c r="CI170" i="2" s="1"/>
  <c r="CF165" i="2"/>
  <c r="CG165" i="2" s="1"/>
  <c r="CI165" i="2" s="1"/>
  <c r="CF166" i="2"/>
  <c r="CG166" i="2" s="1"/>
  <c r="CI166" i="2" s="1"/>
  <c r="CF167" i="2"/>
  <c r="CG167" i="2" s="1"/>
  <c r="CI167" i="2" s="1"/>
  <c r="CF171" i="2"/>
  <c r="CG171" i="2" s="1"/>
  <c r="CI171" i="2" s="1"/>
  <c r="CF162" i="2"/>
  <c r="CG162" i="2" s="1"/>
  <c r="CI162" i="2" s="1"/>
  <c r="CF163" i="2"/>
  <c r="CG163" i="2" s="1"/>
  <c r="CI163" i="2" s="1"/>
  <c r="CF164" i="2"/>
  <c r="CG164" i="2" s="1"/>
  <c r="CI164" i="2" s="1"/>
  <c r="CF159" i="2"/>
  <c r="CG159" i="2" s="1"/>
  <c r="CI159" i="2" s="1"/>
  <c r="CF160" i="2"/>
  <c r="CG160" i="2" s="1"/>
  <c r="CI160" i="2" s="1"/>
  <c r="CF161" i="2"/>
  <c r="CG161" i="2" s="1"/>
  <c r="CI161" i="2" s="1"/>
  <c r="CF156" i="2"/>
  <c r="CG156" i="2" s="1"/>
  <c r="CI156" i="2" s="1"/>
  <c r="CF157" i="2"/>
  <c r="CG157" i="2" s="1"/>
  <c r="CI157" i="2" s="1"/>
  <c r="CF158" i="2"/>
  <c r="CG158" i="2" s="1"/>
  <c r="CI158" i="2" s="1"/>
  <c r="CF153" i="2"/>
  <c r="CG153" i="2" s="1"/>
  <c r="CI153" i="2" s="1"/>
  <c r="CF154" i="2"/>
  <c r="CG154" i="2" s="1"/>
  <c r="CI154" i="2" s="1"/>
  <c r="CF155" i="2"/>
  <c r="CG155" i="2" s="1"/>
  <c r="CI155" i="2" s="1"/>
  <c r="CF150" i="2"/>
  <c r="CG150" i="2" s="1"/>
  <c r="CI150" i="2" s="1"/>
  <c r="CF151" i="2"/>
  <c r="CG151" i="2" s="1"/>
  <c r="CI151" i="2" s="1"/>
  <c r="CF152" i="2"/>
  <c r="CG152" i="2" s="1"/>
  <c r="CI152" i="2" s="1"/>
  <c r="CF147" i="2"/>
  <c r="CG147" i="2" s="1"/>
  <c r="CI147" i="2" s="1"/>
  <c r="CF148" i="2"/>
  <c r="CG148" i="2" s="1"/>
  <c r="CI148" i="2" s="1"/>
  <c r="CF149" i="2"/>
  <c r="CG149" i="2" s="1"/>
  <c r="CI149" i="2" s="1"/>
  <c r="CF144" i="2"/>
  <c r="CG144" i="2" s="1"/>
  <c r="CI144" i="2" s="1"/>
  <c r="CF145" i="2"/>
  <c r="CG145" i="2" s="1"/>
  <c r="CI145" i="2" s="1"/>
  <c r="CF146" i="2"/>
  <c r="CG146" i="2" s="1"/>
  <c r="CI146" i="2" s="1"/>
  <c r="CF141" i="2"/>
  <c r="CG141" i="2" s="1"/>
  <c r="CI141" i="2" s="1"/>
  <c r="CF142" i="2"/>
  <c r="CG142" i="2" s="1"/>
  <c r="CI142" i="2" s="1"/>
  <c r="CF143" i="2"/>
  <c r="CG143" i="2" s="1"/>
  <c r="CI143" i="2" s="1"/>
  <c r="CF138" i="2"/>
  <c r="CG138" i="2" s="1"/>
  <c r="CI138" i="2" s="1"/>
  <c r="CF139" i="2"/>
  <c r="CG139" i="2" s="1"/>
  <c r="CI139" i="2" s="1"/>
  <c r="CF140" i="2"/>
  <c r="CG140" i="2" s="1"/>
  <c r="CI140" i="2" s="1"/>
  <c r="CF135" i="2"/>
  <c r="CG135" i="2" s="1"/>
  <c r="CI135" i="2" s="1"/>
  <c r="CF136" i="2"/>
  <c r="CG136" i="2" s="1"/>
  <c r="CI136" i="2" s="1"/>
  <c r="CF137" i="2"/>
  <c r="CG137" i="2" s="1"/>
  <c r="CI137" i="2" s="1"/>
  <c r="CF132" i="2"/>
  <c r="CG132" i="2" s="1"/>
  <c r="CI132" i="2" s="1"/>
  <c r="CF133" i="2"/>
  <c r="CG133" i="2" s="1"/>
  <c r="CI133" i="2" s="1"/>
  <c r="CF134" i="2"/>
  <c r="CG134" i="2" s="1"/>
  <c r="CI134" i="2" s="1"/>
  <c r="CF129" i="2"/>
  <c r="CG129" i="2" s="1"/>
  <c r="CI129" i="2" s="1"/>
  <c r="CF130" i="2"/>
  <c r="CG130" i="2" s="1"/>
  <c r="CI130" i="2" s="1"/>
  <c r="CF131" i="2"/>
  <c r="CG131" i="2" s="1"/>
  <c r="CI131" i="2" s="1"/>
  <c r="CF126" i="2"/>
  <c r="CG126" i="2" s="1"/>
  <c r="CI126" i="2" s="1"/>
  <c r="CF127" i="2"/>
  <c r="CG127" i="2" s="1"/>
  <c r="CI127" i="2" s="1"/>
  <c r="CF128" i="2"/>
  <c r="CG128" i="2" s="1"/>
  <c r="CI128" i="2" s="1"/>
  <c r="CF123" i="2"/>
  <c r="CG123" i="2" s="1"/>
  <c r="CI123" i="2" s="1"/>
  <c r="CF124" i="2"/>
  <c r="CG124" i="2" s="1"/>
  <c r="CI124" i="2" s="1"/>
  <c r="CF125" i="2"/>
  <c r="CG125" i="2" s="1"/>
  <c r="CI125" i="2" s="1"/>
  <c r="CF120" i="2"/>
  <c r="CG120" i="2" s="1"/>
  <c r="CI120" i="2" s="1"/>
  <c r="CF121" i="2"/>
  <c r="CG121" i="2" s="1"/>
  <c r="CI121" i="2" s="1"/>
  <c r="CF122" i="2"/>
  <c r="CG122" i="2" s="1"/>
  <c r="CI122" i="2" s="1"/>
  <c r="CF117" i="2"/>
  <c r="CG117" i="2" s="1"/>
  <c r="CI117" i="2" s="1"/>
  <c r="CF118" i="2"/>
  <c r="CG118" i="2" s="1"/>
  <c r="CI118" i="2" s="1"/>
  <c r="CF119" i="2"/>
  <c r="CG119" i="2" s="1"/>
  <c r="CI119" i="2" s="1"/>
  <c r="CF114" i="2"/>
  <c r="CG114" i="2" s="1"/>
  <c r="CI114" i="2" s="1"/>
  <c r="CF115" i="2"/>
  <c r="CG115" i="2" s="1"/>
  <c r="CI115" i="2" s="1"/>
  <c r="CF116" i="2"/>
  <c r="CG116" i="2" s="1"/>
  <c r="CI116" i="2" s="1"/>
  <c r="CF111" i="2"/>
  <c r="CG111" i="2" s="1"/>
  <c r="CI111" i="2" s="1"/>
  <c r="CF112" i="2"/>
  <c r="CG112" i="2" s="1"/>
  <c r="CI112" i="2" s="1"/>
  <c r="CF113" i="2"/>
  <c r="CG113" i="2" s="1"/>
  <c r="CI113" i="2" s="1"/>
  <c r="CF108" i="2"/>
  <c r="CG108" i="2" s="1"/>
  <c r="CI108" i="2" s="1"/>
  <c r="CF109" i="2"/>
  <c r="CG109" i="2" s="1"/>
  <c r="CI109" i="2" s="1"/>
  <c r="CF110" i="2"/>
  <c r="CG110" i="2" s="1"/>
  <c r="CI110" i="2" s="1"/>
  <c r="CF105" i="2"/>
  <c r="CG105" i="2" s="1"/>
  <c r="CI105" i="2" s="1"/>
  <c r="CF106" i="2"/>
  <c r="CG106" i="2" s="1"/>
  <c r="CI106" i="2" s="1"/>
  <c r="CF107" i="2"/>
  <c r="CG107" i="2" s="1"/>
  <c r="CI107" i="2" s="1"/>
  <c r="CF102" i="2"/>
  <c r="CG102" i="2" s="1"/>
  <c r="CI102" i="2" s="1"/>
  <c r="CF103" i="2"/>
  <c r="CG103" i="2" s="1"/>
  <c r="CI103" i="2" s="1"/>
  <c r="CF104" i="2"/>
  <c r="CG104" i="2" s="1"/>
  <c r="CI104" i="2" s="1"/>
  <c r="CF99" i="2"/>
  <c r="CG99" i="2" s="1"/>
  <c r="CI99" i="2" s="1"/>
  <c r="CF100" i="2"/>
  <c r="CG100" i="2" s="1"/>
  <c r="CI100" i="2" s="1"/>
  <c r="CF101" i="2"/>
  <c r="CG101" i="2" s="1"/>
  <c r="CI101" i="2" s="1"/>
  <c r="CF96" i="2"/>
  <c r="CG96" i="2" s="1"/>
  <c r="CI96" i="2" s="1"/>
  <c r="CF97" i="2"/>
  <c r="CG97" i="2" s="1"/>
  <c r="CI97" i="2" s="1"/>
  <c r="CF98" i="2"/>
  <c r="CG98" i="2" s="1"/>
  <c r="CI98" i="2" s="1"/>
  <c r="CF93" i="2"/>
  <c r="CG93" i="2" s="1"/>
  <c r="CI93" i="2" s="1"/>
  <c r="CF94" i="2"/>
  <c r="CG94" i="2" s="1"/>
  <c r="CI94" i="2" s="1"/>
  <c r="CF95" i="2"/>
  <c r="CG95" i="2" s="1"/>
  <c r="CI95" i="2" s="1"/>
  <c r="CF90" i="2"/>
  <c r="CG90" i="2" s="1"/>
  <c r="CI90" i="2" s="1"/>
  <c r="CF91" i="2"/>
  <c r="CG91" i="2" s="1"/>
  <c r="CI91" i="2" s="1"/>
  <c r="CF92" i="2"/>
  <c r="CG92" i="2" s="1"/>
  <c r="CI92" i="2" s="1"/>
  <c r="CF87" i="2"/>
  <c r="CG87" i="2" s="1"/>
  <c r="CI87" i="2" s="1"/>
  <c r="CF88" i="2"/>
  <c r="CG88" i="2" s="1"/>
  <c r="CI88" i="2" s="1"/>
  <c r="CF89" i="2"/>
  <c r="CG89" i="2" s="1"/>
  <c r="CI89" i="2" s="1"/>
  <c r="CF84" i="2"/>
  <c r="CG84" i="2" s="1"/>
  <c r="CI84" i="2" s="1"/>
  <c r="CF85" i="2"/>
  <c r="CG85" i="2" s="1"/>
  <c r="CI85" i="2" s="1"/>
  <c r="CF86" i="2"/>
  <c r="CG86" i="2" s="1"/>
  <c r="CI86" i="2" s="1"/>
  <c r="CF81" i="2"/>
  <c r="CG81" i="2" s="1"/>
  <c r="CI81" i="2" s="1"/>
  <c r="CF82" i="2"/>
  <c r="CG82" i="2" s="1"/>
  <c r="CI82" i="2" s="1"/>
  <c r="CF83" i="2"/>
  <c r="CG83" i="2" s="1"/>
  <c r="CI83" i="2" s="1"/>
  <c r="CF78" i="2"/>
  <c r="CG78" i="2" s="1"/>
  <c r="CI78" i="2" s="1"/>
  <c r="CF79" i="2"/>
  <c r="CG79" i="2" s="1"/>
  <c r="CI79" i="2" s="1"/>
  <c r="CF80" i="2"/>
  <c r="CG80" i="2" s="1"/>
  <c r="CI80" i="2" s="1"/>
  <c r="CF75" i="2"/>
  <c r="CG75" i="2" s="1"/>
  <c r="CI75" i="2" s="1"/>
  <c r="CF76" i="2"/>
  <c r="CG76" i="2" s="1"/>
  <c r="CI76" i="2" s="1"/>
  <c r="CF77" i="2"/>
  <c r="CG77" i="2" s="1"/>
  <c r="CI77" i="2" s="1"/>
  <c r="CF72" i="2"/>
  <c r="CG72" i="2" s="1"/>
  <c r="CI72" i="2" s="1"/>
  <c r="CF73" i="2"/>
  <c r="CG73" i="2" s="1"/>
  <c r="CI73" i="2" s="1"/>
  <c r="CF74" i="2"/>
  <c r="CG74" i="2" s="1"/>
  <c r="CI74" i="2" s="1"/>
  <c r="CF69" i="2"/>
  <c r="CG69" i="2" s="1"/>
  <c r="CI69" i="2" s="1"/>
  <c r="CF70" i="2"/>
  <c r="CG70" i="2" s="1"/>
  <c r="CI70" i="2" s="1"/>
  <c r="CF71" i="2"/>
  <c r="CG71" i="2" s="1"/>
  <c r="CI71" i="2" s="1"/>
  <c r="CF66" i="2"/>
  <c r="CG66" i="2" s="1"/>
  <c r="CI66" i="2" s="1"/>
  <c r="CF67" i="2"/>
  <c r="CG67" i="2" s="1"/>
  <c r="CI67" i="2" s="1"/>
  <c r="CF68" i="2"/>
  <c r="CG68" i="2" s="1"/>
  <c r="CI68" i="2" s="1"/>
  <c r="CF63" i="2"/>
  <c r="CG63" i="2" s="1"/>
  <c r="CI63" i="2" s="1"/>
  <c r="CF64" i="2"/>
  <c r="CG64" i="2" s="1"/>
  <c r="CI64" i="2" s="1"/>
  <c r="CF65" i="2"/>
  <c r="CG65" i="2" s="1"/>
  <c r="CI65" i="2" s="1"/>
  <c r="CF60" i="2"/>
  <c r="CG60" i="2" s="1"/>
  <c r="CI60" i="2" s="1"/>
  <c r="CF61" i="2"/>
  <c r="CG61" i="2" s="1"/>
  <c r="CI61" i="2" s="1"/>
  <c r="CF62" i="2"/>
  <c r="CG62" i="2" s="1"/>
  <c r="CI62" i="2" s="1"/>
  <c r="CF57" i="2"/>
  <c r="CG57" i="2" s="1"/>
  <c r="CI57" i="2" s="1"/>
  <c r="CF58" i="2"/>
  <c r="CG58" i="2" s="1"/>
  <c r="CI58" i="2" s="1"/>
  <c r="CF59" i="2"/>
  <c r="CG59" i="2" s="1"/>
  <c r="CI59" i="2" s="1"/>
  <c r="CF54" i="2"/>
  <c r="CG54" i="2" s="1"/>
  <c r="CI54" i="2" s="1"/>
  <c r="CF55" i="2"/>
  <c r="CG55" i="2" s="1"/>
  <c r="CI55" i="2" s="1"/>
  <c r="CF56" i="2"/>
  <c r="CG56" i="2" s="1"/>
  <c r="CI56" i="2" s="1"/>
  <c r="CF51" i="2"/>
  <c r="CG51" i="2" s="1"/>
  <c r="CI51" i="2" s="1"/>
  <c r="CF52" i="2"/>
  <c r="CG52" i="2" s="1"/>
  <c r="CI52" i="2" s="1"/>
  <c r="CF53" i="2"/>
  <c r="CG53" i="2" s="1"/>
  <c r="CI53" i="2" s="1"/>
  <c r="CF48" i="2"/>
  <c r="CG48" i="2" s="1"/>
  <c r="CI48" i="2" s="1"/>
  <c r="CF49" i="2"/>
  <c r="CG49" i="2" s="1"/>
  <c r="CI49" i="2" s="1"/>
  <c r="CF50" i="2"/>
  <c r="CG50" i="2" s="1"/>
  <c r="CI50" i="2" s="1"/>
  <c r="CF45" i="2"/>
  <c r="CG45" i="2" s="1"/>
  <c r="CI45" i="2" s="1"/>
  <c r="CF46" i="2"/>
  <c r="CG46" i="2" s="1"/>
  <c r="CI46" i="2" s="1"/>
  <c r="CF47" i="2"/>
  <c r="CG47" i="2" s="1"/>
  <c r="CI47" i="2" s="1"/>
  <c r="CF42" i="2"/>
  <c r="CG42" i="2" s="1"/>
  <c r="CI42" i="2" s="1"/>
  <c r="CF43" i="2"/>
  <c r="CG43" i="2" s="1"/>
  <c r="CI43" i="2" s="1"/>
  <c r="CF44" i="2"/>
  <c r="CG44" i="2" s="1"/>
  <c r="CI44" i="2" s="1"/>
  <c r="CF39" i="2"/>
  <c r="CG39" i="2" s="1"/>
  <c r="CI39" i="2" s="1"/>
  <c r="CF40" i="2"/>
  <c r="CG40" i="2" s="1"/>
  <c r="CI40" i="2" s="1"/>
  <c r="CF41" i="2"/>
  <c r="CG41" i="2" s="1"/>
  <c r="CI41" i="2" s="1"/>
  <c r="CF36" i="2"/>
  <c r="CG36" i="2" s="1"/>
  <c r="CI36" i="2" s="1"/>
  <c r="CF37" i="2"/>
  <c r="CG37" i="2" s="1"/>
  <c r="CI37" i="2" s="1"/>
  <c r="CF38" i="2"/>
  <c r="CG38" i="2" s="1"/>
  <c r="CI38" i="2" s="1"/>
  <c r="CF35" i="2"/>
  <c r="CG35" i="2" s="1"/>
  <c r="CI35" i="2" s="1"/>
  <c r="CF34" i="2"/>
  <c r="CF33" i="2"/>
  <c r="CE241" i="2"/>
  <c r="CE242" i="2"/>
  <c r="CE243" i="2"/>
  <c r="CE238" i="2"/>
  <c r="CE239" i="2"/>
  <c r="CE240" i="2"/>
  <c r="CE235" i="2"/>
  <c r="CE236" i="2"/>
  <c r="CE237" i="2"/>
  <c r="CE232" i="2"/>
  <c r="CE233" i="2"/>
  <c r="CE234" i="2"/>
  <c r="CE229" i="2"/>
  <c r="CE230" i="2"/>
  <c r="CE231" i="2"/>
  <c r="CE226" i="2"/>
  <c r="CE227" i="2"/>
  <c r="CE228" i="2"/>
  <c r="CE223" i="2"/>
  <c r="CE224" i="2"/>
  <c r="CE225" i="2"/>
  <c r="CE220" i="2"/>
  <c r="CE221" i="2"/>
  <c r="CE222" i="2"/>
  <c r="CE217" i="2"/>
  <c r="CE218" i="2"/>
  <c r="CE219" i="2"/>
  <c r="CE214" i="2"/>
  <c r="CE215" i="2"/>
  <c r="CE216" i="2"/>
  <c r="CE211" i="2"/>
  <c r="CE212" i="2"/>
  <c r="CE213" i="2"/>
  <c r="CE208" i="2"/>
  <c r="CE209" i="2"/>
  <c r="CE210" i="2"/>
  <c r="CE205" i="2"/>
  <c r="CE206" i="2"/>
  <c r="CE207" i="2"/>
  <c r="CE202" i="2"/>
  <c r="CE203" i="2"/>
  <c r="CE204" i="2"/>
  <c r="CE199" i="2"/>
  <c r="CE200" i="2"/>
  <c r="CE201" i="2"/>
  <c r="CE196" i="2"/>
  <c r="CE197" i="2"/>
  <c r="CE198" i="2"/>
  <c r="CE193" i="2"/>
  <c r="CE194" i="2"/>
  <c r="CE195" i="2"/>
  <c r="CE190" i="2"/>
  <c r="CE191" i="2"/>
  <c r="CE192" i="2"/>
  <c r="CE187" i="2"/>
  <c r="CE188" i="2"/>
  <c r="CE189" i="2"/>
  <c r="CE184" i="2"/>
  <c r="CE185" i="2"/>
  <c r="CE186" i="2"/>
  <c r="CE181" i="2"/>
  <c r="CE182" i="2"/>
  <c r="CE183" i="2"/>
  <c r="CE178" i="2"/>
  <c r="CE179" i="2"/>
  <c r="CE180" i="2"/>
  <c r="CE175" i="2"/>
  <c r="CE176" i="2"/>
  <c r="CE177" i="2"/>
  <c r="CE172" i="2"/>
  <c r="CE173" i="2"/>
  <c r="CE174" i="2"/>
  <c r="CE168" i="2"/>
  <c r="CE169" i="2"/>
  <c r="CE170" i="2"/>
  <c r="CE165" i="2"/>
  <c r="CE166" i="2"/>
  <c r="CE167" i="2"/>
  <c r="CE171" i="2"/>
  <c r="CE162" i="2"/>
  <c r="CE163" i="2"/>
  <c r="CE164" i="2"/>
  <c r="CE159" i="2"/>
  <c r="CE160" i="2"/>
  <c r="CE161" i="2"/>
  <c r="CE156" i="2"/>
  <c r="CE157" i="2"/>
  <c r="CE158" i="2"/>
  <c r="CE153" i="2"/>
  <c r="CE154" i="2"/>
  <c r="CE155" i="2"/>
  <c r="CE150" i="2"/>
  <c r="CE151" i="2"/>
  <c r="CE152" i="2"/>
  <c r="CE147" i="2"/>
  <c r="CE148" i="2"/>
  <c r="CE149" i="2"/>
  <c r="CE144" i="2"/>
  <c r="CE145" i="2"/>
  <c r="CE146" i="2"/>
  <c r="CE141" i="2"/>
  <c r="CE142" i="2"/>
  <c r="CE143" i="2"/>
  <c r="CE138" i="2"/>
  <c r="CE139" i="2"/>
  <c r="CE140" i="2"/>
  <c r="CE135" i="2"/>
  <c r="CE136" i="2"/>
  <c r="CE137" i="2"/>
  <c r="CE132" i="2"/>
  <c r="CE133" i="2"/>
  <c r="CE134" i="2"/>
  <c r="CE129" i="2"/>
  <c r="CE130" i="2"/>
  <c r="CE131" i="2"/>
  <c r="CE126" i="2"/>
  <c r="CE127" i="2"/>
  <c r="CE128" i="2"/>
  <c r="CE123" i="2"/>
  <c r="CE124" i="2"/>
  <c r="CE125" i="2"/>
  <c r="CE120" i="2"/>
  <c r="CE121" i="2"/>
  <c r="CE122" i="2"/>
  <c r="CE117" i="2"/>
  <c r="CE118" i="2"/>
  <c r="CE119" i="2"/>
  <c r="CE114" i="2"/>
  <c r="CE115" i="2"/>
  <c r="CE116" i="2"/>
  <c r="CE111" i="2"/>
  <c r="CE112" i="2"/>
  <c r="CE113" i="2"/>
  <c r="CE108" i="2"/>
  <c r="CE109" i="2"/>
  <c r="CE110" i="2"/>
  <c r="CE105" i="2"/>
  <c r="CE106" i="2"/>
  <c r="CE107" i="2"/>
  <c r="CE102" i="2"/>
  <c r="CE103" i="2"/>
  <c r="CE104" i="2"/>
  <c r="CE99" i="2"/>
  <c r="CE100" i="2"/>
  <c r="CE101" i="2"/>
  <c r="CE96" i="2"/>
  <c r="CE97" i="2"/>
  <c r="CE98" i="2"/>
  <c r="CE93" i="2"/>
  <c r="CE94" i="2"/>
  <c r="CE95" i="2"/>
  <c r="CE90" i="2"/>
  <c r="CE91" i="2"/>
  <c r="CE92" i="2"/>
  <c r="CE87" i="2"/>
  <c r="CE88" i="2"/>
  <c r="CE89" i="2"/>
  <c r="CE84" i="2"/>
  <c r="CE85" i="2"/>
  <c r="CE86" i="2"/>
  <c r="CE81" i="2"/>
  <c r="CE82" i="2"/>
  <c r="CE83" i="2"/>
  <c r="CE78" i="2"/>
  <c r="CE79" i="2"/>
  <c r="CE80" i="2"/>
  <c r="CE75" i="2"/>
  <c r="CE76" i="2"/>
  <c r="CE77" i="2"/>
  <c r="CE72" i="2"/>
  <c r="CE73" i="2"/>
  <c r="CE74" i="2"/>
  <c r="CE69" i="2"/>
  <c r="CE70" i="2"/>
  <c r="CE71" i="2"/>
  <c r="CE66" i="2"/>
  <c r="CE67" i="2"/>
  <c r="CE68" i="2"/>
  <c r="CE63" i="2"/>
  <c r="CE64" i="2"/>
  <c r="CE65" i="2"/>
  <c r="CE60" i="2"/>
  <c r="CE61" i="2"/>
  <c r="CE62" i="2"/>
  <c r="CE57" i="2"/>
  <c r="CE58" i="2"/>
  <c r="CE59" i="2"/>
  <c r="CE54" i="2"/>
  <c r="CE55" i="2"/>
  <c r="CE56" i="2"/>
  <c r="CE51" i="2"/>
  <c r="CE52" i="2"/>
  <c r="CE53" i="2"/>
  <c r="CE48" i="2"/>
  <c r="CE49" i="2"/>
  <c r="CE50" i="2"/>
  <c r="CE45" i="2"/>
  <c r="CE46" i="2"/>
  <c r="CE47" i="2"/>
  <c r="CE42" i="2"/>
  <c r="CE43" i="2"/>
  <c r="CE44" i="2"/>
  <c r="CE39" i="2"/>
  <c r="CE40" i="2"/>
  <c r="CE41" i="2"/>
  <c r="CE36" i="2"/>
  <c r="CE37" i="2"/>
  <c r="CE38" i="2"/>
  <c r="CE35" i="2"/>
  <c r="CE34" i="2"/>
  <c r="CE33" i="2"/>
  <c r="BW241" i="2" l="1"/>
  <c r="BP104" i="2" a="1"/>
  <c r="BP104" i="2" s="1"/>
  <c r="BR104" i="2" s="1"/>
  <c r="CJ76" i="2" a="1"/>
  <c r="CJ76" i="2" s="1"/>
  <c r="CK76" i="2" s="1"/>
  <c r="CJ44" i="2" a="1"/>
  <c r="CJ44" i="2" s="1"/>
  <c r="CK44" i="2" s="1"/>
  <c r="CJ112" i="2" a="1"/>
  <c r="CJ112" i="2" s="1"/>
  <c r="CK112" i="2" s="1"/>
  <c r="CJ56" i="2" a="1"/>
  <c r="CJ56" i="2" s="1"/>
  <c r="CK56" i="2" s="1"/>
  <c r="CJ36" i="2" a="1"/>
  <c r="CJ36" i="2" s="1"/>
  <c r="CK36" i="2" s="1"/>
  <c r="CJ242" i="2" a="1"/>
  <c r="CJ242" i="2" s="1"/>
  <c r="CK242" i="2" s="1"/>
  <c r="CG34" i="2"/>
  <c r="CI34" i="2" s="1"/>
  <c r="CJ80" i="2" a="1"/>
  <c r="CJ80" i="2" s="1"/>
  <c r="CK80" i="2" s="1"/>
  <c r="CJ60" i="2" a="1"/>
  <c r="CJ60" i="2" s="1"/>
  <c r="CK60" i="2" s="1"/>
  <c r="CJ228" i="2" a="1"/>
  <c r="CJ228" i="2" s="1"/>
  <c r="CK228" i="2" s="1"/>
  <c r="CJ52" i="2" a="1"/>
  <c r="CJ52" i="2" s="1"/>
  <c r="CK52" i="2" s="1"/>
  <c r="CJ167" i="2" a="1"/>
  <c r="CJ167" i="2" s="1"/>
  <c r="CK167" i="2" s="1"/>
  <c r="CG33" i="2"/>
  <c r="CI33" i="2" s="1"/>
  <c r="BP63" i="2" a="1"/>
  <c r="BP63" i="2" s="1"/>
  <c r="BR63" i="2" s="1"/>
  <c r="BP54" i="2" a="1"/>
  <c r="BP54" i="2" s="1"/>
  <c r="BR54" i="2" s="1"/>
  <c r="BP43" i="2" a="1"/>
  <c r="BP43" i="2" s="1"/>
  <c r="BR43" i="2" s="1"/>
  <c r="BP84" i="2" a="1"/>
  <c r="BP84" i="2" s="1"/>
  <c r="BR84" i="2" s="1"/>
  <c r="CJ40" i="2" a="1"/>
  <c r="CJ40" i="2" s="1"/>
  <c r="CK40" i="2" s="1"/>
  <c r="BP64" i="2" a="1"/>
  <c r="BP64" i="2" s="1"/>
  <c r="BR64" i="2" s="1"/>
  <c r="BP62" i="2" a="1"/>
  <c r="BP62" i="2" s="1"/>
  <c r="BR62" i="2" s="1"/>
  <c r="BP58" i="2" a="1"/>
  <c r="BP58" i="2" s="1"/>
  <c r="BR58" i="2" s="1"/>
  <c r="BP101" i="2" a="1"/>
  <c r="BP101" i="2" s="1"/>
  <c r="BR101" i="2" s="1"/>
  <c r="CJ117" i="2" a="1"/>
  <c r="CJ117" i="2" s="1"/>
  <c r="CK117" i="2" s="1"/>
  <c r="CJ142" i="2" a="1"/>
  <c r="CJ142" i="2" s="1"/>
  <c r="CK142" i="2" s="1"/>
  <c r="CJ236" i="2" a="1"/>
  <c r="CJ236" i="2" s="1"/>
  <c r="CK236" i="2" s="1"/>
  <c r="CJ87" i="2" a="1"/>
  <c r="CJ87" i="2" s="1"/>
  <c r="CK87" i="2" s="1"/>
  <c r="CJ79" i="2" a="1"/>
  <c r="CJ79" i="2" s="1"/>
  <c r="CK79" i="2" s="1"/>
  <c r="CJ241" i="2" a="1"/>
  <c r="CJ241" i="2" s="1"/>
  <c r="CK241" i="2" s="1"/>
  <c r="CJ63" i="2" a="1"/>
  <c r="CJ63" i="2" s="1"/>
  <c r="CK63" i="2" s="1"/>
  <c r="CJ170" i="2" a="1"/>
  <c r="CJ170" i="2" s="1"/>
  <c r="CK170" i="2" s="1"/>
  <c r="CJ134" i="2" a="1"/>
  <c r="CJ134" i="2" s="1"/>
  <c r="CK134" i="2" s="1"/>
  <c r="CJ156" i="2" a="1"/>
  <c r="CJ156" i="2" s="1"/>
  <c r="CK156" i="2" s="1"/>
  <c r="CJ178" i="2" a="1"/>
  <c r="CJ178" i="2" s="1"/>
  <c r="CK178" i="2" s="1"/>
  <c r="CJ187" i="2" a="1"/>
  <c r="CJ187" i="2" s="1"/>
  <c r="CK187" i="2" s="1"/>
  <c r="CJ188" i="2" a="1"/>
  <c r="CJ188" i="2" s="1"/>
  <c r="CK188" i="2" s="1"/>
  <c r="CJ222" i="2" a="1"/>
  <c r="CJ222" i="2" s="1"/>
  <c r="CK222" i="2" s="1"/>
  <c r="CJ171" i="2" a="1"/>
  <c r="CJ171" i="2" s="1"/>
  <c r="CK171" i="2" s="1"/>
  <c r="CJ43" i="2" a="1"/>
  <c r="CJ43" i="2" s="1"/>
  <c r="CK43" i="2" s="1"/>
  <c r="CJ208" i="2" a="1"/>
  <c r="CJ208" i="2" s="1"/>
  <c r="CK208" i="2" s="1"/>
  <c r="BP96" i="2" a="1"/>
  <c r="BP96" i="2" s="1"/>
  <c r="BR96" i="2" s="1"/>
  <c r="BP36" i="2" a="1"/>
  <c r="BP36" i="2" s="1"/>
  <c r="BR36" i="2" s="1"/>
  <c r="BP97" i="2" a="1"/>
  <c r="BP97" i="2" s="1"/>
  <c r="BR97" i="2" s="1"/>
  <c r="BP67" i="2" a="1"/>
  <c r="BP67" i="2" s="1"/>
  <c r="BR67" i="2" s="1"/>
  <c r="BP87" i="2" a="1"/>
  <c r="BP87" i="2" s="1"/>
  <c r="BR87" i="2" s="1"/>
  <c r="CJ209" i="2" a="1"/>
  <c r="CJ209" i="2" s="1"/>
  <c r="CK209" i="2" s="1"/>
  <c r="CJ81" i="2" a="1"/>
  <c r="CJ81" i="2" s="1"/>
  <c r="CK81" i="2" s="1"/>
  <c r="CJ130" i="2" a="1"/>
  <c r="CJ130" i="2" s="1"/>
  <c r="CK130" i="2" s="1"/>
  <c r="CJ224" i="2" a="1"/>
  <c r="CJ224" i="2" s="1"/>
  <c r="CK224" i="2" s="1"/>
  <c r="CJ67" i="2" a="1"/>
  <c r="CJ67" i="2" s="1"/>
  <c r="CK67" i="2" s="1"/>
  <c r="CJ193" i="2" a="1"/>
  <c r="CJ193" i="2" s="1"/>
  <c r="CK193" i="2" s="1"/>
  <c r="CJ53" i="2" a="1"/>
  <c r="CJ53" i="2" s="1"/>
  <c r="CK53" i="2" s="1"/>
  <c r="CJ133" i="2" a="1"/>
  <c r="CJ133" i="2" s="1"/>
  <c r="CK133" i="2" s="1"/>
  <c r="CJ122" i="2" a="1"/>
  <c r="CJ122" i="2" s="1"/>
  <c r="CK122" i="2" s="1"/>
  <c r="CJ145" i="2" a="1"/>
  <c r="CJ145" i="2" s="1"/>
  <c r="CK145" i="2" s="1"/>
  <c r="CJ165" i="2" a="1"/>
  <c r="CJ165" i="2" s="1"/>
  <c r="CK165" i="2" s="1"/>
  <c r="CJ175" i="2" a="1"/>
  <c r="CJ175" i="2" s="1"/>
  <c r="CK175" i="2" s="1"/>
  <c r="CJ176" i="2" a="1"/>
  <c r="CJ176" i="2" s="1"/>
  <c r="CK176" i="2" s="1"/>
  <c r="CJ210" i="2" a="1"/>
  <c r="CJ210" i="2" s="1"/>
  <c r="CK210" i="2" s="1"/>
  <c r="CJ126" i="2" a="1"/>
  <c r="CJ126" i="2" s="1"/>
  <c r="CK126" i="2" s="1"/>
  <c r="CJ148" i="2" a="1"/>
  <c r="CJ148" i="2" s="1"/>
  <c r="CK148" i="2" s="1"/>
  <c r="CJ120" i="2" a="1"/>
  <c r="CJ120" i="2" s="1"/>
  <c r="CK120" i="2" s="1"/>
  <c r="BP79" i="2" a="1"/>
  <c r="BP79" i="2" s="1"/>
  <c r="BR79" i="2" s="1"/>
  <c r="BP90" i="2" a="1"/>
  <c r="BP90" i="2" s="1"/>
  <c r="BR90" i="2" s="1"/>
  <c r="BP73" i="2" a="1"/>
  <c r="BP73" i="2" s="1"/>
  <c r="BR73" i="2" s="1"/>
  <c r="BP38" i="2" a="1"/>
  <c r="BP38" i="2" s="1"/>
  <c r="BR38" i="2" s="1"/>
  <c r="BP93" i="2" a="1"/>
  <c r="BP93" i="2" s="1"/>
  <c r="BR93" i="2" s="1"/>
  <c r="BP46" i="2" a="1"/>
  <c r="BP46" i="2" s="1"/>
  <c r="BR46" i="2" s="1"/>
  <c r="BP61" i="2" a="1"/>
  <c r="BP61" i="2" s="1"/>
  <c r="BR61" i="2" s="1"/>
  <c r="CJ136" i="2" a="1"/>
  <c r="CJ136" i="2" s="1"/>
  <c r="CK136" i="2" s="1"/>
  <c r="CJ69" i="2" a="1"/>
  <c r="CJ69" i="2" s="1"/>
  <c r="CK69" i="2" s="1"/>
  <c r="CJ118" i="2" a="1"/>
  <c r="CJ118" i="2" s="1"/>
  <c r="CK118" i="2" s="1"/>
  <c r="CJ212" i="2" a="1"/>
  <c r="CJ212" i="2" s="1"/>
  <c r="CK212" i="2" s="1"/>
  <c r="CJ225" i="2" a="1"/>
  <c r="CJ225" i="2" s="1"/>
  <c r="CK225" i="2" s="1"/>
  <c r="CJ55" i="2" a="1"/>
  <c r="CJ55" i="2" s="1"/>
  <c r="CK55" i="2" s="1"/>
  <c r="CJ181" i="2" a="1"/>
  <c r="CJ181" i="2" s="1"/>
  <c r="CK181" i="2" s="1"/>
  <c r="CJ41" i="2" a="1"/>
  <c r="CJ41" i="2" s="1"/>
  <c r="CK41" i="2" s="1"/>
  <c r="CJ121" i="2" a="1"/>
  <c r="CJ121" i="2" s="1"/>
  <c r="CK121" i="2" s="1"/>
  <c r="CJ110" i="2" a="1"/>
  <c r="CJ110" i="2" s="1"/>
  <c r="CK110" i="2" s="1"/>
  <c r="CJ166" i="2" a="1"/>
  <c r="CJ166" i="2" s="1"/>
  <c r="CK166" i="2" s="1"/>
  <c r="CJ238" i="2" a="1"/>
  <c r="CJ238" i="2" s="1"/>
  <c r="CK238" i="2" s="1"/>
  <c r="CJ143" i="2" a="1"/>
  <c r="CJ143" i="2" s="1"/>
  <c r="CK143" i="2" s="1"/>
  <c r="CJ114" i="2" a="1"/>
  <c r="CJ114" i="2" s="1"/>
  <c r="CK114" i="2" s="1"/>
  <c r="CJ196" i="2" a="1"/>
  <c r="CJ196" i="2" s="1"/>
  <c r="CK196" i="2" s="1"/>
  <c r="CJ54" i="2" a="1"/>
  <c r="CJ54" i="2" s="1"/>
  <c r="CK54" i="2" s="1"/>
  <c r="CJ174" i="2" a="1"/>
  <c r="CJ174" i="2" s="1"/>
  <c r="CK174" i="2" s="1"/>
  <c r="BP86" i="2" a="1"/>
  <c r="BP86" i="2" s="1"/>
  <c r="BR86" i="2" s="1"/>
  <c r="BP57" i="2" a="1"/>
  <c r="BP57" i="2" s="1"/>
  <c r="BR57" i="2" s="1"/>
  <c r="BP89" i="2" a="1"/>
  <c r="BP89" i="2" s="1"/>
  <c r="BR89" i="2" s="1"/>
  <c r="BP80" i="2" a="1"/>
  <c r="BP80" i="2" s="1"/>
  <c r="BR80" i="2" s="1"/>
  <c r="CJ72" i="2" a="1"/>
  <c r="CJ72" i="2" s="1"/>
  <c r="CK72" i="2" s="1"/>
  <c r="CJ135" i="2" a="1"/>
  <c r="CJ135" i="2" s="1"/>
  <c r="CK135" i="2" s="1"/>
  <c r="CJ57" i="2" a="1"/>
  <c r="CJ57" i="2" s="1"/>
  <c r="CK57" i="2" s="1"/>
  <c r="CJ106" i="2" a="1"/>
  <c r="CJ106" i="2" s="1"/>
  <c r="CK106" i="2" s="1"/>
  <c r="CJ200" i="2" a="1"/>
  <c r="CJ200" i="2" s="1"/>
  <c r="CK200" i="2" s="1"/>
  <c r="CJ213" i="2" a="1"/>
  <c r="CJ213" i="2" s="1"/>
  <c r="CK213" i="2" s="1"/>
  <c r="CJ168" i="2" a="1"/>
  <c r="CJ168" i="2" s="1"/>
  <c r="CK168" i="2" s="1"/>
  <c r="CJ109" i="2" a="1"/>
  <c r="CJ109" i="2" s="1"/>
  <c r="CK109" i="2" s="1"/>
  <c r="CJ98" i="2" a="1"/>
  <c r="CJ98" i="2" s="1"/>
  <c r="CK98" i="2" s="1"/>
  <c r="CJ239" i="2" a="1"/>
  <c r="CJ239" i="2" s="1"/>
  <c r="CK239" i="2" s="1"/>
  <c r="CJ131" i="2" a="1"/>
  <c r="CJ131" i="2" s="1"/>
  <c r="CK131" i="2" s="1"/>
  <c r="CJ42" i="2" a="1"/>
  <c r="CJ42" i="2" s="1"/>
  <c r="CK42" i="2" s="1"/>
  <c r="CJ186" i="2" a="1"/>
  <c r="CJ186" i="2" s="1"/>
  <c r="CK186" i="2" s="1"/>
  <c r="CJ132" i="2" a="1"/>
  <c r="CJ132" i="2" s="1"/>
  <c r="CK132" i="2" s="1"/>
  <c r="CJ64" i="2" a="1"/>
  <c r="CJ64" i="2" s="1"/>
  <c r="CK64" i="2" s="1"/>
  <c r="CJ164" i="2" a="1"/>
  <c r="CJ164" i="2" s="1"/>
  <c r="CK164" i="2" s="1"/>
  <c r="BP95" i="2" a="1"/>
  <c r="BP95" i="2" s="1"/>
  <c r="BR95" i="2" s="1"/>
  <c r="CJ144" i="2" a="1"/>
  <c r="CJ144" i="2" s="1"/>
  <c r="CK144" i="2" s="1"/>
  <c r="CJ45" i="2" a="1"/>
  <c r="CJ45" i="2" s="1"/>
  <c r="CK45" i="2" s="1"/>
  <c r="CJ162" i="2" a="1"/>
  <c r="CJ162" i="2" s="1"/>
  <c r="CK162" i="2" s="1"/>
  <c r="CJ123" i="2" a="1"/>
  <c r="CJ123" i="2" s="1"/>
  <c r="CK123" i="2" s="1"/>
  <c r="CJ161" i="2" a="1"/>
  <c r="CJ161" i="2" s="1"/>
  <c r="CK161" i="2" s="1"/>
  <c r="CJ86" i="2" a="1"/>
  <c r="CJ86" i="2" s="1"/>
  <c r="CK86" i="2" s="1"/>
  <c r="CJ119" i="2" a="1"/>
  <c r="CJ119" i="2" s="1"/>
  <c r="CK119" i="2" s="1"/>
  <c r="BP72" i="2" a="1"/>
  <c r="BP72" i="2" s="1"/>
  <c r="BR72" i="2" s="1"/>
  <c r="BP69" i="2" a="1"/>
  <c r="BP69" i="2" s="1"/>
  <c r="BR69" i="2" s="1"/>
  <c r="CJ146" i="2" a="1"/>
  <c r="CJ146" i="2" s="1"/>
  <c r="CK146" i="2" s="1"/>
  <c r="CJ215" i="2" a="1"/>
  <c r="CJ215" i="2" s="1"/>
  <c r="CK215" i="2" s="1"/>
  <c r="CJ221" i="2" a="1"/>
  <c r="CJ221" i="2" s="1"/>
  <c r="CK221" i="2" s="1"/>
  <c r="CJ70" i="2" a="1"/>
  <c r="CJ70" i="2" s="1"/>
  <c r="CK70" i="2" s="1"/>
  <c r="CJ150" i="2" a="1"/>
  <c r="CJ150" i="2" s="1"/>
  <c r="CK150" i="2" s="1"/>
  <c r="CJ189" i="2" a="1"/>
  <c r="CJ189" i="2" s="1"/>
  <c r="CK189" i="2" s="1"/>
  <c r="CJ198" i="2" a="1"/>
  <c r="CJ198" i="2" s="1"/>
  <c r="CK198" i="2" s="1"/>
  <c r="CJ149" i="2" a="1"/>
  <c r="CJ149" i="2" s="1"/>
  <c r="CK149" i="2" s="1"/>
  <c r="CJ229" i="2" a="1"/>
  <c r="CJ229" i="2" s="1"/>
  <c r="CK229" i="2" s="1"/>
  <c r="CJ61" i="2" a="1"/>
  <c r="CJ61" i="2" s="1"/>
  <c r="CK61" i="2" s="1"/>
  <c r="CJ62" i="2" a="1"/>
  <c r="CJ62" i="2" s="1"/>
  <c r="CK62" i="2" s="1"/>
  <c r="CJ107" i="2" a="1"/>
  <c r="CJ107" i="2" s="1"/>
  <c r="CK107" i="2" s="1"/>
  <c r="CJ115" i="2" a="1"/>
  <c r="CJ115" i="2" s="1"/>
  <c r="CK115" i="2" s="1"/>
  <c r="CJ108" i="2" a="1"/>
  <c r="CJ108" i="2" s="1"/>
  <c r="CK108" i="2" s="1"/>
  <c r="CJ227" i="2" a="1"/>
  <c r="CJ227" i="2" s="1"/>
  <c r="CK227" i="2" s="1"/>
  <c r="CJ140" i="2" a="1"/>
  <c r="CJ140" i="2" s="1"/>
  <c r="CK140" i="2" s="1"/>
  <c r="BP59" i="2" a="1"/>
  <c r="BP59" i="2" s="1"/>
  <c r="BR59" i="2" s="1"/>
  <c r="BP56" i="2" a="1"/>
  <c r="BP56" i="2" s="1"/>
  <c r="BR56" i="2" s="1"/>
  <c r="BP65" i="2" a="1"/>
  <c r="BP65" i="2" s="1"/>
  <c r="BR65" i="2" s="1"/>
  <c r="BP82" i="2" a="1"/>
  <c r="BP82" i="2" s="1"/>
  <c r="BR82" i="2" s="1"/>
  <c r="BP55" i="2" a="1"/>
  <c r="BP55" i="2" s="1"/>
  <c r="BR55" i="2" s="1"/>
  <c r="BP47" i="2" a="1"/>
  <c r="BP47" i="2" s="1"/>
  <c r="BR47" i="2" s="1"/>
  <c r="CJ207" i="2" a="1"/>
  <c r="CJ207" i="2" s="1"/>
  <c r="CK207" i="2" s="1"/>
  <c r="CJ203" i="2" a="1"/>
  <c r="CJ203" i="2" s="1"/>
  <c r="CK203" i="2" s="1"/>
  <c r="CJ240" i="2" a="1"/>
  <c r="CJ240" i="2" s="1"/>
  <c r="CK240" i="2" s="1"/>
  <c r="CJ58" i="2" a="1"/>
  <c r="CJ58" i="2" s="1"/>
  <c r="CK58" i="2" s="1"/>
  <c r="CJ138" i="2" a="1"/>
  <c r="CJ138" i="2" s="1"/>
  <c r="CK138" i="2" s="1"/>
  <c r="CJ163" i="2" a="1"/>
  <c r="CJ163" i="2" s="1"/>
  <c r="CK163" i="2" s="1"/>
  <c r="CJ232" i="2" a="1"/>
  <c r="CJ232" i="2" s="1"/>
  <c r="CK232" i="2" s="1"/>
  <c r="CJ137" i="2" a="1"/>
  <c r="CJ137" i="2" s="1"/>
  <c r="CK137" i="2" s="1"/>
  <c r="CJ218" i="2" a="1"/>
  <c r="CJ218" i="2" s="1"/>
  <c r="CK218" i="2" s="1"/>
  <c r="CJ49" i="2" a="1"/>
  <c r="CJ49" i="2" s="1"/>
  <c r="CK49" i="2" s="1"/>
  <c r="CJ50" i="2" a="1"/>
  <c r="CJ50" i="2" s="1"/>
  <c r="CK50" i="2" s="1"/>
  <c r="CJ95" i="2" a="1"/>
  <c r="CJ95" i="2" s="1"/>
  <c r="CK95" i="2" s="1"/>
  <c r="CJ96" i="2" a="1"/>
  <c r="CJ96" i="2" s="1"/>
  <c r="CK96" i="2" s="1"/>
  <c r="CJ94" i="2" a="1"/>
  <c r="CJ94" i="2" s="1"/>
  <c r="CK94" i="2" s="1"/>
  <c r="CJ128" i="2" a="1"/>
  <c r="CJ128" i="2" s="1"/>
  <c r="CK128" i="2" s="1"/>
  <c r="BP45" i="2" a="1"/>
  <c r="BP45" i="2" s="1"/>
  <c r="BR45" i="2" s="1"/>
  <c r="CJ195" i="2" a="1"/>
  <c r="CJ195" i="2" s="1"/>
  <c r="CK195" i="2" s="1"/>
  <c r="CJ82" i="2" a="1"/>
  <c r="CJ82" i="2" s="1"/>
  <c r="CK82" i="2" s="1"/>
  <c r="CJ201" i="2" a="1"/>
  <c r="CJ201" i="2" s="1"/>
  <c r="CK201" i="2" s="1"/>
  <c r="CJ152" i="2" a="1"/>
  <c r="CJ152" i="2" s="1"/>
  <c r="CK152" i="2" s="1"/>
  <c r="BP88" i="2" a="1"/>
  <c r="BP88" i="2" s="1"/>
  <c r="BR88" i="2" s="1"/>
  <c r="BP53" i="2" a="1"/>
  <c r="BP53" i="2" s="1"/>
  <c r="BR53" i="2" s="1"/>
  <c r="BP51" i="2" a="1"/>
  <c r="BP51" i="2" s="1"/>
  <c r="BR51" i="2" s="1"/>
  <c r="BP100" i="2" a="1"/>
  <c r="BP100" i="2" s="1"/>
  <c r="BR100" i="2" s="1"/>
  <c r="BP39" i="2" a="1"/>
  <c r="BP39" i="2" s="1"/>
  <c r="BR39" i="2" s="1"/>
  <c r="CJ65" i="2" a="1"/>
  <c r="CJ65" i="2" s="1"/>
  <c r="CK65" i="2" s="1"/>
  <c r="CJ191" i="2" a="1"/>
  <c r="CJ191" i="2" s="1"/>
  <c r="CK191" i="2" s="1"/>
  <c r="CJ216" i="2" a="1"/>
  <c r="CJ216" i="2" s="1"/>
  <c r="CK216" i="2" s="1"/>
  <c r="CJ46" i="2" a="1"/>
  <c r="CJ46" i="2" s="1"/>
  <c r="CK46" i="2" s="1"/>
  <c r="CJ102" i="2" a="1"/>
  <c r="CJ102" i="2" s="1"/>
  <c r="CK102" i="2" s="1"/>
  <c r="CJ151" i="2" a="1"/>
  <c r="CJ151" i="2" s="1"/>
  <c r="CK151" i="2" s="1"/>
  <c r="CJ220" i="2" a="1"/>
  <c r="CJ220" i="2" s="1"/>
  <c r="CK220" i="2" s="1"/>
  <c r="CJ125" i="2" a="1"/>
  <c r="CJ125" i="2" s="1"/>
  <c r="CK125" i="2" s="1"/>
  <c r="CJ169" i="2" a="1"/>
  <c r="CJ169" i="2" s="1"/>
  <c r="CK169" i="2" s="1"/>
  <c r="CJ37" i="2" a="1"/>
  <c r="CJ37" i="2" s="1"/>
  <c r="CK37" i="2" s="1"/>
  <c r="CJ38" i="2" a="1"/>
  <c r="CJ38" i="2" s="1"/>
  <c r="CK38" i="2" s="1"/>
  <c r="CJ93" i="2" a="1"/>
  <c r="CJ93" i="2" s="1"/>
  <c r="CK93" i="2" s="1"/>
  <c r="CJ83" i="2" a="1"/>
  <c r="CJ83" i="2" s="1"/>
  <c r="CK83" i="2" s="1"/>
  <c r="CJ217" i="2" a="1"/>
  <c r="CJ217" i="2" s="1"/>
  <c r="CK217" i="2" s="1"/>
  <c r="CJ84" i="2" a="1"/>
  <c r="CJ84" i="2" s="1"/>
  <c r="CK84" i="2" s="1"/>
  <c r="CJ237" i="2" a="1"/>
  <c r="CJ237" i="2" s="1"/>
  <c r="CK237" i="2" s="1"/>
  <c r="CJ116" i="2" a="1"/>
  <c r="CJ116" i="2" s="1"/>
  <c r="CK116" i="2" s="1"/>
  <c r="BP85" i="2" a="1"/>
  <c r="BP85" i="2" s="1"/>
  <c r="BR85" i="2" s="1"/>
  <c r="BP98" i="2" a="1"/>
  <c r="BP98" i="2" s="1"/>
  <c r="BR98" i="2" s="1"/>
  <c r="BP77" i="2" a="1"/>
  <c r="BP77" i="2" s="1"/>
  <c r="BR77" i="2" s="1"/>
  <c r="BP48" i="2" a="1"/>
  <c r="BP48" i="2" s="1"/>
  <c r="BR48" i="2" s="1"/>
  <c r="BP83" i="2" a="1"/>
  <c r="BP83" i="2" s="1"/>
  <c r="BR83" i="2" s="1"/>
  <c r="BP37" i="2" a="1"/>
  <c r="BP37" i="2" s="1"/>
  <c r="BR37" i="2" s="1"/>
  <c r="CJ230" i="2" a="1"/>
  <c r="CJ230" i="2" s="1"/>
  <c r="CK230" i="2" s="1"/>
  <c r="CJ179" i="2" a="1"/>
  <c r="CJ179" i="2" s="1"/>
  <c r="CK179" i="2" s="1"/>
  <c r="CJ204" i="2" a="1"/>
  <c r="CJ204" i="2" s="1"/>
  <c r="CK204" i="2" s="1"/>
  <c r="CJ90" i="2" a="1"/>
  <c r="CJ90" i="2" s="1"/>
  <c r="CK90" i="2" s="1"/>
  <c r="CJ139" i="2" a="1"/>
  <c r="CJ139" i="2" s="1"/>
  <c r="CK139" i="2" s="1"/>
  <c r="CJ184" i="2" a="1"/>
  <c r="CJ184" i="2" s="1"/>
  <c r="CK184" i="2" s="1"/>
  <c r="CJ113" i="2" a="1"/>
  <c r="CJ113" i="2" s="1"/>
  <c r="CK113" i="2" s="1"/>
  <c r="CJ173" i="2" a="1"/>
  <c r="CJ173" i="2" s="1"/>
  <c r="CK173" i="2" s="1"/>
  <c r="CJ243" i="2" a="1"/>
  <c r="CJ243" i="2" s="1"/>
  <c r="CK243" i="2" s="1"/>
  <c r="CJ233" i="2" a="1"/>
  <c r="CJ233" i="2" s="1"/>
  <c r="CK233" i="2" s="1"/>
  <c r="CJ226" i="2" a="1"/>
  <c r="CJ226" i="2" s="1"/>
  <c r="CK226" i="2" s="1"/>
  <c r="CJ235" i="2" a="1"/>
  <c r="CJ235" i="2" s="1"/>
  <c r="CK235" i="2" s="1"/>
  <c r="CJ71" i="2" a="1"/>
  <c r="CJ71" i="2" s="1"/>
  <c r="CK71" i="2" s="1"/>
  <c r="CJ205" i="2" a="1"/>
  <c r="CJ205" i="2" s="1"/>
  <c r="CK205" i="2" s="1"/>
  <c r="CJ73" i="2" a="1"/>
  <c r="CJ73" i="2" s="1"/>
  <c r="CK73" i="2" s="1"/>
  <c r="CJ177" i="2" a="1"/>
  <c r="CJ177" i="2" s="1"/>
  <c r="CK177" i="2" s="1"/>
  <c r="CJ104" i="2" a="1"/>
  <c r="CJ104" i="2" s="1"/>
  <c r="CK104" i="2" s="1"/>
  <c r="CJ147" i="2" a="1"/>
  <c r="CJ147" i="2" s="1"/>
  <c r="CK147" i="2" s="1"/>
  <c r="BP102" i="2" a="1"/>
  <c r="BP102" i="2" s="1"/>
  <c r="BR102" i="2" s="1"/>
  <c r="BP91" i="2" a="1"/>
  <c r="BP91" i="2" s="1"/>
  <c r="BR91" i="2" s="1"/>
  <c r="BP74" i="2" a="1"/>
  <c r="BP74" i="2" s="1"/>
  <c r="BR74" i="2" s="1"/>
  <c r="BP71" i="2" a="1"/>
  <c r="BP71" i="2" s="1"/>
  <c r="BR71" i="2" s="1"/>
  <c r="BP75" i="2" a="1"/>
  <c r="BP75" i="2" s="1"/>
  <c r="BR75" i="2" s="1"/>
  <c r="BP92" i="2" a="1"/>
  <c r="BP92" i="2" s="1"/>
  <c r="BR92" i="2" s="1"/>
  <c r="CJ85" i="2" a="1"/>
  <c r="CJ85" i="2" s="1"/>
  <c r="CK85" i="2" s="1"/>
  <c r="CJ153" i="2" a="1"/>
  <c r="CJ153" i="2" s="1"/>
  <c r="CK153" i="2" s="1"/>
  <c r="CJ192" i="2" a="1"/>
  <c r="CJ192" i="2" s="1"/>
  <c r="CK192" i="2" s="1"/>
  <c r="CJ111" i="2" a="1"/>
  <c r="CJ111" i="2" s="1"/>
  <c r="CK111" i="2" s="1"/>
  <c r="CJ78" i="2" a="1"/>
  <c r="CJ78" i="2" s="1"/>
  <c r="CK78" i="2" s="1"/>
  <c r="CJ127" i="2" a="1"/>
  <c r="CJ127" i="2" s="1"/>
  <c r="CK127" i="2" s="1"/>
  <c r="CJ172" i="2" a="1"/>
  <c r="CJ172" i="2" s="1"/>
  <c r="CK172" i="2" s="1"/>
  <c r="CJ101" i="2" a="1"/>
  <c r="CJ101" i="2" s="1"/>
  <c r="CK101" i="2" s="1"/>
  <c r="CJ231" i="2" a="1"/>
  <c r="CJ231" i="2" s="1"/>
  <c r="CK231" i="2" s="1"/>
  <c r="CJ75" i="2" a="1"/>
  <c r="CJ75" i="2" s="1"/>
  <c r="CK75" i="2" s="1"/>
  <c r="CJ206" i="2" a="1"/>
  <c r="CJ206" i="2" s="1"/>
  <c r="CK206" i="2" s="1"/>
  <c r="CJ214" i="2" a="1"/>
  <c r="CJ214" i="2" s="1"/>
  <c r="CK214" i="2" s="1"/>
  <c r="CJ223" i="2" a="1"/>
  <c r="CJ223" i="2" s="1"/>
  <c r="CK223" i="2" s="1"/>
  <c r="CJ59" i="2" a="1"/>
  <c r="CJ59" i="2" s="1"/>
  <c r="CK59" i="2" s="1"/>
  <c r="CJ197" i="2" a="1"/>
  <c r="CJ197" i="2" s="1"/>
  <c r="CK197" i="2" s="1"/>
  <c r="CJ155" i="2" a="1"/>
  <c r="CJ155" i="2" s="1"/>
  <c r="CK155" i="2" s="1"/>
  <c r="CJ160" i="2" a="1"/>
  <c r="CJ160" i="2" s="1"/>
  <c r="CK160" i="2" s="1"/>
  <c r="CJ92" i="2" a="1"/>
  <c r="CJ92" i="2" s="1"/>
  <c r="CK92" i="2" s="1"/>
  <c r="CJ97" i="2" a="1"/>
  <c r="CJ97" i="2" s="1"/>
  <c r="CK97" i="2" s="1"/>
  <c r="BP81" i="2" a="1"/>
  <c r="BP81" i="2" s="1"/>
  <c r="BR81" i="2" s="1"/>
  <c r="BP52" i="2" a="1"/>
  <c r="BP52" i="2" s="1"/>
  <c r="BR52" i="2" s="1"/>
  <c r="BP70" i="2" a="1"/>
  <c r="BP70" i="2" s="1"/>
  <c r="BR70" i="2" s="1"/>
  <c r="BP60" i="2" a="1"/>
  <c r="BP60" i="2" s="1"/>
  <c r="BR60" i="2" s="1"/>
  <c r="BP78" i="2" a="1"/>
  <c r="BP78" i="2" s="1"/>
  <c r="BR78" i="2" s="1"/>
  <c r="CJ157" i="2" a="1"/>
  <c r="CJ157" i="2" s="1"/>
  <c r="CK157" i="2" s="1"/>
  <c r="CJ141" i="2" a="1"/>
  <c r="CJ141" i="2" s="1"/>
  <c r="CK141" i="2" s="1"/>
  <c r="CJ180" i="2" a="1"/>
  <c r="CJ180" i="2" s="1"/>
  <c r="CK180" i="2" s="1"/>
  <c r="CJ39" i="2" a="1"/>
  <c r="CJ39" i="2" s="1"/>
  <c r="CK39" i="2" s="1"/>
  <c r="CJ66" i="2" a="1"/>
  <c r="CJ66" i="2" s="1"/>
  <c r="CK66" i="2" s="1"/>
  <c r="CJ103" i="2" a="1"/>
  <c r="CJ103" i="2" s="1"/>
  <c r="CK103" i="2" s="1"/>
  <c r="CJ51" i="2" a="1"/>
  <c r="CJ51" i="2" s="1"/>
  <c r="CK51" i="2" s="1"/>
  <c r="CJ89" i="2" a="1"/>
  <c r="CJ89" i="2" s="1"/>
  <c r="CK89" i="2" s="1"/>
  <c r="CJ219" i="2" a="1"/>
  <c r="CJ219" i="2" s="1"/>
  <c r="CK219" i="2" s="1"/>
  <c r="CJ100" i="2" a="1"/>
  <c r="CJ100" i="2" s="1"/>
  <c r="CK100" i="2" s="1"/>
  <c r="CJ194" i="2" a="1"/>
  <c r="CJ194" i="2" s="1"/>
  <c r="CK194" i="2" s="1"/>
  <c r="CJ202" i="2" a="1"/>
  <c r="CJ202" i="2" s="1"/>
  <c r="CK202" i="2" s="1"/>
  <c r="CJ211" i="2" a="1"/>
  <c r="CJ211" i="2" s="1"/>
  <c r="CK211" i="2" s="1"/>
  <c r="CJ47" i="2" a="1"/>
  <c r="CJ47" i="2" s="1"/>
  <c r="CK47" i="2" s="1"/>
  <c r="CJ99" i="2" a="1"/>
  <c r="CJ99" i="2" s="1"/>
  <c r="CK99" i="2" s="1"/>
  <c r="CJ105" i="2" a="1"/>
  <c r="CJ105" i="2" s="1"/>
  <c r="CK105" i="2" s="1"/>
  <c r="CJ48" i="2" a="1"/>
  <c r="CJ48" i="2" s="1"/>
  <c r="CK48" i="2" s="1"/>
  <c r="CJ124" i="2" a="1"/>
  <c r="CJ124" i="2" s="1"/>
  <c r="CK124" i="2" s="1"/>
  <c r="BP103" i="2" a="1"/>
  <c r="BP103" i="2" s="1"/>
  <c r="BR103" i="2" s="1"/>
  <c r="BP68" i="2" a="1"/>
  <c r="BP68" i="2" s="1"/>
  <c r="BR68" i="2" s="1"/>
  <c r="BP49" i="2" a="1"/>
  <c r="BP49" i="2" s="1"/>
  <c r="BR49" i="2" s="1"/>
  <c r="BP66" i="2" a="1"/>
  <c r="BP66" i="2" s="1"/>
  <c r="BR66" i="2" s="1"/>
  <c r="BP99" i="2" a="1"/>
  <c r="BP99" i="2" s="1"/>
  <c r="BR99" i="2" s="1"/>
  <c r="BP76" i="2" a="1"/>
  <c r="BP76" i="2" s="1"/>
  <c r="BR76" i="2" s="1"/>
  <c r="BP50" i="2" a="1"/>
  <c r="BP50" i="2" s="1"/>
  <c r="BR50" i="2" s="1"/>
  <c r="BP94" i="2" a="1"/>
  <c r="BP94" i="2" s="1"/>
  <c r="BR94" i="2" s="1"/>
  <c r="CJ74" i="2" a="1"/>
  <c r="CJ74" i="2" s="1"/>
  <c r="CK74" i="2" s="1"/>
  <c r="CJ129" i="2" a="1"/>
  <c r="CJ129" i="2" s="1"/>
  <c r="CK129" i="2" s="1"/>
  <c r="CJ154" i="2" a="1"/>
  <c r="CJ154" i="2" s="1"/>
  <c r="CK154" i="2" s="1"/>
  <c r="CJ159" i="2" a="1"/>
  <c r="CJ159" i="2" s="1"/>
  <c r="CK159" i="2" s="1"/>
  <c r="CJ91" i="2" a="1"/>
  <c r="CJ91" i="2" s="1"/>
  <c r="CK91" i="2" s="1"/>
  <c r="CJ185" i="2" a="1"/>
  <c r="CJ185" i="2" s="1"/>
  <c r="CK185" i="2" s="1"/>
  <c r="CJ77" i="2" a="1"/>
  <c r="CJ77" i="2" s="1"/>
  <c r="CK77" i="2" s="1"/>
  <c r="CJ183" i="2" a="1"/>
  <c r="CJ183" i="2" s="1"/>
  <c r="CK183" i="2" s="1"/>
  <c r="CJ158" i="2" a="1"/>
  <c r="CJ158" i="2" s="1"/>
  <c r="CK158" i="2" s="1"/>
  <c r="CJ182" i="2" a="1"/>
  <c r="CJ182" i="2" s="1"/>
  <c r="CK182" i="2" s="1"/>
  <c r="CJ190" i="2" a="1"/>
  <c r="CJ190" i="2" s="1"/>
  <c r="CK190" i="2" s="1"/>
  <c r="CJ199" i="2" a="1"/>
  <c r="CJ199" i="2" s="1"/>
  <c r="CK199" i="2" s="1"/>
  <c r="CJ234" i="2" a="1"/>
  <c r="CJ234" i="2" s="1"/>
  <c r="CK234" i="2" s="1"/>
  <c r="CJ88" i="2" a="1"/>
  <c r="CJ88" i="2" s="1"/>
  <c r="CK88" i="2" s="1"/>
  <c r="CJ68" i="2" a="1"/>
  <c r="CJ68" i="2" s="1"/>
  <c r="CK68" i="2" s="1"/>
  <c r="BY33" i="2"/>
  <c r="BZ33" i="2" s="1"/>
  <c r="CA33" i="2"/>
  <c r="CB33" i="2"/>
  <c r="CC33" i="2" s="1"/>
  <c r="BP40" i="2" a="1"/>
  <c r="BP40" i="2" s="1"/>
  <c r="BR40" i="2" s="1"/>
  <c r="BP44" i="2" a="1"/>
  <c r="BP44" i="2" s="1"/>
  <c r="BR44" i="2" s="1"/>
  <c r="BY34" i="2"/>
  <c r="BZ34" i="2" s="1"/>
  <c r="CA34" i="2"/>
  <c r="BV34" i="2"/>
  <c r="BW34" i="2" s="1"/>
  <c r="CB34" i="2"/>
  <c r="CC34" i="2" s="1"/>
  <c r="BP41" i="2" a="1"/>
  <c r="BP41" i="2" s="1"/>
  <c r="BR41" i="2" s="1"/>
  <c r="BV33" i="2"/>
  <c r="BP42" i="2" a="1"/>
  <c r="BP42" i="2" s="1"/>
  <c r="BR42" i="2" s="1"/>
  <c r="AU33" i="2" l="1"/>
  <c r="AU34" i="2"/>
  <c r="AU35" i="2"/>
  <c r="BW33" i="2"/>
  <c r="CJ33" i="2" a="1"/>
  <c r="CJ33" i="2" s="1"/>
  <c r="CK33" i="2" s="1"/>
  <c r="AV33" i="2" s="1" a="1"/>
  <c r="AV33" i="2" s="1"/>
  <c r="BC35" i="2" a="1"/>
  <c r="BC35" i="2" s="1"/>
  <c r="BC33" i="2" a="1"/>
  <c r="BC33" i="2" s="1"/>
  <c r="BC37" i="2" a="1"/>
  <c r="BC37" i="2" s="1"/>
  <c r="BC36" i="2" a="1"/>
  <c r="BC36" i="2" s="1"/>
  <c r="CJ34" i="2" a="1"/>
  <c r="CJ34" i="2" s="1"/>
  <c r="CK34" i="2" s="1"/>
  <c r="AV34" i="2" s="1" a="1"/>
  <c r="AV34" i="2" s="1"/>
  <c r="BD35" i="2" a="1"/>
  <c r="BD35" i="2" s="1"/>
  <c r="BP33" i="2" a="1"/>
  <c r="BP33" i="2" s="1"/>
  <c r="BR33" i="2" s="1"/>
  <c r="BC39" i="2" s="1" a="1"/>
  <c r="BC39" i="2" s="1"/>
  <c r="BP34" i="2" a="1"/>
  <c r="BP34" i="2" s="1"/>
  <c r="BR34" i="2" s="1"/>
  <c r="BD36" i="2" a="1"/>
  <c r="BD36" i="2" s="1"/>
  <c r="BD33" i="2" a="1"/>
  <c r="BD33" i="2" s="1"/>
  <c r="BD37" i="2" a="1"/>
  <c r="BD37" i="2" s="1"/>
  <c r="CJ35" i="2" a="1"/>
  <c r="CJ35" i="2" s="1"/>
  <c r="CK35" i="2" s="1"/>
  <c r="AV35" i="2" s="1" a="1"/>
  <c r="AV35" i="2" s="1"/>
  <c r="BP35" i="2" a="1"/>
  <c r="BP35" i="2" s="1"/>
  <c r="BR35" i="2" s="1"/>
  <c r="BC38" i="2" s="1" a="1"/>
  <c r="BC38" i="2" s="1"/>
  <c r="AW34" i="2" l="1" a="1"/>
  <c r="AW34" i="2" s="1"/>
  <c r="AW35" i="2" a="1"/>
  <c r="AW35" i="2" s="1"/>
  <c r="AW33" i="2" a="1"/>
  <c r="AW33" i="2" s="1"/>
  <c r="BD34" i="2" a="1"/>
  <c r="BD34" i="2" s="1"/>
  <c r="BC34" i="2" a="1"/>
  <c r="BC34" i="2" s="1"/>
  <c r="BD39" i="2" a="1"/>
  <c r="BD39" i="2" s="1"/>
  <c r="BD38" i="2" a="1"/>
  <c r="BD38"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<sst xmlns="http://schemas.openxmlformats.org/spreadsheetml/2006/main" count="942" uniqueCount="198">
  <si>
    <t>Bên A</t>
  </si>
  <si>
    <t>Công ty TNHH Tư vấn Quản trị FIRM</t>
  </si>
  <si>
    <t>[Địa chỉ]</t>
  </si>
  <si>
    <t>[Mã số thuế]</t>
  </si>
  <si>
    <t>[SĐT - Fax]</t>
  </si>
  <si>
    <t>[Website - Page]</t>
  </si>
  <si>
    <t>[STK - Ngân hàng]</t>
  </si>
  <si>
    <t>Bên B</t>
  </si>
  <si>
    <t>Công ty ABC XYZ</t>
  </si>
  <si>
    <t>ID</t>
  </si>
  <si>
    <t>License</t>
  </si>
  <si>
    <t>Phân khúc</t>
  </si>
  <si>
    <t>Số lượng</t>
  </si>
  <si>
    <t>Mã SKU</t>
  </si>
  <si>
    <t>Mã NV</t>
  </si>
  <si>
    <t>Nhân viên</t>
  </si>
  <si>
    <t>Kênh</t>
  </si>
  <si>
    <t>Khách hàng</t>
  </si>
  <si>
    <t>Đơn vị</t>
  </si>
  <si>
    <t>Ngày lên đơn</t>
  </si>
  <si>
    <t>Tháng lên đơn</t>
  </si>
  <si>
    <t>Đơn bán</t>
  </si>
  <si>
    <t>Thành tiền niêm yết</t>
  </si>
  <si>
    <t>Giá trị bán trước VAT</t>
  </si>
  <si>
    <t>NV Bán hàng</t>
  </si>
  <si>
    <t>Ngày lập</t>
  </si>
  <si>
    <t>Mô tả</t>
  </si>
  <si>
    <t>Tiền hàng</t>
  </si>
  <si>
    <t>Mã khách</t>
  </si>
  <si>
    <t>Mã Khách</t>
  </si>
  <si>
    <t>Giá bán</t>
  </si>
  <si>
    <t>Nhóm Kênh</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</si>
  <si>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</si>
  <si>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</si>
  <si>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</si>
  <si>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</si>
  <si>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</si>
  <si>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</si>
  <si>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</si>
  <si>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</si>
  <si>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</si>
  <si>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</si>
  <si>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</si>
  <si>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</si>
  <si>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</si>
  <si>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Doanh thu ròng</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</si>
  <si>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</si>
  <si>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</si>
  <si>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</si>
  <si>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</si>
  <si>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</si>
  <si>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</si>
  <si>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Mã Sản phẩm</t>
  </si>
  <si>
    <t>Nhóm Sản phẩm</t>
  </si>
  <si>
    <t>Mã đơn bán</t>
  </si>
  <si>
    <t>Khuyễn mãi</t>
  </si>
  <si>
    <t>Nhóm 1</t>
  </si>
  <si>
    <t>Nhóm 2</t>
  </si>
  <si>
    <t>Nhóm 3</t>
  </si>
  <si>
    <t>TP-Aa1-1</t>
  </si>
  <si>
    <t>TP-Bb2-2</t>
  </si>
  <si>
    <t>TP-Cc3-3</t>
  </si>
  <si>
    <t>Thành phẩm số 1</t>
  </si>
  <si>
    <t>Bộ</t>
  </si>
  <si>
    <t>Thành phẩm số 2</t>
  </si>
  <si>
    <t>Thành phẩm số 3</t>
  </si>
  <si>
    <t>KH01</t>
  </si>
  <si>
    <t>KH02</t>
  </si>
  <si>
    <t>KH03</t>
  </si>
  <si>
    <t>KH04</t>
  </si>
  <si>
    <t>KH05</t>
  </si>
  <si>
    <t>KH06</t>
  </si>
  <si>
    <t>KH07</t>
  </si>
  <si>
    <t>Khách 01</t>
  </si>
  <si>
    <t>B2B</t>
  </si>
  <si>
    <t>Khách 02</t>
  </si>
  <si>
    <t>B2C</t>
  </si>
  <si>
    <t>Khách 03</t>
  </si>
  <si>
    <t>Khách 04</t>
  </si>
  <si>
    <t>Khách 05</t>
  </si>
  <si>
    <t>Khách 06</t>
  </si>
  <si>
    <t>Khách 07</t>
  </si>
  <si>
    <t>ST</t>
  </si>
  <si>
    <t>FB</t>
  </si>
  <si>
    <t>TT</t>
  </si>
  <si>
    <t>SP</t>
  </si>
  <si>
    <t>LZ</t>
  </si>
  <si>
    <t>TK</t>
  </si>
  <si>
    <t>Offline</t>
  </si>
  <si>
    <t>Mạng xã hội</t>
  </si>
  <si>
    <t>Sàn TMĐT</t>
  </si>
  <si>
    <t>NV01</t>
  </si>
  <si>
    <t>NV02</t>
  </si>
  <si>
    <t>NV03</t>
  </si>
  <si>
    <t>NV04</t>
  </si>
  <si>
    <t>NV05</t>
  </si>
  <si>
    <t>BAN-KH01-230105-1</t>
  </si>
  <si>
    <t>BAN-KH02-230115-1</t>
  </si>
  <si>
    <t>BAN-KH02-230125-1</t>
  </si>
  <si>
    <t>BAN-KH03-230205-1</t>
  </si>
  <si>
    <t>BAN-KH01-230215-1</t>
  </si>
  <si>
    <t>BAN-KH01-230225-1</t>
  </si>
  <si>
    <t>BAN-KH01-230305-1</t>
  </si>
  <si>
    <t>BAN-KH03-230315-1</t>
  </si>
  <si>
    <t>BAN-KH02-230325-1</t>
  </si>
  <si>
    <t>BAN-KH02-230405-1</t>
  </si>
  <si>
    <t>BAN-KH02-230415-1</t>
  </si>
  <si>
    <t>BAN-KH04-230425-1</t>
  </si>
  <si>
    <t>BAN-KH01-230505-1</t>
  </si>
  <si>
    <t>BAN-KH03-230515-1</t>
  </si>
  <si>
    <t>BAN-KH04-230525-1</t>
  </si>
  <si>
    <t>BAN-KH02-230605-1</t>
  </si>
  <si>
    <t>BAN-KH02-230615-1</t>
  </si>
  <si>
    <t>BAN-KH01-230625-1</t>
  </si>
  <si>
    <t>BAN-KH03-230705-1</t>
  </si>
  <si>
    <t>BAN-KH03-230715-1</t>
  </si>
  <si>
    <t>BAN-KH05-230725-1</t>
  </si>
  <si>
    <t>BAN-KH04-230805-1</t>
  </si>
  <si>
    <t>BAN-KH03-230815-1</t>
  </si>
  <si>
    <t>BAN-KH02-230825-1</t>
  </si>
  <si>
    <t>BAN-KH02-230905-1</t>
  </si>
  <si>
    <t>BAN-KH01-230915-1</t>
  </si>
  <si>
    <t>BAN-KH05-230925-1</t>
  </si>
  <si>
    <t>BAN-KH01-231005-1</t>
  </si>
  <si>
    <t>BAN-KH01-231015-1</t>
  </si>
  <si>
    <t>BAN-KH03-231025-1</t>
  </si>
  <si>
    <t>BAN-KH02-231105-1</t>
  </si>
  <si>
    <t>BAN-KH04-231115-1</t>
  </si>
  <si>
    <t>BAN-KH02-231125-1</t>
  </si>
  <si>
    <t>BAN-KH05-231205-1</t>
  </si>
  <si>
    <t>BAN-KH03-231215-1</t>
  </si>
  <si>
    <t>BAN-KH01-231225-1</t>
  </si>
  <si>
    <t>BAN-KH02-240105-1</t>
  </si>
  <si>
    <t>BAN-KH05-240115-1</t>
  </si>
  <si>
    <t>BAN-KH04-240125-1</t>
  </si>
  <si>
    <t>BAN-KH06-240205-1</t>
  </si>
  <si>
    <t>BAN-KH06-240215-1</t>
  </si>
  <si>
    <t>BAN-KH07-240225-1</t>
  </si>
  <si>
    <t>BAN-KH02-240305-1</t>
  </si>
  <si>
    <t>BAN-KH01-240315-1</t>
  </si>
  <si>
    <t>BAN-KH05-240325-1</t>
  </si>
  <si>
    <t>BAN-KH03-240405-1</t>
  </si>
  <si>
    <t>BAN-KH03-240415-1</t>
  </si>
  <si>
    <t>BAN-KH04-240425-1</t>
  </si>
  <si>
    <t>BAN-KH02-240505-1</t>
  </si>
  <si>
    <t>BAN-KH01-240515-1</t>
  </si>
  <si>
    <t>BAN-KH06-240525-1</t>
  </si>
  <si>
    <t>BAN-KH02-240605-1</t>
  </si>
  <si>
    <t>BAN-KH04-240615-1</t>
  </si>
  <si>
    <t>BAN-KH03-240625-1</t>
  </si>
  <si>
    <t>BAN-KH02-240705-1</t>
  </si>
  <si>
    <t>BAN-KH01-240715-1</t>
  </si>
  <si>
    <t>BAN-KH04-240725-1</t>
  </si>
  <si>
    <t>BAN-KH05-240805-1</t>
  </si>
  <si>
    <t>BAN-KH02-240815-1</t>
  </si>
  <si>
    <t>BAN-KH01-240825-1</t>
  </si>
  <si>
    <t>BAN-KH03-240905-1</t>
  </si>
  <si>
    <t>BAN-KH05-240915-1</t>
  </si>
  <si>
    <t>BAN-KH01-240925-1</t>
  </si>
  <si>
    <t>BAN-KH02-241005-1</t>
  </si>
  <si>
    <t>BAN-KH04-241015-1</t>
  </si>
  <si>
    <t>BAN-KH03-241025-1</t>
  </si>
  <si>
    <t>BAN-KH01-241105-1</t>
  </si>
  <si>
    <t>BAN-KH03-241115-1</t>
  </si>
  <si>
    <t>BAN-KH05-241125-1</t>
  </si>
  <si>
    <t>BAN-KH06-241205-1</t>
  </si>
  <si>
    <t>BAN-KH02-241215-1</t>
  </si>
  <si>
    <t>BAN-KH07-241225-1</t>
  </si>
  <si>
    <t>Row Labels</t>
  </si>
  <si>
    <t>Grand Total</t>
  </si>
  <si>
    <t>2024</t>
  </si>
  <si>
    <t>Jan</t>
  </si>
  <si>
    <t>Feb</t>
  </si>
  <si>
    <t>Mar</t>
  </si>
  <si>
    <t>Apr</t>
  </si>
  <si>
    <t>May</t>
  </si>
  <si>
    <t>Jun</t>
  </si>
  <si>
    <t>Jul</t>
  </si>
  <si>
    <t>Aug</t>
  </si>
  <si>
    <t>Sep</t>
  </si>
  <si>
    <t>Oct</t>
  </si>
  <si>
    <t>Nov</t>
  </si>
  <si>
    <t>Dec</t>
  </si>
  <si>
    <t>(All)</t>
  </si>
  <si>
    <t>Nhóm SKU</t>
  </si>
  <si>
    <t>Nhóm kênh</t>
  </si>
  <si>
    <t>Phân bổ khuyến mãi đơn</t>
  </si>
  <si>
    <t>Phân bổ doanh thu ròng</t>
  </si>
  <si>
    <t>Doanh thu</t>
  </si>
  <si>
    <t>Năm</t>
  </si>
  <si>
    <t>Tháng</t>
  </si>
  <si>
    <t>Column Labels</t>
  </si>
  <si>
    <t>Doanh thu / ngày</t>
  </si>
  <si>
    <t>Số ngày chưa mua</t>
  </si>
  <si>
    <t>Số ngày chưa bán</t>
  </si>
  <si>
    <t>4C68A711-89BE-412A-BD2D-CB33771CC62D</t>
  </si>
  <si>
    <t>EASY-33329183463</t>
  </si>
  <si>
    <t>BH03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</si>
</sst>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d/m/yyyy"/>
    <numFmt numFmtId="166" formatCode="[$-1010000]d/m/yyyy;@"/>
    <numFmt numFmtId="167" formatCode="_(#,##0_);_(\(#,##0\);_(\-_);_(@_)"/>
    <numFmt numFmtId="168" formatCode="dd/mm/yyyy"/>
  </numFmts>
  <fonts count="18"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b/>
      <sz val="8"/>
      <color theme="0"/>
      <name val="Segoe UI Light"/>
      <family val="2"/>
      <scheme val="minor"/>
    </font>
    <font>
      <sz val="8"/>
      <name val="Segoe UI Light"/>
      <family val="2"/>
      <scheme val="minor"/>
    </font>
    <font>
      <b/>
      <sz val="8"/>
      <color theme="1"/>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u/>
      <sz val="12"/>
      <color theme="1"/>
      <name val="Segoe UI Light"/>
      <family val="2"/>
      <scheme val="minor"/>
    </font>
    <font>
      <b/>
      <sz val="8"/>
      <color rgb="FF000000"/>
      <name val="Segoe UI Light"/>
      <family val="2"/>
    </font>
    <font>
      <sz val="8"/>
      <name val="Segoe UI Light"/>
      <family val="2"/>
    </font>
  </fonts>
  <fills count="2">
    <fill>
      <patternFill patternType="none"/>
    </fill>
    <fill>
      <patternFill patternType="gray125"/>
    </fill>
  </fills>
  <borders count="9">
    <border>
      <left/>
      <right/>
      <top/>
      <bottom/>
      <diagonal/>
    </border>
    <border>
      <left/>
      <right/>
      <top style="thin">
        <color theme="5" tint="0.39997558519241921"/>
      </top>
      <bottom style="thin">
        <color theme="5" tint="0.39997558519241921"/>
      </bottom>
      <diagonal/>
    </border>
    <border>
      <left/>
      <right style="thin">
        <color theme="5" tint="0.39997558519241921"/>
      </right>
      <top/>
      <bottom/>
      <diagonal/>
    </border>
    <border>
      <left/>
      <right style="thin">
        <color theme="5" tint="0.39997558519241921"/>
      </right>
      <top style="thin">
        <color theme="5" tint="0.39997558519241921"/>
      </top>
      <bottom style="thin">
        <color theme="5" tint="0.39997558519241921"/>
      </bottom>
      <diagonal/>
    </border>
    <border>
      <left style="thin">
        <color theme="5" tint="0.39994506668294322"/>
      </left>
      <right/>
      <top style="thin">
        <color theme="5" tint="0.39997558519241921"/>
      </top>
      <bottom style="thin">
        <color theme="5" tint="0.39997558519241921"/>
      </bottom>
      <diagonal/>
    </border>
    <border>
      <left style="thin">
        <color theme="5" tint="0.39994506668294322"/>
      </left>
      <right/>
      <top style="thin">
        <color theme="5" tint="0.39997558519241921"/>
      </top>
      <bottom/>
      <diagonal/>
    </border>
    <border>
      <left/>
      <right/>
      <top style="thin">
        <color theme="5" tint="0.39997558519241921"/>
      </top>
      <bottom/>
      <diagonal/>
    </border>
    <border>
      <left/>
      <right/>
      <top/>
      <bottom style="thin">
        <color theme="5" tint="0.39997558519241921"/>
      </bottom>
      <diagonal/>
    </border>
    <border>
      <left/>
      <right style="thin">
        <color theme="5"/>
      </right>
      <top/>
      <bottom/>
      <diagonal/>
    </border>
  </borders>
  <cellStyleXfs count="2">
    <xf numFmtId="0" fontId="0" fillId="0" borderId="0"/>
    <xf numFmtId="43" fontId="1" fillId="0" borderId="0" applyFont="0" applyFill="0" applyBorder="0" applyAlignment="0" applyProtection="0"/>
  </cellStyleXfs>
  <cellXfs count="71">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0" fontId="7" fillId="0" borderId="0" xfId="0" applyFont="1" applyAlignment="1" applyProtection="1">
      <alignment vertical="center"/>
      <protection locked="0" hidden="1"/>
    </xf>
    <xf numFmtId="0" fontId="9" fillId="0" borderId="0" xfId="0" applyFont="1" applyAlignment="1" applyProtection="1">
      <alignment vertical="center"/>
      <protection locked="0" hidden="1"/>
    </xf>
    <xf numFmtId="0" fontId="10" fillId="0" borderId="0" xfId="0" applyFont="1" applyAlignment="1" applyProtection="1">
      <alignment vertical="center"/>
      <protection locked="0" hidden="1"/>
    </xf>
    <xf numFmtId="165" fontId="9" fillId="0" borderId="1" xfId="0" applyNumberFormat="1" applyFont="1" applyBorder="1" applyAlignment="1" applyProtection="1">
      <alignment vertical="center"/>
      <protection locked="0" hidden="1"/>
    </xf>
    <xf numFmtId="164" fontId="9" fillId="0" borderId="1" xfId="1" applyNumberFormat="1" applyFont="1" applyFill="1" applyBorder="1" applyAlignment="1" applyProtection="1">
      <alignment vertical="center"/>
      <protection locked="0" hidden="1"/>
    </xf>
    <xf numFmtId="0" fontId="0" fillId="0" borderId="0" xfId="0" applyAlignment="1">
      <alignment horizontal="left"/>
    </xf>
    <xf numFmtId="0" fontId="5" fillId="0" borderId="0" xfId="0" applyFont="1" applyAlignment="1" applyProtection="1">
      <alignment vertical="center"/>
      <protection locked="0"/>
    </xf>
    <xf numFmtId="164" fontId="9" fillId="0" borderId="0" xfId="1" applyNumberFormat="1" applyFont="1" applyBorder="1" applyAlignment="1" applyProtection="1">
      <alignment vertical="center"/>
      <protection locked="0" hidden="1"/>
    </xf>
    <xf numFmtId="0" fontId="0" fillId="0" borderId="0" xfId="0" applyAlignment="1" applyProtection="1">
      <alignment vertical="center"/>
      <protection locked="0"/>
    </xf>
    <xf numFmtId="0" fontId="8" fillId="0" borderId="0" xfId="0" applyFont="1"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3" fillId="0" borderId="0" xfId="0" applyFont="1" applyAlignment="1" applyProtection="1">
      <alignment horizontal="right" vertical="center"/>
      <protection locked="0"/>
    </xf>
    <xf numFmtId="0" fontId="1" fillId="0" borderId="0" xfId="0" applyFont="1" applyAlignment="1">
      <alignment horizontal="left" vertical="center"/>
    </xf>
    <xf numFmtId="0" fontId="12"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9" fillId="0" borderId="1" xfId="1" applyNumberFormat="1" applyFont="1" applyFill="1" applyBorder="1" applyAlignment="1" applyProtection="1">
      <alignment vertical="center"/>
      <protection locked="0" hidden="1"/>
    </xf>
    <xf numFmtId="167" fontId="5" fillId="0" borderId="0" xfId="0" applyNumberFormat="1" applyFont="1" applyAlignment="1" applyProtection="1">
      <alignment vertical="center"/>
      <protection locked="0" hidden="1"/>
    </xf>
    <xf numFmtId="167" fontId="9" fillId="0" borderId="0" xfId="0" applyNumberFormat="1" applyFont="1" applyAlignment="1" applyProtection="1">
      <alignment vertical="center"/>
      <protection locked="0" hidden="1"/>
    </xf>
    <xf numFmtId="167" fontId="0" fillId="0" borderId="0" xfId="0" applyNumberFormat="1" applyAlignment="1" applyProtection="1">
      <alignment vertical="center"/>
      <protection locked="0"/>
    </xf>
    <xf numFmtId="167" fontId="11"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11"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7" fontId="5" fillId="0" borderId="0" xfId="0" applyNumberFormat="1" applyFont="1" applyAlignment="1" applyProtection="1">
      <alignment vertical="center"/>
      <protection locked="0"/>
    </xf>
    <xf numFmtId="167" fontId="10" fillId="0" borderId="0" xfId="0" applyNumberFormat="1" applyFont="1" applyAlignment="1" applyProtection="1">
      <alignment vertical="center"/>
      <protection locked="0"/>
    </xf>
    <xf numFmtId="0" fontId="10" fillId="0" borderId="0" xfId="0" applyFont="1" applyAlignment="1" applyProtection="1">
      <alignment vertical="center"/>
      <protection locked="0"/>
    </xf>
    <xf numFmtId="168" fontId="7" fillId="0" borderId="1" xfId="0" applyNumberFormat="1" applyFont="1" applyBorder="1" applyAlignment="1" applyProtection="1">
      <alignment vertical="center"/>
      <protection locked="0" hidden="1"/>
    </xf>
    <xf numFmtId="164" fontId="9" fillId="0" borderId="0" xfId="1" applyNumberFormat="1" applyFont="1" applyFill="1" applyBorder="1" applyAlignment="1" applyProtection="1">
      <alignment vertical="center"/>
      <protection locked="0" hidden="1"/>
    </xf>
    <xf numFmtId="0" fontId="6" fillId="0" borderId="0" xfId="0" applyFont="1" applyAlignment="1" applyProtection="1">
      <alignment vertical="center"/>
      <protection locked="0" hidden="1"/>
    </xf>
    <xf numFmtId="167" fontId="5" fillId="0" borderId="2" xfId="0" applyNumberFormat="1" applyFont="1" applyBorder="1" applyAlignment="1" applyProtection="1">
      <alignment vertical="center"/>
      <protection locked="0" hidden="1"/>
    </xf>
    <xf numFmtId="167" fontId="7" fillId="0" borderId="1" xfId="0" applyNumberFormat="1" applyFont="1" applyBorder="1" applyAlignment="1" applyProtection="1">
      <alignment vertical="center"/>
      <protection locked="0" hidden="1"/>
    </xf>
    <xf numFmtId="0" fontId="5" fillId="0" borderId="1" xfId="0" applyFont="1" applyBorder="1" applyAlignment="1" applyProtection="1">
      <alignment vertical="center"/>
      <protection locked="0" hidden="1"/>
    </xf>
    <xf numFmtId="167" fontId="5" fillId="0" borderId="3" xfId="0" applyNumberFormat="1" applyFont="1" applyBorder="1" applyAlignment="1" applyProtection="1">
      <alignment vertical="center"/>
      <protection locked="0" hidden="1"/>
    </xf>
    <xf numFmtId="164" fontId="9" fillId="0" borderId="0" xfId="1" applyNumberFormat="1" applyFont="1" applyFill="1" applyAlignment="1" applyProtection="1">
      <alignment vertical="center"/>
      <protection locked="0" hidden="1"/>
    </xf>
    <xf numFmtId="164" fontId="7" fillId="0" borderId="0" xfId="1" applyNumberFormat="1" applyFont="1" applyFill="1" applyBorder="1" applyAlignment="1" applyProtection="1">
      <alignment vertical="center"/>
      <protection locked="0" hidden="1"/>
    </xf>
    <xf numFmtId="164" fontId="7" fillId="0" borderId="0" xfId="1" applyNumberFormat="1" applyFont="1" applyFill="1" applyAlignment="1" applyProtection="1">
      <alignment vertical="center"/>
      <protection locked="0" hidden="1"/>
    </xf>
    <xf numFmtId="164" fontId="7" fillId="0" borderId="1" xfId="1" applyNumberFormat="1" applyFont="1" applyBorder="1" applyAlignment="1" applyProtection="1">
      <alignment vertical="center"/>
      <protection locked="0" hidden="1"/>
    </xf>
    <xf numFmtId="167" fontId="7" fillId="0" borderId="0" xfId="0" applyNumberFormat="1" applyFont="1" applyAlignment="1" applyProtection="1">
      <alignment vertical="center"/>
      <protection locked="0" hidden="1"/>
    </xf>
    <xf numFmtId="0" fontId="17" fillId="0" borderId="4" xfId="0" applyFont="1" applyBorder="1" applyAlignment="1" applyProtection="1">
      <alignment vertical="center"/>
      <protection locked="0" hidden="1"/>
    </xf>
    <xf numFmtId="0" fontId="17" fillId="0" borderId="1" xfId="0" applyFont="1" applyBorder="1" applyAlignment="1" applyProtection="1">
      <alignment vertical="center"/>
      <protection locked="0" hidden="1"/>
    </xf>
    <xf numFmtId="164" fontId="9" fillId="0" borderId="0" xfId="0" applyNumberFormat="1" applyFont="1" applyAlignment="1" applyProtection="1">
      <alignment vertical="center"/>
      <protection locked="0" hidden="1"/>
    </xf>
    <xf numFmtId="164" fontId="9" fillId="0" borderId="0" xfId="1" applyNumberFormat="1" applyFont="1" applyAlignment="1" applyProtection="1">
      <alignment vertical="center"/>
      <protection locked="0" hidden="1"/>
    </xf>
    <xf numFmtId="164" fontId="5" fillId="0" borderId="1" xfId="1" applyNumberFormat="1" applyFont="1" applyFill="1" applyBorder="1" applyAlignment="1" applyProtection="1">
      <alignment vertical="center"/>
      <protection locked="0" hidden="1"/>
    </xf>
    <xf numFmtId="0" fontId="17" fillId="0" borderId="5" xfId="0" applyFont="1" applyBorder="1" applyAlignment="1" applyProtection="1">
      <alignment vertical="center"/>
      <protection locked="0" hidden="1"/>
    </xf>
    <xf numFmtId="0" fontId="17" fillId="0" borderId="6" xfId="0" applyFont="1" applyBorder="1" applyAlignment="1" applyProtection="1">
      <alignment vertical="center"/>
      <protection locked="0" hidden="1"/>
    </xf>
    <xf numFmtId="165" fontId="9" fillId="0" borderId="6" xfId="0" applyNumberFormat="1" applyFont="1" applyBorder="1" applyAlignment="1" applyProtection="1">
      <alignment vertical="center"/>
      <protection locked="0" hidden="1"/>
    </xf>
    <xf numFmtId="0" fontId="9" fillId="0" borderId="6" xfId="1" applyNumberFormat="1" applyFont="1" applyFill="1" applyBorder="1" applyAlignment="1" applyProtection="1">
      <alignment vertical="center"/>
      <protection locked="0" hidden="1"/>
    </xf>
    <xf numFmtId="164" fontId="9" fillId="0" borderId="6" xfId="1" applyNumberFormat="1" applyFont="1" applyFill="1" applyBorder="1" applyAlignment="1" applyProtection="1">
      <alignment vertical="center"/>
      <protection locked="0" hidden="1"/>
    </xf>
    <xf numFmtId="164" fontId="5" fillId="0" borderId="6" xfId="1" applyNumberFormat="1" applyFont="1" applyFill="1" applyBorder="1" applyAlignment="1" applyProtection="1">
      <alignment vertical="center"/>
      <protection locked="0" hidden="1"/>
    </xf>
    <xf numFmtId="164" fontId="7" fillId="0" borderId="1" xfId="1" applyNumberFormat="1" applyFont="1" applyFill="1" applyBorder="1" applyAlignment="1" applyProtection="1">
      <alignment vertical="center"/>
      <protection locked="0" hidden="1"/>
    </xf>
    <xf numFmtId="164" fontId="7" fillId="0" borderId="6" xfId="1" applyNumberFormat="1" applyFont="1" applyFill="1" applyBorder="1" applyAlignment="1" applyProtection="1">
      <alignment vertical="center"/>
      <protection locked="0" hidden="1"/>
    </xf>
    <xf numFmtId="0" fontId="0" fillId="0" borderId="0" xfId="0" pivotButton="1"/>
    <xf numFmtId="164" fontId="0" fillId="0" borderId="0" xfId="0" applyNumberFormat="1"/>
    <xf numFmtId="0" fontId="0" fillId="0" borderId="0" xfId="0" applyAlignment="1">
      <alignment horizontal="left" indent="1"/>
    </xf>
    <xf numFmtId="0" fontId="17" fillId="0" borderId="0" xfId="0" applyFont="1" applyAlignment="1" applyProtection="1">
      <alignment vertical="center"/>
      <protection locked="0" hidden="1"/>
    </xf>
    <xf numFmtId="0" fontId="7" fillId="0" borderId="4" xfId="0" applyFont="1" applyBorder="1" applyAlignment="1" applyProtection="1">
      <alignment vertical="center"/>
      <protection locked="0" hidden="1"/>
    </xf>
    <xf numFmtId="164" fontId="5" fillId="0" borderId="0" xfId="1" applyNumberFormat="1" applyFont="1" applyFill="1" applyBorder="1" applyAlignment="1" applyProtection="1">
      <alignment vertical="center"/>
      <protection locked="0" hidden="1"/>
    </xf>
    <xf numFmtId="164" fontId="9" fillId="0" borderId="7" xfId="1" applyNumberFormat="1" applyFont="1" applyFill="1" applyBorder="1" applyAlignment="1" applyProtection="1">
      <alignment vertical="center"/>
      <protection locked="0" hidden="1"/>
    </xf>
    <xf numFmtId="164" fontId="5" fillId="0" borderId="0" xfId="1" applyNumberFormat="1" applyFont="1" applyAlignment="1" applyProtection="1">
      <alignment vertical="center"/>
      <protection locked="0"/>
    </xf>
    <xf numFmtId="0" fontId="6" fillId="0" borderId="8" xfId="0" applyFont="1" applyBorder="1" applyAlignment="1" applyProtection="1">
      <alignment vertical="center"/>
      <protection locked="0" hidden="1"/>
    </xf>
  </cellXfs>
  <cellStyles count="2">
    <cellStyle name="Comma" xfId="1" builtinId="3"/>
    <cellStyle name="Normal" xfId="0" builtinId="0"/>
  </cellStyles>
  <dxfs count="69">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d/m/yyyy"/>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5" tint="0.39994506668294322"/>
        </left>
        <right/>
        <top style="thin">
          <color theme="5" tint="0.39997558519241921"/>
        </top>
        <bottom style="thin">
          <color theme="5" tint="0.39997558519241921"/>
        </bottom>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8" formatCode="dd/m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9"/>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bgColor auto="1"/>
        </patternFill>
      </fill>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0"/>
        <name val="Segoe UI Light"/>
        <family val="2"/>
        <scheme val="minor"/>
      </font>
      <fill>
        <patternFill patternType="none">
          <bgColor auto="1"/>
        </patternFill>
      </fill>
      <alignment horizontal="general" vertical="center" textRotation="0" wrapText="0" indent="0" justifyLastLine="0" shrinkToFit="0" readingOrder="0"/>
      <border diagonalUp="0" diagonalDown="0">
        <left style="thin">
          <color theme="5"/>
        </left>
        <right style="thin">
          <color theme="5"/>
        </right>
        <top/>
        <bottom/>
      </border>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68"/>
      <tableStyleElement type="headerRow" dxfId="67"/>
    </tableStyle>
    <tableStyle name="SlicerStyleLight1 2 2" pivot="0" table="0" count="10" xr9:uid="{9DB8D611-4D15-4128-AF8D-E3329BCC5BCE}">
      <tableStyleElement type="wholeTable" dxfId="66"/>
      <tableStyleElement type="headerRow" dxfId="65"/>
    </tableStyle>
    <tableStyle name="TimeSlicerStyleLight1 2" pivot="0" table="0" count="9" xr9:uid="{58382D9D-B456-41C4-B229-09D2A872184E}">
      <tableStyleElement type="wholeTable" dxfId="64"/>
      <tableStyleElement type="headerRow" dxfId="63"/>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4.xml"/><Relationship Id="rId18" Type="http://schemas.openxmlformats.org/officeDocument/2006/relationships/customXml" Target="../customXml/item9.xml"/><Relationship Id="rId26"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customXml" Target="../customXml/item12.xml"/><Relationship Id="rId7" Type="http://schemas.openxmlformats.org/officeDocument/2006/relationships/sharedStrings" Target="sharedStrings.xml"/><Relationship Id="rId12" Type="http://schemas.openxmlformats.org/officeDocument/2006/relationships/customXml" Target="../customXml/item3.xml"/><Relationship Id="rId17" Type="http://schemas.openxmlformats.org/officeDocument/2006/relationships/customXml" Target="../customXml/item8.xml"/><Relationship Id="rId25" Type="http://schemas.openxmlformats.org/officeDocument/2006/relationships/customXml" Target="../customXml/item16.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7.xml"/><Relationship Id="rId20" Type="http://schemas.openxmlformats.org/officeDocument/2006/relationships/customXml" Target="../customXml/item11.xml"/><Relationship Id="rId29"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24" Type="http://schemas.openxmlformats.org/officeDocument/2006/relationships/customXml" Target="../customXml/item15.xml"/><Relationship Id="rId32" Type="http://schemas.openxmlformats.org/officeDocument/2006/relationships/customXml" Target="../customXml/item23.xml"/><Relationship Id="rId5" Type="http://schemas.openxmlformats.org/officeDocument/2006/relationships/theme" Target="theme/theme1.xml"/><Relationship Id="rId15" Type="http://schemas.openxmlformats.org/officeDocument/2006/relationships/customXml" Target="../customXml/item6.xml"/><Relationship Id="rId23" Type="http://schemas.openxmlformats.org/officeDocument/2006/relationships/customXml" Target="../customXml/item14.xml"/><Relationship Id="rId28" Type="http://schemas.openxmlformats.org/officeDocument/2006/relationships/customXml" Target="../customXml/item19.xml"/><Relationship Id="rId10" Type="http://schemas.openxmlformats.org/officeDocument/2006/relationships/customXml" Target="../customXml/item1.xml"/><Relationship Id="rId19" Type="http://schemas.openxmlformats.org/officeDocument/2006/relationships/customXml" Target="../customXml/item10.xml"/><Relationship Id="rId31" Type="http://schemas.openxmlformats.org/officeDocument/2006/relationships/customXml" Target="../customXml/item22.xml"/><Relationship Id="rId4" Type="http://schemas.openxmlformats.org/officeDocument/2006/relationships/pivotCacheDefinition" Target="pivotCache/pivotCacheDefinition1.xml"/><Relationship Id="rId9" Type="http://schemas.openxmlformats.org/officeDocument/2006/relationships/calcChain" Target="calcChain.xml"/><Relationship Id="rId14" Type="http://schemas.openxmlformats.org/officeDocument/2006/relationships/customXml" Target="../customXml/item5.xml"/><Relationship Id="rId22" Type="http://schemas.openxmlformats.org/officeDocument/2006/relationships/customXml" Target="../customXml/item13.xml"/><Relationship Id="rId27" Type="http://schemas.openxmlformats.org/officeDocument/2006/relationships/customXml" Target="../customXml/item18.xml"/><Relationship Id="rId30" Type="http://schemas.openxmlformats.org/officeDocument/2006/relationships/customXml" Target="../customXml/item21.xml"/><Relationship Id="rId8"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[14. EASY-BH03 - Quản lý bán hàng.xlsm]Quản lý bán hàng!PivotTable2</c:name>
    <c:fmtId val="0"/>
  </c:pivotSource>
  <c:chart>
    <c:autoTitleDeleted val="1"/>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3">
              <a:alpha val="85000"/>
            </a:schemeClr>
          </a:solidFill>
          <a:ln w="9525" cap="flat" cmpd="sng" algn="ctr">
            <a:solidFill>
              <a:schemeClr val="lt1">
                <a:alpha val="50000"/>
              </a:schemeClr>
            </a:solidFill>
            <a:round/>
          </a:ln>
          <a:effectLst/>
        </c:spPr>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pivotFmt>
      <c:pivotFmt>
        <c:idx val="6"/>
        <c:spPr>
          <a:solidFill>
            <a:schemeClr val="accent2">
              <a:alpha val="85000"/>
            </a:schemeClr>
          </a:solidFill>
          <a:ln w="9525" cap="flat" cmpd="sng" algn="ctr">
            <a:solidFill>
              <a:schemeClr val="lt1">
                <a:alpha val="50000"/>
              </a:schemeClr>
            </a:solidFill>
            <a:round/>
          </a:ln>
          <a:effectLst/>
        </c:spPr>
      </c:pivotFmt>
      <c:pivotFmt>
        <c:idx val="7"/>
        <c:spPr>
          <a:solidFill>
            <a:schemeClr val="accent3">
              <a:alpha val="85000"/>
            </a:schemeClr>
          </a:solidFill>
          <a:ln w="9525" cap="flat" cmpd="sng" algn="ctr">
            <a:solidFill>
              <a:schemeClr val="lt1">
                <a:alpha val="50000"/>
              </a:schemeClr>
            </a:solidFill>
            <a:round/>
          </a:ln>
          <a:effectLst/>
        </c:spPr>
      </c:pivotFmt>
    </c:pivotFmts>
    <c:plotArea>
      <c:layout>
        <c:manualLayout>
          <c:layoutTarget val="inner"/>
          <c:xMode val="edge"/>
          <c:yMode val="edge"/>
          <c:x val="1.9402777777777779E-2"/>
          <c:y val="1.9046180555555559E-2"/>
          <c:w val="0.96119444444444446"/>
          <c:h val="0.72064861111111111"/>
        </c:manualLayout>
      </c:layout>
      <c:barChart>
        <c:barDir val="col"/>
        <c:grouping val="stacked"/>
        <c:varyColors val="0"/>
        <c:ser>
          <c:idx val="0"/>
          <c:order val="0"/>
          <c:tx>
            <c:strRef>
              <c:f>'Quản lý bán hàng'!$C$43:$C$44</c:f>
              <c:strCache>
                <c:ptCount val="1"/>
                <c:pt idx="0">
                  <c:v>Nhóm 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'Quản lý bán hàng'!$B$45:$B$58</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2024</c:v>
                  </c:pt>
                </c:lvl>
              </c:multiLvlStrCache>
            </c:multiLvlStrRef>
          </c:cat>
          <c:val>
            <c:numRef>
              <c:f>'Quản lý bán hàng'!$C$45:$C$58</c:f>
              <c:numCache>
                <c:formatCode>_(* #,##0_);_(* \(#,##0\);_(* "-"??_);_(@_)</c:formatCode>
                <c:ptCount val="12"/>
                <c:pt idx="0">
                  <c:v>91800000</c:v>
                </c:pt>
                <c:pt idx="1">
                  <c:v>97200000</c:v>
                </c:pt>
                <c:pt idx="2">
                  <c:v>97800000</c:v>
                </c:pt>
                <c:pt idx="3">
                  <c:v>102400000</c:v>
                </c:pt>
                <c:pt idx="4">
                  <c:v>108400000</c:v>
                </c:pt>
                <c:pt idx="5">
                  <c:v>114400000</c:v>
                </c:pt>
                <c:pt idx="6">
                  <c:v>122400000</c:v>
                </c:pt>
                <c:pt idx="7">
                  <c:v>139200000</c:v>
                </c:pt>
                <c:pt idx="8">
                  <c:v>151600000</c:v>
                </c:pt>
                <c:pt idx="9">
                  <c:v>156200000</c:v>
                </c:pt>
                <c:pt idx="10">
                  <c:v>160360239.77278847</c:v>
                </c:pt>
                <c:pt idx="11">
                  <c:v>53400000</c:v>
                </c:pt>
              </c:numCache>
            </c:numRef>
          </c:val>
          <c:extLst>
            <c:ext xmlns:c16="http://schemas.microsoft.com/office/drawing/2014/chart" uri="{C3380CC4-5D6E-409C-BE32-E72D297353CC}">
              <c16:uniqueId val="{00000000-4F20-48DF-94EE-C1625F703856}"/>
            </c:ext>
          </c:extLst>
        </c:ser>
        <c:ser>
          <c:idx val="1"/>
          <c:order val="1"/>
          <c:tx>
            <c:strRef>
              <c:f>'Quản lý bán hàng'!$D$43:$D$44</c:f>
              <c:strCache>
                <c:ptCount val="1"/>
                <c:pt idx="0">
                  <c:v>Nhóm 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'Quản lý bán hàng'!$B$45:$B$58</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2024</c:v>
                  </c:pt>
                </c:lvl>
              </c:multiLvlStrCache>
            </c:multiLvlStrRef>
          </c:cat>
          <c:val>
            <c:numRef>
              <c:f>'Quản lý bán hàng'!$D$45:$D$58</c:f>
              <c:numCache>
                <c:formatCode>_(* #,##0_);_(* \(#,##0\);_(* "-"??_);_(@_)</c:formatCode>
                <c:ptCount val="12"/>
                <c:pt idx="0">
                  <c:v>101400000</c:v>
                </c:pt>
                <c:pt idx="1">
                  <c:v>103200000</c:v>
                </c:pt>
                <c:pt idx="2">
                  <c:v>102600000</c:v>
                </c:pt>
                <c:pt idx="3">
                  <c:v>109200000</c:v>
                </c:pt>
                <c:pt idx="4">
                  <c:v>121500000</c:v>
                </c:pt>
                <c:pt idx="5">
                  <c:v>125700000</c:v>
                </c:pt>
                <c:pt idx="6">
                  <c:v>121500000</c:v>
                </c:pt>
                <c:pt idx="7">
                  <c:v>121800000</c:v>
                </c:pt>
                <c:pt idx="8">
                  <c:v>123600000</c:v>
                </c:pt>
                <c:pt idx="9">
                  <c:v>134100000</c:v>
                </c:pt>
                <c:pt idx="10">
                  <c:v>145719741.28747776</c:v>
                </c:pt>
                <c:pt idx="11">
                  <c:v>48100000</c:v>
                </c:pt>
              </c:numCache>
            </c:numRef>
          </c:val>
          <c:extLst>
            <c:ext xmlns:c16="http://schemas.microsoft.com/office/drawing/2014/chart" uri="{C3380CC4-5D6E-409C-BE32-E72D297353CC}">
              <c16:uniqueId val="{00000003-4F20-48DF-94EE-C1625F703856}"/>
            </c:ext>
          </c:extLst>
        </c:ser>
        <c:ser>
          <c:idx val="2"/>
          <c:order val="2"/>
          <c:tx>
            <c:strRef>
              <c:f>'Quản lý bán hàng'!$E$43:$E$44</c:f>
              <c:strCache>
                <c:ptCount val="1"/>
                <c:pt idx="0">
                  <c:v>Nhóm 3</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'Quản lý bán hàng'!$B$45:$B$58</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2024</c:v>
                  </c:pt>
                </c:lvl>
              </c:multiLvlStrCache>
            </c:multiLvlStrRef>
          </c:cat>
          <c:val>
            <c:numRef>
              <c:f>'Quản lý bán hàng'!$E$45:$E$58</c:f>
              <c:numCache>
                <c:formatCode>_(* #,##0_);_(* \(#,##0\);_(* "-"??_);_(@_)</c:formatCode>
                <c:ptCount val="12"/>
                <c:pt idx="0">
                  <c:v>137500000</c:v>
                </c:pt>
                <c:pt idx="1">
                  <c:v>143500000</c:v>
                </c:pt>
                <c:pt idx="2">
                  <c:v>138500000</c:v>
                </c:pt>
                <c:pt idx="3">
                  <c:v>143500000</c:v>
                </c:pt>
                <c:pt idx="4">
                  <c:v>146500000</c:v>
                </c:pt>
                <c:pt idx="5">
                  <c:v>144500000</c:v>
                </c:pt>
                <c:pt idx="6">
                  <c:v>153000000</c:v>
                </c:pt>
                <c:pt idx="7">
                  <c:v>160000000</c:v>
                </c:pt>
                <c:pt idx="8">
                  <c:v>167500000</c:v>
                </c:pt>
                <c:pt idx="9">
                  <c:v>179000000</c:v>
                </c:pt>
                <c:pt idx="10">
                  <c:v>171120018.9397338</c:v>
                </c:pt>
                <c:pt idx="11">
                  <c:v>54500000</c:v>
                </c:pt>
              </c:numCache>
            </c:numRef>
          </c:val>
          <c:extLst>
            <c:ext xmlns:c16="http://schemas.microsoft.com/office/drawing/2014/chart" uri="{C3380CC4-5D6E-409C-BE32-E72D297353CC}">
              <c16:uniqueId val="{00000004-4F20-48DF-94EE-C1625F703856}"/>
            </c:ext>
          </c:extLst>
        </c:ser>
        <c:dLbls>
          <c:dLblPos val="ctr"/>
          <c:showLegendKey val="0"/>
          <c:showVal val="1"/>
          <c:showCatName val="0"/>
          <c:showSerName val="0"/>
          <c:showPercent val="0"/>
          <c:showBubbleSize val="0"/>
        </c:dLbls>
        <c:gapWidth val="150"/>
        <c:overlap val="100"/>
        <c:axId val="43774831"/>
        <c:axId val="43766671"/>
      </c:barChart>
      <c:catAx>
        <c:axId val="43774831"/>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43766671"/>
        <c:crosses val="autoZero"/>
        <c:auto val="1"/>
        <c:lblAlgn val="ctr"/>
        <c:lblOffset val="100"/>
        <c:noMultiLvlLbl val="0"/>
      </c:catAx>
      <c:valAx>
        <c:axId val="43766671"/>
        <c:scaling>
          <c:orientation val="minMax"/>
        </c:scaling>
        <c:delete val="1"/>
        <c:axPos val="l"/>
        <c:numFmt formatCode="_(* #,##0_);_(* \(#,##0\);_(* &quot;-&quot;??_);_(@_)" sourceLinked="1"/>
        <c:majorTickMark val="none"/>
        <c:minorTickMark val="none"/>
        <c:tickLblPos val="nextTo"/>
        <c:crossAx val="43774831"/>
        <c:crosses val="autoZero"/>
        <c:crossBetween val="between"/>
      </c:valAx>
      <c:spPr>
        <a:noFill/>
        <a:ln w="25400">
          <a:noFill/>
        </a:ln>
        <a:effectLst/>
      </c:spPr>
    </c:plotArea>
    <c:legend>
      <c:legendPos val="t"/>
      <c:layout>
        <c:manualLayout>
          <c:xMode val="edge"/>
          <c:yMode val="edge"/>
          <c:x val="0.16509277777777778"/>
          <c:y val="0.84324826388888885"/>
          <c:w val="0.7633004166666667"/>
          <c:h val="0.13471215277777779"/>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[14. EASY-BH03 - Quản lý bán hàng.xlsm]Quản lý bán hàng!PivotTable4</c:name>
    <c:fmtId val="0"/>
  </c:pivotSource>
  <c:chart>
    <c:autoTitleDeleted val="0"/>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378896882494004E-2"/>
          <c:y val="2.5736366287547396E-2"/>
          <c:w val="0.94724220623501199"/>
          <c:h val="0.69395924467774861"/>
        </c:manualLayout>
      </c:layout>
      <c:barChart>
        <c:barDir val="col"/>
        <c:grouping val="stacked"/>
        <c:varyColors val="0"/>
        <c:ser>
          <c:idx val="0"/>
          <c:order val="0"/>
          <c:tx>
            <c:strRef>
              <c:f>'Quản lý bán hàng'!$S$43:$S$44</c:f>
              <c:strCache>
                <c:ptCount val="1"/>
                <c:pt idx="0">
                  <c:v>B2B</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'Quản lý bán hàng'!$R$45:$R$58</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2024</c:v>
                  </c:pt>
                </c:lvl>
              </c:multiLvlStrCache>
            </c:multiLvlStrRef>
          </c:cat>
          <c:val>
            <c:numRef>
              <c:f>'Quản lý bán hàng'!$S$45:$S$58</c:f>
              <c:numCache>
                <c:formatCode>_(* #,##0_);_(* \(#,##0\);_(* "-"??_);_(@_)</c:formatCode>
                <c:ptCount val="12"/>
                <c:pt idx="0">
                  <c:v>113600000</c:v>
                </c:pt>
                <c:pt idx="1">
                  <c:v>230000000</c:v>
                </c:pt>
                <c:pt idx="2">
                  <c:v>113200000</c:v>
                </c:pt>
                <c:pt idx="3">
                  <c:v>121300000</c:v>
                </c:pt>
                <c:pt idx="4">
                  <c:v>253500000</c:v>
                </c:pt>
                <c:pt idx="5">
                  <c:v>127500000</c:v>
                </c:pt>
                <c:pt idx="6">
                  <c:v>266000000</c:v>
                </c:pt>
                <c:pt idx="7">
                  <c:v>143900000</c:v>
                </c:pt>
                <c:pt idx="8">
                  <c:v>149900000</c:v>
                </c:pt>
                <c:pt idx="9">
                  <c:v>155000000</c:v>
                </c:pt>
                <c:pt idx="10">
                  <c:v>154600000</c:v>
                </c:pt>
                <c:pt idx="11">
                  <c:v>54500000</c:v>
                </c:pt>
              </c:numCache>
            </c:numRef>
          </c:val>
          <c:extLst>
            <c:ext xmlns:c16="http://schemas.microsoft.com/office/drawing/2014/chart" uri="{C3380CC4-5D6E-409C-BE32-E72D297353CC}">
              <c16:uniqueId val="{00000000-76C8-4D8D-8A33-0AD5088AC7C2}"/>
            </c:ext>
          </c:extLst>
        </c:ser>
        <c:ser>
          <c:idx val="1"/>
          <c:order val="1"/>
          <c:tx>
            <c:strRef>
              <c:f>'Quản lý bán hàng'!$T$43:$T$44</c:f>
              <c:strCache>
                <c:ptCount val="1"/>
                <c:pt idx="0">
                  <c:v>B2C</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'Quản lý bán hàng'!$R$45:$R$58</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2024</c:v>
                  </c:pt>
                </c:lvl>
              </c:multiLvlStrCache>
            </c:multiLvlStrRef>
          </c:cat>
          <c:val>
            <c:numRef>
              <c:f>'Quản lý bán hàng'!$T$45:$T$58</c:f>
              <c:numCache>
                <c:formatCode>_(* #,##0_);_(* \(#,##0\);_(* "-"??_);_(@_)</c:formatCode>
                <c:ptCount val="12"/>
                <c:pt idx="0">
                  <c:v>217100000</c:v>
                </c:pt>
                <c:pt idx="1">
                  <c:v>113900000</c:v>
                </c:pt>
                <c:pt idx="2">
                  <c:v>225700000</c:v>
                </c:pt>
                <c:pt idx="3">
                  <c:v>233800000</c:v>
                </c:pt>
                <c:pt idx="4">
                  <c:v>122900000</c:v>
                </c:pt>
                <c:pt idx="5">
                  <c:v>257100000</c:v>
                </c:pt>
                <c:pt idx="6">
                  <c:v>130900000</c:v>
                </c:pt>
                <c:pt idx="7">
                  <c:v>277100000</c:v>
                </c:pt>
                <c:pt idx="8">
                  <c:v>292800000</c:v>
                </c:pt>
                <c:pt idx="9">
                  <c:v>314300000</c:v>
                </c:pt>
                <c:pt idx="10">
                  <c:v>322600000</c:v>
                </c:pt>
                <c:pt idx="11">
                  <c:v>101500000</c:v>
                </c:pt>
              </c:numCache>
            </c:numRef>
          </c:val>
          <c:extLst>
            <c:ext xmlns:c16="http://schemas.microsoft.com/office/drawing/2014/chart" uri="{C3380CC4-5D6E-409C-BE32-E72D297353CC}">
              <c16:uniqueId val="{00000002-76C8-4D8D-8A33-0AD5088AC7C2}"/>
            </c:ext>
          </c:extLst>
        </c:ser>
        <c:dLbls>
          <c:dLblPos val="ctr"/>
          <c:showLegendKey val="0"/>
          <c:showVal val="1"/>
          <c:showCatName val="0"/>
          <c:showSerName val="0"/>
          <c:showPercent val="0"/>
          <c:showBubbleSize val="0"/>
        </c:dLbls>
        <c:gapWidth val="150"/>
        <c:overlap val="100"/>
        <c:axId val="1560717391"/>
        <c:axId val="1560694831"/>
      </c:barChart>
      <c:catAx>
        <c:axId val="1560717391"/>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560694831"/>
        <c:crosses val="autoZero"/>
        <c:auto val="1"/>
        <c:lblAlgn val="ctr"/>
        <c:lblOffset val="100"/>
        <c:noMultiLvlLbl val="0"/>
      </c:catAx>
      <c:valAx>
        <c:axId val="1560694831"/>
        <c:scaling>
          <c:orientation val="minMax"/>
        </c:scaling>
        <c:delete val="1"/>
        <c:axPos val="l"/>
        <c:numFmt formatCode="_(* #,##0_);_(* \(#,##0\);_(* &quot;-&quot;??_);_(@_)" sourceLinked="1"/>
        <c:majorTickMark val="none"/>
        <c:minorTickMark val="none"/>
        <c:tickLblPos val="nextTo"/>
        <c:crossAx val="1560717391"/>
        <c:crosses val="autoZero"/>
        <c:crossBetween val="between"/>
      </c:valAx>
      <c:spPr>
        <a:noFill/>
        <a:ln>
          <a:noFill/>
        </a:ln>
        <a:effectLst/>
      </c:spPr>
    </c:plotArea>
    <c:legend>
      <c:legendPos val="b"/>
      <c:layout>
        <c:manualLayout>
          <c:xMode val="edge"/>
          <c:yMode val="edge"/>
          <c:x val="0.20826205177590212"/>
          <c:y val="0.83259587343248764"/>
          <c:w val="0.70817594743103141"/>
          <c:h val="0.14990631379410907"/>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'Quản lý bán hàng'!$BC$32</c:f>
              <c:strCache>
                <c:ptCount val="1"/>
                <c:pt idx="0">
                  <c:v> Doanh thu / ngày </c:v>
                </c:pt>
              </c:strCache>
            </c:strRef>
          </c:tx>
          <c:spPr>
            <a:solidFill>
              <a:schemeClr val="accent1">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'Quản lý bán hàng'!$BB$33:$BB$39</c:f>
            </c:numRef>
          </c:xVal>
          <c:yVal>
            <c:numRef>
              <c:f>'Quản lý bán hàng'!$BC$33:$BC$39</c:f>
            </c:numRef>
          </c:yVal>
          <c:bubbleSize>
            <c:numRef>
              <c:f>'Quản lý bán hàng'!$BD$33:$BD$39</c:f>
            </c:numRef>
          </c:bubbleSize>
          <c:bubble3D val="0"/>
          <c:extLst>
            <c:ext xmlns:c15="http://schemas.microsoft.com/office/drawing/2012/chart" uri="{02D57815-91ED-43cb-92C2-25804820EDAC}">
              <c15:datalabelsRange>
                <c15:f>'Quản lý bán hàng'!$AY$33:$AY$39</c15:f>
              </c15:datalabelsRange>
            </c:ext>
            <c:ext xmlns:c16="http://schemas.microsoft.com/office/drawing/2014/chart" uri="{C3380CC4-5D6E-409C-BE32-E72D297353CC}">
              <c16:uniqueId val="{00000000-32CA-4FE9-A374-E5535CF31BC4}"/>
            </c:ext>
          </c:extLst>
        </c:ser>
        <c:dLbls>
          <c:showLegendKey val="0"/>
          <c:showVal val="0"/>
          <c:showCatName val="0"/>
          <c:showSerName val="0"/>
          <c:showPercent val="0"/>
          <c:showBubbleSize val="0"/>
        </c:dLbls>
        <c:bubbleScale val="100"/>
        <c:showNegBubbles val="0"/>
        <c:sizeRepresents val="w"/>
        <c:axId val="167999871"/>
        <c:axId val="168010911"/>
      </c:bubbleChart>
      <c:valAx>
        <c:axId val="167999871"/>
        <c:scaling>
          <c:orientation val="minMax"/>
        </c:scaling>
        <c:delete val="1"/>
        <c:axPos val="b"/>
        <c:majorGridlines>
          <c:spPr>
            <a:ln w="9525" cap="flat" cmpd="sng" algn="ctr">
              <a:solidFill>
                <a:schemeClr val="bg1"/>
              </a:solidFill>
              <a:round/>
            </a:ln>
            <a:effectLst/>
          </c:spPr>
        </c:majorGridlines>
        <c:numFmt formatCode="_(* #,##0_);_(* \(#,##0\);_(* &quot;-&quot;??_);_(@_)" sourceLinked="1"/>
        <c:majorTickMark val="none"/>
        <c:minorTickMark val="none"/>
        <c:tickLblPos val="nextTo"/>
        <c:crossAx val="168010911"/>
        <c:crosses val="autoZero"/>
        <c:crossBetween val="midCat"/>
      </c:valAx>
      <c:valAx>
        <c:axId val="168010911"/>
        <c:scaling>
          <c:orientation val="minMax"/>
        </c:scaling>
        <c:delete val="1"/>
        <c:axPos val="l"/>
        <c:majorGridlines>
          <c:spPr>
            <a:ln w="9525" cap="flat" cmpd="sng" algn="ctr">
              <a:solidFill>
                <a:schemeClr val="bg1"/>
              </a:solidFill>
              <a:round/>
            </a:ln>
            <a:effectLst/>
          </c:spPr>
        </c:majorGridlines>
        <c:numFmt formatCode="_(* #,##0_);_(* \(#,##0\);_(* &quot;-&quot;??_);_(@_)" sourceLinked="1"/>
        <c:majorTickMark val="none"/>
        <c:minorTickMark val="none"/>
        <c:tickLblPos val="nextTo"/>
        <c:crossAx val="16799987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'Quản lý bán hàng'!$AV$32</c:f>
              <c:strCache>
                <c:ptCount val="1"/>
                <c:pt idx="0">
                  <c:v>Doanh thu / ngày</c:v>
                </c:pt>
              </c:strCache>
            </c:strRef>
          </c:tx>
          <c:spPr>
            <a:solidFill>
              <a:schemeClr val="accent1">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'Quản lý bán hàng'!$AU$33:$AU$35</c:f>
            </c:numRef>
          </c:xVal>
          <c:yVal>
            <c:numRef>
              <c:f>'Quản lý bán hàng'!$AV$33:$AV$35</c:f>
            </c:numRef>
          </c:yVal>
          <c:bubbleSize>
            <c:numRef>
              <c:f>'Quản lý bán hàng'!$AW$33:$AW$35</c:f>
            </c:numRef>
          </c:bubbleSize>
          <c:bubble3D val="0"/>
          <c:extLst>
            <c:ext xmlns:c15="http://schemas.microsoft.com/office/drawing/2012/chart" uri="{02D57815-91ED-43cb-92C2-25804820EDAC}">
              <c15:datalabelsRange>
                <c15:f>'Quản lý bán hàng'!$AQ$33:$AQ$35</c15:f>
              </c15:datalabelsRange>
            </c:ext>
            <c:ext xmlns:c16="http://schemas.microsoft.com/office/drawing/2014/chart" uri="{C3380CC4-5D6E-409C-BE32-E72D297353CC}">
              <c16:uniqueId val="{00000000-A800-430D-8C59-05ACE8F51385}"/>
            </c:ext>
          </c:extLst>
        </c:ser>
        <c:dLbls>
          <c:showLegendKey val="0"/>
          <c:showVal val="0"/>
          <c:showCatName val="0"/>
          <c:showSerName val="0"/>
          <c:showPercent val="0"/>
          <c:showBubbleSize val="0"/>
        </c:dLbls>
        <c:bubbleScale val="100"/>
        <c:showNegBubbles val="0"/>
        <c:sizeRepresents val="w"/>
        <c:axId val="167937471"/>
        <c:axId val="167938911"/>
      </c:bubbleChart>
      <c:valAx>
        <c:axId val="167937471"/>
        <c:scaling>
          <c:orientation val="minMax"/>
        </c:scaling>
        <c:delete val="1"/>
        <c:axPos val="b"/>
        <c:majorGridlines>
          <c:spPr>
            <a:ln w="9525" cap="flat" cmpd="sng" algn="ctr">
              <a:solidFill>
                <a:schemeClr val="bg1"/>
              </a:solidFill>
              <a:round/>
            </a:ln>
            <a:effectLst/>
          </c:spPr>
        </c:majorGridlines>
        <c:numFmt formatCode="_(* #,##0_);_(* \(#,##0\);_(* &quot;-&quot;??_);_(@_)" sourceLinked="1"/>
        <c:majorTickMark val="none"/>
        <c:minorTickMark val="none"/>
        <c:tickLblPos val="nextTo"/>
        <c:crossAx val="167938911"/>
        <c:crosses val="autoZero"/>
        <c:crossBetween val="midCat"/>
      </c:valAx>
      <c:valAx>
        <c:axId val="167938911"/>
        <c:scaling>
          <c:orientation val="minMax"/>
        </c:scaling>
        <c:delete val="1"/>
        <c:axPos val="l"/>
        <c:majorGridlines>
          <c:spPr>
            <a:ln w="9525" cap="flat" cmpd="sng" algn="ctr">
              <a:solidFill>
                <a:schemeClr val="bg1"/>
              </a:solidFill>
              <a:round/>
            </a:ln>
            <a:effectLst/>
          </c:spPr>
        </c:majorGridlines>
        <c:numFmt formatCode="_(* #,##0_);_(* \(#,##0\);_(* &quot;-&quot;??_);_(@_)" sourceLinked="1"/>
        <c:majorTickMark val="none"/>
        <c:minorTickMark val="none"/>
        <c:tickLblPos val="nextTo"/>
        <c:crossAx val="16793747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[14. EASY-BH03 - Quản lý bán hàng.xlsm]Quản lý bán hàng!PivotTable16</c:name>
    <c:fmtId val="0"/>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s>
    <c:plotArea>
      <c:layout/>
      <c:pieChart>
        <c:varyColors val="1"/>
        <c:ser>
          <c:idx val="0"/>
          <c:order val="0"/>
          <c:tx>
            <c:strRef>
              <c:f>'Quản lý bán hàng'!$AH$43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1FD8-45C7-B7D9-CAE117BA9AEE}"/>
              </c:ext>
            </c:extLst>
          </c:dPt>
          <c:dPt>
            <c:idx val="1"/>
            <c:bubble3D val="0"/>
            <c:spPr>
              <a:solidFill>
                <a:schemeClr val="accent2"/>
              </a:solidFill>
              <a:ln>
                <a:noFill/>
              </a:ln>
              <a:effectLst/>
            </c:spPr>
            <c:extLst>
              <c:ext xmlns:c16="http://schemas.microsoft.com/office/drawing/2014/chart" uri="{C3380CC4-5D6E-409C-BE32-E72D297353CC}">
                <c16:uniqueId val="{00000003-1FD8-45C7-B7D9-CAE117BA9AEE}"/>
              </c:ext>
            </c:extLst>
          </c:dPt>
          <c:dPt>
            <c:idx val="2"/>
            <c:bubble3D val="0"/>
            <c:spPr>
              <a:solidFill>
                <a:schemeClr val="accent3"/>
              </a:solidFill>
              <a:ln>
                <a:noFill/>
              </a:ln>
              <a:effectLst/>
            </c:spPr>
            <c:extLst>
              <c:ext xmlns:c16="http://schemas.microsoft.com/office/drawing/2014/chart" uri="{C3380CC4-5D6E-409C-BE32-E72D297353CC}">
                <c16:uniqueId val="{00000005-1FD8-45C7-B7D9-CAE117BA9AEE}"/>
              </c:ext>
            </c:extLst>
          </c:dPt>
          <c:dPt>
            <c:idx val="3"/>
            <c:bubble3D val="0"/>
            <c:spPr>
              <a:solidFill>
                <a:schemeClr val="accent4"/>
              </a:solidFill>
              <a:ln>
                <a:noFill/>
              </a:ln>
              <a:effectLst/>
            </c:spPr>
            <c:extLst>
              <c:ext xmlns:c16="http://schemas.microsoft.com/office/drawing/2014/chart" uri="{C3380CC4-5D6E-409C-BE32-E72D297353CC}">
                <c16:uniqueId val="{00000007-1FD8-45C7-B7D9-CAE117BA9AEE}"/>
              </c:ext>
            </c:extLst>
          </c:dPt>
          <c:dPt>
            <c:idx val="4"/>
            <c:bubble3D val="0"/>
            <c:spPr>
              <a:solidFill>
                <a:schemeClr val="accent5"/>
              </a:solidFill>
              <a:ln>
                <a:noFill/>
              </a:ln>
              <a:effectLst/>
            </c:spPr>
            <c:extLst>
              <c:ext xmlns:c16="http://schemas.microsoft.com/office/drawing/2014/chart" uri="{C3380CC4-5D6E-409C-BE32-E72D297353CC}">
                <c16:uniqueId val="{00000009-1FD8-45C7-B7D9-CAE117BA9AEE}"/>
              </c:ext>
            </c:extLst>
          </c:dPt>
          <c:dPt>
            <c:idx val="5"/>
            <c:bubble3D val="0"/>
            <c:spPr>
              <a:solidFill>
                <a:schemeClr val="accent6"/>
              </a:solidFill>
              <a:ln>
                <a:noFill/>
              </a:ln>
              <a:effectLst/>
            </c:spPr>
            <c:extLst>
              <c:ext xmlns:c16="http://schemas.microsoft.com/office/drawing/2014/chart" uri="{C3380CC4-5D6E-409C-BE32-E72D297353CC}">
                <c16:uniqueId val="{0000000B-1FD8-45C7-B7D9-CAE117BA9AEE}"/>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'Quản lý bán hàng'!$AG$44:$AG$50</c:f>
              <c:strCache>
                <c:ptCount val="6"/>
                <c:pt idx="0">
                  <c:v>FB</c:v>
                </c:pt>
                <c:pt idx="1">
                  <c:v>LZ</c:v>
                </c:pt>
                <c:pt idx="2">
                  <c:v>SP</c:v>
                </c:pt>
                <c:pt idx="3">
                  <c:v>ST</c:v>
                </c:pt>
                <c:pt idx="4">
                  <c:v>TK</c:v>
                </c:pt>
                <c:pt idx="5">
                  <c:v>TT</c:v>
                </c:pt>
              </c:strCache>
            </c:strRef>
          </c:cat>
          <c:val>
            <c:numRef>
              <c:f>'Quản lý bán hàng'!$AH$44:$AH$50</c:f>
              <c:numCache>
                <c:formatCode>_(* #,##0_);_(* \(#,##0\);_(* "-"??_);_(@_)</c:formatCode>
                <c:ptCount val="6"/>
                <c:pt idx="0">
                  <c:v>691900000</c:v>
                </c:pt>
                <c:pt idx="1">
                  <c:v>418000000</c:v>
                </c:pt>
                <c:pt idx="2">
                  <c:v>691200000</c:v>
                </c:pt>
                <c:pt idx="3">
                  <c:v>1750600000</c:v>
                </c:pt>
                <c:pt idx="4">
                  <c:v>244800000</c:v>
                </c:pt>
                <c:pt idx="5">
                  <c:v>696200000</c:v>
                </c:pt>
              </c:numCache>
            </c:numRef>
          </c:val>
          <c:extLst>
            <c:ext xmlns:c16="http://schemas.microsoft.com/office/drawing/2014/chart" uri="{C3380CC4-5D6E-409C-BE32-E72D297353CC}">
              <c16:uniqueId val="{00000000-8213-4360-8FF3-EFFE16E6E6B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[14. EASY-BH03 - Quản lý bán hàng.xlsm]Quản lý bán hàng!PivotTable17</c:name>
    <c:fmtId val="0"/>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'Quản lý bán hàng'!$AL$43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2FB3-4EDE-B907-583E7B96EF7E}"/>
              </c:ext>
            </c:extLst>
          </c:dPt>
          <c:dPt>
            <c:idx val="1"/>
            <c:bubble3D val="0"/>
            <c:spPr>
              <a:solidFill>
                <a:schemeClr val="accent2"/>
              </a:solidFill>
              <a:ln>
                <a:noFill/>
              </a:ln>
              <a:effectLst/>
            </c:spPr>
            <c:extLst>
              <c:ext xmlns:c16="http://schemas.microsoft.com/office/drawing/2014/chart" uri="{C3380CC4-5D6E-409C-BE32-E72D297353CC}">
                <c16:uniqueId val="{00000003-2FB3-4EDE-B907-583E7B96EF7E}"/>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'Quản lý bán hàng'!$AK$44:$AK$46</c:f>
              <c:strCache>
                <c:ptCount val="2"/>
                <c:pt idx="0">
                  <c:v>NV02</c:v>
                </c:pt>
                <c:pt idx="1">
                  <c:v>NV03</c:v>
                </c:pt>
              </c:strCache>
            </c:strRef>
          </c:cat>
          <c:val>
            <c:numRef>
              <c:f>'Quản lý bán hàng'!$AL$44:$AL$46</c:f>
              <c:numCache>
                <c:formatCode>_(* #,##0_);_(* \(#,##0\);_(* "-"??_);_(@_)</c:formatCode>
                <c:ptCount val="2"/>
                <c:pt idx="0">
                  <c:v>3118400000</c:v>
                </c:pt>
                <c:pt idx="1">
                  <c:v>1374300000</c:v>
                </c:pt>
              </c:numCache>
            </c:numRef>
          </c:val>
          <c:extLst>
            <c:ext xmlns:c16="http://schemas.microsoft.com/office/drawing/2014/chart" uri="{C3380CC4-5D6E-409C-BE32-E72D297353CC}">
              <c16:uniqueId val="{00000000-A87E-4FCD-A17C-D94B55705A6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EULA!$A$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104776</xdr:colOff>
          <xdr:row>0</xdr:row>
          <xdr:rowOff>66675</xdr:rowOff>
        </xdr:from>
        <xdr:to>
          <xdr:col>67</xdr:col>
          <xdr:colOff>371475</xdr:colOff>
          <xdr:row>1</xdr:row>
          <xdr:rowOff>142875</xdr:rowOff>
        </xdr:to>
        <xdr:grpSp>
          <xdr:nvGrpSpPr>
            <xdr:cNvPr id="15" name="Group 14">
              <a:extLst>
                <a:ext uri="{FF2B5EF4-FFF2-40B4-BE49-F238E27FC236}">
                  <a16:creationId xmlns:a16="http://schemas.microsoft.com/office/drawing/2014/main" id="{00000000-0008-0000-3100-00000F000000}"/>
                </a:ext>
              </a:extLst>
            </xdr:cNvPr>
            <xdr:cNvGrpSpPr/>
          </xdr:nvGrpSpPr>
          <xdr:grpSpPr>
            <a:xfrm>
              <a:off x="581026" y="66675"/>
              <a:ext cx="3695699" cy="361950"/>
              <a:chOff x="6162676" y="3409950"/>
              <a:chExt cx="3695699" cy="361950"/>
            </a:xfrm>
          </xdr:grpSpPr>
          <xdr:grpSp>
            <xdr:nvGrpSpPr>
              <xdr:cNvPr id="16" name="Group 15">
                <a:extLst>
                  <a:ext uri="{FF2B5EF4-FFF2-40B4-BE49-F238E27FC236}">
                    <a16:creationId xmlns:a16="http://schemas.microsoft.com/office/drawing/2014/main" id="{00000000-0008-0000-3100-000010000000}"/>
                  </a:ext>
                </a:extLst>
              </xdr:cNvPr>
              <xdr:cNvGrpSpPr/>
            </xdr:nvGrpSpPr>
            <xdr:grpSpPr>
              <a:xfrm>
                <a:off x="7867650" y="3409950"/>
                <a:ext cx="1990725" cy="361950"/>
                <a:chOff x="8191500" y="3409950"/>
                <a:chExt cx="1990725" cy="361950"/>
              </a:xfrm>
            </xdr:grpSpPr>
            <xdr:grpSp>
              <xdr:nvGrpSpPr>
                <xdr:cNvPr id="23" name="Group 22">
                  <a:extLst>
                    <a:ext uri="{FF2B5EF4-FFF2-40B4-BE49-F238E27FC236}">
                      <a16:creationId xmlns:a16="http://schemas.microsoft.com/office/drawing/2014/main" id="{00000000-0008-0000-3100-000017000000}"/>
                    </a:ext>
                  </a:extLst>
                </xdr:cNvPr>
                <xdr:cNvGrpSpPr/>
              </xdr:nvGrpSpPr>
              <xdr:grpSpPr>
                <a:xfrm>
                  <a:off x="8302013" y="3452813"/>
                  <a:ext cx="1769699" cy="276225"/>
                  <a:chOff x="8305801" y="3457575"/>
                  <a:chExt cx="1769699" cy="276225"/>
                </a:xfrm>
              </xdr:grpSpPr>
              <xdr:sp macro="" textlink="">
                <xdr:nvSpPr>
                  <xdr:cNvPr id="82952" name="Option Button 8" hidden="1">
                    <a:extLst>
                      <a:ext uri="{63B3BB69-23CF-44E3-9099-C40C66FF867C}">
                        <a14:compatExt spid="_x0000_s82952"/>
                      </a:ext>
                      <a:ext uri="{FF2B5EF4-FFF2-40B4-BE49-F238E27FC236}">
                        <a16:creationId xmlns:a16="http://schemas.microsoft.com/office/drawing/2014/main" id="{00000000-0008-0000-0200-0000084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2953" name="Option Button 9" hidden="1">
                    <a:extLst>
                      <a:ext uri="{63B3BB69-23CF-44E3-9099-C40C66FF867C}">
                        <a14:compatExt spid="_x0000_s82953"/>
                      </a:ext>
                      <a:ext uri="{FF2B5EF4-FFF2-40B4-BE49-F238E27FC236}">
                        <a16:creationId xmlns:a16="http://schemas.microsoft.com/office/drawing/2014/main" id="{00000000-0008-0000-0200-0000094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2954" name="Option Button 10" hidden="1">
                    <a:extLst>
                      <a:ext uri="{63B3BB69-23CF-44E3-9099-C40C66FF867C}">
                        <a14:compatExt spid="_x0000_s82954"/>
                      </a:ext>
                      <a:ext uri="{FF2B5EF4-FFF2-40B4-BE49-F238E27FC236}">
                        <a16:creationId xmlns:a16="http://schemas.microsoft.com/office/drawing/2014/main" id="{00000000-0008-0000-0200-00000A4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2955" name="Option Button 11" hidden="1">
                    <a:extLst>
                      <a:ext uri="{63B3BB69-23CF-44E3-9099-C40C66FF867C}">
                        <a14:compatExt spid="_x0000_s82955"/>
                      </a:ext>
                      <a:ext uri="{FF2B5EF4-FFF2-40B4-BE49-F238E27FC236}">
                        <a16:creationId xmlns:a16="http://schemas.microsoft.com/office/drawing/2014/main" id="{00000000-0008-0000-0200-00000B4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2956" name="Group Box 12" hidden="1">
                  <a:extLst>
                    <a:ext uri="{63B3BB69-23CF-44E3-9099-C40C66FF867C}">
                      <a14:compatExt spid="_x0000_s82956"/>
                    </a:ext>
                    <a:ext uri="{FF2B5EF4-FFF2-40B4-BE49-F238E27FC236}">
                      <a16:creationId xmlns:a16="http://schemas.microsoft.com/office/drawing/2014/main" id="{00000000-0008-0000-0200-00000C4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7" name="Group 16">
                <a:extLst>
                  <a:ext uri="{FF2B5EF4-FFF2-40B4-BE49-F238E27FC236}">
                    <a16:creationId xmlns:a16="http://schemas.microsoft.com/office/drawing/2014/main" id="{00000000-0008-0000-3100-000011000000}"/>
                  </a:ext>
                </a:extLst>
              </xdr:cNvPr>
              <xdr:cNvGrpSpPr/>
            </xdr:nvGrpSpPr>
            <xdr:grpSpPr>
              <a:xfrm>
                <a:off x="6162676" y="3409950"/>
                <a:ext cx="1657350" cy="361950"/>
                <a:chOff x="6162676" y="3409950"/>
                <a:chExt cx="1657350" cy="361950"/>
              </a:xfrm>
            </xdr:grpSpPr>
            <xdr:sp macro="" textlink="">
              <xdr:nvSpPr>
                <xdr:cNvPr id="82957" name="Group Box 13" hidden="1">
                  <a:extLst>
                    <a:ext uri="{63B3BB69-23CF-44E3-9099-C40C66FF867C}">
                      <a14:compatExt spid="_x0000_s82957"/>
                    </a:ext>
                    <a:ext uri="{FF2B5EF4-FFF2-40B4-BE49-F238E27FC236}">
                      <a16:creationId xmlns:a16="http://schemas.microsoft.com/office/drawing/2014/main" id="{00000000-0008-0000-0200-00000D4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9" name="Group 18">
                  <a:extLst>
                    <a:ext uri="{FF2B5EF4-FFF2-40B4-BE49-F238E27FC236}">
                      <a16:creationId xmlns:a16="http://schemas.microsoft.com/office/drawing/2014/main" id="{00000000-0008-0000-3100-000013000000}"/>
                    </a:ext>
                  </a:extLst>
                </xdr:cNvPr>
                <xdr:cNvGrpSpPr/>
              </xdr:nvGrpSpPr>
              <xdr:grpSpPr>
                <a:xfrm>
                  <a:off x="6243639" y="3500925"/>
                  <a:ext cx="1495425" cy="180000"/>
                  <a:chOff x="6029325" y="4257675"/>
                  <a:chExt cx="1495425" cy="257175"/>
                </a:xfrm>
              </xdr:grpSpPr>
              <xdr:sp macro="" textlink="">
                <xdr:nvSpPr>
                  <xdr:cNvPr id="82958" name="Button 14" hidden="1">
                    <a:extLst>
                      <a:ext uri="{63B3BB69-23CF-44E3-9099-C40C66FF867C}">
                        <a14:compatExt spid="_x0000_s82958"/>
                      </a:ext>
                      <a:ext uri="{FF2B5EF4-FFF2-40B4-BE49-F238E27FC236}">
                        <a16:creationId xmlns:a16="http://schemas.microsoft.com/office/drawing/2014/main" id="{00000000-0008-0000-0200-00000E4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2959" name="Button 15" hidden="1">
                    <a:extLst>
                      <a:ext uri="{63B3BB69-23CF-44E3-9099-C40C66FF867C}">
                        <a14:compatExt spid="_x0000_s82959"/>
                      </a:ext>
                      <a:ext uri="{FF2B5EF4-FFF2-40B4-BE49-F238E27FC236}">
                        <a16:creationId xmlns:a16="http://schemas.microsoft.com/office/drawing/2014/main" id="{00000000-0008-0000-0200-00000F4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2960" name="Button 16" hidden="1">
                    <a:extLst>
                      <a:ext uri="{63B3BB69-23CF-44E3-9099-C40C66FF867C}">
                        <a14:compatExt spid="_x0000_s82960"/>
                      </a:ext>
                      <a:ext uri="{FF2B5EF4-FFF2-40B4-BE49-F238E27FC236}">
                        <a16:creationId xmlns:a16="http://schemas.microsoft.com/office/drawing/2014/main" id="{00000000-0008-0000-0200-0000104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67</xdr:col>
          <xdr:colOff>523875</xdr:colOff>
          <xdr:row>0</xdr:row>
          <xdr:rowOff>85725</xdr:rowOff>
        </xdr:from>
        <xdr:to>
          <xdr:col>68</xdr:col>
          <xdr:colOff>771525</xdr:colOff>
          <xdr:row>1</xdr:row>
          <xdr:rowOff>57150</xdr:rowOff>
        </xdr:to>
        <xdr:grpSp>
          <xdr:nvGrpSpPr>
            <xdr:cNvPr id="24" name="Group 23">
              <a:extLst>
                <a:ext uri="{FF2B5EF4-FFF2-40B4-BE49-F238E27FC236}">
                  <a16:creationId xmlns:a16="http://schemas.microsoft.com/office/drawing/2014/main" id="{00000000-0008-0000-3100-000018000000}"/>
                </a:ext>
              </a:extLst>
            </xdr:cNvPr>
            <xdr:cNvGrpSpPr/>
          </xdr:nvGrpSpPr>
          <xdr:grpSpPr>
            <a:xfrm>
              <a:off x="4429125" y="85725"/>
              <a:ext cx="990600" cy="257175"/>
              <a:chOff x="771525" y="1314450"/>
              <a:chExt cx="990600" cy="257175"/>
            </a:xfrm>
          </xdr:grpSpPr>
          <xdr:sp macro="" textlink="">
            <xdr:nvSpPr>
              <xdr:cNvPr id="82961" name="Button 17" hidden="1">
                <a:extLst>
                  <a:ext uri="{63B3BB69-23CF-44E3-9099-C40C66FF867C}">
                    <a14:compatExt spid="_x0000_s82961"/>
                  </a:ext>
                  <a:ext uri="{FF2B5EF4-FFF2-40B4-BE49-F238E27FC236}">
                    <a16:creationId xmlns:a16="http://schemas.microsoft.com/office/drawing/2014/main" id="{00000000-0008-0000-0200-0000114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2962" name="Button 18" hidden="1">
                <a:extLst>
                  <a:ext uri="{63B3BB69-23CF-44E3-9099-C40C66FF867C}">
                    <a14:compatExt spid="_x0000_s82962"/>
                  </a:ext>
                  <a:ext uri="{FF2B5EF4-FFF2-40B4-BE49-F238E27FC236}">
                    <a16:creationId xmlns:a16="http://schemas.microsoft.com/office/drawing/2014/main" id="{00000000-0008-0000-0200-00001244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62</xdr:col>
      <xdr:colOff>90487</xdr:colOff>
      <xdr:row>2</xdr:row>
      <xdr:rowOff>9525</xdr:rowOff>
    </xdr:from>
    <xdr:to>
      <xdr:col>82</xdr:col>
      <xdr:colOff>205612</xdr:colOff>
      <xdr:row>14</xdr:row>
      <xdr:rowOff>146325</xdr:rowOff>
    </xdr:to>
    <xdr:graphicFrame macro="">
      <xdr:nvGraphicFramePr>
        <xdr:cNvPr id="3" name="Chart 2">
          <a:extLst>
            <a:ext uri="{FF2B5EF4-FFF2-40B4-BE49-F238E27FC236}">
              <a16:creationId xmlns:a16="http://schemas.microsoft.com/office/drawing/2014/main" id="{99709667-C592-3BE6-8E1C-007B22456D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62</xdr:col>
      <xdr:colOff>90487</xdr:colOff>
      <xdr:row>15</xdr:row>
      <xdr:rowOff>66675</xdr:rowOff>
    </xdr:from>
    <xdr:to>
      <xdr:col>82</xdr:col>
      <xdr:colOff>205612</xdr:colOff>
      <xdr:row>30</xdr:row>
      <xdr:rowOff>184425</xdr:rowOff>
    </xdr:to>
    <xdr:graphicFrame macro="">
      <xdr:nvGraphicFramePr>
        <xdr:cNvPr id="5" name="Chart 4">
          <a:extLst>
            <a:ext uri="{FF2B5EF4-FFF2-40B4-BE49-F238E27FC236}">
              <a16:creationId xmlns:a16="http://schemas.microsoft.com/office/drawing/2014/main" id="{277FE31E-A784-69F5-8CC0-1E0613FE25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41</xdr:col>
      <xdr:colOff>964012</xdr:colOff>
      <xdr:row>2</xdr:row>
      <xdr:rowOff>135948</xdr:rowOff>
    </xdr:from>
    <xdr:to>
      <xdr:col>48</xdr:col>
      <xdr:colOff>873058</xdr:colOff>
      <xdr:row>29</xdr:row>
      <xdr:rowOff>59720</xdr:rowOff>
    </xdr:to>
    <xdr:graphicFrame macro="">
      <xdr:nvGraphicFramePr>
        <xdr:cNvPr id="11" name="Chart 10">
          <a:extLst>
            <a:ext uri="{FF2B5EF4-FFF2-40B4-BE49-F238E27FC236}">
              <a16:creationId xmlns:a16="http://schemas.microsoft.com/office/drawing/2014/main" id="{174358C4-0E3B-28D3-4FDA-099DC41073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964012</xdr:colOff>
      <xdr:row>2</xdr:row>
      <xdr:rowOff>135948</xdr:rowOff>
    </xdr:from>
    <xdr:to>
      <xdr:col>42</xdr:col>
      <xdr:colOff>268081</xdr:colOff>
      <xdr:row>3</xdr:row>
      <xdr:rowOff>191947</xdr:rowOff>
    </xdr:to>
    <xdr:sp macro="" textlink="">
      <xdr:nvSpPr>
        <xdr:cNvPr id="12" name="TextBox 11">
          <a:extLst>
            <a:ext uri="{FF2B5EF4-FFF2-40B4-BE49-F238E27FC236}">
              <a16:creationId xmlns:a16="http://schemas.microsoft.com/office/drawing/2014/main" id="{CB878D1C-BD5C-D0D0-DD26-F701DAF9E034}"/>
            </a:ext>
          </a:extLst>
        </xdr:cNvPr>
        <xdr:cNvSpPr txBox="1"/>
      </xdr:nvSpPr>
      <xdr:spPr>
        <a:xfrm>
          <a:off x="20652187" y="650298"/>
          <a:ext cx="380394" cy="28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vi-VN" sz="1100" b="1">
              <a:solidFill>
                <a:schemeClr val="accent6"/>
              </a:solidFill>
            </a:rPr>
            <a:t>VIP</a:t>
          </a:r>
          <a:endParaRPr lang="en-US" sz="1100" b="1">
            <a:solidFill>
              <a:schemeClr val="accent6"/>
            </a:solidFill>
          </a:endParaRPr>
        </a:p>
      </xdr:txBody>
    </xdr:sp>
    <xdr:clientData/>
  </xdr:twoCellAnchor>
  <xdr:twoCellAnchor>
    <xdr:from>
      <xdr:col>48</xdr:col>
      <xdr:colOff>328003</xdr:colOff>
      <xdr:row>2</xdr:row>
      <xdr:rowOff>135948</xdr:rowOff>
    </xdr:from>
    <xdr:to>
      <xdr:col>48</xdr:col>
      <xdr:colOff>873058</xdr:colOff>
      <xdr:row>3</xdr:row>
      <xdr:rowOff>191947</xdr:rowOff>
    </xdr:to>
    <xdr:sp macro="" textlink="">
      <xdr:nvSpPr>
        <xdr:cNvPr id="13" name="TextBox 12">
          <a:extLst>
            <a:ext uri="{FF2B5EF4-FFF2-40B4-BE49-F238E27FC236}">
              <a16:creationId xmlns:a16="http://schemas.microsoft.com/office/drawing/2014/main" id="{69BDD6A7-11F9-4999-BEA9-90D168AE8479}"/>
            </a:ext>
          </a:extLst>
        </xdr:cNvPr>
        <xdr:cNvSpPr txBox="1"/>
      </xdr:nvSpPr>
      <xdr:spPr>
        <a:xfrm>
          <a:off x="27283753" y="650298"/>
          <a:ext cx="545055" cy="284599"/>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vi-VN" sz="1100" b="1">
              <a:solidFill>
                <a:schemeClr val="bg1"/>
              </a:solidFill>
            </a:rPr>
            <a:t>LƯU</a:t>
          </a:r>
          <a:r>
            <a:rPr lang="vi-VN" sz="1100" b="1" baseline="0">
              <a:solidFill>
                <a:schemeClr val="bg1"/>
              </a:solidFill>
            </a:rPr>
            <a:t> Ý</a:t>
          </a:r>
          <a:endParaRPr lang="en-US" sz="1100" b="1">
            <a:solidFill>
              <a:schemeClr val="bg1"/>
            </a:solidFill>
          </a:endParaRPr>
        </a:p>
      </xdr:txBody>
    </xdr:sp>
    <xdr:clientData/>
  </xdr:twoCellAnchor>
  <xdr:twoCellAnchor>
    <xdr:from>
      <xdr:col>41</xdr:col>
      <xdr:colOff>964012</xdr:colOff>
      <xdr:row>27</xdr:row>
      <xdr:rowOff>194221</xdr:rowOff>
    </xdr:from>
    <xdr:to>
      <xdr:col>42</xdr:col>
      <xdr:colOff>331501</xdr:colOff>
      <xdr:row>29</xdr:row>
      <xdr:rowOff>59720</xdr:rowOff>
    </xdr:to>
    <xdr:sp macro="" textlink="">
      <xdr:nvSpPr>
        <xdr:cNvPr id="14" name="TextBox 13">
          <a:extLst>
            <a:ext uri="{FF2B5EF4-FFF2-40B4-BE49-F238E27FC236}">
              <a16:creationId xmlns:a16="http://schemas.microsoft.com/office/drawing/2014/main" id="{7C6DE006-DBBB-4E1B-972A-4CEC2887612D}"/>
            </a:ext>
          </a:extLst>
        </xdr:cNvPr>
        <xdr:cNvSpPr txBox="1"/>
      </xdr:nvSpPr>
      <xdr:spPr>
        <a:xfrm>
          <a:off x="20652187" y="6194971"/>
          <a:ext cx="443814" cy="28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vi-VN" sz="1100" b="1">
              <a:solidFill>
                <a:schemeClr val="accent6">
                  <a:lumMod val="60000"/>
                  <a:lumOff val="40000"/>
                </a:schemeClr>
              </a:solidFill>
            </a:rPr>
            <a:t>MỚI</a:t>
          </a:r>
          <a:endParaRPr lang="en-US" sz="1100" b="1">
            <a:solidFill>
              <a:schemeClr val="accent6">
                <a:lumMod val="60000"/>
                <a:lumOff val="40000"/>
              </a:schemeClr>
            </a:solidFill>
          </a:endParaRPr>
        </a:p>
      </xdr:txBody>
    </xdr:sp>
    <xdr:clientData/>
  </xdr:twoCellAnchor>
  <xdr:twoCellAnchor>
    <xdr:from>
      <xdr:col>48</xdr:col>
      <xdr:colOff>99110</xdr:colOff>
      <xdr:row>27</xdr:row>
      <xdr:rowOff>194221</xdr:rowOff>
    </xdr:from>
    <xdr:to>
      <xdr:col>48</xdr:col>
      <xdr:colOff>873058</xdr:colOff>
      <xdr:row>29</xdr:row>
      <xdr:rowOff>59720</xdr:rowOff>
    </xdr:to>
    <xdr:sp macro="" textlink="">
      <xdr:nvSpPr>
        <xdr:cNvPr id="18" name="TextBox 17">
          <a:extLst>
            <a:ext uri="{FF2B5EF4-FFF2-40B4-BE49-F238E27FC236}">
              <a16:creationId xmlns:a16="http://schemas.microsoft.com/office/drawing/2014/main" id="{88EA05B0-8EF7-4002-A834-7424444DADA7}"/>
            </a:ext>
          </a:extLst>
        </xdr:cNvPr>
        <xdr:cNvSpPr txBox="1"/>
      </xdr:nvSpPr>
      <xdr:spPr>
        <a:xfrm>
          <a:off x="27054860" y="6194971"/>
          <a:ext cx="773948" cy="28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vi-VN" sz="1100" b="1">
              <a:solidFill>
                <a:sysClr val="windowText" lastClr="000000"/>
              </a:solidFill>
            </a:rPr>
            <a:t>VÃNG</a:t>
          </a:r>
          <a:r>
            <a:rPr lang="vi-VN" sz="1100" b="1" baseline="0">
              <a:solidFill>
                <a:sysClr val="windowText" lastClr="000000"/>
              </a:solidFill>
            </a:rPr>
            <a:t> LAI</a:t>
          </a:r>
          <a:endParaRPr lang="en-US" sz="1100" b="1">
            <a:solidFill>
              <a:sysClr val="windowText" lastClr="000000"/>
            </a:solidFill>
          </a:endParaRPr>
        </a:p>
      </xdr:txBody>
    </xdr:sp>
    <xdr:clientData/>
  </xdr:twoCellAnchor>
  <xdr:twoCellAnchor>
    <xdr:from>
      <xdr:col>49</xdr:col>
      <xdr:colOff>34943</xdr:colOff>
      <xdr:row>2</xdr:row>
      <xdr:rowOff>135948</xdr:rowOff>
    </xdr:from>
    <xdr:to>
      <xdr:col>60</xdr:col>
      <xdr:colOff>255715</xdr:colOff>
      <xdr:row>29</xdr:row>
      <xdr:rowOff>59720</xdr:rowOff>
    </xdr:to>
    <xdr:graphicFrame macro="">
      <xdr:nvGraphicFramePr>
        <xdr:cNvPr id="21" name="Chart 20">
          <a:extLst>
            <a:ext uri="{FF2B5EF4-FFF2-40B4-BE49-F238E27FC236}">
              <a16:creationId xmlns:a16="http://schemas.microsoft.com/office/drawing/2014/main" id="{F8660F68-D9E5-EFE9-054E-0A0FB6F634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49</xdr:col>
      <xdr:colOff>34943</xdr:colOff>
      <xdr:row>2</xdr:row>
      <xdr:rowOff>135948</xdr:rowOff>
    </xdr:from>
    <xdr:to>
      <xdr:col>50</xdr:col>
      <xdr:colOff>405978</xdr:colOff>
      <xdr:row>3</xdr:row>
      <xdr:rowOff>184323</xdr:rowOff>
    </xdr:to>
    <xdr:sp macro="" textlink="">
      <xdr:nvSpPr>
        <xdr:cNvPr id="22" name="TextBox 21">
          <a:extLst>
            <a:ext uri="{FF2B5EF4-FFF2-40B4-BE49-F238E27FC236}">
              <a16:creationId xmlns:a16="http://schemas.microsoft.com/office/drawing/2014/main" id="{7DDD6424-BB51-4BA7-8718-55BA02E65776}"/>
            </a:ext>
          </a:extLst>
        </xdr:cNvPr>
        <xdr:cNvSpPr txBox="1"/>
      </xdr:nvSpPr>
      <xdr:spPr>
        <a:xfrm>
          <a:off x="28057493" y="650298"/>
          <a:ext cx="466285" cy="276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b="1">
              <a:solidFill>
                <a:schemeClr val="accent6"/>
              </a:solidFill>
            </a:rPr>
            <a:t>MVP</a:t>
          </a:r>
        </a:p>
      </xdr:txBody>
    </xdr:sp>
    <xdr:clientData/>
  </xdr:twoCellAnchor>
  <xdr:twoCellAnchor>
    <xdr:from>
      <xdr:col>58</xdr:col>
      <xdr:colOff>637182</xdr:colOff>
      <xdr:row>2</xdr:row>
      <xdr:rowOff>135948</xdr:rowOff>
    </xdr:from>
    <xdr:to>
      <xdr:col>60</xdr:col>
      <xdr:colOff>255715</xdr:colOff>
      <xdr:row>3</xdr:row>
      <xdr:rowOff>187787</xdr:rowOff>
    </xdr:to>
    <xdr:sp macro="" textlink="">
      <xdr:nvSpPr>
        <xdr:cNvPr id="25" name="TextBox 24">
          <a:extLst>
            <a:ext uri="{FF2B5EF4-FFF2-40B4-BE49-F238E27FC236}">
              <a16:creationId xmlns:a16="http://schemas.microsoft.com/office/drawing/2014/main" id="{74AC0B4B-8B3D-49DC-9CB4-393CCCBDFF92}"/>
            </a:ext>
          </a:extLst>
        </xdr:cNvPr>
        <xdr:cNvSpPr txBox="1"/>
      </xdr:nvSpPr>
      <xdr:spPr>
        <a:xfrm>
          <a:off x="34689057" y="650298"/>
          <a:ext cx="551983" cy="280439"/>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vi-VN" sz="1100" b="1">
              <a:solidFill>
                <a:schemeClr val="bg1"/>
              </a:solidFill>
            </a:rPr>
            <a:t>LƯU</a:t>
          </a:r>
          <a:r>
            <a:rPr lang="vi-VN" sz="1100" b="1" baseline="0">
              <a:solidFill>
                <a:schemeClr val="bg1"/>
              </a:solidFill>
            </a:rPr>
            <a:t> Ý</a:t>
          </a:r>
          <a:endParaRPr lang="en-US" sz="1100" b="1">
            <a:solidFill>
              <a:schemeClr val="bg1"/>
            </a:solidFill>
          </a:endParaRPr>
        </a:p>
      </xdr:txBody>
    </xdr:sp>
    <xdr:clientData/>
  </xdr:twoCellAnchor>
  <xdr:twoCellAnchor>
    <xdr:from>
      <xdr:col>49</xdr:col>
      <xdr:colOff>34943</xdr:colOff>
      <xdr:row>27</xdr:row>
      <xdr:rowOff>198381</xdr:rowOff>
    </xdr:from>
    <xdr:to>
      <xdr:col>50</xdr:col>
      <xdr:colOff>383507</xdr:colOff>
      <xdr:row>29</xdr:row>
      <xdr:rowOff>59720</xdr:rowOff>
    </xdr:to>
    <xdr:sp macro="" textlink="">
      <xdr:nvSpPr>
        <xdr:cNvPr id="26" name="TextBox 25">
          <a:extLst>
            <a:ext uri="{FF2B5EF4-FFF2-40B4-BE49-F238E27FC236}">
              <a16:creationId xmlns:a16="http://schemas.microsoft.com/office/drawing/2014/main" id="{61ACA5C2-A41F-4E50-AB5E-F106D994A270}"/>
            </a:ext>
          </a:extLst>
        </xdr:cNvPr>
        <xdr:cNvSpPr txBox="1"/>
      </xdr:nvSpPr>
      <xdr:spPr>
        <a:xfrm>
          <a:off x="28057493" y="6199131"/>
          <a:ext cx="443814" cy="2804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vi-VN" sz="1100" b="1">
              <a:solidFill>
                <a:schemeClr val="accent6">
                  <a:lumMod val="60000"/>
                  <a:lumOff val="40000"/>
                </a:schemeClr>
              </a:solidFill>
            </a:rPr>
            <a:t>MỚI</a:t>
          </a:r>
          <a:endParaRPr lang="en-US" sz="1100" b="1">
            <a:solidFill>
              <a:schemeClr val="accent6">
                <a:lumMod val="60000"/>
                <a:lumOff val="40000"/>
              </a:schemeClr>
            </a:solidFill>
          </a:endParaRPr>
        </a:p>
      </xdr:txBody>
    </xdr:sp>
    <xdr:clientData/>
  </xdr:twoCellAnchor>
  <xdr:twoCellAnchor>
    <xdr:from>
      <xdr:col>58</xdr:col>
      <xdr:colOff>382406</xdr:colOff>
      <xdr:row>27</xdr:row>
      <xdr:rowOff>198381</xdr:rowOff>
    </xdr:from>
    <xdr:to>
      <xdr:col>60</xdr:col>
      <xdr:colOff>255715</xdr:colOff>
      <xdr:row>29</xdr:row>
      <xdr:rowOff>59720</xdr:rowOff>
    </xdr:to>
    <xdr:sp macro="" textlink="">
      <xdr:nvSpPr>
        <xdr:cNvPr id="27" name="TextBox 26">
          <a:extLst>
            <a:ext uri="{FF2B5EF4-FFF2-40B4-BE49-F238E27FC236}">
              <a16:creationId xmlns:a16="http://schemas.microsoft.com/office/drawing/2014/main" id="{6319DE63-98F4-4852-943F-9F6CB0CC4F6F}"/>
            </a:ext>
          </a:extLst>
        </xdr:cNvPr>
        <xdr:cNvSpPr txBox="1"/>
      </xdr:nvSpPr>
      <xdr:spPr>
        <a:xfrm>
          <a:off x="34434281" y="6199131"/>
          <a:ext cx="806759" cy="2804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b="1">
              <a:solidFill>
                <a:sysClr val="windowText" lastClr="000000"/>
              </a:solidFill>
            </a:rPr>
            <a:t>DỌN</a:t>
          </a:r>
          <a:r>
            <a:rPr lang="en-US" sz="1100" b="1" baseline="0">
              <a:solidFill>
                <a:sysClr val="windowText" lastClr="000000"/>
              </a:solidFill>
            </a:rPr>
            <a:t> KHO</a:t>
          </a:r>
          <a:endParaRPr lang="en-US" sz="1100" b="1">
            <a:solidFill>
              <a:sysClr val="windowText" lastClr="000000"/>
            </a:solidFill>
          </a:endParaRPr>
        </a:p>
      </xdr:txBody>
    </xdr:sp>
    <xdr:clientData/>
  </xdr:twoCellAnchor>
  <xdr:twoCellAnchor>
    <xdr:from>
      <xdr:col>82</xdr:col>
      <xdr:colOff>301437</xdr:colOff>
      <xdr:row>2</xdr:row>
      <xdr:rowOff>9525</xdr:rowOff>
    </xdr:from>
    <xdr:to>
      <xdr:col>89</xdr:col>
      <xdr:colOff>392337</xdr:colOff>
      <xdr:row>14</xdr:row>
      <xdr:rowOff>146325</xdr:rowOff>
    </xdr:to>
    <xdr:graphicFrame macro="">
      <xdr:nvGraphicFramePr>
        <xdr:cNvPr id="28" name="Chart 27">
          <a:extLst>
            <a:ext uri="{FF2B5EF4-FFF2-40B4-BE49-F238E27FC236}">
              <a16:creationId xmlns:a16="http://schemas.microsoft.com/office/drawing/2014/main" id="{2B1A3058-B328-DAB7-0A3B-A79B3A78B7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82</xdr:col>
      <xdr:colOff>301437</xdr:colOff>
      <xdr:row>15</xdr:row>
      <xdr:rowOff>66675</xdr:rowOff>
    </xdr:from>
    <xdr:to>
      <xdr:col>89</xdr:col>
      <xdr:colOff>392337</xdr:colOff>
      <xdr:row>30</xdr:row>
      <xdr:rowOff>184425</xdr:rowOff>
    </xdr:to>
    <xdr:graphicFrame macro="">
      <xdr:nvGraphicFramePr>
        <xdr:cNvPr id="33" name="Chart 32">
          <a:extLst>
            <a:ext uri="{FF2B5EF4-FFF2-40B4-BE49-F238E27FC236}">
              <a16:creationId xmlns:a16="http://schemas.microsoft.com/office/drawing/2014/main" id="{E17EF367-1BE2-2A75-D1F6-B44BDB0984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85</xdr:col>
          <xdr:colOff>66675</xdr:colOff>
          <xdr:row>0</xdr:row>
          <xdr:rowOff>95250</xdr:rowOff>
        </xdr:from>
        <xdr:to>
          <xdr:col>85</xdr:col>
          <xdr:colOff>685800</xdr:colOff>
          <xdr:row>1</xdr:row>
          <xdr:rowOff>66675</xdr:rowOff>
        </xdr:to>
        <xdr:sp macro="" textlink="">
          <xdr:nvSpPr>
            <xdr:cNvPr id="82967" name="Button 23" hidden="1">
              <a:extLst>
                <a:ext uri="{63B3BB69-23CF-44E3-9099-C40C66FF867C}">
                  <a14:compatExt spid="_x0000_s82967"/>
                </a:ext>
                <a:ext uri="{FF2B5EF4-FFF2-40B4-BE49-F238E27FC236}">
                  <a16:creationId xmlns:a16="http://schemas.microsoft.com/office/drawing/2014/main" id="{00000000-0008-0000-0200-0000174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7.439163657407" createdVersion="8" refreshedVersion="8" minRefreshableVersion="3" recordCount="211" xr:uid="{A4FEABD7-4606-4C30-BD18-E3467B97130E}">
  <cacheSource type="worksheet">
    <worksheetSource name="Table_Main"/>
  </cacheSource>
  <cacheFields count="21">
    <cacheField name="Mã SKU" numFmtId="0">
      <sharedItems count="3">
        <s v="TP-Aa1-1"/>
        <s v="TP-Bb2-2"/>
        <s v="TP-Cc3-3"/>
      </sharedItems>
    </cacheField>
    <cacheField name="Đơn bán" numFmtId="0">
      <sharedItems/>
    </cacheField>
    <cacheField name="Ngày lên đơn" numFmtId="165">
      <sharedItems containsSemiMixedTypes="0" containsNonDate="0" containsDate="1" containsString="0" minDate="2023-01-05T00:00:00" maxDate="2024-12-26T00:00:00" count="72">
        <d v="2024-12-25T00:00:00"/>
        <d v="2024-12-15T00:00:00"/>
        <d v="2024-12-05T00:00:00"/>
        <d v="2024-11-25T00:00:00"/>
        <d v="2024-11-15T00:00:00"/>
        <d v="2024-11-05T00:00:00"/>
        <d v="2024-10-25T00:00:00"/>
        <d v="2024-10-15T00:00:00"/>
        <d v="2024-10-05T00:00:00"/>
        <d v="2024-09-25T00:00:00"/>
        <d v="2024-09-15T00:00:00"/>
        <d v="2024-09-05T00:00:00"/>
        <d v="2024-08-25T00:00:00"/>
        <d v="2024-08-15T00:00:00"/>
        <d v="2024-08-05T00:00:00"/>
        <d v="2024-07-25T00:00:00"/>
        <d v="2024-07-15T00:00:00"/>
        <d v="2024-07-05T00:00:00"/>
        <d v="2024-06-25T00:00:00"/>
        <d v="2024-06-15T00:00:00"/>
        <d v="2024-06-05T00:00:00"/>
        <d v="2024-05-25T00:00:00"/>
        <d v="2024-05-15T00:00:00"/>
        <d v="2024-05-05T00:00:00"/>
        <d v="2024-04-25T00:00:00"/>
        <d v="2024-04-15T00:00:00"/>
        <d v="2024-04-05T00:00:00"/>
        <d v="2024-03-25T00:00:00"/>
        <d v="2024-03-15T00:00:00"/>
        <d v="2024-03-05T00:00:00"/>
        <d v="2024-02-25T00:00:00"/>
        <d v="2024-02-15T00:00:00"/>
        <d v="2024-02-05T00:00:00"/>
        <d v="2024-01-25T00:00:00"/>
        <d v="2024-01-15T00:00:00"/>
        <d v="2024-01-05T00:00:00"/>
        <d v="2023-12-25T00:00:00"/>
        <d v="2023-12-15T00:00:00"/>
        <d v="2023-12-05T00:00:00"/>
        <d v="2023-11-25T00:00:00"/>
        <d v="2023-11-15T00:00:00"/>
        <d v="2023-11-05T00:00:00"/>
        <d v="2023-10-25T00:00:00"/>
        <d v="2023-10-15T00:00:00"/>
        <d v="2023-10-05T00:00:00"/>
        <d v="2023-09-25T00:00:00"/>
        <d v="2023-09-15T00:00:00"/>
        <d v="2023-09-05T00:00:00"/>
        <d v="2023-08-25T00:00:00"/>
        <d v="2023-08-15T00:00:00"/>
        <d v="2023-08-05T00:00:00"/>
        <d v="2023-07-25T00:00:00"/>
        <d v="2023-07-15T00:00:00"/>
        <d v="2023-07-05T00:00:00"/>
        <d v="2023-06-25T00:00:00"/>
        <d v="2023-06-15T00:00:00"/>
        <d v="2023-06-05T00:00:00"/>
        <d v="2023-05-25T00:00:00"/>
        <d v="2023-05-15T00:00:00"/>
        <d v="2023-05-05T00:00:00"/>
        <d v="2023-04-25T00:00:00"/>
        <d v="2023-04-15T00:00:00"/>
        <d v="2023-04-05T00:00:00"/>
        <d v="2023-03-25T00:00:00"/>
        <d v="2023-03-15T00:00:00"/>
        <d v="2023-03-05T00:00:00"/>
        <d v="2023-02-25T00:00:00"/>
        <d v="2023-02-15T00:00:00"/>
        <d v="2023-02-05T00:00:00"/>
        <d v="2023-01-25T00:00:00"/>
        <d v="2023-01-15T00:00:00"/>
        <d v="2023-01-05T00:00:00"/>
      </sharedItems>
      <fieldGroup par="20"/>
    </cacheField>
    <cacheField name="Tháng lên đơn" numFmtId="164">
      <sharedItems containsSemiMixedTypes="0" containsString="0" containsNumber="1" containsInteger="1" minValue="1" maxValue="12"/>
    </cacheField>
    <cacheField name="Nhóm SKU" numFmtId="164">
      <sharedItems count="3">
        <s v="Nhóm 1"/>
        <s v="Nhóm 2"/>
        <s v="Nhóm 3"/>
      </sharedItems>
    </cacheField>
    <cacheField name="Khách hàng" numFmtId="0">
      <sharedItems count="7">
        <s v="KH07"/>
        <s v="KH02"/>
        <s v="KH06"/>
        <s v="KH05"/>
        <s v="KH03"/>
        <s v="KH01"/>
        <s v="KH04"/>
      </sharedItems>
    </cacheField>
    <cacheField name="Phân khúc" numFmtId="164">
      <sharedItems count="2">
        <s v="B2C"/>
        <s v="B2B"/>
      </sharedItems>
    </cacheField>
    <cacheField name="NV Bán hàng" numFmtId="0">
      <sharedItems count="2">
        <s v="NV02"/>
        <s v="NV03"/>
      </sharedItems>
    </cacheField>
    <cacheField name="Kênh" numFmtId="164">
      <sharedItems count="6">
        <s v="ST"/>
        <s v="FB"/>
        <s v="SP"/>
        <s v="LZ"/>
        <s v="TT"/>
        <s v="TK"/>
      </sharedItems>
    </cacheField>
    <cacheField name="Nhóm kênh" numFmtId="164">
      <sharedItems count="3">
        <s v="Offline"/>
        <s v="Mạng xã hội"/>
        <s v="Sàn TMĐT"/>
      </sharedItems>
    </cacheField>
    <cacheField name="Số lượng" numFmtId="164">
      <sharedItems containsSemiMixedTypes="0" containsString="0" containsNumber="1" containsInteger="1" minValue="2" maxValue="292"/>
    </cacheField>
    <cacheField name="Đơn vị" numFmtId="164">
      <sharedItems/>
    </cacheField>
    <cacheField name="Giá bán" numFmtId="164">
      <sharedItems containsSemiMixedTypes="0" containsString="0" containsNumber="1" containsInteger="1" minValue="200000" maxValue="500000"/>
    </cacheField>
    <cacheField name="Thành tiền niêm yết" numFmtId="164">
      <sharedItems containsSemiMixedTypes="0" containsString="0" containsNumber="1" containsInteger="1" minValue="1000000" maxValue="60500000"/>
    </cacheField>
    <cacheField name="Khuyễn mãi" numFmtId="164">
      <sharedItems containsSemiMixedTypes="0" containsString="0" containsNumber="1" containsInteger="1" minValue="0" maxValue="2175000"/>
    </cacheField>
    <cacheField name="Giá trị bán trước VAT" numFmtId="164">
      <sharedItems containsSemiMixedTypes="0" containsString="0" containsNumber="1" containsInteger="1" minValue="950000" maxValue="60500000"/>
    </cacheField>
    <cacheField name="Phân bổ khuyến mãi đơn" numFmtId="164">
      <sharedItems containsSemiMixedTypes="0" containsString="0" containsNumber="1" minValue="0" maxValue="5000000"/>
    </cacheField>
    <cacheField name="Phân bổ doanh thu ròng" numFmtId="164">
      <sharedItems containsSemiMixedTypes="0" containsString="0" containsNumber="1" minValue="950000" maxValue="60500000"/>
    </cacheField>
    <cacheField name="Months (Ngày lên đơn)" numFmtId="0" databaseField="0">
      <fieldGroup base="2">
        <rangePr groupBy="months" startDate="2023-01-05T00:00:00" endDate="2024-12-26T00:00:00"/>
        <groupItems count="14">
          <s v="&lt;05-01-23"/>
          <s v="Jan"/>
          <s v="Feb"/>
          <s v="Mar"/>
          <s v="Apr"/>
          <s v="May"/>
          <s v="Jun"/>
          <s v="Jul"/>
          <s v="Aug"/>
          <s v="Sep"/>
          <s v="Oct"/>
          <s v="Nov"/>
          <s v="Dec"/>
          <s v="&gt;26-12-24"/>
        </groupItems>
      </fieldGroup>
    </cacheField>
    <cacheField name="Quarters (Ngày lên đơn)" numFmtId="0" databaseField="0">
      <fieldGroup base="2">
        <rangePr groupBy="quarters" startDate="2023-01-05T00:00:00" endDate="2024-12-26T00:00:00"/>
        <groupItems count="6">
          <s v="&lt;05-01-23"/>
          <s v="Qtr1"/>
          <s v="Qtr2"/>
          <s v="Qtr3"/>
          <s v="Qtr4"/>
          <s v="&gt;26-12-24"/>
        </groupItems>
      </fieldGroup>
    </cacheField>
    <cacheField name="Years (Ngày lên đơn)" numFmtId="0" databaseField="0">
      <fieldGroup base="2">
        <rangePr groupBy="years" startDate="2023-01-05T00:00:00" endDate="2024-12-26T00:00:00"/>
        <groupItems count="4">
          <s v="&lt;05-01-23"/>
          <s v="2023"/>
          <s v="2024"/>
          <s v="&gt;26-12-24"/>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1">
  <r>
    <x v="0"/>
    <s v="BAN-KH07-241225-1"/>
    <x v="0"/>
    <n v="12"/>
    <x v="0"/>
    <x v="0"/>
    <x v="0"/>
    <x v="0"/>
    <x v="0"/>
    <x v="0"/>
    <n v="292"/>
    <s v="Bộ"/>
    <n v="200000"/>
    <n v="58400000"/>
    <n v="0"/>
    <n v="58400000"/>
    <n v="5000000"/>
    <n v="53400000"/>
  </r>
  <r>
    <x v="1"/>
    <s v="BAN-KH02-241215-1"/>
    <x v="1"/>
    <n v="12"/>
    <x v="1"/>
    <x v="1"/>
    <x v="0"/>
    <x v="1"/>
    <x v="1"/>
    <x v="1"/>
    <n v="177"/>
    <s v="Bộ"/>
    <n v="300000"/>
    <n v="53100000"/>
    <n v="0"/>
    <n v="53100000"/>
    <n v="5000000"/>
    <n v="48100000"/>
  </r>
  <r>
    <x v="2"/>
    <s v="BAN-KH06-241205-1"/>
    <x v="2"/>
    <n v="12"/>
    <x v="2"/>
    <x v="2"/>
    <x v="1"/>
    <x v="0"/>
    <x v="2"/>
    <x v="2"/>
    <n v="119"/>
    <s v="Bộ"/>
    <n v="500000"/>
    <n v="59500000"/>
    <n v="0"/>
    <n v="59500000"/>
    <n v="5000000"/>
    <n v="54500000"/>
  </r>
  <r>
    <x v="0"/>
    <s v="BAN-KH05-241125-1"/>
    <x v="3"/>
    <n v="11"/>
    <x v="0"/>
    <x v="3"/>
    <x v="0"/>
    <x v="1"/>
    <x v="3"/>
    <x v="2"/>
    <n v="284"/>
    <s v="Bộ"/>
    <n v="200000"/>
    <n v="56800000"/>
    <n v="0"/>
    <n v="56800000"/>
    <n v="1694510.7398568019"/>
    <n v="55105489.260143198"/>
  </r>
  <r>
    <x v="1"/>
    <s v="BAN-KH05-241125-1"/>
    <x v="3"/>
    <n v="11"/>
    <x v="1"/>
    <x v="3"/>
    <x v="0"/>
    <x v="1"/>
    <x v="3"/>
    <x v="2"/>
    <n v="171"/>
    <s v="Bộ"/>
    <n v="300000"/>
    <n v="51300000"/>
    <n v="0"/>
    <n v="51300000"/>
    <n v="1530429.5942720764"/>
    <n v="49769570.405727923"/>
  </r>
  <r>
    <x v="2"/>
    <s v="BAN-KH05-241125-1"/>
    <x v="3"/>
    <n v="11"/>
    <x v="2"/>
    <x v="3"/>
    <x v="0"/>
    <x v="1"/>
    <x v="3"/>
    <x v="2"/>
    <n v="119"/>
    <s v="Bộ"/>
    <n v="500000"/>
    <n v="59500000"/>
    <n v="0"/>
    <n v="59500000"/>
    <n v="1775059.6658711217"/>
    <n v="57724940.334128879"/>
  </r>
  <r>
    <x v="0"/>
    <s v="BAN-KH03-241115-1"/>
    <x v="4"/>
    <n v="11"/>
    <x v="0"/>
    <x v="4"/>
    <x v="0"/>
    <x v="0"/>
    <x v="0"/>
    <x v="0"/>
    <n v="278"/>
    <s v="Bộ"/>
    <n v="200000"/>
    <n v="55600000"/>
    <n v="0"/>
    <n v="55600000"/>
    <n v="1684848.4848484849"/>
    <n v="53915151.515151516"/>
  </r>
  <r>
    <x v="1"/>
    <s v="BAN-KH03-241115-1"/>
    <x v="4"/>
    <n v="11"/>
    <x v="1"/>
    <x v="4"/>
    <x v="0"/>
    <x v="0"/>
    <x v="0"/>
    <x v="0"/>
    <n v="168"/>
    <s v="Bộ"/>
    <n v="300000"/>
    <n v="50400000"/>
    <n v="0"/>
    <n v="50400000"/>
    <n v="1527272.7272727273"/>
    <n v="48872727.272727273"/>
  </r>
  <r>
    <x v="2"/>
    <s v="BAN-KH03-241115-1"/>
    <x v="4"/>
    <n v="11"/>
    <x v="2"/>
    <x v="4"/>
    <x v="0"/>
    <x v="0"/>
    <x v="0"/>
    <x v="0"/>
    <n v="118"/>
    <s v="Bộ"/>
    <n v="500000"/>
    <n v="59000000"/>
    <n v="0"/>
    <n v="59000000"/>
    <n v="1787878.7878787878"/>
    <n v="57212121.212121211"/>
  </r>
  <r>
    <x v="0"/>
    <s v="BAN-KH01-241105-1"/>
    <x v="5"/>
    <n v="11"/>
    <x v="0"/>
    <x v="5"/>
    <x v="1"/>
    <x v="0"/>
    <x v="0"/>
    <x v="0"/>
    <n v="265"/>
    <s v="Bộ"/>
    <n v="200000"/>
    <n v="53000000"/>
    <n v="0"/>
    <n v="53000000"/>
    <n v="1660401.0025062656"/>
    <n v="51339598.997493736"/>
  </r>
  <r>
    <x v="1"/>
    <s v="BAN-KH01-241105-1"/>
    <x v="5"/>
    <n v="11"/>
    <x v="1"/>
    <x v="5"/>
    <x v="1"/>
    <x v="0"/>
    <x v="0"/>
    <x v="0"/>
    <n v="162"/>
    <s v="Bộ"/>
    <n v="300000"/>
    <n v="48600000"/>
    <n v="0"/>
    <n v="48600000"/>
    <n v="1522556.3909774437"/>
    <n v="47077443.609022558"/>
  </r>
  <r>
    <x v="2"/>
    <s v="BAN-KH01-241105-1"/>
    <x v="5"/>
    <n v="11"/>
    <x v="2"/>
    <x v="5"/>
    <x v="1"/>
    <x v="0"/>
    <x v="0"/>
    <x v="0"/>
    <n v="116"/>
    <s v="Bộ"/>
    <n v="500000"/>
    <n v="58000000"/>
    <n v="0"/>
    <n v="58000000"/>
    <n v="1817042.6065162907"/>
    <n v="56182957.393483706"/>
  </r>
  <r>
    <x v="0"/>
    <s v="BAN-KH03-241025-1"/>
    <x v="6"/>
    <n v="10"/>
    <x v="0"/>
    <x v="4"/>
    <x v="0"/>
    <x v="0"/>
    <x v="4"/>
    <x v="1"/>
    <n v="270"/>
    <s v="Bộ"/>
    <n v="200000"/>
    <n v="54000000"/>
    <n v="0"/>
    <n v="54000000"/>
    <n v="0"/>
    <n v="54000000"/>
  </r>
  <r>
    <x v="1"/>
    <s v="BAN-KH03-241025-1"/>
    <x v="6"/>
    <n v="10"/>
    <x v="1"/>
    <x v="4"/>
    <x v="0"/>
    <x v="0"/>
    <x v="4"/>
    <x v="1"/>
    <n v="154"/>
    <s v="Bộ"/>
    <n v="300000"/>
    <n v="46200000"/>
    <n v="0"/>
    <n v="46200000"/>
    <n v="0"/>
    <n v="46200000"/>
  </r>
  <r>
    <x v="2"/>
    <s v="BAN-KH03-241025-1"/>
    <x v="6"/>
    <n v="10"/>
    <x v="2"/>
    <x v="4"/>
    <x v="0"/>
    <x v="0"/>
    <x v="4"/>
    <x v="1"/>
    <n v="118"/>
    <s v="Bộ"/>
    <n v="500000"/>
    <n v="59000000"/>
    <n v="0"/>
    <n v="59000000"/>
    <n v="0"/>
    <n v="59000000"/>
  </r>
  <r>
    <x v="0"/>
    <s v="BAN-KH04-241015-1"/>
    <x v="7"/>
    <n v="10"/>
    <x v="0"/>
    <x v="6"/>
    <x v="1"/>
    <x v="1"/>
    <x v="1"/>
    <x v="1"/>
    <n v="257"/>
    <s v="Bộ"/>
    <n v="200000"/>
    <n v="51400000"/>
    <n v="0"/>
    <n v="51400000"/>
    <n v="0"/>
    <n v="51400000"/>
  </r>
  <r>
    <x v="1"/>
    <s v="BAN-KH04-241015-1"/>
    <x v="7"/>
    <n v="10"/>
    <x v="1"/>
    <x v="6"/>
    <x v="1"/>
    <x v="1"/>
    <x v="1"/>
    <x v="1"/>
    <n v="147"/>
    <s v="Bộ"/>
    <n v="300000"/>
    <n v="44100000"/>
    <n v="0"/>
    <n v="44100000"/>
    <n v="0"/>
    <n v="44100000"/>
  </r>
  <r>
    <x v="2"/>
    <s v="BAN-KH04-241015-1"/>
    <x v="7"/>
    <n v="10"/>
    <x v="2"/>
    <x v="6"/>
    <x v="1"/>
    <x v="1"/>
    <x v="1"/>
    <x v="1"/>
    <n v="119"/>
    <s v="Bộ"/>
    <n v="500000"/>
    <n v="59500000"/>
    <n v="0"/>
    <n v="59500000"/>
    <n v="0"/>
    <n v="59500000"/>
  </r>
  <r>
    <x v="0"/>
    <s v="BAN-KH02-241005-1"/>
    <x v="8"/>
    <n v="10"/>
    <x v="0"/>
    <x v="1"/>
    <x v="0"/>
    <x v="0"/>
    <x v="2"/>
    <x v="2"/>
    <n v="254"/>
    <s v="Bộ"/>
    <n v="200000"/>
    <n v="50800000"/>
    <n v="0"/>
    <n v="50800000"/>
    <n v="0"/>
    <n v="50800000"/>
  </r>
  <r>
    <x v="1"/>
    <s v="BAN-KH02-241005-1"/>
    <x v="8"/>
    <n v="10"/>
    <x v="1"/>
    <x v="1"/>
    <x v="0"/>
    <x v="0"/>
    <x v="2"/>
    <x v="2"/>
    <n v="146"/>
    <s v="Bộ"/>
    <n v="300000"/>
    <n v="43800000"/>
    <n v="0"/>
    <n v="43800000"/>
    <n v="0"/>
    <n v="43800000"/>
  </r>
  <r>
    <x v="2"/>
    <s v="BAN-KH02-241005-1"/>
    <x v="8"/>
    <n v="10"/>
    <x v="2"/>
    <x v="1"/>
    <x v="0"/>
    <x v="0"/>
    <x v="2"/>
    <x v="2"/>
    <n v="121"/>
    <s v="Bộ"/>
    <n v="500000"/>
    <n v="60500000"/>
    <n v="0"/>
    <n v="60500000"/>
    <n v="0"/>
    <n v="60500000"/>
  </r>
  <r>
    <x v="0"/>
    <s v="BAN-KH01-240925-1"/>
    <x v="9"/>
    <n v="9"/>
    <x v="0"/>
    <x v="5"/>
    <x v="1"/>
    <x v="0"/>
    <x v="0"/>
    <x v="0"/>
    <n v="251"/>
    <s v="Bộ"/>
    <n v="200000"/>
    <n v="50200000"/>
    <n v="0"/>
    <n v="50200000"/>
    <n v="0"/>
    <n v="50200000"/>
  </r>
  <r>
    <x v="1"/>
    <s v="BAN-KH01-240925-1"/>
    <x v="9"/>
    <n v="9"/>
    <x v="1"/>
    <x v="5"/>
    <x v="1"/>
    <x v="0"/>
    <x v="0"/>
    <x v="0"/>
    <n v="139"/>
    <s v="Bộ"/>
    <n v="300000"/>
    <n v="41700000"/>
    <n v="0"/>
    <n v="41700000"/>
    <n v="0"/>
    <n v="41700000"/>
  </r>
  <r>
    <x v="2"/>
    <s v="BAN-KH01-240925-1"/>
    <x v="9"/>
    <n v="9"/>
    <x v="2"/>
    <x v="5"/>
    <x v="1"/>
    <x v="0"/>
    <x v="0"/>
    <x v="0"/>
    <n v="116"/>
    <s v="Bộ"/>
    <n v="500000"/>
    <n v="58000000"/>
    <n v="0"/>
    <n v="58000000"/>
    <n v="0"/>
    <n v="58000000"/>
  </r>
  <r>
    <x v="0"/>
    <s v="BAN-KH05-240915-1"/>
    <x v="10"/>
    <n v="9"/>
    <x v="0"/>
    <x v="3"/>
    <x v="0"/>
    <x v="0"/>
    <x v="4"/>
    <x v="1"/>
    <n v="256"/>
    <s v="Bộ"/>
    <n v="200000"/>
    <n v="51200000"/>
    <n v="0"/>
    <n v="51200000"/>
    <n v="0"/>
    <n v="51200000"/>
  </r>
  <r>
    <x v="1"/>
    <s v="BAN-KH05-240915-1"/>
    <x v="10"/>
    <n v="9"/>
    <x v="1"/>
    <x v="3"/>
    <x v="0"/>
    <x v="0"/>
    <x v="4"/>
    <x v="1"/>
    <n v="135"/>
    <s v="Bộ"/>
    <n v="300000"/>
    <n v="40500000"/>
    <n v="0"/>
    <n v="40500000"/>
    <n v="0"/>
    <n v="40500000"/>
  </r>
  <r>
    <x v="2"/>
    <s v="BAN-KH05-240915-1"/>
    <x v="10"/>
    <n v="9"/>
    <x v="2"/>
    <x v="3"/>
    <x v="0"/>
    <x v="0"/>
    <x v="4"/>
    <x v="1"/>
    <n v="110"/>
    <s v="Bộ"/>
    <n v="500000"/>
    <n v="55000000"/>
    <n v="0"/>
    <n v="55000000"/>
    <n v="0"/>
    <n v="55000000"/>
  </r>
  <r>
    <x v="0"/>
    <s v="BAN-KH03-240905-1"/>
    <x v="11"/>
    <n v="9"/>
    <x v="0"/>
    <x v="4"/>
    <x v="0"/>
    <x v="1"/>
    <x v="4"/>
    <x v="1"/>
    <n v="251"/>
    <s v="Bộ"/>
    <n v="200000"/>
    <n v="50200000"/>
    <n v="0"/>
    <n v="50200000"/>
    <n v="0"/>
    <n v="50200000"/>
  </r>
  <r>
    <x v="1"/>
    <s v="BAN-KH03-240905-1"/>
    <x v="11"/>
    <n v="9"/>
    <x v="1"/>
    <x v="4"/>
    <x v="0"/>
    <x v="1"/>
    <x v="4"/>
    <x v="1"/>
    <n v="138"/>
    <s v="Bộ"/>
    <n v="300000"/>
    <n v="41400000"/>
    <n v="0"/>
    <n v="41400000"/>
    <n v="0"/>
    <n v="41400000"/>
  </r>
  <r>
    <x v="2"/>
    <s v="BAN-KH03-240905-1"/>
    <x v="11"/>
    <n v="9"/>
    <x v="2"/>
    <x v="4"/>
    <x v="0"/>
    <x v="1"/>
    <x v="4"/>
    <x v="1"/>
    <n v="109"/>
    <s v="Bộ"/>
    <n v="500000"/>
    <n v="54500000"/>
    <n v="0"/>
    <n v="54500000"/>
    <n v="0"/>
    <n v="54500000"/>
  </r>
  <r>
    <x v="0"/>
    <s v="BAN-KH01-240825-1"/>
    <x v="12"/>
    <n v="8"/>
    <x v="0"/>
    <x v="5"/>
    <x v="1"/>
    <x v="0"/>
    <x v="0"/>
    <x v="0"/>
    <n v="239"/>
    <s v="Bộ"/>
    <n v="200000"/>
    <n v="47800000"/>
    <n v="0"/>
    <n v="47800000"/>
    <n v="0"/>
    <n v="47800000"/>
  </r>
  <r>
    <x v="1"/>
    <s v="BAN-KH01-240825-1"/>
    <x v="12"/>
    <n v="8"/>
    <x v="1"/>
    <x v="5"/>
    <x v="1"/>
    <x v="0"/>
    <x v="0"/>
    <x v="0"/>
    <n v="137"/>
    <s v="Bộ"/>
    <n v="300000"/>
    <n v="41100000"/>
    <n v="0"/>
    <n v="41100000"/>
    <n v="0"/>
    <n v="41100000"/>
  </r>
  <r>
    <x v="2"/>
    <s v="BAN-KH01-240825-1"/>
    <x v="12"/>
    <n v="8"/>
    <x v="2"/>
    <x v="5"/>
    <x v="1"/>
    <x v="0"/>
    <x v="0"/>
    <x v="0"/>
    <n v="110"/>
    <s v="Bộ"/>
    <n v="500000"/>
    <n v="55000000"/>
    <n v="0"/>
    <n v="55000000"/>
    <n v="0"/>
    <n v="55000000"/>
  </r>
  <r>
    <x v="0"/>
    <s v="BAN-KH02-240815-1"/>
    <x v="13"/>
    <n v="8"/>
    <x v="0"/>
    <x v="1"/>
    <x v="0"/>
    <x v="1"/>
    <x v="3"/>
    <x v="2"/>
    <n v="234"/>
    <s v="Bộ"/>
    <n v="200000"/>
    <n v="46800000"/>
    <n v="0"/>
    <n v="46800000"/>
    <n v="0"/>
    <n v="46800000"/>
  </r>
  <r>
    <x v="1"/>
    <s v="BAN-KH02-240815-1"/>
    <x v="13"/>
    <n v="8"/>
    <x v="1"/>
    <x v="1"/>
    <x v="0"/>
    <x v="1"/>
    <x v="3"/>
    <x v="2"/>
    <n v="133"/>
    <s v="Bộ"/>
    <n v="300000"/>
    <n v="39900000"/>
    <n v="0"/>
    <n v="39900000"/>
    <n v="0"/>
    <n v="39900000"/>
  </r>
  <r>
    <x v="2"/>
    <s v="BAN-KH02-240815-1"/>
    <x v="13"/>
    <n v="8"/>
    <x v="2"/>
    <x v="1"/>
    <x v="0"/>
    <x v="1"/>
    <x v="3"/>
    <x v="2"/>
    <n v="107"/>
    <s v="Bộ"/>
    <n v="500000"/>
    <n v="53500000"/>
    <n v="0"/>
    <n v="53500000"/>
    <n v="0"/>
    <n v="53500000"/>
  </r>
  <r>
    <x v="0"/>
    <s v="BAN-KH05-240805-1"/>
    <x v="14"/>
    <n v="8"/>
    <x v="0"/>
    <x v="3"/>
    <x v="0"/>
    <x v="0"/>
    <x v="0"/>
    <x v="0"/>
    <n v="223"/>
    <s v="Bộ"/>
    <n v="200000"/>
    <n v="44600000"/>
    <n v="0"/>
    <n v="44600000"/>
    <n v="0"/>
    <n v="44600000"/>
  </r>
  <r>
    <x v="1"/>
    <s v="BAN-KH05-240805-1"/>
    <x v="14"/>
    <n v="8"/>
    <x v="1"/>
    <x v="3"/>
    <x v="0"/>
    <x v="0"/>
    <x v="0"/>
    <x v="0"/>
    <n v="136"/>
    <s v="Bộ"/>
    <n v="300000"/>
    <n v="40800000"/>
    <n v="0"/>
    <n v="40800000"/>
    <n v="0"/>
    <n v="40800000"/>
  </r>
  <r>
    <x v="2"/>
    <s v="BAN-KH05-240805-1"/>
    <x v="14"/>
    <n v="8"/>
    <x v="2"/>
    <x v="3"/>
    <x v="0"/>
    <x v="0"/>
    <x v="0"/>
    <x v="0"/>
    <n v="103"/>
    <s v="Bộ"/>
    <n v="500000"/>
    <n v="51500000"/>
    <n v="0"/>
    <n v="51500000"/>
    <n v="0"/>
    <n v="51500000"/>
  </r>
  <r>
    <x v="0"/>
    <s v="BAN-KH04-240725-1"/>
    <x v="15"/>
    <n v="7"/>
    <x v="0"/>
    <x v="6"/>
    <x v="1"/>
    <x v="0"/>
    <x v="1"/>
    <x v="1"/>
    <n v="212"/>
    <s v="Bộ"/>
    <n v="200000"/>
    <n v="42400000"/>
    <n v="0"/>
    <n v="42400000"/>
    <n v="0"/>
    <n v="42400000"/>
  </r>
  <r>
    <x v="1"/>
    <s v="BAN-KH04-240725-1"/>
    <x v="15"/>
    <n v="7"/>
    <x v="1"/>
    <x v="6"/>
    <x v="1"/>
    <x v="0"/>
    <x v="1"/>
    <x v="1"/>
    <n v="133"/>
    <s v="Bộ"/>
    <n v="300000"/>
    <n v="39900000"/>
    <n v="0"/>
    <n v="39900000"/>
    <n v="0"/>
    <n v="39900000"/>
  </r>
  <r>
    <x v="2"/>
    <s v="BAN-KH04-240725-1"/>
    <x v="15"/>
    <n v="7"/>
    <x v="2"/>
    <x v="6"/>
    <x v="1"/>
    <x v="0"/>
    <x v="1"/>
    <x v="1"/>
    <n v="104"/>
    <s v="Bộ"/>
    <n v="500000"/>
    <n v="52000000"/>
    <n v="0"/>
    <n v="52000000"/>
    <n v="0"/>
    <n v="52000000"/>
  </r>
  <r>
    <x v="0"/>
    <s v="BAN-KH01-240715-1"/>
    <x v="16"/>
    <n v="7"/>
    <x v="0"/>
    <x v="5"/>
    <x v="1"/>
    <x v="0"/>
    <x v="2"/>
    <x v="2"/>
    <n v="202"/>
    <s v="Bộ"/>
    <n v="200000"/>
    <n v="40400000"/>
    <n v="0"/>
    <n v="40400000"/>
    <n v="0"/>
    <n v="40400000"/>
  </r>
  <r>
    <x v="1"/>
    <s v="BAN-KH01-240715-1"/>
    <x v="16"/>
    <n v="7"/>
    <x v="1"/>
    <x v="5"/>
    <x v="1"/>
    <x v="0"/>
    <x v="2"/>
    <x v="2"/>
    <n v="136"/>
    <s v="Bộ"/>
    <n v="300000"/>
    <n v="40800000"/>
    <n v="0"/>
    <n v="40800000"/>
    <n v="0"/>
    <n v="40800000"/>
  </r>
  <r>
    <x v="2"/>
    <s v="BAN-KH01-240715-1"/>
    <x v="16"/>
    <n v="7"/>
    <x v="2"/>
    <x v="5"/>
    <x v="1"/>
    <x v="0"/>
    <x v="2"/>
    <x v="2"/>
    <n v="101"/>
    <s v="Bộ"/>
    <n v="500000"/>
    <n v="50500000"/>
    <n v="0"/>
    <n v="50500000"/>
    <n v="0"/>
    <n v="50500000"/>
  </r>
  <r>
    <x v="0"/>
    <s v="BAN-KH02-240705-1"/>
    <x v="17"/>
    <n v="7"/>
    <x v="0"/>
    <x v="1"/>
    <x v="0"/>
    <x v="1"/>
    <x v="5"/>
    <x v="2"/>
    <n v="198"/>
    <s v="Bộ"/>
    <n v="200000"/>
    <n v="39600000"/>
    <n v="0"/>
    <n v="39600000"/>
    <n v="0"/>
    <n v="39600000"/>
  </r>
  <r>
    <x v="1"/>
    <s v="BAN-KH02-240705-1"/>
    <x v="17"/>
    <n v="7"/>
    <x v="1"/>
    <x v="1"/>
    <x v="0"/>
    <x v="1"/>
    <x v="5"/>
    <x v="2"/>
    <n v="136"/>
    <s v="Bộ"/>
    <n v="300000"/>
    <n v="40800000"/>
    <n v="0"/>
    <n v="40800000"/>
    <n v="0"/>
    <n v="40800000"/>
  </r>
  <r>
    <x v="2"/>
    <s v="BAN-KH02-240705-1"/>
    <x v="17"/>
    <n v="7"/>
    <x v="2"/>
    <x v="1"/>
    <x v="0"/>
    <x v="1"/>
    <x v="5"/>
    <x v="2"/>
    <n v="101"/>
    <s v="Bộ"/>
    <n v="500000"/>
    <n v="50500000"/>
    <n v="0"/>
    <n v="50500000"/>
    <n v="0"/>
    <n v="50500000"/>
  </r>
  <r>
    <x v="0"/>
    <s v="BAN-KH03-240625-1"/>
    <x v="18"/>
    <n v="6"/>
    <x v="0"/>
    <x v="4"/>
    <x v="0"/>
    <x v="0"/>
    <x v="0"/>
    <x v="0"/>
    <n v="196"/>
    <s v="Bộ"/>
    <n v="200000"/>
    <n v="39200000"/>
    <n v="0"/>
    <n v="39200000"/>
    <n v="0"/>
    <n v="39200000"/>
  </r>
  <r>
    <x v="1"/>
    <s v="BAN-KH03-240625-1"/>
    <x v="18"/>
    <n v="6"/>
    <x v="1"/>
    <x v="4"/>
    <x v="0"/>
    <x v="0"/>
    <x v="0"/>
    <x v="0"/>
    <n v="139"/>
    <s v="Bộ"/>
    <n v="300000"/>
    <n v="41700000"/>
    <n v="0"/>
    <n v="41700000"/>
    <n v="0"/>
    <n v="41700000"/>
  </r>
  <r>
    <x v="2"/>
    <s v="BAN-KH03-240625-1"/>
    <x v="18"/>
    <n v="6"/>
    <x v="2"/>
    <x v="4"/>
    <x v="0"/>
    <x v="0"/>
    <x v="0"/>
    <x v="0"/>
    <n v="97"/>
    <s v="Bộ"/>
    <n v="500000"/>
    <n v="48500000"/>
    <n v="0"/>
    <n v="48500000"/>
    <n v="0"/>
    <n v="48500000"/>
  </r>
  <r>
    <x v="0"/>
    <s v="BAN-KH04-240615-1"/>
    <x v="19"/>
    <n v="6"/>
    <x v="0"/>
    <x v="6"/>
    <x v="1"/>
    <x v="0"/>
    <x v="0"/>
    <x v="0"/>
    <n v="187"/>
    <s v="Bộ"/>
    <n v="200000"/>
    <n v="37400000"/>
    <n v="0"/>
    <n v="37400000"/>
    <n v="0"/>
    <n v="37400000"/>
  </r>
  <r>
    <x v="1"/>
    <s v="BAN-KH04-240615-1"/>
    <x v="19"/>
    <n v="6"/>
    <x v="1"/>
    <x v="6"/>
    <x v="1"/>
    <x v="0"/>
    <x v="0"/>
    <x v="0"/>
    <n v="142"/>
    <s v="Bộ"/>
    <n v="300000"/>
    <n v="42600000"/>
    <n v="0"/>
    <n v="42600000"/>
    <n v="0"/>
    <n v="42600000"/>
  </r>
  <r>
    <x v="2"/>
    <s v="BAN-KH04-240615-1"/>
    <x v="19"/>
    <n v="6"/>
    <x v="2"/>
    <x v="6"/>
    <x v="1"/>
    <x v="0"/>
    <x v="0"/>
    <x v="0"/>
    <n v="95"/>
    <s v="Bộ"/>
    <n v="500000"/>
    <n v="47500000"/>
    <n v="0"/>
    <n v="47500000"/>
    <n v="0"/>
    <n v="47500000"/>
  </r>
  <r>
    <x v="0"/>
    <s v="BAN-KH02-240605-1"/>
    <x v="20"/>
    <n v="6"/>
    <x v="0"/>
    <x v="1"/>
    <x v="0"/>
    <x v="0"/>
    <x v="1"/>
    <x v="1"/>
    <n v="189"/>
    <s v="Bộ"/>
    <n v="200000"/>
    <n v="37800000"/>
    <n v="0"/>
    <n v="37800000"/>
    <n v="0"/>
    <n v="37800000"/>
  </r>
  <r>
    <x v="1"/>
    <s v="BAN-KH02-240605-1"/>
    <x v="20"/>
    <n v="6"/>
    <x v="1"/>
    <x v="1"/>
    <x v="0"/>
    <x v="0"/>
    <x v="1"/>
    <x v="1"/>
    <n v="138"/>
    <s v="Bộ"/>
    <n v="300000"/>
    <n v="41400000"/>
    <n v="0"/>
    <n v="41400000"/>
    <n v="0"/>
    <n v="41400000"/>
  </r>
  <r>
    <x v="2"/>
    <s v="BAN-KH02-240605-1"/>
    <x v="20"/>
    <n v="6"/>
    <x v="2"/>
    <x v="1"/>
    <x v="0"/>
    <x v="0"/>
    <x v="1"/>
    <x v="1"/>
    <n v="97"/>
    <s v="Bộ"/>
    <n v="500000"/>
    <n v="48500000"/>
    <n v="0"/>
    <n v="48500000"/>
    <n v="0"/>
    <n v="48500000"/>
  </r>
  <r>
    <x v="0"/>
    <s v="BAN-KH06-240525-1"/>
    <x v="21"/>
    <n v="5"/>
    <x v="0"/>
    <x v="2"/>
    <x v="1"/>
    <x v="1"/>
    <x v="2"/>
    <x v="2"/>
    <n v="185"/>
    <s v="Bộ"/>
    <n v="200000"/>
    <n v="37000000"/>
    <n v="0"/>
    <n v="37000000"/>
    <n v="0"/>
    <n v="37000000"/>
  </r>
  <r>
    <x v="1"/>
    <s v="BAN-KH06-240525-1"/>
    <x v="21"/>
    <n v="5"/>
    <x v="1"/>
    <x v="2"/>
    <x v="1"/>
    <x v="1"/>
    <x v="2"/>
    <x v="2"/>
    <n v="138"/>
    <s v="Bộ"/>
    <n v="300000"/>
    <n v="41400000"/>
    <n v="0"/>
    <n v="41400000"/>
    <n v="0"/>
    <n v="41400000"/>
  </r>
  <r>
    <x v="2"/>
    <s v="BAN-KH06-240525-1"/>
    <x v="21"/>
    <n v="5"/>
    <x v="2"/>
    <x v="2"/>
    <x v="1"/>
    <x v="1"/>
    <x v="2"/>
    <x v="2"/>
    <n v="97"/>
    <s v="Bộ"/>
    <n v="500000"/>
    <n v="48500000"/>
    <n v="0"/>
    <n v="48500000"/>
    <n v="0"/>
    <n v="48500000"/>
  </r>
  <r>
    <x v="0"/>
    <s v="BAN-KH01-240515-1"/>
    <x v="22"/>
    <n v="5"/>
    <x v="0"/>
    <x v="5"/>
    <x v="1"/>
    <x v="0"/>
    <x v="0"/>
    <x v="0"/>
    <n v="183"/>
    <s v="Bộ"/>
    <n v="200000"/>
    <n v="36600000"/>
    <n v="0"/>
    <n v="36600000"/>
    <n v="0"/>
    <n v="36600000"/>
  </r>
  <r>
    <x v="1"/>
    <s v="BAN-KH01-240515-1"/>
    <x v="22"/>
    <n v="5"/>
    <x v="1"/>
    <x v="5"/>
    <x v="1"/>
    <x v="0"/>
    <x v="0"/>
    <x v="0"/>
    <n v="135"/>
    <s v="Bộ"/>
    <n v="300000"/>
    <n v="40500000"/>
    <n v="0"/>
    <n v="40500000"/>
    <n v="0"/>
    <n v="40500000"/>
  </r>
  <r>
    <x v="2"/>
    <s v="BAN-KH01-240515-1"/>
    <x v="22"/>
    <n v="5"/>
    <x v="2"/>
    <x v="5"/>
    <x v="1"/>
    <x v="0"/>
    <x v="0"/>
    <x v="0"/>
    <n v="99"/>
    <s v="Bộ"/>
    <n v="500000"/>
    <n v="49500000"/>
    <n v="0"/>
    <n v="49500000"/>
    <n v="0"/>
    <n v="49500000"/>
  </r>
  <r>
    <x v="0"/>
    <s v="BAN-KH02-240505-1"/>
    <x v="23"/>
    <n v="5"/>
    <x v="0"/>
    <x v="1"/>
    <x v="0"/>
    <x v="1"/>
    <x v="4"/>
    <x v="1"/>
    <n v="174"/>
    <s v="Bộ"/>
    <n v="200000"/>
    <n v="34800000"/>
    <n v="0"/>
    <n v="34800000"/>
    <n v="0"/>
    <n v="34800000"/>
  </r>
  <r>
    <x v="1"/>
    <s v="BAN-KH02-240505-1"/>
    <x v="23"/>
    <n v="5"/>
    <x v="1"/>
    <x v="1"/>
    <x v="0"/>
    <x v="1"/>
    <x v="4"/>
    <x v="1"/>
    <n v="132"/>
    <s v="Bộ"/>
    <n v="300000"/>
    <n v="39600000"/>
    <n v="0"/>
    <n v="39600000"/>
    <n v="0"/>
    <n v="39600000"/>
  </r>
  <r>
    <x v="2"/>
    <s v="BAN-KH02-240505-1"/>
    <x v="23"/>
    <n v="5"/>
    <x v="2"/>
    <x v="1"/>
    <x v="0"/>
    <x v="1"/>
    <x v="4"/>
    <x v="1"/>
    <n v="97"/>
    <s v="Bộ"/>
    <n v="500000"/>
    <n v="48500000"/>
    <n v="0"/>
    <n v="48500000"/>
    <n v="0"/>
    <n v="48500000"/>
  </r>
  <r>
    <x v="0"/>
    <s v="BAN-KH04-240425-1"/>
    <x v="24"/>
    <n v="4"/>
    <x v="0"/>
    <x v="6"/>
    <x v="1"/>
    <x v="0"/>
    <x v="4"/>
    <x v="1"/>
    <n v="171"/>
    <s v="Bộ"/>
    <n v="200000"/>
    <n v="34200000"/>
    <n v="0"/>
    <n v="34200000"/>
    <n v="0"/>
    <n v="34200000"/>
  </r>
  <r>
    <x v="1"/>
    <s v="BAN-KH04-240425-1"/>
    <x v="24"/>
    <n v="4"/>
    <x v="1"/>
    <x v="6"/>
    <x v="1"/>
    <x v="0"/>
    <x v="4"/>
    <x v="1"/>
    <n v="127"/>
    <s v="Bộ"/>
    <n v="300000"/>
    <n v="38100000"/>
    <n v="0"/>
    <n v="38100000"/>
    <n v="0"/>
    <n v="38100000"/>
  </r>
  <r>
    <x v="2"/>
    <s v="BAN-KH04-240425-1"/>
    <x v="24"/>
    <n v="4"/>
    <x v="2"/>
    <x v="6"/>
    <x v="1"/>
    <x v="0"/>
    <x v="4"/>
    <x v="1"/>
    <n v="98"/>
    <s v="Bộ"/>
    <n v="500000"/>
    <n v="49000000"/>
    <n v="0"/>
    <n v="49000000"/>
    <n v="0"/>
    <n v="49000000"/>
  </r>
  <r>
    <x v="0"/>
    <s v="BAN-KH03-240415-1"/>
    <x v="25"/>
    <n v="4"/>
    <x v="0"/>
    <x v="4"/>
    <x v="0"/>
    <x v="0"/>
    <x v="0"/>
    <x v="0"/>
    <n v="169"/>
    <s v="Bộ"/>
    <n v="200000"/>
    <n v="33800000"/>
    <n v="0"/>
    <n v="33800000"/>
    <n v="0"/>
    <n v="33800000"/>
  </r>
  <r>
    <x v="1"/>
    <s v="BAN-KH03-240415-1"/>
    <x v="25"/>
    <n v="4"/>
    <x v="1"/>
    <x v="4"/>
    <x v="0"/>
    <x v="0"/>
    <x v="0"/>
    <x v="0"/>
    <n v="121"/>
    <s v="Bộ"/>
    <n v="300000"/>
    <n v="36300000"/>
    <n v="0"/>
    <n v="36300000"/>
    <n v="0"/>
    <n v="36300000"/>
  </r>
  <r>
    <x v="2"/>
    <s v="BAN-KH03-240415-1"/>
    <x v="25"/>
    <n v="4"/>
    <x v="2"/>
    <x v="4"/>
    <x v="0"/>
    <x v="0"/>
    <x v="0"/>
    <x v="0"/>
    <n v="97"/>
    <s v="Bộ"/>
    <n v="500000"/>
    <n v="48500000"/>
    <n v="0"/>
    <n v="48500000"/>
    <n v="0"/>
    <n v="48500000"/>
  </r>
  <r>
    <x v="0"/>
    <s v="BAN-KH03-240405-1"/>
    <x v="26"/>
    <n v="4"/>
    <x v="0"/>
    <x v="4"/>
    <x v="0"/>
    <x v="0"/>
    <x v="3"/>
    <x v="2"/>
    <n v="172"/>
    <s v="Bộ"/>
    <n v="200000"/>
    <n v="34400000"/>
    <n v="0"/>
    <n v="34400000"/>
    <n v="0"/>
    <n v="34400000"/>
  </r>
  <r>
    <x v="1"/>
    <s v="BAN-KH03-240405-1"/>
    <x v="26"/>
    <n v="4"/>
    <x v="1"/>
    <x v="4"/>
    <x v="0"/>
    <x v="0"/>
    <x v="3"/>
    <x v="2"/>
    <n v="116"/>
    <s v="Bộ"/>
    <n v="300000"/>
    <n v="34800000"/>
    <n v="0"/>
    <n v="34800000"/>
    <n v="0"/>
    <n v="34800000"/>
  </r>
  <r>
    <x v="2"/>
    <s v="BAN-KH03-240405-1"/>
    <x v="26"/>
    <n v="4"/>
    <x v="2"/>
    <x v="4"/>
    <x v="0"/>
    <x v="0"/>
    <x v="3"/>
    <x v="2"/>
    <n v="92"/>
    <s v="Bộ"/>
    <n v="500000"/>
    <n v="46000000"/>
    <n v="0"/>
    <n v="46000000"/>
    <n v="0"/>
    <n v="46000000"/>
  </r>
  <r>
    <x v="0"/>
    <s v="BAN-KH05-240325-1"/>
    <x v="27"/>
    <n v="3"/>
    <x v="0"/>
    <x v="3"/>
    <x v="0"/>
    <x v="1"/>
    <x v="0"/>
    <x v="0"/>
    <n v="164"/>
    <s v="Bộ"/>
    <n v="200000"/>
    <n v="32800000"/>
    <n v="0"/>
    <n v="32800000"/>
    <n v="0"/>
    <n v="32800000"/>
  </r>
  <r>
    <x v="1"/>
    <s v="BAN-KH05-240325-1"/>
    <x v="27"/>
    <n v="3"/>
    <x v="1"/>
    <x v="3"/>
    <x v="0"/>
    <x v="1"/>
    <x v="0"/>
    <x v="0"/>
    <n v="113"/>
    <s v="Bộ"/>
    <n v="300000"/>
    <n v="33900000"/>
    <n v="0"/>
    <n v="33900000"/>
    <n v="0"/>
    <n v="33900000"/>
  </r>
  <r>
    <x v="2"/>
    <s v="BAN-KH05-240325-1"/>
    <x v="27"/>
    <n v="3"/>
    <x v="2"/>
    <x v="3"/>
    <x v="0"/>
    <x v="1"/>
    <x v="0"/>
    <x v="0"/>
    <n v="91"/>
    <s v="Bộ"/>
    <n v="500000"/>
    <n v="45500000"/>
    <n v="0"/>
    <n v="45500000"/>
    <n v="0"/>
    <n v="45500000"/>
  </r>
  <r>
    <x v="0"/>
    <s v="BAN-KH01-240315-1"/>
    <x v="28"/>
    <n v="3"/>
    <x v="0"/>
    <x v="5"/>
    <x v="1"/>
    <x v="0"/>
    <x v="1"/>
    <x v="1"/>
    <n v="161"/>
    <s v="Bộ"/>
    <n v="200000"/>
    <n v="32200000"/>
    <n v="0"/>
    <n v="32200000"/>
    <n v="0"/>
    <n v="32200000"/>
  </r>
  <r>
    <x v="1"/>
    <s v="BAN-KH01-240315-1"/>
    <x v="28"/>
    <n v="3"/>
    <x v="1"/>
    <x v="5"/>
    <x v="1"/>
    <x v="0"/>
    <x v="1"/>
    <x v="1"/>
    <n v="115"/>
    <s v="Bộ"/>
    <n v="300000"/>
    <n v="34500000"/>
    <n v="0"/>
    <n v="34500000"/>
    <n v="0"/>
    <n v="34500000"/>
  </r>
  <r>
    <x v="2"/>
    <s v="BAN-KH01-240315-1"/>
    <x v="28"/>
    <n v="3"/>
    <x v="2"/>
    <x v="5"/>
    <x v="1"/>
    <x v="0"/>
    <x v="1"/>
    <x v="1"/>
    <n v="93"/>
    <s v="Bộ"/>
    <n v="500000"/>
    <n v="46500000"/>
    <n v="0"/>
    <n v="46500000"/>
    <n v="0"/>
    <n v="46500000"/>
  </r>
  <r>
    <x v="0"/>
    <s v="BAN-KH02-240305-1"/>
    <x v="29"/>
    <n v="3"/>
    <x v="0"/>
    <x v="1"/>
    <x v="0"/>
    <x v="0"/>
    <x v="2"/>
    <x v="2"/>
    <n v="164"/>
    <s v="Bộ"/>
    <n v="200000"/>
    <n v="32800000"/>
    <n v="0"/>
    <n v="32800000"/>
    <n v="0"/>
    <n v="32800000"/>
  </r>
  <r>
    <x v="1"/>
    <s v="BAN-KH02-240305-1"/>
    <x v="29"/>
    <n v="3"/>
    <x v="1"/>
    <x v="1"/>
    <x v="0"/>
    <x v="0"/>
    <x v="2"/>
    <x v="2"/>
    <n v="114"/>
    <s v="Bộ"/>
    <n v="300000"/>
    <n v="34200000"/>
    <n v="0"/>
    <n v="34200000"/>
    <n v="0"/>
    <n v="34200000"/>
  </r>
  <r>
    <x v="2"/>
    <s v="BAN-KH02-240305-1"/>
    <x v="29"/>
    <n v="3"/>
    <x v="2"/>
    <x v="1"/>
    <x v="0"/>
    <x v="0"/>
    <x v="2"/>
    <x v="2"/>
    <n v="93"/>
    <s v="Bộ"/>
    <n v="500000"/>
    <n v="46500000"/>
    <n v="0"/>
    <n v="46500000"/>
    <n v="0"/>
    <n v="46500000"/>
  </r>
  <r>
    <x v="0"/>
    <s v="BAN-KH07-240225-1"/>
    <x v="30"/>
    <n v="2"/>
    <x v="0"/>
    <x v="0"/>
    <x v="0"/>
    <x v="0"/>
    <x v="5"/>
    <x v="2"/>
    <n v="162"/>
    <s v="Bộ"/>
    <n v="200000"/>
    <n v="32400000"/>
    <n v="0"/>
    <n v="32400000"/>
    <n v="0"/>
    <n v="32400000"/>
  </r>
  <r>
    <x v="1"/>
    <s v="BAN-KH07-240225-1"/>
    <x v="30"/>
    <n v="2"/>
    <x v="1"/>
    <x v="0"/>
    <x v="0"/>
    <x v="0"/>
    <x v="5"/>
    <x v="2"/>
    <n v="115"/>
    <s v="Bộ"/>
    <n v="300000"/>
    <n v="34500000"/>
    <n v="0"/>
    <n v="34500000"/>
    <n v="0"/>
    <n v="34500000"/>
  </r>
  <r>
    <x v="2"/>
    <s v="BAN-KH07-240225-1"/>
    <x v="30"/>
    <n v="2"/>
    <x v="2"/>
    <x v="0"/>
    <x v="0"/>
    <x v="0"/>
    <x v="5"/>
    <x v="2"/>
    <n v="94"/>
    <s v="Bộ"/>
    <n v="500000"/>
    <n v="47000000"/>
    <n v="0"/>
    <n v="47000000"/>
    <n v="0"/>
    <n v="47000000"/>
  </r>
  <r>
    <x v="0"/>
    <s v="BAN-KH06-240215-1"/>
    <x v="31"/>
    <n v="2"/>
    <x v="0"/>
    <x v="2"/>
    <x v="1"/>
    <x v="1"/>
    <x v="0"/>
    <x v="0"/>
    <n v="165"/>
    <s v="Bộ"/>
    <n v="200000"/>
    <n v="33000000"/>
    <n v="0"/>
    <n v="33000000"/>
    <n v="0"/>
    <n v="33000000"/>
  </r>
  <r>
    <x v="1"/>
    <s v="BAN-KH06-240215-1"/>
    <x v="31"/>
    <n v="2"/>
    <x v="1"/>
    <x v="2"/>
    <x v="1"/>
    <x v="1"/>
    <x v="0"/>
    <x v="0"/>
    <n v="116"/>
    <s v="Bộ"/>
    <n v="300000"/>
    <n v="34800000"/>
    <n v="0"/>
    <n v="34800000"/>
    <n v="0"/>
    <n v="34800000"/>
  </r>
  <r>
    <x v="2"/>
    <s v="BAN-KH06-240215-1"/>
    <x v="31"/>
    <n v="2"/>
    <x v="2"/>
    <x v="2"/>
    <x v="1"/>
    <x v="1"/>
    <x v="0"/>
    <x v="0"/>
    <n v="96"/>
    <s v="Bộ"/>
    <n v="500000"/>
    <n v="48000000"/>
    <n v="0"/>
    <n v="48000000"/>
    <n v="0"/>
    <n v="48000000"/>
  </r>
  <r>
    <x v="0"/>
    <s v="BAN-KH06-240205-1"/>
    <x v="32"/>
    <n v="2"/>
    <x v="0"/>
    <x v="2"/>
    <x v="1"/>
    <x v="0"/>
    <x v="0"/>
    <x v="0"/>
    <n v="159"/>
    <s v="Bộ"/>
    <n v="200000"/>
    <n v="31800000"/>
    <n v="0"/>
    <n v="31800000"/>
    <n v="0"/>
    <n v="31800000"/>
  </r>
  <r>
    <x v="1"/>
    <s v="BAN-KH06-240205-1"/>
    <x v="32"/>
    <n v="2"/>
    <x v="1"/>
    <x v="2"/>
    <x v="1"/>
    <x v="0"/>
    <x v="0"/>
    <x v="0"/>
    <n v="113"/>
    <s v="Bộ"/>
    <n v="300000"/>
    <n v="33900000"/>
    <n v="0"/>
    <n v="33900000"/>
    <n v="0"/>
    <n v="33900000"/>
  </r>
  <r>
    <x v="2"/>
    <s v="BAN-KH06-240205-1"/>
    <x v="32"/>
    <n v="2"/>
    <x v="2"/>
    <x v="2"/>
    <x v="1"/>
    <x v="0"/>
    <x v="0"/>
    <x v="0"/>
    <n v="97"/>
    <s v="Bộ"/>
    <n v="500000"/>
    <n v="48500000"/>
    <n v="0"/>
    <n v="48500000"/>
    <n v="0"/>
    <n v="48500000"/>
  </r>
  <r>
    <x v="0"/>
    <s v="BAN-KH04-240125-1"/>
    <x v="33"/>
    <n v="1"/>
    <x v="0"/>
    <x v="6"/>
    <x v="1"/>
    <x v="1"/>
    <x v="1"/>
    <x v="1"/>
    <n v="157"/>
    <s v="Bộ"/>
    <n v="200000"/>
    <n v="31400000"/>
    <n v="0"/>
    <n v="31400000"/>
    <n v="0"/>
    <n v="31400000"/>
  </r>
  <r>
    <x v="1"/>
    <s v="BAN-KH04-240125-1"/>
    <x v="33"/>
    <n v="1"/>
    <x v="1"/>
    <x v="6"/>
    <x v="1"/>
    <x v="1"/>
    <x v="1"/>
    <x v="1"/>
    <n v="114"/>
    <s v="Bộ"/>
    <n v="300000"/>
    <n v="34200000"/>
    <n v="0"/>
    <n v="34200000"/>
    <n v="0"/>
    <n v="34200000"/>
  </r>
  <r>
    <x v="2"/>
    <s v="BAN-KH04-240125-1"/>
    <x v="33"/>
    <n v="1"/>
    <x v="2"/>
    <x v="6"/>
    <x v="1"/>
    <x v="1"/>
    <x v="1"/>
    <x v="1"/>
    <n v="96"/>
    <s v="Bộ"/>
    <n v="500000"/>
    <n v="48000000"/>
    <n v="0"/>
    <n v="48000000"/>
    <n v="0"/>
    <n v="48000000"/>
  </r>
  <r>
    <x v="0"/>
    <s v="BAN-KH05-240115-1"/>
    <x v="34"/>
    <n v="1"/>
    <x v="0"/>
    <x v="3"/>
    <x v="0"/>
    <x v="0"/>
    <x v="2"/>
    <x v="2"/>
    <n v="152"/>
    <s v="Bộ"/>
    <n v="200000"/>
    <n v="30400000"/>
    <n v="0"/>
    <n v="30400000"/>
    <n v="0"/>
    <n v="30400000"/>
  </r>
  <r>
    <x v="1"/>
    <s v="BAN-KH05-240115-1"/>
    <x v="34"/>
    <n v="1"/>
    <x v="1"/>
    <x v="3"/>
    <x v="0"/>
    <x v="0"/>
    <x v="2"/>
    <x v="2"/>
    <n v="112"/>
    <s v="Bộ"/>
    <n v="300000"/>
    <n v="33600000"/>
    <n v="0"/>
    <n v="33600000"/>
    <n v="0"/>
    <n v="33600000"/>
  </r>
  <r>
    <x v="2"/>
    <s v="BAN-KH05-240115-1"/>
    <x v="34"/>
    <n v="1"/>
    <x v="2"/>
    <x v="3"/>
    <x v="0"/>
    <x v="0"/>
    <x v="2"/>
    <x v="2"/>
    <n v="91"/>
    <s v="Bộ"/>
    <n v="500000"/>
    <n v="45500000"/>
    <n v="0"/>
    <n v="45500000"/>
    <n v="0"/>
    <n v="45500000"/>
  </r>
  <r>
    <x v="0"/>
    <s v="BAN-KH02-240105-1"/>
    <x v="35"/>
    <n v="1"/>
    <x v="0"/>
    <x v="1"/>
    <x v="0"/>
    <x v="0"/>
    <x v="0"/>
    <x v="0"/>
    <n v="150"/>
    <s v="Bộ"/>
    <n v="200000"/>
    <n v="30000000"/>
    <n v="0"/>
    <n v="30000000"/>
    <n v="0"/>
    <n v="30000000"/>
  </r>
  <r>
    <x v="1"/>
    <s v="BAN-KH02-240105-1"/>
    <x v="35"/>
    <n v="1"/>
    <x v="1"/>
    <x v="1"/>
    <x v="0"/>
    <x v="0"/>
    <x v="0"/>
    <x v="0"/>
    <n v="112"/>
    <s v="Bộ"/>
    <n v="300000"/>
    <n v="33600000"/>
    <n v="0"/>
    <n v="33600000"/>
    <n v="0"/>
    <n v="33600000"/>
  </r>
  <r>
    <x v="2"/>
    <s v="BAN-KH02-240105-1"/>
    <x v="35"/>
    <n v="1"/>
    <x v="2"/>
    <x v="1"/>
    <x v="0"/>
    <x v="0"/>
    <x v="0"/>
    <x v="0"/>
    <n v="88"/>
    <s v="Bộ"/>
    <n v="500000"/>
    <n v="44000000"/>
    <n v="0"/>
    <n v="44000000"/>
    <n v="0"/>
    <n v="44000000"/>
  </r>
  <r>
    <x v="0"/>
    <s v="BAN-KH01-231225-1"/>
    <x v="36"/>
    <n v="12"/>
    <x v="0"/>
    <x v="5"/>
    <x v="1"/>
    <x v="0"/>
    <x v="4"/>
    <x v="1"/>
    <n v="149"/>
    <s v="Bộ"/>
    <n v="200000"/>
    <n v="29800000"/>
    <n v="1490000"/>
    <n v="28310000"/>
    <n v="0"/>
    <n v="28310000"/>
  </r>
  <r>
    <x v="1"/>
    <s v="BAN-KH01-231225-1"/>
    <x v="36"/>
    <n v="12"/>
    <x v="1"/>
    <x v="5"/>
    <x v="1"/>
    <x v="0"/>
    <x v="4"/>
    <x v="1"/>
    <n v="108"/>
    <s v="Bộ"/>
    <n v="300000"/>
    <n v="32400000"/>
    <n v="1620000"/>
    <n v="30780000"/>
    <n v="0"/>
    <n v="30780000"/>
  </r>
  <r>
    <x v="2"/>
    <s v="BAN-KH01-231225-1"/>
    <x v="36"/>
    <n v="12"/>
    <x v="2"/>
    <x v="5"/>
    <x v="1"/>
    <x v="0"/>
    <x v="4"/>
    <x v="1"/>
    <n v="87"/>
    <s v="Bộ"/>
    <n v="500000"/>
    <n v="43500000"/>
    <n v="2175000"/>
    <n v="41325000"/>
    <n v="0"/>
    <n v="41325000"/>
  </r>
  <r>
    <x v="0"/>
    <s v="BAN-KH03-231215-1"/>
    <x v="37"/>
    <n v="12"/>
    <x v="0"/>
    <x v="4"/>
    <x v="0"/>
    <x v="1"/>
    <x v="4"/>
    <x v="1"/>
    <n v="148"/>
    <s v="Bộ"/>
    <n v="200000"/>
    <n v="29600000"/>
    <n v="1480000"/>
    <n v="28120000"/>
    <n v="0"/>
    <n v="28120000"/>
  </r>
  <r>
    <x v="1"/>
    <s v="BAN-KH03-231215-1"/>
    <x v="37"/>
    <n v="12"/>
    <x v="1"/>
    <x v="4"/>
    <x v="0"/>
    <x v="1"/>
    <x v="4"/>
    <x v="1"/>
    <n v="108"/>
    <s v="Bộ"/>
    <n v="300000"/>
    <n v="32400000"/>
    <n v="1620000"/>
    <n v="30780000"/>
    <n v="0"/>
    <n v="30780000"/>
  </r>
  <r>
    <x v="2"/>
    <s v="BAN-KH03-231215-1"/>
    <x v="37"/>
    <n v="12"/>
    <x v="2"/>
    <x v="4"/>
    <x v="0"/>
    <x v="1"/>
    <x v="4"/>
    <x v="1"/>
    <n v="84"/>
    <s v="Bộ"/>
    <n v="500000"/>
    <n v="42000000"/>
    <n v="2100000"/>
    <n v="39900000"/>
    <n v="0"/>
    <n v="39900000"/>
  </r>
  <r>
    <x v="0"/>
    <s v="BAN-KH05-231205-1"/>
    <x v="38"/>
    <n v="12"/>
    <x v="0"/>
    <x v="3"/>
    <x v="0"/>
    <x v="0"/>
    <x v="0"/>
    <x v="0"/>
    <n v="147"/>
    <s v="Bộ"/>
    <n v="200000"/>
    <n v="29400000"/>
    <n v="1470000"/>
    <n v="27930000"/>
    <n v="0"/>
    <n v="27930000"/>
  </r>
  <r>
    <x v="1"/>
    <s v="BAN-KH05-231205-1"/>
    <x v="38"/>
    <n v="12"/>
    <x v="1"/>
    <x v="3"/>
    <x v="0"/>
    <x v="0"/>
    <x v="0"/>
    <x v="0"/>
    <n v="109"/>
    <s v="Bộ"/>
    <n v="300000"/>
    <n v="32700000"/>
    <n v="1635000"/>
    <n v="31065000"/>
    <n v="0"/>
    <n v="31065000"/>
  </r>
  <r>
    <x v="2"/>
    <s v="BAN-KH05-231205-1"/>
    <x v="38"/>
    <n v="12"/>
    <x v="2"/>
    <x v="3"/>
    <x v="0"/>
    <x v="0"/>
    <x v="0"/>
    <x v="0"/>
    <n v="86"/>
    <s v="Bộ"/>
    <n v="500000"/>
    <n v="43000000"/>
    <n v="2150000"/>
    <n v="40850000"/>
    <n v="0"/>
    <n v="40850000"/>
  </r>
  <r>
    <x v="0"/>
    <s v="BAN-KH02-231125-1"/>
    <x v="39"/>
    <n v="11"/>
    <x v="0"/>
    <x v="1"/>
    <x v="0"/>
    <x v="0"/>
    <x v="3"/>
    <x v="2"/>
    <n v="141"/>
    <s v="Bộ"/>
    <n v="200000"/>
    <n v="28200000"/>
    <n v="1410000"/>
    <n v="26790000"/>
    <n v="0"/>
    <n v="26790000"/>
  </r>
  <r>
    <x v="1"/>
    <s v="BAN-KH02-231125-1"/>
    <x v="39"/>
    <n v="11"/>
    <x v="1"/>
    <x v="1"/>
    <x v="0"/>
    <x v="0"/>
    <x v="3"/>
    <x v="2"/>
    <n v="107"/>
    <s v="Bộ"/>
    <n v="300000"/>
    <n v="32100000"/>
    <n v="1605000"/>
    <n v="30495000"/>
    <n v="0"/>
    <n v="30495000"/>
  </r>
  <r>
    <x v="2"/>
    <s v="BAN-KH02-231125-1"/>
    <x v="39"/>
    <n v="11"/>
    <x v="2"/>
    <x v="1"/>
    <x v="0"/>
    <x v="0"/>
    <x v="3"/>
    <x v="2"/>
    <n v="87"/>
    <s v="Bộ"/>
    <n v="500000"/>
    <n v="43500000"/>
    <n v="2175000"/>
    <n v="41325000"/>
    <n v="0"/>
    <n v="41325000"/>
  </r>
  <r>
    <x v="0"/>
    <s v="BAN-KH04-231115-1"/>
    <x v="40"/>
    <n v="11"/>
    <x v="0"/>
    <x v="6"/>
    <x v="1"/>
    <x v="0"/>
    <x v="0"/>
    <x v="0"/>
    <n v="142"/>
    <s v="Bộ"/>
    <n v="200000"/>
    <n v="28400000"/>
    <n v="1420000"/>
    <n v="26980000"/>
    <n v="0"/>
    <n v="26980000"/>
  </r>
  <r>
    <x v="1"/>
    <s v="BAN-KH04-231115-1"/>
    <x v="40"/>
    <n v="11"/>
    <x v="1"/>
    <x v="6"/>
    <x v="1"/>
    <x v="0"/>
    <x v="0"/>
    <x v="0"/>
    <n v="109"/>
    <s v="Bộ"/>
    <n v="300000"/>
    <n v="32700000"/>
    <n v="1635000"/>
    <n v="31065000"/>
    <n v="0"/>
    <n v="31065000"/>
  </r>
  <r>
    <x v="2"/>
    <s v="BAN-KH04-231115-1"/>
    <x v="40"/>
    <n v="11"/>
    <x v="2"/>
    <x v="6"/>
    <x v="1"/>
    <x v="0"/>
    <x v="0"/>
    <x v="0"/>
    <n v="85"/>
    <s v="Bộ"/>
    <n v="500000"/>
    <n v="42500000"/>
    <n v="2125000"/>
    <n v="40375000"/>
    <n v="0"/>
    <n v="40375000"/>
  </r>
  <r>
    <x v="0"/>
    <s v="BAN-KH02-231105-1"/>
    <x v="41"/>
    <n v="11"/>
    <x v="0"/>
    <x v="1"/>
    <x v="0"/>
    <x v="1"/>
    <x v="1"/>
    <x v="1"/>
    <n v="143"/>
    <s v="Bộ"/>
    <n v="200000"/>
    <n v="28600000"/>
    <n v="1430000"/>
    <n v="27170000"/>
    <n v="0"/>
    <n v="27170000"/>
  </r>
  <r>
    <x v="1"/>
    <s v="BAN-KH02-231105-1"/>
    <x v="41"/>
    <n v="11"/>
    <x v="1"/>
    <x v="1"/>
    <x v="0"/>
    <x v="1"/>
    <x v="1"/>
    <x v="1"/>
    <n v="108"/>
    <s v="Bộ"/>
    <n v="300000"/>
    <n v="32400000"/>
    <n v="1620000"/>
    <n v="30780000"/>
    <n v="0"/>
    <n v="30780000"/>
  </r>
  <r>
    <x v="2"/>
    <s v="BAN-KH02-231105-1"/>
    <x v="41"/>
    <n v="11"/>
    <x v="2"/>
    <x v="1"/>
    <x v="0"/>
    <x v="1"/>
    <x v="1"/>
    <x v="1"/>
    <n v="83"/>
    <s v="Bộ"/>
    <n v="500000"/>
    <n v="41500000"/>
    <n v="2075000"/>
    <n v="39425000"/>
    <n v="0"/>
    <n v="39425000"/>
  </r>
  <r>
    <x v="0"/>
    <s v="BAN-KH03-231025-1"/>
    <x v="42"/>
    <n v="10"/>
    <x v="0"/>
    <x v="4"/>
    <x v="0"/>
    <x v="0"/>
    <x v="2"/>
    <x v="2"/>
    <n v="146"/>
    <s v="Bộ"/>
    <n v="200000"/>
    <n v="29200000"/>
    <n v="1460000"/>
    <n v="27740000"/>
    <n v="0"/>
    <n v="27740000"/>
  </r>
  <r>
    <x v="1"/>
    <s v="BAN-KH03-231025-1"/>
    <x v="42"/>
    <n v="10"/>
    <x v="1"/>
    <x v="4"/>
    <x v="0"/>
    <x v="0"/>
    <x v="2"/>
    <x v="2"/>
    <n v="106"/>
    <s v="Bộ"/>
    <n v="300000"/>
    <n v="31800000"/>
    <n v="1590000"/>
    <n v="30210000"/>
    <n v="0"/>
    <n v="30210000"/>
  </r>
  <r>
    <x v="2"/>
    <s v="BAN-KH03-231025-1"/>
    <x v="42"/>
    <n v="10"/>
    <x v="2"/>
    <x v="4"/>
    <x v="0"/>
    <x v="0"/>
    <x v="2"/>
    <x v="2"/>
    <n v="79"/>
    <s v="Bộ"/>
    <n v="500000"/>
    <n v="39500000"/>
    <n v="1975000"/>
    <n v="37525000"/>
    <n v="0"/>
    <n v="37525000"/>
  </r>
  <r>
    <x v="0"/>
    <s v="BAN-KH01-231015-1"/>
    <x v="43"/>
    <n v="10"/>
    <x v="0"/>
    <x v="5"/>
    <x v="1"/>
    <x v="1"/>
    <x v="5"/>
    <x v="2"/>
    <n v="147"/>
    <s v="Bộ"/>
    <n v="200000"/>
    <n v="29400000"/>
    <n v="1470000"/>
    <n v="27930000"/>
    <n v="0"/>
    <n v="27930000"/>
  </r>
  <r>
    <x v="1"/>
    <s v="BAN-KH01-231015-1"/>
    <x v="43"/>
    <n v="10"/>
    <x v="1"/>
    <x v="5"/>
    <x v="1"/>
    <x v="1"/>
    <x v="5"/>
    <x v="2"/>
    <n v="107"/>
    <s v="Bộ"/>
    <n v="300000"/>
    <n v="32100000"/>
    <n v="1605000"/>
    <n v="30495000"/>
    <n v="0"/>
    <n v="30495000"/>
  </r>
  <r>
    <x v="2"/>
    <s v="BAN-KH01-231015-1"/>
    <x v="43"/>
    <n v="10"/>
    <x v="2"/>
    <x v="5"/>
    <x v="1"/>
    <x v="1"/>
    <x v="5"/>
    <x v="2"/>
    <n v="77"/>
    <s v="Bộ"/>
    <n v="500000"/>
    <n v="38500000"/>
    <n v="1925000"/>
    <n v="36575000"/>
    <n v="0"/>
    <n v="36575000"/>
  </r>
  <r>
    <x v="0"/>
    <s v="BAN-KH01-231005-1"/>
    <x v="44"/>
    <n v="10"/>
    <x v="0"/>
    <x v="5"/>
    <x v="1"/>
    <x v="0"/>
    <x v="0"/>
    <x v="0"/>
    <n v="143"/>
    <s v="Bộ"/>
    <n v="200000"/>
    <n v="28600000"/>
    <n v="1430000"/>
    <n v="27170000"/>
    <n v="0"/>
    <n v="27170000"/>
  </r>
  <r>
    <x v="1"/>
    <s v="BAN-KH01-231005-1"/>
    <x v="44"/>
    <n v="10"/>
    <x v="1"/>
    <x v="5"/>
    <x v="1"/>
    <x v="0"/>
    <x v="0"/>
    <x v="0"/>
    <n v="106"/>
    <s v="Bộ"/>
    <n v="300000"/>
    <n v="31800000"/>
    <n v="1590000"/>
    <n v="30210000"/>
    <n v="0"/>
    <n v="30210000"/>
  </r>
  <r>
    <x v="2"/>
    <s v="BAN-KH01-231005-1"/>
    <x v="44"/>
    <n v="10"/>
    <x v="2"/>
    <x v="5"/>
    <x v="1"/>
    <x v="0"/>
    <x v="0"/>
    <x v="0"/>
    <n v="75"/>
    <s v="Bộ"/>
    <n v="500000"/>
    <n v="37500000"/>
    <n v="1875000"/>
    <n v="35625000"/>
    <n v="0"/>
    <n v="35625000"/>
  </r>
  <r>
    <x v="1"/>
    <s v="BAN-KH05-230925-1"/>
    <x v="45"/>
    <n v="9"/>
    <x v="1"/>
    <x v="3"/>
    <x v="0"/>
    <x v="0"/>
    <x v="0"/>
    <x v="0"/>
    <n v="104"/>
    <s v="Bộ"/>
    <n v="300000"/>
    <n v="31200000"/>
    <n v="1560000"/>
    <n v="29640000"/>
    <n v="0"/>
    <n v="29640000"/>
  </r>
  <r>
    <x v="2"/>
    <s v="BAN-KH05-230925-1"/>
    <x v="45"/>
    <n v="9"/>
    <x v="2"/>
    <x v="3"/>
    <x v="0"/>
    <x v="0"/>
    <x v="0"/>
    <x v="0"/>
    <n v="72"/>
    <s v="Bộ"/>
    <n v="500000"/>
    <n v="36000000"/>
    <n v="1800000"/>
    <n v="34200000"/>
    <n v="0"/>
    <n v="34200000"/>
  </r>
  <r>
    <x v="2"/>
    <s v="BAN-KH05-230925-1"/>
    <x v="45"/>
    <n v="9"/>
    <x v="2"/>
    <x v="3"/>
    <x v="0"/>
    <x v="0"/>
    <x v="0"/>
    <x v="0"/>
    <n v="2"/>
    <s v="Bộ"/>
    <n v="500000"/>
    <n v="1000000"/>
    <n v="50000"/>
    <n v="950000"/>
    <n v="0"/>
    <n v="950000"/>
  </r>
  <r>
    <x v="0"/>
    <s v="BAN-KH01-230915-1"/>
    <x v="46"/>
    <n v="9"/>
    <x v="0"/>
    <x v="5"/>
    <x v="1"/>
    <x v="0"/>
    <x v="1"/>
    <x v="1"/>
    <n v="143"/>
    <s v="Bộ"/>
    <n v="200000"/>
    <n v="28600000"/>
    <n v="1430000"/>
    <n v="27170000"/>
    <n v="0"/>
    <n v="27170000"/>
  </r>
  <r>
    <x v="1"/>
    <s v="BAN-KH01-230915-1"/>
    <x v="46"/>
    <n v="9"/>
    <x v="1"/>
    <x v="5"/>
    <x v="1"/>
    <x v="0"/>
    <x v="1"/>
    <x v="1"/>
    <n v="106"/>
    <s v="Bộ"/>
    <n v="300000"/>
    <n v="31800000"/>
    <n v="1590000"/>
    <n v="30210000"/>
    <n v="0"/>
    <n v="30210000"/>
  </r>
  <r>
    <x v="2"/>
    <s v="BAN-KH01-230915-1"/>
    <x v="46"/>
    <n v="9"/>
    <x v="2"/>
    <x v="5"/>
    <x v="1"/>
    <x v="0"/>
    <x v="1"/>
    <x v="1"/>
    <n v="71"/>
    <s v="Bộ"/>
    <n v="500000"/>
    <n v="35500000"/>
    <n v="1775000"/>
    <n v="33725000"/>
    <n v="0"/>
    <n v="33725000"/>
  </r>
  <r>
    <x v="0"/>
    <s v="BAN-KH02-230905-1"/>
    <x v="47"/>
    <n v="9"/>
    <x v="0"/>
    <x v="1"/>
    <x v="0"/>
    <x v="1"/>
    <x v="2"/>
    <x v="2"/>
    <n v="136"/>
    <s v="Bộ"/>
    <n v="200000"/>
    <n v="27200000"/>
    <n v="0"/>
    <n v="27200000"/>
    <n v="0"/>
    <n v="27200000"/>
  </r>
  <r>
    <x v="1"/>
    <s v="BAN-KH02-230905-1"/>
    <x v="47"/>
    <n v="9"/>
    <x v="1"/>
    <x v="1"/>
    <x v="0"/>
    <x v="1"/>
    <x v="2"/>
    <x v="2"/>
    <n v="106"/>
    <s v="Bộ"/>
    <n v="300000"/>
    <n v="31800000"/>
    <n v="1590000"/>
    <n v="30210000"/>
    <n v="0"/>
    <n v="30210000"/>
  </r>
  <r>
    <x v="2"/>
    <s v="BAN-KH02-230905-1"/>
    <x v="47"/>
    <n v="9"/>
    <x v="2"/>
    <x v="1"/>
    <x v="0"/>
    <x v="1"/>
    <x v="2"/>
    <x v="2"/>
    <n v="68"/>
    <s v="Bộ"/>
    <n v="500000"/>
    <n v="34000000"/>
    <n v="1700000"/>
    <n v="32300000"/>
    <n v="0"/>
    <n v="32300000"/>
  </r>
  <r>
    <x v="0"/>
    <s v="BAN-KH02-230905-1"/>
    <x v="47"/>
    <n v="9"/>
    <x v="0"/>
    <x v="1"/>
    <x v="0"/>
    <x v="1"/>
    <x v="2"/>
    <x v="2"/>
    <n v="142"/>
    <s v="Bộ"/>
    <n v="200000"/>
    <n v="28400000"/>
    <n v="1420000"/>
    <n v="26980000"/>
    <n v="0"/>
    <n v="26980000"/>
  </r>
  <r>
    <x v="0"/>
    <s v="BAN-KH02-230825-1"/>
    <x v="48"/>
    <n v="8"/>
    <x v="0"/>
    <x v="1"/>
    <x v="0"/>
    <x v="0"/>
    <x v="0"/>
    <x v="0"/>
    <n v="135"/>
    <s v="Bộ"/>
    <n v="200000"/>
    <n v="27000000"/>
    <n v="0"/>
    <n v="27000000"/>
    <n v="0"/>
    <n v="27000000"/>
  </r>
  <r>
    <x v="1"/>
    <s v="BAN-KH02-230825-1"/>
    <x v="48"/>
    <n v="8"/>
    <x v="1"/>
    <x v="1"/>
    <x v="0"/>
    <x v="0"/>
    <x v="0"/>
    <x v="0"/>
    <n v="108"/>
    <s v="Bộ"/>
    <n v="300000"/>
    <n v="32400000"/>
    <n v="1620000"/>
    <n v="30780000"/>
    <n v="0"/>
    <n v="30780000"/>
  </r>
  <r>
    <x v="2"/>
    <s v="BAN-KH02-230825-1"/>
    <x v="48"/>
    <n v="8"/>
    <x v="2"/>
    <x v="1"/>
    <x v="0"/>
    <x v="0"/>
    <x v="0"/>
    <x v="0"/>
    <n v="67"/>
    <s v="Bộ"/>
    <n v="500000"/>
    <n v="33500000"/>
    <n v="1675000"/>
    <n v="31825000"/>
    <n v="0"/>
    <n v="31825000"/>
  </r>
  <r>
    <x v="0"/>
    <s v="BAN-KH03-230815-1"/>
    <x v="49"/>
    <n v="8"/>
    <x v="0"/>
    <x v="4"/>
    <x v="0"/>
    <x v="0"/>
    <x v="4"/>
    <x v="1"/>
    <n v="136"/>
    <s v="Bộ"/>
    <n v="200000"/>
    <n v="27200000"/>
    <n v="0"/>
    <n v="27200000"/>
    <n v="0"/>
    <n v="27200000"/>
  </r>
  <r>
    <x v="1"/>
    <s v="BAN-KH03-230815-1"/>
    <x v="49"/>
    <n v="8"/>
    <x v="1"/>
    <x v="4"/>
    <x v="0"/>
    <x v="0"/>
    <x v="4"/>
    <x v="1"/>
    <n v="108"/>
    <s v="Bộ"/>
    <n v="300000"/>
    <n v="32400000"/>
    <n v="1620000"/>
    <n v="30780000"/>
    <n v="0"/>
    <n v="30780000"/>
  </r>
  <r>
    <x v="2"/>
    <s v="BAN-KH03-230815-1"/>
    <x v="49"/>
    <n v="8"/>
    <x v="2"/>
    <x v="4"/>
    <x v="0"/>
    <x v="0"/>
    <x v="4"/>
    <x v="1"/>
    <n v="68"/>
    <s v="Bộ"/>
    <n v="500000"/>
    <n v="34000000"/>
    <n v="1700000"/>
    <n v="32300000"/>
    <n v="0"/>
    <n v="32300000"/>
  </r>
  <r>
    <x v="0"/>
    <s v="BAN-KH04-230805-1"/>
    <x v="50"/>
    <n v="8"/>
    <x v="0"/>
    <x v="6"/>
    <x v="1"/>
    <x v="0"/>
    <x v="4"/>
    <x v="1"/>
    <n v="137"/>
    <s v="Bộ"/>
    <n v="200000"/>
    <n v="27400000"/>
    <n v="1370000"/>
    <n v="26030000"/>
    <n v="0"/>
    <n v="26030000"/>
  </r>
  <r>
    <x v="1"/>
    <s v="BAN-KH04-230805-1"/>
    <x v="50"/>
    <n v="8"/>
    <x v="1"/>
    <x v="6"/>
    <x v="1"/>
    <x v="0"/>
    <x v="4"/>
    <x v="1"/>
    <n v="107"/>
    <s v="Bộ"/>
    <n v="300000"/>
    <n v="32100000"/>
    <n v="1605000"/>
    <n v="30495000"/>
    <n v="0"/>
    <n v="30495000"/>
  </r>
  <r>
    <x v="2"/>
    <s v="BAN-KH04-230805-1"/>
    <x v="50"/>
    <n v="8"/>
    <x v="2"/>
    <x v="6"/>
    <x v="1"/>
    <x v="0"/>
    <x v="4"/>
    <x v="1"/>
    <n v="69"/>
    <s v="Bộ"/>
    <n v="500000"/>
    <n v="34500000"/>
    <n v="1725000"/>
    <n v="32775000"/>
    <n v="0"/>
    <n v="32775000"/>
  </r>
  <r>
    <x v="0"/>
    <s v="BAN-KH05-230725-1"/>
    <x v="51"/>
    <n v="7"/>
    <x v="0"/>
    <x v="3"/>
    <x v="0"/>
    <x v="1"/>
    <x v="0"/>
    <x v="0"/>
    <n v="136"/>
    <s v="Bộ"/>
    <n v="200000"/>
    <n v="27200000"/>
    <n v="0"/>
    <n v="27200000"/>
    <n v="0"/>
    <n v="27200000"/>
  </r>
  <r>
    <x v="1"/>
    <s v="BAN-KH05-230725-1"/>
    <x v="51"/>
    <n v="7"/>
    <x v="1"/>
    <x v="3"/>
    <x v="0"/>
    <x v="1"/>
    <x v="0"/>
    <x v="0"/>
    <n v="109"/>
    <s v="Bộ"/>
    <n v="300000"/>
    <n v="32700000"/>
    <n v="0"/>
    <n v="32700000"/>
    <n v="0"/>
    <n v="32700000"/>
  </r>
  <r>
    <x v="2"/>
    <s v="BAN-KH05-230725-1"/>
    <x v="51"/>
    <n v="7"/>
    <x v="2"/>
    <x v="3"/>
    <x v="0"/>
    <x v="1"/>
    <x v="0"/>
    <x v="0"/>
    <n v="70"/>
    <s v="Bộ"/>
    <n v="500000"/>
    <n v="35000000"/>
    <n v="0"/>
    <n v="35000000"/>
    <n v="0"/>
    <n v="35000000"/>
  </r>
  <r>
    <x v="0"/>
    <s v="BAN-KH03-230715-1"/>
    <x v="52"/>
    <n v="7"/>
    <x v="0"/>
    <x v="4"/>
    <x v="0"/>
    <x v="0"/>
    <x v="3"/>
    <x v="2"/>
    <n v="131"/>
    <s v="Bộ"/>
    <n v="200000"/>
    <n v="26200000"/>
    <n v="0"/>
    <n v="26200000"/>
    <n v="0"/>
    <n v="26200000"/>
  </r>
  <r>
    <x v="1"/>
    <s v="BAN-KH03-230715-1"/>
    <x v="52"/>
    <n v="7"/>
    <x v="1"/>
    <x v="4"/>
    <x v="0"/>
    <x v="0"/>
    <x v="3"/>
    <x v="2"/>
    <n v="110"/>
    <s v="Bộ"/>
    <n v="300000"/>
    <n v="33000000"/>
    <n v="0"/>
    <n v="33000000"/>
    <n v="0"/>
    <n v="33000000"/>
  </r>
  <r>
    <x v="2"/>
    <s v="BAN-KH03-230715-1"/>
    <x v="52"/>
    <n v="7"/>
    <x v="2"/>
    <x v="4"/>
    <x v="0"/>
    <x v="0"/>
    <x v="3"/>
    <x v="2"/>
    <n v="67"/>
    <s v="Bộ"/>
    <n v="500000"/>
    <n v="33500000"/>
    <n v="0"/>
    <n v="33500000"/>
    <n v="0"/>
    <n v="33500000"/>
  </r>
  <r>
    <x v="0"/>
    <s v="BAN-KH03-230705-1"/>
    <x v="53"/>
    <n v="7"/>
    <x v="0"/>
    <x v="4"/>
    <x v="0"/>
    <x v="1"/>
    <x v="0"/>
    <x v="0"/>
    <n v="131"/>
    <s v="Bộ"/>
    <n v="200000"/>
    <n v="26200000"/>
    <n v="0"/>
    <n v="26200000"/>
    <n v="0"/>
    <n v="26200000"/>
  </r>
  <r>
    <x v="1"/>
    <s v="BAN-KH03-230705-1"/>
    <x v="53"/>
    <n v="7"/>
    <x v="1"/>
    <x v="4"/>
    <x v="0"/>
    <x v="1"/>
    <x v="0"/>
    <x v="0"/>
    <n v="108"/>
    <s v="Bộ"/>
    <n v="300000"/>
    <n v="32400000"/>
    <n v="0"/>
    <n v="32400000"/>
    <n v="0"/>
    <n v="32400000"/>
  </r>
  <r>
    <x v="2"/>
    <s v="BAN-KH03-230705-1"/>
    <x v="53"/>
    <n v="7"/>
    <x v="2"/>
    <x v="4"/>
    <x v="0"/>
    <x v="1"/>
    <x v="0"/>
    <x v="0"/>
    <n v="68"/>
    <s v="Bộ"/>
    <n v="500000"/>
    <n v="34000000"/>
    <n v="0"/>
    <n v="34000000"/>
    <n v="0"/>
    <n v="34000000"/>
  </r>
  <r>
    <x v="0"/>
    <s v="BAN-KH01-230625-1"/>
    <x v="54"/>
    <n v="6"/>
    <x v="0"/>
    <x v="5"/>
    <x v="1"/>
    <x v="0"/>
    <x v="1"/>
    <x v="1"/>
    <n v="134"/>
    <s v="Bộ"/>
    <n v="200000"/>
    <n v="26800000"/>
    <n v="0"/>
    <n v="26800000"/>
    <n v="0"/>
    <n v="26800000"/>
  </r>
  <r>
    <x v="1"/>
    <s v="BAN-KH01-230625-1"/>
    <x v="54"/>
    <n v="6"/>
    <x v="1"/>
    <x v="5"/>
    <x v="1"/>
    <x v="0"/>
    <x v="1"/>
    <x v="1"/>
    <n v="105"/>
    <s v="Bộ"/>
    <n v="300000"/>
    <n v="31500000"/>
    <n v="1575000"/>
    <n v="29925000"/>
    <n v="0"/>
    <n v="29925000"/>
  </r>
  <r>
    <x v="2"/>
    <s v="BAN-KH01-230625-1"/>
    <x v="54"/>
    <n v="6"/>
    <x v="2"/>
    <x v="5"/>
    <x v="1"/>
    <x v="0"/>
    <x v="1"/>
    <x v="1"/>
    <n v="69"/>
    <s v="Bộ"/>
    <n v="500000"/>
    <n v="34500000"/>
    <n v="1725000"/>
    <n v="32775000"/>
    <n v="0"/>
    <n v="32775000"/>
  </r>
  <r>
    <x v="0"/>
    <s v="BAN-KH02-230615-1"/>
    <x v="55"/>
    <n v="6"/>
    <x v="0"/>
    <x v="1"/>
    <x v="0"/>
    <x v="0"/>
    <x v="2"/>
    <x v="2"/>
    <n v="133"/>
    <s v="Bộ"/>
    <n v="200000"/>
    <n v="26600000"/>
    <n v="0"/>
    <n v="26600000"/>
    <n v="0"/>
    <n v="26600000"/>
  </r>
  <r>
    <x v="1"/>
    <s v="BAN-KH02-230615-1"/>
    <x v="55"/>
    <n v="6"/>
    <x v="1"/>
    <x v="1"/>
    <x v="0"/>
    <x v="0"/>
    <x v="2"/>
    <x v="2"/>
    <n v="103"/>
    <s v="Bộ"/>
    <n v="300000"/>
    <n v="30900000"/>
    <n v="1545000"/>
    <n v="29355000"/>
    <n v="0"/>
    <n v="29355000"/>
  </r>
  <r>
    <x v="2"/>
    <s v="BAN-KH02-230615-1"/>
    <x v="55"/>
    <n v="6"/>
    <x v="2"/>
    <x v="1"/>
    <x v="0"/>
    <x v="0"/>
    <x v="2"/>
    <x v="2"/>
    <n v="66"/>
    <s v="Bộ"/>
    <n v="500000"/>
    <n v="33000000"/>
    <n v="1650000"/>
    <n v="31350000"/>
    <n v="0"/>
    <n v="31350000"/>
  </r>
  <r>
    <x v="0"/>
    <s v="BAN-KH02-230605-1"/>
    <x v="56"/>
    <n v="6"/>
    <x v="0"/>
    <x v="1"/>
    <x v="0"/>
    <x v="0"/>
    <x v="5"/>
    <x v="2"/>
    <n v="132"/>
    <s v="Bộ"/>
    <n v="200000"/>
    <n v="26400000"/>
    <n v="0"/>
    <n v="26400000"/>
    <n v="0"/>
    <n v="26400000"/>
  </r>
  <r>
    <x v="1"/>
    <s v="BAN-KH02-230605-1"/>
    <x v="56"/>
    <n v="6"/>
    <x v="1"/>
    <x v="1"/>
    <x v="0"/>
    <x v="0"/>
    <x v="5"/>
    <x v="2"/>
    <n v="99"/>
    <s v="Bộ"/>
    <n v="300000"/>
    <n v="29700000"/>
    <n v="1485000"/>
    <n v="28215000"/>
    <n v="0"/>
    <n v="28215000"/>
  </r>
  <r>
    <x v="2"/>
    <s v="BAN-KH02-230605-1"/>
    <x v="56"/>
    <n v="6"/>
    <x v="2"/>
    <x v="1"/>
    <x v="0"/>
    <x v="0"/>
    <x v="5"/>
    <x v="2"/>
    <n v="63"/>
    <s v="Bộ"/>
    <n v="500000"/>
    <n v="31500000"/>
    <n v="1575000"/>
    <n v="29925000"/>
    <n v="0"/>
    <n v="29925000"/>
  </r>
  <r>
    <x v="0"/>
    <s v="BAN-KH04-230525-1"/>
    <x v="57"/>
    <n v="5"/>
    <x v="0"/>
    <x v="6"/>
    <x v="1"/>
    <x v="1"/>
    <x v="0"/>
    <x v="0"/>
    <n v="126"/>
    <s v="Bộ"/>
    <n v="200000"/>
    <n v="25200000"/>
    <n v="0"/>
    <n v="25200000"/>
    <n v="0"/>
    <n v="25200000"/>
  </r>
  <r>
    <x v="1"/>
    <s v="BAN-KH04-230525-1"/>
    <x v="57"/>
    <n v="5"/>
    <x v="1"/>
    <x v="6"/>
    <x v="1"/>
    <x v="1"/>
    <x v="0"/>
    <x v="0"/>
    <n v="99"/>
    <s v="Bộ"/>
    <n v="300000"/>
    <n v="29700000"/>
    <n v="1485000"/>
    <n v="28215000"/>
    <n v="0"/>
    <n v="28215000"/>
  </r>
  <r>
    <x v="2"/>
    <s v="BAN-KH04-230525-1"/>
    <x v="57"/>
    <n v="5"/>
    <x v="2"/>
    <x v="6"/>
    <x v="1"/>
    <x v="1"/>
    <x v="0"/>
    <x v="0"/>
    <n v="62"/>
    <s v="Bộ"/>
    <n v="500000"/>
    <n v="31000000"/>
    <n v="1550000"/>
    <n v="29450000"/>
    <n v="0"/>
    <n v="29450000"/>
  </r>
  <r>
    <x v="0"/>
    <s v="BAN-KH03-230515-1"/>
    <x v="58"/>
    <n v="5"/>
    <x v="0"/>
    <x v="4"/>
    <x v="0"/>
    <x v="0"/>
    <x v="0"/>
    <x v="0"/>
    <n v="127"/>
    <s v="Bộ"/>
    <n v="200000"/>
    <n v="25400000"/>
    <n v="0"/>
    <n v="25400000"/>
    <n v="0"/>
    <n v="25400000"/>
  </r>
  <r>
    <x v="1"/>
    <s v="BAN-KH03-230515-1"/>
    <x v="58"/>
    <n v="5"/>
    <x v="1"/>
    <x v="4"/>
    <x v="0"/>
    <x v="0"/>
    <x v="0"/>
    <x v="0"/>
    <n v="99"/>
    <s v="Bộ"/>
    <n v="300000"/>
    <n v="29700000"/>
    <n v="1485000"/>
    <n v="28215000"/>
    <n v="0"/>
    <n v="28215000"/>
  </r>
  <r>
    <x v="2"/>
    <s v="BAN-KH03-230515-1"/>
    <x v="58"/>
    <n v="5"/>
    <x v="2"/>
    <x v="4"/>
    <x v="0"/>
    <x v="0"/>
    <x v="0"/>
    <x v="0"/>
    <n v="59"/>
    <s v="Bộ"/>
    <n v="500000"/>
    <n v="29500000"/>
    <n v="1475000"/>
    <n v="28025000"/>
    <n v="0"/>
    <n v="28025000"/>
  </r>
  <r>
    <x v="0"/>
    <s v="BAN-KH01-230505-1"/>
    <x v="59"/>
    <n v="5"/>
    <x v="0"/>
    <x v="5"/>
    <x v="1"/>
    <x v="0"/>
    <x v="1"/>
    <x v="1"/>
    <n v="130"/>
    <s v="Bộ"/>
    <n v="200000"/>
    <n v="26000000"/>
    <n v="0"/>
    <n v="26000000"/>
    <n v="0"/>
    <n v="26000000"/>
  </r>
  <r>
    <x v="1"/>
    <s v="BAN-KH01-230505-1"/>
    <x v="59"/>
    <n v="5"/>
    <x v="1"/>
    <x v="5"/>
    <x v="1"/>
    <x v="0"/>
    <x v="1"/>
    <x v="1"/>
    <n v="96"/>
    <s v="Bộ"/>
    <n v="300000"/>
    <n v="28800000"/>
    <n v="1440000"/>
    <n v="27360000"/>
    <n v="0"/>
    <n v="27360000"/>
  </r>
  <r>
    <x v="2"/>
    <s v="BAN-KH01-230505-1"/>
    <x v="59"/>
    <n v="5"/>
    <x v="2"/>
    <x v="5"/>
    <x v="1"/>
    <x v="0"/>
    <x v="1"/>
    <x v="1"/>
    <n v="56"/>
    <s v="Bộ"/>
    <n v="500000"/>
    <n v="28000000"/>
    <n v="0"/>
    <n v="28000000"/>
    <n v="0"/>
    <n v="28000000"/>
  </r>
  <r>
    <x v="0"/>
    <s v="BAN-KH04-230425-1"/>
    <x v="60"/>
    <n v="4"/>
    <x v="0"/>
    <x v="6"/>
    <x v="1"/>
    <x v="0"/>
    <x v="2"/>
    <x v="2"/>
    <n v="125"/>
    <s v="Bộ"/>
    <n v="200000"/>
    <n v="25000000"/>
    <n v="0"/>
    <n v="25000000"/>
    <n v="0"/>
    <n v="25000000"/>
  </r>
  <r>
    <x v="1"/>
    <s v="BAN-KH04-230425-1"/>
    <x v="60"/>
    <n v="4"/>
    <x v="1"/>
    <x v="6"/>
    <x v="1"/>
    <x v="0"/>
    <x v="2"/>
    <x v="2"/>
    <n v="91"/>
    <s v="Bộ"/>
    <n v="300000"/>
    <n v="27300000"/>
    <n v="0"/>
    <n v="27300000"/>
    <n v="0"/>
    <n v="27300000"/>
  </r>
  <r>
    <x v="2"/>
    <s v="BAN-KH04-230425-1"/>
    <x v="60"/>
    <n v="4"/>
    <x v="2"/>
    <x v="6"/>
    <x v="1"/>
    <x v="0"/>
    <x v="2"/>
    <x v="2"/>
    <n v="56"/>
    <s v="Bộ"/>
    <n v="500000"/>
    <n v="28000000"/>
    <n v="0"/>
    <n v="28000000"/>
    <n v="0"/>
    <n v="28000000"/>
  </r>
  <r>
    <x v="0"/>
    <s v="BAN-KH02-230415-1"/>
    <x v="61"/>
    <n v="4"/>
    <x v="0"/>
    <x v="1"/>
    <x v="0"/>
    <x v="1"/>
    <x v="0"/>
    <x v="0"/>
    <n v="120"/>
    <s v="Bộ"/>
    <n v="200000"/>
    <n v="24000000"/>
    <n v="0"/>
    <n v="24000000"/>
    <n v="0"/>
    <n v="24000000"/>
  </r>
  <r>
    <x v="1"/>
    <s v="BAN-KH02-230415-1"/>
    <x v="61"/>
    <n v="4"/>
    <x v="1"/>
    <x v="1"/>
    <x v="0"/>
    <x v="1"/>
    <x v="0"/>
    <x v="0"/>
    <n v="89"/>
    <s v="Bộ"/>
    <n v="300000"/>
    <n v="26700000"/>
    <n v="0"/>
    <n v="26700000"/>
    <n v="0"/>
    <n v="26700000"/>
  </r>
  <r>
    <x v="2"/>
    <s v="BAN-KH02-230415-1"/>
    <x v="61"/>
    <n v="4"/>
    <x v="2"/>
    <x v="1"/>
    <x v="0"/>
    <x v="1"/>
    <x v="0"/>
    <x v="0"/>
    <n v="57"/>
    <s v="Bộ"/>
    <n v="500000"/>
    <n v="28500000"/>
    <n v="0"/>
    <n v="28500000"/>
    <n v="0"/>
    <n v="28500000"/>
  </r>
  <r>
    <x v="0"/>
    <s v="BAN-KH02-230405-1"/>
    <x v="62"/>
    <n v="4"/>
    <x v="0"/>
    <x v="1"/>
    <x v="0"/>
    <x v="0"/>
    <x v="4"/>
    <x v="1"/>
    <n v="118"/>
    <s v="Bộ"/>
    <n v="200000"/>
    <n v="23600000"/>
    <n v="0"/>
    <n v="23600000"/>
    <n v="0"/>
    <n v="23600000"/>
  </r>
  <r>
    <x v="1"/>
    <s v="BAN-KH02-230405-1"/>
    <x v="62"/>
    <n v="4"/>
    <x v="1"/>
    <x v="1"/>
    <x v="0"/>
    <x v="0"/>
    <x v="4"/>
    <x v="1"/>
    <n v="89"/>
    <s v="Bộ"/>
    <n v="300000"/>
    <n v="26700000"/>
    <n v="0"/>
    <n v="26700000"/>
    <n v="0"/>
    <n v="26700000"/>
  </r>
  <r>
    <x v="2"/>
    <s v="BAN-KH02-230405-1"/>
    <x v="62"/>
    <n v="4"/>
    <x v="2"/>
    <x v="1"/>
    <x v="0"/>
    <x v="0"/>
    <x v="4"/>
    <x v="1"/>
    <n v="57"/>
    <s v="Bộ"/>
    <n v="500000"/>
    <n v="28500000"/>
    <n v="0"/>
    <n v="28500000"/>
    <n v="0"/>
    <n v="28500000"/>
  </r>
  <r>
    <x v="0"/>
    <s v="BAN-KH02-230325-1"/>
    <x v="63"/>
    <n v="3"/>
    <x v="0"/>
    <x v="1"/>
    <x v="0"/>
    <x v="1"/>
    <x v="4"/>
    <x v="1"/>
    <n v="113"/>
    <s v="Bộ"/>
    <n v="200000"/>
    <n v="22600000"/>
    <n v="0"/>
    <n v="22600000"/>
    <n v="0"/>
    <n v="22600000"/>
  </r>
  <r>
    <x v="1"/>
    <s v="BAN-KH02-230325-1"/>
    <x v="63"/>
    <n v="3"/>
    <x v="1"/>
    <x v="1"/>
    <x v="0"/>
    <x v="1"/>
    <x v="4"/>
    <x v="1"/>
    <n v="87"/>
    <s v="Bộ"/>
    <n v="300000"/>
    <n v="26100000"/>
    <n v="0"/>
    <n v="26100000"/>
    <n v="0"/>
    <n v="26100000"/>
  </r>
  <r>
    <x v="2"/>
    <s v="BAN-KH02-230325-1"/>
    <x v="63"/>
    <n v="3"/>
    <x v="2"/>
    <x v="1"/>
    <x v="0"/>
    <x v="1"/>
    <x v="4"/>
    <x v="1"/>
    <n v="57"/>
    <s v="Bộ"/>
    <n v="500000"/>
    <n v="28500000"/>
    <n v="0"/>
    <n v="28500000"/>
    <n v="0"/>
    <n v="28500000"/>
  </r>
  <r>
    <x v="0"/>
    <s v="BAN-KH03-230315-1"/>
    <x v="64"/>
    <n v="3"/>
    <x v="0"/>
    <x v="4"/>
    <x v="0"/>
    <x v="0"/>
    <x v="0"/>
    <x v="0"/>
    <n v="110"/>
    <s v="Bộ"/>
    <n v="200000"/>
    <n v="22000000"/>
    <n v="0"/>
    <n v="22000000"/>
    <n v="0"/>
    <n v="22000000"/>
  </r>
  <r>
    <x v="1"/>
    <s v="BAN-KH03-230315-1"/>
    <x v="64"/>
    <n v="3"/>
    <x v="1"/>
    <x v="4"/>
    <x v="0"/>
    <x v="0"/>
    <x v="0"/>
    <x v="0"/>
    <n v="83"/>
    <s v="Bộ"/>
    <n v="300000"/>
    <n v="24900000"/>
    <n v="0"/>
    <n v="24900000"/>
    <n v="0"/>
    <n v="24900000"/>
  </r>
  <r>
    <x v="2"/>
    <s v="BAN-KH03-230315-1"/>
    <x v="64"/>
    <n v="3"/>
    <x v="2"/>
    <x v="4"/>
    <x v="0"/>
    <x v="0"/>
    <x v="0"/>
    <x v="0"/>
    <n v="56"/>
    <s v="Bộ"/>
    <n v="500000"/>
    <n v="28000000"/>
    <n v="0"/>
    <n v="28000000"/>
    <n v="0"/>
    <n v="28000000"/>
  </r>
  <r>
    <x v="0"/>
    <s v="BAN-KH01-230305-1"/>
    <x v="65"/>
    <n v="3"/>
    <x v="0"/>
    <x v="5"/>
    <x v="1"/>
    <x v="0"/>
    <x v="3"/>
    <x v="2"/>
    <n v="109"/>
    <s v="Bộ"/>
    <n v="200000"/>
    <n v="21800000"/>
    <n v="0"/>
    <n v="21800000"/>
    <n v="0"/>
    <n v="21800000"/>
  </r>
  <r>
    <x v="1"/>
    <s v="BAN-KH01-230305-1"/>
    <x v="65"/>
    <n v="3"/>
    <x v="1"/>
    <x v="5"/>
    <x v="1"/>
    <x v="0"/>
    <x v="3"/>
    <x v="2"/>
    <n v="83"/>
    <s v="Bộ"/>
    <n v="300000"/>
    <n v="24900000"/>
    <n v="0"/>
    <n v="24900000"/>
    <n v="0"/>
    <n v="24900000"/>
  </r>
  <r>
    <x v="2"/>
    <s v="BAN-KH01-230305-1"/>
    <x v="65"/>
    <n v="3"/>
    <x v="2"/>
    <x v="5"/>
    <x v="1"/>
    <x v="0"/>
    <x v="3"/>
    <x v="2"/>
    <n v="55"/>
    <s v="Bộ"/>
    <n v="500000"/>
    <n v="27500000"/>
    <n v="0"/>
    <n v="27500000"/>
    <n v="0"/>
    <n v="27500000"/>
  </r>
  <r>
    <x v="0"/>
    <s v="BAN-KH01-230225-1"/>
    <x v="66"/>
    <n v="2"/>
    <x v="0"/>
    <x v="5"/>
    <x v="1"/>
    <x v="0"/>
    <x v="0"/>
    <x v="0"/>
    <n v="109"/>
    <s v="Bộ"/>
    <n v="200000"/>
    <n v="21800000"/>
    <n v="0"/>
    <n v="21800000"/>
    <n v="0"/>
    <n v="21800000"/>
  </r>
  <r>
    <x v="1"/>
    <s v="BAN-KH01-230225-1"/>
    <x v="66"/>
    <n v="2"/>
    <x v="1"/>
    <x v="5"/>
    <x v="1"/>
    <x v="0"/>
    <x v="0"/>
    <x v="0"/>
    <n v="81"/>
    <s v="Bộ"/>
    <n v="300000"/>
    <n v="24300000"/>
    <n v="0"/>
    <n v="24300000"/>
    <n v="0"/>
    <n v="24300000"/>
  </r>
  <r>
    <x v="2"/>
    <s v="BAN-KH01-230225-1"/>
    <x v="66"/>
    <n v="2"/>
    <x v="2"/>
    <x v="5"/>
    <x v="1"/>
    <x v="0"/>
    <x v="0"/>
    <x v="0"/>
    <n v="53"/>
    <s v="Bộ"/>
    <n v="500000"/>
    <n v="26500000"/>
    <n v="0"/>
    <n v="26500000"/>
    <n v="0"/>
    <n v="26500000"/>
  </r>
  <r>
    <x v="0"/>
    <s v="BAN-KH01-230215-1"/>
    <x v="67"/>
    <n v="2"/>
    <x v="0"/>
    <x v="5"/>
    <x v="1"/>
    <x v="1"/>
    <x v="1"/>
    <x v="1"/>
    <n v="107"/>
    <s v="Bộ"/>
    <n v="200000"/>
    <n v="21400000"/>
    <n v="0"/>
    <n v="21400000"/>
    <n v="0"/>
    <n v="21400000"/>
  </r>
  <r>
    <x v="1"/>
    <s v="BAN-KH01-230215-1"/>
    <x v="67"/>
    <n v="2"/>
    <x v="1"/>
    <x v="5"/>
    <x v="1"/>
    <x v="1"/>
    <x v="1"/>
    <x v="1"/>
    <n v="83"/>
    <s v="Bộ"/>
    <n v="300000"/>
    <n v="24900000"/>
    <n v="0"/>
    <n v="24900000"/>
    <n v="0"/>
    <n v="24900000"/>
  </r>
  <r>
    <x v="2"/>
    <s v="BAN-KH01-230215-1"/>
    <x v="67"/>
    <n v="2"/>
    <x v="2"/>
    <x v="5"/>
    <x v="1"/>
    <x v="1"/>
    <x v="1"/>
    <x v="1"/>
    <n v="52"/>
    <s v="Bộ"/>
    <n v="500000"/>
    <n v="26000000"/>
    <n v="0"/>
    <n v="26000000"/>
    <n v="0"/>
    <n v="26000000"/>
  </r>
  <r>
    <x v="0"/>
    <s v="BAN-KH03-230205-1"/>
    <x v="68"/>
    <n v="2"/>
    <x v="0"/>
    <x v="4"/>
    <x v="0"/>
    <x v="0"/>
    <x v="2"/>
    <x v="2"/>
    <n v="103"/>
    <s v="Bộ"/>
    <n v="200000"/>
    <n v="20600000"/>
    <n v="0"/>
    <n v="20600000"/>
    <n v="0"/>
    <n v="20600000"/>
  </r>
  <r>
    <x v="1"/>
    <s v="BAN-KH03-230205-1"/>
    <x v="68"/>
    <n v="2"/>
    <x v="1"/>
    <x v="4"/>
    <x v="0"/>
    <x v="0"/>
    <x v="2"/>
    <x v="2"/>
    <n v="84"/>
    <s v="Bộ"/>
    <n v="300000"/>
    <n v="25200000"/>
    <n v="0"/>
    <n v="25200000"/>
    <n v="0"/>
    <n v="25200000"/>
  </r>
  <r>
    <x v="2"/>
    <s v="BAN-KH03-230205-1"/>
    <x v="68"/>
    <n v="2"/>
    <x v="2"/>
    <x v="4"/>
    <x v="0"/>
    <x v="0"/>
    <x v="2"/>
    <x v="2"/>
    <n v="50"/>
    <s v="Bộ"/>
    <n v="500000"/>
    <n v="25000000"/>
    <n v="0"/>
    <n v="25000000"/>
    <n v="0"/>
    <n v="25000000"/>
  </r>
  <r>
    <x v="0"/>
    <s v="BAN-KH02-230125-1"/>
    <x v="69"/>
    <n v="1"/>
    <x v="0"/>
    <x v="1"/>
    <x v="0"/>
    <x v="0"/>
    <x v="5"/>
    <x v="2"/>
    <n v="101"/>
    <s v="Bộ"/>
    <n v="200000"/>
    <n v="20200000"/>
    <n v="0"/>
    <n v="20200000"/>
    <n v="0"/>
    <n v="20200000"/>
  </r>
  <r>
    <x v="1"/>
    <s v="BAN-KH02-230125-1"/>
    <x v="69"/>
    <n v="1"/>
    <x v="1"/>
    <x v="1"/>
    <x v="0"/>
    <x v="0"/>
    <x v="5"/>
    <x v="2"/>
    <n v="82"/>
    <s v="Bộ"/>
    <n v="300000"/>
    <n v="24600000"/>
    <n v="0"/>
    <n v="24600000"/>
    <n v="0"/>
    <n v="24600000"/>
  </r>
  <r>
    <x v="2"/>
    <s v="BAN-KH02-230125-1"/>
    <x v="69"/>
    <n v="1"/>
    <x v="2"/>
    <x v="1"/>
    <x v="0"/>
    <x v="0"/>
    <x v="5"/>
    <x v="2"/>
    <n v="50"/>
    <s v="Bộ"/>
    <n v="500000"/>
    <n v="25000000"/>
    <n v="0"/>
    <n v="25000000"/>
    <n v="0"/>
    <n v="25000000"/>
  </r>
  <r>
    <x v="0"/>
    <s v="BAN-KH02-230115-1"/>
    <x v="70"/>
    <n v="1"/>
    <x v="0"/>
    <x v="1"/>
    <x v="0"/>
    <x v="0"/>
    <x v="0"/>
    <x v="0"/>
    <n v="98"/>
    <s v="Bộ"/>
    <n v="200000"/>
    <n v="19600000"/>
    <n v="0"/>
    <n v="19600000"/>
    <n v="0"/>
    <n v="19600000"/>
  </r>
  <r>
    <x v="1"/>
    <s v="BAN-KH02-230115-1"/>
    <x v="70"/>
    <n v="1"/>
    <x v="1"/>
    <x v="1"/>
    <x v="0"/>
    <x v="0"/>
    <x v="0"/>
    <x v="0"/>
    <n v="82"/>
    <s v="Bộ"/>
    <n v="300000"/>
    <n v="24600000"/>
    <n v="0"/>
    <n v="24600000"/>
    <n v="0"/>
    <n v="24600000"/>
  </r>
  <r>
    <x v="2"/>
    <s v="BAN-KH02-230115-1"/>
    <x v="70"/>
    <n v="1"/>
    <x v="2"/>
    <x v="1"/>
    <x v="0"/>
    <x v="0"/>
    <x v="0"/>
    <x v="0"/>
    <n v="51"/>
    <s v="Bộ"/>
    <n v="500000"/>
    <n v="25500000"/>
    <n v="0"/>
    <n v="25500000"/>
    <n v="0"/>
    <n v="25500000"/>
  </r>
  <r>
    <x v="0"/>
    <s v="BAN-KH01-230105-1"/>
    <x v="71"/>
    <n v="1"/>
    <x v="0"/>
    <x v="5"/>
    <x v="1"/>
    <x v="1"/>
    <x v="0"/>
    <x v="0"/>
    <n v="100"/>
    <s v="Bộ"/>
    <n v="200000"/>
    <n v="20000000"/>
    <n v="0"/>
    <n v="20000000"/>
    <n v="0"/>
    <n v="20000000"/>
  </r>
  <r>
    <x v="1"/>
    <s v="BAN-KH01-230105-1"/>
    <x v="71"/>
    <n v="1"/>
    <x v="1"/>
    <x v="5"/>
    <x v="1"/>
    <x v="1"/>
    <x v="0"/>
    <x v="0"/>
    <n v="80"/>
    <s v="Bộ"/>
    <n v="300000"/>
    <n v="24000000"/>
    <n v="0"/>
    <n v="24000000"/>
    <n v="0"/>
    <n v="24000000"/>
  </r>
  <r>
    <x v="2"/>
    <s v="BAN-KH01-230105-1"/>
    <x v="71"/>
    <n v="1"/>
    <x v="2"/>
    <x v="5"/>
    <x v="1"/>
    <x v="1"/>
    <x v="0"/>
    <x v="0"/>
    <n v="50"/>
    <s v="Bộ"/>
    <n v="500000"/>
    <n v="25000000"/>
    <n v="0"/>
    <n v="25000000"/>
    <n v="0"/>
    <n v="25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B0AB0EA-9EB7-4FAD-B060-B738101F6761}"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R43:U58" firstHeaderRow="1" firstDataRow="2" firstDataCol="1" rowPageCount="5" colPageCount="1"/>
  <pivotFields count="21">
    <pivotField axis="axisPage" showAll="0">
      <items count="4">
        <item x="0"/>
        <item x="1"/>
        <item x="2"/>
        <item t="default"/>
      </items>
    </pivotField>
    <pivotField showAll="0"/>
    <pivotField numFmtId="165" showAll="0">
      <items count="73">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64" showAll="0"/>
    <pivotField axis="axisPage" showAll="0">
      <items count="4">
        <item x="0"/>
        <item x="1"/>
        <item x="2"/>
        <item t="default"/>
      </items>
    </pivotField>
    <pivotField showAll="0"/>
    <pivotField axis="axisCol" showAll="0">
      <items count="3">
        <item x="1"/>
        <item x="0"/>
        <item t="default"/>
      </items>
    </pivotField>
    <pivotField axis="axisPage" showAll="0">
      <items count="3">
        <item x="0"/>
        <item x="1"/>
        <item t="default"/>
      </items>
    </pivotField>
    <pivotField axis="axisPage" showAll="0">
      <items count="7">
        <item x="1"/>
        <item x="3"/>
        <item x="2"/>
        <item x="0"/>
        <item x="5"/>
        <item x="4"/>
        <item t="default"/>
      </items>
    </pivotField>
    <pivotField axis="axisPage" showAll="0">
      <items count="4">
        <item x="1"/>
        <item x="0"/>
        <item x="2"/>
        <item t="default"/>
      </items>
    </pivotField>
    <pivotField numFmtId="164" showAll="0"/>
    <pivotField showAll="0"/>
    <pivotField numFmtId="164" showAll="0"/>
    <pivotField numFmtId="164" showAll="0"/>
    <pivotField numFmtId="164" showAll="0"/>
    <pivotField numFmtId="164" showAll="0"/>
    <pivotField numFmtId="164" showAll="0"/>
    <pivotField dataField="1" numFmtId="164" showAll="0"/>
    <pivotField name="Tháng"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name="Năm" axis="axisRow" showAll="0" defaultSubtotal="0">
      <items count="4">
        <item h="1" x="0"/>
        <item h="1" x="1"/>
        <item x="2"/>
        <item h="1" x="3"/>
      </items>
    </pivotField>
  </pivotFields>
  <rowFields count="2">
    <field x="20"/>
    <field x="18"/>
  </rowFields>
  <rowItems count="14">
    <i>
      <x v="2"/>
    </i>
    <i r="1">
      <x v="1"/>
    </i>
    <i r="1">
      <x v="2"/>
    </i>
    <i r="1">
      <x v="3"/>
    </i>
    <i r="1">
      <x v="4"/>
    </i>
    <i r="1">
      <x v="5"/>
    </i>
    <i r="1">
      <x v="6"/>
    </i>
    <i r="1">
      <x v="7"/>
    </i>
    <i r="1">
      <x v="8"/>
    </i>
    <i r="1">
      <x v="9"/>
    </i>
    <i r="1">
      <x v="10"/>
    </i>
    <i r="1">
      <x v="11"/>
    </i>
    <i r="1">
      <x v="12"/>
    </i>
    <i t="grand">
      <x/>
    </i>
  </rowItems>
  <colFields count="1">
    <field x="6"/>
  </colFields>
  <colItems count="3">
    <i>
      <x/>
    </i>
    <i>
      <x v="1"/>
    </i>
    <i t="grand">
      <x/>
    </i>
  </colItems>
  <pageFields count="5">
    <pageField fld="4" hier="-1"/>
    <pageField fld="0" hier="-1"/>
    <pageField fld="9" hier="-1"/>
    <pageField fld="8" hier="-1"/>
    <pageField fld="7" hier="-1"/>
  </pageFields>
  <dataFields count="1">
    <dataField name="Doanh thu" fld="17" baseField="20" baseItem="2"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7F0CFFF-C635-4EA1-964E-C4DB3B26DA6F}" name="PivotTable2"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6">
  <location ref="B43:E58" firstHeaderRow="1" firstDataRow="2" firstDataCol="1" rowPageCount="5" colPageCount="1"/>
  <pivotFields count="21">
    <pivotField showAll="0"/>
    <pivotField showAll="0"/>
    <pivotField numFmtId="165" showAll="0">
      <items count="73">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64" showAll="0"/>
    <pivotField axis="axisCol" showAll="0">
      <items count="4">
        <item x="0"/>
        <item x="1"/>
        <item x="2"/>
        <item t="default"/>
      </items>
    </pivotField>
    <pivotField axis="axisPage" showAll="0">
      <items count="8">
        <item x="5"/>
        <item x="1"/>
        <item x="4"/>
        <item x="6"/>
        <item x="3"/>
        <item x="2"/>
        <item x="0"/>
        <item t="default"/>
      </items>
    </pivotField>
    <pivotField axis="axisPage" showAll="0">
      <items count="3">
        <item x="1"/>
        <item x="0"/>
        <item t="default"/>
      </items>
    </pivotField>
    <pivotField axis="axisPage" showAll="0">
      <items count="3">
        <item x="0"/>
        <item x="1"/>
        <item t="default"/>
      </items>
    </pivotField>
    <pivotField axis="axisPage" showAll="0">
      <items count="7">
        <item x="1"/>
        <item x="3"/>
        <item x="2"/>
        <item x="0"/>
        <item x="5"/>
        <item x="4"/>
        <item t="default"/>
      </items>
    </pivotField>
    <pivotField axis="axisPage" showAll="0">
      <items count="4">
        <item x="1"/>
        <item x="0"/>
        <item x="2"/>
        <item t="default"/>
      </items>
    </pivotField>
    <pivotField numFmtId="164" showAll="0"/>
    <pivotField showAll="0"/>
    <pivotField numFmtId="164" showAll="0"/>
    <pivotField numFmtId="164" showAll="0"/>
    <pivotField numFmtId="164" showAll="0"/>
    <pivotField numFmtId="164" showAll="0"/>
    <pivotField numFmtId="164" showAll="0"/>
    <pivotField dataField="1" numFmtId="164" showAll="0"/>
    <pivotField name="Tháng"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name="Năm" axis="axisRow" showAll="0">
      <items count="5">
        <item h="1" x="0"/>
        <item h="1" x="1"/>
        <item x="2"/>
        <item h="1" x="3"/>
        <item t="default"/>
      </items>
    </pivotField>
  </pivotFields>
  <rowFields count="2">
    <field x="20"/>
    <field x="18"/>
  </rowFields>
  <rowItems count="14">
    <i>
      <x v="2"/>
    </i>
    <i r="1">
      <x v="1"/>
    </i>
    <i r="1">
      <x v="2"/>
    </i>
    <i r="1">
      <x v="3"/>
    </i>
    <i r="1">
      <x v="4"/>
    </i>
    <i r="1">
      <x v="5"/>
    </i>
    <i r="1">
      <x v="6"/>
    </i>
    <i r="1">
      <x v="7"/>
    </i>
    <i r="1">
      <x v="8"/>
    </i>
    <i r="1">
      <x v="9"/>
    </i>
    <i r="1">
      <x v="10"/>
    </i>
    <i r="1">
      <x v="11"/>
    </i>
    <i r="1">
      <x v="12"/>
    </i>
    <i t="grand">
      <x/>
    </i>
  </rowItems>
  <colFields count="1">
    <field x="4"/>
  </colFields>
  <colItems count="3">
    <i>
      <x/>
    </i>
    <i>
      <x v="1"/>
    </i>
    <i>
      <x v="2"/>
    </i>
  </colItems>
  <pageFields count="5">
    <pageField fld="6" hier="-1"/>
    <pageField fld="5" hier="-1"/>
    <pageField fld="9" hier="-1"/>
    <pageField fld="8" hier="-1"/>
    <pageField fld="7" hier="-1"/>
  </pageFields>
  <dataFields count="1">
    <dataField name="Doanh thu" fld="17" baseField="18" baseItem="1" numFmtId="164"/>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18" count="1" selected="0">
            <x v="12"/>
          </reference>
          <reference field="20" count="1" selected="0">
            <x v="2"/>
          </reference>
        </references>
      </pivotArea>
    </chartFormat>
    <chartFormat chart="0" format="2" series="1">
      <pivotArea type="data" outline="0" fieldPosition="0">
        <references count="2">
          <reference field="4294967294" count="1" selected="0">
            <x v="0"/>
          </reference>
          <reference field="4" count="1" selected="0">
            <x v="1"/>
          </reference>
        </references>
      </pivotArea>
    </chartFormat>
    <chartFormat chart="0" format="3" series="1">
      <pivotArea type="data" outline="0" fieldPosition="0">
        <references count="2">
          <reference field="4294967294" count="1" selected="0">
            <x v="0"/>
          </reference>
          <reference field="4" count="1" selected="0">
            <x v="2"/>
          </reference>
        </references>
      </pivotArea>
    </chartFormat>
    <chartFormat chart="0" format="4" series="1">
      <pivotArea type="data" outline="0" fieldPosition="0">
        <references count="2">
          <reference field="4294967294" count="1" selected="0">
            <x v="0"/>
          </reference>
          <reference field="4" count="1" selected="0">
            <x v="0"/>
          </reference>
        </references>
      </pivotArea>
    </chartFormat>
    <chartFormat chart="0" format="5">
      <pivotArea type="data" outline="0" fieldPosition="0">
        <references count="4">
          <reference field="4294967294" count="1" selected="0">
            <x v="0"/>
          </reference>
          <reference field="4" count="1" selected="0">
            <x v="0"/>
          </reference>
          <reference field="18" count="1" selected="0">
            <x v="12"/>
          </reference>
          <reference field="20" count="1" selected="0">
            <x v="2"/>
          </reference>
        </references>
      </pivotArea>
    </chartFormat>
    <chartFormat chart="0" format="6">
      <pivotArea type="data" outline="0" fieldPosition="0">
        <references count="4">
          <reference field="4294967294" count="1" selected="0">
            <x v="0"/>
          </reference>
          <reference field="4" count="1" selected="0">
            <x v="1"/>
          </reference>
          <reference field="18" count="1" selected="0">
            <x v="12"/>
          </reference>
          <reference field="20" count="1" selected="0">
            <x v="2"/>
          </reference>
        </references>
      </pivotArea>
    </chartFormat>
    <chartFormat chart="0" format="7">
      <pivotArea type="data" outline="0" fieldPosition="0">
        <references count="4">
          <reference field="4294967294" count="1" selected="0">
            <x v="0"/>
          </reference>
          <reference field="4" count="1" selected="0">
            <x v="2"/>
          </reference>
          <reference field="18" count="1" selected="0">
            <x v="12"/>
          </reference>
          <reference field="2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7528AD0-6C94-42F8-B893-EB9951BA6AE7}" name="PivotTable1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K43:AL46" firstHeaderRow="1" firstDataRow="1" firstDataCol="1" rowPageCount="7" colPageCount="1"/>
  <pivotFields count="21">
    <pivotField axis="axisPage" showAll="0">
      <items count="4">
        <item x="0"/>
        <item x="1"/>
        <item x="2"/>
        <item t="default"/>
      </items>
    </pivotField>
    <pivotField showAll="0"/>
    <pivotField numFmtId="165" showAll="0">
      <items count="73">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64" showAll="0"/>
    <pivotField axis="axisPage" showAll="0">
      <items count="4">
        <item x="0"/>
        <item x="1"/>
        <item x="2"/>
        <item t="default"/>
      </items>
    </pivotField>
    <pivotField axis="axisPage" showAll="0">
      <items count="8">
        <item x="5"/>
        <item x="1"/>
        <item x="4"/>
        <item x="6"/>
        <item x="3"/>
        <item x="2"/>
        <item x="0"/>
        <item t="default"/>
      </items>
    </pivotField>
    <pivotField axis="axisPage" showAll="0">
      <items count="3">
        <item x="1"/>
        <item x="0"/>
        <item t="default"/>
      </items>
    </pivotField>
    <pivotField axis="axisRow" showAll="0">
      <items count="3">
        <item x="0"/>
        <item x="1"/>
        <item t="default"/>
      </items>
    </pivotField>
    <pivotField axis="axisPage" showAll="0">
      <items count="7">
        <item x="1"/>
        <item x="3"/>
        <item x="2"/>
        <item x="0"/>
        <item x="5"/>
        <item x="4"/>
        <item t="default"/>
      </items>
    </pivotField>
    <pivotField showAll="0"/>
    <pivotField numFmtId="164" showAll="0"/>
    <pivotField showAll="0"/>
    <pivotField numFmtId="164" showAll="0"/>
    <pivotField numFmtId="164" showAll="0"/>
    <pivotField numFmtId="164" showAll="0"/>
    <pivotField numFmtId="164" showAll="0"/>
    <pivotField numFmtId="164" showAll="0"/>
    <pivotField dataField="1" numFmtId="164" showAll="0"/>
    <pivotField name="Tháng" axis="axisPage" showAll="0" defaultSubtotal="0">
      <items count="14">
        <item x="0"/>
        <item x="1"/>
        <item x="2"/>
        <item x="3"/>
        <item x="4"/>
        <item x="5"/>
        <item x="6"/>
        <item x="7"/>
        <item x="8"/>
        <item x="9"/>
        <item x="10"/>
        <item x="11"/>
        <item x="12"/>
        <item x="13"/>
      </items>
    </pivotField>
    <pivotField showAll="0" defaultSubtotal="0"/>
    <pivotField name="Năm" axis="axisPage" multipleItemSelectionAllowed="1" showAll="0" defaultSubtotal="0">
      <items count="4">
        <item h="1" x="0"/>
        <item h="1" x="1"/>
        <item x="2"/>
        <item h="1" x="3"/>
      </items>
    </pivotField>
  </pivotFields>
  <rowFields count="1">
    <field x="7"/>
  </rowFields>
  <rowItems count="3">
    <i>
      <x/>
    </i>
    <i>
      <x v="1"/>
    </i>
    <i t="grand">
      <x/>
    </i>
  </rowItems>
  <colItems count="1">
    <i/>
  </colItems>
  <pageFields count="7">
    <pageField fld="20" hier="-1"/>
    <pageField fld="18" hier="-1"/>
    <pageField fld="4" hier="-1"/>
    <pageField fld="0" hier="-1"/>
    <pageField fld="6" hier="-1"/>
    <pageField fld="5" hier="-1"/>
    <pageField fld="8" hier="-1"/>
  </pageFields>
  <dataFields count="1">
    <dataField name="Doanh thu" fld="17" baseField="0" baseItem="0"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7" count="1" selected="0">
            <x v="0"/>
          </reference>
        </references>
      </pivotArea>
    </chartFormat>
    <chartFormat chart="0" format="2">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0493292-9072-451E-9A73-58C67F581D0B}" name="PivotTable1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G43:AH50" firstHeaderRow="1" firstDataRow="1" firstDataCol="1" rowPageCount="7" colPageCount="1"/>
  <pivotFields count="21">
    <pivotField axis="axisPage" showAll="0">
      <items count="4">
        <item x="0"/>
        <item x="1"/>
        <item x="2"/>
        <item t="default"/>
      </items>
    </pivotField>
    <pivotField showAll="0"/>
    <pivotField numFmtId="165" showAll="0">
      <items count="73">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64" showAll="0"/>
    <pivotField axis="axisPage" showAll="0">
      <items count="4">
        <item x="0"/>
        <item x="1"/>
        <item x="2"/>
        <item t="default"/>
      </items>
    </pivotField>
    <pivotField axis="axisPage" showAll="0">
      <items count="8">
        <item x="5"/>
        <item x="1"/>
        <item x="4"/>
        <item x="6"/>
        <item x="3"/>
        <item x="2"/>
        <item x="0"/>
        <item t="default"/>
      </items>
    </pivotField>
    <pivotField axis="axisPage" showAll="0">
      <items count="3">
        <item x="1"/>
        <item x="0"/>
        <item t="default"/>
      </items>
    </pivotField>
    <pivotField axis="axisPage" showAll="0">
      <items count="3">
        <item x="0"/>
        <item x="1"/>
        <item t="default"/>
      </items>
    </pivotField>
    <pivotField axis="axisRow" showAll="0">
      <items count="7">
        <item x="1"/>
        <item x="3"/>
        <item x="2"/>
        <item x="0"/>
        <item x="5"/>
        <item x="4"/>
        <item t="default"/>
      </items>
    </pivotField>
    <pivotField showAll="0"/>
    <pivotField numFmtId="164" showAll="0"/>
    <pivotField showAll="0"/>
    <pivotField numFmtId="164" showAll="0"/>
    <pivotField numFmtId="164" showAll="0"/>
    <pivotField numFmtId="164" showAll="0"/>
    <pivotField numFmtId="164" showAll="0"/>
    <pivotField numFmtId="164" showAll="0"/>
    <pivotField dataField="1" numFmtId="164" showAll="0"/>
    <pivotField name="Tháng" axis="axisPage" showAll="0" defaultSubtotal="0">
      <items count="14">
        <item x="0"/>
        <item x="1"/>
        <item x="2"/>
        <item x="3"/>
        <item x="4"/>
        <item x="5"/>
        <item x="6"/>
        <item x="7"/>
        <item x="8"/>
        <item x="9"/>
        <item x="10"/>
        <item x="11"/>
        <item x="12"/>
        <item x="13"/>
      </items>
    </pivotField>
    <pivotField showAll="0" defaultSubtotal="0"/>
    <pivotField name="Năm" axis="axisPage" multipleItemSelectionAllowed="1" showAll="0" defaultSubtotal="0">
      <items count="4">
        <item h="1" x="0"/>
        <item h="1" x="1"/>
        <item x="2"/>
        <item h="1" x="3"/>
      </items>
    </pivotField>
  </pivotFields>
  <rowFields count="1">
    <field x="8"/>
  </rowFields>
  <rowItems count="7">
    <i>
      <x/>
    </i>
    <i>
      <x v="1"/>
    </i>
    <i>
      <x v="2"/>
    </i>
    <i>
      <x v="3"/>
    </i>
    <i>
      <x v="4"/>
    </i>
    <i>
      <x v="5"/>
    </i>
    <i t="grand">
      <x/>
    </i>
  </rowItems>
  <colItems count="1">
    <i/>
  </colItems>
  <pageFields count="7">
    <pageField fld="20" hier="-1"/>
    <pageField fld="18" hier="-1"/>
    <pageField fld="4" hier="-1"/>
    <pageField fld="0" hier="-1"/>
    <pageField fld="6" hier="-1"/>
    <pageField fld="5" hier="-1"/>
    <pageField fld="7" hier="-1"/>
  </pageFields>
  <dataFields count="1">
    <dataField name="Doanh thu" fld="17" baseField="0" baseItem="0" numFmtId="164"/>
  </dataFields>
  <chartFormats count="7">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8" count="1" selected="0">
            <x v="0"/>
          </reference>
        </references>
      </pivotArea>
    </chartFormat>
    <chartFormat chart="0" format="2">
      <pivotArea type="data" outline="0" fieldPosition="0">
        <references count="2">
          <reference field="4294967294" count="1" selected="0">
            <x v="0"/>
          </reference>
          <reference field="8" count="1" selected="0">
            <x v="1"/>
          </reference>
        </references>
      </pivotArea>
    </chartFormat>
    <chartFormat chart="0" format="3">
      <pivotArea type="data" outline="0" fieldPosition="0">
        <references count="2">
          <reference field="4294967294" count="1" selected="0">
            <x v="0"/>
          </reference>
          <reference field="8" count="1" selected="0">
            <x v="2"/>
          </reference>
        </references>
      </pivotArea>
    </chartFormat>
    <chartFormat chart="0" format="4">
      <pivotArea type="data" outline="0" fieldPosition="0">
        <references count="2">
          <reference field="4294967294" count="1" selected="0">
            <x v="0"/>
          </reference>
          <reference field="8" count="1" selected="0">
            <x v="3"/>
          </reference>
        </references>
      </pivotArea>
    </chartFormat>
    <chartFormat chart="0" format="5">
      <pivotArea type="data" outline="0" fieldPosition="0">
        <references count="2">
          <reference field="4294967294" count="1" selected="0">
            <x v="0"/>
          </reference>
          <reference field="8" count="1" selected="0">
            <x v="4"/>
          </reference>
        </references>
      </pivotArea>
    </chartFormat>
    <chartFormat chart="0" format="6">
      <pivotArea type="data" outline="0" fieldPosition="0">
        <references count="2">
          <reference field="4294967294" count="1" selected="0">
            <x v="0"/>
          </reference>
          <reference field="8"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4C42FF-9F83-4C27-9362-4B542233AFFC}" name="Table_SKU" displayName="Table_SKU" ref="AP32:AW35" totalsRowShown="0" headerRowDxfId="53" dataDxfId="52">
  <autoFilter ref="AP32:AW35" xr:uid="{344C42FF-9F83-4C27-9362-4B542233AFFC}"/>
  <tableColumns count="8">
    <tableColumn id="4" xr3:uid="{A409BE9F-5728-4D17-9C85-BFF1265CFA01}" name="Nhóm Sản phẩm" dataDxfId="51"/>
    <tableColumn id="1" xr3:uid="{496E3AD4-7DAC-4CCC-AB6A-6EB5FC0738A9}" name="Mã Sản phẩm" dataDxfId="50"/>
    <tableColumn id="2" xr3:uid="{4C8BC40C-89DE-4EC2-B538-4A541070024B}" name="Mô tả" dataDxfId="49"/>
    <tableColumn id="12" xr3:uid="{D788A326-DDE4-47B7-84D0-16FE8BF48AD2}" name="Đơn vị" dataDxfId="48"/>
    <tableColumn id="3" xr3:uid="{1F6E4874-BC3B-4258-B78D-0142F78D11A5}" name="Giá bán" dataDxfId="47" dataCellStyle="Comma"/>
    <tableColumn id="5" xr3:uid="{F6A77B83-4B43-406E-839B-29D5F1BF5F97}" name="Số ngày chưa bán" dataDxfId="46">
      <calculatedColumnFormula>TODAY()-
_xlfn.MAXIFS(Table_Main[Ngày lên đơn],Table_Main[Mã SKU],Table_SKU[[#This Row],[Mã Sản phẩm]])</calculatedColumnFormula>
    </tableColumn>
    <tableColumn id="6" xr3:uid="{C0A37AAF-441F-477E-9F0A-850A89091C68}" name="Doanh thu / ngày" dataDxfId="45">
      <calculatedColumnFormula array="1">SUM(_xlfn._xlws.FILTER(Table_Main[Phân bổ doanh thu ròng],
(Table_Main[Mã SKU] = Table_SKU[[#This Row],[Mã Sản phẩm]])
))/
(TODAY() - _xlfn.MINIFS(Table_Main[Ngày lên đơn],Table_Main[Mã SKU],Table_SKU[[#This Row],[Mã Sản phẩm]]))</calculatedColumnFormula>
    </tableColumn>
    <tableColumn id="7" xr3:uid="{DB39724D-67E6-4380-8BB4-A917D72DCE9D}" name="Doanh thu" dataDxfId="44">
      <calculatedColumnFormula array="1">SUM(_xlfn._xlws.FILTER(Table_Main[Phân bổ doanh thu ròng],
(Table_Main[Mã SKU] = Table_SKU[[#This Row],[Mã Sản phẩm]])
))</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EBADAAF-4973-4630-9BDB-5AF1B00AEAF7}" name="Table_KhachHang" displayName="Table_KhachHang" ref="AY32:BD39" totalsRowShown="0" headerRowDxfId="43" dataDxfId="42">
  <autoFilter ref="AY32:BD39" xr:uid="{2EBADAAF-4973-4630-9BDB-5AF1B00AEAF7}"/>
  <tableColumns count="6">
    <tableColumn id="1" xr3:uid="{D1EE74C4-8BF8-4369-81F8-60D04CDD26D7}" name="Mã khách" dataDxfId="41"/>
    <tableColumn id="3" xr3:uid="{4E5DA2CF-550B-4BCB-8C7D-5456FFB6D93D}" name="Khách hàng" dataDxfId="40"/>
    <tableColumn id="7" xr3:uid="{9AE8DD08-A2D5-4075-A123-CC5A43E448DA}" name="Phân khúc" dataDxfId="39"/>
    <tableColumn id="9" xr3:uid="{C98BAA60-DDFE-497A-8F9C-F0D73217618B}" name="Số ngày chưa mua" dataDxfId="38" dataCellStyle="Comma">
      <calculatedColumnFormula>TODAY()-_xlfn.MAXIFS(Table_DonBan[Ngày lập],Table_DonBan[Mã Khách],Table_KhachHang[[#This Row],[Mã khách]])</calculatedColumnFormula>
    </tableColumn>
    <tableColumn id="11" xr3:uid="{7725BDFF-DB01-425B-B775-165367CC7555}" name="Doanh thu / ngày" dataDxfId="37" dataCellStyle="Comma">
      <calculatedColumnFormula array="1">SUM(_xlfn._xlws.FILTER(Table_DonBan[Doanh thu ròng],
(Table_DonBan[Mã Khách] = Table_KhachHang[[#This Row],[Mã khách]])
)) / (TODAY()-_xlfn.MINIFS(Table_DonBan[Ngày lập],Table_DonBan[Mã Khách],Table_KhachHang[[#This Row],[Mã khách]]))</calculatedColumnFormula>
    </tableColumn>
    <tableColumn id="8" xr3:uid="{FF419663-32F6-4C30-A0E1-2163408B9319}" name="Doanh thu" dataDxfId="36">
      <calculatedColumnFormula array="1">SUM(_xlfn._xlws.FILTER(Table_DonBan[Doanh thu ròng],
(Table_DonBan[Mã Khách] = Table_KhachHang[[#This Row],[Mã khách]])
))</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C190213-2920-4301-9BD2-35D456F6F833}" name="Table_Kenh" displayName="Table_Kenh" ref="BF32:BG38" totalsRowShown="0" headerRowDxfId="35" dataDxfId="34">
  <autoFilter ref="BF32:BG38" xr:uid="{2C190213-2920-4301-9BD2-35D456F6F833}"/>
  <tableColumns count="2">
    <tableColumn id="1" xr3:uid="{48D2CC13-06FE-4B51-8CAD-C4F4EF85420A}" name="Kênh" dataDxfId="33"/>
    <tableColumn id="5" xr3:uid="{D22ACC48-099B-4D66-B1CD-75FB257CD025}" name="Nhóm Kênh" dataDxfId="32"/>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6C50C2-9F50-44F9-851E-AF3CE876FBFE}" name="Table_NhanVien" displayName="Table_NhanVien" ref="BI32:BI37" totalsRowShown="0" headerRowDxfId="31" dataDxfId="30">
  <autoFilter ref="BI32:BI37" xr:uid="{D36C50C2-9F50-44F9-851E-AF3CE876FBFE}"/>
  <tableColumns count="1">
    <tableColumn id="1" xr3:uid="{4A3FCD0C-E17B-4120-9BE4-7374A2C75088}" name="Nhân viên" dataDxfId="29"/>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166925E-1F0B-42C7-A01A-835B42134064}" name="Table_DonBan" displayName="Table_DonBan" ref="BK32:BR104" totalsRowShown="0" headerRowDxfId="28">
  <autoFilter ref="BK32:BR104" xr:uid="{4166925E-1F0B-42C7-A01A-835B42134064}"/>
  <sortState xmlns:xlrd2="http://schemas.microsoft.com/office/spreadsheetml/2017/richdata2" ref="BK33:BR104">
    <sortCondition descending="1" ref="BL32:BL104"/>
  </sortState>
  <tableColumns count="8">
    <tableColumn id="1" xr3:uid="{F5346A10-81CF-40CD-850D-8F0D3B20E503}" name="Mã đơn bán" dataDxfId="27"/>
    <tableColumn id="2" xr3:uid="{E5AA3C4E-F90F-4FED-99CD-D14026B1048E}" name="Ngày lập" dataDxfId="26"/>
    <tableColumn id="3" xr3:uid="{6CC99533-F213-42B8-9FC6-28AA1681FB82}" name="Mã Khách" dataDxfId="25"/>
    <tableColumn id="15" xr3:uid="{1F7A1852-3D39-4901-A0D5-DAD713C5C5F9}" name="Mã NV" dataDxfId="24"/>
    <tableColumn id="16" xr3:uid="{818A9779-FBC2-448F-820D-00D6B112FFD2}" name="Kênh" dataDxfId="23"/>
    <tableColumn id="14" xr3:uid="{5A12C553-7096-4EA2-B631-2E452214EBF1}" name="Tiền hàng" dataDxfId="22" dataCellStyle="Comma">
      <calculatedColumnFormula array="1">IFERROR(SUM(_xlfn._xlws.FILTER(Table_Main[Giá trị bán trước VAT],
(Table_Main[Đơn bán]=Table_DonBan[[#This Row],[Mã đơn bán]]),
)),0)</calculatedColumnFormula>
    </tableColumn>
    <tableColumn id="13" xr3:uid="{6ACB5963-7252-4FAB-B066-5F02A7D5A0AC}" name="Khuyễn mãi" dataDxfId="21" dataCellStyle="Comma"/>
    <tableColumn id="24" xr3:uid="{4E3C5E00-2D00-4F19-A2BF-C42B840493B9}" name="Doanh thu ròng" dataDxfId="20" dataCellStyle="Comma">
      <calculatedColumnFormula>+Table_DonBan[[#This Row],[Tiền hàng]]-Table_DonBan[[#This Row],[Khuyễn mãi]]</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77DE0D-C537-4E7E-B7E8-94E900EA3BDA}" name="Table_Main" displayName="Table_Main" ref="BT32:CK243" totalsRowShown="0" headerRowDxfId="19" dataDxfId="18">
  <autoFilter ref="BT32:CK243" xr:uid="{7EE1FBC0-CA11-44D8-84E1-E68C320835D5}"/>
  <sortState xmlns:xlrd2="http://schemas.microsoft.com/office/spreadsheetml/2017/richdata2" ref="BT33:CI243">
    <sortCondition descending="1" ref="BV32:BV243"/>
  </sortState>
  <tableColumns count="18">
    <tableColumn id="19" xr3:uid="{24D5294F-794C-47D4-B19B-4784BEEF58CD}" name="Mã SKU" dataDxfId="17"/>
    <tableColumn id="15" xr3:uid="{FFAB80BA-3D9B-4E0F-B218-469DB473D525}" name="Đơn bán" dataDxfId="16"/>
    <tableColumn id="2" xr3:uid="{10DA1A7A-0C4B-4307-86AF-52B679F6F5C3}" name="Ngày lên đơn" dataDxfId="15">
      <calculatedColumnFormula xml:space="preserve">
IFERROR(VLOOKUP(Table_Main[[#This Row],[Đơn bán]],Table_DonBan[],COUNTA(Table_DonBan[[#Headers],[Mã đơn bán]:[Ngày lập]]),0),0)</calculatedColumnFormula>
    </tableColumn>
    <tableColumn id="35" xr3:uid="{F856226F-3062-425F-9FB3-172CC796AE58}" name="Tháng lên đơn" dataDxfId="14">
      <calculatedColumnFormula>IFERROR(MONTH(Table_Main[[#This Row],[Ngày lên đơn]]),0)</calculatedColumnFormula>
    </tableColumn>
    <tableColumn id="3" xr3:uid="{9A5891E4-1D0A-4816-A0EF-E4F0B7BC4F71}" name="Nhóm SKU" dataDxfId="13">
      <calculatedColumnFormula>INDEX(Table_SKU[],
MATCH(Table_Main[[#This Row],[Mã SKU]],Table_SKU[Mã Sản phẩm],0),1)</calculatedColumnFormula>
    </tableColumn>
    <tableColumn id="50" xr3:uid="{7B00697E-F170-4DCC-9865-BA4F05A89039}" name="Khách hàng" dataDxfId="12" dataCellStyle="Comma">
      <calculatedColumnFormula xml:space="preserve">
IFERROR(VLOOKUP(Table_Main[[#This Row],[Đơn bán]],Table_DonBan[],COUNTA(Table_DonBan[[#Headers],[Mã đơn bán]:[Mã Khách]]),0),0)</calculatedColumnFormula>
    </tableColumn>
    <tableColumn id="6" xr3:uid="{17E132BB-8670-464E-8A90-C57F32EB8E62}" name="Phân khúc" dataDxfId="11" dataCellStyle="Comma">
      <calculatedColumnFormula>VLOOKUP(Table_Main[[#This Row],[Khách hàng]],Table_KhachHang[],COUNTA(Table_KhachHang[[#Headers],[Mã khách]:[Phân khúc]]),0)</calculatedColumnFormula>
    </tableColumn>
    <tableColumn id="45" xr3:uid="{408BECD2-0311-4DC1-99AD-0CA1E44D1094}" name="NV Bán hàng" dataDxfId="10" dataCellStyle="Comma">
      <calculatedColumnFormula xml:space="preserve">
IFERROR(VLOOKUP(Table_Main[[#This Row],[Đơn bán]],Table_DonBan[],COUNTA(Table_DonBan[[#Headers],[Mã đơn bán]:[Mã NV]]),0),0)</calculatedColumnFormula>
    </tableColumn>
    <tableColumn id="33" xr3:uid="{734B6FF8-8B1D-4B8F-8584-0A27FBBAE093}" name="Kênh" dataDxfId="9" dataCellStyle="Comma">
      <calculatedColumnFormula xml:space="preserve">
IFERROR(VLOOKUP(Table_Main[[#This Row],[Đơn bán]],Table_DonBan[],COUNTA(Table_DonBan[[#Headers],[Mã đơn bán]:[Kênh]]),0),0)</calculatedColumnFormula>
    </tableColumn>
    <tableColumn id="7" xr3:uid="{BFC075F6-B149-4EAE-ACE3-45A719EF2F30}" name="Nhóm kênh" dataDxfId="8" dataCellStyle="Comma">
      <calculatedColumnFormula>VLOOKUP(Table_Main[[#This Row],[Kênh]],Table_Kenh[],COUNTA(Table_Kenh[[#Headers],[Kênh]:[Nhóm Kênh]]),0)</calculatedColumnFormula>
    </tableColumn>
    <tableColumn id="5" xr3:uid="{EAB2F578-A8BB-4FAB-A929-B66E906EBF6E}" name="Số lượng" dataDxfId="7" dataCellStyle="Comma"/>
    <tableColumn id="1" xr3:uid="{F2A42922-D0E4-4EE3-8B53-9D776E0ECCBF}" name="Đơn vị" dataDxfId="6" dataCellStyle="Comma">
      <calculatedColumnFormula>IFERROR(VLOOKUP(Table_Main[[#This Row],[Mã SKU]],Table_SKU[[Mã Sản phẩm]:[Giá bán]],COUNTA(Table_SKU[[#Headers],[Mã Sản phẩm]:[Đơn vị]]),0),0)</calculatedColumnFormula>
    </tableColumn>
    <tableColumn id="4" xr3:uid="{11B0C473-5911-4971-926A-B6CE6070C5F5}" name="Giá bán" dataDxfId="5" dataCellStyle="Comma">
      <calculatedColumnFormula>IFERROR(VLOOKUP(Table_Main[[#This Row],[Mã SKU]],Table_SKU[[Mã Sản phẩm]:[Giá bán]],COUNTA(Table_SKU[[#Headers],[Mã Sản phẩm]:[Giá bán]]),0),0)</calculatedColumnFormula>
    </tableColumn>
    <tableColumn id="32" xr3:uid="{A51814CD-EB9E-4E26-A126-425A663147EE}" name="Thành tiền niêm yết" dataDxfId="4" dataCellStyle="Comma">
      <calculatedColumnFormula>Table_Main[[#This Row],[Giá bán]]*Table_Main[[#This Row],[Số lượng]]</calculatedColumnFormula>
    </tableColumn>
    <tableColumn id="39" xr3:uid="{772E6260-51FD-4774-8389-F0834D3A7459}" name="Khuyễn mãi" dataDxfId="3" dataCellStyle="Comma"/>
    <tableColumn id="43" xr3:uid="{03C49133-C06E-4684-AB98-A93FFB2C0631}" name="Giá trị bán trước VAT" dataDxfId="2" dataCellStyle="Comma">
      <calculatedColumnFormula>+Table_Main[[#This Row],[Thành tiền niêm yết]]-Table_Main[[#This Row],[Khuyễn mãi]]</calculatedColumnFormula>
    </tableColumn>
    <tableColumn id="8" xr3:uid="{55665D7B-B2B1-497D-B7B7-491404670DED}" name="Phân bổ khuyến mãi đơn" dataDxfId="1" dataCellStyle="Comma">
      <calculatedColumnFormula array="1">VLOOKUP(Table_Main[[#This Row],[Đơn bán]],Table_DonBan[],COUNTA(Table_DonBan[[#Headers],[Mã đơn bán]:[Khuyễn mãi]]),0)*Table_Main[[#This Row],[Giá trị bán trước VAT]]/
SUM(_xlfn._xlws.FILTER(Table_Main[Giá trị bán trước VAT],
(Table_Main[Đơn bán]=Table_Main[[#This Row],[Đơn bán]])
))</calculatedColumnFormula>
    </tableColumn>
    <tableColumn id="9" xr3:uid="{A5DF53DD-1738-4352-8950-BB25C841EAE0}" name="Phân bổ doanh thu ròng" dataDxfId="0" dataCellStyle="Comma">
      <calculatedColumnFormula>Table_Main[[#This Row],[Giá trị bán trước VAT]]-Table_Main[[#This Row],[Phân bổ khuyến mãi đơn]]</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ysClr val="windowText" lastClr="000000"/>
      </a:dk1>
      <a:lt1>
        <a:sysClr val="window" lastClr="FFFFFF"/>
      </a:lt1>
      <a:dk2>
        <a:srgbClr val="39302A"/>
      </a:dk2>
      <a:lt2>
        <a:srgbClr val="E5DEDB"/>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7F723D"/>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3" Type="http://schemas.openxmlformats.org/officeDocument/2006/relationships/pivotTable" Target="../pivotTables/pivotTable3.xml"/><Relationship Id="rId21" Type="http://schemas.openxmlformats.org/officeDocument/2006/relationships/table" Target="../tables/table2.xml"/><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table" Target="../tables/table6.xml"/><Relationship Id="rId2" Type="http://schemas.openxmlformats.org/officeDocument/2006/relationships/pivotTable" Target="../pivotTables/pivotTable2.xml"/><Relationship Id="rId16" Type="http://schemas.openxmlformats.org/officeDocument/2006/relationships/ctrlProp" Target="../ctrlProps/ctrlProp9.xml"/><Relationship Id="rId20" Type="http://schemas.openxmlformats.org/officeDocument/2006/relationships/table" Target="../tables/table1.xml"/><Relationship Id="rId1" Type="http://schemas.openxmlformats.org/officeDocument/2006/relationships/pivotTable" Target="../pivotTables/pivotTable1.xml"/><Relationship Id="rId6" Type="http://schemas.openxmlformats.org/officeDocument/2006/relationships/drawing" Target="../drawings/drawing2.xml"/><Relationship Id="rId11" Type="http://schemas.openxmlformats.org/officeDocument/2006/relationships/ctrlProp" Target="../ctrlProps/ctrlProp4.xml"/><Relationship Id="rId24" Type="http://schemas.openxmlformats.org/officeDocument/2006/relationships/table" Target="../tables/table5.xml"/><Relationship Id="rId5" Type="http://schemas.openxmlformats.org/officeDocument/2006/relationships/printerSettings" Target="../printerSettings/printerSettings1.bin"/><Relationship Id="rId15" Type="http://schemas.openxmlformats.org/officeDocument/2006/relationships/ctrlProp" Target="../ctrlProps/ctrlProp8.xml"/><Relationship Id="rId23" Type="http://schemas.openxmlformats.org/officeDocument/2006/relationships/table" Target="../tables/table4.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pivotTable" Target="../pivotTables/pivotTable4.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8" bestFit="1" customWidth="1"/>
    <col min="2" max="2" width="36.25" style="8" bestFit="1" customWidth="1"/>
    <col min="3" max="3" width="16.125" style="8" bestFit="1" customWidth="1"/>
    <col min="4" max="5" width="14.375" style="22" bestFit="1" customWidth="1"/>
    <col min="6" max="25" width="9" style="8"/>
    <col min="26" max="26" width="9" style="8" hidden="1" customWidth="1"/>
    <col min="27" max="16384" width="9" style="8"/>
  </cols>
  <sheetData>
    <row r="1" spans="1:26" x14ac:dyDescent="0.3">
      <c r="A1" s="17" t="s">
        <v>32</v>
      </c>
      <c r="B1" s="18" t="s">
        <v>9</v>
      </c>
      <c r="C1" s="19" t="s">
        <v>10</v>
      </c>
      <c r="D1" s="21" t="s">
        <v>33</v>
      </c>
      <c r="E1" s="21" t="s">
        <v>34</v>
      </c>
      <c r="F1" s="17" t="s">
        <v>35</v>
      </c>
      <c r="G1" s="20" t="s">
        <v>36</v>
      </c>
      <c r="H1" s="17" t="s">
        <v>37</v>
      </c>
      <c r="I1" s="17" t="s">
        <v>38</v>
      </c>
      <c r="J1" s="20" t="s">
        <v>39</v>
      </c>
      <c r="K1" s="20" t="s">
        <v>40</v>
      </c>
      <c r="L1" s="20" t="s">
        <v>41</v>
      </c>
      <c r="M1" s="20" t="s">
        <v>42</v>
      </c>
      <c r="N1" s="33"/>
      <c r="O1" s="33"/>
      <c r="P1" s="33"/>
      <c r="Q1" s="33"/>
      <c r="R1" s="33"/>
      <c r="S1" s="33"/>
      <c r="T1" s="33"/>
      <c r="U1" s="33"/>
      <c r="V1" s="33"/>
      <c r="W1" s="33"/>
      <c r="X1" s="33"/>
      <c r="Y1" s="33"/>
      <c r="Z1" s="8" t="s">
        <v>44</v>
      </c>
    </row>
    <row r="2" spans="1:26" x14ac:dyDescent="0.3">
      <c r="A2" s="33"/>
      <c r="B2" s="8" t="s">
        <v>195</v>
      </c>
      <c r="C2" s="8" t="s">
        <v>196</v>
      </c>
      <c r="D2" s="22">
        <v>45785</v>
      </c>
      <c r="E2" s="22">
        <v>46150</v>
      </c>
      <c r="F2" s="33">
        <v>365</v>
      </c>
      <c r="G2" s="8" t="s">
        <v>47</v>
      </c>
      <c r="H2" s="33"/>
      <c r="I2" s="33"/>
      <c r="J2" s="33"/>
      <c r="K2" s="33"/>
      <c r="L2" s="33"/>
      <c r="M2" s="33"/>
      <c r="N2" s="33"/>
      <c r="O2" s="33"/>
      <c r="P2" s="33"/>
      <c r="Q2" s="33"/>
      <c r="R2" s="33"/>
      <c r="S2" s="33"/>
      <c r="T2" s="33"/>
      <c r="U2" s="33"/>
      <c r="V2" s="33"/>
      <c r="W2" s="33"/>
      <c r="X2" s="33"/>
      <c r="Y2" s="33"/>
      <c r="Z2" s="33" t="s">
        <v>46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2:B76"/>
  <sheetViews>
    <sheetView showGridLines="0" tabSelected="1" zoomScaleNormal="100" workbookViewId="0">
      <selection activeCell="A3" sqref="A3"/>
    </sheetView>
  </sheetViews>
  <sheetFormatPr defaultRowHeight="16.5" x14ac:dyDescent="0.3"/>
  <cols>
    <col min="1" max="1" width="11.625" style="11" bestFit="1" customWidth="1"/>
    <col min="2" max="16384" width="9" style="11"/>
  </cols>
  <sheetData>
    <row r="2" spans="1:2" x14ac:dyDescent="0.3">
      <c r="A2" s="11" t="s">
        <v>197</v>
      </c>
    </row>
    <row r="4" spans="1:2" ht="37.5" x14ac:dyDescent="0.3">
      <c r="A4" s="15" t="s">
        <v>0</v>
      </c>
      <c r="B4" s="15" t="s">
        <v>1</v>
      </c>
    </row>
    <row r="5" spans="1:2" ht="17.25" x14ac:dyDescent="0.3">
      <c r="A5" s="28"/>
      <c r="B5" s="23" t="s">
        <v>48</v>
      </c>
    </row>
    <row r="6" spans="1:2" ht="17.25" x14ac:dyDescent="0.3">
      <c r="A6" s="28"/>
      <c r="B6" s="23" t="s">
        <v>43</v>
      </c>
    </row>
    <row r="7" spans="1:2" ht="17.25" x14ac:dyDescent="0.3">
      <c r="A7" s="28"/>
      <c r="B7" s="23" t="s">
        <v>49</v>
      </c>
    </row>
    <row r="8" spans="1:2" ht="17.25" x14ac:dyDescent="0.3">
      <c r="A8" s="28"/>
      <c r="B8" s="23" t="s">
        <v>50</v>
      </c>
    </row>
    <row r="9" spans="1:2" ht="17.25" x14ac:dyDescent="0.3">
      <c r="A9" s="28"/>
      <c r="B9" s="24" t="s">
        <v>51</v>
      </c>
    </row>
    <row r="10" spans="1:2" x14ac:dyDescent="0.3">
      <c r="A10" s="28"/>
      <c r="B10" s="28"/>
    </row>
    <row r="11" spans="1:2" ht="37.5" x14ac:dyDescent="0.3">
      <c r="A11" s="15" t="s">
        <v>7</v>
      </c>
      <c r="B11" s="15" t="s">
        <v>8</v>
      </c>
    </row>
    <row r="12" spans="1:2" x14ac:dyDescent="0.3">
      <c r="A12" s="16" t="s">
        <v>9</v>
      </c>
      <c r="B12" s="11" t="s">
        <v>195</v>
      </c>
    </row>
    <row r="13" spans="1:2" x14ac:dyDescent="0.3">
      <c r="A13" s="16" t="s">
        <v>10</v>
      </c>
      <c r="B13" s="11" t="s">
        <v>196</v>
      </c>
    </row>
    <row r="14" spans="1:2" ht="17.25" x14ac:dyDescent="0.3">
      <c r="A14" s="28"/>
      <c r="B14" s="13" t="s">
        <v>2</v>
      </c>
    </row>
    <row r="15" spans="1:2" ht="17.25" x14ac:dyDescent="0.3">
      <c r="A15" s="28"/>
      <c r="B15" s="13" t="s">
        <v>3</v>
      </c>
    </row>
    <row r="16" spans="1:2" ht="17.25" x14ac:dyDescent="0.3">
      <c r="A16" s="28"/>
      <c r="B16" s="13" t="s">
        <v>4</v>
      </c>
    </row>
    <row r="17" spans="1:2" ht="17.25" x14ac:dyDescent="0.3">
      <c r="A17" s="28"/>
      <c r="B17" s="13" t="s">
        <v>5</v>
      </c>
    </row>
    <row r="18" spans="1:2" ht="17.25" x14ac:dyDescent="0.3">
      <c r="A18" s="28"/>
      <c r="B18" s="14" t="s">
        <v>6</v>
      </c>
    </row>
    <row r="19" spans="1:2" x14ac:dyDescent="0.3">
      <c r="A19" s="28"/>
      <c r="B19" s="28"/>
    </row>
    <row r="20" spans="1:2" x14ac:dyDescent="0.3">
      <c r="A20" s="28"/>
      <c r="B20" s="28"/>
    </row>
    <row r="21" spans="1:2" x14ac:dyDescent="0.3">
      <c r="A21" s="28"/>
      <c r="B21" s="28"/>
    </row>
    <row r="22" spans="1:2" x14ac:dyDescent="0.3">
      <c r="A22" s="28"/>
      <c r="B22" s="28"/>
    </row>
    <row r="23" spans="1:2" x14ac:dyDescent="0.3">
      <c r="A23" s="28"/>
      <c r="B23" s="28"/>
    </row>
    <row r="24" spans="1:2" x14ac:dyDescent="0.3">
      <c r="A24" s="29"/>
      <c r="B24" s="28"/>
    </row>
    <row r="25" spans="1:2" x14ac:dyDescent="0.3">
      <c r="A25" s="30"/>
      <c r="B25" s="28"/>
    </row>
    <row r="26" spans="1:2" x14ac:dyDescent="0.3">
      <c r="A26" s="29"/>
      <c r="B26" s="28"/>
    </row>
    <row r="27" spans="1:2" x14ac:dyDescent="0.3">
      <c r="A27" s="30"/>
      <c r="B27" s="28"/>
    </row>
    <row r="28" spans="1:2" x14ac:dyDescent="0.3">
      <c r="A28" s="30"/>
      <c r="B28" s="28"/>
    </row>
    <row r="29" spans="1:2" x14ac:dyDescent="0.3">
      <c r="A29" s="30"/>
      <c r="B29" s="28"/>
    </row>
    <row r="30" spans="1:2" x14ac:dyDescent="0.3">
      <c r="A30" s="30"/>
      <c r="B30" s="28"/>
    </row>
    <row r="31" spans="1:2" x14ac:dyDescent="0.3">
      <c r="A31" s="29"/>
      <c r="B31" s="28"/>
    </row>
    <row r="32" spans="1:2" x14ac:dyDescent="0.3">
      <c r="A32" s="30"/>
      <c r="B32" s="28"/>
    </row>
    <row r="33" spans="1:2" x14ac:dyDescent="0.3">
      <c r="A33" s="30"/>
      <c r="B33" s="28"/>
    </row>
    <row r="34" spans="1:2" x14ac:dyDescent="0.3">
      <c r="A34" s="30"/>
      <c r="B34" s="28"/>
    </row>
    <row r="35" spans="1:2" x14ac:dyDescent="0.3">
      <c r="A35" s="30"/>
      <c r="B35" s="28"/>
    </row>
    <row r="36" spans="1:2" x14ac:dyDescent="0.3">
      <c r="A36" s="29"/>
      <c r="B36" s="28"/>
    </row>
    <row r="37" spans="1:2" x14ac:dyDescent="0.3">
      <c r="A37" s="31"/>
      <c r="B37" s="28"/>
    </row>
    <row r="38" spans="1:2" x14ac:dyDescent="0.3">
      <c r="A38" s="32"/>
      <c r="B38" s="28"/>
    </row>
    <row r="39" spans="1:2" x14ac:dyDescent="0.3">
      <c r="A39" s="31"/>
      <c r="B39" s="28"/>
    </row>
    <row r="40" spans="1:2" x14ac:dyDescent="0.3">
      <c r="A40" s="32"/>
      <c r="B40" s="28"/>
    </row>
    <row r="41" spans="1:2" x14ac:dyDescent="0.3">
      <c r="A41" s="31"/>
      <c r="B41" s="28"/>
    </row>
    <row r="42" spans="1:2" x14ac:dyDescent="0.3">
      <c r="A42" s="32"/>
      <c r="B42" s="28"/>
    </row>
    <row r="43" spans="1:2" x14ac:dyDescent="0.3">
      <c r="A43" s="31"/>
      <c r="B43" s="28"/>
    </row>
    <row r="44" spans="1:2" x14ac:dyDescent="0.3">
      <c r="A44" s="32"/>
      <c r="B44" s="28"/>
    </row>
    <row r="45" spans="1:2" x14ac:dyDescent="0.3">
      <c r="A45" s="31"/>
      <c r="B45" s="28"/>
    </row>
    <row r="46" spans="1:2" x14ac:dyDescent="0.3">
      <c r="A46" s="32"/>
      <c r="B46" s="28"/>
    </row>
    <row r="47" spans="1:2" x14ac:dyDescent="0.3">
      <c r="A47" s="30"/>
      <c r="B47" s="28"/>
    </row>
    <row r="48" spans="1:2" x14ac:dyDescent="0.3">
      <c r="A48" s="30"/>
      <c r="B48" s="28"/>
    </row>
    <row r="49" spans="1:2" x14ac:dyDescent="0.3">
      <c r="A49" s="30"/>
      <c r="B49" s="28"/>
    </row>
    <row r="50" spans="1:2" x14ac:dyDescent="0.3">
      <c r="A50" s="29"/>
      <c r="B50" s="28"/>
    </row>
    <row r="51" spans="1:2" x14ac:dyDescent="0.3">
      <c r="A51" s="30"/>
      <c r="B51" s="28"/>
    </row>
    <row r="52" spans="1:2" x14ac:dyDescent="0.3">
      <c r="A52" s="30"/>
      <c r="B52" s="28"/>
    </row>
    <row r="53" spans="1:2" x14ac:dyDescent="0.3">
      <c r="A53" s="30"/>
      <c r="B53" s="28"/>
    </row>
    <row r="54" spans="1:2" x14ac:dyDescent="0.3">
      <c r="A54" s="30"/>
      <c r="B54" s="28"/>
    </row>
    <row r="55" spans="1:2" x14ac:dyDescent="0.3">
      <c r="A55" s="29"/>
      <c r="B55" s="28"/>
    </row>
    <row r="56" spans="1:2" x14ac:dyDescent="0.3">
      <c r="A56" s="31"/>
      <c r="B56" s="28"/>
    </row>
    <row r="57" spans="1:2" x14ac:dyDescent="0.3">
      <c r="A57" s="31"/>
      <c r="B57" s="28"/>
    </row>
    <row r="58" spans="1:2" x14ac:dyDescent="0.3">
      <c r="A58" s="31"/>
      <c r="B58" s="28"/>
    </row>
    <row r="59" spans="1:2" x14ac:dyDescent="0.3">
      <c r="A59" s="31"/>
      <c r="B59" s="28"/>
    </row>
    <row r="60" spans="1:2" x14ac:dyDescent="0.3">
      <c r="A60" s="30"/>
      <c r="B60" s="28"/>
    </row>
    <row r="61" spans="1:2" x14ac:dyDescent="0.3">
      <c r="A61" s="30"/>
      <c r="B61" s="28"/>
    </row>
    <row r="62" spans="1:2" x14ac:dyDescent="0.3">
      <c r="A62" s="30"/>
      <c r="B62" s="28"/>
    </row>
    <row r="63" spans="1:2" x14ac:dyDescent="0.3">
      <c r="A63" s="29"/>
      <c r="B63" s="28"/>
    </row>
    <row r="64" spans="1:2" x14ac:dyDescent="0.3">
      <c r="A64" s="30"/>
      <c r="B64" s="28"/>
    </row>
    <row r="65" spans="1:2" x14ac:dyDescent="0.3">
      <c r="A65" s="30"/>
      <c r="B65" s="28"/>
    </row>
    <row r="66" spans="1:2" x14ac:dyDescent="0.3">
      <c r="A66" s="30"/>
      <c r="B66" s="28"/>
    </row>
    <row r="67" spans="1:2" x14ac:dyDescent="0.3">
      <c r="A67" s="30"/>
      <c r="B67" s="28"/>
    </row>
    <row r="68" spans="1:2" x14ac:dyDescent="0.3">
      <c r="A68" s="29"/>
      <c r="B68" s="28"/>
    </row>
    <row r="69" spans="1:2" x14ac:dyDescent="0.3">
      <c r="A69" s="31"/>
      <c r="B69" s="28"/>
    </row>
    <row r="70" spans="1:2" x14ac:dyDescent="0.3">
      <c r="A70" s="31"/>
      <c r="B70" s="28"/>
    </row>
    <row r="71" spans="1:2" x14ac:dyDescent="0.3">
      <c r="A71" s="31"/>
      <c r="B71" s="28"/>
    </row>
    <row r="72" spans="1:2" x14ac:dyDescent="0.3">
      <c r="A72" s="31"/>
      <c r="B72" s="28"/>
    </row>
    <row r="73" spans="1:2" x14ac:dyDescent="0.3">
      <c r="A73" s="31"/>
      <c r="B73" s="28"/>
    </row>
    <row r="74" spans="1:2" x14ac:dyDescent="0.3">
      <c r="A74" s="31"/>
      <c r="B74" s="28"/>
    </row>
    <row r="75" spans="1:2" x14ac:dyDescent="0.3">
      <c r="A75" s="30"/>
      <c r="B75" s="28"/>
    </row>
    <row r="76" spans="1:2" x14ac:dyDescent="0.3">
      <c r="A76" s="29"/>
      <c r="B76" s="28"/>
    </row>
  </sheetData>
  <sheetProtection formatCells="0" formatColumns="0" formatRows="0" insertColumns="0" insertRows="0" deleteColumns="0" deleteRows="0" sort="0" autoFilter="0" pivotTables="0"/>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56CE0-7E0C-47B2-A34B-2B2E411CF058}">
  <sheetPr codeName="Sheet38">
    <tabColor theme="9" tint="0.79998168889431442"/>
    <outlinePr summaryBelow="0" summaryRight="0"/>
  </sheetPr>
  <dimension ref="A1:CM251"/>
  <sheetViews>
    <sheetView showGridLines="0" zoomScaleNormal="100" workbookViewId="0">
      <selection activeCell="CL50" sqref="CL50"/>
    </sheetView>
  </sheetViews>
  <sheetFormatPr defaultRowHeight="18" customHeight="1" outlineLevelRow="1" outlineLevelCol="1" x14ac:dyDescent="0.3"/>
  <cols>
    <col min="1" max="1" width="1.25" style="1" customWidth="1" collapsed="1"/>
    <col min="2" max="2" width="13" style="1" hidden="1" customWidth="1" outlineLevel="1"/>
    <col min="3" max="3" width="16.25" style="1" hidden="1" customWidth="1" outlineLevel="1"/>
    <col min="4" max="4" width="14.875" style="1" hidden="1" customWidth="1" outlineLevel="1" collapsed="1"/>
    <col min="5" max="5" width="13.625" style="1" hidden="1" customWidth="1" outlineLevel="1"/>
    <col min="6" max="17" width="1.25" style="1" hidden="1" customWidth="1" outlineLevel="1"/>
    <col min="18" max="18" width="13" style="1" hidden="1" customWidth="1" outlineLevel="1"/>
    <col min="19" max="19" width="16.25" style="1" hidden="1" customWidth="1" outlineLevel="1"/>
    <col min="20" max="20" width="14.5" style="1" hidden="1" customWidth="1" outlineLevel="1"/>
    <col min="21" max="21" width="15.25" style="1" hidden="1" customWidth="1" outlineLevel="1"/>
    <col min="22" max="32" width="1.25" style="1" hidden="1" customWidth="1" outlineLevel="1"/>
    <col min="33" max="33" width="13" style="1" hidden="1" customWidth="1" outlineLevel="1"/>
    <col min="34" max="35" width="15.25" style="1" hidden="1" customWidth="1" outlineLevel="1"/>
    <col min="36" max="36" width="1.25" style="1" hidden="1" customWidth="1" outlineLevel="1"/>
    <col min="37" max="37" width="13" style="1" hidden="1" customWidth="1" outlineLevel="1"/>
    <col min="38" max="38" width="15.25" style="1" hidden="1" customWidth="1" outlineLevel="1"/>
    <col min="39" max="40" width="1.25" style="1" customWidth="1"/>
    <col min="41" max="41" width="1.25" style="1" customWidth="1" collapsed="1"/>
    <col min="42" max="42" width="14.125" style="1" hidden="1" customWidth="1" outlineLevel="1"/>
    <col min="43" max="43" width="16.5" style="1" hidden="1" customWidth="1" outlineLevel="1"/>
    <col min="44" max="44" width="15.5" style="1" hidden="1" customWidth="1" outlineLevel="1"/>
    <col min="45" max="45" width="7.25" style="1" hidden="1" customWidth="1" outlineLevel="1"/>
    <col min="46" max="49" width="14" style="1" hidden="1" customWidth="1" outlineLevel="1"/>
    <col min="50" max="50" width="1.25" style="1" hidden="1" customWidth="1" outlineLevel="1"/>
    <col min="51" max="51" width="14.25" style="1" hidden="1" customWidth="1" outlineLevel="1"/>
    <col min="52" max="52" width="13.25" style="1" hidden="1" customWidth="1" outlineLevel="1"/>
    <col min="53" max="56" width="10" style="1" hidden="1" customWidth="1" outlineLevel="1"/>
    <col min="57" max="57" width="1.25" style="1" hidden="1" customWidth="1" outlineLevel="1"/>
    <col min="58" max="58" width="9.125" style="1" hidden="1" customWidth="1" outlineLevel="1"/>
    <col min="59" max="59" width="11" style="1" hidden="1" customWidth="1" outlineLevel="1"/>
    <col min="60" max="60" width="1.25" style="1" hidden="1" customWidth="1" outlineLevel="1"/>
    <col min="61" max="61" width="9" style="1" hidden="1" customWidth="1" outlineLevel="1"/>
    <col min="62" max="62" width="1.25" style="1" customWidth="1"/>
    <col min="63" max="67" width="9" style="1"/>
    <col min="68" max="68" width="9.75" style="1" bestFit="1" customWidth="1"/>
    <col min="69" max="69" width="10.875" style="1" bestFit="1" customWidth="1"/>
    <col min="70" max="70" width="13.75" style="1" bestFit="1" customWidth="1"/>
    <col min="71" max="71" width="1.25" style="1" customWidth="1"/>
    <col min="72" max="72" width="9" style="1"/>
    <col min="73" max="73" width="13.25" style="1" bestFit="1" customWidth="1" collapsed="1"/>
    <col min="74" max="74" width="12.125" style="1" hidden="1" customWidth="1" outlineLevel="1"/>
    <col min="75" max="76" width="9" style="1" hidden="1" customWidth="1" outlineLevel="1"/>
    <col min="77" max="78" width="9" hidden="1" customWidth="1" outlineLevel="1"/>
    <col min="79" max="81" width="9" style="1" hidden="1" customWidth="1" outlineLevel="1"/>
    <col min="82" max="83" width="9" style="1"/>
    <col min="85" max="85" width="9" style="1"/>
    <col min="86" max="86" width="10.875" style="1" bestFit="1" customWidth="1"/>
    <col min="87" max="87" width="17.625" style="1" bestFit="1" customWidth="1" collapsed="1"/>
    <col min="88" max="88" width="12.625" hidden="1" customWidth="1" outlineLevel="1"/>
    <col min="89" max="89" width="9" hidden="1" customWidth="1" outlineLevel="1"/>
    <col min="90" max="16384" width="9" style="1"/>
  </cols>
  <sheetData>
    <row r="1" spans="1:71" s="36" customFormat="1" ht="22.5" customHeight="1" x14ac:dyDescent="0.3">
      <c r="A1" s="35">
        <v>0</v>
      </c>
      <c r="D1" s="35">
        <v>0</v>
      </c>
      <c r="E1" s="35"/>
      <c r="F1" s="35">
        <v>0</v>
      </c>
      <c r="G1" s="35"/>
      <c r="H1" s="35"/>
      <c r="I1" s="35"/>
      <c r="J1" s="35"/>
      <c r="K1" s="35"/>
      <c r="L1" s="35"/>
      <c r="M1" s="35"/>
      <c r="N1" s="35"/>
      <c r="O1" s="35"/>
      <c r="P1" s="35"/>
      <c r="Q1" s="35"/>
      <c r="R1" s="35"/>
      <c r="S1" s="35"/>
      <c r="T1" s="35"/>
      <c r="U1" s="35"/>
      <c r="V1" s="35">
        <v>0</v>
      </c>
      <c r="W1" s="35"/>
      <c r="X1" s="35"/>
      <c r="Y1" s="35"/>
      <c r="Z1" s="35"/>
      <c r="AA1" s="35"/>
      <c r="AB1" s="35"/>
      <c r="AC1" s="35"/>
      <c r="AD1" s="35"/>
      <c r="AE1" s="35"/>
      <c r="AF1" s="35">
        <v>0</v>
      </c>
      <c r="AJ1" s="35">
        <v>0</v>
      </c>
      <c r="AM1" s="35">
        <v>0</v>
      </c>
      <c r="AN1" s="35">
        <v>0</v>
      </c>
      <c r="AO1" s="35">
        <v>0</v>
      </c>
      <c r="AP1" s="35"/>
      <c r="AQ1" s="35"/>
      <c r="AR1" s="35"/>
      <c r="AS1" s="35"/>
      <c r="AT1" s="35"/>
      <c r="AU1" s="35"/>
      <c r="AV1" s="35"/>
      <c r="AW1" s="35"/>
      <c r="AX1" s="35"/>
      <c r="AY1" s="35"/>
      <c r="BE1" s="35">
        <v>0</v>
      </c>
      <c r="BH1" s="35">
        <v>0</v>
      </c>
      <c r="BJ1" s="35">
        <v>0</v>
      </c>
      <c r="BS1" s="35">
        <v>0</v>
      </c>
    </row>
    <row r="2" spans="1:71" s="9" customFormat="1" ht="18" customHeight="1" x14ac:dyDescent="0.3">
      <c r="A2" s="34"/>
      <c r="D2" s="34"/>
      <c r="E2" s="34"/>
      <c r="F2" s="34"/>
      <c r="G2" s="34"/>
      <c r="H2" s="34"/>
      <c r="I2" s="34"/>
      <c r="J2" s="34"/>
      <c r="K2" s="34"/>
      <c r="L2" s="34"/>
      <c r="M2" s="34"/>
      <c r="N2" s="34"/>
      <c r="O2" s="34"/>
      <c r="P2" s="34"/>
      <c r="Q2" s="34"/>
      <c r="R2" s="34"/>
      <c r="S2" s="34"/>
      <c r="T2" s="34"/>
      <c r="U2" s="34"/>
      <c r="V2" s="34"/>
      <c r="W2" s="34"/>
      <c r="X2" s="34"/>
      <c r="Y2" s="34"/>
      <c r="Z2" s="34"/>
      <c r="AA2" s="34"/>
      <c r="AB2" s="34"/>
      <c r="AC2" s="34"/>
      <c r="AD2" s="34"/>
      <c r="AE2" s="34"/>
      <c r="AF2" s="34"/>
      <c r="AJ2" s="34"/>
      <c r="AM2" s="34"/>
      <c r="AN2" s="34"/>
      <c r="AO2" s="34"/>
      <c r="AP2" s="34"/>
      <c r="AQ2" s="34"/>
      <c r="AR2" s="34"/>
      <c r="AS2" s="34"/>
      <c r="AT2" s="34"/>
      <c r="AU2" s="34"/>
      <c r="AV2" s="34"/>
      <c r="AW2" s="34"/>
      <c r="AX2" s="34"/>
      <c r="AY2" s="34"/>
      <c r="BE2" s="34"/>
      <c r="BH2" s="34"/>
      <c r="BJ2" s="34"/>
      <c r="BS2" s="34"/>
    </row>
    <row r="3" spans="1:71" s="9" customFormat="1" ht="18" customHeight="1" outlineLevel="1" x14ac:dyDescent="0.3">
      <c r="A3" s="34"/>
      <c r="D3" s="3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J3" s="34"/>
      <c r="AM3" s="34"/>
      <c r="AN3" s="34"/>
      <c r="AO3" s="34"/>
      <c r="AP3" s="34"/>
      <c r="AQ3" s="34"/>
      <c r="AR3" s="34"/>
      <c r="AS3" s="34"/>
      <c r="AT3" s="34"/>
      <c r="AU3" s="34"/>
      <c r="AV3" s="34"/>
      <c r="AW3" s="34"/>
      <c r="AX3" s="34"/>
      <c r="AY3" s="34"/>
      <c r="BE3" s="34"/>
      <c r="BH3" s="34"/>
      <c r="BJ3" s="34"/>
      <c r="BS3" s="34"/>
    </row>
    <row r="4" spans="1:71" s="9" customFormat="1" ht="18" customHeight="1" outlineLevel="1" x14ac:dyDescent="0.3">
      <c r="A4" s="34"/>
      <c r="D4" s="34"/>
      <c r="E4" s="34"/>
      <c r="F4" s="34"/>
      <c r="G4" s="34"/>
      <c r="H4" s="34"/>
      <c r="I4" s="34"/>
      <c r="J4" s="34"/>
      <c r="K4" s="34"/>
      <c r="L4" s="34"/>
      <c r="M4" s="34"/>
      <c r="N4" s="34"/>
      <c r="O4" s="34"/>
      <c r="P4" s="34"/>
      <c r="Q4" s="34"/>
      <c r="R4" s="34"/>
      <c r="S4" s="34"/>
      <c r="T4" s="34"/>
      <c r="U4" s="34"/>
      <c r="V4" s="34"/>
      <c r="W4" s="34"/>
      <c r="X4" s="34"/>
      <c r="Y4" s="34"/>
      <c r="Z4" s="34"/>
      <c r="AA4" s="34"/>
      <c r="AB4" s="34"/>
      <c r="AC4" s="34"/>
      <c r="AD4" s="34"/>
      <c r="AE4" s="34"/>
      <c r="AF4" s="34"/>
      <c r="AJ4" s="34"/>
      <c r="AM4" s="34"/>
      <c r="AN4" s="34"/>
      <c r="AO4" s="34"/>
      <c r="AP4" s="34"/>
      <c r="AQ4" s="34"/>
      <c r="AR4" s="34"/>
      <c r="AS4" s="34"/>
      <c r="AT4" s="34"/>
      <c r="AU4" s="34"/>
      <c r="AV4" s="34"/>
      <c r="AW4" s="34"/>
      <c r="AX4" s="34"/>
      <c r="AY4" s="34"/>
      <c r="BE4" s="34"/>
      <c r="BH4" s="34"/>
      <c r="BJ4" s="34"/>
      <c r="BS4" s="34"/>
    </row>
    <row r="5" spans="1:71" s="9" customFormat="1" ht="18" customHeight="1" outlineLevel="1" x14ac:dyDescent="0.3">
      <c r="A5" s="34"/>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J5" s="34"/>
      <c r="AM5" s="34"/>
      <c r="AN5" s="34"/>
      <c r="AO5" s="34"/>
      <c r="AP5" s="34"/>
      <c r="AQ5" s="34"/>
      <c r="AR5" s="34"/>
      <c r="AS5" s="34"/>
      <c r="AT5" s="34"/>
      <c r="AU5" s="34"/>
      <c r="AV5" s="34"/>
      <c r="AW5" s="34"/>
      <c r="AX5" s="34"/>
      <c r="AY5" s="34"/>
      <c r="BE5" s="34"/>
      <c r="BH5" s="34"/>
      <c r="BJ5" s="34"/>
      <c r="BS5" s="34"/>
    </row>
    <row r="6" spans="1:71" s="9" customFormat="1" ht="18" customHeight="1" outlineLevel="1" x14ac:dyDescent="0.3">
      <c r="A6" s="34"/>
      <c r="D6" s="34"/>
      <c r="E6" s="34"/>
      <c r="F6" s="34"/>
      <c r="G6" s="34"/>
      <c r="H6" s="34"/>
      <c r="I6" s="34"/>
      <c r="J6" s="34"/>
      <c r="K6" s="34"/>
      <c r="L6" s="34"/>
      <c r="M6" s="34"/>
      <c r="N6" s="34"/>
      <c r="O6" s="34"/>
      <c r="P6" s="34"/>
      <c r="Q6" s="34"/>
      <c r="R6" s="34"/>
      <c r="S6" s="34"/>
      <c r="T6" s="34"/>
      <c r="U6" s="34"/>
      <c r="V6" s="34"/>
      <c r="W6" s="34"/>
      <c r="X6" s="34"/>
      <c r="Y6" s="34"/>
      <c r="Z6" s="34"/>
      <c r="AA6" s="34"/>
      <c r="AB6" s="34"/>
      <c r="AC6" s="34"/>
      <c r="AD6" s="34"/>
      <c r="AE6" s="34"/>
      <c r="AF6" s="34"/>
      <c r="AJ6" s="34"/>
      <c r="AM6" s="34"/>
      <c r="AN6" s="34"/>
      <c r="AO6" s="34"/>
      <c r="AP6" s="34"/>
      <c r="AQ6" s="34"/>
      <c r="AR6" s="34"/>
      <c r="AS6" s="34"/>
      <c r="AT6" s="34"/>
      <c r="AU6" s="34"/>
      <c r="AV6" s="34"/>
      <c r="AW6" s="34"/>
      <c r="AX6" s="34"/>
      <c r="AY6" s="34"/>
      <c r="BE6" s="34"/>
      <c r="BH6" s="34"/>
      <c r="BJ6" s="34"/>
      <c r="BS6" s="34"/>
    </row>
    <row r="7" spans="1:71" s="9" customFormat="1" ht="18" customHeight="1" outlineLevel="1" x14ac:dyDescent="0.3">
      <c r="A7" s="34"/>
      <c r="D7" s="34"/>
      <c r="E7" s="34"/>
      <c r="F7" s="34"/>
      <c r="G7" s="34"/>
      <c r="H7" s="34"/>
      <c r="I7" s="34"/>
      <c r="J7" s="34"/>
      <c r="K7" s="34"/>
      <c r="L7" s="34"/>
      <c r="M7" s="34"/>
      <c r="N7" s="34"/>
      <c r="O7" s="34"/>
      <c r="P7" s="34"/>
      <c r="Q7" s="34"/>
      <c r="R7" s="34"/>
      <c r="S7" s="34"/>
      <c r="T7" s="34"/>
      <c r="U7" s="34"/>
      <c r="V7" s="34"/>
      <c r="W7" s="34"/>
      <c r="X7" s="34"/>
      <c r="Y7" s="34"/>
      <c r="Z7" s="34"/>
      <c r="AA7" s="34"/>
      <c r="AB7" s="34"/>
      <c r="AC7" s="34"/>
      <c r="AD7" s="34"/>
      <c r="AE7" s="34"/>
      <c r="AF7" s="34"/>
      <c r="AJ7" s="34"/>
      <c r="AM7" s="34"/>
      <c r="AN7" s="34"/>
      <c r="AO7" s="34"/>
      <c r="AP7" s="34"/>
      <c r="AQ7" s="34"/>
      <c r="AR7" s="34"/>
      <c r="AS7" s="34"/>
      <c r="AT7" s="34"/>
      <c r="AU7" s="34"/>
      <c r="AV7" s="34"/>
      <c r="AW7" s="34"/>
      <c r="AX7" s="34"/>
      <c r="AY7" s="34"/>
      <c r="BE7" s="34"/>
      <c r="BH7" s="34"/>
      <c r="BJ7" s="34"/>
      <c r="BS7" s="34"/>
    </row>
    <row r="8" spans="1:71" s="9" customFormat="1" ht="18" customHeight="1" outlineLevel="1" x14ac:dyDescent="0.3">
      <c r="A8" s="34"/>
      <c r="D8" s="34"/>
      <c r="E8" s="34"/>
      <c r="F8" s="34"/>
      <c r="G8" s="34"/>
      <c r="H8" s="34"/>
      <c r="I8" s="34"/>
      <c r="J8" s="34"/>
      <c r="K8" s="34"/>
      <c r="L8" s="34"/>
      <c r="M8" s="34"/>
      <c r="N8" s="34"/>
      <c r="O8" s="34"/>
      <c r="P8" s="34"/>
      <c r="Q8" s="34"/>
      <c r="R8" s="34"/>
      <c r="S8" s="34"/>
      <c r="T8" s="34"/>
      <c r="U8" s="34"/>
      <c r="V8" s="34"/>
      <c r="W8" s="34"/>
      <c r="X8" s="34"/>
      <c r="Y8" s="34"/>
      <c r="Z8" s="34"/>
      <c r="AA8" s="34"/>
      <c r="AB8" s="34"/>
      <c r="AC8" s="34"/>
      <c r="AD8" s="34"/>
      <c r="AE8" s="34"/>
      <c r="AF8" s="34"/>
      <c r="AJ8" s="34"/>
      <c r="AM8" s="34"/>
      <c r="AN8" s="34"/>
      <c r="AO8" s="34"/>
      <c r="AP8" s="34"/>
      <c r="AQ8" s="34"/>
      <c r="AR8" s="34"/>
      <c r="AS8" s="34"/>
      <c r="AT8" s="34"/>
      <c r="AU8" s="34"/>
      <c r="AV8" s="34"/>
      <c r="AW8" s="34"/>
      <c r="AX8" s="34"/>
      <c r="AY8" s="34"/>
      <c r="BE8" s="34"/>
      <c r="BH8" s="34"/>
      <c r="BJ8" s="34"/>
      <c r="BS8" s="34"/>
    </row>
    <row r="9" spans="1:71" s="9" customFormat="1" ht="18" customHeight="1" outlineLevel="1" x14ac:dyDescent="0.3">
      <c r="A9" s="34"/>
      <c r="D9" s="34"/>
      <c r="E9" s="34"/>
      <c r="F9" s="34"/>
      <c r="G9" s="34"/>
      <c r="H9" s="34"/>
      <c r="I9" s="34"/>
      <c r="J9" s="34"/>
      <c r="K9" s="34"/>
      <c r="L9" s="34"/>
      <c r="M9" s="34"/>
      <c r="N9" s="34"/>
      <c r="O9" s="34"/>
      <c r="P9" s="34"/>
      <c r="Q9" s="34"/>
      <c r="R9" s="34"/>
      <c r="S9" s="34"/>
      <c r="T9" s="34"/>
      <c r="U9" s="34"/>
      <c r="V9" s="34"/>
      <c r="W9" s="34"/>
      <c r="X9" s="34"/>
      <c r="Y9" s="34"/>
      <c r="Z9" s="34"/>
      <c r="AA9" s="34"/>
      <c r="AB9" s="34"/>
      <c r="AC9" s="34"/>
      <c r="AD9" s="34"/>
      <c r="AE9" s="34"/>
      <c r="AF9" s="34"/>
      <c r="AJ9" s="34"/>
      <c r="AM9" s="34"/>
      <c r="AN9" s="34"/>
      <c r="AO9" s="34"/>
      <c r="AP9" s="34"/>
      <c r="AQ9" s="34"/>
      <c r="AR9" s="34"/>
      <c r="AS9" s="34"/>
      <c r="AT9" s="34"/>
      <c r="AU9" s="34"/>
      <c r="AV9" s="34"/>
      <c r="AW9" s="34"/>
      <c r="AX9" s="34"/>
      <c r="AY9" s="34"/>
      <c r="BE9" s="34"/>
      <c r="BH9" s="34"/>
      <c r="BJ9" s="34"/>
      <c r="BS9" s="34"/>
    </row>
    <row r="10" spans="1:71" s="9" customFormat="1" ht="18" customHeight="1" outlineLevel="1" x14ac:dyDescent="0.3">
      <c r="A10" s="34"/>
      <c r="D10" s="34"/>
      <c r="E10" s="34"/>
      <c r="F10" s="34"/>
      <c r="G10" s="34"/>
      <c r="H10" s="34"/>
      <c r="I10" s="34"/>
      <c r="J10" s="34"/>
      <c r="K10" s="34"/>
      <c r="L10" s="34"/>
      <c r="M10" s="34"/>
      <c r="N10" s="34"/>
      <c r="O10" s="34"/>
      <c r="P10" s="34"/>
      <c r="Q10" s="34"/>
      <c r="R10" s="34"/>
      <c r="S10" s="34"/>
      <c r="T10" s="34"/>
      <c r="U10" s="34"/>
      <c r="V10" s="34"/>
      <c r="W10" s="34"/>
      <c r="X10" s="34"/>
      <c r="Y10" s="34"/>
      <c r="Z10" s="34"/>
      <c r="AA10" s="34"/>
      <c r="AB10" s="34"/>
      <c r="AC10" s="34"/>
      <c r="AD10" s="34"/>
      <c r="AE10" s="34"/>
      <c r="AF10" s="34"/>
      <c r="AJ10" s="34"/>
      <c r="AM10" s="34"/>
      <c r="AN10" s="34"/>
      <c r="AO10" s="34"/>
      <c r="AP10" s="34"/>
      <c r="AQ10" s="34"/>
      <c r="AR10" s="34"/>
      <c r="AS10" s="34"/>
      <c r="AT10" s="34"/>
      <c r="AU10" s="34"/>
      <c r="AV10" s="34"/>
      <c r="AW10" s="34"/>
      <c r="AX10" s="34"/>
      <c r="AY10" s="34"/>
      <c r="BE10" s="34"/>
      <c r="BH10" s="34"/>
      <c r="BJ10" s="34"/>
      <c r="BS10" s="34"/>
    </row>
    <row r="11" spans="1:71" s="9" customFormat="1" ht="18" customHeight="1" outlineLevel="1" x14ac:dyDescent="0.3">
      <c r="A11" s="34"/>
      <c r="D11" s="34"/>
      <c r="E11" s="34"/>
      <c r="F11" s="34"/>
      <c r="G11" s="34"/>
      <c r="H11" s="34"/>
      <c r="I11" s="34"/>
      <c r="J11" s="34"/>
      <c r="K11" s="34"/>
      <c r="L11" s="34"/>
      <c r="M11" s="34"/>
      <c r="N11" s="34"/>
      <c r="O11" s="34"/>
      <c r="P11" s="34"/>
      <c r="Q11" s="34"/>
      <c r="R11" s="34"/>
      <c r="S11" s="34"/>
      <c r="T11" s="34"/>
      <c r="U11" s="34"/>
      <c r="V11" s="34"/>
      <c r="W11" s="34"/>
      <c r="X11" s="34"/>
      <c r="Y11" s="34"/>
      <c r="Z11" s="34"/>
      <c r="AA11" s="34"/>
      <c r="AB11" s="34"/>
      <c r="AC11" s="34"/>
      <c r="AD11" s="34"/>
      <c r="AE11" s="34"/>
      <c r="AF11" s="34"/>
      <c r="AJ11" s="34"/>
      <c r="AM11" s="34"/>
      <c r="AN11" s="34"/>
      <c r="AO11" s="34"/>
      <c r="AP11" s="34"/>
      <c r="AQ11" s="34"/>
      <c r="AR11" s="34"/>
      <c r="AS11" s="34"/>
      <c r="AT11" s="34"/>
      <c r="AU11" s="34"/>
      <c r="AV11" s="34"/>
      <c r="AW11" s="34"/>
      <c r="AX11" s="34"/>
      <c r="AY11" s="34"/>
      <c r="BE11" s="34"/>
      <c r="BH11" s="34"/>
      <c r="BJ11" s="34"/>
      <c r="BS11" s="34"/>
    </row>
    <row r="12" spans="1:71" s="9" customFormat="1" ht="18" customHeight="1" outlineLevel="1" x14ac:dyDescent="0.3">
      <c r="A12" s="34"/>
      <c r="D12" s="34"/>
      <c r="E12" s="34"/>
      <c r="F12" s="34"/>
      <c r="G12" s="34"/>
      <c r="H12" s="34"/>
      <c r="I12" s="34"/>
      <c r="J12" s="34"/>
      <c r="K12" s="34"/>
      <c r="L12" s="34"/>
      <c r="M12" s="34"/>
      <c r="N12" s="34"/>
      <c r="O12" s="34"/>
      <c r="P12" s="34"/>
      <c r="Q12" s="34"/>
      <c r="R12" s="34"/>
      <c r="S12" s="34"/>
      <c r="T12" s="34"/>
      <c r="U12" s="34"/>
      <c r="V12" s="34"/>
      <c r="W12" s="34"/>
      <c r="X12" s="34"/>
      <c r="Y12" s="34"/>
      <c r="Z12" s="34"/>
      <c r="AA12" s="34"/>
      <c r="AB12" s="34"/>
      <c r="AC12" s="34"/>
      <c r="AD12" s="34"/>
      <c r="AE12" s="34"/>
      <c r="AF12" s="34"/>
      <c r="AJ12" s="34"/>
      <c r="AM12" s="34"/>
      <c r="AN12" s="34"/>
      <c r="AO12" s="34"/>
      <c r="AP12" s="34"/>
      <c r="AQ12" s="34"/>
      <c r="AR12" s="34"/>
      <c r="AS12" s="34"/>
      <c r="AT12" s="34"/>
      <c r="AU12" s="34"/>
      <c r="AV12" s="34"/>
      <c r="AW12" s="34"/>
      <c r="AX12" s="34"/>
      <c r="AY12" s="34"/>
      <c r="BE12" s="34"/>
      <c r="BH12" s="34"/>
      <c r="BJ12" s="34"/>
      <c r="BS12" s="34"/>
    </row>
    <row r="13" spans="1:71" s="9" customFormat="1" ht="18" customHeight="1" outlineLevel="1" x14ac:dyDescent="0.3">
      <c r="A13" s="34"/>
      <c r="D13" s="34"/>
      <c r="E13" s="34"/>
      <c r="F13" s="34"/>
      <c r="G13" s="34"/>
      <c r="H13" s="34"/>
      <c r="I13" s="34"/>
      <c r="J13" s="34"/>
      <c r="K13" s="34"/>
      <c r="L13" s="34"/>
      <c r="M13" s="34"/>
      <c r="N13" s="34"/>
      <c r="O13" s="34"/>
      <c r="P13" s="34"/>
      <c r="Q13" s="34"/>
      <c r="R13" s="34"/>
      <c r="S13" s="34"/>
      <c r="T13" s="34"/>
      <c r="U13" s="34"/>
      <c r="V13" s="34"/>
      <c r="W13" s="34"/>
      <c r="X13" s="34"/>
      <c r="Y13" s="34"/>
      <c r="Z13" s="34"/>
      <c r="AA13" s="34"/>
      <c r="AB13" s="34"/>
      <c r="AC13" s="34"/>
      <c r="AD13" s="34"/>
      <c r="AE13" s="34"/>
      <c r="AF13" s="34"/>
      <c r="AJ13" s="34"/>
      <c r="AM13" s="34"/>
      <c r="AN13" s="34"/>
      <c r="AO13" s="34"/>
      <c r="AP13" s="34"/>
      <c r="AQ13" s="34"/>
      <c r="AR13" s="34"/>
      <c r="AS13" s="34"/>
      <c r="AT13" s="34"/>
      <c r="AU13" s="34"/>
      <c r="AV13" s="34"/>
      <c r="AW13" s="34"/>
      <c r="AX13" s="34"/>
      <c r="AY13" s="34"/>
      <c r="BE13" s="34"/>
      <c r="BH13" s="34"/>
      <c r="BJ13" s="34"/>
      <c r="BS13" s="34"/>
    </row>
    <row r="14" spans="1:71" s="9" customFormat="1" ht="18" customHeight="1" outlineLevel="1" x14ac:dyDescent="0.3">
      <c r="A14" s="34"/>
      <c r="D14" s="34"/>
      <c r="E14" s="34"/>
      <c r="F14" s="34"/>
      <c r="G14" s="34"/>
      <c r="H14" s="34"/>
      <c r="I14" s="34"/>
      <c r="J14" s="34"/>
      <c r="K14" s="34"/>
      <c r="L14" s="34"/>
      <c r="M14" s="34"/>
      <c r="N14" s="34"/>
      <c r="O14" s="34"/>
      <c r="P14" s="34"/>
      <c r="Q14" s="34"/>
      <c r="R14" s="34"/>
      <c r="S14" s="34"/>
      <c r="T14" s="34"/>
      <c r="U14" s="34"/>
      <c r="V14" s="34"/>
      <c r="W14" s="34"/>
      <c r="X14" s="34"/>
      <c r="Y14" s="34"/>
      <c r="Z14" s="34"/>
      <c r="AA14" s="34"/>
      <c r="AB14" s="34"/>
      <c r="AC14" s="34"/>
      <c r="AD14" s="34"/>
      <c r="AE14" s="34"/>
      <c r="AF14" s="34"/>
      <c r="AJ14" s="34"/>
      <c r="AM14" s="34"/>
      <c r="AN14" s="34"/>
      <c r="AO14" s="34"/>
      <c r="AP14" s="34"/>
      <c r="AQ14" s="34"/>
      <c r="AR14" s="34"/>
      <c r="AS14" s="34"/>
      <c r="AT14" s="34"/>
      <c r="AU14" s="34"/>
      <c r="AV14" s="34"/>
      <c r="AW14" s="34"/>
      <c r="AX14" s="34"/>
      <c r="AY14" s="34"/>
      <c r="BE14" s="34"/>
      <c r="BH14" s="34"/>
      <c r="BJ14" s="34"/>
      <c r="BS14" s="34"/>
    </row>
    <row r="15" spans="1:71" s="9" customFormat="1" ht="18" customHeight="1" outlineLevel="1" x14ac:dyDescent="0.3">
      <c r="A15" s="34"/>
      <c r="D15" s="34"/>
      <c r="E15" s="34"/>
      <c r="F15" s="34"/>
      <c r="G15" s="34"/>
      <c r="H15" s="34"/>
      <c r="I15" s="34"/>
      <c r="J15" s="34"/>
      <c r="K15" s="34"/>
      <c r="L15" s="34"/>
      <c r="M15" s="34"/>
      <c r="N15" s="34"/>
      <c r="O15" s="34"/>
      <c r="P15" s="34"/>
      <c r="Q15" s="34"/>
      <c r="R15" s="34"/>
      <c r="S15" s="34"/>
      <c r="T15" s="34"/>
      <c r="U15" s="34"/>
      <c r="V15" s="34"/>
      <c r="W15" s="34"/>
      <c r="X15" s="34"/>
      <c r="Y15" s="34"/>
      <c r="Z15" s="34"/>
      <c r="AA15" s="34"/>
      <c r="AB15" s="34"/>
      <c r="AC15" s="34"/>
      <c r="AD15" s="34"/>
      <c r="AE15" s="34"/>
      <c r="AF15" s="34"/>
      <c r="AJ15" s="34"/>
      <c r="AM15" s="34"/>
      <c r="AN15" s="34"/>
      <c r="AO15" s="34"/>
      <c r="AP15" s="34"/>
      <c r="AQ15" s="34"/>
      <c r="AR15" s="34"/>
      <c r="AS15" s="34"/>
      <c r="AT15" s="34"/>
      <c r="AU15" s="34"/>
      <c r="AV15" s="34"/>
      <c r="AW15" s="34"/>
      <c r="AX15" s="34"/>
      <c r="AY15" s="34"/>
      <c r="BE15" s="34"/>
      <c r="BH15" s="34"/>
      <c r="BJ15" s="34"/>
      <c r="BS15" s="34"/>
    </row>
    <row r="16" spans="1:71" s="9" customFormat="1" ht="16.5" outlineLevel="1" x14ac:dyDescent="0.3">
      <c r="A16" s="34"/>
      <c r="B16"/>
      <c r="C16"/>
      <c r="D16" s="34"/>
      <c r="E16" s="34"/>
      <c r="F16" s="34"/>
      <c r="G16" s="34"/>
      <c r="H16" s="34"/>
      <c r="I16" s="34"/>
      <c r="J16" s="34"/>
      <c r="K16" s="34"/>
      <c r="L16" s="34"/>
      <c r="M16" s="34"/>
      <c r="N16" s="34"/>
      <c r="O16" s="34"/>
      <c r="P16" s="34"/>
      <c r="Q16" s="34"/>
      <c r="R16" s="34"/>
      <c r="S16" s="34"/>
      <c r="T16" s="34"/>
      <c r="U16" s="34"/>
      <c r="V16" s="34"/>
      <c r="W16" s="34"/>
      <c r="X16" s="34"/>
      <c r="Y16" s="34"/>
      <c r="Z16" s="34"/>
      <c r="AA16" s="34"/>
      <c r="AB16" s="34"/>
      <c r="AC16" s="34"/>
      <c r="AD16" s="34"/>
      <c r="AE16" s="34"/>
      <c r="AF16" s="34"/>
      <c r="AJ16" s="34"/>
      <c r="AM16" s="34"/>
      <c r="AN16" s="34"/>
      <c r="AO16" s="34"/>
      <c r="AP16" s="34"/>
      <c r="AQ16" s="34"/>
      <c r="AR16" s="34"/>
      <c r="AS16" s="34"/>
      <c r="AT16" s="34"/>
      <c r="AU16" s="34"/>
      <c r="AV16" s="34"/>
      <c r="AW16" s="34"/>
      <c r="AX16" s="34"/>
      <c r="AY16" s="34"/>
      <c r="BE16" s="34"/>
      <c r="BH16" s="34"/>
      <c r="BJ16" s="34"/>
      <c r="BS16" s="34"/>
    </row>
    <row r="17" spans="1:89" s="9" customFormat="1" ht="16.5" outlineLevel="1" x14ac:dyDescent="0.3">
      <c r="A17" s="34"/>
      <c r="B17"/>
      <c r="C17"/>
      <c r="D17" s="34"/>
      <c r="E17" s="34"/>
      <c r="F17" s="34"/>
      <c r="G17" s="34"/>
      <c r="H17" s="34"/>
      <c r="I17" s="34"/>
      <c r="J17" s="34"/>
      <c r="K17" s="34"/>
      <c r="L17" s="34"/>
      <c r="M17" s="34"/>
      <c r="N17" s="34"/>
      <c r="O17" s="34"/>
      <c r="P17" s="34"/>
      <c r="Q17" s="34"/>
      <c r="R17" s="34"/>
      <c r="S17" s="34"/>
      <c r="T17" s="34"/>
      <c r="U17" s="34"/>
      <c r="V17" s="34"/>
      <c r="W17" s="34"/>
      <c r="X17" s="34"/>
      <c r="Y17" s="34"/>
      <c r="Z17" s="34"/>
      <c r="AA17" s="34"/>
      <c r="AB17" s="34"/>
      <c r="AC17" s="34"/>
      <c r="AD17" s="34"/>
      <c r="AE17" s="34"/>
      <c r="AF17" s="34"/>
      <c r="AJ17" s="34"/>
      <c r="AM17" s="34"/>
      <c r="AN17" s="34"/>
      <c r="AO17" s="34"/>
      <c r="AP17" s="34"/>
      <c r="AQ17" s="34"/>
      <c r="AR17" s="34"/>
      <c r="AS17" s="34"/>
      <c r="AT17" s="34"/>
      <c r="AU17" s="34"/>
      <c r="AV17" s="34"/>
      <c r="AW17" s="34"/>
      <c r="AX17" s="34"/>
      <c r="AY17" s="34"/>
      <c r="BE17" s="34"/>
      <c r="BH17" s="34"/>
      <c r="BJ17" s="34"/>
      <c r="BS17" s="34"/>
    </row>
    <row r="18" spans="1:89" s="9" customFormat="1" ht="16.5" outlineLevel="1" x14ac:dyDescent="0.3">
      <c r="A18" s="34"/>
      <c r="B18"/>
      <c r="C18"/>
      <c r="D18" s="34"/>
      <c r="E18" s="34"/>
      <c r="F18" s="34"/>
      <c r="G18" s="34"/>
      <c r="H18" s="34"/>
      <c r="I18" s="34"/>
      <c r="J18" s="34"/>
      <c r="K18" s="34"/>
      <c r="L18" s="34"/>
      <c r="M18" s="34"/>
      <c r="N18" s="34"/>
      <c r="O18" s="34"/>
      <c r="P18" s="34"/>
      <c r="Q18" s="34"/>
      <c r="R18" s="34"/>
      <c r="S18" s="34"/>
      <c r="T18" s="34"/>
      <c r="U18" s="34"/>
      <c r="V18" s="34"/>
      <c r="W18" s="34"/>
      <c r="X18" s="34"/>
      <c r="Y18" s="34"/>
      <c r="Z18" s="34"/>
      <c r="AA18" s="34"/>
      <c r="AB18" s="34"/>
      <c r="AC18" s="34"/>
      <c r="AD18" s="34"/>
      <c r="AE18" s="34"/>
      <c r="AF18" s="34"/>
      <c r="AJ18" s="34"/>
      <c r="AM18" s="34"/>
      <c r="AN18" s="34"/>
      <c r="AO18" s="34"/>
      <c r="AP18" s="34"/>
      <c r="AQ18" s="34"/>
      <c r="AR18" s="34"/>
      <c r="AS18" s="34"/>
      <c r="AT18" s="34"/>
      <c r="AU18" s="34"/>
      <c r="AV18" s="34"/>
      <c r="AW18" s="34"/>
      <c r="AX18" s="34"/>
      <c r="AY18" s="34"/>
      <c r="BE18" s="34"/>
      <c r="BH18" s="34"/>
      <c r="BJ18" s="34"/>
      <c r="BS18" s="34"/>
    </row>
    <row r="19" spans="1:89" s="9" customFormat="1" ht="16.5" outlineLevel="1" x14ac:dyDescent="0.3">
      <c r="A19" s="34"/>
      <c r="B19"/>
      <c r="C19"/>
      <c r="D19" s="34"/>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J19" s="34"/>
      <c r="AM19" s="34"/>
      <c r="AN19" s="34"/>
      <c r="AO19" s="34"/>
      <c r="AP19" s="34"/>
      <c r="AQ19" s="34"/>
      <c r="AR19" s="34"/>
      <c r="AS19" s="34"/>
      <c r="AT19" s="34"/>
      <c r="AU19" s="34"/>
      <c r="AW19" s="34"/>
      <c r="AX19" s="34"/>
      <c r="AY19" s="34"/>
      <c r="BE19" s="34"/>
      <c r="BH19" s="34"/>
      <c r="BJ19" s="34"/>
      <c r="BS19" s="34"/>
    </row>
    <row r="20" spans="1:89" s="9" customFormat="1" ht="16.5" outlineLevel="1" x14ac:dyDescent="0.3">
      <c r="A20" s="34"/>
      <c r="B20"/>
      <c r="C20"/>
      <c r="D20" s="34"/>
      <c r="E20" s="34"/>
      <c r="F20" s="34"/>
      <c r="G20" s="34"/>
      <c r="H20" s="34"/>
      <c r="I20" s="34"/>
      <c r="J20" s="34"/>
      <c r="K20" s="34"/>
      <c r="L20" s="34"/>
      <c r="M20" s="34"/>
      <c r="N20" s="34"/>
      <c r="O20" s="34"/>
      <c r="P20" s="34"/>
      <c r="Q20" s="34"/>
      <c r="R20" s="34"/>
      <c r="S20" s="34"/>
      <c r="T20" s="34"/>
      <c r="U20" s="34"/>
      <c r="V20" s="34"/>
      <c r="W20" s="34"/>
      <c r="X20" s="34"/>
      <c r="Y20" s="34"/>
      <c r="Z20" s="34"/>
      <c r="AA20" s="34"/>
      <c r="AB20" s="34"/>
      <c r="AC20" s="34"/>
      <c r="AD20" s="34"/>
      <c r="AE20" s="34"/>
      <c r="AF20" s="34"/>
      <c r="AJ20" s="34"/>
      <c r="AM20" s="34"/>
      <c r="AN20" s="34"/>
      <c r="AO20" s="34"/>
      <c r="AP20" s="34"/>
      <c r="AQ20" s="34"/>
      <c r="AR20" s="34"/>
      <c r="AS20" s="34"/>
      <c r="AT20" s="34"/>
      <c r="AU20" s="34"/>
      <c r="AV20" s="34"/>
      <c r="AW20" s="34"/>
      <c r="AX20" s="34"/>
      <c r="AY20" s="34"/>
      <c r="BE20" s="34"/>
      <c r="BH20" s="34"/>
      <c r="BJ20" s="34"/>
      <c r="BS20" s="34"/>
    </row>
    <row r="21" spans="1:89" s="9" customFormat="1" ht="16.5" outlineLevel="1" x14ac:dyDescent="0.3">
      <c r="A21" s="34"/>
      <c r="B21"/>
      <c r="C21"/>
      <c r="D21" s="34"/>
      <c r="E21" s="34"/>
      <c r="F21" s="34"/>
      <c r="G21" s="34"/>
      <c r="H21" s="34"/>
      <c r="I21" s="34"/>
      <c r="J21" s="34"/>
      <c r="K21" s="34"/>
      <c r="L21" s="34"/>
      <c r="M21" s="34"/>
      <c r="N21" s="34"/>
      <c r="O21" s="34"/>
      <c r="P21" s="34"/>
      <c r="Q21" s="34"/>
      <c r="R21" s="34"/>
      <c r="S21" s="34"/>
      <c r="T21" s="34"/>
      <c r="U21" s="34"/>
      <c r="V21" s="34"/>
      <c r="W21" s="34"/>
      <c r="X21" s="34"/>
      <c r="Y21" s="34"/>
      <c r="Z21" s="34"/>
      <c r="AA21" s="34"/>
      <c r="AB21" s="34"/>
      <c r="AC21" s="34"/>
      <c r="AD21" s="34"/>
      <c r="AE21" s="34"/>
      <c r="AF21" s="34"/>
      <c r="AJ21" s="34"/>
      <c r="AM21" s="34"/>
      <c r="AN21" s="34"/>
      <c r="AO21" s="34"/>
      <c r="AP21" s="34"/>
      <c r="AQ21" s="34"/>
      <c r="AR21" s="34"/>
      <c r="AS21" s="34"/>
      <c r="AT21" s="34"/>
      <c r="AU21" s="34"/>
      <c r="AV21" s="34"/>
      <c r="AW21" s="34"/>
      <c r="AX21" s="34"/>
      <c r="AY21" s="34"/>
      <c r="BE21" s="34"/>
      <c r="BH21" s="34"/>
      <c r="BJ21" s="34"/>
      <c r="BS21" s="34"/>
    </row>
    <row r="22" spans="1:89" s="9" customFormat="1" ht="16.5" outlineLevel="1" x14ac:dyDescent="0.3">
      <c r="A22" s="34"/>
      <c r="B22"/>
      <c r="C22"/>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J22" s="34"/>
      <c r="AM22" s="34"/>
      <c r="AN22" s="34"/>
      <c r="AO22" s="34"/>
      <c r="AP22" s="34"/>
      <c r="AQ22" s="34"/>
      <c r="AR22" s="34"/>
      <c r="AS22" s="34"/>
      <c r="AT22" s="34"/>
      <c r="AU22" s="34"/>
      <c r="AV22" s="34"/>
      <c r="AW22" s="34"/>
      <c r="AX22" s="34"/>
      <c r="AY22" s="34"/>
      <c r="BE22" s="34"/>
      <c r="BH22" s="34"/>
      <c r="BJ22" s="34"/>
      <c r="BS22" s="34"/>
    </row>
    <row r="23" spans="1:89" s="9" customFormat="1" ht="16.5" outlineLevel="1" x14ac:dyDescent="0.3">
      <c r="A23" s="34"/>
      <c r="B23"/>
      <c r="C23"/>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J23" s="34"/>
      <c r="AM23" s="34"/>
      <c r="AN23" s="34"/>
      <c r="AO23" s="34"/>
      <c r="AP23" s="34"/>
      <c r="AQ23" s="34"/>
      <c r="AR23" s="34"/>
      <c r="AS23" s="34"/>
      <c r="AT23" s="34"/>
      <c r="AU23" s="34"/>
      <c r="AV23" s="34"/>
      <c r="AW23" s="34"/>
      <c r="AX23" s="34"/>
      <c r="AY23" s="34"/>
      <c r="BE23" s="34"/>
      <c r="BH23" s="34"/>
      <c r="BJ23" s="34"/>
      <c r="BS23" s="34"/>
    </row>
    <row r="24" spans="1:89" s="9" customFormat="1" ht="16.5" outlineLevel="1" x14ac:dyDescent="0.3">
      <c r="A24" s="34"/>
      <c r="B24"/>
      <c r="C24"/>
      <c r="D24" s="34"/>
      <c r="E24" s="34"/>
      <c r="F24" s="34"/>
      <c r="G24" s="34"/>
      <c r="H24" s="34"/>
      <c r="I24" s="34"/>
      <c r="J24" s="34"/>
      <c r="K24" s="34"/>
      <c r="L24" s="34"/>
      <c r="M24" s="34"/>
      <c r="N24" s="34"/>
      <c r="O24" s="34"/>
      <c r="P24" s="34"/>
      <c r="Q24" s="34"/>
      <c r="R24" s="34"/>
      <c r="S24" s="34"/>
      <c r="T24" s="34"/>
      <c r="U24" s="34"/>
      <c r="V24" s="34"/>
      <c r="W24" s="34"/>
      <c r="X24" s="34"/>
      <c r="Y24" s="34"/>
      <c r="Z24" s="34"/>
      <c r="AA24" s="34"/>
      <c r="AB24" s="34"/>
      <c r="AC24" s="34"/>
      <c r="AD24" s="34"/>
      <c r="AE24" s="34"/>
      <c r="AF24" s="34"/>
      <c r="AJ24" s="34"/>
      <c r="AM24" s="34"/>
      <c r="AN24" s="34"/>
      <c r="AO24" s="34"/>
      <c r="AP24" s="34"/>
      <c r="AQ24" s="34"/>
      <c r="AR24" s="34"/>
      <c r="AS24" s="34"/>
      <c r="AT24" s="34"/>
      <c r="AU24" s="34"/>
      <c r="AV24" s="34"/>
      <c r="AW24" s="34"/>
      <c r="AX24" s="34"/>
      <c r="AY24" s="34"/>
      <c r="BE24" s="34"/>
      <c r="BH24" s="34"/>
      <c r="BJ24" s="34"/>
      <c r="BS24" s="34"/>
    </row>
    <row r="25" spans="1:89" s="9" customFormat="1" ht="16.5" outlineLevel="1" x14ac:dyDescent="0.3">
      <c r="A25" s="34"/>
      <c r="B25"/>
      <c r="C25"/>
      <c r="D25" s="34"/>
      <c r="E25" s="34"/>
      <c r="F25" s="34"/>
      <c r="G25" s="34"/>
      <c r="H25" s="34"/>
      <c r="I25" s="34"/>
      <c r="J25" s="34"/>
      <c r="K25" s="34"/>
      <c r="L25" s="34"/>
      <c r="M25" s="34"/>
      <c r="N25" s="34"/>
      <c r="O25" s="34"/>
      <c r="P25" s="34"/>
      <c r="Q25" s="34"/>
      <c r="R25" s="34"/>
      <c r="S25" s="34"/>
      <c r="T25" s="34"/>
      <c r="U25" s="34"/>
      <c r="V25" s="34"/>
      <c r="W25" s="34"/>
      <c r="X25" s="34"/>
      <c r="Y25" s="34"/>
      <c r="Z25" s="34"/>
      <c r="AA25" s="34"/>
      <c r="AB25" s="34"/>
      <c r="AC25" s="34"/>
      <c r="AD25" s="34"/>
      <c r="AE25" s="34"/>
      <c r="AF25" s="34"/>
      <c r="AJ25" s="34"/>
      <c r="AM25" s="34"/>
      <c r="AN25" s="34"/>
      <c r="AO25" s="34"/>
      <c r="AP25" s="34"/>
      <c r="AQ25" s="34"/>
      <c r="AR25" s="34"/>
      <c r="AS25" s="34"/>
      <c r="AT25" s="34"/>
      <c r="AU25" s="34"/>
      <c r="AV25" s="34"/>
      <c r="AW25" s="34"/>
      <c r="AX25" s="34"/>
      <c r="AY25" s="34"/>
      <c r="BE25" s="34"/>
      <c r="BH25" s="34"/>
      <c r="BJ25" s="34"/>
      <c r="BS25" s="34"/>
    </row>
    <row r="26" spans="1:89" s="9" customFormat="1" ht="10.5" outlineLevel="1" x14ac:dyDescent="0.3">
      <c r="A26" s="34"/>
      <c r="F26" s="34"/>
      <c r="G26" s="34"/>
      <c r="H26" s="34"/>
      <c r="I26" s="34"/>
      <c r="J26" s="34"/>
      <c r="K26" s="34"/>
      <c r="L26" s="34"/>
      <c r="M26" s="34"/>
      <c r="N26" s="34"/>
      <c r="O26" s="34"/>
      <c r="P26" s="34"/>
      <c r="Q26" s="34"/>
      <c r="V26" s="34"/>
      <c r="W26" s="34"/>
      <c r="X26" s="34"/>
      <c r="Y26" s="34"/>
      <c r="Z26" s="34"/>
      <c r="AA26" s="34"/>
      <c r="AB26" s="34"/>
      <c r="AC26" s="34"/>
      <c r="AD26" s="34"/>
      <c r="AE26" s="34"/>
      <c r="AF26" s="34"/>
      <c r="AJ26" s="34"/>
      <c r="AM26" s="34"/>
      <c r="AN26" s="34"/>
      <c r="AO26" s="34"/>
      <c r="AP26" s="34"/>
      <c r="AQ26" s="34"/>
      <c r="AR26" s="34"/>
      <c r="AS26" s="34"/>
      <c r="AT26" s="34"/>
      <c r="AU26" s="34"/>
      <c r="AV26" s="34"/>
      <c r="AW26" s="34"/>
      <c r="AX26" s="34"/>
      <c r="AY26" s="34"/>
      <c r="BE26" s="34"/>
      <c r="BH26" s="34"/>
      <c r="BJ26" s="34"/>
      <c r="BS26" s="34"/>
    </row>
    <row r="27" spans="1:89" s="9" customFormat="1" ht="10.5" outlineLevel="1" x14ac:dyDescent="0.3">
      <c r="A27" s="34"/>
      <c r="F27" s="34"/>
      <c r="G27" s="34"/>
      <c r="H27" s="34"/>
      <c r="I27" s="34"/>
      <c r="J27" s="34"/>
      <c r="K27" s="34"/>
      <c r="L27" s="34"/>
      <c r="M27" s="34"/>
      <c r="N27" s="34"/>
      <c r="O27" s="34"/>
      <c r="P27" s="34"/>
      <c r="Q27" s="34"/>
      <c r="V27" s="34"/>
      <c r="W27" s="34"/>
      <c r="X27" s="34"/>
      <c r="Y27" s="34"/>
      <c r="Z27" s="34"/>
      <c r="AA27" s="34"/>
      <c r="AB27" s="34"/>
      <c r="AC27" s="34"/>
      <c r="AD27" s="34"/>
      <c r="AE27" s="34"/>
      <c r="AF27" s="34"/>
      <c r="AJ27" s="34"/>
      <c r="AM27" s="34"/>
      <c r="AN27" s="34"/>
      <c r="AO27" s="34"/>
      <c r="AP27" s="34"/>
      <c r="AQ27" s="34"/>
      <c r="AR27" s="34"/>
      <c r="AS27" s="34"/>
      <c r="AT27" s="34"/>
      <c r="AU27" s="34"/>
      <c r="AV27" s="34"/>
      <c r="AW27" s="34"/>
      <c r="AX27" s="34"/>
      <c r="AY27" s="34"/>
      <c r="BE27" s="34"/>
      <c r="BH27" s="34"/>
      <c r="BJ27" s="34"/>
      <c r="BS27" s="34"/>
    </row>
    <row r="28" spans="1:89" s="9" customFormat="1" ht="10.5" outlineLevel="1" x14ac:dyDescent="0.3">
      <c r="A28" s="34"/>
      <c r="F28" s="34"/>
      <c r="G28" s="34"/>
      <c r="H28" s="34"/>
      <c r="I28" s="34"/>
      <c r="J28" s="34"/>
      <c r="K28" s="34"/>
      <c r="L28" s="34"/>
      <c r="M28" s="34"/>
      <c r="N28" s="34"/>
      <c r="O28" s="34"/>
      <c r="P28" s="34"/>
      <c r="Q28" s="34"/>
      <c r="V28" s="34"/>
      <c r="W28" s="34"/>
      <c r="X28" s="34"/>
      <c r="Y28" s="34"/>
      <c r="Z28" s="34"/>
      <c r="AA28" s="34"/>
      <c r="AB28" s="34"/>
      <c r="AC28" s="34"/>
      <c r="AD28" s="34"/>
      <c r="AE28" s="34"/>
      <c r="AF28" s="34"/>
      <c r="AJ28" s="34"/>
      <c r="AM28" s="34"/>
      <c r="AN28" s="34"/>
      <c r="AO28" s="34"/>
      <c r="AP28" s="34"/>
      <c r="AQ28" s="34"/>
      <c r="AR28" s="34"/>
      <c r="AS28" s="34"/>
      <c r="AT28" s="34"/>
      <c r="AU28" s="34"/>
      <c r="AV28" s="34"/>
      <c r="AW28" s="34"/>
      <c r="AX28" s="34"/>
      <c r="AY28" s="34"/>
      <c r="BE28" s="34"/>
      <c r="BH28" s="34"/>
      <c r="BJ28" s="34"/>
      <c r="BS28" s="34"/>
    </row>
    <row r="29" spans="1:89" s="9" customFormat="1" ht="10.5" outlineLevel="1" x14ac:dyDescent="0.3">
      <c r="A29" s="34"/>
      <c r="F29" s="34"/>
      <c r="G29" s="34"/>
      <c r="H29" s="34"/>
      <c r="I29" s="34"/>
      <c r="J29" s="34"/>
      <c r="K29" s="34"/>
      <c r="L29" s="34"/>
      <c r="M29" s="34"/>
      <c r="N29" s="34"/>
      <c r="O29" s="34"/>
      <c r="P29" s="34"/>
      <c r="Q29" s="34"/>
      <c r="V29" s="34"/>
      <c r="W29" s="34"/>
      <c r="X29" s="34"/>
      <c r="Y29" s="34"/>
      <c r="Z29" s="34"/>
      <c r="AA29" s="34"/>
      <c r="AB29" s="34"/>
      <c r="AC29" s="34"/>
      <c r="AD29" s="34"/>
      <c r="AE29" s="34"/>
      <c r="AF29" s="34"/>
      <c r="AJ29" s="34"/>
      <c r="AM29" s="34"/>
      <c r="AN29" s="34"/>
      <c r="AO29" s="34"/>
      <c r="AP29" s="34"/>
      <c r="AQ29" s="34"/>
      <c r="AR29" s="34"/>
      <c r="AS29" s="34"/>
      <c r="AT29" s="34"/>
      <c r="AU29" s="34"/>
      <c r="AV29" s="34"/>
      <c r="AW29" s="34"/>
      <c r="AX29" s="34"/>
      <c r="AY29" s="34"/>
      <c r="BE29" s="34"/>
      <c r="BH29" s="34"/>
      <c r="BJ29" s="34"/>
      <c r="BS29" s="34"/>
    </row>
    <row r="30" spans="1:89" s="9" customFormat="1" ht="10.5" outlineLevel="1" x14ac:dyDescent="0.3">
      <c r="A30" s="34"/>
      <c r="F30" s="34"/>
      <c r="G30" s="34"/>
      <c r="H30" s="34"/>
      <c r="I30" s="34"/>
      <c r="J30" s="34"/>
      <c r="K30" s="34"/>
      <c r="L30" s="34"/>
      <c r="M30" s="34"/>
      <c r="N30" s="34"/>
      <c r="O30" s="34"/>
      <c r="P30" s="34"/>
      <c r="Q30" s="34"/>
      <c r="V30" s="34"/>
      <c r="W30" s="34"/>
      <c r="X30" s="34"/>
      <c r="Y30" s="34"/>
      <c r="Z30" s="34"/>
      <c r="AA30" s="34"/>
      <c r="AB30" s="34"/>
      <c r="AC30" s="34"/>
      <c r="AD30" s="34"/>
      <c r="AE30" s="34"/>
      <c r="AF30" s="34"/>
      <c r="AJ30" s="34"/>
      <c r="AM30" s="34"/>
      <c r="AN30" s="34"/>
      <c r="AO30" s="34"/>
      <c r="AP30" s="34"/>
      <c r="AQ30" s="34"/>
      <c r="AR30" s="34"/>
      <c r="AS30" s="34"/>
      <c r="AT30" s="34"/>
      <c r="AU30" s="34"/>
      <c r="AV30" s="34"/>
      <c r="AW30" s="34"/>
      <c r="AX30" s="34"/>
      <c r="AY30" s="34"/>
      <c r="BE30" s="34"/>
      <c r="BH30" s="34"/>
      <c r="BJ30" s="34"/>
      <c r="BS30" s="34"/>
    </row>
    <row r="31" spans="1:89" s="9" customFormat="1" ht="18" customHeight="1" x14ac:dyDescent="0.3">
      <c r="A31" s="34"/>
      <c r="F31" s="34"/>
      <c r="G31" s="34"/>
      <c r="H31" s="34"/>
      <c r="I31" s="34"/>
      <c r="J31" s="34"/>
      <c r="K31" s="34"/>
      <c r="L31" s="34"/>
      <c r="M31" s="34"/>
      <c r="N31" s="34"/>
      <c r="O31" s="34"/>
      <c r="P31" s="34"/>
      <c r="Q31" s="34"/>
      <c r="V31" s="34"/>
      <c r="W31" s="34"/>
      <c r="X31" s="34"/>
      <c r="Y31" s="34"/>
      <c r="Z31" s="34"/>
      <c r="AA31" s="34"/>
      <c r="AB31" s="34"/>
      <c r="AC31" s="34"/>
      <c r="AD31" s="34"/>
      <c r="AE31" s="34"/>
      <c r="AF31" s="34"/>
      <c r="AJ31" s="34"/>
      <c r="AM31" s="34"/>
      <c r="AN31" s="34"/>
      <c r="AO31" s="34"/>
      <c r="AP31" s="34"/>
      <c r="AQ31" s="34"/>
      <c r="AR31" s="34"/>
      <c r="AS31" s="34"/>
      <c r="AT31" s="34"/>
      <c r="AU31" s="34"/>
      <c r="AV31" s="34"/>
      <c r="AW31" s="34"/>
      <c r="AX31" s="34"/>
      <c r="AY31" s="34"/>
      <c r="BE31" s="34"/>
      <c r="BH31" s="34"/>
      <c r="BJ31" s="34"/>
      <c r="BS31" s="34"/>
    </row>
    <row r="32" spans="1:89" ht="18" customHeight="1" x14ac:dyDescent="0.3">
      <c r="A32" s="26"/>
      <c r="F32" s="26"/>
      <c r="G32" s="26"/>
      <c r="H32" s="26"/>
      <c r="I32" s="26"/>
      <c r="J32" s="26"/>
      <c r="K32" s="26"/>
      <c r="L32" s="26"/>
      <c r="M32" s="26"/>
      <c r="N32" s="26"/>
      <c r="O32" s="26"/>
      <c r="P32" s="26"/>
      <c r="Q32" s="26"/>
      <c r="V32" s="26"/>
      <c r="W32" s="26"/>
      <c r="X32" s="26"/>
      <c r="Y32" s="26"/>
      <c r="Z32" s="26"/>
      <c r="AA32" s="26"/>
      <c r="AB32" s="26"/>
      <c r="AC32" s="26"/>
      <c r="AD32" s="26"/>
      <c r="AE32" s="26"/>
      <c r="AF32" s="26"/>
      <c r="AJ32" s="26"/>
      <c r="AM32" s="26"/>
      <c r="AN32" s="26"/>
      <c r="AO32" s="26"/>
      <c r="AP32" s="39" t="s">
        <v>53</v>
      </c>
      <c r="AQ32" s="39" t="s">
        <v>52</v>
      </c>
      <c r="AR32" s="39" t="s">
        <v>26</v>
      </c>
      <c r="AS32" s="39" t="s">
        <v>18</v>
      </c>
      <c r="AT32" s="39" t="s">
        <v>30</v>
      </c>
      <c r="AU32" s="69" t="s">
        <v>194</v>
      </c>
      <c r="AV32" s="39" t="s">
        <v>192</v>
      </c>
      <c r="AW32" s="70" t="s">
        <v>188</v>
      </c>
      <c r="AX32" s="26"/>
      <c r="AY32" s="9" t="s">
        <v>28</v>
      </c>
      <c r="AZ32" s="9" t="s">
        <v>17</v>
      </c>
      <c r="BA32" s="9" t="s">
        <v>11</v>
      </c>
      <c r="BB32" s="69" t="s">
        <v>193</v>
      </c>
      <c r="BC32" s="69" t="s">
        <v>192</v>
      </c>
      <c r="BD32" s="9" t="s">
        <v>188</v>
      </c>
      <c r="BE32" s="26"/>
      <c r="BF32" s="12" t="s">
        <v>16</v>
      </c>
      <c r="BG32" s="12" t="s">
        <v>31</v>
      </c>
      <c r="BH32" s="26"/>
      <c r="BI32" s="9" t="s">
        <v>15</v>
      </c>
      <c r="BJ32" s="26"/>
      <c r="BK32" s="5" t="s">
        <v>54</v>
      </c>
      <c r="BL32" s="5" t="s">
        <v>25</v>
      </c>
      <c r="BM32" s="5" t="s">
        <v>29</v>
      </c>
      <c r="BN32" s="5" t="s">
        <v>14</v>
      </c>
      <c r="BO32" s="5" t="s">
        <v>16</v>
      </c>
      <c r="BP32" s="5" t="s">
        <v>27</v>
      </c>
      <c r="BQ32" s="5" t="s">
        <v>55</v>
      </c>
      <c r="BR32" s="5" t="s">
        <v>45</v>
      </c>
      <c r="BS32" s="26"/>
      <c r="BT32" s="5" t="s">
        <v>13</v>
      </c>
      <c r="BU32" s="5" t="s">
        <v>21</v>
      </c>
      <c r="BV32" s="5" t="s">
        <v>19</v>
      </c>
      <c r="BW32" s="5" t="s">
        <v>20</v>
      </c>
      <c r="BX32" s="5" t="s">
        <v>184</v>
      </c>
      <c r="BY32" s="5" t="s">
        <v>17</v>
      </c>
      <c r="BZ32" s="5" t="s">
        <v>11</v>
      </c>
      <c r="CA32" s="5" t="s">
        <v>24</v>
      </c>
      <c r="CB32" s="5" t="s">
        <v>16</v>
      </c>
      <c r="CC32" s="5" t="s">
        <v>185</v>
      </c>
      <c r="CD32" s="5" t="s">
        <v>12</v>
      </c>
      <c r="CE32" s="5" t="s">
        <v>18</v>
      </c>
      <c r="CF32" s="5" t="s">
        <v>30</v>
      </c>
      <c r="CG32" s="5" t="s">
        <v>22</v>
      </c>
      <c r="CH32" s="5" t="s">
        <v>55</v>
      </c>
      <c r="CI32" s="5" t="s">
        <v>23</v>
      </c>
      <c r="CJ32" s="5" t="s">
        <v>186</v>
      </c>
      <c r="CK32" s="5" t="s">
        <v>187</v>
      </c>
    </row>
    <row r="33" spans="1:91" ht="18" customHeight="1" x14ac:dyDescent="0.3">
      <c r="A33" s="26"/>
      <c r="F33" s="26"/>
      <c r="G33" s="26"/>
      <c r="H33" s="26"/>
      <c r="I33" s="26"/>
      <c r="J33" s="26"/>
      <c r="K33" s="26"/>
      <c r="L33" s="26"/>
      <c r="M33" s="26"/>
      <c r="N33" s="26"/>
      <c r="O33" s="26"/>
      <c r="P33" s="26"/>
      <c r="Q33" s="26"/>
      <c r="V33" s="26"/>
      <c r="W33" s="26"/>
      <c r="X33" s="26"/>
      <c r="Y33" s="26"/>
      <c r="Z33" s="26"/>
      <c r="AA33" s="26"/>
      <c r="AB33" s="26"/>
      <c r="AC33" s="26"/>
      <c r="AD33" s="26"/>
      <c r="AE33" s="26"/>
      <c r="AF33" s="26"/>
      <c r="AJ33" s="26"/>
      <c r="AM33" s="26"/>
      <c r="AN33" s="26"/>
      <c r="AO33" s="26"/>
      <c r="AP33" s="1" t="s">
        <v>56</v>
      </c>
      <c r="AQ33" s="3" t="s">
        <v>59</v>
      </c>
      <c r="AR33" s="1" t="s">
        <v>62</v>
      </c>
      <c r="AS33" s="1" t="s">
        <v>63</v>
      </c>
      <c r="AT33" s="2">
        <v>200000</v>
      </c>
      <c r="AU33" s="44">
        <f ca="1">TODAY()-
_xlfn.MAXIFS(Table_Main[Ngày lên đơn],Table_Main[Mã SKU],Table_SKU[[#This Row],[Mã Sản phẩm]])</f>
        <v>160</v>
      </c>
      <c r="AV33" s="44" cm="1">
        <f t="array" aca="1" ref="AV33" ca="1">SUM(_xlfn._xlws.FILTER(Table_Main[Phân bổ doanh thu ròng],
(Table_Main[Mã SKU] = Table_SKU[[#This Row],[Mã Sản phẩm]])
))/
(TODAY() - _xlfn.MINIFS(Table_Main[Ngày lên đơn],Table_Main[Mã SKU],Table_SKU[[#This Row],[Mã Sản phẩm]]))</f>
        <v>2617591.1815599869</v>
      </c>
      <c r="AW33" s="44" cm="1">
        <f t="array" ref="AW33">SUM(_xlfn._xlws.FILTER(Table_Main[Phân bổ doanh thu ròng],
(Table_Main[Mã SKU] = Table_SKU[[#This Row],[Mã Sản phẩm]])
))</f>
        <v>2303480239.7727885</v>
      </c>
      <c r="AX33" s="26"/>
      <c r="AY33" s="1" t="s">
        <v>66</v>
      </c>
      <c r="AZ33" s="1" t="s">
        <v>73</v>
      </c>
      <c r="BA33" s="1" t="s">
        <v>74</v>
      </c>
      <c r="BB33" s="52">
        <f ca="1">TODAY()-_xlfn.MAXIFS(Table_DonBan[Ngày lập],Table_DonBan[Mã Khách],Table_KhachHang[[#This Row],[Mã khách]])</f>
        <v>210</v>
      </c>
      <c r="BC33" s="52" cm="1">
        <f t="array" aca="1" ref="BC33" ca="1">SUM(_xlfn._xlws.FILTER(Table_DonBan[Doanh thu ròng],
(Table_DonBan[Mã Khách] = Table_KhachHang[[#This Row],[Mã khách]])
)) / (TODAY()-_xlfn.MINIFS(Table_DonBan[Ngày lập],Table_DonBan[Mã Khách],Table_KhachHang[[#This Row],[Mã khách]]))</f>
        <v>1884528.4090909092</v>
      </c>
      <c r="BD33" s="27" cm="1">
        <f t="array" ref="BD33">SUM(_xlfn._xlws.FILTER(Table_DonBan[Doanh thu ròng],
(Table_DonBan[Mã Khách] = Table_KhachHang[[#This Row],[Mã khách]])
))</f>
        <v>1658385000</v>
      </c>
      <c r="BE33" s="26"/>
      <c r="BF33" s="1" t="s">
        <v>82</v>
      </c>
      <c r="BG33" s="1" t="s">
        <v>88</v>
      </c>
      <c r="BH33" s="26"/>
      <c r="BI33" s="1" t="s">
        <v>91</v>
      </c>
      <c r="BJ33" s="26"/>
      <c r="BK33" s="40" t="s">
        <v>167</v>
      </c>
      <c r="BL33" s="37">
        <v>45651</v>
      </c>
      <c r="BM33" s="48" t="s">
        <v>72</v>
      </c>
      <c r="BN33" s="48" t="s">
        <v>92</v>
      </c>
      <c r="BO33" s="48" t="s">
        <v>82</v>
      </c>
      <c r="BP33" s="44" cm="1">
        <f t="array" ref="BP33">IFERROR(SUM(_xlfn._xlws.FILTER(Table_Main[Giá trị bán trước VAT],
(Table_Main[Đơn bán]=Table_DonBan[[#This Row],[Mã đơn bán]]),
)),0)</f>
        <v>58400000</v>
      </c>
      <c r="BQ33" s="46">
        <v>5000000</v>
      </c>
      <c r="BR33" s="44">
        <f>+Table_DonBan[[#This Row],[Tiền hàng]]-Table_DonBan[[#This Row],[Khuyễn mãi]]</f>
        <v>53400000</v>
      </c>
      <c r="BS33" s="26"/>
      <c r="BT33" s="65" t="s">
        <v>59</v>
      </c>
      <c r="BU33" s="65" t="s">
        <v>167</v>
      </c>
      <c r="BV33" s="6">
        <f xml:space="preserve">
IFERROR(VLOOKUP(Table_Main[[#This Row],[Đơn bán]],Table_DonBan[],COUNTA(Table_DonBan[[#Headers],[Mã đơn bán]:[Ngày lập]]),0),0)</f>
        <v>45651</v>
      </c>
      <c r="BW33" s="51">
        <f>IFERROR(MONTH(Table_Main[[#This Row],[Ngày lên đơn]]),0)</f>
        <v>12</v>
      </c>
      <c r="BX33" s="51" t="str">
        <f>INDEX(Table_SKU[],
MATCH(Table_Main[[#This Row],[Mã SKU]],Table_SKU[Mã Sản phẩm],0),1)</f>
        <v>Nhóm 1</v>
      </c>
      <c r="BY33" s="52" t="str">
        <f xml:space="preserve">
IFERROR(VLOOKUP(Table_Main[[#This Row],[Đơn bán]],Table_DonBan[],COUNTA(Table_DonBan[[#Headers],[Mã đơn bán]:[Mã Khách]]),0),0)</f>
        <v>KH07</v>
      </c>
      <c r="BZ33" s="52" t="str">
        <f>VLOOKUP(Table_Main[[#This Row],[Khách hàng]],Table_KhachHang[],COUNTA(Table_KhachHang[[#Headers],[Mã khách]:[Phân khúc]]),0)</f>
        <v>B2C</v>
      </c>
      <c r="CA33" s="25" t="str">
        <f xml:space="preserve">
IFERROR(VLOOKUP(Table_Main[[#This Row],[Đơn bán]],Table_DonBan[],COUNTA(Table_DonBan[[#Headers],[Mã đơn bán]:[Mã NV]]),0),0)</f>
        <v>NV02</v>
      </c>
      <c r="CB33" s="7" t="str">
        <f xml:space="preserve">
IFERROR(VLOOKUP(Table_Main[[#This Row],[Đơn bán]],Table_DonBan[],COUNTA(Table_DonBan[[#Headers],[Mã đơn bán]:[Kênh]]),0),0)</f>
        <v>ST</v>
      </c>
      <c r="CC33" s="38" t="str">
        <f>VLOOKUP(Table_Main[[#This Row],[Kênh]],Table_Kenh[],COUNTA(Table_Kenh[[#Headers],[Kênh]:[Nhóm Kênh]]),0)</f>
        <v>Offline</v>
      </c>
      <c r="CD33" s="67">
        <v>292</v>
      </c>
      <c r="CE33" s="7" t="str">
        <f>IFERROR(VLOOKUP(Table_Main[[#This Row],[Mã SKU]],Table_SKU[[Mã Sản phẩm]:[Giá bán]],COUNTA(Table_SKU[[#Headers],[Mã Sản phẩm]:[Đơn vị]]),0),0)</f>
        <v>Bộ</v>
      </c>
      <c r="CF33" s="7">
        <f>IFERROR(VLOOKUP(Table_Main[[#This Row],[Mã SKU]],Table_SKU[[Mã Sản phẩm]:[Giá bán]],COUNTA(Table_SKU[[#Headers],[Mã Sản phẩm]:[Giá bán]]),0),0)</f>
        <v>200000</v>
      </c>
      <c r="CG33" s="7">
        <f>Table_Main[[#This Row],[Giá bán]]*Table_Main[[#This Row],[Số lượng]]</f>
        <v>58400000</v>
      </c>
      <c r="CH33" s="60">
        <v>0</v>
      </c>
      <c r="CI33" s="7">
        <f>+Table_Main[[#This Row],[Thành tiền niêm yết]]-Table_Main[[#This Row],[Khuyễn mãi]]</f>
        <v>58400000</v>
      </c>
      <c r="CJ33" s="68" cm="1">
        <f t="array" ref="CJ33">VLOOKUP(Table_Main[[#This Row],[Đơn bán]],Table_DonBan[],COUNTA(Table_DonBan[[#Headers],[Mã đơn bán]:[Khuyễn mãi]]),0)*Table_Main[[#This Row],[Giá trị bán trước VAT]]/
SUM(_xlfn._xlws.FILTER(Table_Main[Giá trị bán trước VAT],
(Table_Main[Đơn bán]=Table_Main[[#This Row],[Đơn bán]])
))</f>
        <v>5000000</v>
      </c>
      <c r="CK33" s="68">
        <f>Table_Main[[#This Row],[Giá trị bán trước VAT]]-Table_Main[[#This Row],[Phân bổ khuyến mãi đơn]]</f>
        <v>53400000</v>
      </c>
    </row>
    <row r="34" spans="1:91" ht="18" customHeight="1" x14ac:dyDescent="0.3">
      <c r="A34" s="26"/>
      <c r="B34"/>
      <c r="C34"/>
      <c r="D34" s="34"/>
      <c r="E34" s="34"/>
      <c r="F34" s="26"/>
      <c r="G34" s="26"/>
      <c r="H34" s="26"/>
      <c r="I34" s="26"/>
      <c r="J34" s="26"/>
      <c r="K34" s="26"/>
      <c r="L34" s="26"/>
      <c r="M34" s="26"/>
      <c r="N34" s="26"/>
      <c r="O34" s="26"/>
      <c r="P34" s="26"/>
      <c r="Q34" s="26"/>
      <c r="R34" s="34"/>
      <c r="S34" s="34"/>
      <c r="T34" s="34"/>
      <c r="U34" s="34"/>
      <c r="V34" s="26"/>
      <c r="W34" s="26"/>
      <c r="X34" s="26"/>
      <c r="Y34" s="26"/>
      <c r="Z34" s="26"/>
      <c r="AA34" s="26"/>
      <c r="AB34" s="26"/>
      <c r="AC34" s="26"/>
      <c r="AD34" s="26"/>
      <c r="AE34" s="26"/>
      <c r="AF34" s="26"/>
      <c r="AG34" s="9"/>
      <c r="AH34" s="9"/>
      <c r="AI34" s="9"/>
      <c r="AJ34" s="26"/>
      <c r="AM34" s="26"/>
      <c r="AN34" s="26"/>
      <c r="AO34" s="26"/>
      <c r="AP34" s="1" t="s">
        <v>57</v>
      </c>
      <c r="AQ34" s="3" t="s">
        <v>60</v>
      </c>
      <c r="AR34" s="1" t="s">
        <v>64</v>
      </c>
      <c r="AS34" s="1" t="s">
        <v>63</v>
      </c>
      <c r="AT34" s="2">
        <v>300000</v>
      </c>
      <c r="AU34" s="44">
        <f ca="1">TODAY()-
_xlfn.MAXIFS(Table_Main[Ngày lên đơn],Table_Main[Mã SKU],Table_SKU[[#This Row],[Mã Sản phẩm]])</f>
        <v>170</v>
      </c>
      <c r="AV34" s="44" cm="1">
        <f t="array" aca="1" ref="AV34" ca="1">SUM(_xlfn._xlws.FILTER(Table_Main[Phân bổ doanh thu ròng],
(Table_Main[Mã SKU] = Table_SKU[[#This Row],[Mã Sản phẩm]])
))/
(TODAY() - _xlfn.MINIFS(Table_Main[Ngày lên đơn],Table_Main[Mã SKU],Table_SKU[[#This Row],[Mã Sản phẩm]]))</f>
        <v>2715908.796917588</v>
      </c>
      <c r="AW34" s="44" cm="1">
        <f t="array" ref="AW34">SUM(_xlfn._xlws.FILTER(Table_Main[Phân bổ doanh thu ròng],
(Table_Main[Mã SKU] = Table_SKU[[#This Row],[Mã Sản phẩm]])
))</f>
        <v>2389999741.2874775</v>
      </c>
      <c r="AX34" s="26"/>
      <c r="AY34" s="1" t="s">
        <v>67</v>
      </c>
      <c r="AZ34" s="1" t="s">
        <v>75</v>
      </c>
      <c r="BA34" s="1" t="s">
        <v>76</v>
      </c>
      <c r="BB34" s="52">
        <f ca="1">TODAY()-_xlfn.MAXIFS(Table_DonBan[Ngày lập],Table_DonBan[Mã Khách],Table_KhachHang[[#This Row],[Mã khách]])</f>
        <v>170</v>
      </c>
      <c r="BC34" s="52" cm="1">
        <f t="array" aca="1" ref="BC34" ca="1">SUM(_xlfn._xlws.FILTER(Table_DonBan[Doanh thu ròng],
(Table_DonBan[Mã Khách] = Table_KhachHang[[#This Row],[Mã khách]])
)) / (TODAY()-_xlfn.MINIFS(Table_DonBan[Ngày lập],Table_DonBan[Mã Khách],Table_KhachHang[[#This Row],[Mã khách]]))</f>
        <v>2177959.7701149425</v>
      </c>
      <c r="BD34" s="27" cm="1">
        <f t="array" ref="BD34">SUM(_xlfn._xlws.FILTER(Table_DonBan[Doanh thu ròng],
(Table_DonBan[Mã Khách] = Table_KhachHang[[#This Row],[Mã khách]])
))</f>
        <v>1894825000</v>
      </c>
      <c r="BE34" s="26"/>
      <c r="BF34" s="1" t="s">
        <v>83</v>
      </c>
      <c r="BG34" s="1" t="s">
        <v>89</v>
      </c>
      <c r="BH34" s="26"/>
      <c r="BI34" s="1" t="s">
        <v>92</v>
      </c>
      <c r="BJ34" s="26"/>
      <c r="BK34" s="43" t="s">
        <v>166</v>
      </c>
      <c r="BL34" s="37">
        <v>45641</v>
      </c>
      <c r="BM34" s="41" t="s">
        <v>67</v>
      </c>
      <c r="BN34" s="41" t="s">
        <v>93</v>
      </c>
      <c r="BO34" s="41" t="s">
        <v>83</v>
      </c>
      <c r="BP34" s="44" cm="1">
        <f t="array" ref="BP34">IFERROR(SUM(_xlfn._xlws.FILTER(Table_Main[Giá trị bán trước VAT],
(Table_Main[Đơn bán]=Table_DonBan[[#This Row],[Mã đơn bán]]),
)),0)</f>
        <v>53100000</v>
      </c>
      <c r="BQ34" s="46">
        <v>5000000</v>
      </c>
      <c r="BR34" s="44">
        <f>+Table_DonBan[[#This Row],[Tiền hàng]]-Table_DonBan[[#This Row],[Khuyễn mãi]]</f>
        <v>48100000</v>
      </c>
      <c r="BS34" s="26"/>
      <c r="BT34" s="49" t="s">
        <v>60</v>
      </c>
      <c r="BU34" s="50" t="s">
        <v>166</v>
      </c>
      <c r="BV34" s="6">
        <f xml:space="preserve">
IFERROR(VLOOKUP(Table_Main[[#This Row],[Đơn bán]],Table_DonBan[],COUNTA(Table_DonBan[[#Headers],[Mã đơn bán]:[Ngày lập]]),0),0)</f>
        <v>45641</v>
      </c>
      <c r="BW34" s="51">
        <f>IFERROR(MONTH(Table_Main[[#This Row],[Ngày lên đơn]]),0)</f>
        <v>12</v>
      </c>
      <c r="BX34" s="51" t="str">
        <f>INDEX(Table_SKU[],
MATCH(Table_Main[[#This Row],[Mã SKU]],Table_SKU[Mã Sản phẩm],0),1)</f>
        <v>Nhóm 2</v>
      </c>
      <c r="BY34" s="52" t="str">
        <f xml:space="preserve">
IFERROR(VLOOKUP(Table_Main[[#This Row],[Đơn bán]],Table_DonBan[],COUNTA(Table_DonBan[[#Headers],[Mã đơn bán]:[Mã Khách]]),0),0)</f>
        <v>KH02</v>
      </c>
      <c r="BZ34" s="52" t="str">
        <f>VLOOKUP(Table_Main[[#This Row],[Khách hàng]],Table_KhachHang[],COUNTA(Table_KhachHang[[#Headers],[Mã khách]:[Phân khúc]]),0)</f>
        <v>B2C</v>
      </c>
      <c r="CA34" s="25" t="str">
        <f xml:space="preserve">
IFERROR(VLOOKUP(Table_Main[[#This Row],[Đơn bán]],Table_DonBan[],COUNTA(Table_DonBan[[#Headers],[Mã đơn bán]:[Mã NV]]),0),0)</f>
        <v>NV03</v>
      </c>
      <c r="CB34" s="7" t="str">
        <f xml:space="preserve">
IFERROR(VLOOKUP(Table_Main[[#This Row],[Đơn bán]],Table_DonBan[],COUNTA(Table_DonBan[[#Headers],[Mã đơn bán]:[Kênh]]),0),0)</f>
        <v>FB</v>
      </c>
      <c r="CC34" s="7" t="str">
        <f>VLOOKUP(Table_Main[[#This Row],[Kênh]],Table_Kenh[],COUNTA(Table_Kenh[[#Headers],[Kênh]:[Nhóm Kênh]]),0)</f>
        <v>Mạng xã hội</v>
      </c>
      <c r="CD34" s="53">
        <v>177</v>
      </c>
      <c r="CE34" s="7" t="str">
        <f>IFERROR(VLOOKUP(Table_Main[[#This Row],[Mã SKU]],Table_SKU[[Mã Sản phẩm]:[Giá bán]],COUNTA(Table_SKU[[#Headers],[Mã Sản phẩm]:[Đơn vị]]),0),0)</f>
        <v>Bộ</v>
      </c>
      <c r="CF34" s="7">
        <f>IFERROR(VLOOKUP(Table_Main[[#This Row],[Mã SKU]],Table_SKU[[Mã Sản phẩm]:[Giá bán]],COUNTA(Table_SKU[[#Headers],[Mã Sản phẩm]:[Giá bán]]),0),0)</f>
        <v>300000</v>
      </c>
      <c r="CG34" s="7">
        <f>Table_Main[[#This Row],[Giá bán]]*Table_Main[[#This Row],[Số lượng]]</f>
        <v>53100000</v>
      </c>
      <c r="CH34" s="60">
        <v>0</v>
      </c>
      <c r="CI34" s="7">
        <f>+Table_Main[[#This Row],[Thành tiền niêm yết]]-Table_Main[[#This Row],[Khuyễn mãi]]</f>
        <v>53100000</v>
      </c>
      <c r="CJ34" s="7" cm="1">
        <f t="array" ref="CJ34">VLOOKUP(Table_Main[[#This Row],[Đơn bán]],Table_DonBan[],COUNTA(Table_DonBan[[#Headers],[Mã đơn bán]:[Khuyễn mãi]]),0)*Table_Main[[#This Row],[Giá trị bán trước VAT]]/
SUM(_xlfn._xlws.FILTER(Table_Main[Giá trị bán trước VAT],
(Table_Main[Đơn bán]=Table_Main[[#This Row],[Đơn bán]])
))</f>
        <v>5000000</v>
      </c>
      <c r="CK34" s="7">
        <f>Table_Main[[#This Row],[Giá trị bán trước VAT]]-Table_Main[[#This Row],[Phân bổ khuyến mãi đơn]]</f>
        <v>48100000</v>
      </c>
      <c r="CL34"/>
      <c r="CM34"/>
    </row>
    <row r="35" spans="1:91" ht="18" customHeight="1" x14ac:dyDescent="0.3">
      <c r="A35" s="26"/>
      <c r="B35"/>
      <c r="C35"/>
      <c r="D35" s="34"/>
      <c r="E35" s="34"/>
      <c r="F35" s="26"/>
      <c r="G35" s="26"/>
      <c r="H35" s="26"/>
      <c r="I35" s="26"/>
      <c r="J35" s="26"/>
      <c r="K35" s="26"/>
      <c r="L35" s="26"/>
      <c r="M35" s="26"/>
      <c r="N35" s="26"/>
      <c r="O35" s="26"/>
      <c r="P35" s="26"/>
      <c r="Q35" s="26"/>
      <c r="R35" s="34"/>
      <c r="S35" s="34"/>
      <c r="T35" s="34"/>
      <c r="U35" s="34"/>
      <c r="V35" s="26"/>
      <c r="W35" s="26"/>
      <c r="X35" s="26"/>
      <c r="Y35" s="26"/>
      <c r="Z35" s="26"/>
      <c r="AA35" s="26"/>
      <c r="AB35" s="26"/>
      <c r="AC35" s="26"/>
      <c r="AD35" s="26"/>
      <c r="AE35" s="26"/>
      <c r="AF35" s="26"/>
      <c r="AG35" s="62" t="s">
        <v>189</v>
      </c>
      <c r="AH35" t="s">
        <v>170</v>
      </c>
      <c r="AI35"/>
      <c r="AJ35" s="26"/>
      <c r="AK35" s="62" t="s">
        <v>189</v>
      </c>
      <c r="AL35" t="s">
        <v>170</v>
      </c>
      <c r="AM35" s="26"/>
      <c r="AN35" s="26"/>
      <c r="AO35" s="26"/>
      <c r="AP35" s="1" t="s">
        <v>58</v>
      </c>
      <c r="AQ35" s="3" t="s">
        <v>61</v>
      </c>
      <c r="AR35" s="1" t="s">
        <v>65</v>
      </c>
      <c r="AS35" s="1" t="s">
        <v>63</v>
      </c>
      <c r="AT35" s="2">
        <v>500000</v>
      </c>
      <c r="AU35" s="44">
        <f ca="1">TODAY()-
_xlfn.MAXIFS(Table_Main[Ngày lên đơn],Table_Main[Mã SKU],Table_SKU[[#This Row],[Mã Sản phẩm]])</f>
        <v>180</v>
      </c>
      <c r="AV35" s="44" cm="1">
        <f t="array" aca="1" ref="AV35" ca="1">SUM(_xlfn._xlws.FILTER(Table_Main[Phân bổ doanh thu ròng],
(Table_Main[Mã SKU] = Table_SKU[[#This Row],[Mã Sản phẩm]])
))/
(TODAY() - _xlfn.MINIFS(Table_Main[Ngày lên đơn],Table_Main[Mã SKU],Table_SKU[[#This Row],[Mã Sản phẩm]]))</f>
        <v>3288801.1578860609</v>
      </c>
      <c r="AW35" s="44" cm="1">
        <f t="array" ref="AW35">SUM(_xlfn._xlws.FILTER(Table_Main[Phân bổ doanh thu ròng],
(Table_Main[Mã SKU] = Table_SKU[[#This Row],[Mã Sản phẩm]])
))</f>
        <v>2894145018.9397335</v>
      </c>
      <c r="AX35" s="26"/>
      <c r="AY35" s="1" t="s">
        <v>68</v>
      </c>
      <c r="AZ35" s="1" t="s">
        <v>77</v>
      </c>
      <c r="BA35" s="1" t="s">
        <v>76</v>
      </c>
      <c r="BB35" s="52">
        <f ca="1">TODAY()-_xlfn.MAXIFS(Table_DonBan[Ngày lập],Table_DonBan[Mã Khách],Table_KhachHang[[#This Row],[Mã khách]])</f>
        <v>200</v>
      </c>
      <c r="BC35" s="52" cm="1">
        <f t="array" aca="1" ref="BC35" ca="1">SUM(_xlfn._xlws.FILTER(Table_DonBan[Doanh thu ròng],
(Table_DonBan[Mã Khách] = Table_KhachHang[[#This Row],[Mã khách]])
)) / (TODAY()-_xlfn.MINIFS(Table_DonBan[Ngày lập],Table_DonBan[Mã Khách],Table_KhachHang[[#This Row],[Mã khách]]))</f>
        <v>1797049.4699646642</v>
      </c>
      <c r="BD35" s="27" cm="1">
        <f t="array" ref="BD35">SUM(_xlfn._xlws.FILTER(Table_DonBan[Doanh thu ròng],
(Table_DonBan[Mã Khách] = Table_KhachHang[[#This Row],[Mã khách]])
))</f>
        <v>1525695000</v>
      </c>
      <c r="BE35" s="26"/>
      <c r="BF35" s="1" t="s">
        <v>84</v>
      </c>
      <c r="BG35" s="1" t="s">
        <v>89</v>
      </c>
      <c r="BH35" s="26"/>
      <c r="BI35" s="1" t="s">
        <v>93</v>
      </c>
      <c r="BJ35" s="26"/>
      <c r="BK35" s="43" t="s">
        <v>165</v>
      </c>
      <c r="BL35" s="37">
        <v>45631</v>
      </c>
      <c r="BM35" s="41" t="s">
        <v>71</v>
      </c>
      <c r="BN35" s="41" t="s">
        <v>92</v>
      </c>
      <c r="BO35" s="41" t="s">
        <v>85</v>
      </c>
      <c r="BP35" s="44" cm="1">
        <f t="array" ref="BP35">IFERROR(SUM(_xlfn._xlws.FILTER(Table_Main[Giá trị bán trước VAT],
(Table_Main[Đơn bán]=Table_DonBan[[#This Row],[Mã đơn bán]]),
)),0)</f>
        <v>59500000</v>
      </c>
      <c r="BQ35" s="46">
        <v>5000000</v>
      </c>
      <c r="BR35" s="44">
        <f>+Table_DonBan[[#This Row],[Tiền hàng]]-Table_DonBan[[#This Row],[Khuyễn mãi]]</f>
        <v>54500000</v>
      </c>
      <c r="BS35" s="26"/>
      <c r="BT35" s="49" t="s">
        <v>61</v>
      </c>
      <c r="BU35" s="50" t="s">
        <v>165</v>
      </c>
      <c r="BV35" s="6">
        <f xml:space="preserve">
IFERROR(VLOOKUP(Table_Main[[#This Row],[Đơn bán]],Table_DonBan[],COUNTA(Table_DonBan[[#Headers],[Mã đơn bán]:[Ngày lập]]),0),0)</f>
        <v>45631</v>
      </c>
      <c r="BW35" s="51">
        <f>IFERROR(MONTH(Table_Main[[#This Row],[Ngày lên đơn]]),0)</f>
        <v>12</v>
      </c>
      <c r="BX35" s="51" t="str">
        <f>INDEX(Table_SKU[],
MATCH(Table_Main[[#This Row],[Mã SKU]],Table_SKU[Mã Sản phẩm],0),1)</f>
        <v>Nhóm 3</v>
      </c>
      <c r="BY35" s="52" t="str">
        <f xml:space="preserve">
IFERROR(VLOOKUP(Table_Main[[#This Row],[Đơn bán]],Table_DonBan[],COUNTA(Table_DonBan[[#Headers],[Mã đơn bán]:[Mã Khách]]),0),0)</f>
        <v>KH06</v>
      </c>
      <c r="BZ35" s="52" t="str">
        <f>VLOOKUP(Table_Main[[#This Row],[Khách hàng]],Table_KhachHang[],COUNTA(Table_KhachHang[[#Headers],[Mã khách]:[Phân khúc]]),0)</f>
        <v>B2B</v>
      </c>
      <c r="CA35" s="25" t="str">
        <f xml:space="preserve">
IFERROR(VLOOKUP(Table_Main[[#This Row],[Đơn bán]],Table_DonBan[],COUNTA(Table_DonBan[[#Headers],[Mã đơn bán]:[Mã NV]]),0),0)</f>
        <v>NV02</v>
      </c>
      <c r="CB35" s="7" t="str">
        <f xml:space="preserve">
IFERROR(VLOOKUP(Table_Main[[#This Row],[Đơn bán]],Table_DonBan[],COUNTA(Table_DonBan[[#Headers],[Mã đơn bán]:[Kênh]]),0),0)</f>
        <v>SP</v>
      </c>
      <c r="CC35" s="7" t="str">
        <f>VLOOKUP(Table_Main[[#This Row],[Kênh]],Table_Kenh[],COUNTA(Table_Kenh[[#Headers],[Kênh]:[Nhóm Kênh]]),0)</f>
        <v>Sàn TMĐT</v>
      </c>
      <c r="CD35" s="53">
        <v>119</v>
      </c>
      <c r="CE35" s="7" t="str">
        <f>IFERROR(VLOOKUP(Table_Main[[#This Row],[Mã SKU]],Table_SKU[[Mã Sản phẩm]:[Giá bán]],COUNTA(Table_SKU[[#Headers],[Mã Sản phẩm]:[Đơn vị]]),0),0)</f>
        <v>Bộ</v>
      </c>
      <c r="CF35" s="7">
        <f>IFERROR(VLOOKUP(Table_Main[[#This Row],[Mã SKU]],Table_SKU[[Mã Sản phẩm]:[Giá bán]],COUNTA(Table_SKU[[#Headers],[Mã Sản phẩm]:[Giá bán]]),0),0)</f>
        <v>500000</v>
      </c>
      <c r="CG35" s="7">
        <f>Table_Main[[#This Row],[Giá bán]]*Table_Main[[#This Row],[Số lượng]]</f>
        <v>59500000</v>
      </c>
      <c r="CH35" s="60">
        <v>0</v>
      </c>
      <c r="CI35" s="7">
        <f>+Table_Main[[#This Row],[Thành tiền niêm yết]]-Table_Main[[#This Row],[Khuyễn mãi]]</f>
        <v>59500000</v>
      </c>
      <c r="CJ35" s="7" cm="1">
        <f t="array" ref="CJ35">VLOOKUP(Table_Main[[#This Row],[Đơn bán]],Table_DonBan[],COUNTA(Table_DonBan[[#Headers],[Mã đơn bán]:[Khuyễn mãi]]),0)*Table_Main[[#This Row],[Giá trị bán trước VAT]]/
SUM(_xlfn._xlws.FILTER(Table_Main[Giá trị bán trước VAT],
(Table_Main[Đơn bán]=Table_Main[[#This Row],[Đơn bán]])
))</f>
        <v>5000000</v>
      </c>
      <c r="CK35" s="7">
        <f>Table_Main[[#This Row],[Giá trị bán trước VAT]]-Table_Main[[#This Row],[Phân bổ khuyến mãi đơn]]</f>
        <v>54500000</v>
      </c>
      <c r="CL35"/>
      <c r="CM35"/>
    </row>
    <row r="36" spans="1:91" ht="18" customHeight="1" x14ac:dyDescent="0.3">
      <c r="A36" s="26"/>
      <c r="B36"/>
      <c r="C36"/>
      <c r="D36" s="34"/>
      <c r="E36" s="34"/>
      <c r="F36" s="26"/>
      <c r="G36" s="26"/>
      <c r="H36" s="26"/>
      <c r="I36" s="26"/>
      <c r="J36" s="26"/>
      <c r="K36" s="26"/>
      <c r="L36" s="26"/>
      <c r="M36" s="26"/>
      <c r="N36" s="26"/>
      <c r="O36" s="26"/>
      <c r="P36" s="26"/>
      <c r="Q36" s="26"/>
      <c r="R36" s="34"/>
      <c r="S36" s="34"/>
      <c r="T36" s="34"/>
      <c r="U36" s="34"/>
      <c r="V36" s="26"/>
      <c r="W36" s="26"/>
      <c r="X36" s="26"/>
      <c r="Y36" s="26"/>
      <c r="Z36" s="26"/>
      <c r="AA36" s="26"/>
      <c r="AB36" s="26"/>
      <c r="AC36" s="26"/>
      <c r="AD36" s="26"/>
      <c r="AE36" s="26"/>
      <c r="AF36" s="26"/>
      <c r="AG36" s="62" t="s">
        <v>190</v>
      </c>
      <c r="AH36" t="s">
        <v>183</v>
      </c>
      <c r="AI36"/>
      <c r="AJ36" s="26"/>
      <c r="AK36" s="62" t="s">
        <v>190</v>
      </c>
      <c r="AL36" t="s">
        <v>183</v>
      </c>
      <c r="AM36" s="26"/>
      <c r="AN36" s="26"/>
      <c r="AO36" s="26"/>
      <c r="AP36" s="26"/>
      <c r="AQ36" s="26"/>
      <c r="AR36" s="26"/>
      <c r="AS36" s="26"/>
      <c r="AT36" s="26"/>
      <c r="AU36" s="26"/>
      <c r="AV36" s="26"/>
      <c r="AW36" s="26"/>
      <c r="AX36" s="26"/>
      <c r="AY36" s="1" t="s">
        <v>69</v>
      </c>
      <c r="AZ36" s="1" t="s">
        <v>78</v>
      </c>
      <c r="BA36" s="1" t="s">
        <v>74</v>
      </c>
      <c r="BB36" s="52">
        <f ca="1">TODAY()-_xlfn.MAXIFS(Table_DonBan[Ngày lập],Table_DonBan[Mã Khách],Table_KhachHang[[#This Row],[Mã khách]])</f>
        <v>231</v>
      </c>
      <c r="BC36" s="52" cm="1">
        <f t="array" aca="1" ref="BC36" ca="1">SUM(_xlfn._xlws.FILTER(Table_DonBan[Doanh thu ròng],
(Table_DonBan[Mã Khách] = Table_KhachHang[[#This Row],[Mã khách]])
)) / (TODAY()-_xlfn.MINIFS(Table_DonBan[Ngày lập],Table_DonBan[Mã Khách],Table_KhachHang[[#This Row],[Mã khách]]))</f>
        <v>1302058.4415584416</v>
      </c>
      <c r="BD36" s="27" cm="1">
        <f t="array" ref="BD36">SUM(_xlfn._xlws.FILTER(Table_DonBan[Doanh thu ròng],
(Table_DonBan[Mã Khách] = Table_KhachHang[[#This Row],[Mã khách]])
))</f>
        <v>1002585000</v>
      </c>
      <c r="BE36" s="26"/>
      <c r="BF36" s="1" t="s">
        <v>85</v>
      </c>
      <c r="BG36" s="1" t="s">
        <v>90</v>
      </c>
      <c r="BH36" s="26"/>
      <c r="BI36" s="1" t="s">
        <v>94</v>
      </c>
      <c r="BJ36" s="26"/>
      <c r="BK36" s="43" t="s">
        <v>164</v>
      </c>
      <c r="BL36" s="37">
        <v>45621</v>
      </c>
      <c r="BM36" s="41" t="s">
        <v>70</v>
      </c>
      <c r="BN36" s="41" t="s">
        <v>93</v>
      </c>
      <c r="BO36" s="41" t="s">
        <v>86</v>
      </c>
      <c r="BP36" s="44" cm="1">
        <f t="array" ref="BP36">IFERROR(SUM(_xlfn._xlws.FILTER(Table_Main[Giá trị bán trước VAT],
(Table_Main[Đơn bán]=Table_DonBan[[#This Row],[Mã đơn bán]]),
)),0)</f>
        <v>167600000</v>
      </c>
      <c r="BQ36" s="46">
        <v>5000000</v>
      </c>
      <c r="BR36" s="44">
        <f>+Table_DonBan[[#This Row],[Tiền hàng]]-Table_DonBan[[#This Row],[Khuyễn mãi]]</f>
        <v>162600000</v>
      </c>
      <c r="BS36" s="26"/>
      <c r="BT36" s="49" t="s">
        <v>59</v>
      </c>
      <c r="BU36" s="50" t="s">
        <v>164</v>
      </c>
      <c r="BV36" s="6">
        <f xml:space="preserve">
IFERROR(VLOOKUP(Table_Main[[#This Row],[Đơn bán]],Table_DonBan[],COUNTA(Table_DonBan[[#Headers],[Mã đơn bán]:[Ngày lập]]),0),0)</f>
        <v>45621</v>
      </c>
      <c r="BW36" s="51">
        <f>IFERROR(MONTH(Table_Main[[#This Row],[Ngày lên đơn]]),0)</f>
        <v>11</v>
      </c>
      <c r="BX36" s="51" t="str">
        <f>INDEX(Table_SKU[],
MATCH(Table_Main[[#This Row],[Mã SKU]],Table_SKU[Mã Sản phẩm],0),1)</f>
        <v>Nhóm 1</v>
      </c>
      <c r="BY36" s="52" t="str">
        <f xml:space="preserve">
IFERROR(VLOOKUP(Table_Main[[#This Row],[Đơn bán]],Table_DonBan[],COUNTA(Table_DonBan[[#Headers],[Mã đơn bán]:[Mã Khách]]),0),0)</f>
        <v>KH05</v>
      </c>
      <c r="BZ36" s="52" t="str">
        <f>VLOOKUP(Table_Main[[#This Row],[Khách hàng]],Table_KhachHang[],COUNTA(Table_KhachHang[[#Headers],[Mã khách]:[Phân khúc]]),0)</f>
        <v>B2C</v>
      </c>
      <c r="CA36" s="25" t="str">
        <f xml:space="preserve">
IFERROR(VLOOKUP(Table_Main[[#This Row],[Đơn bán]],Table_DonBan[],COUNTA(Table_DonBan[[#Headers],[Mã đơn bán]:[Mã NV]]),0),0)</f>
        <v>NV03</v>
      </c>
      <c r="CB36" s="7" t="str">
        <f xml:space="preserve">
IFERROR(VLOOKUP(Table_Main[[#This Row],[Đơn bán]],Table_DonBan[],COUNTA(Table_DonBan[[#Headers],[Mã đơn bán]:[Kênh]]),0),0)</f>
        <v>LZ</v>
      </c>
      <c r="CC36" s="7" t="str">
        <f>VLOOKUP(Table_Main[[#This Row],[Kênh]],Table_Kenh[],COUNTA(Table_Kenh[[#Headers],[Kênh]:[Nhóm Kênh]]),0)</f>
        <v>Sàn TMĐT</v>
      </c>
      <c r="CD36" s="53">
        <v>284</v>
      </c>
      <c r="CE36" s="7" t="str">
        <f>IFERROR(VLOOKUP(Table_Main[[#This Row],[Mã SKU]],Table_SKU[[Mã Sản phẩm]:[Giá bán]],COUNTA(Table_SKU[[#Headers],[Mã Sản phẩm]:[Đơn vị]]),0),0)</f>
        <v>Bộ</v>
      </c>
      <c r="CF36" s="7">
        <f>IFERROR(VLOOKUP(Table_Main[[#This Row],[Mã SKU]],Table_SKU[[Mã Sản phẩm]:[Giá bán]],COUNTA(Table_SKU[[#Headers],[Mã Sản phẩm]:[Giá bán]]),0),0)</f>
        <v>200000</v>
      </c>
      <c r="CG36" s="7">
        <f>Table_Main[[#This Row],[Giá bán]]*Table_Main[[#This Row],[Số lượng]]</f>
        <v>56800000</v>
      </c>
      <c r="CH36" s="60">
        <v>0</v>
      </c>
      <c r="CI36" s="7">
        <f>+Table_Main[[#This Row],[Thành tiền niêm yết]]-Table_Main[[#This Row],[Khuyễn mãi]]</f>
        <v>56800000</v>
      </c>
      <c r="CJ36" s="7" cm="1">
        <f t="array" ref="CJ36">VLOOKUP(Table_Main[[#This Row],[Đơn bán]],Table_DonBan[],COUNTA(Table_DonBan[[#Headers],[Mã đơn bán]:[Khuyễn mãi]]),0)*Table_Main[[#This Row],[Giá trị bán trước VAT]]/
SUM(_xlfn._xlws.FILTER(Table_Main[Giá trị bán trước VAT],
(Table_Main[Đơn bán]=Table_Main[[#This Row],[Đơn bán]])
))</f>
        <v>1694510.7398568019</v>
      </c>
      <c r="CK36" s="7">
        <f>Table_Main[[#This Row],[Giá trị bán trước VAT]]-Table_Main[[#This Row],[Phân bổ khuyến mãi đơn]]</f>
        <v>55105489.260143198</v>
      </c>
      <c r="CL36"/>
      <c r="CM36"/>
    </row>
    <row r="37" spans="1:91" ht="18" customHeight="1" x14ac:dyDescent="0.3">
      <c r="A37" s="26"/>
      <c r="B37" s="62" t="s">
        <v>11</v>
      </c>
      <c r="C37" t="s">
        <v>183</v>
      </c>
      <c r="D37" s="34"/>
      <c r="E37" s="34"/>
      <c r="F37" s="26"/>
      <c r="G37" s="26"/>
      <c r="H37" s="26"/>
      <c r="I37" s="26"/>
      <c r="J37" s="26"/>
      <c r="K37" s="26"/>
      <c r="L37" s="26"/>
      <c r="M37" s="26"/>
      <c r="N37" s="26"/>
      <c r="O37" s="26"/>
      <c r="P37" s="26"/>
      <c r="Q37" s="26"/>
      <c r="R37" s="62" t="s">
        <v>184</v>
      </c>
      <c r="S37" t="s">
        <v>183</v>
      </c>
      <c r="T37" s="34"/>
      <c r="U37" s="34"/>
      <c r="V37" s="26"/>
      <c r="W37" s="26"/>
      <c r="X37" s="26"/>
      <c r="Y37" s="26"/>
      <c r="Z37" s="26"/>
      <c r="AA37" s="26"/>
      <c r="AB37" s="26"/>
      <c r="AC37" s="26"/>
      <c r="AD37" s="26"/>
      <c r="AE37" s="26"/>
      <c r="AF37" s="26"/>
      <c r="AG37" s="62" t="s">
        <v>184</v>
      </c>
      <c r="AH37" t="s">
        <v>183</v>
      </c>
      <c r="AI37"/>
      <c r="AJ37" s="26"/>
      <c r="AK37" s="62" t="s">
        <v>184</v>
      </c>
      <c r="AL37" t="s">
        <v>183</v>
      </c>
      <c r="AM37" s="26"/>
      <c r="AN37" s="26"/>
      <c r="AO37" s="26"/>
      <c r="AP37" s="26"/>
      <c r="AQ37" s="26"/>
      <c r="AR37" s="26"/>
      <c r="AS37" s="26"/>
      <c r="AT37" s="26"/>
      <c r="AU37" s="26"/>
      <c r="AV37" s="26"/>
      <c r="AW37" s="26"/>
      <c r="AX37" s="26"/>
      <c r="AY37" s="1" t="s">
        <v>70</v>
      </c>
      <c r="AZ37" s="1" t="s">
        <v>79</v>
      </c>
      <c r="BA37" s="1" t="s">
        <v>76</v>
      </c>
      <c r="BB37" s="52">
        <f ca="1">TODAY()-_xlfn.MAXIFS(Table_DonBan[Ngày lập],Table_DonBan[Mã Khách],Table_KhachHang[[#This Row],[Mã khách]])</f>
        <v>190</v>
      </c>
      <c r="BC37" s="52" cm="1">
        <f t="array" aca="1" ref="BC37" ca="1">SUM(_xlfn._xlws.FILTER(Table_DonBan[Doanh thu ròng],
(Table_DonBan[Mã Khách] = Table_KhachHang[[#This Row],[Mã khách]])
)) / (TODAY()-_xlfn.MINIFS(Table_DonBan[Ngày lập],Table_DonBan[Mã Khách],Table_KhachHang[[#This Row],[Mã khách]]))</f>
        <v>1365883.6524300443</v>
      </c>
      <c r="BD37" s="27" cm="1">
        <f t="array" ref="BD37">SUM(_xlfn._xlws.FILTER(Table_DonBan[Doanh thu ròng],
(Table_DonBan[Mã Khách] = Table_KhachHang[[#This Row],[Mã khách]])
))</f>
        <v>927435000</v>
      </c>
      <c r="BE37" s="26"/>
      <c r="BF37" s="1" t="s">
        <v>86</v>
      </c>
      <c r="BG37" s="1" t="s">
        <v>90</v>
      </c>
      <c r="BH37" s="26"/>
      <c r="BI37" s="1" t="s">
        <v>95</v>
      </c>
      <c r="BJ37" s="26"/>
      <c r="BK37" s="43" t="s">
        <v>163</v>
      </c>
      <c r="BL37" s="37">
        <v>45611</v>
      </c>
      <c r="BM37" s="41" t="s">
        <v>68</v>
      </c>
      <c r="BN37" s="41" t="s">
        <v>92</v>
      </c>
      <c r="BO37" s="41" t="s">
        <v>82</v>
      </c>
      <c r="BP37" s="44" cm="1">
        <f t="array" ref="BP37">IFERROR(SUM(_xlfn._xlws.FILTER(Table_Main[Giá trị bán trước VAT],
(Table_Main[Đơn bán]=Table_DonBan[[#This Row],[Mã đơn bán]]),
)),0)</f>
        <v>165000000</v>
      </c>
      <c r="BQ37" s="46">
        <v>5000000</v>
      </c>
      <c r="BR37" s="44">
        <f>+Table_DonBan[[#This Row],[Tiền hàng]]-Table_DonBan[[#This Row],[Khuyễn mãi]]</f>
        <v>160000000</v>
      </c>
      <c r="BS37" s="26"/>
      <c r="BT37" s="49" t="s">
        <v>60</v>
      </c>
      <c r="BU37" s="50" t="s">
        <v>164</v>
      </c>
      <c r="BV37" s="6">
        <f xml:space="preserve">
IFERROR(VLOOKUP(Table_Main[[#This Row],[Đơn bán]],Table_DonBan[],COUNTA(Table_DonBan[[#Headers],[Mã đơn bán]:[Ngày lập]]),0),0)</f>
        <v>45621</v>
      </c>
      <c r="BW37" s="51">
        <f>IFERROR(MONTH(Table_Main[[#This Row],[Ngày lên đơn]]),0)</f>
        <v>11</v>
      </c>
      <c r="BX37" s="51" t="str">
        <f>INDEX(Table_SKU[],
MATCH(Table_Main[[#This Row],[Mã SKU]],Table_SKU[Mã Sản phẩm],0),1)</f>
        <v>Nhóm 2</v>
      </c>
      <c r="BY37" s="52" t="str">
        <f xml:space="preserve">
IFERROR(VLOOKUP(Table_Main[[#This Row],[Đơn bán]],Table_DonBan[],COUNTA(Table_DonBan[[#Headers],[Mã đơn bán]:[Mã Khách]]),0),0)</f>
        <v>KH05</v>
      </c>
      <c r="BZ37" s="52" t="str">
        <f>VLOOKUP(Table_Main[[#This Row],[Khách hàng]],Table_KhachHang[],COUNTA(Table_KhachHang[[#Headers],[Mã khách]:[Phân khúc]]),0)</f>
        <v>B2C</v>
      </c>
      <c r="CA37" s="25" t="str">
        <f xml:space="preserve">
IFERROR(VLOOKUP(Table_Main[[#This Row],[Đơn bán]],Table_DonBan[],COUNTA(Table_DonBan[[#Headers],[Mã đơn bán]:[Mã NV]]),0),0)</f>
        <v>NV03</v>
      </c>
      <c r="CB37" s="7" t="str">
        <f xml:space="preserve">
IFERROR(VLOOKUP(Table_Main[[#This Row],[Đơn bán]],Table_DonBan[],COUNTA(Table_DonBan[[#Headers],[Mã đơn bán]:[Kênh]]),0),0)</f>
        <v>LZ</v>
      </c>
      <c r="CC37" s="7" t="str">
        <f>VLOOKUP(Table_Main[[#This Row],[Kênh]],Table_Kenh[],COUNTA(Table_Kenh[[#Headers],[Kênh]:[Nhóm Kênh]]),0)</f>
        <v>Sàn TMĐT</v>
      </c>
      <c r="CD37" s="53">
        <v>171</v>
      </c>
      <c r="CE37" s="7" t="str">
        <f>IFERROR(VLOOKUP(Table_Main[[#This Row],[Mã SKU]],Table_SKU[[Mã Sản phẩm]:[Giá bán]],COUNTA(Table_SKU[[#Headers],[Mã Sản phẩm]:[Đơn vị]]),0),0)</f>
        <v>Bộ</v>
      </c>
      <c r="CF37" s="7">
        <f>IFERROR(VLOOKUP(Table_Main[[#This Row],[Mã SKU]],Table_SKU[[Mã Sản phẩm]:[Giá bán]],COUNTA(Table_SKU[[#Headers],[Mã Sản phẩm]:[Giá bán]]),0),0)</f>
        <v>300000</v>
      </c>
      <c r="CG37" s="7">
        <f>Table_Main[[#This Row],[Giá bán]]*Table_Main[[#This Row],[Số lượng]]</f>
        <v>51300000</v>
      </c>
      <c r="CH37" s="60">
        <v>0</v>
      </c>
      <c r="CI37" s="7">
        <f>+Table_Main[[#This Row],[Thành tiền niêm yết]]-Table_Main[[#This Row],[Khuyễn mãi]]</f>
        <v>51300000</v>
      </c>
      <c r="CJ37" s="7" cm="1">
        <f t="array" ref="CJ37">VLOOKUP(Table_Main[[#This Row],[Đơn bán]],Table_DonBan[],COUNTA(Table_DonBan[[#Headers],[Mã đơn bán]:[Khuyễn mãi]]),0)*Table_Main[[#This Row],[Giá trị bán trước VAT]]/
SUM(_xlfn._xlws.FILTER(Table_Main[Giá trị bán trước VAT],
(Table_Main[Đơn bán]=Table_Main[[#This Row],[Đơn bán]])
))</f>
        <v>1530429.5942720764</v>
      </c>
      <c r="CK37" s="7">
        <f>Table_Main[[#This Row],[Giá trị bán trước VAT]]-Table_Main[[#This Row],[Phân bổ khuyến mãi đơn]]</f>
        <v>49769570.405727923</v>
      </c>
      <c r="CL37"/>
      <c r="CM37"/>
    </row>
    <row r="38" spans="1:91" ht="18" customHeight="1" x14ac:dyDescent="0.3">
      <c r="A38" s="26"/>
      <c r="B38" s="62" t="s">
        <v>17</v>
      </c>
      <c r="C38" t="s">
        <v>183</v>
      </c>
      <c r="D38" s="34"/>
      <c r="E38" s="34"/>
      <c r="F38" s="26"/>
      <c r="G38" s="26"/>
      <c r="H38" s="26"/>
      <c r="I38" s="26"/>
      <c r="J38" s="26"/>
      <c r="K38" s="26"/>
      <c r="L38" s="26"/>
      <c r="M38" s="26"/>
      <c r="N38" s="26"/>
      <c r="O38" s="26"/>
      <c r="P38" s="26"/>
      <c r="Q38" s="26"/>
      <c r="R38" s="62" t="s">
        <v>13</v>
      </c>
      <c r="S38" t="s">
        <v>183</v>
      </c>
      <c r="T38" s="34"/>
      <c r="U38" s="34"/>
      <c r="V38" s="26"/>
      <c r="W38" s="26"/>
      <c r="X38" s="26"/>
      <c r="Y38" s="26"/>
      <c r="Z38" s="26"/>
      <c r="AA38" s="26"/>
      <c r="AB38" s="26"/>
      <c r="AC38" s="26"/>
      <c r="AD38" s="26"/>
      <c r="AE38" s="26"/>
      <c r="AF38" s="26"/>
      <c r="AG38" s="62" t="s">
        <v>13</v>
      </c>
      <c r="AH38" t="s">
        <v>183</v>
      </c>
      <c r="AI38"/>
      <c r="AJ38" s="26"/>
      <c r="AK38" s="62" t="s">
        <v>13</v>
      </c>
      <c r="AL38" t="s">
        <v>183</v>
      </c>
      <c r="AM38" s="26"/>
      <c r="AN38" s="26"/>
      <c r="AO38" s="26"/>
      <c r="AP38" s="26"/>
      <c r="AQ38" s="26"/>
      <c r="AR38" s="26"/>
      <c r="AS38" s="26"/>
      <c r="AT38" s="26"/>
      <c r="AU38" s="26"/>
      <c r="AV38" s="26"/>
      <c r="AW38" s="26"/>
      <c r="AX38" s="26"/>
      <c r="AY38" s="1" t="s">
        <v>71</v>
      </c>
      <c r="AZ38" s="1" t="s">
        <v>80</v>
      </c>
      <c r="BA38" s="1" t="s">
        <v>74</v>
      </c>
      <c r="BB38" s="52">
        <f ca="1">TODAY()-_xlfn.MAXIFS(Table_DonBan[Ngày lập],Table_DonBan[Mã Khách],Table_KhachHang[[#This Row],[Mã khách]])</f>
        <v>180</v>
      </c>
      <c r="BC38" s="52" cm="1">
        <f t="array" aca="1" ref="BC38" ca="1">SUM(_xlfn._xlws.FILTER(Table_DonBan[Doanh thu ròng],
(Table_DonBan[Mã Khách] = Table_KhachHang[[#This Row],[Mã khách]])
)) / (TODAY()-_xlfn.MINIFS(Table_DonBan[Ngày lập],Table_DonBan[Mã Khách],Table_KhachHang[[#This Row],[Mã khách]]))</f>
        <v>850000</v>
      </c>
      <c r="BD38" s="27" cm="1">
        <f t="array" ref="BD38">SUM(_xlfn._xlws.FILTER(Table_DonBan[Doanh thu ròng],
(Table_DonBan[Mã Khách] = Table_KhachHang[[#This Row],[Mã khách]])
))</f>
        <v>411400000</v>
      </c>
      <c r="BE38" s="26"/>
      <c r="BF38" s="1" t="s">
        <v>87</v>
      </c>
      <c r="BG38" s="1" t="s">
        <v>90</v>
      </c>
      <c r="BH38" s="26"/>
      <c r="BJ38" s="26"/>
      <c r="BK38" s="43" t="s">
        <v>162</v>
      </c>
      <c r="BL38" s="37">
        <v>45601</v>
      </c>
      <c r="BM38" s="41" t="s">
        <v>66</v>
      </c>
      <c r="BN38" s="41" t="s">
        <v>92</v>
      </c>
      <c r="BO38" s="41" t="s">
        <v>82</v>
      </c>
      <c r="BP38" s="44" cm="1">
        <f t="array" ref="BP38">IFERROR(SUM(_xlfn._xlws.FILTER(Table_Main[Giá trị bán trước VAT],
(Table_Main[Đơn bán]=Table_DonBan[[#This Row],[Mã đơn bán]]),
)),0)</f>
        <v>159600000</v>
      </c>
      <c r="BQ38" s="46">
        <v>5000000</v>
      </c>
      <c r="BR38" s="44">
        <f>+Table_DonBan[[#This Row],[Tiền hàng]]-Table_DonBan[[#This Row],[Khuyễn mãi]]</f>
        <v>154600000</v>
      </c>
      <c r="BS38" s="26"/>
      <c r="BT38" s="49" t="s">
        <v>61</v>
      </c>
      <c r="BU38" s="50" t="s">
        <v>164</v>
      </c>
      <c r="BV38" s="6">
        <f xml:space="preserve">
IFERROR(VLOOKUP(Table_Main[[#This Row],[Đơn bán]],Table_DonBan[],COUNTA(Table_DonBan[[#Headers],[Mã đơn bán]:[Ngày lập]]),0),0)</f>
        <v>45621</v>
      </c>
      <c r="BW38" s="51">
        <f>IFERROR(MONTH(Table_Main[[#This Row],[Ngày lên đơn]]),0)</f>
        <v>11</v>
      </c>
      <c r="BX38" s="51" t="str">
        <f>INDEX(Table_SKU[],
MATCH(Table_Main[[#This Row],[Mã SKU]],Table_SKU[Mã Sản phẩm],0),1)</f>
        <v>Nhóm 3</v>
      </c>
      <c r="BY38" s="10" t="str">
        <f xml:space="preserve">
IFERROR(VLOOKUP(Table_Main[[#This Row],[Đơn bán]],Table_DonBan[],COUNTA(Table_DonBan[[#Headers],[Mã đơn bán]:[Mã Khách]]),0),0)</f>
        <v>KH05</v>
      </c>
      <c r="BZ38" s="10" t="str">
        <f>VLOOKUP(Table_Main[[#This Row],[Khách hàng]],Table_KhachHang[],COUNTA(Table_KhachHang[[#Headers],[Mã khách]:[Phân khúc]]),0)</f>
        <v>B2C</v>
      </c>
      <c r="CA38" s="25" t="str">
        <f xml:space="preserve">
IFERROR(VLOOKUP(Table_Main[[#This Row],[Đơn bán]],Table_DonBan[],COUNTA(Table_DonBan[[#Headers],[Mã đơn bán]:[Mã NV]]),0),0)</f>
        <v>NV03</v>
      </c>
      <c r="CB38" s="7" t="str">
        <f xml:space="preserve">
IFERROR(VLOOKUP(Table_Main[[#This Row],[Đơn bán]],Table_DonBan[],COUNTA(Table_DonBan[[#Headers],[Mã đơn bán]:[Kênh]]),0),0)</f>
        <v>LZ</v>
      </c>
      <c r="CC38" s="7" t="str">
        <f>VLOOKUP(Table_Main[[#This Row],[Kênh]],Table_Kenh[],COUNTA(Table_Kenh[[#Headers],[Kênh]:[Nhóm Kênh]]),0)</f>
        <v>Sàn TMĐT</v>
      </c>
      <c r="CD38" s="53">
        <v>119</v>
      </c>
      <c r="CE38" s="7" t="str">
        <f>IFERROR(VLOOKUP(Table_Main[[#This Row],[Mã SKU]],Table_SKU[[Mã Sản phẩm]:[Giá bán]],COUNTA(Table_SKU[[#Headers],[Mã Sản phẩm]:[Đơn vị]]),0),0)</f>
        <v>Bộ</v>
      </c>
      <c r="CF38" s="7">
        <f>IFERROR(VLOOKUP(Table_Main[[#This Row],[Mã SKU]],Table_SKU[[Mã Sản phẩm]:[Giá bán]],COUNTA(Table_SKU[[#Headers],[Mã Sản phẩm]:[Giá bán]]),0),0)</f>
        <v>500000</v>
      </c>
      <c r="CG38" s="7">
        <f>Table_Main[[#This Row],[Giá bán]]*Table_Main[[#This Row],[Số lượng]]</f>
        <v>59500000</v>
      </c>
      <c r="CH38" s="60">
        <v>0</v>
      </c>
      <c r="CI38" s="7">
        <f>+Table_Main[[#This Row],[Thành tiền niêm yết]]-Table_Main[[#This Row],[Khuyễn mãi]]</f>
        <v>59500000</v>
      </c>
      <c r="CJ38" s="7" cm="1">
        <f t="array" ref="CJ38">VLOOKUP(Table_Main[[#This Row],[Đơn bán]],Table_DonBan[],COUNTA(Table_DonBan[[#Headers],[Mã đơn bán]:[Khuyễn mãi]]),0)*Table_Main[[#This Row],[Giá trị bán trước VAT]]/
SUM(_xlfn._xlws.FILTER(Table_Main[Giá trị bán trước VAT],
(Table_Main[Đơn bán]=Table_Main[[#This Row],[Đơn bán]])
))</f>
        <v>1775059.6658711217</v>
      </c>
      <c r="CK38" s="7">
        <f>Table_Main[[#This Row],[Giá trị bán trước VAT]]-Table_Main[[#This Row],[Phân bổ khuyến mãi đơn]]</f>
        <v>57724940.334128879</v>
      </c>
      <c r="CL38"/>
      <c r="CM38"/>
    </row>
    <row r="39" spans="1:91" ht="18" customHeight="1" x14ac:dyDescent="0.3">
      <c r="A39" s="26"/>
      <c r="B39" s="62" t="s">
        <v>185</v>
      </c>
      <c r="C39" t="s">
        <v>183</v>
      </c>
      <c r="D39" s="34"/>
      <c r="E39" s="34"/>
      <c r="F39" s="26"/>
      <c r="G39" s="26"/>
      <c r="H39" s="26"/>
      <c r="I39" s="26"/>
      <c r="J39" s="26"/>
      <c r="K39" s="26"/>
      <c r="L39" s="26"/>
      <c r="M39" s="26"/>
      <c r="N39" s="26"/>
      <c r="O39" s="26"/>
      <c r="P39" s="26"/>
      <c r="Q39" s="26"/>
      <c r="R39" s="62" t="s">
        <v>185</v>
      </c>
      <c r="S39" t="s">
        <v>183</v>
      </c>
      <c r="T39" s="34"/>
      <c r="U39" s="34"/>
      <c r="V39" s="26"/>
      <c r="W39" s="26"/>
      <c r="X39" s="26"/>
      <c r="Y39" s="26"/>
      <c r="Z39" s="26"/>
      <c r="AA39" s="26"/>
      <c r="AB39" s="26"/>
      <c r="AC39" s="26"/>
      <c r="AD39" s="26"/>
      <c r="AE39" s="26"/>
      <c r="AF39" s="26"/>
      <c r="AG39" s="62" t="s">
        <v>11</v>
      </c>
      <c r="AH39" t="s">
        <v>183</v>
      </c>
      <c r="AI39"/>
      <c r="AJ39" s="26"/>
      <c r="AK39" s="62" t="s">
        <v>11</v>
      </c>
      <c r="AL39" t="s">
        <v>183</v>
      </c>
      <c r="AM39" s="26"/>
      <c r="AN39" s="26"/>
      <c r="AO39" s="26"/>
      <c r="AP39" s="26"/>
      <c r="AQ39" s="26"/>
      <c r="AR39" s="26"/>
      <c r="AS39" s="26"/>
      <c r="AT39" s="26"/>
      <c r="AU39" s="26"/>
      <c r="AV39" s="26"/>
      <c r="AW39" s="26"/>
      <c r="AX39" s="26"/>
      <c r="AY39" s="1" t="s">
        <v>72</v>
      </c>
      <c r="AZ39" s="1" t="s">
        <v>81</v>
      </c>
      <c r="BA39" s="1" t="s">
        <v>76</v>
      </c>
      <c r="BB39" s="52">
        <f ca="1">TODAY()-_xlfn.MAXIFS(Table_DonBan[Ngày lập],Table_DonBan[Mã Khách],Table_KhachHang[[#This Row],[Mã khách]])</f>
        <v>160</v>
      </c>
      <c r="BC39" s="52" cm="1">
        <f t="array" aca="1" ref="BC39" ca="1">SUM(_xlfn._xlws.FILTER(Table_DonBan[Doanh thu ròng],
(Table_DonBan[Mã Khách] = Table_KhachHang[[#This Row],[Mã khách]])
)) / (TODAY()-_xlfn.MINIFS(Table_DonBan[Ngày lập],Table_DonBan[Mã Khách],Table_KhachHang[[#This Row],[Mã khách]]))</f>
        <v>360560.3448275862</v>
      </c>
      <c r="BD39" s="27" cm="1">
        <f t="array" ref="BD39">SUM(_xlfn._xlws.FILTER(Table_DonBan[Doanh thu ròng],
(Table_DonBan[Mã Khách] = Table_KhachHang[[#This Row],[Mã khách]])
))</f>
        <v>167300000</v>
      </c>
      <c r="BE39" s="26"/>
      <c r="BH39" s="26"/>
      <c r="BJ39" s="26"/>
      <c r="BK39" s="43" t="s">
        <v>161</v>
      </c>
      <c r="BL39" s="37">
        <v>45590</v>
      </c>
      <c r="BM39" s="41" t="s">
        <v>68</v>
      </c>
      <c r="BN39" s="41" t="s">
        <v>92</v>
      </c>
      <c r="BO39" s="41" t="s">
        <v>84</v>
      </c>
      <c r="BP39" s="44" cm="1">
        <f t="array" ref="BP39">IFERROR(SUM(_xlfn._xlws.FILTER(Table_Main[Giá trị bán trước VAT],
(Table_Main[Đơn bán]=Table_DonBan[[#This Row],[Mã đơn bán]]),
)),0)</f>
        <v>159200000</v>
      </c>
      <c r="BQ39" s="46">
        <v>0</v>
      </c>
      <c r="BR39" s="44">
        <f>+Table_DonBan[[#This Row],[Tiền hàng]]-Table_DonBan[[#This Row],[Khuyễn mãi]]</f>
        <v>159200000</v>
      </c>
      <c r="BS39" s="26"/>
      <c r="BT39" s="49" t="s">
        <v>59</v>
      </c>
      <c r="BU39" s="50" t="s">
        <v>163</v>
      </c>
      <c r="BV39" s="6">
        <f xml:space="preserve">
IFERROR(VLOOKUP(Table_Main[[#This Row],[Đơn bán]],Table_DonBan[],COUNTA(Table_DonBan[[#Headers],[Mã đơn bán]:[Ngày lập]]),0),0)</f>
        <v>45611</v>
      </c>
      <c r="BW39" s="51">
        <f>IFERROR(MONTH(Table_Main[[#This Row],[Ngày lên đơn]]),0)</f>
        <v>11</v>
      </c>
      <c r="BX39" s="51" t="str">
        <f>INDEX(Table_SKU[],
MATCH(Table_Main[[#This Row],[Mã SKU]],Table_SKU[Mã Sản phẩm],0),1)</f>
        <v>Nhóm 1</v>
      </c>
      <c r="BY39" s="52" t="str">
        <f xml:space="preserve">
IFERROR(VLOOKUP(Table_Main[[#This Row],[Đơn bán]],Table_DonBan[],COUNTA(Table_DonBan[[#Headers],[Mã đơn bán]:[Mã Khách]]),0),0)</f>
        <v>KH03</v>
      </c>
      <c r="BZ39" s="52" t="str">
        <f>VLOOKUP(Table_Main[[#This Row],[Khách hàng]],Table_KhachHang[],COUNTA(Table_KhachHang[[#Headers],[Mã khách]:[Phân khúc]]),0)</f>
        <v>B2C</v>
      </c>
      <c r="CA39" s="25" t="str">
        <f xml:space="preserve">
IFERROR(VLOOKUP(Table_Main[[#This Row],[Đơn bán]],Table_DonBan[],COUNTA(Table_DonBan[[#Headers],[Mã đơn bán]:[Mã NV]]),0),0)</f>
        <v>NV02</v>
      </c>
      <c r="CB39" s="7" t="str">
        <f xml:space="preserve">
IFERROR(VLOOKUP(Table_Main[[#This Row],[Đơn bán]],Table_DonBan[],COUNTA(Table_DonBan[[#Headers],[Mã đơn bán]:[Kênh]]),0),0)</f>
        <v>ST</v>
      </c>
      <c r="CC39" s="7" t="str">
        <f>VLOOKUP(Table_Main[[#This Row],[Kênh]],Table_Kenh[],COUNTA(Table_Kenh[[#Headers],[Kênh]:[Nhóm Kênh]]),0)</f>
        <v>Offline</v>
      </c>
      <c r="CD39" s="53">
        <v>278</v>
      </c>
      <c r="CE39" s="7" t="str">
        <f>IFERROR(VLOOKUP(Table_Main[[#This Row],[Mã SKU]],Table_SKU[[Mã Sản phẩm]:[Giá bán]],COUNTA(Table_SKU[[#Headers],[Mã Sản phẩm]:[Đơn vị]]),0),0)</f>
        <v>Bộ</v>
      </c>
      <c r="CF39" s="7">
        <f>IFERROR(VLOOKUP(Table_Main[[#This Row],[Mã SKU]],Table_SKU[[Mã Sản phẩm]:[Giá bán]],COUNTA(Table_SKU[[#Headers],[Mã Sản phẩm]:[Giá bán]]),0),0)</f>
        <v>200000</v>
      </c>
      <c r="CG39" s="7">
        <f>Table_Main[[#This Row],[Giá bán]]*Table_Main[[#This Row],[Số lượng]]</f>
        <v>55600000</v>
      </c>
      <c r="CH39" s="60">
        <v>0</v>
      </c>
      <c r="CI39" s="7">
        <f>+Table_Main[[#This Row],[Thành tiền niêm yết]]-Table_Main[[#This Row],[Khuyễn mãi]]</f>
        <v>55600000</v>
      </c>
      <c r="CJ39" s="7" cm="1">
        <f t="array" ref="CJ39">VLOOKUP(Table_Main[[#This Row],[Đơn bán]],Table_DonBan[],COUNTA(Table_DonBan[[#Headers],[Mã đơn bán]:[Khuyễn mãi]]),0)*Table_Main[[#This Row],[Giá trị bán trước VAT]]/
SUM(_xlfn._xlws.FILTER(Table_Main[Giá trị bán trước VAT],
(Table_Main[Đơn bán]=Table_Main[[#This Row],[Đơn bán]])
))</f>
        <v>1684848.4848484849</v>
      </c>
      <c r="CK39" s="7">
        <f>Table_Main[[#This Row],[Giá trị bán trước VAT]]-Table_Main[[#This Row],[Phân bổ khuyến mãi đơn]]</f>
        <v>53915151.515151516</v>
      </c>
      <c r="CL39"/>
      <c r="CM39"/>
    </row>
    <row r="40" spans="1:91" ht="16.5" x14ac:dyDescent="0.3">
      <c r="A40" s="26"/>
      <c r="B40" s="62" t="s">
        <v>16</v>
      </c>
      <c r="C40" t="s">
        <v>183</v>
      </c>
      <c r="D40" s="34"/>
      <c r="E40" s="34"/>
      <c r="F40" s="26"/>
      <c r="G40" s="26"/>
      <c r="H40" s="26"/>
      <c r="I40" s="26"/>
      <c r="J40" s="26"/>
      <c r="K40" s="26"/>
      <c r="L40" s="26"/>
      <c r="M40" s="26"/>
      <c r="N40" s="26"/>
      <c r="O40" s="26"/>
      <c r="P40" s="26"/>
      <c r="Q40" s="26"/>
      <c r="R40" s="62" t="s">
        <v>16</v>
      </c>
      <c r="S40" t="s">
        <v>183</v>
      </c>
      <c r="T40" s="34"/>
      <c r="U40" s="34"/>
      <c r="V40" s="26"/>
      <c r="W40" s="26"/>
      <c r="X40" s="26"/>
      <c r="Y40" s="26"/>
      <c r="Z40" s="26"/>
      <c r="AA40" s="26"/>
      <c r="AB40" s="26"/>
      <c r="AC40" s="26"/>
      <c r="AD40" s="26"/>
      <c r="AE40" s="26"/>
      <c r="AF40" s="26"/>
      <c r="AG40" s="62" t="s">
        <v>17</v>
      </c>
      <c r="AH40" t="s">
        <v>183</v>
      </c>
      <c r="AI40"/>
      <c r="AJ40" s="26"/>
      <c r="AK40" s="62" t="s">
        <v>17</v>
      </c>
      <c r="AL40" t="s">
        <v>183</v>
      </c>
      <c r="AM40" s="26"/>
      <c r="AN40" s="26"/>
      <c r="AO40" s="26"/>
      <c r="AP40" s="26"/>
      <c r="AQ40" s="26"/>
      <c r="AR40" s="26"/>
      <c r="AS40" s="26"/>
      <c r="AT40" s="26"/>
      <c r="AU40" s="26"/>
      <c r="AV40" s="26"/>
      <c r="AW40" s="26"/>
      <c r="AX40" s="26"/>
      <c r="AY40" s="27"/>
      <c r="BE40" s="26"/>
      <c r="BH40" s="26"/>
      <c r="BJ40" s="26"/>
      <c r="BK40" s="43" t="s">
        <v>160</v>
      </c>
      <c r="BL40" s="37">
        <v>45580</v>
      </c>
      <c r="BM40" s="41" t="s">
        <v>69</v>
      </c>
      <c r="BN40" s="41" t="s">
        <v>93</v>
      </c>
      <c r="BO40" s="41" t="s">
        <v>83</v>
      </c>
      <c r="BP40" s="44" cm="1">
        <f t="array" ref="BP40">IFERROR(SUM(_xlfn._xlws.FILTER(Table_Main[Giá trị bán trước VAT],
(Table_Main[Đơn bán]=Table_DonBan[[#This Row],[Mã đơn bán]]),
)),0)</f>
        <v>155000000</v>
      </c>
      <c r="BQ40" s="46">
        <v>0</v>
      </c>
      <c r="BR40" s="44">
        <f>+Table_DonBan[[#This Row],[Tiền hàng]]-Table_DonBan[[#This Row],[Khuyễn mãi]]</f>
        <v>155000000</v>
      </c>
      <c r="BS40" s="26"/>
      <c r="BT40" s="49" t="s">
        <v>60</v>
      </c>
      <c r="BU40" s="50" t="s">
        <v>163</v>
      </c>
      <c r="BV40" s="6">
        <f xml:space="preserve">
IFERROR(VLOOKUP(Table_Main[[#This Row],[Đơn bán]],Table_DonBan[],COUNTA(Table_DonBan[[#Headers],[Mã đơn bán]:[Ngày lập]]),0),0)</f>
        <v>45611</v>
      </c>
      <c r="BW40" s="51">
        <f>IFERROR(MONTH(Table_Main[[#This Row],[Ngày lên đơn]]),0)</f>
        <v>11</v>
      </c>
      <c r="BX40" s="51" t="str">
        <f>INDEX(Table_SKU[],
MATCH(Table_Main[[#This Row],[Mã SKU]],Table_SKU[Mã Sản phẩm],0),1)</f>
        <v>Nhóm 2</v>
      </c>
      <c r="BY40" s="52" t="str">
        <f xml:space="preserve">
IFERROR(VLOOKUP(Table_Main[[#This Row],[Đơn bán]],Table_DonBan[],COUNTA(Table_DonBan[[#Headers],[Mã đơn bán]:[Mã Khách]]),0),0)</f>
        <v>KH03</v>
      </c>
      <c r="BZ40" s="52" t="str">
        <f>VLOOKUP(Table_Main[[#This Row],[Khách hàng]],Table_KhachHang[],COUNTA(Table_KhachHang[[#Headers],[Mã khách]:[Phân khúc]]),0)</f>
        <v>B2C</v>
      </c>
      <c r="CA40" s="25" t="str">
        <f xml:space="preserve">
IFERROR(VLOOKUP(Table_Main[[#This Row],[Đơn bán]],Table_DonBan[],COUNTA(Table_DonBan[[#Headers],[Mã đơn bán]:[Mã NV]]),0),0)</f>
        <v>NV02</v>
      </c>
      <c r="CB40" s="7" t="str">
        <f xml:space="preserve">
IFERROR(VLOOKUP(Table_Main[[#This Row],[Đơn bán]],Table_DonBan[],COUNTA(Table_DonBan[[#Headers],[Mã đơn bán]:[Kênh]]),0),0)</f>
        <v>ST</v>
      </c>
      <c r="CC40" s="7" t="str">
        <f>VLOOKUP(Table_Main[[#This Row],[Kênh]],Table_Kenh[],COUNTA(Table_Kenh[[#Headers],[Kênh]:[Nhóm Kênh]]),0)</f>
        <v>Offline</v>
      </c>
      <c r="CD40" s="53">
        <v>168</v>
      </c>
      <c r="CE40" s="7" t="str">
        <f>IFERROR(VLOOKUP(Table_Main[[#This Row],[Mã SKU]],Table_SKU[[Mã Sản phẩm]:[Giá bán]],COUNTA(Table_SKU[[#Headers],[Mã Sản phẩm]:[Đơn vị]]),0),0)</f>
        <v>Bộ</v>
      </c>
      <c r="CF40" s="7">
        <f>IFERROR(VLOOKUP(Table_Main[[#This Row],[Mã SKU]],Table_SKU[[Mã Sản phẩm]:[Giá bán]],COUNTA(Table_SKU[[#Headers],[Mã Sản phẩm]:[Giá bán]]),0),0)</f>
        <v>300000</v>
      </c>
      <c r="CG40" s="7">
        <f>Table_Main[[#This Row],[Giá bán]]*Table_Main[[#This Row],[Số lượng]]</f>
        <v>50400000</v>
      </c>
      <c r="CH40" s="60">
        <v>0</v>
      </c>
      <c r="CI40" s="7">
        <f>+Table_Main[[#This Row],[Thành tiền niêm yết]]-Table_Main[[#This Row],[Khuyễn mãi]]</f>
        <v>50400000</v>
      </c>
      <c r="CJ40" s="7" cm="1">
        <f t="array" ref="CJ40">VLOOKUP(Table_Main[[#This Row],[Đơn bán]],Table_DonBan[],COUNTA(Table_DonBan[[#Headers],[Mã đơn bán]:[Khuyễn mãi]]),0)*Table_Main[[#This Row],[Giá trị bán trước VAT]]/
SUM(_xlfn._xlws.FILTER(Table_Main[Giá trị bán trước VAT],
(Table_Main[Đơn bán]=Table_Main[[#This Row],[Đơn bán]])
))</f>
        <v>1527272.7272727273</v>
      </c>
      <c r="CK40" s="7">
        <f>Table_Main[[#This Row],[Giá trị bán trước VAT]]-Table_Main[[#This Row],[Phân bổ khuyến mãi đơn]]</f>
        <v>48872727.272727273</v>
      </c>
      <c r="CL40"/>
      <c r="CM40"/>
    </row>
    <row r="41" spans="1:91" ht="16.5" x14ac:dyDescent="0.3">
      <c r="A41" s="26"/>
      <c r="B41" s="62" t="s">
        <v>24</v>
      </c>
      <c r="C41" t="s">
        <v>183</v>
      </c>
      <c r="D41" s="34"/>
      <c r="E41" s="34"/>
      <c r="F41" s="26"/>
      <c r="G41" s="26"/>
      <c r="H41" s="26"/>
      <c r="I41" s="26"/>
      <c r="J41" s="26"/>
      <c r="K41" s="26"/>
      <c r="L41" s="26"/>
      <c r="M41" s="26"/>
      <c r="N41" s="26"/>
      <c r="O41" s="26"/>
      <c r="P41" s="26"/>
      <c r="Q41" s="26"/>
      <c r="R41" s="62" t="s">
        <v>24</v>
      </c>
      <c r="S41" t="s">
        <v>183</v>
      </c>
      <c r="T41" s="34"/>
      <c r="U41" s="34"/>
      <c r="V41" s="26"/>
      <c r="W41" s="26"/>
      <c r="X41" s="26"/>
      <c r="Y41" s="26"/>
      <c r="Z41" s="26"/>
      <c r="AA41" s="26"/>
      <c r="AB41" s="26"/>
      <c r="AC41" s="26"/>
      <c r="AD41" s="26"/>
      <c r="AE41" s="26"/>
      <c r="AF41" s="26"/>
      <c r="AG41" s="62" t="s">
        <v>24</v>
      </c>
      <c r="AH41" t="s">
        <v>183</v>
      </c>
      <c r="AI41"/>
      <c r="AJ41" s="26"/>
      <c r="AK41" s="62" t="s">
        <v>16</v>
      </c>
      <c r="AL41" t="s">
        <v>183</v>
      </c>
      <c r="AM41" s="26"/>
      <c r="AN41" s="26"/>
      <c r="AO41" s="26"/>
      <c r="AP41" s="26"/>
      <c r="AQ41" s="26"/>
      <c r="AR41" s="26"/>
      <c r="AS41" s="26"/>
      <c r="AT41" s="26"/>
      <c r="AU41" s="26"/>
      <c r="AV41" s="26"/>
      <c r="AW41" s="26"/>
      <c r="AX41" s="26"/>
      <c r="AY41" s="27"/>
      <c r="BE41" s="26"/>
      <c r="BH41" s="26"/>
      <c r="BJ41" s="26"/>
      <c r="BK41" s="43" t="s">
        <v>159</v>
      </c>
      <c r="BL41" s="37">
        <v>45570</v>
      </c>
      <c r="BM41" s="41" t="s">
        <v>67</v>
      </c>
      <c r="BN41" s="41" t="s">
        <v>92</v>
      </c>
      <c r="BO41" s="41" t="s">
        <v>85</v>
      </c>
      <c r="BP41" s="44" cm="1">
        <f t="array" ref="BP41">IFERROR(SUM(_xlfn._xlws.FILTER(Table_Main[Giá trị bán trước VAT],
(Table_Main[Đơn bán]=Table_DonBan[[#This Row],[Mã đơn bán]]),
)),0)</f>
        <v>155100000</v>
      </c>
      <c r="BQ41" s="46">
        <v>0</v>
      </c>
      <c r="BR41" s="44">
        <f>+Table_DonBan[[#This Row],[Tiền hàng]]-Table_DonBan[[#This Row],[Khuyễn mãi]]</f>
        <v>155100000</v>
      </c>
      <c r="BS41" s="26"/>
      <c r="BT41" s="49" t="s">
        <v>61</v>
      </c>
      <c r="BU41" s="50" t="s">
        <v>163</v>
      </c>
      <c r="BV41" s="6">
        <f xml:space="preserve">
IFERROR(VLOOKUP(Table_Main[[#This Row],[Đơn bán]],Table_DonBan[],COUNTA(Table_DonBan[[#Headers],[Mã đơn bán]:[Ngày lập]]),0),0)</f>
        <v>45611</v>
      </c>
      <c r="BW41" s="51">
        <f>IFERROR(MONTH(Table_Main[[#This Row],[Ngày lên đơn]]),0)</f>
        <v>11</v>
      </c>
      <c r="BX41" s="51" t="str">
        <f>INDEX(Table_SKU[],
MATCH(Table_Main[[#This Row],[Mã SKU]],Table_SKU[Mã Sản phẩm],0),1)</f>
        <v>Nhóm 3</v>
      </c>
      <c r="BY41" s="52" t="str">
        <f xml:space="preserve">
IFERROR(VLOOKUP(Table_Main[[#This Row],[Đơn bán]],Table_DonBan[],COUNTA(Table_DonBan[[#Headers],[Mã đơn bán]:[Mã Khách]]),0),0)</f>
        <v>KH03</v>
      </c>
      <c r="BZ41" s="52" t="str">
        <f>VLOOKUP(Table_Main[[#This Row],[Khách hàng]],Table_KhachHang[],COUNTA(Table_KhachHang[[#Headers],[Mã khách]:[Phân khúc]]),0)</f>
        <v>B2C</v>
      </c>
      <c r="CA41" s="25" t="str">
        <f xml:space="preserve">
IFERROR(VLOOKUP(Table_Main[[#This Row],[Đơn bán]],Table_DonBan[],COUNTA(Table_DonBan[[#Headers],[Mã đơn bán]:[Mã NV]]),0),0)</f>
        <v>NV02</v>
      </c>
      <c r="CB41" s="7" t="str">
        <f xml:space="preserve">
IFERROR(VLOOKUP(Table_Main[[#This Row],[Đơn bán]],Table_DonBan[],COUNTA(Table_DonBan[[#Headers],[Mã đơn bán]:[Kênh]]),0),0)</f>
        <v>ST</v>
      </c>
      <c r="CC41" s="7" t="str">
        <f>VLOOKUP(Table_Main[[#This Row],[Kênh]],Table_Kenh[],COUNTA(Table_Kenh[[#Headers],[Kênh]:[Nhóm Kênh]]),0)</f>
        <v>Offline</v>
      </c>
      <c r="CD41" s="53">
        <v>118</v>
      </c>
      <c r="CE41" s="7" t="str">
        <f>IFERROR(VLOOKUP(Table_Main[[#This Row],[Mã SKU]],Table_SKU[[Mã Sản phẩm]:[Giá bán]],COUNTA(Table_SKU[[#Headers],[Mã Sản phẩm]:[Đơn vị]]),0),0)</f>
        <v>Bộ</v>
      </c>
      <c r="CF41" s="7">
        <f>IFERROR(VLOOKUP(Table_Main[[#This Row],[Mã SKU]],Table_SKU[[Mã Sản phẩm]:[Giá bán]],COUNTA(Table_SKU[[#Headers],[Mã Sản phẩm]:[Giá bán]]),0),0)</f>
        <v>500000</v>
      </c>
      <c r="CG41" s="7">
        <f>Table_Main[[#This Row],[Giá bán]]*Table_Main[[#This Row],[Số lượng]]</f>
        <v>59000000</v>
      </c>
      <c r="CH41" s="60">
        <v>0</v>
      </c>
      <c r="CI41" s="7">
        <f>+Table_Main[[#This Row],[Thành tiền niêm yết]]-Table_Main[[#This Row],[Khuyễn mãi]]</f>
        <v>59000000</v>
      </c>
      <c r="CJ41" s="7" cm="1">
        <f t="array" ref="CJ41">VLOOKUP(Table_Main[[#This Row],[Đơn bán]],Table_DonBan[],COUNTA(Table_DonBan[[#Headers],[Mã đơn bán]:[Khuyễn mãi]]),0)*Table_Main[[#This Row],[Giá trị bán trước VAT]]/
SUM(_xlfn._xlws.FILTER(Table_Main[Giá trị bán trước VAT],
(Table_Main[Đơn bán]=Table_Main[[#This Row],[Đơn bán]])
))</f>
        <v>1787878.7878787878</v>
      </c>
      <c r="CK41" s="7">
        <f>Table_Main[[#This Row],[Giá trị bán trước VAT]]-Table_Main[[#This Row],[Phân bổ khuyến mãi đơn]]</f>
        <v>57212121.212121211</v>
      </c>
      <c r="CL41"/>
      <c r="CM41"/>
    </row>
    <row r="42" spans="1:91" ht="16.5" x14ac:dyDescent="0.3">
      <c r="A42" s="26"/>
      <c r="B42" s="9"/>
      <c r="C42" s="9"/>
      <c r="D42" s="34"/>
      <c r="E42" s="34"/>
      <c r="F42" s="26"/>
      <c r="G42" s="26"/>
      <c r="H42" s="26"/>
      <c r="I42" s="26"/>
      <c r="J42" s="26"/>
      <c r="K42" s="26"/>
      <c r="L42" s="26"/>
      <c r="M42" s="26"/>
      <c r="N42" s="26"/>
      <c r="O42" s="26"/>
      <c r="P42" s="26"/>
      <c r="Q42" s="26"/>
      <c r="R42" s="34"/>
      <c r="S42" s="34"/>
      <c r="T42" s="34"/>
      <c r="U42" s="34"/>
      <c r="V42" s="26"/>
      <c r="W42" s="26"/>
      <c r="X42" s="26"/>
      <c r="Y42" s="26"/>
      <c r="Z42" s="26"/>
      <c r="AA42" s="26"/>
      <c r="AB42" s="26"/>
      <c r="AC42" s="26"/>
      <c r="AD42" s="26"/>
      <c r="AE42" s="26"/>
      <c r="AF42" s="26"/>
      <c r="AG42" s="9"/>
      <c r="AH42" s="9"/>
      <c r="AI42" s="9"/>
      <c r="AJ42" s="26"/>
      <c r="AM42" s="26"/>
      <c r="AN42" s="26"/>
      <c r="AO42" s="26"/>
      <c r="AP42" s="26"/>
      <c r="AQ42" s="26"/>
      <c r="AR42" s="26"/>
      <c r="AS42" s="26"/>
      <c r="AT42" s="26"/>
      <c r="AU42" s="26"/>
      <c r="AV42" s="26"/>
      <c r="AW42" s="26"/>
      <c r="AX42" s="26"/>
      <c r="AY42" s="27"/>
      <c r="BE42" s="26"/>
      <c r="BH42" s="26"/>
      <c r="BJ42" s="26"/>
      <c r="BK42" s="43" t="s">
        <v>158</v>
      </c>
      <c r="BL42" s="37">
        <v>45560</v>
      </c>
      <c r="BM42" s="41" t="s">
        <v>66</v>
      </c>
      <c r="BN42" s="41" t="s">
        <v>92</v>
      </c>
      <c r="BO42" s="41" t="s">
        <v>82</v>
      </c>
      <c r="BP42" s="44" cm="1">
        <f t="array" ref="BP42">IFERROR(SUM(_xlfn._xlws.FILTER(Table_Main[Giá trị bán trước VAT],
(Table_Main[Đơn bán]=Table_DonBan[[#This Row],[Mã đơn bán]]),
)),0)</f>
        <v>149900000</v>
      </c>
      <c r="BQ42" s="46">
        <v>0</v>
      </c>
      <c r="BR42" s="44">
        <f>+Table_DonBan[[#This Row],[Tiền hàng]]-Table_DonBan[[#This Row],[Khuyễn mãi]]</f>
        <v>149900000</v>
      </c>
      <c r="BS42" s="26"/>
      <c r="BT42" s="49" t="s">
        <v>59</v>
      </c>
      <c r="BU42" s="50" t="s">
        <v>162</v>
      </c>
      <c r="BV42" s="6">
        <f xml:space="preserve">
IFERROR(VLOOKUP(Table_Main[[#This Row],[Đơn bán]],Table_DonBan[],COUNTA(Table_DonBan[[#Headers],[Mã đơn bán]:[Ngày lập]]),0),0)</f>
        <v>45601</v>
      </c>
      <c r="BW42" s="51">
        <f>IFERROR(MONTH(Table_Main[[#This Row],[Ngày lên đơn]]),0)</f>
        <v>11</v>
      </c>
      <c r="BX42" s="51" t="str">
        <f>INDEX(Table_SKU[],
MATCH(Table_Main[[#This Row],[Mã SKU]],Table_SKU[Mã Sản phẩm],0),1)</f>
        <v>Nhóm 1</v>
      </c>
      <c r="BY42" s="52" t="str">
        <f xml:space="preserve">
IFERROR(VLOOKUP(Table_Main[[#This Row],[Đơn bán]],Table_DonBan[],COUNTA(Table_DonBan[[#Headers],[Mã đơn bán]:[Mã Khách]]),0),0)</f>
        <v>KH01</v>
      </c>
      <c r="BZ42" s="52" t="str">
        <f>VLOOKUP(Table_Main[[#This Row],[Khách hàng]],Table_KhachHang[],COUNTA(Table_KhachHang[[#Headers],[Mã khách]:[Phân khúc]]),0)</f>
        <v>B2B</v>
      </c>
      <c r="CA42" s="25" t="str">
        <f xml:space="preserve">
IFERROR(VLOOKUP(Table_Main[[#This Row],[Đơn bán]],Table_DonBan[],COUNTA(Table_DonBan[[#Headers],[Mã đơn bán]:[Mã NV]]),0),0)</f>
        <v>NV02</v>
      </c>
      <c r="CB42" s="7" t="str">
        <f xml:space="preserve">
IFERROR(VLOOKUP(Table_Main[[#This Row],[Đơn bán]],Table_DonBan[],COUNTA(Table_DonBan[[#Headers],[Mã đơn bán]:[Kênh]]),0),0)</f>
        <v>ST</v>
      </c>
      <c r="CC42" s="7" t="str">
        <f>VLOOKUP(Table_Main[[#This Row],[Kênh]],Table_Kenh[],COUNTA(Table_Kenh[[#Headers],[Kênh]:[Nhóm Kênh]]),0)</f>
        <v>Offline</v>
      </c>
      <c r="CD42" s="53">
        <v>265</v>
      </c>
      <c r="CE42" s="7" t="str">
        <f>IFERROR(VLOOKUP(Table_Main[[#This Row],[Mã SKU]],Table_SKU[[Mã Sản phẩm]:[Giá bán]],COUNTA(Table_SKU[[#Headers],[Mã Sản phẩm]:[Đơn vị]]),0),0)</f>
        <v>Bộ</v>
      </c>
      <c r="CF42" s="7">
        <f>IFERROR(VLOOKUP(Table_Main[[#This Row],[Mã SKU]],Table_SKU[[Mã Sản phẩm]:[Giá bán]],COUNTA(Table_SKU[[#Headers],[Mã Sản phẩm]:[Giá bán]]),0),0)</f>
        <v>200000</v>
      </c>
      <c r="CG42" s="7">
        <f>Table_Main[[#This Row],[Giá bán]]*Table_Main[[#This Row],[Số lượng]]</f>
        <v>53000000</v>
      </c>
      <c r="CH42" s="60">
        <v>0</v>
      </c>
      <c r="CI42" s="7">
        <f>+Table_Main[[#This Row],[Thành tiền niêm yết]]-Table_Main[[#This Row],[Khuyễn mãi]]</f>
        <v>53000000</v>
      </c>
      <c r="CJ42" s="7" cm="1">
        <f t="array" ref="CJ42">VLOOKUP(Table_Main[[#This Row],[Đơn bán]],Table_DonBan[],COUNTA(Table_DonBan[[#Headers],[Mã đơn bán]:[Khuyễn mãi]]),0)*Table_Main[[#This Row],[Giá trị bán trước VAT]]/
SUM(_xlfn._xlws.FILTER(Table_Main[Giá trị bán trước VAT],
(Table_Main[Đơn bán]=Table_Main[[#This Row],[Đơn bán]])
))</f>
        <v>1660401.0025062656</v>
      </c>
      <c r="CK42" s="7">
        <f>Table_Main[[#This Row],[Giá trị bán trước VAT]]-Table_Main[[#This Row],[Phân bổ khuyến mãi đơn]]</f>
        <v>51339598.997493736</v>
      </c>
      <c r="CL42"/>
      <c r="CM42"/>
    </row>
    <row r="43" spans="1:91" ht="16.5" x14ac:dyDescent="0.3">
      <c r="B43" s="62" t="s">
        <v>188</v>
      </c>
      <c r="C43" s="62" t="s">
        <v>191</v>
      </c>
      <c r="D43"/>
      <c r="E43"/>
      <c r="R43" s="62" t="s">
        <v>188</v>
      </c>
      <c r="S43" s="62" t="s">
        <v>191</v>
      </c>
      <c r="T43"/>
      <c r="U43"/>
      <c r="AG43" s="62" t="s">
        <v>168</v>
      </c>
      <c r="AH43" t="s">
        <v>188</v>
      </c>
      <c r="AI43"/>
      <c r="AK43" s="62" t="s">
        <v>168</v>
      </c>
      <c r="AL43" t="s">
        <v>188</v>
      </c>
      <c r="AP43" s="26"/>
      <c r="AQ43" s="26"/>
      <c r="AR43" s="26"/>
      <c r="AS43" s="26"/>
      <c r="AT43" s="26"/>
      <c r="AU43" s="26"/>
      <c r="AV43" s="26"/>
      <c r="AW43" s="26"/>
      <c r="BK43" s="43" t="s">
        <v>157</v>
      </c>
      <c r="BL43" s="37">
        <v>45550</v>
      </c>
      <c r="BM43" s="41" t="s">
        <v>70</v>
      </c>
      <c r="BN43" s="41" t="s">
        <v>92</v>
      </c>
      <c r="BO43" s="41" t="s">
        <v>84</v>
      </c>
      <c r="BP43" s="44" cm="1">
        <f t="array" ref="BP43">IFERROR(SUM(_xlfn._xlws.FILTER(Table_Main[Giá trị bán trước VAT],
(Table_Main[Đơn bán]=Table_DonBan[[#This Row],[Mã đơn bán]]),
)),0)</f>
        <v>146700000</v>
      </c>
      <c r="BQ43" s="46">
        <v>0</v>
      </c>
      <c r="BR43" s="44">
        <f>+Table_DonBan[[#This Row],[Tiền hàng]]-Table_DonBan[[#This Row],[Khuyễn mãi]]</f>
        <v>146700000</v>
      </c>
      <c r="BT43" s="49" t="s">
        <v>60</v>
      </c>
      <c r="BU43" s="50" t="s">
        <v>162</v>
      </c>
      <c r="BV43" s="6">
        <f xml:space="preserve">
IFERROR(VLOOKUP(Table_Main[[#This Row],[Đơn bán]],Table_DonBan[],COUNTA(Table_DonBan[[#Headers],[Mã đơn bán]:[Ngày lập]]),0),0)</f>
        <v>45601</v>
      </c>
      <c r="BW43" s="51">
        <f>IFERROR(MONTH(Table_Main[[#This Row],[Ngày lên đơn]]),0)</f>
        <v>11</v>
      </c>
      <c r="BX43" s="51" t="str">
        <f>INDEX(Table_SKU[],
MATCH(Table_Main[[#This Row],[Mã SKU]],Table_SKU[Mã Sản phẩm],0),1)</f>
        <v>Nhóm 2</v>
      </c>
      <c r="BY43" s="52" t="str">
        <f xml:space="preserve">
IFERROR(VLOOKUP(Table_Main[[#This Row],[Đơn bán]],Table_DonBan[],COUNTA(Table_DonBan[[#Headers],[Mã đơn bán]:[Mã Khách]]),0),0)</f>
        <v>KH01</v>
      </c>
      <c r="BZ43" s="52" t="str">
        <f>VLOOKUP(Table_Main[[#This Row],[Khách hàng]],Table_KhachHang[],COUNTA(Table_KhachHang[[#Headers],[Mã khách]:[Phân khúc]]),0)</f>
        <v>B2B</v>
      </c>
      <c r="CA43" s="25" t="str">
        <f xml:space="preserve">
IFERROR(VLOOKUP(Table_Main[[#This Row],[Đơn bán]],Table_DonBan[],COUNTA(Table_DonBan[[#Headers],[Mã đơn bán]:[Mã NV]]),0),0)</f>
        <v>NV02</v>
      </c>
      <c r="CB43" s="7" t="str">
        <f xml:space="preserve">
IFERROR(VLOOKUP(Table_Main[[#This Row],[Đơn bán]],Table_DonBan[],COUNTA(Table_DonBan[[#Headers],[Mã đơn bán]:[Kênh]]),0),0)</f>
        <v>ST</v>
      </c>
      <c r="CC43" s="7" t="str">
        <f>VLOOKUP(Table_Main[[#This Row],[Kênh]],Table_Kenh[],COUNTA(Table_Kenh[[#Headers],[Kênh]:[Nhóm Kênh]]),0)</f>
        <v>Offline</v>
      </c>
      <c r="CD43" s="53">
        <v>162</v>
      </c>
      <c r="CE43" s="7" t="str">
        <f>IFERROR(VLOOKUP(Table_Main[[#This Row],[Mã SKU]],Table_SKU[[Mã Sản phẩm]:[Giá bán]],COUNTA(Table_SKU[[#Headers],[Mã Sản phẩm]:[Đơn vị]]),0),0)</f>
        <v>Bộ</v>
      </c>
      <c r="CF43" s="7">
        <f>IFERROR(VLOOKUP(Table_Main[[#This Row],[Mã SKU]],Table_SKU[[Mã Sản phẩm]:[Giá bán]],COUNTA(Table_SKU[[#Headers],[Mã Sản phẩm]:[Giá bán]]),0),0)</f>
        <v>300000</v>
      </c>
      <c r="CG43" s="7">
        <f>Table_Main[[#This Row],[Giá bán]]*Table_Main[[#This Row],[Số lượng]]</f>
        <v>48600000</v>
      </c>
      <c r="CH43" s="60">
        <v>0</v>
      </c>
      <c r="CI43" s="7">
        <f>+Table_Main[[#This Row],[Thành tiền niêm yết]]-Table_Main[[#This Row],[Khuyễn mãi]]</f>
        <v>48600000</v>
      </c>
      <c r="CJ43" s="7" cm="1">
        <f t="array" ref="CJ43">VLOOKUP(Table_Main[[#This Row],[Đơn bán]],Table_DonBan[],COUNTA(Table_DonBan[[#Headers],[Mã đơn bán]:[Khuyễn mãi]]),0)*Table_Main[[#This Row],[Giá trị bán trước VAT]]/
SUM(_xlfn._xlws.FILTER(Table_Main[Giá trị bán trước VAT],
(Table_Main[Đơn bán]=Table_Main[[#This Row],[Đơn bán]])
))</f>
        <v>1522556.3909774437</v>
      </c>
      <c r="CK43" s="7">
        <f>Table_Main[[#This Row],[Giá trị bán trước VAT]]-Table_Main[[#This Row],[Phân bổ khuyến mãi đơn]]</f>
        <v>47077443.609022558</v>
      </c>
      <c r="CL43"/>
      <c r="CM43"/>
    </row>
    <row r="44" spans="1:91" ht="16.5" x14ac:dyDescent="0.3">
      <c r="B44" s="62" t="s">
        <v>168</v>
      </c>
      <c r="C44" t="s">
        <v>56</v>
      </c>
      <c r="D44" t="s">
        <v>57</v>
      </c>
      <c r="E44" t="s">
        <v>58</v>
      </c>
      <c r="R44" s="62" t="s">
        <v>168</v>
      </c>
      <c r="S44" t="s">
        <v>74</v>
      </c>
      <c r="T44" t="s">
        <v>76</v>
      </c>
      <c r="U44" t="s">
        <v>169</v>
      </c>
      <c r="AG44" s="8" t="s">
        <v>83</v>
      </c>
      <c r="AH44" s="63">
        <v>691900000</v>
      </c>
      <c r="AI44" s="63"/>
      <c r="AK44" s="8" t="s">
        <v>92</v>
      </c>
      <c r="AL44" s="63">
        <v>3118400000</v>
      </c>
      <c r="AP44" s="26"/>
      <c r="AQ44" s="26"/>
      <c r="AR44" s="26"/>
      <c r="AS44" s="26"/>
      <c r="AT44" s="26"/>
      <c r="AU44" s="26"/>
      <c r="AV44" s="26"/>
      <c r="AW44" s="26"/>
      <c r="BK44" s="43" t="s">
        <v>156</v>
      </c>
      <c r="BL44" s="37">
        <v>45540</v>
      </c>
      <c r="BM44" s="41" t="s">
        <v>68</v>
      </c>
      <c r="BN44" s="41" t="s">
        <v>93</v>
      </c>
      <c r="BO44" s="41" t="s">
        <v>84</v>
      </c>
      <c r="BP44" s="44" cm="1">
        <f t="array" ref="BP44">IFERROR(SUM(_xlfn._xlws.FILTER(Table_Main[Giá trị bán trước VAT],
(Table_Main[Đơn bán]=Table_DonBan[[#This Row],[Mã đơn bán]]),
)),0)</f>
        <v>146100000</v>
      </c>
      <c r="BQ44" s="46">
        <v>0</v>
      </c>
      <c r="BR44" s="44">
        <f>+Table_DonBan[[#This Row],[Tiền hàng]]-Table_DonBan[[#This Row],[Khuyễn mãi]]</f>
        <v>146100000</v>
      </c>
      <c r="BT44" s="54" t="s">
        <v>61</v>
      </c>
      <c r="BU44" s="55" t="s">
        <v>162</v>
      </c>
      <c r="BV44" s="56">
        <f xml:space="preserve">
IFERROR(VLOOKUP(Table_Main[[#This Row],[Đơn bán]],Table_DonBan[],COUNTA(Table_DonBan[[#Headers],[Mã đơn bán]:[Ngày lập]]),0),0)</f>
        <v>45601</v>
      </c>
      <c r="BW44" s="51">
        <f>IFERROR(MONTH(Table_Main[[#This Row],[Ngày lên đơn]]),0)</f>
        <v>11</v>
      </c>
      <c r="BX44" s="51" t="str">
        <f>INDEX(Table_SKU[],
MATCH(Table_Main[[#This Row],[Mã SKU]],Table_SKU[Mã Sản phẩm],0),1)</f>
        <v>Nhóm 3</v>
      </c>
      <c r="BY44" s="52" t="str">
        <f xml:space="preserve">
IFERROR(VLOOKUP(Table_Main[[#This Row],[Đơn bán]],Table_DonBan[],COUNTA(Table_DonBan[[#Headers],[Mã đơn bán]:[Mã Khách]]),0),0)</f>
        <v>KH01</v>
      </c>
      <c r="BZ44" s="52" t="str">
        <f>VLOOKUP(Table_Main[[#This Row],[Khách hàng]],Table_KhachHang[],COUNTA(Table_KhachHang[[#Headers],[Mã khách]:[Phân khúc]]),0)</f>
        <v>B2B</v>
      </c>
      <c r="CA44" s="57" t="str">
        <f xml:space="preserve">
IFERROR(VLOOKUP(Table_Main[[#This Row],[Đơn bán]],Table_DonBan[],COUNTA(Table_DonBan[[#Headers],[Mã đơn bán]:[Mã NV]]),0),0)</f>
        <v>NV02</v>
      </c>
      <c r="CB44" s="58" t="str">
        <f xml:space="preserve">
IFERROR(VLOOKUP(Table_Main[[#This Row],[Đơn bán]],Table_DonBan[],COUNTA(Table_DonBan[[#Headers],[Mã đơn bán]:[Kênh]]),0),0)</f>
        <v>ST</v>
      </c>
      <c r="CC44" s="58" t="str">
        <f>VLOOKUP(Table_Main[[#This Row],[Kênh]],Table_Kenh[],COUNTA(Table_Kenh[[#Headers],[Kênh]:[Nhóm Kênh]]),0)</f>
        <v>Offline</v>
      </c>
      <c r="CD44" s="59">
        <v>116</v>
      </c>
      <c r="CE44" s="58" t="str">
        <f>IFERROR(VLOOKUP(Table_Main[[#This Row],[Mã SKU]],Table_SKU[[Mã Sản phẩm]:[Giá bán]],COUNTA(Table_SKU[[#Headers],[Mã Sản phẩm]:[Đơn vị]]),0),0)</f>
        <v>Bộ</v>
      </c>
      <c r="CF44" s="58">
        <f>IFERROR(VLOOKUP(Table_Main[[#This Row],[Mã SKU]],Table_SKU[[Mã Sản phẩm]:[Giá bán]],COUNTA(Table_SKU[[#Headers],[Mã Sản phẩm]:[Giá bán]]),0),0)</f>
        <v>500000</v>
      </c>
      <c r="CG44" s="58">
        <f>Table_Main[[#This Row],[Giá bán]]*Table_Main[[#This Row],[Số lượng]]</f>
        <v>58000000</v>
      </c>
      <c r="CH44" s="61">
        <v>0</v>
      </c>
      <c r="CI44" s="58">
        <f>+Table_Main[[#This Row],[Thành tiền niêm yết]]-Table_Main[[#This Row],[Khuyễn mãi]]</f>
        <v>58000000</v>
      </c>
      <c r="CJ44" s="7" cm="1">
        <f t="array" ref="CJ44">VLOOKUP(Table_Main[[#This Row],[Đơn bán]],Table_DonBan[],COUNTA(Table_DonBan[[#Headers],[Mã đơn bán]:[Khuyễn mãi]]),0)*Table_Main[[#This Row],[Giá trị bán trước VAT]]/
SUM(_xlfn._xlws.FILTER(Table_Main[Giá trị bán trước VAT],
(Table_Main[Đơn bán]=Table_Main[[#This Row],[Đơn bán]])
))</f>
        <v>1817042.6065162907</v>
      </c>
      <c r="CK44" s="7">
        <f>Table_Main[[#This Row],[Giá trị bán trước VAT]]-Table_Main[[#This Row],[Phân bổ khuyến mãi đơn]]</f>
        <v>56182957.393483706</v>
      </c>
      <c r="CL44"/>
      <c r="CM44"/>
    </row>
    <row r="45" spans="1:91" ht="16.5" x14ac:dyDescent="0.3">
      <c r="B45" s="8" t="s">
        <v>170</v>
      </c>
      <c r="C45" s="63">
        <v>1395160239.7727885</v>
      </c>
      <c r="D45" s="63">
        <v>1358419741.2874777</v>
      </c>
      <c r="E45" s="63">
        <v>1739120018.9397337</v>
      </c>
      <c r="R45" s="8" t="s">
        <v>170</v>
      </c>
      <c r="S45" s="63"/>
      <c r="T45" s="63"/>
      <c r="U45" s="63"/>
      <c r="AG45" s="8" t="s">
        <v>86</v>
      </c>
      <c r="AH45" s="63">
        <v>418000000</v>
      </c>
      <c r="AI45" s="63"/>
      <c r="AK45" s="8" t="s">
        <v>93</v>
      </c>
      <c r="AL45" s="63">
        <v>1374300000</v>
      </c>
      <c r="AP45" s="26"/>
      <c r="AQ45" s="26"/>
      <c r="AR45" s="26"/>
      <c r="AS45" s="26"/>
      <c r="AT45" s="26"/>
      <c r="AU45" s="26"/>
      <c r="AV45" s="26"/>
      <c r="AW45" s="26"/>
      <c r="BK45" s="43" t="s">
        <v>155</v>
      </c>
      <c r="BL45" s="37">
        <v>45529</v>
      </c>
      <c r="BM45" s="41" t="s">
        <v>66</v>
      </c>
      <c r="BN45" s="41" t="s">
        <v>92</v>
      </c>
      <c r="BO45" s="41" t="s">
        <v>82</v>
      </c>
      <c r="BP45" s="44" cm="1">
        <f t="array" ref="BP45">IFERROR(SUM(_xlfn._xlws.FILTER(Table_Main[Giá trị bán trước VAT],
(Table_Main[Đơn bán]=Table_DonBan[[#This Row],[Mã đơn bán]]),
)),0)</f>
        <v>143900000</v>
      </c>
      <c r="BQ45" s="46">
        <v>0</v>
      </c>
      <c r="BR45" s="44">
        <f>+Table_DonBan[[#This Row],[Tiền hàng]]-Table_DonBan[[#This Row],[Khuyễn mãi]]</f>
        <v>143900000</v>
      </c>
      <c r="BT45" s="49" t="s">
        <v>59</v>
      </c>
      <c r="BU45" s="50" t="s">
        <v>161</v>
      </c>
      <c r="BV45" s="6">
        <f xml:space="preserve">
IFERROR(VLOOKUP(Table_Main[[#This Row],[Đơn bán]],Table_DonBan[],COUNTA(Table_DonBan[[#Headers],[Mã đơn bán]:[Ngày lập]]),0),0)</f>
        <v>45590</v>
      </c>
      <c r="BW45" s="51">
        <f>IFERROR(MONTH(Table_Main[[#This Row],[Ngày lên đơn]]),0)</f>
        <v>10</v>
      </c>
      <c r="BX45" s="51" t="str">
        <f>INDEX(Table_SKU[],
MATCH(Table_Main[[#This Row],[Mã SKU]],Table_SKU[Mã Sản phẩm],0),1)</f>
        <v>Nhóm 1</v>
      </c>
      <c r="BY45" s="52" t="str">
        <f xml:space="preserve">
IFERROR(VLOOKUP(Table_Main[[#This Row],[Đơn bán]],Table_DonBan[],COUNTA(Table_DonBan[[#Headers],[Mã đơn bán]:[Mã Khách]]),0),0)</f>
        <v>KH03</v>
      </c>
      <c r="BZ45" s="52" t="str">
        <f>VLOOKUP(Table_Main[[#This Row],[Khách hàng]],Table_KhachHang[],COUNTA(Table_KhachHang[[#Headers],[Mã khách]:[Phân khúc]]),0)</f>
        <v>B2C</v>
      </c>
      <c r="CA45" s="25" t="str">
        <f xml:space="preserve">
IFERROR(VLOOKUP(Table_Main[[#This Row],[Đơn bán]],Table_DonBan[],COUNTA(Table_DonBan[[#Headers],[Mã đơn bán]:[Mã NV]]),0),0)</f>
        <v>NV02</v>
      </c>
      <c r="CB45" s="7" t="str">
        <f xml:space="preserve">
IFERROR(VLOOKUP(Table_Main[[#This Row],[Đơn bán]],Table_DonBan[],COUNTA(Table_DonBan[[#Headers],[Mã đơn bán]:[Kênh]]),0),0)</f>
        <v>TT</v>
      </c>
      <c r="CC45" s="7" t="str">
        <f>VLOOKUP(Table_Main[[#This Row],[Kênh]],Table_Kenh[],COUNTA(Table_Kenh[[#Headers],[Kênh]:[Nhóm Kênh]]),0)</f>
        <v>Mạng xã hội</v>
      </c>
      <c r="CD45" s="53">
        <v>270</v>
      </c>
      <c r="CE45" s="7" t="str">
        <f>IFERROR(VLOOKUP(Table_Main[[#This Row],[Mã SKU]],Table_SKU[[Mã Sản phẩm]:[Giá bán]],COUNTA(Table_SKU[[#Headers],[Mã Sản phẩm]:[Đơn vị]]),0),0)</f>
        <v>Bộ</v>
      </c>
      <c r="CF45" s="7">
        <f>IFERROR(VLOOKUP(Table_Main[[#This Row],[Mã SKU]],Table_SKU[[Mã Sản phẩm]:[Giá bán]],COUNTA(Table_SKU[[#Headers],[Mã Sản phẩm]:[Giá bán]]),0),0)</f>
        <v>200000</v>
      </c>
      <c r="CG45" s="7">
        <f>Table_Main[[#This Row],[Giá bán]]*Table_Main[[#This Row],[Số lượng]]</f>
        <v>54000000</v>
      </c>
      <c r="CH45" s="60">
        <v>0</v>
      </c>
      <c r="CI45" s="7">
        <f>+Table_Main[[#This Row],[Thành tiền niêm yết]]-Table_Main[[#This Row],[Khuyễn mãi]]</f>
        <v>54000000</v>
      </c>
      <c r="CJ45" s="7" cm="1">
        <f t="array" ref="CJ45">VLOOKUP(Table_Main[[#This Row],[Đơn bán]],Table_DonBan[],COUNTA(Table_DonBan[[#Headers],[Mã đơn bán]:[Khuyễn mãi]]),0)*Table_Main[[#This Row],[Giá trị bán trước VAT]]/
SUM(_xlfn._xlws.FILTER(Table_Main[Giá trị bán trước VAT],
(Table_Main[Đơn bán]=Table_Main[[#This Row],[Đơn bán]])
))</f>
        <v>0</v>
      </c>
      <c r="CK45" s="7">
        <f>Table_Main[[#This Row],[Giá trị bán trước VAT]]-Table_Main[[#This Row],[Phân bổ khuyến mãi đơn]]</f>
        <v>54000000</v>
      </c>
      <c r="CL45"/>
      <c r="CM45"/>
    </row>
    <row r="46" spans="1:91" ht="16.5" x14ac:dyDescent="0.3">
      <c r="B46" s="64" t="s">
        <v>171</v>
      </c>
      <c r="C46" s="63">
        <v>91800000</v>
      </c>
      <c r="D46" s="63">
        <v>101400000</v>
      </c>
      <c r="E46" s="63">
        <v>137500000</v>
      </c>
      <c r="R46" s="64" t="s">
        <v>171</v>
      </c>
      <c r="S46" s="63">
        <v>113600000</v>
      </c>
      <c r="T46" s="63">
        <v>217100000</v>
      </c>
      <c r="U46" s="63">
        <v>330700000</v>
      </c>
      <c r="AG46" s="8" t="s">
        <v>85</v>
      </c>
      <c r="AH46" s="63">
        <v>691200000</v>
      </c>
      <c r="AI46" s="63"/>
      <c r="AK46" s="8" t="s">
        <v>169</v>
      </c>
      <c r="AL46" s="63">
        <v>4492700000</v>
      </c>
      <c r="AP46" s="26"/>
      <c r="AQ46" s="26"/>
      <c r="AR46" s="26"/>
      <c r="AS46" s="26"/>
      <c r="AT46" s="26"/>
      <c r="AU46" s="26"/>
      <c r="AV46" s="26"/>
      <c r="AW46" s="26"/>
      <c r="BK46" s="43" t="s">
        <v>154</v>
      </c>
      <c r="BL46" s="37">
        <v>45519</v>
      </c>
      <c r="BM46" s="41" t="s">
        <v>67</v>
      </c>
      <c r="BN46" s="41" t="s">
        <v>93</v>
      </c>
      <c r="BO46" s="41" t="s">
        <v>86</v>
      </c>
      <c r="BP46" s="44" cm="1">
        <f t="array" ref="BP46">IFERROR(SUM(_xlfn._xlws.FILTER(Table_Main[Giá trị bán trước VAT],
(Table_Main[Đơn bán]=Table_DonBan[[#This Row],[Mã đơn bán]]),
)),0)</f>
        <v>140200000</v>
      </c>
      <c r="BQ46" s="46">
        <v>0</v>
      </c>
      <c r="BR46" s="44">
        <f>+Table_DonBan[[#This Row],[Tiền hàng]]-Table_DonBan[[#This Row],[Khuyễn mãi]]</f>
        <v>140200000</v>
      </c>
      <c r="BT46" s="49" t="s">
        <v>60</v>
      </c>
      <c r="BU46" s="50" t="s">
        <v>161</v>
      </c>
      <c r="BV46" s="6">
        <f xml:space="preserve">
IFERROR(VLOOKUP(Table_Main[[#This Row],[Đơn bán]],Table_DonBan[],COUNTA(Table_DonBan[[#Headers],[Mã đơn bán]:[Ngày lập]]),0),0)</f>
        <v>45590</v>
      </c>
      <c r="BW46" s="51">
        <f>IFERROR(MONTH(Table_Main[[#This Row],[Ngày lên đơn]]),0)</f>
        <v>10</v>
      </c>
      <c r="BX46" s="51" t="str">
        <f>INDEX(Table_SKU[],
MATCH(Table_Main[[#This Row],[Mã SKU]],Table_SKU[Mã Sản phẩm],0),1)</f>
        <v>Nhóm 2</v>
      </c>
      <c r="BY46" s="52" t="str">
        <f xml:space="preserve">
IFERROR(VLOOKUP(Table_Main[[#This Row],[Đơn bán]],Table_DonBan[],COUNTA(Table_DonBan[[#Headers],[Mã đơn bán]:[Mã Khách]]),0),0)</f>
        <v>KH03</v>
      </c>
      <c r="BZ46" s="52" t="str">
        <f>VLOOKUP(Table_Main[[#This Row],[Khách hàng]],Table_KhachHang[],COUNTA(Table_KhachHang[[#Headers],[Mã khách]:[Phân khúc]]),0)</f>
        <v>B2C</v>
      </c>
      <c r="CA46" s="25" t="str">
        <f xml:space="preserve">
IFERROR(VLOOKUP(Table_Main[[#This Row],[Đơn bán]],Table_DonBan[],COUNTA(Table_DonBan[[#Headers],[Mã đơn bán]:[Mã NV]]),0),0)</f>
        <v>NV02</v>
      </c>
      <c r="CB46" s="7" t="str">
        <f xml:space="preserve">
IFERROR(VLOOKUP(Table_Main[[#This Row],[Đơn bán]],Table_DonBan[],COUNTA(Table_DonBan[[#Headers],[Mã đơn bán]:[Kênh]]),0),0)</f>
        <v>TT</v>
      </c>
      <c r="CC46" s="7" t="str">
        <f>VLOOKUP(Table_Main[[#This Row],[Kênh]],Table_Kenh[],COUNTA(Table_Kenh[[#Headers],[Kênh]:[Nhóm Kênh]]),0)</f>
        <v>Mạng xã hội</v>
      </c>
      <c r="CD46" s="53">
        <v>154</v>
      </c>
      <c r="CE46" s="7" t="str">
        <f>IFERROR(VLOOKUP(Table_Main[[#This Row],[Mã SKU]],Table_SKU[[Mã Sản phẩm]:[Giá bán]],COUNTA(Table_SKU[[#Headers],[Mã Sản phẩm]:[Đơn vị]]),0),0)</f>
        <v>Bộ</v>
      </c>
      <c r="CF46" s="7">
        <f>IFERROR(VLOOKUP(Table_Main[[#This Row],[Mã SKU]],Table_SKU[[Mã Sản phẩm]:[Giá bán]],COUNTA(Table_SKU[[#Headers],[Mã Sản phẩm]:[Giá bán]]),0),0)</f>
        <v>300000</v>
      </c>
      <c r="CG46" s="7">
        <f>Table_Main[[#This Row],[Giá bán]]*Table_Main[[#This Row],[Số lượng]]</f>
        <v>46200000</v>
      </c>
      <c r="CH46" s="60">
        <v>0</v>
      </c>
      <c r="CI46" s="7">
        <f>+Table_Main[[#This Row],[Thành tiền niêm yết]]-Table_Main[[#This Row],[Khuyễn mãi]]</f>
        <v>46200000</v>
      </c>
      <c r="CJ46" s="7" cm="1">
        <f t="array" ref="CJ46">VLOOKUP(Table_Main[[#This Row],[Đơn bán]],Table_DonBan[],COUNTA(Table_DonBan[[#Headers],[Mã đơn bán]:[Khuyễn mãi]]),0)*Table_Main[[#This Row],[Giá trị bán trước VAT]]/
SUM(_xlfn._xlws.FILTER(Table_Main[Giá trị bán trước VAT],
(Table_Main[Đơn bán]=Table_Main[[#This Row],[Đơn bán]])
))</f>
        <v>0</v>
      </c>
      <c r="CK46" s="7">
        <f>Table_Main[[#This Row],[Giá trị bán trước VAT]]-Table_Main[[#This Row],[Phân bổ khuyến mãi đơn]]</f>
        <v>46200000</v>
      </c>
      <c r="CL46"/>
      <c r="CM46"/>
    </row>
    <row r="47" spans="1:91" ht="16.5" x14ac:dyDescent="0.3">
      <c r="B47" s="64" t="s">
        <v>172</v>
      </c>
      <c r="C47" s="63">
        <v>97200000</v>
      </c>
      <c r="D47" s="63">
        <v>103200000</v>
      </c>
      <c r="E47" s="63">
        <v>143500000</v>
      </c>
      <c r="R47" s="64" t="s">
        <v>172</v>
      </c>
      <c r="S47" s="63">
        <v>230000000</v>
      </c>
      <c r="T47" s="63">
        <v>113900000</v>
      </c>
      <c r="U47" s="63">
        <v>343900000</v>
      </c>
      <c r="AG47" s="8" t="s">
        <v>82</v>
      </c>
      <c r="AH47" s="63">
        <v>1750600000</v>
      </c>
      <c r="AI47" s="63"/>
      <c r="AK47"/>
      <c r="AL47"/>
      <c r="AP47" s="26"/>
      <c r="AQ47" s="26"/>
      <c r="AR47" s="26"/>
      <c r="AS47" s="26"/>
      <c r="AT47" s="26"/>
      <c r="AU47" s="26"/>
      <c r="AV47" s="26"/>
      <c r="AW47" s="26"/>
      <c r="BK47" s="43" t="s">
        <v>153</v>
      </c>
      <c r="BL47" s="37">
        <v>45509</v>
      </c>
      <c r="BM47" s="41" t="s">
        <v>70</v>
      </c>
      <c r="BN47" s="41" t="s">
        <v>92</v>
      </c>
      <c r="BO47" s="41" t="s">
        <v>82</v>
      </c>
      <c r="BP47" s="44" cm="1">
        <f t="array" ref="BP47">IFERROR(SUM(_xlfn._xlws.FILTER(Table_Main[Giá trị bán trước VAT],
(Table_Main[Đơn bán]=Table_DonBan[[#This Row],[Mã đơn bán]]),
)),0)</f>
        <v>136900000</v>
      </c>
      <c r="BQ47" s="46">
        <v>0</v>
      </c>
      <c r="BR47" s="44">
        <f>+Table_DonBan[[#This Row],[Tiền hàng]]-Table_DonBan[[#This Row],[Khuyễn mãi]]</f>
        <v>136900000</v>
      </c>
      <c r="BT47" s="49" t="s">
        <v>61</v>
      </c>
      <c r="BU47" s="50" t="s">
        <v>161</v>
      </c>
      <c r="BV47" s="6">
        <f xml:space="preserve">
IFERROR(VLOOKUP(Table_Main[[#This Row],[Đơn bán]],Table_DonBan[],COUNTA(Table_DonBan[[#Headers],[Mã đơn bán]:[Ngày lập]]),0),0)</f>
        <v>45590</v>
      </c>
      <c r="BW47" s="51">
        <f>IFERROR(MONTH(Table_Main[[#This Row],[Ngày lên đơn]]),0)</f>
        <v>10</v>
      </c>
      <c r="BX47" s="51" t="str">
        <f>INDEX(Table_SKU[],
MATCH(Table_Main[[#This Row],[Mã SKU]],Table_SKU[Mã Sản phẩm],0),1)</f>
        <v>Nhóm 3</v>
      </c>
      <c r="BY47" s="10" t="str">
        <f xml:space="preserve">
IFERROR(VLOOKUP(Table_Main[[#This Row],[Đơn bán]],Table_DonBan[],COUNTA(Table_DonBan[[#Headers],[Mã đơn bán]:[Mã Khách]]),0),0)</f>
        <v>KH03</v>
      </c>
      <c r="BZ47" s="10" t="str">
        <f>VLOOKUP(Table_Main[[#This Row],[Khách hàng]],Table_KhachHang[],COUNTA(Table_KhachHang[[#Headers],[Mã khách]:[Phân khúc]]),0)</f>
        <v>B2C</v>
      </c>
      <c r="CA47" s="25" t="str">
        <f xml:space="preserve">
IFERROR(VLOOKUP(Table_Main[[#This Row],[Đơn bán]],Table_DonBan[],COUNTA(Table_DonBan[[#Headers],[Mã đơn bán]:[Mã NV]]),0),0)</f>
        <v>NV02</v>
      </c>
      <c r="CB47" s="7" t="str">
        <f xml:space="preserve">
IFERROR(VLOOKUP(Table_Main[[#This Row],[Đơn bán]],Table_DonBan[],COUNTA(Table_DonBan[[#Headers],[Mã đơn bán]:[Kênh]]),0),0)</f>
        <v>TT</v>
      </c>
      <c r="CC47" s="7" t="str">
        <f>VLOOKUP(Table_Main[[#This Row],[Kênh]],Table_Kenh[],COUNTA(Table_Kenh[[#Headers],[Kênh]:[Nhóm Kênh]]),0)</f>
        <v>Mạng xã hội</v>
      </c>
      <c r="CD47" s="53">
        <v>118</v>
      </c>
      <c r="CE47" s="7" t="str">
        <f>IFERROR(VLOOKUP(Table_Main[[#This Row],[Mã SKU]],Table_SKU[[Mã Sản phẩm]:[Giá bán]],COUNTA(Table_SKU[[#Headers],[Mã Sản phẩm]:[Đơn vị]]),0),0)</f>
        <v>Bộ</v>
      </c>
      <c r="CF47" s="7">
        <f>IFERROR(VLOOKUP(Table_Main[[#This Row],[Mã SKU]],Table_SKU[[Mã Sản phẩm]:[Giá bán]],COUNTA(Table_SKU[[#Headers],[Mã Sản phẩm]:[Giá bán]]),0),0)</f>
        <v>500000</v>
      </c>
      <c r="CG47" s="7">
        <f>Table_Main[[#This Row],[Giá bán]]*Table_Main[[#This Row],[Số lượng]]</f>
        <v>59000000</v>
      </c>
      <c r="CH47" s="60">
        <v>0</v>
      </c>
      <c r="CI47" s="7">
        <f>+Table_Main[[#This Row],[Thành tiền niêm yết]]-Table_Main[[#This Row],[Khuyễn mãi]]</f>
        <v>59000000</v>
      </c>
      <c r="CJ47" s="7" cm="1">
        <f t="array" ref="CJ47">VLOOKUP(Table_Main[[#This Row],[Đơn bán]],Table_DonBan[],COUNTA(Table_DonBan[[#Headers],[Mã đơn bán]:[Khuyễn mãi]]),0)*Table_Main[[#This Row],[Giá trị bán trước VAT]]/
SUM(_xlfn._xlws.FILTER(Table_Main[Giá trị bán trước VAT],
(Table_Main[Đơn bán]=Table_Main[[#This Row],[Đơn bán]])
))</f>
        <v>0</v>
      </c>
      <c r="CK47" s="7">
        <f>Table_Main[[#This Row],[Giá trị bán trước VAT]]-Table_Main[[#This Row],[Phân bổ khuyến mãi đơn]]</f>
        <v>59000000</v>
      </c>
      <c r="CL47"/>
      <c r="CM47"/>
    </row>
    <row r="48" spans="1:91" ht="16.5" x14ac:dyDescent="0.3">
      <c r="B48" s="64" t="s">
        <v>173</v>
      </c>
      <c r="C48" s="63">
        <v>97800000</v>
      </c>
      <c r="D48" s="63">
        <v>102600000</v>
      </c>
      <c r="E48" s="63">
        <v>138500000</v>
      </c>
      <c r="R48" s="64" t="s">
        <v>173</v>
      </c>
      <c r="S48" s="63">
        <v>113200000</v>
      </c>
      <c r="T48" s="63">
        <v>225700000</v>
      </c>
      <c r="U48" s="63">
        <v>338900000</v>
      </c>
      <c r="AG48" s="8" t="s">
        <v>87</v>
      </c>
      <c r="AH48" s="63">
        <v>244800000</v>
      </c>
      <c r="AI48" s="63"/>
      <c r="AK48"/>
      <c r="AL48"/>
      <c r="BK48" s="43" t="s">
        <v>152</v>
      </c>
      <c r="BL48" s="37">
        <v>45498</v>
      </c>
      <c r="BM48" s="41" t="s">
        <v>69</v>
      </c>
      <c r="BN48" s="41" t="s">
        <v>92</v>
      </c>
      <c r="BO48" s="41" t="s">
        <v>83</v>
      </c>
      <c r="BP48" s="44" cm="1">
        <f t="array" ref="BP48">IFERROR(SUM(_xlfn._xlws.FILTER(Table_Main[Giá trị bán trước VAT],
(Table_Main[Đơn bán]=Table_DonBan[[#This Row],[Mã đơn bán]]),
)),0)</f>
        <v>134300000</v>
      </c>
      <c r="BQ48" s="46">
        <v>0</v>
      </c>
      <c r="BR48" s="44">
        <f>+Table_DonBan[[#This Row],[Tiền hàng]]-Table_DonBan[[#This Row],[Khuyễn mãi]]</f>
        <v>134300000</v>
      </c>
      <c r="BT48" s="49" t="s">
        <v>59</v>
      </c>
      <c r="BU48" s="50" t="s">
        <v>160</v>
      </c>
      <c r="BV48" s="6">
        <f xml:space="preserve">
IFERROR(VLOOKUP(Table_Main[[#This Row],[Đơn bán]],Table_DonBan[],COUNTA(Table_DonBan[[#Headers],[Mã đơn bán]:[Ngày lập]]),0),0)</f>
        <v>45580</v>
      </c>
      <c r="BW48" s="51">
        <f>IFERROR(MONTH(Table_Main[[#This Row],[Ngày lên đơn]]),0)</f>
        <v>10</v>
      </c>
      <c r="BX48" s="51" t="str">
        <f>INDEX(Table_SKU[],
MATCH(Table_Main[[#This Row],[Mã SKU]],Table_SKU[Mã Sản phẩm],0),1)</f>
        <v>Nhóm 1</v>
      </c>
      <c r="BY48" s="52" t="str">
        <f xml:space="preserve">
IFERROR(VLOOKUP(Table_Main[[#This Row],[Đơn bán]],Table_DonBan[],COUNTA(Table_DonBan[[#Headers],[Mã đơn bán]:[Mã Khách]]),0),0)</f>
        <v>KH04</v>
      </c>
      <c r="BZ48" s="52" t="str">
        <f>VLOOKUP(Table_Main[[#This Row],[Khách hàng]],Table_KhachHang[],COUNTA(Table_KhachHang[[#Headers],[Mã khách]:[Phân khúc]]),0)</f>
        <v>B2B</v>
      </c>
      <c r="CA48" s="25" t="str">
        <f xml:space="preserve">
IFERROR(VLOOKUP(Table_Main[[#This Row],[Đơn bán]],Table_DonBan[],COUNTA(Table_DonBan[[#Headers],[Mã đơn bán]:[Mã NV]]),0),0)</f>
        <v>NV03</v>
      </c>
      <c r="CB48" s="7" t="str">
        <f xml:space="preserve">
IFERROR(VLOOKUP(Table_Main[[#This Row],[Đơn bán]],Table_DonBan[],COUNTA(Table_DonBan[[#Headers],[Mã đơn bán]:[Kênh]]),0),0)</f>
        <v>FB</v>
      </c>
      <c r="CC48" s="7" t="str">
        <f>VLOOKUP(Table_Main[[#This Row],[Kênh]],Table_Kenh[],COUNTA(Table_Kenh[[#Headers],[Kênh]:[Nhóm Kênh]]),0)</f>
        <v>Mạng xã hội</v>
      </c>
      <c r="CD48" s="53">
        <v>257</v>
      </c>
      <c r="CE48" s="7" t="str">
        <f>IFERROR(VLOOKUP(Table_Main[[#This Row],[Mã SKU]],Table_SKU[[Mã Sản phẩm]:[Giá bán]],COUNTA(Table_SKU[[#Headers],[Mã Sản phẩm]:[Đơn vị]]),0),0)</f>
        <v>Bộ</v>
      </c>
      <c r="CF48" s="7">
        <f>IFERROR(VLOOKUP(Table_Main[[#This Row],[Mã SKU]],Table_SKU[[Mã Sản phẩm]:[Giá bán]],COUNTA(Table_SKU[[#Headers],[Mã Sản phẩm]:[Giá bán]]),0),0)</f>
        <v>200000</v>
      </c>
      <c r="CG48" s="7">
        <f>Table_Main[[#This Row],[Giá bán]]*Table_Main[[#This Row],[Số lượng]]</f>
        <v>51400000</v>
      </c>
      <c r="CH48" s="60">
        <v>0</v>
      </c>
      <c r="CI48" s="7">
        <f>+Table_Main[[#This Row],[Thành tiền niêm yết]]-Table_Main[[#This Row],[Khuyễn mãi]]</f>
        <v>51400000</v>
      </c>
      <c r="CJ48" s="7" cm="1">
        <f t="array" ref="CJ48">VLOOKUP(Table_Main[[#This Row],[Đơn bán]],Table_DonBan[],COUNTA(Table_DonBan[[#Headers],[Mã đơn bán]:[Khuyễn mãi]]),0)*Table_Main[[#This Row],[Giá trị bán trước VAT]]/
SUM(_xlfn._xlws.FILTER(Table_Main[Giá trị bán trước VAT],
(Table_Main[Đơn bán]=Table_Main[[#This Row],[Đơn bán]])
))</f>
        <v>0</v>
      </c>
      <c r="CK48" s="7">
        <f>Table_Main[[#This Row],[Giá trị bán trước VAT]]-Table_Main[[#This Row],[Phân bổ khuyến mãi đơn]]</f>
        <v>51400000</v>
      </c>
      <c r="CL48"/>
      <c r="CM48"/>
    </row>
    <row r="49" spans="2:91" ht="16.5" x14ac:dyDescent="0.3">
      <c r="B49" s="64" t="s">
        <v>174</v>
      </c>
      <c r="C49" s="63">
        <v>102400000</v>
      </c>
      <c r="D49" s="63">
        <v>109200000</v>
      </c>
      <c r="E49" s="63">
        <v>143500000</v>
      </c>
      <c r="R49" s="64" t="s">
        <v>174</v>
      </c>
      <c r="S49" s="63">
        <v>121300000</v>
      </c>
      <c r="T49" s="63">
        <v>233800000</v>
      </c>
      <c r="U49" s="63">
        <v>355100000</v>
      </c>
      <c r="AG49" s="8" t="s">
        <v>84</v>
      </c>
      <c r="AH49" s="63">
        <v>696200000</v>
      </c>
      <c r="AI49" s="63"/>
      <c r="AK49"/>
      <c r="AL49"/>
      <c r="BK49" s="43" t="s">
        <v>151</v>
      </c>
      <c r="BL49" s="37">
        <v>45488</v>
      </c>
      <c r="BM49" s="41" t="s">
        <v>66</v>
      </c>
      <c r="BN49" s="41" t="s">
        <v>92</v>
      </c>
      <c r="BO49" s="41" t="s">
        <v>85</v>
      </c>
      <c r="BP49" s="44" cm="1">
        <f t="array" ref="BP49">IFERROR(SUM(_xlfn._xlws.FILTER(Table_Main[Giá trị bán trước VAT],
(Table_Main[Đơn bán]=Table_DonBan[[#This Row],[Mã đơn bán]]),
)),0)</f>
        <v>131700000</v>
      </c>
      <c r="BQ49" s="46">
        <v>0</v>
      </c>
      <c r="BR49" s="44">
        <f>+Table_DonBan[[#This Row],[Tiền hàng]]-Table_DonBan[[#This Row],[Khuyễn mãi]]</f>
        <v>131700000</v>
      </c>
      <c r="BT49" s="49" t="s">
        <v>60</v>
      </c>
      <c r="BU49" s="50" t="s">
        <v>160</v>
      </c>
      <c r="BV49" s="6">
        <f xml:space="preserve">
IFERROR(VLOOKUP(Table_Main[[#This Row],[Đơn bán]],Table_DonBan[],COUNTA(Table_DonBan[[#Headers],[Mã đơn bán]:[Ngày lập]]),0),0)</f>
        <v>45580</v>
      </c>
      <c r="BW49" s="51">
        <f>IFERROR(MONTH(Table_Main[[#This Row],[Ngày lên đơn]]),0)</f>
        <v>10</v>
      </c>
      <c r="BX49" s="51" t="str">
        <f>INDEX(Table_SKU[],
MATCH(Table_Main[[#This Row],[Mã SKU]],Table_SKU[Mã Sản phẩm],0),1)</f>
        <v>Nhóm 2</v>
      </c>
      <c r="BY49" s="52" t="str">
        <f xml:space="preserve">
IFERROR(VLOOKUP(Table_Main[[#This Row],[Đơn bán]],Table_DonBan[],COUNTA(Table_DonBan[[#Headers],[Mã đơn bán]:[Mã Khách]]),0),0)</f>
        <v>KH04</v>
      </c>
      <c r="BZ49" s="52" t="str">
        <f>VLOOKUP(Table_Main[[#This Row],[Khách hàng]],Table_KhachHang[],COUNTA(Table_KhachHang[[#Headers],[Mã khách]:[Phân khúc]]),0)</f>
        <v>B2B</v>
      </c>
      <c r="CA49" s="25" t="str">
        <f xml:space="preserve">
IFERROR(VLOOKUP(Table_Main[[#This Row],[Đơn bán]],Table_DonBan[],COUNTA(Table_DonBan[[#Headers],[Mã đơn bán]:[Mã NV]]),0),0)</f>
        <v>NV03</v>
      </c>
      <c r="CB49" s="7" t="str">
        <f xml:space="preserve">
IFERROR(VLOOKUP(Table_Main[[#This Row],[Đơn bán]],Table_DonBan[],COUNTA(Table_DonBan[[#Headers],[Mã đơn bán]:[Kênh]]),0),0)</f>
        <v>FB</v>
      </c>
      <c r="CC49" s="7" t="str">
        <f>VLOOKUP(Table_Main[[#This Row],[Kênh]],Table_Kenh[],COUNTA(Table_Kenh[[#Headers],[Kênh]:[Nhóm Kênh]]),0)</f>
        <v>Mạng xã hội</v>
      </c>
      <c r="CD49" s="53">
        <v>147</v>
      </c>
      <c r="CE49" s="7" t="str">
        <f>IFERROR(VLOOKUP(Table_Main[[#This Row],[Mã SKU]],Table_SKU[[Mã Sản phẩm]:[Giá bán]],COUNTA(Table_SKU[[#Headers],[Mã Sản phẩm]:[Đơn vị]]),0),0)</f>
        <v>Bộ</v>
      </c>
      <c r="CF49" s="7">
        <f>IFERROR(VLOOKUP(Table_Main[[#This Row],[Mã SKU]],Table_SKU[[Mã Sản phẩm]:[Giá bán]],COUNTA(Table_SKU[[#Headers],[Mã Sản phẩm]:[Giá bán]]),0),0)</f>
        <v>300000</v>
      </c>
      <c r="CG49" s="7">
        <f>Table_Main[[#This Row],[Giá bán]]*Table_Main[[#This Row],[Số lượng]]</f>
        <v>44100000</v>
      </c>
      <c r="CH49" s="60">
        <v>0</v>
      </c>
      <c r="CI49" s="7">
        <f>+Table_Main[[#This Row],[Thành tiền niêm yết]]-Table_Main[[#This Row],[Khuyễn mãi]]</f>
        <v>44100000</v>
      </c>
      <c r="CJ49" s="7" cm="1">
        <f t="array" ref="CJ49">VLOOKUP(Table_Main[[#This Row],[Đơn bán]],Table_DonBan[],COUNTA(Table_DonBan[[#Headers],[Mã đơn bán]:[Khuyễn mãi]]),0)*Table_Main[[#This Row],[Giá trị bán trước VAT]]/
SUM(_xlfn._xlws.FILTER(Table_Main[Giá trị bán trước VAT],
(Table_Main[Đơn bán]=Table_Main[[#This Row],[Đơn bán]])
))</f>
        <v>0</v>
      </c>
      <c r="CK49" s="7">
        <f>Table_Main[[#This Row],[Giá trị bán trước VAT]]-Table_Main[[#This Row],[Phân bổ khuyến mãi đơn]]</f>
        <v>44100000</v>
      </c>
      <c r="CL49"/>
      <c r="CM49"/>
    </row>
    <row r="50" spans="2:91" ht="16.5" x14ac:dyDescent="0.3">
      <c r="B50" s="64" t="s">
        <v>175</v>
      </c>
      <c r="C50" s="63">
        <v>108400000</v>
      </c>
      <c r="D50" s="63">
        <v>121500000</v>
      </c>
      <c r="E50" s="63">
        <v>146500000</v>
      </c>
      <c r="R50" s="64" t="s">
        <v>175</v>
      </c>
      <c r="S50" s="63">
        <v>253500000</v>
      </c>
      <c r="T50" s="63">
        <v>122900000</v>
      </c>
      <c r="U50" s="63">
        <v>376400000</v>
      </c>
      <c r="AG50" s="8" t="s">
        <v>169</v>
      </c>
      <c r="AH50" s="63">
        <v>4492700000</v>
      </c>
      <c r="AI50" s="63"/>
      <c r="AK50"/>
      <c r="AL50"/>
      <c r="BK50" s="43" t="s">
        <v>150</v>
      </c>
      <c r="BL50" s="37">
        <v>45478</v>
      </c>
      <c r="BM50" s="41" t="s">
        <v>67</v>
      </c>
      <c r="BN50" s="41" t="s">
        <v>93</v>
      </c>
      <c r="BO50" s="41" t="s">
        <v>87</v>
      </c>
      <c r="BP50" s="44" cm="1">
        <f t="array" ref="BP50">IFERROR(SUM(_xlfn._xlws.FILTER(Table_Main[Giá trị bán trước VAT],
(Table_Main[Đơn bán]=Table_DonBan[[#This Row],[Mã đơn bán]]),
)),0)</f>
        <v>130900000</v>
      </c>
      <c r="BQ50" s="46">
        <v>0</v>
      </c>
      <c r="BR50" s="44">
        <f>+Table_DonBan[[#This Row],[Tiền hàng]]-Table_DonBan[[#This Row],[Khuyễn mãi]]</f>
        <v>130900000</v>
      </c>
      <c r="BT50" s="49" t="s">
        <v>61</v>
      </c>
      <c r="BU50" s="50" t="s">
        <v>160</v>
      </c>
      <c r="BV50" s="6">
        <f xml:space="preserve">
IFERROR(VLOOKUP(Table_Main[[#This Row],[Đơn bán]],Table_DonBan[],COUNTA(Table_DonBan[[#Headers],[Mã đơn bán]:[Ngày lập]]),0),0)</f>
        <v>45580</v>
      </c>
      <c r="BW50" s="51">
        <f>IFERROR(MONTH(Table_Main[[#This Row],[Ngày lên đơn]]),0)</f>
        <v>10</v>
      </c>
      <c r="BX50" s="51" t="str">
        <f>INDEX(Table_SKU[],
MATCH(Table_Main[[#This Row],[Mã SKU]],Table_SKU[Mã Sản phẩm],0),1)</f>
        <v>Nhóm 3</v>
      </c>
      <c r="BY50" s="52" t="str">
        <f xml:space="preserve">
IFERROR(VLOOKUP(Table_Main[[#This Row],[Đơn bán]],Table_DonBan[],COUNTA(Table_DonBan[[#Headers],[Mã đơn bán]:[Mã Khách]]),0),0)</f>
        <v>KH04</v>
      </c>
      <c r="BZ50" s="52" t="str">
        <f>VLOOKUP(Table_Main[[#This Row],[Khách hàng]],Table_KhachHang[],COUNTA(Table_KhachHang[[#Headers],[Mã khách]:[Phân khúc]]),0)</f>
        <v>B2B</v>
      </c>
      <c r="CA50" s="25" t="str">
        <f xml:space="preserve">
IFERROR(VLOOKUP(Table_Main[[#This Row],[Đơn bán]],Table_DonBan[],COUNTA(Table_DonBan[[#Headers],[Mã đơn bán]:[Mã NV]]),0),0)</f>
        <v>NV03</v>
      </c>
      <c r="CB50" s="7" t="str">
        <f xml:space="preserve">
IFERROR(VLOOKUP(Table_Main[[#This Row],[Đơn bán]],Table_DonBan[],COUNTA(Table_DonBan[[#Headers],[Mã đơn bán]:[Kênh]]),0),0)</f>
        <v>FB</v>
      </c>
      <c r="CC50" s="7" t="str">
        <f>VLOOKUP(Table_Main[[#This Row],[Kênh]],Table_Kenh[],COUNTA(Table_Kenh[[#Headers],[Kênh]:[Nhóm Kênh]]),0)</f>
        <v>Mạng xã hội</v>
      </c>
      <c r="CD50" s="53">
        <v>119</v>
      </c>
      <c r="CE50" s="7" t="str">
        <f>IFERROR(VLOOKUP(Table_Main[[#This Row],[Mã SKU]],Table_SKU[[Mã Sản phẩm]:[Giá bán]],COUNTA(Table_SKU[[#Headers],[Mã Sản phẩm]:[Đơn vị]]),0),0)</f>
        <v>Bộ</v>
      </c>
      <c r="CF50" s="7">
        <f>IFERROR(VLOOKUP(Table_Main[[#This Row],[Mã SKU]],Table_SKU[[Mã Sản phẩm]:[Giá bán]],COUNTA(Table_SKU[[#Headers],[Mã Sản phẩm]:[Giá bán]]),0),0)</f>
        <v>500000</v>
      </c>
      <c r="CG50" s="7">
        <f>Table_Main[[#This Row],[Giá bán]]*Table_Main[[#This Row],[Số lượng]]</f>
        <v>59500000</v>
      </c>
      <c r="CH50" s="60">
        <v>0</v>
      </c>
      <c r="CI50" s="7">
        <f>+Table_Main[[#This Row],[Thành tiền niêm yết]]-Table_Main[[#This Row],[Khuyễn mãi]]</f>
        <v>59500000</v>
      </c>
      <c r="CJ50" s="7" cm="1">
        <f t="array" ref="CJ50">VLOOKUP(Table_Main[[#This Row],[Đơn bán]],Table_DonBan[],COUNTA(Table_DonBan[[#Headers],[Mã đơn bán]:[Khuyễn mãi]]),0)*Table_Main[[#This Row],[Giá trị bán trước VAT]]/
SUM(_xlfn._xlws.FILTER(Table_Main[Giá trị bán trước VAT],
(Table_Main[Đơn bán]=Table_Main[[#This Row],[Đơn bán]])
))</f>
        <v>0</v>
      </c>
      <c r="CK50" s="7">
        <f>Table_Main[[#This Row],[Giá trị bán trước VAT]]-Table_Main[[#This Row],[Phân bổ khuyến mãi đơn]]</f>
        <v>59500000</v>
      </c>
      <c r="CL50"/>
      <c r="CM50"/>
    </row>
    <row r="51" spans="2:91" ht="16.5" x14ac:dyDescent="0.3">
      <c r="B51" s="64" t="s">
        <v>176</v>
      </c>
      <c r="C51" s="63">
        <v>114400000</v>
      </c>
      <c r="D51" s="63">
        <v>125700000</v>
      </c>
      <c r="E51" s="63">
        <v>144500000</v>
      </c>
      <c r="R51" s="64" t="s">
        <v>176</v>
      </c>
      <c r="S51" s="63">
        <v>127500000</v>
      </c>
      <c r="T51" s="63">
        <v>257100000</v>
      </c>
      <c r="U51" s="63">
        <v>384600000</v>
      </c>
      <c r="AG51"/>
      <c r="AH51"/>
      <c r="AI51"/>
      <c r="AK51"/>
      <c r="AL51"/>
      <c r="BK51" s="43" t="s">
        <v>149</v>
      </c>
      <c r="BL51" s="37">
        <v>45468</v>
      </c>
      <c r="BM51" s="41" t="s">
        <v>68</v>
      </c>
      <c r="BN51" s="41" t="s">
        <v>92</v>
      </c>
      <c r="BO51" s="41" t="s">
        <v>82</v>
      </c>
      <c r="BP51" s="44" cm="1">
        <f t="array" ref="BP51">IFERROR(SUM(_xlfn._xlws.FILTER(Table_Main[Giá trị bán trước VAT],
(Table_Main[Đơn bán]=Table_DonBan[[#This Row],[Mã đơn bán]]),
)),0)</f>
        <v>129400000</v>
      </c>
      <c r="BQ51" s="46">
        <v>0</v>
      </c>
      <c r="BR51" s="44">
        <f>+Table_DonBan[[#This Row],[Tiền hàng]]-Table_DonBan[[#This Row],[Khuyễn mãi]]</f>
        <v>129400000</v>
      </c>
      <c r="BT51" s="49" t="s">
        <v>59</v>
      </c>
      <c r="BU51" s="50" t="s">
        <v>159</v>
      </c>
      <c r="BV51" s="6">
        <f xml:space="preserve">
IFERROR(VLOOKUP(Table_Main[[#This Row],[Đơn bán]],Table_DonBan[],COUNTA(Table_DonBan[[#Headers],[Mã đơn bán]:[Ngày lập]]),0),0)</f>
        <v>45570</v>
      </c>
      <c r="BW51" s="51">
        <f>IFERROR(MONTH(Table_Main[[#This Row],[Ngày lên đơn]]),0)</f>
        <v>10</v>
      </c>
      <c r="BX51" s="51" t="str">
        <f>INDEX(Table_SKU[],
MATCH(Table_Main[[#This Row],[Mã SKU]],Table_SKU[Mã Sản phẩm],0),1)</f>
        <v>Nhóm 1</v>
      </c>
      <c r="BY51" s="52" t="str">
        <f xml:space="preserve">
IFERROR(VLOOKUP(Table_Main[[#This Row],[Đơn bán]],Table_DonBan[],COUNTA(Table_DonBan[[#Headers],[Mã đơn bán]:[Mã Khách]]),0),0)</f>
        <v>KH02</v>
      </c>
      <c r="BZ51" s="52" t="str">
        <f>VLOOKUP(Table_Main[[#This Row],[Khách hàng]],Table_KhachHang[],COUNTA(Table_KhachHang[[#Headers],[Mã khách]:[Phân khúc]]),0)</f>
        <v>B2C</v>
      </c>
      <c r="CA51" s="25" t="str">
        <f xml:space="preserve">
IFERROR(VLOOKUP(Table_Main[[#This Row],[Đơn bán]],Table_DonBan[],COUNTA(Table_DonBan[[#Headers],[Mã đơn bán]:[Mã NV]]),0),0)</f>
        <v>NV02</v>
      </c>
      <c r="CB51" s="7" t="str">
        <f xml:space="preserve">
IFERROR(VLOOKUP(Table_Main[[#This Row],[Đơn bán]],Table_DonBan[],COUNTA(Table_DonBan[[#Headers],[Mã đơn bán]:[Kênh]]),0),0)</f>
        <v>SP</v>
      </c>
      <c r="CC51" s="7" t="str">
        <f>VLOOKUP(Table_Main[[#This Row],[Kênh]],Table_Kenh[],COUNTA(Table_Kenh[[#Headers],[Kênh]:[Nhóm Kênh]]),0)</f>
        <v>Sàn TMĐT</v>
      </c>
      <c r="CD51" s="53">
        <v>254</v>
      </c>
      <c r="CE51" s="7" t="str">
        <f>IFERROR(VLOOKUP(Table_Main[[#This Row],[Mã SKU]],Table_SKU[[Mã Sản phẩm]:[Giá bán]],COUNTA(Table_SKU[[#Headers],[Mã Sản phẩm]:[Đơn vị]]),0),0)</f>
        <v>Bộ</v>
      </c>
      <c r="CF51" s="7">
        <f>IFERROR(VLOOKUP(Table_Main[[#This Row],[Mã SKU]],Table_SKU[[Mã Sản phẩm]:[Giá bán]],COUNTA(Table_SKU[[#Headers],[Mã Sản phẩm]:[Giá bán]]),0),0)</f>
        <v>200000</v>
      </c>
      <c r="CG51" s="7">
        <f>Table_Main[[#This Row],[Giá bán]]*Table_Main[[#This Row],[Số lượng]]</f>
        <v>50800000</v>
      </c>
      <c r="CH51" s="60">
        <v>0</v>
      </c>
      <c r="CI51" s="7">
        <f>+Table_Main[[#This Row],[Thành tiền niêm yết]]-Table_Main[[#This Row],[Khuyễn mãi]]</f>
        <v>50800000</v>
      </c>
      <c r="CJ51" s="7" cm="1">
        <f t="array" ref="CJ51">VLOOKUP(Table_Main[[#This Row],[Đơn bán]],Table_DonBan[],COUNTA(Table_DonBan[[#Headers],[Mã đơn bán]:[Khuyễn mãi]]),0)*Table_Main[[#This Row],[Giá trị bán trước VAT]]/
SUM(_xlfn._xlws.FILTER(Table_Main[Giá trị bán trước VAT],
(Table_Main[Đơn bán]=Table_Main[[#This Row],[Đơn bán]])
))</f>
        <v>0</v>
      </c>
      <c r="CK51" s="7">
        <f>Table_Main[[#This Row],[Giá trị bán trước VAT]]-Table_Main[[#This Row],[Phân bổ khuyến mãi đơn]]</f>
        <v>50800000</v>
      </c>
      <c r="CL51"/>
      <c r="CM51"/>
    </row>
    <row r="52" spans="2:91" ht="16.5" x14ac:dyDescent="0.3">
      <c r="B52" s="64" t="s">
        <v>177</v>
      </c>
      <c r="C52" s="63">
        <v>122400000</v>
      </c>
      <c r="D52" s="63">
        <v>121500000</v>
      </c>
      <c r="E52" s="63">
        <v>153000000</v>
      </c>
      <c r="R52" s="64" t="s">
        <v>177</v>
      </c>
      <c r="S52" s="63">
        <v>266000000</v>
      </c>
      <c r="T52" s="63">
        <v>130900000</v>
      </c>
      <c r="U52" s="63">
        <v>396900000</v>
      </c>
      <c r="AG52"/>
      <c r="AH52"/>
      <c r="AI52"/>
      <c r="AK52"/>
      <c r="AL52"/>
      <c r="BK52" s="43" t="s">
        <v>148</v>
      </c>
      <c r="BL52" s="37">
        <v>45458</v>
      </c>
      <c r="BM52" s="41" t="s">
        <v>69</v>
      </c>
      <c r="BN52" s="41" t="s">
        <v>92</v>
      </c>
      <c r="BO52" s="41" t="s">
        <v>82</v>
      </c>
      <c r="BP52" s="44" cm="1">
        <f t="array" ref="BP52">IFERROR(SUM(_xlfn._xlws.FILTER(Table_Main[Giá trị bán trước VAT],
(Table_Main[Đơn bán]=Table_DonBan[[#This Row],[Mã đơn bán]]),
)),0)</f>
        <v>127500000</v>
      </c>
      <c r="BQ52" s="46">
        <v>0</v>
      </c>
      <c r="BR52" s="44">
        <f>+Table_DonBan[[#This Row],[Tiền hàng]]-Table_DonBan[[#This Row],[Khuyễn mãi]]</f>
        <v>127500000</v>
      </c>
      <c r="BT52" s="49" t="s">
        <v>60</v>
      </c>
      <c r="BU52" s="50" t="s">
        <v>159</v>
      </c>
      <c r="BV52" s="6">
        <f xml:space="preserve">
IFERROR(VLOOKUP(Table_Main[[#This Row],[Đơn bán]],Table_DonBan[],COUNTA(Table_DonBan[[#Headers],[Mã đơn bán]:[Ngày lập]]),0),0)</f>
        <v>45570</v>
      </c>
      <c r="BW52" s="51">
        <f>IFERROR(MONTH(Table_Main[[#This Row],[Ngày lên đơn]]),0)</f>
        <v>10</v>
      </c>
      <c r="BX52" s="51" t="str">
        <f>INDEX(Table_SKU[],
MATCH(Table_Main[[#This Row],[Mã SKU]],Table_SKU[Mã Sản phẩm],0),1)</f>
        <v>Nhóm 2</v>
      </c>
      <c r="BY52" s="52" t="str">
        <f xml:space="preserve">
IFERROR(VLOOKUP(Table_Main[[#This Row],[Đơn bán]],Table_DonBan[],COUNTA(Table_DonBan[[#Headers],[Mã đơn bán]:[Mã Khách]]),0),0)</f>
        <v>KH02</v>
      </c>
      <c r="BZ52" s="52" t="str">
        <f>VLOOKUP(Table_Main[[#This Row],[Khách hàng]],Table_KhachHang[],COUNTA(Table_KhachHang[[#Headers],[Mã khách]:[Phân khúc]]),0)</f>
        <v>B2C</v>
      </c>
      <c r="CA52" s="25" t="str">
        <f xml:space="preserve">
IFERROR(VLOOKUP(Table_Main[[#This Row],[Đơn bán]],Table_DonBan[],COUNTA(Table_DonBan[[#Headers],[Mã đơn bán]:[Mã NV]]),0),0)</f>
        <v>NV02</v>
      </c>
      <c r="CB52" s="7" t="str">
        <f xml:space="preserve">
IFERROR(VLOOKUP(Table_Main[[#This Row],[Đơn bán]],Table_DonBan[],COUNTA(Table_DonBan[[#Headers],[Mã đơn bán]:[Kênh]]),0),0)</f>
        <v>SP</v>
      </c>
      <c r="CC52" s="7" t="str">
        <f>VLOOKUP(Table_Main[[#This Row],[Kênh]],Table_Kenh[],COUNTA(Table_Kenh[[#Headers],[Kênh]:[Nhóm Kênh]]),0)</f>
        <v>Sàn TMĐT</v>
      </c>
      <c r="CD52" s="53">
        <v>146</v>
      </c>
      <c r="CE52" s="7" t="str">
        <f>IFERROR(VLOOKUP(Table_Main[[#This Row],[Mã SKU]],Table_SKU[[Mã Sản phẩm]:[Giá bán]],COUNTA(Table_SKU[[#Headers],[Mã Sản phẩm]:[Đơn vị]]),0),0)</f>
        <v>Bộ</v>
      </c>
      <c r="CF52" s="7">
        <f>IFERROR(VLOOKUP(Table_Main[[#This Row],[Mã SKU]],Table_SKU[[Mã Sản phẩm]:[Giá bán]],COUNTA(Table_SKU[[#Headers],[Mã Sản phẩm]:[Giá bán]]),0),0)</f>
        <v>300000</v>
      </c>
      <c r="CG52" s="7">
        <f>Table_Main[[#This Row],[Giá bán]]*Table_Main[[#This Row],[Số lượng]]</f>
        <v>43800000</v>
      </c>
      <c r="CH52" s="60">
        <v>0</v>
      </c>
      <c r="CI52" s="7">
        <f>+Table_Main[[#This Row],[Thành tiền niêm yết]]-Table_Main[[#This Row],[Khuyễn mãi]]</f>
        <v>43800000</v>
      </c>
      <c r="CJ52" s="7" cm="1">
        <f t="array" ref="CJ52">VLOOKUP(Table_Main[[#This Row],[Đơn bán]],Table_DonBan[],COUNTA(Table_DonBan[[#Headers],[Mã đơn bán]:[Khuyễn mãi]]),0)*Table_Main[[#This Row],[Giá trị bán trước VAT]]/
SUM(_xlfn._xlws.FILTER(Table_Main[Giá trị bán trước VAT],
(Table_Main[Đơn bán]=Table_Main[[#This Row],[Đơn bán]])
))</f>
        <v>0</v>
      </c>
      <c r="CK52" s="7">
        <f>Table_Main[[#This Row],[Giá trị bán trước VAT]]-Table_Main[[#This Row],[Phân bổ khuyến mãi đơn]]</f>
        <v>43800000</v>
      </c>
      <c r="CL52"/>
      <c r="CM52"/>
    </row>
    <row r="53" spans="2:91" ht="16.5" x14ac:dyDescent="0.3">
      <c r="B53" s="64" t="s">
        <v>178</v>
      </c>
      <c r="C53" s="63">
        <v>139200000</v>
      </c>
      <c r="D53" s="63">
        <v>121800000</v>
      </c>
      <c r="E53" s="63">
        <v>160000000</v>
      </c>
      <c r="R53" s="64" t="s">
        <v>178</v>
      </c>
      <c r="S53" s="63">
        <v>143900000</v>
      </c>
      <c r="T53" s="63">
        <v>277100000</v>
      </c>
      <c r="U53" s="63">
        <v>421000000</v>
      </c>
      <c r="AG53"/>
      <c r="AH53"/>
      <c r="AI53"/>
      <c r="AK53"/>
      <c r="AL53"/>
      <c r="BK53" s="43" t="s">
        <v>147</v>
      </c>
      <c r="BL53" s="37">
        <v>45448</v>
      </c>
      <c r="BM53" s="41" t="s">
        <v>67</v>
      </c>
      <c r="BN53" s="41" t="s">
        <v>92</v>
      </c>
      <c r="BO53" s="41" t="s">
        <v>83</v>
      </c>
      <c r="BP53" s="44" cm="1">
        <f t="array" ref="BP53">IFERROR(SUM(_xlfn._xlws.FILTER(Table_Main[Giá trị bán trước VAT],
(Table_Main[Đơn bán]=Table_DonBan[[#This Row],[Mã đơn bán]]),
)),0)</f>
        <v>127700000</v>
      </c>
      <c r="BQ53" s="46">
        <v>0</v>
      </c>
      <c r="BR53" s="44">
        <f>+Table_DonBan[[#This Row],[Tiền hàng]]-Table_DonBan[[#This Row],[Khuyễn mãi]]</f>
        <v>127700000</v>
      </c>
      <c r="BT53" s="54" t="s">
        <v>61</v>
      </c>
      <c r="BU53" s="55" t="s">
        <v>159</v>
      </c>
      <c r="BV53" s="56">
        <f xml:space="preserve">
IFERROR(VLOOKUP(Table_Main[[#This Row],[Đơn bán]],Table_DonBan[],COUNTA(Table_DonBan[[#Headers],[Mã đơn bán]:[Ngày lập]]),0),0)</f>
        <v>45570</v>
      </c>
      <c r="BW53" s="51">
        <f>IFERROR(MONTH(Table_Main[[#This Row],[Ngày lên đơn]]),0)</f>
        <v>10</v>
      </c>
      <c r="BX53" s="51" t="str">
        <f>INDEX(Table_SKU[],
MATCH(Table_Main[[#This Row],[Mã SKU]],Table_SKU[Mã Sản phẩm],0),1)</f>
        <v>Nhóm 3</v>
      </c>
      <c r="BY53" s="52" t="str">
        <f xml:space="preserve">
IFERROR(VLOOKUP(Table_Main[[#This Row],[Đơn bán]],Table_DonBan[],COUNTA(Table_DonBan[[#Headers],[Mã đơn bán]:[Mã Khách]]),0),0)</f>
        <v>KH02</v>
      </c>
      <c r="BZ53" s="52" t="str">
        <f>VLOOKUP(Table_Main[[#This Row],[Khách hàng]],Table_KhachHang[],COUNTA(Table_KhachHang[[#Headers],[Mã khách]:[Phân khúc]]),0)</f>
        <v>B2C</v>
      </c>
      <c r="CA53" s="57" t="str">
        <f xml:space="preserve">
IFERROR(VLOOKUP(Table_Main[[#This Row],[Đơn bán]],Table_DonBan[],COUNTA(Table_DonBan[[#Headers],[Mã đơn bán]:[Mã NV]]),0),0)</f>
        <v>NV02</v>
      </c>
      <c r="CB53" s="58" t="str">
        <f xml:space="preserve">
IFERROR(VLOOKUP(Table_Main[[#This Row],[Đơn bán]],Table_DonBan[],COUNTA(Table_DonBan[[#Headers],[Mã đơn bán]:[Kênh]]),0),0)</f>
        <v>SP</v>
      </c>
      <c r="CC53" s="58" t="str">
        <f>VLOOKUP(Table_Main[[#This Row],[Kênh]],Table_Kenh[],COUNTA(Table_Kenh[[#Headers],[Kênh]:[Nhóm Kênh]]),0)</f>
        <v>Sàn TMĐT</v>
      </c>
      <c r="CD53" s="59">
        <v>121</v>
      </c>
      <c r="CE53" s="58" t="str">
        <f>IFERROR(VLOOKUP(Table_Main[[#This Row],[Mã SKU]],Table_SKU[[Mã Sản phẩm]:[Giá bán]],COUNTA(Table_SKU[[#Headers],[Mã Sản phẩm]:[Đơn vị]]),0),0)</f>
        <v>Bộ</v>
      </c>
      <c r="CF53" s="58">
        <f>IFERROR(VLOOKUP(Table_Main[[#This Row],[Mã SKU]],Table_SKU[[Mã Sản phẩm]:[Giá bán]],COUNTA(Table_SKU[[#Headers],[Mã Sản phẩm]:[Giá bán]]),0),0)</f>
        <v>500000</v>
      </c>
      <c r="CG53" s="58">
        <f>Table_Main[[#This Row],[Giá bán]]*Table_Main[[#This Row],[Số lượng]]</f>
        <v>60500000</v>
      </c>
      <c r="CH53" s="61">
        <v>0</v>
      </c>
      <c r="CI53" s="58">
        <f>+Table_Main[[#This Row],[Thành tiền niêm yết]]-Table_Main[[#This Row],[Khuyễn mãi]]</f>
        <v>60500000</v>
      </c>
      <c r="CJ53" s="7" cm="1">
        <f t="array" ref="CJ53">VLOOKUP(Table_Main[[#This Row],[Đơn bán]],Table_DonBan[],COUNTA(Table_DonBan[[#Headers],[Mã đơn bán]:[Khuyễn mãi]]),0)*Table_Main[[#This Row],[Giá trị bán trước VAT]]/
SUM(_xlfn._xlws.FILTER(Table_Main[Giá trị bán trước VAT],
(Table_Main[Đơn bán]=Table_Main[[#This Row],[Đơn bán]])
))</f>
        <v>0</v>
      </c>
      <c r="CK53" s="7">
        <f>Table_Main[[#This Row],[Giá trị bán trước VAT]]-Table_Main[[#This Row],[Phân bổ khuyến mãi đơn]]</f>
        <v>60500000</v>
      </c>
      <c r="CL53"/>
      <c r="CM53"/>
    </row>
    <row r="54" spans="2:91" ht="16.5" x14ac:dyDescent="0.3">
      <c r="B54" s="64" t="s">
        <v>179</v>
      </c>
      <c r="C54" s="63">
        <v>151600000</v>
      </c>
      <c r="D54" s="63">
        <v>123600000</v>
      </c>
      <c r="E54" s="63">
        <v>167500000</v>
      </c>
      <c r="R54" s="64" t="s">
        <v>179</v>
      </c>
      <c r="S54" s="63">
        <v>149900000</v>
      </c>
      <c r="T54" s="63">
        <v>292800000</v>
      </c>
      <c r="U54" s="63">
        <v>442700000</v>
      </c>
      <c r="AG54"/>
      <c r="AH54"/>
      <c r="AI54"/>
      <c r="AK54"/>
      <c r="AL54"/>
      <c r="BK54" s="43" t="s">
        <v>146</v>
      </c>
      <c r="BL54" s="37">
        <v>45437</v>
      </c>
      <c r="BM54" s="41" t="s">
        <v>71</v>
      </c>
      <c r="BN54" s="41" t="s">
        <v>93</v>
      </c>
      <c r="BO54" s="41" t="s">
        <v>85</v>
      </c>
      <c r="BP54" s="44" cm="1">
        <f t="array" ref="BP54">IFERROR(SUM(_xlfn._xlws.FILTER(Table_Main[Giá trị bán trước VAT],
(Table_Main[Đơn bán]=Table_DonBan[[#This Row],[Mã đơn bán]]),
)),0)</f>
        <v>126900000</v>
      </c>
      <c r="BQ54" s="46">
        <v>0</v>
      </c>
      <c r="BR54" s="44">
        <f>+Table_DonBan[[#This Row],[Tiền hàng]]-Table_DonBan[[#This Row],[Khuyễn mãi]]</f>
        <v>126900000</v>
      </c>
      <c r="BT54" s="49" t="s">
        <v>59</v>
      </c>
      <c r="BU54" s="50" t="s">
        <v>158</v>
      </c>
      <c r="BV54" s="6">
        <f xml:space="preserve">
IFERROR(VLOOKUP(Table_Main[[#This Row],[Đơn bán]],Table_DonBan[],COUNTA(Table_DonBan[[#Headers],[Mã đơn bán]:[Ngày lập]]),0),0)</f>
        <v>45560</v>
      </c>
      <c r="BW54" s="51">
        <f>IFERROR(MONTH(Table_Main[[#This Row],[Ngày lên đơn]]),0)</f>
        <v>9</v>
      </c>
      <c r="BX54" s="51" t="str">
        <f>INDEX(Table_SKU[],
MATCH(Table_Main[[#This Row],[Mã SKU]],Table_SKU[Mã Sản phẩm],0),1)</f>
        <v>Nhóm 1</v>
      </c>
      <c r="BY54" s="52" t="str">
        <f xml:space="preserve">
IFERROR(VLOOKUP(Table_Main[[#This Row],[Đơn bán]],Table_DonBan[],COUNTA(Table_DonBan[[#Headers],[Mã đơn bán]:[Mã Khách]]),0),0)</f>
        <v>KH01</v>
      </c>
      <c r="BZ54" s="52" t="str">
        <f>VLOOKUP(Table_Main[[#This Row],[Khách hàng]],Table_KhachHang[],COUNTA(Table_KhachHang[[#Headers],[Mã khách]:[Phân khúc]]),0)</f>
        <v>B2B</v>
      </c>
      <c r="CA54" s="25" t="str">
        <f xml:space="preserve">
IFERROR(VLOOKUP(Table_Main[[#This Row],[Đơn bán]],Table_DonBan[],COUNTA(Table_DonBan[[#Headers],[Mã đơn bán]:[Mã NV]]),0),0)</f>
        <v>NV02</v>
      </c>
      <c r="CB54" s="7" t="str">
        <f xml:space="preserve">
IFERROR(VLOOKUP(Table_Main[[#This Row],[Đơn bán]],Table_DonBan[],COUNTA(Table_DonBan[[#Headers],[Mã đơn bán]:[Kênh]]),0),0)</f>
        <v>ST</v>
      </c>
      <c r="CC54" s="7" t="str">
        <f>VLOOKUP(Table_Main[[#This Row],[Kênh]],Table_Kenh[],COUNTA(Table_Kenh[[#Headers],[Kênh]:[Nhóm Kênh]]),0)</f>
        <v>Offline</v>
      </c>
      <c r="CD54" s="53">
        <v>251</v>
      </c>
      <c r="CE54" s="7" t="str">
        <f>IFERROR(VLOOKUP(Table_Main[[#This Row],[Mã SKU]],Table_SKU[[Mã Sản phẩm]:[Giá bán]],COUNTA(Table_SKU[[#Headers],[Mã Sản phẩm]:[Đơn vị]]),0),0)</f>
        <v>Bộ</v>
      </c>
      <c r="CF54" s="7">
        <f>IFERROR(VLOOKUP(Table_Main[[#This Row],[Mã SKU]],Table_SKU[[Mã Sản phẩm]:[Giá bán]],COUNTA(Table_SKU[[#Headers],[Mã Sản phẩm]:[Giá bán]]),0),0)</f>
        <v>200000</v>
      </c>
      <c r="CG54" s="7">
        <f>Table_Main[[#This Row],[Giá bán]]*Table_Main[[#This Row],[Số lượng]]</f>
        <v>50200000</v>
      </c>
      <c r="CH54" s="60">
        <v>0</v>
      </c>
      <c r="CI54" s="7">
        <f>+Table_Main[[#This Row],[Thành tiền niêm yết]]-Table_Main[[#This Row],[Khuyễn mãi]]</f>
        <v>50200000</v>
      </c>
      <c r="CJ54" s="7" cm="1">
        <f t="array" ref="CJ54">VLOOKUP(Table_Main[[#This Row],[Đơn bán]],Table_DonBan[],COUNTA(Table_DonBan[[#Headers],[Mã đơn bán]:[Khuyễn mãi]]),0)*Table_Main[[#This Row],[Giá trị bán trước VAT]]/
SUM(_xlfn._xlws.FILTER(Table_Main[Giá trị bán trước VAT],
(Table_Main[Đơn bán]=Table_Main[[#This Row],[Đơn bán]])
))</f>
        <v>0</v>
      </c>
      <c r="CK54" s="7">
        <f>Table_Main[[#This Row],[Giá trị bán trước VAT]]-Table_Main[[#This Row],[Phân bổ khuyến mãi đơn]]</f>
        <v>50200000</v>
      </c>
      <c r="CL54"/>
      <c r="CM54"/>
    </row>
    <row r="55" spans="2:91" ht="16.5" x14ac:dyDescent="0.3">
      <c r="B55" s="64" t="s">
        <v>180</v>
      </c>
      <c r="C55" s="63">
        <v>156200000</v>
      </c>
      <c r="D55" s="63">
        <v>134100000</v>
      </c>
      <c r="E55" s="63">
        <v>179000000</v>
      </c>
      <c r="R55" s="64" t="s">
        <v>180</v>
      </c>
      <c r="S55" s="63">
        <v>155000000</v>
      </c>
      <c r="T55" s="63">
        <v>314300000</v>
      </c>
      <c r="U55" s="63">
        <v>469300000</v>
      </c>
      <c r="AG55"/>
      <c r="AH55"/>
      <c r="AI55"/>
      <c r="AK55"/>
      <c r="AL55"/>
      <c r="BK55" s="43" t="s">
        <v>145</v>
      </c>
      <c r="BL55" s="37">
        <v>45427</v>
      </c>
      <c r="BM55" s="41" t="s">
        <v>66</v>
      </c>
      <c r="BN55" s="41" t="s">
        <v>92</v>
      </c>
      <c r="BO55" s="41" t="s">
        <v>82</v>
      </c>
      <c r="BP55" s="44" cm="1">
        <f t="array" ref="BP55">IFERROR(SUM(_xlfn._xlws.FILTER(Table_Main[Giá trị bán trước VAT],
(Table_Main[Đơn bán]=Table_DonBan[[#This Row],[Mã đơn bán]]),
)),0)</f>
        <v>126600000</v>
      </c>
      <c r="BQ55" s="46">
        <v>0</v>
      </c>
      <c r="BR55" s="44">
        <f>+Table_DonBan[[#This Row],[Tiền hàng]]-Table_DonBan[[#This Row],[Khuyễn mãi]]</f>
        <v>126600000</v>
      </c>
      <c r="BT55" s="49" t="s">
        <v>60</v>
      </c>
      <c r="BU55" s="50" t="s">
        <v>158</v>
      </c>
      <c r="BV55" s="6">
        <f xml:space="preserve">
IFERROR(VLOOKUP(Table_Main[[#This Row],[Đơn bán]],Table_DonBan[],COUNTA(Table_DonBan[[#Headers],[Mã đơn bán]:[Ngày lập]]),0),0)</f>
        <v>45560</v>
      </c>
      <c r="BW55" s="51">
        <f>IFERROR(MONTH(Table_Main[[#This Row],[Ngày lên đơn]]),0)</f>
        <v>9</v>
      </c>
      <c r="BX55" s="51" t="str">
        <f>INDEX(Table_SKU[],
MATCH(Table_Main[[#This Row],[Mã SKU]],Table_SKU[Mã Sản phẩm],0),1)</f>
        <v>Nhóm 2</v>
      </c>
      <c r="BY55" s="52" t="str">
        <f xml:space="preserve">
IFERROR(VLOOKUP(Table_Main[[#This Row],[Đơn bán]],Table_DonBan[],COUNTA(Table_DonBan[[#Headers],[Mã đơn bán]:[Mã Khách]]),0),0)</f>
        <v>KH01</v>
      </c>
      <c r="BZ55" s="52" t="str">
        <f>VLOOKUP(Table_Main[[#This Row],[Khách hàng]],Table_KhachHang[],COUNTA(Table_KhachHang[[#Headers],[Mã khách]:[Phân khúc]]),0)</f>
        <v>B2B</v>
      </c>
      <c r="CA55" s="25" t="str">
        <f xml:space="preserve">
IFERROR(VLOOKUP(Table_Main[[#This Row],[Đơn bán]],Table_DonBan[],COUNTA(Table_DonBan[[#Headers],[Mã đơn bán]:[Mã NV]]),0),0)</f>
        <v>NV02</v>
      </c>
      <c r="CB55" s="7" t="str">
        <f xml:space="preserve">
IFERROR(VLOOKUP(Table_Main[[#This Row],[Đơn bán]],Table_DonBan[],COUNTA(Table_DonBan[[#Headers],[Mã đơn bán]:[Kênh]]),0),0)</f>
        <v>ST</v>
      </c>
      <c r="CC55" s="7" t="str">
        <f>VLOOKUP(Table_Main[[#This Row],[Kênh]],Table_Kenh[],COUNTA(Table_Kenh[[#Headers],[Kênh]:[Nhóm Kênh]]),0)</f>
        <v>Offline</v>
      </c>
      <c r="CD55" s="53">
        <v>139</v>
      </c>
      <c r="CE55" s="7" t="str">
        <f>IFERROR(VLOOKUP(Table_Main[[#This Row],[Mã SKU]],Table_SKU[[Mã Sản phẩm]:[Giá bán]],COUNTA(Table_SKU[[#Headers],[Mã Sản phẩm]:[Đơn vị]]),0),0)</f>
        <v>Bộ</v>
      </c>
      <c r="CF55" s="7">
        <f>IFERROR(VLOOKUP(Table_Main[[#This Row],[Mã SKU]],Table_SKU[[Mã Sản phẩm]:[Giá bán]],COUNTA(Table_SKU[[#Headers],[Mã Sản phẩm]:[Giá bán]]),0),0)</f>
        <v>300000</v>
      </c>
      <c r="CG55" s="7">
        <f>Table_Main[[#This Row],[Giá bán]]*Table_Main[[#This Row],[Số lượng]]</f>
        <v>41700000</v>
      </c>
      <c r="CH55" s="60">
        <v>0</v>
      </c>
      <c r="CI55" s="7">
        <f>+Table_Main[[#This Row],[Thành tiền niêm yết]]-Table_Main[[#This Row],[Khuyễn mãi]]</f>
        <v>41700000</v>
      </c>
      <c r="CJ55" s="7" cm="1">
        <f t="array" ref="CJ55">VLOOKUP(Table_Main[[#This Row],[Đơn bán]],Table_DonBan[],COUNTA(Table_DonBan[[#Headers],[Mã đơn bán]:[Khuyễn mãi]]),0)*Table_Main[[#This Row],[Giá trị bán trước VAT]]/
SUM(_xlfn._xlws.FILTER(Table_Main[Giá trị bán trước VAT],
(Table_Main[Đơn bán]=Table_Main[[#This Row],[Đơn bán]])
))</f>
        <v>0</v>
      </c>
      <c r="CK55" s="7">
        <f>Table_Main[[#This Row],[Giá trị bán trước VAT]]-Table_Main[[#This Row],[Phân bổ khuyến mãi đơn]]</f>
        <v>41700000</v>
      </c>
      <c r="CL55"/>
      <c r="CM55"/>
    </row>
    <row r="56" spans="2:91" ht="16.5" x14ac:dyDescent="0.3">
      <c r="B56" s="64" t="s">
        <v>181</v>
      </c>
      <c r="C56" s="63">
        <v>160360239.77278847</v>
      </c>
      <c r="D56" s="63">
        <v>145719741.28747776</v>
      </c>
      <c r="E56" s="63">
        <v>171120018.9397338</v>
      </c>
      <c r="R56" s="64" t="s">
        <v>181</v>
      </c>
      <c r="S56" s="63">
        <v>154600000</v>
      </c>
      <c r="T56" s="63">
        <v>322600000</v>
      </c>
      <c r="U56" s="63">
        <v>477200000</v>
      </c>
      <c r="AG56"/>
      <c r="AH56"/>
      <c r="AI56"/>
      <c r="AK56"/>
      <c r="AL56"/>
      <c r="BK56" s="43" t="s">
        <v>144</v>
      </c>
      <c r="BL56" s="37">
        <v>45417</v>
      </c>
      <c r="BM56" s="41" t="s">
        <v>67</v>
      </c>
      <c r="BN56" s="41" t="s">
        <v>93</v>
      </c>
      <c r="BO56" s="41" t="s">
        <v>84</v>
      </c>
      <c r="BP56" s="44" cm="1">
        <f t="array" ref="BP56">IFERROR(SUM(_xlfn._xlws.FILTER(Table_Main[Giá trị bán trước VAT],
(Table_Main[Đơn bán]=Table_DonBan[[#This Row],[Mã đơn bán]]),
)),0)</f>
        <v>122900000</v>
      </c>
      <c r="BQ56" s="46">
        <v>0</v>
      </c>
      <c r="BR56" s="44">
        <f>+Table_DonBan[[#This Row],[Tiền hàng]]-Table_DonBan[[#This Row],[Khuyễn mãi]]</f>
        <v>122900000</v>
      </c>
      <c r="BT56" s="49" t="s">
        <v>61</v>
      </c>
      <c r="BU56" s="50" t="s">
        <v>158</v>
      </c>
      <c r="BV56" s="6">
        <f xml:space="preserve">
IFERROR(VLOOKUP(Table_Main[[#This Row],[Đơn bán]],Table_DonBan[],COUNTA(Table_DonBan[[#Headers],[Mã đơn bán]:[Ngày lập]]),0),0)</f>
        <v>45560</v>
      </c>
      <c r="BW56" s="51">
        <f>IFERROR(MONTH(Table_Main[[#This Row],[Ngày lên đơn]]),0)</f>
        <v>9</v>
      </c>
      <c r="BX56" s="51" t="str">
        <f>INDEX(Table_SKU[],
MATCH(Table_Main[[#This Row],[Mã SKU]],Table_SKU[Mã Sản phẩm],0),1)</f>
        <v>Nhóm 3</v>
      </c>
      <c r="BY56" s="10" t="str">
        <f xml:space="preserve">
IFERROR(VLOOKUP(Table_Main[[#This Row],[Đơn bán]],Table_DonBan[],COUNTA(Table_DonBan[[#Headers],[Mã đơn bán]:[Mã Khách]]),0),0)</f>
        <v>KH01</v>
      </c>
      <c r="BZ56" s="10" t="str">
        <f>VLOOKUP(Table_Main[[#This Row],[Khách hàng]],Table_KhachHang[],COUNTA(Table_KhachHang[[#Headers],[Mã khách]:[Phân khúc]]),0)</f>
        <v>B2B</v>
      </c>
      <c r="CA56" s="25" t="str">
        <f xml:space="preserve">
IFERROR(VLOOKUP(Table_Main[[#This Row],[Đơn bán]],Table_DonBan[],COUNTA(Table_DonBan[[#Headers],[Mã đơn bán]:[Mã NV]]),0),0)</f>
        <v>NV02</v>
      </c>
      <c r="CB56" s="7" t="str">
        <f xml:space="preserve">
IFERROR(VLOOKUP(Table_Main[[#This Row],[Đơn bán]],Table_DonBan[],COUNTA(Table_DonBan[[#Headers],[Mã đơn bán]:[Kênh]]),0),0)</f>
        <v>ST</v>
      </c>
      <c r="CC56" s="7" t="str">
        <f>VLOOKUP(Table_Main[[#This Row],[Kênh]],Table_Kenh[],COUNTA(Table_Kenh[[#Headers],[Kênh]:[Nhóm Kênh]]),0)</f>
        <v>Offline</v>
      </c>
      <c r="CD56" s="53">
        <v>116</v>
      </c>
      <c r="CE56" s="7" t="str">
        <f>IFERROR(VLOOKUP(Table_Main[[#This Row],[Mã SKU]],Table_SKU[[Mã Sản phẩm]:[Giá bán]],COUNTA(Table_SKU[[#Headers],[Mã Sản phẩm]:[Đơn vị]]),0),0)</f>
        <v>Bộ</v>
      </c>
      <c r="CF56" s="7">
        <f>IFERROR(VLOOKUP(Table_Main[[#This Row],[Mã SKU]],Table_SKU[[Mã Sản phẩm]:[Giá bán]],COUNTA(Table_SKU[[#Headers],[Mã Sản phẩm]:[Giá bán]]),0),0)</f>
        <v>500000</v>
      </c>
      <c r="CG56" s="7">
        <f>Table_Main[[#This Row],[Giá bán]]*Table_Main[[#This Row],[Số lượng]]</f>
        <v>58000000</v>
      </c>
      <c r="CH56" s="60">
        <v>0</v>
      </c>
      <c r="CI56" s="7">
        <f>+Table_Main[[#This Row],[Thành tiền niêm yết]]-Table_Main[[#This Row],[Khuyễn mãi]]</f>
        <v>58000000</v>
      </c>
      <c r="CJ56" s="7" cm="1">
        <f t="array" ref="CJ56">VLOOKUP(Table_Main[[#This Row],[Đơn bán]],Table_DonBan[],COUNTA(Table_DonBan[[#Headers],[Mã đơn bán]:[Khuyễn mãi]]),0)*Table_Main[[#This Row],[Giá trị bán trước VAT]]/
SUM(_xlfn._xlws.FILTER(Table_Main[Giá trị bán trước VAT],
(Table_Main[Đơn bán]=Table_Main[[#This Row],[Đơn bán]])
))</f>
        <v>0</v>
      </c>
      <c r="CK56" s="7">
        <f>Table_Main[[#This Row],[Giá trị bán trước VAT]]-Table_Main[[#This Row],[Phân bổ khuyến mãi đơn]]</f>
        <v>58000000</v>
      </c>
      <c r="CL56"/>
      <c r="CM56"/>
    </row>
    <row r="57" spans="2:91" ht="16.5" x14ac:dyDescent="0.3">
      <c r="B57" s="64" t="s">
        <v>182</v>
      </c>
      <c r="C57" s="63">
        <v>53400000</v>
      </c>
      <c r="D57" s="63">
        <v>48100000</v>
      </c>
      <c r="E57" s="63">
        <v>54500000</v>
      </c>
      <c r="R57" s="64" t="s">
        <v>182</v>
      </c>
      <c r="S57" s="63">
        <v>54500000</v>
      </c>
      <c r="T57" s="63">
        <v>101500000</v>
      </c>
      <c r="U57" s="63">
        <v>156000000</v>
      </c>
      <c r="AG57"/>
      <c r="AH57"/>
      <c r="AI57"/>
      <c r="AK57"/>
      <c r="AL57"/>
      <c r="BK57" s="43" t="s">
        <v>143</v>
      </c>
      <c r="BL57" s="37">
        <v>45407</v>
      </c>
      <c r="BM57" s="41" t="s">
        <v>69</v>
      </c>
      <c r="BN57" s="41" t="s">
        <v>92</v>
      </c>
      <c r="BO57" s="41" t="s">
        <v>84</v>
      </c>
      <c r="BP57" s="44" cm="1">
        <f t="array" ref="BP57">IFERROR(SUM(_xlfn._xlws.FILTER(Table_Main[Giá trị bán trước VAT],
(Table_Main[Đơn bán]=Table_DonBan[[#This Row],[Mã đơn bán]]),
)),0)</f>
        <v>121300000</v>
      </c>
      <c r="BQ57" s="46">
        <v>0</v>
      </c>
      <c r="BR57" s="44">
        <f>+Table_DonBan[[#This Row],[Tiền hàng]]-Table_DonBan[[#This Row],[Khuyễn mãi]]</f>
        <v>121300000</v>
      </c>
      <c r="BT57" s="49" t="s">
        <v>59</v>
      </c>
      <c r="BU57" s="50" t="s">
        <v>157</v>
      </c>
      <c r="BV57" s="6">
        <f xml:space="preserve">
IFERROR(VLOOKUP(Table_Main[[#This Row],[Đơn bán]],Table_DonBan[],COUNTA(Table_DonBan[[#Headers],[Mã đơn bán]:[Ngày lập]]),0),0)</f>
        <v>45550</v>
      </c>
      <c r="BW57" s="51">
        <f>IFERROR(MONTH(Table_Main[[#This Row],[Ngày lên đơn]]),0)</f>
        <v>9</v>
      </c>
      <c r="BX57" s="51" t="str">
        <f>INDEX(Table_SKU[],
MATCH(Table_Main[[#This Row],[Mã SKU]],Table_SKU[Mã Sản phẩm],0),1)</f>
        <v>Nhóm 1</v>
      </c>
      <c r="BY57" s="52" t="str">
        <f xml:space="preserve">
IFERROR(VLOOKUP(Table_Main[[#This Row],[Đơn bán]],Table_DonBan[],COUNTA(Table_DonBan[[#Headers],[Mã đơn bán]:[Mã Khách]]),0),0)</f>
        <v>KH05</v>
      </c>
      <c r="BZ57" s="52" t="str">
        <f>VLOOKUP(Table_Main[[#This Row],[Khách hàng]],Table_KhachHang[],COUNTA(Table_KhachHang[[#Headers],[Mã khách]:[Phân khúc]]),0)</f>
        <v>B2C</v>
      </c>
      <c r="CA57" s="25" t="str">
        <f xml:space="preserve">
IFERROR(VLOOKUP(Table_Main[[#This Row],[Đơn bán]],Table_DonBan[],COUNTA(Table_DonBan[[#Headers],[Mã đơn bán]:[Mã NV]]),0),0)</f>
        <v>NV02</v>
      </c>
      <c r="CB57" s="7" t="str">
        <f xml:space="preserve">
IFERROR(VLOOKUP(Table_Main[[#This Row],[Đơn bán]],Table_DonBan[],COUNTA(Table_DonBan[[#Headers],[Mã đơn bán]:[Kênh]]),0),0)</f>
        <v>TT</v>
      </c>
      <c r="CC57" s="7" t="str">
        <f>VLOOKUP(Table_Main[[#This Row],[Kênh]],Table_Kenh[],COUNTA(Table_Kenh[[#Headers],[Kênh]:[Nhóm Kênh]]),0)</f>
        <v>Mạng xã hội</v>
      </c>
      <c r="CD57" s="53">
        <v>256</v>
      </c>
      <c r="CE57" s="7" t="str">
        <f>IFERROR(VLOOKUP(Table_Main[[#This Row],[Mã SKU]],Table_SKU[[Mã Sản phẩm]:[Giá bán]],COUNTA(Table_SKU[[#Headers],[Mã Sản phẩm]:[Đơn vị]]),0),0)</f>
        <v>Bộ</v>
      </c>
      <c r="CF57" s="7">
        <f>IFERROR(VLOOKUP(Table_Main[[#This Row],[Mã SKU]],Table_SKU[[Mã Sản phẩm]:[Giá bán]],COUNTA(Table_SKU[[#Headers],[Mã Sản phẩm]:[Giá bán]]),0),0)</f>
        <v>200000</v>
      </c>
      <c r="CG57" s="7">
        <f>Table_Main[[#This Row],[Giá bán]]*Table_Main[[#This Row],[Số lượng]]</f>
        <v>51200000</v>
      </c>
      <c r="CH57" s="60">
        <v>0</v>
      </c>
      <c r="CI57" s="7">
        <f>+Table_Main[[#This Row],[Thành tiền niêm yết]]-Table_Main[[#This Row],[Khuyễn mãi]]</f>
        <v>51200000</v>
      </c>
      <c r="CJ57" s="7" cm="1">
        <f t="array" ref="CJ57">VLOOKUP(Table_Main[[#This Row],[Đơn bán]],Table_DonBan[],COUNTA(Table_DonBan[[#Headers],[Mã đơn bán]:[Khuyễn mãi]]),0)*Table_Main[[#This Row],[Giá trị bán trước VAT]]/
SUM(_xlfn._xlws.FILTER(Table_Main[Giá trị bán trước VAT],
(Table_Main[Đơn bán]=Table_Main[[#This Row],[Đơn bán]])
))</f>
        <v>0</v>
      </c>
      <c r="CK57" s="7">
        <f>Table_Main[[#This Row],[Giá trị bán trước VAT]]-Table_Main[[#This Row],[Phân bổ khuyến mãi đơn]]</f>
        <v>51200000</v>
      </c>
      <c r="CL57"/>
      <c r="CM57"/>
    </row>
    <row r="58" spans="2:91" ht="16.5" x14ac:dyDescent="0.3">
      <c r="B58" s="8" t="s">
        <v>169</v>
      </c>
      <c r="C58" s="63">
        <v>1395160239.7727885</v>
      </c>
      <c r="D58" s="63">
        <v>1358419741.2874777</v>
      </c>
      <c r="E58" s="63">
        <v>1739120018.9397337</v>
      </c>
      <c r="R58" s="8" t="s">
        <v>169</v>
      </c>
      <c r="S58" s="63">
        <v>1883000000</v>
      </c>
      <c r="T58" s="63">
        <v>2609700000</v>
      </c>
      <c r="U58" s="63">
        <v>4492700000</v>
      </c>
      <c r="AG58"/>
      <c r="AH58"/>
      <c r="AI58"/>
      <c r="AK58"/>
      <c r="AL58"/>
      <c r="BK58" s="43" t="s">
        <v>142</v>
      </c>
      <c r="BL58" s="37">
        <v>45397</v>
      </c>
      <c r="BM58" s="41" t="s">
        <v>68</v>
      </c>
      <c r="BN58" s="41" t="s">
        <v>92</v>
      </c>
      <c r="BO58" s="41" t="s">
        <v>82</v>
      </c>
      <c r="BP58" s="44" cm="1">
        <f t="array" ref="BP58">IFERROR(SUM(_xlfn._xlws.FILTER(Table_Main[Giá trị bán trước VAT],
(Table_Main[Đơn bán]=Table_DonBan[[#This Row],[Mã đơn bán]]),
)),0)</f>
        <v>118600000</v>
      </c>
      <c r="BQ58" s="46">
        <v>0</v>
      </c>
      <c r="BR58" s="44">
        <f>+Table_DonBan[[#This Row],[Tiền hàng]]-Table_DonBan[[#This Row],[Khuyễn mãi]]</f>
        <v>118600000</v>
      </c>
      <c r="BT58" s="49" t="s">
        <v>60</v>
      </c>
      <c r="BU58" s="50" t="s">
        <v>157</v>
      </c>
      <c r="BV58" s="6">
        <f xml:space="preserve">
IFERROR(VLOOKUP(Table_Main[[#This Row],[Đơn bán]],Table_DonBan[],COUNTA(Table_DonBan[[#Headers],[Mã đơn bán]:[Ngày lập]]),0),0)</f>
        <v>45550</v>
      </c>
      <c r="BW58" s="51">
        <f>IFERROR(MONTH(Table_Main[[#This Row],[Ngày lên đơn]]),0)</f>
        <v>9</v>
      </c>
      <c r="BX58" s="51" t="str">
        <f>INDEX(Table_SKU[],
MATCH(Table_Main[[#This Row],[Mã SKU]],Table_SKU[Mã Sản phẩm],0),1)</f>
        <v>Nhóm 2</v>
      </c>
      <c r="BY58" s="52" t="str">
        <f xml:space="preserve">
IFERROR(VLOOKUP(Table_Main[[#This Row],[Đơn bán]],Table_DonBan[],COUNTA(Table_DonBan[[#Headers],[Mã đơn bán]:[Mã Khách]]),0),0)</f>
        <v>KH05</v>
      </c>
      <c r="BZ58" s="52" t="str">
        <f>VLOOKUP(Table_Main[[#This Row],[Khách hàng]],Table_KhachHang[],COUNTA(Table_KhachHang[[#Headers],[Mã khách]:[Phân khúc]]),0)</f>
        <v>B2C</v>
      </c>
      <c r="CA58" s="25" t="str">
        <f xml:space="preserve">
IFERROR(VLOOKUP(Table_Main[[#This Row],[Đơn bán]],Table_DonBan[],COUNTA(Table_DonBan[[#Headers],[Mã đơn bán]:[Mã NV]]),0),0)</f>
        <v>NV02</v>
      </c>
      <c r="CB58" s="7" t="str">
        <f xml:space="preserve">
IFERROR(VLOOKUP(Table_Main[[#This Row],[Đơn bán]],Table_DonBan[],COUNTA(Table_DonBan[[#Headers],[Mã đơn bán]:[Kênh]]),0),0)</f>
        <v>TT</v>
      </c>
      <c r="CC58" s="7" t="str">
        <f>VLOOKUP(Table_Main[[#This Row],[Kênh]],Table_Kenh[],COUNTA(Table_Kenh[[#Headers],[Kênh]:[Nhóm Kênh]]),0)</f>
        <v>Mạng xã hội</v>
      </c>
      <c r="CD58" s="53">
        <v>135</v>
      </c>
      <c r="CE58" s="7" t="str">
        <f>IFERROR(VLOOKUP(Table_Main[[#This Row],[Mã SKU]],Table_SKU[[Mã Sản phẩm]:[Giá bán]],COUNTA(Table_SKU[[#Headers],[Mã Sản phẩm]:[Đơn vị]]),0),0)</f>
        <v>Bộ</v>
      </c>
      <c r="CF58" s="7">
        <f>IFERROR(VLOOKUP(Table_Main[[#This Row],[Mã SKU]],Table_SKU[[Mã Sản phẩm]:[Giá bán]],COUNTA(Table_SKU[[#Headers],[Mã Sản phẩm]:[Giá bán]]),0),0)</f>
        <v>300000</v>
      </c>
      <c r="CG58" s="7">
        <f>Table_Main[[#This Row],[Giá bán]]*Table_Main[[#This Row],[Số lượng]]</f>
        <v>40500000</v>
      </c>
      <c r="CH58" s="60">
        <v>0</v>
      </c>
      <c r="CI58" s="7">
        <f>+Table_Main[[#This Row],[Thành tiền niêm yết]]-Table_Main[[#This Row],[Khuyễn mãi]]</f>
        <v>40500000</v>
      </c>
      <c r="CJ58" s="7" cm="1">
        <f t="array" ref="CJ58">VLOOKUP(Table_Main[[#This Row],[Đơn bán]],Table_DonBan[],COUNTA(Table_DonBan[[#Headers],[Mã đơn bán]:[Khuyễn mãi]]),0)*Table_Main[[#This Row],[Giá trị bán trước VAT]]/
SUM(_xlfn._xlws.FILTER(Table_Main[Giá trị bán trước VAT],
(Table_Main[Đơn bán]=Table_Main[[#This Row],[Đơn bán]])
))</f>
        <v>0</v>
      </c>
      <c r="CK58" s="7">
        <f>Table_Main[[#This Row],[Giá trị bán trước VAT]]-Table_Main[[#This Row],[Phân bổ khuyến mãi đơn]]</f>
        <v>40500000</v>
      </c>
      <c r="CL58"/>
      <c r="CM58"/>
    </row>
    <row r="59" spans="2:91" ht="16.5" x14ac:dyDescent="0.3">
      <c r="B59"/>
      <c r="C59"/>
      <c r="R59"/>
      <c r="S59"/>
      <c r="T59"/>
      <c r="U59"/>
      <c r="AG59"/>
      <c r="AH59"/>
      <c r="AI59"/>
      <c r="AK59"/>
      <c r="AL59"/>
      <c r="BK59" s="43" t="s">
        <v>141</v>
      </c>
      <c r="BL59" s="37">
        <v>45387</v>
      </c>
      <c r="BM59" s="41" t="s">
        <v>68</v>
      </c>
      <c r="BN59" s="41" t="s">
        <v>92</v>
      </c>
      <c r="BO59" s="41" t="s">
        <v>86</v>
      </c>
      <c r="BP59" s="44" cm="1">
        <f t="array" ref="BP59">IFERROR(SUM(_xlfn._xlws.FILTER(Table_Main[Giá trị bán trước VAT],
(Table_Main[Đơn bán]=Table_DonBan[[#This Row],[Mã đơn bán]]),
)),0)</f>
        <v>115200000</v>
      </c>
      <c r="BQ59" s="46">
        <v>0</v>
      </c>
      <c r="BR59" s="44">
        <f>+Table_DonBan[[#This Row],[Tiền hàng]]-Table_DonBan[[#This Row],[Khuyễn mãi]]</f>
        <v>115200000</v>
      </c>
      <c r="BT59" s="49" t="s">
        <v>61</v>
      </c>
      <c r="BU59" s="50" t="s">
        <v>157</v>
      </c>
      <c r="BV59" s="6">
        <f xml:space="preserve">
IFERROR(VLOOKUP(Table_Main[[#This Row],[Đơn bán]],Table_DonBan[],COUNTA(Table_DonBan[[#Headers],[Mã đơn bán]:[Ngày lập]]),0),0)</f>
        <v>45550</v>
      </c>
      <c r="BW59" s="51">
        <f>IFERROR(MONTH(Table_Main[[#This Row],[Ngày lên đơn]]),0)</f>
        <v>9</v>
      </c>
      <c r="BX59" s="51" t="str">
        <f>INDEX(Table_SKU[],
MATCH(Table_Main[[#This Row],[Mã SKU]],Table_SKU[Mã Sản phẩm],0),1)</f>
        <v>Nhóm 3</v>
      </c>
      <c r="BY59" s="52" t="str">
        <f xml:space="preserve">
IFERROR(VLOOKUP(Table_Main[[#This Row],[Đơn bán]],Table_DonBan[],COUNTA(Table_DonBan[[#Headers],[Mã đơn bán]:[Mã Khách]]),0),0)</f>
        <v>KH05</v>
      </c>
      <c r="BZ59" s="52" t="str">
        <f>VLOOKUP(Table_Main[[#This Row],[Khách hàng]],Table_KhachHang[],COUNTA(Table_KhachHang[[#Headers],[Mã khách]:[Phân khúc]]),0)</f>
        <v>B2C</v>
      </c>
      <c r="CA59" s="25" t="str">
        <f xml:space="preserve">
IFERROR(VLOOKUP(Table_Main[[#This Row],[Đơn bán]],Table_DonBan[],COUNTA(Table_DonBan[[#Headers],[Mã đơn bán]:[Mã NV]]),0),0)</f>
        <v>NV02</v>
      </c>
      <c r="CB59" s="7" t="str">
        <f xml:space="preserve">
IFERROR(VLOOKUP(Table_Main[[#This Row],[Đơn bán]],Table_DonBan[],COUNTA(Table_DonBan[[#Headers],[Mã đơn bán]:[Kênh]]),0),0)</f>
        <v>TT</v>
      </c>
      <c r="CC59" s="7" t="str">
        <f>VLOOKUP(Table_Main[[#This Row],[Kênh]],Table_Kenh[],COUNTA(Table_Kenh[[#Headers],[Kênh]:[Nhóm Kênh]]),0)</f>
        <v>Mạng xã hội</v>
      </c>
      <c r="CD59" s="53">
        <v>110</v>
      </c>
      <c r="CE59" s="7" t="str">
        <f>IFERROR(VLOOKUP(Table_Main[[#This Row],[Mã SKU]],Table_SKU[[Mã Sản phẩm]:[Giá bán]],COUNTA(Table_SKU[[#Headers],[Mã Sản phẩm]:[Đơn vị]]),0),0)</f>
        <v>Bộ</v>
      </c>
      <c r="CF59" s="7">
        <f>IFERROR(VLOOKUP(Table_Main[[#This Row],[Mã SKU]],Table_SKU[[Mã Sản phẩm]:[Giá bán]],COUNTA(Table_SKU[[#Headers],[Mã Sản phẩm]:[Giá bán]]),0),0)</f>
        <v>500000</v>
      </c>
      <c r="CG59" s="7">
        <f>Table_Main[[#This Row],[Giá bán]]*Table_Main[[#This Row],[Số lượng]]</f>
        <v>55000000</v>
      </c>
      <c r="CH59" s="60">
        <v>0</v>
      </c>
      <c r="CI59" s="7">
        <f>+Table_Main[[#This Row],[Thành tiền niêm yết]]-Table_Main[[#This Row],[Khuyễn mãi]]</f>
        <v>55000000</v>
      </c>
      <c r="CJ59" s="7" cm="1">
        <f t="array" ref="CJ59">VLOOKUP(Table_Main[[#This Row],[Đơn bán]],Table_DonBan[],COUNTA(Table_DonBan[[#Headers],[Mã đơn bán]:[Khuyễn mãi]]),0)*Table_Main[[#This Row],[Giá trị bán trước VAT]]/
SUM(_xlfn._xlws.FILTER(Table_Main[Giá trị bán trước VAT],
(Table_Main[Đơn bán]=Table_Main[[#This Row],[Đơn bán]])
))</f>
        <v>0</v>
      </c>
      <c r="CK59" s="7">
        <f>Table_Main[[#This Row],[Giá trị bán trước VAT]]-Table_Main[[#This Row],[Phân bổ khuyến mãi đơn]]</f>
        <v>55000000</v>
      </c>
      <c r="CL59"/>
      <c r="CM59"/>
    </row>
    <row r="60" spans="2:91" ht="16.5" x14ac:dyDescent="0.3">
      <c r="B60"/>
      <c r="C60"/>
      <c r="R60"/>
      <c r="S60"/>
      <c r="T60"/>
      <c r="U60"/>
      <c r="AG60"/>
      <c r="AH60"/>
      <c r="AI60"/>
      <c r="AK60"/>
      <c r="AL60"/>
      <c r="BK60" s="43" t="s">
        <v>140</v>
      </c>
      <c r="BL60" s="37">
        <v>45376</v>
      </c>
      <c r="BM60" s="41" t="s">
        <v>70</v>
      </c>
      <c r="BN60" s="41" t="s">
        <v>93</v>
      </c>
      <c r="BO60" s="41" t="s">
        <v>82</v>
      </c>
      <c r="BP60" s="44" cm="1">
        <f t="array" ref="BP60">IFERROR(SUM(_xlfn._xlws.FILTER(Table_Main[Giá trị bán trước VAT],
(Table_Main[Đơn bán]=Table_DonBan[[#This Row],[Mã đơn bán]]),
)),0)</f>
        <v>112200000</v>
      </c>
      <c r="BQ60" s="46">
        <v>0</v>
      </c>
      <c r="BR60" s="44">
        <f>+Table_DonBan[[#This Row],[Tiền hàng]]-Table_DonBan[[#This Row],[Khuyễn mãi]]</f>
        <v>112200000</v>
      </c>
      <c r="BT60" s="49" t="s">
        <v>59</v>
      </c>
      <c r="BU60" s="50" t="s">
        <v>156</v>
      </c>
      <c r="BV60" s="6">
        <f xml:space="preserve">
IFERROR(VLOOKUP(Table_Main[[#This Row],[Đơn bán]],Table_DonBan[],COUNTA(Table_DonBan[[#Headers],[Mã đơn bán]:[Ngày lập]]),0),0)</f>
        <v>45540</v>
      </c>
      <c r="BW60" s="51">
        <f>IFERROR(MONTH(Table_Main[[#This Row],[Ngày lên đơn]]),0)</f>
        <v>9</v>
      </c>
      <c r="BX60" s="51" t="str">
        <f>INDEX(Table_SKU[],
MATCH(Table_Main[[#This Row],[Mã SKU]],Table_SKU[Mã Sản phẩm],0),1)</f>
        <v>Nhóm 1</v>
      </c>
      <c r="BY60" s="52" t="str">
        <f xml:space="preserve">
IFERROR(VLOOKUP(Table_Main[[#This Row],[Đơn bán]],Table_DonBan[],COUNTA(Table_DonBan[[#Headers],[Mã đơn bán]:[Mã Khách]]),0),0)</f>
        <v>KH03</v>
      </c>
      <c r="BZ60" s="52" t="str">
        <f>VLOOKUP(Table_Main[[#This Row],[Khách hàng]],Table_KhachHang[],COUNTA(Table_KhachHang[[#Headers],[Mã khách]:[Phân khúc]]),0)</f>
        <v>B2C</v>
      </c>
      <c r="CA60" s="25" t="str">
        <f xml:space="preserve">
IFERROR(VLOOKUP(Table_Main[[#This Row],[Đơn bán]],Table_DonBan[],COUNTA(Table_DonBan[[#Headers],[Mã đơn bán]:[Mã NV]]),0),0)</f>
        <v>NV03</v>
      </c>
      <c r="CB60" s="7" t="str">
        <f xml:space="preserve">
IFERROR(VLOOKUP(Table_Main[[#This Row],[Đơn bán]],Table_DonBan[],COUNTA(Table_DonBan[[#Headers],[Mã đơn bán]:[Kênh]]),0),0)</f>
        <v>TT</v>
      </c>
      <c r="CC60" s="7" t="str">
        <f>VLOOKUP(Table_Main[[#This Row],[Kênh]],Table_Kenh[],COUNTA(Table_Kenh[[#Headers],[Kênh]:[Nhóm Kênh]]),0)</f>
        <v>Mạng xã hội</v>
      </c>
      <c r="CD60" s="53">
        <v>251</v>
      </c>
      <c r="CE60" s="7" t="str">
        <f>IFERROR(VLOOKUP(Table_Main[[#This Row],[Mã SKU]],Table_SKU[[Mã Sản phẩm]:[Giá bán]],COUNTA(Table_SKU[[#Headers],[Mã Sản phẩm]:[Đơn vị]]),0),0)</f>
        <v>Bộ</v>
      </c>
      <c r="CF60" s="7">
        <f>IFERROR(VLOOKUP(Table_Main[[#This Row],[Mã SKU]],Table_SKU[[Mã Sản phẩm]:[Giá bán]],COUNTA(Table_SKU[[#Headers],[Mã Sản phẩm]:[Giá bán]]),0),0)</f>
        <v>200000</v>
      </c>
      <c r="CG60" s="7">
        <f>Table_Main[[#This Row],[Giá bán]]*Table_Main[[#This Row],[Số lượng]]</f>
        <v>50200000</v>
      </c>
      <c r="CH60" s="60">
        <v>0</v>
      </c>
      <c r="CI60" s="7">
        <f>+Table_Main[[#This Row],[Thành tiền niêm yết]]-Table_Main[[#This Row],[Khuyễn mãi]]</f>
        <v>50200000</v>
      </c>
      <c r="CJ60" s="7" cm="1">
        <f t="array" ref="CJ60">VLOOKUP(Table_Main[[#This Row],[Đơn bán]],Table_DonBan[],COUNTA(Table_DonBan[[#Headers],[Mã đơn bán]:[Khuyễn mãi]]),0)*Table_Main[[#This Row],[Giá trị bán trước VAT]]/
SUM(_xlfn._xlws.FILTER(Table_Main[Giá trị bán trước VAT],
(Table_Main[Đơn bán]=Table_Main[[#This Row],[Đơn bán]])
))</f>
        <v>0</v>
      </c>
      <c r="CK60" s="7">
        <f>Table_Main[[#This Row],[Giá trị bán trước VAT]]-Table_Main[[#This Row],[Phân bổ khuyến mãi đơn]]</f>
        <v>50200000</v>
      </c>
      <c r="CL60"/>
      <c r="CM60"/>
    </row>
    <row r="61" spans="2:91" ht="16.5" x14ac:dyDescent="0.3">
      <c r="B61"/>
      <c r="C61"/>
      <c r="R61"/>
      <c r="S61"/>
      <c r="T61"/>
      <c r="U61"/>
      <c r="AG61"/>
      <c r="AH61"/>
      <c r="AI61"/>
      <c r="BK61" s="43" t="s">
        <v>139</v>
      </c>
      <c r="BL61" s="37">
        <v>45366</v>
      </c>
      <c r="BM61" s="41" t="s">
        <v>66</v>
      </c>
      <c r="BN61" s="41" t="s">
        <v>92</v>
      </c>
      <c r="BO61" s="41" t="s">
        <v>83</v>
      </c>
      <c r="BP61" s="44" cm="1">
        <f t="array" ref="BP61">IFERROR(SUM(_xlfn._xlws.FILTER(Table_Main[Giá trị bán trước VAT],
(Table_Main[Đơn bán]=Table_DonBan[[#This Row],[Mã đơn bán]]),
)),0)</f>
        <v>113200000</v>
      </c>
      <c r="BQ61" s="46">
        <v>0</v>
      </c>
      <c r="BR61" s="44">
        <f>+Table_DonBan[[#This Row],[Tiền hàng]]-Table_DonBan[[#This Row],[Khuyễn mãi]]</f>
        <v>113200000</v>
      </c>
      <c r="BT61" s="49" t="s">
        <v>60</v>
      </c>
      <c r="BU61" s="50" t="s">
        <v>156</v>
      </c>
      <c r="BV61" s="6">
        <f xml:space="preserve">
IFERROR(VLOOKUP(Table_Main[[#This Row],[Đơn bán]],Table_DonBan[],COUNTA(Table_DonBan[[#Headers],[Mã đơn bán]:[Ngày lập]]),0),0)</f>
        <v>45540</v>
      </c>
      <c r="BW61" s="51">
        <f>IFERROR(MONTH(Table_Main[[#This Row],[Ngày lên đơn]]),0)</f>
        <v>9</v>
      </c>
      <c r="BX61" s="51" t="str">
        <f>INDEX(Table_SKU[],
MATCH(Table_Main[[#This Row],[Mã SKU]],Table_SKU[Mã Sản phẩm],0),1)</f>
        <v>Nhóm 2</v>
      </c>
      <c r="BY61" s="52" t="str">
        <f xml:space="preserve">
IFERROR(VLOOKUP(Table_Main[[#This Row],[Đơn bán]],Table_DonBan[],COUNTA(Table_DonBan[[#Headers],[Mã đơn bán]:[Mã Khách]]),0),0)</f>
        <v>KH03</v>
      </c>
      <c r="BZ61" s="52" t="str">
        <f>VLOOKUP(Table_Main[[#This Row],[Khách hàng]],Table_KhachHang[],COUNTA(Table_KhachHang[[#Headers],[Mã khách]:[Phân khúc]]),0)</f>
        <v>B2C</v>
      </c>
      <c r="CA61" s="25" t="str">
        <f xml:space="preserve">
IFERROR(VLOOKUP(Table_Main[[#This Row],[Đơn bán]],Table_DonBan[],COUNTA(Table_DonBan[[#Headers],[Mã đơn bán]:[Mã NV]]),0),0)</f>
        <v>NV03</v>
      </c>
      <c r="CB61" s="7" t="str">
        <f xml:space="preserve">
IFERROR(VLOOKUP(Table_Main[[#This Row],[Đơn bán]],Table_DonBan[],COUNTA(Table_DonBan[[#Headers],[Mã đơn bán]:[Kênh]]),0),0)</f>
        <v>TT</v>
      </c>
      <c r="CC61" s="7" t="str">
        <f>VLOOKUP(Table_Main[[#This Row],[Kênh]],Table_Kenh[],COUNTA(Table_Kenh[[#Headers],[Kênh]:[Nhóm Kênh]]),0)</f>
        <v>Mạng xã hội</v>
      </c>
      <c r="CD61" s="53">
        <v>138</v>
      </c>
      <c r="CE61" s="7" t="str">
        <f>IFERROR(VLOOKUP(Table_Main[[#This Row],[Mã SKU]],Table_SKU[[Mã Sản phẩm]:[Giá bán]],COUNTA(Table_SKU[[#Headers],[Mã Sản phẩm]:[Đơn vị]]),0),0)</f>
        <v>Bộ</v>
      </c>
      <c r="CF61" s="7">
        <f>IFERROR(VLOOKUP(Table_Main[[#This Row],[Mã SKU]],Table_SKU[[Mã Sản phẩm]:[Giá bán]],COUNTA(Table_SKU[[#Headers],[Mã Sản phẩm]:[Giá bán]]),0),0)</f>
        <v>300000</v>
      </c>
      <c r="CG61" s="7">
        <f>Table_Main[[#This Row],[Giá bán]]*Table_Main[[#This Row],[Số lượng]]</f>
        <v>41400000</v>
      </c>
      <c r="CH61" s="60">
        <v>0</v>
      </c>
      <c r="CI61" s="7">
        <f>+Table_Main[[#This Row],[Thành tiền niêm yết]]-Table_Main[[#This Row],[Khuyễn mãi]]</f>
        <v>41400000</v>
      </c>
      <c r="CJ61" s="7" cm="1">
        <f t="array" ref="CJ61">VLOOKUP(Table_Main[[#This Row],[Đơn bán]],Table_DonBan[],COUNTA(Table_DonBan[[#Headers],[Mã đơn bán]:[Khuyễn mãi]]),0)*Table_Main[[#This Row],[Giá trị bán trước VAT]]/
SUM(_xlfn._xlws.FILTER(Table_Main[Giá trị bán trước VAT],
(Table_Main[Đơn bán]=Table_Main[[#This Row],[Đơn bán]])
))</f>
        <v>0</v>
      </c>
      <c r="CK61" s="7">
        <f>Table_Main[[#This Row],[Giá trị bán trước VAT]]-Table_Main[[#This Row],[Phân bổ khuyến mãi đơn]]</f>
        <v>41400000</v>
      </c>
      <c r="CL61"/>
      <c r="CM61"/>
    </row>
    <row r="62" spans="2:91" ht="16.5" x14ac:dyDescent="0.3">
      <c r="B62"/>
      <c r="C62"/>
      <c r="R62"/>
      <c r="S62"/>
      <c r="T62"/>
      <c r="U62"/>
      <c r="AG62"/>
      <c r="AH62"/>
      <c r="AI62"/>
      <c r="BK62" s="43" t="s">
        <v>138</v>
      </c>
      <c r="BL62" s="37">
        <v>45356</v>
      </c>
      <c r="BM62" s="41" t="s">
        <v>67</v>
      </c>
      <c r="BN62" s="41" t="s">
        <v>92</v>
      </c>
      <c r="BO62" s="41" t="s">
        <v>85</v>
      </c>
      <c r="BP62" s="44" cm="1">
        <f t="array" ref="BP62">IFERROR(SUM(_xlfn._xlws.FILTER(Table_Main[Giá trị bán trước VAT],
(Table_Main[Đơn bán]=Table_DonBan[[#This Row],[Mã đơn bán]]),
)),0)</f>
        <v>113500000</v>
      </c>
      <c r="BQ62" s="46">
        <v>0</v>
      </c>
      <c r="BR62" s="44">
        <f>+Table_DonBan[[#This Row],[Tiền hàng]]-Table_DonBan[[#This Row],[Khuyễn mãi]]</f>
        <v>113500000</v>
      </c>
      <c r="BT62" s="54" t="s">
        <v>61</v>
      </c>
      <c r="BU62" s="55" t="s">
        <v>156</v>
      </c>
      <c r="BV62" s="56">
        <f xml:space="preserve">
IFERROR(VLOOKUP(Table_Main[[#This Row],[Đơn bán]],Table_DonBan[],COUNTA(Table_DonBan[[#Headers],[Mã đơn bán]:[Ngày lập]]),0),0)</f>
        <v>45540</v>
      </c>
      <c r="BW62" s="51">
        <f>IFERROR(MONTH(Table_Main[[#This Row],[Ngày lên đơn]]),0)</f>
        <v>9</v>
      </c>
      <c r="BX62" s="51" t="str">
        <f>INDEX(Table_SKU[],
MATCH(Table_Main[[#This Row],[Mã SKU]],Table_SKU[Mã Sản phẩm],0),1)</f>
        <v>Nhóm 3</v>
      </c>
      <c r="BY62" s="52" t="str">
        <f xml:space="preserve">
IFERROR(VLOOKUP(Table_Main[[#This Row],[Đơn bán]],Table_DonBan[],COUNTA(Table_DonBan[[#Headers],[Mã đơn bán]:[Mã Khách]]),0),0)</f>
        <v>KH03</v>
      </c>
      <c r="BZ62" s="52" t="str">
        <f>VLOOKUP(Table_Main[[#This Row],[Khách hàng]],Table_KhachHang[],COUNTA(Table_KhachHang[[#Headers],[Mã khách]:[Phân khúc]]),0)</f>
        <v>B2C</v>
      </c>
      <c r="CA62" s="57" t="str">
        <f xml:space="preserve">
IFERROR(VLOOKUP(Table_Main[[#This Row],[Đơn bán]],Table_DonBan[],COUNTA(Table_DonBan[[#Headers],[Mã đơn bán]:[Mã NV]]),0),0)</f>
        <v>NV03</v>
      </c>
      <c r="CB62" s="58" t="str">
        <f xml:space="preserve">
IFERROR(VLOOKUP(Table_Main[[#This Row],[Đơn bán]],Table_DonBan[],COUNTA(Table_DonBan[[#Headers],[Mã đơn bán]:[Kênh]]),0),0)</f>
        <v>TT</v>
      </c>
      <c r="CC62" s="58" t="str">
        <f>VLOOKUP(Table_Main[[#This Row],[Kênh]],Table_Kenh[],COUNTA(Table_Kenh[[#Headers],[Kênh]:[Nhóm Kênh]]),0)</f>
        <v>Mạng xã hội</v>
      </c>
      <c r="CD62" s="59">
        <v>109</v>
      </c>
      <c r="CE62" s="58" t="str">
        <f>IFERROR(VLOOKUP(Table_Main[[#This Row],[Mã SKU]],Table_SKU[[Mã Sản phẩm]:[Giá bán]],COUNTA(Table_SKU[[#Headers],[Mã Sản phẩm]:[Đơn vị]]),0),0)</f>
        <v>Bộ</v>
      </c>
      <c r="CF62" s="58">
        <f>IFERROR(VLOOKUP(Table_Main[[#This Row],[Mã SKU]],Table_SKU[[Mã Sản phẩm]:[Giá bán]],COUNTA(Table_SKU[[#Headers],[Mã Sản phẩm]:[Giá bán]]),0),0)</f>
        <v>500000</v>
      </c>
      <c r="CG62" s="58">
        <f>Table_Main[[#This Row],[Giá bán]]*Table_Main[[#This Row],[Số lượng]]</f>
        <v>54500000</v>
      </c>
      <c r="CH62" s="61">
        <v>0</v>
      </c>
      <c r="CI62" s="58">
        <f>+Table_Main[[#This Row],[Thành tiền niêm yết]]-Table_Main[[#This Row],[Khuyễn mãi]]</f>
        <v>54500000</v>
      </c>
      <c r="CJ62" s="7" cm="1">
        <f t="array" ref="CJ62">VLOOKUP(Table_Main[[#This Row],[Đơn bán]],Table_DonBan[],COUNTA(Table_DonBan[[#Headers],[Mã đơn bán]:[Khuyễn mãi]]),0)*Table_Main[[#This Row],[Giá trị bán trước VAT]]/
SUM(_xlfn._xlws.FILTER(Table_Main[Giá trị bán trước VAT],
(Table_Main[Đơn bán]=Table_Main[[#This Row],[Đơn bán]])
))</f>
        <v>0</v>
      </c>
      <c r="CK62" s="7">
        <f>Table_Main[[#This Row],[Giá trị bán trước VAT]]-Table_Main[[#This Row],[Phân bổ khuyến mãi đơn]]</f>
        <v>54500000</v>
      </c>
      <c r="CL62"/>
      <c r="CM62"/>
    </row>
    <row r="63" spans="2:91" ht="16.5" x14ac:dyDescent="0.3">
      <c r="B63"/>
      <c r="C63"/>
      <c r="R63"/>
      <c r="S63"/>
      <c r="T63"/>
      <c r="U63"/>
      <c r="AG63"/>
      <c r="AH63"/>
      <c r="AI63"/>
      <c r="BK63" s="43" t="s">
        <v>137</v>
      </c>
      <c r="BL63" s="37">
        <v>45347</v>
      </c>
      <c r="BM63" s="41" t="s">
        <v>72</v>
      </c>
      <c r="BN63" s="41" t="s">
        <v>92</v>
      </c>
      <c r="BO63" s="41" t="s">
        <v>87</v>
      </c>
      <c r="BP63" s="44" cm="1">
        <f t="array" ref="BP63">IFERROR(SUM(_xlfn._xlws.FILTER(Table_Main[Giá trị bán trước VAT],
(Table_Main[Đơn bán]=Table_DonBan[[#This Row],[Mã đơn bán]]),
)),0)</f>
        <v>113900000</v>
      </c>
      <c r="BQ63" s="46">
        <v>0</v>
      </c>
      <c r="BR63" s="44">
        <f>+Table_DonBan[[#This Row],[Tiền hàng]]-Table_DonBan[[#This Row],[Khuyễn mãi]]</f>
        <v>113900000</v>
      </c>
      <c r="BT63" s="49" t="s">
        <v>59</v>
      </c>
      <c r="BU63" s="50" t="s">
        <v>155</v>
      </c>
      <c r="BV63" s="6">
        <f xml:space="preserve">
IFERROR(VLOOKUP(Table_Main[[#This Row],[Đơn bán]],Table_DonBan[],COUNTA(Table_DonBan[[#Headers],[Mã đơn bán]:[Ngày lập]]),0),0)</f>
        <v>45529</v>
      </c>
      <c r="BW63" s="51">
        <f>IFERROR(MONTH(Table_Main[[#This Row],[Ngày lên đơn]]),0)</f>
        <v>8</v>
      </c>
      <c r="BX63" s="51" t="str">
        <f>INDEX(Table_SKU[],
MATCH(Table_Main[[#This Row],[Mã SKU]],Table_SKU[Mã Sản phẩm],0),1)</f>
        <v>Nhóm 1</v>
      </c>
      <c r="BY63" s="52" t="str">
        <f xml:space="preserve">
IFERROR(VLOOKUP(Table_Main[[#This Row],[Đơn bán]],Table_DonBan[],COUNTA(Table_DonBan[[#Headers],[Mã đơn bán]:[Mã Khách]]),0),0)</f>
        <v>KH01</v>
      </c>
      <c r="BZ63" s="52" t="str">
        <f>VLOOKUP(Table_Main[[#This Row],[Khách hàng]],Table_KhachHang[],COUNTA(Table_KhachHang[[#Headers],[Mã khách]:[Phân khúc]]),0)</f>
        <v>B2B</v>
      </c>
      <c r="CA63" s="25" t="str">
        <f xml:space="preserve">
IFERROR(VLOOKUP(Table_Main[[#This Row],[Đơn bán]],Table_DonBan[],COUNTA(Table_DonBan[[#Headers],[Mã đơn bán]:[Mã NV]]),0),0)</f>
        <v>NV02</v>
      </c>
      <c r="CB63" s="7" t="str">
        <f xml:space="preserve">
IFERROR(VLOOKUP(Table_Main[[#This Row],[Đơn bán]],Table_DonBan[],COUNTA(Table_DonBan[[#Headers],[Mã đơn bán]:[Kênh]]),0),0)</f>
        <v>ST</v>
      </c>
      <c r="CC63" s="7" t="str">
        <f>VLOOKUP(Table_Main[[#This Row],[Kênh]],Table_Kenh[],COUNTA(Table_Kenh[[#Headers],[Kênh]:[Nhóm Kênh]]),0)</f>
        <v>Offline</v>
      </c>
      <c r="CD63" s="53">
        <v>239</v>
      </c>
      <c r="CE63" s="7" t="str">
        <f>IFERROR(VLOOKUP(Table_Main[[#This Row],[Mã SKU]],Table_SKU[[Mã Sản phẩm]:[Giá bán]],COUNTA(Table_SKU[[#Headers],[Mã Sản phẩm]:[Đơn vị]]),0),0)</f>
        <v>Bộ</v>
      </c>
      <c r="CF63" s="7">
        <f>IFERROR(VLOOKUP(Table_Main[[#This Row],[Mã SKU]],Table_SKU[[Mã Sản phẩm]:[Giá bán]],COUNTA(Table_SKU[[#Headers],[Mã Sản phẩm]:[Giá bán]]),0),0)</f>
        <v>200000</v>
      </c>
      <c r="CG63" s="7">
        <f>Table_Main[[#This Row],[Giá bán]]*Table_Main[[#This Row],[Số lượng]]</f>
        <v>47800000</v>
      </c>
      <c r="CH63" s="60">
        <v>0</v>
      </c>
      <c r="CI63" s="7">
        <f>+Table_Main[[#This Row],[Thành tiền niêm yết]]-Table_Main[[#This Row],[Khuyễn mãi]]</f>
        <v>47800000</v>
      </c>
      <c r="CJ63" s="7" cm="1">
        <f t="array" ref="CJ63">VLOOKUP(Table_Main[[#This Row],[Đơn bán]],Table_DonBan[],COUNTA(Table_DonBan[[#Headers],[Mã đơn bán]:[Khuyễn mãi]]),0)*Table_Main[[#This Row],[Giá trị bán trước VAT]]/
SUM(_xlfn._xlws.FILTER(Table_Main[Giá trị bán trước VAT],
(Table_Main[Đơn bán]=Table_Main[[#This Row],[Đơn bán]])
))</f>
        <v>0</v>
      </c>
      <c r="CK63" s="7">
        <f>Table_Main[[#This Row],[Giá trị bán trước VAT]]-Table_Main[[#This Row],[Phân bổ khuyến mãi đơn]]</f>
        <v>47800000</v>
      </c>
      <c r="CL63"/>
      <c r="CM63"/>
    </row>
    <row r="64" spans="2:91" ht="16.5" x14ac:dyDescent="0.3">
      <c r="B64"/>
      <c r="C64"/>
      <c r="R64"/>
      <c r="S64"/>
      <c r="T64"/>
      <c r="U64"/>
      <c r="AG64"/>
      <c r="AH64"/>
      <c r="AI64"/>
      <c r="BK64" s="43" t="s">
        <v>136</v>
      </c>
      <c r="BL64" s="37">
        <v>45337</v>
      </c>
      <c r="BM64" s="41" t="s">
        <v>71</v>
      </c>
      <c r="BN64" s="41" t="s">
        <v>93</v>
      </c>
      <c r="BO64" s="41" t="s">
        <v>82</v>
      </c>
      <c r="BP64" s="44" cm="1">
        <f t="array" ref="BP64">IFERROR(SUM(_xlfn._xlws.FILTER(Table_Main[Giá trị bán trước VAT],
(Table_Main[Đơn bán]=Table_DonBan[[#This Row],[Mã đơn bán]]),
)),0)</f>
        <v>115800000</v>
      </c>
      <c r="BQ64" s="46">
        <v>0</v>
      </c>
      <c r="BR64" s="44">
        <f>+Table_DonBan[[#This Row],[Tiền hàng]]-Table_DonBan[[#This Row],[Khuyễn mãi]]</f>
        <v>115800000</v>
      </c>
      <c r="BT64" s="49" t="s">
        <v>60</v>
      </c>
      <c r="BU64" s="50" t="s">
        <v>155</v>
      </c>
      <c r="BV64" s="6">
        <f xml:space="preserve">
IFERROR(VLOOKUP(Table_Main[[#This Row],[Đơn bán]],Table_DonBan[],COUNTA(Table_DonBan[[#Headers],[Mã đơn bán]:[Ngày lập]]),0),0)</f>
        <v>45529</v>
      </c>
      <c r="BW64" s="51">
        <f>IFERROR(MONTH(Table_Main[[#This Row],[Ngày lên đơn]]),0)</f>
        <v>8</v>
      </c>
      <c r="BX64" s="51" t="str">
        <f>INDEX(Table_SKU[],
MATCH(Table_Main[[#This Row],[Mã SKU]],Table_SKU[Mã Sản phẩm],0),1)</f>
        <v>Nhóm 2</v>
      </c>
      <c r="BY64" s="52" t="str">
        <f xml:space="preserve">
IFERROR(VLOOKUP(Table_Main[[#This Row],[Đơn bán]],Table_DonBan[],COUNTA(Table_DonBan[[#Headers],[Mã đơn bán]:[Mã Khách]]),0),0)</f>
        <v>KH01</v>
      </c>
      <c r="BZ64" s="52" t="str">
        <f>VLOOKUP(Table_Main[[#This Row],[Khách hàng]],Table_KhachHang[],COUNTA(Table_KhachHang[[#Headers],[Mã khách]:[Phân khúc]]),0)</f>
        <v>B2B</v>
      </c>
      <c r="CA64" s="25" t="str">
        <f xml:space="preserve">
IFERROR(VLOOKUP(Table_Main[[#This Row],[Đơn bán]],Table_DonBan[],COUNTA(Table_DonBan[[#Headers],[Mã đơn bán]:[Mã NV]]),0),0)</f>
        <v>NV02</v>
      </c>
      <c r="CB64" s="7" t="str">
        <f xml:space="preserve">
IFERROR(VLOOKUP(Table_Main[[#This Row],[Đơn bán]],Table_DonBan[],COUNTA(Table_DonBan[[#Headers],[Mã đơn bán]:[Kênh]]),0),0)</f>
        <v>ST</v>
      </c>
      <c r="CC64" s="7" t="str">
        <f>VLOOKUP(Table_Main[[#This Row],[Kênh]],Table_Kenh[],COUNTA(Table_Kenh[[#Headers],[Kênh]:[Nhóm Kênh]]),0)</f>
        <v>Offline</v>
      </c>
      <c r="CD64" s="53">
        <v>137</v>
      </c>
      <c r="CE64" s="7" t="str">
        <f>IFERROR(VLOOKUP(Table_Main[[#This Row],[Mã SKU]],Table_SKU[[Mã Sản phẩm]:[Giá bán]],COUNTA(Table_SKU[[#Headers],[Mã Sản phẩm]:[Đơn vị]]),0),0)</f>
        <v>Bộ</v>
      </c>
      <c r="CF64" s="7">
        <f>IFERROR(VLOOKUP(Table_Main[[#This Row],[Mã SKU]],Table_SKU[[Mã Sản phẩm]:[Giá bán]],COUNTA(Table_SKU[[#Headers],[Mã Sản phẩm]:[Giá bán]]),0),0)</f>
        <v>300000</v>
      </c>
      <c r="CG64" s="7">
        <f>Table_Main[[#This Row],[Giá bán]]*Table_Main[[#This Row],[Số lượng]]</f>
        <v>41100000</v>
      </c>
      <c r="CH64" s="60">
        <v>0</v>
      </c>
      <c r="CI64" s="7">
        <f>+Table_Main[[#This Row],[Thành tiền niêm yết]]-Table_Main[[#This Row],[Khuyễn mãi]]</f>
        <v>41100000</v>
      </c>
      <c r="CJ64" s="7" cm="1">
        <f t="array" ref="CJ64">VLOOKUP(Table_Main[[#This Row],[Đơn bán]],Table_DonBan[],COUNTA(Table_DonBan[[#Headers],[Mã đơn bán]:[Khuyễn mãi]]),0)*Table_Main[[#This Row],[Giá trị bán trước VAT]]/
SUM(_xlfn._xlws.FILTER(Table_Main[Giá trị bán trước VAT],
(Table_Main[Đơn bán]=Table_Main[[#This Row],[Đơn bán]])
))</f>
        <v>0</v>
      </c>
      <c r="CK64" s="7">
        <f>Table_Main[[#This Row],[Giá trị bán trước VAT]]-Table_Main[[#This Row],[Phân bổ khuyến mãi đơn]]</f>
        <v>41100000</v>
      </c>
      <c r="CL64"/>
      <c r="CM64"/>
    </row>
    <row r="65" spans="2:91" ht="16.5" x14ac:dyDescent="0.3">
      <c r="B65"/>
      <c r="C65"/>
      <c r="R65"/>
      <c r="AG65"/>
      <c r="AH65"/>
      <c r="AI65"/>
      <c r="BK65" s="43" t="s">
        <v>135</v>
      </c>
      <c r="BL65" s="37">
        <v>45327</v>
      </c>
      <c r="BM65" s="41" t="s">
        <v>71</v>
      </c>
      <c r="BN65" s="41" t="s">
        <v>92</v>
      </c>
      <c r="BO65" s="41" t="s">
        <v>82</v>
      </c>
      <c r="BP65" s="44" cm="1">
        <f t="array" ref="BP65">IFERROR(SUM(_xlfn._xlws.FILTER(Table_Main[Giá trị bán trước VAT],
(Table_Main[Đơn bán]=Table_DonBan[[#This Row],[Mã đơn bán]]),
)),0)</f>
        <v>114200000</v>
      </c>
      <c r="BQ65" s="46">
        <v>0</v>
      </c>
      <c r="BR65" s="44">
        <f>+Table_DonBan[[#This Row],[Tiền hàng]]-Table_DonBan[[#This Row],[Khuyễn mãi]]</f>
        <v>114200000</v>
      </c>
      <c r="BT65" s="49" t="s">
        <v>61</v>
      </c>
      <c r="BU65" s="50" t="s">
        <v>155</v>
      </c>
      <c r="BV65" s="6">
        <f xml:space="preserve">
IFERROR(VLOOKUP(Table_Main[[#This Row],[Đơn bán]],Table_DonBan[],COUNTA(Table_DonBan[[#Headers],[Mã đơn bán]:[Ngày lập]]),0),0)</f>
        <v>45529</v>
      </c>
      <c r="BW65" s="51">
        <f>IFERROR(MONTH(Table_Main[[#This Row],[Ngày lên đơn]]),0)</f>
        <v>8</v>
      </c>
      <c r="BX65" s="51" t="str">
        <f>INDEX(Table_SKU[],
MATCH(Table_Main[[#This Row],[Mã SKU]],Table_SKU[Mã Sản phẩm],0),1)</f>
        <v>Nhóm 3</v>
      </c>
      <c r="BY65" s="10" t="str">
        <f xml:space="preserve">
IFERROR(VLOOKUP(Table_Main[[#This Row],[Đơn bán]],Table_DonBan[],COUNTA(Table_DonBan[[#Headers],[Mã đơn bán]:[Mã Khách]]),0),0)</f>
        <v>KH01</v>
      </c>
      <c r="BZ65" s="10" t="str">
        <f>VLOOKUP(Table_Main[[#This Row],[Khách hàng]],Table_KhachHang[],COUNTA(Table_KhachHang[[#Headers],[Mã khách]:[Phân khúc]]),0)</f>
        <v>B2B</v>
      </c>
      <c r="CA65" s="25" t="str">
        <f xml:space="preserve">
IFERROR(VLOOKUP(Table_Main[[#This Row],[Đơn bán]],Table_DonBan[],COUNTA(Table_DonBan[[#Headers],[Mã đơn bán]:[Mã NV]]),0),0)</f>
        <v>NV02</v>
      </c>
      <c r="CB65" s="7" t="str">
        <f xml:space="preserve">
IFERROR(VLOOKUP(Table_Main[[#This Row],[Đơn bán]],Table_DonBan[],COUNTA(Table_DonBan[[#Headers],[Mã đơn bán]:[Kênh]]),0),0)</f>
        <v>ST</v>
      </c>
      <c r="CC65" s="7" t="str">
        <f>VLOOKUP(Table_Main[[#This Row],[Kênh]],Table_Kenh[],COUNTA(Table_Kenh[[#Headers],[Kênh]:[Nhóm Kênh]]),0)</f>
        <v>Offline</v>
      </c>
      <c r="CD65" s="53">
        <v>110</v>
      </c>
      <c r="CE65" s="7" t="str">
        <f>IFERROR(VLOOKUP(Table_Main[[#This Row],[Mã SKU]],Table_SKU[[Mã Sản phẩm]:[Giá bán]],COUNTA(Table_SKU[[#Headers],[Mã Sản phẩm]:[Đơn vị]]),0),0)</f>
        <v>Bộ</v>
      </c>
      <c r="CF65" s="7">
        <f>IFERROR(VLOOKUP(Table_Main[[#This Row],[Mã SKU]],Table_SKU[[Mã Sản phẩm]:[Giá bán]],COUNTA(Table_SKU[[#Headers],[Mã Sản phẩm]:[Giá bán]]),0),0)</f>
        <v>500000</v>
      </c>
      <c r="CG65" s="7">
        <f>Table_Main[[#This Row],[Giá bán]]*Table_Main[[#This Row],[Số lượng]]</f>
        <v>55000000</v>
      </c>
      <c r="CH65" s="60">
        <v>0</v>
      </c>
      <c r="CI65" s="7">
        <f>+Table_Main[[#This Row],[Thành tiền niêm yết]]-Table_Main[[#This Row],[Khuyễn mãi]]</f>
        <v>55000000</v>
      </c>
      <c r="CJ65" s="7" cm="1">
        <f t="array" ref="CJ65">VLOOKUP(Table_Main[[#This Row],[Đơn bán]],Table_DonBan[],COUNTA(Table_DonBan[[#Headers],[Mã đơn bán]:[Khuyễn mãi]]),0)*Table_Main[[#This Row],[Giá trị bán trước VAT]]/
SUM(_xlfn._xlws.FILTER(Table_Main[Giá trị bán trước VAT],
(Table_Main[Đơn bán]=Table_Main[[#This Row],[Đơn bán]])
))</f>
        <v>0</v>
      </c>
      <c r="CK65" s="7">
        <f>Table_Main[[#This Row],[Giá trị bán trước VAT]]-Table_Main[[#This Row],[Phân bổ khuyến mãi đơn]]</f>
        <v>55000000</v>
      </c>
      <c r="CL65"/>
      <c r="CM65"/>
    </row>
    <row r="66" spans="2:91" ht="16.5" x14ac:dyDescent="0.3">
      <c r="B66"/>
      <c r="R66"/>
      <c r="AG66"/>
      <c r="AH66"/>
      <c r="AI66"/>
      <c r="BK66" s="43" t="s">
        <v>134</v>
      </c>
      <c r="BL66" s="37">
        <v>45316</v>
      </c>
      <c r="BM66" s="41" t="s">
        <v>69</v>
      </c>
      <c r="BN66" s="41" t="s">
        <v>93</v>
      </c>
      <c r="BO66" s="41" t="s">
        <v>83</v>
      </c>
      <c r="BP66" s="44" cm="1">
        <f t="array" ref="BP66">IFERROR(SUM(_xlfn._xlws.FILTER(Table_Main[Giá trị bán trước VAT],
(Table_Main[Đơn bán]=Table_DonBan[[#This Row],[Mã đơn bán]]),
)),0)</f>
        <v>113600000</v>
      </c>
      <c r="BQ66" s="46">
        <v>0</v>
      </c>
      <c r="BR66" s="44">
        <f>+Table_DonBan[[#This Row],[Tiền hàng]]-Table_DonBan[[#This Row],[Khuyễn mãi]]</f>
        <v>113600000</v>
      </c>
      <c r="BT66" s="49" t="s">
        <v>59</v>
      </c>
      <c r="BU66" s="50" t="s">
        <v>154</v>
      </c>
      <c r="BV66" s="6">
        <f xml:space="preserve">
IFERROR(VLOOKUP(Table_Main[[#This Row],[Đơn bán]],Table_DonBan[],COUNTA(Table_DonBan[[#Headers],[Mã đơn bán]:[Ngày lập]]),0),0)</f>
        <v>45519</v>
      </c>
      <c r="BW66" s="51">
        <f>IFERROR(MONTH(Table_Main[[#This Row],[Ngày lên đơn]]),0)</f>
        <v>8</v>
      </c>
      <c r="BX66" s="51" t="str">
        <f>INDEX(Table_SKU[],
MATCH(Table_Main[[#This Row],[Mã SKU]],Table_SKU[Mã Sản phẩm],0),1)</f>
        <v>Nhóm 1</v>
      </c>
      <c r="BY66" s="52" t="str">
        <f xml:space="preserve">
IFERROR(VLOOKUP(Table_Main[[#This Row],[Đơn bán]],Table_DonBan[],COUNTA(Table_DonBan[[#Headers],[Mã đơn bán]:[Mã Khách]]),0),0)</f>
        <v>KH02</v>
      </c>
      <c r="BZ66" s="52" t="str">
        <f>VLOOKUP(Table_Main[[#This Row],[Khách hàng]],Table_KhachHang[],COUNTA(Table_KhachHang[[#Headers],[Mã khách]:[Phân khúc]]),0)</f>
        <v>B2C</v>
      </c>
      <c r="CA66" s="25" t="str">
        <f xml:space="preserve">
IFERROR(VLOOKUP(Table_Main[[#This Row],[Đơn bán]],Table_DonBan[],COUNTA(Table_DonBan[[#Headers],[Mã đơn bán]:[Mã NV]]),0),0)</f>
        <v>NV03</v>
      </c>
      <c r="CB66" s="7" t="str">
        <f xml:space="preserve">
IFERROR(VLOOKUP(Table_Main[[#This Row],[Đơn bán]],Table_DonBan[],COUNTA(Table_DonBan[[#Headers],[Mã đơn bán]:[Kênh]]),0),0)</f>
        <v>LZ</v>
      </c>
      <c r="CC66" s="7" t="str">
        <f>VLOOKUP(Table_Main[[#This Row],[Kênh]],Table_Kenh[],COUNTA(Table_Kenh[[#Headers],[Kênh]:[Nhóm Kênh]]),0)</f>
        <v>Sàn TMĐT</v>
      </c>
      <c r="CD66" s="53">
        <v>234</v>
      </c>
      <c r="CE66" s="7" t="str">
        <f>IFERROR(VLOOKUP(Table_Main[[#This Row],[Mã SKU]],Table_SKU[[Mã Sản phẩm]:[Giá bán]],COUNTA(Table_SKU[[#Headers],[Mã Sản phẩm]:[Đơn vị]]),0),0)</f>
        <v>Bộ</v>
      </c>
      <c r="CF66" s="7">
        <f>IFERROR(VLOOKUP(Table_Main[[#This Row],[Mã SKU]],Table_SKU[[Mã Sản phẩm]:[Giá bán]],COUNTA(Table_SKU[[#Headers],[Mã Sản phẩm]:[Giá bán]]),0),0)</f>
        <v>200000</v>
      </c>
      <c r="CG66" s="7">
        <f>Table_Main[[#This Row],[Giá bán]]*Table_Main[[#This Row],[Số lượng]]</f>
        <v>46800000</v>
      </c>
      <c r="CH66" s="60">
        <v>0</v>
      </c>
      <c r="CI66" s="7">
        <f>+Table_Main[[#This Row],[Thành tiền niêm yết]]-Table_Main[[#This Row],[Khuyễn mãi]]</f>
        <v>46800000</v>
      </c>
      <c r="CJ66" s="7" cm="1">
        <f t="array" ref="CJ66">VLOOKUP(Table_Main[[#This Row],[Đơn bán]],Table_DonBan[],COUNTA(Table_DonBan[[#Headers],[Mã đơn bán]:[Khuyễn mãi]]),0)*Table_Main[[#This Row],[Giá trị bán trước VAT]]/
SUM(_xlfn._xlws.FILTER(Table_Main[Giá trị bán trước VAT],
(Table_Main[Đơn bán]=Table_Main[[#This Row],[Đơn bán]])
))</f>
        <v>0</v>
      </c>
      <c r="CK66" s="7">
        <f>Table_Main[[#This Row],[Giá trị bán trước VAT]]-Table_Main[[#This Row],[Phân bổ khuyến mãi đơn]]</f>
        <v>46800000</v>
      </c>
      <c r="CL66"/>
      <c r="CM66"/>
    </row>
    <row r="67" spans="2:91" ht="16.5" x14ac:dyDescent="0.3">
      <c r="B67"/>
      <c r="R67"/>
      <c r="AG67"/>
      <c r="AH67"/>
      <c r="AI67"/>
      <c r="BK67" s="43" t="s">
        <v>133</v>
      </c>
      <c r="BL67" s="37">
        <v>45306</v>
      </c>
      <c r="BM67" s="41" t="s">
        <v>70</v>
      </c>
      <c r="BN67" s="41" t="s">
        <v>92</v>
      </c>
      <c r="BO67" s="41" t="s">
        <v>85</v>
      </c>
      <c r="BP67" s="44" cm="1">
        <f t="array" ref="BP67">IFERROR(SUM(_xlfn._xlws.FILTER(Table_Main[Giá trị bán trước VAT],
(Table_Main[Đơn bán]=Table_DonBan[[#This Row],[Mã đơn bán]]),
)),0)</f>
        <v>109500000</v>
      </c>
      <c r="BQ67" s="46">
        <v>0</v>
      </c>
      <c r="BR67" s="44">
        <f>+Table_DonBan[[#This Row],[Tiền hàng]]-Table_DonBan[[#This Row],[Khuyễn mãi]]</f>
        <v>109500000</v>
      </c>
      <c r="BT67" s="49" t="s">
        <v>60</v>
      </c>
      <c r="BU67" s="50" t="s">
        <v>154</v>
      </c>
      <c r="BV67" s="6">
        <f xml:space="preserve">
IFERROR(VLOOKUP(Table_Main[[#This Row],[Đơn bán]],Table_DonBan[],COUNTA(Table_DonBan[[#Headers],[Mã đơn bán]:[Ngày lập]]),0),0)</f>
        <v>45519</v>
      </c>
      <c r="BW67" s="51">
        <f>IFERROR(MONTH(Table_Main[[#This Row],[Ngày lên đơn]]),0)</f>
        <v>8</v>
      </c>
      <c r="BX67" s="51" t="str">
        <f>INDEX(Table_SKU[],
MATCH(Table_Main[[#This Row],[Mã SKU]],Table_SKU[Mã Sản phẩm],0),1)</f>
        <v>Nhóm 2</v>
      </c>
      <c r="BY67" s="52" t="str">
        <f xml:space="preserve">
IFERROR(VLOOKUP(Table_Main[[#This Row],[Đơn bán]],Table_DonBan[],COUNTA(Table_DonBan[[#Headers],[Mã đơn bán]:[Mã Khách]]),0),0)</f>
        <v>KH02</v>
      </c>
      <c r="BZ67" s="52" t="str">
        <f>VLOOKUP(Table_Main[[#This Row],[Khách hàng]],Table_KhachHang[],COUNTA(Table_KhachHang[[#Headers],[Mã khách]:[Phân khúc]]),0)</f>
        <v>B2C</v>
      </c>
      <c r="CA67" s="25" t="str">
        <f xml:space="preserve">
IFERROR(VLOOKUP(Table_Main[[#This Row],[Đơn bán]],Table_DonBan[],COUNTA(Table_DonBan[[#Headers],[Mã đơn bán]:[Mã NV]]),0),0)</f>
        <v>NV03</v>
      </c>
      <c r="CB67" s="7" t="str">
        <f xml:space="preserve">
IFERROR(VLOOKUP(Table_Main[[#This Row],[Đơn bán]],Table_DonBan[],COUNTA(Table_DonBan[[#Headers],[Mã đơn bán]:[Kênh]]),0),0)</f>
        <v>LZ</v>
      </c>
      <c r="CC67" s="7" t="str">
        <f>VLOOKUP(Table_Main[[#This Row],[Kênh]],Table_Kenh[],COUNTA(Table_Kenh[[#Headers],[Kênh]:[Nhóm Kênh]]),0)</f>
        <v>Sàn TMĐT</v>
      </c>
      <c r="CD67" s="53">
        <v>133</v>
      </c>
      <c r="CE67" s="7" t="str">
        <f>IFERROR(VLOOKUP(Table_Main[[#This Row],[Mã SKU]],Table_SKU[[Mã Sản phẩm]:[Giá bán]],COUNTA(Table_SKU[[#Headers],[Mã Sản phẩm]:[Đơn vị]]),0),0)</f>
        <v>Bộ</v>
      </c>
      <c r="CF67" s="7">
        <f>IFERROR(VLOOKUP(Table_Main[[#This Row],[Mã SKU]],Table_SKU[[Mã Sản phẩm]:[Giá bán]],COUNTA(Table_SKU[[#Headers],[Mã Sản phẩm]:[Giá bán]]),0),0)</f>
        <v>300000</v>
      </c>
      <c r="CG67" s="7">
        <f>Table_Main[[#This Row],[Giá bán]]*Table_Main[[#This Row],[Số lượng]]</f>
        <v>39900000</v>
      </c>
      <c r="CH67" s="60">
        <v>0</v>
      </c>
      <c r="CI67" s="7">
        <f>+Table_Main[[#This Row],[Thành tiền niêm yết]]-Table_Main[[#This Row],[Khuyễn mãi]]</f>
        <v>39900000</v>
      </c>
      <c r="CJ67" s="7" cm="1">
        <f t="array" ref="CJ67">VLOOKUP(Table_Main[[#This Row],[Đơn bán]],Table_DonBan[],COUNTA(Table_DonBan[[#Headers],[Mã đơn bán]:[Khuyễn mãi]]),0)*Table_Main[[#This Row],[Giá trị bán trước VAT]]/
SUM(_xlfn._xlws.FILTER(Table_Main[Giá trị bán trước VAT],
(Table_Main[Đơn bán]=Table_Main[[#This Row],[Đơn bán]])
))</f>
        <v>0</v>
      </c>
      <c r="CK67" s="7">
        <f>Table_Main[[#This Row],[Giá trị bán trước VAT]]-Table_Main[[#This Row],[Phân bổ khuyến mãi đơn]]</f>
        <v>39900000</v>
      </c>
      <c r="CL67"/>
      <c r="CM67"/>
    </row>
    <row r="68" spans="2:91" ht="16.5" x14ac:dyDescent="0.3">
      <c r="B68"/>
      <c r="R68"/>
      <c r="AG68"/>
      <c r="AH68"/>
      <c r="AI68"/>
      <c r="BK68" s="43" t="s">
        <v>132</v>
      </c>
      <c r="BL68" s="37">
        <v>45296</v>
      </c>
      <c r="BM68" s="41" t="s">
        <v>67</v>
      </c>
      <c r="BN68" s="41" t="s">
        <v>92</v>
      </c>
      <c r="BO68" s="41" t="s">
        <v>82</v>
      </c>
      <c r="BP68" s="44" cm="1">
        <f t="array" ref="BP68">IFERROR(SUM(_xlfn._xlws.FILTER(Table_Main[Giá trị bán trước VAT],
(Table_Main[Đơn bán]=Table_DonBan[[#This Row],[Mã đơn bán]]),
)),0)</f>
        <v>107600000</v>
      </c>
      <c r="BQ68" s="46">
        <v>0</v>
      </c>
      <c r="BR68" s="44">
        <f>+Table_DonBan[[#This Row],[Tiền hàng]]-Table_DonBan[[#This Row],[Khuyễn mãi]]</f>
        <v>107600000</v>
      </c>
      <c r="BT68" s="49" t="s">
        <v>61</v>
      </c>
      <c r="BU68" s="50" t="s">
        <v>154</v>
      </c>
      <c r="BV68" s="6">
        <f xml:space="preserve">
IFERROR(VLOOKUP(Table_Main[[#This Row],[Đơn bán]],Table_DonBan[],COUNTA(Table_DonBan[[#Headers],[Mã đơn bán]:[Ngày lập]]),0),0)</f>
        <v>45519</v>
      </c>
      <c r="BW68" s="51">
        <f>IFERROR(MONTH(Table_Main[[#This Row],[Ngày lên đơn]]),0)</f>
        <v>8</v>
      </c>
      <c r="BX68" s="51" t="str">
        <f>INDEX(Table_SKU[],
MATCH(Table_Main[[#This Row],[Mã SKU]],Table_SKU[Mã Sản phẩm],0),1)</f>
        <v>Nhóm 3</v>
      </c>
      <c r="BY68" s="52" t="str">
        <f xml:space="preserve">
IFERROR(VLOOKUP(Table_Main[[#This Row],[Đơn bán]],Table_DonBan[],COUNTA(Table_DonBan[[#Headers],[Mã đơn bán]:[Mã Khách]]),0),0)</f>
        <v>KH02</v>
      </c>
      <c r="BZ68" s="52" t="str">
        <f>VLOOKUP(Table_Main[[#This Row],[Khách hàng]],Table_KhachHang[],COUNTA(Table_KhachHang[[#Headers],[Mã khách]:[Phân khúc]]),0)</f>
        <v>B2C</v>
      </c>
      <c r="CA68" s="25" t="str">
        <f xml:space="preserve">
IFERROR(VLOOKUP(Table_Main[[#This Row],[Đơn bán]],Table_DonBan[],COUNTA(Table_DonBan[[#Headers],[Mã đơn bán]:[Mã NV]]),0),0)</f>
        <v>NV03</v>
      </c>
      <c r="CB68" s="7" t="str">
        <f xml:space="preserve">
IFERROR(VLOOKUP(Table_Main[[#This Row],[Đơn bán]],Table_DonBan[],COUNTA(Table_DonBan[[#Headers],[Mã đơn bán]:[Kênh]]),0),0)</f>
        <v>LZ</v>
      </c>
      <c r="CC68" s="7" t="str">
        <f>VLOOKUP(Table_Main[[#This Row],[Kênh]],Table_Kenh[],COUNTA(Table_Kenh[[#Headers],[Kênh]:[Nhóm Kênh]]),0)</f>
        <v>Sàn TMĐT</v>
      </c>
      <c r="CD68" s="53">
        <v>107</v>
      </c>
      <c r="CE68" s="7" t="str">
        <f>IFERROR(VLOOKUP(Table_Main[[#This Row],[Mã SKU]],Table_SKU[[Mã Sản phẩm]:[Giá bán]],COUNTA(Table_SKU[[#Headers],[Mã Sản phẩm]:[Đơn vị]]),0),0)</f>
        <v>Bộ</v>
      </c>
      <c r="CF68" s="7">
        <f>IFERROR(VLOOKUP(Table_Main[[#This Row],[Mã SKU]],Table_SKU[[Mã Sản phẩm]:[Giá bán]],COUNTA(Table_SKU[[#Headers],[Mã Sản phẩm]:[Giá bán]]),0),0)</f>
        <v>500000</v>
      </c>
      <c r="CG68" s="7">
        <f>Table_Main[[#This Row],[Giá bán]]*Table_Main[[#This Row],[Số lượng]]</f>
        <v>53500000</v>
      </c>
      <c r="CH68" s="60">
        <v>0</v>
      </c>
      <c r="CI68" s="7">
        <f>+Table_Main[[#This Row],[Thành tiền niêm yết]]-Table_Main[[#This Row],[Khuyễn mãi]]</f>
        <v>53500000</v>
      </c>
      <c r="CJ68" s="7" cm="1">
        <f t="array" ref="CJ68">VLOOKUP(Table_Main[[#This Row],[Đơn bán]],Table_DonBan[],COUNTA(Table_DonBan[[#Headers],[Mã đơn bán]:[Khuyễn mãi]]),0)*Table_Main[[#This Row],[Giá trị bán trước VAT]]/
SUM(_xlfn._xlws.FILTER(Table_Main[Giá trị bán trước VAT],
(Table_Main[Đơn bán]=Table_Main[[#This Row],[Đơn bán]])
))</f>
        <v>0</v>
      </c>
      <c r="CK68" s="7">
        <f>Table_Main[[#This Row],[Giá trị bán trước VAT]]-Table_Main[[#This Row],[Phân bổ khuyến mãi đơn]]</f>
        <v>53500000</v>
      </c>
      <c r="CL68"/>
      <c r="CM68"/>
    </row>
    <row r="69" spans="2:91" ht="16.5" x14ac:dyDescent="0.3">
      <c r="B69"/>
      <c r="R69"/>
      <c r="AG69"/>
      <c r="AH69"/>
      <c r="AI69"/>
      <c r="BK69" s="43" t="s">
        <v>131</v>
      </c>
      <c r="BL69" s="37">
        <v>45285</v>
      </c>
      <c r="BM69" s="41" t="s">
        <v>66</v>
      </c>
      <c r="BN69" s="41" t="s">
        <v>92</v>
      </c>
      <c r="BO69" s="41" t="s">
        <v>84</v>
      </c>
      <c r="BP69" s="44" cm="1">
        <f t="array" ref="BP69">IFERROR(SUM(_xlfn._xlws.FILTER(Table_Main[Giá trị bán trước VAT],
(Table_Main[Đơn bán]=Table_DonBan[[#This Row],[Mã đơn bán]]),
)),0)</f>
        <v>100415000</v>
      </c>
      <c r="BQ69" s="46">
        <v>0</v>
      </c>
      <c r="BR69" s="44">
        <f>+Table_DonBan[[#This Row],[Tiền hàng]]-Table_DonBan[[#This Row],[Khuyễn mãi]]</f>
        <v>100415000</v>
      </c>
      <c r="BT69" s="49" t="s">
        <v>59</v>
      </c>
      <c r="BU69" s="50" t="s">
        <v>153</v>
      </c>
      <c r="BV69" s="6">
        <f xml:space="preserve">
IFERROR(VLOOKUP(Table_Main[[#This Row],[Đơn bán]],Table_DonBan[],COUNTA(Table_DonBan[[#Headers],[Mã đơn bán]:[Ngày lập]]),0),0)</f>
        <v>45509</v>
      </c>
      <c r="BW69" s="51">
        <f>IFERROR(MONTH(Table_Main[[#This Row],[Ngày lên đơn]]),0)</f>
        <v>8</v>
      </c>
      <c r="BX69" s="51" t="str">
        <f>INDEX(Table_SKU[],
MATCH(Table_Main[[#This Row],[Mã SKU]],Table_SKU[Mã Sản phẩm],0),1)</f>
        <v>Nhóm 1</v>
      </c>
      <c r="BY69" s="52" t="str">
        <f xml:space="preserve">
IFERROR(VLOOKUP(Table_Main[[#This Row],[Đơn bán]],Table_DonBan[],COUNTA(Table_DonBan[[#Headers],[Mã đơn bán]:[Mã Khách]]),0),0)</f>
        <v>KH05</v>
      </c>
      <c r="BZ69" s="52" t="str">
        <f>VLOOKUP(Table_Main[[#This Row],[Khách hàng]],Table_KhachHang[],COUNTA(Table_KhachHang[[#Headers],[Mã khách]:[Phân khúc]]),0)</f>
        <v>B2C</v>
      </c>
      <c r="CA69" s="25" t="str">
        <f xml:space="preserve">
IFERROR(VLOOKUP(Table_Main[[#This Row],[Đơn bán]],Table_DonBan[],COUNTA(Table_DonBan[[#Headers],[Mã đơn bán]:[Mã NV]]),0),0)</f>
        <v>NV02</v>
      </c>
      <c r="CB69" s="7" t="str">
        <f xml:space="preserve">
IFERROR(VLOOKUP(Table_Main[[#This Row],[Đơn bán]],Table_DonBan[],COUNTA(Table_DonBan[[#Headers],[Mã đơn bán]:[Kênh]]),0),0)</f>
        <v>ST</v>
      </c>
      <c r="CC69" s="7" t="str">
        <f>VLOOKUP(Table_Main[[#This Row],[Kênh]],Table_Kenh[],COUNTA(Table_Kenh[[#Headers],[Kênh]:[Nhóm Kênh]]),0)</f>
        <v>Offline</v>
      </c>
      <c r="CD69" s="53">
        <v>223</v>
      </c>
      <c r="CE69" s="7" t="str">
        <f>IFERROR(VLOOKUP(Table_Main[[#This Row],[Mã SKU]],Table_SKU[[Mã Sản phẩm]:[Giá bán]],COUNTA(Table_SKU[[#Headers],[Mã Sản phẩm]:[Đơn vị]]),0),0)</f>
        <v>Bộ</v>
      </c>
      <c r="CF69" s="7">
        <f>IFERROR(VLOOKUP(Table_Main[[#This Row],[Mã SKU]],Table_SKU[[Mã Sản phẩm]:[Giá bán]],COUNTA(Table_SKU[[#Headers],[Mã Sản phẩm]:[Giá bán]]),0),0)</f>
        <v>200000</v>
      </c>
      <c r="CG69" s="7">
        <f>Table_Main[[#This Row],[Giá bán]]*Table_Main[[#This Row],[Số lượng]]</f>
        <v>44600000</v>
      </c>
      <c r="CH69" s="60">
        <v>0</v>
      </c>
      <c r="CI69" s="7">
        <f>+Table_Main[[#This Row],[Thành tiền niêm yết]]-Table_Main[[#This Row],[Khuyễn mãi]]</f>
        <v>44600000</v>
      </c>
      <c r="CJ69" s="7" cm="1">
        <f t="array" ref="CJ69">VLOOKUP(Table_Main[[#This Row],[Đơn bán]],Table_DonBan[],COUNTA(Table_DonBan[[#Headers],[Mã đơn bán]:[Khuyễn mãi]]),0)*Table_Main[[#This Row],[Giá trị bán trước VAT]]/
SUM(_xlfn._xlws.FILTER(Table_Main[Giá trị bán trước VAT],
(Table_Main[Đơn bán]=Table_Main[[#This Row],[Đơn bán]])
))</f>
        <v>0</v>
      </c>
      <c r="CK69" s="7">
        <f>Table_Main[[#This Row],[Giá trị bán trước VAT]]-Table_Main[[#This Row],[Phân bổ khuyến mãi đơn]]</f>
        <v>44600000</v>
      </c>
      <c r="CL69"/>
      <c r="CM69"/>
    </row>
    <row r="70" spans="2:91" ht="16.5" x14ac:dyDescent="0.3">
      <c r="B70"/>
      <c r="R70"/>
      <c r="AG70"/>
      <c r="AH70"/>
      <c r="AI70"/>
      <c r="BK70" s="43" t="s">
        <v>130</v>
      </c>
      <c r="BL70" s="37">
        <v>45275</v>
      </c>
      <c r="BM70" s="41" t="s">
        <v>68</v>
      </c>
      <c r="BN70" s="41" t="s">
        <v>93</v>
      </c>
      <c r="BO70" s="41" t="s">
        <v>84</v>
      </c>
      <c r="BP70" s="44" cm="1">
        <f t="array" ref="BP70">IFERROR(SUM(_xlfn._xlws.FILTER(Table_Main[Giá trị bán trước VAT],
(Table_Main[Đơn bán]=Table_DonBan[[#This Row],[Mã đơn bán]]),
)),0)</f>
        <v>98800000</v>
      </c>
      <c r="BQ70" s="46">
        <v>0</v>
      </c>
      <c r="BR70" s="44">
        <f>+Table_DonBan[[#This Row],[Tiền hàng]]-Table_DonBan[[#This Row],[Khuyễn mãi]]</f>
        <v>98800000</v>
      </c>
      <c r="BT70" s="49" t="s">
        <v>60</v>
      </c>
      <c r="BU70" s="50" t="s">
        <v>153</v>
      </c>
      <c r="BV70" s="6">
        <f xml:space="preserve">
IFERROR(VLOOKUP(Table_Main[[#This Row],[Đơn bán]],Table_DonBan[],COUNTA(Table_DonBan[[#Headers],[Mã đơn bán]:[Ngày lập]]),0),0)</f>
        <v>45509</v>
      </c>
      <c r="BW70" s="51">
        <f>IFERROR(MONTH(Table_Main[[#This Row],[Ngày lên đơn]]),0)</f>
        <v>8</v>
      </c>
      <c r="BX70" s="51" t="str">
        <f>INDEX(Table_SKU[],
MATCH(Table_Main[[#This Row],[Mã SKU]],Table_SKU[Mã Sản phẩm],0),1)</f>
        <v>Nhóm 2</v>
      </c>
      <c r="BY70" s="52" t="str">
        <f xml:space="preserve">
IFERROR(VLOOKUP(Table_Main[[#This Row],[Đơn bán]],Table_DonBan[],COUNTA(Table_DonBan[[#Headers],[Mã đơn bán]:[Mã Khách]]),0),0)</f>
        <v>KH05</v>
      </c>
      <c r="BZ70" s="52" t="str">
        <f>VLOOKUP(Table_Main[[#This Row],[Khách hàng]],Table_KhachHang[],COUNTA(Table_KhachHang[[#Headers],[Mã khách]:[Phân khúc]]),0)</f>
        <v>B2C</v>
      </c>
      <c r="CA70" s="25" t="str">
        <f xml:space="preserve">
IFERROR(VLOOKUP(Table_Main[[#This Row],[Đơn bán]],Table_DonBan[],COUNTA(Table_DonBan[[#Headers],[Mã đơn bán]:[Mã NV]]),0),0)</f>
        <v>NV02</v>
      </c>
      <c r="CB70" s="7" t="str">
        <f xml:space="preserve">
IFERROR(VLOOKUP(Table_Main[[#This Row],[Đơn bán]],Table_DonBan[],COUNTA(Table_DonBan[[#Headers],[Mã đơn bán]:[Kênh]]),0),0)</f>
        <v>ST</v>
      </c>
      <c r="CC70" s="7" t="str">
        <f>VLOOKUP(Table_Main[[#This Row],[Kênh]],Table_Kenh[],COUNTA(Table_Kenh[[#Headers],[Kênh]:[Nhóm Kênh]]),0)</f>
        <v>Offline</v>
      </c>
      <c r="CD70" s="53">
        <v>136</v>
      </c>
      <c r="CE70" s="7" t="str">
        <f>IFERROR(VLOOKUP(Table_Main[[#This Row],[Mã SKU]],Table_SKU[[Mã Sản phẩm]:[Giá bán]],COUNTA(Table_SKU[[#Headers],[Mã Sản phẩm]:[Đơn vị]]),0),0)</f>
        <v>Bộ</v>
      </c>
      <c r="CF70" s="7">
        <f>IFERROR(VLOOKUP(Table_Main[[#This Row],[Mã SKU]],Table_SKU[[Mã Sản phẩm]:[Giá bán]],COUNTA(Table_SKU[[#Headers],[Mã Sản phẩm]:[Giá bán]]),0),0)</f>
        <v>300000</v>
      </c>
      <c r="CG70" s="7">
        <f>Table_Main[[#This Row],[Giá bán]]*Table_Main[[#This Row],[Số lượng]]</f>
        <v>40800000</v>
      </c>
      <c r="CH70" s="60">
        <v>0</v>
      </c>
      <c r="CI70" s="7">
        <f>+Table_Main[[#This Row],[Thành tiền niêm yết]]-Table_Main[[#This Row],[Khuyễn mãi]]</f>
        <v>40800000</v>
      </c>
      <c r="CJ70" s="7" cm="1">
        <f t="array" ref="CJ70">VLOOKUP(Table_Main[[#This Row],[Đơn bán]],Table_DonBan[],COUNTA(Table_DonBan[[#Headers],[Mã đơn bán]:[Khuyễn mãi]]),0)*Table_Main[[#This Row],[Giá trị bán trước VAT]]/
SUM(_xlfn._xlws.FILTER(Table_Main[Giá trị bán trước VAT],
(Table_Main[Đơn bán]=Table_Main[[#This Row],[Đơn bán]])
))</f>
        <v>0</v>
      </c>
      <c r="CK70" s="7">
        <f>Table_Main[[#This Row],[Giá trị bán trước VAT]]-Table_Main[[#This Row],[Phân bổ khuyến mãi đơn]]</f>
        <v>40800000</v>
      </c>
      <c r="CL70"/>
      <c r="CM70"/>
    </row>
    <row r="71" spans="2:91" ht="16.5" x14ac:dyDescent="0.3">
      <c r="B71"/>
      <c r="R71"/>
      <c r="AG71"/>
      <c r="AH71"/>
      <c r="AI71"/>
      <c r="BK71" s="43" t="s">
        <v>129</v>
      </c>
      <c r="BL71" s="37">
        <v>45265</v>
      </c>
      <c r="BM71" s="41" t="s">
        <v>70</v>
      </c>
      <c r="BN71" s="41" t="s">
        <v>92</v>
      </c>
      <c r="BO71" s="41" t="s">
        <v>82</v>
      </c>
      <c r="BP71" s="44" cm="1">
        <f t="array" ref="BP71">IFERROR(SUM(_xlfn._xlws.FILTER(Table_Main[Giá trị bán trước VAT],
(Table_Main[Đơn bán]=Table_DonBan[[#This Row],[Mã đơn bán]]),
)),0)</f>
        <v>99845000</v>
      </c>
      <c r="BQ71" s="46">
        <v>0</v>
      </c>
      <c r="BR71" s="44">
        <f>+Table_DonBan[[#This Row],[Tiền hàng]]-Table_DonBan[[#This Row],[Khuyễn mãi]]</f>
        <v>99845000</v>
      </c>
      <c r="BT71" s="54" t="s">
        <v>61</v>
      </c>
      <c r="BU71" s="55" t="s">
        <v>153</v>
      </c>
      <c r="BV71" s="56">
        <f xml:space="preserve">
IFERROR(VLOOKUP(Table_Main[[#This Row],[Đơn bán]],Table_DonBan[],COUNTA(Table_DonBan[[#Headers],[Mã đơn bán]:[Ngày lập]]),0),0)</f>
        <v>45509</v>
      </c>
      <c r="BW71" s="51">
        <f>IFERROR(MONTH(Table_Main[[#This Row],[Ngày lên đơn]]),0)</f>
        <v>8</v>
      </c>
      <c r="BX71" s="51" t="str">
        <f>INDEX(Table_SKU[],
MATCH(Table_Main[[#This Row],[Mã SKU]],Table_SKU[Mã Sản phẩm],0),1)</f>
        <v>Nhóm 3</v>
      </c>
      <c r="BY71" s="52" t="str">
        <f xml:space="preserve">
IFERROR(VLOOKUP(Table_Main[[#This Row],[Đơn bán]],Table_DonBan[],COUNTA(Table_DonBan[[#Headers],[Mã đơn bán]:[Mã Khách]]),0),0)</f>
        <v>KH05</v>
      </c>
      <c r="BZ71" s="52" t="str">
        <f>VLOOKUP(Table_Main[[#This Row],[Khách hàng]],Table_KhachHang[],COUNTA(Table_KhachHang[[#Headers],[Mã khách]:[Phân khúc]]),0)</f>
        <v>B2C</v>
      </c>
      <c r="CA71" s="57" t="str">
        <f xml:space="preserve">
IFERROR(VLOOKUP(Table_Main[[#This Row],[Đơn bán]],Table_DonBan[],COUNTA(Table_DonBan[[#Headers],[Mã đơn bán]:[Mã NV]]),0),0)</f>
        <v>NV02</v>
      </c>
      <c r="CB71" s="58" t="str">
        <f xml:space="preserve">
IFERROR(VLOOKUP(Table_Main[[#This Row],[Đơn bán]],Table_DonBan[],COUNTA(Table_DonBan[[#Headers],[Mã đơn bán]:[Kênh]]),0),0)</f>
        <v>ST</v>
      </c>
      <c r="CC71" s="58" t="str">
        <f>VLOOKUP(Table_Main[[#This Row],[Kênh]],Table_Kenh[],COUNTA(Table_Kenh[[#Headers],[Kênh]:[Nhóm Kênh]]),0)</f>
        <v>Offline</v>
      </c>
      <c r="CD71" s="59">
        <v>103</v>
      </c>
      <c r="CE71" s="58" t="str">
        <f>IFERROR(VLOOKUP(Table_Main[[#This Row],[Mã SKU]],Table_SKU[[Mã Sản phẩm]:[Giá bán]],COUNTA(Table_SKU[[#Headers],[Mã Sản phẩm]:[Đơn vị]]),0),0)</f>
        <v>Bộ</v>
      </c>
      <c r="CF71" s="58">
        <f>IFERROR(VLOOKUP(Table_Main[[#This Row],[Mã SKU]],Table_SKU[[Mã Sản phẩm]:[Giá bán]],COUNTA(Table_SKU[[#Headers],[Mã Sản phẩm]:[Giá bán]]),0),0)</f>
        <v>500000</v>
      </c>
      <c r="CG71" s="58">
        <f>Table_Main[[#This Row],[Giá bán]]*Table_Main[[#This Row],[Số lượng]]</f>
        <v>51500000</v>
      </c>
      <c r="CH71" s="61">
        <v>0</v>
      </c>
      <c r="CI71" s="58">
        <f>+Table_Main[[#This Row],[Thành tiền niêm yết]]-Table_Main[[#This Row],[Khuyễn mãi]]</f>
        <v>51500000</v>
      </c>
      <c r="CJ71" s="7" cm="1">
        <f t="array" ref="CJ71">VLOOKUP(Table_Main[[#This Row],[Đơn bán]],Table_DonBan[],COUNTA(Table_DonBan[[#Headers],[Mã đơn bán]:[Khuyễn mãi]]),0)*Table_Main[[#This Row],[Giá trị bán trước VAT]]/
SUM(_xlfn._xlws.FILTER(Table_Main[Giá trị bán trước VAT],
(Table_Main[Đơn bán]=Table_Main[[#This Row],[Đơn bán]])
))</f>
        <v>0</v>
      </c>
      <c r="CK71" s="7">
        <f>Table_Main[[#This Row],[Giá trị bán trước VAT]]-Table_Main[[#This Row],[Phân bổ khuyến mãi đơn]]</f>
        <v>51500000</v>
      </c>
      <c r="CL71"/>
      <c r="CM71"/>
    </row>
    <row r="72" spans="2:91" ht="16.5" x14ac:dyDescent="0.3">
      <c r="B72"/>
      <c r="R72"/>
      <c r="AG72"/>
      <c r="AH72"/>
      <c r="AI72"/>
      <c r="BK72" s="43" t="s">
        <v>128</v>
      </c>
      <c r="BL72" s="37">
        <v>45255</v>
      </c>
      <c r="BM72" s="41" t="s">
        <v>67</v>
      </c>
      <c r="BN72" s="41" t="s">
        <v>92</v>
      </c>
      <c r="BO72" s="41" t="s">
        <v>86</v>
      </c>
      <c r="BP72" s="44" cm="1">
        <f t="array" ref="BP72">IFERROR(SUM(_xlfn._xlws.FILTER(Table_Main[Giá trị bán trước VAT],
(Table_Main[Đơn bán]=Table_DonBan[[#This Row],[Mã đơn bán]]),
)),0)</f>
        <v>98610000</v>
      </c>
      <c r="BQ72" s="46">
        <v>0</v>
      </c>
      <c r="BR72" s="44">
        <f>+Table_DonBan[[#This Row],[Tiền hàng]]-Table_DonBan[[#This Row],[Khuyễn mãi]]</f>
        <v>98610000</v>
      </c>
      <c r="BT72" s="49" t="s">
        <v>59</v>
      </c>
      <c r="BU72" s="50" t="s">
        <v>152</v>
      </c>
      <c r="BV72" s="6">
        <f xml:space="preserve">
IFERROR(VLOOKUP(Table_Main[[#This Row],[Đơn bán]],Table_DonBan[],COUNTA(Table_DonBan[[#Headers],[Mã đơn bán]:[Ngày lập]]),0),0)</f>
        <v>45498</v>
      </c>
      <c r="BW72" s="51">
        <f>IFERROR(MONTH(Table_Main[[#This Row],[Ngày lên đơn]]),0)</f>
        <v>7</v>
      </c>
      <c r="BX72" s="51" t="str">
        <f>INDEX(Table_SKU[],
MATCH(Table_Main[[#This Row],[Mã SKU]],Table_SKU[Mã Sản phẩm],0),1)</f>
        <v>Nhóm 1</v>
      </c>
      <c r="BY72" s="52" t="str">
        <f xml:space="preserve">
IFERROR(VLOOKUP(Table_Main[[#This Row],[Đơn bán]],Table_DonBan[],COUNTA(Table_DonBan[[#Headers],[Mã đơn bán]:[Mã Khách]]),0),0)</f>
        <v>KH04</v>
      </c>
      <c r="BZ72" s="52" t="str">
        <f>VLOOKUP(Table_Main[[#This Row],[Khách hàng]],Table_KhachHang[],COUNTA(Table_KhachHang[[#Headers],[Mã khách]:[Phân khúc]]),0)</f>
        <v>B2B</v>
      </c>
      <c r="CA72" s="25" t="str">
        <f xml:space="preserve">
IFERROR(VLOOKUP(Table_Main[[#This Row],[Đơn bán]],Table_DonBan[],COUNTA(Table_DonBan[[#Headers],[Mã đơn bán]:[Mã NV]]),0),0)</f>
        <v>NV02</v>
      </c>
      <c r="CB72" s="7" t="str">
        <f xml:space="preserve">
IFERROR(VLOOKUP(Table_Main[[#This Row],[Đơn bán]],Table_DonBan[],COUNTA(Table_DonBan[[#Headers],[Mã đơn bán]:[Kênh]]),0),0)</f>
        <v>FB</v>
      </c>
      <c r="CC72" s="7" t="str">
        <f>VLOOKUP(Table_Main[[#This Row],[Kênh]],Table_Kenh[],COUNTA(Table_Kenh[[#Headers],[Kênh]:[Nhóm Kênh]]),0)</f>
        <v>Mạng xã hội</v>
      </c>
      <c r="CD72" s="53">
        <v>212</v>
      </c>
      <c r="CE72" s="7" t="str">
        <f>IFERROR(VLOOKUP(Table_Main[[#This Row],[Mã SKU]],Table_SKU[[Mã Sản phẩm]:[Giá bán]],COUNTA(Table_SKU[[#Headers],[Mã Sản phẩm]:[Đơn vị]]),0),0)</f>
        <v>Bộ</v>
      </c>
      <c r="CF72" s="7">
        <f>IFERROR(VLOOKUP(Table_Main[[#This Row],[Mã SKU]],Table_SKU[[Mã Sản phẩm]:[Giá bán]],COUNTA(Table_SKU[[#Headers],[Mã Sản phẩm]:[Giá bán]]),0),0)</f>
        <v>200000</v>
      </c>
      <c r="CG72" s="7">
        <f>Table_Main[[#This Row],[Giá bán]]*Table_Main[[#This Row],[Số lượng]]</f>
        <v>42400000</v>
      </c>
      <c r="CH72" s="60">
        <v>0</v>
      </c>
      <c r="CI72" s="7">
        <f>+Table_Main[[#This Row],[Thành tiền niêm yết]]-Table_Main[[#This Row],[Khuyễn mãi]]</f>
        <v>42400000</v>
      </c>
      <c r="CJ72" s="7" cm="1">
        <f t="array" ref="CJ72">VLOOKUP(Table_Main[[#This Row],[Đơn bán]],Table_DonBan[],COUNTA(Table_DonBan[[#Headers],[Mã đơn bán]:[Khuyễn mãi]]),0)*Table_Main[[#This Row],[Giá trị bán trước VAT]]/
SUM(_xlfn._xlws.FILTER(Table_Main[Giá trị bán trước VAT],
(Table_Main[Đơn bán]=Table_Main[[#This Row],[Đơn bán]])
))</f>
        <v>0</v>
      </c>
      <c r="CK72" s="7">
        <f>Table_Main[[#This Row],[Giá trị bán trước VAT]]-Table_Main[[#This Row],[Phân bổ khuyến mãi đơn]]</f>
        <v>42400000</v>
      </c>
      <c r="CL72"/>
      <c r="CM72"/>
    </row>
    <row r="73" spans="2:91" ht="16.5" x14ac:dyDescent="0.3">
      <c r="B73"/>
      <c r="R73"/>
      <c r="AG73"/>
      <c r="AH73"/>
      <c r="AI73"/>
      <c r="BK73" s="43" t="s">
        <v>127</v>
      </c>
      <c r="BL73" s="37">
        <v>45245</v>
      </c>
      <c r="BM73" s="41" t="s">
        <v>69</v>
      </c>
      <c r="BN73" s="41" t="s">
        <v>92</v>
      </c>
      <c r="BO73" s="41" t="s">
        <v>82</v>
      </c>
      <c r="BP73" s="44" cm="1">
        <f t="array" ref="BP73">IFERROR(SUM(_xlfn._xlws.FILTER(Table_Main[Giá trị bán trước VAT],
(Table_Main[Đơn bán]=Table_DonBan[[#This Row],[Mã đơn bán]]),
)),0)</f>
        <v>98420000</v>
      </c>
      <c r="BQ73" s="46">
        <v>0</v>
      </c>
      <c r="BR73" s="44">
        <f>+Table_DonBan[[#This Row],[Tiền hàng]]-Table_DonBan[[#This Row],[Khuyễn mãi]]</f>
        <v>98420000</v>
      </c>
      <c r="BT73" s="49" t="s">
        <v>60</v>
      </c>
      <c r="BU73" s="50" t="s">
        <v>152</v>
      </c>
      <c r="BV73" s="6">
        <f xml:space="preserve">
IFERROR(VLOOKUP(Table_Main[[#This Row],[Đơn bán]],Table_DonBan[],COUNTA(Table_DonBan[[#Headers],[Mã đơn bán]:[Ngày lập]]),0),0)</f>
        <v>45498</v>
      </c>
      <c r="BW73" s="51">
        <f>IFERROR(MONTH(Table_Main[[#This Row],[Ngày lên đơn]]),0)</f>
        <v>7</v>
      </c>
      <c r="BX73" s="51" t="str">
        <f>INDEX(Table_SKU[],
MATCH(Table_Main[[#This Row],[Mã SKU]],Table_SKU[Mã Sản phẩm],0),1)</f>
        <v>Nhóm 2</v>
      </c>
      <c r="BY73" s="52" t="str">
        <f xml:space="preserve">
IFERROR(VLOOKUP(Table_Main[[#This Row],[Đơn bán]],Table_DonBan[],COUNTA(Table_DonBan[[#Headers],[Mã đơn bán]:[Mã Khách]]),0),0)</f>
        <v>KH04</v>
      </c>
      <c r="BZ73" s="52" t="str">
        <f>VLOOKUP(Table_Main[[#This Row],[Khách hàng]],Table_KhachHang[],COUNTA(Table_KhachHang[[#Headers],[Mã khách]:[Phân khúc]]),0)</f>
        <v>B2B</v>
      </c>
      <c r="CA73" s="25" t="str">
        <f xml:space="preserve">
IFERROR(VLOOKUP(Table_Main[[#This Row],[Đơn bán]],Table_DonBan[],COUNTA(Table_DonBan[[#Headers],[Mã đơn bán]:[Mã NV]]),0),0)</f>
        <v>NV02</v>
      </c>
      <c r="CB73" s="7" t="str">
        <f xml:space="preserve">
IFERROR(VLOOKUP(Table_Main[[#This Row],[Đơn bán]],Table_DonBan[],COUNTA(Table_DonBan[[#Headers],[Mã đơn bán]:[Kênh]]),0),0)</f>
        <v>FB</v>
      </c>
      <c r="CC73" s="7" t="str">
        <f>VLOOKUP(Table_Main[[#This Row],[Kênh]],Table_Kenh[],COUNTA(Table_Kenh[[#Headers],[Kênh]:[Nhóm Kênh]]),0)</f>
        <v>Mạng xã hội</v>
      </c>
      <c r="CD73" s="53">
        <v>133</v>
      </c>
      <c r="CE73" s="7" t="str">
        <f>IFERROR(VLOOKUP(Table_Main[[#This Row],[Mã SKU]],Table_SKU[[Mã Sản phẩm]:[Giá bán]],COUNTA(Table_SKU[[#Headers],[Mã Sản phẩm]:[Đơn vị]]),0),0)</f>
        <v>Bộ</v>
      </c>
      <c r="CF73" s="7">
        <f>IFERROR(VLOOKUP(Table_Main[[#This Row],[Mã SKU]],Table_SKU[[Mã Sản phẩm]:[Giá bán]],COUNTA(Table_SKU[[#Headers],[Mã Sản phẩm]:[Giá bán]]),0),0)</f>
        <v>300000</v>
      </c>
      <c r="CG73" s="7">
        <f>Table_Main[[#This Row],[Giá bán]]*Table_Main[[#This Row],[Số lượng]]</f>
        <v>39900000</v>
      </c>
      <c r="CH73" s="60">
        <v>0</v>
      </c>
      <c r="CI73" s="7">
        <f>+Table_Main[[#This Row],[Thành tiền niêm yết]]-Table_Main[[#This Row],[Khuyễn mãi]]</f>
        <v>39900000</v>
      </c>
      <c r="CJ73" s="7" cm="1">
        <f t="array" ref="CJ73">VLOOKUP(Table_Main[[#This Row],[Đơn bán]],Table_DonBan[],COUNTA(Table_DonBan[[#Headers],[Mã đơn bán]:[Khuyễn mãi]]),0)*Table_Main[[#This Row],[Giá trị bán trước VAT]]/
SUM(_xlfn._xlws.FILTER(Table_Main[Giá trị bán trước VAT],
(Table_Main[Đơn bán]=Table_Main[[#This Row],[Đơn bán]])
))</f>
        <v>0</v>
      </c>
      <c r="CK73" s="7">
        <f>Table_Main[[#This Row],[Giá trị bán trước VAT]]-Table_Main[[#This Row],[Phân bổ khuyến mãi đơn]]</f>
        <v>39900000</v>
      </c>
      <c r="CL73"/>
      <c r="CM73"/>
    </row>
    <row r="74" spans="2:91" ht="16.5" x14ac:dyDescent="0.3">
      <c r="B74"/>
      <c r="R74"/>
      <c r="AG74"/>
      <c r="AH74"/>
      <c r="AI74"/>
      <c r="BK74" s="43" t="s">
        <v>126</v>
      </c>
      <c r="BL74" s="37">
        <v>45235</v>
      </c>
      <c r="BM74" s="41" t="s">
        <v>67</v>
      </c>
      <c r="BN74" s="41" t="s">
        <v>93</v>
      </c>
      <c r="BO74" s="41" t="s">
        <v>83</v>
      </c>
      <c r="BP74" s="44" cm="1">
        <f t="array" ref="BP74">IFERROR(SUM(_xlfn._xlws.FILTER(Table_Main[Giá trị bán trước VAT],
(Table_Main[Đơn bán]=Table_DonBan[[#This Row],[Mã đơn bán]]),
)),0)</f>
        <v>97375000</v>
      </c>
      <c r="BQ74" s="46">
        <v>0</v>
      </c>
      <c r="BR74" s="44">
        <f>+Table_DonBan[[#This Row],[Tiền hàng]]-Table_DonBan[[#This Row],[Khuyễn mãi]]</f>
        <v>97375000</v>
      </c>
      <c r="BT74" s="49" t="s">
        <v>61</v>
      </c>
      <c r="BU74" s="50" t="s">
        <v>152</v>
      </c>
      <c r="BV74" s="6">
        <f xml:space="preserve">
IFERROR(VLOOKUP(Table_Main[[#This Row],[Đơn bán]],Table_DonBan[],COUNTA(Table_DonBan[[#Headers],[Mã đơn bán]:[Ngày lập]]),0),0)</f>
        <v>45498</v>
      </c>
      <c r="BW74" s="51">
        <f>IFERROR(MONTH(Table_Main[[#This Row],[Ngày lên đơn]]),0)</f>
        <v>7</v>
      </c>
      <c r="BX74" s="51" t="str">
        <f>INDEX(Table_SKU[],
MATCH(Table_Main[[#This Row],[Mã SKU]],Table_SKU[Mã Sản phẩm],0),1)</f>
        <v>Nhóm 3</v>
      </c>
      <c r="BY74" s="10" t="str">
        <f xml:space="preserve">
IFERROR(VLOOKUP(Table_Main[[#This Row],[Đơn bán]],Table_DonBan[],COUNTA(Table_DonBan[[#Headers],[Mã đơn bán]:[Mã Khách]]),0),0)</f>
        <v>KH04</v>
      </c>
      <c r="BZ74" s="10" t="str">
        <f>VLOOKUP(Table_Main[[#This Row],[Khách hàng]],Table_KhachHang[],COUNTA(Table_KhachHang[[#Headers],[Mã khách]:[Phân khúc]]),0)</f>
        <v>B2B</v>
      </c>
      <c r="CA74" s="25" t="str">
        <f xml:space="preserve">
IFERROR(VLOOKUP(Table_Main[[#This Row],[Đơn bán]],Table_DonBan[],COUNTA(Table_DonBan[[#Headers],[Mã đơn bán]:[Mã NV]]),0),0)</f>
        <v>NV02</v>
      </c>
      <c r="CB74" s="7" t="str">
        <f xml:space="preserve">
IFERROR(VLOOKUP(Table_Main[[#This Row],[Đơn bán]],Table_DonBan[],COUNTA(Table_DonBan[[#Headers],[Mã đơn bán]:[Kênh]]),0),0)</f>
        <v>FB</v>
      </c>
      <c r="CC74" s="7" t="str">
        <f>VLOOKUP(Table_Main[[#This Row],[Kênh]],Table_Kenh[],COUNTA(Table_Kenh[[#Headers],[Kênh]:[Nhóm Kênh]]),0)</f>
        <v>Mạng xã hội</v>
      </c>
      <c r="CD74" s="53">
        <v>104</v>
      </c>
      <c r="CE74" s="7" t="str">
        <f>IFERROR(VLOOKUP(Table_Main[[#This Row],[Mã SKU]],Table_SKU[[Mã Sản phẩm]:[Giá bán]],COUNTA(Table_SKU[[#Headers],[Mã Sản phẩm]:[Đơn vị]]),0),0)</f>
        <v>Bộ</v>
      </c>
      <c r="CF74" s="7">
        <f>IFERROR(VLOOKUP(Table_Main[[#This Row],[Mã SKU]],Table_SKU[[Mã Sản phẩm]:[Giá bán]],COUNTA(Table_SKU[[#Headers],[Mã Sản phẩm]:[Giá bán]]),0),0)</f>
        <v>500000</v>
      </c>
      <c r="CG74" s="7">
        <f>Table_Main[[#This Row],[Giá bán]]*Table_Main[[#This Row],[Số lượng]]</f>
        <v>52000000</v>
      </c>
      <c r="CH74" s="60">
        <v>0</v>
      </c>
      <c r="CI74" s="7">
        <f>+Table_Main[[#This Row],[Thành tiền niêm yết]]-Table_Main[[#This Row],[Khuyễn mãi]]</f>
        <v>52000000</v>
      </c>
      <c r="CJ74" s="7" cm="1">
        <f t="array" ref="CJ74">VLOOKUP(Table_Main[[#This Row],[Đơn bán]],Table_DonBan[],COUNTA(Table_DonBan[[#Headers],[Mã đơn bán]:[Khuyễn mãi]]),0)*Table_Main[[#This Row],[Giá trị bán trước VAT]]/
SUM(_xlfn._xlws.FILTER(Table_Main[Giá trị bán trước VAT],
(Table_Main[Đơn bán]=Table_Main[[#This Row],[Đơn bán]])
))</f>
        <v>0</v>
      </c>
      <c r="CK74" s="7">
        <f>Table_Main[[#This Row],[Giá trị bán trước VAT]]-Table_Main[[#This Row],[Phân bổ khuyến mãi đơn]]</f>
        <v>52000000</v>
      </c>
      <c r="CL74"/>
      <c r="CM74"/>
    </row>
    <row r="75" spans="2:91" ht="16.5" x14ac:dyDescent="0.3">
      <c r="B75"/>
      <c r="R75"/>
      <c r="AG75"/>
      <c r="AH75"/>
      <c r="AI75"/>
      <c r="BK75" s="43" t="s">
        <v>125</v>
      </c>
      <c r="BL75" s="37">
        <v>45224</v>
      </c>
      <c r="BM75" s="41" t="s">
        <v>68</v>
      </c>
      <c r="BN75" s="41" t="s">
        <v>92</v>
      </c>
      <c r="BO75" s="41" t="s">
        <v>85</v>
      </c>
      <c r="BP75" s="44" cm="1">
        <f t="array" ref="BP75">IFERROR(SUM(_xlfn._xlws.FILTER(Table_Main[Giá trị bán trước VAT],
(Table_Main[Đơn bán]=Table_DonBan[[#This Row],[Mã đơn bán]]),
)),0)</f>
        <v>95475000</v>
      </c>
      <c r="BQ75" s="46">
        <v>0</v>
      </c>
      <c r="BR75" s="44">
        <f>+Table_DonBan[[#This Row],[Tiền hàng]]-Table_DonBan[[#This Row],[Khuyễn mãi]]</f>
        <v>95475000</v>
      </c>
      <c r="BT75" s="49" t="s">
        <v>59</v>
      </c>
      <c r="BU75" s="50" t="s">
        <v>151</v>
      </c>
      <c r="BV75" s="6">
        <f xml:space="preserve">
IFERROR(VLOOKUP(Table_Main[[#This Row],[Đơn bán]],Table_DonBan[],COUNTA(Table_DonBan[[#Headers],[Mã đơn bán]:[Ngày lập]]),0),0)</f>
        <v>45488</v>
      </c>
      <c r="BW75" s="51">
        <f>IFERROR(MONTH(Table_Main[[#This Row],[Ngày lên đơn]]),0)</f>
        <v>7</v>
      </c>
      <c r="BX75" s="51" t="str">
        <f>INDEX(Table_SKU[],
MATCH(Table_Main[[#This Row],[Mã SKU]],Table_SKU[Mã Sản phẩm],0),1)</f>
        <v>Nhóm 1</v>
      </c>
      <c r="BY75" s="52" t="str">
        <f xml:space="preserve">
IFERROR(VLOOKUP(Table_Main[[#This Row],[Đơn bán]],Table_DonBan[],COUNTA(Table_DonBan[[#Headers],[Mã đơn bán]:[Mã Khách]]),0),0)</f>
        <v>KH01</v>
      </c>
      <c r="BZ75" s="52" t="str">
        <f>VLOOKUP(Table_Main[[#This Row],[Khách hàng]],Table_KhachHang[],COUNTA(Table_KhachHang[[#Headers],[Mã khách]:[Phân khúc]]),0)</f>
        <v>B2B</v>
      </c>
      <c r="CA75" s="25" t="str">
        <f xml:space="preserve">
IFERROR(VLOOKUP(Table_Main[[#This Row],[Đơn bán]],Table_DonBan[],COUNTA(Table_DonBan[[#Headers],[Mã đơn bán]:[Mã NV]]),0),0)</f>
        <v>NV02</v>
      </c>
      <c r="CB75" s="7" t="str">
        <f xml:space="preserve">
IFERROR(VLOOKUP(Table_Main[[#This Row],[Đơn bán]],Table_DonBan[],COUNTA(Table_DonBan[[#Headers],[Mã đơn bán]:[Kênh]]),0),0)</f>
        <v>SP</v>
      </c>
      <c r="CC75" s="7" t="str">
        <f>VLOOKUP(Table_Main[[#This Row],[Kênh]],Table_Kenh[],COUNTA(Table_Kenh[[#Headers],[Kênh]:[Nhóm Kênh]]),0)</f>
        <v>Sàn TMĐT</v>
      </c>
      <c r="CD75" s="53">
        <v>202</v>
      </c>
      <c r="CE75" s="7" t="str">
        <f>IFERROR(VLOOKUP(Table_Main[[#This Row],[Mã SKU]],Table_SKU[[Mã Sản phẩm]:[Giá bán]],COUNTA(Table_SKU[[#Headers],[Mã Sản phẩm]:[Đơn vị]]),0),0)</f>
        <v>Bộ</v>
      </c>
      <c r="CF75" s="7">
        <f>IFERROR(VLOOKUP(Table_Main[[#This Row],[Mã SKU]],Table_SKU[[Mã Sản phẩm]:[Giá bán]],COUNTA(Table_SKU[[#Headers],[Mã Sản phẩm]:[Giá bán]]),0),0)</f>
        <v>200000</v>
      </c>
      <c r="CG75" s="7">
        <f>Table_Main[[#This Row],[Giá bán]]*Table_Main[[#This Row],[Số lượng]]</f>
        <v>40400000</v>
      </c>
      <c r="CH75" s="60">
        <v>0</v>
      </c>
      <c r="CI75" s="7">
        <f>+Table_Main[[#This Row],[Thành tiền niêm yết]]-Table_Main[[#This Row],[Khuyễn mãi]]</f>
        <v>40400000</v>
      </c>
      <c r="CJ75" s="7" cm="1">
        <f t="array" ref="CJ75">VLOOKUP(Table_Main[[#This Row],[Đơn bán]],Table_DonBan[],COUNTA(Table_DonBan[[#Headers],[Mã đơn bán]:[Khuyễn mãi]]),0)*Table_Main[[#This Row],[Giá trị bán trước VAT]]/
SUM(_xlfn._xlws.FILTER(Table_Main[Giá trị bán trước VAT],
(Table_Main[Đơn bán]=Table_Main[[#This Row],[Đơn bán]])
))</f>
        <v>0</v>
      </c>
      <c r="CK75" s="7">
        <f>Table_Main[[#This Row],[Giá trị bán trước VAT]]-Table_Main[[#This Row],[Phân bổ khuyến mãi đơn]]</f>
        <v>40400000</v>
      </c>
      <c r="CL75"/>
      <c r="CM75"/>
    </row>
    <row r="76" spans="2:91" ht="16.5" x14ac:dyDescent="0.3">
      <c r="B76"/>
      <c r="R76"/>
      <c r="AG76"/>
      <c r="AH76"/>
      <c r="AI76"/>
      <c r="BK76" s="43" t="s">
        <v>124</v>
      </c>
      <c r="BL76" s="37">
        <v>45214</v>
      </c>
      <c r="BM76" s="41" t="s">
        <v>66</v>
      </c>
      <c r="BN76" s="41" t="s">
        <v>93</v>
      </c>
      <c r="BO76" s="41" t="s">
        <v>87</v>
      </c>
      <c r="BP76" s="44" cm="1">
        <f t="array" ref="BP76">IFERROR(SUM(_xlfn._xlws.FILTER(Table_Main[Giá trị bán trước VAT],
(Table_Main[Đơn bán]=Table_DonBan[[#This Row],[Mã đơn bán]]),
)),0)</f>
        <v>95000000</v>
      </c>
      <c r="BQ76" s="46">
        <v>0</v>
      </c>
      <c r="BR76" s="44">
        <f>+Table_DonBan[[#This Row],[Tiền hàng]]-Table_DonBan[[#This Row],[Khuyễn mãi]]</f>
        <v>95000000</v>
      </c>
      <c r="BT76" s="49" t="s">
        <v>60</v>
      </c>
      <c r="BU76" s="50" t="s">
        <v>151</v>
      </c>
      <c r="BV76" s="6">
        <f xml:space="preserve">
IFERROR(VLOOKUP(Table_Main[[#This Row],[Đơn bán]],Table_DonBan[],COUNTA(Table_DonBan[[#Headers],[Mã đơn bán]:[Ngày lập]]),0),0)</f>
        <v>45488</v>
      </c>
      <c r="BW76" s="51">
        <f>IFERROR(MONTH(Table_Main[[#This Row],[Ngày lên đơn]]),0)</f>
        <v>7</v>
      </c>
      <c r="BX76" s="51" t="str">
        <f>INDEX(Table_SKU[],
MATCH(Table_Main[[#This Row],[Mã SKU]],Table_SKU[Mã Sản phẩm],0),1)</f>
        <v>Nhóm 2</v>
      </c>
      <c r="BY76" s="52" t="str">
        <f xml:space="preserve">
IFERROR(VLOOKUP(Table_Main[[#This Row],[Đơn bán]],Table_DonBan[],COUNTA(Table_DonBan[[#Headers],[Mã đơn bán]:[Mã Khách]]),0),0)</f>
        <v>KH01</v>
      </c>
      <c r="BZ76" s="52" t="str">
        <f>VLOOKUP(Table_Main[[#This Row],[Khách hàng]],Table_KhachHang[],COUNTA(Table_KhachHang[[#Headers],[Mã khách]:[Phân khúc]]),0)</f>
        <v>B2B</v>
      </c>
      <c r="CA76" s="25" t="str">
        <f xml:space="preserve">
IFERROR(VLOOKUP(Table_Main[[#This Row],[Đơn bán]],Table_DonBan[],COUNTA(Table_DonBan[[#Headers],[Mã đơn bán]:[Mã NV]]),0),0)</f>
        <v>NV02</v>
      </c>
      <c r="CB76" s="7" t="str">
        <f xml:space="preserve">
IFERROR(VLOOKUP(Table_Main[[#This Row],[Đơn bán]],Table_DonBan[],COUNTA(Table_DonBan[[#Headers],[Mã đơn bán]:[Kênh]]),0),0)</f>
        <v>SP</v>
      </c>
      <c r="CC76" s="7" t="str">
        <f>VLOOKUP(Table_Main[[#This Row],[Kênh]],Table_Kenh[],COUNTA(Table_Kenh[[#Headers],[Kênh]:[Nhóm Kênh]]),0)</f>
        <v>Sàn TMĐT</v>
      </c>
      <c r="CD76" s="53">
        <v>136</v>
      </c>
      <c r="CE76" s="7" t="str">
        <f>IFERROR(VLOOKUP(Table_Main[[#This Row],[Mã SKU]],Table_SKU[[Mã Sản phẩm]:[Giá bán]],COUNTA(Table_SKU[[#Headers],[Mã Sản phẩm]:[Đơn vị]]),0),0)</f>
        <v>Bộ</v>
      </c>
      <c r="CF76" s="7">
        <f>IFERROR(VLOOKUP(Table_Main[[#This Row],[Mã SKU]],Table_SKU[[Mã Sản phẩm]:[Giá bán]],COUNTA(Table_SKU[[#Headers],[Mã Sản phẩm]:[Giá bán]]),0),0)</f>
        <v>300000</v>
      </c>
      <c r="CG76" s="7">
        <f>Table_Main[[#This Row],[Giá bán]]*Table_Main[[#This Row],[Số lượng]]</f>
        <v>40800000</v>
      </c>
      <c r="CH76" s="60">
        <v>0</v>
      </c>
      <c r="CI76" s="7">
        <f>+Table_Main[[#This Row],[Thành tiền niêm yết]]-Table_Main[[#This Row],[Khuyễn mãi]]</f>
        <v>40800000</v>
      </c>
      <c r="CJ76" s="7" cm="1">
        <f t="array" ref="CJ76">VLOOKUP(Table_Main[[#This Row],[Đơn bán]],Table_DonBan[],COUNTA(Table_DonBan[[#Headers],[Mã đơn bán]:[Khuyễn mãi]]),0)*Table_Main[[#This Row],[Giá trị bán trước VAT]]/
SUM(_xlfn._xlws.FILTER(Table_Main[Giá trị bán trước VAT],
(Table_Main[Đơn bán]=Table_Main[[#This Row],[Đơn bán]])
))</f>
        <v>0</v>
      </c>
      <c r="CK76" s="7">
        <f>Table_Main[[#This Row],[Giá trị bán trước VAT]]-Table_Main[[#This Row],[Phân bổ khuyến mãi đơn]]</f>
        <v>40800000</v>
      </c>
      <c r="CL76"/>
      <c r="CM76"/>
    </row>
    <row r="77" spans="2:91" ht="16.5" x14ac:dyDescent="0.3">
      <c r="B77"/>
      <c r="R77"/>
      <c r="AG77"/>
      <c r="AH77"/>
      <c r="AI77"/>
      <c r="BK77" s="43" t="s">
        <v>123</v>
      </c>
      <c r="BL77" s="37">
        <v>45204</v>
      </c>
      <c r="BM77" s="41" t="s">
        <v>66</v>
      </c>
      <c r="BN77" s="41" t="s">
        <v>92</v>
      </c>
      <c r="BO77" s="41" t="s">
        <v>82</v>
      </c>
      <c r="BP77" s="44" cm="1">
        <f t="array" ref="BP77">IFERROR(SUM(_xlfn._xlws.FILTER(Table_Main[Giá trị bán trước VAT],
(Table_Main[Đơn bán]=Table_DonBan[[#This Row],[Mã đơn bán]]),
)),0)</f>
        <v>93005000</v>
      </c>
      <c r="BQ77" s="46">
        <v>0</v>
      </c>
      <c r="BR77" s="44">
        <f>+Table_DonBan[[#This Row],[Tiền hàng]]-Table_DonBan[[#This Row],[Khuyễn mãi]]</f>
        <v>93005000</v>
      </c>
      <c r="BT77" s="49" t="s">
        <v>61</v>
      </c>
      <c r="BU77" s="50" t="s">
        <v>151</v>
      </c>
      <c r="BV77" s="6">
        <f xml:space="preserve">
IFERROR(VLOOKUP(Table_Main[[#This Row],[Đơn bán]],Table_DonBan[],COUNTA(Table_DonBan[[#Headers],[Mã đơn bán]:[Ngày lập]]),0),0)</f>
        <v>45488</v>
      </c>
      <c r="BW77" s="51">
        <f>IFERROR(MONTH(Table_Main[[#This Row],[Ngày lên đơn]]),0)</f>
        <v>7</v>
      </c>
      <c r="BX77" s="51" t="str">
        <f>INDEX(Table_SKU[],
MATCH(Table_Main[[#This Row],[Mã SKU]],Table_SKU[Mã Sản phẩm],0),1)</f>
        <v>Nhóm 3</v>
      </c>
      <c r="BY77" s="52" t="str">
        <f xml:space="preserve">
IFERROR(VLOOKUP(Table_Main[[#This Row],[Đơn bán]],Table_DonBan[],COUNTA(Table_DonBan[[#Headers],[Mã đơn bán]:[Mã Khách]]),0),0)</f>
        <v>KH01</v>
      </c>
      <c r="BZ77" s="52" t="str">
        <f>VLOOKUP(Table_Main[[#This Row],[Khách hàng]],Table_KhachHang[],COUNTA(Table_KhachHang[[#Headers],[Mã khách]:[Phân khúc]]),0)</f>
        <v>B2B</v>
      </c>
      <c r="CA77" s="25" t="str">
        <f xml:space="preserve">
IFERROR(VLOOKUP(Table_Main[[#This Row],[Đơn bán]],Table_DonBan[],COUNTA(Table_DonBan[[#Headers],[Mã đơn bán]:[Mã NV]]),0),0)</f>
        <v>NV02</v>
      </c>
      <c r="CB77" s="7" t="str">
        <f xml:space="preserve">
IFERROR(VLOOKUP(Table_Main[[#This Row],[Đơn bán]],Table_DonBan[],COUNTA(Table_DonBan[[#Headers],[Mã đơn bán]:[Kênh]]),0),0)</f>
        <v>SP</v>
      </c>
      <c r="CC77" s="7" t="str">
        <f>VLOOKUP(Table_Main[[#This Row],[Kênh]],Table_Kenh[],COUNTA(Table_Kenh[[#Headers],[Kênh]:[Nhóm Kênh]]),0)</f>
        <v>Sàn TMĐT</v>
      </c>
      <c r="CD77" s="53">
        <v>101</v>
      </c>
      <c r="CE77" s="7" t="str">
        <f>IFERROR(VLOOKUP(Table_Main[[#This Row],[Mã SKU]],Table_SKU[[Mã Sản phẩm]:[Giá bán]],COUNTA(Table_SKU[[#Headers],[Mã Sản phẩm]:[Đơn vị]]),0),0)</f>
        <v>Bộ</v>
      </c>
      <c r="CF77" s="7">
        <f>IFERROR(VLOOKUP(Table_Main[[#This Row],[Mã SKU]],Table_SKU[[Mã Sản phẩm]:[Giá bán]],COUNTA(Table_SKU[[#Headers],[Mã Sản phẩm]:[Giá bán]]),0),0)</f>
        <v>500000</v>
      </c>
      <c r="CG77" s="7">
        <f>Table_Main[[#This Row],[Giá bán]]*Table_Main[[#This Row],[Số lượng]]</f>
        <v>50500000</v>
      </c>
      <c r="CH77" s="60">
        <v>0</v>
      </c>
      <c r="CI77" s="7">
        <f>+Table_Main[[#This Row],[Thành tiền niêm yết]]-Table_Main[[#This Row],[Khuyễn mãi]]</f>
        <v>50500000</v>
      </c>
      <c r="CJ77" s="7" cm="1">
        <f t="array" ref="CJ77">VLOOKUP(Table_Main[[#This Row],[Đơn bán]],Table_DonBan[],COUNTA(Table_DonBan[[#Headers],[Mã đơn bán]:[Khuyễn mãi]]),0)*Table_Main[[#This Row],[Giá trị bán trước VAT]]/
SUM(_xlfn._xlws.FILTER(Table_Main[Giá trị bán trước VAT],
(Table_Main[Đơn bán]=Table_Main[[#This Row],[Đơn bán]])
))</f>
        <v>0</v>
      </c>
      <c r="CK77" s="7">
        <f>Table_Main[[#This Row],[Giá trị bán trước VAT]]-Table_Main[[#This Row],[Phân bổ khuyến mãi đơn]]</f>
        <v>50500000</v>
      </c>
      <c r="CL77"/>
      <c r="CM77"/>
    </row>
    <row r="78" spans="2:91" ht="16.5" x14ac:dyDescent="0.3">
      <c r="B78"/>
      <c r="R78"/>
      <c r="AG78"/>
      <c r="AH78"/>
      <c r="AI78"/>
      <c r="BK78" s="43" t="s">
        <v>122</v>
      </c>
      <c r="BL78" s="37">
        <v>45194</v>
      </c>
      <c r="BM78" s="41" t="s">
        <v>70</v>
      </c>
      <c r="BN78" s="41" t="s">
        <v>92</v>
      </c>
      <c r="BO78" s="41" t="s">
        <v>82</v>
      </c>
      <c r="BP78" s="44" cm="1">
        <f t="array" ref="BP78">IFERROR(SUM(_xlfn._xlws.FILTER(Table_Main[Giá trị bán trước VAT],
(Table_Main[Đơn bán]=Table_DonBan[[#This Row],[Mã đơn bán]]),
)),0)</f>
        <v>64790000</v>
      </c>
      <c r="BQ78" s="46">
        <v>0</v>
      </c>
      <c r="BR78" s="44">
        <f>+Table_DonBan[[#This Row],[Tiền hàng]]-Table_DonBan[[#This Row],[Khuyễn mãi]]</f>
        <v>64790000</v>
      </c>
      <c r="BT78" s="49" t="s">
        <v>59</v>
      </c>
      <c r="BU78" s="50" t="s">
        <v>150</v>
      </c>
      <c r="BV78" s="6">
        <f xml:space="preserve">
IFERROR(VLOOKUP(Table_Main[[#This Row],[Đơn bán]],Table_DonBan[],COUNTA(Table_DonBan[[#Headers],[Mã đơn bán]:[Ngày lập]]),0),0)</f>
        <v>45478</v>
      </c>
      <c r="BW78" s="51">
        <f>IFERROR(MONTH(Table_Main[[#This Row],[Ngày lên đơn]]),0)</f>
        <v>7</v>
      </c>
      <c r="BX78" s="51" t="str">
        <f>INDEX(Table_SKU[],
MATCH(Table_Main[[#This Row],[Mã SKU]],Table_SKU[Mã Sản phẩm],0),1)</f>
        <v>Nhóm 1</v>
      </c>
      <c r="BY78" s="52" t="str">
        <f xml:space="preserve">
IFERROR(VLOOKUP(Table_Main[[#This Row],[Đơn bán]],Table_DonBan[],COUNTA(Table_DonBan[[#Headers],[Mã đơn bán]:[Mã Khách]]),0),0)</f>
        <v>KH02</v>
      </c>
      <c r="BZ78" s="52" t="str">
        <f>VLOOKUP(Table_Main[[#This Row],[Khách hàng]],Table_KhachHang[],COUNTA(Table_KhachHang[[#Headers],[Mã khách]:[Phân khúc]]),0)</f>
        <v>B2C</v>
      </c>
      <c r="CA78" s="25" t="str">
        <f xml:space="preserve">
IFERROR(VLOOKUP(Table_Main[[#This Row],[Đơn bán]],Table_DonBan[],COUNTA(Table_DonBan[[#Headers],[Mã đơn bán]:[Mã NV]]),0),0)</f>
        <v>NV03</v>
      </c>
      <c r="CB78" s="7" t="str">
        <f xml:space="preserve">
IFERROR(VLOOKUP(Table_Main[[#This Row],[Đơn bán]],Table_DonBan[],COUNTA(Table_DonBan[[#Headers],[Mã đơn bán]:[Kênh]]),0),0)</f>
        <v>TK</v>
      </c>
      <c r="CC78" s="7" t="str">
        <f>VLOOKUP(Table_Main[[#This Row],[Kênh]],Table_Kenh[],COUNTA(Table_Kenh[[#Headers],[Kênh]:[Nhóm Kênh]]),0)</f>
        <v>Sàn TMĐT</v>
      </c>
      <c r="CD78" s="53">
        <v>198</v>
      </c>
      <c r="CE78" s="7" t="str">
        <f>IFERROR(VLOOKUP(Table_Main[[#This Row],[Mã SKU]],Table_SKU[[Mã Sản phẩm]:[Giá bán]],COUNTA(Table_SKU[[#Headers],[Mã Sản phẩm]:[Đơn vị]]),0),0)</f>
        <v>Bộ</v>
      </c>
      <c r="CF78" s="7">
        <f>IFERROR(VLOOKUP(Table_Main[[#This Row],[Mã SKU]],Table_SKU[[Mã Sản phẩm]:[Giá bán]],COUNTA(Table_SKU[[#Headers],[Mã Sản phẩm]:[Giá bán]]),0),0)</f>
        <v>200000</v>
      </c>
      <c r="CG78" s="7">
        <f>Table_Main[[#This Row],[Giá bán]]*Table_Main[[#This Row],[Số lượng]]</f>
        <v>39600000</v>
      </c>
      <c r="CH78" s="60">
        <v>0</v>
      </c>
      <c r="CI78" s="7">
        <f>+Table_Main[[#This Row],[Thành tiền niêm yết]]-Table_Main[[#This Row],[Khuyễn mãi]]</f>
        <v>39600000</v>
      </c>
      <c r="CJ78" s="7" cm="1">
        <f t="array" ref="CJ78">VLOOKUP(Table_Main[[#This Row],[Đơn bán]],Table_DonBan[],COUNTA(Table_DonBan[[#Headers],[Mã đơn bán]:[Khuyễn mãi]]),0)*Table_Main[[#This Row],[Giá trị bán trước VAT]]/
SUM(_xlfn._xlws.FILTER(Table_Main[Giá trị bán trước VAT],
(Table_Main[Đơn bán]=Table_Main[[#This Row],[Đơn bán]])
))</f>
        <v>0</v>
      </c>
      <c r="CK78" s="7">
        <f>Table_Main[[#This Row],[Giá trị bán trước VAT]]-Table_Main[[#This Row],[Phân bổ khuyến mãi đơn]]</f>
        <v>39600000</v>
      </c>
      <c r="CL78"/>
      <c r="CM78"/>
    </row>
    <row r="79" spans="2:91" ht="16.5" x14ac:dyDescent="0.3">
      <c r="B79"/>
      <c r="R79"/>
      <c r="AG79"/>
      <c r="AH79"/>
      <c r="AI79"/>
      <c r="BK79" s="43" t="s">
        <v>121</v>
      </c>
      <c r="BL79" s="37">
        <v>45184</v>
      </c>
      <c r="BM79" s="41" t="s">
        <v>66</v>
      </c>
      <c r="BN79" s="41" t="s">
        <v>92</v>
      </c>
      <c r="BO79" s="41" t="s">
        <v>83</v>
      </c>
      <c r="BP79" s="44" cm="1">
        <f t="array" ref="BP79">IFERROR(SUM(_xlfn._xlws.FILTER(Table_Main[Giá trị bán trước VAT],
(Table_Main[Đơn bán]=Table_DonBan[[#This Row],[Mã đơn bán]]),
)),0)</f>
        <v>91105000</v>
      </c>
      <c r="BQ79" s="46">
        <v>0</v>
      </c>
      <c r="BR79" s="44">
        <f>+Table_DonBan[[#This Row],[Tiền hàng]]-Table_DonBan[[#This Row],[Khuyễn mãi]]</f>
        <v>91105000</v>
      </c>
      <c r="BT79" s="49" t="s">
        <v>60</v>
      </c>
      <c r="BU79" s="50" t="s">
        <v>150</v>
      </c>
      <c r="BV79" s="6">
        <f xml:space="preserve">
IFERROR(VLOOKUP(Table_Main[[#This Row],[Đơn bán]],Table_DonBan[],COUNTA(Table_DonBan[[#Headers],[Mã đơn bán]:[Ngày lập]]),0),0)</f>
        <v>45478</v>
      </c>
      <c r="BW79" s="51">
        <f>IFERROR(MONTH(Table_Main[[#This Row],[Ngày lên đơn]]),0)</f>
        <v>7</v>
      </c>
      <c r="BX79" s="51" t="str">
        <f>INDEX(Table_SKU[],
MATCH(Table_Main[[#This Row],[Mã SKU]],Table_SKU[Mã Sản phẩm],0),1)</f>
        <v>Nhóm 2</v>
      </c>
      <c r="BY79" s="52" t="str">
        <f xml:space="preserve">
IFERROR(VLOOKUP(Table_Main[[#This Row],[Đơn bán]],Table_DonBan[],COUNTA(Table_DonBan[[#Headers],[Mã đơn bán]:[Mã Khách]]),0),0)</f>
        <v>KH02</v>
      </c>
      <c r="BZ79" s="52" t="str">
        <f>VLOOKUP(Table_Main[[#This Row],[Khách hàng]],Table_KhachHang[],COUNTA(Table_KhachHang[[#Headers],[Mã khách]:[Phân khúc]]),0)</f>
        <v>B2C</v>
      </c>
      <c r="CA79" s="25" t="str">
        <f xml:space="preserve">
IFERROR(VLOOKUP(Table_Main[[#This Row],[Đơn bán]],Table_DonBan[],COUNTA(Table_DonBan[[#Headers],[Mã đơn bán]:[Mã NV]]),0),0)</f>
        <v>NV03</v>
      </c>
      <c r="CB79" s="7" t="str">
        <f xml:space="preserve">
IFERROR(VLOOKUP(Table_Main[[#This Row],[Đơn bán]],Table_DonBan[],COUNTA(Table_DonBan[[#Headers],[Mã đơn bán]:[Kênh]]),0),0)</f>
        <v>TK</v>
      </c>
      <c r="CC79" s="7" t="str">
        <f>VLOOKUP(Table_Main[[#This Row],[Kênh]],Table_Kenh[],COUNTA(Table_Kenh[[#Headers],[Kênh]:[Nhóm Kênh]]),0)</f>
        <v>Sàn TMĐT</v>
      </c>
      <c r="CD79" s="53">
        <v>136</v>
      </c>
      <c r="CE79" s="7" t="str">
        <f>IFERROR(VLOOKUP(Table_Main[[#This Row],[Mã SKU]],Table_SKU[[Mã Sản phẩm]:[Giá bán]],COUNTA(Table_SKU[[#Headers],[Mã Sản phẩm]:[Đơn vị]]),0),0)</f>
        <v>Bộ</v>
      </c>
      <c r="CF79" s="7">
        <f>IFERROR(VLOOKUP(Table_Main[[#This Row],[Mã SKU]],Table_SKU[[Mã Sản phẩm]:[Giá bán]],COUNTA(Table_SKU[[#Headers],[Mã Sản phẩm]:[Giá bán]]),0),0)</f>
        <v>300000</v>
      </c>
      <c r="CG79" s="7">
        <f>Table_Main[[#This Row],[Giá bán]]*Table_Main[[#This Row],[Số lượng]]</f>
        <v>40800000</v>
      </c>
      <c r="CH79" s="60">
        <v>0</v>
      </c>
      <c r="CI79" s="7">
        <f>+Table_Main[[#This Row],[Thành tiền niêm yết]]-Table_Main[[#This Row],[Khuyễn mãi]]</f>
        <v>40800000</v>
      </c>
      <c r="CJ79" s="7" cm="1">
        <f t="array" ref="CJ79">VLOOKUP(Table_Main[[#This Row],[Đơn bán]],Table_DonBan[],COUNTA(Table_DonBan[[#Headers],[Mã đơn bán]:[Khuyễn mãi]]),0)*Table_Main[[#This Row],[Giá trị bán trước VAT]]/
SUM(_xlfn._xlws.FILTER(Table_Main[Giá trị bán trước VAT],
(Table_Main[Đơn bán]=Table_Main[[#This Row],[Đơn bán]])
))</f>
        <v>0</v>
      </c>
      <c r="CK79" s="7">
        <f>Table_Main[[#This Row],[Giá trị bán trước VAT]]-Table_Main[[#This Row],[Phân bổ khuyến mãi đơn]]</f>
        <v>40800000</v>
      </c>
      <c r="CL79"/>
      <c r="CM79"/>
    </row>
    <row r="80" spans="2:91" ht="16.5" x14ac:dyDescent="0.3">
      <c r="B80"/>
      <c r="R80"/>
      <c r="AG80"/>
      <c r="AH80"/>
      <c r="AI80"/>
      <c r="BK80" s="43" t="s">
        <v>120</v>
      </c>
      <c r="BL80" s="37">
        <v>45174</v>
      </c>
      <c r="BM80" s="41" t="s">
        <v>67</v>
      </c>
      <c r="BN80" s="41" t="s">
        <v>93</v>
      </c>
      <c r="BO80" s="41" t="s">
        <v>85</v>
      </c>
      <c r="BP80" s="44" cm="1">
        <f t="array" ref="BP80">IFERROR(SUM(_xlfn._xlws.FILTER(Table_Main[Giá trị bán trước VAT],
(Table_Main[Đơn bán]=Table_DonBan[[#This Row],[Mã đơn bán]]),
)),0)</f>
        <v>116690000</v>
      </c>
      <c r="BQ80" s="46">
        <v>0</v>
      </c>
      <c r="BR80" s="44">
        <f>+Table_DonBan[[#This Row],[Tiền hàng]]-Table_DonBan[[#This Row],[Khuyễn mãi]]</f>
        <v>116690000</v>
      </c>
      <c r="BT80" s="54" t="s">
        <v>61</v>
      </c>
      <c r="BU80" s="55" t="s">
        <v>150</v>
      </c>
      <c r="BV80" s="56">
        <f xml:space="preserve">
IFERROR(VLOOKUP(Table_Main[[#This Row],[Đơn bán]],Table_DonBan[],COUNTA(Table_DonBan[[#Headers],[Mã đơn bán]:[Ngày lập]]),0),0)</f>
        <v>45478</v>
      </c>
      <c r="BW80" s="51">
        <f>IFERROR(MONTH(Table_Main[[#This Row],[Ngày lên đơn]]),0)</f>
        <v>7</v>
      </c>
      <c r="BX80" s="51" t="str">
        <f>INDEX(Table_SKU[],
MATCH(Table_Main[[#This Row],[Mã SKU]],Table_SKU[Mã Sản phẩm],0),1)</f>
        <v>Nhóm 3</v>
      </c>
      <c r="BY80" s="52" t="str">
        <f xml:space="preserve">
IFERROR(VLOOKUP(Table_Main[[#This Row],[Đơn bán]],Table_DonBan[],COUNTA(Table_DonBan[[#Headers],[Mã đơn bán]:[Mã Khách]]),0),0)</f>
        <v>KH02</v>
      </c>
      <c r="BZ80" s="52" t="str">
        <f>VLOOKUP(Table_Main[[#This Row],[Khách hàng]],Table_KhachHang[],COUNTA(Table_KhachHang[[#Headers],[Mã khách]:[Phân khúc]]),0)</f>
        <v>B2C</v>
      </c>
      <c r="CA80" s="57" t="str">
        <f xml:space="preserve">
IFERROR(VLOOKUP(Table_Main[[#This Row],[Đơn bán]],Table_DonBan[],COUNTA(Table_DonBan[[#Headers],[Mã đơn bán]:[Mã NV]]),0),0)</f>
        <v>NV03</v>
      </c>
      <c r="CB80" s="58" t="str">
        <f xml:space="preserve">
IFERROR(VLOOKUP(Table_Main[[#This Row],[Đơn bán]],Table_DonBan[],COUNTA(Table_DonBan[[#Headers],[Mã đơn bán]:[Kênh]]),0),0)</f>
        <v>TK</v>
      </c>
      <c r="CC80" s="58" t="str">
        <f>VLOOKUP(Table_Main[[#This Row],[Kênh]],Table_Kenh[],COUNTA(Table_Kenh[[#Headers],[Kênh]:[Nhóm Kênh]]),0)</f>
        <v>Sàn TMĐT</v>
      </c>
      <c r="CD80" s="59">
        <v>101</v>
      </c>
      <c r="CE80" s="58" t="str">
        <f>IFERROR(VLOOKUP(Table_Main[[#This Row],[Mã SKU]],Table_SKU[[Mã Sản phẩm]:[Giá bán]],COUNTA(Table_SKU[[#Headers],[Mã Sản phẩm]:[Đơn vị]]),0),0)</f>
        <v>Bộ</v>
      </c>
      <c r="CF80" s="58">
        <f>IFERROR(VLOOKUP(Table_Main[[#This Row],[Mã SKU]],Table_SKU[[Mã Sản phẩm]:[Giá bán]],COUNTA(Table_SKU[[#Headers],[Mã Sản phẩm]:[Giá bán]]),0),0)</f>
        <v>500000</v>
      </c>
      <c r="CG80" s="58">
        <f>Table_Main[[#This Row],[Giá bán]]*Table_Main[[#This Row],[Số lượng]]</f>
        <v>50500000</v>
      </c>
      <c r="CH80" s="61">
        <v>0</v>
      </c>
      <c r="CI80" s="58">
        <f>+Table_Main[[#This Row],[Thành tiền niêm yết]]-Table_Main[[#This Row],[Khuyễn mãi]]</f>
        <v>50500000</v>
      </c>
      <c r="CJ80" s="7" cm="1">
        <f t="array" ref="CJ80">VLOOKUP(Table_Main[[#This Row],[Đơn bán]],Table_DonBan[],COUNTA(Table_DonBan[[#Headers],[Mã đơn bán]:[Khuyễn mãi]]),0)*Table_Main[[#This Row],[Giá trị bán trước VAT]]/
SUM(_xlfn._xlws.FILTER(Table_Main[Giá trị bán trước VAT],
(Table_Main[Đơn bán]=Table_Main[[#This Row],[Đơn bán]])
))</f>
        <v>0</v>
      </c>
      <c r="CK80" s="7">
        <f>Table_Main[[#This Row],[Giá trị bán trước VAT]]-Table_Main[[#This Row],[Phân bổ khuyến mãi đơn]]</f>
        <v>50500000</v>
      </c>
      <c r="CL80"/>
      <c r="CM80"/>
    </row>
    <row r="81" spans="2:91" ht="16.5" x14ac:dyDescent="0.3">
      <c r="B81"/>
      <c r="R81"/>
      <c r="AG81"/>
      <c r="AH81"/>
      <c r="AI81"/>
      <c r="BK81" s="43" t="s">
        <v>119</v>
      </c>
      <c r="BL81" s="37">
        <v>45163</v>
      </c>
      <c r="BM81" s="41" t="s">
        <v>67</v>
      </c>
      <c r="BN81" s="41" t="s">
        <v>92</v>
      </c>
      <c r="BO81" s="41" t="s">
        <v>82</v>
      </c>
      <c r="BP81" s="44" cm="1">
        <f t="array" ref="BP81">IFERROR(SUM(_xlfn._xlws.FILTER(Table_Main[Giá trị bán trước VAT],
(Table_Main[Đơn bán]=Table_DonBan[[#This Row],[Mã đơn bán]]),
)),0)</f>
        <v>89605000</v>
      </c>
      <c r="BQ81" s="46">
        <v>0</v>
      </c>
      <c r="BR81" s="44">
        <f>+Table_DonBan[[#This Row],[Tiền hàng]]-Table_DonBan[[#This Row],[Khuyễn mãi]]</f>
        <v>89605000</v>
      </c>
      <c r="BT81" s="49" t="s">
        <v>59</v>
      </c>
      <c r="BU81" s="50" t="s">
        <v>149</v>
      </c>
      <c r="BV81" s="6">
        <f xml:space="preserve">
IFERROR(VLOOKUP(Table_Main[[#This Row],[Đơn bán]],Table_DonBan[],COUNTA(Table_DonBan[[#Headers],[Mã đơn bán]:[Ngày lập]]),0),0)</f>
        <v>45468</v>
      </c>
      <c r="BW81" s="51">
        <f>IFERROR(MONTH(Table_Main[[#This Row],[Ngày lên đơn]]),0)</f>
        <v>6</v>
      </c>
      <c r="BX81" s="51" t="str">
        <f>INDEX(Table_SKU[],
MATCH(Table_Main[[#This Row],[Mã SKU]],Table_SKU[Mã Sản phẩm],0),1)</f>
        <v>Nhóm 1</v>
      </c>
      <c r="BY81" s="52" t="str">
        <f xml:space="preserve">
IFERROR(VLOOKUP(Table_Main[[#This Row],[Đơn bán]],Table_DonBan[],COUNTA(Table_DonBan[[#Headers],[Mã đơn bán]:[Mã Khách]]),0),0)</f>
        <v>KH03</v>
      </c>
      <c r="BZ81" s="52" t="str">
        <f>VLOOKUP(Table_Main[[#This Row],[Khách hàng]],Table_KhachHang[],COUNTA(Table_KhachHang[[#Headers],[Mã khách]:[Phân khúc]]),0)</f>
        <v>B2C</v>
      </c>
      <c r="CA81" s="25" t="str">
        <f xml:space="preserve">
IFERROR(VLOOKUP(Table_Main[[#This Row],[Đơn bán]],Table_DonBan[],COUNTA(Table_DonBan[[#Headers],[Mã đơn bán]:[Mã NV]]),0),0)</f>
        <v>NV02</v>
      </c>
      <c r="CB81" s="7" t="str">
        <f xml:space="preserve">
IFERROR(VLOOKUP(Table_Main[[#This Row],[Đơn bán]],Table_DonBan[],COUNTA(Table_DonBan[[#Headers],[Mã đơn bán]:[Kênh]]),0),0)</f>
        <v>ST</v>
      </c>
      <c r="CC81" s="7" t="str">
        <f>VLOOKUP(Table_Main[[#This Row],[Kênh]],Table_Kenh[],COUNTA(Table_Kenh[[#Headers],[Kênh]:[Nhóm Kênh]]),0)</f>
        <v>Offline</v>
      </c>
      <c r="CD81" s="53">
        <v>196</v>
      </c>
      <c r="CE81" s="7" t="str">
        <f>IFERROR(VLOOKUP(Table_Main[[#This Row],[Mã SKU]],Table_SKU[[Mã Sản phẩm]:[Giá bán]],COUNTA(Table_SKU[[#Headers],[Mã Sản phẩm]:[Đơn vị]]),0),0)</f>
        <v>Bộ</v>
      </c>
      <c r="CF81" s="7">
        <f>IFERROR(VLOOKUP(Table_Main[[#This Row],[Mã SKU]],Table_SKU[[Mã Sản phẩm]:[Giá bán]],COUNTA(Table_SKU[[#Headers],[Mã Sản phẩm]:[Giá bán]]),0),0)</f>
        <v>200000</v>
      </c>
      <c r="CG81" s="7">
        <f>Table_Main[[#This Row],[Giá bán]]*Table_Main[[#This Row],[Số lượng]]</f>
        <v>39200000</v>
      </c>
      <c r="CH81" s="60">
        <v>0</v>
      </c>
      <c r="CI81" s="7">
        <f>+Table_Main[[#This Row],[Thành tiền niêm yết]]-Table_Main[[#This Row],[Khuyễn mãi]]</f>
        <v>39200000</v>
      </c>
      <c r="CJ81" s="7" cm="1">
        <f t="array" ref="CJ81">VLOOKUP(Table_Main[[#This Row],[Đơn bán]],Table_DonBan[],COUNTA(Table_DonBan[[#Headers],[Mã đơn bán]:[Khuyễn mãi]]),0)*Table_Main[[#This Row],[Giá trị bán trước VAT]]/
SUM(_xlfn._xlws.FILTER(Table_Main[Giá trị bán trước VAT],
(Table_Main[Đơn bán]=Table_Main[[#This Row],[Đơn bán]])
))</f>
        <v>0</v>
      </c>
      <c r="CK81" s="7">
        <f>Table_Main[[#This Row],[Giá trị bán trước VAT]]-Table_Main[[#This Row],[Phân bổ khuyến mãi đơn]]</f>
        <v>39200000</v>
      </c>
      <c r="CL81"/>
      <c r="CM81"/>
    </row>
    <row r="82" spans="2:91" ht="16.5" x14ac:dyDescent="0.3">
      <c r="B82"/>
      <c r="R82"/>
      <c r="AG82"/>
      <c r="AH82"/>
      <c r="AI82"/>
      <c r="BK82" s="43" t="s">
        <v>118</v>
      </c>
      <c r="BL82" s="37">
        <v>45153</v>
      </c>
      <c r="BM82" s="41" t="s">
        <v>68</v>
      </c>
      <c r="BN82" s="41" t="s">
        <v>92</v>
      </c>
      <c r="BO82" s="41" t="s">
        <v>84</v>
      </c>
      <c r="BP82" s="44" cm="1">
        <f t="array" ref="BP82">IFERROR(SUM(_xlfn._xlws.FILTER(Table_Main[Giá trị bán trước VAT],
(Table_Main[Đơn bán]=Table_DonBan[[#This Row],[Mã đơn bán]]),
)),0)</f>
        <v>90280000</v>
      </c>
      <c r="BQ82" s="46">
        <v>0</v>
      </c>
      <c r="BR82" s="44">
        <f>+Table_DonBan[[#This Row],[Tiền hàng]]-Table_DonBan[[#This Row],[Khuyễn mãi]]</f>
        <v>90280000</v>
      </c>
      <c r="BT82" s="49" t="s">
        <v>60</v>
      </c>
      <c r="BU82" s="50" t="s">
        <v>149</v>
      </c>
      <c r="BV82" s="6">
        <f xml:space="preserve">
IFERROR(VLOOKUP(Table_Main[[#This Row],[Đơn bán]],Table_DonBan[],COUNTA(Table_DonBan[[#Headers],[Mã đơn bán]:[Ngày lập]]),0),0)</f>
        <v>45468</v>
      </c>
      <c r="BW82" s="51">
        <f>IFERROR(MONTH(Table_Main[[#This Row],[Ngày lên đơn]]),0)</f>
        <v>6</v>
      </c>
      <c r="BX82" s="51" t="str">
        <f>INDEX(Table_SKU[],
MATCH(Table_Main[[#This Row],[Mã SKU]],Table_SKU[Mã Sản phẩm],0),1)</f>
        <v>Nhóm 2</v>
      </c>
      <c r="BY82" s="52" t="str">
        <f xml:space="preserve">
IFERROR(VLOOKUP(Table_Main[[#This Row],[Đơn bán]],Table_DonBan[],COUNTA(Table_DonBan[[#Headers],[Mã đơn bán]:[Mã Khách]]),0),0)</f>
        <v>KH03</v>
      </c>
      <c r="BZ82" s="52" t="str">
        <f>VLOOKUP(Table_Main[[#This Row],[Khách hàng]],Table_KhachHang[],COUNTA(Table_KhachHang[[#Headers],[Mã khách]:[Phân khúc]]),0)</f>
        <v>B2C</v>
      </c>
      <c r="CA82" s="25" t="str">
        <f xml:space="preserve">
IFERROR(VLOOKUP(Table_Main[[#This Row],[Đơn bán]],Table_DonBan[],COUNTA(Table_DonBan[[#Headers],[Mã đơn bán]:[Mã NV]]),0),0)</f>
        <v>NV02</v>
      </c>
      <c r="CB82" s="7" t="str">
        <f xml:space="preserve">
IFERROR(VLOOKUP(Table_Main[[#This Row],[Đơn bán]],Table_DonBan[],COUNTA(Table_DonBan[[#Headers],[Mã đơn bán]:[Kênh]]),0),0)</f>
        <v>ST</v>
      </c>
      <c r="CC82" s="7" t="str">
        <f>VLOOKUP(Table_Main[[#This Row],[Kênh]],Table_Kenh[],COUNTA(Table_Kenh[[#Headers],[Kênh]:[Nhóm Kênh]]),0)</f>
        <v>Offline</v>
      </c>
      <c r="CD82" s="53">
        <v>139</v>
      </c>
      <c r="CE82" s="7" t="str">
        <f>IFERROR(VLOOKUP(Table_Main[[#This Row],[Mã SKU]],Table_SKU[[Mã Sản phẩm]:[Giá bán]],COUNTA(Table_SKU[[#Headers],[Mã Sản phẩm]:[Đơn vị]]),0),0)</f>
        <v>Bộ</v>
      </c>
      <c r="CF82" s="7">
        <f>IFERROR(VLOOKUP(Table_Main[[#This Row],[Mã SKU]],Table_SKU[[Mã Sản phẩm]:[Giá bán]],COUNTA(Table_SKU[[#Headers],[Mã Sản phẩm]:[Giá bán]]),0),0)</f>
        <v>300000</v>
      </c>
      <c r="CG82" s="7">
        <f>Table_Main[[#This Row],[Giá bán]]*Table_Main[[#This Row],[Số lượng]]</f>
        <v>41700000</v>
      </c>
      <c r="CH82" s="60">
        <v>0</v>
      </c>
      <c r="CI82" s="7">
        <f>+Table_Main[[#This Row],[Thành tiền niêm yết]]-Table_Main[[#This Row],[Khuyễn mãi]]</f>
        <v>41700000</v>
      </c>
      <c r="CJ82" s="7" cm="1">
        <f t="array" ref="CJ82">VLOOKUP(Table_Main[[#This Row],[Đơn bán]],Table_DonBan[],COUNTA(Table_DonBan[[#Headers],[Mã đơn bán]:[Khuyễn mãi]]),0)*Table_Main[[#This Row],[Giá trị bán trước VAT]]/
SUM(_xlfn._xlws.FILTER(Table_Main[Giá trị bán trước VAT],
(Table_Main[Đơn bán]=Table_Main[[#This Row],[Đơn bán]])
))</f>
        <v>0</v>
      </c>
      <c r="CK82" s="7">
        <f>Table_Main[[#This Row],[Giá trị bán trước VAT]]-Table_Main[[#This Row],[Phân bổ khuyến mãi đơn]]</f>
        <v>41700000</v>
      </c>
      <c r="CL82"/>
      <c r="CM82"/>
    </row>
    <row r="83" spans="2:91" ht="16.5" x14ac:dyDescent="0.3">
      <c r="B83"/>
      <c r="R83"/>
      <c r="AG83"/>
      <c r="AH83"/>
      <c r="AI83"/>
      <c r="BK83" s="43" t="s">
        <v>117</v>
      </c>
      <c r="BL83" s="37">
        <v>45143</v>
      </c>
      <c r="BM83" s="41" t="s">
        <v>69</v>
      </c>
      <c r="BN83" s="41" t="s">
        <v>92</v>
      </c>
      <c r="BO83" s="41" t="s">
        <v>84</v>
      </c>
      <c r="BP83" s="44" cm="1">
        <f t="array" ref="BP83">IFERROR(SUM(_xlfn._xlws.FILTER(Table_Main[Giá trị bán trước VAT],
(Table_Main[Đơn bán]=Table_DonBan[[#This Row],[Mã đơn bán]]),
)),0)</f>
        <v>89300000</v>
      </c>
      <c r="BQ83" s="46">
        <v>0</v>
      </c>
      <c r="BR83" s="44">
        <f>+Table_DonBan[[#This Row],[Tiền hàng]]-Table_DonBan[[#This Row],[Khuyễn mãi]]</f>
        <v>89300000</v>
      </c>
      <c r="BT83" s="49" t="s">
        <v>61</v>
      </c>
      <c r="BU83" s="50" t="s">
        <v>149</v>
      </c>
      <c r="BV83" s="6">
        <f xml:space="preserve">
IFERROR(VLOOKUP(Table_Main[[#This Row],[Đơn bán]],Table_DonBan[],COUNTA(Table_DonBan[[#Headers],[Mã đơn bán]:[Ngày lập]]),0),0)</f>
        <v>45468</v>
      </c>
      <c r="BW83" s="51">
        <f>IFERROR(MONTH(Table_Main[[#This Row],[Ngày lên đơn]]),0)</f>
        <v>6</v>
      </c>
      <c r="BX83" s="51" t="str">
        <f>INDEX(Table_SKU[],
MATCH(Table_Main[[#This Row],[Mã SKU]],Table_SKU[Mã Sản phẩm],0),1)</f>
        <v>Nhóm 3</v>
      </c>
      <c r="BY83" s="10" t="str">
        <f xml:space="preserve">
IFERROR(VLOOKUP(Table_Main[[#This Row],[Đơn bán]],Table_DonBan[],COUNTA(Table_DonBan[[#Headers],[Mã đơn bán]:[Mã Khách]]),0),0)</f>
        <v>KH03</v>
      </c>
      <c r="BZ83" s="10" t="str">
        <f>VLOOKUP(Table_Main[[#This Row],[Khách hàng]],Table_KhachHang[],COUNTA(Table_KhachHang[[#Headers],[Mã khách]:[Phân khúc]]),0)</f>
        <v>B2C</v>
      </c>
      <c r="CA83" s="25" t="str">
        <f xml:space="preserve">
IFERROR(VLOOKUP(Table_Main[[#This Row],[Đơn bán]],Table_DonBan[],COUNTA(Table_DonBan[[#Headers],[Mã đơn bán]:[Mã NV]]),0),0)</f>
        <v>NV02</v>
      </c>
      <c r="CB83" s="7" t="str">
        <f xml:space="preserve">
IFERROR(VLOOKUP(Table_Main[[#This Row],[Đơn bán]],Table_DonBan[],COUNTA(Table_DonBan[[#Headers],[Mã đơn bán]:[Kênh]]),0),0)</f>
        <v>ST</v>
      </c>
      <c r="CC83" s="7" t="str">
        <f>VLOOKUP(Table_Main[[#This Row],[Kênh]],Table_Kenh[],COUNTA(Table_Kenh[[#Headers],[Kênh]:[Nhóm Kênh]]),0)</f>
        <v>Offline</v>
      </c>
      <c r="CD83" s="53">
        <v>97</v>
      </c>
      <c r="CE83" s="7" t="str">
        <f>IFERROR(VLOOKUP(Table_Main[[#This Row],[Mã SKU]],Table_SKU[[Mã Sản phẩm]:[Giá bán]],COUNTA(Table_SKU[[#Headers],[Mã Sản phẩm]:[Đơn vị]]),0),0)</f>
        <v>Bộ</v>
      </c>
      <c r="CF83" s="7">
        <f>IFERROR(VLOOKUP(Table_Main[[#This Row],[Mã SKU]],Table_SKU[[Mã Sản phẩm]:[Giá bán]],COUNTA(Table_SKU[[#Headers],[Mã Sản phẩm]:[Giá bán]]),0),0)</f>
        <v>500000</v>
      </c>
      <c r="CG83" s="7">
        <f>Table_Main[[#This Row],[Giá bán]]*Table_Main[[#This Row],[Số lượng]]</f>
        <v>48500000</v>
      </c>
      <c r="CH83" s="60">
        <v>0</v>
      </c>
      <c r="CI83" s="7">
        <f>+Table_Main[[#This Row],[Thành tiền niêm yết]]-Table_Main[[#This Row],[Khuyễn mãi]]</f>
        <v>48500000</v>
      </c>
      <c r="CJ83" s="7" cm="1">
        <f t="array" ref="CJ83">VLOOKUP(Table_Main[[#This Row],[Đơn bán]],Table_DonBan[],COUNTA(Table_DonBan[[#Headers],[Mã đơn bán]:[Khuyễn mãi]]),0)*Table_Main[[#This Row],[Giá trị bán trước VAT]]/
SUM(_xlfn._xlws.FILTER(Table_Main[Giá trị bán trước VAT],
(Table_Main[Đơn bán]=Table_Main[[#This Row],[Đơn bán]])
))</f>
        <v>0</v>
      </c>
      <c r="CK83" s="7">
        <f>Table_Main[[#This Row],[Giá trị bán trước VAT]]-Table_Main[[#This Row],[Phân bổ khuyến mãi đơn]]</f>
        <v>48500000</v>
      </c>
      <c r="CL83"/>
      <c r="CM83"/>
    </row>
    <row r="84" spans="2:91" ht="16.5" x14ac:dyDescent="0.3">
      <c r="B84"/>
      <c r="R84"/>
      <c r="AG84"/>
      <c r="AH84"/>
      <c r="AI84"/>
      <c r="BK84" s="43" t="s">
        <v>116</v>
      </c>
      <c r="BL84" s="37">
        <v>45132</v>
      </c>
      <c r="BM84" s="41" t="s">
        <v>70</v>
      </c>
      <c r="BN84" s="41" t="s">
        <v>93</v>
      </c>
      <c r="BO84" s="41" t="s">
        <v>82</v>
      </c>
      <c r="BP84" s="44" cm="1">
        <f t="array" ref="BP84">IFERROR(SUM(_xlfn._xlws.FILTER(Table_Main[Giá trị bán trước VAT],
(Table_Main[Đơn bán]=Table_DonBan[[#This Row],[Mã đơn bán]]),
)),0)</f>
        <v>94900000</v>
      </c>
      <c r="BQ84" s="46">
        <v>0</v>
      </c>
      <c r="BR84" s="44">
        <f>+Table_DonBan[[#This Row],[Tiền hàng]]-Table_DonBan[[#This Row],[Khuyễn mãi]]</f>
        <v>94900000</v>
      </c>
      <c r="BT84" s="49" t="s">
        <v>59</v>
      </c>
      <c r="BU84" s="50" t="s">
        <v>148</v>
      </c>
      <c r="BV84" s="6">
        <f xml:space="preserve">
IFERROR(VLOOKUP(Table_Main[[#This Row],[Đơn bán]],Table_DonBan[],COUNTA(Table_DonBan[[#Headers],[Mã đơn bán]:[Ngày lập]]),0),0)</f>
        <v>45458</v>
      </c>
      <c r="BW84" s="51">
        <f>IFERROR(MONTH(Table_Main[[#This Row],[Ngày lên đơn]]),0)</f>
        <v>6</v>
      </c>
      <c r="BX84" s="51" t="str">
        <f>INDEX(Table_SKU[],
MATCH(Table_Main[[#This Row],[Mã SKU]],Table_SKU[Mã Sản phẩm],0),1)</f>
        <v>Nhóm 1</v>
      </c>
      <c r="BY84" s="52" t="str">
        <f xml:space="preserve">
IFERROR(VLOOKUP(Table_Main[[#This Row],[Đơn bán]],Table_DonBan[],COUNTA(Table_DonBan[[#Headers],[Mã đơn bán]:[Mã Khách]]),0),0)</f>
        <v>KH04</v>
      </c>
      <c r="BZ84" s="52" t="str">
        <f>VLOOKUP(Table_Main[[#This Row],[Khách hàng]],Table_KhachHang[],COUNTA(Table_KhachHang[[#Headers],[Mã khách]:[Phân khúc]]),0)</f>
        <v>B2B</v>
      </c>
      <c r="CA84" s="25" t="str">
        <f xml:space="preserve">
IFERROR(VLOOKUP(Table_Main[[#This Row],[Đơn bán]],Table_DonBan[],COUNTA(Table_DonBan[[#Headers],[Mã đơn bán]:[Mã NV]]),0),0)</f>
        <v>NV02</v>
      </c>
      <c r="CB84" s="7" t="str">
        <f xml:space="preserve">
IFERROR(VLOOKUP(Table_Main[[#This Row],[Đơn bán]],Table_DonBan[],COUNTA(Table_DonBan[[#Headers],[Mã đơn bán]:[Kênh]]),0),0)</f>
        <v>ST</v>
      </c>
      <c r="CC84" s="7" t="str">
        <f>VLOOKUP(Table_Main[[#This Row],[Kênh]],Table_Kenh[],COUNTA(Table_Kenh[[#Headers],[Kênh]:[Nhóm Kênh]]),0)</f>
        <v>Offline</v>
      </c>
      <c r="CD84" s="53">
        <v>187</v>
      </c>
      <c r="CE84" s="7" t="str">
        <f>IFERROR(VLOOKUP(Table_Main[[#This Row],[Mã SKU]],Table_SKU[[Mã Sản phẩm]:[Giá bán]],COUNTA(Table_SKU[[#Headers],[Mã Sản phẩm]:[Đơn vị]]),0),0)</f>
        <v>Bộ</v>
      </c>
      <c r="CF84" s="7">
        <f>IFERROR(VLOOKUP(Table_Main[[#This Row],[Mã SKU]],Table_SKU[[Mã Sản phẩm]:[Giá bán]],COUNTA(Table_SKU[[#Headers],[Mã Sản phẩm]:[Giá bán]]),0),0)</f>
        <v>200000</v>
      </c>
      <c r="CG84" s="7">
        <f>Table_Main[[#This Row],[Giá bán]]*Table_Main[[#This Row],[Số lượng]]</f>
        <v>37400000</v>
      </c>
      <c r="CH84" s="60">
        <v>0</v>
      </c>
      <c r="CI84" s="7">
        <f>+Table_Main[[#This Row],[Thành tiền niêm yết]]-Table_Main[[#This Row],[Khuyễn mãi]]</f>
        <v>37400000</v>
      </c>
      <c r="CJ84" s="7" cm="1">
        <f t="array" ref="CJ84">VLOOKUP(Table_Main[[#This Row],[Đơn bán]],Table_DonBan[],COUNTA(Table_DonBan[[#Headers],[Mã đơn bán]:[Khuyễn mãi]]),0)*Table_Main[[#This Row],[Giá trị bán trước VAT]]/
SUM(_xlfn._xlws.FILTER(Table_Main[Giá trị bán trước VAT],
(Table_Main[Đơn bán]=Table_Main[[#This Row],[Đơn bán]])
))</f>
        <v>0</v>
      </c>
      <c r="CK84" s="7">
        <f>Table_Main[[#This Row],[Giá trị bán trước VAT]]-Table_Main[[#This Row],[Phân bổ khuyến mãi đơn]]</f>
        <v>37400000</v>
      </c>
      <c r="CL84"/>
      <c r="CM84"/>
    </row>
    <row r="85" spans="2:91" ht="16.5" x14ac:dyDescent="0.3">
      <c r="B85"/>
      <c r="R85"/>
      <c r="AG85"/>
      <c r="AH85"/>
      <c r="AI85"/>
      <c r="BK85" s="43" t="s">
        <v>115</v>
      </c>
      <c r="BL85" s="37">
        <v>45122</v>
      </c>
      <c r="BM85" s="41" t="s">
        <v>68</v>
      </c>
      <c r="BN85" s="41" t="s">
        <v>92</v>
      </c>
      <c r="BO85" s="41" t="s">
        <v>86</v>
      </c>
      <c r="BP85" s="44" cm="1">
        <f t="array" ref="BP85">IFERROR(SUM(_xlfn._xlws.FILTER(Table_Main[Giá trị bán trước VAT],
(Table_Main[Đơn bán]=Table_DonBan[[#This Row],[Mã đơn bán]]),
)),0)</f>
        <v>92700000</v>
      </c>
      <c r="BQ85" s="46">
        <v>0</v>
      </c>
      <c r="BR85" s="44">
        <f>+Table_DonBan[[#This Row],[Tiền hàng]]-Table_DonBan[[#This Row],[Khuyễn mãi]]</f>
        <v>92700000</v>
      </c>
      <c r="BT85" s="49" t="s">
        <v>60</v>
      </c>
      <c r="BU85" s="50" t="s">
        <v>148</v>
      </c>
      <c r="BV85" s="6">
        <f xml:space="preserve">
IFERROR(VLOOKUP(Table_Main[[#This Row],[Đơn bán]],Table_DonBan[],COUNTA(Table_DonBan[[#Headers],[Mã đơn bán]:[Ngày lập]]),0),0)</f>
        <v>45458</v>
      </c>
      <c r="BW85" s="51">
        <f>IFERROR(MONTH(Table_Main[[#This Row],[Ngày lên đơn]]),0)</f>
        <v>6</v>
      </c>
      <c r="BX85" s="51" t="str">
        <f>INDEX(Table_SKU[],
MATCH(Table_Main[[#This Row],[Mã SKU]],Table_SKU[Mã Sản phẩm],0),1)</f>
        <v>Nhóm 2</v>
      </c>
      <c r="BY85" s="52" t="str">
        <f xml:space="preserve">
IFERROR(VLOOKUP(Table_Main[[#This Row],[Đơn bán]],Table_DonBan[],COUNTA(Table_DonBan[[#Headers],[Mã đơn bán]:[Mã Khách]]),0),0)</f>
        <v>KH04</v>
      </c>
      <c r="BZ85" s="52" t="str">
        <f>VLOOKUP(Table_Main[[#This Row],[Khách hàng]],Table_KhachHang[],COUNTA(Table_KhachHang[[#Headers],[Mã khách]:[Phân khúc]]),0)</f>
        <v>B2B</v>
      </c>
      <c r="CA85" s="25" t="str">
        <f xml:space="preserve">
IFERROR(VLOOKUP(Table_Main[[#This Row],[Đơn bán]],Table_DonBan[],COUNTA(Table_DonBan[[#Headers],[Mã đơn bán]:[Mã NV]]),0),0)</f>
        <v>NV02</v>
      </c>
      <c r="CB85" s="7" t="str">
        <f xml:space="preserve">
IFERROR(VLOOKUP(Table_Main[[#This Row],[Đơn bán]],Table_DonBan[],COUNTA(Table_DonBan[[#Headers],[Mã đơn bán]:[Kênh]]),0),0)</f>
        <v>ST</v>
      </c>
      <c r="CC85" s="7" t="str">
        <f>VLOOKUP(Table_Main[[#This Row],[Kênh]],Table_Kenh[],COUNTA(Table_Kenh[[#Headers],[Kênh]:[Nhóm Kênh]]),0)</f>
        <v>Offline</v>
      </c>
      <c r="CD85" s="53">
        <v>142</v>
      </c>
      <c r="CE85" s="7" t="str">
        <f>IFERROR(VLOOKUP(Table_Main[[#This Row],[Mã SKU]],Table_SKU[[Mã Sản phẩm]:[Giá bán]],COUNTA(Table_SKU[[#Headers],[Mã Sản phẩm]:[Đơn vị]]),0),0)</f>
        <v>Bộ</v>
      </c>
      <c r="CF85" s="7">
        <f>IFERROR(VLOOKUP(Table_Main[[#This Row],[Mã SKU]],Table_SKU[[Mã Sản phẩm]:[Giá bán]],COUNTA(Table_SKU[[#Headers],[Mã Sản phẩm]:[Giá bán]]),0),0)</f>
        <v>300000</v>
      </c>
      <c r="CG85" s="7">
        <f>Table_Main[[#This Row],[Giá bán]]*Table_Main[[#This Row],[Số lượng]]</f>
        <v>42600000</v>
      </c>
      <c r="CH85" s="60">
        <v>0</v>
      </c>
      <c r="CI85" s="7">
        <f>+Table_Main[[#This Row],[Thành tiền niêm yết]]-Table_Main[[#This Row],[Khuyễn mãi]]</f>
        <v>42600000</v>
      </c>
      <c r="CJ85" s="7" cm="1">
        <f t="array" ref="CJ85">VLOOKUP(Table_Main[[#This Row],[Đơn bán]],Table_DonBan[],COUNTA(Table_DonBan[[#Headers],[Mã đơn bán]:[Khuyễn mãi]]),0)*Table_Main[[#This Row],[Giá trị bán trước VAT]]/
SUM(_xlfn._xlws.FILTER(Table_Main[Giá trị bán trước VAT],
(Table_Main[Đơn bán]=Table_Main[[#This Row],[Đơn bán]])
))</f>
        <v>0</v>
      </c>
      <c r="CK85" s="7">
        <f>Table_Main[[#This Row],[Giá trị bán trước VAT]]-Table_Main[[#This Row],[Phân bổ khuyến mãi đơn]]</f>
        <v>42600000</v>
      </c>
      <c r="CL85"/>
      <c r="CM85"/>
    </row>
    <row r="86" spans="2:91" ht="16.5" x14ac:dyDescent="0.3">
      <c r="B86"/>
      <c r="R86"/>
      <c r="AG86"/>
      <c r="AH86"/>
      <c r="AI86"/>
      <c r="BK86" s="43" t="s">
        <v>114</v>
      </c>
      <c r="BL86" s="37">
        <v>45112</v>
      </c>
      <c r="BM86" s="41" t="s">
        <v>68</v>
      </c>
      <c r="BN86" s="41" t="s">
        <v>93</v>
      </c>
      <c r="BO86" s="41" t="s">
        <v>82</v>
      </c>
      <c r="BP86" s="44" cm="1">
        <f t="array" ref="BP86">IFERROR(SUM(_xlfn._xlws.FILTER(Table_Main[Giá trị bán trước VAT],
(Table_Main[Đơn bán]=Table_DonBan[[#This Row],[Mã đơn bán]]),
)),0)</f>
        <v>92600000</v>
      </c>
      <c r="BQ86" s="46">
        <v>0</v>
      </c>
      <c r="BR86" s="44">
        <f>+Table_DonBan[[#This Row],[Tiền hàng]]-Table_DonBan[[#This Row],[Khuyễn mãi]]</f>
        <v>92600000</v>
      </c>
      <c r="BT86" s="49" t="s">
        <v>61</v>
      </c>
      <c r="BU86" s="50" t="s">
        <v>148</v>
      </c>
      <c r="BV86" s="6">
        <f xml:space="preserve">
IFERROR(VLOOKUP(Table_Main[[#This Row],[Đơn bán]],Table_DonBan[],COUNTA(Table_DonBan[[#Headers],[Mã đơn bán]:[Ngày lập]]),0),0)</f>
        <v>45458</v>
      </c>
      <c r="BW86" s="51">
        <f>IFERROR(MONTH(Table_Main[[#This Row],[Ngày lên đơn]]),0)</f>
        <v>6</v>
      </c>
      <c r="BX86" s="51" t="str">
        <f>INDEX(Table_SKU[],
MATCH(Table_Main[[#This Row],[Mã SKU]],Table_SKU[Mã Sản phẩm],0),1)</f>
        <v>Nhóm 3</v>
      </c>
      <c r="BY86" s="52" t="str">
        <f xml:space="preserve">
IFERROR(VLOOKUP(Table_Main[[#This Row],[Đơn bán]],Table_DonBan[],COUNTA(Table_DonBan[[#Headers],[Mã đơn bán]:[Mã Khách]]),0),0)</f>
        <v>KH04</v>
      </c>
      <c r="BZ86" s="52" t="str">
        <f>VLOOKUP(Table_Main[[#This Row],[Khách hàng]],Table_KhachHang[],COUNTA(Table_KhachHang[[#Headers],[Mã khách]:[Phân khúc]]),0)</f>
        <v>B2B</v>
      </c>
      <c r="CA86" s="25" t="str">
        <f xml:space="preserve">
IFERROR(VLOOKUP(Table_Main[[#This Row],[Đơn bán]],Table_DonBan[],COUNTA(Table_DonBan[[#Headers],[Mã đơn bán]:[Mã NV]]),0),0)</f>
        <v>NV02</v>
      </c>
      <c r="CB86" s="7" t="str">
        <f xml:space="preserve">
IFERROR(VLOOKUP(Table_Main[[#This Row],[Đơn bán]],Table_DonBan[],COUNTA(Table_DonBan[[#Headers],[Mã đơn bán]:[Kênh]]),0),0)</f>
        <v>ST</v>
      </c>
      <c r="CC86" s="7" t="str">
        <f>VLOOKUP(Table_Main[[#This Row],[Kênh]],Table_Kenh[],COUNTA(Table_Kenh[[#Headers],[Kênh]:[Nhóm Kênh]]),0)</f>
        <v>Offline</v>
      </c>
      <c r="CD86" s="53">
        <v>95</v>
      </c>
      <c r="CE86" s="7" t="str">
        <f>IFERROR(VLOOKUP(Table_Main[[#This Row],[Mã SKU]],Table_SKU[[Mã Sản phẩm]:[Giá bán]],COUNTA(Table_SKU[[#Headers],[Mã Sản phẩm]:[Đơn vị]]),0),0)</f>
        <v>Bộ</v>
      </c>
      <c r="CF86" s="7">
        <f>IFERROR(VLOOKUP(Table_Main[[#This Row],[Mã SKU]],Table_SKU[[Mã Sản phẩm]:[Giá bán]],COUNTA(Table_SKU[[#Headers],[Mã Sản phẩm]:[Giá bán]]),0),0)</f>
        <v>500000</v>
      </c>
      <c r="CG86" s="7">
        <f>Table_Main[[#This Row],[Giá bán]]*Table_Main[[#This Row],[Số lượng]]</f>
        <v>47500000</v>
      </c>
      <c r="CH86" s="60">
        <v>0</v>
      </c>
      <c r="CI86" s="7">
        <f>+Table_Main[[#This Row],[Thành tiền niêm yết]]-Table_Main[[#This Row],[Khuyễn mãi]]</f>
        <v>47500000</v>
      </c>
      <c r="CJ86" s="7" cm="1">
        <f t="array" ref="CJ86">VLOOKUP(Table_Main[[#This Row],[Đơn bán]],Table_DonBan[],COUNTA(Table_DonBan[[#Headers],[Mã đơn bán]:[Khuyễn mãi]]),0)*Table_Main[[#This Row],[Giá trị bán trước VAT]]/
SUM(_xlfn._xlws.FILTER(Table_Main[Giá trị bán trước VAT],
(Table_Main[Đơn bán]=Table_Main[[#This Row],[Đơn bán]])
))</f>
        <v>0</v>
      </c>
      <c r="CK86" s="7">
        <f>Table_Main[[#This Row],[Giá trị bán trước VAT]]-Table_Main[[#This Row],[Phân bổ khuyến mãi đơn]]</f>
        <v>47500000</v>
      </c>
      <c r="CL86"/>
      <c r="CM86"/>
    </row>
    <row r="87" spans="2:91" ht="16.5" x14ac:dyDescent="0.3">
      <c r="B87"/>
      <c r="R87"/>
      <c r="AG87"/>
      <c r="AH87"/>
      <c r="AI87"/>
      <c r="BK87" s="43" t="s">
        <v>113</v>
      </c>
      <c r="BL87" s="37">
        <v>45102</v>
      </c>
      <c r="BM87" s="41" t="s">
        <v>66</v>
      </c>
      <c r="BN87" s="41" t="s">
        <v>92</v>
      </c>
      <c r="BO87" s="41" t="s">
        <v>83</v>
      </c>
      <c r="BP87" s="44" cm="1">
        <f t="array" ref="BP87">IFERROR(SUM(_xlfn._xlws.FILTER(Table_Main[Giá trị bán trước VAT],
(Table_Main[Đơn bán]=Table_DonBan[[#This Row],[Mã đơn bán]]),
)),0)</f>
        <v>89500000</v>
      </c>
      <c r="BQ87" s="46">
        <v>0</v>
      </c>
      <c r="BR87" s="44">
        <f>+Table_DonBan[[#This Row],[Tiền hàng]]-Table_DonBan[[#This Row],[Khuyễn mãi]]</f>
        <v>89500000</v>
      </c>
      <c r="BT87" s="49" t="s">
        <v>59</v>
      </c>
      <c r="BU87" s="50" t="s">
        <v>147</v>
      </c>
      <c r="BV87" s="6">
        <f xml:space="preserve">
IFERROR(VLOOKUP(Table_Main[[#This Row],[Đơn bán]],Table_DonBan[],COUNTA(Table_DonBan[[#Headers],[Mã đơn bán]:[Ngày lập]]),0),0)</f>
        <v>45448</v>
      </c>
      <c r="BW87" s="51">
        <f>IFERROR(MONTH(Table_Main[[#This Row],[Ngày lên đơn]]),0)</f>
        <v>6</v>
      </c>
      <c r="BX87" s="51" t="str">
        <f>INDEX(Table_SKU[],
MATCH(Table_Main[[#This Row],[Mã SKU]],Table_SKU[Mã Sản phẩm],0),1)</f>
        <v>Nhóm 1</v>
      </c>
      <c r="BY87" s="52" t="str">
        <f xml:space="preserve">
IFERROR(VLOOKUP(Table_Main[[#This Row],[Đơn bán]],Table_DonBan[],COUNTA(Table_DonBan[[#Headers],[Mã đơn bán]:[Mã Khách]]),0),0)</f>
        <v>KH02</v>
      </c>
      <c r="BZ87" s="52" t="str">
        <f>VLOOKUP(Table_Main[[#This Row],[Khách hàng]],Table_KhachHang[],COUNTA(Table_KhachHang[[#Headers],[Mã khách]:[Phân khúc]]),0)</f>
        <v>B2C</v>
      </c>
      <c r="CA87" s="25" t="str">
        <f xml:space="preserve">
IFERROR(VLOOKUP(Table_Main[[#This Row],[Đơn bán]],Table_DonBan[],COUNTA(Table_DonBan[[#Headers],[Mã đơn bán]:[Mã NV]]),0),0)</f>
        <v>NV02</v>
      </c>
      <c r="CB87" s="7" t="str">
        <f xml:space="preserve">
IFERROR(VLOOKUP(Table_Main[[#This Row],[Đơn bán]],Table_DonBan[],COUNTA(Table_DonBan[[#Headers],[Mã đơn bán]:[Kênh]]),0),0)</f>
        <v>FB</v>
      </c>
      <c r="CC87" s="7" t="str">
        <f>VLOOKUP(Table_Main[[#This Row],[Kênh]],Table_Kenh[],COUNTA(Table_Kenh[[#Headers],[Kênh]:[Nhóm Kênh]]),0)</f>
        <v>Mạng xã hội</v>
      </c>
      <c r="CD87" s="53">
        <v>189</v>
      </c>
      <c r="CE87" s="7" t="str">
        <f>IFERROR(VLOOKUP(Table_Main[[#This Row],[Mã SKU]],Table_SKU[[Mã Sản phẩm]:[Giá bán]],COUNTA(Table_SKU[[#Headers],[Mã Sản phẩm]:[Đơn vị]]),0),0)</f>
        <v>Bộ</v>
      </c>
      <c r="CF87" s="7">
        <f>IFERROR(VLOOKUP(Table_Main[[#This Row],[Mã SKU]],Table_SKU[[Mã Sản phẩm]:[Giá bán]],COUNTA(Table_SKU[[#Headers],[Mã Sản phẩm]:[Giá bán]]),0),0)</f>
        <v>200000</v>
      </c>
      <c r="CG87" s="7">
        <f>Table_Main[[#This Row],[Giá bán]]*Table_Main[[#This Row],[Số lượng]]</f>
        <v>37800000</v>
      </c>
      <c r="CH87" s="60">
        <v>0</v>
      </c>
      <c r="CI87" s="7">
        <f>+Table_Main[[#This Row],[Thành tiền niêm yết]]-Table_Main[[#This Row],[Khuyễn mãi]]</f>
        <v>37800000</v>
      </c>
      <c r="CJ87" s="7" cm="1">
        <f t="array" ref="CJ87">VLOOKUP(Table_Main[[#This Row],[Đơn bán]],Table_DonBan[],COUNTA(Table_DonBan[[#Headers],[Mã đơn bán]:[Khuyễn mãi]]),0)*Table_Main[[#This Row],[Giá trị bán trước VAT]]/
SUM(_xlfn._xlws.FILTER(Table_Main[Giá trị bán trước VAT],
(Table_Main[Đơn bán]=Table_Main[[#This Row],[Đơn bán]])
))</f>
        <v>0</v>
      </c>
      <c r="CK87" s="7">
        <f>Table_Main[[#This Row],[Giá trị bán trước VAT]]-Table_Main[[#This Row],[Phân bổ khuyến mãi đơn]]</f>
        <v>37800000</v>
      </c>
      <c r="CL87"/>
      <c r="CM87"/>
    </row>
    <row r="88" spans="2:91" ht="16.5" x14ac:dyDescent="0.3">
      <c r="B88"/>
      <c r="R88"/>
      <c r="AG88"/>
      <c r="AH88"/>
      <c r="AI88"/>
      <c r="BK88" s="43" t="s">
        <v>112</v>
      </c>
      <c r="BL88" s="37">
        <v>45092</v>
      </c>
      <c r="BM88" s="41" t="s">
        <v>67</v>
      </c>
      <c r="BN88" s="41" t="s">
        <v>92</v>
      </c>
      <c r="BO88" s="41" t="s">
        <v>85</v>
      </c>
      <c r="BP88" s="44" cm="1">
        <f t="array" ref="BP88">IFERROR(SUM(_xlfn._xlws.FILTER(Table_Main[Giá trị bán trước VAT],
(Table_Main[Đơn bán]=Table_DonBan[[#This Row],[Mã đơn bán]]),
)),0)</f>
        <v>87305000</v>
      </c>
      <c r="BQ88" s="46">
        <v>0</v>
      </c>
      <c r="BR88" s="44">
        <f>+Table_DonBan[[#This Row],[Tiền hàng]]-Table_DonBan[[#This Row],[Khuyễn mãi]]</f>
        <v>87305000</v>
      </c>
      <c r="BT88" s="49" t="s">
        <v>60</v>
      </c>
      <c r="BU88" s="50" t="s">
        <v>147</v>
      </c>
      <c r="BV88" s="6">
        <f xml:space="preserve">
IFERROR(VLOOKUP(Table_Main[[#This Row],[Đơn bán]],Table_DonBan[],COUNTA(Table_DonBan[[#Headers],[Mã đơn bán]:[Ngày lập]]),0),0)</f>
        <v>45448</v>
      </c>
      <c r="BW88" s="51">
        <f>IFERROR(MONTH(Table_Main[[#This Row],[Ngày lên đơn]]),0)</f>
        <v>6</v>
      </c>
      <c r="BX88" s="51" t="str">
        <f>INDEX(Table_SKU[],
MATCH(Table_Main[[#This Row],[Mã SKU]],Table_SKU[Mã Sản phẩm],0),1)</f>
        <v>Nhóm 2</v>
      </c>
      <c r="BY88" s="52" t="str">
        <f xml:space="preserve">
IFERROR(VLOOKUP(Table_Main[[#This Row],[Đơn bán]],Table_DonBan[],COUNTA(Table_DonBan[[#Headers],[Mã đơn bán]:[Mã Khách]]),0),0)</f>
        <v>KH02</v>
      </c>
      <c r="BZ88" s="52" t="str">
        <f>VLOOKUP(Table_Main[[#This Row],[Khách hàng]],Table_KhachHang[],COUNTA(Table_KhachHang[[#Headers],[Mã khách]:[Phân khúc]]),0)</f>
        <v>B2C</v>
      </c>
      <c r="CA88" s="25" t="str">
        <f xml:space="preserve">
IFERROR(VLOOKUP(Table_Main[[#This Row],[Đơn bán]],Table_DonBan[],COUNTA(Table_DonBan[[#Headers],[Mã đơn bán]:[Mã NV]]),0),0)</f>
        <v>NV02</v>
      </c>
      <c r="CB88" s="7" t="str">
        <f xml:space="preserve">
IFERROR(VLOOKUP(Table_Main[[#This Row],[Đơn bán]],Table_DonBan[],COUNTA(Table_DonBan[[#Headers],[Mã đơn bán]:[Kênh]]),0),0)</f>
        <v>FB</v>
      </c>
      <c r="CC88" s="7" t="str">
        <f>VLOOKUP(Table_Main[[#This Row],[Kênh]],Table_Kenh[],COUNTA(Table_Kenh[[#Headers],[Kênh]:[Nhóm Kênh]]),0)</f>
        <v>Mạng xã hội</v>
      </c>
      <c r="CD88" s="53">
        <v>138</v>
      </c>
      <c r="CE88" s="7" t="str">
        <f>IFERROR(VLOOKUP(Table_Main[[#This Row],[Mã SKU]],Table_SKU[[Mã Sản phẩm]:[Giá bán]],COUNTA(Table_SKU[[#Headers],[Mã Sản phẩm]:[Đơn vị]]),0),0)</f>
        <v>Bộ</v>
      </c>
      <c r="CF88" s="7">
        <f>IFERROR(VLOOKUP(Table_Main[[#This Row],[Mã SKU]],Table_SKU[[Mã Sản phẩm]:[Giá bán]],COUNTA(Table_SKU[[#Headers],[Mã Sản phẩm]:[Giá bán]]),0),0)</f>
        <v>300000</v>
      </c>
      <c r="CG88" s="7">
        <f>Table_Main[[#This Row],[Giá bán]]*Table_Main[[#This Row],[Số lượng]]</f>
        <v>41400000</v>
      </c>
      <c r="CH88" s="60">
        <v>0</v>
      </c>
      <c r="CI88" s="7">
        <f>+Table_Main[[#This Row],[Thành tiền niêm yết]]-Table_Main[[#This Row],[Khuyễn mãi]]</f>
        <v>41400000</v>
      </c>
      <c r="CJ88" s="7" cm="1">
        <f t="array" ref="CJ88">VLOOKUP(Table_Main[[#This Row],[Đơn bán]],Table_DonBan[],COUNTA(Table_DonBan[[#Headers],[Mã đơn bán]:[Khuyễn mãi]]),0)*Table_Main[[#This Row],[Giá trị bán trước VAT]]/
SUM(_xlfn._xlws.FILTER(Table_Main[Giá trị bán trước VAT],
(Table_Main[Đơn bán]=Table_Main[[#This Row],[Đơn bán]])
))</f>
        <v>0</v>
      </c>
      <c r="CK88" s="7">
        <f>Table_Main[[#This Row],[Giá trị bán trước VAT]]-Table_Main[[#This Row],[Phân bổ khuyến mãi đơn]]</f>
        <v>41400000</v>
      </c>
      <c r="CL88"/>
      <c r="CM88"/>
    </row>
    <row r="89" spans="2:91" ht="16.5" x14ac:dyDescent="0.3">
      <c r="B89"/>
      <c r="R89"/>
      <c r="AG89"/>
      <c r="AH89"/>
      <c r="AI89"/>
      <c r="BK89" s="43" t="s">
        <v>111</v>
      </c>
      <c r="BL89" s="37">
        <v>45082</v>
      </c>
      <c r="BM89" s="41" t="s">
        <v>67</v>
      </c>
      <c r="BN89" s="41" t="s">
        <v>92</v>
      </c>
      <c r="BO89" s="41" t="s">
        <v>87</v>
      </c>
      <c r="BP89" s="44" cm="1">
        <f t="array" ref="BP89">IFERROR(SUM(_xlfn._xlws.FILTER(Table_Main[Giá trị bán trước VAT],
(Table_Main[Đơn bán]=Table_DonBan[[#This Row],[Mã đơn bán]]),
)),0)</f>
        <v>84540000</v>
      </c>
      <c r="BQ89" s="46">
        <v>0</v>
      </c>
      <c r="BR89" s="44">
        <f>+Table_DonBan[[#This Row],[Tiền hàng]]-Table_DonBan[[#This Row],[Khuyễn mãi]]</f>
        <v>84540000</v>
      </c>
      <c r="BT89" s="54" t="s">
        <v>61</v>
      </c>
      <c r="BU89" s="55" t="s">
        <v>147</v>
      </c>
      <c r="BV89" s="56">
        <f xml:space="preserve">
IFERROR(VLOOKUP(Table_Main[[#This Row],[Đơn bán]],Table_DonBan[],COUNTA(Table_DonBan[[#Headers],[Mã đơn bán]:[Ngày lập]]),0),0)</f>
        <v>45448</v>
      </c>
      <c r="BW89" s="51">
        <f>IFERROR(MONTH(Table_Main[[#This Row],[Ngày lên đơn]]),0)</f>
        <v>6</v>
      </c>
      <c r="BX89" s="51" t="str">
        <f>INDEX(Table_SKU[],
MATCH(Table_Main[[#This Row],[Mã SKU]],Table_SKU[Mã Sản phẩm],0),1)</f>
        <v>Nhóm 3</v>
      </c>
      <c r="BY89" s="52" t="str">
        <f xml:space="preserve">
IFERROR(VLOOKUP(Table_Main[[#This Row],[Đơn bán]],Table_DonBan[],COUNTA(Table_DonBan[[#Headers],[Mã đơn bán]:[Mã Khách]]),0),0)</f>
        <v>KH02</v>
      </c>
      <c r="BZ89" s="52" t="str">
        <f>VLOOKUP(Table_Main[[#This Row],[Khách hàng]],Table_KhachHang[],COUNTA(Table_KhachHang[[#Headers],[Mã khách]:[Phân khúc]]),0)</f>
        <v>B2C</v>
      </c>
      <c r="CA89" s="57" t="str">
        <f xml:space="preserve">
IFERROR(VLOOKUP(Table_Main[[#This Row],[Đơn bán]],Table_DonBan[],COUNTA(Table_DonBan[[#Headers],[Mã đơn bán]:[Mã NV]]),0),0)</f>
        <v>NV02</v>
      </c>
      <c r="CB89" s="58" t="str">
        <f xml:space="preserve">
IFERROR(VLOOKUP(Table_Main[[#This Row],[Đơn bán]],Table_DonBan[],COUNTA(Table_DonBan[[#Headers],[Mã đơn bán]:[Kênh]]),0),0)</f>
        <v>FB</v>
      </c>
      <c r="CC89" s="58" t="str">
        <f>VLOOKUP(Table_Main[[#This Row],[Kênh]],Table_Kenh[],COUNTA(Table_Kenh[[#Headers],[Kênh]:[Nhóm Kênh]]),0)</f>
        <v>Mạng xã hội</v>
      </c>
      <c r="CD89" s="59">
        <v>97</v>
      </c>
      <c r="CE89" s="58" t="str">
        <f>IFERROR(VLOOKUP(Table_Main[[#This Row],[Mã SKU]],Table_SKU[[Mã Sản phẩm]:[Giá bán]],COUNTA(Table_SKU[[#Headers],[Mã Sản phẩm]:[Đơn vị]]),0),0)</f>
        <v>Bộ</v>
      </c>
      <c r="CF89" s="58">
        <f>IFERROR(VLOOKUP(Table_Main[[#This Row],[Mã SKU]],Table_SKU[[Mã Sản phẩm]:[Giá bán]],COUNTA(Table_SKU[[#Headers],[Mã Sản phẩm]:[Giá bán]]),0),0)</f>
        <v>500000</v>
      </c>
      <c r="CG89" s="58">
        <f>Table_Main[[#This Row],[Giá bán]]*Table_Main[[#This Row],[Số lượng]]</f>
        <v>48500000</v>
      </c>
      <c r="CH89" s="61">
        <v>0</v>
      </c>
      <c r="CI89" s="58">
        <f>+Table_Main[[#This Row],[Thành tiền niêm yết]]-Table_Main[[#This Row],[Khuyễn mãi]]</f>
        <v>48500000</v>
      </c>
      <c r="CJ89" s="7" cm="1">
        <f t="array" ref="CJ89">VLOOKUP(Table_Main[[#This Row],[Đơn bán]],Table_DonBan[],COUNTA(Table_DonBan[[#Headers],[Mã đơn bán]:[Khuyễn mãi]]),0)*Table_Main[[#This Row],[Giá trị bán trước VAT]]/
SUM(_xlfn._xlws.FILTER(Table_Main[Giá trị bán trước VAT],
(Table_Main[Đơn bán]=Table_Main[[#This Row],[Đơn bán]])
))</f>
        <v>0</v>
      </c>
      <c r="CK89" s="7">
        <f>Table_Main[[#This Row],[Giá trị bán trước VAT]]-Table_Main[[#This Row],[Phân bổ khuyến mãi đơn]]</f>
        <v>48500000</v>
      </c>
      <c r="CL89"/>
      <c r="CM89"/>
    </row>
    <row r="90" spans="2:91" ht="16.5" x14ac:dyDescent="0.3">
      <c r="B90"/>
      <c r="R90"/>
      <c r="AG90"/>
      <c r="AH90"/>
      <c r="AI90"/>
      <c r="BK90" s="43" t="s">
        <v>110</v>
      </c>
      <c r="BL90" s="37">
        <v>45071</v>
      </c>
      <c r="BM90" s="41" t="s">
        <v>69</v>
      </c>
      <c r="BN90" s="41" t="s">
        <v>93</v>
      </c>
      <c r="BO90" s="41" t="s">
        <v>82</v>
      </c>
      <c r="BP90" s="44" cm="1">
        <f t="array" ref="BP90">IFERROR(SUM(_xlfn._xlws.FILTER(Table_Main[Giá trị bán trước VAT],
(Table_Main[Đơn bán]=Table_DonBan[[#This Row],[Mã đơn bán]]),
)),0)</f>
        <v>82865000</v>
      </c>
      <c r="BQ90" s="46">
        <v>0</v>
      </c>
      <c r="BR90" s="44">
        <f>+Table_DonBan[[#This Row],[Tiền hàng]]-Table_DonBan[[#This Row],[Khuyễn mãi]]</f>
        <v>82865000</v>
      </c>
      <c r="BT90" s="49" t="s">
        <v>59</v>
      </c>
      <c r="BU90" s="50" t="s">
        <v>146</v>
      </c>
      <c r="BV90" s="6">
        <f xml:space="preserve">
IFERROR(VLOOKUP(Table_Main[[#This Row],[Đơn bán]],Table_DonBan[],COUNTA(Table_DonBan[[#Headers],[Mã đơn bán]:[Ngày lập]]),0),0)</f>
        <v>45437</v>
      </c>
      <c r="BW90" s="51">
        <f>IFERROR(MONTH(Table_Main[[#This Row],[Ngày lên đơn]]),0)</f>
        <v>5</v>
      </c>
      <c r="BX90" s="51" t="str">
        <f>INDEX(Table_SKU[],
MATCH(Table_Main[[#This Row],[Mã SKU]],Table_SKU[Mã Sản phẩm],0),1)</f>
        <v>Nhóm 1</v>
      </c>
      <c r="BY90" s="52" t="str">
        <f xml:space="preserve">
IFERROR(VLOOKUP(Table_Main[[#This Row],[Đơn bán]],Table_DonBan[],COUNTA(Table_DonBan[[#Headers],[Mã đơn bán]:[Mã Khách]]),0),0)</f>
        <v>KH06</v>
      </c>
      <c r="BZ90" s="52" t="str">
        <f>VLOOKUP(Table_Main[[#This Row],[Khách hàng]],Table_KhachHang[],COUNTA(Table_KhachHang[[#Headers],[Mã khách]:[Phân khúc]]),0)</f>
        <v>B2B</v>
      </c>
      <c r="CA90" s="25" t="str">
        <f xml:space="preserve">
IFERROR(VLOOKUP(Table_Main[[#This Row],[Đơn bán]],Table_DonBan[],COUNTA(Table_DonBan[[#Headers],[Mã đơn bán]:[Mã NV]]),0),0)</f>
        <v>NV03</v>
      </c>
      <c r="CB90" s="7" t="str">
        <f xml:space="preserve">
IFERROR(VLOOKUP(Table_Main[[#This Row],[Đơn bán]],Table_DonBan[],COUNTA(Table_DonBan[[#Headers],[Mã đơn bán]:[Kênh]]),0),0)</f>
        <v>SP</v>
      </c>
      <c r="CC90" s="7" t="str">
        <f>VLOOKUP(Table_Main[[#This Row],[Kênh]],Table_Kenh[],COUNTA(Table_Kenh[[#Headers],[Kênh]:[Nhóm Kênh]]),0)</f>
        <v>Sàn TMĐT</v>
      </c>
      <c r="CD90" s="53">
        <v>185</v>
      </c>
      <c r="CE90" s="7" t="str">
        <f>IFERROR(VLOOKUP(Table_Main[[#This Row],[Mã SKU]],Table_SKU[[Mã Sản phẩm]:[Giá bán]],COUNTA(Table_SKU[[#Headers],[Mã Sản phẩm]:[Đơn vị]]),0),0)</f>
        <v>Bộ</v>
      </c>
      <c r="CF90" s="7">
        <f>IFERROR(VLOOKUP(Table_Main[[#This Row],[Mã SKU]],Table_SKU[[Mã Sản phẩm]:[Giá bán]],COUNTA(Table_SKU[[#Headers],[Mã Sản phẩm]:[Giá bán]]),0),0)</f>
        <v>200000</v>
      </c>
      <c r="CG90" s="7">
        <f>Table_Main[[#This Row],[Giá bán]]*Table_Main[[#This Row],[Số lượng]]</f>
        <v>37000000</v>
      </c>
      <c r="CH90" s="60">
        <v>0</v>
      </c>
      <c r="CI90" s="7">
        <f>+Table_Main[[#This Row],[Thành tiền niêm yết]]-Table_Main[[#This Row],[Khuyễn mãi]]</f>
        <v>37000000</v>
      </c>
      <c r="CJ90" s="7" cm="1">
        <f t="array" ref="CJ90">VLOOKUP(Table_Main[[#This Row],[Đơn bán]],Table_DonBan[],COUNTA(Table_DonBan[[#Headers],[Mã đơn bán]:[Khuyễn mãi]]),0)*Table_Main[[#This Row],[Giá trị bán trước VAT]]/
SUM(_xlfn._xlws.FILTER(Table_Main[Giá trị bán trước VAT],
(Table_Main[Đơn bán]=Table_Main[[#This Row],[Đơn bán]])
))</f>
        <v>0</v>
      </c>
      <c r="CK90" s="7">
        <f>Table_Main[[#This Row],[Giá trị bán trước VAT]]-Table_Main[[#This Row],[Phân bổ khuyến mãi đơn]]</f>
        <v>37000000</v>
      </c>
      <c r="CL90"/>
      <c r="CM90"/>
    </row>
    <row r="91" spans="2:91" ht="16.5" x14ac:dyDescent="0.3">
      <c r="B91"/>
      <c r="R91"/>
      <c r="AG91"/>
      <c r="AH91"/>
      <c r="AI91"/>
      <c r="BK91" s="43" t="s">
        <v>109</v>
      </c>
      <c r="BL91" s="37">
        <v>45061</v>
      </c>
      <c r="BM91" s="41" t="s">
        <v>68</v>
      </c>
      <c r="BN91" s="41" t="s">
        <v>92</v>
      </c>
      <c r="BO91" s="41" t="s">
        <v>82</v>
      </c>
      <c r="BP91" s="44" cm="1">
        <f t="array" ref="BP91">IFERROR(SUM(_xlfn._xlws.FILTER(Table_Main[Giá trị bán trước VAT],
(Table_Main[Đơn bán]=Table_DonBan[[#This Row],[Mã đơn bán]]),
)),0)</f>
        <v>81640000</v>
      </c>
      <c r="BQ91" s="46">
        <v>0</v>
      </c>
      <c r="BR91" s="44">
        <f>+Table_DonBan[[#This Row],[Tiền hàng]]-Table_DonBan[[#This Row],[Khuyễn mãi]]</f>
        <v>81640000</v>
      </c>
      <c r="BT91" s="49" t="s">
        <v>60</v>
      </c>
      <c r="BU91" s="50" t="s">
        <v>146</v>
      </c>
      <c r="BV91" s="6">
        <f xml:space="preserve">
IFERROR(VLOOKUP(Table_Main[[#This Row],[Đơn bán]],Table_DonBan[],COUNTA(Table_DonBan[[#Headers],[Mã đơn bán]:[Ngày lập]]),0),0)</f>
        <v>45437</v>
      </c>
      <c r="BW91" s="51">
        <f>IFERROR(MONTH(Table_Main[[#This Row],[Ngày lên đơn]]),0)</f>
        <v>5</v>
      </c>
      <c r="BX91" s="51" t="str">
        <f>INDEX(Table_SKU[],
MATCH(Table_Main[[#This Row],[Mã SKU]],Table_SKU[Mã Sản phẩm],0),1)</f>
        <v>Nhóm 2</v>
      </c>
      <c r="BY91" s="52" t="str">
        <f xml:space="preserve">
IFERROR(VLOOKUP(Table_Main[[#This Row],[Đơn bán]],Table_DonBan[],COUNTA(Table_DonBan[[#Headers],[Mã đơn bán]:[Mã Khách]]),0),0)</f>
        <v>KH06</v>
      </c>
      <c r="BZ91" s="52" t="str">
        <f>VLOOKUP(Table_Main[[#This Row],[Khách hàng]],Table_KhachHang[],COUNTA(Table_KhachHang[[#Headers],[Mã khách]:[Phân khúc]]),0)</f>
        <v>B2B</v>
      </c>
      <c r="CA91" s="25" t="str">
        <f xml:space="preserve">
IFERROR(VLOOKUP(Table_Main[[#This Row],[Đơn bán]],Table_DonBan[],COUNTA(Table_DonBan[[#Headers],[Mã đơn bán]:[Mã NV]]),0),0)</f>
        <v>NV03</v>
      </c>
      <c r="CB91" s="7" t="str">
        <f xml:space="preserve">
IFERROR(VLOOKUP(Table_Main[[#This Row],[Đơn bán]],Table_DonBan[],COUNTA(Table_DonBan[[#Headers],[Mã đơn bán]:[Kênh]]),0),0)</f>
        <v>SP</v>
      </c>
      <c r="CC91" s="7" t="str">
        <f>VLOOKUP(Table_Main[[#This Row],[Kênh]],Table_Kenh[],COUNTA(Table_Kenh[[#Headers],[Kênh]:[Nhóm Kênh]]),0)</f>
        <v>Sàn TMĐT</v>
      </c>
      <c r="CD91" s="53">
        <v>138</v>
      </c>
      <c r="CE91" s="7" t="str">
        <f>IFERROR(VLOOKUP(Table_Main[[#This Row],[Mã SKU]],Table_SKU[[Mã Sản phẩm]:[Giá bán]],COUNTA(Table_SKU[[#Headers],[Mã Sản phẩm]:[Đơn vị]]),0),0)</f>
        <v>Bộ</v>
      </c>
      <c r="CF91" s="7">
        <f>IFERROR(VLOOKUP(Table_Main[[#This Row],[Mã SKU]],Table_SKU[[Mã Sản phẩm]:[Giá bán]],COUNTA(Table_SKU[[#Headers],[Mã Sản phẩm]:[Giá bán]]),0),0)</f>
        <v>300000</v>
      </c>
      <c r="CG91" s="7">
        <f>Table_Main[[#This Row],[Giá bán]]*Table_Main[[#This Row],[Số lượng]]</f>
        <v>41400000</v>
      </c>
      <c r="CH91" s="60">
        <v>0</v>
      </c>
      <c r="CI91" s="7">
        <f>+Table_Main[[#This Row],[Thành tiền niêm yết]]-Table_Main[[#This Row],[Khuyễn mãi]]</f>
        <v>41400000</v>
      </c>
      <c r="CJ91" s="7" cm="1">
        <f t="array" ref="CJ91">VLOOKUP(Table_Main[[#This Row],[Đơn bán]],Table_DonBan[],COUNTA(Table_DonBan[[#Headers],[Mã đơn bán]:[Khuyễn mãi]]),0)*Table_Main[[#This Row],[Giá trị bán trước VAT]]/
SUM(_xlfn._xlws.FILTER(Table_Main[Giá trị bán trước VAT],
(Table_Main[Đơn bán]=Table_Main[[#This Row],[Đơn bán]])
))</f>
        <v>0</v>
      </c>
      <c r="CK91" s="7">
        <f>Table_Main[[#This Row],[Giá trị bán trước VAT]]-Table_Main[[#This Row],[Phân bổ khuyến mãi đơn]]</f>
        <v>41400000</v>
      </c>
      <c r="CL91"/>
      <c r="CM91"/>
    </row>
    <row r="92" spans="2:91" ht="16.5" x14ac:dyDescent="0.3">
      <c r="B92"/>
      <c r="R92"/>
      <c r="AG92"/>
      <c r="AH92"/>
      <c r="AI92"/>
      <c r="BK92" s="43" t="s">
        <v>108</v>
      </c>
      <c r="BL92" s="37">
        <v>45051</v>
      </c>
      <c r="BM92" s="41" t="s">
        <v>66</v>
      </c>
      <c r="BN92" s="41" t="s">
        <v>92</v>
      </c>
      <c r="BO92" s="41" t="s">
        <v>83</v>
      </c>
      <c r="BP92" s="44" cm="1">
        <f t="array" ref="BP92">IFERROR(SUM(_xlfn._xlws.FILTER(Table_Main[Giá trị bán trước VAT],
(Table_Main[Đơn bán]=Table_DonBan[[#This Row],[Mã đơn bán]]),
)),0)</f>
        <v>81360000</v>
      </c>
      <c r="BQ92" s="46">
        <v>0</v>
      </c>
      <c r="BR92" s="44">
        <f>+Table_DonBan[[#This Row],[Tiền hàng]]-Table_DonBan[[#This Row],[Khuyễn mãi]]</f>
        <v>81360000</v>
      </c>
      <c r="BT92" s="49" t="s">
        <v>61</v>
      </c>
      <c r="BU92" s="50" t="s">
        <v>146</v>
      </c>
      <c r="BV92" s="6">
        <f xml:space="preserve">
IFERROR(VLOOKUP(Table_Main[[#This Row],[Đơn bán]],Table_DonBan[],COUNTA(Table_DonBan[[#Headers],[Mã đơn bán]:[Ngày lập]]),0),0)</f>
        <v>45437</v>
      </c>
      <c r="BW92" s="51">
        <f>IFERROR(MONTH(Table_Main[[#This Row],[Ngày lên đơn]]),0)</f>
        <v>5</v>
      </c>
      <c r="BX92" s="51" t="str">
        <f>INDEX(Table_SKU[],
MATCH(Table_Main[[#This Row],[Mã SKU]],Table_SKU[Mã Sản phẩm],0),1)</f>
        <v>Nhóm 3</v>
      </c>
      <c r="BY92" s="10" t="str">
        <f xml:space="preserve">
IFERROR(VLOOKUP(Table_Main[[#This Row],[Đơn bán]],Table_DonBan[],COUNTA(Table_DonBan[[#Headers],[Mã đơn bán]:[Mã Khách]]),0),0)</f>
        <v>KH06</v>
      </c>
      <c r="BZ92" s="10" t="str">
        <f>VLOOKUP(Table_Main[[#This Row],[Khách hàng]],Table_KhachHang[],COUNTA(Table_KhachHang[[#Headers],[Mã khách]:[Phân khúc]]),0)</f>
        <v>B2B</v>
      </c>
      <c r="CA92" s="25" t="str">
        <f xml:space="preserve">
IFERROR(VLOOKUP(Table_Main[[#This Row],[Đơn bán]],Table_DonBan[],COUNTA(Table_DonBan[[#Headers],[Mã đơn bán]:[Mã NV]]),0),0)</f>
        <v>NV03</v>
      </c>
      <c r="CB92" s="7" t="str">
        <f xml:space="preserve">
IFERROR(VLOOKUP(Table_Main[[#This Row],[Đơn bán]],Table_DonBan[],COUNTA(Table_DonBan[[#Headers],[Mã đơn bán]:[Kênh]]),0),0)</f>
        <v>SP</v>
      </c>
      <c r="CC92" s="7" t="str">
        <f>VLOOKUP(Table_Main[[#This Row],[Kênh]],Table_Kenh[],COUNTA(Table_Kenh[[#Headers],[Kênh]:[Nhóm Kênh]]),0)</f>
        <v>Sàn TMĐT</v>
      </c>
      <c r="CD92" s="53">
        <v>97</v>
      </c>
      <c r="CE92" s="7" t="str">
        <f>IFERROR(VLOOKUP(Table_Main[[#This Row],[Mã SKU]],Table_SKU[[Mã Sản phẩm]:[Giá bán]],COUNTA(Table_SKU[[#Headers],[Mã Sản phẩm]:[Đơn vị]]),0),0)</f>
        <v>Bộ</v>
      </c>
      <c r="CF92" s="7">
        <f>IFERROR(VLOOKUP(Table_Main[[#This Row],[Mã SKU]],Table_SKU[[Mã Sản phẩm]:[Giá bán]],COUNTA(Table_SKU[[#Headers],[Mã Sản phẩm]:[Giá bán]]),0),0)</f>
        <v>500000</v>
      </c>
      <c r="CG92" s="7">
        <f>Table_Main[[#This Row],[Giá bán]]*Table_Main[[#This Row],[Số lượng]]</f>
        <v>48500000</v>
      </c>
      <c r="CH92" s="60">
        <v>0</v>
      </c>
      <c r="CI92" s="7">
        <f>+Table_Main[[#This Row],[Thành tiền niêm yết]]-Table_Main[[#This Row],[Khuyễn mãi]]</f>
        <v>48500000</v>
      </c>
      <c r="CJ92" s="7" cm="1">
        <f t="array" ref="CJ92">VLOOKUP(Table_Main[[#This Row],[Đơn bán]],Table_DonBan[],COUNTA(Table_DonBan[[#Headers],[Mã đơn bán]:[Khuyễn mãi]]),0)*Table_Main[[#This Row],[Giá trị bán trước VAT]]/
SUM(_xlfn._xlws.FILTER(Table_Main[Giá trị bán trước VAT],
(Table_Main[Đơn bán]=Table_Main[[#This Row],[Đơn bán]])
))</f>
        <v>0</v>
      </c>
      <c r="CK92" s="7">
        <f>Table_Main[[#This Row],[Giá trị bán trước VAT]]-Table_Main[[#This Row],[Phân bổ khuyến mãi đơn]]</f>
        <v>48500000</v>
      </c>
      <c r="CL92"/>
      <c r="CM92"/>
    </row>
    <row r="93" spans="2:91" ht="16.5" x14ac:dyDescent="0.3">
      <c r="B93"/>
      <c r="R93"/>
      <c r="AG93"/>
      <c r="AH93"/>
      <c r="AI93"/>
      <c r="BK93" s="43" t="s">
        <v>107</v>
      </c>
      <c r="BL93" s="37">
        <v>45041</v>
      </c>
      <c r="BM93" s="41" t="s">
        <v>69</v>
      </c>
      <c r="BN93" s="41" t="s">
        <v>92</v>
      </c>
      <c r="BO93" s="41" t="s">
        <v>85</v>
      </c>
      <c r="BP93" s="44" cm="1">
        <f t="array" ref="BP93">IFERROR(SUM(_xlfn._xlws.FILTER(Table_Main[Giá trị bán trước VAT],
(Table_Main[Đơn bán]=Table_DonBan[[#This Row],[Mã đơn bán]]),
)),0)</f>
        <v>80300000</v>
      </c>
      <c r="BQ93" s="46">
        <v>0</v>
      </c>
      <c r="BR93" s="44">
        <f>+Table_DonBan[[#This Row],[Tiền hàng]]-Table_DonBan[[#This Row],[Khuyễn mãi]]</f>
        <v>80300000</v>
      </c>
      <c r="BT93" s="49" t="s">
        <v>59</v>
      </c>
      <c r="BU93" s="50" t="s">
        <v>145</v>
      </c>
      <c r="BV93" s="6">
        <f xml:space="preserve">
IFERROR(VLOOKUP(Table_Main[[#This Row],[Đơn bán]],Table_DonBan[],COUNTA(Table_DonBan[[#Headers],[Mã đơn bán]:[Ngày lập]]),0),0)</f>
        <v>45427</v>
      </c>
      <c r="BW93" s="51">
        <f>IFERROR(MONTH(Table_Main[[#This Row],[Ngày lên đơn]]),0)</f>
        <v>5</v>
      </c>
      <c r="BX93" s="51" t="str">
        <f>INDEX(Table_SKU[],
MATCH(Table_Main[[#This Row],[Mã SKU]],Table_SKU[Mã Sản phẩm],0),1)</f>
        <v>Nhóm 1</v>
      </c>
      <c r="BY93" s="52" t="str">
        <f xml:space="preserve">
IFERROR(VLOOKUP(Table_Main[[#This Row],[Đơn bán]],Table_DonBan[],COUNTA(Table_DonBan[[#Headers],[Mã đơn bán]:[Mã Khách]]),0),0)</f>
        <v>KH01</v>
      </c>
      <c r="BZ93" s="52" t="str">
        <f>VLOOKUP(Table_Main[[#This Row],[Khách hàng]],Table_KhachHang[],COUNTA(Table_KhachHang[[#Headers],[Mã khách]:[Phân khúc]]),0)</f>
        <v>B2B</v>
      </c>
      <c r="CA93" s="25" t="str">
        <f xml:space="preserve">
IFERROR(VLOOKUP(Table_Main[[#This Row],[Đơn bán]],Table_DonBan[],COUNTA(Table_DonBan[[#Headers],[Mã đơn bán]:[Mã NV]]),0),0)</f>
        <v>NV02</v>
      </c>
      <c r="CB93" s="7" t="str">
        <f xml:space="preserve">
IFERROR(VLOOKUP(Table_Main[[#This Row],[Đơn bán]],Table_DonBan[],COUNTA(Table_DonBan[[#Headers],[Mã đơn bán]:[Kênh]]),0),0)</f>
        <v>ST</v>
      </c>
      <c r="CC93" s="7" t="str">
        <f>VLOOKUP(Table_Main[[#This Row],[Kênh]],Table_Kenh[],COUNTA(Table_Kenh[[#Headers],[Kênh]:[Nhóm Kênh]]),0)</f>
        <v>Offline</v>
      </c>
      <c r="CD93" s="53">
        <v>183</v>
      </c>
      <c r="CE93" s="7" t="str">
        <f>IFERROR(VLOOKUP(Table_Main[[#This Row],[Mã SKU]],Table_SKU[[Mã Sản phẩm]:[Giá bán]],COUNTA(Table_SKU[[#Headers],[Mã Sản phẩm]:[Đơn vị]]),0),0)</f>
        <v>Bộ</v>
      </c>
      <c r="CF93" s="7">
        <f>IFERROR(VLOOKUP(Table_Main[[#This Row],[Mã SKU]],Table_SKU[[Mã Sản phẩm]:[Giá bán]],COUNTA(Table_SKU[[#Headers],[Mã Sản phẩm]:[Giá bán]]),0),0)</f>
        <v>200000</v>
      </c>
      <c r="CG93" s="7">
        <f>Table_Main[[#This Row],[Giá bán]]*Table_Main[[#This Row],[Số lượng]]</f>
        <v>36600000</v>
      </c>
      <c r="CH93" s="60">
        <v>0</v>
      </c>
      <c r="CI93" s="7">
        <f>+Table_Main[[#This Row],[Thành tiền niêm yết]]-Table_Main[[#This Row],[Khuyễn mãi]]</f>
        <v>36600000</v>
      </c>
      <c r="CJ93" s="7" cm="1">
        <f t="array" ref="CJ93">VLOOKUP(Table_Main[[#This Row],[Đơn bán]],Table_DonBan[],COUNTA(Table_DonBan[[#Headers],[Mã đơn bán]:[Khuyễn mãi]]),0)*Table_Main[[#This Row],[Giá trị bán trước VAT]]/
SUM(_xlfn._xlws.FILTER(Table_Main[Giá trị bán trước VAT],
(Table_Main[Đơn bán]=Table_Main[[#This Row],[Đơn bán]])
))</f>
        <v>0</v>
      </c>
      <c r="CK93" s="7">
        <f>Table_Main[[#This Row],[Giá trị bán trước VAT]]-Table_Main[[#This Row],[Phân bổ khuyến mãi đơn]]</f>
        <v>36600000</v>
      </c>
      <c r="CL93"/>
      <c r="CM93"/>
    </row>
    <row r="94" spans="2:91" ht="16.5" x14ac:dyDescent="0.3">
      <c r="B94"/>
      <c r="R94"/>
      <c r="AG94"/>
      <c r="AH94"/>
      <c r="AI94"/>
      <c r="BK94" s="43" t="s">
        <v>106</v>
      </c>
      <c r="BL94" s="37">
        <v>45031</v>
      </c>
      <c r="BM94" s="41" t="s">
        <v>67</v>
      </c>
      <c r="BN94" s="41" t="s">
        <v>93</v>
      </c>
      <c r="BO94" s="41" t="s">
        <v>82</v>
      </c>
      <c r="BP94" s="44" cm="1">
        <f t="array" ref="BP94">IFERROR(SUM(_xlfn._xlws.FILTER(Table_Main[Giá trị bán trước VAT],
(Table_Main[Đơn bán]=Table_DonBan[[#This Row],[Mã đơn bán]]),
)),0)</f>
        <v>79200000</v>
      </c>
      <c r="BQ94" s="46">
        <v>0</v>
      </c>
      <c r="BR94" s="44">
        <f>+Table_DonBan[[#This Row],[Tiền hàng]]-Table_DonBan[[#This Row],[Khuyễn mãi]]</f>
        <v>79200000</v>
      </c>
      <c r="BT94" s="49" t="s">
        <v>60</v>
      </c>
      <c r="BU94" s="50" t="s">
        <v>145</v>
      </c>
      <c r="BV94" s="6">
        <f xml:space="preserve">
IFERROR(VLOOKUP(Table_Main[[#This Row],[Đơn bán]],Table_DonBan[],COUNTA(Table_DonBan[[#Headers],[Mã đơn bán]:[Ngày lập]]),0),0)</f>
        <v>45427</v>
      </c>
      <c r="BW94" s="51">
        <f>IFERROR(MONTH(Table_Main[[#This Row],[Ngày lên đơn]]),0)</f>
        <v>5</v>
      </c>
      <c r="BX94" s="51" t="str">
        <f>INDEX(Table_SKU[],
MATCH(Table_Main[[#This Row],[Mã SKU]],Table_SKU[Mã Sản phẩm],0),1)</f>
        <v>Nhóm 2</v>
      </c>
      <c r="BY94" s="52" t="str">
        <f xml:space="preserve">
IFERROR(VLOOKUP(Table_Main[[#This Row],[Đơn bán]],Table_DonBan[],COUNTA(Table_DonBan[[#Headers],[Mã đơn bán]:[Mã Khách]]),0),0)</f>
        <v>KH01</v>
      </c>
      <c r="BZ94" s="52" t="str">
        <f>VLOOKUP(Table_Main[[#This Row],[Khách hàng]],Table_KhachHang[],COUNTA(Table_KhachHang[[#Headers],[Mã khách]:[Phân khúc]]),0)</f>
        <v>B2B</v>
      </c>
      <c r="CA94" s="25" t="str">
        <f xml:space="preserve">
IFERROR(VLOOKUP(Table_Main[[#This Row],[Đơn bán]],Table_DonBan[],COUNTA(Table_DonBan[[#Headers],[Mã đơn bán]:[Mã NV]]),0),0)</f>
        <v>NV02</v>
      </c>
      <c r="CB94" s="7" t="str">
        <f xml:space="preserve">
IFERROR(VLOOKUP(Table_Main[[#This Row],[Đơn bán]],Table_DonBan[],COUNTA(Table_DonBan[[#Headers],[Mã đơn bán]:[Kênh]]),0),0)</f>
        <v>ST</v>
      </c>
      <c r="CC94" s="7" t="str">
        <f>VLOOKUP(Table_Main[[#This Row],[Kênh]],Table_Kenh[],COUNTA(Table_Kenh[[#Headers],[Kênh]:[Nhóm Kênh]]),0)</f>
        <v>Offline</v>
      </c>
      <c r="CD94" s="53">
        <v>135</v>
      </c>
      <c r="CE94" s="7" t="str">
        <f>IFERROR(VLOOKUP(Table_Main[[#This Row],[Mã SKU]],Table_SKU[[Mã Sản phẩm]:[Giá bán]],COUNTA(Table_SKU[[#Headers],[Mã Sản phẩm]:[Đơn vị]]),0),0)</f>
        <v>Bộ</v>
      </c>
      <c r="CF94" s="7">
        <f>IFERROR(VLOOKUP(Table_Main[[#This Row],[Mã SKU]],Table_SKU[[Mã Sản phẩm]:[Giá bán]],COUNTA(Table_SKU[[#Headers],[Mã Sản phẩm]:[Giá bán]]),0),0)</f>
        <v>300000</v>
      </c>
      <c r="CG94" s="7">
        <f>Table_Main[[#This Row],[Giá bán]]*Table_Main[[#This Row],[Số lượng]]</f>
        <v>40500000</v>
      </c>
      <c r="CH94" s="60">
        <v>0</v>
      </c>
      <c r="CI94" s="7">
        <f>+Table_Main[[#This Row],[Thành tiền niêm yết]]-Table_Main[[#This Row],[Khuyễn mãi]]</f>
        <v>40500000</v>
      </c>
      <c r="CJ94" s="7" cm="1">
        <f t="array" ref="CJ94">VLOOKUP(Table_Main[[#This Row],[Đơn bán]],Table_DonBan[],COUNTA(Table_DonBan[[#Headers],[Mã đơn bán]:[Khuyễn mãi]]),0)*Table_Main[[#This Row],[Giá trị bán trước VAT]]/
SUM(_xlfn._xlws.FILTER(Table_Main[Giá trị bán trước VAT],
(Table_Main[Đơn bán]=Table_Main[[#This Row],[Đơn bán]])
))</f>
        <v>0</v>
      </c>
      <c r="CK94" s="7">
        <f>Table_Main[[#This Row],[Giá trị bán trước VAT]]-Table_Main[[#This Row],[Phân bổ khuyến mãi đơn]]</f>
        <v>40500000</v>
      </c>
      <c r="CL94"/>
      <c r="CM94"/>
    </row>
    <row r="95" spans="2:91" ht="16.5" x14ac:dyDescent="0.3">
      <c r="B95"/>
      <c r="R95"/>
      <c r="AG95"/>
      <c r="AH95"/>
      <c r="AI95"/>
      <c r="BK95" s="43" t="s">
        <v>105</v>
      </c>
      <c r="BL95" s="37">
        <v>45021</v>
      </c>
      <c r="BM95" s="41" t="s">
        <v>67</v>
      </c>
      <c r="BN95" s="41" t="s">
        <v>92</v>
      </c>
      <c r="BO95" s="41" t="s">
        <v>84</v>
      </c>
      <c r="BP95" s="44" cm="1">
        <f t="array" ref="BP95">IFERROR(SUM(_xlfn._xlws.FILTER(Table_Main[Giá trị bán trước VAT],
(Table_Main[Đơn bán]=Table_DonBan[[#This Row],[Mã đơn bán]]),
)),0)</f>
        <v>78800000</v>
      </c>
      <c r="BQ95" s="46">
        <v>0</v>
      </c>
      <c r="BR95" s="44">
        <f>+Table_DonBan[[#This Row],[Tiền hàng]]-Table_DonBan[[#This Row],[Khuyễn mãi]]</f>
        <v>78800000</v>
      </c>
      <c r="BT95" s="49" t="s">
        <v>61</v>
      </c>
      <c r="BU95" s="50" t="s">
        <v>145</v>
      </c>
      <c r="BV95" s="6">
        <f xml:space="preserve">
IFERROR(VLOOKUP(Table_Main[[#This Row],[Đơn bán]],Table_DonBan[],COUNTA(Table_DonBan[[#Headers],[Mã đơn bán]:[Ngày lập]]),0),0)</f>
        <v>45427</v>
      </c>
      <c r="BW95" s="51">
        <f>IFERROR(MONTH(Table_Main[[#This Row],[Ngày lên đơn]]),0)</f>
        <v>5</v>
      </c>
      <c r="BX95" s="51" t="str">
        <f>INDEX(Table_SKU[],
MATCH(Table_Main[[#This Row],[Mã SKU]],Table_SKU[Mã Sản phẩm],0),1)</f>
        <v>Nhóm 3</v>
      </c>
      <c r="BY95" s="52" t="str">
        <f xml:space="preserve">
IFERROR(VLOOKUP(Table_Main[[#This Row],[Đơn bán]],Table_DonBan[],COUNTA(Table_DonBan[[#Headers],[Mã đơn bán]:[Mã Khách]]),0),0)</f>
        <v>KH01</v>
      </c>
      <c r="BZ95" s="52" t="str">
        <f>VLOOKUP(Table_Main[[#This Row],[Khách hàng]],Table_KhachHang[],COUNTA(Table_KhachHang[[#Headers],[Mã khách]:[Phân khúc]]),0)</f>
        <v>B2B</v>
      </c>
      <c r="CA95" s="25" t="str">
        <f xml:space="preserve">
IFERROR(VLOOKUP(Table_Main[[#This Row],[Đơn bán]],Table_DonBan[],COUNTA(Table_DonBan[[#Headers],[Mã đơn bán]:[Mã NV]]),0),0)</f>
        <v>NV02</v>
      </c>
      <c r="CB95" s="7" t="str">
        <f xml:space="preserve">
IFERROR(VLOOKUP(Table_Main[[#This Row],[Đơn bán]],Table_DonBan[],COUNTA(Table_DonBan[[#Headers],[Mã đơn bán]:[Kênh]]),0),0)</f>
        <v>ST</v>
      </c>
      <c r="CC95" s="7" t="str">
        <f>VLOOKUP(Table_Main[[#This Row],[Kênh]],Table_Kenh[],COUNTA(Table_Kenh[[#Headers],[Kênh]:[Nhóm Kênh]]),0)</f>
        <v>Offline</v>
      </c>
      <c r="CD95" s="53">
        <v>99</v>
      </c>
      <c r="CE95" s="7" t="str">
        <f>IFERROR(VLOOKUP(Table_Main[[#This Row],[Mã SKU]],Table_SKU[[Mã Sản phẩm]:[Giá bán]],COUNTA(Table_SKU[[#Headers],[Mã Sản phẩm]:[Đơn vị]]),0),0)</f>
        <v>Bộ</v>
      </c>
      <c r="CF95" s="7">
        <f>IFERROR(VLOOKUP(Table_Main[[#This Row],[Mã SKU]],Table_SKU[[Mã Sản phẩm]:[Giá bán]],COUNTA(Table_SKU[[#Headers],[Mã Sản phẩm]:[Giá bán]]),0),0)</f>
        <v>500000</v>
      </c>
      <c r="CG95" s="7">
        <f>Table_Main[[#This Row],[Giá bán]]*Table_Main[[#This Row],[Số lượng]]</f>
        <v>49500000</v>
      </c>
      <c r="CH95" s="60">
        <v>0</v>
      </c>
      <c r="CI95" s="7">
        <f>+Table_Main[[#This Row],[Thành tiền niêm yết]]-Table_Main[[#This Row],[Khuyễn mãi]]</f>
        <v>49500000</v>
      </c>
      <c r="CJ95" s="7" cm="1">
        <f t="array" ref="CJ95">VLOOKUP(Table_Main[[#This Row],[Đơn bán]],Table_DonBan[],COUNTA(Table_DonBan[[#Headers],[Mã đơn bán]:[Khuyễn mãi]]),0)*Table_Main[[#This Row],[Giá trị bán trước VAT]]/
SUM(_xlfn._xlws.FILTER(Table_Main[Giá trị bán trước VAT],
(Table_Main[Đơn bán]=Table_Main[[#This Row],[Đơn bán]])
))</f>
        <v>0</v>
      </c>
      <c r="CK95" s="7">
        <f>Table_Main[[#This Row],[Giá trị bán trước VAT]]-Table_Main[[#This Row],[Phân bổ khuyến mãi đơn]]</f>
        <v>49500000</v>
      </c>
      <c r="CL95"/>
      <c r="CM95"/>
    </row>
    <row r="96" spans="2:91" ht="16.5" x14ac:dyDescent="0.3">
      <c r="B96"/>
      <c r="R96"/>
      <c r="AG96"/>
      <c r="AH96"/>
      <c r="AI96"/>
      <c r="BK96" s="43" t="s">
        <v>104</v>
      </c>
      <c r="BL96" s="37">
        <v>45010</v>
      </c>
      <c r="BM96" s="41" t="s">
        <v>67</v>
      </c>
      <c r="BN96" s="41" t="s">
        <v>93</v>
      </c>
      <c r="BO96" s="41" t="s">
        <v>84</v>
      </c>
      <c r="BP96" s="44" cm="1">
        <f t="array" ref="BP96">IFERROR(SUM(_xlfn._xlws.FILTER(Table_Main[Giá trị bán trước VAT],
(Table_Main[Đơn bán]=Table_DonBan[[#This Row],[Mã đơn bán]]),
)),0)</f>
        <v>77200000</v>
      </c>
      <c r="BQ96" s="46">
        <v>0</v>
      </c>
      <c r="BR96" s="44">
        <f>+Table_DonBan[[#This Row],[Tiền hàng]]-Table_DonBan[[#This Row],[Khuyễn mãi]]</f>
        <v>77200000</v>
      </c>
      <c r="BT96" s="49" t="s">
        <v>59</v>
      </c>
      <c r="BU96" s="50" t="s">
        <v>144</v>
      </c>
      <c r="BV96" s="6">
        <f xml:space="preserve">
IFERROR(VLOOKUP(Table_Main[[#This Row],[Đơn bán]],Table_DonBan[],COUNTA(Table_DonBan[[#Headers],[Mã đơn bán]:[Ngày lập]]),0),0)</f>
        <v>45417</v>
      </c>
      <c r="BW96" s="51">
        <f>IFERROR(MONTH(Table_Main[[#This Row],[Ngày lên đơn]]),0)</f>
        <v>5</v>
      </c>
      <c r="BX96" s="51" t="str">
        <f>INDEX(Table_SKU[],
MATCH(Table_Main[[#This Row],[Mã SKU]],Table_SKU[Mã Sản phẩm],0),1)</f>
        <v>Nhóm 1</v>
      </c>
      <c r="BY96" s="52" t="str">
        <f xml:space="preserve">
IFERROR(VLOOKUP(Table_Main[[#This Row],[Đơn bán]],Table_DonBan[],COUNTA(Table_DonBan[[#Headers],[Mã đơn bán]:[Mã Khách]]),0),0)</f>
        <v>KH02</v>
      </c>
      <c r="BZ96" s="52" t="str">
        <f>VLOOKUP(Table_Main[[#This Row],[Khách hàng]],Table_KhachHang[],COUNTA(Table_KhachHang[[#Headers],[Mã khách]:[Phân khúc]]),0)</f>
        <v>B2C</v>
      </c>
      <c r="CA96" s="25" t="str">
        <f xml:space="preserve">
IFERROR(VLOOKUP(Table_Main[[#This Row],[Đơn bán]],Table_DonBan[],COUNTA(Table_DonBan[[#Headers],[Mã đơn bán]:[Mã NV]]),0),0)</f>
        <v>NV03</v>
      </c>
      <c r="CB96" s="7" t="str">
        <f xml:space="preserve">
IFERROR(VLOOKUP(Table_Main[[#This Row],[Đơn bán]],Table_DonBan[],COUNTA(Table_DonBan[[#Headers],[Mã đơn bán]:[Kênh]]),0),0)</f>
        <v>TT</v>
      </c>
      <c r="CC96" s="7" t="str">
        <f>VLOOKUP(Table_Main[[#This Row],[Kênh]],Table_Kenh[],COUNTA(Table_Kenh[[#Headers],[Kênh]:[Nhóm Kênh]]),0)</f>
        <v>Mạng xã hội</v>
      </c>
      <c r="CD96" s="53">
        <v>174</v>
      </c>
      <c r="CE96" s="7" t="str">
        <f>IFERROR(VLOOKUP(Table_Main[[#This Row],[Mã SKU]],Table_SKU[[Mã Sản phẩm]:[Giá bán]],COUNTA(Table_SKU[[#Headers],[Mã Sản phẩm]:[Đơn vị]]),0),0)</f>
        <v>Bộ</v>
      </c>
      <c r="CF96" s="7">
        <f>IFERROR(VLOOKUP(Table_Main[[#This Row],[Mã SKU]],Table_SKU[[Mã Sản phẩm]:[Giá bán]],COUNTA(Table_SKU[[#Headers],[Mã Sản phẩm]:[Giá bán]]),0),0)</f>
        <v>200000</v>
      </c>
      <c r="CG96" s="7">
        <f>Table_Main[[#This Row],[Giá bán]]*Table_Main[[#This Row],[Số lượng]]</f>
        <v>34800000</v>
      </c>
      <c r="CH96" s="60">
        <v>0</v>
      </c>
      <c r="CI96" s="7">
        <f>+Table_Main[[#This Row],[Thành tiền niêm yết]]-Table_Main[[#This Row],[Khuyễn mãi]]</f>
        <v>34800000</v>
      </c>
      <c r="CJ96" s="7" cm="1">
        <f t="array" ref="CJ96">VLOOKUP(Table_Main[[#This Row],[Đơn bán]],Table_DonBan[],COUNTA(Table_DonBan[[#Headers],[Mã đơn bán]:[Khuyễn mãi]]),0)*Table_Main[[#This Row],[Giá trị bán trước VAT]]/
SUM(_xlfn._xlws.FILTER(Table_Main[Giá trị bán trước VAT],
(Table_Main[Đơn bán]=Table_Main[[#This Row],[Đơn bán]])
))</f>
        <v>0</v>
      </c>
      <c r="CK96" s="7">
        <f>Table_Main[[#This Row],[Giá trị bán trước VAT]]-Table_Main[[#This Row],[Phân bổ khuyến mãi đơn]]</f>
        <v>34800000</v>
      </c>
      <c r="CL96"/>
      <c r="CM96"/>
    </row>
    <row r="97" spans="2:91" ht="16.5" x14ac:dyDescent="0.3">
      <c r="B97"/>
      <c r="R97"/>
      <c r="AG97"/>
      <c r="AH97"/>
      <c r="AI97"/>
      <c r="BK97" s="43" t="s">
        <v>103</v>
      </c>
      <c r="BL97" s="37">
        <v>45000</v>
      </c>
      <c r="BM97" s="41" t="s">
        <v>68</v>
      </c>
      <c r="BN97" s="41" t="s">
        <v>92</v>
      </c>
      <c r="BO97" s="41" t="s">
        <v>82</v>
      </c>
      <c r="BP97" s="44" cm="1">
        <f t="array" ref="BP97">IFERROR(SUM(_xlfn._xlws.FILTER(Table_Main[Giá trị bán trước VAT],
(Table_Main[Đơn bán]=Table_DonBan[[#This Row],[Mã đơn bán]]),
)),0)</f>
        <v>74900000</v>
      </c>
      <c r="BQ97" s="46">
        <v>0</v>
      </c>
      <c r="BR97" s="44">
        <f>+Table_DonBan[[#This Row],[Tiền hàng]]-Table_DonBan[[#This Row],[Khuyễn mãi]]</f>
        <v>74900000</v>
      </c>
      <c r="BT97" s="49" t="s">
        <v>60</v>
      </c>
      <c r="BU97" s="50" t="s">
        <v>144</v>
      </c>
      <c r="BV97" s="6">
        <f xml:space="preserve">
IFERROR(VLOOKUP(Table_Main[[#This Row],[Đơn bán]],Table_DonBan[],COUNTA(Table_DonBan[[#Headers],[Mã đơn bán]:[Ngày lập]]),0),0)</f>
        <v>45417</v>
      </c>
      <c r="BW97" s="51">
        <f>IFERROR(MONTH(Table_Main[[#This Row],[Ngày lên đơn]]),0)</f>
        <v>5</v>
      </c>
      <c r="BX97" s="51" t="str">
        <f>INDEX(Table_SKU[],
MATCH(Table_Main[[#This Row],[Mã SKU]],Table_SKU[Mã Sản phẩm],0),1)</f>
        <v>Nhóm 2</v>
      </c>
      <c r="BY97" s="52" t="str">
        <f xml:space="preserve">
IFERROR(VLOOKUP(Table_Main[[#This Row],[Đơn bán]],Table_DonBan[],COUNTA(Table_DonBan[[#Headers],[Mã đơn bán]:[Mã Khách]]),0),0)</f>
        <v>KH02</v>
      </c>
      <c r="BZ97" s="52" t="str">
        <f>VLOOKUP(Table_Main[[#This Row],[Khách hàng]],Table_KhachHang[],COUNTA(Table_KhachHang[[#Headers],[Mã khách]:[Phân khúc]]),0)</f>
        <v>B2C</v>
      </c>
      <c r="CA97" s="25" t="str">
        <f xml:space="preserve">
IFERROR(VLOOKUP(Table_Main[[#This Row],[Đơn bán]],Table_DonBan[],COUNTA(Table_DonBan[[#Headers],[Mã đơn bán]:[Mã NV]]),0),0)</f>
        <v>NV03</v>
      </c>
      <c r="CB97" s="7" t="str">
        <f xml:space="preserve">
IFERROR(VLOOKUP(Table_Main[[#This Row],[Đơn bán]],Table_DonBan[],COUNTA(Table_DonBan[[#Headers],[Mã đơn bán]:[Kênh]]),0),0)</f>
        <v>TT</v>
      </c>
      <c r="CC97" s="7" t="str">
        <f>VLOOKUP(Table_Main[[#This Row],[Kênh]],Table_Kenh[],COUNTA(Table_Kenh[[#Headers],[Kênh]:[Nhóm Kênh]]),0)</f>
        <v>Mạng xã hội</v>
      </c>
      <c r="CD97" s="53">
        <v>132</v>
      </c>
      <c r="CE97" s="7" t="str">
        <f>IFERROR(VLOOKUP(Table_Main[[#This Row],[Mã SKU]],Table_SKU[[Mã Sản phẩm]:[Giá bán]],COUNTA(Table_SKU[[#Headers],[Mã Sản phẩm]:[Đơn vị]]),0),0)</f>
        <v>Bộ</v>
      </c>
      <c r="CF97" s="7">
        <f>IFERROR(VLOOKUP(Table_Main[[#This Row],[Mã SKU]],Table_SKU[[Mã Sản phẩm]:[Giá bán]],COUNTA(Table_SKU[[#Headers],[Mã Sản phẩm]:[Giá bán]]),0),0)</f>
        <v>300000</v>
      </c>
      <c r="CG97" s="7">
        <f>Table_Main[[#This Row],[Giá bán]]*Table_Main[[#This Row],[Số lượng]]</f>
        <v>39600000</v>
      </c>
      <c r="CH97" s="60">
        <v>0</v>
      </c>
      <c r="CI97" s="7">
        <f>+Table_Main[[#This Row],[Thành tiền niêm yết]]-Table_Main[[#This Row],[Khuyễn mãi]]</f>
        <v>39600000</v>
      </c>
      <c r="CJ97" s="7" cm="1">
        <f t="array" ref="CJ97">VLOOKUP(Table_Main[[#This Row],[Đơn bán]],Table_DonBan[],COUNTA(Table_DonBan[[#Headers],[Mã đơn bán]:[Khuyễn mãi]]),0)*Table_Main[[#This Row],[Giá trị bán trước VAT]]/
SUM(_xlfn._xlws.FILTER(Table_Main[Giá trị bán trước VAT],
(Table_Main[Đơn bán]=Table_Main[[#This Row],[Đơn bán]])
))</f>
        <v>0</v>
      </c>
      <c r="CK97" s="7">
        <f>Table_Main[[#This Row],[Giá trị bán trước VAT]]-Table_Main[[#This Row],[Phân bổ khuyến mãi đơn]]</f>
        <v>39600000</v>
      </c>
      <c r="CL97"/>
      <c r="CM97"/>
    </row>
    <row r="98" spans="2:91" ht="16.5" x14ac:dyDescent="0.3">
      <c r="B98"/>
      <c r="R98"/>
      <c r="AG98"/>
      <c r="AH98"/>
      <c r="AI98"/>
      <c r="BK98" s="43" t="s">
        <v>102</v>
      </c>
      <c r="BL98" s="37">
        <v>44990</v>
      </c>
      <c r="BM98" s="41" t="s">
        <v>66</v>
      </c>
      <c r="BN98" s="41" t="s">
        <v>92</v>
      </c>
      <c r="BO98" s="41" t="s">
        <v>86</v>
      </c>
      <c r="BP98" s="44" cm="1">
        <f t="array" ref="BP98">IFERROR(SUM(_xlfn._xlws.FILTER(Table_Main[Giá trị bán trước VAT],
(Table_Main[Đơn bán]=Table_DonBan[[#This Row],[Mã đơn bán]]),
)),0)</f>
        <v>74200000</v>
      </c>
      <c r="BQ98" s="46">
        <v>0</v>
      </c>
      <c r="BR98" s="44">
        <f>+Table_DonBan[[#This Row],[Tiền hàng]]-Table_DonBan[[#This Row],[Khuyễn mãi]]</f>
        <v>74200000</v>
      </c>
      <c r="BT98" s="54" t="s">
        <v>61</v>
      </c>
      <c r="BU98" s="55" t="s">
        <v>144</v>
      </c>
      <c r="BV98" s="56">
        <f xml:space="preserve">
IFERROR(VLOOKUP(Table_Main[[#This Row],[Đơn bán]],Table_DonBan[],COUNTA(Table_DonBan[[#Headers],[Mã đơn bán]:[Ngày lập]]),0),0)</f>
        <v>45417</v>
      </c>
      <c r="BW98" s="51">
        <f>IFERROR(MONTH(Table_Main[[#This Row],[Ngày lên đơn]]),0)</f>
        <v>5</v>
      </c>
      <c r="BX98" s="51" t="str">
        <f>INDEX(Table_SKU[],
MATCH(Table_Main[[#This Row],[Mã SKU]],Table_SKU[Mã Sản phẩm],0),1)</f>
        <v>Nhóm 3</v>
      </c>
      <c r="BY98" s="52" t="str">
        <f xml:space="preserve">
IFERROR(VLOOKUP(Table_Main[[#This Row],[Đơn bán]],Table_DonBan[],COUNTA(Table_DonBan[[#Headers],[Mã đơn bán]:[Mã Khách]]),0),0)</f>
        <v>KH02</v>
      </c>
      <c r="BZ98" s="52" t="str">
        <f>VLOOKUP(Table_Main[[#This Row],[Khách hàng]],Table_KhachHang[],COUNTA(Table_KhachHang[[#Headers],[Mã khách]:[Phân khúc]]),0)</f>
        <v>B2C</v>
      </c>
      <c r="CA98" s="57" t="str">
        <f xml:space="preserve">
IFERROR(VLOOKUP(Table_Main[[#This Row],[Đơn bán]],Table_DonBan[],COUNTA(Table_DonBan[[#Headers],[Mã đơn bán]:[Mã NV]]),0),0)</f>
        <v>NV03</v>
      </c>
      <c r="CB98" s="58" t="str">
        <f xml:space="preserve">
IFERROR(VLOOKUP(Table_Main[[#This Row],[Đơn bán]],Table_DonBan[],COUNTA(Table_DonBan[[#Headers],[Mã đơn bán]:[Kênh]]),0),0)</f>
        <v>TT</v>
      </c>
      <c r="CC98" s="58" t="str">
        <f>VLOOKUP(Table_Main[[#This Row],[Kênh]],Table_Kenh[],COUNTA(Table_Kenh[[#Headers],[Kênh]:[Nhóm Kênh]]),0)</f>
        <v>Mạng xã hội</v>
      </c>
      <c r="CD98" s="59">
        <v>97</v>
      </c>
      <c r="CE98" s="58" t="str">
        <f>IFERROR(VLOOKUP(Table_Main[[#This Row],[Mã SKU]],Table_SKU[[Mã Sản phẩm]:[Giá bán]],COUNTA(Table_SKU[[#Headers],[Mã Sản phẩm]:[Đơn vị]]),0),0)</f>
        <v>Bộ</v>
      </c>
      <c r="CF98" s="58">
        <f>IFERROR(VLOOKUP(Table_Main[[#This Row],[Mã SKU]],Table_SKU[[Mã Sản phẩm]:[Giá bán]],COUNTA(Table_SKU[[#Headers],[Mã Sản phẩm]:[Giá bán]]),0),0)</f>
        <v>500000</v>
      </c>
      <c r="CG98" s="58">
        <f>Table_Main[[#This Row],[Giá bán]]*Table_Main[[#This Row],[Số lượng]]</f>
        <v>48500000</v>
      </c>
      <c r="CH98" s="61">
        <v>0</v>
      </c>
      <c r="CI98" s="58">
        <f>+Table_Main[[#This Row],[Thành tiền niêm yết]]-Table_Main[[#This Row],[Khuyễn mãi]]</f>
        <v>48500000</v>
      </c>
      <c r="CJ98" s="7" cm="1">
        <f t="array" ref="CJ98">VLOOKUP(Table_Main[[#This Row],[Đơn bán]],Table_DonBan[],COUNTA(Table_DonBan[[#Headers],[Mã đơn bán]:[Khuyễn mãi]]),0)*Table_Main[[#This Row],[Giá trị bán trước VAT]]/
SUM(_xlfn._xlws.FILTER(Table_Main[Giá trị bán trước VAT],
(Table_Main[Đơn bán]=Table_Main[[#This Row],[Đơn bán]])
))</f>
        <v>0</v>
      </c>
      <c r="CK98" s="7">
        <f>Table_Main[[#This Row],[Giá trị bán trước VAT]]-Table_Main[[#This Row],[Phân bổ khuyến mãi đơn]]</f>
        <v>48500000</v>
      </c>
      <c r="CL98"/>
      <c r="CM98"/>
    </row>
    <row r="99" spans="2:91" ht="16.5" x14ac:dyDescent="0.3">
      <c r="B99"/>
      <c r="R99"/>
      <c r="AG99"/>
      <c r="AH99"/>
      <c r="AI99"/>
      <c r="BK99" s="43" t="s">
        <v>101</v>
      </c>
      <c r="BL99" s="37">
        <v>44982</v>
      </c>
      <c r="BM99" s="41" t="s">
        <v>66</v>
      </c>
      <c r="BN99" s="41" t="s">
        <v>92</v>
      </c>
      <c r="BO99" s="41" t="s">
        <v>82</v>
      </c>
      <c r="BP99" s="44" cm="1">
        <f t="array" ref="BP99">IFERROR(SUM(_xlfn._xlws.FILTER(Table_Main[Giá trị bán trước VAT],
(Table_Main[Đơn bán]=Table_DonBan[[#This Row],[Mã đơn bán]]),
)),0)</f>
        <v>72600000</v>
      </c>
      <c r="BQ99" s="46">
        <v>0</v>
      </c>
      <c r="BR99" s="44">
        <f>+Table_DonBan[[#This Row],[Tiền hàng]]-Table_DonBan[[#This Row],[Khuyễn mãi]]</f>
        <v>72600000</v>
      </c>
      <c r="BT99" s="49" t="s">
        <v>59</v>
      </c>
      <c r="BU99" s="50" t="s">
        <v>143</v>
      </c>
      <c r="BV99" s="6">
        <f xml:space="preserve">
IFERROR(VLOOKUP(Table_Main[[#This Row],[Đơn bán]],Table_DonBan[],COUNTA(Table_DonBan[[#Headers],[Mã đơn bán]:[Ngày lập]]),0),0)</f>
        <v>45407</v>
      </c>
      <c r="BW99" s="51">
        <f>IFERROR(MONTH(Table_Main[[#This Row],[Ngày lên đơn]]),0)</f>
        <v>4</v>
      </c>
      <c r="BX99" s="51" t="str">
        <f>INDEX(Table_SKU[],
MATCH(Table_Main[[#This Row],[Mã SKU]],Table_SKU[Mã Sản phẩm],0),1)</f>
        <v>Nhóm 1</v>
      </c>
      <c r="BY99" s="52" t="str">
        <f xml:space="preserve">
IFERROR(VLOOKUP(Table_Main[[#This Row],[Đơn bán]],Table_DonBan[],COUNTA(Table_DonBan[[#Headers],[Mã đơn bán]:[Mã Khách]]),0),0)</f>
        <v>KH04</v>
      </c>
      <c r="BZ99" s="52" t="str">
        <f>VLOOKUP(Table_Main[[#This Row],[Khách hàng]],Table_KhachHang[],COUNTA(Table_KhachHang[[#Headers],[Mã khách]:[Phân khúc]]),0)</f>
        <v>B2B</v>
      </c>
      <c r="CA99" s="25" t="str">
        <f xml:space="preserve">
IFERROR(VLOOKUP(Table_Main[[#This Row],[Đơn bán]],Table_DonBan[],COUNTA(Table_DonBan[[#Headers],[Mã đơn bán]:[Mã NV]]),0),0)</f>
        <v>NV02</v>
      </c>
      <c r="CB99" s="7" t="str">
        <f xml:space="preserve">
IFERROR(VLOOKUP(Table_Main[[#This Row],[Đơn bán]],Table_DonBan[],COUNTA(Table_DonBan[[#Headers],[Mã đơn bán]:[Kênh]]),0),0)</f>
        <v>TT</v>
      </c>
      <c r="CC99" s="7" t="str">
        <f>VLOOKUP(Table_Main[[#This Row],[Kênh]],Table_Kenh[],COUNTA(Table_Kenh[[#Headers],[Kênh]:[Nhóm Kênh]]),0)</f>
        <v>Mạng xã hội</v>
      </c>
      <c r="CD99" s="53">
        <v>171</v>
      </c>
      <c r="CE99" s="7" t="str">
        <f>IFERROR(VLOOKUP(Table_Main[[#This Row],[Mã SKU]],Table_SKU[[Mã Sản phẩm]:[Giá bán]],COUNTA(Table_SKU[[#Headers],[Mã Sản phẩm]:[Đơn vị]]),0),0)</f>
        <v>Bộ</v>
      </c>
      <c r="CF99" s="7">
        <f>IFERROR(VLOOKUP(Table_Main[[#This Row],[Mã SKU]],Table_SKU[[Mã Sản phẩm]:[Giá bán]],COUNTA(Table_SKU[[#Headers],[Mã Sản phẩm]:[Giá bán]]),0),0)</f>
        <v>200000</v>
      </c>
      <c r="CG99" s="7">
        <f>Table_Main[[#This Row],[Giá bán]]*Table_Main[[#This Row],[Số lượng]]</f>
        <v>34200000</v>
      </c>
      <c r="CH99" s="60">
        <v>0</v>
      </c>
      <c r="CI99" s="7">
        <f>+Table_Main[[#This Row],[Thành tiền niêm yết]]-Table_Main[[#This Row],[Khuyễn mãi]]</f>
        <v>34200000</v>
      </c>
      <c r="CJ99" s="7" cm="1">
        <f t="array" ref="CJ99">VLOOKUP(Table_Main[[#This Row],[Đơn bán]],Table_DonBan[],COUNTA(Table_DonBan[[#Headers],[Mã đơn bán]:[Khuyễn mãi]]),0)*Table_Main[[#This Row],[Giá trị bán trước VAT]]/
SUM(_xlfn._xlws.FILTER(Table_Main[Giá trị bán trước VAT],
(Table_Main[Đơn bán]=Table_Main[[#This Row],[Đơn bán]])
))</f>
        <v>0</v>
      </c>
      <c r="CK99" s="7">
        <f>Table_Main[[#This Row],[Giá trị bán trước VAT]]-Table_Main[[#This Row],[Phân bổ khuyến mãi đơn]]</f>
        <v>34200000</v>
      </c>
      <c r="CL99"/>
      <c r="CM99"/>
    </row>
    <row r="100" spans="2:91" ht="16.5" x14ac:dyDescent="0.3">
      <c r="B100"/>
      <c r="R100"/>
      <c r="AG100"/>
      <c r="AH100"/>
      <c r="AI100"/>
      <c r="BK100" s="43" t="s">
        <v>100</v>
      </c>
      <c r="BL100" s="37">
        <v>44972</v>
      </c>
      <c r="BM100" s="41" t="s">
        <v>66</v>
      </c>
      <c r="BN100" s="41" t="s">
        <v>93</v>
      </c>
      <c r="BO100" s="41" t="s">
        <v>83</v>
      </c>
      <c r="BP100" s="44" cm="1">
        <f t="array" ref="BP100">IFERROR(SUM(_xlfn._xlws.FILTER(Table_Main[Giá trị bán trước VAT],
(Table_Main[Đơn bán]=Table_DonBan[[#This Row],[Mã đơn bán]]),
)),0)</f>
        <v>72300000</v>
      </c>
      <c r="BQ100" s="46">
        <v>0</v>
      </c>
      <c r="BR100" s="44">
        <f>+Table_DonBan[[#This Row],[Tiền hàng]]-Table_DonBan[[#This Row],[Khuyễn mãi]]</f>
        <v>72300000</v>
      </c>
      <c r="BT100" s="49" t="s">
        <v>60</v>
      </c>
      <c r="BU100" s="50" t="s">
        <v>143</v>
      </c>
      <c r="BV100" s="6">
        <f xml:space="preserve">
IFERROR(VLOOKUP(Table_Main[[#This Row],[Đơn bán]],Table_DonBan[],COUNTA(Table_DonBan[[#Headers],[Mã đơn bán]:[Ngày lập]]),0),0)</f>
        <v>45407</v>
      </c>
      <c r="BW100" s="51">
        <f>IFERROR(MONTH(Table_Main[[#This Row],[Ngày lên đơn]]),0)</f>
        <v>4</v>
      </c>
      <c r="BX100" s="51" t="str">
        <f>INDEX(Table_SKU[],
MATCH(Table_Main[[#This Row],[Mã SKU]],Table_SKU[Mã Sản phẩm],0),1)</f>
        <v>Nhóm 2</v>
      </c>
      <c r="BY100" s="52" t="str">
        <f xml:space="preserve">
IFERROR(VLOOKUP(Table_Main[[#This Row],[Đơn bán]],Table_DonBan[],COUNTA(Table_DonBan[[#Headers],[Mã đơn bán]:[Mã Khách]]),0),0)</f>
        <v>KH04</v>
      </c>
      <c r="BZ100" s="52" t="str">
        <f>VLOOKUP(Table_Main[[#This Row],[Khách hàng]],Table_KhachHang[],COUNTA(Table_KhachHang[[#Headers],[Mã khách]:[Phân khúc]]),0)</f>
        <v>B2B</v>
      </c>
      <c r="CA100" s="25" t="str">
        <f xml:space="preserve">
IFERROR(VLOOKUP(Table_Main[[#This Row],[Đơn bán]],Table_DonBan[],COUNTA(Table_DonBan[[#Headers],[Mã đơn bán]:[Mã NV]]),0),0)</f>
        <v>NV02</v>
      </c>
      <c r="CB100" s="7" t="str">
        <f xml:space="preserve">
IFERROR(VLOOKUP(Table_Main[[#This Row],[Đơn bán]],Table_DonBan[],COUNTA(Table_DonBan[[#Headers],[Mã đơn bán]:[Kênh]]),0),0)</f>
        <v>TT</v>
      </c>
      <c r="CC100" s="7" t="str">
        <f>VLOOKUP(Table_Main[[#This Row],[Kênh]],Table_Kenh[],COUNTA(Table_Kenh[[#Headers],[Kênh]:[Nhóm Kênh]]),0)</f>
        <v>Mạng xã hội</v>
      </c>
      <c r="CD100" s="53">
        <v>127</v>
      </c>
      <c r="CE100" s="7" t="str">
        <f>IFERROR(VLOOKUP(Table_Main[[#This Row],[Mã SKU]],Table_SKU[[Mã Sản phẩm]:[Giá bán]],COUNTA(Table_SKU[[#Headers],[Mã Sản phẩm]:[Đơn vị]]),0),0)</f>
        <v>Bộ</v>
      </c>
      <c r="CF100" s="7">
        <f>IFERROR(VLOOKUP(Table_Main[[#This Row],[Mã SKU]],Table_SKU[[Mã Sản phẩm]:[Giá bán]],COUNTA(Table_SKU[[#Headers],[Mã Sản phẩm]:[Giá bán]]),0),0)</f>
        <v>300000</v>
      </c>
      <c r="CG100" s="7">
        <f>Table_Main[[#This Row],[Giá bán]]*Table_Main[[#This Row],[Số lượng]]</f>
        <v>38100000</v>
      </c>
      <c r="CH100" s="60">
        <v>0</v>
      </c>
      <c r="CI100" s="7">
        <f>+Table_Main[[#This Row],[Thành tiền niêm yết]]-Table_Main[[#This Row],[Khuyễn mãi]]</f>
        <v>38100000</v>
      </c>
      <c r="CJ100" s="7" cm="1">
        <f t="array" ref="CJ100">VLOOKUP(Table_Main[[#This Row],[Đơn bán]],Table_DonBan[],COUNTA(Table_DonBan[[#Headers],[Mã đơn bán]:[Khuyễn mãi]]),0)*Table_Main[[#This Row],[Giá trị bán trước VAT]]/
SUM(_xlfn._xlws.FILTER(Table_Main[Giá trị bán trước VAT],
(Table_Main[Đơn bán]=Table_Main[[#This Row],[Đơn bán]])
))</f>
        <v>0</v>
      </c>
      <c r="CK100" s="7">
        <f>Table_Main[[#This Row],[Giá trị bán trước VAT]]-Table_Main[[#This Row],[Phân bổ khuyến mãi đơn]]</f>
        <v>38100000</v>
      </c>
      <c r="CL100"/>
      <c r="CM100"/>
    </row>
    <row r="101" spans="2:91" ht="16.5" x14ac:dyDescent="0.3">
      <c r="B101"/>
      <c r="R101"/>
      <c r="AG101"/>
      <c r="AH101"/>
      <c r="AI101"/>
      <c r="BK101" s="43" t="s">
        <v>99</v>
      </c>
      <c r="BL101" s="37">
        <v>44962</v>
      </c>
      <c r="BM101" s="41" t="s">
        <v>68</v>
      </c>
      <c r="BN101" s="41" t="s">
        <v>92</v>
      </c>
      <c r="BO101" s="41" t="s">
        <v>85</v>
      </c>
      <c r="BP101" s="44" cm="1">
        <f t="array" ref="BP101">IFERROR(SUM(_xlfn._xlws.FILTER(Table_Main[Giá trị bán trước VAT],
(Table_Main[Đơn bán]=Table_DonBan[[#This Row],[Mã đơn bán]]),
)),0)</f>
        <v>70800000</v>
      </c>
      <c r="BQ101" s="46">
        <v>0</v>
      </c>
      <c r="BR101" s="44">
        <f>+Table_DonBan[[#This Row],[Tiền hàng]]-Table_DonBan[[#This Row],[Khuyễn mãi]]</f>
        <v>70800000</v>
      </c>
      <c r="BT101" s="49" t="s">
        <v>61</v>
      </c>
      <c r="BU101" s="50" t="s">
        <v>143</v>
      </c>
      <c r="BV101" s="6">
        <f xml:space="preserve">
IFERROR(VLOOKUP(Table_Main[[#This Row],[Đơn bán]],Table_DonBan[],COUNTA(Table_DonBan[[#Headers],[Mã đơn bán]:[Ngày lập]]),0),0)</f>
        <v>45407</v>
      </c>
      <c r="BW101" s="51">
        <f>IFERROR(MONTH(Table_Main[[#This Row],[Ngày lên đơn]]),0)</f>
        <v>4</v>
      </c>
      <c r="BX101" s="51" t="str">
        <f>INDEX(Table_SKU[],
MATCH(Table_Main[[#This Row],[Mã SKU]],Table_SKU[Mã Sản phẩm],0),1)</f>
        <v>Nhóm 3</v>
      </c>
      <c r="BY101" s="10" t="str">
        <f xml:space="preserve">
IFERROR(VLOOKUP(Table_Main[[#This Row],[Đơn bán]],Table_DonBan[],COUNTA(Table_DonBan[[#Headers],[Mã đơn bán]:[Mã Khách]]),0),0)</f>
        <v>KH04</v>
      </c>
      <c r="BZ101" s="10" t="str">
        <f>VLOOKUP(Table_Main[[#This Row],[Khách hàng]],Table_KhachHang[],COUNTA(Table_KhachHang[[#Headers],[Mã khách]:[Phân khúc]]),0)</f>
        <v>B2B</v>
      </c>
      <c r="CA101" s="25" t="str">
        <f xml:space="preserve">
IFERROR(VLOOKUP(Table_Main[[#This Row],[Đơn bán]],Table_DonBan[],COUNTA(Table_DonBan[[#Headers],[Mã đơn bán]:[Mã NV]]),0),0)</f>
        <v>NV02</v>
      </c>
      <c r="CB101" s="7" t="str">
        <f xml:space="preserve">
IFERROR(VLOOKUP(Table_Main[[#This Row],[Đơn bán]],Table_DonBan[],COUNTA(Table_DonBan[[#Headers],[Mã đơn bán]:[Kênh]]),0),0)</f>
        <v>TT</v>
      </c>
      <c r="CC101" s="7" t="str">
        <f>VLOOKUP(Table_Main[[#This Row],[Kênh]],Table_Kenh[],COUNTA(Table_Kenh[[#Headers],[Kênh]:[Nhóm Kênh]]),0)</f>
        <v>Mạng xã hội</v>
      </c>
      <c r="CD101" s="53">
        <v>98</v>
      </c>
      <c r="CE101" s="7" t="str">
        <f>IFERROR(VLOOKUP(Table_Main[[#This Row],[Mã SKU]],Table_SKU[[Mã Sản phẩm]:[Giá bán]],COUNTA(Table_SKU[[#Headers],[Mã Sản phẩm]:[Đơn vị]]),0),0)</f>
        <v>Bộ</v>
      </c>
      <c r="CF101" s="7">
        <f>IFERROR(VLOOKUP(Table_Main[[#This Row],[Mã SKU]],Table_SKU[[Mã Sản phẩm]:[Giá bán]],COUNTA(Table_SKU[[#Headers],[Mã Sản phẩm]:[Giá bán]]),0),0)</f>
        <v>500000</v>
      </c>
      <c r="CG101" s="7">
        <f>Table_Main[[#This Row],[Giá bán]]*Table_Main[[#This Row],[Số lượng]]</f>
        <v>49000000</v>
      </c>
      <c r="CH101" s="60">
        <v>0</v>
      </c>
      <c r="CI101" s="7">
        <f>+Table_Main[[#This Row],[Thành tiền niêm yết]]-Table_Main[[#This Row],[Khuyễn mãi]]</f>
        <v>49000000</v>
      </c>
      <c r="CJ101" s="7" cm="1">
        <f t="array" ref="CJ101">VLOOKUP(Table_Main[[#This Row],[Đơn bán]],Table_DonBan[],COUNTA(Table_DonBan[[#Headers],[Mã đơn bán]:[Khuyễn mãi]]),0)*Table_Main[[#This Row],[Giá trị bán trước VAT]]/
SUM(_xlfn._xlws.FILTER(Table_Main[Giá trị bán trước VAT],
(Table_Main[Đơn bán]=Table_Main[[#This Row],[Đơn bán]])
))</f>
        <v>0</v>
      </c>
      <c r="CK101" s="7">
        <f>Table_Main[[#This Row],[Giá trị bán trước VAT]]-Table_Main[[#This Row],[Phân bổ khuyến mãi đơn]]</f>
        <v>49000000</v>
      </c>
      <c r="CL101"/>
      <c r="CM101"/>
    </row>
    <row r="102" spans="2:91" ht="16.5" x14ac:dyDescent="0.3">
      <c r="B102"/>
      <c r="R102"/>
      <c r="AG102"/>
      <c r="AH102"/>
      <c r="AI102"/>
      <c r="BK102" s="43" t="s">
        <v>98</v>
      </c>
      <c r="BL102" s="37">
        <v>44951</v>
      </c>
      <c r="BM102" s="41" t="s">
        <v>67</v>
      </c>
      <c r="BN102" s="41" t="s">
        <v>92</v>
      </c>
      <c r="BO102" s="41" t="s">
        <v>87</v>
      </c>
      <c r="BP102" s="44" cm="1">
        <f t="array" ref="BP102">IFERROR(SUM(_xlfn._xlws.FILTER(Table_Main[Giá trị bán trước VAT],
(Table_Main[Đơn bán]=Table_DonBan[[#This Row],[Mã đơn bán]]),
)),0)</f>
        <v>69800000</v>
      </c>
      <c r="BQ102" s="46">
        <v>0</v>
      </c>
      <c r="BR102" s="44">
        <f>+Table_DonBan[[#This Row],[Tiền hàng]]-Table_DonBan[[#This Row],[Khuyễn mãi]]</f>
        <v>69800000</v>
      </c>
      <c r="BT102" s="49" t="s">
        <v>59</v>
      </c>
      <c r="BU102" s="50" t="s">
        <v>142</v>
      </c>
      <c r="BV102" s="6">
        <f xml:space="preserve">
IFERROR(VLOOKUP(Table_Main[[#This Row],[Đơn bán]],Table_DonBan[],COUNTA(Table_DonBan[[#Headers],[Mã đơn bán]:[Ngày lập]]),0),0)</f>
        <v>45397</v>
      </c>
      <c r="BW102" s="51">
        <f>IFERROR(MONTH(Table_Main[[#This Row],[Ngày lên đơn]]),0)</f>
        <v>4</v>
      </c>
      <c r="BX102" s="51" t="str">
        <f>INDEX(Table_SKU[],
MATCH(Table_Main[[#This Row],[Mã SKU]],Table_SKU[Mã Sản phẩm],0),1)</f>
        <v>Nhóm 1</v>
      </c>
      <c r="BY102" s="52" t="str">
        <f xml:space="preserve">
IFERROR(VLOOKUP(Table_Main[[#This Row],[Đơn bán]],Table_DonBan[],COUNTA(Table_DonBan[[#Headers],[Mã đơn bán]:[Mã Khách]]),0),0)</f>
        <v>KH03</v>
      </c>
      <c r="BZ102" s="52" t="str">
        <f>VLOOKUP(Table_Main[[#This Row],[Khách hàng]],Table_KhachHang[],COUNTA(Table_KhachHang[[#Headers],[Mã khách]:[Phân khúc]]),0)</f>
        <v>B2C</v>
      </c>
      <c r="CA102" s="25" t="str">
        <f xml:space="preserve">
IFERROR(VLOOKUP(Table_Main[[#This Row],[Đơn bán]],Table_DonBan[],COUNTA(Table_DonBan[[#Headers],[Mã đơn bán]:[Mã NV]]),0),0)</f>
        <v>NV02</v>
      </c>
      <c r="CB102" s="7" t="str">
        <f xml:space="preserve">
IFERROR(VLOOKUP(Table_Main[[#This Row],[Đơn bán]],Table_DonBan[],COUNTA(Table_DonBan[[#Headers],[Mã đơn bán]:[Kênh]]),0),0)</f>
        <v>ST</v>
      </c>
      <c r="CC102" s="7" t="str">
        <f>VLOOKUP(Table_Main[[#This Row],[Kênh]],Table_Kenh[],COUNTA(Table_Kenh[[#Headers],[Kênh]:[Nhóm Kênh]]),0)</f>
        <v>Offline</v>
      </c>
      <c r="CD102" s="53">
        <v>169</v>
      </c>
      <c r="CE102" s="7" t="str">
        <f>IFERROR(VLOOKUP(Table_Main[[#This Row],[Mã SKU]],Table_SKU[[Mã Sản phẩm]:[Giá bán]],COUNTA(Table_SKU[[#Headers],[Mã Sản phẩm]:[Đơn vị]]),0),0)</f>
        <v>Bộ</v>
      </c>
      <c r="CF102" s="7">
        <f>IFERROR(VLOOKUP(Table_Main[[#This Row],[Mã SKU]],Table_SKU[[Mã Sản phẩm]:[Giá bán]],COUNTA(Table_SKU[[#Headers],[Mã Sản phẩm]:[Giá bán]]),0),0)</f>
        <v>200000</v>
      </c>
      <c r="CG102" s="7">
        <f>Table_Main[[#This Row],[Giá bán]]*Table_Main[[#This Row],[Số lượng]]</f>
        <v>33800000</v>
      </c>
      <c r="CH102" s="60">
        <v>0</v>
      </c>
      <c r="CI102" s="7">
        <f>+Table_Main[[#This Row],[Thành tiền niêm yết]]-Table_Main[[#This Row],[Khuyễn mãi]]</f>
        <v>33800000</v>
      </c>
      <c r="CJ102" s="7" cm="1">
        <f t="array" ref="CJ102">VLOOKUP(Table_Main[[#This Row],[Đơn bán]],Table_DonBan[],COUNTA(Table_DonBan[[#Headers],[Mã đơn bán]:[Khuyễn mãi]]),0)*Table_Main[[#This Row],[Giá trị bán trước VAT]]/
SUM(_xlfn._xlws.FILTER(Table_Main[Giá trị bán trước VAT],
(Table_Main[Đơn bán]=Table_Main[[#This Row],[Đơn bán]])
))</f>
        <v>0</v>
      </c>
      <c r="CK102" s="7">
        <f>Table_Main[[#This Row],[Giá trị bán trước VAT]]-Table_Main[[#This Row],[Phân bổ khuyến mãi đơn]]</f>
        <v>33800000</v>
      </c>
      <c r="CL102"/>
      <c r="CM102"/>
    </row>
    <row r="103" spans="2:91" ht="16.5" x14ac:dyDescent="0.3">
      <c r="B103"/>
      <c r="R103"/>
      <c r="AG103"/>
      <c r="AH103"/>
      <c r="AI103"/>
      <c r="BK103" s="43" t="s">
        <v>97</v>
      </c>
      <c r="BL103" s="37">
        <v>44941</v>
      </c>
      <c r="BM103" s="41" t="s">
        <v>67</v>
      </c>
      <c r="BN103" s="41" t="s">
        <v>92</v>
      </c>
      <c r="BO103" s="41" t="s">
        <v>82</v>
      </c>
      <c r="BP103" s="44" cm="1">
        <f t="array" ref="BP103">IFERROR(SUM(_xlfn._xlws.FILTER(Table_Main[Giá trị bán trước VAT],
(Table_Main[Đơn bán]=Table_DonBan[[#This Row],[Mã đơn bán]]),
)),0)</f>
        <v>69700000</v>
      </c>
      <c r="BQ103" s="46">
        <v>0</v>
      </c>
      <c r="BR103" s="44">
        <f>+Table_DonBan[[#This Row],[Tiền hàng]]-Table_DonBan[[#This Row],[Khuyễn mãi]]</f>
        <v>69700000</v>
      </c>
      <c r="BT103" s="49" t="s">
        <v>60</v>
      </c>
      <c r="BU103" s="50" t="s">
        <v>142</v>
      </c>
      <c r="BV103" s="6">
        <f xml:space="preserve">
IFERROR(VLOOKUP(Table_Main[[#This Row],[Đơn bán]],Table_DonBan[],COUNTA(Table_DonBan[[#Headers],[Mã đơn bán]:[Ngày lập]]),0),0)</f>
        <v>45397</v>
      </c>
      <c r="BW103" s="51">
        <f>IFERROR(MONTH(Table_Main[[#This Row],[Ngày lên đơn]]),0)</f>
        <v>4</v>
      </c>
      <c r="BX103" s="51" t="str">
        <f>INDEX(Table_SKU[],
MATCH(Table_Main[[#This Row],[Mã SKU]],Table_SKU[Mã Sản phẩm],0),1)</f>
        <v>Nhóm 2</v>
      </c>
      <c r="BY103" s="52" t="str">
        <f xml:space="preserve">
IFERROR(VLOOKUP(Table_Main[[#This Row],[Đơn bán]],Table_DonBan[],COUNTA(Table_DonBan[[#Headers],[Mã đơn bán]:[Mã Khách]]),0),0)</f>
        <v>KH03</v>
      </c>
      <c r="BZ103" s="52" t="str">
        <f>VLOOKUP(Table_Main[[#This Row],[Khách hàng]],Table_KhachHang[],COUNTA(Table_KhachHang[[#Headers],[Mã khách]:[Phân khúc]]),0)</f>
        <v>B2C</v>
      </c>
      <c r="CA103" s="25" t="str">
        <f xml:space="preserve">
IFERROR(VLOOKUP(Table_Main[[#This Row],[Đơn bán]],Table_DonBan[],COUNTA(Table_DonBan[[#Headers],[Mã đơn bán]:[Mã NV]]),0),0)</f>
        <v>NV02</v>
      </c>
      <c r="CB103" s="7" t="str">
        <f xml:space="preserve">
IFERROR(VLOOKUP(Table_Main[[#This Row],[Đơn bán]],Table_DonBan[],COUNTA(Table_DonBan[[#Headers],[Mã đơn bán]:[Kênh]]),0),0)</f>
        <v>ST</v>
      </c>
      <c r="CC103" s="7" t="str">
        <f>VLOOKUP(Table_Main[[#This Row],[Kênh]],Table_Kenh[],COUNTA(Table_Kenh[[#Headers],[Kênh]:[Nhóm Kênh]]),0)</f>
        <v>Offline</v>
      </c>
      <c r="CD103" s="53">
        <v>121</v>
      </c>
      <c r="CE103" s="7" t="str">
        <f>IFERROR(VLOOKUP(Table_Main[[#This Row],[Mã SKU]],Table_SKU[[Mã Sản phẩm]:[Giá bán]],COUNTA(Table_SKU[[#Headers],[Mã Sản phẩm]:[Đơn vị]]),0),0)</f>
        <v>Bộ</v>
      </c>
      <c r="CF103" s="7">
        <f>IFERROR(VLOOKUP(Table_Main[[#This Row],[Mã SKU]],Table_SKU[[Mã Sản phẩm]:[Giá bán]],COUNTA(Table_SKU[[#Headers],[Mã Sản phẩm]:[Giá bán]]),0),0)</f>
        <v>300000</v>
      </c>
      <c r="CG103" s="7">
        <f>Table_Main[[#This Row],[Giá bán]]*Table_Main[[#This Row],[Số lượng]]</f>
        <v>36300000</v>
      </c>
      <c r="CH103" s="60">
        <v>0</v>
      </c>
      <c r="CI103" s="7">
        <f>+Table_Main[[#This Row],[Thành tiền niêm yết]]-Table_Main[[#This Row],[Khuyễn mãi]]</f>
        <v>36300000</v>
      </c>
      <c r="CJ103" s="7" cm="1">
        <f t="array" ref="CJ103">VLOOKUP(Table_Main[[#This Row],[Đơn bán]],Table_DonBan[],COUNTA(Table_DonBan[[#Headers],[Mã đơn bán]:[Khuyễn mãi]]),0)*Table_Main[[#This Row],[Giá trị bán trước VAT]]/
SUM(_xlfn._xlws.FILTER(Table_Main[Giá trị bán trước VAT],
(Table_Main[Đơn bán]=Table_Main[[#This Row],[Đơn bán]])
))</f>
        <v>0</v>
      </c>
      <c r="CK103" s="7">
        <f>Table_Main[[#This Row],[Giá trị bán trước VAT]]-Table_Main[[#This Row],[Phân bổ khuyến mãi đơn]]</f>
        <v>36300000</v>
      </c>
      <c r="CL103"/>
      <c r="CM103"/>
    </row>
    <row r="104" spans="2:91" ht="16.5" x14ac:dyDescent="0.3">
      <c r="B104"/>
      <c r="R104"/>
      <c r="AG104"/>
      <c r="AH104"/>
      <c r="AI104"/>
      <c r="BK104" s="43" t="s">
        <v>96</v>
      </c>
      <c r="BL104" s="37">
        <v>44931</v>
      </c>
      <c r="BM104" s="41" t="s">
        <v>66</v>
      </c>
      <c r="BN104" s="41" t="s">
        <v>93</v>
      </c>
      <c r="BO104" s="41" t="s">
        <v>82</v>
      </c>
      <c r="BP104" s="38" cm="1">
        <f t="array" ref="BP104">IFERROR(SUM(_xlfn._xlws.FILTER(Table_Main[Giá trị bán trước VAT],
(Table_Main[Đơn bán]=Table_DonBan[[#This Row],[Mã đơn bán]]),
)),0)</f>
        <v>69000000</v>
      </c>
      <c r="BQ104" s="45">
        <v>0</v>
      </c>
      <c r="BR104" s="38">
        <f>+Table_DonBan[[#This Row],[Tiền hàng]]-Table_DonBan[[#This Row],[Khuyễn mãi]]</f>
        <v>69000000</v>
      </c>
      <c r="BT104" s="49" t="s">
        <v>61</v>
      </c>
      <c r="BU104" s="50" t="s">
        <v>142</v>
      </c>
      <c r="BV104" s="6">
        <f xml:space="preserve">
IFERROR(VLOOKUP(Table_Main[[#This Row],[Đơn bán]],Table_DonBan[],COUNTA(Table_DonBan[[#Headers],[Mã đơn bán]:[Ngày lập]]),0),0)</f>
        <v>45397</v>
      </c>
      <c r="BW104" s="51">
        <f>IFERROR(MONTH(Table_Main[[#This Row],[Ngày lên đơn]]),0)</f>
        <v>4</v>
      </c>
      <c r="BX104" s="51" t="str">
        <f>INDEX(Table_SKU[],
MATCH(Table_Main[[#This Row],[Mã SKU]],Table_SKU[Mã Sản phẩm],0),1)</f>
        <v>Nhóm 3</v>
      </c>
      <c r="BY104" s="52" t="str">
        <f xml:space="preserve">
IFERROR(VLOOKUP(Table_Main[[#This Row],[Đơn bán]],Table_DonBan[],COUNTA(Table_DonBan[[#Headers],[Mã đơn bán]:[Mã Khách]]),0),0)</f>
        <v>KH03</v>
      </c>
      <c r="BZ104" s="52" t="str">
        <f>VLOOKUP(Table_Main[[#This Row],[Khách hàng]],Table_KhachHang[],COUNTA(Table_KhachHang[[#Headers],[Mã khách]:[Phân khúc]]),0)</f>
        <v>B2C</v>
      </c>
      <c r="CA104" s="25" t="str">
        <f xml:space="preserve">
IFERROR(VLOOKUP(Table_Main[[#This Row],[Đơn bán]],Table_DonBan[],COUNTA(Table_DonBan[[#Headers],[Mã đơn bán]:[Mã NV]]),0),0)</f>
        <v>NV02</v>
      </c>
      <c r="CB104" s="7" t="str">
        <f xml:space="preserve">
IFERROR(VLOOKUP(Table_Main[[#This Row],[Đơn bán]],Table_DonBan[],COUNTA(Table_DonBan[[#Headers],[Mã đơn bán]:[Kênh]]),0),0)</f>
        <v>ST</v>
      </c>
      <c r="CC104" s="7" t="str">
        <f>VLOOKUP(Table_Main[[#This Row],[Kênh]],Table_Kenh[],COUNTA(Table_Kenh[[#Headers],[Kênh]:[Nhóm Kênh]]),0)</f>
        <v>Offline</v>
      </c>
      <c r="CD104" s="53">
        <v>97</v>
      </c>
      <c r="CE104" s="7" t="str">
        <f>IFERROR(VLOOKUP(Table_Main[[#This Row],[Mã SKU]],Table_SKU[[Mã Sản phẩm]:[Giá bán]],COUNTA(Table_SKU[[#Headers],[Mã Sản phẩm]:[Đơn vị]]),0),0)</f>
        <v>Bộ</v>
      </c>
      <c r="CF104" s="7">
        <f>IFERROR(VLOOKUP(Table_Main[[#This Row],[Mã SKU]],Table_SKU[[Mã Sản phẩm]:[Giá bán]],COUNTA(Table_SKU[[#Headers],[Mã Sản phẩm]:[Giá bán]]),0),0)</f>
        <v>500000</v>
      </c>
      <c r="CG104" s="7">
        <f>Table_Main[[#This Row],[Giá bán]]*Table_Main[[#This Row],[Số lượng]]</f>
        <v>48500000</v>
      </c>
      <c r="CH104" s="60">
        <v>0</v>
      </c>
      <c r="CI104" s="7">
        <f>+Table_Main[[#This Row],[Thành tiền niêm yết]]-Table_Main[[#This Row],[Khuyễn mãi]]</f>
        <v>48500000</v>
      </c>
      <c r="CJ104" s="7" cm="1">
        <f t="array" ref="CJ104">VLOOKUP(Table_Main[[#This Row],[Đơn bán]],Table_DonBan[],COUNTA(Table_DonBan[[#Headers],[Mã đơn bán]:[Khuyễn mãi]]),0)*Table_Main[[#This Row],[Giá trị bán trước VAT]]/
SUM(_xlfn._xlws.FILTER(Table_Main[Giá trị bán trước VAT],
(Table_Main[Đơn bán]=Table_Main[[#This Row],[Đơn bán]])
))</f>
        <v>0</v>
      </c>
      <c r="CK104" s="7">
        <f>Table_Main[[#This Row],[Giá trị bán trước VAT]]-Table_Main[[#This Row],[Phân bổ khuyến mãi đơn]]</f>
        <v>48500000</v>
      </c>
      <c r="CL104"/>
      <c r="CM104"/>
    </row>
    <row r="105" spans="2:91" ht="16.5" x14ac:dyDescent="0.3">
      <c r="B105"/>
      <c r="R105"/>
      <c r="AG105"/>
      <c r="AH105"/>
      <c r="AI105"/>
      <c r="BT105" s="49" t="s">
        <v>59</v>
      </c>
      <c r="BU105" s="50" t="s">
        <v>141</v>
      </c>
      <c r="BV105" s="6">
        <f xml:space="preserve">
IFERROR(VLOOKUP(Table_Main[[#This Row],[Đơn bán]],Table_DonBan[],COUNTA(Table_DonBan[[#Headers],[Mã đơn bán]:[Ngày lập]]),0),0)</f>
        <v>45387</v>
      </c>
      <c r="BW105" s="51">
        <f>IFERROR(MONTH(Table_Main[[#This Row],[Ngày lên đơn]]),0)</f>
        <v>4</v>
      </c>
      <c r="BX105" s="51" t="str">
        <f>INDEX(Table_SKU[],
MATCH(Table_Main[[#This Row],[Mã SKU]],Table_SKU[Mã Sản phẩm],0),1)</f>
        <v>Nhóm 1</v>
      </c>
      <c r="BY105" s="52" t="str">
        <f xml:space="preserve">
IFERROR(VLOOKUP(Table_Main[[#This Row],[Đơn bán]],Table_DonBan[],COUNTA(Table_DonBan[[#Headers],[Mã đơn bán]:[Mã Khách]]),0),0)</f>
        <v>KH03</v>
      </c>
      <c r="BZ105" s="52" t="str">
        <f>VLOOKUP(Table_Main[[#This Row],[Khách hàng]],Table_KhachHang[],COUNTA(Table_KhachHang[[#Headers],[Mã khách]:[Phân khúc]]),0)</f>
        <v>B2C</v>
      </c>
      <c r="CA105" s="25" t="str">
        <f xml:space="preserve">
IFERROR(VLOOKUP(Table_Main[[#This Row],[Đơn bán]],Table_DonBan[],COUNTA(Table_DonBan[[#Headers],[Mã đơn bán]:[Mã NV]]),0),0)</f>
        <v>NV02</v>
      </c>
      <c r="CB105" s="7" t="str">
        <f xml:space="preserve">
IFERROR(VLOOKUP(Table_Main[[#This Row],[Đơn bán]],Table_DonBan[],COUNTA(Table_DonBan[[#Headers],[Mã đơn bán]:[Kênh]]),0),0)</f>
        <v>LZ</v>
      </c>
      <c r="CC105" s="7" t="str">
        <f>VLOOKUP(Table_Main[[#This Row],[Kênh]],Table_Kenh[],COUNTA(Table_Kenh[[#Headers],[Kênh]:[Nhóm Kênh]]),0)</f>
        <v>Sàn TMĐT</v>
      </c>
      <c r="CD105" s="53">
        <v>172</v>
      </c>
      <c r="CE105" s="7" t="str">
        <f>IFERROR(VLOOKUP(Table_Main[[#This Row],[Mã SKU]],Table_SKU[[Mã Sản phẩm]:[Giá bán]],COUNTA(Table_SKU[[#Headers],[Mã Sản phẩm]:[Đơn vị]]),0),0)</f>
        <v>Bộ</v>
      </c>
      <c r="CF105" s="7">
        <f>IFERROR(VLOOKUP(Table_Main[[#This Row],[Mã SKU]],Table_SKU[[Mã Sản phẩm]:[Giá bán]],COUNTA(Table_SKU[[#Headers],[Mã Sản phẩm]:[Giá bán]]),0),0)</f>
        <v>200000</v>
      </c>
      <c r="CG105" s="7">
        <f>Table_Main[[#This Row],[Giá bán]]*Table_Main[[#This Row],[Số lượng]]</f>
        <v>34400000</v>
      </c>
      <c r="CH105" s="60">
        <v>0</v>
      </c>
      <c r="CI105" s="7">
        <f>+Table_Main[[#This Row],[Thành tiền niêm yết]]-Table_Main[[#This Row],[Khuyễn mãi]]</f>
        <v>34400000</v>
      </c>
      <c r="CJ105" s="7" cm="1">
        <f t="array" ref="CJ105">VLOOKUP(Table_Main[[#This Row],[Đơn bán]],Table_DonBan[],COUNTA(Table_DonBan[[#Headers],[Mã đơn bán]:[Khuyễn mãi]]),0)*Table_Main[[#This Row],[Giá trị bán trước VAT]]/
SUM(_xlfn._xlws.FILTER(Table_Main[Giá trị bán trước VAT],
(Table_Main[Đơn bán]=Table_Main[[#This Row],[Đơn bán]])
))</f>
        <v>0</v>
      </c>
      <c r="CK105" s="7">
        <f>Table_Main[[#This Row],[Giá trị bán trước VAT]]-Table_Main[[#This Row],[Phân bổ khuyến mãi đơn]]</f>
        <v>34400000</v>
      </c>
      <c r="CL105"/>
      <c r="CM105"/>
    </row>
    <row r="106" spans="2:91" ht="16.5" x14ac:dyDescent="0.3">
      <c r="AG106"/>
      <c r="AH106"/>
      <c r="AI106"/>
      <c r="BT106" s="49" t="s">
        <v>60</v>
      </c>
      <c r="BU106" s="50" t="s">
        <v>141</v>
      </c>
      <c r="BV106" s="6">
        <f xml:space="preserve">
IFERROR(VLOOKUP(Table_Main[[#This Row],[Đơn bán]],Table_DonBan[],COUNTA(Table_DonBan[[#Headers],[Mã đơn bán]:[Ngày lập]]),0),0)</f>
        <v>45387</v>
      </c>
      <c r="BW106" s="51">
        <f>IFERROR(MONTH(Table_Main[[#This Row],[Ngày lên đơn]]),0)</f>
        <v>4</v>
      </c>
      <c r="BX106" s="51" t="str">
        <f>INDEX(Table_SKU[],
MATCH(Table_Main[[#This Row],[Mã SKU]],Table_SKU[Mã Sản phẩm],0),1)</f>
        <v>Nhóm 2</v>
      </c>
      <c r="BY106" s="52" t="str">
        <f xml:space="preserve">
IFERROR(VLOOKUP(Table_Main[[#This Row],[Đơn bán]],Table_DonBan[],COUNTA(Table_DonBan[[#Headers],[Mã đơn bán]:[Mã Khách]]),0),0)</f>
        <v>KH03</v>
      </c>
      <c r="BZ106" s="52" t="str">
        <f>VLOOKUP(Table_Main[[#This Row],[Khách hàng]],Table_KhachHang[],COUNTA(Table_KhachHang[[#Headers],[Mã khách]:[Phân khúc]]),0)</f>
        <v>B2C</v>
      </c>
      <c r="CA106" s="25" t="str">
        <f xml:space="preserve">
IFERROR(VLOOKUP(Table_Main[[#This Row],[Đơn bán]],Table_DonBan[],COUNTA(Table_DonBan[[#Headers],[Mã đơn bán]:[Mã NV]]),0),0)</f>
        <v>NV02</v>
      </c>
      <c r="CB106" s="7" t="str">
        <f xml:space="preserve">
IFERROR(VLOOKUP(Table_Main[[#This Row],[Đơn bán]],Table_DonBan[],COUNTA(Table_DonBan[[#Headers],[Mã đơn bán]:[Kênh]]),0),0)</f>
        <v>LZ</v>
      </c>
      <c r="CC106" s="7" t="str">
        <f>VLOOKUP(Table_Main[[#This Row],[Kênh]],Table_Kenh[],COUNTA(Table_Kenh[[#Headers],[Kênh]:[Nhóm Kênh]]),0)</f>
        <v>Sàn TMĐT</v>
      </c>
      <c r="CD106" s="53">
        <v>116</v>
      </c>
      <c r="CE106" s="7" t="str">
        <f>IFERROR(VLOOKUP(Table_Main[[#This Row],[Mã SKU]],Table_SKU[[Mã Sản phẩm]:[Giá bán]],COUNTA(Table_SKU[[#Headers],[Mã Sản phẩm]:[Đơn vị]]),0),0)</f>
        <v>Bộ</v>
      </c>
      <c r="CF106" s="7">
        <f>IFERROR(VLOOKUP(Table_Main[[#This Row],[Mã SKU]],Table_SKU[[Mã Sản phẩm]:[Giá bán]],COUNTA(Table_SKU[[#Headers],[Mã Sản phẩm]:[Giá bán]]),0),0)</f>
        <v>300000</v>
      </c>
      <c r="CG106" s="7">
        <f>Table_Main[[#This Row],[Giá bán]]*Table_Main[[#This Row],[Số lượng]]</f>
        <v>34800000</v>
      </c>
      <c r="CH106" s="60">
        <v>0</v>
      </c>
      <c r="CI106" s="7">
        <f>+Table_Main[[#This Row],[Thành tiền niêm yết]]-Table_Main[[#This Row],[Khuyễn mãi]]</f>
        <v>34800000</v>
      </c>
      <c r="CJ106" s="7" cm="1">
        <f t="array" ref="CJ106">VLOOKUP(Table_Main[[#This Row],[Đơn bán]],Table_DonBan[],COUNTA(Table_DonBan[[#Headers],[Mã đơn bán]:[Khuyễn mãi]]),0)*Table_Main[[#This Row],[Giá trị bán trước VAT]]/
SUM(_xlfn._xlws.FILTER(Table_Main[Giá trị bán trước VAT],
(Table_Main[Đơn bán]=Table_Main[[#This Row],[Đơn bán]])
))</f>
        <v>0</v>
      </c>
      <c r="CK106" s="7">
        <f>Table_Main[[#This Row],[Giá trị bán trước VAT]]-Table_Main[[#This Row],[Phân bổ khuyến mãi đơn]]</f>
        <v>34800000</v>
      </c>
      <c r="CL106"/>
      <c r="CM106"/>
    </row>
    <row r="107" spans="2:91" ht="16.5" x14ac:dyDescent="0.3">
      <c r="AG107"/>
      <c r="AH107"/>
      <c r="AI107"/>
      <c r="BT107" s="49" t="s">
        <v>61</v>
      </c>
      <c r="BU107" s="50" t="s">
        <v>141</v>
      </c>
      <c r="BV107" s="6">
        <f xml:space="preserve">
IFERROR(VLOOKUP(Table_Main[[#This Row],[Đơn bán]],Table_DonBan[],COUNTA(Table_DonBan[[#Headers],[Mã đơn bán]:[Ngày lập]]),0),0)</f>
        <v>45387</v>
      </c>
      <c r="BW107" s="51">
        <f>IFERROR(MONTH(Table_Main[[#This Row],[Ngày lên đơn]]),0)</f>
        <v>4</v>
      </c>
      <c r="BX107" s="51" t="str">
        <f>INDEX(Table_SKU[],
MATCH(Table_Main[[#This Row],[Mã SKU]],Table_SKU[Mã Sản phẩm],0),1)</f>
        <v>Nhóm 3</v>
      </c>
      <c r="BY107" s="52" t="str">
        <f xml:space="preserve">
IFERROR(VLOOKUP(Table_Main[[#This Row],[Đơn bán]],Table_DonBan[],COUNTA(Table_DonBan[[#Headers],[Mã đơn bán]:[Mã Khách]]),0),0)</f>
        <v>KH03</v>
      </c>
      <c r="BZ107" s="52" t="str">
        <f>VLOOKUP(Table_Main[[#This Row],[Khách hàng]],Table_KhachHang[],COUNTA(Table_KhachHang[[#Headers],[Mã khách]:[Phân khúc]]),0)</f>
        <v>B2C</v>
      </c>
      <c r="CA107" s="25" t="str">
        <f xml:space="preserve">
IFERROR(VLOOKUP(Table_Main[[#This Row],[Đơn bán]],Table_DonBan[],COUNTA(Table_DonBan[[#Headers],[Mã đơn bán]:[Mã NV]]),0),0)</f>
        <v>NV02</v>
      </c>
      <c r="CB107" s="7" t="str">
        <f xml:space="preserve">
IFERROR(VLOOKUP(Table_Main[[#This Row],[Đơn bán]],Table_DonBan[],COUNTA(Table_DonBan[[#Headers],[Mã đơn bán]:[Kênh]]),0),0)</f>
        <v>LZ</v>
      </c>
      <c r="CC107" s="7" t="str">
        <f>VLOOKUP(Table_Main[[#This Row],[Kênh]],Table_Kenh[],COUNTA(Table_Kenh[[#Headers],[Kênh]:[Nhóm Kênh]]),0)</f>
        <v>Sàn TMĐT</v>
      </c>
      <c r="CD107" s="53">
        <v>92</v>
      </c>
      <c r="CE107" s="7" t="str">
        <f>IFERROR(VLOOKUP(Table_Main[[#This Row],[Mã SKU]],Table_SKU[[Mã Sản phẩm]:[Giá bán]],COUNTA(Table_SKU[[#Headers],[Mã Sản phẩm]:[Đơn vị]]),0),0)</f>
        <v>Bộ</v>
      </c>
      <c r="CF107" s="7">
        <f>IFERROR(VLOOKUP(Table_Main[[#This Row],[Mã SKU]],Table_SKU[[Mã Sản phẩm]:[Giá bán]],COUNTA(Table_SKU[[#Headers],[Mã Sản phẩm]:[Giá bán]]),0),0)</f>
        <v>500000</v>
      </c>
      <c r="CG107" s="7">
        <f>Table_Main[[#This Row],[Giá bán]]*Table_Main[[#This Row],[Số lượng]]</f>
        <v>46000000</v>
      </c>
      <c r="CH107" s="60">
        <v>0</v>
      </c>
      <c r="CI107" s="7">
        <f>+Table_Main[[#This Row],[Thành tiền niêm yết]]-Table_Main[[#This Row],[Khuyễn mãi]]</f>
        <v>46000000</v>
      </c>
      <c r="CJ107" s="7" cm="1">
        <f t="array" ref="CJ107">VLOOKUP(Table_Main[[#This Row],[Đơn bán]],Table_DonBan[],COUNTA(Table_DonBan[[#Headers],[Mã đơn bán]:[Khuyễn mãi]]),0)*Table_Main[[#This Row],[Giá trị bán trước VAT]]/
SUM(_xlfn._xlws.FILTER(Table_Main[Giá trị bán trước VAT],
(Table_Main[Đơn bán]=Table_Main[[#This Row],[Đơn bán]])
))</f>
        <v>0</v>
      </c>
      <c r="CK107" s="7">
        <f>Table_Main[[#This Row],[Giá trị bán trước VAT]]-Table_Main[[#This Row],[Phân bổ khuyến mãi đơn]]</f>
        <v>46000000</v>
      </c>
      <c r="CL107"/>
      <c r="CM107"/>
    </row>
    <row r="108" spans="2:91" ht="16.5" x14ac:dyDescent="0.3">
      <c r="AG108"/>
      <c r="AH108"/>
      <c r="AI108"/>
      <c r="BT108" s="54" t="s">
        <v>59</v>
      </c>
      <c r="BU108" s="55" t="s">
        <v>140</v>
      </c>
      <c r="BV108" s="56">
        <f xml:space="preserve">
IFERROR(VLOOKUP(Table_Main[[#This Row],[Đơn bán]],Table_DonBan[],COUNTA(Table_DonBan[[#Headers],[Mã đơn bán]:[Ngày lập]]),0),0)</f>
        <v>45376</v>
      </c>
      <c r="BW108" s="51">
        <f>IFERROR(MONTH(Table_Main[[#This Row],[Ngày lên đơn]]),0)</f>
        <v>3</v>
      </c>
      <c r="BX108" s="51" t="str">
        <f>INDEX(Table_SKU[],
MATCH(Table_Main[[#This Row],[Mã SKU]],Table_SKU[Mã Sản phẩm],0),1)</f>
        <v>Nhóm 1</v>
      </c>
      <c r="BY108" s="52" t="str">
        <f xml:space="preserve">
IFERROR(VLOOKUP(Table_Main[[#This Row],[Đơn bán]],Table_DonBan[],COUNTA(Table_DonBan[[#Headers],[Mã đơn bán]:[Mã Khách]]),0),0)</f>
        <v>KH05</v>
      </c>
      <c r="BZ108" s="52" t="str">
        <f>VLOOKUP(Table_Main[[#This Row],[Khách hàng]],Table_KhachHang[],COUNTA(Table_KhachHang[[#Headers],[Mã khách]:[Phân khúc]]),0)</f>
        <v>B2C</v>
      </c>
      <c r="CA108" s="57" t="str">
        <f xml:space="preserve">
IFERROR(VLOOKUP(Table_Main[[#This Row],[Đơn bán]],Table_DonBan[],COUNTA(Table_DonBan[[#Headers],[Mã đơn bán]:[Mã NV]]),0),0)</f>
        <v>NV03</v>
      </c>
      <c r="CB108" s="58" t="str">
        <f xml:space="preserve">
IFERROR(VLOOKUP(Table_Main[[#This Row],[Đơn bán]],Table_DonBan[],COUNTA(Table_DonBan[[#Headers],[Mã đơn bán]:[Kênh]]),0),0)</f>
        <v>ST</v>
      </c>
      <c r="CC108" s="58" t="str">
        <f>VLOOKUP(Table_Main[[#This Row],[Kênh]],Table_Kenh[],COUNTA(Table_Kenh[[#Headers],[Kênh]:[Nhóm Kênh]]),0)</f>
        <v>Offline</v>
      </c>
      <c r="CD108" s="59">
        <v>164</v>
      </c>
      <c r="CE108" s="58" t="str">
        <f>IFERROR(VLOOKUP(Table_Main[[#This Row],[Mã SKU]],Table_SKU[[Mã Sản phẩm]:[Giá bán]],COUNTA(Table_SKU[[#Headers],[Mã Sản phẩm]:[Đơn vị]]),0),0)</f>
        <v>Bộ</v>
      </c>
      <c r="CF108" s="58">
        <f>IFERROR(VLOOKUP(Table_Main[[#This Row],[Mã SKU]],Table_SKU[[Mã Sản phẩm]:[Giá bán]],COUNTA(Table_SKU[[#Headers],[Mã Sản phẩm]:[Giá bán]]),0),0)</f>
        <v>200000</v>
      </c>
      <c r="CG108" s="58">
        <f>Table_Main[[#This Row],[Giá bán]]*Table_Main[[#This Row],[Số lượng]]</f>
        <v>32800000</v>
      </c>
      <c r="CH108" s="61">
        <v>0</v>
      </c>
      <c r="CI108" s="58">
        <f>+Table_Main[[#This Row],[Thành tiền niêm yết]]-Table_Main[[#This Row],[Khuyễn mãi]]</f>
        <v>32800000</v>
      </c>
      <c r="CJ108" s="7" cm="1">
        <f t="array" ref="CJ108">VLOOKUP(Table_Main[[#This Row],[Đơn bán]],Table_DonBan[],COUNTA(Table_DonBan[[#Headers],[Mã đơn bán]:[Khuyễn mãi]]),0)*Table_Main[[#This Row],[Giá trị bán trước VAT]]/
SUM(_xlfn._xlws.FILTER(Table_Main[Giá trị bán trước VAT],
(Table_Main[Đơn bán]=Table_Main[[#This Row],[Đơn bán]])
))</f>
        <v>0</v>
      </c>
      <c r="CK108" s="7">
        <f>Table_Main[[#This Row],[Giá trị bán trước VAT]]-Table_Main[[#This Row],[Phân bổ khuyến mãi đơn]]</f>
        <v>32800000</v>
      </c>
      <c r="CL108"/>
      <c r="CM108"/>
    </row>
    <row r="109" spans="2:91" ht="16.5" x14ac:dyDescent="0.3">
      <c r="AG109"/>
      <c r="AH109"/>
      <c r="AI109"/>
      <c r="BT109" s="49" t="s">
        <v>60</v>
      </c>
      <c r="BU109" s="50" t="s">
        <v>140</v>
      </c>
      <c r="BV109" s="6">
        <f xml:space="preserve">
IFERROR(VLOOKUP(Table_Main[[#This Row],[Đơn bán]],Table_DonBan[],COUNTA(Table_DonBan[[#Headers],[Mã đơn bán]:[Ngày lập]]),0),0)</f>
        <v>45376</v>
      </c>
      <c r="BW109" s="51">
        <f>IFERROR(MONTH(Table_Main[[#This Row],[Ngày lên đơn]]),0)</f>
        <v>3</v>
      </c>
      <c r="BX109" s="51" t="str">
        <f>INDEX(Table_SKU[],
MATCH(Table_Main[[#This Row],[Mã SKU]],Table_SKU[Mã Sản phẩm],0),1)</f>
        <v>Nhóm 2</v>
      </c>
      <c r="BY109" s="52" t="str">
        <f xml:space="preserve">
IFERROR(VLOOKUP(Table_Main[[#This Row],[Đơn bán]],Table_DonBan[],COUNTA(Table_DonBan[[#Headers],[Mã đơn bán]:[Mã Khách]]),0),0)</f>
        <v>KH05</v>
      </c>
      <c r="BZ109" s="52" t="str">
        <f>VLOOKUP(Table_Main[[#This Row],[Khách hàng]],Table_KhachHang[],COUNTA(Table_KhachHang[[#Headers],[Mã khách]:[Phân khúc]]),0)</f>
        <v>B2C</v>
      </c>
      <c r="CA109" s="25" t="str">
        <f xml:space="preserve">
IFERROR(VLOOKUP(Table_Main[[#This Row],[Đơn bán]],Table_DonBan[],COUNTA(Table_DonBan[[#Headers],[Mã đơn bán]:[Mã NV]]),0),0)</f>
        <v>NV03</v>
      </c>
      <c r="CB109" s="7" t="str">
        <f xml:space="preserve">
IFERROR(VLOOKUP(Table_Main[[#This Row],[Đơn bán]],Table_DonBan[],COUNTA(Table_DonBan[[#Headers],[Mã đơn bán]:[Kênh]]),0),0)</f>
        <v>ST</v>
      </c>
      <c r="CC109" s="7" t="str">
        <f>VLOOKUP(Table_Main[[#This Row],[Kênh]],Table_Kenh[],COUNTA(Table_Kenh[[#Headers],[Kênh]:[Nhóm Kênh]]),0)</f>
        <v>Offline</v>
      </c>
      <c r="CD109" s="53">
        <v>113</v>
      </c>
      <c r="CE109" s="7" t="str">
        <f>IFERROR(VLOOKUP(Table_Main[[#This Row],[Mã SKU]],Table_SKU[[Mã Sản phẩm]:[Giá bán]],COUNTA(Table_SKU[[#Headers],[Mã Sản phẩm]:[Đơn vị]]),0),0)</f>
        <v>Bộ</v>
      </c>
      <c r="CF109" s="7">
        <f>IFERROR(VLOOKUP(Table_Main[[#This Row],[Mã SKU]],Table_SKU[[Mã Sản phẩm]:[Giá bán]],COUNTA(Table_SKU[[#Headers],[Mã Sản phẩm]:[Giá bán]]),0),0)</f>
        <v>300000</v>
      </c>
      <c r="CG109" s="7">
        <f>Table_Main[[#This Row],[Giá bán]]*Table_Main[[#This Row],[Số lượng]]</f>
        <v>33900000</v>
      </c>
      <c r="CH109" s="60">
        <v>0</v>
      </c>
      <c r="CI109" s="7">
        <f>+Table_Main[[#This Row],[Thành tiền niêm yết]]-Table_Main[[#This Row],[Khuyễn mãi]]</f>
        <v>33900000</v>
      </c>
      <c r="CJ109" s="7" cm="1">
        <f t="array" ref="CJ109">VLOOKUP(Table_Main[[#This Row],[Đơn bán]],Table_DonBan[],COUNTA(Table_DonBan[[#Headers],[Mã đơn bán]:[Khuyễn mãi]]),0)*Table_Main[[#This Row],[Giá trị bán trước VAT]]/
SUM(_xlfn._xlws.FILTER(Table_Main[Giá trị bán trước VAT],
(Table_Main[Đơn bán]=Table_Main[[#This Row],[Đơn bán]])
))</f>
        <v>0</v>
      </c>
      <c r="CK109" s="7">
        <f>Table_Main[[#This Row],[Giá trị bán trước VAT]]-Table_Main[[#This Row],[Phân bổ khuyến mãi đơn]]</f>
        <v>33900000</v>
      </c>
      <c r="CL109"/>
      <c r="CM109"/>
    </row>
    <row r="110" spans="2:91" ht="16.5" x14ac:dyDescent="0.3">
      <c r="AG110"/>
      <c r="AH110"/>
      <c r="AI110"/>
      <c r="BT110" s="49" t="s">
        <v>61</v>
      </c>
      <c r="BU110" s="50" t="s">
        <v>140</v>
      </c>
      <c r="BV110" s="6">
        <f xml:space="preserve">
IFERROR(VLOOKUP(Table_Main[[#This Row],[Đơn bán]],Table_DonBan[],COUNTA(Table_DonBan[[#Headers],[Mã đơn bán]:[Ngày lập]]),0),0)</f>
        <v>45376</v>
      </c>
      <c r="BW110" s="51">
        <f>IFERROR(MONTH(Table_Main[[#This Row],[Ngày lên đơn]]),0)</f>
        <v>3</v>
      </c>
      <c r="BX110" s="51" t="str">
        <f>INDEX(Table_SKU[],
MATCH(Table_Main[[#This Row],[Mã SKU]],Table_SKU[Mã Sản phẩm],0),1)</f>
        <v>Nhóm 3</v>
      </c>
      <c r="BY110" s="10" t="str">
        <f xml:space="preserve">
IFERROR(VLOOKUP(Table_Main[[#This Row],[Đơn bán]],Table_DonBan[],COUNTA(Table_DonBan[[#Headers],[Mã đơn bán]:[Mã Khách]]),0),0)</f>
        <v>KH05</v>
      </c>
      <c r="BZ110" s="10" t="str">
        <f>VLOOKUP(Table_Main[[#This Row],[Khách hàng]],Table_KhachHang[],COUNTA(Table_KhachHang[[#Headers],[Mã khách]:[Phân khúc]]),0)</f>
        <v>B2C</v>
      </c>
      <c r="CA110" s="25" t="str">
        <f xml:space="preserve">
IFERROR(VLOOKUP(Table_Main[[#This Row],[Đơn bán]],Table_DonBan[],COUNTA(Table_DonBan[[#Headers],[Mã đơn bán]:[Mã NV]]),0),0)</f>
        <v>NV03</v>
      </c>
      <c r="CB110" s="7" t="str">
        <f xml:space="preserve">
IFERROR(VLOOKUP(Table_Main[[#This Row],[Đơn bán]],Table_DonBan[],COUNTA(Table_DonBan[[#Headers],[Mã đơn bán]:[Kênh]]),0),0)</f>
        <v>ST</v>
      </c>
      <c r="CC110" s="7" t="str">
        <f>VLOOKUP(Table_Main[[#This Row],[Kênh]],Table_Kenh[],COUNTA(Table_Kenh[[#Headers],[Kênh]:[Nhóm Kênh]]),0)</f>
        <v>Offline</v>
      </c>
      <c r="CD110" s="53">
        <v>91</v>
      </c>
      <c r="CE110" s="7" t="str">
        <f>IFERROR(VLOOKUP(Table_Main[[#This Row],[Mã SKU]],Table_SKU[[Mã Sản phẩm]:[Giá bán]],COUNTA(Table_SKU[[#Headers],[Mã Sản phẩm]:[Đơn vị]]),0),0)</f>
        <v>Bộ</v>
      </c>
      <c r="CF110" s="7">
        <f>IFERROR(VLOOKUP(Table_Main[[#This Row],[Mã SKU]],Table_SKU[[Mã Sản phẩm]:[Giá bán]],COUNTA(Table_SKU[[#Headers],[Mã Sản phẩm]:[Giá bán]]),0),0)</f>
        <v>500000</v>
      </c>
      <c r="CG110" s="7">
        <f>Table_Main[[#This Row],[Giá bán]]*Table_Main[[#This Row],[Số lượng]]</f>
        <v>45500000</v>
      </c>
      <c r="CH110" s="60">
        <v>0</v>
      </c>
      <c r="CI110" s="7">
        <f>+Table_Main[[#This Row],[Thành tiền niêm yết]]-Table_Main[[#This Row],[Khuyễn mãi]]</f>
        <v>45500000</v>
      </c>
      <c r="CJ110" s="7" cm="1">
        <f t="array" ref="CJ110">VLOOKUP(Table_Main[[#This Row],[Đơn bán]],Table_DonBan[],COUNTA(Table_DonBan[[#Headers],[Mã đơn bán]:[Khuyễn mãi]]),0)*Table_Main[[#This Row],[Giá trị bán trước VAT]]/
SUM(_xlfn._xlws.FILTER(Table_Main[Giá trị bán trước VAT],
(Table_Main[Đơn bán]=Table_Main[[#This Row],[Đơn bán]])
))</f>
        <v>0</v>
      </c>
      <c r="CK110" s="7">
        <f>Table_Main[[#This Row],[Giá trị bán trước VAT]]-Table_Main[[#This Row],[Phân bổ khuyến mãi đơn]]</f>
        <v>45500000</v>
      </c>
      <c r="CL110"/>
      <c r="CM110"/>
    </row>
    <row r="111" spans="2:91" ht="16.5" x14ac:dyDescent="0.3">
      <c r="AG111"/>
      <c r="AH111"/>
      <c r="AI111"/>
      <c r="BT111" s="49" t="s">
        <v>59</v>
      </c>
      <c r="BU111" s="50" t="s">
        <v>139</v>
      </c>
      <c r="BV111" s="6">
        <f xml:space="preserve">
IFERROR(VLOOKUP(Table_Main[[#This Row],[Đơn bán]],Table_DonBan[],COUNTA(Table_DonBan[[#Headers],[Mã đơn bán]:[Ngày lập]]),0),0)</f>
        <v>45366</v>
      </c>
      <c r="BW111" s="51">
        <f>IFERROR(MONTH(Table_Main[[#This Row],[Ngày lên đơn]]),0)</f>
        <v>3</v>
      </c>
      <c r="BX111" s="51" t="str">
        <f>INDEX(Table_SKU[],
MATCH(Table_Main[[#This Row],[Mã SKU]],Table_SKU[Mã Sản phẩm],0),1)</f>
        <v>Nhóm 1</v>
      </c>
      <c r="BY111" s="52" t="str">
        <f xml:space="preserve">
IFERROR(VLOOKUP(Table_Main[[#This Row],[Đơn bán]],Table_DonBan[],COUNTA(Table_DonBan[[#Headers],[Mã đơn bán]:[Mã Khách]]),0),0)</f>
        <v>KH01</v>
      </c>
      <c r="BZ111" s="52" t="str">
        <f>VLOOKUP(Table_Main[[#This Row],[Khách hàng]],Table_KhachHang[],COUNTA(Table_KhachHang[[#Headers],[Mã khách]:[Phân khúc]]),0)</f>
        <v>B2B</v>
      </c>
      <c r="CA111" s="25" t="str">
        <f xml:space="preserve">
IFERROR(VLOOKUP(Table_Main[[#This Row],[Đơn bán]],Table_DonBan[],COUNTA(Table_DonBan[[#Headers],[Mã đơn bán]:[Mã NV]]),0),0)</f>
        <v>NV02</v>
      </c>
      <c r="CB111" s="7" t="str">
        <f xml:space="preserve">
IFERROR(VLOOKUP(Table_Main[[#This Row],[Đơn bán]],Table_DonBan[],COUNTA(Table_DonBan[[#Headers],[Mã đơn bán]:[Kênh]]),0),0)</f>
        <v>FB</v>
      </c>
      <c r="CC111" s="7" t="str">
        <f>VLOOKUP(Table_Main[[#This Row],[Kênh]],Table_Kenh[],COUNTA(Table_Kenh[[#Headers],[Kênh]:[Nhóm Kênh]]),0)</f>
        <v>Mạng xã hội</v>
      </c>
      <c r="CD111" s="53">
        <v>161</v>
      </c>
      <c r="CE111" s="7" t="str">
        <f>IFERROR(VLOOKUP(Table_Main[[#This Row],[Mã SKU]],Table_SKU[[Mã Sản phẩm]:[Giá bán]],COUNTA(Table_SKU[[#Headers],[Mã Sản phẩm]:[Đơn vị]]),0),0)</f>
        <v>Bộ</v>
      </c>
      <c r="CF111" s="7">
        <f>IFERROR(VLOOKUP(Table_Main[[#This Row],[Mã SKU]],Table_SKU[[Mã Sản phẩm]:[Giá bán]],COUNTA(Table_SKU[[#Headers],[Mã Sản phẩm]:[Giá bán]]),0),0)</f>
        <v>200000</v>
      </c>
      <c r="CG111" s="7">
        <f>Table_Main[[#This Row],[Giá bán]]*Table_Main[[#This Row],[Số lượng]]</f>
        <v>32200000</v>
      </c>
      <c r="CH111" s="60">
        <v>0</v>
      </c>
      <c r="CI111" s="7">
        <f>+Table_Main[[#This Row],[Thành tiền niêm yết]]-Table_Main[[#This Row],[Khuyễn mãi]]</f>
        <v>32200000</v>
      </c>
      <c r="CJ111" s="7" cm="1">
        <f t="array" ref="CJ111">VLOOKUP(Table_Main[[#This Row],[Đơn bán]],Table_DonBan[],COUNTA(Table_DonBan[[#Headers],[Mã đơn bán]:[Khuyễn mãi]]),0)*Table_Main[[#This Row],[Giá trị bán trước VAT]]/
SUM(_xlfn._xlws.FILTER(Table_Main[Giá trị bán trước VAT],
(Table_Main[Đơn bán]=Table_Main[[#This Row],[Đơn bán]])
))</f>
        <v>0</v>
      </c>
      <c r="CK111" s="7">
        <f>Table_Main[[#This Row],[Giá trị bán trước VAT]]-Table_Main[[#This Row],[Phân bổ khuyến mãi đơn]]</f>
        <v>32200000</v>
      </c>
      <c r="CL111"/>
      <c r="CM111"/>
    </row>
    <row r="112" spans="2:91" ht="16.5" x14ac:dyDescent="0.3">
      <c r="AG112"/>
      <c r="AH112"/>
      <c r="AI112"/>
      <c r="BT112" s="49" t="s">
        <v>60</v>
      </c>
      <c r="BU112" s="50" t="s">
        <v>139</v>
      </c>
      <c r="BV112" s="6">
        <f xml:space="preserve">
IFERROR(VLOOKUP(Table_Main[[#This Row],[Đơn bán]],Table_DonBan[],COUNTA(Table_DonBan[[#Headers],[Mã đơn bán]:[Ngày lập]]),0),0)</f>
        <v>45366</v>
      </c>
      <c r="BW112" s="51">
        <f>IFERROR(MONTH(Table_Main[[#This Row],[Ngày lên đơn]]),0)</f>
        <v>3</v>
      </c>
      <c r="BX112" s="51" t="str">
        <f>INDEX(Table_SKU[],
MATCH(Table_Main[[#This Row],[Mã SKU]],Table_SKU[Mã Sản phẩm],0),1)</f>
        <v>Nhóm 2</v>
      </c>
      <c r="BY112" s="52" t="str">
        <f xml:space="preserve">
IFERROR(VLOOKUP(Table_Main[[#This Row],[Đơn bán]],Table_DonBan[],COUNTA(Table_DonBan[[#Headers],[Mã đơn bán]:[Mã Khách]]),0),0)</f>
        <v>KH01</v>
      </c>
      <c r="BZ112" s="52" t="str">
        <f>VLOOKUP(Table_Main[[#This Row],[Khách hàng]],Table_KhachHang[],COUNTA(Table_KhachHang[[#Headers],[Mã khách]:[Phân khúc]]),0)</f>
        <v>B2B</v>
      </c>
      <c r="CA112" s="25" t="str">
        <f xml:space="preserve">
IFERROR(VLOOKUP(Table_Main[[#This Row],[Đơn bán]],Table_DonBan[],COUNTA(Table_DonBan[[#Headers],[Mã đơn bán]:[Mã NV]]),0),0)</f>
        <v>NV02</v>
      </c>
      <c r="CB112" s="7" t="str">
        <f xml:space="preserve">
IFERROR(VLOOKUP(Table_Main[[#This Row],[Đơn bán]],Table_DonBan[],COUNTA(Table_DonBan[[#Headers],[Mã đơn bán]:[Kênh]]),0),0)</f>
        <v>FB</v>
      </c>
      <c r="CC112" s="7" t="str">
        <f>VLOOKUP(Table_Main[[#This Row],[Kênh]],Table_Kenh[],COUNTA(Table_Kenh[[#Headers],[Kênh]:[Nhóm Kênh]]),0)</f>
        <v>Mạng xã hội</v>
      </c>
      <c r="CD112" s="53">
        <v>115</v>
      </c>
      <c r="CE112" s="7" t="str">
        <f>IFERROR(VLOOKUP(Table_Main[[#This Row],[Mã SKU]],Table_SKU[[Mã Sản phẩm]:[Giá bán]],COUNTA(Table_SKU[[#Headers],[Mã Sản phẩm]:[Đơn vị]]),0),0)</f>
        <v>Bộ</v>
      </c>
      <c r="CF112" s="7">
        <f>IFERROR(VLOOKUP(Table_Main[[#This Row],[Mã SKU]],Table_SKU[[Mã Sản phẩm]:[Giá bán]],COUNTA(Table_SKU[[#Headers],[Mã Sản phẩm]:[Giá bán]]),0),0)</f>
        <v>300000</v>
      </c>
      <c r="CG112" s="7">
        <f>Table_Main[[#This Row],[Giá bán]]*Table_Main[[#This Row],[Số lượng]]</f>
        <v>34500000</v>
      </c>
      <c r="CH112" s="60">
        <v>0</v>
      </c>
      <c r="CI112" s="7">
        <f>+Table_Main[[#This Row],[Thành tiền niêm yết]]-Table_Main[[#This Row],[Khuyễn mãi]]</f>
        <v>34500000</v>
      </c>
      <c r="CJ112" s="7" cm="1">
        <f t="array" ref="CJ112">VLOOKUP(Table_Main[[#This Row],[Đơn bán]],Table_DonBan[],COUNTA(Table_DonBan[[#Headers],[Mã đơn bán]:[Khuyễn mãi]]),0)*Table_Main[[#This Row],[Giá trị bán trước VAT]]/
SUM(_xlfn._xlws.FILTER(Table_Main[Giá trị bán trước VAT],
(Table_Main[Đơn bán]=Table_Main[[#This Row],[Đơn bán]])
))</f>
        <v>0</v>
      </c>
      <c r="CK112" s="7">
        <f>Table_Main[[#This Row],[Giá trị bán trước VAT]]-Table_Main[[#This Row],[Phân bổ khuyến mãi đơn]]</f>
        <v>34500000</v>
      </c>
      <c r="CL112"/>
      <c r="CM112"/>
    </row>
    <row r="113" spans="33:91" ht="16.5" x14ac:dyDescent="0.3">
      <c r="AG113"/>
      <c r="AH113"/>
      <c r="AI113"/>
      <c r="BT113" s="49" t="s">
        <v>61</v>
      </c>
      <c r="BU113" s="50" t="s">
        <v>139</v>
      </c>
      <c r="BV113" s="6">
        <f xml:space="preserve">
IFERROR(VLOOKUP(Table_Main[[#This Row],[Đơn bán]],Table_DonBan[],COUNTA(Table_DonBan[[#Headers],[Mã đơn bán]:[Ngày lập]]),0),0)</f>
        <v>45366</v>
      </c>
      <c r="BW113" s="51">
        <f>IFERROR(MONTH(Table_Main[[#This Row],[Ngày lên đơn]]),0)</f>
        <v>3</v>
      </c>
      <c r="BX113" s="51" t="str">
        <f>INDEX(Table_SKU[],
MATCH(Table_Main[[#This Row],[Mã SKU]],Table_SKU[Mã Sản phẩm],0),1)</f>
        <v>Nhóm 3</v>
      </c>
      <c r="BY113" s="52" t="str">
        <f xml:space="preserve">
IFERROR(VLOOKUP(Table_Main[[#This Row],[Đơn bán]],Table_DonBan[],COUNTA(Table_DonBan[[#Headers],[Mã đơn bán]:[Mã Khách]]),0),0)</f>
        <v>KH01</v>
      </c>
      <c r="BZ113" s="52" t="str">
        <f>VLOOKUP(Table_Main[[#This Row],[Khách hàng]],Table_KhachHang[],COUNTA(Table_KhachHang[[#Headers],[Mã khách]:[Phân khúc]]),0)</f>
        <v>B2B</v>
      </c>
      <c r="CA113" s="25" t="str">
        <f xml:space="preserve">
IFERROR(VLOOKUP(Table_Main[[#This Row],[Đơn bán]],Table_DonBan[],COUNTA(Table_DonBan[[#Headers],[Mã đơn bán]:[Mã NV]]),0),0)</f>
        <v>NV02</v>
      </c>
      <c r="CB113" s="7" t="str">
        <f xml:space="preserve">
IFERROR(VLOOKUP(Table_Main[[#This Row],[Đơn bán]],Table_DonBan[],COUNTA(Table_DonBan[[#Headers],[Mã đơn bán]:[Kênh]]),0),0)</f>
        <v>FB</v>
      </c>
      <c r="CC113" s="7" t="str">
        <f>VLOOKUP(Table_Main[[#This Row],[Kênh]],Table_Kenh[],COUNTA(Table_Kenh[[#Headers],[Kênh]:[Nhóm Kênh]]),0)</f>
        <v>Mạng xã hội</v>
      </c>
      <c r="CD113" s="53">
        <v>93</v>
      </c>
      <c r="CE113" s="7" t="str">
        <f>IFERROR(VLOOKUP(Table_Main[[#This Row],[Mã SKU]],Table_SKU[[Mã Sản phẩm]:[Giá bán]],COUNTA(Table_SKU[[#Headers],[Mã Sản phẩm]:[Đơn vị]]),0),0)</f>
        <v>Bộ</v>
      </c>
      <c r="CF113" s="7">
        <f>IFERROR(VLOOKUP(Table_Main[[#This Row],[Mã SKU]],Table_SKU[[Mã Sản phẩm]:[Giá bán]],COUNTA(Table_SKU[[#Headers],[Mã Sản phẩm]:[Giá bán]]),0),0)</f>
        <v>500000</v>
      </c>
      <c r="CG113" s="7">
        <f>Table_Main[[#This Row],[Giá bán]]*Table_Main[[#This Row],[Số lượng]]</f>
        <v>46500000</v>
      </c>
      <c r="CH113" s="60">
        <v>0</v>
      </c>
      <c r="CI113" s="7">
        <f>+Table_Main[[#This Row],[Thành tiền niêm yết]]-Table_Main[[#This Row],[Khuyễn mãi]]</f>
        <v>46500000</v>
      </c>
      <c r="CJ113" s="7" cm="1">
        <f t="array" ref="CJ113">VLOOKUP(Table_Main[[#This Row],[Đơn bán]],Table_DonBan[],COUNTA(Table_DonBan[[#Headers],[Mã đơn bán]:[Khuyễn mãi]]),0)*Table_Main[[#This Row],[Giá trị bán trước VAT]]/
SUM(_xlfn._xlws.FILTER(Table_Main[Giá trị bán trước VAT],
(Table_Main[Đơn bán]=Table_Main[[#This Row],[Đơn bán]])
))</f>
        <v>0</v>
      </c>
      <c r="CK113" s="7">
        <f>Table_Main[[#This Row],[Giá trị bán trước VAT]]-Table_Main[[#This Row],[Phân bổ khuyến mãi đơn]]</f>
        <v>46500000</v>
      </c>
      <c r="CL113"/>
      <c r="CM113"/>
    </row>
    <row r="114" spans="33:91" ht="16.5" x14ac:dyDescent="0.3">
      <c r="AG114"/>
      <c r="AH114"/>
      <c r="AI114"/>
      <c r="BT114" s="49" t="s">
        <v>59</v>
      </c>
      <c r="BU114" s="50" t="s">
        <v>138</v>
      </c>
      <c r="BV114" s="6">
        <f xml:space="preserve">
IFERROR(VLOOKUP(Table_Main[[#This Row],[Đơn bán]],Table_DonBan[],COUNTA(Table_DonBan[[#Headers],[Mã đơn bán]:[Ngày lập]]),0),0)</f>
        <v>45356</v>
      </c>
      <c r="BW114" s="51">
        <f>IFERROR(MONTH(Table_Main[[#This Row],[Ngày lên đơn]]),0)</f>
        <v>3</v>
      </c>
      <c r="BX114" s="51" t="str">
        <f>INDEX(Table_SKU[],
MATCH(Table_Main[[#This Row],[Mã SKU]],Table_SKU[Mã Sản phẩm],0),1)</f>
        <v>Nhóm 1</v>
      </c>
      <c r="BY114" s="52" t="str">
        <f xml:space="preserve">
IFERROR(VLOOKUP(Table_Main[[#This Row],[Đơn bán]],Table_DonBan[],COUNTA(Table_DonBan[[#Headers],[Mã đơn bán]:[Mã Khách]]),0),0)</f>
        <v>KH02</v>
      </c>
      <c r="BZ114" s="52" t="str">
        <f>VLOOKUP(Table_Main[[#This Row],[Khách hàng]],Table_KhachHang[],COUNTA(Table_KhachHang[[#Headers],[Mã khách]:[Phân khúc]]),0)</f>
        <v>B2C</v>
      </c>
      <c r="CA114" s="25" t="str">
        <f xml:space="preserve">
IFERROR(VLOOKUP(Table_Main[[#This Row],[Đơn bán]],Table_DonBan[],COUNTA(Table_DonBan[[#Headers],[Mã đơn bán]:[Mã NV]]),0),0)</f>
        <v>NV02</v>
      </c>
      <c r="CB114" s="7" t="str">
        <f xml:space="preserve">
IFERROR(VLOOKUP(Table_Main[[#This Row],[Đơn bán]],Table_DonBan[],COUNTA(Table_DonBan[[#Headers],[Mã đơn bán]:[Kênh]]),0),0)</f>
        <v>SP</v>
      </c>
      <c r="CC114" s="7" t="str">
        <f>VLOOKUP(Table_Main[[#This Row],[Kênh]],Table_Kenh[],COUNTA(Table_Kenh[[#Headers],[Kênh]:[Nhóm Kênh]]),0)</f>
        <v>Sàn TMĐT</v>
      </c>
      <c r="CD114" s="53">
        <v>164</v>
      </c>
      <c r="CE114" s="7" t="str">
        <f>IFERROR(VLOOKUP(Table_Main[[#This Row],[Mã SKU]],Table_SKU[[Mã Sản phẩm]:[Giá bán]],COUNTA(Table_SKU[[#Headers],[Mã Sản phẩm]:[Đơn vị]]),0),0)</f>
        <v>Bộ</v>
      </c>
      <c r="CF114" s="7">
        <f>IFERROR(VLOOKUP(Table_Main[[#This Row],[Mã SKU]],Table_SKU[[Mã Sản phẩm]:[Giá bán]],COUNTA(Table_SKU[[#Headers],[Mã Sản phẩm]:[Giá bán]]),0),0)</f>
        <v>200000</v>
      </c>
      <c r="CG114" s="7">
        <f>Table_Main[[#This Row],[Giá bán]]*Table_Main[[#This Row],[Số lượng]]</f>
        <v>32800000</v>
      </c>
      <c r="CH114" s="60">
        <v>0</v>
      </c>
      <c r="CI114" s="7">
        <f>+Table_Main[[#This Row],[Thành tiền niêm yết]]-Table_Main[[#This Row],[Khuyễn mãi]]</f>
        <v>32800000</v>
      </c>
      <c r="CJ114" s="7" cm="1">
        <f t="array" ref="CJ114">VLOOKUP(Table_Main[[#This Row],[Đơn bán]],Table_DonBan[],COUNTA(Table_DonBan[[#Headers],[Mã đơn bán]:[Khuyễn mãi]]),0)*Table_Main[[#This Row],[Giá trị bán trước VAT]]/
SUM(_xlfn._xlws.FILTER(Table_Main[Giá trị bán trước VAT],
(Table_Main[Đơn bán]=Table_Main[[#This Row],[Đơn bán]])
))</f>
        <v>0</v>
      </c>
      <c r="CK114" s="7">
        <f>Table_Main[[#This Row],[Giá trị bán trước VAT]]-Table_Main[[#This Row],[Phân bổ khuyến mãi đơn]]</f>
        <v>32800000</v>
      </c>
      <c r="CL114"/>
      <c r="CM114"/>
    </row>
    <row r="115" spans="33:91" ht="16.5" x14ac:dyDescent="0.3">
      <c r="AG115"/>
      <c r="AH115"/>
      <c r="AI115"/>
      <c r="BT115" s="49" t="s">
        <v>60</v>
      </c>
      <c r="BU115" s="50" t="s">
        <v>138</v>
      </c>
      <c r="BV115" s="6">
        <f xml:space="preserve">
IFERROR(VLOOKUP(Table_Main[[#This Row],[Đơn bán]],Table_DonBan[],COUNTA(Table_DonBan[[#Headers],[Mã đơn bán]:[Ngày lập]]),0),0)</f>
        <v>45356</v>
      </c>
      <c r="BW115" s="51">
        <f>IFERROR(MONTH(Table_Main[[#This Row],[Ngày lên đơn]]),0)</f>
        <v>3</v>
      </c>
      <c r="BX115" s="51" t="str">
        <f>INDEX(Table_SKU[],
MATCH(Table_Main[[#This Row],[Mã SKU]],Table_SKU[Mã Sản phẩm],0),1)</f>
        <v>Nhóm 2</v>
      </c>
      <c r="BY115" s="52" t="str">
        <f xml:space="preserve">
IFERROR(VLOOKUP(Table_Main[[#This Row],[Đơn bán]],Table_DonBan[],COUNTA(Table_DonBan[[#Headers],[Mã đơn bán]:[Mã Khách]]),0),0)</f>
        <v>KH02</v>
      </c>
      <c r="BZ115" s="52" t="str">
        <f>VLOOKUP(Table_Main[[#This Row],[Khách hàng]],Table_KhachHang[],COUNTA(Table_KhachHang[[#Headers],[Mã khách]:[Phân khúc]]),0)</f>
        <v>B2C</v>
      </c>
      <c r="CA115" s="25" t="str">
        <f xml:space="preserve">
IFERROR(VLOOKUP(Table_Main[[#This Row],[Đơn bán]],Table_DonBan[],COUNTA(Table_DonBan[[#Headers],[Mã đơn bán]:[Mã NV]]),0),0)</f>
        <v>NV02</v>
      </c>
      <c r="CB115" s="7" t="str">
        <f xml:space="preserve">
IFERROR(VLOOKUP(Table_Main[[#This Row],[Đơn bán]],Table_DonBan[],COUNTA(Table_DonBan[[#Headers],[Mã đơn bán]:[Kênh]]),0),0)</f>
        <v>SP</v>
      </c>
      <c r="CC115" s="7" t="str">
        <f>VLOOKUP(Table_Main[[#This Row],[Kênh]],Table_Kenh[],COUNTA(Table_Kenh[[#Headers],[Kênh]:[Nhóm Kênh]]),0)</f>
        <v>Sàn TMĐT</v>
      </c>
      <c r="CD115" s="53">
        <v>114</v>
      </c>
      <c r="CE115" s="7" t="str">
        <f>IFERROR(VLOOKUP(Table_Main[[#This Row],[Mã SKU]],Table_SKU[[Mã Sản phẩm]:[Giá bán]],COUNTA(Table_SKU[[#Headers],[Mã Sản phẩm]:[Đơn vị]]),0),0)</f>
        <v>Bộ</v>
      </c>
      <c r="CF115" s="7">
        <f>IFERROR(VLOOKUP(Table_Main[[#This Row],[Mã SKU]],Table_SKU[[Mã Sản phẩm]:[Giá bán]],COUNTA(Table_SKU[[#Headers],[Mã Sản phẩm]:[Giá bán]]),0),0)</f>
        <v>300000</v>
      </c>
      <c r="CG115" s="7">
        <f>Table_Main[[#This Row],[Giá bán]]*Table_Main[[#This Row],[Số lượng]]</f>
        <v>34200000</v>
      </c>
      <c r="CH115" s="60">
        <v>0</v>
      </c>
      <c r="CI115" s="7">
        <f>+Table_Main[[#This Row],[Thành tiền niêm yết]]-Table_Main[[#This Row],[Khuyễn mãi]]</f>
        <v>34200000</v>
      </c>
      <c r="CJ115" s="7" cm="1">
        <f t="array" ref="CJ115">VLOOKUP(Table_Main[[#This Row],[Đơn bán]],Table_DonBan[],COUNTA(Table_DonBan[[#Headers],[Mã đơn bán]:[Khuyễn mãi]]),0)*Table_Main[[#This Row],[Giá trị bán trước VAT]]/
SUM(_xlfn._xlws.FILTER(Table_Main[Giá trị bán trước VAT],
(Table_Main[Đơn bán]=Table_Main[[#This Row],[Đơn bán]])
))</f>
        <v>0</v>
      </c>
      <c r="CK115" s="7">
        <f>Table_Main[[#This Row],[Giá trị bán trước VAT]]-Table_Main[[#This Row],[Phân bổ khuyến mãi đơn]]</f>
        <v>34200000</v>
      </c>
      <c r="CL115"/>
      <c r="CM115"/>
    </row>
    <row r="116" spans="33:91" ht="16.5" x14ac:dyDescent="0.3">
      <c r="AG116"/>
      <c r="AH116"/>
      <c r="AI116"/>
      <c r="BT116" s="49" t="s">
        <v>61</v>
      </c>
      <c r="BU116" s="50" t="s">
        <v>138</v>
      </c>
      <c r="BV116" s="6">
        <f xml:space="preserve">
IFERROR(VLOOKUP(Table_Main[[#This Row],[Đơn bán]],Table_DonBan[],COUNTA(Table_DonBan[[#Headers],[Mã đơn bán]:[Ngày lập]]),0),0)</f>
        <v>45356</v>
      </c>
      <c r="BW116" s="51">
        <f>IFERROR(MONTH(Table_Main[[#This Row],[Ngày lên đơn]]),0)</f>
        <v>3</v>
      </c>
      <c r="BX116" s="51" t="str">
        <f>INDEX(Table_SKU[],
MATCH(Table_Main[[#This Row],[Mã SKU]],Table_SKU[Mã Sản phẩm],0),1)</f>
        <v>Nhóm 3</v>
      </c>
      <c r="BY116" s="52" t="str">
        <f xml:space="preserve">
IFERROR(VLOOKUP(Table_Main[[#This Row],[Đơn bán]],Table_DonBan[],COUNTA(Table_DonBan[[#Headers],[Mã đơn bán]:[Mã Khách]]),0),0)</f>
        <v>KH02</v>
      </c>
      <c r="BZ116" s="52" t="str">
        <f>VLOOKUP(Table_Main[[#This Row],[Khách hàng]],Table_KhachHang[],COUNTA(Table_KhachHang[[#Headers],[Mã khách]:[Phân khúc]]),0)</f>
        <v>B2C</v>
      </c>
      <c r="CA116" s="25" t="str">
        <f xml:space="preserve">
IFERROR(VLOOKUP(Table_Main[[#This Row],[Đơn bán]],Table_DonBan[],COUNTA(Table_DonBan[[#Headers],[Mã đơn bán]:[Mã NV]]),0),0)</f>
        <v>NV02</v>
      </c>
      <c r="CB116" s="7" t="str">
        <f xml:space="preserve">
IFERROR(VLOOKUP(Table_Main[[#This Row],[Đơn bán]],Table_DonBan[],COUNTA(Table_DonBan[[#Headers],[Mã đơn bán]:[Kênh]]),0),0)</f>
        <v>SP</v>
      </c>
      <c r="CC116" s="7" t="str">
        <f>VLOOKUP(Table_Main[[#This Row],[Kênh]],Table_Kenh[],COUNTA(Table_Kenh[[#Headers],[Kênh]:[Nhóm Kênh]]),0)</f>
        <v>Sàn TMĐT</v>
      </c>
      <c r="CD116" s="53">
        <v>93</v>
      </c>
      <c r="CE116" s="7" t="str">
        <f>IFERROR(VLOOKUP(Table_Main[[#This Row],[Mã SKU]],Table_SKU[[Mã Sản phẩm]:[Giá bán]],COUNTA(Table_SKU[[#Headers],[Mã Sản phẩm]:[Đơn vị]]),0),0)</f>
        <v>Bộ</v>
      </c>
      <c r="CF116" s="7">
        <f>IFERROR(VLOOKUP(Table_Main[[#This Row],[Mã SKU]],Table_SKU[[Mã Sản phẩm]:[Giá bán]],COUNTA(Table_SKU[[#Headers],[Mã Sản phẩm]:[Giá bán]]),0),0)</f>
        <v>500000</v>
      </c>
      <c r="CG116" s="7">
        <f>Table_Main[[#This Row],[Giá bán]]*Table_Main[[#This Row],[Số lượng]]</f>
        <v>46500000</v>
      </c>
      <c r="CH116" s="60">
        <v>0</v>
      </c>
      <c r="CI116" s="7">
        <f>+Table_Main[[#This Row],[Thành tiền niêm yết]]-Table_Main[[#This Row],[Khuyễn mãi]]</f>
        <v>46500000</v>
      </c>
      <c r="CJ116" s="7" cm="1">
        <f t="array" ref="CJ116">VLOOKUP(Table_Main[[#This Row],[Đơn bán]],Table_DonBan[],COUNTA(Table_DonBan[[#Headers],[Mã đơn bán]:[Khuyễn mãi]]),0)*Table_Main[[#This Row],[Giá trị bán trước VAT]]/
SUM(_xlfn._xlws.FILTER(Table_Main[Giá trị bán trước VAT],
(Table_Main[Đơn bán]=Table_Main[[#This Row],[Đơn bán]])
))</f>
        <v>0</v>
      </c>
      <c r="CK116" s="7">
        <f>Table_Main[[#This Row],[Giá trị bán trước VAT]]-Table_Main[[#This Row],[Phân bổ khuyến mãi đơn]]</f>
        <v>46500000</v>
      </c>
      <c r="CL116"/>
      <c r="CM116"/>
    </row>
    <row r="117" spans="33:91" ht="16.5" x14ac:dyDescent="0.3">
      <c r="AG117"/>
      <c r="AH117"/>
      <c r="AI117"/>
      <c r="BT117" s="54" t="s">
        <v>59</v>
      </c>
      <c r="BU117" s="55" t="s">
        <v>137</v>
      </c>
      <c r="BV117" s="56">
        <f xml:space="preserve">
IFERROR(VLOOKUP(Table_Main[[#This Row],[Đơn bán]],Table_DonBan[],COUNTA(Table_DonBan[[#Headers],[Mã đơn bán]:[Ngày lập]]),0),0)</f>
        <v>45347</v>
      </c>
      <c r="BW117" s="51">
        <f>IFERROR(MONTH(Table_Main[[#This Row],[Ngày lên đơn]]),0)</f>
        <v>2</v>
      </c>
      <c r="BX117" s="51" t="str">
        <f>INDEX(Table_SKU[],
MATCH(Table_Main[[#This Row],[Mã SKU]],Table_SKU[Mã Sản phẩm],0),1)</f>
        <v>Nhóm 1</v>
      </c>
      <c r="BY117" s="52" t="str">
        <f xml:space="preserve">
IFERROR(VLOOKUP(Table_Main[[#This Row],[Đơn bán]],Table_DonBan[],COUNTA(Table_DonBan[[#Headers],[Mã đơn bán]:[Mã Khách]]),0),0)</f>
        <v>KH07</v>
      </c>
      <c r="BZ117" s="52" t="str">
        <f>VLOOKUP(Table_Main[[#This Row],[Khách hàng]],Table_KhachHang[],COUNTA(Table_KhachHang[[#Headers],[Mã khách]:[Phân khúc]]),0)</f>
        <v>B2C</v>
      </c>
      <c r="CA117" s="57" t="str">
        <f xml:space="preserve">
IFERROR(VLOOKUP(Table_Main[[#This Row],[Đơn bán]],Table_DonBan[],COUNTA(Table_DonBan[[#Headers],[Mã đơn bán]:[Mã NV]]),0),0)</f>
        <v>NV02</v>
      </c>
      <c r="CB117" s="58" t="str">
        <f xml:space="preserve">
IFERROR(VLOOKUP(Table_Main[[#This Row],[Đơn bán]],Table_DonBan[],COUNTA(Table_DonBan[[#Headers],[Mã đơn bán]:[Kênh]]),0),0)</f>
        <v>TK</v>
      </c>
      <c r="CC117" s="58" t="str">
        <f>VLOOKUP(Table_Main[[#This Row],[Kênh]],Table_Kenh[],COUNTA(Table_Kenh[[#Headers],[Kênh]:[Nhóm Kênh]]),0)</f>
        <v>Sàn TMĐT</v>
      </c>
      <c r="CD117" s="59">
        <v>162</v>
      </c>
      <c r="CE117" s="58" t="str">
        <f>IFERROR(VLOOKUP(Table_Main[[#This Row],[Mã SKU]],Table_SKU[[Mã Sản phẩm]:[Giá bán]],COUNTA(Table_SKU[[#Headers],[Mã Sản phẩm]:[Đơn vị]]),0),0)</f>
        <v>Bộ</v>
      </c>
      <c r="CF117" s="58">
        <f>IFERROR(VLOOKUP(Table_Main[[#This Row],[Mã SKU]],Table_SKU[[Mã Sản phẩm]:[Giá bán]],COUNTA(Table_SKU[[#Headers],[Mã Sản phẩm]:[Giá bán]]),0),0)</f>
        <v>200000</v>
      </c>
      <c r="CG117" s="58">
        <f>Table_Main[[#This Row],[Giá bán]]*Table_Main[[#This Row],[Số lượng]]</f>
        <v>32400000</v>
      </c>
      <c r="CH117" s="61">
        <v>0</v>
      </c>
      <c r="CI117" s="58">
        <f>+Table_Main[[#This Row],[Thành tiền niêm yết]]-Table_Main[[#This Row],[Khuyễn mãi]]</f>
        <v>32400000</v>
      </c>
      <c r="CJ117" s="7" cm="1">
        <f t="array" ref="CJ117">VLOOKUP(Table_Main[[#This Row],[Đơn bán]],Table_DonBan[],COUNTA(Table_DonBan[[#Headers],[Mã đơn bán]:[Khuyễn mãi]]),0)*Table_Main[[#This Row],[Giá trị bán trước VAT]]/
SUM(_xlfn._xlws.FILTER(Table_Main[Giá trị bán trước VAT],
(Table_Main[Đơn bán]=Table_Main[[#This Row],[Đơn bán]])
))</f>
        <v>0</v>
      </c>
      <c r="CK117" s="7">
        <f>Table_Main[[#This Row],[Giá trị bán trước VAT]]-Table_Main[[#This Row],[Phân bổ khuyến mãi đơn]]</f>
        <v>32400000</v>
      </c>
      <c r="CL117"/>
      <c r="CM117"/>
    </row>
    <row r="118" spans="33:91" ht="16.5" x14ac:dyDescent="0.3">
      <c r="AG118"/>
      <c r="AH118"/>
      <c r="AI118"/>
      <c r="BT118" s="49" t="s">
        <v>60</v>
      </c>
      <c r="BU118" s="50" t="s">
        <v>137</v>
      </c>
      <c r="BV118" s="6">
        <f xml:space="preserve">
IFERROR(VLOOKUP(Table_Main[[#This Row],[Đơn bán]],Table_DonBan[],COUNTA(Table_DonBan[[#Headers],[Mã đơn bán]:[Ngày lập]]),0),0)</f>
        <v>45347</v>
      </c>
      <c r="BW118" s="51">
        <f>IFERROR(MONTH(Table_Main[[#This Row],[Ngày lên đơn]]),0)</f>
        <v>2</v>
      </c>
      <c r="BX118" s="51" t="str">
        <f>INDEX(Table_SKU[],
MATCH(Table_Main[[#This Row],[Mã SKU]],Table_SKU[Mã Sản phẩm],0),1)</f>
        <v>Nhóm 2</v>
      </c>
      <c r="BY118" s="52" t="str">
        <f xml:space="preserve">
IFERROR(VLOOKUP(Table_Main[[#This Row],[Đơn bán]],Table_DonBan[],COUNTA(Table_DonBan[[#Headers],[Mã đơn bán]:[Mã Khách]]),0),0)</f>
        <v>KH07</v>
      </c>
      <c r="BZ118" s="52" t="str">
        <f>VLOOKUP(Table_Main[[#This Row],[Khách hàng]],Table_KhachHang[],COUNTA(Table_KhachHang[[#Headers],[Mã khách]:[Phân khúc]]),0)</f>
        <v>B2C</v>
      </c>
      <c r="CA118" s="25" t="str">
        <f xml:space="preserve">
IFERROR(VLOOKUP(Table_Main[[#This Row],[Đơn bán]],Table_DonBan[],COUNTA(Table_DonBan[[#Headers],[Mã đơn bán]:[Mã NV]]),0),0)</f>
        <v>NV02</v>
      </c>
      <c r="CB118" s="7" t="str">
        <f xml:space="preserve">
IFERROR(VLOOKUP(Table_Main[[#This Row],[Đơn bán]],Table_DonBan[],COUNTA(Table_DonBan[[#Headers],[Mã đơn bán]:[Kênh]]),0),0)</f>
        <v>TK</v>
      </c>
      <c r="CC118" s="7" t="str">
        <f>VLOOKUP(Table_Main[[#This Row],[Kênh]],Table_Kenh[],COUNTA(Table_Kenh[[#Headers],[Kênh]:[Nhóm Kênh]]),0)</f>
        <v>Sàn TMĐT</v>
      </c>
      <c r="CD118" s="53">
        <v>115</v>
      </c>
      <c r="CE118" s="7" t="str">
        <f>IFERROR(VLOOKUP(Table_Main[[#This Row],[Mã SKU]],Table_SKU[[Mã Sản phẩm]:[Giá bán]],COUNTA(Table_SKU[[#Headers],[Mã Sản phẩm]:[Đơn vị]]),0),0)</f>
        <v>Bộ</v>
      </c>
      <c r="CF118" s="7">
        <f>IFERROR(VLOOKUP(Table_Main[[#This Row],[Mã SKU]],Table_SKU[[Mã Sản phẩm]:[Giá bán]],COUNTA(Table_SKU[[#Headers],[Mã Sản phẩm]:[Giá bán]]),0),0)</f>
        <v>300000</v>
      </c>
      <c r="CG118" s="7">
        <f>Table_Main[[#This Row],[Giá bán]]*Table_Main[[#This Row],[Số lượng]]</f>
        <v>34500000</v>
      </c>
      <c r="CH118" s="60">
        <v>0</v>
      </c>
      <c r="CI118" s="7">
        <f>+Table_Main[[#This Row],[Thành tiền niêm yết]]-Table_Main[[#This Row],[Khuyễn mãi]]</f>
        <v>34500000</v>
      </c>
      <c r="CJ118" s="7" cm="1">
        <f t="array" ref="CJ118">VLOOKUP(Table_Main[[#This Row],[Đơn bán]],Table_DonBan[],COUNTA(Table_DonBan[[#Headers],[Mã đơn bán]:[Khuyễn mãi]]),0)*Table_Main[[#This Row],[Giá trị bán trước VAT]]/
SUM(_xlfn._xlws.FILTER(Table_Main[Giá trị bán trước VAT],
(Table_Main[Đơn bán]=Table_Main[[#This Row],[Đơn bán]])
))</f>
        <v>0</v>
      </c>
      <c r="CK118" s="7">
        <f>Table_Main[[#This Row],[Giá trị bán trước VAT]]-Table_Main[[#This Row],[Phân bổ khuyến mãi đơn]]</f>
        <v>34500000</v>
      </c>
      <c r="CL118"/>
      <c r="CM118"/>
    </row>
    <row r="119" spans="33:91" ht="16.5" x14ac:dyDescent="0.3">
      <c r="AG119"/>
      <c r="AH119"/>
      <c r="AI119"/>
      <c r="BT119" s="49" t="s">
        <v>61</v>
      </c>
      <c r="BU119" s="50" t="s">
        <v>137</v>
      </c>
      <c r="BV119" s="6">
        <f xml:space="preserve">
IFERROR(VLOOKUP(Table_Main[[#This Row],[Đơn bán]],Table_DonBan[],COUNTA(Table_DonBan[[#Headers],[Mã đơn bán]:[Ngày lập]]),0),0)</f>
        <v>45347</v>
      </c>
      <c r="BW119" s="51">
        <f>IFERROR(MONTH(Table_Main[[#This Row],[Ngày lên đơn]]),0)</f>
        <v>2</v>
      </c>
      <c r="BX119" s="51" t="str">
        <f>INDEX(Table_SKU[],
MATCH(Table_Main[[#This Row],[Mã SKU]],Table_SKU[Mã Sản phẩm],0),1)</f>
        <v>Nhóm 3</v>
      </c>
      <c r="BY119" s="10" t="str">
        <f xml:space="preserve">
IFERROR(VLOOKUP(Table_Main[[#This Row],[Đơn bán]],Table_DonBan[],COUNTA(Table_DonBan[[#Headers],[Mã đơn bán]:[Mã Khách]]),0),0)</f>
        <v>KH07</v>
      </c>
      <c r="BZ119" s="10" t="str">
        <f>VLOOKUP(Table_Main[[#This Row],[Khách hàng]],Table_KhachHang[],COUNTA(Table_KhachHang[[#Headers],[Mã khách]:[Phân khúc]]),0)</f>
        <v>B2C</v>
      </c>
      <c r="CA119" s="25" t="str">
        <f xml:space="preserve">
IFERROR(VLOOKUP(Table_Main[[#This Row],[Đơn bán]],Table_DonBan[],COUNTA(Table_DonBan[[#Headers],[Mã đơn bán]:[Mã NV]]),0),0)</f>
        <v>NV02</v>
      </c>
      <c r="CB119" s="7" t="str">
        <f xml:space="preserve">
IFERROR(VLOOKUP(Table_Main[[#This Row],[Đơn bán]],Table_DonBan[],COUNTA(Table_DonBan[[#Headers],[Mã đơn bán]:[Kênh]]),0),0)</f>
        <v>TK</v>
      </c>
      <c r="CC119" s="7" t="str">
        <f>VLOOKUP(Table_Main[[#This Row],[Kênh]],Table_Kenh[],COUNTA(Table_Kenh[[#Headers],[Kênh]:[Nhóm Kênh]]),0)</f>
        <v>Sàn TMĐT</v>
      </c>
      <c r="CD119" s="53">
        <v>94</v>
      </c>
      <c r="CE119" s="7" t="str">
        <f>IFERROR(VLOOKUP(Table_Main[[#This Row],[Mã SKU]],Table_SKU[[Mã Sản phẩm]:[Giá bán]],COUNTA(Table_SKU[[#Headers],[Mã Sản phẩm]:[Đơn vị]]),0),0)</f>
        <v>Bộ</v>
      </c>
      <c r="CF119" s="7">
        <f>IFERROR(VLOOKUP(Table_Main[[#This Row],[Mã SKU]],Table_SKU[[Mã Sản phẩm]:[Giá bán]],COUNTA(Table_SKU[[#Headers],[Mã Sản phẩm]:[Giá bán]]),0),0)</f>
        <v>500000</v>
      </c>
      <c r="CG119" s="7">
        <f>Table_Main[[#This Row],[Giá bán]]*Table_Main[[#This Row],[Số lượng]]</f>
        <v>47000000</v>
      </c>
      <c r="CH119" s="60">
        <v>0</v>
      </c>
      <c r="CI119" s="7">
        <f>+Table_Main[[#This Row],[Thành tiền niêm yết]]-Table_Main[[#This Row],[Khuyễn mãi]]</f>
        <v>47000000</v>
      </c>
      <c r="CJ119" s="7" cm="1">
        <f t="array" ref="CJ119">VLOOKUP(Table_Main[[#This Row],[Đơn bán]],Table_DonBan[],COUNTA(Table_DonBan[[#Headers],[Mã đơn bán]:[Khuyễn mãi]]),0)*Table_Main[[#This Row],[Giá trị bán trước VAT]]/
SUM(_xlfn._xlws.FILTER(Table_Main[Giá trị bán trước VAT],
(Table_Main[Đơn bán]=Table_Main[[#This Row],[Đơn bán]])
))</f>
        <v>0</v>
      </c>
      <c r="CK119" s="7">
        <f>Table_Main[[#This Row],[Giá trị bán trước VAT]]-Table_Main[[#This Row],[Phân bổ khuyến mãi đơn]]</f>
        <v>47000000</v>
      </c>
      <c r="CL119"/>
      <c r="CM119"/>
    </row>
    <row r="120" spans="33:91" ht="16.5" x14ac:dyDescent="0.3">
      <c r="AG120"/>
      <c r="AH120"/>
      <c r="AI120"/>
      <c r="BT120" s="49" t="s">
        <v>59</v>
      </c>
      <c r="BU120" s="50" t="s">
        <v>136</v>
      </c>
      <c r="BV120" s="6">
        <f xml:space="preserve">
IFERROR(VLOOKUP(Table_Main[[#This Row],[Đơn bán]],Table_DonBan[],COUNTA(Table_DonBan[[#Headers],[Mã đơn bán]:[Ngày lập]]),0),0)</f>
        <v>45337</v>
      </c>
      <c r="BW120" s="51">
        <f>IFERROR(MONTH(Table_Main[[#This Row],[Ngày lên đơn]]),0)</f>
        <v>2</v>
      </c>
      <c r="BX120" s="51" t="str">
        <f>INDEX(Table_SKU[],
MATCH(Table_Main[[#This Row],[Mã SKU]],Table_SKU[Mã Sản phẩm],0),1)</f>
        <v>Nhóm 1</v>
      </c>
      <c r="BY120" s="52" t="str">
        <f xml:space="preserve">
IFERROR(VLOOKUP(Table_Main[[#This Row],[Đơn bán]],Table_DonBan[],COUNTA(Table_DonBan[[#Headers],[Mã đơn bán]:[Mã Khách]]),0),0)</f>
        <v>KH06</v>
      </c>
      <c r="BZ120" s="52" t="str">
        <f>VLOOKUP(Table_Main[[#This Row],[Khách hàng]],Table_KhachHang[],COUNTA(Table_KhachHang[[#Headers],[Mã khách]:[Phân khúc]]),0)</f>
        <v>B2B</v>
      </c>
      <c r="CA120" s="25" t="str">
        <f xml:space="preserve">
IFERROR(VLOOKUP(Table_Main[[#This Row],[Đơn bán]],Table_DonBan[],COUNTA(Table_DonBan[[#Headers],[Mã đơn bán]:[Mã NV]]),0),0)</f>
        <v>NV03</v>
      </c>
      <c r="CB120" s="7" t="str">
        <f xml:space="preserve">
IFERROR(VLOOKUP(Table_Main[[#This Row],[Đơn bán]],Table_DonBan[],COUNTA(Table_DonBan[[#Headers],[Mã đơn bán]:[Kênh]]),0),0)</f>
        <v>ST</v>
      </c>
      <c r="CC120" s="7" t="str">
        <f>VLOOKUP(Table_Main[[#This Row],[Kênh]],Table_Kenh[],COUNTA(Table_Kenh[[#Headers],[Kênh]:[Nhóm Kênh]]),0)</f>
        <v>Offline</v>
      </c>
      <c r="CD120" s="53">
        <v>165</v>
      </c>
      <c r="CE120" s="7" t="str">
        <f>IFERROR(VLOOKUP(Table_Main[[#This Row],[Mã SKU]],Table_SKU[[Mã Sản phẩm]:[Giá bán]],COUNTA(Table_SKU[[#Headers],[Mã Sản phẩm]:[Đơn vị]]),0),0)</f>
        <v>Bộ</v>
      </c>
      <c r="CF120" s="7">
        <f>IFERROR(VLOOKUP(Table_Main[[#This Row],[Mã SKU]],Table_SKU[[Mã Sản phẩm]:[Giá bán]],COUNTA(Table_SKU[[#Headers],[Mã Sản phẩm]:[Giá bán]]),0),0)</f>
        <v>200000</v>
      </c>
      <c r="CG120" s="7">
        <f>Table_Main[[#This Row],[Giá bán]]*Table_Main[[#This Row],[Số lượng]]</f>
        <v>33000000</v>
      </c>
      <c r="CH120" s="60">
        <v>0</v>
      </c>
      <c r="CI120" s="7">
        <f>+Table_Main[[#This Row],[Thành tiền niêm yết]]-Table_Main[[#This Row],[Khuyễn mãi]]</f>
        <v>33000000</v>
      </c>
      <c r="CJ120" s="7" cm="1">
        <f t="array" ref="CJ120">VLOOKUP(Table_Main[[#This Row],[Đơn bán]],Table_DonBan[],COUNTA(Table_DonBan[[#Headers],[Mã đơn bán]:[Khuyễn mãi]]),0)*Table_Main[[#This Row],[Giá trị bán trước VAT]]/
SUM(_xlfn._xlws.FILTER(Table_Main[Giá trị bán trước VAT],
(Table_Main[Đơn bán]=Table_Main[[#This Row],[Đơn bán]])
))</f>
        <v>0</v>
      </c>
      <c r="CK120" s="7">
        <f>Table_Main[[#This Row],[Giá trị bán trước VAT]]-Table_Main[[#This Row],[Phân bổ khuyến mãi đơn]]</f>
        <v>33000000</v>
      </c>
      <c r="CL120"/>
      <c r="CM120"/>
    </row>
    <row r="121" spans="33:91" ht="16.5" x14ac:dyDescent="0.3">
      <c r="AG121"/>
      <c r="AH121"/>
      <c r="AI121"/>
      <c r="BT121" s="49" t="s">
        <v>60</v>
      </c>
      <c r="BU121" s="50" t="s">
        <v>136</v>
      </c>
      <c r="BV121" s="6">
        <f xml:space="preserve">
IFERROR(VLOOKUP(Table_Main[[#This Row],[Đơn bán]],Table_DonBan[],COUNTA(Table_DonBan[[#Headers],[Mã đơn bán]:[Ngày lập]]),0),0)</f>
        <v>45337</v>
      </c>
      <c r="BW121" s="51">
        <f>IFERROR(MONTH(Table_Main[[#This Row],[Ngày lên đơn]]),0)</f>
        <v>2</v>
      </c>
      <c r="BX121" s="51" t="str">
        <f>INDEX(Table_SKU[],
MATCH(Table_Main[[#This Row],[Mã SKU]],Table_SKU[Mã Sản phẩm],0),1)</f>
        <v>Nhóm 2</v>
      </c>
      <c r="BY121" s="52" t="str">
        <f xml:space="preserve">
IFERROR(VLOOKUP(Table_Main[[#This Row],[Đơn bán]],Table_DonBan[],COUNTA(Table_DonBan[[#Headers],[Mã đơn bán]:[Mã Khách]]),0),0)</f>
        <v>KH06</v>
      </c>
      <c r="BZ121" s="52" t="str">
        <f>VLOOKUP(Table_Main[[#This Row],[Khách hàng]],Table_KhachHang[],COUNTA(Table_KhachHang[[#Headers],[Mã khách]:[Phân khúc]]),0)</f>
        <v>B2B</v>
      </c>
      <c r="CA121" s="25" t="str">
        <f xml:space="preserve">
IFERROR(VLOOKUP(Table_Main[[#This Row],[Đơn bán]],Table_DonBan[],COUNTA(Table_DonBan[[#Headers],[Mã đơn bán]:[Mã NV]]),0),0)</f>
        <v>NV03</v>
      </c>
      <c r="CB121" s="7" t="str">
        <f xml:space="preserve">
IFERROR(VLOOKUP(Table_Main[[#This Row],[Đơn bán]],Table_DonBan[],COUNTA(Table_DonBan[[#Headers],[Mã đơn bán]:[Kênh]]),0),0)</f>
        <v>ST</v>
      </c>
      <c r="CC121" s="7" t="str">
        <f>VLOOKUP(Table_Main[[#This Row],[Kênh]],Table_Kenh[],COUNTA(Table_Kenh[[#Headers],[Kênh]:[Nhóm Kênh]]),0)</f>
        <v>Offline</v>
      </c>
      <c r="CD121" s="53">
        <v>116</v>
      </c>
      <c r="CE121" s="7" t="str">
        <f>IFERROR(VLOOKUP(Table_Main[[#This Row],[Mã SKU]],Table_SKU[[Mã Sản phẩm]:[Giá bán]],COUNTA(Table_SKU[[#Headers],[Mã Sản phẩm]:[Đơn vị]]),0),0)</f>
        <v>Bộ</v>
      </c>
      <c r="CF121" s="7">
        <f>IFERROR(VLOOKUP(Table_Main[[#This Row],[Mã SKU]],Table_SKU[[Mã Sản phẩm]:[Giá bán]],COUNTA(Table_SKU[[#Headers],[Mã Sản phẩm]:[Giá bán]]),0),0)</f>
        <v>300000</v>
      </c>
      <c r="CG121" s="7">
        <f>Table_Main[[#This Row],[Giá bán]]*Table_Main[[#This Row],[Số lượng]]</f>
        <v>34800000</v>
      </c>
      <c r="CH121" s="60">
        <v>0</v>
      </c>
      <c r="CI121" s="7">
        <f>+Table_Main[[#This Row],[Thành tiền niêm yết]]-Table_Main[[#This Row],[Khuyễn mãi]]</f>
        <v>34800000</v>
      </c>
      <c r="CJ121" s="7" cm="1">
        <f t="array" ref="CJ121">VLOOKUP(Table_Main[[#This Row],[Đơn bán]],Table_DonBan[],COUNTA(Table_DonBan[[#Headers],[Mã đơn bán]:[Khuyễn mãi]]),0)*Table_Main[[#This Row],[Giá trị bán trước VAT]]/
SUM(_xlfn._xlws.FILTER(Table_Main[Giá trị bán trước VAT],
(Table_Main[Đơn bán]=Table_Main[[#This Row],[Đơn bán]])
))</f>
        <v>0</v>
      </c>
      <c r="CK121" s="7">
        <f>Table_Main[[#This Row],[Giá trị bán trước VAT]]-Table_Main[[#This Row],[Phân bổ khuyến mãi đơn]]</f>
        <v>34800000</v>
      </c>
      <c r="CL121"/>
      <c r="CM121"/>
    </row>
    <row r="122" spans="33:91" ht="16.5" x14ac:dyDescent="0.3">
      <c r="AG122"/>
      <c r="AH122"/>
      <c r="AI122"/>
      <c r="BT122" s="49" t="s">
        <v>61</v>
      </c>
      <c r="BU122" s="50" t="s">
        <v>136</v>
      </c>
      <c r="BV122" s="6">
        <f xml:space="preserve">
IFERROR(VLOOKUP(Table_Main[[#This Row],[Đơn bán]],Table_DonBan[],COUNTA(Table_DonBan[[#Headers],[Mã đơn bán]:[Ngày lập]]),0),0)</f>
        <v>45337</v>
      </c>
      <c r="BW122" s="51">
        <f>IFERROR(MONTH(Table_Main[[#This Row],[Ngày lên đơn]]),0)</f>
        <v>2</v>
      </c>
      <c r="BX122" s="51" t="str">
        <f>INDEX(Table_SKU[],
MATCH(Table_Main[[#This Row],[Mã SKU]],Table_SKU[Mã Sản phẩm],0),1)</f>
        <v>Nhóm 3</v>
      </c>
      <c r="BY122" s="52" t="str">
        <f xml:space="preserve">
IFERROR(VLOOKUP(Table_Main[[#This Row],[Đơn bán]],Table_DonBan[],COUNTA(Table_DonBan[[#Headers],[Mã đơn bán]:[Mã Khách]]),0),0)</f>
        <v>KH06</v>
      </c>
      <c r="BZ122" s="52" t="str">
        <f>VLOOKUP(Table_Main[[#This Row],[Khách hàng]],Table_KhachHang[],COUNTA(Table_KhachHang[[#Headers],[Mã khách]:[Phân khúc]]),0)</f>
        <v>B2B</v>
      </c>
      <c r="CA122" s="25" t="str">
        <f xml:space="preserve">
IFERROR(VLOOKUP(Table_Main[[#This Row],[Đơn bán]],Table_DonBan[],COUNTA(Table_DonBan[[#Headers],[Mã đơn bán]:[Mã NV]]),0),0)</f>
        <v>NV03</v>
      </c>
      <c r="CB122" s="7" t="str">
        <f xml:space="preserve">
IFERROR(VLOOKUP(Table_Main[[#This Row],[Đơn bán]],Table_DonBan[],COUNTA(Table_DonBan[[#Headers],[Mã đơn bán]:[Kênh]]),0),0)</f>
        <v>ST</v>
      </c>
      <c r="CC122" s="7" t="str">
        <f>VLOOKUP(Table_Main[[#This Row],[Kênh]],Table_Kenh[],COUNTA(Table_Kenh[[#Headers],[Kênh]:[Nhóm Kênh]]),0)</f>
        <v>Offline</v>
      </c>
      <c r="CD122" s="53">
        <v>96</v>
      </c>
      <c r="CE122" s="7" t="str">
        <f>IFERROR(VLOOKUP(Table_Main[[#This Row],[Mã SKU]],Table_SKU[[Mã Sản phẩm]:[Giá bán]],COUNTA(Table_SKU[[#Headers],[Mã Sản phẩm]:[Đơn vị]]),0),0)</f>
        <v>Bộ</v>
      </c>
      <c r="CF122" s="7">
        <f>IFERROR(VLOOKUP(Table_Main[[#This Row],[Mã SKU]],Table_SKU[[Mã Sản phẩm]:[Giá bán]],COUNTA(Table_SKU[[#Headers],[Mã Sản phẩm]:[Giá bán]]),0),0)</f>
        <v>500000</v>
      </c>
      <c r="CG122" s="7">
        <f>Table_Main[[#This Row],[Giá bán]]*Table_Main[[#This Row],[Số lượng]]</f>
        <v>48000000</v>
      </c>
      <c r="CH122" s="60">
        <v>0</v>
      </c>
      <c r="CI122" s="7">
        <f>+Table_Main[[#This Row],[Thành tiền niêm yết]]-Table_Main[[#This Row],[Khuyễn mãi]]</f>
        <v>48000000</v>
      </c>
      <c r="CJ122" s="7" cm="1">
        <f t="array" ref="CJ122">VLOOKUP(Table_Main[[#This Row],[Đơn bán]],Table_DonBan[],COUNTA(Table_DonBan[[#Headers],[Mã đơn bán]:[Khuyễn mãi]]),0)*Table_Main[[#This Row],[Giá trị bán trước VAT]]/
SUM(_xlfn._xlws.FILTER(Table_Main[Giá trị bán trước VAT],
(Table_Main[Đơn bán]=Table_Main[[#This Row],[Đơn bán]])
))</f>
        <v>0</v>
      </c>
      <c r="CK122" s="7">
        <f>Table_Main[[#This Row],[Giá trị bán trước VAT]]-Table_Main[[#This Row],[Phân bổ khuyến mãi đơn]]</f>
        <v>48000000</v>
      </c>
      <c r="CL122"/>
      <c r="CM122"/>
    </row>
    <row r="123" spans="33:91" ht="16.5" x14ac:dyDescent="0.3">
      <c r="AG123"/>
      <c r="AH123"/>
      <c r="AI123"/>
      <c r="BT123" s="49" t="s">
        <v>59</v>
      </c>
      <c r="BU123" s="50" t="s">
        <v>135</v>
      </c>
      <c r="BV123" s="6">
        <f xml:space="preserve">
IFERROR(VLOOKUP(Table_Main[[#This Row],[Đơn bán]],Table_DonBan[],COUNTA(Table_DonBan[[#Headers],[Mã đơn bán]:[Ngày lập]]),0),0)</f>
        <v>45327</v>
      </c>
      <c r="BW123" s="51">
        <f>IFERROR(MONTH(Table_Main[[#This Row],[Ngày lên đơn]]),0)</f>
        <v>2</v>
      </c>
      <c r="BX123" s="51" t="str">
        <f>INDEX(Table_SKU[],
MATCH(Table_Main[[#This Row],[Mã SKU]],Table_SKU[Mã Sản phẩm],0),1)</f>
        <v>Nhóm 1</v>
      </c>
      <c r="BY123" s="52" t="str">
        <f xml:space="preserve">
IFERROR(VLOOKUP(Table_Main[[#This Row],[Đơn bán]],Table_DonBan[],COUNTA(Table_DonBan[[#Headers],[Mã đơn bán]:[Mã Khách]]),0),0)</f>
        <v>KH06</v>
      </c>
      <c r="BZ123" s="52" t="str">
        <f>VLOOKUP(Table_Main[[#This Row],[Khách hàng]],Table_KhachHang[],COUNTA(Table_KhachHang[[#Headers],[Mã khách]:[Phân khúc]]),0)</f>
        <v>B2B</v>
      </c>
      <c r="CA123" s="25" t="str">
        <f xml:space="preserve">
IFERROR(VLOOKUP(Table_Main[[#This Row],[Đơn bán]],Table_DonBan[],COUNTA(Table_DonBan[[#Headers],[Mã đơn bán]:[Mã NV]]),0),0)</f>
        <v>NV02</v>
      </c>
      <c r="CB123" s="7" t="str">
        <f xml:space="preserve">
IFERROR(VLOOKUP(Table_Main[[#This Row],[Đơn bán]],Table_DonBan[],COUNTA(Table_DonBan[[#Headers],[Mã đơn bán]:[Kênh]]),0),0)</f>
        <v>ST</v>
      </c>
      <c r="CC123" s="7" t="str">
        <f>VLOOKUP(Table_Main[[#This Row],[Kênh]],Table_Kenh[],COUNTA(Table_Kenh[[#Headers],[Kênh]:[Nhóm Kênh]]),0)</f>
        <v>Offline</v>
      </c>
      <c r="CD123" s="53">
        <v>159</v>
      </c>
      <c r="CE123" s="7" t="str">
        <f>IFERROR(VLOOKUP(Table_Main[[#This Row],[Mã SKU]],Table_SKU[[Mã Sản phẩm]:[Giá bán]],COUNTA(Table_SKU[[#Headers],[Mã Sản phẩm]:[Đơn vị]]),0),0)</f>
        <v>Bộ</v>
      </c>
      <c r="CF123" s="7">
        <f>IFERROR(VLOOKUP(Table_Main[[#This Row],[Mã SKU]],Table_SKU[[Mã Sản phẩm]:[Giá bán]],COUNTA(Table_SKU[[#Headers],[Mã Sản phẩm]:[Giá bán]]),0),0)</f>
        <v>200000</v>
      </c>
      <c r="CG123" s="7">
        <f>Table_Main[[#This Row],[Giá bán]]*Table_Main[[#This Row],[Số lượng]]</f>
        <v>31800000</v>
      </c>
      <c r="CH123" s="60">
        <v>0</v>
      </c>
      <c r="CI123" s="7">
        <f>+Table_Main[[#This Row],[Thành tiền niêm yết]]-Table_Main[[#This Row],[Khuyễn mãi]]</f>
        <v>31800000</v>
      </c>
      <c r="CJ123" s="7" cm="1">
        <f t="array" ref="CJ123">VLOOKUP(Table_Main[[#This Row],[Đơn bán]],Table_DonBan[],COUNTA(Table_DonBan[[#Headers],[Mã đơn bán]:[Khuyễn mãi]]),0)*Table_Main[[#This Row],[Giá trị bán trước VAT]]/
SUM(_xlfn._xlws.FILTER(Table_Main[Giá trị bán trước VAT],
(Table_Main[Đơn bán]=Table_Main[[#This Row],[Đơn bán]])
))</f>
        <v>0</v>
      </c>
      <c r="CK123" s="7">
        <f>Table_Main[[#This Row],[Giá trị bán trước VAT]]-Table_Main[[#This Row],[Phân bổ khuyến mãi đơn]]</f>
        <v>31800000</v>
      </c>
      <c r="CL123"/>
      <c r="CM123"/>
    </row>
    <row r="124" spans="33:91" ht="16.5" x14ac:dyDescent="0.3">
      <c r="AG124"/>
      <c r="AH124"/>
      <c r="AI124"/>
      <c r="BT124" s="49" t="s">
        <v>60</v>
      </c>
      <c r="BU124" s="50" t="s">
        <v>135</v>
      </c>
      <c r="BV124" s="6">
        <f xml:space="preserve">
IFERROR(VLOOKUP(Table_Main[[#This Row],[Đơn bán]],Table_DonBan[],COUNTA(Table_DonBan[[#Headers],[Mã đơn bán]:[Ngày lập]]),0),0)</f>
        <v>45327</v>
      </c>
      <c r="BW124" s="51">
        <f>IFERROR(MONTH(Table_Main[[#This Row],[Ngày lên đơn]]),0)</f>
        <v>2</v>
      </c>
      <c r="BX124" s="51" t="str">
        <f>INDEX(Table_SKU[],
MATCH(Table_Main[[#This Row],[Mã SKU]],Table_SKU[Mã Sản phẩm],0),1)</f>
        <v>Nhóm 2</v>
      </c>
      <c r="BY124" s="52" t="str">
        <f xml:space="preserve">
IFERROR(VLOOKUP(Table_Main[[#This Row],[Đơn bán]],Table_DonBan[],COUNTA(Table_DonBan[[#Headers],[Mã đơn bán]:[Mã Khách]]),0),0)</f>
        <v>KH06</v>
      </c>
      <c r="BZ124" s="52" t="str">
        <f>VLOOKUP(Table_Main[[#This Row],[Khách hàng]],Table_KhachHang[],COUNTA(Table_KhachHang[[#Headers],[Mã khách]:[Phân khúc]]),0)</f>
        <v>B2B</v>
      </c>
      <c r="CA124" s="25" t="str">
        <f xml:space="preserve">
IFERROR(VLOOKUP(Table_Main[[#This Row],[Đơn bán]],Table_DonBan[],COUNTA(Table_DonBan[[#Headers],[Mã đơn bán]:[Mã NV]]),0),0)</f>
        <v>NV02</v>
      </c>
      <c r="CB124" s="7" t="str">
        <f xml:space="preserve">
IFERROR(VLOOKUP(Table_Main[[#This Row],[Đơn bán]],Table_DonBan[],COUNTA(Table_DonBan[[#Headers],[Mã đơn bán]:[Kênh]]),0),0)</f>
        <v>ST</v>
      </c>
      <c r="CC124" s="7" t="str">
        <f>VLOOKUP(Table_Main[[#This Row],[Kênh]],Table_Kenh[],COUNTA(Table_Kenh[[#Headers],[Kênh]:[Nhóm Kênh]]),0)</f>
        <v>Offline</v>
      </c>
      <c r="CD124" s="53">
        <v>113</v>
      </c>
      <c r="CE124" s="7" t="str">
        <f>IFERROR(VLOOKUP(Table_Main[[#This Row],[Mã SKU]],Table_SKU[[Mã Sản phẩm]:[Giá bán]],COUNTA(Table_SKU[[#Headers],[Mã Sản phẩm]:[Đơn vị]]),0),0)</f>
        <v>Bộ</v>
      </c>
      <c r="CF124" s="7">
        <f>IFERROR(VLOOKUP(Table_Main[[#This Row],[Mã SKU]],Table_SKU[[Mã Sản phẩm]:[Giá bán]],COUNTA(Table_SKU[[#Headers],[Mã Sản phẩm]:[Giá bán]]),0),0)</f>
        <v>300000</v>
      </c>
      <c r="CG124" s="7">
        <f>Table_Main[[#This Row],[Giá bán]]*Table_Main[[#This Row],[Số lượng]]</f>
        <v>33900000</v>
      </c>
      <c r="CH124" s="60">
        <v>0</v>
      </c>
      <c r="CI124" s="7">
        <f>+Table_Main[[#This Row],[Thành tiền niêm yết]]-Table_Main[[#This Row],[Khuyễn mãi]]</f>
        <v>33900000</v>
      </c>
      <c r="CJ124" s="7" cm="1">
        <f t="array" ref="CJ124">VLOOKUP(Table_Main[[#This Row],[Đơn bán]],Table_DonBan[],COUNTA(Table_DonBan[[#Headers],[Mã đơn bán]:[Khuyễn mãi]]),0)*Table_Main[[#This Row],[Giá trị bán trước VAT]]/
SUM(_xlfn._xlws.FILTER(Table_Main[Giá trị bán trước VAT],
(Table_Main[Đơn bán]=Table_Main[[#This Row],[Đơn bán]])
))</f>
        <v>0</v>
      </c>
      <c r="CK124" s="7">
        <f>Table_Main[[#This Row],[Giá trị bán trước VAT]]-Table_Main[[#This Row],[Phân bổ khuyến mãi đơn]]</f>
        <v>33900000</v>
      </c>
      <c r="CL124"/>
      <c r="CM124"/>
    </row>
    <row r="125" spans="33:91" ht="16.5" x14ac:dyDescent="0.3">
      <c r="AG125"/>
      <c r="AH125"/>
      <c r="AI125"/>
      <c r="BT125" s="49" t="s">
        <v>61</v>
      </c>
      <c r="BU125" s="50" t="s">
        <v>135</v>
      </c>
      <c r="BV125" s="6">
        <f xml:space="preserve">
IFERROR(VLOOKUP(Table_Main[[#This Row],[Đơn bán]],Table_DonBan[],COUNTA(Table_DonBan[[#Headers],[Mã đơn bán]:[Ngày lập]]),0),0)</f>
        <v>45327</v>
      </c>
      <c r="BW125" s="51">
        <f>IFERROR(MONTH(Table_Main[[#This Row],[Ngày lên đơn]]),0)</f>
        <v>2</v>
      </c>
      <c r="BX125" s="51" t="str">
        <f>INDEX(Table_SKU[],
MATCH(Table_Main[[#This Row],[Mã SKU]],Table_SKU[Mã Sản phẩm],0),1)</f>
        <v>Nhóm 3</v>
      </c>
      <c r="BY125" s="52" t="str">
        <f xml:space="preserve">
IFERROR(VLOOKUP(Table_Main[[#This Row],[Đơn bán]],Table_DonBan[],COUNTA(Table_DonBan[[#Headers],[Mã đơn bán]:[Mã Khách]]),0),0)</f>
        <v>KH06</v>
      </c>
      <c r="BZ125" s="52" t="str">
        <f>VLOOKUP(Table_Main[[#This Row],[Khách hàng]],Table_KhachHang[],COUNTA(Table_KhachHang[[#Headers],[Mã khách]:[Phân khúc]]),0)</f>
        <v>B2B</v>
      </c>
      <c r="CA125" s="25" t="str">
        <f xml:space="preserve">
IFERROR(VLOOKUP(Table_Main[[#This Row],[Đơn bán]],Table_DonBan[],COUNTA(Table_DonBan[[#Headers],[Mã đơn bán]:[Mã NV]]),0),0)</f>
        <v>NV02</v>
      </c>
      <c r="CB125" s="7" t="str">
        <f xml:space="preserve">
IFERROR(VLOOKUP(Table_Main[[#This Row],[Đơn bán]],Table_DonBan[],COUNTA(Table_DonBan[[#Headers],[Mã đơn bán]:[Kênh]]),0),0)</f>
        <v>ST</v>
      </c>
      <c r="CC125" s="7" t="str">
        <f>VLOOKUP(Table_Main[[#This Row],[Kênh]],Table_Kenh[],COUNTA(Table_Kenh[[#Headers],[Kênh]:[Nhóm Kênh]]),0)</f>
        <v>Offline</v>
      </c>
      <c r="CD125" s="53">
        <v>97</v>
      </c>
      <c r="CE125" s="7" t="str">
        <f>IFERROR(VLOOKUP(Table_Main[[#This Row],[Mã SKU]],Table_SKU[[Mã Sản phẩm]:[Giá bán]],COUNTA(Table_SKU[[#Headers],[Mã Sản phẩm]:[Đơn vị]]),0),0)</f>
        <v>Bộ</v>
      </c>
      <c r="CF125" s="7">
        <f>IFERROR(VLOOKUP(Table_Main[[#This Row],[Mã SKU]],Table_SKU[[Mã Sản phẩm]:[Giá bán]],COUNTA(Table_SKU[[#Headers],[Mã Sản phẩm]:[Giá bán]]),0),0)</f>
        <v>500000</v>
      </c>
      <c r="CG125" s="7">
        <f>Table_Main[[#This Row],[Giá bán]]*Table_Main[[#This Row],[Số lượng]]</f>
        <v>48500000</v>
      </c>
      <c r="CH125" s="60">
        <v>0</v>
      </c>
      <c r="CI125" s="7">
        <f>+Table_Main[[#This Row],[Thành tiền niêm yết]]-Table_Main[[#This Row],[Khuyễn mãi]]</f>
        <v>48500000</v>
      </c>
      <c r="CJ125" s="7" cm="1">
        <f t="array" ref="CJ125">VLOOKUP(Table_Main[[#This Row],[Đơn bán]],Table_DonBan[],COUNTA(Table_DonBan[[#Headers],[Mã đơn bán]:[Khuyễn mãi]]),0)*Table_Main[[#This Row],[Giá trị bán trước VAT]]/
SUM(_xlfn._xlws.FILTER(Table_Main[Giá trị bán trước VAT],
(Table_Main[Đơn bán]=Table_Main[[#This Row],[Đơn bán]])
))</f>
        <v>0</v>
      </c>
      <c r="CK125" s="7">
        <f>Table_Main[[#This Row],[Giá trị bán trước VAT]]-Table_Main[[#This Row],[Phân bổ khuyến mãi đơn]]</f>
        <v>48500000</v>
      </c>
      <c r="CL125"/>
      <c r="CM125"/>
    </row>
    <row r="126" spans="33:91" ht="16.5" x14ac:dyDescent="0.3">
      <c r="AG126"/>
      <c r="AH126"/>
      <c r="AI126"/>
      <c r="BT126" s="54" t="s">
        <v>59</v>
      </c>
      <c r="BU126" s="55" t="s">
        <v>134</v>
      </c>
      <c r="BV126" s="56">
        <f xml:space="preserve">
IFERROR(VLOOKUP(Table_Main[[#This Row],[Đơn bán]],Table_DonBan[],COUNTA(Table_DonBan[[#Headers],[Mã đơn bán]:[Ngày lập]]),0),0)</f>
        <v>45316</v>
      </c>
      <c r="BW126" s="51">
        <f>IFERROR(MONTH(Table_Main[[#This Row],[Ngày lên đơn]]),0)</f>
        <v>1</v>
      </c>
      <c r="BX126" s="51" t="str">
        <f>INDEX(Table_SKU[],
MATCH(Table_Main[[#This Row],[Mã SKU]],Table_SKU[Mã Sản phẩm],0),1)</f>
        <v>Nhóm 1</v>
      </c>
      <c r="BY126" s="52" t="str">
        <f xml:space="preserve">
IFERROR(VLOOKUP(Table_Main[[#This Row],[Đơn bán]],Table_DonBan[],COUNTA(Table_DonBan[[#Headers],[Mã đơn bán]:[Mã Khách]]),0),0)</f>
        <v>KH04</v>
      </c>
      <c r="BZ126" s="52" t="str">
        <f>VLOOKUP(Table_Main[[#This Row],[Khách hàng]],Table_KhachHang[],COUNTA(Table_KhachHang[[#Headers],[Mã khách]:[Phân khúc]]),0)</f>
        <v>B2B</v>
      </c>
      <c r="CA126" s="57" t="str">
        <f xml:space="preserve">
IFERROR(VLOOKUP(Table_Main[[#This Row],[Đơn bán]],Table_DonBan[],COUNTA(Table_DonBan[[#Headers],[Mã đơn bán]:[Mã NV]]),0),0)</f>
        <v>NV03</v>
      </c>
      <c r="CB126" s="58" t="str">
        <f xml:space="preserve">
IFERROR(VLOOKUP(Table_Main[[#This Row],[Đơn bán]],Table_DonBan[],COUNTA(Table_DonBan[[#Headers],[Mã đơn bán]:[Kênh]]),0),0)</f>
        <v>FB</v>
      </c>
      <c r="CC126" s="58" t="str">
        <f>VLOOKUP(Table_Main[[#This Row],[Kênh]],Table_Kenh[],COUNTA(Table_Kenh[[#Headers],[Kênh]:[Nhóm Kênh]]),0)</f>
        <v>Mạng xã hội</v>
      </c>
      <c r="CD126" s="59">
        <v>157</v>
      </c>
      <c r="CE126" s="58" t="str">
        <f>IFERROR(VLOOKUP(Table_Main[[#This Row],[Mã SKU]],Table_SKU[[Mã Sản phẩm]:[Giá bán]],COUNTA(Table_SKU[[#Headers],[Mã Sản phẩm]:[Đơn vị]]),0),0)</f>
        <v>Bộ</v>
      </c>
      <c r="CF126" s="58">
        <f>IFERROR(VLOOKUP(Table_Main[[#This Row],[Mã SKU]],Table_SKU[[Mã Sản phẩm]:[Giá bán]],COUNTA(Table_SKU[[#Headers],[Mã Sản phẩm]:[Giá bán]]),0),0)</f>
        <v>200000</v>
      </c>
      <c r="CG126" s="58">
        <f>Table_Main[[#This Row],[Giá bán]]*Table_Main[[#This Row],[Số lượng]]</f>
        <v>31400000</v>
      </c>
      <c r="CH126" s="61">
        <v>0</v>
      </c>
      <c r="CI126" s="58">
        <f>+Table_Main[[#This Row],[Thành tiền niêm yết]]-Table_Main[[#This Row],[Khuyễn mãi]]</f>
        <v>31400000</v>
      </c>
      <c r="CJ126" s="7" cm="1">
        <f t="array" ref="CJ126">VLOOKUP(Table_Main[[#This Row],[Đơn bán]],Table_DonBan[],COUNTA(Table_DonBan[[#Headers],[Mã đơn bán]:[Khuyễn mãi]]),0)*Table_Main[[#This Row],[Giá trị bán trước VAT]]/
SUM(_xlfn._xlws.FILTER(Table_Main[Giá trị bán trước VAT],
(Table_Main[Đơn bán]=Table_Main[[#This Row],[Đơn bán]])
))</f>
        <v>0</v>
      </c>
      <c r="CK126" s="7">
        <f>Table_Main[[#This Row],[Giá trị bán trước VAT]]-Table_Main[[#This Row],[Phân bổ khuyến mãi đơn]]</f>
        <v>31400000</v>
      </c>
      <c r="CL126"/>
      <c r="CM126"/>
    </row>
    <row r="127" spans="33:91" ht="16.5" x14ac:dyDescent="0.3">
      <c r="AG127"/>
      <c r="AH127"/>
      <c r="AI127"/>
      <c r="BT127" s="49" t="s">
        <v>60</v>
      </c>
      <c r="BU127" s="50" t="s">
        <v>134</v>
      </c>
      <c r="BV127" s="6">
        <f xml:space="preserve">
IFERROR(VLOOKUP(Table_Main[[#This Row],[Đơn bán]],Table_DonBan[],COUNTA(Table_DonBan[[#Headers],[Mã đơn bán]:[Ngày lập]]),0),0)</f>
        <v>45316</v>
      </c>
      <c r="BW127" s="51">
        <f>IFERROR(MONTH(Table_Main[[#This Row],[Ngày lên đơn]]),0)</f>
        <v>1</v>
      </c>
      <c r="BX127" s="51" t="str">
        <f>INDEX(Table_SKU[],
MATCH(Table_Main[[#This Row],[Mã SKU]],Table_SKU[Mã Sản phẩm],0),1)</f>
        <v>Nhóm 2</v>
      </c>
      <c r="BY127" s="52" t="str">
        <f xml:space="preserve">
IFERROR(VLOOKUP(Table_Main[[#This Row],[Đơn bán]],Table_DonBan[],COUNTA(Table_DonBan[[#Headers],[Mã đơn bán]:[Mã Khách]]),0),0)</f>
        <v>KH04</v>
      </c>
      <c r="BZ127" s="52" t="str">
        <f>VLOOKUP(Table_Main[[#This Row],[Khách hàng]],Table_KhachHang[],COUNTA(Table_KhachHang[[#Headers],[Mã khách]:[Phân khúc]]),0)</f>
        <v>B2B</v>
      </c>
      <c r="CA127" s="25" t="str">
        <f xml:space="preserve">
IFERROR(VLOOKUP(Table_Main[[#This Row],[Đơn bán]],Table_DonBan[],COUNTA(Table_DonBan[[#Headers],[Mã đơn bán]:[Mã NV]]),0),0)</f>
        <v>NV03</v>
      </c>
      <c r="CB127" s="7" t="str">
        <f xml:space="preserve">
IFERROR(VLOOKUP(Table_Main[[#This Row],[Đơn bán]],Table_DonBan[],COUNTA(Table_DonBan[[#Headers],[Mã đơn bán]:[Kênh]]),0),0)</f>
        <v>FB</v>
      </c>
      <c r="CC127" s="7" t="str">
        <f>VLOOKUP(Table_Main[[#This Row],[Kênh]],Table_Kenh[],COUNTA(Table_Kenh[[#Headers],[Kênh]:[Nhóm Kênh]]),0)</f>
        <v>Mạng xã hội</v>
      </c>
      <c r="CD127" s="53">
        <v>114</v>
      </c>
      <c r="CE127" s="7" t="str">
        <f>IFERROR(VLOOKUP(Table_Main[[#This Row],[Mã SKU]],Table_SKU[[Mã Sản phẩm]:[Giá bán]],COUNTA(Table_SKU[[#Headers],[Mã Sản phẩm]:[Đơn vị]]),0),0)</f>
        <v>Bộ</v>
      </c>
      <c r="CF127" s="7">
        <f>IFERROR(VLOOKUP(Table_Main[[#This Row],[Mã SKU]],Table_SKU[[Mã Sản phẩm]:[Giá bán]],COUNTA(Table_SKU[[#Headers],[Mã Sản phẩm]:[Giá bán]]),0),0)</f>
        <v>300000</v>
      </c>
      <c r="CG127" s="7">
        <f>Table_Main[[#This Row],[Giá bán]]*Table_Main[[#This Row],[Số lượng]]</f>
        <v>34200000</v>
      </c>
      <c r="CH127" s="60">
        <v>0</v>
      </c>
      <c r="CI127" s="7">
        <f>+Table_Main[[#This Row],[Thành tiền niêm yết]]-Table_Main[[#This Row],[Khuyễn mãi]]</f>
        <v>34200000</v>
      </c>
      <c r="CJ127" s="7" cm="1">
        <f t="array" ref="CJ127">VLOOKUP(Table_Main[[#This Row],[Đơn bán]],Table_DonBan[],COUNTA(Table_DonBan[[#Headers],[Mã đơn bán]:[Khuyễn mãi]]),0)*Table_Main[[#This Row],[Giá trị bán trước VAT]]/
SUM(_xlfn._xlws.FILTER(Table_Main[Giá trị bán trước VAT],
(Table_Main[Đơn bán]=Table_Main[[#This Row],[Đơn bán]])
))</f>
        <v>0</v>
      </c>
      <c r="CK127" s="7">
        <f>Table_Main[[#This Row],[Giá trị bán trước VAT]]-Table_Main[[#This Row],[Phân bổ khuyến mãi đơn]]</f>
        <v>34200000</v>
      </c>
      <c r="CL127"/>
      <c r="CM127"/>
    </row>
    <row r="128" spans="33:91" ht="16.5" x14ac:dyDescent="0.3">
      <c r="AG128"/>
      <c r="AH128"/>
      <c r="AI128"/>
      <c r="BT128" s="49" t="s">
        <v>61</v>
      </c>
      <c r="BU128" s="50" t="s">
        <v>134</v>
      </c>
      <c r="BV128" s="6">
        <f xml:space="preserve">
IFERROR(VLOOKUP(Table_Main[[#This Row],[Đơn bán]],Table_DonBan[],COUNTA(Table_DonBan[[#Headers],[Mã đơn bán]:[Ngày lập]]),0),0)</f>
        <v>45316</v>
      </c>
      <c r="BW128" s="51">
        <f>IFERROR(MONTH(Table_Main[[#This Row],[Ngày lên đơn]]),0)</f>
        <v>1</v>
      </c>
      <c r="BX128" s="51" t="str">
        <f>INDEX(Table_SKU[],
MATCH(Table_Main[[#This Row],[Mã SKU]],Table_SKU[Mã Sản phẩm],0),1)</f>
        <v>Nhóm 3</v>
      </c>
      <c r="BY128" s="10" t="str">
        <f xml:space="preserve">
IFERROR(VLOOKUP(Table_Main[[#This Row],[Đơn bán]],Table_DonBan[],COUNTA(Table_DonBan[[#Headers],[Mã đơn bán]:[Mã Khách]]),0),0)</f>
        <v>KH04</v>
      </c>
      <c r="BZ128" s="10" t="str">
        <f>VLOOKUP(Table_Main[[#This Row],[Khách hàng]],Table_KhachHang[],COUNTA(Table_KhachHang[[#Headers],[Mã khách]:[Phân khúc]]),0)</f>
        <v>B2B</v>
      </c>
      <c r="CA128" s="25" t="str">
        <f xml:space="preserve">
IFERROR(VLOOKUP(Table_Main[[#This Row],[Đơn bán]],Table_DonBan[],COUNTA(Table_DonBan[[#Headers],[Mã đơn bán]:[Mã NV]]),0),0)</f>
        <v>NV03</v>
      </c>
      <c r="CB128" s="7" t="str">
        <f xml:space="preserve">
IFERROR(VLOOKUP(Table_Main[[#This Row],[Đơn bán]],Table_DonBan[],COUNTA(Table_DonBan[[#Headers],[Mã đơn bán]:[Kênh]]),0),0)</f>
        <v>FB</v>
      </c>
      <c r="CC128" s="7" t="str">
        <f>VLOOKUP(Table_Main[[#This Row],[Kênh]],Table_Kenh[],COUNTA(Table_Kenh[[#Headers],[Kênh]:[Nhóm Kênh]]),0)</f>
        <v>Mạng xã hội</v>
      </c>
      <c r="CD128" s="53">
        <v>96</v>
      </c>
      <c r="CE128" s="7" t="str">
        <f>IFERROR(VLOOKUP(Table_Main[[#This Row],[Mã SKU]],Table_SKU[[Mã Sản phẩm]:[Giá bán]],COUNTA(Table_SKU[[#Headers],[Mã Sản phẩm]:[Đơn vị]]),0),0)</f>
        <v>Bộ</v>
      </c>
      <c r="CF128" s="7">
        <f>IFERROR(VLOOKUP(Table_Main[[#This Row],[Mã SKU]],Table_SKU[[Mã Sản phẩm]:[Giá bán]],COUNTA(Table_SKU[[#Headers],[Mã Sản phẩm]:[Giá bán]]),0),0)</f>
        <v>500000</v>
      </c>
      <c r="CG128" s="7">
        <f>Table_Main[[#This Row],[Giá bán]]*Table_Main[[#This Row],[Số lượng]]</f>
        <v>48000000</v>
      </c>
      <c r="CH128" s="60">
        <v>0</v>
      </c>
      <c r="CI128" s="7">
        <f>+Table_Main[[#This Row],[Thành tiền niêm yết]]-Table_Main[[#This Row],[Khuyễn mãi]]</f>
        <v>48000000</v>
      </c>
      <c r="CJ128" s="7" cm="1">
        <f t="array" ref="CJ128">VLOOKUP(Table_Main[[#This Row],[Đơn bán]],Table_DonBan[],COUNTA(Table_DonBan[[#Headers],[Mã đơn bán]:[Khuyễn mãi]]),0)*Table_Main[[#This Row],[Giá trị bán trước VAT]]/
SUM(_xlfn._xlws.FILTER(Table_Main[Giá trị bán trước VAT],
(Table_Main[Đơn bán]=Table_Main[[#This Row],[Đơn bán]])
))</f>
        <v>0</v>
      </c>
      <c r="CK128" s="7">
        <f>Table_Main[[#This Row],[Giá trị bán trước VAT]]-Table_Main[[#This Row],[Phân bổ khuyến mãi đơn]]</f>
        <v>48000000</v>
      </c>
      <c r="CL128"/>
      <c r="CM128"/>
    </row>
    <row r="129" spans="33:91" ht="16.5" x14ac:dyDescent="0.3">
      <c r="AG129"/>
      <c r="AH129"/>
      <c r="AI129"/>
      <c r="BT129" s="49" t="s">
        <v>59</v>
      </c>
      <c r="BU129" s="50" t="s">
        <v>133</v>
      </c>
      <c r="BV129" s="6">
        <f xml:space="preserve">
IFERROR(VLOOKUP(Table_Main[[#This Row],[Đơn bán]],Table_DonBan[],COUNTA(Table_DonBan[[#Headers],[Mã đơn bán]:[Ngày lập]]),0),0)</f>
        <v>45306</v>
      </c>
      <c r="BW129" s="51">
        <f>IFERROR(MONTH(Table_Main[[#This Row],[Ngày lên đơn]]),0)</f>
        <v>1</v>
      </c>
      <c r="BX129" s="51" t="str">
        <f>INDEX(Table_SKU[],
MATCH(Table_Main[[#This Row],[Mã SKU]],Table_SKU[Mã Sản phẩm],0),1)</f>
        <v>Nhóm 1</v>
      </c>
      <c r="BY129" s="52" t="str">
        <f xml:space="preserve">
IFERROR(VLOOKUP(Table_Main[[#This Row],[Đơn bán]],Table_DonBan[],COUNTA(Table_DonBan[[#Headers],[Mã đơn bán]:[Mã Khách]]),0),0)</f>
        <v>KH05</v>
      </c>
      <c r="BZ129" s="52" t="str">
        <f>VLOOKUP(Table_Main[[#This Row],[Khách hàng]],Table_KhachHang[],COUNTA(Table_KhachHang[[#Headers],[Mã khách]:[Phân khúc]]),0)</f>
        <v>B2C</v>
      </c>
      <c r="CA129" s="25" t="str">
        <f xml:space="preserve">
IFERROR(VLOOKUP(Table_Main[[#This Row],[Đơn bán]],Table_DonBan[],COUNTA(Table_DonBan[[#Headers],[Mã đơn bán]:[Mã NV]]),0),0)</f>
        <v>NV02</v>
      </c>
      <c r="CB129" s="7" t="str">
        <f xml:space="preserve">
IFERROR(VLOOKUP(Table_Main[[#This Row],[Đơn bán]],Table_DonBan[],COUNTA(Table_DonBan[[#Headers],[Mã đơn bán]:[Kênh]]),0),0)</f>
        <v>SP</v>
      </c>
      <c r="CC129" s="7" t="str">
        <f>VLOOKUP(Table_Main[[#This Row],[Kênh]],Table_Kenh[],COUNTA(Table_Kenh[[#Headers],[Kênh]:[Nhóm Kênh]]),0)</f>
        <v>Sàn TMĐT</v>
      </c>
      <c r="CD129" s="53">
        <v>152</v>
      </c>
      <c r="CE129" s="7" t="str">
        <f>IFERROR(VLOOKUP(Table_Main[[#This Row],[Mã SKU]],Table_SKU[[Mã Sản phẩm]:[Giá bán]],COUNTA(Table_SKU[[#Headers],[Mã Sản phẩm]:[Đơn vị]]),0),0)</f>
        <v>Bộ</v>
      </c>
      <c r="CF129" s="7">
        <f>IFERROR(VLOOKUP(Table_Main[[#This Row],[Mã SKU]],Table_SKU[[Mã Sản phẩm]:[Giá bán]],COUNTA(Table_SKU[[#Headers],[Mã Sản phẩm]:[Giá bán]]),0),0)</f>
        <v>200000</v>
      </c>
      <c r="CG129" s="7">
        <f>Table_Main[[#This Row],[Giá bán]]*Table_Main[[#This Row],[Số lượng]]</f>
        <v>30400000</v>
      </c>
      <c r="CH129" s="60">
        <v>0</v>
      </c>
      <c r="CI129" s="7">
        <f>+Table_Main[[#This Row],[Thành tiền niêm yết]]-Table_Main[[#This Row],[Khuyễn mãi]]</f>
        <v>30400000</v>
      </c>
      <c r="CJ129" s="7" cm="1">
        <f t="array" ref="CJ129">VLOOKUP(Table_Main[[#This Row],[Đơn bán]],Table_DonBan[],COUNTA(Table_DonBan[[#Headers],[Mã đơn bán]:[Khuyễn mãi]]),0)*Table_Main[[#This Row],[Giá trị bán trước VAT]]/
SUM(_xlfn._xlws.FILTER(Table_Main[Giá trị bán trước VAT],
(Table_Main[Đơn bán]=Table_Main[[#This Row],[Đơn bán]])
))</f>
        <v>0</v>
      </c>
      <c r="CK129" s="7">
        <f>Table_Main[[#This Row],[Giá trị bán trước VAT]]-Table_Main[[#This Row],[Phân bổ khuyến mãi đơn]]</f>
        <v>30400000</v>
      </c>
      <c r="CL129"/>
      <c r="CM129"/>
    </row>
    <row r="130" spans="33:91" ht="16.5" x14ac:dyDescent="0.3">
      <c r="AG130"/>
      <c r="AH130"/>
      <c r="AI130"/>
      <c r="BT130" s="49" t="s">
        <v>60</v>
      </c>
      <c r="BU130" s="50" t="s">
        <v>133</v>
      </c>
      <c r="BV130" s="6">
        <f xml:space="preserve">
IFERROR(VLOOKUP(Table_Main[[#This Row],[Đơn bán]],Table_DonBan[],COUNTA(Table_DonBan[[#Headers],[Mã đơn bán]:[Ngày lập]]),0),0)</f>
        <v>45306</v>
      </c>
      <c r="BW130" s="51">
        <f>IFERROR(MONTH(Table_Main[[#This Row],[Ngày lên đơn]]),0)</f>
        <v>1</v>
      </c>
      <c r="BX130" s="51" t="str">
        <f>INDEX(Table_SKU[],
MATCH(Table_Main[[#This Row],[Mã SKU]],Table_SKU[Mã Sản phẩm],0),1)</f>
        <v>Nhóm 2</v>
      </c>
      <c r="BY130" s="52" t="str">
        <f xml:space="preserve">
IFERROR(VLOOKUP(Table_Main[[#This Row],[Đơn bán]],Table_DonBan[],COUNTA(Table_DonBan[[#Headers],[Mã đơn bán]:[Mã Khách]]),0),0)</f>
        <v>KH05</v>
      </c>
      <c r="BZ130" s="52" t="str">
        <f>VLOOKUP(Table_Main[[#This Row],[Khách hàng]],Table_KhachHang[],COUNTA(Table_KhachHang[[#Headers],[Mã khách]:[Phân khúc]]),0)</f>
        <v>B2C</v>
      </c>
      <c r="CA130" s="25" t="str">
        <f xml:space="preserve">
IFERROR(VLOOKUP(Table_Main[[#This Row],[Đơn bán]],Table_DonBan[],COUNTA(Table_DonBan[[#Headers],[Mã đơn bán]:[Mã NV]]),0),0)</f>
        <v>NV02</v>
      </c>
      <c r="CB130" s="7" t="str">
        <f xml:space="preserve">
IFERROR(VLOOKUP(Table_Main[[#This Row],[Đơn bán]],Table_DonBan[],COUNTA(Table_DonBan[[#Headers],[Mã đơn bán]:[Kênh]]),0),0)</f>
        <v>SP</v>
      </c>
      <c r="CC130" s="7" t="str">
        <f>VLOOKUP(Table_Main[[#This Row],[Kênh]],Table_Kenh[],COUNTA(Table_Kenh[[#Headers],[Kênh]:[Nhóm Kênh]]),0)</f>
        <v>Sàn TMĐT</v>
      </c>
      <c r="CD130" s="53">
        <v>112</v>
      </c>
      <c r="CE130" s="7" t="str">
        <f>IFERROR(VLOOKUP(Table_Main[[#This Row],[Mã SKU]],Table_SKU[[Mã Sản phẩm]:[Giá bán]],COUNTA(Table_SKU[[#Headers],[Mã Sản phẩm]:[Đơn vị]]),0),0)</f>
        <v>Bộ</v>
      </c>
      <c r="CF130" s="7">
        <f>IFERROR(VLOOKUP(Table_Main[[#This Row],[Mã SKU]],Table_SKU[[Mã Sản phẩm]:[Giá bán]],COUNTA(Table_SKU[[#Headers],[Mã Sản phẩm]:[Giá bán]]),0),0)</f>
        <v>300000</v>
      </c>
      <c r="CG130" s="7">
        <f>Table_Main[[#This Row],[Giá bán]]*Table_Main[[#This Row],[Số lượng]]</f>
        <v>33600000</v>
      </c>
      <c r="CH130" s="60">
        <v>0</v>
      </c>
      <c r="CI130" s="7">
        <f>+Table_Main[[#This Row],[Thành tiền niêm yết]]-Table_Main[[#This Row],[Khuyễn mãi]]</f>
        <v>33600000</v>
      </c>
      <c r="CJ130" s="7" cm="1">
        <f t="array" ref="CJ130">VLOOKUP(Table_Main[[#This Row],[Đơn bán]],Table_DonBan[],COUNTA(Table_DonBan[[#Headers],[Mã đơn bán]:[Khuyễn mãi]]),0)*Table_Main[[#This Row],[Giá trị bán trước VAT]]/
SUM(_xlfn._xlws.FILTER(Table_Main[Giá trị bán trước VAT],
(Table_Main[Đơn bán]=Table_Main[[#This Row],[Đơn bán]])
))</f>
        <v>0</v>
      </c>
      <c r="CK130" s="7">
        <f>Table_Main[[#This Row],[Giá trị bán trước VAT]]-Table_Main[[#This Row],[Phân bổ khuyến mãi đơn]]</f>
        <v>33600000</v>
      </c>
      <c r="CL130"/>
      <c r="CM130"/>
    </row>
    <row r="131" spans="33:91" ht="16.5" x14ac:dyDescent="0.3">
      <c r="AG131"/>
      <c r="AH131"/>
      <c r="AI131"/>
      <c r="BT131" s="49" t="s">
        <v>61</v>
      </c>
      <c r="BU131" s="50" t="s">
        <v>133</v>
      </c>
      <c r="BV131" s="6">
        <f xml:space="preserve">
IFERROR(VLOOKUP(Table_Main[[#This Row],[Đơn bán]],Table_DonBan[],COUNTA(Table_DonBan[[#Headers],[Mã đơn bán]:[Ngày lập]]),0),0)</f>
        <v>45306</v>
      </c>
      <c r="BW131" s="51">
        <f>IFERROR(MONTH(Table_Main[[#This Row],[Ngày lên đơn]]),0)</f>
        <v>1</v>
      </c>
      <c r="BX131" s="51" t="str">
        <f>INDEX(Table_SKU[],
MATCH(Table_Main[[#This Row],[Mã SKU]],Table_SKU[Mã Sản phẩm],0),1)</f>
        <v>Nhóm 3</v>
      </c>
      <c r="BY131" s="52" t="str">
        <f xml:space="preserve">
IFERROR(VLOOKUP(Table_Main[[#This Row],[Đơn bán]],Table_DonBan[],COUNTA(Table_DonBan[[#Headers],[Mã đơn bán]:[Mã Khách]]),0),0)</f>
        <v>KH05</v>
      </c>
      <c r="BZ131" s="52" t="str">
        <f>VLOOKUP(Table_Main[[#This Row],[Khách hàng]],Table_KhachHang[],COUNTA(Table_KhachHang[[#Headers],[Mã khách]:[Phân khúc]]),0)</f>
        <v>B2C</v>
      </c>
      <c r="CA131" s="25" t="str">
        <f xml:space="preserve">
IFERROR(VLOOKUP(Table_Main[[#This Row],[Đơn bán]],Table_DonBan[],COUNTA(Table_DonBan[[#Headers],[Mã đơn bán]:[Mã NV]]),0),0)</f>
        <v>NV02</v>
      </c>
      <c r="CB131" s="7" t="str">
        <f xml:space="preserve">
IFERROR(VLOOKUP(Table_Main[[#This Row],[Đơn bán]],Table_DonBan[],COUNTA(Table_DonBan[[#Headers],[Mã đơn bán]:[Kênh]]),0),0)</f>
        <v>SP</v>
      </c>
      <c r="CC131" s="7" t="str">
        <f>VLOOKUP(Table_Main[[#This Row],[Kênh]],Table_Kenh[],COUNTA(Table_Kenh[[#Headers],[Kênh]:[Nhóm Kênh]]),0)</f>
        <v>Sàn TMĐT</v>
      </c>
      <c r="CD131" s="53">
        <v>91</v>
      </c>
      <c r="CE131" s="7" t="str">
        <f>IFERROR(VLOOKUP(Table_Main[[#This Row],[Mã SKU]],Table_SKU[[Mã Sản phẩm]:[Giá bán]],COUNTA(Table_SKU[[#Headers],[Mã Sản phẩm]:[Đơn vị]]),0),0)</f>
        <v>Bộ</v>
      </c>
      <c r="CF131" s="7">
        <f>IFERROR(VLOOKUP(Table_Main[[#This Row],[Mã SKU]],Table_SKU[[Mã Sản phẩm]:[Giá bán]],COUNTA(Table_SKU[[#Headers],[Mã Sản phẩm]:[Giá bán]]),0),0)</f>
        <v>500000</v>
      </c>
      <c r="CG131" s="7">
        <f>Table_Main[[#This Row],[Giá bán]]*Table_Main[[#This Row],[Số lượng]]</f>
        <v>45500000</v>
      </c>
      <c r="CH131" s="60">
        <v>0</v>
      </c>
      <c r="CI131" s="7">
        <f>+Table_Main[[#This Row],[Thành tiền niêm yết]]-Table_Main[[#This Row],[Khuyễn mãi]]</f>
        <v>45500000</v>
      </c>
      <c r="CJ131" s="7" cm="1">
        <f t="array" ref="CJ131">VLOOKUP(Table_Main[[#This Row],[Đơn bán]],Table_DonBan[],COUNTA(Table_DonBan[[#Headers],[Mã đơn bán]:[Khuyễn mãi]]),0)*Table_Main[[#This Row],[Giá trị bán trước VAT]]/
SUM(_xlfn._xlws.FILTER(Table_Main[Giá trị bán trước VAT],
(Table_Main[Đơn bán]=Table_Main[[#This Row],[Đơn bán]])
))</f>
        <v>0</v>
      </c>
      <c r="CK131" s="7">
        <f>Table_Main[[#This Row],[Giá trị bán trước VAT]]-Table_Main[[#This Row],[Phân bổ khuyến mãi đơn]]</f>
        <v>45500000</v>
      </c>
      <c r="CL131"/>
      <c r="CM131"/>
    </row>
    <row r="132" spans="33:91" ht="16.5" x14ac:dyDescent="0.3">
      <c r="AG132"/>
      <c r="AH132"/>
      <c r="AI132"/>
      <c r="BT132" s="49" t="s">
        <v>59</v>
      </c>
      <c r="BU132" s="50" t="s">
        <v>132</v>
      </c>
      <c r="BV132" s="6">
        <f xml:space="preserve">
IFERROR(VLOOKUP(Table_Main[[#This Row],[Đơn bán]],Table_DonBan[],COUNTA(Table_DonBan[[#Headers],[Mã đơn bán]:[Ngày lập]]),0),0)</f>
        <v>45296</v>
      </c>
      <c r="BW132" s="51">
        <f>IFERROR(MONTH(Table_Main[[#This Row],[Ngày lên đơn]]),0)</f>
        <v>1</v>
      </c>
      <c r="BX132" s="51" t="str">
        <f>INDEX(Table_SKU[],
MATCH(Table_Main[[#This Row],[Mã SKU]],Table_SKU[Mã Sản phẩm],0),1)</f>
        <v>Nhóm 1</v>
      </c>
      <c r="BY132" s="52" t="str">
        <f xml:space="preserve">
IFERROR(VLOOKUP(Table_Main[[#This Row],[Đơn bán]],Table_DonBan[],COUNTA(Table_DonBan[[#Headers],[Mã đơn bán]:[Mã Khách]]),0),0)</f>
        <v>KH02</v>
      </c>
      <c r="BZ132" s="52" t="str">
        <f>VLOOKUP(Table_Main[[#This Row],[Khách hàng]],Table_KhachHang[],COUNTA(Table_KhachHang[[#Headers],[Mã khách]:[Phân khúc]]),0)</f>
        <v>B2C</v>
      </c>
      <c r="CA132" s="25" t="str">
        <f xml:space="preserve">
IFERROR(VLOOKUP(Table_Main[[#This Row],[Đơn bán]],Table_DonBan[],COUNTA(Table_DonBan[[#Headers],[Mã đơn bán]:[Mã NV]]),0),0)</f>
        <v>NV02</v>
      </c>
      <c r="CB132" s="7" t="str">
        <f xml:space="preserve">
IFERROR(VLOOKUP(Table_Main[[#This Row],[Đơn bán]],Table_DonBan[],COUNTA(Table_DonBan[[#Headers],[Mã đơn bán]:[Kênh]]),0),0)</f>
        <v>ST</v>
      </c>
      <c r="CC132" s="7" t="str">
        <f>VLOOKUP(Table_Main[[#This Row],[Kênh]],Table_Kenh[],COUNTA(Table_Kenh[[#Headers],[Kênh]:[Nhóm Kênh]]),0)</f>
        <v>Offline</v>
      </c>
      <c r="CD132" s="53">
        <v>150</v>
      </c>
      <c r="CE132" s="7" t="str">
        <f>IFERROR(VLOOKUP(Table_Main[[#This Row],[Mã SKU]],Table_SKU[[Mã Sản phẩm]:[Giá bán]],COUNTA(Table_SKU[[#Headers],[Mã Sản phẩm]:[Đơn vị]]),0),0)</f>
        <v>Bộ</v>
      </c>
      <c r="CF132" s="7">
        <f>IFERROR(VLOOKUP(Table_Main[[#This Row],[Mã SKU]],Table_SKU[[Mã Sản phẩm]:[Giá bán]],COUNTA(Table_SKU[[#Headers],[Mã Sản phẩm]:[Giá bán]]),0),0)</f>
        <v>200000</v>
      </c>
      <c r="CG132" s="7">
        <f>Table_Main[[#This Row],[Giá bán]]*Table_Main[[#This Row],[Số lượng]]</f>
        <v>30000000</v>
      </c>
      <c r="CH132" s="60">
        <v>0</v>
      </c>
      <c r="CI132" s="7">
        <f>+Table_Main[[#This Row],[Thành tiền niêm yết]]-Table_Main[[#This Row],[Khuyễn mãi]]</f>
        <v>30000000</v>
      </c>
      <c r="CJ132" s="7" cm="1">
        <f t="array" ref="CJ132">VLOOKUP(Table_Main[[#This Row],[Đơn bán]],Table_DonBan[],COUNTA(Table_DonBan[[#Headers],[Mã đơn bán]:[Khuyễn mãi]]),0)*Table_Main[[#This Row],[Giá trị bán trước VAT]]/
SUM(_xlfn._xlws.FILTER(Table_Main[Giá trị bán trước VAT],
(Table_Main[Đơn bán]=Table_Main[[#This Row],[Đơn bán]])
))</f>
        <v>0</v>
      </c>
      <c r="CK132" s="7">
        <f>Table_Main[[#This Row],[Giá trị bán trước VAT]]-Table_Main[[#This Row],[Phân bổ khuyến mãi đơn]]</f>
        <v>30000000</v>
      </c>
      <c r="CL132"/>
      <c r="CM132"/>
    </row>
    <row r="133" spans="33:91" ht="16.5" x14ac:dyDescent="0.3">
      <c r="AG133"/>
      <c r="AH133"/>
      <c r="AI133"/>
      <c r="BT133" s="49" t="s">
        <v>60</v>
      </c>
      <c r="BU133" s="50" t="s">
        <v>132</v>
      </c>
      <c r="BV133" s="6">
        <f xml:space="preserve">
IFERROR(VLOOKUP(Table_Main[[#This Row],[Đơn bán]],Table_DonBan[],COUNTA(Table_DonBan[[#Headers],[Mã đơn bán]:[Ngày lập]]),0),0)</f>
        <v>45296</v>
      </c>
      <c r="BW133" s="51">
        <f>IFERROR(MONTH(Table_Main[[#This Row],[Ngày lên đơn]]),0)</f>
        <v>1</v>
      </c>
      <c r="BX133" s="51" t="str">
        <f>INDEX(Table_SKU[],
MATCH(Table_Main[[#This Row],[Mã SKU]],Table_SKU[Mã Sản phẩm],0),1)</f>
        <v>Nhóm 2</v>
      </c>
      <c r="BY133" s="52" t="str">
        <f xml:space="preserve">
IFERROR(VLOOKUP(Table_Main[[#This Row],[Đơn bán]],Table_DonBan[],COUNTA(Table_DonBan[[#Headers],[Mã đơn bán]:[Mã Khách]]),0),0)</f>
        <v>KH02</v>
      </c>
      <c r="BZ133" s="52" t="str">
        <f>VLOOKUP(Table_Main[[#This Row],[Khách hàng]],Table_KhachHang[],COUNTA(Table_KhachHang[[#Headers],[Mã khách]:[Phân khúc]]),0)</f>
        <v>B2C</v>
      </c>
      <c r="CA133" s="25" t="str">
        <f xml:space="preserve">
IFERROR(VLOOKUP(Table_Main[[#This Row],[Đơn bán]],Table_DonBan[],COUNTA(Table_DonBan[[#Headers],[Mã đơn bán]:[Mã NV]]),0),0)</f>
        <v>NV02</v>
      </c>
      <c r="CB133" s="7" t="str">
        <f xml:space="preserve">
IFERROR(VLOOKUP(Table_Main[[#This Row],[Đơn bán]],Table_DonBan[],COUNTA(Table_DonBan[[#Headers],[Mã đơn bán]:[Kênh]]),0),0)</f>
        <v>ST</v>
      </c>
      <c r="CC133" s="7" t="str">
        <f>VLOOKUP(Table_Main[[#This Row],[Kênh]],Table_Kenh[],COUNTA(Table_Kenh[[#Headers],[Kênh]:[Nhóm Kênh]]),0)</f>
        <v>Offline</v>
      </c>
      <c r="CD133" s="53">
        <v>112</v>
      </c>
      <c r="CE133" s="7" t="str">
        <f>IFERROR(VLOOKUP(Table_Main[[#This Row],[Mã SKU]],Table_SKU[[Mã Sản phẩm]:[Giá bán]],COUNTA(Table_SKU[[#Headers],[Mã Sản phẩm]:[Đơn vị]]),0),0)</f>
        <v>Bộ</v>
      </c>
      <c r="CF133" s="7">
        <f>IFERROR(VLOOKUP(Table_Main[[#This Row],[Mã SKU]],Table_SKU[[Mã Sản phẩm]:[Giá bán]],COUNTA(Table_SKU[[#Headers],[Mã Sản phẩm]:[Giá bán]]),0),0)</f>
        <v>300000</v>
      </c>
      <c r="CG133" s="7">
        <f>Table_Main[[#This Row],[Giá bán]]*Table_Main[[#This Row],[Số lượng]]</f>
        <v>33600000</v>
      </c>
      <c r="CH133" s="60">
        <v>0</v>
      </c>
      <c r="CI133" s="7">
        <f>+Table_Main[[#This Row],[Thành tiền niêm yết]]-Table_Main[[#This Row],[Khuyễn mãi]]</f>
        <v>33600000</v>
      </c>
      <c r="CJ133" s="7" cm="1">
        <f t="array" ref="CJ133">VLOOKUP(Table_Main[[#This Row],[Đơn bán]],Table_DonBan[],COUNTA(Table_DonBan[[#Headers],[Mã đơn bán]:[Khuyễn mãi]]),0)*Table_Main[[#This Row],[Giá trị bán trước VAT]]/
SUM(_xlfn._xlws.FILTER(Table_Main[Giá trị bán trước VAT],
(Table_Main[Đơn bán]=Table_Main[[#This Row],[Đơn bán]])
))</f>
        <v>0</v>
      </c>
      <c r="CK133" s="7">
        <f>Table_Main[[#This Row],[Giá trị bán trước VAT]]-Table_Main[[#This Row],[Phân bổ khuyến mãi đơn]]</f>
        <v>33600000</v>
      </c>
      <c r="CL133"/>
      <c r="CM133"/>
    </row>
    <row r="134" spans="33:91" ht="16.5" x14ac:dyDescent="0.3">
      <c r="AG134"/>
      <c r="AH134"/>
      <c r="AI134"/>
      <c r="BT134" s="49" t="s">
        <v>61</v>
      </c>
      <c r="BU134" s="50" t="s">
        <v>132</v>
      </c>
      <c r="BV134" s="6">
        <f xml:space="preserve">
IFERROR(VLOOKUP(Table_Main[[#This Row],[Đơn bán]],Table_DonBan[],COUNTA(Table_DonBan[[#Headers],[Mã đơn bán]:[Ngày lập]]),0),0)</f>
        <v>45296</v>
      </c>
      <c r="BW134" s="51">
        <f>IFERROR(MONTH(Table_Main[[#This Row],[Ngày lên đơn]]),0)</f>
        <v>1</v>
      </c>
      <c r="BX134" s="51" t="str">
        <f>INDEX(Table_SKU[],
MATCH(Table_Main[[#This Row],[Mã SKU]],Table_SKU[Mã Sản phẩm],0),1)</f>
        <v>Nhóm 3</v>
      </c>
      <c r="BY134" s="52" t="str">
        <f xml:space="preserve">
IFERROR(VLOOKUP(Table_Main[[#This Row],[Đơn bán]],Table_DonBan[],COUNTA(Table_DonBan[[#Headers],[Mã đơn bán]:[Mã Khách]]),0),0)</f>
        <v>KH02</v>
      </c>
      <c r="BZ134" s="52" t="str">
        <f>VLOOKUP(Table_Main[[#This Row],[Khách hàng]],Table_KhachHang[],COUNTA(Table_KhachHang[[#Headers],[Mã khách]:[Phân khúc]]),0)</f>
        <v>B2C</v>
      </c>
      <c r="CA134" s="25" t="str">
        <f xml:space="preserve">
IFERROR(VLOOKUP(Table_Main[[#This Row],[Đơn bán]],Table_DonBan[],COUNTA(Table_DonBan[[#Headers],[Mã đơn bán]:[Mã NV]]),0),0)</f>
        <v>NV02</v>
      </c>
      <c r="CB134" s="7" t="str">
        <f xml:space="preserve">
IFERROR(VLOOKUP(Table_Main[[#This Row],[Đơn bán]],Table_DonBan[],COUNTA(Table_DonBan[[#Headers],[Mã đơn bán]:[Kênh]]),0),0)</f>
        <v>ST</v>
      </c>
      <c r="CC134" s="7" t="str">
        <f>VLOOKUP(Table_Main[[#This Row],[Kênh]],Table_Kenh[],COUNTA(Table_Kenh[[#Headers],[Kênh]:[Nhóm Kênh]]),0)</f>
        <v>Offline</v>
      </c>
      <c r="CD134" s="53">
        <v>88</v>
      </c>
      <c r="CE134" s="7" t="str">
        <f>IFERROR(VLOOKUP(Table_Main[[#This Row],[Mã SKU]],Table_SKU[[Mã Sản phẩm]:[Giá bán]],COUNTA(Table_SKU[[#Headers],[Mã Sản phẩm]:[Đơn vị]]),0),0)</f>
        <v>Bộ</v>
      </c>
      <c r="CF134" s="7">
        <f>IFERROR(VLOOKUP(Table_Main[[#This Row],[Mã SKU]],Table_SKU[[Mã Sản phẩm]:[Giá bán]],COUNTA(Table_SKU[[#Headers],[Mã Sản phẩm]:[Giá bán]]),0),0)</f>
        <v>500000</v>
      </c>
      <c r="CG134" s="7">
        <f>Table_Main[[#This Row],[Giá bán]]*Table_Main[[#This Row],[Số lượng]]</f>
        <v>44000000</v>
      </c>
      <c r="CH134" s="60">
        <v>0</v>
      </c>
      <c r="CI134" s="7">
        <f>+Table_Main[[#This Row],[Thành tiền niêm yết]]-Table_Main[[#This Row],[Khuyễn mãi]]</f>
        <v>44000000</v>
      </c>
      <c r="CJ134" s="7" cm="1">
        <f t="array" ref="CJ134">VLOOKUP(Table_Main[[#This Row],[Đơn bán]],Table_DonBan[],COUNTA(Table_DonBan[[#Headers],[Mã đơn bán]:[Khuyễn mãi]]),0)*Table_Main[[#This Row],[Giá trị bán trước VAT]]/
SUM(_xlfn._xlws.FILTER(Table_Main[Giá trị bán trước VAT],
(Table_Main[Đơn bán]=Table_Main[[#This Row],[Đơn bán]])
))</f>
        <v>0</v>
      </c>
      <c r="CK134" s="7">
        <f>Table_Main[[#This Row],[Giá trị bán trước VAT]]-Table_Main[[#This Row],[Phân bổ khuyến mãi đơn]]</f>
        <v>44000000</v>
      </c>
      <c r="CL134"/>
      <c r="CM134"/>
    </row>
    <row r="135" spans="33:91" ht="16.5" x14ac:dyDescent="0.3">
      <c r="AG135"/>
      <c r="AH135"/>
      <c r="AI135"/>
      <c r="BT135" s="54" t="s">
        <v>59</v>
      </c>
      <c r="BU135" s="55" t="s">
        <v>131</v>
      </c>
      <c r="BV135" s="56">
        <f xml:space="preserve">
IFERROR(VLOOKUP(Table_Main[[#This Row],[Đơn bán]],Table_DonBan[],COUNTA(Table_DonBan[[#Headers],[Mã đơn bán]:[Ngày lập]]),0),0)</f>
        <v>45285</v>
      </c>
      <c r="BW135" s="51">
        <f>IFERROR(MONTH(Table_Main[[#This Row],[Ngày lên đơn]]),0)</f>
        <v>12</v>
      </c>
      <c r="BX135" s="51" t="str">
        <f>INDEX(Table_SKU[],
MATCH(Table_Main[[#This Row],[Mã SKU]],Table_SKU[Mã Sản phẩm],0),1)</f>
        <v>Nhóm 1</v>
      </c>
      <c r="BY135" s="52" t="str">
        <f xml:space="preserve">
IFERROR(VLOOKUP(Table_Main[[#This Row],[Đơn bán]],Table_DonBan[],COUNTA(Table_DonBan[[#Headers],[Mã đơn bán]:[Mã Khách]]),0),0)</f>
        <v>KH01</v>
      </c>
      <c r="BZ135" s="52" t="str">
        <f>VLOOKUP(Table_Main[[#This Row],[Khách hàng]],Table_KhachHang[],COUNTA(Table_KhachHang[[#Headers],[Mã khách]:[Phân khúc]]),0)</f>
        <v>B2B</v>
      </c>
      <c r="CA135" s="57" t="str">
        <f xml:space="preserve">
IFERROR(VLOOKUP(Table_Main[[#This Row],[Đơn bán]],Table_DonBan[],COUNTA(Table_DonBan[[#Headers],[Mã đơn bán]:[Mã NV]]),0),0)</f>
        <v>NV02</v>
      </c>
      <c r="CB135" s="58" t="str">
        <f xml:space="preserve">
IFERROR(VLOOKUP(Table_Main[[#This Row],[Đơn bán]],Table_DonBan[],COUNTA(Table_DonBan[[#Headers],[Mã đơn bán]:[Kênh]]),0),0)</f>
        <v>TT</v>
      </c>
      <c r="CC135" s="58" t="str">
        <f>VLOOKUP(Table_Main[[#This Row],[Kênh]],Table_Kenh[],COUNTA(Table_Kenh[[#Headers],[Kênh]:[Nhóm Kênh]]),0)</f>
        <v>Mạng xã hội</v>
      </c>
      <c r="CD135" s="59">
        <v>149</v>
      </c>
      <c r="CE135" s="58" t="str">
        <f>IFERROR(VLOOKUP(Table_Main[[#This Row],[Mã SKU]],Table_SKU[[Mã Sản phẩm]:[Giá bán]],COUNTA(Table_SKU[[#Headers],[Mã Sản phẩm]:[Đơn vị]]),0),0)</f>
        <v>Bộ</v>
      </c>
      <c r="CF135" s="58">
        <f>IFERROR(VLOOKUP(Table_Main[[#This Row],[Mã SKU]],Table_SKU[[Mã Sản phẩm]:[Giá bán]],COUNTA(Table_SKU[[#Headers],[Mã Sản phẩm]:[Giá bán]]),0),0)</f>
        <v>200000</v>
      </c>
      <c r="CG135" s="58">
        <f>Table_Main[[#This Row],[Giá bán]]*Table_Main[[#This Row],[Số lượng]]</f>
        <v>29800000</v>
      </c>
      <c r="CH135" s="61">
        <v>1490000</v>
      </c>
      <c r="CI135" s="58">
        <f>+Table_Main[[#This Row],[Thành tiền niêm yết]]-Table_Main[[#This Row],[Khuyễn mãi]]</f>
        <v>28310000</v>
      </c>
      <c r="CJ135" s="7" cm="1">
        <f t="array" ref="CJ135">VLOOKUP(Table_Main[[#This Row],[Đơn bán]],Table_DonBan[],COUNTA(Table_DonBan[[#Headers],[Mã đơn bán]:[Khuyễn mãi]]),0)*Table_Main[[#This Row],[Giá trị bán trước VAT]]/
SUM(_xlfn._xlws.FILTER(Table_Main[Giá trị bán trước VAT],
(Table_Main[Đơn bán]=Table_Main[[#This Row],[Đơn bán]])
))</f>
        <v>0</v>
      </c>
      <c r="CK135" s="7">
        <f>Table_Main[[#This Row],[Giá trị bán trước VAT]]-Table_Main[[#This Row],[Phân bổ khuyến mãi đơn]]</f>
        <v>28310000</v>
      </c>
      <c r="CL135"/>
      <c r="CM135"/>
    </row>
    <row r="136" spans="33:91" ht="16.5" x14ac:dyDescent="0.3">
      <c r="AG136"/>
      <c r="AH136"/>
      <c r="AI136"/>
      <c r="BT136" s="49" t="s">
        <v>60</v>
      </c>
      <c r="BU136" s="50" t="s">
        <v>131</v>
      </c>
      <c r="BV136" s="6">
        <f xml:space="preserve">
IFERROR(VLOOKUP(Table_Main[[#This Row],[Đơn bán]],Table_DonBan[],COUNTA(Table_DonBan[[#Headers],[Mã đơn bán]:[Ngày lập]]),0),0)</f>
        <v>45285</v>
      </c>
      <c r="BW136" s="51">
        <f>IFERROR(MONTH(Table_Main[[#This Row],[Ngày lên đơn]]),0)</f>
        <v>12</v>
      </c>
      <c r="BX136" s="51" t="str">
        <f>INDEX(Table_SKU[],
MATCH(Table_Main[[#This Row],[Mã SKU]],Table_SKU[Mã Sản phẩm],0),1)</f>
        <v>Nhóm 2</v>
      </c>
      <c r="BY136" s="52" t="str">
        <f xml:space="preserve">
IFERROR(VLOOKUP(Table_Main[[#This Row],[Đơn bán]],Table_DonBan[],COUNTA(Table_DonBan[[#Headers],[Mã đơn bán]:[Mã Khách]]),0),0)</f>
        <v>KH01</v>
      </c>
      <c r="BZ136" s="52" t="str">
        <f>VLOOKUP(Table_Main[[#This Row],[Khách hàng]],Table_KhachHang[],COUNTA(Table_KhachHang[[#Headers],[Mã khách]:[Phân khúc]]),0)</f>
        <v>B2B</v>
      </c>
      <c r="CA136" s="25" t="str">
        <f xml:space="preserve">
IFERROR(VLOOKUP(Table_Main[[#This Row],[Đơn bán]],Table_DonBan[],COUNTA(Table_DonBan[[#Headers],[Mã đơn bán]:[Mã NV]]),0),0)</f>
        <v>NV02</v>
      </c>
      <c r="CB136" s="7" t="str">
        <f xml:space="preserve">
IFERROR(VLOOKUP(Table_Main[[#This Row],[Đơn bán]],Table_DonBan[],COUNTA(Table_DonBan[[#Headers],[Mã đơn bán]:[Kênh]]),0),0)</f>
        <v>TT</v>
      </c>
      <c r="CC136" s="7" t="str">
        <f>VLOOKUP(Table_Main[[#This Row],[Kênh]],Table_Kenh[],COUNTA(Table_Kenh[[#Headers],[Kênh]:[Nhóm Kênh]]),0)</f>
        <v>Mạng xã hội</v>
      </c>
      <c r="CD136" s="53">
        <v>108</v>
      </c>
      <c r="CE136" s="7" t="str">
        <f>IFERROR(VLOOKUP(Table_Main[[#This Row],[Mã SKU]],Table_SKU[[Mã Sản phẩm]:[Giá bán]],COUNTA(Table_SKU[[#Headers],[Mã Sản phẩm]:[Đơn vị]]),0),0)</f>
        <v>Bộ</v>
      </c>
      <c r="CF136" s="7">
        <f>IFERROR(VLOOKUP(Table_Main[[#This Row],[Mã SKU]],Table_SKU[[Mã Sản phẩm]:[Giá bán]],COUNTA(Table_SKU[[#Headers],[Mã Sản phẩm]:[Giá bán]]),0),0)</f>
        <v>300000</v>
      </c>
      <c r="CG136" s="7">
        <f>Table_Main[[#This Row],[Giá bán]]*Table_Main[[#This Row],[Số lượng]]</f>
        <v>32400000</v>
      </c>
      <c r="CH136" s="60">
        <v>1620000</v>
      </c>
      <c r="CI136" s="7">
        <f>+Table_Main[[#This Row],[Thành tiền niêm yết]]-Table_Main[[#This Row],[Khuyễn mãi]]</f>
        <v>30780000</v>
      </c>
      <c r="CJ136" s="7" cm="1">
        <f t="array" ref="CJ136">VLOOKUP(Table_Main[[#This Row],[Đơn bán]],Table_DonBan[],COUNTA(Table_DonBan[[#Headers],[Mã đơn bán]:[Khuyễn mãi]]),0)*Table_Main[[#This Row],[Giá trị bán trước VAT]]/
SUM(_xlfn._xlws.FILTER(Table_Main[Giá trị bán trước VAT],
(Table_Main[Đơn bán]=Table_Main[[#This Row],[Đơn bán]])
))</f>
        <v>0</v>
      </c>
      <c r="CK136" s="7">
        <f>Table_Main[[#This Row],[Giá trị bán trước VAT]]-Table_Main[[#This Row],[Phân bổ khuyến mãi đơn]]</f>
        <v>30780000</v>
      </c>
      <c r="CL136"/>
      <c r="CM136"/>
    </row>
    <row r="137" spans="33:91" ht="16.5" x14ac:dyDescent="0.3">
      <c r="AG137"/>
      <c r="AH137"/>
      <c r="AI137"/>
      <c r="BT137" s="49" t="s">
        <v>61</v>
      </c>
      <c r="BU137" s="50" t="s">
        <v>131</v>
      </c>
      <c r="BV137" s="6">
        <f xml:space="preserve">
IFERROR(VLOOKUP(Table_Main[[#This Row],[Đơn bán]],Table_DonBan[],COUNTA(Table_DonBan[[#Headers],[Mã đơn bán]:[Ngày lập]]),0),0)</f>
        <v>45285</v>
      </c>
      <c r="BW137" s="51">
        <f>IFERROR(MONTH(Table_Main[[#This Row],[Ngày lên đơn]]),0)</f>
        <v>12</v>
      </c>
      <c r="BX137" s="51" t="str">
        <f>INDEX(Table_SKU[],
MATCH(Table_Main[[#This Row],[Mã SKU]],Table_SKU[Mã Sản phẩm],0),1)</f>
        <v>Nhóm 3</v>
      </c>
      <c r="BY137" s="10" t="str">
        <f xml:space="preserve">
IFERROR(VLOOKUP(Table_Main[[#This Row],[Đơn bán]],Table_DonBan[],COUNTA(Table_DonBan[[#Headers],[Mã đơn bán]:[Mã Khách]]),0),0)</f>
        <v>KH01</v>
      </c>
      <c r="BZ137" s="10" t="str">
        <f>VLOOKUP(Table_Main[[#This Row],[Khách hàng]],Table_KhachHang[],COUNTA(Table_KhachHang[[#Headers],[Mã khách]:[Phân khúc]]),0)</f>
        <v>B2B</v>
      </c>
      <c r="CA137" s="25" t="str">
        <f xml:space="preserve">
IFERROR(VLOOKUP(Table_Main[[#This Row],[Đơn bán]],Table_DonBan[],COUNTA(Table_DonBan[[#Headers],[Mã đơn bán]:[Mã NV]]),0),0)</f>
        <v>NV02</v>
      </c>
      <c r="CB137" s="7" t="str">
        <f xml:space="preserve">
IFERROR(VLOOKUP(Table_Main[[#This Row],[Đơn bán]],Table_DonBan[],COUNTA(Table_DonBan[[#Headers],[Mã đơn bán]:[Kênh]]),0),0)</f>
        <v>TT</v>
      </c>
      <c r="CC137" s="7" t="str">
        <f>VLOOKUP(Table_Main[[#This Row],[Kênh]],Table_Kenh[],COUNTA(Table_Kenh[[#Headers],[Kênh]:[Nhóm Kênh]]),0)</f>
        <v>Mạng xã hội</v>
      </c>
      <c r="CD137" s="53">
        <v>87</v>
      </c>
      <c r="CE137" s="7" t="str">
        <f>IFERROR(VLOOKUP(Table_Main[[#This Row],[Mã SKU]],Table_SKU[[Mã Sản phẩm]:[Giá bán]],COUNTA(Table_SKU[[#Headers],[Mã Sản phẩm]:[Đơn vị]]),0),0)</f>
        <v>Bộ</v>
      </c>
      <c r="CF137" s="7">
        <f>IFERROR(VLOOKUP(Table_Main[[#This Row],[Mã SKU]],Table_SKU[[Mã Sản phẩm]:[Giá bán]],COUNTA(Table_SKU[[#Headers],[Mã Sản phẩm]:[Giá bán]]),0),0)</f>
        <v>500000</v>
      </c>
      <c r="CG137" s="7">
        <f>Table_Main[[#This Row],[Giá bán]]*Table_Main[[#This Row],[Số lượng]]</f>
        <v>43500000</v>
      </c>
      <c r="CH137" s="60">
        <v>2175000</v>
      </c>
      <c r="CI137" s="7">
        <f>+Table_Main[[#This Row],[Thành tiền niêm yết]]-Table_Main[[#This Row],[Khuyễn mãi]]</f>
        <v>41325000</v>
      </c>
      <c r="CJ137" s="7" cm="1">
        <f t="array" ref="CJ137">VLOOKUP(Table_Main[[#This Row],[Đơn bán]],Table_DonBan[],COUNTA(Table_DonBan[[#Headers],[Mã đơn bán]:[Khuyễn mãi]]),0)*Table_Main[[#This Row],[Giá trị bán trước VAT]]/
SUM(_xlfn._xlws.FILTER(Table_Main[Giá trị bán trước VAT],
(Table_Main[Đơn bán]=Table_Main[[#This Row],[Đơn bán]])
))</f>
        <v>0</v>
      </c>
      <c r="CK137" s="7">
        <f>Table_Main[[#This Row],[Giá trị bán trước VAT]]-Table_Main[[#This Row],[Phân bổ khuyến mãi đơn]]</f>
        <v>41325000</v>
      </c>
      <c r="CL137"/>
      <c r="CM137"/>
    </row>
    <row r="138" spans="33:91" ht="16.5" x14ac:dyDescent="0.3">
      <c r="AG138"/>
      <c r="AH138"/>
      <c r="AI138"/>
      <c r="BT138" s="49" t="s">
        <v>59</v>
      </c>
      <c r="BU138" s="50" t="s">
        <v>130</v>
      </c>
      <c r="BV138" s="6">
        <f xml:space="preserve">
IFERROR(VLOOKUP(Table_Main[[#This Row],[Đơn bán]],Table_DonBan[],COUNTA(Table_DonBan[[#Headers],[Mã đơn bán]:[Ngày lập]]),0),0)</f>
        <v>45275</v>
      </c>
      <c r="BW138" s="51">
        <f>IFERROR(MONTH(Table_Main[[#This Row],[Ngày lên đơn]]),0)</f>
        <v>12</v>
      </c>
      <c r="BX138" s="51" t="str">
        <f>INDEX(Table_SKU[],
MATCH(Table_Main[[#This Row],[Mã SKU]],Table_SKU[Mã Sản phẩm],0),1)</f>
        <v>Nhóm 1</v>
      </c>
      <c r="BY138" s="52" t="str">
        <f xml:space="preserve">
IFERROR(VLOOKUP(Table_Main[[#This Row],[Đơn bán]],Table_DonBan[],COUNTA(Table_DonBan[[#Headers],[Mã đơn bán]:[Mã Khách]]),0),0)</f>
        <v>KH03</v>
      </c>
      <c r="BZ138" s="52" t="str">
        <f>VLOOKUP(Table_Main[[#This Row],[Khách hàng]],Table_KhachHang[],COUNTA(Table_KhachHang[[#Headers],[Mã khách]:[Phân khúc]]),0)</f>
        <v>B2C</v>
      </c>
      <c r="CA138" s="25" t="str">
        <f xml:space="preserve">
IFERROR(VLOOKUP(Table_Main[[#This Row],[Đơn bán]],Table_DonBan[],COUNTA(Table_DonBan[[#Headers],[Mã đơn bán]:[Mã NV]]),0),0)</f>
        <v>NV03</v>
      </c>
      <c r="CB138" s="7" t="str">
        <f xml:space="preserve">
IFERROR(VLOOKUP(Table_Main[[#This Row],[Đơn bán]],Table_DonBan[],COUNTA(Table_DonBan[[#Headers],[Mã đơn bán]:[Kênh]]),0),0)</f>
        <v>TT</v>
      </c>
      <c r="CC138" s="7" t="str">
        <f>VLOOKUP(Table_Main[[#This Row],[Kênh]],Table_Kenh[],COUNTA(Table_Kenh[[#Headers],[Kênh]:[Nhóm Kênh]]),0)</f>
        <v>Mạng xã hội</v>
      </c>
      <c r="CD138" s="53">
        <v>148</v>
      </c>
      <c r="CE138" s="7" t="str">
        <f>IFERROR(VLOOKUP(Table_Main[[#This Row],[Mã SKU]],Table_SKU[[Mã Sản phẩm]:[Giá bán]],COUNTA(Table_SKU[[#Headers],[Mã Sản phẩm]:[Đơn vị]]),0),0)</f>
        <v>Bộ</v>
      </c>
      <c r="CF138" s="7">
        <f>IFERROR(VLOOKUP(Table_Main[[#This Row],[Mã SKU]],Table_SKU[[Mã Sản phẩm]:[Giá bán]],COUNTA(Table_SKU[[#Headers],[Mã Sản phẩm]:[Giá bán]]),0),0)</f>
        <v>200000</v>
      </c>
      <c r="CG138" s="7">
        <f>Table_Main[[#This Row],[Giá bán]]*Table_Main[[#This Row],[Số lượng]]</f>
        <v>29600000</v>
      </c>
      <c r="CH138" s="60">
        <v>1480000</v>
      </c>
      <c r="CI138" s="7">
        <f>+Table_Main[[#This Row],[Thành tiền niêm yết]]-Table_Main[[#This Row],[Khuyễn mãi]]</f>
        <v>28120000</v>
      </c>
      <c r="CJ138" s="7" cm="1">
        <f t="array" ref="CJ138">VLOOKUP(Table_Main[[#This Row],[Đơn bán]],Table_DonBan[],COUNTA(Table_DonBan[[#Headers],[Mã đơn bán]:[Khuyễn mãi]]),0)*Table_Main[[#This Row],[Giá trị bán trước VAT]]/
SUM(_xlfn._xlws.FILTER(Table_Main[Giá trị bán trước VAT],
(Table_Main[Đơn bán]=Table_Main[[#This Row],[Đơn bán]])
))</f>
        <v>0</v>
      </c>
      <c r="CK138" s="7">
        <f>Table_Main[[#This Row],[Giá trị bán trước VAT]]-Table_Main[[#This Row],[Phân bổ khuyến mãi đơn]]</f>
        <v>28120000</v>
      </c>
      <c r="CL138"/>
      <c r="CM138"/>
    </row>
    <row r="139" spans="33:91" ht="16.5" x14ac:dyDescent="0.3">
      <c r="AG139"/>
      <c r="AH139"/>
      <c r="AI139"/>
      <c r="BT139" s="49" t="s">
        <v>60</v>
      </c>
      <c r="BU139" s="50" t="s">
        <v>130</v>
      </c>
      <c r="BV139" s="6">
        <f xml:space="preserve">
IFERROR(VLOOKUP(Table_Main[[#This Row],[Đơn bán]],Table_DonBan[],COUNTA(Table_DonBan[[#Headers],[Mã đơn bán]:[Ngày lập]]),0),0)</f>
        <v>45275</v>
      </c>
      <c r="BW139" s="51">
        <f>IFERROR(MONTH(Table_Main[[#This Row],[Ngày lên đơn]]),0)</f>
        <v>12</v>
      </c>
      <c r="BX139" s="51" t="str">
        <f>INDEX(Table_SKU[],
MATCH(Table_Main[[#This Row],[Mã SKU]],Table_SKU[Mã Sản phẩm],0),1)</f>
        <v>Nhóm 2</v>
      </c>
      <c r="BY139" s="52" t="str">
        <f xml:space="preserve">
IFERROR(VLOOKUP(Table_Main[[#This Row],[Đơn bán]],Table_DonBan[],COUNTA(Table_DonBan[[#Headers],[Mã đơn bán]:[Mã Khách]]),0),0)</f>
        <v>KH03</v>
      </c>
      <c r="BZ139" s="52" t="str">
        <f>VLOOKUP(Table_Main[[#This Row],[Khách hàng]],Table_KhachHang[],COUNTA(Table_KhachHang[[#Headers],[Mã khách]:[Phân khúc]]),0)</f>
        <v>B2C</v>
      </c>
      <c r="CA139" s="25" t="str">
        <f xml:space="preserve">
IFERROR(VLOOKUP(Table_Main[[#This Row],[Đơn bán]],Table_DonBan[],COUNTA(Table_DonBan[[#Headers],[Mã đơn bán]:[Mã NV]]),0),0)</f>
        <v>NV03</v>
      </c>
      <c r="CB139" s="7" t="str">
        <f xml:space="preserve">
IFERROR(VLOOKUP(Table_Main[[#This Row],[Đơn bán]],Table_DonBan[],COUNTA(Table_DonBan[[#Headers],[Mã đơn bán]:[Kênh]]),0),0)</f>
        <v>TT</v>
      </c>
      <c r="CC139" s="7" t="str">
        <f>VLOOKUP(Table_Main[[#This Row],[Kênh]],Table_Kenh[],COUNTA(Table_Kenh[[#Headers],[Kênh]:[Nhóm Kênh]]),0)</f>
        <v>Mạng xã hội</v>
      </c>
      <c r="CD139" s="53">
        <v>108</v>
      </c>
      <c r="CE139" s="7" t="str">
        <f>IFERROR(VLOOKUP(Table_Main[[#This Row],[Mã SKU]],Table_SKU[[Mã Sản phẩm]:[Giá bán]],COUNTA(Table_SKU[[#Headers],[Mã Sản phẩm]:[Đơn vị]]),0),0)</f>
        <v>Bộ</v>
      </c>
      <c r="CF139" s="7">
        <f>IFERROR(VLOOKUP(Table_Main[[#This Row],[Mã SKU]],Table_SKU[[Mã Sản phẩm]:[Giá bán]],COUNTA(Table_SKU[[#Headers],[Mã Sản phẩm]:[Giá bán]]),0),0)</f>
        <v>300000</v>
      </c>
      <c r="CG139" s="7">
        <f>Table_Main[[#This Row],[Giá bán]]*Table_Main[[#This Row],[Số lượng]]</f>
        <v>32400000</v>
      </c>
      <c r="CH139" s="60">
        <v>1620000</v>
      </c>
      <c r="CI139" s="7">
        <f>+Table_Main[[#This Row],[Thành tiền niêm yết]]-Table_Main[[#This Row],[Khuyễn mãi]]</f>
        <v>30780000</v>
      </c>
      <c r="CJ139" s="7" cm="1">
        <f t="array" ref="CJ139">VLOOKUP(Table_Main[[#This Row],[Đơn bán]],Table_DonBan[],COUNTA(Table_DonBan[[#Headers],[Mã đơn bán]:[Khuyễn mãi]]),0)*Table_Main[[#This Row],[Giá trị bán trước VAT]]/
SUM(_xlfn._xlws.FILTER(Table_Main[Giá trị bán trước VAT],
(Table_Main[Đơn bán]=Table_Main[[#This Row],[Đơn bán]])
))</f>
        <v>0</v>
      </c>
      <c r="CK139" s="7">
        <f>Table_Main[[#This Row],[Giá trị bán trước VAT]]-Table_Main[[#This Row],[Phân bổ khuyến mãi đơn]]</f>
        <v>30780000</v>
      </c>
      <c r="CL139"/>
      <c r="CM139"/>
    </row>
    <row r="140" spans="33:91" ht="16.5" x14ac:dyDescent="0.3">
      <c r="AG140"/>
      <c r="AH140"/>
      <c r="AI140"/>
      <c r="BT140" s="49" t="s">
        <v>61</v>
      </c>
      <c r="BU140" s="50" t="s">
        <v>130</v>
      </c>
      <c r="BV140" s="6">
        <f xml:space="preserve">
IFERROR(VLOOKUP(Table_Main[[#This Row],[Đơn bán]],Table_DonBan[],COUNTA(Table_DonBan[[#Headers],[Mã đơn bán]:[Ngày lập]]),0),0)</f>
        <v>45275</v>
      </c>
      <c r="BW140" s="51">
        <f>IFERROR(MONTH(Table_Main[[#This Row],[Ngày lên đơn]]),0)</f>
        <v>12</v>
      </c>
      <c r="BX140" s="51" t="str">
        <f>INDEX(Table_SKU[],
MATCH(Table_Main[[#This Row],[Mã SKU]],Table_SKU[Mã Sản phẩm],0),1)</f>
        <v>Nhóm 3</v>
      </c>
      <c r="BY140" s="52" t="str">
        <f xml:space="preserve">
IFERROR(VLOOKUP(Table_Main[[#This Row],[Đơn bán]],Table_DonBan[],COUNTA(Table_DonBan[[#Headers],[Mã đơn bán]:[Mã Khách]]),0),0)</f>
        <v>KH03</v>
      </c>
      <c r="BZ140" s="52" t="str">
        <f>VLOOKUP(Table_Main[[#This Row],[Khách hàng]],Table_KhachHang[],COUNTA(Table_KhachHang[[#Headers],[Mã khách]:[Phân khúc]]),0)</f>
        <v>B2C</v>
      </c>
      <c r="CA140" s="25" t="str">
        <f xml:space="preserve">
IFERROR(VLOOKUP(Table_Main[[#This Row],[Đơn bán]],Table_DonBan[],COUNTA(Table_DonBan[[#Headers],[Mã đơn bán]:[Mã NV]]),0),0)</f>
        <v>NV03</v>
      </c>
      <c r="CB140" s="7" t="str">
        <f xml:space="preserve">
IFERROR(VLOOKUP(Table_Main[[#This Row],[Đơn bán]],Table_DonBan[],COUNTA(Table_DonBan[[#Headers],[Mã đơn bán]:[Kênh]]),0),0)</f>
        <v>TT</v>
      </c>
      <c r="CC140" s="7" t="str">
        <f>VLOOKUP(Table_Main[[#This Row],[Kênh]],Table_Kenh[],COUNTA(Table_Kenh[[#Headers],[Kênh]:[Nhóm Kênh]]),0)</f>
        <v>Mạng xã hội</v>
      </c>
      <c r="CD140" s="53">
        <v>84</v>
      </c>
      <c r="CE140" s="7" t="str">
        <f>IFERROR(VLOOKUP(Table_Main[[#This Row],[Mã SKU]],Table_SKU[[Mã Sản phẩm]:[Giá bán]],COUNTA(Table_SKU[[#Headers],[Mã Sản phẩm]:[Đơn vị]]),0),0)</f>
        <v>Bộ</v>
      </c>
      <c r="CF140" s="7">
        <f>IFERROR(VLOOKUP(Table_Main[[#This Row],[Mã SKU]],Table_SKU[[Mã Sản phẩm]:[Giá bán]],COUNTA(Table_SKU[[#Headers],[Mã Sản phẩm]:[Giá bán]]),0),0)</f>
        <v>500000</v>
      </c>
      <c r="CG140" s="7">
        <f>Table_Main[[#This Row],[Giá bán]]*Table_Main[[#This Row],[Số lượng]]</f>
        <v>42000000</v>
      </c>
      <c r="CH140" s="60">
        <v>2100000</v>
      </c>
      <c r="CI140" s="7">
        <f>+Table_Main[[#This Row],[Thành tiền niêm yết]]-Table_Main[[#This Row],[Khuyễn mãi]]</f>
        <v>39900000</v>
      </c>
      <c r="CJ140" s="7" cm="1">
        <f t="array" ref="CJ140">VLOOKUP(Table_Main[[#This Row],[Đơn bán]],Table_DonBan[],COUNTA(Table_DonBan[[#Headers],[Mã đơn bán]:[Khuyễn mãi]]),0)*Table_Main[[#This Row],[Giá trị bán trước VAT]]/
SUM(_xlfn._xlws.FILTER(Table_Main[Giá trị bán trước VAT],
(Table_Main[Đơn bán]=Table_Main[[#This Row],[Đơn bán]])
))</f>
        <v>0</v>
      </c>
      <c r="CK140" s="7">
        <f>Table_Main[[#This Row],[Giá trị bán trước VAT]]-Table_Main[[#This Row],[Phân bổ khuyến mãi đơn]]</f>
        <v>39900000</v>
      </c>
      <c r="CL140"/>
      <c r="CM140"/>
    </row>
    <row r="141" spans="33:91" ht="16.5" x14ac:dyDescent="0.3">
      <c r="AG141"/>
      <c r="AH141"/>
      <c r="AI141"/>
      <c r="BT141" s="49" t="s">
        <v>59</v>
      </c>
      <c r="BU141" s="50" t="s">
        <v>129</v>
      </c>
      <c r="BV141" s="6">
        <f xml:space="preserve">
IFERROR(VLOOKUP(Table_Main[[#This Row],[Đơn bán]],Table_DonBan[],COUNTA(Table_DonBan[[#Headers],[Mã đơn bán]:[Ngày lập]]),0),0)</f>
        <v>45265</v>
      </c>
      <c r="BW141" s="51">
        <f>IFERROR(MONTH(Table_Main[[#This Row],[Ngày lên đơn]]),0)</f>
        <v>12</v>
      </c>
      <c r="BX141" s="51" t="str">
        <f>INDEX(Table_SKU[],
MATCH(Table_Main[[#This Row],[Mã SKU]],Table_SKU[Mã Sản phẩm],0),1)</f>
        <v>Nhóm 1</v>
      </c>
      <c r="BY141" s="52" t="str">
        <f xml:space="preserve">
IFERROR(VLOOKUP(Table_Main[[#This Row],[Đơn bán]],Table_DonBan[],COUNTA(Table_DonBan[[#Headers],[Mã đơn bán]:[Mã Khách]]),0),0)</f>
        <v>KH05</v>
      </c>
      <c r="BZ141" s="52" t="str">
        <f>VLOOKUP(Table_Main[[#This Row],[Khách hàng]],Table_KhachHang[],COUNTA(Table_KhachHang[[#Headers],[Mã khách]:[Phân khúc]]),0)</f>
        <v>B2C</v>
      </c>
      <c r="CA141" s="25" t="str">
        <f xml:space="preserve">
IFERROR(VLOOKUP(Table_Main[[#This Row],[Đơn bán]],Table_DonBan[],COUNTA(Table_DonBan[[#Headers],[Mã đơn bán]:[Mã NV]]),0),0)</f>
        <v>NV02</v>
      </c>
      <c r="CB141" s="7" t="str">
        <f xml:space="preserve">
IFERROR(VLOOKUP(Table_Main[[#This Row],[Đơn bán]],Table_DonBan[],COUNTA(Table_DonBan[[#Headers],[Mã đơn bán]:[Kênh]]),0),0)</f>
        <v>ST</v>
      </c>
      <c r="CC141" s="7" t="str">
        <f>VLOOKUP(Table_Main[[#This Row],[Kênh]],Table_Kenh[],COUNTA(Table_Kenh[[#Headers],[Kênh]:[Nhóm Kênh]]),0)</f>
        <v>Offline</v>
      </c>
      <c r="CD141" s="53">
        <v>147</v>
      </c>
      <c r="CE141" s="7" t="str">
        <f>IFERROR(VLOOKUP(Table_Main[[#This Row],[Mã SKU]],Table_SKU[[Mã Sản phẩm]:[Giá bán]],COUNTA(Table_SKU[[#Headers],[Mã Sản phẩm]:[Đơn vị]]),0),0)</f>
        <v>Bộ</v>
      </c>
      <c r="CF141" s="7">
        <f>IFERROR(VLOOKUP(Table_Main[[#This Row],[Mã SKU]],Table_SKU[[Mã Sản phẩm]:[Giá bán]],COUNTA(Table_SKU[[#Headers],[Mã Sản phẩm]:[Giá bán]]),0),0)</f>
        <v>200000</v>
      </c>
      <c r="CG141" s="7">
        <f>Table_Main[[#This Row],[Giá bán]]*Table_Main[[#This Row],[Số lượng]]</f>
        <v>29400000</v>
      </c>
      <c r="CH141" s="60">
        <v>1470000</v>
      </c>
      <c r="CI141" s="7">
        <f>+Table_Main[[#This Row],[Thành tiền niêm yết]]-Table_Main[[#This Row],[Khuyễn mãi]]</f>
        <v>27930000</v>
      </c>
      <c r="CJ141" s="7" cm="1">
        <f t="array" ref="CJ141">VLOOKUP(Table_Main[[#This Row],[Đơn bán]],Table_DonBan[],COUNTA(Table_DonBan[[#Headers],[Mã đơn bán]:[Khuyễn mãi]]),0)*Table_Main[[#This Row],[Giá trị bán trước VAT]]/
SUM(_xlfn._xlws.FILTER(Table_Main[Giá trị bán trước VAT],
(Table_Main[Đơn bán]=Table_Main[[#This Row],[Đơn bán]])
))</f>
        <v>0</v>
      </c>
      <c r="CK141" s="7">
        <f>Table_Main[[#This Row],[Giá trị bán trước VAT]]-Table_Main[[#This Row],[Phân bổ khuyến mãi đơn]]</f>
        <v>27930000</v>
      </c>
      <c r="CL141"/>
      <c r="CM141"/>
    </row>
    <row r="142" spans="33:91" ht="16.5" x14ac:dyDescent="0.3">
      <c r="AG142"/>
      <c r="AH142"/>
      <c r="AI142"/>
      <c r="BT142" s="49" t="s">
        <v>60</v>
      </c>
      <c r="BU142" s="50" t="s">
        <v>129</v>
      </c>
      <c r="BV142" s="6">
        <f xml:space="preserve">
IFERROR(VLOOKUP(Table_Main[[#This Row],[Đơn bán]],Table_DonBan[],COUNTA(Table_DonBan[[#Headers],[Mã đơn bán]:[Ngày lập]]),0),0)</f>
        <v>45265</v>
      </c>
      <c r="BW142" s="51">
        <f>IFERROR(MONTH(Table_Main[[#This Row],[Ngày lên đơn]]),0)</f>
        <v>12</v>
      </c>
      <c r="BX142" s="51" t="str">
        <f>INDEX(Table_SKU[],
MATCH(Table_Main[[#This Row],[Mã SKU]],Table_SKU[Mã Sản phẩm],0),1)</f>
        <v>Nhóm 2</v>
      </c>
      <c r="BY142" s="52" t="str">
        <f xml:space="preserve">
IFERROR(VLOOKUP(Table_Main[[#This Row],[Đơn bán]],Table_DonBan[],COUNTA(Table_DonBan[[#Headers],[Mã đơn bán]:[Mã Khách]]),0),0)</f>
        <v>KH05</v>
      </c>
      <c r="BZ142" s="52" t="str">
        <f>VLOOKUP(Table_Main[[#This Row],[Khách hàng]],Table_KhachHang[],COUNTA(Table_KhachHang[[#Headers],[Mã khách]:[Phân khúc]]),0)</f>
        <v>B2C</v>
      </c>
      <c r="CA142" s="25" t="str">
        <f xml:space="preserve">
IFERROR(VLOOKUP(Table_Main[[#This Row],[Đơn bán]],Table_DonBan[],COUNTA(Table_DonBan[[#Headers],[Mã đơn bán]:[Mã NV]]),0),0)</f>
        <v>NV02</v>
      </c>
      <c r="CB142" s="7" t="str">
        <f xml:space="preserve">
IFERROR(VLOOKUP(Table_Main[[#This Row],[Đơn bán]],Table_DonBan[],COUNTA(Table_DonBan[[#Headers],[Mã đơn bán]:[Kênh]]),0),0)</f>
        <v>ST</v>
      </c>
      <c r="CC142" s="7" t="str">
        <f>VLOOKUP(Table_Main[[#This Row],[Kênh]],Table_Kenh[],COUNTA(Table_Kenh[[#Headers],[Kênh]:[Nhóm Kênh]]),0)</f>
        <v>Offline</v>
      </c>
      <c r="CD142" s="53">
        <v>109</v>
      </c>
      <c r="CE142" s="7" t="str">
        <f>IFERROR(VLOOKUP(Table_Main[[#This Row],[Mã SKU]],Table_SKU[[Mã Sản phẩm]:[Giá bán]],COUNTA(Table_SKU[[#Headers],[Mã Sản phẩm]:[Đơn vị]]),0),0)</f>
        <v>Bộ</v>
      </c>
      <c r="CF142" s="7">
        <f>IFERROR(VLOOKUP(Table_Main[[#This Row],[Mã SKU]],Table_SKU[[Mã Sản phẩm]:[Giá bán]],COUNTA(Table_SKU[[#Headers],[Mã Sản phẩm]:[Giá bán]]),0),0)</f>
        <v>300000</v>
      </c>
      <c r="CG142" s="7">
        <f>Table_Main[[#This Row],[Giá bán]]*Table_Main[[#This Row],[Số lượng]]</f>
        <v>32700000</v>
      </c>
      <c r="CH142" s="60">
        <v>1635000</v>
      </c>
      <c r="CI142" s="7">
        <f>+Table_Main[[#This Row],[Thành tiền niêm yết]]-Table_Main[[#This Row],[Khuyễn mãi]]</f>
        <v>31065000</v>
      </c>
      <c r="CJ142" s="7" cm="1">
        <f t="array" ref="CJ142">VLOOKUP(Table_Main[[#This Row],[Đơn bán]],Table_DonBan[],COUNTA(Table_DonBan[[#Headers],[Mã đơn bán]:[Khuyễn mãi]]),0)*Table_Main[[#This Row],[Giá trị bán trước VAT]]/
SUM(_xlfn._xlws.FILTER(Table_Main[Giá trị bán trước VAT],
(Table_Main[Đơn bán]=Table_Main[[#This Row],[Đơn bán]])
))</f>
        <v>0</v>
      </c>
      <c r="CK142" s="7">
        <f>Table_Main[[#This Row],[Giá trị bán trước VAT]]-Table_Main[[#This Row],[Phân bổ khuyến mãi đơn]]</f>
        <v>31065000</v>
      </c>
      <c r="CL142"/>
      <c r="CM142"/>
    </row>
    <row r="143" spans="33:91" ht="16.5" x14ac:dyDescent="0.3">
      <c r="AG143"/>
      <c r="AH143"/>
      <c r="AI143"/>
      <c r="BT143" s="49" t="s">
        <v>61</v>
      </c>
      <c r="BU143" s="50" t="s">
        <v>129</v>
      </c>
      <c r="BV143" s="6">
        <f xml:space="preserve">
IFERROR(VLOOKUP(Table_Main[[#This Row],[Đơn bán]],Table_DonBan[],COUNTA(Table_DonBan[[#Headers],[Mã đơn bán]:[Ngày lập]]),0),0)</f>
        <v>45265</v>
      </c>
      <c r="BW143" s="51">
        <f>IFERROR(MONTH(Table_Main[[#This Row],[Ngày lên đơn]]),0)</f>
        <v>12</v>
      </c>
      <c r="BX143" s="51" t="str">
        <f>INDEX(Table_SKU[],
MATCH(Table_Main[[#This Row],[Mã SKU]],Table_SKU[Mã Sản phẩm],0),1)</f>
        <v>Nhóm 3</v>
      </c>
      <c r="BY143" s="52" t="str">
        <f xml:space="preserve">
IFERROR(VLOOKUP(Table_Main[[#This Row],[Đơn bán]],Table_DonBan[],COUNTA(Table_DonBan[[#Headers],[Mã đơn bán]:[Mã Khách]]),0),0)</f>
        <v>KH05</v>
      </c>
      <c r="BZ143" s="52" t="str">
        <f>VLOOKUP(Table_Main[[#This Row],[Khách hàng]],Table_KhachHang[],COUNTA(Table_KhachHang[[#Headers],[Mã khách]:[Phân khúc]]),0)</f>
        <v>B2C</v>
      </c>
      <c r="CA143" s="25" t="str">
        <f xml:space="preserve">
IFERROR(VLOOKUP(Table_Main[[#This Row],[Đơn bán]],Table_DonBan[],COUNTA(Table_DonBan[[#Headers],[Mã đơn bán]:[Mã NV]]),0),0)</f>
        <v>NV02</v>
      </c>
      <c r="CB143" s="7" t="str">
        <f xml:space="preserve">
IFERROR(VLOOKUP(Table_Main[[#This Row],[Đơn bán]],Table_DonBan[],COUNTA(Table_DonBan[[#Headers],[Mã đơn bán]:[Kênh]]),0),0)</f>
        <v>ST</v>
      </c>
      <c r="CC143" s="7" t="str">
        <f>VLOOKUP(Table_Main[[#This Row],[Kênh]],Table_Kenh[],COUNTA(Table_Kenh[[#Headers],[Kênh]:[Nhóm Kênh]]),0)</f>
        <v>Offline</v>
      </c>
      <c r="CD143" s="53">
        <v>86</v>
      </c>
      <c r="CE143" s="7" t="str">
        <f>IFERROR(VLOOKUP(Table_Main[[#This Row],[Mã SKU]],Table_SKU[[Mã Sản phẩm]:[Giá bán]],COUNTA(Table_SKU[[#Headers],[Mã Sản phẩm]:[Đơn vị]]),0),0)</f>
        <v>Bộ</v>
      </c>
      <c r="CF143" s="7">
        <f>IFERROR(VLOOKUP(Table_Main[[#This Row],[Mã SKU]],Table_SKU[[Mã Sản phẩm]:[Giá bán]],COUNTA(Table_SKU[[#Headers],[Mã Sản phẩm]:[Giá bán]]),0),0)</f>
        <v>500000</v>
      </c>
      <c r="CG143" s="7">
        <f>Table_Main[[#This Row],[Giá bán]]*Table_Main[[#This Row],[Số lượng]]</f>
        <v>43000000</v>
      </c>
      <c r="CH143" s="60">
        <v>2150000</v>
      </c>
      <c r="CI143" s="7">
        <f>+Table_Main[[#This Row],[Thành tiền niêm yết]]-Table_Main[[#This Row],[Khuyễn mãi]]</f>
        <v>40850000</v>
      </c>
      <c r="CJ143" s="7" cm="1">
        <f t="array" ref="CJ143">VLOOKUP(Table_Main[[#This Row],[Đơn bán]],Table_DonBan[],COUNTA(Table_DonBan[[#Headers],[Mã đơn bán]:[Khuyễn mãi]]),0)*Table_Main[[#This Row],[Giá trị bán trước VAT]]/
SUM(_xlfn._xlws.FILTER(Table_Main[Giá trị bán trước VAT],
(Table_Main[Đơn bán]=Table_Main[[#This Row],[Đơn bán]])
))</f>
        <v>0</v>
      </c>
      <c r="CK143" s="7">
        <f>Table_Main[[#This Row],[Giá trị bán trước VAT]]-Table_Main[[#This Row],[Phân bổ khuyến mãi đơn]]</f>
        <v>40850000</v>
      </c>
      <c r="CL143"/>
      <c r="CM143"/>
    </row>
    <row r="144" spans="33:91" ht="16.5" x14ac:dyDescent="0.3">
      <c r="AG144"/>
      <c r="AH144"/>
      <c r="AI144"/>
      <c r="BT144" s="54" t="s">
        <v>59</v>
      </c>
      <c r="BU144" s="55" t="s">
        <v>128</v>
      </c>
      <c r="BV144" s="56">
        <f xml:space="preserve">
IFERROR(VLOOKUP(Table_Main[[#This Row],[Đơn bán]],Table_DonBan[],COUNTA(Table_DonBan[[#Headers],[Mã đơn bán]:[Ngày lập]]),0),0)</f>
        <v>45255</v>
      </c>
      <c r="BW144" s="51">
        <f>IFERROR(MONTH(Table_Main[[#This Row],[Ngày lên đơn]]),0)</f>
        <v>11</v>
      </c>
      <c r="BX144" s="51" t="str">
        <f>INDEX(Table_SKU[],
MATCH(Table_Main[[#This Row],[Mã SKU]],Table_SKU[Mã Sản phẩm],0),1)</f>
        <v>Nhóm 1</v>
      </c>
      <c r="BY144" s="52" t="str">
        <f xml:space="preserve">
IFERROR(VLOOKUP(Table_Main[[#This Row],[Đơn bán]],Table_DonBan[],COUNTA(Table_DonBan[[#Headers],[Mã đơn bán]:[Mã Khách]]),0),0)</f>
        <v>KH02</v>
      </c>
      <c r="BZ144" s="52" t="str">
        <f>VLOOKUP(Table_Main[[#This Row],[Khách hàng]],Table_KhachHang[],COUNTA(Table_KhachHang[[#Headers],[Mã khách]:[Phân khúc]]),0)</f>
        <v>B2C</v>
      </c>
      <c r="CA144" s="57" t="str">
        <f xml:space="preserve">
IFERROR(VLOOKUP(Table_Main[[#This Row],[Đơn bán]],Table_DonBan[],COUNTA(Table_DonBan[[#Headers],[Mã đơn bán]:[Mã NV]]),0),0)</f>
        <v>NV02</v>
      </c>
      <c r="CB144" s="58" t="str">
        <f xml:space="preserve">
IFERROR(VLOOKUP(Table_Main[[#This Row],[Đơn bán]],Table_DonBan[],COUNTA(Table_DonBan[[#Headers],[Mã đơn bán]:[Kênh]]),0),0)</f>
        <v>LZ</v>
      </c>
      <c r="CC144" s="58" t="str">
        <f>VLOOKUP(Table_Main[[#This Row],[Kênh]],Table_Kenh[],COUNTA(Table_Kenh[[#Headers],[Kênh]:[Nhóm Kênh]]),0)</f>
        <v>Sàn TMĐT</v>
      </c>
      <c r="CD144" s="59">
        <v>141</v>
      </c>
      <c r="CE144" s="58" t="str">
        <f>IFERROR(VLOOKUP(Table_Main[[#This Row],[Mã SKU]],Table_SKU[[Mã Sản phẩm]:[Giá bán]],COUNTA(Table_SKU[[#Headers],[Mã Sản phẩm]:[Đơn vị]]),0),0)</f>
        <v>Bộ</v>
      </c>
      <c r="CF144" s="58">
        <f>IFERROR(VLOOKUP(Table_Main[[#This Row],[Mã SKU]],Table_SKU[[Mã Sản phẩm]:[Giá bán]],COUNTA(Table_SKU[[#Headers],[Mã Sản phẩm]:[Giá bán]]),0),0)</f>
        <v>200000</v>
      </c>
      <c r="CG144" s="58">
        <f>Table_Main[[#This Row],[Giá bán]]*Table_Main[[#This Row],[Số lượng]]</f>
        <v>28200000</v>
      </c>
      <c r="CH144" s="61">
        <v>1410000</v>
      </c>
      <c r="CI144" s="58">
        <f>+Table_Main[[#This Row],[Thành tiền niêm yết]]-Table_Main[[#This Row],[Khuyễn mãi]]</f>
        <v>26790000</v>
      </c>
      <c r="CJ144" s="7" cm="1">
        <f t="array" ref="CJ144">VLOOKUP(Table_Main[[#This Row],[Đơn bán]],Table_DonBan[],COUNTA(Table_DonBan[[#Headers],[Mã đơn bán]:[Khuyễn mãi]]),0)*Table_Main[[#This Row],[Giá trị bán trước VAT]]/
SUM(_xlfn._xlws.FILTER(Table_Main[Giá trị bán trước VAT],
(Table_Main[Đơn bán]=Table_Main[[#This Row],[Đơn bán]])
))</f>
        <v>0</v>
      </c>
      <c r="CK144" s="7">
        <f>Table_Main[[#This Row],[Giá trị bán trước VAT]]-Table_Main[[#This Row],[Phân bổ khuyến mãi đơn]]</f>
        <v>26790000</v>
      </c>
      <c r="CL144"/>
      <c r="CM144"/>
    </row>
    <row r="145" spans="33:91" ht="16.5" x14ac:dyDescent="0.3">
      <c r="AG145"/>
      <c r="AH145"/>
      <c r="AI145"/>
      <c r="BT145" s="49" t="s">
        <v>60</v>
      </c>
      <c r="BU145" s="50" t="s">
        <v>128</v>
      </c>
      <c r="BV145" s="6">
        <f xml:space="preserve">
IFERROR(VLOOKUP(Table_Main[[#This Row],[Đơn bán]],Table_DonBan[],COUNTA(Table_DonBan[[#Headers],[Mã đơn bán]:[Ngày lập]]),0),0)</f>
        <v>45255</v>
      </c>
      <c r="BW145" s="51">
        <f>IFERROR(MONTH(Table_Main[[#This Row],[Ngày lên đơn]]),0)</f>
        <v>11</v>
      </c>
      <c r="BX145" s="51" t="str">
        <f>INDEX(Table_SKU[],
MATCH(Table_Main[[#This Row],[Mã SKU]],Table_SKU[Mã Sản phẩm],0),1)</f>
        <v>Nhóm 2</v>
      </c>
      <c r="BY145" s="52" t="str">
        <f xml:space="preserve">
IFERROR(VLOOKUP(Table_Main[[#This Row],[Đơn bán]],Table_DonBan[],COUNTA(Table_DonBan[[#Headers],[Mã đơn bán]:[Mã Khách]]),0),0)</f>
        <v>KH02</v>
      </c>
      <c r="BZ145" s="52" t="str">
        <f>VLOOKUP(Table_Main[[#This Row],[Khách hàng]],Table_KhachHang[],COUNTA(Table_KhachHang[[#Headers],[Mã khách]:[Phân khúc]]),0)</f>
        <v>B2C</v>
      </c>
      <c r="CA145" s="25" t="str">
        <f xml:space="preserve">
IFERROR(VLOOKUP(Table_Main[[#This Row],[Đơn bán]],Table_DonBan[],COUNTA(Table_DonBan[[#Headers],[Mã đơn bán]:[Mã NV]]),0),0)</f>
        <v>NV02</v>
      </c>
      <c r="CB145" s="7" t="str">
        <f xml:space="preserve">
IFERROR(VLOOKUP(Table_Main[[#This Row],[Đơn bán]],Table_DonBan[],COUNTA(Table_DonBan[[#Headers],[Mã đơn bán]:[Kênh]]),0),0)</f>
        <v>LZ</v>
      </c>
      <c r="CC145" s="7" t="str">
        <f>VLOOKUP(Table_Main[[#This Row],[Kênh]],Table_Kenh[],COUNTA(Table_Kenh[[#Headers],[Kênh]:[Nhóm Kênh]]),0)</f>
        <v>Sàn TMĐT</v>
      </c>
      <c r="CD145" s="53">
        <v>107</v>
      </c>
      <c r="CE145" s="7" t="str">
        <f>IFERROR(VLOOKUP(Table_Main[[#This Row],[Mã SKU]],Table_SKU[[Mã Sản phẩm]:[Giá bán]],COUNTA(Table_SKU[[#Headers],[Mã Sản phẩm]:[Đơn vị]]),0),0)</f>
        <v>Bộ</v>
      </c>
      <c r="CF145" s="7">
        <f>IFERROR(VLOOKUP(Table_Main[[#This Row],[Mã SKU]],Table_SKU[[Mã Sản phẩm]:[Giá bán]],COUNTA(Table_SKU[[#Headers],[Mã Sản phẩm]:[Giá bán]]),0),0)</f>
        <v>300000</v>
      </c>
      <c r="CG145" s="7">
        <f>Table_Main[[#This Row],[Giá bán]]*Table_Main[[#This Row],[Số lượng]]</f>
        <v>32100000</v>
      </c>
      <c r="CH145" s="60">
        <v>1605000</v>
      </c>
      <c r="CI145" s="7">
        <f>+Table_Main[[#This Row],[Thành tiền niêm yết]]-Table_Main[[#This Row],[Khuyễn mãi]]</f>
        <v>30495000</v>
      </c>
      <c r="CJ145" s="7" cm="1">
        <f t="array" ref="CJ145">VLOOKUP(Table_Main[[#This Row],[Đơn bán]],Table_DonBan[],COUNTA(Table_DonBan[[#Headers],[Mã đơn bán]:[Khuyễn mãi]]),0)*Table_Main[[#This Row],[Giá trị bán trước VAT]]/
SUM(_xlfn._xlws.FILTER(Table_Main[Giá trị bán trước VAT],
(Table_Main[Đơn bán]=Table_Main[[#This Row],[Đơn bán]])
))</f>
        <v>0</v>
      </c>
      <c r="CK145" s="7">
        <f>Table_Main[[#This Row],[Giá trị bán trước VAT]]-Table_Main[[#This Row],[Phân bổ khuyến mãi đơn]]</f>
        <v>30495000</v>
      </c>
      <c r="CL145"/>
      <c r="CM145"/>
    </row>
    <row r="146" spans="33:91" ht="16.5" x14ac:dyDescent="0.3">
      <c r="AG146"/>
      <c r="AH146"/>
      <c r="AI146"/>
      <c r="BT146" s="49" t="s">
        <v>61</v>
      </c>
      <c r="BU146" s="50" t="s">
        <v>128</v>
      </c>
      <c r="BV146" s="6">
        <f xml:space="preserve">
IFERROR(VLOOKUP(Table_Main[[#This Row],[Đơn bán]],Table_DonBan[],COUNTA(Table_DonBan[[#Headers],[Mã đơn bán]:[Ngày lập]]),0),0)</f>
        <v>45255</v>
      </c>
      <c r="BW146" s="51">
        <f>IFERROR(MONTH(Table_Main[[#This Row],[Ngày lên đơn]]),0)</f>
        <v>11</v>
      </c>
      <c r="BX146" s="51" t="str">
        <f>INDEX(Table_SKU[],
MATCH(Table_Main[[#This Row],[Mã SKU]],Table_SKU[Mã Sản phẩm],0),1)</f>
        <v>Nhóm 3</v>
      </c>
      <c r="BY146" s="10" t="str">
        <f xml:space="preserve">
IFERROR(VLOOKUP(Table_Main[[#This Row],[Đơn bán]],Table_DonBan[],COUNTA(Table_DonBan[[#Headers],[Mã đơn bán]:[Mã Khách]]),0),0)</f>
        <v>KH02</v>
      </c>
      <c r="BZ146" s="10" t="str">
        <f>VLOOKUP(Table_Main[[#This Row],[Khách hàng]],Table_KhachHang[],COUNTA(Table_KhachHang[[#Headers],[Mã khách]:[Phân khúc]]),0)</f>
        <v>B2C</v>
      </c>
      <c r="CA146" s="25" t="str">
        <f xml:space="preserve">
IFERROR(VLOOKUP(Table_Main[[#This Row],[Đơn bán]],Table_DonBan[],COUNTA(Table_DonBan[[#Headers],[Mã đơn bán]:[Mã NV]]),0),0)</f>
        <v>NV02</v>
      </c>
      <c r="CB146" s="7" t="str">
        <f xml:space="preserve">
IFERROR(VLOOKUP(Table_Main[[#This Row],[Đơn bán]],Table_DonBan[],COUNTA(Table_DonBan[[#Headers],[Mã đơn bán]:[Kênh]]),0),0)</f>
        <v>LZ</v>
      </c>
      <c r="CC146" s="7" t="str">
        <f>VLOOKUP(Table_Main[[#This Row],[Kênh]],Table_Kenh[],COUNTA(Table_Kenh[[#Headers],[Kênh]:[Nhóm Kênh]]),0)</f>
        <v>Sàn TMĐT</v>
      </c>
      <c r="CD146" s="53">
        <v>87</v>
      </c>
      <c r="CE146" s="7" t="str">
        <f>IFERROR(VLOOKUP(Table_Main[[#This Row],[Mã SKU]],Table_SKU[[Mã Sản phẩm]:[Giá bán]],COUNTA(Table_SKU[[#Headers],[Mã Sản phẩm]:[Đơn vị]]),0),0)</f>
        <v>Bộ</v>
      </c>
      <c r="CF146" s="7">
        <f>IFERROR(VLOOKUP(Table_Main[[#This Row],[Mã SKU]],Table_SKU[[Mã Sản phẩm]:[Giá bán]],COUNTA(Table_SKU[[#Headers],[Mã Sản phẩm]:[Giá bán]]),0),0)</f>
        <v>500000</v>
      </c>
      <c r="CG146" s="7">
        <f>Table_Main[[#This Row],[Giá bán]]*Table_Main[[#This Row],[Số lượng]]</f>
        <v>43500000</v>
      </c>
      <c r="CH146" s="60">
        <v>2175000</v>
      </c>
      <c r="CI146" s="7">
        <f>+Table_Main[[#This Row],[Thành tiền niêm yết]]-Table_Main[[#This Row],[Khuyễn mãi]]</f>
        <v>41325000</v>
      </c>
      <c r="CJ146" s="7" cm="1">
        <f t="array" ref="CJ146">VLOOKUP(Table_Main[[#This Row],[Đơn bán]],Table_DonBan[],COUNTA(Table_DonBan[[#Headers],[Mã đơn bán]:[Khuyễn mãi]]),0)*Table_Main[[#This Row],[Giá trị bán trước VAT]]/
SUM(_xlfn._xlws.FILTER(Table_Main[Giá trị bán trước VAT],
(Table_Main[Đơn bán]=Table_Main[[#This Row],[Đơn bán]])
))</f>
        <v>0</v>
      </c>
      <c r="CK146" s="7">
        <f>Table_Main[[#This Row],[Giá trị bán trước VAT]]-Table_Main[[#This Row],[Phân bổ khuyến mãi đơn]]</f>
        <v>41325000</v>
      </c>
      <c r="CL146"/>
      <c r="CM146"/>
    </row>
    <row r="147" spans="33:91" ht="16.5" x14ac:dyDescent="0.3">
      <c r="AG147"/>
      <c r="AH147"/>
      <c r="AI147"/>
      <c r="BT147" s="49" t="s">
        <v>59</v>
      </c>
      <c r="BU147" s="50" t="s">
        <v>127</v>
      </c>
      <c r="BV147" s="6">
        <f xml:space="preserve">
IFERROR(VLOOKUP(Table_Main[[#This Row],[Đơn bán]],Table_DonBan[],COUNTA(Table_DonBan[[#Headers],[Mã đơn bán]:[Ngày lập]]),0),0)</f>
        <v>45245</v>
      </c>
      <c r="BW147" s="51">
        <f>IFERROR(MONTH(Table_Main[[#This Row],[Ngày lên đơn]]),0)</f>
        <v>11</v>
      </c>
      <c r="BX147" s="51" t="str">
        <f>INDEX(Table_SKU[],
MATCH(Table_Main[[#This Row],[Mã SKU]],Table_SKU[Mã Sản phẩm],0),1)</f>
        <v>Nhóm 1</v>
      </c>
      <c r="BY147" s="52" t="str">
        <f xml:space="preserve">
IFERROR(VLOOKUP(Table_Main[[#This Row],[Đơn bán]],Table_DonBan[],COUNTA(Table_DonBan[[#Headers],[Mã đơn bán]:[Mã Khách]]),0),0)</f>
        <v>KH04</v>
      </c>
      <c r="BZ147" s="52" t="str">
        <f>VLOOKUP(Table_Main[[#This Row],[Khách hàng]],Table_KhachHang[],COUNTA(Table_KhachHang[[#Headers],[Mã khách]:[Phân khúc]]),0)</f>
        <v>B2B</v>
      </c>
      <c r="CA147" s="25" t="str">
        <f xml:space="preserve">
IFERROR(VLOOKUP(Table_Main[[#This Row],[Đơn bán]],Table_DonBan[],COUNTA(Table_DonBan[[#Headers],[Mã đơn bán]:[Mã NV]]),0),0)</f>
        <v>NV02</v>
      </c>
      <c r="CB147" s="7" t="str">
        <f xml:space="preserve">
IFERROR(VLOOKUP(Table_Main[[#This Row],[Đơn bán]],Table_DonBan[],COUNTA(Table_DonBan[[#Headers],[Mã đơn bán]:[Kênh]]),0),0)</f>
        <v>ST</v>
      </c>
      <c r="CC147" s="7" t="str">
        <f>VLOOKUP(Table_Main[[#This Row],[Kênh]],Table_Kenh[],COUNTA(Table_Kenh[[#Headers],[Kênh]:[Nhóm Kênh]]),0)</f>
        <v>Offline</v>
      </c>
      <c r="CD147" s="53">
        <v>142</v>
      </c>
      <c r="CE147" s="7" t="str">
        <f>IFERROR(VLOOKUP(Table_Main[[#This Row],[Mã SKU]],Table_SKU[[Mã Sản phẩm]:[Giá bán]],COUNTA(Table_SKU[[#Headers],[Mã Sản phẩm]:[Đơn vị]]),0),0)</f>
        <v>Bộ</v>
      </c>
      <c r="CF147" s="7">
        <f>IFERROR(VLOOKUP(Table_Main[[#This Row],[Mã SKU]],Table_SKU[[Mã Sản phẩm]:[Giá bán]],COUNTA(Table_SKU[[#Headers],[Mã Sản phẩm]:[Giá bán]]),0),0)</f>
        <v>200000</v>
      </c>
      <c r="CG147" s="7">
        <f>Table_Main[[#This Row],[Giá bán]]*Table_Main[[#This Row],[Số lượng]]</f>
        <v>28400000</v>
      </c>
      <c r="CH147" s="60">
        <v>1420000</v>
      </c>
      <c r="CI147" s="7">
        <f>+Table_Main[[#This Row],[Thành tiền niêm yết]]-Table_Main[[#This Row],[Khuyễn mãi]]</f>
        <v>26980000</v>
      </c>
      <c r="CJ147" s="7" cm="1">
        <f t="array" ref="CJ147">VLOOKUP(Table_Main[[#This Row],[Đơn bán]],Table_DonBan[],COUNTA(Table_DonBan[[#Headers],[Mã đơn bán]:[Khuyễn mãi]]),0)*Table_Main[[#This Row],[Giá trị bán trước VAT]]/
SUM(_xlfn._xlws.FILTER(Table_Main[Giá trị bán trước VAT],
(Table_Main[Đơn bán]=Table_Main[[#This Row],[Đơn bán]])
))</f>
        <v>0</v>
      </c>
      <c r="CK147" s="7">
        <f>Table_Main[[#This Row],[Giá trị bán trước VAT]]-Table_Main[[#This Row],[Phân bổ khuyến mãi đơn]]</f>
        <v>26980000</v>
      </c>
      <c r="CL147"/>
      <c r="CM147"/>
    </row>
    <row r="148" spans="33:91" ht="16.5" x14ac:dyDescent="0.3">
      <c r="AG148"/>
      <c r="AH148"/>
      <c r="AI148"/>
      <c r="BT148" s="49" t="s">
        <v>60</v>
      </c>
      <c r="BU148" s="50" t="s">
        <v>127</v>
      </c>
      <c r="BV148" s="6">
        <f xml:space="preserve">
IFERROR(VLOOKUP(Table_Main[[#This Row],[Đơn bán]],Table_DonBan[],COUNTA(Table_DonBan[[#Headers],[Mã đơn bán]:[Ngày lập]]),0),0)</f>
        <v>45245</v>
      </c>
      <c r="BW148" s="51">
        <f>IFERROR(MONTH(Table_Main[[#This Row],[Ngày lên đơn]]),0)</f>
        <v>11</v>
      </c>
      <c r="BX148" s="51" t="str">
        <f>INDEX(Table_SKU[],
MATCH(Table_Main[[#This Row],[Mã SKU]],Table_SKU[Mã Sản phẩm],0),1)</f>
        <v>Nhóm 2</v>
      </c>
      <c r="BY148" s="52" t="str">
        <f xml:space="preserve">
IFERROR(VLOOKUP(Table_Main[[#This Row],[Đơn bán]],Table_DonBan[],COUNTA(Table_DonBan[[#Headers],[Mã đơn bán]:[Mã Khách]]),0),0)</f>
        <v>KH04</v>
      </c>
      <c r="BZ148" s="52" t="str">
        <f>VLOOKUP(Table_Main[[#This Row],[Khách hàng]],Table_KhachHang[],COUNTA(Table_KhachHang[[#Headers],[Mã khách]:[Phân khúc]]),0)</f>
        <v>B2B</v>
      </c>
      <c r="CA148" s="25" t="str">
        <f xml:space="preserve">
IFERROR(VLOOKUP(Table_Main[[#This Row],[Đơn bán]],Table_DonBan[],COUNTA(Table_DonBan[[#Headers],[Mã đơn bán]:[Mã NV]]),0),0)</f>
        <v>NV02</v>
      </c>
      <c r="CB148" s="7" t="str">
        <f xml:space="preserve">
IFERROR(VLOOKUP(Table_Main[[#This Row],[Đơn bán]],Table_DonBan[],COUNTA(Table_DonBan[[#Headers],[Mã đơn bán]:[Kênh]]),0),0)</f>
        <v>ST</v>
      </c>
      <c r="CC148" s="7" t="str">
        <f>VLOOKUP(Table_Main[[#This Row],[Kênh]],Table_Kenh[],COUNTA(Table_Kenh[[#Headers],[Kênh]:[Nhóm Kênh]]),0)</f>
        <v>Offline</v>
      </c>
      <c r="CD148" s="53">
        <v>109</v>
      </c>
      <c r="CE148" s="7" t="str">
        <f>IFERROR(VLOOKUP(Table_Main[[#This Row],[Mã SKU]],Table_SKU[[Mã Sản phẩm]:[Giá bán]],COUNTA(Table_SKU[[#Headers],[Mã Sản phẩm]:[Đơn vị]]),0),0)</f>
        <v>Bộ</v>
      </c>
      <c r="CF148" s="7">
        <f>IFERROR(VLOOKUP(Table_Main[[#This Row],[Mã SKU]],Table_SKU[[Mã Sản phẩm]:[Giá bán]],COUNTA(Table_SKU[[#Headers],[Mã Sản phẩm]:[Giá bán]]),0),0)</f>
        <v>300000</v>
      </c>
      <c r="CG148" s="7">
        <f>Table_Main[[#This Row],[Giá bán]]*Table_Main[[#This Row],[Số lượng]]</f>
        <v>32700000</v>
      </c>
      <c r="CH148" s="60">
        <v>1635000</v>
      </c>
      <c r="CI148" s="7">
        <f>+Table_Main[[#This Row],[Thành tiền niêm yết]]-Table_Main[[#This Row],[Khuyễn mãi]]</f>
        <v>31065000</v>
      </c>
      <c r="CJ148" s="7" cm="1">
        <f t="array" ref="CJ148">VLOOKUP(Table_Main[[#This Row],[Đơn bán]],Table_DonBan[],COUNTA(Table_DonBan[[#Headers],[Mã đơn bán]:[Khuyễn mãi]]),0)*Table_Main[[#This Row],[Giá trị bán trước VAT]]/
SUM(_xlfn._xlws.FILTER(Table_Main[Giá trị bán trước VAT],
(Table_Main[Đơn bán]=Table_Main[[#This Row],[Đơn bán]])
))</f>
        <v>0</v>
      </c>
      <c r="CK148" s="7">
        <f>Table_Main[[#This Row],[Giá trị bán trước VAT]]-Table_Main[[#This Row],[Phân bổ khuyến mãi đơn]]</f>
        <v>31065000</v>
      </c>
      <c r="CL148"/>
      <c r="CM148"/>
    </row>
    <row r="149" spans="33:91" ht="16.5" x14ac:dyDescent="0.3">
      <c r="AG149"/>
      <c r="AH149"/>
      <c r="AI149"/>
      <c r="BT149" s="49" t="s">
        <v>61</v>
      </c>
      <c r="BU149" s="50" t="s">
        <v>127</v>
      </c>
      <c r="BV149" s="6">
        <f xml:space="preserve">
IFERROR(VLOOKUP(Table_Main[[#This Row],[Đơn bán]],Table_DonBan[],COUNTA(Table_DonBan[[#Headers],[Mã đơn bán]:[Ngày lập]]),0),0)</f>
        <v>45245</v>
      </c>
      <c r="BW149" s="51">
        <f>IFERROR(MONTH(Table_Main[[#This Row],[Ngày lên đơn]]),0)</f>
        <v>11</v>
      </c>
      <c r="BX149" s="51" t="str">
        <f>INDEX(Table_SKU[],
MATCH(Table_Main[[#This Row],[Mã SKU]],Table_SKU[Mã Sản phẩm],0),1)</f>
        <v>Nhóm 3</v>
      </c>
      <c r="BY149" s="52" t="str">
        <f xml:space="preserve">
IFERROR(VLOOKUP(Table_Main[[#This Row],[Đơn bán]],Table_DonBan[],COUNTA(Table_DonBan[[#Headers],[Mã đơn bán]:[Mã Khách]]),0),0)</f>
        <v>KH04</v>
      </c>
      <c r="BZ149" s="52" t="str">
        <f>VLOOKUP(Table_Main[[#This Row],[Khách hàng]],Table_KhachHang[],COUNTA(Table_KhachHang[[#Headers],[Mã khách]:[Phân khúc]]),0)</f>
        <v>B2B</v>
      </c>
      <c r="CA149" s="25" t="str">
        <f xml:space="preserve">
IFERROR(VLOOKUP(Table_Main[[#This Row],[Đơn bán]],Table_DonBan[],COUNTA(Table_DonBan[[#Headers],[Mã đơn bán]:[Mã NV]]),0),0)</f>
        <v>NV02</v>
      </c>
      <c r="CB149" s="7" t="str">
        <f xml:space="preserve">
IFERROR(VLOOKUP(Table_Main[[#This Row],[Đơn bán]],Table_DonBan[],COUNTA(Table_DonBan[[#Headers],[Mã đơn bán]:[Kênh]]),0),0)</f>
        <v>ST</v>
      </c>
      <c r="CC149" s="7" t="str">
        <f>VLOOKUP(Table_Main[[#This Row],[Kênh]],Table_Kenh[],COUNTA(Table_Kenh[[#Headers],[Kênh]:[Nhóm Kênh]]),0)</f>
        <v>Offline</v>
      </c>
      <c r="CD149" s="53">
        <v>85</v>
      </c>
      <c r="CE149" s="7" t="str">
        <f>IFERROR(VLOOKUP(Table_Main[[#This Row],[Mã SKU]],Table_SKU[[Mã Sản phẩm]:[Giá bán]],COUNTA(Table_SKU[[#Headers],[Mã Sản phẩm]:[Đơn vị]]),0),0)</f>
        <v>Bộ</v>
      </c>
      <c r="CF149" s="7">
        <f>IFERROR(VLOOKUP(Table_Main[[#This Row],[Mã SKU]],Table_SKU[[Mã Sản phẩm]:[Giá bán]],COUNTA(Table_SKU[[#Headers],[Mã Sản phẩm]:[Giá bán]]),0),0)</f>
        <v>500000</v>
      </c>
      <c r="CG149" s="7">
        <f>Table_Main[[#This Row],[Giá bán]]*Table_Main[[#This Row],[Số lượng]]</f>
        <v>42500000</v>
      </c>
      <c r="CH149" s="60">
        <v>2125000</v>
      </c>
      <c r="CI149" s="7">
        <f>+Table_Main[[#This Row],[Thành tiền niêm yết]]-Table_Main[[#This Row],[Khuyễn mãi]]</f>
        <v>40375000</v>
      </c>
      <c r="CJ149" s="7" cm="1">
        <f t="array" ref="CJ149">VLOOKUP(Table_Main[[#This Row],[Đơn bán]],Table_DonBan[],COUNTA(Table_DonBan[[#Headers],[Mã đơn bán]:[Khuyễn mãi]]),0)*Table_Main[[#This Row],[Giá trị bán trước VAT]]/
SUM(_xlfn._xlws.FILTER(Table_Main[Giá trị bán trước VAT],
(Table_Main[Đơn bán]=Table_Main[[#This Row],[Đơn bán]])
))</f>
        <v>0</v>
      </c>
      <c r="CK149" s="7">
        <f>Table_Main[[#This Row],[Giá trị bán trước VAT]]-Table_Main[[#This Row],[Phân bổ khuyến mãi đơn]]</f>
        <v>40375000</v>
      </c>
      <c r="CL149"/>
      <c r="CM149"/>
    </row>
    <row r="150" spans="33:91" ht="16.5" x14ac:dyDescent="0.3">
      <c r="AG150"/>
      <c r="AH150"/>
      <c r="AI150"/>
      <c r="BT150" s="49" t="s">
        <v>59</v>
      </c>
      <c r="BU150" s="50" t="s">
        <v>126</v>
      </c>
      <c r="BV150" s="6">
        <f xml:space="preserve">
IFERROR(VLOOKUP(Table_Main[[#This Row],[Đơn bán]],Table_DonBan[],COUNTA(Table_DonBan[[#Headers],[Mã đơn bán]:[Ngày lập]]),0),0)</f>
        <v>45235</v>
      </c>
      <c r="BW150" s="51">
        <f>IFERROR(MONTH(Table_Main[[#This Row],[Ngày lên đơn]]),0)</f>
        <v>11</v>
      </c>
      <c r="BX150" s="51" t="str">
        <f>INDEX(Table_SKU[],
MATCH(Table_Main[[#This Row],[Mã SKU]],Table_SKU[Mã Sản phẩm],0),1)</f>
        <v>Nhóm 1</v>
      </c>
      <c r="BY150" s="52" t="str">
        <f xml:space="preserve">
IFERROR(VLOOKUP(Table_Main[[#This Row],[Đơn bán]],Table_DonBan[],COUNTA(Table_DonBan[[#Headers],[Mã đơn bán]:[Mã Khách]]),0),0)</f>
        <v>KH02</v>
      </c>
      <c r="BZ150" s="52" t="str">
        <f>VLOOKUP(Table_Main[[#This Row],[Khách hàng]],Table_KhachHang[],COUNTA(Table_KhachHang[[#Headers],[Mã khách]:[Phân khúc]]),0)</f>
        <v>B2C</v>
      </c>
      <c r="CA150" s="25" t="str">
        <f xml:space="preserve">
IFERROR(VLOOKUP(Table_Main[[#This Row],[Đơn bán]],Table_DonBan[],COUNTA(Table_DonBan[[#Headers],[Mã đơn bán]:[Mã NV]]),0),0)</f>
        <v>NV03</v>
      </c>
      <c r="CB150" s="7" t="str">
        <f xml:space="preserve">
IFERROR(VLOOKUP(Table_Main[[#This Row],[Đơn bán]],Table_DonBan[],COUNTA(Table_DonBan[[#Headers],[Mã đơn bán]:[Kênh]]),0),0)</f>
        <v>FB</v>
      </c>
      <c r="CC150" s="7" t="str">
        <f>VLOOKUP(Table_Main[[#This Row],[Kênh]],Table_Kenh[],COUNTA(Table_Kenh[[#Headers],[Kênh]:[Nhóm Kênh]]),0)</f>
        <v>Mạng xã hội</v>
      </c>
      <c r="CD150" s="53">
        <v>143</v>
      </c>
      <c r="CE150" s="7" t="str">
        <f>IFERROR(VLOOKUP(Table_Main[[#This Row],[Mã SKU]],Table_SKU[[Mã Sản phẩm]:[Giá bán]],COUNTA(Table_SKU[[#Headers],[Mã Sản phẩm]:[Đơn vị]]),0),0)</f>
        <v>Bộ</v>
      </c>
      <c r="CF150" s="7">
        <f>IFERROR(VLOOKUP(Table_Main[[#This Row],[Mã SKU]],Table_SKU[[Mã Sản phẩm]:[Giá bán]],COUNTA(Table_SKU[[#Headers],[Mã Sản phẩm]:[Giá bán]]),0),0)</f>
        <v>200000</v>
      </c>
      <c r="CG150" s="7">
        <f>Table_Main[[#This Row],[Giá bán]]*Table_Main[[#This Row],[Số lượng]]</f>
        <v>28600000</v>
      </c>
      <c r="CH150" s="60">
        <v>1430000</v>
      </c>
      <c r="CI150" s="7">
        <f>+Table_Main[[#This Row],[Thành tiền niêm yết]]-Table_Main[[#This Row],[Khuyễn mãi]]</f>
        <v>27170000</v>
      </c>
      <c r="CJ150" s="7" cm="1">
        <f t="array" ref="CJ150">VLOOKUP(Table_Main[[#This Row],[Đơn bán]],Table_DonBan[],COUNTA(Table_DonBan[[#Headers],[Mã đơn bán]:[Khuyễn mãi]]),0)*Table_Main[[#This Row],[Giá trị bán trước VAT]]/
SUM(_xlfn._xlws.FILTER(Table_Main[Giá trị bán trước VAT],
(Table_Main[Đơn bán]=Table_Main[[#This Row],[Đơn bán]])
))</f>
        <v>0</v>
      </c>
      <c r="CK150" s="7">
        <f>Table_Main[[#This Row],[Giá trị bán trước VAT]]-Table_Main[[#This Row],[Phân bổ khuyến mãi đơn]]</f>
        <v>27170000</v>
      </c>
      <c r="CL150"/>
      <c r="CM150"/>
    </row>
    <row r="151" spans="33:91" ht="16.5" x14ac:dyDescent="0.3">
      <c r="AG151"/>
      <c r="AH151"/>
      <c r="AI151"/>
      <c r="BT151" s="49" t="s">
        <v>60</v>
      </c>
      <c r="BU151" s="50" t="s">
        <v>126</v>
      </c>
      <c r="BV151" s="6">
        <f xml:space="preserve">
IFERROR(VLOOKUP(Table_Main[[#This Row],[Đơn bán]],Table_DonBan[],COUNTA(Table_DonBan[[#Headers],[Mã đơn bán]:[Ngày lập]]),0),0)</f>
        <v>45235</v>
      </c>
      <c r="BW151" s="51">
        <f>IFERROR(MONTH(Table_Main[[#This Row],[Ngày lên đơn]]),0)</f>
        <v>11</v>
      </c>
      <c r="BX151" s="51" t="str">
        <f>INDEX(Table_SKU[],
MATCH(Table_Main[[#This Row],[Mã SKU]],Table_SKU[Mã Sản phẩm],0),1)</f>
        <v>Nhóm 2</v>
      </c>
      <c r="BY151" s="52" t="str">
        <f xml:space="preserve">
IFERROR(VLOOKUP(Table_Main[[#This Row],[Đơn bán]],Table_DonBan[],COUNTA(Table_DonBan[[#Headers],[Mã đơn bán]:[Mã Khách]]),0),0)</f>
        <v>KH02</v>
      </c>
      <c r="BZ151" s="52" t="str">
        <f>VLOOKUP(Table_Main[[#This Row],[Khách hàng]],Table_KhachHang[],COUNTA(Table_KhachHang[[#Headers],[Mã khách]:[Phân khúc]]),0)</f>
        <v>B2C</v>
      </c>
      <c r="CA151" s="25" t="str">
        <f xml:space="preserve">
IFERROR(VLOOKUP(Table_Main[[#This Row],[Đơn bán]],Table_DonBan[],COUNTA(Table_DonBan[[#Headers],[Mã đơn bán]:[Mã NV]]),0),0)</f>
        <v>NV03</v>
      </c>
      <c r="CB151" s="7" t="str">
        <f xml:space="preserve">
IFERROR(VLOOKUP(Table_Main[[#This Row],[Đơn bán]],Table_DonBan[],COUNTA(Table_DonBan[[#Headers],[Mã đơn bán]:[Kênh]]),0),0)</f>
        <v>FB</v>
      </c>
      <c r="CC151" s="7" t="str">
        <f>VLOOKUP(Table_Main[[#This Row],[Kênh]],Table_Kenh[],COUNTA(Table_Kenh[[#Headers],[Kênh]:[Nhóm Kênh]]),0)</f>
        <v>Mạng xã hội</v>
      </c>
      <c r="CD151" s="53">
        <v>108</v>
      </c>
      <c r="CE151" s="7" t="str">
        <f>IFERROR(VLOOKUP(Table_Main[[#This Row],[Mã SKU]],Table_SKU[[Mã Sản phẩm]:[Giá bán]],COUNTA(Table_SKU[[#Headers],[Mã Sản phẩm]:[Đơn vị]]),0),0)</f>
        <v>Bộ</v>
      </c>
      <c r="CF151" s="7">
        <f>IFERROR(VLOOKUP(Table_Main[[#This Row],[Mã SKU]],Table_SKU[[Mã Sản phẩm]:[Giá bán]],COUNTA(Table_SKU[[#Headers],[Mã Sản phẩm]:[Giá bán]]),0),0)</f>
        <v>300000</v>
      </c>
      <c r="CG151" s="7">
        <f>Table_Main[[#This Row],[Giá bán]]*Table_Main[[#This Row],[Số lượng]]</f>
        <v>32400000</v>
      </c>
      <c r="CH151" s="60">
        <v>1620000</v>
      </c>
      <c r="CI151" s="7">
        <f>+Table_Main[[#This Row],[Thành tiền niêm yết]]-Table_Main[[#This Row],[Khuyễn mãi]]</f>
        <v>30780000</v>
      </c>
      <c r="CJ151" s="7" cm="1">
        <f t="array" ref="CJ151">VLOOKUP(Table_Main[[#This Row],[Đơn bán]],Table_DonBan[],COUNTA(Table_DonBan[[#Headers],[Mã đơn bán]:[Khuyễn mãi]]),0)*Table_Main[[#This Row],[Giá trị bán trước VAT]]/
SUM(_xlfn._xlws.FILTER(Table_Main[Giá trị bán trước VAT],
(Table_Main[Đơn bán]=Table_Main[[#This Row],[Đơn bán]])
))</f>
        <v>0</v>
      </c>
      <c r="CK151" s="7">
        <f>Table_Main[[#This Row],[Giá trị bán trước VAT]]-Table_Main[[#This Row],[Phân bổ khuyến mãi đơn]]</f>
        <v>30780000</v>
      </c>
      <c r="CL151"/>
      <c r="CM151"/>
    </row>
    <row r="152" spans="33:91" ht="16.5" x14ac:dyDescent="0.3">
      <c r="AG152"/>
      <c r="AH152"/>
      <c r="AI152"/>
      <c r="BT152" s="49" t="s">
        <v>61</v>
      </c>
      <c r="BU152" s="50" t="s">
        <v>126</v>
      </c>
      <c r="BV152" s="6">
        <f xml:space="preserve">
IFERROR(VLOOKUP(Table_Main[[#This Row],[Đơn bán]],Table_DonBan[],COUNTA(Table_DonBan[[#Headers],[Mã đơn bán]:[Ngày lập]]),0),0)</f>
        <v>45235</v>
      </c>
      <c r="BW152" s="51">
        <f>IFERROR(MONTH(Table_Main[[#This Row],[Ngày lên đơn]]),0)</f>
        <v>11</v>
      </c>
      <c r="BX152" s="51" t="str">
        <f>INDEX(Table_SKU[],
MATCH(Table_Main[[#This Row],[Mã SKU]],Table_SKU[Mã Sản phẩm],0),1)</f>
        <v>Nhóm 3</v>
      </c>
      <c r="BY152" s="52" t="str">
        <f xml:space="preserve">
IFERROR(VLOOKUP(Table_Main[[#This Row],[Đơn bán]],Table_DonBan[],COUNTA(Table_DonBan[[#Headers],[Mã đơn bán]:[Mã Khách]]),0),0)</f>
        <v>KH02</v>
      </c>
      <c r="BZ152" s="52" t="str">
        <f>VLOOKUP(Table_Main[[#This Row],[Khách hàng]],Table_KhachHang[],COUNTA(Table_KhachHang[[#Headers],[Mã khách]:[Phân khúc]]),0)</f>
        <v>B2C</v>
      </c>
      <c r="CA152" s="25" t="str">
        <f xml:space="preserve">
IFERROR(VLOOKUP(Table_Main[[#This Row],[Đơn bán]],Table_DonBan[],COUNTA(Table_DonBan[[#Headers],[Mã đơn bán]:[Mã NV]]),0),0)</f>
        <v>NV03</v>
      </c>
      <c r="CB152" s="7" t="str">
        <f xml:space="preserve">
IFERROR(VLOOKUP(Table_Main[[#This Row],[Đơn bán]],Table_DonBan[],COUNTA(Table_DonBan[[#Headers],[Mã đơn bán]:[Kênh]]),0),0)</f>
        <v>FB</v>
      </c>
      <c r="CC152" s="7" t="str">
        <f>VLOOKUP(Table_Main[[#This Row],[Kênh]],Table_Kenh[],COUNTA(Table_Kenh[[#Headers],[Kênh]:[Nhóm Kênh]]),0)</f>
        <v>Mạng xã hội</v>
      </c>
      <c r="CD152" s="53">
        <v>83</v>
      </c>
      <c r="CE152" s="7" t="str">
        <f>IFERROR(VLOOKUP(Table_Main[[#This Row],[Mã SKU]],Table_SKU[[Mã Sản phẩm]:[Giá bán]],COUNTA(Table_SKU[[#Headers],[Mã Sản phẩm]:[Đơn vị]]),0),0)</f>
        <v>Bộ</v>
      </c>
      <c r="CF152" s="7">
        <f>IFERROR(VLOOKUP(Table_Main[[#This Row],[Mã SKU]],Table_SKU[[Mã Sản phẩm]:[Giá bán]],COUNTA(Table_SKU[[#Headers],[Mã Sản phẩm]:[Giá bán]]),0),0)</f>
        <v>500000</v>
      </c>
      <c r="CG152" s="7">
        <f>Table_Main[[#This Row],[Giá bán]]*Table_Main[[#This Row],[Số lượng]]</f>
        <v>41500000</v>
      </c>
      <c r="CH152" s="60">
        <v>2075000</v>
      </c>
      <c r="CI152" s="7">
        <f>+Table_Main[[#This Row],[Thành tiền niêm yết]]-Table_Main[[#This Row],[Khuyễn mãi]]</f>
        <v>39425000</v>
      </c>
      <c r="CJ152" s="7" cm="1">
        <f t="array" ref="CJ152">VLOOKUP(Table_Main[[#This Row],[Đơn bán]],Table_DonBan[],COUNTA(Table_DonBan[[#Headers],[Mã đơn bán]:[Khuyễn mãi]]),0)*Table_Main[[#This Row],[Giá trị bán trước VAT]]/
SUM(_xlfn._xlws.FILTER(Table_Main[Giá trị bán trước VAT],
(Table_Main[Đơn bán]=Table_Main[[#This Row],[Đơn bán]])
))</f>
        <v>0</v>
      </c>
      <c r="CK152" s="7">
        <f>Table_Main[[#This Row],[Giá trị bán trước VAT]]-Table_Main[[#This Row],[Phân bổ khuyến mãi đơn]]</f>
        <v>39425000</v>
      </c>
      <c r="CL152"/>
      <c r="CM152"/>
    </row>
    <row r="153" spans="33:91" ht="16.5" x14ac:dyDescent="0.3">
      <c r="AG153"/>
      <c r="AH153"/>
      <c r="AI153"/>
      <c r="BT153" s="54" t="s">
        <v>59</v>
      </c>
      <c r="BU153" s="55" t="s">
        <v>125</v>
      </c>
      <c r="BV153" s="56">
        <f xml:space="preserve">
IFERROR(VLOOKUP(Table_Main[[#This Row],[Đơn bán]],Table_DonBan[],COUNTA(Table_DonBan[[#Headers],[Mã đơn bán]:[Ngày lập]]),0),0)</f>
        <v>45224</v>
      </c>
      <c r="BW153" s="51">
        <f>IFERROR(MONTH(Table_Main[[#This Row],[Ngày lên đơn]]),0)</f>
        <v>10</v>
      </c>
      <c r="BX153" s="51" t="str">
        <f>INDEX(Table_SKU[],
MATCH(Table_Main[[#This Row],[Mã SKU]],Table_SKU[Mã Sản phẩm],0),1)</f>
        <v>Nhóm 1</v>
      </c>
      <c r="BY153" s="52" t="str">
        <f xml:space="preserve">
IFERROR(VLOOKUP(Table_Main[[#This Row],[Đơn bán]],Table_DonBan[],COUNTA(Table_DonBan[[#Headers],[Mã đơn bán]:[Mã Khách]]),0),0)</f>
        <v>KH03</v>
      </c>
      <c r="BZ153" s="52" t="str">
        <f>VLOOKUP(Table_Main[[#This Row],[Khách hàng]],Table_KhachHang[],COUNTA(Table_KhachHang[[#Headers],[Mã khách]:[Phân khúc]]),0)</f>
        <v>B2C</v>
      </c>
      <c r="CA153" s="57" t="str">
        <f xml:space="preserve">
IFERROR(VLOOKUP(Table_Main[[#This Row],[Đơn bán]],Table_DonBan[],COUNTA(Table_DonBan[[#Headers],[Mã đơn bán]:[Mã NV]]),0),0)</f>
        <v>NV02</v>
      </c>
      <c r="CB153" s="58" t="str">
        <f xml:space="preserve">
IFERROR(VLOOKUP(Table_Main[[#This Row],[Đơn bán]],Table_DonBan[],COUNTA(Table_DonBan[[#Headers],[Mã đơn bán]:[Kênh]]),0),0)</f>
        <v>SP</v>
      </c>
      <c r="CC153" s="58" t="str">
        <f>VLOOKUP(Table_Main[[#This Row],[Kênh]],Table_Kenh[],COUNTA(Table_Kenh[[#Headers],[Kênh]:[Nhóm Kênh]]),0)</f>
        <v>Sàn TMĐT</v>
      </c>
      <c r="CD153" s="59">
        <v>146</v>
      </c>
      <c r="CE153" s="58" t="str">
        <f>IFERROR(VLOOKUP(Table_Main[[#This Row],[Mã SKU]],Table_SKU[[Mã Sản phẩm]:[Giá bán]],COUNTA(Table_SKU[[#Headers],[Mã Sản phẩm]:[Đơn vị]]),0),0)</f>
        <v>Bộ</v>
      </c>
      <c r="CF153" s="58">
        <f>IFERROR(VLOOKUP(Table_Main[[#This Row],[Mã SKU]],Table_SKU[[Mã Sản phẩm]:[Giá bán]],COUNTA(Table_SKU[[#Headers],[Mã Sản phẩm]:[Giá bán]]),0),0)</f>
        <v>200000</v>
      </c>
      <c r="CG153" s="58">
        <f>Table_Main[[#This Row],[Giá bán]]*Table_Main[[#This Row],[Số lượng]]</f>
        <v>29200000</v>
      </c>
      <c r="CH153" s="61">
        <v>1460000</v>
      </c>
      <c r="CI153" s="58">
        <f>+Table_Main[[#This Row],[Thành tiền niêm yết]]-Table_Main[[#This Row],[Khuyễn mãi]]</f>
        <v>27740000</v>
      </c>
      <c r="CJ153" s="7" cm="1">
        <f t="array" ref="CJ153">VLOOKUP(Table_Main[[#This Row],[Đơn bán]],Table_DonBan[],COUNTA(Table_DonBan[[#Headers],[Mã đơn bán]:[Khuyễn mãi]]),0)*Table_Main[[#This Row],[Giá trị bán trước VAT]]/
SUM(_xlfn._xlws.FILTER(Table_Main[Giá trị bán trước VAT],
(Table_Main[Đơn bán]=Table_Main[[#This Row],[Đơn bán]])
))</f>
        <v>0</v>
      </c>
      <c r="CK153" s="7">
        <f>Table_Main[[#This Row],[Giá trị bán trước VAT]]-Table_Main[[#This Row],[Phân bổ khuyến mãi đơn]]</f>
        <v>27740000</v>
      </c>
      <c r="CL153"/>
      <c r="CM153"/>
    </row>
    <row r="154" spans="33:91" ht="16.5" x14ac:dyDescent="0.3">
      <c r="AG154"/>
      <c r="AH154"/>
      <c r="AI154"/>
      <c r="BT154" s="49" t="s">
        <v>60</v>
      </c>
      <c r="BU154" s="50" t="s">
        <v>125</v>
      </c>
      <c r="BV154" s="6">
        <f xml:space="preserve">
IFERROR(VLOOKUP(Table_Main[[#This Row],[Đơn bán]],Table_DonBan[],COUNTA(Table_DonBan[[#Headers],[Mã đơn bán]:[Ngày lập]]),0),0)</f>
        <v>45224</v>
      </c>
      <c r="BW154" s="51">
        <f>IFERROR(MONTH(Table_Main[[#This Row],[Ngày lên đơn]]),0)</f>
        <v>10</v>
      </c>
      <c r="BX154" s="51" t="str">
        <f>INDEX(Table_SKU[],
MATCH(Table_Main[[#This Row],[Mã SKU]],Table_SKU[Mã Sản phẩm],0),1)</f>
        <v>Nhóm 2</v>
      </c>
      <c r="BY154" s="52" t="str">
        <f xml:space="preserve">
IFERROR(VLOOKUP(Table_Main[[#This Row],[Đơn bán]],Table_DonBan[],COUNTA(Table_DonBan[[#Headers],[Mã đơn bán]:[Mã Khách]]),0),0)</f>
        <v>KH03</v>
      </c>
      <c r="BZ154" s="52" t="str">
        <f>VLOOKUP(Table_Main[[#This Row],[Khách hàng]],Table_KhachHang[],COUNTA(Table_KhachHang[[#Headers],[Mã khách]:[Phân khúc]]),0)</f>
        <v>B2C</v>
      </c>
      <c r="CA154" s="25" t="str">
        <f xml:space="preserve">
IFERROR(VLOOKUP(Table_Main[[#This Row],[Đơn bán]],Table_DonBan[],COUNTA(Table_DonBan[[#Headers],[Mã đơn bán]:[Mã NV]]),0),0)</f>
        <v>NV02</v>
      </c>
      <c r="CB154" s="7" t="str">
        <f xml:space="preserve">
IFERROR(VLOOKUP(Table_Main[[#This Row],[Đơn bán]],Table_DonBan[],COUNTA(Table_DonBan[[#Headers],[Mã đơn bán]:[Kênh]]),0),0)</f>
        <v>SP</v>
      </c>
      <c r="CC154" s="7" t="str">
        <f>VLOOKUP(Table_Main[[#This Row],[Kênh]],Table_Kenh[],COUNTA(Table_Kenh[[#Headers],[Kênh]:[Nhóm Kênh]]),0)</f>
        <v>Sàn TMĐT</v>
      </c>
      <c r="CD154" s="53">
        <v>106</v>
      </c>
      <c r="CE154" s="7" t="str">
        <f>IFERROR(VLOOKUP(Table_Main[[#This Row],[Mã SKU]],Table_SKU[[Mã Sản phẩm]:[Giá bán]],COUNTA(Table_SKU[[#Headers],[Mã Sản phẩm]:[Đơn vị]]),0),0)</f>
        <v>Bộ</v>
      </c>
      <c r="CF154" s="7">
        <f>IFERROR(VLOOKUP(Table_Main[[#This Row],[Mã SKU]],Table_SKU[[Mã Sản phẩm]:[Giá bán]],COUNTA(Table_SKU[[#Headers],[Mã Sản phẩm]:[Giá bán]]),0),0)</f>
        <v>300000</v>
      </c>
      <c r="CG154" s="7">
        <f>Table_Main[[#This Row],[Giá bán]]*Table_Main[[#This Row],[Số lượng]]</f>
        <v>31800000</v>
      </c>
      <c r="CH154" s="60">
        <v>1590000</v>
      </c>
      <c r="CI154" s="7">
        <f>+Table_Main[[#This Row],[Thành tiền niêm yết]]-Table_Main[[#This Row],[Khuyễn mãi]]</f>
        <v>30210000</v>
      </c>
      <c r="CJ154" s="7" cm="1">
        <f t="array" ref="CJ154">VLOOKUP(Table_Main[[#This Row],[Đơn bán]],Table_DonBan[],COUNTA(Table_DonBan[[#Headers],[Mã đơn bán]:[Khuyễn mãi]]),0)*Table_Main[[#This Row],[Giá trị bán trước VAT]]/
SUM(_xlfn._xlws.FILTER(Table_Main[Giá trị bán trước VAT],
(Table_Main[Đơn bán]=Table_Main[[#This Row],[Đơn bán]])
))</f>
        <v>0</v>
      </c>
      <c r="CK154" s="7">
        <f>Table_Main[[#This Row],[Giá trị bán trước VAT]]-Table_Main[[#This Row],[Phân bổ khuyến mãi đơn]]</f>
        <v>30210000</v>
      </c>
      <c r="CL154"/>
      <c r="CM154"/>
    </row>
    <row r="155" spans="33:91" ht="16.5" x14ac:dyDescent="0.3">
      <c r="AG155"/>
      <c r="AH155"/>
      <c r="AI155"/>
      <c r="BT155" s="49" t="s">
        <v>61</v>
      </c>
      <c r="BU155" s="50" t="s">
        <v>125</v>
      </c>
      <c r="BV155" s="6">
        <f xml:space="preserve">
IFERROR(VLOOKUP(Table_Main[[#This Row],[Đơn bán]],Table_DonBan[],COUNTA(Table_DonBan[[#Headers],[Mã đơn bán]:[Ngày lập]]),0),0)</f>
        <v>45224</v>
      </c>
      <c r="BW155" s="51">
        <f>IFERROR(MONTH(Table_Main[[#This Row],[Ngày lên đơn]]),0)</f>
        <v>10</v>
      </c>
      <c r="BX155" s="51" t="str">
        <f>INDEX(Table_SKU[],
MATCH(Table_Main[[#This Row],[Mã SKU]],Table_SKU[Mã Sản phẩm],0),1)</f>
        <v>Nhóm 3</v>
      </c>
      <c r="BY155" s="10" t="str">
        <f xml:space="preserve">
IFERROR(VLOOKUP(Table_Main[[#This Row],[Đơn bán]],Table_DonBan[],COUNTA(Table_DonBan[[#Headers],[Mã đơn bán]:[Mã Khách]]),0),0)</f>
        <v>KH03</v>
      </c>
      <c r="BZ155" s="10" t="str">
        <f>VLOOKUP(Table_Main[[#This Row],[Khách hàng]],Table_KhachHang[],COUNTA(Table_KhachHang[[#Headers],[Mã khách]:[Phân khúc]]),0)</f>
        <v>B2C</v>
      </c>
      <c r="CA155" s="25" t="str">
        <f xml:space="preserve">
IFERROR(VLOOKUP(Table_Main[[#This Row],[Đơn bán]],Table_DonBan[],COUNTA(Table_DonBan[[#Headers],[Mã đơn bán]:[Mã NV]]),0),0)</f>
        <v>NV02</v>
      </c>
      <c r="CB155" s="7" t="str">
        <f xml:space="preserve">
IFERROR(VLOOKUP(Table_Main[[#This Row],[Đơn bán]],Table_DonBan[],COUNTA(Table_DonBan[[#Headers],[Mã đơn bán]:[Kênh]]),0),0)</f>
        <v>SP</v>
      </c>
      <c r="CC155" s="7" t="str">
        <f>VLOOKUP(Table_Main[[#This Row],[Kênh]],Table_Kenh[],COUNTA(Table_Kenh[[#Headers],[Kênh]:[Nhóm Kênh]]),0)</f>
        <v>Sàn TMĐT</v>
      </c>
      <c r="CD155" s="53">
        <v>79</v>
      </c>
      <c r="CE155" s="7" t="str">
        <f>IFERROR(VLOOKUP(Table_Main[[#This Row],[Mã SKU]],Table_SKU[[Mã Sản phẩm]:[Giá bán]],COUNTA(Table_SKU[[#Headers],[Mã Sản phẩm]:[Đơn vị]]),0),0)</f>
        <v>Bộ</v>
      </c>
      <c r="CF155" s="7">
        <f>IFERROR(VLOOKUP(Table_Main[[#This Row],[Mã SKU]],Table_SKU[[Mã Sản phẩm]:[Giá bán]],COUNTA(Table_SKU[[#Headers],[Mã Sản phẩm]:[Giá bán]]),0),0)</f>
        <v>500000</v>
      </c>
      <c r="CG155" s="7">
        <f>Table_Main[[#This Row],[Giá bán]]*Table_Main[[#This Row],[Số lượng]]</f>
        <v>39500000</v>
      </c>
      <c r="CH155" s="60">
        <v>1975000</v>
      </c>
      <c r="CI155" s="7">
        <f>+Table_Main[[#This Row],[Thành tiền niêm yết]]-Table_Main[[#This Row],[Khuyễn mãi]]</f>
        <v>37525000</v>
      </c>
      <c r="CJ155" s="7" cm="1">
        <f t="array" ref="CJ155">VLOOKUP(Table_Main[[#This Row],[Đơn bán]],Table_DonBan[],COUNTA(Table_DonBan[[#Headers],[Mã đơn bán]:[Khuyễn mãi]]),0)*Table_Main[[#This Row],[Giá trị bán trước VAT]]/
SUM(_xlfn._xlws.FILTER(Table_Main[Giá trị bán trước VAT],
(Table_Main[Đơn bán]=Table_Main[[#This Row],[Đơn bán]])
))</f>
        <v>0</v>
      </c>
      <c r="CK155" s="7">
        <f>Table_Main[[#This Row],[Giá trị bán trước VAT]]-Table_Main[[#This Row],[Phân bổ khuyến mãi đơn]]</f>
        <v>37525000</v>
      </c>
      <c r="CL155"/>
      <c r="CM155"/>
    </row>
    <row r="156" spans="33:91" ht="16.5" x14ac:dyDescent="0.3">
      <c r="AG156"/>
      <c r="AH156"/>
      <c r="AI156"/>
      <c r="BT156" s="49" t="s">
        <v>59</v>
      </c>
      <c r="BU156" s="50" t="s">
        <v>124</v>
      </c>
      <c r="BV156" s="6">
        <f xml:space="preserve">
IFERROR(VLOOKUP(Table_Main[[#This Row],[Đơn bán]],Table_DonBan[],COUNTA(Table_DonBan[[#Headers],[Mã đơn bán]:[Ngày lập]]),0),0)</f>
        <v>45214</v>
      </c>
      <c r="BW156" s="51">
        <f>IFERROR(MONTH(Table_Main[[#This Row],[Ngày lên đơn]]),0)</f>
        <v>10</v>
      </c>
      <c r="BX156" s="51" t="str">
        <f>INDEX(Table_SKU[],
MATCH(Table_Main[[#This Row],[Mã SKU]],Table_SKU[Mã Sản phẩm],0),1)</f>
        <v>Nhóm 1</v>
      </c>
      <c r="BY156" s="52" t="str">
        <f xml:space="preserve">
IFERROR(VLOOKUP(Table_Main[[#This Row],[Đơn bán]],Table_DonBan[],COUNTA(Table_DonBan[[#Headers],[Mã đơn bán]:[Mã Khách]]),0),0)</f>
        <v>KH01</v>
      </c>
      <c r="BZ156" s="52" t="str">
        <f>VLOOKUP(Table_Main[[#This Row],[Khách hàng]],Table_KhachHang[],COUNTA(Table_KhachHang[[#Headers],[Mã khách]:[Phân khúc]]),0)</f>
        <v>B2B</v>
      </c>
      <c r="CA156" s="25" t="str">
        <f xml:space="preserve">
IFERROR(VLOOKUP(Table_Main[[#This Row],[Đơn bán]],Table_DonBan[],COUNTA(Table_DonBan[[#Headers],[Mã đơn bán]:[Mã NV]]),0),0)</f>
        <v>NV03</v>
      </c>
      <c r="CB156" s="7" t="str">
        <f xml:space="preserve">
IFERROR(VLOOKUP(Table_Main[[#This Row],[Đơn bán]],Table_DonBan[],COUNTA(Table_DonBan[[#Headers],[Mã đơn bán]:[Kênh]]),0),0)</f>
        <v>TK</v>
      </c>
      <c r="CC156" s="7" t="str">
        <f>VLOOKUP(Table_Main[[#This Row],[Kênh]],Table_Kenh[],COUNTA(Table_Kenh[[#Headers],[Kênh]:[Nhóm Kênh]]),0)</f>
        <v>Sàn TMĐT</v>
      </c>
      <c r="CD156" s="53">
        <v>147</v>
      </c>
      <c r="CE156" s="7" t="str">
        <f>IFERROR(VLOOKUP(Table_Main[[#This Row],[Mã SKU]],Table_SKU[[Mã Sản phẩm]:[Giá bán]],COUNTA(Table_SKU[[#Headers],[Mã Sản phẩm]:[Đơn vị]]),0),0)</f>
        <v>Bộ</v>
      </c>
      <c r="CF156" s="7">
        <f>IFERROR(VLOOKUP(Table_Main[[#This Row],[Mã SKU]],Table_SKU[[Mã Sản phẩm]:[Giá bán]],COUNTA(Table_SKU[[#Headers],[Mã Sản phẩm]:[Giá bán]]),0),0)</f>
        <v>200000</v>
      </c>
      <c r="CG156" s="7">
        <f>Table_Main[[#This Row],[Giá bán]]*Table_Main[[#This Row],[Số lượng]]</f>
        <v>29400000</v>
      </c>
      <c r="CH156" s="60">
        <v>1470000</v>
      </c>
      <c r="CI156" s="7">
        <f>+Table_Main[[#This Row],[Thành tiền niêm yết]]-Table_Main[[#This Row],[Khuyễn mãi]]</f>
        <v>27930000</v>
      </c>
      <c r="CJ156" s="7" cm="1">
        <f t="array" ref="CJ156">VLOOKUP(Table_Main[[#This Row],[Đơn bán]],Table_DonBan[],COUNTA(Table_DonBan[[#Headers],[Mã đơn bán]:[Khuyễn mãi]]),0)*Table_Main[[#This Row],[Giá trị bán trước VAT]]/
SUM(_xlfn._xlws.FILTER(Table_Main[Giá trị bán trước VAT],
(Table_Main[Đơn bán]=Table_Main[[#This Row],[Đơn bán]])
))</f>
        <v>0</v>
      </c>
      <c r="CK156" s="7">
        <f>Table_Main[[#This Row],[Giá trị bán trước VAT]]-Table_Main[[#This Row],[Phân bổ khuyến mãi đơn]]</f>
        <v>27930000</v>
      </c>
      <c r="CL156"/>
      <c r="CM156"/>
    </row>
    <row r="157" spans="33:91" ht="16.5" x14ac:dyDescent="0.3">
      <c r="AG157"/>
      <c r="AH157"/>
      <c r="AI157"/>
      <c r="BT157" s="49" t="s">
        <v>60</v>
      </c>
      <c r="BU157" s="50" t="s">
        <v>124</v>
      </c>
      <c r="BV157" s="6">
        <f xml:space="preserve">
IFERROR(VLOOKUP(Table_Main[[#This Row],[Đơn bán]],Table_DonBan[],COUNTA(Table_DonBan[[#Headers],[Mã đơn bán]:[Ngày lập]]),0),0)</f>
        <v>45214</v>
      </c>
      <c r="BW157" s="51">
        <f>IFERROR(MONTH(Table_Main[[#This Row],[Ngày lên đơn]]),0)</f>
        <v>10</v>
      </c>
      <c r="BX157" s="51" t="str">
        <f>INDEX(Table_SKU[],
MATCH(Table_Main[[#This Row],[Mã SKU]],Table_SKU[Mã Sản phẩm],0),1)</f>
        <v>Nhóm 2</v>
      </c>
      <c r="BY157" s="52" t="str">
        <f xml:space="preserve">
IFERROR(VLOOKUP(Table_Main[[#This Row],[Đơn bán]],Table_DonBan[],COUNTA(Table_DonBan[[#Headers],[Mã đơn bán]:[Mã Khách]]),0),0)</f>
        <v>KH01</v>
      </c>
      <c r="BZ157" s="52" t="str">
        <f>VLOOKUP(Table_Main[[#This Row],[Khách hàng]],Table_KhachHang[],COUNTA(Table_KhachHang[[#Headers],[Mã khách]:[Phân khúc]]),0)</f>
        <v>B2B</v>
      </c>
      <c r="CA157" s="25" t="str">
        <f xml:space="preserve">
IFERROR(VLOOKUP(Table_Main[[#This Row],[Đơn bán]],Table_DonBan[],COUNTA(Table_DonBan[[#Headers],[Mã đơn bán]:[Mã NV]]),0),0)</f>
        <v>NV03</v>
      </c>
      <c r="CB157" s="7" t="str">
        <f xml:space="preserve">
IFERROR(VLOOKUP(Table_Main[[#This Row],[Đơn bán]],Table_DonBan[],COUNTA(Table_DonBan[[#Headers],[Mã đơn bán]:[Kênh]]),0),0)</f>
        <v>TK</v>
      </c>
      <c r="CC157" s="7" t="str">
        <f>VLOOKUP(Table_Main[[#This Row],[Kênh]],Table_Kenh[],COUNTA(Table_Kenh[[#Headers],[Kênh]:[Nhóm Kênh]]),0)</f>
        <v>Sàn TMĐT</v>
      </c>
      <c r="CD157" s="53">
        <v>107</v>
      </c>
      <c r="CE157" s="7" t="str">
        <f>IFERROR(VLOOKUP(Table_Main[[#This Row],[Mã SKU]],Table_SKU[[Mã Sản phẩm]:[Giá bán]],COUNTA(Table_SKU[[#Headers],[Mã Sản phẩm]:[Đơn vị]]),0),0)</f>
        <v>Bộ</v>
      </c>
      <c r="CF157" s="7">
        <f>IFERROR(VLOOKUP(Table_Main[[#This Row],[Mã SKU]],Table_SKU[[Mã Sản phẩm]:[Giá bán]],COUNTA(Table_SKU[[#Headers],[Mã Sản phẩm]:[Giá bán]]),0),0)</f>
        <v>300000</v>
      </c>
      <c r="CG157" s="7">
        <f>Table_Main[[#This Row],[Giá bán]]*Table_Main[[#This Row],[Số lượng]]</f>
        <v>32100000</v>
      </c>
      <c r="CH157" s="60">
        <v>1605000</v>
      </c>
      <c r="CI157" s="7">
        <f>+Table_Main[[#This Row],[Thành tiền niêm yết]]-Table_Main[[#This Row],[Khuyễn mãi]]</f>
        <v>30495000</v>
      </c>
      <c r="CJ157" s="7" cm="1">
        <f t="array" ref="CJ157">VLOOKUP(Table_Main[[#This Row],[Đơn bán]],Table_DonBan[],COUNTA(Table_DonBan[[#Headers],[Mã đơn bán]:[Khuyễn mãi]]),0)*Table_Main[[#This Row],[Giá trị bán trước VAT]]/
SUM(_xlfn._xlws.FILTER(Table_Main[Giá trị bán trước VAT],
(Table_Main[Đơn bán]=Table_Main[[#This Row],[Đơn bán]])
))</f>
        <v>0</v>
      </c>
      <c r="CK157" s="7">
        <f>Table_Main[[#This Row],[Giá trị bán trước VAT]]-Table_Main[[#This Row],[Phân bổ khuyến mãi đơn]]</f>
        <v>30495000</v>
      </c>
      <c r="CL157"/>
      <c r="CM157"/>
    </row>
    <row r="158" spans="33:91" ht="16.5" x14ac:dyDescent="0.3">
      <c r="AG158"/>
      <c r="AH158"/>
      <c r="AI158"/>
      <c r="BT158" s="49" t="s">
        <v>61</v>
      </c>
      <c r="BU158" s="50" t="s">
        <v>124</v>
      </c>
      <c r="BV158" s="6">
        <f xml:space="preserve">
IFERROR(VLOOKUP(Table_Main[[#This Row],[Đơn bán]],Table_DonBan[],COUNTA(Table_DonBan[[#Headers],[Mã đơn bán]:[Ngày lập]]),0),0)</f>
        <v>45214</v>
      </c>
      <c r="BW158" s="51">
        <f>IFERROR(MONTH(Table_Main[[#This Row],[Ngày lên đơn]]),0)</f>
        <v>10</v>
      </c>
      <c r="BX158" s="51" t="str">
        <f>INDEX(Table_SKU[],
MATCH(Table_Main[[#This Row],[Mã SKU]],Table_SKU[Mã Sản phẩm],0),1)</f>
        <v>Nhóm 3</v>
      </c>
      <c r="BY158" s="52" t="str">
        <f xml:space="preserve">
IFERROR(VLOOKUP(Table_Main[[#This Row],[Đơn bán]],Table_DonBan[],COUNTA(Table_DonBan[[#Headers],[Mã đơn bán]:[Mã Khách]]),0),0)</f>
        <v>KH01</v>
      </c>
      <c r="BZ158" s="52" t="str">
        <f>VLOOKUP(Table_Main[[#This Row],[Khách hàng]],Table_KhachHang[],COUNTA(Table_KhachHang[[#Headers],[Mã khách]:[Phân khúc]]),0)</f>
        <v>B2B</v>
      </c>
      <c r="CA158" s="25" t="str">
        <f xml:space="preserve">
IFERROR(VLOOKUP(Table_Main[[#This Row],[Đơn bán]],Table_DonBan[],COUNTA(Table_DonBan[[#Headers],[Mã đơn bán]:[Mã NV]]),0),0)</f>
        <v>NV03</v>
      </c>
      <c r="CB158" s="7" t="str">
        <f xml:space="preserve">
IFERROR(VLOOKUP(Table_Main[[#This Row],[Đơn bán]],Table_DonBan[],COUNTA(Table_DonBan[[#Headers],[Mã đơn bán]:[Kênh]]),0),0)</f>
        <v>TK</v>
      </c>
      <c r="CC158" s="7" t="str">
        <f>VLOOKUP(Table_Main[[#This Row],[Kênh]],Table_Kenh[],COUNTA(Table_Kenh[[#Headers],[Kênh]:[Nhóm Kênh]]),0)</f>
        <v>Sàn TMĐT</v>
      </c>
      <c r="CD158" s="53">
        <v>77</v>
      </c>
      <c r="CE158" s="7" t="str">
        <f>IFERROR(VLOOKUP(Table_Main[[#This Row],[Mã SKU]],Table_SKU[[Mã Sản phẩm]:[Giá bán]],COUNTA(Table_SKU[[#Headers],[Mã Sản phẩm]:[Đơn vị]]),0),0)</f>
        <v>Bộ</v>
      </c>
      <c r="CF158" s="7">
        <f>IFERROR(VLOOKUP(Table_Main[[#This Row],[Mã SKU]],Table_SKU[[Mã Sản phẩm]:[Giá bán]],COUNTA(Table_SKU[[#Headers],[Mã Sản phẩm]:[Giá bán]]),0),0)</f>
        <v>500000</v>
      </c>
      <c r="CG158" s="7">
        <f>Table_Main[[#This Row],[Giá bán]]*Table_Main[[#This Row],[Số lượng]]</f>
        <v>38500000</v>
      </c>
      <c r="CH158" s="60">
        <v>1925000</v>
      </c>
      <c r="CI158" s="7">
        <f>+Table_Main[[#This Row],[Thành tiền niêm yết]]-Table_Main[[#This Row],[Khuyễn mãi]]</f>
        <v>36575000</v>
      </c>
      <c r="CJ158" s="7" cm="1">
        <f t="array" ref="CJ158">VLOOKUP(Table_Main[[#This Row],[Đơn bán]],Table_DonBan[],COUNTA(Table_DonBan[[#Headers],[Mã đơn bán]:[Khuyễn mãi]]),0)*Table_Main[[#This Row],[Giá trị bán trước VAT]]/
SUM(_xlfn._xlws.FILTER(Table_Main[Giá trị bán trước VAT],
(Table_Main[Đơn bán]=Table_Main[[#This Row],[Đơn bán]])
))</f>
        <v>0</v>
      </c>
      <c r="CK158" s="7">
        <f>Table_Main[[#This Row],[Giá trị bán trước VAT]]-Table_Main[[#This Row],[Phân bổ khuyến mãi đơn]]</f>
        <v>36575000</v>
      </c>
      <c r="CL158"/>
      <c r="CM158"/>
    </row>
    <row r="159" spans="33:91" ht="16.5" x14ac:dyDescent="0.3">
      <c r="AG159"/>
      <c r="AH159"/>
      <c r="AI159"/>
      <c r="BT159" s="49" t="s">
        <v>59</v>
      </c>
      <c r="BU159" s="50" t="s">
        <v>123</v>
      </c>
      <c r="BV159" s="6">
        <f xml:space="preserve">
IFERROR(VLOOKUP(Table_Main[[#This Row],[Đơn bán]],Table_DonBan[],COUNTA(Table_DonBan[[#Headers],[Mã đơn bán]:[Ngày lập]]),0),0)</f>
        <v>45204</v>
      </c>
      <c r="BW159" s="51">
        <f>IFERROR(MONTH(Table_Main[[#This Row],[Ngày lên đơn]]),0)</f>
        <v>10</v>
      </c>
      <c r="BX159" s="51" t="str">
        <f>INDEX(Table_SKU[],
MATCH(Table_Main[[#This Row],[Mã SKU]],Table_SKU[Mã Sản phẩm],0),1)</f>
        <v>Nhóm 1</v>
      </c>
      <c r="BY159" s="52" t="str">
        <f xml:space="preserve">
IFERROR(VLOOKUP(Table_Main[[#This Row],[Đơn bán]],Table_DonBan[],COUNTA(Table_DonBan[[#Headers],[Mã đơn bán]:[Mã Khách]]),0),0)</f>
        <v>KH01</v>
      </c>
      <c r="BZ159" s="52" t="str">
        <f>VLOOKUP(Table_Main[[#This Row],[Khách hàng]],Table_KhachHang[],COUNTA(Table_KhachHang[[#Headers],[Mã khách]:[Phân khúc]]),0)</f>
        <v>B2B</v>
      </c>
      <c r="CA159" s="25" t="str">
        <f xml:space="preserve">
IFERROR(VLOOKUP(Table_Main[[#This Row],[Đơn bán]],Table_DonBan[],COUNTA(Table_DonBan[[#Headers],[Mã đơn bán]:[Mã NV]]),0),0)</f>
        <v>NV02</v>
      </c>
      <c r="CB159" s="7" t="str">
        <f xml:space="preserve">
IFERROR(VLOOKUP(Table_Main[[#This Row],[Đơn bán]],Table_DonBan[],COUNTA(Table_DonBan[[#Headers],[Mã đơn bán]:[Kênh]]),0),0)</f>
        <v>ST</v>
      </c>
      <c r="CC159" s="7" t="str">
        <f>VLOOKUP(Table_Main[[#This Row],[Kênh]],Table_Kenh[],COUNTA(Table_Kenh[[#Headers],[Kênh]:[Nhóm Kênh]]),0)</f>
        <v>Offline</v>
      </c>
      <c r="CD159" s="53">
        <v>143</v>
      </c>
      <c r="CE159" s="7" t="str">
        <f>IFERROR(VLOOKUP(Table_Main[[#This Row],[Mã SKU]],Table_SKU[[Mã Sản phẩm]:[Giá bán]],COUNTA(Table_SKU[[#Headers],[Mã Sản phẩm]:[Đơn vị]]),0),0)</f>
        <v>Bộ</v>
      </c>
      <c r="CF159" s="7">
        <f>IFERROR(VLOOKUP(Table_Main[[#This Row],[Mã SKU]],Table_SKU[[Mã Sản phẩm]:[Giá bán]],COUNTA(Table_SKU[[#Headers],[Mã Sản phẩm]:[Giá bán]]),0),0)</f>
        <v>200000</v>
      </c>
      <c r="CG159" s="7">
        <f>Table_Main[[#This Row],[Giá bán]]*Table_Main[[#This Row],[Số lượng]]</f>
        <v>28600000</v>
      </c>
      <c r="CH159" s="60">
        <v>1430000</v>
      </c>
      <c r="CI159" s="7">
        <f>+Table_Main[[#This Row],[Thành tiền niêm yết]]-Table_Main[[#This Row],[Khuyễn mãi]]</f>
        <v>27170000</v>
      </c>
      <c r="CJ159" s="7" cm="1">
        <f t="array" ref="CJ159">VLOOKUP(Table_Main[[#This Row],[Đơn bán]],Table_DonBan[],COUNTA(Table_DonBan[[#Headers],[Mã đơn bán]:[Khuyễn mãi]]),0)*Table_Main[[#This Row],[Giá trị bán trước VAT]]/
SUM(_xlfn._xlws.FILTER(Table_Main[Giá trị bán trước VAT],
(Table_Main[Đơn bán]=Table_Main[[#This Row],[Đơn bán]])
))</f>
        <v>0</v>
      </c>
      <c r="CK159" s="7">
        <f>Table_Main[[#This Row],[Giá trị bán trước VAT]]-Table_Main[[#This Row],[Phân bổ khuyến mãi đơn]]</f>
        <v>27170000</v>
      </c>
      <c r="CL159"/>
      <c r="CM159"/>
    </row>
    <row r="160" spans="33:91" ht="16.5" x14ac:dyDescent="0.3">
      <c r="AG160"/>
      <c r="AH160"/>
      <c r="AI160"/>
      <c r="BT160" s="49" t="s">
        <v>60</v>
      </c>
      <c r="BU160" s="50" t="s">
        <v>123</v>
      </c>
      <c r="BV160" s="6">
        <f xml:space="preserve">
IFERROR(VLOOKUP(Table_Main[[#This Row],[Đơn bán]],Table_DonBan[],COUNTA(Table_DonBan[[#Headers],[Mã đơn bán]:[Ngày lập]]),0),0)</f>
        <v>45204</v>
      </c>
      <c r="BW160" s="51">
        <f>IFERROR(MONTH(Table_Main[[#This Row],[Ngày lên đơn]]),0)</f>
        <v>10</v>
      </c>
      <c r="BX160" s="51" t="str">
        <f>INDEX(Table_SKU[],
MATCH(Table_Main[[#This Row],[Mã SKU]],Table_SKU[Mã Sản phẩm],0),1)</f>
        <v>Nhóm 2</v>
      </c>
      <c r="BY160" s="52" t="str">
        <f xml:space="preserve">
IFERROR(VLOOKUP(Table_Main[[#This Row],[Đơn bán]],Table_DonBan[],COUNTA(Table_DonBan[[#Headers],[Mã đơn bán]:[Mã Khách]]),0),0)</f>
        <v>KH01</v>
      </c>
      <c r="BZ160" s="52" t="str">
        <f>VLOOKUP(Table_Main[[#This Row],[Khách hàng]],Table_KhachHang[],COUNTA(Table_KhachHang[[#Headers],[Mã khách]:[Phân khúc]]),0)</f>
        <v>B2B</v>
      </c>
      <c r="CA160" s="25" t="str">
        <f xml:space="preserve">
IFERROR(VLOOKUP(Table_Main[[#This Row],[Đơn bán]],Table_DonBan[],COUNTA(Table_DonBan[[#Headers],[Mã đơn bán]:[Mã NV]]),0),0)</f>
        <v>NV02</v>
      </c>
      <c r="CB160" s="7" t="str">
        <f xml:space="preserve">
IFERROR(VLOOKUP(Table_Main[[#This Row],[Đơn bán]],Table_DonBan[],COUNTA(Table_DonBan[[#Headers],[Mã đơn bán]:[Kênh]]),0),0)</f>
        <v>ST</v>
      </c>
      <c r="CC160" s="7" t="str">
        <f>VLOOKUP(Table_Main[[#This Row],[Kênh]],Table_Kenh[],COUNTA(Table_Kenh[[#Headers],[Kênh]:[Nhóm Kênh]]),0)</f>
        <v>Offline</v>
      </c>
      <c r="CD160" s="53">
        <v>106</v>
      </c>
      <c r="CE160" s="7" t="str">
        <f>IFERROR(VLOOKUP(Table_Main[[#This Row],[Mã SKU]],Table_SKU[[Mã Sản phẩm]:[Giá bán]],COUNTA(Table_SKU[[#Headers],[Mã Sản phẩm]:[Đơn vị]]),0),0)</f>
        <v>Bộ</v>
      </c>
      <c r="CF160" s="7">
        <f>IFERROR(VLOOKUP(Table_Main[[#This Row],[Mã SKU]],Table_SKU[[Mã Sản phẩm]:[Giá bán]],COUNTA(Table_SKU[[#Headers],[Mã Sản phẩm]:[Giá bán]]),0),0)</f>
        <v>300000</v>
      </c>
      <c r="CG160" s="7">
        <f>Table_Main[[#This Row],[Giá bán]]*Table_Main[[#This Row],[Số lượng]]</f>
        <v>31800000</v>
      </c>
      <c r="CH160" s="60">
        <v>1590000</v>
      </c>
      <c r="CI160" s="7">
        <f>+Table_Main[[#This Row],[Thành tiền niêm yết]]-Table_Main[[#This Row],[Khuyễn mãi]]</f>
        <v>30210000</v>
      </c>
      <c r="CJ160" s="7" cm="1">
        <f t="array" ref="CJ160">VLOOKUP(Table_Main[[#This Row],[Đơn bán]],Table_DonBan[],COUNTA(Table_DonBan[[#Headers],[Mã đơn bán]:[Khuyễn mãi]]),0)*Table_Main[[#This Row],[Giá trị bán trước VAT]]/
SUM(_xlfn._xlws.FILTER(Table_Main[Giá trị bán trước VAT],
(Table_Main[Đơn bán]=Table_Main[[#This Row],[Đơn bán]])
))</f>
        <v>0</v>
      </c>
      <c r="CK160" s="7">
        <f>Table_Main[[#This Row],[Giá trị bán trước VAT]]-Table_Main[[#This Row],[Phân bổ khuyến mãi đơn]]</f>
        <v>30210000</v>
      </c>
      <c r="CL160"/>
      <c r="CM160"/>
    </row>
    <row r="161" spans="33:91" ht="16.5" x14ac:dyDescent="0.3">
      <c r="AG161"/>
      <c r="AH161"/>
      <c r="AI161"/>
      <c r="BT161" s="49" t="s">
        <v>61</v>
      </c>
      <c r="BU161" s="50" t="s">
        <v>123</v>
      </c>
      <c r="BV161" s="6">
        <f xml:space="preserve">
IFERROR(VLOOKUP(Table_Main[[#This Row],[Đơn bán]],Table_DonBan[],COUNTA(Table_DonBan[[#Headers],[Mã đơn bán]:[Ngày lập]]),0),0)</f>
        <v>45204</v>
      </c>
      <c r="BW161" s="51">
        <f>IFERROR(MONTH(Table_Main[[#This Row],[Ngày lên đơn]]),0)</f>
        <v>10</v>
      </c>
      <c r="BX161" s="51" t="str">
        <f>INDEX(Table_SKU[],
MATCH(Table_Main[[#This Row],[Mã SKU]],Table_SKU[Mã Sản phẩm],0),1)</f>
        <v>Nhóm 3</v>
      </c>
      <c r="BY161" s="52" t="str">
        <f xml:space="preserve">
IFERROR(VLOOKUP(Table_Main[[#This Row],[Đơn bán]],Table_DonBan[],COUNTA(Table_DonBan[[#Headers],[Mã đơn bán]:[Mã Khách]]),0),0)</f>
        <v>KH01</v>
      </c>
      <c r="BZ161" s="52" t="str">
        <f>VLOOKUP(Table_Main[[#This Row],[Khách hàng]],Table_KhachHang[],COUNTA(Table_KhachHang[[#Headers],[Mã khách]:[Phân khúc]]),0)</f>
        <v>B2B</v>
      </c>
      <c r="CA161" s="25" t="str">
        <f xml:space="preserve">
IFERROR(VLOOKUP(Table_Main[[#This Row],[Đơn bán]],Table_DonBan[],COUNTA(Table_DonBan[[#Headers],[Mã đơn bán]:[Mã NV]]),0),0)</f>
        <v>NV02</v>
      </c>
      <c r="CB161" s="7" t="str">
        <f xml:space="preserve">
IFERROR(VLOOKUP(Table_Main[[#This Row],[Đơn bán]],Table_DonBan[],COUNTA(Table_DonBan[[#Headers],[Mã đơn bán]:[Kênh]]),0),0)</f>
        <v>ST</v>
      </c>
      <c r="CC161" s="7" t="str">
        <f>VLOOKUP(Table_Main[[#This Row],[Kênh]],Table_Kenh[],COUNTA(Table_Kenh[[#Headers],[Kênh]:[Nhóm Kênh]]),0)</f>
        <v>Offline</v>
      </c>
      <c r="CD161" s="53">
        <v>75</v>
      </c>
      <c r="CE161" s="7" t="str">
        <f>IFERROR(VLOOKUP(Table_Main[[#This Row],[Mã SKU]],Table_SKU[[Mã Sản phẩm]:[Giá bán]],COUNTA(Table_SKU[[#Headers],[Mã Sản phẩm]:[Đơn vị]]),0),0)</f>
        <v>Bộ</v>
      </c>
      <c r="CF161" s="7">
        <f>IFERROR(VLOOKUP(Table_Main[[#This Row],[Mã SKU]],Table_SKU[[Mã Sản phẩm]:[Giá bán]],COUNTA(Table_SKU[[#Headers],[Mã Sản phẩm]:[Giá bán]]),0),0)</f>
        <v>500000</v>
      </c>
      <c r="CG161" s="7">
        <f>Table_Main[[#This Row],[Giá bán]]*Table_Main[[#This Row],[Số lượng]]</f>
        <v>37500000</v>
      </c>
      <c r="CH161" s="60">
        <v>1875000</v>
      </c>
      <c r="CI161" s="7">
        <f>+Table_Main[[#This Row],[Thành tiền niêm yết]]-Table_Main[[#This Row],[Khuyễn mãi]]</f>
        <v>35625000</v>
      </c>
      <c r="CJ161" s="7" cm="1">
        <f t="array" ref="CJ161">VLOOKUP(Table_Main[[#This Row],[Đơn bán]],Table_DonBan[],COUNTA(Table_DonBan[[#Headers],[Mã đơn bán]:[Khuyễn mãi]]),0)*Table_Main[[#This Row],[Giá trị bán trước VAT]]/
SUM(_xlfn._xlws.FILTER(Table_Main[Giá trị bán trước VAT],
(Table_Main[Đơn bán]=Table_Main[[#This Row],[Đơn bán]])
))</f>
        <v>0</v>
      </c>
      <c r="CK161" s="7">
        <f>Table_Main[[#This Row],[Giá trị bán trước VAT]]-Table_Main[[#This Row],[Phân bổ khuyến mãi đơn]]</f>
        <v>35625000</v>
      </c>
      <c r="CL161"/>
      <c r="CM161"/>
    </row>
    <row r="162" spans="33:91" ht="16.5" x14ac:dyDescent="0.3">
      <c r="AG162"/>
      <c r="AH162"/>
      <c r="AI162"/>
      <c r="BT162" s="54" t="s">
        <v>60</v>
      </c>
      <c r="BU162" s="55" t="s">
        <v>122</v>
      </c>
      <c r="BV162" s="56">
        <f xml:space="preserve">
IFERROR(VLOOKUP(Table_Main[[#This Row],[Đơn bán]],Table_DonBan[],COUNTA(Table_DonBan[[#Headers],[Mã đơn bán]:[Ngày lập]]),0),0)</f>
        <v>45194</v>
      </c>
      <c r="BW162" s="51">
        <f>IFERROR(MONTH(Table_Main[[#This Row],[Ngày lên đơn]]),0)</f>
        <v>9</v>
      </c>
      <c r="BX162" s="51" t="str">
        <f>INDEX(Table_SKU[],
MATCH(Table_Main[[#This Row],[Mã SKU]],Table_SKU[Mã Sản phẩm],0),1)</f>
        <v>Nhóm 2</v>
      </c>
      <c r="BY162" s="52" t="str">
        <f xml:space="preserve">
IFERROR(VLOOKUP(Table_Main[[#This Row],[Đơn bán]],Table_DonBan[],COUNTA(Table_DonBan[[#Headers],[Mã đơn bán]:[Mã Khách]]),0),0)</f>
        <v>KH05</v>
      </c>
      <c r="BZ162" s="52" t="str">
        <f>VLOOKUP(Table_Main[[#This Row],[Khách hàng]],Table_KhachHang[],COUNTA(Table_KhachHang[[#Headers],[Mã khách]:[Phân khúc]]),0)</f>
        <v>B2C</v>
      </c>
      <c r="CA162" s="57" t="str">
        <f xml:space="preserve">
IFERROR(VLOOKUP(Table_Main[[#This Row],[Đơn bán]],Table_DonBan[],COUNTA(Table_DonBan[[#Headers],[Mã đơn bán]:[Mã NV]]),0),0)</f>
        <v>NV02</v>
      </c>
      <c r="CB162" s="58" t="str">
        <f xml:space="preserve">
IFERROR(VLOOKUP(Table_Main[[#This Row],[Đơn bán]],Table_DonBan[],COUNTA(Table_DonBan[[#Headers],[Mã đơn bán]:[Kênh]]),0),0)</f>
        <v>ST</v>
      </c>
      <c r="CC162" s="58" t="str">
        <f>VLOOKUP(Table_Main[[#This Row],[Kênh]],Table_Kenh[],COUNTA(Table_Kenh[[#Headers],[Kênh]:[Nhóm Kênh]]),0)</f>
        <v>Offline</v>
      </c>
      <c r="CD162" s="59">
        <v>104</v>
      </c>
      <c r="CE162" s="58" t="str">
        <f>IFERROR(VLOOKUP(Table_Main[[#This Row],[Mã SKU]],Table_SKU[[Mã Sản phẩm]:[Giá bán]],COUNTA(Table_SKU[[#Headers],[Mã Sản phẩm]:[Đơn vị]]),0),0)</f>
        <v>Bộ</v>
      </c>
      <c r="CF162" s="58">
        <f>IFERROR(VLOOKUP(Table_Main[[#This Row],[Mã SKU]],Table_SKU[[Mã Sản phẩm]:[Giá bán]],COUNTA(Table_SKU[[#Headers],[Mã Sản phẩm]:[Giá bán]]),0),0)</f>
        <v>300000</v>
      </c>
      <c r="CG162" s="58">
        <f>Table_Main[[#This Row],[Giá bán]]*Table_Main[[#This Row],[Số lượng]]</f>
        <v>31200000</v>
      </c>
      <c r="CH162" s="61">
        <v>1560000</v>
      </c>
      <c r="CI162" s="58">
        <f>+Table_Main[[#This Row],[Thành tiền niêm yết]]-Table_Main[[#This Row],[Khuyễn mãi]]</f>
        <v>29640000</v>
      </c>
      <c r="CJ162" s="7" cm="1">
        <f t="array" ref="CJ162">VLOOKUP(Table_Main[[#This Row],[Đơn bán]],Table_DonBan[],COUNTA(Table_DonBan[[#Headers],[Mã đơn bán]:[Khuyễn mãi]]),0)*Table_Main[[#This Row],[Giá trị bán trước VAT]]/
SUM(_xlfn._xlws.FILTER(Table_Main[Giá trị bán trước VAT],
(Table_Main[Đơn bán]=Table_Main[[#This Row],[Đơn bán]])
))</f>
        <v>0</v>
      </c>
      <c r="CK162" s="7">
        <f>Table_Main[[#This Row],[Giá trị bán trước VAT]]-Table_Main[[#This Row],[Phân bổ khuyến mãi đơn]]</f>
        <v>29640000</v>
      </c>
      <c r="CL162"/>
      <c r="CM162"/>
    </row>
    <row r="163" spans="33:91" ht="16.5" x14ac:dyDescent="0.3">
      <c r="AG163"/>
      <c r="AH163"/>
      <c r="AI163"/>
      <c r="BT163" s="49" t="s">
        <v>61</v>
      </c>
      <c r="BU163" s="50" t="s">
        <v>122</v>
      </c>
      <c r="BV163" s="6">
        <f xml:space="preserve">
IFERROR(VLOOKUP(Table_Main[[#This Row],[Đơn bán]],Table_DonBan[],COUNTA(Table_DonBan[[#Headers],[Mã đơn bán]:[Ngày lập]]),0),0)</f>
        <v>45194</v>
      </c>
      <c r="BW163" s="51">
        <f>IFERROR(MONTH(Table_Main[[#This Row],[Ngày lên đơn]]),0)</f>
        <v>9</v>
      </c>
      <c r="BX163" s="51" t="str">
        <f>INDEX(Table_SKU[],
MATCH(Table_Main[[#This Row],[Mã SKU]],Table_SKU[Mã Sản phẩm],0),1)</f>
        <v>Nhóm 3</v>
      </c>
      <c r="BY163" s="52" t="str">
        <f xml:space="preserve">
IFERROR(VLOOKUP(Table_Main[[#This Row],[Đơn bán]],Table_DonBan[],COUNTA(Table_DonBan[[#Headers],[Mã đơn bán]:[Mã Khách]]),0),0)</f>
        <v>KH05</v>
      </c>
      <c r="BZ163" s="52" t="str">
        <f>VLOOKUP(Table_Main[[#This Row],[Khách hàng]],Table_KhachHang[],COUNTA(Table_KhachHang[[#Headers],[Mã khách]:[Phân khúc]]),0)</f>
        <v>B2C</v>
      </c>
      <c r="CA163" s="25" t="str">
        <f xml:space="preserve">
IFERROR(VLOOKUP(Table_Main[[#This Row],[Đơn bán]],Table_DonBan[],COUNTA(Table_DonBan[[#Headers],[Mã đơn bán]:[Mã NV]]),0),0)</f>
        <v>NV02</v>
      </c>
      <c r="CB163" s="7" t="str">
        <f xml:space="preserve">
IFERROR(VLOOKUP(Table_Main[[#This Row],[Đơn bán]],Table_DonBan[],COUNTA(Table_DonBan[[#Headers],[Mã đơn bán]:[Kênh]]),0),0)</f>
        <v>ST</v>
      </c>
      <c r="CC163" s="7" t="str">
        <f>VLOOKUP(Table_Main[[#This Row],[Kênh]],Table_Kenh[],COUNTA(Table_Kenh[[#Headers],[Kênh]:[Nhóm Kênh]]),0)</f>
        <v>Offline</v>
      </c>
      <c r="CD163" s="53">
        <v>72</v>
      </c>
      <c r="CE163" s="7" t="str">
        <f>IFERROR(VLOOKUP(Table_Main[[#This Row],[Mã SKU]],Table_SKU[[Mã Sản phẩm]:[Giá bán]],COUNTA(Table_SKU[[#Headers],[Mã Sản phẩm]:[Đơn vị]]),0),0)</f>
        <v>Bộ</v>
      </c>
      <c r="CF163" s="7">
        <f>IFERROR(VLOOKUP(Table_Main[[#This Row],[Mã SKU]],Table_SKU[[Mã Sản phẩm]:[Giá bán]],COUNTA(Table_SKU[[#Headers],[Mã Sản phẩm]:[Giá bán]]),0),0)</f>
        <v>500000</v>
      </c>
      <c r="CG163" s="7">
        <f>Table_Main[[#This Row],[Giá bán]]*Table_Main[[#This Row],[Số lượng]]</f>
        <v>36000000</v>
      </c>
      <c r="CH163" s="60">
        <v>1800000</v>
      </c>
      <c r="CI163" s="7">
        <f>+Table_Main[[#This Row],[Thành tiền niêm yết]]-Table_Main[[#This Row],[Khuyễn mãi]]</f>
        <v>34200000</v>
      </c>
      <c r="CJ163" s="7" cm="1">
        <f t="array" ref="CJ163">VLOOKUP(Table_Main[[#This Row],[Đơn bán]],Table_DonBan[],COUNTA(Table_DonBan[[#Headers],[Mã đơn bán]:[Khuyễn mãi]]),0)*Table_Main[[#This Row],[Giá trị bán trước VAT]]/
SUM(_xlfn._xlws.FILTER(Table_Main[Giá trị bán trước VAT],
(Table_Main[Đơn bán]=Table_Main[[#This Row],[Đơn bán]])
))</f>
        <v>0</v>
      </c>
      <c r="CK163" s="7">
        <f>Table_Main[[#This Row],[Giá trị bán trước VAT]]-Table_Main[[#This Row],[Phân bổ khuyến mãi đơn]]</f>
        <v>34200000</v>
      </c>
      <c r="CL163"/>
      <c r="CM163"/>
    </row>
    <row r="164" spans="33:91" ht="16.5" x14ac:dyDescent="0.3">
      <c r="AG164"/>
      <c r="AH164"/>
      <c r="AI164"/>
      <c r="BT164" s="49" t="s">
        <v>61</v>
      </c>
      <c r="BU164" s="50" t="s">
        <v>122</v>
      </c>
      <c r="BV164" s="6">
        <f xml:space="preserve">
IFERROR(VLOOKUP(Table_Main[[#This Row],[Đơn bán]],Table_DonBan[],COUNTA(Table_DonBan[[#Headers],[Mã đơn bán]:[Ngày lập]]),0),0)</f>
        <v>45194</v>
      </c>
      <c r="BW164" s="51">
        <f>IFERROR(MONTH(Table_Main[[#This Row],[Ngày lên đơn]]),0)</f>
        <v>9</v>
      </c>
      <c r="BX164" s="51" t="str">
        <f>INDEX(Table_SKU[],
MATCH(Table_Main[[#This Row],[Mã SKU]],Table_SKU[Mã Sản phẩm],0),1)</f>
        <v>Nhóm 3</v>
      </c>
      <c r="BY164" s="10" t="str">
        <f xml:space="preserve">
IFERROR(VLOOKUP(Table_Main[[#This Row],[Đơn bán]],Table_DonBan[],COUNTA(Table_DonBan[[#Headers],[Mã đơn bán]:[Mã Khách]]),0),0)</f>
        <v>KH05</v>
      </c>
      <c r="BZ164" s="10" t="str">
        <f>VLOOKUP(Table_Main[[#This Row],[Khách hàng]],Table_KhachHang[],COUNTA(Table_KhachHang[[#Headers],[Mã khách]:[Phân khúc]]),0)</f>
        <v>B2C</v>
      </c>
      <c r="CA164" s="25" t="str">
        <f xml:space="preserve">
IFERROR(VLOOKUP(Table_Main[[#This Row],[Đơn bán]],Table_DonBan[],COUNTA(Table_DonBan[[#Headers],[Mã đơn bán]:[Mã NV]]),0),0)</f>
        <v>NV02</v>
      </c>
      <c r="CB164" s="7" t="str">
        <f xml:space="preserve">
IFERROR(VLOOKUP(Table_Main[[#This Row],[Đơn bán]],Table_DonBan[],COUNTA(Table_DonBan[[#Headers],[Mã đơn bán]:[Kênh]]),0),0)</f>
        <v>ST</v>
      </c>
      <c r="CC164" s="7" t="str">
        <f>VLOOKUP(Table_Main[[#This Row],[Kênh]],Table_Kenh[],COUNTA(Table_Kenh[[#Headers],[Kênh]:[Nhóm Kênh]]),0)</f>
        <v>Offline</v>
      </c>
      <c r="CD164" s="53">
        <v>2</v>
      </c>
      <c r="CE164" s="7" t="str">
        <f>IFERROR(VLOOKUP(Table_Main[[#This Row],[Mã SKU]],Table_SKU[[Mã Sản phẩm]:[Giá bán]],COUNTA(Table_SKU[[#Headers],[Mã Sản phẩm]:[Đơn vị]]),0),0)</f>
        <v>Bộ</v>
      </c>
      <c r="CF164" s="7">
        <f>IFERROR(VLOOKUP(Table_Main[[#This Row],[Mã SKU]],Table_SKU[[Mã Sản phẩm]:[Giá bán]],COUNTA(Table_SKU[[#Headers],[Mã Sản phẩm]:[Giá bán]]),0),0)</f>
        <v>500000</v>
      </c>
      <c r="CG164" s="7">
        <f>Table_Main[[#This Row],[Giá bán]]*Table_Main[[#This Row],[Số lượng]]</f>
        <v>1000000</v>
      </c>
      <c r="CH164" s="60">
        <v>50000</v>
      </c>
      <c r="CI164" s="7">
        <f>+Table_Main[[#This Row],[Thành tiền niêm yết]]-Table_Main[[#This Row],[Khuyễn mãi]]</f>
        <v>950000</v>
      </c>
      <c r="CJ164" s="7" cm="1">
        <f t="array" ref="CJ164">VLOOKUP(Table_Main[[#This Row],[Đơn bán]],Table_DonBan[],COUNTA(Table_DonBan[[#Headers],[Mã đơn bán]:[Khuyễn mãi]]),0)*Table_Main[[#This Row],[Giá trị bán trước VAT]]/
SUM(_xlfn._xlws.FILTER(Table_Main[Giá trị bán trước VAT],
(Table_Main[Đơn bán]=Table_Main[[#This Row],[Đơn bán]])
))</f>
        <v>0</v>
      </c>
      <c r="CK164" s="7">
        <f>Table_Main[[#This Row],[Giá trị bán trước VAT]]-Table_Main[[#This Row],[Phân bổ khuyến mãi đơn]]</f>
        <v>950000</v>
      </c>
      <c r="CL164"/>
      <c r="CM164"/>
    </row>
    <row r="165" spans="33:91" ht="16.5" x14ac:dyDescent="0.3">
      <c r="AG165"/>
      <c r="AH165"/>
      <c r="AI165"/>
      <c r="BT165" s="49" t="s">
        <v>59</v>
      </c>
      <c r="BU165" s="50" t="s">
        <v>121</v>
      </c>
      <c r="BV165" s="6">
        <f xml:space="preserve">
IFERROR(VLOOKUP(Table_Main[[#This Row],[Đơn bán]],Table_DonBan[],COUNTA(Table_DonBan[[#Headers],[Mã đơn bán]:[Ngày lập]]),0),0)</f>
        <v>45184</v>
      </c>
      <c r="BW165" s="51">
        <f>IFERROR(MONTH(Table_Main[[#This Row],[Ngày lên đơn]]),0)</f>
        <v>9</v>
      </c>
      <c r="BX165" s="51" t="str">
        <f>INDEX(Table_SKU[],
MATCH(Table_Main[[#This Row],[Mã SKU]],Table_SKU[Mã Sản phẩm],0),1)</f>
        <v>Nhóm 1</v>
      </c>
      <c r="BY165" s="52" t="str">
        <f xml:space="preserve">
IFERROR(VLOOKUP(Table_Main[[#This Row],[Đơn bán]],Table_DonBan[],COUNTA(Table_DonBan[[#Headers],[Mã đơn bán]:[Mã Khách]]),0),0)</f>
        <v>KH01</v>
      </c>
      <c r="BZ165" s="52" t="str">
        <f>VLOOKUP(Table_Main[[#This Row],[Khách hàng]],Table_KhachHang[],COUNTA(Table_KhachHang[[#Headers],[Mã khách]:[Phân khúc]]),0)</f>
        <v>B2B</v>
      </c>
      <c r="CA165" s="25" t="str">
        <f xml:space="preserve">
IFERROR(VLOOKUP(Table_Main[[#This Row],[Đơn bán]],Table_DonBan[],COUNTA(Table_DonBan[[#Headers],[Mã đơn bán]:[Mã NV]]),0),0)</f>
        <v>NV02</v>
      </c>
      <c r="CB165" s="7" t="str">
        <f xml:space="preserve">
IFERROR(VLOOKUP(Table_Main[[#This Row],[Đơn bán]],Table_DonBan[],COUNTA(Table_DonBan[[#Headers],[Mã đơn bán]:[Kênh]]),0),0)</f>
        <v>FB</v>
      </c>
      <c r="CC165" s="7" t="str">
        <f>VLOOKUP(Table_Main[[#This Row],[Kênh]],Table_Kenh[],COUNTA(Table_Kenh[[#Headers],[Kênh]:[Nhóm Kênh]]),0)</f>
        <v>Mạng xã hội</v>
      </c>
      <c r="CD165" s="53">
        <v>143</v>
      </c>
      <c r="CE165" s="7" t="str">
        <f>IFERROR(VLOOKUP(Table_Main[[#This Row],[Mã SKU]],Table_SKU[[Mã Sản phẩm]:[Giá bán]],COUNTA(Table_SKU[[#Headers],[Mã Sản phẩm]:[Đơn vị]]),0),0)</f>
        <v>Bộ</v>
      </c>
      <c r="CF165" s="7">
        <f>IFERROR(VLOOKUP(Table_Main[[#This Row],[Mã SKU]],Table_SKU[[Mã Sản phẩm]:[Giá bán]],COUNTA(Table_SKU[[#Headers],[Mã Sản phẩm]:[Giá bán]]),0),0)</f>
        <v>200000</v>
      </c>
      <c r="CG165" s="7">
        <f>Table_Main[[#This Row],[Giá bán]]*Table_Main[[#This Row],[Số lượng]]</f>
        <v>28600000</v>
      </c>
      <c r="CH165" s="60">
        <v>1430000</v>
      </c>
      <c r="CI165" s="7">
        <f>+Table_Main[[#This Row],[Thành tiền niêm yết]]-Table_Main[[#This Row],[Khuyễn mãi]]</f>
        <v>27170000</v>
      </c>
      <c r="CJ165" s="7" cm="1">
        <f t="array" ref="CJ165">VLOOKUP(Table_Main[[#This Row],[Đơn bán]],Table_DonBan[],COUNTA(Table_DonBan[[#Headers],[Mã đơn bán]:[Khuyễn mãi]]),0)*Table_Main[[#This Row],[Giá trị bán trước VAT]]/
SUM(_xlfn._xlws.FILTER(Table_Main[Giá trị bán trước VAT],
(Table_Main[Đơn bán]=Table_Main[[#This Row],[Đơn bán]])
))</f>
        <v>0</v>
      </c>
      <c r="CK165" s="7">
        <f>Table_Main[[#This Row],[Giá trị bán trước VAT]]-Table_Main[[#This Row],[Phân bổ khuyến mãi đơn]]</f>
        <v>27170000</v>
      </c>
      <c r="CL165"/>
      <c r="CM165"/>
    </row>
    <row r="166" spans="33:91" ht="16.5" x14ac:dyDescent="0.3">
      <c r="AG166"/>
      <c r="AH166"/>
      <c r="AI166"/>
      <c r="BT166" s="49" t="s">
        <v>60</v>
      </c>
      <c r="BU166" s="50" t="s">
        <v>121</v>
      </c>
      <c r="BV166" s="6">
        <f xml:space="preserve">
IFERROR(VLOOKUP(Table_Main[[#This Row],[Đơn bán]],Table_DonBan[],COUNTA(Table_DonBan[[#Headers],[Mã đơn bán]:[Ngày lập]]),0),0)</f>
        <v>45184</v>
      </c>
      <c r="BW166" s="51">
        <f>IFERROR(MONTH(Table_Main[[#This Row],[Ngày lên đơn]]),0)</f>
        <v>9</v>
      </c>
      <c r="BX166" s="51" t="str">
        <f>INDEX(Table_SKU[],
MATCH(Table_Main[[#This Row],[Mã SKU]],Table_SKU[Mã Sản phẩm],0),1)</f>
        <v>Nhóm 2</v>
      </c>
      <c r="BY166" s="52" t="str">
        <f xml:space="preserve">
IFERROR(VLOOKUP(Table_Main[[#This Row],[Đơn bán]],Table_DonBan[],COUNTA(Table_DonBan[[#Headers],[Mã đơn bán]:[Mã Khách]]),0),0)</f>
        <v>KH01</v>
      </c>
      <c r="BZ166" s="52" t="str">
        <f>VLOOKUP(Table_Main[[#This Row],[Khách hàng]],Table_KhachHang[],COUNTA(Table_KhachHang[[#Headers],[Mã khách]:[Phân khúc]]),0)</f>
        <v>B2B</v>
      </c>
      <c r="CA166" s="25" t="str">
        <f xml:space="preserve">
IFERROR(VLOOKUP(Table_Main[[#This Row],[Đơn bán]],Table_DonBan[],COUNTA(Table_DonBan[[#Headers],[Mã đơn bán]:[Mã NV]]),0),0)</f>
        <v>NV02</v>
      </c>
      <c r="CB166" s="7" t="str">
        <f xml:space="preserve">
IFERROR(VLOOKUP(Table_Main[[#This Row],[Đơn bán]],Table_DonBan[],COUNTA(Table_DonBan[[#Headers],[Mã đơn bán]:[Kênh]]),0),0)</f>
        <v>FB</v>
      </c>
      <c r="CC166" s="7" t="str">
        <f>VLOOKUP(Table_Main[[#This Row],[Kênh]],Table_Kenh[],COUNTA(Table_Kenh[[#Headers],[Kênh]:[Nhóm Kênh]]),0)</f>
        <v>Mạng xã hội</v>
      </c>
      <c r="CD166" s="53">
        <v>106</v>
      </c>
      <c r="CE166" s="7" t="str">
        <f>IFERROR(VLOOKUP(Table_Main[[#This Row],[Mã SKU]],Table_SKU[[Mã Sản phẩm]:[Giá bán]],COUNTA(Table_SKU[[#Headers],[Mã Sản phẩm]:[Đơn vị]]),0),0)</f>
        <v>Bộ</v>
      </c>
      <c r="CF166" s="7">
        <f>IFERROR(VLOOKUP(Table_Main[[#This Row],[Mã SKU]],Table_SKU[[Mã Sản phẩm]:[Giá bán]],COUNTA(Table_SKU[[#Headers],[Mã Sản phẩm]:[Giá bán]]),0),0)</f>
        <v>300000</v>
      </c>
      <c r="CG166" s="7">
        <f>Table_Main[[#This Row],[Giá bán]]*Table_Main[[#This Row],[Số lượng]]</f>
        <v>31800000</v>
      </c>
      <c r="CH166" s="60">
        <v>1590000</v>
      </c>
      <c r="CI166" s="7">
        <f>+Table_Main[[#This Row],[Thành tiền niêm yết]]-Table_Main[[#This Row],[Khuyễn mãi]]</f>
        <v>30210000</v>
      </c>
      <c r="CJ166" s="7" cm="1">
        <f t="array" ref="CJ166">VLOOKUP(Table_Main[[#This Row],[Đơn bán]],Table_DonBan[],COUNTA(Table_DonBan[[#Headers],[Mã đơn bán]:[Khuyễn mãi]]),0)*Table_Main[[#This Row],[Giá trị bán trước VAT]]/
SUM(_xlfn._xlws.FILTER(Table_Main[Giá trị bán trước VAT],
(Table_Main[Đơn bán]=Table_Main[[#This Row],[Đơn bán]])
))</f>
        <v>0</v>
      </c>
      <c r="CK166" s="7">
        <f>Table_Main[[#This Row],[Giá trị bán trước VAT]]-Table_Main[[#This Row],[Phân bổ khuyến mãi đơn]]</f>
        <v>30210000</v>
      </c>
      <c r="CL166"/>
      <c r="CM166"/>
    </row>
    <row r="167" spans="33:91" ht="16.5" x14ac:dyDescent="0.3">
      <c r="AG167"/>
      <c r="AH167"/>
      <c r="AI167"/>
      <c r="BT167" s="49" t="s">
        <v>61</v>
      </c>
      <c r="BU167" s="50" t="s">
        <v>121</v>
      </c>
      <c r="BV167" s="6">
        <f xml:space="preserve">
IFERROR(VLOOKUP(Table_Main[[#This Row],[Đơn bán]],Table_DonBan[],COUNTA(Table_DonBan[[#Headers],[Mã đơn bán]:[Ngày lập]]),0),0)</f>
        <v>45184</v>
      </c>
      <c r="BW167" s="51">
        <f>IFERROR(MONTH(Table_Main[[#This Row],[Ngày lên đơn]]),0)</f>
        <v>9</v>
      </c>
      <c r="BX167" s="51" t="str">
        <f>INDEX(Table_SKU[],
MATCH(Table_Main[[#This Row],[Mã SKU]],Table_SKU[Mã Sản phẩm],0),1)</f>
        <v>Nhóm 3</v>
      </c>
      <c r="BY167" s="52" t="str">
        <f xml:space="preserve">
IFERROR(VLOOKUP(Table_Main[[#This Row],[Đơn bán]],Table_DonBan[],COUNTA(Table_DonBan[[#Headers],[Mã đơn bán]:[Mã Khách]]),0),0)</f>
        <v>KH01</v>
      </c>
      <c r="BZ167" s="52" t="str">
        <f>VLOOKUP(Table_Main[[#This Row],[Khách hàng]],Table_KhachHang[],COUNTA(Table_KhachHang[[#Headers],[Mã khách]:[Phân khúc]]),0)</f>
        <v>B2B</v>
      </c>
      <c r="CA167" s="25" t="str">
        <f xml:space="preserve">
IFERROR(VLOOKUP(Table_Main[[#This Row],[Đơn bán]],Table_DonBan[],COUNTA(Table_DonBan[[#Headers],[Mã đơn bán]:[Mã NV]]),0),0)</f>
        <v>NV02</v>
      </c>
      <c r="CB167" s="7" t="str">
        <f xml:space="preserve">
IFERROR(VLOOKUP(Table_Main[[#This Row],[Đơn bán]],Table_DonBan[],COUNTA(Table_DonBan[[#Headers],[Mã đơn bán]:[Kênh]]),0),0)</f>
        <v>FB</v>
      </c>
      <c r="CC167" s="7" t="str">
        <f>VLOOKUP(Table_Main[[#This Row],[Kênh]],Table_Kenh[],COUNTA(Table_Kenh[[#Headers],[Kênh]:[Nhóm Kênh]]),0)</f>
        <v>Mạng xã hội</v>
      </c>
      <c r="CD167" s="53">
        <v>71</v>
      </c>
      <c r="CE167" s="7" t="str">
        <f>IFERROR(VLOOKUP(Table_Main[[#This Row],[Mã SKU]],Table_SKU[[Mã Sản phẩm]:[Giá bán]],COUNTA(Table_SKU[[#Headers],[Mã Sản phẩm]:[Đơn vị]]),0),0)</f>
        <v>Bộ</v>
      </c>
      <c r="CF167" s="7">
        <f>IFERROR(VLOOKUP(Table_Main[[#This Row],[Mã SKU]],Table_SKU[[Mã Sản phẩm]:[Giá bán]],COUNTA(Table_SKU[[#Headers],[Mã Sản phẩm]:[Giá bán]]),0),0)</f>
        <v>500000</v>
      </c>
      <c r="CG167" s="7">
        <f>Table_Main[[#This Row],[Giá bán]]*Table_Main[[#This Row],[Số lượng]]</f>
        <v>35500000</v>
      </c>
      <c r="CH167" s="60">
        <v>1775000</v>
      </c>
      <c r="CI167" s="7">
        <f>+Table_Main[[#This Row],[Thành tiền niêm yết]]-Table_Main[[#This Row],[Khuyễn mãi]]</f>
        <v>33725000</v>
      </c>
      <c r="CJ167" s="7" cm="1">
        <f t="array" ref="CJ167">VLOOKUP(Table_Main[[#This Row],[Đơn bán]],Table_DonBan[],COUNTA(Table_DonBan[[#Headers],[Mã đơn bán]:[Khuyễn mãi]]),0)*Table_Main[[#This Row],[Giá trị bán trước VAT]]/
SUM(_xlfn._xlws.FILTER(Table_Main[Giá trị bán trước VAT],
(Table_Main[Đơn bán]=Table_Main[[#This Row],[Đơn bán]])
))</f>
        <v>0</v>
      </c>
      <c r="CK167" s="7">
        <f>Table_Main[[#This Row],[Giá trị bán trước VAT]]-Table_Main[[#This Row],[Phân bổ khuyến mãi đơn]]</f>
        <v>33725000</v>
      </c>
      <c r="CL167"/>
      <c r="CM167"/>
    </row>
    <row r="168" spans="33:91" ht="16.5" x14ac:dyDescent="0.3">
      <c r="AG168"/>
      <c r="AH168"/>
      <c r="AI168"/>
      <c r="BT168" s="49" t="s">
        <v>59</v>
      </c>
      <c r="BU168" s="50" t="s">
        <v>120</v>
      </c>
      <c r="BV168" s="6">
        <f xml:space="preserve">
IFERROR(VLOOKUP(Table_Main[[#This Row],[Đơn bán]],Table_DonBan[],COUNTA(Table_DonBan[[#Headers],[Mã đơn bán]:[Ngày lập]]),0),0)</f>
        <v>45174</v>
      </c>
      <c r="BW168" s="51">
        <f>IFERROR(MONTH(Table_Main[[#This Row],[Ngày lên đơn]]),0)</f>
        <v>9</v>
      </c>
      <c r="BX168" s="51" t="str">
        <f>INDEX(Table_SKU[],
MATCH(Table_Main[[#This Row],[Mã SKU]],Table_SKU[Mã Sản phẩm],0),1)</f>
        <v>Nhóm 1</v>
      </c>
      <c r="BY168" s="52" t="str">
        <f xml:space="preserve">
IFERROR(VLOOKUP(Table_Main[[#This Row],[Đơn bán]],Table_DonBan[],COUNTA(Table_DonBan[[#Headers],[Mã đơn bán]:[Mã Khách]]),0),0)</f>
        <v>KH02</v>
      </c>
      <c r="BZ168" s="52" t="str">
        <f>VLOOKUP(Table_Main[[#This Row],[Khách hàng]],Table_KhachHang[],COUNTA(Table_KhachHang[[#Headers],[Mã khách]:[Phân khúc]]),0)</f>
        <v>B2C</v>
      </c>
      <c r="CA168" s="25" t="str">
        <f xml:space="preserve">
IFERROR(VLOOKUP(Table_Main[[#This Row],[Đơn bán]],Table_DonBan[],COUNTA(Table_DonBan[[#Headers],[Mã đơn bán]:[Mã NV]]),0),0)</f>
        <v>NV03</v>
      </c>
      <c r="CB168" s="7" t="str">
        <f xml:space="preserve">
IFERROR(VLOOKUP(Table_Main[[#This Row],[Đơn bán]],Table_DonBan[],COUNTA(Table_DonBan[[#Headers],[Mã đơn bán]:[Kênh]]),0),0)</f>
        <v>SP</v>
      </c>
      <c r="CC168" s="7" t="str">
        <f>VLOOKUP(Table_Main[[#This Row],[Kênh]],Table_Kenh[],COUNTA(Table_Kenh[[#Headers],[Kênh]:[Nhóm Kênh]]),0)</f>
        <v>Sàn TMĐT</v>
      </c>
      <c r="CD168" s="53">
        <v>136</v>
      </c>
      <c r="CE168" s="7" t="str">
        <f>IFERROR(VLOOKUP(Table_Main[[#This Row],[Mã SKU]],Table_SKU[[Mã Sản phẩm]:[Giá bán]],COUNTA(Table_SKU[[#Headers],[Mã Sản phẩm]:[Đơn vị]]),0),0)</f>
        <v>Bộ</v>
      </c>
      <c r="CF168" s="7">
        <f>IFERROR(VLOOKUP(Table_Main[[#This Row],[Mã SKU]],Table_SKU[[Mã Sản phẩm]:[Giá bán]],COUNTA(Table_SKU[[#Headers],[Mã Sản phẩm]:[Giá bán]]),0),0)</f>
        <v>200000</v>
      </c>
      <c r="CG168" s="7">
        <f>Table_Main[[#This Row],[Giá bán]]*Table_Main[[#This Row],[Số lượng]]</f>
        <v>27200000</v>
      </c>
      <c r="CH168" s="60">
        <v>0</v>
      </c>
      <c r="CI168" s="7">
        <f>+Table_Main[[#This Row],[Thành tiền niêm yết]]-Table_Main[[#This Row],[Khuyễn mãi]]</f>
        <v>27200000</v>
      </c>
      <c r="CJ168" s="7" cm="1">
        <f t="array" ref="CJ168">VLOOKUP(Table_Main[[#This Row],[Đơn bán]],Table_DonBan[],COUNTA(Table_DonBan[[#Headers],[Mã đơn bán]:[Khuyễn mãi]]),0)*Table_Main[[#This Row],[Giá trị bán trước VAT]]/
SUM(_xlfn._xlws.FILTER(Table_Main[Giá trị bán trước VAT],
(Table_Main[Đơn bán]=Table_Main[[#This Row],[Đơn bán]])
))</f>
        <v>0</v>
      </c>
      <c r="CK168" s="7">
        <f>Table_Main[[#This Row],[Giá trị bán trước VAT]]-Table_Main[[#This Row],[Phân bổ khuyến mãi đơn]]</f>
        <v>27200000</v>
      </c>
      <c r="CL168"/>
      <c r="CM168"/>
    </row>
    <row r="169" spans="33:91" ht="16.5" x14ac:dyDescent="0.3">
      <c r="AG169"/>
      <c r="AH169"/>
      <c r="AI169"/>
      <c r="BT169" s="49" t="s">
        <v>60</v>
      </c>
      <c r="BU169" s="50" t="s">
        <v>120</v>
      </c>
      <c r="BV169" s="6">
        <f xml:space="preserve">
IFERROR(VLOOKUP(Table_Main[[#This Row],[Đơn bán]],Table_DonBan[],COUNTA(Table_DonBan[[#Headers],[Mã đơn bán]:[Ngày lập]]),0),0)</f>
        <v>45174</v>
      </c>
      <c r="BW169" s="51">
        <f>IFERROR(MONTH(Table_Main[[#This Row],[Ngày lên đơn]]),0)</f>
        <v>9</v>
      </c>
      <c r="BX169" s="51" t="str">
        <f>INDEX(Table_SKU[],
MATCH(Table_Main[[#This Row],[Mã SKU]],Table_SKU[Mã Sản phẩm],0),1)</f>
        <v>Nhóm 2</v>
      </c>
      <c r="BY169" s="52" t="str">
        <f xml:space="preserve">
IFERROR(VLOOKUP(Table_Main[[#This Row],[Đơn bán]],Table_DonBan[],COUNTA(Table_DonBan[[#Headers],[Mã đơn bán]:[Mã Khách]]),0),0)</f>
        <v>KH02</v>
      </c>
      <c r="BZ169" s="52" t="str">
        <f>VLOOKUP(Table_Main[[#This Row],[Khách hàng]],Table_KhachHang[],COUNTA(Table_KhachHang[[#Headers],[Mã khách]:[Phân khúc]]),0)</f>
        <v>B2C</v>
      </c>
      <c r="CA169" s="25" t="str">
        <f xml:space="preserve">
IFERROR(VLOOKUP(Table_Main[[#This Row],[Đơn bán]],Table_DonBan[],COUNTA(Table_DonBan[[#Headers],[Mã đơn bán]:[Mã NV]]),0),0)</f>
        <v>NV03</v>
      </c>
      <c r="CB169" s="7" t="str">
        <f xml:space="preserve">
IFERROR(VLOOKUP(Table_Main[[#This Row],[Đơn bán]],Table_DonBan[],COUNTA(Table_DonBan[[#Headers],[Mã đơn bán]:[Kênh]]),0),0)</f>
        <v>SP</v>
      </c>
      <c r="CC169" s="7" t="str">
        <f>VLOOKUP(Table_Main[[#This Row],[Kênh]],Table_Kenh[],COUNTA(Table_Kenh[[#Headers],[Kênh]:[Nhóm Kênh]]),0)</f>
        <v>Sàn TMĐT</v>
      </c>
      <c r="CD169" s="53">
        <v>106</v>
      </c>
      <c r="CE169" s="7" t="str">
        <f>IFERROR(VLOOKUP(Table_Main[[#This Row],[Mã SKU]],Table_SKU[[Mã Sản phẩm]:[Giá bán]],COUNTA(Table_SKU[[#Headers],[Mã Sản phẩm]:[Đơn vị]]),0),0)</f>
        <v>Bộ</v>
      </c>
      <c r="CF169" s="7">
        <f>IFERROR(VLOOKUP(Table_Main[[#This Row],[Mã SKU]],Table_SKU[[Mã Sản phẩm]:[Giá bán]],COUNTA(Table_SKU[[#Headers],[Mã Sản phẩm]:[Giá bán]]),0),0)</f>
        <v>300000</v>
      </c>
      <c r="CG169" s="7">
        <f>Table_Main[[#This Row],[Giá bán]]*Table_Main[[#This Row],[Số lượng]]</f>
        <v>31800000</v>
      </c>
      <c r="CH169" s="60">
        <v>1590000</v>
      </c>
      <c r="CI169" s="7">
        <f>+Table_Main[[#This Row],[Thành tiền niêm yết]]-Table_Main[[#This Row],[Khuyễn mãi]]</f>
        <v>30210000</v>
      </c>
      <c r="CJ169" s="7" cm="1">
        <f t="array" ref="CJ169">VLOOKUP(Table_Main[[#This Row],[Đơn bán]],Table_DonBan[],COUNTA(Table_DonBan[[#Headers],[Mã đơn bán]:[Khuyễn mãi]]),0)*Table_Main[[#This Row],[Giá trị bán trước VAT]]/
SUM(_xlfn._xlws.FILTER(Table_Main[Giá trị bán trước VAT],
(Table_Main[Đơn bán]=Table_Main[[#This Row],[Đơn bán]])
))</f>
        <v>0</v>
      </c>
      <c r="CK169" s="7">
        <f>Table_Main[[#This Row],[Giá trị bán trước VAT]]-Table_Main[[#This Row],[Phân bổ khuyến mãi đơn]]</f>
        <v>30210000</v>
      </c>
      <c r="CL169"/>
      <c r="CM169"/>
    </row>
    <row r="170" spans="33:91" ht="16.5" x14ac:dyDescent="0.3">
      <c r="AG170"/>
      <c r="AH170"/>
      <c r="AI170"/>
      <c r="BT170" s="49" t="s">
        <v>61</v>
      </c>
      <c r="BU170" s="50" t="s">
        <v>120</v>
      </c>
      <c r="BV170" s="6">
        <f xml:space="preserve">
IFERROR(VLOOKUP(Table_Main[[#This Row],[Đơn bán]],Table_DonBan[],COUNTA(Table_DonBan[[#Headers],[Mã đơn bán]:[Ngày lập]]),0),0)</f>
        <v>45174</v>
      </c>
      <c r="BW170" s="51">
        <f>IFERROR(MONTH(Table_Main[[#This Row],[Ngày lên đơn]]),0)</f>
        <v>9</v>
      </c>
      <c r="BX170" s="51" t="str">
        <f>INDEX(Table_SKU[],
MATCH(Table_Main[[#This Row],[Mã SKU]],Table_SKU[Mã Sản phẩm],0),1)</f>
        <v>Nhóm 3</v>
      </c>
      <c r="BY170" s="52" t="str">
        <f xml:space="preserve">
IFERROR(VLOOKUP(Table_Main[[#This Row],[Đơn bán]],Table_DonBan[],COUNTA(Table_DonBan[[#Headers],[Mã đơn bán]:[Mã Khách]]),0),0)</f>
        <v>KH02</v>
      </c>
      <c r="BZ170" s="52" t="str">
        <f>VLOOKUP(Table_Main[[#This Row],[Khách hàng]],Table_KhachHang[],COUNTA(Table_KhachHang[[#Headers],[Mã khách]:[Phân khúc]]),0)</f>
        <v>B2C</v>
      </c>
      <c r="CA170" s="25" t="str">
        <f xml:space="preserve">
IFERROR(VLOOKUP(Table_Main[[#This Row],[Đơn bán]],Table_DonBan[],COUNTA(Table_DonBan[[#Headers],[Mã đơn bán]:[Mã NV]]),0),0)</f>
        <v>NV03</v>
      </c>
      <c r="CB170" s="7" t="str">
        <f xml:space="preserve">
IFERROR(VLOOKUP(Table_Main[[#This Row],[Đơn bán]],Table_DonBan[],COUNTA(Table_DonBan[[#Headers],[Mã đơn bán]:[Kênh]]),0),0)</f>
        <v>SP</v>
      </c>
      <c r="CC170" s="7" t="str">
        <f>VLOOKUP(Table_Main[[#This Row],[Kênh]],Table_Kenh[],COUNTA(Table_Kenh[[#Headers],[Kênh]:[Nhóm Kênh]]),0)</f>
        <v>Sàn TMĐT</v>
      </c>
      <c r="CD170" s="53">
        <v>68</v>
      </c>
      <c r="CE170" s="7" t="str">
        <f>IFERROR(VLOOKUP(Table_Main[[#This Row],[Mã SKU]],Table_SKU[[Mã Sản phẩm]:[Giá bán]],COUNTA(Table_SKU[[#Headers],[Mã Sản phẩm]:[Đơn vị]]),0),0)</f>
        <v>Bộ</v>
      </c>
      <c r="CF170" s="7">
        <f>IFERROR(VLOOKUP(Table_Main[[#This Row],[Mã SKU]],Table_SKU[[Mã Sản phẩm]:[Giá bán]],COUNTA(Table_SKU[[#Headers],[Mã Sản phẩm]:[Giá bán]]),0),0)</f>
        <v>500000</v>
      </c>
      <c r="CG170" s="7">
        <f>Table_Main[[#This Row],[Giá bán]]*Table_Main[[#This Row],[Số lượng]]</f>
        <v>34000000</v>
      </c>
      <c r="CH170" s="60">
        <v>1700000</v>
      </c>
      <c r="CI170" s="7">
        <f>+Table_Main[[#This Row],[Thành tiền niêm yết]]-Table_Main[[#This Row],[Khuyễn mãi]]</f>
        <v>32300000</v>
      </c>
      <c r="CJ170" s="7" cm="1">
        <f t="array" ref="CJ170">VLOOKUP(Table_Main[[#This Row],[Đơn bán]],Table_DonBan[],COUNTA(Table_DonBan[[#Headers],[Mã đơn bán]:[Khuyễn mãi]]),0)*Table_Main[[#This Row],[Giá trị bán trước VAT]]/
SUM(_xlfn._xlws.FILTER(Table_Main[Giá trị bán trước VAT],
(Table_Main[Đơn bán]=Table_Main[[#This Row],[Đơn bán]])
))</f>
        <v>0</v>
      </c>
      <c r="CK170" s="7">
        <f>Table_Main[[#This Row],[Giá trị bán trước VAT]]-Table_Main[[#This Row],[Phân bổ khuyến mãi đơn]]</f>
        <v>32300000</v>
      </c>
      <c r="CL170"/>
      <c r="CM170"/>
    </row>
    <row r="171" spans="33:91" ht="16.5" x14ac:dyDescent="0.3">
      <c r="AG171"/>
      <c r="AH171"/>
      <c r="AI171"/>
      <c r="BT171" s="54" t="s">
        <v>59</v>
      </c>
      <c r="BU171" s="55" t="s">
        <v>120</v>
      </c>
      <c r="BV171" s="56">
        <f xml:space="preserve">
IFERROR(VLOOKUP(Table_Main[[#This Row],[Đơn bán]],Table_DonBan[],COUNTA(Table_DonBan[[#Headers],[Mã đơn bán]:[Ngày lập]]),0),0)</f>
        <v>45174</v>
      </c>
      <c r="BW171" s="51">
        <f>IFERROR(MONTH(Table_Main[[#This Row],[Ngày lên đơn]]),0)</f>
        <v>9</v>
      </c>
      <c r="BX171" s="51" t="str">
        <f>INDEX(Table_SKU[],
MATCH(Table_Main[[#This Row],[Mã SKU]],Table_SKU[Mã Sản phẩm],0),1)</f>
        <v>Nhóm 1</v>
      </c>
      <c r="BY171" s="52" t="str">
        <f xml:space="preserve">
IFERROR(VLOOKUP(Table_Main[[#This Row],[Đơn bán]],Table_DonBan[],COUNTA(Table_DonBan[[#Headers],[Mã đơn bán]:[Mã Khách]]),0),0)</f>
        <v>KH02</v>
      </c>
      <c r="BZ171" s="52" t="str">
        <f>VLOOKUP(Table_Main[[#This Row],[Khách hàng]],Table_KhachHang[],COUNTA(Table_KhachHang[[#Headers],[Mã khách]:[Phân khúc]]),0)</f>
        <v>B2C</v>
      </c>
      <c r="CA171" s="57" t="str">
        <f xml:space="preserve">
IFERROR(VLOOKUP(Table_Main[[#This Row],[Đơn bán]],Table_DonBan[],COUNTA(Table_DonBan[[#Headers],[Mã đơn bán]:[Mã NV]]),0),0)</f>
        <v>NV03</v>
      </c>
      <c r="CB171" s="58" t="str">
        <f xml:space="preserve">
IFERROR(VLOOKUP(Table_Main[[#This Row],[Đơn bán]],Table_DonBan[],COUNTA(Table_DonBan[[#Headers],[Mã đơn bán]:[Kênh]]),0),0)</f>
        <v>SP</v>
      </c>
      <c r="CC171" s="58" t="str">
        <f>VLOOKUP(Table_Main[[#This Row],[Kênh]],Table_Kenh[],COUNTA(Table_Kenh[[#Headers],[Kênh]:[Nhóm Kênh]]),0)</f>
        <v>Sàn TMĐT</v>
      </c>
      <c r="CD171" s="59">
        <v>142</v>
      </c>
      <c r="CE171" s="58" t="str">
        <f>IFERROR(VLOOKUP(Table_Main[[#This Row],[Mã SKU]],Table_SKU[[Mã Sản phẩm]:[Giá bán]],COUNTA(Table_SKU[[#Headers],[Mã Sản phẩm]:[Đơn vị]]),0),0)</f>
        <v>Bộ</v>
      </c>
      <c r="CF171" s="58">
        <f>IFERROR(VLOOKUP(Table_Main[[#This Row],[Mã SKU]],Table_SKU[[Mã Sản phẩm]:[Giá bán]],COUNTA(Table_SKU[[#Headers],[Mã Sản phẩm]:[Giá bán]]),0),0)</f>
        <v>200000</v>
      </c>
      <c r="CG171" s="58">
        <f>Table_Main[[#This Row],[Giá bán]]*Table_Main[[#This Row],[Số lượng]]</f>
        <v>28400000</v>
      </c>
      <c r="CH171" s="61">
        <v>1420000</v>
      </c>
      <c r="CI171" s="58">
        <f>+Table_Main[[#This Row],[Thành tiền niêm yết]]-Table_Main[[#This Row],[Khuyễn mãi]]</f>
        <v>26980000</v>
      </c>
      <c r="CJ171" s="7" cm="1">
        <f t="array" ref="CJ171">VLOOKUP(Table_Main[[#This Row],[Đơn bán]],Table_DonBan[],COUNTA(Table_DonBan[[#Headers],[Mã đơn bán]:[Khuyễn mãi]]),0)*Table_Main[[#This Row],[Giá trị bán trước VAT]]/
SUM(_xlfn._xlws.FILTER(Table_Main[Giá trị bán trước VAT],
(Table_Main[Đơn bán]=Table_Main[[#This Row],[Đơn bán]])
))</f>
        <v>0</v>
      </c>
      <c r="CK171" s="7">
        <f>Table_Main[[#This Row],[Giá trị bán trước VAT]]-Table_Main[[#This Row],[Phân bổ khuyến mãi đơn]]</f>
        <v>26980000</v>
      </c>
      <c r="CL171"/>
      <c r="CM171"/>
    </row>
    <row r="172" spans="33:91" ht="16.5" x14ac:dyDescent="0.3">
      <c r="AG172"/>
      <c r="AH172"/>
      <c r="AI172"/>
      <c r="BT172" s="49" t="s">
        <v>59</v>
      </c>
      <c r="BU172" s="50" t="s">
        <v>119</v>
      </c>
      <c r="BV172" s="6">
        <f xml:space="preserve">
IFERROR(VLOOKUP(Table_Main[[#This Row],[Đơn bán]],Table_DonBan[],COUNTA(Table_DonBan[[#Headers],[Mã đơn bán]:[Ngày lập]]),0),0)</f>
        <v>45163</v>
      </c>
      <c r="BW172" s="51">
        <f>IFERROR(MONTH(Table_Main[[#This Row],[Ngày lên đơn]]),0)</f>
        <v>8</v>
      </c>
      <c r="BX172" s="51" t="str">
        <f>INDEX(Table_SKU[],
MATCH(Table_Main[[#This Row],[Mã SKU]],Table_SKU[Mã Sản phẩm],0),1)</f>
        <v>Nhóm 1</v>
      </c>
      <c r="BY172" s="52" t="str">
        <f xml:space="preserve">
IFERROR(VLOOKUP(Table_Main[[#This Row],[Đơn bán]],Table_DonBan[],COUNTA(Table_DonBan[[#Headers],[Mã đơn bán]:[Mã Khách]]),0),0)</f>
        <v>KH02</v>
      </c>
      <c r="BZ172" s="52" t="str">
        <f>VLOOKUP(Table_Main[[#This Row],[Khách hàng]],Table_KhachHang[],COUNTA(Table_KhachHang[[#Headers],[Mã khách]:[Phân khúc]]),0)</f>
        <v>B2C</v>
      </c>
      <c r="CA172" s="25" t="str">
        <f xml:space="preserve">
IFERROR(VLOOKUP(Table_Main[[#This Row],[Đơn bán]],Table_DonBan[],COUNTA(Table_DonBan[[#Headers],[Mã đơn bán]:[Mã NV]]),0),0)</f>
        <v>NV02</v>
      </c>
      <c r="CB172" s="7" t="str">
        <f xml:space="preserve">
IFERROR(VLOOKUP(Table_Main[[#This Row],[Đơn bán]],Table_DonBan[],COUNTA(Table_DonBan[[#Headers],[Mã đơn bán]:[Kênh]]),0),0)</f>
        <v>ST</v>
      </c>
      <c r="CC172" s="7" t="str">
        <f>VLOOKUP(Table_Main[[#This Row],[Kênh]],Table_Kenh[],COUNTA(Table_Kenh[[#Headers],[Kênh]:[Nhóm Kênh]]),0)</f>
        <v>Offline</v>
      </c>
      <c r="CD172" s="53">
        <v>135</v>
      </c>
      <c r="CE172" s="7" t="str">
        <f>IFERROR(VLOOKUP(Table_Main[[#This Row],[Mã SKU]],Table_SKU[[Mã Sản phẩm]:[Giá bán]],COUNTA(Table_SKU[[#Headers],[Mã Sản phẩm]:[Đơn vị]]),0),0)</f>
        <v>Bộ</v>
      </c>
      <c r="CF172" s="7">
        <f>IFERROR(VLOOKUP(Table_Main[[#This Row],[Mã SKU]],Table_SKU[[Mã Sản phẩm]:[Giá bán]],COUNTA(Table_SKU[[#Headers],[Mã Sản phẩm]:[Giá bán]]),0),0)</f>
        <v>200000</v>
      </c>
      <c r="CG172" s="7">
        <f>Table_Main[[#This Row],[Giá bán]]*Table_Main[[#This Row],[Số lượng]]</f>
        <v>27000000</v>
      </c>
      <c r="CH172" s="60">
        <v>0</v>
      </c>
      <c r="CI172" s="7">
        <f>+Table_Main[[#This Row],[Thành tiền niêm yết]]-Table_Main[[#This Row],[Khuyễn mãi]]</f>
        <v>27000000</v>
      </c>
      <c r="CJ172" s="7" cm="1">
        <f t="array" ref="CJ172">VLOOKUP(Table_Main[[#This Row],[Đơn bán]],Table_DonBan[],COUNTA(Table_DonBan[[#Headers],[Mã đơn bán]:[Khuyễn mãi]]),0)*Table_Main[[#This Row],[Giá trị bán trước VAT]]/
SUM(_xlfn._xlws.FILTER(Table_Main[Giá trị bán trước VAT],
(Table_Main[Đơn bán]=Table_Main[[#This Row],[Đơn bán]])
))</f>
        <v>0</v>
      </c>
      <c r="CK172" s="7">
        <f>Table_Main[[#This Row],[Giá trị bán trước VAT]]-Table_Main[[#This Row],[Phân bổ khuyến mãi đơn]]</f>
        <v>27000000</v>
      </c>
      <c r="CL172"/>
      <c r="CM172"/>
    </row>
    <row r="173" spans="33:91" ht="16.5" x14ac:dyDescent="0.3">
      <c r="AG173"/>
      <c r="AH173"/>
      <c r="AI173"/>
      <c r="BT173" s="49" t="s">
        <v>60</v>
      </c>
      <c r="BU173" s="50" t="s">
        <v>119</v>
      </c>
      <c r="BV173" s="6">
        <f xml:space="preserve">
IFERROR(VLOOKUP(Table_Main[[#This Row],[Đơn bán]],Table_DonBan[],COUNTA(Table_DonBan[[#Headers],[Mã đơn bán]:[Ngày lập]]),0),0)</f>
        <v>45163</v>
      </c>
      <c r="BW173" s="51">
        <f>IFERROR(MONTH(Table_Main[[#This Row],[Ngày lên đơn]]),0)</f>
        <v>8</v>
      </c>
      <c r="BX173" s="51" t="str">
        <f>INDEX(Table_SKU[],
MATCH(Table_Main[[#This Row],[Mã SKU]],Table_SKU[Mã Sản phẩm],0),1)</f>
        <v>Nhóm 2</v>
      </c>
      <c r="BY173" s="52" t="str">
        <f xml:space="preserve">
IFERROR(VLOOKUP(Table_Main[[#This Row],[Đơn bán]],Table_DonBan[],COUNTA(Table_DonBan[[#Headers],[Mã đơn bán]:[Mã Khách]]),0),0)</f>
        <v>KH02</v>
      </c>
      <c r="BZ173" s="52" t="str">
        <f>VLOOKUP(Table_Main[[#This Row],[Khách hàng]],Table_KhachHang[],COUNTA(Table_KhachHang[[#Headers],[Mã khách]:[Phân khúc]]),0)</f>
        <v>B2C</v>
      </c>
      <c r="CA173" s="25" t="str">
        <f xml:space="preserve">
IFERROR(VLOOKUP(Table_Main[[#This Row],[Đơn bán]],Table_DonBan[],COUNTA(Table_DonBan[[#Headers],[Mã đơn bán]:[Mã NV]]),0),0)</f>
        <v>NV02</v>
      </c>
      <c r="CB173" s="7" t="str">
        <f xml:space="preserve">
IFERROR(VLOOKUP(Table_Main[[#This Row],[Đơn bán]],Table_DonBan[],COUNTA(Table_DonBan[[#Headers],[Mã đơn bán]:[Kênh]]),0),0)</f>
        <v>ST</v>
      </c>
      <c r="CC173" s="7" t="str">
        <f>VLOOKUP(Table_Main[[#This Row],[Kênh]],Table_Kenh[],COUNTA(Table_Kenh[[#Headers],[Kênh]:[Nhóm Kênh]]),0)</f>
        <v>Offline</v>
      </c>
      <c r="CD173" s="53">
        <v>108</v>
      </c>
      <c r="CE173" s="7" t="str">
        <f>IFERROR(VLOOKUP(Table_Main[[#This Row],[Mã SKU]],Table_SKU[[Mã Sản phẩm]:[Giá bán]],COUNTA(Table_SKU[[#Headers],[Mã Sản phẩm]:[Đơn vị]]),0),0)</f>
        <v>Bộ</v>
      </c>
      <c r="CF173" s="7">
        <f>IFERROR(VLOOKUP(Table_Main[[#This Row],[Mã SKU]],Table_SKU[[Mã Sản phẩm]:[Giá bán]],COUNTA(Table_SKU[[#Headers],[Mã Sản phẩm]:[Giá bán]]),0),0)</f>
        <v>300000</v>
      </c>
      <c r="CG173" s="7">
        <f>Table_Main[[#This Row],[Giá bán]]*Table_Main[[#This Row],[Số lượng]]</f>
        <v>32400000</v>
      </c>
      <c r="CH173" s="60">
        <v>1620000</v>
      </c>
      <c r="CI173" s="7">
        <f>+Table_Main[[#This Row],[Thành tiền niêm yết]]-Table_Main[[#This Row],[Khuyễn mãi]]</f>
        <v>30780000</v>
      </c>
      <c r="CJ173" s="7" cm="1">
        <f t="array" ref="CJ173">VLOOKUP(Table_Main[[#This Row],[Đơn bán]],Table_DonBan[],COUNTA(Table_DonBan[[#Headers],[Mã đơn bán]:[Khuyễn mãi]]),0)*Table_Main[[#This Row],[Giá trị bán trước VAT]]/
SUM(_xlfn._xlws.FILTER(Table_Main[Giá trị bán trước VAT],
(Table_Main[Đơn bán]=Table_Main[[#This Row],[Đơn bán]])
))</f>
        <v>0</v>
      </c>
      <c r="CK173" s="7">
        <f>Table_Main[[#This Row],[Giá trị bán trước VAT]]-Table_Main[[#This Row],[Phân bổ khuyến mãi đơn]]</f>
        <v>30780000</v>
      </c>
      <c r="CL173"/>
      <c r="CM173"/>
    </row>
    <row r="174" spans="33:91" ht="16.5" x14ac:dyDescent="0.3">
      <c r="AG174"/>
      <c r="AH174"/>
      <c r="AI174"/>
      <c r="BT174" s="49" t="s">
        <v>61</v>
      </c>
      <c r="BU174" s="50" t="s">
        <v>119</v>
      </c>
      <c r="BV174" s="6">
        <f xml:space="preserve">
IFERROR(VLOOKUP(Table_Main[[#This Row],[Đơn bán]],Table_DonBan[],COUNTA(Table_DonBan[[#Headers],[Mã đơn bán]:[Ngày lập]]),0),0)</f>
        <v>45163</v>
      </c>
      <c r="BW174" s="51">
        <f>IFERROR(MONTH(Table_Main[[#This Row],[Ngày lên đơn]]),0)</f>
        <v>8</v>
      </c>
      <c r="BX174" s="51" t="str">
        <f>INDEX(Table_SKU[],
MATCH(Table_Main[[#This Row],[Mã SKU]],Table_SKU[Mã Sản phẩm],0),1)</f>
        <v>Nhóm 3</v>
      </c>
      <c r="BY174" s="10" t="str">
        <f xml:space="preserve">
IFERROR(VLOOKUP(Table_Main[[#This Row],[Đơn bán]],Table_DonBan[],COUNTA(Table_DonBan[[#Headers],[Mã đơn bán]:[Mã Khách]]),0),0)</f>
        <v>KH02</v>
      </c>
      <c r="BZ174" s="10" t="str">
        <f>VLOOKUP(Table_Main[[#This Row],[Khách hàng]],Table_KhachHang[],COUNTA(Table_KhachHang[[#Headers],[Mã khách]:[Phân khúc]]),0)</f>
        <v>B2C</v>
      </c>
      <c r="CA174" s="25" t="str">
        <f xml:space="preserve">
IFERROR(VLOOKUP(Table_Main[[#This Row],[Đơn bán]],Table_DonBan[],COUNTA(Table_DonBan[[#Headers],[Mã đơn bán]:[Mã NV]]),0),0)</f>
        <v>NV02</v>
      </c>
      <c r="CB174" s="7" t="str">
        <f xml:space="preserve">
IFERROR(VLOOKUP(Table_Main[[#This Row],[Đơn bán]],Table_DonBan[],COUNTA(Table_DonBan[[#Headers],[Mã đơn bán]:[Kênh]]),0),0)</f>
        <v>ST</v>
      </c>
      <c r="CC174" s="7" t="str">
        <f>VLOOKUP(Table_Main[[#This Row],[Kênh]],Table_Kenh[],COUNTA(Table_Kenh[[#Headers],[Kênh]:[Nhóm Kênh]]),0)</f>
        <v>Offline</v>
      </c>
      <c r="CD174" s="53">
        <v>67</v>
      </c>
      <c r="CE174" s="7" t="str">
        <f>IFERROR(VLOOKUP(Table_Main[[#This Row],[Mã SKU]],Table_SKU[[Mã Sản phẩm]:[Giá bán]],COUNTA(Table_SKU[[#Headers],[Mã Sản phẩm]:[Đơn vị]]),0),0)</f>
        <v>Bộ</v>
      </c>
      <c r="CF174" s="7">
        <f>IFERROR(VLOOKUP(Table_Main[[#This Row],[Mã SKU]],Table_SKU[[Mã Sản phẩm]:[Giá bán]],COUNTA(Table_SKU[[#Headers],[Mã Sản phẩm]:[Giá bán]]),0),0)</f>
        <v>500000</v>
      </c>
      <c r="CG174" s="7">
        <f>Table_Main[[#This Row],[Giá bán]]*Table_Main[[#This Row],[Số lượng]]</f>
        <v>33500000</v>
      </c>
      <c r="CH174" s="60">
        <v>1675000</v>
      </c>
      <c r="CI174" s="7">
        <f>+Table_Main[[#This Row],[Thành tiền niêm yết]]-Table_Main[[#This Row],[Khuyễn mãi]]</f>
        <v>31825000</v>
      </c>
      <c r="CJ174" s="7" cm="1">
        <f t="array" ref="CJ174">VLOOKUP(Table_Main[[#This Row],[Đơn bán]],Table_DonBan[],COUNTA(Table_DonBan[[#Headers],[Mã đơn bán]:[Khuyễn mãi]]),0)*Table_Main[[#This Row],[Giá trị bán trước VAT]]/
SUM(_xlfn._xlws.FILTER(Table_Main[Giá trị bán trước VAT],
(Table_Main[Đơn bán]=Table_Main[[#This Row],[Đơn bán]])
))</f>
        <v>0</v>
      </c>
      <c r="CK174" s="7">
        <f>Table_Main[[#This Row],[Giá trị bán trước VAT]]-Table_Main[[#This Row],[Phân bổ khuyến mãi đơn]]</f>
        <v>31825000</v>
      </c>
      <c r="CL174"/>
      <c r="CM174"/>
    </row>
    <row r="175" spans="33:91" ht="16.5" x14ac:dyDescent="0.3">
      <c r="AG175"/>
      <c r="AH175"/>
      <c r="AI175"/>
      <c r="BT175" s="49" t="s">
        <v>59</v>
      </c>
      <c r="BU175" s="50" t="s">
        <v>118</v>
      </c>
      <c r="BV175" s="6">
        <f xml:space="preserve">
IFERROR(VLOOKUP(Table_Main[[#This Row],[Đơn bán]],Table_DonBan[],COUNTA(Table_DonBan[[#Headers],[Mã đơn bán]:[Ngày lập]]),0),0)</f>
        <v>45153</v>
      </c>
      <c r="BW175" s="51">
        <f>IFERROR(MONTH(Table_Main[[#This Row],[Ngày lên đơn]]),0)</f>
        <v>8</v>
      </c>
      <c r="BX175" s="51" t="str">
        <f>INDEX(Table_SKU[],
MATCH(Table_Main[[#This Row],[Mã SKU]],Table_SKU[Mã Sản phẩm],0),1)</f>
        <v>Nhóm 1</v>
      </c>
      <c r="BY175" s="52" t="str">
        <f xml:space="preserve">
IFERROR(VLOOKUP(Table_Main[[#This Row],[Đơn bán]],Table_DonBan[],COUNTA(Table_DonBan[[#Headers],[Mã đơn bán]:[Mã Khách]]),0),0)</f>
        <v>KH03</v>
      </c>
      <c r="BZ175" s="52" t="str">
        <f>VLOOKUP(Table_Main[[#This Row],[Khách hàng]],Table_KhachHang[],COUNTA(Table_KhachHang[[#Headers],[Mã khách]:[Phân khúc]]),0)</f>
        <v>B2C</v>
      </c>
      <c r="CA175" s="25" t="str">
        <f xml:space="preserve">
IFERROR(VLOOKUP(Table_Main[[#This Row],[Đơn bán]],Table_DonBan[],COUNTA(Table_DonBan[[#Headers],[Mã đơn bán]:[Mã NV]]),0),0)</f>
        <v>NV02</v>
      </c>
      <c r="CB175" s="7" t="str">
        <f xml:space="preserve">
IFERROR(VLOOKUP(Table_Main[[#This Row],[Đơn bán]],Table_DonBan[],COUNTA(Table_DonBan[[#Headers],[Mã đơn bán]:[Kênh]]),0),0)</f>
        <v>TT</v>
      </c>
      <c r="CC175" s="7" t="str">
        <f>VLOOKUP(Table_Main[[#This Row],[Kênh]],Table_Kenh[],COUNTA(Table_Kenh[[#Headers],[Kênh]:[Nhóm Kênh]]),0)</f>
        <v>Mạng xã hội</v>
      </c>
      <c r="CD175" s="53">
        <v>136</v>
      </c>
      <c r="CE175" s="7" t="str">
        <f>IFERROR(VLOOKUP(Table_Main[[#This Row],[Mã SKU]],Table_SKU[[Mã Sản phẩm]:[Giá bán]],COUNTA(Table_SKU[[#Headers],[Mã Sản phẩm]:[Đơn vị]]),0),0)</f>
        <v>Bộ</v>
      </c>
      <c r="CF175" s="7">
        <f>IFERROR(VLOOKUP(Table_Main[[#This Row],[Mã SKU]],Table_SKU[[Mã Sản phẩm]:[Giá bán]],COUNTA(Table_SKU[[#Headers],[Mã Sản phẩm]:[Giá bán]]),0),0)</f>
        <v>200000</v>
      </c>
      <c r="CG175" s="7">
        <f>Table_Main[[#This Row],[Giá bán]]*Table_Main[[#This Row],[Số lượng]]</f>
        <v>27200000</v>
      </c>
      <c r="CH175" s="60">
        <v>0</v>
      </c>
      <c r="CI175" s="7">
        <f>+Table_Main[[#This Row],[Thành tiền niêm yết]]-Table_Main[[#This Row],[Khuyễn mãi]]</f>
        <v>27200000</v>
      </c>
      <c r="CJ175" s="7" cm="1">
        <f t="array" ref="CJ175">VLOOKUP(Table_Main[[#This Row],[Đơn bán]],Table_DonBan[],COUNTA(Table_DonBan[[#Headers],[Mã đơn bán]:[Khuyễn mãi]]),0)*Table_Main[[#This Row],[Giá trị bán trước VAT]]/
SUM(_xlfn._xlws.FILTER(Table_Main[Giá trị bán trước VAT],
(Table_Main[Đơn bán]=Table_Main[[#This Row],[Đơn bán]])
))</f>
        <v>0</v>
      </c>
      <c r="CK175" s="7">
        <f>Table_Main[[#This Row],[Giá trị bán trước VAT]]-Table_Main[[#This Row],[Phân bổ khuyến mãi đơn]]</f>
        <v>27200000</v>
      </c>
      <c r="CL175"/>
      <c r="CM175"/>
    </row>
    <row r="176" spans="33:91" ht="16.5" x14ac:dyDescent="0.3">
      <c r="AG176"/>
      <c r="AH176"/>
      <c r="AI176"/>
      <c r="BT176" s="49" t="s">
        <v>60</v>
      </c>
      <c r="BU176" s="50" t="s">
        <v>118</v>
      </c>
      <c r="BV176" s="6">
        <f xml:space="preserve">
IFERROR(VLOOKUP(Table_Main[[#This Row],[Đơn bán]],Table_DonBan[],COUNTA(Table_DonBan[[#Headers],[Mã đơn bán]:[Ngày lập]]),0),0)</f>
        <v>45153</v>
      </c>
      <c r="BW176" s="51">
        <f>IFERROR(MONTH(Table_Main[[#This Row],[Ngày lên đơn]]),0)</f>
        <v>8</v>
      </c>
      <c r="BX176" s="51" t="str">
        <f>INDEX(Table_SKU[],
MATCH(Table_Main[[#This Row],[Mã SKU]],Table_SKU[Mã Sản phẩm],0),1)</f>
        <v>Nhóm 2</v>
      </c>
      <c r="BY176" s="52" t="str">
        <f xml:space="preserve">
IFERROR(VLOOKUP(Table_Main[[#This Row],[Đơn bán]],Table_DonBan[],COUNTA(Table_DonBan[[#Headers],[Mã đơn bán]:[Mã Khách]]),0),0)</f>
        <v>KH03</v>
      </c>
      <c r="BZ176" s="52" t="str">
        <f>VLOOKUP(Table_Main[[#This Row],[Khách hàng]],Table_KhachHang[],COUNTA(Table_KhachHang[[#Headers],[Mã khách]:[Phân khúc]]),0)</f>
        <v>B2C</v>
      </c>
      <c r="CA176" s="25" t="str">
        <f xml:space="preserve">
IFERROR(VLOOKUP(Table_Main[[#This Row],[Đơn bán]],Table_DonBan[],COUNTA(Table_DonBan[[#Headers],[Mã đơn bán]:[Mã NV]]),0),0)</f>
        <v>NV02</v>
      </c>
      <c r="CB176" s="7" t="str">
        <f xml:space="preserve">
IFERROR(VLOOKUP(Table_Main[[#This Row],[Đơn bán]],Table_DonBan[],COUNTA(Table_DonBan[[#Headers],[Mã đơn bán]:[Kênh]]),0),0)</f>
        <v>TT</v>
      </c>
      <c r="CC176" s="7" t="str">
        <f>VLOOKUP(Table_Main[[#This Row],[Kênh]],Table_Kenh[],COUNTA(Table_Kenh[[#Headers],[Kênh]:[Nhóm Kênh]]),0)</f>
        <v>Mạng xã hội</v>
      </c>
      <c r="CD176" s="53">
        <v>108</v>
      </c>
      <c r="CE176" s="7" t="str">
        <f>IFERROR(VLOOKUP(Table_Main[[#This Row],[Mã SKU]],Table_SKU[[Mã Sản phẩm]:[Giá bán]],COUNTA(Table_SKU[[#Headers],[Mã Sản phẩm]:[Đơn vị]]),0),0)</f>
        <v>Bộ</v>
      </c>
      <c r="CF176" s="7">
        <f>IFERROR(VLOOKUP(Table_Main[[#This Row],[Mã SKU]],Table_SKU[[Mã Sản phẩm]:[Giá bán]],COUNTA(Table_SKU[[#Headers],[Mã Sản phẩm]:[Giá bán]]),0),0)</f>
        <v>300000</v>
      </c>
      <c r="CG176" s="7">
        <f>Table_Main[[#This Row],[Giá bán]]*Table_Main[[#This Row],[Số lượng]]</f>
        <v>32400000</v>
      </c>
      <c r="CH176" s="60">
        <v>1620000</v>
      </c>
      <c r="CI176" s="7">
        <f>+Table_Main[[#This Row],[Thành tiền niêm yết]]-Table_Main[[#This Row],[Khuyễn mãi]]</f>
        <v>30780000</v>
      </c>
      <c r="CJ176" s="7" cm="1">
        <f t="array" ref="CJ176">VLOOKUP(Table_Main[[#This Row],[Đơn bán]],Table_DonBan[],COUNTA(Table_DonBan[[#Headers],[Mã đơn bán]:[Khuyễn mãi]]),0)*Table_Main[[#This Row],[Giá trị bán trước VAT]]/
SUM(_xlfn._xlws.FILTER(Table_Main[Giá trị bán trước VAT],
(Table_Main[Đơn bán]=Table_Main[[#This Row],[Đơn bán]])
))</f>
        <v>0</v>
      </c>
      <c r="CK176" s="7">
        <f>Table_Main[[#This Row],[Giá trị bán trước VAT]]-Table_Main[[#This Row],[Phân bổ khuyến mãi đơn]]</f>
        <v>30780000</v>
      </c>
      <c r="CL176"/>
      <c r="CM176"/>
    </row>
    <row r="177" spans="33:91" ht="16.5" x14ac:dyDescent="0.3">
      <c r="AG177"/>
      <c r="AH177"/>
      <c r="AI177"/>
      <c r="BT177" s="49" t="s">
        <v>61</v>
      </c>
      <c r="BU177" s="50" t="s">
        <v>118</v>
      </c>
      <c r="BV177" s="6">
        <f xml:space="preserve">
IFERROR(VLOOKUP(Table_Main[[#This Row],[Đơn bán]],Table_DonBan[],COUNTA(Table_DonBan[[#Headers],[Mã đơn bán]:[Ngày lập]]),0),0)</f>
        <v>45153</v>
      </c>
      <c r="BW177" s="51">
        <f>IFERROR(MONTH(Table_Main[[#This Row],[Ngày lên đơn]]),0)</f>
        <v>8</v>
      </c>
      <c r="BX177" s="51" t="str">
        <f>INDEX(Table_SKU[],
MATCH(Table_Main[[#This Row],[Mã SKU]],Table_SKU[Mã Sản phẩm],0),1)</f>
        <v>Nhóm 3</v>
      </c>
      <c r="BY177" s="52" t="str">
        <f xml:space="preserve">
IFERROR(VLOOKUP(Table_Main[[#This Row],[Đơn bán]],Table_DonBan[],COUNTA(Table_DonBan[[#Headers],[Mã đơn bán]:[Mã Khách]]),0),0)</f>
        <v>KH03</v>
      </c>
      <c r="BZ177" s="52" t="str">
        <f>VLOOKUP(Table_Main[[#This Row],[Khách hàng]],Table_KhachHang[],COUNTA(Table_KhachHang[[#Headers],[Mã khách]:[Phân khúc]]),0)</f>
        <v>B2C</v>
      </c>
      <c r="CA177" s="25" t="str">
        <f xml:space="preserve">
IFERROR(VLOOKUP(Table_Main[[#This Row],[Đơn bán]],Table_DonBan[],COUNTA(Table_DonBan[[#Headers],[Mã đơn bán]:[Mã NV]]),0),0)</f>
        <v>NV02</v>
      </c>
      <c r="CB177" s="7" t="str">
        <f xml:space="preserve">
IFERROR(VLOOKUP(Table_Main[[#This Row],[Đơn bán]],Table_DonBan[],COUNTA(Table_DonBan[[#Headers],[Mã đơn bán]:[Kênh]]),0),0)</f>
        <v>TT</v>
      </c>
      <c r="CC177" s="7" t="str">
        <f>VLOOKUP(Table_Main[[#This Row],[Kênh]],Table_Kenh[],COUNTA(Table_Kenh[[#Headers],[Kênh]:[Nhóm Kênh]]),0)</f>
        <v>Mạng xã hội</v>
      </c>
      <c r="CD177" s="53">
        <v>68</v>
      </c>
      <c r="CE177" s="7" t="str">
        <f>IFERROR(VLOOKUP(Table_Main[[#This Row],[Mã SKU]],Table_SKU[[Mã Sản phẩm]:[Giá bán]],COUNTA(Table_SKU[[#Headers],[Mã Sản phẩm]:[Đơn vị]]),0),0)</f>
        <v>Bộ</v>
      </c>
      <c r="CF177" s="7">
        <f>IFERROR(VLOOKUP(Table_Main[[#This Row],[Mã SKU]],Table_SKU[[Mã Sản phẩm]:[Giá bán]],COUNTA(Table_SKU[[#Headers],[Mã Sản phẩm]:[Giá bán]]),0),0)</f>
        <v>500000</v>
      </c>
      <c r="CG177" s="7">
        <f>Table_Main[[#This Row],[Giá bán]]*Table_Main[[#This Row],[Số lượng]]</f>
        <v>34000000</v>
      </c>
      <c r="CH177" s="60">
        <v>1700000</v>
      </c>
      <c r="CI177" s="7">
        <f>+Table_Main[[#This Row],[Thành tiền niêm yết]]-Table_Main[[#This Row],[Khuyễn mãi]]</f>
        <v>32300000</v>
      </c>
      <c r="CJ177" s="7" cm="1">
        <f t="array" ref="CJ177">VLOOKUP(Table_Main[[#This Row],[Đơn bán]],Table_DonBan[],COUNTA(Table_DonBan[[#Headers],[Mã đơn bán]:[Khuyễn mãi]]),0)*Table_Main[[#This Row],[Giá trị bán trước VAT]]/
SUM(_xlfn._xlws.FILTER(Table_Main[Giá trị bán trước VAT],
(Table_Main[Đơn bán]=Table_Main[[#This Row],[Đơn bán]])
))</f>
        <v>0</v>
      </c>
      <c r="CK177" s="7">
        <f>Table_Main[[#This Row],[Giá trị bán trước VAT]]-Table_Main[[#This Row],[Phân bổ khuyến mãi đơn]]</f>
        <v>32300000</v>
      </c>
      <c r="CL177"/>
      <c r="CM177"/>
    </row>
    <row r="178" spans="33:91" ht="16.5" x14ac:dyDescent="0.3">
      <c r="AG178"/>
      <c r="AH178"/>
      <c r="AI178"/>
      <c r="BT178" s="49" t="s">
        <v>59</v>
      </c>
      <c r="BU178" s="50" t="s">
        <v>117</v>
      </c>
      <c r="BV178" s="6">
        <f xml:space="preserve">
IFERROR(VLOOKUP(Table_Main[[#This Row],[Đơn bán]],Table_DonBan[],COUNTA(Table_DonBan[[#Headers],[Mã đơn bán]:[Ngày lập]]),0),0)</f>
        <v>45143</v>
      </c>
      <c r="BW178" s="51">
        <f>IFERROR(MONTH(Table_Main[[#This Row],[Ngày lên đơn]]),0)</f>
        <v>8</v>
      </c>
      <c r="BX178" s="51" t="str">
        <f>INDEX(Table_SKU[],
MATCH(Table_Main[[#This Row],[Mã SKU]],Table_SKU[Mã Sản phẩm],0),1)</f>
        <v>Nhóm 1</v>
      </c>
      <c r="BY178" s="52" t="str">
        <f xml:space="preserve">
IFERROR(VLOOKUP(Table_Main[[#This Row],[Đơn bán]],Table_DonBan[],COUNTA(Table_DonBan[[#Headers],[Mã đơn bán]:[Mã Khách]]),0),0)</f>
        <v>KH04</v>
      </c>
      <c r="BZ178" s="52" t="str">
        <f>VLOOKUP(Table_Main[[#This Row],[Khách hàng]],Table_KhachHang[],COUNTA(Table_KhachHang[[#Headers],[Mã khách]:[Phân khúc]]),0)</f>
        <v>B2B</v>
      </c>
      <c r="CA178" s="25" t="str">
        <f xml:space="preserve">
IFERROR(VLOOKUP(Table_Main[[#This Row],[Đơn bán]],Table_DonBan[],COUNTA(Table_DonBan[[#Headers],[Mã đơn bán]:[Mã NV]]),0),0)</f>
        <v>NV02</v>
      </c>
      <c r="CB178" s="7" t="str">
        <f xml:space="preserve">
IFERROR(VLOOKUP(Table_Main[[#This Row],[Đơn bán]],Table_DonBan[],COUNTA(Table_DonBan[[#Headers],[Mã đơn bán]:[Kênh]]),0),0)</f>
        <v>TT</v>
      </c>
      <c r="CC178" s="7" t="str">
        <f>VLOOKUP(Table_Main[[#This Row],[Kênh]],Table_Kenh[],COUNTA(Table_Kenh[[#Headers],[Kênh]:[Nhóm Kênh]]),0)</f>
        <v>Mạng xã hội</v>
      </c>
      <c r="CD178" s="53">
        <v>137</v>
      </c>
      <c r="CE178" s="7" t="str">
        <f>IFERROR(VLOOKUP(Table_Main[[#This Row],[Mã SKU]],Table_SKU[[Mã Sản phẩm]:[Giá bán]],COUNTA(Table_SKU[[#Headers],[Mã Sản phẩm]:[Đơn vị]]),0),0)</f>
        <v>Bộ</v>
      </c>
      <c r="CF178" s="7">
        <f>IFERROR(VLOOKUP(Table_Main[[#This Row],[Mã SKU]],Table_SKU[[Mã Sản phẩm]:[Giá bán]],COUNTA(Table_SKU[[#Headers],[Mã Sản phẩm]:[Giá bán]]),0),0)</f>
        <v>200000</v>
      </c>
      <c r="CG178" s="7">
        <f>Table_Main[[#This Row],[Giá bán]]*Table_Main[[#This Row],[Số lượng]]</f>
        <v>27400000</v>
      </c>
      <c r="CH178" s="60">
        <v>1370000</v>
      </c>
      <c r="CI178" s="7">
        <f>+Table_Main[[#This Row],[Thành tiền niêm yết]]-Table_Main[[#This Row],[Khuyễn mãi]]</f>
        <v>26030000</v>
      </c>
      <c r="CJ178" s="7" cm="1">
        <f t="array" ref="CJ178">VLOOKUP(Table_Main[[#This Row],[Đơn bán]],Table_DonBan[],COUNTA(Table_DonBan[[#Headers],[Mã đơn bán]:[Khuyễn mãi]]),0)*Table_Main[[#This Row],[Giá trị bán trước VAT]]/
SUM(_xlfn._xlws.FILTER(Table_Main[Giá trị bán trước VAT],
(Table_Main[Đơn bán]=Table_Main[[#This Row],[Đơn bán]])
))</f>
        <v>0</v>
      </c>
      <c r="CK178" s="7">
        <f>Table_Main[[#This Row],[Giá trị bán trước VAT]]-Table_Main[[#This Row],[Phân bổ khuyến mãi đơn]]</f>
        <v>26030000</v>
      </c>
      <c r="CL178"/>
      <c r="CM178"/>
    </row>
    <row r="179" spans="33:91" ht="16.5" x14ac:dyDescent="0.3">
      <c r="AG179"/>
      <c r="AH179"/>
      <c r="AI179"/>
      <c r="BT179" s="49" t="s">
        <v>60</v>
      </c>
      <c r="BU179" s="50" t="s">
        <v>117</v>
      </c>
      <c r="BV179" s="6">
        <f xml:space="preserve">
IFERROR(VLOOKUP(Table_Main[[#This Row],[Đơn bán]],Table_DonBan[],COUNTA(Table_DonBan[[#Headers],[Mã đơn bán]:[Ngày lập]]),0),0)</f>
        <v>45143</v>
      </c>
      <c r="BW179" s="51">
        <f>IFERROR(MONTH(Table_Main[[#This Row],[Ngày lên đơn]]),0)</f>
        <v>8</v>
      </c>
      <c r="BX179" s="51" t="str">
        <f>INDEX(Table_SKU[],
MATCH(Table_Main[[#This Row],[Mã SKU]],Table_SKU[Mã Sản phẩm],0),1)</f>
        <v>Nhóm 2</v>
      </c>
      <c r="BY179" s="52" t="str">
        <f xml:space="preserve">
IFERROR(VLOOKUP(Table_Main[[#This Row],[Đơn bán]],Table_DonBan[],COUNTA(Table_DonBan[[#Headers],[Mã đơn bán]:[Mã Khách]]),0),0)</f>
        <v>KH04</v>
      </c>
      <c r="BZ179" s="52" t="str">
        <f>VLOOKUP(Table_Main[[#This Row],[Khách hàng]],Table_KhachHang[],COUNTA(Table_KhachHang[[#Headers],[Mã khách]:[Phân khúc]]),0)</f>
        <v>B2B</v>
      </c>
      <c r="CA179" s="25" t="str">
        <f xml:space="preserve">
IFERROR(VLOOKUP(Table_Main[[#This Row],[Đơn bán]],Table_DonBan[],COUNTA(Table_DonBan[[#Headers],[Mã đơn bán]:[Mã NV]]),0),0)</f>
        <v>NV02</v>
      </c>
      <c r="CB179" s="7" t="str">
        <f xml:space="preserve">
IFERROR(VLOOKUP(Table_Main[[#This Row],[Đơn bán]],Table_DonBan[],COUNTA(Table_DonBan[[#Headers],[Mã đơn bán]:[Kênh]]),0),0)</f>
        <v>TT</v>
      </c>
      <c r="CC179" s="7" t="str">
        <f>VLOOKUP(Table_Main[[#This Row],[Kênh]],Table_Kenh[],COUNTA(Table_Kenh[[#Headers],[Kênh]:[Nhóm Kênh]]),0)</f>
        <v>Mạng xã hội</v>
      </c>
      <c r="CD179" s="53">
        <v>107</v>
      </c>
      <c r="CE179" s="7" t="str">
        <f>IFERROR(VLOOKUP(Table_Main[[#This Row],[Mã SKU]],Table_SKU[[Mã Sản phẩm]:[Giá bán]],COUNTA(Table_SKU[[#Headers],[Mã Sản phẩm]:[Đơn vị]]),0),0)</f>
        <v>Bộ</v>
      </c>
      <c r="CF179" s="7">
        <f>IFERROR(VLOOKUP(Table_Main[[#This Row],[Mã SKU]],Table_SKU[[Mã Sản phẩm]:[Giá bán]],COUNTA(Table_SKU[[#Headers],[Mã Sản phẩm]:[Giá bán]]),0),0)</f>
        <v>300000</v>
      </c>
      <c r="CG179" s="7">
        <f>Table_Main[[#This Row],[Giá bán]]*Table_Main[[#This Row],[Số lượng]]</f>
        <v>32100000</v>
      </c>
      <c r="CH179" s="60">
        <v>1605000</v>
      </c>
      <c r="CI179" s="7">
        <f>+Table_Main[[#This Row],[Thành tiền niêm yết]]-Table_Main[[#This Row],[Khuyễn mãi]]</f>
        <v>30495000</v>
      </c>
      <c r="CJ179" s="7" cm="1">
        <f t="array" ref="CJ179">VLOOKUP(Table_Main[[#This Row],[Đơn bán]],Table_DonBan[],COUNTA(Table_DonBan[[#Headers],[Mã đơn bán]:[Khuyễn mãi]]),0)*Table_Main[[#This Row],[Giá trị bán trước VAT]]/
SUM(_xlfn._xlws.FILTER(Table_Main[Giá trị bán trước VAT],
(Table_Main[Đơn bán]=Table_Main[[#This Row],[Đơn bán]])
))</f>
        <v>0</v>
      </c>
      <c r="CK179" s="7">
        <f>Table_Main[[#This Row],[Giá trị bán trước VAT]]-Table_Main[[#This Row],[Phân bổ khuyến mãi đơn]]</f>
        <v>30495000</v>
      </c>
      <c r="CL179"/>
      <c r="CM179"/>
    </row>
    <row r="180" spans="33:91" ht="16.5" x14ac:dyDescent="0.3">
      <c r="AG180"/>
      <c r="AH180"/>
      <c r="AI180"/>
      <c r="BT180" s="54" t="s">
        <v>61</v>
      </c>
      <c r="BU180" s="55" t="s">
        <v>117</v>
      </c>
      <c r="BV180" s="56">
        <f xml:space="preserve">
IFERROR(VLOOKUP(Table_Main[[#This Row],[Đơn bán]],Table_DonBan[],COUNTA(Table_DonBan[[#Headers],[Mã đơn bán]:[Ngày lập]]),0),0)</f>
        <v>45143</v>
      </c>
      <c r="BW180" s="51">
        <f>IFERROR(MONTH(Table_Main[[#This Row],[Ngày lên đơn]]),0)</f>
        <v>8</v>
      </c>
      <c r="BX180" s="51" t="str">
        <f>INDEX(Table_SKU[],
MATCH(Table_Main[[#This Row],[Mã SKU]],Table_SKU[Mã Sản phẩm],0),1)</f>
        <v>Nhóm 3</v>
      </c>
      <c r="BY180" s="52" t="str">
        <f xml:space="preserve">
IFERROR(VLOOKUP(Table_Main[[#This Row],[Đơn bán]],Table_DonBan[],COUNTA(Table_DonBan[[#Headers],[Mã đơn bán]:[Mã Khách]]),0),0)</f>
        <v>KH04</v>
      </c>
      <c r="BZ180" s="52" t="str">
        <f>VLOOKUP(Table_Main[[#This Row],[Khách hàng]],Table_KhachHang[],COUNTA(Table_KhachHang[[#Headers],[Mã khách]:[Phân khúc]]),0)</f>
        <v>B2B</v>
      </c>
      <c r="CA180" s="57" t="str">
        <f xml:space="preserve">
IFERROR(VLOOKUP(Table_Main[[#This Row],[Đơn bán]],Table_DonBan[],COUNTA(Table_DonBan[[#Headers],[Mã đơn bán]:[Mã NV]]),0),0)</f>
        <v>NV02</v>
      </c>
      <c r="CB180" s="58" t="str">
        <f xml:space="preserve">
IFERROR(VLOOKUP(Table_Main[[#This Row],[Đơn bán]],Table_DonBan[],COUNTA(Table_DonBan[[#Headers],[Mã đơn bán]:[Kênh]]),0),0)</f>
        <v>TT</v>
      </c>
      <c r="CC180" s="58" t="str">
        <f>VLOOKUP(Table_Main[[#This Row],[Kênh]],Table_Kenh[],COUNTA(Table_Kenh[[#Headers],[Kênh]:[Nhóm Kênh]]),0)</f>
        <v>Mạng xã hội</v>
      </c>
      <c r="CD180" s="59">
        <v>69</v>
      </c>
      <c r="CE180" s="58" t="str">
        <f>IFERROR(VLOOKUP(Table_Main[[#This Row],[Mã SKU]],Table_SKU[[Mã Sản phẩm]:[Giá bán]],COUNTA(Table_SKU[[#Headers],[Mã Sản phẩm]:[Đơn vị]]),0),0)</f>
        <v>Bộ</v>
      </c>
      <c r="CF180" s="58">
        <f>IFERROR(VLOOKUP(Table_Main[[#This Row],[Mã SKU]],Table_SKU[[Mã Sản phẩm]:[Giá bán]],COUNTA(Table_SKU[[#Headers],[Mã Sản phẩm]:[Giá bán]]),0),0)</f>
        <v>500000</v>
      </c>
      <c r="CG180" s="58">
        <f>Table_Main[[#This Row],[Giá bán]]*Table_Main[[#This Row],[Số lượng]]</f>
        <v>34500000</v>
      </c>
      <c r="CH180" s="61">
        <v>1725000</v>
      </c>
      <c r="CI180" s="58">
        <f>+Table_Main[[#This Row],[Thành tiền niêm yết]]-Table_Main[[#This Row],[Khuyễn mãi]]</f>
        <v>32775000</v>
      </c>
      <c r="CJ180" s="7" cm="1">
        <f t="array" ref="CJ180">VLOOKUP(Table_Main[[#This Row],[Đơn bán]],Table_DonBan[],COUNTA(Table_DonBan[[#Headers],[Mã đơn bán]:[Khuyễn mãi]]),0)*Table_Main[[#This Row],[Giá trị bán trước VAT]]/
SUM(_xlfn._xlws.FILTER(Table_Main[Giá trị bán trước VAT],
(Table_Main[Đơn bán]=Table_Main[[#This Row],[Đơn bán]])
))</f>
        <v>0</v>
      </c>
      <c r="CK180" s="7">
        <f>Table_Main[[#This Row],[Giá trị bán trước VAT]]-Table_Main[[#This Row],[Phân bổ khuyến mãi đơn]]</f>
        <v>32775000</v>
      </c>
      <c r="CL180"/>
      <c r="CM180"/>
    </row>
    <row r="181" spans="33:91" ht="16.5" x14ac:dyDescent="0.3">
      <c r="AG181"/>
      <c r="AH181"/>
      <c r="AI181"/>
      <c r="BT181" s="49" t="s">
        <v>59</v>
      </c>
      <c r="BU181" s="50" t="s">
        <v>116</v>
      </c>
      <c r="BV181" s="6">
        <f xml:space="preserve">
IFERROR(VLOOKUP(Table_Main[[#This Row],[Đơn bán]],Table_DonBan[],COUNTA(Table_DonBan[[#Headers],[Mã đơn bán]:[Ngày lập]]),0),0)</f>
        <v>45132</v>
      </c>
      <c r="BW181" s="51">
        <f>IFERROR(MONTH(Table_Main[[#This Row],[Ngày lên đơn]]),0)</f>
        <v>7</v>
      </c>
      <c r="BX181" s="51" t="str">
        <f>INDEX(Table_SKU[],
MATCH(Table_Main[[#This Row],[Mã SKU]],Table_SKU[Mã Sản phẩm],0),1)</f>
        <v>Nhóm 1</v>
      </c>
      <c r="BY181" s="52" t="str">
        <f xml:space="preserve">
IFERROR(VLOOKUP(Table_Main[[#This Row],[Đơn bán]],Table_DonBan[],COUNTA(Table_DonBan[[#Headers],[Mã đơn bán]:[Mã Khách]]),0),0)</f>
        <v>KH05</v>
      </c>
      <c r="BZ181" s="52" t="str">
        <f>VLOOKUP(Table_Main[[#This Row],[Khách hàng]],Table_KhachHang[],COUNTA(Table_KhachHang[[#Headers],[Mã khách]:[Phân khúc]]),0)</f>
        <v>B2C</v>
      </c>
      <c r="CA181" s="25" t="str">
        <f xml:space="preserve">
IFERROR(VLOOKUP(Table_Main[[#This Row],[Đơn bán]],Table_DonBan[],COUNTA(Table_DonBan[[#Headers],[Mã đơn bán]:[Mã NV]]),0),0)</f>
        <v>NV03</v>
      </c>
      <c r="CB181" s="7" t="str">
        <f xml:space="preserve">
IFERROR(VLOOKUP(Table_Main[[#This Row],[Đơn bán]],Table_DonBan[],COUNTA(Table_DonBan[[#Headers],[Mã đơn bán]:[Kênh]]),0),0)</f>
        <v>ST</v>
      </c>
      <c r="CC181" s="7" t="str">
        <f>VLOOKUP(Table_Main[[#This Row],[Kênh]],Table_Kenh[],COUNTA(Table_Kenh[[#Headers],[Kênh]:[Nhóm Kênh]]),0)</f>
        <v>Offline</v>
      </c>
      <c r="CD181" s="53">
        <v>136</v>
      </c>
      <c r="CE181" s="7" t="str">
        <f>IFERROR(VLOOKUP(Table_Main[[#This Row],[Mã SKU]],Table_SKU[[Mã Sản phẩm]:[Giá bán]],COUNTA(Table_SKU[[#Headers],[Mã Sản phẩm]:[Đơn vị]]),0),0)</f>
        <v>Bộ</v>
      </c>
      <c r="CF181" s="7">
        <f>IFERROR(VLOOKUP(Table_Main[[#This Row],[Mã SKU]],Table_SKU[[Mã Sản phẩm]:[Giá bán]],COUNTA(Table_SKU[[#Headers],[Mã Sản phẩm]:[Giá bán]]),0),0)</f>
        <v>200000</v>
      </c>
      <c r="CG181" s="7">
        <f>Table_Main[[#This Row],[Giá bán]]*Table_Main[[#This Row],[Số lượng]]</f>
        <v>27200000</v>
      </c>
      <c r="CH181" s="60">
        <v>0</v>
      </c>
      <c r="CI181" s="7">
        <f>+Table_Main[[#This Row],[Thành tiền niêm yết]]-Table_Main[[#This Row],[Khuyễn mãi]]</f>
        <v>27200000</v>
      </c>
      <c r="CJ181" s="7" cm="1">
        <f t="array" ref="CJ181">VLOOKUP(Table_Main[[#This Row],[Đơn bán]],Table_DonBan[],COUNTA(Table_DonBan[[#Headers],[Mã đơn bán]:[Khuyễn mãi]]),0)*Table_Main[[#This Row],[Giá trị bán trước VAT]]/
SUM(_xlfn._xlws.FILTER(Table_Main[Giá trị bán trước VAT],
(Table_Main[Đơn bán]=Table_Main[[#This Row],[Đơn bán]])
))</f>
        <v>0</v>
      </c>
      <c r="CK181" s="7">
        <f>Table_Main[[#This Row],[Giá trị bán trước VAT]]-Table_Main[[#This Row],[Phân bổ khuyến mãi đơn]]</f>
        <v>27200000</v>
      </c>
      <c r="CL181"/>
      <c r="CM181"/>
    </row>
    <row r="182" spans="33:91" ht="16.5" x14ac:dyDescent="0.3">
      <c r="AG182"/>
      <c r="AH182"/>
      <c r="AI182"/>
      <c r="BT182" s="49" t="s">
        <v>60</v>
      </c>
      <c r="BU182" s="50" t="s">
        <v>116</v>
      </c>
      <c r="BV182" s="6">
        <f xml:space="preserve">
IFERROR(VLOOKUP(Table_Main[[#This Row],[Đơn bán]],Table_DonBan[],COUNTA(Table_DonBan[[#Headers],[Mã đơn bán]:[Ngày lập]]),0),0)</f>
        <v>45132</v>
      </c>
      <c r="BW182" s="51">
        <f>IFERROR(MONTH(Table_Main[[#This Row],[Ngày lên đơn]]),0)</f>
        <v>7</v>
      </c>
      <c r="BX182" s="51" t="str">
        <f>INDEX(Table_SKU[],
MATCH(Table_Main[[#This Row],[Mã SKU]],Table_SKU[Mã Sản phẩm],0),1)</f>
        <v>Nhóm 2</v>
      </c>
      <c r="BY182" s="52" t="str">
        <f xml:space="preserve">
IFERROR(VLOOKUP(Table_Main[[#This Row],[Đơn bán]],Table_DonBan[],COUNTA(Table_DonBan[[#Headers],[Mã đơn bán]:[Mã Khách]]),0),0)</f>
        <v>KH05</v>
      </c>
      <c r="BZ182" s="52" t="str">
        <f>VLOOKUP(Table_Main[[#This Row],[Khách hàng]],Table_KhachHang[],COUNTA(Table_KhachHang[[#Headers],[Mã khách]:[Phân khúc]]),0)</f>
        <v>B2C</v>
      </c>
      <c r="CA182" s="25" t="str">
        <f xml:space="preserve">
IFERROR(VLOOKUP(Table_Main[[#This Row],[Đơn bán]],Table_DonBan[],COUNTA(Table_DonBan[[#Headers],[Mã đơn bán]:[Mã NV]]),0),0)</f>
        <v>NV03</v>
      </c>
      <c r="CB182" s="7" t="str">
        <f xml:space="preserve">
IFERROR(VLOOKUP(Table_Main[[#This Row],[Đơn bán]],Table_DonBan[],COUNTA(Table_DonBan[[#Headers],[Mã đơn bán]:[Kênh]]),0),0)</f>
        <v>ST</v>
      </c>
      <c r="CC182" s="7" t="str">
        <f>VLOOKUP(Table_Main[[#This Row],[Kênh]],Table_Kenh[],COUNTA(Table_Kenh[[#Headers],[Kênh]:[Nhóm Kênh]]),0)</f>
        <v>Offline</v>
      </c>
      <c r="CD182" s="53">
        <v>109</v>
      </c>
      <c r="CE182" s="7" t="str">
        <f>IFERROR(VLOOKUP(Table_Main[[#This Row],[Mã SKU]],Table_SKU[[Mã Sản phẩm]:[Giá bán]],COUNTA(Table_SKU[[#Headers],[Mã Sản phẩm]:[Đơn vị]]),0),0)</f>
        <v>Bộ</v>
      </c>
      <c r="CF182" s="7">
        <f>IFERROR(VLOOKUP(Table_Main[[#This Row],[Mã SKU]],Table_SKU[[Mã Sản phẩm]:[Giá bán]],COUNTA(Table_SKU[[#Headers],[Mã Sản phẩm]:[Giá bán]]),0),0)</f>
        <v>300000</v>
      </c>
      <c r="CG182" s="7">
        <f>Table_Main[[#This Row],[Giá bán]]*Table_Main[[#This Row],[Số lượng]]</f>
        <v>32700000</v>
      </c>
      <c r="CH182" s="60">
        <v>0</v>
      </c>
      <c r="CI182" s="7">
        <f>+Table_Main[[#This Row],[Thành tiền niêm yết]]-Table_Main[[#This Row],[Khuyễn mãi]]</f>
        <v>32700000</v>
      </c>
      <c r="CJ182" s="7" cm="1">
        <f t="array" ref="CJ182">VLOOKUP(Table_Main[[#This Row],[Đơn bán]],Table_DonBan[],COUNTA(Table_DonBan[[#Headers],[Mã đơn bán]:[Khuyễn mãi]]),0)*Table_Main[[#This Row],[Giá trị bán trước VAT]]/
SUM(_xlfn._xlws.FILTER(Table_Main[Giá trị bán trước VAT],
(Table_Main[Đơn bán]=Table_Main[[#This Row],[Đơn bán]])
))</f>
        <v>0</v>
      </c>
      <c r="CK182" s="7">
        <f>Table_Main[[#This Row],[Giá trị bán trước VAT]]-Table_Main[[#This Row],[Phân bổ khuyến mãi đơn]]</f>
        <v>32700000</v>
      </c>
      <c r="CL182"/>
      <c r="CM182"/>
    </row>
    <row r="183" spans="33:91" ht="16.5" x14ac:dyDescent="0.3">
      <c r="AG183"/>
      <c r="AH183"/>
      <c r="AI183"/>
      <c r="BT183" s="49" t="s">
        <v>61</v>
      </c>
      <c r="BU183" s="50" t="s">
        <v>116</v>
      </c>
      <c r="BV183" s="6">
        <f xml:space="preserve">
IFERROR(VLOOKUP(Table_Main[[#This Row],[Đơn bán]],Table_DonBan[],COUNTA(Table_DonBan[[#Headers],[Mã đơn bán]:[Ngày lập]]),0),0)</f>
        <v>45132</v>
      </c>
      <c r="BW183" s="51">
        <f>IFERROR(MONTH(Table_Main[[#This Row],[Ngày lên đơn]]),0)</f>
        <v>7</v>
      </c>
      <c r="BX183" s="51" t="str">
        <f>INDEX(Table_SKU[],
MATCH(Table_Main[[#This Row],[Mã SKU]],Table_SKU[Mã Sản phẩm],0),1)</f>
        <v>Nhóm 3</v>
      </c>
      <c r="BY183" s="10" t="str">
        <f xml:space="preserve">
IFERROR(VLOOKUP(Table_Main[[#This Row],[Đơn bán]],Table_DonBan[],COUNTA(Table_DonBan[[#Headers],[Mã đơn bán]:[Mã Khách]]),0),0)</f>
        <v>KH05</v>
      </c>
      <c r="BZ183" s="10" t="str">
        <f>VLOOKUP(Table_Main[[#This Row],[Khách hàng]],Table_KhachHang[],COUNTA(Table_KhachHang[[#Headers],[Mã khách]:[Phân khúc]]),0)</f>
        <v>B2C</v>
      </c>
      <c r="CA183" s="25" t="str">
        <f xml:space="preserve">
IFERROR(VLOOKUP(Table_Main[[#This Row],[Đơn bán]],Table_DonBan[],COUNTA(Table_DonBan[[#Headers],[Mã đơn bán]:[Mã NV]]),0),0)</f>
        <v>NV03</v>
      </c>
      <c r="CB183" s="7" t="str">
        <f xml:space="preserve">
IFERROR(VLOOKUP(Table_Main[[#This Row],[Đơn bán]],Table_DonBan[],COUNTA(Table_DonBan[[#Headers],[Mã đơn bán]:[Kênh]]),0),0)</f>
        <v>ST</v>
      </c>
      <c r="CC183" s="7" t="str">
        <f>VLOOKUP(Table_Main[[#This Row],[Kênh]],Table_Kenh[],COUNTA(Table_Kenh[[#Headers],[Kênh]:[Nhóm Kênh]]),0)</f>
        <v>Offline</v>
      </c>
      <c r="CD183" s="53">
        <v>70</v>
      </c>
      <c r="CE183" s="7" t="str">
        <f>IFERROR(VLOOKUP(Table_Main[[#This Row],[Mã SKU]],Table_SKU[[Mã Sản phẩm]:[Giá bán]],COUNTA(Table_SKU[[#Headers],[Mã Sản phẩm]:[Đơn vị]]),0),0)</f>
        <v>Bộ</v>
      </c>
      <c r="CF183" s="7">
        <f>IFERROR(VLOOKUP(Table_Main[[#This Row],[Mã SKU]],Table_SKU[[Mã Sản phẩm]:[Giá bán]],COUNTA(Table_SKU[[#Headers],[Mã Sản phẩm]:[Giá bán]]),0),0)</f>
        <v>500000</v>
      </c>
      <c r="CG183" s="7">
        <f>Table_Main[[#This Row],[Giá bán]]*Table_Main[[#This Row],[Số lượng]]</f>
        <v>35000000</v>
      </c>
      <c r="CH183" s="60">
        <v>0</v>
      </c>
      <c r="CI183" s="7">
        <f>+Table_Main[[#This Row],[Thành tiền niêm yết]]-Table_Main[[#This Row],[Khuyễn mãi]]</f>
        <v>35000000</v>
      </c>
      <c r="CJ183" s="7" cm="1">
        <f t="array" ref="CJ183">VLOOKUP(Table_Main[[#This Row],[Đơn bán]],Table_DonBan[],COUNTA(Table_DonBan[[#Headers],[Mã đơn bán]:[Khuyễn mãi]]),0)*Table_Main[[#This Row],[Giá trị bán trước VAT]]/
SUM(_xlfn._xlws.FILTER(Table_Main[Giá trị bán trước VAT],
(Table_Main[Đơn bán]=Table_Main[[#This Row],[Đơn bán]])
))</f>
        <v>0</v>
      </c>
      <c r="CK183" s="7">
        <f>Table_Main[[#This Row],[Giá trị bán trước VAT]]-Table_Main[[#This Row],[Phân bổ khuyến mãi đơn]]</f>
        <v>35000000</v>
      </c>
      <c r="CL183"/>
      <c r="CM183"/>
    </row>
    <row r="184" spans="33:91" ht="16.5" x14ac:dyDescent="0.3">
      <c r="AG184"/>
      <c r="AH184"/>
      <c r="AI184"/>
      <c r="BT184" s="49" t="s">
        <v>59</v>
      </c>
      <c r="BU184" s="50" t="s">
        <v>115</v>
      </c>
      <c r="BV184" s="6">
        <f xml:space="preserve">
IFERROR(VLOOKUP(Table_Main[[#This Row],[Đơn bán]],Table_DonBan[],COUNTA(Table_DonBan[[#Headers],[Mã đơn bán]:[Ngày lập]]),0),0)</f>
        <v>45122</v>
      </c>
      <c r="BW184" s="51">
        <f>IFERROR(MONTH(Table_Main[[#This Row],[Ngày lên đơn]]),0)</f>
        <v>7</v>
      </c>
      <c r="BX184" s="51" t="str">
        <f>INDEX(Table_SKU[],
MATCH(Table_Main[[#This Row],[Mã SKU]],Table_SKU[Mã Sản phẩm],0),1)</f>
        <v>Nhóm 1</v>
      </c>
      <c r="BY184" s="52" t="str">
        <f xml:space="preserve">
IFERROR(VLOOKUP(Table_Main[[#This Row],[Đơn bán]],Table_DonBan[],COUNTA(Table_DonBan[[#Headers],[Mã đơn bán]:[Mã Khách]]),0),0)</f>
        <v>KH03</v>
      </c>
      <c r="BZ184" s="52" t="str">
        <f>VLOOKUP(Table_Main[[#This Row],[Khách hàng]],Table_KhachHang[],COUNTA(Table_KhachHang[[#Headers],[Mã khách]:[Phân khúc]]),0)</f>
        <v>B2C</v>
      </c>
      <c r="CA184" s="25" t="str">
        <f xml:space="preserve">
IFERROR(VLOOKUP(Table_Main[[#This Row],[Đơn bán]],Table_DonBan[],COUNTA(Table_DonBan[[#Headers],[Mã đơn bán]:[Mã NV]]),0),0)</f>
        <v>NV02</v>
      </c>
      <c r="CB184" s="7" t="str">
        <f xml:space="preserve">
IFERROR(VLOOKUP(Table_Main[[#This Row],[Đơn bán]],Table_DonBan[],COUNTA(Table_DonBan[[#Headers],[Mã đơn bán]:[Kênh]]),0),0)</f>
        <v>LZ</v>
      </c>
      <c r="CC184" s="7" t="str">
        <f>VLOOKUP(Table_Main[[#This Row],[Kênh]],Table_Kenh[],COUNTA(Table_Kenh[[#Headers],[Kênh]:[Nhóm Kênh]]),0)</f>
        <v>Sàn TMĐT</v>
      </c>
      <c r="CD184" s="53">
        <v>131</v>
      </c>
      <c r="CE184" s="7" t="str">
        <f>IFERROR(VLOOKUP(Table_Main[[#This Row],[Mã SKU]],Table_SKU[[Mã Sản phẩm]:[Giá bán]],COUNTA(Table_SKU[[#Headers],[Mã Sản phẩm]:[Đơn vị]]),0),0)</f>
        <v>Bộ</v>
      </c>
      <c r="CF184" s="7">
        <f>IFERROR(VLOOKUP(Table_Main[[#This Row],[Mã SKU]],Table_SKU[[Mã Sản phẩm]:[Giá bán]],COUNTA(Table_SKU[[#Headers],[Mã Sản phẩm]:[Giá bán]]),0),0)</f>
        <v>200000</v>
      </c>
      <c r="CG184" s="7">
        <f>Table_Main[[#This Row],[Giá bán]]*Table_Main[[#This Row],[Số lượng]]</f>
        <v>26200000</v>
      </c>
      <c r="CH184" s="60">
        <v>0</v>
      </c>
      <c r="CI184" s="7">
        <f>+Table_Main[[#This Row],[Thành tiền niêm yết]]-Table_Main[[#This Row],[Khuyễn mãi]]</f>
        <v>26200000</v>
      </c>
      <c r="CJ184" s="7" cm="1">
        <f t="array" ref="CJ184">VLOOKUP(Table_Main[[#This Row],[Đơn bán]],Table_DonBan[],COUNTA(Table_DonBan[[#Headers],[Mã đơn bán]:[Khuyễn mãi]]),0)*Table_Main[[#This Row],[Giá trị bán trước VAT]]/
SUM(_xlfn._xlws.FILTER(Table_Main[Giá trị bán trước VAT],
(Table_Main[Đơn bán]=Table_Main[[#This Row],[Đơn bán]])
))</f>
        <v>0</v>
      </c>
      <c r="CK184" s="7">
        <f>Table_Main[[#This Row],[Giá trị bán trước VAT]]-Table_Main[[#This Row],[Phân bổ khuyến mãi đơn]]</f>
        <v>26200000</v>
      </c>
      <c r="CL184"/>
      <c r="CM184"/>
    </row>
    <row r="185" spans="33:91" ht="16.5" x14ac:dyDescent="0.3">
      <c r="AG185"/>
      <c r="AH185"/>
      <c r="AI185"/>
      <c r="BT185" s="49" t="s">
        <v>60</v>
      </c>
      <c r="BU185" s="50" t="s">
        <v>115</v>
      </c>
      <c r="BV185" s="6">
        <f xml:space="preserve">
IFERROR(VLOOKUP(Table_Main[[#This Row],[Đơn bán]],Table_DonBan[],COUNTA(Table_DonBan[[#Headers],[Mã đơn bán]:[Ngày lập]]),0),0)</f>
        <v>45122</v>
      </c>
      <c r="BW185" s="51">
        <f>IFERROR(MONTH(Table_Main[[#This Row],[Ngày lên đơn]]),0)</f>
        <v>7</v>
      </c>
      <c r="BX185" s="51" t="str">
        <f>INDEX(Table_SKU[],
MATCH(Table_Main[[#This Row],[Mã SKU]],Table_SKU[Mã Sản phẩm],0),1)</f>
        <v>Nhóm 2</v>
      </c>
      <c r="BY185" s="52" t="str">
        <f xml:space="preserve">
IFERROR(VLOOKUP(Table_Main[[#This Row],[Đơn bán]],Table_DonBan[],COUNTA(Table_DonBan[[#Headers],[Mã đơn bán]:[Mã Khách]]),0),0)</f>
        <v>KH03</v>
      </c>
      <c r="BZ185" s="52" t="str">
        <f>VLOOKUP(Table_Main[[#This Row],[Khách hàng]],Table_KhachHang[],COUNTA(Table_KhachHang[[#Headers],[Mã khách]:[Phân khúc]]),0)</f>
        <v>B2C</v>
      </c>
      <c r="CA185" s="25" t="str">
        <f xml:space="preserve">
IFERROR(VLOOKUP(Table_Main[[#This Row],[Đơn bán]],Table_DonBan[],COUNTA(Table_DonBan[[#Headers],[Mã đơn bán]:[Mã NV]]),0),0)</f>
        <v>NV02</v>
      </c>
      <c r="CB185" s="7" t="str">
        <f xml:space="preserve">
IFERROR(VLOOKUP(Table_Main[[#This Row],[Đơn bán]],Table_DonBan[],COUNTA(Table_DonBan[[#Headers],[Mã đơn bán]:[Kênh]]),0),0)</f>
        <v>LZ</v>
      </c>
      <c r="CC185" s="7" t="str">
        <f>VLOOKUP(Table_Main[[#This Row],[Kênh]],Table_Kenh[],COUNTA(Table_Kenh[[#Headers],[Kênh]:[Nhóm Kênh]]),0)</f>
        <v>Sàn TMĐT</v>
      </c>
      <c r="CD185" s="53">
        <v>110</v>
      </c>
      <c r="CE185" s="7" t="str">
        <f>IFERROR(VLOOKUP(Table_Main[[#This Row],[Mã SKU]],Table_SKU[[Mã Sản phẩm]:[Giá bán]],COUNTA(Table_SKU[[#Headers],[Mã Sản phẩm]:[Đơn vị]]),0),0)</f>
        <v>Bộ</v>
      </c>
      <c r="CF185" s="7">
        <f>IFERROR(VLOOKUP(Table_Main[[#This Row],[Mã SKU]],Table_SKU[[Mã Sản phẩm]:[Giá bán]],COUNTA(Table_SKU[[#Headers],[Mã Sản phẩm]:[Giá bán]]),0),0)</f>
        <v>300000</v>
      </c>
      <c r="CG185" s="7">
        <f>Table_Main[[#This Row],[Giá bán]]*Table_Main[[#This Row],[Số lượng]]</f>
        <v>33000000</v>
      </c>
      <c r="CH185" s="60">
        <v>0</v>
      </c>
      <c r="CI185" s="7">
        <f>+Table_Main[[#This Row],[Thành tiền niêm yết]]-Table_Main[[#This Row],[Khuyễn mãi]]</f>
        <v>33000000</v>
      </c>
      <c r="CJ185" s="7" cm="1">
        <f t="array" ref="CJ185">VLOOKUP(Table_Main[[#This Row],[Đơn bán]],Table_DonBan[],COUNTA(Table_DonBan[[#Headers],[Mã đơn bán]:[Khuyễn mãi]]),0)*Table_Main[[#This Row],[Giá trị bán trước VAT]]/
SUM(_xlfn._xlws.FILTER(Table_Main[Giá trị bán trước VAT],
(Table_Main[Đơn bán]=Table_Main[[#This Row],[Đơn bán]])
))</f>
        <v>0</v>
      </c>
      <c r="CK185" s="7">
        <f>Table_Main[[#This Row],[Giá trị bán trước VAT]]-Table_Main[[#This Row],[Phân bổ khuyến mãi đơn]]</f>
        <v>33000000</v>
      </c>
      <c r="CL185"/>
      <c r="CM185"/>
    </row>
    <row r="186" spans="33:91" ht="16.5" x14ac:dyDescent="0.3">
      <c r="AG186"/>
      <c r="AH186"/>
      <c r="AI186"/>
      <c r="BT186" s="49" t="s">
        <v>61</v>
      </c>
      <c r="BU186" s="50" t="s">
        <v>115</v>
      </c>
      <c r="BV186" s="6">
        <f xml:space="preserve">
IFERROR(VLOOKUP(Table_Main[[#This Row],[Đơn bán]],Table_DonBan[],COUNTA(Table_DonBan[[#Headers],[Mã đơn bán]:[Ngày lập]]),0),0)</f>
        <v>45122</v>
      </c>
      <c r="BW186" s="51">
        <f>IFERROR(MONTH(Table_Main[[#This Row],[Ngày lên đơn]]),0)</f>
        <v>7</v>
      </c>
      <c r="BX186" s="51" t="str">
        <f>INDEX(Table_SKU[],
MATCH(Table_Main[[#This Row],[Mã SKU]],Table_SKU[Mã Sản phẩm],0),1)</f>
        <v>Nhóm 3</v>
      </c>
      <c r="BY186" s="52" t="str">
        <f xml:space="preserve">
IFERROR(VLOOKUP(Table_Main[[#This Row],[Đơn bán]],Table_DonBan[],COUNTA(Table_DonBan[[#Headers],[Mã đơn bán]:[Mã Khách]]),0),0)</f>
        <v>KH03</v>
      </c>
      <c r="BZ186" s="52" t="str">
        <f>VLOOKUP(Table_Main[[#This Row],[Khách hàng]],Table_KhachHang[],COUNTA(Table_KhachHang[[#Headers],[Mã khách]:[Phân khúc]]),0)</f>
        <v>B2C</v>
      </c>
      <c r="CA186" s="25" t="str">
        <f xml:space="preserve">
IFERROR(VLOOKUP(Table_Main[[#This Row],[Đơn bán]],Table_DonBan[],COUNTA(Table_DonBan[[#Headers],[Mã đơn bán]:[Mã NV]]),0),0)</f>
        <v>NV02</v>
      </c>
      <c r="CB186" s="7" t="str">
        <f xml:space="preserve">
IFERROR(VLOOKUP(Table_Main[[#This Row],[Đơn bán]],Table_DonBan[],COUNTA(Table_DonBan[[#Headers],[Mã đơn bán]:[Kênh]]),0),0)</f>
        <v>LZ</v>
      </c>
      <c r="CC186" s="7" t="str">
        <f>VLOOKUP(Table_Main[[#This Row],[Kênh]],Table_Kenh[],COUNTA(Table_Kenh[[#Headers],[Kênh]:[Nhóm Kênh]]),0)</f>
        <v>Sàn TMĐT</v>
      </c>
      <c r="CD186" s="53">
        <v>67</v>
      </c>
      <c r="CE186" s="7" t="str">
        <f>IFERROR(VLOOKUP(Table_Main[[#This Row],[Mã SKU]],Table_SKU[[Mã Sản phẩm]:[Giá bán]],COUNTA(Table_SKU[[#Headers],[Mã Sản phẩm]:[Đơn vị]]),0),0)</f>
        <v>Bộ</v>
      </c>
      <c r="CF186" s="7">
        <f>IFERROR(VLOOKUP(Table_Main[[#This Row],[Mã SKU]],Table_SKU[[Mã Sản phẩm]:[Giá bán]],COUNTA(Table_SKU[[#Headers],[Mã Sản phẩm]:[Giá bán]]),0),0)</f>
        <v>500000</v>
      </c>
      <c r="CG186" s="7">
        <f>Table_Main[[#This Row],[Giá bán]]*Table_Main[[#This Row],[Số lượng]]</f>
        <v>33500000</v>
      </c>
      <c r="CH186" s="60">
        <v>0</v>
      </c>
      <c r="CI186" s="7">
        <f>+Table_Main[[#This Row],[Thành tiền niêm yết]]-Table_Main[[#This Row],[Khuyễn mãi]]</f>
        <v>33500000</v>
      </c>
      <c r="CJ186" s="7" cm="1">
        <f t="array" ref="CJ186">VLOOKUP(Table_Main[[#This Row],[Đơn bán]],Table_DonBan[],COUNTA(Table_DonBan[[#Headers],[Mã đơn bán]:[Khuyễn mãi]]),0)*Table_Main[[#This Row],[Giá trị bán trước VAT]]/
SUM(_xlfn._xlws.FILTER(Table_Main[Giá trị bán trước VAT],
(Table_Main[Đơn bán]=Table_Main[[#This Row],[Đơn bán]])
))</f>
        <v>0</v>
      </c>
      <c r="CK186" s="7">
        <f>Table_Main[[#This Row],[Giá trị bán trước VAT]]-Table_Main[[#This Row],[Phân bổ khuyến mãi đơn]]</f>
        <v>33500000</v>
      </c>
      <c r="CL186"/>
      <c r="CM186"/>
    </row>
    <row r="187" spans="33:91" ht="16.5" x14ac:dyDescent="0.3">
      <c r="AG187"/>
      <c r="AH187"/>
      <c r="AI187"/>
      <c r="BT187" s="49" t="s">
        <v>59</v>
      </c>
      <c r="BU187" s="50" t="s">
        <v>114</v>
      </c>
      <c r="BV187" s="6">
        <f xml:space="preserve">
IFERROR(VLOOKUP(Table_Main[[#This Row],[Đơn bán]],Table_DonBan[],COUNTA(Table_DonBan[[#Headers],[Mã đơn bán]:[Ngày lập]]),0),0)</f>
        <v>45112</v>
      </c>
      <c r="BW187" s="51">
        <f>IFERROR(MONTH(Table_Main[[#This Row],[Ngày lên đơn]]),0)</f>
        <v>7</v>
      </c>
      <c r="BX187" s="51" t="str">
        <f>INDEX(Table_SKU[],
MATCH(Table_Main[[#This Row],[Mã SKU]],Table_SKU[Mã Sản phẩm],0),1)</f>
        <v>Nhóm 1</v>
      </c>
      <c r="BY187" s="52" t="str">
        <f xml:space="preserve">
IFERROR(VLOOKUP(Table_Main[[#This Row],[Đơn bán]],Table_DonBan[],COUNTA(Table_DonBan[[#Headers],[Mã đơn bán]:[Mã Khách]]),0),0)</f>
        <v>KH03</v>
      </c>
      <c r="BZ187" s="52" t="str">
        <f>VLOOKUP(Table_Main[[#This Row],[Khách hàng]],Table_KhachHang[],COUNTA(Table_KhachHang[[#Headers],[Mã khách]:[Phân khúc]]),0)</f>
        <v>B2C</v>
      </c>
      <c r="CA187" s="25" t="str">
        <f xml:space="preserve">
IFERROR(VLOOKUP(Table_Main[[#This Row],[Đơn bán]],Table_DonBan[],COUNTA(Table_DonBan[[#Headers],[Mã đơn bán]:[Mã NV]]),0),0)</f>
        <v>NV03</v>
      </c>
      <c r="CB187" s="7" t="str">
        <f xml:space="preserve">
IFERROR(VLOOKUP(Table_Main[[#This Row],[Đơn bán]],Table_DonBan[],COUNTA(Table_DonBan[[#Headers],[Mã đơn bán]:[Kênh]]),0),0)</f>
        <v>ST</v>
      </c>
      <c r="CC187" s="7" t="str">
        <f>VLOOKUP(Table_Main[[#This Row],[Kênh]],Table_Kenh[],COUNTA(Table_Kenh[[#Headers],[Kênh]:[Nhóm Kênh]]),0)</f>
        <v>Offline</v>
      </c>
      <c r="CD187" s="53">
        <v>131</v>
      </c>
      <c r="CE187" s="7" t="str">
        <f>IFERROR(VLOOKUP(Table_Main[[#This Row],[Mã SKU]],Table_SKU[[Mã Sản phẩm]:[Giá bán]],COUNTA(Table_SKU[[#Headers],[Mã Sản phẩm]:[Đơn vị]]),0),0)</f>
        <v>Bộ</v>
      </c>
      <c r="CF187" s="7">
        <f>IFERROR(VLOOKUP(Table_Main[[#This Row],[Mã SKU]],Table_SKU[[Mã Sản phẩm]:[Giá bán]],COUNTA(Table_SKU[[#Headers],[Mã Sản phẩm]:[Giá bán]]),0),0)</f>
        <v>200000</v>
      </c>
      <c r="CG187" s="7">
        <f>Table_Main[[#This Row],[Giá bán]]*Table_Main[[#This Row],[Số lượng]]</f>
        <v>26200000</v>
      </c>
      <c r="CH187" s="60">
        <v>0</v>
      </c>
      <c r="CI187" s="7">
        <f>+Table_Main[[#This Row],[Thành tiền niêm yết]]-Table_Main[[#This Row],[Khuyễn mãi]]</f>
        <v>26200000</v>
      </c>
      <c r="CJ187" s="7" cm="1">
        <f t="array" ref="CJ187">VLOOKUP(Table_Main[[#This Row],[Đơn bán]],Table_DonBan[],COUNTA(Table_DonBan[[#Headers],[Mã đơn bán]:[Khuyễn mãi]]),0)*Table_Main[[#This Row],[Giá trị bán trước VAT]]/
SUM(_xlfn._xlws.FILTER(Table_Main[Giá trị bán trước VAT],
(Table_Main[Đơn bán]=Table_Main[[#This Row],[Đơn bán]])
))</f>
        <v>0</v>
      </c>
      <c r="CK187" s="7">
        <f>Table_Main[[#This Row],[Giá trị bán trước VAT]]-Table_Main[[#This Row],[Phân bổ khuyến mãi đơn]]</f>
        <v>26200000</v>
      </c>
      <c r="CL187"/>
      <c r="CM187"/>
    </row>
    <row r="188" spans="33:91" ht="16.5" x14ac:dyDescent="0.3">
      <c r="AG188"/>
      <c r="AH188"/>
      <c r="AI188"/>
      <c r="BT188" s="49" t="s">
        <v>60</v>
      </c>
      <c r="BU188" s="50" t="s">
        <v>114</v>
      </c>
      <c r="BV188" s="6">
        <f xml:space="preserve">
IFERROR(VLOOKUP(Table_Main[[#This Row],[Đơn bán]],Table_DonBan[],COUNTA(Table_DonBan[[#Headers],[Mã đơn bán]:[Ngày lập]]),0),0)</f>
        <v>45112</v>
      </c>
      <c r="BW188" s="51">
        <f>IFERROR(MONTH(Table_Main[[#This Row],[Ngày lên đơn]]),0)</f>
        <v>7</v>
      </c>
      <c r="BX188" s="51" t="str">
        <f>INDEX(Table_SKU[],
MATCH(Table_Main[[#This Row],[Mã SKU]],Table_SKU[Mã Sản phẩm],0),1)</f>
        <v>Nhóm 2</v>
      </c>
      <c r="BY188" s="52" t="str">
        <f xml:space="preserve">
IFERROR(VLOOKUP(Table_Main[[#This Row],[Đơn bán]],Table_DonBan[],COUNTA(Table_DonBan[[#Headers],[Mã đơn bán]:[Mã Khách]]),0),0)</f>
        <v>KH03</v>
      </c>
      <c r="BZ188" s="52" t="str">
        <f>VLOOKUP(Table_Main[[#This Row],[Khách hàng]],Table_KhachHang[],COUNTA(Table_KhachHang[[#Headers],[Mã khách]:[Phân khúc]]),0)</f>
        <v>B2C</v>
      </c>
      <c r="CA188" s="25" t="str">
        <f xml:space="preserve">
IFERROR(VLOOKUP(Table_Main[[#This Row],[Đơn bán]],Table_DonBan[],COUNTA(Table_DonBan[[#Headers],[Mã đơn bán]:[Mã NV]]),0),0)</f>
        <v>NV03</v>
      </c>
      <c r="CB188" s="7" t="str">
        <f xml:space="preserve">
IFERROR(VLOOKUP(Table_Main[[#This Row],[Đơn bán]],Table_DonBan[],COUNTA(Table_DonBan[[#Headers],[Mã đơn bán]:[Kênh]]),0),0)</f>
        <v>ST</v>
      </c>
      <c r="CC188" s="7" t="str">
        <f>VLOOKUP(Table_Main[[#This Row],[Kênh]],Table_Kenh[],COUNTA(Table_Kenh[[#Headers],[Kênh]:[Nhóm Kênh]]),0)</f>
        <v>Offline</v>
      </c>
      <c r="CD188" s="53">
        <v>108</v>
      </c>
      <c r="CE188" s="7" t="str">
        <f>IFERROR(VLOOKUP(Table_Main[[#This Row],[Mã SKU]],Table_SKU[[Mã Sản phẩm]:[Giá bán]],COUNTA(Table_SKU[[#Headers],[Mã Sản phẩm]:[Đơn vị]]),0),0)</f>
        <v>Bộ</v>
      </c>
      <c r="CF188" s="7">
        <f>IFERROR(VLOOKUP(Table_Main[[#This Row],[Mã SKU]],Table_SKU[[Mã Sản phẩm]:[Giá bán]],COUNTA(Table_SKU[[#Headers],[Mã Sản phẩm]:[Giá bán]]),0),0)</f>
        <v>300000</v>
      </c>
      <c r="CG188" s="7">
        <f>Table_Main[[#This Row],[Giá bán]]*Table_Main[[#This Row],[Số lượng]]</f>
        <v>32400000</v>
      </c>
      <c r="CH188" s="60">
        <v>0</v>
      </c>
      <c r="CI188" s="7">
        <f>+Table_Main[[#This Row],[Thành tiền niêm yết]]-Table_Main[[#This Row],[Khuyễn mãi]]</f>
        <v>32400000</v>
      </c>
      <c r="CJ188" s="7" cm="1">
        <f t="array" ref="CJ188">VLOOKUP(Table_Main[[#This Row],[Đơn bán]],Table_DonBan[],COUNTA(Table_DonBan[[#Headers],[Mã đơn bán]:[Khuyễn mãi]]),0)*Table_Main[[#This Row],[Giá trị bán trước VAT]]/
SUM(_xlfn._xlws.FILTER(Table_Main[Giá trị bán trước VAT],
(Table_Main[Đơn bán]=Table_Main[[#This Row],[Đơn bán]])
))</f>
        <v>0</v>
      </c>
      <c r="CK188" s="7">
        <f>Table_Main[[#This Row],[Giá trị bán trước VAT]]-Table_Main[[#This Row],[Phân bổ khuyến mãi đơn]]</f>
        <v>32400000</v>
      </c>
      <c r="CL188"/>
      <c r="CM188"/>
    </row>
    <row r="189" spans="33:91" ht="16.5" x14ac:dyDescent="0.3">
      <c r="AG189"/>
      <c r="AH189"/>
      <c r="AI189"/>
      <c r="BT189" s="54" t="s">
        <v>61</v>
      </c>
      <c r="BU189" s="55" t="s">
        <v>114</v>
      </c>
      <c r="BV189" s="56">
        <f xml:space="preserve">
IFERROR(VLOOKUP(Table_Main[[#This Row],[Đơn bán]],Table_DonBan[],COUNTA(Table_DonBan[[#Headers],[Mã đơn bán]:[Ngày lập]]),0),0)</f>
        <v>45112</v>
      </c>
      <c r="BW189" s="51">
        <f>IFERROR(MONTH(Table_Main[[#This Row],[Ngày lên đơn]]),0)</f>
        <v>7</v>
      </c>
      <c r="BX189" s="51" t="str">
        <f>INDEX(Table_SKU[],
MATCH(Table_Main[[#This Row],[Mã SKU]],Table_SKU[Mã Sản phẩm],0),1)</f>
        <v>Nhóm 3</v>
      </c>
      <c r="BY189" s="52" t="str">
        <f xml:space="preserve">
IFERROR(VLOOKUP(Table_Main[[#This Row],[Đơn bán]],Table_DonBan[],COUNTA(Table_DonBan[[#Headers],[Mã đơn bán]:[Mã Khách]]),0),0)</f>
        <v>KH03</v>
      </c>
      <c r="BZ189" s="52" t="str">
        <f>VLOOKUP(Table_Main[[#This Row],[Khách hàng]],Table_KhachHang[],COUNTA(Table_KhachHang[[#Headers],[Mã khách]:[Phân khúc]]),0)</f>
        <v>B2C</v>
      </c>
      <c r="CA189" s="57" t="str">
        <f xml:space="preserve">
IFERROR(VLOOKUP(Table_Main[[#This Row],[Đơn bán]],Table_DonBan[],COUNTA(Table_DonBan[[#Headers],[Mã đơn bán]:[Mã NV]]),0),0)</f>
        <v>NV03</v>
      </c>
      <c r="CB189" s="58" t="str">
        <f xml:space="preserve">
IFERROR(VLOOKUP(Table_Main[[#This Row],[Đơn bán]],Table_DonBan[],COUNTA(Table_DonBan[[#Headers],[Mã đơn bán]:[Kênh]]),0),0)</f>
        <v>ST</v>
      </c>
      <c r="CC189" s="58" t="str">
        <f>VLOOKUP(Table_Main[[#This Row],[Kênh]],Table_Kenh[],COUNTA(Table_Kenh[[#Headers],[Kênh]:[Nhóm Kênh]]),0)</f>
        <v>Offline</v>
      </c>
      <c r="CD189" s="59">
        <v>68</v>
      </c>
      <c r="CE189" s="58" t="str">
        <f>IFERROR(VLOOKUP(Table_Main[[#This Row],[Mã SKU]],Table_SKU[[Mã Sản phẩm]:[Giá bán]],COUNTA(Table_SKU[[#Headers],[Mã Sản phẩm]:[Đơn vị]]),0),0)</f>
        <v>Bộ</v>
      </c>
      <c r="CF189" s="58">
        <f>IFERROR(VLOOKUP(Table_Main[[#This Row],[Mã SKU]],Table_SKU[[Mã Sản phẩm]:[Giá bán]],COUNTA(Table_SKU[[#Headers],[Mã Sản phẩm]:[Giá bán]]),0),0)</f>
        <v>500000</v>
      </c>
      <c r="CG189" s="58">
        <f>Table_Main[[#This Row],[Giá bán]]*Table_Main[[#This Row],[Số lượng]]</f>
        <v>34000000</v>
      </c>
      <c r="CH189" s="61">
        <v>0</v>
      </c>
      <c r="CI189" s="58">
        <f>+Table_Main[[#This Row],[Thành tiền niêm yết]]-Table_Main[[#This Row],[Khuyễn mãi]]</f>
        <v>34000000</v>
      </c>
      <c r="CJ189" s="7" cm="1">
        <f t="array" ref="CJ189">VLOOKUP(Table_Main[[#This Row],[Đơn bán]],Table_DonBan[],COUNTA(Table_DonBan[[#Headers],[Mã đơn bán]:[Khuyễn mãi]]),0)*Table_Main[[#This Row],[Giá trị bán trước VAT]]/
SUM(_xlfn._xlws.FILTER(Table_Main[Giá trị bán trước VAT],
(Table_Main[Đơn bán]=Table_Main[[#This Row],[Đơn bán]])
))</f>
        <v>0</v>
      </c>
      <c r="CK189" s="7">
        <f>Table_Main[[#This Row],[Giá trị bán trước VAT]]-Table_Main[[#This Row],[Phân bổ khuyến mãi đơn]]</f>
        <v>34000000</v>
      </c>
      <c r="CL189"/>
      <c r="CM189"/>
    </row>
    <row r="190" spans="33:91" ht="16.5" x14ac:dyDescent="0.3">
      <c r="AG190"/>
      <c r="AH190"/>
      <c r="AI190"/>
      <c r="BT190" s="49" t="s">
        <v>59</v>
      </c>
      <c r="BU190" s="50" t="s">
        <v>113</v>
      </c>
      <c r="BV190" s="6">
        <f xml:space="preserve">
IFERROR(VLOOKUP(Table_Main[[#This Row],[Đơn bán]],Table_DonBan[],COUNTA(Table_DonBan[[#Headers],[Mã đơn bán]:[Ngày lập]]),0),0)</f>
        <v>45102</v>
      </c>
      <c r="BW190" s="51">
        <f>IFERROR(MONTH(Table_Main[[#This Row],[Ngày lên đơn]]),0)</f>
        <v>6</v>
      </c>
      <c r="BX190" s="51" t="str">
        <f>INDEX(Table_SKU[],
MATCH(Table_Main[[#This Row],[Mã SKU]],Table_SKU[Mã Sản phẩm],0),1)</f>
        <v>Nhóm 1</v>
      </c>
      <c r="BY190" s="52" t="str">
        <f xml:space="preserve">
IFERROR(VLOOKUP(Table_Main[[#This Row],[Đơn bán]],Table_DonBan[],COUNTA(Table_DonBan[[#Headers],[Mã đơn bán]:[Mã Khách]]),0),0)</f>
        <v>KH01</v>
      </c>
      <c r="BZ190" s="52" t="str">
        <f>VLOOKUP(Table_Main[[#This Row],[Khách hàng]],Table_KhachHang[],COUNTA(Table_KhachHang[[#Headers],[Mã khách]:[Phân khúc]]),0)</f>
        <v>B2B</v>
      </c>
      <c r="CA190" s="25" t="str">
        <f xml:space="preserve">
IFERROR(VLOOKUP(Table_Main[[#This Row],[Đơn bán]],Table_DonBan[],COUNTA(Table_DonBan[[#Headers],[Mã đơn bán]:[Mã NV]]),0),0)</f>
        <v>NV02</v>
      </c>
      <c r="CB190" s="7" t="str">
        <f xml:space="preserve">
IFERROR(VLOOKUP(Table_Main[[#This Row],[Đơn bán]],Table_DonBan[],COUNTA(Table_DonBan[[#Headers],[Mã đơn bán]:[Kênh]]),0),0)</f>
        <v>FB</v>
      </c>
      <c r="CC190" s="7" t="str">
        <f>VLOOKUP(Table_Main[[#This Row],[Kênh]],Table_Kenh[],COUNTA(Table_Kenh[[#Headers],[Kênh]:[Nhóm Kênh]]),0)</f>
        <v>Mạng xã hội</v>
      </c>
      <c r="CD190" s="53">
        <v>134</v>
      </c>
      <c r="CE190" s="7" t="str">
        <f>IFERROR(VLOOKUP(Table_Main[[#This Row],[Mã SKU]],Table_SKU[[Mã Sản phẩm]:[Giá bán]],COUNTA(Table_SKU[[#Headers],[Mã Sản phẩm]:[Đơn vị]]),0),0)</f>
        <v>Bộ</v>
      </c>
      <c r="CF190" s="7">
        <f>IFERROR(VLOOKUP(Table_Main[[#This Row],[Mã SKU]],Table_SKU[[Mã Sản phẩm]:[Giá bán]],COUNTA(Table_SKU[[#Headers],[Mã Sản phẩm]:[Giá bán]]),0),0)</f>
        <v>200000</v>
      </c>
      <c r="CG190" s="7">
        <f>Table_Main[[#This Row],[Giá bán]]*Table_Main[[#This Row],[Số lượng]]</f>
        <v>26800000</v>
      </c>
      <c r="CH190" s="60">
        <v>0</v>
      </c>
      <c r="CI190" s="7">
        <f>+Table_Main[[#This Row],[Thành tiền niêm yết]]-Table_Main[[#This Row],[Khuyễn mãi]]</f>
        <v>26800000</v>
      </c>
      <c r="CJ190" s="7" cm="1">
        <f t="array" ref="CJ190">VLOOKUP(Table_Main[[#This Row],[Đơn bán]],Table_DonBan[],COUNTA(Table_DonBan[[#Headers],[Mã đơn bán]:[Khuyễn mãi]]),0)*Table_Main[[#This Row],[Giá trị bán trước VAT]]/
SUM(_xlfn._xlws.FILTER(Table_Main[Giá trị bán trước VAT],
(Table_Main[Đơn bán]=Table_Main[[#This Row],[Đơn bán]])
))</f>
        <v>0</v>
      </c>
      <c r="CK190" s="7">
        <f>Table_Main[[#This Row],[Giá trị bán trước VAT]]-Table_Main[[#This Row],[Phân bổ khuyến mãi đơn]]</f>
        <v>26800000</v>
      </c>
      <c r="CL190"/>
      <c r="CM190"/>
    </row>
    <row r="191" spans="33:91" ht="16.5" x14ac:dyDescent="0.3">
      <c r="AG191"/>
      <c r="AH191"/>
      <c r="AI191"/>
      <c r="BT191" s="49" t="s">
        <v>60</v>
      </c>
      <c r="BU191" s="50" t="s">
        <v>113</v>
      </c>
      <c r="BV191" s="6">
        <f xml:space="preserve">
IFERROR(VLOOKUP(Table_Main[[#This Row],[Đơn bán]],Table_DonBan[],COUNTA(Table_DonBan[[#Headers],[Mã đơn bán]:[Ngày lập]]),0),0)</f>
        <v>45102</v>
      </c>
      <c r="BW191" s="51">
        <f>IFERROR(MONTH(Table_Main[[#This Row],[Ngày lên đơn]]),0)</f>
        <v>6</v>
      </c>
      <c r="BX191" s="51" t="str">
        <f>INDEX(Table_SKU[],
MATCH(Table_Main[[#This Row],[Mã SKU]],Table_SKU[Mã Sản phẩm],0),1)</f>
        <v>Nhóm 2</v>
      </c>
      <c r="BY191" s="52" t="str">
        <f xml:space="preserve">
IFERROR(VLOOKUP(Table_Main[[#This Row],[Đơn bán]],Table_DonBan[],COUNTA(Table_DonBan[[#Headers],[Mã đơn bán]:[Mã Khách]]),0),0)</f>
        <v>KH01</v>
      </c>
      <c r="BZ191" s="52" t="str">
        <f>VLOOKUP(Table_Main[[#This Row],[Khách hàng]],Table_KhachHang[],COUNTA(Table_KhachHang[[#Headers],[Mã khách]:[Phân khúc]]),0)</f>
        <v>B2B</v>
      </c>
      <c r="CA191" s="25" t="str">
        <f xml:space="preserve">
IFERROR(VLOOKUP(Table_Main[[#This Row],[Đơn bán]],Table_DonBan[],COUNTA(Table_DonBan[[#Headers],[Mã đơn bán]:[Mã NV]]),0),0)</f>
        <v>NV02</v>
      </c>
      <c r="CB191" s="7" t="str">
        <f xml:space="preserve">
IFERROR(VLOOKUP(Table_Main[[#This Row],[Đơn bán]],Table_DonBan[],COUNTA(Table_DonBan[[#Headers],[Mã đơn bán]:[Kênh]]),0),0)</f>
        <v>FB</v>
      </c>
      <c r="CC191" s="7" t="str">
        <f>VLOOKUP(Table_Main[[#This Row],[Kênh]],Table_Kenh[],COUNTA(Table_Kenh[[#Headers],[Kênh]:[Nhóm Kênh]]),0)</f>
        <v>Mạng xã hội</v>
      </c>
      <c r="CD191" s="53">
        <v>105</v>
      </c>
      <c r="CE191" s="7" t="str">
        <f>IFERROR(VLOOKUP(Table_Main[[#This Row],[Mã SKU]],Table_SKU[[Mã Sản phẩm]:[Giá bán]],COUNTA(Table_SKU[[#Headers],[Mã Sản phẩm]:[Đơn vị]]),0),0)</f>
        <v>Bộ</v>
      </c>
      <c r="CF191" s="7">
        <f>IFERROR(VLOOKUP(Table_Main[[#This Row],[Mã SKU]],Table_SKU[[Mã Sản phẩm]:[Giá bán]],COUNTA(Table_SKU[[#Headers],[Mã Sản phẩm]:[Giá bán]]),0),0)</f>
        <v>300000</v>
      </c>
      <c r="CG191" s="7">
        <f>Table_Main[[#This Row],[Giá bán]]*Table_Main[[#This Row],[Số lượng]]</f>
        <v>31500000</v>
      </c>
      <c r="CH191" s="60">
        <v>1575000</v>
      </c>
      <c r="CI191" s="7">
        <f>+Table_Main[[#This Row],[Thành tiền niêm yết]]-Table_Main[[#This Row],[Khuyễn mãi]]</f>
        <v>29925000</v>
      </c>
      <c r="CJ191" s="7" cm="1">
        <f t="array" ref="CJ191">VLOOKUP(Table_Main[[#This Row],[Đơn bán]],Table_DonBan[],COUNTA(Table_DonBan[[#Headers],[Mã đơn bán]:[Khuyễn mãi]]),0)*Table_Main[[#This Row],[Giá trị bán trước VAT]]/
SUM(_xlfn._xlws.FILTER(Table_Main[Giá trị bán trước VAT],
(Table_Main[Đơn bán]=Table_Main[[#This Row],[Đơn bán]])
))</f>
        <v>0</v>
      </c>
      <c r="CK191" s="7">
        <f>Table_Main[[#This Row],[Giá trị bán trước VAT]]-Table_Main[[#This Row],[Phân bổ khuyến mãi đơn]]</f>
        <v>29925000</v>
      </c>
      <c r="CL191"/>
      <c r="CM191"/>
    </row>
    <row r="192" spans="33:91" ht="16.5" x14ac:dyDescent="0.3">
      <c r="AG192"/>
      <c r="AH192"/>
      <c r="AI192"/>
      <c r="BT192" s="49" t="s">
        <v>61</v>
      </c>
      <c r="BU192" s="50" t="s">
        <v>113</v>
      </c>
      <c r="BV192" s="6">
        <f xml:space="preserve">
IFERROR(VLOOKUP(Table_Main[[#This Row],[Đơn bán]],Table_DonBan[],COUNTA(Table_DonBan[[#Headers],[Mã đơn bán]:[Ngày lập]]),0),0)</f>
        <v>45102</v>
      </c>
      <c r="BW192" s="51">
        <f>IFERROR(MONTH(Table_Main[[#This Row],[Ngày lên đơn]]),0)</f>
        <v>6</v>
      </c>
      <c r="BX192" s="51" t="str">
        <f>INDEX(Table_SKU[],
MATCH(Table_Main[[#This Row],[Mã SKU]],Table_SKU[Mã Sản phẩm],0),1)</f>
        <v>Nhóm 3</v>
      </c>
      <c r="BY192" s="10" t="str">
        <f xml:space="preserve">
IFERROR(VLOOKUP(Table_Main[[#This Row],[Đơn bán]],Table_DonBan[],COUNTA(Table_DonBan[[#Headers],[Mã đơn bán]:[Mã Khách]]),0),0)</f>
        <v>KH01</v>
      </c>
      <c r="BZ192" s="10" t="str">
        <f>VLOOKUP(Table_Main[[#This Row],[Khách hàng]],Table_KhachHang[],COUNTA(Table_KhachHang[[#Headers],[Mã khách]:[Phân khúc]]),0)</f>
        <v>B2B</v>
      </c>
      <c r="CA192" s="25" t="str">
        <f xml:space="preserve">
IFERROR(VLOOKUP(Table_Main[[#This Row],[Đơn bán]],Table_DonBan[],COUNTA(Table_DonBan[[#Headers],[Mã đơn bán]:[Mã NV]]),0),0)</f>
        <v>NV02</v>
      </c>
      <c r="CB192" s="7" t="str">
        <f xml:space="preserve">
IFERROR(VLOOKUP(Table_Main[[#This Row],[Đơn bán]],Table_DonBan[],COUNTA(Table_DonBan[[#Headers],[Mã đơn bán]:[Kênh]]),0),0)</f>
        <v>FB</v>
      </c>
      <c r="CC192" s="7" t="str">
        <f>VLOOKUP(Table_Main[[#This Row],[Kênh]],Table_Kenh[],COUNTA(Table_Kenh[[#Headers],[Kênh]:[Nhóm Kênh]]),0)</f>
        <v>Mạng xã hội</v>
      </c>
      <c r="CD192" s="53">
        <v>69</v>
      </c>
      <c r="CE192" s="7" t="str">
        <f>IFERROR(VLOOKUP(Table_Main[[#This Row],[Mã SKU]],Table_SKU[[Mã Sản phẩm]:[Giá bán]],COUNTA(Table_SKU[[#Headers],[Mã Sản phẩm]:[Đơn vị]]),0),0)</f>
        <v>Bộ</v>
      </c>
      <c r="CF192" s="7">
        <f>IFERROR(VLOOKUP(Table_Main[[#This Row],[Mã SKU]],Table_SKU[[Mã Sản phẩm]:[Giá bán]],COUNTA(Table_SKU[[#Headers],[Mã Sản phẩm]:[Giá bán]]),0),0)</f>
        <v>500000</v>
      </c>
      <c r="CG192" s="7">
        <f>Table_Main[[#This Row],[Giá bán]]*Table_Main[[#This Row],[Số lượng]]</f>
        <v>34500000</v>
      </c>
      <c r="CH192" s="60">
        <v>1725000</v>
      </c>
      <c r="CI192" s="7">
        <f>+Table_Main[[#This Row],[Thành tiền niêm yết]]-Table_Main[[#This Row],[Khuyễn mãi]]</f>
        <v>32775000</v>
      </c>
      <c r="CJ192" s="7" cm="1">
        <f t="array" ref="CJ192">VLOOKUP(Table_Main[[#This Row],[Đơn bán]],Table_DonBan[],COUNTA(Table_DonBan[[#Headers],[Mã đơn bán]:[Khuyễn mãi]]),0)*Table_Main[[#This Row],[Giá trị bán trước VAT]]/
SUM(_xlfn._xlws.FILTER(Table_Main[Giá trị bán trước VAT],
(Table_Main[Đơn bán]=Table_Main[[#This Row],[Đơn bán]])
))</f>
        <v>0</v>
      </c>
      <c r="CK192" s="7">
        <f>Table_Main[[#This Row],[Giá trị bán trước VAT]]-Table_Main[[#This Row],[Phân bổ khuyến mãi đơn]]</f>
        <v>32775000</v>
      </c>
      <c r="CL192"/>
      <c r="CM192"/>
    </row>
    <row r="193" spans="33:91" ht="16.5" x14ac:dyDescent="0.3">
      <c r="AG193"/>
      <c r="AH193"/>
      <c r="AI193"/>
      <c r="BT193" s="49" t="s">
        <v>59</v>
      </c>
      <c r="BU193" s="50" t="s">
        <v>112</v>
      </c>
      <c r="BV193" s="6">
        <f xml:space="preserve">
IFERROR(VLOOKUP(Table_Main[[#This Row],[Đơn bán]],Table_DonBan[],COUNTA(Table_DonBan[[#Headers],[Mã đơn bán]:[Ngày lập]]),0),0)</f>
        <v>45092</v>
      </c>
      <c r="BW193" s="51">
        <f>IFERROR(MONTH(Table_Main[[#This Row],[Ngày lên đơn]]),0)</f>
        <v>6</v>
      </c>
      <c r="BX193" s="51" t="str">
        <f>INDEX(Table_SKU[],
MATCH(Table_Main[[#This Row],[Mã SKU]],Table_SKU[Mã Sản phẩm],0),1)</f>
        <v>Nhóm 1</v>
      </c>
      <c r="BY193" s="52" t="str">
        <f xml:space="preserve">
IFERROR(VLOOKUP(Table_Main[[#This Row],[Đơn bán]],Table_DonBan[],COUNTA(Table_DonBan[[#Headers],[Mã đơn bán]:[Mã Khách]]),0),0)</f>
        <v>KH02</v>
      </c>
      <c r="BZ193" s="52" t="str">
        <f>VLOOKUP(Table_Main[[#This Row],[Khách hàng]],Table_KhachHang[],COUNTA(Table_KhachHang[[#Headers],[Mã khách]:[Phân khúc]]),0)</f>
        <v>B2C</v>
      </c>
      <c r="CA193" s="25" t="str">
        <f xml:space="preserve">
IFERROR(VLOOKUP(Table_Main[[#This Row],[Đơn bán]],Table_DonBan[],COUNTA(Table_DonBan[[#Headers],[Mã đơn bán]:[Mã NV]]),0),0)</f>
        <v>NV02</v>
      </c>
      <c r="CB193" s="7" t="str">
        <f xml:space="preserve">
IFERROR(VLOOKUP(Table_Main[[#This Row],[Đơn bán]],Table_DonBan[],COUNTA(Table_DonBan[[#Headers],[Mã đơn bán]:[Kênh]]),0),0)</f>
        <v>SP</v>
      </c>
      <c r="CC193" s="7" t="str">
        <f>VLOOKUP(Table_Main[[#This Row],[Kênh]],Table_Kenh[],COUNTA(Table_Kenh[[#Headers],[Kênh]:[Nhóm Kênh]]),0)</f>
        <v>Sàn TMĐT</v>
      </c>
      <c r="CD193" s="53">
        <v>133</v>
      </c>
      <c r="CE193" s="7" t="str">
        <f>IFERROR(VLOOKUP(Table_Main[[#This Row],[Mã SKU]],Table_SKU[[Mã Sản phẩm]:[Giá bán]],COUNTA(Table_SKU[[#Headers],[Mã Sản phẩm]:[Đơn vị]]),0),0)</f>
        <v>Bộ</v>
      </c>
      <c r="CF193" s="7">
        <f>IFERROR(VLOOKUP(Table_Main[[#This Row],[Mã SKU]],Table_SKU[[Mã Sản phẩm]:[Giá bán]],COUNTA(Table_SKU[[#Headers],[Mã Sản phẩm]:[Giá bán]]),0),0)</f>
        <v>200000</v>
      </c>
      <c r="CG193" s="7">
        <f>Table_Main[[#This Row],[Giá bán]]*Table_Main[[#This Row],[Số lượng]]</f>
        <v>26600000</v>
      </c>
      <c r="CH193" s="60">
        <v>0</v>
      </c>
      <c r="CI193" s="7">
        <f>+Table_Main[[#This Row],[Thành tiền niêm yết]]-Table_Main[[#This Row],[Khuyễn mãi]]</f>
        <v>26600000</v>
      </c>
      <c r="CJ193" s="7" cm="1">
        <f t="array" ref="CJ193">VLOOKUP(Table_Main[[#This Row],[Đơn bán]],Table_DonBan[],COUNTA(Table_DonBan[[#Headers],[Mã đơn bán]:[Khuyễn mãi]]),0)*Table_Main[[#This Row],[Giá trị bán trước VAT]]/
SUM(_xlfn._xlws.FILTER(Table_Main[Giá trị bán trước VAT],
(Table_Main[Đơn bán]=Table_Main[[#This Row],[Đơn bán]])
))</f>
        <v>0</v>
      </c>
      <c r="CK193" s="7">
        <f>Table_Main[[#This Row],[Giá trị bán trước VAT]]-Table_Main[[#This Row],[Phân bổ khuyến mãi đơn]]</f>
        <v>26600000</v>
      </c>
      <c r="CL193"/>
      <c r="CM193"/>
    </row>
    <row r="194" spans="33:91" ht="16.5" x14ac:dyDescent="0.3">
      <c r="AG194"/>
      <c r="AH194"/>
      <c r="AI194"/>
      <c r="BT194" s="49" t="s">
        <v>60</v>
      </c>
      <c r="BU194" s="50" t="s">
        <v>112</v>
      </c>
      <c r="BV194" s="6">
        <f xml:space="preserve">
IFERROR(VLOOKUP(Table_Main[[#This Row],[Đơn bán]],Table_DonBan[],COUNTA(Table_DonBan[[#Headers],[Mã đơn bán]:[Ngày lập]]),0),0)</f>
        <v>45092</v>
      </c>
      <c r="BW194" s="51">
        <f>IFERROR(MONTH(Table_Main[[#This Row],[Ngày lên đơn]]),0)</f>
        <v>6</v>
      </c>
      <c r="BX194" s="51" t="str">
        <f>INDEX(Table_SKU[],
MATCH(Table_Main[[#This Row],[Mã SKU]],Table_SKU[Mã Sản phẩm],0),1)</f>
        <v>Nhóm 2</v>
      </c>
      <c r="BY194" s="52" t="str">
        <f xml:space="preserve">
IFERROR(VLOOKUP(Table_Main[[#This Row],[Đơn bán]],Table_DonBan[],COUNTA(Table_DonBan[[#Headers],[Mã đơn bán]:[Mã Khách]]),0),0)</f>
        <v>KH02</v>
      </c>
      <c r="BZ194" s="52" t="str">
        <f>VLOOKUP(Table_Main[[#This Row],[Khách hàng]],Table_KhachHang[],COUNTA(Table_KhachHang[[#Headers],[Mã khách]:[Phân khúc]]),0)</f>
        <v>B2C</v>
      </c>
      <c r="CA194" s="25" t="str">
        <f xml:space="preserve">
IFERROR(VLOOKUP(Table_Main[[#This Row],[Đơn bán]],Table_DonBan[],COUNTA(Table_DonBan[[#Headers],[Mã đơn bán]:[Mã NV]]),0),0)</f>
        <v>NV02</v>
      </c>
      <c r="CB194" s="7" t="str">
        <f xml:space="preserve">
IFERROR(VLOOKUP(Table_Main[[#This Row],[Đơn bán]],Table_DonBan[],COUNTA(Table_DonBan[[#Headers],[Mã đơn bán]:[Kênh]]),0),0)</f>
        <v>SP</v>
      </c>
      <c r="CC194" s="7" t="str">
        <f>VLOOKUP(Table_Main[[#This Row],[Kênh]],Table_Kenh[],COUNTA(Table_Kenh[[#Headers],[Kênh]:[Nhóm Kênh]]),0)</f>
        <v>Sàn TMĐT</v>
      </c>
      <c r="CD194" s="53">
        <v>103</v>
      </c>
      <c r="CE194" s="7" t="str">
        <f>IFERROR(VLOOKUP(Table_Main[[#This Row],[Mã SKU]],Table_SKU[[Mã Sản phẩm]:[Giá bán]],COUNTA(Table_SKU[[#Headers],[Mã Sản phẩm]:[Đơn vị]]),0),0)</f>
        <v>Bộ</v>
      </c>
      <c r="CF194" s="7">
        <f>IFERROR(VLOOKUP(Table_Main[[#This Row],[Mã SKU]],Table_SKU[[Mã Sản phẩm]:[Giá bán]],COUNTA(Table_SKU[[#Headers],[Mã Sản phẩm]:[Giá bán]]),0),0)</f>
        <v>300000</v>
      </c>
      <c r="CG194" s="7">
        <f>Table_Main[[#This Row],[Giá bán]]*Table_Main[[#This Row],[Số lượng]]</f>
        <v>30900000</v>
      </c>
      <c r="CH194" s="60">
        <v>1545000</v>
      </c>
      <c r="CI194" s="7">
        <f>+Table_Main[[#This Row],[Thành tiền niêm yết]]-Table_Main[[#This Row],[Khuyễn mãi]]</f>
        <v>29355000</v>
      </c>
      <c r="CJ194" s="7" cm="1">
        <f t="array" ref="CJ194">VLOOKUP(Table_Main[[#This Row],[Đơn bán]],Table_DonBan[],COUNTA(Table_DonBan[[#Headers],[Mã đơn bán]:[Khuyễn mãi]]),0)*Table_Main[[#This Row],[Giá trị bán trước VAT]]/
SUM(_xlfn._xlws.FILTER(Table_Main[Giá trị bán trước VAT],
(Table_Main[Đơn bán]=Table_Main[[#This Row],[Đơn bán]])
))</f>
        <v>0</v>
      </c>
      <c r="CK194" s="7">
        <f>Table_Main[[#This Row],[Giá trị bán trước VAT]]-Table_Main[[#This Row],[Phân bổ khuyến mãi đơn]]</f>
        <v>29355000</v>
      </c>
      <c r="CL194"/>
      <c r="CM194"/>
    </row>
    <row r="195" spans="33:91" ht="16.5" x14ac:dyDescent="0.3">
      <c r="AG195"/>
      <c r="AH195"/>
      <c r="AI195"/>
      <c r="BT195" s="49" t="s">
        <v>61</v>
      </c>
      <c r="BU195" s="50" t="s">
        <v>112</v>
      </c>
      <c r="BV195" s="6">
        <f xml:space="preserve">
IFERROR(VLOOKUP(Table_Main[[#This Row],[Đơn bán]],Table_DonBan[],COUNTA(Table_DonBan[[#Headers],[Mã đơn bán]:[Ngày lập]]),0),0)</f>
        <v>45092</v>
      </c>
      <c r="BW195" s="51">
        <f>IFERROR(MONTH(Table_Main[[#This Row],[Ngày lên đơn]]),0)</f>
        <v>6</v>
      </c>
      <c r="BX195" s="51" t="str">
        <f>INDEX(Table_SKU[],
MATCH(Table_Main[[#This Row],[Mã SKU]],Table_SKU[Mã Sản phẩm],0),1)</f>
        <v>Nhóm 3</v>
      </c>
      <c r="BY195" s="52" t="str">
        <f xml:space="preserve">
IFERROR(VLOOKUP(Table_Main[[#This Row],[Đơn bán]],Table_DonBan[],COUNTA(Table_DonBan[[#Headers],[Mã đơn bán]:[Mã Khách]]),0),0)</f>
        <v>KH02</v>
      </c>
      <c r="BZ195" s="52" t="str">
        <f>VLOOKUP(Table_Main[[#This Row],[Khách hàng]],Table_KhachHang[],COUNTA(Table_KhachHang[[#Headers],[Mã khách]:[Phân khúc]]),0)</f>
        <v>B2C</v>
      </c>
      <c r="CA195" s="25" t="str">
        <f xml:space="preserve">
IFERROR(VLOOKUP(Table_Main[[#This Row],[Đơn bán]],Table_DonBan[],COUNTA(Table_DonBan[[#Headers],[Mã đơn bán]:[Mã NV]]),0),0)</f>
        <v>NV02</v>
      </c>
      <c r="CB195" s="7" t="str">
        <f xml:space="preserve">
IFERROR(VLOOKUP(Table_Main[[#This Row],[Đơn bán]],Table_DonBan[],COUNTA(Table_DonBan[[#Headers],[Mã đơn bán]:[Kênh]]),0),0)</f>
        <v>SP</v>
      </c>
      <c r="CC195" s="7" t="str">
        <f>VLOOKUP(Table_Main[[#This Row],[Kênh]],Table_Kenh[],COUNTA(Table_Kenh[[#Headers],[Kênh]:[Nhóm Kênh]]),0)</f>
        <v>Sàn TMĐT</v>
      </c>
      <c r="CD195" s="53">
        <v>66</v>
      </c>
      <c r="CE195" s="7" t="str">
        <f>IFERROR(VLOOKUP(Table_Main[[#This Row],[Mã SKU]],Table_SKU[[Mã Sản phẩm]:[Giá bán]],COUNTA(Table_SKU[[#Headers],[Mã Sản phẩm]:[Đơn vị]]),0),0)</f>
        <v>Bộ</v>
      </c>
      <c r="CF195" s="7">
        <f>IFERROR(VLOOKUP(Table_Main[[#This Row],[Mã SKU]],Table_SKU[[Mã Sản phẩm]:[Giá bán]],COUNTA(Table_SKU[[#Headers],[Mã Sản phẩm]:[Giá bán]]),0),0)</f>
        <v>500000</v>
      </c>
      <c r="CG195" s="7">
        <f>Table_Main[[#This Row],[Giá bán]]*Table_Main[[#This Row],[Số lượng]]</f>
        <v>33000000</v>
      </c>
      <c r="CH195" s="60">
        <v>1650000</v>
      </c>
      <c r="CI195" s="7">
        <f>+Table_Main[[#This Row],[Thành tiền niêm yết]]-Table_Main[[#This Row],[Khuyễn mãi]]</f>
        <v>31350000</v>
      </c>
      <c r="CJ195" s="7" cm="1">
        <f t="array" ref="CJ195">VLOOKUP(Table_Main[[#This Row],[Đơn bán]],Table_DonBan[],COUNTA(Table_DonBan[[#Headers],[Mã đơn bán]:[Khuyễn mãi]]),0)*Table_Main[[#This Row],[Giá trị bán trước VAT]]/
SUM(_xlfn._xlws.FILTER(Table_Main[Giá trị bán trước VAT],
(Table_Main[Đơn bán]=Table_Main[[#This Row],[Đơn bán]])
))</f>
        <v>0</v>
      </c>
      <c r="CK195" s="7">
        <f>Table_Main[[#This Row],[Giá trị bán trước VAT]]-Table_Main[[#This Row],[Phân bổ khuyến mãi đơn]]</f>
        <v>31350000</v>
      </c>
      <c r="CL195"/>
      <c r="CM195"/>
    </row>
    <row r="196" spans="33:91" ht="16.5" x14ac:dyDescent="0.3">
      <c r="AG196"/>
      <c r="AH196"/>
      <c r="AI196"/>
      <c r="BT196" s="49" t="s">
        <v>59</v>
      </c>
      <c r="BU196" s="50" t="s">
        <v>111</v>
      </c>
      <c r="BV196" s="6">
        <f xml:space="preserve">
IFERROR(VLOOKUP(Table_Main[[#This Row],[Đơn bán]],Table_DonBan[],COUNTA(Table_DonBan[[#Headers],[Mã đơn bán]:[Ngày lập]]),0),0)</f>
        <v>45082</v>
      </c>
      <c r="BW196" s="51">
        <f>IFERROR(MONTH(Table_Main[[#This Row],[Ngày lên đơn]]),0)</f>
        <v>6</v>
      </c>
      <c r="BX196" s="51" t="str">
        <f>INDEX(Table_SKU[],
MATCH(Table_Main[[#This Row],[Mã SKU]],Table_SKU[Mã Sản phẩm],0),1)</f>
        <v>Nhóm 1</v>
      </c>
      <c r="BY196" s="52" t="str">
        <f xml:space="preserve">
IFERROR(VLOOKUP(Table_Main[[#This Row],[Đơn bán]],Table_DonBan[],COUNTA(Table_DonBan[[#Headers],[Mã đơn bán]:[Mã Khách]]),0),0)</f>
        <v>KH02</v>
      </c>
      <c r="BZ196" s="52" t="str">
        <f>VLOOKUP(Table_Main[[#This Row],[Khách hàng]],Table_KhachHang[],COUNTA(Table_KhachHang[[#Headers],[Mã khách]:[Phân khúc]]),0)</f>
        <v>B2C</v>
      </c>
      <c r="CA196" s="25" t="str">
        <f xml:space="preserve">
IFERROR(VLOOKUP(Table_Main[[#This Row],[Đơn bán]],Table_DonBan[],COUNTA(Table_DonBan[[#Headers],[Mã đơn bán]:[Mã NV]]),0),0)</f>
        <v>NV02</v>
      </c>
      <c r="CB196" s="7" t="str">
        <f xml:space="preserve">
IFERROR(VLOOKUP(Table_Main[[#This Row],[Đơn bán]],Table_DonBan[],COUNTA(Table_DonBan[[#Headers],[Mã đơn bán]:[Kênh]]),0),0)</f>
        <v>TK</v>
      </c>
      <c r="CC196" s="7" t="str">
        <f>VLOOKUP(Table_Main[[#This Row],[Kênh]],Table_Kenh[],COUNTA(Table_Kenh[[#Headers],[Kênh]:[Nhóm Kênh]]),0)</f>
        <v>Sàn TMĐT</v>
      </c>
      <c r="CD196" s="53">
        <v>132</v>
      </c>
      <c r="CE196" s="7" t="str">
        <f>IFERROR(VLOOKUP(Table_Main[[#This Row],[Mã SKU]],Table_SKU[[Mã Sản phẩm]:[Giá bán]],COUNTA(Table_SKU[[#Headers],[Mã Sản phẩm]:[Đơn vị]]),0),0)</f>
        <v>Bộ</v>
      </c>
      <c r="CF196" s="7">
        <f>IFERROR(VLOOKUP(Table_Main[[#This Row],[Mã SKU]],Table_SKU[[Mã Sản phẩm]:[Giá bán]],COUNTA(Table_SKU[[#Headers],[Mã Sản phẩm]:[Giá bán]]),0),0)</f>
        <v>200000</v>
      </c>
      <c r="CG196" s="7">
        <f>Table_Main[[#This Row],[Giá bán]]*Table_Main[[#This Row],[Số lượng]]</f>
        <v>26400000</v>
      </c>
      <c r="CH196" s="60">
        <v>0</v>
      </c>
      <c r="CI196" s="7">
        <f>+Table_Main[[#This Row],[Thành tiền niêm yết]]-Table_Main[[#This Row],[Khuyễn mãi]]</f>
        <v>26400000</v>
      </c>
      <c r="CJ196" s="7" cm="1">
        <f t="array" ref="CJ196">VLOOKUP(Table_Main[[#This Row],[Đơn bán]],Table_DonBan[],COUNTA(Table_DonBan[[#Headers],[Mã đơn bán]:[Khuyễn mãi]]),0)*Table_Main[[#This Row],[Giá trị bán trước VAT]]/
SUM(_xlfn._xlws.FILTER(Table_Main[Giá trị bán trước VAT],
(Table_Main[Đơn bán]=Table_Main[[#This Row],[Đơn bán]])
))</f>
        <v>0</v>
      </c>
      <c r="CK196" s="7">
        <f>Table_Main[[#This Row],[Giá trị bán trước VAT]]-Table_Main[[#This Row],[Phân bổ khuyến mãi đơn]]</f>
        <v>26400000</v>
      </c>
      <c r="CL196"/>
      <c r="CM196"/>
    </row>
    <row r="197" spans="33:91" ht="16.5" x14ac:dyDescent="0.3">
      <c r="AG197"/>
      <c r="AH197"/>
      <c r="AI197"/>
      <c r="BT197" s="49" t="s">
        <v>60</v>
      </c>
      <c r="BU197" s="50" t="s">
        <v>111</v>
      </c>
      <c r="BV197" s="6">
        <f xml:space="preserve">
IFERROR(VLOOKUP(Table_Main[[#This Row],[Đơn bán]],Table_DonBan[],COUNTA(Table_DonBan[[#Headers],[Mã đơn bán]:[Ngày lập]]),0),0)</f>
        <v>45082</v>
      </c>
      <c r="BW197" s="51">
        <f>IFERROR(MONTH(Table_Main[[#This Row],[Ngày lên đơn]]),0)</f>
        <v>6</v>
      </c>
      <c r="BX197" s="51" t="str">
        <f>INDEX(Table_SKU[],
MATCH(Table_Main[[#This Row],[Mã SKU]],Table_SKU[Mã Sản phẩm],0),1)</f>
        <v>Nhóm 2</v>
      </c>
      <c r="BY197" s="52" t="str">
        <f xml:space="preserve">
IFERROR(VLOOKUP(Table_Main[[#This Row],[Đơn bán]],Table_DonBan[],COUNTA(Table_DonBan[[#Headers],[Mã đơn bán]:[Mã Khách]]),0),0)</f>
        <v>KH02</v>
      </c>
      <c r="BZ197" s="52" t="str">
        <f>VLOOKUP(Table_Main[[#This Row],[Khách hàng]],Table_KhachHang[],COUNTA(Table_KhachHang[[#Headers],[Mã khách]:[Phân khúc]]),0)</f>
        <v>B2C</v>
      </c>
      <c r="CA197" s="25" t="str">
        <f xml:space="preserve">
IFERROR(VLOOKUP(Table_Main[[#This Row],[Đơn bán]],Table_DonBan[],COUNTA(Table_DonBan[[#Headers],[Mã đơn bán]:[Mã NV]]),0),0)</f>
        <v>NV02</v>
      </c>
      <c r="CB197" s="7" t="str">
        <f xml:space="preserve">
IFERROR(VLOOKUP(Table_Main[[#This Row],[Đơn bán]],Table_DonBan[],COUNTA(Table_DonBan[[#Headers],[Mã đơn bán]:[Kênh]]),0),0)</f>
        <v>TK</v>
      </c>
      <c r="CC197" s="7" t="str">
        <f>VLOOKUP(Table_Main[[#This Row],[Kênh]],Table_Kenh[],COUNTA(Table_Kenh[[#Headers],[Kênh]:[Nhóm Kênh]]),0)</f>
        <v>Sàn TMĐT</v>
      </c>
      <c r="CD197" s="53">
        <v>99</v>
      </c>
      <c r="CE197" s="7" t="str">
        <f>IFERROR(VLOOKUP(Table_Main[[#This Row],[Mã SKU]],Table_SKU[[Mã Sản phẩm]:[Giá bán]],COUNTA(Table_SKU[[#Headers],[Mã Sản phẩm]:[Đơn vị]]),0),0)</f>
        <v>Bộ</v>
      </c>
      <c r="CF197" s="7">
        <f>IFERROR(VLOOKUP(Table_Main[[#This Row],[Mã SKU]],Table_SKU[[Mã Sản phẩm]:[Giá bán]],COUNTA(Table_SKU[[#Headers],[Mã Sản phẩm]:[Giá bán]]),0),0)</f>
        <v>300000</v>
      </c>
      <c r="CG197" s="7">
        <f>Table_Main[[#This Row],[Giá bán]]*Table_Main[[#This Row],[Số lượng]]</f>
        <v>29700000</v>
      </c>
      <c r="CH197" s="60">
        <v>1485000</v>
      </c>
      <c r="CI197" s="7">
        <f>+Table_Main[[#This Row],[Thành tiền niêm yết]]-Table_Main[[#This Row],[Khuyễn mãi]]</f>
        <v>28215000</v>
      </c>
      <c r="CJ197" s="7" cm="1">
        <f t="array" ref="CJ197">VLOOKUP(Table_Main[[#This Row],[Đơn bán]],Table_DonBan[],COUNTA(Table_DonBan[[#Headers],[Mã đơn bán]:[Khuyễn mãi]]),0)*Table_Main[[#This Row],[Giá trị bán trước VAT]]/
SUM(_xlfn._xlws.FILTER(Table_Main[Giá trị bán trước VAT],
(Table_Main[Đơn bán]=Table_Main[[#This Row],[Đơn bán]])
))</f>
        <v>0</v>
      </c>
      <c r="CK197" s="7">
        <f>Table_Main[[#This Row],[Giá trị bán trước VAT]]-Table_Main[[#This Row],[Phân bổ khuyến mãi đơn]]</f>
        <v>28215000</v>
      </c>
      <c r="CL197"/>
      <c r="CM197"/>
    </row>
    <row r="198" spans="33:91" ht="16.5" x14ac:dyDescent="0.3">
      <c r="AG198"/>
      <c r="AH198"/>
      <c r="AI198"/>
      <c r="BT198" s="54" t="s">
        <v>61</v>
      </c>
      <c r="BU198" s="55" t="s">
        <v>111</v>
      </c>
      <c r="BV198" s="56">
        <f xml:space="preserve">
IFERROR(VLOOKUP(Table_Main[[#This Row],[Đơn bán]],Table_DonBan[],COUNTA(Table_DonBan[[#Headers],[Mã đơn bán]:[Ngày lập]]),0),0)</f>
        <v>45082</v>
      </c>
      <c r="BW198" s="51">
        <f>IFERROR(MONTH(Table_Main[[#This Row],[Ngày lên đơn]]),0)</f>
        <v>6</v>
      </c>
      <c r="BX198" s="51" t="str">
        <f>INDEX(Table_SKU[],
MATCH(Table_Main[[#This Row],[Mã SKU]],Table_SKU[Mã Sản phẩm],0),1)</f>
        <v>Nhóm 3</v>
      </c>
      <c r="BY198" s="52" t="str">
        <f xml:space="preserve">
IFERROR(VLOOKUP(Table_Main[[#This Row],[Đơn bán]],Table_DonBan[],COUNTA(Table_DonBan[[#Headers],[Mã đơn bán]:[Mã Khách]]),0),0)</f>
        <v>KH02</v>
      </c>
      <c r="BZ198" s="52" t="str">
        <f>VLOOKUP(Table_Main[[#This Row],[Khách hàng]],Table_KhachHang[],COUNTA(Table_KhachHang[[#Headers],[Mã khách]:[Phân khúc]]),0)</f>
        <v>B2C</v>
      </c>
      <c r="CA198" s="57" t="str">
        <f xml:space="preserve">
IFERROR(VLOOKUP(Table_Main[[#This Row],[Đơn bán]],Table_DonBan[],COUNTA(Table_DonBan[[#Headers],[Mã đơn bán]:[Mã NV]]),0),0)</f>
        <v>NV02</v>
      </c>
      <c r="CB198" s="58" t="str">
        <f xml:space="preserve">
IFERROR(VLOOKUP(Table_Main[[#This Row],[Đơn bán]],Table_DonBan[],COUNTA(Table_DonBan[[#Headers],[Mã đơn bán]:[Kênh]]),0),0)</f>
        <v>TK</v>
      </c>
      <c r="CC198" s="58" t="str">
        <f>VLOOKUP(Table_Main[[#This Row],[Kênh]],Table_Kenh[],COUNTA(Table_Kenh[[#Headers],[Kênh]:[Nhóm Kênh]]),0)</f>
        <v>Sàn TMĐT</v>
      </c>
      <c r="CD198" s="59">
        <v>63</v>
      </c>
      <c r="CE198" s="58" t="str">
        <f>IFERROR(VLOOKUP(Table_Main[[#This Row],[Mã SKU]],Table_SKU[[Mã Sản phẩm]:[Giá bán]],COUNTA(Table_SKU[[#Headers],[Mã Sản phẩm]:[Đơn vị]]),0),0)</f>
        <v>Bộ</v>
      </c>
      <c r="CF198" s="58">
        <f>IFERROR(VLOOKUP(Table_Main[[#This Row],[Mã SKU]],Table_SKU[[Mã Sản phẩm]:[Giá bán]],COUNTA(Table_SKU[[#Headers],[Mã Sản phẩm]:[Giá bán]]),0),0)</f>
        <v>500000</v>
      </c>
      <c r="CG198" s="58">
        <f>Table_Main[[#This Row],[Giá bán]]*Table_Main[[#This Row],[Số lượng]]</f>
        <v>31500000</v>
      </c>
      <c r="CH198" s="61">
        <v>1575000</v>
      </c>
      <c r="CI198" s="58">
        <f>+Table_Main[[#This Row],[Thành tiền niêm yết]]-Table_Main[[#This Row],[Khuyễn mãi]]</f>
        <v>29925000</v>
      </c>
      <c r="CJ198" s="7" cm="1">
        <f t="array" ref="CJ198">VLOOKUP(Table_Main[[#This Row],[Đơn bán]],Table_DonBan[],COUNTA(Table_DonBan[[#Headers],[Mã đơn bán]:[Khuyễn mãi]]),0)*Table_Main[[#This Row],[Giá trị bán trước VAT]]/
SUM(_xlfn._xlws.FILTER(Table_Main[Giá trị bán trước VAT],
(Table_Main[Đơn bán]=Table_Main[[#This Row],[Đơn bán]])
))</f>
        <v>0</v>
      </c>
      <c r="CK198" s="7">
        <f>Table_Main[[#This Row],[Giá trị bán trước VAT]]-Table_Main[[#This Row],[Phân bổ khuyến mãi đơn]]</f>
        <v>29925000</v>
      </c>
      <c r="CL198"/>
      <c r="CM198"/>
    </row>
    <row r="199" spans="33:91" ht="16.5" x14ac:dyDescent="0.3">
      <c r="AG199"/>
      <c r="AH199"/>
      <c r="AI199"/>
      <c r="BT199" s="49" t="s">
        <v>59</v>
      </c>
      <c r="BU199" s="50" t="s">
        <v>110</v>
      </c>
      <c r="BV199" s="6">
        <f xml:space="preserve">
IFERROR(VLOOKUP(Table_Main[[#This Row],[Đơn bán]],Table_DonBan[],COUNTA(Table_DonBan[[#Headers],[Mã đơn bán]:[Ngày lập]]),0),0)</f>
        <v>45071</v>
      </c>
      <c r="BW199" s="51">
        <f>IFERROR(MONTH(Table_Main[[#This Row],[Ngày lên đơn]]),0)</f>
        <v>5</v>
      </c>
      <c r="BX199" s="51" t="str">
        <f>INDEX(Table_SKU[],
MATCH(Table_Main[[#This Row],[Mã SKU]],Table_SKU[Mã Sản phẩm],0),1)</f>
        <v>Nhóm 1</v>
      </c>
      <c r="BY199" s="52" t="str">
        <f xml:space="preserve">
IFERROR(VLOOKUP(Table_Main[[#This Row],[Đơn bán]],Table_DonBan[],COUNTA(Table_DonBan[[#Headers],[Mã đơn bán]:[Mã Khách]]),0),0)</f>
        <v>KH04</v>
      </c>
      <c r="BZ199" s="52" t="str">
        <f>VLOOKUP(Table_Main[[#This Row],[Khách hàng]],Table_KhachHang[],COUNTA(Table_KhachHang[[#Headers],[Mã khách]:[Phân khúc]]),0)</f>
        <v>B2B</v>
      </c>
      <c r="CA199" s="25" t="str">
        <f xml:space="preserve">
IFERROR(VLOOKUP(Table_Main[[#This Row],[Đơn bán]],Table_DonBan[],COUNTA(Table_DonBan[[#Headers],[Mã đơn bán]:[Mã NV]]),0),0)</f>
        <v>NV03</v>
      </c>
      <c r="CB199" s="7" t="str">
        <f xml:space="preserve">
IFERROR(VLOOKUP(Table_Main[[#This Row],[Đơn bán]],Table_DonBan[],COUNTA(Table_DonBan[[#Headers],[Mã đơn bán]:[Kênh]]),0),0)</f>
        <v>ST</v>
      </c>
      <c r="CC199" s="7" t="str">
        <f>VLOOKUP(Table_Main[[#This Row],[Kênh]],Table_Kenh[],COUNTA(Table_Kenh[[#Headers],[Kênh]:[Nhóm Kênh]]),0)</f>
        <v>Offline</v>
      </c>
      <c r="CD199" s="53">
        <v>126</v>
      </c>
      <c r="CE199" s="7" t="str">
        <f>IFERROR(VLOOKUP(Table_Main[[#This Row],[Mã SKU]],Table_SKU[[Mã Sản phẩm]:[Giá bán]],COUNTA(Table_SKU[[#Headers],[Mã Sản phẩm]:[Đơn vị]]),0),0)</f>
        <v>Bộ</v>
      </c>
      <c r="CF199" s="7">
        <f>IFERROR(VLOOKUP(Table_Main[[#This Row],[Mã SKU]],Table_SKU[[Mã Sản phẩm]:[Giá bán]],COUNTA(Table_SKU[[#Headers],[Mã Sản phẩm]:[Giá bán]]),0),0)</f>
        <v>200000</v>
      </c>
      <c r="CG199" s="7">
        <f>Table_Main[[#This Row],[Giá bán]]*Table_Main[[#This Row],[Số lượng]]</f>
        <v>25200000</v>
      </c>
      <c r="CH199" s="60">
        <v>0</v>
      </c>
      <c r="CI199" s="7">
        <f>+Table_Main[[#This Row],[Thành tiền niêm yết]]-Table_Main[[#This Row],[Khuyễn mãi]]</f>
        <v>25200000</v>
      </c>
      <c r="CJ199" s="7" cm="1">
        <f t="array" ref="CJ199">VLOOKUP(Table_Main[[#This Row],[Đơn bán]],Table_DonBan[],COUNTA(Table_DonBan[[#Headers],[Mã đơn bán]:[Khuyễn mãi]]),0)*Table_Main[[#This Row],[Giá trị bán trước VAT]]/
SUM(_xlfn._xlws.FILTER(Table_Main[Giá trị bán trước VAT],
(Table_Main[Đơn bán]=Table_Main[[#This Row],[Đơn bán]])
))</f>
        <v>0</v>
      </c>
      <c r="CK199" s="7">
        <f>Table_Main[[#This Row],[Giá trị bán trước VAT]]-Table_Main[[#This Row],[Phân bổ khuyến mãi đơn]]</f>
        <v>25200000</v>
      </c>
      <c r="CL199"/>
      <c r="CM199"/>
    </row>
    <row r="200" spans="33:91" ht="16.5" x14ac:dyDescent="0.3">
      <c r="AG200"/>
      <c r="AH200"/>
      <c r="AI200"/>
      <c r="BT200" s="49" t="s">
        <v>60</v>
      </c>
      <c r="BU200" s="50" t="s">
        <v>110</v>
      </c>
      <c r="BV200" s="6">
        <f xml:space="preserve">
IFERROR(VLOOKUP(Table_Main[[#This Row],[Đơn bán]],Table_DonBan[],COUNTA(Table_DonBan[[#Headers],[Mã đơn bán]:[Ngày lập]]),0),0)</f>
        <v>45071</v>
      </c>
      <c r="BW200" s="51">
        <f>IFERROR(MONTH(Table_Main[[#This Row],[Ngày lên đơn]]),0)</f>
        <v>5</v>
      </c>
      <c r="BX200" s="51" t="str">
        <f>INDEX(Table_SKU[],
MATCH(Table_Main[[#This Row],[Mã SKU]],Table_SKU[Mã Sản phẩm],0),1)</f>
        <v>Nhóm 2</v>
      </c>
      <c r="BY200" s="52" t="str">
        <f xml:space="preserve">
IFERROR(VLOOKUP(Table_Main[[#This Row],[Đơn bán]],Table_DonBan[],COUNTA(Table_DonBan[[#Headers],[Mã đơn bán]:[Mã Khách]]),0),0)</f>
        <v>KH04</v>
      </c>
      <c r="BZ200" s="52" t="str">
        <f>VLOOKUP(Table_Main[[#This Row],[Khách hàng]],Table_KhachHang[],COUNTA(Table_KhachHang[[#Headers],[Mã khách]:[Phân khúc]]),0)</f>
        <v>B2B</v>
      </c>
      <c r="CA200" s="25" t="str">
        <f xml:space="preserve">
IFERROR(VLOOKUP(Table_Main[[#This Row],[Đơn bán]],Table_DonBan[],COUNTA(Table_DonBan[[#Headers],[Mã đơn bán]:[Mã NV]]),0),0)</f>
        <v>NV03</v>
      </c>
      <c r="CB200" s="7" t="str">
        <f xml:space="preserve">
IFERROR(VLOOKUP(Table_Main[[#This Row],[Đơn bán]],Table_DonBan[],COUNTA(Table_DonBan[[#Headers],[Mã đơn bán]:[Kênh]]),0),0)</f>
        <v>ST</v>
      </c>
      <c r="CC200" s="7" t="str">
        <f>VLOOKUP(Table_Main[[#This Row],[Kênh]],Table_Kenh[],COUNTA(Table_Kenh[[#Headers],[Kênh]:[Nhóm Kênh]]),0)</f>
        <v>Offline</v>
      </c>
      <c r="CD200" s="53">
        <v>99</v>
      </c>
      <c r="CE200" s="7" t="str">
        <f>IFERROR(VLOOKUP(Table_Main[[#This Row],[Mã SKU]],Table_SKU[[Mã Sản phẩm]:[Giá bán]],COUNTA(Table_SKU[[#Headers],[Mã Sản phẩm]:[Đơn vị]]),0),0)</f>
        <v>Bộ</v>
      </c>
      <c r="CF200" s="7">
        <f>IFERROR(VLOOKUP(Table_Main[[#This Row],[Mã SKU]],Table_SKU[[Mã Sản phẩm]:[Giá bán]],COUNTA(Table_SKU[[#Headers],[Mã Sản phẩm]:[Giá bán]]),0),0)</f>
        <v>300000</v>
      </c>
      <c r="CG200" s="7">
        <f>Table_Main[[#This Row],[Giá bán]]*Table_Main[[#This Row],[Số lượng]]</f>
        <v>29700000</v>
      </c>
      <c r="CH200" s="60">
        <v>1485000</v>
      </c>
      <c r="CI200" s="7">
        <f>+Table_Main[[#This Row],[Thành tiền niêm yết]]-Table_Main[[#This Row],[Khuyễn mãi]]</f>
        <v>28215000</v>
      </c>
      <c r="CJ200" s="7" cm="1">
        <f t="array" ref="CJ200">VLOOKUP(Table_Main[[#This Row],[Đơn bán]],Table_DonBan[],COUNTA(Table_DonBan[[#Headers],[Mã đơn bán]:[Khuyễn mãi]]),0)*Table_Main[[#This Row],[Giá trị bán trước VAT]]/
SUM(_xlfn._xlws.FILTER(Table_Main[Giá trị bán trước VAT],
(Table_Main[Đơn bán]=Table_Main[[#This Row],[Đơn bán]])
))</f>
        <v>0</v>
      </c>
      <c r="CK200" s="7">
        <f>Table_Main[[#This Row],[Giá trị bán trước VAT]]-Table_Main[[#This Row],[Phân bổ khuyến mãi đơn]]</f>
        <v>28215000</v>
      </c>
      <c r="CL200"/>
      <c r="CM200"/>
    </row>
    <row r="201" spans="33:91" ht="16.5" x14ac:dyDescent="0.3">
      <c r="AG201"/>
      <c r="AH201"/>
      <c r="AI201"/>
      <c r="BT201" s="49" t="s">
        <v>61</v>
      </c>
      <c r="BU201" s="50" t="s">
        <v>110</v>
      </c>
      <c r="BV201" s="6">
        <f xml:space="preserve">
IFERROR(VLOOKUP(Table_Main[[#This Row],[Đơn bán]],Table_DonBan[],COUNTA(Table_DonBan[[#Headers],[Mã đơn bán]:[Ngày lập]]),0),0)</f>
        <v>45071</v>
      </c>
      <c r="BW201" s="51">
        <f>IFERROR(MONTH(Table_Main[[#This Row],[Ngày lên đơn]]),0)</f>
        <v>5</v>
      </c>
      <c r="BX201" s="51" t="str">
        <f>INDEX(Table_SKU[],
MATCH(Table_Main[[#This Row],[Mã SKU]],Table_SKU[Mã Sản phẩm],0),1)</f>
        <v>Nhóm 3</v>
      </c>
      <c r="BY201" s="10" t="str">
        <f xml:space="preserve">
IFERROR(VLOOKUP(Table_Main[[#This Row],[Đơn bán]],Table_DonBan[],COUNTA(Table_DonBan[[#Headers],[Mã đơn bán]:[Mã Khách]]),0),0)</f>
        <v>KH04</v>
      </c>
      <c r="BZ201" s="10" t="str">
        <f>VLOOKUP(Table_Main[[#This Row],[Khách hàng]],Table_KhachHang[],COUNTA(Table_KhachHang[[#Headers],[Mã khách]:[Phân khúc]]),0)</f>
        <v>B2B</v>
      </c>
      <c r="CA201" s="25" t="str">
        <f xml:space="preserve">
IFERROR(VLOOKUP(Table_Main[[#This Row],[Đơn bán]],Table_DonBan[],COUNTA(Table_DonBan[[#Headers],[Mã đơn bán]:[Mã NV]]),0),0)</f>
        <v>NV03</v>
      </c>
      <c r="CB201" s="7" t="str">
        <f xml:space="preserve">
IFERROR(VLOOKUP(Table_Main[[#This Row],[Đơn bán]],Table_DonBan[],COUNTA(Table_DonBan[[#Headers],[Mã đơn bán]:[Kênh]]),0),0)</f>
        <v>ST</v>
      </c>
      <c r="CC201" s="7" t="str">
        <f>VLOOKUP(Table_Main[[#This Row],[Kênh]],Table_Kenh[],COUNTA(Table_Kenh[[#Headers],[Kênh]:[Nhóm Kênh]]),0)</f>
        <v>Offline</v>
      </c>
      <c r="CD201" s="53">
        <v>62</v>
      </c>
      <c r="CE201" s="7" t="str">
        <f>IFERROR(VLOOKUP(Table_Main[[#This Row],[Mã SKU]],Table_SKU[[Mã Sản phẩm]:[Giá bán]],COUNTA(Table_SKU[[#Headers],[Mã Sản phẩm]:[Đơn vị]]),0),0)</f>
        <v>Bộ</v>
      </c>
      <c r="CF201" s="7">
        <f>IFERROR(VLOOKUP(Table_Main[[#This Row],[Mã SKU]],Table_SKU[[Mã Sản phẩm]:[Giá bán]],COUNTA(Table_SKU[[#Headers],[Mã Sản phẩm]:[Giá bán]]),0),0)</f>
        <v>500000</v>
      </c>
      <c r="CG201" s="7">
        <f>Table_Main[[#This Row],[Giá bán]]*Table_Main[[#This Row],[Số lượng]]</f>
        <v>31000000</v>
      </c>
      <c r="CH201" s="60">
        <v>1550000</v>
      </c>
      <c r="CI201" s="7">
        <f>+Table_Main[[#This Row],[Thành tiền niêm yết]]-Table_Main[[#This Row],[Khuyễn mãi]]</f>
        <v>29450000</v>
      </c>
      <c r="CJ201" s="7" cm="1">
        <f t="array" ref="CJ201">VLOOKUP(Table_Main[[#This Row],[Đơn bán]],Table_DonBan[],COUNTA(Table_DonBan[[#Headers],[Mã đơn bán]:[Khuyễn mãi]]),0)*Table_Main[[#This Row],[Giá trị bán trước VAT]]/
SUM(_xlfn._xlws.FILTER(Table_Main[Giá trị bán trước VAT],
(Table_Main[Đơn bán]=Table_Main[[#This Row],[Đơn bán]])
))</f>
        <v>0</v>
      </c>
      <c r="CK201" s="7">
        <f>Table_Main[[#This Row],[Giá trị bán trước VAT]]-Table_Main[[#This Row],[Phân bổ khuyến mãi đơn]]</f>
        <v>29450000</v>
      </c>
      <c r="CL201"/>
      <c r="CM201"/>
    </row>
    <row r="202" spans="33:91" ht="16.5" x14ac:dyDescent="0.3">
      <c r="AG202"/>
      <c r="AH202"/>
      <c r="AI202"/>
      <c r="BT202" s="49" t="s">
        <v>59</v>
      </c>
      <c r="BU202" s="50" t="s">
        <v>109</v>
      </c>
      <c r="BV202" s="6">
        <f xml:space="preserve">
IFERROR(VLOOKUP(Table_Main[[#This Row],[Đơn bán]],Table_DonBan[],COUNTA(Table_DonBan[[#Headers],[Mã đơn bán]:[Ngày lập]]),0),0)</f>
        <v>45061</v>
      </c>
      <c r="BW202" s="51">
        <f>IFERROR(MONTH(Table_Main[[#This Row],[Ngày lên đơn]]),0)</f>
        <v>5</v>
      </c>
      <c r="BX202" s="51" t="str">
        <f>INDEX(Table_SKU[],
MATCH(Table_Main[[#This Row],[Mã SKU]],Table_SKU[Mã Sản phẩm],0),1)</f>
        <v>Nhóm 1</v>
      </c>
      <c r="BY202" s="52" t="str">
        <f xml:space="preserve">
IFERROR(VLOOKUP(Table_Main[[#This Row],[Đơn bán]],Table_DonBan[],COUNTA(Table_DonBan[[#Headers],[Mã đơn bán]:[Mã Khách]]),0),0)</f>
        <v>KH03</v>
      </c>
      <c r="BZ202" s="52" t="str">
        <f>VLOOKUP(Table_Main[[#This Row],[Khách hàng]],Table_KhachHang[],COUNTA(Table_KhachHang[[#Headers],[Mã khách]:[Phân khúc]]),0)</f>
        <v>B2C</v>
      </c>
      <c r="CA202" s="25" t="str">
        <f xml:space="preserve">
IFERROR(VLOOKUP(Table_Main[[#This Row],[Đơn bán]],Table_DonBan[],COUNTA(Table_DonBan[[#Headers],[Mã đơn bán]:[Mã NV]]),0),0)</f>
        <v>NV02</v>
      </c>
      <c r="CB202" s="7" t="str">
        <f xml:space="preserve">
IFERROR(VLOOKUP(Table_Main[[#This Row],[Đơn bán]],Table_DonBan[],COUNTA(Table_DonBan[[#Headers],[Mã đơn bán]:[Kênh]]),0),0)</f>
        <v>ST</v>
      </c>
      <c r="CC202" s="7" t="str">
        <f>VLOOKUP(Table_Main[[#This Row],[Kênh]],Table_Kenh[],COUNTA(Table_Kenh[[#Headers],[Kênh]:[Nhóm Kênh]]),0)</f>
        <v>Offline</v>
      </c>
      <c r="CD202" s="53">
        <v>127</v>
      </c>
      <c r="CE202" s="7" t="str">
        <f>IFERROR(VLOOKUP(Table_Main[[#This Row],[Mã SKU]],Table_SKU[[Mã Sản phẩm]:[Giá bán]],COUNTA(Table_SKU[[#Headers],[Mã Sản phẩm]:[Đơn vị]]),0),0)</f>
        <v>Bộ</v>
      </c>
      <c r="CF202" s="7">
        <f>IFERROR(VLOOKUP(Table_Main[[#This Row],[Mã SKU]],Table_SKU[[Mã Sản phẩm]:[Giá bán]],COUNTA(Table_SKU[[#Headers],[Mã Sản phẩm]:[Giá bán]]),0),0)</f>
        <v>200000</v>
      </c>
      <c r="CG202" s="7">
        <f>Table_Main[[#This Row],[Giá bán]]*Table_Main[[#This Row],[Số lượng]]</f>
        <v>25400000</v>
      </c>
      <c r="CH202" s="60">
        <v>0</v>
      </c>
      <c r="CI202" s="7">
        <f>+Table_Main[[#This Row],[Thành tiền niêm yết]]-Table_Main[[#This Row],[Khuyễn mãi]]</f>
        <v>25400000</v>
      </c>
      <c r="CJ202" s="7" cm="1">
        <f t="array" ref="CJ202">VLOOKUP(Table_Main[[#This Row],[Đơn bán]],Table_DonBan[],COUNTA(Table_DonBan[[#Headers],[Mã đơn bán]:[Khuyễn mãi]]),0)*Table_Main[[#This Row],[Giá trị bán trước VAT]]/
SUM(_xlfn._xlws.FILTER(Table_Main[Giá trị bán trước VAT],
(Table_Main[Đơn bán]=Table_Main[[#This Row],[Đơn bán]])
))</f>
        <v>0</v>
      </c>
      <c r="CK202" s="7">
        <f>Table_Main[[#This Row],[Giá trị bán trước VAT]]-Table_Main[[#This Row],[Phân bổ khuyến mãi đơn]]</f>
        <v>25400000</v>
      </c>
      <c r="CL202"/>
      <c r="CM202"/>
    </row>
    <row r="203" spans="33:91" ht="16.5" x14ac:dyDescent="0.3">
      <c r="AG203"/>
      <c r="AH203"/>
      <c r="AI203"/>
      <c r="BT203" s="49" t="s">
        <v>60</v>
      </c>
      <c r="BU203" s="50" t="s">
        <v>109</v>
      </c>
      <c r="BV203" s="6">
        <f xml:space="preserve">
IFERROR(VLOOKUP(Table_Main[[#This Row],[Đơn bán]],Table_DonBan[],COUNTA(Table_DonBan[[#Headers],[Mã đơn bán]:[Ngày lập]]),0),0)</f>
        <v>45061</v>
      </c>
      <c r="BW203" s="51">
        <f>IFERROR(MONTH(Table_Main[[#This Row],[Ngày lên đơn]]),0)</f>
        <v>5</v>
      </c>
      <c r="BX203" s="51" t="str">
        <f>INDEX(Table_SKU[],
MATCH(Table_Main[[#This Row],[Mã SKU]],Table_SKU[Mã Sản phẩm],0),1)</f>
        <v>Nhóm 2</v>
      </c>
      <c r="BY203" s="52" t="str">
        <f xml:space="preserve">
IFERROR(VLOOKUP(Table_Main[[#This Row],[Đơn bán]],Table_DonBan[],COUNTA(Table_DonBan[[#Headers],[Mã đơn bán]:[Mã Khách]]),0),0)</f>
        <v>KH03</v>
      </c>
      <c r="BZ203" s="52" t="str">
        <f>VLOOKUP(Table_Main[[#This Row],[Khách hàng]],Table_KhachHang[],COUNTA(Table_KhachHang[[#Headers],[Mã khách]:[Phân khúc]]),0)</f>
        <v>B2C</v>
      </c>
      <c r="CA203" s="25" t="str">
        <f xml:space="preserve">
IFERROR(VLOOKUP(Table_Main[[#This Row],[Đơn bán]],Table_DonBan[],COUNTA(Table_DonBan[[#Headers],[Mã đơn bán]:[Mã NV]]),0),0)</f>
        <v>NV02</v>
      </c>
      <c r="CB203" s="7" t="str">
        <f xml:space="preserve">
IFERROR(VLOOKUP(Table_Main[[#This Row],[Đơn bán]],Table_DonBan[],COUNTA(Table_DonBan[[#Headers],[Mã đơn bán]:[Kênh]]),0),0)</f>
        <v>ST</v>
      </c>
      <c r="CC203" s="7" t="str">
        <f>VLOOKUP(Table_Main[[#This Row],[Kênh]],Table_Kenh[],COUNTA(Table_Kenh[[#Headers],[Kênh]:[Nhóm Kênh]]),0)</f>
        <v>Offline</v>
      </c>
      <c r="CD203" s="53">
        <v>99</v>
      </c>
      <c r="CE203" s="7" t="str">
        <f>IFERROR(VLOOKUP(Table_Main[[#This Row],[Mã SKU]],Table_SKU[[Mã Sản phẩm]:[Giá bán]],COUNTA(Table_SKU[[#Headers],[Mã Sản phẩm]:[Đơn vị]]),0),0)</f>
        <v>Bộ</v>
      </c>
      <c r="CF203" s="7">
        <f>IFERROR(VLOOKUP(Table_Main[[#This Row],[Mã SKU]],Table_SKU[[Mã Sản phẩm]:[Giá bán]],COUNTA(Table_SKU[[#Headers],[Mã Sản phẩm]:[Giá bán]]),0),0)</f>
        <v>300000</v>
      </c>
      <c r="CG203" s="7">
        <f>Table_Main[[#This Row],[Giá bán]]*Table_Main[[#This Row],[Số lượng]]</f>
        <v>29700000</v>
      </c>
      <c r="CH203" s="60">
        <v>1485000</v>
      </c>
      <c r="CI203" s="7">
        <f>+Table_Main[[#This Row],[Thành tiền niêm yết]]-Table_Main[[#This Row],[Khuyễn mãi]]</f>
        <v>28215000</v>
      </c>
      <c r="CJ203" s="7" cm="1">
        <f t="array" ref="CJ203">VLOOKUP(Table_Main[[#This Row],[Đơn bán]],Table_DonBan[],COUNTA(Table_DonBan[[#Headers],[Mã đơn bán]:[Khuyễn mãi]]),0)*Table_Main[[#This Row],[Giá trị bán trước VAT]]/
SUM(_xlfn._xlws.FILTER(Table_Main[Giá trị bán trước VAT],
(Table_Main[Đơn bán]=Table_Main[[#This Row],[Đơn bán]])
))</f>
        <v>0</v>
      </c>
      <c r="CK203" s="7">
        <f>Table_Main[[#This Row],[Giá trị bán trước VAT]]-Table_Main[[#This Row],[Phân bổ khuyến mãi đơn]]</f>
        <v>28215000</v>
      </c>
      <c r="CL203"/>
      <c r="CM203"/>
    </row>
    <row r="204" spans="33:91" ht="16.5" x14ac:dyDescent="0.3">
      <c r="AG204"/>
      <c r="AH204"/>
      <c r="AI204"/>
      <c r="BT204" s="49" t="s">
        <v>61</v>
      </c>
      <c r="BU204" s="50" t="s">
        <v>109</v>
      </c>
      <c r="BV204" s="6">
        <f xml:space="preserve">
IFERROR(VLOOKUP(Table_Main[[#This Row],[Đơn bán]],Table_DonBan[],COUNTA(Table_DonBan[[#Headers],[Mã đơn bán]:[Ngày lập]]),0),0)</f>
        <v>45061</v>
      </c>
      <c r="BW204" s="51">
        <f>IFERROR(MONTH(Table_Main[[#This Row],[Ngày lên đơn]]),0)</f>
        <v>5</v>
      </c>
      <c r="BX204" s="51" t="str">
        <f>INDEX(Table_SKU[],
MATCH(Table_Main[[#This Row],[Mã SKU]],Table_SKU[Mã Sản phẩm],0),1)</f>
        <v>Nhóm 3</v>
      </c>
      <c r="BY204" s="52" t="str">
        <f xml:space="preserve">
IFERROR(VLOOKUP(Table_Main[[#This Row],[Đơn bán]],Table_DonBan[],COUNTA(Table_DonBan[[#Headers],[Mã đơn bán]:[Mã Khách]]),0),0)</f>
        <v>KH03</v>
      </c>
      <c r="BZ204" s="52" t="str">
        <f>VLOOKUP(Table_Main[[#This Row],[Khách hàng]],Table_KhachHang[],COUNTA(Table_KhachHang[[#Headers],[Mã khách]:[Phân khúc]]),0)</f>
        <v>B2C</v>
      </c>
      <c r="CA204" s="25" t="str">
        <f xml:space="preserve">
IFERROR(VLOOKUP(Table_Main[[#This Row],[Đơn bán]],Table_DonBan[],COUNTA(Table_DonBan[[#Headers],[Mã đơn bán]:[Mã NV]]),0),0)</f>
        <v>NV02</v>
      </c>
      <c r="CB204" s="7" t="str">
        <f xml:space="preserve">
IFERROR(VLOOKUP(Table_Main[[#This Row],[Đơn bán]],Table_DonBan[],COUNTA(Table_DonBan[[#Headers],[Mã đơn bán]:[Kênh]]),0),0)</f>
        <v>ST</v>
      </c>
      <c r="CC204" s="7" t="str">
        <f>VLOOKUP(Table_Main[[#This Row],[Kênh]],Table_Kenh[],COUNTA(Table_Kenh[[#Headers],[Kênh]:[Nhóm Kênh]]),0)</f>
        <v>Offline</v>
      </c>
      <c r="CD204" s="53">
        <v>59</v>
      </c>
      <c r="CE204" s="7" t="str">
        <f>IFERROR(VLOOKUP(Table_Main[[#This Row],[Mã SKU]],Table_SKU[[Mã Sản phẩm]:[Giá bán]],COUNTA(Table_SKU[[#Headers],[Mã Sản phẩm]:[Đơn vị]]),0),0)</f>
        <v>Bộ</v>
      </c>
      <c r="CF204" s="7">
        <f>IFERROR(VLOOKUP(Table_Main[[#This Row],[Mã SKU]],Table_SKU[[Mã Sản phẩm]:[Giá bán]],COUNTA(Table_SKU[[#Headers],[Mã Sản phẩm]:[Giá bán]]),0),0)</f>
        <v>500000</v>
      </c>
      <c r="CG204" s="7">
        <f>Table_Main[[#This Row],[Giá bán]]*Table_Main[[#This Row],[Số lượng]]</f>
        <v>29500000</v>
      </c>
      <c r="CH204" s="60">
        <v>1475000</v>
      </c>
      <c r="CI204" s="7">
        <f>+Table_Main[[#This Row],[Thành tiền niêm yết]]-Table_Main[[#This Row],[Khuyễn mãi]]</f>
        <v>28025000</v>
      </c>
      <c r="CJ204" s="7" cm="1">
        <f t="array" ref="CJ204">VLOOKUP(Table_Main[[#This Row],[Đơn bán]],Table_DonBan[],COUNTA(Table_DonBan[[#Headers],[Mã đơn bán]:[Khuyễn mãi]]),0)*Table_Main[[#This Row],[Giá trị bán trước VAT]]/
SUM(_xlfn._xlws.FILTER(Table_Main[Giá trị bán trước VAT],
(Table_Main[Đơn bán]=Table_Main[[#This Row],[Đơn bán]])
))</f>
        <v>0</v>
      </c>
      <c r="CK204" s="7">
        <f>Table_Main[[#This Row],[Giá trị bán trước VAT]]-Table_Main[[#This Row],[Phân bổ khuyến mãi đơn]]</f>
        <v>28025000</v>
      </c>
      <c r="CL204"/>
      <c r="CM204"/>
    </row>
    <row r="205" spans="33:91" ht="16.5" x14ac:dyDescent="0.3">
      <c r="AG205"/>
      <c r="AH205"/>
      <c r="AI205"/>
      <c r="BT205" s="49" t="s">
        <v>59</v>
      </c>
      <c r="BU205" s="50" t="s">
        <v>108</v>
      </c>
      <c r="BV205" s="6">
        <f xml:space="preserve">
IFERROR(VLOOKUP(Table_Main[[#This Row],[Đơn bán]],Table_DonBan[],COUNTA(Table_DonBan[[#Headers],[Mã đơn bán]:[Ngày lập]]),0),0)</f>
        <v>45051</v>
      </c>
      <c r="BW205" s="51">
        <f>IFERROR(MONTH(Table_Main[[#This Row],[Ngày lên đơn]]),0)</f>
        <v>5</v>
      </c>
      <c r="BX205" s="51" t="str">
        <f>INDEX(Table_SKU[],
MATCH(Table_Main[[#This Row],[Mã SKU]],Table_SKU[Mã Sản phẩm],0),1)</f>
        <v>Nhóm 1</v>
      </c>
      <c r="BY205" s="52" t="str">
        <f xml:space="preserve">
IFERROR(VLOOKUP(Table_Main[[#This Row],[Đơn bán]],Table_DonBan[],COUNTA(Table_DonBan[[#Headers],[Mã đơn bán]:[Mã Khách]]),0),0)</f>
        <v>KH01</v>
      </c>
      <c r="BZ205" s="52" t="str">
        <f>VLOOKUP(Table_Main[[#This Row],[Khách hàng]],Table_KhachHang[],COUNTA(Table_KhachHang[[#Headers],[Mã khách]:[Phân khúc]]),0)</f>
        <v>B2B</v>
      </c>
      <c r="CA205" s="25" t="str">
        <f xml:space="preserve">
IFERROR(VLOOKUP(Table_Main[[#This Row],[Đơn bán]],Table_DonBan[],COUNTA(Table_DonBan[[#Headers],[Mã đơn bán]:[Mã NV]]),0),0)</f>
        <v>NV02</v>
      </c>
      <c r="CB205" s="7" t="str">
        <f xml:space="preserve">
IFERROR(VLOOKUP(Table_Main[[#This Row],[Đơn bán]],Table_DonBan[],COUNTA(Table_DonBan[[#Headers],[Mã đơn bán]:[Kênh]]),0),0)</f>
        <v>FB</v>
      </c>
      <c r="CC205" s="7" t="str">
        <f>VLOOKUP(Table_Main[[#This Row],[Kênh]],Table_Kenh[],COUNTA(Table_Kenh[[#Headers],[Kênh]:[Nhóm Kênh]]),0)</f>
        <v>Mạng xã hội</v>
      </c>
      <c r="CD205" s="53">
        <v>130</v>
      </c>
      <c r="CE205" s="7" t="str">
        <f>IFERROR(VLOOKUP(Table_Main[[#This Row],[Mã SKU]],Table_SKU[[Mã Sản phẩm]:[Giá bán]],COUNTA(Table_SKU[[#Headers],[Mã Sản phẩm]:[Đơn vị]]),0),0)</f>
        <v>Bộ</v>
      </c>
      <c r="CF205" s="7">
        <f>IFERROR(VLOOKUP(Table_Main[[#This Row],[Mã SKU]],Table_SKU[[Mã Sản phẩm]:[Giá bán]],COUNTA(Table_SKU[[#Headers],[Mã Sản phẩm]:[Giá bán]]),0),0)</f>
        <v>200000</v>
      </c>
      <c r="CG205" s="7">
        <f>Table_Main[[#This Row],[Giá bán]]*Table_Main[[#This Row],[Số lượng]]</f>
        <v>26000000</v>
      </c>
      <c r="CH205" s="60">
        <v>0</v>
      </c>
      <c r="CI205" s="7">
        <f>+Table_Main[[#This Row],[Thành tiền niêm yết]]-Table_Main[[#This Row],[Khuyễn mãi]]</f>
        <v>26000000</v>
      </c>
      <c r="CJ205" s="7" cm="1">
        <f t="array" ref="CJ205">VLOOKUP(Table_Main[[#This Row],[Đơn bán]],Table_DonBan[],COUNTA(Table_DonBan[[#Headers],[Mã đơn bán]:[Khuyễn mãi]]),0)*Table_Main[[#This Row],[Giá trị bán trước VAT]]/
SUM(_xlfn._xlws.FILTER(Table_Main[Giá trị bán trước VAT],
(Table_Main[Đơn bán]=Table_Main[[#This Row],[Đơn bán]])
))</f>
        <v>0</v>
      </c>
      <c r="CK205" s="7">
        <f>Table_Main[[#This Row],[Giá trị bán trước VAT]]-Table_Main[[#This Row],[Phân bổ khuyến mãi đơn]]</f>
        <v>26000000</v>
      </c>
      <c r="CL205"/>
      <c r="CM205"/>
    </row>
    <row r="206" spans="33:91" ht="16.5" x14ac:dyDescent="0.3">
      <c r="AG206"/>
      <c r="AH206"/>
      <c r="AI206"/>
      <c r="BT206" s="49" t="s">
        <v>60</v>
      </c>
      <c r="BU206" s="50" t="s">
        <v>108</v>
      </c>
      <c r="BV206" s="6">
        <f xml:space="preserve">
IFERROR(VLOOKUP(Table_Main[[#This Row],[Đơn bán]],Table_DonBan[],COUNTA(Table_DonBan[[#Headers],[Mã đơn bán]:[Ngày lập]]),0),0)</f>
        <v>45051</v>
      </c>
      <c r="BW206" s="51">
        <f>IFERROR(MONTH(Table_Main[[#This Row],[Ngày lên đơn]]),0)</f>
        <v>5</v>
      </c>
      <c r="BX206" s="51" t="str">
        <f>INDEX(Table_SKU[],
MATCH(Table_Main[[#This Row],[Mã SKU]],Table_SKU[Mã Sản phẩm],0),1)</f>
        <v>Nhóm 2</v>
      </c>
      <c r="BY206" s="52" t="str">
        <f xml:space="preserve">
IFERROR(VLOOKUP(Table_Main[[#This Row],[Đơn bán]],Table_DonBan[],COUNTA(Table_DonBan[[#Headers],[Mã đơn bán]:[Mã Khách]]),0),0)</f>
        <v>KH01</v>
      </c>
      <c r="BZ206" s="52" t="str">
        <f>VLOOKUP(Table_Main[[#This Row],[Khách hàng]],Table_KhachHang[],COUNTA(Table_KhachHang[[#Headers],[Mã khách]:[Phân khúc]]),0)</f>
        <v>B2B</v>
      </c>
      <c r="CA206" s="25" t="str">
        <f xml:space="preserve">
IFERROR(VLOOKUP(Table_Main[[#This Row],[Đơn bán]],Table_DonBan[],COUNTA(Table_DonBan[[#Headers],[Mã đơn bán]:[Mã NV]]),0),0)</f>
        <v>NV02</v>
      </c>
      <c r="CB206" s="7" t="str">
        <f xml:space="preserve">
IFERROR(VLOOKUP(Table_Main[[#This Row],[Đơn bán]],Table_DonBan[],COUNTA(Table_DonBan[[#Headers],[Mã đơn bán]:[Kênh]]),0),0)</f>
        <v>FB</v>
      </c>
      <c r="CC206" s="7" t="str">
        <f>VLOOKUP(Table_Main[[#This Row],[Kênh]],Table_Kenh[],COUNTA(Table_Kenh[[#Headers],[Kênh]:[Nhóm Kênh]]),0)</f>
        <v>Mạng xã hội</v>
      </c>
      <c r="CD206" s="53">
        <v>96</v>
      </c>
      <c r="CE206" s="7" t="str">
        <f>IFERROR(VLOOKUP(Table_Main[[#This Row],[Mã SKU]],Table_SKU[[Mã Sản phẩm]:[Giá bán]],COUNTA(Table_SKU[[#Headers],[Mã Sản phẩm]:[Đơn vị]]),0),0)</f>
        <v>Bộ</v>
      </c>
      <c r="CF206" s="7">
        <f>IFERROR(VLOOKUP(Table_Main[[#This Row],[Mã SKU]],Table_SKU[[Mã Sản phẩm]:[Giá bán]],COUNTA(Table_SKU[[#Headers],[Mã Sản phẩm]:[Giá bán]]),0),0)</f>
        <v>300000</v>
      </c>
      <c r="CG206" s="7">
        <f>Table_Main[[#This Row],[Giá bán]]*Table_Main[[#This Row],[Số lượng]]</f>
        <v>28800000</v>
      </c>
      <c r="CH206" s="60">
        <v>1440000</v>
      </c>
      <c r="CI206" s="7">
        <f>+Table_Main[[#This Row],[Thành tiền niêm yết]]-Table_Main[[#This Row],[Khuyễn mãi]]</f>
        <v>27360000</v>
      </c>
      <c r="CJ206" s="7" cm="1">
        <f t="array" ref="CJ206">VLOOKUP(Table_Main[[#This Row],[Đơn bán]],Table_DonBan[],COUNTA(Table_DonBan[[#Headers],[Mã đơn bán]:[Khuyễn mãi]]),0)*Table_Main[[#This Row],[Giá trị bán trước VAT]]/
SUM(_xlfn._xlws.FILTER(Table_Main[Giá trị bán trước VAT],
(Table_Main[Đơn bán]=Table_Main[[#This Row],[Đơn bán]])
))</f>
        <v>0</v>
      </c>
      <c r="CK206" s="7">
        <f>Table_Main[[#This Row],[Giá trị bán trước VAT]]-Table_Main[[#This Row],[Phân bổ khuyến mãi đơn]]</f>
        <v>27360000</v>
      </c>
      <c r="CL206"/>
      <c r="CM206"/>
    </row>
    <row r="207" spans="33:91" ht="16.5" x14ac:dyDescent="0.3">
      <c r="AG207"/>
      <c r="AH207"/>
      <c r="AI207"/>
      <c r="BT207" s="54" t="s">
        <v>61</v>
      </c>
      <c r="BU207" s="55" t="s">
        <v>108</v>
      </c>
      <c r="BV207" s="56">
        <f xml:space="preserve">
IFERROR(VLOOKUP(Table_Main[[#This Row],[Đơn bán]],Table_DonBan[],COUNTA(Table_DonBan[[#Headers],[Mã đơn bán]:[Ngày lập]]),0),0)</f>
        <v>45051</v>
      </c>
      <c r="BW207" s="51">
        <f>IFERROR(MONTH(Table_Main[[#This Row],[Ngày lên đơn]]),0)</f>
        <v>5</v>
      </c>
      <c r="BX207" s="51" t="str">
        <f>INDEX(Table_SKU[],
MATCH(Table_Main[[#This Row],[Mã SKU]],Table_SKU[Mã Sản phẩm],0),1)</f>
        <v>Nhóm 3</v>
      </c>
      <c r="BY207" s="52" t="str">
        <f xml:space="preserve">
IFERROR(VLOOKUP(Table_Main[[#This Row],[Đơn bán]],Table_DonBan[],COUNTA(Table_DonBan[[#Headers],[Mã đơn bán]:[Mã Khách]]),0),0)</f>
        <v>KH01</v>
      </c>
      <c r="BZ207" s="52" t="str">
        <f>VLOOKUP(Table_Main[[#This Row],[Khách hàng]],Table_KhachHang[],COUNTA(Table_KhachHang[[#Headers],[Mã khách]:[Phân khúc]]),0)</f>
        <v>B2B</v>
      </c>
      <c r="CA207" s="57" t="str">
        <f xml:space="preserve">
IFERROR(VLOOKUP(Table_Main[[#This Row],[Đơn bán]],Table_DonBan[],COUNTA(Table_DonBan[[#Headers],[Mã đơn bán]:[Mã NV]]),0),0)</f>
        <v>NV02</v>
      </c>
      <c r="CB207" s="58" t="str">
        <f xml:space="preserve">
IFERROR(VLOOKUP(Table_Main[[#This Row],[Đơn bán]],Table_DonBan[],COUNTA(Table_DonBan[[#Headers],[Mã đơn bán]:[Kênh]]),0),0)</f>
        <v>FB</v>
      </c>
      <c r="CC207" s="58" t="str">
        <f>VLOOKUP(Table_Main[[#This Row],[Kênh]],Table_Kenh[],COUNTA(Table_Kenh[[#Headers],[Kênh]:[Nhóm Kênh]]),0)</f>
        <v>Mạng xã hội</v>
      </c>
      <c r="CD207" s="59">
        <v>56</v>
      </c>
      <c r="CE207" s="58" t="str">
        <f>IFERROR(VLOOKUP(Table_Main[[#This Row],[Mã SKU]],Table_SKU[[Mã Sản phẩm]:[Giá bán]],COUNTA(Table_SKU[[#Headers],[Mã Sản phẩm]:[Đơn vị]]),0),0)</f>
        <v>Bộ</v>
      </c>
      <c r="CF207" s="58">
        <f>IFERROR(VLOOKUP(Table_Main[[#This Row],[Mã SKU]],Table_SKU[[Mã Sản phẩm]:[Giá bán]],COUNTA(Table_SKU[[#Headers],[Mã Sản phẩm]:[Giá bán]]),0),0)</f>
        <v>500000</v>
      </c>
      <c r="CG207" s="58">
        <f>Table_Main[[#This Row],[Giá bán]]*Table_Main[[#This Row],[Số lượng]]</f>
        <v>28000000</v>
      </c>
      <c r="CH207" s="61">
        <v>0</v>
      </c>
      <c r="CI207" s="58">
        <f>+Table_Main[[#This Row],[Thành tiền niêm yết]]-Table_Main[[#This Row],[Khuyễn mãi]]</f>
        <v>28000000</v>
      </c>
      <c r="CJ207" s="7" cm="1">
        <f t="array" ref="CJ207">VLOOKUP(Table_Main[[#This Row],[Đơn bán]],Table_DonBan[],COUNTA(Table_DonBan[[#Headers],[Mã đơn bán]:[Khuyễn mãi]]),0)*Table_Main[[#This Row],[Giá trị bán trước VAT]]/
SUM(_xlfn._xlws.FILTER(Table_Main[Giá trị bán trước VAT],
(Table_Main[Đơn bán]=Table_Main[[#This Row],[Đơn bán]])
))</f>
        <v>0</v>
      </c>
      <c r="CK207" s="7">
        <f>Table_Main[[#This Row],[Giá trị bán trước VAT]]-Table_Main[[#This Row],[Phân bổ khuyến mãi đơn]]</f>
        <v>28000000</v>
      </c>
      <c r="CL207"/>
      <c r="CM207"/>
    </row>
    <row r="208" spans="33:91" ht="16.5" x14ac:dyDescent="0.3">
      <c r="AG208"/>
      <c r="AH208"/>
      <c r="AI208"/>
      <c r="BT208" s="49" t="s">
        <v>59</v>
      </c>
      <c r="BU208" s="50" t="s">
        <v>107</v>
      </c>
      <c r="BV208" s="6">
        <f xml:space="preserve">
IFERROR(VLOOKUP(Table_Main[[#This Row],[Đơn bán]],Table_DonBan[],COUNTA(Table_DonBan[[#Headers],[Mã đơn bán]:[Ngày lập]]),0),0)</f>
        <v>45041</v>
      </c>
      <c r="BW208" s="51">
        <f>IFERROR(MONTH(Table_Main[[#This Row],[Ngày lên đơn]]),0)</f>
        <v>4</v>
      </c>
      <c r="BX208" s="51" t="str">
        <f>INDEX(Table_SKU[],
MATCH(Table_Main[[#This Row],[Mã SKU]],Table_SKU[Mã Sản phẩm],0),1)</f>
        <v>Nhóm 1</v>
      </c>
      <c r="BY208" s="52" t="str">
        <f xml:space="preserve">
IFERROR(VLOOKUP(Table_Main[[#This Row],[Đơn bán]],Table_DonBan[],COUNTA(Table_DonBan[[#Headers],[Mã đơn bán]:[Mã Khách]]),0),0)</f>
        <v>KH04</v>
      </c>
      <c r="BZ208" s="52" t="str">
        <f>VLOOKUP(Table_Main[[#This Row],[Khách hàng]],Table_KhachHang[],COUNTA(Table_KhachHang[[#Headers],[Mã khách]:[Phân khúc]]),0)</f>
        <v>B2B</v>
      </c>
      <c r="CA208" s="25" t="str">
        <f xml:space="preserve">
IFERROR(VLOOKUP(Table_Main[[#This Row],[Đơn bán]],Table_DonBan[],COUNTA(Table_DonBan[[#Headers],[Mã đơn bán]:[Mã NV]]),0),0)</f>
        <v>NV02</v>
      </c>
      <c r="CB208" s="7" t="str">
        <f xml:space="preserve">
IFERROR(VLOOKUP(Table_Main[[#This Row],[Đơn bán]],Table_DonBan[],COUNTA(Table_DonBan[[#Headers],[Mã đơn bán]:[Kênh]]),0),0)</f>
        <v>SP</v>
      </c>
      <c r="CC208" s="7" t="str">
        <f>VLOOKUP(Table_Main[[#This Row],[Kênh]],Table_Kenh[],COUNTA(Table_Kenh[[#Headers],[Kênh]:[Nhóm Kênh]]),0)</f>
        <v>Sàn TMĐT</v>
      </c>
      <c r="CD208" s="53">
        <v>125</v>
      </c>
      <c r="CE208" s="7" t="str">
        <f>IFERROR(VLOOKUP(Table_Main[[#This Row],[Mã SKU]],Table_SKU[[Mã Sản phẩm]:[Giá bán]],COUNTA(Table_SKU[[#Headers],[Mã Sản phẩm]:[Đơn vị]]),0),0)</f>
        <v>Bộ</v>
      </c>
      <c r="CF208" s="7">
        <f>IFERROR(VLOOKUP(Table_Main[[#This Row],[Mã SKU]],Table_SKU[[Mã Sản phẩm]:[Giá bán]],COUNTA(Table_SKU[[#Headers],[Mã Sản phẩm]:[Giá bán]]),0),0)</f>
        <v>200000</v>
      </c>
      <c r="CG208" s="7">
        <f>Table_Main[[#This Row],[Giá bán]]*Table_Main[[#This Row],[Số lượng]]</f>
        <v>25000000</v>
      </c>
      <c r="CH208" s="60">
        <v>0</v>
      </c>
      <c r="CI208" s="7">
        <f>+Table_Main[[#This Row],[Thành tiền niêm yết]]-Table_Main[[#This Row],[Khuyễn mãi]]</f>
        <v>25000000</v>
      </c>
      <c r="CJ208" s="7" cm="1">
        <f t="array" ref="CJ208">VLOOKUP(Table_Main[[#This Row],[Đơn bán]],Table_DonBan[],COUNTA(Table_DonBan[[#Headers],[Mã đơn bán]:[Khuyễn mãi]]),0)*Table_Main[[#This Row],[Giá trị bán trước VAT]]/
SUM(_xlfn._xlws.FILTER(Table_Main[Giá trị bán trước VAT],
(Table_Main[Đơn bán]=Table_Main[[#This Row],[Đơn bán]])
))</f>
        <v>0</v>
      </c>
      <c r="CK208" s="7">
        <f>Table_Main[[#This Row],[Giá trị bán trước VAT]]-Table_Main[[#This Row],[Phân bổ khuyến mãi đơn]]</f>
        <v>25000000</v>
      </c>
      <c r="CL208"/>
      <c r="CM208"/>
    </row>
    <row r="209" spans="33:91" ht="16.5" x14ac:dyDescent="0.3">
      <c r="AG209"/>
      <c r="AH209"/>
      <c r="AI209"/>
      <c r="BT209" s="49" t="s">
        <v>60</v>
      </c>
      <c r="BU209" s="50" t="s">
        <v>107</v>
      </c>
      <c r="BV209" s="6">
        <f xml:space="preserve">
IFERROR(VLOOKUP(Table_Main[[#This Row],[Đơn bán]],Table_DonBan[],COUNTA(Table_DonBan[[#Headers],[Mã đơn bán]:[Ngày lập]]),0),0)</f>
        <v>45041</v>
      </c>
      <c r="BW209" s="51">
        <f>IFERROR(MONTH(Table_Main[[#This Row],[Ngày lên đơn]]),0)</f>
        <v>4</v>
      </c>
      <c r="BX209" s="51" t="str">
        <f>INDEX(Table_SKU[],
MATCH(Table_Main[[#This Row],[Mã SKU]],Table_SKU[Mã Sản phẩm],0),1)</f>
        <v>Nhóm 2</v>
      </c>
      <c r="BY209" s="52" t="str">
        <f xml:space="preserve">
IFERROR(VLOOKUP(Table_Main[[#This Row],[Đơn bán]],Table_DonBan[],COUNTA(Table_DonBan[[#Headers],[Mã đơn bán]:[Mã Khách]]),0),0)</f>
        <v>KH04</v>
      </c>
      <c r="BZ209" s="52" t="str">
        <f>VLOOKUP(Table_Main[[#This Row],[Khách hàng]],Table_KhachHang[],COUNTA(Table_KhachHang[[#Headers],[Mã khách]:[Phân khúc]]),0)</f>
        <v>B2B</v>
      </c>
      <c r="CA209" s="25" t="str">
        <f xml:space="preserve">
IFERROR(VLOOKUP(Table_Main[[#This Row],[Đơn bán]],Table_DonBan[],COUNTA(Table_DonBan[[#Headers],[Mã đơn bán]:[Mã NV]]),0),0)</f>
        <v>NV02</v>
      </c>
      <c r="CB209" s="7" t="str">
        <f xml:space="preserve">
IFERROR(VLOOKUP(Table_Main[[#This Row],[Đơn bán]],Table_DonBan[],COUNTA(Table_DonBan[[#Headers],[Mã đơn bán]:[Kênh]]),0),0)</f>
        <v>SP</v>
      </c>
      <c r="CC209" s="7" t="str">
        <f>VLOOKUP(Table_Main[[#This Row],[Kênh]],Table_Kenh[],COUNTA(Table_Kenh[[#Headers],[Kênh]:[Nhóm Kênh]]),0)</f>
        <v>Sàn TMĐT</v>
      </c>
      <c r="CD209" s="53">
        <v>91</v>
      </c>
      <c r="CE209" s="7" t="str">
        <f>IFERROR(VLOOKUP(Table_Main[[#This Row],[Mã SKU]],Table_SKU[[Mã Sản phẩm]:[Giá bán]],COUNTA(Table_SKU[[#Headers],[Mã Sản phẩm]:[Đơn vị]]),0),0)</f>
        <v>Bộ</v>
      </c>
      <c r="CF209" s="7">
        <f>IFERROR(VLOOKUP(Table_Main[[#This Row],[Mã SKU]],Table_SKU[[Mã Sản phẩm]:[Giá bán]],COUNTA(Table_SKU[[#Headers],[Mã Sản phẩm]:[Giá bán]]),0),0)</f>
        <v>300000</v>
      </c>
      <c r="CG209" s="7">
        <f>Table_Main[[#This Row],[Giá bán]]*Table_Main[[#This Row],[Số lượng]]</f>
        <v>27300000</v>
      </c>
      <c r="CH209" s="60">
        <v>0</v>
      </c>
      <c r="CI209" s="7">
        <f>+Table_Main[[#This Row],[Thành tiền niêm yết]]-Table_Main[[#This Row],[Khuyễn mãi]]</f>
        <v>27300000</v>
      </c>
      <c r="CJ209" s="7" cm="1">
        <f t="array" ref="CJ209">VLOOKUP(Table_Main[[#This Row],[Đơn bán]],Table_DonBan[],COUNTA(Table_DonBan[[#Headers],[Mã đơn bán]:[Khuyễn mãi]]),0)*Table_Main[[#This Row],[Giá trị bán trước VAT]]/
SUM(_xlfn._xlws.FILTER(Table_Main[Giá trị bán trước VAT],
(Table_Main[Đơn bán]=Table_Main[[#This Row],[Đơn bán]])
))</f>
        <v>0</v>
      </c>
      <c r="CK209" s="7">
        <f>Table_Main[[#This Row],[Giá trị bán trước VAT]]-Table_Main[[#This Row],[Phân bổ khuyến mãi đơn]]</f>
        <v>27300000</v>
      </c>
      <c r="CL209"/>
      <c r="CM209"/>
    </row>
    <row r="210" spans="33:91" ht="16.5" x14ac:dyDescent="0.3">
      <c r="AG210"/>
      <c r="AH210"/>
      <c r="AI210"/>
      <c r="BT210" s="49" t="s">
        <v>61</v>
      </c>
      <c r="BU210" s="50" t="s">
        <v>107</v>
      </c>
      <c r="BV210" s="6">
        <f xml:space="preserve">
IFERROR(VLOOKUP(Table_Main[[#This Row],[Đơn bán]],Table_DonBan[],COUNTA(Table_DonBan[[#Headers],[Mã đơn bán]:[Ngày lập]]),0),0)</f>
        <v>45041</v>
      </c>
      <c r="BW210" s="51">
        <f>IFERROR(MONTH(Table_Main[[#This Row],[Ngày lên đơn]]),0)</f>
        <v>4</v>
      </c>
      <c r="BX210" s="51" t="str">
        <f>INDEX(Table_SKU[],
MATCH(Table_Main[[#This Row],[Mã SKU]],Table_SKU[Mã Sản phẩm],0),1)</f>
        <v>Nhóm 3</v>
      </c>
      <c r="BY210" s="10" t="str">
        <f xml:space="preserve">
IFERROR(VLOOKUP(Table_Main[[#This Row],[Đơn bán]],Table_DonBan[],COUNTA(Table_DonBan[[#Headers],[Mã đơn bán]:[Mã Khách]]),0),0)</f>
        <v>KH04</v>
      </c>
      <c r="BZ210" s="10" t="str">
        <f>VLOOKUP(Table_Main[[#This Row],[Khách hàng]],Table_KhachHang[],COUNTA(Table_KhachHang[[#Headers],[Mã khách]:[Phân khúc]]),0)</f>
        <v>B2B</v>
      </c>
      <c r="CA210" s="25" t="str">
        <f xml:space="preserve">
IFERROR(VLOOKUP(Table_Main[[#This Row],[Đơn bán]],Table_DonBan[],COUNTA(Table_DonBan[[#Headers],[Mã đơn bán]:[Mã NV]]),0),0)</f>
        <v>NV02</v>
      </c>
      <c r="CB210" s="7" t="str">
        <f xml:space="preserve">
IFERROR(VLOOKUP(Table_Main[[#This Row],[Đơn bán]],Table_DonBan[],COUNTA(Table_DonBan[[#Headers],[Mã đơn bán]:[Kênh]]),0),0)</f>
        <v>SP</v>
      </c>
      <c r="CC210" s="7" t="str">
        <f>VLOOKUP(Table_Main[[#This Row],[Kênh]],Table_Kenh[],COUNTA(Table_Kenh[[#Headers],[Kênh]:[Nhóm Kênh]]),0)</f>
        <v>Sàn TMĐT</v>
      </c>
      <c r="CD210" s="53">
        <v>56</v>
      </c>
      <c r="CE210" s="7" t="str">
        <f>IFERROR(VLOOKUP(Table_Main[[#This Row],[Mã SKU]],Table_SKU[[Mã Sản phẩm]:[Giá bán]],COUNTA(Table_SKU[[#Headers],[Mã Sản phẩm]:[Đơn vị]]),0),0)</f>
        <v>Bộ</v>
      </c>
      <c r="CF210" s="7">
        <f>IFERROR(VLOOKUP(Table_Main[[#This Row],[Mã SKU]],Table_SKU[[Mã Sản phẩm]:[Giá bán]],COUNTA(Table_SKU[[#Headers],[Mã Sản phẩm]:[Giá bán]]),0),0)</f>
        <v>500000</v>
      </c>
      <c r="CG210" s="7">
        <f>Table_Main[[#This Row],[Giá bán]]*Table_Main[[#This Row],[Số lượng]]</f>
        <v>28000000</v>
      </c>
      <c r="CH210" s="60">
        <v>0</v>
      </c>
      <c r="CI210" s="7">
        <f>+Table_Main[[#This Row],[Thành tiền niêm yết]]-Table_Main[[#This Row],[Khuyễn mãi]]</f>
        <v>28000000</v>
      </c>
      <c r="CJ210" s="7" cm="1">
        <f t="array" ref="CJ210">VLOOKUP(Table_Main[[#This Row],[Đơn bán]],Table_DonBan[],COUNTA(Table_DonBan[[#Headers],[Mã đơn bán]:[Khuyễn mãi]]),0)*Table_Main[[#This Row],[Giá trị bán trước VAT]]/
SUM(_xlfn._xlws.FILTER(Table_Main[Giá trị bán trước VAT],
(Table_Main[Đơn bán]=Table_Main[[#This Row],[Đơn bán]])
))</f>
        <v>0</v>
      </c>
      <c r="CK210" s="7">
        <f>Table_Main[[#This Row],[Giá trị bán trước VAT]]-Table_Main[[#This Row],[Phân bổ khuyến mãi đơn]]</f>
        <v>28000000</v>
      </c>
      <c r="CL210"/>
      <c r="CM210"/>
    </row>
    <row r="211" spans="33:91" ht="16.5" x14ac:dyDescent="0.3">
      <c r="AG211"/>
      <c r="AH211"/>
      <c r="AI211"/>
      <c r="BT211" s="49" t="s">
        <v>59</v>
      </c>
      <c r="BU211" s="50" t="s">
        <v>106</v>
      </c>
      <c r="BV211" s="6">
        <f xml:space="preserve">
IFERROR(VLOOKUP(Table_Main[[#This Row],[Đơn bán]],Table_DonBan[],COUNTA(Table_DonBan[[#Headers],[Mã đơn bán]:[Ngày lập]]),0),0)</f>
        <v>45031</v>
      </c>
      <c r="BW211" s="51">
        <f>IFERROR(MONTH(Table_Main[[#This Row],[Ngày lên đơn]]),0)</f>
        <v>4</v>
      </c>
      <c r="BX211" s="51" t="str">
        <f>INDEX(Table_SKU[],
MATCH(Table_Main[[#This Row],[Mã SKU]],Table_SKU[Mã Sản phẩm],0),1)</f>
        <v>Nhóm 1</v>
      </c>
      <c r="BY211" s="52" t="str">
        <f xml:space="preserve">
IFERROR(VLOOKUP(Table_Main[[#This Row],[Đơn bán]],Table_DonBan[],COUNTA(Table_DonBan[[#Headers],[Mã đơn bán]:[Mã Khách]]),0),0)</f>
        <v>KH02</v>
      </c>
      <c r="BZ211" s="52" t="str">
        <f>VLOOKUP(Table_Main[[#This Row],[Khách hàng]],Table_KhachHang[],COUNTA(Table_KhachHang[[#Headers],[Mã khách]:[Phân khúc]]),0)</f>
        <v>B2C</v>
      </c>
      <c r="CA211" s="25" t="str">
        <f xml:space="preserve">
IFERROR(VLOOKUP(Table_Main[[#This Row],[Đơn bán]],Table_DonBan[],COUNTA(Table_DonBan[[#Headers],[Mã đơn bán]:[Mã NV]]),0),0)</f>
        <v>NV03</v>
      </c>
      <c r="CB211" s="7" t="str">
        <f xml:space="preserve">
IFERROR(VLOOKUP(Table_Main[[#This Row],[Đơn bán]],Table_DonBan[],COUNTA(Table_DonBan[[#Headers],[Mã đơn bán]:[Kênh]]),0),0)</f>
        <v>ST</v>
      </c>
      <c r="CC211" s="7" t="str">
        <f>VLOOKUP(Table_Main[[#This Row],[Kênh]],Table_Kenh[],COUNTA(Table_Kenh[[#Headers],[Kênh]:[Nhóm Kênh]]),0)</f>
        <v>Offline</v>
      </c>
      <c r="CD211" s="53">
        <v>120</v>
      </c>
      <c r="CE211" s="7" t="str">
        <f>IFERROR(VLOOKUP(Table_Main[[#This Row],[Mã SKU]],Table_SKU[[Mã Sản phẩm]:[Giá bán]],COUNTA(Table_SKU[[#Headers],[Mã Sản phẩm]:[Đơn vị]]),0),0)</f>
        <v>Bộ</v>
      </c>
      <c r="CF211" s="7">
        <f>IFERROR(VLOOKUP(Table_Main[[#This Row],[Mã SKU]],Table_SKU[[Mã Sản phẩm]:[Giá bán]],COUNTA(Table_SKU[[#Headers],[Mã Sản phẩm]:[Giá bán]]),0),0)</f>
        <v>200000</v>
      </c>
      <c r="CG211" s="7">
        <f>Table_Main[[#This Row],[Giá bán]]*Table_Main[[#This Row],[Số lượng]]</f>
        <v>24000000</v>
      </c>
      <c r="CH211" s="60">
        <v>0</v>
      </c>
      <c r="CI211" s="7">
        <f>+Table_Main[[#This Row],[Thành tiền niêm yết]]-Table_Main[[#This Row],[Khuyễn mãi]]</f>
        <v>24000000</v>
      </c>
      <c r="CJ211" s="7" cm="1">
        <f t="array" ref="CJ211">VLOOKUP(Table_Main[[#This Row],[Đơn bán]],Table_DonBan[],COUNTA(Table_DonBan[[#Headers],[Mã đơn bán]:[Khuyễn mãi]]),0)*Table_Main[[#This Row],[Giá trị bán trước VAT]]/
SUM(_xlfn._xlws.FILTER(Table_Main[Giá trị bán trước VAT],
(Table_Main[Đơn bán]=Table_Main[[#This Row],[Đơn bán]])
))</f>
        <v>0</v>
      </c>
      <c r="CK211" s="7">
        <f>Table_Main[[#This Row],[Giá trị bán trước VAT]]-Table_Main[[#This Row],[Phân bổ khuyến mãi đơn]]</f>
        <v>24000000</v>
      </c>
      <c r="CL211"/>
      <c r="CM211"/>
    </row>
    <row r="212" spans="33:91" ht="16.5" x14ac:dyDescent="0.3">
      <c r="AG212"/>
      <c r="AH212"/>
      <c r="AI212"/>
      <c r="BT212" s="49" t="s">
        <v>60</v>
      </c>
      <c r="BU212" s="50" t="s">
        <v>106</v>
      </c>
      <c r="BV212" s="6">
        <f xml:space="preserve">
IFERROR(VLOOKUP(Table_Main[[#This Row],[Đơn bán]],Table_DonBan[],COUNTA(Table_DonBan[[#Headers],[Mã đơn bán]:[Ngày lập]]),0),0)</f>
        <v>45031</v>
      </c>
      <c r="BW212" s="51">
        <f>IFERROR(MONTH(Table_Main[[#This Row],[Ngày lên đơn]]),0)</f>
        <v>4</v>
      </c>
      <c r="BX212" s="51" t="str">
        <f>INDEX(Table_SKU[],
MATCH(Table_Main[[#This Row],[Mã SKU]],Table_SKU[Mã Sản phẩm],0),1)</f>
        <v>Nhóm 2</v>
      </c>
      <c r="BY212" s="52" t="str">
        <f xml:space="preserve">
IFERROR(VLOOKUP(Table_Main[[#This Row],[Đơn bán]],Table_DonBan[],COUNTA(Table_DonBan[[#Headers],[Mã đơn bán]:[Mã Khách]]),0),0)</f>
        <v>KH02</v>
      </c>
      <c r="BZ212" s="52" t="str">
        <f>VLOOKUP(Table_Main[[#This Row],[Khách hàng]],Table_KhachHang[],COUNTA(Table_KhachHang[[#Headers],[Mã khách]:[Phân khúc]]),0)</f>
        <v>B2C</v>
      </c>
      <c r="CA212" s="25" t="str">
        <f xml:space="preserve">
IFERROR(VLOOKUP(Table_Main[[#This Row],[Đơn bán]],Table_DonBan[],COUNTA(Table_DonBan[[#Headers],[Mã đơn bán]:[Mã NV]]),0),0)</f>
        <v>NV03</v>
      </c>
      <c r="CB212" s="7" t="str">
        <f xml:space="preserve">
IFERROR(VLOOKUP(Table_Main[[#This Row],[Đơn bán]],Table_DonBan[],COUNTA(Table_DonBan[[#Headers],[Mã đơn bán]:[Kênh]]),0),0)</f>
        <v>ST</v>
      </c>
      <c r="CC212" s="7" t="str">
        <f>VLOOKUP(Table_Main[[#This Row],[Kênh]],Table_Kenh[],COUNTA(Table_Kenh[[#Headers],[Kênh]:[Nhóm Kênh]]),0)</f>
        <v>Offline</v>
      </c>
      <c r="CD212" s="53">
        <v>89</v>
      </c>
      <c r="CE212" s="7" t="str">
        <f>IFERROR(VLOOKUP(Table_Main[[#This Row],[Mã SKU]],Table_SKU[[Mã Sản phẩm]:[Giá bán]],COUNTA(Table_SKU[[#Headers],[Mã Sản phẩm]:[Đơn vị]]),0),0)</f>
        <v>Bộ</v>
      </c>
      <c r="CF212" s="7">
        <f>IFERROR(VLOOKUP(Table_Main[[#This Row],[Mã SKU]],Table_SKU[[Mã Sản phẩm]:[Giá bán]],COUNTA(Table_SKU[[#Headers],[Mã Sản phẩm]:[Giá bán]]),0),0)</f>
        <v>300000</v>
      </c>
      <c r="CG212" s="7">
        <f>Table_Main[[#This Row],[Giá bán]]*Table_Main[[#This Row],[Số lượng]]</f>
        <v>26700000</v>
      </c>
      <c r="CH212" s="60">
        <v>0</v>
      </c>
      <c r="CI212" s="7">
        <f>+Table_Main[[#This Row],[Thành tiền niêm yết]]-Table_Main[[#This Row],[Khuyễn mãi]]</f>
        <v>26700000</v>
      </c>
      <c r="CJ212" s="7" cm="1">
        <f t="array" ref="CJ212">VLOOKUP(Table_Main[[#This Row],[Đơn bán]],Table_DonBan[],COUNTA(Table_DonBan[[#Headers],[Mã đơn bán]:[Khuyễn mãi]]),0)*Table_Main[[#This Row],[Giá trị bán trước VAT]]/
SUM(_xlfn._xlws.FILTER(Table_Main[Giá trị bán trước VAT],
(Table_Main[Đơn bán]=Table_Main[[#This Row],[Đơn bán]])
))</f>
        <v>0</v>
      </c>
      <c r="CK212" s="7">
        <f>Table_Main[[#This Row],[Giá trị bán trước VAT]]-Table_Main[[#This Row],[Phân bổ khuyến mãi đơn]]</f>
        <v>26700000</v>
      </c>
      <c r="CL212"/>
      <c r="CM212"/>
    </row>
    <row r="213" spans="33:91" ht="16.5" x14ac:dyDescent="0.3">
      <c r="AG213"/>
      <c r="AH213"/>
      <c r="AI213"/>
      <c r="BT213" s="49" t="s">
        <v>61</v>
      </c>
      <c r="BU213" s="50" t="s">
        <v>106</v>
      </c>
      <c r="BV213" s="6">
        <f xml:space="preserve">
IFERROR(VLOOKUP(Table_Main[[#This Row],[Đơn bán]],Table_DonBan[],COUNTA(Table_DonBan[[#Headers],[Mã đơn bán]:[Ngày lập]]),0),0)</f>
        <v>45031</v>
      </c>
      <c r="BW213" s="51">
        <f>IFERROR(MONTH(Table_Main[[#This Row],[Ngày lên đơn]]),0)</f>
        <v>4</v>
      </c>
      <c r="BX213" s="51" t="str">
        <f>INDEX(Table_SKU[],
MATCH(Table_Main[[#This Row],[Mã SKU]],Table_SKU[Mã Sản phẩm],0),1)</f>
        <v>Nhóm 3</v>
      </c>
      <c r="BY213" s="52" t="str">
        <f xml:space="preserve">
IFERROR(VLOOKUP(Table_Main[[#This Row],[Đơn bán]],Table_DonBan[],COUNTA(Table_DonBan[[#Headers],[Mã đơn bán]:[Mã Khách]]),0),0)</f>
        <v>KH02</v>
      </c>
      <c r="BZ213" s="52" t="str">
        <f>VLOOKUP(Table_Main[[#This Row],[Khách hàng]],Table_KhachHang[],COUNTA(Table_KhachHang[[#Headers],[Mã khách]:[Phân khúc]]),0)</f>
        <v>B2C</v>
      </c>
      <c r="CA213" s="25" t="str">
        <f xml:space="preserve">
IFERROR(VLOOKUP(Table_Main[[#This Row],[Đơn bán]],Table_DonBan[],COUNTA(Table_DonBan[[#Headers],[Mã đơn bán]:[Mã NV]]),0),0)</f>
        <v>NV03</v>
      </c>
      <c r="CB213" s="7" t="str">
        <f xml:space="preserve">
IFERROR(VLOOKUP(Table_Main[[#This Row],[Đơn bán]],Table_DonBan[],COUNTA(Table_DonBan[[#Headers],[Mã đơn bán]:[Kênh]]),0),0)</f>
        <v>ST</v>
      </c>
      <c r="CC213" s="7" t="str">
        <f>VLOOKUP(Table_Main[[#This Row],[Kênh]],Table_Kenh[],COUNTA(Table_Kenh[[#Headers],[Kênh]:[Nhóm Kênh]]),0)</f>
        <v>Offline</v>
      </c>
      <c r="CD213" s="53">
        <v>57</v>
      </c>
      <c r="CE213" s="7" t="str">
        <f>IFERROR(VLOOKUP(Table_Main[[#This Row],[Mã SKU]],Table_SKU[[Mã Sản phẩm]:[Giá bán]],COUNTA(Table_SKU[[#Headers],[Mã Sản phẩm]:[Đơn vị]]),0),0)</f>
        <v>Bộ</v>
      </c>
      <c r="CF213" s="7">
        <f>IFERROR(VLOOKUP(Table_Main[[#This Row],[Mã SKU]],Table_SKU[[Mã Sản phẩm]:[Giá bán]],COUNTA(Table_SKU[[#Headers],[Mã Sản phẩm]:[Giá bán]]),0),0)</f>
        <v>500000</v>
      </c>
      <c r="CG213" s="7">
        <f>Table_Main[[#This Row],[Giá bán]]*Table_Main[[#This Row],[Số lượng]]</f>
        <v>28500000</v>
      </c>
      <c r="CH213" s="60">
        <v>0</v>
      </c>
      <c r="CI213" s="7">
        <f>+Table_Main[[#This Row],[Thành tiền niêm yết]]-Table_Main[[#This Row],[Khuyễn mãi]]</f>
        <v>28500000</v>
      </c>
      <c r="CJ213" s="7" cm="1">
        <f t="array" ref="CJ213">VLOOKUP(Table_Main[[#This Row],[Đơn bán]],Table_DonBan[],COUNTA(Table_DonBan[[#Headers],[Mã đơn bán]:[Khuyễn mãi]]),0)*Table_Main[[#This Row],[Giá trị bán trước VAT]]/
SUM(_xlfn._xlws.FILTER(Table_Main[Giá trị bán trước VAT],
(Table_Main[Đơn bán]=Table_Main[[#This Row],[Đơn bán]])
))</f>
        <v>0</v>
      </c>
      <c r="CK213" s="7">
        <f>Table_Main[[#This Row],[Giá trị bán trước VAT]]-Table_Main[[#This Row],[Phân bổ khuyến mãi đơn]]</f>
        <v>28500000</v>
      </c>
      <c r="CL213"/>
      <c r="CM213"/>
    </row>
    <row r="214" spans="33:91" ht="16.5" x14ac:dyDescent="0.3">
      <c r="AG214"/>
      <c r="AH214"/>
      <c r="AI214"/>
      <c r="BT214" s="49" t="s">
        <v>59</v>
      </c>
      <c r="BU214" s="50" t="s">
        <v>105</v>
      </c>
      <c r="BV214" s="6">
        <f xml:space="preserve">
IFERROR(VLOOKUP(Table_Main[[#This Row],[Đơn bán]],Table_DonBan[],COUNTA(Table_DonBan[[#Headers],[Mã đơn bán]:[Ngày lập]]),0),0)</f>
        <v>45021</v>
      </c>
      <c r="BW214" s="51">
        <f>IFERROR(MONTH(Table_Main[[#This Row],[Ngày lên đơn]]),0)</f>
        <v>4</v>
      </c>
      <c r="BX214" s="51" t="str">
        <f>INDEX(Table_SKU[],
MATCH(Table_Main[[#This Row],[Mã SKU]],Table_SKU[Mã Sản phẩm],0),1)</f>
        <v>Nhóm 1</v>
      </c>
      <c r="BY214" s="52" t="str">
        <f xml:space="preserve">
IFERROR(VLOOKUP(Table_Main[[#This Row],[Đơn bán]],Table_DonBan[],COUNTA(Table_DonBan[[#Headers],[Mã đơn bán]:[Mã Khách]]),0),0)</f>
        <v>KH02</v>
      </c>
      <c r="BZ214" s="52" t="str">
        <f>VLOOKUP(Table_Main[[#This Row],[Khách hàng]],Table_KhachHang[],COUNTA(Table_KhachHang[[#Headers],[Mã khách]:[Phân khúc]]),0)</f>
        <v>B2C</v>
      </c>
      <c r="CA214" s="25" t="str">
        <f xml:space="preserve">
IFERROR(VLOOKUP(Table_Main[[#This Row],[Đơn bán]],Table_DonBan[],COUNTA(Table_DonBan[[#Headers],[Mã đơn bán]:[Mã NV]]),0),0)</f>
        <v>NV02</v>
      </c>
      <c r="CB214" s="7" t="str">
        <f xml:space="preserve">
IFERROR(VLOOKUP(Table_Main[[#This Row],[Đơn bán]],Table_DonBan[],COUNTA(Table_DonBan[[#Headers],[Mã đơn bán]:[Kênh]]),0),0)</f>
        <v>TT</v>
      </c>
      <c r="CC214" s="7" t="str">
        <f>VLOOKUP(Table_Main[[#This Row],[Kênh]],Table_Kenh[],COUNTA(Table_Kenh[[#Headers],[Kênh]:[Nhóm Kênh]]),0)</f>
        <v>Mạng xã hội</v>
      </c>
      <c r="CD214" s="53">
        <v>118</v>
      </c>
      <c r="CE214" s="7" t="str">
        <f>IFERROR(VLOOKUP(Table_Main[[#This Row],[Mã SKU]],Table_SKU[[Mã Sản phẩm]:[Giá bán]],COUNTA(Table_SKU[[#Headers],[Mã Sản phẩm]:[Đơn vị]]),0),0)</f>
        <v>Bộ</v>
      </c>
      <c r="CF214" s="7">
        <f>IFERROR(VLOOKUP(Table_Main[[#This Row],[Mã SKU]],Table_SKU[[Mã Sản phẩm]:[Giá bán]],COUNTA(Table_SKU[[#Headers],[Mã Sản phẩm]:[Giá bán]]),0),0)</f>
        <v>200000</v>
      </c>
      <c r="CG214" s="7">
        <f>Table_Main[[#This Row],[Giá bán]]*Table_Main[[#This Row],[Số lượng]]</f>
        <v>23600000</v>
      </c>
      <c r="CH214" s="60">
        <v>0</v>
      </c>
      <c r="CI214" s="7">
        <f>+Table_Main[[#This Row],[Thành tiền niêm yết]]-Table_Main[[#This Row],[Khuyễn mãi]]</f>
        <v>23600000</v>
      </c>
      <c r="CJ214" s="7" cm="1">
        <f t="array" ref="CJ214">VLOOKUP(Table_Main[[#This Row],[Đơn bán]],Table_DonBan[],COUNTA(Table_DonBan[[#Headers],[Mã đơn bán]:[Khuyễn mãi]]),0)*Table_Main[[#This Row],[Giá trị bán trước VAT]]/
SUM(_xlfn._xlws.FILTER(Table_Main[Giá trị bán trước VAT],
(Table_Main[Đơn bán]=Table_Main[[#This Row],[Đơn bán]])
))</f>
        <v>0</v>
      </c>
      <c r="CK214" s="7">
        <f>Table_Main[[#This Row],[Giá trị bán trước VAT]]-Table_Main[[#This Row],[Phân bổ khuyến mãi đơn]]</f>
        <v>23600000</v>
      </c>
      <c r="CL214"/>
      <c r="CM214"/>
    </row>
    <row r="215" spans="33:91" ht="16.5" x14ac:dyDescent="0.3">
      <c r="AG215"/>
      <c r="AH215"/>
      <c r="AI215"/>
      <c r="BT215" s="49" t="s">
        <v>60</v>
      </c>
      <c r="BU215" s="50" t="s">
        <v>105</v>
      </c>
      <c r="BV215" s="6">
        <f xml:space="preserve">
IFERROR(VLOOKUP(Table_Main[[#This Row],[Đơn bán]],Table_DonBan[],COUNTA(Table_DonBan[[#Headers],[Mã đơn bán]:[Ngày lập]]),0),0)</f>
        <v>45021</v>
      </c>
      <c r="BW215" s="51">
        <f>IFERROR(MONTH(Table_Main[[#This Row],[Ngày lên đơn]]),0)</f>
        <v>4</v>
      </c>
      <c r="BX215" s="51" t="str">
        <f>INDEX(Table_SKU[],
MATCH(Table_Main[[#This Row],[Mã SKU]],Table_SKU[Mã Sản phẩm],0),1)</f>
        <v>Nhóm 2</v>
      </c>
      <c r="BY215" s="52" t="str">
        <f xml:space="preserve">
IFERROR(VLOOKUP(Table_Main[[#This Row],[Đơn bán]],Table_DonBan[],COUNTA(Table_DonBan[[#Headers],[Mã đơn bán]:[Mã Khách]]),0),0)</f>
        <v>KH02</v>
      </c>
      <c r="BZ215" s="52" t="str">
        <f>VLOOKUP(Table_Main[[#This Row],[Khách hàng]],Table_KhachHang[],COUNTA(Table_KhachHang[[#Headers],[Mã khách]:[Phân khúc]]),0)</f>
        <v>B2C</v>
      </c>
      <c r="CA215" s="25" t="str">
        <f xml:space="preserve">
IFERROR(VLOOKUP(Table_Main[[#This Row],[Đơn bán]],Table_DonBan[],COUNTA(Table_DonBan[[#Headers],[Mã đơn bán]:[Mã NV]]),0),0)</f>
        <v>NV02</v>
      </c>
      <c r="CB215" s="7" t="str">
        <f xml:space="preserve">
IFERROR(VLOOKUP(Table_Main[[#This Row],[Đơn bán]],Table_DonBan[],COUNTA(Table_DonBan[[#Headers],[Mã đơn bán]:[Kênh]]),0),0)</f>
        <v>TT</v>
      </c>
      <c r="CC215" s="7" t="str">
        <f>VLOOKUP(Table_Main[[#This Row],[Kênh]],Table_Kenh[],COUNTA(Table_Kenh[[#Headers],[Kênh]:[Nhóm Kênh]]),0)</f>
        <v>Mạng xã hội</v>
      </c>
      <c r="CD215" s="53">
        <v>89</v>
      </c>
      <c r="CE215" s="7" t="str">
        <f>IFERROR(VLOOKUP(Table_Main[[#This Row],[Mã SKU]],Table_SKU[[Mã Sản phẩm]:[Giá bán]],COUNTA(Table_SKU[[#Headers],[Mã Sản phẩm]:[Đơn vị]]),0),0)</f>
        <v>Bộ</v>
      </c>
      <c r="CF215" s="7">
        <f>IFERROR(VLOOKUP(Table_Main[[#This Row],[Mã SKU]],Table_SKU[[Mã Sản phẩm]:[Giá bán]],COUNTA(Table_SKU[[#Headers],[Mã Sản phẩm]:[Giá bán]]),0),0)</f>
        <v>300000</v>
      </c>
      <c r="CG215" s="7">
        <f>Table_Main[[#This Row],[Giá bán]]*Table_Main[[#This Row],[Số lượng]]</f>
        <v>26700000</v>
      </c>
      <c r="CH215" s="60">
        <v>0</v>
      </c>
      <c r="CI215" s="7">
        <f>+Table_Main[[#This Row],[Thành tiền niêm yết]]-Table_Main[[#This Row],[Khuyễn mãi]]</f>
        <v>26700000</v>
      </c>
      <c r="CJ215" s="7" cm="1">
        <f t="array" ref="CJ215">VLOOKUP(Table_Main[[#This Row],[Đơn bán]],Table_DonBan[],COUNTA(Table_DonBan[[#Headers],[Mã đơn bán]:[Khuyễn mãi]]),0)*Table_Main[[#This Row],[Giá trị bán trước VAT]]/
SUM(_xlfn._xlws.FILTER(Table_Main[Giá trị bán trước VAT],
(Table_Main[Đơn bán]=Table_Main[[#This Row],[Đơn bán]])
))</f>
        <v>0</v>
      </c>
      <c r="CK215" s="7">
        <f>Table_Main[[#This Row],[Giá trị bán trước VAT]]-Table_Main[[#This Row],[Phân bổ khuyến mãi đơn]]</f>
        <v>26700000</v>
      </c>
      <c r="CL215"/>
      <c r="CM215"/>
    </row>
    <row r="216" spans="33:91" ht="16.5" x14ac:dyDescent="0.3">
      <c r="AG216"/>
      <c r="AH216"/>
      <c r="AI216"/>
      <c r="BT216" s="54" t="s">
        <v>61</v>
      </c>
      <c r="BU216" s="55" t="s">
        <v>105</v>
      </c>
      <c r="BV216" s="56">
        <f xml:space="preserve">
IFERROR(VLOOKUP(Table_Main[[#This Row],[Đơn bán]],Table_DonBan[],COUNTA(Table_DonBan[[#Headers],[Mã đơn bán]:[Ngày lập]]),0),0)</f>
        <v>45021</v>
      </c>
      <c r="BW216" s="51">
        <f>IFERROR(MONTH(Table_Main[[#This Row],[Ngày lên đơn]]),0)</f>
        <v>4</v>
      </c>
      <c r="BX216" s="51" t="str">
        <f>INDEX(Table_SKU[],
MATCH(Table_Main[[#This Row],[Mã SKU]],Table_SKU[Mã Sản phẩm],0),1)</f>
        <v>Nhóm 3</v>
      </c>
      <c r="BY216" s="52" t="str">
        <f xml:space="preserve">
IFERROR(VLOOKUP(Table_Main[[#This Row],[Đơn bán]],Table_DonBan[],COUNTA(Table_DonBan[[#Headers],[Mã đơn bán]:[Mã Khách]]),0),0)</f>
        <v>KH02</v>
      </c>
      <c r="BZ216" s="52" t="str">
        <f>VLOOKUP(Table_Main[[#This Row],[Khách hàng]],Table_KhachHang[],COUNTA(Table_KhachHang[[#Headers],[Mã khách]:[Phân khúc]]),0)</f>
        <v>B2C</v>
      </c>
      <c r="CA216" s="57" t="str">
        <f xml:space="preserve">
IFERROR(VLOOKUP(Table_Main[[#This Row],[Đơn bán]],Table_DonBan[],COUNTA(Table_DonBan[[#Headers],[Mã đơn bán]:[Mã NV]]),0),0)</f>
        <v>NV02</v>
      </c>
      <c r="CB216" s="58" t="str">
        <f xml:space="preserve">
IFERROR(VLOOKUP(Table_Main[[#This Row],[Đơn bán]],Table_DonBan[],COUNTA(Table_DonBan[[#Headers],[Mã đơn bán]:[Kênh]]),0),0)</f>
        <v>TT</v>
      </c>
      <c r="CC216" s="58" t="str">
        <f>VLOOKUP(Table_Main[[#This Row],[Kênh]],Table_Kenh[],COUNTA(Table_Kenh[[#Headers],[Kênh]:[Nhóm Kênh]]),0)</f>
        <v>Mạng xã hội</v>
      </c>
      <c r="CD216" s="59">
        <v>57</v>
      </c>
      <c r="CE216" s="58" t="str">
        <f>IFERROR(VLOOKUP(Table_Main[[#This Row],[Mã SKU]],Table_SKU[[Mã Sản phẩm]:[Giá bán]],COUNTA(Table_SKU[[#Headers],[Mã Sản phẩm]:[Đơn vị]]),0),0)</f>
        <v>Bộ</v>
      </c>
      <c r="CF216" s="58">
        <f>IFERROR(VLOOKUP(Table_Main[[#This Row],[Mã SKU]],Table_SKU[[Mã Sản phẩm]:[Giá bán]],COUNTA(Table_SKU[[#Headers],[Mã Sản phẩm]:[Giá bán]]),0),0)</f>
        <v>500000</v>
      </c>
      <c r="CG216" s="58">
        <f>Table_Main[[#This Row],[Giá bán]]*Table_Main[[#This Row],[Số lượng]]</f>
        <v>28500000</v>
      </c>
      <c r="CH216" s="61">
        <v>0</v>
      </c>
      <c r="CI216" s="58">
        <f>+Table_Main[[#This Row],[Thành tiền niêm yết]]-Table_Main[[#This Row],[Khuyễn mãi]]</f>
        <v>28500000</v>
      </c>
      <c r="CJ216" s="7" cm="1">
        <f t="array" ref="CJ216">VLOOKUP(Table_Main[[#This Row],[Đơn bán]],Table_DonBan[],COUNTA(Table_DonBan[[#Headers],[Mã đơn bán]:[Khuyễn mãi]]),0)*Table_Main[[#This Row],[Giá trị bán trước VAT]]/
SUM(_xlfn._xlws.FILTER(Table_Main[Giá trị bán trước VAT],
(Table_Main[Đơn bán]=Table_Main[[#This Row],[Đơn bán]])
))</f>
        <v>0</v>
      </c>
      <c r="CK216" s="7">
        <f>Table_Main[[#This Row],[Giá trị bán trước VAT]]-Table_Main[[#This Row],[Phân bổ khuyến mãi đơn]]</f>
        <v>28500000</v>
      </c>
      <c r="CL216"/>
      <c r="CM216"/>
    </row>
    <row r="217" spans="33:91" ht="16.5" x14ac:dyDescent="0.3">
      <c r="AG217"/>
      <c r="AH217"/>
      <c r="AI217"/>
      <c r="BT217" s="49" t="s">
        <v>59</v>
      </c>
      <c r="BU217" s="50" t="s">
        <v>104</v>
      </c>
      <c r="BV217" s="6">
        <f xml:space="preserve">
IFERROR(VLOOKUP(Table_Main[[#This Row],[Đơn bán]],Table_DonBan[],COUNTA(Table_DonBan[[#Headers],[Mã đơn bán]:[Ngày lập]]),0),0)</f>
        <v>45010</v>
      </c>
      <c r="BW217" s="51">
        <f>IFERROR(MONTH(Table_Main[[#This Row],[Ngày lên đơn]]),0)</f>
        <v>3</v>
      </c>
      <c r="BX217" s="51" t="str">
        <f>INDEX(Table_SKU[],
MATCH(Table_Main[[#This Row],[Mã SKU]],Table_SKU[Mã Sản phẩm],0),1)</f>
        <v>Nhóm 1</v>
      </c>
      <c r="BY217" s="52" t="str">
        <f xml:space="preserve">
IFERROR(VLOOKUP(Table_Main[[#This Row],[Đơn bán]],Table_DonBan[],COUNTA(Table_DonBan[[#Headers],[Mã đơn bán]:[Mã Khách]]),0),0)</f>
        <v>KH02</v>
      </c>
      <c r="BZ217" s="52" t="str">
        <f>VLOOKUP(Table_Main[[#This Row],[Khách hàng]],Table_KhachHang[],COUNTA(Table_KhachHang[[#Headers],[Mã khách]:[Phân khúc]]),0)</f>
        <v>B2C</v>
      </c>
      <c r="CA217" s="25" t="str">
        <f xml:space="preserve">
IFERROR(VLOOKUP(Table_Main[[#This Row],[Đơn bán]],Table_DonBan[],COUNTA(Table_DonBan[[#Headers],[Mã đơn bán]:[Mã NV]]),0),0)</f>
        <v>NV03</v>
      </c>
      <c r="CB217" s="7" t="str">
        <f xml:space="preserve">
IFERROR(VLOOKUP(Table_Main[[#This Row],[Đơn bán]],Table_DonBan[],COUNTA(Table_DonBan[[#Headers],[Mã đơn bán]:[Kênh]]),0),0)</f>
        <v>TT</v>
      </c>
      <c r="CC217" s="7" t="str">
        <f>VLOOKUP(Table_Main[[#This Row],[Kênh]],Table_Kenh[],COUNTA(Table_Kenh[[#Headers],[Kênh]:[Nhóm Kênh]]),0)</f>
        <v>Mạng xã hội</v>
      </c>
      <c r="CD217" s="53">
        <v>113</v>
      </c>
      <c r="CE217" s="7" t="str">
        <f>IFERROR(VLOOKUP(Table_Main[[#This Row],[Mã SKU]],Table_SKU[[Mã Sản phẩm]:[Giá bán]],COUNTA(Table_SKU[[#Headers],[Mã Sản phẩm]:[Đơn vị]]),0),0)</f>
        <v>Bộ</v>
      </c>
      <c r="CF217" s="7">
        <f>IFERROR(VLOOKUP(Table_Main[[#This Row],[Mã SKU]],Table_SKU[[Mã Sản phẩm]:[Giá bán]],COUNTA(Table_SKU[[#Headers],[Mã Sản phẩm]:[Giá bán]]),0),0)</f>
        <v>200000</v>
      </c>
      <c r="CG217" s="7">
        <f>Table_Main[[#This Row],[Giá bán]]*Table_Main[[#This Row],[Số lượng]]</f>
        <v>22600000</v>
      </c>
      <c r="CH217" s="60">
        <v>0</v>
      </c>
      <c r="CI217" s="7">
        <f>+Table_Main[[#This Row],[Thành tiền niêm yết]]-Table_Main[[#This Row],[Khuyễn mãi]]</f>
        <v>22600000</v>
      </c>
      <c r="CJ217" s="7" cm="1">
        <f t="array" ref="CJ217">VLOOKUP(Table_Main[[#This Row],[Đơn bán]],Table_DonBan[],COUNTA(Table_DonBan[[#Headers],[Mã đơn bán]:[Khuyễn mãi]]),0)*Table_Main[[#This Row],[Giá trị bán trước VAT]]/
SUM(_xlfn._xlws.FILTER(Table_Main[Giá trị bán trước VAT],
(Table_Main[Đơn bán]=Table_Main[[#This Row],[Đơn bán]])
))</f>
        <v>0</v>
      </c>
      <c r="CK217" s="7">
        <f>Table_Main[[#This Row],[Giá trị bán trước VAT]]-Table_Main[[#This Row],[Phân bổ khuyến mãi đơn]]</f>
        <v>22600000</v>
      </c>
      <c r="CL217"/>
      <c r="CM217"/>
    </row>
    <row r="218" spans="33:91" ht="16.5" x14ac:dyDescent="0.3">
      <c r="AG218"/>
      <c r="AH218"/>
      <c r="AI218"/>
      <c r="BT218" s="49" t="s">
        <v>60</v>
      </c>
      <c r="BU218" s="50" t="s">
        <v>104</v>
      </c>
      <c r="BV218" s="6">
        <f xml:space="preserve">
IFERROR(VLOOKUP(Table_Main[[#This Row],[Đơn bán]],Table_DonBan[],COUNTA(Table_DonBan[[#Headers],[Mã đơn bán]:[Ngày lập]]),0),0)</f>
        <v>45010</v>
      </c>
      <c r="BW218" s="51">
        <f>IFERROR(MONTH(Table_Main[[#This Row],[Ngày lên đơn]]),0)</f>
        <v>3</v>
      </c>
      <c r="BX218" s="51" t="str">
        <f>INDEX(Table_SKU[],
MATCH(Table_Main[[#This Row],[Mã SKU]],Table_SKU[Mã Sản phẩm],0),1)</f>
        <v>Nhóm 2</v>
      </c>
      <c r="BY218" s="52" t="str">
        <f xml:space="preserve">
IFERROR(VLOOKUP(Table_Main[[#This Row],[Đơn bán]],Table_DonBan[],COUNTA(Table_DonBan[[#Headers],[Mã đơn bán]:[Mã Khách]]),0),0)</f>
        <v>KH02</v>
      </c>
      <c r="BZ218" s="52" t="str">
        <f>VLOOKUP(Table_Main[[#This Row],[Khách hàng]],Table_KhachHang[],COUNTA(Table_KhachHang[[#Headers],[Mã khách]:[Phân khúc]]),0)</f>
        <v>B2C</v>
      </c>
      <c r="CA218" s="25" t="str">
        <f xml:space="preserve">
IFERROR(VLOOKUP(Table_Main[[#This Row],[Đơn bán]],Table_DonBan[],COUNTA(Table_DonBan[[#Headers],[Mã đơn bán]:[Mã NV]]),0),0)</f>
        <v>NV03</v>
      </c>
      <c r="CB218" s="7" t="str">
        <f xml:space="preserve">
IFERROR(VLOOKUP(Table_Main[[#This Row],[Đơn bán]],Table_DonBan[],COUNTA(Table_DonBan[[#Headers],[Mã đơn bán]:[Kênh]]),0),0)</f>
        <v>TT</v>
      </c>
      <c r="CC218" s="7" t="str">
        <f>VLOOKUP(Table_Main[[#This Row],[Kênh]],Table_Kenh[],COUNTA(Table_Kenh[[#Headers],[Kênh]:[Nhóm Kênh]]),0)</f>
        <v>Mạng xã hội</v>
      </c>
      <c r="CD218" s="53">
        <v>87</v>
      </c>
      <c r="CE218" s="7" t="str">
        <f>IFERROR(VLOOKUP(Table_Main[[#This Row],[Mã SKU]],Table_SKU[[Mã Sản phẩm]:[Giá bán]],COUNTA(Table_SKU[[#Headers],[Mã Sản phẩm]:[Đơn vị]]),0),0)</f>
        <v>Bộ</v>
      </c>
      <c r="CF218" s="7">
        <f>IFERROR(VLOOKUP(Table_Main[[#This Row],[Mã SKU]],Table_SKU[[Mã Sản phẩm]:[Giá bán]],COUNTA(Table_SKU[[#Headers],[Mã Sản phẩm]:[Giá bán]]),0),0)</f>
        <v>300000</v>
      </c>
      <c r="CG218" s="7">
        <f>Table_Main[[#This Row],[Giá bán]]*Table_Main[[#This Row],[Số lượng]]</f>
        <v>26100000</v>
      </c>
      <c r="CH218" s="60">
        <v>0</v>
      </c>
      <c r="CI218" s="7">
        <f>+Table_Main[[#This Row],[Thành tiền niêm yết]]-Table_Main[[#This Row],[Khuyễn mãi]]</f>
        <v>26100000</v>
      </c>
      <c r="CJ218" s="7" cm="1">
        <f t="array" ref="CJ218">VLOOKUP(Table_Main[[#This Row],[Đơn bán]],Table_DonBan[],COUNTA(Table_DonBan[[#Headers],[Mã đơn bán]:[Khuyễn mãi]]),0)*Table_Main[[#This Row],[Giá trị bán trước VAT]]/
SUM(_xlfn._xlws.FILTER(Table_Main[Giá trị bán trước VAT],
(Table_Main[Đơn bán]=Table_Main[[#This Row],[Đơn bán]])
))</f>
        <v>0</v>
      </c>
      <c r="CK218" s="7">
        <f>Table_Main[[#This Row],[Giá trị bán trước VAT]]-Table_Main[[#This Row],[Phân bổ khuyến mãi đơn]]</f>
        <v>26100000</v>
      </c>
      <c r="CL218"/>
      <c r="CM218"/>
    </row>
    <row r="219" spans="33:91" ht="16.5" x14ac:dyDescent="0.3">
      <c r="AG219"/>
      <c r="AH219"/>
      <c r="AI219"/>
      <c r="BT219" s="49" t="s">
        <v>61</v>
      </c>
      <c r="BU219" s="50" t="s">
        <v>104</v>
      </c>
      <c r="BV219" s="6">
        <f xml:space="preserve">
IFERROR(VLOOKUP(Table_Main[[#This Row],[Đơn bán]],Table_DonBan[],COUNTA(Table_DonBan[[#Headers],[Mã đơn bán]:[Ngày lập]]),0),0)</f>
        <v>45010</v>
      </c>
      <c r="BW219" s="51">
        <f>IFERROR(MONTH(Table_Main[[#This Row],[Ngày lên đơn]]),0)</f>
        <v>3</v>
      </c>
      <c r="BX219" s="51" t="str">
        <f>INDEX(Table_SKU[],
MATCH(Table_Main[[#This Row],[Mã SKU]],Table_SKU[Mã Sản phẩm],0),1)</f>
        <v>Nhóm 3</v>
      </c>
      <c r="BY219" s="10" t="str">
        <f xml:space="preserve">
IFERROR(VLOOKUP(Table_Main[[#This Row],[Đơn bán]],Table_DonBan[],COUNTA(Table_DonBan[[#Headers],[Mã đơn bán]:[Mã Khách]]),0),0)</f>
        <v>KH02</v>
      </c>
      <c r="BZ219" s="10" t="str">
        <f>VLOOKUP(Table_Main[[#This Row],[Khách hàng]],Table_KhachHang[],COUNTA(Table_KhachHang[[#Headers],[Mã khách]:[Phân khúc]]),0)</f>
        <v>B2C</v>
      </c>
      <c r="CA219" s="25" t="str">
        <f xml:space="preserve">
IFERROR(VLOOKUP(Table_Main[[#This Row],[Đơn bán]],Table_DonBan[],COUNTA(Table_DonBan[[#Headers],[Mã đơn bán]:[Mã NV]]),0),0)</f>
        <v>NV03</v>
      </c>
      <c r="CB219" s="7" t="str">
        <f xml:space="preserve">
IFERROR(VLOOKUP(Table_Main[[#This Row],[Đơn bán]],Table_DonBan[],COUNTA(Table_DonBan[[#Headers],[Mã đơn bán]:[Kênh]]),0),0)</f>
        <v>TT</v>
      </c>
      <c r="CC219" s="7" t="str">
        <f>VLOOKUP(Table_Main[[#This Row],[Kênh]],Table_Kenh[],COUNTA(Table_Kenh[[#Headers],[Kênh]:[Nhóm Kênh]]),0)</f>
        <v>Mạng xã hội</v>
      </c>
      <c r="CD219" s="53">
        <v>57</v>
      </c>
      <c r="CE219" s="7" t="str">
        <f>IFERROR(VLOOKUP(Table_Main[[#This Row],[Mã SKU]],Table_SKU[[Mã Sản phẩm]:[Giá bán]],COUNTA(Table_SKU[[#Headers],[Mã Sản phẩm]:[Đơn vị]]),0),0)</f>
        <v>Bộ</v>
      </c>
      <c r="CF219" s="7">
        <f>IFERROR(VLOOKUP(Table_Main[[#This Row],[Mã SKU]],Table_SKU[[Mã Sản phẩm]:[Giá bán]],COUNTA(Table_SKU[[#Headers],[Mã Sản phẩm]:[Giá bán]]),0),0)</f>
        <v>500000</v>
      </c>
      <c r="CG219" s="7">
        <f>Table_Main[[#This Row],[Giá bán]]*Table_Main[[#This Row],[Số lượng]]</f>
        <v>28500000</v>
      </c>
      <c r="CH219" s="60">
        <v>0</v>
      </c>
      <c r="CI219" s="7">
        <f>+Table_Main[[#This Row],[Thành tiền niêm yết]]-Table_Main[[#This Row],[Khuyễn mãi]]</f>
        <v>28500000</v>
      </c>
      <c r="CJ219" s="7" cm="1">
        <f t="array" ref="CJ219">VLOOKUP(Table_Main[[#This Row],[Đơn bán]],Table_DonBan[],COUNTA(Table_DonBan[[#Headers],[Mã đơn bán]:[Khuyễn mãi]]),0)*Table_Main[[#This Row],[Giá trị bán trước VAT]]/
SUM(_xlfn._xlws.FILTER(Table_Main[Giá trị bán trước VAT],
(Table_Main[Đơn bán]=Table_Main[[#This Row],[Đơn bán]])
))</f>
        <v>0</v>
      </c>
      <c r="CK219" s="7">
        <f>Table_Main[[#This Row],[Giá trị bán trước VAT]]-Table_Main[[#This Row],[Phân bổ khuyến mãi đơn]]</f>
        <v>28500000</v>
      </c>
      <c r="CL219"/>
      <c r="CM219"/>
    </row>
    <row r="220" spans="33:91" ht="16.5" x14ac:dyDescent="0.3">
      <c r="AG220"/>
      <c r="AH220"/>
      <c r="AI220"/>
      <c r="BT220" s="49" t="s">
        <v>59</v>
      </c>
      <c r="BU220" s="50" t="s">
        <v>103</v>
      </c>
      <c r="BV220" s="6">
        <f xml:space="preserve">
IFERROR(VLOOKUP(Table_Main[[#This Row],[Đơn bán]],Table_DonBan[],COUNTA(Table_DonBan[[#Headers],[Mã đơn bán]:[Ngày lập]]),0),0)</f>
        <v>45000</v>
      </c>
      <c r="BW220" s="51">
        <f>IFERROR(MONTH(Table_Main[[#This Row],[Ngày lên đơn]]),0)</f>
        <v>3</v>
      </c>
      <c r="BX220" s="51" t="str">
        <f>INDEX(Table_SKU[],
MATCH(Table_Main[[#This Row],[Mã SKU]],Table_SKU[Mã Sản phẩm],0),1)</f>
        <v>Nhóm 1</v>
      </c>
      <c r="BY220" s="52" t="str">
        <f xml:space="preserve">
IFERROR(VLOOKUP(Table_Main[[#This Row],[Đơn bán]],Table_DonBan[],COUNTA(Table_DonBan[[#Headers],[Mã đơn bán]:[Mã Khách]]),0),0)</f>
        <v>KH03</v>
      </c>
      <c r="BZ220" s="52" t="str">
        <f>VLOOKUP(Table_Main[[#This Row],[Khách hàng]],Table_KhachHang[],COUNTA(Table_KhachHang[[#Headers],[Mã khách]:[Phân khúc]]),0)</f>
        <v>B2C</v>
      </c>
      <c r="CA220" s="25" t="str">
        <f xml:space="preserve">
IFERROR(VLOOKUP(Table_Main[[#This Row],[Đơn bán]],Table_DonBan[],COUNTA(Table_DonBan[[#Headers],[Mã đơn bán]:[Mã NV]]),0),0)</f>
        <v>NV02</v>
      </c>
      <c r="CB220" s="7" t="str">
        <f xml:space="preserve">
IFERROR(VLOOKUP(Table_Main[[#This Row],[Đơn bán]],Table_DonBan[],COUNTA(Table_DonBan[[#Headers],[Mã đơn bán]:[Kênh]]),0),0)</f>
        <v>ST</v>
      </c>
      <c r="CC220" s="7" t="str">
        <f>VLOOKUP(Table_Main[[#This Row],[Kênh]],Table_Kenh[],COUNTA(Table_Kenh[[#Headers],[Kênh]:[Nhóm Kênh]]),0)</f>
        <v>Offline</v>
      </c>
      <c r="CD220" s="53">
        <v>110</v>
      </c>
      <c r="CE220" s="7" t="str">
        <f>IFERROR(VLOOKUP(Table_Main[[#This Row],[Mã SKU]],Table_SKU[[Mã Sản phẩm]:[Giá bán]],COUNTA(Table_SKU[[#Headers],[Mã Sản phẩm]:[Đơn vị]]),0),0)</f>
        <v>Bộ</v>
      </c>
      <c r="CF220" s="7">
        <f>IFERROR(VLOOKUP(Table_Main[[#This Row],[Mã SKU]],Table_SKU[[Mã Sản phẩm]:[Giá bán]],COUNTA(Table_SKU[[#Headers],[Mã Sản phẩm]:[Giá bán]]),0),0)</f>
        <v>200000</v>
      </c>
      <c r="CG220" s="7">
        <f>Table_Main[[#This Row],[Giá bán]]*Table_Main[[#This Row],[Số lượng]]</f>
        <v>22000000</v>
      </c>
      <c r="CH220" s="60">
        <v>0</v>
      </c>
      <c r="CI220" s="7">
        <f>+Table_Main[[#This Row],[Thành tiền niêm yết]]-Table_Main[[#This Row],[Khuyễn mãi]]</f>
        <v>22000000</v>
      </c>
      <c r="CJ220" s="7" cm="1">
        <f t="array" ref="CJ220">VLOOKUP(Table_Main[[#This Row],[Đơn bán]],Table_DonBan[],COUNTA(Table_DonBan[[#Headers],[Mã đơn bán]:[Khuyễn mãi]]),0)*Table_Main[[#This Row],[Giá trị bán trước VAT]]/
SUM(_xlfn._xlws.FILTER(Table_Main[Giá trị bán trước VAT],
(Table_Main[Đơn bán]=Table_Main[[#This Row],[Đơn bán]])
))</f>
        <v>0</v>
      </c>
      <c r="CK220" s="7">
        <f>Table_Main[[#This Row],[Giá trị bán trước VAT]]-Table_Main[[#This Row],[Phân bổ khuyến mãi đơn]]</f>
        <v>22000000</v>
      </c>
      <c r="CL220"/>
      <c r="CM220"/>
    </row>
    <row r="221" spans="33:91" ht="16.5" x14ac:dyDescent="0.3">
      <c r="AG221"/>
      <c r="AH221"/>
      <c r="AI221"/>
      <c r="BT221" s="49" t="s">
        <v>60</v>
      </c>
      <c r="BU221" s="50" t="s">
        <v>103</v>
      </c>
      <c r="BV221" s="6">
        <f xml:space="preserve">
IFERROR(VLOOKUP(Table_Main[[#This Row],[Đơn bán]],Table_DonBan[],COUNTA(Table_DonBan[[#Headers],[Mã đơn bán]:[Ngày lập]]),0),0)</f>
        <v>45000</v>
      </c>
      <c r="BW221" s="51">
        <f>IFERROR(MONTH(Table_Main[[#This Row],[Ngày lên đơn]]),0)</f>
        <v>3</v>
      </c>
      <c r="BX221" s="51" t="str">
        <f>INDEX(Table_SKU[],
MATCH(Table_Main[[#This Row],[Mã SKU]],Table_SKU[Mã Sản phẩm],0),1)</f>
        <v>Nhóm 2</v>
      </c>
      <c r="BY221" s="52" t="str">
        <f xml:space="preserve">
IFERROR(VLOOKUP(Table_Main[[#This Row],[Đơn bán]],Table_DonBan[],COUNTA(Table_DonBan[[#Headers],[Mã đơn bán]:[Mã Khách]]),0),0)</f>
        <v>KH03</v>
      </c>
      <c r="BZ221" s="52" t="str">
        <f>VLOOKUP(Table_Main[[#This Row],[Khách hàng]],Table_KhachHang[],COUNTA(Table_KhachHang[[#Headers],[Mã khách]:[Phân khúc]]),0)</f>
        <v>B2C</v>
      </c>
      <c r="CA221" s="25" t="str">
        <f xml:space="preserve">
IFERROR(VLOOKUP(Table_Main[[#This Row],[Đơn bán]],Table_DonBan[],COUNTA(Table_DonBan[[#Headers],[Mã đơn bán]:[Mã NV]]),0),0)</f>
        <v>NV02</v>
      </c>
      <c r="CB221" s="7" t="str">
        <f xml:space="preserve">
IFERROR(VLOOKUP(Table_Main[[#This Row],[Đơn bán]],Table_DonBan[],COUNTA(Table_DonBan[[#Headers],[Mã đơn bán]:[Kênh]]),0),0)</f>
        <v>ST</v>
      </c>
      <c r="CC221" s="7" t="str">
        <f>VLOOKUP(Table_Main[[#This Row],[Kênh]],Table_Kenh[],COUNTA(Table_Kenh[[#Headers],[Kênh]:[Nhóm Kênh]]),0)</f>
        <v>Offline</v>
      </c>
      <c r="CD221" s="53">
        <v>83</v>
      </c>
      <c r="CE221" s="7" t="str">
        <f>IFERROR(VLOOKUP(Table_Main[[#This Row],[Mã SKU]],Table_SKU[[Mã Sản phẩm]:[Giá bán]],COUNTA(Table_SKU[[#Headers],[Mã Sản phẩm]:[Đơn vị]]),0),0)</f>
        <v>Bộ</v>
      </c>
      <c r="CF221" s="7">
        <f>IFERROR(VLOOKUP(Table_Main[[#This Row],[Mã SKU]],Table_SKU[[Mã Sản phẩm]:[Giá bán]],COUNTA(Table_SKU[[#Headers],[Mã Sản phẩm]:[Giá bán]]),0),0)</f>
        <v>300000</v>
      </c>
      <c r="CG221" s="7">
        <f>Table_Main[[#This Row],[Giá bán]]*Table_Main[[#This Row],[Số lượng]]</f>
        <v>24900000</v>
      </c>
      <c r="CH221" s="60">
        <v>0</v>
      </c>
      <c r="CI221" s="7">
        <f>+Table_Main[[#This Row],[Thành tiền niêm yết]]-Table_Main[[#This Row],[Khuyễn mãi]]</f>
        <v>24900000</v>
      </c>
      <c r="CJ221" s="7" cm="1">
        <f t="array" ref="CJ221">VLOOKUP(Table_Main[[#This Row],[Đơn bán]],Table_DonBan[],COUNTA(Table_DonBan[[#Headers],[Mã đơn bán]:[Khuyễn mãi]]),0)*Table_Main[[#This Row],[Giá trị bán trước VAT]]/
SUM(_xlfn._xlws.FILTER(Table_Main[Giá trị bán trước VAT],
(Table_Main[Đơn bán]=Table_Main[[#This Row],[Đơn bán]])
))</f>
        <v>0</v>
      </c>
      <c r="CK221" s="7">
        <f>Table_Main[[#This Row],[Giá trị bán trước VAT]]-Table_Main[[#This Row],[Phân bổ khuyến mãi đơn]]</f>
        <v>24900000</v>
      </c>
      <c r="CL221"/>
      <c r="CM221"/>
    </row>
    <row r="222" spans="33:91" ht="16.5" x14ac:dyDescent="0.3">
      <c r="AG222"/>
      <c r="AH222"/>
      <c r="AI222"/>
      <c r="BT222" s="49" t="s">
        <v>61</v>
      </c>
      <c r="BU222" s="50" t="s">
        <v>103</v>
      </c>
      <c r="BV222" s="6">
        <f xml:space="preserve">
IFERROR(VLOOKUP(Table_Main[[#This Row],[Đơn bán]],Table_DonBan[],COUNTA(Table_DonBan[[#Headers],[Mã đơn bán]:[Ngày lập]]),0),0)</f>
        <v>45000</v>
      </c>
      <c r="BW222" s="51">
        <f>IFERROR(MONTH(Table_Main[[#This Row],[Ngày lên đơn]]),0)</f>
        <v>3</v>
      </c>
      <c r="BX222" s="51" t="str">
        <f>INDEX(Table_SKU[],
MATCH(Table_Main[[#This Row],[Mã SKU]],Table_SKU[Mã Sản phẩm],0),1)</f>
        <v>Nhóm 3</v>
      </c>
      <c r="BY222" s="52" t="str">
        <f xml:space="preserve">
IFERROR(VLOOKUP(Table_Main[[#This Row],[Đơn bán]],Table_DonBan[],COUNTA(Table_DonBan[[#Headers],[Mã đơn bán]:[Mã Khách]]),0),0)</f>
        <v>KH03</v>
      </c>
      <c r="BZ222" s="52" t="str">
        <f>VLOOKUP(Table_Main[[#This Row],[Khách hàng]],Table_KhachHang[],COUNTA(Table_KhachHang[[#Headers],[Mã khách]:[Phân khúc]]),0)</f>
        <v>B2C</v>
      </c>
      <c r="CA222" s="25" t="str">
        <f xml:space="preserve">
IFERROR(VLOOKUP(Table_Main[[#This Row],[Đơn bán]],Table_DonBan[],COUNTA(Table_DonBan[[#Headers],[Mã đơn bán]:[Mã NV]]),0),0)</f>
        <v>NV02</v>
      </c>
      <c r="CB222" s="7" t="str">
        <f xml:space="preserve">
IFERROR(VLOOKUP(Table_Main[[#This Row],[Đơn bán]],Table_DonBan[],COUNTA(Table_DonBan[[#Headers],[Mã đơn bán]:[Kênh]]),0),0)</f>
        <v>ST</v>
      </c>
      <c r="CC222" s="7" t="str">
        <f>VLOOKUP(Table_Main[[#This Row],[Kênh]],Table_Kenh[],COUNTA(Table_Kenh[[#Headers],[Kênh]:[Nhóm Kênh]]),0)</f>
        <v>Offline</v>
      </c>
      <c r="CD222" s="53">
        <v>56</v>
      </c>
      <c r="CE222" s="7" t="str">
        <f>IFERROR(VLOOKUP(Table_Main[[#This Row],[Mã SKU]],Table_SKU[[Mã Sản phẩm]:[Giá bán]],COUNTA(Table_SKU[[#Headers],[Mã Sản phẩm]:[Đơn vị]]),0),0)</f>
        <v>Bộ</v>
      </c>
      <c r="CF222" s="7">
        <f>IFERROR(VLOOKUP(Table_Main[[#This Row],[Mã SKU]],Table_SKU[[Mã Sản phẩm]:[Giá bán]],COUNTA(Table_SKU[[#Headers],[Mã Sản phẩm]:[Giá bán]]),0),0)</f>
        <v>500000</v>
      </c>
      <c r="CG222" s="7">
        <f>Table_Main[[#This Row],[Giá bán]]*Table_Main[[#This Row],[Số lượng]]</f>
        <v>28000000</v>
      </c>
      <c r="CH222" s="60">
        <v>0</v>
      </c>
      <c r="CI222" s="7">
        <f>+Table_Main[[#This Row],[Thành tiền niêm yết]]-Table_Main[[#This Row],[Khuyễn mãi]]</f>
        <v>28000000</v>
      </c>
      <c r="CJ222" s="7" cm="1">
        <f t="array" ref="CJ222">VLOOKUP(Table_Main[[#This Row],[Đơn bán]],Table_DonBan[],COUNTA(Table_DonBan[[#Headers],[Mã đơn bán]:[Khuyễn mãi]]),0)*Table_Main[[#This Row],[Giá trị bán trước VAT]]/
SUM(_xlfn._xlws.FILTER(Table_Main[Giá trị bán trước VAT],
(Table_Main[Đơn bán]=Table_Main[[#This Row],[Đơn bán]])
))</f>
        <v>0</v>
      </c>
      <c r="CK222" s="7">
        <f>Table_Main[[#This Row],[Giá trị bán trước VAT]]-Table_Main[[#This Row],[Phân bổ khuyến mãi đơn]]</f>
        <v>28000000</v>
      </c>
      <c r="CL222"/>
      <c r="CM222"/>
    </row>
    <row r="223" spans="33:91" ht="16.5" x14ac:dyDescent="0.3">
      <c r="AG223"/>
      <c r="AH223"/>
      <c r="AI223"/>
      <c r="BT223" s="49" t="s">
        <v>59</v>
      </c>
      <c r="BU223" s="50" t="s">
        <v>102</v>
      </c>
      <c r="BV223" s="6">
        <f xml:space="preserve">
IFERROR(VLOOKUP(Table_Main[[#This Row],[Đơn bán]],Table_DonBan[],COUNTA(Table_DonBan[[#Headers],[Mã đơn bán]:[Ngày lập]]),0),0)</f>
        <v>44990</v>
      </c>
      <c r="BW223" s="51">
        <f>IFERROR(MONTH(Table_Main[[#This Row],[Ngày lên đơn]]),0)</f>
        <v>3</v>
      </c>
      <c r="BX223" s="51" t="str">
        <f>INDEX(Table_SKU[],
MATCH(Table_Main[[#This Row],[Mã SKU]],Table_SKU[Mã Sản phẩm],0),1)</f>
        <v>Nhóm 1</v>
      </c>
      <c r="BY223" s="52" t="str">
        <f xml:space="preserve">
IFERROR(VLOOKUP(Table_Main[[#This Row],[Đơn bán]],Table_DonBan[],COUNTA(Table_DonBan[[#Headers],[Mã đơn bán]:[Mã Khách]]),0),0)</f>
        <v>KH01</v>
      </c>
      <c r="BZ223" s="52" t="str">
        <f>VLOOKUP(Table_Main[[#This Row],[Khách hàng]],Table_KhachHang[],COUNTA(Table_KhachHang[[#Headers],[Mã khách]:[Phân khúc]]),0)</f>
        <v>B2B</v>
      </c>
      <c r="CA223" s="25" t="str">
        <f xml:space="preserve">
IFERROR(VLOOKUP(Table_Main[[#This Row],[Đơn bán]],Table_DonBan[],COUNTA(Table_DonBan[[#Headers],[Mã đơn bán]:[Mã NV]]),0),0)</f>
        <v>NV02</v>
      </c>
      <c r="CB223" s="7" t="str">
        <f xml:space="preserve">
IFERROR(VLOOKUP(Table_Main[[#This Row],[Đơn bán]],Table_DonBan[],COUNTA(Table_DonBan[[#Headers],[Mã đơn bán]:[Kênh]]),0),0)</f>
        <v>LZ</v>
      </c>
      <c r="CC223" s="7" t="str">
        <f>VLOOKUP(Table_Main[[#This Row],[Kênh]],Table_Kenh[],COUNTA(Table_Kenh[[#Headers],[Kênh]:[Nhóm Kênh]]),0)</f>
        <v>Sàn TMĐT</v>
      </c>
      <c r="CD223" s="53">
        <v>109</v>
      </c>
      <c r="CE223" s="7" t="str">
        <f>IFERROR(VLOOKUP(Table_Main[[#This Row],[Mã SKU]],Table_SKU[[Mã Sản phẩm]:[Giá bán]],COUNTA(Table_SKU[[#Headers],[Mã Sản phẩm]:[Đơn vị]]),0),0)</f>
        <v>Bộ</v>
      </c>
      <c r="CF223" s="7">
        <f>IFERROR(VLOOKUP(Table_Main[[#This Row],[Mã SKU]],Table_SKU[[Mã Sản phẩm]:[Giá bán]],COUNTA(Table_SKU[[#Headers],[Mã Sản phẩm]:[Giá bán]]),0),0)</f>
        <v>200000</v>
      </c>
      <c r="CG223" s="7">
        <f>Table_Main[[#This Row],[Giá bán]]*Table_Main[[#This Row],[Số lượng]]</f>
        <v>21800000</v>
      </c>
      <c r="CH223" s="60">
        <v>0</v>
      </c>
      <c r="CI223" s="7">
        <f>+Table_Main[[#This Row],[Thành tiền niêm yết]]-Table_Main[[#This Row],[Khuyễn mãi]]</f>
        <v>21800000</v>
      </c>
      <c r="CJ223" s="7" cm="1">
        <f t="array" ref="CJ223">VLOOKUP(Table_Main[[#This Row],[Đơn bán]],Table_DonBan[],COUNTA(Table_DonBan[[#Headers],[Mã đơn bán]:[Khuyễn mãi]]),0)*Table_Main[[#This Row],[Giá trị bán trước VAT]]/
SUM(_xlfn._xlws.FILTER(Table_Main[Giá trị bán trước VAT],
(Table_Main[Đơn bán]=Table_Main[[#This Row],[Đơn bán]])
))</f>
        <v>0</v>
      </c>
      <c r="CK223" s="7">
        <f>Table_Main[[#This Row],[Giá trị bán trước VAT]]-Table_Main[[#This Row],[Phân bổ khuyến mãi đơn]]</f>
        <v>21800000</v>
      </c>
      <c r="CL223"/>
      <c r="CM223"/>
    </row>
    <row r="224" spans="33:91" ht="16.5" x14ac:dyDescent="0.3">
      <c r="AG224"/>
      <c r="AH224"/>
      <c r="AI224"/>
      <c r="BT224" s="49" t="s">
        <v>60</v>
      </c>
      <c r="BU224" s="50" t="s">
        <v>102</v>
      </c>
      <c r="BV224" s="6">
        <f xml:space="preserve">
IFERROR(VLOOKUP(Table_Main[[#This Row],[Đơn bán]],Table_DonBan[],COUNTA(Table_DonBan[[#Headers],[Mã đơn bán]:[Ngày lập]]),0),0)</f>
        <v>44990</v>
      </c>
      <c r="BW224" s="51">
        <f>IFERROR(MONTH(Table_Main[[#This Row],[Ngày lên đơn]]),0)</f>
        <v>3</v>
      </c>
      <c r="BX224" s="51" t="str">
        <f>INDEX(Table_SKU[],
MATCH(Table_Main[[#This Row],[Mã SKU]],Table_SKU[Mã Sản phẩm],0),1)</f>
        <v>Nhóm 2</v>
      </c>
      <c r="BY224" s="52" t="str">
        <f xml:space="preserve">
IFERROR(VLOOKUP(Table_Main[[#This Row],[Đơn bán]],Table_DonBan[],COUNTA(Table_DonBan[[#Headers],[Mã đơn bán]:[Mã Khách]]),0),0)</f>
        <v>KH01</v>
      </c>
      <c r="BZ224" s="52" t="str">
        <f>VLOOKUP(Table_Main[[#This Row],[Khách hàng]],Table_KhachHang[],COUNTA(Table_KhachHang[[#Headers],[Mã khách]:[Phân khúc]]),0)</f>
        <v>B2B</v>
      </c>
      <c r="CA224" s="25" t="str">
        <f xml:space="preserve">
IFERROR(VLOOKUP(Table_Main[[#This Row],[Đơn bán]],Table_DonBan[],COUNTA(Table_DonBan[[#Headers],[Mã đơn bán]:[Mã NV]]),0),0)</f>
        <v>NV02</v>
      </c>
      <c r="CB224" s="7" t="str">
        <f xml:space="preserve">
IFERROR(VLOOKUP(Table_Main[[#This Row],[Đơn bán]],Table_DonBan[],COUNTA(Table_DonBan[[#Headers],[Mã đơn bán]:[Kênh]]),0),0)</f>
        <v>LZ</v>
      </c>
      <c r="CC224" s="7" t="str">
        <f>VLOOKUP(Table_Main[[#This Row],[Kênh]],Table_Kenh[],COUNTA(Table_Kenh[[#Headers],[Kênh]:[Nhóm Kênh]]),0)</f>
        <v>Sàn TMĐT</v>
      </c>
      <c r="CD224" s="53">
        <v>83</v>
      </c>
      <c r="CE224" s="7" t="str">
        <f>IFERROR(VLOOKUP(Table_Main[[#This Row],[Mã SKU]],Table_SKU[[Mã Sản phẩm]:[Giá bán]],COUNTA(Table_SKU[[#Headers],[Mã Sản phẩm]:[Đơn vị]]),0),0)</f>
        <v>Bộ</v>
      </c>
      <c r="CF224" s="7">
        <f>IFERROR(VLOOKUP(Table_Main[[#This Row],[Mã SKU]],Table_SKU[[Mã Sản phẩm]:[Giá bán]],COUNTA(Table_SKU[[#Headers],[Mã Sản phẩm]:[Giá bán]]),0),0)</f>
        <v>300000</v>
      </c>
      <c r="CG224" s="7">
        <f>Table_Main[[#This Row],[Giá bán]]*Table_Main[[#This Row],[Số lượng]]</f>
        <v>24900000</v>
      </c>
      <c r="CH224" s="60">
        <v>0</v>
      </c>
      <c r="CI224" s="7">
        <f>+Table_Main[[#This Row],[Thành tiền niêm yết]]-Table_Main[[#This Row],[Khuyễn mãi]]</f>
        <v>24900000</v>
      </c>
      <c r="CJ224" s="7" cm="1">
        <f t="array" ref="CJ224">VLOOKUP(Table_Main[[#This Row],[Đơn bán]],Table_DonBan[],COUNTA(Table_DonBan[[#Headers],[Mã đơn bán]:[Khuyễn mãi]]),0)*Table_Main[[#This Row],[Giá trị bán trước VAT]]/
SUM(_xlfn._xlws.FILTER(Table_Main[Giá trị bán trước VAT],
(Table_Main[Đơn bán]=Table_Main[[#This Row],[Đơn bán]])
))</f>
        <v>0</v>
      </c>
      <c r="CK224" s="7">
        <f>Table_Main[[#This Row],[Giá trị bán trước VAT]]-Table_Main[[#This Row],[Phân bổ khuyến mãi đơn]]</f>
        <v>24900000</v>
      </c>
      <c r="CL224"/>
      <c r="CM224"/>
    </row>
    <row r="225" spans="33:91" ht="16.5" x14ac:dyDescent="0.3">
      <c r="AG225"/>
      <c r="AH225"/>
      <c r="AI225"/>
      <c r="BT225" s="54" t="s">
        <v>61</v>
      </c>
      <c r="BU225" s="55" t="s">
        <v>102</v>
      </c>
      <c r="BV225" s="56">
        <f xml:space="preserve">
IFERROR(VLOOKUP(Table_Main[[#This Row],[Đơn bán]],Table_DonBan[],COUNTA(Table_DonBan[[#Headers],[Mã đơn bán]:[Ngày lập]]),0),0)</f>
        <v>44990</v>
      </c>
      <c r="BW225" s="51">
        <f>IFERROR(MONTH(Table_Main[[#This Row],[Ngày lên đơn]]),0)</f>
        <v>3</v>
      </c>
      <c r="BX225" s="51" t="str">
        <f>INDEX(Table_SKU[],
MATCH(Table_Main[[#This Row],[Mã SKU]],Table_SKU[Mã Sản phẩm],0),1)</f>
        <v>Nhóm 3</v>
      </c>
      <c r="BY225" s="52" t="str">
        <f xml:space="preserve">
IFERROR(VLOOKUP(Table_Main[[#This Row],[Đơn bán]],Table_DonBan[],COUNTA(Table_DonBan[[#Headers],[Mã đơn bán]:[Mã Khách]]),0),0)</f>
        <v>KH01</v>
      </c>
      <c r="BZ225" s="52" t="str">
        <f>VLOOKUP(Table_Main[[#This Row],[Khách hàng]],Table_KhachHang[],COUNTA(Table_KhachHang[[#Headers],[Mã khách]:[Phân khúc]]),0)</f>
        <v>B2B</v>
      </c>
      <c r="CA225" s="57" t="str">
        <f xml:space="preserve">
IFERROR(VLOOKUP(Table_Main[[#This Row],[Đơn bán]],Table_DonBan[],COUNTA(Table_DonBan[[#Headers],[Mã đơn bán]:[Mã NV]]),0),0)</f>
        <v>NV02</v>
      </c>
      <c r="CB225" s="58" t="str">
        <f xml:space="preserve">
IFERROR(VLOOKUP(Table_Main[[#This Row],[Đơn bán]],Table_DonBan[],COUNTA(Table_DonBan[[#Headers],[Mã đơn bán]:[Kênh]]),0),0)</f>
        <v>LZ</v>
      </c>
      <c r="CC225" s="58" t="str">
        <f>VLOOKUP(Table_Main[[#This Row],[Kênh]],Table_Kenh[],COUNTA(Table_Kenh[[#Headers],[Kênh]:[Nhóm Kênh]]),0)</f>
        <v>Sàn TMĐT</v>
      </c>
      <c r="CD225" s="59">
        <v>55</v>
      </c>
      <c r="CE225" s="58" t="str">
        <f>IFERROR(VLOOKUP(Table_Main[[#This Row],[Mã SKU]],Table_SKU[[Mã Sản phẩm]:[Giá bán]],COUNTA(Table_SKU[[#Headers],[Mã Sản phẩm]:[Đơn vị]]),0),0)</f>
        <v>Bộ</v>
      </c>
      <c r="CF225" s="58">
        <f>IFERROR(VLOOKUP(Table_Main[[#This Row],[Mã SKU]],Table_SKU[[Mã Sản phẩm]:[Giá bán]],COUNTA(Table_SKU[[#Headers],[Mã Sản phẩm]:[Giá bán]]),0),0)</f>
        <v>500000</v>
      </c>
      <c r="CG225" s="58">
        <f>Table_Main[[#This Row],[Giá bán]]*Table_Main[[#This Row],[Số lượng]]</f>
        <v>27500000</v>
      </c>
      <c r="CH225" s="61">
        <v>0</v>
      </c>
      <c r="CI225" s="58">
        <f>+Table_Main[[#This Row],[Thành tiền niêm yết]]-Table_Main[[#This Row],[Khuyễn mãi]]</f>
        <v>27500000</v>
      </c>
      <c r="CJ225" s="7" cm="1">
        <f t="array" ref="CJ225">VLOOKUP(Table_Main[[#This Row],[Đơn bán]],Table_DonBan[],COUNTA(Table_DonBan[[#Headers],[Mã đơn bán]:[Khuyễn mãi]]),0)*Table_Main[[#This Row],[Giá trị bán trước VAT]]/
SUM(_xlfn._xlws.FILTER(Table_Main[Giá trị bán trước VAT],
(Table_Main[Đơn bán]=Table_Main[[#This Row],[Đơn bán]])
))</f>
        <v>0</v>
      </c>
      <c r="CK225" s="7">
        <f>Table_Main[[#This Row],[Giá trị bán trước VAT]]-Table_Main[[#This Row],[Phân bổ khuyến mãi đơn]]</f>
        <v>27500000</v>
      </c>
      <c r="CL225"/>
      <c r="CM225"/>
    </row>
    <row r="226" spans="33:91" ht="16.5" x14ac:dyDescent="0.3">
      <c r="AG226"/>
      <c r="AH226"/>
      <c r="AI226"/>
      <c r="BT226" s="49" t="s">
        <v>59</v>
      </c>
      <c r="BU226" s="50" t="s">
        <v>101</v>
      </c>
      <c r="BV226" s="6">
        <f xml:space="preserve">
IFERROR(VLOOKUP(Table_Main[[#This Row],[Đơn bán]],Table_DonBan[],COUNTA(Table_DonBan[[#Headers],[Mã đơn bán]:[Ngày lập]]),0),0)</f>
        <v>44982</v>
      </c>
      <c r="BW226" s="51">
        <f>IFERROR(MONTH(Table_Main[[#This Row],[Ngày lên đơn]]),0)</f>
        <v>2</v>
      </c>
      <c r="BX226" s="51" t="str">
        <f>INDEX(Table_SKU[],
MATCH(Table_Main[[#This Row],[Mã SKU]],Table_SKU[Mã Sản phẩm],0),1)</f>
        <v>Nhóm 1</v>
      </c>
      <c r="BY226" s="52" t="str">
        <f xml:space="preserve">
IFERROR(VLOOKUP(Table_Main[[#This Row],[Đơn bán]],Table_DonBan[],COUNTA(Table_DonBan[[#Headers],[Mã đơn bán]:[Mã Khách]]),0),0)</f>
        <v>KH01</v>
      </c>
      <c r="BZ226" s="52" t="str">
        <f>VLOOKUP(Table_Main[[#This Row],[Khách hàng]],Table_KhachHang[],COUNTA(Table_KhachHang[[#Headers],[Mã khách]:[Phân khúc]]),0)</f>
        <v>B2B</v>
      </c>
      <c r="CA226" s="25" t="str">
        <f xml:space="preserve">
IFERROR(VLOOKUP(Table_Main[[#This Row],[Đơn bán]],Table_DonBan[],COUNTA(Table_DonBan[[#Headers],[Mã đơn bán]:[Mã NV]]),0),0)</f>
        <v>NV02</v>
      </c>
      <c r="CB226" s="7" t="str">
        <f xml:space="preserve">
IFERROR(VLOOKUP(Table_Main[[#This Row],[Đơn bán]],Table_DonBan[],COUNTA(Table_DonBan[[#Headers],[Mã đơn bán]:[Kênh]]),0),0)</f>
        <v>ST</v>
      </c>
      <c r="CC226" s="7" t="str">
        <f>VLOOKUP(Table_Main[[#This Row],[Kênh]],Table_Kenh[],COUNTA(Table_Kenh[[#Headers],[Kênh]:[Nhóm Kênh]]),0)</f>
        <v>Offline</v>
      </c>
      <c r="CD226" s="53">
        <v>109</v>
      </c>
      <c r="CE226" s="7" t="str">
        <f>IFERROR(VLOOKUP(Table_Main[[#This Row],[Mã SKU]],Table_SKU[[Mã Sản phẩm]:[Giá bán]],COUNTA(Table_SKU[[#Headers],[Mã Sản phẩm]:[Đơn vị]]),0),0)</f>
        <v>Bộ</v>
      </c>
      <c r="CF226" s="7">
        <f>IFERROR(VLOOKUP(Table_Main[[#This Row],[Mã SKU]],Table_SKU[[Mã Sản phẩm]:[Giá bán]],COUNTA(Table_SKU[[#Headers],[Mã Sản phẩm]:[Giá bán]]),0),0)</f>
        <v>200000</v>
      </c>
      <c r="CG226" s="7">
        <f>Table_Main[[#This Row],[Giá bán]]*Table_Main[[#This Row],[Số lượng]]</f>
        <v>21800000</v>
      </c>
      <c r="CH226" s="60">
        <v>0</v>
      </c>
      <c r="CI226" s="7">
        <f>+Table_Main[[#This Row],[Thành tiền niêm yết]]-Table_Main[[#This Row],[Khuyễn mãi]]</f>
        <v>21800000</v>
      </c>
      <c r="CJ226" s="7" cm="1">
        <f t="array" ref="CJ226">VLOOKUP(Table_Main[[#This Row],[Đơn bán]],Table_DonBan[],COUNTA(Table_DonBan[[#Headers],[Mã đơn bán]:[Khuyễn mãi]]),0)*Table_Main[[#This Row],[Giá trị bán trước VAT]]/
SUM(_xlfn._xlws.FILTER(Table_Main[Giá trị bán trước VAT],
(Table_Main[Đơn bán]=Table_Main[[#This Row],[Đơn bán]])
))</f>
        <v>0</v>
      </c>
      <c r="CK226" s="7">
        <f>Table_Main[[#This Row],[Giá trị bán trước VAT]]-Table_Main[[#This Row],[Phân bổ khuyến mãi đơn]]</f>
        <v>21800000</v>
      </c>
      <c r="CL226"/>
      <c r="CM226"/>
    </row>
    <row r="227" spans="33:91" ht="16.5" x14ac:dyDescent="0.3">
      <c r="AG227"/>
      <c r="AH227"/>
      <c r="AI227"/>
      <c r="BT227" s="49" t="s">
        <v>60</v>
      </c>
      <c r="BU227" s="50" t="s">
        <v>101</v>
      </c>
      <c r="BV227" s="6">
        <f xml:space="preserve">
IFERROR(VLOOKUP(Table_Main[[#This Row],[Đơn bán]],Table_DonBan[],COUNTA(Table_DonBan[[#Headers],[Mã đơn bán]:[Ngày lập]]),0),0)</f>
        <v>44982</v>
      </c>
      <c r="BW227" s="51">
        <f>IFERROR(MONTH(Table_Main[[#This Row],[Ngày lên đơn]]),0)</f>
        <v>2</v>
      </c>
      <c r="BX227" s="51" t="str">
        <f>INDEX(Table_SKU[],
MATCH(Table_Main[[#This Row],[Mã SKU]],Table_SKU[Mã Sản phẩm],0),1)</f>
        <v>Nhóm 2</v>
      </c>
      <c r="BY227" s="52" t="str">
        <f xml:space="preserve">
IFERROR(VLOOKUP(Table_Main[[#This Row],[Đơn bán]],Table_DonBan[],COUNTA(Table_DonBan[[#Headers],[Mã đơn bán]:[Mã Khách]]),0),0)</f>
        <v>KH01</v>
      </c>
      <c r="BZ227" s="52" t="str">
        <f>VLOOKUP(Table_Main[[#This Row],[Khách hàng]],Table_KhachHang[],COUNTA(Table_KhachHang[[#Headers],[Mã khách]:[Phân khúc]]),0)</f>
        <v>B2B</v>
      </c>
      <c r="CA227" s="25" t="str">
        <f xml:space="preserve">
IFERROR(VLOOKUP(Table_Main[[#This Row],[Đơn bán]],Table_DonBan[],COUNTA(Table_DonBan[[#Headers],[Mã đơn bán]:[Mã NV]]),0),0)</f>
        <v>NV02</v>
      </c>
      <c r="CB227" s="7" t="str">
        <f xml:space="preserve">
IFERROR(VLOOKUP(Table_Main[[#This Row],[Đơn bán]],Table_DonBan[],COUNTA(Table_DonBan[[#Headers],[Mã đơn bán]:[Kênh]]),0),0)</f>
        <v>ST</v>
      </c>
      <c r="CC227" s="7" t="str">
        <f>VLOOKUP(Table_Main[[#This Row],[Kênh]],Table_Kenh[],COUNTA(Table_Kenh[[#Headers],[Kênh]:[Nhóm Kênh]]),0)</f>
        <v>Offline</v>
      </c>
      <c r="CD227" s="53">
        <v>81</v>
      </c>
      <c r="CE227" s="7" t="str">
        <f>IFERROR(VLOOKUP(Table_Main[[#This Row],[Mã SKU]],Table_SKU[[Mã Sản phẩm]:[Giá bán]],COUNTA(Table_SKU[[#Headers],[Mã Sản phẩm]:[Đơn vị]]),0),0)</f>
        <v>Bộ</v>
      </c>
      <c r="CF227" s="7">
        <f>IFERROR(VLOOKUP(Table_Main[[#This Row],[Mã SKU]],Table_SKU[[Mã Sản phẩm]:[Giá bán]],COUNTA(Table_SKU[[#Headers],[Mã Sản phẩm]:[Giá bán]]),0),0)</f>
        <v>300000</v>
      </c>
      <c r="CG227" s="7">
        <f>Table_Main[[#This Row],[Giá bán]]*Table_Main[[#This Row],[Số lượng]]</f>
        <v>24300000</v>
      </c>
      <c r="CH227" s="60">
        <v>0</v>
      </c>
      <c r="CI227" s="7">
        <f>+Table_Main[[#This Row],[Thành tiền niêm yết]]-Table_Main[[#This Row],[Khuyễn mãi]]</f>
        <v>24300000</v>
      </c>
      <c r="CJ227" s="7" cm="1">
        <f t="array" ref="CJ227">VLOOKUP(Table_Main[[#This Row],[Đơn bán]],Table_DonBan[],COUNTA(Table_DonBan[[#Headers],[Mã đơn bán]:[Khuyễn mãi]]),0)*Table_Main[[#This Row],[Giá trị bán trước VAT]]/
SUM(_xlfn._xlws.FILTER(Table_Main[Giá trị bán trước VAT],
(Table_Main[Đơn bán]=Table_Main[[#This Row],[Đơn bán]])
))</f>
        <v>0</v>
      </c>
      <c r="CK227" s="7">
        <f>Table_Main[[#This Row],[Giá trị bán trước VAT]]-Table_Main[[#This Row],[Phân bổ khuyến mãi đơn]]</f>
        <v>24300000</v>
      </c>
      <c r="CL227"/>
      <c r="CM227"/>
    </row>
    <row r="228" spans="33:91" ht="16.5" x14ac:dyDescent="0.3">
      <c r="AG228"/>
      <c r="AH228"/>
      <c r="AI228"/>
      <c r="BT228" s="49" t="s">
        <v>61</v>
      </c>
      <c r="BU228" s="50" t="s">
        <v>101</v>
      </c>
      <c r="BV228" s="6">
        <f xml:space="preserve">
IFERROR(VLOOKUP(Table_Main[[#This Row],[Đơn bán]],Table_DonBan[],COUNTA(Table_DonBan[[#Headers],[Mã đơn bán]:[Ngày lập]]),0),0)</f>
        <v>44982</v>
      </c>
      <c r="BW228" s="51">
        <f>IFERROR(MONTH(Table_Main[[#This Row],[Ngày lên đơn]]),0)</f>
        <v>2</v>
      </c>
      <c r="BX228" s="51" t="str">
        <f>INDEX(Table_SKU[],
MATCH(Table_Main[[#This Row],[Mã SKU]],Table_SKU[Mã Sản phẩm],0),1)</f>
        <v>Nhóm 3</v>
      </c>
      <c r="BY228" s="10" t="str">
        <f xml:space="preserve">
IFERROR(VLOOKUP(Table_Main[[#This Row],[Đơn bán]],Table_DonBan[],COUNTA(Table_DonBan[[#Headers],[Mã đơn bán]:[Mã Khách]]),0),0)</f>
        <v>KH01</v>
      </c>
      <c r="BZ228" s="10" t="str">
        <f>VLOOKUP(Table_Main[[#This Row],[Khách hàng]],Table_KhachHang[],COUNTA(Table_KhachHang[[#Headers],[Mã khách]:[Phân khúc]]),0)</f>
        <v>B2B</v>
      </c>
      <c r="CA228" s="25" t="str">
        <f xml:space="preserve">
IFERROR(VLOOKUP(Table_Main[[#This Row],[Đơn bán]],Table_DonBan[],COUNTA(Table_DonBan[[#Headers],[Mã đơn bán]:[Mã NV]]),0),0)</f>
        <v>NV02</v>
      </c>
      <c r="CB228" s="7" t="str">
        <f xml:space="preserve">
IFERROR(VLOOKUP(Table_Main[[#This Row],[Đơn bán]],Table_DonBan[],COUNTA(Table_DonBan[[#Headers],[Mã đơn bán]:[Kênh]]),0),0)</f>
        <v>ST</v>
      </c>
      <c r="CC228" s="7" t="str">
        <f>VLOOKUP(Table_Main[[#This Row],[Kênh]],Table_Kenh[],COUNTA(Table_Kenh[[#Headers],[Kênh]:[Nhóm Kênh]]),0)</f>
        <v>Offline</v>
      </c>
      <c r="CD228" s="53">
        <v>53</v>
      </c>
      <c r="CE228" s="7" t="str">
        <f>IFERROR(VLOOKUP(Table_Main[[#This Row],[Mã SKU]],Table_SKU[[Mã Sản phẩm]:[Giá bán]],COUNTA(Table_SKU[[#Headers],[Mã Sản phẩm]:[Đơn vị]]),0),0)</f>
        <v>Bộ</v>
      </c>
      <c r="CF228" s="7">
        <f>IFERROR(VLOOKUP(Table_Main[[#This Row],[Mã SKU]],Table_SKU[[Mã Sản phẩm]:[Giá bán]],COUNTA(Table_SKU[[#Headers],[Mã Sản phẩm]:[Giá bán]]),0),0)</f>
        <v>500000</v>
      </c>
      <c r="CG228" s="7">
        <f>Table_Main[[#This Row],[Giá bán]]*Table_Main[[#This Row],[Số lượng]]</f>
        <v>26500000</v>
      </c>
      <c r="CH228" s="60">
        <v>0</v>
      </c>
      <c r="CI228" s="7">
        <f>+Table_Main[[#This Row],[Thành tiền niêm yết]]-Table_Main[[#This Row],[Khuyễn mãi]]</f>
        <v>26500000</v>
      </c>
      <c r="CJ228" s="7" cm="1">
        <f t="array" ref="CJ228">VLOOKUP(Table_Main[[#This Row],[Đơn bán]],Table_DonBan[],COUNTA(Table_DonBan[[#Headers],[Mã đơn bán]:[Khuyễn mãi]]),0)*Table_Main[[#This Row],[Giá trị bán trước VAT]]/
SUM(_xlfn._xlws.FILTER(Table_Main[Giá trị bán trước VAT],
(Table_Main[Đơn bán]=Table_Main[[#This Row],[Đơn bán]])
))</f>
        <v>0</v>
      </c>
      <c r="CK228" s="7">
        <f>Table_Main[[#This Row],[Giá trị bán trước VAT]]-Table_Main[[#This Row],[Phân bổ khuyến mãi đơn]]</f>
        <v>26500000</v>
      </c>
      <c r="CL228"/>
      <c r="CM228"/>
    </row>
    <row r="229" spans="33:91" ht="16.5" x14ac:dyDescent="0.3">
      <c r="AG229"/>
      <c r="AH229"/>
      <c r="AI229"/>
      <c r="BT229" s="49" t="s">
        <v>59</v>
      </c>
      <c r="BU229" s="50" t="s">
        <v>100</v>
      </c>
      <c r="BV229" s="6">
        <f xml:space="preserve">
IFERROR(VLOOKUP(Table_Main[[#This Row],[Đơn bán]],Table_DonBan[],COUNTA(Table_DonBan[[#Headers],[Mã đơn bán]:[Ngày lập]]),0),0)</f>
        <v>44972</v>
      </c>
      <c r="BW229" s="51">
        <f>IFERROR(MONTH(Table_Main[[#This Row],[Ngày lên đơn]]),0)</f>
        <v>2</v>
      </c>
      <c r="BX229" s="51" t="str">
        <f>INDEX(Table_SKU[],
MATCH(Table_Main[[#This Row],[Mã SKU]],Table_SKU[Mã Sản phẩm],0),1)</f>
        <v>Nhóm 1</v>
      </c>
      <c r="BY229" s="52" t="str">
        <f xml:space="preserve">
IFERROR(VLOOKUP(Table_Main[[#This Row],[Đơn bán]],Table_DonBan[],COUNTA(Table_DonBan[[#Headers],[Mã đơn bán]:[Mã Khách]]),0),0)</f>
        <v>KH01</v>
      </c>
      <c r="BZ229" s="52" t="str">
        <f>VLOOKUP(Table_Main[[#This Row],[Khách hàng]],Table_KhachHang[],COUNTA(Table_KhachHang[[#Headers],[Mã khách]:[Phân khúc]]),0)</f>
        <v>B2B</v>
      </c>
      <c r="CA229" s="25" t="str">
        <f xml:space="preserve">
IFERROR(VLOOKUP(Table_Main[[#This Row],[Đơn bán]],Table_DonBan[],COUNTA(Table_DonBan[[#Headers],[Mã đơn bán]:[Mã NV]]),0),0)</f>
        <v>NV03</v>
      </c>
      <c r="CB229" s="7" t="str">
        <f xml:space="preserve">
IFERROR(VLOOKUP(Table_Main[[#This Row],[Đơn bán]],Table_DonBan[],COUNTA(Table_DonBan[[#Headers],[Mã đơn bán]:[Kênh]]),0),0)</f>
        <v>FB</v>
      </c>
      <c r="CC229" s="7" t="str">
        <f>VLOOKUP(Table_Main[[#This Row],[Kênh]],Table_Kenh[],COUNTA(Table_Kenh[[#Headers],[Kênh]:[Nhóm Kênh]]),0)</f>
        <v>Mạng xã hội</v>
      </c>
      <c r="CD229" s="53">
        <v>107</v>
      </c>
      <c r="CE229" s="7" t="str">
        <f>IFERROR(VLOOKUP(Table_Main[[#This Row],[Mã SKU]],Table_SKU[[Mã Sản phẩm]:[Giá bán]],COUNTA(Table_SKU[[#Headers],[Mã Sản phẩm]:[Đơn vị]]),0),0)</f>
        <v>Bộ</v>
      </c>
      <c r="CF229" s="7">
        <f>IFERROR(VLOOKUP(Table_Main[[#This Row],[Mã SKU]],Table_SKU[[Mã Sản phẩm]:[Giá bán]],COUNTA(Table_SKU[[#Headers],[Mã Sản phẩm]:[Giá bán]]),0),0)</f>
        <v>200000</v>
      </c>
      <c r="CG229" s="7">
        <f>Table_Main[[#This Row],[Giá bán]]*Table_Main[[#This Row],[Số lượng]]</f>
        <v>21400000</v>
      </c>
      <c r="CH229" s="60">
        <v>0</v>
      </c>
      <c r="CI229" s="7">
        <f>+Table_Main[[#This Row],[Thành tiền niêm yết]]-Table_Main[[#This Row],[Khuyễn mãi]]</f>
        <v>21400000</v>
      </c>
      <c r="CJ229" s="7" cm="1">
        <f t="array" ref="CJ229">VLOOKUP(Table_Main[[#This Row],[Đơn bán]],Table_DonBan[],COUNTA(Table_DonBan[[#Headers],[Mã đơn bán]:[Khuyễn mãi]]),0)*Table_Main[[#This Row],[Giá trị bán trước VAT]]/
SUM(_xlfn._xlws.FILTER(Table_Main[Giá trị bán trước VAT],
(Table_Main[Đơn bán]=Table_Main[[#This Row],[Đơn bán]])
))</f>
        <v>0</v>
      </c>
      <c r="CK229" s="7">
        <f>Table_Main[[#This Row],[Giá trị bán trước VAT]]-Table_Main[[#This Row],[Phân bổ khuyến mãi đơn]]</f>
        <v>21400000</v>
      </c>
      <c r="CL229"/>
      <c r="CM229"/>
    </row>
    <row r="230" spans="33:91" ht="16.5" x14ac:dyDescent="0.3">
      <c r="AG230"/>
      <c r="AH230"/>
      <c r="AI230"/>
      <c r="BT230" s="49" t="s">
        <v>60</v>
      </c>
      <c r="BU230" s="50" t="s">
        <v>100</v>
      </c>
      <c r="BV230" s="6">
        <f xml:space="preserve">
IFERROR(VLOOKUP(Table_Main[[#This Row],[Đơn bán]],Table_DonBan[],COUNTA(Table_DonBan[[#Headers],[Mã đơn bán]:[Ngày lập]]),0),0)</f>
        <v>44972</v>
      </c>
      <c r="BW230" s="51">
        <f>IFERROR(MONTH(Table_Main[[#This Row],[Ngày lên đơn]]),0)</f>
        <v>2</v>
      </c>
      <c r="BX230" s="51" t="str">
        <f>INDEX(Table_SKU[],
MATCH(Table_Main[[#This Row],[Mã SKU]],Table_SKU[Mã Sản phẩm],0),1)</f>
        <v>Nhóm 2</v>
      </c>
      <c r="BY230" s="52" t="str">
        <f xml:space="preserve">
IFERROR(VLOOKUP(Table_Main[[#This Row],[Đơn bán]],Table_DonBan[],COUNTA(Table_DonBan[[#Headers],[Mã đơn bán]:[Mã Khách]]),0),0)</f>
        <v>KH01</v>
      </c>
      <c r="BZ230" s="52" t="str">
        <f>VLOOKUP(Table_Main[[#This Row],[Khách hàng]],Table_KhachHang[],COUNTA(Table_KhachHang[[#Headers],[Mã khách]:[Phân khúc]]),0)</f>
        <v>B2B</v>
      </c>
      <c r="CA230" s="25" t="str">
        <f xml:space="preserve">
IFERROR(VLOOKUP(Table_Main[[#This Row],[Đơn bán]],Table_DonBan[],COUNTA(Table_DonBan[[#Headers],[Mã đơn bán]:[Mã NV]]),0),0)</f>
        <v>NV03</v>
      </c>
      <c r="CB230" s="7" t="str">
        <f xml:space="preserve">
IFERROR(VLOOKUP(Table_Main[[#This Row],[Đơn bán]],Table_DonBan[],COUNTA(Table_DonBan[[#Headers],[Mã đơn bán]:[Kênh]]),0),0)</f>
        <v>FB</v>
      </c>
      <c r="CC230" s="7" t="str">
        <f>VLOOKUP(Table_Main[[#This Row],[Kênh]],Table_Kenh[],COUNTA(Table_Kenh[[#Headers],[Kênh]:[Nhóm Kênh]]),0)</f>
        <v>Mạng xã hội</v>
      </c>
      <c r="CD230" s="53">
        <v>83</v>
      </c>
      <c r="CE230" s="7" t="str">
        <f>IFERROR(VLOOKUP(Table_Main[[#This Row],[Mã SKU]],Table_SKU[[Mã Sản phẩm]:[Giá bán]],COUNTA(Table_SKU[[#Headers],[Mã Sản phẩm]:[Đơn vị]]),0),0)</f>
        <v>Bộ</v>
      </c>
      <c r="CF230" s="7">
        <f>IFERROR(VLOOKUP(Table_Main[[#This Row],[Mã SKU]],Table_SKU[[Mã Sản phẩm]:[Giá bán]],COUNTA(Table_SKU[[#Headers],[Mã Sản phẩm]:[Giá bán]]),0),0)</f>
        <v>300000</v>
      </c>
      <c r="CG230" s="7">
        <f>Table_Main[[#This Row],[Giá bán]]*Table_Main[[#This Row],[Số lượng]]</f>
        <v>24900000</v>
      </c>
      <c r="CH230" s="60">
        <v>0</v>
      </c>
      <c r="CI230" s="7">
        <f>+Table_Main[[#This Row],[Thành tiền niêm yết]]-Table_Main[[#This Row],[Khuyễn mãi]]</f>
        <v>24900000</v>
      </c>
      <c r="CJ230" s="7" cm="1">
        <f t="array" ref="CJ230">VLOOKUP(Table_Main[[#This Row],[Đơn bán]],Table_DonBan[],COUNTA(Table_DonBan[[#Headers],[Mã đơn bán]:[Khuyễn mãi]]),0)*Table_Main[[#This Row],[Giá trị bán trước VAT]]/
SUM(_xlfn._xlws.FILTER(Table_Main[Giá trị bán trước VAT],
(Table_Main[Đơn bán]=Table_Main[[#This Row],[Đơn bán]])
))</f>
        <v>0</v>
      </c>
      <c r="CK230" s="7">
        <f>Table_Main[[#This Row],[Giá trị bán trước VAT]]-Table_Main[[#This Row],[Phân bổ khuyến mãi đơn]]</f>
        <v>24900000</v>
      </c>
      <c r="CL230"/>
      <c r="CM230"/>
    </row>
    <row r="231" spans="33:91" ht="16.5" x14ac:dyDescent="0.3">
      <c r="AG231"/>
      <c r="AH231"/>
      <c r="AI231"/>
      <c r="BT231" s="49" t="s">
        <v>61</v>
      </c>
      <c r="BU231" s="50" t="s">
        <v>100</v>
      </c>
      <c r="BV231" s="6">
        <f xml:space="preserve">
IFERROR(VLOOKUP(Table_Main[[#This Row],[Đơn bán]],Table_DonBan[],COUNTA(Table_DonBan[[#Headers],[Mã đơn bán]:[Ngày lập]]),0),0)</f>
        <v>44972</v>
      </c>
      <c r="BW231" s="51">
        <f>IFERROR(MONTH(Table_Main[[#This Row],[Ngày lên đơn]]),0)</f>
        <v>2</v>
      </c>
      <c r="BX231" s="51" t="str">
        <f>INDEX(Table_SKU[],
MATCH(Table_Main[[#This Row],[Mã SKU]],Table_SKU[Mã Sản phẩm],0),1)</f>
        <v>Nhóm 3</v>
      </c>
      <c r="BY231" s="52" t="str">
        <f xml:space="preserve">
IFERROR(VLOOKUP(Table_Main[[#This Row],[Đơn bán]],Table_DonBan[],COUNTA(Table_DonBan[[#Headers],[Mã đơn bán]:[Mã Khách]]),0),0)</f>
        <v>KH01</v>
      </c>
      <c r="BZ231" s="52" t="str">
        <f>VLOOKUP(Table_Main[[#This Row],[Khách hàng]],Table_KhachHang[],COUNTA(Table_KhachHang[[#Headers],[Mã khách]:[Phân khúc]]),0)</f>
        <v>B2B</v>
      </c>
      <c r="CA231" s="25" t="str">
        <f xml:space="preserve">
IFERROR(VLOOKUP(Table_Main[[#This Row],[Đơn bán]],Table_DonBan[],COUNTA(Table_DonBan[[#Headers],[Mã đơn bán]:[Mã NV]]),0),0)</f>
        <v>NV03</v>
      </c>
      <c r="CB231" s="7" t="str">
        <f xml:space="preserve">
IFERROR(VLOOKUP(Table_Main[[#This Row],[Đơn bán]],Table_DonBan[],COUNTA(Table_DonBan[[#Headers],[Mã đơn bán]:[Kênh]]),0),0)</f>
        <v>FB</v>
      </c>
      <c r="CC231" s="7" t="str">
        <f>VLOOKUP(Table_Main[[#This Row],[Kênh]],Table_Kenh[],COUNTA(Table_Kenh[[#Headers],[Kênh]:[Nhóm Kênh]]),0)</f>
        <v>Mạng xã hội</v>
      </c>
      <c r="CD231" s="53">
        <v>52</v>
      </c>
      <c r="CE231" s="7" t="str">
        <f>IFERROR(VLOOKUP(Table_Main[[#This Row],[Mã SKU]],Table_SKU[[Mã Sản phẩm]:[Giá bán]],COUNTA(Table_SKU[[#Headers],[Mã Sản phẩm]:[Đơn vị]]),0),0)</f>
        <v>Bộ</v>
      </c>
      <c r="CF231" s="7">
        <f>IFERROR(VLOOKUP(Table_Main[[#This Row],[Mã SKU]],Table_SKU[[Mã Sản phẩm]:[Giá bán]],COUNTA(Table_SKU[[#Headers],[Mã Sản phẩm]:[Giá bán]]),0),0)</f>
        <v>500000</v>
      </c>
      <c r="CG231" s="7">
        <f>Table_Main[[#This Row],[Giá bán]]*Table_Main[[#This Row],[Số lượng]]</f>
        <v>26000000</v>
      </c>
      <c r="CH231" s="60">
        <v>0</v>
      </c>
      <c r="CI231" s="7">
        <f>+Table_Main[[#This Row],[Thành tiền niêm yết]]-Table_Main[[#This Row],[Khuyễn mãi]]</f>
        <v>26000000</v>
      </c>
      <c r="CJ231" s="7" cm="1">
        <f t="array" ref="CJ231">VLOOKUP(Table_Main[[#This Row],[Đơn bán]],Table_DonBan[],COUNTA(Table_DonBan[[#Headers],[Mã đơn bán]:[Khuyễn mãi]]),0)*Table_Main[[#This Row],[Giá trị bán trước VAT]]/
SUM(_xlfn._xlws.FILTER(Table_Main[Giá trị bán trước VAT],
(Table_Main[Đơn bán]=Table_Main[[#This Row],[Đơn bán]])
))</f>
        <v>0</v>
      </c>
      <c r="CK231" s="7">
        <f>Table_Main[[#This Row],[Giá trị bán trước VAT]]-Table_Main[[#This Row],[Phân bổ khuyến mãi đơn]]</f>
        <v>26000000</v>
      </c>
      <c r="CL231"/>
      <c r="CM231"/>
    </row>
    <row r="232" spans="33:91" ht="16.5" x14ac:dyDescent="0.3">
      <c r="AG232"/>
      <c r="AH232"/>
      <c r="AI232"/>
      <c r="BT232" s="49" t="s">
        <v>59</v>
      </c>
      <c r="BU232" s="50" t="s">
        <v>99</v>
      </c>
      <c r="BV232" s="6">
        <f xml:space="preserve">
IFERROR(VLOOKUP(Table_Main[[#This Row],[Đơn bán]],Table_DonBan[],COUNTA(Table_DonBan[[#Headers],[Mã đơn bán]:[Ngày lập]]),0),0)</f>
        <v>44962</v>
      </c>
      <c r="BW232" s="51">
        <f>IFERROR(MONTH(Table_Main[[#This Row],[Ngày lên đơn]]),0)</f>
        <v>2</v>
      </c>
      <c r="BX232" s="51" t="str">
        <f>INDEX(Table_SKU[],
MATCH(Table_Main[[#This Row],[Mã SKU]],Table_SKU[Mã Sản phẩm],0),1)</f>
        <v>Nhóm 1</v>
      </c>
      <c r="BY232" s="52" t="str">
        <f xml:space="preserve">
IFERROR(VLOOKUP(Table_Main[[#This Row],[Đơn bán]],Table_DonBan[],COUNTA(Table_DonBan[[#Headers],[Mã đơn bán]:[Mã Khách]]),0),0)</f>
        <v>KH03</v>
      </c>
      <c r="BZ232" s="52" t="str">
        <f>VLOOKUP(Table_Main[[#This Row],[Khách hàng]],Table_KhachHang[],COUNTA(Table_KhachHang[[#Headers],[Mã khách]:[Phân khúc]]),0)</f>
        <v>B2C</v>
      </c>
      <c r="CA232" s="25" t="str">
        <f xml:space="preserve">
IFERROR(VLOOKUP(Table_Main[[#This Row],[Đơn bán]],Table_DonBan[],COUNTA(Table_DonBan[[#Headers],[Mã đơn bán]:[Mã NV]]),0),0)</f>
        <v>NV02</v>
      </c>
      <c r="CB232" s="7" t="str">
        <f xml:space="preserve">
IFERROR(VLOOKUP(Table_Main[[#This Row],[Đơn bán]],Table_DonBan[],COUNTA(Table_DonBan[[#Headers],[Mã đơn bán]:[Kênh]]),0),0)</f>
        <v>SP</v>
      </c>
      <c r="CC232" s="7" t="str">
        <f>VLOOKUP(Table_Main[[#This Row],[Kênh]],Table_Kenh[],COUNTA(Table_Kenh[[#Headers],[Kênh]:[Nhóm Kênh]]),0)</f>
        <v>Sàn TMĐT</v>
      </c>
      <c r="CD232" s="53">
        <v>103</v>
      </c>
      <c r="CE232" s="7" t="str">
        <f>IFERROR(VLOOKUP(Table_Main[[#This Row],[Mã SKU]],Table_SKU[[Mã Sản phẩm]:[Giá bán]],COUNTA(Table_SKU[[#Headers],[Mã Sản phẩm]:[Đơn vị]]),0),0)</f>
        <v>Bộ</v>
      </c>
      <c r="CF232" s="7">
        <f>IFERROR(VLOOKUP(Table_Main[[#This Row],[Mã SKU]],Table_SKU[[Mã Sản phẩm]:[Giá bán]],COUNTA(Table_SKU[[#Headers],[Mã Sản phẩm]:[Giá bán]]),0),0)</f>
        <v>200000</v>
      </c>
      <c r="CG232" s="7">
        <f>Table_Main[[#This Row],[Giá bán]]*Table_Main[[#This Row],[Số lượng]]</f>
        <v>20600000</v>
      </c>
      <c r="CH232" s="60">
        <v>0</v>
      </c>
      <c r="CI232" s="7">
        <f>+Table_Main[[#This Row],[Thành tiền niêm yết]]-Table_Main[[#This Row],[Khuyễn mãi]]</f>
        <v>20600000</v>
      </c>
      <c r="CJ232" s="7" cm="1">
        <f t="array" ref="CJ232">VLOOKUP(Table_Main[[#This Row],[Đơn bán]],Table_DonBan[],COUNTA(Table_DonBan[[#Headers],[Mã đơn bán]:[Khuyễn mãi]]),0)*Table_Main[[#This Row],[Giá trị bán trước VAT]]/
SUM(_xlfn._xlws.FILTER(Table_Main[Giá trị bán trước VAT],
(Table_Main[Đơn bán]=Table_Main[[#This Row],[Đơn bán]])
))</f>
        <v>0</v>
      </c>
      <c r="CK232" s="7">
        <f>Table_Main[[#This Row],[Giá trị bán trước VAT]]-Table_Main[[#This Row],[Phân bổ khuyến mãi đơn]]</f>
        <v>20600000</v>
      </c>
      <c r="CL232"/>
      <c r="CM232"/>
    </row>
    <row r="233" spans="33:91" ht="16.5" x14ac:dyDescent="0.3">
      <c r="AG233"/>
      <c r="AH233"/>
      <c r="AI233"/>
      <c r="BT233" s="49" t="s">
        <v>60</v>
      </c>
      <c r="BU233" s="50" t="s">
        <v>99</v>
      </c>
      <c r="BV233" s="6">
        <f xml:space="preserve">
IFERROR(VLOOKUP(Table_Main[[#This Row],[Đơn bán]],Table_DonBan[],COUNTA(Table_DonBan[[#Headers],[Mã đơn bán]:[Ngày lập]]),0),0)</f>
        <v>44962</v>
      </c>
      <c r="BW233" s="51">
        <f>IFERROR(MONTH(Table_Main[[#This Row],[Ngày lên đơn]]),0)</f>
        <v>2</v>
      </c>
      <c r="BX233" s="51" t="str">
        <f>INDEX(Table_SKU[],
MATCH(Table_Main[[#This Row],[Mã SKU]],Table_SKU[Mã Sản phẩm],0),1)</f>
        <v>Nhóm 2</v>
      </c>
      <c r="BY233" s="52" t="str">
        <f xml:space="preserve">
IFERROR(VLOOKUP(Table_Main[[#This Row],[Đơn bán]],Table_DonBan[],COUNTA(Table_DonBan[[#Headers],[Mã đơn bán]:[Mã Khách]]),0),0)</f>
        <v>KH03</v>
      </c>
      <c r="BZ233" s="52" t="str">
        <f>VLOOKUP(Table_Main[[#This Row],[Khách hàng]],Table_KhachHang[],COUNTA(Table_KhachHang[[#Headers],[Mã khách]:[Phân khúc]]),0)</f>
        <v>B2C</v>
      </c>
      <c r="CA233" s="25" t="str">
        <f xml:space="preserve">
IFERROR(VLOOKUP(Table_Main[[#This Row],[Đơn bán]],Table_DonBan[],COUNTA(Table_DonBan[[#Headers],[Mã đơn bán]:[Mã NV]]),0),0)</f>
        <v>NV02</v>
      </c>
      <c r="CB233" s="7" t="str">
        <f xml:space="preserve">
IFERROR(VLOOKUP(Table_Main[[#This Row],[Đơn bán]],Table_DonBan[],COUNTA(Table_DonBan[[#Headers],[Mã đơn bán]:[Kênh]]),0),0)</f>
        <v>SP</v>
      </c>
      <c r="CC233" s="7" t="str">
        <f>VLOOKUP(Table_Main[[#This Row],[Kênh]],Table_Kenh[],COUNTA(Table_Kenh[[#Headers],[Kênh]:[Nhóm Kênh]]),0)</f>
        <v>Sàn TMĐT</v>
      </c>
      <c r="CD233" s="53">
        <v>84</v>
      </c>
      <c r="CE233" s="7" t="str">
        <f>IFERROR(VLOOKUP(Table_Main[[#This Row],[Mã SKU]],Table_SKU[[Mã Sản phẩm]:[Giá bán]],COUNTA(Table_SKU[[#Headers],[Mã Sản phẩm]:[Đơn vị]]),0),0)</f>
        <v>Bộ</v>
      </c>
      <c r="CF233" s="7">
        <f>IFERROR(VLOOKUP(Table_Main[[#This Row],[Mã SKU]],Table_SKU[[Mã Sản phẩm]:[Giá bán]],COUNTA(Table_SKU[[#Headers],[Mã Sản phẩm]:[Giá bán]]),0),0)</f>
        <v>300000</v>
      </c>
      <c r="CG233" s="7">
        <f>Table_Main[[#This Row],[Giá bán]]*Table_Main[[#This Row],[Số lượng]]</f>
        <v>25200000</v>
      </c>
      <c r="CH233" s="60">
        <v>0</v>
      </c>
      <c r="CI233" s="7">
        <f>+Table_Main[[#This Row],[Thành tiền niêm yết]]-Table_Main[[#This Row],[Khuyễn mãi]]</f>
        <v>25200000</v>
      </c>
      <c r="CJ233" s="7" cm="1">
        <f t="array" ref="CJ233">VLOOKUP(Table_Main[[#This Row],[Đơn bán]],Table_DonBan[],COUNTA(Table_DonBan[[#Headers],[Mã đơn bán]:[Khuyễn mãi]]),0)*Table_Main[[#This Row],[Giá trị bán trước VAT]]/
SUM(_xlfn._xlws.FILTER(Table_Main[Giá trị bán trước VAT],
(Table_Main[Đơn bán]=Table_Main[[#This Row],[Đơn bán]])
))</f>
        <v>0</v>
      </c>
      <c r="CK233" s="7">
        <f>Table_Main[[#This Row],[Giá trị bán trước VAT]]-Table_Main[[#This Row],[Phân bổ khuyến mãi đơn]]</f>
        <v>25200000</v>
      </c>
      <c r="CL233"/>
      <c r="CM233"/>
    </row>
    <row r="234" spans="33:91" ht="16.5" x14ac:dyDescent="0.3">
      <c r="AG234"/>
      <c r="AH234"/>
      <c r="AI234"/>
      <c r="BT234" s="54" t="s">
        <v>61</v>
      </c>
      <c r="BU234" s="55" t="s">
        <v>99</v>
      </c>
      <c r="BV234" s="56">
        <f xml:space="preserve">
IFERROR(VLOOKUP(Table_Main[[#This Row],[Đơn bán]],Table_DonBan[],COUNTA(Table_DonBan[[#Headers],[Mã đơn bán]:[Ngày lập]]),0),0)</f>
        <v>44962</v>
      </c>
      <c r="BW234" s="51">
        <f>IFERROR(MONTH(Table_Main[[#This Row],[Ngày lên đơn]]),0)</f>
        <v>2</v>
      </c>
      <c r="BX234" s="51" t="str">
        <f>INDEX(Table_SKU[],
MATCH(Table_Main[[#This Row],[Mã SKU]],Table_SKU[Mã Sản phẩm],0),1)</f>
        <v>Nhóm 3</v>
      </c>
      <c r="BY234" s="52" t="str">
        <f xml:space="preserve">
IFERROR(VLOOKUP(Table_Main[[#This Row],[Đơn bán]],Table_DonBan[],COUNTA(Table_DonBan[[#Headers],[Mã đơn bán]:[Mã Khách]]),0),0)</f>
        <v>KH03</v>
      </c>
      <c r="BZ234" s="52" t="str">
        <f>VLOOKUP(Table_Main[[#This Row],[Khách hàng]],Table_KhachHang[],COUNTA(Table_KhachHang[[#Headers],[Mã khách]:[Phân khúc]]),0)</f>
        <v>B2C</v>
      </c>
      <c r="CA234" s="57" t="str">
        <f xml:space="preserve">
IFERROR(VLOOKUP(Table_Main[[#This Row],[Đơn bán]],Table_DonBan[],COUNTA(Table_DonBan[[#Headers],[Mã đơn bán]:[Mã NV]]),0),0)</f>
        <v>NV02</v>
      </c>
      <c r="CB234" s="58" t="str">
        <f xml:space="preserve">
IFERROR(VLOOKUP(Table_Main[[#This Row],[Đơn bán]],Table_DonBan[],COUNTA(Table_DonBan[[#Headers],[Mã đơn bán]:[Kênh]]),0),0)</f>
        <v>SP</v>
      </c>
      <c r="CC234" s="58" t="str">
        <f>VLOOKUP(Table_Main[[#This Row],[Kênh]],Table_Kenh[],COUNTA(Table_Kenh[[#Headers],[Kênh]:[Nhóm Kênh]]),0)</f>
        <v>Sàn TMĐT</v>
      </c>
      <c r="CD234" s="59">
        <v>50</v>
      </c>
      <c r="CE234" s="58" t="str">
        <f>IFERROR(VLOOKUP(Table_Main[[#This Row],[Mã SKU]],Table_SKU[[Mã Sản phẩm]:[Giá bán]],COUNTA(Table_SKU[[#Headers],[Mã Sản phẩm]:[Đơn vị]]),0),0)</f>
        <v>Bộ</v>
      </c>
      <c r="CF234" s="58">
        <f>IFERROR(VLOOKUP(Table_Main[[#This Row],[Mã SKU]],Table_SKU[[Mã Sản phẩm]:[Giá bán]],COUNTA(Table_SKU[[#Headers],[Mã Sản phẩm]:[Giá bán]]),0),0)</f>
        <v>500000</v>
      </c>
      <c r="CG234" s="58">
        <f>Table_Main[[#This Row],[Giá bán]]*Table_Main[[#This Row],[Số lượng]]</f>
        <v>25000000</v>
      </c>
      <c r="CH234" s="61">
        <v>0</v>
      </c>
      <c r="CI234" s="58">
        <f>+Table_Main[[#This Row],[Thành tiền niêm yết]]-Table_Main[[#This Row],[Khuyễn mãi]]</f>
        <v>25000000</v>
      </c>
      <c r="CJ234" s="7" cm="1">
        <f t="array" ref="CJ234">VLOOKUP(Table_Main[[#This Row],[Đơn bán]],Table_DonBan[],COUNTA(Table_DonBan[[#Headers],[Mã đơn bán]:[Khuyễn mãi]]),0)*Table_Main[[#This Row],[Giá trị bán trước VAT]]/
SUM(_xlfn._xlws.FILTER(Table_Main[Giá trị bán trước VAT],
(Table_Main[Đơn bán]=Table_Main[[#This Row],[Đơn bán]])
))</f>
        <v>0</v>
      </c>
      <c r="CK234" s="7">
        <f>Table_Main[[#This Row],[Giá trị bán trước VAT]]-Table_Main[[#This Row],[Phân bổ khuyến mãi đơn]]</f>
        <v>25000000</v>
      </c>
      <c r="CL234"/>
      <c r="CM234"/>
    </row>
    <row r="235" spans="33:91" ht="16.5" x14ac:dyDescent="0.3">
      <c r="AG235"/>
      <c r="AH235"/>
      <c r="AI235"/>
      <c r="BT235" s="49" t="s">
        <v>59</v>
      </c>
      <c r="BU235" s="50" t="s">
        <v>98</v>
      </c>
      <c r="BV235" s="6">
        <f xml:space="preserve">
IFERROR(VLOOKUP(Table_Main[[#This Row],[Đơn bán]],Table_DonBan[],COUNTA(Table_DonBan[[#Headers],[Mã đơn bán]:[Ngày lập]]),0),0)</f>
        <v>44951</v>
      </c>
      <c r="BW235" s="51">
        <f>IFERROR(MONTH(Table_Main[[#This Row],[Ngày lên đơn]]),0)</f>
        <v>1</v>
      </c>
      <c r="BX235" s="51" t="str">
        <f>INDEX(Table_SKU[],
MATCH(Table_Main[[#This Row],[Mã SKU]],Table_SKU[Mã Sản phẩm],0),1)</f>
        <v>Nhóm 1</v>
      </c>
      <c r="BY235" s="52" t="str">
        <f xml:space="preserve">
IFERROR(VLOOKUP(Table_Main[[#This Row],[Đơn bán]],Table_DonBan[],COUNTA(Table_DonBan[[#Headers],[Mã đơn bán]:[Mã Khách]]),0),0)</f>
        <v>KH02</v>
      </c>
      <c r="BZ235" s="52" t="str">
        <f>VLOOKUP(Table_Main[[#This Row],[Khách hàng]],Table_KhachHang[],COUNTA(Table_KhachHang[[#Headers],[Mã khách]:[Phân khúc]]),0)</f>
        <v>B2C</v>
      </c>
      <c r="CA235" s="25" t="str">
        <f xml:space="preserve">
IFERROR(VLOOKUP(Table_Main[[#This Row],[Đơn bán]],Table_DonBan[],COUNTA(Table_DonBan[[#Headers],[Mã đơn bán]:[Mã NV]]),0),0)</f>
        <v>NV02</v>
      </c>
      <c r="CB235" s="7" t="str">
        <f xml:space="preserve">
IFERROR(VLOOKUP(Table_Main[[#This Row],[Đơn bán]],Table_DonBan[],COUNTA(Table_DonBan[[#Headers],[Mã đơn bán]:[Kênh]]),0),0)</f>
        <v>TK</v>
      </c>
      <c r="CC235" s="7" t="str">
        <f>VLOOKUP(Table_Main[[#This Row],[Kênh]],Table_Kenh[],COUNTA(Table_Kenh[[#Headers],[Kênh]:[Nhóm Kênh]]),0)</f>
        <v>Sàn TMĐT</v>
      </c>
      <c r="CD235" s="53">
        <v>101</v>
      </c>
      <c r="CE235" s="7" t="str">
        <f>IFERROR(VLOOKUP(Table_Main[[#This Row],[Mã SKU]],Table_SKU[[Mã Sản phẩm]:[Giá bán]],COUNTA(Table_SKU[[#Headers],[Mã Sản phẩm]:[Đơn vị]]),0),0)</f>
        <v>Bộ</v>
      </c>
      <c r="CF235" s="7">
        <f>IFERROR(VLOOKUP(Table_Main[[#This Row],[Mã SKU]],Table_SKU[[Mã Sản phẩm]:[Giá bán]],COUNTA(Table_SKU[[#Headers],[Mã Sản phẩm]:[Giá bán]]),0),0)</f>
        <v>200000</v>
      </c>
      <c r="CG235" s="7">
        <f>Table_Main[[#This Row],[Giá bán]]*Table_Main[[#This Row],[Số lượng]]</f>
        <v>20200000</v>
      </c>
      <c r="CH235" s="60">
        <v>0</v>
      </c>
      <c r="CI235" s="7">
        <f>+Table_Main[[#This Row],[Thành tiền niêm yết]]-Table_Main[[#This Row],[Khuyễn mãi]]</f>
        <v>20200000</v>
      </c>
      <c r="CJ235" s="7" cm="1">
        <f t="array" ref="CJ235">VLOOKUP(Table_Main[[#This Row],[Đơn bán]],Table_DonBan[],COUNTA(Table_DonBan[[#Headers],[Mã đơn bán]:[Khuyễn mãi]]),0)*Table_Main[[#This Row],[Giá trị bán trước VAT]]/
SUM(_xlfn._xlws.FILTER(Table_Main[Giá trị bán trước VAT],
(Table_Main[Đơn bán]=Table_Main[[#This Row],[Đơn bán]])
))</f>
        <v>0</v>
      </c>
      <c r="CK235" s="7">
        <f>Table_Main[[#This Row],[Giá trị bán trước VAT]]-Table_Main[[#This Row],[Phân bổ khuyến mãi đơn]]</f>
        <v>20200000</v>
      </c>
      <c r="CL235"/>
      <c r="CM235"/>
    </row>
    <row r="236" spans="33:91" ht="16.5" x14ac:dyDescent="0.3">
      <c r="AG236"/>
      <c r="AH236"/>
      <c r="AI236"/>
      <c r="BT236" s="49" t="s">
        <v>60</v>
      </c>
      <c r="BU236" s="50" t="s">
        <v>98</v>
      </c>
      <c r="BV236" s="6">
        <f xml:space="preserve">
IFERROR(VLOOKUP(Table_Main[[#This Row],[Đơn bán]],Table_DonBan[],COUNTA(Table_DonBan[[#Headers],[Mã đơn bán]:[Ngày lập]]),0),0)</f>
        <v>44951</v>
      </c>
      <c r="BW236" s="51">
        <f>IFERROR(MONTH(Table_Main[[#This Row],[Ngày lên đơn]]),0)</f>
        <v>1</v>
      </c>
      <c r="BX236" s="51" t="str">
        <f>INDEX(Table_SKU[],
MATCH(Table_Main[[#This Row],[Mã SKU]],Table_SKU[Mã Sản phẩm],0),1)</f>
        <v>Nhóm 2</v>
      </c>
      <c r="BY236" s="52" t="str">
        <f xml:space="preserve">
IFERROR(VLOOKUP(Table_Main[[#This Row],[Đơn bán]],Table_DonBan[],COUNTA(Table_DonBan[[#Headers],[Mã đơn bán]:[Mã Khách]]),0),0)</f>
        <v>KH02</v>
      </c>
      <c r="BZ236" s="52" t="str">
        <f>VLOOKUP(Table_Main[[#This Row],[Khách hàng]],Table_KhachHang[],COUNTA(Table_KhachHang[[#Headers],[Mã khách]:[Phân khúc]]),0)</f>
        <v>B2C</v>
      </c>
      <c r="CA236" s="25" t="str">
        <f xml:space="preserve">
IFERROR(VLOOKUP(Table_Main[[#This Row],[Đơn bán]],Table_DonBan[],COUNTA(Table_DonBan[[#Headers],[Mã đơn bán]:[Mã NV]]),0),0)</f>
        <v>NV02</v>
      </c>
      <c r="CB236" s="7" t="str">
        <f xml:space="preserve">
IFERROR(VLOOKUP(Table_Main[[#This Row],[Đơn bán]],Table_DonBan[],COUNTA(Table_DonBan[[#Headers],[Mã đơn bán]:[Kênh]]),0),0)</f>
        <v>TK</v>
      </c>
      <c r="CC236" s="7" t="str">
        <f>VLOOKUP(Table_Main[[#This Row],[Kênh]],Table_Kenh[],COUNTA(Table_Kenh[[#Headers],[Kênh]:[Nhóm Kênh]]),0)</f>
        <v>Sàn TMĐT</v>
      </c>
      <c r="CD236" s="53">
        <v>82</v>
      </c>
      <c r="CE236" s="7" t="str">
        <f>IFERROR(VLOOKUP(Table_Main[[#This Row],[Mã SKU]],Table_SKU[[Mã Sản phẩm]:[Giá bán]],COUNTA(Table_SKU[[#Headers],[Mã Sản phẩm]:[Đơn vị]]),0),0)</f>
        <v>Bộ</v>
      </c>
      <c r="CF236" s="7">
        <f>IFERROR(VLOOKUP(Table_Main[[#This Row],[Mã SKU]],Table_SKU[[Mã Sản phẩm]:[Giá bán]],COUNTA(Table_SKU[[#Headers],[Mã Sản phẩm]:[Giá bán]]),0),0)</f>
        <v>300000</v>
      </c>
      <c r="CG236" s="7">
        <f>Table_Main[[#This Row],[Giá bán]]*Table_Main[[#This Row],[Số lượng]]</f>
        <v>24600000</v>
      </c>
      <c r="CH236" s="60">
        <v>0</v>
      </c>
      <c r="CI236" s="7">
        <f>+Table_Main[[#This Row],[Thành tiền niêm yết]]-Table_Main[[#This Row],[Khuyễn mãi]]</f>
        <v>24600000</v>
      </c>
      <c r="CJ236" s="7" cm="1">
        <f t="array" ref="CJ236">VLOOKUP(Table_Main[[#This Row],[Đơn bán]],Table_DonBan[],COUNTA(Table_DonBan[[#Headers],[Mã đơn bán]:[Khuyễn mãi]]),0)*Table_Main[[#This Row],[Giá trị bán trước VAT]]/
SUM(_xlfn._xlws.FILTER(Table_Main[Giá trị bán trước VAT],
(Table_Main[Đơn bán]=Table_Main[[#This Row],[Đơn bán]])
))</f>
        <v>0</v>
      </c>
      <c r="CK236" s="7">
        <f>Table_Main[[#This Row],[Giá trị bán trước VAT]]-Table_Main[[#This Row],[Phân bổ khuyến mãi đơn]]</f>
        <v>24600000</v>
      </c>
      <c r="CL236"/>
      <c r="CM236"/>
    </row>
    <row r="237" spans="33:91" ht="16.5" x14ac:dyDescent="0.3">
      <c r="AG237"/>
      <c r="AH237"/>
      <c r="AI237"/>
      <c r="BT237" s="49" t="s">
        <v>61</v>
      </c>
      <c r="BU237" s="50" t="s">
        <v>98</v>
      </c>
      <c r="BV237" s="6">
        <f xml:space="preserve">
IFERROR(VLOOKUP(Table_Main[[#This Row],[Đơn bán]],Table_DonBan[],COUNTA(Table_DonBan[[#Headers],[Mã đơn bán]:[Ngày lập]]),0),0)</f>
        <v>44951</v>
      </c>
      <c r="BW237" s="51">
        <f>IFERROR(MONTH(Table_Main[[#This Row],[Ngày lên đơn]]),0)</f>
        <v>1</v>
      </c>
      <c r="BX237" s="51" t="str">
        <f>INDEX(Table_SKU[],
MATCH(Table_Main[[#This Row],[Mã SKU]],Table_SKU[Mã Sản phẩm],0),1)</f>
        <v>Nhóm 3</v>
      </c>
      <c r="BY237" s="52" t="str">
        <f xml:space="preserve">
IFERROR(VLOOKUP(Table_Main[[#This Row],[Đơn bán]],Table_DonBan[],COUNTA(Table_DonBan[[#Headers],[Mã đơn bán]:[Mã Khách]]),0),0)</f>
        <v>KH02</v>
      </c>
      <c r="BZ237" s="52" t="str">
        <f>VLOOKUP(Table_Main[[#This Row],[Khách hàng]],Table_KhachHang[],COUNTA(Table_KhachHang[[#Headers],[Mã khách]:[Phân khúc]]),0)</f>
        <v>B2C</v>
      </c>
      <c r="CA237" s="25" t="str">
        <f xml:space="preserve">
IFERROR(VLOOKUP(Table_Main[[#This Row],[Đơn bán]],Table_DonBan[],COUNTA(Table_DonBan[[#Headers],[Mã đơn bán]:[Mã NV]]),0),0)</f>
        <v>NV02</v>
      </c>
      <c r="CB237" s="7" t="str">
        <f xml:space="preserve">
IFERROR(VLOOKUP(Table_Main[[#This Row],[Đơn bán]],Table_DonBan[],COUNTA(Table_DonBan[[#Headers],[Mã đơn bán]:[Kênh]]),0),0)</f>
        <v>TK</v>
      </c>
      <c r="CC237" s="7" t="str">
        <f>VLOOKUP(Table_Main[[#This Row],[Kênh]],Table_Kenh[],COUNTA(Table_Kenh[[#Headers],[Kênh]:[Nhóm Kênh]]),0)</f>
        <v>Sàn TMĐT</v>
      </c>
      <c r="CD237" s="53">
        <v>50</v>
      </c>
      <c r="CE237" s="7" t="str">
        <f>IFERROR(VLOOKUP(Table_Main[[#This Row],[Mã SKU]],Table_SKU[[Mã Sản phẩm]:[Giá bán]],COUNTA(Table_SKU[[#Headers],[Mã Sản phẩm]:[Đơn vị]]),0),0)</f>
        <v>Bộ</v>
      </c>
      <c r="CF237" s="7">
        <f>IFERROR(VLOOKUP(Table_Main[[#This Row],[Mã SKU]],Table_SKU[[Mã Sản phẩm]:[Giá bán]],COUNTA(Table_SKU[[#Headers],[Mã Sản phẩm]:[Giá bán]]),0),0)</f>
        <v>500000</v>
      </c>
      <c r="CG237" s="7">
        <f>Table_Main[[#This Row],[Giá bán]]*Table_Main[[#This Row],[Số lượng]]</f>
        <v>25000000</v>
      </c>
      <c r="CH237" s="60">
        <v>0</v>
      </c>
      <c r="CI237" s="7">
        <f>+Table_Main[[#This Row],[Thành tiền niêm yết]]-Table_Main[[#This Row],[Khuyễn mãi]]</f>
        <v>25000000</v>
      </c>
      <c r="CJ237" s="7" cm="1">
        <f t="array" ref="CJ237">VLOOKUP(Table_Main[[#This Row],[Đơn bán]],Table_DonBan[],COUNTA(Table_DonBan[[#Headers],[Mã đơn bán]:[Khuyễn mãi]]),0)*Table_Main[[#This Row],[Giá trị bán trước VAT]]/
SUM(_xlfn._xlws.FILTER(Table_Main[Giá trị bán trước VAT],
(Table_Main[Đơn bán]=Table_Main[[#This Row],[Đơn bán]])
))</f>
        <v>0</v>
      </c>
      <c r="CK237" s="7">
        <f>Table_Main[[#This Row],[Giá trị bán trước VAT]]-Table_Main[[#This Row],[Phân bổ khuyến mãi đơn]]</f>
        <v>25000000</v>
      </c>
      <c r="CL237"/>
      <c r="CM237"/>
    </row>
    <row r="238" spans="33:91" ht="16.5" x14ac:dyDescent="0.3">
      <c r="AG238"/>
      <c r="AH238"/>
      <c r="AI238"/>
      <c r="BT238" s="49" t="s">
        <v>59</v>
      </c>
      <c r="BU238" s="50" t="s">
        <v>97</v>
      </c>
      <c r="BV238" s="6">
        <f xml:space="preserve">
IFERROR(VLOOKUP(Table_Main[[#This Row],[Đơn bán]],Table_DonBan[],COUNTA(Table_DonBan[[#Headers],[Mã đơn bán]:[Ngày lập]]),0),0)</f>
        <v>44941</v>
      </c>
      <c r="BW238" s="51">
        <f>IFERROR(MONTH(Table_Main[[#This Row],[Ngày lên đơn]]),0)</f>
        <v>1</v>
      </c>
      <c r="BX238" s="51" t="str">
        <f>INDEX(Table_SKU[],
MATCH(Table_Main[[#This Row],[Mã SKU]],Table_SKU[Mã Sản phẩm],0),1)</f>
        <v>Nhóm 1</v>
      </c>
      <c r="BY238" s="52" t="str">
        <f xml:space="preserve">
IFERROR(VLOOKUP(Table_Main[[#This Row],[Đơn bán]],Table_DonBan[],COUNTA(Table_DonBan[[#Headers],[Mã đơn bán]:[Mã Khách]]),0),0)</f>
        <v>KH02</v>
      </c>
      <c r="BZ238" s="52" t="str">
        <f>VLOOKUP(Table_Main[[#This Row],[Khách hàng]],Table_KhachHang[],COUNTA(Table_KhachHang[[#Headers],[Mã khách]:[Phân khúc]]),0)</f>
        <v>B2C</v>
      </c>
      <c r="CA238" s="25" t="str">
        <f xml:space="preserve">
IFERROR(VLOOKUP(Table_Main[[#This Row],[Đơn bán]],Table_DonBan[],COUNTA(Table_DonBan[[#Headers],[Mã đơn bán]:[Mã NV]]),0),0)</f>
        <v>NV02</v>
      </c>
      <c r="CB238" s="7" t="str">
        <f xml:space="preserve">
IFERROR(VLOOKUP(Table_Main[[#This Row],[Đơn bán]],Table_DonBan[],COUNTA(Table_DonBan[[#Headers],[Mã đơn bán]:[Kênh]]),0),0)</f>
        <v>ST</v>
      </c>
      <c r="CC238" s="7" t="str">
        <f>VLOOKUP(Table_Main[[#This Row],[Kênh]],Table_Kenh[],COUNTA(Table_Kenh[[#Headers],[Kênh]:[Nhóm Kênh]]),0)</f>
        <v>Offline</v>
      </c>
      <c r="CD238" s="53">
        <v>98</v>
      </c>
      <c r="CE238" s="7" t="str">
        <f>IFERROR(VLOOKUP(Table_Main[[#This Row],[Mã SKU]],Table_SKU[[Mã Sản phẩm]:[Giá bán]],COUNTA(Table_SKU[[#Headers],[Mã Sản phẩm]:[Đơn vị]]),0),0)</f>
        <v>Bộ</v>
      </c>
      <c r="CF238" s="7">
        <f>IFERROR(VLOOKUP(Table_Main[[#This Row],[Mã SKU]],Table_SKU[[Mã Sản phẩm]:[Giá bán]],COUNTA(Table_SKU[[#Headers],[Mã Sản phẩm]:[Giá bán]]),0),0)</f>
        <v>200000</v>
      </c>
      <c r="CG238" s="7">
        <f>Table_Main[[#This Row],[Giá bán]]*Table_Main[[#This Row],[Số lượng]]</f>
        <v>19600000</v>
      </c>
      <c r="CH238" s="60">
        <v>0</v>
      </c>
      <c r="CI238" s="7">
        <f>+Table_Main[[#This Row],[Thành tiền niêm yết]]-Table_Main[[#This Row],[Khuyễn mãi]]</f>
        <v>19600000</v>
      </c>
      <c r="CJ238" s="7" cm="1">
        <f t="array" ref="CJ238">VLOOKUP(Table_Main[[#This Row],[Đơn bán]],Table_DonBan[],COUNTA(Table_DonBan[[#Headers],[Mã đơn bán]:[Khuyễn mãi]]),0)*Table_Main[[#This Row],[Giá trị bán trước VAT]]/
SUM(_xlfn._xlws.FILTER(Table_Main[Giá trị bán trước VAT],
(Table_Main[Đơn bán]=Table_Main[[#This Row],[Đơn bán]])
))</f>
        <v>0</v>
      </c>
      <c r="CK238" s="7">
        <f>Table_Main[[#This Row],[Giá trị bán trước VAT]]-Table_Main[[#This Row],[Phân bổ khuyến mãi đơn]]</f>
        <v>19600000</v>
      </c>
      <c r="CL238"/>
      <c r="CM238"/>
    </row>
    <row r="239" spans="33:91" ht="16.5" x14ac:dyDescent="0.3">
      <c r="AG239"/>
      <c r="AH239"/>
      <c r="AI239"/>
      <c r="BT239" s="49" t="s">
        <v>60</v>
      </c>
      <c r="BU239" s="50" t="s">
        <v>97</v>
      </c>
      <c r="BV239" s="6">
        <f xml:space="preserve">
IFERROR(VLOOKUP(Table_Main[[#This Row],[Đơn bán]],Table_DonBan[],COUNTA(Table_DonBan[[#Headers],[Mã đơn bán]:[Ngày lập]]),0),0)</f>
        <v>44941</v>
      </c>
      <c r="BW239" s="51">
        <f>IFERROR(MONTH(Table_Main[[#This Row],[Ngày lên đơn]]),0)</f>
        <v>1</v>
      </c>
      <c r="BX239" s="51" t="str">
        <f>INDEX(Table_SKU[],
MATCH(Table_Main[[#This Row],[Mã SKU]],Table_SKU[Mã Sản phẩm],0),1)</f>
        <v>Nhóm 2</v>
      </c>
      <c r="BY239" s="52" t="str">
        <f xml:space="preserve">
IFERROR(VLOOKUP(Table_Main[[#This Row],[Đơn bán]],Table_DonBan[],COUNTA(Table_DonBan[[#Headers],[Mã đơn bán]:[Mã Khách]]),0),0)</f>
        <v>KH02</v>
      </c>
      <c r="BZ239" s="52" t="str">
        <f>VLOOKUP(Table_Main[[#This Row],[Khách hàng]],Table_KhachHang[],COUNTA(Table_KhachHang[[#Headers],[Mã khách]:[Phân khúc]]),0)</f>
        <v>B2C</v>
      </c>
      <c r="CA239" s="25" t="str">
        <f xml:space="preserve">
IFERROR(VLOOKUP(Table_Main[[#This Row],[Đơn bán]],Table_DonBan[],COUNTA(Table_DonBan[[#Headers],[Mã đơn bán]:[Mã NV]]),0),0)</f>
        <v>NV02</v>
      </c>
      <c r="CB239" s="7" t="str">
        <f xml:space="preserve">
IFERROR(VLOOKUP(Table_Main[[#This Row],[Đơn bán]],Table_DonBan[],COUNTA(Table_DonBan[[#Headers],[Mã đơn bán]:[Kênh]]),0),0)</f>
        <v>ST</v>
      </c>
      <c r="CC239" s="7" t="str">
        <f>VLOOKUP(Table_Main[[#This Row],[Kênh]],Table_Kenh[],COUNTA(Table_Kenh[[#Headers],[Kênh]:[Nhóm Kênh]]),0)</f>
        <v>Offline</v>
      </c>
      <c r="CD239" s="53">
        <v>82</v>
      </c>
      <c r="CE239" s="7" t="str">
        <f>IFERROR(VLOOKUP(Table_Main[[#This Row],[Mã SKU]],Table_SKU[[Mã Sản phẩm]:[Giá bán]],COUNTA(Table_SKU[[#Headers],[Mã Sản phẩm]:[Đơn vị]]),0),0)</f>
        <v>Bộ</v>
      </c>
      <c r="CF239" s="7">
        <f>IFERROR(VLOOKUP(Table_Main[[#This Row],[Mã SKU]],Table_SKU[[Mã Sản phẩm]:[Giá bán]],COUNTA(Table_SKU[[#Headers],[Mã Sản phẩm]:[Giá bán]]),0),0)</f>
        <v>300000</v>
      </c>
      <c r="CG239" s="7">
        <f>Table_Main[[#This Row],[Giá bán]]*Table_Main[[#This Row],[Số lượng]]</f>
        <v>24600000</v>
      </c>
      <c r="CH239" s="60">
        <v>0</v>
      </c>
      <c r="CI239" s="7">
        <f>+Table_Main[[#This Row],[Thành tiền niêm yết]]-Table_Main[[#This Row],[Khuyễn mãi]]</f>
        <v>24600000</v>
      </c>
      <c r="CJ239" s="7" cm="1">
        <f t="array" ref="CJ239">VLOOKUP(Table_Main[[#This Row],[Đơn bán]],Table_DonBan[],COUNTA(Table_DonBan[[#Headers],[Mã đơn bán]:[Khuyễn mãi]]),0)*Table_Main[[#This Row],[Giá trị bán trước VAT]]/
SUM(_xlfn._xlws.FILTER(Table_Main[Giá trị bán trước VAT],
(Table_Main[Đơn bán]=Table_Main[[#This Row],[Đơn bán]])
))</f>
        <v>0</v>
      </c>
      <c r="CK239" s="7">
        <f>Table_Main[[#This Row],[Giá trị bán trước VAT]]-Table_Main[[#This Row],[Phân bổ khuyến mãi đơn]]</f>
        <v>24600000</v>
      </c>
      <c r="CL239"/>
      <c r="CM239"/>
    </row>
    <row r="240" spans="33:91" ht="16.5" x14ac:dyDescent="0.3">
      <c r="AG240"/>
      <c r="AH240"/>
      <c r="AI240"/>
      <c r="BT240" s="49" t="s">
        <v>61</v>
      </c>
      <c r="BU240" s="50" t="s">
        <v>97</v>
      </c>
      <c r="BV240" s="6">
        <f xml:space="preserve">
IFERROR(VLOOKUP(Table_Main[[#This Row],[Đơn bán]],Table_DonBan[],COUNTA(Table_DonBan[[#Headers],[Mã đơn bán]:[Ngày lập]]),0),0)</f>
        <v>44941</v>
      </c>
      <c r="BW240" s="51">
        <f>IFERROR(MONTH(Table_Main[[#This Row],[Ngày lên đơn]]),0)</f>
        <v>1</v>
      </c>
      <c r="BX240" s="51" t="str">
        <f>INDEX(Table_SKU[],
MATCH(Table_Main[[#This Row],[Mã SKU]],Table_SKU[Mã Sản phẩm],0),1)</f>
        <v>Nhóm 3</v>
      </c>
      <c r="BY240" s="52" t="str">
        <f xml:space="preserve">
IFERROR(VLOOKUP(Table_Main[[#This Row],[Đơn bán]],Table_DonBan[],COUNTA(Table_DonBan[[#Headers],[Mã đơn bán]:[Mã Khách]]),0),0)</f>
        <v>KH02</v>
      </c>
      <c r="BZ240" s="52" t="str">
        <f>VLOOKUP(Table_Main[[#This Row],[Khách hàng]],Table_KhachHang[],COUNTA(Table_KhachHang[[#Headers],[Mã khách]:[Phân khúc]]),0)</f>
        <v>B2C</v>
      </c>
      <c r="CA240" s="25" t="str">
        <f xml:space="preserve">
IFERROR(VLOOKUP(Table_Main[[#This Row],[Đơn bán]],Table_DonBan[],COUNTA(Table_DonBan[[#Headers],[Mã đơn bán]:[Mã NV]]),0),0)</f>
        <v>NV02</v>
      </c>
      <c r="CB240" s="7" t="str">
        <f xml:space="preserve">
IFERROR(VLOOKUP(Table_Main[[#This Row],[Đơn bán]],Table_DonBan[],COUNTA(Table_DonBan[[#Headers],[Mã đơn bán]:[Kênh]]),0),0)</f>
        <v>ST</v>
      </c>
      <c r="CC240" s="7" t="str">
        <f>VLOOKUP(Table_Main[[#This Row],[Kênh]],Table_Kenh[],COUNTA(Table_Kenh[[#Headers],[Kênh]:[Nhóm Kênh]]),0)</f>
        <v>Offline</v>
      </c>
      <c r="CD240" s="53">
        <v>51</v>
      </c>
      <c r="CE240" s="7" t="str">
        <f>IFERROR(VLOOKUP(Table_Main[[#This Row],[Mã SKU]],Table_SKU[[Mã Sản phẩm]:[Giá bán]],COUNTA(Table_SKU[[#Headers],[Mã Sản phẩm]:[Đơn vị]]),0),0)</f>
        <v>Bộ</v>
      </c>
      <c r="CF240" s="7">
        <f>IFERROR(VLOOKUP(Table_Main[[#This Row],[Mã SKU]],Table_SKU[[Mã Sản phẩm]:[Giá bán]],COUNTA(Table_SKU[[#Headers],[Mã Sản phẩm]:[Giá bán]]),0),0)</f>
        <v>500000</v>
      </c>
      <c r="CG240" s="7">
        <f>Table_Main[[#This Row],[Giá bán]]*Table_Main[[#This Row],[Số lượng]]</f>
        <v>25500000</v>
      </c>
      <c r="CH240" s="60">
        <v>0</v>
      </c>
      <c r="CI240" s="7">
        <f>+Table_Main[[#This Row],[Thành tiền niêm yết]]-Table_Main[[#This Row],[Khuyễn mãi]]</f>
        <v>25500000</v>
      </c>
      <c r="CJ240" s="7" cm="1">
        <f t="array" ref="CJ240">VLOOKUP(Table_Main[[#This Row],[Đơn bán]],Table_DonBan[],COUNTA(Table_DonBan[[#Headers],[Mã đơn bán]:[Khuyễn mãi]]),0)*Table_Main[[#This Row],[Giá trị bán trước VAT]]/
SUM(_xlfn._xlws.FILTER(Table_Main[Giá trị bán trước VAT],
(Table_Main[Đơn bán]=Table_Main[[#This Row],[Đơn bán]])
))</f>
        <v>0</v>
      </c>
      <c r="CK240" s="7">
        <f>Table_Main[[#This Row],[Giá trị bán trước VAT]]-Table_Main[[#This Row],[Phân bổ khuyến mãi đơn]]</f>
        <v>25500000</v>
      </c>
      <c r="CL240"/>
      <c r="CM240"/>
    </row>
    <row r="241" spans="33:91" ht="16.5" x14ac:dyDescent="0.3">
      <c r="AG241"/>
      <c r="AH241"/>
      <c r="AI241"/>
      <c r="BT241" s="66" t="s">
        <v>59</v>
      </c>
      <c r="BU241" s="42" t="s">
        <v>96</v>
      </c>
      <c r="BV241" s="6">
        <f xml:space="preserve">
IFERROR(VLOOKUP(Table_Main[[#This Row],[Đơn bán]],Table_DonBan[],COUNTA(Table_DonBan[[#Headers],[Mã đơn bán]:[Ngày lập]]),0),0)</f>
        <v>44931</v>
      </c>
      <c r="BW241" s="10">
        <f>IFERROR(MONTH(Table_Main[[#This Row],[Ngày lên đơn]]),0)</f>
        <v>1</v>
      </c>
      <c r="BX241" s="10" t="str">
        <f>INDEX(Table_SKU[],
MATCH(Table_Main[[#This Row],[Mã SKU]],Table_SKU[Mã Sản phẩm],0),1)</f>
        <v>Nhóm 1</v>
      </c>
      <c r="BY241" s="4" t="str">
        <f xml:space="preserve">
IFERROR(VLOOKUP(Table_Main[[#This Row],[Đơn bán]],Table_DonBan[],COUNTA(Table_DonBan[[#Headers],[Mã đơn bán]:[Mã Khách]]),0),0)</f>
        <v>KH01</v>
      </c>
      <c r="BZ241" s="51" t="str">
        <f>VLOOKUP(Table_Main[[#This Row],[Khách hàng]],Table_KhachHang[],COUNTA(Table_KhachHang[[#Headers],[Mã khách]:[Phân khúc]]),0)</f>
        <v>B2B</v>
      </c>
      <c r="CA241" s="25" t="str">
        <f xml:space="preserve">
IFERROR(VLOOKUP(Table_Main[[#This Row],[Đơn bán]],Table_DonBan[],COUNTA(Table_DonBan[[#Headers],[Mã đơn bán]:[Mã NV]]),0),0)</f>
        <v>NV03</v>
      </c>
      <c r="CB241" s="7" t="str">
        <f xml:space="preserve">
IFERROR(VLOOKUP(Table_Main[[#This Row],[Đơn bán]],Table_DonBan[],COUNTA(Table_DonBan[[#Headers],[Mã đơn bán]:[Kênh]]),0),0)</f>
        <v>ST</v>
      </c>
      <c r="CC241" s="7" t="str">
        <f>VLOOKUP(Table_Main[[#This Row],[Kênh]],Table_Kenh[],COUNTA(Table_Kenh[[#Headers],[Kênh]:[Nhóm Kênh]]),0)</f>
        <v>Offline</v>
      </c>
      <c r="CD241" s="53">
        <v>100</v>
      </c>
      <c r="CE241" s="7" t="str">
        <f>IFERROR(VLOOKUP(Table_Main[[#This Row],[Mã SKU]],Table_SKU[[Mã Sản phẩm]:[Giá bán]],COUNTA(Table_SKU[[#Headers],[Mã Sản phẩm]:[Đơn vị]]),0),0)</f>
        <v>Bộ</v>
      </c>
      <c r="CF241" s="7">
        <f>IFERROR(VLOOKUP(Table_Main[[#This Row],[Mã SKU]],Table_SKU[[Mã Sản phẩm]:[Giá bán]],COUNTA(Table_SKU[[#Headers],[Mã Sản phẩm]:[Giá bán]]),0),0)</f>
        <v>200000</v>
      </c>
      <c r="CG241" s="7">
        <f>Table_Main[[#This Row],[Giá bán]]*Table_Main[[#This Row],[Số lượng]]</f>
        <v>20000000</v>
      </c>
      <c r="CH241" s="47">
        <v>0</v>
      </c>
      <c r="CI241" s="7">
        <f>+Table_Main[[#This Row],[Thành tiền niêm yết]]-Table_Main[[#This Row],[Khuyễn mãi]]</f>
        <v>20000000</v>
      </c>
      <c r="CJ241" s="7" cm="1">
        <f t="array" ref="CJ241">VLOOKUP(Table_Main[[#This Row],[Đơn bán]],Table_DonBan[],COUNTA(Table_DonBan[[#Headers],[Mã đơn bán]:[Khuyễn mãi]]),0)*Table_Main[[#This Row],[Giá trị bán trước VAT]]/
SUM(_xlfn._xlws.FILTER(Table_Main[Giá trị bán trước VAT],
(Table_Main[Đơn bán]=Table_Main[[#This Row],[Đơn bán]])
))</f>
        <v>0</v>
      </c>
      <c r="CK241" s="7">
        <f>Table_Main[[#This Row],[Giá trị bán trước VAT]]-Table_Main[[#This Row],[Phân bổ khuyến mãi đơn]]</f>
        <v>20000000</v>
      </c>
      <c r="CL241"/>
      <c r="CM241"/>
    </row>
    <row r="242" spans="33:91" ht="16.5" x14ac:dyDescent="0.3">
      <c r="AG242"/>
      <c r="AH242"/>
      <c r="AI242"/>
      <c r="BT242" s="49" t="s">
        <v>60</v>
      </c>
      <c r="BU242" s="50" t="s">
        <v>96</v>
      </c>
      <c r="BV242" s="6">
        <f xml:space="preserve">
IFERROR(VLOOKUP(Table_Main[[#This Row],[Đơn bán]],Table_DonBan[],COUNTA(Table_DonBan[[#Headers],[Mã đơn bán]:[Ngày lập]]),0),0)</f>
        <v>44931</v>
      </c>
      <c r="BW242" s="51">
        <f>IFERROR(MONTH(Table_Main[[#This Row],[Ngày lên đơn]]),0)</f>
        <v>1</v>
      </c>
      <c r="BX242" s="51" t="str">
        <f>INDEX(Table_SKU[],
MATCH(Table_Main[[#This Row],[Mã SKU]],Table_SKU[Mã Sản phẩm],0),1)</f>
        <v>Nhóm 2</v>
      </c>
      <c r="BY242" s="52" t="str">
        <f xml:space="preserve">
IFERROR(VLOOKUP(Table_Main[[#This Row],[Đơn bán]],Table_DonBan[],COUNTA(Table_DonBan[[#Headers],[Mã đơn bán]:[Mã Khách]]),0),0)</f>
        <v>KH01</v>
      </c>
      <c r="BZ242" s="52" t="str">
        <f>VLOOKUP(Table_Main[[#This Row],[Khách hàng]],Table_KhachHang[],COUNTA(Table_KhachHang[[#Headers],[Mã khách]:[Phân khúc]]),0)</f>
        <v>B2B</v>
      </c>
      <c r="CA242" s="25" t="str">
        <f xml:space="preserve">
IFERROR(VLOOKUP(Table_Main[[#This Row],[Đơn bán]],Table_DonBan[],COUNTA(Table_DonBan[[#Headers],[Mã đơn bán]:[Mã NV]]),0),0)</f>
        <v>NV03</v>
      </c>
      <c r="CB242" s="7" t="str">
        <f xml:space="preserve">
IFERROR(VLOOKUP(Table_Main[[#This Row],[Đơn bán]],Table_DonBan[],COUNTA(Table_DonBan[[#Headers],[Mã đơn bán]:[Kênh]]),0),0)</f>
        <v>ST</v>
      </c>
      <c r="CC242" s="7" t="str">
        <f>VLOOKUP(Table_Main[[#This Row],[Kênh]],Table_Kenh[],COUNTA(Table_Kenh[[#Headers],[Kênh]:[Nhóm Kênh]]),0)</f>
        <v>Offline</v>
      </c>
      <c r="CD242" s="53">
        <v>80</v>
      </c>
      <c r="CE242" s="7" t="str">
        <f>IFERROR(VLOOKUP(Table_Main[[#This Row],[Mã SKU]],Table_SKU[[Mã Sản phẩm]:[Giá bán]],COUNTA(Table_SKU[[#Headers],[Mã Sản phẩm]:[Đơn vị]]),0),0)</f>
        <v>Bộ</v>
      </c>
      <c r="CF242" s="7">
        <f>IFERROR(VLOOKUP(Table_Main[[#This Row],[Mã SKU]],Table_SKU[[Mã Sản phẩm]:[Giá bán]],COUNTA(Table_SKU[[#Headers],[Mã Sản phẩm]:[Giá bán]]),0),0)</f>
        <v>300000</v>
      </c>
      <c r="CG242" s="7">
        <f>Table_Main[[#This Row],[Giá bán]]*Table_Main[[#This Row],[Số lượng]]</f>
        <v>24000000</v>
      </c>
      <c r="CH242" s="60">
        <v>0</v>
      </c>
      <c r="CI242" s="7">
        <f>+Table_Main[[#This Row],[Thành tiền niêm yết]]-Table_Main[[#This Row],[Khuyễn mãi]]</f>
        <v>24000000</v>
      </c>
      <c r="CJ242" s="7" cm="1">
        <f t="array" ref="CJ242">VLOOKUP(Table_Main[[#This Row],[Đơn bán]],Table_DonBan[],COUNTA(Table_DonBan[[#Headers],[Mã đơn bán]:[Khuyễn mãi]]),0)*Table_Main[[#This Row],[Giá trị bán trước VAT]]/
SUM(_xlfn._xlws.FILTER(Table_Main[Giá trị bán trước VAT],
(Table_Main[Đơn bán]=Table_Main[[#This Row],[Đơn bán]])
))</f>
        <v>0</v>
      </c>
      <c r="CK242" s="7">
        <f>Table_Main[[#This Row],[Giá trị bán trước VAT]]-Table_Main[[#This Row],[Phân bổ khuyến mãi đơn]]</f>
        <v>24000000</v>
      </c>
      <c r="CL242"/>
      <c r="CM242"/>
    </row>
    <row r="243" spans="33:91" ht="16.5" x14ac:dyDescent="0.3">
      <c r="AG243"/>
      <c r="AH243"/>
      <c r="AI243"/>
      <c r="BT243" s="54" t="s">
        <v>61</v>
      </c>
      <c r="BU243" s="55" t="s">
        <v>96</v>
      </c>
      <c r="BV243" s="56">
        <f xml:space="preserve">
IFERROR(VLOOKUP(Table_Main[[#This Row],[Đơn bán]],Table_DonBan[],COUNTA(Table_DonBan[[#Headers],[Mã đơn bán]:[Ngày lập]]),0),0)</f>
        <v>44931</v>
      </c>
      <c r="BW243" s="51">
        <f>IFERROR(MONTH(Table_Main[[#This Row],[Ngày lên đơn]]),0)</f>
        <v>1</v>
      </c>
      <c r="BX243" s="51" t="str">
        <f>INDEX(Table_SKU[],
MATCH(Table_Main[[#This Row],[Mã SKU]],Table_SKU[Mã Sản phẩm],0),1)</f>
        <v>Nhóm 3</v>
      </c>
      <c r="BY243" s="52" t="str">
        <f xml:space="preserve">
IFERROR(VLOOKUP(Table_Main[[#This Row],[Đơn bán]],Table_DonBan[],COUNTA(Table_DonBan[[#Headers],[Mã đơn bán]:[Mã Khách]]),0),0)</f>
        <v>KH01</v>
      </c>
      <c r="BZ243" s="52" t="str">
        <f>VLOOKUP(Table_Main[[#This Row],[Khách hàng]],Table_KhachHang[],COUNTA(Table_KhachHang[[#Headers],[Mã khách]:[Phân khúc]]),0)</f>
        <v>B2B</v>
      </c>
      <c r="CA243" s="57" t="str">
        <f xml:space="preserve">
IFERROR(VLOOKUP(Table_Main[[#This Row],[Đơn bán]],Table_DonBan[],COUNTA(Table_DonBan[[#Headers],[Mã đơn bán]:[Mã NV]]),0),0)</f>
        <v>NV03</v>
      </c>
      <c r="CB243" s="58" t="str">
        <f xml:space="preserve">
IFERROR(VLOOKUP(Table_Main[[#This Row],[Đơn bán]],Table_DonBan[],COUNTA(Table_DonBan[[#Headers],[Mã đơn bán]:[Kênh]]),0),0)</f>
        <v>ST</v>
      </c>
      <c r="CC243" s="58" t="str">
        <f>VLOOKUP(Table_Main[[#This Row],[Kênh]],Table_Kenh[],COUNTA(Table_Kenh[[#Headers],[Kênh]:[Nhóm Kênh]]),0)</f>
        <v>Offline</v>
      </c>
      <c r="CD243" s="59">
        <v>50</v>
      </c>
      <c r="CE243" s="58" t="str">
        <f>IFERROR(VLOOKUP(Table_Main[[#This Row],[Mã SKU]],Table_SKU[[Mã Sản phẩm]:[Giá bán]],COUNTA(Table_SKU[[#Headers],[Mã Sản phẩm]:[Đơn vị]]),0),0)</f>
        <v>Bộ</v>
      </c>
      <c r="CF243" s="58">
        <f>IFERROR(VLOOKUP(Table_Main[[#This Row],[Mã SKU]],Table_SKU[[Mã Sản phẩm]:[Giá bán]],COUNTA(Table_SKU[[#Headers],[Mã Sản phẩm]:[Giá bán]]),0),0)</f>
        <v>500000</v>
      </c>
      <c r="CG243" s="58">
        <f>Table_Main[[#This Row],[Giá bán]]*Table_Main[[#This Row],[Số lượng]]</f>
        <v>25000000</v>
      </c>
      <c r="CH243" s="61">
        <v>0</v>
      </c>
      <c r="CI243" s="58">
        <f>+Table_Main[[#This Row],[Thành tiền niêm yết]]-Table_Main[[#This Row],[Khuyễn mãi]]</f>
        <v>25000000</v>
      </c>
      <c r="CJ243" s="58" cm="1">
        <f t="array" ref="CJ243">VLOOKUP(Table_Main[[#This Row],[Đơn bán]],Table_DonBan[],COUNTA(Table_DonBan[[#Headers],[Mã đơn bán]:[Khuyễn mãi]]),0)*Table_Main[[#This Row],[Giá trị bán trước VAT]]/
SUM(_xlfn._xlws.FILTER(Table_Main[Giá trị bán trước VAT],
(Table_Main[Đơn bán]=Table_Main[[#This Row],[Đơn bán]])
))</f>
        <v>0</v>
      </c>
      <c r="CK243" s="58">
        <f>Table_Main[[#This Row],[Giá trị bán trước VAT]]-Table_Main[[#This Row],[Phân bổ khuyến mãi đơn]]</f>
        <v>25000000</v>
      </c>
      <c r="CL243"/>
      <c r="CM243"/>
    </row>
    <row r="244" spans="33:91" ht="16.5" x14ac:dyDescent="0.3">
      <c r="AG244"/>
      <c r="AH244"/>
      <c r="AI244"/>
      <c r="CL244"/>
      <c r="CM244"/>
    </row>
    <row r="245" spans="33:91" ht="16.5" x14ac:dyDescent="0.3">
      <c r="AG245"/>
      <c r="AH245"/>
      <c r="AI245"/>
      <c r="CL245"/>
      <c r="CM245"/>
    </row>
    <row r="246" spans="33:91" ht="16.5" x14ac:dyDescent="0.3">
      <c r="AG246"/>
      <c r="AH246"/>
      <c r="AI246"/>
      <c r="CL246"/>
      <c r="CM246"/>
    </row>
    <row r="247" spans="33:91" ht="16.5" x14ac:dyDescent="0.3">
      <c r="AG247"/>
      <c r="AH247"/>
      <c r="AI247"/>
      <c r="CL247"/>
      <c r="CM247"/>
    </row>
    <row r="248" spans="33:91" ht="16.5" x14ac:dyDescent="0.3">
      <c r="AG248"/>
      <c r="AH248"/>
      <c r="AI248"/>
      <c r="CL248"/>
      <c r="CM248"/>
    </row>
    <row r="249" spans="33:91" ht="16.5" x14ac:dyDescent="0.3">
      <c r="AG249"/>
      <c r="AH249"/>
      <c r="AI249"/>
      <c r="CL249"/>
      <c r="CM249"/>
    </row>
    <row r="250" spans="33:91" ht="16.5" x14ac:dyDescent="0.3">
      <c r="AG250"/>
      <c r="AH250"/>
      <c r="AI250"/>
    </row>
    <row r="251" spans="33:91" ht="16.5" x14ac:dyDescent="0.3">
      <c r="AG251"/>
      <c r="AH251"/>
      <c r="AI251"/>
    </row>
  </sheetData>
  <sheetProtection algorithmName="SHA-512" hashValue="AD3Noela2CYljzx/FUhogkK+/UOT88XdqkScftYLqlZh8o7hxefmn1zhId1y6OfqcWjXhtcW110XZCWCSWlmlg==" saltValue="xONueiM4m3FWlWCuNjDuMA==" spinCount="100000" sheet="1" scenarios="1" formatColumns="0" formatRows="0" autoFilter="0" pivotTables="0"/>
  <protectedRanges>
    <protectedRange sqref="AP32:AT32 AO1:AW1 CN34:XFD249 BF31:BG31 BF39:BG1048576 BE31:BE1048576 BH31:BH1048576 BS31:BS1048576 BI38:BI1048576 BI31 CG35:CI1048576 CL32:XFD33 BK32:BK33 BK34:BR1048576 BK31:BR31 BJ31:BJ1048576 AP36:AW1048576 BT31:XFD31 CL250:XFD1048576 CJ35:CK243 AY40:BD1048576 AV32:AW32 BT34:BX1048576 CG34:CK34 CA34:CE1048576 D1:E25 D34:E1048576 A1:A1048576 BE1:XFD30 AX1:AX1048576 AO2:AO1048576 R1:U25 R34:U1048576 F1:Q1048576 AJ1:AJ1048576 V1:AF1048576 AM1:AN1048576" name="Range1"/>
    <protectedRange sqref="AY32:BD32 AU32" name="Range1_1"/>
    <protectedRange sqref="BF32:BG32" name="Range1_2"/>
    <protectedRange sqref="BI32" name="Range1_2_1"/>
    <protectedRange sqref="BP33:BR33 BL32:BR32 CH32" name="Range1_3"/>
    <protectedRange sqref="BR32" name="Range1_3_1"/>
    <protectedRange sqref="BL33:BO33" name="Range1_4"/>
    <protectedRange sqref="BU33:CC33 BT32:CA32 CD32:CG32 CI32 CE33:CI33 CJ32:CK33" name="Range1_5"/>
    <protectedRange sqref="BT33" name="Range1_4_1"/>
    <protectedRange sqref="CD33" name="Range1_8"/>
    <protectedRange sqref="CB32:CC32" name="Range1_6_1"/>
    <protectedRange sqref="AP33:AP35" name="Range1_6"/>
    <protectedRange sqref="AQ33:AQ35" name="Range1_7"/>
    <protectedRange sqref="AR33:AS35" name="Range1_9"/>
    <protectedRange sqref="AT33:AW35" name="Range1_10"/>
    <protectedRange sqref="AY33:AY39" name="Range1_11"/>
    <protectedRange sqref="AZ33:BD39" name="Range1_12"/>
    <protectedRange sqref="BF33:BF38" name="Range1_13"/>
    <protectedRange sqref="BG33:BG38" name="Range1_14"/>
    <protectedRange sqref="BI33" name="Range1_2_2"/>
  </protectedRanges>
  <phoneticPr fontId="7" type="noConversion"/>
  <conditionalFormatting sqref="AY33:AY39">
    <cfRule type="duplicateValues" dxfId="60" priority="7"/>
  </conditionalFormatting>
  <conditionalFormatting sqref="BI33:BI37">
    <cfRule type="duplicateValues" dxfId="59" priority="6"/>
  </conditionalFormatting>
  <dataValidations count="7">
    <dataValidation type="list" allowBlank="1" showInputMessage="1" sqref="BO33:BO104" xr:uid="{9B440006-E58C-4244-B011-62DC0F82B99F}">
      <formula1>MaKenh</formula1>
    </dataValidation>
    <dataValidation type="list" allowBlank="1" showInputMessage="1" sqref="BN33:BN104" xr:uid="{6C62CF4A-0114-49D1-9D9F-3C2D8CA9D9CC}">
      <formula1>MaNhanVien</formula1>
    </dataValidation>
    <dataValidation type="list" allowBlank="1" showInputMessage="1" sqref="BM33:BM104" xr:uid="{17BB0627-AD52-42A3-9704-B75907087A49}">
      <formula1>MaKhachHang</formula1>
    </dataValidation>
    <dataValidation type="list" allowBlank="1" showInputMessage="1" sqref="BU33" xr:uid="{93FA206E-0809-4DC7-8DC9-501ECB47612D}">
      <formula1>MaDonBan</formula1>
    </dataValidation>
    <dataValidation type="list" allowBlank="1" showInputMessage="1" sqref="BT33:BU33" xr:uid="{4F7D615C-D01E-4A8D-957A-04E646B9EAB5}">
      <formula1>Ma_SKU</formula1>
    </dataValidation>
    <dataValidation type="list" allowBlank="1" showInputMessage="1" showErrorMessage="1" sqref="AP33:AP35" xr:uid="{A1F4B903-7FBE-4BFF-8D67-3D840C93BA09}">
      <formula1>SKU_Nhom1</formula1>
    </dataValidation>
    <dataValidation type="list" allowBlank="1" showInputMessage="1" showErrorMessage="1" sqref="BG33:BG38" xr:uid="{7AC3789F-9ABF-4A64-B535-BA6748AE7871}">
      <formula1>$AY$3:$AY$13</formula1>
    </dataValidation>
  </dataValidations>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82952" r:id="rId8" name="Option Button 8">
              <controlPr defaultSize="0" autoFill="0" autoLine="0" autoPict="0" macro="[0]!DoiDonViHienThi">
                <anchor moveWithCells="1">
                  <from>
                    <xdr:col>64</xdr:col>
                    <xdr:colOff>552450</xdr:colOff>
                    <xdr:row>0</xdr:row>
                    <xdr:rowOff>114300</xdr:rowOff>
                  </from>
                  <to>
                    <xdr:col>65</xdr:col>
                    <xdr:colOff>457200</xdr:colOff>
                    <xdr:row>1</xdr:row>
                    <xdr:rowOff>104775</xdr:rowOff>
                  </to>
                </anchor>
              </controlPr>
            </control>
          </mc:Choice>
        </mc:AlternateContent>
        <mc:AlternateContent xmlns:mc="http://schemas.openxmlformats.org/markup-compatibility/2006">
          <mc:Choice Requires="x14">
            <control shapeId="82953" r:id="rId9" name="Option Button 9">
              <controlPr defaultSize="0" autoFill="0" autoLine="0" autoPict="0" macro="[0]!DoiDonViHienThi">
                <anchor moveWithCells="1">
                  <from>
                    <xdr:col>65</xdr:col>
                    <xdr:colOff>333375</xdr:colOff>
                    <xdr:row>0</xdr:row>
                    <xdr:rowOff>114300</xdr:rowOff>
                  </from>
                  <to>
                    <xdr:col>66</xdr:col>
                    <xdr:colOff>238125</xdr:colOff>
                    <xdr:row>1</xdr:row>
                    <xdr:rowOff>104775</xdr:rowOff>
                  </to>
                </anchor>
              </controlPr>
            </control>
          </mc:Choice>
        </mc:AlternateContent>
        <mc:AlternateContent xmlns:mc="http://schemas.openxmlformats.org/markup-compatibility/2006">
          <mc:Choice Requires="x14">
            <control shapeId="82954" r:id="rId10" name="Option Button 10">
              <controlPr defaultSize="0" autoFill="0" autoLine="0" autoPict="0" macro="[0]!DoiDonViHienThi">
                <anchor moveWithCells="1">
                  <from>
                    <xdr:col>66</xdr:col>
                    <xdr:colOff>114300</xdr:colOff>
                    <xdr:row>0</xdr:row>
                    <xdr:rowOff>114300</xdr:rowOff>
                  </from>
                  <to>
                    <xdr:col>67</xdr:col>
                    <xdr:colOff>19050</xdr:colOff>
                    <xdr:row>1</xdr:row>
                    <xdr:rowOff>104775</xdr:rowOff>
                  </to>
                </anchor>
              </controlPr>
            </control>
          </mc:Choice>
        </mc:AlternateContent>
        <mc:AlternateContent xmlns:mc="http://schemas.openxmlformats.org/markup-compatibility/2006">
          <mc:Choice Requires="x14">
            <control shapeId="82955" r:id="rId11" name="Option Button 11">
              <controlPr defaultSize="0" autoFill="0" autoLine="0" autoPict="0" macro="[0]!DoiDonViHienThi">
                <anchor moveWithCells="1">
                  <from>
                    <xdr:col>66</xdr:col>
                    <xdr:colOff>590550</xdr:colOff>
                    <xdr:row>0</xdr:row>
                    <xdr:rowOff>114300</xdr:rowOff>
                  </from>
                  <to>
                    <xdr:col>67</xdr:col>
                    <xdr:colOff>257175</xdr:colOff>
                    <xdr:row>1</xdr:row>
                    <xdr:rowOff>104775</xdr:rowOff>
                  </to>
                </anchor>
              </controlPr>
            </control>
          </mc:Choice>
        </mc:AlternateContent>
        <mc:AlternateContent xmlns:mc="http://schemas.openxmlformats.org/markup-compatibility/2006">
          <mc:Choice Requires="x14">
            <control shapeId="82956" r:id="rId12" name="Group Box 12">
              <controlPr defaultSize="0" autoFill="0" autoPict="0">
                <anchor moveWithCells="1">
                  <from>
                    <xdr:col>64</xdr:col>
                    <xdr:colOff>438150</xdr:colOff>
                    <xdr:row>0</xdr:row>
                    <xdr:rowOff>66675</xdr:rowOff>
                  </from>
                  <to>
                    <xdr:col>67</xdr:col>
                    <xdr:colOff>371475</xdr:colOff>
                    <xdr:row>1</xdr:row>
                    <xdr:rowOff>142875</xdr:rowOff>
                  </to>
                </anchor>
              </controlPr>
            </control>
          </mc:Choice>
        </mc:AlternateContent>
        <mc:AlternateContent xmlns:mc="http://schemas.openxmlformats.org/markup-compatibility/2006">
          <mc:Choice Requires="x14">
            <control shapeId="82957" r:id="rId13" name="Group Box 13">
              <controlPr defaultSize="0" autoFill="0" autoPict="0">
                <anchor moveWithCells="1">
                  <from>
                    <xdr:col>62</xdr:col>
                    <xdr:colOff>104775</xdr:colOff>
                    <xdr:row>0</xdr:row>
                    <xdr:rowOff>66675</xdr:rowOff>
                  </from>
                  <to>
                    <xdr:col>64</xdr:col>
                    <xdr:colOff>390525</xdr:colOff>
                    <xdr:row>1</xdr:row>
                    <xdr:rowOff>142875</xdr:rowOff>
                  </to>
                </anchor>
              </controlPr>
            </control>
          </mc:Choice>
        </mc:AlternateContent>
        <mc:AlternateContent xmlns:mc="http://schemas.openxmlformats.org/markup-compatibility/2006">
          <mc:Choice Requires="x14">
            <control shapeId="82958" r:id="rId14" name="Button 14">
              <controlPr defaultSize="0" autoFill="0" autoPict="0" macro="[0]!NhanNghin">
                <anchor moveWithCells="1">
                  <from>
                    <xdr:col>62</xdr:col>
                    <xdr:colOff>190500</xdr:colOff>
                    <xdr:row>0</xdr:row>
                    <xdr:rowOff>161925</xdr:rowOff>
                  </from>
                  <to>
                    <xdr:col>62</xdr:col>
                    <xdr:colOff>657225</xdr:colOff>
                    <xdr:row>1</xdr:row>
                    <xdr:rowOff>47625</xdr:rowOff>
                  </to>
                </anchor>
              </controlPr>
            </control>
          </mc:Choice>
        </mc:AlternateContent>
        <mc:AlternateContent xmlns:mc="http://schemas.openxmlformats.org/markup-compatibility/2006">
          <mc:Choice Requires="x14">
            <control shapeId="82959" r:id="rId15" name="Button 15">
              <controlPr defaultSize="0" autoFill="0" autoPict="0" macro="[0]!NhanTrieu">
                <anchor moveWithCells="1">
                  <from>
                    <xdr:col>63</xdr:col>
                    <xdr:colOff>19050</xdr:colOff>
                    <xdr:row>0</xdr:row>
                    <xdr:rowOff>161925</xdr:rowOff>
                  </from>
                  <to>
                    <xdr:col>63</xdr:col>
                    <xdr:colOff>485775</xdr:colOff>
                    <xdr:row>1</xdr:row>
                    <xdr:rowOff>47625</xdr:rowOff>
                  </to>
                </anchor>
              </controlPr>
            </control>
          </mc:Choice>
        </mc:AlternateContent>
        <mc:AlternateContent xmlns:mc="http://schemas.openxmlformats.org/markup-compatibility/2006">
          <mc:Choice Requires="x14">
            <control shapeId="82960" r:id="rId16" name="Button 16">
              <controlPr defaultSize="0" autoFill="0" autoPict="0" macro="[0]!NhanTy">
                <anchor moveWithCells="1">
                  <from>
                    <xdr:col>63</xdr:col>
                    <xdr:colOff>533400</xdr:colOff>
                    <xdr:row>0</xdr:row>
                    <xdr:rowOff>161925</xdr:rowOff>
                  </from>
                  <to>
                    <xdr:col>64</xdr:col>
                    <xdr:colOff>314325</xdr:colOff>
                    <xdr:row>1</xdr:row>
                    <xdr:rowOff>47625</xdr:rowOff>
                  </to>
                </anchor>
              </controlPr>
            </control>
          </mc:Choice>
        </mc:AlternateContent>
        <mc:AlternateContent xmlns:mc="http://schemas.openxmlformats.org/markup-compatibility/2006">
          <mc:Choice Requires="x14">
            <control shapeId="82961" r:id="rId17" name="Button 17">
              <controlPr defaultSize="0" print="0" autoFill="0" autoPict="0" macro="[0]!AddRow">
                <anchor moveWithCells="1">
                  <from>
                    <xdr:col>67</xdr:col>
                    <xdr:colOff>523875</xdr:colOff>
                    <xdr:row>0</xdr:row>
                    <xdr:rowOff>85725</xdr:rowOff>
                  </from>
                  <to>
                    <xdr:col>68</xdr:col>
                    <xdr:colOff>257175</xdr:colOff>
                    <xdr:row>1</xdr:row>
                    <xdr:rowOff>57150</xdr:rowOff>
                  </to>
                </anchor>
              </controlPr>
            </control>
          </mc:Choice>
        </mc:AlternateContent>
        <mc:AlternateContent xmlns:mc="http://schemas.openxmlformats.org/markup-compatibility/2006">
          <mc:Choice Requires="x14">
            <control shapeId="82962" r:id="rId18" name="Button 18">
              <controlPr defaultSize="0" print="0" autoFill="0" autoPict="0" macro="[0]!DeleteRow">
                <anchor moveWithCells="1">
                  <from>
                    <xdr:col>68</xdr:col>
                    <xdr:colOff>295275</xdr:colOff>
                    <xdr:row>0</xdr:row>
                    <xdr:rowOff>85725</xdr:rowOff>
                  </from>
                  <to>
                    <xdr:col>68</xdr:col>
                    <xdr:colOff>771525</xdr:colOff>
                    <xdr:row>1</xdr:row>
                    <xdr:rowOff>57150</xdr:rowOff>
                  </to>
                </anchor>
              </controlPr>
            </control>
          </mc:Choice>
        </mc:AlternateContent>
        <mc:AlternateContent xmlns:mc="http://schemas.openxmlformats.org/markup-compatibility/2006">
          <mc:Choice Requires="x14">
            <control shapeId="82967" r:id="rId19" name="Button 23">
              <controlPr defaultSize="0" print="0" autoFill="0" autoPict="0" macro="[0]!RefreshTables">
                <anchor moveWithCells="1">
                  <from>
                    <xdr:col>85</xdr:col>
                    <xdr:colOff>66675</xdr:colOff>
                    <xdr:row>0</xdr:row>
                    <xdr:rowOff>95250</xdr:rowOff>
                  </from>
                  <to>
                    <xdr:col>85</xdr:col>
                    <xdr:colOff>685800</xdr:colOff>
                    <xdr:row>1</xdr:row>
                    <xdr:rowOff>66675</xdr:rowOff>
                  </to>
                </anchor>
              </controlPr>
            </control>
          </mc:Choice>
        </mc:AlternateContent>
      </controls>
    </mc:Choice>
  </mc:AlternateContent>
  <tableParts count="6">
    <tablePart r:id="rId20"/>
    <tablePart r:id="rId21"/>
    <tablePart r:id="rId22"/>
    <tablePart r:id="rId23"/>
    <tablePart r:id="rId24"/>
    <tablePart r:id="rId25"/>
  </tableParts>
  <extLst>
    <ext xmlns:x14="http://schemas.microsoft.com/office/spreadsheetml/2009/9/main" uri="{78C0D931-6437-407d-A8EE-F0AAD7539E65}">
      <x14:conditionalFormattings>
        <x14:conditionalFormatting xmlns:xm="http://schemas.microsoft.com/office/excel/2006/main">
          <x14:cfRule type="expression" priority="21" id="{80CC3587-C649-4B3B-8AD3-EBA65A474436}">
            <xm:f>Security!$A$1="NO VBA"</xm:f>
            <x14:dxf>
              <font>
                <color theme="0"/>
              </font>
              <border>
                <vertical/>
                <horizontal/>
              </border>
            </x14:dxf>
          </x14:cfRule>
          <xm:sqref>AO33:AX39 BE33:BH37 CL250:XFD1048576 CN34:XFD249 CF32:CI33 CL32:XFD33 BE38:BS39 BJ33:CE33 BJ34:BS37 AO40:BS1048576 CG34:CI1048576 CJ32:CK243 BT34:CE1048576 AO1:CE10 AO11:AY15 BB11:CE15 AO16:CE18 AO19:AU19 AW19:CE19 D1:E25 D34:E43 D61:E64 CF1:XFD31 AO20:CE32 A1:A1048576 R61:R64 R34:U43 R1:U25 F1:Q1048576 V1:AF1048576</xm:sqref>
        </x14:conditionalFormatting>
        <x14:conditionalFormatting xmlns:xm="http://schemas.microsoft.com/office/excel/2006/main">
          <x14:cfRule type="expression" priority="4" id="{B681608D-F368-432D-8E9E-87334A413283}">
            <xm:f>Security!$A$1="NO VBA"</xm:f>
            <x14:dxf>
              <font>
                <color theme="0"/>
              </font>
              <border>
                <vertical/>
                <horizontal/>
              </border>
            </x14:dxf>
          </x14:cfRule>
          <xm:sqref>D65:E1048576 D59:E60 D44:E44 U44 R65:U1048576</xm:sqref>
        </x14:conditionalFormatting>
        <x14:conditionalFormatting xmlns:xm="http://schemas.microsoft.com/office/excel/2006/main">
          <x14:cfRule type="expression" priority="3" id="{9B5D09A5-4EBA-4C6F-AFC9-7581BDFB1E87}">
            <xm:f>Security!$A$1="NO VBA"</xm:f>
            <x14:dxf>
              <font>
                <color theme="0"/>
              </font>
              <border>
                <vertical/>
                <horizontal/>
              </border>
            </x14:dxf>
          </x14:cfRule>
          <xm:sqref>AJ1:AJ1048576</xm:sqref>
        </x14:conditionalFormatting>
        <x14:conditionalFormatting xmlns:xm="http://schemas.microsoft.com/office/excel/2006/main">
          <x14:cfRule type="expression" priority="2" id="{D88A4D5E-620F-4378-8121-9D05A916FD8B}">
            <xm:f>Security!$A$1="NO VBA"</xm:f>
            <x14:dxf>
              <font>
                <color theme="0"/>
              </font>
              <border>
                <vertical/>
                <horizontal/>
              </border>
            </x14:dxf>
          </x14:cfRule>
          <xm:sqref>AN1:AN1048576</xm:sqref>
        </x14:conditionalFormatting>
        <x14:conditionalFormatting xmlns:xm="http://schemas.microsoft.com/office/excel/2006/main">
          <x14:cfRule type="expression" priority="1" id="{0E775BDD-FBC7-4EA8-A3CA-AB62C7EDA697}">
            <xm:f>Security!$A$1="NO VBA"</xm:f>
            <x14:dxf>
              <font>
                <color theme="0"/>
              </font>
              <border>
                <vertical/>
                <horizontal/>
              </border>
            </x14:dxf>
          </x14:cfRule>
          <xm:sqref>AM1:AM1048576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file>

<file path=customXml/item2.xml>��   
</file>

<file path=customXml/item3.xml>��   
</file>

<file path=customXml/item4.xml>��   
</file>

<file path=customXml/item5.xml>�� �n   �u   t � �n   �u   t � �  �u   t � �i   h � �  �  �u   t � �   � �n   �u   t � �n   �u   t � �  �u   t � �i   h � �  �  �u   t � �   � 
</file>

<file path=customXml/item6.xml>�� 
</file>

<file path=customXml/item7.xml>�� �c   n  �c   n  
</file>

<file path=customXml/item8.xml>�� �  l � �  l � 
</file>

<file path=customXml/item9.xml>��   
</file>

<file path=customXml/item10.xml>��   
</file>

<file path=customXml/item11.xml>��   
</file>

<file path=customXml/item12.xml>�� �  �  
</file>

<file path=customXml/item13.xml>�� �  p h � �c   n  � �� � � �  p h � �c   n  � �� � � 
</file>

<file path=customXml/item14.xml>��   
</file>

<file path=customXml/item15.xml>�� � � � �� �  l � � � � i �m   s �  d � � �n   c � � �p    � � � � i � �  d �  �  �  �  �  l ��  �  � �  l � � � � � � �� �  l � � � � i �m   s �  d � � �n   c � � �p    � � � � i � �  d �  �  �  �  �  l ��  �  � �  l � � � 
</file>

<file path=customXml/item16.xml>�� 
</file>

<file path=customXml/item17.xml>�� �� �i   t �� � �� �t   � � �  l � � �  l �� �  t � � �� �i   t �� � �� �t   � � �  l � � �  l �� �  t � � 
</file>

<file path=customXml/item18.xml>�� 
</file>

<file path=customXml/item19.xml>��   
</file>

<file path=customXml/item20.xml>�� �  �c   t � �  l � �� � � �  �c   t � �  l � �� � � 
</file>

<file path=customXml/item21.xml>�� �� �i   t �� � �� �t   � � �  l � � �  l �� �  t � � � � � i � �  d � i �m   s �  d � �� �  l � � � � � �n   c � � � � � �  l � � � � �p     �  �  �  �  l ��  �  � 
</file>

<file path=customXml/item22.xml>�� � � � � 
</file>

<file path=customXml/item23.xml>��   
</file>

<file path=customXml/itemProps1.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2.xml><?xml version="1.0" encoding="utf-8"?>
<ds:datastoreItem xmlns:ds="http://schemas.openxmlformats.org/officeDocument/2006/customXml" ds:itemID="{4BA9E5F1-90AC-490B-B178-7C8B339E1A47}">
  <ds:schemaRefs/>
</ds:datastoreItem>
</file>

<file path=customXml/itemProps3.xml><?xml version="1.0" encoding="utf-8"?>
<ds:datastoreItem xmlns:ds="http://schemas.openxmlformats.org/officeDocument/2006/customXml" ds:itemID="{0B9C3544-1C46-45A4-BEB6-1CE4D6559900}">
  <ds:schemaRefs/>
</ds:datastoreItem>
</file>

<file path=customXml/itemProps4.xml><?xml version="1.0" encoding="utf-8"?>
<ds:datastoreItem xmlns:ds="http://schemas.openxmlformats.org/officeDocument/2006/customXml" ds:itemID="{15A5E9E7-8554-4C17-8FCE-88C5899190B5}">
  <ds:schemaRefs/>
</ds:datastoreItem>
</file>

<file path=customXml/itemProps5.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6.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7.xml><?xml version="1.0" encoding="utf-8"?>
<ds:datastoreItem xmlns:ds="http://schemas.openxmlformats.org/officeDocument/2006/customXml" ds:itemID="{A6D0F6C4-9EB7-4062-86F8-715E8F5BF469}">
  <ds:schemaRefs/>
</ds:datastoreItem>
</file>

<file path=customXml/itemProps8.xml><?xml version="1.0" encoding="utf-8"?>
<ds:datastoreItem xmlns:ds="http://schemas.openxmlformats.org/officeDocument/2006/customXml" ds:itemID="{46B816B9-70DC-4C13-BDCE-0087D7E591A1}">
  <ds:schemaRefs/>
</ds:datastoreItem>
</file>

<file path=customXml/itemProps9.xml><?xml version="1.0" encoding="utf-8"?>
<ds:datastoreItem xmlns:ds="http://schemas.openxmlformats.org/officeDocument/2006/customXml" ds:itemID="{A849B9D7-188B-48DA-AB5B-54583621621D}">
  <ds:schemaRefs/>
</ds:datastoreItem>
</file>

<file path=customXml/itemProps10.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1.xml><?xml version="1.0" encoding="utf-8"?>
<ds:datastoreItem xmlns:ds="http://schemas.openxmlformats.org/officeDocument/2006/customXml" ds:itemID="{104A6CAF-8CC0-4F12-8051-31E2340CC4C2}">
  <ds:schemaRefs/>
</ds:datastoreItem>
</file>

<file path=customXml/itemProps12.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13.xml><?xml version="1.0" encoding="utf-8"?>
<ds:datastoreItem xmlns:ds="http://schemas.openxmlformats.org/officeDocument/2006/customXml" ds:itemID="{A9A3ECA0-6F09-4C02-9E0C-36B02E8D9B88}">
  <ds:schemaRefs/>
</ds:datastoreItem>
</file>

<file path=customXml/itemProps14.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5.xml><?xml version="1.0" encoding="utf-8"?>
<ds:datastoreItem xmlns:ds="http://schemas.openxmlformats.org/officeDocument/2006/customXml" ds:itemID="{CCFAB5FF-26AB-4CB9-BA2C-5A121007B041}">
  <ds:schemaRefs/>
</ds:datastoreItem>
</file>

<file path=customXml/itemProps16.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7.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8.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9.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20.xml><?xml version="1.0" encoding="utf-8"?>
<ds:datastoreItem xmlns:ds="http://schemas.openxmlformats.org/officeDocument/2006/customXml" ds:itemID="{5AF874CB-1FEF-465F-95E0-87BD3974AD83}">
  <ds:schemaRefs/>
</ds:datastoreItem>
</file>

<file path=customXml/itemProps21.xml><?xml version="1.0" encoding="utf-8"?>
<ds:datastoreItem xmlns:ds="http://schemas.openxmlformats.org/officeDocument/2006/customXml" ds:itemID="{2E9577AD-0BA1-4B97-A3AE-098C016630EA}">
  <ds:schemaRefs/>
</ds:datastoreItem>
</file>

<file path=customXml/itemProps22.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3.xml><?xml version="1.0" encoding="utf-8"?>
<ds:datastoreItem xmlns:ds="http://schemas.openxmlformats.org/officeDocument/2006/customXml" ds:itemID="{339EBD31-34FE-48FA-B11C-5697D02F64A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7</vt:i4>
      </vt:variant>
    </vt:vector>
  </HeadingPairs>
  <TitlesOfParts>
    <vt:vector size="9" baseType="lpstr">
      <vt:lpstr>EULA</vt:lpstr>
      <vt:lpstr>Quản lý bán hàng</vt:lpstr>
      <vt:lpstr>Ma_SKU</vt:lpstr>
      <vt:lpstr>MaDonBan</vt:lpstr>
      <vt:lpstr>MaKenh</vt:lpstr>
      <vt:lpstr>MaKhachHang</vt:lpstr>
      <vt:lpstr>MaNhanVien</vt:lpstr>
      <vt:lpstr>ThanhPham_Nhom</vt:lpstr>
      <vt:lpstr>ThanhPham_PhanLoai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2025-06-03T09:49:30Z</dcterms:modified>
  <cp:category/>
  <cp:contentStatus/>
</cp:coreProperties>
</file>