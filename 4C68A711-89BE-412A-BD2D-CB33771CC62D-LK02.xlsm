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E894D9D-2219-4BA8-B68B-438081A9270A}"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Kế hoạch tiêu hao" sheetId="58" r:id="rId3"/>
  </sheets>
  <functionGroups builtInGroupCount="19"/>
  <definedNames>
    <definedName name="_xlcn.WorksheetConnection_06.EASYLK02.xlsmTable_HieuQuaSX_DinhMuc" hidden="1">Table_HieuQuaSX_DinhMuc[]</definedName>
    <definedName name="_xlcn.WorksheetConnection_06.EASYLK02.xlsmTable_HieuQuaSX_KHTieuThu" hidden="1">Table_HieuQuaSX_KHTieuThu[]</definedName>
    <definedName name="_xleta.IF" hidden="1" xlm="1">#NAME?</definedName>
    <definedName name="_xleta.N" hidden="1" xlm="1">#NAME?</definedName>
    <definedName name="_xleta.PHI" hidden="1" xlm="1">#NAME?</definedName>
  </definedNames>
  <calcPr calcId="191029"/>
  <pivotCaches>
    <pivotCache cacheId="0" r:id="rId4"/>
    <pivotCache cacheId="1" r:id="rId5"/>
    <pivotCache cacheId="2"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DinhMuc" name="Table_HieuQuaSX_DinhMuc" connection="WorksheetConnection_06. EASY-LK02.xlsm!Table_HieuQuaSX_DinhMuc"/>
          <x15:modelTable id="Table_HieuQuaSX_KHTieuThu" name="Table_HieuQuaSX_KHTieuThu" connection="WorksheetConnection_06. EASY-LK02.xlsm!Table_HieuQuaSX_KHTieuThu"/>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4" i="58" l="1"/>
  <c r="S25" i="58"/>
  <c r="S26" i="58"/>
  <c r="S27" i="58"/>
  <c r="T27" i="58"/>
  <c r="U27" i="58" s="1"/>
  <c r="T25" i="58"/>
  <c r="U25" i="58" s="1"/>
  <c r="T26" i="58"/>
  <c r="U26" i="58" l="1"/>
  <c r="AA25" i="58"/>
  <c r="AB25" i="58" s="1"/>
  <c r="AA24" i="58"/>
  <c r="T24" i="58"/>
  <c r="U24" i="58" s="1"/>
  <c r="AB24" i="58" l="1"/>
  <c r="AB22"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
        </x15:connection>
      </ext>
    </extLst>
  </connection>
</connections>
</file>

<file path=xl/sharedStrings.xml><?xml version="1.0" encoding="utf-8"?>
<sst xmlns="http://schemas.openxmlformats.org/spreadsheetml/2006/main" count="87" uniqueCount="62">
  <si>
    <t>Bên A</t>
  </si>
  <si>
    <t>Công ty TNHH Tư vấn Quản trị FIRM</t>
  </si>
  <si>
    <t>[Địa chỉ]</t>
  </si>
  <si>
    <t>[Mã số thuế]</t>
  </si>
  <si>
    <t>[SĐT - Fax]</t>
  </si>
  <si>
    <t>[Website - Page]</t>
  </si>
  <si>
    <t>[STK - Ngân hàng]</t>
  </si>
  <si>
    <t>Bên B</t>
  </si>
  <si>
    <t>Công ty ABC XYZ</t>
  </si>
  <si>
    <t>ID</t>
  </si>
  <si>
    <t>License</t>
  </si>
  <si>
    <t>Nguyên liệu</t>
  </si>
  <si>
    <t>Đơn vị</t>
  </si>
  <si>
    <t>Giá trị cần đặt</t>
  </si>
  <si>
    <t>Định mức</t>
  </si>
  <si>
    <t>Đơn giá</t>
  </si>
  <si>
    <t>Hao hụt</t>
  </si>
  <si>
    <t>Giá trị tiêu thụ</t>
  </si>
  <si>
    <t>Tồn kho hiện tại</t>
  </si>
  <si>
    <t>Số lượng tiêu thụ</t>
  </si>
  <si>
    <t>Số lượng cần đặt</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</si>
  <si>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</si>
  <si>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</si>
  <si>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</si>
  <si>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</si>
  <si>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</si>
  <si>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</si>
  <si>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</si>
  <si>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</si>
  <si>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</si>
  <si>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</si>
  <si>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</si>
  <si>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</si>
  <si>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</si>
  <si>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</si>
  <si>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</si>
  <si>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</si>
  <si>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</si>
  <si>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</si>
  <si>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</si>
  <si>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Thành phẩm</t>
  </si>
  <si>
    <t>Đơn vị thành phẩm</t>
  </si>
  <si>
    <t>Sản lượng kế hoạch</t>
  </si>
  <si>
    <t>TP1</t>
  </si>
  <si>
    <t>TP2</t>
  </si>
  <si>
    <t>Row Labels</t>
  </si>
  <si>
    <t>Grand Total</t>
  </si>
  <si>
    <t>NL1</t>
  </si>
  <si>
    <t>NL2</t>
  </si>
  <si>
    <t>Giá vốn TB</t>
  </si>
  <si>
    <t>Cấu trúc giá vốn</t>
  </si>
  <si>
    <t>Tồn kho</t>
  </si>
  <si>
    <t>Cần đặt</t>
  </si>
  <si>
    <t>TỔNG GIÁ TRỊ CẦN ĐẶT</t>
  </si>
  <si>
    <t>4C68A711-89BE-412A-BD2D-CB33771CC62D</t>
  </si>
  <si>
    <t>EASY-33329183463</t>
  </si>
  <si>
    <t>LK02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</si>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</sst>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1010000]d/m/yyyy;@"/>
    <numFmt numFmtId="166" formatCode="_(#,##0_);_(\(#,##0\);_(\-_);_(@_)"/>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9" fontId="5" fillId="0" borderId="0" xfId="2" applyFont="1" applyAlignment="1" applyProtection="1">
      <alignment vertical="center"/>
      <protection locked="0" hidden="1"/>
    </xf>
    <xf numFmtId="9" fontId="6"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hidden="1"/>
    </xf>
    <xf numFmtId="164" fontId="15" fillId="0" borderId="0" xfId="1" applyNumberFormat="1" applyFont="1" applyAlignment="1" applyProtection="1">
      <alignment vertical="center"/>
      <protection locked="0" hidden="1"/>
    </xf>
    <xf numFmtId="43" fontId="5" fillId="0" borderId="0" xfId="1" applyFont="1" applyAlignment="1" applyProtection="1">
      <alignment vertical="center"/>
      <protection locked="0" hidden="1"/>
    </xf>
    <xf numFmtId="0" fontId="16"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connections" Target="connection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hao!PivotTable2</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'Kế hoạch tiêu hao'!$C$23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hao'!$B$24:$B$26</c:f>
              <c:strCache>
                <c:ptCount val="2"/>
                <c:pt idx="0">
                  <c:v>TP1</c:v>
                </c:pt>
                <c:pt idx="1">
                  <c:v>TP2</c:v>
                </c:pt>
              </c:strCache>
            </c:strRef>
          </c:cat>
          <c:val>
            <c:numRef>
              <c:f>'Kế hoạch tiêu hao'!$C$24:$C$26</c:f>
              <c:numCache>
                <c:formatCode>General</c:formatCode>
                <c:ptCount val="2"/>
                <c:pt idx="0">
                  <c:v>315789.47368421056</c:v>
                </c:pt>
                <c:pt idx="1">
                  <c:v>329896.90721649484</c:v>
                </c:pt>
              </c:numCache>
            </c:numRef>
          </c:val>
          <c:extLst>
            <c:ext xmlns:c16="http://schemas.microsoft.com/office/drawing/2014/chart" uri="{C3380CC4-5D6E-409C-BE32-E72D297353CC}">
              <c16:uniqueId val="{00000000-4186-4078-AA3E-481B06AC524C}"/>
            </c:ext>
          </c:extLst>
        </c:ser>
        <c:dLbls>
          <c:showLegendKey val="0"/>
          <c:showVal val="0"/>
          <c:showCatName val="0"/>
          <c:showSerName val="0"/>
          <c:showPercent val="0"/>
          <c:showBubbleSize val="0"/>
        </c:dLbls>
        <c:gapWidth val="219"/>
        <c:overlap val="-27"/>
        <c:axId val="2073772479"/>
        <c:axId val="2073759999"/>
      </c:barChart>
      <c:catAx>
        <c:axId val="207377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3759999"/>
        <c:crosses val="autoZero"/>
        <c:auto val="1"/>
        <c:lblAlgn val="ctr"/>
        <c:lblOffset val="100"/>
        <c:noMultiLvlLbl val="0"/>
      </c:catAx>
      <c:valAx>
        <c:axId val="2073759999"/>
        <c:scaling>
          <c:orientation val="minMax"/>
        </c:scaling>
        <c:delete val="1"/>
        <c:axPos val="l"/>
        <c:numFmt formatCode="General" sourceLinked="1"/>
        <c:majorTickMark val="none"/>
        <c:minorTickMark val="none"/>
        <c:tickLblPos val="nextTo"/>
        <c:crossAx val="207377247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hao!PivotTable3</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'Kế hoạch tiêu hao'!$F$23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09-4250-8C8E-7926EA75D626}"/>
              </c:ext>
            </c:extLst>
          </c:dPt>
          <c:dPt>
            <c:idx val="1"/>
            <c:bubble3D val="0"/>
            <c:spPr>
              <a:solidFill>
                <a:schemeClr val="accent2"/>
              </a:solidFill>
              <a:ln>
                <a:noFill/>
              </a:ln>
              <a:effectLst/>
            </c:spPr>
            <c:extLst>
              <c:ext xmlns:c16="http://schemas.microsoft.com/office/drawing/2014/chart" uri="{C3380CC4-5D6E-409C-BE32-E72D297353CC}">
                <c16:uniqueId val="{00000003-BC09-4250-8C8E-7926EA75D62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hao'!$E$24:$E$26</c:f>
              <c:strCache>
                <c:ptCount val="2"/>
                <c:pt idx="0">
                  <c:v>NL1</c:v>
                </c:pt>
                <c:pt idx="1">
                  <c:v>NL2</c:v>
                </c:pt>
              </c:strCache>
            </c:strRef>
          </c:cat>
          <c:val>
            <c:numRef>
              <c:f>'Kế hoạch tiêu hao'!$F$24:$F$26</c:f>
              <c:numCache>
                <c:formatCode>_(* #,##0_);_(* \(#,##0\);_(* "-"??_);_(@_)</c:formatCode>
                <c:ptCount val="2"/>
                <c:pt idx="0">
                  <c:v>42105263.157894738</c:v>
                </c:pt>
                <c:pt idx="1">
                  <c:v>21052631.578947369</c:v>
                </c:pt>
              </c:numCache>
            </c:numRef>
          </c:val>
          <c:extLst>
            <c:ext xmlns:c16="http://schemas.microsoft.com/office/drawing/2014/chart" uri="{C3380CC4-5D6E-409C-BE32-E72D297353CC}">
              <c16:uniqueId val="{00000000-3311-4AF7-A7FE-2D90C28AD1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'Kế hoạch tiêu hao'!$I$23</c:f>
              <c:strCache>
                <c:ptCount val="1"/>
                <c:pt idx="0">
                  <c:v>Tồn kho</c:v>
                </c:pt>
              </c:strCache>
            </c:strRef>
          </c:tx>
          <c:spPr>
            <a:solidFill>
              <a:schemeClr val="accent1"/>
            </a:solidFill>
            <a:ln>
              <a:noFill/>
            </a:ln>
            <a:effectLst/>
          </c:spPr>
          <c:invertIfNegative val="0"/>
          <c:cat>
            <c:strRef>
              <c:f>'Kế hoạch tiêu hao'!$H$24:$H$26</c:f>
              <c:strCache>
                <c:ptCount val="2"/>
                <c:pt idx="0">
                  <c:v>NL1</c:v>
                </c:pt>
                <c:pt idx="1">
                  <c:v>NL2</c:v>
                </c:pt>
              </c:strCache>
            </c:strRef>
          </c:cat>
          <c:val>
            <c:numRef>
              <c:f>'Kế hoạch tiêu hao'!$I$24:$I$26</c:f>
              <c:numCache>
                <c:formatCode>_(* #,##0_);_(* \(#,##0\);_(* "-"??_);_(@_)</c:formatCode>
                <c:ptCount val="2"/>
                <c:pt idx="0">
                  <c:v>400</c:v>
                </c:pt>
                <c:pt idx="1">
                  <c:v>250</c:v>
                </c:pt>
              </c:numCache>
            </c:numRef>
          </c:val>
          <c:extLst>
            <c:ext xmlns:c16="http://schemas.microsoft.com/office/drawing/2014/chart" uri="{C3380CC4-5D6E-409C-BE32-E72D297353CC}">
              <c16:uniqueId val="{00000000-720E-4EF8-A81A-9E73C93DD17C}"/>
            </c:ext>
          </c:extLst>
        </c:ser>
        <c:ser>
          <c:idx val="1"/>
          <c:order val="1"/>
          <c:tx>
            <c:strRef>
              <c:f>'Kế hoạch tiêu hao'!$J$23</c:f>
              <c:strCache>
                <c:ptCount val="1"/>
                <c:pt idx="0">
                  <c:v>Cần đặt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hao'!$H$24:$H$26</c:f>
              <c:strCache>
                <c:ptCount val="2"/>
                <c:pt idx="0">
                  <c:v>NL1</c:v>
                </c:pt>
                <c:pt idx="1">
                  <c:v>NL2</c:v>
                </c:pt>
              </c:strCache>
            </c:strRef>
          </c:cat>
          <c:val>
            <c:numRef>
              <c:f>'Kế hoạch tiêu hao'!$J$24:$J$26</c:f>
              <c:numCache>
                <c:formatCode>_(* #,##0_);_(* \(#,##0\);_(* "-"??_);_(@_)</c:formatCode>
                <c:ptCount val="2"/>
                <c:pt idx="0">
                  <c:v>515.89799240368961</c:v>
                </c:pt>
                <c:pt idx="1">
                  <c:v>102.68583830710799</c:v>
                </c:pt>
              </c:numCache>
            </c:numRef>
          </c:val>
          <c:extLst>
            <c:ext xmlns:c16="http://schemas.microsoft.com/office/drawing/2014/chart" uri="{C3380CC4-5D6E-409C-BE32-E72D297353CC}">
              <c16:uniqueId val="{00000002-720E-4EF8-A81A-9E73C93DD17C}"/>
            </c:ext>
          </c:extLst>
        </c:ser>
        <c:dLbls>
          <c:showLegendKey val="0"/>
          <c:showVal val="0"/>
          <c:showCatName val="0"/>
          <c:showSerName val="0"/>
          <c:showPercent val="0"/>
          <c:showBubbleSize val="0"/>
        </c:dLbls>
        <c:gapWidth val="219"/>
        <c:overlap val="100"/>
        <c:axId val="1431730143"/>
        <c:axId val="1431730623"/>
      </c:barChart>
      <c:catAx>
        <c:axId val="143173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730623"/>
        <c:crosses val="autoZero"/>
        <c:auto val="1"/>
        <c:lblAlgn val="ctr"/>
        <c:lblOffset val="100"/>
        <c:noMultiLvlLbl val="0"/>
      </c:catAx>
      <c:valAx>
        <c:axId val="1431730623"/>
        <c:scaling>
          <c:orientation val="minMax"/>
        </c:scaling>
        <c:delete val="1"/>
        <c:axPos val="l"/>
        <c:numFmt formatCode="_(* #,##0_);_(* \(#,##0\);_(* &quot;-&quot;??_);_(@_)" sourceLinked="1"/>
        <c:majorTickMark val="none"/>
        <c:minorTickMark val="none"/>
        <c:tickLblPos val="nextTo"/>
        <c:crossAx val="143173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1047750</xdr:colOff>
          <xdr:row>0</xdr:row>
          <xdr:rowOff>123825</xdr:rowOff>
        </xdr:from>
        <xdr:to>
          <xdr:col>16</xdr:col>
          <xdr:colOff>457200</xdr:colOff>
          <xdr:row>1</xdr:row>
          <xdr:rowOff>152400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4191000" y="1238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171448</xdr:colOff>
          <xdr:row>0</xdr:row>
          <xdr:rowOff>104775</xdr:rowOff>
        </xdr:from>
        <xdr:to>
          <xdr:col>14</xdr:col>
          <xdr:colOff>885829</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361948" y="104775"/>
              <a:ext cx="3667131" cy="361950"/>
              <a:chOff x="6162673" y="3409950"/>
              <a:chExt cx="3695705"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1" cy="361950"/>
                <a:chOff x="8191507" y="3409950"/>
                <a:chExt cx="1990721"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3" y="3452813"/>
                  <a:ext cx="1769682" cy="276225"/>
                  <a:chOff x="8305811" y="3457575"/>
                  <a:chExt cx="1769682"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1"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4" cy="180000"/>
                  <a:chOff x="6029325" y="4257675"/>
                  <a:chExt cx="1495414"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1"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76200</xdr:colOff>
      <xdr:row>3</xdr:row>
      <xdr:rowOff>19050</xdr:rowOff>
    </xdr:from>
    <xdr:to>
      <xdr:col>16</xdr:col>
      <xdr:colOff>666075</xdr:colOff>
      <xdr:row>20</xdr:row>
      <xdr:rowOff>92850</xdr:rowOff>
    </xdr:to>
    <xdr:graphicFrame macro="">
      <xdr:nvGraphicFramePr>
        <xdr:cNvPr id="5" name="Chart 4">
          <a:extLst>
            <a:ext uri="{FF2B5EF4-FFF2-40B4-BE49-F238E27FC236}">
              <a16:creationId xmlns:a16="http://schemas.microsoft.com/office/drawing/2014/main" id="{ACF699F6-9554-B23A-CC3D-3DFF548284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71437</xdr:colOff>
      <xdr:row>3</xdr:row>
      <xdr:rowOff>19050</xdr:rowOff>
    </xdr:from>
    <xdr:to>
      <xdr:col>20</xdr:col>
      <xdr:colOff>619125</xdr:colOff>
      <xdr:row>20</xdr:row>
      <xdr:rowOff>92850</xdr:rowOff>
    </xdr:to>
    <xdr:graphicFrame macro="">
      <xdr:nvGraphicFramePr>
        <xdr:cNvPr id="6" name="Chart 5">
          <a:extLst>
            <a:ext uri="{FF2B5EF4-FFF2-40B4-BE49-F238E27FC236}">
              <a16:creationId xmlns:a16="http://schemas.microsoft.com/office/drawing/2014/main" id="{B1C11F5F-AFD6-A19C-8D4A-D9D0E1F28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61912</xdr:colOff>
      <xdr:row>3</xdr:row>
      <xdr:rowOff>19050</xdr:rowOff>
    </xdr:from>
    <xdr:to>
      <xdr:col>26</xdr:col>
      <xdr:colOff>528187</xdr:colOff>
      <xdr:row>20</xdr:row>
      <xdr:rowOff>92850</xdr:rowOff>
    </xdr:to>
    <xdr:graphicFrame macro="">
      <xdr:nvGraphicFramePr>
        <xdr:cNvPr id="8" name="Chart 7">
          <a:extLst>
            <a:ext uri="{FF2B5EF4-FFF2-40B4-BE49-F238E27FC236}">
              <a16:creationId xmlns:a16="http://schemas.microsoft.com/office/drawing/2014/main" id="{3CCEBB3B-D171-8548-9D50-55174A0B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47625</xdr:colOff>
          <xdr:row>0</xdr:row>
          <xdr:rowOff>123825</xdr:rowOff>
        </xdr:from>
        <xdr:to>
          <xdr:col>17</xdr:col>
          <xdr:colOff>638175</xdr:colOff>
          <xdr:row>1</xdr:row>
          <xdr:rowOff>152400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1365738" createdVersion="8" refreshedVersion="8" minRefreshableVersion="3" recordCount="2" xr:uid="{4AFD94BC-7D60-4B05-BE1A-E00E91B448AF}">
  <cacheSource type="worksheet">
    <worksheetSource name="Table_HieuQuaSX_KHTieuThu"/>
  </cacheSource>
  <cacheFields count="6">
    <cacheField name="Nguyên liệu" numFmtId="0">
      <sharedItems count="2">
        <s v="NL1"/>
        <s v="NL2"/>
      </sharedItems>
    </cacheField>
    <cacheField name="Đơn vị" numFmtId="9">
      <sharedItems containsNonDate="0" containsString="0" containsBlank="1"/>
    </cacheField>
    <cacheField name="Đơn giá" numFmtId="164">
      <sharedItems containsSemiMixedTypes="0" containsString="0" containsNumber="1" containsInteger="1" minValue="100000" maxValue="200000"/>
    </cacheField>
    <cacheField name="Tồn kho hiện tại" numFmtId="164">
      <sharedItems containsSemiMixedTypes="0" containsString="0" containsNumber="1" containsInteger="1" minValue="250" maxValue="400"/>
    </cacheField>
    <cacheField name="Số lượng cần đặt" numFmtId="164">
      <sharedItems containsSemiMixedTypes="0" containsString="0" containsNumber="1" minValue="102.68583830710799" maxValue="515.89799240368961"/>
    </cacheField>
    <cacheField name="Giá trị cần đặt" numFmtId="164">
      <sharedItems containsSemiMixedTypes="0" containsString="0" containsNumber="1" minValue="20537167.661421597" maxValue="51589799.24036896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2523147" createdVersion="8" refreshedVersion="8" minRefreshableVersion="3" recordCount="4" xr:uid="{5E7E1F8C-07D8-49A2-A1C9-A0505E37A7F0}">
  <cacheSource type="worksheet">
    <worksheetSource name="Table_HieuQuaSX_DinhMuc"/>
  </cacheSource>
  <cacheFields count="10">
    <cacheField name="Thành phẩm" numFmtId="164">
      <sharedItems count="2">
        <s v="TP1"/>
        <s v="TP2"/>
      </sharedItems>
    </cacheField>
    <cacheField name="Đơn vị thành phẩm" numFmtId="164">
      <sharedItems containsNonDate="0" containsString="0" containsBlank="1"/>
    </cacheField>
    <cacheField name="Sản lượng kế hoạch" numFmtId="164">
      <sharedItems containsSemiMixedTypes="0" containsString="0" containsNumber="1" containsInteger="1" minValue="200" maxValue="300"/>
    </cacheField>
    <cacheField name="Nguyên liệu" numFmtId="0">
      <sharedItems count="2">
        <s v="NL1"/>
        <s v="NL2"/>
      </sharedItems>
    </cacheField>
    <cacheField name="Đơn vị" numFmtId="0">
      <sharedItems containsNonDate="0" containsString="0" containsBlank="1"/>
    </cacheField>
    <cacheField name="Định mức" numFmtId="43">
      <sharedItems containsSemiMixedTypes="0" containsString="0" containsNumber="1" minValue="0.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100000" maxValue="200000"/>
    </cacheField>
    <cacheField name="Giá trị tiêu thụ" numFmtId="164">
      <sharedItems containsSemiMixedTypes="0" containsString="0" containsNumber="1" minValue="21052631.578947369" maxValue="49484536.0824742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6.479086342595" backgroundQuery="1" createdVersion="8" refreshedVersion="8" minRefreshableVersion="3" recordCount="0" supportSubquery="1" supportAdvancedDrill="1" xr:uid="{7C0DDC43-ECF4-40A1-B689-2AB2C6808D07}">
  <cacheSource type="external" connectionId="1"/>
  <cacheFields count="2">
    <cacheField name="[Table_HieuQuaSX_DinhMuc].[Thành phẩm].[Thành phẩm]" caption="Thành phẩm" numFmtId="0" level="1">
      <sharedItems count="2">
        <s v="TP1"/>
        <s v="TP2"/>
      </sharedItems>
    </cacheField>
    <cacheField name="[Measures].[GiaVon]" caption="GiaVon" numFmtId="0" hierarchy="16" level="32767"/>
  </cacheFields>
  <cacheHierarchies count="20">
    <cacheHierarchy uniqueName="[Table_HieuQuaSX_DinhMuc].[Thành phẩm]" caption="Thành phẩm" attribute="1" defaultMemberUniqueName="[Table_HieuQuaSX_DinhMuc].[Thành phẩm].[All]" allUniqueName="[Table_HieuQuaSX_DinhMuc].[Thành phẩm].[All]" dimensionUniqueName="[Table_HieuQuaSX_DinhMuc]" displayFolder="" count="2" memberValueDatatype="130" unbalanced="0">
      <fieldsUsage count="2">
        <fieldUsage x="-1"/>
        <fieldUsage x="0"/>
      </fieldsUsage>
    </cacheHierarchy>
    <cacheHierarchy uniqueName="[Table_HieuQuaSX_DinhMuc].[Đơn vị thành phẩm]" caption="Đơn vị thành phẩm" attribute="1" defaultMemberUniqueName="[Table_HieuQuaSX_DinhMuc].[Đơn vị thành phẩm].[All]" allUniqueName="[Table_HieuQuaSX_DinhMuc].[Đơn vị thành phẩm].[All]" dimensionUniqueName="[Table_HieuQuaSX_DinhMuc]" displayFolder="" count="0" memberValueDatatype="130" unbalanced="0"/>
    <cacheHierarchy uniqueName="[Table_HieuQuaSX_DinhMuc].[Sản lượng kế hoạch]" caption="Sản lượng kế hoạch" attribute="1" defaultMemberUniqueName="[Table_HieuQuaSX_DinhMuc].[Sản lượng kế hoạch].[All]" allUniqueName="[Table_HieuQuaSX_DinhMuc].[Sản lượng kế hoạch].[All]" dimensionUniqueName="[Table_HieuQuaSX_DinhMuc]" displayFolder="" count="0" memberValueDatatype="20" unbalanced="0"/>
    <cacheHierarchy uniqueName="[Table_HieuQuaSX_DinhMuc].[Nguyên liệu]" caption="Nguyên liệu" attribute="1" defaultMemberUniqueName="[Table_HieuQuaSX_DinhMuc].[Nguyên liệu].[All]" allUniqueName="[Table_HieuQuaSX_DinhMuc].[Nguyên liệu].[All]" dimensionUniqueName="[Table_HieuQuaSX_DinhMuc]" displayFolder="" count="0" memberValueDatatype="130" unbalanced="0"/>
    <cacheHierarchy uniqueName="[Table_HieuQuaSX_DinhMuc].[Đơn vị]" caption="Đơn vị" attribute="1" defaultMemberUniqueName="[Table_HieuQuaSX_DinhMuc].[Đơn vị].[All]" allUniqueName="[Table_HieuQuaSX_DinhMuc].[Đơn vị].[All]" dimensionUniqueName="[Table_HieuQuaSX_DinhMuc]" displayFolder="" count="0" memberValueDatatype="130" unbalanced="0"/>
    <cacheHierarchy uniqueName="[Table_HieuQuaSX_DinhMuc].[Định mức]" caption="Định mức" attribute="1" defaultMemberUniqueName="[Table_HieuQuaSX_DinhMuc].[Định mức].[All]" allUniqueName="[Table_HieuQuaSX_DinhMuc].[Định mức].[All]" dimensionUniqueName="[Table_HieuQuaSX_DinhMuc]" displayFolder="" count="0" memberValueDatatype="5" unbalanced="0"/>
    <cacheHierarchy uniqueName="[Table_HieuQuaSX_DinhMuc].[Hao hụt]" caption="Hao hụt" attribute="1" defaultMemberUniqueName="[Table_HieuQuaSX_DinhMuc].[Hao hụt].[All]" allUniqueName="[Table_HieuQuaSX_DinhMuc].[Hao hụt].[All]" dimensionUniqueName="[Table_HieuQuaSX_DinhMuc]" displayFolder="" count="0" memberValueDatatype="5" unbalanced="0"/>
    <cacheHierarchy uniqueName="[Table_HieuQuaSX_DinhMuc].[Số lượng tiêu thụ]" caption="Số lượng tiêu thụ" attribute="1" defaultMemberUniqueName="[Table_HieuQuaSX_DinhMuc].[Số lượng tiêu thụ].[All]" allUniqueName="[Table_HieuQuaSX_DinhMuc].[Số lượng tiêu thụ].[All]" dimensionUniqueName="[Table_HieuQuaSX_DinhMuc]" displayFolder="" count="0" memberValueDatatype="5" unbalanced="0"/>
    <cacheHierarchy uniqueName="[Table_HieuQuaSX_DinhMuc].[Đơn giá]" caption="Đơn giá" attribute="1" defaultMemberUniqueName="[Table_HieuQuaSX_DinhMuc].[Đơn giá].[All]" allUniqueName="[Table_HieuQuaSX_DinhMuc].[Đơn giá].[All]" dimensionUniqueName="[Table_HieuQuaSX_DinhMuc]" displayFolder="" count="0" memberValueDatatype="20" unbalanced="0"/>
    <cacheHierarchy uniqueName="[Table_HieuQuaSX_DinhMuc].[Giá trị tiêu thụ]" caption="Giá trị tiêu thụ" attribute="1" defaultMemberUniqueName="[Table_HieuQuaSX_DinhMuc].[Giá trị tiêu thụ].[All]" allUniqueName="[Table_HieuQuaSX_DinhMuc].[Giá trị tiêu thụ].[All]" dimensionUniqueName="[Table_HieuQuaSX_DinhMuc]" displayFolder="" count="0" memberValueDatatype="5" unbalanced="0"/>
    <cacheHierarchy uniqueName="[Table_HieuQuaSX_KHTieuThu].[Nguyên liệu]" caption="Nguyên liệu" attribute="1" defaultMemberUniqueName="[Table_HieuQuaSX_KHTieuThu].[Nguyên liệu].[All]" allUniqueName="[Table_HieuQuaSX_KHTieuThu].[Nguyên liệu].[All]" dimensionUniqueName="[Table_HieuQuaSX_KHTieuThu]" displayFolder="" count="0" memberValueDatatype="130" unbalanced="0"/>
    <cacheHierarchy uniqueName="[Table_HieuQuaSX_KHTieuThu].[Đơn vị]" caption="Đơn vị" attribute="1" defaultMemberUniqueName="[Table_HieuQuaSX_KHTieuThu].[Đơn vị].[All]" allUniqueName="[Table_HieuQuaSX_KHTieuThu].[Đơn vị].[All]" dimensionUniqueName="[Table_HieuQuaSX_KHTieuThu]" displayFolder="" count="0" memberValueDatatype="130" unbalanced="0"/>
    <cacheHierarchy uniqueName="[Table_HieuQuaSX_KHTieuThu].[Đơn giá]" caption="Đơn giá" attribute="1" defaultMemberUniqueName="[Table_HieuQuaSX_KHTieuThu].[Đơn giá].[All]" allUniqueName="[Table_HieuQuaSX_KHTieuThu].[Đơn giá].[All]" dimensionUniqueName="[Table_HieuQuaSX_KHTieuThu]" displayFolder="" count="0" memberValueDatatype="20" unbalanced="0"/>
    <cacheHierarchy uniqueName="[Table_HieuQuaSX_KHTieuThu].[Tồn kho hiện tại]" caption="Tồn kho hiện tại" attribute="1" defaultMemberUniqueName="[Table_HieuQuaSX_KHTieuThu].[Tồn kho hiện tại].[All]" allUniqueName="[Table_HieuQuaSX_KHTieuThu].[Tồn kho hiện tại].[All]" dimensionUniqueName="[Table_HieuQuaSX_KHTieuThu]" displayFolder="" count="0" memberValueDatatype="20" unbalanced="0"/>
    <cacheHierarchy uniqueName="[Table_HieuQuaSX_KHTieuThu].[Số lượng cần đặt]" caption="Số lượng cần đặt" attribute="1" defaultMemberUniqueName="[Table_HieuQuaSX_KHTieuThu].[Số lượng cần đặt].[All]" allUniqueName="[Table_HieuQuaSX_KHTieuThu].[Số lượng cần đặt].[All]" dimensionUniqueName="[Table_HieuQuaSX_KHTieuThu]" displayFolder="" count="0" memberValueDatatype="5" unbalanced="0"/>
    <cacheHierarchy uniqueName="[Table_HieuQuaSX_KHTieuThu].[Giá trị cần đặt]" caption="Giá trị cần đặt" attribute="1" defaultMemberUniqueName="[Table_HieuQuaSX_KHTieuThu].[Giá trị cần đặt].[All]" allUniqueName="[Table_HieuQuaSX_KHTieuThu].[Giá trị cần đặt].[All]" dimensionUniqueName="[Table_HieuQuaSX_KHTieuThu]" displayFolder="" count="0" memberValueDatatype="5" unbalanced="0"/>
    <cacheHierarchy uniqueName="[Measures].[GiaVon]" caption="GiaVon" measure="1" displayFolder="" measureGroup="Table_HieuQuaSX_DinhMuc" count="0" oneField="1">
      <fieldsUsage count="1">
        <fieldUsage x="1"/>
      </fieldsUsage>
    </cacheHierarchy>
    <cacheHierarchy uniqueName="[Measures].[__XL_Count Table_HieuQuaSX_DinhMuc]" caption="__XL_Count Table_HieuQuaSX_DinhMuc" measure="1" displayFolder="" measureGroup="Table_HieuQuaSX_DinhMuc" count="0" hidden="1"/>
    <cacheHierarchy uniqueName="[Measures].[__XL_Count Table_HieuQuaSX_KHTieuThu]" caption="__XL_Count Table_HieuQuaSX_KHTieuThu" measure="1" displayFolder="" measureGroup="Table_HieuQuaSX_KHTieuThu" count="0" hidden="1"/>
    <cacheHierarchy uniqueName="[Measures].[__No measures defined]" caption="__No measures defined" measure="1" displayFolder="" count="0" hidden="1"/>
  </cacheHierarchies>
  <kpis count="0"/>
  <dimensions count="3">
    <dimension measure="1" name="Measures" uniqueName="[Measures]" caption="Measures"/>
    <dimension name="Table_HieuQuaSX_DinhMuc" uniqueName="[Table_HieuQuaSX_DinhMuc]" caption="Table_HieuQuaSX_DinhMuc"/>
    <dimension name="Table_HieuQuaSX_KHTieuThu" uniqueName="[Table_HieuQuaSX_KHTieuThu]" caption="Table_HieuQuaSX_KHTieuThu"/>
  </dimensions>
  <measureGroups count="2">
    <measureGroup name="Table_HieuQuaSX_DinhMuc" caption="Table_HieuQuaSX_DinhMuc"/>
    <measureGroup name="Table_HieuQuaSX_KHTieuThu" caption="Table_HieuQuaSX_KHTieuThu"/>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m/>
    <n v="100000"/>
    <n v="400"/>
    <n v="515.89799240368961"/>
    <n v="51589799.240368962"/>
  </r>
  <r>
    <x v="1"/>
    <m/>
    <n v="200000"/>
    <n v="250"/>
    <n v="102.68583830710799"/>
    <n v="20537167.6614215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200"/>
    <x v="0"/>
    <m/>
    <n v="2"/>
    <n v="0.05"/>
    <n v="421.0526315789474"/>
    <n v="100000"/>
    <n v="42105263.157894738"/>
  </r>
  <r>
    <x v="0"/>
    <m/>
    <n v="200"/>
    <x v="1"/>
    <m/>
    <n v="0.5"/>
    <n v="0.05"/>
    <n v="105.26315789473685"/>
    <n v="200000"/>
    <n v="21052631.578947369"/>
  </r>
  <r>
    <x v="1"/>
    <m/>
    <n v="300"/>
    <x v="0"/>
    <m/>
    <n v="1.6"/>
    <n v="0.03"/>
    <n v="494.84536082474227"/>
    <n v="100000"/>
    <n v="49484536.082474224"/>
  </r>
  <r>
    <x v="1"/>
    <m/>
    <n v="300"/>
    <x v="1"/>
    <m/>
    <n v="0.8"/>
    <n v="0.03"/>
    <n v="247.42268041237114"/>
    <n v="200000"/>
    <n v="49484536.082474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66FE77-594B-4E82-98B9-E8D563EEBCF8}" name="PivotTable2" cacheId="2" applyNumberFormats="0" applyBorderFormats="0" applyFontFormats="0" applyPatternFormats="0" applyAlignmentFormats="0" applyWidthHeightFormats="1" dataCaption="Values" tag="93fc70ea-478b-4bcc-9263-0b994c0cbd33" updatedVersion="8" minRefreshableVersion="3" useAutoFormatting="1" subtotalHiddenItems="1" itemPrintTitles="1" createdVersion="8" indent="0" outline="1" outlineData="1" multipleFieldFilters="0" chartFormat="2">
  <location ref="B23:C2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Giá vốn TB" fld="1" subtotal="count" baseField="0" baseItem="1"/>
  </dataFields>
  <chartFormats count="1">
    <chartFormat chart="0" format="0"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Giá vốn TB"/>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HieuQuaSX_DinhMu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6AA20A-FC79-41F7-894C-55F54D0BA8C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3:J26" firstHeaderRow="0" firstDataRow="1" firstDataCol="1"/>
  <pivotFields count="6">
    <pivotField axis="axisRow" showAll="0">
      <items count="3">
        <item x="0"/>
        <item x="1"/>
        <item t="default"/>
      </items>
    </pivotField>
    <pivotField showAll="0"/>
    <pivotField numFmtId="164" showAll="0"/>
    <pivotField dataField="1" numFmtId="164" showAll="0"/>
    <pivotField dataField="1" numFmtId="164" showAll="0"/>
    <pivotField numFmtId="164" showAll="0"/>
  </pivotFields>
  <rowFields count="1">
    <field x="0"/>
  </rowFields>
  <rowItems count="3">
    <i>
      <x/>
    </i>
    <i>
      <x v="1"/>
    </i>
    <i t="grand">
      <x/>
    </i>
  </rowItems>
  <colFields count="1">
    <field x="-2"/>
  </colFields>
  <colItems count="2">
    <i>
      <x/>
    </i>
    <i i="1">
      <x v="1"/>
    </i>
  </colItems>
  <dataFields count="2">
    <dataField name="Tồn kho" fld="3" baseField="0" baseItem="0" numFmtId="164"/>
    <dataField name="Cần đặt" fld="4"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6057C4-1C54-46AF-BCCB-92DB97E6ED6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rowPageCount="1" colPageCount="1"/>
  <pivotFields count="10">
    <pivotField axis="axisPage" multipleItemSelectionAllowed="1" showAll="0">
      <items count="3">
        <item x="0"/>
        <item h="1" x="1"/>
        <item t="default"/>
      </items>
    </pivotField>
    <pivotField showAll="0"/>
    <pivotField numFmtId="164" showAll="0"/>
    <pivotField axis="axisRow" showAll="0">
      <items count="3">
        <item x="0"/>
        <item x="1"/>
        <item t="default"/>
      </items>
    </pivotField>
    <pivotField showAll="0"/>
    <pivotField numFmtId="43" showAll="0"/>
    <pivotField numFmtId="9" showAll="0"/>
    <pivotField numFmtId="164" showAll="0"/>
    <pivotField numFmtId="164" showAll="0"/>
    <pivotField dataField="1" numFmtId="164" showAll="0"/>
  </pivotFields>
  <rowFields count="1">
    <field x="3"/>
  </rowFields>
  <rowItems count="3">
    <i>
      <x/>
    </i>
    <i>
      <x v="1"/>
    </i>
    <i t="grand">
      <x/>
    </i>
  </rowItems>
  <colItems count="1">
    <i/>
  </colItems>
  <pageFields count="1">
    <pageField fld="0" hier="-1"/>
  </pageFields>
  <dataFields count="1">
    <dataField name="Cấu trúc giá vốn" fld="9" baseField="3"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W23:AB25" totalsRowShown="0" headerRowDxfId="19" dataDxfId="18">
  <autoFilter ref="W23:AB25" xr:uid="{2CB9985B-580F-4533-8553-105C1F83175C}"/>
  <tableColumns count="6">
    <tableColumn id="1" xr3:uid="{2AC39E01-0898-4986-A633-EB40316BE2AF}" name="Nguyên liệu" dataDxfId="17"/>
    <tableColumn id="3" xr3:uid="{B84566AB-A55F-4EC2-BC29-3B424300B854}" name="Đơn vị" dataDxfId="16" dataCellStyle="Percent"/>
    <tableColumn id="6" xr3:uid="{C03BFF9B-EE62-4A6A-8850-16FC59C96C3E}" name="Đơn giá" dataDxfId="15" dataCellStyle="Comma"/>
    <tableColumn id="2" xr3:uid="{C971767B-245C-40D4-A639-13F69220431A}" name="Tồn kho hiện tại" dataDxfId="14" dataCellStyle="Comma"/>
    <tableColumn id="8" xr3:uid="{06B82FDF-DFE7-431D-9D0E-F5CE45945D73}" name="Số lượng cần đặt" dataDxfId="13" dataCellStyle="Comma">
      <calculatedColumnFormula>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12" dataCellStyle="Comma">
      <calculatedColumnFormula>Table_HieuQuaSX_KHTieuThu[[#This Row],[Số lượng cần đặt]]*Table_HieuQuaSX_KHTieuThu[[#This Row],[Đơn giá]]</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312D54-345F-4A37-9CEB-6BFD5BA2854A}" name="Table_HieuQuaSX_DinhMuc" displayName="Table_HieuQuaSX_DinhMuc" ref="L23:U27" totalsRowShown="0" headerRowDxfId="11" dataDxfId="10">
  <autoFilter ref="L23:U27" xr:uid="{C3312D54-345F-4A37-9CEB-6BFD5BA2854A}"/>
  <tableColumns count="10">
    <tableColumn id="4" xr3:uid="{9D16990F-E4B6-49D6-9FBA-A027D4769C8E}" name="Thành phẩm" dataDxfId="9" dataCellStyle="Comma"/>
    <tableColumn id="10" xr3:uid="{5D2685AD-0859-4544-A6A8-1BB0E567818B}" name="Đơn vị thành phẩm" dataDxfId="8" dataCellStyle="Comma"/>
    <tableColumn id="13" xr3:uid="{A330BFCE-9356-47D0-B365-2EE5E76D37E1}" name="Sản lượng kế hoạch" dataDxfId="7" dataCellStyle="Comma"/>
    <tableColumn id="1" xr3:uid="{52C260FF-0A1F-4EB3-A0E8-8F815D05FD5F}" name="Nguyên liệu" dataDxfId="6"/>
    <tableColumn id="11" xr3:uid="{5D30E38D-041C-4167-A140-EF76C393F851}" name="Đơn vị" dataDxfId="5"/>
    <tableColumn id="3" xr3:uid="{FEB78A2B-185E-41F1-9031-A91B7DA58B67}" name="Định mức" dataDxfId="4" dataCellStyle="Comma"/>
    <tableColumn id="7" xr3:uid="{4B9E9B61-CC27-4618-BCDB-A63CA1C0EF9B}" name="Hao hụt" dataDxfId="3" dataCellStyle="Percent"/>
    <tableColumn id="5" xr3:uid="{010E5FA2-DB10-4AEE-85B5-C6BDEE809E3E}" name="Số lượng tiêu thụ" dataDxfId="2" dataCellStyle="Comma">
      <calculatedColumnFormula>IFERROR(
Table_HieuQuaSX_DinhMuc[[#This Row],[Định mức]]*Table_HieuQuaSX_DinhMuc[[#This Row],[Sản lượng kế hoạch]]/(1-Table_HieuQuaSX_DinhMuc[[#This Row],[Hao hụt]]),0)</calculatedColumnFormula>
    </tableColumn>
    <tableColumn id="6" xr3:uid="{E11418EE-6591-4B46-B981-8BA95E9F03DB}" name="Đơn giá" dataDxfId="1" dataCellStyle="Comma">
      <calculatedColumnFormula>VLOOKUP(Table_HieuQuaSX_DinhMuc[[#This Row],[Nguyên liệu]],
Table_HieuQuaSX_KHTieuThu[],
COUNTA(Table_HieuQuaSX_KHTieuThu[[#Headers],[Nguyên liệu]:[Đơn giá]]),
0)</calculatedColumnFormula>
    </tableColumn>
    <tableColumn id="9" xr3:uid="{D5ADEA09-5630-4DB2-8B66-B528CCFA9723}" name="Giá trị tiêu thụ" dataDxfId="0" dataCellStyle="Comma">
      <calculatedColumnFormula>Table_HieuQuaSX_DinhMuc[[#This Row],[Đơn giá]]*Table_HieuQuaSX_DinhMuc[[#This Row],[Số lượng tiêu thụ]]</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21</v>
      </c>
      <c r="B1" s="15" t="s">
        <v>9</v>
      </c>
      <c r="C1" s="16" t="s">
        <v>10</v>
      </c>
      <c r="D1" s="18" t="s">
        <v>22</v>
      </c>
      <c r="E1" s="18" t="s">
        <v>23</v>
      </c>
      <c r="F1" s="14" t="s">
        <v>24</v>
      </c>
      <c r="G1" s="17" t="s">
        <v>25</v>
      </c>
      <c r="H1" s="14" t="s">
        <v>26</v>
      </c>
      <c r="I1" s="14" t="s">
        <v>27</v>
      </c>
      <c r="J1" s="17" t="s">
        <v>28</v>
      </c>
      <c r="K1" s="17" t="s">
        <v>29</v>
      </c>
      <c r="L1" s="17" t="s">
        <v>30</v>
      </c>
      <c r="M1" s="17" t="s">
        <v>31</v>
      </c>
      <c r="N1" s="27"/>
      <c r="O1" s="27"/>
      <c r="P1" s="27"/>
      <c r="Q1" s="27"/>
      <c r="R1" s="27"/>
      <c r="S1" s="27"/>
      <c r="T1" s="27"/>
      <c r="U1" s="27"/>
      <c r="V1" s="27"/>
      <c r="W1" s="27"/>
      <c r="X1" s="27"/>
      <c r="Y1" s="27"/>
      <c r="Z1" s="8" t="s">
        <v>33</v>
      </c>
    </row>
    <row r="2" spans="1:26" x14ac:dyDescent="0.3">
      <c r="A2" s="27"/>
      <c r="B2" s="8" t="s">
        <v>54</v>
      </c>
      <c r="C2" s="8" t="s">
        <v>55</v>
      </c>
      <c r="D2" s="19">
        <v>45785</v>
      </c>
      <c r="E2" s="19">
        <v>46150</v>
      </c>
      <c r="F2" s="27">
        <v>365</v>
      </c>
      <c r="G2" s="8" t="s">
        <v>35</v>
      </c>
      <c r="H2" s="27"/>
      <c r="I2" s="27"/>
      <c r="J2" s="27"/>
      <c r="K2" s="27"/>
      <c r="L2" s="27"/>
      <c r="M2" s="27"/>
      <c r="N2" s="27"/>
      <c r="O2" s="27"/>
      <c r="P2" s="27"/>
      <c r="Q2" s="27"/>
      <c r="R2" s="27"/>
      <c r="S2" s="27"/>
      <c r="T2" s="27"/>
      <c r="U2" s="27"/>
      <c r="V2" s="27"/>
      <c r="W2" s="27"/>
      <c r="X2" s="27"/>
      <c r="Y2" s="27"/>
      <c r="Z2" s="27"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10" sqref="G10"/>
    </sheetView>
  </sheetViews>
  <sheetFormatPr defaultRowHeight="16.5" x14ac:dyDescent="0.3"/>
  <cols>
    <col min="1" max="1" width="11.625" style="9" bestFit="1" customWidth="1"/>
    <col min="2" max="16384" width="9" style="9"/>
  </cols>
  <sheetData>
    <row r="1" spans="1:12" x14ac:dyDescent="0.3">
      <c r="K1" s="33">
        <v>1</v>
      </c>
      <c r="L1" s="33" t="s">
        <v>57</v>
      </c>
    </row>
    <row r="2" spans="1:12" x14ac:dyDescent="0.3">
      <c r="A2" s="9" t="s">
        <v>56</v>
      </c>
      <c r="L2" s="33" t="s">
        <v>58</v>
      </c>
    </row>
    <row r="3" spans="1:12" x14ac:dyDescent="0.3">
      <c r="L3" s="33" t="s">
        <v>59</v>
      </c>
    </row>
    <row r="4" spans="1:12" ht="37.5" x14ac:dyDescent="0.3">
      <c r="A4" s="12" t="s">
        <v>0</v>
      </c>
      <c r="B4" s="12" t="s">
        <v>1</v>
      </c>
      <c r="L4" s="33" t="s">
        <v>60</v>
      </c>
    </row>
    <row r="5" spans="1:12" ht="17.25" x14ac:dyDescent="0.3">
      <c r="A5" s="22"/>
      <c r="B5" s="20" t="s">
        <v>36</v>
      </c>
      <c r="L5" s="33" t="s">
        <v>61</v>
      </c>
    </row>
    <row r="6" spans="1:12" ht="17.25" x14ac:dyDescent="0.3">
      <c r="A6" s="22"/>
      <c r="B6" s="20" t="s">
        <v>32</v>
      </c>
    </row>
    <row r="7" spans="1:12" ht="17.25" x14ac:dyDescent="0.3">
      <c r="A7" s="22"/>
      <c r="B7" s="20" t="s">
        <v>37</v>
      </c>
    </row>
    <row r="8" spans="1:12" ht="17.25" x14ac:dyDescent="0.3">
      <c r="A8" s="22"/>
      <c r="B8" s="20" t="s">
        <v>38</v>
      </c>
    </row>
    <row r="9" spans="1:12" ht="17.25" x14ac:dyDescent="0.3">
      <c r="A9" s="22"/>
      <c r="B9" s="21" t="s">
        <v>39</v>
      </c>
    </row>
    <row r="10" spans="1:12" x14ac:dyDescent="0.3">
      <c r="A10" s="22"/>
      <c r="B10" s="22"/>
    </row>
    <row r="11" spans="1:12" ht="37.5" x14ac:dyDescent="0.3">
      <c r="A11" s="12" t="s">
        <v>7</v>
      </c>
      <c r="B11" s="12" t="s">
        <v>8</v>
      </c>
    </row>
    <row r="12" spans="1:12" x14ac:dyDescent="0.3">
      <c r="A12" s="13" t="s">
        <v>9</v>
      </c>
      <c r="B12" s="9" t="s">
        <v>54</v>
      </c>
    </row>
    <row r="13" spans="1:12" x14ac:dyDescent="0.3">
      <c r="A13" s="13" t="s">
        <v>10</v>
      </c>
      <c r="B13" s="9" t="s">
        <v>55</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AH40"/>
  <sheetViews>
    <sheetView showGridLines="0" workbookViewId="0">
      <selection activeCell="S30" sqref="S30"/>
    </sheetView>
  </sheetViews>
  <sheetFormatPr defaultRowHeight="18" customHeight="1" outlineLevelRow="1" outlineLevelCol="1" x14ac:dyDescent="0.3"/>
  <cols>
    <col min="1" max="1" width="1.25" style="1" customWidth="1"/>
    <col min="2" max="2" width="13" style="1" hidden="1" customWidth="1" outlineLevel="1"/>
    <col min="3" max="3" width="13.625" style="1" hidden="1" customWidth="1" outlineLevel="1"/>
    <col min="4" max="4" width="1.25" style="1" hidden="1" customWidth="1" outlineLevel="1"/>
    <col min="5" max="5" width="13" style="1" hidden="1" customWidth="1" outlineLevel="1"/>
    <col min="6" max="6" width="15.875" style="1" hidden="1" customWidth="1" outlineLevel="1"/>
    <col min="7" max="7" width="1.25" style="1" hidden="1" customWidth="1" outlineLevel="1"/>
    <col min="8" max="8" width="13" style="1" hidden="1" customWidth="1" outlineLevel="1"/>
    <col min="9" max="9" width="8.375" style="1" hidden="1" customWidth="1" outlineLevel="1"/>
    <col min="10" max="10" width="7.875" style="1" hidden="1" customWidth="1" outlineLevel="1"/>
    <col min="11" max="11" width="1.25" style="1" customWidth="1" collapsed="1"/>
    <col min="12" max="13" width="11.375" style="1" bestFit="1" customWidth="1"/>
    <col min="14" max="14" width="16" style="1" bestFit="1" customWidth="1"/>
    <col min="15" max="15" width="16" style="1" customWidth="1"/>
    <col min="16" max="16" width="8.375" style="1" bestFit="1" customWidth="1"/>
    <col min="17" max="17" width="9.375" style="1" bestFit="1" customWidth="1"/>
    <col min="18" max="18" width="9.375" bestFit="1" customWidth="1"/>
    <col min="19" max="19" width="10.625" style="1" customWidth="1"/>
    <col min="20" max="20" width="14.75" style="1" bestFit="1" customWidth="1"/>
    <col min="22" max="22" width="1.25" style="1" customWidth="1"/>
    <col min="23" max="23" width="11.25" style="1" bestFit="1" customWidth="1"/>
    <col min="25" max="25" width="10.625" style="1" customWidth="1"/>
    <col min="26" max="26" width="9" style="1"/>
    <col min="27" max="27" width="10.625" style="1" customWidth="1"/>
    <col min="28" max="28" width="14.375" style="1" bestFit="1" customWidth="1"/>
    <col min="29" max="29" width="12.5" style="1" bestFit="1" customWidth="1"/>
    <col min="31" max="31" width="8.25" style="1" bestFit="1" customWidth="1"/>
    <col min="32" max="33" width="9" style="1"/>
    <col min="35" max="35" width="14.125" style="1" bestFit="1" customWidth="1"/>
    <col min="36" max="36" width="1.25" style="1" customWidth="1"/>
    <col min="37"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34" ht="18" customHeight="1" outlineLevel="1" x14ac:dyDescent="0.3">
      <c r="R17" s="1"/>
      <c r="U17" s="1"/>
      <c r="X17" s="1"/>
      <c r="AD17" s="1"/>
      <c r="AH17" s="1"/>
    </row>
    <row r="18" spans="2:34" ht="18" customHeight="1" outlineLevel="1" x14ac:dyDescent="0.3">
      <c r="R18" s="1"/>
      <c r="U18" s="1"/>
      <c r="X18" s="1"/>
      <c r="AD18" s="1"/>
      <c r="AH18" s="1"/>
    </row>
    <row r="19" spans="2:34" ht="18" customHeight="1" outlineLevel="1" x14ac:dyDescent="0.3">
      <c r="R19" s="1"/>
      <c r="U19" s="1"/>
      <c r="X19" s="1"/>
      <c r="AD19" s="1"/>
      <c r="AH19" s="1"/>
    </row>
    <row r="20" spans="2:34" ht="18" customHeight="1" outlineLevel="1" x14ac:dyDescent="0.3">
      <c r="R20" s="1"/>
      <c r="U20" s="1"/>
      <c r="X20" s="1"/>
      <c r="AD20" s="1"/>
      <c r="AH20" s="1"/>
    </row>
    <row r="21" spans="2:34" ht="16.5" outlineLevel="1" x14ac:dyDescent="0.3">
      <c r="E21" s="28" t="s">
        <v>40</v>
      </c>
      <c r="F21" t="s">
        <v>43</v>
      </c>
      <c r="R21" s="1"/>
      <c r="U21" s="1"/>
      <c r="X21" s="1"/>
      <c r="AD21" s="1"/>
      <c r="AH21" s="1"/>
    </row>
    <row r="22" spans="2:34" ht="18" customHeight="1" x14ac:dyDescent="0.3">
      <c r="R22" s="1"/>
      <c r="U22" s="1"/>
      <c r="W22" s="30" t="s">
        <v>53</v>
      </c>
      <c r="X22" s="1"/>
      <c r="AB22" s="31">
        <f>SUM(Table_HieuQuaSX_KHTieuThu[Giá trị cần đặt])</f>
        <v>72126966.901790559</v>
      </c>
      <c r="AD22" s="1"/>
      <c r="AH22" s="1"/>
    </row>
    <row r="23" spans="2:34" ht="16.5" x14ac:dyDescent="0.3">
      <c r="B23" s="28" t="s">
        <v>45</v>
      </c>
      <c r="C23" t="s">
        <v>49</v>
      </c>
      <c r="E23" s="28" t="s">
        <v>45</v>
      </c>
      <c r="F23" t="s">
        <v>50</v>
      </c>
      <c r="H23" s="28" t="s">
        <v>45</v>
      </c>
      <c r="I23" t="s">
        <v>51</v>
      </c>
      <c r="J23" t="s">
        <v>52</v>
      </c>
      <c r="L23" s="1" t="s">
        <v>40</v>
      </c>
      <c r="M23" s="1" t="s">
        <v>41</v>
      </c>
      <c r="N23" s="1" t="s">
        <v>42</v>
      </c>
      <c r="O23" s="1" t="s">
        <v>11</v>
      </c>
      <c r="P23" s="1" t="s">
        <v>12</v>
      </c>
      <c r="Q23" s="1" t="s">
        <v>14</v>
      </c>
      <c r="R23" s="1" t="s">
        <v>16</v>
      </c>
      <c r="S23" s="1" t="s">
        <v>19</v>
      </c>
      <c r="T23" s="1" t="s">
        <v>15</v>
      </c>
      <c r="U23" s="1" t="s">
        <v>17</v>
      </c>
      <c r="W23" s="1" t="s">
        <v>11</v>
      </c>
      <c r="X23" s="1" t="s">
        <v>12</v>
      </c>
      <c r="Y23" s="1" t="s">
        <v>15</v>
      </c>
      <c r="Z23" s="1" t="s">
        <v>18</v>
      </c>
      <c r="AA23" s="1" t="s">
        <v>20</v>
      </c>
      <c r="AB23" s="1" t="s">
        <v>13</v>
      </c>
      <c r="AD23" s="1"/>
      <c r="AH23" s="1"/>
    </row>
    <row r="24" spans="2:34" ht="16.5" x14ac:dyDescent="0.3">
      <c r="B24" s="8" t="s">
        <v>43</v>
      </c>
      <c r="C24">
        <v>315789.47368421056</v>
      </c>
      <c r="E24" s="8" t="s">
        <v>47</v>
      </c>
      <c r="F24" s="29">
        <v>42105263.157894738</v>
      </c>
      <c r="H24" s="8" t="s">
        <v>47</v>
      </c>
      <c r="I24" s="29">
        <v>400</v>
      </c>
      <c r="J24" s="29">
        <v>515.89799240368961</v>
      </c>
      <c r="L24" s="2" t="s">
        <v>43</v>
      </c>
      <c r="M24" s="2"/>
      <c r="N24" s="2">
        <v>200</v>
      </c>
      <c r="O24" s="1" t="s">
        <v>47</v>
      </c>
      <c r="P24" s="4"/>
      <c r="Q24" s="32">
        <v>2</v>
      </c>
      <c r="R24" s="7">
        <v>0.05</v>
      </c>
      <c r="S24" s="3">
        <f>IFERROR(
Table_HieuQuaSX_DinhMuc[[#This Row],[Định mức]]*Table_HieuQuaSX_DinhMuc[[#This Row],[Sản lượng kế hoạch]]/(1-Table_HieuQuaSX_DinhMuc[[#This Row],[Hao hụt]]),0)</f>
        <v>421.0526315789474</v>
      </c>
      <c r="T24" s="3">
        <f>VLOOKUP(Table_HieuQuaSX_DinhMuc[[#This Row],[Nguyên liệu]],
Table_HieuQuaSX_KHTieuThu[],
COUNTA(Table_HieuQuaSX_KHTieuThu[[#Headers],[Nguyên liệu]:[Đơn giá]]),
0)</f>
        <v>100000</v>
      </c>
      <c r="U24" s="3">
        <f>Table_HieuQuaSX_DinhMuc[[#This Row],[Đơn giá]]*Table_HieuQuaSX_DinhMuc[[#This Row],[Số lượng tiêu thụ]]</f>
        <v>42105263.157894738</v>
      </c>
      <c r="W24" s="1" t="s">
        <v>47</v>
      </c>
      <c r="X24" s="6"/>
      <c r="Y24" s="5">
        <v>100000</v>
      </c>
      <c r="Z24" s="3">
        <v>400</v>
      </c>
      <c r="AA24" s="3">
        <f>MAX(0,
IFERROR(
SUM(_xlfn._xlws.FILTER(Table_HieuQuaSX_DinhMuc[Số lượng tiêu thụ],
(Table_HieuQuaSX_DinhMuc[Nguyên liệu] = Table_HieuQuaSX_KHTieuThu[[#This Row],[Nguyên liệu]])
)),0)
-Table_HieuQuaSX_KHTieuThu[[#This Row],[Tồn kho hiện tại]]
)</f>
        <v>515.89799240368961</v>
      </c>
      <c r="AB24" s="3">
        <f>Table_HieuQuaSX_KHTieuThu[[#This Row],[Số lượng cần đặt]]*Table_HieuQuaSX_KHTieuThu[[#This Row],[Đơn giá]]</f>
        <v>51589799.240368962</v>
      </c>
      <c r="AD24" s="1"/>
      <c r="AH24" s="1"/>
    </row>
    <row r="25" spans="2:34" ht="16.5" x14ac:dyDescent="0.3">
      <c r="B25" s="8" t="s">
        <v>44</v>
      </c>
      <c r="C25">
        <v>329896.90721649484</v>
      </c>
      <c r="E25" s="8" t="s">
        <v>48</v>
      </c>
      <c r="F25" s="29">
        <v>21052631.578947369</v>
      </c>
      <c r="H25" s="8" t="s">
        <v>48</v>
      </c>
      <c r="I25" s="29">
        <v>250</v>
      </c>
      <c r="J25" s="29">
        <v>102.68583830710799</v>
      </c>
      <c r="L25" s="2" t="s">
        <v>43</v>
      </c>
      <c r="M25" s="2"/>
      <c r="N25" s="2">
        <v>200</v>
      </c>
      <c r="O25" s="1" t="s">
        <v>48</v>
      </c>
      <c r="P25" s="4"/>
      <c r="Q25" s="32">
        <v>0.5</v>
      </c>
      <c r="R25" s="7">
        <v>0.05</v>
      </c>
      <c r="S25" s="3">
        <f>IFERROR(
Table_HieuQuaSX_DinhMuc[[#This Row],[Định mức]]*Table_HieuQuaSX_DinhMuc[[#This Row],[Sản lượng kế hoạch]]/(1-Table_HieuQuaSX_DinhMuc[[#This Row],[Hao hụt]]),0)</f>
        <v>105.26315789473685</v>
      </c>
      <c r="T25" s="3">
        <f>VLOOKUP(Table_HieuQuaSX_DinhMuc[[#This Row],[Nguyên liệu]],
Table_HieuQuaSX_KHTieuThu[],
COUNTA(Table_HieuQuaSX_KHTieuThu[[#Headers],[Nguyên liệu]:[Đơn giá]]),
0)</f>
        <v>200000</v>
      </c>
      <c r="U25" s="3">
        <f>Table_HieuQuaSX_DinhMuc[[#This Row],[Đơn giá]]*Table_HieuQuaSX_DinhMuc[[#This Row],[Số lượng tiêu thụ]]</f>
        <v>21052631.578947369</v>
      </c>
      <c r="W25" s="1" t="s">
        <v>48</v>
      </c>
      <c r="X25" s="6"/>
      <c r="Y25" s="5">
        <v>200000</v>
      </c>
      <c r="Z25" s="3">
        <v>250</v>
      </c>
      <c r="AA25" s="3">
        <f>MAX(0,
IFERROR(
SUM(_xlfn._xlws.FILTER(Table_HieuQuaSX_DinhMuc[Số lượng tiêu thụ],
(Table_HieuQuaSX_DinhMuc[Nguyên liệu] = Table_HieuQuaSX_KHTieuThu[[#This Row],[Nguyên liệu]])
)),0)
-Table_HieuQuaSX_KHTieuThu[[#This Row],[Tồn kho hiện tại]]
)</f>
        <v>102.68583830710799</v>
      </c>
      <c r="AB25" s="3">
        <f>Table_HieuQuaSX_KHTieuThu[[#This Row],[Số lượng cần đặt]]*Table_HieuQuaSX_KHTieuThu[[#This Row],[Đơn giá]]</f>
        <v>20537167.661421597</v>
      </c>
      <c r="AC25"/>
      <c r="AD25" s="1"/>
      <c r="AG25"/>
      <c r="AH25" s="1"/>
    </row>
    <row r="26" spans="2:34" ht="16.5" x14ac:dyDescent="0.3">
      <c r="B26" s="8" t="s">
        <v>46</v>
      </c>
      <c r="C26">
        <v>648507.86760716222</v>
      </c>
      <c r="E26" s="8" t="s">
        <v>46</v>
      </c>
      <c r="F26" s="29">
        <v>63157894.736842111</v>
      </c>
      <c r="H26" s="8" t="s">
        <v>46</v>
      </c>
      <c r="I26" s="29">
        <v>650</v>
      </c>
      <c r="J26" s="29">
        <v>618.58383071079766</v>
      </c>
      <c r="L26" s="2" t="s">
        <v>44</v>
      </c>
      <c r="M26" s="2"/>
      <c r="N26" s="2">
        <v>300</v>
      </c>
      <c r="O26" s="1" t="s">
        <v>47</v>
      </c>
      <c r="P26" s="4"/>
      <c r="Q26" s="32">
        <v>1.6</v>
      </c>
      <c r="R26" s="7">
        <v>0.03</v>
      </c>
      <c r="S26" s="3">
        <f>IFERROR(
Table_HieuQuaSX_DinhMuc[[#This Row],[Định mức]]*Table_HieuQuaSX_DinhMuc[[#This Row],[Sản lượng kế hoạch]]/(1-Table_HieuQuaSX_DinhMuc[[#This Row],[Hao hụt]]),0)</f>
        <v>494.84536082474227</v>
      </c>
      <c r="T26" s="3">
        <f>VLOOKUP(Table_HieuQuaSX_DinhMuc[[#This Row],[Nguyên liệu]],
Table_HieuQuaSX_KHTieuThu[],
COUNTA(Table_HieuQuaSX_KHTieuThu[[#Headers],[Nguyên liệu]:[Đơn giá]]),
0)</f>
        <v>100000</v>
      </c>
      <c r="U26" s="3">
        <f>Table_HieuQuaSX_DinhMuc[[#This Row],[Đơn giá]]*Table_HieuQuaSX_DinhMuc[[#This Row],[Số lượng tiêu thụ]]</f>
        <v>49484536.082474224</v>
      </c>
      <c r="X26" s="1"/>
      <c r="AC26"/>
      <c r="AD26" s="1"/>
      <c r="AG26"/>
      <c r="AH26" s="1"/>
    </row>
    <row r="27" spans="2:34" ht="16.5" x14ac:dyDescent="0.3">
      <c r="B27"/>
      <c r="C27"/>
      <c r="E27"/>
      <c r="F27"/>
      <c r="H27"/>
      <c r="I27"/>
      <c r="J27"/>
      <c r="L27" s="2" t="s">
        <v>44</v>
      </c>
      <c r="M27" s="2"/>
      <c r="N27" s="2">
        <v>300</v>
      </c>
      <c r="O27" s="1" t="s">
        <v>48</v>
      </c>
      <c r="P27" s="4"/>
      <c r="Q27" s="32">
        <v>0.8</v>
      </c>
      <c r="R27" s="7">
        <v>0.03</v>
      </c>
      <c r="S27" s="3">
        <f>IFERROR(
Table_HieuQuaSX_DinhMuc[[#This Row],[Định mức]]*Table_HieuQuaSX_DinhMuc[[#This Row],[Sản lượng kế hoạch]]/(1-Table_HieuQuaSX_DinhMuc[[#This Row],[Hao hụt]]),0)</f>
        <v>247.42268041237114</v>
      </c>
      <c r="T27" s="3">
        <f>VLOOKUP(Table_HieuQuaSX_DinhMuc[[#This Row],[Nguyên liệu]],
Table_HieuQuaSX_KHTieuThu[],
COUNTA(Table_HieuQuaSX_KHTieuThu[[#Headers],[Nguyên liệu]:[Đơn giá]]),
0)</f>
        <v>200000</v>
      </c>
      <c r="U27" s="3">
        <f>Table_HieuQuaSX_DinhMuc[[#This Row],[Đơn giá]]*Table_HieuQuaSX_DinhMuc[[#This Row],[Số lượng tiêu thụ]]</f>
        <v>49484536.082474224</v>
      </c>
      <c r="X27" s="1"/>
      <c r="AC27"/>
      <c r="AD27" s="1"/>
      <c r="AG27"/>
      <c r="AH27" s="1"/>
    </row>
    <row r="28" spans="2:34" ht="16.5" x14ac:dyDescent="0.3">
      <c r="B28"/>
      <c r="C28"/>
      <c r="E28"/>
      <c r="F28"/>
      <c r="H28"/>
      <c r="I28"/>
      <c r="J28"/>
      <c r="Q28"/>
      <c r="R28" s="1"/>
      <c r="T28"/>
      <c r="X28" s="1"/>
      <c r="AC28"/>
      <c r="AD28" s="1"/>
      <c r="AG28"/>
      <c r="AH28" s="1"/>
    </row>
    <row r="29" spans="2:34" ht="16.5" x14ac:dyDescent="0.3">
      <c r="B29"/>
      <c r="C29"/>
      <c r="E29"/>
      <c r="F29"/>
      <c r="H29"/>
      <c r="I29"/>
      <c r="J29"/>
    </row>
    <row r="30" spans="2:34" ht="16.5" x14ac:dyDescent="0.3">
      <c r="B30"/>
      <c r="C30"/>
      <c r="E30"/>
      <c r="F30"/>
      <c r="H30"/>
      <c r="I30"/>
      <c r="J30"/>
    </row>
    <row r="31" spans="2:34" ht="16.5" x14ac:dyDescent="0.3">
      <c r="B31"/>
      <c r="C31"/>
      <c r="E31"/>
      <c r="F31"/>
      <c r="H31"/>
      <c r="I31"/>
      <c r="J31"/>
    </row>
    <row r="32" spans="2:34" ht="16.5" x14ac:dyDescent="0.3">
      <c r="B32"/>
      <c r="C32"/>
      <c r="E32"/>
      <c r="F32"/>
      <c r="H32"/>
      <c r="I32"/>
      <c r="J32"/>
    </row>
    <row r="33" spans="2:10" ht="16.5" x14ac:dyDescent="0.3">
      <c r="B33"/>
      <c r="C33"/>
      <c r="E33"/>
      <c r="F33"/>
      <c r="H33"/>
      <c r="I33"/>
      <c r="J33"/>
    </row>
    <row r="34" spans="2:10" ht="16.5" x14ac:dyDescent="0.3">
      <c r="B34"/>
      <c r="C34"/>
      <c r="E34"/>
      <c r="F34"/>
      <c r="H34"/>
      <c r="I34"/>
      <c r="J34"/>
    </row>
    <row r="35" spans="2:10" ht="16.5" x14ac:dyDescent="0.3">
      <c r="B35"/>
      <c r="C35"/>
      <c r="E35"/>
      <c r="F35"/>
      <c r="H35"/>
      <c r="I35"/>
      <c r="J35"/>
    </row>
    <row r="36" spans="2:10" ht="16.5" x14ac:dyDescent="0.3">
      <c r="B36"/>
      <c r="C36"/>
      <c r="E36"/>
      <c r="F36"/>
      <c r="H36"/>
      <c r="I36"/>
      <c r="J36"/>
    </row>
    <row r="37" spans="2:10" ht="16.5" x14ac:dyDescent="0.3">
      <c r="B37"/>
      <c r="C37"/>
      <c r="E37"/>
      <c r="F37"/>
      <c r="H37"/>
      <c r="I37"/>
      <c r="J37"/>
    </row>
    <row r="38" spans="2:10" ht="16.5" x14ac:dyDescent="0.3">
      <c r="B38"/>
      <c r="C38"/>
      <c r="E38"/>
      <c r="F38"/>
      <c r="H38"/>
      <c r="I38"/>
      <c r="J38"/>
    </row>
    <row r="39" spans="2:10" ht="16.5" x14ac:dyDescent="0.3">
      <c r="B39"/>
      <c r="C39"/>
      <c r="E39"/>
      <c r="F39"/>
      <c r="H39"/>
      <c r="I39"/>
      <c r="J39"/>
    </row>
    <row r="40" spans="2:10" ht="16.5" x14ac:dyDescent="0.3">
      <c r="B40"/>
      <c r="C40"/>
      <c r="E40"/>
      <c r="F40"/>
      <c r="H40"/>
      <c r="I40"/>
      <c r="J40"/>
    </row>
  </sheetData>
  <sheetProtection algorithmName="SHA-512" hashValue="UgVeDwKTV9Jao/m7vynrwJzr2dlf6vpCb8F7ctyR/FKZzorC8EyfuL6LGInfKLAc0j1SWX5fMvNH9sG28WHFXA==" saltValue="rS0QJR3aihwASEzf/k4K4A==" spinCount="100000" sheet="1" scenarios="1" formatCells="0" formatColumns="0" formatRows="0" autoFilter="0" pivotTables="0"/>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14</xdr:col>
                    <xdr:colOff>1047750</xdr:colOff>
                    <xdr:row>0</xdr:row>
                    <xdr:rowOff>123825</xdr:rowOff>
                  </from>
                  <to>
                    <xdr:col>15</xdr:col>
                    <xdr:colOff>371475</xdr:colOff>
                    <xdr:row>1</xdr:row>
                    <xdr:rowOff>152400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15</xdr:col>
                    <xdr:colOff>552450</xdr:colOff>
                    <xdr:row>0</xdr:row>
                    <xdr:rowOff>123825</xdr:rowOff>
                  </from>
                  <to>
                    <xdr:col>16</xdr:col>
                    <xdr:colOff>457200</xdr:colOff>
                    <xdr:row>1</xdr:row>
                    <xdr:rowOff>152400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238125</xdr:colOff>
                    <xdr:row>0</xdr:row>
                    <xdr:rowOff>152400</xdr:rowOff>
                  </from>
                  <to>
                    <xdr:col>13</xdr:col>
                    <xdr:colOff>828675</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13</xdr:col>
                    <xdr:colOff>704850</xdr:colOff>
                    <xdr:row>0</xdr:row>
                    <xdr:rowOff>152400</xdr:rowOff>
                  </from>
                  <to>
                    <xdr:col>14</xdr:col>
                    <xdr:colOff>76200</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13</xdr:col>
                    <xdr:colOff>1171575</xdr:colOff>
                    <xdr:row>0</xdr:row>
                    <xdr:rowOff>152400</xdr:rowOff>
                  </from>
                  <to>
                    <xdr:col>14</xdr:col>
                    <xdr:colOff>542925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14</xdr:col>
                    <xdr:colOff>419100</xdr:colOff>
                    <xdr:row>0</xdr:row>
                    <xdr:rowOff>152400</xdr:rowOff>
                  </from>
                  <to>
                    <xdr:col>14</xdr:col>
                    <xdr:colOff>771525</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133350</xdr:colOff>
                    <xdr:row>0</xdr:row>
                    <xdr:rowOff>104775</xdr:rowOff>
                  </from>
                  <to>
                    <xdr:col>14</xdr:col>
                    <xdr:colOff>885825</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171450</xdr:colOff>
                    <xdr:row>0</xdr:row>
                    <xdr:rowOff>104775</xdr:rowOff>
                  </from>
                  <to>
                    <xdr:col>13</xdr:col>
                    <xdr:colOff>85725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247650</xdr:colOff>
                    <xdr:row>0</xdr:row>
                    <xdr:rowOff>200025</xdr:rowOff>
                  </from>
                  <to>
                    <xdr:col>11</xdr:col>
                    <xdr:colOff>714375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762000</xdr:colOff>
                    <xdr:row>0</xdr:row>
                    <xdr:rowOff>200025</xdr:rowOff>
                  </from>
                  <to>
                    <xdr:col>12</xdr:col>
                    <xdr:colOff>361950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409575</xdr:colOff>
                    <xdr:row>0</xdr:row>
                    <xdr:rowOff>200025</xdr:rowOff>
                  </from>
                  <to>
                    <xdr:col>13</xdr:col>
                    <xdr:colOff>0</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17</xdr:col>
                    <xdr:colOff>47625</xdr:colOff>
                    <xdr:row>0</xdr:row>
                    <xdr:rowOff>123825</xdr:rowOff>
                  </from>
                  <to>
                    <xdr:col>17</xdr:col>
                    <xdr:colOff>638175</xdr:colOff>
                    <xdr:row>1</xdr:row>
                    <xdr:rowOff>152400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F53924F9-F227-4F7F-9A12-DCE1A492951D}">
            <xm:f>Security!$A$1="NO VBA"</xm:f>
            <x14:dxf>
              <font>
                <color theme="0"/>
              </font>
              <border>
                <vertical/>
                <horizontal/>
              </border>
            </x14:dxf>
          </x14:cfRule>
          <xm:sqref>AE29:AG1048576 AD25:AF28 AI29:XFD1048576 AH25:XFD28 S29:T1048576 L29:Q1048576 L1:S1 R27:S28 L28:P28 P27 P26:U26 L25:U25 AC24:XFD24 Y29:AC1048576 W1:Z23 X24:AB28 W24:W1048576 L2:Q24 R1:U24 L26:O27 AC1:XFD1 AA2:XFD23</xm:sqref>
        </x14:conditionalFormatting>
        <x14:conditionalFormatting xmlns:xm="http://schemas.microsoft.com/office/excel/2006/main">
          <x14:cfRule type="expression" priority="9" id="{738BC6EA-8F4D-4A98-835C-339D4A32D91F}">
            <xm:f>Security!$A$1="NO VBA"</xm:f>
            <x14:dxf>
              <font>
                <color theme="0"/>
              </font>
              <border>
                <vertical/>
                <horizontal/>
              </border>
            </x14:dxf>
          </x14:cfRule>
          <xm:sqref>AB22</xm:sqref>
        </x14:conditionalFormatting>
        <x14:conditionalFormatting xmlns:xm="http://schemas.microsoft.com/office/excel/2006/main">
          <x14:cfRule type="expression" priority="5" id="{E564540E-F96C-4DDF-87BC-7919892712A3}">
            <xm:f>Security!$A$1="NO VBA"</xm:f>
            <x14:dxf>
              <font>
                <color theme="0"/>
              </font>
              <border>
                <vertical/>
                <horizontal/>
              </border>
            </x14:dxf>
          </x14:cfRule>
          <xm:sqref>K1:K1048576</xm:sqref>
        </x14:conditionalFormatting>
        <x14:conditionalFormatting xmlns:xm="http://schemas.microsoft.com/office/excel/2006/main">
          <x14:cfRule type="expression" priority="4" id="{046908C8-DD4C-4D5A-BE51-FD99E35BA971}">
            <xm:f>Security!$A$1="NO VBA"</xm:f>
            <x14:dxf>
              <font>
                <color theme="0"/>
              </font>
              <border>
                <vertical/>
                <horizontal/>
              </border>
            </x14:dxf>
          </x14:cfRule>
          <xm:sqref>A1:A1048576</xm:sqref>
        </x14:conditionalFormatting>
        <x14:conditionalFormatting xmlns:xm="http://schemas.microsoft.com/office/excel/2006/main">
          <x14:cfRule type="expression" priority="3" id="{9494DD5C-DE9E-4CF3-9738-5E33FCB06611}">
            <xm:f>Security!$A$1="NO VBA"</xm:f>
            <x14:dxf>
              <font>
                <color theme="0"/>
              </font>
              <border>
                <vertical/>
                <horizontal/>
              </border>
            </x14:dxf>
          </x14:cfRule>
          <xm:sqref>D1:D1048576</xm:sqref>
        </x14:conditionalFormatting>
        <x14:conditionalFormatting xmlns:xm="http://schemas.microsoft.com/office/excel/2006/main">
          <x14:cfRule type="expression" priority="2" id="{B1B27997-70FA-42C4-8D10-EDF8A29188EF}">
            <xm:f>Security!$A$1="NO VBA"</xm:f>
            <x14:dxf>
              <font>
                <color theme="0"/>
              </font>
              <border>
                <vertical/>
                <horizontal/>
              </border>
            </x14:dxf>
          </x14:cfRule>
          <xm:sqref>V1:V1048576</xm:sqref>
        </x14:conditionalFormatting>
        <x14:conditionalFormatting xmlns:xm="http://schemas.microsoft.com/office/excel/2006/main">
          <x14:cfRule type="expression" priority="1" id="{6343E620-B53B-4B64-873D-EA3CAE98026B}">
            <xm:f>Security!$A$1="NO VBA"</xm:f>
            <x14:dxf>
              <font>
                <color theme="0"/>
              </font>
              <border>
                <vertical/>
                <horizontal/>
              </border>
            </x14:dxf>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�n   v � � � �n   t � �  l �� �n   � �  c �n   � � �n   v � � � �n   t � �  l �� �n   � �  c �n   � 
</file>

<file path=customXml/item2.xml>�� 
</file>

<file path=customXml/item3.xml>�� � � � � 
</file>

<file path=customXml/item4.xml>��   
</file>

<file path=customXml/item5.xml>�� 
</file>

<file path=customXml/item6.xml>�� �c   n  �c   n  
</file>

<file path=customXml/item7.xml>��   
</file>

<file path=customXml/item8.xml>��   
</file>

<file path=customXml/item9.xml>�� 
</file>

<file path=customXml/item10.xml>�� 
</file>

<file path=customXml/item11.xml>�� �� �i   t �� � �� �t   � � �  l � � �  l �� �  t � � �� �i   t �� � �� �t   � � �  l � � �  l �� �  t � � 
</file>

<file path=customXml/item12.xml>��   
</file>

<file path=customXml/item13.xml>�� 
</file>

<file path=customXml/item14.xml>��   
</file>

<file path=customXml/item15.xml>�� � �n   v � � �n   l �� �  h o � � �n   v � � � � �  l �� � � � � � �n   v � � �n   l �� �  h o � � �n   v � � � � �  l �� � � � � 
</file>

<file path=customXml/item16.xml>��   
</file>

<file path=customXml/item17.xml>��   
</file>

<file path=customXml/item18.xml>�� �  p h � �c   n  � �� � � �  p h � �c   n  � �� � � 
</file>

<file path=customXml/item19.xml>�� 
</file>

<file path=customXml/item20.xml>�� � � � �� �  l � � � � i �m   s �  d � � �n   c � � �p    � � � � i � �  d �  �  �  �  �  l ��  �  � �  l � � � � � � �� �  l � � � � i �m   s �  d � � �n   c � � �p    � � � � i � �  d �  �  �  �  �  l ��  �  � �  l � � � 
</file>

<file path=customXml/item21.xml>�� 
</file>

<file path=customXml/item22.xml>�� 
</file>

<file path=customXml/item23.xml>�� � � � � �  t �n   � �  t � � � � � � � � � � � �  t �n   � �  t � � � � � � � � � � � �  l �� � � � � � �  s u � � � � � � � � � �� �  l � � � �� �  l � � � �  l � �n   � � �n   s �  b � � �p     �  �  �  �  l ��  �  � � � � � �  t �n   � �  t � � � � � � � � � � � �  t �n   � �  t � � � � � � � � � � � �  l �� � � � � � �  s u � � � � � � � � � �� �  l � � � �� �  l � � � �  l � �n   � � �n   s �  b � � �p     �  �  �  �  l ��  �  � 
</file>

<file path=customXml/item24.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25.xml>�� 
</file>

<file path=customXml/item26.xml>�� 
</file>

<file path=customXml/item27.xml>�� � � � i � �  d � i �m   s �  d � �� �  l � � � � � �n   c � � � � � �  l � � � � �p     �  �  �  �  l ��  �  � � �n   v � � �n   l �� �  h o � � �n   v � � � � �  l �� � � � � � �n   v � � � �n   t � �  l �� �n   � �  c �n   � 
</file>

<file path=customXml/item28.xml>��   
</file>

<file path=customXml/item29.xml>��   
</file>

<file path=customXml/item30.xml>�� 
</file>

<file path=customXml/item31.xml>�� �  �  
</file>

<file path=customXml/item32.xml>�� 
</file>

<file path=customXml/item33.xml>�� 
</file>

<file path=customXml/item34.xml>�� 
</file>

<file path=customXml/item35.xml>�� 
</file>

<file path=customXml/item36.xml>��   
</file>

<file path=customXml/item37.xml>�� 
</file>

<file path=customXml/item38.xml>�� � � �n   v � �  s u � �  l � � � � �n   v � �  s u � �  l � � 
</file>

<file path=customXml/item39.xml>�� �n   �u   t � �n   �u   t � �  �u   t � �i   h � �  �  �u   t � �   � �n   �u   t � �n   �u   t � �  �u   t � �i   h � �  �  �u   t � �   � 
</file>

<file path=customXml/itemProps1.xml><?xml version="1.0" encoding="utf-8"?>
<ds:datastoreItem xmlns:ds="http://schemas.openxmlformats.org/officeDocument/2006/customXml" ds:itemID="{8B98AF96-AE99-4FFA-A257-0384ACCA009E}">
  <ds:schemaRefs/>
</ds:datastoreItem>
</file>

<file path=customXml/itemProps2.xml><?xml version="1.0" encoding="utf-8"?>
<ds:datastoreItem xmlns:ds="http://schemas.openxmlformats.org/officeDocument/2006/customXml" ds:itemID="{E4A72D0F-82E5-49F6-94ED-FAAB12E0866D}">
  <ds:schemaRefs/>
</ds:datastoreItem>
</file>

<file path=customXml/itemProps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A849B9D7-188B-48DA-AB5B-54583621621D}">
  <ds:schemaRefs/>
</ds:datastoreItem>
</file>

<file path=customXml/itemProps5.xml><?xml version="1.0" encoding="utf-8"?>
<ds:datastoreItem xmlns:ds="http://schemas.openxmlformats.org/officeDocument/2006/customXml" ds:itemID="{A1EA2536-6CF2-4BF9-B797-861E61AA8554}">
  <ds:schemaRefs/>
</ds:datastoreItem>
</file>

<file path=customXml/itemProps6.xml><?xml version="1.0" encoding="utf-8"?>
<ds:datastoreItem xmlns:ds="http://schemas.openxmlformats.org/officeDocument/2006/customXml" ds:itemID="{A6D0F6C4-9EB7-4062-86F8-715E8F5BF469}">
  <ds:schemaRefs/>
</ds:datastoreItem>
</file>

<file path=customXml/itemProps7.xml><?xml version="1.0" encoding="utf-8"?>
<ds:datastoreItem xmlns:ds="http://schemas.openxmlformats.org/officeDocument/2006/customXml" ds:itemID="{104A6CAF-8CC0-4F12-8051-31E2340CC4C2}">
  <ds:schemaRefs/>
</ds:datastoreItem>
</file>

<file path=customXml/itemProps8.xml><?xml version="1.0" encoding="utf-8"?>
<ds:datastoreItem xmlns:ds="http://schemas.openxmlformats.org/officeDocument/2006/customXml" ds:itemID="{0B9C3544-1C46-45A4-BEB6-1CE4D6559900}">
  <ds:schemaRefs/>
</ds:datastoreItem>
</file>

<file path=customXml/itemProps9.xml><?xml version="1.0" encoding="utf-8"?>
<ds:datastoreItem xmlns:ds="http://schemas.openxmlformats.org/officeDocument/2006/customXml" ds:itemID="{15928715-2AE1-4852-B923-842E3F216749}">
  <ds:schemaRefs/>
</ds:datastoreItem>
</file>

<file path=customXml/itemProps10.xml><?xml version="1.0" encoding="utf-8"?>
<ds:datastoreItem xmlns:ds="http://schemas.openxmlformats.org/officeDocument/2006/customXml" ds:itemID="{04EC37D3-95F9-4497-8F2D-52060F2CB90B}">
  <ds:schemaRefs/>
</ds:datastoreItem>
</file>

<file path=customXml/itemProps1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3.xml><?xml version="1.0" encoding="utf-8"?>
<ds:datastoreItem xmlns:ds="http://schemas.openxmlformats.org/officeDocument/2006/customXml" ds:itemID="{7021A11F-0BD7-4116-A1BA-408464620E95}">
  <ds:schemaRefs/>
</ds:datastoreItem>
</file>

<file path=customXml/itemProps14.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5.xml><?xml version="1.0" encoding="utf-8"?>
<ds:datastoreItem xmlns:ds="http://schemas.openxmlformats.org/officeDocument/2006/customXml" ds:itemID="{8CF5C40D-0438-4F30-AF26-479883D0ECA4}">
  <ds:schemaRefs/>
</ds:datastoreItem>
</file>

<file path=customXml/itemProps16.xml><?xml version="1.0" encoding="utf-8"?>
<ds:datastoreItem xmlns:ds="http://schemas.openxmlformats.org/officeDocument/2006/customXml" ds:itemID="{15A5E9E7-8554-4C17-8FCE-88C5899190B5}">
  <ds:schemaRefs/>
</ds:datastoreItem>
</file>

<file path=customXml/itemProps17.xml><?xml version="1.0" encoding="utf-8"?>
<ds:datastoreItem xmlns:ds="http://schemas.openxmlformats.org/officeDocument/2006/customXml" ds:itemID="{339EBD31-34FE-48FA-B11C-5697D02F64AC}">
  <ds:schemaRefs/>
</ds:datastoreItem>
</file>

<file path=customXml/itemProps18.xml><?xml version="1.0" encoding="utf-8"?>
<ds:datastoreItem xmlns:ds="http://schemas.openxmlformats.org/officeDocument/2006/customXml" ds:itemID="{7D64D66F-1898-49BE-A788-6FA781CEE8F3}">
  <ds:schemaRefs/>
</ds:datastoreItem>
</file>

<file path=customXml/itemProps19.xml><?xml version="1.0" encoding="utf-8"?>
<ds:datastoreItem xmlns:ds="http://schemas.openxmlformats.org/officeDocument/2006/customXml" ds:itemID="{1DCF6CF2-3AC1-40B5-8ED4-45397DB698C8}">
  <ds:schemaRefs/>
</ds:datastoreItem>
</file>

<file path=customXml/itemProps20.xml><?xml version="1.0" encoding="utf-8"?>
<ds:datastoreItem xmlns:ds="http://schemas.openxmlformats.org/officeDocument/2006/customXml" ds:itemID="{CCFAB5FF-26AB-4CB9-BA2C-5A121007B041}">
  <ds:schemaRefs/>
</ds:datastoreItem>
</file>

<file path=customXml/itemProps2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2.xml><?xml version="1.0" encoding="utf-8"?>
<ds:datastoreItem xmlns:ds="http://schemas.openxmlformats.org/officeDocument/2006/customXml" ds:itemID="{E6D04F09-A0CB-4767-9A3B-DEFC48A93C2E}">
  <ds:schemaRefs/>
</ds:datastoreItem>
</file>

<file path=customXml/itemProps23.xml><?xml version="1.0" encoding="utf-8"?>
<ds:datastoreItem xmlns:ds="http://schemas.openxmlformats.org/officeDocument/2006/customXml" ds:itemID="{2BF00A03-70FC-4137-967C-82A1B61F0E08}">
  <ds:schemaRefs/>
</ds:datastoreItem>
</file>

<file path=customXml/itemProps24.xml><?xml version="1.0" encoding="utf-8"?>
<ds:datastoreItem xmlns:ds="http://schemas.openxmlformats.org/officeDocument/2006/customXml" ds:itemID="{46C12687-E171-4F06-AB12-4269FC52E376}">
  <ds:schemaRefs/>
</ds:datastoreItem>
</file>

<file path=customXml/itemProps25.xml><?xml version="1.0" encoding="utf-8"?>
<ds:datastoreItem xmlns:ds="http://schemas.openxmlformats.org/officeDocument/2006/customXml" ds:itemID="{02186421-9719-4C31-96F7-D4797282906B}">
  <ds:schemaRefs/>
</ds:datastoreItem>
</file>

<file path=customXml/itemProps26.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7.xml><?xml version="1.0" encoding="utf-8"?>
<ds:datastoreItem xmlns:ds="http://schemas.openxmlformats.org/officeDocument/2006/customXml" ds:itemID="{5E546383-D2BA-476C-88AE-B2B724C630BE}">
  <ds:schemaRefs/>
</ds:datastoreItem>
</file>

<file path=customXml/itemProps28.xml><?xml version="1.0" encoding="utf-8"?>
<ds:datastoreItem xmlns:ds="http://schemas.openxmlformats.org/officeDocument/2006/customXml" ds:itemID="{4BA9E5F1-90AC-490B-B178-7C8B339E1A47}">
  <ds:schemaRefs/>
</ds:datastoreItem>
</file>

<file path=customXml/itemProps2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0.xml><?xml version="1.0" encoding="utf-8"?>
<ds:datastoreItem xmlns:ds="http://schemas.openxmlformats.org/officeDocument/2006/customXml" ds:itemID="{BEB9306D-19A9-4A0D-AFA6-D833DD14C823}">
  <ds:schemaRefs/>
</ds:datastoreItem>
</file>

<file path=customXml/itemProps3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2.xml><?xml version="1.0" encoding="utf-8"?>
<ds:datastoreItem xmlns:ds="http://schemas.openxmlformats.org/officeDocument/2006/customXml" ds:itemID="{BD0A3295-775E-4690-B937-12063737D224}">
  <ds:schemaRefs/>
</ds:datastoreItem>
</file>

<file path=customXml/itemProps33.xml><?xml version="1.0" encoding="utf-8"?>
<ds:datastoreItem xmlns:ds="http://schemas.openxmlformats.org/officeDocument/2006/customXml" ds:itemID="{48CCF521-6BC6-4824-9A98-C28B83F05652}">
  <ds:schemaRefs/>
</ds:datastoreItem>
</file>

<file path=customXml/itemProps34.xml><?xml version="1.0" encoding="utf-8"?>
<ds:datastoreItem xmlns:ds="http://schemas.openxmlformats.org/officeDocument/2006/customXml" ds:itemID="{7EEB9E87-0CB2-4B08-8718-D73C70A0EF2E}">
  <ds:schemaRefs/>
</ds:datastoreItem>
</file>

<file path=customXml/itemProps35.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7.xml><?xml version="1.0" encoding="utf-8"?>
<ds:datastoreItem xmlns:ds="http://schemas.openxmlformats.org/officeDocument/2006/customXml" ds:itemID="{A4EF8C1A-1873-467C-B390-C3A3C13B97E1}">
  <ds:schemaRefs/>
</ds:datastoreItem>
</file>

<file path=customXml/itemProps38.xml><?xml version="1.0" encoding="utf-8"?>
<ds:datastoreItem xmlns:ds="http://schemas.openxmlformats.org/officeDocument/2006/customXml" ds:itemID="{19BA8129-97AB-4694-BBC1-89CB3D2043B0}">
  <ds:schemaRefs/>
</ds:datastoreItem>
</file>

<file path=customXml/itemProps39.xml><?xml version="1.0" encoding="utf-8"?>
<ds:datastoreItem xmlns:ds="http://schemas.openxmlformats.org/officeDocument/2006/customXml" ds:itemID="{2458A1B8-FCD1-4F09-B20A-C75300C0B5F2}">
  <ds:schemaRefs>
    <ds:schemaRef ds:uri="http://gemini/pivotcustomization/TableXML_Table_DauTu"/>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Kế hoạch tiêu hao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2025-06-05T09:31:23Z</dcterms:modified>
  <cp:category/>
  <cp:contentStatus/>
</cp:coreProperties>
</file>