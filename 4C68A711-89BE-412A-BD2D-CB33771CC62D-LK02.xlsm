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EFB5F5BB-97F9-4968-BC31-63CFF37DB582}" xr6:coauthVersionLast="47" xr6:coauthVersionMax="47" xr10:uidLastSave="{00000000-0000-0000-0000-000000000000}"/>
  <bookViews>
    <workbookView xWindow="15" yWindow="750" windowWidth="28785" windowHeight="15450" tabRatio="717" firstSheet="1" activeTab="2" xr2:uid="{B2DA85E2-969C-4F09-941C-CE16CCFE9D56}"/>
  </bookViews>
  <sheets>
    <sheet name="Security" sheetId="79" state="veryHidden" r:id="rId1"/>
    <sheet name="EULA" sheetId="77" r:id="rId2"/>
    <sheet name="Kế hoạch tiêu hao" sheetId="58" r:id="rId3"/>
  </sheets>
  <functionGroups builtInGroupCount="19"/>
  <definedNames>
    <definedName name="_xlcn.WorksheetConnection_06.EASYLK02.xlsmTable_HieuQuaSX_DinhMuc" hidden="1">Table_HieuQuaSX_DinhMuc[]</definedName>
    <definedName name="_xlcn.WorksheetConnection_06.EASYLK02.xlsmTable_HieuQuaSX_KHTieuThu" hidden="1">Table_HieuQuaSX_KHTieuThu[]</definedName>
    <definedName name="_xleta.IF" hidden="1" xlm="1">#NAME?</definedName>
    <definedName name="_xleta.N" hidden="1" xlm="1">#NAME?</definedName>
    <definedName name="_xleta.PHI" hidden="1" xlm="1">#NAME?</definedName>
  </definedNames>
  <calcPr calcId="191029"/>
  <pivotCaches>
    <pivotCache cacheId="70" r:id="rId4"/>
    <pivotCache cacheId="71" r:id="rId5"/>
    <pivotCache cacheId="72" r:id="rId6"/>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_HieuQuaSX_DinhMuc" name="Table_HieuQuaSX_DinhMuc" connection="WorksheetConnection_06. EASY-LK02.xlsm!Table_HieuQuaSX_DinhMuc"/>
          <x15:modelTable id="Table_HieuQuaSX_KHTieuThu" name="Table_HieuQuaSX_KHTieuThu" connection="WorksheetConnection_06. EASY-LK02.xlsm!Table_HieuQuaSX_KHTieuThu"/>
        </x15:modelTables>
        <x15:modelRelationships>
          <x15:modelRelationship fromTable="Table_HieuQuaSX_DinhMuc" fromColumn="Nguyên liệu" toTable="Table_HieuQuaSX_KHTieuThu" toColumn="Nguyên liệu"/>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24" i="58" l="1"/>
  <c r="S25" i="58"/>
  <c r="S26" i="58"/>
  <c r="S27" i="58"/>
  <c r="T27" i="58"/>
  <c r="U27" i="58" s="1"/>
  <c r="T25" i="58"/>
  <c r="U25" i="58" s="1"/>
  <c r="T26" i="58"/>
  <c r="U26" i="58" l="1"/>
  <c r="AA25" i="58"/>
  <c r="AB25" i="58" s="1"/>
  <c r="AA24" i="58"/>
  <c r="T24" i="58"/>
  <c r="U24" i="58" s="1"/>
  <c r="AB24" i="58" l="1"/>
  <c r="AB22" i="58"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ED401810-CFBA-40AA-BAAC-B96A70BEA2C3}" name="WorksheetConnection_06. EASY-LK02.xlsm!Table_HieuQuaSX_DinhMuc" type="102" refreshedVersion="8" minRefreshableVersion="5">
    <extLst>
      <ext xmlns:x15="http://schemas.microsoft.com/office/spreadsheetml/2010/11/main" uri="{DE250136-89BD-433C-8126-D09CA5730AF9}">
        <x15:connection id="Table_HieuQuaSX_DinhMuc">
          <x15:rangePr sourceName="_xlcn.WorksheetConnection_06.EASYLK02.xlsmTable_HieuQuaSX_DinhMuc"/>
        </x15:connection>
      </ext>
    </extLst>
  </connection>
  <connection id="3" xr16:uid="{C055F6AD-FAE6-4FEB-BBAE-22B88BF0F9D2}" name="WorksheetConnection_06. EASY-LK02.xlsm!Table_HieuQuaSX_KHTieuThu" type="102" refreshedVersion="8" minRefreshableVersion="5">
    <extLst>
      <ext xmlns:x15="http://schemas.microsoft.com/office/spreadsheetml/2010/11/main" uri="{DE250136-89BD-433C-8126-D09CA5730AF9}">
        <x15:connection id="Table_HieuQuaSX_KHTieuThu">
          <x15:rangePr sourceName="_xlcn.WorksheetConnection_06.EASYLK02.xlsmTable_HieuQuaSX_KHTieuThu"/>
        </x15:connection>
      </ext>
    </extLst>
  </connection>
</connections>
</file>

<file path=xl/sharedStrings.xml><?xml version="1.0" encoding="utf-8"?>
<sst xmlns="http://schemas.openxmlformats.org/spreadsheetml/2006/main" count="87" uniqueCount="62">
  <si>
    <t>Bên A</t>
  </si>
  <si>
    <t>Công ty TNHH Tư vấn Quản trị FIRM</t>
  </si>
  <si>
    <t>[Địa chỉ]</t>
  </si>
  <si>
    <t>[Mã số thuế]</t>
  </si>
  <si>
    <t>[SĐT - Fax]</t>
  </si>
  <si>
    <t>[Website - Page]</t>
  </si>
  <si>
    <t>[STK - Ngân hàng]</t>
  </si>
  <si>
    <t>Bên B</t>
  </si>
  <si>
    <t>Công ty ABC XYZ</t>
  </si>
  <si>
    <t>ID</t>
  </si>
  <si>
    <t>License</t>
  </si>
  <si>
    <t>Nguyên liệu</t>
  </si>
  <si>
    <t>Đơn vị</t>
  </si>
  <si>
    <t>Giá trị cần đặt</t>
  </si>
  <si>
    <t>Định mức</t>
  </si>
  <si>
    <t>Đơn giá</t>
  </si>
  <si>
    <t>Hao hụt</t>
  </si>
  <si>
    <t>Giá trị tiêu thụ</t>
  </si>
  <si>
    <t>Tồn kho hiện tại</t>
  </si>
  <si>
    <t>Số lượng tiêu thụ</t>
  </si>
  <si>
    <t>Số lượng cần đặt</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</si>
  <si>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</si>
  <si>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</si>
  <si>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</si>
  <si>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</si>
  <si>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</si>
  <si>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</si>
  <si>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</si>
  <si>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</si>
  <si>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</si>
  <si>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</si>
  <si>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</si>
  <si>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</si>
  <si>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</si>
  <si>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</si>
  <si>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</si>
  <si>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</si>
  <si>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</si>
  <si>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</si>
  <si>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Thành phẩm</t>
  </si>
  <si>
    <t>Đơn vị thành phẩm</t>
  </si>
  <si>
    <t>Sản lượng kế hoạch</t>
  </si>
  <si>
    <t>TP1</t>
  </si>
  <si>
    <t>TP2</t>
  </si>
  <si>
    <t>Row Labels</t>
  </si>
  <si>
    <t>Grand Total</t>
  </si>
  <si>
    <t>NL1</t>
  </si>
  <si>
    <t>NL2</t>
  </si>
  <si>
    <t>Giá vốn TB</t>
  </si>
  <si>
    <t>Cấu trúc giá vốn</t>
  </si>
  <si>
    <t>Tồn kho</t>
  </si>
  <si>
    <t>Cần đặt</t>
  </si>
  <si>
    <t>TỔNG GIÁ TRỊ CẦN ĐẶT</t>
  </si>
  <si>
    <t>4C68A711-89BE-412A-BD2D-CB33771CC62D</t>
  </si>
  <si>
    <t>EASY-33329183463</t>
  </si>
  <si>
    <t>LK02</t>
  </si>
  <si>
    <t>Red</t>
  </si>
  <si>
    <t>Green</t>
  </si>
  <si>
    <t>Blue</t>
  </si>
  <si>
    <t>Gray</t>
  </si>
  <si>
    <t>Brown</t>
  </si>
  <si>
    <t>PIybEyHvvhO7Rf2wifv7O0bHv5bzw64DdDUJ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</si>
</sst>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3" formatCode="_(* #,##0.00_);_(* \(#,##0.00\);_(* &quot;-&quot;??_);_(@_)"/>
    <numFmt numFmtId="164" formatCode="_(* #,##0_);_(* \(#,##0\);_(* &quot;-&quot;??_);_(@_)"/>
    <numFmt numFmtId="165" formatCode="[$-1010000]d/m/yyyy;@"/>
    <numFmt numFmtId="166" formatCode="_(#,##0_);_(\(#,##0\);_(\-_);_(@_)"/>
  </numFmts>
  <fonts count="17"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sz val="8"/>
      <color theme="9"/>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b/>
      <sz val="14"/>
      <color theme="6"/>
      <name val="Segoe UI Light"/>
      <family val="2"/>
      <scheme val="minor"/>
    </font>
    <font>
      <b/>
      <sz val="12"/>
      <color theme="9" tint="-0.499984740745262"/>
      <name val="Segoe UI Light"/>
      <family val="2"/>
      <scheme val="minor"/>
    </font>
    <font>
      <sz val="11"/>
      <color theme="0"/>
      <name val="Segoe UI Light"/>
      <family val="2"/>
      <scheme val="minor"/>
    </font>
  </fonts>
  <fills count="2">
    <fill>
      <patternFill patternType="none"/>
    </fill>
    <fill>
      <patternFill patternType="gray125"/>
    </fill>
  </fills>
  <borders count="1">
    <border>
      <left/>
      <right/>
      <top/>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34">
    <xf numFmtId="0" fontId="0" fillId="0" borderId="0" xfId="0"/>
    <xf numFmtId="0" fontId="5" fillId="0" borderId="0" xfId="0" applyFont="1" applyAlignment="1" applyProtection="1">
      <alignment vertical="center"/>
      <protection locked="0" hidden="1"/>
    </xf>
    <xf numFmtId="164" fontId="5" fillId="0" borderId="0" xfId="1" applyNumberFormat="1" applyFont="1" applyAlignment="1" applyProtection="1">
      <alignment vertical="center"/>
      <protection locked="0" hidden="1"/>
    </xf>
    <xf numFmtId="164" fontId="7" fillId="0" borderId="0" xfId="1" applyNumberFormat="1" applyFont="1" applyAlignment="1" applyProtection="1">
      <alignment vertical="center"/>
      <protection locked="0" hidden="1"/>
    </xf>
    <xf numFmtId="0" fontId="7" fillId="0" borderId="0" xfId="0" applyFont="1" applyAlignment="1" applyProtection="1">
      <alignment vertical="center"/>
      <protection locked="0" hidden="1"/>
    </xf>
    <xf numFmtId="164" fontId="6" fillId="0" borderId="0" xfId="1" applyNumberFormat="1" applyFont="1" applyAlignment="1" applyProtection="1">
      <alignment vertical="center"/>
      <protection locked="0" hidden="1"/>
    </xf>
    <xf numFmtId="9" fontId="5" fillId="0" borderId="0" xfId="2" applyFont="1" applyAlignment="1" applyProtection="1">
      <alignment vertical="center"/>
      <protection locked="0" hidden="1"/>
    </xf>
    <xf numFmtId="9" fontId="6" fillId="0" borderId="0" xfId="2" applyFont="1" applyAlignment="1" applyProtection="1">
      <alignment vertical="center"/>
      <protection locked="0" hidden="1"/>
    </xf>
    <xf numFmtId="0" fontId="0" fillId="0" borderId="0" xfId="0" applyAlignment="1">
      <alignment horizontal="left"/>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0" fillId="0" borderId="0" xfId="0" applyFont="1" applyAlignment="1" applyProtection="1">
      <alignment horizontal="right" vertical="center"/>
      <protection locked="0"/>
    </xf>
    <xf numFmtId="0" fontId="1" fillId="0" borderId="0" xfId="0" applyFont="1" applyAlignment="1">
      <alignment horizontal="left" vertical="center"/>
    </xf>
    <xf numFmtId="0" fontId="9"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5" fontId="1" fillId="0" borderId="0" xfId="0" applyNumberFormat="1" applyFont="1" applyAlignment="1">
      <alignment horizontal="left" vertical="center"/>
    </xf>
    <xf numFmtId="165"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166" fontId="0" fillId="0" borderId="0" xfId="0" applyNumberFormat="1" applyAlignment="1" applyProtection="1">
      <alignment vertical="center"/>
      <protection locked="0"/>
    </xf>
    <xf numFmtId="166" fontId="8" fillId="0" borderId="0" xfId="0" applyNumberFormat="1" applyFont="1" applyProtection="1">
      <protection locked="0"/>
    </xf>
    <xf numFmtId="166" fontId="0" fillId="0" borderId="0" xfId="0" applyNumberFormat="1" applyProtection="1">
      <protection locked="0"/>
    </xf>
    <xf numFmtId="166" fontId="0" fillId="0" borderId="0" xfId="0" applyNumberFormat="1" applyAlignment="1" applyProtection="1">
      <alignment horizontal="left" vertical="center" indent="1"/>
      <protection locked="0"/>
    </xf>
    <xf numFmtId="166" fontId="8" fillId="0" borderId="0" xfId="0" applyNumberFormat="1" applyFont="1" applyAlignment="1" applyProtection="1">
      <alignment horizontal="left" vertical="center" indent="1"/>
      <protection locked="0"/>
    </xf>
    <xf numFmtId="166" fontId="0" fillId="0" borderId="0" xfId="0" applyNumberFormat="1" applyAlignment="1">
      <alignment horizontal="left"/>
    </xf>
    <xf numFmtId="0" fontId="0" fillId="0" borderId="0" xfId="0" pivotButton="1"/>
    <xf numFmtId="164" fontId="0" fillId="0" borderId="0" xfId="0" applyNumberFormat="1"/>
    <xf numFmtId="0" fontId="14" fillId="0" borderId="0" xfId="0" applyFont="1" applyAlignment="1" applyProtection="1">
      <alignment vertical="center"/>
      <protection locked="0" hidden="1"/>
    </xf>
    <xf numFmtId="164" fontId="15" fillId="0" borderId="0" xfId="1" applyNumberFormat="1" applyFont="1" applyAlignment="1" applyProtection="1">
      <alignment vertical="center"/>
      <protection locked="0" hidden="1"/>
    </xf>
    <xf numFmtId="43" fontId="5" fillId="0" borderId="0" xfId="1" applyFont="1" applyAlignment="1" applyProtection="1">
      <alignment vertical="center"/>
      <protection locked="0" hidden="1"/>
    </xf>
    <xf numFmtId="0" fontId="16" fillId="0" borderId="0" xfId="0" applyFont="1" applyAlignment="1" applyProtection="1">
      <alignment vertical="center"/>
      <protection locked="0"/>
    </xf>
  </cellXfs>
  <cellStyles count="3">
    <cellStyle name="Comma" xfId="1" builtinId="3"/>
    <cellStyle name="Normal" xfId="0" builtinId="0"/>
    <cellStyle name="Percent" xfId="2" builtinId="5"/>
  </cellStyles>
  <dxfs count="35">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34"/>
      <tableStyleElement type="headerRow" dxfId="33"/>
    </tableStyle>
    <tableStyle name="SlicerStyleLight1 2 2" pivot="0" table="0" count="10" xr9:uid="{9DB8D611-4D15-4128-AF8D-E3329BCC5BCE}">
      <tableStyleElement type="wholeTable" dxfId="32"/>
      <tableStyleElement type="headerRow" dxfId="31"/>
    </tableStyle>
    <tableStyle name="TimeSlicerStyleLight1 2" pivot="0" table="0" count="9" xr9:uid="{58382D9D-B456-41C4-B229-09D2A872184E}">
      <tableStyleElement type="wholeTable" dxfId="30"/>
      <tableStyleElement type="headerRow" dxfId="29"/>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1.xml"/><Relationship Id="rId18" Type="http://schemas.openxmlformats.org/officeDocument/2006/relationships/customXml" Target="../customXml/item6.xml"/><Relationship Id="rId26" Type="http://schemas.openxmlformats.org/officeDocument/2006/relationships/customXml" Target="../customXml/item14.xml"/><Relationship Id="rId39" Type="http://schemas.openxmlformats.org/officeDocument/2006/relationships/customXml" Target="../customXml/item27.xml"/><Relationship Id="rId21" Type="http://schemas.openxmlformats.org/officeDocument/2006/relationships/customXml" Target="../customXml/item9.xml"/><Relationship Id="rId34" Type="http://schemas.openxmlformats.org/officeDocument/2006/relationships/customXml" Target="../customXml/item22.xml"/><Relationship Id="rId42" Type="http://schemas.openxmlformats.org/officeDocument/2006/relationships/customXml" Target="../customXml/item30.xml"/><Relationship Id="rId47" Type="http://schemas.openxmlformats.org/officeDocument/2006/relationships/customXml" Target="../customXml/item35.xml"/><Relationship Id="rId50" Type="http://schemas.openxmlformats.org/officeDocument/2006/relationships/customXml" Target="../customXml/item38.xml"/><Relationship Id="rId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customXml" Target="../customXml/item4.xml"/><Relationship Id="rId29" Type="http://schemas.openxmlformats.org/officeDocument/2006/relationships/customXml" Target="../customXml/item17.xml"/><Relationship Id="rId11" Type="http://schemas.openxmlformats.org/officeDocument/2006/relationships/powerPivotData" Target="model/item.data"/><Relationship Id="rId24" Type="http://schemas.openxmlformats.org/officeDocument/2006/relationships/customXml" Target="../customXml/item12.xml"/><Relationship Id="rId32" Type="http://schemas.openxmlformats.org/officeDocument/2006/relationships/customXml" Target="../customXml/item20.xml"/><Relationship Id="rId37" Type="http://schemas.openxmlformats.org/officeDocument/2006/relationships/customXml" Target="../customXml/item25.xml"/><Relationship Id="rId40" Type="http://schemas.openxmlformats.org/officeDocument/2006/relationships/customXml" Target="../customXml/item28.xml"/><Relationship Id="rId45" Type="http://schemas.openxmlformats.org/officeDocument/2006/relationships/customXml" Target="../customXml/item33.xml"/><Relationship Id="rId5" Type="http://schemas.openxmlformats.org/officeDocument/2006/relationships/pivotCacheDefinition" Target="pivotCache/pivotCacheDefinition2.xml"/><Relationship Id="rId15" Type="http://schemas.openxmlformats.org/officeDocument/2006/relationships/customXml" Target="../customXml/item3.xml"/><Relationship Id="rId23" Type="http://schemas.openxmlformats.org/officeDocument/2006/relationships/customXml" Target="../customXml/item11.xml"/><Relationship Id="rId28" Type="http://schemas.openxmlformats.org/officeDocument/2006/relationships/customXml" Target="../customXml/item16.xml"/><Relationship Id="rId36" Type="http://schemas.openxmlformats.org/officeDocument/2006/relationships/customXml" Target="../customXml/item24.xml"/><Relationship Id="rId49" Type="http://schemas.openxmlformats.org/officeDocument/2006/relationships/customXml" Target="../customXml/item37.xml"/><Relationship Id="rId10" Type="http://schemas.openxmlformats.org/officeDocument/2006/relationships/sharedStrings" Target="sharedStrings.xml"/><Relationship Id="rId19" Type="http://schemas.openxmlformats.org/officeDocument/2006/relationships/customXml" Target="../customXml/item7.xml"/><Relationship Id="rId31" Type="http://schemas.openxmlformats.org/officeDocument/2006/relationships/customXml" Target="../customXml/item19.xml"/><Relationship Id="rId44" Type="http://schemas.openxmlformats.org/officeDocument/2006/relationships/customXml" Target="../customXml/item32.xml"/><Relationship Id="rId52"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styles" Target="styles.xml"/><Relationship Id="rId14" Type="http://schemas.openxmlformats.org/officeDocument/2006/relationships/customXml" Target="../customXml/item2.xml"/><Relationship Id="rId22" Type="http://schemas.openxmlformats.org/officeDocument/2006/relationships/customXml" Target="../customXml/item10.xml"/><Relationship Id="rId27" Type="http://schemas.openxmlformats.org/officeDocument/2006/relationships/customXml" Target="../customXml/item15.xml"/><Relationship Id="rId30" Type="http://schemas.openxmlformats.org/officeDocument/2006/relationships/customXml" Target="../customXml/item18.xml"/><Relationship Id="rId35" Type="http://schemas.openxmlformats.org/officeDocument/2006/relationships/customXml" Target="../customXml/item23.xml"/><Relationship Id="rId43" Type="http://schemas.openxmlformats.org/officeDocument/2006/relationships/customXml" Target="../customXml/item31.xml"/><Relationship Id="rId48" Type="http://schemas.openxmlformats.org/officeDocument/2006/relationships/customXml" Target="../customXml/item36.xml"/><Relationship Id="rId8" Type="http://schemas.openxmlformats.org/officeDocument/2006/relationships/connections" Target="connections.xml"/><Relationship Id="rId51" Type="http://schemas.openxmlformats.org/officeDocument/2006/relationships/customXml" Target="../customXml/item39.xml"/><Relationship Id="rId3" Type="http://schemas.openxmlformats.org/officeDocument/2006/relationships/worksheet" Target="worksheets/sheet3.xml"/><Relationship Id="rId12" Type="http://schemas.openxmlformats.org/officeDocument/2006/relationships/calcChain" Target="calcChain.xml"/><Relationship Id="rId17" Type="http://schemas.openxmlformats.org/officeDocument/2006/relationships/customXml" Target="../customXml/item5.xml"/><Relationship Id="rId25" Type="http://schemas.openxmlformats.org/officeDocument/2006/relationships/customXml" Target="../customXml/item13.xml"/><Relationship Id="rId33" Type="http://schemas.openxmlformats.org/officeDocument/2006/relationships/customXml" Target="../customXml/item21.xml"/><Relationship Id="rId38" Type="http://schemas.openxmlformats.org/officeDocument/2006/relationships/customXml" Target="../customXml/item26.xml"/><Relationship Id="rId46" Type="http://schemas.openxmlformats.org/officeDocument/2006/relationships/customXml" Target="../customXml/item34.xml"/><Relationship Id="rId20" Type="http://schemas.openxmlformats.org/officeDocument/2006/relationships/customXml" Target="../customXml/item8.xml"/><Relationship Id="rId41" Type="http://schemas.openxmlformats.org/officeDocument/2006/relationships/customXml" Target="../customXml/item29.xml"/><Relationship Id="rId1" Type="http://schemas.openxmlformats.org/officeDocument/2006/relationships/worksheet" Target="worksheets/sheet1.xml"/><Relationship Id="rId6" Type="http://schemas.openxmlformats.org/officeDocument/2006/relationships/pivotCacheDefinition" Target="pivotCache/pivotCacheDefinition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[06. EASY-LK02 - Nhu cầu đặt hàng.xlsm]Kế hoạch tiêu hao!PivotTable2</c:name>
    <c:fmtId val="0"/>
  </c:pivotSource>
  <c:chart>
    <c:autoTitleDeleted val="1"/>
    <c:pivotFmts>
      <c:pivotFmt>
        <c:idx val="0"/>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'Kế hoạch tiêu hao'!$C$23</c:f>
              <c:strCache>
                <c:ptCount val="1"/>
                <c:pt idx="0">
                  <c:v>Total</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'Kế hoạch tiêu hao'!$B$24:$B$26</c:f>
              <c:strCache>
                <c:ptCount val="2"/>
                <c:pt idx="0">
                  <c:v>TP1</c:v>
                </c:pt>
                <c:pt idx="1">
                  <c:v>TP2</c:v>
                </c:pt>
              </c:strCache>
            </c:strRef>
          </c:cat>
          <c:val>
            <c:numRef>
              <c:f>'Kế hoạch tiêu hao'!$C$24:$C$26</c:f>
              <c:numCache>
                <c:formatCode>General</c:formatCode>
                <c:ptCount val="2"/>
                <c:pt idx="0">
                  <c:v>315789.47368421056</c:v>
                </c:pt>
                <c:pt idx="1">
                  <c:v>329896.90721649484</c:v>
                </c:pt>
              </c:numCache>
            </c:numRef>
          </c:val>
          <c:extLst>
            <c:ext xmlns:c16="http://schemas.microsoft.com/office/drawing/2014/chart" uri="{C3380CC4-5D6E-409C-BE32-E72D297353CC}">
              <c16:uniqueId val="{00000000-4186-4078-AA3E-481B06AC524C}"/>
            </c:ext>
          </c:extLst>
        </c:ser>
        <c:dLbls>
          <c:showLegendKey val="0"/>
          <c:showVal val="0"/>
          <c:showCatName val="0"/>
          <c:showSerName val="0"/>
          <c:showPercent val="0"/>
          <c:showBubbleSize val="0"/>
        </c:dLbls>
        <c:gapWidth val="219"/>
        <c:overlap val="-27"/>
        <c:axId val="2073772479"/>
        <c:axId val="2073759999"/>
      </c:barChart>
      <c:catAx>
        <c:axId val="20737724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073759999"/>
        <c:crosses val="autoZero"/>
        <c:auto val="1"/>
        <c:lblAlgn val="ctr"/>
        <c:lblOffset val="100"/>
        <c:noMultiLvlLbl val="0"/>
      </c:catAx>
      <c:valAx>
        <c:axId val="2073759999"/>
        <c:scaling>
          <c:orientation val="minMax"/>
        </c:scaling>
        <c:delete val="1"/>
        <c:axPos val="l"/>
        <c:numFmt formatCode="General" sourceLinked="1"/>
        <c:majorTickMark val="none"/>
        <c:minorTickMark val="none"/>
        <c:tickLblPos val="nextTo"/>
        <c:crossAx val="2073772479"/>
        <c:crosses val="autoZero"/>
        <c:crossBetween val="between"/>
      </c:valAx>
      <c:spPr>
        <a:solidFill>
          <a:schemeClr val="accent3">
            <a:lumMod val="20000"/>
            <a:lumOff val="80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[06. EASY-LK02 - Nhu cầu đặt hàng.xlsm]Kế hoạch tiêu hao!PivotTable3</c:name>
    <c:fmtId val="0"/>
  </c:pivotSource>
  <c:chart>
    <c:autoTitleDeleted val="1"/>
    <c:pivotFmts>
      <c:pivotFmt>
        <c:idx val="0"/>
        <c:spPr>
          <a:solidFill>
            <a:schemeClr val="accent1"/>
          </a:solidFill>
          <a:ln>
            <a:noFill/>
          </a:ln>
          <a:effectLst/>
        </c:spPr>
        <c:marker>
          <c:symbol val="none"/>
        </c:marker>
        <c:dLbl>
          <c:idx val="0"/>
          <c:numFmt formatCode="General"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s>
    <c:plotArea>
      <c:layout/>
      <c:pieChart>
        <c:varyColors val="1"/>
        <c:ser>
          <c:idx val="0"/>
          <c:order val="0"/>
          <c:tx>
            <c:strRef>
              <c:f>'Kế hoạch tiêu hao'!$F$23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BC09-4250-8C8E-7926EA75D626}"/>
              </c:ext>
            </c:extLst>
          </c:dPt>
          <c:dPt>
            <c:idx val="1"/>
            <c:bubble3D val="0"/>
            <c:spPr>
              <a:solidFill>
                <a:schemeClr val="accent2"/>
              </a:solidFill>
              <a:ln>
                <a:noFill/>
              </a:ln>
              <a:effectLst/>
            </c:spPr>
            <c:extLst>
              <c:ext xmlns:c16="http://schemas.microsoft.com/office/drawing/2014/chart" uri="{C3380CC4-5D6E-409C-BE32-E72D297353CC}">
                <c16:uniqueId val="{00000003-BC09-4250-8C8E-7926EA75D626}"/>
              </c:ext>
            </c:extLst>
          </c:dPt>
          <c:dLbls>
            <c:numFmt formatCode="General"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'Kế hoạch tiêu hao'!$E$24:$E$26</c:f>
              <c:strCache>
                <c:ptCount val="2"/>
                <c:pt idx="0">
                  <c:v>NL1</c:v>
                </c:pt>
                <c:pt idx="1">
                  <c:v>NL2</c:v>
                </c:pt>
              </c:strCache>
            </c:strRef>
          </c:cat>
          <c:val>
            <c:numRef>
              <c:f>'Kế hoạch tiêu hao'!$F$24:$F$26</c:f>
              <c:numCache>
                <c:formatCode>_(* #,##0_);_(* \(#,##0\);_(* "-"??_);_(@_)</c:formatCode>
                <c:ptCount val="2"/>
                <c:pt idx="0">
                  <c:v>42105263.157894738</c:v>
                </c:pt>
                <c:pt idx="1">
                  <c:v>21052631.578947369</c:v>
                </c:pt>
              </c:numCache>
            </c:numRef>
          </c:val>
          <c:extLst>
            <c:ext xmlns:c16="http://schemas.microsoft.com/office/drawing/2014/chart" uri="{C3380CC4-5D6E-409C-BE32-E72D297353CC}">
              <c16:uniqueId val="{00000000-3311-4AF7-A7FE-2D90C28AD130}"/>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[06. EASY-LK02 - Nhu cầu đặt hàng.xlsm]Kế hoạch tiêu hao!PivotTable4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'Kế hoạch tiêu hao'!$I$23</c:f>
              <c:strCache>
                <c:ptCount val="1"/>
                <c:pt idx="0">
                  <c:v>Tồn kho</c:v>
                </c:pt>
              </c:strCache>
            </c:strRef>
          </c:tx>
          <c:spPr>
            <a:solidFill>
              <a:schemeClr val="accent1"/>
            </a:solidFill>
            <a:ln>
              <a:noFill/>
            </a:ln>
            <a:effectLst/>
          </c:spPr>
          <c:invertIfNegative val="0"/>
          <c:cat>
            <c:strRef>
              <c:f>'Kế hoạch tiêu hao'!$H$24:$H$26</c:f>
              <c:strCache>
                <c:ptCount val="2"/>
                <c:pt idx="0">
                  <c:v>NL1</c:v>
                </c:pt>
                <c:pt idx="1">
                  <c:v>NL2</c:v>
                </c:pt>
              </c:strCache>
            </c:strRef>
          </c:cat>
          <c:val>
            <c:numRef>
              <c:f>'Kế hoạch tiêu hao'!$I$24:$I$26</c:f>
              <c:numCache>
                <c:formatCode>_(* #,##0_);_(* \(#,##0\);_(* "-"??_);_(@_)</c:formatCode>
                <c:ptCount val="2"/>
                <c:pt idx="0">
                  <c:v>400</c:v>
                </c:pt>
                <c:pt idx="1">
                  <c:v>250</c:v>
                </c:pt>
              </c:numCache>
            </c:numRef>
          </c:val>
          <c:extLst>
            <c:ext xmlns:c16="http://schemas.microsoft.com/office/drawing/2014/chart" uri="{C3380CC4-5D6E-409C-BE32-E72D297353CC}">
              <c16:uniqueId val="{00000000-720E-4EF8-A81A-9E73C93DD17C}"/>
            </c:ext>
          </c:extLst>
        </c:ser>
        <c:ser>
          <c:idx val="1"/>
          <c:order val="1"/>
          <c:tx>
            <c:strRef>
              <c:f>'Kế hoạch tiêu hao'!$J$23</c:f>
              <c:strCache>
                <c:ptCount val="1"/>
                <c:pt idx="0">
                  <c:v>Cần đặt</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'Kế hoạch tiêu hao'!$H$24:$H$26</c:f>
              <c:strCache>
                <c:ptCount val="2"/>
                <c:pt idx="0">
                  <c:v>NL1</c:v>
                </c:pt>
                <c:pt idx="1">
                  <c:v>NL2</c:v>
                </c:pt>
              </c:strCache>
            </c:strRef>
          </c:cat>
          <c:val>
            <c:numRef>
              <c:f>'Kế hoạch tiêu hao'!$J$24:$J$26</c:f>
              <c:numCache>
                <c:formatCode>_(* #,##0_);_(* \(#,##0\);_(* "-"??_);_(@_)</c:formatCode>
                <c:ptCount val="2"/>
                <c:pt idx="0">
                  <c:v>515.89799240368961</c:v>
                </c:pt>
                <c:pt idx="1">
                  <c:v>102.68583830710799</c:v>
                </c:pt>
              </c:numCache>
            </c:numRef>
          </c:val>
          <c:extLst>
            <c:ext xmlns:c16="http://schemas.microsoft.com/office/drawing/2014/chart" uri="{C3380CC4-5D6E-409C-BE32-E72D297353CC}">
              <c16:uniqueId val="{00000002-720E-4EF8-A81A-9E73C93DD17C}"/>
            </c:ext>
          </c:extLst>
        </c:ser>
        <c:dLbls>
          <c:showLegendKey val="0"/>
          <c:showVal val="0"/>
          <c:showCatName val="0"/>
          <c:showSerName val="0"/>
          <c:showPercent val="0"/>
          <c:showBubbleSize val="0"/>
        </c:dLbls>
        <c:gapWidth val="219"/>
        <c:overlap val="100"/>
        <c:axId val="1431730143"/>
        <c:axId val="1431730623"/>
      </c:barChart>
      <c:catAx>
        <c:axId val="14317301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1730623"/>
        <c:crosses val="autoZero"/>
        <c:auto val="1"/>
        <c:lblAlgn val="ctr"/>
        <c:lblOffset val="100"/>
        <c:noMultiLvlLbl val="0"/>
      </c:catAx>
      <c:valAx>
        <c:axId val="1431730623"/>
        <c:scaling>
          <c:orientation val="minMax"/>
        </c:scaling>
        <c:delete val="1"/>
        <c:axPos val="l"/>
        <c:numFmt formatCode="_(* #,##0_);_(* \(#,##0\);_(* &quot;-&quot;??_);_(@_)" sourceLinked="1"/>
        <c:majorTickMark val="none"/>
        <c:minorTickMark val="none"/>
        <c:tickLblPos val="nextTo"/>
        <c:crossAx val="14317301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Radio" firstButton="1" fmlaLink="EULA!$A$1"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1047750</xdr:colOff>
          <xdr:row>0</xdr:row>
          <xdr:rowOff>123825</xdr:rowOff>
        </xdr:from>
        <xdr:to>
          <xdr:col>16</xdr:col>
          <xdr:colOff>457200</xdr:colOff>
          <xdr:row>1</xdr:row>
          <xdr:rowOff>152400</xdr:rowOff>
        </xdr:to>
        <xdr:grpSp>
          <xdr:nvGrpSpPr>
            <xdr:cNvPr id="4" name="Group 3">
              <a:extLst>
                <a:ext uri="{FF2B5EF4-FFF2-40B4-BE49-F238E27FC236}">
                  <a16:creationId xmlns:a16="http://schemas.microsoft.com/office/drawing/2014/main" id="{00000000-0008-0000-1000-000004000000}"/>
                </a:ext>
              </a:extLst>
            </xdr:cNvPr>
            <xdr:cNvGrpSpPr/>
          </xdr:nvGrpSpPr>
          <xdr:grpSpPr>
            <a:xfrm>
              <a:off x="4191000" y="123825"/>
              <a:ext cx="1266825" cy="257175"/>
              <a:chOff x="771525" y="1314450"/>
              <a:chExt cx="1104900" cy="257175"/>
            </a:xfrm>
          </xdr:grpSpPr>
          <xdr:sp macro="" textlink="">
            <xdr:nvSpPr>
              <xdr:cNvPr id="56321" name="Button 1" hidden="1">
                <a:extLst>
                  <a:ext uri="{63B3BB69-23CF-44E3-9099-C40C66FF867C}">
                    <a14:compatExt spid="_x0000_s56321"/>
                  </a:ext>
                  <a:ext uri="{FF2B5EF4-FFF2-40B4-BE49-F238E27FC236}">
                    <a16:creationId xmlns:a16="http://schemas.microsoft.com/office/drawing/2014/main" id="{00000000-0008-0000-0200-000001DC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6322" name="Button 2" hidden="1">
                <a:extLst>
                  <a:ext uri="{63B3BB69-23CF-44E3-9099-C40C66FF867C}">
                    <a14:compatExt spid="_x0000_s56322"/>
                  </a:ext>
                  <a:ext uri="{FF2B5EF4-FFF2-40B4-BE49-F238E27FC236}">
                    <a16:creationId xmlns:a16="http://schemas.microsoft.com/office/drawing/2014/main" id="{00000000-0008-0000-0200-000002DC00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11</xdr:col>
          <xdr:colOff>171448</xdr:colOff>
          <xdr:row>0</xdr:row>
          <xdr:rowOff>104775</xdr:rowOff>
        </xdr:from>
        <xdr:to>
          <xdr:col>14</xdr:col>
          <xdr:colOff>885826</xdr:colOff>
          <xdr:row>2</xdr:row>
          <xdr:rowOff>9525</xdr:rowOff>
        </xdr:to>
        <xdr:grpSp>
          <xdr:nvGrpSpPr>
            <xdr:cNvPr id="12" name="Group 11">
              <a:extLst>
                <a:ext uri="{FF2B5EF4-FFF2-40B4-BE49-F238E27FC236}">
                  <a16:creationId xmlns:a16="http://schemas.microsoft.com/office/drawing/2014/main" id="{00000000-0008-0000-1000-00000C000000}"/>
                </a:ext>
              </a:extLst>
            </xdr:cNvPr>
            <xdr:cNvGrpSpPr/>
          </xdr:nvGrpSpPr>
          <xdr:grpSpPr>
            <a:xfrm>
              <a:off x="361948" y="104775"/>
              <a:ext cx="3667128" cy="361950"/>
              <a:chOff x="6162673" y="3409950"/>
              <a:chExt cx="3695702" cy="361950"/>
            </a:xfrm>
          </xdr:grpSpPr>
          <xdr:grpSp>
            <xdr:nvGrpSpPr>
              <xdr:cNvPr id="13" name="Group 12">
                <a:extLst>
                  <a:ext uri="{FF2B5EF4-FFF2-40B4-BE49-F238E27FC236}">
                    <a16:creationId xmlns:a16="http://schemas.microsoft.com/office/drawing/2014/main" id="{00000000-0008-0000-1000-00000D000000}"/>
                  </a:ext>
                </a:extLst>
              </xdr:cNvPr>
              <xdr:cNvGrpSpPr/>
            </xdr:nvGrpSpPr>
            <xdr:grpSpPr>
              <a:xfrm>
                <a:off x="7867657" y="3409950"/>
                <a:ext cx="1990718" cy="361950"/>
                <a:chOff x="8191507" y="3409950"/>
                <a:chExt cx="1990718" cy="361950"/>
              </a:xfrm>
            </xdr:grpSpPr>
            <xdr:grpSp>
              <xdr:nvGrpSpPr>
                <xdr:cNvPr id="20" name="Group 19">
                  <a:extLst>
                    <a:ext uri="{FF2B5EF4-FFF2-40B4-BE49-F238E27FC236}">
                      <a16:creationId xmlns:a16="http://schemas.microsoft.com/office/drawing/2014/main" id="{00000000-0008-0000-1000-000014000000}"/>
                    </a:ext>
                  </a:extLst>
                </xdr:cNvPr>
                <xdr:cNvGrpSpPr/>
              </xdr:nvGrpSpPr>
              <xdr:grpSpPr>
                <a:xfrm>
                  <a:off x="8302024" y="3452813"/>
                  <a:ext cx="1769678" cy="276225"/>
                  <a:chOff x="8305812" y="3457575"/>
                  <a:chExt cx="1769678" cy="276225"/>
                </a:xfrm>
              </xdr:grpSpPr>
              <xdr:sp macro="" textlink="">
                <xdr:nvSpPr>
                  <xdr:cNvPr id="56326" name="Option Button 6" hidden="1">
                    <a:extLst>
                      <a:ext uri="{63B3BB69-23CF-44E3-9099-C40C66FF867C}">
                        <a14:compatExt spid="_x0000_s56326"/>
                      </a:ext>
                      <a:ext uri="{FF2B5EF4-FFF2-40B4-BE49-F238E27FC236}">
                        <a16:creationId xmlns:a16="http://schemas.microsoft.com/office/drawing/2014/main" id="{00000000-0008-0000-0200-000006DC0000}"/>
                      </a:ext>
                    </a:extLst>
                  </xdr:cNvPr>
                  <xdr:cNvSpPr/>
                </xdr:nvSpPr>
                <xdr:spPr bwMode="auto">
                  <a:xfrm>
                    <a:off x="8305812"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6327" name="Option Button 7" hidden="1">
                    <a:extLst>
                      <a:ext uri="{63B3BB69-23CF-44E3-9099-C40C66FF867C}">
                        <a14:compatExt spid="_x0000_s56327"/>
                      </a:ext>
                      <a:ext uri="{FF2B5EF4-FFF2-40B4-BE49-F238E27FC236}">
                        <a16:creationId xmlns:a16="http://schemas.microsoft.com/office/drawing/2014/main" id="{00000000-0008-0000-0200-000007DC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6328" name="Option Button 8" hidden="1">
                    <a:extLst>
                      <a:ext uri="{63B3BB69-23CF-44E3-9099-C40C66FF867C}">
                        <a14:compatExt spid="_x0000_s56328"/>
                      </a:ext>
                      <a:ext uri="{FF2B5EF4-FFF2-40B4-BE49-F238E27FC236}">
                        <a16:creationId xmlns:a16="http://schemas.microsoft.com/office/drawing/2014/main" id="{00000000-0008-0000-0200-000008DC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6329" name="Option Button 9" hidden="1">
                    <a:extLst>
                      <a:ext uri="{63B3BB69-23CF-44E3-9099-C40C66FF867C}">
                        <a14:compatExt spid="_x0000_s56329"/>
                      </a:ext>
                      <a:ext uri="{FF2B5EF4-FFF2-40B4-BE49-F238E27FC236}">
                        <a16:creationId xmlns:a16="http://schemas.microsoft.com/office/drawing/2014/main" id="{00000000-0008-0000-0200-000009DC0000}"/>
                      </a:ext>
                    </a:extLst>
                  </xdr:cNvPr>
                  <xdr:cNvSpPr/>
                </xdr:nvSpPr>
                <xdr:spPr bwMode="auto">
                  <a:xfrm>
                    <a:off x="971549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6330" name="Group Box 10" hidden="1">
                  <a:extLst>
                    <a:ext uri="{63B3BB69-23CF-44E3-9099-C40C66FF867C}">
                      <a14:compatExt spid="_x0000_s56330"/>
                    </a:ext>
                    <a:ext uri="{FF2B5EF4-FFF2-40B4-BE49-F238E27FC236}">
                      <a16:creationId xmlns:a16="http://schemas.microsoft.com/office/drawing/2014/main" id="{00000000-0008-0000-0200-00000ADC0000}"/>
                    </a:ext>
                  </a:extLst>
                </xdr:cNvPr>
                <xdr:cNvSpPr/>
              </xdr:nvSpPr>
              <xdr:spPr bwMode="auto">
                <a:xfrm>
                  <a:off x="8191507" y="3409950"/>
                  <a:ext cx="1990718"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4" name="Group 13">
                <a:extLst>
                  <a:ext uri="{FF2B5EF4-FFF2-40B4-BE49-F238E27FC236}">
                    <a16:creationId xmlns:a16="http://schemas.microsoft.com/office/drawing/2014/main" id="{00000000-0008-0000-1000-00000E000000}"/>
                  </a:ext>
                </a:extLst>
              </xdr:cNvPr>
              <xdr:cNvGrpSpPr/>
            </xdr:nvGrpSpPr>
            <xdr:grpSpPr>
              <a:xfrm>
                <a:off x="6162673" y="3409950"/>
                <a:ext cx="1657347" cy="361950"/>
                <a:chOff x="6162673" y="3409950"/>
                <a:chExt cx="1657347" cy="361950"/>
              </a:xfrm>
            </xdr:grpSpPr>
            <xdr:sp macro="" textlink="">
              <xdr:nvSpPr>
                <xdr:cNvPr id="56331" name="Group Box 11" hidden="1">
                  <a:extLst>
                    <a:ext uri="{63B3BB69-23CF-44E3-9099-C40C66FF867C}">
                      <a14:compatExt spid="_x0000_s56331"/>
                    </a:ext>
                    <a:ext uri="{FF2B5EF4-FFF2-40B4-BE49-F238E27FC236}">
                      <a16:creationId xmlns:a16="http://schemas.microsoft.com/office/drawing/2014/main" id="{00000000-0008-0000-0200-00000BDC0000}"/>
                    </a:ext>
                  </a:extLst>
                </xdr:cNvPr>
                <xdr:cNvSpPr/>
              </xdr:nvSpPr>
              <xdr:spPr bwMode="auto">
                <a:xfrm>
                  <a:off x="6162673" y="3409950"/>
                  <a:ext cx="1657347"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6" name="Group 15">
                  <a:extLst>
                    <a:ext uri="{FF2B5EF4-FFF2-40B4-BE49-F238E27FC236}">
                      <a16:creationId xmlns:a16="http://schemas.microsoft.com/office/drawing/2014/main" id="{00000000-0008-0000-1000-000010000000}"/>
                    </a:ext>
                  </a:extLst>
                </xdr:cNvPr>
                <xdr:cNvGrpSpPr/>
              </xdr:nvGrpSpPr>
              <xdr:grpSpPr>
                <a:xfrm>
                  <a:off x="6243639" y="3500925"/>
                  <a:ext cx="1495411" cy="180000"/>
                  <a:chOff x="6029325" y="4257675"/>
                  <a:chExt cx="1495411" cy="257175"/>
                </a:xfrm>
              </xdr:grpSpPr>
              <xdr:sp macro="" textlink="">
                <xdr:nvSpPr>
                  <xdr:cNvPr id="56332" name="Button 12" hidden="1">
                    <a:extLst>
                      <a:ext uri="{63B3BB69-23CF-44E3-9099-C40C66FF867C}">
                        <a14:compatExt spid="_x0000_s56332"/>
                      </a:ext>
                      <a:ext uri="{FF2B5EF4-FFF2-40B4-BE49-F238E27FC236}">
                        <a16:creationId xmlns:a16="http://schemas.microsoft.com/office/drawing/2014/main" id="{00000000-0008-0000-0200-00000CDC0000}"/>
                      </a:ext>
                    </a:extLst>
                  </xdr:cNvPr>
                  <xdr:cNvSpPr/>
                </xdr:nvSpPr>
                <xdr:spPr bwMode="auto">
                  <a:xfrm>
                    <a:off x="6029325" y="4257675"/>
                    <a:ext cx="467998"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6333" name="Button 13" hidden="1">
                    <a:extLst>
                      <a:ext uri="{63B3BB69-23CF-44E3-9099-C40C66FF867C}">
                        <a14:compatExt spid="_x0000_s56333"/>
                      </a:ext>
                      <a:ext uri="{FF2B5EF4-FFF2-40B4-BE49-F238E27FC236}">
                        <a16:creationId xmlns:a16="http://schemas.microsoft.com/office/drawing/2014/main" id="{00000000-0008-0000-0200-00000DDC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6334" name="Button 14" hidden="1">
                    <a:extLst>
                      <a:ext uri="{63B3BB69-23CF-44E3-9099-C40C66FF867C}">
                        <a14:compatExt spid="_x0000_s56334"/>
                      </a:ext>
                      <a:ext uri="{FF2B5EF4-FFF2-40B4-BE49-F238E27FC236}">
                        <a16:creationId xmlns:a16="http://schemas.microsoft.com/office/drawing/2014/main" id="{00000000-0008-0000-0200-00000EDC0000}"/>
                      </a:ext>
                    </a:extLst>
                  </xdr:cNvPr>
                  <xdr:cNvSpPr/>
                </xdr:nvSpPr>
                <xdr:spPr bwMode="auto">
                  <a:xfrm>
                    <a:off x="7058018" y="4257675"/>
                    <a:ext cx="466718"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11</xdr:col>
      <xdr:colOff>76200</xdr:colOff>
      <xdr:row>3</xdr:row>
      <xdr:rowOff>19050</xdr:rowOff>
    </xdr:from>
    <xdr:to>
      <xdr:col>16</xdr:col>
      <xdr:colOff>666075</xdr:colOff>
      <xdr:row>20</xdr:row>
      <xdr:rowOff>92850</xdr:rowOff>
    </xdr:to>
    <xdr:graphicFrame macro="">
      <xdr:nvGraphicFramePr>
        <xdr:cNvPr id="5" name="Chart 4">
          <a:extLst>
            <a:ext uri="{FF2B5EF4-FFF2-40B4-BE49-F238E27FC236}">
              <a16:creationId xmlns:a16="http://schemas.microsoft.com/office/drawing/2014/main" id="{ACF699F6-9554-B23A-CC3D-3DFF548284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71437</xdr:colOff>
      <xdr:row>3</xdr:row>
      <xdr:rowOff>19050</xdr:rowOff>
    </xdr:from>
    <xdr:to>
      <xdr:col>20</xdr:col>
      <xdr:colOff>619125</xdr:colOff>
      <xdr:row>20</xdr:row>
      <xdr:rowOff>92850</xdr:rowOff>
    </xdr:to>
    <xdr:graphicFrame macro="">
      <xdr:nvGraphicFramePr>
        <xdr:cNvPr id="6" name="Chart 5">
          <a:extLst>
            <a:ext uri="{FF2B5EF4-FFF2-40B4-BE49-F238E27FC236}">
              <a16:creationId xmlns:a16="http://schemas.microsoft.com/office/drawing/2014/main" id="{B1C11F5F-AFD6-A19C-8D4A-D9D0E1F28F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61912</xdr:colOff>
      <xdr:row>3</xdr:row>
      <xdr:rowOff>19050</xdr:rowOff>
    </xdr:from>
    <xdr:to>
      <xdr:col>26</xdr:col>
      <xdr:colOff>528187</xdr:colOff>
      <xdr:row>20</xdr:row>
      <xdr:rowOff>92850</xdr:rowOff>
    </xdr:to>
    <xdr:graphicFrame macro="">
      <xdr:nvGraphicFramePr>
        <xdr:cNvPr id="8" name="Chart 7">
          <a:extLst>
            <a:ext uri="{FF2B5EF4-FFF2-40B4-BE49-F238E27FC236}">
              <a16:creationId xmlns:a16="http://schemas.microsoft.com/office/drawing/2014/main" id="{3CCEBB3B-D171-8548-9D50-55174A0BCA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47625</xdr:colOff>
          <xdr:row>0</xdr:row>
          <xdr:rowOff>123825</xdr:rowOff>
        </xdr:from>
        <xdr:to>
          <xdr:col>17</xdr:col>
          <xdr:colOff>638175</xdr:colOff>
          <xdr:row>1</xdr:row>
          <xdr:rowOff>152400</xdr:rowOff>
        </xdr:to>
        <xdr:sp macro="" textlink="">
          <xdr:nvSpPr>
            <xdr:cNvPr id="56335" name="Button 15" hidden="1">
              <a:extLst>
                <a:ext uri="{63B3BB69-23CF-44E3-9099-C40C66FF867C}">
                  <a14:compatExt spid="_x0000_s56335"/>
                </a:ext>
                <a:ext uri="{FF2B5EF4-FFF2-40B4-BE49-F238E27FC236}">
                  <a16:creationId xmlns:a16="http://schemas.microsoft.com/office/drawing/2014/main" id="{00000000-0008-0000-0200-00000FD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479081365738" createdVersion="8" refreshedVersion="8" minRefreshableVersion="3" recordCount="2" xr:uid="{4AFD94BC-7D60-4B05-BE1A-E00E91B448AF}">
  <cacheSource type="worksheet">
    <worksheetSource name="Table_HieuQuaSX_KHTieuThu"/>
  </cacheSource>
  <cacheFields count="6">
    <cacheField name="Nguyên liệu" numFmtId="0">
      <sharedItems count="2">
        <s v="NL1"/>
        <s v="NL2"/>
      </sharedItems>
    </cacheField>
    <cacheField name="Đơn vị" numFmtId="9">
      <sharedItems containsNonDate="0" containsString="0" containsBlank="1"/>
    </cacheField>
    <cacheField name="Đơn giá" numFmtId="164">
      <sharedItems containsSemiMixedTypes="0" containsString="0" containsNumber="1" containsInteger="1" minValue="100000" maxValue="200000"/>
    </cacheField>
    <cacheField name="Tồn kho hiện tại" numFmtId="164">
      <sharedItems containsSemiMixedTypes="0" containsString="0" containsNumber="1" containsInteger="1" minValue="250" maxValue="400"/>
    </cacheField>
    <cacheField name="Số lượng cần đặt" numFmtId="164">
      <sharedItems containsSemiMixedTypes="0" containsString="0" containsNumber="1" minValue="102.68583830710799" maxValue="515.89799240368961"/>
    </cacheField>
    <cacheField name="Giá trị cần đặt" numFmtId="164">
      <sharedItems containsSemiMixedTypes="0" containsString="0" containsNumber="1" minValue="20537167.661421597" maxValue="51589799.240368962"/>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479082523147" createdVersion="8" refreshedVersion="8" minRefreshableVersion="3" recordCount="4" xr:uid="{5E7E1F8C-07D8-49A2-A1C9-A0505E37A7F0}">
  <cacheSource type="worksheet">
    <worksheetSource name="Table_HieuQuaSX_DinhMuc"/>
  </cacheSource>
  <cacheFields count="10">
    <cacheField name="Thành phẩm" numFmtId="164">
      <sharedItems count="2">
        <s v="TP1"/>
        <s v="TP2"/>
      </sharedItems>
    </cacheField>
    <cacheField name="Đơn vị thành phẩm" numFmtId="164">
      <sharedItems containsNonDate="0" containsString="0" containsBlank="1"/>
    </cacheField>
    <cacheField name="Sản lượng kế hoạch" numFmtId="164">
      <sharedItems containsSemiMixedTypes="0" containsString="0" containsNumber="1" containsInteger="1" minValue="200" maxValue="300"/>
    </cacheField>
    <cacheField name="Nguyên liệu" numFmtId="0">
      <sharedItems count="2">
        <s v="NL1"/>
        <s v="NL2"/>
      </sharedItems>
    </cacheField>
    <cacheField name="Đơn vị" numFmtId="0">
      <sharedItems containsNonDate="0" containsString="0" containsBlank="1"/>
    </cacheField>
    <cacheField name="Định mức" numFmtId="43">
      <sharedItems containsSemiMixedTypes="0" containsString="0" containsNumber="1" minValue="0.5" maxValue="2"/>
    </cacheField>
    <cacheField name="Hao hụt" numFmtId="9">
      <sharedItems containsSemiMixedTypes="0" containsString="0" containsNumber="1" minValue="0.03" maxValue="0.05"/>
    </cacheField>
    <cacheField name="Số lượng tiêu thụ" numFmtId="164">
      <sharedItems containsSemiMixedTypes="0" containsString="0" containsNumber="1" minValue="105.26315789473685" maxValue="494.84536082474227"/>
    </cacheField>
    <cacheField name="Đơn giá" numFmtId="164">
      <sharedItems containsSemiMixedTypes="0" containsString="0" containsNumber="1" containsInteger="1" minValue="100000" maxValue="200000"/>
    </cacheField>
    <cacheField name="Giá trị tiêu thụ" numFmtId="164">
      <sharedItems containsSemiMixedTypes="0" containsString="0" containsNumber="1" minValue="21052631.578947369" maxValue="49484536.082474224"/>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6.479086342595" backgroundQuery="1" createdVersion="8" refreshedVersion="8" minRefreshableVersion="3" recordCount="0" supportSubquery="1" supportAdvancedDrill="1" xr:uid="{7C0DDC43-ECF4-40A1-B689-2AB2C6808D07}">
  <cacheSource type="external" connectionId="1"/>
  <cacheFields count="2">
    <cacheField name="[Table_HieuQuaSX_DinhMuc].[Thành phẩm].[Thành phẩm]" caption="Thành phẩm" numFmtId="0" level="1">
      <sharedItems count="2">
        <s v="TP1"/>
        <s v="TP2"/>
      </sharedItems>
    </cacheField>
    <cacheField name="[Measures].[GiaVon]" caption="GiaVon" numFmtId="0" hierarchy="16" level="32767"/>
  </cacheFields>
  <cacheHierarchies count="20">
    <cacheHierarchy uniqueName="[Table_HieuQuaSX_DinhMuc].[Thành phẩm]" caption="Thành phẩm" attribute="1" defaultMemberUniqueName="[Table_HieuQuaSX_DinhMuc].[Thành phẩm].[All]" allUniqueName="[Table_HieuQuaSX_DinhMuc].[Thành phẩm].[All]" dimensionUniqueName="[Table_HieuQuaSX_DinhMuc]" displayFolder="" count="2" memberValueDatatype="130" unbalanced="0">
      <fieldsUsage count="2">
        <fieldUsage x="-1"/>
        <fieldUsage x="0"/>
      </fieldsUsage>
    </cacheHierarchy>
    <cacheHierarchy uniqueName="[Table_HieuQuaSX_DinhMuc].[Đơn vị thành phẩm]" caption="Đơn vị thành phẩm" attribute="1" defaultMemberUniqueName="[Table_HieuQuaSX_DinhMuc].[Đơn vị thành phẩm].[All]" allUniqueName="[Table_HieuQuaSX_DinhMuc].[Đơn vị thành phẩm].[All]" dimensionUniqueName="[Table_HieuQuaSX_DinhMuc]" displayFolder="" count="0" memberValueDatatype="130" unbalanced="0"/>
    <cacheHierarchy uniqueName="[Table_HieuQuaSX_DinhMuc].[Sản lượng kế hoạch]" caption="Sản lượng kế hoạch" attribute="1" defaultMemberUniqueName="[Table_HieuQuaSX_DinhMuc].[Sản lượng kế hoạch].[All]" allUniqueName="[Table_HieuQuaSX_DinhMuc].[Sản lượng kế hoạch].[All]" dimensionUniqueName="[Table_HieuQuaSX_DinhMuc]" displayFolder="" count="0" memberValueDatatype="20" unbalanced="0"/>
    <cacheHierarchy uniqueName="[Table_HieuQuaSX_DinhMuc].[Nguyên liệu]" caption="Nguyên liệu" attribute="1" defaultMemberUniqueName="[Table_HieuQuaSX_DinhMuc].[Nguyên liệu].[All]" allUniqueName="[Table_HieuQuaSX_DinhMuc].[Nguyên liệu].[All]" dimensionUniqueName="[Table_HieuQuaSX_DinhMuc]" displayFolder="" count="0" memberValueDatatype="130" unbalanced="0"/>
    <cacheHierarchy uniqueName="[Table_HieuQuaSX_DinhMuc].[Đơn vị]" caption="Đơn vị" attribute="1" defaultMemberUniqueName="[Table_HieuQuaSX_DinhMuc].[Đơn vị].[All]" allUniqueName="[Table_HieuQuaSX_DinhMuc].[Đơn vị].[All]" dimensionUniqueName="[Table_HieuQuaSX_DinhMuc]" displayFolder="" count="0" memberValueDatatype="130" unbalanced="0"/>
    <cacheHierarchy uniqueName="[Table_HieuQuaSX_DinhMuc].[Định mức]" caption="Định mức" attribute="1" defaultMemberUniqueName="[Table_HieuQuaSX_DinhMuc].[Định mức].[All]" allUniqueName="[Table_HieuQuaSX_DinhMuc].[Định mức].[All]" dimensionUniqueName="[Table_HieuQuaSX_DinhMuc]" displayFolder="" count="0" memberValueDatatype="5" unbalanced="0"/>
    <cacheHierarchy uniqueName="[Table_HieuQuaSX_DinhMuc].[Hao hụt]" caption="Hao hụt" attribute="1" defaultMemberUniqueName="[Table_HieuQuaSX_DinhMuc].[Hao hụt].[All]" allUniqueName="[Table_HieuQuaSX_DinhMuc].[Hao hụt].[All]" dimensionUniqueName="[Table_HieuQuaSX_DinhMuc]" displayFolder="" count="0" memberValueDatatype="5" unbalanced="0"/>
    <cacheHierarchy uniqueName="[Table_HieuQuaSX_DinhMuc].[Số lượng tiêu thụ]" caption="Số lượng tiêu thụ" attribute="1" defaultMemberUniqueName="[Table_HieuQuaSX_DinhMuc].[Số lượng tiêu thụ].[All]" allUniqueName="[Table_HieuQuaSX_DinhMuc].[Số lượng tiêu thụ].[All]" dimensionUniqueName="[Table_HieuQuaSX_DinhMuc]" displayFolder="" count="0" memberValueDatatype="5" unbalanced="0"/>
    <cacheHierarchy uniqueName="[Table_HieuQuaSX_DinhMuc].[Đơn giá]" caption="Đơn giá" attribute="1" defaultMemberUniqueName="[Table_HieuQuaSX_DinhMuc].[Đơn giá].[All]" allUniqueName="[Table_HieuQuaSX_DinhMuc].[Đơn giá].[All]" dimensionUniqueName="[Table_HieuQuaSX_DinhMuc]" displayFolder="" count="0" memberValueDatatype="20" unbalanced="0"/>
    <cacheHierarchy uniqueName="[Table_HieuQuaSX_DinhMuc].[Giá trị tiêu thụ]" caption="Giá trị tiêu thụ" attribute="1" defaultMemberUniqueName="[Table_HieuQuaSX_DinhMuc].[Giá trị tiêu thụ].[All]" allUniqueName="[Table_HieuQuaSX_DinhMuc].[Giá trị tiêu thụ].[All]" dimensionUniqueName="[Table_HieuQuaSX_DinhMuc]" displayFolder="" count="0" memberValueDatatype="5" unbalanced="0"/>
    <cacheHierarchy uniqueName="[Table_HieuQuaSX_KHTieuThu].[Nguyên liệu]" caption="Nguyên liệu" attribute="1" defaultMemberUniqueName="[Table_HieuQuaSX_KHTieuThu].[Nguyên liệu].[All]" allUniqueName="[Table_HieuQuaSX_KHTieuThu].[Nguyên liệu].[All]" dimensionUniqueName="[Table_HieuQuaSX_KHTieuThu]" displayFolder="" count="0" memberValueDatatype="130" unbalanced="0"/>
    <cacheHierarchy uniqueName="[Table_HieuQuaSX_KHTieuThu].[Đơn vị]" caption="Đơn vị" attribute="1" defaultMemberUniqueName="[Table_HieuQuaSX_KHTieuThu].[Đơn vị].[All]" allUniqueName="[Table_HieuQuaSX_KHTieuThu].[Đơn vị].[All]" dimensionUniqueName="[Table_HieuQuaSX_KHTieuThu]" displayFolder="" count="0" memberValueDatatype="130" unbalanced="0"/>
    <cacheHierarchy uniqueName="[Table_HieuQuaSX_KHTieuThu].[Đơn giá]" caption="Đơn giá" attribute="1" defaultMemberUniqueName="[Table_HieuQuaSX_KHTieuThu].[Đơn giá].[All]" allUniqueName="[Table_HieuQuaSX_KHTieuThu].[Đơn giá].[All]" dimensionUniqueName="[Table_HieuQuaSX_KHTieuThu]" displayFolder="" count="0" memberValueDatatype="20" unbalanced="0"/>
    <cacheHierarchy uniqueName="[Table_HieuQuaSX_KHTieuThu].[Tồn kho hiện tại]" caption="Tồn kho hiện tại" attribute="1" defaultMemberUniqueName="[Table_HieuQuaSX_KHTieuThu].[Tồn kho hiện tại].[All]" allUniqueName="[Table_HieuQuaSX_KHTieuThu].[Tồn kho hiện tại].[All]" dimensionUniqueName="[Table_HieuQuaSX_KHTieuThu]" displayFolder="" count="0" memberValueDatatype="20" unbalanced="0"/>
    <cacheHierarchy uniqueName="[Table_HieuQuaSX_KHTieuThu].[Số lượng cần đặt]" caption="Số lượng cần đặt" attribute="1" defaultMemberUniqueName="[Table_HieuQuaSX_KHTieuThu].[Số lượng cần đặt].[All]" allUniqueName="[Table_HieuQuaSX_KHTieuThu].[Số lượng cần đặt].[All]" dimensionUniqueName="[Table_HieuQuaSX_KHTieuThu]" displayFolder="" count="0" memberValueDatatype="5" unbalanced="0"/>
    <cacheHierarchy uniqueName="[Table_HieuQuaSX_KHTieuThu].[Giá trị cần đặt]" caption="Giá trị cần đặt" attribute="1" defaultMemberUniqueName="[Table_HieuQuaSX_KHTieuThu].[Giá trị cần đặt].[All]" allUniqueName="[Table_HieuQuaSX_KHTieuThu].[Giá trị cần đặt].[All]" dimensionUniqueName="[Table_HieuQuaSX_KHTieuThu]" displayFolder="" count="0" memberValueDatatype="5" unbalanced="0"/>
    <cacheHierarchy uniqueName="[Measures].[GiaVon]" caption="GiaVon" measure="1" displayFolder="" measureGroup="Table_HieuQuaSX_DinhMuc" count="0" oneField="1">
      <fieldsUsage count="1">
        <fieldUsage x="1"/>
      </fieldsUsage>
    </cacheHierarchy>
    <cacheHierarchy uniqueName="[Measures].[__XL_Count Table_HieuQuaSX_DinhMuc]" caption="__XL_Count Table_HieuQuaSX_DinhMuc" measure="1" displayFolder="" measureGroup="Table_HieuQuaSX_DinhMuc" count="0" hidden="1"/>
    <cacheHierarchy uniqueName="[Measures].[__XL_Count Table_HieuQuaSX_KHTieuThu]" caption="__XL_Count Table_HieuQuaSX_KHTieuThu" measure="1" displayFolder="" measureGroup="Table_HieuQuaSX_KHTieuThu" count="0" hidden="1"/>
    <cacheHierarchy uniqueName="[Measures].[__No measures defined]" caption="__No measures defined" measure="1" displayFolder="" count="0" hidden="1"/>
  </cacheHierarchies>
  <kpis count="0"/>
  <dimensions count="3">
    <dimension measure="1" name="Measures" uniqueName="[Measures]" caption="Measures"/>
    <dimension name="Table_HieuQuaSX_DinhMuc" uniqueName="[Table_HieuQuaSX_DinhMuc]" caption="Table_HieuQuaSX_DinhMuc"/>
    <dimension name="Table_HieuQuaSX_KHTieuThu" uniqueName="[Table_HieuQuaSX_KHTieuThu]" caption="Table_HieuQuaSX_KHTieuThu"/>
  </dimensions>
  <measureGroups count="2">
    <measureGroup name="Table_HieuQuaSX_DinhMuc" caption="Table_HieuQuaSX_DinhMuc"/>
    <measureGroup name="Table_HieuQuaSX_KHTieuThu" caption="Table_HieuQuaSX_KHTieuThu"/>
  </measureGroups>
  <maps count="3">
    <map measureGroup="0" dimension="1"/>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
  <r>
    <x v="0"/>
    <m/>
    <n v="100000"/>
    <n v="400"/>
    <n v="515.89799240368961"/>
    <n v="51589799.240368962"/>
  </r>
  <r>
    <x v="1"/>
    <m/>
    <n v="200000"/>
    <n v="250"/>
    <n v="102.68583830710799"/>
    <n v="20537167.66142159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x v="0"/>
    <m/>
    <n v="200"/>
    <x v="0"/>
    <m/>
    <n v="2"/>
    <n v="0.05"/>
    <n v="421.0526315789474"/>
    <n v="100000"/>
    <n v="42105263.157894738"/>
  </r>
  <r>
    <x v="0"/>
    <m/>
    <n v="200"/>
    <x v="1"/>
    <m/>
    <n v="0.5"/>
    <n v="0.05"/>
    <n v="105.26315789473685"/>
    <n v="200000"/>
    <n v="21052631.578947369"/>
  </r>
  <r>
    <x v="1"/>
    <m/>
    <n v="300"/>
    <x v="0"/>
    <m/>
    <n v="1.6"/>
    <n v="0.03"/>
    <n v="494.84536082474227"/>
    <n v="100000"/>
    <n v="49484536.082474224"/>
  </r>
  <r>
    <x v="1"/>
    <m/>
    <n v="300"/>
    <x v="1"/>
    <m/>
    <n v="0.8"/>
    <n v="0.03"/>
    <n v="247.42268041237114"/>
    <n v="200000"/>
    <n v="49484536.08247422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C66FE77-594B-4E82-98B9-E8D563EEBCF8}" name="PivotTable2" cacheId="72" applyNumberFormats="0" applyBorderFormats="0" applyFontFormats="0" applyPatternFormats="0" applyAlignmentFormats="0" applyWidthHeightFormats="1" dataCaption="Values" tag="93fc70ea-478b-4bcc-9263-0b994c0cbd33" updatedVersion="8" minRefreshableVersion="3" useAutoFormatting="1" subtotalHiddenItems="1" itemPrintTitles="1" createdVersion="8" indent="0" outline="1" outlineData="1" multipleFieldFilters="0" chartFormat="2">
  <location ref="B23:C26" firstHeaderRow="1" firstDataRow="1" firstDataCol="1"/>
  <pivotFields count="2">
    <pivotField axis="axisRow" allDrilled="1" subtotalTop="0" showAll="0" dataSourceSort="1" defaultSubtotal="0" defaultAttributeDrillState="1">
      <items count="2">
        <item x="0"/>
        <item x="1"/>
      </items>
    </pivotField>
    <pivotField dataField="1" subtotalTop="0" showAll="0" defaultSubtotal="0"/>
  </pivotFields>
  <rowFields count="1">
    <field x="0"/>
  </rowFields>
  <rowItems count="3">
    <i>
      <x/>
    </i>
    <i>
      <x v="1"/>
    </i>
    <i t="grand">
      <x/>
    </i>
  </rowItems>
  <colItems count="1">
    <i/>
  </colItems>
  <dataFields count="1">
    <dataField name="Giá vốn TB" fld="1" subtotal="count" baseField="0" baseItem="1"/>
  </dataFields>
  <chartFormats count="1">
    <chartFormat chart="0" format="0" series="1">
      <pivotArea type="data" outline="0" fieldPosition="0">
        <references count="1">
          <reference field="4294967294" count="1" selected="0">
            <x v="0"/>
          </reference>
        </references>
      </pivotArea>
    </chartFormat>
  </chartFormats>
  <pivotHierarchies count="2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Giá vốn TB"/>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HieuQuaSX_DinhMuc]"/>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86AA20A-FC79-41F7-894C-55F54D0BA8C3}" name="PivotTable4" cacheId="7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H23:J26" firstHeaderRow="0" firstDataRow="1" firstDataCol="1"/>
  <pivotFields count="6">
    <pivotField axis="axisRow" showAll="0">
      <items count="3">
        <item x="0"/>
        <item x="1"/>
        <item t="default"/>
      </items>
    </pivotField>
    <pivotField showAll="0"/>
    <pivotField numFmtId="164" showAll="0"/>
    <pivotField dataField="1" numFmtId="164" showAll="0"/>
    <pivotField dataField="1" numFmtId="164" showAll="0"/>
    <pivotField numFmtId="164" showAll="0"/>
  </pivotFields>
  <rowFields count="1">
    <field x="0"/>
  </rowFields>
  <rowItems count="3">
    <i>
      <x/>
    </i>
    <i>
      <x v="1"/>
    </i>
    <i t="grand">
      <x/>
    </i>
  </rowItems>
  <colFields count="1">
    <field x="-2"/>
  </colFields>
  <colItems count="2">
    <i>
      <x/>
    </i>
    <i i="1">
      <x v="1"/>
    </i>
  </colItems>
  <dataFields count="2">
    <dataField name="Tồn kho" fld="3" baseField="0" baseItem="0" numFmtId="164"/>
    <dataField name="Cần đặt" fld="4" baseField="0" baseItem="0" numFmtId="164"/>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66057C4-1C54-46AF-BCCB-92DB97E6ED69}" name="PivotTable3" cacheId="7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E23:F26" firstHeaderRow="1" firstDataRow="1" firstDataCol="1" rowPageCount="1" colPageCount="1"/>
  <pivotFields count="10">
    <pivotField axis="axisPage" multipleItemSelectionAllowed="1" showAll="0">
      <items count="3">
        <item x="0"/>
        <item h="1" x="1"/>
        <item t="default"/>
      </items>
    </pivotField>
    <pivotField showAll="0"/>
    <pivotField numFmtId="164" showAll="0"/>
    <pivotField axis="axisRow" showAll="0">
      <items count="3">
        <item x="0"/>
        <item x="1"/>
        <item t="default"/>
      </items>
    </pivotField>
    <pivotField showAll="0"/>
    <pivotField numFmtId="43" showAll="0"/>
    <pivotField numFmtId="9" showAll="0"/>
    <pivotField numFmtId="164" showAll="0"/>
    <pivotField numFmtId="164" showAll="0"/>
    <pivotField dataField="1" numFmtId="164" showAll="0"/>
  </pivotFields>
  <rowFields count="1">
    <field x="3"/>
  </rowFields>
  <rowItems count="3">
    <i>
      <x/>
    </i>
    <i>
      <x v="1"/>
    </i>
    <i t="grand">
      <x/>
    </i>
  </rowItems>
  <colItems count="1">
    <i/>
  </colItems>
  <pageFields count="1">
    <pageField fld="0" hier="-1"/>
  </pageFields>
  <dataFields count="1">
    <dataField name="Cấu trúc giá vốn" fld="9" baseField="3" baseItem="0" numFmtId="164"/>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 count="1" selected="0">
            <x v="0"/>
          </reference>
        </references>
      </pivotArea>
    </chartFormat>
    <chartFormat chart="0" format="2">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2CB9985B-580F-4533-8553-105C1F83175C}" name="Table_HieuQuaSX_KHTieuThu" displayName="Table_HieuQuaSX_KHTieuThu" ref="W23:AB25" totalsRowShown="0" headerRowDxfId="19" dataDxfId="18">
  <autoFilter ref="W23:AB25" xr:uid="{2CB9985B-580F-4533-8553-105C1F83175C}"/>
  <tableColumns count="6">
    <tableColumn id="1" xr3:uid="{2AC39E01-0898-4986-A633-EB40316BE2AF}" name="Nguyên liệu" dataDxfId="17"/>
    <tableColumn id="3" xr3:uid="{B84566AB-A55F-4EC2-BC29-3B424300B854}" name="Đơn vị" dataDxfId="16" dataCellStyle="Percent"/>
    <tableColumn id="6" xr3:uid="{C03BFF9B-EE62-4A6A-8850-16FC59C96C3E}" name="Đơn giá" dataDxfId="15" dataCellStyle="Comma"/>
    <tableColumn id="2" xr3:uid="{C971767B-245C-40D4-A639-13F69220431A}" name="Tồn kho hiện tại" dataDxfId="14" dataCellStyle="Comma"/>
    <tableColumn id="8" xr3:uid="{06B82FDF-DFE7-431D-9D0E-F5CE45945D73}" name="Số lượng cần đặt" dataDxfId="13" dataCellStyle="Comma">
      <calculatedColumnFormula>MAX(0,
IFERROR(
SUM(_xlfn._xlws.FILTER(Table_HieuQuaSX_DinhMuc[Số lượng tiêu thụ],
(Table_HieuQuaSX_DinhMuc[Nguyên liệu] = Table_HieuQuaSX_KHTieuThu[[#This Row],[Nguyên liệu]])
)),0)
-Table_HieuQuaSX_KHTieuThu[[#This Row],[Tồn kho hiện tại]]
)</calculatedColumnFormula>
    </tableColumn>
    <tableColumn id="12" xr3:uid="{E4998CB9-3E2B-4ACE-980A-A876AEB05E90}" name="Giá trị cần đặt" dataDxfId="12" dataCellStyle="Comma">
      <calculatedColumnFormula>Table_HieuQuaSX_KHTieuThu[[#This Row],[Số lượng cần đặt]]*Table_HieuQuaSX_KHTieuThu[[#This Row],[Đơn giá]]</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3312D54-345F-4A37-9CEB-6BFD5BA2854A}" name="Table_HieuQuaSX_DinhMuc" displayName="Table_HieuQuaSX_DinhMuc" ref="L23:U27" totalsRowShown="0" headerRowDxfId="11" dataDxfId="10">
  <autoFilter ref="L23:U27" xr:uid="{C3312D54-345F-4A37-9CEB-6BFD5BA2854A}"/>
  <tableColumns count="10">
    <tableColumn id="4" xr3:uid="{9D16990F-E4B6-49D6-9FBA-A027D4769C8E}" name="Thành phẩm" dataDxfId="9" dataCellStyle="Comma"/>
    <tableColumn id="10" xr3:uid="{5D2685AD-0859-4544-A6A8-1BB0E567818B}" name="Đơn vị thành phẩm" dataDxfId="8" dataCellStyle="Comma"/>
    <tableColumn id="13" xr3:uid="{A330BFCE-9356-47D0-B365-2EE5E76D37E1}" name="Sản lượng kế hoạch" dataDxfId="7" dataCellStyle="Comma"/>
    <tableColumn id="1" xr3:uid="{52C260FF-0A1F-4EB3-A0E8-8F815D05FD5F}" name="Nguyên liệu" dataDxfId="6"/>
    <tableColumn id="11" xr3:uid="{5D30E38D-041C-4167-A140-EF76C393F851}" name="Đơn vị" dataDxfId="5"/>
    <tableColumn id="3" xr3:uid="{FEB78A2B-185E-41F1-9031-A91B7DA58B67}" name="Định mức" dataDxfId="4" dataCellStyle="Comma"/>
    <tableColumn id="7" xr3:uid="{4B9E9B61-CC27-4618-BCDB-A63CA1C0EF9B}" name="Hao hụt" dataDxfId="3" dataCellStyle="Percent"/>
    <tableColumn id="5" xr3:uid="{010E5FA2-DB10-4AEE-85B5-C6BDEE809E3E}" name="Số lượng tiêu thụ" dataDxfId="2" dataCellStyle="Comma">
      <calculatedColumnFormula>IFERROR(
Table_HieuQuaSX_DinhMuc[[#This Row],[Định mức]]*Table_HieuQuaSX_DinhMuc[[#This Row],[Sản lượng kế hoạch]]/(1-Table_HieuQuaSX_DinhMuc[[#This Row],[Hao hụt]]),0)</calculatedColumnFormula>
    </tableColumn>
    <tableColumn id="6" xr3:uid="{E11418EE-6591-4B46-B981-8BA95E9F03DB}" name="Đơn giá" dataDxfId="1" dataCellStyle="Comma">
      <calculatedColumnFormula>VLOOKUP(Table_HieuQuaSX_DinhMuc[[#This Row],[Nguyên liệu]],
Table_HieuQuaSX_KHTieuThu[],
COUNTA(Table_HieuQuaSX_KHTieuThu[[#Headers],[Nguyên liệu]:[Đơn giá]]),
0)</calculatedColumnFormula>
    </tableColumn>
    <tableColumn id="9" xr3:uid="{D5ADEA09-5630-4DB2-8B66-B528CCFA9723}" name="Giá trị tiêu thụ" dataDxfId="0" dataCellStyle="Comma">
      <calculatedColumnFormula>Table_HieuQuaSX_DinhMuc[[#This Row],[Đơn giá]]*Table_HieuQuaSX_DinhMuc[[#This Row],[Số lượng tiêu thụ]]</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table" Target="../tables/table1.xml"/><Relationship Id="rId3" Type="http://schemas.openxmlformats.org/officeDocument/2006/relationships/pivotTable" Target="../pivotTables/pivotTable3.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ivotTable" Target="../pivotTables/pivotTable2.xml"/><Relationship Id="rId16" Type="http://schemas.openxmlformats.org/officeDocument/2006/relationships/ctrlProp" Target="../ctrlProps/ctrlProp12.xml"/><Relationship Id="rId1" Type="http://schemas.openxmlformats.org/officeDocument/2006/relationships/pivotTable" Target="../pivotTables/pivotTable1.xm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vmlDrawing" Target="../drawings/vmlDrawing2.vml"/><Relationship Id="rId15" Type="http://schemas.openxmlformats.org/officeDocument/2006/relationships/ctrlProp" Target="../ctrlProps/ctrlProp11.xml"/><Relationship Id="rId10" Type="http://schemas.openxmlformats.org/officeDocument/2006/relationships/ctrlProp" Target="../ctrlProps/ctrlProp6.xml"/><Relationship Id="rId19" Type="http://schemas.openxmlformats.org/officeDocument/2006/relationships/table" Target="../tables/table2.xml"/><Relationship Id="rId4" Type="http://schemas.openxmlformats.org/officeDocument/2006/relationships/drawing" Target="../drawings/drawing2.x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8" bestFit="1" customWidth="1"/>
    <col min="2" max="2" width="36.25" style="8" bestFit="1" customWidth="1"/>
    <col min="3" max="3" width="16.125" style="8" bestFit="1" customWidth="1"/>
    <col min="4" max="5" width="14.375" style="19" bestFit="1" customWidth="1"/>
    <col min="6" max="25" width="9" style="8"/>
    <col min="26" max="26" width="9" style="8" hidden="1" customWidth="1"/>
    <col min="27" max="16384" width="9" style="8"/>
  </cols>
  <sheetData>
    <row r="1" spans="1:26" x14ac:dyDescent="0.3">
      <c r="A1" s="14" t="s">
        <v>21</v>
      </c>
      <c r="B1" s="15" t="s">
        <v>9</v>
      </c>
      <c r="C1" s="16" t="s">
        <v>10</v>
      </c>
      <c r="D1" s="18" t="s">
        <v>22</v>
      </c>
      <c r="E1" s="18" t="s">
        <v>23</v>
      </c>
      <c r="F1" s="14" t="s">
        <v>24</v>
      </c>
      <c r="G1" s="17" t="s">
        <v>25</v>
      </c>
      <c r="H1" s="14" t="s">
        <v>26</v>
      </c>
      <c r="I1" s="14" t="s">
        <v>27</v>
      </c>
      <c r="J1" s="17" t="s">
        <v>28</v>
      </c>
      <c r="K1" s="17" t="s">
        <v>29</v>
      </c>
      <c r="L1" s="17" t="s">
        <v>30</v>
      </c>
      <c r="M1" s="17" t="s">
        <v>31</v>
      </c>
      <c r="N1" s="27"/>
      <c r="O1" s="27"/>
      <c r="P1" s="27"/>
      <c r="Q1" s="27"/>
      <c r="R1" s="27"/>
      <c r="S1" s="27"/>
      <c r="T1" s="27"/>
      <c r="U1" s="27"/>
      <c r="V1" s="27"/>
      <c r="W1" s="27"/>
      <c r="X1" s="27"/>
      <c r="Y1" s="27"/>
      <c r="Z1" s="8" t="s">
        <v>33</v>
      </c>
    </row>
    <row r="2" spans="1:26" x14ac:dyDescent="0.3">
      <c r="A2" s="27"/>
      <c r="B2" s="8" t="s">
        <v>53</v>
      </c>
      <c r="C2" s="8" t="s">
        <v>54</v>
      </c>
      <c r="D2" s="19">
        <v>45785</v>
      </c>
      <c r="E2" s="19">
        <v>46150</v>
      </c>
      <c r="F2" s="27">
        <v>365</v>
      </c>
      <c r="G2" s="8" t="s">
        <v>34</v>
      </c>
      <c r="H2" s="27"/>
      <c r="I2" s="27"/>
      <c r="J2" s="27"/>
      <c r="K2" s="27"/>
      <c r="L2" s="27"/>
      <c r="M2" s="27"/>
      <c r="N2" s="27"/>
      <c r="O2" s="27"/>
      <c r="P2" s="27"/>
      <c r="Q2" s="27"/>
      <c r="R2" s="27"/>
      <c r="S2" s="27"/>
      <c r="T2" s="27"/>
      <c r="U2" s="27"/>
      <c r="V2" s="27"/>
      <c r="W2" s="27"/>
      <c r="X2" s="27"/>
      <c r="Y2" s="27"/>
      <c r="Z2" s="27" t="s">
        <v>61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zoomScaleNormal="100" workbookViewId="0">
      <selection activeCell="G10" sqref="G10"/>
    </sheetView>
  </sheetViews>
  <sheetFormatPr defaultRowHeight="16.5" x14ac:dyDescent="0.3"/>
  <cols>
    <col min="1" max="1" width="11.625" style="9" bestFit="1" customWidth="1"/>
    <col min="2" max="16384" width="9" style="9"/>
  </cols>
  <sheetData>
    <row r="1" spans="1:12" x14ac:dyDescent="0.3">
      <c r="K1" s="33">
        <v>1</v>
      </c>
      <c r="L1" s="33" t="s">
        <v>56</v>
      </c>
    </row>
    <row r="2" spans="1:12" x14ac:dyDescent="0.3">
      <c r="A2" s="9" t="s">
        <v>55</v>
      </c>
      <c r="L2" s="33" t="s">
        <v>57</v>
      </c>
    </row>
    <row r="3" spans="1:12" x14ac:dyDescent="0.3">
      <c r="L3" s="33" t="s">
        <v>58</v>
      </c>
    </row>
    <row r="4" spans="1:12" ht="37.5" x14ac:dyDescent="0.3">
      <c r="A4" s="12" t="s">
        <v>0</v>
      </c>
      <c r="B4" s="12" t="s">
        <v>1</v>
      </c>
      <c r="L4" s="33" t="s">
        <v>59</v>
      </c>
    </row>
    <row r="5" spans="1:12" ht="17.25" x14ac:dyDescent="0.3">
      <c r="A5" s="22"/>
      <c r="B5" s="20" t="s">
        <v>35</v>
      </c>
      <c r="L5" s="33" t="s">
        <v>60</v>
      </c>
    </row>
    <row r="6" spans="1:12" ht="17.25" x14ac:dyDescent="0.3">
      <c r="A6" s="22"/>
      <c r="B6" s="20" t="s">
        <v>32</v>
      </c>
    </row>
    <row r="7" spans="1:12" ht="17.25" x14ac:dyDescent="0.3">
      <c r="A7" s="22"/>
      <c r="B7" s="20" t="s">
        <v>36</v>
      </c>
    </row>
    <row r="8" spans="1:12" ht="17.25" x14ac:dyDescent="0.3">
      <c r="A8" s="22"/>
      <c r="B8" s="20" t="s">
        <v>37</v>
      </c>
    </row>
    <row r="9" spans="1:12" ht="17.25" x14ac:dyDescent="0.3">
      <c r="A9" s="22"/>
      <c r="B9" s="21" t="s">
        <v>38</v>
      </c>
    </row>
    <row r="10" spans="1:12" x14ac:dyDescent="0.3">
      <c r="A10" s="22"/>
      <c r="B10" s="22"/>
    </row>
    <row r="11" spans="1:12" ht="37.5" x14ac:dyDescent="0.3">
      <c r="A11" s="12" t="s">
        <v>7</v>
      </c>
      <c r="B11" s="12" t="s">
        <v>8</v>
      </c>
    </row>
    <row r="12" spans="1:12" x14ac:dyDescent="0.3">
      <c r="A12" s="13" t="s">
        <v>9</v>
      </c>
      <c r="B12" s="9" t="s">
        <v>53</v>
      </c>
    </row>
    <row r="13" spans="1:12" x14ac:dyDescent="0.3">
      <c r="A13" s="13" t="s">
        <v>10</v>
      </c>
      <c r="B13" s="9" t="s">
        <v>54</v>
      </c>
    </row>
    <row r="14" spans="1:12" ht="17.25" x14ac:dyDescent="0.3">
      <c r="A14" s="22"/>
      <c r="B14" s="10" t="s">
        <v>2</v>
      </c>
    </row>
    <row r="15" spans="1:12" ht="17.25" x14ac:dyDescent="0.3">
      <c r="A15" s="22"/>
      <c r="B15" s="10" t="s">
        <v>3</v>
      </c>
    </row>
    <row r="16" spans="1:12" ht="17.25" x14ac:dyDescent="0.3">
      <c r="A16" s="22"/>
      <c r="B16" s="10" t="s">
        <v>4</v>
      </c>
    </row>
    <row r="17" spans="1:2" ht="17.25" x14ac:dyDescent="0.3">
      <c r="A17" s="22"/>
      <c r="B17" s="10" t="s">
        <v>5</v>
      </c>
    </row>
    <row r="18" spans="1:2" ht="17.25" x14ac:dyDescent="0.3">
      <c r="A18" s="22"/>
      <c r="B18" s="11" t="s">
        <v>6</v>
      </c>
    </row>
    <row r="19" spans="1:2" x14ac:dyDescent="0.3">
      <c r="A19" s="22"/>
      <c r="B19" s="22"/>
    </row>
    <row r="20" spans="1:2" x14ac:dyDescent="0.3">
      <c r="A20" s="22"/>
      <c r="B20" s="22"/>
    </row>
    <row r="21" spans="1:2" x14ac:dyDescent="0.3">
      <c r="A21" s="22"/>
      <c r="B21" s="22"/>
    </row>
    <row r="22" spans="1:2" x14ac:dyDescent="0.3">
      <c r="A22" s="22"/>
      <c r="B22" s="22"/>
    </row>
    <row r="23" spans="1:2" x14ac:dyDescent="0.3">
      <c r="A23" s="22"/>
      <c r="B23" s="22"/>
    </row>
    <row r="24" spans="1:2" x14ac:dyDescent="0.3">
      <c r="A24" s="23"/>
      <c r="B24" s="22"/>
    </row>
    <row r="25" spans="1:2" x14ac:dyDescent="0.3">
      <c r="A25" s="24"/>
      <c r="B25" s="22"/>
    </row>
    <row r="26" spans="1:2" x14ac:dyDescent="0.3">
      <c r="A26" s="23"/>
      <c r="B26" s="22"/>
    </row>
    <row r="27" spans="1:2" x14ac:dyDescent="0.3">
      <c r="A27" s="24"/>
      <c r="B27" s="22"/>
    </row>
    <row r="28" spans="1:2" x14ac:dyDescent="0.3">
      <c r="A28" s="24"/>
      <c r="B28" s="22"/>
    </row>
    <row r="29" spans="1:2" x14ac:dyDescent="0.3">
      <c r="A29" s="24"/>
      <c r="B29" s="22"/>
    </row>
    <row r="30" spans="1:2" x14ac:dyDescent="0.3">
      <c r="A30" s="24"/>
      <c r="B30" s="22"/>
    </row>
    <row r="31" spans="1:2" x14ac:dyDescent="0.3">
      <c r="A31" s="23"/>
      <c r="B31" s="22"/>
    </row>
    <row r="32" spans="1:2" x14ac:dyDescent="0.3">
      <c r="A32" s="24"/>
      <c r="B32" s="22"/>
    </row>
    <row r="33" spans="1:2" x14ac:dyDescent="0.3">
      <c r="A33" s="24"/>
      <c r="B33" s="22"/>
    </row>
    <row r="34" spans="1:2" x14ac:dyDescent="0.3">
      <c r="A34" s="24"/>
      <c r="B34" s="22"/>
    </row>
    <row r="35" spans="1:2" x14ac:dyDescent="0.3">
      <c r="A35" s="24"/>
      <c r="B35" s="22"/>
    </row>
    <row r="36" spans="1:2" x14ac:dyDescent="0.3">
      <c r="A36" s="23"/>
      <c r="B36" s="22"/>
    </row>
    <row r="37" spans="1:2" x14ac:dyDescent="0.3">
      <c r="A37" s="25"/>
      <c r="B37" s="22"/>
    </row>
    <row r="38" spans="1:2" x14ac:dyDescent="0.3">
      <c r="A38" s="26"/>
      <c r="B38" s="22"/>
    </row>
    <row r="39" spans="1:2" x14ac:dyDescent="0.3">
      <c r="A39" s="25"/>
      <c r="B39" s="22"/>
    </row>
    <row r="40" spans="1:2" x14ac:dyDescent="0.3">
      <c r="A40" s="26"/>
      <c r="B40" s="22"/>
    </row>
    <row r="41" spans="1:2" x14ac:dyDescent="0.3">
      <c r="A41" s="25"/>
      <c r="B41" s="22"/>
    </row>
    <row r="42" spans="1:2" x14ac:dyDescent="0.3">
      <c r="A42" s="26"/>
      <c r="B42" s="22"/>
    </row>
    <row r="43" spans="1:2" x14ac:dyDescent="0.3">
      <c r="A43" s="25"/>
      <c r="B43" s="22"/>
    </row>
    <row r="44" spans="1:2" x14ac:dyDescent="0.3">
      <c r="A44" s="26"/>
      <c r="B44" s="22"/>
    </row>
    <row r="45" spans="1:2" x14ac:dyDescent="0.3">
      <c r="A45" s="25"/>
      <c r="B45" s="22"/>
    </row>
    <row r="46" spans="1:2" x14ac:dyDescent="0.3">
      <c r="A46" s="26"/>
      <c r="B46" s="22"/>
    </row>
    <row r="47" spans="1:2" x14ac:dyDescent="0.3">
      <c r="A47" s="24"/>
      <c r="B47" s="22"/>
    </row>
    <row r="48" spans="1:2" x14ac:dyDescent="0.3">
      <c r="A48" s="24"/>
      <c r="B48" s="22"/>
    </row>
    <row r="49" spans="1:2" x14ac:dyDescent="0.3">
      <c r="A49" s="24"/>
      <c r="B49" s="22"/>
    </row>
    <row r="50" spans="1:2" x14ac:dyDescent="0.3">
      <c r="A50" s="23"/>
      <c r="B50" s="22"/>
    </row>
    <row r="51" spans="1:2" x14ac:dyDescent="0.3">
      <c r="A51" s="24"/>
      <c r="B51" s="22"/>
    </row>
    <row r="52" spans="1:2" x14ac:dyDescent="0.3">
      <c r="A52" s="24"/>
      <c r="B52" s="22"/>
    </row>
    <row r="53" spans="1:2" x14ac:dyDescent="0.3">
      <c r="A53" s="24"/>
      <c r="B53" s="22"/>
    </row>
    <row r="54" spans="1:2" x14ac:dyDescent="0.3">
      <c r="A54" s="24"/>
      <c r="B54" s="22"/>
    </row>
    <row r="55" spans="1:2" x14ac:dyDescent="0.3">
      <c r="A55" s="23"/>
      <c r="B55" s="22"/>
    </row>
    <row r="56" spans="1:2" x14ac:dyDescent="0.3">
      <c r="A56" s="25"/>
      <c r="B56" s="22"/>
    </row>
    <row r="57" spans="1:2" x14ac:dyDescent="0.3">
      <c r="A57" s="25"/>
      <c r="B57" s="22"/>
    </row>
    <row r="58" spans="1:2" x14ac:dyDescent="0.3">
      <c r="A58" s="25"/>
      <c r="B58" s="22"/>
    </row>
    <row r="59" spans="1:2" x14ac:dyDescent="0.3">
      <c r="A59" s="25"/>
      <c r="B59" s="22"/>
    </row>
    <row r="60" spans="1:2" x14ac:dyDescent="0.3">
      <c r="A60" s="24"/>
      <c r="B60" s="22"/>
    </row>
    <row r="61" spans="1:2" x14ac:dyDescent="0.3">
      <c r="A61" s="24"/>
      <c r="B61" s="22"/>
    </row>
    <row r="62" spans="1:2" x14ac:dyDescent="0.3">
      <c r="A62" s="24"/>
      <c r="B62" s="22"/>
    </row>
    <row r="63" spans="1:2" x14ac:dyDescent="0.3">
      <c r="A63" s="23"/>
      <c r="B63" s="22"/>
    </row>
    <row r="64" spans="1:2" x14ac:dyDescent="0.3">
      <c r="A64" s="24"/>
      <c r="B64" s="22"/>
    </row>
    <row r="65" spans="1:2" x14ac:dyDescent="0.3">
      <c r="A65" s="24"/>
      <c r="B65" s="22"/>
    </row>
    <row r="66" spans="1:2" x14ac:dyDescent="0.3">
      <c r="A66" s="24"/>
      <c r="B66" s="22"/>
    </row>
    <row r="67" spans="1:2" x14ac:dyDescent="0.3">
      <c r="A67" s="24"/>
      <c r="B67" s="22"/>
    </row>
    <row r="68" spans="1:2" x14ac:dyDescent="0.3">
      <c r="A68" s="23"/>
      <c r="B68" s="22"/>
    </row>
    <row r="69" spans="1:2" x14ac:dyDescent="0.3">
      <c r="A69" s="25"/>
      <c r="B69" s="22"/>
    </row>
    <row r="70" spans="1:2" x14ac:dyDescent="0.3">
      <c r="A70" s="25"/>
      <c r="B70" s="22"/>
    </row>
    <row r="71" spans="1:2" x14ac:dyDescent="0.3">
      <c r="A71" s="25"/>
      <c r="B71" s="22"/>
    </row>
    <row r="72" spans="1:2" x14ac:dyDescent="0.3">
      <c r="A72" s="25"/>
      <c r="B72" s="22"/>
    </row>
    <row r="73" spans="1:2" x14ac:dyDescent="0.3">
      <c r="A73" s="25"/>
      <c r="B73" s="22"/>
    </row>
    <row r="74" spans="1:2" x14ac:dyDescent="0.3">
      <c r="A74" s="25"/>
      <c r="B74" s="22"/>
    </row>
    <row r="75" spans="1:2" x14ac:dyDescent="0.3">
      <c r="A75" s="24"/>
      <c r="B75" s="22"/>
    </row>
    <row r="76" spans="1:2" x14ac:dyDescent="0.3">
      <c r="A76" s="23"/>
      <c r="B76" s="22"/>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5190C-C984-4DFC-8737-F808F8A3682E}">
  <sheetPr codeName="Sheet13">
    <tabColor theme="9" tint="0.79998168889431442"/>
  </sheetPr>
  <dimension ref="B1:AH40"/>
  <sheetViews>
    <sheetView showGridLines="0" tabSelected="1" topLeftCell="A10" workbookViewId="0">
      <selection activeCell="O35" sqref="O35"/>
    </sheetView>
  </sheetViews>
  <sheetFormatPr defaultRowHeight="18" customHeight="1" outlineLevelRow="1" outlineLevelCol="1" x14ac:dyDescent="0.3"/>
  <cols>
    <col min="1" max="1" width="1.25" style="1" customWidth="1"/>
    <col min="2" max="2" width="13" style="1" hidden="1" customWidth="1" outlineLevel="1"/>
    <col min="3" max="3" width="13.625" style="1" hidden="1" customWidth="1" outlineLevel="1"/>
    <col min="4" max="4" width="1.25" style="1" hidden="1" customWidth="1" outlineLevel="1"/>
    <col min="5" max="5" width="13" style="1" hidden="1" customWidth="1" outlineLevel="1"/>
    <col min="6" max="6" width="15.875" style="1" hidden="1" customWidth="1" outlineLevel="1"/>
    <col min="7" max="7" width="1.25" style="1" hidden="1" customWidth="1" outlineLevel="1"/>
    <col min="8" max="8" width="13" style="1" hidden="1" customWidth="1" outlineLevel="1"/>
    <col min="9" max="9" width="8.375" style="1" hidden="1" customWidth="1" outlineLevel="1"/>
    <col min="10" max="10" width="7.875" style="1" hidden="1" customWidth="1" outlineLevel="1"/>
    <col min="11" max="11" width="1.25" style="1" customWidth="1" collapsed="1"/>
    <col min="12" max="13" width="11.375" style="1" bestFit="1" customWidth="1"/>
    <col min="14" max="14" width="16" style="1" bestFit="1" customWidth="1"/>
    <col min="15" max="15" width="16" style="1" customWidth="1"/>
    <col min="16" max="16" width="8.375" style="1" bestFit="1" customWidth="1"/>
    <col min="17" max="17" width="9.375" style="1" bestFit="1" customWidth="1"/>
    <col min="18" max="18" width="9.375" bestFit="1" customWidth="1"/>
    <col min="19" max="19" width="10.625" style="1" customWidth="1"/>
    <col min="20" max="20" width="14.75" style="1" bestFit="1" customWidth="1"/>
    <col min="22" max="22" width="1.25" style="1" customWidth="1"/>
    <col min="23" max="23" width="11.25" style="1" bestFit="1" customWidth="1"/>
    <col min="25" max="25" width="10.625" style="1" customWidth="1"/>
    <col min="26" max="26" width="9" style="1"/>
    <col min="27" max="27" width="10.625" style="1" customWidth="1"/>
    <col min="28" max="28" width="14.375" style="1" bestFit="1" customWidth="1"/>
    <col min="29" max="29" width="12.5" style="1" bestFit="1" customWidth="1"/>
    <col min="31" max="31" width="8.25" style="1" bestFit="1" customWidth="1"/>
    <col min="32" max="33" width="9" style="1"/>
    <col min="35" max="35" width="14.125" style="1" bestFit="1" customWidth="1"/>
    <col min="36" max="36" width="1.25" style="1" customWidth="1"/>
    <col min="37" max="16384" width="9" style="1"/>
  </cols>
  <sheetData>
    <row r="1" s="1" customFormat="1" ht="18" customHeight="1" x14ac:dyDescent="0.3"/>
    <row r="2" s="1" customFormat="1" ht="18" customHeight="1" x14ac:dyDescent="0.3"/>
    <row r="3" s="1" customFormat="1" ht="18" customHeight="1" outlineLevel="1" x14ac:dyDescent="0.3"/>
    <row r="4" s="1" customFormat="1" ht="18" customHeight="1" outlineLevel="1" x14ac:dyDescent="0.3"/>
    <row r="5" s="1" customFormat="1" ht="18" customHeight="1" outlineLevel="1" x14ac:dyDescent="0.3"/>
    <row r="6" s="1" customFormat="1" ht="18" customHeight="1" outlineLevel="1" x14ac:dyDescent="0.3"/>
    <row r="7" s="1" customFormat="1" ht="18" customHeight="1" outlineLevel="1" x14ac:dyDescent="0.3"/>
    <row r="8" s="1" customFormat="1" ht="18" customHeight="1" outlineLevel="1" x14ac:dyDescent="0.3"/>
    <row r="9" s="1" customFormat="1" ht="18" customHeight="1" outlineLevel="1" x14ac:dyDescent="0.3"/>
    <row r="10" s="1" customFormat="1" ht="18" customHeight="1" outlineLevel="1" x14ac:dyDescent="0.3"/>
    <row r="11" s="1" customFormat="1" ht="18" customHeight="1" outlineLevel="1" x14ac:dyDescent="0.3"/>
    <row r="12" s="1" customFormat="1" ht="18" customHeight="1" outlineLevel="1" x14ac:dyDescent="0.3"/>
    <row r="13" s="1" customFormat="1" ht="18" customHeight="1" outlineLevel="1" x14ac:dyDescent="0.3"/>
    <row r="14" s="1" customFormat="1" ht="18" customHeight="1" outlineLevel="1" x14ac:dyDescent="0.3"/>
    <row r="15" s="1" customFormat="1" ht="18" customHeight="1" outlineLevel="1" x14ac:dyDescent="0.3"/>
    <row r="16" s="1" customFormat="1" ht="18" customHeight="1" outlineLevel="1" x14ac:dyDescent="0.3"/>
    <row r="17" spans="2:34" ht="18" customHeight="1" outlineLevel="1" x14ac:dyDescent="0.3">
      <c r="R17" s="1"/>
      <c r="U17" s="1"/>
      <c r="X17" s="1"/>
      <c r="AD17" s="1"/>
      <c r="AH17" s="1"/>
    </row>
    <row r="18" spans="2:34" ht="18" customHeight="1" outlineLevel="1" x14ac:dyDescent="0.3">
      <c r="R18" s="1"/>
      <c r="U18" s="1"/>
      <c r="X18" s="1"/>
      <c r="AD18" s="1"/>
      <c r="AH18" s="1"/>
    </row>
    <row r="19" spans="2:34" ht="18" customHeight="1" outlineLevel="1" x14ac:dyDescent="0.3">
      <c r="R19" s="1"/>
      <c r="U19" s="1"/>
      <c r="X19" s="1"/>
      <c r="AD19" s="1"/>
      <c r="AH19" s="1"/>
    </row>
    <row r="20" spans="2:34" ht="18" customHeight="1" outlineLevel="1" x14ac:dyDescent="0.3">
      <c r="R20" s="1"/>
      <c r="U20" s="1"/>
      <c r="X20" s="1"/>
      <c r="AD20" s="1"/>
      <c r="AH20" s="1"/>
    </row>
    <row r="21" spans="2:34" ht="16.5" outlineLevel="1" x14ac:dyDescent="0.3">
      <c r="E21" s="28" t="s">
        <v>39</v>
      </c>
      <c r="F21" t="s">
        <v>42</v>
      </c>
      <c r="R21" s="1"/>
      <c r="U21" s="1"/>
      <c r="X21" s="1"/>
      <c r="AD21" s="1"/>
      <c r="AH21" s="1"/>
    </row>
    <row r="22" spans="2:34" ht="18" customHeight="1" x14ac:dyDescent="0.3">
      <c r="R22" s="1"/>
      <c r="U22" s="1"/>
      <c r="W22" s="30" t="s">
        <v>52</v>
      </c>
      <c r="X22" s="1"/>
      <c r="AB22" s="31">
        <f>SUM(Table_HieuQuaSX_KHTieuThu[Giá trị cần đặt])</f>
        <v>72126966.901790559</v>
      </c>
      <c r="AD22" s="1"/>
      <c r="AH22" s="1"/>
    </row>
    <row r="23" spans="2:34" ht="16.5" x14ac:dyDescent="0.3">
      <c r="B23" s="28" t="s">
        <v>44</v>
      </c>
      <c r="C23" t="s">
        <v>48</v>
      </c>
      <c r="E23" s="28" t="s">
        <v>44</v>
      </c>
      <c r="F23" t="s">
        <v>49</v>
      </c>
      <c r="H23" s="28" t="s">
        <v>44</v>
      </c>
      <c r="I23" t="s">
        <v>50</v>
      </c>
      <c r="J23" t="s">
        <v>51</v>
      </c>
      <c r="L23" s="1" t="s">
        <v>39</v>
      </c>
      <c r="M23" s="1" t="s">
        <v>40</v>
      </c>
      <c r="N23" s="1" t="s">
        <v>41</v>
      </c>
      <c r="O23" s="1" t="s">
        <v>11</v>
      </c>
      <c r="P23" s="1" t="s">
        <v>12</v>
      </c>
      <c r="Q23" s="1" t="s">
        <v>14</v>
      </c>
      <c r="R23" s="1" t="s">
        <v>16</v>
      </c>
      <c r="S23" s="1" t="s">
        <v>19</v>
      </c>
      <c r="T23" s="1" t="s">
        <v>15</v>
      </c>
      <c r="U23" s="1" t="s">
        <v>17</v>
      </c>
      <c r="W23" s="1" t="s">
        <v>11</v>
      </c>
      <c r="X23" s="1" t="s">
        <v>12</v>
      </c>
      <c r="Y23" s="1" t="s">
        <v>15</v>
      </c>
      <c r="Z23" s="1" t="s">
        <v>18</v>
      </c>
      <c r="AA23" s="1" t="s">
        <v>20</v>
      </c>
      <c r="AB23" s="1" t="s">
        <v>13</v>
      </c>
      <c r="AD23" s="1"/>
      <c r="AH23" s="1"/>
    </row>
    <row r="24" spans="2:34" ht="16.5" x14ac:dyDescent="0.3">
      <c r="B24" s="8" t="s">
        <v>42</v>
      </c>
      <c r="C24">
        <v>315789.47368421056</v>
      </c>
      <c r="E24" s="8" t="s">
        <v>46</v>
      </c>
      <c r="F24" s="29">
        <v>42105263.157894738</v>
      </c>
      <c r="H24" s="8" t="s">
        <v>46</v>
      </c>
      <c r="I24" s="29">
        <v>400</v>
      </c>
      <c r="J24" s="29">
        <v>515.89799240368961</v>
      </c>
      <c r="L24" s="2" t="s">
        <v>42</v>
      </c>
      <c r="M24" s="2"/>
      <c r="N24" s="2">
        <v>200</v>
      </c>
      <c r="O24" s="1" t="s">
        <v>46</v>
      </c>
      <c r="P24" s="4"/>
      <c r="Q24" s="32">
        <v>2</v>
      </c>
      <c r="R24" s="7">
        <v>0.05</v>
      </c>
      <c r="S24" s="3">
        <f>IFERROR(
Table_HieuQuaSX_DinhMuc[[#This Row],[Định mức]]*Table_HieuQuaSX_DinhMuc[[#This Row],[Sản lượng kế hoạch]]/(1-Table_HieuQuaSX_DinhMuc[[#This Row],[Hao hụt]]),0)</f>
        <v>421.0526315789474</v>
      </c>
      <c r="T24" s="3">
        <f>VLOOKUP(Table_HieuQuaSX_DinhMuc[[#This Row],[Nguyên liệu]],
Table_HieuQuaSX_KHTieuThu[],
COUNTA(Table_HieuQuaSX_KHTieuThu[[#Headers],[Nguyên liệu]:[Đơn giá]]),
0)</f>
        <v>100000</v>
      </c>
      <c r="U24" s="3">
        <f>Table_HieuQuaSX_DinhMuc[[#This Row],[Đơn giá]]*Table_HieuQuaSX_DinhMuc[[#This Row],[Số lượng tiêu thụ]]</f>
        <v>42105263.157894738</v>
      </c>
      <c r="W24" s="1" t="s">
        <v>46</v>
      </c>
      <c r="X24" s="6"/>
      <c r="Y24" s="5">
        <v>100000</v>
      </c>
      <c r="Z24" s="3">
        <v>400</v>
      </c>
      <c r="AA24" s="3">
        <f>MAX(0,
IFERROR(
SUM(_xlfn._xlws.FILTER(Table_HieuQuaSX_DinhMuc[Số lượng tiêu thụ],
(Table_HieuQuaSX_DinhMuc[Nguyên liệu] = Table_HieuQuaSX_KHTieuThu[[#This Row],[Nguyên liệu]])
)),0)
-Table_HieuQuaSX_KHTieuThu[[#This Row],[Tồn kho hiện tại]]
)</f>
        <v>515.89799240368961</v>
      </c>
      <c r="AB24" s="3">
        <f>Table_HieuQuaSX_KHTieuThu[[#This Row],[Số lượng cần đặt]]*Table_HieuQuaSX_KHTieuThu[[#This Row],[Đơn giá]]</f>
        <v>51589799.240368962</v>
      </c>
      <c r="AD24" s="1"/>
      <c r="AH24" s="1"/>
    </row>
    <row r="25" spans="2:34" ht="16.5" x14ac:dyDescent="0.3">
      <c r="B25" s="8" t="s">
        <v>43</v>
      </c>
      <c r="C25">
        <v>329896.90721649484</v>
      </c>
      <c r="E25" s="8" t="s">
        <v>47</v>
      </c>
      <c r="F25" s="29">
        <v>21052631.578947369</v>
      </c>
      <c r="H25" s="8" t="s">
        <v>47</v>
      </c>
      <c r="I25" s="29">
        <v>250</v>
      </c>
      <c r="J25" s="29">
        <v>102.68583830710799</v>
      </c>
      <c r="L25" s="2" t="s">
        <v>42</v>
      </c>
      <c r="M25" s="2"/>
      <c r="N25" s="2">
        <v>200</v>
      </c>
      <c r="O25" s="1" t="s">
        <v>47</v>
      </c>
      <c r="P25" s="4"/>
      <c r="Q25" s="32">
        <v>0.5</v>
      </c>
      <c r="R25" s="7">
        <v>0.05</v>
      </c>
      <c r="S25" s="3">
        <f>IFERROR(
Table_HieuQuaSX_DinhMuc[[#This Row],[Định mức]]*Table_HieuQuaSX_DinhMuc[[#This Row],[Sản lượng kế hoạch]]/(1-Table_HieuQuaSX_DinhMuc[[#This Row],[Hao hụt]]),0)</f>
        <v>105.26315789473685</v>
      </c>
      <c r="T25" s="3">
        <f>VLOOKUP(Table_HieuQuaSX_DinhMuc[[#This Row],[Nguyên liệu]],
Table_HieuQuaSX_KHTieuThu[],
COUNTA(Table_HieuQuaSX_KHTieuThu[[#Headers],[Nguyên liệu]:[Đơn giá]]),
0)</f>
        <v>200000</v>
      </c>
      <c r="U25" s="3">
        <f>Table_HieuQuaSX_DinhMuc[[#This Row],[Đơn giá]]*Table_HieuQuaSX_DinhMuc[[#This Row],[Số lượng tiêu thụ]]</f>
        <v>21052631.578947369</v>
      </c>
      <c r="W25" s="1" t="s">
        <v>47</v>
      </c>
      <c r="X25" s="6"/>
      <c r="Y25" s="5">
        <v>200000</v>
      </c>
      <c r="Z25" s="3">
        <v>250</v>
      </c>
      <c r="AA25" s="3">
        <f>MAX(0,
IFERROR(
SUM(_xlfn._xlws.FILTER(Table_HieuQuaSX_DinhMuc[Số lượng tiêu thụ],
(Table_HieuQuaSX_DinhMuc[Nguyên liệu] = Table_HieuQuaSX_KHTieuThu[[#This Row],[Nguyên liệu]])
)),0)
-Table_HieuQuaSX_KHTieuThu[[#This Row],[Tồn kho hiện tại]]
)</f>
        <v>102.68583830710799</v>
      </c>
      <c r="AB25" s="3">
        <f>Table_HieuQuaSX_KHTieuThu[[#This Row],[Số lượng cần đặt]]*Table_HieuQuaSX_KHTieuThu[[#This Row],[Đơn giá]]</f>
        <v>20537167.661421597</v>
      </c>
      <c r="AC25"/>
      <c r="AD25" s="1"/>
      <c r="AG25"/>
      <c r="AH25" s="1"/>
    </row>
    <row r="26" spans="2:34" ht="16.5" x14ac:dyDescent="0.3">
      <c r="B26" s="8" t="s">
        <v>45</v>
      </c>
      <c r="C26">
        <v>648507.86760716222</v>
      </c>
      <c r="E26" s="8" t="s">
        <v>45</v>
      </c>
      <c r="F26" s="29">
        <v>63157894.736842111</v>
      </c>
      <c r="H26" s="8" t="s">
        <v>45</v>
      </c>
      <c r="I26" s="29">
        <v>650</v>
      </c>
      <c r="J26" s="29">
        <v>618.58383071079766</v>
      </c>
      <c r="L26" s="2" t="s">
        <v>43</v>
      </c>
      <c r="M26" s="2"/>
      <c r="N26" s="2">
        <v>300</v>
      </c>
      <c r="O26" s="1" t="s">
        <v>46</v>
      </c>
      <c r="P26" s="4"/>
      <c r="Q26" s="32">
        <v>1.6</v>
      </c>
      <c r="R26" s="7">
        <v>0.03</v>
      </c>
      <c r="S26" s="3">
        <f>IFERROR(
Table_HieuQuaSX_DinhMuc[[#This Row],[Định mức]]*Table_HieuQuaSX_DinhMuc[[#This Row],[Sản lượng kế hoạch]]/(1-Table_HieuQuaSX_DinhMuc[[#This Row],[Hao hụt]]),0)</f>
        <v>494.84536082474227</v>
      </c>
      <c r="T26" s="3">
        <f>VLOOKUP(Table_HieuQuaSX_DinhMuc[[#This Row],[Nguyên liệu]],
Table_HieuQuaSX_KHTieuThu[],
COUNTA(Table_HieuQuaSX_KHTieuThu[[#Headers],[Nguyên liệu]:[Đơn giá]]),
0)</f>
        <v>100000</v>
      </c>
      <c r="U26" s="3">
        <f>Table_HieuQuaSX_DinhMuc[[#This Row],[Đơn giá]]*Table_HieuQuaSX_DinhMuc[[#This Row],[Số lượng tiêu thụ]]</f>
        <v>49484536.082474224</v>
      </c>
      <c r="X26" s="1"/>
      <c r="AC26"/>
      <c r="AD26" s="1"/>
      <c r="AG26"/>
      <c r="AH26" s="1"/>
    </row>
    <row r="27" spans="2:34" ht="16.5" x14ac:dyDescent="0.3">
      <c r="B27"/>
      <c r="C27"/>
      <c r="E27"/>
      <c r="F27"/>
      <c r="H27"/>
      <c r="I27"/>
      <c r="J27"/>
      <c r="L27" s="2" t="s">
        <v>43</v>
      </c>
      <c r="M27" s="2"/>
      <c r="N27" s="2">
        <v>300</v>
      </c>
      <c r="O27" s="1" t="s">
        <v>47</v>
      </c>
      <c r="P27" s="4"/>
      <c r="Q27" s="32">
        <v>0.8</v>
      </c>
      <c r="R27" s="7">
        <v>0.03</v>
      </c>
      <c r="S27" s="3">
        <f>IFERROR(
Table_HieuQuaSX_DinhMuc[[#This Row],[Định mức]]*Table_HieuQuaSX_DinhMuc[[#This Row],[Sản lượng kế hoạch]]/(1-Table_HieuQuaSX_DinhMuc[[#This Row],[Hao hụt]]),0)</f>
        <v>247.42268041237114</v>
      </c>
      <c r="T27" s="3">
        <f>VLOOKUP(Table_HieuQuaSX_DinhMuc[[#This Row],[Nguyên liệu]],
Table_HieuQuaSX_KHTieuThu[],
COUNTA(Table_HieuQuaSX_KHTieuThu[[#Headers],[Nguyên liệu]:[Đơn giá]]),
0)</f>
        <v>200000</v>
      </c>
      <c r="U27" s="3">
        <f>Table_HieuQuaSX_DinhMuc[[#This Row],[Đơn giá]]*Table_HieuQuaSX_DinhMuc[[#This Row],[Số lượng tiêu thụ]]</f>
        <v>49484536.082474224</v>
      </c>
      <c r="X27" s="1"/>
      <c r="AC27"/>
      <c r="AD27" s="1"/>
      <c r="AG27"/>
      <c r="AH27" s="1"/>
    </row>
    <row r="28" spans="2:34" ht="16.5" x14ac:dyDescent="0.3">
      <c r="B28"/>
      <c r="C28"/>
      <c r="E28"/>
      <c r="F28"/>
      <c r="H28"/>
      <c r="I28"/>
      <c r="J28"/>
      <c r="Q28"/>
      <c r="R28" s="1"/>
      <c r="T28"/>
      <c r="X28" s="1"/>
      <c r="AC28"/>
      <c r="AD28" s="1"/>
      <c r="AG28"/>
      <c r="AH28" s="1"/>
    </row>
    <row r="29" spans="2:34" ht="16.5" x14ac:dyDescent="0.3">
      <c r="B29"/>
      <c r="C29"/>
      <c r="E29"/>
      <c r="F29"/>
      <c r="H29"/>
      <c r="I29"/>
      <c r="J29"/>
    </row>
    <row r="30" spans="2:34" ht="16.5" x14ac:dyDescent="0.3">
      <c r="B30"/>
      <c r="C30"/>
      <c r="E30"/>
      <c r="F30"/>
      <c r="H30"/>
      <c r="I30"/>
      <c r="J30"/>
    </row>
    <row r="31" spans="2:34" ht="16.5" x14ac:dyDescent="0.3">
      <c r="B31"/>
      <c r="C31"/>
      <c r="E31"/>
      <c r="F31"/>
      <c r="H31"/>
      <c r="I31"/>
      <c r="J31"/>
    </row>
    <row r="32" spans="2:34" ht="16.5" x14ac:dyDescent="0.3">
      <c r="B32"/>
      <c r="C32"/>
      <c r="E32"/>
      <c r="F32"/>
      <c r="H32"/>
      <c r="I32"/>
      <c r="J32"/>
    </row>
    <row r="33" spans="2:10" ht="16.5" x14ac:dyDescent="0.3">
      <c r="B33"/>
      <c r="C33"/>
      <c r="E33"/>
      <c r="F33"/>
      <c r="H33"/>
      <c r="I33"/>
      <c r="J33"/>
    </row>
    <row r="34" spans="2:10" ht="16.5" x14ac:dyDescent="0.3">
      <c r="B34"/>
      <c r="C34"/>
      <c r="E34"/>
      <c r="F34"/>
      <c r="H34"/>
      <c r="I34"/>
      <c r="J34"/>
    </row>
    <row r="35" spans="2:10" ht="16.5" x14ac:dyDescent="0.3">
      <c r="B35"/>
      <c r="C35"/>
      <c r="E35"/>
      <c r="F35"/>
      <c r="H35"/>
      <c r="I35"/>
      <c r="J35"/>
    </row>
    <row r="36" spans="2:10" ht="16.5" x14ac:dyDescent="0.3">
      <c r="B36"/>
      <c r="C36"/>
      <c r="E36"/>
      <c r="F36"/>
      <c r="H36"/>
      <c r="I36"/>
      <c r="J36"/>
    </row>
    <row r="37" spans="2:10" ht="16.5" x14ac:dyDescent="0.3">
      <c r="B37"/>
      <c r="C37"/>
      <c r="E37"/>
      <c r="F37"/>
      <c r="H37"/>
      <c r="I37"/>
      <c r="J37"/>
    </row>
    <row r="38" spans="2:10" ht="16.5" x14ac:dyDescent="0.3">
      <c r="B38"/>
      <c r="C38"/>
      <c r="E38"/>
      <c r="F38"/>
      <c r="H38"/>
      <c r="I38"/>
      <c r="J38"/>
    </row>
    <row r="39" spans="2:10" ht="16.5" x14ac:dyDescent="0.3">
      <c r="B39"/>
      <c r="C39"/>
      <c r="E39"/>
      <c r="F39"/>
      <c r="H39"/>
      <c r="I39"/>
      <c r="J39"/>
    </row>
    <row r="40" spans="2:10" ht="16.5" x14ac:dyDescent="0.3">
      <c r="B40"/>
      <c r="C40"/>
      <c r="E40"/>
      <c r="F40"/>
      <c r="H40"/>
      <c r="I40"/>
      <c r="J40"/>
    </row>
  </sheetData>
  <sheetProtection algorithmName="SHA-512" hashValue="UgVeDwKTV9Jao/m7vynrwJzr2dlf6vpCb8F7ctyR/FKZzorC8EyfuL6LGInfKLAc0j1SWX5fMvNH9sG28WHFXA==" saltValue="rS0QJR3aihwASEzf/k4K4A==" spinCount="100000" sheet="1" scenarios="1" formatCells="0" formatColumns="0" formatRows="0" autoFilter="0" pivotTables="0"/>
  <pageMargins left="0.7" right="0.7" top="0.75" bottom="0.75" header="0.3" footer="0.3"/>
  <drawing r:id="rId4"/>
  <legacyDrawing r:id="rId5"/>
  <mc:AlternateContent xmlns:mc="http://schemas.openxmlformats.org/markup-compatibility/2006">
    <mc:Choice Requires="x14">
      <controls>
        <mc:AlternateContent xmlns:mc="http://schemas.openxmlformats.org/markup-compatibility/2006">
          <mc:Choice Requires="x14">
            <control shapeId="56321" r:id="rId6" name="Button 1">
              <controlPr defaultSize="0" print="0" autoFill="0" autoPict="0" macro="[0]!AddRow">
                <anchor moveWithCells="1">
                  <from>
                    <xdr:col>14</xdr:col>
                    <xdr:colOff>1047750</xdr:colOff>
                    <xdr:row>0</xdr:row>
                    <xdr:rowOff>123825</xdr:rowOff>
                  </from>
                  <to>
                    <xdr:col>15</xdr:col>
                    <xdr:colOff>371475</xdr:colOff>
                    <xdr:row>1</xdr:row>
                    <xdr:rowOff>152400</xdr:rowOff>
                  </to>
                </anchor>
              </controlPr>
            </control>
          </mc:Choice>
        </mc:AlternateContent>
        <mc:AlternateContent xmlns:mc="http://schemas.openxmlformats.org/markup-compatibility/2006">
          <mc:Choice Requires="x14">
            <control shapeId="56322" r:id="rId7" name="Button 2">
              <controlPr defaultSize="0" print="0" autoFill="0" autoPict="0" macro="[0]!DeleteRow">
                <anchor moveWithCells="1">
                  <from>
                    <xdr:col>15</xdr:col>
                    <xdr:colOff>552450</xdr:colOff>
                    <xdr:row>0</xdr:row>
                    <xdr:rowOff>123825</xdr:rowOff>
                  </from>
                  <to>
                    <xdr:col>16</xdr:col>
                    <xdr:colOff>457200</xdr:colOff>
                    <xdr:row>1</xdr:row>
                    <xdr:rowOff>152400</xdr:rowOff>
                  </to>
                </anchor>
              </controlPr>
            </control>
          </mc:Choice>
        </mc:AlternateContent>
        <mc:AlternateContent xmlns:mc="http://schemas.openxmlformats.org/markup-compatibility/2006">
          <mc:Choice Requires="x14">
            <control shapeId="56326" r:id="rId8" name="Option Button 6">
              <controlPr defaultSize="0" autoFill="0" autoLine="0" autoPict="0" macro="[0]!DoiDonViHienThi">
                <anchor moveWithCells="1">
                  <from>
                    <xdr:col>13</xdr:col>
                    <xdr:colOff>238125</xdr:colOff>
                    <xdr:row>0</xdr:row>
                    <xdr:rowOff>152400</xdr:rowOff>
                  </from>
                  <to>
                    <xdr:col>13</xdr:col>
                    <xdr:colOff>828675</xdr:colOff>
                    <xdr:row>1</xdr:row>
                    <xdr:rowOff>200025</xdr:rowOff>
                  </to>
                </anchor>
              </controlPr>
            </control>
          </mc:Choice>
        </mc:AlternateContent>
        <mc:AlternateContent xmlns:mc="http://schemas.openxmlformats.org/markup-compatibility/2006">
          <mc:Choice Requires="x14">
            <control shapeId="56327" r:id="rId9" name="Option Button 7">
              <controlPr defaultSize="0" autoFill="0" autoLine="0" autoPict="0" macro="[0]!DoiDonViHienThi">
                <anchor moveWithCells="1">
                  <from>
                    <xdr:col>13</xdr:col>
                    <xdr:colOff>704850</xdr:colOff>
                    <xdr:row>0</xdr:row>
                    <xdr:rowOff>152400</xdr:rowOff>
                  </from>
                  <to>
                    <xdr:col>14</xdr:col>
                    <xdr:colOff>76200</xdr:colOff>
                    <xdr:row>1</xdr:row>
                    <xdr:rowOff>200025</xdr:rowOff>
                  </to>
                </anchor>
              </controlPr>
            </control>
          </mc:Choice>
        </mc:AlternateContent>
        <mc:AlternateContent xmlns:mc="http://schemas.openxmlformats.org/markup-compatibility/2006">
          <mc:Choice Requires="x14">
            <control shapeId="56328" r:id="rId10" name="Option Button 8">
              <controlPr defaultSize="0" autoFill="0" autoLine="0" autoPict="0" macro="[0]!DoiDonViHienThi">
                <anchor moveWithCells="1">
                  <from>
                    <xdr:col>13</xdr:col>
                    <xdr:colOff>1171575</xdr:colOff>
                    <xdr:row>0</xdr:row>
                    <xdr:rowOff>152400</xdr:rowOff>
                  </from>
                  <to>
                    <xdr:col>14</xdr:col>
                    <xdr:colOff>542925</xdr:colOff>
                    <xdr:row>1</xdr:row>
                    <xdr:rowOff>200025</xdr:rowOff>
                  </to>
                </anchor>
              </controlPr>
            </control>
          </mc:Choice>
        </mc:AlternateContent>
        <mc:AlternateContent xmlns:mc="http://schemas.openxmlformats.org/markup-compatibility/2006">
          <mc:Choice Requires="x14">
            <control shapeId="56329" r:id="rId11" name="Option Button 9">
              <controlPr defaultSize="0" autoFill="0" autoLine="0" autoPict="0" macro="[0]!DoiDonViHienThi">
                <anchor moveWithCells="1">
                  <from>
                    <xdr:col>14</xdr:col>
                    <xdr:colOff>419100</xdr:colOff>
                    <xdr:row>0</xdr:row>
                    <xdr:rowOff>152400</xdr:rowOff>
                  </from>
                  <to>
                    <xdr:col>14</xdr:col>
                    <xdr:colOff>771525</xdr:colOff>
                    <xdr:row>1</xdr:row>
                    <xdr:rowOff>200025</xdr:rowOff>
                  </to>
                </anchor>
              </controlPr>
            </control>
          </mc:Choice>
        </mc:AlternateContent>
        <mc:AlternateContent xmlns:mc="http://schemas.openxmlformats.org/markup-compatibility/2006">
          <mc:Choice Requires="x14">
            <control shapeId="56330" r:id="rId12" name="Group Box 10">
              <controlPr defaultSize="0" autoFill="0" autoPict="0">
                <anchor moveWithCells="1">
                  <from>
                    <xdr:col>13</xdr:col>
                    <xdr:colOff>133350</xdr:colOff>
                    <xdr:row>0</xdr:row>
                    <xdr:rowOff>104775</xdr:rowOff>
                  </from>
                  <to>
                    <xdr:col>14</xdr:col>
                    <xdr:colOff>885825</xdr:colOff>
                    <xdr:row>2</xdr:row>
                    <xdr:rowOff>9525</xdr:rowOff>
                  </to>
                </anchor>
              </controlPr>
            </control>
          </mc:Choice>
        </mc:AlternateContent>
        <mc:AlternateContent xmlns:mc="http://schemas.openxmlformats.org/markup-compatibility/2006">
          <mc:Choice Requires="x14">
            <control shapeId="56331" r:id="rId13" name="Group Box 11">
              <controlPr defaultSize="0" autoFill="0" autoPict="0">
                <anchor moveWithCells="1">
                  <from>
                    <xdr:col>11</xdr:col>
                    <xdr:colOff>171450</xdr:colOff>
                    <xdr:row>0</xdr:row>
                    <xdr:rowOff>104775</xdr:rowOff>
                  </from>
                  <to>
                    <xdr:col>13</xdr:col>
                    <xdr:colOff>85725</xdr:colOff>
                    <xdr:row>2</xdr:row>
                    <xdr:rowOff>9525</xdr:rowOff>
                  </to>
                </anchor>
              </controlPr>
            </control>
          </mc:Choice>
        </mc:AlternateContent>
        <mc:AlternateContent xmlns:mc="http://schemas.openxmlformats.org/markup-compatibility/2006">
          <mc:Choice Requires="x14">
            <control shapeId="56332" r:id="rId14" name="Button 12">
              <controlPr defaultSize="0" autoFill="0" autoPict="0" macro="[0]!NhanNghin">
                <anchor moveWithCells="1">
                  <from>
                    <xdr:col>11</xdr:col>
                    <xdr:colOff>247650</xdr:colOff>
                    <xdr:row>0</xdr:row>
                    <xdr:rowOff>200025</xdr:rowOff>
                  </from>
                  <to>
                    <xdr:col>11</xdr:col>
                    <xdr:colOff>714375</xdr:colOff>
                    <xdr:row>1</xdr:row>
                    <xdr:rowOff>142875</xdr:rowOff>
                  </to>
                </anchor>
              </controlPr>
            </control>
          </mc:Choice>
        </mc:AlternateContent>
        <mc:AlternateContent xmlns:mc="http://schemas.openxmlformats.org/markup-compatibility/2006">
          <mc:Choice Requires="x14">
            <control shapeId="56333" r:id="rId15" name="Button 13">
              <controlPr defaultSize="0" autoFill="0" autoPict="0" macro="[0]!NhanTrieu">
                <anchor moveWithCells="1">
                  <from>
                    <xdr:col>11</xdr:col>
                    <xdr:colOff>762000</xdr:colOff>
                    <xdr:row>0</xdr:row>
                    <xdr:rowOff>200025</xdr:rowOff>
                  </from>
                  <to>
                    <xdr:col>12</xdr:col>
                    <xdr:colOff>361950</xdr:colOff>
                    <xdr:row>1</xdr:row>
                    <xdr:rowOff>142875</xdr:rowOff>
                  </to>
                </anchor>
              </controlPr>
            </control>
          </mc:Choice>
        </mc:AlternateContent>
        <mc:AlternateContent xmlns:mc="http://schemas.openxmlformats.org/markup-compatibility/2006">
          <mc:Choice Requires="x14">
            <control shapeId="56334" r:id="rId16" name="Button 14">
              <controlPr defaultSize="0" autoFill="0" autoPict="0" macro="[0]!NhanTy">
                <anchor moveWithCells="1">
                  <from>
                    <xdr:col>12</xdr:col>
                    <xdr:colOff>409575</xdr:colOff>
                    <xdr:row>0</xdr:row>
                    <xdr:rowOff>200025</xdr:rowOff>
                  </from>
                  <to>
                    <xdr:col>13</xdr:col>
                    <xdr:colOff>0</xdr:colOff>
                    <xdr:row>1</xdr:row>
                    <xdr:rowOff>142875</xdr:rowOff>
                  </to>
                </anchor>
              </controlPr>
            </control>
          </mc:Choice>
        </mc:AlternateContent>
        <mc:AlternateContent xmlns:mc="http://schemas.openxmlformats.org/markup-compatibility/2006">
          <mc:Choice Requires="x14">
            <control shapeId="56335" r:id="rId17" name="Button 15">
              <controlPr defaultSize="0" print="0" autoFill="0" autoPict="0" macro="[0]!RefreshTables">
                <anchor moveWithCells="1">
                  <from>
                    <xdr:col>17</xdr:col>
                    <xdr:colOff>47625</xdr:colOff>
                    <xdr:row>0</xdr:row>
                    <xdr:rowOff>123825</xdr:rowOff>
                  </from>
                  <to>
                    <xdr:col>17</xdr:col>
                    <xdr:colOff>638175</xdr:colOff>
                    <xdr:row>1</xdr:row>
                    <xdr:rowOff>152400</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11" id="{F53924F9-F227-4F7F-9A12-DCE1A492951D}">
            <xm:f>Security!$A$1="NO VBA"</xm:f>
            <x14:dxf>
              <font>
                <color theme="0"/>
              </font>
              <border>
                <vertical/>
                <horizontal/>
              </border>
            </x14:dxf>
          </x14:cfRule>
          <xm:sqref>AE29:AG1048576 AD25:AF28 AI29:XFD1048576 AH25:XFD28 S29:T1048576 L29:Q1048576 L1:S1 R27:S28 L28:P28 P27 P26:U26 L25:U25 AC24:XFD24 Y29:AC1048576 W1:Z23 X24:AB28 W24:W1048576 L2:Q24 R1:U24 L26:O27 AC1:XFD1 AA2:XFD23</xm:sqref>
        </x14:conditionalFormatting>
        <x14:conditionalFormatting xmlns:xm="http://schemas.microsoft.com/office/excel/2006/main">
          <x14:cfRule type="expression" priority="9" id="{738BC6EA-8F4D-4A98-835C-339D4A32D91F}">
            <xm:f>Security!$A$1="NO VBA"</xm:f>
            <x14:dxf>
              <font>
                <color theme="0"/>
              </font>
              <border>
                <vertical/>
                <horizontal/>
              </border>
            </x14:dxf>
          </x14:cfRule>
          <xm:sqref>AB22</xm:sqref>
        </x14:conditionalFormatting>
        <x14:conditionalFormatting xmlns:xm="http://schemas.microsoft.com/office/excel/2006/main">
          <x14:cfRule type="expression" priority="5" id="{E564540E-F96C-4DDF-87BC-7919892712A3}">
            <xm:f>Security!$A$1="NO VBA"</xm:f>
            <x14:dxf>
              <font>
                <color theme="0"/>
              </font>
              <border>
                <vertical/>
                <horizontal/>
              </border>
            </x14:dxf>
          </x14:cfRule>
          <xm:sqref>K1:K1048576</xm:sqref>
        </x14:conditionalFormatting>
        <x14:conditionalFormatting xmlns:xm="http://schemas.microsoft.com/office/excel/2006/main">
          <x14:cfRule type="expression" priority="4" id="{046908C8-DD4C-4D5A-BE51-FD99E35BA971}">
            <xm:f>Security!$A$1="NO VBA"</xm:f>
            <x14:dxf>
              <font>
                <color theme="0"/>
              </font>
              <border>
                <vertical/>
                <horizontal/>
              </border>
            </x14:dxf>
          </x14:cfRule>
          <xm:sqref>A1:A1048576</xm:sqref>
        </x14:conditionalFormatting>
        <x14:conditionalFormatting xmlns:xm="http://schemas.microsoft.com/office/excel/2006/main">
          <x14:cfRule type="expression" priority="3" id="{9494DD5C-DE9E-4CF3-9738-5E33FCB06611}">
            <xm:f>Security!$A$1="NO VBA"</xm:f>
            <x14:dxf>
              <font>
                <color theme="0"/>
              </font>
              <border>
                <vertical/>
                <horizontal/>
              </border>
            </x14:dxf>
          </x14:cfRule>
          <xm:sqref>D1:D1048576</xm:sqref>
        </x14:conditionalFormatting>
        <x14:conditionalFormatting xmlns:xm="http://schemas.microsoft.com/office/excel/2006/main">
          <x14:cfRule type="expression" priority="2" id="{B1B27997-70FA-42C4-8D10-EDF8A29188EF}">
            <xm:f>Security!$A$1="NO VBA"</xm:f>
            <x14:dxf>
              <font>
                <color theme="0"/>
              </font>
              <border>
                <vertical/>
                <horizontal/>
              </border>
            </x14:dxf>
          </x14:cfRule>
          <xm:sqref>V1:V1048576</xm:sqref>
        </x14:conditionalFormatting>
        <x14:conditionalFormatting xmlns:xm="http://schemas.microsoft.com/office/excel/2006/main">
          <x14:cfRule type="expression" priority="1" id="{6343E620-B53B-4B64-873D-EA3CAE98026B}">
            <xm:f>Security!$A$1="NO VBA"</xm:f>
            <x14:dxf>
              <font>
                <color theme="0"/>
              </font>
              <border>
                <vertical/>
                <horizontal/>
              </border>
            </x14:dxf>
          </x14:cfRule>
          <xm:sqref>G1:G1048576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item1.xml>�� �n   �u   t � �n   �u   t � �  �u   t � �i   h � �  �  �u   t � �   � �n   �u   t � �n   �u   t � �  �u   t � �i   h � �  �  �u   t � �   � 
</file>

<file path=customXml/item2.xml>��   
</file>

<file path=customXml/item3.xml>�� 
</file>

<file path=customXml/item4.xml>�� � �n   v � � � �n   t � �  l �� �n   � �  c �n   � � �n   v � � � �n   t � �  l �� �n   � �  c �n   � 
</file>

<file path=customXml/item5.xml>�� �  �  
</file>

<file path=customXml/item6.xml>�� 
</file>

<file path=customXml/item7.xml>�� � � � �� �  l � � � � i �m   s �  d � � �n   c � � �p    � � � � i � �  d �  �  �  �  �  l ��  �  � �  l � � � � � � �� �  l � � � � i �m   s �  d � � �n   c � � �p    � � � � i � �  d �  �  �  �  �  l ��  �  � �  l � � � 
</file>

<file path=customXml/item8.xml>�� � � � � �  t �n   � �  t � � � � � � � � � � � �  t �n   � �  t � � � � � � � � � � � �  l �� � � � � � �  s u � � � � � � � � � �� �  l � � � �� �  l � � � �  l � �n   � � �n   s �  b � � �p     �  �  �  �  l ��  �  � � � � � �  t �n   � �  t � � � � � � � � � � � �  t �n   � �  t � � � � � � � � � � � �  l �� � � � � � �  s u � � � � � � � � � �� �  l � � � �� �  l � � � �  l � �n   � � �n   s �  b � � �p     �  �  �  �  l ��  �  � 
</file>

<file path=customXml/item9.xml>��   
</file>

<file path=customXml/item10.xml>��   
</file>

<file path=customXml/item11.xml>�� 
</file>

<file path=customXml/item12.xml>��   
</file>

<file path=customXml/item13.xml>��   
</file>

<file path=customXml/item14.xml>�� 
</file>

<file path=customXml/item15.xml>��   
</file>

<file path=customXml/item16.xml>�� 
</file>

<file path=customXml/item17.xml>�� �c   n  �c   n  
</file>

<file path=customXml/item18.xml>�� 
</file>

<file path=customXml/item19.xml>�� � �n   v � � �n   l �� �  h o � � �n   v � � � � �  l �� � � � � � �n   v � � �n   l �� �  h o � � �n   v � � � � �  l �� � � � � 
</file>

<file path=customXml/item20.xml>�� � � � � 
</file>

<file path=customXml/item21.xml>�� �� �i   t �� � �� �t   � � �  l � � �  l �� �  t � � �� �i   t �� � �� �t   � � �  l � � �  l �� �  t � � 
</file>

<file path=customXml/item22.xml>��   
</file>

<file path=customXml/item23.xml>�� 
</file>

<file path=customXml/item24.xml>�� 
</file>

<file path=customXml/item25.xml>�� 
</file>

<file path=customXml/item26.xml>�� � � � i � �  d � i �m   s �  d � �� �  l � � � � � �n   c � � � � � �  l � � � � �p     �  �  �  �  l ��  �  � � �n   v � � �n   l �� �  h o � � �n   v � � � � �  l �� � � � � � �n   v � � � �n   t � �  l �� �n   � �  c �n   � 
</file>

<file path=customXml/item27.xml>��   
</file>

<file path=customXml/item28.xml>�� 
</file>

<file path=customXml/item29.xml>�� � �n   v � � �n   l �� �  h o � � �n   v � � � � �  l �� � � � � � �n   v � � �n   l �� �  h o � � �n   v � � � � �  l �� � � � � � �n   v � � � �n   t � �  l �� �n   � �  c �n   � � �n   v � � � �n   t � �  l �� �n   � �  c �n   � � �n   v � � �n   l �� �  h o � � �n   v � � � � �  l �� � � � � � �n   v � � � �n   t � �  l �� �n   � �  c �n   � � � � � � � � � � � � �n   v � � �n   l �� �  h o � � �n   v � � � � �  l �� � � � � � �n   v � � � �n   t � �  l �� �n   � �  c �n   � � � � � � � � � 
</file>

<file path=customXml/item30.xml>�� 
</file>

<file path=customXml/item31.xml>�� 
</file>

<file path=customXml/item32.xml>�� 
</file>

<file path=customXml/item33.xml>�� 
</file>

<file path=customXml/item34.xml>��   
</file>

<file path=customXml/item35.xml>�� �  p h � �c   n  � �� � � �  p h � �c   n  � �� � � 
</file>

<file path=customXml/item36.xml>�� � � �n   v � �  s u � �  l � � � � �n   v � �  s u � �  l � � 
</file>

<file path=customXml/item37.xml>��   
</file>

<file path=customXml/item38.xml>�� 
</file>

<file path=customXml/item39.xml>�� 
</file>

<file path=customXml/itemProps1.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2.xml><?xml version="1.0" encoding="utf-8"?>
<ds:datastoreItem xmlns:ds="http://schemas.openxmlformats.org/officeDocument/2006/customXml" ds:itemID="{104A6CAF-8CC0-4F12-8051-31E2340CC4C2}">
  <ds:schemaRefs/>
</ds:datastoreItem>
</file>

<file path=customXml/itemProps3.xml><?xml version="1.0" encoding="utf-8"?>
<ds:datastoreItem xmlns:ds="http://schemas.openxmlformats.org/officeDocument/2006/customXml" ds:itemID="{1DCF6CF2-3AC1-40B5-8ED4-45397DB698C8}">
  <ds:schemaRefs/>
</ds:datastoreItem>
</file>

<file path=customXml/itemProps4.xml><?xml version="1.0" encoding="utf-8"?>
<ds:datastoreItem xmlns:ds="http://schemas.openxmlformats.org/officeDocument/2006/customXml" ds:itemID="{8B98AF96-AE99-4FFA-A257-0384ACCA009E}">
  <ds:schemaRefs/>
</ds:datastoreItem>
</file>

<file path=customXml/itemProps5.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6.xml><?xml version="1.0" encoding="utf-8"?>
<ds:datastoreItem xmlns:ds="http://schemas.openxmlformats.org/officeDocument/2006/customXml" ds:itemID="{A1EA2536-6CF2-4BF9-B797-861E61AA8554}">
  <ds:schemaRefs/>
</ds:datastoreItem>
</file>

<file path=customXml/itemProps7.xml><?xml version="1.0" encoding="utf-8"?>
<ds:datastoreItem xmlns:ds="http://schemas.openxmlformats.org/officeDocument/2006/customXml" ds:itemID="{CCFAB5FF-26AB-4CB9-BA2C-5A121007B041}">
  <ds:schemaRefs/>
</ds:datastoreItem>
</file>

<file path=customXml/itemProps8.xml><?xml version="1.0" encoding="utf-8"?>
<ds:datastoreItem xmlns:ds="http://schemas.openxmlformats.org/officeDocument/2006/customXml" ds:itemID="{2BF00A03-70FC-4137-967C-82A1B61F0E08}">
  <ds:schemaRefs/>
</ds:datastoreItem>
</file>

<file path=customXml/itemProps9.xml><?xml version="1.0" encoding="utf-8"?>
<ds:datastoreItem xmlns:ds="http://schemas.openxmlformats.org/officeDocument/2006/customXml" ds:itemID="{339EBD31-34FE-48FA-B11C-5697D02F64AC}">
  <ds:schemaRefs/>
</ds:datastoreItem>
</file>

<file path=customXml/itemProps10.xml><?xml version="1.0" encoding="utf-8"?>
<ds:datastoreItem xmlns:ds="http://schemas.openxmlformats.org/officeDocument/2006/customXml" ds:itemID="{15A5E9E7-8554-4C17-8FCE-88C5899190B5}">
  <ds:schemaRefs/>
</ds:datastoreItem>
</file>

<file path=customXml/itemProps11.xml><?xml version="1.0" encoding="utf-8"?>
<ds:datastoreItem xmlns:ds="http://schemas.openxmlformats.org/officeDocument/2006/customXml" ds:itemID="{E4A72D0F-82E5-49F6-94ED-FAAB12E0866D}">
  <ds:schemaRefs/>
</ds:datastoreItem>
</file>

<file path=customXml/itemProps12.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13.xml><?xml version="1.0" encoding="utf-8"?>
<ds:datastoreItem xmlns:ds="http://schemas.openxmlformats.org/officeDocument/2006/customXml" ds:itemID="{4BA9E5F1-90AC-490B-B178-7C8B339E1A47}">
  <ds:schemaRefs/>
</ds:datastoreItem>
</file>

<file path=customXml/itemProps14.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15.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16.xml><?xml version="1.0" encoding="utf-8"?>
<ds:datastoreItem xmlns:ds="http://schemas.openxmlformats.org/officeDocument/2006/customXml" ds:itemID="{BD0A3295-775E-4690-B937-12063737D224}">
  <ds:schemaRefs/>
</ds:datastoreItem>
</file>

<file path=customXml/itemProps17.xml><?xml version="1.0" encoding="utf-8"?>
<ds:datastoreItem xmlns:ds="http://schemas.openxmlformats.org/officeDocument/2006/customXml" ds:itemID="{A6D0F6C4-9EB7-4062-86F8-715E8F5BF469}">
  <ds:schemaRefs/>
</ds:datastoreItem>
</file>

<file path=customXml/itemProps18.xml><?xml version="1.0" encoding="utf-8"?>
<ds:datastoreItem xmlns:ds="http://schemas.openxmlformats.org/officeDocument/2006/customXml" ds:itemID="{02186421-9719-4C31-96F7-D4797282906B}">
  <ds:schemaRefs/>
</ds:datastoreItem>
</file>

<file path=customXml/itemProps19.xml><?xml version="1.0" encoding="utf-8"?>
<ds:datastoreItem xmlns:ds="http://schemas.openxmlformats.org/officeDocument/2006/customXml" ds:itemID="{8CF5C40D-0438-4F30-AF26-479883D0ECA4}">
  <ds:schemaRefs/>
</ds:datastoreItem>
</file>

<file path=customXml/itemProps20.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21.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22.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23.xml><?xml version="1.0" encoding="utf-8"?>
<ds:datastoreItem xmlns:ds="http://schemas.openxmlformats.org/officeDocument/2006/customXml" ds:itemID="{A4EF8C1A-1873-467C-B390-C3A3C13B97E1}">
  <ds:schemaRefs/>
</ds:datastoreItem>
</file>

<file path=customXml/itemProps24.xml><?xml version="1.0" encoding="utf-8"?>
<ds:datastoreItem xmlns:ds="http://schemas.openxmlformats.org/officeDocument/2006/customXml" ds:itemID="{7EEB9E87-0CB2-4B08-8718-D73C70A0EF2E}">
  <ds:schemaRefs/>
</ds:datastoreItem>
</file>

<file path=customXml/itemProps25.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26.xml><?xml version="1.0" encoding="utf-8"?>
<ds:datastoreItem xmlns:ds="http://schemas.openxmlformats.org/officeDocument/2006/customXml" ds:itemID="{5E546383-D2BA-476C-88AE-B2B724C630BE}">
  <ds:schemaRefs/>
</ds:datastoreItem>
</file>

<file path=customXml/itemProps27.xml><?xml version="1.0" encoding="utf-8"?>
<ds:datastoreItem xmlns:ds="http://schemas.openxmlformats.org/officeDocument/2006/customXml" ds:itemID="{0B9C3544-1C46-45A4-BEB6-1CE4D6559900}">
  <ds:schemaRefs/>
</ds:datastoreItem>
</file>

<file path=customXml/itemProps28.xml><?xml version="1.0" encoding="utf-8"?>
<ds:datastoreItem xmlns:ds="http://schemas.openxmlformats.org/officeDocument/2006/customXml" ds:itemID="{04EC37D3-95F9-4497-8F2D-52060F2CB90B}">
  <ds:schemaRefs/>
</ds:datastoreItem>
</file>

<file path=customXml/itemProps29.xml><?xml version="1.0" encoding="utf-8"?>
<ds:datastoreItem xmlns:ds="http://schemas.openxmlformats.org/officeDocument/2006/customXml" ds:itemID="{46C12687-E171-4F06-AB12-4269FC52E376}">
  <ds:schemaRefs/>
</ds:datastoreItem>
</file>

<file path=customXml/itemProps30.xml><?xml version="1.0" encoding="utf-8"?>
<ds:datastoreItem xmlns:ds="http://schemas.openxmlformats.org/officeDocument/2006/customXml" ds:itemID="{15928715-2AE1-4852-B923-842E3F216749}">
  <ds:schemaRefs/>
</ds:datastoreItem>
</file>

<file path=customXml/itemProps31.xml><?xml version="1.0" encoding="utf-8"?>
<ds:datastoreItem xmlns:ds="http://schemas.openxmlformats.org/officeDocument/2006/customXml" ds:itemID="{48CCF521-6BC6-4824-9A98-C28B83F05652}">
  <ds:schemaRefs/>
</ds:datastoreItem>
</file>

<file path=customXml/itemProps32.xml><?xml version="1.0" encoding="utf-8"?>
<ds:datastoreItem xmlns:ds="http://schemas.openxmlformats.org/officeDocument/2006/customXml" ds:itemID="{BEB9306D-19A9-4A0D-AFA6-D833DD14C823}">
  <ds:schemaRefs/>
</ds:datastoreItem>
</file>

<file path=customXml/itemProps33.xml><?xml version="1.0" encoding="utf-8"?>
<ds:datastoreItem xmlns:ds="http://schemas.openxmlformats.org/officeDocument/2006/customXml" ds:itemID="{E6D04F09-A0CB-4767-9A3B-DEFC48A93C2E}">
  <ds:schemaRefs/>
</ds:datastoreItem>
</file>

<file path=customXml/itemProps34.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35.xml><?xml version="1.0" encoding="utf-8"?>
<ds:datastoreItem xmlns:ds="http://schemas.openxmlformats.org/officeDocument/2006/customXml" ds:itemID="{7D64D66F-1898-49BE-A788-6FA781CEE8F3}">
  <ds:schemaRefs/>
</ds:datastoreItem>
</file>

<file path=customXml/itemProps36.xml><?xml version="1.0" encoding="utf-8"?>
<ds:datastoreItem xmlns:ds="http://schemas.openxmlformats.org/officeDocument/2006/customXml" ds:itemID="{19BA8129-97AB-4694-BBC1-89CB3D2043B0}">
  <ds:schemaRefs/>
</ds:datastoreItem>
</file>

<file path=customXml/itemProps37.xml><?xml version="1.0" encoding="utf-8"?>
<ds:datastoreItem xmlns:ds="http://schemas.openxmlformats.org/officeDocument/2006/customXml" ds:itemID="{A849B9D7-188B-48DA-AB5B-54583621621D}">
  <ds:schemaRefs/>
</ds:datastoreItem>
</file>

<file path=customXml/itemProps38.xml><?xml version="1.0" encoding="utf-8"?>
<ds:datastoreItem xmlns:ds="http://schemas.openxmlformats.org/officeDocument/2006/customXml" ds:itemID="{7021A11F-0BD7-4116-A1BA-408464620E95}">
  <ds:schemaRefs/>
</ds:datastoreItem>
</file>

<file path=customXml/itemProps39.xml><?xml version="1.0" encoding="utf-8"?>
<ds:datastoreItem xmlns:ds="http://schemas.openxmlformats.org/officeDocument/2006/customXml" ds:itemID="{8FD280FB-0EB8-4D91-8ABB-4113201DEE59}">
  <ds:schemaRefs>
    <ds:schemaRef ds:uri="http://gemini/pivotcustomization/FormulaBarStat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EULA</vt:lpstr>
      <vt:lpstr>Kế hoạch tiêu hao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2025-06-10T08:21:27Z</dcterms:modified>
  <cp:category/>
  <cp:contentStatus/>
</cp:coreProperties>
</file>