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1A6D2026-3340-4010-873D-A8FF9B9C19FF}" xr6:coauthVersionLast="47" xr6:coauthVersionMax="47" xr10:uidLastSave="{00000000-0000-0000-0000-000000000000}"/>
  <bookViews>
    <workbookView xWindow="14295" yWindow="0" windowWidth="14610" windowHeight="15585" tabRatio="717" firstSheet="1" activeTab="2" xr2:uid="{B2DA85E2-969C-4F09-941C-CE16CCFE9D56}"/>
  </bookViews>
  <sheets>
    <sheet name="Security" sheetId="79" state="veryHidden" r:id="rId1"/>
    <sheet name="EULA" sheetId="77" r:id="rId2"/>
    <sheet name="Quản lý tồn kho" sheetId="34" r:id="rId3"/>
  </sheets>
  <functionGroups builtInGroupCount="19"/>
  <definedNames>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14"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15" i="34" l="1" a="1"/>
  <c r="AW15" i="34" s="1"/>
  <c r="AW14" i="34" a="1"/>
  <c r="AW14" i="34" s="1"/>
  <c r="AW12" i="34" a="1"/>
  <c r="AW12" i="34" s="1"/>
  <c r="AO36" i="34" a="1"/>
  <c r="AO36" i="34" s="1"/>
  <c r="AG40" i="34"/>
  <c r="AM40" i="34" s="1" a="1"/>
  <c r="AM40" i="34" s="1"/>
  <c r="AG41" i="34"/>
  <c r="AM41" i="34" s="1" a="1"/>
  <c r="AM41" i="34" s="1"/>
  <c r="AG33" i="34"/>
  <c r="AL33" i="34" s="1" a="1"/>
  <c r="AL33" i="34" s="1"/>
  <c r="AG34" i="34"/>
  <c r="AL34" i="34" s="1" a="1"/>
  <c r="AL34" i="34" s="1"/>
  <c r="AG35" i="34"/>
  <c r="AN35" i="34" s="1" a="1"/>
  <c r="AN35" i="34" s="1"/>
  <c r="AG27" i="34"/>
  <c r="AN27" i="34" s="1" a="1"/>
  <c r="AN27" i="34" s="1"/>
  <c r="AG28" i="34"/>
  <c r="AM28" i="34" s="1" a="1"/>
  <c r="AM28" i="34" s="1"/>
  <c r="AG29" i="34"/>
  <c r="AM29" i="34" s="1" a="1"/>
  <c r="AM29" i="34" s="1"/>
  <c r="AO40" i="34" a="1"/>
  <c r="AO40" i="34" s="1"/>
  <c r="AQ40" i="34" s="1"/>
  <c r="AO41" i="34" a="1"/>
  <c r="AO41" i="34" s="1"/>
  <c r="AQ41" i="34" s="1"/>
  <c r="AO33" i="34" a="1"/>
  <c r="AO33" i="34" s="1"/>
  <c r="AQ33" i="34" s="1"/>
  <c r="AO34" i="34" a="1"/>
  <c r="AO34" i="34" s="1"/>
  <c r="AQ34" i="34" s="1"/>
  <c r="AO35" i="34" a="1"/>
  <c r="AO35" i="34" s="1"/>
  <c r="AQ35" i="34" s="1"/>
  <c r="AO27" i="34" a="1"/>
  <c r="AO27" i="34" s="1"/>
  <c r="AQ27" i="34" s="1"/>
  <c r="AO28" i="34" a="1"/>
  <c r="AO28" i="34" s="1"/>
  <c r="AQ28" i="34" s="1"/>
  <c r="AO29" i="34" a="1"/>
  <c r="AO29" i="34" s="1"/>
  <c r="AQ29" i="34" s="1"/>
  <c r="AG39" i="34"/>
  <c r="AN39" i="34" s="1" a="1"/>
  <c r="AN39" i="34" s="1"/>
  <c r="AO39" i="34" a="1"/>
  <c r="AO39" i="34" s="1"/>
  <c r="AQ39" i="34" s="1"/>
  <c r="AG25" i="34"/>
  <c r="AL25" i="34" s="1" a="1"/>
  <c r="AL25" i="34" s="1"/>
  <c r="AG26" i="34"/>
  <c r="AL26" i="34" s="1" a="1"/>
  <c r="AL26" i="34" s="1"/>
  <c r="AO25" i="34" a="1"/>
  <c r="AO25" i="34" s="1"/>
  <c r="AQ25" i="34" s="1"/>
  <c r="AO26" i="34" a="1"/>
  <c r="AO26" i="34" s="1"/>
  <c r="AQ26" i="34" s="1"/>
  <c r="AG24" i="34"/>
  <c r="AN24" i="34" s="1" a="1"/>
  <c r="AN24" i="34" s="1"/>
  <c r="AO24" i="34" a="1"/>
  <c r="AO24" i="34" s="1"/>
  <c r="AQ24" i="34" s="1"/>
  <c r="AG31" i="34"/>
  <c r="AL31" i="34" s="1" a="1"/>
  <c r="AL31" i="34" s="1"/>
  <c r="AG32" i="34"/>
  <c r="AM32" i="34" s="1" a="1"/>
  <c r="AM32" i="34" s="1"/>
  <c r="AO31" i="34" a="1"/>
  <c r="AO31" i="34" s="1"/>
  <c r="AQ31" i="34" s="1"/>
  <c r="AO32" i="34" a="1"/>
  <c r="AO32" i="34" s="1"/>
  <c r="AQ32" i="34" s="1"/>
  <c r="AG37" i="34"/>
  <c r="AL37" i="34" s="1" a="1"/>
  <c r="AL37" i="34" s="1"/>
  <c r="AG38" i="34"/>
  <c r="AN38" i="34" s="1" a="1"/>
  <c r="AN38" i="34" s="1"/>
  <c r="AG30" i="34"/>
  <c r="AL30" i="34" s="1" a="1"/>
  <c r="AL30" i="34" s="1"/>
  <c r="AO37" i="34" a="1"/>
  <c r="AO37" i="34" s="1"/>
  <c r="AQ37" i="34" s="1"/>
  <c r="AO38" i="34" a="1"/>
  <c r="AO38" i="34" s="1"/>
  <c r="AQ38" i="34" s="1"/>
  <c r="AO30" i="34" a="1"/>
  <c r="AO30" i="34" s="1"/>
  <c r="AQ30" i="34" s="1"/>
  <c r="AW19" i="34" l="1"/>
  <c r="AW17" i="34"/>
  <c r="AL35" i="34" a="1"/>
  <c r="AL35" i="34" s="1"/>
  <c r="AL41" i="34" a="1"/>
  <c r="AL41" i="34" s="1"/>
  <c r="AL40" i="34" a="1"/>
  <c r="AL40" i="34" s="1"/>
  <c r="AN33" i="34" a="1"/>
  <c r="AN33" i="34" s="1"/>
  <c r="AN41" i="34" a="1"/>
  <c r="AN41" i="34" s="1"/>
  <c r="AN40" i="34" a="1"/>
  <c r="AN40" i="34" s="1"/>
  <c r="AM39" i="34" a="1"/>
  <c r="AM39" i="34" s="1"/>
  <c r="AL39" i="34" a="1"/>
  <c r="AL39" i="34" s="1"/>
  <c r="AL27" i="34" a="1"/>
  <c r="AL27" i="34" s="1"/>
  <c r="AN34" i="34" a="1"/>
  <c r="AN34" i="34" s="1"/>
  <c r="AM33" i="34" a="1"/>
  <c r="AM33" i="34" s="1"/>
  <c r="AM35" i="34" a="1"/>
  <c r="AM35" i="34" s="1"/>
  <c r="AM27" i="34" a="1"/>
  <c r="AM27" i="34" s="1"/>
  <c r="AN26" i="34" a="1"/>
  <c r="AN26" i="34" s="1"/>
  <c r="AM34" i="34" a="1"/>
  <c r="AM34" i="34" s="1"/>
  <c r="AM26" i="34" a="1"/>
  <c r="AM26" i="34" s="1"/>
  <c r="AL29" i="34" a="1"/>
  <c r="AL29" i="34" s="1"/>
  <c r="AL28" i="34" a="1"/>
  <c r="AL28" i="34" s="1"/>
  <c r="AN29" i="34" a="1"/>
  <c r="AN29" i="34" s="1"/>
  <c r="AM24" i="34" a="1"/>
  <c r="AM24" i="34" s="1"/>
  <c r="AN28" i="34" a="1"/>
  <c r="AN28" i="34" s="1"/>
  <c r="AL24" i="34" a="1"/>
  <c r="AL24" i="34" s="1"/>
  <c r="AN25" i="34" a="1"/>
  <c r="AN25" i="34" s="1"/>
  <c r="AM25" i="34" a="1"/>
  <c r="AM25" i="34" s="1"/>
  <c r="AN32" i="34" a="1"/>
  <c r="AN32" i="34" s="1"/>
  <c r="AL32" i="34" a="1"/>
  <c r="AL32" i="34" s="1"/>
  <c r="AN31" i="34" a="1"/>
  <c r="AN31" i="34" s="1"/>
  <c r="AM31" i="34" a="1"/>
  <c r="AM31" i="34" s="1"/>
  <c r="AN37" i="34" a="1"/>
  <c r="AN37" i="34" s="1"/>
  <c r="AL38" i="34" a="1"/>
  <c r="AL38" i="34" s="1"/>
  <c r="AM30" i="34" a="1"/>
  <c r="AM30" i="34" s="1"/>
  <c r="AM38" i="34" a="1"/>
  <c r="AM38" i="34" s="1"/>
  <c r="AM37" i="34" a="1"/>
  <c r="AM37" i="34" s="1"/>
  <c r="AN30" i="34" a="1"/>
  <c r="AN30" i="34" s="1"/>
  <c r="AQ36" i="34" l="1"/>
  <c r="AG36" i="34"/>
  <c r="AN36" i="34" l="1" a="1"/>
  <c r="AN36" i="34" s="1"/>
  <c r="AM36" i="34" a="1"/>
  <c r="AM36" i="34" s="1"/>
  <c r="AL36" i="34" a="1"/>
  <c r="AL36" i="3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<sst xmlns="http://schemas.openxmlformats.org/spreadsheetml/2006/main" count="256" uniqueCount="78">
  <si>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</si>
  <si>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</si>
  <si>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</si>
  <si>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</si>
  <si>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</si>
  <si>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</si>
  <si>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</si>
  <si>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</si>
  <si>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</si>
  <si>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</si>
  <si>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</si>
  <si>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</si>
  <si>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</si>
  <si>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</si>
  <si>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</si>
  <si>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</si>
  <si>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Kho</t>
  </si>
  <si>
    <t>SL Đầu kỳ</t>
  </si>
  <si>
    <t>SL nhập</t>
  </si>
  <si>
    <t>SL xuất</t>
  </si>
  <si>
    <t>SL Cuối kỳ</t>
  </si>
  <si>
    <t>KQ kiểm kê</t>
  </si>
  <si>
    <t>Chênh lệch</t>
  </si>
  <si>
    <t>Ngày xuất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</si>
  <si>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</si>
  <si>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</si>
  <si>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</si>
  <si>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</si>
  <si>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</si>
  <si>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</si>
  <si>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</si>
  <si>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</si>
  <si>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</si>
  <si>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</si>
  <si>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</si>
  <si>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</si>
  <si>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</si>
  <si>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</si>
  <si>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</si>
  <si>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</si>
  <si>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</si>
  <si>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</si>
  <si>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hàng</t>
  </si>
  <si>
    <t>Kho1</t>
  </si>
  <si>
    <t>SP3</t>
  </si>
  <si>
    <t>Nhập</t>
  </si>
  <si>
    <t>SP1</t>
  </si>
  <si>
    <t>Xuất</t>
  </si>
  <si>
    <t>SP2</t>
  </si>
  <si>
    <t>KHO2</t>
  </si>
  <si>
    <t>Kho2</t>
  </si>
  <si>
    <t>KHO1</t>
  </si>
  <si>
    <t>Row Labels</t>
  </si>
  <si>
    <t>Grand Total</t>
  </si>
  <si>
    <t>Mar</t>
  </si>
  <si>
    <t>Apr</t>
  </si>
  <si>
    <t>May</t>
  </si>
  <si>
    <t>Column Labels</t>
  </si>
  <si>
    <t>(All)</t>
  </si>
  <si>
    <t>Tồn kho</t>
  </si>
  <si>
    <t>ĐẾN</t>
  </si>
  <si>
    <t>THỜI GIAN</t>
  </si>
  <si>
    <t>KHO</t>
  </si>
  <si>
    <t>HÀNG</t>
  </si>
  <si>
    <t>LƯỢNG NHẬP</t>
  </si>
  <si>
    <t>LƯỢNG XUẤT</t>
  </si>
  <si>
    <t>TỒN ĐẦU KỲ</t>
  </si>
  <si>
    <t>TỒN CUỐI KỲ</t>
  </si>
  <si>
    <t>TỶ LỆ TIÊU THỤ</t>
  </si>
  <si>
    <t>4C68A711-89BE-412A-BD2D-CB33771CC62D</t>
  </si>
  <si>
    <t>EASY-33329183463</t>
  </si>
  <si>
    <t>LK03</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</si>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</sst>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name val="Segoe UI Light"/>
      <family val="2"/>
    </font>
    <font>
      <b/>
      <sz val="14"/>
      <color theme="6"/>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4">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8" fontId="0" fillId="0" borderId="0" xfId="0" applyNumberFormat="1" applyAlignment="1" applyProtection="1">
      <alignment vertical="center"/>
      <protection locked="0"/>
    </xf>
    <xf numFmtId="168" fontId="9"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9"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4" fontId="5" fillId="0" borderId="2" xfId="1" applyNumberFormat="1" applyFont="1" applyBorder="1" applyAlignment="1" applyProtection="1">
      <alignment vertical="center"/>
      <protection locked="0" hidden="1"/>
    </xf>
    <xf numFmtId="166" fontId="6" fillId="0" borderId="2" xfId="0" applyNumberFormat="1" applyFont="1" applyBorder="1" applyAlignment="1" applyProtection="1">
      <alignment vertical="center"/>
      <protection locked="0" hidden="1"/>
    </xf>
    <xf numFmtId="14" fontId="0" fillId="0" borderId="0" xfId="0" applyNumberFormat="1" applyProtection="1">
      <protection locked="0" hidden="1"/>
    </xf>
    <xf numFmtId="0" fontId="15" fillId="0" borderId="3" xfId="0"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0" fontId="15" fillId="0" borderId="0" xfId="0"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6" fillId="0" borderId="3" xfId="0" applyFont="1" applyBorder="1" applyAlignment="1" applyProtection="1">
      <alignment vertical="center"/>
      <protection locked="0" hidden="1"/>
    </xf>
    <xf numFmtId="0" fontId="0" fillId="0" borderId="0" xfId="0" pivotButton="1"/>
    <xf numFmtId="164" fontId="0" fillId="0" borderId="0" xfId="0" applyNumberFormat="1"/>
    <xf numFmtId="0" fontId="16" fillId="0" borderId="0" xfId="0" applyFont="1" applyProtection="1">
      <protection locked="0" hidden="1"/>
    </xf>
    <xf numFmtId="167" fontId="17" fillId="2" borderId="0" xfId="0" applyNumberFormat="1" applyFont="1" applyFill="1" applyProtection="1">
      <protection locked="0" hidden="1"/>
    </xf>
    <xf numFmtId="3" fontId="17" fillId="2" borderId="0" xfId="0" applyNumberFormat="1" applyFont="1" applyFill="1" applyAlignment="1" applyProtection="1">
      <alignment horizontal="center"/>
      <protection locked="0" hidden="1"/>
    </xf>
    <xf numFmtId="9" fontId="17" fillId="2" borderId="0" xfId="2" applyFont="1" applyFill="1" applyAlignment="1" applyProtection="1">
      <alignment horizontal="center"/>
      <protection locked="0" hidden="1"/>
    </xf>
    <xf numFmtId="0" fontId="17" fillId="2" borderId="0" xfId="0" applyFont="1" applyFill="1" applyAlignment="1" applyProtection="1">
      <alignment horizontal="center"/>
      <protection locked="0" hidden="1"/>
    </xf>
    <xf numFmtId="0" fontId="18"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kho'!$C$23:$C$24</c:f>
              <c:strCache>
                <c:ptCount val="1"/>
                <c:pt idx="0">
                  <c:v>SP1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kho'!$C$25:$C$28</c:f>
              <c:numCache>
                <c:formatCode>_(* #,##0_);_(* \(#,##0\);_(* "-"??_);_(@_)</c:formatCode>
                <c:ptCount val="3"/>
                <c:pt idx="0">
                  <c:v>216</c:v>
                </c:pt>
                <c:pt idx="1">
                  <c:v>288</c:v>
                </c:pt>
                <c:pt idx="2">
                  <c:v>360</c:v>
                </c:pt>
              </c:numCache>
            </c:numRef>
          </c:val>
          <c:extLst>
            <c:ext xmlns:c16="http://schemas.microsoft.com/office/drawing/2014/chart" uri="{C3380CC4-5D6E-409C-BE32-E72D297353CC}">
              <c16:uniqueId val="{00000004-EA27-4BBC-ACA7-7FB2A08512B4}"/>
            </c:ext>
          </c:extLst>
        </c:ser>
        <c:ser>
          <c:idx val="1"/>
          <c:order val="1"/>
          <c:tx>
            <c:strRef>
              <c:f>'Quản lý tồn kho'!$D$23:$D$24</c:f>
              <c:strCache>
                <c:ptCount val="1"/>
                <c:pt idx="0">
                  <c:v>SP2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kho'!$D$25:$D$28</c:f>
              <c:numCache>
                <c:formatCode>_(* #,##0_);_(* \(#,##0\);_(* "-"??_);_(@_)</c:formatCode>
                <c:ptCount val="3"/>
                <c:pt idx="0">
                  <c:v>21</c:v>
                </c:pt>
                <c:pt idx="1">
                  <c:v>59</c:v>
                </c:pt>
                <c:pt idx="2">
                  <c:v>122</c:v>
                </c:pt>
              </c:numCache>
            </c:numRef>
          </c:val>
          <c:extLst>
            <c:ext xmlns:c16="http://schemas.microsoft.com/office/drawing/2014/chart" uri="{C3380CC4-5D6E-409C-BE32-E72D297353CC}">
              <c16:uniqueId val="{00000005-EA27-4BBC-ACA7-7FB2A08512B4}"/>
            </c:ext>
          </c:extLst>
        </c:ser>
        <c:ser>
          <c:idx val="2"/>
          <c:order val="2"/>
          <c:tx>
            <c:strRef>
              <c:f>'Quản lý tồn kho'!$E$23:$E$24</c:f>
              <c:strCache>
                <c:ptCount val="1"/>
                <c:pt idx="0">
                  <c:v>SP3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kho'!$E$25:$E$28</c:f>
              <c:numCache>
                <c:formatCode>_(* #,##0_);_(* \(#,##0\);_(* "-"??_);_(@_)</c:formatCode>
                <c:ptCount val="3"/>
                <c:pt idx="0">
                  <c:v>177</c:v>
                </c:pt>
                <c:pt idx="1">
                  <c:v>138</c:v>
                </c:pt>
                <c:pt idx="2">
                  <c:v>209</c:v>
                </c:pt>
              </c:numCache>
            </c:numRef>
          </c:val>
          <c:extLst>
            <c:ext xmlns:c16="http://schemas.microsoft.com/office/drawing/2014/chart" uri="{C3380CC4-5D6E-409C-BE32-E72D297353CC}">
              <c16:uniqueId val="{00000006-EA27-4BBC-ACA7-7FB2A08512B4}"/>
            </c:ext>
          </c:extLst>
        </c:ser>
        <c:dLbls>
          <c:dLblPos val="ctr"/>
          <c:showLegendKey val="0"/>
          <c:showVal val="1"/>
          <c:showCatName val="0"/>
          <c:showSerName val="0"/>
          <c:showPercent val="0"/>
          <c:showBubbleSize val="0"/>
        </c:dLbls>
        <c:gapWidth val="150"/>
        <c:overlap val="100"/>
        <c:axId val="1738412735"/>
        <c:axId val="1738415135"/>
      </c:barChart>
      <c:catAx>
        <c:axId val="17384127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415135"/>
        <c:crosses val="autoZero"/>
        <c:auto val="1"/>
        <c:lblAlgn val="ctr"/>
        <c:lblOffset val="100"/>
        <c:noMultiLvlLbl val="0"/>
      </c:catAx>
      <c:valAx>
        <c:axId val="1738415135"/>
        <c:scaling>
          <c:orientation val="minMax"/>
        </c:scaling>
        <c:delete val="1"/>
        <c:axPos val="l"/>
        <c:numFmt formatCode="_(* #,##0_);_(* \(#,##0\);_(* &quot;-&quot;??_);_(@_)" sourceLinked="1"/>
        <c:majorTickMark val="none"/>
        <c:minorTickMark val="none"/>
        <c:tickLblPos val="nextTo"/>
        <c:crossAx val="1738412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kho!PivotTable18</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kho'!$S$23:$S$24</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kho'!$S$25:$S$28</c:f>
              <c:numCache>
                <c:formatCode>_(* #,##0_);_(* \(#,##0\);_(* "-"??_);_(@_)</c:formatCode>
                <c:ptCount val="3"/>
                <c:pt idx="0">
                  <c:v>226</c:v>
                </c:pt>
                <c:pt idx="1">
                  <c:v>411</c:v>
                </c:pt>
                <c:pt idx="2">
                  <c:v>551</c:v>
                </c:pt>
              </c:numCache>
            </c:numRef>
          </c:val>
          <c:extLst>
            <c:ext xmlns:c16="http://schemas.microsoft.com/office/drawing/2014/chart" uri="{C3380CC4-5D6E-409C-BE32-E72D297353CC}">
              <c16:uniqueId val="{00000000-F4E8-42BE-81D3-11347333DFDD}"/>
            </c:ext>
          </c:extLst>
        </c:ser>
        <c:ser>
          <c:idx val="1"/>
          <c:order val="1"/>
          <c:tx>
            <c:strRef>
              <c:f>'Quản lý tồn kho'!$T$23:$T$24</c:f>
              <c:strCache>
                <c:ptCount val="1"/>
                <c:pt idx="0">
                  <c:v>Kho2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kho'!$T$25:$T$28</c:f>
              <c:numCache>
                <c:formatCode>_(* #,##0_);_(* \(#,##0\);_(* "-"??_);_(@_)</c:formatCode>
                <c:ptCount val="3"/>
                <c:pt idx="0">
                  <c:v>188</c:v>
                </c:pt>
                <c:pt idx="1">
                  <c:v>74</c:v>
                </c:pt>
                <c:pt idx="2">
                  <c:v>140</c:v>
                </c:pt>
              </c:numCache>
            </c:numRef>
          </c:val>
          <c:extLst>
            <c:ext xmlns:c16="http://schemas.microsoft.com/office/drawing/2014/chart" uri="{C3380CC4-5D6E-409C-BE32-E72D297353CC}">
              <c16:uniqueId val="{00000002-F4E8-42BE-81D3-11347333DFDD}"/>
            </c:ext>
          </c:extLst>
        </c:ser>
        <c:dLbls>
          <c:dLblPos val="ctr"/>
          <c:showLegendKey val="0"/>
          <c:showVal val="1"/>
          <c:showCatName val="0"/>
          <c:showSerName val="0"/>
          <c:showPercent val="0"/>
          <c:showBubbleSize val="0"/>
        </c:dLbls>
        <c:gapWidth val="150"/>
        <c:overlap val="100"/>
        <c:axId val="1738369535"/>
        <c:axId val="1738387775"/>
      </c:barChart>
      <c:catAx>
        <c:axId val="17383695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387775"/>
        <c:crosses val="autoZero"/>
        <c:auto val="1"/>
        <c:lblAlgn val="ctr"/>
        <c:lblOffset val="100"/>
        <c:noMultiLvlLbl val="0"/>
      </c:catAx>
      <c:valAx>
        <c:axId val="1738387775"/>
        <c:scaling>
          <c:orientation val="minMax"/>
        </c:scaling>
        <c:delete val="1"/>
        <c:axPos val="l"/>
        <c:numFmt formatCode="_(* #,##0_);_(* \(#,##0\);_(* &quot;-&quot;??_);_(@_)" sourceLinked="1"/>
        <c:majorTickMark val="none"/>
        <c:minorTickMark val="none"/>
        <c:tickLblPos val="nextTo"/>
        <c:crossAx val="173836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47626</xdr:colOff>
          <xdr:row>0</xdr:row>
          <xdr:rowOff>95250</xdr:rowOff>
        </xdr:from>
        <xdr:to>
          <xdr:col>37</xdr:col>
          <xdr:colOff>628650</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57176"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752475</xdr:colOff>
          <xdr:row>0</xdr:row>
          <xdr:rowOff>152400</xdr:rowOff>
        </xdr:from>
        <xdr:to>
          <xdr:col>38</xdr:col>
          <xdr:colOff>571500</xdr:colOff>
          <xdr:row>1</xdr:row>
          <xdr:rowOff>180975</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076700" y="152400"/>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32</xdr:col>
      <xdr:colOff>33337</xdr:colOff>
      <xdr:row>3</xdr:row>
      <xdr:rowOff>100012</xdr:rowOff>
    </xdr:from>
    <xdr:to>
      <xdr:col>39</xdr:col>
      <xdr:colOff>127912</xdr:colOff>
      <xdr:row>20</xdr:row>
      <xdr:rowOff>173812</xdr:rowOff>
    </xdr:to>
    <xdr:graphicFrame macro="">
      <xdr:nvGraphicFramePr>
        <xdr:cNvPr id="3" name="Chart 2">
          <a:extLst>
            <a:ext uri="{FF2B5EF4-FFF2-40B4-BE49-F238E27FC236}">
              <a16:creationId xmlns:a16="http://schemas.microsoft.com/office/drawing/2014/main" id="{9FE9DEA8-EED9-EEBD-B18A-F1BF395302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39</xdr:col>
      <xdr:colOff>152400</xdr:colOff>
      <xdr:row>3</xdr:row>
      <xdr:rowOff>100012</xdr:rowOff>
    </xdr:from>
    <xdr:to>
      <xdr:col>45</xdr:col>
      <xdr:colOff>1037550</xdr:colOff>
      <xdr:row>20</xdr:row>
      <xdr:rowOff>173812</xdr:rowOff>
    </xdr:to>
    <xdr:graphicFrame macro="">
      <xdr:nvGraphicFramePr>
        <xdr:cNvPr id="5" name="Chart 4">
          <a:extLst>
            <a:ext uri="{FF2B5EF4-FFF2-40B4-BE49-F238E27FC236}">
              <a16:creationId xmlns:a16="http://schemas.microsoft.com/office/drawing/2014/main" id="{756354B8-7623-1BF6-D37A-F34AA727A0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200025</xdr:colOff>
          <xdr:row>0</xdr:row>
          <xdr:rowOff>161925</xdr:rowOff>
        </xdr:from>
        <xdr:to>
          <xdr:col>45</xdr:col>
          <xdr:colOff>819150</xdr:colOff>
          <xdr:row>1</xdr:row>
          <xdr:rowOff>190500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02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591597800929" createdVersion="8" refreshedVersion="8" minRefreshableVersion="3" recordCount="18" xr:uid="{88DBB8FD-8BA7-44AC-8748-A60EAC1A551E}">
  <cacheSource type="worksheet">
    <worksheetSource name="Table_TonKho"/>
  </cacheSource>
  <cacheFields count="13">
    <cacheField name="Kỳ" numFmtId="165">
      <sharedItems containsSemiMixedTypes="0" containsNonDate="0" containsDate="1" containsString="0" minDate="2025-03-01T00:00:00" maxDate="2025-05-02T00:00:00" count="3">
        <d v="2025-05-01T00:00:00"/>
        <d v="2025-04-01T00:00:00"/>
        <d v="2025-03-01T00:00:00"/>
      </sharedItems>
      <fieldGroup par="12"/>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hàng" numFmtId="0">
      <sharedItems count="3">
        <s v="SP1"/>
        <s v="SP2"/>
        <s v="SP3"/>
      </sharedItems>
    </cacheField>
    <cacheField name="Kho" numFmtId="0">
      <sharedItems count="2">
        <s v="Kho1"/>
        <s v="Kho2"/>
      </sharedItems>
    </cacheField>
    <cacheField name="SL Đầu kỳ" numFmtId="164">
      <sharedItems containsSemiMixedTypes="0" containsString="0" containsNumber="1" containsInteger="1" minValue="0" maxValue="235"/>
    </cacheField>
    <cacheField name="SL nhập" numFmtId="164">
      <sharedItems containsSemiMixedTypes="0" containsString="0" containsNumber="1" containsInteger="1" minValue="0" maxValue="164"/>
    </cacheField>
    <cacheField name="SL xuất" numFmtId="164">
      <sharedItems containsSemiMixedTypes="0" containsString="0" containsNumber="1" containsInteger="1" minValue="0" maxValue="82"/>
    </cacheField>
    <cacheField name="SL Cuối kỳ" numFmtId="164">
      <sharedItems containsSemiMixedTypes="0" containsString="0" containsNumber="1" containsInteger="1" minValue="0" maxValue="307"/>
    </cacheField>
    <cacheField name="KQ kiểm kê" numFmtId="164">
      <sharedItems containsNonDate="0" containsString="0" containsBlank="1"/>
    </cacheField>
    <cacheField name="Chênh lệch" numFmtId="164">
      <sharedItems containsSemiMixedTypes="0" containsString="0" containsNumber="1" containsInteger="1" minValue="-307" maxValue="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n v="2025"/>
    <n v="5"/>
    <x v="0"/>
    <x v="0"/>
    <n v="235"/>
    <n v="154"/>
    <n v="82"/>
    <n v="307"/>
    <m/>
    <n v="-307"/>
  </r>
  <r>
    <x v="0"/>
    <n v="2025"/>
    <n v="5"/>
    <x v="1"/>
    <x v="0"/>
    <n v="38"/>
    <n v="79"/>
    <n v="31"/>
    <n v="86"/>
    <m/>
    <n v="-86"/>
  </r>
  <r>
    <x v="0"/>
    <n v="2025"/>
    <n v="5"/>
    <x v="2"/>
    <x v="0"/>
    <n v="138"/>
    <n v="88"/>
    <n v="68"/>
    <n v="158"/>
    <m/>
    <n v="-158"/>
  </r>
  <r>
    <x v="0"/>
    <n v="2025"/>
    <n v="5"/>
    <x v="0"/>
    <x v="1"/>
    <n v="53"/>
    <n v="0"/>
    <n v="0"/>
    <n v="53"/>
    <m/>
    <n v="-53"/>
  </r>
  <r>
    <x v="0"/>
    <n v="2025"/>
    <n v="5"/>
    <x v="1"/>
    <x v="1"/>
    <n v="21"/>
    <n v="36"/>
    <n v="21"/>
    <n v="36"/>
    <m/>
    <n v="-36"/>
  </r>
  <r>
    <x v="0"/>
    <n v="2025"/>
    <n v="5"/>
    <x v="2"/>
    <x v="1"/>
    <n v="0"/>
    <n v="74"/>
    <n v="23"/>
    <n v="51"/>
    <m/>
    <n v="-51"/>
  </r>
  <r>
    <x v="1"/>
    <n v="2025"/>
    <n v="4"/>
    <x v="0"/>
    <x v="0"/>
    <n v="88"/>
    <n v="147"/>
    <n v="0"/>
    <n v="235"/>
    <m/>
    <n v="-235"/>
  </r>
  <r>
    <x v="1"/>
    <n v="2025"/>
    <n v="4"/>
    <x v="1"/>
    <x v="0"/>
    <n v="0"/>
    <n v="68"/>
    <n v="30"/>
    <n v="38"/>
    <m/>
    <n v="-38"/>
  </r>
  <r>
    <x v="1"/>
    <n v="2025"/>
    <n v="4"/>
    <x v="2"/>
    <x v="0"/>
    <n v="138"/>
    <n v="0"/>
    <n v="0"/>
    <n v="138"/>
    <m/>
    <n v="-138"/>
  </r>
  <r>
    <x v="1"/>
    <n v="2025"/>
    <n v="4"/>
    <x v="0"/>
    <x v="1"/>
    <n v="128"/>
    <n v="0"/>
    <n v="75"/>
    <n v="53"/>
    <m/>
    <n v="-53"/>
  </r>
  <r>
    <x v="1"/>
    <n v="2025"/>
    <n v="4"/>
    <x v="1"/>
    <x v="1"/>
    <n v="21"/>
    <n v="0"/>
    <n v="0"/>
    <n v="21"/>
    <m/>
    <n v="-21"/>
  </r>
  <r>
    <x v="1"/>
    <n v="2025"/>
    <n v="4"/>
    <x v="2"/>
    <x v="1"/>
    <n v="39"/>
    <n v="0"/>
    <n v="39"/>
    <n v="0"/>
    <m/>
    <n v="0"/>
  </r>
  <r>
    <x v="2"/>
    <n v="2025"/>
    <n v="3"/>
    <x v="0"/>
    <x v="0"/>
    <n v="0"/>
    <n v="88"/>
    <n v="0"/>
    <n v="88"/>
    <m/>
    <n v="-88"/>
  </r>
  <r>
    <x v="2"/>
    <n v="2025"/>
    <n v="3"/>
    <x v="1"/>
    <x v="0"/>
    <n v="0"/>
    <n v="0"/>
    <n v="0"/>
    <n v="0"/>
    <m/>
    <n v="0"/>
  </r>
  <r>
    <x v="2"/>
    <n v="2025"/>
    <n v="3"/>
    <x v="2"/>
    <x v="0"/>
    <n v="0"/>
    <n v="161"/>
    <n v="23"/>
    <n v="138"/>
    <m/>
    <n v="-138"/>
  </r>
  <r>
    <x v="2"/>
    <n v="2025"/>
    <n v="3"/>
    <x v="0"/>
    <x v="1"/>
    <n v="0"/>
    <n v="164"/>
    <n v="36"/>
    <n v="128"/>
    <m/>
    <n v="-128"/>
  </r>
  <r>
    <x v="2"/>
    <n v="2025"/>
    <n v="3"/>
    <x v="1"/>
    <x v="1"/>
    <n v="0"/>
    <n v="21"/>
    <n v="0"/>
    <n v="21"/>
    <m/>
    <n v="-21"/>
  </r>
  <r>
    <x v="2"/>
    <n v="2025"/>
    <n v="3"/>
    <x v="2"/>
    <x v="1"/>
    <n v="0"/>
    <n v="39"/>
    <n v="0"/>
    <n v="39"/>
    <m/>
    <n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CFDC6E-6685-49B0-B592-37F2D2EAFED4}" name="PivotTable15" cacheId="14"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3:E28" firstHeaderRow="1" firstDataRow="2" firstDataCol="1" rowPageCount="1" colPageCount="1"/>
  <pivotFields count="13">
    <pivotField numFmtId="165" showAll="0">
      <items count="4">
        <item x="2"/>
        <item x="1"/>
        <item x="0"/>
        <item t="default"/>
      </items>
    </pivotField>
    <pivotField showAll="0"/>
    <pivotField showAll="0"/>
    <pivotField axis="axisCol" showAll="0">
      <items count="4">
        <item x="0"/>
        <item x="1"/>
        <item x="2"/>
        <item t="default"/>
      </items>
    </pivotField>
    <pivotField axis="axisPage" multipleItemSelectionAllowed="1"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4">
    <i>
      <x v="3"/>
    </i>
    <i>
      <x v="4"/>
    </i>
    <i>
      <x v="5"/>
    </i>
    <i t="grand">
      <x/>
    </i>
  </rowItems>
  <colFields count="1">
    <field x="3"/>
  </colFields>
  <colItems count="3">
    <i>
      <x/>
    </i>
    <i>
      <x v="1"/>
    </i>
    <i>
      <x v="2"/>
    </i>
  </colItems>
  <pageFields count="1">
    <pageField fld="4" hier="-1"/>
  </pageFields>
  <dataFields count="1">
    <dataField name="Tồn kho" fld="8" baseField="12" baseItem="3" numFmtId="164"/>
  </dataFields>
  <chartFormats count="4">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3" count="1" selected="0">
            <x v="1"/>
          </reference>
        </references>
      </pivotArea>
    </chartFormat>
    <chartFormat chart="0" format="5" series="1">
      <pivotArea type="data" outline="0" fieldPosition="0">
        <references count="2">
          <reference field="4294967294" count="1" selected="0">
            <x v="0"/>
          </reference>
          <reference field="3" count="1" selected="0">
            <x v="2"/>
          </reference>
        </references>
      </pivotArea>
    </chartFormat>
    <chartFormat chart="0" format="6"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2D3495-B766-4F24-BFC2-AA853638C12F}" name="PivotTable18" cacheId="14"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R23:T28" firstHeaderRow="1" firstDataRow="2" firstDataCol="1" rowPageCount="1" colPageCount="1"/>
  <pivotFields count="13">
    <pivotField numFmtId="165" showAll="0">
      <items count="4">
        <item x="2"/>
        <item x="1"/>
        <item x="0"/>
        <item t="default"/>
      </items>
    </pivotField>
    <pivotField showAll="0"/>
    <pivotField showAll="0"/>
    <pivotField axis="axisPage" showAll="0">
      <items count="4">
        <item x="0"/>
        <item x="1"/>
        <item x="2"/>
        <item t="default"/>
      </items>
    </pivotField>
    <pivotField axis="axisCol"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1">
    <field x="12"/>
  </rowFields>
  <rowItems count="4">
    <i>
      <x v="3"/>
    </i>
    <i>
      <x v="4"/>
    </i>
    <i>
      <x v="5"/>
    </i>
    <i t="grand">
      <x/>
    </i>
  </rowItems>
  <colFields count="1">
    <field x="4"/>
  </colFields>
  <colItems count="2">
    <i>
      <x/>
    </i>
    <i>
      <x v="1"/>
    </i>
  </colItems>
  <pageFields count="1">
    <pageField fld="3" hier="-1"/>
  </pageFields>
  <dataFields count="1">
    <dataField name="Tồn kho" fld="8" baseField="12" baseItem="3"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G23:AQ41" totalsRowShown="0" headerRowDxfId="19" dataDxfId="18">
  <autoFilter ref="AG23:AQ41" xr:uid="{5023EBA5-753D-43FE-9F71-91D3FB478261}"/>
  <sortState xmlns:xlrd2="http://schemas.microsoft.com/office/spreadsheetml/2017/richdata2" ref="AG24:AQ41">
    <sortCondition descending="1" ref="AG23:AG41"/>
  </sortState>
  <tableColumns count="11">
    <tableColumn id="2" xr3:uid="{8E5CBC54-8A31-4EF5-A0C3-074000F41621}" name="Kỳ" dataDxfId="17">
      <calculatedColumnFormula>IFERROR(
IF(ISBLANK(AI24),
DATE(AH24,12,1),
DATE(AH24,AI24,1)),0)</calculatedColumnFormula>
    </tableColumn>
    <tableColumn id="1" xr3:uid="{F61A9320-5B75-4010-9773-8E8C089A7753}" name="Năm" dataDxfId="16"/>
    <tableColumn id="19" xr3:uid="{C1F54C3B-79A5-42C9-BA85-70CE48310B4A}" name="Tháng" dataDxfId="15"/>
    <tableColumn id="3" xr3:uid="{6152064A-A7DE-4879-87FC-7DDEA1ED6238}" name="Mã hàng" dataDxfId="14"/>
    <tableColumn id="21" xr3:uid="{907E3A8A-3948-43C3-8505-3E5A43B517C3}" name="Kho" dataDxfId="13"/>
    <tableColumn id="5" xr3:uid="{AEB31195-8B0D-4F17-9B9C-5045B59C9FFB}" name="SL Đầu kỳ" dataDxfId="12"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calculatedColumnFormula>
    </tableColumn>
    <tableColumn id="6" xr3:uid="{4B4D8AE2-22E0-4F95-8654-CDCB8993EA69}" name="SL nhập" dataDxfId="11"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calculatedColumnFormula>
    </tableColumn>
    <tableColumn id="7" xr3:uid="{BCC42489-DF07-4C9F-8C55-E3C315D9098E}" name="SL xuất" dataDxfId="10" dataCellStyle="Comma">
      <calculatedColumnFormula array="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9" dataCellStyle="Comma">
      <calculatedColumnFormula array="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8" dataCellStyle="Comma"/>
    <tableColumn id="11" xr3:uid="{C54C790E-E836-41A0-8B9E-814E17353CCE}" name="Chênh lệch" dataDxfId="7" dataCellStyle="Comma">
      <calculatedColumnFormula>Table_TonKho[[#This Row],[KQ kiểm kê]]-Table_TonKho[[#This Row],[SL Cuối kỳ]]</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S23:AW66" totalsRowShown="0" headerRowDxfId="6" dataDxfId="5">
  <autoFilter ref="AS23:AW66" xr:uid="{7EE1FBC0-CA11-44D8-84E1-E68C320835D5}"/>
  <sortState xmlns:xlrd2="http://schemas.microsoft.com/office/spreadsheetml/2017/richdata2" ref="AS32:AW65">
    <sortCondition descending="1" ref="AT23:AT66"/>
  </sortState>
  <tableColumns count="5">
    <tableColumn id="19" xr3:uid="{24D5294F-794C-47D4-B19B-4784BEEF58CD}" name="Mã hàng" dataDxfId="4"/>
    <tableColumn id="38" xr3:uid="{9BB57A10-EF8B-4168-9D57-6AB152E3EAE6}" name="Ngày xuất nhập" dataDxfId="3"/>
    <tableColumn id="6" xr3:uid="{38735BED-DFF8-4F08-BB6C-BDA9A4923D2C}" name="Loại" dataDxfId="2"/>
    <tableColumn id="11" xr3:uid="{EB6998ED-BA0B-44B1-845A-BF43DC68BE22}" name="Kho" dataDxfId="1"/>
    <tableColumn id="5" xr3:uid="{EAB2F578-A8BB-4FAB-A929-B66E906EBF6E}" name="Số lượ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24</v>
      </c>
      <c r="B1" s="14" t="s">
        <v>12</v>
      </c>
      <c r="C1" s="15" t="s">
        <v>13</v>
      </c>
      <c r="D1" s="17" t="s">
        <v>25</v>
      </c>
      <c r="E1" s="17" t="s">
        <v>26</v>
      </c>
      <c r="F1" s="13" t="s">
        <v>27</v>
      </c>
      <c r="G1" s="16" t="s">
        <v>28</v>
      </c>
      <c r="H1" s="13" t="s">
        <v>29</v>
      </c>
      <c r="I1" s="13" t="s">
        <v>30</v>
      </c>
      <c r="J1" s="16" t="s">
        <v>31</v>
      </c>
      <c r="K1" s="16" t="s">
        <v>32</v>
      </c>
      <c r="L1" s="16" t="s">
        <v>33</v>
      </c>
      <c r="M1" s="16" t="s">
        <v>34</v>
      </c>
      <c r="N1" s="27"/>
      <c r="O1" s="27"/>
      <c r="P1" s="27"/>
      <c r="Q1" s="27"/>
      <c r="R1" s="27"/>
      <c r="S1" s="27"/>
      <c r="T1" s="27"/>
      <c r="U1" s="27"/>
      <c r="V1" s="27"/>
      <c r="W1" s="27"/>
      <c r="X1" s="27"/>
      <c r="Y1" s="27"/>
      <c r="Z1" s="6" t="s">
        <v>36</v>
      </c>
    </row>
    <row r="2" spans="1:26" x14ac:dyDescent="0.3">
      <c r="A2" s="27"/>
      <c r="B2" s="6" t="s">
        <v>69</v>
      </c>
      <c r="C2" s="6" t="s">
        <v>70</v>
      </c>
      <c r="D2" s="18">
        <v>45785</v>
      </c>
      <c r="E2" s="18">
        <v>46150</v>
      </c>
      <c r="F2" s="27">
        <v>365</v>
      </c>
      <c r="G2" s="6" t="s">
        <v>37</v>
      </c>
      <c r="H2" s="27"/>
      <c r="I2" s="27"/>
      <c r="J2" s="27"/>
      <c r="K2" s="27"/>
      <c r="L2" s="27"/>
      <c r="M2" s="27"/>
      <c r="N2" s="27"/>
      <c r="O2" s="27"/>
      <c r="P2" s="27"/>
      <c r="Q2" s="27"/>
      <c r="R2" s="27"/>
      <c r="S2" s="27"/>
      <c r="T2" s="27"/>
      <c r="U2" s="27"/>
      <c r="V2" s="27"/>
      <c r="W2" s="27"/>
      <c r="X2" s="27"/>
      <c r="Y2" s="27"/>
      <c r="Z2" s="27" t="s">
        <v>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J5" sqref="J5"/>
    </sheetView>
  </sheetViews>
  <sheetFormatPr defaultRowHeight="16.5" x14ac:dyDescent="0.3"/>
  <cols>
    <col min="1" max="1" width="11.625" style="8" bestFit="1" customWidth="1"/>
    <col min="2" max="16384" width="9" style="8"/>
  </cols>
  <sheetData>
    <row r="1" spans="1:12" x14ac:dyDescent="0.3">
      <c r="K1" s="43">
        <v>1</v>
      </c>
      <c r="L1" s="43" t="s">
        <v>72</v>
      </c>
    </row>
    <row r="2" spans="1:12" x14ac:dyDescent="0.3">
      <c r="A2" s="8" t="s">
        <v>71</v>
      </c>
      <c r="L2" s="43" t="s">
        <v>73</v>
      </c>
    </row>
    <row r="3" spans="1:12" x14ac:dyDescent="0.3">
      <c r="L3" s="43" t="s">
        <v>74</v>
      </c>
    </row>
    <row r="4" spans="1:12" ht="37.5" x14ac:dyDescent="0.3">
      <c r="A4" s="11" t="s">
        <v>3</v>
      </c>
      <c r="B4" s="11" t="s">
        <v>4</v>
      </c>
      <c r="L4" s="43" t="s">
        <v>75</v>
      </c>
    </row>
    <row r="5" spans="1:12" ht="17.25" x14ac:dyDescent="0.3">
      <c r="A5" s="22"/>
      <c r="B5" s="19" t="s">
        <v>38</v>
      </c>
      <c r="L5" s="43" t="s">
        <v>76</v>
      </c>
    </row>
    <row r="6" spans="1:12" ht="17.25" x14ac:dyDescent="0.3">
      <c r="A6" s="22"/>
      <c r="B6" s="19" t="s">
        <v>35</v>
      </c>
    </row>
    <row r="7" spans="1:12" ht="17.25" x14ac:dyDescent="0.3">
      <c r="A7" s="22"/>
      <c r="B7" s="19" t="s">
        <v>39</v>
      </c>
    </row>
    <row r="8" spans="1:12" ht="17.25" x14ac:dyDescent="0.3">
      <c r="A8" s="22"/>
      <c r="B8" s="19" t="s">
        <v>40</v>
      </c>
    </row>
    <row r="9" spans="1:12" ht="17.25" x14ac:dyDescent="0.3">
      <c r="A9" s="22"/>
      <c r="B9" s="20" t="s">
        <v>41</v>
      </c>
    </row>
    <row r="10" spans="1:12" x14ac:dyDescent="0.3">
      <c r="A10" s="22"/>
      <c r="B10" s="22"/>
    </row>
    <row r="11" spans="1:12" ht="37.5" x14ac:dyDescent="0.3">
      <c r="A11" s="11" t="s">
        <v>10</v>
      </c>
      <c r="B11" s="11" t="s">
        <v>11</v>
      </c>
    </row>
    <row r="12" spans="1:12" x14ac:dyDescent="0.3">
      <c r="A12" s="12" t="s">
        <v>12</v>
      </c>
      <c r="B12" s="8" t="s">
        <v>69</v>
      </c>
    </row>
    <row r="13" spans="1:12" x14ac:dyDescent="0.3">
      <c r="A13" s="12" t="s">
        <v>13</v>
      </c>
      <c r="B13" s="8" t="s">
        <v>70</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W66"/>
  <sheetViews>
    <sheetView showGridLines="0" tabSelected="1" topLeftCell="AM1" workbookViewId="0">
      <selection activeCell="AK29" sqref="AK29"/>
    </sheetView>
  </sheetViews>
  <sheetFormatPr defaultRowHeight="18" customHeight="1" outlineLevelCol="1" x14ac:dyDescent="0.3"/>
  <cols>
    <col min="1" max="1" width="1.375" style="2" customWidth="1" collapsed="1"/>
    <col min="2" max="2" width="12.875" style="1" hidden="1" customWidth="1" outlineLevel="1"/>
    <col min="3" max="3" width="16.125" style="1" hidden="1" customWidth="1" outlineLevel="1"/>
    <col min="4" max="5" width="5.75" style="1" hidden="1" customWidth="1" outlineLevel="1"/>
    <col min="6" max="16" width="1.25" style="1" hidden="1" customWidth="1" outlineLevel="1"/>
    <col min="17" max="17" width="1.375" style="2" hidden="1" customWidth="1" outlineLevel="1"/>
    <col min="18" max="18" width="12.875" style="1" hidden="1" customWidth="1" outlineLevel="1"/>
    <col min="19" max="19" width="16.125" style="1" hidden="1" customWidth="1" outlineLevel="1"/>
    <col min="20" max="20" width="5.75" style="1" hidden="1" customWidth="1" outlineLevel="1"/>
    <col min="21" max="21" width="1.25" style="1" hidden="1" customWidth="1" outlineLevel="1"/>
    <col min="22" max="31" width="1.375" style="2" hidden="1" customWidth="1" outlineLevel="1"/>
    <col min="32" max="32" width="1.375" style="2" customWidth="1"/>
    <col min="33" max="33" width="8.75" style="1" customWidth="1"/>
    <col min="34" max="34" width="6.625" style="1" customWidth="1"/>
    <col min="35" max="35" width="8.75" style="1" customWidth="1"/>
    <col min="36" max="36" width="9" style="3"/>
    <col min="37" max="37" width="7.75" style="1" customWidth="1"/>
    <col min="38" max="38" width="15.375" style="1" customWidth="1"/>
    <col min="39" max="39" width="13.375" style="3" customWidth="1"/>
    <col min="40" max="40" width="10.75" style="3" customWidth="1"/>
    <col min="41" max="41" width="17.875" style="1" customWidth="1"/>
    <col min="42" max="42" width="11.25" style="1" customWidth="1"/>
    <col min="43" max="43" width="9" style="1" customWidth="1" collapsed="1"/>
    <col min="44" max="44" width="1.375" style="2" customWidth="1"/>
    <col min="45" max="45" width="9" style="2"/>
    <col min="46" max="46" width="13.625" style="2" bestFit="1" customWidth="1"/>
    <col min="47" max="47" width="10.375" style="2" bestFit="1" customWidth="1"/>
    <col min="48" max="48" width="9" style="2"/>
    <col min="49" max="49" width="10.625" style="2" bestFit="1" customWidth="1"/>
    <col min="50" max="16384" width="9" style="1"/>
  </cols>
  <sheetData>
    <row r="1" spans="36:49" ht="18" customHeight="1" x14ac:dyDescent="0.3">
      <c r="AJ1" s="1"/>
      <c r="AM1" s="1"/>
      <c r="AN1" s="1"/>
    </row>
    <row r="2" spans="36:49" ht="18" customHeight="1" x14ac:dyDescent="0.3">
      <c r="AJ2" s="1"/>
      <c r="AM2" s="1"/>
      <c r="AN2" s="1"/>
    </row>
    <row r="3" spans="36:49" ht="18" customHeight="1" x14ac:dyDescent="0.3">
      <c r="AJ3" s="1"/>
      <c r="AM3" s="1"/>
      <c r="AN3" s="1"/>
    </row>
    <row r="4" spans="36:49" ht="18" customHeight="1" x14ac:dyDescent="0.3">
      <c r="AJ4" s="1"/>
      <c r="AM4" s="1"/>
      <c r="AN4" s="1"/>
    </row>
    <row r="5" spans="36:49" ht="18" customHeight="1" x14ac:dyDescent="0.3">
      <c r="AJ5" s="1"/>
      <c r="AM5" s="1"/>
      <c r="AN5" s="1"/>
    </row>
    <row r="6" spans="36:49" ht="18" customHeight="1" x14ac:dyDescent="0.35">
      <c r="AJ6" s="1"/>
      <c r="AM6" s="1"/>
      <c r="AN6" s="1"/>
      <c r="AU6" s="38" t="s">
        <v>61</v>
      </c>
    </row>
    <row r="7" spans="36:49" ht="18" customHeight="1" x14ac:dyDescent="0.35">
      <c r="AJ7" s="1"/>
      <c r="AM7" s="1"/>
      <c r="AN7" s="1"/>
      <c r="AU7" s="39">
        <v>45730</v>
      </c>
      <c r="AV7" s="38" t="s">
        <v>60</v>
      </c>
      <c r="AW7" s="39">
        <v>45804</v>
      </c>
    </row>
    <row r="8" spans="36:49" ht="18" customHeight="1" x14ac:dyDescent="0.3">
      <c r="AJ8" s="1"/>
      <c r="AM8" s="1"/>
      <c r="AN8" s="1"/>
    </row>
    <row r="9" spans="36:49" ht="18" customHeight="1" x14ac:dyDescent="0.35">
      <c r="AJ9" s="1"/>
      <c r="AM9" s="1"/>
      <c r="AN9" s="1"/>
      <c r="AU9" s="38" t="s">
        <v>62</v>
      </c>
      <c r="AW9" s="42"/>
    </row>
    <row r="10" spans="36:49" ht="18" customHeight="1" x14ac:dyDescent="0.35">
      <c r="AJ10" s="1"/>
      <c r="AM10" s="1"/>
      <c r="AN10" s="1"/>
      <c r="AU10" s="38" t="s">
        <v>63</v>
      </c>
      <c r="AW10" s="42" t="s">
        <v>44</v>
      </c>
    </row>
    <row r="11" spans="36:49" ht="18" customHeight="1" x14ac:dyDescent="0.3">
      <c r="AJ11" s="1"/>
      <c r="AM11" s="1"/>
      <c r="AN11" s="1"/>
    </row>
    <row r="12" spans="36:49" ht="18" customHeight="1" x14ac:dyDescent="0.35">
      <c r="AJ12" s="1"/>
      <c r="AM12" s="1"/>
      <c r="AN12" s="1"/>
      <c r="AU12" s="38" t="s">
        <v>66</v>
      </c>
      <c r="AW12" s="40" cm="1">
        <f t="array" ref="AW12" xml:space="preserve">
IF(ISBLANK($AW$9),
IF(ISBLANK($AW$10),
IFERROR(
SUM(_xlfn._xlws.FILTER(Table_Main[Số lượng],
(Table_Main[Loại]="Nhập")*
(Table_Main[Ngày xuất nhập] &lt;$AU$7)
)),0)
- IFERROR(
SUM(_xlfn._xlws.FILTER(Table_Main[Số lượng],
(Table_Main[Loại]="Xuất")*
(Table_Main[Ngày xuất nhập] &lt;$AU$7)
)),0),
IFERROR(
SUM(_xlfn._xlws.FILTER(Table_Main[Số lượng],
(Table_Main[Loại]="Nhập")*
(Table_Main[Mã hàng] = $AW$10)*
(Table_Main[Ngày xuất nhập] &lt;$AU$7)
)),0)
- IFERROR(
SUM(_xlfn._xlws.FILTER(Table_Main[Số lượng],
(Table_Main[Loại]="Xuất")*
(Table_Main[Mã hàng] = $AW$10)*
(Table_Main[Ngày xuất nhập] &lt;$AU$7)
)),0)),
IF(ISBLANK($AW$10),
IFERROR(
SUM(_xlfn._xlws.FILTER(Table_Main[Số lượng],
(Table_Main[Loại]="Nhập")*
(Table_Main[Kho] = $AW$9)*
(Table_Main[Ngày xuất nhập] &lt;$AU$7)
)),0)
- IFERROR(
SUM(_xlfn._xlws.FILTER(Table_Main[Số lượng],
(Table_Main[Loại]="Xuất")*
(Table_Main[Kho] = $AW$9)*
(Table_Main[Ngày xuất nhập] &lt;$AU$7)
)),0),
IFERROR(
SUM(_xlfn._xlws.FILTER(Table_Main[Số lượng],
(Table_Main[Loại]="Nhập")*
(Table_Main[Mã hàng] = $AW$10)*
(Table_Main[Kho] = $AW$9)*
(Table_Main[Ngày xuất nhập] &lt;$AU$7)
)),0)
- IFERROR(
SUM(_xlfn._xlws.FILTER(Table_Main[Số lượng],
(Table_Main[Loại]="Xuất")*
(Table_Main[Mã hàng] = $AW$10)*
(Table_Main[Kho] = $AW$9)*
(Table_Main[Ngày xuất nhập] &lt;$AU$7)
)),0)))</f>
        <v>118</v>
      </c>
    </row>
    <row r="13" spans="36:49" ht="18" customHeight="1" x14ac:dyDescent="0.3">
      <c r="AJ13" s="1"/>
      <c r="AM13" s="1"/>
      <c r="AN13" s="1"/>
    </row>
    <row r="14" spans="36:49" ht="18" customHeight="1" x14ac:dyDescent="0.35">
      <c r="AJ14" s="1"/>
      <c r="AM14" s="1"/>
      <c r="AN14" s="1"/>
      <c r="AU14" s="38" t="s">
        <v>64</v>
      </c>
      <c r="AW14" s="40" cm="1">
        <f t="array" ref="AW14" xml:space="preserve">
IF(ISBLANK($AW$9),
IF(ISBLANK($AW$10),
IFERROR(
SUM(_xlfn._xlws.FILTER(Table_Main[Số lượng],
(Table_Main[Loại]="Nhập")*
(Table_Main[Ngày xuất nhập] &gt;=$AU$7)*
(Table_Main[Ngày xuất nhập] &lt;=$AW$7)
)),0),
IFERROR(
SUM(_xlfn._xlws.FILTER(Table_Main[Số lượng],
(Table_Main[Loại]="Nhập")*
(Table_Main[Mã hàng] = $AW$10)*
(Table_Main[Ngày xuất nhập] &gt;=$AU$7)*
(Table_Main[Ngày xuất nhập] &lt;=$AW$7)
)),0)),
IF(ISBLANK($AW$10),
IFERROR(
SUM(_xlfn._xlws.FILTER(Table_Main[Số lượng],
(Table_Main[Loại]="Nhập")*
(Table_Main[Kho] = $AW$9)*
(Table_Main[Ngày xuất nhập] &gt;=$AU$7)*
(Table_Main[Ngày xuất nhập] &lt;=$AW$7)
)),0),
IFERROR(
SUM(_xlfn._xlws.FILTER(Table_Main[Số lượng],
(Table_Main[Loại]="Nhập")*
(Table_Main[Mã hàng] = $AW$10)*
(Table_Main[Kho] = $AW$9)*
(Table_Main[Ngày xuất nhập] &gt;=$AU$7)*
(Table_Main[Ngày xuất nhập] &lt;=$AW$7)
)),0)))</f>
        <v>244</v>
      </c>
    </row>
    <row r="15" spans="36:49" ht="18" customHeight="1" x14ac:dyDescent="0.35">
      <c r="AJ15" s="1"/>
      <c r="AM15" s="1"/>
      <c r="AN15" s="1"/>
      <c r="AU15" s="38" t="s">
        <v>65</v>
      </c>
      <c r="AW15" s="40" cm="1">
        <f t="array" ref="AW15" xml:space="preserve">
IF(ISBLANK($AW$9),
IF(ISBLANK($AW$10),
IFERROR(
SUM(_xlfn._xlws.FILTER(Table_Main[Số lượng],
(Table_Main[Loại]="Xuất")*
(Table_Main[Ngày xuất nhập] &gt;=$AU$7)*
(Table_Main[Ngày xuất nhập] &lt;=$AW$7)
)),0),
IFERROR(
SUM(_xlfn._xlws.FILTER(Table_Main[Số lượng],
(Table_Main[Loại]="Xuất")*
(Table_Main[Mã hàng] = $AW$10)*
(Table_Main[Ngày xuất nhập] &gt;=$AU$7)*
(Table_Main[Ngày xuất nhập] &lt;=$AW$7)
)),0)),
IF(ISBLANK($AW$10),
IFERROR(
SUM(_xlfn._xlws.FILTER(Table_Main[Số lượng],
(Table_Main[Loại]="Xuất")*
(Table_Main[Kho] = $AW$9)*
(Table_Main[Ngày xuất nhập] &gt;=$AU$7)*
(Table_Main[Ngày xuất nhập] &lt;=$AW$7)
)),0),
IFERROR(
SUM(_xlfn._xlws.FILTER(Table_Main[Số lượng],
(Table_Main[Loại]="Xuất")*
(Table_Main[Mã hàng] = $AW$10)*
(Table_Main[Kho] = $AW$9)*
(Table_Main[Ngày xuất nhập] &gt;=$AU$7)*
(Table_Main[Ngày xuất nhập] &lt;=$AW$7)
)),0)))</f>
        <v>153</v>
      </c>
    </row>
    <row r="16" spans="36:49" ht="18" customHeight="1" x14ac:dyDescent="0.3">
      <c r="AJ16" s="1"/>
      <c r="AM16" s="1"/>
      <c r="AN16" s="1"/>
    </row>
    <row r="17" spans="2:49" ht="18" customHeight="1" x14ac:dyDescent="0.35">
      <c r="AJ17" s="1"/>
      <c r="AM17" s="1"/>
      <c r="AN17" s="1"/>
      <c r="AU17" s="38" t="s">
        <v>67</v>
      </c>
      <c r="AW17" s="40">
        <f>+AW12+AW14-AW15</f>
        <v>209</v>
      </c>
    </row>
    <row r="18" spans="2:49" ht="18" customHeight="1" x14ac:dyDescent="0.3">
      <c r="AJ18" s="1"/>
      <c r="AM18" s="1"/>
      <c r="AN18" s="1"/>
    </row>
    <row r="19" spans="2:49" ht="18" customHeight="1" x14ac:dyDescent="0.35">
      <c r="AJ19" s="1"/>
      <c r="AM19" s="1"/>
      <c r="AN19" s="1"/>
      <c r="AU19" s="38" t="s">
        <v>68</v>
      </c>
      <c r="AW19" s="41">
        <f>AW15/(AW14+AW12)</f>
        <v>0.42265193370165743</v>
      </c>
    </row>
    <row r="20" spans="2:49" ht="18" customHeight="1" x14ac:dyDescent="0.3">
      <c r="AJ20" s="1"/>
      <c r="AM20" s="1"/>
      <c r="AN20" s="1"/>
    </row>
    <row r="21" spans="2:49" ht="16.5" x14ac:dyDescent="0.3">
      <c r="B21" s="36" t="s">
        <v>16</v>
      </c>
      <c r="C21" t="s">
        <v>58</v>
      </c>
      <c r="R21" s="36" t="s">
        <v>42</v>
      </c>
      <c r="S21" t="s">
        <v>58</v>
      </c>
      <c r="AJ21" s="1"/>
      <c r="AM21" s="1"/>
      <c r="AN21" s="1"/>
      <c r="AT21" s="30"/>
      <c r="AV21"/>
    </row>
    <row r="22" spans="2:49" ht="18" customHeight="1" x14ac:dyDescent="0.3">
      <c r="AJ22" s="1"/>
      <c r="AM22" s="1"/>
      <c r="AN22" s="1"/>
      <c r="AV22"/>
    </row>
    <row r="23" spans="2:49" ht="16.5" x14ac:dyDescent="0.3">
      <c r="B23" s="36" t="s">
        <v>59</v>
      </c>
      <c r="C23" s="36" t="s">
        <v>57</v>
      </c>
      <c r="D23"/>
      <c r="E23"/>
      <c r="F23"/>
      <c r="G23"/>
      <c r="H23"/>
      <c r="I23"/>
      <c r="J23"/>
      <c r="K23"/>
      <c r="L23"/>
      <c r="M23"/>
      <c r="N23"/>
      <c r="O23"/>
      <c r="P23"/>
      <c r="R23" s="36" t="s">
        <v>59</v>
      </c>
      <c r="S23" s="36" t="s">
        <v>57</v>
      </c>
      <c r="T23"/>
      <c r="U23"/>
      <c r="AG23" s="4" t="s">
        <v>2</v>
      </c>
      <c r="AH23" s="4" t="s">
        <v>1</v>
      </c>
      <c r="AI23" s="4" t="s">
        <v>0</v>
      </c>
      <c r="AJ23" s="4" t="s">
        <v>42</v>
      </c>
      <c r="AK23" s="4" t="s">
        <v>16</v>
      </c>
      <c r="AL23" s="4" t="s">
        <v>17</v>
      </c>
      <c r="AM23" s="4" t="s">
        <v>18</v>
      </c>
      <c r="AN23" s="4" t="s">
        <v>19</v>
      </c>
      <c r="AO23" s="4" t="s">
        <v>20</v>
      </c>
      <c r="AP23" s="4" t="s">
        <v>21</v>
      </c>
      <c r="AQ23" s="4" t="s">
        <v>22</v>
      </c>
      <c r="AS23" s="4" t="s">
        <v>42</v>
      </c>
      <c r="AT23" s="4" t="s">
        <v>23</v>
      </c>
      <c r="AU23" s="4" t="s">
        <v>15</v>
      </c>
      <c r="AV23" s="4" t="s">
        <v>16</v>
      </c>
      <c r="AW23" s="4" t="s">
        <v>14</v>
      </c>
    </row>
    <row r="24" spans="2:49" ht="16.5" x14ac:dyDescent="0.3">
      <c r="B24" s="36" t="s">
        <v>52</v>
      </c>
      <c r="C24" t="s">
        <v>46</v>
      </c>
      <c r="D24" t="s">
        <v>48</v>
      </c>
      <c r="E24" t="s">
        <v>44</v>
      </c>
      <c r="F24"/>
      <c r="G24"/>
      <c r="H24"/>
      <c r="I24"/>
      <c r="J24"/>
      <c r="K24"/>
      <c r="L24"/>
      <c r="M24"/>
      <c r="N24"/>
      <c r="O24"/>
      <c r="P24"/>
      <c r="R24" s="36" t="s">
        <v>52</v>
      </c>
      <c r="S24" t="s">
        <v>43</v>
      </c>
      <c r="T24" t="s">
        <v>50</v>
      </c>
      <c r="U24"/>
      <c r="AG24" s="5">
        <f t="shared" ref="AG24:AG41" si="0">IFERROR(
IF(ISBLANK(AI24),
DATE(AH24,12,1),
DATE(AH24,AI24,1)),0)</f>
        <v>45778</v>
      </c>
      <c r="AH24" s="21">
        <v>2025</v>
      </c>
      <c r="AI24" s="21">
        <v>5</v>
      </c>
      <c r="AJ24" s="21" t="s">
        <v>46</v>
      </c>
      <c r="AK24" s="21" t="s">
        <v>43</v>
      </c>
      <c r="AL24" s="7" cm="1">
        <f t="array" ref="AL2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235</v>
      </c>
      <c r="AM24" s="7" cm="1">
        <f t="array" ref="AM2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154</v>
      </c>
      <c r="AN24" s="7" cm="1">
        <f t="array" ref="AN2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82</v>
      </c>
      <c r="AO24" s="7" cm="1">
        <f t="array" ref="AO2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307</v>
      </c>
      <c r="AP24" s="28"/>
      <c r="AQ24" s="7">
        <f>Table_TonKho[[#This Row],[KQ kiểm kê]]-Table_TonKho[[#This Row],[SL Cuối kỳ]]</f>
        <v>-307</v>
      </c>
      <c r="AS24" s="33" t="s">
        <v>44</v>
      </c>
      <c r="AT24" s="29">
        <v>45832</v>
      </c>
      <c r="AU24" s="1" t="s">
        <v>47</v>
      </c>
      <c r="AV24" s="1" t="s">
        <v>49</v>
      </c>
      <c r="AW24" s="34">
        <v>72</v>
      </c>
    </row>
    <row r="25" spans="2:49" ht="16.5" x14ac:dyDescent="0.3">
      <c r="B25" s="6" t="s">
        <v>54</v>
      </c>
      <c r="C25" s="37">
        <v>216</v>
      </c>
      <c r="D25" s="37">
        <v>21</v>
      </c>
      <c r="E25" s="37">
        <v>177</v>
      </c>
      <c r="F25"/>
      <c r="G25" s="37"/>
      <c r="H25" s="37"/>
      <c r="I25" s="37"/>
      <c r="J25" s="37"/>
      <c r="K25" s="37"/>
      <c r="L25" s="37"/>
      <c r="M25" s="37"/>
      <c r="N25" s="37"/>
      <c r="O25" s="37"/>
      <c r="P25" s="37"/>
      <c r="R25" s="6" t="s">
        <v>54</v>
      </c>
      <c r="S25" s="37">
        <v>226</v>
      </c>
      <c r="T25" s="37">
        <v>188</v>
      </c>
      <c r="U25"/>
      <c r="AG25" s="5">
        <f t="shared" si="0"/>
        <v>45778</v>
      </c>
      <c r="AH25" s="21">
        <v>2025</v>
      </c>
      <c r="AI25" s="21">
        <v>5</v>
      </c>
      <c r="AJ25" s="21" t="s">
        <v>48</v>
      </c>
      <c r="AK25" s="21" t="s">
        <v>43</v>
      </c>
      <c r="AL25" s="7" cm="1">
        <f t="array" ref="AL2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38</v>
      </c>
      <c r="AM25" s="7" cm="1">
        <f t="array" ref="AM2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79</v>
      </c>
      <c r="AN25" s="7" cm="1">
        <f t="array" ref="AN2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31</v>
      </c>
      <c r="AO25" s="7" cm="1">
        <f t="array" ref="AO2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86</v>
      </c>
      <c r="AP25" s="28"/>
      <c r="AQ25" s="7">
        <f>Table_TonKho[[#This Row],[KQ kiểm kê]]-Table_TonKho[[#This Row],[SL Cuối kỳ]]</f>
        <v>-86</v>
      </c>
      <c r="AS25" s="31" t="s">
        <v>48</v>
      </c>
      <c r="AT25" s="29">
        <v>45829</v>
      </c>
      <c r="AU25" s="21" t="s">
        <v>45</v>
      </c>
      <c r="AV25" s="21" t="s">
        <v>51</v>
      </c>
      <c r="AW25" s="32">
        <v>63</v>
      </c>
    </row>
    <row r="26" spans="2:49" ht="16.5" x14ac:dyDescent="0.3">
      <c r="B26" s="6" t="s">
        <v>55</v>
      </c>
      <c r="C26" s="37">
        <v>288</v>
      </c>
      <c r="D26" s="37">
        <v>59</v>
      </c>
      <c r="E26" s="37">
        <v>138</v>
      </c>
      <c r="F26"/>
      <c r="G26" s="37"/>
      <c r="H26" s="37"/>
      <c r="I26" s="37"/>
      <c r="J26" s="37"/>
      <c r="K26" s="37"/>
      <c r="L26" s="37"/>
      <c r="M26" s="37"/>
      <c r="N26" s="37"/>
      <c r="O26" s="37"/>
      <c r="P26" s="37"/>
      <c r="R26" s="6" t="s">
        <v>55</v>
      </c>
      <c r="S26" s="37">
        <v>411</v>
      </c>
      <c r="T26" s="37">
        <v>74</v>
      </c>
      <c r="U26"/>
      <c r="AG26" s="5">
        <f t="shared" si="0"/>
        <v>45778</v>
      </c>
      <c r="AH26" s="21">
        <v>2025</v>
      </c>
      <c r="AI26" s="21">
        <v>5</v>
      </c>
      <c r="AJ26" s="21" t="s">
        <v>44</v>
      </c>
      <c r="AK26" s="21" t="s">
        <v>43</v>
      </c>
      <c r="AL26" s="7" cm="1">
        <f t="array" ref="AL2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26" s="7" cm="1">
        <f t="array" ref="AM2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26" s="7" cm="1">
        <f t="array" ref="AN2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68</v>
      </c>
      <c r="AO26" s="7" cm="1">
        <f t="array" ref="AO2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158</v>
      </c>
      <c r="AP26" s="28"/>
      <c r="AQ26" s="7">
        <f>Table_TonKho[[#This Row],[KQ kiểm kê]]-Table_TonKho[[#This Row],[SL Cuối kỳ]]</f>
        <v>-158</v>
      </c>
      <c r="AS26" s="31" t="s">
        <v>48</v>
      </c>
      <c r="AT26" s="29">
        <v>45824</v>
      </c>
      <c r="AU26" s="21" t="s">
        <v>45</v>
      </c>
      <c r="AV26" s="21" t="s">
        <v>51</v>
      </c>
      <c r="AW26" s="32">
        <v>68</v>
      </c>
    </row>
    <row r="27" spans="2:49" ht="16.5" x14ac:dyDescent="0.3">
      <c r="B27" s="6" t="s">
        <v>56</v>
      </c>
      <c r="C27" s="37">
        <v>360</v>
      </c>
      <c r="D27" s="37">
        <v>122</v>
      </c>
      <c r="E27" s="37">
        <v>209</v>
      </c>
      <c r="F27"/>
      <c r="G27" s="37"/>
      <c r="H27" s="37"/>
      <c r="I27" s="37"/>
      <c r="J27" s="37"/>
      <c r="K27" s="37"/>
      <c r="L27" s="37"/>
      <c r="M27" s="37"/>
      <c r="N27" s="37"/>
      <c r="O27" s="37"/>
      <c r="P27" s="37"/>
      <c r="R27" s="6" t="s">
        <v>56</v>
      </c>
      <c r="S27" s="37">
        <v>551</v>
      </c>
      <c r="T27" s="37">
        <v>140</v>
      </c>
      <c r="U27"/>
      <c r="AG27" s="5">
        <f t="shared" si="0"/>
        <v>45778</v>
      </c>
      <c r="AH27" s="21">
        <v>2025</v>
      </c>
      <c r="AI27" s="21">
        <v>5</v>
      </c>
      <c r="AJ27" s="21" t="s">
        <v>46</v>
      </c>
      <c r="AK27" s="21" t="s">
        <v>50</v>
      </c>
      <c r="AL27" s="7" cm="1">
        <f t="array" ref="AL2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53</v>
      </c>
      <c r="AM27" s="7" cm="1">
        <f t="array" ref="AM2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27" s="7" cm="1">
        <f t="array" ref="AN2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27" s="7" cm="1">
        <f t="array" ref="AO2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27" s="28"/>
      <c r="AQ27" s="7">
        <f>Table_TonKho[[#This Row],[KQ kiểm kê]]-Table_TonKho[[#This Row],[SL Cuối kỳ]]</f>
        <v>-53</v>
      </c>
      <c r="AS27" s="31" t="s">
        <v>44</v>
      </c>
      <c r="AT27" s="29">
        <v>45824</v>
      </c>
      <c r="AU27" s="21" t="s">
        <v>47</v>
      </c>
      <c r="AV27" s="21" t="s">
        <v>49</v>
      </c>
      <c r="AW27" s="32">
        <v>46</v>
      </c>
    </row>
    <row r="28" spans="2:49" ht="16.5" x14ac:dyDescent="0.3">
      <c r="B28" s="6" t="s">
        <v>53</v>
      </c>
      <c r="C28" s="37">
        <v>864</v>
      </c>
      <c r="D28" s="37">
        <v>202</v>
      </c>
      <c r="E28" s="37">
        <v>524</v>
      </c>
      <c r="F28"/>
      <c r="G28" s="37"/>
      <c r="H28" s="37"/>
      <c r="I28" s="37"/>
      <c r="J28" s="37"/>
      <c r="K28" s="37"/>
      <c r="L28" s="37"/>
      <c r="M28" s="37"/>
      <c r="N28" s="37"/>
      <c r="O28" s="37"/>
      <c r="P28" s="37"/>
      <c r="R28" s="6" t="s">
        <v>53</v>
      </c>
      <c r="S28" s="37">
        <v>1188</v>
      </c>
      <c r="T28" s="37">
        <v>402</v>
      </c>
      <c r="U28"/>
      <c r="AG28" s="5">
        <f t="shared" si="0"/>
        <v>45778</v>
      </c>
      <c r="AH28" s="21">
        <v>2025</v>
      </c>
      <c r="AI28" s="21">
        <v>5</v>
      </c>
      <c r="AJ28" s="21" t="s">
        <v>48</v>
      </c>
      <c r="AK28" s="21" t="s">
        <v>50</v>
      </c>
      <c r="AL28" s="7" cm="1">
        <f t="array" ref="AL2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28" s="7" cm="1">
        <f t="array" ref="AM2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36</v>
      </c>
      <c r="AN28" s="7" cm="1">
        <f t="array" ref="AN2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21</v>
      </c>
      <c r="AO28" s="7" cm="1">
        <f t="array" ref="AO2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36</v>
      </c>
      <c r="AP28" s="28"/>
      <c r="AQ28" s="7">
        <f>Table_TonKho[[#This Row],[KQ kiểm kê]]-Table_TonKho[[#This Row],[SL Cuối kỳ]]</f>
        <v>-36</v>
      </c>
      <c r="AS28" s="31" t="s">
        <v>46</v>
      </c>
      <c r="AT28" s="29">
        <v>45822</v>
      </c>
      <c r="AU28" s="21" t="s">
        <v>47</v>
      </c>
      <c r="AV28" s="21" t="s">
        <v>49</v>
      </c>
      <c r="AW28" s="32">
        <v>61</v>
      </c>
    </row>
    <row r="29" spans="2:49" ht="16.5" x14ac:dyDescent="0.3">
      <c r="B29"/>
      <c r="C29"/>
      <c r="D29"/>
      <c r="R29"/>
      <c r="S29"/>
      <c r="T29"/>
      <c r="AG29" s="5">
        <f t="shared" si="0"/>
        <v>45778</v>
      </c>
      <c r="AH29" s="21">
        <v>2025</v>
      </c>
      <c r="AI29" s="21">
        <v>5</v>
      </c>
      <c r="AJ29" s="21" t="s">
        <v>44</v>
      </c>
      <c r="AK29" s="21" t="s">
        <v>50</v>
      </c>
      <c r="AL29" s="7" cm="1">
        <f t="array" ref="AL2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29" s="7" cm="1">
        <f t="array" ref="AM2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74</v>
      </c>
      <c r="AN29" s="7" cm="1">
        <f t="array" ref="AN2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29" s="7" cm="1">
        <f t="array" ref="AO2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51</v>
      </c>
      <c r="AP29" s="28"/>
      <c r="AQ29" s="7">
        <f>Table_TonKho[[#This Row],[KQ kiểm kê]]-Table_TonKho[[#This Row],[SL Cuối kỳ]]</f>
        <v>-51</v>
      </c>
      <c r="AS29" s="31" t="s">
        <v>48</v>
      </c>
      <c r="AT29" s="29">
        <v>45821</v>
      </c>
      <c r="AU29" s="21" t="s">
        <v>45</v>
      </c>
      <c r="AV29" s="21" t="s">
        <v>51</v>
      </c>
      <c r="AW29" s="32">
        <v>48</v>
      </c>
    </row>
    <row r="30" spans="2:49" ht="16.5" x14ac:dyDescent="0.3">
      <c r="B30"/>
      <c r="C30"/>
      <c r="D30"/>
      <c r="R30"/>
      <c r="S30"/>
      <c r="T30"/>
      <c r="AG30" s="5">
        <f t="shared" si="0"/>
        <v>45748</v>
      </c>
      <c r="AH30" s="21">
        <v>2025</v>
      </c>
      <c r="AI30" s="21">
        <v>4</v>
      </c>
      <c r="AJ30" s="21" t="s">
        <v>46</v>
      </c>
      <c r="AK30" s="21" t="s">
        <v>43</v>
      </c>
      <c r="AL30" s="7" cm="1">
        <f t="array" ref="AL3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88</v>
      </c>
      <c r="AM30" s="7" cm="1">
        <f t="array" ref="AM3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147</v>
      </c>
      <c r="AN30" s="7" cm="1">
        <f t="array" ref="AN3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0" s="7" cm="1">
        <f t="array" ref="AO3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235</v>
      </c>
      <c r="AP30" s="28"/>
      <c r="AQ30" s="7">
        <f>Table_TonKho[[#This Row],[KQ kiểm kê]]-Table_TonKho[[#This Row],[SL Cuối kỳ]]</f>
        <v>-235</v>
      </c>
      <c r="AS30" s="31" t="s">
        <v>48</v>
      </c>
      <c r="AT30" s="29">
        <v>45816</v>
      </c>
      <c r="AU30" s="21" t="s">
        <v>45</v>
      </c>
      <c r="AV30" s="21" t="s">
        <v>51</v>
      </c>
      <c r="AW30" s="32">
        <v>88</v>
      </c>
    </row>
    <row r="31" spans="2:49" ht="16.5" x14ac:dyDescent="0.3">
      <c r="B31"/>
      <c r="C31"/>
      <c r="D31"/>
      <c r="R31"/>
      <c r="S31"/>
      <c r="T31"/>
      <c r="AG31" s="5">
        <f t="shared" si="0"/>
        <v>45748</v>
      </c>
      <c r="AH31" s="21">
        <v>2025</v>
      </c>
      <c r="AI31" s="21">
        <v>4</v>
      </c>
      <c r="AJ31" s="21" t="s">
        <v>48</v>
      </c>
      <c r="AK31" s="21" t="s">
        <v>43</v>
      </c>
      <c r="AL31" s="7" cm="1">
        <f t="array" ref="AL3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1" s="7" cm="1">
        <f t="array" ref="AM3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68</v>
      </c>
      <c r="AN31" s="7" cm="1">
        <f t="array" ref="AN3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30</v>
      </c>
      <c r="AO31" s="7" cm="1">
        <f t="array" ref="AO3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38</v>
      </c>
      <c r="AP31" s="28"/>
      <c r="AQ31" s="7">
        <f>Table_TonKho[[#This Row],[KQ kiểm kê]]-Table_TonKho[[#This Row],[SL Cuối kỳ]]</f>
        <v>-38</v>
      </c>
      <c r="AS31" s="31" t="s">
        <v>46</v>
      </c>
      <c r="AT31" s="29">
        <v>45816</v>
      </c>
      <c r="AU31" s="21" t="s">
        <v>45</v>
      </c>
      <c r="AV31" s="21" t="s">
        <v>51</v>
      </c>
      <c r="AW31" s="32">
        <v>85</v>
      </c>
    </row>
    <row r="32" spans="2:49" ht="16.5" x14ac:dyDescent="0.3">
      <c r="B32"/>
      <c r="C32"/>
      <c r="D32"/>
      <c r="R32"/>
      <c r="S32"/>
      <c r="T32"/>
      <c r="AG32" s="5">
        <f t="shared" si="0"/>
        <v>45748</v>
      </c>
      <c r="AH32" s="21">
        <v>2025</v>
      </c>
      <c r="AI32" s="21">
        <v>4</v>
      </c>
      <c r="AJ32" s="21" t="s">
        <v>44</v>
      </c>
      <c r="AK32" s="21" t="s">
        <v>43</v>
      </c>
      <c r="AL32" s="7" cm="1">
        <f t="array" ref="AL32">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32" s="7" cm="1">
        <f t="array" ref="AM32">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2" s="7" cm="1">
        <f t="array" ref="AN32">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2" s="7" cm="1">
        <f t="array" ref="AO32">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2" s="28"/>
      <c r="AQ32" s="7">
        <f>Table_TonKho[[#This Row],[KQ kiểm kê]]-Table_TonKho[[#This Row],[SL Cuối kỳ]]</f>
        <v>-138</v>
      </c>
      <c r="AS32" s="31" t="s">
        <v>44</v>
      </c>
      <c r="AT32" s="29">
        <v>45816</v>
      </c>
      <c r="AU32" s="21" t="s">
        <v>47</v>
      </c>
      <c r="AV32" s="21" t="s">
        <v>51</v>
      </c>
      <c r="AW32" s="32">
        <v>69</v>
      </c>
    </row>
    <row r="33" spans="2:49" ht="16.5" x14ac:dyDescent="0.3">
      <c r="B33"/>
      <c r="C33"/>
      <c r="D33"/>
      <c r="R33"/>
      <c r="S33"/>
      <c r="T33"/>
      <c r="AG33" s="5">
        <f t="shared" si="0"/>
        <v>45748</v>
      </c>
      <c r="AH33" s="21">
        <v>2025</v>
      </c>
      <c r="AI33" s="21">
        <v>4</v>
      </c>
      <c r="AJ33" s="21" t="s">
        <v>46</v>
      </c>
      <c r="AK33" s="21" t="s">
        <v>50</v>
      </c>
      <c r="AL33" s="7" cm="1">
        <f t="array" ref="AL33">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128</v>
      </c>
      <c r="AM33" s="7" cm="1">
        <f t="array" ref="AM33">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3" s="7" cm="1">
        <f t="array" ref="AN33">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75</v>
      </c>
      <c r="AO33" s="7" cm="1">
        <f t="array" ref="AO33">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33" s="28"/>
      <c r="AQ33" s="7">
        <f>Table_TonKho[[#This Row],[KQ kiểm kê]]-Table_TonKho[[#This Row],[SL Cuối kỳ]]</f>
        <v>-53</v>
      </c>
      <c r="AS33" s="31" t="s">
        <v>48</v>
      </c>
      <c r="AT33" s="29">
        <v>45816</v>
      </c>
      <c r="AU33" s="21" t="s">
        <v>45</v>
      </c>
      <c r="AV33" s="21" t="s">
        <v>51</v>
      </c>
      <c r="AW33" s="32">
        <v>44</v>
      </c>
    </row>
    <row r="34" spans="2:49" ht="16.5" x14ac:dyDescent="0.3">
      <c r="B34"/>
      <c r="C34"/>
      <c r="D34"/>
      <c r="R34"/>
      <c r="S34"/>
      <c r="T34"/>
      <c r="AG34" s="5">
        <f t="shared" si="0"/>
        <v>45748</v>
      </c>
      <c r="AH34" s="21">
        <v>2025</v>
      </c>
      <c r="AI34" s="21">
        <v>4</v>
      </c>
      <c r="AJ34" s="21" t="s">
        <v>48</v>
      </c>
      <c r="AK34" s="21" t="s">
        <v>50</v>
      </c>
      <c r="AL34" s="7" cm="1">
        <f t="array" ref="AL3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34" s="7" cm="1">
        <f t="array" ref="AM3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4" s="7" cm="1">
        <f t="array" ref="AN3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4" s="7" cm="1">
        <f t="array" ref="AO3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34" s="28"/>
      <c r="AQ34" s="7">
        <f>Table_TonKho[[#This Row],[KQ kiểm kê]]-Table_TonKho[[#This Row],[SL Cuối kỳ]]</f>
        <v>-21</v>
      </c>
      <c r="AS34" s="31" t="s">
        <v>44</v>
      </c>
      <c r="AT34" s="29">
        <v>45815</v>
      </c>
      <c r="AU34" s="21" t="s">
        <v>47</v>
      </c>
      <c r="AV34" s="21" t="s">
        <v>51</v>
      </c>
      <c r="AW34" s="32">
        <v>20</v>
      </c>
    </row>
    <row r="35" spans="2:49" ht="16.5" x14ac:dyDescent="0.3">
      <c r="B35"/>
      <c r="C35"/>
      <c r="D35"/>
      <c r="R35"/>
      <c r="S35"/>
      <c r="T35"/>
      <c r="AG35" s="5">
        <f t="shared" si="0"/>
        <v>45748</v>
      </c>
      <c r="AH35" s="21">
        <v>2025</v>
      </c>
      <c r="AI35" s="21">
        <v>4</v>
      </c>
      <c r="AJ35" s="21" t="s">
        <v>44</v>
      </c>
      <c r="AK35" s="21" t="s">
        <v>50</v>
      </c>
      <c r="AL35" s="7" cm="1">
        <f t="array" ref="AL3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39</v>
      </c>
      <c r="AM35" s="7" cm="1">
        <f t="array" ref="AM3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5" s="7" cm="1">
        <f t="array" ref="AN3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39</v>
      </c>
      <c r="AO35" s="7" cm="1">
        <f t="array" ref="AO3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5" s="28"/>
      <c r="AQ35" s="7">
        <f>Table_TonKho[[#This Row],[KQ kiểm kê]]-Table_TonKho[[#This Row],[SL Cuối kỳ]]</f>
        <v>0</v>
      </c>
      <c r="AS35" s="31" t="s">
        <v>48</v>
      </c>
      <c r="AT35" s="29">
        <v>45813</v>
      </c>
      <c r="AU35" s="21" t="s">
        <v>45</v>
      </c>
      <c r="AV35" s="21" t="s">
        <v>49</v>
      </c>
      <c r="AW35" s="32">
        <v>63</v>
      </c>
    </row>
    <row r="36" spans="2:49" ht="16.5" x14ac:dyDescent="0.3">
      <c r="B36"/>
      <c r="C36"/>
      <c r="D36"/>
      <c r="R36"/>
      <c r="S36"/>
      <c r="T36"/>
      <c r="AG36" s="5">
        <f t="shared" si="0"/>
        <v>45717</v>
      </c>
      <c r="AH36" s="21">
        <v>2025</v>
      </c>
      <c r="AI36" s="21">
        <v>3</v>
      </c>
      <c r="AJ36" s="21" t="s">
        <v>46</v>
      </c>
      <c r="AK36" s="21" t="s">
        <v>43</v>
      </c>
      <c r="AL36" s="7" cm="1">
        <f t="array" ref="AL3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6" s="7" cm="1">
        <f t="array" ref="AM3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36" s="7" cm="1">
        <f t="array" ref="AN3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6" s="7" cm="1">
        <f t="array" ref="AO3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88</v>
      </c>
      <c r="AP36" s="28"/>
      <c r="AQ36" s="7">
        <f>Table_TonKho[[#This Row],[KQ kiểm kê]]-Table_TonKho[[#This Row],[SL Cuối kỳ]]</f>
        <v>-88</v>
      </c>
      <c r="AS36" s="31" t="s">
        <v>46</v>
      </c>
      <c r="AT36" s="29">
        <v>45811</v>
      </c>
      <c r="AU36" s="21" t="s">
        <v>47</v>
      </c>
      <c r="AV36" s="21" t="s">
        <v>49</v>
      </c>
      <c r="AW36" s="32">
        <v>48</v>
      </c>
    </row>
    <row r="37" spans="2:49" ht="16.5" x14ac:dyDescent="0.3">
      <c r="B37"/>
      <c r="C37"/>
      <c r="D37"/>
      <c r="R37"/>
      <c r="S37"/>
      <c r="T37"/>
      <c r="AG37" s="5">
        <f t="shared" si="0"/>
        <v>45717</v>
      </c>
      <c r="AH37" s="21">
        <v>2025</v>
      </c>
      <c r="AI37" s="21">
        <v>3</v>
      </c>
      <c r="AJ37" s="21" t="s">
        <v>48</v>
      </c>
      <c r="AK37" s="21" t="s">
        <v>43</v>
      </c>
      <c r="AL37" s="7" cm="1">
        <f t="array" ref="AL3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7" s="7" cm="1">
        <f t="array" ref="AM3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7" s="7" cm="1">
        <f t="array" ref="AN3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7" s="7" cm="1">
        <f t="array" ref="AO3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7" s="28"/>
      <c r="AQ37" s="7">
        <f>Table_TonKho[[#This Row],[KQ kiểm kê]]-Table_TonKho[[#This Row],[SL Cuối kỳ]]</f>
        <v>0</v>
      </c>
      <c r="AS37" s="31" t="s">
        <v>44</v>
      </c>
      <c r="AT37" s="29">
        <v>45809</v>
      </c>
      <c r="AU37" s="21" t="s">
        <v>45</v>
      </c>
      <c r="AV37" s="21" t="s">
        <v>49</v>
      </c>
      <c r="AW37" s="32">
        <v>74</v>
      </c>
    </row>
    <row r="38" spans="2:49" ht="16.5" x14ac:dyDescent="0.3">
      <c r="B38"/>
      <c r="C38"/>
      <c r="D38"/>
      <c r="R38"/>
      <c r="S38"/>
      <c r="T38"/>
      <c r="AG38" s="5">
        <f t="shared" si="0"/>
        <v>45717</v>
      </c>
      <c r="AH38" s="21">
        <v>2025</v>
      </c>
      <c r="AI38" s="21">
        <v>3</v>
      </c>
      <c r="AJ38" s="21" t="s">
        <v>44</v>
      </c>
      <c r="AK38" s="21" t="s">
        <v>43</v>
      </c>
      <c r="AL38" s="7" cm="1">
        <f t="array" ref="AL3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8" s="7" cm="1">
        <f t="array" ref="AM3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161</v>
      </c>
      <c r="AN38" s="7" cm="1">
        <f t="array" ref="AN3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38" s="7" cm="1">
        <f t="array" ref="AO3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8" s="28"/>
      <c r="AQ38" s="7">
        <f>Table_TonKho[[#This Row],[KQ kiểm kê]]-Table_TonKho[[#This Row],[SL Cuối kỳ]]</f>
        <v>-138</v>
      </c>
      <c r="AS38" s="31" t="s">
        <v>46</v>
      </c>
      <c r="AT38" s="29">
        <v>45808</v>
      </c>
      <c r="AU38" s="21" t="s">
        <v>45</v>
      </c>
      <c r="AV38" s="21" t="s">
        <v>51</v>
      </c>
      <c r="AW38" s="32">
        <v>83</v>
      </c>
    </row>
    <row r="39" spans="2:49" ht="16.5" x14ac:dyDescent="0.3">
      <c r="B39"/>
      <c r="C39"/>
      <c r="D39"/>
      <c r="R39"/>
      <c r="S39"/>
      <c r="T39"/>
      <c r="AG39" s="5">
        <f t="shared" si="0"/>
        <v>45717</v>
      </c>
      <c r="AH39" s="21">
        <v>2025</v>
      </c>
      <c r="AI39" s="21">
        <v>3</v>
      </c>
      <c r="AJ39" s="21" t="s">
        <v>46</v>
      </c>
      <c r="AK39" s="21" t="s">
        <v>50</v>
      </c>
      <c r="AL39" s="7" cm="1">
        <f t="array" ref="AL3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9" s="7" cm="1">
        <f t="array" ref="AM3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164</v>
      </c>
      <c r="AN39" s="7" cm="1">
        <f t="array" ref="AN3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36</v>
      </c>
      <c r="AO39" s="7" cm="1">
        <f t="array" ref="AO3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128</v>
      </c>
      <c r="AP39" s="28"/>
      <c r="AQ39" s="7">
        <f>Table_TonKho[[#This Row],[KQ kiểm kê]]-Table_TonKho[[#This Row],[SL Cuối kỳ]]</f>
        <v>-128</v>
      </c>
      <c r="AS39" s="31" t="s">
        <v>48</v>
      </c>
      <c r="AT39" s="29">
        <v>45807</v>
      </c>
      <c r="AU39" s="21" t="s">
        <v>47</v>
      </c>
      <c r="AV39" s="21" t="s">
        <v>51</v>
      </c>
      <c r="AW39" s="32">
        <v>31</v>
      </c>
    </row>
    <row r="40" spans="2:49" ht="16.5" x14ac:dyDescent="0.3">
      <c r="B40"/>
      <c r="C40"/>
      <c r="D40"/>
      <c r="R40"/>
      <c r="S40"/>
      <c r="T40"/>
      <c r="AG40" s="5">
        <f t="shared" si="0"/>
        <v>45717</v>
      </c>
      <c r="AH40" s="21">
        <v>2025</v>
      </c>
      <c r="AI40" s="21">
        <v>3</v>
      </c>
      <c r="AJ40" s="21" t="s">
        <v>48</v>
      </c>
      <c r="AK40" s="21" t="s">
        <v>50</v>
      </c>
      <c r="AL40" s="7" cm="1">
        <f t="array" ref="AL4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0" s="7" cm="1">
        <f t="array" ref="AM4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21</v>
      </c>
      <c r="AN40" s="7" cm="1">
        <f t="array" ref="AN4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0" s="7" cm="1">
        <f t="array" ref="AO4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40" s="28"/>
      <c r="AQ40" s="7">
        <f>Table_TonKho[[#This Row],[KQ kiểm kê]]-Table_TonKho[[#This Row],[SL Cuối kỳ]]</f>
        <v>-21</v>
      </c>
      <c r="AS40" s="31" t="s">
        <v>46</v>
      </c>
      <c r="AT40" s="29">
        <v>45802</v>
      </c>
      <c r="AU40" s="21" t="s">
        <v>45</v>
      </c>
      <c r="AV40" s="21" t="s">
        <v>51</v>
      </c>
      <c r="AW40" s="32">
        <v>48</v>
      </c>
    </row>
    <row r="41" spans="2:49" ht="18" customHeight="1" x14ac:dyDescent="0.3">
      <c r="AG41" s="5">
        <f t="shared" si="0"/>
        <v>45717</v>
      </c>
      <c r="AH41" s="21">
        <v>2025</v>
      </c>
      <c r="AI41" s="21">
        <v>3</v>
      </c>
      <c r="AJ41" s="21" t="s">
        <v>44</v>
      </c>
      <c r="AK41" s="21" t="s">
        <v>50</v>
      </c>
      <c r="AL41" s="7" cm="1">
        <f t="array" ref="AL4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1" s="7" cm="1">
        <f t="array" ref="AM4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39</v>
      </c>
      <c r="AN41" s="7" cm="1">
        <f t="array" ref="AN4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1" s="7" cm="1">
        <f t="array" ref="AO4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39</v>
      </c>
      <c r="AP41" s="28"/>
      <c r="AQ41" s="7">
        <f>Table_TonKho[[#This Row],[KQ kiểm kê]]-Table_TonKho[[#This Row],[SL Cuối kỳ]]</f>
        <v>-39</v>
      </c>
      <c r="AS41" s="31" t="s">
        <v>48</v>
      </c>
      <c r="AT41" s="29">
        <v>45802</v>
      </c>
      <c r="AU41" s="21" t="s">
        <v>45</v>
      </c>
      <c r="AV41" s="21" t="s">
        <v>49</v>
      </c>
      <c r="AW41" s="32">
        <v>36</v>
      </c>
    </row>
    <row r="42" spans="2:49" ht="18" customHeight="1" x14ac:dyDescent="0.3">
      <c r="AS42" s="31" t="s">
        <v>44</v>
      </c>
      <c r="AT42" s="29">
        <v>45802</v>
      </c>
      <c r="AU42" s="21" t="s">
        <v>45</v>
      </c>
      <c r="AV42" s="21" t="s">
        <v>51</v>
      </c>
      <c r="AW42" s="32">
        <v>88</v>
      </c>
    </row>
    <row r="43" spans="2:49" ht="18" customHeight="1" x14ac:dyDescent="0.3">
      <c r="AS43" s="31" t="s">
        <v>46</v>
      </c>
      <c r="AT43" s="29">
        <v>45801</v>
      </c>
      <c r="AU43" s="21" t="s">
        <v>45</v>
      </c>
      <c r="AV43" s="21" t="s">
        <v>51</v>
      </c>
      <c r="AW43" s="32">
        <v>23</v>
      </c>
    </row>
    <row r="44" spans="2:49" ht="18" customHeight="1" x14ac:dyDescent="0.3">
      <c r="AS44" s="31" t="s">
        <v>46</v>
      </c>
      <c r="AT44" s="29">
        <v>45800</v>
      </c>
      <c r="AU44" s="21" t="s">
        <v>47</v>
      </c>
      <c r="AV44" s="21" t="s">
        <v>51</v>
      </c>
      <c r="AW44" s="32">
        <v>82</v>
      </c>
    </row>
    <row r="45" spans="2:49" ht="18" customHeight="1" x14ac:dyDescent="0.3">
      <c r="AS45" s="31" t="s">
        <v>44</v>
      </c>
      <c r="AT45" s="29">
        <v>45799</v>
      </c>
      <c r="AU45" s="21" t="s">
        <v>47</v>
      </c>
      <c r="AV45" s="21" t="s">
        <v>51</v>
      </c>
      <c r="AW45" s="32">
        <v>68</v>
      </c>
    </row>
    <row r="46" spans="2:49" ht="18" customHeight="1" x14ac:dyDescent="0.3">
      <c r="AS46" s="31" t="s">
        <v>48</v>
      </c>
      <c r="AT46" s="29">
        <v>45790</v>
      </c>
      <c r="AU46" s="21" t="s">
        <v>45</v>
      </c>
      <c r="AV46" s="21" t="s">
        <v>51</v>
      </c>
      <c r="AW46" s="32">
        <v>79</v>
      </c>
    </row>
    <row r="47" spans="2:49" ht="18" customHeight="1" x14ac:dyDescent="0.3">
      <c r="AS47" s="35" t="s">
        <v>44</v>
      </c>
      <c r="AT47" s="29">
        <v>45789</v>
      </c>
      <c r="AU47" s="21" t="s">
        <v>47</v>
      </c>
      <c r="AV47" s="21" t="s">
        <v>49</v>
      </c>
      <c r="AW47" s="32">
        <v>23</v>
      </c>
    </row>
    <row r="48" spans="2:49" ht="18" customHeight="1" x14ac:dyDescent="0.3">
      <c r="AS48" s="31" t="s">
        <v>48</v>
      </c>
      <c r="AT48" s="29">
        <v>45789</v>
      </c>
      <c r="AU48" s="21" t="s">
        <v>47</v>
      </c>
      <c r="AV48" s="21" t="s">
        <v>49</v>
      </c>
      <c r="AW48" s="32">
        <v>21</v>
      </c>
    </row>
    <row r="49" spans="45:49" ht="18" customHeight="1" x14ac:dyDescent="0.3">
      <c r="AS49" s="31" t="s">
        <v>44</v>
      </c>
      <c r="AT49" s="29">
        <v>45779</v>
      </c>
      <c r="AU49" s="21" t="s">
        <v>45</v>
      </c>
      <c r="AV49" s="21" t="s">
        <v>49</v>
      </c>
      <c r="AW49" s="32">
        <v>74</v>
      </c>
    </row>
    <row r="50" spans="45:49" ht="18" customHeight="1" x14ac:dyDescent="0.3">
      <c r="AS50" s="31" t="s">
        <v>44</v>
      </c>
      <c r="AT50" s="29">
        <v>45777</v>
      </c>
      <c r="AU50" s="21" t="s">
        <v>47</v>
      </c>
      <c r="AV50" s="21" t="s">
        <v>49</v>
      </c>
      <c r="AW50" s="32">
        <v>39</v>
      </c>
    </row>
    <row r="51" spans="45:49" ht="18" customHeight="1" x14ac:dyDescent="0.3">
      <c r="AS51" s="31" t="s">
        <v>48</v>
      </c>
      <c r="AT51" s="29">
        <v>45774</v>
      </c>
      <c r="AU51" s="21" t="s">
        <v>45</v>
      </c>
      <c r="AV51" s="21" t="s">
        <v>51</v>
      </c>
      <c r="AW51" s="32">
        <v>68</v>
      </c>
    </row>
    <row r="52" spans="45:49" ht="18" customHeight="1" x14ac:dyDescent="0.3">
      <c r="AS52" s="31" t="s">
        <v>46</v>
      </c>
      <c r="AT52" s="29">
        <v>45769</v>
      </c>
      <c r="AU52" s="21" t="s">
        <v>45</v>
      </c>
      <c r="AV52" s="21" t="s">
        <v>51</v>
      </c>
      <c r="AW52" s="32">
        <v>13</v>
      </c>
    </row>
    <row r="53" spans="45:49" ht="18" customHeight="1" x14ac:dyDescent="0.3">
      <c r="AS53" s="31" t="s">
        <v>46</v>
      </c>
      <c r="AT53" s="29">
        <v>45761</v>
      </c>
      <c r="AU53" s="21" t="s">
        <v>45</v>
      </c>
      <c r="AV53" s="21" t="s">
        <v>51</v>
      </c>
      <c r="AW53" s="32">
        <v>48</v>
      </c>
    </row>
    <row r="54" spans="45:49" ht="18" customHeight="1" x14ac:dyDescent="0.3">
      <c r="AS54" s="31" t="s">
        <v>46</v>
      </c>
      <c r="AT54" s="29">
        <v>45760</v>
      </c>
      <c r="AU54" s="21" t="s">
        <v>45</v>
      </c>
      <c r="AV54" s="21" t="s">
        <v>51</v>
      </c>
      <c r="AW54" s="32">
        <v>86</v>
      </c>
    </row>
    <row r="55" spans="45:49" ht="18" customHeight="1" x14ac:dyDescent="0.3">
      <c r="AS55" s="31" t="s">
        <v>46</v>
      </c>
      <c r="AT55" s="29">
        <v>45757</v>
      </c>
      <c r="AU55" s="21" t="s">
        <v>47</v>
      </c>
      <c r="AV55" s="21" t="s">
        <v>49</v>
      </c>
      <c r="AW55" s="32">
        <v>75</v>
      </c>
    </row>
    <row r="56" spans="45:49" ht="18" customHeight="1" x14ac:dyDescent="0.3">
      <c r="AS56" s="31" t="s">
        <v>48</v>
      </c>
      <c r="AT56" s="29">
        <v>45751</v>
      </c>
      <c r="AU56" s="21" t="s">
        <v>47</v>
      </c>
      <c r="AV56" s="21" t="s">
        <v>51</v>
      </c>
      <c r="AW56" s="32">
        <v>30</v>
      </c>
    </row>
    <row r="57" spans="45:49" ht="18" customHeight="1" x14ac:dyDescent="0.3">
      <c r="AS57" s="31" t="s">
        <v>46</v>
      </c>
      <c r="AT57" s="29">
        <v>45746</v>
      </c>
      <c r="AU57" s="21" t="s">
        <v>45</v>
      </c>
      <c r="AV57" s="21" t="s">
        <v>49</v>
      </c>
      <c r="AW57" s="32">
        <v>86</v>
      </c>
    </row>
    <row r="58" spans="45:49" ht="18" customHeight="1" x14ac:dyDescent="0.3">
      <c r="AS58" s="31" t="s">
        <v>46</v>
      </c>
      <c r="AT58" s="29">
        <v>45746</v>
      </c>
      <c r="AU58" s="21" t="s">
        <v>45</v>
      </c>
      <c r="AV58" s="21" t="s">
        <v>51</v>
      </c>
      <c r="AW58" s="32">
        <v>16</v>
      </c>
    </row>
    <row r="59" spans="45:49" ht="18" customHeight="1" x14ac:dyDescent="0.3">
      <c r="AS59" s="31" t="s">
        <v>46</v>
      </c>
      <c r="AT59" s="29">
        <v>45743</v>
      </c>
      <c r="AU59" s="21" t="s">
        <v>47</v>
      </c>
      <c r="AV59" s="21" t="s">
        <v>49</v>
      </c>
      <c r="AW59" s="32">
        <v>36</v>
      </c>
    </row>
    <row r="60" spans="45:49" ht="18" customHeight="1" x14ac:dyDescent="0.3">
      <c r="AS60" s="31" t="s">
        <v>44</v>
      </c>
      <c r="AT60" s="29">
        <v>45735</v>
      </c>
      <c r="AU60" s="21" t="s">
        <v>45</v>
      </c>
      <c r="AV60" s="21" t="s">
        <v>51</v>
      </c>
      <c r="AW60" s="32">
        <v>82</v>
      </c>
    </row>
    <row r="61" spans="45:49" ht="18" customHeight="1" x14ac:dyDescent="0.3">
      <c r="AS61" s="31" t="s">
        <v>46</v>
      </c>
      <c r="AT61" s="29">
        <v>45734</v>
      </c>
      <c r="AU61" s="21" t="s">
        <v>45</v>
      </c>
      <c r="AV61" s="21" t="s">
        <v>51</v>
      </c>
      <c r="AW61" s="32">
        <v>72</v>
      </c>
    </row>
    <row r="62" spans="45:49" ht="18" customHeight="1" x14ac:dyDescent="0.3">
      <c r="AS62" s="31" t="s">
        <v>44</v>
      </c>
      <c r="AT62" s="29">
        <v>45731</v>
      </c>
      <c r="AU62" s="21" t="s">
        <v>47</v>
      </c>
      <c r="AV62" s="21" t="s">
        <v>51</v>
      </c>
      <c r="AW62" s="32">
        <v>23</v>
      </c>
    </row>
    <row r="63" spans="45:49" ht="18" customHeight="1" x14ac:dyDescent="0.3">
      <c r="AS63" s="31" t="s">
        <v>46</v>
      </c>
      <c r="AT63" s="29">
        <v>45730</v>
      </c>
      <c r="AU63" s="21" t="s">
        <v>45</v>
      </c>
      <c r="AV63" s="21" t="s">
        <v>49</v>
      </c>
      <c r="AW63" s="32">
        <v>78</v>
      </c>
    </row>
    <row r="64" spans="45:49" ht="18" customHeight="1" x14ac:dyDescent="0.3">
      <c r="AS64" s="31" t="s">
        <v>44</v>
      </c>
      <c r="AT64" s="29">
        <v>45724</v>
      </c>
      <c r="AU64" s="21" t="s">
        <v>45</v>
      </c>
      <c r="AV64" s="21" t="s">
        <v>49</v>
      </c>
      <c r="AW64" s="32">
        <v>39</v>
      </c>
    </row>
    <row r="65" spans="45:49" ht="18" customHeight="1" x14ac:dyDescent="0.3">
      <c r="AS65" s="31" t="s">
        <v>44</v>
      </c>
      <c r="AT65" s="29">
        <v>45720</v>
      </c>
      <c r="AU65" s="21" t="s">
        <v>45</v>
      </c>
      <c r="AV65" s="21" t="s">
        <v>51</v>
      </c>
      <c r="AW65" s="32">
        <v>79</v>
      </c>
    </row>
    <row r="66" spans="45:49" ht="18" customHeight="1" x14ac:dyDescent="0.3">
      <c r="AS66" s="31" t="s">
        <v>48</v>
      </c>
      <c r="AT66" s="29">
        <v>45720</v>
      </c>
      <c r="AU66" s="21" t="s">
        <v>45</v>
      </c>
      <c r="AV66" s="21" t="s">
        <v>49</v>
      </c>
      <c r="AW66" s="32">
        <v>21</v>
      </c>
    </row>
  </sheetData>
  <sheetProtection algorithmName="SHA-512" hashValue="IFiVjHcZ8rMoodFhvysgQo+9noxkZnNgkZAdqq7ORVhmRfDkKu1zElLHi1u53pxkJ62S2KUesw5jHI1mbHl95A==" saltValue="k/bMHAzIlM2jM23jkRfXyA==" spinCount="100000" sheet="1" scenarios="1" formatColumns="0" formatRows="0" autoFilter="0" pivotTables="0"/>
  <protectedRanges>
    <protectedRange sqref="AS23:AW23 AJ23" name="Range1_9"/>
    <protectedRange sqref="AS24:AS66" name="Range1_4_1"/>
    <protectedRange sqref="AT24:AT66" name="Range1_5_1"/>
    <protectedRange sqref="AK24:AK41 AU24:AV66" name="Range1_7_1"/>
    <protectedRange sqref="AW24:AW66" name="Range1_8_1"/>
  </protectedRanges>
  <phoneticPr fontId="6" type="noConversion"/>
  <dataValidations disablePrompts="1" count="1">
    <dataValidation type="list" allowBlank="1" showInputMessage="1" showErrorMessage="1" sqref="AU24:AU66" xr:uid="{4274B77D-3573-4003-B01A-ECACB3DEC570}">
      <formula1>"Nhập, Xuất"</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9399" r:id="rId6" name="Option Button 7">
              <controlPr defaultSize="0" autoFill="0" autoLine="0" autoPict="0" macro="[0]!DoiDonViHienThi">
                <anchor moveWithCells="1">
                  <from>
                    <xdr:col>35</xdr:col>
                    <xdr:colOff>28575</xdr:colOff>
                    <xdr:row>0</xdr:row>
                    <xdr:rowOff>142875</xdr:rowOff>
                  </from>
                  <to>
                    <xdr:col>35</xdr:col>
                    <xdr:colOff>619125</xdr:colOff>
                    <xdr:row>1</xdr:row>
                    <xdr:rowOff>190500</xdr:rowOff>
                  </to>
                </anchor>
              </controlPr>
            </control>
          </mc:Choice>
        </mc:AlternateContent>
        <mc:AlternateContent xmlns:mc="http://schemas.openxmlformats.org/markup-compatibility/2006">
          <mc:Choice Requires="x14">
            <control shapeId="59400" r:id="rId7" name="Option Button 8">
              <controlPr defaultSize="0" autoFill="0" autoLine="0" autoPict="0" macro="[0]!DoiDonViHienThi">
                <anchor moveWithCells="1">
                  <from>
                    <xdr:col>35</xdr:col>
                    <xdr:colOff>495300</xdr:colOff>
                    <xdr:row>0</xdr:row>
                    <xdr:rowOff>142875</xdr:rowOff>
                  </from>
                  <to>
                    <xdr:col>36</xdr:col>
                    <xdr:colOff>400050</xdr:colOff>
                    <xdr:row>1</xdr:row>
                    <xdr:rowOff>190500</xdr:rowOff>
                  </to>
                </anchor>
              </controlPr>
            </control>
          </mc:Choice>
        </mc:AlternateContent>
        <mc:AlternateContent xmlns:mc="http://schemas.openxmlformats.org/markup-compatibility/2006">
          <mc:Choice Requires="x14">
            <control shapeId="59401" r:id="rId8" name="Option Button 9">
              <controlPr defaultSize="0" autoFill="0" autoLine="0" autoPict="0" macro="[0]!DoiDonViHienThi">
                <anchor moveWithCells="1">
                  <from>
                    <xdr:col>36</xdr:col>
                    <xdr:colOff>276225</xdr:colOff>
                    <xdr:row>0</xdr:row>
                    <xdr:rowOff>142875</xdr:rowOff>
                  </from>
                  <to>
                    <xdr:col>37</xdr:col>
                    <xdr:colOff>276225</xdr:colOff>
                    <xdr:row>1</xdr:row>
                    <xdr:rowOff>190500</xdr:rowOff>
                  </to>
                </anchor>
              </controlPr>
            </control>
          </mc:Choice>
        </mc:AlternateContent>
        <mc:AlternateContent xmlns:mc="http://schemas.openxmlformats.org/markup-compatibility/2006">
          <mc:Choice Requires="x14">
            <control shapeId="59402" r:id="rId9" name="Option Button 10">
              <controlPr defaultSize="0" autoFill="0" autoLine="0" autoPict="0" macro="[0]!DoiDonViHienThi">
                <anchor moveWithCells="1">
                  <from>
                    <xdr:col>37</xdr:col>
                    <xdr:colOff>161925</xdr:colOff>
                    <xdr:row>0</xdr:row>
                    <xdr:rowOff>142875</xdr:rowOff>
                  </from>
                  <to>
                    <xdr:col>37</xdr:col>
                    <xdr:colOff>514350</xdr:colOff>
                    <xdr:row>1</xdr:row>
                    <xdr:rowOff>190500</xdr:rowOff>
                  </to>
                </anchor>
              </controlPr>
            </control>
          </mc:Choice>
        </mc:AlternateContent>
        <mc:AlternateContent xmlns:mc="http://schemas.openxmlformats.org/markup-compatibility/2006">
          <mc:Choice Requires="x14">
            <control shapeId="59403" r:id="rId10" name="Group Box 11">
              <controlPr defaultSize="0" autoFill="0" autoPict="0">
                <anchor moveWithCells="1">
                  <from>
                    <xdr:col>34</xdr:col>
                    <xdr:colOff>581025</xdr:colOff>
                    <xdr:row>0</xdr:row>
                    <xdr:rowOff>95250</xdr:rowOff>
                  </from>
                  <to>
                    <xdr:col>37</xdr:col>
                    <xdr:colOff>628650</xdr:colOff>
                    <xdr:row>2</xdr:row>
                    <xdr:rowOff>0</xdr:rowOff>
                  </to>
                </anchor>
              </controlPr>
            </control>
          </mc:Choice>
        </mc:AlternateContent>
        <mc:AlternateContent xmlns:mc="http://schemas.openxmlformats.org/markup-compatibility/2006">
          <mc:Choice Requires="x14">
            <control shapeId="59404" r:id="rId11" name="Group Box 12">
              <controlPr defaultSize="0" autoFill="0" autoPict="0">
                <anchor moveWithCells="1">
                  <from>
                    <xdr:col>32</xdr:col>
                    <xdr:colOff>47625</xdr:colOff>
                    <xdr:row>0</xdr:row>
                    <xdr:rowOff>95250</xdr:rowOff>
                  </from>
                  <to>
                    <xdr:col>34</xdr:col>
                    <xdr:colOff>533400</xdr:colOff>
                    <xdr:row>2</xdr:row>
                    <xdr:rowOff>0</xdr:rowOff>
                  </to>
                </anchor>
              </controlPr>
            </control>
          </mc:Choice>
        </mc:AlternateContent>
        <mc:AlternateContent xmlns:mc="http://schemas.openxmlformats.org/markup-compatibility/2006">
          <mc:Choice Requires="x14">
            <control shapeId="59405" r:id="rId12" name="Button 13">
              <controlPr defaultSize="0" autoFill="0" autoPict="0" macro="[0]!NhanNghin">
                <anchor moveWithCells="1">
                  <from>
                    <xdr:col>32</xdr:col>
                    <xdr:colOff>133350</xdr:colOff>
                    <xdr:row>0</xdr:row>
                    <xdr:rowOff>190500</xdr:rowOff>
                  </from>
                  <to>
                    <xdr:col>32</xdr:col>
                    <xdr:colOff>600075</xdr:colOff>
                    <xdr:row>1</xdr:row>
                    <xdr:rowOff>133350</xdr:rowOff>
                  </to>
                </anchor>
              </controlPr>
            </control>
          </mc:Choice>
        </mc:AlternateContent>
        <mc:AlternateContent xmlns:mc="http://schemas.openxmlformats.org/markup-compatibility/2006">
          <mc:Choice Requires="x14">
            <control shapeId="59406" r:id="rId13" name="Button 14">
              <controlPr defaultSize="0" autoFill="0" autoPict="0" macro="[0]!NhanTrieu">
                <anchor moveWithCells="1">
                  <from>
                    <xdr:col>32</xdr:col>
                    <xdr:colOff>647700</xdr:colOff>
                    <xdr:row>0</xdr:row>
                    <xdr:rowOff>190500</xdr:rowOff>
                  </from>
                  <to>
                    <xdr:col>33</xdr:col>
                    <xdr:colOff>447675</xdr:colOff>
                    <xdr:row>1</xdr:row>
                    <xdr:rowOff>133350</xdr:rowOff>
                  </to>
                </anchor>
              </controlPr>
            </control>
          </mc:Choice>
        </mc:AlternateContent>
        <mc:AlternateContent xmlns:mc="http://schemas.openxmlformats.org/markup-compatibility/2006">
          <mc:Choice Requires="x14">
            <control shapeId="59407" r:id="rId14" name="Button 15">
              <controlPr defaultSize="0" autoFill="0" autoPict="0" macro="[0]!NhanTy">
                <anchor moveWithCells="1">
                  <from>
                    <xdr:col>33</xdr:col>
                    <xdr:colOff>495300</xdr:colOff>
                    <xdr:row>0</xdr:row>
                    <xdr:rowOff>190500</xdr:rowOff>
                  </from>
                  <to>
                    <xdr:col>34</xdr:col>
                    <xdr:colOff>457200</xdr:colOff>
                    <xdr:row>1</xdr:row>
                    <xdr:rowOff>133350</xdr:rowOff>
                  </to>
                </anchor>
              </controlPr>
            </control>
          </mc:Choice>
        </mc:AlternateContent>
        <mc:AlternateContent xmlns:mc="http://schemas.openxmlformats.org/markup-compatibility/2006">
          <mc:Choice Requires="x14">
            <control shapeId="59408" r:id="rId15" name="Button 16">
              <controlPr defaultSize="0" print="0" autoFill="0" autoPict="0" macro="[0]!AddRow">
                <anchor moveWithCells="1">
                  <from>
                    <xdr:col>37</xdr:col>
                    <xdr:colOff>752475</xdr:colOff>
                    <xdr:row>0</xdr:row>
                    <xdr:rowOff>152400</xdr:rowOff>
                  </from>
                  <to>
                    <xdr:col>38</xdr:col>
                    <xdr:colOff>57150</xdr:colOff>
                    <xdr:row>1</xdr:row>
                    <xdr:rowOff>180975</xdr:rowOff>
                  </to>
                </anchor>
              </controlPr>
            </control>
          </mc:Choice>
        </mc:AlternateContent>
        <mc:AlternateContent xmlns:mc="http://schemas.openxmlformats.org/markup-compatibility/2006">
          <mc:Choice Requires="x14">
            <control shapeId="59409" r:id="rId16" name="Button 17">
              <controlPr defaultSize="0" print="0" autoFill="0" autoPict="0" macro="[0]!DeleteRow">
                <anchor moveWithCells="1">
                  <from>
                    <xdr:col>38</xdr:col>
                    <xdr:colOff>95250</xdr:colOff>
                    <xdr:row>0</xdr:row>
                    <xdr:rowOff>152400</xdr:rowOff>
                  </from>
                  <to>
                    <xdr:col>38</xdr:col>
                    <xdr:colOff>571500</xdr:colOff>
                    <xdr:row>1</xdr:row>
                    <xdr:rowOff>180975</xdr:rowOff>
                  </to>
                </anchor>
              </controlPr>
            </control>
          </mc:Choice>
        </mc:AlternateContent>
        <mc:AlternateContent xmlns:mc="http://schemas.openxmlformats.org/markup-compatibility/2006">
          <mc:Choice Requires="x14">
            <control shapeId="59412" r:id="rId17" name="Button 20">
              <controlPr defaultSize="0" print="0" autoFill="0" autoPict="0" macro="[0]!RefreshTables">
                <anchor moveWithCells="1">
                  <from>
                    <xdr:col>45</xdr:col>
                    <xdr:colOff>200025</xdr:colOff>
                    <xdr:row>0</xdr:row>
                    <xdr:rowOff>161925</xdr:rowOff>
                  </from>
                  <to>
                    <xdr:col>45</xdr:col>
                    <xdr:colOff>819150</xdr:colOff>
                    <xdr:row>1</xdr:row>
                    <xdr:rowOff>190500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0" id="{32D3BEA5-FFBB-4C2B-AF50-AB69C29144D2}">
            <xm:f>Security!$A$1="NO VBA"</xm:f>
            <x14:dxf>
              <font>
                <color theme="0"/>
              </font>
              <border>
                <vertical/>
                <horizontal/>
              </border>
            </x14:dxf>
          </x14:cfRule>
          <xm:sqref>B1:P20 B22:P23 B41:P1048576 E29:P40 F24:P24 A1:A1048576 R41:U1048576 R22:U23 Q1:Q1048576 U24 U29:U40 AX17:XFD17 AU14:AV14 AX12:XFD15 R1:U20 AV19 AX19:XFD19 V1:AF1048576 AG20:XFD1048576 AG19:AT19 AG15:AV15 AG1:XFD11 AG17:AT17 AG18:XFD18 AG16:XFD16 AG12:AT14</xm:sqref>
        </x14:conditionalFormatting>
        <x14:conditionalFormatting xmlns:xm="http://schemas.microsoft.com/office/excel/2006/main">
          <x14:cfRule type="expression" priority="6" id="{2B49C2D9-0072-4B37-B656-8BD9C4C8E9EB}">
            <xm:f>Security!$A$1="NO VBA"</xm:f>
            <x14:dxf>
              <font>
                <color theme="0"/>
              </font>
              <border>
                <vertical/>
                <horizontal/>
              </border>
            </x14:dxf>
          </x14:cfRule>
          <xm:sqref>AU12:AW12</xm:sqref>
        </x14:conditionalFormatting>
        <x14:conditionalFormatting xmlns:xm="http://schemas.microsoft.com/office/excel/2006/main">
          <x14:cfRule type="expression" priority="5" id="{7040AA01-6F41-41C4-B752-757D245361B2}">
            <xm:f>Security!$A$1="NO VBA"</xm:f>
            <x14:dxf>
              <font>
                <color theme="0"/>
              </font>
              <border>
                <vertical/>
                <horizontal/>
              </border>
            </x14:dxf>
          </x14:cfRule>
          <xm:sqref>AU17:AV17</xm:sqref>
        </x14:conditionalFormatting>
        <x14:conditionalFormatting xmlns:xm="http://schemas.microsoft.com/office/excel/2006/main">
          <x14:cfRule type="expression" priority="4" id="{474B2658-AC1E-4AE2-B74E-56262F001AE2}">
            <xm:f>Security!$A$1="NO VBA"</xm:f>
            <x14:dxf>
              <font>
                <color theme="0"/>
              </font>
              <border>
                <vertical/>
                <horizontal/>
              </border>
            </x14:dxf>
          </x14:cfRule>
          <xm:sqref>AW14:AW15</xm:sqref>
        </x14:conditionalFormatting>
        <x14:conditionalFormatting xmlns:xm="http://schemas.microsoft.com/office/excel/2006/main">
          <x14:cfRule type="expression" priority="3" id="{1D4C5ECC-3FC7-4F3B-8884-A6D949B8C41D}">
            <xm:f>Security!$A$1="NO VBA"</xm:f>
            <x14:dxf>
              <font>
                <color theme="0"/>
              </font>
              <border>
                <vertical/>
                <horizontal/>
              </border>
            </x14:dxf>
          </x14:cfRule>
          <xm:sqref>AW17</xm:sqref>
        </x14:conditionalFormatting>
        <x14:conditionalFormatting xmlns:xm="http://schemas.microsoft.com/office/excel/2006/main">
          <x14:cfRule type="expression" priority="2" id="{70147C94-7720-40D9-B7BA-971A4C0A15D8}">
            <xm:f>Security!$A$1="NO VBA"</xm:f>
            <x14:dxf>
              <font>
                <color theme="0"/>
              </font>
              <border>
                <vertical/>
                <horizontal/>
              </border>
            </x14:dxf>
          </x14:cfRule>
          <xm:sqref>AU19</xm:sqref>
        </x14:conditionalFormatting>
        <x14:conditionalFormatting xmlns:xm="http://schemas.microsoft.com/office/excel/2006/main">
          <x14:cfRule type="expression" priority="1" id="{FD9A9A0A-FA5F-44AE-B6EC-A0D8F7F4DE82}">
            <xm:f>Security!$A$1="NO VBA"</xm:f>
            <x14:dxf>
              <font>
                <color theme="0"/>
              </font>
              <border>
                <vertical/>
                <horizontal/>
              </border>
            </x14:dxf>
          </x14:cfRule>
          <xm:sqref>AW19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� i � �  d � i �m   s �  d � �� �  l � � � � � �n   c � � � � � �  l � � � � �p     �  �  �  �  l ��  �  � 
</file>

<file path=customXml/item3.xml>�� � � �n   v � �  s u � �  l � � � � �n   v � �  s u � �  l � � 
</file>

<file path=customXml/item4.xml>��   
</file>

<file path=customXml/item5.xml>��   
</file>

<file path=customXml/item6.xml>��   
</file>

<file path=customXml/item7.xml>�� � � � � �  t �n   � �  t � � � � � � � � � � � �  t �n   � �  t � � � � � � � � � � � �  l �� � � � � � �  s u � � � � � � � � � �� �  l � � � �� �  l � � � �  l � �n   � � �n   s �  b � � �p     �  �  �  �  l ��  �  � � � � � �  t �n   � �  t � � � � � � � � � � � �  t �n   � �  t � � � � � � � � � � � �  l �� � � � � � �  s u � � � � � � � � � �� �  l � � � �� �  l � � � �  l � �n   � � �n   s �  b � � �p     �  �  �  �  l ��  �  � 
</file>

<file path=customXml/item8.xml>�� � � � � 
</file>

<file path=customXml/item9.xml>�� �  �  
</file>

<file path=customXml/item10.xml>�� �n   �u   t � �n   �u   t � �  �u   t � �i   h � �  �  �u   t � �   � �n   �u   t � �n   �u   t � �  �u   t � �i   h � �  �  �u   t � �   � 
</file>

<file path=customXml/item11.xml>��   
</file>

<file path=customXml/item12.xml>��   
</file>

<file path=customXml/item13.xml>�� �� �i   t �� � �� �t   � � �  l � � �  l �� �  t � � �� �i   t �� � �� �t   � � �  l � � �  l �� �  t � � 
</file>

<file path=customXml/item14.xml>��   
</file>

<file path=customXml/item15.xml>��   
</file>

<file path=customXml/item16.xml>�� 
</file>

<file path=customXml/item17.xml>��   
</file>

<file path=customXml/item18.xml>�� �  p h � �c   n  � �� � � �  p h � �c   n  � �� � � 
</file>

<file path=customXml/item19.xml>�� 
</file>

<file path=customXml/item20.xml>�� � � � �� �  l � � � � i �m   s �  d � � �n   c � � �p    � � � � i � �  d �  �  �  �  �  l ��  �  � �  l � � � � � � �� �  l � � � � i �m   s �  d � � �n   c � � �p    � � � � i � �  d �  �  �  �  �  l ��  �  � �  l � � � 
</file>

<file path=customXml/item21.xml>�� �c   n  �c   n  
</file>

<file path=customXml/item22.xml>��   
</file>

<file path=customXml/item23.xml>�� 
</file>

<file path=customXml/itemProps1.xml><?xml version="1.0" encoding="utf-8"?>
<ds:datastoreItem xmlns:ds="http://schemas.openxmlformats.org/officeDocument/2006/customXml" ds:itemID="{104A6CAF-8CC0-4F12-8051-31E2340CC4C2}">
  <ds:schemaRefs/>
</ds:datastoreItem>
</file>

<file path=customXml/itemProps2.xml><?xml version="1.0" encoding="utf-8"?>
<ds:datastoreItem xmlns:ds="http://schemas.openxmlformats.org/officeDocument/2006/customXml" ds:itemID="{4F023B59-6671-4442-B15F-D8D1F04CE43F}">
  <ds:schemaRefs/>
</ds:datastoreItem>
</file>

<file path=customXml/itemProps3.xml><?xml version="1.0" encoding="utf-8"?>
<ds:datastoreItem xmlns:ds="http://schemas.openxmlformats.org/officeDocument/2006/customXml" ds:itemID="{19BA8129-97AB-4694-BBC1-89CB3D2043B0}">
  <ds:schemaRefs/>
</ds:datastoreItem>
</file>

<file path=customXml/itemProps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5.xml><?xml version="1.0" encoding="utf-8"?>
<ds:datastoreItem xmlns:ds="http://schemas.openxmlformats.org/officeDocument/2006/customXml" ds:itemID="{4BA9E5F1-90AC-490B-B178-7C8B339E1A47}">
  <ds:schemaRefs/>
</ds:datastoreItem>
</file>

<file path=customXml/itemProps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7.xml><?xml version="1.0" encoding="utf-8"?>
<ds:datastoreItem xmlns:ds="http://schemas.openxmlformats.org/officeDocument/2006/customXml" ds:itemID="{2BF00A03-70FC-4137-967C-82A1B61F0E08}">
  <ds:schemaRefs/>
</ds:datastoreItem>
</file>

<file path=customXml/itemProps8.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9.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0.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1.xml><?xml version="1.0" encoding="utf-8"?>
<ds:datastoreItem xmlns:ds="http://schemas.openxmlformats.org/officeDocument/2006/customXml" ds:itemID="{339EBD31-34FE-48FA-B11C-5697D02F64AC}">
  <ds:schemaRefs/>
</ds:datastoreItem>
</file>

<file path=customXml/itemProps12.xml><?xml version="1.0" encoding="utf-8"?>
<ds:datastoreItem xmlns:ds="http://schemas.openxmlformats.org/officeDocument/2006/customXml" ds:itemID="{15A5E9E7-8554-4C17-8FCE-88C5899190B5}">
  <ds:schemaRefs/>
</ds:datastoreItem>
</file>

<file path=customXml/itemProps13.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5.xml><?xml version="1.0" encoding="utf-8"?>
<ds:datastoreItem xmlns:ds="http://schemas.openxmlformats.org/officeDocument/2006/customXml" ds:itemID="{0B9C3544-1C46-45A4-BEB6-1CE4D6559900}">
  <ds:schemaRefs/>
</ds:datastoreItem>
</file>

<file path=customXml/itemProps1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7.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8.xml><?xml version="1.0" encoding="utf-8"?>
<ds:datastoreItem xmlns:ds="http://schemas.openxmlformats.org/officeDocument/2006/customXml" ds:itemID="{7D64D66F-1898-49BE-A788-6FA781CEE8F3}">
  <ds:schemaRefs/>
</ds:datastoreItem>
</file>

<file path=customXml/itemProps19.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0.xml><?xml version="1.0" encoding="utf-8"?>
<ds:datastoreItem xmlns:ds="http://schemas.openxmlformats.org/officeDocument/2006/customXml" ds:itemID="{CCFAB5FF-26AB-4CB9-BA2C-5A121007B041}">
  <ds:schemaRefs/>
</ds:datastoreItem>
</file>

<file path=customXml/itemProps21.xml><?xml version="1.0" encoding="utf-8"?>
<ds:datastoreItem xmlns:ds="http://schemas.openxmlformats.org/officeDocument/2006/customXml" ds:itemID="{A6D0F6C4-9EB7-4062-86F8-715E8F5BF469}">
  <ds:schemaRefs/>
</ds:datastoreItem>
</file>

<file path=customXml/itemProps22.xml><?xml version="1.0" encoding="utf-8"?>
<ds:datastoreItem xmlns:ds="http://schemas.openxmlformats.org/officeDocument/2006/customXml" ds:itemID="{A849B9D7-188B-48DA-AB5B-54583621621D}">
  <ds:schemaRefs/>
</ds:datastoreItem>
</file>

<file path=customXml/itemProps23.xml><?xml version="1.0" encoding="utf-8"?>
<ds:datastoreItem xmlns:ds="http://schemas.openxmlformats.org/officeDocument/2006/customXml" ds:itemID="{8FD280FB-0EB8-4D91-8ABB-4113201DEE59}">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tồn kho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2025-06-10T10:02:44Z</dcterms:modified>
  <cp:category/>
  <cp:contentStatus/>
</cp:coreProperties>
</file>