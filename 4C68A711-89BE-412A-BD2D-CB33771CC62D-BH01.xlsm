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AF62B40-8FE3-4B3E-8124-6D250F5828EF}"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 hidden="1">Table_DonBan[]</definedName>
    <definedName name="_xlcn.WorksheetConnection_03.EASYBH01.xlsmTable_KHThanThiet_ChinhSach"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<sst xmlns="http://schemas.openxmlformats.org/spreadsheetml/2006/main" count="135" uniqueCount="81">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</sst>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7" fillId="0" borderId="0" xfId="0" applyFont="1" applyAlignment="1" applyProtection="1">
      <alignment vertical="center"/>
      <protection locked="0"/>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1"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0"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72</v>
      </c>
      <c r="C2" s="8" t="s">
        <v>73</v>
      </c>
      <c r="D2" s="19">
        <v>45785</v>
      </c>
      <c r="E2" s="19">
        <v>46150</v>
      </c>
      <c r="F2" s="27">
        <v>365</v>
      </c>
      <c r="G2" s="8" t="s">
        <v>42</v>
      </c>
      <c r="H2" s="27"/>
      <c r="I2" s="27"/>
      <c r="J2" s="27"/>
      <c r="K2" s="27"/>
      <c r="L2" s="27"/>
      <c r="M2" s="27"/>
      <c r="N2" s="27"/>
      <c r="O2" s="27"/>
      <c r="P2" s="27"/>
      <c r="Q2" s="27"/>
      <c r="R2" s="27"/>
      <c r="S2" s="27"/>
      <c r="T2" s="27"/>
      <c r="U2" s="27"/>
      <c r="V2" s="27"/>
      <c r="W2" s="27"/>
      <c r="X2" s="27"/>
      <c r="Y2" s="27"/>
      <c r="Z2" s="27" t="s">
        <v>80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3">
        <v>1</v>
      </c>
      <c r="L1" s="43" t="s">
        <v>75</v>
      </c>
    </row>
    <row r="2" spans="1:12" x14ac:dyDescent="0.3">
      <c r="A2" s="9" t="s">
        <v>74</v>
      </c>
      <c r="L2" s="43" t="s">
        <v>76</v>
      </c>
    </row>
    <row r="3" spans="1:12" x14ac:dyDescent="0.3">
      <c r="L3" s="43" t="s">
        <v>77</v>
      </c>
    </row>
    <row r="4" spans="1:12" ht="37.5" x14ac:dyDescent="0.3">
      <c r="A4" s="12" t="s">
        <v>0</v>
      </c>
      <c r="B4" s="12" t="s">
        <v>1</v>
      </c>
      <c r="L4" s="43" t="s">
        <v>78</v>
      </c>
    </row>
    <row r="5" spans="1:12" ht="17.25" x14ac:dyDescent="0.3">
      <c r="A5" s="22"/>
      <c r="B5" s="20" t="s">
        <v>43</v>
      </c>
      <c r="L5" s="43" t="s">
        <v>79</v>
      </c>
    </row>
    <row r="6" spans="1:12" ht="17.25" x14ac:dyDescent="0.3">
      <c r="A6" s="22"/>
      <c r="B6" s="20" t="s">
        <v>23</v>
      </c>
    </row>
    <row r="7" spans="1:12" ht="17.25" x14ac:dyDescent="0.3">
      <c r="A7" s="22"/>
      <c r="B7" s="20" t="s">
        <v>44</v>
      </c>
    </row>
    <row r="8" spans="1:12" ht="17.25" x14ac:dyDescent="0.3">
      <c r="A8" s="22"/>
      <c r="B8" s="20" t="s">
        <v>45</v>
      </c>
    </row>
    <row r="9" spans="1:12" ht="17.25" x14ac:dyDescent="0.3">
      <c r="A9" s="22"/>
      <c r="B9" s="21" t="s">
        <v>46</v>
      </c>
    </row>
    <row r="10" spans="1:12" x14ac:dyDescent="0.3">
      <c r="A10" s="22"/>
      <c r="B10" s="22"/>
    </row>
    <row r="11" spans="1:12" ht="37.5" x14ac:dyDescent="0.3">
      <c r="A11" s="12" t="s">
        <v>7</v>
      </c>
      <c r="B11" s="12" t="s">
        <v>8</v>
      </c>
    </row>
    <row r="12" spans="1:12" x14ac:dyDescent="0.3">
      <c r="A12" s="13" t="s">
        <v>9</v>
      </c>
      <c r="B12" s="9" t="s">
        <v>72</v>
      </c>
    </row>
    <row r="13" spans="1:12" x14ac:dyDescent="0.3">
      <c r="A13" s="13" t="s">
        <v>10</v>
      </c>
      <c r="B13" s="9" t="s">
        <v>73</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54</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62</v>
      </c>
      <c r="V6" s="41"/>
      <c r="W6" s="42" t="s">
        <v>63</v>
      </c>
      <c r="X6" s="41"/>
    </row>
    <row r="7" spans="16:24" ht="18" customHeight="1" outlineLevel="1" x14ac:dyDescent="0.3">
      <c r="R7" s="4"/>
    </row>
    <row r="8" spans="16:24" ht="18" customHeight="1" outlineLevel="1" x14ac:dyDescent="0.35">
      <c r="R8" s="4"/>
      <c r="U8" s="40" t="s">
        <v>64</v>
      </c>
      <c r="W8" s="46" cm="1">
        <f t="array" ref="W8">IF(
ISBLANK($X$6),
IFERROR(
SUM(_xlfn._xlws.FILTER(Table_DonBan[Doanh thu ròng],
(Table_DonBan[Ngày lập]&gt;=$V$6)
)),0),
IFERROR(
SUM(_xlfn._xlws.FILTER(Table_DonBan[Doanh thu ròng],
(Table_DonBan[Ngày lập]&gt;=$V$6)*
(Table_DonBan[Ngày lập]&lt;=$X$6)
)),0)
)</f>
        <v>83305170</v>
      </c>
      <c r="X8" s="46"/>
    </row>
    <row r="9" spans="16:24" ht="18" customHeight="1" outlineLevel="1" x14ac:dyDescent="0.35">
      <c r="R9" s="4"/>
      <c r="U9" s="40" t="s">
        <v>65</v>
      </c>
      <c r="W9" s="46" cm="1">
        <f t="array" ref="W9">IF(
ISBLANK($X$6),
IFERROR(
SUM(_xlfn._xlws.FILTER(Table_DonBan[Điểm tích lũy],
(Table_DonBan[Ngày lập]&gt;=$V$6)
)),0),
IFERROR(
SUM(_xlfn._xlws.FILTER(Table_DonBan[Điểm tích lũy],
(Table_DonBan[Ngày lập]&gt;=$V$6)*
(Table_DonBan[Ngày lập]&lt;=$X$6)
)),0)
)</f>
        <v>1226832.3500000001</v>
      </c>
      <c r="X9" s="46"/>
    </row>
    <row r="10" spans="16:24" ht="18" customHeight="1" outlineLevel="1" x14ac:dyDescent="0.35">
      <c r="R10" s="4"/>
      <c r="U10" s="40" t="s">
        <v>66</v>
      </c>
      <c r="W10" s="47">
        <f>W9/W8</f>
        <v>1.4726965325201307E-2</v>
      </c>
      <c r="X10" s="47"/>
    </row>
    <row r="11" spans="16:24" ht="18" customHeight="1" outlineLevel="1" x14ac:dyDescent="0.35">
      <c r="R11" s="4"/>
      <c r="U11" s="40" t="s">
        <v>71</v>
      </c>
      <c r="W11" s="46" cm="1">
        <f t="array" ref="W11">IF(
ISBLANK($X$6),
IFERROR(
SUM(_xlfn._xlws.FILTER(Table_DonBan[Điểm sử dụng],
(Table_DonBan[Ngày lập]&gt;=$V$6)
)),0),
IFERROR(
SUM(_xlfn._xlws.FILTER(Table_DonBan[Điểm sử dụng],
(Table_DonBan[Ngày lập]&gt;=$V$6)*
(Table_DonBan[Ngày lập]&lt;=$X$6)
)),0)
)</f>
        <v>815000</v>
      </c>
      <c r="X11" s="46"/>
    </row>
    <row r="12" spans="16:24" ht="18" customHeight="1" outlineLevel="1" x14ac:dyDescent="0.35">
      <c r="R12" s="4"/>
      <c r="U12" s="40" t="s">
        <v>67</v>
      </c>
      <c r="W12" s="47">
        <f>W11/W9</f>
        <v>0.6643124466028304</v>
      </c>
      <c r="X12" s="47"/>
    </row>
    <row r="13" spans="16:24" ht="18" customHeight="1" outlineLevel="1" x14ac:dyDescent="0.3">
      <c r="R13" s="4"/>
    </row>
    <row r="14" spans="16:24" ht="18" customHeight="1" outlineLevel="1" x14ac:dyDescent="0.35">
      <c r="R14" s="4"/>
      <c r="U14" s="40" t="s">
        <v>68</v>
      </c>
      <c r="W14" s="44" t="s">
        <v>49</v>
      </c>
      <c r="X14" s="44"/>
    </row>
    <row r="15" spans="16:24" ht="18" customHeight="1" outlineLevel="1" x14ac:dyDescent="0.35">
      <c r="R15" s="4"/>
      <c r="U15" s="40" t="s">
        <v>69</v>
      </c>
      <c r="W15" s="45"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5"/>
    </row>
    <row r="16" spans="16:24" ht="18" customHeight="1" outlineLevel="1" x14ac:dyDescent="0.35">
      <c r="R16" s="4"/>
      <c r="U16" s="40" t="s">
        <v>70</v>
      </c>
      <c r="W16" s="46">
        <f>VLOOKUP($W$14,Table_DonBan[[Mã Khách]:[Điểm tích lũy]],COUNTA(Table_DonBan[[#Headers],[Mã Khách]:[Điểm khả dụng]]),0)</f>
        <v>1797.4999999999709</v>
      </c>
      <c r="X16" s="46"/>
    </row>
    <row r="17" spans="2:24" ht="18" customHeight="1" outlineLevel="1" x14ac:dyDescent="0.35">
      <c r="R17" s="4"/>
      <c r="U17" s="40" t="s">
        <v>67</v>
      </c>
      <c r="W17" s="47"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7"/>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56</v>
      </c>
      <c r="C22" t="s">
        <v>60</v>
      </c>
      <c r="D22" t="s">
        <v>61</v>
      </c>
      <c r="F22" s="38" t="s">
        <v>56</v>
      </c>
      <c r="G22" t="s">
        <v>39</v>
      </c>
      <c r="I22" s="1" t="s">
        <v>26</v>
      </c>
      <c r="J22" s="1" t="s">
        <v>27</v>
      </c>
      <c r="K22" s="1" t="s">
        <v>28</v>
      </c>
      <c r="L22" s="1" t="s">
        <v>29</v>
      </c>
      <c r="M22" s="1" t="s">
        <v>30</v>
      </c>
      <c r="N22" s="1" t="s">
        <v>31</v>
      </c>
      <c r="P22" s="6" t="s">
        <v>55</v>
      </c>
      <c r="Q22" s="6" t="s">
        <v>11</v>
      </c>
      <c r="R22" s="6" t="s">
        <v>52</v>
      </c>
      <c r="S22" s="7" t="s">
        <v>39</v>
      </c>
      <c r="T22" s="7" t="s">
        <v>40</v>
      </c>
      <c r="U22" s="7" t="s">
        <v>25</v>
      </c>
      <c r="V22" s="1" t="s">
        <v>41</v>
      </c>
      <c r="W22" s="1" t="s">
        <v>53</v>
      </c>
      <c r="X22" s="6" t="s">
        <v>47</v>
      </c>
    </row>
    <row r="23" spans="2:24" ht="16.5" x14ac:dyDescent="0.3">
      <c r="B23" s="8" t="s">
        <v>58</v>
      </c>
      <c r="C23" s="39">
        <v>6.0525914489854152E-3</v>
      </c>
      <c r="D23" s="39">
        <v>0.27618310801970147</v>
      </c>
      <c r="F23" s="8" t="s">
        <v>48</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50</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59</v>
      </c>
      <c r="C24" s="39">
        <v>2.6438235256282083E-2</v>
      </c>
      <c r="D24" s="39">
        <v>0.78427652544585169</v>
      </c>
      <c r="F24" s="8" t="s">
        <v>50</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51</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57</v>
      </c>
      <c r="C25" s="39">
        <v>1.4726965325201307E-2</v>
      </c>
      <c r="D25" s="39">
        <v>0.6643124466028304</v>
      </c>
      <c r="F25" s="8" t="s">
        <v>51</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49</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49</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51</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57</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49</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48</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48</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49</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50</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48</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50</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51</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48</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49</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51</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48</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49</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51</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50</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50</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51</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48</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49</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49</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51</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49</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50</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49</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48</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48</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48</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50</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51</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49</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48</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50</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49</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49</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51</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50</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49</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50</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48</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LIuHb4HTsjWj0mdyJSK4gv2iuhPA8Hbmy1Gvb76nZUX9dcET+TF0zH2MtIOfxeOQohx5u6fTb65WuF7MRkNiTQ==" saltValue="AJ77n6CXj78nAHxriojePg==" spinCount="100000" sheet="1" scenarios="1" formatCells="0"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�c   n  �c   n  
</file>

<file path=customXml/item3.xml>��   
</file>

<file path=customXml/item4.xml>��   
</file>

<file path=customXml/item5.xml>��   
</file>

<file path=customXml/item6.xml>�� � � � � 
</file>

<file path=customXml/item7.xml>��   
</file>

<file path=customXml/item8.xml>��   
</file>

<file path=customXml/item9.xml>��   
</file>

<file path=customXml/item10.xml>�� 
</file>

<file path=customXml/item11.xml>�� 
</file>

<file path=customXml/item12.xml>��   
</file>

<file path=customXml/item13.xml>�� 
</file>

<file path=customXml/item14.xml>�� 
</file>

<file path=customXml/item15.xml>�� � � � �i    �  l �  i � �� i � �� �i    i � �� iy   k � � � � �i    �  l �  i � �� i � �� �i    i � �� iy   k � 
</file>

<file path=customXml/item16.xml>�� � � i �m   s �  d � i � �  d � i � i �  l � i � i � � � � � i �m   s �  d � i � �  d � i � i �  l � i � i � � � 
</file>

<file path=customXml/item17.xml>�� �� �i   t �� � �� �t   � � �  l � � �  l �� �  t � � � � � �i    �  l �  i � �� i � �� �i    i � �� iy   k � � � i � �  d � i �m   s �  d � i � �  l � i � i � i � � 
</file>

<file path=customXml/item18.xml>�� �n   �u   t � �n   �u   t � �  �u   t � �i   h � �  �  �u   t � �   � �n   �u   t � �n   �u   t � �  �u   t � �i   h � �  �  �u   t � �   � 
</file>

<file path=customXml/item19.xml>�� 
</file>

<file path=customXml/item20.xml>�� 
</file>

<file path=customXml/item21.xml>�� 
</file>

<file path=customXml/item22.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23.xml>�� 
</file>

<file path=customXml/item24.xml>�� �� �i   t �� � �� �t   � � �  l � � �  l �� �  t � � �� �i   t �� � �� �t   � � �  l � � �  l �� �  t � � 
</file>

<file path=customXml/item25.xml>�� �  l � �  l � 
</file>

<file path=customXml/item26.xml>�� �  �c   t � �  l � �� � � �  �c   t � �  l � �� � � 
</file>

<file path=customXml/item27.xml>�� 
</file>

<file path=customXml/item28.xml>�� 
</file>

<file path=customXml/item29.xml>��   
</file>

<file path=customXml/item30.xml>�� 
</file>

<file path=customXml/item31.xml>�� 
</file>

<file path=customXml/item32.xml>��   
</file>

<file path=customXml/item33.xml>�� 
</file>

<file path=customXml/item34.xml>�� �  �  
</file>

<file path=customXml/item35.xml>�� 
</file>

<file path=customXml/item36.xml>�� �  p h � �c   n  � �� � � �  p h � �c   n  � �� � � 
</file>

<file path=customXml/item37.xml>�� 
</file>

<file path=customXml/item38.xml>�� 
</file>

<file path=customXml/item39.xml>��   
</file>

<file path=customXml/itemProps1.xml><?xml version="1.0" encoding="utf-8"?>
<ds:datastoreItem xmlns:ds="http://schemas.openxmlformats.org/officeDocument/2006/customXml" ds:itemID="{98B80107-AA68-4609-A366-36F96C6439A0}">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4BA9E5F1-90AC-490B-B178-7C8B339E1A47}">
  <ds:schemaRefs/>
</ds:datastoreItem>
</file>

<file path=customXml/itemProps8.xml><?xml version="1.0" encoding="utf-8"?>
<ds:datastoreItem xmlns:ds="http://schemas.openxmlformats.org/officeDocument/2006/customXml" ds:itemID="{104A6CAF-8CC0-4F12-8051-31E2340CC4C2}">
  <ds:schemaRefs/>
</ds:datastoreItem>
</file>

<file path=customXml/itemProps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0.xml><?xml version="1.0" encoding="utf-8"?>
<ds:datastoreItem xmlns:ds="http://schemas.openxmlformats.org/officeDocument/2006/customXml" ds:itemID="{54E9EFD9-4ADE-483F-99DC-BE300DD808F5}">
  <ds:schemaRefs/>
</ds:datastoreItem>
</file>

<file path=customXml/itemProps11.xml><?xml version="1.0" encoding="utf-8"?>
<ds:datastoreItem xmlns:ds="http://schemas.openxmlformats.org/officeDocument/2006/customXml" ds:itemID="{FE01E5A0-CB3B-4248-B24B-10866701B12E}">
  <ds:schemaRefs/>
</ds:datastoreItem>
</file>

<file path=customXml/itemProps12.xml><?xml version="1.0" encoding="utf-8"?>
<ds:datastoreItem xmlns:ds="http://schemas.openxmlformats.org/officeDocument/2006/customXml" ds:itemID="{15A5E9E7-8554-4C17-8FCE-88C5899190B5}">
  <ds:schemaRefs/>
</ds:datastoreItem>
</file>

<file path=customXml/itemProps13.xml><?xml version="1.0" encoding="utf-8"?>
<ds:datastoreItem xmlns:ds="http://schemas.openxmlformats.org/officeDocument/2006/customXml" ds:itemID="{DCB004C1-5EE9-4B56-A258-84F27AF38044}">
  <ds:schemaRefs/>
</ds:datastoreItem>
</file>

<file path=customXml/itemProps14.xml><?xml version="1.0" encoding="utf-8"?>
<ds:datastoreItem xmlns:ds="http://schemas.openxmlformats.org/officeDocument/2006/customXml" ds:itemID="{0963777B-CFFB-4DDF-893D-16F7CE31B3A1}">
  <ds:schemaRefs/>
</ds:datastoreItem>
</file>

<file path=customXml/itemProps15.xml><?xml version="1.0" encoding="utf-8"?>
<ds:datastoreItem xmlns:ds="http://schemas.openxmlformats.org/officeDocument/2006/customXml" ds:itemID="{C4CC0617-BFEA-4DF8-ABC8-0B8F30C2A6C9}">
  <ds:schemaRefs/>
</ds:datastoreItem>
</file>

<file path=customXml/itemProps16.xml><?xml version="1.0" encoding="utf-8"?>
<ds:datastoreItem xmlns:ds="http://schemas.openxmlformats.org/officeDocument/2006/customXml" ds:itemID="{88CE6D8F-4771-427B-9B8E-F13E79EEB158}">
  <ds:schemaRefs/>
</ds:datastoreItem>
</file>

<file path=customXml/itemProps17.xml><?xml version="1.0" encoding="utf-8"?>
<ds:datastoreItem xmlns:ds="http://schemas.openxmlformats.org/officeDocument/2006/customXml" ds:itemID="{75340984-CF43-4FFE-A3F8-1751760F3610}">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70AFF7DD-0823-472B-8361-67EB6E8699A8}">
  <ds:schemaRefs/>
</ds:datastoreItem>
</file>

<file path=customXml/itemProps2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50481BFD-C33B-4BF9-A694-F55AC52AD87D}">
  <ds:schemaRefs/>
</ds:datastoreItem>
</file>

<file path=customXml/itemProps23.xml><?xml version="1.0" encoding="utf-8"?>
<ds:datastoreItem xmlns:ds="http://schemas.openxmlformats.org/officeDocument/2006/customXml" ds:itemID="{89775CD4-09D5-421A-9D4F-B5BBE125CD96}">
  <ds:schemaRefs/>
</ds:datastoreItem>
</file>

<file path=customXml/itemProps2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5.xml><?xml version="1.0" encoding="utf-8"?>
<ds:datastoreItem xmlns:ds="http://schemas.openxmlformats.org/officeDocument/2006/customXml" ds:itemID="{36AB8F46-78D3-413A-86E7-07CEA24DFF43}">
  <ds:schemaRefs/>
</ds:datastoreItem>
</file>

<file path=customXml/itemProps26.xml><?xml version="1.0" encoding="utf-8"?>
<ds:datastoreItem xmlns:ds="http://schemas.openxmlformats.org/officeDocument/2006/customXml" ds:itemID="{F5DCB516-7770-45AD-8B12-54D86C4B9AA3}">
  <ds:schemaRefs/>
</ds:datastoreItem>
</file>

<file path=customXml/itemProps27.xml><?xml version="1.0" encoding="utf-8"?>
<ds:datastoreItem xmlns:ds="http://schemas.openxmlformats.org/officeDocument/2006/customXml" ds:itemID="{9CDC12DA-9C31-4DE6-BE85-0BB6158143CE}">
  <ds:schemaRefs/>
</ds:datastoreItem>
</file>

<file path=customXml/itemProps28.xml><?xml version="1.0" encoding="utf-8"?>
<ds:datastoreItem xmlns:ds="http://schemas.openxmlformats.org/officeDocument/2006/customXml" ds:itemID="{E9CE7EF9-DCF8-401D-90D4-B25D6D156F5B}">
  <ds:schemaRefs/>
</ds:datastoreItem>
</file>

<file path=customXml/itemProps29.xml><?xml version="1.0" encoding="utf-8"?>
<ds:datastoreItem xmlns:ds="http://schemas.openxmlformats.org/officeDocument/2006/customXml" ds:itemID="{A849B9D7-188B-48DA-AB5B-54583621621D}">
  <ds:schemaRefs/>
</ds:datastoreItem>
</file>

<file path=customXml/itemProps3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1.xml><?xml version="1.0" encoding="utf-8"?>
<ds:datastoreItem xmlns:ds="http://schemas.openxmlformats.org/officeDocument/2006/customXml" ds:itemID="{C0C7F0F1-9DE9-4CF0-B89B-1CE6391E889D}">
  <ds:schemaRefs/>
</ds:datastoreItem>
</file>

<file path=customXml/itemProps32.xml><?xml version="1.0" encoding="utf-8"?>
<ds:datastoreItem xmlns:ds="http://schemas.openxmlformats.org/officeDocument/2006/customXml" ds:itemID="{0B9C3544-1C46-45A4-BEB6-1CE4D6559900}">
  <ds:schemaRefs/>
</ds:datastoreItem>
</file>

<file path=customXml/itemProps33.xml><?xml version="1.0" encoding="utf-8"?>
<ds:datastoreItem xmlns:ds="http://schemas.openxmlformats.org/officeDocument/2006/customXml" ds:itemID="{45DB80E2-A51E-4CEC-B0CA-60E3BEC194D7}">
  <ds:schemaRefs/>
</ds:datastoreItem>
</file>

<file path=customXml/itemProps3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5.xml><?xml version="1.0" encoding="utf-8"?>
<ds:datastoreItem xmlns:ds="http://schemas.openxmlformats.org/officeDocument/2006/customXml" ds:itemID="{89CCDA3E-0138-4C86-A3D4-25D5D8C36E2B}">
  <ds:schemaRefs/>
</ds:datastoreItem>
</file>

<file path=customXml/itemProps36.xml><?xml version="1.0" encoding="utf-8"?>
<ds:datastoreItem xmlns:ds="http://schemas.openxmlformats.org/officeDocument/2006/customXml" ds:itemID="{34C35EB9-23C6-44D6-9F88-C21CF0F250D6}">
  <ds:schemaRefs/>
</ds:datastoreItem>
</file>

<file path=customXml/itemProps37.xml><?xml version="1.0" encoding="utf-8"?>
<ds:datastoreItem xmlns:ds="http://schemas.openxmlformats.org/officeDocument/2006/customXml" ds:itemID="{D1BB6726-4DFB-42C2-B867-D69CD1FF98A6}">
  <ds:schemaRefs/>
</ds:datastoreItem>
</file>

<file path=customXml/itemProps38.xml><?xml version="1.0" encoding="utf-8"?>
<ds:datastoreItem xmlns:ds="http://schemas.openxmlformats.org/officeDocument/2006/customXml" ds:itemID="{2DFB86E0-7EB3-4A82-ACC3-F3BA60086CBC}">
  <ds:schemaRefs/>
</ds:datastoreItem>
</file>

<file path=customXml/itemProps39.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2025-06-10T03:59:59Z</dcterms:modified>
  <cp:category/>
  <cp:contentStatus/>
</cp:coreProperties>
</file>