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44BBCDD4-AC23-4967-9018-F9BA912D3735}"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Tích điểm khách hàng" sheetId="82" r:id="rId3"/>
  </sheets>
  <functionGroups builtInGroupCount="19"/>
  <definedNames>
    <definedName name="_xlcn.WorksheetConnection_03.EASYBH01.xlsmTable_DonBan1" hidden="1">Table_DonBan[]</definedName>
    <definedName name="_xlcn.WorksheetConnection_03.EASYBH01.xlsmTable_KHThanThiet_ChinhSach1" hidden="1">Table_KHThanThiet_ChinhSach[]</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HieuLuc">'Tích điểm khách hàng'!$Q$2</definedName>
    <definedName name="KHThanThiet_SoNgay">'Tích điểm khách hàng'!$Q$1</definedName>
    <definedName name="Ma_SKU" localSheetId="2">#REF!</definedName>
    <definedName name="Ma_SKU">#REF!</definedName>
    <definedName name="MaChuongTrinh" localSheetId="2">#REF!</definedName>
    <definedName name="MaChuongTrinh">#REF!</definedName>
    <definedName name="MaCoDong" localSheetId="2">#REF!</definedName>
    <definedName name="MaCoDong">#REF!</definedName>
    <definedName name="MaDauTu" localSheetId="2">#REF!</definedName>
    <definedName name="MaDauTu">#REF!</definedName>
    <definedName name="MaDonBan" localSheetId="2">#REF!</definedName>
    <definedName name="MaDonBan">#REF!</definedName>
    <definedName name="MaDonMua" localSheetId="2">#REF!</definedName>
    <definedName name="MaDonMua">#REF!</definedName>
    <definedName name="MaIn">#REF!</definedName>
    <definedName name="MaKenh" localSheetId="2">#REF!</definedName>
    <definedName name="MaKenh">#REF!</definedName>
    <definedName name="MaKhachHang" localSheetId="2">#REF!</definedName>
    <definedName name="MaKhachHang">#REF!</definedName>
    <definedName name="MaKho" localSheetId="2">#REF!</definedName>
    <definedName name="MaKho">#REF!</definedName>
    <definedName name="MaKhoanVay" localSheetId="2">#REF!</definedName>
    <definedName name="MaKhoanVay">#REF!</definedName>
    <definedName name="MaNguyenLieu" localSheetId="2">#REF!</definedName>
    <definedName name="MaNguyenLieu">#REF!</definedName>
    <definedName name="MaNhaCungCap" localSheetId="2">#REF!</definedName>
    <definedName name="MaNhaCungCap">#REF!</definedName>
    <definedName name="MaNhanVien" localSheetId="2">#REF!</definedName>
    <definedName name="MaNhanVien">#REF!</definedName>
    <definedName name="MaTaiKhoan" localSheetId="2">#REF!</definedName>
    <definedName name="MaTaiKhoan">#REF!</definedName>
    <definedName name="MaTaiSan" localSheetId="2">#REF!</definedName>
    <definedName name="MaTaiSan">#REF!</definedName>
    <definedName name="MaThuChi" localSheetId="2">#REF!</definedName>
    <definedName name="MaThuChi">#REF!</definedName>
    <definedName name="MaVanDon" localSheetId="2">#REF!</definedName>
    <definedName name="MaVanDon">#REF!</definedName>
    <definedName name="MaViTri">#REF!</definedName>
    <definedName name="NhomChiPhi" localSheetId="2">#REF!</definedName>
    <definedName name="NhomChiPhi">#REF!</definedName>
    <definedName name="NoiDungGDKD" localSheetId="2">#REF!</definedName>
    <definedName name="NoiDungGDKD">#REF!</definedName>
    <definedName name="NoiDungGDTC" localSheetId="2">#REF!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 localSheetId="2">#REF!</definedName>
    <definedName name="SKU_Nhom1">#REF!</definedName>
    <definedName name="SKU_Nhom2" localSheetId="2">#REF!</definedName>
    <definedName name="SKU_Nhom2">#REF!</definedName>
    <definedName name="SKU_Nhom3" localSheetId="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 cacheId="1"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KHThanThiet_ChinhSach" name="Table_KHThanThiet_ChinhSach" connection="WorksheetConnection_03. EASY-BH01.xlsm!Table_KHThanThiet_ChinhSach"/>
          <x15:modelTable id="Table_DonBan" name="Table_DonBan" connection="WorksheetConnection_03. EASY-BH01.xlsm!Table_DonBan"/>
        </x15:modelTables>
        <x15:modelRelationships>
          <x15:modelRelationship fromTable="Table_DonBan" fromColumn="Tỷ lệ tính điểm" toTable="Table_KHThanThiet_ChinhSach" toColumn="Tỷ lệ điểm thưởng"/>
        </x15:modelRelationships>
        <x15:extLst>
          <ext xmlns:x16="http://schemas.microsoft.com/office/spreadsheetml/2014/11/main" uri="{9835A34E-60A6-4A7C-AAB8-D5F71C897F49}">
            <x16:modelTimeGroupings>
              <x16:modelTimeGrouping tableName="Table_DonBan" columnName="Ngày lập" columnId="Ngày lập">
                <x16:calculatedTimeColumn columnName="Ngày lập (Month Index)" columnId="Ngày lập (Month Index)" contentType="monthsindex" isSelected="1"/>
                <x16:calculatedTimeColumn columnName="Ngày lập (Month)" columnId="Ngày lập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2" l="1" a="1"/>
  <c r="W11" i="82" s="1"/>
  <c r="U39" i="82" l="1"/>
  <c r="U23" i="82"/>
  <c r="U24" i="82"/>
  <c r="U25" i="82"/>
  <c r="U26" i="82"/>
  <c r="U27" i="82"/>
  <c r="U28" i="82"/>
  <c r="U29" i="82"/>
  <c r="U30" i="82"/>
  <c r="U31" i="82"/>
  <c r="U32" i="82"/>
  <c r="U33" i="82"/>
  <c r="U34" i="82"/>
  <c r="U35" i="82"/>
  <c r="U36" i="82"/>
  <c r="U37" i="82"/>
  <c r="U38" i="82"/>
  <c r="U40" i="82"/>
  <c r="U41" i="82"/>
  <c r="U42" i="82"/>
  <c r="U43" i="82"/>
  <c r="U44" i="82"/>
  <c r="U45" i="82"/>
  <c r="U46" i="82"/>
  <c r="U47" i="82"/>
  <c r="U48" i="82"/>
  <c r="U49" i="82"/>
  <c r="U50" i="82"/>
  <c r="U51" i="82"/>
  <c r="U52" i="82"/>
  <c r="U53" i="82"/>
  <c r="U54" i="82"/>
  <c r="V54" i="82" s="1" a="1"/>
  <c r="V54" i="82" s="1"/>
  <c r="U55" i="82"/>
  <c r="U56" i="82"/>
  <c r="U57" i="82"/>
  <c r="U58" i="82"/>
  <c r="U59" i="82"/>
  <c r="U60" i="82"/>
  <c r="U61" i="82"/>
  <c r="V61" i="82" s="1" a="1"/>
  <c r="V61" i="82" s="1"/>
  <c r="U62" i="82"/>
  <c r="U63" i="82"/>
  <c r="U64" i="82"/>
  <c r="U65" i="82"/>
  <c r="V65" i="82" s="1" a="1"/>
  <c r="V65" i="82" s="1"/>
  <c r="W65" i="82" s="1" a="1"/>
  <c r="W65" i="82" s="1"/>
  <c r="X65" i="82" s="1"/>
  <c r="S65" i="82" s="1" a="1"/>
  <c r="S65" i="82" s="1"/>
  <c r="W8" i="82" l="1" a="1"/>
  <c r="W8" i="82" s="1"/>
  <c r="V42" i="82" a="1"/>
  <c r="V42" i="82" s="1"/>
  <c r="W42" i="82" s="1" a="1"/>
  <c r="W42" i="82" s="1"/>
  <c r="X42" i="82" s="1"/>
  <c r="V40" i="82" a="1"/>
  <c r="V40" i="82" s="1"/>
  <c r="W40" i="82" s="1" a="1"/>
  <c r="W40" i="82" s="1"/>
  <c r="X40" i="82" s="1"/>
  <c r="V27" i="82" a="1"/>
  <c r="V27" i="82" s="1"/>
  <c r="W27" i="82" s="1" a="1"/>
  <c r="W27" i="82" s="1"/>
  <c r="X27" i="82" s="1"/>
  <c r="V52" i="82" a="1"/>
  <c r="V52" i="82" s="1"/>
  <c r="W52" i="82" s="1" a="1"/>
  <c r="W52" i="82" s="1"/>
  <c r="X52" i="82" s="1"/>
  <c r="V29" i="82" a="1"/>
  <c r="V29" i="82" s="1"/>
  <c r="W29" i="82" s="1" a="1"/>
  <c r="W29" i="82" s="1"/>
  <c r="X29" i="82" s="1"/>
  <c r="V53" i="82" a="1"/>
  <c r="V53" i="82" s="1"/>
  <c r="W53" i="82" s="1" a="1"/>
  <c r="W53" i="82" s="1"/>
  <c r="X53" i="82" s="1"/>
  <c r="V41" i="82" a="1"/>
  <c r="V41" i="82" s="1"/>
  <c r="W41" i="82" s="1" a="1"/>
  <c r="W41" i="82" s="1"/>
  <c r="X41" i="82" s="1"/>
  <c r="V28" i="82" a="1"/>
  <c r="V28" i="82" s="1"/>
  <c r="W28" i="82" s="1" a="1"/>
  <c r="W28" i="82" s="1"/>
  <c r="X28" i="82" s="1"/>
  <c r="V51" i="82" a="1"/>
  <c r="V51" i="82" s="1"/>
  <c r="W51" i="82" s="1" a="1"/>
  <c r="W51" i="82" s="1"/>
  <c r="X51" i="82" s="1"/>
  <c r="S51" i="82" s="1" a="1"/>
  <c r="S51" i="82" s="1"/>
  <c r="V38" i="82" a="1"/>
  <c r="V38" i="82" s="1"/>
  <c r="W38" i="82" s="1" a="1"/>
  <c r="W38" i="82" s="1"/>
  <c r="X38" i="82" s="1"/>
  <c r="V62" i="82" a="1"/>
  <c r="V62" i="82" s="1"/>
  <c r="W62" i="82" s="1" a="1"/>
  <c r="W62" i="82" s="1"/>
  <c r="X62" i="82" s="1"/>
  <c r="V64" i="82" a="1"/>
  <c r="V64" i="82" s="1"/>
  <c r="W64" i="82" s="1" a="1"/>
  <c r="W64" i="82" s="1"/>
  <c r="X64" i="82" s="1"/>
  <c r="V25" i="82" a="1"/>
  <c r="V25" i="82" s="1"/>
  <c r="W25" i="82" s="1" a="1"/>
  <c r="W25" i="82" s="1"/>
  <c r="V49" i="82" a="1"/>
  <c r="V49" i="82" s="1"/>
  <c r="W49" i="82" s="1" a="1"/>
  <c r="W49" i="82" s="1"/>
  <c r="X49" i="82" s="1"/>
  <c r="V60" i="82" a="1"/>
  <c r="V60" i="82" s="1"/>
  <c r="W60" i="82" s="1" a="1"/>
  <c r="W60" i="82" s="1"/>
  <c r="X60" i="82" s="1"/>
  <c r="V59" i="82" a="1"/>
  <c r="V59" i="82" s="1"/>
  <c r="W59" i="82" s="1" a="1"/>
  <c r="W59" i="82" s="1"/>
  <c r="X59" i="82" s="1"/>
  <c r="V46" i="82" a="1"/>
  <c r="V46" i="82" s="1"/>
  <c r="W46" i="82" s="1" a="1"/>
  <c r="W46" i="82" s="1"/>
  <c r="X46" i="82" s="1"/>
  <c r="V57" i="82" a="1"/>
  <c r="V57" i="82" s="1"/>
  <c r="W57" i="82" s="1" a="1"/>
  <c r="W57" i="82" s="1"/>
  <c r="X57" i="82" s="1"/>
  <c r="S57" i="82" s="1" a="1"/>
  <c r="S57" i="82" s="1"/>
  <c r="V45" i="82" a="1"/>
  <c r="V45" i="82" s="1"/>
  <c r="W45" i="82" s="1" a="1"/>
  <c r="W45" i="82" s="1"/>
  <c r="X45" i="82" s="1"/>
  <c r="V32" i="82" a="1"/>
  <c r="V32" i="82" s="1"/>
  <c r="W32" i="82" s="1" a="1"/>
  <c r="W32" i="82" s="1"/>
  <c r="X32" i="82" s="1"/>
  <c r="V24" i="82" a="1"/>
  <c r="V24" i="82" s="1"/>
  <c r="W24" i="82" s="1" a="1"/>
  <c r="W24" i="82" s="1"/>
  <c r="X24" i="82" s="1"/>
  <c r="V23" i="82" a="1"/>
  <c r="V23" i="82" s="1"/>
  <c r="W23" i="82" s="1" a="1"/>
  <c r="W23" i="82" s="1"/>
  <c r="X23" i="82" s="1"/>
  <c r="V47" i="82" a="1"/>
  <c r="V47" i="82" s="1"/>
  <c r="W47" i="82" s="1" a="1"/>
  <c r="W47" i="82" s="1"/>
  <c r="X47" i="82" s="1"/>
  <c r="W54" i="82" a="1"/>
  <c r="W54" i="82" s="1"/>
  <c r="X54" i="82" s="1"/>
  <c r="V58" i="82" a="1"/>
  <c r="V58" i="82" s="1"/>
  <c r="W58" i="82" s="1" a="1"/>
  <c r="W58" i="82" s="1"/>
  <c r="X58" i="82" s="1"/>
  <c r="V33" i="82" a="1"/>
  <c r="V33" i="82" s="1"/>
  <c r="W33" i="82" s="1" a="1"/>
  <c r="W33" i="82" s="1"/>
  <c r="X33" i="82" s="1"/>
  <c r="V56" i="82" a="1"/>
  <c r="V56" i="82" s="1"/>
  <c r="W56" i="82" s="1" a="1"/>
  <c r="W56" i="82" s="1"/>
  <c r="X56" i="82" s="1"/>
  <c r="V44" i="82" a="1"/>
  <c r="V44" i="82" s="1"/>
  <c r="W44" i="82" s="1" a="1"/>
  <c r="W44" i="82" s="1"/>
  <c r="X44" i="82" s="1"/>
  <c r="V31" i="82" a="1"/>
  <c r="V31" i="82" s="1"/>
  <c r="W31" i="82" s="1" a="1"/>
  <c r="W31" i="82" s="1"/>
  <c r="X31" i="82" s="1"/>
  <c r="V39" i="82" a="1"/>
  <c r="V39" i="82" s="1"/>
  <c r="W39" i="82" s="1" a="1"/>
  <c r="W39" i="82" s="1"/>
  <c r="X39" i="82" s="1"/>
  <c r="V63" i="82" a="1"/>
  <c r="V63" i="82" s="1"/>
  <c r="W63" i="82" s="1" a="1"/>
  <c r="W63" i="82" s="1"/>
  <c r="X63" i="82" s="1"/>
  <c r="S63" i="82" s="1" a="1"/>
  <c r="S63" i="82" s="1"/>
  <c r="V26" i="82" a="1"/>
  <c r="V26" i="82" s="1"/>
  <c r="W26" i="82" s="1" a="1"/>
  <c r="W26" i="82" s="1"/>
  <c r="X26" i="82" s="1"/>
  <c r="V50" i="82" a="1"/>
  <c r="V50" i="82" s="1"/>
  <c r="W50" i="82" s="1" a="1"/>
  <c r="W50" i="82" s="1"/>
  <c r="X50" i="82" s="1"/>
  <c r="S50" i="82" s="1" a="1"/>
  <c r="S50" i="82" s="1"/>
  <c r="V37" i="82" a="1"/>
  <c r="V37" i="82" s="1"/>
  <c r="W37" i="82" s="1" a="1"/>
  <c r="W37" i="82" s="1"/>
  <c r="X37" i="82" s="1"/>
  <c r="V36" i="82" a="1"/>
  <c r="V36" i="82" s="1"/>
  <c r="W36" i="82" s="1" a="1"/>
  <c r="W36" i="82" s="1"/>
  <c r="X36" i="82" s="1"/>
  <c r="V48" i="82" a="1"/>
  <c r="V48" i="82" s="1"/>
  <c r="W48" i="82" s="1" a="1"/>
  <c r="W48" i="82" s="1"/>
  <c r="X48" i="82" s="1"/>
  <c r="V35" i="82" a="1"/>
  <c r="V35" i="82" s="1"/>
  <c r="W35" i="82" s="1" a="1"/>
  <c r="W35" i="82" s="1"/>
  <c r="X35" i="82" s="1"/>
  <c r="V34" i="82" a="1"/>
  <c r="V34" i="82" s="1"/>
  <c r="W34" i="82" s="1" a="1"/>
  <c r="W34" i="82" s="1"/>
  <c r="X34" i="82" s="1"/>
  <c r="V55" i="82" a="1"/>
  <c r="V55" i="82" s="1"/>
  <c r="W55" i="82" s="1" a="1"/>
  <c r="W55" i="82" s="1"/>
  <c r="X55" i="82" s="1"/>
  <c r="V43" i="82" a="1"/>
  <c r="V43" i="82" s="1"/>
  <c r="W43" i="82" s="1" a="1"/>
  <c r="W43" i="82" s="1"/>
  <c r="X43" i="82" s="1"/>
  <c r="V30" i="82" a="1"/>
  <c r="V30" i="82" s="1"/>
  <c r="W30" i="82" s="1" a="1"/>
  <c r="W30" i="82" s="1"/>
  <c r="X30" i="82" s="1"/>
  <c r="W61" i="82" a="1"/>
  <c r="W61" i="82" s="1"/>
  <c r="X61" i="82" s="1"/>
  <c r="S61" i="82" s="1" a="1"/>
  <c r="S61" i="82" s="1"/>
  <c r="S47" i="82" l="1" a="1"/>
  <c r="S47" i="82" s="1"/>
  <c r="S38" i="82" a="1"/>
  <c r="S38" i="82" s="1"/>
  <c r="X25" i="82"/>
  <c r="W17" i="82" s="1" a="1"/>
  <c r="W17" i="82" s="1"/>
  <c r="W15" i="82"/>
  <c r="W9" i="82" a="1"/>
  <c r="W9" i="82" s="1"/>
  <c r="S48" i="82" a="1"/>
  <c r="S48" i="82" s="1"/>
  <c r="S54" i="82" a="1"/>
  <c r="S54" i="82" s="1"/>
  <c r="S53" i="82" a="1"/>
  <c r="S53" i="82" s="1"/>
  <c r="S23" i="82" a="1"/>
  <c r="S23" i="82" s="1"/>
  <c r="S32" i="82" a="1"/>
  <c r="S32" i="82" s="1"/>
  <c r="S45" i="82" a="1"/>
  <c r="S45" i="82" s="1"/>
  <c r="S41" i="82" a="1"/>
  <c r="S41" i="82" s="1"/>
  <c r="S62" i="82" a="1"/>
  <c r="S62" i="82" s="1"/>
  <c r="S64" i="82" a="1"/>
  <c r="S64" i="82" s="1"/>
  <c r="S24" i="82" a="1"/>
  <c r="S24" i="82" s="1"/>
  <c r="S44" i="82" a="1"/>
  <c r="S44" i="82" s="1"/>
  <c r="S59" i="82" a="1"/>
  <c r="S59" i="82" s="1"/>
  <c r="S52" i="82" a="1"/>
  <c r="S52" i="82" s="1"/>
  <c r="S36" i="82" a="1"/>
  <c r="S36" i="82" s="1"/>
  <c r="S37" i="82" a="1"/>
  <c r="S37" i="82" s="1"/>
  <c r="S28" i="82" a="1"/>
  <c r="S28" i="82" s="1"/>
  <c r="S31" i="82" a="1"/>
  <c r="S31" i="82" s="1"/>
  <c r="S43" i="82" a="1"/>
  <c r="S43" i="82" s="1"/>
  <c r="S55" i="82" a="1"/>
  <c r="S55" i="82" s="1"/>
  <c r="S56" i="82" a="1"/>
  <c r="S56" i="82" s="1"/>
  <c r="S60" i="82" a="1"/>
  <c r="S60" i="82" s="1"/>
  <c r="S27" i="82" a="1"/>
  <c r="S27" i="82" s="1"/>
  <c r="S30" i="82" a="1"/>
  <c r="S30" i="82" s="1"/>
  <c r="S29" i="82" a="1"/>
  <c r="S29" i="82" s="1"/>
  <c r="S34" i="82" a="1"/>
  <c r="S34" i="82" s="1"/>
  <c r="S33" i="82" a="1"/>
  <c r="S33" i="82" s="1"/>
  <c r="S49" i="82" a="1"/>
  <c r="S49" i="82" s="1"/>
  <c r="S40" i="82" a="1"/>
  <c r="S40" i="82" s="1"/>
  <c r="S26" i="82" a="1"/>
  <c r="S26" i="82" s="1"/>
  <c r="S39" i="82" a="1"/>
  <c r="S39" i="82" s="1"/>
  <c r="S46" i="82" a="1"/>
  <c r="S46" i="82" s="1"/>
  <c r="S35" i="82" a="1"/>
  <c r="S35" i="82" s="1"/>
  <c r="S58" i="82" a="1"/>
  <c r="S58" i="82" s="1"/>
  <c r="S25" i="82" a="1"/>
  <c r="S25" i="82" s="1"/>
  <c r="W16" i="82" s="1"/>
  <c r="S42" i="82" a="1"/>
  <c r="S42" i="82" s="1"/>
  <c r="M23" i="82"/>
  <c r="M24" i="82"/>
  <c r="M25" i="82"/>
  <c r="M26" i="82"/>
  <c r="M27" i="82"/>
  <c r="M28" i="82"/>
  <c r="N23" i="82" a="1"/>
  <c r="N23" i="82" s="1"/>
  <c r="W10" i="82" l="1"/>
  <c r="W12" i="82"/>
  <c r="N24" i="82" a="1"/>
  <c r="N24" i="82" s="1"/>
  <c r="N28" i="82" a="1"/>
  <c r="N28" i="82" s="1"/>
  <c r="N27" i="82" a="1"/>
  <c r="N27" i="82" s="1"/>
  <c r="N26" i="82" a="1"/>
  <c r="N26" i="82" s="1"/>
  <c r="N25" i="82" a="1"/>
  <c r="N25" i="8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A6F6E75-8680-48E5-BB53-221EE4FEFC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8F83F-09E2-4981-81B1-AA5D2CEAB6C1}" name="WorksheetConnection_03. EASY-BH01.xlsm!Table_DonBan" type="102" refreshedVersion="8" minRefreshableVersion="5">
    <extLst>
      <ext xmlns:x15="http://schemas.microsoft.com/office/spreadsheetml/2010/11/main" uri="{DE250136-89BD-433C-8126-D09CA5730AF9}">
        <x15:connection id="Table_DonBan">
          <x15:rangePr sourceName="_xlcn.WorksheetConnection_03.EASYBH01.xlsmTable_DonBan1"/>
        </x15:connection>
      </ext>
    </extLst>
  </connection>
  <connection id="3" xr16:uid="{8189AC7E-696D-4830-B466-514FE2646E5A}" name="WorksheetConnection_03. EASY-BH01.xlsm!Table_KHThanThiet_ChinhSach" type="102" refreshedVersion="8" minRefreshableVersion="5">
    <extLst>
      <ext xmlns:x15="http://schemas.microsoft.com/office/spreadsheetml/2010/11/main" uri="{DE250136-89BD-433C-8126-D09CA5730AF9}">
        <x15:connection id="Table_KHThanThiet_ChinhSach">
          <x15:rangePr sourceName="_xlcn.WorksheetConnection_03.EASYBH01.xlsmTable_KHThanThiet_ChinhSach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Table_DonBan].[Mã Khách].[All]}"/>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<sst xmlns="http://schemas.openxmlformats.org/spreadsheetml/2006/main" count="130" uniqueCount="76">
  <si>
    <t>Bên A</t>
  </si>
  <si>
    <t>Công ty TNHH Tư vấn Quản trị FIRM</t>
  </si>
  <si>
    <t>[Địa chỉ]</t>
  </si>
  <si>
    <t>[Mã số thuế]</t>
  </si>
  <si>
    <t>[SĐT - Fax]</t>
  </si>
  <si>
    <t>[Website - Page]</t>
  </si>
  <si>
    <t>[STK - Ngân hàng]</t>
  </si>
  <si>
    <t>Bên B</t>
  </si>
  <si>
    <t>Công ty ABC XYZ</t>
  </si>
  <si>
    <t>ID</t>
  </si>
  <si>
    <t>License</t>
  </si>
  <si>
    <t>Mã Khách</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</si>
  <si>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</si>
  <si>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</si>
  <si>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</si>
  <si>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</si>
  <si>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</si>
  <si>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</si>
  <si>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</si>
  <si>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</si>
  <si>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</si>
  <si>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</si>
  <si>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</si>
  <si>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</si>
  <si>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</si>
  <si>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Doanh thu ròng</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</si>
  <si>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</si>
  <si>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</si>
  <si>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</si>
  <si>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</si>
  <si>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</si>
  <si>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</si>
  <si>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</si>
  <si>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</si>
  <si>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</si>
  <si>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</si>
  <si>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</si>
  <si>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</si>
  <si>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</si>
  <si>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</si>
  <si>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</si>
  <si>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</si>
  <si>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</si>
  <si>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</si>
  <si>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</si>
  <si>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</si>
  <si>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</si>
  <si>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</si>
  <si>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Điểm tích lũy</t>
  </si>
  <si>
    <t>KH1</t>
  </si>
  <si>
    <t>KH4</t>
  </si>
  <si>
    <t>KH2</t>
  </si>
  <si>
    <t>KH3</t>
  </si>
  <si>
    <t>Tiền hàng</t>
  </si>
  <si>
    <t>Tỷ lệ tính điểm</t>
  </si>
  <si>
    <t>Thời hạn hiệu lực</t>
  </si>
  <si>
    <t>Ngày lập</t>
  </si>
  <si>
    <t>Row Labels</t>
  </si>
  <si>
    <t>Grand Total</t>
  </si>
  <si>
    <t>Apr</t>
  </si>
  <si>
    <t>May</t>
  </si>
  <si>
    <t>Tỷ lệ tích điểm</t>
  </si>
  <si>
    <t>Tỷ lệ dùng điểm</t>
  </si>
  <si>
    <t>GIAI ĐOẠN</t>
  </si>
  <si>
    <t>ĐẾN</t>
  </si>
  <si>
    <t>DOANH THU</t>
  </si>
  <si>
    <t>TỔNG SỐ ĐIỂM TÍCH</t>
  </si>
  <si>
    <t>TỶ LỆ TÍCH ĐIỂM</t>
  </si>
  <si>
    <t>TỶ LỆ SỬ DỤNG ĐIỂM</t>
  </si>
  <si>
    <t>MÃ KHÁCH</t>
  </si>
  <si>
    <t>CẤP HIỆN TẠI</t>
  </si>
  <si>
    <t>ĐIỂM KHẢ DỤNG</t>
  </si>
  <si>
    <t>TỔNG ĐIỂM SỬ DỤNG</t>
  </si>
  <si>
    <t>4C68A711-89BE-412A-BD2D-CB33771CC62D</t>
  </si>
  <si>
    <t>EASY-33329183463</t>
  </si>
  <si>
    <t>BH01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</si>
</sst>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_(* \(#,##0.00\);_(* &quot;-&quot;??_);_(@_)"/>
    <numFmt numFmtId="164" formatCode="_(* #,##0_);_(* \(#,##0\);_(* &quot;-&quot;??_);_(@_)"/>
    <numFmt numFmtId="165" formatCode="_(* #,##0.0000_);_(* \(#,##0.0000\);_(* &quot;-&quot;??_);_(@_)"/>
    <numFmt numFmtId="166" formatCode="[$-1010000]d/m/yyyy;@"/>
    <numFmt numFmtId="167" formatCode="_(#,##0_);_(\(#,##0\);_(\-_);_(@_)"/>
    <numFmt numFmtId="168" formatCode="dd/mm/yyyy"/>
    <numFmt numFmtId="169" formatCode="0.0%"/>
  </numFmts>
  <fonts count="17"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b/>
      <sz val="14"/>
      <color theme="6"/>
      <name val="Segoe UI Light"/>
      <family val="2"/>
      <scheme val="minor"/>
    </font>
    <font>
      <b/>
      <sz val="12"/>
      <color theme="9" tint="-0.499984740745262"/>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2">
    <border>
      <left/>
      <right/>
      <top/>
      <bottom/>
      <diagonal/>
    </border>
    <border>
      <left/>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vertical="center"/>
      <protection locked="0" hidden="1"/>
    </xf>
    <xf numFmtId="164" fontId="7" fillId="0" borderId="0" xfId="1" applyNumberFormat="1" applyFont="1" applyAlignment="1" applyProtection="1">
      <alignment vertical="center"/>
      <protection locked="0" hidden="1"/>
    </xf>
    <xf numFmtId="0" fontId="0" fillId="0" borderId="0" xfId="0" applyProtection="1">
      <protection locked="0" hidden="1"/>
    </xf>
    <xf numFmtId="9" fontId="5" fillId="0" borderId="0" xfId="2" applyFont="1" applyAlignment="1" applyProtection="1">
      <alignment vertical="center"/>
      <protection locked="0" hidden="1"/>
    </xf>
    <xf numFmtId="0" fontId="8" fillId="0" borderId="0" xfId="0" applyFont="1" applyAlignment="1" applyProtection="1">
      <alignment vertical="center"/>
      <protection locked="0" hidden="1"/>
    </xf>
    <xf numFmtId="165" fontId="8" fillId="0" borderId="0" xfId="0" applyNumberFormat="1"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1" fillId="0" borderId="0" xfId="0" applyFont="1" applyAlignment="1" applyProtection="1">
      <alignment horizontal="right" vertical="center"/>
      <protection locked="0"/>
    </xf>
    <xf numFmtId="0" fontId="1" fillId="0" borderId="0" xfId="0" applyFont="1" applyAlignment="1">
      <alignment horizontal="left" vertical="center"/>
    </xf>
    <xf numFmtId="0" fontId="10"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0" fillId="0" borderId="0" xfId="0" applyNumberFormat="1" applyAlignment="1" applyProtection="1">
      <alignment vertical="center"/>
      <protection locked="0"/>
    </xf>
    <xf numFmtId="167" fontId="9"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9"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8" fontId="6" fillId="0" borderId="1" xfId="0" applyNumberFormat="1" applyFont="1" applyBorder="1" applyAlignment="1" applyProtection="1">
      <alignment vertical="center"/>
      <protection locked="0" hidden="1"/>
    </xf>
    <xf numFmtId="164" fontId="7" fillId="0" borderId="0" xfId="1" applyNumberFormat="1" applyFont="1" applyFill="1" applyBorder="1" applyAlignment="1" applyProtection="1">
      <alignment vertical="center"/>
      <protection locked="0" hidden="1"/>
    </xf>
    <xf numFmtId="164" fontId="5" fillId="2" borderId="0" xfId="1" applyNumberFormat="1" applyFont="1" applyFill="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vertical="center"/>
      <protection locked="0" hidden="1"/>
    </xf>
    <xf numFmtId="164" fontId="7" fillId="0" borderId="0" xfId="1" applyNumberFormat="1" applyFont="1" applyFill="1" applyAlignment="1" applyProtection="1">
      <alignment vertical="center"/>
      <protection locked="0" hidden="1"/>
    </xf>
    <xf numFmtId="167" fontId="6" fillId="0" borderId="0" xfId="0" applyNumberFormat="1" applyFont="1" applyAlignment="1" applyProtection="1">
      <alignment vertical="center"/>
      <protection locked="0" hidden="1"/>
    </xf>
    <xf numFmtId="167" fontId="6" fillId="0" borderId="1" xfId="0" applyNumberFormat="1" applyFont="1" applyBorder="1" applyAlignment="1" applyProtection="1">
      <alignment vertical="center"/>
      <protection locked="0" hidden="1"/>
    </xf>
    <xf numFmtId="9" fontId="7" fillId="0" borderId="0" xfId="2" applyFont="1" applyAlignment="1" applyProtection="1">
      <alignment vertical="center"/>
      <protection locked="0" hidden="1"/>
    </xf>
    <xf numFmtId="164" fontId="7" fillId="0" borderId="0" xfId="0" applyNumberFormat="1" applyFont="1" applyAlignment="1" applyProtection="1">
      <alignment vertical="center"/>
      <protection locked="0" hidden="1"/>
    </xf>
    <xf numFmtId="0" fontId="0" fillId="0" borderId="0" xfId="0" pivotButton="1"/>
    <xf numFmtId="169" fontId="0" fillId="0" borderId="0" xfId="0" applyNumberFormat="1"/>
    <xf numFmtId="0" fontId="15" fillId="0" borderId="0" xfId="0" applyFont="1" applyProtection="1">
      <protection locked="0" hidden="1"/>
    </xf>
    <xf numFmtId="166" fontId="16" fillId="2" borderId="0" xfId="0" applyNumberFormat="1" applyFont="1" applyFill="1" applyAlignment="1" applyProtection="1">
      <alignment horizontal="center" vertical="center"/>
      <protection locked="0" hidden="1"/>
    </xf>
    <xf numFmtId="0" fontId="15" fillId="0" borderId="0" xfId="0" applyFont="1" applyAlignment="1" applyProtection="1">
      <alignment horizontal="center"/>
      <protection locked="0" hidden="1"/>
    </xf>
    <xf numFmtId="0" fontId="16" fillId="2" borderId="0" xfId="0" applyFont="1" applyFill="1" applyAlignment="1" applyProtection="1">
      <alignment horizontal="center" vertical="center"/>
      <protection locked="0" hidden="1"/>
    </xf>
    <xf numFmtId="0" fontId="16" fillId="0" borderId="0" xfId="0" applyFont="1" applyAlignment="1" applyProtection="1">
      <alignment horizontal="center" vertical="center"/>
      <protection locked="0" hidden="1"/>
    </xf>
    <xf numFmtId="3" fontId="16" fillId="0" borderId="0" xfId="1" applyNumberFormat="1" applyFont="1" applyAlignment="1" applyProtection="1">
      <alignment horizontal="center" vertical="center"/>
      <protection locked="0" hidden="1"/>
    </xf>
    <xf numFmtId="169" fontId="16" fillId="0" borderId="0" xfId="2" applyNumberFormat="1" applyFont="1" applyAlignment="1" applyProtection="1">
      <alignment horizontal="center" vertical="center"/>
      <protection locked="0" hidden="1"/>
    </xf>
  </cellXfs>
  <cellStyles count="3">
    <cellStyle name="Comma" xfId="1" builtinId="3"/>
    <cellStyle name="Normal" xfId="0" builtinId="0"/>
    <cellStyle name="Percent" xfId="2" builtinId="5"/>
  </cellStyles>
  <dxfs count="27">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7"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6"/>
      <tableStyleElement type="headerRow" dxfId="25"/>
    </tableStyle>
    <tableStyle name="SlicerStyleLight1 2 2" pivot="0" table="0" count="10" xr9:uid="{9DB8D611-4D15-4128-AF8D-E3329BCC5BCE}">
      <tableStyleElement type="wholeTable" dxfId="24"/>
      <tableStyleElement type="headerRow" dxfId="23"/>
    </tableStyle>
    <tableStyle name="TimeSlicerStyleLight1 2" pivot="0" table="0" count="9" xr9:uid="{58382D9D-B456-41C4-B229-09D2A872184E}">
      <tableStyleElement type="wholeTable" dxfId="22"/>
      <tableStyleElement type="headerRow" dxfId="21"/>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9" Type="http://schemas.openxmlformats.org/officeDocument/2006/relationships/customXml" Target="../customXml/item27.xml"/><Relationship Id="rId21" Type="http://schemas.openxmlformats.org/officeDocument/2006/relationships/customXml" Target="../customXml/item9.xml"/><Relationship Id="rId34" Type="http://schemas.openxmlformats.org/officeDocument/2006/relationships/customXml" Target="../customXml/item22.xml"/><Relationship Id="rId42" Type="http://schemas.openxmlformats.org/officeDocument/2006/relationships/customXml" Target="../customXml/item30.xml"/><Relationship Id="rId47" Type="http://schemas.openxmlformats.org/officeDocument/2006/relationships/customXml" Target="../customXml/item35.xml"/><Relationship Id="rId50" Type="http://schemas.openxmlformats.org/officeDocument/2006/relationships/customXml" Target="../customXml/item38.xml"/><Relationship Id="rId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customXml" Target="../customXml/item4.xml"/><Relationship Id="rId29" Type="http://schemas.openxmlformats.org/officeDocument/2006/relationships/customXml" Target="../customXml/item17.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37" Type="http://schemas.openxmlformats.org/officeDocument/2006/relationships/customXml" Target="../customXml/item25.xml"/><Relationship Id="rId40" Type="http://schemas.openxmlformats.org/officeDocument/2006/relationships/customXml" Target="../customXml/item28.xml"/><Relationship Id="rId45" Type="http://schemas.openxmlformats.org/officeDocument/2006/relationships/customXml" Target="../customXml/item33.xml"/><Relationship Id="rId5" Type="http://schemas.openxmlformats.org/officeDocument/2006/relationships/pivotCacheDefinition" Target="pivotCache/pivotCacheDefinition2.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36" Type="http://schemas.openxmlformats.org/officeDocument/2006/relationships/customXml" Target="../customXml/item24.xml"/><Relationship Id="rId49" Type="http://schemas.openxmlformats.org/officeDocument/2006/relationships/customXml" Target="../customXml/item37.xml"/><Relationship Id="rId10" Type="http://schemas.openxmlformats.org/officeDocument/2006/relationships/sheetMetadata" Target="metadata.xml"/><Relationship Id="rId19" Type="http://schemas.openxmlformats.org/officeDocument/2006/relationships/customXml" Target="../customXml/item7.xml"/><Relationship Id="rId31" Type="http://schemas.openxmlformats.org/officeDocument/2006/relationships/customXml" Target="../customXml/item19.xml"/><Relationship Id="rId44" Type="http://schemas.openxmlformats.org/officeDocument/2006/relationships/customXml" Target="../customXml/item32.xml"/><Relationship Id="rId52"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openxmlformats.org/officeDocument/2006/relationships/customXml" Target="../customXml/item23.xml"/><Relationship Id="rId43" Type="http://schemas.openxmlformats.org/officeDocument/2006/relationships/customXml" Target="../customXml/item31.xml"/><Relationship Id="rId48" Type="http://schemas.openxmlformats.org/officeDocument/2006/relationships/customXml" Target="../customXml/item36.xml"/><Relationship Id="rId8" Type="http://schemas.openxmlformats.org/officeDocument/2006/relationships/styles" Target="styles.xml"/><Relationship Id="rId51"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38" Type="http://schemas.openxmlformats.org/officeDocument/2006/relationships/customXml" Target="../customXml/item26.xml"/><Relationship Id="rId46" Type="http://schemas.openxmlformats.org/officeDocument/2006/relationships/customXml" Target="../customXml/item34.xml"/><Relationship Id="rId20" Type="http://schemas.openxmlformats.org/officeDocument/2006/relationships/customXml" Target="../customXml/item8.xml"/><Relationship Id="rId41"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hàng!PivotTable3</c:name>
    <c:fmtId val="0"/>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'Tích điểm khách hàng'!$D$22</c:f>
              <c:strCache>
                <c:ptCount val="1"/>
                <c:pt idx="0">
                  <c:v>Tỷ lệ dùng điểm</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hàng'!$D$23:$D$25</c:f>
              <c:numCache>
                <c:formatCode>0.0%</c:formatCode>
                <c:ptCount val="2"/>
                <c:pt idx="0">
                  <c:v>0.27618310801970147</c:v>
                </c:pt>
                <c:pt idx="1">
                  <c:v>0.78427652544585169</c:v>
                </c:pt>
              </c:numCache>
            </c:numRef>
          </c:val>
          <c:smooth val="0"/>
          <c:extLst>
            <c:ext xmlns:c16="http://schemas.microsoft.com/office/drawing/2014/chart" uri="{C3380CC4-5D6E-409C-BE32-E72D297353CC}">
              <c16:uniqueId val="{00000002-4E91-4484-9B9D-C9F7E6443008}"/>
            </c:ext>
          </c:extLst>
        </c:ser>
        <c:dLbls>
          <c:showLegendKey val="0"/>
          <c:showVal val="0"/>
          <c:showCatName val="0"/>
          <c:showSerName val="0"/>
          <c:showPercent val="0"/>
          <c:showBubbleSize val="0"/>
        </c:dLbls>
        <c:marker val="1"/>
        <c:smooth val="0"/>
        <c:axId val="988751519"/>
        <c:axId val="988745279"/>
      </c:lineChart>
      <c:lineChart>
        <c:grouping val="standard"/>
        <c:varyColors val="0"/>
        <c:ser>
          <c:idx val="0"/>
          <c:order val="0"/>
          <c:tx>
            <c:strRef>
              <c:f>'Tích điểm khách hàng'!$C$22</c:f>
              <c:strCache>
                <c:ptCount val="1"/>
                <c:pt idx="0">
                  <c:v>Tỷ lệ tích điểm</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'Tích điểm khách hàng'!$B$23:$B$25</c:f>
              <c:strCache>
                <c:ptCount val="2"/>
                <c:pt idx="0">
                  <c:v>Apr</c:v>
                </c:pt>
                <c:pt idx="1">
                  <c:v>May</c:v>
                </c:pt>
              </c:strCache>
            </c:strRef>
          </c:cat>
          <c:val>
            <c:numRef>
              <c:f>'Tích điểm khách hàng'!$C$23:$C$25</c:f>
              <c:numCache>
                <c:formatCode>0.0%</c:formatCode>
                <c:ptCount val="2"/>
                <c:pt idx="0">
                  <c:v>6.0525914489854152E-3</c:v>
                </c:pt>
                <c:pt idx="1">
                  <c:v>2.6438235256282083E-2</c:v>
                </c:pt>
              </c:numCache>
            </c:numRef>
          </c:val>
          <c:smooth val="0"/>
          <c:extLst>
            <c:ext xmlns:c16="http://schemas.microsoft.com/office/drawing/2014/chart" uri="{C3380CC4-5D6E-409C-BE32-E72D297353CC}">
              <c16:uniqueId val="{00000000-4E91-4484-9B9D-C9F7E6443008}"/>
            </c:ext>
          </c:extLst>
        </c:ser>
        <c:dLbls>
          <c:showLegendKey val="0"/>
          <c:showVal val="0"/>
          <c:showCatName val="0"/>
          <c:showSerName val="0"/>
          <c:showPercent val="0"/>
          <c:showBubbleSize val="0"/>
        </c:dLbls>
        <c:marker val="1"/>
        <c:smooth val="0"/>
        <c:axId val="988537919"/>
        <c:axId val="988537439"/>
      </c:lineChart>
      <c:catAx>
        <c:axId val="988751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8745279"/>
        <c:crosses val="autoZero"/>
        <c:auto val="1"/>
        <c:lblAlgn val="ctr"/>
        <c:lblOffset val="100"/>
        <c:noMultiLvlLbl val="0"/>
      </c:catAx>
      <c:valAx>
        <c:axId val="988745279"/>
        <c:scaling>
          <c:orientation val="minMax"/>
        </c:scaling>
        <c:delete val="1"/>
        <c:axPos val="l"/>
        <c:numFmt formatCode="0.0%" sourceLinked="1"/>
        <c:majorTickMark val="none"/>
        <c:minorTickMark val="none"/>
        <c:tickLblPos val="nextTo"/>
        <c:crossAx val="988751519"/>
        <c:crosses val="autoZero"/>
        <c:crossBetween val="between"/>
      </c:valAx>
      <c:valAx>
        <c:axId val="988537439"/>
        <c:scaling>
          <c:orientation val="minMax"/>
        </c:scaling>
        <c:delete val="1"/>
        <c:axPos val="r"/>
        <c:numFmt formatCode="0.0%" sourceLinked="1"/>
        <c:majorTickMark val="out"/>
        <c:minorTickMark val="none"/>
        <c:tickLblPos val="nextTo"/>
        <c:crossAx val="988537919"/>
        <c:crosses val="max"/>
        <c:crossBetween val="between"/>
      </c:valAx>
      <c:catAx>
        <c:axId val="988537919"/>
        <c:scaling>
          <c:orientation val="minMax"/>
        </c:scaling>
        <c:delete val="1"/>
        <c:axPos val="b"/>
        <c:numFmt formatCode="General" sourceLinked="1"/>
        <c:majorTickMark val="out"/>
        <c:minorTickMark val="none"/>
        <c:tickLblPos val="nextTo"/>
        <c:crossAx val="988537439"/>
        <c:crosses val="autoZero"/>
        <c:auto val="1"/>
        <c:lblAlgn val="ctr"/>
        <c:lblOffset val="100"/>
        <c:noMultiLvlLbl val="0"/>
      </c:cat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[03. EASY-BH01 - Quản lý loyalty.xlsm]Tích điểm khách hàng!PivotTable4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'Tích điểm khách hàng'!$G$22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3-448D-40CB-BB0A-983DDCF4148D}"/>
              </c:ext>
            </c:extLst>
          </c:dPt>
          <c:dPt>
            <c:idx val="1"/>
            <c:bubble3D val="0"/>
            <c:spPr>
              <a:solidFill>
                <a:schemeClr val="accent2"/>
              </a:solidFill>
              <a:ln>
                <a:noFill/>
              </a:ln>
              <a:effectLst/>
            </c:spPr>
            <c:extLst>
              <c:ext xmlns:c16="http://schemas.microsoft.com/office/drawing/2014/chart" uri="{C3380CC4-5D6E-409C-BE32-E72D297353CC}">
                <c16:uniqueId val="{00000003-1E74-400C-AECA-766D1DFA9CEF}"/>
              </c:ext>
            </c:extLst>
          </c:dPt>
          <c:dPt>
            <c:idx val="2"/>
            <c:bubble3D val="0"/>
            <c:spPr>
              <a:solidFill>
                <a:schemeClr val="accent3"/>
              </a:solidFill>
              <a:ln>
                <a:noFill/>
              </a:ln>
              <a:effectLst/>
            </c:spPr>
            <c:extLst>
              <c:ext xmlns:c16="http://schemas.microsoft.com/office/drawing/2014/chart" uri="{C3380CC4-5D6E-409C-BE32-E72D297353CC}">
                <c16:uniqueId val="{00000005-1E74-400C-AECA-766D1DFA9CEF}"/>
              </c:ext>
            </c:extLst>
          </c:dPt>
          <c:dPt>
            <c:idx val="3"/>
            <c:bubble3D val="0"/>
            <c:spPr>
              <a:solidFill>
                <a:schemeClr val="accent4"/>
              </a:solidFill>
              <a:ln>
                <a:noFill/>
              </a:ln>
              <a:effectLst/>
            </c:spPr>
            <c:extLst>
              <c:ext xmlns:c16="http://schemas.microsoft.com/office/drawing/2014/chart" uri="{C3380CC4-5D6E-409C-BE32-E72D297353CC}">
                <c16:uniqueId val="{00000007-1E74-400C-AECA-766D1DFA9CE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'Tích điểm khách hàng'!$F$23:$F$27</c:f>
              <c:strCache>
                <c:ptCount val="4"/>
                <c:pt idx="0">
                  <c:v>KH1</c:v>
                </c:pt>
                <c:pt idx="1">
                  <c:v>KH2</c:v>
                </c:pt>
                <c:pt idx="2">
                  <c:v>KH3</c:v>
                </c:pt>
                <c:pt idx="3">
                  <c:v>KH4</c:v>
                </c:pt>
              </c:strCache>
            </c:strRef>
          </c:cat>
          <c:val>
            <c:numRef>
              <c:f>'Tích điểm khách hàng'!$G$23:$G$27</c:f>
              <c:numCache>
                <c:formatCode>General</c:formatCode>
                <c:ptCount val="4"/>
                <c:pt idx="0">
                  <c:v>86372.350000000049</c:v>
                </c:pt>
                <c:pt idx="1">
                  <c:v>63965.25</c:v>
                </c:pt>
                <c:pt idx="2">
                  <c:v>0</c:v>
                </c:pt>
                <c:pt idx="3">
                  <c:v>1797.4999999999709</c:v>
                </c:pt>
              </c:numCache>
            </c:numRef>
          </c:val>
          <c:extLst>
            <c:ext xmlns:c16="http://schemas.microsoft.com/office/drawing/2014/chart" uri="{C3380CC4-5D6E-409C-BE32-E72D297353CC}">
              <c16:uniqueId val="{00000000-448D-40CB-BB0A-983DDCF4148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95251</xdr:colOff>
          <xdr:row>0</xdr:row>
          <xdr:rowOff>47625</xdr:rowOff>
        </xdr:from>
        <xdr:to>
          <xdr:col>10</xdr:col>
          <xdr:colOff>1066800</xdr:colOff>
          <xdr:row>1</xdr:row>
          <xdr:rowOff>180975</xdr:rowOff>
        </xdr:to>
        <xdr:grpSp>
          <xdr:nvGrpSpPr>
            <xdr:cNvPr id="13" name="Group 12">
              <a:extLst>
                <a:ext uri="{FF2B5EF4-FFF2-40B4-BE49-F238E27FC236}">
                  <a16:creationId xmlns:a16="http://schemas.microsoft.com/office/drawing/2014/main" id="{00000000-0008-0000-1B00-00000D000000}"/>
                </a:ext>
              </a:extLst>
            </xdr:cNvPr>
            <xdr:cNvGrpSpPr/>
          </xdr:nvGrpSpPr>
          <xdr:grpSpPr>
            <a:xfrm>
              <a:off x="28575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1B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B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02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02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02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02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2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B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02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B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02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02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02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1076325</xdr:colOff>
          <xdr:row>0</xdr:row>
          <xdr:rowOff>57150</xdr:rowOff>
        </xdr:from>
        <xdr:to>
          <xdr:col>11</xdr:col>
          <xdr:colOff>962025</xdr:colOff>
          <xdr:row>1</xdr:row>
          <xdr:rowOff>85725</xdr:rowOff>
        </xdr:to>
        <xdr:grpSp>
          <xdr:nvGrpSpPr>
            <xdr:cNvPr id="32" name="Group 31">
              <a:extLst>
                <a:ext uri="{FF2B5EF4-FFF2-40B4-BE49-F238E27FC236}">
                  <a16:creationId xmlns:a16="http://schemas.microsoft.com/office/drawing/2014/main" id="{00000000-0008-0000-1B00-000020000000}"/>
                </a:ext>
              </a:extLst>
            </xdr:cNvPr>
            <xdr:cNvGrpSpPr/>
          </xdr:nvGrpSpPr>
          <xdr:grpSpPr>
            <a:xfrm>
              <a:off x="3990975" y="57150"/>
              <a:ext cx="981075" cy="257175"/>
              <a:chOff x="771525" y="1314450"/>
              <a:chExt cx="981075"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02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0200-000016980100}"/>
                  </a:ext>
                </a:extLst>
              </xdr:cNvPr>
              <xdr:cNvSpPr/>
            </xdr:nvSpPr>
            <xdr:spPr bwMode="auto">
              <a:xfrm>
                <a:off x="1276350"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10</xdr:col>
      <xdr:colOff>895350</xdr:colOff>
      <xdr:row>2</xdr:row>
      <xdr:rowOff>190499</xdr:rowOff>
    </xdr:from>
    <xdr:to>
      <xdr:col>19</xdr:col>
      <xdr:colOff>657225</xdr:colOff>
      <xdr:row>20</xdr:row>
      <xdr:rowOff>54749</xdr:rowOff>
    </xdr:to>
    <xdr:graphicFrame macro="">
      <xdr:nvGraphicFramePr>
        <xdr:cNvPr id="4" name="Chart 3">
          <a:extLst>
            <a:ext uri="{FF2B5EF4-FFF2-40B4-BE49-F238E27FC236}">
              <a16:creationId xmlns:a16="http://schemas.microsoft.com/office/drawing/2014/main" id="{1E3F23E0-4B68-3713-F64C-E2C7C3C5E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100013</xdr:colOff>
      <xdr:row>2</xdr:row>
      <xdr:rowOff>200025</xdr:rowOff>
    </xdr:from>
    <xdr:to>
      <xdr:col>10</xdr:col>
      <xdr:colOff>857250</xdr:colOff>
      <xdr:row>20</xdr:row>
      <xdr:rowOff>64275</xdr:rowOff>
    </xdr:to>
    <xdr:graphicFrame macro="">
      <xdr:nvGraphicFramePr>
        <xdr:cNvPr id="5" name="Chart 4">
          <a:extLst>
            <a:ext uri="{FF2B5EF4-FFF2-40B4-BE49-F238E27FC236}">
              <a16:creationId xmlns:a16="http://schemas.microsoft.com/office/drawing/2014/main" id="{50214D71-DE9A-4DA3-7919-5851C19DC3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0</xdr:colOff>
          <xdr:row>0</xdr:row>
          <xdr:rowOff>152400</xdr:rowOff>
        </xdr:from>
        <xdr:to>
          <xdr:col>19</xdr:col>
          <xdr:colOff>619125</xdr:colOff>
          <xdr:row>1</xdr:row>
          <xdr:rowOff>180975</xdr:rowOff>
        </xdr:to>
        <xdr:sp macro="" textlink="">
          <xdr:nvSpPr>
            <xdr:cNvPr id="104471" name="Button 23" hidden="1">
              <a:extLst>
                <a:ext uri="{63B3BB69-23CF-44E3-9099-C40C66FF867C}">
                  <a14:compatExt spid="_x0000_s104471"/>
                </a:ext>
                <a:ext uri="{FF2B5EF4-FFF2-40B4-BE49-F238E27FC236}">
                  <a16:creationId xmlns:a16="http://schemas.microsoft.com/office/drawing/2014/main" id="{00000000-0008-0000-0200-0000179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055559" backgroundQuery="1" createdVersion="8" refreshedVersion="8" minRefreshableVersion="3" recordCount="0" supportSubquery="1" supportAdvancedDrill="1" xr:uid="{A281EA8D-CEAC-4387-845F-41D173A31595}">
  <cacheSource type="external" connectionId="1"/>
  <cacheFields count="5">
    <cacheField name="[Measures].[TyLeTichDiem]" caption="TyLeTichDiem" numFmtId="0" hierarchy="19" level="32767"/>
    <cacheField name="[Table_DonBan].[Ngày lập].[Ngày lập]" caption="Ngày lập" numFmtId="0" level="1">
      <sharedItems containsSemiMixedTypes="0" containsNonDate="0" containsDate="1" containsString="0" minDate="2025-04-02T00:00:00" maxDate="2025-05-28T00:00:00" count="29">
        <d v="2025-04-02T00:00:00"/>
        <d v="2025-04-03T00:00:00"/>
        <d v="2025-04-05T00:00:00"/>
        <d v="2025-04-08T00:00:00"/>
        <d v="2025-04-10T00:00:00"/>
        <d v="2025-04-12T00:00:00"/>
        <d v="2025-04-15T00:00:00"/>
        <d v="2025-04-16T00:00:00"/>
        <d v="2025-04-17T00:00:00"/>
        <d v="2025-04-18T00:00:00"/>
        <d v="2025-04-19T00:00:00"/>
        <d v="2025-04-21T00:00:00"/>
        <d v="2025-04-22T00:00:00"/>
        <d v="2025-04-24T00:00:00"/>
        <d v="2025-04-28T00:00:00"/>
        <d v="2025-04-29T00:00:00"/>
        <d v="2025-05-01T00:00:00"/>
        <d v="2025-05-04T00:00:00"/>
        <d v="2025-05-06T00:00:00"/>
        <d v="2025-05-09T00:00:00"/>
        <d v="2025-05-10T00:00:00"/>
        <d v="2025-05-11T00:00:00"/>
        <d v="2025-05-12T00:00:00"/>
        <d v="2025-05-17T00:00:00"/>
        <d v="2025-05-18T00:00:00"/>
        <d v="2025-05-19T00:00:00"/>
        <d v="2025-05-21T00:00:00"/>
        <d v="2025-05-26T00:00:00"/>
        <d v="2025-05-27T00:00:00"/>
      </sharedItems>
    </cacheField>
    <cacheField name="[Table_DonBan].[Ngày lập (Month)].[Ngày lập (Month)]" caption="Ngày lập (Month)" numFmtId="0" hierarchy="9" level="1">
      <sharedItems count="2">
        <s v="Apr"/>
        <s v="May"/>
      </sharedItems>
    </cacheField>
    <cacheField name="[Measures].[TyLeSuDungDiem]" caption="TyLeSuDungDiem" numFmtId="0" hierarchy="20" level="32767"/>
    <cacheField name="[Table_DonBan].[Mã Khách].[Mã Khách]" caption="Mã Khách" numFmtId="0" hierarchy="1" level="1">
      <sharedItems containsSemiMixedTypes="0" containsNonDate="0" containsString="0"/>
    </cacheField>
  </cacheFields>
  <cacheHierarchies count="25">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1"/>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2" memberValueDatatype="130" unbalanced="0">
      <fieldsUsage count="2">
        <fieldUsage x="-1"/>
        <fieldUsage x="2"/>
      </fieldsUsage>
    </cacheHierarchy>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oneField="1">
      <fieldsUsage count="1">
        <fieldUsage x="0"/>
      </fieldsUsage>
    </cacheHierarchy>
    <cacheHierarchy uniqueName="[Measures].[TyLeSuDungDiem]" caption="TyLeSuDungDiem" measure="1" displayFolder="" measureGroup="Table_DonBan" count="0" oneField="1">
      <fieldsUsage count="1">
        <fieldUsage x="3"/>
      </fieldsUsage>
    </cacheHierarchy>
    <cacheHierarchy uniqueName="[Measures].[DiemKhaDung]" caption="DiemKhaDung" measure="1" displayFolder="" measureGroup="Table_DonBan" count="0"/>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5.933243865744" backgroundQuery="1" createdVersion="8" refreshedVersion="8" minRefreshableVersion="3" recordCount="0" supportSubquery="1" supportAdvancedDrill="1" xr:uid="{D7E7BF0C-CCEA-4C27-A606-E8FA82D049D3}">
  <cacheSource type="external" connectionId="1"/>
  <cacheFields count="2">
    <cacheField name="[Table_DonBan].[Mã Khách].[Mã Khách]" caption="Mã Khách" numFmtId="0" hierarchy="1" level="1">
      <sharedItems count="4">
        <s v="KH1"/>
        <s v="KH2"/>
        <s v="KH3"/>
        <s v="KH4"/>
      </sharedItems>
    </cacheField>
    <cacheField name="[Measures].[DiemKhaDung]" caption="DiemKhaDung" numFmtId="0" hierarchy="21" level="32767"/>
  </cacheFields>
  <cacheHierarchies count="25">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0"/>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5"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KHThanThiet_ChinhSach].[Cấp khách hàng]" caption="Cấp khách hàng" attribute="1" defaultMemberUniqueName="[Table_KHThanThiet_ChinhSach].[Cấp khách hàng].[All]" allUniqueName="[Table_KHThanThiet_ChinhSach].[Cấp khách hàng].[All]" dimensionUniqueName="[Table_KHThanThiet_ChinhSach]" displayFolder="" count="0" memberValueDatatype="130" unbalanced="0"/>
    <cacheHierarchy uniqueName="[Table_KHThanThiet_ChinhSach].[Doanh thu tối thiểu]" caption="Doanh thu tối thiểu" attribute="1" defaultMemberUniqueName="[Table_KHThanThiet_ChinhSach].[Doanh thu tối thiểu].[All]" allUniqueName="[Table_KHThanThiet_ChinhSach].[Doanh thu tối thiểu].[All]" dimensionUniqueName="[Table_KHThanThiet_ChinhSach]" displayFolder="" count="0" memberValueDatatype="20" unbalanced="0"/>
    <cacheHierarchy uniqueName="[Table_KHThanThiet_ChinhSach].[Doanh thu tối đa]" caption="Doanh thu tối đa" attribute="1" defaultMemberUniqueName="[Table_KHThanThiet_ChinhSach].[Doanh thu tối đa].[All]" allUniqueName="[Table_KHThanThiet_ChinhSach].[Doanh thu tối đa].[All]" dimensionUniqueName="[Table_KHThanThiet_ChinhSach]" displayFolder="" count="0" memberValueDatatype="20" unbalanced="0"/>
    <cacheHierarchy uniqueName="[Table_KHThanThiet_ChinhSach].[Tỷ lệ điểm thưởng]" caption="Tỷ lệ điểm thưởng" attribute="1" defaultMemberUniqueName="[Table_KHThanThiet_ChinhSach].[Tỷ lệ điểm thưởng].[All]" allUniqueName="[Table_KHThanThiet_ChinhSach].[Tỷ lệ điểm thưởng].[All]" dimensionUniqueName="[Table_KHThanThiet_ChinhSach]" displayFolder="" count="0" memberValueDatatype="5" unbalanced="0"/>
    <cacheHierarchy uniqueName="[Table_KHThanThiet_ChinhSach].[Điểm thưởng tối đa]" caption="Điểm thưởng tối đa" attribute="1" defaultMemberUniqueName="[Table_KHThanThiet_ChinhSach].[Điểm thưởng tối đa].[All]" allUniqueName="[Table_KHThanThiet_ChinhSach].[Điểm thưởng tối đa].[All]" dimensionUniqueName="[Table_KHThanThiet_ChinhSach]" displayFolder="" count="0" memberValueDatatype="20" unbalanced="0"/>
    <cacheHierarchy uniqueName="[Table_KHThanThiet_ChinhSach].[Điểm thưởng lũy kế]" caption="Điểm thưởng lũy kế" attribute="1" defaultMemberUniqueName="[Table_KHThanThiet_ChinhSach].[Điểm thưởng lũy kế].[All]" allUniqueName="[Table_KHThanThiet_ChinhSach].[Điểm thưởng lũy kế].[All]" dimensionUniqueName="[Table_KHThanThiet_ChinhSach]" displayFolder="" count="0" memberValueDatatype="20" unbalanced="0"/>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Measures].[Sum of Doanh thu ròng]" caption="Sum of Doanh thu ròng" measure="1" displayFolder="" measureGroup="Table_DonBan" count="0">
      <extLst>
        <ext xmlns:x15="http://schemas.microsoft.com/office/spreadsheetml/2010/11/main" uri="{B97F6D7D-B522-45F9-BDA1-12C45D357490}">
          <x15:cacheHierarchy aggregatedColumn="5"/>
        </ext>
      </extLst>
    </cacheHierarchy>
    <cacheHierarchy uniqueName="[Measures].[Sum of Điểm khả dụng]" caption="Sum of Điểm khả dụng" measure="1" displayFolder="" measureGroup="Table_DonBan" count="0">
      <extLst>
        <ext xmlns:x15="http://schemas.microsoft.com/office/spreadsheetml/2010/11/main" uri="{B97F6D7D-B522-45F9-BDA1-12C45D357490}">
          <x15:cacheHierarchy aggregatedColumn="3"/>
        </ext>
      </extLst>
    </cacheHierarchy>
    <cacheHierarchy uniqueName="[Measures].[TyLeTichDiem]" caption="TyLeTichDiem" measure="1" displayFolder="" measureGroup="Table_DonBan" count="0"/>
    <cacheHierarchy uniqueName="[Measures].[TyLeSuDungDiem]" caption="TyLeSuDungDiem" measure="1" displayFolder="" measureGroup="Table_DonBan" count="0"/>
    <cacheHierarchy uniqueName="[Measures].[DiemKhaDung]" caption="DiemKhaDung" measure="1" displayFolder="" measureGroup="Table_DonBan" count="0" oneField="1">
      <fieldsUsage count="1">
        <fieldUsage x="1"/>
      </fieldsUsage>
    </cacheHierarchy>
    <cacheHierarchy uniqueName="[Measures].[__XL_Count Table_KHThanThiet_ChinhSach]" caption="__XL_Count Table_KHThanThiet_ChinhSach" measure="1" displayFolder="" measureGroup="Table_KHThanThiet_ChinhSach" count="0" hidden="1"/>
    <cacheHierarchy uniqueName="[Measures].[__XL_Count Table_DonBan]" caption="__XL_Count Table_DonBan" measure="1" displayFolder="" measureGroup="Table_DonBan" count="0" hidden="1"/>
    <cacheHierarchy uniqueName="[Measures].[__No measures defined]" caption="__No measures defined" measure="1" displayFolder="" count="0" hidden="1"/>
  </cacheHierarchies>
  <kpis count="0"/>
  <dimensions count="3">
    <dimension measure="1" name="Measures" uniqueName="[Measures]" caption="Measures"/>
    <dimension name="Table_DonBan" uniqueName="[Table_DonBan]" caption="Table_DonBan"/>
    <dimension name="Table_KHThanThiet_ChinhSach" uniqueName="[Table_KHThanThiet_ChinhSach]" caption="Table_KHThanThiet_ChinhSach"/>
  </dimensions>
  <measureGroups count="2">
    <measureGroup name="Table_DonBan" caption="Table_DonBan"/>
    <measureGroup name="Table_KHThanThiet_ChinhSach" caption="Table_KHThanThiet_ChinhSach"/>
  </measureGroups>
  <maps count="3">
    <map measureGroup="0" dimension="1"/>
    <map measureGroup="0" dimension="2"/>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BE9B86-47B3-4EDA-B6BC-082131BE35A2}" name="PivotTable4" cacheId="1" applyNumberFormats="0" applyBorderFormats="0" applyFontFormats="0" applyPatternFormats="0" applyAlignmentFormats="0" applyWidthHeightFormats="1" dataCaption="Values" tag="2a44302d-9fd3-4aac-b990-b213cbc94617" updatedVersion="8" minRefreshableVersion="3" useAutoFormatting="1" itemPrintTitles="1" createdVersion="8" indent="0" outline="1" outlineData="1" multipleFieldFilters="0" chartFormat="4">
  <location ref="F22:G27"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name="Điểm khả dụng" fld="1" subtotal="count" baseField="0" baseItem="0"/>
  </dataFields>
  <chartFormats count="5">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0" format="5">
      <pivotArea type="data" outline="0" fieldPosition="0">
        <references count="2">
          <reference field="4294967294" count="1" selected="0">
            <x v="0"/>
          </reference>
          <reference field="0" count="1" selected="0">
            <x v="3"/>
          </reference>
        </references>
      </pivotArea>
    </chartFormat>
  </chartFormats>
  <pivotHierarchies count="2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caption="Điểm khả dụng"/>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5D69E9-73A3-426E-9980-AFBD91D84CCE}" name="PivotTable3" cacheId="0" applyNumberFormats="0" applyBorderFormats="0" applyFontFormats="0" applyPatternFormats="0" applyAlignmentFormats="0" applyWidthHeightFormats="1" dataCaption="Values" tag="527aec1e-28d5-425c-bf08-4ba112fad3e0" updatedVersion="8" minRefreshableVersion="3" useAutoFormatting="1" subtotalHiddenItems="1" itemPrintTitles="1" createdVersion="8" indent="0" outline="1" outlineData="1" multipleFieldFilters="0" chartFormat="9">
  <location ref="B22:D25" firstHeaderRow="0" firstDataRow="1" firstDataCol="1" rowPageCount="1" colPageCount="1"/>
  <pivotFields count="5">
    <pivotField dataField="1" subtotalTop="0" showAll="0" defaultSubtotal="0"/>
    <pivotField name="Ngày" allDrilled="1"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pivotField>
    <pivotField name="Tháng " axis="axisRow" allDrilled="1" subtotalTop="0" showAll="0" dataSourceSort="1" defaultSubtotal="0">
      <items count="2">
        <item x="0" e="0"/>
        <item x="1" e="0"/>
      </items>
    </pivotField>
    <pivotField dataField="1" subtotalTop="0" showAll="0" defaultSubtotal="0"/>
    <pivotField axis="axisPage" allDrilled="1" subtotalTop="0" showAll="0" dataSourceSort="1" defaultSubtotal="0" defaultAttributeDrillState="1"/>
  </pivotFields>
  <rowFields count="1">
    <field x="2"/>
  </rowFields>
  <rowItems count="3">
    <i>
      <x/>
    </i>
    <i>
      <x v="1"/>
    </i>
    <i t="grand">
      <x/>
    </i>
  </rowItems>
  <colFields count="1">
    <field x="-2"/>
  </colFields>
  <colItems count="2">
    <i>
      <x/>
    </i>
    <i i="1">
      <x v="1"/>
    </i>
  </colItems>
  <pageFields count="1">
    <pageField fld="4" hier="1" name="[Table_DonBan].[Mã Khách].[All]" cap="All"/>
  </pageFields>
  <dataFields count="2">
    <dataField name="Tỷ lệ tích điểm" fld="0" subtotal="count" baseField="2" baseItem="0" numFmtId="169"/>
    <dataField name="Tỷ lệ dùng điểm" fld="3" subtotal="count" baseField="2" baseItem="0" numFmtId="169"/>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Hierarchies count="25">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pivotHierarchy dragToData="1"/>
    <pivotHierarchy dragToRow="0" dragToCol="0" dragToPage="0" dragToData="1" caption="Tỷ lệ tích điểm"/>
    <pivotHierarchy dragToRow="0" dragToCol="0" dragToPage="0" dragToData="1" caption="Tỷ lệ dùng điểm"/>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pivotTableUISettings>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I22:N28" totalsRowShown="0" headerRowDxfId="17" dataDxfId="16">
  <autoFilter ref="I22:N28" xr:uid="{2A700966-B946-4558-BE22-99AF6B5C1F14}"/>
  <tableColumns count="6">
    <tableColumn id="1" xr3:uid="{6540178E-6A74-4E52-9659-A4417E2EEE4E}" name="Cấp khách hàng" dataDxfId="15"/>
    <tableColumn id="2" xr3:uid="{09519A03-DE47-49D1-A93A-D7D1B0D21CA7}" name="Doanh thu tối thiểu" dataDxfId="14" dataCellStyle="Comma"/>
    <tableColumn id="3" xr3:uid="{3D6F47F4-0B0E-46DC-994D-47D05A146FEB}" name="Doanh thu tối đa" dataDxfId="13" dataCellStyle="Comma"/>
    <tableColumn id="6" xr3:uid="{80CA5847-269C-4A48-832B-FA8EE738B896}" name="Tỷ lệ điểm thưởng" dataDxfId="12" dataCellStyle="Percent"/>
    <tableColumn id="4" xr3:uid="{ACB3DB24-CDD2-4384-8CDA-D6179B576C5B}" name="Điểm thưởng tối đa" dataDxfId="11"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10"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P22:X65" totalsRowShown="0" headerRowDxfId="9">
  <autoFilter ref="P22:X65" xr:uid="{4166925E-1F0B-42C7-A01A-835B42134064}"/>
  <sortState xmlns:xlrd2="http://schemas.microsoft.com/office/spreadsheetml/2017/richdata2" ref="P23:X65">
    <sortCondition descending="1" ref="P22:P65"/>
  </sortState>
  <tableColumns count="9">
    <tableColumn id="2" xr3:uid="{E5AA3C4E-F90F-4FED-99CD-D14026B1048E}" name="Ngày lập" dataDxfId="8"/>
    <tableColumn id="3" xr3:uid="{6CC99533-F213-42B8-9FC6-28AA1681FB82}" name="Mã Khách" dataDxfId="7"/>
    <tableColumn id="24" xr3:uid="{4E3C5E00-2D00-4F19-A2BF-C42B840493B9}" name="Tiền hàng" dataDxfId="6" dataCellStyle="Comma"/>
    <tableColumn id="23" xr3:uid="{D45B265F-A18C-463C-AC41-949E390656FD}" name="Điểm khả dụng" dataDxfId="5"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4" dataCellStyle="Comma"/>
    <tableColumn id="6" xr3:uid="{E42BF8E3-F442-4D35-8806-F14E8E3F5374}" name="Doanh thu ròng" dataDxfId="3" dataCellStyle="Comma">
      <calculatedColumnFormula>Table_DonBan[[#This Row],[Tiền hàng]]-Table_DonBan[[#This Row],[Điểm sử dụng]]</calculatedColumnFormula>
    </tableColumn>
    <tableColumn id="1" xr3:uid="{010CB2F7-6B5C-4FF9-82E3-233293D02FE0}" name="Doanh thu tính điểm" dataDxfId="2" dataCellStyle="Comma">
      <calculatedColumnFormula array="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7" xr3:uid="{9A45C951-22FA-4940-99EB-FDD3840122EB}" name="Tỷ lệ tính điểm" dataDxfId="1" dataCellStyle="Percent">
      <calculatedColumnFormula array="1">+IFERROR(
MAX(_xlfn._xlws.FILTER(Table_KHThanThiet_ChinhSach[Tỷ lệ điểm thưởng],
(Table_KHThanThiet_ChinhSach[Doanh thu tối thiểu]&lt;=Table_DonBan[[#This Row],[Doanh thu tính điểm]])
)),0)</calculatedColumnFormula>
    </tableColumn>
    <tableColumn id="4" xr3:uid="{48BAF5B5-4065-47B5-A73D-04E9D6E243A5}" name="Điểm tích lũy" dataDxfId="0">
      <calculatedColumnFormula xml:space="preserve">
Table_DonBan[[#This Row],[Tỷ lệ tính điểm]]*Table_DonBan[[#This Row],[Doanh thu ròng]]</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table" Target="../tables/table1.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8" bestFit="1" customWidth="1"/>
    <col min="2" max="2" width="36.25" style="8" bestFit="1" customWidth="1"/>
    <col min="3" max="3" width="16.125" style="8" bestFit="1" customWidth="1"/>
    <col min="4" max="5" width="14.375" style="19" bestFit="1" customWidth="1"/>
    <col min="6" max="25" width="9" style="8"/>
    <col min="26" max="26" width="9" style="8" hidden="1" customWidth="1"/>
    <col min="27" max="16384" width="9" style="8"/>
  </cols>
  <sheetData>
    <row r="1" spans="1:26" x14ac:dyDescent="0.3">
      <c r="A1" s="14" t="s">
        <v>12</v>
      </c>
      <c r="B1" s="15" t="s">
        <v>9</v>
      </c>
      <c r="C1" s="16" t="s">
        <v>10</v>
      </c>
      <c r="D1" s="18" t="s">
        <v>13</v>
      </c>
      <c r="E1" s="18" t="s">
        <v>14</v>
      </c>
      <c r="F1" s="14" t="s">
        <v>15</v>
      </c>
      <c r="G1" s="17" t="s">
        <v>16</v>
      </c>
      <c r="H1" s="14" t="s">
        <v>17</v>
      </c>
      <c r="I1" s="14" t="s">
        <v>18</v>
      </c>
      <c r="J1" s="17" t="s">
        <v>19</v>
      </c>
      <c r="K1" s="17" t="s">
        <v>20</v>
      </c>
      <c r="L1" s="17" t="s">
        <v>21</v>
      </c>
      <c r="M1" s="17" t="s">
        <v>22</v>
      </c>
      <c r="N1" s="27"/>
      <c r="O1" s="27"/>
      <c r="P1" s="27"/>
      <c r="Q1" s="27"/>
      <c r="R1" s="27"/>
      <c r="S1" s="27"/>
      <c r="T1" s="27"/>
      <c r="U1" s="27"/>
      <c r="V1" s="27"/>
      <c r="W1" s="27"/>
      <c r="X1" s="27"/>
      <c r="Y1" s="27"/>
      <c r="Z1" s="8" t="s">
        <v>24</v>
      </c>
    </row>
    <row r="2" spans="1:26" x14ac:dyDescent="0.3">
      <c r="A2" s="27"/>
      <c r="B2" s="8" t="s">
        <v>73</v>
      </c>
      <c r="C2" s="8" t="s">
        <v>74</v>
      </c>
      <c r="D2" s="19">
        <v>45785</v>
      </c>
      <c r="E2" s="19">
        <v>46150</v>
      </c>
      <c r="F2" s="27">
        <v>365</v>
      </c>
      <c r="G2" s="8" t="s">
        <v>43</v>
      </c>
      <c r="H2" s="27"/>
      <c r="I2" s="27"/>
      <c r="J2" s="27"/>
      <c r="K2" s="27"/>
      <c r="L2" s="27"/>
      <c r="M2" s="27"/>
      <c r="N2" s="27"/>
      <c r="O2" s="27"/>
      <c r="P2" s="27"/>
      <c r="Q2" s="27"/>
      <c r="R2" s="27"/>
      <c r="S2" s="27"/>
      <c r="T2" s="27"/>
      <c r="U2" s="27"/>
      <c r="V2" s="27"/>
      <c r="W2" s="27"/>
      <c r="X2" s="27"/>
      <c r="Y2" s="27"/>
      <c r="Z2" s="27" t="s">
        <v>42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G8" sqref="G8"/>
    </sheetView>
  </sheetViews>
  <sheetFormatPr defaultRowHeight="16.5" x14ac:dyDescent="0.3"/>
  <cols>
    <col min="1" max="1" width="11.625" style="9" bestFit="1" customWidth="1"/>
    <col min="2" max="16384" width="9" style="9"/>
  </cols>
  <sheetData>
    <row r="2" spans="1:2" x14ac:dyDescent="0.3">
      <c r="A2" s="9" t="s">
        <v>75</v>
      </c>
    </row>
    <row r="4" spans="1:2" ht="37.5" x14ac:dyDescent="0.3">
      <c r="A4" s="12" t="s">
        <v>0</v>
      </c>
      <c r="B4" s="12" t="s">
        <v>1</v>
      </c>
    </row>
    <row r="5" spans="1:2" ht="17.25" x14ac:dyDescent="0.3">
      <c r="A5" s="22"/>
      <c r="B5" s="20" t="s">
        <v>44</v>
      </c>
    </row>
    <row r="6" spans="1:2" ht="17.25" x14ac:dyDescent="0.3">
      <c r="A6" s="22"/>
      <c r="B6" s="20" t="s">
        <v>23</v>
      </c>
    </row>
    <row r="7" spans="1:2" ht="17.25" x14ac:dyDescent="0.3">
      <c r="A7" s="22"/>
      <c r="B7" s="20" t="s">
        <v>45</v>
      </c>
    </row>
    <row r="8" spans="1:2" ht="17.25" x14ac:dyDescent="0.3">
      <c r="A8" s="22"/>
      <c r="B8" s="20" t="s">
        <v>46</v>
      </c>
    </row>
    <row r="9" spans="1:2" ht="17.25" x14ac:dyDescent="0.3">
      <c r="A9" s="22"/>
      <c r="B9" s="21" t="s">
        <v>47</v>
      </c>
    </row>
    <row r="10" spans="1:2" x14ac:dyDescent="0.3">
      <c r="A10" s="22"/>
      <c r="B10" s="22"/>
    </row>
    <row r="11" spans="1:2" ht="37.5" x14ac:dyDescent="0.3">
      <c r="A11" s="12" t="s">
        <v>7</v>
      </c>
      <c r="B11" s="12" t="s">
        <v>8</v>
      </c>
    </row>
    <row r="12" spans="1:2" x14ac:dyDescent="0.3">
      <c r="A12" s="13" t="s">
        <v>9</v>
      </c>
      <c r="B12" s="9" t="s">
        <v>73</v>
      </c>
    </row>
    <row r="13" spans="1:2" x14ac:dyDescent="0.3">
      <c r="A13" s="13" t="s">
        <v>10</v>
      </c>
      <c r="B13" s="9" t="s">
        <v>74</v>
      </c>
    </row>
    <row r="14" spans="1:2" ht="17.25" x14ac:dyDescent="0.3">
      <c r="A14" s="22"/>
      <c r="B14" s="10" t="s">
        <v>2</v>
      </c>
    </row>
    <row r="15" spans="1:2" ht="17.25" x14ac:dyDescent="0.3">
      <c r="A15" s="22"/>
      <c r="B15" s="10" t="s">
        <v>3</v>
      </c>
    </row>
    <row r="16" spans="1:2" ht="17.25" x14ac:dyDescent="0.3">
      <c r="A16" s="22"/>
      <c r="B16" s="10" t="s">
        <v>4</v>
      </c>
    </row>
    <row r="17" spans="1:2" ht="17.25" x14ac:dyDescent="0.3">
      <c r="A17" s="22"/>
      <c r="B17" s="10" t="s">
        <v>5</v>
      </c>
    </row>
    <row r="18" spans="1:2" ht="17.25" x14ac:dyDescent="0.3">
      <c r="A18" s="22"/>
      <c r="B18" s="11" t="s">
        <v>6</v>
      </c>
    </row>
    <row r="19" spans="1:2" x14ac:dyDescent="0.3">
      <c r="A19" s="22"/>
      <c r="B19" s="22"/>
    </row>
    <row r="20" spans="1:2" x14ac:dyDescent="0.3">
      <c r="A20" s="22"/>
      <c r="B20" s="22"/>
    </row>
    <row r="21" spans="1:2" x14ac:dyDescent="0.3">
      <c r="A21" s="22"/>
      <c r="B21" s="22"/>
    </row>
    <row r="22" spans="1:2" x14ac:dyDescent="0.3">
      <c r="A22" s="22"/>
      <c r="B22" s="22"/>
    </row>
    <row r="23" spans="1:2" x14ac:dyDescent="0.3">
      <c r="A23" s="22"/>
      <c r="B23" s="22"/>
    </row>
    <row r="24" spans="1:2" x14ac:dyDescent="0.3">
      <c r="A24" s="23"/>
      <c r="B24" s="22"/>
    </row>
    <row r="25" spans="1:2" x14ac:dyDescent="0.3">
      <c r="A25" s="24"/>
      <c r="B25" s="22"/>
    </row>
    <row r="26" spans="1:2" x14ac:dyDescent="0.3">
      <c r="A26" s="23"/>
      <c r="B26" s="22"/>
    </row>
    <row r="27" spans="1:2" x14ac:dyDescent="0.3">
      <c r="A27" s="24"/>
      <c r="B27" s="22"/>
    </row>
    <row r="28" spans="1:2" x14ac:dyDescent="0.3">
      <c r="A28" s="24"/>
      <c r="B28" s="22"/>
    </row>
    <row r="29" spans="1:2" x14ac:dyDescent="0.3">
      <c r="A29" s="24"/>
      <c r="B29" s="22"/>
    </row>
    <row r="30" spans="1:2" x14ac:dyDescent="0.3">
      <c r="A30" s="24"/>
      <c r="B30" s="22"/>
    </row>
    <row r="31" spans="1:2" x14ac:dyDescent="0.3">
      <c r="A31" s="23"/>
      <c r="B31" s="22"/>
    </row>
    <row r="32" spans="1:2" x14ac:dyDescent="0.3">
      <c r="A32" s="24"/>
      <c r="B32" s="22"/>
    </row>
    <row r="33" spans="1:2" x14ac:dyDescent="0.3">
      <c r="A33" s="24"/>
      <c r="B33" s="22"/>
    </row>
    <row r="34" spans="1:2" x14ac:dyDescent="0.3">
      <c r="A34" s="24"/>
      <c r="B34" s="22"/>
    </row>
    <row r="35" spans="1:2" x14ac:dyDescent="0.3">
      <c r="A35" s="24"/>
      <c r="B35" s="22"/>
    </row>
    <row r="36" spans="1:2" x14ac:dyDescent="0.3">
      <c r="A36" s="23"/>
      <c r="B36" s="22"/>
    </row>
    <row r="37" spans="1:2" x14ac:dyDescent="0.3">
      <c r="A37" s="25"/>
      <c r="B37" s="22"/>
    </row>
    <row r="38" spans="1:2" x14ac:dyDescent="0.3">
      <c r="A38" s="26"/>
      <c r="B38" s="22"/>
    </row>
    <row r="39" spans="1:2" x14ac:dyDescent="0.3">
      <c r="A39" s="25"/>
      <c r="B39" s="22"/>
    </row>
    <row r="40" spans="1:2" x14ac:dyDescent="0.3">
      <c r="A40" s="26"/>
      <c r="B40" s="22"/>
    </row>
    <row r="41" spans="1:2" x14ac:dyDescent="0.3">
      <c r="A41" s="25"/>
      <c r="B41" s="22"/>
    </row>
    <row r="42" spans="1:2" x14ac:dyDescent="0.3">
      <c r="A42" s="26"/>
      <c r="B42" s="22"/>
    </row>
    <row r="43" spans="1:2" x14ac:dyDescent="0.3">
      <c r="A43" s="25"/>
      <c r="B43" s="22"/>
    </row>
    <row r="44" spans="1:2" x14ac:dyDescent="0.3">
      <c r="A44" s="26"/>
      <c r="B44" s="22"/>
    </row>
    <row r="45" spans="1:2" x14ac:dyDescent="0.3">
      <c r="A45" s="25"/>
      <c r="B45" s="22"/>
    </row>
    <row r="46" spans="1:2" x14ac:dyDescent="0.3">
      <c r="A46" s="26"/>
      <c r="B46" s="22"/>
    </row>
    <row r="47" spans="1:2" x14ac:dyDescent="0.3">
      <c r="A47" s="24"/>
      <c r="B47" s="22"/>
    </row>
    <row r="48" spans="1:2" x14ac:dyDescent="0.3">
      <c r="A48" s="24"/>
      <c r="B48" s="22"/>
    </row>
    <row r="49" spans="1:2" x14ac:dyDescent="0.3">
      <c r="A49" s="24"/>
      <c r="B49" s="22"/>
    </row>
    <row r="50" spans="1:2" x14ac:dyDescent="0.3">
      <c r="A50" s="23"/>
      <c r="B50" s="22"/>
    </row>
    <row r="51" spans="1:2" x14ac:dyDescent="0.3">
      <c r="A51" s="24"/>
      <c r="B51" s="22"/>
    </row>
    <row r="52" spans="1:2" x14ac:dyDescent="0.3">
      <c r="A52" s="24"/>
      <c r="B52" s="22"/>
    </row>
    <row r="53" spans="1:2" x14ac:dyDescent="0.3">
      <c r="A53" s="24"/>
      <c r="B53" s="22"/>
    </row>
    <row r="54" spans="1:2" x14ac:dyDescent="0.3">
      <c r="A54" s="24"/>
      <c r="B54" s="22"/>
    </row>
    <row r="55" spans="1:2" x14ac:dyDescent="0.3">
      <c r="A55" s="23"/>
      <c r="B55" s="22"/>
    </row>
    <row r="56" spans="1:2" x14ac:dyDescent="0.3">
      <c r="A56" s="25"/>
      <c r="B56" s="22"/>
    </row>
    <row r="57" spans="1:2" x14ac:dyDescent="0.3">
      <c r="A57" s="25"/>
      <c r="B57" s="22"/>
    </row>
    <row r="58" spans="1:2" x14ac:dyDescent="0.3">
      <c r="A58" s="25"/>
      <c r="B58" s="22"/>
    </row>
    <row r="59" spans="1:2" x14ac:dyDescent="0.3">
      <c r="A59" s="25"/>
      <c r="B59" s="22"/>
    </row>
    <row r="60" spans="1:2" x14ac:dyDescent="0.3">
      <c r="A60" s="24"/>
      <c r="B60" s="22"/>
    </row>
    <row r="61" spans="1:2" x14ac:dyDescent="0.3">
      <c r="A61" s="24"/>
      <c r="B61" s="22"/>
    </row>
    <row r="62" spans="1:2" x14ac:dyDescent="0.3">
      <c r="A62" s="24"/>
      <c r="B62" s="22"/>
    </row>
    <row r="63" spans="1:2" x14ac:dyDescent="0.3">
      <c r="A63" s="23"/>
      <c r="B63" s="22"/>
    </row>
    <row r="64" spans="1:2" x14ac:dyDescent="0.3">
      <c r="A64" s="24"/>
      <c r="B64" s="22"/>
    </row>
    <row r="65" spans="1:2" x14ac:dyDescent="0.3">
      <c r="A65" s="24"/>
      <c r="B65" s="22"/>
    </row>
    <row r="66" spans="1:2" x14ac:dyDescent="0.3">
      <c r="A66" s="24"/>
      <c r="B66" s="22"/>
    </row>
    <row r="67" spans="1:2" x14ac:dyDescent="0.3">
      <c r="A67" s="24"/>
      <c r="B67" s="22"/>
    </row>
    <row r="68" spans="1:2" x14ac:dyDescent="0.3">
      <c r="A68" s="23"/>
      <c r="B68" s="22"/>
    </row>
    <row r="69" spans="1:2" x14ac:dyDescent="0.3">
      <c r="A69" s="25"/>
      <c r="B69" s="22"/>
    </row>
    <row r="70" spans="1:2" x14ac:dyDescent="0.3">
      <c r="A70" s="25"/>
      <c r="B70" s="22"/>
    </row>
    <row r="71" spans="1:2" x14ac:dyDescent="0.3">
      <c r="A71" s="25"/>
      <c r="B71" s="22"/>
    </row>
    <row r="72" spans="1:2" x14ac:dyDescent="0.3">
      <c r="A72" s="25"/>
      <c r="B72" s="22"/>
    </row>
    <row r="73" spans="1:2" x14ac:dyDescent="0.3">
      <c r="A73" s="25"/>
      <c r="B73" s="22"/>
    </row>
    <row r="74" spans="1:2" x14ac:dyDescent="0.3">
      <c r="A74" s="25"/>
      <c r="B74" s="22"/>
    </row>
    <row r="75" spans="1:2" x14ac:dyDescent="0.3">
      <c r="A75" s="24"/>
      <c r="B75" s="22"/>
    </row>
    <row r="76" spans="1:2" x14ac:dyDescent="0.3">
      <c r="A76" s="23"/>
      <c r="B76" s="2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9" tint="0.79998168889431442"/>
    <outlinePr summaryBelow="0" summaryRight="0"/>
  </sheetPr>
  <dimension ref="A1:X65"/>
  <sheetViews>
    <sheetView showGridLines="0" workbookViewId="0">
      <selection activeCell="J31" sqref="J31"/>
    </sheetView>
  </sheetViews>
  <sheetFormatPr defaultRowHeight="18" customHeight="1" outlineLevelRow="1" outlineLevelCol="1" x14ac:dyDescent="0.3"/>
  <cols>
    <col min="1" max="1" width="1.25" style="1" customWidth="1" collapsed="1"/>
    <col min="2" max="2" width="13" style="1" hidden="1" customWidth="1" outlineLevel="1"/>
    <col min="3" max="3" width="14.5" style="1" hidden="1" customWidth="1" outlineLevel="1"/>
    <col min="4" max="4" width="15.75" style="1" hidden="1" customWidth="1" outlineLevel="1"/>
    <col min="5" max="5" width="1.25" style="1" hidden="1" customWidth="1" outlineLevel="1"/>
    <col min="6" max="6" width="13" style="1" hidden="1" customWidth="1" outlineLevel="1"/>
    <col min="7" max="7" width="14.75" style="1" hidden="1" customWidth="1" outlineLevel="1"/>
    <col min="8" max="8" width="1.25" style="1" customWidth="1"/>
    <col min="9" max="9" width="19.375" style="1" customWidth="1"/>
    <col min="10" max="10" width="16.375" style="1" bestFit="1" customWidth="1"/>
    <col min="11" max="11" width="14.375" style="1" bestFit="1" customWidth="1"/>
    <col min="12" max="12" width="13.375" style="1" customWidth="1" collapsed="1"/>
    <col min="13" max="13" width="16.25" style="1" hidden="1" customWidth="1" outlineLevel="1"/>
    <col min="14" max="14" width="16.5" style="1" hidden="1" customWidth="1" outlineLevel="1"/>
    <col min="15" max="15" width="1.25" style="1" customWidth="1"/>
    <col min="16" max="16" width="11.125" style="4" bestFit="1" customWidth="1"/>
    <col min="17" max="17" width="9" style="4"/>
    <col min="18" max="18" width="9" style="1"/>
    <col min="19" max="20" width="9" style="4"/>
    <col min="21" max="21" width="14.75" style="4" customWidth="1" outlineLevel="1"/>
    <col min="22" max="22" width="13.875" style="1" customWidth="1" outlineLevel="1"/>
    <col min="23" max="23" width="13.25" style="1" customWidth="1" outlineLevel="1"/>
    <col min="24" max="24" width="13.375" style="1" customWidth="1" outlineLevel="1"/>
    <col min="25" max="16384" width="9" style="1"/>
  </cols>
  <sheetData>
    <row r="1" spans="16:24" ht="18" customHeight="1" x14ac:dyDescent="0.3">
      <c r="P1" s="1" t="s">
        <v>32</v>
      </c>
      <c r="Q1" s="30">
        <v>30</v>
      </c>
    </row>
    <row r="2" spans="16:24" ht="18" customHeight="1" x14ac:dyDescent="0.3">
      <c r="P2" s="1" t="s">
        <v>55</v>
      </c>
      <c r="Q2" s="30">
        <v>90</v>
      </c>
    </row>
    <row r="3" spans="16:24" ht="18" customHeight="1" outlineLevel="1" x14ac:dyDescent="0.3">
      <c r="R3" s="4"/>
    </row>
    <row r="4" spans="16:24" ht="18" customHeight="1" outlineLevel="1" x14ac:dyDescent="0.3">
      <c r="R4" s="4"/>
    </row>
    <row r="5" spans="16:24" ht="18" customHeight="1" outlineLevel="1" x14ac:dyDescent="0.3">
      <c r="R5" s="4"/>
    </row>
    <row r="6" spans="16:24" ht="18" customHeight="1" outlineLevel="1" x14ac:dyDescent="0.35">
      <c r="R6" s="4"/>
      <c r="U6" s="40" t="s">
        <v>63</v>
      </c>
      <c r="V6" s="41"/>
      <c r="W6" s="42" t="s">
        <v>64</v>
      </c>
      <c r="X6" s="41"/>
    </row>
    <row r="7" spans="16:24" ht="18" customHeight="1" outlineLevel="1" x14ac:dyDescent="0.3">
      <c r="R7" s="4"/>
    </row>
    <row r="8" spans="16:24" ht="18" customHeight="1" outlineLevel="1" x14ac:dyDescent="0.35">
      <c r="R8" s="4"/>
      <c r="U8" s="40" t="s">
        <v>65</v>
      </c>
      <c r="W8" s="45" cm="1">
        <f t="array" ref="W8">IF(
ISBLANK($X$6),
IFERROR(
SUM(_xlfn._xlws.FILTER(Table_DonBan[Doanh thu ròng],
(Table_DonBan[Ngày lập]&gt;=$V$6)
)),0),
IFERROR(
SUM(_xlfn._xlws.FILTER(Table_DonBan[Doanh thu ròng],
(Table_DonBan[Ngày lập]&gt;=$V$6)*
(Table_DonBan[Ngày lập]&lt;=$X$6)
)),0)
)</f>
        <v>83305170</v>
      </c>
      <c r="X8" s="45"/>
    </row>
    <row r="9" spans="16:24" ht="18" customHeight="1" outlineLevel="1" x14ac:dyDescent="0.35">
      <c r="R9" s="4"/>
      <c r="U9" s="40" t="s">
        <v>66</v>
      </c>
      <c r="W9" s="45" cm="1">
        <f t="array" ref="W9">IF(
ISBLANK($X$6),
IFERROR(
SUM(_xlfn._xlws.FILTER(Table_DonBan[Điểm tích lũy],
(Table_DonBan[Ngày lập]&gt;=$V$6)
)),0),
IFERROR(
SUM(_xlfn._xlws.FILTER(Table_DonBan[Điểm tích lũy],
(Table_DonBan[Ngày lập]&gt;=$V$6)*
(Table_DonBan[Ngày lập]&lt;=$X$6)
)),0)
)</f>
        <v>1226832.3500000001</v>
      </c>
      <c r="X9" s="45"/>
    </row>
    <row r="10" spans="16:24" ht="18" customHeight="1" outlineLevel="1" x14ac:dyDescent="0.35">
      <c r="R10" s="4"/>
      <c r="U10" s="40" t="s">
        <v>67</v>
      </c>
      <c r="W10" s="46">
        <f>W9/W8</f>
        <v>1.4726965325201307E-2</v>
      </c>
      <c r="X10" s="46"/>
    </row>
    <row r="11" spans="16:24" ht="18" customHeight="1" outlineLevel="1" x14ac:dyDescent="0.35">
      <c r="R11" s="4"/>
      <c r="U11" s="40" t="s">
        <v>72</v>
      </c>
      <c r="W11" s="45" cm="1">
        <f t="array" ref="W11">IF(
ISBLANK($X$6),
IFERROR(
SUM(_xlfn._xlws.FILTER(Table_DonBan[Điểm sử dụng],
(Table_DonBan[Ngày lập]&gt;=$V$6)
)),0),
IFERROR(
SUM(_xlfn._xlws.FILTER(Table_DonBan[Điểm sử dụng],
(Table_DonBan[Ngày lập]&gt;=$V$6)*
(Table_DonBan[Ngày lập]&lt;=$X$6)
)),0)
)</f>
        <v>815000</v>
      </c>
      <c r="X11" s="45"/>
    </row>
    <row r="12" spans="16:24" ht="18" customHeight="1" outlineLevel="1" x14ac:dyDescent="0.35">
      <c r="R12" s="4"/>
      <c r="U12" s="40" t="s">
        <v>68</v>
      </c>
      <c r="W12" s="46">
        <f>W11/W9</f>
        <v>0.6643124466028304</v>
      </c>
      <c r="X12" s="46"/>
    </row>
    <row r="13" spans="16:24" ht="18" customHeight="1" outlineLevel="1" x14ac:dyDescent="0.3">
      <c r="R13" s="4"/>
    </row>
    <row r="14" spans="16:24" ht="18" customHeight="1" outlineLevel="1" x14ac:dyDescent="0.35">
      <c r="R14" s="4"/>
      <c r="U14" s="40" t="s">
        <v>69</v>
      </c>
      <c r="W14" s="43" t="s">
        <v>50</v>
      </c>
      <c r="X14" s="43"/>
    </row>
    <row r="15" spans="16:24" ht="18" customHeight="1" outlineLevel="1" x14ac:dyDescent="0.35">
      <c r="R15" s="4"/>
      <c r="U15" s="40" t="s">
        <v>70</v>
      </c>
      <c r="W15" s="44" t="str">
        <f>INDEX(Table_KHThanThiet_ChinhSach[[#All],[Cấp khách hàng]:[Tỷ lệ điểm thưởng]],
MATCH(
VLOOKUP($W$14,Table_DonBan[[Mã Khách]:[Điểm tích lũy]],COUNTA(Table_DonBan[[#Headers],[Mã Khách]:[Tỷ lệ tính điểm]]),0),
Table_KHThanThiet_ChinhSach[[#All],[Tỷ lệ điểm thưởng]],0),
1)</f>
        <v>Hạng đồng</v>
      </c>
      <c r="X15" s="44"/>
    </row>
    <row r="16" spans="16:24" ht="18" customHeight="1" outlineLevel="1" x14ac:dyDescent="0.35">
      <c r="R16" s="4"/>
      <c r="U16" s="40" t="s">
        <v>71</v>
      </c>
      <c r="W16" s="45">
        <f>VLOOKUP($W$14,Table_DonBan[[Mã Khách]:[Điểm tích lũy]],COUNTA(Table_DonBan[[#Headers],[Mã Khách]:[Điểm khả dụng]]),0)</f>
        <v>1797.4999999999709</v>
      </c>
      <c r="X16" s="45"/>
    </row>
    <row r="17" spans="2:24" ht="18" customHeight="1" outlineLevel="1" x14ac:dyDescent="0.35">
      <c r="R17" s="4"/>
      <c r="U17" s="40" t="s">
        <v>68</v>
      </c>
      <c r="W17" s="46" cm="1">
        <f t="array" ref="W17" xml:space="preserve">
IF(
ISBLANK($X$6),
IFERROR(
SUM(_xlfn._xlws.FILTER(Table_DonBan[Điểm sử dụng],
(Table_DonBan[Mã Khách] = $W$14)*
(Table_DonBan[Ngày lập]&gt;=$V$6)
)),0),
IFERROR(
SUM(_xlfn._xlws.FILTER(Table_DonBan[Điểm sử dụng],
(Table_DonBan[Mã Khách] = $W$14)*
(Table_DonBan[Ngày lập]&gt;=$V$6)*
(Table_DonBan[Ngày lập]&lt;=$X$6)
)),0)
)/
IF(
ISBLANK($X$6),
IFERROR(
SUM(_xlfn._xlws.FILTER(Table_DonBan[Điểm tích lũy],
(Table_DonBan[Mã Khách] = $W$14)*
(Table_DonBan[Ngày lập]&gt;=$V$6)
)),0),
IFERROR(
SUM(_xlfn._xlws.FILTER(Table_DonBan[Điểm tích lũy],
(Table_DonBan[Mã Khách] = $W$14)*
(Table_DonBan[Ngày lập]&gt;=$V$6)*
(Table_DonBan[Ngày lập]&lt;=$X$6)
)),0)
)</f>
        <v>0.82474685803297076</v>
      </c>
      <c r="X17" s="46"/>
    </row>
    <row r="18" spans="2:24" ht="18" customHeight="1" outlineLevel="1" x14ac:dyDescent="0.3">
      <c r="R18" s="4"/>
    </row>
    <row r="19" spans="2:24" ht="18" customHeight="1" outlineLevel="1" x14ac:dyDescent="0.3">
      <c r="R19" s="4"/>
    </row>
    <row r="20" spans="2:24" ht="16.5" outlineLevel="1" x14ac:dyDescent="0.3">
      <c r="B20" s="38" t="s">
        <v>11</v>
      </c>
      <c r="C20" t="s" vm="1">
        <v>16</v>
      </c>
      <c r="F20"/>
      <c r="G20"/>
      <c r="R20" s="4"/>
    </row>
    <row r="21" spans="2:24" ht="18" customHeight="1" outlineLevel="1" x14ac:dyDescent="0.3">
      <c r="R21" s="4"/>
    </row>
    <row r="22" spans="2:24" ht="16.5" x14ac:dyDescent="0.3">
      <c r="B22" s="38" t="s">
        <v>57</v>
      </c>
      <c r="C22" t="s">
        <v>61</v>
      </c>
      <c r="D22" t="s">
        <v>62</v>
      </c>
      <c r="F22" s="38" t="s">
        <v>57</v>
      </c>
      <c r="G22" t="s">
        <v>39</v>
      </c>
      <c r="I22" s="1" t="s">
        <v>26</v>
      </c>
      <c r="J22" s="1" t="s">
        <v>27</v>
      </c>
      <c r="K22" s="1" t="s">
        <v>28</v>
      </c>
      <c r="L22" s="1" t="s">
        <v>29</v>
      </c>
      <c r="M22" s="1" t="s">
        <v>30</v>
      </c>
      <c r="N22" s="1" t="s">
        <v>31</v>
      </c>
      <c r="P22" s="6" t="s">
        <v>56</v>
      </c>
      <c r="Q22" s="6" t="s">
        <v>11</v>
      </c>
      <c r="R22" s="6" t="s">
        <v>53</v>
      </c>
      <c r="S22" s="7" t="s">
        <v>39</v>
      </c>
      <c r="T22" s="7" t="s">
        <v>40</v>
      </c>
      <c r="U22" s="7" t="s">
        <v>25</v>
      </c>
      <c r="V22" s="1" t="s">
        <v>41</v>
      </c>
      <c r="W22" s="1" t="s">
        <v>54</v>
      </c>
      <c r="X22" s="6" t="s">
        <v>48</v>
      </c>
    </row>
    <row r="23" spans="2:24" ht="16.5" x14ac:dyDescent="0.3">
      <c r="B23" s="8" t="s">
        <v>59</v>
      </c>
      <c r="C23" s="39">
        <v>6.0525914489854152E-3</v>
      </c>
      <c r="D23" s="39">
        <v>0.27618310801970147</v>
      </c>
      <c r="F23" s="8" t="s">
        <v>49</v>
      </c>
      <c r="G23">
        <v>86372.350000000049</v>
      </c>
      <c r="I23" s="1" t="s">
        <v>33</v>
      </c>
      <c r="J23" s="2">
        <v>0</v>
      </c>
      <c r="K23" s="2">
        <v>10000000</v>
      </c>
      <c r="L23" s="5">
        <v>0</v>
      </c>
      <c r="M23" s="3">
        <f>IF(ISBLANK(Table_KHThanThiet_ChinhSach[[#This Row],[Doanh thu tối đa]]),0,(Table_KHThanThiet_ChinhSach[[#This Row],[Doanh thu tối đa]]-Table_KHThanThiet_ChinhSach[[#This Row],[Doanh thu tối thiểu]])*Table_KHThanThiet_ChinhSach[[#This Row],[Tỷ lệ điểm thưởng]])</f>
        <v>0</v>
      </c>
      <c r="N23" s="3" cm="1">
        <f t="array" ref="N23">IFERROR(
SUM(_xlfn._xlws.FILTER(Table_KHThanThiet_ChinhSach[Điểm thưởng tối đa],
(Table_KHThanThiet_ChinhSach[Tỷ lệ điểm thưởng]&lt;Table_KHThanThiet_ChinhSach[[#This Row],[Tỷ lệ điểm thưởng]])
)),0)</f>
        <v>0</v>
      </c>
      <c r="P23" s="28">
        <v>45804</v>
      </c>
      <c r="Q23" s="34" t="s">
        <v>51</v>
      </c>
      <c r="R23" s="32">
        <v>2722929</v>
      </c>
      <c r="S23" s="33" cm="1">
        <f t="array" ref="S2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23" s="31"/>
      <c r="U23" s="29">
        <f>Table_DonBan[[#This Row],[Tiền hàng]]-Table_DonBan[[#This Row],[Điểm sử dụng]]</f>
        <v>2722929</v>
      </c>
      <c r="V23" s="3" cm="1">
        <f t="array" ref="V2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7263378</v>
      </c>
      <c r="W23" s="36" cm="1">
        <f t="array" ref="W23">+IFERROR(
MAX(_xlfn._xlws.FILTER(Table_KHThanThiet_ChinhSach[Tỷ lệ điểm thưởng],
(Table_KHThanThiet_ChinhSach[Doanh thu tối thiểu]&lt;=Table_DonBan[[#This Row],[Doanh thu tính điểm]])
)),0)</f>
        <v>0</v>
      </c>
      <c r="X23" s="37">
        <f xml:space="preserve">
Table_DonBan[[#This Row],[Tỷ lệ tính điểm]]*Table_DonBan[[#This Row],[Doanh thu ròng]]</f>
        <v>0</v>
      </c>
    </row>
    <row r="24" spans="2:24" ht="16.5" x14ac:dyDescent="0.3">
      <c r="B24" s="8" t="s">
        <v>60</v>
      </c>
      <c r="C24" s="39">
        <v>2.6438235256282083E-2</v>
      </c>
      <c r="D24" s="39">
        <v>0.78427652544585169</v>
      </c>
      <c r="F24" s="8" t="s">
        <v>51</v>
      </c>
      <c r="G24">
        <v>63965.25</v>
      </c>
      <c r="I24" s="1" t="s">
        <v>34</v>
      </c>
      <c r="J24" s="2">
        <v>10000000</v>
      </c>
      <c r="K24" s="2">
        <v>20000000</v>
      </c>
      <c r="L24" s="5">
        <v>0.05</v>
      </c>
      <c r="M24" s="3">
        <f>IF(ISBLANK(Table_KHThanThiet_ChinhSach[[#This Row],[Doanh thu tối đa]]),0,(Table_KHThanThiet_ChinhSach[[#This Row],[Doanh thu tối đa]]-Table_KHThanThiet_ChinhSach[[#This Row],[Doanh thu tối thiểu]])*Table_KHThanThiet_ChinhSach[[#This Row],[Tỷ lệ điểm thưởng]])</f>
        <v>500000</v>
      </c>
      <c r="N24" s="3" cm="1">
        <f t="array" ref="N24">IFERROR(
SUM(_xlfn._xlws.FILTER(Table_KHThanThiet_ChinhSach[Điểm thưởng tối đa],
(Table_KHThanThiet_ChinhSach[Tỷ lệ điểm thưởng]&lt;Table_KHThanThiet_ChinhSach[[#This Row],[Tỷ lệ điểm thưởng]])
)),0)</f>
        <v>0</v>
      </c>
      <c r="P24" s="28">
        <v>45803</v>
      </c>
      <c r="Q24" s="35" t="s">
        <v>52</v>
      </c>
      <c r="R24" s="32">
        <v>1420273</v>
      </c>
      <c r="S24" s="33" cm="1">
        <f t="array" ref="S2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4" s="31"/>
      <c r="U24" s="29">
        <f>Table_DonBan[[#This Row],[Tiền hàng]]-Table_DonBan[[#This Row],[Điểm sử dụng]]</f>
        <v>1420273</v>
      </c>
      <c r="V24" s="3" cm="1">
        <f t="array" ref="V2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9220351</v>
      </c>
      <c r="W24" s="36" cm="1">
        <f t="array" ref="W24">+IFERROR(
MAX(_xlfn._xlws.FILTER(Table_KHThanThiet_ChinhSach[Tỷ lệ điểm thưởng],
(Table_KHThanThiet_ChinhSach[Doanh thu tối thiểu]&lt;=Table_DonBan[[#This Row],[Doanh thu tính điểm]])
)),0)</f>
        <v>0</v>
      </c>
      <c r="X24" s="37">
        <f xml:space="preserve">
Table_DonBan[[#This Row],[Tỷ lệ tính điểm]]*Table_DonBan[[#This Row],[Doanh thu ròng]]</f>
        <v>0</v>
      </c>
    </row>
    <row r="25" spans="2:24" ht="16.5" x14ac:dyDescent="0.3">
      <c r="B25" s="8" t="s">
        <v>58</v>
      </c>
      <c r="C25" s="39">
        <v>1.4726965325201307E-2</v>
      </c>
      <c r="D25" s="39">
        <v>0.6643124466028304</v>
      </c>
      <c r="F25" s="8" t="s">
        <v>52</v>
      </c>
      <c r="G25">
        <v>0</v>
      </c>
      <c r="I25" s="1" t="s">
        <v>35</v>
      </c>
      <c r="J25" s="2">
        <v>20000000</v>
      </c>
      <c r="K25" s="2">
        <v>35000000</v>
      </c>
      <c r="L25" s="5">
        <v>0.1</v>
      </c>
      <c r="M25" s="3">
        <f>IF(ISBLANK(Table_KHThanThiet_ChinhSach[[#This Row],[Doanh thu tối đa]]),0,(Table_KHThanThiet_ChinhSach[[#This Row],[Doanh thu tối đa]]-Table_KHThanThiet_ChinhSach[[#This Row],[Doanh thu tối thiểu]])*Table_KHThanThiet_ChinhSach[[#This Row],[Tỷ lệ điểm thưởng]])</f>
        <v>1500000</v>
      </c>
      <c r="N25" s="3" cm="1">
        <f t="array" ref="N25">IFERROR(
SUM(_xlfn._xlws.FILTER(Table_KHThanThiet_ChinhSach[Điểm thưởng tối đa],
(Table_KHThanThiet_ChinhSach[Tỷ lệ điểm thưởng]&lt;Table_KHThanThiet_ChinhSach[[#This Row],[Tỷ lệ điểm thưởng]])
)),0)</f>
        <v>500000</v>
      </c>
      <c r="P25" s="28">
        <v>45798</v>
      </c>
      <c r="Q25" s="35" t="s">
        <v>50</v>
      </c>
      <c r="R25" s="32">
        <v>2657717</v>
      </c>
      <c r="S25" s="33" cm="1">
        <f t="array" ref="S2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1797.4999999999709</v>
      </c>
      <c r="T25" s="31">
        <v>80000</v>
      </c>
      <c r="U25" s="29">
        <f>Table_DonBan[[#This Row],[Tiền hàng]]-Table_DonBan[[#This Row],[Điểm sử dụng]]</f>
        <v>2577717</v>
      </c>
      <c r="V25" s="3" cm="1">
        <f t="array" ref="V2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12335950</v>
      </c>
      <c r="W25" s="36" cm="1">
        <f t="array" ref="W25">+IFERROR(
MAX(_xlfn._xlws.FILTER(Table_KHThanThiet_ChinhSach[Tỷ lệ điểm thưởng],
(Table_KHThanThiet_ChinhSach[Doanh thu tối thiểu]&lt;=Table_DonBan[[#This Row],[Doanh thu tính điểm]])
)),0)</f>
        <v>0.05</v>
      </c>
      <c r="X25" s="37">
        <f xml:space="preserve">
Table_DonBan[[#This Row],[Tỷ lệ tính điểm]]*Table_DonBan[[#This Row],[Doanh thu ròng]]</f>
        <v>128885.85</v>
      </c>
    </row>
    <row r="26" spans="2:24" ht="16.5" x14ac:dyDescent="0.3">
      <c r="B26"/>
      <c r="C26"/>
      <c r="D26"/>
      <c r="F26" s="8" t="s">
        <v>50</v>
      </c>
      <c r="G26">
        <v>1797.4999999999709</v>
      </c>
      <c r="I26" s="1" t="s">
        <v>36</v>
      </c>
      <c r="J26" s="2">
        <v>35000000</v>
      </c>
      <c r="K26" s="2">
        <v>60000000</v>
      </c>
      <c r="L26" s="5">
        <v>0.15</v>
      </c>
      <c r="M26" s="3">
        <f>IF(ISBLANK(Table_KHThanThiet_ChinhSach[[#This Row],[Doanh thu tối đa]]),0,(Table_KHThanThiet_ChinhSach[[#This Row],[Doanh thu tối đa]]-Table_KHThanThiet_ChinhSach[[#This Row],[Doanh thu tối thiểu]])*Table_KHThanThiet_ChinhSach[[#This Row],[Tỷ lệ điểm thưởng]])</f>
        <v>3750000</v>
      </c>
      <c r="N26" s="3" cm="1">
        <f t="array" ref="N26">IFERROR(
SUM(_xlfn._xlws.FILTER(Table_KHThanThiet_ChinhSach[Điểm thưởng tối đa],
(Table_KHThanThiet_ChinhSach[Tỷ lệ điểm thưởng]&lt;Table_KHThanThiet_ChinhSach[[#This Row],[Tỷ lệ điểm thưởng]])
)),0)</f>
        <v>2000000</v>
      </c>
      <c r="P26" s="28">
        <v>45796</v>
      </c>
      <c r="Q26" s="35" t="s">
        <v>52</v>
      </c>
      <c r="R26" s="32">
        <v>2302992</v>
      </c>
      <c r="S26" s="33" cm="1">
        <f t="array" ref="S2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6" s="31"/>
      <c r="U26" s="29">
        <f>Table_DonBan[[#This Row],[Tiền hàng]]-Table_DonBan[[#This Row],[Điểm sử dụng]]</f>
        <v>2302992</v>
      </c>
      <c r="V26" s="3" cm="1">
        <f t="array" ref="V2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8177704</v>
      </c>
      <c r="W26" s="36" cm="1">
        <f t="array" ref="W26">+IFERROR(
MAX(_xlfn._xlws.FILTER(Table_KHThanThiet_ChinhSach[Tỷ lệ điểm thưởng],
(Table_KHThanThiet_ChinhSach[Doanh thu tối thiểu]&lt;=Table_DonBan[[#This Row],[Doanh thu tính điểm]])
)),0)</f>
        <v>0</v>
      </c>
      <c r="X26" s="37">
        <f xml:space="preserve">
Table_DonBan[[#This Row],[Tỷ lệ tính điểm]]*Table_DonBan[[#This Row],[Doanh thu ròng]]</f>
        <v>0</v>
      </c>
    </row>
    <row r="27" spans="2:24" ht="16.5" x14ac:dyDescent="0.3">
      <c r="B27"/>
      <c r="C27"/>
      <c r="D27"/>
      <c r="F27" s="8" t="s">
        <v>58</v>
      </c>
      <c r="G27">
        <v>86372.350000000049</v>
      </c>
      <c r="I27" s="1" t="s">
        <v>37</v>
      </c>
      <c r="J27" s="2">
        <v>60000000</v>
      </c>
      <c r="K27" s="2">
        <v>100000000</v>
      </c>
      <c r="L27" s="5">
        <v>0.2</v>
      </c>
      <c r="M27" s="3">
        <f>IF(ISBLANK(Table_KHThanThiet_ChinhSach[[#This Row],[Doanh thu tối đa]]),0,(Table_KHThanThiet_ChinhSach[[#This Row],[Doanh thu tối đa]]-Table_KHThanThiet_ChinhSach[[#This Row],[Doanh thu tối thiểu]])*Table_KHThanThiet_ChinhSach[[#This Row],[Tỷ lệ điểm thưởng]])</f>
        <v>8000000</v>
      </c>
      <c r="N27" s="3" cm="1">
        <f t="array" ref="N27">IFERROR(
SUM(_xlfn._xlws.FILTER(Table_KHThanThiet_ChinhSach[Điểm thưởng tối đa],
(Table_KHThanThiet_ChinhSach[Tỷ lệ điểm thưởng]&lt;Table_KHThanThiet_ChinhSach[[#This Row],[Tỷ lệ điểm thưởng]])
)),0)</f>
        <v>5750000</v>
      </c>
      <c r="P27" s="28">
        <v>45795</v>
      </c>
      <c r="Q27" s="35" t="s">
        <v>50</v>
      </c>
      <c r="R27" s="32">
        <v>1675953</v>
      </c>
      <c r="S27" s="33" cm="1">
        <f t="array" ref="S2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27" s="31">
        <v>150000</v>
      </c>
      <c r="U27" s="29">
        <f>Table_DonBan[[#This Row],[Tiền hàng]]-Table_DonBan[[#This Row],[Điểm sử dụng]]</f>
        <v>1525953</v>
      </c>
      <c r="V27" s="3" cm="1">
        <f t="array" ref="V2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13686470</v>
      </c>
      <c r="W27" s="36" cm="1">
        <f t="array" ref="W27">+IFERROR(
MAX(_xlfn._xlws.FILTER(Table_KHThanThiet_ChinhSach[Tỷ lệ điểm thưởng],
(Table_KHThanThiet_ChinhSach[Doanh thu tối thiểu]&lt;=Table_DonBan[[#This Row],[Doanh thu tính điểm]])
)),0)</f>
        <v>0.05</v>
      </c>
      <c r="X27" s="37">
        <f xml:space="preserve">
Table_DonBan[[#This Row],[Tỷ lệ tính điểm]]*Table_DonBan[[#This Row],[Doanh thu ròng]]</f>
        <v>76297.650000000009</v>
      </c>
    </row>
    <row r="28" spans="2:24" ht="16.5" x14ac:dyDescent="0.3">
      <c r="B28"/>
      <c r="C28"/>
      <c r="D28"/>
      <c r="F28"/>
      <c r="G28"/>
      <c r="I28" s="1" t="s">
        <v>38</v>
      </c>
      <c r="J28" s="2">
        <v>100000000</v>
      </c>
      <c r="K28" s="2"/>
      <c r="L28" s="5">
        <v>0.25</v>
      </c>
      <c r="M28" s="3">
        <f>IF(ISBLANK(Table_KHThanThiet_ChinhSach[[#This Row],[Doanh thu tối đa]]),0,(Table_KHThanThiet_ChinhSach[[#This Row],[Doanh thu tối đa]]-Table_KHThanThiet_ChinhSach[[#This Row],[Doanh thu tối thiểu]])*Table_KHThanThiet_ChinhSach[[#This Row],[Tỷ lệ điểm thưởng]])</f>
        <v>0</v>
      </c>
      <c r="N28" s="3" cm="1">
        <f t="array" ref="N28">IFERROR(
SUM(_xlfn._xlws.FILTER(Table_KHThanThiet_ChinhSach[Điểm thưởng tối đa],
(Table_KHThanThiet_ChinhSach[Tỷ lệ điểm thưởng]&lt;Table_KHThanThiet_ChinhSach[[#This Row],[Tỷ lệ điểm thưởng]])
)),0)</f>
        <v>13750000</v>
      </c>
      <c r="P28" s="28">
        <v>45795</v>
      </c>
      <c r="Q28" s="35" t="s">
        <v>49</v>
      </c>
      <c r="R28" s="32">
        <v>2616228</v>
      </c>
      <c r="S28" s="33" cm="1">
        <f t="array" ref="S2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86372.350000000049</v>
      </c>
      <c r="T28" s="31"/>
      <c r="U28" s="29">
        <f>Table_DonBan[[#This Row],[Tiền hàng]]-Table_DonBan[[#This Row],[Điểm sử dụng]]</f>
        <v>2616228</v>
      </c>
      <c r="V28" s="3" cm="1">
        <f t="array" ref="V2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10083622</v>
      </c>
      <c r="W28" s="36" cm="1">
        <f t="array" ref="W28">+IFERROR(
MAX(_xlfn._xlws.FILTER(Table_KHThanThiet_ChinhSach[Tỷ lệ điểm thưởng],
(Table_KHThanThiet_ChinhSach[Doanh thu tối thiểu]&lt;=Table_DonBan[[#This Row],[Doanh thu tính điểm]])
)),0)</f>
        <v>0.05</v>
      </c>
      <c r="X28" s="37">
        <f xml:space="preserve">
Table_DonBan[[#This Row],[Tỷ lệ tính điểm]]*Table_DonBan[[#This Row],[Doanh thu ròng]]</f>
        <v>130811.40000000001</v>
      </c>
    </row>
    <row r="29" spans="2:24" ht="16.5" x14ac:dyDescent="0.3">
      <c r="B29"/>
      <c r="C29"/>
      <c r="D29"/>
      <c r="F29"/>
      <c r="G29"/>
      <c r="P29" s="28">
        <v>45794</v>
      </c>
      <c r="Q29" s="35" t="s">
        <v>49</v>
      </c>
      <c r="R29" s="32">
        <v>1535745</v>
      </c>
      <c r="S29" s="33" cm="1">
        <f t="array" ref="S2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86372.350000000035</v>
      </c>
      <c r="T29" s="31">
        <v>100000</v>
      </c>
      <c r="U29" s="29">
        <f>Table_DonBan[[#This Row],[Tiền hàng]]-Table_DonBan[[#This Row],[Điểm sử dụng]]</f>
        <v>1435745</v>
      </c>
      <c r="V29" s="3" cm="1">
        <f t="array" ref="V2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8647877</v>
      </c>
      <c r="W29" s="36" cm="1">
        <f t="array" ref="W29">+IFERROR(
MAX(_xlfn._xlws.FILTER(Table_KHThanThiet_ChinhSach[Tỷ lệ điểm thưởng],
(Table_KHThanThiet_ChinhSach[Doanh thu tối thiểu]&lt;=Table_DonBan[[#This Row],[Doanh thu tính điểm]])
)),0)</f>
        <v>0</v>
      </c>
      <c r="X29" s="37">
        <f xml:space="preserve">
Table_DonBan[[#This Row],[Tỷ lệ tính điểm]]*Table_DonBan[[#This Row],[Doanh thu ròng]]</f>
        <v>0</v>
      </c>
    </row>
    <row r="30" spans="2:24" ht="16.5" x14ac:dyDescent="0.3">
      <c r="B30"/>
      <c r="C30"/>
      <c r="D30"/>
      <c r="F30"/>
      <c r="G30"/>
      <c r="P30" s="28">
        <v>45789</v>
      </c>
      <c r="Q30" s="35" t="s">
        <v>50</v>
      </c>
      <c r="R30" s="32">
        <v>2950585</v>
      </c>
      <c r="S30" s="33" cm="1">
        <f t="array" ref="S3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0" s="31">
        <v>40000</v>
      </c>
      <c r="U30" s="29">
        <f>Table_DonBan[[#This Row],[Tiền hàng]]-Table_DonBan[[#This Row],[Điểm sử dụng]]</f>
        <v>2910585</v>
      </c>
      <c r="V30" s="3" cm="1">
        <f t="array" ref="V3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13288238</v>
      </c>
      <c r="W30" s="36" cm="1">
        <f t="array" ref="W30">+IFERROR(
MAX(_xlfn._xlws.FILTER(Table_KHThanThiet_ChinhSach[Tỷ lệ điểm thưởng],
(Table_KHThanThiet_ChinhSach[Doanh thu tối thiểu]&lt;=Table_DonBan[[#This Row],[Doanh thu tính điểm]])
)),0)</f>
        <v>0.05</v>
      </c>
      <c r="X30" s="37">
        <f xml:space="preserve">
Table_DonBan[[#This Row],[Tỷ lệ tính điểm]]*Table_DonBan[[#This Row],[Doanh thu ròng]]</f>
        <v>145529.25</v>
      </c>
    </row>
    <row r="31" spans="2:24" ht="16.5" x14ac:dyDescent="0.3">
      <c r="B31"/>
      <c r="C31"/>
      <c r="D31"/>
      <c r="F31"/>
      <c r="G31"/>
      <c r="P31" s="28">
        <v>45788</v>
      </c>
      <c r="Q31" s="35" t="s">
        <v>51</v>
      </c>
      <c r="R31" s="32">
        <v>2683212</v>
      </c>
      <c r="S31" s="33" cm="1">
        <f t="array" ref="S3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1" s="31"/>
      <c r="U31" s="29">
        <f>Table_DonBan[[#This Row],[Tiền hàng]]-Table_DonBan[[#This Row],[Điểm sử dụng]]</f>
        <v>2683212</v>
      </c>
      <c r="V31" s="3" cm="1">
        <f t="array" ref="V3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7154261</v>
      </c>
      <c r="W31" s="36" cm="1">
        <f t="array" ref="W31">+IFERROR(
MAX(_xlfn._xlws.FILTER(Table_KHThanThiet_ChinhSach[Tỷ lệ điểm thưởng],
(Table_KHThanThiet_ChinhSach[Doanh thu tối thiểu]&lt;=Table_DonBan[[#This Row],[Doanh thu tính điểm]])
)),0)</f>
        <v>0</v>
      </c>
      <c r="X31" s="37">
        <f xml:space="preserve">
Table_DonBan[[#This Row],[Tỷ lệ tính điểm]]*Table_DonBan[[#This Row],[Doanh thu ròng]]</f>
        <v>0</v>
      </c>
    </row>
    <row r="32" spans="2:24" ht="16.5" x14ac:dyDescent="0.3">
      <c r="B32"/>
      <c r="C32"/>
      <c r="D32"/>
      <c r="F32"/>
      <c r="G32"/>
      <c r="P32" s="28">
        <v>45787</v>
      </c>
      <c r="Q32" s="35" t="s">
        <v>49</v>
      </c>
      <c r="R32" s="32">
        <v>1988900</v>
      </c>
      <c r="S32" s="33" cm="1">
        <f t="array" ref="S3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2" s="31">
        <v>100000</v>
      </c>
      <c r="U32" s="29">
        <f>Table_DonBan[[#This Row],[Tiền hàng]]-Table_DonBan[[#This Row],[Điểm sử dụng]]</f>
        <v>1888900</v>
      </c>
      <c r="V32" s="3" cm="1">
        <f t="array" ref="V3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13039800</v>
      </c>
      <c r="W32" s="36" cm="1">
        <f t="array" ref="W32">+IFERROR(
MAX(_xlfn._xlws.FILTER(Table_KHThanThiet_ChinhSach[Tỷ lệ điểm thưởng],
(Table_KHThanThiet_ChinhSach[Doanh thu tối thiểu]&lt;=Table_DonBan[[#This Row],[Doanh thu tính điểm]])
)),0)</f>
        <v>0.05</v>
      </c>
      <c r="X32" s="37">
        <f xml:space="preserve">
Table_DonBan[[#This Row],[Tỷ lệ tính điểm]]*Table_DonBan[[#This Row],[Doanh thu ròng]]</f>
        <v>94445</v>
      </c>
    </row>
    <row r="33" spans="2:24" ht="16.5" x14ac:dyDescent="0.3">
      <c r="B33"/>
      <c r="C33"/>
      <c r="D33"/>
      <c r="F33"/>
      <c r="G33"/>
      <c r="P33" s="28">
        <v>45786</v>
      </c>
      <c r="Q33" s="35" t="s">
        <v>51</v>
      </c>
      <c r="R33" s="32">
        <v>2021441</v>
      </c>
      <c r="S33" s="33" cm="1">
        <f t="array" ref="S3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63965.25</v>
      </c>
      <c r="T33" s="31"/>
      <c r="U33" s="29">
        <f>Table_DonBan[[#This Row],[Tiền hàng]]-Table_DonBan[[#This Row],[Điểm sử dụng]]</f>
        <v>2021441</v>
      </c>
      <c r="V33" s="3" cm="1">
        <f t="array" ref="V3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8052657</v>
      </c>
      <c r="W33" s="36" cm="1">
        <f t="array" ref="W33">+IFERROR(
MAX(_xlfn._xlws.FILTER(Table_KHThanThiet_ChinhSach[Tỷ lệ điểm thưởng],
(Table_KHThanThiet_ChinhSach[Doanh thu tối thiểu]&lt;=Table_DonBan[[#This Row],[Doanh thu tính điểm]])
)),0)</f>
        <v>0</v>
      </c>
      <c r="X33" s="37">
        <f xml:space="preserve">
Table_DonBan[[#This Row],[Tỷ lệ tính điểm]]*Table_DonBan[[#This Row],[Doanh thu ròng]]</f>
        <v>0</v>
      </c>
    </row>
    <row r="34" spans="2:24" ht="16.5" x14ac:dyDescent="0.3">
      <c r="B34"/>
      <c r="C34"/>
      <c r="D34"/>
      <c r="F34"/>
      <c r="G34"/>
      <c r="P34" s="28">
        <v>45786</v>
      </c>
      <c r="Q34" s="35" t="s">
        <v>52</v>
      </c>
      <c r="R34" s="32">
        <v>1316052</v>
      </c>
      <c r="S34" s="33" cm="1">
        <f t="array" ref="S3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4" s="31"/>
      <c r="U34" s="29">
        <f>Table_DonBan[[#This Row],[Tiền hàng]]-Table_DonBan[[#This Row],[Điểm sử dụng]]</f>
        <v>1316052</v>
      </c>
      <c r="V34" s="3" cm="1">
        <f t="array" ref="V3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9351040</v>
      </c>
      <c r="W34" s="36" cm="1">
        <f t="array" ref="W34">+IFERROR(
MAX(_xlfn._xlws.FILTER(Table_KHThanThiet_ChinhSach[Tỷ lệ điểm thưởng],
(Table_KHThanThiet_ChinhSach[Doanh thu tối thiểu]&lt;=Table_DonBan[[#This Row],[Doanh thu tính điểm]])
)),0)</f>
        <v>0</v>
      </c>
      <c r="X34" s="37">
        <f xml:space="preserve">
Table_DonBan[[#This Row],[Tỷ lệ tính điểm]]*Table_DonBan[[#This Row],[Doanh thu ròng]]</f>
        <v>0</v>
      </c>
    </row>
    <row r="35" spans="2:24" ht="16.5" x14ac:dyDescent="0.3">
      <c r="B35"/>
      <c r="C35"/>
      <c r="D35"/>
      <c r="F35"/>
      <c r="G35"/>
      <c r="P35" s="28">
        <v>45786</v>
      </c>
      <c r="Q35" s="35" t="s">
        <v>49</v>
      </c>
      <c r="R35" s="32">
        <v>2298934</v>
      </c>
      <c r="S35" s="33" cm="1">
        <f t="array" ref="S3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5" s="31"/>
      <c r="U35" s="29">
        <f>Table_DonBan[[#This Row],[Tiền hàng]]-Table_DonBan[[#This Row],[Điểm sử dụng]]</f>
        <v>2298934</v>
      </c>
      <c r="V35" s="3" cm="1">
        <f t="array" ref="V3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10740866</v>
      </c>
      <c r="W35" s="36" cm="1">
        <f t="array" ref="W35">+IFERROR(
MAX(_xlfn._xlws.FILTER(Table_KHThanThiet_ChinhSach[Tỷ lệ điểm thưởng],
(Table_KHThanThiet_ChinhSach[Doanh thu tối thiểu]&lt;=Table_DonBan[[#This Row],[Doanh thu tính điểm]])
)),0)</f>
        <v>0.05</v>
      </c>
      <c r="X35" s="37">
        <f xml:space="preserve">
Table_DonBan[[#This Row],[Tỷ lệ tính điểm]]*Table_DonBan[[#This Row],[Doanh thu ròng]]</f>
        <v>114946.70000000001</v>
      </c>
    </row>
    <row r="36" spans="2:24" ht="16.5" x14ac:dyDescent="0.3">
      <c r="B36"/>
      <c r="C36"/>
      <c r="D36"/>
      <c r="F36"/>
      <c r="G36"/>
      <c r="P36" s="28">
        <v>45783</v>
      </c>
      <c r="Q36" s="35" t="s">
        <v>50</v>
      </c>
      <c r="R36" s="32">
        <v>1108323</v>
      </c>
      <c r="S36" s="33" cm="1">
        <f t="array" ref="S3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6" s="31">
        <v>120000</v>
      </c>
      <c r="U36" s="29">
        <f>Table_DonBan[[#This Row],[Tiền hàng]]-Table_DonBan[[#This Row],[Điểm sử dụng]]</f>
        <v>988323</v>
      </c>
      <c r="V36" s="3" cm="1">
        <f t="array" ref="V3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14500296</v>
      </c>
      <c r="W36" s="36" cm="1">
        <f t="array" ref="W36">+IFERROR(
MAX(_xlfn._xlws.FILTER(Table_KHThanThiet_ChinhSach[Tỷ lệ điểm thưởng],
(Table_KHThanThiet_ChinhSach[Doanh thu tối thiểu]&lt;=Table_DonBan[[#This Row],[Doanh thu tính điểm]])
)),0)</f>
        <v>0.05</v>
      </c>
      <c r="X36" s="37">
        <f xml:space="preserve">
Table_DonBan[[#This Row],[Tỷ lệ tính điểm]]*Table_DonBan[[#This Row],[Doanh thu ròng]]</f>
        <v>49416.15</v>
      </c>
    </row>
    <row r="37" spans="2:24" ht="16.5" x14ac:dyDescent="0.3">
      <c r="B37"/>
      <c r="C37"/>
      <c r="D37"/>
      <c r="F37"/>
      <c r="G37"/>
      <c r="P37" s="28">
        <v>45783</v>
      </c>
      <c r="Q37" s="35" t="s">
        <v>52</v>
      </c>
      <c r="R37" s="32">
        <v>1545984</v>
      </c>
      <c r="S37" s="33" cm="1">
        <f t="array" ref="S3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7" s="31"/>
      <c r="U37" s="29">
        <f>Table_DonBan[[#This Row],[Tiền hàng]]-Table_DonBan[[#This Row],[Điểm sử dụng]]</f>
        <v>1545984</v>
      </c>
      <c r="V37" s="3" cm="1">
        <f t="array" ref="V3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7805056</v>
      </c>
      <c r="W37" s="36" cm="1">
        <f t="array" ref="W37">+IFERROR(
MAX(_xlfn._xlws.FILTER(Table_KHThanThiet_ChinhSach[Tỷ lệ điểm thưởng],
(Table_KHThanThiet_ChinhSach[Doanh thu tối thiểu]&lt;=Table_DonBan[[#This Row],[Doanh thu tính điểm]])
)),0)</f>
        <v>0</v>
      </c>
      <c r="X37" s="37">
        <f xml:space="preserve">
Table_DonBan[[#This Row],[Tỷ lệ tính điểm]]*Table_DonBan[[#This Row],[Doanh thu ròng]]</f>
        <v>0</v>
      </c>
    </row>
    <row r="38" spans="2:24" ht="16.5" x14ac:dyDescent="0.3">
      <c r="B38"/>
      <c r="C38"/>
      <c r="D38"/>
      <c r="F38"/>
      <c r="G38"/>
      <c r="P38" s="28">
        <v>45781</v>
      </c>
      <c r="Q38" s="35" t="s">
        <v>49</v>
      </c>
      <c r="R38" s="32">
        <v>1539613</v>
      </c>
      <c r="S38" s="33" cm="1">
        <f t="array" ref="S3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8" s="31"/>
      <c r="U38" s="29">
        <f>Table_DonBan[[#This Row],[Tiền hàng]]-Table_DonBan[[#This Row],[Điểm sử dụng]]</f>
        <v>1539613</v>
      </c>
      <c r="V38" s="3" cm="1">
        <f t="array" ref="V3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11044596</v>
      </c>
      <c r="W38" s="36" cm="1">
        <f t="array" ref="W38">+IFERROR(
MAX(_xlfn._xlws.FILTER(Table_KHThanThiet_ChinhSach[Tỷ lệ điểm thưởng],
(Table_KHThanThiet_ChinhSach[Doanh thu tối thiểu]&lt;=Table_DonBan[[#This Row],[Doanh thu tính điểm]])
)),0)</f>
        <v>0.05</v>
      </c>
      <c r="X38" s="37">
        <f xml:space="preserve">
Table_DonBan[[#This Row],[Tỷ lệ tính điểm]]*Table_DonBan[[#This Row],[Doanh thu ròng]]</f>
        <v>76980.650000000009</v>
      </c>
    </row>
    <row r="39" spans="2:24" ht="16.5" x14ac:dyDescent="0.3">
      <c r="B39"/>
      <c r="C39"/>
      <c r="D39"/>
      <c r="F39"/>
      <c r="G39"/>
      <c r="P39" s="28">
        <v>45778</v>
      </c>
      <c r="Q39" s="35" t="s">
        <v>50</v>
      </c>
      <c r="R39" s="32">
        <v>2542136</v>
      </c>
      <c r="S39" s="33" cm="1">
        <f t="array" ref="S3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39" s="31">
        <v>145000</v>
      </c>
      <c r="U39" s="29">
        <f>Table_DonBan[[#This Row],[Tiền hàng]]-Table_DonBan[[#This Row],[Điểm sử dụng]]</f>
        <v>2397136</v>
      </c>
      <c r="V39" s="3" cm="1">
        <f t="array" ref="V3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15797241</v>
      </c>
      <c r="W39" s="36" cm="1">
        <f t="array" ref="W39">+IFERROR(
MAX(_xlfn._xlws.FILTER(Table_KHThanThiet_ChinhSach[Tỷ lệ điểm thưởng],
(Table_KHThanThiet_ChinhSach[Doanh thu tối thiểu]&lt;=Table_DonBan[[#This Row],[Doanh thu tính điểm]])
)),0)</f>
        <v>0.05</v>
      </c>
      <c r="X39" s="37">
        <f xml:space="preserve">
Table_DonBan[[#This Row],[Tỷ lệ tính điểm]]*Table_DonBan[[#This Row],[Doanh thu ròng]]</f>
        <v>119856.8</v>
      </c>
    </row>
    <row r="40" spans="2:24" ht="16.5" x14ac:dyDescent="0.3">
      <c r="B40"/>
      <c r="C40"/>
      <c r="D40"/>
      <c r="P40" s="28">
        <v>45778</v>
      </c>
      <c r="Q40" s="35" t="s">
        <v>52</v>
      </c>
      <c r="R40" s="32">
        <v>1255487</v>
      </c>
      <c r="S40" s="33" cm="1">
        <f t="array" ref="S4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0" s="31"/>
      <c r="U40" s="29">
        <f>Table_DonBan[[#This Row],[Tiền hàng]]-Table_DonBan[[#This Row],[Điểm sử dụng]]</f>
        <v>1255487</v>
      </c>
      <c r="V40" s="3" cm="1">
        <f t="array" ref="V4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8275374</v>
      </c>
      <c r="W40" s="36" cm="1">
        <f t="array" ref="W40">+IFERROR(
MAX(_xlfn._xlws.FILTER(Table_KHThanThiet_ChinhSach[Tỷ lệ điểm thưởng],
(Table_KHThanThiet_ChinhSach[Doanh thu tối thiểu]&lt;=Table_DonBan[[#This Row],[Doanh thu tính điểm]])
)),0)</f>
        <v>0</v>
      </c>
      <c r="X40" s="37">
        <f xml:space="preserve">
Table_DonBan[[#This Row],[Tỷ lệ tính điểm]]*Table_DonBan[[#This Row],[Doanh thu ròng]]</f>
        <v>0</v>
      </c>
    </row>
    <row r="41" spans="2:24" ht="16.5" x14ac:dyDescent="0.3">
      <c r="B41"/>
      <c r="C41"/>
      <c r="D41"/>
      <c r="P41" s="28">
        <v>45776</v>
      </c>
      <c r="Q41" s="35" t="s">
        <v>51</v>
      </c>
      <c r="R41" s="32">
        <v>1279305</v>
      </c>
      <c r="S41" s="33" cm="1">
        <f t="array" ref="S4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1" s="31"/>
      <c r="U41" s="29">
        <f>Table_DonBan[[#This Row],[Tiền hàng]]-Table_DonBan[[#This Row],[Điểm sử dụng]]</f>
        <v>1279305</v>
      </c>
      <c r="V41" s="3" cm="1">
        <f t="array" ref="V4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10358525</v>
      </c>
      <c r="W41" s="36" cm="1">
        <f t="array" ref="W41">+IFERROR(
MAX(_xlfn._xlws.FILTER(Table_KHThanThiet_ChinhSach[Tỷ lệ điểm thưởng],
(Table_KHThanThiet_ChinhSach[Doanh thu tối thiểu]&lt;=Table_DonBan[[#This Row],[Doanh thu tính điểm]])
)),0)</f>
        <v>0.05</v>
      </c>
      <c r="X41" s="37">
        <f xml:space="preserve">
Table_DonBan[[#This Row],[Tỷ lệ tính điểm]]*Table_DonBan[[#This Row],[Doanh thu ròng]]</f>
        <v>63965.25</v>
      </c>
    </row>
    <row r="42" spans="2:24" ht="16.5" x14ac:dyDescent="0.3">
      <c r="B42"/>
      <c r="C42"/>
      <c r="D42"/>
      <c r="P42" s="28">
        <v>45775</v>
      </c>
      <c r="Q42" s="35" t="s">
        <v>51</v>
      </c>
      <c r="R42" s="32">
        <v>1279420</v>
      </c>
      <c r="S42" s="33" cm="1">
        <f t="array" ref="S4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2" s="31"/>
      <c r="U42" s="29">
        <f>Table_DonBan[[#This Row],[Tiền hàng]]-Table_DonBan[[#This Row],[Điểm sử dụng]]</f>
        <v>1279420</v>
      </c>
      <c r="V42" s="3" cm="1">
        <f t="array" ref="V4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9079105</v>
      </c>
      <c r="W42" s="36" cm="1">
        <f t="array" ref="W42">+IFERROR(
MAX(_xlfn._xlws.FILTER(Table_KHThanThiet_ChinhSach[Tỷ lệ điểm thưởng],
(Table_KHThanThiet_ChinhSach[Doanh thu tối thiểu]&lt;=Table_DonBan[[#This Row],[Doanh thu tính điểm]])
)),0)</f>
        <v>0</v>
      </c>
      <c r="X42" s="37">
        <f xml:space="preserve">
Table_DonBan[[#This Row],[Tỷ lệ tính điểm]]*Table_DonBan[[#This Row],[Doanh thu ròng]]</f>
        <v>0</v>
      </c>
    </row>
    <row r="43" spans="2:24" ht="16.5" x14ac:dyDescent="0.3">
      <c r="B43"/>
      <c r="C43"/>
      <c r="D43"/>
      <c r="P43" s="28">
        <v>45775</v>
      </c>
      <c r="Q43" s="35" t="s">
        <v>52</v>
      </c>
      <c r="R43" s="32">
        <v>2799836</v>
      </c>
      <c r="S43" s="33" cm="1">
        <f t="array" ref="S4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3" s="31"/>
      <c r="U43" s="29">
        <f>Table_DonBan[[#This Row],[Tiền hàng]]-Table_DonBan[[#This Row],[Điểm sử dụng]]</f>
        <v>2799836</v>
      </c>
      <c r="V43" s="3" cm="1">
        <f t="array" ref="V4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5475538</v>
      </c>
      <c r="W43" s="36" cm="1">
        <f t="array" ref="W43">+IFERROR(
MAX(_xlfn._xlws.FILTER(Table_KHThanThiet_ChinhSach[Tỷ lệ điểm thưởng],
(Table_KHThanThiet_ChinhSach[Doanh thu tối thiểu]&lt;=Table_DonBan[[#This Row],[Doanh thu tính điểm]])
)),0)</f>
        <v>0</v>
      </c>
      <c r="X43" s="37">
        <f xml:space="preserve">
Table_DonBan[[#This Row],[Tỷ lệ tính điểm]]*Table_DonBan[[#This Row],[Doanh thu ròng]]</f>
        <v>0</v>
      </c>
    </row>
    <row r="44" spans="2:24" ht="16.5" x14ac:dyDescent="0.3">
      <c r="B44"/>
      <c r="C44"/>
      <c r="D44"/>
      <c r="P44" s="28">
        <v>45775</v>
      </c>
      <c r="Q44" s="35" t="s">
        <v>49</v>
      </c>
      <c r="R44" s="32">
        <v>2920430</v>
      </c>
      <c r="S44" s="33" cm="1">
        <f t="array" ref="S4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4" s="31"/>
      <c r="U44" s="29">
        <f>Table_DonBan[[#This Row],[Tiền hàng]]-Table_DonBan[[#This Row],[Điểm sử dụng]]</f>
        <v>2920430</v>
      </c>
      <c r="V44" s="3" cm="1">
        <f t="array" ref="V4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9226791</v>
      </c>
      <c r="W44" s="36" cm="1">
        <f t="array" ref="W44">+IFERROR(
MAX(_xlfn._xlws.FILTER(Table_KHThanThiet_ChinhSach[Tỷ lệ điểm thưởng],
(Table_KHThanThiet_ChinhSach[Doanh thu tối thiểu]&lt;=Table_DonBan[[#This Row],[Doanh thu tính điểm]])
)),0)</f>
        <v>0</v>
      </c>
      <c r="X44" s="37">
        <f xml:space="preserve">
Table_DonBan[[#This Row],[Tỷ lệ tính điểm]]*Table_DonBan[[#This Row],[Doanh thu ròng]]</f>
        <v>0</v>
      </c>
    </row>
    <row r="45" spans="2:24" ht="16.5" x14ac:dyDescent="0.3">
      <c r="B45"/>
      <c r="C45"/>
      <c r="D45"/>
      <c r="P45" s="28">
        <v>45771</v>
      </c>
      <c r="Q45" s="35" t="s">
        <v>50</v>
      </c>
      <c r="R45" s="32">
        <v>2964215</v>
      </c>
      <c r="S45" s="33" cm="1">
        <f t="array" ref="S4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5" s="31">
        <v>80000</v>
      </c>
      <c r="U45" s="29">
        <f>Table_DonBan[[#This Row],[Tiền hàng]]-Table_DonBan[[#This Row],[Điểm sử dụng]]</f>
        <v>2884215</v>
      </c>
      <c r="V45" s="3" cm="1">
        <f t="array" ref="V4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12913026</v>
      </c>
      <c r="W45" s="36" cm="1">
        <f t="array" ref="W45">+IFERROR(
MAX(_xlfn._xlws.FILTER(Table_KHThanThiet_ChinhSach[Tỷ lệ điểm thưởng],
(Table_KHThanThiet_ChinhSach[Doanh thu tối thiểu]&lt;=Table_DonBan[[#This Row],[Doanh thu tính điểm]])
)),0)</f>
        <v>0.05</v>
      </c>
      <c r="X45" s="37">
        <f xml:space="preserve">
Table_DonBan[[#This Row],[Tỷ lệ tính điểm]]*Table_DonBan[[#This Row],[Doanh thu ròng]]</f>
        <v>144210.75</v>
      </c>
    </row>
    <row r="46" spans="2:24" ht="16.5" x14ac:dyDescent="0.3">
      <c r="B46"/>
      <c r="C46"/>
      <c r="D46"/>
      <c r="P46" s="28">
        <v>45769</v>
      </c>
      <c r="Q46" s="35" t="s">
        <v>50</v>
      </c>
      <c r="R46" s="32">
        <v>1629738</v>
      </c>
      <c r="S46" s="33" cm="1">
        <f t="array" ref="S4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6" s="31"/>
      <c r="U46" s="29">
        <f>Table_DonBan[[#This Row],[Tiền hàng]]-Table_DonBan[[#This Row],[Điểm sử dụng]]</f>
        <v>1629738</v>
      </c>
      <c r="V46" s="3" cm="1">
        <f t="array" ref="V4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11283288</v>
      </c>
      <c r="W46" s="36" cm="1">
        <f t="array" ref="W46">+IFERROR(
MAX(_xlfn._xlws.FILTER(Table_KHThanThiet_ChinhSach[Tỷ lệ điểm thưởng],
(Table_KHThanThiet_ChinhSach[Doanh thu tối thiểu]&lt;=Table_DonBan[[#This Row],[Doanh thu tính điểm]])
)),0)</f>
        <v>0.05</v>
      </c>
      <c r="X46" s="37">
        <f xml:space="preserve">
Table_DonBan[[#This Row],[Tỷ lệ tính điểm]]*Table_DonBan[[#This Row],[Doanh thu ròng]]</f>
        <v>81486.900000000009</v>
      </c>
    </row>
    <row r="47" spans="2:24" ht="16.5" x14ac:dyDescent="0.3">
      <c r="B47"/>
      <c r="C47"/>
      <c r="D47"/>
      <c r="P47" s="28">
        <v>45768</v>
      </c>
      <c r="Q47" s="35" t="s">
        <v>52</v>
      </c>
      <c r="R47" s="32">
        <v>1260345</v>
      </c>
      <c r="S47" s="33" cm="1">
        <f t="array" ref="S4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7" s="31"/>
      <c r="U47" s="29">
        <f>Table_DonBan[[#This Row],[Tiền hàng]]-Table_DonBan[[#This Row],[Điểm sử dụng]]</f>
        <v>1260345</v>
      </c>
      <c r="V47" s="3" cm="1">
        <f t="array" ref="V4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4215193</v>
      </c>
      <c r="W47" s="36" cm="1">
        <f t="array" ref="W47">+IFERROR(
MAX(_xlfn._xlws.FILTER(Table_KHThanThiet_ChinhSach[Tỷ lệ điểm thưởng],
(Table_KHThanThiet_ChinhSach[Doanh thu tối thiểu]&lt;=Table_DonBan[[#This Row],[Doanh thu tính điểm]])
)),0)</f>
        <v>0</v>
      </c>
      <c r="X47" s="37">
        <f xml:space="preserve">
Table_DonBan[[#This Row],[Tỷ lệ tính điểm]]*Table_DonBan[[#This Row],[Doanh thu ròng]]</f>
        <v>0</v>
      </c>
    </row>
    <row r="48" spans="2:24" ht="16.5" x14ac:dyDescent="0.3">
      <c r="B48"/>
      <c r="C48"/>
      <c r="D48"/>
      <c r="P48" s="28">
        <v>45766</v>
      </c>
      <c r="Q48" s="35" t="s">
        <v>50</v>
      </c>
      <c r="R48" s="32">
        <v>2876473</v>
      </c>
      <c r="S48" s="33" cm="1">
        <f t="array" ref="S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8" s="31"/>
      <c r="U48" s="29">
        <f>Table_DonBan[[#This Row],[Tiền hàng]]-Table_DonBan[[#This Row],[Điểm sử dụng]]</f>
        <v>2876473</v>
      </c>
      <c r="V48" s="3" cm="1">
        <f t="array" ref="V4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8406815</v>
      </c>
      <c r="W48" s="36" cm="1">
        <f t="array" ref="W48">+IFERROR(
MAX(_xlfn._xlws.FILTER(Table_KHThanThiet_ChinhSach[Tỷ lệ điểm thưởng],
(Table_KHThanThiet_ChinhSach[Doanh thu tối thiểu]&lt;=Table_DonBan[[#This Row],[Doanh thu tính điểm]])
)),0)</f>
        <v>0</v>
      </c>
      <c r="X48" s="37">
        <f xml:space="preserve">
Table_DonBan[[#This Row],[Tỷ lệ tính điểm]]*Table_DonBan[[#This Row],[Doanh thu ròng]]</f>
        <v>0</v>
      </c>
    </row>
    <row r="49" spans="2:24" ht="16.5" x14ac:dyDescent="0.3">
      <c r="B49"/>
      <c r="C49"/>
      <c r="D49"/>
      <c r="P49" s="28">
        <v>45765</v>
      </c>
      <c r="Q49" s="35" t="s">
        <v>51</v>
      </c>
      <c r="R49" s="32">
        <v>2574095</v>
      </c>
      <c r="S49" s="33" cm="1">
        <f t="array" ref="S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49" s="31"/>
      <c r="U49" s="29">
        <f>Table_DonBan[[#This Row],[Tiền hàng]]-Table_DonBan[[#This Row],[Điểm sử dụng]]</f>
        <v>2574095</v>
      </c>
      <c r="V49" s="3" cm="1">
        <f t="array" ref="V4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6505010</v>
      </c>
      <c r="W49" s="36" cm="1">
        <f t="array" ref="W49">+IFERROR(
MAX(_xlfn._xlws.FILTER(Table_KHThanThiet_ChinhSach[Tỷ lệ điểm thưởng],
(Table_KHThanThiet_ChinhSach[Doanh thu tối thiểu]&lt;=Table_DonBan[[#This Row],[Doanh thu tính điểm]])
)),0)</f>
        <v>0</v>
      </c>
      <c r="X49" s="37">
        <f xml:space="preserve">
Table_DonBan[[#This Row],[Tỷ lệ tính điểm]]*Table_DonBan[[#This Row],[Doanh thu ròng]]</f>
        <v>0</v>
      </c>
    </row>
    <row r="50" spans="2:24" ht="16.5" x14ac:dyDescent="0.3">
      <c r="B50"/>
      <c r="C50"/>
      <c r="D50"/>
      <c r="P50" s="28">
        <v>45764</v>
      </c>
      <c r="Q50" s="35" t="s">
        <v>50</v>
      </c>
      <c r="R50" s="32">
        <v>2512353</v>
      </c>
      <c r="S50" s="33" cm="1">
        <f t="array" ref="S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0" s="31"/>
      <c r="U50" s="29">
        <f>Table_DonBan[[#This Row],[Tiền hàng]]-Table_DonBan[[#This Row],[Điểm sử dụng]]</f>
        <v>2512353</v>
      </c>
      <c r="V50" s="3" cm="1">
        <f t="array" ref="V5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5894462</v>
      </c>
      <c r="W50" s="36" cm="1">
        <f t="array" ref="W50">+IFERROR(
MAX(_xlfn._xlws.FILTER(Table_KHThanThiet_ChinhSach[Tỷ lệ điểm thưởng],
(Table_KHThanThiet_ChinhSach[Doanh thu tối thiểu]&lt;=Table_DonBan[[#This Row],[Doanh thu tính điểm]])
)),0)</f>
        <v>0</v>
      </c>
      <c r="X50" s="37">
        <f xml:space="preserve">
Table_DonBan[[#This Row],[Tỷ lệ tính điểm]]*Table_DonBan[[#This Row],[Doanh thu ròng]]</f>
        <v>0</v>
      </c>
    </row>
    <row r="51" spans="2:24" ht="16.5" x14ac:dyDescent="0.3">
      <c r="B51"/>
      <c r="C51"/>
      <c r="D51"/>
      <c r="P51" s="28">
        <v>45763</v>
      </c>
      <c r="Q51" s="35" t="s">
        <v>49</v>
      </c>
      <c r="R51" s="32">
        <v>2028268</v>
      </c>
      <c r="S51" s="33" cm="1">
        <f t="array" ref="S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1" s="31"/>
      <c r="U51" s="29">
        <f>Table_DonBan[[#This Row],[Tiền hàng]]-Table_DonBan[[#This Row],[Điểm sử dụng]]</f>
        <v>2028268</v>
      </c>
      <c r="V51" s="3" cm="1">
        <f t="array" ref="V5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7198523</v>
      </c>
      <c r="W51" s="36" cm="1">
        <f t="array" ref="W51">+IFERROR(
MAX(_xlfn._xlws.FILTER(Table_KHThanThiet_ChinhSach[Tỷ lệ điểm thưởng],
(Table_KHThanThiet_ChinhSach[Doanh thu tối thiểu]&lt;=Table_DonBan[[#This Row],[Doanh thu tính điểm]])
)),0)</f>
        <v>0</v>
      </c>
      <c r="X51" s="37">
        <f xml:space="preserve">
Table_DonBan[[#This Row],[Tỷ lệ tính điểm]]*Table_DonBan[[#This Row],[Doanh thu ròng]]</f>
        <v>0</v>
      </c>
    </row>
    <row r="52" spans="2:24" ht="16.5" x14ac:dyDescent="0.3">
      <c r="B52"/>
      <c r="C52"/>
      <c r="D52"/>
      <c r="P52" s="28">
        <v>45762</v>
      </c>
      <c r="Q52" s="35" t="s">
        <v>49</v>
      </c>
      <c r="R52" s="32">
        <v>2239345</v>
      </c>
      <c r="S52" s="33" cm="1">
        <f t="array" ref="S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2" s="31"/>
      <c r="U52" s="29">
        <f>Table_DonBan[[#This Row],[Tiền hàng]]-Table_DonBan[[#This Row],[Điểm sử dụng]]</f>
        <v>2239345</v>
      </c>
      <c r="V52" s="3" cm="1">
        <f t="array" ref="V5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4959178</v>
      </c>
      <c r="W52" s="36" cm="1">
        <f t="array" ref="W52">+IFERROR(
MAX(_xlfn._xlws.FILTER(Table_KHThanThiet_ChinhSach[Tỷ lệ điểm thưởng],
(Table_KHThanThiet_ChinhSach[Doanh thu tối thiểu]&lt;=Table_DonBan[[#This Row],[Doanh thu tính điểm]])
)),0)</f>
        <v>0</v>
      </c>
      <c r="X52" s="37">
        <f xml:space="preserve">
Table_DonBan[[#This Row],[Tỷ lệ tính điểm]]*Table_DonBan[[#This Row],[Doanh thu ròng]]</f>
        <v>0</v>
      </c>
    </row>
    <row r="53" spans="2:24" ht="16.5" x14ac:dyDescent="0.3">
      <c r="B53"/>
      <c r="C53"/>
      <c r="D53"/>
      <c r="P53" s="28">
        <v>45759</v>
      </c>
      <c r="Q53" s="35" t="s">
        <v>49</v>
      </c>
      <c r="R53" s="32">
        <v>2013210</v>
      </c>
      <c r="S53" s="33" cm="1">
        <f t="array" ref="S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3" s="31"/>
      <c r="U53" s="29">
        <f>Table_DonBan[[#This Row],[Tiền hàng]]-Table_DonBan[[#This Row],[Điểm sử dụng]]</f>
        <v>2013210</v>
      </c>
      <c r="V53" s="3" cm="1">
        <f t="array" ref="V5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2945968</v>
      </c>
      <c r="W53" s="36" cm="1">
        <f t="array" ref="W53">+IFERROR(
MAX(_xlfn._xlws.FILTER(Table_KHThanThiet_ChinhSach[Tỷ lệ điểm thưởng],
(Table_KHThanThiet_ChinhSach[Doanh thu tối thiểu]&lt;=Table_DonBan[[#This Row],[Doanh thu tính điểm]])
)),0)</f>
        <v>0</v>
      </c>
      <c r="X53" s="37">
        <f xml:space="preserve">
Table_DonBan[[#This Row],[Tỷ lệ tính điểm]]*Table_DonBan[[#This Row],[Doanh thu ròng]]</f>
        <v>0</v>
      </c>
    </row>
    <row r="54" spans="2:24" ht="16.5" x14ac:dyDescent="0.3">
      <c r="B54"/>
      <c r="C54"/>
      <c r="D54"/>
      <c r="P54" s="28">
        <v>45757</v>
      </c>
      <c r="Q54" s="35" t="s">
        <v>51</v>
      </c>
      <c r="R54" s="31">
        <v>2919837</v>
      </c>
      <c r="S54" s="29" cm="1">
        <f t="array" ref="S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4" s="31"/>
      <c r="U54" s="29">
        <f>Table_DonBan[[#This Row],[Tiền hàng]]-Table_DonBan[[#This Row],[Điểm sử dụng]]</f>
        <v>2919837</v>
      </c>
      <c r="V54" s="3" cm="1">
        <f t="array" ref="V5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3585173</v>
      </c>
      <c r="W54" s="36" cm="1">
        <f t="array" ref="W54">+IFERROR(
MAX(_xlfn._xlws.FILTER(Table_KHThanThiet_ChinhSach[Tỷ lệ điểm thưởng],
(Table_KHThanThiet_ChinhSach[Doanh thu tối thiểu]&lt;=Table_DonBan[[#This Row],[Doanh thu tính điểm]])
)),0)</f>
        <v>0</v>
      </c>
      <c r="X54" s="37">
        <f xml:space="preserve">
Table_DonBan[[#This Row],[Tỷ lệ tính điểm]]*Table_DonBan[[#This Row],[Doanh thu ròng]]</f>
        <v>0</v>
      </c>
    </row>
    <row r="55" spans="2:24" ht="18" customHeight="1" x14ac:dyDescent="0.3">
      <c r="P55" s="28">
        <v>45757</v>
      </c>
      <c r="Q55" s="35" t="s">
        <v>52</v>
      </c>
      <c r="R55" s="32">
        <v>2489388</v>
      </c>
      <c r="S55" s="33" cm="1">
        <f t="array" ref="S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5" s="31"/>
      <c r="U55" s="29">
        <f>Table_DonBan[[#This Row],[Tiền hàng]]-Table_DonBan[[#This Row],[Điểm sử dụng]]</f>
        <v>2489388</v>
      </c>
      <c r="V55" s="3" cm="1">
        <f t="array" ref="V5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1725805</v>
      </c>
      <c r="W55" s="36" cm="1">
        <f t="array" ref="W55">+IFERROR(
MAX(_xlfn._xlws.FILTER(Table_KHThanThiet_ChinhSach[Tỷ lệ điểm thưởng],
(Table_KHThanThiet_ChinhSach[Doanh thu tối thiểu]&lt;=Table_DonBan[[#This Row],[Doanh thu tính điểm]])
)),0)</f>
        <v>0</v>
      </c>
      <c r="X55" s="37">
        <f xml:space="preserve">
Table_DonBan[[#This Row],[Tỷ lệ tính điểm]]*Table_DonBan[[#This Row],[Doanh thu ròng]]</f>
        <v>0</v>
      </c>
    </row>
    <row r="56" spans="2:24" ht="18" customHeight="1" x14ac:dyDescent="0.3">
      <c r="P56" s="28">
        <v>45757</v>
      </c>
      <c r="Q56" s="35" t="s">
        <v>50</v>
      </c>
      <c r="R56" s="32">
        <v>2200381</v>
      </c>
      <c r="S56" s="33" cm="1">
        <f t="array" ref="S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6" s="31"/>
      <c r="U56" s="29">
        <f>Table_DonBan[[#This Row],[Tiền hàng]]-Table_DonBan[[#This Row],[Điểm sử dụng]]</f>
        <v>2200381</v>
      </c>
      <c r="V56" s="3" cm="1">
        <f t="array" ref="V56"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3694081</v>
      </c>
      <c r="W56" s="36" cm="1">
        <f t="array" ref="W56">+IFERROR(
MAX(_xlfn._xlws.FILTER(Table_KHThanThiet_ChinhSach[Tỷ lệ điểm thưởng],
(Table_KHThanThiet_ChinhSach[Doanh thu tối thiểu]&lt;=Table_DonBan[[#This Row],[Doanh thu tính điểm]])
)),0)</f>
        <v>0</v>
      </c>
      <c r="X56" s="37">
        <f xml:space="preserve">
Table_DonBan[[#This Row],[Tỷ lệ tính điểm]]*Table_DonBan[[#This Row],[Doanh thu ròng]]</f>
        <v>0</v>
      </c>
    </row>
    <row r="57" spans="2:24" ht="18" customHeight="1" x14ac:dyDescent="0.3">
      <c r="P57" s="28">
        <v>45755</v>
      </c>
      <c r="Q57" s="35" t="s">
        <v>49</v>
      </c>
      <c r="R57" s="32">
        <v>1843343</v>
      </c>
      <c r="S57" s="33" cm="1">
        <f t="array" ref="S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7" s="31"/>
      <c r="U57" s="29">
        <f>Table_DonBan[[#This Row],[Tiền hàng]]-Table_DonBan[[#This Row],[Điểm sử dụng]]</f>
        <v>1843343</v>
      </c>
      <c r="V57" s="3" cm="1">
        <f t="array" ref="V57"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1102625</v>
      </c>
      <c r="W57" s="36" cm="1">
        <f t="array" ref="W57">+IFERROR(
MAX(_xlfn._xlws.FILTER(Table_KHThanThiet_ChinhSach[Tỷ lệ điểm thưởng],
(Table_KHThanThiet_ChinhSach[Doanh thu tối thiểu]&lt;=Table_DonBan[[#This Row],[Doanh thu tính điểm]])
)),0)</f>
        <v>0</v>
      </c>
      <c r="X57" s="37">
        <f xml:space="preserve">
Table_DonBan[[#This Row],[Tỷ lệ tính điểm]]*Table_DonBan[[#This Row],[Doanh thu ròng]]</f>
        <v>0</v>
      </c>
    </row>
    <row r="58" spans="2:24" ht="18" customHeight="1" x14ac:dyDescent="0.3">
      <c r="P58" s="28">
        <v>45752</v>
      </c>
      <c r="Q58" s="35" t="s">
        <v>51</v>
      </c>
      <c r="R58" s="32">
        <v>1045909</v>
      </c>
      <c r="S58" s="33" cm="1">
        <f t="array" ref="S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8" s="31"/>
      <c r="U58" s="29">
        <f>Table_DonBan[[#This Row],[Tiền hàng]]-Table_DonBan[[#This Row],[Điểm sử dụng]]</f>
        <v>1045909</v>
      </c>
      <c r="V58" s="3" cm="1">
        <f t="array" ref="V58"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2539264</v>
      </c>
      <c r="W58" s="36" cm="1">
        <f t="array" ref="W58">+IFERROR(
MAX(_xlfn._xlws.FILTER(Table_KHThanThiet_ChinhSach[Tỷ lệ điểm thưởng],
(Table_KHThanThiet_ChinhSach[Doanh thu tối thiểu]&lt;=Table_DonBan[[#This Row],[Doanh thu tính điểm]])
)),0)</f>
        <v>0</v>
      </c>
      <c r="X58" s="37">
        <f xml:space="preserve">
Table_DonBan[[#This Row],[Tỷ lệ tính điểm]]*Table_DonBan[[#This Row],[Doanh thu ròng]]</f>
        <v>0</v>
      </c>
    </row>
    <row r="59" spans="2:24" ht="18" customHeight="1" x14ac:dyDescent="0.3">
      <c r="P59" s="28">
        <v>45752</v>
      </c>
      <c r="Q59" s="35" t="s">
        <v>50</v>
      </c>
      <c r="R59" s="32">
        <v>1233937</v>
      </c>
      <c r="S59" s="33" cm="1">
        <f t="array" ref="S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59" s="31"/>
      <c r="U59" s="29">
        <f>Table_DonBan[[#This Row],[Tiền hàng]]-Table_DonBan[[#This Row],[Điểm sử dụng]]</f>
        <v>1233937</v>
      </c>
      <c r="V59" s="3" cm="1">
        <f t="array" ref="V59"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2460144</v>
      </c>
      <c r="W59" s="36" cm="1">
        <f t="array" ref="W59">+IFERROR(
MAX(_xlfn._xlws.FILTER(Table_KHThanThiet_ChinhSach[Tỷ lệ điểm thưởng],
(Table_KHThanThiet_ChinhSach[Doanh thu tối thiểu]&lt;=Table_DonBan[[#This Row],[Doanh thu tính điểm]])
)),0)</f>
        <v>0</v>
      </c>
      <c r="X59" s="37">
        <f xml:space="preserve">
Table_DonBan[[#This Row],[Tỷ lệ tính điểm]]*Table_DonBan[[#This Row],[Doanh thu ròng]]</f>
        <v>0</v>
      </c>
    </row>
    <row r="60" spans="2:24" ht="18" customHeight="1" x14ac:dyDescent="0.3">
      <c r="P60" s="28">
        <v>45750</v>
      </c>
      <c r="Q60" s="35" t="s">
        <v>50</v>
      </c>
      <c r="R60" s="32">
        <v>1305938</v>
      </c>
      <c r="S60" s="33" cm="1">
        <f t="array" ref="S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0" s="31"/>
      <c r="U60" s="29">
        <f>Table_DonBan[[#This Row],[Tiền hàng]]-Table_DonBan[[#This Row],[Điểm sử dụng]]</f>
        <v>1305938</v>
      </c>
      <c r="V60" s="3" cm="1">
        <f t="array" ref="V60"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1154206</v>
      </c>
      <c r="W60" s="36" cm="1">
        <f t="array" ref="W60">+IFERROR(
MAX(_xlfn._xlws.FILTER(Table_KHThanThiet_ChinhSach[Tỷ lệ điểm thưởng],
(Table_KHThanThiet_ChinhSach[Doanh thu tối thiểu]&lt;=Table_DonBan[[#This Row],[Doanh thu tính điểm]])
)),0)</f>
        <v>0</v>
      </c>
      <c r="X60" s="37">
        <f xml:space="preserve">
Table_DonBan[[#This Row],[Tỷ lệ tính điểm]]*Table_DonBan[[#This Row],[Doanh thu ròng]]</f>
        <v>0</v>
      </c>
    </row>
    <row r="61" spans="2:24" ht="18" customHeight="1" x14ac:dyDescent="0.3">
      <c r="P61" s="28">
        <v>45750</v>
      </c>
      <c r="Q61" s="35" t="s">
        <v>52</v>
      </c>
      <c r="R61" s="32">
        <v>1725805</v>
      </c>
      <c r="S61" s="33" cm="1">
        <f t="array" ref="S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1" s="31"/>
      <c r="U61" s="29">
        <f>Table_DonBan[[#This Row],[Tiền hàng]]-Table_DonBan[[#This Row],[Điểm sử dụng]]</f>
        <v>1725805</v>
      </c>
      <c r="V61" s="3" cm="1">
        <f t="array" ref="V61"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1" s="36" cm="1">
        <f t="array" ref="W61">+IFERROR(
MAX(_xlfn._xlws.FILTER(Table_KHThanThiet_ChinhSach[Tỷ lệ điểm thưởng],
(Table_KHThanThiet_ChinhSach[Doanh thu tối thiểu]&lt;=Table_DonBan[[#This Row],[Doanh thu tính điểm]])
)),0)</f>
        <v>0</v>
      </c>
      <c r="X61" s="37">
        <f xml:space="preserve">
Table_DonBan[[#This Row],[Tỷ lệ tính điểm]]*Table_DonBan[[#This Row],[Doanh thu ròng]]</f>
        <v>0</v>
      </c>
    </row>
    <row r="62" spans="2:24" ht="18" customHeight="1" x14ac:dyDescent="0.3">
      <c r="P62" s="28">
        <v>45749</v>
      </c>
      <c r="Q62" s="35" t="s">
        <v>51</v>
      </c>
      <c r="R62" s="32">
        <v>1323585</v>
      </c>
      <c r="S62" s="33" cm="1">
        <f t="array" ref="S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2" s="31"/>
      <c r="U62" s="29">
        <f>Table_DonBan[[#This Row],[Tiền hàng]]-Table_DonBan[[#This Row],[Điểm sử dụng]]</f>
        <v>1323585</v>
      </c>
      <c r="V62" s="3" cm="1">
        <f t="array" ref="V62"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1215679</v>
      </c>
      <c r="W62" s="36" cm="1">
        <f t="array" ref="W62">+IFERROR(
MAX(_xlfn._xlws.FILTER(Table_KHThanThiet_ChinhSach[Tỷ lệ điểm thưởng],
(Table_KHThanThiet_ChinhSach[Doanh thu tối thiểu]&lt;=Table_DonBan[[#This Row],[Doanh thu tính điểm]])
)),0)</f>
        <v>0</v>
      </c>
      <c r="X62" s="37">
        <f xml:space="preserve">
Table_DonBan[[#This Row],[Tỷ lệ tính điểm]]*Table_DonBan[[#This Row],[Doanh thu ròng]]</f>
        <v>0</v>
      </c>
    </row>
    <row r="63" spans="2:24" ht="18" customHeight="1" x14ac:dyDescent="0.3">
      <c r="P63" s="28">
        <v>45749</v>
      </c>
      <c r="Q63" s="35" t="s">
        <v>50</v>
      </c>
      <c r="R63" s="32">
        <v>1154206</v>
      </c>
      <c r="S63" s="33" cm="1">
        <f t="array" ref="S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3" s="31"/>
      <c r="U63" s="29">
        <f>Table_DonBan[[#This Row],[Tiền hàng]]-Table_DonBan[[#This Row],[Điểm sử dụng]]</f>
        <v>1154206</v>
      </c>
      <c r="V63" s="3" cm="1">
        <f t="array" ref="V63"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3" s="36" cm="1">
        <f t="array" ref="W63">+IFERROR(
MAX(_xlfn._xlws.FILTER(Table_KHThanThiet_ChinhSach[Tỷ lệ điểm thưởng],
(Table_KHThanThiet_ChinhSach[Doanh thu tối thiểu]&lt;=Table_DonBan[[#This Row],[Doanh thu tính điểm]])
)),0)</f>
        <v>0</v>
      </c>
      <c r="X63" s="37">
        <f xml:space="preserve">
Table_DonBan[[#This Row],[Tỷ lệ tính điểm]]*Table_DonBan[[#This Row],[Doanh thu ròng]]</f>
        <v>0</v>
      </c>
    </row>
    <row r="64" spans="2:24" ht="18" customHeight="1" x14ac:dyDescent="0.3">
      <c r="P64" s="28">
        <v>45749</v>
      </c>
      <c r="Q64" s="35" t="s">
        <v>51</v>
      </c>
      <c r="R64" s="32">
        <v>1215679</v>
      </c>
      <c r="S64" s="33" cm="1">
        <f t="array" ref="S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4" s="31"/>
      <c r="U64" s="29">
        <f>Table_DonBan[[#This Row],[Tiền hàng]]-Table_DonBan[[#This Row],[Điểm sử dụng]]</f>
        <v>1215679</v>
      </c>
      <c r="V64" s="3" cm="1">
        <f t="array" ref="V64"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1323585</v>
      </c>
      <c r="W64" s="36" cm="1">
        <f t="array" ref="W64">+IFERROR(
MAX(_xlfn._xlws.FILTER(Table_KHThanThiet_ChinhSach[Tỷ lệ điểm thưởng],
(Table_KHThanThiet_ChinhSach[Doanh thu tối thiểu]&lt;=Table_DonBan[[#This Row],[Doanh thu tính điểm]])
)),0)</f>
        <v>0</v>
      </c>
      <c r="X64" s="37">
        <f xml:space="preserve">
Table_DonBan[[#This Row],[Tỷ lệ tính điểm]]*Table_DonBan[[#This Row],[Doanh thu ròng]]</f>
        <v>0</v>
      </c>
    </row>
    <row r="65" spans="16:24" ht="18" customHeight="1" x14ac:dyDescent="0.3">
      <c r="P65" s="28">
        <v>45749</v>
      </c>
      <c r="Q65" s="35" t="s">
        <v>49</v>
      </c>
      <c r="R65" s="32">
        <v>1102625</v>
      </c>
      <c r="S65" s="33" cm="1">
        <f t="array" ref="S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T65" s="31"/>
      <c r="U65" s="29">
        <f>Table_DonBan[[#This Row],[Tiền hàng]]-Table_DonBan[[#This Row],[Điểm sử dụng]]</f>
        <v>1102625</v>
      </c>
      <c r="V65" s="3" cm="1">
        <f t="array" ref="V65"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W65" s="36" cm="1">
        <f t="array" ref="W65">+IFERROR(
MAX(_xlfn._xlws.FILTER(Table_KHThanThiet_ChinhSach[Tỷ lệ điểm thưởng],
(Table_KHThanThiet_ChinhSach[Doanh thu tối thiểu]&lt;=Table_DonBan[[#This Row],[Doanh thu tính điểm]])
)),0)</f>
        <v>0</v>
      </c>
      <c r="X65" s="37">
        <f xml:space="preserve">
Table_DonBan[[#This Row],[Tỷ lệ tính điểm]]*Table_DonBan[[#This Row],[Doanh thu ròng]]</f>
        <v>0</v>
      </c>
    </row>
  </sheetData>
  <sheetProtection algorithmName="SHA-512" hashValue="7e+L3DcR/3eTPzdHzxt7WS9PkN1eWuU8Ib72Qb3XMO/y/Jh/iAI99QlWZ881uXtf+J1UiyF1+uRE3TDAZHOS1Q==" saltValue="FhnuZUtGrTqPfU4uVXCI4A==" spinCount="100000" sheet="1" scenarios="1" formatColumns="0" formatRows="0" autoFilter="0" pivotTables="0"/>
  <protectedRanges>
    <protectedRange sqref="R23 S22:U23 Q22:R22 T24:U65" name="Range1"/>
    <protectedRange sqref="S22:U22" name="Range1_2"/>
    <protectedRange sqref="R22" name="Range1_3"/>
    <protectedRange sqref="P23:Q23" name="Range1_4"/>
    <protectedRange sqref="P22" name="Range1_1"/>
  </protectedRanges>
  <mergeCells count="9">
    <mergeCell ref="W14:X14"/>
    <mergeCell ref="W15:X15"/>
    <mergeCell ref="W16:X16"/>
    <mergeCell ref="W17:X17"/>
    <mergeCell ref="W8:X8"/>
    <mergeCell ref="W9:X9"/>
    <mergeCell ref="W10:X10"/>
    <mergeCell ref="W11:X11"/>
    <mergeCell ref="W12:X12"/>
  </mergeCells>
  <phoneticPr fontId="6" type="noConversion"/>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4456" r:id="rId5" name="Option Button 8">
              <controlPr defaultSize="0" autoFill="0" autoLine="0" autoPict="0" macro="[0]!DoiDonViHienThi">
                <anchor moveWithCells="1">
                  <from>
                    <xdr:col>9</xdr:col>
                    <xdr:colOff>438150</xdr:colOff>
                    <xdr:row>0</xdr:row>
                    <xdr:rowOff>95250</xdr:rowOff>
                  </from>
                  <to>
                    <xdr:col>9</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9</xdr:col>
                    <xdr:colOff>904875</xdr:colOff>
                    <xdr:row>0</xdr:row>
                    <xdr:rowOff>95250</xdr:rowOff>
                  </from>
                  <to>
                    <xdr:col>10</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10</xdr:col>
                    <xdr:colOff>123825</xdr:colOff>
                    <xdr:row>0</xdr:row>
                    <xdr:rowOff>95250</xdr:rowOff>
                  </from>
                  <to>
                    <xdr:col>10</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10</xdr:col>
                    <xdr:colOff>600075</xdr:colOff>
                    <xdr:row>0</xdr:row>
                    <xdr:rowOff>95250</xdr:rowOff>
                  </from>
                  <to>
                    <xdr:col>10</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9</xdr:col>
                    <xdr:colOff>323850</xdr:colOff>
                    <xdr:row>0</xdr:row>
                    <xdr:rowOff>47625</xdr:rowOff>
                  </from>
                  <to>
                    <xdr:col>10</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8</xdr:col>
                    <xdr:colOff>95250</xdr:colOff>
                    <xdr:row>0</xdr:row>
                    <xdr:rowOff>47625</xdr:rowOff>
                  </from>
                  <to>
                    <xdr:col>9</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8</xdr:col>
                    <xdr:colOff>180975</xdr:colOff>
                    <xdr:row>0</xdr:row>
                    <xdr:rowOff>142875</xdr:rowOff>
                  </from>
                  <to>
                    <xdr:col>8</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8</xdr:col>
                    <xdr:colOff>695325</xdr:colOff>
                    <xdr:row>0</xdr:row>
                    <xdr:rowOff>142875</xdr:rowOff>
                  </from>
                  <to>
                    <xdr:col>8</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8</xdr:col>
                    <xdr:colOff>1209675</xdr:colOff>
                    <xdr:row>0</xdr:row>
                    <xdr:rowOff>142875</xdr:rowOff>
                  </from>
                  <to>
                    <xdr:col>9</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10</xdr:col>
                    <xdr:colOff>1076325</xdr:colOff>
                    <xdr:row>0</xdr:row>
                    <xdr:rowOff>57150</xdr:rowOff>
                  </from>
                  <to>
                    <xdr:col>11</xdr:col>
                    <xdr:colOff>457200</xdr:colOff>
                    <xdr:row>1</xdr:row>
                    <xdr:rowOff>85725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11</xdr:col>
                    <xdr:colOff>485775</xdr:colOff>
                    <xdr:row>0</xdr:row>
                    <xdr:rowOff>57150</xdr:rowOff>
                  </from>
                  <to>
                    <xdr:col>11</xdr:col>
                    <xdr:colOff>962025</xdr:colOff>
                    <xdr:row>1</xdr:row>
                    <xdr:rowOff>85725</xdr:rowOff>
                  </to>
                </anchor>
              </controlPr>
            </control>
          </mc:Choice>
        </mc:AlternateContent>
        <mc:AlternateContent xmlns:mc="http://schemas.openxmlformats.org/markup-compatibility/2006">
          <mc:Choice Requires="x14">
            <control shapeId="104471" r:id="rId16" name="Button 23">
              <controlPr defaultSize="0" print="0" autoFill="0" autoPict="0" macro="[0]!RefreshTables">
                <anchor moveWithCells="1">
                  <from>
                    <xdr:col>19</xdr:col>
                    <xdr:colOff>0</xdr:colOff>
                    <xdr:row>0</xdr:row>
                    <xdr:rowOff>152400</xdr:rowOff>
                  </from>
                  <to>
                    <xdr:col>19</xdr:col>
                    <xdr:colOff>619125</xdr:colOff>
                    <xdr:row>1</xdr:row>
                    <xdr:rowOff>180975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5" id="{C6938F30-5C6F-4E18-9742-3DAB345EA6DA}">
            <xm:f>Security!$A$1="NO VBA"</xm:f>
            <x14:dxf>
              <font>
                <color theme="0"/>
              </font>
              <border>
                <vertical/>
                <horizontal/>
              </border>
            </x14:dxf>
          </x14:cfRule>
          <xm:sqref>I39:J39 L39:N39 A55:D1048576 A1:D21 Q22:XFD22 O23:XFD1048576 A22:A39 A40:B54 E1:E1048576 O7:T12 V7:XFD7 O13:XFD13 Y8:XFD12 U8:W12 O18:XFD21 O1:XFD6 Y14:XFD17 O14:W17 I23:N38 F1:G22 F40:G1048576 I40:N1048576 I1:N2 I3:L21 I22:O22 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�  p h � �c   n  � �� � � �  p h � �c   n  � �� � � 
</file>

<file path=customXml/item2.xml>�� 
</file>

<file path=customXml/item3.xml>�� 
</file>

<file path=customXml/item4.xml>��   
</file>

<file path=customXml/item5.xml>�� �  �c   t � �  l � �� � � �  �c   t � �  l � �� � � 
</file>

<file path=customXml/item6.xml>�� 
</file>

<file path=customXml/item7.xml>�� �� �i   t �� � �� �t   � � �  l � � �  l �� �  t � � �� �i   t �� � �� �t   � � �  l � � �  l �� �  t � � 
</file>

<file path=customXml/item8.xml>��   
</file>

<file path=customXml/item9.xml>�� 
</file>

<file path=customXml/item10.xml>�� 
</file>

<file path=customXml/item11.xml>�� �� �i   t �� � �� �t   � � �  l � � �  l �� �  t � � � � � �i    �  l �  i � �� i � �� �i    i � �� iy   k � � � i � �  d � i �m   s �  d � i � �  l � i � i � i � � 
</file>

<file path=customXml/item12.xml>�� 
</file>

<file path=customXml/item13.xml>�� 
</file>

<file path=customXml/item14.xml>��   
</file>

<file path=customXml/item15.xml>��   
</file>

<file path=customXml/item16.xml>��   
</file>

<file path=customXml/item17.xml>�� �n   �u   t � �n   �u   t � �  �u   t � �i   h � �  �  �u   t � �   � �n   �u   t � �n   �u   t � �  �u   t � �i   h � �  �  �u   t � �   � 
</file>

<file path=customXml/item18.xml>�� � � � �i    �  l �  i � �� i � �� �i    i � �� iy   k � � � � �i    �  l �  i � �� i � �� �i    i � �� iy   k � � � i � �  d � i �m   s �  d � i � �  l � i � i � i � � i � �  d � i � �  d � i � �  d � i � �  d � i � �  d � i � �  d � i � �  d � i � �  d � i � �  d � � � i � �  d � i �m   s �  d � i � �  l � i � i � i � � i � �  d � i � �  d � i � �  d � i � �  d � i � �  d � i � �  d � i � �  d � i � �  d � i � �  d � 
</file>

<file path=customXml/item19.xml>�� 
</file>

<file path=customXml/item20.xml>��   
</file>

<file path=customXml/item21.xml>�� � � � � 
</file>

<file path=customXml/item22.xml>��   
</file>

<file path=customXml/item23.xml>�� � � i �m   s �  d � i � �  d � i � i �  l � i � i � � � � � i �m   s �  d � i � �  d � i � i �  l � i � i � � � 
</file>

<file path=customXml/item24.xml>�� 
</file>

<file path=customXml/item25.xml>�� 
</file>

<file path=customXml/item26.xml>�� 
</file>

<file path=customXml/item27.xml>�� 
</file>

<file path=customXml/item28.xml>��   
</file>

<file path=customXml/item29.xml>�� � � � �i    �  l �  i � �� i � �� �i    i � �� iy   k � � � � �i    �  l �  i � �� i � �� �i    i � �� iy   k � 
</file>

<file path=customXml/item30.xml>�� �c   n  �c   n  
</file>

<file path=customXml/item31.xml>��   
</file>

<file path=customXml/item32.xml>�� 
</file>

<file path=customXml/item33.xml>�� �  l � �  l � 
</file>

<file path=customXml/item34.xml>�� 
</file>

<file path=customXml/item35.xml>�� �  �  
</file>

<file path=customXml/item36.xml>�� 
</file>

<file path=customXml/item37.xml>�� 
</file>

<file path=customXml/item38.xml>��   
</file>

<file path=customXml/item39.xml>�� 
</file>

<file path=customXml/itemProps1.xml><?xml version="1.0" encoding="utf-8"?>
<ds:datastoreItem xmlns:ds="http://schemas.openxmlformats.org/officeDocument/2006/customXml" ds:itemID="{34C35EB9-23C6-44D6-9F88-C21CF0F250D6}">
  <ds:schemaRefs/>
</ds:datastoreItem>
</file>

<file path=customXml/itemProps2.xml><?xml version="1.0" encoding="utf-8"?>
<ds:datastoreItem xmlns:ds="http://schemas.openxmlformats.org/officeDocument/2006/customXml" ds:itemID="{C0C7F0F1-9DE9-4CF0-B89B-1CE6391E889D}">
  <ds:schemaRefs/>
</ds:datastoreItem>
</file>

<file path=customXml/itemProps3.xml><?xml version="1.0" encoding="utf-8"?>
<ds:datastoreItem xmlns:ds="http://schemas.openxmlformats.org/officeDocument/2006/customXml" ds:itemID="{45DB80E2-A51E-4CEC-B0CA-60E3BEC194D7}">
  <ds:schemaRefs/>
</ds:datastoreItem>
</file>

<file path=customXml/itemProps4.xml><?xml version="1.0" encoding="utf-8"?>
<ds:datastoreItem xmlns:ds="http://schemas.openxmlformats.org/officeDocument/2006/customXml" ds:itemID="{104A6CAF-8CC0-4F12-8051-31E2340CC4C2}">
  <ds:schemaRefs/>
</ds:datastoreItem>
</file>

<file path=customXml/itemProps5.xml><?xml version="1.0" encoding="utf-8"?>
<ds:datastoreItem xmlns:ds="http://schemas.openxmlformats.org/officeDocument/2006/customXml" ds:itemID="{F5DCB516-7770-45AD-8B12-54D86C4B9AA3}">
  <ds:schemaRefs/>
</ds:datastoreItem>
</file>

<file path=customXml/itemProps6.xml><?xml version="1.0" encoding="utf-8"?>
<ds:datastoreItem xmlns:ds="http://schemas.openxmlformats.org/officeDocument/2006/customXml" ds:itemID="{E9CE7EF9-DCF8-401D-90D4-B25D6D156F5B}">
  <ds:schemaRefs/>
</ds:datastoreItem>
</file>

<file path=customXml/itemProps7.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8.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9.xml><?xml version="1.0" encoding="utf-8"?>
<ds:datastoreItem xmlns:ds="http://schemas.openxmlformats.org/officeDocument/2006/customXml" ds:itemID="{2DFB86E0-7EB3-4A82-ACC3-F3BA60086CBC}">
  <ds:schemaRefs/>
</ds:datastoreItem>
</file>

<file path=customXml/itemProps10.xml><?xml version="1.0" encoding="utf-8"?>
<ds:datastoreItem xmlns:ds="http://schemas.openxmlformats.org/officeDocument/2006/customXml" ds:itemID="{54E9EFD9-4ADE-483F-99DC-BE300DD808F5}">
  <ds:schemaRefs/>
</ds:datastoreItem>
</file>

<file path=customXml/itemProps11.xml><?xml version="1.0" encoding="utf-8"?>
<ds:datastoreItem xmlns:ds="http://schemas.openxmlformats.org/officeDocument/2006/customXml" ds:itemID="{75340984-CF43-4FFE-A3F8-1751760F3610}">
  <ds:schemaRefs/>
</ds:datastoreItem>
</file>

<file path=customXml/itemProps1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3.xml><?xml version="1.0" encoding="utf-8"?>
<ds:datastoreItem xmlns:ds="http://schemas.openxmlformats.org/officeDocument/2006/customXml" ds:itemID="{D1BB6726-4DFB-42C2-B867-D69CD1FF98A6}">
  <ds:schemaRefs/>
</ds:datastoreItem>
</file>

<file path=customXml/itemProps1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5.xml><?xml version="1.0" encoding="utf-8"?>
<ds:datastoreItem xmlns:ds="http://schemas.openxmlformats.org/officeDocument/2006/customXml" ds:itemID="{A849B9D7-188B-48DA-AB5B-54583621621D}">
  <ds:schemaRefs/>
</ds:datastoreItem>
</file>

<file path=customXml/itemProps16.xml><?xml version="1.0" encoding="utf-8"?>
<ds:datastoreItem xmlns:ds="http://schemas.openxmlformats.org/officeDocument/2006/customXml" ds:itemID="{15A5E9E7-8554-4C17-8FCE-88C5899190B5}">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50481BFD-C33B-4BF9-A694-F55AC52AD87D}">
  <ds:schemaRefs/>
</ds:datastoreItem>
</file>

<file path=customXml/itemProps19.xml><?xml version="1.0" encoding="utf-8"?>
<ds:datastoreItem xmlns:ds="http://schemas.openxmlformats.org/officeDocument/2006/customXml" ds:itemID="{0963777B-CFFB-4DDF-893D-16F7CE31B3A1}">
  <ds:schemaRefs/>
</ds:datastoreItem>
</file>

<file path=customXml/itemProps2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2.xml><?xml version="1.0" encoding="utf-8"?>
<ds:datastoreItem xmlns:ds="http://schemas.openxmlformats.org/officeDocument/2006/customXml" ds:itemID="{4BA9E5F1-90AC-490B-B178-7C8B339E1A47}">
  <ds:schemaRefs/>
</ds:datastoreItem>
</file>

<file path=customXml/itemProps23.xml><?xml version="1.0" encoding="utf-8"?>
<ds:datastoreItem xmlns:ds="http://schemas.openxmlformats.org/officeDocument/2006/customXml" ds:itemID="{88CE6D8F-4771-427B-9B8E-F13E79EEB158}">
  <ds:schemaRefs/>
</ds:datastoreItem>
</file>

<file path=customXml/itemProps24.xml><?xml version="1.0" encoding="utf-8"?>
<ds:datastoreItem xmlns:ds="http://schemas.openxmlformats.org/officeDocument/2006/customXml" ds:itemID="{89CCDA3E-0138-4C86-A3D4-25D5D8C36E2B}">
  <ds:schemaRefs/>
</ds:datastoreItem>
</file>

<file path=customXml/itemProps25.xml><?xml version="1.0" encoding="utf-8"?>
<ds:datastoreItem xmlns:ds="http://schemas.openxmlformats.org/officeDocument/2006/customXml" ds:itemID="{98B80107-AA68-4609-A366-36F96C6439A0}">
  <ds:schemaRefs/>
</ds:datastoreItem>
</file>

<file path=customXml/itemProps26.xml><?xml version="1.0" encoding="utf-8"?>
<ds:datastoreItem xmlns:ds="http://schemas.openxmlformats.org/officeDocument/2006/customXml" ds:itemID="{89775CD4-09D5-421A-9D4F-B5BBE125CD96}">
  <ds:schemaRefs/>
</ds:datastoreItem>
</file>

<file path=customXml/itemProps2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28.xml><?xml version="1.0" encoding="utf-8"?>
<ds:datastoreItem xmlns:ds="http://schemas.openxmlformats.org/officeDocument/2006/customXml" ds:itemID="{339EBD31-34FE-48FA-B11C-5697D02F64AC}">
  <ds:schemaRefs/>
</ds:datastoreItem>
</file>

<file path=customXml/itemProps29.xml><?xml version="1.0" encoding="utf-8"?>
<ds:datastoreItem xmlns:ds="http://schemas.openxmlformats.org/officeDocument/2006/customXml" ds:itemID="{C4CC0617-BFEA-4DF8-ABC8-0B8F30C2A6C9}">
  <ds:schemaRefs/>
</ds:datastoreItem>
</file>

<file path=customXml/itemProps30.xml><?xml version="1.0" encoding="utf-8"?>
<ds:datastoreItem xmlns:ds="http://schemas.openxmlformats.org/officeDocument/2006/customXml" ds:itemID="{A6D0F6C4-9EB7-4062-86F8-715E8F5BF469}">
  <ds:schemaRefs/>
</ds:datastoreItem>
</file>

<file path=customXml/itemProps31.xml><?xml version="1.0" encoding="utf-8"?>
<ds:datastoreItem xmlns:ds="http://schemas.openxmlformats.org/officeDocument/2006/customXml" ds:itemID="{0B9C3544-1C46-45A4-BEB6-1CE4D6559900}">
  <ds:schemaRefs/>
</ds:datastoreItem>
</file>

<file path=customXml/itemProps32.xml><?xml version="1.0" encoding="utf-8"?>
<ds:datastoreItem xmlns:ds="http://schemas.openxmlformats.org/officeDocument/2006/customXml" ds:itemID="{DCB004C1-5EE9-4B56-A258-84F27AF38044}">
  <ds:schemaRefs/>
</ds:datastoreItem>
</file>

<file path=customXml/itemProps33.xml><?xml version="1.0" encoding="utf-8"?>
<ds:datastoreItem xmlns:ds="http://schemas.openxmlformats.org/officeDocument/2006/customXml" ds:itemID="{36AB8F46-78D3-413A-86E7-07CEA24DFF43}">
  <ds:schemaRefs/>
</ds:datastoreItem>
</file>

<file path=customXml/itemProps3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5.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36.xml><?xml version="1.0" encoding="utf-8"?>
<ds:datastoreItem xmlns:ds="http://schemas.openxmlformats.org/officeDocument/2006/customXml" ds:itemID="{70AFF7DD-0823-472B-8361-67EB6E8699A8}">
  <ds:schemaRefs/>
</ds:datastoreItem>
</file>

<file path=customXml/itemProps37.xml><?xml version="1.0" encoding="utf-8"?>
<ds:datastoreItem xmlns:ds="http://schemas.openxmlformats.org/officeDocument/2006/customXml" ds:itemID="{FE01E5A0-CB3B-4248-B24B-10866701B12E}">
  <ds:schemaRefs/>
</ds:datastoreItem>
</file>

<file path=customXml/itemProps38.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39.xml><?xml version="1.0" encoding="utf-8"?>
<ds:datastoreItem xmlns:ds="http://schemas.openxmlformats.org/officeDocument/2006/customXml" ds:itemID="{9CDC12DA-9C31-4DE6-BE85-0BB6158143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EULA</vt:lpstr>
      <vt:lpstr>Tích điểm khách hàng</vt:lpstr>
      <vt:lpstr>KHThanThiet_HieuLuc</vt:lpstr>
      <vt:lpstr>KHThanThiet_SoNgay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2025-06-03T09:42:13Z</dcterms:modified>
  <cp:category/>
  <cp:contentStatus/>
</cp:coreProperties>
</file>