
<file path=[Content_Types].xml><?xml version="1.0" encoding="utf-8"?>
<Types xmlns="http://schemas.openxmlformats.org/package/2006/content-types">
  <Default Extension="bin" ContentType="application/vnd.ms-office.vbaProject"/>
  <Default Extension="data" ContentType="application/vnd.openxmlformats-officedocument.model+data"/>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customXml/itemProps33.xml" ContentType="application/vnd.openxmlformats-officedocument.customXmlProperties+xml"/>
  <Override PartName="/customXml/itemProps34.xml" ContentType="application/vnd.openxmlformats-officedocument.customXmlProperties+xml"/>
  <Override PartName="/customXml/itemProps35.xml" ContentType="application/vnd.openxmlformats-officedocument.customXmlProperties+xml"/>
  <Override PartName="/customXml/itemProps36.xml" ContentType="application/vnd.openxmlformats-officedocument.customXmlProperties+xml"/>
  <Override PartName="/customXml/itemProps37.xml" ContentType="application/vnd.openxmlformats-officedocument.customXmlProperties+xml"/>
  <Override PartName="/customXml/itemProps38.xml" ContentType="application/vnd.openxmlformats-officedocument.customXmlProperties+xml"/>
  <Override PartName="/customXml/itemProps39.xml" ContentType="application/vnd.openxmlformats-officedocument.customXmlProperties+xml"/>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codeName="ThisWorkbook"/>
  <mc:AlternateContent xmlns:mc="http://schemas.openxmlformats.org/markup-compatibility/2006">
    <mc:Choice Requires="x15">
      <x15ac:absPath xmlns:x15ac="http://schemas.microsoft.com/office/spreadsheetml/2010/11/ac" url="C:\Users\Hyosung\Desktop\New folder\"/>
    </mc:Choice>
  </mc:AlternateContent>
  <xr:revisionPtr revIDLastSave="0" documentId="8_{D33976E7-D42F-49BC-9C90-CFF6636F7B18}" xr6:coauthVersionLast="47" xr6:coauthVersionMax="47" xr10:uidLastSave="{00000000-0000-0000-0000-000000000000}"/>
  <bookViews>
    <workbookView xWindow="-120" yWindow="-120" windowWidth="29040" windowHeight="15720" tabRatio="717" firstSheet="1" activeTab="1" xr2:uid="{B2DA85E2-969C-4F09-941C-CE16CCFE9D56}"/>
  </bookViews>
  <sheets>
    <sheet name="Security" sheetId="79" state="veryHidden" r:id="rId1"/>
    <sheet name="EULA" sheetId="77" r:id="rId2"/>
    <sheet name="Tích điểm khách hàng" sheetId="82" r:id="rId3"/>
  </sheets>
  <functionGroups builtInGroupCount="19"/>
  <definedNames>
    <definedName name="_xlcn.WorksheetConnection_03.EASYBH01.xlsmTable_DonBan" hidden="1">Table_DonBan[]</definedName>
    <definedName name="_xlcn.WorksheetConnection_03.EASYBH01.xlsmTable_KHThanThiet_ChinhSach" hidden="1">Table_KHThanThiet_ChinhSach[]</definedName>
    <definedName name="_xleta.N" hidden="1" xlm="1">#NAME?</definedName>
    <definedName name="_xleta.PHI" hidden="1" xlm="1">#NAME?</definedName>
    <definedName name="BangLuong_Nam">#REF!</definedName>
    <definedName name="BangLuong_Thang">#REF!</definedName>
    <definedName name="BCQT_BatDau">#REF!</definedName>
    <definedName name="BCQT_KetThuc">#REF!</definedName>
    <definedName name="BCTC_BatDau">#REF!</definedName>
    <definedName name="BCTC_Nam">#REF!</definedName>
    <definedName name="BCTC_Thang">#REF!</definedName>
    <definedName name="BHTN_LuongMax">#REF!</definedName>
    <definedName name="BHTN_TyLeDN">#REF!</definedName>
    <definedName name="BHTN_TyLeNV">#REF!</definedName>
    <definedName name="BHXH_LuongMax">#REF!</definedName>
    <definedName name="BHXH_TyLeDN">#REF!</definedName>
    <definedName name="BHXH_TyLeNV">#REF!</definedName>
    <definedName name="BHYT_LuongMax">#REF!</definedName>
    <definedName name="BHYT_TyLeDN">#REF!</definedName>
    <definedName name="BHYT_TyLeNV">#REF!</definedName>
    <definedName name="ChamCong_DonViGio">#REF!</definedName>
    <definedName name="ChamCong_GioTieuChuan">#REF!</definedName>
    <definedName name="ChamCong_LuongHD">#REF!</definedName>
    <definedName name="ChamCong_LuongTT">#REF!</definedName>
    <definedName name="ChamCong_MienThueOT">#REF!</definedName>
    <definedName name="ChamCong_NopHoBaoHiem">#REF!</definedName>
    <definedName name="ChiPhiNV_GiamTruBanThan">#REF!</definedName>
    <definedName name="ChiPhiNV_GiamTruPhuThuoc">#REF!</definedName>
    <definedName name="Dashboard_ChuongTrinh_Ma">#REF!</definedName>
    <definedName name="DatHang_NgayBatDau">#REF!</definedName>
    <definedName name="DatHang_NgayKetThuc">#REF!</definedName>
    <definedName name="DatHang_NgayTheoDoi">#REF!</definedName>
    <definedName name="DatHang_SoNgayThamChieu">#REF!</definedName>
    <definedName name="DiemHoaVon_NamKeHoach">#REF!</definedName>
    <definedName name="HieuQuaSX_MucTieu">#REF!</definedName>
    <definedName name="HieuQuaSX_Ngay">#REF!</definedName>
    <definedName name="HieuQuaSX_SKU">#REF!</definedName>
    <definedName name="KHThanThiet_HieuLuc">'Tích điểm khách hàng'!$Q$2</definedName>
    <definedName name="KHThanThiet_SoNgay">'Tích điểm khách hàng'!$Q$1</definedName>
    <definedName name="Ma_SKU" localSheetId="2">#REF!</definedName>
    <definedName name="Ma_SKU">#REF!</definedName>
    <definedName name="MaChuongTrinh" localSheetId="2">#REF!</definedName>
    <definedName name="MaChuongTrinh">#REF!</definedName>
    <definedName name="MaCoDong" localSheetId="2">#REF!</definedName>
    <definedName name="MaCoDong">#REF!</definedName>
    <definedName name="MaDauTu" localSheetId="2">#REF!</definedName>
    <definedName name="MaDauTu">#REF!</definedName>
    <definedName name="MaDonBan" localSheetId="2">#REF!</definedName>
    <definedName name="MaDonBan">#REF!</definedName>
    <definedName name="MaDonMua" localSheetId="2">#REF!</definedName>
    <definedName name="MaDonMua">#REF!</definedName>
    <definedName name="MaIn">#REF!</definedName>
    <definedName name="MaKenh" localSheetId="2">#REF!</definedName>
    <definedName name="MaKenh">#REF!</definedName>
    <definedName name="MaKhachHang" localSheetId="2">#REF!</definedName>
    <definedName name="MaKhachHang">#REF!</definedName>
    <definedName name="MaKho" localSheetId="2">#REF!</definedName>
    <definedName name="MaKho">#REF!</definedName>
    <definedName name="MaKhoanVay" localSheetId="2">#REF!</definedName>
    <definedName name="MaKhoanVay">#REF!</definedName>
    <definedName name="MaNguyenLieu" localSheetId="2">#REF!</definedName>
    <definedName name="MaNguyenLieu">#REF!</definedName>
    <definedName name="MaNhaCungCap" localSheetId="2">#REF!</definedName>
    <definedName name="MaNhaCungCap">#REF!</definedName>
    <definedName name="MaNhanVien" localSheetId="2">#REF!</definedName>
    <definedName name="MaNhanVien">#REF!</definedName>
    <definedName name="MaTaiKhoan" localSheetId="2">#REF!</definedName>
    <definedName name="MaTaiKhoan">#REF!</definedName>
    <definedName name="MaTaiSan" localSheetId="2">#REF!</definedName>
    <definedName name="MaTaiSan">#REF!</definedName>
    <definedName name="MaThuChi" localSheetId="2">#REF!</definedName>
    <definedName name="MaThuChi">#REF!</definedName>
    <definedName name="MaVanDon" localSheetId="2">#REF!</definedName>
    <definedName name="MaVanDon">#REF!</definedName>
    <definedName name="MaViTri">#REF!</definedName>
    <definedName name="NhomChiPhi" localSheetId="2">#REF!</definedName>
    <definedName name="NhomChiPhi">#REF!</definedName>
    <definedName name="NoiDungGDKD" localSheetId="2">#REF!</definedName>
    <definedName name="NoiDungGDKD">#REF!</definedName>
    <definedName name="NoiDungGDTC" localSheetId="2">#REF!</definedName>
    <definedName name="NoiDungGDTC">#REF!</definedName>
    <definedName name="NoXau_MaKH">#REF!</definedName>
    <definedName name="NoXau_MaNCC">#REF!</definedName>
    <definedName name="NoXau_NgayTheoDoi">#REF!</definedName>
    <definedName name="NoXau_NhanCungUng">#REF!</definedName>
    <definedName name="NoXau_NhanThanhToan">#REF!</definedName>
    <definedName name="Pivot_Ctr_CKDon">OFFSET(#REF!,0,0,COUNTA(#REF!)-3,1)</definedName>
    <definedName name="Pivot_Ctr_CKSKU">OFFSET(#REF!,0,0,COUNTA(#REF!)-3,1)</definedName>
    <definedName name="Pivot_Ctr_CtrDon">OFFSET(#REF!,0,0,COUNTA(#REF!)-3,1)</definedName>
    <definedName name="Pivot_Ctr_CtrSKU">OFFSET(#REF!,0,0,COUNTA(#REF!)-3,1)</definedName>
    <definedName name="Pivot_Ctr_DthuDon">OFFSET(#REF!,0,0,COUNTA(#REF!)-3,1)</definedName>
    <definedName name="Pivot_Ctr_DthuSKU">OFFSET(#REF!,0,0,COUNTA(#REF!)-3,1)</definedName>
    <definedName name="Pivot_Ctr_Kenh">OFFSET(#REF!,0,0,COUNTA(#REF!)-3,1)</definedName>
    <definedName name="Pivot_Ctr_Khach">OFFSET(#REF!,0,0,COUNTA(#REF!)-3,1)</definedName>
    <definedName name="Pivot_Ctr_Ngay">OFFSET(#REF!,0,0,COUNTA(#REF!)-3,1)</definedName>
    <definedName name="Pivot_Ctr_NhanVien">OFFSET(#REF!,0,0,COUNTA(#REF!)-3,1)</definedName>
    <definedName name="Pivot_Ctr_PhanKhuc">OFFSET(#REF!,0,0,COUNTA(#REF!)-3,1)</definedName>
    <definedName name="Pivot_Ctr_PhanNhom">OFFSET(#REF!,0,0,COUNTA(#REF!)-3,1)</definedName>
    <definedName name="Pivot_Ctr_SKU">OFFSET(#REF!,0,0,COUNTA(#REF!)-3,1)</definedName>
    <definedName name="Pivot_Ctr_TTKhach">OFFSET(#REF!,0,0,COUNTA(#REF!)-3,1)</definedName>
    <definedName name="Pivot_KPI_DthuCP">OFFSET(#REF!,0,0,COUNTA(#REF!)-3,1)</definedName>
    <definedName name="Pivot_KPI_DthuDon">OFFSET(#REF!,0,0,COUNTA(#REF!)-3,1)</definedName>
    <definedName name="Pivot_KPI_DthuSKU">OFFSET(#REF!,0,0,COUNTA(#REF!)-3,1)</definedName>
    <definedName name="Pivot_KPI_Kenh">OFFSET(#REF!,0,0,COUNTA(#REF!)-3,1)</definedName>
    <definedName name="Pivot_KPI_KenhCP">OFFSET(#REF!,0,0,COUNTA(#REF!)-3,1)</definedName>
    <definedName name="Pivot_KPI_KPICP">OFFSET(#REF!,0,0,COUNTA(#REF!)-3,1)</definedName>
    <definedName name="Pivot_KPI_NamCP">OFFSET(#REF!,0,0,COUNTA(#REF!)-3,1)</definedName>
    <definedName name="Pivot_KPI_Ngay">OFFSET(#REF!,0,0,COUNTA(#REF!)-3,1)</definedName>
    <definedName name="Pivot_KPI_NhanVien">OFFSET(#REF!,0,0,COUNTA(#REF!)-3,1)</definedName>
    <definedName name="Pivot_KPI_NhanVienCP">OFFSET(#REF!,0,0,COUNTA(#REF!)-3,1)</definedName>
    <definedName name="Pivot_KPI_PhanKhuc">OFFSET(#REF!,0,0,COUNTA(#REF!)-3,1)</definedName>
    <definedName name="Pivot_KPI_PhanNhom">OFFSET(#REF!,0,0,COUNTA(#REF!)-3,1)</definedName>
    <definedName name="PIvot_KPI_ThangCP">OFFSET(#REF!,0,0,COUNTA(#REF!)-3,1)</definedName>
    <definedName name="Pivot_KPI_TyLeCP">OFFSET(#REF!,0,0,COUNTA(#REF!)-3,1)</definedName>
    <definedName name="Pivot_SanPham_DoanhThu">OFFSET(#REF!,0,0,COUNTA(#REF!)-3,1)</definedName>
    <definedName name="Pivot_SanPham_Loai">OFFSET(#REF!,0,0,COUNTA(#REF!)-3,1)</definedName>
    <definedName name="Pivot_SanPham_MaDon">OFFSET(#REF!,0,0,COUNTA(#REF!)-3,1)</definedName>
    <definedName name="Pivot_SanPham_Ngay">OFFSET(#REF!,0,0,COUNTA(#REF!)-3,1)</definedName>
    <definedName name="Pivot_SanPham_Nhom">OFFSET(#REF!,0,0,COUNTA(#REF!)-3,1)</definedName>
    <definedName name="Pivot_SanPham_PhanKhuc">OFFSET(#REF!,0,0,COUNTA(#REF!)-3,1)</definedName>
    <definedName name="Pivot_SanPham_SKU">OFFSET(#REF!,0,0,COUNTA(#REF!)-3,1)</definedName>
    <definedName name="Pivot_SanPham_SoLuong">OFFSET(#REF!,0,0,COUNTA(#REF!)-3,1)</definedName>
    <definedName name="Pivot_SanPham_TinhThanh">OFFSET(#REF!,0,0,COUNTA(#REF!)-3,1)</definedName>
    <definedName name="Pivot_ThiTruong_DoanhThu">OFFSET(#REF!,0,0,COUNTA(#REF!)-3,1)</definedName>
    <definedName name="Pivot_ThiTruong_MaDon">OFFSET(#REF!,0,0,COUNTA(#REF!)-3,1)</definedName>
    <definedName name="Pivot_ThiTruong_MaKhach">OFFSET(#REF!,0,0,COUNTA(#REF!)-3,1)</definedName>
    <definedName name="Pivot_ThiTruong_Ngay">OFFSET(#REF!,0,0,COUNTA(#REF!)-3,1)</definedName>
    <definedName name="Pivot_ThiTruong_NhomSP">OFFSET(#REF!,0,0,COUNTA(#REF!)-3,1)</definedName>
    <definedName name="PIvot_ThiTruong_SoLuongSP">OFFSET(#REF!,0,0,COUNTA(#REF!)-3,1)</definedName>
    <definedName name="Pivot_ThiTruong_TtDon">OFFSET(#REF!,0,0,COUNTA(#REF!)-3,1)</definedName>
    <definedName name="SKU_Nhom1" localSheetId="2">#REF!</definedName>
    <definedName name="SKU_Nhom1">#REF!</definedName>
    <definedName name="SKU_Nhom2" localSheetId="2">#REF!</definedName>
    <definedName name="SKU_Nhom2">#REF!</definedName>
    <definedName name="SKU_Nhom3" localSheetId="2">#REF!</definedName>
    <definedName name="SKU_Nhom3">#REF!</definedName>
    <definedName name="ThanhPham_Nhom">#REF!</definedName>
    <definedName name="ThanhPham_PhanLoai">#REF!</definedName>
    <definedName name="ThanhPham_PhanNhom">#REF!</definedName>
    <definedName name="TonKho_GTXuat">#REF!</definedName>
    <definedName name="TonKho_Kho">#REF!</definedName>
    <definedName name="TonKho_MaHang">#REF!</definedName>
    <definedName name="TonKho_NgayTheoDoi">#REF!</definedName>
    <definedName name="TonKho_TieuThu">#REF!</definedName>
  </definedNames>
  <calcPr calcId="191029"/>
  <pivotCaches>
    <pivotCache cacheId="0" r:id="rId4"/>
    <pivotCache cacheId="1" r:id="rId5"/>
  </pivotCaches>
  <extLs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Table_KHThanThiet_ChinhSach" name="Table_KHThanThiet_ChinhSach" connection="WorksheetConnection_03. EASY-BH01.xlsm!Table_KHThanThiet_ChinhSach"/>
          <x15:modelTable id="Table_DonBan" name="Table_DonBan" connection="WorksheetConnection_03. EASY-BH01.xlsm!Table_DonBan"/>
        </x15:modelTables>
        <x15:modelRelationships>
          <x15:modelRelationship fromTable="Table_DonBan" fromColumn="Tỷ lệ tính điểm" toTable="Table_KHThanThiet_ChinhSach" toColumn="Tỷ lệ điểm thưởng"/>
        </x15:modelRelationships>
        <x15:extLst>
          <ext xmlns:x16="http://schemas.microsoft.com/office/spreadsheetml/2014/11/main" uri="{9835A34E-60A6-4A7C-AAB8-D5F71C897F49}">
            <x16:modelTimeGroupings>
              <x16:modelTimeGrouping tableName="Table_DonBan" columnName="Ngày lập" columnId="Ngày lập">
                <x16:calculatedTimeColumn columnName="Ngày lập (Month Index)" columnId="Ngày lập (Month Index)" contentType="monthsindex" isSelected="1"/>
                <x16:calculatedTimeColumn columnName="Ngày lập (Month)" columnId="Ngày lập (Month)" contentType="months" isSelected="1"/>
              </x16:modelTimeGrouping>
            </x16:modelTimeGroupings>
          </ext>
        </x15:extLst>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W11" i="82" l="1" a="1"/>
  <c r="W11" i="82" s="1"/>
  <c r="U39" i="82" l="1"/>
  <c r="U23" i="82"/>
  <c r="U24" i="82"/>
  <c r="U25" i="82"/>
  <c r="U26" i="82"/>
  <c r="U27" i="82"/>
  <c r="U28" i="82"/>
  <c r="U29" i="82"/>
  <c r="U30" i="82"/>
  <c r="U31" i="82"/>
  <c r="U32" i="82"/>
  <c r="U33" i="82"/>
  <c r="U34" i="82"/>
  <c r="U35" i="82"/>
  <c r="U36" i="82"/>
  <c r="U37" i="82"/>
  <c r="U38" i="82"/>
  <c r="U40" i="82"/>
  <c r="U41" i="82"/>
  <c r="U42" i="82"/>
  <c r="U43" i="82"/>
  <c r="U44" i="82"/>
  <c r="U45" i="82"/>
  <c r="U46" i="82"/>
  <c r="U47" i="82"/>
  <c r="U48" i="82"/>
  <c r="U49" i="82"/>
  <c r="U50" i="82"/>
  <c r="U51" i="82"/>
  <c r="U52" i="82"/>
  <c r="U53" i="82"/>
  <c r="U54" i="82"/>
  <c r="V54" i="82" s="1" a="1"/>
  <c r="V54" i="82" s="1"/>
  <c r="U55" i="82"/>
  <c r="U56" i="82"/>
  <c r="U57" i="82"/>
  <c r="U58" i="82"/>
  <c r="U59" i="82"/>
  <c r="U60" i="82"/>
  <c r="U61" i="82"/>
  <c r="V61" i="82" s="1" a="1"/>
  <c r="V61" i="82" s="1"/>
  <c r="U62" i="82"/>
  <c r="U63" i="82"/>
  <c r="U64" i="82"/>
  <c r="U65" i="82"/>
  <c r="V65" i="82" s="1" a="1"/>
  <c r="V65" i="82" s="1"/>
  <c r="W65" i="82" s="1" a="1"/>
  <c r="W65" i="82" s="1"/>
  <c r="X65" i="82" s="1"/>
  <c r="S65" i="82" s="1" a="1"/>
  <c r="S65" i="82" s="1"/>
  <c r="W8" i="82" l="1" a="1"/>
  <c r="W8" i="82" s="1"/>
  <c r="V42" i="82" a="1"/>
  <c r="V42" i="82" s="1"/>
  <c r="W42" i="82" s="1" a="1"/>
  <c r="W42" i="82" s="1"/>
  <c r="X42" i="82" s="1"/>
  <c r="V40" i="82" a="1"/>
  <c r="V40" i="82" s="1"/>
  <c r="W40" i="82" s="1" a="1"/>
  <c r="W40" i="82" s="1"/>
  <c r="X40" i="82" s="1"/>
  <c r="V27" i="82" a="1"/>
  <c r="V27" i="82" s="1"/>
  <c r="W27" i="82" s="1" a="1"/>
  <c r="W27" i="82" s="1"/>
  <c r="X27" i="82" s="1"/>
  <c r="V52" i="82" a="1"/>
  <c r="V52" i="82" s="1"/>
  <c r="W52" i="82" s="1" a="1"/>
  <c r="W52" i="82" s="1"/>
  <c r="X52" i="82" s="1"/>
  <c r="V29" i="82" a="1"/>
  <c r="V29" i="82" s="1"/>
  <c r="W29" i="82" s="1" a="1"/>
  <c r="W29" i="82" s="1"/>
  <c r="X29" i="82" s="1"/>
  <c r="V53" i="82" a="1"/>
  <c r="V53" i="82" s="1"/>
  <c r="W53" i="82" s="1" a="1"/>
  <c r="W53" i="82" s="1"/>
  <c r="X53" i="82" s="1"/>
  <c r="V41" i="82" a="1"/>
  <c r="V41" i="82" s="1"/>
  <c r="W41" i="82" s="1" a="1"/>
  <c r="W41" i="82" s="1"/>
  <c r="X41" i="82" s="1"/>
  <c r="V28" i="82" a="1"/>
  <c r="V28" i="82" s="1"/>
  <c r="W28" i="82" s="1" a="1"/>
  <c r="W28" i="82" s="1"/>
  <c r="X28" i="82" s="1"/>
  <c r="V51" i="82" a="1"/>
  <c r="V51" i="82" s="1"/>
  <c r="W51" i="82" s="1" a="1"/>
  <c r="W51" i="82" s="1"/>
  <c r="X51" i="82" s="1"/>
  <c r="S51" i="82" s="1" a="1"/>
  <c r="S51" i="82" s="1"/>
  <c r="V38" i="82" a="1"/>
  <c r="V38" i="82" s="1"/>
  <c r="W38" i="82" s="1" a="1"/>
  <c r="W38" i="82" s="1"/>
  <c r="X38" i="82" s="1"/>
  <c r="V62" i="82" a="1"/>
  <c r="V62" i="82" s="1"/>
  <c r="W62" i="82" s="1" a="1"/>
  <c r="W62" i="82" s="1"/>
  <c r="X62" i="82" s="1"/>
  <c r="V64" i="82" a="1"/>
  <c r="V64" i="82" s="1"/>
  <c r="W64" i="82" s="1" a="1"/>
  <c r="W64" i="82" s="1"/>
  <c r="X64" i="82" s="1"/>
  <c r="V25" i="82" a="1"/>
  <c r="V25" i="82" s="1"/>
  <c r="W25" i="82" s="1" a="1"/>
  <c r="W25" i="82" s="1"/>
  <c r="V49" i="82" a="1"/>
  <c r="V49" i="82" s="1"/>
  <c r="W49" i="82" s="1" a="1"/>
  <c r="W49" i="82" s="1"/>
  <c r="X49" i="82" s="1"/>
  <c r="V60" i="82" a="1"/>
  <c r="V60" i="82" s="1"/>
  <c r="W60" i="82" s="1" a="1"/>
  <c r="W60" i="82" s="1"/>
  <c r="X60" i="82" s="1"/>
  <c r="V59" i="82" a="1"/>
  <c r="V59" i="82" s="1"/>
  <c r="W59" i="82" s="1" a="1"/>
  <c r="W59" i="82" s="1"/>
  <c r="X59" i="82" s="1"/>
  <c r="V46" i="82" a="1"/>
  <c r="V46" i="82" s="1"/>
  <c r="W46" i="82" s="1" a="1"/>
  <c r="W46" i="82" s="1"/>
  <c r="X46" i="82" s="1"/>
  <c r="V57" i="82" a="1"/>
  <c r="V57" i="82" s="1"/>
  <c r="W57" i="82" s="1" a="1"/>
  <c r="W57" i="82" s="1"/>
  <c r="X57" i="82" s="1"/>
  <c r="S57" i="82" s="1" a="1"/>
  <c r="S57" i="82" s="1"/>
  <c r="V45" i="82" a="1"/>
  <c r="V45" i="82" s="1"/>
  <c r="W45" i="82" s="1" a="1"/>
  <c r="W45" i="82" s="1"/>
  <c r="X45" i="82" s="1"/>
  <c r="V32" i="82" a="1"/>
  <c r="V32" i="82" s="1"/>
  <c r="W32" i="82" s="1" a="1"/>
  <c r="W32" i="82" s="1"/>
  <c r="X32" i="82" s="1"/>
  <c r="V24" i="82" a="1"/>
  <c r="V24" i="82" s="1"/>
  <c r="W24" i="82" s="1" a="1"/>
  <c r="W24" i="82" s="1"/>
  <c r="X24" i="82" s="1"/>
  <c r="V23" i="82" a="1"/>
  <c r="V23" i="82" s="1"/>
  <c r="W23" i="82" s="1" a="1"/>
  <c r="W23" i="82" s="1"/>
  <c r="X23" i="82" s="1"/>
  <c r="V47" i="82" a="1"/>
  <c r="V47" i="82" s="1"/>
  <c r="W47" i="82" s="1" a="1"/>
  <c r="W47" i="82" s="1"/>
  <c r="X47" i="82" s="1"/>
  <c r="W54" i="82" a="1"/>
  <c r="W54" i="82" s="1"/>
  <c r="X54" i="82" s="1"/>
  <c r="V58" i="82" a="1"/>
  <c r="V58" i="82" s="1"/>
  <c r="W58" i="82" s="1" a="1"/>
  <c r="W58" i="82" s="1"/>
  <c r="X58" i="82" s="1"/>
  <c r="V33" i="82" a="1"/>
  <c r="V33" i="82" s="1"/>
  <c r="W33" i="82" s="1" a="1"/>
  <c r="W33" i="82" s="1"/>
  <c r="X33" i="82" s="1"/>
  <c r="V56" i="82" a="1"/>
  <c r="V56" i="82" s="1"/>
  <c r="W56" i="82" s="1" a="1"/>
  <c r="W56" i="82" s="1"/>
  <c r="X56" i="82" s="1"/>
  <c r="V44" i="82" a="1"/>
  <c r="V44" i="82" s="1"/>
  <c r="W44" i="82" s="1" a="1"/>
  <c r="W44" i="82" s="1"/>
  <c r="X44" i="82" s="1"/>
  <c r="V31" i="82" a="1"/>
  <c r="V31" i="82" s="1"/>
  <c r="W31" i="82" s="1" a="1"/>
  <c r="W31" i="82" s="1"/>
  <c r="X31" i="82" s="1"/>
  <c r="V39" i="82" a="1"/>
  <c r="V39" i="82" s="1"/>
  <c r="W39" i="82" s="1" a="1"/>
  <c r="W39" i="82" s="1"/>
  <c r="X39" i="82" s="1"/>
  <c r="V63" i="82" a="1"/>
  <c r="V63" i="82" s="1"/>
  <c r="W63" i="82" s="1" a="1"/>
  <c r="W63" i="82" s="1"/>
  <c r="X63" i="82" s="1"/>
  <c r="S63" i="82" s="1" a="1"/>
  <c r="S63" i="82" s="1"/>
  <c r="V26" i="82" a="1"/>
  <c r="V26" i="82" s="1"/>
  <c r="W26" i="82" s="1" a="1"/>
  <c r="W26" i="82" s="1"/>
  <c r="X26" i="82" s="1"/>
  <c r="V50" i="82" a="1"/>
  <c r="V50" i="82" s="1"/>
  <c r="W50" i="82" s="1" a="1"/>
  <c r="W50" i="82" s="1"/>
  <c r="X50" i="82" s="1"/>
  <c r="S50" i="82" s="1" a="1"/>
  <c r="S50" i="82" s="1"/>
  <c r="V37" i="82" a="1"/>
  <c r="V37" i="82" s="1"/>
  <c r="W37" i="82" s="1" a="1"/>
  <c r="W37" i="82" s="1"/>
  <c r="X37" i="82" s="1"/>
  <c r="V36" i="82" a="1"/>
  <c r="V36" i="82" s="1"/>
  <c r="W36" i="82" s="1" a="1"/>
  <c r="W36" i="82" s="1"/>
  <c r="X36" i="82" s="1"/>
  <c r="V48" i="82" a="1"/>
  <c r="V48" i="82" s="1"/>
  <c r="W48" i="82" s="1" a="1"/>
  <c r="W48" i="82" s="1"/>
  <c r="X48" i="82" s="1"/>
  <c r="V35" i="82" a="1"/>
  <c r="V35" i="82" s="1"/>
  <c r="W35" i="82" s="1" a="1"/>
  <c r="W35" i="82" s="1"/>
  <c r="X35" i="82" s="1"/>
  <c r="V34" i="82" a="1"/>
  <c r="V34" i="82" s="1"/>
  <c r="W34" i="82" s="1" a="1"/>
  <c r="W34" i="82" s="1"/>
  <c r="X34" i="82" s="1"/>
  <c r="V55" i="82" a="1"/>
  <c r="V55" i="82" s="1"/>
  <c r="W55" i="82" s="1" a="1"/>
  <c r="W55" i="82" s="1"/>
  <c r="X55" i="82" s="1"/>
  <c r="V43" i="82" a="1"/>
  <c r="V43" i="82" s="1"/>
  <c r="W43" i="82" s="1" a="1"/>
  <c r="W43" i="82" s="1"/>
  <c r="X43" i="82" s="1"/>
  <c r="V30" i="82" a="1"/>
  <c r="V30" i="82" s="1"/>
  <c r="W30" i="82" s="1" a="1"/>
  <c r="W30" i="82" s="1"/>
  <c r="X30" i="82" s="1"/>
  <c r="W61" i="82" a="1"/>
  <c r="W61" i="82" s="1"/>
  <c r="X61" i="82" s="1"/>
  <c r="S61" i="82" s="1" a="1"/>
  <c r="S61" i="82" s="1"/>
  <c r="S47" i="82" l="1" a="1"/>
  <c r="S47" i="82" s="1"/>
  <c r="S38" i="82" a="1"/>
  <c r="S38" i="82" s="1"/>
  <c r="X25" i="82"/>
  <c r="W17" i="82" s="1" a="1"/>
  <c r="W17" i="82" s="1"/>
  <c r="W15" i="82"/>
  <c r="W9" i="82" a="1"/>
  <c r="W9" i="82" s="1"/>
  <c r="S48" i="82" a="1"/>
  <c r="S48" i="82" s="1"/>
  <c r="S54" i="82" a="1"/>
  <c r="S54" i="82" s="1"/>
  <c r="S53" i="82" a="1"/>
  <c r="S53" i="82" s="1"/>
  <c r="S23" i="82" a="1"/>
  <c r="S23" i="82" s="1"/>
  <c r="S32" i="82" a="1"/>
  <c r="S32" i="82" s="1"/>
  <c r="S45" i="82" a="1"/>
  <c r="S45" i="82" s="1"/>
  <c r="S41" i="82" a="1"/>
  <c r="S41" i="82" s="1"/>
  <c r="S62" i="82" a="1"/>
  <c r="S62" i="82" s="1"/>
  <c r="S64" i="82" a="1"/>
  <c r="S64" i="82" s="1"/>
  <c r="S24" i="82" a="1"/>
  <c r="S24" i="82" s="1"/>
  <c r="S44" i="82" a="1"/>
  <c r="S44" i="82" s="1"/>
  <c r="S59" i="82" a="1"/>
  <c r="S59" i="82" s="1"/>
  <c r="S52" i="82" a="1"/>
  <c r="S52" i="82" s="1"/>
  <c r="S36" i="82" a="1"/>
  <c r="S36" i="82" s="1"/>
  <c r="S37" i="82" a="1"/>
  <c r="S37" i="82" s="1"/>
  <c r="S28" i="82" a="1"/>
  <c r="S28" i="82" s="1"/>
  <c r="S31" i="82" a="1"/>
  <c r="S31" i="82" s="1"/>
  <c r="S43" i="82" a="1"/>
  <c r="S43" i="82" s="1"/>
  <c r="S55" i="82" a="1"/>
  <c r="S55" i="82" s="1"/>
  <c r="S56" i="82" a="1"/>
  <c r="S56" i="82" s="1"/>
  <c r="S60" i="82" a="1"/>
  <c r="S60" i="82" s="1"/>
  <c r="S27" i="82" a="1"/>
  <c r="S27" i="82" s="1"/>
  <c r="S30" i="82" a="1"/>
  <c r="S30" i="82" s="1"/>
  <c r="S29" i="82" a="1"/>
  <c r="S29" i="82" s="1"/>
  <c r="S34" i="82" a="1"/>
  <c r="S34" i="82" s="1"/>
  <c r="S33" i="82" a="1"/>
  <c r="S33" i="82" s="1"/>
  <c r="S49" i="82" a="1"/>
  <c r="S49" i="82" s="1"/>
  <c r="S40" i="82" a="1"/>
  <c r="S40" i="82" s="1"/>
  <c r="S26" i="82" a="1"/>
  <c r="S26" i="82" s="1"/>
  <c r="S39" i="82" a="1"/>
  <c r="S39" i="82" s="1"/>
  <c r="S46" i="82" a="1"/>
  <c r="S46" i="82" s="1"/>
  <c r="S35" i="82" a="1"/>
  <c r="S35" i="82" s="1"/>
  <c r="S58" i="82" a="1"/>
  <c r="S58" i="82" s="1"/>
  <c r="S25" i="82" a="1"/>
  <c r="S25" i="82" s="1"/>
  <c r="W16" i="82" s="1"/>
  <c r="S42" i="82" a="1"/>
  <c r="S42" i="82" s="1"/>
  <c r="M23" i="82"/>
  <c r="M24" i="82"/>
  <c r="M25" i="82"/>
  <c r="M26" i="82"/>
  <c r="M27" i="82"/>
  <c r="M28" i="82"/>
  <c r="N23" i="82" a="1"/>
  <c r="N23" i="82" s="1"/>
  <c r="W10" i="82" l="1"/>
  <c r="W12" i="82"/>
  <c r="N24" i="82" a="1"/>
  <c r="N24" i="82" s="1"/>
  <c r="N28" i="82" a="1"/>
  <c r="N28" i="82" s="1"/>
  <c r="N27" i="82" a="1"/>
  <c r="N27" i="82" s="1"/>
  <c r="N26" i="82" a="1"/>
  <c r="N26" i="82" s="1"/>
  <c r="N25" i="82" a="1"/>
  <c r="N25" i="82"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A6F6E75-8680-48E5-BB53-221EE4FEFCD1}"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A908F83F-09E2-4981-81B1-AA5D2CEAB6C1}" name="WorksheetConnection_03. EASY-BH01.xlsm!Table_DonBan" type="102" refreshedVersion="8" minRefreshableVersion="5">
    <extLst>
      <ext xmlns:x15="http://schemas.microsoft.com/office/spreadsheetml/2010/11/main" uri="{DE250136-89BD-433C-8126-D09CA5730AF9}">
        <x15:connection id="Table_DonBan">
          <x15:rangePr sourceName="_xlcn.WorksheetConnection_03.EASYBH01.xlsmTable_DonBan"/>
        </x15:connection>
      </ext>
    </extLst>
  </connection>
  <connection id="3" xr16:uid="{8189AC7E-696D-4830-B466-514FE2646E5A}" name="WorksheetConnection_03. EASY-BH01.xlsm!Table_KHThanThiet_ChinhSach" type="102" refreshedVersion="8" minRefreshableVersion="5">
    <extLst>
      <ext xmlns:x15="http://schemas.microsoft.com/office/spreadsheetml/2010/11/main" uri="{DE250136-89BD-433C-8126-D09CA5730AF9}">
        <x15:connection id="Table_KHThanThiet_ChinhSach">
          <x15:rangePr sourceName="_xlcn.WorksheetConnection_03.EASYBH01.xlsmTable_KHThanThiet_ChinhSach"/>
        </x15:connection>
      </ext>
    </extLst>
  </connection>
</connections>
</file>

<file path=xl/metadata.xml><?xml version="1.0" encoding="utf-8"?>
<metadata xmlns="http://schemas.openxmlformats.org/spreadsheetml/2006/main" xmlns:xda="http://schemas.microsoft.com/office/spreadsheetml/2017/dynamicarray">
  <metadataTypes count="2">
    <metadataType name="XLDAPR" minSupportedVersion="120000" copy="1" pasteAll="1" pasteValues="1" merge="1" splitFirst="1" rowColShift="1" clearFormats="1" clearComments="1" assign="1" coerce="1" cellMeta="1"/>
    <metadataType name="XLMDX" minSupportedVersion="120000" copy="1" pasteAll="1" pasteValues="1" merge="1" splitFirst="1" rowColShift="1" clearFormats="1" clearComments="1" assign="1" coerce="1"/>
  </metadataTypes>
  <metadataStrings count="2">
    <s v="ThisWorkbookDataModel"/>
    <s v="{[Table_DonBan].[Mã Khách].[All]}"/>
  </metadataStrings>
  <mdxMetadata count="1">
    <mdx n="0" f="s">
      <ms ns="1" c="0"/>
    </mdx>
  </mdxMetadata>
  <futureMetadata name="XLDAPR" count="1">
    <bk>
      <extLst>
        <ext uri="{bdbb8cdc-fa1e-496e-a857-3c3f30c029c3}">
          <xda:dynamicArrayProperties fDynamic="1" fCollapsed="0"/>
        </ext>
      </extLst>
    </bk>
  </futureMetadata>
  <cellMetadata count="1">
    <bk>
      <rc t="1" v="0"/>
    </bk>
  </cellMetadata>
  <valueMetadata count="1">
    <bk>
      <rc t="2" v="0"/>
    </bk>
  </valueMetadata>
</metadata>
</file>

<file path=xl/sharedStrings.xml><?xml version="1.0" encoding="utf-8"?>
<sst xmlns="http://schemas.openxmlformats.org/spreadsheetml/2006/main" count="135" uniqueCount="81">
  <si>
    <t>Bên A</t>
  </si>
  <si>
    <t>Công ty TNHH Tư vấn Quản trị FIRM</t>
  </si>
  <si>
    <t>[Địa chỉ]</t>
  </si>
  <si>
    <t>[Mã số thuế]</t>
  </si>
  <si>
    <t>[SĐT - Fax]</t>
  </si>
  <si>
    <t>[Website - Page]</t>
  </si>
  <si>
    <t>[STK - Ngân hàng]</t>
  </si>
  <si>
    <t>Bên B</t>
  </si>
  <si>
    <t>Công ty ABC XYZ</t>
  </si>
  <si>
    <t>ID</t>
  </si>
  <si>
    <t>License</t>
  </si>
  <si>
    <t>Mã Khách</t>
  </si>
  <si>
    <t>Prdt</t>
  </si>
  <si>
    <t>Date_Pmt</t>
  </si>
  <si>
    <t>Date_Exp</t>
  </si>
  <si>
    <t>Period</t>
  </si>
  <si>
    <t>All</t>
  </si>
  <si>
    <t>QuanTri</t>
  </si>
  <si>
    <t>BanHang</t>
  </si>
  <si>
    <t>LuuKho</t>
  </si>
  <si>
    <t>ChiPhi</t>
  </si>
  <si>
    <t>GiaoDich</t>
  </si>
  <si>
    <t>Khac</t>
  </si>
  <si>
    <r>
      <t>[MST]</t>
    </r>
    <r>
      <rPr>
        <sz val="12"/>
        <color theme="1"/>
        <rFont val="Segoe UI Light"/>
        <family val="2"/>
        <scheme val="minor"/>
      </rPr>
      <t xml:space="preserve"> 0318908160</t>
    </r>
  </si>
  <si>
    <t>LEAnh@4404$LEKhanh!3696)LEHuyen!3200(LEWives(3448$LEFam</t>
  </si>
  <si>
    <t>Doanh thu ròng</t>
  </si>
  <si>
    <t>Cấp khách hàng</t>
  </si>
  <si>
    <t>Doanh thu tối thiểu</t>
  </si>
  <si>
    <t>Doanh thu tối đa</t>
  </si>
  <si>
    <t>Tỷ lệ điểm thưởng</t>
  </si>
  <si>
    <t>Điểm thưởng tối đa</t>
  </si>
  <si>
    <t>Điểm thưởng lũy kế</t>
  </si>
  <si>
    <t>Số ngày tính điểm</t>
  </si>
  <si>
    <t>Khách lẻ</t>
  </si>
  <si>
    <t>Hạng đồng</t>
  </si>
  <si>
    <t>Hạng bạc</t>
  </si>
  <si>
    <t>Hàng vàng</t>
  </si>
  <si>
    <t>Hạng bạch kim</t>
  </si>
  <si>
    <t>Hạng kim cương</t>
  </si>
  <si>
    <t>Điểm khả dụng</t>
  </si>
  <si>
    <t>Điểm sử dụng</t>
  </si>
  <si>
    <t>Doanh thu tính điểm</t>
  </si>
  <si>
    <t>link server</t>
  </si>
  <si>
    <t>X</t>
  </si>
  <si>
    <r>
      <t>[Đ/c]</t>
    </r>
    <r>
      <rPr>
        <sz val="12"/>
        <color theme="1"/>
        <rFont val="Segoe UI Light"/>
        <family val="2"/>
        <scheme val="minor"/>
      </rPr>
      <t xml:space="preserve"> 39A đường 149C, phường Long Trường, Tp.HCM</t>
    </r>
  </si>
  <si>
    <r>
      <t xml:space="preserve">[SĐT] </t>
    </r>
    <r>
      <rPr>
        <sz val="12"/>
        <color theme="1"/>
        <rFont val="Segoe UI Light"/>
        <family val="2"/>
        <scheme val="minor"/>
      </rPr>
      <t>0344048220</t>
    </r>
  </si>
  <si>
    <r>
      <t>[Web]</t>
    </r>
    <r>
      <rPr>
        <sz val="12"/>
        <color theme="1"/>
        <rFont val="Segoe UI Light"/>
        <family val="2"/>
        <scheme val="minor"/>
      </rPr>
      <t xml:space="preserve"> </t>
    </r>
    <r>
      <rPr>
        <u/>
        <sz val="12"/>
        <color theme="1"/>
        <rFont val="Segoe UI Light"/>
        <family val="2"/>
        <scheme val="minor"/>
      </rPr>
      <t>https://firmmcco.wixsite.com/easyquantri</t>
    </r>
  </si>
  <si>
    <r>
      <t xml:space="preserve">[STK] </t>
    </r>
    <r>
      <rPr>
        <sz val="12"/>
        <color theme="1"/>
        <rFont val="Segoe UI Light"/>
        <family val="2"/>
        <scheme val="minor"/>
      </rPr>
      <t>44048220 - MBBank</t>
    </r>
  </si>
  <si>
    <t>Điểm tích lũy</t>
  </si>
  <si>
    <t>KH1</t>
  </si>
  <si>
    <t>KH4</t>
  </si>
  <si>
    <t>KH2</t>
  </si>
  <si>
    <t>KH3</t>
  </si>
  <si>
    <t>Tiền hàng</t>
  </si>
  <si>
    <t>Tỷ lệ tính điểm</t>
  </si>
  <si>
    <t>Thời hạn hiệu lực</t>
  </si>
  <si>
    <t>Ngày lập</t>
  </si>
  <si>
    <t>Row Labels</t>
  </si>
  <si>
    <t>Grand Total</t>
  </si>
  <si>
    <t>Apr</t>
  </si>
  <si>
    <t>May</t>
  </si>
  <si>
    <t>Tỷ lệ tích điểm</t>
  </si>
  <si>
    <t>Tỷ lệ dùng điểm</t>
  </si>
  <si>
    <t>GIAI ĐOẠN</t>
  </si>
  <si>
    <t>ĐẾN</t>
  </si>
  <si>
    <t>DOANH THU</t>
  </si>
  <si>
    <t>TỔNG SỐ ĐIỂM TÍCH</t>
  </si>
  <si>
    <t>TỶ LỆ TÍCH ĐIỂM</t>
  </si>
  <si>
    <t>TỶ LỆ SỬ DỤNG ĐIỂM</t>
  </si>
  <si>
    <t>MÃ KHÁCH</t>
  </si>
  <si>
    <t>CẤP HIỆN TẠI</t>
  </si>
  <si>
    <t>ĐIỂM KHẢ DỤNG</t>
  </si>
  <si>
    <t>TỔNG ĐIỂM SỬ DỤNG</t>
  </si>
  <si>
    <t>4C68A711-89BE-412A-BD2D-CB33771CC62D</t>
  </si>
  <si>
    <t>EASY-33329183463</t>
  </si>
  <si>
    <t>BH01</t>
  </si>
  <si>
    <t>Red</t>
  </si>
  <si>
    <t>Green</t>
  </si>
  <si>
    <t>Blue</t>
  </si>
  <si>
    <t>Gray</t>
  </si>
  <si>
    <t>Brown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</si>
</sst>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7">
    <numFmt numFmtId="43" formatCode="_(* #,##0.00_);_(* \(#,##0.00\);_(* &quot;-&quot;??_);_(@_)"/>
    <numFmt numFmtId="164" formatCode="_(* #,##0_);_(* \(#,##0\);_(* &quot;-&quot;??_);_(@_)"/>
    <numFmt numFmtId="165" formatCode="_(* #,##0.0000_);_(* \(#,##0.0000\);_(* &quot;-&quot;??_);_(@_)"/>
    <numFmt numFmtId="166" formatCode="[$-1010000]d/m/yyyy;@"/>
    <numFmt numFmtId="167" formatCode="_(#,##0_);_(\(#,##0\);_(\-_);_(@_)"/>
    <numFmt numFmtId="168" formatCode="dd/mm/yyyy"/>
    <numFmt numFmtId="169" formatCode="0.0%"/>
  </numFmts>
  <fonts count="18" x14ac:knownFonts="1">
    <font>
      <sz val="11"/>
      <color theme="1"/>
      <name val="Segoe UI Light"/>
      <family val="2"/>
      <scheme val="minor"/>
    </font>
    <font>
      <sz val="11"/>
      <color theme="1"/>
      <name val="Segoe UI Light"/>
      <family val="2"/>
      <scheme val="minor"/>
    </font>
    <font>
      <sz val="12"/>
      <color theme="1"/>
      <name val="Segoe UI Light"/>
      <family val="2"/>
      <scheme val="minor"/>
    </font>
    <font>
      <b/>
      <sz val="12"/>
      <color theme="1"/>
      <name val="Segoe UI Light"/>
      <family val="2"/>
      <scheme val="minor"/>
    </font>
    <font>
      <sz val="24"/>
      <color theme="8"/>
      <name val="Segoe UI"/>
      <family val="2"/>
      <scheme val="major"/>
    </font>
    <font>
      <sz val="8"/>
      <color theme="1"/>
      <name val="Segoe UI Light"/>
      <family val="2"/>
      <scheme val="minor"/>
    </font>
    <font>
      <sz val="8"/>
      <name val="Segoe UI Light"/>
      <family val="2"/>
      <scheme val="minor"/>
    </font>
    <font>
      <sz val="8"/>
      <color theme="9"/>
      <name val="Segoe UI Light"/>
      <family val="2"/>
      <scheme val="minor"/>
    </font>
    <font>
      <sz val="8"/>
      <color theme="0"/>
      <name val="Segoe UI Light"/>
      <family val="2"/>
      <scheme val="minor"/>
    </font>
    <font>
      <b/>
      <sz val="11"/>
      <color theme="1"/>
      <name val="Segoe UI Light"/>
      <family val="2"/>
      <scheme val="minor"/>
    </font>
    <font>
      <sz val="11"/>
      <name val="Segoe UI Light"/>
      <family val="2"/>
      <scheme val="minor"/>
    </font>
    <font>
      <b/>
      <sz val="11"/>
      <color theme="8"/>
      <name val="Segoe UI Light"/>
      <family val="2"/>
      <scheme val="minor"/>
    </font>
    <font>
      <sz val="8"/>
      <color rgb="FF000000"/>
      <name val="Segoe UI"/>
      <family val="2"/>
    </font>
    <font>
      <b/>
      <sz val="8"/>
      <color rgb="FF000000"/>
      <name val="Segoe UI Light"/>
      <family val="2"/>
    </font>
    <font>
      <u/>
      <sz val="12"/>
      <color theme="1"/>
      <name val="Segoe UI Light"/>
      <family val="2"/>
      <scheme val="minor"/>
    </font>
    <font>
      <b/>
      <sz val="14"/>
      <color theme="6"/>
      <name val="Segoe UI Light"/>
      <family val="2"/>
      <scheme val="minor"/>
    </font>
    <font>
      <b/>
      <sz val="12"/>
      <color theme="9" tint="-0.499984740745262"/>
      <name val="Segoe UI Light"/>
      <family val="2"/>
      <scheme val="minor"/>
    </font>
    <font>
      <sz val="11"/>
      <color theme="0"/>
      <name val="Segoe UI Light"/>
      <family val="2"/>
      <scheme val="minor"/>
    </font>
  </fonts>
  <fills count="3">
    <fill>
      <patternFill patternType="none"/>
    </fill>
    <fill>
      <patternFill patternType="gray125"/>
    </fill>
    <fill>
      <patternFill patternType="solid">
        <fgColor theme="9" tint="0.79998168889431442"/>
        <bgColor indexed="64"/>
      </patternFill>
    </fill>
  </fills>
  <borders count="2">
    <border>
      <left/>
      <right/>
      <top/>
      <bottom/>
      <diagonal/>
    </border>
    <border>
      <left/>
      <right/>
      <top style="thin">
        <color theme="5" tint="0.39997558519241921"/>
      </top>
      <bottom style="thin">
        <color theme="5" tint="0.39997558519241921"/>
      </bottom>
      <diagonal/>
    </border>
  </borders>
  <cellStyleXfs count="3">
    <xf numFmtId="0" fontId="0" fillId="0" borderId="0"/>
    <xf numFmtId="43" fontId="1" fillId="0" borderId="0" applyFont="0" applyFill="0" applyBorder="0" applyAlignment="0" applyProtection="0"/>
    <xf numFmtId="9" fontId="1" fillId="0" borderId="0" applyFont="0" applyFill="0" applyBorder="0" applyAlignment="0" applyProtection="0"/>
  </cellStyleXfs>
  <cellXfs count="48">
    <xf numFmtId="0" fontId="0" fillId="0" borderId="0" xfId="0"/>
    <xf numFmtId="0" fontId="5" fillId="0" borderId="0" xfId="0" applyFont="1" applyAlignment="1" applyProtection="1">
      <alignment vertical="center"/>
      <protection locked="0" hidden="1"/>
    </xf>
    <xf numFmtId="164" fontId="5" fillId="0" borderId="0" xfId="1" applyNumberFormat="1" applyFont="1" applyAlignment="1" applyProtection="1">
      <alignment vertical="center"/>
      <protection locked="0" hidden="1"/>
    </xf>
    <xf numFmtId="164" fontId="7" fillId="0" borderId="0" xfId="1" applyNumberFormat="1" applyFont="1" applyAlignment="1" applyProtection="1">
      <alignment vertical="center"/>
      <protection locked="0" hidden="1"/>
    </xf>
    <xf numFmtId="0" fontId="0" fillId="0" borderId="0" xfId="0" applyProtection="1">
      <protection locked="0" hidden="1"/>
    </xf>
    <xf numFmtId="9" fontId="5" fillId="0" borderId="0" xfId="2" applyFont="1" applyAlignment="1" applyProtection="1">
      <alignment vertical="center"/>
      <protection locked="0" hidden="1"/>
    </xf>
    <xf numFmtId="0" fontId="8" fillId="0" borderId="0" xfId="0" applyFont="1" applyAlignment="1" applyProtection="1">
      <alignment vertical="center"/>
      <protection locked="0" hidden="1"/>
    </xf>
    <xf numFmtId="165" fontId="8" fillId="0" borderId="0" xfId="0" applyNumberFormat="1" applyFont="1" applyAlignment="1" applyProtection="1">
      <alignment vertical="center"/>
      <protection locked="0" hidden="1"/>
    </xf>
    <xf numFmtId="0" fontId="0" fillId="0" borderId="0" xfId="0" applyAlignment="1">
      <alignment horizontal="left"/>
    </xf>
    <xf numFmtId="0" fontId="0" fillId="0" borderId="0" xfId="0" applyAlignment="1" applyProtection="1">
      <alignment vertical="center"/>
      <protection locked="0"/>
    </xf>
    <xf numFmtId="49" fontId="2" fillId="0" borderId="0" xfId="0" applyNumberFormat="1" applyFont="1" applyAlignment="1" applyProtection="1">
      <alignment vertical="center"/>
      <protection locked="0"/>
    </xf>
    <xf numFmtId="49" fontId="2" fillId="0" borderId="0" xfId="0" applyNumberFormat="1" applyFont="1" applyAlignment="1" applyProtection="1">
      <alignment horizontal="left" vertical="center"/>
      <protection locked="0"/>
    </xf>
    <xf numFmtId="49" fontId="4" fillId="0" borderId="0" xfId="0" applyNumberFormat="1" applyFont="1" applyAlignment="1" applyProtection="1">
      <alignment vertical="center"/>
      <protection locked="0"/>
    </xf>
    <xf numFmtId="0" fontId="11" fillId="0" borderId="0" xfId="0" applyFont="1" applyAlignment="1" applyProtection="1">
      <alignment horizontal="right" vertical="center"/>
      <protection locked="0"/>
    </xf>
    <xf numFmtId="0" fontId="1" fillId="0" borderId="0" xfId="0" applyFont="1" applyAlignment="1">
      <alignment horizontal="left" vertical="center"/>
    </xf>
    <xf numFmtId="0" fontId="10" fillId="0" borderId="0" xfId="0" applyFont="1" applyAlignment="1">
      <alignment horizontal="left" vertical="center"/>
    </xf>
    <xf numFmtId="49" fontId="1" fillId="0" borderId="0" xfId="0" applyNumberFormat="1" applyFont="1" applyAlignment="1">
      <alignment horizontal="left" vertical="center"/>
    </xf>
    <xf numFmtId="0" fontId="0" fillId="0" borderId="0" xfId="0" applyAlignment="1">
      <alignment horizontal="left" vertical="center"/>
    </xf>
    <xf numFmtId="166" fontId="1" fillId="0" borderId="0" xfId="0" applyNumberFormat="1" applyFont="1" applyAlignment="1">
      <alignment horizontal="left" vertical="center"/>
    </xf>
    <xf numFmtId="166" fontId="0" fillId="0" borderId="0" xfId="0" applyNumberFormat="1" applyAlignment="1">
      <alignment horizontal="left"/>
    </xf>
    <xf numFmtId="49" fontId="3" fillId="0" borderId="0" xfId="0" applyNumberFormat="1" applyFont="1" applyAlignment="1" applyProtection="1">
      <alignment vertical="center"/>
      <protection locked="0"/>
    </xf>
    <xf numFmtId="49" fontId="3" fillId="0" borderId="0" xfId="0" applyNumberFormat="1" applyFont="1" applyAlignment="1" applyProtection="1">
      <alignment horizontal="left" vertical="center"/>
      <protection locked="0"/>
    </xf>
    <xf numFmtId="167" fontId="0" fillId="0" borderId="0" xfId="0" applyNumberFormat="1" applyAlignment="1" applyProtection="1">
      <alignment vertical="center"/>
      <protection locked="0"/>
    </xf>
    <xf numFmtId="167" fontId="9" fillId="0" borderId="0" xfId="0" applyNumberFormat="1" applyFont="1" applyProtection="1">
      <protection locked="0"/>
    </xf>
    <xf numFmtId="167" fontId="0" fillId="0" borderId="0" xfId="0" applyNumberFormat="1" applyProtection="1">
      <protection locked="0"/>
    </xf>
    <xf numFmtId="167" fontId="0" fillId="0" borderId="0" xfId="0" applyNumberFormat="1" applyAlignment="1" applyProtection="1">
      <alignment horizontal="left" vertical="center" indent="1"/>
      <protection locked="0"/>
    </xf>
    <xf numFmtId="167" fontId="9" fillId="0" borderId="0" xfId="0" applyNumberFormat="1" applyFont="1" applyAlignment="1" applyProtection="1">
      <alignment horizontal="left" vertical="center" indent="1"/>
      <protection locked="0"/>
    </xf>
    <xf numFmtId="167" fontId="0" fillId="0" borderId="0" xfId="0" applyNumberFormat="1" applyAlignment="1">
      <alignment horizontal="left"/>
    </xf>
    <xf numFmtId="168" fontId="6" fillId="0" borderId="1" xfId="0" applyNumberFormat="1" applyFont="1" applyBorder="1" applyAlignment="1" applyProtection="1">
      <alignment vertical="center"/>
      <protection locked="0" hidden="1"/>
    </xf>
    <xf numFmtId="164" fontId="7" fillId="0" borderId="0" xfId="1" applyNumberFormat="1" applyFont="1" applyFill="1" applyBorder="1" applyAlignment="1" applyProtection="1">
      <alignment vertical="center"/>
      <protection locked="0" hidden="1"/>
    </xf>
    <xf numFmtId="164" fontId="5" fillId="2" borderId="0" xfId="1" applyNumberFormat="1" applyFont="1" applyFill="1" applyAlignment="1" applyProtection="1">
      <alignment vertical="center"/>
      <protection locked="0" hidden="1"/>
    </xf>
    <xf numFmtId="164" fontId="6" fillId="0" borderId="0" xfId="1" applyNumberFormat="1" applyFont="1" applyFill="1" applyBorder="1" applyAlignment="1" applyProtection="1">
      <alignment vertical="center"/>
      <protection locked="0" hidden="1"/>
    </xf>
    <xf numFmtId="164" fontId="6" fillId="0" borderId="0" xfId="1" applyNumberFormat="1" applyFont="1" applyFill="1" applyAlignment="1" applyProtection="1">
      <alignment vertical="center"/>
      <protection locked="0" hidden="1"/>
    </xf>
    <xf numFmtId="164" fontId="7" fillId="0" borderId="0" xfId="1" applyNumberFormat="1" applyFont="1" applyFill="1" applyAlignment="1" applyProtection="1">
      <alignment vertical="center"/>
      <protection locked="0" hidden="1"/>
    </xf>
    <xf numFmtId="167" fontId="6" fillId="0" borderId="0" xfId="0" applyNumberFormat="1" applyFont="1" applyAlignment="1" applyProtection="1">
      <alignment vertical="center"/>
      <protection locked="0" hidden="1"/>
    </xf>
    <xf numFmtId="167" fontId="6" fillId="0" borderId="1" xfId="0" applyNumberFormat="1" applyFont="1" applyBorder="1" applyAlignment="1" applyProtection="1">
      <alignment vertical="center"/>
      <protection locked="0" hidden="1"/>
    </xf>
    <xf numFmtId="9" fontId="7" fillId="0" borderId="0" xfId="2" applyFont="1" applyAlignment="1" applyProtection="1">
      <alignment vertical="center"/>
      <protection locked="0" hidden="1"/>
    </xf>
    <xf numFmtId="164" fontId="7" fillId="0" borderId="0" xfId="0" applyNumberFormat="1" applyFont="1" applyAlignment="1" applyProtection="1">
      <alignment vertical="center"/>
      <protection locked="0" hidden="1"/>
    </xf>
    <xf numFmtId="0" fontId="0" fillId="0" borderId="0" xfId="0" pivotButton="1"/>
    <xf numFmtId="169" fontId="0" fillId="0" borderId="0" xfId="0" applyNumberFormat="1"/>
    <xf numFmtId="0" fontId="15" fillId="0" borderId="0" xfId="0" applyFont="1" applyProtection="1">
      <protection locked="0" hidden="1"/>
    </xf>
    <xf numFmtId="166" fontId="16" fillId="2" borderId="0" xfId="0" applyNumberFormat="1" applyFont="1" applyFill="1" applyAlignment="1" applyProtection="1">
      <alignment horizontal="center" vertical="center"/>
      <protection locked="0" hidden="1"/>
    </xf>
    <xf numFmtId="0" fontId="15" fillId="0" borderId="0" xfId="0" applyFont="1" applyAlignment="1" applyProtection="1">
      <alignment horizontal="center"/>
      <protection locked="0" hidden="1"/>
    </xf>
    <xf numFmtId="0" fontId="17" fillId="0" borderId="0" xfId="0" applyFont="1" applyAlignment="1" applyProtection="1">
      <alignment vertical="center"/>
      <protection locked="0"/>
    </xf>
    <xf numFmtId="0" fontId="16" fillId="2" borderId="0" xfId="0" applyFont="1" applyFill="1" applyAlignment="1" applyProtection="1">
      <alignment horizontal="center" vertical="center"/>
      <protection locked="0" hidden="1"/>
    </xf>
    <xf numFmtId="0" fontId="16" fillId="0" borderId="0" xfId="0" applyFont="1" applyAlignment="1" applyProtection="1">
      <alignment horizontal="center" vertical="center"/>
      <protection locked="0" hidden="1"/>
    </xf>
    <xf numFmtId="3" fontId="16" fillId="0" borderId="0" xfId="1" applyNumberFormat="1" applyFont="1" applyAlignment="1" applyProtection="1">
      <alignment horizontal="center" vertical="center"/>
      <protection locked="0" hidden="1"/>
    </xf>
    <xf numFmtId="169" fontId="16" fillId="0" borderId="0" xfId="2" applyNumberFormat="1" applyFont="1" applyAlignment="1" applyProtection="1">
      <alignment horizontal="center" vertical="center"/>
      <protection locked="0" hidden="1"/>
    </xf>
  </cellXfs>
  <cellStyles count="3">
    <cellStyle name="Comma" xfId="1" builtinId="3"/>
    <cellStyle name="Normal" xfId="0" builtinId="0"/>
    <cellStyle name="Percent" xfId="2" builtinId="5"/>
  </cellStyles>
  <dxfs count="27">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7" formatCode="_(#,##0_);_(\(#,##0\);_(\-_);_(@_)"/>
      <fill>
        <patternFill patternType="none">
          <fgColor indexed="64"/>
          <bgColor auto="1"/>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auto="1"/>
        <name val="Segoe UI Light"/>
        <family val="2"/>
        <scheme val="minor"/>
      </font>
      <numFmt numFmtId="168" formatCode="dd/mm/yyyy"/>
      <fill>
        <patternFill patternType="none">
          <fgColor indexed="64"/>
          <bgColor auto="1"/>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0"/>
        <name val="Segoe UI Light"/>
        <family val="2"/>
        <scheme val="minor"/>
      </font>
      <fill>
        <patternFill patternType="none">
          <fgColor indexed="64"/>
          <bgColor auto="1"/>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rgb="FF000000"/>
        <name val="Segoe UI Light"/>
        <family val="2"/>
        <scheme val="none"/>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color theme="0"/>
      </font>
      <border>
        <vertical/>
        <horizontal/>
      </border>
    </dxf>
    <dxf>
      <font>
        <color theme="0"/>
      </font>
      <border>
        <vertical/>
        <horizontal/>
      </border>
    </dxf>
    <dxf>
      <font>
        <color theme="0"/>
      </font>
      <border>
        <vertical/>
        <horizontal/>
      </border>
    </dxf>
    <dxf>
      <font>
        <b/>
        <sz val="11"/>
        <color theme="1"/>
      </font>
      <border>
        <vertical/>
        <horizontal/>
      </border>
    </dxf>
    <dxf>
      <font>
        <color theme="1"/>
      </font>
      <fill>
        <patternFill>
          <bgColor theme="6" tint="0.79998168889431442"/>
        </patternFill>
      </fill>
      <border diagonalUp="0" diagonalDown="0">
        <left/>
        <right/>
        <top/>
        <bottom/>
        <vertical/>
        <horizontal/>
      </border>
    </dxf>
    <dxf>
      <font>
        <b/>
        <color theme="1"/>
      </font>
      <border>
        <bottom style="thin">
          <color theme="4"/>
        </bottom>
        <vertical/>
        <horizontal/>
      </border>
    </dxf>
    <dxf>
      <font>
        <color theme="1"/>
      </font>
      <fill>
        <patternFill>
          <bgColor theme="6" tint="0.79998168889431442"/>
        </patternFill>
      </fill>
      <border>
        <left/>
        <right/>
        <top/>
        <bottom/>
        <vertical/>
        <horizontal/>
      </border>
    </dxf>
    <dxf>
      <font>
        <b/>
        <color theme="1"/>
      </font>
      <border>
        <bottom style="thin">
          <color theme="4"/>
        </bottom>
        <vertical/>
        <horizontal/>
      </border>
    </dxf>
    <dxf>
      <font>
        <color theme="1"/>
      </font>
      <fill>
        <patternFill>
          <bgColor theme="6" tint="0.79998168889431442"/>
        </patternFill>
      </fill>
      <border>
        <left/>
        <right/>
        <top/>
        <bottom/>
        <vertical/>
        <horizontal/>
      </border>
    </dxf>
  </dxfs>
  <tableStyles count="3" defaultTableStyle="TableStyleMedium2" defaultPivotStyle="PivotStyleLight16">
    <tableStyle name="SlicerStyleLight1 2" pivot="0" table="0" count="10" xr9:uid="{DB9C5353-83DD-4812-B508-5E967EF69B50}">
      <tableStyleElement type="wholeTable" dxfId="26"/>
      <tableStyleElement type="headerRow" dxfId="25"/>
    </tableStyle>
    <tableStyle name="SlicerStyleLight1 2 2" pivot="0" table="0" count="10" xr9:uid="{9DB8D611-4D15-4128-AF8D-E3329BCC5BCE}">
      <tableStyleElement type="wholeTable" dxfId="24"/>
      <tableStyleElement type="headerRow" dxfId="23"/>
    </tableStyle>
    <tableStyle name="TimeSlicerStyleLight1 2" pivot="0" table="0" count="9" xr9:uid="{58382D9D-B456-41C4-B229-09D2A872184E}">
      <tableStyleElement type="wholeTable" dxfId="22"/>
      <tableStyleElement type="headerRow" dxfId="21"/>
    </tableStyle>
  </tableStyles>
  <colors>
    <mruColors>
      <color rgb="FFFF7C80"/>
    </mruColors>
  </colors>
  <extLst>
    <ext xmlns:x14="http://schemas.microsoft.com/office/spreadsheetml/2009/9/main" uri="{46F421CA-312F-682f-3DD2-61675219B42D}">
      <x14:dxfs count="16">
        <dxf>
          <font>
            <sz val="8"/>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sz val="8"/>
            <color rgb="FF000000"/>
          </font>
          <fill>
            <patternFill patternType="solid">
              <fgColor auto="1"/>
              <bgColor theme="9"/>
            </patternFill>
          </fill>
          <border>
            <left style="thin">
              <color rgb="FF999999"/>
            </left>
            <right style="thin">
              <color rgb="FF999999"/>
            </right>
            <top style="thin">
              <color rgb="FF999999"/>
            </top>
            <bottom style="thin">
              <color rgb="FF999999"/>
            </bottom>
            <vertical/>
            <horizontal/>
          </border>
        </dxf>
        <dxf>
          <font>
            <sz val="8"/>
            <color rgb="FF000000"/>
          </font>
          <fill>
            <patternFill patternType="solid">
              <fgColor auto="1"/>
              <bgColor theme="6"/>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i val="0"/>
            <sz val="8"/>
            <color theme="9"/>
          </font>
          <fill>
            <patternFill patternType="solid">
              <fgColor theme="4" tint="0.59999389629810485"/>
              <bgColor theme="9" tint="0.79998168889431442"/>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sz val="8"/>
            <color rgb="FF000000"/>
          </font>
          <fill>
            <patternFill patternType="solid">
              <fgColor rgb="FFFFFFFF"/>
              <bgColor theme="6" tint="0.79998168889431442"/>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b/>
            <i val="0"/>
            <color theme="1"/>
          </font>
          <fill>
            <patternFill patternType="solid">
              <fgColor auto="1"/>
              <bgColor theme="9"/>
            </patternFill>
          </fill>
          <border>
            <left style="thin">
              <color rgb="FF999999"/>
            </left>
            <right style="thin">
              <color rgb="FF999999"/>
            </right>
            <top style="thin">
              <color rgb="FF999999"/>
            </top>
            <bottom style="thin">
              <color rgb="FF999999"/>
            </bottom>
            <vertical/>
            <horizontal/>
          </border>
        </dxf>
        <dxf>
          <font>
            <color rgb="FF000000"/>
          </font>
          <fill>
            <patternFill patternType="solid">
              <fgColor auto="1"/>
              <bgColor theme="6"/>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i val="0"/>
            <color theme="9"/>
          </font>
          <fill>
            <patternFill patternType="solid">
              <fgColor theme="4" tint="0.59999389629810485"/>
              <bgColor theme="9" tint="0.79998168889431442"/>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theme="6" tint="0.79998168889431442"/>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2">
        <x14:slicerStyle name="SlicerStyleLight1 2">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licerStyleLight1 2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A0A4C193-F2C1-4fcb-8827-314CF55A85BB}">
      <x15:dxfs count="7">
        <dxf>
          <fill>
            <patternFill patternType="solid">
              <fgColor theme="4" tint="0.39997558519241921"/>
              <bgColor theme="4" tint="0.39997558519241921"/>
            </patternFill>
          </fill>
          <border>
            <vertical/>
            <horizontal/>
          </border>
        </dxf>
        <dxf>
          <fill>
            <patternFill patternType="solid">
              <fgColor auto="1"/>
              <bgColor theme="7" tint="0.79998168889431442"/>
            </patternFill>
          </fill>
          <border>
            <vertical/>
            <horizontal/>
          </border>
        </dxf>
        <dxf>
          <fill>
            <patternFill patternType="solid">
              <fgColor auto="1"/>
              <bgColor theme="9"/>
            </patternFill>
          </fill>
          <border>
            <vertical/>
            <horizontal/>
          </border>
        </dxf>
        <dxf>
          <font>
            <sz val="9"/>
            <color theme="1" tint="0.499984740745262"/>
          </font>
          <border>
            <left/>
            <right/>
            <top/>
            <bottom/>
            <vertical/>
            <horizontal/>
          </border>
        </dxf>
        <dxf>
          <font>
            <sz val="9"/>
            <color theme="1" tint="0.499984740745262"/>
          </font>
          <border>
            <left/>
            <right/>
            <top/>
            <bottom/>
            <vertical/>
            <horizontal/>
          </border>
        </dxf>
        <dxf>
          <font>
            <sz val="9"/>
            <color theme="1" tint="0.499984740745262"/>
          </font>
          <border>
            <left/>
            <right/>
            <top/>
            <bottom/>
            <vertical/>
            <horizontal/>
          </border>
        </dxf>
        <dxf>
          <font>
            <sz val="10"/>
            <color theme="4" tint="-0.249977111117893"/>
          </font>
          <border>
            <left/>
            <right/>
            <top/>
            <bottom/>
            <vertical/>
            <horizontal/>
          </border>
        </dxf>
      </x15:dxfs>
    </ext>
    <ext xmlns:x15="http://schemas.microsoft.com/office/spreadsheetml/2010/11/main" uri="{9260A510-F301-46a8-8635-F512D64BE5F5}">
      <x15:timelineStyles defaultTimelineStyle="TimeSlicerStyleLight1">
        <x15:timelineStyle name="TimeSlicerStyleLight1 2">
          <x15:timelineStyleElements>
            <x15:timelineStyleElement type="selectionLabel" dxfId="6"/>
            <x15:timelineStyleElement type="timeLevel" dxfId="5"/>
            <x15:timelineStyleElement type="periodLabel1" dxfId="4"/>
            <x15:timelineStyleElement type="periodLabel2" dxfId="3"/>
            <x15:timelineStyleElement type="selectedTimeBlock" dxfId="2"/>
            <x15:timelineStyleElement type="unselectedTimeBlock" dxfId="1"/>
            <x15:timelineStyleElement type="selectedTimeBlockSpace" dxfId="0"/>
          </x15:timelineStyleElements>
        </x15:timelineStyle>
      </x15:timelineStyles>
    </ext>
  </extLst>
</styleSheet>
</file>

<file path=xl/_rels/workbook.xml.rels><?xml version="1.0" encoding="UTF-8" standalone="yes"?>
<Relationships xmlns="http://schemas.openxmlformats.org/package/2006/relationships"><Relationship Id="rId13" Type="http://schemas.openxmlformats.org/officeDocument/2006/relationships/customXml" Target="../customXml/item1.xml"/><Relationship Id="rId18" Type="http://schemas.openxmlformats.org/officeDocument/2006/relationships/customXml" Target="../customXml/item6.xml"/><Relationship Id="rId26" Type="http://schemas.openxmlformats.org/officeDocument/2006/relationships/customXml" Target="../customXml/item14.xml"/><Relationship Id="rId39" Type="http://schemas.openxmlformats.org/officeDocument/2006/relationships/customXml" Target="../customXml/item27.xml"/><Relationship Id="rId21" Type="http://schemas.openxmlformats.org/officeDocument/2006/relationships/customXml" Target="../customXml/item9.xml"/><Relationship Id="rId34" Type="http://schemas.openxmlformats.org/officeDocument/2006/relationships/customXml" Target="../customXml/item22.xml"/><Relationship Id="rId42" Type="http://schemas.openxmlformats.org/officeDocument/2006/relationships/customXml" Target="../customXml/item30.xml"/><Relationship Id="rId47" Type="http://schemas.openxmlformats.org/officeDocument/2006/relationships/customXml" Target="../customXml/item35.xml"/><Relationship Id="rId50" Type="http://schemas.openxmlformats.org/officeDocument/2006/relationships/customXml" Target="../customXml/item38.xml"/><Relationship Id="rId7" Type="http://schemas.openxmlformats.org/officeDocument/2006/relationships/connections" Target="connections.xml"/><Relationship Id="rId2" Type="http://schemas.openxmlformats.org/officeDocument/2006/relationships/worksheet" Target="worksheets/sheet2.xml"/><Relationship Id="rId16" Type="http://schemas.openxmlformats.org/officeDocument/2006/relationships/customXml" Target="../customXml/item4.xml"/><Relationship Id="rId29" Type="http://schemas.openxmlformats.org/officeDocument/2006/relationships/customXml" Target="../customXml/item17.xml"/><Relationship Id="rId11" Type="http://schemas.openxmlformats.org/officeDocument/2006/relationships/powerPivotData" Target="model/item.data"/><Relationship Id="rId24" Type="http://schemas.openxmlformats.org/officeDocument/2006/relationships/customXml" Target="../customXml/item12.xml"/><Relationship Id="rId32" Type="http://schemas.openxmlformats.org/officeDocument/2006/relationships/customXml" Target="../customXml/item20.xml"/><Relationship Id="rId37" Type="http://schemas.openxmlformats.org/officeDocument/2006/relationships/customXml" Target="../customXml/item25.xml"/><Relationship Id="rId40" Type="http://schemas.openxmlformats.org/officeDocument/2006/relationships/customXml" Target="../customXml/item28.xml"/><Relationship Id="rId45" Type="http://schemas.openxmlformats.org/officeDocument/2006/relationships/customXml" Target="../customXml/item33.xml"/><Relationship Id="rId5" Type="http://schemas.openxmlformats.org/officeDocument/2006/relationships/pivotCacheDefinition" Target="pivotCache/pivotCacheDefinition2.xml"/><Relationship Id="rId15" Type="http://schemas.openxmlformats.org/officeDocument/2006/relationships/customXml" Target="../customXml/item3.xml"/><Relationship Id="rId23" Type="http://schemas.openxmlformats.org/officeDocument/2006/relationships/customXml" Target="../customXml/item11.xml"/><Relationship Id="rId28" Type="http://schemas.openxmlformats.org/officeDocument/2006/relationships/customXml" Target="../customXml/item16.xml"/><Relationship Id="rId36" Type="http://schemas.openxmlformats.org/officeDocument/2006/relationships/customXml" Target="../customXml/item24.xml"/><Relationship Id="rId49" Type="http://schemas.openxmlformats.org/officeDocument/2006/relationships/customXml" Target="../customXml/item37.xml"/><Relationship Id="rId10" Type="http://schemas.openxmlformats.org/officeDocument/2006/relationships/sheetMetadata" Target="metadata.xml"/><Relationship Id="rId19" Type="http://schemas.openxmlformats.org/officeDocument/2006/relationships/customXml" Target="../customXml/item7.xml"/><Relationship Id="rId31" Type="http://schemas.openxmlformats.org/officeDocument/2006/relationships/customXml" Target="../customXml/item19.xml"/><Relationship Id="rId44" Type="http://schemas.openxmlformats.org/officeDocument/2006/relationships/customXml" Target="../customXml/item32.xml"/><Relationship Id="rId52" Type="http://schemas.microsoft.com/office/2006/relationships/vbaProject" Target="vbaProject.bin"/><Relationship Id="rId4" Type="http://schemas.openxmlformats.org/officeDocument/2006/relationships/pivotCacheDefinition" Target="pivotCache/pivotCacheDefinition1.xml"/><Relationship Id="rId9" Type="http://schemas.openxmlformats.org/officeDocument/2006/relationships/sharedStrings" Target="sharedStrings.xml"/><Relationship Id="rId14" Type="http://schemas.openxmlformats.org/officeDocument/2006/relationships/customXml" Target="../customXml/item2.xml"/><Relationship Id="rId22" Type="http://schemas.openxmlformats.org/officeDocument/2006/relationships/customXml" Target="../customXml/item10.xml"/><Relationship Id="rId27" Type="http://schemas.openxmlformats.org/officeDocument/2006/relationships/customXml" Target="../customXml/item15.xml"/><Relationship Id="rId30" Type="http://schemas.openxmlformats.org/officeDocument/2006/relationships/customXml" Target="../customXml/item18.xml"/><Relationship Id="rId35" Type="http://schemas.openxmlformats.org/officeDocument/2006/relationships/customXml" Target="../customXml/item23.xml"/><Relationship Id="rId43" Type="http://schemas.openxmlformats.org/officeDocument/2006/relationships/customXml" Target="../customXml/item31.xml"/><Relationship Id="rId48" Type="http://schemas.openxmlformats.org/officeDocument/2006/relationships/customXml" Target="../customXml/item36.xml"/><Relationship Id="rId8" Type="http://schemas.openxmlformats.org/officeDocument/2006/relationships/styles" Target="styles.xml"/><Relationship Id="rId51" Type="http://schemas.openxmlformats.org/officeDocument/2006/relationships/customXml" Target="../customXml/item39.xml"/><Relationship Id="rId3" Type="http://schemas.openxmlformats.org/officeDocument/2006/relationships/worksheet" Target="worksheets/sheet3.xml"/><Relationship Id="rId12" Type="http://schemas.openxmlformats.org/officeDocument/2006/relationships/calcChain" Target="calcChain.xml"/><Relationship Id="rId17" Type="http://schemas.openxmlformats.org/officeDocument/2006/relationships/customXml" Target="../customXml/item5.xml"/><Relationship Id="rId25" Type="http://schemas.openxmlformats.org/officeDocument/2006/relationships/customXml" Target="../customXml/item13.xml"/><Relationship Id="rId33" Type="http://schemas.openxmlformats.org/officeDocument/2006/relationships/customXml" Target="../customXml/item21.xml"/><Relationship Id="rId38" Type="http://schemas.openxmlformats.org/officeDocument/2006/relationships/customXml" Target="../customXml/item26.xml"/><Relationship Id="rId46" Type="http://schemas.openxmlformats.org/officeDocument/2006/relationships/customXml" Target="../customXml/item34.xml"/><Relationship Id="rId20" Type="http://schemas.openxmlformats.org/officeDocument/2006/relationships/customXml" Target="../customXml/item8.xml"/><Relationship Id="rId41" Type="http://schemas.openxmlformats.org/officeDocument/2006/relationships/customXml" Target="../customXml/item29.xml"/><Relationship Id="rId1" Type="http://schemas.openxmlformats.org/officeDocument/2006/relationships/worksheet" Target="worksheets/sheet1.xml"/><Relationship Id="rId6"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[03. EASY-BH01 - Quản lý loyalty.xlsm]Tích điểm khách hàng!PivotTable3</c:name>
    <c:fmtId val="0"/>
  </c:pivotSource>
  <c:chart>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1"/>
          <c:order val="1"/>
          <c:tx>
            <c:strRef>
              <c:f>'Tích điểm khách hàng'!$D$22</c:f>
              <c:strCache>
                <c:ptCount val="1"/>
                <c:pt idx="0">
                  <c:v>Tỷ lệ dùng điểm</c:v>
                </c:pt>
              </c:strCache>
            </c:strRef>
          </c:tx>
          <c:spPr>
            <a:ln w="28575" cap="rnd">
              <a:solidFill>
                <a:schemeClr val="accent2"/>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'Tích điểm khách hàng'!$B$23:$B$25</c:f>
              <c:strCache>
                <c:ptCount val="2"/>
                <c:pt idx="0">
                  <c:v>Apr</c:v>
                </c:pt>
                <c:pt idx="1">
                  <c:v>May</c:v>
                </c:pt>
              </c:strCache>
            </c:strRef>
          </c:cat>
          <c:val>
            <c:numRef>
              <c:f>'Tích điểm khách hàng'!$D$23:$D$25</c:f>
              <c:numCache>
                <c:formatCode>0.0%</c:formatCode>
                <c:ptCount val="2"/>
                <c:pt idx="0">
                  <c:v>0.27618310801970147</c:v>
                </c:pt>
                <c:pt idx="1">
                  <c:v>0.78427652544585169</c:v>
                </c:pt>
              </c:numCache>
            </c:numRef>
          </c:val>
          <c:smooth val="0"/>
          <c:extLst>
            <c:ext xmlns:c16="http://schemas.microsoft.com/office/drawing/2014/chart" uri="{C3380CC4-5D6E-409C-BE32-E72D297353CC}">
              <c16:uniqueId val="{00000002-4E91-4484-9B9D-C9F7E6443008}"/>
            </c:ext>
          </c:extLst>
        </c:ser>
        <c:dLbls>
          <c:showLegendKey val="0"/>
          <c:showVal val="0"/>
          <c:showCatName val="0"/>
          <c:showSerName val="0"/>
          <c:showPercent val="0"/>
          <c:showBubbleSize val="0"/>
        </c:dLbls>
        <c:marker val="1"/>
        <c:smooth val="0"/>
        <c:axId val="988751519"/>
        <c:axId val="988745279"/>
      </c:lineChart>
      <c:lineChart>
        <c:grouping val="standard"/>
        <c:varyColors val="0"/>
        <c:ser>
          <c:idx val="0"/>
          <c:order val="0"/>
          <c:tx>
            <c:strRef>
              <c:f>'Tích điểm khách hàng'!$C$22</c:f>
              <c:strCache>
                <c:ptCount val="1"/>
                <c:pt idx="0">
                  <c:v>Tỷ lệ tích điểm</c:v>
                </c:pt>
              </c:strCache>
            </c:strRef>
          </c:tx>
          <c:spPr>
            <a:ln w="28575" cap="rnd">
              <a:solidFill>
                <a:schemeClr val="accent1"/>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'Tích điểm khách hàng'!$B$23:$B$25</c:f>
              <c:strCache>
                <c:ptCount val="2"/>
                <c:pt idx="0">
                  <c:v>Apr</c:v>
                </c:pt>
                <c:pt idx="1">
                  <c:v>May</c:v>
                </c:pt>
              </c:strCache>
            </c:strRef>
          </c:cat>
          <c:val>
            <c:numRef>
              <c:f>'Tích điểm khách hàng'!$C$23:$C$25</c:f>
              <c:numCache>
                <c:formatCode>0.0%</c:formatCode>
                <c:ptCount val="2"/>
                <c:pt idx="0">
                  <c:v>6.0525914489854152E-3</c:v>
                </c:pt>
                <c:pt idx="1">
                  <c:v>2.6438235256282083E-2</c:v>
                </c:pt>
              </c:numCache>
            </c:numRef>
          </c:val>
          <c:smooth val="0"/>
          <c:extLst>
            <c:ext xmlns:c16="http://schemas.microsoft.com/office/drawing/2014/chart" uri="{C3380CC4-5D6E-409C-BE32-E72D297353CC}">
              <c16:uniqueId val="{00000000-4E91-4484-9B9D-C9F7E6443008}"/>
            </c:ext>
          </c:extLst>
        </c:ser>
        <c:dLbls>
          <c:showLegendKey val="0"/>
          <c:showVal val="0"/>
          <c:showCatName val="0"/>
          <c:showSerName val="0"/>
          <c:showPercent val="0"/>
          <c:showBubbleSize val="0"/>
        </c:dLbls>
        <c:marker val="1"/>
        <c:smooth val="0"/>
        <c:axId val="988537919"/>
        <c:axId val="988537439"/>
      </c:lineChart>
      <c:catAx>
        <c:axId val="98875151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88745279"/>
        <c:crosses val="autoZero"/>
        <c:auto val="1"/>
        <c:lblAlgn val="ctr"/>
        <c:lblOffset val="100"/>
        <c:noMultiLvlLbl val="0"/>
      </c:catAx>
      <c:valAx>
        <c:axId val="988745279"/>
        <c:scaling>
          <c:orientation val="minMax"/>
        </c:scaling>
        <c:delete val="1"/>
        <c:axPos val="l"/>
        <c:numFmt formatCode="0.0%" sourceLinked="1"/>
        <c:majorTickMark val="none"/>
        <c:minorTickMark val="none"/>
        <c:tickLblPos val="nextTo"/>
        <c:crossAx val="988751519"/>
        <c:crosses val="autoZero"/>
        <c:crossBetween val="between"/>
      </c:valAx>
      <c:valAx>
        <c:axId val="988537439"/>
        <c:scaling>
          <c:orientation val="minMax"/>
        </c:scaling>
        <c:delete val="1"/>
        <c:axPos val="r"/>
        <c:numFmt formatCode="0.0%" sourceLinked="1"/>
        <c:majorTickMark val="out"/>
        <c:minorTickMark val="none"/>
        <c:tickLblPos val="nextTo"/>
        <c:crossAx val="988537919"/>
        <c:crosses val="max"/>
        <c:crossBetween val="between"/>
      </c:valAx>
      <c:catAx>
        <c:axId val="988537919"/>
        <c:scaling>
          <c:orientation val="minMax"/>
        </c:scaling>
        <c:delete val="1"/>
        <c:axPos val="b"/>
        <c:numFmt formatCode="General" sourceLinked="1"/>
        <c:majorTickMark val="out"/>
        <c:minorTickMark val="none"/>
        <c:tickLblPos val="nextTo"/>
        <c:crossAx val="988537439"/>
        <c:crosses val="autoZero"/>
        <c:auto val="1"/>
        <c:lblAlgn val="ctr"/>
        <c:lblOffset val="100"/>
        <c:noMultiLvlLbl val="0"/>
      </c:cat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[03. EASY-BH01 - Quản lý loyalty.xlsm]Tích điểm khách hàng!PivotTable4</c:name>
    <c:fmtId val="0"/>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numFmt formatCode="#,##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pivotFmt>
      <c:pivotFmt>
        <c:idx val="3"/>
        <c:spPr>
          <a:solidFill>
            <a:schemeClr val="accent1"/>
          </a:solidFill>
          <a:ln>
            <a:noFill/>
          </a:ln>
          <a:effectLst/>
        </c:spPr>
      </c:pivotFmt>
      <c:pivotFmt>
        <c:idx val="4"/>
        <c:spPr>
          <a:solidFill>
            <a:schemeClr val="accent1"/>
          </a:solidFill>
          <a:ln>
            <a:noFill/>
          </a:ln>
          <a:effectLst/>
        </c:spPr>
      </c:pivotFmt>
      <c:pivotFmt>
        <c:idx val="5"/>
        <c:spPr>
          <a:solidFill>
            <a:schemeClr val="accent1"/>
          </a:solidFill>
          <a:ln>
            <a:noFill/>
          </a:ln>
          <a:effectLst/>
        </c:spPr>
      </c:pivotFmt>
    </c:pivotFmts>
    <c:plotArea>
      <c:layout/>
      <c:pieChart>
        <c:varyColors val="1"/>
        <c:ser>
          <c:idx val="0"/>
          <c:order val="0"/>
          <c:tx>
            <c:strRef>
              <c:f>'Tích điểm khách hàng'!$G$22</c:f>
              <c:strCache>
                <c:ptCount val="1"/>
                <c:pt idx="0">
                  <c:v>Total</c:v>
                </c:pt>
              </c:strCache>
            </c:strRef>
          </c:tx>
          <c:dPt>
            <c:idx val="0"/>
            <c:bubble3D val="0"/>
            <c:spPr>
              <a:solidFill>
                <a:schemeClr val="accent1"/>
              </a:solidFill>
              <a:ln>
                <a:noFill/>
              </a:ln>
              <a:effectLst/>
            </c:spPr>
            <c:extLst>
              <c:ext xmlns:c16="http://schemas.microsoft.com/office/drawing/2014/chart" uri="{C3380CC4-5D6E-409C-BE32-E72D297353CC}">
                <c16:uniqueId val="{00000003-448D-40CB-BB0A-983DDCF4148D}"/>
              </c:ext>
            </c:extLst>
          </c:dPt>
          <c:dPt>
            <c:idx val="1"/>
            <c:bubble3D val="0"/>
            <c:spPr>
              <a:solidFill>
                <a:schemeClr val="accent2"/>
              </a:solidFill>
              <a:ln>
                <a:noFill/>
              </a:ln>
              <a:effectLst/>
            </c:spPr>
            <c:extLst>
              <c:ext xmlns:c16="http://schemas.microsoft.com/office/drawing/2014/chart" uri="{C3380CC4-5D6E-409C-BE32-E72D297353CC}">
                <c16:uniqueId val="{00000003-1E74-400C-AECA-766D1DFA9CEF}"/>
              </c:ext>
            </c:extLst>
          </c:dPt>
          <c:dPt>
            <c:idx val="2"/>
            <c:bubble3D val="0"/>
            <c:spPr>
              <a:solidFill>
                <a:schemeClr val="accent3"/>
              </a:solidFill>
              <a:ln>
                <a:noFill/>
              </a:ln>
              <a:effectLst/>
            </c:spPr>
            <c:extLst>
              <c:ext xmlns:c16="http://schemas.microsoft.com/office/drawing/2014/chart" uri="{C3380CC4-5D6E-409C-BE32-E72D297353CC}">
                <c16:uniqueId val="{00000005-1E74-400C-AECA-766D1DFA9CEF}"/>
              </c:ext>
            </c:extLst>
          </c:dPt>
          <c:dPt>
            <c:idx val="3"/>
            <c:bubble3D val="0"/>
            <c:spPr>
              <a:solidFill>
                <a:schemeClr val="accent4"/>
              </a:solidFill>
              <a:ln>
                <a:noFill/>
              </a:ln>
              <a:effectLst/>
            </c:spPr>
            <c:extLst>
              <c:ext xmlns:c16="http://schemas.microsoft.com/office/drawing/2014/chart" uri="{C3380CC4-5D6E-409C-BE32-E72D297353CC}">
                <c16:uniqueId val="{00000007-1E74-400C-AECA-766D1DFA9CEF}"/>
              </c:ext>
            </c:extLst>
          </c:dPt>
          <c:dLbls>
            <c:numFmt formatCode="#,##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'Tích điểm khách hàng'!$F$23:$F$27</c:f>
              <c:strCache>
                <c:ptCount val="4"/>
                <c:pt idx="0">
                  <c:v>KH1</c:v>
                </c:pt>
                <c:pt idx="1">
                  <c:v>KH2</c:v>
                </c:pt>
                <c:pt idx="2">
                  <c:v>KH3</c:v>
                </c:pt>
                <c:pt idx="3">
                  <c:v>KH4</c:v>
                </c:pt>
              </c:strCache>
            </c:strRef>
          </c:cat>
          <c:val>
            <c:numRef>
              <c:f>'Tích điểm khách hàng'!$G$23:$G$27</c:f>
              <c:numCache>
                <c:formatCode>General</c:formatCode>
                <c:ptCount val="4"/>
                <c:pt idx="0">
                  <c:v>86372.350000000049</c:v>
                </c:pt>
                <c:pt idx="1">
                  <c:v>63965.25</c:v>
                </c:pt>
                <c:pt idx="2">
                  <c:v>0</c:v>
                </c:pt>
                <c:pt idx="3">
                  <c:v>1797.4999999999709</c:v>
                </c:pt>
              </c:numCache>
            </c:numRef>
          </c:val>
          <c:extLst>
            <c:ext xmlns:c16="http://schemas.microsoft.com/office/drawing/2014/chart" uri="{C3380CC4-5D6E-409C-BE32-E72D297353CC}">
              <c16:uniqueId val="{00000000-448D-40CB-BB0A-983DDCF4148D}"/>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Drop" dropStyle="combo" dx="22" fmlaLink="$K$1" fmlaRange="$L$1:$L$5" noThreeD="1" sel="1" val="0"/>
</file>

<file path=xl/ctrlProps/ctrlProp2.xml><?xml version="1.0" encoding="utf-8"?>
<formControlPr xmlns="http://schemas.microsoft.com/office/spreadsheetml/2009/9/main" objectType="Radio" firstButton="1" fmlaLink="EULA!$A$1" lockText="1" noThreeD="1"/>
</file>

<file path=xl/ctrlProps/ctrlProp3.xml><?xml version="1.0" encoding="utf-8"?>
<formControlPr xmlns="http://schemas.microsoft.com/office/spreadsheetml/2009/9/main" objectType="Radio" lockText="1" noThreeD="1"/>
</file>

<file path=xl/ctrlProps/ctrlProp4.xml><?xml version="1.0" encoding="utf-8"?>
<formControlPr xmlns="http://schemas.microsoft.com/office/spreadsheetml/2009/9/main" objectType="Radio"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GBox" noThreeD="1"/>
</file>

<file path=xl/ctrlProps/ctrlProp7.xml><?xml version="1.0" encoding="utf-8"?>
<formControlPr xmlns="http://schemas.microsoft.com/office/spreadsheetml/2009/9/main" objectType="GBox" noThreeD="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12</xdr:col>
      <xdr:colOff>66675</xdr:colOff>
      <xdr:row>0</xdr:row>
      <xdr:rowOff>76199</xdr:rowOff>
    </xdr:from>
    <xdr:to>
      <xdr:col>23</xdr:col>
      <xdr:colOff>82875</xdr:colOff>
      <xdr:row>48</xdr:row>
      <xdr:rowOff>128774</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4381500" y="76199"/>
          <a:ext cx="7560000" cy="10692000"/>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vi-VN" sz="1800" b="1">
              <a:solidFill>
                <a:sysClr val="windowText" lastClr="000000"/>
              </a:solidFill>
            </a:rPr>
            <a:t>THỎA THUẬN CẤP PHÉP NGƯỜI DÙNG CUỐI (EULA)</a:t>
          </a:r>
          <a:endParaRPr lang="vi-VN" sz="1800">
            <a:solidFill>
              <a:sysClr val="windowText" lastClr="000000"/>
            </a:solidFill>
          </a:endParaRPr>
        </a:p>
        <a:p>
          <a:pPr>
            <a:lnSpc>
              <a:spcPct val="150000"/>
            </a:lnSpc>
            <a:spcBef>
              <a:spcPts val="600"/>
            </a:spcBef>
          </a:pPr>
          <a:r>
            <a:rPr lang="vi-VN" b="1">
              <a:solidFill>
                <a:sysClr val="windowText" lastClr="000000"/>
              </a:solidFill>
            </a:rPr>
            <a:t>1. GIỚI THIỆU</a:t>
          </a:r>
          <a:br>
            <a:rPr lang="vi-VN">
              <a:solidFill>
                <a:sysClr val="windowText" lastClr="000000"/>
              </a:solidFill>
            </a:rPr>
          </a:br>
          <a:r>
            <a:rPr lang="vi-VN">
              <a:solidFill>
                <a:sysClr val="windowText" lastClr="000000"/>
              </a:solidFill>
            </a:rPr>
            <a:t>Đây là Thỏa thuận Cấp phép Người dùng Cuối ("Thỏa thuận"), được ký kết giữa </a:t>
          </a:r>
          <a:r>
            <a:rPr lang="en-US" b="1">
              <a:solidFill>
                <a:sysClr val="windowText" lastClr="000000"/>
              </a:solidFill>
            </a:rPr>
            <a:t>Bên</a:t>
          </a:r>
          <a:r>
            <a:rPr lang="en-US" b="1" baseline="0">
              <a:solidFill>
                <a:sysClr val="windowText" lastClr="000000"/>
              </a:solidFill>
            </a:rPr>
            <a:t> A </a:t>
          </a:r>
          <a:r>
            <a:rPr lang="vi-VN" b="1">
              <a:solidFill>
                <a:sysClr val="windowText" lastClr="000000"/>
              </a:solidFill>
            </a:rPr>
            <a:t>(Bên Cấp phép)</a:t>
          </a:r>
          <a:r>
            <a:rPr lang="vi-VN">
              <a:solidFill>
                <a:sysClr val="windowText" lastClr="000000"/>
              </a:solidFill>
            </a:rPr>
            <a:t> và </a:t>
          </a:r>
          <a:r>
            <a:rPr lang="en-US" b="1">
              <a:solidFill>
                <a:sysClr val="windowText" lastClr="000000"/>
              </a:solidFill>
            </a:rPr>
            <a:t>Bên</a:t>
          </a:r>
          <a:r>
            <a:rPr lang="en-US" b="1" baseline="0">
              <a:solidFill>
                <a:sysClr val="windowText" lastClr="000000"/>
              </a:solidFill>
            </a:rPr>
            <a:t> B (Người dùng)</a:t>
          </a:r>
          <a:r>
            <a:rPr lang="vi-VN">
              <a:solidFill>
                <a:sysClr val="windowText" lastClr="000000"/>
              </a:solidFill>
            </a:rPr>
            <a:t> về việc sử dụng </a:t>
          </a:r>
          <a:r>
            <a:rPr lang="vi-VN" b="1">
              <a:solidFill>
                <a:sysClr val="windowText" lastClr="000000"/>
              </a:solidFill>
            </a:rPr>
            <a:t>phần mềm quản lý doanh nghiệp dưới dạng file Excel</a:t>
          </a:r>
          <a:r>
            <a:rPr lang="en-US" b="1">
              <a:solidFill>
                <a:sysClr val="windowText" lastClr="000000"/>
              </a:solidFill>
            </a:rPr>
            <a:t> Easy Quản</a:t>
          </a:r>
          <a:r>
            <a:rPr lang="en-US" b="1" baseline="0">
              <a:solidFill>
                <a:sysClr val="windowText" lastClr="000000"/>
              </a:solidFill>
            </a:rPr>
            <a:t> trị</a:t>
          </a:r>
          <a:r>
            <a:rPr lang="vi-VN" b="1">
              <a:solidFill>
                <a:sysClr val="windowText" lastClr="000000"/>
              </a:solidFill>
            </a:rPr>
            <a:t> (</a:t>
          </a:r>
          <a:r>
            <a:rPr lang="en-US" b="1">
              <a:solidFill>
                <a:sysClr val="windowText" lastClr="000000"/>
              </a:solidFill>
            </a:rPr>
            <a:t>Phần</a:t>
          </a:r>
          <a:r>
            <a:rPr lang="en-US" b="1" baseline="0">
              <a:solidFill>
                <a:sysClr val="windowText" lastClr="000000"/>
              </a:solidFill>
            </a:rPr>
            <a:t> mềm</a:t>
          </a:r>
          <a:r>
            <a:rPr lang="vi-VN" b="1">
              <a:solidFill>
                <a:sysClr val="windowText" lastClr="000000"/>
              </a:solidFill>
            </a:rPr>
            <a:t>)</a:t>
          </a:r>
          <a:r>
            <a:rPr lang="vi-VN">
              <a:solidFill>
                <a:sysClr val="windowText" lastClr="000000"/>
              </a:solidFill>
            </a:rPr>
            <a:t>. Bằng việc tải xuống, cài đặt hoặc sử dụng Phần mềm, bạn đồng ý bị ràng buộc bởi các điều khoản dưới đây.</a:t>
          </a:r>
        </a:p>
        <a:p>
          <a:pPr>
            <a:lnSpc>
              <a:spcPct val="150000"/>
            </a:lnSpc>
            <a:spcBef>
              <a:spcPts val="600"/>
            </a:spcBef>
          </a:pPr>
          <a:r>
            <a:rPr lang="vi-VN" b="1">
              <a:solidFill>
                <a:sysClr val="windowText" lastClr="000000"/>
              </a:solidFill>
            </a:rPr>
            <a:t>2. CẤP PHÉP SỬ DỤNG</a:t>
          </a:r>
          <a:br>
            <a:rPr lang="vi-VN">
              <a:solidFill>
                <a:sysClr val="windowText" lastClr="000000"/>
              </a:solidFill>
            </a:rPr>
          </a:br>
          <a:r>
            <a:rPr lang="vi-VN">
              <a:solidFill>
                <a:sysClr val="windowText" lastClr="000000"/>
              </a:solidFill>
            </a:rPr>
            <a:t>Bên Cấp phép cấp cho Người dùng một </a:t>
          </a:r>
          <a:r>
            <a:rPr lang="vi-VN" b="1">
              <a:solidFill>
                <a:sysClr val="windowText" lastClr="000000"/>
              </a:solidFill>
            </a:rPr>
            <a:t>quyền sử dụng có giới hạn, không độc quyền, không thể chuyển nhượng</a:t>
          </a:r>
          <a:r>
            <a:rPr lang="vi-VN">
              <a:solidFill>
                <a:sysClr val="windowText" lastClr="000000"/>
              </a:solidFill>
            </a:rPr>
            <a:t> đối với Phần mềm này, chỉ dùng cho mục đích cá nhân hoặc nội bộ doanh nghiệp, không vì mục đích thương mại</a:t>
          </a:r>
          <a:r>
            <a:rPr lang="en-US">
              <a:solidFill>
                <a:sysClr val="windowText" lastClr="000000"/>
              </a:solidFill>
            </a:rPr>
            <a:t>,</a:t>
          </a:r>
          <a:r>
            <a:rPr lang="en-US" baseline="0">
              <a:solidFill>
                <a:sysClr val="windowText" lastClr="000000"/>
              </a:solidFill>
            </a:rPr>
            <a:t> </a:t>
          </a:r>
          <a:r>
            <a:rPr lang="vi-VN">
              <a:solidFill>
                <a:sysClr val="windowText" lastClr="000000"/>
              </a:solidFill>
            </a:rPr>
            <a:t> tái phân phối</a:t>
          </a:r>
          <a:r>
            <a:rPr lang="en-US">
              <a:solidFill>
                <a:sysClr val="windowText" lastClr="000000"/>
              </a:solidFill>
            </a:rPr>
            <a:t> hoặc</a:t>
          </a:r>
          <a:r>
            <a:rPr lang="en-US" baseline="0">
              <a:solidFill>
                <a:sysClr val="windowText" lastClr="000000"/>
              </a:solidFill>
            </a:rPr>
            <a:t> chia sẻ cộng đồng</a:t>
          </a:r>
          <a:r>
            <a:rPr lang="vi-VN">
              <a:solidFill>
                <a:sysClr val="windowText" lastClr="000000"/>
              </a:solidFill>
            </a:rPr>
            <a:t>.</a:t>
          </a:r>
        </a:p>
        <a:p>
          <a:pPr>
            <a:lnSpc>
              <a:spcPct val="150000"/>
            </a:lnSpc>
            <a:spcBef>
              <a:spcPts val="600"/>
            </a:spcBef>
          </a:pPr>
          <a:r>
            <a:rPr lang="vi-VN" b="1">
              <a:solidFill>
                <a:sysClr val="windowText" lastClr="000000"/>
              </a:solidFill>
            </a:rPr>
            <a:t>3. HẠN CHẾ SỬ DỤNG</a:t>
          </a:r>
          <a:r>
            <a:rPr lang="vi-VN">
              <a:solidFill>
                <a:sysClr val="windowText" lastClr="000000"/>
              </a:solidFill>
            </a:rPr>
            <a:t> Người dùng </a:t>
          </a:r>
          <a:r>
            <a:rPr lang="vi-VN" b="1">
              <a:solidFill>
                <a:sysClr val="windowText" lastClr="000000"/>
              </a:solidFill>
            </a:rPr>
            <a:t>không được thực hiện</a:t>
          </a:r>
          <a:r>
            <a:rPr lang="vi-VN">
              <a:solidFill>
                <a:sysClr val="windowText" lastClr="000000"/>
              </a:solidFill>
            </a:rPr>
            <a:t> các hành vi sau:</a:t>
          </a:r>
        </a:p>
        <a:p>
          <a:pPr>
            <a:lnSpc>
              <a:spcPct val="150000"/>
            </a:lnSpc>
            <a:spcBef>
              <a:spcPts val="600"/>
            </a:spcBef>
          </a:pPr>
          <a:r>
            <a:rPr lang="vi-VN" b="1">
              <a:solidFill>
                <a:sysClr val="windowText" lastClr="000000"/>
              </a:solidFill>
            </a:rPr>
            <a:t>Sao chép, chỉnh sửa, tái phân phối, bán hoặc cấp phép lại</a:t>
          </a:r>
          <a:r>
            <a:rPr lang="vi-VN">
              <a:solidFill>
                <a:sysClr val="windowText" lastClr="000000"/>
              </a:solidFill>
            </a:rPr>
            <a:t> Phần mềm dưới bất kỳ hình thức nào.</a:t>
          </a:r>
        </a:p>
        <a:p>
          <a:pPr marL="0" marR="0" lvl="0" indent="0" defTabSz="914400" eaLnBrk="1" fontAlgn="auto" latinLnBrk="0" hangingPunct="1">
            <a:lnSpc>
              <a:spcPct val="150000"/>
            </a:lnSpc>
            <a:spcBef>
              <a:spcPts val="600"/>
            </a:spcBef>
            <a:spcAft>
              <a:spcPts val="0"/>
            </a:spcAft>
            <a:buClrTx/>
            <a:buSzTx/>
            <a:buFontTx/>
            <a:buNone/>
            <a:tabLst/>
            <a:defRPr/>
          </a:pPr>
          <a:r>
            <a:rPr lang="vi-VN" sz="1100" b="1">
              <a:solidFill>
                <a:sysClr val="windowText" lastClr="000000"/>
              </a:solidFill>
              <a:effectLst/>
              <a:latin typeface="+mn-lt"/>
              <a:ea typeface="+mn-ea"/>
              <a:cs typeface="+mn-cs"/>
            </a:rPr>
            <a:t>Chia sẻ hoặc cung cấp Phần mềm cho bên thứ ba</a:t>
          </a:r>
          <a:r>
            <a:rPr lang="vi-VN" sz="1100">
              <a:solidFill>
                <a:sysClr val="windowText" lastClr="000000"/>
              </a:solidFill>
              <a:effectLst/>
              <a:latin typeface="+mn-lt"/>
              <a:ea typeface="+mn-ea"/>
              <a:cs typeface="+mn-cs"/>
            </a:rPr>
            <a:t> nếu không có sự đồng ý bằng văn bản từ Bên Cấp phép.</a:t>
          </a:r>
          <a:endParaRPr lang="en-US" sz="1100">
            <a:solidFill>
              <a:sysClr val="windowText" lastClr="000000"/>
            </a:solidFill>
            <a:effectLst/>
            <a:latin typeface="+mn-lt"/>
            <a:ea typeface="+mn-ea"/>
            <a:cs typeface="+mn-cs"/>
          </a:endParaRPr>
        </a:p>
        <a:p>
          <a:pPr marL="0" marR="0" lvl="0" indent="0" defTabSz="914400" eaLnBrk="1" fontAlgn="auto" latinLnBrk="0" hangingPunct="1">
            <a:lnSpc>
              <a:spcPct val="150000"/>
            </a:lnSpc>
            <a:spcBef>
              <a:spcPts val="600"/>
            </a:spcBef>
            <a:spcAft>
              <a:spcPts val="0"/>
            </a:spcAft>
            <a:buClrTx/>
            <a:buSzTx/>
            <a:buFontTx/>
            <a:buNone/>
            <a:tabLst/>
            <a:defRPr/>
          </a:pPr>
          <a:r>
            <a:rPr lang="en-US" sz="1100" b="1">
              <a:solidFill>
                <a:sysClr val="windowText" lastClr="000000"/>
              </a:solidFill>
              <a:effectLst/>
              <a:latin typeface="+mn-lt"/>
              <a:ea typeface="+mn-ea"/>
              <a:cs typeface="+mn-cs"/>
            </a:rPr>
            <a:t>Cho</a:t>
          </a:r>
          <a:r>
            <a:rPr lang="en-US" sz="1100" b="1" baseline="0">
              <a:solidFill>
                <a:sysClr val="windowText" lastClr="000000"/>
              </a:solidFill>
              <a:effectLst/>
              <a:latin typeface="+mn-lt"/>
              <a:ea typeface="+mn-ea"/>
              <a:cs typeface="+mn-cs"/>
            </a:rPr>
            <a:t> phép truy cập và tải về công cộng khi lưu trữ trên các công cụ điện toán đám mây </a:t>
          </a:r>
          <a:r>
            <a:rPr lang="en-US" sz="1100" b="0" baseline="0">
              <a:solidFill>
                <a:sysClr val="windowText" lastClr="000000"/>
              </a:solidFill>
              <a:effectLst/>
              <a:latin typeface="+mn-lt"/>
              <a:ea typeface="+mn-ea"/>
              <a:cs typeface="+mn-cs"/>
            </a:rPr>
            <a:t>(như Google Drive, OneDrive,...) </a:t>
          </a:r>
        </a:p>
        <a:p>
          <a:pPr marL="0" marR="0" lvl="0" indent="0" defTabSz="914400" eaLnBrk="1" fontAlgn="auto" latinLnBrk="0" hangingPunct="1">
            <a:lnSpc>
              <a:spcPct val="150000"/>
            </a:lnSpc>
            <a:spcBef>
              <a:spcPts val="600"/>
            </a:spcBef>
            <a:spcAft>
              <a:spcPts val="0"/>
            </a:spcAft>
            <a:buClrTx/>
            <a:buSzTx/>
            <a:buFontTx/>
            <a:buNone/>
            <a:tabLst/>
            <a:defRPr/>
          </a:pPr>
          <a:r>
            <a:rPr lang="vi-VN" b="1">
              <a:solidFill>
                <a:sysClr val="windowText" lastClr="000000"/>
              </a:solidFill>
            </a:rPr>
            <a:t>Giải mã, tháo gỡ, hoặc </a:t>
          </a:r>
          <a:r>
            <a:rPr lang="en-US" sz="1100" b="1">
              <a:solidFill>
                <a:sysClr val="windowText" lastClr="000000"/>
              </a:solidFill>
              <a:effectLst/>
              <a:latin typeface="+mn-lt"/>
              <a:ea typeface="+mn-ea"/>
              <a:cs typeface="+mn-cs"/>
            </a:rPr>
            <a:t>c</a:t>
          </a:r>
          <a:r>
            <a:rPr lang="vi-VN" sz="1100" b="1">
              <a:solidFill>
                <a:sysClr val="windowText" lastClr="000000"/>
              </a:solidFill>
              <a:effectLst/>
              <a:latin typeface="+mn-lt"/>
              <a:ea typeface="+mn-ea"/>
              <a:cs typeface="+mn-cs"/>
            </a:rPr>
            <a:t>hỉnh sửa, biến đổi</a:t>
          </a:r>
          <a:r>
            <a:rPr lang="en-US" sz="1100" b="1">
              <a:solidFill>
                <a:sysClr val="windowText" lastClr="000000"/>
              </a:solidFill>
              <a:effectLst/>
              <a:latin typeface="+mn-lt"/>
              <a:ea typeface="+mn-ea"/>
              <a:cs typeface="+mn-cs"/>
            </a:rPr>
            <a:t>,</a:t>
          </a:r>
          <a:r>
            <a:rPr lang="vi-VN" sz="1100" b="1">
              <a:solidFill>
                <a:sysClr val="windowText" lastClr="000000"/>
              </a:solidFill>
              <a:effectLst/>
              <a:latin typeface="+mn-lt"/>
              <a:ea typeface="+mn-ea"/>
              <a:cs typeface="+mn-cs"/>
            </a:rPr>
            <a:t> thay đổi một phần nhỏ của Phần mềm </a:t>
          </a:r>
          <a:r>
            <a:rPr lang="en-US" sz="1100" b="1">
              <a:solidFill>
                <a:sysClr val="windowText" lastClr="000000"/>
              </a:solidFill>
              <a:effectLst/>
              <a:latin typeface="+mn-lt"/>
              <a:ea typeface="+mn-ea"/>
              <a:cs typeface="+mn-cs"/>
            </a:rPr>
            <a:t>(giao diện,</a:t>
          </a:r>
          <a:r>
            <a:rPr lang="vi-VN" sz="1100" b="1">
              <a:solidFill>
                <a:sysClr val="windowText" lastClr="000000"/>
              </a:solidFill>
              <a:effectLst/>
              <a:latin typeface="+mn-lt"/>
              <a:ea typeface="+mn-ea"/>
              <a:cs typeface="+mn-cs"/>
            </a:rPr>
            <a:t> mã nguồn, công thức, cấu trúc</a:t>
          </a:r>
          <a:r>
            <a:rPr lang="en-US" sz="1100" b="0">
              <a:solidFill>
                <a:sysClr val="windowText" lastClr="000000"/>
              </a:solidFill>
              <a:effectLst/>
              <a:latin typeface="+mn-lt"/>
              <a:ea typeface="+mn-ea"/>
              <a:cs typeface="+mn-cs"/>
            </a:rPr>
            <a:t>) </a:t>
          </a:r>
          <a:r>
            <a:rPr lang="vi-VN" sz="1100" b="1">
              <a:solidFill>
                <a:sysClr val="windowText" lastClr="000000"/>
              </a:solidFill>
              <a:effectLst/>
              <a:latin typeface="+mn-lt"/>
              <a:ea typeface="+mn-ea"/>
              <a:cs typeface="+mn-cs"/>
            </a:rPr>
            <a:t>để đăng ký bản quyền như một tác phẩm mới</a:t>
          </a:r>
          <a:r>
            <a:rPr lang="vi-VN" sz="1100">
              <a:solidFill>
                <a:sysClr val="windowText" lastClr="000000"/>
              </a:solidFill>
              <a:effectLst/>
              <a:latin typeface="+mn-lt"/>
              <a:ea typeface="+mn-ea"/>
              <a:cs typeface="+mn-cs"/>
            </a:rPr>
            <a:t> dưới bất kỳ hình thức nào đều bị nghiêm cấm và không làm mất hiệu lực bản quyền gốc của Bên Cấp phép.</a:t>
          </a:r>
          <a:endParaRPr lang="vi-VN">
            <a:solidFill>
              <a:sysClr val="windowText" lastClr="000000"/>
            </a:solidFill>
            <a:effectLst/>
          </a:endParaRPr>
        </a:p>
        <a:p>
          <a:pPr>
            <a:lnSpc>
              <a:spcPct val="150000"/>
            </a:lnSpc>
            <a:spcBef>
              <a:spcPts val="600"/>
            </a:spcBef>
          </a:pPr>
          <a:r>
            <a:rPr lang="vi-VN" b="1">
              <a:solidFill>
                <a:sysClr val="windowText" lastClr="000000"/>
              </a:solidFill>
            </a:rPr>
            <a:t>Sử dụng Phần mềm để tạo sản phẩm tương tự hoặc cạnh tranh</a:t>
          </a:r>
          <a:r>
            <a:rPr lang="vi-VN">
              <a:solidFill>
                <a:sysClr val="windowText" lastClr="000000"/>
              </a:solidFill>
            </a:rPr>
            <a:t>.</a:t>
          </a:r>
        </a:p>
        <a:p>
          <a:pPr>
            <a:lnSpc>
              <a:spcPct val="150000"/>
            </a:lnSpc>
            <a:spcBef>
              <a:spcPts val="600"/>
            </a:spcBef>
          </a:pPr>
          <a:r>
            <a:rPr lang="vi-VN" b="1">
              <a:solidFill>
                <a:sysClr val="windowText" lastClr="000000"/>
              </a:solidFill>
            </a:rPr>
            <a:t>4. QUYỀN SỞ HỮU TRÍ TUỆ</a:t>
          </a:r>
          <a:br>
            <a:rPr lang="vi-VN">
              <a:solidFill>
                <a:sysClr val="windowText" lastClr="000000"/>
              </a:solidFill>
            </a:rPr>
          </a:br>
          <a:r>
            <a:rPr lang="vi-VN">
              <a:solidFill>
                <a:sysClr val="windowText" lastClr="000000"/>
              </a:solidFill>
            </a:rPr>
            <a:t>Phần mềm và toàn bộ nội dung liên quan đều thuộc quyền sở hữu của Bên Cấp phép, bao gồm mọi phiên bản, sửa đổi hoặc tùy biến, và bất kỳ thay đổi nào cũng không làm mất hiệu lực của bản quyền gốc được bảo vệ theo </a:t>
          </a:r>
          <a:r>
            <a:rPr lang="vi-VN" b="1">
              <a:solidFill>
                <a:sysClr val="windowText" lastClr="000000"/>
              </a:solidFill>
            </a:rPr>
            <a:t>Luật Sở hữu trí tuệ và bản quyền Việt Nam và quốc tế</a:t>
          </a:r>
          <a:r>
            <a:rPr lang="vi-VN">
              <a:solidFill>
                <a:sysClr val="windowText" lastClr="000000"/>
              </a:solidFill>
            </a:rPr>
            <a:t>. Người dùng không có quyền sở hữu đối với Phần mềm mà chỉ có quyền sử dụng theo phạm vi được cấp phép.</a:t>
          </a:r>
        </a:p>
        <a:p>
          <a:pPr>
            <a:lnSpc>
              <a:spcPct val="150000"/>
            </a:lnSpc>
            <a:spcBef>
              <a:spcPts val="600"/>
            </a:spcBef>
          </a:pPr>
          <a:r>
            <a:rPr lang="vi-VN" b="1">
              <a:solidFill>
                <a:sysClr val="windowText" lastClr="000000"/>
              </a:solidFill>
            </a:rPr>
            <a:t>5. TRÁCH NHIỆM VÀ GIỚI HẠN TRÁCH NHIỆM</a:t>
          </a:r>
          <a:endParaRPr lang="vi-VN">
            <a:solidFill>
              <a:sysClr val="windowText" lastClr="000000"/>
            </a:solidFill>
          </a:endParaRPr>
        </a:p>
        <a:p>
          <a:pPr>
            <a:lnSpc>
              <a:spcPct val="150000"/>
            </a:lnSpc>
            <a:spcBef>
              <a:spcPts val="600"/>
            </a:spcBef>
          </a:pPr>
          <a:r>
            <a:rPr lang="vi-VN">
              <a:solidFill>
                <a:sysClr val="windowText" lastClr="000000"/>
              </a:solidFill>
            </a:rPr>
            <a:t>Bên Cấp phép không chịu trách nhiệm về bất kỳ thiệt hại gián tiếp, đặc biệt, ngẫu nhiên hoặc hệ quả nào phát sinh từ việc sử dụng</a:t>
          </a:r>
          <a:r>
            <a:rPr lang="en-US">
              <a:solidFill>
                <a:sysClr val="windowText" lastClr="000000"/>
              </a:solidFill>
            </a:rPr>
            <a:t> không</a:t>
          </a:r>
          <a:r>
            <a:rPr lang="en-US" baseline="0">
              <a:solidFill>
                <a:sysClr val="windowText" lastClr="000000"/>
              </a:solidFill>
            </a:rPr>
            <a:t> đúng hướng dẫn</a:t>
          </a:r>
          <a:r>
            <a:rPr lang="en-US">
              <a:solidFill>
                <a:sysClr val="windowText" lastClr="000000"/>
              </a:solidFill>
            </a:rPr>
            <a:t> </a:t>
          </a:r>
          <a:r>
            <a:rPr lang="vi-VN">
              <a:solidFill>
                <a:sysClr val="windowText" lastClr="000000"/>
              </a:solidFill>
            </a:rPr>
            <a:t>hoặc không thể sử dụng Phần mềm</a:t>
          </a:r>
        </a:p>
        <a:p>
          <a:pPr>
            <a:lnSpc>
              <a:spcPct val="150000"/>
            </a:lnSpc>
            <a:spcBef>
              <a:spcPts val="600"/>
            </a:spcBef>
          </a:pPr>
          <a:r>
            <a:rPr lang="vi-VN" b="1">
              <a:solidFill>
                <a:sysClr val="windowText" lastClr="000000"/>
              </a:solidFill>
            </a:rPr>
            <a:t>6. CHẤM DỨT THỎA THUẬN</a:t>
          </a:r>
          <a:br>
            <a:rPr lang="vi-VN">
              <a:solidFill>
                <a:sysClr val="windowText" lastClr="000000"/>
              </a:solidFill>
            </a:rPr>
          </a:br>
          <a:r>
            <a:rPr lang="vi-VN">
              <a:solidFill>
                <a:sysClr val="windowText" lastClr="000000"/>
              </a:solidFill>
            </a:rPr>
            <a:t>Thỏa thuận này sẽ tự động chấm dứt nếu Người dùng vi phạm bất kỳ điều khoản nào. Khi thỏa thuận bị chấm dứt, Người dùng phải xóa và ngừng sử dụng Phần mềm ngay lập tức.</a:t>
          </a:r>
        </a:p>
        <a:p>
          <a:pPr>
            <a:lnSpc>
              <a:spcPct val="150000"/>
            </a:lnSpc>
            <a:spcBef>
              <a:spcPts val="600"/>
            </a:spcBef>
          </a:pPr>
          <a:r>
            <a:rPr lang="vi-VN" b="1">
              <a:solidFill>
                <a:sysClr val="windowText" lastClr="000000"/>
              </a:solidFill>
            </a:rPr>
            <a:t>7. ĐIỀU KHOẢN CHUNG</a:t>
          </a:r>
          <a:endParaRPr lang="vi-VN">
            <a:solidFill>
              <a:sysClr val="windowText" lastClr="000000"/>
            </a:solidFill>
          </a:endParaRPr>
        </a:p>
        <a:p>
          <a:pPr>
            <a:lnSpc>
              <a:spcPct val="150000"/>
            </a:lnSpc>
            <a:spcBef>
              <a:spcPts val="600"/>
            </a:spcBef>
          </a:pPr>
          <a:r>
            <a:rPr lang="vi-VN">
              <a:solidFill>
                <a:sysClr val="windowText" lastClr="000000"/>
              </a:solidFill>
            </a:rPr>
            <a:t>Thỏa thuận này chịu sự điều chỉnh của </a:t>
          </a:r>
          <a:r>
            <a:rPr lang="vi-VN" b="1">
              <a:solidFill>
                <a:sysClr val="windowText" lastClr="000000"/>
              </a:solidFill>
            </a:rPr>
            <a:t>pháp luật Việt Nam</a:t>
          </a:r>
          <a:r>
            <a:rPr lang="vi-VN">
              <a:solidFill>
                <a:sysClr val="windowText" lastClr="000000"/>
              </a:solidFill>
            </a:rPr>
            <a:t>.</a:t>
          </a:r>
          <a:r>
            <a:rPr lang="en-US" baseline="0">
              <a:solidFill>
                <a:sysClr val="windowText" lastClr="000000"/>
              </a:solidFill>
            </a:rPr>
            <a:t> </a:t>
          </a:r>
          <a:r>
            <a:rPr lang="vi-VN">
              <a:solidFill>
                <a:sysClr val="windowText" lastClr="000000"/>
              </a:solidFill>
            </a:rPr>
            <a:t>Bất kỳ tranh chấp nào phát sinh sẽ được giải quyết thông qua </a:t>
          </a:r>
          <a:r>
            <a:rPr lang="vi-VN" b="1">
              <a:solidFill>
                <a:sysClr val="windowText" lastClr="000000"/>
              </a:solidFill>
            </a:rPr>
            <a:t>thương lượng</a:t>
          </a:r>
          <a:r>
            <a:rPr lang="vi-VN">
              <a:solidFill>
                <a:sysClr val="windowText" lastClr="000000"/>
              </a:solidFill>
            </a:rPr>
            <a:t> trước khi đưa ra </a:t>
          </a:r>
          <a:r>
            <a:rPr lang="vi-VN" b="1">
              <a:solidFill>
                <a:sysClr val="windowText" lastClr="000000"/>
              </a:solidFill>
            </a:rPr>
            <a:t>tòa án có thẩm quyền</a:t>
          </a:r>
          <a:r>
            <a:rPr lang="vi-VN">
              <a:solidFill>
                <a:sysClr val="windowText" lastClr="000000"/>
              </a:solidFill>
            </a:rPr>
            <a:t> tại Việt Nam.</a:t>
          </a:r>
        </a:p>
        <a:p>
          <a:pPr>
            <a:lnSpc>
              <a:spcPct val="150000"/>
            </a:lnSpc>
            <a:spcBef>
              <a:spcPts val="600"/>
            </a:spcBef>
          </a:pPr>
          <a:r>
            <a:rPr lang="vi-VN">
              <a:solidFill>
                <a:sysClr val="windowText" lastClr="000000"/>
              </a:solidFill>
            </a:rPr>
            <a:t>Nếu một điều khoản nào đó bị tuyên vô hiệu, các điều khoản còn lại vẫn có hiệu lực.</a:t>
          </a:r>
        </a:p>
        <a:p>
          <a:pPr>
            <a:lnSpc>
              <a:spcPct val="150000"/>
            </a:lnSpc>
            <a:spcBef>
              <a:spcPts val="600"/>
            </a:spcBef>
          </a:pPr>
          <a:r>
            <a:rPr lang="vi-VN" b="1">
              <a:solidFill>
                <a:sysClr val="windowText" lastClr="000000"/>
              </a:solidFill>
            </a:rPr>
            <a:t>Bằng việc sử dụng Phần mềm, bạn xác nhận rằng đã đọc, hiểu và đồng ý với các điều khoản của Thỏa thuận này.</a:t>
          </a:r>
          <a:endParaRPr lang="vi-VN">
            <a:solidFill>
              <a:sysClr val="windowText" lastClr="000000"/>
            </a:solidFill>
          </a:endParaRPr>
        </a:p>
        <a:p>
          <a:pPr algn="l"/>
          <a:endParaRPr lang="vi-VN" sz="1100">
            <a:solidFill>
              <a:sysClr val="windowText" lastClr="000000"/>
            </a:solidFill>
          </a:endParaRPr>
        </a:p>
      </xdr:txBody>
    </xdr:sp>
    <xdr:clientData/>
  </xdr:twoCellAnchor>
  <xdr:twoCellAnchor>
    <xdr:from>
      <xdr:col>23</xdr:col>
      <xdr:colOff>170792</xdr:colOff>
      <xdr:row>0</xdr:row>
      <xdr:rowOff>76199</xdr:rowOff>
    </xdr:from>
    <xdr:to>
      <xdr:col>34</xdr:col>
      <xdr:colOff>186992</xdr:colOff>
      <xdr:row>48</xdr:row>
      <xdr:rowOff>128774</xdr:rowOff>
    </xdr:to>
    <xdr:sp macro="" textlink="">
      <xdr:nvSpPr>
        <xdr:cNvPr id="3" name="Rectangle 2">
          <a:extLst>
            <a:ext uri="{FF2B5EF4-FFF2-40B4-BE49-F238E27FC236}">
              <a16:creationId xmlns:a16="http://schemas.microsoft.com/office/drawing/2014/main" id="{00000000-0008-0000-0200-000003000000}"/>
            </a:ext>
          </a:extLst>
        </xdr:cNvPr>
        <xdr:cNvSpPr/>
      </xdr:nvSpPr>
      <xdr:spPr>
        <a:xfrm>
          <a:off x="11988361" y="76199"/>
          <a:ext cx="7531097" cy="10714006"/>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vi-VN" sz="1800" b="1">
              <a:solidFill>
                <a:sysClr val="windowText" lastClr="000000"/>
              </a:solidFill>
            </a:rPr>
            <a:t>END USER LICENSE AGREEMENT (EULA)</a:t>
          </a:r>
          <a:endParaRPr lang="vi-VN" sz="1800">
            <a:solidFill>
              <a:sysClr val="windowText" lastClr="000000"/>
            </a:solidFill>
          </a:endParaRPr>
        </a:p>
        <a:p>
          <a:pPr>
            <a:lnSpc>
              <a:spcPct val="150000"/>
            </a:lnSpc>
            <a:spcBef>
              <a:spcPts val="600"/>
            </a:spcBef>
          </a:pPr>
          <a:r>
            <a:rPr lang="vi-VN" sz="1100" b="1">
              <a:solidFill>
                <a:sysClr val="windowText" lastClr="000000"/>
              </a:solidFill>
            </a:rPr>
            <a:t>1. INTRODUCTION</a:t>
          </a:r>
          <a:br>
            <a:rPr lang="vi-VN" sz="1100">
              <a:solidFill>
                <a:sysClr val="windowText" lastClr="000000"/>
              </a:solidFill>
            </a:rPr>
          </a:br>
          <a:r>
            <a:rPr lang="vi-VN" sz="1100">
              <a:solidFill>
                <a:sysClr val="windowText" lastClr="000000"/>
              </a:solidFill>
            </a:rPr>
            <a:t>This End User License Agreement ("Agreement") is entered into between </a:t>
          </a:r>
          <a:r>
            <a:rPr lang="vi-VN" sz="1100" b="1">
              <a:solidFill>
                <a:sysClr val="windowText" lastClr="000000"/>
              </a:solidFill>
            </a:rPr>
            <a:t>Party A (Licensor) </a:t>
          </a:r>
          <a:r>
            <a:rPr lang="vi-VN" sz="1100">
              <a:solidFill>
                <a:sysClr val="windowText" lastClr="000000"/>
              </a:solidFill>
            </a:rPr>
            <a:t>and </a:t>
          </a:r>
          <a:r>
            <a:rPr lang="vi-VN" sz="1100" b="1">
              <a:solidFill>
                <a:sysClr val="windowText" lastClr="000000"/>
              </a:solidFill>
            </a:rPr>
            <a:t>Party B (User) </a:t>
          </a:r>
          <a:r>
            <a:rPr lang="vi-VN" sz="1100">
              <a:solidFill>
                <a:sysClr val="windowText" lastClr="000000"/>
              </a:solidFill>
            </a:rPr>
            <a:t>regarding the use of the </a:t>
          </a:r>
          <a:r>
            <a:rPr lang="vi-VN" sz="1100" b="1">
              <a:solidFill>
                <a:sysClr val="windowText" lastClr="000000"/>
              </a:solidFill>
            </a:rPr>
            <a:t>business management software in the form of the Easy Quản Trị Excel file (Software</a:t>
          </a:r>
          <a:r>
            <a:rPr lang="en-US" sz="1100" b="1">
              <a:solidFill>
                <a:sysClr val="windowText" lastClr="000000"/>
              </a:solidFill>
            </a:rPr>
            <a:t>)</a:t>
          </a:r>
          <a:r>
            <a:rPr lang="vi-VN" sz="1100">
              <a:solidFill>
                <a:sysClr val="windowText" lastClr="000000"/>
              </a:solidFill>
            </a:rPr>
            <a:t>. By downloading, installing, or using the Software, you agree to be bound by the following terms and conditions.</a:t>
          </a:r>
        </a:p>
        <a:p>
          <a:pPr>
            <a:lnSpc>
              <a:spcPct val="150000"/>
            </a:lnSpc>
            <a:spcBef>
              <a:spcPts val="600"/>
            </a:spcBef>
          </a:pPr>
          <a:r>
            <a:rPr lang="vi-VN" sz="1100" b="1">
              <a:solidFill>
                <a:sysClr val="windowText" lastClr="000000"/>
              </a:solidFill>
            </a:rPr>
            <a:t>2. LICENSE GRANT</a:t>
          </a:r>
          <a:br>
            <a:rPr lang="vi-VN" sz="1100">
              <a:solidFill>
                <a:sysClr val="windowText" lastClr="000000"/>
              </a:solidFill>
            </a:rPr>
          </a:br>
          <a:r>
            <a:rPr lang="vi-VN" sz="1100">
              <a:solidFill>
                <a:sysClr val="windowText" lastClr="000000"/>
              </a:solidFill>
            </a:rPr>
            <a:t>The Licensor grants the User a </a:t>
          </a:r>
          <a:r>
            <a:rPr lang="vi-VN" sz="1100" b="1">
              <a:solidFill>
                <a:sysClr val="windowText" lastClr="000000"/>
              </a:solidFill>
            </a:rPr>
            <a:t>limited, non-exclusive, non-transferable</a:t>
          </a:r>
          <a:r>
            <a:rPr lang="vi-VN" sz="1100">
              <a:solidFill>
                <a:sysClr val="windowText" lastClr="000000"/>
              </a:solidFill>
            </a:rPr>
            <a:t> right to use the Software solely for personal or internal business purposes, and not for commercial use, redistribution, or public sharing.</a:t>
          </a:r>
        </a:p>
        <a:p>
          <a:pPr>
            <a:lnSpc>
              <a:spcPct val="150000"/>
            </a:lnSpc>
            <a:spcBef>
              <a:spcPts val="600"/>
            </a:spcBef>
          </a:pPr>
          <a:r>
            <a:rPr lang="vi-VN" sz="1100" b="1">
              <a:solidFill>
                <a:sysClr val="windowText" lastClr="000000"/>
              </a:solidFill>
            </a:rPr>
            <a:t>3. RESTRICTIONS ON USE</a:t>
          </a:r>
          <a:r>
            <a:rPr lang="en-US" sz="1100" b="0">
              <a:solidFill>
                <a:sysClr val="windowText" lastClr="000000"/>
              </a:solidFill>
            </a:rPr>
            <a:t>:</a:t>
          </a:r>
          <a:r>
            <a:rPr lang="en-US" sz="1100" b="0" baseline="0">
              <a:solidFill>
                <a:sysClr val="windowText" lastClr="000000"/>
              </a:solidFill>
            </a:rPr>
            <a:t> </a:t>
          </a:r>
          <a:r>
            <a:rPr lang="vi-VN" sz="1100">
              <a:solidFill>
                <a:sysClr val="windowText" lastClr="000000"/>
              </a:solidFill>
            </a:rPr>
            <a:t>The User is </a:t>
          </a:r>
          <a:r>
            <a:rPr lang="vi-VN" sz="1100" b="1">
              <a:solidFill>
                <a:sysClr val="windowText" lastClr="000000"/>
              </a:solidFill>
            </a:rPr>
            <a:t>not permitted </a:t>
          </a:r>
          <a:r>
            <a:rPr lang="vi-VN" sz="1100">
              <a:solidFill>
                <a:sysClr val="windowText" lastClr="000000"/>
              </a:solidFill>
            </a:rPr>
            <a:t>to:</a:t>
          </a:r>
        </a:p>
        <a:p>
          <a:pPr>
            <a:lnSpc>
              <a:spcPct val="150000"/>
            </a:lnSpc>
            <a:spcBef>
              <a:spcPts val="600"/>
            </a:spcBef>
          </a:pPr>
          <a:r>
            <a:rPr lang="vi-VN" sz="1100" b="1">
              <a:solidFill>
                <a:sysClr val="windowText" lastClr="000000"/>
              </a:solidFill>
            </a:rPr>
            <a:t>Copy, modify, redistribute, sell, or sublicense</a:t>
          </a:r>
          <a:r>
            <a:rPr lang="vi-VN" sz="1100">
              <a:solidFill>
                <a:sysClr val="windowText" lastClr="000000"/>
              </a:solidFill>
            </a:rPr>
            <a:t> the Software in any form.</a:t>
          </a:r>
        </a:p>
        <a:p>
          <a:pPr>
            <a:lnSpc>
              <a:spcPct val="150000"/>
            </a:lnSpc>
            <a:spcBef>
              <a:spcPts val="600"/>
            </a:spcBef>
          </a:pPr>
          <a:r>
            <a:rPr lang="vi-VN" sz="1100" b="1">
              <a:solidFill>
                <a:sysClr val="windowText" lastClr="000000"/>
              </a:solidFill>
            </a:rPr>
            <a:t>Share or provide the Software to any third party</a:t>
          </a:r>
          <a:r>
            <a:rPr lang="vi-VN" sz="1100">
              <a:solidFill>
                <a:sysClr val="windowText" lastClr="000000"/>
              </a:solidFill>
            </a:rPr>
            <a:t> without the Licensor’s written consent.</a:t>
          </a:r>
        </a:p>
        <a:p>
          <a:pPr>
            <a:lnSpc>
              <a:spcPct val="150000"/>
            </a:lnSpc>
            <a:spcBef>
              <a:spcPts val="600"/>
            </a:spcBef>
          </a:pPr>
          <a:r>
            <a:rPr lang="vi-VN" sz="1100" b="1">
              <a:solidFill>
                <a:sysClr val="windowText" lastClr="000000"/>
              </a:solidFill>
            </a:rPr>
            <a:t>Allow public access or downloading when storing the Software on cloud computing services</a:t>
          </a:r>
          <a:r>
            <a:rPr lang="vi-VN" sz="1100">
              <a:solidFill>
                <a:sysClr val="windowText" lastClr="000000"/>
              </a:solidFill>
            </a:rPr>
            <a:t> (such as Google Drive, OneDrive, etc.).</a:t>
          </a:r>
        </a:p>
        <a:p>
          <a:pPr>
            <a:lnSpc>
              <a:spcPct val="150000"/>
            </a:lnSpc>
            <a:spcBef>
              <a:spcPts val="600"/>
            </a:spcBef>
          </a:pPr>
          <a:r>
            <a:rPr lang="vi-VN" sz="1100" b="1">
              <a:solidFill>
                <a:sysClr val="windowText" lastClr="000000"/>
              </a:solidFill>
            </a:rPr>
            <a:t>Reverse-engineer, disassemble, modify, alter, or make minor changes to the Software (interface, source code, formulas, structure) to register a new copyright </a:t>
          </a:r>
          <a:r>
            <a:rPr lang="vi-VN" sz="1100">
              <a:solidFill>
                <a:sysClr val="windowText" lastClr="000000"/>
              </a:solidFill>
            </a:rPr>
            <a:t>under any form, as this is strictly prohibited and does not invalidate the Licensor’s original copyright.</a:t>
          </a:r>
        </a:p>
        <a:p>
          <a:pPr>
            <a:lnSpc>
              <a:spcPct val="150000"/>
            </a:lnSpc>
            <a:spcBef>
              <a:spcPts val="600"/>
            </a:spcBef>
          </a:pPr>
          <a:r>
            <a:rPr lang="vi-VN" sz="1100" b="1">
              <a:solidFill>
                <a:sysClr val="windowText" lastClr="000000"/>
              </a:solidFill>
            </a:rPr>
            <a:t>Use the Software to create similar or competing products.</a:t>
          </a:r>
        </a:p>
        <a:p>
          <a:pPr>
            <a:lnSpc>
              <a:spcPct val="150000"/>
            </a:lnSpc>
            <a:spcBef>
              <a:spcPts val="600"/>
            </a:spcBef>
          </a:pPr>
          <a:r>
            <a:rPr lang="vi-VN" sz="1100" b="1">
              <a:solidFill>
                <a:sysClr val="windowText" lastClr="000000"/>
              </a:solidFill>
            </a:rPr>
            <a:t>4. INTELLECTUAL PROPERTY RIGHTS</a:t>
          </a:r>
          <a:br>
            <a:rPr lang="vi-VN" sz="1100">
              <a:solidFill>
                <a:sysClr val="windowText" lastClr="000000"/>
              </a:solidFill>
            </a:rPr>
          </a:br>
          <a:r>
            <a:rPr lang="vi-VN" sz="1100">
              <a:solidFill>
                <a:sysClr val="windowText" lastClr="000000"/>
              </a:solidFill>
            </a:rPr>
            <a:t>The Software and all related content are the property of the Licensor, including all versions, modifications, or customizations. Any changes made do not invalidate the original copyright, which is protected under </a:t>
          </a:r>
          <a:r>
            <a:rPr lang="vi-VN" sz="1100" b="1">
              <a:solidFill>
                <a:sysClr val="windowText" lastClr="000000"/>
              </a:solidFill>
            </a:rPr>
            <a:t>Vietnamese and international intellectual property and copyright laws</a:t>
          </a:r>
          <a:r>
            <a:rPr lang="vi-VN" sz="1100">
              <a:solidFill>
                <a:sysClr val="windowText" lastClr="000000"/>
              </a:solidFill>
            </a:rPr>
            <a:t>. The User has no ownership rights over the Software and is only granted a license for use within the permitted scope.</a:t>
          </a:r>
        </a:p>
        <a:p>
          <a:pPr>
            <a:lnSpc>
              <a:spcPct val="150000"/>
            </a:lnSpc>
            <a:spcBef>
              <a:spcPts val="600"/>
            </a:spcBef>
          </a:pPr>
          <a:r>
            <a:rPr lang="vi-VN" sz="1100" b="1">
              <a:solidFill>
                <a:sysClr val="windowText" lastClr="000000"/>
              </a:solidFill>
            </a:rPr>
            <a:t>5. LIABILITY AND LIMITATION OF LIABILITY</a:t>
          </a:r>
          <a:endParaRPr lang="vi-VN" sz="1100">
            <a:solidFill>
              <a:sysClr val="windowText" lastClr="000000"/>
            </a:solidFill>
          </a:endParaRPr>
        </a:p>
        <a:p>
          <a:pPr>
            <a:lnSpc>
              <a:spcPct val="150000"/>
            </a:lnSpc>
            <a:spcBef>
              <a:spcPts val="600"/>
            </a:spcBef>
          </a:pPr>
          <a:r>
            <a:rPr lang="vi-VN" sz="1100">
              <a:solidFill>
                <a:sysClr val="windowText" lastClr="000000"/>
              </a:solidFill>
            </a:rPr>
            <a:t>The Licensor is not liable for any </a:t>
          </a:r>
          <a:r>
            <a:rPr lang="vi-VN" sz="1100" b="1">
              <a:solidFill>
                <a:sysClr val="windowText" lastClr="000000"/>
              </a:solidFill>
            </a:rPr>
            <a:t>indirect, special, incidental, or consequential damages</a:t>
          </a:r>
          <a:r>
            <a:rPr lang="vi-VN" sz="1100">
              <a:solidFill>
                <a:sysClr val="windowText" lastClr="000000"/>
              </a:solidFill>
            </a:rPr>
            <a:t> arising from the misuse or inability to use the Software.</a:t>
          </a:r>
        </a:p>
        <a:p>
          <a:pPr>
            <a:lnSpc>
              <a:spcPct val="150000"/>
            </a:lnSpc>
            <a:spcBef>
              <a:spcPts val="600"/>
            </a:spcBef>
          </a:pPr>
          <a:r>
            <a:rPr lang="vi-VN" sz="1100" b="1">
              <a:solidFill>
                <a:sysClr val="windowText" lastClr="000000"/>
              </a:solidFill>
            </a:rPr>
            <a:t>6. TERMINATION OF AGREEMENT</a:t>
          </a:r>
          <a:br>
            <a:rPr lang="vi-VN" sz="1100">
              <a:solidFill>
                <a:sysClr val="windowText" lastClr="000000"/>
              </a:solidFill>
            </a:rPr>
          </a:br>
          <a:r>
            <a:rPr lang="vi-VN" sz="1100">
              <a:solidFill>
                <a:sysClr val="windowText" lastClr="000000"/>
              </a:solidFill>
            </a:rPr>
            <a:t>This Agreement will automatically terminate if the User violates any of its terms. Upon termination, the User must delete and cease using the Software immediately.</a:t>
          </a:r>
        </a:p>
        <a:p>
          <a:pPr>
            <a:lnSpc>
              <a:spcPct val="150000"/>
            </a:lnSpc>
            <a:spcBef>
              <a:spcPts val="600"/>
            </a:spcBef>
          </a:pPr>
          <a:r>
            <a:rPr lang="vi-VN" sz="1100" b="1">
              <a:solidFill>
                <a:sysClr val="windowText" lastClr="000000"/>
              </a:solidFill>
            </a:rPr>
            <a:t>7. GENERAL TERMS</a:t>
          </a:r>
          <a:endParaRPr lang="vi-VN" sz="1100">
            <a:solidFill>
              <a:sysClr val="windowText" lastClr="000000"/>
            </a:solidFill>
          </a:endParaRPr>
        </a:p>
        <a:p>
          <a:pPr>
            <a:lnSpc>
              <a:spcPct val="150000"/>
            </a:lnSpc>
            <a:spcBef>
              <a:spcPts val="600"/>
            </a:spcBef>
          </a:pPr>
          <a:r>
            <a:rPr lang="vi-VN" sz="1100">
              <a:solidFill>
                <a:sysClr val="windowText" lastClr="000000"/>
              </a:solidFill>
            </a:rPr>
            <a:t>This Agreement is governed by </a:t>
          </a:r>
          <a:r>
            <a:rPr lang="vi-VN" sz="1100" b="1">
              <a:solidFill>
                <a:sysClr val="windowText" lastClr="000000"/>
              </a:solidFill>
            </a:rPr>
            <a:t>Vietnamese law</a:t>
          </a:r>
          <a:r>
            <a:rPr lang="vi-VN" sz="1100">
              <a:solidFill>
                <a:sysClr val="windowText" lastClr="000000"/>
              </a:solidFill>
            </a:rPr>
            <a:t>.</a:t>
          </a:r>
          <a:r>
            <a:rPr lang="en-US" sz="1100" baseline="0">
              <a:solidFill>
                <a:sysClr val="windowText" lastClr="000000"/>
              </a:solidFill>
            </a:rPr>
            <a:t> </a:t>
          </a:r>
          <a:r>
            <a:rPr lang="vi-VN" sz="1100">
              <a:solidFill>
                <a:sysClr val="windowText" lastClr="000000"/>
              </a:solidFill>
            </a:rPr>
            <a:t>Any disputes arising will be resolved through </a:t>
          </a:r>
          <a:r>
            <a:rPr lang="vi-VN" sz="1100" b="1">
              <a:solidFill>
                <a:sysClr val="windowText" lastClr="000000"/>
              </a:solidFill>
            </a:rPr>
            <a:t>negotiation</a:t>
          </a:r>
          <a:r>
            <a:rPr lang="vi-VN" sz="1100">
              <a:solidFill>
                <a:sysClr val="windowText" lastClr="000000"/>
              </a:solidFill>
            </a:rPr>
            <a:t> before being submitted to the competent </a:t>
          </a:r>
          <a:r>
            <a:rPr lang="vi-VN" sz="1100" b="1">
              <a:solidFill>
                <a:sysClr val="windowText" lastClr="000000"/>
              </a:solidFill>
            </a:rPr>
            <a:t>court in Vietnam</a:t>
          </a:r>
          <a:r>
            <a:rPr lang="vi-VN" sz="1100">
              <a:solidFill>
                <a:sysClr val="windowText" lastClr="000000"/>
              </a:solidFill>
            </a:rPr>
            <a:t>.</a:t>
          </a:r>
        </a:p>
        <a:p>
          <a:pPr>
            <a:lnSpc>
              <a:spcPct val="150000"/>
            </a:lnSpc>
            <a:spcBef>
              <a:spcPts val="600"/>
            </a:spcBef>
          </a:pPr>
          <a:r>
            <a:rPr lang="vi-VN" sz="1100">
              <a:solidFill>
                <a:sysClr val="windowText" lastClr="000000"/>
              </a:solidFill>
            </a:rPr>
            <a:t>If any provision of this Agreement is declared invalid, the remaining provisions shall remain in effect.</a:t>
          </a:r>
        </a:p>
        <a:p>
          <a:pPr>
            <a:lnSpc>
              <a:spcPct val="150000"/>
            </a:lnSpc>
            <a:spcBef>
              <a:spcPts val="600"/>
            </a:spcBef>
          </a:pPr>
          <a:r>
            <a:rPr lang="vi-VN" sz="1100" b="1">
              <a:solidFill>
                <a:sysClr val="windowText" lastClr="000000"/>
              </a:solidFill>
            </a:rPr>
            <a:t>By using the Software, you acknowledge that you have read, understood, and agreed to the terms of this Agreement.</a:t>
          </a:r>
        </a:p>
      </xdr:txBody>
    </xdr:sp>
    <xdr:clientData/>
  </xdr:twoCellAnchor>
  <xdr:twoCellAnchor editAs="oneCell">
    <xdr:from>
      <xdr:col>20</xdr:col>
      <xdr:colOff>400051</xdr:colOff>
      <xdr:row>0</xdr:row>
      <xdr:rowOff>133350</xdr:rowOff>
    </xdr:from>
    <xdr:to>
      <xdr:col>22</xdr:col>
      <xdr:colOff>571501</xdr:colOff>
      <xdr:row>3</xdr:row>
      <xdr:rowOff>116059</xdr:rowOff>
    </xdr:to>
    <xdr:pic>
      <xdr:nvPicPr>
        <xdr:cNvPr id="6" name="Picture 5">
          <a:extLst>
            <a:ext uri="{FF2B5EF4-FFF2-40B4-BE49-F238E27FC236}">
              <a16:creationId xmlns:a16="http://schemas.microsoft.com/office/drawing/2014/main" id="{00000000-0008-0000-02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0201276" y="133350"/>
          <a:ext cx="1543050" cy="61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31</xdr:col>
      <xdr:colOff>485776</xdr:colOff>
      <xdr:row>0</xdr:row>
      <xdr:rowOff>152400</xdr:rowOff>
    </xdr:from>
    <xdr:to>
      <xdr:col>33</xdr:col>
      <xdr:colOff>657226</xdr:colOff>
      <xdr:row>3</xdr:row>
      <xdr:rowOff>135109</xdr:rowOff>
    </xdr:to>
    <xdr:pic>
      <xdr:nvPicPr>
        <xdr:cNvPr id="7" name="Picture 6">
          <a:extLst>
            <a:ext uri="{FF2B5EF4-FFF2-40B4-BE49-F238E27FC236}">
              <a16:creationId xmlns:a16="http://schemas.microsoft.com/office/drawing/2014/main" id="{00000000-0008-0000-02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7830801" y="152400"/>
          <a:ext cx="1543050" cy="61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58615</xdr:colOff>
      <xdr:row>0</xdr:row>
      <xdr:rowOff>28575</xdr:rowOff>
    </xdr:from>
    <xdr:to>
      <xdr:col>2</xdr:col>
      <xdr:colOff>32239</xdr:colOff>
      <xdr:row>3</xdr:row>
      <xdr:rowOff>11284</xdr:rowOff>
    </xdr:to>
    <xdr:pic>
      <xdr:nvPicPr>
        <xdr:cNvPr id="4" name="Picture 3">
          <a:extLst>
            <a:ext uri="{FF2B5EF4-FFF2-40B4-BE49-F238E27FC236}">
              <a16:creationId xmlns:a16="http://schemas.microsoft.com/office/drawing/2014/main" id="{00000000-0008-0000-02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8615" y="28575"/>
          <a:ext cx="1548912" cy="62015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485774</xdr:colOff>
      <xdr:row>18</xdr:row>
      <xdr:rowOff>200024</xdr:rowOff>
    </xdr:from>
    <xdr:to>
      <xdr:col>11</xdr:col>
      <xdr:colOff>676275</xdr:colOff>
      <xdr:row>48</xdr:row>
      <xdr:rowOff>152400</xdr:rowOff>
    </xdr:to>
    <xdr:sp macro="" textlink="">
      <xdr:nvSpPr>
        <xdr:cNvPr id="5" name="Rectangle 4">
          <a:extLst>
            <a:ext uri="{FF2B5EF4-FFF2-40B4-BE49-F238E27FC236}">
              <a16:creationId xmlns:a16="http://schemas.microsoft.com/office/drawing/2014/main" id="{00000000-0008-0000-0200-000005000000}"/>
            </a:ext>
          </a:extLst>
        </xdr:cNvPr>
        <xdr:cNvSpPr/>
      </xdr:nvSpPr>
      <xdr:spPr>
        <a:xfrm>
          <a:off x="485774" y="4600574"/>
          <a:ext cx="7934326" cy="6238876"/>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vi-VN" sz="1800" b="1">
              <a:solidFill>
                <a:sysClr val="windowText" lastClr="000000"/>
              </a:solidFill>
            </a:rPr>
            <a:t>TUYÊN BỐ BẢN QUYỀN VÀ QUYỀN SỞ HỮU THƯƠNG HIỆU</a:t>
          </a:r>
          <a:endParaRPr lang="vi-VN" sz="1800">
            <a:solidFill>
              <a:sysClr val="windowText" lastClr="000000"/>
            </a:solidFill>
          </a:endParaRPr>
        </a:p>
        <a:p>
          <a:pPr>
            <a:lnSpc>
              <a:spcPct val="100000"/>
            </a:lnSpc>
            <a:spcBef>
              <a:spcPts val="600"/>
            </a:spcBef>
          </a:pPr>
          <a:r>
            <a:rPr lang="vi-VN" sz="1100" b="1">
              <a:solidFill>
                <a:sysClr val="windowText" lastClr="000000"/>
              </a:solidFill>
            </a:rPr>
            <a:t>Phần mềm Easy Quản Trị</a:t>
          </a:r>
          <a:r>
            <a:rPr lang="vi-VN" sz="1100" b="1">
              <a:solidFill>
                <a:sysClr val="windowText" lastClr="000000"/>
              </a:solidFill>
              <a:effectLst/>
              <a:latin typeface="+mn-lt"/>
              <a:ea typeface="+mn-ea"/>
              <a:cs typeface="+mn-cs"/>
            </a:rPr>
            <a:t>©</a:t>
          </a:r>
          <a:r>
            <a:rPr lang="en-US" sz="1100" b="1">
              <a:solidFill>
                <a:sysClr val="windowText" lastClr="000000"/>
              </a:solidFill>
            </a:rPr>
            <a:t> </a:t>
          </a:r>
          <a:r>
            <a:rPr lang="en-US" sz="1100">
              <a:solidFill>
                <a:sysClr val="windowText" lastClr="000000"/>
              </a:solidFill>
            </a:rPr>
            <a:t>(Phần</a:t>
          </a:r>
          <a:r>
            <a:rPr lang="en-US" sz="1100" baseline="0">
              <a:solidFill>
                <a:sysClr val="windowText" lastClr="000000"/>
              </a:solidFill>
            </a:rPr>
            <a:t> mềm)</a:t>
          </a:r>
          <a:r>
            <a:rPr lang="vi-VN" sz="1100">
              <a:solidFill>
                <a:sysClr val="windowText" lastClr="000000"/>
              </a:solidFill>
            </a:rPr>
            <a:t>, bao gồm nhưng không giới hạn ở nội dung, cấu trúc, thiết kế, mô hình dữ liệu, công thức, chức năng, giao diện, tài liệu hướng dẫn và tất cả các tài liệu liên quan, </a:t>
          </a:r>
          <a:r>
            <a:rPr lang="vi-VN" sz="1100" b="1">
              <a:solidFill>
                <a:sysClr val="windowText" lastClr="000000"/>
              </a:solidFill>
            </a:rPr>
            <a:t>là tài sản trí tuệ thuộc sở hữu của </a:t>
          </a:r>
          <a:r>
            <a:rPr lang="en-US" sz="1100" b="1">
              <a:solidFill>
                <a:sysClr val="windowText" lastClr="000000"/>
              </a:solidFill>
            </a:rPr>
            <a:t>Ông</a:t>
          </a:r>
          <a:r>
            <a:rPr lang="en-US" sz="1100" b="1" baseline="0">
              <a:solidFill>
                <a:sysClr val="windowText" lastClr="000000"/>
              </a:solidFill>
            </a:rPr>
            <a:t> Lê Đức Anh</a:t>
          </a:r>
          <a:r>
            <a:rPr lang="vi-VN" sz="1100" b="1">
              <a:solidFill>
                <a:sysClr val="windowText" lastClr="000000"/>
              </a:solidFill>
            </a:rPr>
            <a:t> </a:t>
          </a:r>
          <a:r>
            <a:rPr lang="vi-VN" sz="1100">
              <a:solidFill>
                <a:sysClr val="windowText" lastClr="000000"/>
              </a:solidFill>
            </a:rPr>
            <a:t>(Chủ </a:t>
          </a:r>
          <a:r>
            <a:rPr lang="en-US" sz="1100">
              <a:solidFill>
                <a:sysClr val="windowText" lastClr="000000"/>
              </a:solidFill>
            </a:rPr>
            <a:t>s</a:t>
          </a:r>
          <a:r>
            <a:rPr lang="vi-VN" sz="1100">
              <a:solidFill>
                <a:sysClr val="windowText" lastClr="000000"/>
              </a:solidFill>
            </a:rPr>
            <a:t>ở </a:t>
          </a:r>
          <a:r>
            <a:rPr lang="en-US" sz="1100">
              <a:solidFill>
                <a:sysClr val="windowText" lastClr="000000"/>
              </a:solidFill>
            </a:rPr>
            <a:t>h</a:t>
          </a:r>
          <a:r>
            <a:rPr lang="vi-VN" sz="1100">
              <a:solidFill>
                <a:sysClr val="windowText" lastClr="000000"/>
              </a:solidFill>
            </a:rPr>
            <a:t>ữu)</a:t>
          </a:r>
          <a:r>
            <a:rPr lang="en-US" sz="1100" baseline="0">
              <a:solidFill>
                <a:sysClr val="windowText" lastClr="000000"/>
              </a:solidFill>
            </a:rPr>
            <a:t> - người sáng lập và giám đốc Công ty TNHH Tư vấn Quản trị FIRM (FIRMMC Co.,), </a:t>
          </a:r>
          <a:r>
            <a:rPr lang="en-US" sz="1100" b="1" baseline="0">
              <a:solidFill>
                <a:sysClr val="windowText" lastClr="000000"/>
              </a:solidFill>
            </a:rPr>
            <a:t>đã cấp quyền cho FIRMMC Co., khai thác thương mại</a:t>
          </a:r>
          <a:r>
            <a:rPr lang="en-US" sz="1100" baseline="0">
              <a:solidFill>
                <a:sysClr val="windowText" lastClr="000000"/>
              </a:solidFill>
            </a:rPr>
            <a:t> Phần mềm bằng Hợp đồng Thương mại số HĐTM/FIRMMC/2025-01</a:t>
          </a:r>
          <a:endParaRPr lang="vi-VN" sz="1100">
            <a:solidFill>
              <a:sysClr val="windowText" lastClr="000000"/>
            </a:solidFill>
          </a:endParaRPr>
        </a:p>
        <a:p>
          <a:pPr>
            <a:lnSpc>
              <a:spcPct val="100000"/>
            </a:lnSpc>
            <a:spcBef>
              <a:spcPts val="600"/>
            </a:spcBef>
          </a:pPr>
          <a:r>
            <a:rPr lang="vi-VN" sz="1100">
              <a:solidFill>
                <a:sysClr val="windowText" lastClr="000000"/>
              </a:solidFill>
            </a:rPr>
            <a:t>Mọi quyền được bảo lưu. </a:t>
          </a:r>
          <a:r>
            <a:rPr lang="vi-VN" sz="1100" b="1">
              <a:solidFill>
                <a:sysClr val="windowText" lastClr="000000"/>
              </a:solidFill>
            </a:rPr>
            <a:t>Nghiêm cấm sao chép, tái sản xuất, chỉnh sửa, phân phối hoặc sử dụng cho mục đích thương mại bất kỳ phần nào của sản phẩm này</a:t>
          </a:r>
          <a:r>
            <a:rPr lang="vi-VN" sz="1100">
              <a:solidFill>
                <a:sysClr val="windowText" lastClr="000000"/>
              </a:solidFill>
            </a:rPr>
            <a:t> khi chưa có sự đồng ý bằng văn bản của Chủ Sở Hữu.</a:t>
          </a:r>
        </a:p>
        <a:p>
          <a:pPr>
            <a:lnSpc>
              <a:spcPct val="100000"/>
            </a:lnSpc>
            <a:spcBef>
              <a:spcPts val="600"/>
            </a:spcBef>
          </a:pPr>
          <a:r>
            <a:rPr lang="vi-VN" sz="1100" b="1">
              <a:solidFill>
                <a:sysClr val="windowText" lastClr="000000"/>
              </a:solidFill>
            </a:rPr>
            <a:t>"Easy Quản Trị" và các biểu tượng, logo, khẩu hiệu, thiết kế liên quan đều là thương hiệu độc quyền của Chủ Sở Hữu</a:t>
          </a:r>
          <a:r>
            <a:rPr lang="vi-VN" sz="1100">
              <a:solidFill>
                <a:sysClr val="windowText" lastClr="000000"/>
              </a:solidFill>
            </a:rPr>
            <a:t>. Bất kỳ hành vi sử dụng trái phép, sao chép hoặc khai thác thương hiệu đều bị nghiêm cấm và có thể dẫn đến các hành động pháp lý.</a:t>
          </a:r>
        </a:p>
        <a:p>
          <a:pPr>
            <a:lnSpc>
              <a:spcPct val="100000"/>
            </a:lnSpc>
            <a:spcBef>
              <a:spcPts val="600"/>
            </a:spcBef>
          </a:pPr>
          <a:r>
            <a:rPr lang="vi-VN" sz="1100">
              <a:solidFill>
                <a:sysClr val="windowText" lastClr="000000"/>
              </a:solidFill>
            </a:rPr>
            <a:t>Sản phẩm này được </a:t>
          </a:r>
          <a:r>
            <a:rPr lang="vi-VN" sz="1100" b="1">
              <a:solidFill>
                <a:sysClr val="windowText" lastClr="000000"/>
              </a:solidFill>
            </a:rPr>
            <a:t>bảo vệ bởi Luật Sở hữu trí tuệ Việt Nam và các hiệp ước quốc tế về bản quyền liên quan</a:t>
          </a:r>
          <a:r>
            <a:rPr lang="vi-VN" sz="1100">
              <a:solidFill>
                <a:sysClr val="windowText" lastClr="000000"/>
              </a:solidFill>
            </a:rPr>
            <a:t>.</a:t>
          </a:r>
        </a:p>
        <a:p>
          <a:pPr>
            <a:lnSpc>
              <a:spcPct val="100000"/>
            </a:lnSpc>
            <a:spcBef>
              <a:spcPts val="600"/>
            </a:spcBef>
          </a:pPr>
          <a:r>
            <a:rPr lang="vi-VN" sz="1100">
              <a:solidFill>
                <a:sysClr val="windowText" lastClr="000000"/>
              </a:solidFill>
            </a:rPr>
            <a:t>© </a:t>
          </a:r>
          <a:r>
            <a:rPr lang="en-US" sz="1100">
              <a:solidFill>
                <a:sysClr val="windowText" lastClr="000000"/>
              </a:solidFill>
            </a:rPr>
            <a:t>2025 Lê</a:t>
          </a:r>
          <a:r>
            <a:rPr lang="en-US" sz="1100" baseline="0">
              <a:solidFill>
                <a:sysClr val="windowText" lastClr="000000"/>
              </a:solidFill>
            </a:rPr>
            <a:t> Đức Anh</a:t>
          </a:r>
          <a:r>
            <a:rPr lang="vi-VN" sz="1100">
              <a:solidFill>
                <a:sysClr val="windowText" lastClr="000000"/>
              </a:solidFill>
            </a:rPr>
            <a:t>. Bảo lưu mọi quyền.</a:t>
          </a:r>
          <a:endParaRPr lang="en-US" sz="1100">
            <a:solidFill>
              <a:sysClr val="windowText" lastClr="000000"/>
            </a:solidFill>
          </a:endParaRPr>
        </a:p>
        <a:p>
          <a:pPr>
            <a:lnSpc>
              <a:spcPct val="150000"/>
            </a:lnSpc>
            <a:spcBef>
              <a:spcPts val="600"/>
            </a:spcBef>
          </a:pPr>
          <a:endParaRPr lang="en-US" sz="1100">
            <a:solidFill>
              <a:sysClr val="windowText" lastClr="000000"/>
            </a:solidFill>
          </a:endParaRPr>
        </a:p>
        <a:p>
          <a:r>
            <a:rPr lang="vi-VN" sz="1800" b="1">
              <a:solidFill>
                <a:sysClr val="windowText" lastClr="000000"/>
              </a:solidFill>
            </a:rPr>
            <a:t>COPYRIGHT AND TRADEMARK OWNERSHIP STATEMENT</a:t>
          </a:r>
          <a:endParaRPr lang="vi-VN" sz="1800">
            <a:solidFill>
              <a:sysClr val="windowText" lastClr="000000"/>
            </a:solidFill>
          </a:endParaRPr>
        </a:p>
        <a:p>
          <a:pPr>
            <a:spcBef>
              <a:spcPts val="600"/>
            </a:spcBef>
          </a:pPr>
          <a:r>
            <a:rPr lang="vi-VN" sz="1100" b="1" baseline="0">
              <a:solidFill>
                <a:sysClr val="windowText" lastClr="000000"/>
              </a:solidFill>
              <a:latin typeface="+mn-lt"/>
              <a:ea typeface="+mn-ea"/>
              <a:cs typeface="+mn-cs"/>
            </a:rPr>
            <a:t>The Easy Quản Trị software©</a:t>
          </a:r>
          <a:r>
            <a:rPr lang="vi-VN" sz="1100" baseline="0">
              <a:solidFill>
                <a:sysClr val="windowText" lastClr="000000"/>
              </a:solidFill>
              <a:latin typeface="+mn-lt"/>
              <a:ea typeface="+mn-ea"/>
              <a:cs typeface="+mn-cs"/>
            </a:rPr>
            <a:t> (</a:t>
          </a:r>
          <a:r>
            <a:rPr lang="en-US" sz="1100" baseline="0">
              <a:solidFill>
                <a:sysClr val="windowText" lastClr="000000"/>
              </a:solidFill>
              <a:latin typeface="+mn-lt"/>
              <a:ea typeface="+mn-ea"/>
              <a:cs typeface="+mn-cs"/>
            </a:rPr>
            <a:t>Software</a:t>
          </a:r>
          <a:r>
            <a:rPr lang="vi-VN" sz="1100" baseline="0">
              <a:solidFill>
                <a:sysClr val="windowText" lastClr="000000"/>
              </a:solidFill>
              <a:latin typeface="+mn-lt"/>
              <a:ea typeface="+mn-ea"/>
              <a:cs typeface="+mn-cs"/>
            </a:rPr>
            <a:t>), including but not limited to its content, structure, design, data models, formulas, functions, interfaces, documentation, and all related materials, </a:t>
          </a:r>
          <a:r>
            <a:rPr lang="vi-VN" sz="1100" b="1" baseline="0">
              <a:solidFill>
                <a:sysClr val="windowText" lastClr="000000"/>
              </a:solidFill>
              <a:latin typeface="+mn-lt"/>
              <a:ea typeface="+mn-ea"/>
              <a:cs typeface="+mn-cs"/>
            </a:rPr>
            <a:t>is the intellectual property o</a:t>
          </a:r>
          <a:r>
            <a:rPr lang="en-US" sz="1100" b="1" baseline="0">
              <a:solidFill>
                <a:sysClr val="windowText" lastClr="000000"/>
              </a:solidFill>
              <a:latin typeface="+mn-lt"/>
              <a:ea typeface="+mn-ea"/>
              <a:cs typeface="+mn-cs"/>
            </a:rPr>
            <a:t>wned by Mr. Le Duc Anh</a:t>
          </a:r>
          <a:r>
            <a:rPr lang="vi-VN" sz="1100" baseline="0">
              <a:solidFill>
                <a:sysClr val="windowText" lastClr="000000"/>
              </a:solidFill>
              <a:latin typeface="+mn-lt"/>
              <a:ea typeface="+mn-ea"/>
              <a:cs typeface="+mn-cs"/>
            </a:rPr>
            <a:t> (Owner)</a:t>
          </a:r>
          <a:r>
            <a:rPr lang="en-US" sz="1100" baseline="0">
              <a:solidFill>
                <a:sysClr val="windowText" lastClr="000000"/>
              </a:solidFill>
              <a:latin typeface="+mn-lt"/>
              <a:ea typeface="+mn-ea"/>
              <a:cs typeface="+mn-cs"/>
            </a:rPr>
            <a:t> - the founder and director of FIRM Management Consulting Co., Ltd (FIRMMC Co.,), who has </a:t>
          </a:r>
          <a:r>
            <a:rPr lang="en-US" sz="1100" b="1" baseline="0">
              <a:solidFill>
                <a:sysClr val="windowText" lastClr="000000"/>
              </a:solidFill>
              <a:latin typeface="+mn-lt"/>
              <a:ea typeface="+mn-ea"/>
              <a:cs typeface="+mn-cs"/>
            </a:rPr>
            <a:t>authorized FIRMMC Co., to commercially exploit the Software </a:t>
          </a:r>
          <a:r>
            <a:rPr lang="en-US" sz="1100" baseline="0">
              <a:solidFill>
                <a:sysClr val="windowText" lastClr="000000"/>
              </a:solidFill>
              <a:latin typeface="+mn-lt"/>
              <a:ea typeface="+mn-ea"/>
              <a:cs typeface="+mn-cs"/>
            </a:rPr>
            <a:t>under Commercial Contract No. HĐTM/FIRMMC/2025-01</a:t>
          </a:r>
          <a:endParaRPr lang="vi-VN" sz="1100" baseline="0">
            <a:solidFill>
              <a:sysClr val="windowText" lastClr="000000"/>
            </a:solidFill>
            <a:latin typeface="+mn-lt"/>
            <a:ea typeface="+mn-ea"/>
            <a:cs typeface="+mn-cs"/>
          </a:endParaRPr>
        </a:p>
        <a:p>
          <a:pPr>
            <a:spcBef>
              <a:spcPts val="600"/>
            </a:spcBef>
          </a:pPr>
          <a:r>
            <a:rPr lang="vi-VN" sz="1100" baseline="0">
              <a:solidFill>
                <a:sysClr val="windowText" lastClr="000000"/>
              </a:solidFill>
              <a:latin typeface="+mn-lt"/>
              <a:ea typeface="+mn-ea"/>
              <a:cs typeface="+mn-cs"/>
            </a:rPr>
            <a:t>All rights are reserved. </a:t>
          </a:r>
          <a:r>
            <a:rPr lang="vi-VN" sz="1100" b="1" baseline="0">
              <a:solidFill>
                <a:sysClr val="windowText" lastClr="000000"/>
              </a:solidFill>
              <a:latin typeface="+mn-lt"/>
              <a:ea typeface="+mn-ea"/>
              <a:cs typeface="+mn-cs"/>
            </a:rPr>
            <a:t>Unauthorized copying, reproduction, modification, distribution, or commercial use of any part of this product </a:t>
          </a:r>
          <a:r>
            <a:rPr lang="vi-VN" sz="1100" baseline="0">
              <a:solidFill>
                <a:sysClr val="windowText" lastClr="000000"/>
              </a:solidFill>
              <a:latin typeface="+mn-lt"/>
              <a:ea typeface="+mn-ea"/>
              <a:cs typeface="+mn-cs"/>
            </a:rPr>
            <a:t>without prior written consent from the Owner </a:t>
          </a:r>
          <a:r>
            <a:rPr lang="vi-VN" sz="1100" b="1" baseline="0">
              <a:solidFill>
                <a:sysClr val="windowText" lastClr="000000"/>
              </a:solidFill>
              <a:latin typeface="+mn-lt"/>
              <a:ea typeface="+mn-ea"/>
              <a:cs typeface="+mn-cs"/>
            </a:rPr>
            <a:t>is strictly prohibited and constitutes a violation of copyright law</a:t>
          </a:r>
          <a:r>
            <a:rPr lang="vi-VN" sz="1100" baseline="0">
              <a:solidFill>
                <a:sysClr val="windowText" lastClr="000000"/>
              </a:solidFill>
              <a:latin typeface="+mn-lt"/>
              <a:ea typeface="+mn-ea"/>
              <a:cs typeface="+mn-cs"/>
            </a:rPr>
            <a:t>.</a:t>
          </a:r>
        </a:p>
        <a:p>
          <a:pPr>
            <a:spcBef>
              <a:spcPts val="600"/>
            </a:spcBef>
          </a:pPr>
          <a:r>
            <a:rPr lang="vi-VN" sz="1100" baseline="0">
              <a:solidFill>
                <a:sysClr val="windowText" lastClr="000000"/>
              </a:solidFill>
              <a:latin typeface="+mn-lt"/>
              <a:ea typeface="+mn-ea"/>
              <a:cs typeface="+mn-cs"/>
            </a:rPr>
            <a:t>"</a:t>
          </a:r>
          <a:r>
            <a:rPr lang="vi-VN" sz="1100" b="1" baseline="0">
              <a:solidFill>
                <a:sysClr val="windowText" lastClr="000000"/>
              </a:solidFill>
              <a:latin typeface="+mn-lt"/>
              <a:ea typeface="+mn-ea"/>
              <a:cs typeface="+mn-cs"/>
            </a:rPr>
            <a:t>Easy Quản Trị" and any associated logos, icons, slogans, or designs are proprietary trademarks owned by the Owner</a:t>
          </a:r>
          <a:r>
            <a:rPr lang="vi-VN" sz="1100" baseline="0">
              <a:solidFill>
                <a:sysClr val="windowText" lastClr="000000"/>
              </a:solidFill>
              <a:latin typeface="+mn-lt"/>
              <a:ea typeface="+mn-ea"/>
              <a:cs typeface="+mn-cs"/>
            </a:rPr>
            <a:t>. Any unauthorized use, imitation, or exploitation of these trademarks is strictly prohibited and may result in legal action.</a:t>
          </a:r>
        </a:p>
        <a:p>
          <a:pPr>
            <a:spcBef>
              <a:spcPts val="600"/>
            </a:spcBef>
          </a:pPr>
          <a:r>
            <a:rPr lang="vi-VN" sz="1100" baseline="0">
              <a:solidFill>
                <a:sysClr val="windowText" lastClr="000000"/>
              </a:solidFill>
              <a:latin typeface="+mn-lt"/>
              <a:ea typeface="+mn-ea"/>
              <a:cs typeface="+mn-cs"/>
            </a:rPr>
            <a:t>This product is </a:t>
          </a:r>
          <a:r>
            <a:rPr lang="vi-VN" sz="1100" b="1" baseline="0">
              <a:solidFill>
                <a:sysClr val="windowText" lastClr="000000"/>
              </a:solidFill>
              <a:latin typeface="+mn-lt"/>
              <a:ea typeface="+mn-ea"/>
              <a:cs typeface="+mn-cs"/>
            </a:rPr>
            <a:t>protected by Vietnamese Intellectual Property Law and applicable international copyright treaties</a:t>
          </a:r>
          <a:r>
            <a:rPr lang="vi-VN" sz="1100" baseline="0">
              <a:solidFill>
                <a:sysClr val="windowText" lastClr="000000"/>
              </a:solidFill>
              <a:latin typeface="+mn-lt"/>
              <a:ea typeface="+mn-ea"/>
              <a:cs typeface="+mn-cs"/>
            </a:rPr>
            <a:t>.</a:t>
          </a:r>
        </a:p>
        <a:p>
          <a:pPr>
            <a:spcBef>
              <a:spcPts val="600"/>
            </a:spcBef>
          </a:pPr>
          <a:r>
            <a:rPr lang="vi-VN" sz="1100" baseline="0">
              <a:solidFill>
                <a:sysClr val="windowText" lastClr="000000"/>
              </a:solidFill>
              <a:latin typeface="+mn-lt"/>
              <a:ea typeface="+mn-ea"/>
              <a:cs typeface="+mn-cs"/>
            </a:rPr>
            <a:t>© </a:t>
          </a:r>
          <a:r>
            <a:rPr lang="en-US" sz="1100" baseline="0">
              <a:solidFill>
                <a:sysClr val="windowText" lastClr="000000"/>
              </a:solidFill>
              <a:latin typeface="+mn-lt"/>
              <a:ea typeface="+mn-ea"/>
              <a:cs typeface="+mn-cs"/>
            </a:rPr>
            <a:t>2025 Le Duc Anh. </a:t>
          </a:r>
          <a:r>
            <a:rPr lang="vi-VN" sz="1100" baseline="0">
              <a:solidFill>
                <a:sysClr val="windowText" lastClr="000000"/>
              </a:solidFill>
              <a:latin typeface="+mn-lt"/>
              <a:ea typeface="+mn-ea"/>
              <a:cs typeface="+mn-cs"/>
            </a:rPr>
            <a:t>All rights reserved.</a:t>
          </a:r>
        </a:p>
        <a:p>
          <a:pPr>
            <a:lnSpc>
              <a:spcPct val="150000"/>
            </a:lnSpc>
            <a:spcBef>
              <a:spcPts val="600"/>
            </a:spcBef>
          </a:pPr>
          <a:endParaRPr lang="vi-VN" sz="1100">
            <a:solidFill>
              <a:sysClr val="windowText" lastClr="000000"/>
            </a:solidFill>
          </a:endParaRPr>
        </a:p>
      </xdr:txBody>
    </xdr:sp>
    <xdr:clientData/>
  </xdr:twoCellAnchor>
  <mc:AlternateContent xmlns:mc="http://schemas.openxmlformats.org/markup-compatibility/2006">
    <mc:Choice xmlns:a14="http://schemas.microsoft.com/office/drawing/2010/main" Requires="a14">
      <xdr:twoCellAnchor editAs="oneCell">
        <xdr:from>
          <xdr:col>9</xdr:col>
          <xdr:colOff>571500</xdr:colOff>
          <xdr:row>0</xdr:row>
          <xdr:rowOff>123825</xdr:rowOff>
        </xdr:from>
        <xdr:to>
          <xdr:col>12</xdr:col>
          <xdr:colOff>47625</xdr:colOff>
          <xdr:row>1</xdr:row>
          <xdr:rowOff>161925</xdr:rowOff>
        </xdr:to>
        <xdr:sp macro="" textlink="">
          <xdr:nvSpPr>
            <xdr:cNvPr id="1025" name="ThemeSelector"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95251</xdr:colOff>
          <xdr:row>0</xdr:row>
          <xdr:rowOff>47625</xdr:rowOff>
        </xdr:from>
        <xdr:to>
          <xdr:col>10</xdr:col>
          <xdr:colOff>1066800</xdr:colOff>
          <xdr:row>1</xdr:row>
          <xdr:rowOff>180975</xdr:rowOff>
        </xdr:to>
        <xdr:grpSp>
          <xdr:nvGrpSpPr>
            <xdr:cNvPr id="13" name="Group 12">
              <a:extLst>
                <a:ext uri="{FF2B5EF4-FFF2-40B4-BE49-F238E27FC236}">
                  <a16:creationId xmlns:a16="http://schemas.microsoft.com/office/drawing/2014/main" id="{00000000-0008-0000-1B00-00000D000000}"/>
                </a:ext>
              </a:extLst>
            </xdr:cNvPr>
            <xdr:cNvGrpSpPr/>
          </xdr:nvGrpSpPr>
          <xdr:grpSpPr>
            <a:xfrm>
              <a:off x="285751" y="47625"/>
              <a:ext cx="3695699" cy="361950"/>
              <a:chOff x="6162676" y="3409950"/>
              <a:chExt cx="3695699" cy="361950"/>
            </a:xfrm>
          </xdr:grpSpPr>
          <xdr:grpSp>
            <xdr:nvGrpSpPr>
              <xdr:cNvPr id="14" name="Group 13">
                <a:extLst>
                  <a:ext uri="{FF2B5EF4-FFF2-40B4-BE49-F238E27FC236}">
                    <a16:creationId xmlns:a16="http://schemas.microsoft.com/office/drawing/2014/main" id="{00000000-0008-0000-1B00-00000E000000}"/>
                  </a:ext>
                </a:extLst>
              </xdr:cNvPr>
              <xdr:cNvGrpSpPr/>
            </xdr:nvGrpSpPr>
            <xdr:grpSpPr>
              <a:xfrm>
                <a:off x="7867650" y="3409950"/>
                <a:ext cx="1990725" cy="361950"/>
                <a:chOff x="8191500" y="3409950"/>
                <a:chExt cx="1990725" cy="361950"/>
              </a:xfrm>
            </xdr:grpSpPr>
            <xdr:grpSp>
              <xdr:nvGrpSpPr>
                <xdr:cNvPr id="21" name="Group 20">
                  <a:extLst>
                    <a:ext uri="{FF2B5EF4-FFF2-40B4-BE49-F238E27FC236}">
                      <a16:creationId xmlns:a16="http://schemas.microsoft.com/office/drawing/2014/main" id="{00000000-0008-0000-1B00-000015000000}"/>
                    </a:ext>
                  </a:extLst>
                </xdr:cNvPr>
                <xdr:cNvGrpSpPr/>
              </xdr:nvGrpSpPr>
              <xdr:grpSpPr>
                <a:xfrm>
                  <a:off x="8302013" y="3452813"/>
                  <a:ext cx="1769699" cy="276225"/>
                  <a:chOff x="8305801" y="3457575"/>
                  <a:chExt cx="1769699" cy="276225"/>
                </a:xfrm>
              </xdr:grpSpPr>
              <xdr:sp macro="" textlink="">
                <xdr:nvSpPr>
                  <xdr:cNvPr id="104456" name="Option Button 8" hidden="1">
                    <a:extLst>
                      <a:ext uri="{63B3BB69-23CF-44E3-9099-C40C66FF867C}">
                        <a14:compatExt spid="_x0000_s104456"/>
                      </a:ext>
                      <a:ext uri="{FF2B5EF4-FFF2-40B4-BE49-F238E27FC236}">
                        <a16:creationId xmlns:a16="http://schemas.microsoft.com/office/drawing/2014/main" id="{00000000-0008-0000-0200-000008980100}"/>
                      </a:ext>
                    </a:extLst>
                  </xdr:cNvPr>
                  <xdr:cNvSpPr/>
                </xdr:nvSpPr>
                <xdr:spPr bwMode="auto">
                  <a:xfrm>
                    <a:off x="83058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104457" name="Option Button 9" hidden="1">
                    <a:extLst>
                      <a:ext uri="{63B3BB69-23CF-44E3-9099-C40C66FF867C}">
                        <a14:compatExt spid="_x0000_s104457"/>
                      </a:ext>
                      <a:ext uri="{FF2B5EF4-FFF2-40B4-BE49-F238E27FC236}">
                        <a16:creationId xmlns:a16="http://schemas.microsoft.com/office/drawing/2014/main" id="{00000000-0008-0000-0200-0000099801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104458" name="Option Button 10" hidden="1">
                    <a:extLst>
                      <a:ext uri="{63B3BB69-23CF-44E3-9099-C40C66FF867C}">
                        <a14:compatExt spid="_x0000_s104458"/>
                      </a:ext>
                      <a:ext uri="{FF2B5EF4-FFF2-40B4-BE49-F238E27FC236}">
                        <a16:creationId xmlns:a16="http://schemas.microsoft.com/office/drawing/2014/main" id="{00000000-0008-0000-0200-00000A9801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104459" name="Option Button 11" hidden="1">
                    <a:extLst>
                      <a:ext uri="{63B3BB69-23CF-44E3-9099-C40C66FF867C}">
                        <a14:compatExt spid="_x0000_s104459"/>
                      </a:ext>
                      <a:ext uri="{FF2B5EF4-FFF2-40B4-BE49-F238E27FC236}">
                        <a16:creationId xmlns:a16="http://schemas.microsoft.com/office/drawing/2014/main" id="{00000000-0008-0000-0200-00000B9801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104460" name="Group Box 12" hidden="1">
                  <a:extLst>
                    <a:ext uri="{63B3BB69-23CF-44E3-9099-C40C66FF867C}">
                      <a14:compatExt spid="_x0000_s104460"/>
                    </a:ext>
                    <a:ext uri="{FF2B5EF4-FFF2-40B4-BE49-F238E27FC236}">
                      <a16:creationId xmlns:a16="http://schemas.microsoft.com/office/drawing/2014/main" id="{00000000-0008-0000-0200-00000C980100}"/>
                    </a:ext>
                  </a:extLst>
                </xdr:cNvPr>
                <xdr:cNvSpPr/>
              </xdr:nvSpPr>
              <xdr:spPr bwMode="auto">
                <a:xfrm>
                  <a:off x="8191500" y="3409950"/>
                  <a:ext cx="1990725"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grpSp>
            <xdr:nvGrpSpPr>
              <xdr:cNvPr id="15" name="Group 14">
                <a:extLst>
                  <a:ext uri="{FF2B5EF4-FFF2-40B4-BE49-F238E27FC236}">
                    <a16:creationId xmlns:a16="http://schemas.microsoft.com/office/drawing/2014/main" id="{00000000-0008-0000-1B00-00000F000000}"/>
                  </a:ext>
                </a:extLst>
              </xdr:cNvPr>
              <xdr:cNvGrpSpPr/>
            </xdr:nvGrpSpPr>
            <xdr:grpSpPr>
              <a:xfrm>
                <a:off x="6162676" y="3409950"/>
                <a:ext cx="1657350" cy="361950"/>
                <a:chOff x="6162676" y="3409950"/>
                <a:chExt cx="1657350" cy="361950"/>
              </a:xfrm>
            </xdr:grpSpPr>
            <xdr:sp macro="" textlink="">
              <xdr:nvSpPr>
                <xdr:cNvPr id="104461" name="Group Box 13" hidden="1">
                  <a:extLst>
                    <a:ext uri="{63B3BB69-23CF-44E3-9099-C40C66FF867C}">
                      <a14:compatExt spid="_x0000_s104461"/>
                    </a:ext>
                    <a:ext uri="{FF2B5EF4-FFF2-40B4-BE49-F238E27FC236}">
                      <a16:creationId xmlns:a16="http://schemas.microsoft.com/office/drawing/2014/main" id="{00000000-0008-0000-0200-00000D980100}"/>
                    </a:ext>
                  </a:extLst>
                </xdr:cNvPr>
                <xdr:cNvSpPr/>
              </xdr:nvSpPr>
              <xdr:spPr bwMode="auto">
                <a:xfrm>
                  <a:off x="6162676"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17" name="Group 16">
                  <a:extLst>
                    <a:ext uri="{FF2B5EF4-FFF2-40B4-BE49-F238E27FC236}">
                      <a16:creationId xmlns:a16="http://schemas.microsoft.com/office/drawing/2014/main" id="{00000000-0008-0000-1B00-000011000000}"/>
                    </a:ext>
                  </a:extLst>
                </xdr:cNvPr>
                <xdr:cNvGrpSpPr/>
              </xdr:nvGrpSpPr>
              <xdr:grpSpPr>
                <a:xfrm>
                  <a:off x="6243639" y="3500925"/>
                  <a:ext cx="1495425" cy="180000"/>
                  <a:chOff x="6029325" y="4257675"/>
                  <a:chExt cx="1495425" cy="257175"/>
                </a:xfrm>
              </xdr:grpSpPr>
              <xdr:sp macro="" textlink="">
                <xdr:nvSpPr>
                  <xdr:cNvPr id="104462" name="Button 14" hidden="1">
                    <a:extLst>
                      <a:ext uri="{63B3BB69-23CF-44E3-9099-C40C66FF867C}">
                        <a14:compatExt spid="_x0000_s104462"/>
                      </a:ext>
                      <a:ext uri="{FF2B5EF4-FFF2-40B4-BE49-F238E27FC236}">
                        <a16:creationId xmlns:a16="http://schemas.microsoft.com/office/drawing/2014/main" id="{00000000-0008-0000-0200-00000E9801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104463" name="Button 15" hidden="1">
                    <a:extLst>
                      <a:ext uri="{63B3BB69-23CF-44E3-9099-C40C66FF867C}">
                        <a14:compatExt spid="_x0000_s104463"/>
                      </a:ext>
                      <a:ext uri="{FF2B5EF4-FFF2-40B4-BE49-F238E27FC236}">
                        <a16:creationId xmlns:a16="http://schemas.microsoft.com/office/drawing/2014/main" id="{00000000-0008-0000-0200-00000F9801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104464" name="Button 16" hidden="1">
                    <a:extLst>
                      <a:ext uri="{63B3BB69-23CF-44E3-9099-C40C66FF867C}">
                        <a14:compatExt spid="_x0000_s104464"/>
                      </a:ext>
                      <a:ext uri="{FF2B5EF4-FFF2-40B4-BE49-F238E27FC236}">
                        <a16:creationId xmlns:a16="http://schemas.microsoft.com/office/drawing/2014/main" id="{00000000-0008-0000-0200-0000109801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grpSp>
        <xdr:clientData/>
      </xdr:twoCellAnchor>
    </mc:Choice>
    <mc:Fallback/>
  </mc:AlternateContent>
  <mc:AlternateContent xmlns:mc="http://schemas.openxmlformats.org/markup-compatibility/2006">
    <mc:Choice xmlns:a14="http://schemas.microsoft.com/office/drawing/2010/main" Requires="a14">
      <xdr:twoCellAnchor>
        <xdr:from>
          <xdr:col>10</xdr:col>
          <xdr:colOff>1076325</xdr:colOff>
          <xdr:row>0</xdr:row>
          <xdr:rowOff>57150</xdr:rowOff>
        </xdr:from>
        <xdr:to>
          <xdr:col>11</xdr:col>
          <xdr:colOff>962025</xdr:colOff>
          <xdr:row>1</xdr:row>
          <xdr:rowOff>85725</xdr:rowOff>
        </xdr:to>
        <xdr:grpSp>
          <xdr:nvGrpSpPr>
            <xdr:cNvPr id="32" name="Group 31">
              <a:extLst>
                <a:ext uri="{FF2B5EF4-FFF2-40B4-BE49-F238E27FC236}">
                  <a16:creationId xmlns:a16="http://schemas.microsoft.com/office/drawing/2014/main" id="{00000000-0008-0000-1B00-000020000000}"/>
                </a:ext>
              </a:extLst>
            </xdr:cNvPr>
            <xdr:cNvGrpSpPr/>
          </xdr:nvGrpSpPr>
          <xdr:grpSpPr>
            <a:xfrm>
              <a:off x="3990975" y="57150"/>
              <a:ext cx="981075" cy="257175"/>
              <a:chOff x="771525" y="1314450"/>
              <a:chExt cx="981075" cy="257175"/>
            </a:xfrm>
          </xdr:grpSpPr>
          <xdr:sp macro="" textlink="">
            <xdr:nvSpPr>
              <xdr:cNvPr id="104469" name="Button 21" hidden="1">
                <a:extLst>
                  <a:ext uri="{63B3BB69-23CF-44E3-9099-C40C66FF867C}">
                    <a14:compatExt spid="_x0000_s104469"/>
                  </a:ext>
                  <a:ext uri="{FF2B5EF4-FFF2-40B4-BE49-F238E27FC236}">
                    <a16:creationId xmlns:a16="http://schemas.microsoft.com/office/drawing/2014/main" id="{00000000-0008-0000-0200-0000159801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104470" name="Button 22" hidden="1">
                <a:extLst>
                  <a:ext uri="{63B3BB69-23CF-44E3-9099-C40C66FF867C}">
                    <a14:compatExt spid="_x0000_s104470"/>
                  </a:ext>
                  <a:ext uri="{FF2B5EF4-FFF2-40B4-BE49-F238E27FC236}">
                    <a16:creationId xmlns:a16="http://schemas.microsoft.com/office/drawing/2014/main" id="{00000000-0008-0000-0200-000016980100}"/>
                  </a:ext>
                </a:extLst>
              </xdr:cNvPr>
              <xdr:cNvSpPr/>
            </xdr:nvSpPr>
            <xdr:spPr bwMode="auto">
              <a:xfrm>
                <a:off x="1276350"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xdr:twoCellAnchor>
    <xdr:from>
      <xdr:col>10</xdr:col>
      <xdr:colOff>895350</xdr:colOff>
      <xdr:row>2</xdr:row>
      <xdr:rowOff>190499</xdr:rowOff>
    </xdr:from>
    <xdr:to>
      <xdr:col>19</xdr:col>
      <xdr:colOff>657225</xdr:colOff>
      <xdr:row>20</xdr:row>
      <xdr:rowOff>54749</xdr:rowOff>
    </xdr:to>
    <xdr:graphicFrame macro="">
      <xdr:nvGraphicFramePr>
        <xdr:cNvPr id="4" name="Chart 3">
          <a:extLst>
            <a:ext uri="{FF2B5EF4-FFF2-40B4-BE49-F238E27FC236}">
              <a16:creationId xmlns:a16="http://schemas.microsoft.com/office/drawing/2014/main" id="{1E3F23E0-4B68-3713-F64C-E2C7C3C5EC5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100013</xdr:colOff>
      <xdr:row>2</xdr:row>
      <xdr:rowOff>200025</xdr:rowOff>
    </xdr:from>
    <xdr:to>
      <xdr:col>10</xdr:col>
      <xdr:colOff>857250</xdr:colOff>
      <xdr:row>20</xdr:row>
      <xdr:rowOff>64275</xdr:rowOff>
    </xdr:to>
    <xdr:graphicFrame macro="">
      <xdr:nvGraphicFramePr>
        <xdr:cNvPr id="5" name="Chart 4">
          <a:extLst>
            <a:ext uri="{FF2B5EF4-FFF2-40B4-BE49-F238E27FC236}">
              <a16:creationId xmlns:a16="http://schemas.microsoft.com/office/drawing/2014/main" id="{50214D71-DE9A-4DA3-7919-5851C19DC32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19</xdr:col>
          <xdr:colOff>0</xdr:colOff>
          <xdr:row>0</xdr:row>
          <xdr:rowOff>152400</xdr:rowOff>
        </xdr:from>
        <xdr:to>
          <xdr:col>19</xdr:col>
          <xdr:colOff>619125</xdr:colOff>
          <xdr:row>1</xdr:row>
          <xdr:rowOff>180975</xdr:rowOff>
        </xdr:to>
        <xdr:sp macro="" textlink="">
          <xdr:nvSpPr>
            <xdr:cNvPr id="104471" name="Button 23" hidden="1">
              <a:extLst>
                <a:ext uri="{63B3BB69-23CF-44E3-9099-C40C66FF867C}">
                  <a14:compatExt spid="_x0000_s104471"/>
                </a:ext>
                <a:ext uri="{FF2B5EF4-FFF2-40B4-BE49-F238E27FC236}">
                  <a16:creationId xmlns:a16="http://schemas.microsoft.com/office/drawing/2014/main" id="{00000000-0008-0000-0200-00001798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Cập nhật</a:t>
              </a:r>
            </a:p>
          </xdr:txBody>
        </xdr:sp>
        <xdr:clientData fPrintsWithSheet="0"/>
      </xdr:twoCellAnchor>
    </mc:Choice>
    <mc:Fallback/>
  </mc:AlternateContent>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Anh" refreshedDate="45805.933243055559" backgroundQuery="1" createdVersion="8" refreshedVersion="8" minRefreshableVersion="3" recordCount="0" supportSubquery="1" supportAdvancedDrill="1" xr:uid="{A281EA8D-CEAC-4387-845F-41D173A31595}">
  <cacheSource type="external" connectionId="1"/>
  <cacheFields count="5">
    <cacheField name="[Measures].[TyLeTichDiem]" caption="TyLeTichDiem" numFmtId="0" hierarchy="19" level="32767"/>
    <cacheField name="[Table_DonBan].[Ngày lập].[Ngày lập]" caption="Ngày lập" numFmtId="0" level="1">
      <sharedItems containsSemiMixedTypes="0" containsNonDate="0" containsDate="1" containsString="0" minDate="2025-04-02T00:00:00" maxDate="2025-05-28T00:00:00" count="29">
        <d v="2025-04-02T00:00:00"/>
        <d v="2025-04-03T00:00:00"/>
        <d v="2025-04-05T00:00:00"/>
        <d v="2025-04-08T00:00:00"/>
        <d v="2025-04-10T00:00:00"/>
        <d v="2025-04-12T00:00:00"/>
        <d v="2025-04-15T00:00:00"/>
        <d v="2025-04-16T00:00:00"/>
        <d v="2025-04-17T00:00:00"/>
        <d v="2025-04-18T00:00:00"/>
        <d v="2025-04-19T00:00:00"/>
        <d v="2025-04-21T00:00:00"/>
        <d v="2025-04-22T00:00:00"/>
        <d v="2025-04-24T00:00:00"/>
        <d v="2025-04-28T00:00:00"/>
        <d v="2025-04-29T00:00:00"/>
        <d v="2025-05-01T00:00:00"/>
        <d v="2025-05-04T00:00:00"/>
        <d v="2025-05-06T00:00:00"/>
        <d v="2025-05-09T00:00:00"/>
        <d v="2025-05-10T00:00:00"/>
        <d v="2025-05-11T00:00:00"/>
        <d v="2025-05-12T00:00:00"/>
        <d v="2025-05-17T00:00:00"/>
        <d v="2025-05-18T00:00:00"/>
        <d v="2025-05-19T00:00:00"/>
        <d v="2025-05-21T00:00:00"/>
        <d v="2025-05-26T00:00:00"/>
        <d v="2025-05-27T00:00:00"/>
      </sharedItems>
    </cacheField>
    <cacheField name="[Table_DonBan].[Ngày lập (Month)].[Ngày lập (Month)]" caption="Ngày lập (Month)" numFmtId="0" hierarchy="9" level="1">
      <sharedItems count="2">
        <s v="Apr"/>
        <s v="May"/>
      </sharedItems>
    </cacheField>
    <cacheField name="[Measures].[TyLeSuDungDiem]" caption="TyLeSuDungDiem" numFmtId="0" hierarchy="20" level="32767"/>
    <cacheField name="[Table_DonBan].[Mã Khách].[Mã Khách]" caption="Mã Khách" numFmtId="0" hierarchy="1" level="1">
      <sharedItems containsSemiMixedTypes="0" containsNonDate="0" containsString="0"/>
    </cacheField>
  </cacheFields>
  <cacheHierarchies count="25">
    <cacheHierarchy uniqueName="[Table_DonBan].[Ngày lập]" caption="Ngày lập" attribute="1" time="1" defaultMemberUniqueName="[Table_DonBan].[Ngày lập].[All]" allUniqueName="[Table_DonBan].[Ngày lập].[All]" dimensionUniqueName="[Table_DonBan]" displayFolder="" count="2" memberValueDatatype="7" unbalanced="0">
      <fieldsUsage count="2">
        <fieldUsage x="-1"/>
        <fieldUsage x="1"/>
      </fieldsUsage>
    </cacheHierarchy>
    <cacheHierarchy uniqueName="[Table_DonBan].[Mã Khách]" caption="Mã Khách" attribute="1" defaultMemberUniqueName="[Table_DonBan].[Mã Khách].[All]" allUniqueName="[Table_DonBan].[Mã Khách].[All]" dimensionUniqueName="[Table_DonBan]" displayFolder="" count="2" memberValueDatatype="130" unbalanced="0">
      <fieldsUsage count="2">
        <fieldUsage x="-1"/>
        <fieldUsage x="4"/>
      </fieldsUsage>
    </cacheHierarchy>
    <cacheHierarchy uniqueName="[Table_DonBan].[Tiền hàng]" caption="Tiền hàng" attribute="1" defaultMemberUniqueName="[Table_DonBan].[Tiền hàng].[All]" allUniqueName="[Table_DonBan].[Tiền hàng].[All]" dimensionUniqueName="[Table_DonBan]" displayFolder="" count="0" memberValueDatatype="20" unbalanced="0"/>
    <cacheHierarchy uniqueName="[Table_DonBan].[Điểm khả dụng]" caption="Điểm khả dụng" attribute="1" defaultMemberUniqueName="[Table_DonBan].[Điểm khả dụng].[All]" allUniqueName="[Table_DonBan].[Điểm khả dụng].[All]" dimensionUniqueName="[Table_DonBan]" displayFolder="" count="0" memberValueDatatype="5" unbalanced="0"/>
    <cacheHierarchy uniqueName="[Table_DonBan].[Điểm sử dụng]" caption="Điểm sử dụng" attribute="1" defaultMemberUniqueName="[Table_DonBan].[Điểm sử dụng].[All]" allUniqueName="[Table_DonBan].[Điểm sử dụng].[All]" dimensionUniqueName="[Table_DonBan]" displayFolder="" count="0" memberValueDatatype="20" unbalanced="0"/>
    <cacheHierarchy uniqueName="[Table_DonBan].[Doanh thu ròng]" caption="Doanh thu ròng" attribute="1" defaultMemberUniqueName="[Table_DonBan].[Doanh thu ròng].[All]" allUniqueName="[Table_DonBan].[Doanh thu ròng].[All]" dimensionUniqueName="[Table_DonBan]" displayFolder="" count="0" memberValueDatatype="20" unbalanced="0"/>
    <cacheHierarchy uniqueName="[Table_DonBan].[Doanh thu tính điểm]" caption="Doanh thu tính điểm" attribute="1" defaultMemberUniqueName="[Table_DonBan].[Doanh thu tính điểm].[All]" allUniqueName="[Table_DonBan].[Doanh thu tính điểm].[All]" dimensionUniqueName="[Table_DonBan]" displayFolder="" count="0" memberValueDatatype="20" unbalanced="0"/>
    <cacheHierarchy uniqueName="[Table_DonBan].[Tỷ lệ tính điểm]" caption="Tỷ lệ tính điểm" attribute="1" defaultMemberUniqueName="[Table_DonBan].[Tỷ lệ tính điểm].[All]" allUniqueName="[Table_DonBan].[Tỷ lệ tính điểm].[All]" dimensionUniqueName="[Table_DonBan]" displayFolder="" count="0" memberValueDatatype="5" unbalanced="0"/>
    <cacheHierarchy uniqueName="[Table_DonBan].[Điểm tích lũy]" caption="Điểm tích lũy" attribute="1" defaultMemberUniqueName="[Table_DonBan].[Điểm tích lũy].[All]" allUniqueName="[Table_DonBan].[Điểm tích lũy].[All]" dimensionUniqueName="[Table_DonBan]" displayFolder="" count="0" memberValueDatatype="5" unbalanced="0"/>
    <cacheHierarchy uniqueName="[Table_DonBan].[Ngày lập (Month)]" caption="Ngày lập (Month)" attribute="1" defaultMemberUniqueName="[Table_DonBan].[Ngày lập (Month)].[All]" allUniqueName="[Table_DonBan].[Ngày lập (Month)].[All]" dimensionUniqueName="[Table_DonBan]" displayFolder="" count="2" memberValueDatatype="130" unbalanced="0">
      <fieldsUsage count="2">
        <fieldUsage x="-1"/>
        <fieldUsage x="2"/>
      </fieldsUsage>
    </cacheHierarchy>
    <cacheHierarchy uniqueName="[Table_KHThanThiet_ChinhSach].[Cấp khách hàng]" caption="Cấp khách hàng" attribute="1" defaultMemberUniqueName="[Table_KHThanThiet_ChinhSach].[Cấp khách hàng].[All]" allUniqueName="[Table_KHThanThiet_ChinhSach].[Cấp khách hàng].[All]" dimensionUniqueName="[Table_KHThanThiet_ChinhSach]" displayFolder="" count="0" memberValueDatatype="130" unbalanced="0"/>
    <cacheHierarchy uniqueName="[Table_KHThanThiet_ChinhSach].[Doanh thu tối thiểu]" caption="Doanh thu tối thiểu" attribute="1" defaultMemberUniqueName="[Table_KHThanThiet_ChinhSach].[Doanh thu tối thiểu].[All]" allUniqueName="[Table_KHThanThiet_ChinhSach].[Doanh thu tối thiểu].[All]" dimensionUniqueName="[Table_KHThanThiet_ChinhSach]" displayFolder="" count="0" memberValueDatatype="20" unbalanced="0"/>
    <cacheHierarchy uniqueName="[Table_KHThanThiet_ChinhSach].[Doanh thu tối đa]" caption="Doanh thu tối đa" attribute="1" defaultMemberUniqueName="[Table_KHThanThiet_ChinhSach].[Doanh thu tối đa].[All]" allUniqueName="[Table_KHThanThiet_ChinhSach].[Doanh thu tối đa].[All]" dimensionUniqueName="[Table_KHThanThiet_ChinhSach]" displayFolder="" count="0" memberValueDatatype="20" unbalanced="0"/>
    <cacheHierarchy uniqueName="[Table_KHThanThiet_ChinhSach].[Tỷ lệ điểm thưởng]" caption="Tỷ lệ điểm thưởng" attribute="1" defaultMemberUniqueName="[Table_KHThanThiet_ChinhSach].[Tỷ lệ điểm thưởng].[All]" allUniqueName="[Table_KHThanThiet_ChinhSach].[Tỷ lệ điểm thưởng].[All]" dimensionUniqueName="[Table_KHThanThiet_ChinhSach]" displayFolder="" count="0" memberValueDatatype="5" unbalanced="0"/>
    <cacheHierarchy uniqueName="[Table_KHThanThiet_ChinhSach].[Điểm thưởng tối đa]" caption="Điểm thưởng tối đa" attribute="1" defaultMemberUniqueName="[Table_KHThanThiet_ChinhSach].[Điểm thưởng tối đa].[All]" allUniqueName="[Table_KHThanThiet_ChinhSach].[Điểm thưởng tối đa].[All]" dimensionUniqueName="[Table_KHThanThiet_ChinhSach]" displayFolder="" count="0" memberValueDatatype="20" unbalanced="0"/>
    <cacheHierarchy uniqueName="[Table_KHThanThiet_ChinhSach].[Điểm thưởng lũy kế]" caption="Điểm thưởng lũy kế" attribute="1" defaultMemberUniqueName="[Table_KHThanThiet_ChinhSach].[Điểm thưởng lũy kế].[All]" allUniqueName="[Table_KHThanThiet_ChinhSach].[Điểm thưởng lũy kế].[All]" dimensionUniqueName="[Table_KHThanThiet_ChinhSach]" displayFolder="" count="0" memberValueDatatype="20" unbalanced="0"/>
    <cacheHierarchy uniqueName="[Table_DonBan].[Ngày lập (Month Index)]" caption="Ngày lập (Month Index)" attribute="1" defaultMemberUniqueName="[Table_DonBan].[Ngày lập (Month Index)].[All]" allUniqueName="[Table_DonBan].[Ngày lập (Month Index)].[All]" dimensionUniqueName="[Table_DonBan]" displayFolder="" count="0" memberValueDatatype="20" unbalanced="0" hidden="1"/>
    <cacheHierarchy uniqueName="[Measures].[Sum of Doanh thu ròng]" caption="Sum of Doanh thu ròng" measure="1" displayFolder="" measureGroup="Table_DonBan" count="0">
      <extLst>
        <ext xmlns:x15="http://schemas.microsoft.com/office/spreadsheetml/2010/11/main" uri="{B97F6D7D-B522-45F9-BDA1-12C45D357490}">
          <x15:cacheHierarchy aggregatedColumn="5"/>
        </ext>
      </extLst>
    </cacheHierarchy>
    <cacheHierarchy uniqueName="[Measures].[Sum of Điểm khả dụng]" caption="Sum of Điểm khả dụng" measure="1" displayFolder="" measureGroup="Table_DonBan" count="0">
      <extLst>
        <ext xmlns:x15="http://schemas.microsoft.com/office/spreadsheetml/2010/11/main" uri="{B97F6D7D-B522-45F9-BDA1-12C45D357490}">
          <x15:cacheHierarchy aggregatedColumn="3"/>
        </ext>
      </extLst>
    </cacheHierarchy>
    <cacheHierarchy uniqueName="[Measures].[TyLeTichDiem]" caption="TyLeTichDiem" measure="1" displayFolder="" measureGroup="Table_DonBan" count="0" oneField="1">
      <fieldsUsage count="1">
        <fieldUsage x="0"/>
      </fieldsUsage>
    </cacheHierarchy>
    <cacheHierarchy uniqueName="[Measures].[TyLeSuDungDiem]" caption="TyLeSuDungDiem" measure="1" displayFolder="" measureGroup="Table_DonBan" count="0" oneField="1">
      <fieldsUsage count="1">
        <fieldUsage x="3"/>
      </fieldsUsage>
    </cacheHierarchy>
    <cacheHierarchy uniqueName="[Measures].[DiemKhaDung]" caption="DiemKhaDung" measure="1" displayFolder="" measureGroup="Table_DonBan" count="0"/>
    <cacheHierarchy uniqueName="[Measures].[__XL_Count Table_KHThanThiet_ChinhSach]" caption="__XL_Count Table_KHThanThiet_ChinhSach" measure="1" displayFolder="" measureGroup="Table_KHThanThiet_ChinhSach" count="0" hidden="1"/>
    <cacheHierarchy uniqueName="[Measures].[__XL_Count Table_DonBan]" caption="__XL_Count Table_DonBan" measure="1" displayFolder="" measureGroup="Table_DonBan" count="0" hidden="1"/>
    <cacheHierarchy uniqueName="[Measures].[__No measures defined]" caption="__No measures defined" measure="1" displayFolder="" count="0" hidden="1"/>
  </cacheHierarchies>
  <kpis count="0"/>
  <dimensions count="3">
    <dimension measure="1" name="Measures" uniqueName="[Measures]" caption="Measures"/>
    <dimension name="Table_DonBan" uniqueName="[Table_DonBan]" caption="Table_DonBan"/>
    <dimension name="Table_KHThanThiet_ChinhSach" uniqueName="[Table_KHThanThiet_ChinhSach]" caption="Table_KHThanThiet_ChinhSach"/>
  </dimensions>
  <measureGroups count="2">
    <measureGroup name="Table_DonBan" caption="Table_DonBan"/>
    <measureGroup name="Table_KHThanThiet_ChinhSach" caption="Table_KHThanThiet_ChinhSach"/>
  </measureGroups>
  <maps count="3">
    <map measureGroup="0" dimension="1"/>
    <map measureGroup="0" dimension="2"/>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Anh" refreshedDate="45805.933243865744" backgroundQuery="1" createdVersion="8" refreshedVersion="8" minRefreshableVersion="3" recordCount="0" supportSubquery="1" supportAdvancedDrill="1" xr:uid="{D7E7BF0C-CCEA-4C27-A606-E8FA82D049D3}">
  <cacheSource type="external" connectionId="1"/>
  <cacheFields count="2">
    <cacheField name="[Table_DonBan].[Mã Khách].[Mã Khách]" caption="Mã Khách" numFmtId="0" hierarchy="1" level="1">
      <sharedItems count="4">
        <s v="KH1"/>
        <s v="KH2"/>
        <s v="KH3"/>
        <s v="KH4"/>
      </sharedItems>
    </cacheField>
    <cacheField name="[Measures].[DiemKhaDung]" caption="DiemKhaDung" numFmtId="0" hierarchy="21" level="32767"/>
  </cacheFields>
  <cacheHierarchies count="25">
    <cacheHierarchy uniqueName="[Table_DonBan].[Ngày lập]" caption="Ngày lập" attribute="1" time="1" defaultMemberUniqueName="[Table_DonBan].[Ngày lập].[All]" allUniqueName="[Table_DonBan].[Ngày lập].[All]" dimensionUniqueName="[Table_DonBan]" displayFolder="" count="0" memberValueDatatype="7" unbalanced="0"/>
    <cacheHierarchy uniqueName="[Table_DonBan].[Mã Khách]" caption="Mã Khách" attribute="1" defaultMemberUniqueName="[Table_DonBan].[Mã Khách].[All]" allUniqueName="[Table_DonBan].[Mã Khách].[All]" dimensionUniqueName="[Table_DonBan]" displayFolder="" count="2" memberValueDatatype="130" unbalanced="0">
      <fieldsUsage count="2">
        <fieldUsage x="-1"/>
        <fieldUsage x="0"/>
      </fieldsUsage>
    </cacheHierarchy>
    <cacheHierarchy uniqueName="[Table_DonBan].[Tiền hàng]" caption="Tiền hàng" attribute="1" defaultMemberUniqueName="[Table_DonBan].[Tiền hàng].[All]" allUniqueName="[Table_DonBan].[Tiền hàng].[All]" dimensionUniqueName="[Table_DonBan]" displayFolder="" count="0" memberValueDatatype="20" unbalanced="0"/>
    <cacheHierarchy uniqueName="[Table_DonBan].[Điểm khả dụng]" caption="Điểm khả dụng" attribute="1" defaultMemberUniqueName="[Table_DonBan].[Điểm khả dụng].[All]" allUniqueName="[Table_DonBan].[Điểm khả dụng].[All]" dimensionUniqueName="[Table_DonBan]" displayFolder="" count="0" memberValueDatatype="5" unbalanced="0"/>
    <cacheHierarchy uniqueName="[Table_DonBan].[Điểm sử dụng]" caption="Điểm sử dụng" attribute="1" defaultMemberUniqueName="[Table_DonBan].[Điểm sử dụng].[All]" allUniqueName="[Table_DonBan].[Điểm sử dụng].[All]" dimensionUniqueName="[Table_DonBan]" displayFolder="" count="0" memberValueDatatype="20" unbalanced="0"/>
    <cacheHierarchy uniqueName="[Table_DonBan].[Doanh thu ròng]" caption="Doanh thu ròng" attribute="1" defaultMemberUniqueName="[Table_DonBan].[Doanh thu ròng].[All]" allUniqueName="[Table_DonBan].[Doanh thu ròng].[All]" dimensionUniqueName="[Table_DonBan]" displayFolder="" count="0" memberValueDatatype="20" unbalanced="0"/>
    <cacheHierarchy uniqueName="[Table_DonBan].[Doanh thu tính điểm]" caption="Doanh thu tính điểm" attribute="1" defaultMemberUniqueName="[Table_DonBan].[Doanh thu tính điểm].[All]" allUniqueName="[Table_DonBan].[Doanh thu tính điểm].[All]" dimensionUniqueName="[Table_DonBan]" displayFolder="" count="0" memberValueDatatype="20" unbalanced="0"/>
    <cacheHierarchy uniqueName="[Table_DonBan].[Tỷ lệ tính điểm]" caption="Tỷ lệ tính điểm" attribute="1" defaultMemberUniqueName="[Table_DonBan].[Tỷ lệ tính điểm].[All]" allUniqueName="[Table_DonBan].[Tỷ lệ tính điểm].[All]" dimensionUniqueName="[Table_DonBan]" displayFolder="" count="0" memberValueDatatype="5" unbalanced="0"/>
    <cacheHierarchy uniqueName="[Table_DonBan].[Điểm tích lũy]" caption="Điểm tích lũy" attribute="1" defaultMemberUniqueName="[Table_DonBan].[Điểm tích lũy].[All]" allUniqueName="[Table_DonBan].[Điểm tích lũy].[All]" dimensionUniqueName="[Table_DonBan]" displayFolder="" count="0" memberValueDatatype="5" unbalanced="0"/>
    <cacheHierarchy uniqueName="[Table_DonBan].[Ngày lập (Month)]" caption="Ngày lập (Month)" attribute="1" defaultMemberUniqueName="[Table_DonBan].[Ngày lập (Month)].[All]" allUniqueName="[Table_DonBan].[Ngày lập (Month)].[All]" dimensionUniqueName="[Table_DonBan]" displayFolder="" count="0" memberValueDatatype="130" unbalanced="0"/>
    <cacheHierarchy uniqueName="[Table_KHThanThiet_ChinhSach].[Cấp khách hàng]" caption="Cấp khách hàng" attribute="1" defaultMemberUniqueName="[Table_KHThanThiet_ChinhSach].[Cấp khách hàng].[All]" allUniqueName="[Table_KHThanThiet_ChinhSach].[Cấp khách hàng].[All]" dimensionUniqueName="[Table_KHThanThiet_ChinhSach]" displayFolder="" count="0" memberValueDatatype="130" unbalanced="0"/>
    <cacheHierarchy uniqueName="[Table_KHThanThiet_ChinhSach].[Doanh thu tối thiểu]" caption="Doanh thu tối thiểu" attribute="1" defaultMemberUniqueName="[Table_KHThanThiet_ChinhSach].[Doanh thu tối thiểu].[All]" allUniqueName="[Table_KHThanThiet_ChinhSach].[Doanh thu tối thiểu].[All]" dimensionUniqueName="[Table_KHThanThiet_ChinhSach]" displayFolder="" count="0" memberValueDatatype="20" unbalanced="0"/>
    <cacheHierarchy uniqueName="[Table_KHThanThiet_ChinhSach].[Doanh thu tối đa]" caption="Doanh thu tối đa" attribute="1" defaultMemberUniqueName="[Table_KHThanThiet_ChinhSach].[Doanh thu tối đa].[All]" allUniqueName="[Table_KHThanThiet_ChinhSach].[Doanh thu tối đa].[All]" dimensionUniqueName="[Table_KHThanThiet_ChinhSach]" displayFolder="" count="0" memberValueDatatype="20" unbalanced="0"/>
    <cacheHierarchy uniqueName="[Table_KHThanThiet_ChinhSach].[Tỷ lệ điểm thưởng]" caption="Tỷ lệ điểm thưởng" attribute="1" defaultMemberUniqueName="[Table_KHThanThiet_ChinhSach].[Tỷ lệ điểm thưởng].[All]" allUniqueName="[Table_KHThanThiet_ChinhSach].[Tỷ lệ điểm thưởng].[All]" dimensionUniqueName="[Table_KHThanThiet_ChinhSach]" displayFolder="" count="0" memberValueDatatype="5" unbalanced="0"/>
    <cacheHierarchy uniqueName="[Table_KHThanThiet_ChinhSach].[Điểm thưởng tối đa]" caption="Điểm thưởng tối đa" attribute="1" defaultMemberUniqueName="[Table_KHThanThiet_ChinhSach].[Điểm thưởng tối đa].[All]" allUniqueName="[Table_KHThanThiet_ChinhSach].[Điểm thưởng tối đa].[All]" dimensionUniqueName="[Table_KHThanThiet_ChinhSach]" displayFolder="" count="0" memberValueDatatype="20" unbalanced="0"/>
    <cacheHierarchy uniqueName="[Table_KHThanThiet_ChinhSach].[Điểm thưởng lũy kế]" caption="Điểm thưởng lũy kế" attribute="1" defaultMemberUniqueName="[Table_KHThanThiet_ChinhSach].[Điểm thưởng lũy kế].[All]" allUniqueName="[Table_KHThanThiet_ChinhSach].[Điểm thưởng lũy kế].[All]" dimensionUniqueName="[Table_KHThanThiet_ChinhSach]" displayFolder="" count="0" memberValueDatatype="20" unbalanced="0"/>
    <cacheHierarchy uniqueName="[Table_DonBan].[Ngày lập (Month Index)]" caption="Ngày lập (Month Index)" attribute="1" defaultMemberUniqueName="[Table_DonBan].[Ngày lập (Month Index)].[All]" allUniqueName="[Table_DonBan].[Ngày lập (Month Index)].[All]" dimensionUniqueName="[Table_DonBan]" displayFolder="" count="0" memberValueDatatype="20" unbalanced="0" hidden="1"/>
    <cacheHierarchy uniqueName="[Measures].[Sum of Doanh thu ròng]" caption="Sum of Doanh thu ròng" measure="1" displayFolder="" measureGroup="Table_DonBan" count="0">
      <extLst>
        <ext xmlns:x15="http://schemas.microsoft.com/office/spreadsheetml/2010/11/main" uri="{B97F6D7D-B522-45F9-BDA1-12C45D357490}">
          <x15:cacheHierarchy aggregatedColumn="5"/>
        </ext>
      </extLst>
    </cacheHierarchy>
    <cacheHierarchy uniqueName="[Measures].[Sum of Điểm khả dụng]" caption="Sum of Điểm khả dụng" measure="1" displayFolder="" measureGroup="Table_DonBan" count="0">
      <extLst>
        <ext xmlns:x15="http://schemas.microsoft.com/office/spreadsheetml/2010/11/main" uri="{B97F6D7D-B522-45F9-BDA1-12C45D357490}">
          <x15:cacheHierarchy aggregatedColumn="3"/>
        </ext>
      </extLst>
    </cacheHierarchy>
    <cacheHierarchy uniqueName="[Measures].[TyLeTichDiem]" caption="TyLeTichDiem" measure="1" displayFolder="" measureGroup="Table_DonBan" count="0"/>
    <cacheHierarchy uniqueName="[Measures].[TyLeSuDungDiem]" caption="TyLeSuDungDiem" measure="1" displayFolder="" measureGroup="Table_DonBan" count="0"/>
    <cacheHierarchy uniqueName="[Measures].[DiemKhaDung]" caption="DiemKhaDung" measure="1" displayFolder="" measureGroup="Table_DonBan" count="0" oneField="1">
      <fieldsUsage count="1">
        <fieldUsage x="1"/>
      </fieldsUsage>
    </cacheHierarchy>
    <cacheHierarchy uniqueName="[Measures].[__XL_Count Table_KHThanThiet_ChinhSach]" caption="__XL_Count Table_KHThanThiet_ChinhSach" measure="1" displayFolder="" measureGroup="Table_KHThanThiet_ChinhSach" count="0" hidden="1"/>
    <cacheHierarchy uniqueName="[Measures].[__XL_Count Table_DonBan]" caption="__XL_Count Table_DonBan" measure="1" displayFolder="" measureGroup="Table_DonBan" count="0" hidden="1"/>
    <cacheHierarchy uniqueName="[Measures].[__No measures defined]" caption="__No measures defined" measure="1" displayFolder="" count="0" hidden="1"/>
  </cacheHierarchies>
  <kpis count="0"/>
  <dimensions count="3">
    <dimension measure="1" name="Measures" uniqueName="[Measures]" caption="Measures"/>
    <dimension name="Table_DonBan" uniqueName="[Table_DonBan]" caption="Table_DonBan"/>
    <dimension name="Table_KHThanThiet_ChinhSach" uniqueName="[Table_KHThanThiet_ChinhSach]" caption="Table_KHThanThiet_ChinhSach"/>
  </dimensions>
  <measureGroups count="2">
    <measureGroup name="Table_DonBan" caption="Table_DonBan"/>
    <measureGroup name="Table_KHThanThiet_ChinhSach" caption="Table_KHThanThiet_ChinhSach"/>
  </measureGroups>
  <maps count="3">
    <map measureGroup="0" dimension="1"/>
    <map measureGroup="0" dimension="2"/>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7BE9B86-47B3-4EDA-B6BC-082131BE35A2}" name="PivotTable4" cacheId="1" applyNumberFormats="0" applyBorderFormats="0" applyFontFormats="0" applyPatternFormats="0" applyAlignmentFormats="0" applyWidthHeightFormats="1" dataCaption="Values" tag="2a44302d-9fd3-4aac-b990-b213cbc94617" updatedVersion="8" minRefreshableVersion="3" useAutoFormatting="1" itemPrintTitles="1" createdVersion="8" indent="0" outline="1" outlineData="1" multipleFieldFilters="0" chartFormat="4">
  <location ref="F22:G27" firstHeaderRow="1" firstDataRow="1" firstDataCol="1"/>
  <pivotFields count="2">
    <pivotField axis="axisRow" allDrilled="1" subtotalTop="0" showAll="0" dataSourceSort="1" defaultSubtotal="0" defaultAttributeDrillState="1">
      <items count="4">
        <item x="0"/>
        <item x="1"/>
        <item x="2"/>
        <item x="3"/>
      </items>
    </pivotField>
    <pivotField dataField="1" subtotalTop="0" showAll="0" defaultSubtotal="0"/>
  </pivotFields>
  <rowFields count="1">
    <field x="0"/>
  </rowFields>
  <rowItems count="5">
    <i>
      <x/>
    </i>
    <i>
      <x v="1"/>
    </i>
    <i>
      <x v="2"/>
    </i>
    <i>
      <x v="3"/>
    </i>
    <i t="grand">
      <x/>
    </i>
  </rowItems>
  <colItems count="1">
    <i/>
  </colItems>
  <dataFields count="1">
    <dataField name="Điểm khả dụng" fld="1" subtotal="count" baseField="0" baseItem="0"/>
  </dataFields>
  <chartFormats count="5">
    <chartFormat chart="0" format="1" series="1">
      <pivotArea type="data" outline="0" fieldPosition="0">
        <references count="1">
          <reference field="4294967294" count="1" selected="0">
            <x v="0"/>
          </reference>
        </references>
      </pivotArea>
    </chartFormat>
    <chartFormat chart="0" format="2">
      <pivotArea type="data" outline="0" fieldPosition="0">
        <references count="2">
          <reference field="4294967294" count="1" selected="0">
            <x v="0"/>
          </reference>
          <reference field="0" count="1" selected="0">
            <x v="0"/>
          </reference>
        </references>
      </pivotArea>
    </chartFormat>
    <chartFormat chart="0" format="3">
      <pivotArea type="data" outline="0" fieldPosition="0">
        <references count="2">
          <reference field="4294967294" count="1" selected="0">
            <x v="0"/>
          </reference>
          <reference field="0" count="1" selected="0">
            <x v="1"/>
          </reference>
        </references>
      </pivotArea>
    </chartFormat>
    <chartFormat chart="0" format="4">
      <pivotArea type="data" outline="0" fieldPosition="0">
        <references count="2">
          <reference field="4294967294" count="1" selected="0">
            <x v="0"/>
          </reference>
          <reference field="0" count="1" selected="0">
            <x v="2"/>
          </reference>
        </references>
      </pivotArea>
    </chartFormat>
    <chartFormat chart="0" format="5">
      <pivotArea type="data" outline="0" fieldPosition="0">
        <references count="2">
          <reference field="4294967294" count="1" selected="0">
            <x v="0"/>
          </reference>
          <reference field="0" count="1" selected="0">
            <x v="3"/>
          </reference>
        </references>
      </pivotArea>
    </chartFormat>
  </chartFormats>
  <pivotHierarchies count="25">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caption="Điểm khả dụng"/>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able_DonBan]"/>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3E5D69E9-73A3-426E-9980-AFBD91D84CCE}" name="PivotTable3" cacheId="0" applyNumberFormats="0" applyBorderFormats="0" applyFontFormats="0" applyPatternFormats="0" applyAlignmentFormats="0" applyWidthHeightFormats="1" dataCaption="Values" tag="527aec1e-28d5-425c-bf08-4ba112fad3e0" updatedVersion="8" minRefreshableVersion="3" useAutoFormatting="1" subtotalHiddenItems="1" itemPrintTitles="1" createdVersion="8" indent="0" outline="1" outlineData="1" multipleFieldFilters="0" chartFormat="9">
  <location ref="B22:D25" firstHeaderRow="0" firstDataRow="1" firstDataCol="1" rowPageCount="1" colPageCount="1"/>
  <pivotFields count="5">
    <pivotField dataField="1" subtotalTop="0" showAll="0" defaultSubtotal="0"/>
    <pivotField name="Ngày" allDrilled="1" subtotalTop="0" showAll="0" dataSourceSort="1" defaultSubtotal="0" defaultAttributeDrillState="1">
      <items count="29">
        <item x="0"/>
        <item x="1"/>
        <item x="2"/>
        <item x="3"/>
        <item x="4"/>
        <item x="5"/>
        <item x="6"/>
        <item x="7"/>
        <item x="8"/>
        <item x="9"/>
        <item x="10"/>
        <item x="11"/>
        <item x="12"/>
        <item x="13"/>
        <item x="14"/>
        <item x="15"/>
        <item x="16"/>
        <item x="17"/>
        <item x="18"/>
        <item x="19"/>
        <item x="20"/>
        <item x="21"/>
        <item x="22"/>
        <item x="23"/>
        <item x="24"/>
        <item x="25"/>
        <item x="26"/>
        <item x="27"/>
        <item x="28"/>
      </items>
    </pivotField>
    <pivotField name="Tháng " axis="axisRow" allDrilled="1" subtotalTop="0" showAll="0" dataSourceSort="1" defaultSubtotal="0">
      <items count="2">
        <item x="0" e="0"/>
        <item x="1" e="0"/>
      </items>
    </pivotField>
    <pivotField dataField="1" subtotalTop="0" showAll="0" defaultSubtotal="0"/>
    <pivotField axis="axisPage" allDrilled="1" subtotalTop="0" showAll="0" dataSourceSort="1" defaultSubtotal="0" defaultAttributeDrillState="1"/>
  </pivotFields>
  <rowFields count="1">
    <field x="2"/>
  </rowFields>
  <rowItems count="3">
    <i>
      <x/>
    </i>
    <i>
      <x v="1"/>
    </i>
    <i t="grand">
      <x/>
    </i>
  </rowItems>
  <colFields count="1">
    <field x="-2"/>
  </colFields>
  <colItems count="2">
    <i>
      <x/>
    </i>
    <i i="1">
      <x v="1"/>
    </i>
  </colItems>
  <pageFields count="1">
    <pageField fld="4" hier="1" name="[Table_DonBan].[Mã Khách].[All]" cap="All"/>
  </pageFields>
  <dataFields count="2">
    <dataField name="Tỷ lệ tích điểm" fld="0" subtotal="count" baseField="2" baseItem="0" numFmtId="169"/>
    <dataField name="Tỷ lệ dùng điểm" fld="3" subtotal="count" baseField="2" baseItem="0" numFmtId="169"/>
  </dataFields>
  <chartFormats count="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s>
  <pivotHierarchies count="25">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Doanh thu"/>
    <pivotHierarchy dragToData="1"/>
    <pivotHierarchy dragToRow="0" dragToCol="0" dragToPage="0" dragToData="1" caption="Tỷ lệ tích điểm"/>
    <pivotHierarchy dragToRow="0" dragToCol="0" dragToPage="0" dragToData="1" caption="Tỷ lệ dùng điểm"/>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9"/>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able_DonBan]"/>
      </x15:pivotTableUISettings>
    </ext>
    <ext xmlns:xpdl="http://schemas.microsoft.com/office/spreadsheetml/2016/pivotdefaultlayout" uri="{747A6164-185A-40DC-8AA5-F01512510D54}">
      <xpdl:pivotTableDefinition16 EnabledSubtotalsDefault="0" SubtotalsOnTopDefault="0"/>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1" xr:uid="{30A39AAB-3221-47FE-BF70-0EAEFED1CE7D}" name="Table_KHThanThiet_ChinhSach" displayName="Table_KHThanThiet_ChinhSach" ref="I22:N28" totalsRowShown="0" headerRowDxfId="17" dataDxfId="16">
  <autoFilter ref="I22:N28" xr:uid="{2A700966-B946-4558-BE22-99AF6B5C1F14}"/>
  <tableColumns count="6">
    <tableColumn id="1" xr3:uid="{6540178E-6A74-4E52-9659-A4417E2EEE4E}" name="Cấp khách hàng" dataDxfId="15"/>
    <tableColumn id="2" xr3:uid="{09519A03-DE47-49D1-A93A-D7D1B0D21CA7}" name="Doanh thu tối thiểu" dataDxfId="14" dataCellStyle="Comma"/>
    <tableColumn id="3" xr3:uid="{3D6F47F4-0B0E-46DC-994D-47D05A146FEB}" name="Doanh thu tối đa" dataDxfId="13" dataCellStyle="Comma"/>
    <tableColumn id="6" xr3:uid="{80CA5847-269C-4A48-832B-FA8EE738B896}" name="Tỷ lệ điểm thưởng" dataDxfId="12" dataCellStyle="Percent"/>
    <tableColumn id="4" xr3:uid="{ACB3DB24-CDD2-4384-8CDA-D6179B576C5B}" name="Điểm thưởng tối đa" dataDxfId="11" dataCellStyle="Comma">
      <calculatedColumnFormula>IF(ISBLANK(Table_KHThanThiet_ChinhSach[[#This Row],[Doanh thu tối đa]]),0,(Table_KHThanThiet_ChinhSach[[#This Row],[Doanh thu tối đa]]-Table_KHThanThiet_ChinhSach[[#This Row],[Doanh thu tối thiểu]])*Table_KHThanThiet_ChinhSach[[#This Row],[Tỷ lệ điểm thưởng]])</calculatedColumnFormula>
    </tableColumn>
    <tableColumn id="7" xr3:uid="{E84E9AA3-65F9-4B79-9DE6-6B0EB872A985}" name="Điểm thưởng lũy kế" dataDxfId="10" dataCellStyle="Comma">
      <calculatedColumnFormula array="1">IFERROR(
SUM(_xlfn._xlws.FILTER(Table_KHThanThiet_ChinhSach[Điểm thưởng tối đa],
(Table_KHThanThiet_ChinhSach[Tỷ lệ điểm thưởng]&lt;Table_KHThanThiet_ChinhSach[[#This Row],[Tỷ lệ điểm thưởng]])
)),0)</calculatedColumnFormula>
    </tableColumn>
  </tableColumns>
  <tableStyleInfo name="TableStyleMedium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4166925E-1F0B-42C7-A01A-835B42134064}" name="Table_DonBan" displayName="Table_DonBan" ref="P22:X65" totalsRowShown="0" headerRowDxfId="9">
  <autoFilter ref="P22:X65" xr:uid="{4166925E-1F0B-42C7-A01A-835B42134064}"/>
  <sortState xmlns:xlrd2="http://schemas.microsoft.com/office/spreadsheetml/2017/richdata2" ref="P23:X65">
    <sortCondition descending="1" ref="P22:P65"/>
  </sortState>
  <tableColumns count="9">
    <tableColumn id="2" xr3:uid="{E5AA3C4E-F90F-4FED-99CD-D14026B1048E}" name="Ngày lập" dataDxfId="8"/>
    <tableColumn id="3" xr3:uid="{6CC99533-F213-42B8-9FC6-28AA1681FB82}" name="Mã Khách" dataDxfId="7"/>
    <tableColumn id="24" xr3:uid="{4E3C5E00-2D00-4F19-A2BF-C42B840493B9}" name="Tiền hàng" dataDxfId="6" dataCellStyle="Comma"/>
    <tableColumn id="23" xr3:uid="{D45B265F-A18C-463C-AC41-949E390656FD}" name="Điểm khả dụng" dataDxfId="5" dataCellStyle="Comma">
      <calculatedColumnFormula array="1"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calculatedColumnFormula>
    </tableColumn>
    <tableColumn id="25" xr3:uid="{4CE23CED-0DCB-49E1-805C-8568290B44FE}" name="Điểm sử dụng" dataDxfId="4" dataCellStyle="Comma"/>
    <tableColumn id="6" xr3:uid="{E42BF8E3-F442-4D35-8806-F14E8E3F5374}" name="Doanh thu ròng" dataDxfId="3" dataCellStyle="Comma">
      <calculatedColumnFormula>Table_DonBan[[#This Row],[Tiền hàng]]-Table_DonBan[[#This Row],[Điểm sử dụng]]</calculatedColumnFormula>
    </tableColumn>
    <tableColumn id="1" xr3:uid="{010CB2F7-6B5C-4FF9-82E3-233293D02FE0}" name="Doanh thu tính điểm" dataDxfId="2" dataCellStyle="Comma">
      <calculatedColumnFormula array="1"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calculatedColumnFormula>
    </tableColumn>
    <tableColumn id="7" xr3:uid="{9A45C951-22FA-4940-99EB-FDD3840122EB}" name="Tỷ lệ tính điểm" dataDxfId="1" dataCellStyle="Percent">
      <calculatedColumnFormula array="1">+IFERROR(
MAX(_xlfn._xlws.FILTER(Table_KHThanThiet_ChinhSach[Tỷ lệ điểm thưởng],
(Table_KHThanThiet_ChinhSach[Doanh thu tối thiểu]&lt;=Table_DonBan[[#This Row],[Doanh thu tính điểm]])
)),0)</calculatedColumnFormula>
    </tableColumn>
    <tableColumn id="4" xr3:uid="{48BAF5B5-4065-47B5-A73D-04E9D6E243A5}" name="Điểm tích lũy" dataDxfId="0">
      <calculatedColumnFormula xml:space="preserve">
Table_DonBan[[#This Row],[Tỷ lệ tính điểm]]*Table_DonBan[[#This Row],[Doanh thu ròng]]</calculatedColumnFormula>
    </tableColumn>
  </tableColumns>
  <tableStyleInfo name="TableStyleMedium3" showFirstColumn="0" showLastColumn="0" showRowStripes="1" showColumnStripes="0"/>
</table>
</file>

<file path=xl/theme/theme1.xml><?xml version="1.0" encoding="utf-8"?>
<a:theme xmlns:a="http://schemas.openxmlformats.org/drawingml/2006/main" name="Office Theme">
  <a:themeElements>
    <a:clrScheme name="Hoa">
      <a:dk1>
        <a:srgbClr val="000000"/>
      </a:dk1>
      <a:lt1>
        <a:srgbClr val="FFFFFF"/>
      </a:lt1>
      <a:dk2>
        <a:srgbClr val="500000"/>
      </a:dk2>
      <a:lt2>
        <a:srgbClr val="FFF0F0"/>
      </a:lt2>
      <a:accent1>
        <a:srgbClr val="FFCCCC"/>
      </a:accent1>
      <a:accent2>
        <a:srgbClr val="FF9999"/>
      </a:accent2>
      <a:accent3>
        <a:srgbClr val="FF7C80"/>
      </a:accent3>
      <a:accent4>
        <a:srgbClr val="FF5050"/>
      </a:accent4>
      <a:accent5>
        <a:srgbClr val="CC0000"/>
      </a:accent5>
      <a:accent6>
        <a:srgbClr val="00B050"/>
      </a:accent6>
      <a:hlink>
        <a:srgbClr val="00B050"/>
      </a:hlink>
      <a:folHlink>
        <a:srgbClr val="CC0000"/>
      </a:folHlink>
    </a:clrScheme>
    <a:fontScheme name="Custom 1">
      <a:majorFont>
        <a:latin typeface="Segoe UI"/>
        <a:ea typeface=""/>
        <a:cs typeface=""/>
      </a:majorFont>
      <a:minorFont>
        <a:latin typeface="Segoe UI Light"/>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272" row="7">
    <wetp:webextensionref xmlns:r="http://schemas.openxmlformats.org/officeDocument/2006/relationships" r:id="rId1"/>
  </wetp:taskpane>
</wetp:taskpanes>
</file>

<file path=xl/webextensions/webextension1.xml><?xml version="1.0" encoding="utf-8"?>
<we:webextension xmlns:we="http://schemas.microsoft.com/office/webextensions/webextension/2010/11" id="{04248AD1-3F33-46F9-8E5F-449BE98FFA2D}">
  <we:reference id="wa104051163" version="1.2.0.3" store="en-US" storeType="OMEX"/>
  <we:alternateReferences>
    <we:reference id="wa104051163" version="1.2.0.3" store="wa104051163" storeType="OMEX"/>
  </we:alternateReferences>
  <we:properties/>
  <we:bindings/>
  <we:snapshot xmlns:r="http://schemas.openxmlformats.org/officeDocument/2006/relationships"/>
</we:webextension>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table" Target="../tables/table2.xml"/><Relationship Id="rId3" Type="http://schemas.openxmlformats.org/officeDocument/2006/relationships/drawing" Target="../drawings/drawing2.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table" Target="../tables/table1.xml"/><Relationship Id="rId2" Type="http://schemas.openxmlformats.org/officeDocument/2006/relationships/pivotTable" Target="../pivotTables/pivotTable2.xml"/><Relationship Id="rId16" Type="http://schemas.openxmlformats.org/officeDocument/2006/relationships/ctrlProp" Target="../ctrlProps/ctrlProp13.xml"/><Relationship Id="rId1" Type="http://schemas.openxmlformats.org/officeDocument/2006/relationships/pivotTable" Target="../pivotTables/pivotTable1.xml"/><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4" Type="http://schemas.openxmlformats.org/officeDocument/2006/relationships/vmlDrawing" Target="../drawings/vmlDrawing2.v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2403A2-CF52-43E4-ADEA-998B97CD0F94}">
  <sheetPr codeName="Sheet51"/>
  <dimension ref="A1:Z2"/>
  <sheetViews>
    <sheetView showGridLines="0" workbookViewId="0">
      <selection activeCell="A2" sqref="A2:C2"/>
    </sheetView>
  </sheetViews>
  <sheetFormatPr defaultRowHeight="16.5" x14ac:dyDescent="0.3"/>
  <cols>
    <col min="1" max="1" width="10.5" style="8" bestFit="1" customWidth="1"/>
    <col min="2" max="2" width="36.25" style="8" bestFit="1" customWidth="1"/>
    <col min="3" max="3" width="16.125" style="8" bestFit="1" customWidth="1"/>
    <col min="4" max="5" width="14.375" style="19" bestFit="1" customWidth="1"/>
    <col min="6" max="25" width="9" style="8"/>
    <col min="26" max="26" width="9" style="8" hidden="1" customWidth="1"/>
    <col min="27" max="16384" width="9" style="8"/>
  </cols>
  <sheetData>
    <row r="1" spans="1:26" x14ac:dyDescent="0.3">
      <c r="A1" s="14" t="s">
        <v>12</v>
      </c>
      <c r="B1" s="15" t="s">
        <v>9</v>
      </c>
      <c r="C1" s="16" t="s">
        <v>10</v>
      </c>
      <c r="D1" s="18" t="s">
        <v>13</v>
      </c>
      <c r="E1" s="18" t="s">
        <v>14</v>
      </c>
      <c r="F1" s="14" t="s">
        <v>15</v>
      </c>
      <c r="G1" s="17" t="s">
        <v>16</v>
      </c>
      <c r="H1" s="14" t="s">
        <v>17</v>
      </c>
      <c r="I1" s="14" t="s">
        <v>18</v>
      </c>
      <c r="J1" s="17" t="s">
        <v>19</v>
      </c>
      <c r="K1" s="17" t="s">
        <v>20</v>
      </c>
      <c r="L1" s="17" t="s">
        <v>21</v>
      </c>
      <c r="M1" s="17" t="s">
        <v>22</v>
      </c>
      <c r="N1" s="27"/>
      <c r="O1" s="27"/>
      <c r="P1" s="27"/>
      <c r="Q1" s="27"/>
      <c r="R1" s="27"/>
      <c r="S1" s="27"/>
      <c r="T1" s="27"/>
      <c r="U1" s="27"/>
      <c r="V1" s="27"/>
      <c r="W1" s="27"/>
      <c r="X1" s="27"/>
      <c r="Y1" s="27"/>
      <c r="Z1" s="8" t="s">
        <v>24</v>
      </c>
    </row>
    <row r="2" spans="1:26" x14ac:dyDescent="0.3">
      <c r="A2" s="27"/>
      <c r="B2" s="8" t="s">
        <v>73</v>
      </c>
      <c r="C2" s="8" t="s">
        <v>74</v>
      </c>
      <c r="D2" s="19">
        <v>45785</v>
      </c>
      <c r="E2" s="19">
        <v>46150</v>
      </c>
      <c r="F2" s="27">
        <v>365</v>
      </c>
      <c r="G2" s="8" t="s">
        <v>43</v>
      </c>
      <c r="H2" s="27"/>
      <c r="I2" s="27"/>
      <c r="J2" s="27"/>
      <c r="K2" s="27"/>
      <c r="L2" s="27"/>
      <c r="M2" s="27"/>
      <c r="N2" s="27"/>
      <c r="O2" s="27"/>
      <c r="P2" s="27"/>
      <c r="Q2" s="27"/>
      <c r="R2" s="27"/>
      <c r="S2" s="27"/>
      <c r="T2" s="27"/>
      <c r="U2" s="27"/>
      <c r="V2" s="27"/>
      <c r="W2" s="27"/>
      <c r="X2" s="27"/>
      <c r="Y2" s="27"/>
      <c r="Z2" s="27" t="s">
        <v>42</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062703-3C8F-4D1F-8F14-BCBCE29E96A2}">
  <sheetPr codeName="Sheet2"/>
  <dimension ref="A1:L76"/>
  <sheetViews>
    <sheetView showGridLines="0" tabSelected="1" zoomScaleNormal="100" workbookViewId="0">
      <selection activeCell="I8" sqref="I8"/>
    </sheetView>
  </sheetViews>
  <sheetFormatPr defaultRowHeight="16.5" x14ac:dyDescent="0.3"/>
  <cols>
    <col min="1" max="1" width="11.625" style="9" bestFit="1" customWidth="1"/>
    <col min="2" max="16384" width="9" style="9"/>
  </cols>
  <sheetData>
    <row r="1" spans="1:12" x14ac:dyDescent="0.3">
      <c r="K1" s="43">
        <v>1</v>
      </c>
      <c r="L1" s="43" t="s">
        <v>76</v>
      </c>
    </row>
    <row r="2" spans="1:12" x14ac:dyDescent="0.3">
      <c r="A2" s="9" t="s">
        <v>75</v>
      </c>
      <c r="L2" s="43" t="s">
        <v>77</v>
      </c>
    </row>
    <row r="3" spans="1:12" x14ac:dyDescent="0.3">
      <c r="L3" s="43" t="s">
        <v>78</v>
      </c>
    </row>
    <row r="4" spans="1:12" ht="37.5" x14ac:dyDescent="0.3">
      <c r="A4" s="12" t="s">
        <v>0</v>
      </c>
      <c r="B4" s="12" t="s">
        <v>1</v>
      </c>
      <c r="L4" s="43" t="s">
        <v>79</v>
      </c>
    </row>
    <row r="5" spans="1:12" ht="17.25" x14ac:dyDescent="0.3">
      <c r="A5" s="22"/>
      <c r="B5" s="20" t="s">
        <v>44</v>
      </c>
      <c r="L5" s="43" t="s">
        <v>80</v>
      </c>
    </row>
    <row r="6" spans="1:12" ht="17.25" x14ac:dyDescent="0.3">
      <c r="A6" s="22"/>
      <c r="B6" s="20" t="s">
        <v>23</v>
      </c>
    </row>
    <row r="7" spans="1:12" ht="17.25" x14ac:dyDescent="0.3">
      <c r="A7" s="22"/>
      <c r="B7" s="20" t="s">
        <v>45</v>
      </c>
    </row>
    <row r="8" spans="1:12" ht="17.25" x14ac:dyDescent="0.3">
      <c r="A8" s="22"/>
      <c r="B8" s="20" t="s">
        <v>46</v>
      </c>
    </row>
    <row r="9" spans="1:12" ht="17.25" x14ac:dyDescent="0.3">
      <c r="A9" s="22"/>
      <c r="B9" s="21" t="s">
        <v>47</v>
      </c>
    </row>
    <row r="10" spans="1:12" x14ac:dyDescent="0.3">
      <c r="A10" s="22"/>
      <c r="B10" s="22"/>
    </row>
    <row r="11" spans="1:12" ht="37.5" x14ac:dyDescent="0.3">
      <c r="A11" s="12" t="s">
        <v>7</v>
      </c>
      <c r="B11" s="12" t="s">
        <v>8</v>
      </c>
    </row>
    <row r="12" spans="1:12" x14ac:dyDescent="0.3">
      <c r="A12" s="13" t="s">
        <v>9</v>
      </c>
      <c r="B12" s="9" t="s">
        <v>73</v>
      </c>
    </row>
    <row r="13" spans="1:12" x14ac:dyDescent="0.3">
      <c r="A13" s="13" t="s">
        <v>10</v>
      </c>
      <c r="B13" s="9" t="s">
        <v>74</v>
      </c>
    </row>
    <row r="14" spans="1:12" ht="17.25" x14ac:dyDescent="0.3">
      <c r="A14" s="22"/>
      <c r="B14" s="10" t="s">
        <v>2</v>
      </c>
    </row>
    <row r="15" spans="1:12" ht="17.25" x14ac:dyDescent="0.3">
      <c r="A15" s="22"/>
      <c r="B15" s="10" t="s">
        <v>3</v>
      </c>
    </row>
    <row r="16" spans="1:12" ht="17.25" x14ac:dyDescent="0.3">
      <c r="A16" s="22"/>
      <c r="B16" s="10" t="s">
        <v>4</v>
      </c>
    </row>
    <row r="17" spans="1:2" ht="17.25" x14ac:dyDescent="0.3">
      <c r="A17" s="22"/>
      <c r="B17" s="10" t="s">
        <v>5</v>
      </c>
    </row>
    <row r="18" spans="1:2" ht="17.25" x14ac:dyDescent="0.3">
      <c r="A18" s="22"/>
      <c r="B18" s="11" t="s">
        <v>6</v>
      </c>
    </row>
    <row r="19" spans="1:2" x14ac:dyDescent="0.3">
      <c r="A19" s="22"/>
      <c r="B19" s="22"/>
    </row>
    <row r="20" spans="1:2" x14ac:dyDescent="0.3">
      <c r="A20" s="22"/>
      <c r="B20" s="22"/>
    </row>
    <row r="21" spans="1:2" x14ac:dyDescent="0.3">
      <c r="A21" s="22"/>
      <c r="B21" s="22"/>
    </row>
    <row r="22" spans="1:2" x14ac:dyDescent="0.3">
      <c r="A22" s="22"/>
      <c r="B22" s="22"/>
    </row>
    <row r="23" spans="1:2" x14ac:dyDescent="0.3">
      <c r="A23" s="22"/>
      <c r="B23" s="22"/>
    </row>
    <row r="24" spans="1:2" x14ac:dyDescent="0.3">
      <c r="A24" s="23"/>
      <c r="B24" s="22"/>
    </row>
    <row r="25" spans="1:2" x14ac:dyDescent="0.3">
      <c r="A25" s="24"/>
      <c r="B25" s="22"/>
    </row>
    <row r="26" spans="1:2" x14ac:dyDescent="0.3">
      <c r="A26" s="23"/>
      <c r="B26" s="22"/>
    </row>
    <row r="27" spans="1:2" x14ac:dyDescent="0.3">
      <c r="A27" s="24"/>
      <c r="B27" s="22"/>
    </row>
    <row r="28" spans="1:2" x14ac:dyDescent="0.3">
      <c r="A28" s="24"/>
      <c r="B28" s="22"/>
    </row>
    <row r="29" spans="1:2" x14ac:dyDescent="0.3">
      <c r="A29" s="24"/>
      <c r="B29" s="22"/>
    </row>
    <row r="30" spans="1:2" x14ac:dyDescent="0.3">
      <c r="A30" s="24"/>
      <c r="B30" s="22"/>
    </row>
    <row r="31" spans="1:2" x14ac:dyDescent="0.3">
      <c r="A31" s="23"/>
      <c r="B31" s="22"/>
    </row>
    <row r="32" spans="1:2" x14ac:dyDescent="0.3">
      <c r="A32" s="24"/>
      <c r="B32" s="22"/>
    </row>
    <row r="33" spans="1:2" x14ac:dyDescent="0.3">
      <c r="A33" s="24"/>
      <c r="B33" s="22"/>
    </row>
    <row r="34" spans="1:2" x14ac:dyDescent="0.3">
      <c r="A34" s="24"/>
      <c r="B34" s="22"/>
    </row>
    <row r="35" spans="1:2" x14ac:dyDescent="0.3">
      <c r="A35" s="24"/>
      <c r="B35" s="22"/>
    </row>
    <row r="36" spans="1:2" x14ac:dyDescent="0.3">
      <c r="A36" s="23"/>
      <c r="B36" s="22"/>
    </row>
    <row r="37" spans="1:2" x14ac:dyDescent="0.3">
      <c r="A37" s="25"/>
      <c r="B37" s="22"/>
    </row>
    <row r="38" spans="1:2" x14ac:dyDescent="0.3">
      <c r="A38" s="26"/>
      <c r="B38" s="22"/>
    </row>
    <row r="39" spans="1:2" x14ac:dyDescent="0.3">
      <c r="A39" s="25"/>
      <c r="B39" s="22"/>
    </row>
    <row r="40" spans="1:2" x14ac:dyDescent="0.3">
      <c r="A40" s="26"/>
      <c r="B40" s="22"/>
    </row>
    <row r="41" spans="1:2" x14ac:dyDescent="0.3">
      <c r="A41" s="25"/>
      <c r="B41" s="22"/>
    </row>
    <row r="42" spans="1:2" x14ac:dyDescent="0.3">
      <c r="A42" s="26"/>
      <c r="B42" s="22"/>
    </row>
    <row r="43" spans="1:2" x14ac:dyDescent="0.3">
      <c r="A43" s="25"/>
      <c r="B43" s="22"/>
    </row>
    <row r="44" spans="1:2" x14ac:dyDescent="0.3">
      <c r="A44" s="26"/>
      <c r="B44" s="22"/>
    </row>
    <row r="45" spans="1:2" x14ac:dyDescent="0.3">
      <c r="A45" s="25"/>
      <c r="B45" s="22"/>
    </row>
    <row r="46" spans="1:2" x14ac:dyDescent="0.3">
      <c r="A46" s="26"/>
      <c r="B46" s="22"/>
    </row>
    <row r="47" spans="1:2" x14ac:dyDescent="0.3">
      <c r="A47" s="24"/>
      <c r="B47" s="22"/>
    </row>
    <row r="48" spans="1:2" x14ac:dyDescent="0.3">
      <c r="A48" s="24"/>
      <c r="B48" s="22"/>
    </row>
    <row r="49" spans="1:2" x14ac:dyDescent="0.3">
      <c r="A49" s="24"/>
      <c r="B49" s="22"/>
    </row>
    <row r="50" spans="1:2" x14ac:dyDescent="0.3">
      <c r="A50" s="23"/>
      <c r="B50" s="22"/>
    </row>
    <row r="51" spans="1:2" x14ac:dyDescent="0.3">
      <c r="A51" s="24"/>
      <c r="B51" s="22"/>
    </row>
    <row r="52" spans="1:2" x14ac:dyDescent="0.3">
      <c r="A52" s="24"/>
      <c r="B52" s="22"/>
    </row>
    <row r="53" spans="1:2" x14ac:dyDescent="0.3">
      <c r="A53" s="24"/>
      <c r="B53" s="22"/>
    </row>
    <row r="54" spans="1:2" x14ac:dyDescent="0.3">
      <c r="A54" s="24"/>
      <c r="B54" s="22"/>
    </row>
    <row r="55" spans="1:2" x14ac:dyDescent="0.3">
      <c r="A55" s="23"/>
      <c r="B55" s="22"/>
    </row>
    <row r="56" spans="1:2" x14ac:dyDescent="0.3">
      <c r="A56" s="25"/>
      <c r="B56" s="22"/>
    </row>
    <row r="57" spans="1:2" x14ac:dyDescent="0.3">
      <c r="A57" s="25"/>
      <c r="B57" s="22"/>
    </row>
    <row r="58" spans="1:2" x14ac:dyDescent="0.3">
      <c r="A58" s="25"/>
      <c r="B58" s="22"/>
    </row>
    <row r="59" spans="1:2" x14ac:dyDescent="0.3">
      <c r="A59" s="25"/>
      <c r="B59" s="22"/>
    </row>
    <row r="60" spans="1:2" x14ac:dyDescent="0.3">
      <c r="A60" s="24"/>
      <c r="B60" s="22"/>
    </row>
    <row r="61" spans="1:2" x14ac:dyDescent="0.3">
      <c r="A61" s="24"/>
      <c r="B61" s="22"/>
    </row>
    <row r="62" spans="1:2" x14ac:dyDescent="0.3">
      <c r="A62" s="24"/>
      <c r="B62" s="22"/>
    </row>
    <row r="63" spans="1:2" x14ac:dyDescent="0.3">
      <c r="A63" s="23"/>
      <c r="B63" s="22"/>
    </row>
    <row r="64" spans="1:2" x14ac:dyDescent="0.3">
      <c r="A64" s="24"/>
      <c r="B64" s="22"/>
    </row>
    <row r="65" spans="1:2" x14ac:dyDescent="0.3">
      <c r="A65" s="24"/>
      <c r="B65" s="22"/>
    </row>
    <row r="66" spans="1:2" x14ac:dyDescent="0.3">
      <c r="A66" s="24"/>
      <c r="B66" s="22"/>
    </row>
    <row r="67" spans="1:2" x14ac:dyDescent="0.3">
      <c r="A67" s="24"/>
      <c r="B67" s="22"/>
    </row>
    <row r="68" spans="1:2" x14ac:dyDescent="0.3">
      <c r="A68" s="23"/>
      <c r="B68" s="22"/>
    </row>
    <row r="69" spans="1:2" x14ac:dyDescent="0.3">
      <c r="A69" s="25"/>
      <c r="B69" s="22"/>
    </row>
    <row r="70" spans="1:2" x14ac:dyDescent="0.3">
      <c r="A70" s="25"/>
      <c r="B70" s="22"/>
    </row>
    <row r="71" spans="1:2" x14ac:dyDescent="0.3">
      <c r="A71" s="25"/>
      <c r="B71" s="22"/>
    </row>
    <row r="72" spans="1:2" x14ac:dyDescent="0.3">
      <c r="A72" s="25"/>
      <c r="B72" s="22"/>
    </row>
    <row r="73" spans="1:2" x14ac:dyDescent="0.3">
      <c r="A73" s="25"/>
      <c r="B73" s="22"/>
    </row>
    <row r="74" spans="1:2" x14ac:dyDescent="0.3">
      <c r="A74" s="25"/>
      <c r="B74" s="22"/>
    </row>
    <row r="75" spans="1:2" x14ac:dyDescent="0.3">
      <c r="A75" s="24"/>
      <c r="B75" s="22"/>
    </row>
    <row r="76" spans="1:2" x14ac:dyDescent="0.3">
      <c r="A76" s="23"/>
      <c r="B76" s="22"/>
    </row>
  </sheetData>
  <sheetProtection formatCells="0" formatColumns="0" formatRows="0" insertColumns="0" insertRows="0" deleteColumns="0" deleteRows="0" sort="0" autoFilter="0" pivotTables="0"/>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ThemeSelector">
              <controlPr defaultSize="0" autoLine="0" autoPict="0" macro="[0]!ThemeSelector">
                <anchor moveWithCells="1">
                  <from>
                    <xdr:col>9</xdr:col>
                    <xdr:colOff>571500</xdr:colOff>
                    <xdr:row>0</xdr:row>
                    <xdr:rowOff>123825</xdr:rowOff>
                  </from>
                  <to>
                    <xdr:col>12</xdr:col>
                    <xdr:colOff>47625</xdr:colOff>
                    <xdr:row>1</xdr:row>
                    <xdr:rowOff>161925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 id="{D1703B8A-65F2-490C-AC6A-48B5624E207A}">
            <xm:f>Security!$A$1="NO VBA"</xm:f>
            <x14:dxf>
              <font>
                <color theme="0"/>
              </font>
              <border>
                <vertical/>
                <horizontal/>
              </border>
            </x14:dxf>
          </x14:cfRule>
          <xm:sqref>B10:D10 C9:D9</xm:sqref>
        </x14:conditionalFormatting>
        <x14:conditionalFormatting xmlns:xm="http://schemas.microsoft.com/office/excel/2006/main">
          <x14:cfRule type="expression" priority="1" id="{ED3CAF53-C68B-49C7-BA59-FE71E12FA704}">
            <xm:f>Security!$A$1="NO VBA"</xm:f>
            <x14:dxf>
              <font>
                <color theme="0"/>
              </font>
              <border>
                <vertical/>
                <horizontal/>
              </border>
            </x14:dxf>
          </x14:cfRule>
          <xm:sqref>E9:E10</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406DE2-2F3E-4C10-A814-13EF13FB84BA}">
  <sheetPr codeName="Sheet52">
    <tabColor theme="9" tint="0.79998168889431442"/>
    <outlinePr summaryBelow="0" summaryRight="0"/>
  </sheetPr>
  <dimension ref="A1:X65"/>
  <sheetViews>
    <sheetView showGridLines="0" workbookViewId="0">
      <selection activeCell="J31" sqref="J31"/>
    </sheetView>
  </sheetViews>
  <sheetFormatPr defaultRowHeight="18" customHeight="1" outlineLevelRow="1" outlineLevelCol="1" x14ac:dyDescent="0.3"/>
  <cols>
    <col min="1" max="1" width="1.25" style="1" customWidth="1" collapsed="1"/>
    <col min="2" max="2" width="13" style="1" hidden="1" customWidth="1" outlineLevel="1"/>
    <col min="3" max="3" width="14.5" style="1" hidden="1" customWidth="1" outlineLevel="1"/>
    <col min="4" max="4" width="15.75" style="1" hidden="1" customWidth="1" outlineLevel="1"/>
    <col min="5" max="5" width="1.25" style="1" hidden="1" customWidth="1" outlineLevel="1"/>
    <col min="6" max="6" width="13" style="1" hidden="1" customWidth="1" outlineLevel="1"/>
    <col min="7" max="7" width="14.75" style="1" hidden="1" customWidth="1" outlineLevel="1"/>
    <col min="8" max="8" width="1.25" style="1" customWidth="1"/>
    <col min="9" max="9" width="19.375" style="1" customWidth="1"/>
    <col min="10" max="10" width="16.375" style="1" bestFit="1" customWidth="1"/>
    <col min="11" max="11" width="14.375" style="1" bestFit="1" customWidth="1"/>
    <col min="12" max="12" width="13.375" style="1" customWidth="1" collapsed="1"/>
    <col min="13" max="13" width="16.25" style="1" hidden="1" customWidth="1" outlineLevel="1"/>
    <col min="14" max="14" width="16.5" style="1" hidden="1" customWidth="1" outlineLevel="1"/>
    <col min="15" max="15" width="1.25" style="1" customWidth="1"/>
    <col min="16" max="16" width="11.125" style="4" bestFit="1" customWidth="1"/>
    <col min="17" max="17" width="9" style="4"/>
    <col min="18" max="18" width="9" style="1"/>
    <col min="19" max="20" width="9" style="4"/>
    <col min="21" max="21" width="14.75" style="4" customWidth="1" outlineLevel="1"/>
    <col min="22" max="22" width="13.875" style="1" customWidth="1" outlineLevel="1"/>
    <col min="23" max="23" width="13.25" style="1" customWidth="1" outlineLevel="1"/>
    <col min="24" max="24" width="13.375" style="1" customWidth="1" outlineLevel="1"/>
    <col min="25" max="16384" width="9" style="1"/>
  </cols>
  <sheetData>
    <row r="1" spans="16:24" ht="18" customHeight="1" x14ac:dyDescent="0.3">
      <c r="P1" s="1" t="s">
        <v>32</v>
      </c>
      <c r="Q1" s="30">
        <v>30</v>
      </c>
    </row>
    <row r="2" spans="16:24" ht="18" customHeight="1" x14ac:dyDescent="0.3">
      <c r="P2" s="1" t="s">
        <v>55</v>
      </c>
      <c r="Q2" s="30">
        <v>90</v>
      </c>
    </row>
    <row r="3" spans="16:24" ht="18" customHeight="1" outlineLevel="1" x14ac:dyDescent="0.3">
      <c r="R3" s="4"/>
    </row>
    <row r="4" spans="16:24" ht="18" customHeight="1" outlineLevel="1" x14ac:dyDescent="0.3">
      <c r="R4" s="4"/>
    </row>
    <row r="5" spans="16:24" ht="18" customHeight="1" outlineLevel="1" x14ac:dyDescent="0.3">
      <c r="R5" s="4"/>
    </row>
    <row r="6" spans="16:24" ht="18" customHeight="1" outlineLevel="1" x14ac:dyDescent="0.35">
      <c r="R6" s="4"/>
      <c r="U6" s="40" t="s">
        <v>63</v>
      </c>
      <c r="V6" s="41"/>
      <c r="W6" s="42" t="s">
        <v>64</v>
      </c>
      <c r="X6" s="41"/>
    </row>
    <row r="7" spans="16:24" ht="18" customHeight="1" outlineLevel="1" x14ac:dyDescent="0.3">
      <c r="R7" s="4"/>
    </row>
    <row r="8" spans="16:24" ht="18" customHeight="1" outlineLevel="1" x14ac:dyDescent="0.35">
      <c r="R8" s="4"/>
      <c r="U8" s="40" t="s">
        <v>65</v>
      </c>
      <c r="W8" s="46" cm="1">
        <f t="array" ref="W8">IF(
ISBLANK($X$6),
IFERROR(
SUM(_xlfn._xlws.FILTER(Table_DonBan[Doanh thu ròng],
(Table_DonBan[Ngày lập]&gt;=$V$6)
)),0),
IFERROR(
SUM(_xlfn._xlws.FILTER(Table_DonBan[Doanh thu ròng],
(Table_DonBan[Ngày lập]&gt;=$V$6)*
(Table_DonBan[Ngày lập]&lt;=$X$6)
)),0)
)</f>
        <v>83305170</v>
      </c>
      <c r="X8" s="46"/>
    </row>
    <row r="9" spans="16:24" ht="18" customHeight="1" outlineLevel="1" x14ac:dyDescent="0.35">
      <c r="R9" s="4"/>
      <c r="U9" s="40" t="s">
        <v>66</v>
      </c>
      <c r="W9" s="46" cm="1">
        <f t="array" ref="W9">IF(
ISBLANK($X$6),
IFERROR(
SUM(_xlfn._xlws.FILTER(Table_DonBan[Điểm tích lũy],
(Table_DonBan[Ngày lập]&gt;=$V$6)
)),0),
IFERROR(
SUM(_xlfn._xlws.FILTER(Table_DonBan[Điểm tích lũy],
(Table_DonBan[Ngày lập]&gt;=$V$6)*
(Table_DonBan[Ngày lập]&lt;=$X$6)
)),0)
)</f>
        <v>1226832.3500000001</v>
      </c>
      <c r="X9" s="46"/>
    </row>
    <row r="10" spans="16:24" ht="18" customHeight="1" outlineLevel="1" x14ac:dyDescent="0.35">
      <c r="R10" s="4"/>
      <c r="U10" s="40" t="s">
        <v>67</v>
      </c>
      <c r="W10" s="47">
        <f>W9/W8</f>
        <v>1.4726965325201307E-2</v>
      </c>
      <c r="X10" s="47"/>
    </row>
    <row r="11" spans="16:24" ht="18" customHeight="1" outlineLevel="1" x14ac:dyDescent="0.35">
      <c r="R11" s="4"/>
      <c r="U11" s="40" t="s">
        <v>72</v>
      </c>
      <c r="W11" s="46" cm="1">
        <f t="array" ref="W11">IF(
ISBLANK($X$6),
IFERROR(
SUM(_xlfn._xlws.FILTER(Table_DonBan[Điểm sử dụng],
(Table_DonBan[Ngày lập]&gt;=$V$6)
)),0),
IFERROR(
SUM(_xlfn._xlws.FILTER(Table_DonBan[Điểm sử dụng],
(Table_DonBan[Ngày lập]&gt;=$V$6)*
(Table_DonBan[Ngày lập]&lt;=$X$6)
)),0)
)</f>
        <v>815000</v>
      </c>
      <c r="X11" s="46"/>
    </row>
    <row r="12" spans="16:24" ht="18" customHeight="1" outlineLevel="1" x14ac:dyDescent="0.35">
      <c r="R12" s="4"/>
      <c r="U12" s="40" t="s">
        <v>68</v>
      </c>
      <c r="W12" s="47">
        <f>W11/W9</f>
        <v>0.6643124466028304</v>
      </c>
      <c r="X12" s="47"/>
    </row>
    <row r="13" spans="16:24" ht="18" customHeight="1" outlineLevel="1" x14ac:dyDescent="0.3">
      <c r="R13" s="4"/>
    </row>
    <row r="14" spans="16:24" ht="18" customHeight="1" outlineLevel="1" x14ac:dyDescent="0.35">
      <c r="R14" s="4"/>
      <c r="U14" s="40" t="s">
        <v>69</v>
      </c>
      <c r="W14" s="44" t="s">
        <v>50</v>
      </c>
      <c r="X14" s="44"/>
    </row>
    <row r="15" spans="16:24" ht="18" customHeight="1" outlineLevel="1" x14ac:dyDescent="0.35">
      <c r="R15" s="4"/>
      <c r="U15" s="40" t="s">
        <v>70</v>
      </c>
      <c r="W15" s="45" t="str">
        <f>INDEX(Table_KHThanThiet_ChinhSach[[#All],[Cấp khách hàng]:[Tỷ lệ điểm thưởng]],
MATCH(
VLOOKUP($W$14,Table_DonBan[[Mã Khách]:[Điểm tích lũy]],COUNTA(Table_DonBan[[#Headers],[Mã Khách]:[Tỷ lệ tính điểm]]),0),
Table_KHThanThiet_ChinhSach[[#All],[Tỷ lệ điểm thưởng]],0),
1)</f>
        <v>Hạng đồng</v>
      </c>
      <c r="X15" s="45"/>
    </row>
    <row r="16" spans="16:24" ht="18" customHeight="1" outlineLevel="1" x14ac:dyDescent="0.35">
      <c r="R16" s="4"/>
      <c r="U16" s="40" t="s">
        <v>71</v>
      </c>
      <c r="W16" s="46">
        <f>VLOOKUP($W$14,Table_DonBan[[Mã Khách]:[Điểm tích lũy]],COUNTA(Table_DonBan[[#Headers],[Mã Khách]:[Điểm khả dụng]]),0)</f>
        <v>1797.4999999999709</v>
      </c>
      <c r="X16" s="46"/>
    </row>
    <row r="17" spans="2:24" ht="18" customHeight="1" outlineLevel="1" x14ac:dyDescent="0.35">
      <c r="R17" s="4"/>
      <c r="U17" s="40" t="s">
        <v>68</v>
      </c>
      <c r="W17" s="47" cm="1">
        <f t="array" ref="W17" xml:space="preserve">
IF(
ISBLANK($X$6),
IFERROR(
SUM(_xlfn._xlws.FILTER(Table_DonBan[Điểm sử dụng],
(Table_DonBan[Mã Khách] = $W$14)*
(Table_DonBan[Ngày lập]&gt;=$V$6)
)),0),
IFERROR(
SUM(_xlfn._xlws.FILTER(Table_DonBan[Điểm sử dụng],
(Table_DonBan[Mã Khách] = $W$14)*
(Table_DonBan[Ngày lập]&gt;=$V$6)*
(Table_DonBan[Ngày lập]&lt;=$X$6)
)),0)
)/
IF(
ISBLANK($X$6),
IFERROR(
SUM(_xlfn._xlws.FILTER(Table_DonBan[Điểm tích lũy],
(Table_DonBan[Mã Khách] = $W$14)*
(Table_DonBan[Ngày lập]&gt;=$V$6)
)),0),
IFERROR(
SUM(_xlfn._xlws.FILTER(Table_DonBan[Điểm tích lũy],
(Table_DonBan[Mã Khách] = $W$14)*
(Table_DonBan[Ngày lập]&gt;=$V$6)*
(Table_DonBan[Ngày lập]&lt;=$X$6)
)),0)
)</f>
        <v>0.82474685803297076</v>
      </c>
      <c r="X17" s="47"/>
    </row>
    <row r="18" spans="2:24" ht="18" customHeight="1" outlineLevel="1" x14ac:dyDescent="0.3">
      <c r="R18" s="4"/>
    </row>
    <row r="19" spans="2:24" ht="18" customHeight="1" outlineLevel="1" x14ac:dyDescent="0.3">
      <c r="R19" s="4"/>
    </row>
    <row r="20" spans="2:24" ht="16.5" outlineLevel="1" x14ac:dyDescent="0.3">
      <c r="B20" s="38" t="s">
        <v>11</v>
      </c>
      <c r="C20" t="s" vm="1">
        <v>16</v>
      </c>
      <c r="F20"/>
      <c r="G20"/>
      <c r="R20" s="4"/>
    </row>
    <row r="21" spans="2:24" ht="18" customHeight="1" outlineLevel="1" x14ac:dyDescent="0.3">
      <c r="R21" s="4"/>
    </row>
    <row r="22" spans="2:24" ht="16.5" x14ac:dyDescent="0.3">
      <c r="B22" s="38" t="s">
        <v>57</v>
      </c>
      <c r="C22" t="s">
        <v>61</v>
      </c>
      <c r="D22" t="s">
        <v>62</v>
      </c>
      <c r="F22" s="38" t="s">
        <v>57</v>
      </c>
      <c r="G22" t="s">
        <v>39</v>
      </c>
      <c r="I22" s="1" t="s">
        <v>26</v>
      </c>
      <c r="J22" s="1" t="s">
        <v>27</v>
      </c>
      <c r="K22" s="1" t="s">
        <v>28</v>
      </c>
      <c r="L22" s="1" t="s">
        <v>29</v>
      </c>
      <c r="M22" s="1" t="s">
        <v>30</v>
      </c>
      <c r="N22" s="1" t="s">
        <v>31</v>
      </c>
      <c r="P22" s="6" t="s">
        <v>56</v>
      </c>
      <c r="Q22" s="6" t="s">
        <v>11</v>
      </c>
      <c r="R22" s="6" t="s">
        <v>53</v>
      </c>
      <c r="S22" s="7" t="s">
        <v>39</v>
      </c>
      <c r="T22" s="7" t="s">
        <v>40</v>
      </c>
      <c r="U22" s="7" t="s">
        <v>25</v>
      </c>
      <c r="V22" s="1" t="s">
        <v>41</v>
      </c>
      <c r="W22" s="1" t="s">
        <v>54</v>
      </c>
      <c r="X22" s="6" t="s">
        <v>48</v>
      </c>
    </row>
    <row r="23" spans="2:24" ht="16.5" x14ac:dyDescent="0.3">
      <c r="B23" s="8" t="s">
        <v>59</v>
      </c>
      <c r="C23" s="39">
        <v>6.0525914489854152E-3</v>
      </c>
      <c r="D23" s="39">
        <v>0.27618310801970147</v>
      </c>
      <c r="F23" s="8" t="s">
        <v>49</v>
      </c>
      <c r="G23">
        <v>86372.350000000049</v>
      </c>
      <c r="I23" s="1" t="s">
        <v>33</v>
      </c>
      <c r="J23" s="2">
        <v>0</v>
      </c>
      <c r="K23" s="2">
        <v>10000000</v>
      </c>
      <c r="L23" s="5">
        <v>0</v>
      </c>
      <c r="M23" s="3">
        <f>IF(ISBLANK(Table_KHThanThiet_ChinhSach[[#This Row],[Doanh thu tối đa]]),0,(Table_KHThanThiet_ChinhSach[[#This Row],[Doanh thu tối đa]]-Table_KHThanThiet_ChinhSach[[#This Row],[Doanh thu tối thiểu]])*Table_KHThanThiet_ChinhSach[[#This Row],[Tỷ lệ điểm thưởng]])</f>
        <v>0</v>
      </c>
      <c r="N23" s="3" cm="1">
        <f t="array" ref="N23">IFERROR(
SUM(_xlfn._xlws.FILTER(Table_KHThanThiet_ChinhSach[Điểm thưởng tối đa],
(Table_KHThanThiet_ChinhSach[Tỷ lệ điểm thưởng]&lt;Table_KHThanThiet_ChinhSach[[#This Row],[Tỷ lệ điểm thưởng]])
)),0)</f>
        <v>0</v>
      </c>
      <c r="P23" s="28">
        <v>45804</v>
      </c>
      <c r="Q23" s="34" t="s">
        <v>51</v>
      </c>
      <c r="R23" s="32">
        <v>2722929</v>
      </c>
      <c r="S23" s="33" cm="1">
        <f t="array" ref="S23"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63965.25</v>
      </c>
      <c r="T23" s="31"/>
      <c r="U23" s="29">
        <f>Table_DonBan[[#This Row],[Tiền hàng]]-Table_DonBan[[#This Row],[Điểm sử dụng]]</f>
        <v>2722929</v>
      </c>
      <c r="V23" s="3" cm="1">
        <f t="array" ref="V23"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7263378</v>
      </c>
      <c r="W23" s="36" cm="1">
        <f t="array" ref="W23">+IFERROR(
MAX(_xlfn._xlws.FILTER(Table_KHThanThiet_ChinhSach[Tỷ lệ điểm thưởng],
(Table_KHThanThiet_ChinhSach[Doanh thu tối thiểu]&lt;=Table_DonBan[[#This Row],[Doanh thu tính điểm]])
)),0)</f>
        <v>0</v>
      </c>
      <c r="X23" s="37">
        <f xml:space="preserve">
Table_DonBan[[#This Row],[Tỷ lệ tính điểm]]*Table_DonBan[[#This Row],[Doanh thu ròng]]</f>
        <v>0</v>
      </c>
    </row>
    <row r="24" spans="2:24" ht="16.5" x14ac:dyDescent="0.3">
      <c r="B24" s="8" t="s">
        <v>60</v>
      </c>
      <c r="C24" s="39">
        <v>2.6438235256282083E-2</v>
      </c>
      <c r="D24" s="39">
        <v>0.78427652544585169</v>
      </c>
      <c r="F24" s="8" t="s">
        <v>51</v>
      </c>
      <c r="G24">
        <v>63965.25</v>
      </c>
      <c r="I24" s="1" t="s">
        <v>34</v>
      </c>
      <c r="J24" s="2">
        <v>10000000</v>
      </c>
      <c r="K24" s="2">
        <v>20000000</v>
      </c>
      <c r="L24" s="5">
        <v>0.05</v>
      </c>
      <c r="M24" s="3">
        <f>IF(ISBLANK(Table_KHThanThiet_ChinhSach[[#This Row],[Doanh thu tối đa]]),0,(Table_KHThanThiet_ChinhSach[[#This Row],[Doanh thu tối đa]]-Table_KHThanThiet_ChinhSach[[#This Row],[Doanh thu tối thiểu]])*Table_KHThanThiet_ChinhSach[[#This Row],[Tỷ lệ điểm thưởng]])</f>
        <v>500000</v>
      </c>
      <c r="N24" s="3" cm="1">
        <f t="array" ref="N24">IFERROR(
SUM(_xlfn._xlws.FILTER(Table_KHThanThiet_ChinhSach[Điểm thưởng tối đa],
(Table_KHThanThiet_ChinhSach[Tỷ lệ điểm thưởng]&lt;Table_KHThanThiet_ChinhSach[[#This Row],[Tỷ lệ điểm thưởng]])
)),0)</f>
        <v>0</v>
      </c>
      <c r="P24" s="28">
        <v>45803</v>
      </c>
      <c r="Q24" s="35" t="s">
        <v>52</v>
      </c>
      <c r="R24" s="32">
        <v>1420273</v>
      </c>
      <c r="S24" s="33" cm="1">
        <f t="array" ref="S24"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0</v>
      </c>
      <c r="T24" s="31"/>
      <c r="U24" s="29">
        <f>Table_DonBan[[#This Row],[Tiền hàng]]-Table_DonBan[[#This Row],[Điểm sử dụng]]</f>
        <v>1420273</v>
      </c>
      <c r="V24" s="3" cm="1">
        <f t="array" ref="V24"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9220351</v>
      </c>
      <c r="W24" s="36" cm="1">
        <f t="array" ref="W24">+IFERROR(
MAX(_xlfn._xlws.FILTER(Table_KHThanThiet_ChinhSach[Tỷ lệ điểm thưởng],
(Table_KHThanThiet_ChinhSach[Doanh thu tối thiểu]&lt;=Table_DonBan[[#This Row],[Doanh thu tính điểm]])
)),0)</f>
        <v>0</v>
      </c>
      <c r="X24" s="37">
        <f xml:space="preserve">
Table_DonBan[[#This Row],[Tỷ lệ tính điểm]]*Table_DonBan[[#This Row],[Doanh thu ròng]]</f>
        <v>0</v>
      </c>
    </row>
    <row r="25" spans="2:24" ht="16.5" x14ac:dyDescent="0.3">
      <c r="B25" s="8" t="s">
        <v>58</v>
      </c>
      <c r="C25" s="39">
        <v>1.4726965325201307E-2</v>
      </c>
      <c r="D25" s="39">
        <v>0.6643124466028304</v>
      </c>
      <c r="F25" s="8" t="s">
        <v>52</v>
      </c>
      <c r="G25">
        <v>0</v>
      </c>
      <c r="I25" s="1" t="s">
        <v>35</v>
      </c>
      <c r="J25" s="2">
        <v>20000000</v>
      </c>
      <c r="K25" s="2">
        <v>35000000</v>
      </c>
      <c r="L25" s="5">
        <v>0.1</v>
      </c>
      <c r="M25" s="3">
        <f>IF(ISBLANK(Table_KHThanThiet_ChinhSach[[#This Row],[Doanh thu tối đa]]),0,(Table_KHThanThiet_ChinhSach[[#This Row],[Doanh thu tối đa]]-Table_KHThanThiet_ChinhSach[[#This Row],[Doanh thu tối thiểu]])*Table_KHThanThiet_ChinhSach[[#This Row],[Tỷ lệ điểm thưởng]])</f>
        <v>1500000</v>
      </c>
      <c r="N25" s="3" cm="1">
        <f t="array" ref="N25">IFERROR(
SUM(_xlfn._xlws.FILTER(Table_KHThanThiet_ChinhSach[Điểm thưởng tối đa],
(Table_KHThanThiet_ChinhSach[Tỷ lệ điểm thưởng]&lt;Table_KHThanThiet_ChinhSach[[#This Row],[Tỷ lệ điểm thưởng]])
)),0)</f>
        <v>500000</v>
      </c>
      <c r="P25" s="28">
        <v>45798</v>
      </c>
      <c r="Q25" s="35" t="s">
        <v>50</v>
      </c>
      <c r="R25" s="32">
        <v>2657717</v>
      </c>
      <c r="S25" s="33" cm="1">
        <f t="array" ref="S25"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1797.4999999999709</v>
      </c>
      <c r="T25" s="31">
        <v>80000</v>
      </c>
      <c r="U25" s="29">
        <f>Table_DonBan[[#This Row],[Tiền hàng]]-Table_DonBan[[#This Row],[Điểm sử dụng]]</f>
        <v>2577717</v>
      </c>
      <c r="V25" s="3" cm="1">
        <f t="array" ref="V25"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12335950</v>
      </c>
      <c r="W25" s="36" cm="1">
        <f t="array" ref="W25">+IFERROR(
MAX(_xlfn._xlws.FILTER(Table_KHThanThiet_ChinhSach[Tỷ lệ điểm thưởng],
(Table_KHThanThiet_ChinhSach[Doanh thu tối thiểu]&lt;=Table_DonBan[[#This Row],[Doanh thu tính điểm]])
)),0)</f>
        <v>0.05</v>
      </c>
      <c r="X25" s="37">
        <f xml:space="preserve">
Table_DonBan[[#This Row],[Tỷ lệ tính điểm]]*Table_DonBan[[#This Row],[Doanh thu ròng]]</f>
        <v>128885.85</v>
      </c>
    </row>
    <row r="26" spans="2:24" ht="16.5" x14ac:dyDescent="0.3">
      <c r="B26"/>
      <c r="C26"/>
      <c r="D26"/>
      <c r="F26" s="8" t="s">
        <v>50</v>
      </c>
      <c r="G26">
        <v>1797.4999999999709</v>
      </c>
      <c r="I26" s="1" t="s">
        <v>36</v>
      </c>
      <c r="J26" s="2">
        <v>35000000</v>
      </c>
      <c r="K26" s="2">
        <v>60000000</v>
      </c>
      <c r="L26" s="5">
        <v>0.15</v>
      </c>
      <c r="M26" s="3">
        <f>IF(ISBLANK(Table_KHThanThiet_ChinhSach[[#This Row],[Doanh thu tối đa]]),0,(Table_KHThanThiet_ChinhSach[[#This Row],[Doanh thu tối đa]]-Table_KHThanThiet_ChinhSach[[#This Row],[Doanh thu tối thiểu]])*Table_KHThanThiet_ChinhSach[[#This Row],[Tỷ lệ điểm thưởng]])</f>
        <v>3750000</v>
      </c>
      <c r="N26" s="3" cm="1">
        <f t="array" ref="N26">IFERROR(
SUM(_xlfn._xlws.FILTER(Table_KHThanThiet_ChinhSach[Điểm thưởng tối đa],
(Table_KHThanThiet_ChinhSach[Tỷ lệ điểm thưởng]&lt;Table_KHThanThiet_ChinhSach[[#This Row],[Tỷ lệ điểm thưởng]])
)),0)</f>
        <v>2000000</v>
      </c>
      <c r="P26" s="28">
        <v>45796</v>
      </c>
      <c r="Q26" s="35" t="s">
        <v>52</v>
      </c>
      <c r="R26" s="32">
        <v>2302992</v>
      </c>
      <c r="S26" s="33" cm="1">
        <f t="array" ref="S26"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0</v>
      </c>
      <c r="T26" s="31"/>
      <c r="U26" s="29">
        <f>Table_DonBan[[#This Row],[Tiền hàng]]-Table_DonBan[[#This Row],[Điểm sử dụng]]</f>
        <v>2302992</v>
      </c>
      <c r="V26" s="3" cm="1">
        <f t="array" ref="V26"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8177704</v>
      </c>
      <c r="W26" s="36" cm="1">
        <f t="array" ref="W26">+IFERROR(
MAX(_xlfn._xlws.FILTER(Table_KHThanThiet_ChinhSach[Tỷ lệ điểm thưởng],
(Table_KHThanThiet_ChinhSach[Doanh thu tối thiểu]&lt;=Table_DonBan[[#This Row],[Doanh thu tính điểm]])
)),0)</f>
        <v>0</v>
      </c>
      <c r="X26" s="37">
        <f xml:space="preserve">
Table_DonBan[[#This Row],[Tỷ lệ tính điểm]]*Table_DonBan[[#This Row],[Doanh thu ròng]]</f>
        <v>0</v>
      </c>
    </row>
    <row r="27" spans="2:24" ht="16.5" x14ac:dyDescent="0.3">
      <c r="B27"/>
      <c r="C27"/>
      <c r="D27"/>
      <c r="F27" s="8" t="s">
        <v>58</v>
      </c>
      <c r="G27">
        <v>86372.350000000049</v>
      </c>
      <c r="I27" s="1" t="s">
        <v>37</v>
      </c>
      <c r="J27" s="2">
        <v>60000000</v>
      </c>
      <c r="K27" s="2">
        <v>100000000</v>
      </c>
      <c r="L27" s="5">
        <v>0.2</v>
      </c>
      <c r="M27" s="3">
        <f>IF(ISBLANK(Table_KHThanThiet_ChinhSach[[#This Row],[Doanh thu tối đa]]),0,(Table_KHThanThiet_ChinhSach[[#This Row],[Doanh thu tối đa]]-Table_KHThanThiet_ChinhSach[[#This Row],[Doanh thu tối thiểu]])*Table_KHThanThiet_ChinhSach[[#This Row],[Tỷ lệ điểm thưởng]])</f>
        <v>8000000</v>
      </c>
      <c r="N27" s="3" cm="1">
        <f t="array" ref="N27">IFERROR(
SUM(_xlfn._xlws.FILTER(Table_KHThanThiet_ChinhSach[Điểm thưởng tối đa],
(Table_KHThanThiet_ChinhSach[Tỷ lệ điểm thưởng]&lt;Table_KHThanThiet_ChinhSach[[#This Row],[Tỷ lệ điểm thưởng]])
)),0)</f>
        <v>5750000</v>
      </c>
      <c r="P27" s="28">
        <v>45795</v>
      </c>
      <c r="Q27" s="35" t="s">
        <v>50</v>
      </c>
      <c r="R27" s="32">
        <v>1675953</v>
      </c>
      <c r="S27" s="33" cm="1">
        <f t="array" ref="S27"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0</v>
      </c>
      <c r="T27" s="31">
        <v>150000</v>
      </c>
      <c r="U27" s="29">
        <f>Table_DonBan[[#This Row],[Tiền hàng]]-Table_DonBan[[#This Row],[Điểm sử dụng]]</f>
        <v>1525953</v>
      </c>
      <c r="V27" s="3" cm="1">
        <f t="array" ref="V27"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13686470</v>
      </c>
      <c r="W27" s="36" cm="1">
        <f t="array" ref="W27">+IFERROR(
MAX(_xlfn._xlws.FILTER(Table_KHThanThiet_ChinhSach[Tỷ lệ điểm thưởng],
(Table_KHThanThiet_ChinhSach[Doanh thu tối thiểu]&lt;=Table_DonBan[[#This Row],[Doanh thu tính điểm]])
)),0)</f>
        <v>0.05</v>
      </c>
      <c r="X27" s="37">
        <f xml:space="preserve">
Table_DonBan[[#This Row],[Tỷ lệ tính điểm]]*Table_DonBan[[#This Row],[Doanh thu ròng]]</f>
        <v>76297.650000000009</v>
      </c>
    </row>
    <row r="28" spans="2:24" ht="16.5" x14ac:dyDescent="0.3">
      <c r="B28"/>
      <c r="C28"/>
      <c r="D28"/>
      <c r="F28"/>
      <c r="G28"/>
      <c r="I28" s="1" t="s">
        <v>38</v>
      </c>
      <c r="J28" s="2">
        <v>100000000</v>
      </c>
      <c r="K28" s="2"/>
      <c r="L28" s="5">
        <v>0.25</v>
      </c>
      <c r="M28" s="3">
        <f>IF(ISBLANK(Table_KHThanThiet_ChinhSach[[#This Row],[Doanh thu tối đa]]),0,(Table_KHThanThiet_ChinhSach[[#This Row],[Doanh thu tối đa]]-Table_KHThanThiet_ChinhSach[[#This Row],[Doanh thu tối thiểu]])*Table_KHThanThiet_ChinhSach[[#This Row],[Tỷ lệ điểm thưởng]])</f>
        <v>0</v>
      </c>
      <c r="N28" s="3" cm="1">
        <f t="array" ref="N28">IFERROR(
SUM(_xlfn._xlws.FILTER(Table_KHThanThiet_ChinhSach[Điểm thưởng tối đa],
(Table_KHThanThiet_ChinhSach[Tỷ lệ điểm thưởng]&lt;Table_KHThanThiet_ChinhSach[[#This Row],[Tỷ lệ điểm thưởng]])
)),0)</f>
        <v>13750000</v>
      </c>
      <c r="P28" s="28">
        <v>45795</v>
      </c>
      <c r="Q28" s="35" t="s">
        <v>49</v>
      </c>
      <c r="R28" s="32">
        <v>2616228</v>
      </c>
      <c r="S28" s="33" cm="1">
        <f t="array" ref="S28"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86372.350000000049</v>
      </c>
      <c r="T28" s="31"/>
      <c r="U28" s="29">
        <f>Table_DonBan[[#This Row],[Tiền hàng]]-Table_DonBan[[#This Row],[Điểm sử dụng]]</f>
        <v>2616228</v>
      </c>
      <c r="V28" s="3" cm="1">
        <f t="array" ref="V28"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10083622</v>
      </c>
      <c r="W28" s="36" cm="1">
        <f t="array" ref="W28">+IFERROR(
MAX(_xlfn._xlws.FILTER(Table_KHThanThiet_ChinhSach[Tỷ lệ điểm thưởng],
(Table_KHThanThiet_ChinhSach[Doanh thu tối thiểu]&lt;=Table_DonBan[[#This Row],[Doanh thu tính điểm]])
)),0)</f>
        <v>0.05</v>
      </c>
      <c r="X28" s="37">
        <f xml:space="preserve">
Table_DonBan[[#This Row],[Tỷ lệ tính điểm]]*Table_DonBan[[#This Row],[Doanh thu ròng]]</f>
        <v>130811.40000000001</v>
      </c>
    </row>
    <row r="29" spans="2:24" ht="16.5" x14ac:dyDescent="0.3">
      <c r="B29"/>
      <c r="C29"/>
      <c r="D29"/>
      <c r="F29"/>
      <c r="G29"/>
      <c r="P29" s="28">
        <v>45794</v>
      </c>
      <c r="Q29" s="35" t="s">
        <v>49</v>
      </c>
      <c r="R29" s="32">
        <v>1535745</v>
      </c>
      <c r="S29" s="33" cm="1">
        <f t="array" ref="S29"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86372.350000000035</v>
      </c>
      <c r="T29" s="31">
        <v>100000</v>
      </c>
      <c r="U29" s="29">
        <f>Table_DonBan[[#This Row],[Tiền hàng]]-Table_DonBan[[#This Row],[Điểm sử dụng]]</f>
        <v>1435745</v>
      </c>
      <c r="V29" s="3" cm="1">
        <f t="array" ref="V29"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8647877</v>
      </c>
      <c r="W29" s="36" cm="1">
        <f t="array" ref="W29">+IFERROR(
MAX(_xlfn._xlws.FILTER(Table_KHThanThiet_ChinhSach[Tỷ lệ điểm thưởng],
(Table_KHThanThiet_ChinhSach[Doanh thu tối thiểu]&lt;=Table_DonBan[[#This Row],[Doanh thu tính điểm]])
)),0)</f>
        <v>0</v>
      </c>
      <c r="X29" s="37">
        <f xml:space="preserve">
Table_DonBan[[#This Row],[Tỷ lệ tính điểm]]*Table_DonBan[[#This Row],[Doanh thu ròng]]</f>
        <v>0</v>
      </c>
    </row>
    <row r="30" spans="2:24" ht="16.5" x14ac:dyDescent="0.3">
      <c r="B30"/>
      <c r="C30"/>
      <c r="D30"/>
      <c r="F30"/>
      <c r="G30"/>
      <c r="P30" s="28">
        <v>45789</v>
      </c>
      <c r="Q30" s="35" t="s">
        <v>50</v>
      </c>
      <c r="R30" s="32">
        <v>2950585</v>
      </c>
      <c r="S30" s="33" cm="1">
        <f t="array" ref="S30"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0</v>
      </c>
      <c r="T30" s="31">
        <v>40000</v>
      </c>
      <c r="U30" s="29">
        <f>Table_DonBan[[#This Row],[Tiền hàng]]-Table_DonBan[[#This Row],[Điểm sử dụng]]</f>
        <v>2910585</v>
      </c>
      <c r="V30" s="3" cm="1">
        <f t="array" ref="V30"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13288238</v>
      </c>
      <c r="W30" s="36" cm="1">
        <f t="array" ref="W30">+IFERROR(
MAX(_xlfn._xlws.FILTER(Table_KHThanThiet_ChinhSach[Tỷ lệ điểm thưởng],
(Table_KHThanThiet_ChinhSach[Doanh thu tối thiểu]&lt;=Table_DonBan[[#This Row],[Doanh thu tính điểm]])
)),0)</f>
        <v>0.05</v>
      </c>
      <c r="X30" s="37">
        <f xml:space="preserve">
Table_DonBan[[#This Row],[Tỷ lệ tính điểm]]*Table_DonBan[[#This Row],[Doanh thu ròng]]</f>
        <v>145529.25</v>
      </c>
    </row>
    <row r="31" spans="2:24" ht="16.5" x14ac:dyDescent="0.3">
      <c r="B31"/>
      <c r="C31"/>
      <c r="D31"/>
      <c r="F31"/>
      <c r="G31"/>
      <c r="P31" s="28">
        <v>45788</v>
      </c>
      <c r="Q31" s="35" t="s">
        <v>51</v>
      </c>
      <c r="R31" s="32">
        <v>2683212</v>
      </c>
      <c r="S31" s="33" cm="1">
        <f t="array" ref="S31"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63965.25</v>
      </c>
      <c r="T31" s="31"/>
      <c r="U31" s="29">
        <f>Table_DonBan[[#This Row],[Tiền hàng]]-Table_DonBan[[#This Row],[Điểm sử dụng]]</f>
        <v>2683212</v>
      </c>
      <c r="V31" s="3" cm="1">
        <f t="array" ref="V31"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7154261</v>
      </c>
      <c r="W31" s="36" cm="1">
        <f t="array" ref="W31">+IFERROR(
MAX(_xlfn._xlws.FILTER(Table_KHThanThiet_ChinhSach[Tỷ lệ điểm thưởng],
(Table_KHThanThiet_ChinhSach[Doanh thu tối thiểu]&lt;=Table_DonBan[[#This Row],[Doanh thu tính điểm]])
)),0)</f>
        <v>0</v>
      </c>
      <c r="X31" s="37">
        <f xml:space="preserve">
Table_DonBan[[#This Row],[Tỷ lệ tính điểm]]*Table_DonBan[[#This Row],[Doanh thu ròng]]</f>
        <v>0</v>
      </c>
    </row>
    <row r="32" spans="2:24" ht="16.5" x14ac:dyDescent="0.3">
      <c r="B32"/>
      <c r="C32"/>
      <c r="D32"/>
      <c r="F32"/>
      <c r="G32"/>
      <c r="P32" s="28">
        <v>45787</v>
      </c>
      <c r="Q32" s="35" t="s">
        <v>49</v>
      </c>
      <c r="R32" s="32">
        <v>1988900</v>
      </c>
      <c r="S32" s="33" cm="1">
        <f t="array" ref="S32"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0</v>
      </c>
      <c r="T32" s="31">
        <v>100000</v>
      </c>
      <c r="U32" s="29">
        <f>Table_DonBan[[#This Row],[Tiền hàng]]-Table_DonBan[[#This Row],[Điểm sử dụng]]</f>
        <v>1888900</v>
      </c>
      <c r="V32" s="3" cm="1">
        <f t="array" ref="V32"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13039800</v>
      </c>
      <c r="W32" s="36" cm="1">
        <f t="array" ref="W32">+IFERROR(
MAX(_xlfn._xlws.FILTER(Table_KHThanThiet_ChinhSach[Tỷ lệ điểm thưởng],
(Table_KHThanThiet_ChinhSach[Doanh thu tối thiểu]&lt;=Table_DonBan[[#This Row],[Doanh thu tính điểm]])
)),0)</f>
        <v>0.05</v>
      </c>
      <c r="X32" s="37">
        <f xml:space="preserve">
Table_DonBan[[#This Row],[Tỷ lệ tính điểm]]*Table_DonBan[[#This Row],[Doanh thu ròng]]</f>
        <v>94445</v>
      </c>
    </row>
    <row r="33" spans="2:24" ht="16.5" x14ac:dyDescent="0.3">
      <c r="B33"/>
      <c r="C33"/>
      <c r="D33"/>
      <c r="F33"/>
      <c r="G33"/>
      <c r="P33" s="28">
        <v>45786</v>
      </c>
      <c r="Q33" s="35" t="s">
        <v>51</v>
      </c>
      <c r="R33" s="32">
        <v>2021441</v>
      </c>
      <c r="S33" s="33" cm="1">
        <f t="array" ref="S33"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63965.25</v>
      </c>
      <c r="T33" s="31"/>
      <c r="U33" s="29">
        <f>Table_DonBan[[#This Row],[Tiền hàng]]-Table_DonBan[[#This Row],[Điểm sử dụng]]</f>
        <v>2021441</v>
      </c>
      <c r="V33" s="3" cm="1">
        <f t="array" ref="V33"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8052657</v>
      </c>
      <c r="W33" s="36" cm="1">
        <f t="array" ref="W33">+IFERROR(
MAX(_xlfn._xlws.FILTER(Table_KHThanThiet_ChinhSach[Tỷ lệ điểm thưởng],
(Table_KHThanThiet_ChinhSach[Doanh thu tối thiểu]&lt;=Table_DonBan[[#This Row],[Doanh thu tính điểm]])
)),0)</f>
        <v>0</v>
      </c>
      <c r="X33" s="37">
        <f xml:space="preserve">
Table_DonBan[[#This Row],[Tỷ lệ tính điểm]]*Table_DonBan[[#This Row],[Doanh thu ròng]]</f>
        <v>0</v>
      </c>
    </row>
    <row r="34" spans="2:24" ht="16.5" x14ac:dyDescent="0.3">
      <c r="B34"/>
      <c r="C34"/>
      <c r="D34"/>
      <c r="F34"/>
      <c r="G34"/>
      <c r="P34" s="28">
        <v>45786</v>
      </c>
      <c r="Q34" s="35" t="s">
        <v>52</v>
      </c>
      <c r="R34" s="32">
        <v>1316052</v>
      </c>
      <c r="S34" s="33" cm="1">
        <f t="array" ref="S34"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0</v>
      </c>
      <c r="T34" s="31"/>
      <c r="U34" s="29">
        <f>Table_DonBan[[#This Row],[Tiền hàng]]-Table_DonBan[[#This Row],[Điểm sử dụng]]</f>
        <v>1316052</v>
      </c>
      <c r="V34" s="3" cm="1">
        <f t="array" ref="V34"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9351040</v>
      </c>
      <c r="W34" s="36" cm="1">
        <f t="array" ref="W34">+IFERROR(
MAX(_xlfn._xlws.FILTER(Table_KHThanThiet_ChinhSach[Tỷ lệ điểm thưởng],
(Table_KHThanThiet_ChinhSach[Doanh thu tối thiểu]&lt;=Table_DonBan[[#This Row],[Doanh thu tính điểm]])
)),0)</f>
        <v>0</v>
      </c>
      <c r="X34" s="37">
        <f xml:space="preserve">
Table_DonBan[[#This Row],[Tỷ lệ tính điểm]]*Table_DonBan[[#This Row],[Doanh thu ròng]]</f>
        <v>0</v>
      </c>
    </row>
    <row r="35" spans="2:24" ht="16.5" x14ac:dyDescent="0.3">
      <c r="B35"/>
      <c r="C35"/>
      <c r="D35"/>
      <c r="F35"/>
      <c r="G35"/>
      <c r="P35" s="28">
        <v>45786</v>
      </c>
      <c r="Q35" s="35" t="s">
        <v>49</v>
      </c>
      <c r="R35" s="32">
        <v>2298934</v>
      </c>
      <c r="S35" s="33" cm="1">
        <f t="array" ref="S35"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0</v>
      </c>
      <c r="T35" s="31"/>
      <c r="U35" s="29">
        <f>Table_DonBan[[#This Row],[Tiền hàng]]-Table_DonBan[[#This Row],[Điểm sử dụng]]</f>
        <v>2298934</v>
      </c>
      <c r="V35" s="3" cm="1">
        <f t="array" ref="V35"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10740866</v>
      </c>
      <c r="W35" s="36" cm="1">
        <f t="array" ref="W35">+IFERROR(
MAX(_xlfn._xlws.FILTER(Table_KHThanThiet_ChinhSach[Tỷ lệ điểm thưởng],
(Table_KHThanThiet_ChinhSach[Doanh thu tối thiểu]&lt;=Table_DonBan[[#This Row],[Doanh thu tính điểm]])
)),0)</f>
        <v>0.05</v>
      </c>
      <c r="X35" s="37">
        <f xml:space="preserve">
Table_DonBan[[#This Row],[Tỷ lệ tính điểm]]*Table_DonBan[[#This Row],[Doanh thu ròng]]</f>
        <v>114946.70000000001</v>
      </c>
    </row>
    <row r="36" spans="2:24" ht="16.5" x14ac:dyDescent="0.3">
      <c r="B36"/>
      <c r="C36"/>
      <c r="D36"/>
      <c r="F36"/>
      <c r="G36"/>
      <c r="P36" s="28">
        <v>45783</v>
      </c>
      <c r="Q36" s="35" t="s">
        <v>50</v>
      </c>
      <c r="R36" s="32">
        <v>1108323</v>
      </c>
      <c r="S36" s="33" cm="1">
        <f t="array" ref="S36"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0</v>
      </c>
      <c r="T36" s="31">
        <v>120000</v>
      </c>
      <c r="U36" s="29">
        <f>Table_DonBan[[#This Row],[Tiền hàng]]-Table_DonBan[[#This Row],[Điểm sử dụng]]</f>
        <v>988323</v>
      </c>
      <c r="V36" s="3" cm="1">
        <f t="array" ref="V36"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14500296</v>
      </c>
      <c r="W36" s="36" cm="1">
        <f t="array" ref="W36">+IFERROR(
MAX(_xlfn._xlws.FILTER(Table_KHThanThiet_ChinhSach[Tỷ lệ điểm thưởng],
(Table_KHThanThiet_ChinhSach[Doanh thu tối thiểu]&lt;=Table_DonBan[[#This Row],[Doanh thu tính điểm]])
)),0)</f>
        <v>0.05</v>
      </c>
      <c r="X36" s="37">
        <f xml:space="preserve">
Table_DonBan[[#This Row],[Tỷ lệ tính điểm]]*Table_DonBan[[#This Row],[Doanh thu ròng]]</f>
        <v>49416.15</v>
      </c>
    </row>
    <row r="37" spans="2:24" ht="16.5" x14ac:dyDescent="0.3">
      <c r="B37"/>
      <c r="C37"/>
      <c r="D37"/>
      <c r="F37"/>
      <c r="G37"/>
      <c r="P37" s="28">
        <v>45783</v>
      </c>
      <c r="Q37" s="35" t="s">
        <v>52</v>
      </c>
      <c r="R37" s="32">
        <v>1545984</v>
      </c>
      <c r="S37" s="33" cm="1">
        <f t="array" ref="S37"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0</v>
      </c>
      <c r="T37" s="31"/>
      <c r="U37" s="29">
        <f>Table_DonBan[[#This Row],[Tiền hàng]]-Table_DonBan[[#This Row],[Điểm sử dụng]]</f>
        <v>1545984</v>
      </c>
      <c r="V37" s="3" cm="1">
        <f t="array" ref="V37"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7805056</v>
      </c>
      <c r="W37" s="36" cm="1">
        <f t="array" ref="W37">+IFERROR(
MAX(_xlfn._xlws.FILTER(Table_KHThanThiet_ChinhSach[Tỷ lệ điểm thưởng],
(Table_KHThanThiet_ChinhSach[Doanh thu tối thiểu]&lt;=Table_DonBan[[#This Row],[Doanh thu tính điểm]])
)),0)</f>
        <v>0</v>
      </c>
      <c r="X37" s="37">
        <f xml:space="preserve">
Table_DonBan[[#This Row],[Tỷ lệ tính điểm]]*Table_DonBan[[#This Row],[Doanh thu ròng]]</f>
        <v>0</v>
      </c>
    </row>
    <row r="38" spans="2:24" ht="16.5" x14ac:dyDescent="0.3">
      <c r="B38"/>
      <c r="C38"/>
      <c r="D38"/>
      <c r="F38"/>
      <c r="G38"/>
      <c r="P38" s="28">
        <v>45781</v>
      </c>
      <c r="Q38" s="35" t="s">
        <v>49</v>
      </c>
      <c r="R38" s="32">
        <v>1539613</v>
      </c>
      <c r="S38" s="33" cm="1">
        <f t="array" ref="S38"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0</v>
      </c>
      <c r="T38" s="31"/>
      <c r="U38" s="29">
        <f>Table_DonBan[[#This Row],[Tiền hàng]]-Table_DonBan[[#This Row],[Điểm sử dụng]]</f>
        <v>1539613</v>
      </c>
      <c r="V38" s="3" cm="1">
        <f t="array" ref="V38"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11044596</v>
      </c>
      <c r="W38" s="36" cm="1">
        <f t="array" ref="W38">+IFERROR(
MAX(_xlfn._xlws.FILTER(Table_KHThanThiet_ChinhSach[Tỷ lệ điểm thưởng],
(Table_KHThanThiet_ChinhSach[Doanh thu tối thiểu]&lt;=Table_DonBan[[#This Row],[Doanh thu tính điểm]])
)),0)</f>
        <v>0.05</v>
      </c>
      <c r="X38" s="37">
        <f xml:space="preserve">
Table_DonBan[[#This Row],[Tỷ lệ tính điểm]]*Table_DonBan[[#This Row],[Doanh thu ròng]]</f>
        <v>76980.650000000009</v>
      </c>
    </row>
    <row r="39" spans="2:24" ht="16.5" x14ac:dyDescent="0.3">
      <c r="B39"/>
      <c r="C39"/>
      <c r="D39"/>
      <c r="F39"/>
      <c r="G39"/>
      <c r="P39" s="28">
        <v>45778</v>
      </c>
      <c r="Q39" s="35" t="s">
        <v>50</v>
      </c>
      <c r="R39" s="32">
        <v>2542136</v>
      </c>
      <c r="S39" s="33" cm="1">
        <f t="array" ref="S39"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0</v>
      </c>
      <c r="T39" s="31">
        <v>145000</v>
      </c>
      <c r="U39" s="29">
        <f>Table_DonBan[[#This Row],[Tiền hàng]]-Table_DonBan[[#This Row],[Điểm sử dụng]]</f>
        <v>2397136</v>
      </c>
      <c r="V39" s="3" cm="1">
        <f t="array" ref="V39"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15797241</v>
      </c>
      <c r="W39" s="36" cm="1">
        <f t="array" ref="W39">+IFERROR(
MAX(_xlfn._xlws.FILTER(Table_KHThanThiet_ChinhSach[Tỷ lệ điểm thưởng],
(Table_KHThanThiet_ChinhSach[Doanh thu tối thiểu]&lt;=Table_DonBan[[#This Row],[Doanh thu tính điểm]])
)),0)</f>
        <v>0.05</v>
      </c>
      <c r="X39" s="37">
        <f xml:space="preserve">
Table_DonBan[[#This Row],[Tỷ lệ tính điểm]]*Table_DonBan[[#This Row],[Doanh thu ròng]]</f>
        <v>119856.8</v>
      </c>
    </row>
    <row r="40" spans="2:24" ht="16.5" x14ac:dyDescent="0.3">
      <c r="B40"/>
      <c r="C40"/>
      <c r="D40"/>
      <c r="P40" s="28">
        <v>45778</v>
      </c>
      <c r="Q40" s="35" t="s">
        <v>52</v>
      </c>
      <c r="R40" s="32">
        <v>1255487</v>
      </c>
      <c r="S40" s="33" cm="1">
        <f t="array" ref="S40"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0</v>
      </c>
      <c r="T40" s="31"/>
      <c r="U40" s="29">
        <f>Table_DonBan[[#This Row],[Tiền hàng]]-Table_DonBan[[#This Row],[Điểm sử dụng]]</f>
        <v>1255487</v>
      </c>
      <c r="V40" s="3" cm="1">
        <f t="array" ref="V40"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8275374</v>
      </c>
      <c r="W40" s="36" cm="1">
        <f t="array" ref="W40">+IFERROR(
MAX(_xlfn._xlws.FILTER(Table_KHThanThiet_ChinhSach[Tỷ lệ điểm thưởng],
(Table_KHThanThiet_ChinhSach[Doanh thu tối thiểu]&lt;=Table_DonBan[[#This Row],[Doanh thu tính điểm]])
)),0)</f>
        <v>0</v>
      </c>
      <c r="X40" s="37">
        <f xml:space="preserve">
Table_DonBan[[#This Row],[Tỷ lệ tính điểm]]*Table_DonBan[[#This Row],[Doanh thu ròng]]</f>
        <v>0</v>
      </c>
    </row>
    <row r="41" spans="2:24" ht="16.5" x14ac:dyDescent="0.3">
      <c r="B41"/>
      <c r="C41"/>
      <c r="D41"/>
      <c r="P41" s="28">
        <v>45776</v>
      </c>
      <c r="Q41" s="35" t="s">
        <v>51</v>
      </c>
      <c r="R41" s="32">
        <v>1279305</v>
      </c>
      <c r="S41" s="33" cm="1">
        <f t="array" ref="S41"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0</v>
      </c>
      <c r="T41" s="31"/>
      <c r="U41" s="29">
        <f>Table_DonBan[[#This Row],[Tiền hàng]]-Table_DonBan[[#This Row],[Điểm sử dụng]]</f>
        <v>1279305</v>
      </c>
      <c r="V41" s="3" cm="1">
        <f t="array" ref="V41"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10358525</v>
      </c>
      <c r="W41" s="36" cm="1">
        <f t="array" ref="W41">+IFERROR(
MAX(_xlfn._xlws.FILTER(Table_KHThanThiet_ChinhSach[Tỷ lệ điểm thưởng],
(Table_KHThanThiet_ChinhSach[Doanh thu tối thiểu]&lt;=Table_DonBan[[#This Row],[Doanh thu tính điểm]])
)),0)</f>
        <v>0.05</v>
      </c>
      <c r="X41" s="37">
        <f xml:space="preserve">
Table_DonBan[[#This Row],[Tỷ lệ tính điểm]]*Table_DonBan[[#This Row],[Doanh thu ròng]]</f>
        <v>63965.25</v>
      </c>
    </row>
    <row r="42" spans="2:24" ht="16.5" x14ac:dyDescent="0.3">
      <c r="B42"/>
      <c r="C42"/>
      <c r="D42"/>
      <c r="P42" s="28">
        <v>45775</v>
      </c>
      <c r="Q42" s="35" t="s">
        <v>51</v>
      </c>
      <c r="R42" s="32">
        <v>1279420</v>
      </c>
      <c r="S42" s="33" cm="1">
        <f t="array" ref="S42"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0</v>
      </c>
      <c r="T42" s="31"/>
      <c r="U42" s="29">
        <f>Table_DonBan[[#This Row],[Tiền hàng]]-Table_DonBan[[#This Row],[Điểm sử dụng]]</f>
        <v>1279420</v>
      </c>
      <c r="V42" s="3" cm="1">
        <f t="array" ref="V42"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9079105</v>
      </c>
      <c r="W42" s="36" cm="1">
        <f t="array" ref="W42">+IFERROR(
MAX(_xlfn._xlws.FILTER(Table_KHThanThiet_ChinhSach[Tỷ lệ điểm thưởng],
(Table_KHThanThiet_ChinhSach[Doanh thu tối thiểu]&lt;=Table_DonBan[[#This Row],[Doanh thu tính điểm]])
)),0)</f>
        <v>0</v>
      </c>
      <c r="X42" s="37">
        <f xml:space="preserve">
Table_DonBan[[#This Row],[Tỷ lệ tính điểm]]*Table_DonBan[[#This Row],[Doanh thu ròng]]</f>
        <v>0</v>
      </c>
    </row>
    <row r="43" spans="2:24" ht="16.5" x14ac:dyDescent="0.3">
      <c r="B43"/>
      <c r="C43"/>
      <c r="D43"/>
      <c r="P43" s="28">
        <v>45775</v>
      </c>
      <c r="Q43" s="35" t="s">
        <v>52</v>
      </c>
      <c r="R43" s="32">
        <v>2799836</v>
      </c>
      <c r="S43" s="33" cm="1">
        <f t="array" ref="S43"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0</v>
      </c>
      <c r="T43" s="31"/>
      <c r="U43" s="29">
        <f>Table_DonBan[[#This Row],[Tiền hàng]]-Table_DonBan[[#This Row],[Điểm sử dụng]]</f>
        <v>2799836</v>
      </c>
      <c r="V43" s="3" cm="1">
        <f t="array" ref="V43"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5475538</v>
      </c>
      <c r="W43" s="36" cm="1">
        <f t="array" ref="W43">+IFERROR(
MAX(_xlfn._xlws.FILTER(Table_KHThanThiet_ChinhSach[Tỷ lệ điểm thưởng],
(Table_KHThanThiet_ChinhSach[Doanh thu tối thiểu]&lt;=Table_DonBan[[#This Row],[Doanh thu tính điểm]])
)),0)</f>
        <v>0</v>
      </c>
      <c r="X43" s="37">
        <f xml:space="preserve">
Table_DonBan[[#This Row],[Tỷ lệ tính điểm]]*Table_DonBan[[#This Row],[Doanh thu ròng]]</f>
        <v>0</v>
      </c>
    </row>
    <row r="44" spans="2:24" ht="16.5" x14ac:dyDescent="0.3">
      <c r="B44"/>
      <c r="C44"/>
      <c r="D44"/>
      <c r="P44" s="28">
        <v>45775</v>
      </c>
      <c r="Q44" s="35" t="s">
        <v>49</v>
      </c>
      <c r="R44" s="32">
        <v>2920430</v>
      </c>
      <c r="S44" s="33" cm="1">
        <f t="array" ref="S44"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0</v>
      </c>
      <c r="T44" s="31"/>
      <c r="U44" s="29">
        <f>Table_DonBan[[#This Row],[Tiền hàng]]-Table_DonBan[[#This Row],[Điểm sử dụng]]</f>
        <v>2920430</v>
      </c>
      <c r="V44" s="3" cm="1">
        <f t="array" ref="V44"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9226791</v>
      </c>
      <c r="W44" s="36" cm="1">
        <f t="array" ref="W44">+IFERROR(
MAX(_xlfn._xlws.FILTER(Table_KHThanThiet_ChinhSach[Tỷ lệ điểm thưởng],
(Table_KHThanThiet_ChinhSach[Doanh thu tối thiểu]&lt;=Table_DonBan[[#This Row],[Doanh thu tính điểm]])
)),0)</f>
        <v>0</v>
      </c>
      <c r="X44" s="37">
        <f xml:space="preserve">
Table_DonBan[[#This Row],[Tỷ lệ tính điểm]]*Table_DonBan[[#This Row],[Doanh thu ròng]]</f>
        <v>0</v>
      </c>
    </row>
    <row r="45" spans="2:24" ht="16.5" x14ac:dyDescent="0.3">
      <c r="B45"/>
      <c r="C45"/>
      <c r="D45"/>
      <c r="P45" s="28">
        <v>45771</v>
      </c>
      <c r="Q45" s="35" t="s">
        <v>50</v>
      </c>
      <c r="R45" s="32">
        <v>2964215</v>
      </c>
      <c r="S45" s="33" cm="1">
        <f t="array" ref="S45"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0</v>
      </c>
      <c r="T45" s="31">
        <v>80000</v>
      </c>
      <c r="U45" s="29">
        <f>Table_DonBan[[#This Row],[Tiền hàng]]-Table_DonBan[[#This Row],[Điểm sử dụng]]</f>
        <v>2884215</v>
      </c>
      <c r="V45" s="3" cm="1">
        <f t="array" ref="V45"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12913026</v>
      </c>
      <c r="W45" s="36" cm="1">
        <f t="array" ref="W45">+IFERROR(
MAX(_xlfn._xlws.FILTER(Table_KHThanThiet_ChinhSach[Tỷ lệ điểm thưởng],
(Table_KHThanThiet_ChinhSach[Doanh thu tối thiểu]&lt;=Table_DonBan[[#This Row],[Doanh thu tính điểm]])
)),0)</f>
        <v>0.05</v>
      </c>
      <c r="X45" s="37">
        <f xml:space="preserve">
Table_DonBan[[#This Row],[Tỷ lệ tính điểm]]*Table_DonBan[[#This Row],[Doanh thu ròng]]</f>
        <v>144210.75</v>
      </c>
    </row>
    <row r="46" spans="2:24" ht="16.5" x14ac:dyDescent="0.3">
      <c r="B46"/>
      <c r="C46"/>
      <c r="D46"/>
      <c r="P46" s="28">
        <v>45769</v>
      </c>
      <c r="Q46" s="35" t="s">
        <v>50</v>
      </c>
      <c r="R46" s="32">
        <v>1629738</v>
      </c>
      <c r="S46" s="33" cm="1">
        <f t="array" ref="S46"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0</v>
      </c>
      <c r="T46" s="31"/>
      <c r="U46" s="29">
        <f>Table_DonBan[[#This Row],[Tiền hàng]]-Table_DonBan[[#This Row],[Điểm sử dụng]]</f>
        <v>1629738</v>
      </c>
      <c r="V46" s="3" cm="1">
        <f t="array" ref="V46"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11283288</v>
      </c>
      <c r="W46" s="36" cm="1">
        <f t="array" ref="W46">+IFERROR(
MAX(_xlfn._xlws.FILTER(Table_KHThanThiet_ChinhSach[Tỷ lệ điểm thưởng],
(Table_KHThanThiet_ChinhSach[Doanh thu tối thiểu]&lt;=Table_DonBan[[#This Row],[Doanh thu tính điểm]])
)),0)</f>
        <v>0.05</v>
      </c>
      <c r="X46" s="37">
        <f xml:space="preserve">
Table_DonBan[[#This Row],[Tỷ lệ tính điểm]]*Table_DonBan[[#This Row],[Doanh thu ròng]]</f>
        <v>81486.900000000009</v>
      </c>
    </row>
    <row r="47" spans="2:24" ht="16.5" x14ac:dyDescent="0.3">
      <c r="B47"/>
      <c r="C47"/>
      <c r="D47"/>
      <c r="P47" s="28">
        <v>45768</v>
      </c>
      <c r="Q47" s="35" t="s">
        <v>52</v>
      </c>
      <c r="R47" s="32">
        <v>1260345</v>
      </c>
      <c r="S47" s="33" cm="1">
        <f t="array" ref="S47"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0</v>
      </c>
      <c r="T47" s="31"/>
      <c r="U47" s="29">
        <f>Table_DonBan[[#This Row],[Tiền hàng]]-Table_DonBan[[#This Row],[Điểm sử dụng]]</f>
        <v>1260345</v>
      </c>
      <c r="V47" s="3" cm="1">
        <f t="array" ref="V47"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4215193</v>
      </c>
      <c r="W47" s="36" cm="1">
        <f t="array" ref="W47">+IFERROR(
MAX(_xlfn._xlws.FILTER(Table_KHThanThiet_ChinhSach[Tỷ lệ điểm thưởng],
(Table_KHThanThiet_ChinhSach[Doanh thu tối thiểu]&lt;=Table_DonBan[[#This Row],[Doanh thu tính điểm]])
)),0)</f>
        <v>0</v>
      </c>
      <c r="X47" s="37">
        <f xml:space="preserve">
Table_DonBan[[#This Row],[Tỷ lệ tính điểm]]*Table_DonBan[[#This Row],[Doanh thu ròng]]</f>
        <v>0</v>
      </c>
    </row>
    <row r="48" spans="2:24" ht="16.5" x14ac:dyDescent="0.3">
      <c r="B48"/>
      <c r="C48"/>
      <c r="D48"/>
      <c r="P48" s="28">
        <v>45766</v>
      </c>
      <c r="Q48" s="35" t="s">
        <v>50</v>
      </c>
      <c r="R48" s="32">
        <v>2876473</v>
      </c>
      <c r="S48" s="33" cm="1">
        <f t="array" ref="S48"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0</v>
      </c>
      <c r="T48" s="31"/>
      <c r="U48" s="29">
        <f>Table_DonBan[[#This Row],[Tiền hàng]]-Table_DonBan[[#This Row],[Điểm sử dụng]]</f>
        <v>2876473</v>
      </c>
      <c r="V48" s="3" cm="1">
        <f t="array" ref="V48"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8406815</v>
      </c>
      <c r="W48" s="36" cm="1">
        <f t="array" ref="W48">+IFERROR(
MAX(_xlfn._xlws.FILTER(Table_KHThanThiet_ChinhSach[Tỷ lệ điểm thưởng],
(Table_KHThanThiet_ChinhSach[Doanh thu tối thiểu]&lt;=Table_DonBan[[#This Row],[Doanh thu tính điểm]])
)),0)</f>
        <v>0</v>
      </c>
      <c r="X48" s="37">
        <f xml:space="preserve">
Table_DonBan[[#This Row],[Tỷ lệ tính điểm]]*Table_DonBan[[#This Row],[Doanh thu ròng]]</f>
        <v>0</v>
      </c>
    </row>
    <row r="49" spans="2:24" ht="16.5" x14ac:dyDescent="0.3">
      <c r="B49"/>
      <c r="C49"/>
      <c r="D49"/>
      <c r="P49" s="28">
        <v>45765</v>
      </c>
      <c r="Q49" s="35" t="s">
        <v>51</v>
      </c>
      <c r="R49" s="32">
        <v>2574095</v>
      </c>
      <c r="S49" s="33" cm="1">
        <f t="array" ref="S49"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0</v>
      </c>
      <c r="T49" s="31"/>
      <c r="U49" s="29">
        <f>Table_DonBan[[#This Row],[Tiền hàng]]-Table_DonBan[[#This Row],[Điểm sử dụng]]</f>
        <v>2574095</v>
      </c>
      <c r="V49" s="3" cm="1">
        <f t="array" ref="V49"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6505010</v>
      </c>
      <c r="W49" s="36" cm="1">
        <f t="array" ref="W49">+IFERROR(
MAX(_xlfn._xlws.FILTER(Table_KHThanThiet_ChinhSach[Tỷ lệ điểm thưởng],
(Table_KHThanThiet_ChinhSach[Doanh thu tối thiểu]&lt;=Table_DonBan[[#This Row],[Doanh thu tính điểm]])
)),0)</f>
        <v>0</v>
      </c>
      <c r="X49" s="37">
        <f xml:space="preserve">
Table_DonBan[[#This Row],[Tỷ lệ tính điểm]]*Table_DonBan[[#This Row],[Doanh thu ròng]]</f>
        <v>0</v>
      </c>
    </row>
    <row r="50" spans="2:24" ht="16.5" x14ac:dyDescent="0.3">
      <c r="B50"/>
      <c r="C50"/>
      <c r="D50"/>
      <c r="P50" s="28">
        <v>45764</v>
      </c>
      <c r="Q50" s="35" t="s">
        <v>50</v>
      </c>
      <c r="R50" s="32">
        <v>2512353</v>
      </c>
      <c r="S50" s="33" cm="1">
        <f t="array" ref="S50"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0</v>
      </c>
      <c r="T50" s="31"/>
      <c r="U50" s="29">
        <f>Table_DonBan[[#This Row],[Tiền hàng]]-Table_DonBan[[#This Row],[Điểm sử dụng]]</f>
        <v>2512353</v>
      </c>
      <c r="V50" s="3" cm="1">
        <f t="array" ref="V50"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5894462</v>
      </c>
      <c r="W50" s="36" cm="1">
        <f t="array" ref="W50">+IFERROR(
MAX(_xlfn._xlws.FILTER(Table_KHThanThiet_ChinhSach[Tỷ lệ điểm thưởng],
(Table_KHThanThiet_ChinhSach[Doanh thu tối thiểu]&lt;=Table_DonBan[[#This Row],[Doanh thu tính điểm]])
)),0)</f>
        <v>0</v>
      </c>
      <c r="X50" s="37">
        <f xml:space="preserve">
Table_DonBan[[#This Row],[Tỷ lệ tính điểm]]*Table_DonBan[[#This Row],[Doanh thu ròng]]</f>
        <v>0</v>
      </c>
    </row>
    <row r="51" spans="2:24" ht="16.5" x14ac:dyDescent="0.3">
      <c r="B51"/>
      <c r="C51"/>
      <c r="D51"/>
      <c r="P51" s="28">
        <v>45763</v>
      </c>
      <c r="Q51" s="35" t="s">
        <v>49</v>
      </c>
      <c r="R51" s="32">
        <v>2028268</v>
      </c>
      <c r="S51" s="33" cm="1">
        <f t="array" ref="S51"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0</v>
      </c>
      <c r="T51" s="31"/>
      <c r="U51" s="29">
        <f>Table_DonBan[[#This Row],[Tiền hàng]]-Table_DonBan[[#This Row],[Điểm sử dụng]]</f>
        <v>2028268</v>
      </c>
      <c r="V51" s="3" cm="1">
        <f t="array" ref="V51"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7198523</v>
      </c>
      <c r="W51" s="36" cm="1">
        <f t="array" ref="W51">+IFERROR(
MAX(_xlfn._xlws.FILTER(Table_KHThanThiet_ChinhSach[Tỷ lệ điểm thưởng],
(Table_KHThanThiet_ChinhSach[Doanh thu tối thiểu]&lt;=Table_DonBan[[#This Row],[Doanh thu tính điểm]])
)),0)</f>
        <v>0</v>
      </c>
      <c r="X51" s="37">
        <f xml:space="preserve">
Table_DonBan[[#This Row],[Tỷ lệ tính điểm]]*Table_DonBan[[#This Row],[Doanh thu ròng]]</f>
        <v>0</v>
      </c>
    </row>
    <row r="52" spans="2:24" ht="16.5" x14ac:dyDescent="0.3">
      <c r="B52"/>
      <c r="C52"/>
      <c r="D52"/>
      <c r="P52" s="28">
        <v>45762</v>
      </c>
      <c r="Q52" s="35" t="s">
        <v>49</v>
      </c>
      <c r="R52" s="32">
        <v>2239345</v>
      </c>
      <c r="S52" s="33" cm="1">
        <f t="array" ref="S52"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0</v>
      </c>
      <c r="T52" s="31"/>
      <c r="U52" s="29">
        <f>Table_DonBan[[#This Row],[Tiền hàng]]-Table_DonBan[[#This Row],[Điểm sử dụng]]</f>
        <v>2239345</v>
      </c>
      <c r="V52" s="3" cm="1">
        <f t="array" ref="V52"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4959178</v>
      </c>
      <c r="W52" s="36" cm="1">
        <f t="array" ref="W52">+IFERROR(
MAX(_xlfn._xlws.FILTER(Table_KHThanThiet_ChinhSach[Tỷ lệ điểm thưởng],
(Table_KHThanThiet_ChinhSach[Doanh thu tối thiểu]&lt;=Table_DonBan[[#This Row],[Doanh thu tính điểm]])
)),0)</f>
        <v>0</v>
      </c>
      <c r="X52" s="37">
        <f xml:space="preserve">
Table_DonBan[[#This Row],[Tỷ lệ tính điểm]]*Table_DonBan[[#This Row],[Doanh thu ròng]]</f>
        <v>0</v>
      </c>
    </row>
    <row r="53" spans="2:24" ht="16.5" x14ac:dyDescent="0.3">
      <c r="B53"/>
      <c r="C53"/>
      <c r="D53"/>
      <c r="P53" s="28">
        <v>45759</v>
      </c>
      <c r="Q53" s="35" t="s">
        <v>49</v>
      </c>
      <c r="R53" s="32">
        <v>2013210</v>
      </c>
      <c r="S53" s="33" cm="1">
        <f t="array" ref="S53"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0</v>
      </c>
      <c r="T53" s="31"/>
      <c r="U53" s="29">
        <f>Table_DonBan[[#This Row],[Tiền hàng]]-Table_DonBan[[#This Row],[Điểm sử dụng]]</f>
        <v>2013210</v>
      </c>
      <c r="V53" s="3" cm="1">
        <f t="array" ref="V53"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2945968</v>
      </c>
      <c r="W53" s="36" cm="1">
        <f t="array" ref="W53">+IFERROR(
MAX(_xlfn._xlws.FILTER(Table_KHThanThiet_ChinhSach[Tỷ lệ điểm thưởng],
(Table_KHThanThiet_ChinhSach[Doanh thu tối thiểu]&lt;=Table_DonBan[[#This Row],[Doanh thu tính điểm]])
)),0)</f>
        <v>0</v>
      </c>
      <c r="X53" s="37">
        <f xml:space="preserve">
Table_DonBan[[#This Row],[Tỷ lệ tính điểm]]*Table_DonBan[[#This Row],[Doanh thu ròng]]</f>
        <v>0</v>
      </c>
    </row>
    <row r="54" spans="2:24" ht="16.5" x14ac:dyDescent="0.3">
      <c r="B54"/>
      <c r="C54"/>
      <c r="D54"/>
      <c r="P54" s="28">
        <v>45757</v>
      </c>
      <c r="Q54" s="35" t="s">
        <v>51</v>
      </c>
      <c r="R54" s="31">
        <v>2919837</v>
      </c>
      <c r="S54" s="29" cm="1">
        <f t="array" ref="S54"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0</v>
      </c>
      <c r="T54" s="31"/>
      <c r="U54" s="29">
        <f>Table_DonBan[[#This Row],[Tiền hàng]]-Table_DonBan[[#This Row],[Điểm sử dụng]]</f>
        <v>2919837</v>
      </c>
      <c r="V54" s="3" cm="1">
        <f t="array" ref="V54"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3585173</v>
      </c>
      <c r="W54" s="36" cm="1">
        <f t="array" ref="W54">+IFERROR(
MAX(_xlfn._xlws.FILTER(Table_KHThanThiet_ChinhSach[Tỷ lệ điểm thưởng],
(Table_KHThanThiet_ChinhSach[Doanh thu tối thiểu]&lt;=Table_DonBan[[#This Row],[Doanh thu tính điểm]])
)),0)</f>
        <v>0</v>
      </c>
      <c r="X54" s="37">
        <f xml:space="preserve">
Table_DonBan[[#This Row],[Tỷ lệ tính điểm]]*Table_DonBan[[#This Row],[Doanh thu ròng]]</f>
        <v>0</v>
      </c>
    </row>
    <row r="55" spans="2:24" ht="18" customHeight="1" x14ac:dyDescent="0.3">
      <c r="P55" s="28">
        <v>45757</v>
      </c>
      <c r="Q55" s="35" t="s">
        <v>52</v>
      </c>
      <c r="R55" s="32">
        <v>2489388</v>
      </c>
      <c r="S55" s="33" cm="1">
        <f t="array" ref="S55"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0</v>
      </c>
      <c r="T55" s="31"/>
      <c r="U55" s="29">
        <f>Table_DonBan[[#This Row],[Tiền hàng]]-Table_DonBan[[#This Row],[Điểm sử dụng]]</f>
        <v>2489388</v>
      </c>
      <c r="V55" s="3" cm="1">
        <f t="array" ref="V55"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1725805</v>
      </c>
      <c r="W55" s="36" cm="1">
        <f t="array" ref="W55">+IFERROR(
MAX(_xlfn._xlws.FILTER(Table_KHThanThiet_ChinhSach[Tỷ lệ điểm thưởng],
(Table_KHThanThiet_ChinhSach[Doanh thu tối thiểu]&lt;=Table_DonBan[[#This Row],[Doanh thu tính điểm]])
)),0)</f>
        <v>0</v>
      </c>
      <c r="X55" s="37">
        <f xml:space="preserve">
Table_DonBan[[#This Row],[Tỷ lệ tính điểm]]*Table_DonBan[[#This Row],[Doanh thu ròng]]</f>
        <v>0</v>
      </c>
    </row>
    <row r="56" spans="2:24" ht="18" customHeight="1" x14ac:dyDescent="0.3">
      <c r="P56" s="28">
        <v>45757</v>
      </c>
      <c r="Q56" s="35" t="s">
        <v>50</v>
      </c>
      <c r="R56" s="32">
        <v>2200381</v>
      </c>
      <c r="S56" s="33" cm="1">
        <f t="array" ref="S56"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0</v>
      </c>
      <c r="T56" s="31"/>
      <c r="U56" s="29">
        <f>Table_DonBan[[#This Row],[Tiền hàng]]-Table_DonBan[[#This Row],[Điểm sử dụng]]</f>
        <v>2200381</v>
      </c>
      <c r="V56" s="3" cm="1">
        <f t="array" ref="V56"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3694081</v>
      </c>
      <c r="W56" s="36" cm="1">
        <f t="array" ref="W56">+IFERROR(
MAX(_xlfn._xlws.FILTER(Table_KHThanThiet_ChinhSach[Tỷ lệ điểm thưởng],
(Table_KHThanThiet_ChinhSach[Doanh thu tối thiểu]&lt;=Table_DonBan[[#This Row],[Doanh thu tính điểm]])
)),0)</f>
        <v>0</v>
      </c>
      <c r="X56" s="37">
        <f xml:space="preserve">
Table_DonBan[[#This Row],[Tỷ lệ tính điểm]]*Table_DonBan[[#This Row],[Doanh thu ròng]]</f>
        <v>0</v>
      </c>
    </row>
    <row r="57" spans="2:24" ht="18" customHeight="1" x14ac:dyDescent="0.3">
      <c r="P57" s="28">
        <v>45755</v>
      </c>
      <c r="Q57" s="35" t="s">
        <v>49</v>
      </c>
      <c r="R57" s="32">
        <v>1843343</v>
      </c>
      <c r="S57" s="33" cm="1">
        <f t="array" ref="S57"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0</v>
      </c>
      <c r="T57" s="31"/>
      <c r="U57" s="29">
        <f>Table_DonBan[[#This Row],[Tiền hàng]]-Table_DonBan[[#This Row],[Điểm sử dụng]]</f>
        <v>1843343</v>
      </c>
      <c r="V57" s="3" cm="1">
        <f t="array" ref="V57"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1102625</v>
      </c>
      <c r="W57" s="36" cm="1">
        <f t="array" ref="W57">+IFERROR(
MAX(_xlfn._xlws.FILTER(Table_KHThanThiet_ChinhSach[Tỷ lệ điểm thưởng],
(Table_KHThanThiet_ChinhSach[Doanh thu tối thiểu]&lt;=Table_DonBan[[#This Row],[Doanh thu tính điểm]])
)),0)</f>
        <v>0</v>
      </c>
      <c r="X57" s="37">
        <f xml:space="preserve">
Table_DonBan[[#This Row],[Tỷ lệ tính điểm]]*Table_DonBan[[#This Row],[Doanh thu ròng]]</f>
        <v>0</v>
      </c>
    </row>
    <row r="58" spans="2:24" ht="18" customHeight="1" x14ac:dyDescent="0.3">
      <c r="P58" s="28">
        <v>45752</v>
      </c>
      <c r="Q58" s="35" t="s">
        <v>51</v>
      </c>
      <c r="R58" s="32">
        <v>1045909</v>
      </c>
      <c r="S58" s="33" cm="1">
        <f t="array" ref="S58"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0</v>
      </c>
      <c r="T58" s="31"/>
      <c r="U58" s="29">
        <f>Table_DonBan[[#This Row],[Tiền hàng]]-Table_DonBan[[#This Row],[Điểm sử dụng]]</f>
        <v>1045909</v>
      </c>
      <c r="V58" s="3" cm="1">
        <f t="array" ref="V58"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2539264</v>
      </c>
      <c r="W58" s="36" cm="1">
        <f t="array" ref="W58">+IFERROR(
MAX(_xlfn._xlws.FILTER(Table_KHThanThiet_ChinhSach[Tỷ lệ điểm thưởng],
(Table_KHThanThiet_ChinhSach[Doanh thu tối thiểu]&lt;=Table_DonBan[[#This Row],[Doanh thu tính điểm]])
)),0)</f>
        <v>0</v>
      </c>
      <c r="X58" s="37">
        <f xml:space="preserve">
Table_DonBan[[#This Row],[Tỷ lệ tính điểm]]*Table_DonBan[[#This Row],[Doanh thu ròng]]</f>
        <v>0</v>
      </c>
    </row>
    <row r="59" spans="2:24" ht="18" customHeight="1" x14ac:dyDescent="0.3">
      <c r="P59" s="28">
        <v>45752</v>
      </c>
      <c r="Q59" s="35" t="s">
        <v>50</v>
      </c>
      <c r="R59" s="32">
        <v>1233937</v>
      </c>
      <c r="S59" s="33" cm="1">
        <f t="array" ref="S59"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0</v>
      </c>
      <c r="T59" s="31"/>
      <c r="U59" s="29">
        <f>Table_DonBan[[#This Row],[Tiền hàng]]-Table_DonBan[[#This Row],[Điểm sử dụng]]</f>
        <v>1233937</v>
      </c>
      <c r="V59" s="3" cm="1">
        <f t="array" ref="V59"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2460144</v>
      </c>
      <c r="W59" s="36" cm="1">
        <f t="array" ref="W59">+IFERROR(
MAX(_xlfn._xlws.FILTER(Table_KHThanThiet_ChinhSach[Tỷ lệ điểm thưởng],
(Table_KHThanThiet_ChinhSach[Doanh thu tối thiểu]&lt;=Table_DonBan[[#This Row],[Doanh thu tính điểm]])
)),0)</f>
        <v>0</v>
      </c>
      <c r="X59" s="37">
        <f xml:space="preserve">
Table_DonBan[[#This Row],[Tỷ lệ tính điểm]]*Table_DonBan[[#This Row],[Doanh thu ròng]]</f>
        <v>0</v>
      </c>
    </row>
    <row r="60" spans="2:24" ht="18" customHeight="1" x14ac:dyDescent="0.3">
      <c r="P60" s="28">
        <v>45750</v>
      </c>
      <c r="Q60" s="35" t="s">
        <v>50</v>
      </c>
      <c r="R60" s="32">
        <v>1305938</v>
      </c>
      <c r="S60" s="33" cm="1">
        <f t="array" ref="S60"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0</v>
      </c>
      <c r="T60" s="31"/>
      <c r="U60" s="29">
        <f>Table_DonBan[[#This Row],[Tiền hàng]]-Table_DonBan[[#This Row],[Điểm sử dụng]]</f>
        <v>1305938</v>
      </c>
      <c r="V60" s="3" cm="1">
        <f t="array" ref="V60"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1154206</v>
      </c>
      <c r="W60" s="36" cm="1">
        <f t="array" ref="W60">+IFERROR(
MAX(_xlfn._xlws.FILTER(Table_KHThanThiet_ChinhSach[Tỷ lệ điểm thưởng],
(Table_KHThanThiet_ChinhSach[Doanh thu tối thiểu]&lt;=Table_DonBan[[#This Row],[Doanh thu tính điểm]])
)),0)</f>
        <v>0</v>
      </c>
      <c r="X60" s="37">
        <f xml:space="preserve">
Table_DonBan[[#This Row],[Tỷ lệ tính điểm]]*Table_DonBan[[#This Row],[Doanh thu ròng]]</f>
        <v>0</v>
      </c>
    </row>
    <row r="61" spans="2:24" ht="18" customHeight="1" x14ac:dyDescent="0.3">
      <c r="P61" s="28">
        <v>45750</v>
      </c>
      <c r="Q61" s="35" t="s">
        <v>52</v>
      </c>
      <c r="R61" s="32">
        <v>1725805</v>
      </c>
      <c r="S61" s="33" cm="1">
        <f t="array" ref="S61"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0</v>
      </c>
      <c r="T61" s="31"/>
      <c r="U61" s="29">
        <f>Table_DonBan[[#This Row],[Tiền hàng]]-Table_DonBan[[#This Row],[Điểm sử dụng]]</f>
        <v>1725805</v>
      </c>
      <c r="V61" s="3" cm="1">
        <f t="array" ref="V61"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0</v>
      </c>
      <c r="W61" s="36" cm="1">
        <f t="array" ref="W61">+IFERROR(
MAX(_xlfn._xlws.FILTER(Table_KHThanThiet_ChinhSach[Tỷ lệ điểm thưởng],
(Table_KHThanThiet_ChinhSach[Doanh thu tối thiểu]&lt;=Table_DonBan[[#This Row],[Doanh thu tính điểm]])
)),0)</f>
        <v>0</v>
      </c>
      <c r="X61" s="37">
        <f xml:space="preserve">
Table_DonBan[[#This Row],[Tỷ lệ tính điểm]]*Table_DonBan[[#This Row],[Doanh thu ròng]]</f>
        <v>0</v>
      </c>
    </row>
    <row r="62" spans="2:24" ht="18" customHeight="1" x14ac:dyDescent="0.3">
      <c r="P62" s="28">
        <v>45749</v>
      </c>
      <c r="Q62" s="35" t="s">
        <v>51</v>
      </c>
      <c r="R62" s="32">
        <v>1323585</v>
      </c>
      <c r="S62" s="33" cm="1">
        <f t="array" ref="S62"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0</v>
      </c>
      <c r="T62" s="31"/>
      <c r="U62" s="29">
        <f>Table_DonBan[[#This Row],[Tiền hàng]]-Table_DonBan[[#This Row],[Điểm sử dụng]]</f>
        <v>1323585</v>
      </c>
      <c r="V62" s="3" cm="1">
        <f t="array" ref="V62"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1215679</v>
      </c>
      <c r="W62" s="36" cm="1">
        <f t="array" ref="W62">+IFERROR(
MAX(_xlfn._xlws.FILTER(Table_KHThanThiet_ChinhSach[Tỷ lệ điểm thưởng],
(Table_KHThanThiet_ChinhSach[Doanh thu tối thiểu]&lt;=Table_DonBan[[#This Row],[Doanh thu tính điểm]])
)),0)</f>
        <v>0</v>
      </c>
      <c r="X62" s="37">
        <f xml:space="preserve">
Table_DonBan[[#This Row],[Tỷ lệ tính điểm]]*Table_DonBan[[#This Row],[Doanh thu ròng]]</f>
        <v>0</v>
      </c>
    </row>
    <row r="63" spans="2:24" ht="18" customHeight="1" x14ac:dyDescent="0.3">
      <c r="P63" s="28">
        <v>45749</v>
      </c>
      <c r="Q63" s="35" t="s">
        <v>50</v>
      </c>
      <c r="R63" s="32">
        <v>1154206</v>
      </c>
      <c r="S63" s="33" cm="1">
        <f t="array" ref="S63"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0</v>
      </c>
      <c r="T63" s="31"/>
      <c r="U63" s="29">
        <f>Table_DonBan[[#This Row],[Tiền hàng]]-Table_DonBan[[#This Row],[Điểm sử dụng]]</f>
        <v>1154206</v>
      </c>
      <c r="V63" s="3" cm="1">
        <f t="array" ref="V63"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0</v>
      </c>
      <c r="W63" s="36" cm="1">
        <f t="array" ref="W63">+IFERROR(
MAX(_xlfn._xlws.FILTER(Table_KHThanThiet_ChinhSach[Tỷ lệ điểm thưởng],
(Table_KHThanThiet_ChinhSach[Doanh thu tối thiểu]&lt;=Table_DonBan[[#This Row],[Doanh thu tính điểm]])
)),0)</f>
        <v>0</v>
      </c>
      <c r="X63" s="37">
        <f xml:space="preserve">
Table_DonBan[[#This Row],[Tỷ lệ tính điểm]]*Table_DonBan[[#This Row],[Doanh thu ròng]]</f>
        <v>0</v>
      </c>
    </row>
    <row r="64" spans="2:24" ht="18" customHeight="1" x14ac:dyDescent="0.3">
      <c r="P64" s="28">
        <v>45749</v>
      </c>
      <c r="Q64" s="35" t="s">
        <v>51</v>
      </c>
      <c r="R64" s="32">
        <v>1215679</v>
      </c>
      <c r="S64" s="33" cm="1">
        <f t="array" ref="S64"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0</v>
      </c>
      <c r="T64" s="31"/>
      <c r="U64" s="29">
        <f>Table_DonBan[[#This Row],[Tiền hàng]]-Table_DonBan[[#This Row],[Điểm sử dụng]]</f>
        <v>1215679</v>
      </c>
      <c r="V64" s="3" cm="1">
        <f t="array" ref="V64"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1323585</v>
      </c>
      <c r="W64" s="36" cm="1">
        <f t="array" ref="W64">+IFERROR(
MAX(_xlfn._xlws.FILTER(Table_KHThanThiet_ChinhSach[Tỷ lệ điểm thưởng],
(Table_KHThanThiet_ChinhSach[Doanh thu tối thiểu]&lt;=Table_DonBan[[#This Row],[Doanh thu tính điểm]])
)),0)</f>
        <v>0</v>
      </c>
      <c r="X64" s="37">
        <f xml:space="preserve">
Table_DonBan[[#This Row],[Tỷ lệ tính điểm]]*Table_DonBan[[#This Row],[Doanh thu ròng]]</f>
        <v>0</v>
      </c>
    </row>
    <row r="65" spans="16:24" ht="18" customHeight="1" x14ac:dyDescent="0.3">
      <c r="P65" s="28">
        <v>45749</v>
      </c>
      <c r="Q65" s="35" t="s">
        <v>49</v>
      </c>
      <c r="R65" s="32">
        <v>1102625</v>
      </c>
      <c r="S65" s="33" cm="1">
        <f t="array" ref="S65"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0</v>
      </c>
      <c r="T65" s="31"/>
      <c r="U65" s="29">
        <f>Table_DonBan[[#This Row],[Tiền hàng]]-Table_DonBan[[#This Row],[Điểm sử dụng]]</f>
        <v>1102625</v>
      </c>
      <c r="V65" s="3" cm="1">
        <f t="array" ref="V65"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0</v>
      </c>
      <c r="W65" s="36" cm="1">
        <f t="array" ref="W65">+IFERROR(
MAX(_xlfn._xlws.FILTER(Table_KHThanThiet_ChinhSach[Tỷ lệ điểm thưởng],
(Table_KHThanThiet_ChinhSach[Doanh thu tối thiểu]&lt;=Table_DonBan[[#This Row],[Doanh thu tính điểm]])
)),0)</f>
        <v>0</v>
      </c>
      <c r="X65" s="37">
        <f xml:space="preserve">
Table_DonBan[[#This Row],[Tỷ lệ tính điểm]]*Table_DonBan[[#This Row],[Doanh thu ròng]]</f>
        <v>0</v>
      </c>
    </row>
  </sheetData>
  <sheetProtection algorithmName="SHA-512" hashValue="LIuHb4HTsjWj0mdyJSK4gv2iuhPA8Hbmy1Gvb76nZUX9dcET+TF0zH2MtIOfxeOQohx5u6fTb65WuF7MRkNiTQ==" saltValue="AJ77n6CXj78nAHxriojePg==" spinCount="100000" sheet="1" scenarios="1" formatCells="0" formatColumns="0" formatRows="0" autoFilter="0" pivotTables="0"/>
  <protectedRanges>
    <protectedRange sqref="R23 S22:U23 Q22:R22 T24:U65" name="Range1"/>
    <protectedRange sqref="S22:U22" name="Range1_2"/>
    <protectedRange sqref="R22" name="Range1_3"/>
    <protectedRange sqref="P23:Q23" name="Range1_4"/>
    <protectedRange sqref="P22" name="Range1_1"/>
  </protectedRanges>
  <mergeCells count="9">
    <mergeCell ref="W14:X14"/>
    <mergeCell ref="W15:X15"/>
    <mergeCell ref="W16:X16"/>
    <mergeCell ref="W17:X17"/>
    <mergeCell ref="W8:X8"/>
    <mergeCell ref="W9:X9"/>
    <mergeCell ref="W10:X10"/>
    <mergeCell ref="W11:X11"/>
    <mergeCell ref="W12:X12"/>
  </mergeCells>
  <phoneticPr fontId="6" type="noConversion"/>
  <pageMargins left="0.7" right="0.7" top="0.75" bottom="0.75" header="0.3" footer="0.3"/>
  <drawing r:id="rId3"/>
  <legacyDrawing r:id="rId4"/>
  <mc:AlternateContent xmlns:mc="http://schemas.openxmlformats.org/markup-compatibility/2006">
    <mc:Choice Requires="x14">
      <controls>
        <mc:AlternateContent xmlns:mc="http://schemas.openxmlformats.org/markup-compatibility/2006">
          <mc:Choice Requires="x14">
            <control shapeId="104456" r:id="rId5" name="Option Button 8">
              <controlPr defaultSize="0" autoFill="0" autoLine="0" autoPict="0" macro="[0]!DoiDonViHienThi">
                <anchor moveWithCells="1">
                  <from>
                    <xdr:col>9</xdr:col>
                    <xdr:colOff>438150</xdr:colOff>
                    <xdr:row>0</xdr:row>
                    <xdr:rowOff>95250</xdr:rowOff>
                  </from>
                  <to>
                    <xdr:col>9</xdr:col>
                    <xdr:colOff>1028700</xdr:colOff>
                    <xdr:row>1</xdr:row>
                    <xdr:rowOff>142875</xdr:rowOff>
                  </to>
                </anchor>
              </controlPr>
            </control>
          </mc:Choice>
        </mc:AlternateContent>
        <mc:AlternateContent xmlns:mc="http://schemas.openxmlformats.org/markup-compatibility/2006">
          <mc:Choice Requires="x14">
            <control shapeId="104457" r:id="rId6" name="Option Button 9">
              <controlPr defaultSize="0" autoFill="0" autoLine="0" autoPict="0" macro="[0]!DoiDonViHienThi">
                <anchor moveWithCells="1">
                  <from>
                    <xdr:col>9</xdr:col>
                    <xdr:colOff>904875</xdr:colOff>
                    <xdr:row>0</xdr:row>
                    <xdr:rowOff>95250</xdr:rowOff>
                  </from>
                  <to>
                    <xdr:col>10</xdr:col>
                    <xdr:colOff>247650</xdr:colOff>
                    <xdr:row>1</xdr:row>
                    <xdr:rowOff>142875</xdr:rowOff>
                  </to>
                </anchor>
              </controlPr>
            </control>
          </mc:Choice>
        </mc:AlternateContent>
        <mc:AlternateContent xmlns:mc="http://schemas.openxmlformats.org/markup-compatibility/2006">
          <mc:Choice Requires="x14">
            <control shapeId="104458" r:id="rId7" name="Option Button 10">
              <controlPr defaultSize="0" autoFill="0" autoLine="0" autoPict="0" macro="[0]!DoiDonViHienThi">
                <anchor moveWithCells="1">
                  <from>
                    <xdr:col>10</xdr:col>
                    <xdr:colOff>123825</xdr:colOff>
                    <xdr:row>0</xdr:row>
                    <xdr:rowOff>95250</xdr:rowOff>
                  </from>
                  <to>
                    <xdr:col>10</xdr:col>
                    <xdr:colOff>714375</xdr:colOff>
                    <xdr:row>1</xdr:row>
                    <xdr:rowOff>142875</xdr:rowOff>
                  </to>
                </anchor>
              </controlPr>
            </control>
          </mc:Choice>
        </mc:AlternateContent>
        <mc:AlternateContent xmlns:mc="http://schemas.openxmlformats.org/markup-compatibility/2006">
          <mc:Choice Requires="x14">
            <control shapeId="104459" r:id="rId8" name="Option Button 11">
              <controlPr defaultSize="0" autoFill="0" autoLine="0" autoPict="0" macro="[0]!DoiDonViHienThi">
                <anchor moveWithCells="1">
                  <from>
                    <xdr:col>10</xdr:col>
                    <xdr:colOff>600075</xdr:colOff>
                    <xdr:row>0</xdr:row>
                    <xdr:rowOff>95250</xdr:rowOff>
                  </from>
                  <to>
                    <xdr:col>10</xdr:col>
                    <xdr:colOff>952500</xdr:colOff>
                    <xdr:row>1</xdr:row>
                    <xdr:rowOff>142875</xdr:rowOff>
                  </to>
                </anchor>
              </controlPr>
            </control>
          </mc:Choice>
        </mc:AlternateContent>
        <mc:AlternateContent xmlns:mc="http://schemas.openxmlformats.org/markup-compatibility/2006">
          <mc:Choice Requires="x14">
            <control shapeId="104460" r:id="rId9" name="Group Box 12">
              <controlPr defaultSize="0" autoFill="0" autoPict="0">
                <anchor moveWithCells="1">
                  <from>
                    <xdr:col>9</xdr:col>
                    <xdr:colOff>323850</xdr:colOff>
                    <xdr:row>0</xdr:row>
                    <xdr:rowOff>47625</xdr:rowOff>
                  </from>
                  <to>
                    <xdr:col>10</xdr:col>
                    <xdr:colOff>1066800</xdr:colOff>
                    <xdr:row>1</xdr:row>
                    <xdr:rowOff>180975</xdr:rowOff>
                  </to>
                </anchor>
              </controlPr>
            </control>
          </mc:Choice>
        </mc:AlternateContent>
        <mc:AlternateContent xmlns:mc="http://schemas.openxmlformats.org/markup-compatibility/2006">
          <mc:Choice Requires="x14">
            <control shapeId="104461" r:id="rId10" name="Group Box 13">
              <controlPr defaultSize="0" autoFill="0" autoPict="0">
                <anchor moveWithCells="1">
                  <from>
                    <xdr:col>8</xdr:col>
                    <xdr:colOff>95250</xdr:colOff>
                    <xdr:row>0</xdr:row>
                    <xdr:rowOff>47625</xdr:rowOff>
                  </from>
                  <to>
                    <xdr:col>9</xdr:col>
                    <xdr:colOff>276225</xdr:colOff>
                    <xdr:row>1</xdr:row>
                    <xdr:rowOff>180975</xdr:rowOff>
                  </to>
                </anchor>
              </controlPr>
            </control>
          </mc:Choice>
        </mc:AlternateContent>
        <mc:AlternateContent xmlns:mc="http://schemas.openxmlformats.org/markup-compatibility/2006">
          <mc:Choice Requires="x14">
            <control shapeId="104462" r:id="rId11" name="Button 14">
              <controlPr defaultSize="0" autoFill="0" autoPict="0" macro="[0]!NhanNghin">
                <anchor moveWithCells="1">
                  <from>
                    <xdr:col>8</xdr:col>
                    <xdr:colOff>180975</xdr:colOff>
                    <xdr:row>0</xdr:row>
                    <xdr:rowOff>142875</xdr:rowOff>
                  </from>
                  <to>
                    <xdr:col>8</xdr:col>
                    <xdr:colOff>647700</xdr:colOff>
                    <xdr:row>1</xdr:row>
                    <xdr:rowOff>85725</xdr:rowOff>
                  </to>
                </anchor>
              </controlPr>
            </control>
          </mc:Choice>
        </mc:AlternateContent>
        <mc:AlternateContent xmlns:mc="http://schemas.openxmlformats.org/markup-compatibility/2006">
          <mc:Choice Requires="x14">
            <control shapeId="104463" r:id="rId12" name="Button 15">
              <controlPr defaultSize="0" autoFill="0" autoPict="0" macro="[0]!NhanTrieu">
                <anchor moveWithCells="1">
                  <from>
                    <xdr:col>8</xdr:col>
                    <xdr:colOff>695325</xdr:colOff>
                    <xdr:row>0</xdr:row>
                    <xdr:rowOff>142875</xdr:rowOff>
                  </from>
                  <to>
                    <xdr:col>8</xdr:col>
                    <xdr:colOff>1162050</xdr:colOff>
                    <xdr:row>1</xdr:row>
                    <xdr:rowOff>85725</xdr:rowOff>
                  </to>
                </anchor>
              </controlPr>
            </control>
          </mc:Choice>
        </mc:AlternateContent>
        <mc:AlternateContent xmlns:mc="http://schemas.openxmlformats.org/markup-compatibility/2006">
          <mc:Choice Requires="x14">
            <control shapeId="104464" r:id="rId13" name="Button 16">
              <controlPr defaultSize="0" autoFill="0" autoPict="0" macro="[0]!NhanTy">
                <anchor moveWithCells="1">
                  <from>
                    <xdr:col>8</xdr:col>
                    <xdr:colOff>1209675</xdr:colOff>
                    <xdr:row>0</xdr:row>
                    <xdr:rowOff>142875</xdr:rowOff>
                  </from>
                  <to>
                    <xdr:col>9</xdr:col>
                    <xdr:colOff>200025</xdr:colOff>
                    <xdr:row>1</xdr:row>
                    <xdr:rowOff>85725</xdr:rowOff>
                  </to>
                </anchor>
              </controlPr>
            </control>
          </mc:Choice>
        </mc:AlternateContent>
        <mc:AlternateContent xmlns:mc="http://schemas.openxmlformats.org/markup-compatibility/2006">
          <mc:Choice Requires="x14">
            <control shapeId="104469" r:id="rId14" name="Button 21">
              <controlPr defaultSize="0" print="0" autoFill="0" autoPict="0" macro="[0]!AddRow">
                <anchor moveWithCells="1">
                  <from>
                    <xdr:col>10</xdr:col>
                    <xdr:colOff>1076325</xdr:colOff>
                    <xdr:row>0</xdr:row>
                    <xdr:rowOff>57150</xdr:rowOff>
                  </from>
                  <to>
                    <xdr:col>11</xdr:col>
                    <xdr:colOff>457200</xdr:colOff>
                    <xdr:row>1</xdr:row>
                    <xdr:rowOff>85725</xdr:rowOff>
                  </to>
                </anchor>
              </controlPr>
            </control>
          </mc:Choice>
        </mc:AlternateContent>
        <mc:AlternateContent xmlns:mc="http://schemas.openxmlformats.org/markup-compatibility/2006">
          <mc:Choice Requires="x14">
            <control shapeId="104470" r:id="rId15" name="Button 22">
              <controlPr defaultSize="0" print="0" autoFill="0" autoPict="0" macro="[0]!DeleteRow">
                <anchor moveWithCells="1">
                  <from>
                    <xdr:col>11</xdr:col>
                    <xdr:colOff>485775</xdr:colOff>
                    <xdr:row>0</xdr:row>
                    <xdr:rowOff>57150</xdr:rowOff>
                  </from>
                  <to>
                    <xdr:col>11</xdr:col>
                    <xdr:colOff>962025</xdr:colOff>
                    <xdr:row>1</xdr:row>
                    <xdr:rowOff>85725</xdr:rowOff>
                  </to>
                </anchor>
              </controlPr>
            </control>
          </mc:Choice>
        </mc:AlternateContent>
        <mc:AlternateContent xmlns:mc="http://schemas.openxmlformats.org/markup-compatibility/2006">
          <mc:Choice Requires="x14">
            <control shapeId="104471" r:id="rId16" name="Button 23">
              <controlPr defaultSize="0" print="0" autoFill="0" autoPict="0" macro="[0]!RefreshTables">
                <anchor moveWithCells="1">
                  <from>
                    <xdr:col>19</xdr:col>
                    <xdr:colOff>0</xdr:colOff>
                    <xdr:row>0</xdr:row>
                    <xdr:rowOff>152400</xdr:rowOff>
                  </from>
                  <to>
                    <xdr:col>19</xdr:col>
                    <xdr:colOff>619125</xdr:colOff>
                    <xdr:row>1</xdr:row>
                    <xdr:rowOff>180975</xdr:rowOff>
                  </to>
                </anchor>
              </controlPr>
            </control>
          </mc:Choice>
        </mc:AlternateContent>
      </controls>
    </mc:Choice>
  </mc:AlternateContent>
  <tableParts count="2">
    <tablePart r:id="rId17"/>
    <tablePart r:id="rId18"/>
  </tableParts>
  <extLst>
    <ext xmlns:x14="http://schemas.microsoft.com/office/spreadsheetml/2009/9/main" uri="{78C0D931-6437-407d-A8EE-F0AAD7539E65}">
      <x14:conditionalFormattings>
        <x14:conditionalFormatting xmlns:xm="http://schemas.microsoft.com/office/excel/2006/main">
          <x14:cfRule type="expression" priority="5" id="{C6938F30-5C6F-4E18-9742-3DAB345EA6DA}">
            <xm:f>Security!$A$1="NO VBA"</xm:f>
            <x14:dxf>
              <font>
                <color theme="0"/>
              </font>
              <border>
                <vertical/>
                <horizontal/>
              </border>
            </x14:dxf>
          </x14:cfRule>
          <xm:sqref>I39:J39 L39:N39 A55:D1048576 A1:D21 Q22:XFD22 O23:XFD1048576 A22:A39 A40:B54 E1:E1048576 O7:T12 V7:XFD7 O13:XFD13 Y8:XFD12 U8:W12 O18:XFD21 O1:XFD6 Y14:XFD17 O14:W17 I23:N38 F1:G22 F40:G1048576 I40:N1048576 I1:N2 I3:L21 I22:O22 H1:H1048576</xm:sqref>
        </x14:conditionalFormatting>
      </x14:conditionalFormatting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_rels/item33.xml.rels><?xml version="1.0" encoding="UTF-8" standalone="yes"?>
<Relationships xmlns="http://schemas.openxmlformats.org/package/2006/relationships"><Relationship Id="rId1" Type="http://schemas.openxmlformats.org/officeDocument/2006/relationships/customXmlProps" Target="itemProps33.xml"/></Relationships>
</file>

<file path=customXml/_rels/item34.xml.rels><?xml version="1.0" encoding="UTF-8" standalone="yes"?>
<Relationships xmlns="http://schemas.openxmlformats.org/package/2006/relationships"><Relationship Id="rId1" Type="http://schemas.openxmlformats.org/officeDocument/2006/relationships/customXmlProps" Target="itemProps34.xml"/></Relationships>
</file>

<file path=customXml/_rels/item35.xml.rels><?xml version="1.0" encoding="UTF-8" standalone="yes"?>
<Relationships xmlns="http://schemas.openxmlformats.org/package/2006/relationships"><Relationship Id="rId1" Type="http://schemas.openxmlformats.org/officeDocument/2006/relationships/customXmlProps" Target="itemProps35.xml"/></Relationships>
</file>

<file path=customXml/_rels/item36.xml.rels><?xml version="1.0" encoding="UTF-8" standalone="yes"?>
<Relationships xmlns="http://schemas.openxmlformats.org/package/2006/relationships"><Relationship Id="rId1" Type="http://schemas.openxmlformats.org/officeDocument/2006/relationships/customXmlProps" Target="itemProps36.xml"/></Relationships>
</file>

<file path=customXml/_rels/item37.xml.rels><?xml version="1.0" encoding="UTF-8" standalone="yes"?>
<Relationships xmlns="http://schemas.openxmlformats.org/package/2006/relationships"><Relationship Id="rId1" Type="http://schemas.openxmlformats.org/officeDocument/2006/relationships/customXmlProps" Target="itemProps37.xml"/></Relationships>
</file>

<file path=customXml/_rels/item38.xml.rels><?xml version="1.0" encoding="UTF-8" standalone="yes"?>
<Relationships xmlns="http://schemas.openxmlformats.org/package/2006/relationships"><Relationship Id="rId1" Type="http://schemas.openxmlformats.org/officeDocument/2006/relationships/customXmlProps" Target="itemProps38.xml"/></Relationships>
</file>

<file path=customXml/_rels/item39.xml.rels><?xml version="1.0" encoding="UTF-8" standalone="yes"?>
<Relationships xmlns="http://schemas.openxmlformats.org/package/2006/relationships"><Relationship Id="rId1" Type="http://schemas.openxmlformats.org/officeDocument/2006/relationships/customXmlProps" Target="itemProps39.xml"/></Relationships>
</file>

<file path=customXml/item1.xml>�� 
</file>

<file path=customXml/item2.xml>�� �  p h � �c   n  � �� � � �  p h � �c   n  � �� � � 
</file>

<file path=customXml/item3.xml>��   
</file>

<file path=customXml/item4.xml>��   
</file>

<file path=customXml/item5.xml>�� 
</file>

<file path=customXml/item6.xml>�� �� �i   t �� � �� �t   � � �  l � � �  l �� �  t � � �� �i   t �� � �� �t   � � �  l � � �  l �� �  t � � 
</file>

<file path=customXml/item7.xml>��   
</file>

<file path=customXml/item8.xml>��   
</file>

<file path=customXml/item9.xml>�� � � � � 
</file>

<file path=customXml/item10.xml>�� 
</file>

<file path=customXml/item11.xml>��   
</file>

<file path=customXml/item12.xml>�� �� �i   t �� � �� �t   � � �  l � � �  l �� �  t � � � � � �i    �  l �  i � �� i � �� �i    i � �� iy   k � � � i � �  d � i �m   s �  d � i � �  l � i � i � i � � 
</file>

<file path=customXml/item13.xml>�� 
</file>

<file path=customXml/item14.xml>�� � � � �i    �  l �  i � �� i � �� �i    i � �� iy   k � � � � �i    �  l �  i � �� i � �� �i    i � �� iy   k � 
</file>

<file path=customXml/item15.xml>��   
</file>

<file path=customXml/item16.xml>�� 
</file>

<file path=customXml/item17.xml>�� 
</file>

<file path=customXml/item18.xml>�� 
</file>

<file path=customXml/item19.xml>�� 
</file>

<file path=customXml/item20.xml>�� 
</file>

<file path=customXml/item21.xml>�� 
</file>

<file path=customXml/item22.xml>�� 
</file>

<file path=customXml/item23.xml>�� �  �c   t � �  l � �� � � �  �c   t � �  l � �� � � 
</file>

<file path=customXml/item24.xml>��   
</file>

<file path=customXml/item25.xml>�� 
</file>

<file path=customXml/item26.xml>�� �c   n  �c   n  
</file>

<file path=customXml/item27.xml>��   
</file>

<file path=customXml/item28.xml>�� 
</file>

<file path=customXml/item29.xml>�� � � � �i    �  l �  i � �� i � �� �i    i � �� iy   k � � � � �i    �  l �  i � �� i � �� �i    i � �� iy   k � � � i � �  d � i �m   s �  d � i � �  l � i � i � i � � i � �  d � i � �  d � i � �  d � i � �  d � i � �  d � i � �  d � i � �  d � i � �  d � i � �  d � � � i � �  d � i �m   s �  d � i � �  l � i � i � i � � i � �  d � i � �  d � i � �  d � i � �  d � i � �  d � i � �  d � i � �  d � i � �  d � i � �  d � 
</file>

<file path=customXml/item30.xml>�� 
</file>

<file path=customXml/item31.xml>��   
</file>

<file path=customXml/item32.xml>�� 
</file>

<file path=customXml/item33.xml>��   
</file>

<file path=customXml/item34.xml>�� �  �  
</file>

<file path=customXml/item35.xml>�� �  l � �  l � 
</file>

<file path=customXml/item36.xml>�� � � i �m   s �  d � i � �  d � i � i �  l � i � i � � � � � i �m   s �  d � i � �  d � i � i �  l � i � i � � � 
</file>

<file path=customXml/item37.xml>�� �n   �u   t � �n   �u   t � �  �u   t � �i   h � �  �  �u   t � �   � �n   �u   t � �n   �u   t � �  �u   t � �i   h � �  �  �u   t � �   � 
</file>

<file path=customXml/item38.xml>�� 
</file>

<file path=customXml/item39.xml>�� 
</file>

<file path=customXml/itemProps1.xml><?xml version="1.0" encoding="utf-8"?>
<ds:datastoreItem xmlns:ds="http://schemas.openxmlformats.org/officeDocument/2006/customXml" ds:itemID="{51D8F1A2-1C62-4ED5-A688-CB699D0D9C83}">
  <ds:schemaRefs>
    <ds:schemaRef ds:uri="http://www.w3.org/2001/XMLSchema"/>
    <ds:schemaRef ds:uri="http://microsoft.data.visualization.Client.Excel/1.0"/>
  </ds:schemaRefs>
</ds:datastoreItem>
</file>

<file path=customXml/itemProps2.xml><?xml version="1.0" encoding="utf-8"?>
<ds:datastoreItem xmlns:ds="http://schemas.openxmlformats.org/officeDocument/2006/customXml" ds:itemID="{34C35EB9-23C6-44D6-9F88-C21CF0F250D6}">
  <ds:schemaRefs/>
</ds:datastoreItem>
</file>

<file path=customXml/itemProps3.xml><?xml version="1.0" encoding="utf-8"?>
<ds:datastoreItem xmlns:ds="http://schemas.openxmlformats.org/officeDocument/2006/customXml" ds:itemID="{4BA9E5F1-90AC-490B-B178-7C8B339E1A47}">
  <ds:schemaRefs/>
</ds:datastoreItem>
</file>

<file path=customXml/itemProps4.xml><?xml version="1.0" encoding="utf-8"?>
<ds:datastoreItem xmlns:ds="http://schemas.openxmlformats.org/officeDocument/2006/customXml" ds:itemID="{15A5E9E7-8554-4C17-8FCE-88C5899190B5}">
  <ds:schemaRefs/>
</ds:datastoreItem>
</file>

<file path=customXml/itemProps5.xml><?xml version="1.0" encoding="utf-8"?>
<ds:datastoreItem xmlns:ds="http://schemas.openxmlformats.org/officeDocument/2006/customXml" ds:itemID="{98B80107-AA68-4609-A366-36F96C6439A0}">
  <ds:schemaRefs/>
</ds:datastoreItem>
</file>

<file path=customXml/itemProps6.xml><?xml version="1.0" encoding="utf-8"?>
<ds:datastoreItem xmlns:ds="http://schemas.openxmlformats.org/officeDocument/2006/customXml" ds:itemID="{86BCE4C3-7D25-4C79-A314-DED47A05E001}">
  <ds:schemaRefs>
    <ds:schemaRef ds:uri="http://gemini/pivotcustomization/TableXML_Table_ChuongTrinh"/>
  </ds:schemaRefs>
</ds:datastoreItem>
</file>

<file path=customXml/itemProps7.xml><?xml version="1.0" encoding="utf-8"?>
<ds:datastoreItem xmlns:ds="http://schemas.openxmlformats.org/officeDocument/2006/customXml" ds:itemID="{A849B9D7-188B-48DA-AB5B-54583621621D}">
  <ds:schemaRefs/>
</ds:datastoreItem>
</file>

<file path=customXml/itemProps8.xml><?xml version="1.0" encoding="utf-8"?>
<ds:datastoreItem xmlns:ds="http://schemas.openxmlformats.org/officeDocument/2006/customXml" ds:itemID="{0B9C3544-1C46-45A4-BEB6-1CE4D6559900}">
  <ds:schemaRefs/>
</ds:datastoreItem>
</file>

<file path=customXml/itemProps9.xml><?xml version="1.0" encoding="utf-8"?>
<ds:datastoreItem xmlns:ds="http://schemas.openxmlformats.org/officeDocument/2006/customXml" ds:itemID="{6F81FD08-C40B-4CE8-BA0F-774B60FBD3DB}">
  <ds:schemaRefs>
    <ds:schemaRef ds:uri="http://www.w3.org/2001/XMLSchema"/>
    <ds:schemaRef ds:uri="http://microsoft.data.visualization.engine.tours/1.0"/>
  </ds:schemaRefs>
</ds:datastoreItem>
</file>

<file path=customXml/itemProps10.xml><?xml version="1.0" encoding="utf-8"?>
<ds:datastoreItem xmlns:ds="http://schemas.openxmlformats.org/officeDocument/2006/customXml" ds:itemID="{2DFB86E0-7EB3-4A82-ACC3-F3BA60086CBC}">
  <ds:schemaRefs/>
</ds:datastoreItem>
</file>

<file path=customXml/itemProps11.xml><?xml version="1.0" encoding="utf-8"?>
<ds:datastoreItem xmlns:ds="http://schemas.openxmlformats.org/officeDocument/2006/customXml" ds:itemID="{19017731-72F7-42EB-AFF0-00D75C27CB84}">
  <ds:schemaRefs>
    <ds:schemaRef ds:uri="http://gemini/pivotcustomization/8055471d-593c-46d4-a7c5-f20424539526"/>
  </ds:schemaRefs>
</ds:datastoreItem>
</file>

<file path=customXml/itemProps12.xml><?xml version="1.0" encoding="utf-8"?>
<ds:datastoreItem xmlns:ds="http://schemas.openxmlformats.org/officeDocument/2006/customXml" ds:itemID="{75340984-CF43-4FFE-A3F8-1751760F3610}">
  <ds:schemaRefs/>
</ds:datastoreItem>
</file>

<file path=customXml/itemProps13.xml><?xml version="1.0" encoding="utf-8"?>
<ds:datastoreItem xmlns:ds="http://schemas.openxmlformats.org/officeDocument/2006/customXml" ds:itemID="{54E9EFD9-4ADE-483F-99DC-BE300DD808F5}">
  <ds:schemaRefs/>
</ds:datastoreItem>
</file>

<file path=customXml/itemProps14.xml><?xml version="1.0" encoding="utf-8"?>
<ds:datastoreItem xmlns:ds="http://schemas.openxmlformats.org/officeDocument/2006/customXml" ds:itemID="{C4CC0617-BFEA-4DF8-ABC8-0B8F30C2A6C9}">
  <ds:schemaRefs/>
</ds:datastoreItem>
</file>

<file path=customXml/itemProps15.xml><?xml version="1.0" encoding="utf-8"?>
<ds:datastoreItem xmlns:ds="http://schemas.openxmlformats.org/officeDocument/2006/customXml" ds:itemID="{E485F590-5987-4C80-AB5A-11640863CA4B}">
  <ds:schemaRefs>
    <ds:schemaRef ds:uri="http://gemini/pivotcustomization/12ce26d9-c6aa-4c34-8652-e6c119fef0fa"/>
  </ds:schemaRefs>
</ds:datastoreItem>
</file>

<file path=customXml/itemProps16.xml><?xml version="1.0" encoding="utf-8"?>
<ds:datastoreItem xmlns:ds="http://schemas.openxmlformats.org/officeDocument/2006/customXml" ds:itemID="{FE01E5A0-CB3B-4248-B24B-10866701B12E}">
  <ds:schemaRefs/>
</ds:datastoreItem>
</file>

<file path=customXml/itemProps17.xml><?xml version="1.0" encoding="utf-8"?>
<ds:datastoreItem xmlns:ds="http://schemas.openxmlformats.org/officeDocument/2006/customXml" ds:itemID="{D1BB6726-4DFB-42C2-B867-D69CD1FF98A6}">
  <ds:schemaRefs/>
</ds:datastoreItem>
</file>

<file path=customXml/itemProps18.xml><?xml version="1.0" encoding="utf-8"?>
<ds:datastoreItem xmlns:ds="http://schemas.openxmlformats.org/officeDocument/2006/customXml" ds:itemID="{8FD280FB-0EB8-4D91-8ABB-4113201DEE59}">
  <ds:schemaRefs>
    <ds:schemaRef ds:uri="http://gemini/pivotcustomization/FormulaBarState"/>
  </ds:schemaRefs>
</ds:datastoreItem>
</file>

<file path=customXml/itemProps19.xml><?xml version="1.0" encoding="utf-8"?>
<ds:datastoreItem xmlns:ds="http://schemas.openxmlformats.org/officeDocument/2006/customXml" ds:itemID="{049A5268-B7E8-41F6-B049-79C42814D937}">
  <ds:schemaRefs>
    <ds:schemaRef ds:uri="http://www.w3.org/2001/XMLSchema"/>
    <ds:schemaRef ds:uri="http://microsoft.data.visualization.Client.Excel.LState/1.0"/>
  </ds:schemaRefs>
</ds:datastoreItem>
</file>

<file path=customXml/itemProps20.xml><?xml version="1.0" encoding="utf-8"?>
<ds:datastoreItem xmlns:ds="http://schemas.openxmlformats.org/officeDocument/2006/customXml" ds:itemID="{45DB80E2-A51E-4CEC-B0CA-60E3BEC194D7}">
  <ds:schemaRefs/>
</ds:datastoreItem>
</file>

<file path=customXml/itemProps21.xml><?xml version="1.0" encoding="utf-8"?>
<ds:datastoreItem xmlns:ds="http://schemas.openxmlformats.org/officeDocument/2006/customXml" ds:itemID="{89CCDA3E-0138-4C86-A3D4-25D5D8C36E2B}">
  <ds:schemaRefs/>
</ds:datastoreItem>
</file>

<file path=customXml/itemProps22.xml><?xml version="1.0" encoding="utf-8"?>
<ds:datastoreItem xmlns:ds="http://schemas.openxmlformats.org/officeDocument/2006/customXml" ds:itemID="{C0C7F0F1-9DE9-4CF0-B89B-1CE6391E889D}">
  <ds:schemaRefs/>
</ds:datastoreItem>
</file>

<file path=customXml/itemProps23.xml><?xml version="1.0" encoding="utf-8"?>
<ds:datastoreItem xmlns:ds="http://schemas.openxmlformats.org/officeDocument/2006/customXml" ds:itemID="{F5DCB516-7770-45AD-8B12-54D86C4B9AA3}">
  <ds:schemaRefs/>
</ds:datastoreItem>
</file>

<file path=customXml/itemProps24.xml><?xml version="1.0" encoding="utf-8"?>
<ds:datastoreItem xmlns:ds="http://schemas.openxmlformats.org/officeDocument/2006/customXml" ds:itemID="{5D7BFC62-A7B0-4863-8C91-D5C38B1B0CB7}">
  <ds:schemaRefs>
    <ds:schemaRef ds:uri="http://gemini/pivotcustomization/27a7f318-32b6-40dc-83af-0fddbb83a1d4"/>
  </ds:schemaRefs>
</ds:datastoreItem>
</file>

<file path=customXml/itemProps25.xml><?xml version="1.0" encoding="utf-8"?>
<ds:datastoreItem xmlns:ds="http://schemas.openxmlformats.org/officeDocument/2006/customXml" ds:itemID="{E9CE7EF9-DCF8-401D-90D4-B25D6D156F5B}">
  <ds:schemaRefs/>
</ds:datastoreItem>
</file>

<file path=customXml/itemProps26.xml><?xml version="1.0" encoding="utf-8"?>
<ds:datastoreItem xmlns:ds="http://schemas.openxmlformats.org/officeDocument/2006/customXml" ds:itemID="{A6D0F6C4-9EB7-4062-86F8-715E8F5BF469}">
  <ds:schemaRefs/>
</ds:datastoreItem>
</file>

<file path=customXml/itemProps27.xml><?xml version="1.0" encoding="utf-8"?>
<ds:datastoreItem xmlns:ds="http://schemas.openxmlformats.org/officeDocument/2006/customXml" ds:itemID="{339EBD31-34FE-48FA-B11C-5697D02F64AC}">
  <ds:schemaRefs/>
</ds:datastoreItem>
</file>

<file path=customXml/itemProps28.xml><?xml version="1.0" encoding="utf-8"?>
<ds:datastoreItem xmlns:ds="http://schemas.openxmlformats.org/officeDocument/2006/customXml" ds:itemID="{0963777B-CFFB-4DDF-893D-16F7CE31B3A1}">
  <ds:schemaRefs/>
</ds:datastoreItem>
</file>

<file path=customXml/itemProps29.xml><?xml version="1.0" encoding="utf-8"?>
<ds:datastoreItem xmlns:ds="http://schemas.openxmlformats.org/officeDocument/2006/customXml" ds:itemID="{50481BFD-C33B-4BF9-A694-F55AC52AD87D}">
  <ds:schemaRefs/>
</ds:datastoreItem>
</file>

<file path=customXml/itemProps30.xml><?xml version="1.0" encoding="utf-8"?>
<ds:datastoreItem xmlns:ds="http://schemas.openxmlformats.org/officeDocument/2006/customXml" ds:itemID="{89775CD4-09D5-421A-9D4F-B5BBE125CD96}">
  <ds:schemaRefs/>
</ds:datastoreItem>
</file>

<file path=customXml/itemProps31.xml><?xml version="1.0" encoding="utf-8"?>
<ds:datastoreItem xmlns:ds="http://schemas.openxmlformats.org/officeDocument/2006/customXml" ds:itemID="{104A6CAF-8CC0-4F12-8051-31E2340CC4C2}">
  <ds:schemaRefs/>
</ds:datastoreItem>
</file>

<file path=customXml/itemProps32.xml><?xml version="1.0" encoding="utf-8"?>
<ds:datastoreItem xmlns:ds="http://schemas.openxmlformats.org/officeDocument/2006/customXml" ds:itemID="{70AFF7DD-0823-472B-8361-67EB6E8699A8}">
  <ds:schemaRefs/>
</ds:datastoreItem>
</file>

<file path=customXml/itemProps33.xml><?xml version="1.0" encoding="utf-8"?>
<ds:datastoreItem xmlns:ds="http://schemas.openxmlformats.org/officeDocument/2006/customXml" ds:itemID="{24D14929-D523-406C-85AB-622E1058421A}">
  <ds:schemaRefs>
    <ds:schemaRef ds:uri="http://gemini/pivotcustomization/98cd0469-6e20-49ed-99db-af80f09560d4"/>
  </ds:schemaRefs>
</ds:datastoreItem>
</file>

<file path=customXml/itemProps34.xml><?xml version="1.0" encoding="utf-8"?>
<ds:datastoreItem xmlns:ds="http://schemas.openxmlformats.org/officeDocument/2006/customXml" ds:itemID="{78A37B94-33CC-4B68-8B4E-D0CE59CB8695}">
  <ds:schemaRefs>
    <ds:schemaRef ds:uri="http://gemini/pivotcustomization/TableXML_Ref_Periods"/>
  </ds:schemaRefs>
</ds:datastoreItem>
</file>

<file path=customXml/itemProps35.xml><?xml version="1.0" encoding="utf-8"?>
<ds:datastoreItem xmlns:ds="http://schemas.openxmlformats.org/officeDocument/2006/customXml" ds:itemID="{36AB8F46-78D3-413A-86E7-07CEA24DFF43}">
  <ds:schemaRefs/>
</ds:datastoreItem>
</file>

<file path=customXml/itemProps36.xml><?xml version="1.0" encoding="utf-8"?>
<ds:datastoreItem xmlns:ds="http://schemas.openxmlformats.org/officeDocument/2006/customXml" ds:itemID="{88CE6D8F-4771-427B-9B8E-F13E79EEB158}">
  <ds:schemaRefs/>
</ds:datastoreItem>
</file>

<file path=customXml/itemProps37.xml><?xml version="1.0" encoding="utf-8"?>
<ds:datastoreItem xmlns:ds="http://schemas.openxmlformats.org/officeDocument/2006/customXml" ds:itemID="{2458A1B8-FCD1-4F09-B20A-C75300C0B5F2}">
  <ds:schemaRefs>
    <ds:schemaRef ds:uri="http://gemini/pivotcustomization/TableXML_Table_DauTu"/>
  </ds:schemaRefs>
</ds:datastoreItem>
</file>

<file path=customXml/itemProps38.xml><?xml version="1.0" encoding="utf-8"?>
<ds:datastoreItem xmlns:ds="http://schemas.openxmlformats.org/officeDocument/2006/customXml" ds:itemID="{DCB004C1-5EE9-4B56-A258-84F27AF38044}">
  <ds:schemaRefs/>
</ds:datastoreItem>
</file>

<file path=customXml/itemProps39.xml><?xml version="1.0" encoding="utf-8"?>
<ds:datastoreItem xmlns:ds="http://schemas.openxmlformats.org/officeDocument/2006/customXml" ds:itemID="{9CDC12DA-9C31-4DE6-BE85-0BB6158143C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2</vt:i4>
      </vt:variant>
    </vt:vector>
  </HeadingPairs>
  <TitlesOfParts>
    <vt:vector size="4" baseType="lpstr">
      <vt:lpstr>EULA</vt:lpstr>
      <vt:lpstr>Tích điểm khách hàng</vt:lpstr>
      <vt:lpstr>KHThanThiet_HieuLuc</vt:lpstr>
      <vt:lpstr>KHThanThiet_SoNgay</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Anh Le</dc:creator>
  <cp:keywords/>
  <dc:description/>
  <cp:lastModifiedBy>Anh Le</cp:lastModifiedBy>
  <cp:revision/>
  <cp:lastPrinted>2025-05-15T23:41:39Z</cp:lastPrinted>
  <dcterms:created xsi:type="dcterms:W3CDTF">2024-12-23T06:08:32Z</dcterms:created>
  <dcterms:modified xsi:type="dcterms:W3CDTF">2025-06-04T03:33:14Z</dcterms:modified>
  <cp:category/>
  <cp:contentStatus/>
</cp:coreProperties>
</file>