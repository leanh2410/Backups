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F94B4AC9-C695-4E3C-8487-B977F4B662EB}" xr6:coauthVersionLast="47" xr6:coauthVersionMax="47" xr10:uidLastSave="{00000000-0000-0000-0000-000000000000}"/>
  <bookViews>
    <workbookView xWindow="14295" yWindow="0" windowWidth="14610" windowHeight="7845" tabRatio="717" firstSheet="1" activeTab="1" xr2:uid="{B2DA85E2-969C-4F09-941C-CE16CCFE9D56}"/>
  </bookViews>
  <sheets>
    <sheet name="Security" sheetId="79" state="veryHidden" r:id="rId1"/>
    <sheet name="EULA" sheetId="77" r:id="rId2"/>
    <sheet name="Điểm đặt hàng" sheetId="58" r:id="rId3"/>
  </sheets>
  <functionGroups builtInGroupCount="19"/>
  <definedNames>
    <definedName name="_xleta.IF"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'Điểm đặt hàng'!$J$1</definedName>
    <definedName name="DatHang_NgayKetThuc">'Điểm đặt hàng'!$K$1</definedName>
    <definedName name="DatHang_NgayTheoDoi">'Điểm đặt hàng'!$E$2</definedName>
    <definedName name="DatHang_SoNgayThamChieu">'Điểm đặt hàng'!$H$2</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6"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58" l="1"/>
  <c r="H25" i="58"/>
  <c r="H26" i="58"/>
  <c r="H27" i="58"/>
  <c r="H28" i="58"/>
  <c r="G24" i="58"/>
  <c r="G25" i="58"/>
  <c r="G26" i="58"/>
  <c r="G27" i="58"/>
  <c r="G28" i="58"/>
  <c r="K24" i="58"/>
  <c r="N24" i="58" s="1"/>
  <c r="P20" i="58" s="1"/>
  <c r="K25" i="58"/>
  <c r="N25" i="58" s="1"/>
  <c r="K26" i="58"/>
  <c r="N26" i="58" s="1"/>
  <c r="K27" i="58"/>
  <c r="N27" i="58" s="1"/>
  <c r="K28" i="58"/>
  <c r="N28" i="58" s="1"/>
  <c r="E2" i="58"/>
  <c r="M25" i="58" l="1"/>
  <c r="P28" i="58"/>
  <c r="M24" i="58"/>
  <c r="M28" i="58"/>
  <c r="M27" i="58"/>
  <c r="M26" i="58"/>
  <c r="P27" i="58"/>
  <c r="P26" i="58"/>
  <c r="P25" i="58"/>
  <c r="P24" i="58" l="1"/>
  <c r="P17" i="58" l="1"/>
  <c r="P18" i="58" a="1"/>
  <c r="P18"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<sst xmlns="http://schemas.openxmlformats.org/spreadsheetml/2006/main" count="73" uniqueCount="63">
  <si>
    <t>Bên A</t>
  </si>
  <si>
    <t>Công ty TNHH Tư vấn Quản trị FIRM</t>
  </si>
  <si>
    <t>[Địa chỉ]</t>
  </si>
  <si>
    <t>[Mã số thuế]</t>
  </si>
  <si>
    <t>[SĐT - Fax]</t>
  </si>
  <si>
    <t>[Website - Page]</t>
  </si>
  <si>
    <t>[STK - Ngân hàng]</t>
  </si>
  <si>
    <t>Bên B</t>
  </si>
  <si>
    <t>Công ty ABC XYZ</t>
  </si>
  <si>
    <t>ID</t>
  </si>
  <si>
    <t>License</t>
  </si>
  <si>
    <t>Đơn vị</t>
  </si>
  <si>
    <t>Mã hàng</t>
  </si>
  <si>
    <t>Tiêu thụ / ngày</t>
  </si>
  <si>
    <t>Ngày tồn kho</t>
  </si>
  <si>
    <t>Giá trị cần đặt</t>
  </si>
  <si>
    <t>Đơn giá</t>
  </si>
  <si>
    <t>Tồn kho hiện tại</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</si>
  <si>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</si>
  <si>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</si>
  <si>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</si>
  <si>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</si>
  <si>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</si>
  <si>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</si>
  <si>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</si>
  <si>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</si>
  <si>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</si>
  <si>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</si>
  <si>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</si>
  <si>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</si>
  <si>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</si>
  <si>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</si>
  <si>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</si>
  <si>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</si>
  <si>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</si>
  <si>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</si>
  <si>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</si>
  <si>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Ngày giao / sản xuất</t>
  </si>
  <si>
    <t>Hạn đặt hàng / sản xuất</t>
  </si>
  <si>
    <t>SL cần đặt / sản xuất</t>
  </si>
  <si>
    <t>HH1</t>
  </si>
  <si>
    <t>HH2</t>
  </si>
  <si>
    <t>TP1</t>
  </si>
  <si>
    <t>TP2</t>
  </si>
  <si>
    <t>TP3</t>
  </si>
  <si>
    <t>Ngày đặt hàng</t>
  </si>
  <si>
    <t>Row Labels</t>
  </si>
  <si>
    <t>Grand Total</t>
  </si>
  <si>
    <t>Số ngày lưu kho</t>
  </si>
  <si>
    <t>Tồn tối thiểu</t>
  </si>
  <si>
    <t>Tồn tối đa</t>
  </si>
  <si>
    <t>Giá trị cần đặt / sản xuất</t>
  </si>
  <si>
    <t>TỔNG GIÁ TRỊ CẦN ĐẶT / SẢN XUẤT</t>
  </si>
  <si>
    <t>GIÁ TRỊ CẦN ĐẶT / SẢN XUẤT NGAY</t>
  </si>
  <si>
    <t>SỐ LƯỢNG HÀNG ĐẶT:</t>
  </si>
  <si>
    <t>4C68A711-89BE-412A-BD2D-CB33771CC62D</t>
  </si>
  <si>
    <t>EASY-33329183463</t>
  </si>
  <si>
    <t>LK01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</si>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</sst>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d/m/yyyy"/>
    <numFmt numFmtId="166" formatCode="[$-1010000]d/m/yyyy;@"/>
    <numFmt numFmtId="167"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1"/>
      <name val="Segoe UI Light"/>
      <family val="2"/>
      <scheme val="minor"/>
    </font>
    <font>
      <b/>
      <sz val="8"/>
      <color theme="9" tint="-0.499984740745262"/>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1">
    <xf numFmtId="0" fontId="0" fillId="0" borderId="0" xfId="0"/>
    <xf numFmtId="0" fontId="5" fillId="0" borderId="0" xfId="0"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164" fontId="7" fillId="0" borderId="1" xfId="1" applyNumberFormat="1" applyFont="1" applyFill="1" applyBorder="1" applyAlignment="1" applyProtection="1">
      <alignment vertical="center"/>
      <protection locked="0" hidden="1"/>
    </xf>
    <xf numFmtId="0" fontId="0" fillId="0" borderId="0" xfId="0" applyAlignment="1">
      <alignment horizontal="left"/>
    </xf>
    <xf numFmtId="164" fontId="7" fillId="0" borderId="0" xfId="1" applyNumberFormat="1" applyFont="1" applyBorder="1" applyAlignment="1" applyProtection="1">
      <alignment vertical="center"/>
      <protection locked="0" hidden="1"/>
    </xf>
    <xf numFmtId="165" fontId="7" fillId="0" borderId="1" xfId="1" applyNumberFormat="1" applyFont="1" applyFill="1" applyBorder="1" applyAlignment="1" applyProtection="1">
      <alignment vertical="center"/>
      <protection locked="0" hidden="1"/>
    </xf>
    <xf numFmtId="164" fontId="7" fillId="0" borderId="1"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8"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8"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14" fillId="0" borderId="0" xfId="0" applyFont="1" applyAlignment="1" applyProtection="1">
      <alignment horizontal="center" vertical="center"/>
      <protection locked="0" hidden="1"/>
    </xf>
    <xf numFmtId="164" fontId="6" fillId="0" borderId="1" xfId="1" applyNumberFormat="1" applyFont="1" applyFill="1" applyBorder="1" applyAlignment="1" applyProtection="1">
      <alignment vertical="center"/>
      <protection locked="0" hidden="1"/>
    </xf>
    <xf numFmtId="164" fontId="6" fillId="0" borderId="1" xfId="1" applyNumberFormat="1" applyFont="1" applyBorder="1" applyAlignment="1" applyProtection="1">
      <alignment vertical="center"/>
      <protection locked="0" hidden="1"/>
    </xf>
    <xf numFmtId="14" fontId="15" fillId="2" borderId="0" xfId="0" applyNumberFormat="1" applyFont="1" applyFill="1" applyAlignment="1" applyProtection="1">
      <alignment horizontal="center" vertical="center"/>
      <protection locked="0" hidden="1"/>
    </xf>
    <xf numFmtId="0" fontId="0" fillId="0" borderId="0" xfId="0" pivotButton="1"/>
    <xf numFmtId="164" fontId="0" fillId="0" borderId="0" xfId="0" applyNumberFormat="1"/>
    <xf numFmtId="0" fontId="15" fillId="2" borderId="0" xfId="0" applyFont="1" applyFill="1" applyAlignment="1" applyProtection="1">
      <alignment horizontal="center" vertical="center"/>
      <protection locked="0" hidden="1"/>
    </xf>
    <xf numFmtId="0" fontId="16" fillId="0" borderId="0" xfId="0" applyFont="1" applyAlignment="1" applyProtection="1">
      <alignment vertical="center"/>
      <protection locked="0" hidden="1"/>
    </xf>
    <xf numFmtId="164" fontId="17" fillId="0" borderId="0" xfId="1" applyNumberFormat="1" applyFont="1" applyAlignment="1" applyProtection="1">
      <alignment vertical="center"/>
      <protection locked="0" hidden="1"/>
    </xf>
    <xf numFmtId="0" fontId="3" fillId="2" borderId="0" xfId="0" applyFont="1" applyFill="1" applyAlignment="1" applyProtection="1">
      <alignment horizontal="center"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d/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[05. EASY-LK01 - Điểm đặt hàng.xlsm]Điểm đặt hàng!PivotTable1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'Điểm đặt hàng'!$C$23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E1-44CF-992B-437CB2EB2255}"/>
              </c:ext>
            </c:extLst>
          </c:dPt>
          <c:dPt>
            <c:idx val="1"/>
            <c:bubble3D val="0"/>
            <c:spPr>
              <a:solidFill>
                <a:schemeClr val="accent2"/>
              </a:solidFill>
              <a:ln>
                <a:noFill/>
              </a:ln>
              <a:effectLst/>
            </c:spPr>
            <c:extLst>
              <c:ext xmlns:c16="http://schemas.microsoft.com/office/drawing/2014/chart" uri="{C3380CC4-5D6E-409C-BE32-E72D297353CC}">
                <c16:uniqueId val="{00000003-B4E1-44CF-992B-437CB2EB2255}"/>
              </c:ext>
            </c:extLst>
          </c:dPt>
          <c:dPt>
            <c:idx val="2"/>
            <c:bubble3D val="0"/>
            <c:spPr>
              <a:solidFill>
                <a:schemeClr val="accent3"/>
              </a:solidFill>
              <a:ln>
                <a:noFill/>
              </a:ln>
              <a:effectLst/>
            </c:spPr>
            <c:extLst>
              <c:ext xmlns:c16="http://schemas.microsoft.com/office/drawing/2014/chart" uri="{C3380CC4-5D6E-409C-BE32-E72D297353CC}">
                <c16:uniqueId val="{00000005-B4E1-44CF-992B-437CB2EB2255}"/>
              </c:ext>
            </c:extLst>
          </c:dPt>
          <c:dPt>
            <c:idx val="3"/>
            <c:bubble3D val="0"/>
            <c:spPr>
              <a:solidFill>
                <a:schemeClr val="accent4"/>
              </a:solidFill>
              <a:ln>
                <a:noFill/>
              </a:ln>
              <a:effectLst/>
            </c:spPr>
            <c:extLst>
              <c:ext xmlns:c16="http://schemas.microsoft.com/office/drawing/2014/chart" uri="{C3380CC4-5D6E-409C-BE32-E72D297353CC}">
                <c16:uniqueId val="{00000007-B4E1-44CF-992B-437CB2EB2255}"/>
              </c:ext>
            </c:extLst>
          </c:dPt>
          <c:dPt>
            <c:idx val="4"/>
            <c:bubble3D val="0"/>
            <c:spPr>
              <a:solidFill>
                <a:schemeClr val="accent5"/>
              </a:solidFill>
              <a:ln>
                <a:noFill/>
              </a:ln>
              <a:effectLst/>
            </c:spPr>
            <c:extLst>
              <c:ext xmlns:c16="http://schemas.microsoft.com/office/drawing/2014/chart" uri="{C3380CC4-5D6E-409C-BE32-E72D297353CC}">
                <c16:uniqueId val="{00000009-B4E1-44CF-992B-437CB2EB225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'Điểm đặt hàng'!$B$24:$B$29</c:f>
              <c:strCache>
                <c:ptCount val="5"/>
                <c:pt idx="0">
                  <c:v>HH1</c:v>
                </c:pt>
                <c:pt idx="1">
                  <c:v>HH2</c:v>
                </c:pt>
                <c:pt idx="2">
                  <c:v>TP1</c:v>
                </c:pt>
                <c:pt idx="3">
                  <c:v>TP2</c:v>
                </c:pt>
                <c:pt idx="4">
                  <c:v>TP3</c:v>
                </c:pt>
              </c:strCache>
            </c:strRef>
          </c:cat>
          <c:val>
            <c:numRef>
              <c:f>'Điểm đặt hàng'!$C$24:$C$29</c:f>
              <c:numCache>
                <c:formatCode>_(* #,##0_);_(* \(#,##0\);_(* "-"??_);_(@_)</c:formatCode>
                <c:ptCount val="5"/>
                <c:pt idx="0">
                  <c:v>31200000</c:v>
                </c:pt>
                <c:pt idx="1">
                  <c:v>23100000</c:v>
                </c:pt>
                <c:pt idx="2">
                  <c:v>330000</c:v>
                </c:pt>
                <c:pt idx="3">
                  <c:v>240000</c:v>
                </c:pt>
                <c:pt idx="4">
                  <c:v>1920000</c:v>
                </c:pt>
              </c:numCache>
            </c:numRef>
          </c:val>
          <c:extLst>
            <c:ext xmlns:c16="http://schemas.microsoft.com/office/drawing/2014/chart" uri="{C3380CC4-5D6E-409C-BE32-E72D297353CC}">
              <c16:uniqueId val="{00000006-E7A0-4E49-82B0-B502564436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'Điểm đặt hàng'!$G$23</c:f>
              <c:strCache>
                <c:ptCount val="1"/>
                <c:pt idx="0">
                  <c:v>Tồn tối thiểu</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hàng'!$G$24:$G$28</c:f>
              <c:numCache>
                <c:formatCode>_(* #,##0_);_(* \(#,##0\);_(* "-"??_);_(@_)</c:formatCode>
                <c:ptCount val="5"/>
                <c:pt idx="0">
                  <c:v>130</c:v>
                </c:pt>
                <c:pt idx="1">
                  <c:v>210</c:v>
                </c:pt>
                <c:pt idx="2">
                  <c:v>110</c:v>
                </c:pt>
                <c:pt idx="3">
                  <c:v>80</c:v>
                </c:pt>
                <c:pt idx="4">
                  <c:v>160</c:v>
                </c:pt>
              </c:numCache>
            </c:numRef>
          </c:yVal>
          <c:smooth val="0"/>
          <c:extLst>
            <c:ext xmlns:c16="http://schemas.microsoft.com/office/drawing/2014/chart" uri="{C3380CC4-5D6E-409C-BE32-E72D297353CC}">
              <c16:uniqueId val="{00000000-302C-4D03-9169-5FA0E0206F7F}"/>
            </c:ext>
          </c:extLst>
        </c:ser>
        <c:ser>
          <c:idx val="1"/>
          <c:order val="1"/>
          <c:tx>
            <c:strRef>
              <c:f>'Điểm đặt hàng'!$H$23</c:f>
              <c:strCache>
                <c:ptCount val="1"/>
                <c:pt idx="0">
                  <c:v>Tồn tối đa</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hàng'!$H$24:$H$28</c:f>
              <c:numCache>
                <c:formatCode>_(* #,##0_);_(* \(#,##0\);_(* "-"??_);_(@_)</c:formatCode>
                <c:ptCount val="5"/>
                <c:pt idx="0">
                  <c:v>390</c:v>
                </c:pt>
                <c:pt idx="1">
                  <c:v>630</c:v>
                </c:pt>
                <c:pt idx="2">
                  <c:v>330</c:v>
                </c:pt>
                <c:pt idx="3">
                  <c:v>240</c:v>
                </c:pt>
                <c:pt idx="4">
                  <c:v>480</c:v>
                </c:pt>
              </c:numCache>
            </c:numRef>
          </c:yVal>
          <c:smooth val="0"/>
          <c:extLst>
            <c:ext xmlns:c16="http://schemas.microsoft.com/office/drawing/2014/chart" uri="{C3380CC4-5D6E-409C-BE32-E72D297353CC}">
              <c16:uniqueId val="{00000001-302C-4D03-9169-5FA0E0206F7F}"/>
            </c:ext>
          </c:extLst>
        </c:ser>
        <c:ser>
          <c:idx val="2"/>
          <c:order val="2"/>
          <c:tx>
            <c:strRef>
              <c:f>'Điểm đặt hàng'!$I$23</c:f>
              <c:strCache>
                <c:ptCount val="1"/>
                <c:pt idx="0">
                  <c:v>Tồn kho hiện tại</c:v>
                </c:pt>
              </c:strCache>
            </c:strRef>
          </c:tx>
          <c:spPr>
            <a:ln w="25400" cap="rnd">
              <a:noFill/>
              <a:round/>
            </a:ln>
            <a:effectLst/>
          </c:spPr>
          <c:marker>
            <c:symbol val="circle"/>
            <c:size val="10"/>
            <c:spPr>
              <a:solidFill>
                <a:schemeClr val="accent6"/>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'Điểm đặt hàng'!$E$24:$E$28</c:f>
              <c:strCache>
                <c:ptCount val="5"/>
                <c:pt idx="0">
                  <c:v>HH1</c:v>
                </c:pt>
                <c:pt idx="1">
                  <c:v>HH2</c:v>
                </c:pt>
                <c:pt idx="2">
                  <c:v>TP1</c:v>
                </c:pt>
                <c:pt idx="3">
                  <c:v>TP2</c:v>
                </c:pt>
                <c:pt idx="4">
                  <c:v>TP3</c:v>
                </c:pt>
              </c:strCache>
            </c:strRef>
          </c:xVal>
          <c:yVal>
            <c:numRef>
              <c:f>'Điểm đặt hàng'!$I$24:$I$28</c:f>
              <c:numCache>
                <c:formatCode>_(* #,##0_);_(* \(#,##0\);_(* "-"??_);_(@_)</c:formatCode>
                <c:ptCount val="5"/>
                <c:pt idx="0">
                  <c:v>100</c:v>
                </c:pt>
                <c:pt idx="1">
                  <c:v>200</c:v>
                </c:pt>
                <c:pt idx="2">
                  <c:v>320</c:v>
                </c:pt>
                <c:pt idx="3">
                  <c:v>244</c:v>
                </c:pt>
                <c:pt idx="4">
                  <c:v>431</c:v>
                </c:pt>
              </c:numCache>
            </c:numRef>
          </c:yVal>
          <c:smooth val="0"/>
          <c:extLst>
            <c:ext xmlns:c16="http://schemas.microsoft.com/office/drawing/2014/chart" uri="{C3380CC4-5D6E-409C-BE32-E72D297353CC}">
              <c16:uniqueId val="{00000002-302C-4D03-9169-5FA0E0206F7F}"/>
            </c:ext>
          </c:extLst>
        </c:ser>
        <c:dLbls>
          <c:showLegendKey val="0"/>
          <c:showVal val="0"/>
          <c:showCatName val="0"/>
          <c:showSerName val="0"/>
          <c:showPercent val="0"/>
          <c:showBubbleSize val="0"/>
        </c:dLbls>
        <c:axId val="1538965504"/>
        <c:axId val="1538968384"/>
      </c:scatterChart>
      <c:valAx>
        <c:axId val="1538965504"/>
        <c:scaling>
          <c:orientation val="minMax"/>
        </c:scaling>
        <c:delete val="1"/>
        <c:axPos val="b"/>
        <c:numFmt formatCode="General" sourceLinked="1"/>
        <c:majorTickMark val="none"/>
        <c:minorTickMark val="none"/>
        <c:tickLblPos val="nextTo"/>
        <c:crossAx val="1538968384"/>
        <c:crosses val="autoZero"/>
        <c:crossBetween val="midCat"/>
      </c:valAx>
      <c:valAx>
        <c:axId val="15389683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965504"/>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57CB4D0D-26C9-4C6F-BACD-C3FB00920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0</xdr:row>
          <xdr:rowOff>85725</xdr:rowOff>
        </xdr:from>
        <xdr:to>
          <xdr:col>16</xdr:col>
          <xdr:colOff>257175</xdr:colOff>
          <xdr:row>1</xdr:row>
          <xdr:rowOff>114300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391775" y="857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66675</xdr:rowOff>
        </xdr:from>
        <xdr:to>
          <xdr:col>14</xdr:col>
          <xdr:colOff>428630</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6562723" y="66675"/>
              <a:ext cx="3667132" cy="361950"/>
              <a:chOff x="6162673" y="3409950"/>
              <a:chExt cx="3695706"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2" cy="361950"/>
                <a:chOff x="8191507" y="3409950"/>
                <a:chExt cx="1990722"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2" y="3452813"/>
                  <a:ext cx="1769684" cy="276225"/>
                  <a:chOff x="8305810" y="3457575"/>
                  <a:chExt cx="1769684"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0"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4"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2"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5" cy="180000"/>
                  <a:chOff x="6029325" y="4257675"/>
                  <a:chExt cx="149541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1" y="4257675"/>
                    <a:ext cx="466719"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14287</xdr:colOff>
      <xdr:row>2</xdr:row>
      <xdr:rowOff>166687</xdr:rowOff>
    </xdr:from>
    <xdr:to>
      <xdr:col>15</xdr:col>
      <xdr:colOff>652462</xdr:colOff>
      <xdr:row>14</xdr:row>
      <xdr:rowOff>166687</xdr:rowOff>
    </xdr:to>
    <xdr:graphicFrame macro="">
      <xdr:nvGraphicFramePr>
        <xdr:cNvPr id="2" name="Chart 1">
          <a:extLst>
            <a:ext uri="{FF2B5EF4-FFF2-40B4-BE49-F238E27FC236}">
              <a16:creationId xmlns:a16="http://schemas.microsoft.com/office/drawing/2014/main" id="{9F751EC8-78E4-6B6E-3677-D661EB64C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2</xdr:row>
      <xdr:rowOff>152400</xdr:rowOff>
    </xdr:from>
    <xdr:to>
      <xdr:col>10</xdr:col>
      <xdr:colOff>809624</xdr:colOff>
      <xdr:row>19</xdr:row>
      <xdr:rowOff>226200</xdr:rowOff>
    </xdr:to>
    <xdr:graphicFrame macro="">
      <xdr:nvGraphicFramePr>
        <xdr:cNvPr id="7" name="Chart 6">
          <a:extLst>
            <a:ext uri="{FF2B5EF4-FFF2-40B4-BE49-F238E27FC236}">
              <a16:creationId xmlns:a16="http://schemas.microsoft.com/office/drawing/2014/main" id="{C6B5CF64-C4D6-79E8-E3E9-3E669DB29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0</xdr:row>
          <xdr:rowOff>57150</xdr:rowOff>
        </xdr:from>
        <xdr:to>
          <xdr:col>6</xdr:col>
          <xdr:colOff>771525</xdr:colOff>
          <xdr:row>1</xdr:row>
          <xdr:rowOff>85725</xdr:rowOff>
        </xdr:to>
        <xdr:sp macro="" textlink="">
          <xdr:nvSpPr>
            <xdr:cNvPr id="56336" name="Button 16" hidden="1">
              <a:extLst>
                <a:ext uri="{63B3BB69-23CF-44E3-9099-C40C66FF867C}">
                  <a14:compatExt spid="_x0000_s56336"/>
                </a:ext>
                <a:ext uri="{FF2B5EF4-FFF2-40B4-BE49-F238E27FC236}">
                  <a16:creationId xmlns:a16="http://schemas.microsoft.com/office/drawing/2014/main" id="{00000000-0008-0000-0200-000010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50174537036" createdVersion="8" refreshedVersion="8" minRefreshableVersion="3" recordCount="5" xr:uid="{D171DA1E-A4C3-4B44-ACCB-55EC8B9F299D}">
  <cacheSource type="worksheet">
    <worksheetSource name="Table_DiemDatHang"/>
  </cacheSource>
  <cacheFields count="12">
    <cacheField name="Mã hàng" numFmtId="0">
      <sharedItems count="5">
        <s v="HH1"/>
        <s v="HH2"/>
        <s v="TP1"/>
        <s v="TP2"/>
        <s v="TP3"/>
      </sharedItems>
    </cacheField>
    <cacheField name="Đơn vị" numFmtId="164">
      <sharedItems containsNonDate="0" containsString="0" containsBlank="1"/>
    </cacheField>
    <cacheField name="Tồn tối thiểu" numFmtId="164">
      <sharedItems containsSemiMixedTypes="0" containsString="0" containsNumber="1" containsInteger="1" minValue="80" maxValue="210"/>
    </cacheField>
    <cacheField name="Tồn tối đa" numFmtId="164">
      <sharedItems containsSemiMixedTypes="0" containsString="0" containsNumber="1" containsInteger="1" minValue="240" maxValue="630"/>
    </cacheField>
    <cacheField name="Tồn kho hiện tại" numFmtId="164">
      <sharedItems containsSemiMixedTypes="0" containsString="0" containsNumber="1" containsInteger="1" minValue="100" maxValue="431"/>
    </cacheField>
    <cacheField name="Tiêu thụ / ngày" numFmtId="164">
      <sharedItems containsSemiMixedTypes="0" containsString="0" containsNumber="1" containsInteger="1" minValue="8" maxValue="21"/>
    </cacheField>
    <cacheField name="Ngày tồn kho" numFmtId="164">
      <sharedItems containsSemiMixedTypes="0" containsString="0" containsNumber="1" containsInteger="1" minValue="8" maxValue="31"/>
    </cacheField>
    <cacheField name="Ngày giao / sản xuất" numFmtId="164">
      <sharedItems containsSemiMixedTypes="0" containsString="0" containsNumber="1" containsInteger="1" minValue="1" maxValue="3"/>
    </cacheField>
    <cacheField name="Hạn đặt hàng / sản xuất" numFmtId="165">
      <sharedItems containsSemiMixedTypes="0" containsNonDate="0" containsDate="1" containsString="0" minDate="2025-05-25T00:00:00" maxDate="2025-06-18T00:00:00"/>
    </cacheField>
    <cacheField name="SL cần đặt / sản xuất" numFmtId="164">
      <sharedItems containsSemiMixedTypes="0" containsString="0" containsNumber="1" containsInteger="1" minValue="11" maxValue="462"/>
    </cacheField>
    <cacheField name="Đơn giá" numFmtId="164">
      <sharedItems containsSemiMixedTypes="0" containsString="0" containsNumber="1" containsInteger="1" minValue="15000" maxValue="100000"/>
    </cacheField>
    <cacheField name="Giá trị cần đặt" numFmtId="164">
      <sharedItems containsSemiMixedTypes="0" containsString="0" containsNumber="1" containsInteger="1" minValue="240000" maxValue="312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n v="130"/>
    <n v="390"/>
    <n v="100"/>
    <n v="13"/>
    <n v="8"/>
    <n v="2"/>
    <d v="2025-05-25T00:00:00"/>
    <n v="312"/>
    <n v="100000"/>
    <n v="31200000"/>
  </r>
  <r>
    <x v="1"/>
    <m/>
    <n v="210"/>
    <n v="630"/>
    <n v="200"/>
    <n v="21"/>
    <n v="10"/>
    <n v="2"/>
    <d v="2025-05-27T00:00:00"/>
    <n v="462"/>
    <n v="50000"/>
    <n v="23100000"/>
  </r>
  <r>
    <x v="2"/>
    <m/>
    <n v="110"/>
    <n v="330"/>
    <n v="320"/>
    <n v="11"/>
    <n v="30"/>
    <n v="1"/>
    <d v="2025-06-17T00:00:00"/>
    <n v="11"/>
    <n v="30000"/>
    <n v="330000"/>
  </r>
  <r>
    <x v="3"/>
    <m/>
    <n v="80"/>
    <n v="240"/>
    <n v="244"/>
    <n v="8"/>
    <n v="31"/>
    <n v="3"/>
    <d v="2025-06-16T00:00:00"/>
    <n v="16"/>
    <n v="15000"/>
    <n v="240000"/>
  </r>
  <r>
    <x v="4"/>
    <m/>
    <n v="160"/>
    <n v="480"/>
    <n v="431"/>
    <n v="16"/>
    <n v="27"/>
    <n v="2"/>
    <d v="2025-06-13T00:00:00"/>
    <n v="80"/>
    <n v="24000"/>
    <n v="19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64581-3D97-42F2-A875-03FEDA016D7C}"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9" firstHeaderRow="1" firstDataRow="1" firstDataCol="1"/>
  <pivotFields count="12">
    <pivotField axis="axisRow" showAll="0">
      <items count="6">
        <item x="0"/>
        <item x="1"/>
        <item x="2"/>
        <item x="3"/>
        <item x="4"/>
        <item t="default"/>
      </items>
    </pivotField>
    <pivotField showAll="0"/>
    <pivotField numFmtId="164" showAll="0"/>
    <pivotField numFmtId="164" showAll="0"/>
    <pivotField numFmtId="164" showAll="0"/>
    <pivotField numFmtId="164" showAll="0"/>
    <pivotField numFmtId="164" showAll="0"/>
    <pivotField numFmtId="164" showAll="0"/>
    <pivotField numFmtId="165" showAll="0"/>
    <pivotField numFmtId="164" showAll="0"/>
    <pivotField numFmtId="164" showAll="0"/>
    <pivotField dataField="1" numFmtId="164" showAll="0"/>
  </pivotFields>
  <rowFields count="1">
    <field x="0"/>
  </rowFields>
  <rowItems count="6">
    <i>
      <x/>
    </i>
    <i>
      <x v="1"/>
    </i>
    <i>
      <x v="2"/>
    </i>
    <i>
      <x v="3"/>
    </i>
    <i>
      <x v="4"/>
    </i>
    <i t="grand">
      <x/>
    </i>
  </rowItems>
  <colItems count="1">
    <i/>
  </colItems>
  <dataFields count="1">
    <dataField name="Giá trị cần đặt / sản xuất" fld="11" baseField="0" baseItem="0" numFmtId="164"/>
  </dataFields>
  <chartFormats count="6">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E23:P28" totalsRowShown="0" headerRowDxfId="13" dataDxfId="12">
  <autoFilter ref="E23:P28" xr:uid="{41302B2E-E512-424D-BCE6-0E1D488E9735}"/>
  <tableColumns count="12">
    <tableColumn id="1" xr3:uid="{F59CB08C-5328-43EF-A2C6-5040207B19D1}" name="Mã hàng" dataDxfId="11"/>
    <tableColumn id="13" xr3:uid="{542747C7-88F6-4936-AD95-568C155C25B1}" name="Đơn vị" dataDxfId="10" dataCellStyle="Comma"/>
    <tableColumn id="7" xr3:uid="{8DD841B9-0227-476F-9C70-64D13EAECD70}" name="Tồn tối thiểu" dataDxfId="9" dataCellStyle="Comma">
      <calculatedColumnFormula>Table_DiemDatHang[[#This Row],[Tiêu thụ / ngày]]*DatHang_NgayBatDau</calculatedColumnFormula>
    </tableColumn>
    <tableColumn id="9" xr3:uid="{85EAFD39-40B5-4921-A48B-58722366EEE3}" name="Tồn tối đa" dataDxfId="8" dataCellStyle="Comma">
      <calculatedColumnFormula>Table_DiemDatHang[[#This Row],[Tiêu thụ / ngày]]*DatHang_NgayKetThuc</calculatedColumnFormula>
    </tableColumn>
    <tableColumn id="2" xr3:uid="{A6F0E9AD-D7D3-4CB4-893A-CEDB0F6554DF}" name="Tồn kho hiện tại" dataDxfId="7" dataCellStyle="Comma"/>
    <tableColumn id="4" xr3:uid="{5EB1768A-369D-49A7-B8D9-BF746C752B73}" name="Tiêu thụ / ngày" dataDxfId="6" dataCellStyle="Comma"/>
    <tableColumn id="5" xr3:uid="{6EB410F5-2A26-47F7-8343-417C2322AD8A}" name="Ngày tồn kho" dataDxfId="5" dataCellStyle="Comma">
      <calculatedColumnFormula xml:space="preserve">
IFERROR(
ROUNDUP(I24/J24,0),0)</calculatedColumnFormula>
    </tableColumn>
    <tableColumn id="6" xr3:uid="{8696BBB3-62B4-475B-AE47-68ED60378C95}" name="Ngày giao / sản xuất" dataDxfId="4" dataCellStyle="Comma"/>
    <tableColumn id="8" xr3:uid="{40693F00-600F-4B0A-A5CA-0712AE16FF7B}" name="Hạn đặt hàng / sản xuất" dataDxfId="3">
      <calculatedColumnFormula>DatHang_NgayTheoDoi+K24-L24-DatHang_NgayBatDau</calculatedColumnFormula>
    </tableColumn>
    <tableColumn id="11" xr3:uid="{D57B6699-100A-4922-9CAE-78E9714A49FC}" name="SL cần đặt / sản xuất" dataDxfId="2" dataCellStyle="Comma">
      <calculatedColumnFormula>Table_DiemDatHang[[#This Row],[Tiêu thụ / ngày]]*(DatHang_NgayKetThuc-MAX(0,Table_DiemDatHang[[#This Row],[Ngày tồn kho]]-Table_DiemDatHang[[#This Row],[Ngày giao / sản xuất]]))</calculatedColumnFormula>
    </tableColumn>
    <tableColumn id="12" xr3:uid="{C8E5CE7E-2B1F-4B4E-96B7-69A4F5D357C3}" name="Đơn giá" dataDxfId="1" dataCellStyle="Comma"/>
    <tableColumn id="3" xr3:uid="{498A1813-39E1-4F11-AED7-53FBA735CA1F}" name="Giá trị cần đặt" dataDxfId="0" dataCellStyle="Comma">
      <calculatedColumnFormula>Table_DiemDatHang[[#This Row],[Đơn giá]]*Table_DiemDatHang[[#This Row],[SL cần đặt / sản xuất]]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9" bestFit="1" customWidth="1"/>
    <col min="6" max="25" width="9" style="5"/>
    <col min="26" max="26" width="9" style="5" hidden="1" customWidth="1"/>
    <col min="27" max="16384" width="9" style="5"/>
  </cols>
  <sheetData>
    <row r="1" spans="1:26" x14ac:dyDescent="0.3">
      <c r="A1" s="14" t="s">
        <v>18</v>
      </c>
      <c r="B1" s="15" t="s">
        <v>9</v>
      </c>
      <c r="C1" s="16" t="s">
        <v>10</v>
      </c>
      <c r="D1" s="18" t="s">
        <v>19</v>
      </c>
      <c r="E1" s="18" t="s">
        <v>20</v>
      </c>
      <c r="F1" s="14" t="s">
        <v>21</v>
      </c>
      <c r="G1" s="17" t="s">
        <v>22</v>
      </c>
      <c r="H1" s="14" t="s">
        <v>23</v>
      </c>
      <c r="I1" s="14" t="s">
        <v>24</v>
      </c>
      <c r="J1" s="17" t="s">
        <v>25</v>
      </c>
      <c r="K1" s="17" t="s">
        <v>26</v>
      </c>
      <c r="L1" s="17" t="s">
        <v>27</v>
      </c>
      <c r="M1" s="17" t="s">
        <v>28</v>
      </c>
      <c r="N1" s="27"/>
      <c r="O1" s="27"/>
      <c r="P1" s="27"/>
      <c r="Q1" s="27"/>
      <c r="R1" s="27"/>
      <c r="S1" s="27"/>
      <c r="T1" s="27"/>
      <c r="U1" s="27"/>
      <c r="V1" s="27"/>
      <c r="W1" s="27"/>
      <c r="X1" s="27"/>
      <c r="Y1" s="27"/>
      <c r="Z1" s="5" t="s">
        <v>30</v>
      </c>
    </row>
    <row r="2" spans="1:26" x14ac:dyDescent="0.3">
      <c r="A2" s="27"/>
      <c r="B2" s="5" t="s">
        <v>55</v>
      </c>
      <c r="C2" s="5" t="s">
        <v>56</v>
      </c>
      <c r="D2" s="19">
        <v>45785</v>
      </c>
      <c r="E2" s="19">
        <v>46150</v>
      </c>
      <c r="F2" s="27">
        <v>365</v>
      </c>
      <c r="G2" s="5" t="s">
        <v>32</v>
      </c>
      <c r="H2" s="27"/>
      <c r="I2" s="27"/>
      <c r="J2" s="27"/>
      <c r="K2" s="27"/>
      <c r="L2" s="27"/>
      <c r="M2" s="27"/>
      <c r="N2" s="27"/>
      <c r="O2" s="27"/>
      <c r="P2" s="27"/>
      <c r="Q2" s="27"/>
      <c r="R2" s="27"/>
      <c r="S2" s="27"/>
      <c r="T2" s="27"/>
      <c r="U2" s="27"/>
      <c r="V2" s="27"/>
      <c r="W2" s="27"/>
      <c r="X2" s="27"/>
      <c r="Y2" s="27"/>
      <c r="Z2" s="27" t="s">
        <v>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3" sqref="G3"/>
    </sheetView>
  </sheetViews>
  <sheetFormatPr defaultRowHeight="16.5" x14ac:dyDescent="0.3"/>
  <cols>
    <col min="1" max="1" width="11.625" style="9" bestFit="1" customWidth="1"/>
    <col min="2" max="16384" width="9" style="9"/>
  </cols>
  <sheetData>
    <row r="1" spans="1:12" x14ac:dyDescent="0.3">
      <c r="K1" s="40">
        <v>1</v>
      </c>
      <c r="L1" s="40" t="s">
        <v>58</v>
      </c>
    </row>
    <row r="2" spans="1:12" x14ac:dyDescent="0.3">
      <c r="A2" s="9" t="s">
        <v>57</v>
      </c>
      <c r="L2" s="40" t="s">
        <v>59</v>
      </c>
    </row>
    <row r="3" spans="1:12" x14ac:dyDescent="0.3">
      <c r="L3" s="40" t="s">
        <v>60</v>
      </c>
    </row>
    <row r="4" spans="1:12" ht="37.5" x14ac:dyDescent="0.3">
      <c r="A4" s="12" t="s">
        <v>0</v>
      </c>
      <c r="B4" s="12" t="s">
        <v>1</v>
      </c>
      <c r="L4" s="40" t="s">
        <v>61</v>
      </c>
    </row>
    <row r="5" spans="1:12" ht="17.25" x14ac:dyDescent="0.3">
      <c r="A5" s="22"/>
      <c r="B5" s="20" t="s">
        <v>33</v>
      </c>
      <c r="L5" s="40" t="s">
        <v>62</v>
      </c>
    </row>
    <row r="6" spans="1:12" ht="17.25" x14ac:dyDescent="0.3">
      <c r="A6" s="22"/>
      <c r="B6" s="20" t="s">
        <v>29</v>
      </c>
    </row>
    <row r="7" spans="1:12" ht="17.25" x14ac:dyDescent="0.3">
      <c r="A7" s="22"/>
      <c r="B7" s="20" t="s">
        <v>34</v>
      </c>
    </row>
    <row r="8" spans="1:12" ht="17.25" x14ac:dyDescent="0.3">
      <c r="A8" s="22"/>
      <c r="B8" s="20" t="s">
        <v>35</v>
      </c>
    </row>
    <row r="9" spans="1:12" ht="17.25" x14ac:dyDescent="0.3">
      <c r="A9" s="22"/>
      <c r="B9" s="21" t="s">
        <v>36</v>
      </c>
    </row>
    <row r="10" spans="1:12" x14ac:dyDescent="0.3">
      <c r="A10" s="22"/>
      <c r="B10" s="22"/>
    </row>
    <row r="11" spans="1:12" ht="37.5" x14ac:dyDescent="0.3">
      <c r="A11" s="12" t="s">
        <v>7</v>
      </c>
      <c r="B11" s="12" t="s">
        <v>8</v>
      </c>
    </row>
    <row r="12" spans="1:12" x14ac:dyDescent="0.3">
      <c r="A12" s="13" t="s">
        <v>9</v>
      </c>
      <c r="B12" s="9" t="s">
        <v>55</v>
      </c>
    </row>
    <row r="13" spans="1:12" x14ac:dyDescent="0.3">
      <c r="A13" s="13" t="s">
        <v>10</v>
      </c>
      <c r="B13" s="9" t="s">
        <v>56</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W40"/>
  <sheetViews>
    <sheetView showGridLines="0" workbookViewId="0">
      <selection activeCell="E30" sqref="E30"/>
    </sheetView>
  </sheetViews>
  <sheetFormatPr defaultRowHeight="18" customHeight="1" outlineLevelRow="1" outlineLevelCol="1" x14ac:dyDescent="0.3"/>
  <cols>
    <col min="1" max="1" width="1.25" style="1" customWidth="1"/>
    <col min="2" max="2" width="13" style="1" hidden="1" customWidth="1" outlineLevel="1"/>
    <col min="3" max="3" width="23.25" style="1" hidden="1" customWidth="1" outlineLevel="1"/>
    <col min="4" max="4" width="1.25" style="1" customWidth="1" collapsed="1"/>
    <col min="5" max="5" width="14.125" style="1" bestFit="1" customWidth="1"/>
    <col min="6" max="6" width="7.25" bestFit="1" customWidth="1"/>
    <col min="7" max="7" width="11.75" style="1" customWidth="1"/>
    <col min="8" max="8" width="9.875" style="1" customWidth="1"/>
    <col min="9" max="9" width="15" style="1" customWidth="1"/>
    <col min="10" max="10" width="13.25" style="1" customWidth="1"/>
    <col min="11" max="11" width="11.375" style="1" bestFit="1" customWidth="1"/>
    <col min="12" max="12" width="9.125" style="1" customWidth="1"/>
    <col min="13" max="13" width="17.125" style="1" bestFit="1" customWidth="1"/>
    <col min="14" max="14" width="17.25" style="1" bestFit="1" customWidth="1"/>
    <col min="15" max="15" width="8.125" style="1" bestFit="1" customWidth="1"/>
    <col min="16" max="16" width="12.875" style="1" bestFit="1" customWidth="1"/>
    <col min="17" max="17" width="12.5" bestFit="1" customWidth="1"/>
    <col min="18" max="18" width="12.5" style="1" bestFit="1" customWidth="1"/>
    <col min="20" max="20" width="8.25" style="1" bestFit="1" customWidth="1"/>
    <col min="21" max="22" width="9" style="1"/>
    <col min="24" max="24" width="14.125" style="1" bestFit="1" customWidth="1"/>
    <col min="25" max="25" width="1.25" style="1" customWidth="1"/>
    <col min="26" max="16384" width="9" style="1"/>
  </cols>
  <sheetData>
    <row r="1" spans="5:23" ht="18" customHeight="1" x14ac:dyDescent="0.3">
      <c r="E1" s="30" t="s">
        <v>45</v>
      </c>
      <c r="F1" s="1"/>
      <c r="I1" s="30" t="s">
        <v>48</v>
      </c>
      <c r="J1" s="36">
        <v>10</v>
      </c>
      <c r="K1" s="36">
        <v>30</v>
      </c>
      <c r="Q1" s="1"/>
      <c r="S1" s="1"/>
      <c r="W1" s="1"/>
    </row>
    <row r="2" spans="5:23" ht="18" customHeight="1" x14ac:dyDescent="0.3">
      <c r="E2" s="33">
        <f ca="1">TODAY()</f>
        <v>45812</v>
      </c>
      <c r="F2" s="1"/>
      <c r="H2" s="3"/>
      <c r="Q2" s="1"/>
      <c r="S2" s="1"/>
      <c r="W2" s="1"/>
    </row>
    <row r="3" spans="5:23" ht="18" customHeight="1" outlineLevel="1" x14ac:dyDescent="0.3">
      <c r="F3" s="1"/>
      <c r="Q3" s="1"/>
      <c r="S3" s="1"/>
      <c r="W3" s="1"/>
    </row>
    <row r="4" spans="5:23" ht="18" customHeight="1" outlineLevel="1" x14ac:dyDescent="0.3">
      <c r="E4" s="3"/>
      <c r="F4" s="1"/>
      <c r="Q4" s="1"/>
      <c r="S4" s="1"/>
      <c r="W4" s="1"/>
    </row>
    <row r="5" spans="5:23" ht="18" customHeight="1" outlineLevel="1" x14ac:dyDescent="0.3">
      <c r="E5" s="3"/>
      <c r="F5" s="1"/>
      <c r="Q5" s="1"/>
      <c r="S5" s="1"/>
      <c r="W5" s="1"/>
    </row>
    <row r="6" spans="5:23" ht="18" customHeight="1" outlineLevel="1" x14ac:dyDescent="0.3">
      <c r="E6" s="3"/>
      <c r="F6" s="1"/>
      <c r="Q6" s="1"/>
      <c r="S6" s="1"/>
      <c r="W6" s="1"/>
    </row>
    <row r="7" spans="5:23" ht="18" customHeight="1" outlineLevel="1" x14ac:dyDescent="0.3">
      <c r="E7" s="3"/>
      <c r="F7" s="1"/>
      <c r="Q7" s="1"/>
      <c r="S7" s="1"/>
      <c r="W7" s="1"/>
    </row>
    <row r="8" spans="5:23" ht="18" customHeight="1" outlineLevel="1" x14ac:dyDescent="0.3">
      <c r="E8" s="3"/>
      <c r="F8" s="1"/>
      <c r="Q8" s="1"/>
      <c r="S8" s="1"/>
      <c r="W8" s="1"/>
    </row>
    <row r="9" spans="5:23" ht="18" customHeight="1" outlineLevel="1" x14ac:dyDescent="0.3">
      <c r="E9" s="3"/>
      <c r="F9" s="1"/>
      <c r="Q9" s="1"/>
      <c r="S9" s="1"/>
      <c r="W9" s="1"/>
    </row>
    <row r="10" spans="5:23" ht="18" customHeight="1" outlineLevel="1" x14ac:dyDescent="0.3">
      <c r="E10" s="3"/>
      <c r="F10" s="1"/>
      <c r="Q10" s="1"/>
      <c r="S10" s="1"/>
      <c r="W10" s="1"/>
    </row>
    <row r="11" spans="5:23" ht="18" customHeight="1" outlineLevel="1" x14ac:dyDescent="0.3">
      <c r="E11" s="3"/>
      <c r="F11" s="1"/>
      <c r="Q11" s="1"/>
      <c r="S11" s="1"/>
      <c r="W11" s="1"/>
    </row>
    <row r="12" spans="5:23" ht="18" customHeight="1" outlineLevel="1" x14ac:dyDescent="0.3">
      <c r="E12" s="3"/>
      <c r="F12" s="1"/>
      <c r="Q12" s="1"/>
      <c r="S12" s="1"/>
      <c r="W12" s="1"/>
    </row>
    <row r="13" spans="5:23" ht="18" customHeight="1" outlineLevel="1" x14ac:dyDescent="0.3">
      <c r="E13" s="3"/>
      <c r="F13" s="1"/>
      <c r="Q13" s="1"/>
      <c r="S13" s="1"/>
      <c r="W13" s="1"/>
    </row>
    <row r="14" spans="5:23" ht="18" customHeight="1" outlineLevel="1" x14ac:dyDescent="0.3">
      <c r="E14" s="3"/>
      <c r="F14" s="1"/>
      <c r="Q14" s="1"/>
      <c r="S14" s="1"/>
      <c r="W14" s="1"/>
    </row>
    <row r="15" spans="5:23" ht="18" customHeight="1" outlineLevel="1" x14ac:dyDescent="0.3">
      <c r="E15" s="3"/>
      <c r="F15" s="1"/>
      <c r="Q15" s="1"/>
      <c r="S15" s="1"/>
      <c r="W15" s="1"/>
    </row>
    <row r="16" spans="5:23" ht="18" customHeight="1" outlineLevel="1" x14ac:dyDescent="0.3">
      <c r="E16" s="3"/>
      <c r="F16" s="1"/>
      <c r="Q16" s="1"/>
      <c r="S16" s="1"/>
      <c r="W16" s="1"/>
    </row>
    <row r="17" spans="2:23" ht="18" customHeight="1" outlineLevel="1" x14ac:dyDescent="0.3">
      <c r="E17" s="3"/>
      <c r="F17" s="1"/>
      <c r="L17" s="37" t="s">
        <v>52</v>
      </c>
      <c r="P17" s="38">
        <f>SUM(Table_DiemDatHang[Giá trị cần đặt])</f>
        <v>56790000</v>
      </c>
      <c r="Q17" s="1"/>
      <c r="S17" s="1"/>
      <c r="W17" s="1"/>
    </row>
    <row r="18" spans="2:23" ht="18" customHeight="1" outlineLevel="1" x14ac:dyDescent="0.3">
      <c r="E18" s="3"/>
      <c r="F18" s="1"/>
      <c r="L18" s="37" t="s">
        <v>53</v>
      </c>
      <c r="P18" s="38" cm="1">
        <f t="array" aca="1" ref="P18" ca="1">IFERROR(
SUM(_xlfn._xlws.FILTER(Table_DiemDatHang[Giá trị cần đặt],
(Table_DiemDatHang[Hạn đặt hàng / sản xuất]&lt;=DatHang_NgayTheoDoi)
)),0)</f>
        <v>54300000</v>
      </c>
      <c r="Q18" s="1"/>
      <c r="S18" s="1"/>
      <c r="W18" s="1"/>
    </row>
    <row r="19" spans="2:23" ht="18" customHeight="1" outlineLevel="1" x14ac:dyDescent="0.3">
      <c r="E19" s="3"/>
      <c r="F19" s="1"/>
      <c r="Q19" s="1"/>
      <c r="S19" s="1"/>
      <c r="W19" s="1"/>
    </row>
    <row r="20" spans="2:23" ht="18" customHeight="1" outlineLevel="1" x14ac:dyDescent="0.3">
      <c r="E20" s="3"/>
      <c r="F20" s="1"/>
      <c r="L20" s="37" t="s">
        <v>54</v>
      </c>
      <c r="N20" s="39" t="s">
        <v>40</v>
      </c>
      <c r="P20" s="38">
        <f>VLOOKUP(N20,Table_DiemDatHang[],COUNTA(Table_DiemDatHang[[#Headers],[Mã hàng]:[SL cần đặt / sản xuất]]),0)</f>
        <v>312</v>
      </c>
      <c r="Q20" s="1"/>
      <c r="S20" s="1"/>
      <c r="W20" s="1"/>
    </row>
    <row r="21" spans="2:23" ht="18" customHeight="1" outlineLevel="1" x14ac:dyDescent="0.3">
      <c r="E21" s="3"/>
      <c r="F21" s="1"/>
      <c r="Q21" s="1"/>
      <c r="S21" s="1"/>
      <c r="W21" s="1"/>
    </row>
    <row r="22" spans="2:23" ht="18" customHeight="1" x14ac:dyDescent="0.3">
      <c r="E22" s="3"/>
      <c r="F22" s="1"/>
      <c r="Q22" s="1"/>
      <c r="S22" s="1"/>
      <c r="W22" s="1"/>
    </row>
    <row r="23" spans="2:23" ht="16.5" x14ac:dyDescent="0.3">
      <c r="B23" s="34" t="s">
        <v>46</v>
      </c>
      <c r="C23" t="s">
        <v>51</v>
      </c>
      <c r="E23" s="1" t="s">
        <v>12</v>
      </c>
      <c r="F23" s="1" t="s">
        <v>11</v>
      </c>
      <c r="G23" s="1" t="s">
        <v>49</v>
      </c>
      <c r="H23" s="1" t="s">
        <v>50</v>
      </c>
      <c r="I23" s="1" t="s">
        <v>17</v>
      </c>
      <c r="J23" s="1" t="s">
        <v>13</v>
      </c>
      <c r="K23" s="1" t="s">
        <v>14</v>
      </c>
      <c r="L23" s="1" t="s">
        <v>37</v>
      </c>
      <c r="M23" s="1" t="s">
        <v>38</v>
      </c>
      <c r="N23" s="1" t="s">
        <v>39</v>
      </c>
      <c r="O23" s="1" t="s">
        <v>16</v>
      </c>
      <c r="P23" s="1" t="s">
        <v>15</v>
      </c>
      <c r="Q23" s="1"/>
      <c r="S23" s="1"/>
      <c r="W23" s="1"/>
    </row>
    <row r="24" spans="2:23" ht="16.5" x14ac:dyDescent="0.3">
      <c r="B24" s="5" t="s">
        <v>40</v>
      </c>
      <c r="C24" s="35">
        <v>31200000</v>
      </c>
      <c r="E24" s="1" t="s">
        <v>40</v>
      </c>
      <c r="F24" s="6"/>
      <c r="G24" s="2">
        <f>Table_DiemDatHang[[#This Row],[Tiêu thụ / ngày]]*DatHang_NgayBatDau</f>
        <v>130</v>
      </c>
      <c r="H24" s="2">
        <f>Table_DiemDatHang[[#This Row],[Tiêu thụ / ngày]]*DatHang_NgayKetThuc</f>
        <v>390</v>
      </c>
      <c r="I24" s="31">
        <v>100</v>
      </c>
      <c r="J24" s="32">
        <v>13</v>
      </c>
      <c r="K24" s="4">
        <f t="shared" ref="K24:K28" si="0" xml:space="preserve">
IFERROR(
ROUNDUP(I24/J24,0),0)</f>
        <v>8</v>
      </c>
      <c r="L24" s="31">
        <v>2</v>
      </c>
      <c r="M24" s="7">
        <f ca="1">DatHang_NgayTheoDoi+K24-L24-DatHang_NgayBatDau</f>
        <v>45808</v>
      </c>
      <c r="N24" s="8">
        <f>Table_DiemDatHang[[#This Row],[Tiêu thụ / ngày]]*(DatHang_NgayKetThuc-MAX(0,Table_DiemDatHang[[#This Row],[Ngày tồn kho]]-Table_DiemDatHang[[#This Row],[Ngày giao / sản xuất]]))</f>
        <v>312</v>
      </c>
      <c r="O24" s="32">
        <v>100000</v>
      </c>
      <c r="P24" s="28">
        <f>Table_DiemDatHang[[#This Row],[Đơn giá]]*Table_DiemDatHang[[#This Row],[SL cần đặt / sản xuất]]</f>
        <v>31200000</v>
      </c>
      <c r="Q24" s="1"/>
      <c r="S24" s="1"/>
      <c r="W24" s="1"/>
    </row>
    <row r="25" spans="2:23" ht="16.5" x14ac:dyDescent="0.3">
      <c r="B25" s="5" t="s">
        <v>41</v>
      </c>
      <c r="C25" s="35">
        <v>23100000</v>
      </c>
      <c r="E25" s="1" t="s">
        <v>41</v>
      </c>
      <c r="F25" s="2"/>
      <c r="G25" s="2">
        <f>Table_DiemDatHang[[#This Row],[Tiêu thụ / ngày]]*DatHang_NgayBatDau</f>
        <v>210</v>
      </c>
      <c r="H25" s="2">
        <f>Table_DiemDatHang[[#This Row],[Tiêu thụ / ngày]]*DatHang_NgayKetThuc</f>
        <v>630</v>
      </c>
      <c r="I25" s="31">
        <v>200</v>
      </c>
      <c r="J25" s="32">
        <v>21</v>
      </c>
      <c r="K25" s="4">
        <f t="shared" si="0"/>
        <v>10</v>
      </c>
      <c r="L25" s="31">
        <v>2</v>
      </c>
      <c r="M25" s="29">
        <f ca="1">DatHang_NgayTheoDoi+K25-L25-DatHang_NgayBatDau</f>
        <v>45810</v>
      </c>
      <c r="N25" s="8">
        <f>Table_DiemDatHang[[#This Row],[Tiêu thụ / ngày]]*(DatHang_NgayKetThuc-MAX(0,Table_DiemDatHang[[#This Row],[Ngày tồn kho]]-Table_DiemDatHang[[#This Row],[Ngày giao / sản xuất]]))</f>
        <v>462</v>
      </c>
      <c r="O25" s="32">
        <v>50000</v>
      </c>
      <c r="P25" s="4">
        <f>Table_DiemDatHang[[#This Row],[Đơn giá]]*Table_DiemDatHang[[#This Row],[SL cần đặt / sản xuất]]</f>
        <v>23100000</v>
      </c>
      <c r="Q25" s="1"/>
      <c r="R25"/>
      <c r="S25" s="1"/>
      <c r="V25"/>
      <c r="W25" s="1"/>
    </row>
    <row r="26" spans="2:23" ht="16.5" x14ac:dyDescent="0.3">
      <c r="B26" s="5" t="s">
        <v>42</v>
      </c>
      <c r="C26" s="35">
        <v>330000</v>
      </c>
      <c r="E26" s="1" t="s">
        <v>42</v>
      </c>
      <c r="F26" s="2"/>
      <c r="G26" s="2">
        <f>Table_DiemDatHang[[#This Row],[Tiêu thụ / ngày]]*DatHang_NgayBatDau</f>
        <v>110</v>
      </c>
      <c r="H26" s="2">
        <f>Table_DiemDatHang[[#This Row],[Tiêu thụ / ngày]]*DatHang_NgayKetThuc</f>
        <v>330</v>
      </c>
      <c r="I26" s="31">
        <v>320</v>
      </c>
      <c r="J26" s="32">
        <v>11</v>
      </c>
      <c r="K26" s="4">
        <f t="shared" si="0"/>
        <v>30</v>
      </c>
      <c r="L26" s="31">
        <v>1</v>
      </c>
      <c r="M26" s="29">
        <f ca="1">DatHang_NgayTheoDoi+K26-L26-DatHang_NgayBatDau</f>
        <v>45831</v>
      </c>
      <c r="N26" s="8">
        <f>Table_DiemDatHang[[#This Row],[Tiêu thụ / ngày]]*(DatHang_NgayKetThuc-MAX(0,Table_DiemDatHang[[#This Row],[Ngày tồn kho]]-Table_DiemDatHang[[#This Row],[Ngày giao / sản xuất]]))</f>
        <v>11</v>
      </c>
      <c r="O26" s="32">
        <v>30000</v>
      </c>
      <c r="P26" s="4">
        <f>Table_DiemDatHang[[#This Row],[Đơn giá]]*Table_DiemDatHang[[#This Row],[SL cần đặt / sản xuất]]</f>
        <v>330000</v>
      </c>
      <c r="Q26" s="1"/>
      <c r="R26"/>
      <c r="S26" s="1"/>
      <c r="V26"/>
      <c r="W26" s="1"/>
    </row>
    <row r="27" spans="2:23" ht="16.5" x14ac:dyDescent="0.3">
      <c r="B27" s="5" t="s">
        <v>43</v>
      </c>
      <c r="C27" s="35">
        <v>240000</v>
      </c>
      <c r="E27" s="1" t="s">
        <v>43</v>
      </c>
      <c r="F27" s="2"/>
      <c r="G27" s="2">
        <f>Table_DiemDatHang[[#This Row],[Tiêu thụ / ngày]]*DatHang_NgayBatDau</f>
        <v>80</v>
      </c>
      <c r="H27" s="2">
        <f>Table_DiemDatHang[[#This Row],[Tiêu thụ / ngày]]*DatHang_NgayKetThuc</f>
        <v>240</v>
      </c>
      <c r="I27" s="31">
        <v>244</v>
      </c>
      <c r="J27" s="32">
        <v>8</v>
      </c>
      <c r="K27" s="4">
        <f t="shared" si="0"/>
        <v>31</v>
      </c>
      <c r="L27" s="31">
        <v>3</v>
      </c>
      <c r="M27" s="29">
        <f ca="1">DatHang_NgayTheoDoi+K27-L27-DatHang_NgayBatDau</f>
        <v>45830</v>
      </c>
      <c r="N27" s="8">
        <f>Table_DiemDatHang[[#This Row],[Tiêu thụ / ngày]]*(DatHang_NgayKetThuc-MAX(0,Table_DiemDatHang[[#This Row],[Ngày tồn kho]]-Table_DiemDatHang[[#This Row],[Ngày giao / sản xuất]]))</f>
        <v>16</v>
      </c>
      <c r="O27" s="32">
        <v>15000</v>
      </c>
      <c r="P27" s="4">
        <f>Table_DiemDatHang[[#This Row],[Đơn giá]]*Table_DiemDatHang[[#This Row],[SL cần đặt / sản xuất]]</f>
        <v>240000</v>
      </c>
      <c r="Q27" s="1"/>
      <c r="R27"/>
      <c r="S27" s="1"/>
      <c r="V27"/>
      <c r="W27" s="1"/>
    </row>
    <row r="28" spans="2:23" ht="16.5" x14ac:dyDescent="0.3">
      <c r="B28" s="5" t="s">
        <v>44</v>
      </c>
      <c r="C28" s="35">
        <v>1920000</v>
      </c>
      <c r="E28" s="1" t="s">
        <v>44</v>
      </c>
      <c r="F28" s="2"/>
      <c r="G28" s="2">
        <f>Table_DiemDatHang[[#This Row],[Tiêu thụ / ngày]]*DatHang_NgayBatDau</f>
        <v>160</v>
      </c>
      <c r="H28" s="2">
        <f>Table_DiemDatHang[[#This Row],[Tiêu thụ / ngày]]*DatHang_NgayKetThuc</f>
        <v>480</v>
      </c>
      <c r="I28" s="31">
        <v>431</v>
      </c>
      <c r="J28" s="32">
        <v>16</v>
      </c>
      <c r="K28" s="4">
        <f t="shared" si="0"/>
        <v>27</v>
      </c>
      <c r="L28" s="31">
        <v>2</v>
      </c>
      <c r="M28" s="29">
        <f ca="1">DatHang_NgayTheoDoi+K28-L28-DatHang_NgayBatDau</f>
        <v>45827</v>
      </c>
      <c r="N28" s="8">
        <f>Table_DiemDatHang[[#This Row],[Tiêu thụ / ngày]]*(DatHang_NgayKetThuc-MAX(0,Table_DiemDatHang[[#This Row],[Ngày tồn kho]]-Table_DiemDatHang[[#This Row],[Ngày giao / sản xuất]]))</f>
        <v>80</v>
      </c>
      <c r="O28" s="32">
        <v>24000</v>
      </c>
      <c r="P28" s="4">
        <f>Table_DiemDatHang[[#This Row],[Đơn giá]]*Table_DiemDatHang[[#This Row],[SL cần đặt / sản xuất]]</f>
        <v>1920000</v>
      </c>
      <c r="Q28" s="1"/>
      <c r="R28"/>
      <c r="S28" s="1"/>
      <c r="V28"/>
      <c r="W28" s="1"/>
    </row>
    <row r="29" spans="2:23" ht="16.5" x14ac:dyDescent="0.3">
      <c r="B29" s="5" t="s">
        <v>47</v>
      </c>
      <c r="C29" s="35">
        <v>56790000</v>
      </c>
    </row>
    <row r="30" spans="2:23" ht="16.5" x14ac:dyDescent="0.3">
      <c r="B30"/>
      <c r="C30"/>
    </row>
    <row r="31" spans="2:23" ht="16.5" x14ac:dyDescent="0.3">
      <c r="B31"/>
      <c r="C31"/>
    </row>
    <row r="32" spans="2:23" ht="16.5" x14ac:dyDescent="0.3">
      <c r="B32"/>
      <c r="C32"/>
    </row>
    <row r="33" spans="2:3" ht="16.5" x14ac:dyDescent="0.3">
      <c r="B33"/>
      <c r="C33"/>
    </row>
    <row r="34" spans="2:3" ht="16.5" x14ac:dyDescent="0.3">
      <c r="B34"/>
      <c r="C34"/>
    </row>
    <row r="35" spans="2:3" ht="16.5" x14ac:dyDescent="0.3">
      <c r="B35"/>
      <c r="C35"/>
    </row>
    <row r="36" spans="2:3" ht="16.5" x14ac:dyDescent="0.3">
      <c r="B36"/>
      <c r="C36"/>
    </row>
    <row r="37" spans="2:3" ht="16.5" x14ac:dyDescent="0.3">
      <c r="B37"/>
      <c r="C37"/>
    </row>
    <row r="38" spans="2:3" ht="16.5" x14ac:dyDescent="0.3">
      <c r="B38"/>
      <c r="C38"/>
    </row>
    <row r="39" spans="2:3" ht="16.5" x14ac:dyDescent="0.3">
      <c r="B39"/>
      <c r="C39"/>
    </row>
    <row r="40" spans="2:3" ht="16.5" x14ac:dyDescent="0.3">
      <c r="B40"/>
      <c r="C40"/>
    </row>
  </sheetData>
  <sheetProtection algorithmName="SHA-512" hashValue="nNLjJJobvMyaWb4yXJZildELjoa7FtHMvI4VSqbO9q3gwnmauR237Tnpc8nraNCTGuMbY+lanHnALVdq5t2vNg==" saltValue="GhaJw/hIFnVDHCzFS9tSkg==" spinCount="100000" sheet="1" scenarios="1" formatColumns="0" formatRows="0" autoFilter="0" pivotTables="0"/>
  <conditionalFormatting sqref="M24:M28">
    <cfRule type="cellIs" dxfId="19" priority="8" operator="lessThanOrEqual">
      <formula>$E$2</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14</xdr:col>
                    <xdr:colOff>590550</xdr:colOff>
                    <xdr:row>0</xdr:row>
                    <xdr:rowOff>85725</xdr:rowOff>
                  </from>
                  <to>
                    <xdr:col>15</xdr:col>
                    <xdr:colOff>514350</xdr:colOff>
                    <xdr:row>1</xdr:row>
                    <xdr:rowOff>114300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15</xdr:col>
                    <xdr:colOff>695325</xdr:colOff>
                    <xdr:row>0</xdr:row>
                    <xdr:rowOff>85725</xdr:rowOff>
                  </from>
                  <to>
                    <xdr:col>16</xdr:col>
                    <xdr:colOff>257175</xdr:colOff>
                    <xdr:row>1</xdr:row>
                    <xdr:rowOff>114300</xdr:rowOff>
                  </to>
                </anchor>
              </controlPr>
            </control>
          </mc:Choice>
        </mc:AlternateContent>
        <mc:AlternateContent xmlns:mc="http://schemas.openxmlformats.org/markup-compatibility/2006">
          <mc:Choice Requires="x14">
            <control shapeId="56326" r:id="rId6" name="Option Button 6">
              <controlPr defaultSize="0" autoFill="0" autoLine="0" autoPict="0" macro="[0]!DoiDonViHienThi">
                <anchor moveWithCells="1">
                  <from>
                    <xdr:col>12</xdr:col>
                    <xdr:colOff>1181100</xdr:colOff>
                    <xdr:row>0</xdr:row>
                    <xdr:rowOff>114300</xdr:rowOff>
                  </from>
                  <to>
                    <xdr:col>13</xdr:col>
                    <xdr:colOff>466725</xdr:colOff>
                    <xdr:row>1</xdr:row>
                    <xdr:rowOff>161925</xdr:rowOff>
                  </to>
                </anchor>
              </controlPr>
            </control>
          </mc:Choice>
        </mc:AlternateContent>
        <mc:AlternateContent xmlns:mc="http://schemas.openxmlformats.org/markup-compatibility/2006">
          <mc:Choice Requires="x14">
            <control shapeId="56327" r:id="rId7" name="Option Button 7">
              <controlPr defaultSize="0" autoFill="0" autoLine="0" autoPict="0" macro="[0]!DoiDonViHienThi">
                <anchor moveWithCells="1">
                  <from>
                    <xdr:col>13</xdr:col>
                    <xdr:colOff>342900</xdr:colOff>
                    <xdr:row>0</xdr:row>
                    <xdr:rowOff>114300</xdr:rowOff>
                  </from>
                  <to>
                    <xdr:col>13</xdr:col>
                    <xdr:colOff>933450</xdr:colOff>
                    <xdr:row>1</xdr:row>
                    <xdr:rowOff>161925</xdr:rowOff>
                  </to>
                </anchor>
              </controlPr>
            </control>
          </mc:Choice>
        </mc:AlternateContent>
        <mc:AlternateContent xmlns:mc="http://schemas.openxmlformats.org/markup-compatibility/2006">
          <mc:Choice Requires="x14">
            <control shapeId="56328" r:id="rId8" name="Option Button 8">
              <controlPr defaultSize="0" autoFill="0" autoLine="0" autoPict="0" macro="[0]!DoiDonViHienThi">
                <anchor moveWithCells="1">
                  <from>
                    <xdr:col>13</xdr:col>
                    <xdr:colOff>809625</xdr:colOff>
                    <xdr:row>0</xdr:row>
                    <xdr:rowOff>114300</xdr:rowOff>
                  </from>
                  <to>
                    <xdr:col>14</xdr:col>
                    <xdr:colOff>85725</xdr:colOff>
                    <xdr:row>1</xdr:row>
                    <xdr:rowOff>161925</xdr:rowOff>
                  </to>
                </anchor>
              </controlPr>
            </control>
          </mc:Choice>
        </mc:AlternateContent>
        <mc:AlternateContent xmlns:mc="http://schemas.openxmlformats.org/markup-compatibility/2006">
          <mc:Choice Requires="x14">
            <control shapeId="56329" r:id="rId9" name="Option Button 9">
              <controlPr defaultSize="0" autoFill="0" autoLine="0" autoPict="0" macro="[0]!DoiDonViHienThi">
                <anchor moveWithCells="1">
                  <from>
                    <xdr:col>13</xdr:col>
                    <xdr:colOff>1276350</xdr:colOff>
                    <xdr:row>0</xdr:row>
                    <xdr:rowOff>114300</xdr:rowOff>
                  </from>
                  <to>
                    <xdr:col>14</xdr:col>
                    <xdr:colOff>314325</xdr:colOff>
                    <xdr:row>1</xdr:row>
                    <xdr:rowOff>161925</xdr:rowOff>
                  </to>
                </anchor>
              </controlPr>
            </control>
          </mc:Choice>
        </mc:AlternateContent>
        <mc:AlternateContent xmlns:mc="http://schemas.openxmlformats.org/markup-compatibility/2006">
          <mc:Choice Requires="x14">
            <control shapeId="56330" r:id="rId10" name="Group Box 10">
              <controlPr defaultSize="0" autoFill="0" autoPict="0">
                <anchor moveWithCells="1">
                  <from>
                    <xdr:col>12</xdr:col>
                    <xdr:colOff>1076325</xdr:colOff>
                    <xdr:row>0</xdr:row>
                    <xdr:rowOff>66675</xdr:rowOff>
                  </from>
                  <to>
                    <xdr:col>14</xdr:col>
                    <xdr:colOff>428625</xdr:colOff>
                    <xdr:row>1</xdr:row>
                    <xdr:rowOff>200025</xdr:rowOff>
                  </to>
                </anchor>
              </controlPr>
            </control>
          </mc:Choice>
        </mc:AlternateContent>
        <mc:AlternateContent xmlns:mc="http://schemas.openxmlformats.org/markup-compatibility/2006">
          <mc:Choice Requires="x14">
            <control shapeId="56331" r:id="rId11" name="Group Box 11">
              <controlPr defaultSize="0" autoFill="0" autoPict="0">
                <anchor moveWithCells="1">
                  <from>
                    <xdr:col>11</xdr:col>
                    <xdr:colOff>76200</xdr:colOff>
                    <xdr:row>0</xdr:row>
                    <xdr:rowOff>66675</xdr:rowOff>
                  </from>
                  <to>
                    <xdr:col>12</xdr:col>
                    <xdr:colOff>1028700</xdr:colOff>
                    <xdr:row>1</xdr:row>
                    <xdr:rowOff>200025</xdr:rowOff>
                  </to>
                </anchor>
              </controlPr>
            </control>
          </mc:Choice>
        </mc:AlternateContent>
        <mc:AlternateContent xmlns:mc="http://schemas.openxmlformats.org/markup-compatibility/2006">
          <mc:Choice Requires="x14">
            <control shapeId="56332" r:id="rId12" name="Button 12">
              <controlPr defaultSize="0" autoFill="0" autoPict="0" macro="[0]!NhanNghin">
                <anchor moveWithCells="1">
                  <from>
                    <xdr:col>11</xdr:col>
                    <xdr:colOff>152400</xdr:colOff>
                    <xdr:row>0</xdr:row>
                    <xdr:rowOff>161925</xdr:rowOff>
                  </from>
                  <to>
                    <xdr:col>11</xdr:col>
                    <xdr:colOff>619125</xdr:colOff>
                    <xdr:row>1</xdr:row>
                    <xdr:rowOff>104775</xdr:rowOff>
                  </to>
                </anchor>
              </controlPr>
            </control>
          </mc:Choice>
        </mc:AlternateContent>
        <mc:AlternateContent xmlns:mc="http://schemas.openxmlformats.org/markup-compatibility/2006">
          <mc:Choice Requires="x14">
            <control shapeId="56333" r:id="rId13" name="Button 13">
              <controlPr defaultSize="0" autoFill="0" autoPict="0" macro="[0]!NhanTrieu">
                <anchor moveWithCells="1">
                  <from>
                    <xdr:col>11</xdr:col>
                    <xdr:colOff>666750</xdr:colOff>
                    <xdr:row>0</xdr:row>
                    <xdr:rowOff>161925</xdr:rowOff>
                  </from>
                  <to>
                    <xdr:col>12</xdr:col>
                    <xdr:colOff>438150</xdr:colOff>
                    <xdr:row>1</xdr:row>
                    <xdr:rowOff>104775</xdr:rowOff>
                  </to>
                </anchor>
              </controlPr>
            </control>
          </mc:Choice>
        </mc:AlternateContent>
        <mc:AlternateContent xmlns:mc="http://schemas.openxmlformats.org/markup-compatibility/2006">
          <mc:Choice Requires="x14">
            <control shapeId="56334" r:id="rId14" name="Button 14">
              <controlPr defaultSize="0" autoFill="0" autoPict="0" macro="[0]!NhanTy">
                <anchor moveWithCells="1">
                  <from>
                    <xdr:col>12</xdr:col>
                    <xdr:colOff>485775</xdr:colOff>
                    <xdr:row>0</xdr:row>
                    <xdr:rowOff>161925</xdr:rowOff>
                  </from>
                  <to>
                    <xdr:col>12</xdr:col>
                    <xdr:colOff>942975</xdr:colOff>
                    <xdr:row>1</xdr:row>
                    <xdr:rowOff>104775</xdr:rowOff>
                  </to>
                </anchor>
              </controlPr>
            </control>
          </mc:Choice>
        </mc:AlternateContent>
        <mc:AlternateContent xmlns:mc="http://schemas.openxmlformats.org/markup-compatibility/2006">
          <mc:Choice Requires="x14">
            <control shapeId="56336" r:id="rId15" name="Button 16">
              <controlPr defaultSize="0" print="0" autoFill="0" autoPict="0" macro="[0]!RefreshTables">
                <anchor moveWithCells="1">
                  <from>
                    <xdr:col>6</xdr:col>
                    <xdr:colOff>180975</xdr:colOff>
                    <xdr:row>0</xdr:row>
                    <xdr:rowOff>57150</xdr:rowOff>
                  </from>
                  <to>
                    <xdr:col>6</xdr:col>
                    <xdr:colOff>771525</xdr:colOff>
                    <xdr:row>1</xdr:row>
                    <xdr:rowOff>85725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7" id="{F53924F9-F227-4F7F-9A12-DCE1A492951D}">
            <xm:f>Security!$A$1="NO VBA"</xm:f>
            <x14:dxf>
              <font>
                <color theme="0"/>
              </font>
              <border>
                <vertical/>
                <horizontal/>
              </border>
            </x14:dxf>
          </x14:cfRule>
          <xm:sqref>T29:V1048576 S25:U28 X29:XFD1048576 W25:XFD28 D1:D3 G29:P1048576 E1:F2 F23 I23:O23 H2:O2 J1:O1 D4:E1048576 F24:O28 F3:O16 F17:M17 O17:P17 F18:O22 Q1 Q25:Q28 P2:Q24 R1:XFD24 R29:R1048576</xm:sqref>
        </x14:conditionalFormatting>
        <x14:conditionalFormatting xmlns:xm="http://schemas.microsoft.com/office/excel/2006/main">
          <x14:cfRule type="expression" priority="4" id="{E0B27365-EF80-452D-B8C9-1C7E296FCAC0}">
            <xm:f>Security!$A$1="NO VBA"</xm:f>
            <x14:dxf>
              <font>
                <color theme="0"/>
              </font>
              <border>
                <vertical/>
                <horizontal/>
              </border>
            </x14:dxf>
          </x14:cfRule>
          <xm:sqref>P17:P18</xm:sqref>
        </x14:conditionalFormatting>
        <x14:conditionalFormatting xmlns:xm="http://schemas.microsoft.com/office/excel/2006/main">
          <x14:cfRule type="expression" priority="3" id="{A5159CC7-332C-4636-837C-EA931FEE707F}">
            <xm:f>Security!$A$1="NO VBA"</xm:f>
            <x14:dxf>
              <font>
                <color theme="0"/>
              </font>
              <border>
                <vertical/>
                <horizontal/>
              </border>
            </x14:dxf>
          </x14:cfRule>
          <xm:sqref>I1</xm:sqref>
        </x14:conditionalFormatting>
        <x14:conditionalFormatting xmlns:xm="http://schemas.microsoft.com/office/excel/2006/main">
          <x14:cfRule type="expression" priority="2" id="{4684478A-B67C-4C57-A006-B7B65F7494C2}">
            <xm:f>Security!$A$1="NO VBA"</xm:f>
            <x14:dxf>
              <font>
                <color theme="0"/>
              </font>
              <border>
                <vertical/>
                <horizontal/>
              </border>
            </x14:dxf>
          </x14:cfRule>
          <xm:sqref>P20</xm:sqref>
        </x14:conditionalFormatting>
        <x14:conditionalFormatting xmlns:xm="http://schemas.microsoft.com/office/excel/2006/main">
          <x14:cfRule type="expression" priority="1" id="{E564540E-F96C-4DDF-87BC-7919892712A3}">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�  l � � � � i �m   s �  d � � �n   c � � �p    � � � � i � �  d �  �  �  �  �  l ��  �  � �  l � � � � � � �� �  l � � � � i �m   s �  d � � �n   c � � �p    � � � � i � �  d �  �  �  �  �  l ��  �  � �  l � � � 
</file>

<file path=customXml/item2.xml>��  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� � � � 
</file>

<file path=customXml/item5.xml>�� �c   n  �c   n  
</file>

<file path=customXml/item6.xml>��   
</file>

<file path=customXml/item7.xml>�� � � �n   v � �  s u � �  l � � � � �n   v � �  s u � �  l � � 
</file>

<file path=customXml/item8.xml>�� � � � i � �  d � i �m   s �  d � �� �  l � � � � � �n   c � � � � � �  l � � � � �p     �  �  �  �  l ��  �  � 
</file>

<file path=customXml/item9.xml>��   
</file>

<file path=customXml/item10.xml>�� �  �  
</file>

<file path=customXml/item11.xml>�� �n   �u   t � �n   �u   t � �  �u   t � �i   h � �  �  �u   t � �   � �n   �u   t � �n   �u   t � �  �u   t � �i   h � �  �  �u   t � �   � 
</file>

<file path=customXml/item12.xml>��   
</file>

<file path=customXml/item13.xml>�� �  p h � �c   n  � �� � � �  p h � �c   n  � �� � � 
</file>

<file path=customXml/item14.xml>�� 
</file>

<file path=customXml/item15.xml>��   
</file>

<file path=customXml/item16.xml>�� 
</file>

<file path=customXml/item17.xml>��   
</file>

<file path=customXml/item18.xml>��   
</file>

<file path=customXml/item19.xml>��   
</file>

<file path=customXml/item20.xml>��   
</file>

<file path=customXml/item21.xml>�� 
</file>

<file path=customXml/item22.xml>��   
</file>

<file path=customXml/item23.xml>�� �� �i   t �� � �� �t   � � �  l � � �  l �� �  t � � �� �i   t �� � �� �t   � � �  l � � �  l �� �  t � � 
</file>

<file path=customXml/itemProps1.xml><?xml version="1.0" encoding="utf-8"?>
<ds:datastoreItem xmlns:ds="http://schemas.openxmlformats.org/officeDocument/2006/customXml" ds:itemID="{CCFAB5FF-26AB-4CB9-BA2C-5A121007B041}">
  <ds:schemaRefs/>
</ds:datastoreItem>
</file>

<file path=customXml/itemProps2.xml><?xml version="1.0" encoding="utf-8"?>
<ds:datastoreItem xmlns:ds="http://schemas.openxmlformats.org/officeDocument/2006/customXml" ds:itemID="{0B9C3544-1C46-45A4-BEB6-1CE4D6559900}">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A6D0F6C4-9EB7-4062-86F8-715E8F5BF469}">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19BA8129-97AB-4694-BBC1-89CB3D2043B0}">
  <ds:schemaRefs/>
</ds:datastoreItem>
</file>

<file path=customXml/itemProps8.xml><?xml version="1.0" encoding="utf-8"?>
<ds:datastoreItem xmlns:ds="http://schemas.openxmlformats.org/officeDocument/2006/customXml" ds:itemID="{4F023B59-6671-4442-B15F-D8D1F04CE43F}">
  <ds:schemaRefs/>
</ds:datastoreItem>
</file>

<file path=customXml/itemProps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2.xml><?xml version="1.0" encoding="utf-8"?>
<ds:datastoreItem xmlns:ds="http://schemas.openxmlformats.org/officeDocument/2006/customXml" ds:itemID="{4BA9E5F1-90AC-490B-B178-7C8B339E1A47}">
  <ds:schemaRefs/>
</ds:datastoreItem>
</file>

<file path=customXml/itemProps13.xml><?xml version="1.0" encoding="utf-8"?>
<ds:datastoreItem xmlns:ds="http://schemas.openxmlformats.org/officeDocument/2006/customXml" ds:itemID="{7D64D66F-1898-49BE-A788-6FA781CEE8F3}">
  <ds:schemaRefs/>
</ds:datastoreItem>
</file>

<file path=customXml/itemProps1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7.xml><?xml version="1.0" encoding="utf-8"?>
<ds:datastoreItem xmlns:ds="http://schemas.openxmlformats.org/officeDocument/2006/customXml" ds:itemID="{15A5E9E7-8554-4C17-8FCE-88C5899190B5}">
  <ds:schemaRefs/>
</ds:datastoreItem>
</file>

<file path=customXml/itemProps18.xml><?xml version="1.0" encoding="utf-8"?>
<ds:datastoreItem xmlns:ds="http://schemas.openxmlformats.org/officeDocument/2006/customXml" ds:itemID="{A849B9D7-188B-48DA-AB5B-54583621621D}">
  <ds:schemaRefs/>
</ds:datastoreItem>
</file>

<file path=customXml/itemProps1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0.xml><?xml version="1.0" encoding="utf-8"?>
<ds:datastoreItem xmlns:ds="http://schemas.openxmlformats.org/officeDocument/2006/customXml" ds:itemID="{104A6CAF-8CC0-4F12-8051-31E2340CC4C2}">
  <ds:schemaRefs/>
</ds:datastoreItem>
</file>

<file path=customXml/itemProps2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86BCE4C3-7D25-4C79-A314-DED47A05E001}">
  <ds:schemaRefs>
    <ds:schemaRef ds:uri="http://gemini/pivotcustomization/TableXML_Table_ChuongTrinh"/>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Điểm đặt hàng</vt:lpstr>
      <vt:lpstr>DatHang_NgayBatDau</vt:lpstr>
      <vt:lpstr>DatHang_NgayKetThuc</vt:lpstr>
      <vt:lpstr>DatHang_NgayTheoDoi</vt:lpstr>
      <vt:lpstr>DatHang_SoNgayThamChieu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2025-06-04T03:01:57Z</dcterms:modified>
  <cp:category/>
  <cp:contentStatus/>
</cp:coreProperties>
</file>