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E0A3A159-8004-4B8E-B949-B34F297A1830}"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<sst xmlns="http://schemas.openxmlformats.org/spreadsheetml/2006/main" count="73" uniqueCount="63">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</sst>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428628</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30" cy="361950"/>
              <a:chOff x="6162673" y="3409950"/>
              <a:chExt cx="3695704"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0" cy="361950"/>
                <a:chOff x="8191507" y="3409950"/>
                <a:chExt cx="1990720"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80" cy="276225"/>
                  <a:chOff x="8305812" y="3457575"/>
                  <a:chExt cx="1769680"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2"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3" cy="180000"/>
                  <a:chOff x="6029325" y="4257675"/>
                  <a:chExt cx="1495413"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0"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55</v>
      </c>
      <c r="C2" s="5" t="s">
        <v>56</v>
      </c>
      <c r="D2" s="19">
        <v>45785</v>
      </c>
      <c r="E2" s="19">
        <v>46150</v>
      </c>
      <c r="F2" s="27">
        <v>365</v>
      </c>
      <c r="G2" s="5" t="s">
        <v>32</v>
      </c>
      <c r="H2" s="27"/>
      <c r="I2" s="27"/>
      <c r="J2" s="27"/>
      <c r="K2" s="27"/>
      <c r="L2" s="27"/>
      <c r="M2" s="27"/>
      <c r="N2" s="27"/>
      <c r="O2" s="27"/>
      <c r="P2" s="27"/>
      <c r="Q2" s="27"/>
      <c r="R2" s="27"/>
      <c r="S2" s="27"/>
      <c r="T2" s="27"/>
      <c r="U2" s="27"/>
      <c r="V2" s="27"/>
      <c r="W2" s="27"/>
      <c r="X2" s="27"/>
      <c r="Y2" s="27"/>
      <c r="Z2" s="27"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58</v>
      </c>
    </row>
    <row r="2" spans="1:12" x14ac:dyDescent="0.3">
      <c r="A2" s="9" t="s">
        <v>57</v>
      </c>
      <c r="L2" s="40" t="s">
        <v>59</v>
      </c>
    </row>
    <row r="3" spans="1:12" x14ac:dyDescent="0.3">
      <c r="L3" s="40" t="s">
        <v>60</v>
      </c>
    </row>
    <row r="4" spans="1:12" ht="37.5" x14ac:dyDescent="0.3">
      <c r="A4" s="12" t="s">
        <v>0</v>
      </c>
      <c r="B4" s="12" t="s">
        <v>1</v>
      </c>
      <c r="L4" s="40" t="s">
        <v>61</v>
      </c>
    </row>
    <row r="5" spans="1:12" ht="17.25" x14ac:dyDescent="0.3">
      <c r="A5" s="22"/>
      <c r="B5" s="20" t="s">
        <v>33</v>
      </c>
      <c r="L5" s="40" t="s">
        <v>62</v>
      </c>
    </row>
    <row r="6" spans="1:12" ht="17.25" x14ac:dyDescent="0.3">
      <c r="A6" s="22"/>
      <c r="B6" s="20" t="s">
        <v>29</v>
      </c>
    </row>
    <row r="7" spans="1:12" ht="17.25" x14ac:dyDescent="0.3">
      <c r="A7" s="22"/>
      <c r="B7" s="20" t="s">
        <v>34</v>
      </c>
    </row>
    <row r="8" spans="1:12" ht="17.25" x14ac:dyDescent="0.3">
      <c r="A8" s="22"/>
      <c r="B8" s="20" t="s">
        <v>35</v>
      </c>
    </row>
    <row r="9" spans="1:12" ht="17.25" x14ac:dyDescent="0.3">
      <c r="A9" s="22"/>
      <c r="B9" s="21" t="s">
        <v>36</v>
      </c>
    </row>
    <row r="10" spans="1:12" x14ac:dyDescent="0.3">
      <c r="A10" s="22"/>
      <c r="B10" s="22"/>
    </row>
    <row r="11" spans="1:12" ht="37.5" x14ac:dyDescent="0.3">
      <c r="A11" s="12" t="s">
        <v>7</v>
      </c>
      <c r="B11" s="12" t="s">
        <v>8</v>
      </c>
    </row>
    <row r="12" spans="1:12" x14ac:dyDescent="0.3">
      <c r="A12" s="13" t="s">
        <v>9</v>
      </c>
      <c r="B12" s="9" t="s">
        <v>55</v>
      </c>
    </row>
    <row r="13" spans="1:12" x14ac:dyDescent="0.3">
      <c r="A13" s="13" t="s">
        <v>10</v>
      </c>
      <c r="B13" s="9" t="s">
        <v>56</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45</v>
      </c>
      <c r="F1" s="1"/>
      <c r="I1" s="30" t="s">
        <v>48</v>
      </c>
      <c r="J1" s="36">
        <v>10</v>
      </c>
      <c r="K1" s="36">
        <v>30</v>
      </c>
      <c r="Q1" s="1"/>
      <c r="S1" s="1"/>
      <c r="W1" s="1"/>
    </row>
    <row r="2" spans="5:23" ht="18" customHeight="1" x14ac:dyDescent="0.3">
      <c r="E2" s="33">
        <f ca="1">TODAY()</f>
        <v>45813</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52</v>
      </c>
      <c r="P17" s="38">
        <f>SUM(Table_DiemDatHang[Giá trị cần đặt])</f>
        <v>56790000</v>
      </c>
      <c r="Q17" s="1"/>
      <c r="S17" s="1"/>
      <c r="W17" s="1"/>
    </row>
    <row r="18" spans="2:23" ht="18" customHeight="1" outlineLevel="1" x14ac:dyDescent="0.3">
      <c r="E18" s="3"/>
      <c r="F18" s="1"/>
      <c r="L18" s="37" t="s">
        <v>53</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54</v>
      </c>
      <c r="N20" s="39" t="s">
        <v>40</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46</v>
      </c>
      <c r="C23" t="s">
        <v>51</v>
      </c>
      <c r="E23" s="1" t="s">
        <v>12</v>
      </c>
      <c r="F23" s="1" t="s">
        <v>11</v>
      </c>
      <c r="G23" s="1" t="s">
        <v>49</v>
      </c>
      <c r="H23" s="1" t="s">
        <v>50</v>
      </c>
      <c r="I23" s="1" t="s">
        <v>17</v>
      </c>
      <c r="J23" s="1" t="s">
        <v>13</v>
      </c>
      <c r="K23" s="1" t="s">
        <v>14</v>
      </c>
      <c r="L23" s="1" t="s">
        <v>37</v>
      </c>
      <c r="M23" s="1" t="s">
        <v>38</v>
      </c>
      <c r="N23" s="1" t="s">
        <v>39</v>
      </c>
      <c r="O23" s="1" t="s">
        <v>16</v>
      </c>
      <c r="P23" s="1" t="s">
        <v>15</v>
      </c>
      <c r="Q23" s="1"/>
      <c r="S23" s="1"/>
      <c r="W23" s="1"/>
    </row>
    <row r="24" spans="2:23" ht="16.5" x14ac:dyDescent="0.3">
      <c r="B24" s="5" t="s">
        <v>40</v>
      </c>
      <c r="C24" s="35">
        <v>31200000</v>
      </c>
      <c r="E24" s="1" t="s">
        <v>40</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45809</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41</v>
      </c>
      <c r="C25" s="35">
        <v>23100000</v>
      </c>
      <c r="E25" s="1" t="s">
        <v>41</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45811</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42</v>
      </c>
      <c r="C26" s="35">
        <v>330000</v>
      </c>
      <c r="E26" s="1" t="s">
        <v>42</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45832</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43</v>
      </c>
      <c r="C27" s="35">
        <v>240000</v>
      </c>
      <c r="E27" s="1" t="s">
        <v>43</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45831</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44</v>
      </c>
      <c r="C28" s="35">
        <v>1920000</v>
      </c>
      <c r="E28" s="1" t="s">
        <v>44</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45828</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47</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�n   �u   t � �n   �u   t � �  �u   t � �i   h � �  �  �u   t � �   � �n   �u   t � �n   �u   t � �  �u   t � �i   h � �  �  �u   t � �   � 
</file>

<file path=customXml/item4.xml>��   
</file>

<file path=customXml/item5.xml>��   
</file>

<file path=customXml/item6.xml>��   
</file>

<file path=customXml/item7.xml>�� 
</file>

<file path=customXml/item8.xml>��   
</file>

<file path=customXml/item9.xml>�� 
</file>

<file path=customXml/item10.xml>��   
</file>

<file path=customXml/item11.xml>�� � � �n   v � �  s u � �  l � � � � �n   v � �  s u � �  l � � 
</file>

<file path=customXml/item12.xml>�� � � � �� �  l � � � � i �m   s �  d � � �n   c � � �p    � � � � i � �  d �  �  �  �  �  l ��  �  � �  l � � � � � � �� �  l � � � � i �m   s �  d � � �n   c � � �p    � � � � i � �  d �  �  �  �  �  l ��  �  � �  l � � � 
</file>

<file path=customXml/item13.xml>�� � � � � 
</file>

<file path=customXml/item14.xml>�� � � � i � �  d � i �m   s �  d � �� �  l � � � � � �n   c � � � � � �  l � � � � �p     �  �  �  �  l ��  �  � 
</file>

<file path=customXml/item15.xml>��   
</file>

<file path=customXml/item16.xml>��   
</file>

<file path=customXml/item17.xml>�� �  p h � �c   n  � �� � � �  p h � �c   n  � �� � � 
</file>

<file path=customXml/item18.xml>�� � � � � �  t �n   � �  t � � � � � � � � � � � �  t �n   � �  t � � � � � � � � � � � �  l �� � � � � � �  s u � � � � � � � � � �� �  l � � � �� �  l � � � �  l � �n   � � �n   s �  b � � �p     �  �  �  �  l ��  �  � � � � � �  t �n   � �  t � � � � � � � � � � � �  t �n   � �  t � � � � � � � � � � � �  l �� � � � � � �  s u � � � � � � � � � �� �  l � � � �� �  l � � � �  l � �n   � � �n   s �  b � � �p     �  �  �  �  l ��  �  � 
</file>

<file path=customXml/item19.xml>�� 
</file>

<file path=customXml/item20.xml>�� �  �  
</file>

<file path=customXml/item21.xml>�� �c   n  �c   n  
</file>

<file path=customXml/item22.xml>��   
</file>

<file path=customXml/item23.xml>�� �� �i   t �� � �� �t   � � �  l � � �  l �� �  t � � �� �i   t �� � �� �t   � � �  l � � �  l �� �  t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5.xml><?xml version="1.0" encoding="utf-8"?>
<ds:datastoreItem xmlns:ds="http://schemas.openxmlformats.org/officeDocument/2006/customXml" ds:itemID="{15A5E9E7-8554-4C17-8FCE-88C5899190B5}">
  <ds:schemaRefs/>
</ds:datastoreItem>
</file>

<file path=customXml/itemProps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4BA9E5F1-90AC-490B-B178-7C8B339E1A47}">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A849B9D7-188B-48DA-AB5B-54583621621D}">
  <ds:schemaRefs/>
</ds:datastoreItem>
</file>

<file path=customXml/itemProps11.xml><?xml version="1.0" encoding="utf-8"?>
<ds:datastoreItem xmlns:ds="http://schemas.openxmlformats.org/officeDocument/2006/customXml" ds:itemID="{19BA8129-97AB-4694-BBC1-89CB3D2043B0}">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4.xml><?xml version="1.0" encoding="utf-8"?>
<ds:datastoreItem xmlns:ds="http://schemas.openxmlformats.org/officeDocument/2006/customXml" ds:itemID="{4F023B59-6671-4442-B15F-D8D1F04CE43F}">
  <ds:schemaRefs/>
</ds:datastoreItem>
</file>

<file path=customXml/itemProps15.xml><?xml version="1.0" encoding="utf-8"?>
<ds:datastoreItem xmlns:ds="http://schemas.openxmlformats.org/officeDocument/2006/customXml" ds:itemID="{0B9C3544-1C46-45A4-BEB6-1CE4D6559900}">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7D64D66F-1898-49BE-A788-6FA781CEE8F3}">
  <ds:schemaRefs/>
</ds:datastoreItem>
</file>

<file path=customXml/itemProps18.xml><?xml version="1.0" encoding="utf-8"?>
<ds:datastoreItem xmlns:ds="http://schemas.openxmlformats.org/officeDocument/2006/customXml" ds:itemID="{2BF00A03-70FC-4137-967C-82A1B61F0E08}">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104A6CAF-8CC0-4F12-8051-31E2340CC4C2}">
  <ds:schemaRefs/>
</ds:datastoreItem>
</file>

<file path=customXml/itemProps23.xml><?xml version="1.0" encoding="utf-8"?>
<ds:datastoreItem xmlns:ds="http://schemas.openxmlformats.org/officeDocument/2006/customXml" ds:itemID="{86BCE4C3-7D25-4C79-A314-DED47A05E001}">
  <ds:schemaRefs>
    <ds:schemaRef ds:uri="http://gemini/pivotcustomization/TableXML_Table_ChuongTrinh"/>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2025-06-05T09:30:47Z</dcterms:modified>
  <cp:category/>
  <cp:contentStatus/>
</cp:coreProperties>
</file>