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10EA883-0AF0-4952-827F-587760D1F703}" xr6:coauthVersionLast="47" xr6:coauthVersionMax="47" xr10:uidLastSave="{00000000-0000-0000-0000-000000000000}"/>
  <bookViews>
    <workbookView xWindow="14295" yWindow="0" windowWidth="14580" windowHeight="15585" tabRatio="717" firstSheet="1" activeTab="2"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4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<sst xmlns="http://schemas.openxmlformats.org/spreadsheetml/2006/main" count="73" uniqueCount="63">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</sst>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27" cy="361950"/>
              <a:chOff x="6162673" y="3409950"/>
              <a:chExt cx="3695701"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7" cy="361950"/>
                <a:chOff x="8191507" y="3409950"/>
                <a:chExt cx="1990717"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7" cy="276225"/>
                  <a:chOff x="8305812" y="3457575"/>
                  <a:chExt cx="1769677"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89"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0" cy="180000"/>
                  <a:chOff x="6029325" y="4257675"/>
                  <a:chExt cx="1495410"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7"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21" dataDxfId="20">
  <autoFilter ref="E23:P28" xr:uid="{41302B2E-E512-424D-BCE6-0E1D488E9735}"/>
  <tableColumns count="12">
    <tableColumn id="1" xr3:uid="{F59CB08C-5328-43EF-A2C6-5040207B19D1}" name="Mã hàng" dataDxfId="19"/>
    <tableColumn id="13" xr3:uid="{542747C7-88F6-4936-AD95-568C155C25B1}" name="Đơn vị" dataDxfId="18" dataCellStyle="Comma"/>
    <tableColumn id="7" xr3:uid="{8DD841B9-0227-476F-9C70-64D13EAECD70}" name="Tồn tối thiểu" dataDxfId="17" dataCellStyle="Comma">
      <calculatedColumnFormula>Table_DiemDatHang[[#This Row],[Tiêu thụ / ngày]]*DatHang_NgayBatDau</calculatedColumnFormula>
    </tableColumn>
    <tableColumn id="9" xr3:uid="{85EAFD39-40B5-4921-A48B-58722366EEE3}" name="Tồn tối đa" dataDxfId="16" dataCellStyle="Comma">
      <calculatedColumnFormula>Table_DiemDatHang[[#This Row],[Tiêu thụ / ngày]]*DatHang_NgayKetThuc</calculatedColumnFormula>
    </tableColumn>
    <tableColumn id="2" xr3:uid="{A6F0E9AD-D7D3-4CB4-893A-CEDB0F6554DF}" name="Tồn kho hiện tại" dataDxfId="15" dataCellStyle="Comma"/>
    <tableColumn id="4" xr3:uid="{5EB1768A-369D-49A7-B8D9-BF746C752B73}" name="Tiêu thụ / ngày" dataDxfId="14" dataCellStyle="Comma"/>
    <tableColumn id="5" xr3:uid="{6EB410F5-2A26-47F7-8343-417C2322AD8A}" name="Ngày tồn kho" dataDxfId="13" dataCellStyle="Comma">
      <calculatedColumnFormula xml:space="preserve">
IFERROR(
ROUNDUP(I24/J24,0),0)</calculatedColumnFormula>
    </tableColumn>
    <tableColumn id="6" xr3:uid="{8696BBB3-62B4-475B-AE47-68ED60378C95}" name="Ngày giao / sản xuất" dataDxfId="12" dataCellStyle="Comma"/>
    <tableColumn id="8" xr3:uid="{40693F00-600F-4B0A-A5CA-0712AE16FF7B}" name="Hạn đặt hàng / sản xuất" dataDxfId="11">
      <calculatedColumnFormula>DatHang_NgayTheoDoi+K24-L24-DatHang_NgayBatDau</calculatedColumnFormula>
    </tableColumn>
    <tableColumn id="11" xr3:uid="{D57B6699-100A-4922-9CAE-78E9714A49FC}" name="SL cần đặt / sản xuất" dataDxfId="10"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9" dataCellStyle="Comma"/>
    <tableColumn id="3" xr3:uid="{498A1813-39E1-4F11-AED7-53FBA735CA1F}" name="Giá trị cần đặt" dataDxfId="8"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54</v>
      </c>
      <c r="C2" s="5" t="s">
        <v>55</v>
      </c>
      <c r="D2" s="19">
        <v>45785</v>
      </c>
      <c r="E2" s="19">
        <v>46150</v>
      </c>
      <c r="F2" s="27">
        <v>365</v>
      </c>
      <c r="G2" s="5" t="s">
        <v>31</v>
      </c>
      <c r="H2" s="27"/>
      <c r="I2" s="27"/>
      <c r="J2" s="27"/>
      <c r="K2" s="27"/>
      <c r="L2" s="27"/>
      <c r="M2" s="27"/>
      <c r="N2" s="27"/>
      <c r="O2" s="27"/>
      <c r="P2" s="27"/>
      <c r="Q2" s="27"/>
      <c r="R2" s="27"/>
      <c r="S2" s="27"/>
      <c r="T2" s="27"/>
      <c r="U2" s="27"/>
      <c r="V2" s="27"/>
      <c r="W2" s="27"/>
      <c r="X2" s="27"/>
      <c r="Y2" s="27"/>
      <c r="Z2" s="27" t="s">
        <v>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57</v>
      </c>
    </row>
    <row r="2" spans="1:12" x14ac:dyDescent="0.3">
      <c r="A2" s="9" t="s">
        <v>56</v>
      </c>
      <c r="L2" s="40" t="s">
        <v>58</v>
      </c>
    </row>
    <row r="3" spans="1:12" x14ac:dyDescent="0.3">
      <c r="L3" s="40" t="s">
        <v>59</v>
      </c>
    </row>
    <row r="4" spans="1:12" ht="37.5" x14ac:dyDescent="0.3">
      <c r="A4" s="12" t="s">
        <v>0</v>
      </c>
      <c r="B4" s="12" t="s">
        <v>1</v>
      </c>
      <c r="L4" s="40" t="s">
        <v>60</v>
      </c>
    </row>
    <row r="5" spans="1:12" ht="17.25" x14ac:dyDescent="0.3">
      <c r="A5" s="22"/>
      <c r="B5" s="20" t="s">
        <v>32</v>
      </c>
      <c r="L5" s="40" t="s">
        <v>61</v>
      </c>
    </row>
    <row r="6" spans="1:12" ht="17.25" x14ac:dyDescent="0.3">
      <c r="A6" s="22"/>
      <c r="B6" s="20" t="s">
        <v>29</v>
      </c>
    </row>
    <row r="7" spans="1:12" ht="17.25" x14ac:dyDescent="0.3">
      <c r="A7" s="22"/>
      <c r="B7" s="20" t="s">
        <v>33</v>
      </c>
    </row>
    <row r="8" spans="1:12" ht="17.25" x14ac:dyDescent="0.3">
      <c r="A8" s="22"/>
      <c r="B8" s="20" t="s">
        <v>34</v>
      </c>
    </row>
    <row r="9" spans="1:12" ht="17.25" x14ac:dyDescent="0.3">
      <c r="A9" s="22"/>
      <c r="B9" s="21" t="s">
        <v>35</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tabSelected="1" workbookViewId="0">
      <selection activeCell="S29" sqref="A29:S31"/>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44</v>
      </c>
      <c r="F1" s="1"/>
      <c r="I1" s="30" t="s">
        <v>47</v>
      </c>
      <c r="J1" s="36">
        <v>10</v>
      </c>
      <c r="K1" s="36">
        <v>30</v>
      </c>
      <c r="Q1" s="1"/>
      <c r="S1" s="1"/>
      <c r="W1" s="1"/>
    </row>
    <row r="2" spans="5:23" ht="18" customHeight="1" x14ac:dyDescent="0.3">
      <c r="E2" s="33">
        <f ca="1">TODAY()</f>
        <v>45819</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51</v>
      </c>
      <c r="P17" s="38">
        <f>SUM(Table_DiemDatHang[Giá trị cần đặt])</f>
        <v>56790000</v>
      </c>
      <c r="Q17" s="1"/>
      <c r="S17" s="1"/>
      <c r="W17" s="1"/>
    </row>
    <row r="18" spans="2:23" ht="18" customHeight="1" outlineLevel="1" x14ac:dyDescent="0.3">
      <c r="E18" s="3"/>
      <c r="F18" s="1"/>
      <c r="L18" s="37" t="s">
        <v>52</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53</v>
      </c>
      <c r="N20" s="39" t="s">
        <v>39</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45</v>
      </c>
      <c r="C23" t="s">
        <v>50</v>
      </c>
      <c r="E23" s="1" t="s">
        <v>12</v>
      </c>
      <c r="F23" s="1" t="s">
        <v>11</v>
      </c>
      <c r="G23" s="1" t="s">
        <v>48</v>
      </c>
      <c r="H23" s="1" t="s">
        <v>49</v>
      </c>
      <c r="I23" s="1" t="s">
        <v>17</v>
      </c>
      <c r="J23" s="1" t="s">
        <v>13</v>
      </c>
      <c r="K23" s="1" t="s">
        <v>14</v>
      </c>
      <c r="L23" s="1" t="s">
        <v>36</v>
      </c>
      <c r="M23" s="1" t="s">
        <v>37</v>
      </c>
      <c r="N23" s="1" t="s">
        <v>38</v>
      </c>
      <c r="O23" s="1" t="s">
        <v>16</v>
      </c>
      <c r="P23" s="1" t="s">
        <v>15</v>
      </c>
      <c r="Q23" s="1"/>
      <c r="S23" s="1"/>
      <c r="W23" s="1"/>
    </row>
    <row r="24" spans="2:23" ht="16.5" x14ac:dyDescent="0.3">
      <c r="B24" s="5" t="s">
        <v>39</v>
      </c>
      <c r="C24" s="35">
        <v>31200000</v>
      </c>
      <c r="E24" s="1" t="s">
        <v>39</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45815</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40</v>
      </c>
      <c r="C25" s="35">
        <v>23100000</v>
      </c>
      <c r="E25" s="1" t="s">
        <v>40</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45817</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41</v>
      </c>
      <c r="C26" s="35">
        <v>330000</v>
      </c>
      <c r="E26" s="1" t="s">
        <v>41</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45838</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42</v>
      </c>
      <c r="C27" s="35">
        <v>240000</v>
      </c>
      <c r="E27" s="1" t="s">
        <v>42</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45837</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43</v>
      </c>
      <c r="C28" s="35">
        <v>1920000</v>
      </c>
      <c r="E28" s="1" t="s">
        <v>43</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45834</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46</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5"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E1:F2 F23 I23:O23 H2:O2 J1:O1 D4:E1048576 F24:O28 F3:O16 F17:M17 O17:P17 F18:O22 Q1 Q25:Q28 P2:Q24 R1:XFD24 R29:R1048576 G29:P29 G30:M30 O30:P30 G31:P1048576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file>

<file path=customXml/item3.xml>��   
</file>

<file path=customXml/item4.xml>�� 
</file>

<file path=customXml/item5.xml>��   
</file>

<file path=customXml/item6.xml>��   
</file>

<file path=customXml/item7.xml>�� � � � � �  t �n   � �  t � � � � � � � � � � � �  t �n   � �  t � � � � � � � � � � � �  l �� � � � � � �  s u � � � � � � � � � �� �  l � � � �� �  l � � � �  l � �n   � � �n   s �  b � � �p     �  �  �  �  l ��  �  � � � � � �  t �n   � �  t � � � � � � � � � � � �  t �n   � �  t � � � � � � � � � � � �  l �� � � � � � �  s u � � � � � � � � � �� �  l � � � �� �  l � � � �  l � �n   � � �n   s �  b � � �p     �  �  �  �  l ��  �  � 
</file>

<file path=customXml/item8.xml>��   
</file>

<file path=customXml/item9.xml>�� �  �  
</file>

<file path=customXml/item10.xml>�� � � � �� �  l � � � � i �m   s �  d � � �n   c � � �p    � � � � i � �  d �  �  �  �  �  l ��  �  � �  l � � � � � � �� �  l � � � � i �m   s �  d � � �n   c � � �p    � � � � i � �  d �  �  �  �  �  l ��  �  � �  l � � � 
</file>

<file path=customXml/item11.xml>��   
</file>

<file path=customXml/item12.xml>�� 
</file>

<file path=customXml/item13.xml>�� �  p h � �c   n  � �� � � �  p h � �c   n  � �� � � 
</file>

<file path=customXml/item14.xml>�� �n   �u   t � �n   �u   t � �  �u   t � �i   h � �  �  �u   t � �   � �n   �u   t � �n   �u   t � �  �u   t � �i   h � �  �  �u   t � �   � 
</file>

<file path=customXml/item15.xml>�� � � � i � �  d � i �m   s �  d � �� �  l � � � � � �n   c � � � � � �  l � � � � �p     �  �  �  �  l ��  �  � 
</file>

<file path=customXml/item16.xml>��   
</file>

<file path=customXml/item17.xml>��   
</file>

<file path=customXml/item18.xml>��   
</file>

<file path=customXml/item19.xml>�� �� �i   t �� � �� �t   � � �  l � � �  l �� �  t � � �� �i   t �� � �� �t   � � �  l � � �  l �� �  t � � 
</file>

<file path=customXml/item20.xml>��   
</file>

<file path=customXml/item21.xml>�� �c   n  �c   n  
</file>

<file path=customXml/item22.xml>��   
</file>

<file path=customXml/item23.xml>�� � � �n   v � �  s u � �  l � � � � �n   v � �  s u � �  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2BF00A03-70FC-4137-967C-82A1B61F0E08}">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4F023B59-6671-4442-B15F-D8D1F04CE43F}">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2025-06-11T07:40:30Z</dcterms:modified>
  <cp:category/>
  <cp:contentStatus/>
</cp:coreProperties>
</file>