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2CC98C0-C365-4007-814A-67983CD5B82F}" xr6:coauthVersionLast="47" xr6:coauthVersionMax="47" xr10:uidLastSave="{00000000-0000-0000-0000-000000000000}"/>
  <bookViews>
    <workbookView xWindow="30" yWindow="750" windowWidth="28770" windowHeight="15450" tabRatio="717" firstSheet="1" activeTab="1" xr2:uid="{B2DA85E2-969C-4F09-941C-CE16CCFE9D56}"/>
  </bookViews>
  <sheets>
    <sheet name="Security" sheetId="79" state="veryHidden" r:id="rId1"/>
    <sheet name="EULA" sheetId="77" r:id="rId2"/>
    <sheet name="Quản lý nợ phải trả" sheetId="47"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Table_ChiPhiKD_PhanNhom[Chi phí]</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14"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3" i="47" l="1"/>
  <c r="I24" i="47"/>
  <c r="I25" i="47"/>
  <c r="I26" i="47"/>
  <c r="K26" i="47" l="1" a="1"/>
  <c r="K26" i="47" s="1"/>
  <c r="K23" i="47" a="1"/>
  <c r="K23" i="47" s="1"/>
  <c r="K25" i="47" l="1" a="1"/>
  <c r="K25" i="47" s="1"/>
  <c r="K24" i="47" a="1"/>
  <c r="K24" i="47"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<sst xmlns="http://schemas.openxmlformats.org/spreadsheetml/2006/main" count="150" uniqueCount="68">
  <si>
    <t>Bên A</t>
  </si>
  <si>
    <t>Công ty TNHH Tư vấn Quản trị FIRM</t>
  </si>
  <si>
    <t>[Địa chỉ]</t>
  </si>
  <si>
    <t>[Mã số thuế]</t>
  </si>
  <si>
    <t>[SĐT - Fax]</t>
  </si>
  <si>
    <t>[Website - Page]</t>
  </si>
  <si>
    <t>[STK - Ngân hàng]</t>
  </si>
  <si>
    <t>Bên B</t>
  </si>
  <si>
    <t>Công ty ABC XYZ</t>
  </si>
  <si>
    <t>ID</t>
  </si>
  <si>
    <t>License</t>
  </si>
  <si>
    <t>Chi phí</t>
  </si>
  <si>
    <t>Thuế, phí &amp; lệ phí trả NSNN</t>
  </si>
  <si>
    <t>Chi phí Kênh phân phối</t>
  </si>
  <si>
    <t>Chi phí Marketing</t>
  </si>
  <si>
    <t>Chi phí Đối ngoại</t>
  </si>
  <si>
    <t>Chi phí Dịch vụ sản xuất</t>
  </si>
  <si>
    <t>Chi phí Dịch vụ văn phòng</t>
  </si>
  <si>
    <t>Đối tác</t>
  </si>
  <si>
    <t>Dư nợ đầu kỳ</t>
  </si>
  <si>
    <t>Ngày GD</t>
  </si>
  <si>
    <t>Loại GD</t>
  </si>
  <si>
    <t>Giá trị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</si>
  <si>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</si>
  <si>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</si>
  <si>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</si>
  <si>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</si>
  <si>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</si>
  <si>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</si>
  <si>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</si>
  <si>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</si>
  <si>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</si>
  <si>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</si>
  <si>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</si>
  <si>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</si>
  <si>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</si>
  <si>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</si>
  <si>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</si>
  <si>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</si>
  <si>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</si>
  <si>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</si>
  <si>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</si>
  <si>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</si>
  <si>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DT1</t>
  </si>
  <si>
    <t>DT2</t>
  </si>
  <si>
    <t>DT3</t>
  </si>
  <si>
    <t>DT4</t>
  </si>
  <si>
    <t>Phát sinh phải trả</t>
  </si>
  <si>
    <t>Chi trả chi phí</t>
  </si>
  <si>
    <t>Chi phí Hàng hóa, nguyên liệu</t>
  </si>
  <si>
    <t>Chi phí Vận chuyển</t>
  </si>
  <si>
    <t>Chi phí Nhân sự</t>
  </si>
  <si>
    <t>Chi phí lãi vay</t>
  </si>
  <si>
    <t>Chi phí Tiện ích</t>
  </si>
  <si>
    <t>Nhóm</t>
  </si>
  <si>
    <t>Nhóm chi phí</t>
  </si>
  <si>
    <t>Row Labels</t>
  </si>
  <si>
    <t>Grand Total</t>
  </si>
  <si>
    <t>Dư nợ phải trả</t>
  </si>
  <si>
    <t>Ứng trước đối tác</t>
  </si>
  <si>
    <t>4C68A711-89BE-412A-BD2D-CB33771CC62D</t>
  </si>
  <si>
    <t>EASY-33329183463</t>
  </si>
  <si>
    <t>GD02</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</si>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</sst>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19"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i/>
      <sz val="8"/>
      <color theme="1"/>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3">
    <border>
      <left/>
      <right/>
      <top/>
      <bottom/>
      <diagonal/>
    </border>
    <border>
      <left/>
      <right/>
      <top style="thin">
        <color theme="5" tint="0.39997558519241921"/>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7">
    <xf numFmtId="0" fontId="0" fillId="0" borderId="0" xfId="0"/>
    <xf numFmtId="0" fontId="5" fillId="0" borderId="0" xfId="0"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7" fillId="0" borderId="0" xfId="1" applyNumberFormat="1" applyFont="1" applyFill="1" applyBorder="1" applyAlignment="1" applyProtection="1">
      <alignment horizontal="center" vertical="center"/>
      <protection locked="0" hidden="1"/>
    </xf>
    <xf numFmtId="165" fontId="7"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5" fillId="0" borderId="0" xfId="0" applyFont="1" applyProtection="1">
      <protection locked="0" hidden="1"/>
    </xf>
    <xf numFmtId="0" fontId="11" fillId="0" borderId="0" xfId="0" applyFont="1" applyAlignment="1" applyProtection="1">
      <alignment vertical="center"/>
      <protection locked="0" hidden="1"/>
    </xf>
    <xf numFmtId="0" fontId="8"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5"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167" fontId="5" fillId="0" borderId="1" xfId="0" applyNumberFormat="1" applyFont="1" applyBorder="1" applyAlignment="1" applyProtection="1">
      <alignment vertical="center"/>
      <protection locked="0" hidden="1"/>
    </xf>
    <xf numFmtId="167" fontId="5" fillId="0" borderId="0" xfId="0" applyNumberFormat="1" applyFont="1" applyProtection="1">
      <protection locked="0" hidden="1"/>
    </xf>
    <xf numFmtId="167" fontId="7" fillId="0" borderId="0" xfId="0" applyNumberFormat="1" applyFont="1" applyAlignment="1" applyProtection="1">
      <alignment vertical="center"/>
      <protection locked="0" hidden="1"/>
    </xf>
    <xf numFmtId="167" fontId="8" fillId="0" borderId="0" xfId="0" applyNumberFormat="1" applyFont="1" applyAlignment="1" applyProtection="1">
      <alignment vertical="center"/>
      <protection locked="0" hidden="1"/>
    </xf>
    <xf numFmtId="167" fontId="11" fillId="0" borderId="0" xfId="0" applyNumberFormat="1" applyFont="1" applyAlignment="1" applyProtection="1">
      <alignment vertical="center"/>
      <protection locked="0" hidden="1"/>
    </xf>
    <xf numFmtId="168" fontId="6" fillId="0" borderId="2" xfId="0" applyNumberFormat="1" applyFont="1" applyBorder="1" applyAlignment="1" applyProtection="1">
      <alignment horizontal="right" vertical="center"/>
      <protection locked="0" hidden="1"/>
    </xf>
    <xf numFmtId="164" fontId="5" fillId="0" borderId="0" xfId="1" applyNumberFormat="1" applyFont="1" applyAlignment="1" applyProtection="1">
      <alignment horizontal="left" vertical="center"/>
      <protection locked="0" hidden="1"/>
    </xf>
    <xf numFmtId="167" fontId="5" fillId="0" borderId="2" xfId="0" applyNumberFormat="1" applyFont="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horizontal="left" vertical="center"/>
      <protection locked="0" hidden="1"/>
    </xf>
    <xf numFmtId="164" fontId="5" fillId="0" borderId="2" xfId="1" applyNumberFormat="1" applyFont="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0" fontId="0" fillId="0" borderId="0" xfId="0" pivotButton="1"/>
    <xf numFmtId="0" fontId="0" fillId="0" borderId="0" xfId="0" applyAlignment="1">
      <alignment horizontal="left" indent="1"/>
    </xf>
    <xf numFmtId="164" fontId="0" fillId="0" borderId="0" xfId="0" applyNumberFormat="1"/>
    <xf numFmtId="0" fontId="18" fillId="0" borderId="0" xfId="0" applyFont="1" applyAlignment="1" applyProtection="1">
      <alignment vertical="center"/>
      <protection locked="0"/>
    </xf>
  </cellXfs>
  <cellStyles count="2">
    <cellStyle name="Comma" xfId="1" builtinId="3"/>
    <cellStyle name="Normal" xfId="0" builtinId="0"/>
  </cellStyles>
  <dxfs count="28">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font>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7"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outline val="0"/>
        <shadow val="0"/>
        <u val="none"/>
        <vertAlign val="baseline"/>
        <sz val="8"/>
        <name val="Segoe UI Light"/>
        <family val="2"/>
        <scheme val="minor"/>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7"/>
      <tableStyleElement type="headerRow" dxfId="26"/>
    </tableStyle>
    <tableStyle name="SlicerStyleLight1 2 2" pivot="0" table="0" count="10" xr9:uid="{9DB8D611-4D15-4128-AF8D-E3329BCC5BCE}">
      <tableStyleElement type="wholeTable" dxfId="25"/>
      <tableStyleElement type="headerRow" dxfId="24"/>
    </tableStyle>
    <tableStyle name="TimeSlicerStyleLight1 2" pivot="0" table="0" count="9" xr9:uid="{58382D9D-B456-41C4-B229-09D2A872184E}">
      <tableStyleElement type="wholeTable" dxfId="23"/>
      <tableStyleElement type="headerRow" dxfId="2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trả'!$C$22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B800-4425-BF74-51AF5F30160F}"/>
              </c:ext>
            </c:extLst>
          </c:dPt>
          <c:dPt>
            <c:idx val="1"/>
            <c:bubble3D val="0"/>
            <c:spPr>
              <a:solidFill>
                <a:schemeClr val="accent2"/>
              </a:solidFill>
              <a:ln>
                <a:noFill/>
              </a:ln>
              <a:effectLst/>
            </c:spPr>
            <c:extLst>
              <c:ext xmlns:c16="http://schemas.microsoft.com/office/drawing/2014/chart" uri="{C3380CC4-5D6E-409C-BE32-E72D297353CC}">
                <c16:uniqueId val="{00000003-B800-4425-BF74-51AF5F30160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trả'!$B$23:$B$27</c:f>
              <c:multiLvlStrCache>
                <c:ptCount val="2"/>
                <c:lvl>
                  <c:pt idx="0">
                    <c:v>DT1</c:v>
                  </c:pt>
                  <c:pt idx="1">
                    <c:v>DT2</c:v>
                  </c:pt>
                </c:lvl>
                <c:lvl>
                  <c:pt idx="0">
                    <c:v>Chi phí Hàng hóa, nguyên liệu</c:v>
                  </c:pt>
                  <c:pt idx="1">
                    <c:v>Chi phí Nhân sự</c:v>
                  </c:pt>
                </c:lvl>
              </c:multiLvlStrCache>
            </c:multiLvlStrRef>
          </c:cat>
          <c:val>
            <c:numRef>
              <c:f>'Quản lý nợ phải trả'!$C$23:$C$27</c:f>
              <c:numCache>
                <c:formatCode>_(* #,##0_);_(* \(#,##0\);_(* "-"??_);_(@_)</c:formatCode>
                <c:ptCount val="2"/>
                <c:pt idx="0">
                  <c:v>313647</c:v>
                </c:pt>
                <c:pt idx="1">
                  <c:v>570499</c:v>
                </c:pt>
              </c:numCache>
            </c:numRef>
          </c:val>
          <c:extLst>
            <c:ext xmlns:c16="http://schemas.microsoft.com/office/drawing/2014/chart" uri="{C3380CC4-5D6E-409C-BE32-E72D297353CC}">
              <c16:uniqueId val="{00000000-D6C3-4803-90DD-1D177C1BF78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[12. EASY-GD02 - Quản lý phải trả.xlsm]Quản lý nợ phải trả!PivotTable4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trả'!$F$22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3A2-40C2-9EA6-90E51B0F2139}"/>
              </c:ext>
            </c:extLst>
          </c:dPt>
          <c:dPt>
            <c:idx val="1"/>
            <c:bubble3D val="0"/>
            <c:spPr>
              <a:solidFill>
                <a:schemeClr val="accent2"/>
              </a:solidFill>
              <a:ln>
                <a:noFill/>
              </a:ln>
              <a:effectLst/>
            </c:spPr>
            <c:extLst>
              <c:ext xmlns:c16="http://schemas.microsoft.com/office/drawing/2014/chart" uri="{C3380CC4-5D6E-409C-BE32-E72D297353CC}">
                <c16:uniqueId val="{00000003-63A2-40C2-9EA6-90E51B0F21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'Quản lý nợ phải trả'!$E$23:$E$27</c:f>
              <c:multiLvlStrCache>
                <c:ptCount val="2"/>
                <c:lvl>
                  <c:pt idx="0">
                    <c:v>DT3</c:v>
                  </c:pt>
                  <c:pt idx="1">
                    <c:v>DT4</c:v>
                  </c:pt>
                </c:lvl>
                <c:lvl>
                  <c:pt idx="0">
                    <c:v>Chi phí Dịch vụ văn phòng</c:v>
                  </c:pt>
                  <c:pt idx="1">
                    <c:v>Chi phí Marketing</c:v>
                  </c:pt>
                </c:lvl>
              </c:multiLvlStrCache>
            </c:multiLvlStrRef>
          </c:cat>
          <c:val>
            <c:numRef>
              <c:f>'Quản lý nợ phải trả'!$F$23:$F$27</c:f>
              <c:numCache>
                <c:formatCode>_(* #,##0_);_(* \(#,##0\);_(* "-"??_);_(@_)</c:formatCode>
                <c:ptCount val="2"/>
                <c:pt idx="0">
                  <c:v>-3620946</c:v>
                </c:pt>
                <c:pt idx="1">
                  <c:v>-1528609</c:v>
                </c:pt>
              </c:numCache>
            </c:numRef>
          </c:val>
          <c:extLst>
            <c:ext xmlns:c16="http://schemas.microsoft.com/office/drawing/2014/chart" uri="{C3380CC4-5D6E-409C-BE32-E72D297353CC}">
              <c16:uniqueId val="{00000000-BC15-4C8C-91D3-8FB5315EFAE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FF112F09-BA31-4018-A86C-631C8F5D7D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333375</xdr:colOff>
          <xdr:row>0</xdr:row>
          <xdr:rowOff>85725</xdr:rowOff>
        </xdr:from>
        <xdr:to>
          <xdr:col>13</xdr:col>
          <xdr:colOff>638175</xdr:colOff>
          <xdr:row>1</xdr:row>
          <xdr:rowOff>114300</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4229100" y="85725"/>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2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2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57150</xdr:rowOff>
        </xdr:from>
        <xdr:to>
          <xdr:col>12</xdr:col>
          <xdr:colOff>47624</xdr:colOff>
          <xdr:row>1</xdr:row>
          <xdr:rowOff>190500</xdr:rowOff>
        </xdr:to>
        <xdr:grpSp>
          <xdr:nvGrpSpPr>
            <xdr:cNvPr id="2" name="Group 1">
              <a:extLst>
                <a:ext uri="{FF2B5EF4-FFF2-40B4-BE49-F238E27FC236}">
                  <a16:creationId xmlns:a16="http://schemas.microsoft.com/office/drawing/2014/main" id="{9BDEE939-6EAE-4754-B749-4D73F5008F3A}"/>
                </a:ext>
              </a:extLst>
            </xdr:cNvPr>
            <xdr:cNvGrpSpPr/>
          </xdr:nvGrpSpPr>
          <xdr:grpSpPr>
            <a:xfrm>
              <a:off x="247650" y="57150"/>
              <a:ext cx="3695699" cy="361950"/>
              <a:chOff x="6162676" y="3409950"/>
              <a:chExt cx="3695699" cy="361950"/>
            </a:xfrm>
          </xdr:grpSpPr>
          <xdr:grpSp>
            <xdr:nvGrpSpPr>
              <xdr:cNvPr id="4" name="Group 3">
                <a:extLst>
                  <a:ext uri="{FF2B5EF4-FFF2-40B4-BE49-F238E27FC236}">
                    <a16:creationId xmlns:a16="http://schemas.microsoft.com/office/drawing/2014/main" id="{BDCC9EB5-4612-058D-B5B3-20F7B0854C39}"/>
                  </a:ext>
                </a:extLst>
              </xdr:cNvPr>
              <xdr:cNvGrpSpPr/>
            </xdr:nvGrpSpPr>
            <xdr:grpSpPr>
              <a:xfrm>
                <a:off x="7867650" y="3409950"/>
                <a:ext cx="1990725" cy="361950"/>
                <a:chOff x="8191500" y="3409950"/>
                <a:chExt cx="1990725" cy="361950"/>
              </a:xfrm>
            </xdr:grpSpPr>
            <xdr:grpSp>
              <xdr:nvGrpSpPr>
                <xdr:cNvPr id="7" name="Group 6">
                  <a:extLst>
                    <a:ext uri="{FF2B5EF4-FFF2-40B4-BE49-F238E27FC236}">
                      <a16:creationId xmlns:a16="http://schemas.microsoft.com/office/drawing/2014/main" id="{E3494B42-6E74-2556-9BEF-A832A13A5144}"/>
                    </a:ext>
                  </a:extLst>
                </xdr:cNvPr>
                <xdr:cNvGrpSpPr/>
              </xdr:nvGrpSpPr>
              <xdr:grpSpPr>
                <a:xfrm>
                  <a:off x="8302013" y="3452813"/>
                  <a:ext cx="1769699" cy="276225"/>
                  <a:chOff x="8305801" y="3457575"/>
                  <a:chExt cx="1769699" cy="276225"/>
                </a:xfrm>
              </xdr:grpSpPr>
              <xdr:sp macro="" textlink="">
                <xdr:nvSpPr>
                  <xdr:cNvPr id="55317" name="Option Button 21" hidden="1">
                    <a:extLst>
                      <a:ext uri="{63B3BB69-23CF-44E3-9099-C40C66FF867C}">
                        <a14:compatExt spid="_x0000_s55317"/>
                      </a:ext>
                      <a:ext uri="{FF2B5EF4-FFF2-40B4-BE49-F238E27FC236}">
                        <a16:creationId xmlns:a16="http://schemas.microsoft.com/office/drawing/2014/main" id="{00000000-0008-0000-0200-000015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18" name="Option Button 22" hidden="1">
                    <a:extLst>
                      <a:ext uri="{63B3BB69-23CF-44E3-9099-C40C66FF867C}">
                        <a14:compatExt spid="_x0000_s55318"/>
                      </a:ext>
                      <a:ext uri="{FF2B5EF4-FFF2-40B4-BE49-F238E27FC236}">
                        <a16:creationId xmlns:a16="http://schemas.microsoft.com/office/drawing/2014/main" id="{00000000-0008-0000-0200-000016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19" name="Option Button 23" hidden="1">
                    <a:extLst>
                      <a:ext uri="{63B3BB69-23CF-44E3-9099-C40C66FF867C}">
                        <a14:compatExt spid="_x0000_s55319"/>
                      </a:ext>
                      <a:ext uri="{FF2B5EF4-FFF2-40B4-BE49-F238E27FC236}">
                        <a16:creationId xmlns:a16="http://schemas.microsoft.com/office/drawing/2014/main" id="{00000000-0008-0000-0200-000017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20" name="Option Button 24" hidden="1">
                    <a:extLst>
                      <a:ext uri="{63B3BB69-23CF-44E3-9099-C40C66FF867C}">
                        <a14:compatExt spid="_x0000_s55320"/>
                      </a:ext>
                      <a:ext uri="{FF2B5EF4-FFF2-40B4-BE49-F238E27FC236}">
                        <a16:creationId xmlns:a16="http://schemas.microsoft.com/office/drawing/2014/main" id="{00000000-0008-0000-0200-000018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21" name="Group Box 25" hidden="1">
                  <a:extLst>
                    <a:ext uri="{63B3BB69-23CF-44E3-9099-C40C66FF867C}">
                      <a14:compatExt spid="_x0000_s55321"/>
                    </a:ext>
                    <a:ext uri="{FF2B5EF4-FFF2-40B4-BE49-F238E27FC236}">
                      <a16:creationId xmlns:a16="http://schemas.microsoft.com/office/drawing/2014/main" id="{00000000-0008-0000-0200-000019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5" name="Group 4">
                <a:extLst>
                  <a:ext uri="{FF2B5EF4-FFF2-40B4-BE49-F238E27FC236}">
                    <a16:creationId xmlns:a16="http://schemas.microsoft.com/office/drawing/2014/main" id="{63A20521-FBC5-8E13-4572-9DD8D1E01823}"/>
                  </a:ext>
                </a:extLst>
              </xdr:cNvPr>
              <xdr:cNvGrpSpPr/>
            </xdr:nvGrpSpPr>
            <xdr:grpSpPr>
              <a:xfrm>
                <a:off x="6162676" y="3409950"/>
                <a:ext cx="1657350" cy="361950"/>
                <a:chOff x="6162676" y="3409950"/>
                <a:chExt cx="1657350" cy="361950"/>
              </a:xfrm>
            </xdr:grpSpPr>
            <xdr:sp macro="" textlink="">
              <xdr:nvSpPr>
                <xdr:cNvPr id="55322" name="Group Box 26" hidden="1">
                  <a:extLst>
                    <a:ext uri="{63B3BB69-23CF-44E3-9099-C40C66FF867C}">
                      <a14:compatExt spid="_x0000_s55322"/>
                    </a:ext>
                    <a:ext uri="{FF2B5EF4-FFF2-40B4-BE49-F238E27FC236}">
                      <a16:creationId xmlns:a16="http://schemas.microsoft.com/office/drawing/2014/main" id="{00000000-0008-0000-0200-00001A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6" name="Group 5">
                  <a:extLst>
                    <a:ext uri="{FF2B5EF4-FFF2-40B4-BE49-F238E27FC236}">
                      <a16:creationId xmlns:a16="http://schemas.microsoft.com/office/drawing/2014/main" id="{DE8599C8-2A87-B822-3207-D2CC0DB000BB}"/>
                    </a:ext>
                  </a:extLst>
                </xdr:cNvPr>
                <xdr:cNvGrpSpPr/>
              </xdr:nvGrpSpPr>
              <xdr:grpSpPr>
                <a:xfrm>
                  <a:off x="6243639" y="3500925"/>
                  <a:ext cx="1495425" cy="180000"/>
                  <a:chOff x="6029325" y="4257675"/>
                  <a:chExt cx="1495425" cy="257175"/>
                </a:xfrm>
              </xdr:grpSpPr>
              <xdr:sp macro="" textlink="">
                <xdr:nvSpPr>
                  <xdr:cNvPr id="55323" name="Button 27" hidden="1">
                    <a:extLst>
                      <a:ext uri="{63B3BB69-23CF-44E3-9099-C40C66FF867C}">
                        <a14:compatExt spid="_x0000_s55323"/>
                      </a:ext>
                      <a:ext uri="{FF2B5EF4-FFF2-40B4-BE49-F238E27FC236}">
                        <a16:creationId xmlns:a16="http://schemas.microsoft.com/office/drawing/2014/main" id="{00000000-0008-0000-0200-00001B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24" name="Button 28" hidden="1">
                    <a:extLst>
                      <a:ext uri="{63B3BB69-23CF-44E3-9099-C40C66FF867C}">
                        <a14:compatExt spid="_x0000_s55324"/>
                      </a:ext>
                      <a:ext uri="{FF2B5EF4-FFF2-40B4-BE49-F238E27FC236}">
                        <a16:creationId xmlns:a16="http://schemas.microsoft.com/office/drawing/2014/main" id="{00000000-0008-0000-0200-00001C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25" name="Button 29" hidden="1">
                    <a:extLst>
                      <a:ext uri="{63B3BB69-23CF-44E3-9099-C40C66FF867C}">
                        <a14:compatExt spid="_x0000_s55325"/>
                      </a:ext>
                      <a:ext uri="{FF2B5EF4-FFF2-40B4-BE49-F238E27FC236}">
                        <a16:creationId xmlns:a16="http://schemas.microsoft.com/office/drawing/2014/main" id="{00000000-0008-0000-0200-00001D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6</xdr:col>
      <xdr:colOff>381000</xdr:colOff>
      <xdr:row>2</xdr:row>
      <xdr:rowOff>119062</xdr:rowOff>
    </xdr:from>
    <xdr:to>
      <xdr:col>10</xdr:col>
      <xdr:colOff>1047300</xdr:colOff>
      <xdr:row>19</xdr:row>
      <xdr:rowOff>192862</xdr:rowOff>
    </xdr:to>
    <xdr:graphicFrame macro="">
      <xdr:nvGraphicFramePr>
        <xdr:cNvPr id="3" name="Chart 2">
          <a:extLst>
            <a:ext uri="{FF2B5EF4-FFF2-40B4-BE49-F238E27FC236}">
              <a16:creationId xmlns:a16="http://schemas.microsoft.com/office/drawing/2014/main" id="{FCB07102-9851-FC47-4504-7BCEDFAA5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109537</xdr:colOff>
      <xdr:row>2</xdr:row>
      <xdr:rowOff>119062</xdr:rowOff>
    </xdr:from>
    <xdr:to>
      <xdr:col>16</xdr:col>
      <xdr:colOff>13837</xdr:colOff>
      <xdr:row>19</xdr:row>
      <xdr:rowOff>192862</xdr:rowOff>
    </xdr:to>
    <xdr:graphicFrame macro="">
      <xdr:nvGraphicFramePr>
        <xdr:cNvPr id="8" name="Chart 7">
          <a:extLst>
            <a:ext uri="{FF2B5EF4-FFF2-40B4-BE49-F238E27FC236}">
              <a16:creationId xmlns:a16="http://schemas.microsoft.com/office/drawing/2014/main" id="{7F062FA6-3E7F-35B8-905C-6D287F741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14</xdr:col>
          <xdr:colOff>1028700</xdr:colOff>
          <xdr:row>0</xdr:row>
          <xdr:rowOff>104775</xdr:rowOff>
        </xdr:from>
        <xdr:to>
          <xdr:col>15</xdr:col>
          <xdr:colOff>152400</xdr:colOff>
          <xdr:row>1</xdr:row>
          <xdr:rowOff>133350</xdr:rowOff>
        </xdr:to>
        <xdr:sp macro="" textlink="">
          <xdr:nvSpPr>
            <xdr:cNvPr id="55330" name="Button 34" hidden="1">
              <a:extLst>
                <a:ext uri="{63B3BB69-23CF-44E3-9099-C40C66FF867C}">
                  <a14:compatExt spid="_x0000_s55330"/>
                </a:ext>
                <a:ext uri="{FF2B5EF4-FFF2-40B4-BE49-F238E27FC236}">
                  <a16:creationId xmlns:a16="http://schemas.microsoft.com/office/drawing/2014/main" id="{00000000-0008-0000-0200-000022D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71407870371" createdVersion="8" refreshedVersion="8" minRefreshableVersion="3" recordCount="4" xr:uid="{502FA893-68A0-4763-BF8D-C15C11CB8E9A}">
  <cacheSource type="worksheet">
    <worksheetSource name="Table_PhaiTra"/>
  </cacheSource>
  <cacheFields count="4">
    <cacheField name="Đối tác" numFmtId="167">
      <sharedItems count="4">
        <s v="DT1"/>
        <s v="DT2"/>
        <s v="DT3"/>
        <s v="DT4"/>
      </sharedItems>
    </cacheField>
    <cacheField name="Nhóm" numFmtId="167">
      <sharedItems count="4">
        <s v="Chi phí Hàng hóa, nguyên liệu"/>
        <s v="Chi phí Nhân sự"/>
        <s v="Chi phí Dịch vụ văn phòng"/>
        <s v="Chi phí Marketing"/>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620946" maxValue="5704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x v="0"/>
    <m/>
    <n v="313647"/>
  </r>
  <r>
    <x v="1"/>
    <x v="1"/>
    <m/>
    <n v="570499"/>
  </r>
  <r>
    <x v="2"/>
    <x v="2"/>
    <m/>
    <n v="-3620946"/>
  </r>
  <r>
    <x v="3"/>
    <x v="3"/>
    <m/>
    <n v="-15286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F84BA3D-A27B-4ADF-8ECF-DD3743EF53D1}" name="PivotTable4"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E22:F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i>
    <i r="1">
      <x v="2"/>
    </i>
    <i>
      <x v="2"/>
    </i>
    <i r="1">
      <x v="3"/>
    </i>
    <i t="grand">
      <x/>
    </i>
  </rowItems>
  <colItems count="1">
    <i/>
  </colItems>
  <dataFields count="1">
    <dataField name="Ứng trước đối tác" fld="3" baseField="1"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2"/>
          </reference>
          <reference field="1" count="1" selected="0">
            <x v="0"/>
          </reference>
        </references>
      </pivotArea>
    </chartFormat>
    <chartFormat chart="0" format="2">
      <pivotArea type="data" outline="0" fieldPosition="0">
        <references count="3">
          <reference field="4294967294" count="1" selected="0">
            <x v="0"/>
          </reference>
          <reference field="0" count="1" selected="0">
            <x v="3"/>
          </reference>
          <reference field="1" count="1" selected="0">
            <x v="2"/>
          </reference>
        </references>
      </pivotArea>
    </chartFormat>
  </chartFormats>
  <pivotTableStyleInfo name="PivotStyleLight16" showRowHeaders="1" showColHeaders="1" showRowStripes="0" showColStripes="0" showLastColumn="1"/>
  <filters count="1">
    <filter fld="1"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883B22C-735C-4CBA-88F5-A14F5A8A83EB}" name="PivotTable3"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2:C27" firstHeaderRow="1" firstDataRow="1" firstDataCol="1"/>
  <pivotFields count="4">
    <pivotField axis="axisRow" showAll="0">
      <items count="5">
        <item x="0"/>
        <item x="1"/>
        <item x="2"/>
        <item x="3"/>
        <item t="default"/>
      </items>
    </pivotField>
    <pivotField axis="axisRow" showAll="0" measureFilter="1">
      <items count="5">
        <item x="2"/>
        <item x="0"/>
        <item x="3"/>
        <item x="1"/>
        <item t="default"/>
      </items>
    </pivotField>
    <pivotField showAll="0"/>
    <pivotField dataField="1" numFmtId="164" showAll="0"/>
  </pivotFields>
  <rowFields count="2">
    <field x="1"/>
    <field x="0"/>
  </rowFields>
  <rowItems count="5">
    <i>
      <x v="1"/>
    </i>
    <i r="1">
      <x/>
    </i>
    <i>
      <x v="3"/>
    </i>
    <i r="1">
      <x v="1"/>
    </i>
    <i t="grand">
      <x/>
    </i>
  </rowItems>
  <colItems count="1">
    <i/>
  </colItems>
  <dataFields count="1">
    <dataField name="Dư nợ phải trả" fld="3" baseField="0" baseItem="0"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1"/>
          </reference>
        </references>
      </pivotArea>
    </chartFormat>
    <chartFormat chart="0" format="2">
      <pivotArea type="data" outline="0" fieldPosition="0">
        <references count="3">
          <reference field="4294967294" count="1" selected="0">
            <x v="0"/>
          </reference>
          <reference field="0" count="1" selected="0">
            <x v="1"/>
          </reference>
          <reference field="1" count="1" selected="0">
            <x v="3"/>
          </reference>
        </references>
      </pivotArea>
    </chartFormat>
  </chartFormats>
  <pivotTableStyleInfo name="PivotStyleLight16" showRowHeaders="1" showColHeaders="1" showRowStripes="0" showColStripes="0" showLastColumn="1"/>
  <filters count="1">
    <filter fld="1"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H22:K26" totalsRowShown="0" headerRowDxfId="15" dataDxfId="14">
  <autoFilter ref="H22:K26" xr:uid="{E6260BD5-4943-40D8-881C-33F7E49DA75B}"/>
  <tableColumns count="4">
    <tableColumn id="2" xr3:uid="{78EF47C2-46B0-40DE-9ADA-C3D3AA9A9C12}" name="Đối tác" dataDxfId="13"/>
    <tableColumn id="3" xr3:uid="{EBF8429F-3D74-44EE-8C6E-F444FD888F2A}" name="Nhóm" dataDxfId="12">
      <calculatedColumnFormula>INDEX(
Table_ThuChiKD[],
MATCH(Table_PhaiTra[[#This Row],[Đối tác]],Table_ThuChiKD[Đối tác],0),
3)</calculatedColumnFormula>
    </tableColumn>
    <tableColumn id="1" xr3:uid="{2B1D3624-701D-49A3-B369-2F23DA73BB73}" name="Dư nợ đầu kỳ" dataDxfId="11" dataCellStyle="Comma"/>
    <tableColumn id="4" xr3:uid="{4D48D0D6-80B3-4431-B238-02E726D63F5E}" name="Dư nợ hiện tại" dataDxfId="10" dataCellStyle="Comma">
      <calculatedColumnFormula array="1">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M22:Q45" totalsRowShown="0" headerRowDxfId="9" dataDxfId="8">
  <autoFilter ref="M22:Q45" xr:uid="{A6B1C031-348A-44B9-8D33-5EE5EC82DEAF}"/>
  <sortState xmlns:xlrd2="http://schemas.microsoft.com/office/spreadsheetml/2017/richdata2" ref="M23:Q45">
    <sortCondition descending="1" ref="M22:M45"/>
  </sortState>
  <tableColumns count="5">
    <tableColumn id="2" xr3:uid="{491FCAFA-B1AD-46FB-8647-AA401FFD2AAA}" name="Ngày GD" dataDxfId="7"/>
    <tableColumn id="3" xr3:uid="{B9BD7AA2-C1D5-4E64-8D16-409D287CC48C}" name="Loại GD" dataDxfId="6"/>
    <tableColumn id="12" xr3:uid="{3A7EF55C-3E4D-4ADC-A987-EE3819E551D7}" name="Nhóm chi phí" dataDxfId="5"/>
    <tableColumn id="5" xr3:uid="{49A47456-4C51-4447-84B0-C657FFDF4DD6}" name="Đối tác" dataDxfId="4"/>
    <tableColumn id="7" xr3:uid="{4E5E42A3-26F6-4DBE-8D74-7F5305C9516A}" name="Giá trị GD" dataDxfId="3"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B3:B14" totalsRowShown="0" headerRowDxfId="2" dataDxfId="1">
  <autoFilter ref="B3:B14" xr:uid="{A3BF0C5B-FC17-4D9C-B315-53375E480D6F}"/>
  <tableColumns count="1">
    <tableColumn id="1" xr3:uid="{5A01712E-882C-4D38-85D0-54B58A2EB9BA}" name="Chi phí"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20" Type="http://schemas.openxmlformats.org/officeDocument/2006/relationships/table" Target="../tables/table3.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0" bestFit="1" customWidth="1"/>
    <col min="2" max="2" width="36.25" style="10" bestFit="1" customWidth="1"/>
    <col min="3" max="3" width="16.125" style="10" bestFit="1" customWidth="1"/>
    <col min="4" max="5" width="14.375" style="21" bestFit="1" customWidth="1"/>
    <col min="6" max="25" width="9" style="10"/>
    <col min="26" max="26" width="9" style="10" hidden="1" customWidth="1"/>
    <col min="27" max="16384" width="9" style="10"/>
  </cols>
  <sheetData>
    <row r="1" spans="1:26" x14ac:dyDescent="0.3">
      <c r="A1" s="16" t="s">
        <v>23</v>
      </c>
      <c r="B1" s="17" t="s">
        <v>9</v>
      </c>
      <c r="C1" s="18" t="s">
        <v>10</v>
      </c>
      <c r="D1" s="20" t="s">
        <v>24</v>
      </c>
      <c r="E1" s="20" t="s">
        <v>25</v>
      </c>
      <c r="F1" s="16" t="s">
        <v>26</v>
      </c>
      <c r="G1" s="19" t="s">
        <v>27</v>
      </c>
      <c r="H1" s="16" t="s">
        <v>28</v>
      </c>
      <c r="I1" s="16" t="s">
        <v>29</v>
      </c>
      <c r="J1" s="19" t="s">
        <v>30</v>
      </c>
      <c r="K1" s="19" t="s">
        <v>31</v>
      </c>
      <c r="L1" s="19" t="s">
        <v>32</v>
      </c>
      <c r="M1" s="19" t="s">
        <v>33</v>
      </c>
      <c r="N1" s="30"/>
      <c r="O1" s="30"/>
      <c r="P1" s="30"/>
      <c r="Q1" s="30"/>
      <c r="R1" s="30"/>
      <c r="S1" s="30"/>
      <c r="T1" s="30"/>
      <c r="U1" s="30"/>
      <c r="V1" s="30"/>
      <c r="W1" s="30"/>
      <c r="X1" s="30"/>
      <c r="Y1" s="30"/>
      <c r="Z1" s="10" t="s">
        <v>35</v>
      </c>
    </row>
    <row r="2" spans="1:26" x14ac:dyDescent="0.3">
      <c r="A2" s="30"/>
      <c r="B2" s="10" t="s">
        <v>60</v>
      </c>
      <c r="C2" s="10" t="s">
        <v>61</v>
      </c>
      <c r="D2" s="21">
        <v>45748</v>
      </c>
      <c r="E2" s="21">
        <v>46113</v>
      </c>
      <c r="F2" s="30">
        <v>365</v>
      </c>
      <c r="G2" s="10" t="s">
        <v>37</v>
      </c>
      <c r="H2" s="30"/>
      <c r="I2" s="30"/>
      <c r="J2" s="30"/>
      <c r="K2" s="30"/>
      <c r="L2" s="30"/>
      <c r="M2" s="30"/>
      <c r="N2" s="30"/>
      <c r="O2" s="30"/>
      <c r="P2" s="30"/>
      <c r="Q2" s="30"/>
      <c r="R2" s="30"/>
      <c r="S2" s="30"/>
      <c r="T2" s="30"/>
      <c r="U2" s="30"/>
      <c r="V2" s="30"/>
      <c r="W2" s="30"/>
      <c r="X2" s="30"/>
      <c r="Y2" s="30"/>
      <c r="Z2" s="30"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L2" sqref="L2"/>
    </sheetView>
  </sheetViews>
  <sheetFormatPr defaultRowHeight="16.5" x14ac:dyDescent="0.3"/>
  <cols>
    <col min="1" max="1" width="11.625" style="11" bestFit="1" customWidth="1"/>
    <col min="2" max="16384" width="9" style="11"/>
  </cols>
  <sheetData>
    <row r="1" spans="1:12" x14ac:dyDescent="0.3">
      <c r="K1" s="46">
        <v>1</v>
      </c>
      <c r="L1" s="46" t="s">
        <v>63</v>
      </c>
    </row>
    <row r="2" spans="1:12" x14ac:dyDescent="0.3">
      <c r="A2" s="11" t="s">
        <v>62</v>
      </c>
      <c r="L2" s="46" t="s">
        <v>64</v>
      </c>
    </row>
    <row r="3" spans="1:12" x14ac:dyDescent="0.3">
      <c r="L3" s="46" t="s">
        <v>65</v>
      </c>
    </row>
    <row r="4" spans="1:12" ht="37.5" x14ac:dyDescent="0.3">
      <c r="A4" s="14" t="s">
        <v>0</v>
      </c>
      <c r="B4" s="14" t="s">
        <v>1</v>
      </c>
      <c r="L4" s="46" t="s">
        <v>66</v>
      </c>
    </row>
    <row r="5" spans="1:12" ht="17.25" x14ac:dyDescent="0.3">
      <c r="A5" s="25"/>
      <c r="B5" s="22" t="s">
        <v>38</v>
      </c>
      <c r="L5" s="46" t="s">
        <v>67</v>
      </c>
    </row>
    <row r="6" spans="1:12" ht="17.25" x14ac:dyDescent="0.3">
      <c r="A6" s="25"/>
      <c r="B6" s="22" t="s">
        <v>34</v>
      </c>
    </row>
    <row r="7" spans="1:12" ht="17.25" x14ac:dyDescent="0.3">
      <c r="A7" s="25"/>
      <c r="B7" s="22" t="s">
        <v>39</v>
      </c>
    </row>
    <row r="8" spans="1:12" ht="17.25" x14ac:dyDescent="0.3">
      <c r="A8" s="25"/>
      <c r="B8" s="22" t="s">
        <v>40</v>
      </c>
    </row>
    <row r="9" spans="1:12" ht="17.25" x14ac:dyDescent="0.3">
      <c r="A9" s="25"/>
      <c r="B9" s="23" t="s">
        <v>41</v>
      </c>
    </row>
    <row r="10" spans="1:12" x14ac:dyDescent="0.3">
      <c r="A10" s="25"/>
      <c r="B10" s="25"/>
    </row>
    <row r="11" spans="1:12" ht="37.5" x14ac:dyDescent="0.3">
      <c r="A11" s="14" t="s">
        <v>7</v>
      </c>
      <c r="B11" s="14" t="s">
        <v>8</v>
      </c>
    </row>
    <row r="12" spans="1:12" x14ac:dyDescent="0.3">
      <c r="A12" s="15" t="s">
        <v>9</v>
      </c>
      <c r="B12" s="11" t="s">
        <v>60</v>
      </c>
    </row>
    <row r="13" spans="1:12" x14ac:dyDescent="0.3">
      <c r="A13" s="15" t="s">
        <v>10</v>
      </c>
      <c r="B13" s="11" t="s">
        <v>61</v>
      </c>
    </row>
    <row r="14" spans="1:12" ht="17.25" x14ac:dyDescent="0.3">
      <c r="A14" s="25"/>
      <c r="B14" s="12" t="s">
        <v>2</v>
      </c>
    </row>
    <row r="15" spans="1:12" ht="17.25" x14ac:dyDescent="0.3">
      <c r="A15" s="25"/>
      <c r="B15" s="12" t="s">
        <v>3</v>
      </c>
    </row>
    <row r="16" spans="1:12" ht="17.25" x14ac:dyDescent="0.3">
      <c r="A16" s="25"/>
      <c r="B16" s="12" t="s">
        <v>4</v>
      </c>
    </row>
    <row r="17" spans="1:2" ht="17.25" x14ac:dyDescent="0.3">
      <c r="A17" s="25"/>
      <c r="B17" s="12" t="s">
        <v>5</v>
      </c>
    </row>
    <row r="18" spans="1:2" ht="17.25" x14ac:dyDescent="0.3">
      <c r="A18" s="25"/>
      <c r="B18" s="13" t="s">
        <v>6</v>
      </c>
    </row>
    <row r="19" spans="1:2" x14ac:dyDescent="0.3">
      <c r="A19" s="25"/>
      <c r="B19" s="25"/>
    </row>
    <row r="20" spans="1:2" x14ac:dyDescent="0.3">
      <c r="A20" s="25"/>
      <c r="B20" s="25"/>
    </row>
    <row r="21" spans="1:2" x14ac:dyDescent="0.3">
      <c r="A21" s="25"/>
      <c r="B21" s="25"/>
    </row>
    <row r="22" spans="1:2" x14ac:dyDescent="0.3">
      <c r="A22" s="25"/>
      <c r="B22" s="25"/>
    </row>
    <row r="23" spans="1:2" x14ac:dyDescent="0.3">
      <c r="A23" s="25"/>
      <c r="B23" s="25"/>
    </row>
    <row r="24" spans="1:2" x14ac:dyDescent="0.3">
      <c r="A24" s="26"/>
      <c r="B24" s="25"/>
    </row>
    <row r="25" spans="1:2" x14ac:dyDescent="0.3">
      <c r="A25" s="27"/>
      <c r="B25" s="25"/>
    </row>
    <row r="26" spans="1:2" x14ac:dyDescent="0.3">
      <c r="A26" s="26"/>
      <c r="B26" s="25"/>
    </row>
    <row r="27" spans="1:2" x14ac:dyDescent="0.3">
      <c r="A27" s="27"/>
      <c r="B27" s="25"/>
    </row>
    <row r="28" spans="1:2" x14ac:dyDescent="0.3">
      <c r="A28" s="27"/>
      <c r="B28" s="25"/>
    </row>
    <row r="29" spans="1:2" x14ac:dyDescent="0.3">
      <c r="A29" s="27"/>
      <c r="B29" s="25"/>
    </row>
    <row r="30" spans="1:2" x14ac:dyDescent="0.3">
      <c r="A30" s="27"/>
      <c r="B30" s="25"/>
    </row>
    <row r="31" spans="1:2" x14ac:dyDescent="0.3">
      <c r="A31" s="26"/>
      <c r="B31" s="25"/>
    </row>
    <row r="32" spans="1:2" x14ac:dyDescent="0.3">
      <c r="A32" s="27"/>
      <c r="B32" s="25"/>
    </row>
    <row r="33" spans="1:2" x14ac:dyDescent="0.3">
      <c r="A33" s="27"/>
      <c r="B33" s="25"/>
    </row>
    <row r="34" spans="1:2" x14ac:dyDescent="0.3">
      <c r="A34" s="27"/>
      <c r="B34" s="25"/>
    </row>
    <row r="35" spans="1:2" x14ac:dyDescent="0.3">
      <c r="A35" s="27"/>
      <c r="B35" s="25"/>
    </row>
    <row r="36" spans="1:2" x14ac:dyDescent="0.3">
      <c r="A36" s="26"/>
      <c r="B36" s="25"/>
    </row>
    <row r="37" spans="1:2" x14ac:dyDescent="0.3">
      <c r="A37" s="28"/>
      <c r="B37" s="25"/>
    </row>
    <row r="38" spans="1:2" x14ac:dyDescent="0.3">
      <c r="A38" s="29"/>
      <c r="B38" s="25"/>
    </row>
    <row r="39" spans="1:2" x14ac:dyDescent="0.3">
      <c r="A39" s="28"/>
      <c r="B39" s="25"/>
    </row>
    <row r="40" spans="1:2" x14ac:dyDescent="0.3">
      <c r="A40" s="29"/>
      <c r="B40" s="25"/>
    </row>
    <row r="41" spans="1:2" x14ac:dyDescent="0.3">
      <c r="A41" s="28"/>
      <c r="B41" s="25"/>
    </row>
    <row r="42" spans="1:2" x14ac:dyDescent="0.3">
      <c r="A42" s="29"/>
      <c r="B42" s="25"/>
    </row>
    <row r="43" spans="1:2" x14ac:dyDescent="0.3">
      <c r="A43" s="28"/>
      <c r="B43" s="25"/>
    </row>
    <row r="44" spans="1:2" x14ac:dyDescent="0.3">
      <c r="A44" s="29"/>
      <c r="B44" s="25"/>
    </row>
    <row r="45" spans="1:2" x14ac:dyDescent="0.3">
      <c r="A45" s="28"/>
      <c r="B45" s="25"/>
    </row>
    <row r="46" spans="1:2" x14ac:dyDescent="0.3">
      <c r="A46" s="29"/>
      <c r="B46" s="25"/>
    </row>
    <row r="47" spans="1:2" x14ac:dyDescent="0.3">
      <c r="A47" s="27"/>
      <c r="B47" s="25"/>
    </row>
    <row r="48" spans="1:2" x14ac:dyDescent="0.3">
      <c r="A48" s="27"/>
      <c r="B48" s="25"/>
    </row>
    <row r="49" spans="1:2" x14ac:dyDescent="0.3">
      <c r="A49" s="27"/>
      <c r="B49" s="25"/>
    </row>
    <row r="50" spans="1:2" x14ac:dyDescent="0.3">
      <c r="A50" s="26"/>
      <c r="B50" s="25"/>
    </row>
    <row r="51" spans="1:2" x14ac:dyDescent="0.3">
      <c r="A51" s="27"/>
      <c r="B51" s="25"/>
    </row>
    <row r="52" spans="1:2" x14ac:dyDescent="0.3">
      <c r="A52" s="27"/>
      <c r="B52" s="25"/>
    </row>
    <row r="53" spans="1:2" x14ac:dyDescent="0.3">
      <c r="A53" s="27"/>
      <c r="B53" s="25"/>
    </row>
    <row r="54" spans="1:2" x14ac:dyDescent="0.3">
      <c r="A54" s="27"/>
      <c r="B54" s="25"/>
    </row>
    <row r="55" spans="1:2" x14ac:dyDescent="0.3">
      <c r="A55" s="26"/>
      <c r="B55" s="25"/>
    </row>
    <row r="56" spans="1:2" x14ac:dyDescent="0.3">
      <c r="A56" s="28"/>
      <c r="B56" s="25"/>
    </row>
    <row r="57" spans="1:2" x14ac:dyDescent="0.3">
      <c r="A57" s="28"/>
      <c r="B57" s="25"/>
    </row>
    <row r="58" spans="1:2" x14ac:dyDescent="0.3">
      <c r="A58" s="28"/>
      <c r="B58" s="25"/>
    </row>
    <row r="59" spans="1:2" x14ac:dyDescent="0.3">
      <c r="A59" s="28"/>
      <c r="B59" s="25"/>
    </row>
    <row r="60" spans="1:2" x14ac:dyDescent="0.3">
      <c r="A60" s="27"/>
      <c r="B60" s="25"/>
    </row>
    <row r="61" spans="1:2" x14ac:dyDescent="0.3">
      <c r="A61" s="27"/>
      <c r="B61" s="25"/>
    </row>
    <row r="62" spans="1:2" x14ac:dyDescent="0.3">
      <c r="A62" s="27"/>
      <c r="B62" s="25"/>
    </row>
    <row r="63" spans="1:2" x14ac:dyDescent="0.3">
      <c r="A63" s="26"/>
      <c r="B63" s="25"/>
    </row>
    <row r="64" spans="1:2" x14ac:dyDescent="0.3">
      <c r="A64" s="27"/>
      <c r="B64" s="25"/>
    </row>
    <row r="65" spans="1:2" x14ac:dyDescent="0.3">
      <c r="A65" s="27"/>
      <c r="B65" s="25"/>
    </row>
    <row r="66" spans="1:2" x14ac:dyDescent="0.3">
      <c r="A66" s="27"/>
      <c r="B66" s="25"/>
    </row>
    <row r="67" spans="1:2" x14ac:dyDescent="0.3">
      <c r="A67" s="27"/>
      <c r="B67" s="25"/>
    </row>
    <row r="68" spans="1:2" x14ac:dyDescent="0.3">
      <c r="A68" s="26"/>
      <c r="B68" s="25"/>
    </row>
    <row r="69" spans="1:2" x14ac:dyDescent="0.3">
      <c r="A69" s="28"/>
      <c r="B69" s="25"/>
    </row>
    <row r="70" spans="1:2" x14ac:dyDescent="0.3">
      <c r="A70" s="28"/>
      <c r="B70" s="25"/>
    </row>
    <row r="71" spans="1:2" x14ac:dyDescent="0.3">
      <c r="A71" s="28"/>
      <c r="B71" s="25"/>
    </row>
    <row r="72" spans="1:2" x14ac:dyDescent="0.3">
      <c r="A72" s="28"/>
      <c r="B72" s="25"/>
    </row>
    <row r="73" spans="1:2" x14ac:dyDescent="0.3">
      <c r="A73" s="28"/>
      <c r="B73" s="25"/>
    </row>
    <row r="74" spans="1:2" x14ac:dyDescent="0.3">
      <c r="A74" s="28"/>
      <c r="B74" s="25"/>
    </row>
    <row r="75" spans="1:2" x14ac:dyDescent="0.3">
      <c r="A75" s="27"/>
      <c r="B75" s="25"/>
    </row>
    <row r="76" spans="1:2" x14ac:dyDescent="0.3">
      <c r="A76" s="26"/>
      <c r="B76" s="25"/>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tint="0.79998168889431442"/>
    <outlinePr summaryRight="0"/>
  </sheetPr>
  <dimension ref="A1:Q65"/>
  <sheetViews>
    <sheetView showGridLines="0" zoomScaleNormal="100" workbookViewId="0">
      <selection activeCell="T9" sqref="T9"/>
    </sheetView>
  </sheetViews>
  <sheetFormatPr defaultRowHeight="18" customHeight="1" outlineLevelRow="1" outlineLevelCol="1" x14ac:dyDescent="0.15"/>
  <cols>
    <col min="1" max="1" width="1.25" style="1" customWidth="1" collapsed="1"/>
    <col min="2" max="2" width="30.75" style="1" hidden="1" customWidth="1" outlineLevel="1"/>
    <col min="3" max="3" width="14" style="1" hidden="1" customWidth="1" outlineLevel="1"/>
    <col min="4" max="4" width="1.25" style="1" hidden="1" customWidth="1" outlineLevel="1"/>
    <col min="5" max="5" width="27.25" style="1" hidden="1" customWidth="1" outlineLevel="1"/>
    <col min="6" max="6" width="16.75" style="1" hidden="1" customWidth="1" outlineLevel="1"/>
    <col min="7" max="7" width="1.25" style="1" customWidth="1"/>
    <col min="8" max="8" width="9.375" style="1" bestFit="1" customWidth="1"/>
    <col min="9" max="9" width="9.375" style="1" customWidth="1"/>
    <col min="10" max="10" width="14" style="1" bestFit="1" customWidth="1"/>
    <col min="11" max="11" width="14.625" style="6" bestFit="1" customWidth="1"/>
    <col min="12" max="12" width="1.25" style="1" customWidth="1"/>
    <col min="13" max="13" width="9" style="1"/>
    <col min="14" max="14" width="10.875" style="1" customWidth="1"/>
    <col min="15" max="15" width="19.625" style="1" bestFit="1" customWidth="1"/>
    <col min="16" max="25" width="9" style="1"/>
    <col min="26" max="26" width="19.625" style="1" bestFit="1" customWidth="1"/>
    <col min="27" max="16384" width="9" style="1"/>
  </cols>
  <sheetData>
    <row r="1" spans="1:12" ht="18" customHeight="1" x14ac:dyDescent="0.3">
      <c r="A1" s="35">
        <v>1</v>
      </c>
      <c r="B1" s="35"/>
      <c r="C1" s="35"/>
      <c r="D1" s="35">
        <v>1</v>
      </c>
      <c r="E1" s="35"/>
      <c r="F1" s="35"/>
      <c r="G1" s="35">
        <v>1</v>
      </c>
      <c r="H1" s="24"/>
      <c r="I1" s="24"/>
      <c r="J1" s="24"/>
      <c r="K1" s="24"/>
      <c r="L1" s="35">
        <v>1</v>
      </c>
    </row>
    <row r="2" spans="1:12" ht="18" customHeight="1" x14ac:dyDescent="0.3">
      <c r="A2" s="35">
        <v>2</v>
      </c>
      <c r="B2" s="35"/>
      <c r="C2" s="35"/>
      <c r="D2" s="35">
        <v>2</v>
      </c>
      <c r="E2" s="35"/>
      <c r="F2" s="35"/>
      <c r="G2" s="35">
        <v>2</v>
      </c>
      <c r="H2" s="24"/>
      <c r="I2" s="24"/>
      <c r="J2" s="24"/>
      <c r="K2" s="24"/>
      <c r="L2" s="35">
        <v>2</v>
      </c>
    </row>
    <row r="3" spans="1:12" ht="18" customHeight="1" outlineLevel="1" x14ac:dyDescent="0.3">
      <c r="A3" s="35">
        <v>3</v>
      </c>
      <c r="B3" s="1" t="s">
        <v>11</v>
      </c>
      <c r="C3" s="35"/>
      <c r="D3" s="35">
        <v>3</v>
      </c>
      <c r="E3" s="35"/>
      <c r="F3" s="35"/>
      <c r="G3" s="35">
        <v>3</v>
      </c>
      <c r="H3" s="24"/>
      <c r="I3" s="24"/>
      <c r="J3" s="24"/>
      <c r="K3" s="24"/>
      <c r="L3" s="35">
        <v>3</v>
      </c>
    </row>
    <row r="4" spans="1:12" ht="18" customHeight="1" outlineLevel="1" x14ac:dyDescent="0.3">
      <c r="A4" s="35"/>
      <c r="B4" s="1" t="s">
        <v>49</v>
      </c>
      <c r="C4" s="35"/>
      <c r="D4" s="35"/>
      <c r="E4" s="35"/>
      <c r="F4" s="35"/>
      <c r="G4" s="35"/>
      <c r="H4" s="24"/>
      <c r="I4" s="24"/>
      <c r="J4" s="24"/>
      <c r="K4" s="24"/>
      <c r="L4" s="35"/>
    </row>
    <row r="5" spans="1:12" ht="18" customHeight="1" outlineLevel="1" x14ac:dyDescent="0.3">
      <c r="A5" s="35"/>
      <c r="B5" s="1" t="s">
        <v>53</v>
      </c>
      <c r="C5" s="35"/>
      <c r="D5" s="35"/>
      <c r="E5" s="35"/>
      <c r="F5" s="35"/>
      <c r="G5" s="35"/>
      <c r="H5" s="24"/>
      <c r="I5" s="24"/>
      <c r="J5" s="24"/>
      <c r="K5" s="24"/>
      <c r="L5" s="35"/>
    </row>
    <row r="6" spans="1:12" ht="18" customHeight="1" outlineLevel="1" x14ac:dyDescent="0.3">
      <c r="A6" s="35"/>
      <c r="B6" s="1" t="s">
        <v>16</v>
      </c>
      <c r="C6" s="35"/>
      <c r="D6" s="35"/>
      <c r="E6" s="35"/>
      <c r="F6" s="35"/>
      <c r="G6" s="35"/>
      <c r="H6" s="24"/>
      <c r="I6" s="24"/>
      <c r="J6" s="24"/>
      <c r="K6" s="24"/>
      <c r="L6" s="35"/>
    </row>
    <row r="7" spans="1:12" ht="18" customHeight="1" outlineLevel="1" x14ac:dyDescent="0.3">
      <c r="A7" s="35"/>
      <c r="B7" s="1" t="s">
        <v>50</v>
      </c>
      <c r="C7" s="35"/>
      <c r="D7" s="35"/>
      <c r="E7" s="35"/>
      <c r="F7" s="35"/>
      <c r="G7" s="35"/>
      <c r="H7" s="24"/>
      <c r="I7" s="24"/>
      <c r="J7" s="24"/>
      <c r="K7" s="24"/>
      <c r="L7" s="35"/>
    </row>
    <row r="8" spans="1:12" ht="18" customHeight="1" outlineLevel="1" x14ac:dyDescent="0.3">
      <c r="A8" s="35"/>
      <c r="B8" s="1" t="s">
        <v>51</v>
      </c>
      <c r="C8" s="35"/>
      <c r="D8" s="35"/>
      <c r="E8" s="35"/>
      <c r="F8" s="35"/>
      <c r="G8" s="35"/>
      <c r="H8" s="24"/>
      <c r="I8" s="24"/>
      <c r="J8" s="24"/>
      <c r="K8" s="24"/>
      <c r="L8" s="35"/>
    </row>
    <row r="9" spans="1:12" ht="18" customHeight="1" outlineLevel="1" x14ac:dyDescent="0.3">
      <c r="A9" s="35"/>
      <c r="B9" s="1" t="s">
        <v>13</v>
      </c>
      <c r="C9" s="35"/>
      <c r="D9" s="35"/>
      <c r="E9" s="35"/>
      <c r="F9" s="35"/>
      <c r="G9" s="35"/>
      <c r="H9" s="24"/>
      <c r="I9" s="24"/>
      <c r="J9" s="24"/>
      <c r="K9" s="24"/>
      <c r="L9" s="35"/>
    </row>
    <row r="10" spans="1:12" ht="18" customHeight="1" outlineLevel="1" x14ac:dyDescent="0.3">
      <c r="A10" s="35"/>
      <c r="B10" s="1" t="s">
        <v>14</v>
      </c>
      <c r="C10" s="35"/>
      <c r="D10" s="35"/>
      <c r="E10" s="35"/>
      <c r="F10" s="35"/>
      <c r="G10" s="35"/>
      <c r="H10" s="24"/>
      <c r="I10" s="24"/>
      <c r="J10" s="24"/>
      <c r="K10" s="24"/>
      <c r="L10" s="35"/>
    </row>
    <row r="11" spans="1:12" ht="18" customHeight="1" outlineLevel="1" x14ac:dyDescent="0.3">
      <c r="A11" s="35"/>
      <c r="B11" s="1" t="s">
        <v>15</v>
      </c>
      <c r="C11" s="35"/>
      <c r="D11" s="35"/>
      <c r="E11" s="35"/>
      <c r="F11" s="35"/>
      <c r="G11" s="35"/>
      <c r="H11" s="24"/>
      <c r="I11" s="24"/>
      <c r="J11" s="24"/>
      <c r="K11" s="24"/>
      <c r="L11" s="35"/>
    </row>
    <row r="12" spans="1:12" ht="18" customHeight="1" outlineLevel="1" x14ac:dyDescent="0.3">
      <c r="A12" s="35"/>
      <c r="B12" s="1" t="s">
        <v>17</v>
      </c>
      <c r="C12" s="35"/>
      <c r="D12" s="35"/>
      <c r="E12" s="35"/>
      <c r="F12" s="35"/>
      <c r="G12" s="35"/>
      <c r="H12" s="24"/>
      <c r="I12" s="24"/>
      <c r="J12" s="24"/>
      <c r="K12" s="24"/>
      <c r="L12" s="35"/>
    </row>
    <row r="13" spans="1:12" ht="18" customHeight="1" outlineLevel="1" x14ac:dyDescent="0.3">
      <c r="A13" s="35"/>
      <c r="B13" s="1" t="s">
        <v>52</v>
      </c>
      <c r="C13" s="35"/>
      <c r="D13" s="35"/>
      <c r="E13" s="35"/>
      <c r="F13" s="35"/>
      <c r="G13" s="35"/>
      <c r="H13" s="24"/>
      <c r="I13" s="24"/>
      <c r="J13" s="24"/>
      <c r="K13" s="24"/>
      <c r="L13" s="35"/>
    </row>
    <row r="14" spans="1:12" ht="18" customHeight="1" outlineLevel="1" x14ac:dyDescent="0.3">
      <c r="A14" s="35"/>
      <c r="B14" s="1" t="s">
        <v>12</v>
      </c>
      <c r="C14" s="35"/>
      <c r="D14" s="35"/>
      <c r="E14" s="35"/>
      <c r="F14" s="35"/>
      <c r="G14" s="35"/>
      <c r="H14" s="24"/>
      <c r="I14" s="24"/>
      <c r="J14" s="24"/>
      <c r="K14" s="24"/>
      <c r="L14" s="35"/>
    </row>
    <row r="15" spans="1:12" ht="18" customHeight="1" outlineLevel="1" x14ac:dyDescent="0.3">
      <c r="A15" s="35"/>
      <c r="B15" s="35"/>
      <c r="C15" s="35"/>
      <c r="D15" s="35"/>
      <c r="E15" s="35"/>
      <c r="F15" s="35"/>
      <c r="G15" s="35"/>
      <c r="H15" s="24"/>
      <c r="I15" s="24"/>
      <c r="J15" s="24"/>
      <c r="K15" s="24"/>
      <c r="L15" s="35"/>
    </row>
    <row r="16" spans="1:12" ht="18" customHeight="1" outlineLevel="1" x14ac:dyDescent="0.3">
      <c r="A16" s="35"/>
      <c r="B16" s="35"/>
      <c r="C16" s="35"/>
      <c r="D16" s="35"/>
      <c r="E16" s="35"/>
      <c r="F16" s="35"/>
      <c r="G16" s="35"/>
      <c r="H16" s="24"/>
      <c r="I16" s="24"/>
      <c r="J16" s="24"/>
      <c r="K16" s="24"/>
      <c r="L16" s="35"/>
    </row>
    <row r="17" spans="1:17" ht="18" customHeight="1" outlineLevel="1" x14ac:dyDescent="0.3">
      <c r="A17" s="35"/>
      <c r="B17" s="35"/>
      <c r="C17" s="35"/>
      <c r="D17" s="35"/>
      <c r="E17" s="35"/>
      <c r="F17" s="35"/>
      <c r="G17" s="35"/>
      <c r="H17" s="24"/>
      <c r="I17" s="24"/>
      <c r="J17" s="24"/>
      <c r="K17" s="24"/>
      <c r="L17" s="35"/>
    </row>
    <row r="18" spans="1:17" ht="18" customHeight="1" outlineLevel="1" x14ac:dyDescent="0.3">
      <c r="A18" s="35"/>
      <c r="B18" s="35"/>
      <c r="C18" s="35"/>
      <c r="D18" s="35"/>
      <c r="E18" s="35"/>
      <c r="F18" s="35"/>
      <c r="G18" s="35"/>
      <c r="H18" s="24"/>
      <c r="I18" s="24"/>
      <c r="J18" s="24"/>
      <c r="K18" s="24"/>
      <c r="L18" s="35"/>
    </row>
    <row r="19" spans="1:17" ht="18" customHeight="1" outlineLevel="1" x14ac:dyDescent="0.3">
      <c r="A19" s="35"/>
      <c r="B19" s="35"/>
      <c r="C19" s="35"/>
      <c r="D19" s="35"/>
      <c r="E19" s="35"/>
      <c r="F19" s="35"/>
      <c r="G19" s="35"/>
      <c r="H19" s="24"/>
      <c r="I19" s="24"/>
      <c r="J19" s="24"/>
      <c r="K19" s="24"/>
      <c r="L19" s="35"/>
    </row>
    <row r="20" spans="1:17" ht="18" customHeight="1" outlineLevel="1" x14ac:dyDescent="0.3">
      <c r="A20" s="35"/>
      <c r="B20" s="35"/>
      <c r="C20" s="35"/>
      <c r="D20" s="35"/>
      <c r="E20" s="35"/>
      <c r="F20" s="35"/>
      <c r="G20" s="35"/>
      <c r="H20" s="24"/>
      <c r="I20" s="24"/>
      <c r="J20" s="24"/>
      <c r="K20" s="24"/>
      <c r="L20" s="35"/>
    </row>
    <row r="21" spans="1:17" ht="18" customHeight="1" outlineLevel="1" x14ac:dyDescent="0.3">
      <c r="A21" s="35"/>
      <c r="B21" s="35"/>
      <c r="C21" s="35"/>
      <c r="D21" s="35"/>
      <c r="E21" s="35"/>
      <c r="F21" s="35"/>
      <c r="G21" s="35"/>
      <c r="H21" s="24"/>
      <c r="I21" s="24"/>
      <c r="J21" s="24"/>
      <c r="K21" s="24"/>
      <c r="L21" s="35"/>
    </row>
    <row r="22" spans="1:17" ht="16.5" x14ac:dyDescent="0.3">
      <c r="A22" s="24"/>
      <c r="B22" s="43" t="s">
        <v>56</v>
      </c>
      <c r="C22" t="s">
        <v>58</v>
      </c>
      <c r="D22" s="24"/>
      <c r="E22" s="43" t="s">
        <v>56</v>
      </c>
      <c r="F22" t="s">
        <v>59</v>
      </c>
      <c r="G22" s="24"/>
      <c r="H22" s="3" t="s">
        <v>18</v>
      </c>
      <c r="I22" s="3" t="s">
        <v>54</v>
      </c>
      <c r="J22" s="4" t="s">
        <v>19</v>
      </c>
      <c r="K22" s="4" t="s">
        <v>42</v>
      </c>
      <c r="L22" s="24"/>
      <c r="M22" s="7" t="s">
        <v>20</v>
      </c>
      <c r="N22" s="7" t="s">
        <v>21</v>
      </c>
      <c r="O22" s="1" t="s">
        <v>55</v>
      </c>
      <c r="P22" s="7" t="s">
        <v>18</v>
      </c>
      <c r="Q22" s="7" t="s">
        <v>22</v>
      </c>
    </row>
    <row r="23" spans="1:17" s="9" customFormat="1" ht="16.5" x14ac:dyDescent="0.3">
      <c r="A23" s="24"/>
      <c r="B23" s="10" t="s">
        <v>49</v>
      </c>
      <c r="C23" s="45">
        <v>313647</v>
      </c>
      <c r="D23" s="24"/>
      <c r="E23" s="10" t="s">
        <v>17</v>
      </c>
      <c r="F23" s="45">
        <v>-3620946</v>
      </c>
      <c r="G23" s="24"/>
      <c r="H23" s="31" t="s">
        <v>43</v>
      </c>
      <c r="I23" s="24" t="str">
        <f>INDEX(
Table_ThuChiKD[],
MATCH(Table_PhaiTra[[#This Row],[Đối tác]],Table_ThuChiKD[Đối tác],0),
3)</f>
        <v>Chi phí Hàng hóa, nguyên liệu</v>
      </c>
      <c r="J23" s="37"/>
      <c r="K23" s="2" cm="1">
        <f t="array" ref="K23">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313647</v>
      </c>
      <c r="L23" s="24"/>
      <c r="M23" s="36">
        <v>45801</v>
      </c>
      <c r="N23" s="38" t="s">
        <v>47</v>
      </c>
      <c r="O23" s="38" t="s">
        <v>51</v>
      </c>
      <c r="P23" s="38" t="s">
        <v>44</v>
      </c>
      <c r="Q23" s="39">
        <v>570499</v>
      </c>
    </row>
    <row r="24" spans="1:17" s="5" customFormat="1" ht="16.5" x14ac:dyDescent="0.3">
      <c r="A24" s="33"/>
      <c r="B24" s="44" t="s">
        <v>43</v>
      </c>
      <c r="C24" s="45">
        <v>313647</v>
      </c>
      <c r="D24" s="33"/>
      <c r="E24" s="44" t="s">
        <v>45</v>
      </c>
      <c r="F24" s="45">
        <v>-3620946</v>
      </c>
      <c r="G24" s="33"/>
      <c r="H24" s="31" t="s">
        <v>44</v>
      </c>
      <c r="I24" s="24" t="str">
        <f>INDEX(
Table_ThuChiKD[],
MATCH(Table_PhaiTra[[#This Row],[Đối tác]],Table_ThuChiKD[Đối tác],0),
3)</f>
        <v>Chi phí Nhân sự</v>
      </c>
      <c r="J24" s="40"/>
      <c r="K24" s="2" cm="1">
        <f t="array" ref="K24">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570499</v>
      </c>
      <c r="L24" s="33"/>
      <c r="M24" s="36">
        <v>45793</v>
      </c>
      <c r="N24" s="38" t="s">
        <v>47</v>
      </c>
      <c r="O24" s="38" t="s">
        <v>14</v>
      </c>
      <c r="P24" s="38" t="s">
        <v>46</v>
      </c>
      <c r="Q24" s="39">
        <v>130323</v>
      </c>
    </row>
    <row r="25" spans="1:17" ht="16.5" x14ac:dyDescent="0.3">
      <c r="A25" s="24"/>
      <c r="B25" s="10" t="s">
        <v>51</v>
      </c>
      <c r="C25" s="45">
        <v>570499</v>
      </c>
      <c r="D25" s="24"/>
      <c r="E25" s="10" t="s">
        <v>14</v>
      </c>
      <c r="F25" s="45">
        <v>-1528609</v>
      </c>
      <c r="G25" s="24"/>
      <c r="H25" s="31" t="s">
        <v>45</v>
      </c>
      <c r="I25" s="24" t="str">
        <f>INDEX(
Table_ThuChiKD[],
MATCH(Table_PhaiTra[[#This Row],[Đối tác]],Table_ThuChiKD[Đối tác],0),
3)</f>
        <v>Chi phí Dịch vụ văn phòng</v>
      </c>
      <c r="J25" s="40"/>
      <c r="K25" s="2" cm="1">
        <f t="array" ref="K25">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-3620946</v>
      </c>
      <c r="L25" s="24"/>
      <c r="M25" s="36">
        <v>45789</v>
      </c>
      <c r="N25" s="38" t="s">
        <v>47</v>
      </c>
      <c r="O25" s="38" t="s">
        <v>49</v>
      </c>
      <c r="P25" s="38" t="s">
        <v>43</v>
      </c>
      <c r="Q25" s="39">
        <v>688911</v>
      </c>
    </row>
    <row r="26" spans="1:17" s="5" customFormat="1" ht="16.5" x14ac:dyDescent="0.3">
      <c r="A26" s="33"/>
      <c r="B26" s="44" t="s">
        <v>44</v>
      </c>
      <c r="C26" s="45">
        <v>570499</v>
      </c>
      <c r="D26" s="33"/>
      <c r="E26" s="44" t="s">
        <v>46</v>
      </c>
      <c r="F26" s="45">
        <v>-1528609</v>
      </c>
      <c r="G26" s="33"/>
      <c r="H26" s="31" t="s">
        <v>46</v>
      </c>
      <c r="I26" s="24" t="str">
        <f>INDEX(
Table_ThuChiKD[],
MATCH(Table_PhaiTra[[#This Row],[Đối tác]],Table_ThuChiKD[Đối tác],0),
3)</f>
        <v>Chi phí Marketing</v>
      </c>
      <c r="J26" s="40"/>
      <c r="K26" s="2" cm="1">
        <f t="array" ref="K26">Table_PhaiTra[[#This Row],[Dư nợ đầu kỳ]]
+IFERROR(
SUM(_xlfn._xlws.FILTER(Table_ThuChiKD[Giá trị GD],
(Table_ThuChiKD[Đối tác] = Table_PhaiTra[[#This Row],[Đối tác]])*
(Table_ThuChiKD[Loại GD] = "Phát sinh phải trả")
)),0)
-IFERROR(
SUM(_xlfn._xlws.FILTER(Table_ThuChiKD[Giá trị GD],
(Table_ThuChiKD[Đối tác] = Table_PhaiTra[[#This Row],[Đối tác]])*
(Table_ThuChiKD[Loại GD] = "Chi trả chi phí")
)),0)</f>
        <v>-1528609</v>
      </c>
      <c r="L26" s="33"/>
      <c r="M26" s="36">
        <v>45788</v>
      </c>
      <c r="N26" s="38" t="s">
        <v>48</v>
      </c>
      <c r="O26" s="38" t="s">
        <v>14</v>
      </c>
      <c r="P26" s="38" t="s">
        <v>46</v>
      </c>
      <c r="Q26" s="39">
        <v>262050</v>
      </c>
    </row>
    <row r="27" spans="1:17" ht="16.5" x14ac:dyDescent="0.3">
      <c r="A27" s="24"/>
      <c r="B27" s="10" t="s">
        <v>57</v>
      </c>
      <c r="C27" s="45">
        <v>884146</v>
      </c>
      <c r="D27" s="24"/>
      <c r="E27" s="10" t="s">
        <v>57</v>
      </c>
      <c r="F27" s="45">
        <v>-5149555</v>
      </c>
      <c r="G27" s="24"/>
      <c r="H27" s="24"/>
      <c r="I27" s="24"/>
      <c r="J27" s="24"/>
      <c r="K27" s="32"/>
      <c r="L27" s="24"/>
      <c r="M27" s="36">
        <v>45772</v>
      </c>
      <c r="N27" s="38" t="s">
        <v>48</v>
      </c>
      <c r="O27" s="38" t="s">
        <v>14</v>
      </c>
      <c r="P27" s="38" t="s">
        <v>46</v>
      </c>
      <c r="Q27" s="39">
        <v>297051</v>
      </c>
    </row>
    <row r="28" spans="1:17" ht="16.5" x14ac:dyDescent="0.3">
      <c r="A28" s="24"/>
      <c r="B28"/>
      <c r="C28"/>
      <c r="D28" s="24"/>
      <c r="E28"/>
      <c r="F28"/>
      <c r="G28" s="24"/>
      <c r="H28" s="24"/>
      <c r="I28" s="24"/>
      <c r="J28" s="24"/>
      <c r="K28" s="32"/>
      <c r="L28" s="24"/>
      <c r="M28" s="36">
        <v>45771</v>
      </c>
      <c r="N28" s="38" t="s">
        <v>48</v>
      </c>
      <c r="O28" s="38" t="s">
        <v>17</v>
      </c>
      <c r="P28" s="38" t="s">
        <v>45</v>
      </c>
      <c r="Q28" s="39">
        <v>621443</v>
      </c>
    </row>
    <row r="29" spans="1:17" s="8" customFormat="1" ht="16.5" x14ac:dyDescent="0.3">
      <c r="A29" s="34"/>
      <c r="B29"/>
      <c r="C29"/>
      <c r="D29" s="34"/>
      <c r="E29"/>
      <c r="F29"/>
      <c r="G29" s="34"/>
      <c r="H29" s="24"/>
      <c r="I29" s="24"/>
      <c r="J29" s="24"/>
      <c r="K29" s="32"/>
      <c r="L29" s="34"/>
      <c r="M29" s="36">
        <v>45770</v>
      </c>
      <c r="N29" s="24" t="s">
        <v>47</v>
      </c>
      <c r="O29" s="38" t="s">
        <v>14</v>
      </c>
      <c r="P29" s="24" t="s">
        <v>46</v>
      </c>
      <c r="Q29" s="42">
        <v>488711</v>
      </c>
    </row>
    <row r="30" spans="1:17" ht="16.5" x14ac:dyDescent="0.3">
      <c r="B30"/>
      <c r="C30"/>
      <c r="E30"/>
      <c r="F30"/>
      <c r="H30" s="24"/>
      <c r="I30" s="24"/>
      <c r="J30" s="24"/>
      <c r="K30" s="32"/>
      <c r="M30" s="36">
        <v>45765</v>
      </c>
      <c r="N30" s="38" t="s">
        <v>48</v>
      </c>
      <c r="O30" s="38" t="s">
        <v>14</v>
      </c>
      <c r="P30" s="38" t="s">
        <v>46</v>
      </c>
      <c r="Q30" s="39">
        <v>412873</v>
      </c>
    </row>
    <row r="31" spans="1:17" ht="16.5" x14ac:dyDescent="0.3">
      <c r="B31"/>
      <c r="C31"/>
      <c r="E31"/>
      <c r="F31"/>
      <c r="H31" s="24"/>
      <c r="I31" s="24"/>
      <c r="J31" s="24"/>
      <c r="K31" s="32"/>
      <c r="M31" s="36">
        <v>45762</v>
      </c>
      <c r="N31" s="38" t="s">
        <v>47</v>
      </c>
      <c r="O31" s="38" t="s">
        <v>14</v>
      </c>
      <c r="P31" s="38" t="s">
        <v>46</v>
      </c>
      <c r="Q31" s="39">
        <v>334799</v>
      </c>
    </row>
    <row r="32" spans="1:17" ht="16.5" x14ac:dyDescent="0.3">
      <c r="B32"/>
      <c r="C32"/>
      <c r="E32"/>
      <c r="F32"/>
      <c r="H32" s="24"/>
      <c r="I32" s="24"/>
      <c r="J32" s="24"/>
      <c r="K32" s="32"/>
      <c r="M32" s="36">
        <v>45762</v>
      </c>
      <c r="N32" s="38" t="s">
        <v>47</v>
      </c>
      <c r="O32" s="38" t="s">
        <v>49</v>
      </c>
      <c r="P32" s="38" t="s">
        <v>43</v>
      </c>
      <c r="Q32" s="39">
        <v>586503</v>
      </c>
    </row>
    <row r="33" spans="2:17" ht="16.5" x14ac:dyDescent="0.3">
      <c r="B33"/>
      <c r="C33"/>
      <c r="E33"/>
      <c r="F33"/>
      <c r="H33" s="24"/>
      <c r="I33" s="24"/>
      <c r="J33" s="24"/>
      <c r="K33" s="32"/>
      <c r="M33" s="36">
        <v>45760</v>
      </c>
      <c r="N33" s="38" t="s">
        <v>48</v>
      </c>
      <c r="O33" s="38" t="s">
        <v>14</v>
      </c>
      <c r="P33" s="38" t="s">
        <v>46</v>
      </c>
      <c r="Q33" s="39">
        <v>918607</v>
      </c>
    </row>
    <row r="34" spans="2:17" ht="16.5" x14ac:dyDescent="0.3">
      <c r="B34"/>
      <c r="C34"/>
      <c r="E34"/>
      <c r="F34"/>
      <c r="H34" s="24"/>
      <c r="I34" s="24"/>
      <c r="J34" s="24"/>
      <c r="K34" s="32"/>
      <c r="M34" s="36">
        <v>45746</v>
      </c>
      <c r="N34" s="38" t="s">
        <v>48</v>
      </c>
      <c r="O34" s="38" t="s">
        <v>17</v>
      </c>
      <c r="P34" s="38" t="s">
        <v>45</v>
      </c>
      <c r="Q34" s="39">
        <v>579500</v>
      </c>
    </row>
    <row r="35" spans="2:17" ht="16.5" x14ac:dyDescent="0.3">
      <c r="B35"/>
      <c r="C35"/>
      <c r="E35"/>
      <c r="F35"/>
      <c r="H35" s="24"/>
      <c r="I35" s="24"/>
      <c r="J35" s="24"/>
      <c r="K35" s="32"/>
      <c r="M35" s="36">
        <v>45746</v>
      </c>
      <c r="N35" s="38" t="s">
        <v>47</v>
      </c>
      <c r="O35" s="38" t="s">
        <v>14</v>
      </c>
      <c r="P35" s="38" t="s">
        <v>46</v>
      </c>
      <c r="Q35" s="39">
        <v>508561</v>
      </c>
    </row>
    <row r="36" spans="2:17" ht="16.5" x14ac:dyDescent="0.3">
      <c r="B36"/>
      <c r="C36"/>
      <c r="E36"/>
      <c r="F36"/>
      <c r="H36" s="24"/>
      <c r="I36" s="24"/>
      <c r="J36" s="24"/>
      <c r="K36" s="32"/>
      <c r="M36" s="36">
        <v>45745</v>
      </c>
      <c r="N36" s="38" t="s">
        <v>48</v>
      </c>
      <c r="O36" s="38" t="s">
        <v>14</v>
      </c>
      <c r="P36" s="38" t="s">
        <v>46</v>
      </c>
      <c r="Q36" s="39">
        <v>975023</v>
      </c>
    </row>
    <row r="37" spans="2:17" ht="16.5" x14ac:dyDescent="0.3">
      <c r="B37"/>
      <c r="C37"/>
      <c r="E37"/>
      <c r="F37"/>
      <c r="H37" s="24"/>
      <c r="I37" s="24"/>
      <c r="J37" s="24"/>
      <c r="K37" s="32"/>
      <c r="M37" s="36">
        <v>45743</v>
      </c>
      <c r="N37" s="38" t="s">
        <v>48</v>
      </c>
      <c r="O37" s="38" t="s">
        <v>14</v>
      </c>
      <c r="P37" s="38" t="s">
        <v>46</v>
      </c>
      <c r="Q37" s="39">
        <v>159271</v>
      </c>
    </row>
    <row r="38" spans="2:17" ht="16.5" x14ac:dyDescent="0.3">
      <c r="B38"/>
      <c r="C38"/>
      <c r="E38"/>
      <c r="F38"/>
      <c r="H38" s="24"/>
      <c r="I38" s="24"/>
      <c r="J38" s="24"/>
      <c r="K38" s="32"/>
      <c r="M38" s="36">
        <v>45742</v>
      </c>
      <c r="N38" s="38" t="s">
        <v>48</v>
      </c>
      <c r="O38" s="38" t="s">
        <v>17</v>
      </c>
      <c r="P38" s="38" t="s">
        <v>45</v>
      </c>
      <c r="Q38" s="39">
        <v>510837</v>
      </c>
    </row>
    <row r="39" spans="2:17" ht="16.5" x14ac:dyDescent="0.3">
      <c r="B39"/>
      <c r="C39"/>
      <c r="E39"/>
      <c r="F39"/>
      <c r="H39" s="24"/>
      <c r="I39" s="24"/>
      <c r="J39" s="24"/>
      <c r="K39" s="32"/>
      <c r="M39" s="36">
        <v>45739</v>
      </c>
      <c r="N39" s="38" t="s">
        <v>48</v>
      </c>
      <c r="O39" s="38" t="s">
        <v>14</v>
      </c>
      <c r="P39" s="38" t="s">
        <v>46</v>
      </c>
      <c r="Q39" s="39">
        <v>578253</v>
      </c>
    </row>
    <row r="40" spans="2:17" ht="18" customHeight="1" x14ac:dyDescent="0.15">
      <c r="H40" s="24"/>
      <c r="I40" s="24"/>
      <c r="J40" s="24"/>
      <c r="K40" s="32"/>
      <c r="M40" s="36">
        <v>45736</v>
      </c>
      <c r="N40" s="38" t="s">
        <v>48</v>
      </c>
      <c r="O40" s="38" t="s">
        <v>17</v>
      </c>
      <c r="P40" s="38" t="s">
        <v>45</v>
      </c>
      <c r="Q40" s="39">
        <v>981875</v>
      </c>
    </row>
    <row r="41" spans="2:17" ht="18" customHeight="1" x14ac:dyDescent="0.15">
      <c r="H41" s="24"/>
      <c r="I41" s="24"/>
      <c r="J41" s="24"/>
      <c r="K41" s="32"/>
      <c r="M41" s="36">
        <v>45730</v>
      </c>
      <c r="N41" s="38" t="s">
        <v>48</v>
      </c>
      <c r="O41" s="38" t="s">
        <v>49</v>
      </c>
      <c r="P41" s="38" t="s">
        <v>43</v>
      </c>
      <c r="Q41" s="39">
        <v>573327</v>
      </c>
    </row>
    <row r="42" spans="2:17" ht="18" customHeight="1" x14ac:dyDescent="0.15">
      <c r="H42" s="24"/>
      <c r="I42" s="24"/>
      <c r="J42" s="24"/>
      <c r="K42" s="32"/>
      <c r="M42" s="36">
        <v>45727</v>
      </c>
      <c r="N42" s="38" t="s">
        <v>48</v>
      </c>
      <c r="O42" s="38" t="s">
        <v>17</v>
      </c>
      <c r="P42" s="38" t="s">
        <v>45</v>
      </c>
      <c r="Q42" s="39">
        <v>927291</v>
      </c>
    </row>
    <row r="43" spans="2:17" ht="18" customHeight="1" x14ac:dyDescent="0.15">
      <c r="H43" s="24"/>
      <c r="I43" s="24"/>
      <c r="J43" s="24"/>
      <c r="K43" s="32"/>
      <c r="M43" s="36">
        <v>45726</v>
      </c>
      <c r="N43" s="38" t="s">
        <v>47</v>
      </c>
      <c r="O43" s="38" t="s">
        <v>14</v>
      </c>
      <c r="P43" s="38" t="s">
        <v>46</v>
      </c>
      <c r="Q43" s="41">
        <v>612125</v>
      </c>
    </row>
    <row r="44" spans="2:17" ht="18" customHeight="1" x14ac:dyDescent="0.15">
      <c r="H44" s="24"/>
      <c r="I44" s="24"/>
      <c r="J44" s="24"/>
      <c r="K44" s="32"/>
      <c r="M44" s="36">
        <v>45726</v>
      </c>
      <c r="N44" s="38" t="s">
        <v>47</v>
      </c>
      <c r="O44" s="38" t="s">
        <v>49</v>
      </c>
      <c r="P44" s="38" t="s">
        <v>43</v>
      </c>
      <c r="Q44" s="39">
        <v>349169</v>
      </c>
    </row>
    <row r="45" spans="2:17" ht="18" customHeight="1" x14ac:dyDescent="0.15">
      <c r="H45" s="24"/>
      <c r="I45" s="24"/>
      <c r="J45" s="24"/>
      <c r="K45" s="32"/>
      <c r="M45" s="36">
        <v>45720</v>
      </c>
      <c r="N45" s="38" t="s">
        <v>48</v>
      </c>
      <c r="O45" s="38" t="s">
        <v>49</v>
      </c>
      <c r="P45" s="38" t="s">
        <v>43</v>
      </c>
      <c r="Q45" s="39">
        <v>737609</v>
      </c>
    </row>
    <row r="46" spans="2:17" ht="18" customHeight="1" x14ac:dyDescent="0.15">
      <c r="H46" s="24"/>
      <c r="I46" s="24"/>
      <c r="J46" s="24"/>
      <c r="K46" s="32"/>
    </row>
    <row r="47" spans="2:17" ht="18" customHeight="1" x14ac:dyDescent="0.15">
      <c r="H47" s="24"/>
      <c r="I47" s="24"/>
      <c r="J47" s="24"/>
      <c r="K47" s="32"/>
    </row>
    <row r="48" spans="2:17" ht="18" customHeight="1" x14ac:dyDescent="0.15">
      <c r="H48" s="24"/>
      <c r="I48" s="24"/>
      <c r="J48" s="24"/>
      <c r="K48" s="32"/>
    </row>
    <row r="49" spans="8:11" ht="18" customHeight="1" x14ac:dyDescent="0.15">
      <c r="H49" s="24"/>
      <c r="I49" s="24"/>
      <c r="J49" s="24"/>
      <c r="K49" s="32"/>
    </row>
    <row r="50" spans="8:11" ht="18" customHeight="1" x14ac:dyDescent="0.15">
      <c r="H50" s="24"/>
      <c r="I50" s="24"/>
      <c r="J50" s="24"/>
      <c r="K50" s="32"/>
    </row>
    <row r="51" spans="8:11" ht="18" customHeight="1" x14ac:dyDescent="0.15">
      <c r="H51" s="24"/>
      <c r="I51" s="24"/>
      <c r="J51" s="24"/>
      <c r="K51" s="32"/>
    </row>
    <row r="52" spans="8:11" ht="18" customHeight="1" x14ac:dyDescent="0.15">
      <c r="H52" s="24"/>
      <c r="I52" s="24"/>
      <c r="J52" s="24"/>
      <c r="K52" s="32"/>
    </row>
    <row r="53" spans="8:11" ht="18" customHeight="1" x14ac:dyDescent="0.15">
      <c r="H53" s="24"/>
      <c r="I53" s="24"/>
      <c r="J53" s="24"/>
      <c r="K53" s="32"/>
    </row>
    <row r="54" spans="8:11" ht="18" customHeight="1" x14ac:dyDescent="0.15">
      <c r="H54" s="24"/>
      <c r="I54" s="24"/>
      <c r="J54" s="24"/>
      <c r="K54" s="32"/>
    </row>
    <row r="55" spans="8:11" ht="18" customHeight="1" x14ac:dyDescent="0.15">
      <c r="H55" s="24"/>
      <c r="I55" s="24"/>
      <c r="J55" s="24"/>
      <c r="K55" s="32"/>
    </row>
    <row r="56" spans="8:11" ht="18" customHeight="1" x14ac:dyDescent="0.15">
      <c r="H56" s="24"/>
      <c r="I56" s="24"/>
      <c r="J56" s="24"/>
      <c r="K56" s="32"/>
    </row>
    <row r="57" spans="8:11" ht="18" customHeight="1" x14ac:dyDescent="0.15">
      <c r="H57" s="24"/>
      <c r="I57" s="24"/>
      <c r="J57" s="24"/>
      <c r="K57" s="32"/>
    </row>
    <row r="58" spans="8:11" ht="18" customHeight="1" x14ac:dyDescent="0.15">
      <c r="H58" s="24"/>
      <c r="I58" s="24"/>
      <c r="J58" s="24"/>
      <c r="K58" s="32"/>
    </row>
    <row r="59" spans="8:11" ht="18" customHeight="1" x14ac:dyDescent="0.15">
      <c r="H59" s="24"/>
      <c r="I59" s="24"/>
      <c r="J59" s="24"/>
      <c r="K59" s="32"/>
    </row>
    <row r="60" spans="8:11" ht="18" customHeight="1" x14ac:dyDescent="0.15">
      <c r="H60" s="24"/>
      <c r="I60" s="24"/>
      <c r="J60" s="24"/>
      <c r="K60" s="32"/>
    </row>
    <row r="61" spans="8:11" ht="18" customHeight="1" x14ac:dyDescent="0.15">
      <c r="H61" s="24"/>
      <c r="I61" s="24"/>
      <c r="J61" s="24"/>
      <c r="K61" s="32"/>
    </row>
    <row r="62" spans="8:11" ht="18" customHeight="1" x14ac:dyDescent="0.15">
      <c r="H62" s="24"/>
      <c r="I62" s="24"/>
      <c r="J62" s="24"/>
      <c r="K62" s="32"/>
    </row>
    <row r="63" spans="8:11" ht="18" customHeight="1" x14ac:dyDescent="0.15">
      <c r="H63" s="24"/>
      <c r="I63" s="24"/>
      <c r="J63" s="24"/>
      <c r="K63" s="32"/>
    </row>
    <row r="64" spans="8:11" ht="18" customHeight="1" x14ac:dyDescent="0.15">
      <c r="H64" s="24"/>
      <c r="I64" s="24"/>
      <c r="J64" s="24"/>
      <c r="K64" s="32"/>
    </row>
    <row r="65" spans="8:11" ht="18" customHeight="1" x14ac:dyDescent="0.15">
      <c r="H65" s="24"/>
      <c r="I65" s="24"/>
      <c r="J65" s="24"/>
      <c r="K65" s="32"/>
    </row>
  </sheetData>
  <sheetProtection algorithmName="SHA-512" hashValue="pYxZGft4PysY+lGixafOtesWYG2FkoTUfYA/t/wjBpX5HzvTj8q3lIUbWmIaP+R92HhzlnBg2TTgh81vItooMw==" saltValue="fAG674DwjW2xUnPkn7Ny+g==" spinCount="100000" sheet="1" scenarios="1" formatColumns="0" formatRows="0" autoFilter="0" pivotTables="0"/>
  <protectedRanges>
    <protectedRange sqref="K22:K23 H22:J22 H27:J1048576 M30:N30 AA22:XFD28 AA33:XFD37 M46:Q1048576 O1:O2 R22:Y28 R33:Y37 M39:N39 J23:J26 R38:XFD1048576 M34:N34 M33 M32:N32 M31 M40 M41:N45 P30:P34 P39:P45 P1:XFD21 M1:N21 O15:O21" name="Range1_69"/>
    <protectedRange sqref="AA29:XFD32 R29:Y32 M35:N38 P35:P38" name="Range1_4_13"/>
    <protectedRange sqref="H23:I26" name="Range1_69_5"/>
    <protectedRange sqref="Q30:Q45 M22:N29 N33 N31 N40 P22:Q29" name="Range1"/>
  </protectedRanges>
  <dataConsolidate link="1"/>
  <phoneticPr fontId="6" type="noConversion"/>
  <conditionalFormatting sqref="H23:I26">
    <cfRule type="duplicateValues" dxfId="19" priority="308"/>
  </conditionalFormatting>
  <dataValidations disablePrompts="1" count="2">
    <dataValidation type="list" allowBlank="1" showInputMessage="1" showErrorMessage="1" sqref="O23:O45" xr:uid="{DB1C6876-A521-45FF-B4DB-B2F543075A2C}">
      <formula1>NhomChiPhi</formula1>
    </dataValidation>
    <dataValidation type="list" allowBlank="1" showInputMessage="1" showErrorMessage="1" sqref="N23:N45" xr:uid="{691D3E39-A59A-401F-8C2A-B74E0B3196AE}">
      <formula1>"Phát sinh phải trả, Chi trả chi phí"</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5311" r:id="rId6" name="Button 15">
              <controlPr defaultSize="0" print="0" autoFill="0" autoPict="0" macro="[0]!AddRow">
                <anchor moveWithCells="1">
                  <from>
                    <xdr:col>12</xdr:col>
                    <xdr:colOff>333375</xdr:colOff>
                    <xdr:row>0</xdr:row>
                    <xdr:rowOff>85725</xdr:rowOff>
                  </from>
                  <to>
                    <xdr:col>13</xdr:col>
                    <xdr:colOff>123825</xdr:colOff>
                    <xdr:row>1</xdr:row>
                    <xdr:rowOff>114300</xdr:rowOff>
                  </to>
                </anchor>
              </controlPr>
            </control>
          </mc:Choice>
        </mc:AlternateContent>
        <mc:AlternateContent xmlns:mc="http://schemas.openxmlformats.org/markup-compatibility/2006">
          <mc:Choice Requires="x14">
            <control shapeId="55312" r:id="rId7" name="Button 16">
              <controlPr defaultSize="0" print="0" autoFill="0" autoPict="0" macro="[0]!DeleteRow">
                <anchor moveWithCells="1">
                  <from>
                    <xdr:col>13</xdr:col>
                    <xdr:colOff>161925</xdr:colOff>
                    <xdr:row>0</xdr:row>
                    <xdr:rowOff>85725</xdr:rowOff>
                  </from>
                  <to>
                    <xdr:col>13</xdr:col>
                    <xdr:colOff>638175</xdr:colOff>
                    <xdr:row>1</xdr:row>
                    <xdr:rowOff>114300</xdr:rowOff>
                  </to>
                </anchor>
              </controlPr>
            </control>
          </mc:Choice>
        </mc:AlternateContent>
        <mc:AlternateContent xmlns:mc="http://schemas.openxmlformats.org/markup-compatibility/2006">
          <mc:Choice Requires="x14">
            <control shapeId="55317" r:id="rId8" name="Option Button 21">
              <controlPr defaultSize="0" autoFill="0" autoLine="0" autoPict="0" macro="[0]!DoiDonViHienThi">
                <anchor moveWithCells="1">
                  <from>
                    <xdr:col>9</xdr:col>
                    <xdr:colOff>447675</xdr:colOff>
                    <xdr:row>0</xdr:row>
                    <xdr:rowOff>104775</xdr:rowOff>
                  </from>
                  <to>
                    <xdr:col>9</xdr:col>
                    <xdr:colOff>1038225</xdr:colOff>
                    <xdr:row>1</xdr:row>
                    <xdr:rowOff>152400</xdr:rowOff>
                  </to>
                </anchor>
              </controlPr>
            </control>
          </mc:Choice>
        </mc:AlternateContent>
        <mc:AlternateContent xmlns:mc="http://schemas.openxmlformats.org/markup-compatibility/2006">
          <mc:Choice Requires="x14">
            <control shapeId="55318" r:id="rId9" name="Option Button 22">
              <controlPr defaultSize="0" autoFill="0" autoLine="0" autoPict="0" macro="[0]!DoiDonViHienThi">
                <anchor moveWithCells="1">
                  <from>
                    <xdr:col>9</xdr:col>
                    <xdr:colOff>914400</xdr:colOff>
                    <xdr:row>0</xdr:row>
                    <xdr:rowOff>104775</xdr:rowOff>
                  </from>
                  <to>
                    <xdr:col>10</xdr:col>
                    <xdr:colOff>438150</xdr:colOff>
                    <xdr:row>1</xdr:row>
                    <xdr:rowOff>152400</xdr:rowOff>
                  </to>
                </anchor>
              </controlPr>
            </control>
          </mc:Choice>
        </mc:AlternateContent>
        <mc:AlternateContent xmlns:mc="http://schemas.openxmlformats.org/markup-compatibility/2006">
          <mc:Choice Requires="x14">
            <control shapeId="55319" r:id="rId10" name="Option Button 23">
              <controlPr defaultSize="0" autoFill="0" autoLine="0" autoPict="0" macro="[0]!DoiDonViHienThi">
                <anchor moveWithCells="1">
                  <from>
                    <xdr:col>10</xdr:col>
                    <xdr:colOff>314325</xdr:colOff>
                    <xdr:row>0</xdr:row>
                    <xdr:rowOff>104775</xdr:rowOff>
                  </from>
                  <to>
                    <xdr:col>10</xdr:col>
                    <xdr:colOff>904875</xdr:colOff>
                    <xdr:row>1</xdr:row>
                    <xdr:rowOff>152400</xdr:rowOff>
                  </to>
                </anchor>
              </controlPr>
            </control>
          </mc:Choice>
        </mc:AlternateContent>
        <mc:AlternateContent xmlns:mc="http://schemas.openxmlformats.org/markup-compatibility/2006">
          <mc:Choice Requires="x14">
            <control shapeId="55320" r:id="rId11" name="Option Button 24">
              <controlPr defaultSize="0" autoFill="0" autoLine="0" autoPict="0" macro="[0]!DoiDonViHienThi">
                <anchor moveWithCells="1">
                  <from>
                    <xdr:col>10</xdr:col>
                    <xdr:colOff>790575</xdr:colOff>
                    <xdr:row>0</xdr:row>
                    <xdr:rowOff>104775</xdr:rowOff>
                  </from>
                  <to>
                    <xdr:col>11</xdr:col>
                    <xdr:colOff>28575</xdr:colOff>
                    <xdr:row>1</xdr:row>
                    <xdr:rowOff>152400</xdr:rowOff>
                  </to>
                </anchor>
              </controlPr>
            </control>
          </mc:Choice>
        </mc:AlternateContent>
        <mc:AlternateContent xmlns:mc="http://schemas.openxmlformats.org/markup-compatibility/2006">
          <mc:Choice Requires="x14">
            <control shapeId="55321" r:id="rId12" name="Group Box 25">
              <controlPr defaultSize="0" autoFill="0" autoPict="0">
                <anchor moveWithCells="1">
                  <from>
                    <xdr:col>9</xdr:col>
                    <xdr:colOff>333375</xdr:colOff>
                    <xdr:row>0</xdr:row>
                    <xdr:rowOff>57150</xdr:rowOff>
                  </from>
                  <to>
                    <xdr:col>12</xdr:col>
                    <xdr:colOff>47625</xdr:colOff>
                    <xdr:row>1</xdr:row>
                    <xdr:rowOff>190500</xdr:rowOff>
                  </to>
                </anchor>
              </controlPr>
            </control>
          </mc:Choice>
        </mc:AlternateContent>
        <mc:AlternateContent xmlns:mc="http://schemas.openxmlformats.org/markup-compatibility/2006">
          <mc:Choice Requires="x14">
            <control shapeId="55322" r:id="rId13" name="Group Box 26">
              <controlPr defaultSize="0" autoFill="0" autoPict="0">
                <anchor moveWithCells="1">
                  <from>
                    <xdr:col>7</xdr:col>
                    <xdr:colOff>57150</xdr:colOff>
                    <xdr:row>0</xdr:row>
                    <xdr:rowOff>57150</xdr:rowOff>
                  </from>
                  <to>
                    <xdr:col>9</xdr:col>
                    <xdr:colOff>285750</xdr:colOff>
                    <xdr:row>1</xdr:row>
                    <xdr:rowOff>190500</xdr:rowOff>
                  </to>
                </anchor>
              </controlPr>
            </control>
          </mc:Choice>
        </mc:AlternateContent>
        <mc:AlternateContent xmlns:mc="http://schemas.openxmlformats.org/markup-compatibility/2006">
          <mc:Choice Requires="x14">
            <control shapeId="55323" r:id="rId14" name="Button 27">
              <controlPr defaultSize="0" autoFill="0" autoPict="0" macro="[0]!NhanNghin">
                <anchor moveWithCells="1">
                  <from>
                    <xdr:col>7</xdr:col>
                    <xdr:colOff>142875</xdr:colOff>
                    <xdr:row>0</xdr:row>
                    <xdr:rowOff>152400</xdr:rowOff>
                  </from>
                  <to>
                    <xdr:col>7</xdr:col>
                    <xdr:colOff>609600</xdr:colOff>
                    <xdr:row>1</xdr:row>
                    <xdr:rowOff>95250</xdr:rowOff>
                  </to>
                </anchor>
              </controlPr>
            </control>
          </mc:Choice>
        </mc:AlternateContent>
        <mc:AlternateContent xmlns:mc="http://schemas.openxmlformats.org/markup-compatibility/2006">
          <mc:Choice Requires="x14">
            <control shapeId="55324" r:id="rId15" name="Button 28">
              <controlPr defaultSize="0" autoFill="0" autoPict="0" macro="[0]!NhanTrieu">
                <anchor moveWithCells="1">
                  <from>
                    <xdr:col>7</xdr:col>
                    <xdr:colOff>657225</xdr:colOff>
                    <xdr:row>0</xdr:row>
                    <xdr:rowOff>152400</xdr:rowOff>
                  </from>
                  <to>
                    <xdr:col>8</xdr:col>
                    <xdr:colOff>409575</xdr:colOff>
                    <xdr:row>1</xdr:row>
                    <xdr:rowOff>95250</xdr:rowOff>
                  </to>
                </anchor>
              </controlPr>
            </control>
          </mc:Choice>
        </mc:AlternateContent>
        <mc:AlternateContent xmlns:mc="http://schemas.openxmlformats.org/markup-compatibility/2006">
          <mc:Choice Requires="x14">
            <control shapeId="55325" r:id="rId16" name="Button 29">
              <controlPr defaultSize="0" autoFill="0" autoPict="0" macro="[0]!NhanTy">
                <anchor moveWithCells="1">
                  <from>
                    <xdr:col>8</xdr:col>
                    <xdr:colOff>457200</xdr:colOff>
                    <xdr:row>0</xdr:row>
                    <xdr:rowOff>152400</xdr:rowOff>
                  </from>
                  <to>
                    <xdr:col>9</xdr:col>
                    <xdr:colOff>209550</xdr:colOff>
                    <xdr:row>1</xdr:row>
                    <xdr:rowOff>95250</xdr:rowOff>
                  </to>
                </anchor>
              </controlPr>
            </control>
          </mc:Choice>
        </mc:AlternateContent>
        <mc:AlternateContent xmlns:mc="http://schemas.openxmlformats.org/markup-compatibility/2006">
          <mc:Choice Requires="x14">
            <control shapeId="55330" r:id="rId17" name="Button 34">
              <controlPr defaultSize="0" print="0" autoFill="0" autoPict="0" macro="[0]!RefreshTables">
                <anchor moveWithCells="1">
                  <from>
                    <xdr:col>14</xdr:col>
                    <xdr:colOff>1028700</xdr:colOff>
                    <xdr:row>0</xdr:row>
                    <xdr:rowOff>104775</xdr:rowOff>
                  </from>
                  <to>
                    <xdr:col>15</xdr:col>
                    <xdr:colOff>152400</xdr:colOff>
                    <xdr:row>1</xdr:row>
                    <xdr:rowOff>133350</xdr:rowOff>
                  </to>
                </anchor>
              </controlPr>
            </control>
          </mc:Choice>
        </mc:AlternateContent>
      </controls>
    </mc:Choice>
  </mc:AlternateContent>
  <tableParts count="3">
    <tablePart r:id="rId18"/>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AABBC68D-38FA-415D-9EE0-FAFB375743CF}">
            <xm:f>Security!$A$1="NO VBA"</xm:f>
            <x14:dxf>
              <font>
                <color theme="0"/>
              </font>
              <border>
                <vertical/>
                <horizontal/>
              </border>
            </x14:dxf>
          </x14:cfRule>
          <xm:sqref>AA22:XFD37 M1:XFD2 R22:Y37 R38:XFD1048576 M3:N14 P3:XFD14 M30:Q1048576 M22:Q28 N23:Q45 A23:A39 M15:XFD21 A40:C1048576 A1:C22 E1:F22 E40:F1048576 D1:D1048576 G1:L1048576</xm:sqref>
        </x14:conditionalFormatting>
        <x14:conditionalFormatting xmlns:xm="http://schemas.microsoft.com/office/excel/2006/main">
          <x14:cfRule type="expression" priority="3" id="{4E1858F9-A309-412F-9E34-E8A99977FCAA}">
            <xm:f>Security!$A$1="NO VBA"</xm:f>
            <x14:dxf>
              <font>
                <color theme="0"/>
              </font>
              <border>
                <vertical/>
                <horizontal/>
              </border>
            </x14:dxf>
          </x14:cfRule>
          <xm:sqref>M23:M45</xm:sqref>
        </x14:conditionalFormatting>
        <x14:conditionalFormatting xmlns:xm="http://schemas.microsoft.com/office/excel/2006/main">
          <x14:cfRule type="expression" priority="1" id="{E7C57766-E130-4C53-904D-000D60013BD7}">
            <xm:f>Security!$A$1="NO VBA"</xm:f>
            <x14:dxf>
              <font>
                <color theme="0"/>
              </font>
              <border>
                <vertical/>
                <horizontal/>
              </border>
            </x14:dxf>
          </x14:cfRule>
          <xm:sqref>O22</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� � 
</file>

<file path=customXml/item2.xml>�� 
</file>

<file path=customXml/item3.xml>�� �  p h � �c   n  � �� � � �  p h � �c   n  � �� � � 
</file>

<file path=customXml/item4.xml>�� 
</file>

<file path=customXml/item5.xml>��   
</file>

<file path=customXml/item6.xml>��   
</file>

<file path=customXml/item7.xml>�� �  �  
</file>

<file path=customXml/item8.xml>�� 
</file>

<file path=customXml/item9.xml>�� �� �i   t �� � �� �t   � � �  l � � �  l �� �  t � � �� �i   t �� � �� �t   � � �  l � � �  l �� �  t � � 
</file>

<file path=customXml/item10.xml>�� � � � �� �  l � � � � i �m   s �  d � � �n   c � � �p    � � � � i � �  d �  �  �  �  �  l ��  �  � �  l � � � � � � �� �  l � � � � i �m   s �  d � � �n   c � � �p    � � � � i � �  d �  �  �  �  �  l ��  �  � �  l � � � 
</file>

<file path=customXml/item11.xml>��   
</file>

<file path=customXml/item12.xml>�� � � � i � �  d � i �m   s �  d � �� �  l � � � � � �n   c � � � � � �  l � � � � �p     �  �  �  �  l ��  �  � 
</file>

<file path=customXml/item13.xml>�� �c   n  �c   n  
</file>

<file path=customXml/item14.xml>��   
</file>

<file path=customXml/item15.xml>��   
</file>

<file path=customXml/item16.xml>��   
</file>

<file path=customXml/item17.xml>�� �n   �u   t � �n   �u   t � �  �u   t � �i   h � �  �  �u   t � �   � �n   �u   t � �n   �u   t � �  �u   t � �i   h � �  �  �u   t � �   � 
</file>

<file path=customXml/item18.xml>��   
</file>

<file path=customXml/item19.xml>��   
</file>

<file path=customXml/item20.xml>��   
</file>

<file path=customXml/item21.xml>��   
</file>

<file path=customXml/item22.xml>�� � � � � �  t �n   � �  t � � � � � � � � � � � �  t �n   � �  t � � � � � � � � � � � �  l �� � � � � � �  s u � � � � � � � � � �� �  l � � � �� �  l � � � �  l � �n   � � �n   s �  b � � �p     �  �  �  �  l ��  �  � � � � � �  t �n   � �  t � � � � � � � � � � � �  t �n   � �  t � � � � � � � � � � � �  l �� � � � � � �  s u � � � � � � � � � �� �  l � � � �� �  l � � � �  l � �n   � � �n   s �  b � � �p     �  �  �  �  l ��  �  � 
</file>

<file path=customXml/item23.xml>�� � � �n   v � �  s u � �  l � � � � �n   v � �  s u � �  l � � 
</file>

<file path=customXml/itemProps1.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7D64D66F-1898-49BE-A788-6FA781CEE8F3}">
  <ds:schemaRefs/>
</ds:datastoreItem>
</file>

<file path=customXml/itemProps4.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15A5E9E7-8554-4C17-8FCE-88C5899190B5}">
  <ds:schemaRefs/>
</ds:datastoreItem>
</file>

<file path=customXml/itemProps6.xml><?xml version="1.0" encoding="utf-8"?>
<ds:datastoreItem xmlns:ds="http://schemas.openxmlformats.org/officeDocument/2006/customXml" ds:itemID="{104A6CAF-8CC0-4F12-8051-31E2340CC4C2}">
  <ds:schemaRefs/>
</ds:datastoreItem>
</file>

<file path=customXml/itemProps7.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CCFAB5FF-26AB-4CB9-BA2C-5A121007B041}">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4F023B59-6671-4442-B15F-D8D1F04CE43F}">
  <ds:schemaRefs/>
</ds:datastoreItem>
</file>

<file path=customXml/itemProps13.xml><?xml version="1.0" encoding="utf-8"?>
<ds:datastoreItem xmlns:ds="http://schemas.openxmlformats.org/officeDocument/2006/customXml" ds:itemID="{A6D0F6C4-9EB7-4062-86F8-715E8F5BF469}">
  <ds:schemaRefs/>
</ds:datastoreItem>
</file>

<file path=customXml/itemProps14.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5.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6.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7.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8.xml><?xml version="1.0" encoding="utf-8"?>
<ds:datastoreItem xmlns:ds="http://schemas.openxmlformats.org/officeDocument/2006/customXml" ds:itemID="{339EBD31-34FE-48FA-B11C-5697D02F64AC}">
  <ds:schemaRefs/>
</ds:datastoreItem>
</file>

<file path=customXml/itemProps19.xml><?xml version="1.0" encoding="utf-8"?>
<ds:datastoreItem xmlns:ds="http://schemas.openxmlformats.org/officeDocument/2006/customXml" ds:itemID="{0B9C3544-1C46-45A4-BEB6-1CE4D6559900}">
  <ds:schemaRefs/>
</ds:datastoreItem>
</file>

<file path=customXml/itemProps20.xml><?xml version="1.0" encoding="utf-8"?>
<ds:datastoreItem xmlns:ds="http://schemas.openxmlformats.org/officeDocument/2006/customXml" ds:itemID="{A849B9D7-188B-48DA-AB5B-54583621621D}">
  <ds:schemaRefs/>
</ds:datastoreItem>
</file>

<file path=customXml/itemProps21.xml><?xml version="1.0" encoding="utf-8"?>
<ds:datastoreItem xmlns:ds="http://schemas.openxmlformats.org/officeDocument/2006/customXml" ds:itemID="{4BA9E5F1-90AC-490B-B178-7C8B339E1A47}">
  <ds:schemaRefs/>
</ds:datastoreItem>
</file>

<file path=customXml/itemProps22.xml><?xml version="1.0" encoding="utf-8"?>
<ds:datastoreItem xmlns:ds="http://schemas.openxmlformats.org/officeDocument/2006/customXml" ds:itemID="{2BF00A03-70FC-4137-967C-82A1B61F0E08}">
  <ds:schemaRefs/>
</ds:datastoreItem>
</file>

<file path=customXml/itemProps23.xml><?xml version="1.0" encoding="utf-8"?>
<ds:datastoreItem xmlns:ds="http://schemas.openxmlformats.org/officeDocument/2006/customXml" ds:itemID="{19BA8129-97AB-4694-BBC1-89CB3D2043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EULA</vt:lpstr>
      <vt:lpstr>Quản lý nợ phải trả</vt:lpstr>
      <vt:lpstr>NhomChiPhi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2025-06-04T03:07:51Z</dcterms:modified>
  <cp:category/>
  <cp:contentStatus/>
</cp:coreProperties>
</file>